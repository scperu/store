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2D808F51-83ED-4F0D-A990-8A7672C0A7C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J17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18" i="1"/>
  <c r="H18" i="1" s="1" a="1"/>
  <c r="H18" i="1" s="1"/>
  <c r="J18" i="1" s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I742" i="1"/>
  <c r="H742" i="1" s="1" a="1"/>
  <c r="H742" i="1" s="1"/>
  <c r="J742" i="1" s="1"/>
  <c r="I743" i="1"/>
  <c r="H743" i="1" s="1" a="1"/>
  <c r="H743" i="1" s="1"/>
  <c r="J743" i="1" s="1"/>
  <c r="I744" i="1"/>
  <c r="H744" i="1" s="1" a="1"/>
  <c r="H744" i="1" s="1"/>
  <c r="J744" i="1" s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I1643" i="1"/>
  <c r="H1643" i="1" s="1" a="1"/>
  <c r="H1643" i="1" s="1"/>
  <c r="J1643" i="1" s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<sst xmlns="http://schemas.openxmlformats.org/spreadsheetml/2006/main" count="8216" uniqueCount="6480">
  <si>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</si>
  <si>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</si>
  <si>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</si>
  <si>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</si>
  <si>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</si>
  <si>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</si>
  <si>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</si>
  <si>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</si>
  <si>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</si>
  <si>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</si>
  <si>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</si>
  <si>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</si>
  <si>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</si>
  <si>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</si>
  <si>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</si>
  <si>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</si>
  <si>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</si>
  <si>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</si>
  <si>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</si>
  <si>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</si>
  <si>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</si>
  <si>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</si>
  <si>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</si>
  <si>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</si>
  <si>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</si>
  <si>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</si>
  <si>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</si>
  <si>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</si>
  <si>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</si>
  <si>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</si>
  <si>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</si>
  <si>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</si>
  <si>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</si>
  <si>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</si>
  <si>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</si>
  <si>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</si>
  <si>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</si>
  <si>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</si>
  <si>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</si>
  <si>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</si>
  <si>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</si>
  <si>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</si>
  <si>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</si>
  <si>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</si>
  <si>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</si>
  <si>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</si>
  <si>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</si>
  <si>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</si>
  <si>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</si>
  <si>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</si>
  <si>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</si>
  <si>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</si>
  <si>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</si>
  <si>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</si>
  <si>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</si>
  <si>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</si>
  <si>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</si>
  <si>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</si>
  <si>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</si>
  <si>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</si>
  <si>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</si>
  <si>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</si>
  <si>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</si>
  <si>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</si>
  <si>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</si>
  <si>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</si>
  <si>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</si>
  <si>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</si>
  <si>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</si>
  <si>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</si>
  <si>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</si>
  <si>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</si>
  <si>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</si>
  <si>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</si>
  <si>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</si>
  <si>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</si>
  <si>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</si>
  <si>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</si>
  <si>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</si>
  <si>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</si>
  <si>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</si>
  <si>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</si>
  <si>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</si>
  <si>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</si>
  <si>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</si>
  <si>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</si>
  <si>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</si>
  <si>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</si>
  <si>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</si>
  <si>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</si>
  <si>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</si>
  <si>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</si>
  <si>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</si>
  <si>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</si>
  <si>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</si>
  <si>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</si>
  <si>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</si>
  <si>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</si>
  <si>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</si>
  <si>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</si>
  <si>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</si>
  <si>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</si>
  <si>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</si>
  <si>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</si>
  <si>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</si>
  <si>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</si>
  <si>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</si>
  <si>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</si>
  <si>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</si>
  <si>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</si>
  <si>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</si>
  <si>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</si>
  <si>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</si>
  <si>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</si>
  <si>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</si>
  <si>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</si>
  <si>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</si>
  <si>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</si>
  <si>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</si>
  <si>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</si>
  <si>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</si>
  <si>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</si>
  <si>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</si>
  <si>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</si>
  <si>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</si>
  <si>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</si>
  <si>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</si>
  <si>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</si>
  <si>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</si>
  <si>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</si>
  <si>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</si>
  <si>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</si>
  <si>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</si>
  <si>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</si>
  <si>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</si>
  <si>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</si>
  <si>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</si>
  <si>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</si>
  <si>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</si>
  <si>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</si>
  <si>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</si>
  <si>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</si>
  <si>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</si>
  <si>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</si>
  <si>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</si>
  <si>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</si>
  <si>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</si>
  <si>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</si>
  <si>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</si>
  <si>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</si>
  <si>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</si>
  <si>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</si>
  <si>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</si>
  <si>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</si>
  <si>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</si>
  <si>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</si>
  <si>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</si>
  <si>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</si>
  <si>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</si>
  <si>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</si>
  <si>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</si>
  <si>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</si>
  <si>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</si>
  <si>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</si>
  <si>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</si>
  <si>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</si>
  <si>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</si>
  <si>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</si>
  <si>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</si>
  <si>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</si>
  <si>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</si>
  <si>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</si>
  <si>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</si>
  <si>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</si>
  <si>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</si>
  <si>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</si>
  <si>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</si>
  <si>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</si>
  <si>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</si>
  <si>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</si>
  <si>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</si>
  <si>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</si>
  <si>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</si>
  <si>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</si>
  <si>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</si>
  <si>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</si>
  <si>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</si>
  <si>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</si>
  <si>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</si>
  <si>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</si>
  <si>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</si>
  <si>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</si>
  <si>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</si>
  <si>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</si>
  <si>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</si>
  <si>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</si>
  <si>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</si>
  <si>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</si>
  <si>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</si>
  <si>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</si>
  <si>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</si>
  <si>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</si>
  <si>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</si>
  <si>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</si>
  <si>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</si>
  <si>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</si>
  <si>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</si>
  <si>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</si>
  <si>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</si>
  <si>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</si>
  <si>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</si>
  <si>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</si>
  <si>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</si>
  <si>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</si>
  <si>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</si>
  <si>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</si>
  <si>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</si>
  <si>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</si>
  <si>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</si>
  <si>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</si>
  <si>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</si>
  <si>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</si>
  <si>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</si>
  <si>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</si>
  <si>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</si>
  <si>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</si>
  <si>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</si>
  <si>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</si>
  <si>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</si>
  <si>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</si>
  <si>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</si>
  <si>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</si>
  <si>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</si>
  <si>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</si>
  <si>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</si>
  <si>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</si>
  <si>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</si>
  <si>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</si>
  <si>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</si>
  <si>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</si>
  <si>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</si>
  <si>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</si>
  <si>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</si>
  <si>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</si>
  <si>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</si>
  <si>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</si>
  <si>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</si>
  <si>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</si>
  <si>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</si>
  <si>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</si>
  <si>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</si>
  <si>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</si>
  <si>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</si>
  <si>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</si>
  <si>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</si>
  <si>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</si>
  <si>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</si>
  <si>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</si>
  <si>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</si>
  <si>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</si>
  <si>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</si>
  <si>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</si>
  <si>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</si>
  <si>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</si>
  <si>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</si>
  <si>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</si>
  <si>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</si>
  <si>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</si>
  <si>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</si>
  <si>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</si>
  <si>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</si>
  <si>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</si>
  <si>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</si>
  <si>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</si>
  <si>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</si>
  <si>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</si>
  <si>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</si>
  <si>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</si>
  <si>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</si>
  <si>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</si>
  <si>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</si>
  <si>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</si>
  <si>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</si>
  <si>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</si>
  <si>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</si>
  <si>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</si>
  <si>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</si>
  <si>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</si>
  <si>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</si>
  <si>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</si>
  <si>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</si>
  <si>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</si>
  <si>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</si>
  <si>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</si>
  <si>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</si>
  <si>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</si>
  <si>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</si>
  <si>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</si>
  <si>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</si>
  <si>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</si>
  <si>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</si>
  <si>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</si>
  <si>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</si>
  <si>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</si>
  <si>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</si>
  <si>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</si>
  <si>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</si>
  <si>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</si>
  <si>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</si>
  <si>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</si>
  <si>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</si>
  <si>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</si>
  <si>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</si>
  <si>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</si>
  <si>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</si>
  <si>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</si>
  <si>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</si>
  <si>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</si>
  <si>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</si>
  <si>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</si>
  <si>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</si>
  <si>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</si>
  <si>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</si>
  <si>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</si>
  <si>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</si>
  <si>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</si>
  <si>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</si>
  <si>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</si>
  <si>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</si>
  <si>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</si>
  <si>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</si>
  <si>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</si>
  <si>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</si>
  <si>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</si>
  <si>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</si>
  <si>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</si>
  <si>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</si>
  <si>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</si>
  <si>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</si>
  <si>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</si>
  <si>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</si>
  <si>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</si>
  <si>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</si>
  <si>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</si>
  <si>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</si>
  <si>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</si>
  <si>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</si>
  <si>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</si>
  <si>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</si>
  <si>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</si>
  <si>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</si>
  <si>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</si>
  <si>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</si>
  <si>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</si>
  <si>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</si>
  <si>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</si>
  <si>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</si>
  <si>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</si>
  <si>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</si>
  <si>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</si>
  <si>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</si>
  <si>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</si>
  <si>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</si>
  <si>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</si>
  <si>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</si>
  <si>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</si>
  <si>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</si>
  <si>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</si>
  <si>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</si>
  <si>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</si>
  <si>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</si>
  <si>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</si>
  <si>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</si>
  <si>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</si>
  <si>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</si>
  <si>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</si>
  <si>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</si>
  <si>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</si>
  <si>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</si>
  <si>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</si>
  <si>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</si>
  <si>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</si>
  <si>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</si>
  <si>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</si>
  <si>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</si>
  <si>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</si>
  <si>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</si>
  <si>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</si>
  <si>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</si>
  <si>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</si>
  <si>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</si>
  <si>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</si>
  <si>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</si>
  <si>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</si>
  <si>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</si>
  <si>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</si>
  <si>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</si>
  <si>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</si>
  <si>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</si>
  <si>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</si>
  <si>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</si>
  <si>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</si>
  <si>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</si>
  <si>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</si>
  <si>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</si>
  <si>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</si>
  <si>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</si>
  <si>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</si>
  <si>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</si>
  <si>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</si>
  <si>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</si>
  <si>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</si>
  <si>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</si>
  <si>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</si>
  <si>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</si>
  <si>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</si>
  <si>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</si>
  <si>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</si>
  <si>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</si>
  <si>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</si>
  <si>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</si>
  <si>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</si>
  <si>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</si>
  <si>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</si>
  <si>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</si>
  <si>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</si>
  <si>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</si>
  <si>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</si>
  <si>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</si>
  <si>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</si>
  <si>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</si>
  <si>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</si>
  <si>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</si>
  <si>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</si>
  <si>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</si>
  <si>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</si>
  <si>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</si>
  <si>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</si>
  <si>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</si>
  <si>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</si>
  <si>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</si>
  <si>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</si>
  <si>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</si>
  <si>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</si>
  <si>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</si>
  <si>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</si>
  <si>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</si>
  <si>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</si>
  <si>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</si>
  <si>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</si>
  <si>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</si>
  <si>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</si>
  <si>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</si>
  <si>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</si>
  <si>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</si>
  <si>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</si>
  <si>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</si>
  <si>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</si>
  <si>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</si>
  <si>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</si>
  <si>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</si>
  <si>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</si>
  <si>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</si>
  <si>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</si>
  <si>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</si>
  <si>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</si>
  <si>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</si>
  <si>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</si>
  <si>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</si>
  <si>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</si>
  <si>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</si>
  <si>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</si>
  <si>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</si>
  <si>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</si>
  <si>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</si>
  <si>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</si>
  <si>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</si>
  <si>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</si>
  <si>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</si>
  <si>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</si>
  <si>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</si>
  <si>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</si>
  <si>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</si>
  <si>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</si>
  <si>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</si>
  <si>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</si>
  <si>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</si>
  <si>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</si>
  <si>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</si>
  <si>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</si>
  <si>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</si>
  <si>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</si>
  <si>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</si>
  <si>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</si>
  <si>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</si>
  <si>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</si>
  <si>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</si>
  <si>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</si>
  <si>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</si>
  <si>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</si>
  <si>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</si>
  <si>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</si>
  <si>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</si>
  <si>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</si>
  <si>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</si>
  <si>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</si>
  <si>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</si>
  <si>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</si>
  <si>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</si>
  <si>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</si>
  <si>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</si>
  <si>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</si>
  <si>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</si>
  <si>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</si>
  <si>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</si>
  <si>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</si>
  <si>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</si>
  <si>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</si>
  <si>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</si>
  <si>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</si>
  <si>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</si>
  <si>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</si>
  <si>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</si>
  <si>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</si>
  <si>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</si>
  <si>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</si>
  <si>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</si>
  <si>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</si>
  <si>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</si>
  <si>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</si>
  <si>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</si>
  <si>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</si>
  <si>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</si>
  <si>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</si>
  <si>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</si>
  <si>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</si>
  <si>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</si>
  <si>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</si>
  <si>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</si>
  <si>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</si>
  <si>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</si>
  <si>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</si>
  <si>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</si>
  <si>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</si>
  <si>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</si>
  <si>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</si>
  <si>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</si>
  <si>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</si>
  <si>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</si>
  <si>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</si>
  <si>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</si>
  <si>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</si>
  <si>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</si>
  <si>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</si>
  <si>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</si>
  <si>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</si>
  <si>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</si>
  <si>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</si>
  <si>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</si>
  <si>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</si>
  <si>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</si>
  <si>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</si>
  <si>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</si>
  <si>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</si>
  <si>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</si>
  <si>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</si>
  <si>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</si>
  <si>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</si>
  <si>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</si>
  <si>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</si>
  <si>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</si>
  <si>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</si>
  <si>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</si>
  <si>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</si>
  <si>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</si>
  <si>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</si>
  <si>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</si>
  <si>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</si>
  <si>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</si>
  <si>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</si>
  <si>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</si>
  <si>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</si>
  <si>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</si>
  <si>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</si>
  <si>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</si>
  <si>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</si>
  <si>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</si>
  <si>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</si>
  <si>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</si>
  <si>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</si>
  <si>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</si>
  <si>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</si>
  <si>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</si>
  <si>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</si>
  <si>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</si>
  <si>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</si>
  <si>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</si>
  <si>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</si>
  <si>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</si>
  <si>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</si>
  <si>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</si>
  <si>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</si>
  <si>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</si>
  <si>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</si>
  <si>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</si>
  <si>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</si>
  <si>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</si>
  <si>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</si>
  <si>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</si>
  <si>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</si>
  <si>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</si>
  <si>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</si>
  <si>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</si>
  <si>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</si>
  <si>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</si>
  <si>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</si>
  <si>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</si>
  <si>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</si>
  <si>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</si>
  <si>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</si>
  <si>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</si>
  <si>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</si>
  <si>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</si>
  <si>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</si>
  <si>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</si>
  <si>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</si>
  <si>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</si>
  <si>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</si>
  <si>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</si>
  <si>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</si>
  <si>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</si>
  <si>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</si>
  <si>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</si>
  <si>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</si>
  <si>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</si>
  <si>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</si>
  <si>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</si>
  <si>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</si>
  <si>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</si>
  <si>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</si>
  <si>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</si>
  <si>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</si>
  <si>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</si>
  <si>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</si>
  <si>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</si>
  <si>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</si>
  <si>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</si>
  <si>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</si>
  <si>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</si>
  <si>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</si>
  <si>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</si>
  <si>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</si>
  <si>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</si>
  <si>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</si>
  <si>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</si>
  <si>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</si>
  <si>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</si>
  <si>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</si>
  <si>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</si>
  <si>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</si>
  <si>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</si>
  <si>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</si>
  <si>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</si>
  <si>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</si>
  <si>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</si>
  <si>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</si>
  <si>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</si>
  <si>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</si>
  <si>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</si>
  <si>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</si>
  <si>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</si>
  <si>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</si>
  <si>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</si>
  <si>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</si>
  <si>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</si>
  <si>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</si>
  <si>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</si>
  <si>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</si>
  <si>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</si>
  <si>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</si>
  <si>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</si>
  <si>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</si>
  <si>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</si>
  <si>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</si>
  <si>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</si>
  <si>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</si>
  <si>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</si>
  <si>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</si>
  <si>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</si>
  <si>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</si>
  <si>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</si>
  <si>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</si>
  <si>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</si>
  <si>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</si>
  <si>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</si>
  <si>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</si>
  <si>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</si>
  <si>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</si>
  <si>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</si>
  <si>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</si>
  <si>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</si>
  <si>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</si>
  <si>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</si>
  <si>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</si>
  <si>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</si>
  <si>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</si>
  <si>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</si>
  <si>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</si>
  <si>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</si>
  <si>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</si>
  <si>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</si>
  <si>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</si>
  <si>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</si>
  <si>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</si>
  <si>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</si>
  <si>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</si>
  <si>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</si>
  <si>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</si>
  <si>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</si>
  <si>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</si>
  <si>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</si>
  <si>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</si>
  <si>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</si>
  <si>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</si>
  <si>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</si>
  <si>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</si>
  <si>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</si>
  <si>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</si>
  <si>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</si>
  <si>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</si>
  <si>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</si>
  <si>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</si>
  <si>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</si>
  <si>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</si>
  <si>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</si>
  <si>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</si>
  <si>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</si>
  <si>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</si>
  <si>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</si>
  <si>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</si>
  <si>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</si>
  <si>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</si>
  <si>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</si>
  <si>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</si>
  <si>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</si>
  <si>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</si>
  <si>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</si>
  <si>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</si>
  <si>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</si>
  <si>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</si>
  <si>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</si>
  <si>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</si>
  <si>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</si>
  <si>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</si>
  <si>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</si>
  <si>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</si>
  <si>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</si>
  <si>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</si>
  <si>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</si>
  <si>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</si>
  <si>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</si>
  <si>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</si>
  <si>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</si>
  <si>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</si>
  <si>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</si>
  <si>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</si>
  <si>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</si>
  <si>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</si>
  <si>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</si>
  <si>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</si>
  <si>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</si>
  <si>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</si>
  <si>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</si>
  <si>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</si>
  <si>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</si>
  <si>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</si>
  <si>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</si>
  <si>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</si>
  <si>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</si>
  <si>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</si>
  <si>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</si>
  <si>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</si>
  <si>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</si>
  <si>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</si>
  <si>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</si>
  <si>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</si>
  <si>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</si>
  <si>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</si>
  <si>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</si>
  <si>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</si>
  <si>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</si>
  <si>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</si>
  <si>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</si>
  <si>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</si>
  <si>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</si>
  <si>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</si>
  <si>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</si>
  <si>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</si>
  <si>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</si>
  <si>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</si>
  <si>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</si>
  <si>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</si>
  <si>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</si>
  <si>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</si>
  <si>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</si>
  <si>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</si>
  <si>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</si>
  <si>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</si>
  <si>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</si>
  <si>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</si>
  <si>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</si>
  <si>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</si>
  <si>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</si>
  <si>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</si>
  <si>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</si>
  <si>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</si>
  <si>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</si>
  <si>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</si>
  <si>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</si>
  <si>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</si>
  <si>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</si>
  <si>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</si>
  <si>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</si>
  <si>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</si>
  <si>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</si>
  <si>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</si>
  <si>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</si>
  <si>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</si>
  <si>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</si>
  <si>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</si>
  <si>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</si>
  <si>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</si>
  <si>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</si>
  <si>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</si>
  <si>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</si>
  <si>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</si>
  <si>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</si>
  <si>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</si>
  <si>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</si>
  <si>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</si>
  <si>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</si>
  <si>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</si>
  <si>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</si>
  <si>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</si>
  <si>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</si>
  <si>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</si>
  <si>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</si>
  <si>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</si>
  <si>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</si>
  <si>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</si>
  <si>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</si>
  <si>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</si>
  <si>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</si>
  <si>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</si>
  <si>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</si>
  <si>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</si>
  <si>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</si>
  <si>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</si>
  <si>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</si>
  <si>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</si>
  <si>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</si>
  <si>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</si>
  <si>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</si>
  <si>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</si>
  <si>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</si>
  <si>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</si>
  <si>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</si>
  <si>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</si>
  <si>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</si>
  <si>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</si>
  <si>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</si>
  <si>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</si>
  <si>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</si>
  <si>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</si>
  <si>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</si>
  <si>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</si>
  <si>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</si>
  <si>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</si>
  <si>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</si>
  <si>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</si>
  <si>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</si>
  <si>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</si>
  <si>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</si>
  <si>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</si>
  <si>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</si>
  <si>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</si>
  <si>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</si>
  <si>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</si>
  <si>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</si>
  <si>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</si>
  <si>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</si>
  <si>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</si>
  <si>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</si>
  <si>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</si>
  <si>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</si>
  <si>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</si>
  <si>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</si>
  <si>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</si>
  <si>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</si>
  <si>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</si>
  <si>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</si>
  <si>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</si>
  <si>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</si>
  <si>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</si>
  <si>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</si>
  <si>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</si>
  <si>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</si>
  <si>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</si>
  <si>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</si>
  <si>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</si>
  <si>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</si>
  <si>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</si>
  <si>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</si>
  <si>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</si>
  <si>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</si>
  <si>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</si>
  <si>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</si>
  <si>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</si>
  <si>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</si>
  <si>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</si>
  <si>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</si>
  <si>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</si>
  <si>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</si>
  <si>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</si>
  <si>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</si>
  <si>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</si>
  <si>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</si>
  <si>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</si>
  <si>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</si>
  <si>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</si>
  <si>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</si>
  <si>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</si>
  <si>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</si>
  <si>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</si>
  <si>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</si>
  <si>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</si>
  <si>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</si>
  <si>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</si>
  <si>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</si>
  <si>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</si>
  <si>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</si>
  <si>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</si>
  <si>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</si>
  <si>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</si>
  <si>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</si>
  <si>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</si>
  <si>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</si>
  <si>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</si>
  <si>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</si>
  <si>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</si>
  <si>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</si>
  <si>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</si>
  <si>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</si>
  <si>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</si>
  <si>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</si>
  <si>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</si>
  <si>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</si>
  <si>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</si>
  <si>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</si>
  <si>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</si>
  <si>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</si>
  <si>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</si>
  <si>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</si>
  <si>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</si>
  <si>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</si>
  <si>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</si>
  <si>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</si>
  <si>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</si>
  <si>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</si>
  <si>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</si>
  <si>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</si>
  <si>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</si>
  <si>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</si>
  <si>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</si>
  <si>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</si>
  <si>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</si>
  <si>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</si>
  <si>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</si>
  <si>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</si>
  <si>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</si>
  <si>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</si>
  <si>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</si>
  <si>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</si>
  <si>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</si>
  <si>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</si>
  <si>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</si>
  <si>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</si>
  <si>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</si>
  <si>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</si>
  <si>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</si>
  <si>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</si>
  <si>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</si>
  <si>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</si>
  <si>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</si>
  <si>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</si>
  <si>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</si>
  <si>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</si>
  <si>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</si>
  <si>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</si>
  <si>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</si>
  <si>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</si>
  <si>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</si>
  <si>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</si>
  <si>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</si>
  <si>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</si>
  <si>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</si>
  <si>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</si>
  <si>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</si>
  <si>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</si>
  <si>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</si>
  <si>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</si>
  <si>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</si>
  <si>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</si>
  <si>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</si>
  <si>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</si>
  <si>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</si>
  <si>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</si>
  <si>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</si>
  <si>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</si>
  <si>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</si>
  <si>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</si>
  <si>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</si>
  <si>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</si>
  <si>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</si>
  <si>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</si>
  <si>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</si>
  <si>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</si>
  <si>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</si>
  <si>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</si>
  <si>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</si>
  <si>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</si>
  <si>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</si>
  <si>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</si>
  <si>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</si>
  <si>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</si>
  <si>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</si>
  <si>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</si>
  <si>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</si>
  <si>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</si>
  <si>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</si>
  <si>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</si>
  <si>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</si>
  <si>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</si>
  <si>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</si>
  <si>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</si>
  <si>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</si>
  <si>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</si>
  <si>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</si>
  <si>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</si>
  <si>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</si>
  <si>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</si>
  <si>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</si>
  <si>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</si>
  <si>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</si>
  <si>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</si>
  <si>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</si>
  <si>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</si>
  <si>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</si>
  <si>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</si>
  <si>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</si>
  <si>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</si>
  <si>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</si>
  <si>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</si>
  <si>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</si>
  <si>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</si>
  <si>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</si>
  <si>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</si>
  <si>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</si>
  <si>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</si>
  <si>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</si>
  <si>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</si>
  <si>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</si>
  <si>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</si>
  <si>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</si>
  <si>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</si>
  <si>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</si>
  <si>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</si>
  <si>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</si>
  <si>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</si>
  <si>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</si>
  <si>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</si>
  <si>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</si>
  <si>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</si>
  <si>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</si>
  <si>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</si>
  <si>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</si>
  <si>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</si>
  <si>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</si>
  <si>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</si>
  <si>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</si>
  <si>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</si>
  <si>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</si>
  <si>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</si>
  <si>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</si>
  <si>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</si>
  <si>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</si>
  <si>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</si>
  <si>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</si>
  <si>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</si>
  <si>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</si>
  <si>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</si>
  <si>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</si>
  <si>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</si>
  <si>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</si>
  <si>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</si>
  <si>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</si>
  <si>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</si>
  <si>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</si>
  <si>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</si>
  <si>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</si>
  <si>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</si>
  <si>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</si>
  <si>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</si>
  <si>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</si>
  <si>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</si>
  <si>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</si>
  <si>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</si>
  <si>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</si>
  <si>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</si>
  <si>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</si>
  <si>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</si>
  <si>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</si>
  <si>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</si>
  <si>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</si>
  <si>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</si>
  <si>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</si>
  <si>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</si>
  <si>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</si>
  <si>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</si>
  <si>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</si>
  <si>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</si>
  <si>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</si>
  <si>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</si>
  <si>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</si>
  <si>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</si>
  <si>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</si>
  <si>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</si>
  <si>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</si>
  <si>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</si>
  <si>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</si>
  <si>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</si>
  <si>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</si>
  <si>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</si>
  <si>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</si>
  <si>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</si>
  <si>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</si>
  <si>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</si>
  <si>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</si>
  <si>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</si>
  <si>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</si>
  <si>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</si>
  <si>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</si>
  <si>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</si>
  <si>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</si>
  <si>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</si>
  <si>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</si>
  <si>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</si>
  <si>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</si>
  <si>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</si>
  <si>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</si>
  <si>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</si>
  <si>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</si>
  <si>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</si>
  <si>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</si>
  <si>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</si>
  <si>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</si>
  <si>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</si>
  <si>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</si>
  <si>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</si>
  <si>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</si>
  <si>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</si>
  <si>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</si>
  <si>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</si>
  <si>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</si>
  <si>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</si>
  <si>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</si>
  <si>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</si>
  <si>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</si>
  <si>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</si>
  <si>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</si>
  <si>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</si>
  <si>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</si>
  <si>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</si>
  <si>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</si>
  <si>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</si>
  <si>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</si>
  <si>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</si>
  <si>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</si>
  <si>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</si>
  <si>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</si>
  <si>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</si>
  <si>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</si>
  <si>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</si>
  <si>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</si>
  <si>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</si>
  <si>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</si>
  <si>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</si>
  <si>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</si>
  <si>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</si>
  <si>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</si>
  <si>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</si>
  <si>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</si>
  <si>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</si>
  <si>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</si>
  <si>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</si>
  <si>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</si>
  <si>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</si>
  <si>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</si>
  <si>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</si>
  <si>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</si>
  <si>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</si>
  <si>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</si>
  <si>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</si>
  <si>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</si>
  <si>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</si>
  <si>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</si>
  <si>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</si>
  <si>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</si>
  <si>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</si>
  <si>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</si>
  <si>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</si>
  <si>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</si>
  <si>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</si>
  <si>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</si>
  <si>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</si>
  <si>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</si>
  <si>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</si>
  <si>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</si>
  <si>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</si>
  <si>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</si>
  <si>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</si>
  <si>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</si>
  <si>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</si>
  <si>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</si>
  <si>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</si>
  <si>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</si>
  <si>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</si>
  <si>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</si>
  <si>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</si>
  <si>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</si>
  <si>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</si>
  <si>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</si>
  <si>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</si>
  <si>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</si>
  <si>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</si>
  <si>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</si>
  <si>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</si>
  <si>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</si>
  <si>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</si>
  <si>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</si>
  <si>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</si>
  <si>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</si>
  <si>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</si>
  <si>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</si>
  <si>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</si>
  <si>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</si>
  <si>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</si>
  <si>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</si>
  <si>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</si>
  <si>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</si>
  <si>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</si>
  <si>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</si>
  <si>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</si>
  <si>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</si>
  <si>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</si>
  <si>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</si>
  <si>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</si>
  <si>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</si>
  <si>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</si>
  <si>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</si>
  <si>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</si>
  <si>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</si>
  <si>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</si>
  <si>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</si>
  <si>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</si>
  <si>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</si>
  <si>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</si>
  <si>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</si>
  <si>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</si>
  <si>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</si>
  <si>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</si>
  <si>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</si>
  <si>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</si>
  <si>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</si>
  <si>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</si>
  <si>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</si>
  <si>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</si>
  <si>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</si>
  <si>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</si>
  <si>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</si>
  <si>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</si>
  <si>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</si>
  <si>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</si>
  <si>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</si>
  <si>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</si>
  <si>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</si>
  <si>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</si>
  <si>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</si>
  <si>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</si>
  <si>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</si>
  <si>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</si>
  <si>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</si>
  <si>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</si>
  <si>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</si>
  <si>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</si>
  <si>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</si>
  <si>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</si>
  <si>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</si>
  <si>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</si>
  <si>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</si>
  <si>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</si>
  <si>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</si>
  <si>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</si>
  <si>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</si>
  <si>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</si>
  <si>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</si>
  <si>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</si>
  <si>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</si>
  <si>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</si>
  <si>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</si>
  <si>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</si>
  <si>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</si>
  <si>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</si>
  <si>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</si>
  <si>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</si>
  <si>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</si>
  <si>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</si>
  <si>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</si>
  <si>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</si>
  <si>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</si>
  <si>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</si>
  <si>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</si>
  <si>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</si>
  <si>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</si>
  <si>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</si>
  <si>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</si>
  <si>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</si>
  <si>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</si>
  <si>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</si>
  <si>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</si>
  <si>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</si>
  <si>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</si>
  <si>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</si>
  <si>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</si>
  <si>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</si>
  <si>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</si>
  <si>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</si>
  <si>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</si>
  <si>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</si>
  <si>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</si>
  <si>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</si>
  <si>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</si>
  <si>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</si>
  <si>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</si>
  <si>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</si>
  <si>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</si>
  <si>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</si>
  <si>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</si>
  <si>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SSDEXWDBAGF0010</t>
  </si>
  <si>
    <t> SSD EXT 1TB MY PASSPORT</t>
  </si>
  <si>
    <t>Disco duro externo SSD Western Digital My Passport 1TB.[@@@]Compatible con USB 3.2 Ge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</si>
  <si>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</si>
  <si>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</si>
  <si>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</si>
  <si>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</si>
  <si>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</si>
  <si>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</si>
  <si>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</si>
  <si>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</si>
  <si>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</si>
  <si>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</si>
  <si>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</si>
  <si>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</si>
  <si>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</si>
  <si>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</si>
  <si>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</si>
  <si>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</si>
  <si>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</si>
  <si>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</si>
  <si>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</si>
  <si>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</si>
  <si>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</si>
  <si>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</si>
  <si>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</si>
  <si>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</si>
  <si>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</si>
  <si>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</si>
  <si>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</si>
  <si>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</si>
  <si>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</si>
  <si>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</si>
  <si>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</si>
  <si>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</si>
  <si>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</si>
  <si>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</si>
  <si>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</si>
  <si>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</si>
  <si>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</si>
  <si>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</si>
  <si>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</si>
  <si>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</si>
  <si>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</si>
  <si>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</si>
  <si>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</si>
  <si>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</si>
  <si>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</si>
  <si>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</si>
  <si>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</si>
  <si>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</si>
  <si>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</si>
  <si>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</si>
  <si>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</si>
  <si>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</si>
  <si>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</si>
  <si>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</si>
  <si>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</si>
  <si>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</si>
  <si>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</si>
  <si>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</si>
  <si>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</si>
  <si>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</si>
  <si>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</si>
  <si>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</si>
  <si>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</si>
  <si>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</si>
  <si>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</si>
  <si>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</si>
  <si>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</si>
  <si>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</si>
  <si>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</si>
  <si>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</si>
  <si>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</si>
  <si>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</si>
  <si>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</si>
  <si>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</si>
  <si>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</si>
  <si>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</si>
  <si>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</si>
  <si>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</si>
  <si>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</si>
  <si>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</si>
  <si>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</si>
  <si>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</si>
  <si>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</si>
  <si>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</si>
  <si>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</si>
  <si>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</si>
  <si>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</si>
  <si>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</si>
  <si>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</si>
  <si>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</si>
  <si>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</si>
  <si>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</si>
  <si>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</si>
  <si>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</si>
  <si>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</si>
  <si>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</si>
  <si>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</si>
  <si>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</si>
  <si>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</si>
  <si>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</si>
  <si>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</si>
  <si>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</si>
  <si>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</si>
  <si>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</si>
  <si>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</si>
  <si>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</si>
  <si>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</si>
  <si>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</si>
  <si>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</si>
  <si>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</si>
  <si>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</si>
  <si>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</si>
  <si>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</si>
  <si>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</si>
  <si>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</si>
  <si>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</si>
  <si>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</si>
  <si>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</si>
  <si>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</si>
  <si>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</si>
  <si>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</si>
  <si>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</si>
  <si>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</si>
  <si>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</si>
  <si>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</si>
  <si>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</si>
  <si>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</si>
  <si>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</si>
  <si>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</si>
  <si>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</si>
  <si>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</si>
  <si>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</si>
  <si>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</si>
  <si>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</si>
  <si>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</si>
  <si>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</si>
  <si>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</si>
  <si>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</si>
  <si>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</si>
  <si>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</si>
  <si>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</si>
  <si>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</si>
  <si>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</si>
  <si>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</si>
  <si>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</si>
  <si>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</si>
  <si>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</si>
  <si>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</si>
  <si>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</si>
  <si>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</si>
  <si>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</si>
  <si>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</si>
  <si>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</si>
  <si>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</si>
  <si>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</si>
  <si>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</si>
  <si>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</si>
  <si>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</si>
  <si>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</si>
  <si>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</si>
  <si>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</si>
  <si>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</si>
  <si>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</si>
  <si>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</si>
  <si>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</si>
  <si>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</si>
  <si>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</si>
  <si>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</si>
  <si>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</si>
  <si>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</si>
  <si>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</si>
  <si>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</si>
  <si>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</si>
  <si>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</si>
  <si>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</si>
  <si>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</si>
  <si>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</si>
  <si>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</si>
  <si>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</si>
  <si>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</si>
  <si>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</si>
  <si>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</si>
  <si>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</si>
  <si>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</si>
  <si>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</si>
  <si>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</si>
  <si>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</si>
  <si>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</si>
  <si>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</si>
  <si>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</si>
  <si>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</si>
  <si>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</si>
  <si>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</si>
  <si>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</si>
  <si>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</si>
  <si>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</si>
  <si>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</si>
  <si>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</si>
  <si>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</si>
  <si>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</si>
  <si>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</si>
  <si>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</si>
  <si>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</si>
  <si>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</si>
  <si>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</si>
  <si>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</si>
  <si>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</si>
  <si>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</si>
  <si>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</si>
  <si>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</si>
  <si>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</si>
  <si>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</si>
  <si>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</si>
  <si>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</si>
  <si>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</si>
  <si>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</si>
  <si>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</si>
  <si>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</si>
  <si>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</si>
  <si>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</si>
  <si>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</si>
  <si>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</si>
  <si>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</si>
  <si>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</si>
  <si>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</si>
  <si>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</si>
  <si>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</si>
  <si>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</si>
  <si>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</si>
  <si>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</si>
  <si>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</si>
  <si>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</si>
  <si>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</si>
  <si>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</si>
  <si>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</si>
  <si>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</si>
  <si>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</si>
  <si>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</si>
  <si>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</si>
  <si>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</si>
  <si>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</si>
  <si>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</si>
  <si>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</si>
  <si>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</si>
  <si>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</si>
  <si>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</si>
  <si>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</si>
  <si>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</si>
  <si>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</si>
  <si>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</si>
  <si>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</si>
  <si>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</si>
  <si>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</si>
  <si>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</si>
  <si>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</si>
  <si>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</si>
  <si>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</si>
  <si>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</si>
  <si>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</si>
  <si>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</si>
  <si>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</si>
  <si>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</si>
  <si>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</si>
  <si>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</si>
  <si>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</si>
  <si>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</si>
  <si>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</si>
  <si>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</si>
  <si>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</si>
  <si>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</si>
  <si>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</si>
  <si>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</si>
  <si>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</si>
  <si>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</si>
  <si>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</si>
  <si>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</si>
  <si>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</si>
  <si>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</si>
  <si>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</si>
  <si>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</si>
  <si>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</si>
  <si>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</si>
  <si>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</si>
  <si>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</si>
  <si>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</si>
  <si>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</si>
  <si>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</si>
  <si>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</si>
  <si>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</si>
  <si>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</si>
  <si>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</si>
  <si>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</si>
  <si>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</si>
  <si>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</si>
  <si>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</si>
  <si>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</si>
  <si>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</si>
  <si>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</si>
  <si>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</si>
  <si>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</si>
  <si>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</si>
  <si>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</si>
  <si>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</si>
  <si>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</si>
  <si>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</si>
  <si>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</si>
  <si>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</si>
  <si>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</si>
  <si>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</si>
  <si>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</si>
  <si>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</si>
  <si>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</si>
  <si>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</si>
  <si>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</si>
  <si>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</si>
  <si>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</si>
  <si>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</si>
  <si>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</si>
  <si>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</si>
  <si>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</si>
  <si>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</si>
  <si>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</si>
  <si>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</si>
  <si>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</si>
  <si>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</si>
  <si>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</si>
  <si>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</si>
  <si>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</si>
  <si>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</si>
  <si>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</si>
  <si>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</si>
  <si>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</si>
  <si>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</si>
  <si>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</si>
  <si>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</si>
  <si>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</si>
  <si>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</si>
  <si>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</si>
  <si>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</si>
  <si>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</si>
  <si>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</si>
  <si>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</si>
  <si>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</si>
  <si>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</si>
  <si>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</si>
  <si>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</si>
  <si>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</si>
  <si>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</si>
  <si>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</si>
  <si>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</si>
  <si>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</si>
  <si>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</si>
  <si>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</si>
  <si>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</si>
  <si>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</si>
  <si>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</si>
  <si>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</si>
  <si>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</si>
  <si>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</si>
  <si>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</si>
  <si>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</si>
  <si>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</si>
  <si>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</si>
  <si>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</si>
  <si>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</si>
  <si>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</si>
  <si>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MBGBX870EAELTXI</t>
  </si>
  <si>
    <t> MB GB X870E AORUS ELITE X ICE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</si>
  <si>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</si>
  <si>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</si>
  <si>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</si>
  <si>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</si>
  <si>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</si>
  <si>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</si>
  <si>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</si>
  <si>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</si>
  <si>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</si>
  <si>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</si>
  <si>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</si>
  <si>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</si>
  <si>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</si>
  <si>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</si>
  <si>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</si>
  <si>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</si>
  <si>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</si>
  <si>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</si>
  <si>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</si>
  <si>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</si>
  <si>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</si>
  <si>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</si>
  <si>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</si>
  <si>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</si>
  <si>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</si>
  <si>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</si>
  <si>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</si>
  <si>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</si>
  <si>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</si>
  <si>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</si>
  <si>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</si>
  <si>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</si>
  <si>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</si>
  <si>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</si>
  <si>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</si>
  <si>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</si>
  <si>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</si>
  <si>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</si>
  <si>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</si>
  <si>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</si>
  <si>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</si>
  <si>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</si>
  <si>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</si>
  <si>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</si>
  <si>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</si>
  <si>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</si>
  <si>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</si>
  <si>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</si>
  <si>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</si>
  <si>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</si>
  <si>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</si>
  <si>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</si>
  <si>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</si>
  <si>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</si>
  <si>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</si>
  <si>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</si>
  <si>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</si>
  <si>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</si>
  <si>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</si>
  <si>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</si>
  <si>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</si>
  <si>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</si>
  <si>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</si>
  <si>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</si>
  <si>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</si>
  <si>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</si>
  <si>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</si>
  <si>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</si>
  <si>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</si>
  <si>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</si>
  <si>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</si>
  <si>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</si>
  <si>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</si>
  <si>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</si>
  <si>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</si>
  <si>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</si>
  <si>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</si>
  <si>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</si>
  <si>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</si>
  <si>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</si>
  <si>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</si>
  <si>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</si>
  <si>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</si>
  <si>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</si>
  <si>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</si>
  <si>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</si>
  <si>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</si>
  <si>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</si>
  <si>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</si>
  <si>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</si>
  <si>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</si>
  <si>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</si>
  <si>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</si>
  <si>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</si>
  <si>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</si>
  <si>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</si>
  <si>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</si>
  <si>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</si>
  <si>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</si>
  <si>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</si>
  <si>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</si>
  <si>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</si>
  <si>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</si>
  <si>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</si>
  <si>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</si>
  <si>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</si>
  <si>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</si>
  <si>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</si>
  <si>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</si>
  <si>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</si>
  <si>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</si>
  <si>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</si>
  <si>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</si>
  <si>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</si>
  <si>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</si>
  <si>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</si>
  <si>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</si>
  <si>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</si>
  <si>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</si>
  <si>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</si>
  <si>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</si>
  <si>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</si>
  <si>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</si>
  <si>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</si>
  <si>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</si>
  <si>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</si>
  <si>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</si>
  <si>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</si>
  <si>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</si>
  <si>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</si>
  <si>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</si>
  <si>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</si>
  <si>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</si>
  <si>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</si>
  <si>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</si>
  <si>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</si>
  <si>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</si>
  <si>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</si>
  <si>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</si>
  <si>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</si>
  <si>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</si>
  <si>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</si>
  <si>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</si>
  <si>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</si>
  <si>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</si>
  <si>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</si>
  <si>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</si>
  <si>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</si>
  <si>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</si>
  <si>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</si>
  <si>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</si>
  <si>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</si>
  <si>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</si>
  <si>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</si>
  <si>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</si>
  <si>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</si>
  <si>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</si>
  <si>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</si>
  <si>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</si>
  <si>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</si>
  <si>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</si>
  <si>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</si>
  <si>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</si>
  <si>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</si>
  <si>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</si>
  <si>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</si>
  <si>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</si>
  <si>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</si>
  <si>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</si>
  <si>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</si>
  <si>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</si>
  <si>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</si>
  <si>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</si>
  <si>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</si>
  <si>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</si>
  <si>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</si>
  <si>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</si>
  <si>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</si>
  <si>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</si>
  <si>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</si>
  <si>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</si>
  <si>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</si>
  <si>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</si>
  <si>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</si>
  <si>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</si>
  <si>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</si>
  <si>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</si>
  <si>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</si>
  <si>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</si>
  <si>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</si>
  <si>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</si>
  <si>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</si>
  <si>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</si>
  <si>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</si>
  <si>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</si>
  <si>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</si>
  <si>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</si>
  <si>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</si>
  <si>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</si>
  <si>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</si>
  <si>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</si>
  <si>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</si>
  <si>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</si>
  <si>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</si>
  <si>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</si>
  <si>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</si>
  <si>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</si>
  <si>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</si>
  <si>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</si>
  <si>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</si>
  <si>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</si>
  <si>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</si>
  <si>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</si>
  <si>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</si>
  <si>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</si>
  <si>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</si>
  <si>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</si>
  <si>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</si>
  <si>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</si>
  <si>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</si>
  <si>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</si>
  <si>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</si>
  <si>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</si>
  <si>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</si>
  <si>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</si>
  <si>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</si>
  <si>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</si>
  <si>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</si>
  <si>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</si>
  <si>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</si>
  <si>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</si>
  <si>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</si>
  <si>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</si>
  <si>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</si>
  <si>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</si>
  <si>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</si>
  <si>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</si>
  <si>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</si>
  <si>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</si>
  <si>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</si>
  <si>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</si>
  <si>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</si>
  <si>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</si>
  <si>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</si>
  <si>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</si>
  <si>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</si>
  <si>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</si>
  <si>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</si>
  <si>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</si>
  <si>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</si>
  <si>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</si>
  <si>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</si>
  <si>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</si>
  <si>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</si>
  <si>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</si>
  <si>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</si>
  <si>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</si>
  <si>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</si>
  <si>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</si>
  <si>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</si>
  <si>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</si>
  <si>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</si>
  <si>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</si>
  <si>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</si>
  <si>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</si>
  <si>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</si>
  <si>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</si>
  <si>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</si>
  <si>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</si>
  <si>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</si>
  <si>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</si>
  <si>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</si>
  <si>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</si>
  <si>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</si>
  <si>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</si>
  <si>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</si>
  <si>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</si>
  <si>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</si>
  <si>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</si>
  <si>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</si>
  <si>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</si>
  <si>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</si>
  <si>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</si>
  <si>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</si>
  <si>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</si>
  <si>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</si>
  <si>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</si>
  <si>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</si>
  <si>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</si>
  <si>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</si>
  <si>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</si>
  <si>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</si>
  <si>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</si>
  <si>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</si>
  <si>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</si>
  <si>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</si>
  <si>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</si>
  <si>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</si>
  <si>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</si>
  <si>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</si>
  <si>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</si>
  <si>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</si>
  <si>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</si>
  <si>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</si>
  <si>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</si>
  <si>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</si>
  <si>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</si>
  <si>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</si>
  <si>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</si>
  <si>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</si>
  <si>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</si>
  <si>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</si>
  <si>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</si>
  <si>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</si>
  <si>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</si>
  <si>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</si>
  <si>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</si>
  <si>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</si>
  <si>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</si>
  <si>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</si>
  <si>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</si>
  <si>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</si>
  <si>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</si>
  <si>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</si>
  <si>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</si>
  <si>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</si>
  <si>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</si>
  <si>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</si>
  <si>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</si>
  <si>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</si>
  <si>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</si>
  <si>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</si>
  <si>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</si>
  <si>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</si>
  <si>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</si>
  <si>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</si>
  <si>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</si>
  <si>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</si>
  <si>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</si>
  <si>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</si>
  <si>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</si>
  <si>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</si>
  <si>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</si>
  <si>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</si>
  <si>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</si>
  <si>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</si>
  <si>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</si>
  <si>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</si>
  <si>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</si>
  <si>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</si>
  <si>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</si>
  <si>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</si>
  <si>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</si>
  <si>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</si>
  <si>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</si>
  <si>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</si>
  <si>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</si>
  <si>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</si>
  <si>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</si>
  <si>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</si>
  <si>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</si>
  <si>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</si>
  <si>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</si>
  <si>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</si>
  <si>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</si>
  <si>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</si>
  <si>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</si>
  <si>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</si>
  <si>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</si>
  <si>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</si>
  <si>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</si>
  <si>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</si>
  <si>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</si>
  <si>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</si>
  <si>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</si>
  <si>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</si>
  <si>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</si>
  <si>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</si>
  <si>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</si>
  <si>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</si>
  <si>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</si>
  <si>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</si>
  <si>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</si>
  <si>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</si>
  <si>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</si>
  <si>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</si>
  <si>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</si>
  <si>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</si>
  <si>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</si>
  <si>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</si>
  <si>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</si>
  <si>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</si>
  <si>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</si>
  <si>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</si>
  <si>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</si>
  <si>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</si>
  <si>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</si>
  <si>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</si>
  <si>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</si>
  <si>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</si>
  <si>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</si>
  <si>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</si>
  <si>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</si>
  <si>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</si>
  <si>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</si>
  <si>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</si>
  <si>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</si>
  <si>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</si>
  <si>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</si>
  <si>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</si>
  <si>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</si>
  <si>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</si>
  <si>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</si>
  <si>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</si>
  <si>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</si>
  <si>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</si>
  <si>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</si>
  <si>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</si>
  <si>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</si>
  <si>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</si>
  <si>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</si>
  <si>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</si>
  <si>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</si>
  <si>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</si>
  <si>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</si>
  <si>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</si>
  <si>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</si>
  <si>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</si>
  <si>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</si>
  <si>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</si>
  <si>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</si>
  <si>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</si>
  <si>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</si>
  <si>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</si>
  <si>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</si>
  <si>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</si>
  <si>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</si>
  <si>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</si>
  <si>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</si>
  <si>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</si>
  <si>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</si>
  <si>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</si>
  <si>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</si>
  <si>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</si>
  <si>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</si>
  <si>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</si>
  <si>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</si>
  <si>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</si>
  <si>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</si>
  <si>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</si>
  <si>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</si>
  <si>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</si>
  <si>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</si>
  <si>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</si>
  <si>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</si>
  <si>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</si>
  <si>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</si>
  <si>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</si>
  <si>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</si>
  <si>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</si>
  <si>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</si>
  <si>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</si>
  <si>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</si>
  <si>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</si>
  <si>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</si>
  <si>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</si>
  <si>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</si>
  <si>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</si>
  <si>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</si>
  <si>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</si>
  <si>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</si>
  <si>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</si>
  <si>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</si>
  <si>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</si>
  <si>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</si>
  <si>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</si>
  <si>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</si>
  <si>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</si>
  <si>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</si>
  <si>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</si>
  <si>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</si>
  <si>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</si>
  <si>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</si>
  <si>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</si>
  <si>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</si>
  <si>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</si>
  <si>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</si>
  <si>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</si>
  <si>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</si>
  <si>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</si>
  <si>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</si>
  <si>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</si>
  <si>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</si>
  <si>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</si>
  <si>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</si>
  <si>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</si>
  <si>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</si>
  <si>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</si>
  <si>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</si>
  <si>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</si>
  <si>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</si>
  <si>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</si>
  <si>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</si>
  <si>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</si>
  <si>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</si>
  <si>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</si>
  <si>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</si>
  <si>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</si>
  <si>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</si>
  <si>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</si>
  <si>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</si>
  <si>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</si>
  <si>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</si>
  <si>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</si>
  <si>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</si>
  <si>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</si>
  <si>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</si>
  <si>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</si>
  <si>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</si>
  <si>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</si>
  <si>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</si>
  <si>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</si>
  <si>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</si>
  <si>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</si>
  <si>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</si>
  <si>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</si>
  <si>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</si>
  <si>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</si>
  <si>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</si>
  <si>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</si>
  <si>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</si>
  <si>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</si>
  <si>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</si>
  <si>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</si>
  <si>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</si>
  <si>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NBASM1502YANJ57</t>
  </si>
  <si>
    <t> NB ASUS VIVO 15 R7-5 16 512 W1</t>
  </si>
  <si>
    <t>Notebook ASUS Vivobook 15, 15.6" FHD LED Backlit,AMD Ryzen 7 5825U 2.0/4.5GHz, 16GB D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</si>
  <si>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</si>
  <si>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</si>
  <si>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</si>
  <si>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</si>
  <si>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</si>
  <si>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</si>
  <si>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</si>
  <si>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</si>
  <si>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</si>
  <si>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</si>
  <si>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</si>
  <si>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</si>
  <si>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</si>
  <si>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</si>
  <si>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</si>
  <si>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</si>
  <si>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</si>
  <si>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</si>
  <si>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</si>
  <si>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</si>
  <si>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</si>
  <si>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</si>
  <si>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</si>
  <si>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</si>
  <si>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</si>
  <si>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</si>
  <si>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</si>
  <si>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</si>
  <si>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</si>
  <si>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</si>
  <si>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</si>
  <si>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</si>
  <si>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</si>
  <si>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</si>
  <si>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</si>
  <si>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</si>
  <si>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</si>
  <si>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</si>
  <si>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</si>
  <si>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</si>
  <si>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</si>
  <si>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</si>
  <si>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</si>
  <si>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</si>
  <si>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</si>
  <si>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</si>
  <si>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</si>
  <si>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</si>
  <si>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</si>
  <si>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</si>
  <si>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</si>
  <si>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</si>
  <si>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</si>
  <si>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</si>
  <si>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</si>
  <si>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</si>
  <si>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</si>
  <si>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</si>
  <si>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</si>
  <si>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</si>
  <si>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</si>
  <si>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</si>
  <si>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</si>
  <si>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</si>
  <si>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</si>
  <si>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</si>
  <si>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</si>
  <si>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</si>
  <si>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</si>
  <si>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</si>
  <si>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</si>
  <si>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</si>
  <si>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</si>
  <si>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</si>
  <si>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</si>
  <si>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</si>
  <si>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</si>
  <si>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</si>
  <si>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</si>
  <si>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</si>
  <si>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</si>
  <si>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</si>
  <si>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</si>
  <si>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</si>
  <si>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</si>
  <si>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</si>
  <si>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</si>
  <si>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</si>
  <si>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</si>
  <si>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</si>
  <si>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</si>
  <si>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</si>
  <si>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</si>
  <si>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</si>
  <si>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</si>
  <si>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</si>
  <si>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</si>
  <si>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</si>
  <si>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</si>
  <si>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</si>
  <si>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</si>
  <si>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</si>
  <si>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</si>
  <si>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</si>
  <si>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</si>
  <si>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</si>
  <si>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</si>
  <si>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</si>
  <si>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</si>
  <si>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</si>
  <si>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</si>
  <si>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</si>
  <si>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</si>
  <si>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</si>
  <si>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</si>
  <si>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</si>
  <si>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</si>
  <si>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</si>
  <si>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</si>
  <si>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</si>
  <si>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</si>
  <si>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</si>
  <si>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</si>
  <si>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</si>
  <si>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</si>
  <si>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</si>
  <si>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</si>
  <si>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</si>
  <si>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</si>
  <si>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</si>
  <si>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</si>
  <si>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</si>
  <si>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</si>
  <si>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</si>
  <si>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</si>
  <si>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</si>
  <si>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</si>
  <si>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</si>
  <si>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</si>
  <si>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</si>
  <si>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</si>
  <si>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</si>
  <si>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</si>
  <si>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</si>
  <si>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</si>
  <si>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</si>
  <si>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</si>
  <si>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</si>
  <si>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</si>
  <si>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</si>
  <si>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</si>
  <si>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</si>
  <si>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</si>
  <si>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</si>
  <si>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</si>
  <si>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</si>
  <si>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</si>
  <si>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</si>
  <si>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</si>
  <si>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</si>
  <si>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</si>
  <si>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</si>
  <si>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</si>
  <si>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</si>
  <si>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</si>
  <si>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</si>
  <si>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</si>
  <si>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</si>
  <si>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</si>
  <si>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</si>
  <si>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</si>
  <si>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</si>
  <si>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</si>
  <si>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</si>
  <si>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</si>
  <si>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</si>
  <si>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</si>
  <si>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</si>
  <si>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</si>
  <si>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</si>
  <si>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</si>
  <si>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</si>
  <si>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</si>
  <si>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</si>
  <si>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</si>
  <si>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</si>
  <si>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</si>
  <si>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</si>
  <si>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</si>
  <si>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</si>
  <si>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</si>
  <si>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</si>
  <si>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</si>
  <si>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</si>
  <si>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</si>
  <si>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</si>
  <si>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</si>
  <si>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</si>
  <si>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</si>
  <si>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</si>
  <si>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</si>
  <si>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</si>
  <si>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</si>
  <si>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</si>
  <si>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</si>
  <si>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</si>
  <si>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</si>
  <si>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</si>
  <si>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</si>
  <si>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</si>
  <si>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</si>
  <si>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</si>
  <si>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</si>
  <si>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</si>
  <si>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</si>
  <si>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</si>
  <si>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</si>
  <si>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</si>
  <si>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</si>
  <si>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</si>
  <si>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</si>
  <si>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</si>
  <si>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</si>
  <si>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</si>
  <si>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</si>
  <si>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</si>
  <si>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</si>
  <si>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</si>
  <si>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</si>
  <si>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</si>
  <si>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</si>
  <si>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</si>
  <si>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</si>
  <si>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</si>
  <si>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</si>
  <si>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</si>
  <si>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</si>
  <si>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</si>
  <si>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</si>
  <si>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</si>
  <si>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</si>
  <si>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</si>
  <si>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</si>
  <si>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</si>
  <si>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</si>
  <si>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</si>
  <si>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</si>
  <si>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</si>
  <si>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</si>
  <si>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</si>
  <si>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</si>
  <si>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</si>
  <si>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</si>
  <si>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</si>
  <si>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</si>
  <si>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</si>
  <si>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</si>
  <si>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</si>
  <si>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</si>
  <si>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</si>
  <si>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</si>
  <si>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</si>
  <si>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</si>
  <si>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</si>
  <si>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</si>
  <si>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</si>
  <si>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</si>
  <si>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</si>
  <si>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</si>
  <si>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</si>
  <si>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</si>
  <si>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</si>
  <si>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</si>
  <si>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</si>
  <si>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</si>
  <si>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</si>
  <si>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</si>
  <si>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</si>
  <si>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</si>
  <si>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</si>
  <si>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</si>
  <si>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</si>
  <si>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</si>
  <si>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</si>
  <si>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</si>
  <si>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</si>
  <si>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</si>
  <si>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</si>
  <si>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</si>
  <si>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</si>
  <si>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</si>
  <si>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</si>
  <si>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</si>
  <si>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</si>
  <si>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</si>
  <si>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</si>
  <si>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</si>
  <si>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</si>
  <si>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</si>
  <si>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</si>
  <si>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</si>
  <si>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</si>
  <si>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</si>
  <si>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</si>
  <si>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</si>
  <si>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</si>
  <si>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</si>
  <si>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</si>
  <si>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</si>
  <si>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</si>
  <si>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</si>
  <si>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</si>
  <si>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</si>
  <si>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</si>
  <si>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</si>
  <si>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</si>
  <si>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</si>
  <si>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</si>
  <si>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</si>
  <si>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</si>
  <si>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</si>
  <si>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</si>
  <si>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</si>
  <si>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</si>
  <si>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</si>
  <si>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</si>
  <si>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</si>
  <si>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</si>
  <si>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</si>
  <si>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</si>
  <si>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</si>
  <si>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</si>
  <si>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</si>
  <si>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</si>
  <si>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</si>
  <si>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</si>
  <si>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</si>
  <si>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</si>
  <si>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</si>
  <si>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</si>
  <si>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</si>
  <si>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</si>
  <si>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</si>
  <si>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</si>
  <si>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</si>
  <si>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</si>
  <si>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</si>
  <si>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</si>
  <si>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</si>
  <si>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</si>
  <si>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</si>
  <si>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</si>
  <si>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</si>
  <si>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</si>
  <si>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</si>
  <si>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</si>
  <si>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</si>
  <si>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</si>
  <si>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</si>
  <si>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</si>
  <si>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</si>
  <si>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</si>
  <si>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</si>
  <si>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</si>
  <si>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</si>
  <si>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</si>
  <si>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</si>
  <si>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</si>
  <si>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</si>
  <si>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</si>
  <si>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</si>
  <si>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</si>
  <si>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</si>
  <si>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</si>
  <si>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</si>
  <si>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</si>
  <si>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</si>
  <si>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</si>
  <si>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</si>
  <si>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</si>
  <si>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</si>
  <si>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</si>
  <si>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</si>
  <si>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</si>
  <si>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</si>
  <si>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</si>
  <si>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</si>
  <si>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</si>
  <si>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</si>
  <si>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</si>
  <si>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</si>
  <si>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</si>
  <si>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</si>
  <si>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</si>
  <si>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</si>
  <si>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</si>
  <si>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</si>
  <si>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</si>
  <si>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</si>
  <si>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</si>
  <si>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</si>
  <si>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</si>
  <si>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</si>
  <si>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</si>
  <si>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</si>
  <si>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</si>
  <si>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</si>
  <si>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</si>
  <si>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</si>
  <si>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</si>
  <si>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</si>
  <si>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</si>
  <si>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</si>
  <si>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</si>
  <si>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</si>
  <si>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</si>
  <si>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</si>
  <si>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</si>
  <si>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</si>
  <si>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</si>
  <si>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</si>
  <si>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</si>
  <si>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</si>
  <si>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</si>
  <si>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</si>
  <si>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</si>
  <si>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</si>
  <si>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</si>
  <si>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</si>
  <si>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</si>
  <si>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</si>
  <si>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</si>
  <si>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</si>
  <si>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</si>
  <si>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</si>
  <si>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</si>
  <si>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</si>
  <si>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</si>
  <si>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</si>
  <si>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</si>
  <si>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</si>
  <si>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</si>
  <si>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</si>
  <si>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</si>
  <si>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</si>
  <si>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</si>
  <si>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</si>
  <si>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</si>
  <si>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</si>
  <si>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</si>
  <si>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</si>
  <si>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</si>
  <si>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</si>
  <si>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</si>
  <si>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</si>
  <si>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</si>
  <si>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</si>
  <si>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</si>
  <si>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</si>
  <si>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</si>
  <si>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</si>
  <si>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</si>
  <si>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</si>
  <si>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</si>
  <si>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</si>
  <si>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</si>
  <si>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</si>
  <si>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</si>
  <si>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</si>
  <si>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</si>
  <si>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</si>
  <si>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</si>
  <si>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</si>
  <si>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</si>
  <si>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</si>
  <si>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</si>
  <si>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</si>
  <si>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</si>
  <si>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</si>
  <si>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</si>
  <si>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</si>
  <si>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</si>
  <si>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</si>
  <si>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</si>
  <si>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</si>
  <si>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</si>
  <si>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</si>
  <si>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</si>
  <si>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</si>
  <si>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</si>
  <si>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</si>
  <si>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</si>
  <si>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</si>
  <si>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</si>
  <si>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</si>
  <si>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</si>
  <si>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</si>
  <si>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</si>
  <si>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</si>
  <si>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</si>
  <si>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</si>
  <si>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</si>
  <si>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</si>
  <si>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</si>
  <si>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</si>
  <si>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</si>
  <si>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</si>
  <si>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</si>
  <si>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</si>
  <si>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</si>
  <si>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</si>
  <si>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</si>
  <si>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</si>
  <si>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</si>
  <si>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</si>
  <si>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</si>
  <si>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</si>
  <si>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</si>
  <si>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</si>
  <si>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</si>
  <si>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</si>
  <si>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</si>
  <si>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</si>
  <si>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</si>
  <si>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</si>
  <si>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</si>
  <si>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</si>
  <si>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</si>
  <si>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</si>
  <si>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</si>
  <si>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</si>
  <si>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</si>
  <si>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</si>
  <si>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</si>
  <si>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</si>
  <si>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</si>
  <si>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</si>
  <si>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</si>
  <si>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</si>
  <si>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</si>
  <si>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</si>
  <si>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</si>
  <si>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</si>
  <si>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</si>
  <si>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</si>
  <si>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</si>
  <si>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</si>
  <si>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</si>
  <si>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</si>
  <si>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</si>
  <si>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</si>
  <si>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</si>
  <si>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</si>
  <si>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</si>
  <si>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</si>
  <si>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</si>
  <si>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</si>
  <si>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</si>
  <si>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</si>
  <si>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</si>
  <si>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</si>
  <si>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</si>
  <si>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</si>
  <si>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</si>
  <si>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</si>
  <si>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</si>
  <si>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</si>
  <si>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</si>
  <si>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</si>
  <si>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</si>
  <si>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</si>
  <si>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</si>
  <si>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</si>
  <si>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</si>
  <si>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</si>
  <si>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</si>
  <si>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</si>
  <si>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</si>
  <si>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</si>
  <si>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</si>
  <si>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</si>
  <si>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</si>
  <si>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</si>
  <si>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</si>
  <si>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</si>
  <si>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</si>
  <si>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</si>
  <si>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</si>
  <si>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</si>
  <si>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</si>
  <si>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</si>
  <si>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</si>
  <si>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</si>
  <si>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</si>
  <si>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</si>
  <si>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</si>
  <si>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</si>
  <si>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</si>
  <si>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</si>
  <si>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</si>
  <si>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</si>
  <si>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</si>
  <si>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</si>
  <si>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</si>
  <si>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</si>
  <si>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</si>
  <si>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</si>
  <si>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</si>
  <si>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</si>
  <si>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</si>
  <si>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</si>
  <si>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</si>
  <si>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</si>
  <si>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</si>
  <si>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</si>
  <si>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</si>
  <si>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</si>
  <si>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</si>
  <si>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</si>
  <si>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</si>
  <si>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</si>
  <si>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</si>
  <si>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</si>
  <si>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</si>
  <si>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</si>
  <si>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</si>
  <si>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</si>
  <si>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</si>
  <si>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</si>
  <si>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</si>
  <si>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</si>
  <si>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</si>
  <si>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</si>
  <si>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</si>
  <si>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</si>
  <si>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</si>
  <si>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</si>
  <si>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</si>
  <si>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</si>
  <si>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</si>
  <si>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</si>
  <si>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</si>
  <si>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</si>
  <si>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</si>
  <si>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</si>
  <si>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</si>
  <si>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</si>
  <si>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</si>
  <si>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</si>
  <si>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</si>
  <si>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</si>
  <si>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</si>
  <si>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</si>
  <si>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</si>
  <si>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</si>
  <si>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</si>
  <si>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</si>
  <si>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</si>
  <si>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</si>
  <si>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</si>
  <si>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</si>
  <si>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</si>
  <si>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</si>
  <si>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</si>
  <si>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</si>
  <si>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</si>
  <si>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</si>
  <si>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</si>
  <si>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</si>
  <si>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</si>
  <si>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</si>
  <si>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</si>
  <si>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</si>
  <si>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</si>
  <si>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</si>
  <si>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</si>
  <si>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</si>
  <si>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</si>
  <si>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</si>
  <si>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</si>
  <si>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</si>
  <si>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</si>
  <si>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</si>
  <si>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</si>
  <si>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</si>
  <si>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</si>
  <si>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</si>
  <si>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</si>
  <si>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</si>
  <si>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</si>
  <si>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</si>
  <si>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</si>
  <si>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</si>
  <si>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</si>
  <si>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</si>
  <si>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</si>
  <si>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</si>
  <si>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</si>
  <si>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</si>
  <si>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</si>
  <si>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</si>
  <si>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</si>
  <si>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</si>
  <si>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</si>
  <si>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</si>
  <si>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</si>
  <si>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</si>
  <si>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</si>
  <si>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</si>
  <si>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</si>
  <si>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</si>
  <si>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</si>
  <si>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</si>
  <si>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</si>
  <si>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</si>
  <si>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</si>
  <si>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</si>
  <si>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</si>
  <si>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</si>
  <si>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</si>
  <si>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</si>
  <si>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</si>
  <si>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</si>
  <si>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</si>
  <si>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</si>
  <si>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</si>
  <si>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</si>
  <si>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</si>
  <si>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</si>
  <si>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</si>
  <si>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</si>
  <si>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</si>
  <si>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</si>
  <si>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</si>
  <si>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</si>
  <si>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</si>
  <si>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</si>
  <si>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</si>
  <si>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</si>
  <si>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</si>
  <si>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</si>
  <si>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</si>
  <si>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</si>
  <si>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</si>
  <si>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</si>
  <si>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</si>
  <si>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</si>
  <si>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</si>
  <si>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</si>
  <si>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</si>
  <si>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</si>
  <si>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</si>
  <si>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</si>
  <si>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</si>
  <si>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</si>
  <si>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</si>
  <si>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</si>
  <si>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</si>
  <si>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</si>
  <si>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</si>
  <si>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</si>
  <si>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</si>
  <si>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</si>
  <si>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</si>
  <si>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</si>
  <si>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</si>
  <si>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</si>
  <si>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</si>
  <si>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</si>
  <si>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</si>
  <si>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</si>
  <si>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</si>
  <si>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</si>
  <si>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</si>
  <si>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</si>
  <si>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</si>
  <si>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</si>
  <si>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</si>
  <si>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</si>
  <si>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</si>
  <si>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</si>
  <si>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</si>
  <si>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</si>
  <si>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</si>
  <si>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</si>
  <si>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</si>
  <si>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</si>
  <si>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</si>
  <si>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</si>
  <si>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</si>
  <si>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</si>
  <si>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</si>
  <si>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</si>
  <si>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</si>
  <si>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</si>
  <si>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</si>
  <si>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</si>
  <si>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</si>
  <si>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</si>
  <si>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</si>
  <si>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</si>
  <si>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</si>
  <si>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</si>
  <si>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</si>
  <si>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</si>
  <si>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</si>
  <si>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</si>
  <si>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</si>
  <si>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</si>
  <si>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</si>
  <si>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</si>
  <si>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</si>
  <si>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</si>
  <si>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</si>
  <si>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</si>
  <si>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</si>
  <si>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</si>
  <si>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</si>
  <si>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</si>
  <si>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</si>
  <si>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</si>
  <si>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</si>
  <si>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</si>
  <si>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</si>
  <si>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</si>
  <si>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</si>
  <si>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</si>
  <si>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</si>
  <si>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</si>
  <si>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</si>
  <si>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</si>
  <si>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</si>
  <si>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</si>
  <si>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</si>
  <si>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</si>
  <si>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</si>
  <si>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</si>
  <si>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</si>
  <si>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</si>
  <si>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</si>
  <si>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</si>
  <si>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</si>
  <si>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</si>
  <si>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</si>
  <si>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</si>
  <si>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</si>
  <si>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</si>
  <si>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</si>
  <si>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</si>
  <si>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</si>
  <si>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</si>
  <si>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</si>
  <si>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</si>
  <si>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</si>
  <si>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</si>
  <si>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</si>
  <si>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</si>
  <si>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</si>
  <si>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</si>
  <si>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</si>
  <si>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</si>
  <si>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</si>
  <si>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</si>
  <si>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</si>
  <si>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</si>
  <si>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</si>
  <si>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</si>
  <si>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</si>
  <si>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</si>
  <si>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</si>
  <si>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</si>
  <si>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</si>
  <si>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</si>
  <si>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</si>
  <si>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</si>
  <si>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</si>
  <si>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</si>
  <si>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</si>
  <si>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</si>
  <si>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</si>
  <si>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</si>
  <si>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</si>
  <si>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</si>
  <si>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</si>
  <si>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</si>
  <si>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</si>
  <si>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</si>
  <si>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</si>
  <si>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</si>
  <si>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</si>
  <si>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</si>
  <si>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</si>
  <si>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</si>
  <si>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</si>
  <si>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</si>
  <si>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SSDWDS200T1X0M</t>
  </si>
  <si>
    <t> SSD WD BLACK 8100 2TB NVME</t>
  </si>
  <si>
    <t>Unidad de Estado Solido Interno Western Digital WD_BLACK SN8100 NVMe 2TB, 14900 MB/s[</t>
  </si>
  <si>
    <t>QNAP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</si>
  <si>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</si>
  <si>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</si>
  <si>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</si>
  <si>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</si>
  <si>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</si>
  <si>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</si>
  <si>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</si>
  <si>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</si>
  <si>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</si>
  <si>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</si>
  <si>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</si>
  <si>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</si>
  <si>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</si>
  <si>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</si>
  <si>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</si>
  <si>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</si>
  <si>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</si>
  <si>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</si>
  <si>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</si>
  <si>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</si>
  <si>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</si>
  <si>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</si>
  <si>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</si>
  <si>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</si>
  <si>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</si>
  <si>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</si>
  <si>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</si>
  <si>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</si>
  <si>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</si>
  <si>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</si>
  <si>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</si>
  <si>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</si>
  <si>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</si>
  <si>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</si>
  <si>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</si>
  <si>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</si>
  <si>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</si>
  <si>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</si>
  <si>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</si>
  <si>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</si>
  <si>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</si>
  <si>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</si>
  <si>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</si>
  <si>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</si>
  <si>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</si>
  <si>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</si>
  <si>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</si>
  <si>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</si>
  <si>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</si>
  <si>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</si>
  <si>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</si>
  <si>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</si>
  <si>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</si>
  <si>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</si>
  <si>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</si>
  <si>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</si>
  <si>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</si>
  <si>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</si>
  <si>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</si>
  <si>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</si>
  <si>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</si>
  <si>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</si>
  <si>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</si>
  <si>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</si>
  <si>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</si>
  <si>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</si>
  <si>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</si>
  <si>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</si>
  <si>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</si>
  <si>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</si>
  <si>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</si>
  <si>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</si>
  <si>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</si>
  <si>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</si>
  <si>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</si>
  <si>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</si>
  <si>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</si>
  <si>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</si>
  <si>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</si>
  <si>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</si>
  <si>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</si>
  <si>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</si>
  <si>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</si>
  <si>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</si>
  <si>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</si>
  <si>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</si>
  <si>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</si>
  <si>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</si>
  <si>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</si>
  <si>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</si>
  <si>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</si>
  <si>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</si>
  <si>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</si>
  <si>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</si>
  <si>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</si>
  <si>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</si>
  <si>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</si>
  <si>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</si>
  <si>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</si>
  <si>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</si>
  <si>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</si>
  <si>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</si>
  <si>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</si>
  <si>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</si>
  <si>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</si>
  <si>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</si>
  <si>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</si>
  <si>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</si>
  <si>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</si>
  <si>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</si>
  <si>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</si>
  <si>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</si>
  <si>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</si>
  <si>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</si>
  <si>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</si>
  <si>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</si>
  <si>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</si>
  <si>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</si>
  <si>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</si>
  <si>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</si>
  <si>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</si>
  <si>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</si>
  <si>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</si>
  <si>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</si>
  <si>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</si>
  <si>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</si>
  <si>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</si>
  <si>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</si>
  <si>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</si>
  <si>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</si>
  <si>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</si>
  <si>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</si>
  <si>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</si>
  <si>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</si>
  <si>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</si>
  <si>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</si>
  <si>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</si>
  <si>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</si>
  <si>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</si>
  <si>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</si>
  <si>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</si>
  <si>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</si>
  <si>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</si>
  <si>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</si>
  <si>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</si>
  <si>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</si>
  <si>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</si>
  <si>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</si>
  <si>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</si>
  <si>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</si>
  <si>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</si>
  <si>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</si>
  <si>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</si>
  <si>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</si>
  <si>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</si>
  <si>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</si>
  <si>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</si>
  <si>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</si>
  <si>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</si>
  <si>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</si>
  <si>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</si>
  <si>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</si>
  <si>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</si>
  <si>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</si>
  <si>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</si>
  <si>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</si>
  <si>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</si>
  <si>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</si>
  <si>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</si>
  <si>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</si>
  <si>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</si>
  <si>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</si>
  <si>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</si>
  <si>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</si>
  <si>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</si>
  <si>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</si>
  <si>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</si>
  <si>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</si>
  <si>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</si>
  <si>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</si>
  <si>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</si>
  <si>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</si>
  <si>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</si>
  <si>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</si>
  <si>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</si>
  <si>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</si>
  <si>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</si>
  <si>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</si>
  <si>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</si>
  <si>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</si>
  <si>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</si>
  <si>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</si>
  <si>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</si>
  <si>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</si>
  <si>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</si>
  <si>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</si>
  <si>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</si>
  <si>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</si>
  <si>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</si>
  <si>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</si>
  <si>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</si>
  <si>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</si>
  <si>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</si>
  <si>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</si>
  <si>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</si>
  <si>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</si>
  <si>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</si>
  <si>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</si>
  <si>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</si>
  <si>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</si>
  <si>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</si>
  <si>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</si>
  <si>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</si>
  <si>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</si>
  <si>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</si>
  <si>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</si>
  <si>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</si>
  <si>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</si>
  <si>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</si>
  <si>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</si>
  <si>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</si>
  <si>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</si>
  <si>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</si>
  <si>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</si>
  <si>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</si>
  <si>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</si>
  <si>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</si>
  <si>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</si>
  <si>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</si>
  <si>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</si>
  <si>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</si>
  <si>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</si>
  <si>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</si>
  <si>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</si>
  <si>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</si>
  <si>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</si>
  <si>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</si>
  <si>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</si>
  <si>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</si>
  <si>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</si>
  <si>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</si>
  <si>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</si>
  <si>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</si>
  <si>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</si>
  <si>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</si>
  <si>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</si>
  <si>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</si>
  <si>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</si>
  <si>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</si>
  <si>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</si>
  <si>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</si>
  <si>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</si>
  <si>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</si>
  <si>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</si>
  <si>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</si>
  <si>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</si>
  <si>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</si>
  <si>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</si>
  <si>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</si>
  <si>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</si>
  <si>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</si>
  <si>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</si>
  <si>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</si>
  <si>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</si>
  <si>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</si>
  <si>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</si>
  <si>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</si>
  <si>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</si>
  <si>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</si>
  <si>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</si>
  <si>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</si>
  <si>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</si>
  <si>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</si>
  <si>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</si>
  <si>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</si>
  <si>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</si>
  <si>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</si>
  <si>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</si>
  <si>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</si>
  <si>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</si>
  <si>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</si>
  <si>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</si>
  <si>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</si>
  <si>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</si>
  <si>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</si>
  <si>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</si>
  <si>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</si>
  <si>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</si>
  <si>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</si>
  <si>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</si>
  <si>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</si>
  <si>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</si>
  <si>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</si>
  <si>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</si>
  <si>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</si>
  <si>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</si>
  <si>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</si>
  <si>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</si>
  <si>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</si>
  <si>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</si>
  <si>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</si>
  <si>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</si>
  <si>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</si>
  <si>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</si>
  <si>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</si>
  <si>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</si>
  <si>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</si>
  <si>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</si>
  <si>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</si>
  <si>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</si>
  <si>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</si>
  <si>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</si>
  <si>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</si>
  <si>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</si>
  <si>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</si>
  <si>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</si>
  <si>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</si>
  <si>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</si>
  <si>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</si>
  <si>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</si>
  <si>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</si>
  <si>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</si>
  <si>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</si>
  <si>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</si>
  <si>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</si>
  <si>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</si>
  <si>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</si>
  <si>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</si>
  <si>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</si>
  <si>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</si>
  <si>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</si>
  <si>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</si>
  <si>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</si>
  <si>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</si>
  <si>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</si>
  <si>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</si>
  <si>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</si>
  <si>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</si>
  <si>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</si>
  <si>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</si>
  <si>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</si>
  <si>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</si>
  <si>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</si>
  <si>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</si>
  <si>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</si>
  <si>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</si>
  <si>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</si>
  <si>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</si>
  <si>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</si>
  <si>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</si>
  <si>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</si>
  <si>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</si>
  <si>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</si>
  <si>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</si>
  <si>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</si>
  <si>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</si>
  <si>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</si>
  <si>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</si>
  <si>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</si>
  <si>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</si>
  <si>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</si>
  <si>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</si>
  <si>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</si>
  <si>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</si>
  <si>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</si>
  <si>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</si>
  <si>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</si>
  <si>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</si>
  <si>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</si>
  <si>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</si>
  <si>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</si>
  <si>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</si>
  <si>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</si>
  <si>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</si>
  <si>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</si>
  <si>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</si>
  <si>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</si>
  <si>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</si>
  <si>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</si>
  <si>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</si>
  <si>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</si>
  <si>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</si>
  <si>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</si>
  <si>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</si>
  <si>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</si>
  <si>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</si>
  <si>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</si>
  <si>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</si>
  <si>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</si>
  <si>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</si>
  <si>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</si>
  <si>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</si>
  <si>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</si>
  <si>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</si>
  <si>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</si>
  <si>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</si>
  <si>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</si>
  <si>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</si>
  <si>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</si>
  <si>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</si>
  <si>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</si>
  <si>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</si>
  <si>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</si>
  <si>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</si>
  <si>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</si>
  <si>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</si>
  <si>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</si>
  <si>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</si>
  <si>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</si>
  <si>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</si>
  <si>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</si>
  <si>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</si>
  <si>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</si>
  <si>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</si>
  <si>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</si>
  <si>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</si>
  <si>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</si>
  <si>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</si>
  <si>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</si>
  <si>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</si>
  <si>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</si>
  <si>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</si>
  <si>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</si>
  <si>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</si>
  <si>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</si>
  <si>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</si>
  <si>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</si>
  <si>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</si>
  <si>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</si>
  <si>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</si>
  <si>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</si>
  <si>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</si>
  <si>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</si>
  <si>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</si>
  <si>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</si>
  <si>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</si>
  <si>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</si>
  <si>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</si>
  <si>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</si>
  <si>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</si>
  <si>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</si>
  <si>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</si>
  <si>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</si>
  <si>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</si>
  <si>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</si>
  <si>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</si>
  <si>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</si>
  <si>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</si>
  <si>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</si>
  <si>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</si>
  <si>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</si>
  <si>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</si>
  <si>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</si>
  <si>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</si>
  <si>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</si>
  <si>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</si>
  <si>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</si>
  <si>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</si>
  <si>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</si>
  <si>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</si>
  <si>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</si>
  <si>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</si>
  <si>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</si>
  <si>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</si>
  <si>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</si>
  <si>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</si>
  <si>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</si>
  <si>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</si>
  <si>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</si>
  <si>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</si>
  <si>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</si>
  <si>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</si>
  <si>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</si>
  <si>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</si>
  <si>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</si>
  <si>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</si>
  <si>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</si>
  <si>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</si>
  <si>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</si>
  <si>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</si>
  <si>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</si>
  <si>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</si>
  <si>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</si>
  <si>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</si>
  <si>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</si>
  <si>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</si>
  <si>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</si>
  <si>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</si>
  <si>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</si>
  <si>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</si>
  <si>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</si>
  <si>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</si>
  <si>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</si>
  <si>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</si>
  <si>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</si>
  <si>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</si>
  <si>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</si>
  <si>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</si>
  <si>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</si>
  <si>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</si>
  <si>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</si>
  <si>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</si>
  <si>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</si>
  <si>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</si>
  <si>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</si>
  <si>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</si>
  <si>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</si>
  <si>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</si>
  <si>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</si>
  <si>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</si>
  <si>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</si>
  <si>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</si>
  <si>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</si>
  <si>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</si>
  <si>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</si>
  <si>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</si>
  <si>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</si>
  <si>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</si>
  <si>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</si>
  <si>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</si>
  <si>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</si>
  <si>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</si>
  <si>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</si>
  <si>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</si>
  <si>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</si>
  <si>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</si>
  <si>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</si>
  <si>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</si>
  <si>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</si>
  <si>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</si>
  <si>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</si>
  <si>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</si>
  <si>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</si>
  <si>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</si>
  <si>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</si>
  <si>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</si>
  <si>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</si>
  <si>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</si>
  <si>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MONLE64A4MARXLA</t>
  </si>
  <si>
    <t> T24-40 23.8 FHD HDMI/DP/VG/USB</t>
  </si>
  <si>
    <t>Monitor Lenovo ThinkVision T24-40 23.8" WLED IPS HDMIx1/DPx1/VGAx1/USB-Ax3/USB-Bx1/US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</si>
  <si>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</si>
  <si>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</si>
  <si>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</si>
  <si>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</si>
  <si>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</si>
  <si>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</si>
  <si>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</si>
  <si>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</si>
  <si>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</si>
  <si>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</si>
  <si>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</si>
  <si>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</si>
  <si>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</si>
  <si>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</si>
  <si>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</si>
  <si>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</si>
  <si>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</si>
  <si>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</si>
  <si>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</si>
  <si>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</si>
  <si>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</si>
  <si>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</si>
  <si>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</si>
  <si>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</si>
  <si>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</si>
  <si>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</si>
  <si>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</si>
  <si>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</si>
  <si>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</si>
  <si>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</si>
  <si>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</si>
  <si>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</si>
  <si>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PSMSA750BNPCIE5</t>
  </si>
  <si>
    <t> PS MS A750BN 750W 80PB PCIE5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</si>
  <si>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</si>
  <si>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</si>
  <si>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</si>
  <si>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</si>
  <si>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</si>
  <si>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</si>
  <si>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</si>
  <si>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</si>
  <si>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</si>
  <si>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</si>
  <si>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</si>
  <si>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</si>
  <si>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</si>
  <si>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</si>
  <si>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</si>
  <si>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</si>
  <si>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</si>
  <si>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</si>
  <si>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</si>
  <si>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</si>
  <si>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</si>
  <si>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</si>
  <si>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</si>
  <si>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</si>
  <si>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</si>
  <si>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</si>
  <si>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</si>
  <si>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</si>
  <si>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</si>
  <si>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</si>
  <si>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</si>
  <si>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</si>
  <si>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</si>
  <si>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</si>
  <si>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</si>
  <si>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</si>
  <si>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</si>
  <si>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</si>
  <si>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</si>
  <si>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</si>
  <si>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</si>
  <si>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</si>
  <si>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</si>
  <si>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</si>
  <si>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</si>
  <si>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</si>
  <si>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B850M EAGLE WIFI6E ICE, Chipset AMD B850, Socket AMD AM5, ATX[@@</t>
  </si>
  <si>
    <t>Motherboard GIGABYTE X870E AORUS ELITE X3D ICE, Chipset AMD X870E, Socket AMD AM5, AT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</si>
  <si>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</si>
  <si>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</si>
  <si>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</si>
  <si>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</si>
  <si>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</si>
  <si>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</si>
  <si>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</si>
  <si>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</si>
  <si>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</si>
  <si>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</si>
  <si>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</si>
  <si>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</si>
  <si>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</si>
  <si>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</si>
  <si>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</si>
  <si>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</si>
  <si>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</si>
  <si>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</si>
  <si>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</si>
  <si>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</si>
  <si>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</si>
  <si>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</si>
  <si>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</si>
  <si>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</si>
  <si>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</si>
  <si>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</si>
  <si>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</si>
  <si>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</si>
  <si>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</si>
  <si>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</si>
  <si>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</si>
  <si>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</si>
  <si>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</si>
  <si>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</si>
  <si>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</si>
  <si>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</si>
  <si>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</si>
  <si>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</si>
  <si>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</si>
  <si>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</si>
  <si>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</si>
  <si>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</si>
  <si>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</si>
  <si>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</si>
  <si>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</si>
  <si>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</si>
  <si>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</si>
  <si>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</si>
  <si>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</si>
  <si>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</si>
  <si>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</si>
  <si>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</si>
  <si>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</si>
  <si>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</si>
  <si>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</si>
  <si>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</si>
  <si>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</si>
  <si>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</si>
  <si>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</si>
  <si>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</si>
  <si>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</si>
  <si>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</si>
  <si>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</si>
  <si>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</si>
  <si>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</si>
  <si>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</si>
  <si>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</si>
  <si>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</si>
  <si>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</si>
  <si>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</si>
  <si>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</si>
  <si>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</si>
  <si>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</si>
  <si>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</si>
  <si>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</si>
  <si>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</si>
  <si>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</si>
  <si>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</si>
  <si>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</si>
  <si>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</si>
  <si>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</si>
  <si>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</si>
  <si>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</si>
  <si>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</si>
  <si>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</si>
  <si>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</si>
  <si>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</si>
  <si>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</si>
  <si>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</si>
  <si>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</si>
  <si>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</si>
  <si>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</si>
  <si>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</si>
  <si>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</si>
  <si>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</si>
  <si>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</si>
  <si>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</si>
  <si>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</si>
  <si>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</si>
  <si>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</si>
  <si>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</si>
  <si>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</si>
  <si>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</si>
  <si>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</si>
  <si>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</si>
  <si>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</si>
  <si>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</si>
  <si>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</si>
  <si>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</si>
  <si>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</si>
  <si>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</si>
  <si>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</si>
  <si>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</si>
  <si>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</si>
  <si>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</si>
  <si>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</si>
  <si>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</si>
  <si>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</si>
  <si>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</si>
  <si>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</si>
  <si>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</si>
  <si>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</si>
  <si>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</si>
  <si>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</si>
  <si>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</si>
  <si>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</si>
  <si>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</si>
  <si>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</si>
  <si>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</si>
  <si>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</si>
  <si>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</si>
  <si>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</si>
  <si>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</si>
  <si>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</si>
  <si>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</si>
  <si>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</si>
  <si>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</si>
  <si>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</si>
  <si>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</si>
  <si>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</si>
  <si>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</si>
  <si>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</si>
  <si>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</si>
  <si>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</si>
  <si>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</si>
  <si>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</si>
  <si>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</si>
  <si>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</si>
  <si>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</si>
  <si>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</si>
  <si>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</si>
  <si>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</si>
  <si>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</si>
  <si>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</si>
  <si>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</si>
  <si>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</si>
  <si>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</si>
  <si>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</si>
  <si>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</si>
  <si>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</si>
  <si>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</si>
  <si>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</si>
  <si>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</si>
  <si>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</si>
  <si>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</si>
  <si>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</si>
  <si>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</si>
  <si>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</si>
  <si>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</si>
  <si>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</si>
  <si>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</si>
  <si>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</si>
  <si>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</si>
  <si>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</si>
  <si>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</si>
  <si>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</si>
  <si>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</si>
  <si>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</si>
  <si>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</si>
  <si>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</si>
  <si>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</si>
  <si>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</si>
  <si>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</si>
  <si>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</si>
  <si>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</si>
  <si>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</si>
  <si>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</si>
  <si>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</si>
  <si>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</si>
  <si>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VD4GBRX6500XTEA</t>
  </si>
  <si>
    <t> VGA 4G GB RX6500XT EAGLE GD6</t>
  </si>
  <si>
    <t>Tarjeta de video Gigabyte Radeon RX 6500 XT EAGLE4G, 4 GB GDDR6, PCI-e 4.0[@@@]Puerto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</si>
  <si>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</si>
  <si>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</si>
  <si>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</si>
  <si>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</si>
  <si>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</si>
  <si>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</si>
  <si>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</si>
  <si>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</si>
  <si>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</si>
  <si>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</si>
  <si>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</si>
  <si>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</si>
  <si>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</si>
  <si>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</si>
  <si>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</si>
  <si>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</si>
  <si>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</si>
  <si>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</si>
  <si>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</si>
  <si>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</si>
  <si>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</si>
  <si>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</si>
  <si>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</si>
  <si>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</si>
  <si>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</si>
  <si>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</si>
  <si>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</si>
  <si>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</si>
  <si>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</si>
  <si>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</si>
  <si>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</si>
  <si>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</si>
  <si>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</si>
  <si>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</si>
  <si>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</si>
  <si>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</si>
  <si>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492989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</si>
  <si>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</si>
  <si>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</si>
  <si>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</si>
  <si>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</si>
  <si>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</si>
  <si>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</si>
  <si>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</si>
  <si>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</si>
  <si>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</si>
  <si>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</si>
  <si>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</si>
  <si>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</si>
  <si>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</si>
  <si>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</si>
  <si>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403608</t>
  </si>
  <si>
    <t>488522</t>
  </si>
  <si>
    <t>455856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</si>
  <si>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</si>
  <si>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</si>
  <si>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</si>
  <si>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</si>
  <si>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</si>
  <si>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</si>
  <si>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</si>
  <si>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</si>
  <si>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</si>
  <si>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</si>
  <si>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</si>
  <si>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</si>
  <si>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</si>
  <si>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</si>
  <si>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</si>
  <si>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</si>
  <si>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</si>
  <si>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</si>
  <si>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</si>
  <si>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</si>
  <si>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</si>
  <si>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443813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</si>
  <si>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</si>
  <si>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</si>
  <si>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</si>
  <si>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</si>
  <si>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</si>
  <si>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</si>
  <si>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</si>
  <si>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</si>
  <si>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</si>
  <si>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</si>
  <si>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</si>
  <si>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</si>
  <si>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</si>
  <si>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</si>
  <si>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</si>
  <si>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</si>
  <si>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</si>
  <si>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</si>
  <si>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</si>
  <si>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</si>
  <si>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</si>
  <si>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</si>
  <si>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</si>
  <si>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</si>
  <si>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</si>
  <si>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</si>
  <si>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</si>
  <si>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490570</t>
  </si>
  <si>
    <t>490569</t>
  </si>
  <si>
    <t>233715</t>
  </si>
  <si>
    <t>478066</t>
  </si>
  <si>
    <t>437151</t>
  </si>
  <si>
    <t>439431</t>
  </si>
  <si>
    <t>484070</t>
  </si>
  <si>
    <t>502822</t>
  </si>
  <si>
    <t>359787</t>
  </si>
  <si>
    <t>463574</t>
  </si>
  <si>
    <t>461232</t>
  </si>
  <si>
    <t>498449</t>
  </si>
  <si>
    <t>491247</t>
  </si>
  <si>
    <t>258370</t>
  </si>
  <si>
    <t>272697</t>
  </si>
  <si>
    <t>107417</t>
  </si>
  <si>
    <t>349322</t>
  </si>
  <si>
    <t>507544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</si>
  <si>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</si>
  <si>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</si>
  <si>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</si>
  <si>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</si>
  <si>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</si>
  <si>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</si>
  <si>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</si>
  <si>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</si>
  <si>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</si>
  <si>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</si>
  <si>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</si>
  <si>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499531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</si>
  <si>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</si>
  <si>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</si>
  <si>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</si>
  <si>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</si>
  <si>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</si>
  <si>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</si>
  <si>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</si>
  <si>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</si>
  <si>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</si>
  <si>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</si>
  <si>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</si>
  <si>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</si>
  <si>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</si>
  <si>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</si>
  <si>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</si>
  <si>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</si>
  <si>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</si>
  <si>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</si>
  <si>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</si>
  <si>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</si>
  <si>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</si>
  <si>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</si>
  <si>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</si>
  <si>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</si>
  <si>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</si>
  <si>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</si>
  <si>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</si>
  <si>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</si>
  <si>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</si>
  <si>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</si>
  <si>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</si>
  <si>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</si>
  <si>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</si>
  <si>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</si>
  <si>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</si>
  <si>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</si>
  <si>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</si>
  <si>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</si>
  <si>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</si>
  <si>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</si>
  <si>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</si>
  <si>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</si>
  <si>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</si>
  <si>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</si>
  <si>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</si>
  <si>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</si>
  <si>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412685</t>
  </si>
  <si>
    <t>486100</t>
  </si>
  <si>
    <t>412686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</si>
  <si>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</si>
  <si>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</si>
  <si>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</si>
  <si>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</si>
  <si>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</si>
  <si>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</si>
  <si>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</si>
  <si>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</si>
  <si>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</si>
  <si>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435463</t>
  </si>
  <si>
    <t>401158</t>
  </si>
  <si>
    <t>435460</t>
  </si>
  <si>
    <t>435037</t>
  </si>
  <si>
    <t>450428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</si>
  <si>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</si>
  <si>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</si>
  <si>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</si>
  <si>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</si>
  <si>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</si>
  <si>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</si>
  <si>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</si>
  <si>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</si>
  <si>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</si>
  <si>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</si>
  <si>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383120</t>
  </si>
  <si>
    <t>408047</t>
  </si>
  <si>
    <t>425314</t>
  </si>
  <si>
    <t>425315</t>
  </si>
  <si>
    <t>447693</t>
  </si>
  <si>
    <t>425312</t>
  </si>
  <si>
    <t>425313</t>
  </si>
  <si>
    <t>475155</t>
  </si>
  <si>
    <t>457983</t>
  </si>
  <si>
    <t>507205</t>
  </si>
  <si>
    <t>416369</t>
  </si>
  <si>
    <t>419169</t>
  </si>
  <si>
    <t>488803</t>
  </si>
  <si>
    <t>480163</t>
  </si>
  <si>
    <t>505624</t>
  </si>
  <si>
    <t>506537</t>
  </si>
  <si>
    <t>409821</t>
  </si>
  <si>
    <t>423982</t>
  </si>
  <si>
    <t>480111</t>
  </si>
  <si>
    <t>441323</t>
  </si>
  <si>
    <t>441325</t>
  </si>
  <si>
    <t>441324</t>
  </si>
  <si>
    <t>464904</t>
  </si>
  <si>
    <t>441322</t>
  </si>
  <si>
    <t>441340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</si>
  <si>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</si>
  <si>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</si>
  <si>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</si>
  <si>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</si>
  <si>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</si>
  <si>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</si>
  <si>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</si>
  <si>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</si>
  <si>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</si>
  <si>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</si>
  <si>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</si>
  <si>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</si>
  <si>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</si>
  <si>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</si>
  <si>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</si>
  <si>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</si>
  <si>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</si>
  <si>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</si>
  <si>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</si>
  <si>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</si>
  <si>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</si>
  <si>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</si>
  <si>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</si>
  <si>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</si>
  <si>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</si>
  <si>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</si>
  <si>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</si>
  <si>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</si>
  <si>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</si>
  <si>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</si>
  <si>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</si>
  <si>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</si>
  <si>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</si>
  <si>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</si>
  <si>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</si>
  <si>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</si>
  <si>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152585</t>
  </si>
  <si>
    <t>152584</t>
  </si>
  <si>
    <t>109187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</si>
  <si>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</si>
  <si>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</si>
  <si>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</si>
  <si>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</si>
  <si>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</si>
  <si>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</si>
  <si>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</si>
  <si>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</si>
  <si>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</si>
  <si>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</si>
  <si>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</si>
  <si>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</si>
  <si>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</si>
  <si>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</si>
  <si>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</si>
  <si>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</si>
  <si>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</si>
  <si>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</si>
  <si>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</si>
  <si>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</si>
  <si>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</si>
  <si>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</si>
  <si>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</si>
  <si>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</si>
  <si>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</si>
  <si>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</si>
  <si>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</si>
  <si>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</si>
  <si>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</si>
  <si>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</si>
  <si>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</si>
  <si>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</si>
  <si>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</si>
  <si>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</si>
  <si>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</si>
  <si>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</si>
  <si>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</si>
  <si>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</si>
  <si>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</si>
  <si>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</si>
  <si>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</si>
  <si>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</si>
  <si>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</si>
  <si>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</si>
  <si>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</si>
  <si>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</si>
  <si>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</si>
  <si>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</si>
  <si>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484741</t>
  </si>
  <si>
    <t>422181</t>
  </si>
  <si>
    <t>488738</t>
  </si>
  <si>
    <t>508725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</si>
  <si>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</si>
  <si>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</si>
  <si>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</si>
  <si>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</si>
  <si>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</si>
  <si>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</si>
  <si>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</si>
  <si>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</si>
  <si>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</si>
  <si>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</si>
  <si>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</si>
  <si>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</si>
  <si>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</si>
  <si>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</si>
  <si>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</si>
  <si>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504683</t>
  </si>
  <si>
    <t>468001</t>
  </si>
  <si>
    <t>378804</t>
  </si>
  <si>
    <t>403889</t>
  </si>
  <si>
    <t>310921</t>
  </si>
  <si>
    <t>392503</t>
  </si>
  <si>
    <t>413866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</si>
  <si>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</si>
  <si>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</si>
  <si>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</si>
  <si>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</si>
  <si>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</si>
  <si>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</si>
  <si>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</si>
  <si>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</si>
  <si>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</si>
  <si>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</si>
  <si>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</si>
  <si>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</si>
  <si>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</si>
  <si>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</si>
  <si>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</si>
  <si>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</si>
  <si>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</si>
  <si>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</si>
  <si>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</si>
  <si>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</si>
  <si>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</si>
  <si>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</si>
  <si>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</si>
  <si>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</si>
  <si>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</si>
  <si>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</si>
  <si>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</si>
  <si>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</si>
  <si>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</si>
  <si>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</si>
  <si>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</si>
  <si>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</si>
  <si>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</si>
  <si>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</si>
  <si>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</si>
  <si>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</si>
  <si>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</si>
  <si>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</si>
  <si>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</si>
  <si>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</si>
  <si>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</si>
  <si>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</si>
  <si>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</si>
  <si>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</si>
  <si>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</si>
  <si>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</si>
  <si>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</si>
  <si>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</si>
  <si>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</si>
  <si>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</si>
  <si>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</si>
  <si>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</si>
  <si>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</si>
  <si>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</si>
  <si>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</si>
  <si>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</si>
  <si>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</si>
  <si>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</si>
  <si>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</si>
  <si>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</si>
  <si>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</si>
  <si>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</si>
  <si>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</si>
  <si>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</si>
  <si>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</si>
  <si>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</si>
  <si>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421981</t>
  </si>
  <si>
    <t>469170</t>
  </si>
  <si>
    <t>436075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</si>
  <si>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</si>
  <si>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</si>
  <si>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</si>
  <si>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</si>
  <si>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</si>
  <si>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</si>
  <si>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</si>
  <si>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</si>
  <si>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</si>
  <si>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</si>
  <si>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</si>
  <si>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</si>
  <si>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</si>
  <si>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</si>
  <si>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</si>
  <si>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</si>
  <si>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</si>
  <si>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</si>
  <si>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</si>
  <si>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</si>
  <si>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</si>
  <si>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</si>
  <si>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</si>
  <si>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</si>
  <si>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</si>
  <si>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</si>
  <si>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</si>
  <si>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465421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</si>
  <si>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</si>
  <si>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</si>
  <si>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</si>
  <si>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</si>
  <si>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</si>
  <si>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</si>
  <si>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</si>
  <si>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</si>
  <si>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498650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</si>
  <si>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</si>
  <si>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</si>
  <si>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</si>
  <si>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</si>
  <si>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</si>
  <si>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</si>
  <si>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</si>
  <si>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</si>
  <si>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</si>
  <si>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</si>
  <si>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</si>
  <si>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</si>
  <si>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</si>
  <si>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262177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</si>
  <si>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</si>
  <si>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</si>
  <si>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</si>
  <si>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</si>
  <si>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</si>
  <si>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</si>
  <si>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</si>
  <si>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</si>
  <si>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</si>
  <si>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</si>
  <si>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</si>
  <si>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</si>
  <si>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</si>
  <si>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</si>
  <si>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</si>
  <si>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</si>
  <si>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</si>
  <si>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</si>
  <si>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</si>
  <si>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</si>
  <si>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</si>
  <si>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</si>
  <si>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</si>
  <si>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</si>
  <si>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</si>
  <si>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</si>
  <si>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</si>
  <si>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</si>
  <si>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</si>
  <si>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</si>
  <si>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</si>
  <si>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</si>
  <si>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</si>
  <si>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</si>
  <si>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</si>
  <si>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</si>
  <si>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</si>
  <si>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</si>
  <si>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</si>
  <si>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</si>
  <si>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</si>
  <si>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</si>
  <si>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</si>
  <si>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</si>
  <si>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</si>
  <si>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</si>
  <si>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</si>
  <si>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</si>
  <si>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</si>
  <si>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</si>
  <si>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</si>
  <si>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</si>
  <si>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</si>
  <si>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</si>
  <si>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</si>
  <si>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</si>
  <si>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</si>
  <si>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</si>
  <si>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</si>
  <si>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</si>
  <si>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</si>
  <si>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</si>
  <si>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</si>
  <si>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</si>
  <si>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</si>
  <si>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</si>
  <si>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</si>
  <si>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</si>
  <si>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</si>
  <si>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</si>
  <si>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</si>
  <si>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</si>
  <si>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</si>
  <si>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</si>
  <si>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</si>
  <si>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</si>
  <si>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</si>
  <si>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</si>
  <si>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</si>
  <si>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</si>
  <si>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</si>
  <si>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</si>
  <si>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</si>
  <si>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</si>
  <si>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</si>
  <si>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</si>
  <si>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</si>
  <si>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</si>
  <si>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473149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</si>
  <si>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</si>
  <si>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</si>
  <si>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</si>
  <si>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</si>
  <si>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</si>
  <si>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</si>
  <si>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</si>
  <si>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</si>
  <si>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</si>
  <si>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</si>
  <si>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</si>
  <si>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</si>
  <si>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</si>
  <si>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437496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</si>
  <si>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</si>
  <si>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</si>
  <si>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</si>
  <si>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</si>
  <si>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</si>
  <si>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</si>
  <si>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</si>
  <si>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</si>
  <si>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</si>
  <si>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</si>
  <si>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</si>
  <si>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</si>
  <si>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</si>
  <si>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</si>
  <si>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</si>
  <si>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</si>
  <si>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</si>
  <si>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</si>
  <si>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</si>
  <si>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</si>
  <si>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</si>
  <si>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</si>
  <si>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</si>
  <si>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</si>
  <si>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</si>
  <si>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</si>
  <si>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</si>
  <si>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</si>
  <si>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</si>
  <si>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</si>
  <si>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</si>
  <si>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</si>
  <si>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</si>
  <si>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</si>
  <si>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</si>
  <si>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</si>
  <si>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</si>
  <si>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</si>
  <si>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</si>
  <si>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</si>
  <si>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</si>
  <si>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</si>
  <si>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</si>
  <si>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</si>
  <si>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</si>
  <si>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</si>
  <si>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</si>
  <si>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</si>
  <si>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</si>
  <si>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</si>
  <si>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</si>
  <si>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</si>
  <si>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</si>
  <si>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</si>
  <si>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</si>
  <si>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</si>
  <si>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</si>
  <si>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</si>
  <si>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</si>
  <si>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</si>
  <si>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</si>
  <si>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</si>
  <si>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</si>
  <si>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</si>
  <si>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</si>
  <si>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</si>
  <si>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</si>
  <si>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</si>
  <si>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</si>
  <si>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</si>
  <si>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</si>
  <si>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</si>
  <si>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</si>
  <si>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</si>
  <si>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</si>
  <si>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</si>
  <si>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</si>
  <si>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</si>
  <si>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</si>
  <si>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</si>
  <si>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</si>
  <si>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</si>
  <si>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</si>
  <si>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</si>
  <si>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</si>
  <si>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</si>
  <si>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</si>
  <si>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</si>
  <si>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</si>
  <si>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</si>
  <si>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</si>
  <si>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</si>
  <si>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</si>
  <si>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</si>
  <si>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</si>
  <si>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</si>
  <si>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</si>
  <si>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476855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</si>
  <si>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</si>
  <si>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</si>
  <si>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</si>
  <si>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</si>
  <si>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</si>
  <si>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</si>
  <si>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508041</t>
  </si>
  <si>
    <t>425666</t>
  </si>
  <si>
    <t>458867</t>
  </si>
  <si>
    <t>467193</t>
  </si>
  <si>
    <t>468167</t>
  </si>
  <si>
    <t>477574</t>
  </si>
  <si>
    <t>455596</t>
  </si>
  <si>
    <t>501605</t>
  </si>
  <si>
    <t>482038</t>
  </si>
  <si>
    <t>508043</t>
  </si>
  <si>
    <t>473245</t>
  </si>
  <si>
    <t>482040</t>
  </si>
  <si>
    <t>488649</t>
  </si>
  <si>
    <t>462265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</si>
  <si>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</si>
  <si>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</si>
  <si>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</si>
  <si>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</si>
  <si>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</si>
  <si>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</si>
  <si>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</si>
  <si>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</si>
  <si>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</si>
  <si>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</si>
  <si>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</si>
  <si>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</si>
  <si>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</si>
  <si>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</si>
  <si>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</si>
  <si>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</si>
  <si>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</si>
  <si>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</si>
  <si>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</si>
  <si>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</si>
  <si>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</si>
  <si>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</si>
  <si>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</si>
  <si>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</si>
  <si>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</si>
  <si>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</si>
  <si>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</si>
  <si>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</si>
  <si>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</si>
  <si>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470488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</si>
  <si>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</si>
  <si>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</si>
  <si>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</si>
  <si>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</si>
  <si>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</si>
  <si>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</si>
  <si>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</si>
  <si>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508857</t>
  </si>
  <si>
    <t>475813</t>
  </si>
  <si>
    <t>496739</t>
  </si>
  <si>
    <t>479115</t>
  </si>
  <si>
    <t>496622</t>
  </si>
  <si>
    <t>496604</t>
  </si>
  <si>
    <t>468562</t>
  </si>
  <si>
    <t>470484</t>
  </si>
  <si>
    <t>496632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</si>
  <si>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</si>
  <si>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</si>
  <si>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</si>
  <si>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</si>
  <si>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</si>
  <si>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</si>
  <si>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</si>
  <si>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</si>
  <si>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</si>
  <si>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</si>
  <si>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</si>
  <si>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</si>
  <si>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</si>
  <si>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</si>
  <si>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</si>
  <si>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</si>
  <si>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</si>
  <si>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</si>
  <si>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</si>
  <si>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</si>
  <si>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</si>
  <si>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</si>
  <si>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</si>
  <si>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</si>
  <si>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</si>
  <si>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</si>
  <si>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</si>
  <si>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</si>
  <si>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</si>
  <si>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</si>
  <si>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</si>
  <si>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</si>
  <si>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</si>
  <si>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</si>
  <si>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</si>
  <si>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</si>
  <si>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</si>
  <si>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</si>
  <si>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</si>
  <si>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</si>
  <si>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</si>
  <si>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</si>
  <si>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</si>
  <si>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</si>
  <si>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</si>
  <si>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</si>
  <si>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</si>
  <si>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</si>
  <si>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</si>
  <si>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</si>
  <si>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</si>
  <si>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</si>
  <si>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</si>
  <si>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</si>
  <si>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</si>
  <si>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</si>
  <si>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</si>
  <si>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</si>
  <si>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</si>
  <si>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</si>
  <si>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</si>
  <si>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</si>
  <si>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</si>
  <si>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</si>
  <si>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</si>
  <si>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</si>
  <si>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</si>
  <si>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</si>
  <si>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</si>
  <si>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</si>
  <si>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</si>
  <si>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</si>
  <si>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</si>
  <si>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</si>
  <si>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</si>
  <si>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</si>
  <si>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</si>
  <si>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</si>
  <si>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</si>
  <si>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</si>
  <si>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</si>
  <si>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</si>
  <si>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</si>
  <si>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</si>
  <si>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</si>
  <si>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</si>
  <si>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</si>
  <si>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</si>
  <si>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</si>
  <si>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</si>
  <si>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</si>
  <si>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</si>
  <si>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</si>
  <si>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</si>
  <si>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</si>
  <si>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</si>
  <si>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</si>
  <si>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</si>
  <si>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</si>
  <si>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</si>
  <si>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</si>
  <si>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</si>
  <si>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</si>
  <si>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</si>
  <si>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</si>
  <si>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</si>
  <si>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</si>
  <si>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</si>
  <si>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</si>
  <si>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</si>
  <si>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</si>
  <si>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</si>
  <si>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</si>
  <si>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</si>
  <si>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</si>
  <si>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474303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</si>
  <si>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</si>
  <si>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</si>
  <si>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</si>
  <si>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</si>
  <si>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</si>
  <si>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</si>
  <si>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</si>
  <si>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</si>
  <si>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</si>
  <si>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</si>
  <si>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</si>
  <si>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</si>
  <si>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</si>
  <si>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</si>
  <si>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</si>
  <si>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</si>
  <si>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</si>
  <si>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</si>
  <si>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</si>
  <si>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</si>
  <si>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</si>
  <si>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</si>
  <si>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</si>
  <si>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</si>
  <si>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</si>
  <si>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</si>
  <si>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</si>
  <si>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</si>
  <si>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</si>
  <si>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</si>
  <si>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</si>
  <si>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</si>
  <si>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</si>
  <si>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</si>
  <si>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</si>
  <si>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496440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</si>
  <si>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</si>
  <si>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</si>
  <si>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</si>
  <si>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</si>
  <si>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</si>
  <si>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</si>
  <si>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</si>
  <si>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</si>
  <si>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</si>
  <si>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</si>
  <si>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</si>
  <si>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</si>
  <si>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</si>
  <si>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</si>
  <si>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</si>
  <si>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</si>
  <si>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</si>
  <si>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</si>
  <si>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</si>
  <si>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</si>
  <si>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</si>
  <si>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</si>
  <si>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</si>
  <si>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</si>
  <si>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</si>
  <si>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</si>
  <si>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</si>
  <si>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</si>
  <si>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</si>
  <si>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</si>
  <si>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</si>
  <si>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</si>
  <si>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</si>
  <si>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</si>
  <si>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</si>
  <si>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</si>
  <si>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</si>
  <si>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</si>
  <si>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</si>
  <si>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</si>
  <si>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</si>
  <si>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</si>
  <si>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</si>
  <si>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</si>
  <si>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</si>
  <si>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</si>
  <si>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</si>
  <si>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</si>
  <si>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</si>
  <si>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</si>
  <si>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</si>
  <si>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</si>
  <si>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</si>
  <si>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</si>
  <si>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</si>
  <si>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</si>
  <si>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</si>
  <si>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</si>
  <si>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</si>
  <si>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</si>
  <si>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</si>
  <si>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</si>
  <si>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</si>
  <si>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478773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</si>
  <si>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</si>
  <si>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</si>
  <si>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</si>
  <si>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</si>
  <si>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</si>
  <si>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</si>
  <si>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</si>
  <si>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</si>
  <si>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</si>
  <si>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</si>
  <si>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</si>
  <si>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</si>
  <si>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</si>
  <si>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</si>
  <si>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</si>
  <si>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</si>
  <si>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</si>
  <si>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</si>
  <si>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</si>
  <si>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</si>
  <si>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</si>
  <si>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</si>
  <si>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</si>
  <si>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</si>
  <si>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</si>
  <si>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</si>
  <si>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</si>
  <si>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</si>
  <si>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</si>
  <si>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</si>
  <si>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</si>
  <si>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</si>
  <si>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</si>
  <si>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</si>
  <si>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</si>
  <si>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</si>
  <si>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</si>
  <si>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</si>
  <si>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</si>
  <si>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</si>
  <si>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</si>
  <si>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</si>
  <si>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</si>
  <si>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</si>
  <si>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</si>
  <si>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</si>
  <si>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</si>
  <si>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</si>
  <si>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</si>
  <si>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</si>
  <si>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</si>
  <si>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</si>
  <si>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</si>
  <si>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</si>
  <si>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</si>
  <si>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</si>
  <si>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</si>
  <si>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</si>
  <si>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</si>
  <si>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</si>
  <si>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</si>
  <si>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</si>
  <si>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</si>
  <si>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</si>
  <si>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</si>
  <si>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</si>
  <si>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</si>
  <si>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</si>
  <si>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</si>
  <si>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</si>
  <si>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</si>
  <si>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</si>
  <si>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</si>
  <si>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</si>
  <si>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</si>
  <si>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</si>
  <si>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</si>
  <si>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</si>
  <si>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</si>
  <si>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</si>
  <si>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</si>
  <si>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</si>
  <si>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</si>
  <si>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</si>
  <si>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</si>
  <si>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</si>
  <si>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</si>
  <si>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</si>
  <si>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</si>
  <si>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</si>
  <si>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</si>
  <si>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</si>
  <si>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</si>
  <si>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</si>
  <si>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345325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</si>
  <si>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</si>
  <si>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</si>
  <si>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</si>
  <si>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</si>
  <si>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</si>
  <si>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</si>
  <si>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</si>
  <si>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</si>
  <si>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</si>
  <si>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</si>
  <si>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</si>
  <si>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</si>
  <si>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</si>
  <si>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</si>
  <si>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</si>
  <si>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</si>
  <si>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</si>
  <si>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</si>
  <si>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</si>
  <si>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</si>
  <si>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</si>
  <si>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</si>
  <si>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</si>
  <si>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</si>
  <si>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</si>
  <si>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</si>
  <si>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</si>
  <si>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</si>
  <si>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</si>
  <si>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</si>
  <si>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</si>
  <si>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</si>
  <si>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</si>
  <si>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</si>
  <si>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</si>
  <si>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</si>
  <si>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</si>
  <si>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</si>
  <si>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</si>
  <si>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</si>
  <si>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</si>
  <si>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</si>
  <si>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</si>
  <si>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</si>
  <si>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</si>
  <si>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</si>
  <si>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</si>
  <si>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</si>
  <si>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</si>
  <si>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</si>
  <si>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</si>
  <si>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</si>
  <si>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</si>
  <si>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</si>
  <si>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</si>
  <si>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</si>
  <si>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</si>
  <si>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</si>
  <si>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</si>
  <si>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</si>
  <si>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</si>
  <si>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</si>
  <si>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</si>
  <si>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</si>
  <si>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</si>
  <si>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</si>
  <si>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</si>
  <si>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</si>
  <si>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</si>
  <si>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</si>
  <si>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</si>
  <si>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</si>
  <si>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</si>
  <si>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</si>
  <si>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</si>
  <si>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</si>
  <si>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</si>
  <si>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</si>
  <si>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</si>
  <si>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</si>
  <si>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</si>
  <si>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</si>
  <si>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</si>
  <si>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</si>
  <si>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</si>
  <si>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</si>
  <si>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</si>
  <si>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</si>
  <si>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</si>
  <si>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</si>
  <si>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</si>
  <si>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</si>
  <si>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</si>
  <si>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</si>
  <si>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</si>
  <si>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</si>
  <si>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</si>
  <si>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</si>
  <si>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</si>
  <si>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</si>
  <si>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</si>
  <si>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</si>
  <si>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</si>
  <si>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</si>
  <si>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</si>
  <si>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</si>
  <si>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</si>
  <si>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</si>
  <si>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</si>
  <si>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</si>
  <si>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</si>
  <si>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</si>
  <si>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</si>
  <si>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</si>
  <si>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</si>
  <si>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</si>
  <si>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</si>
  <si>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</si>
  <si>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</si>
  <si>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</si>
  <si>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</si>
  <si>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</si>
  <si>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</si>
  <si>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</si>
  <si>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</si>
  <si>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</si>
  <si>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</si>
  <si>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</si>
  <si>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</si>
  <si>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</si>
  <si>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</si>
  <si>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</si>
  <si>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</si>
  <si>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</si>
  <si>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</si>
  <si>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</si>
  <si>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</si>
  <si>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</si>
  <si>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</si>
  <si>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</si>
  <si>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</si>
  <si>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</si>
  <si>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</si>
  <si>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</si>
  <si>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</si>
  <si>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</si>
  <si>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</si>
  <si>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</si>
  <si>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</si>
  <si>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</si>
  <si>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</si>
  <si>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</si>
  <si>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</si>
  <si>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</si>
  <si>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</si>
  <si>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</si>
  <si>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</si>
  <si>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</si>
  <si>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</si>
  <si>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</si>
  <si>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</si>
  <si>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</si>
  <si>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</si>
  <si>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</si>
  <si>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</si>
  <si>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</si>
  <si>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</si>
  <si>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</si>
  <si>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</si>
  <si>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</si>
  <si>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</si>
  <si>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</si>
  <si>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</si>
  <si>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</si>
  <si>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</si>
  <si>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</si>
  <si>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</si>
  <si>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</si>
  <si>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</si>
  <si>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</si>
  <si>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</si>
  <si>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</si>
  <si>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</si>
  <si>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</si>
  <si>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</si>
  <si>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</si>
  <si>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</si>
  <si>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</si>
  <si>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</si>
  <si>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</si>
  <si>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</si>
  <si>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</si>
  <si>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</si>
  <si>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</si>
  <si>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</si>
  <si>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</si>
  <si>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</si>
  <si>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</si>
  <si>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</si>
  <si>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</si>
  <si>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</si>
  <si>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</si>
  <si>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</si>
  <si>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</si>
  <si>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</si>
  <si>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</si>
  <si>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</si>
  <si>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</si>
  <si>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</si>
  <si>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</si>
  <si>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</si>
  <si>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</si>
  <si>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489203</t>
  </si>
  <si>
    <t>489161</t>
  </si>
  <si>
    <t>422502</t>
  </si>
  <si>
    <t>489200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</si>
  <si>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</si>
  <si>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</si>
  <si>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</si>
  <si>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</si>
  <si>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</si>
  <si>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</si>
  <si>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</si>
  <si>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</si>
  <si>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</si>
  <si>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</si>
  <si>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</si>
  <si>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</si>
  <si>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</si>
  <si>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</si>
  <si>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</si>
  <si>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</si>
  <si>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</si>
  <si>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</si>
  <si>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</si>
  <si>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</si>
  <si>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</si>
  <si>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</si>
  <si>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</si>
  <si>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</si>
  <si>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</si>
  <si>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</si>
  <si>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</si>
  <si>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</si>
  <si>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</si>
  <si>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</si>
  <si>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</si>
  <si>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</si>
  <si>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</si>
  <si>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</si>
  <si>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</si>
  <si>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</si>
  <si>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</si>
  <si>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</si>
  <si>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</si>
  <si>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</si>
  <si>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</si>
  <si>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</si>
  <si>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</si>
  <si>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</si>
  <si>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</si>
  <si>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</si>
  <si>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</si>
  <si>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</si>
  <si>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</si>
  <si>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</si>
  <si>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</si>
  <si>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</si>
  <si>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</si>
  <si>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</si>
  <si>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</si>
  <si>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</si>
  <si>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</si>
  <si>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</si>
  <si>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</si>
  <si>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</si>
  <si>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</si>
  <si>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</si>
  <si>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</si>
  <si>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</si>
  <si>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</si>
  <si>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</si>
  <si>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</si>
  <si>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</si>
  <si>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</si>
  <si>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</si>
  <si>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</si>
  <si>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</si>
  <si>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</si>
  <si>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</si>
  <si>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</si>
  <si>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</si>
  <si>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</si>
  <si>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</si>
  <si>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478032</t>
  </si>
  <si>
    <t>478033</t>
  </si>
  <si>
    <t>478019</t>
  </si>
  <si>
    <t>478020</t>
  </si>
  <si>
    <t>478017</t>
  </si>
  <si>
    <t>478018</t>
  </si>
  <si>
    <t>437778</t>
  </si>
  <si>
    <t>493721</t>
  </si>
  <si>
    <t>398202</t>
  </si>
  <si>
    <t>438814</t>
  </si>
  <si>
    <t>495515</t>
  </si>
  <si>
    <t>495586</t>
  </si>
  <si>
    <t>495528</t>
  </si>
  <si>
    <t>495529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</si>
  <si>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</si>
  <si>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</si>
  <si>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</si>
  <si>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</si>
  <si>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</si>
  <si>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</si>
  <si>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</si>
  <si>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</si>
  <si>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</si>
  <si>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</si>
  <si>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505487</t>
  </si>
  <si>
    <t>505484</t>
  </si>
  <si>
    <t>221727</t>
  </si>
  <si>
    <t>439067</t>
  </si>
  <si>
    <t>137808</t>
  </si>
  <si>
    <t>137571</t>
  </si>
  <si>
    <t>168571</t>
  </si>
  <si>
    <t>435828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</si>
  <si>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</si>
  <si>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</si>
  <si>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</si>
  <si>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</si>
  <si>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</si>
  <si>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</si>
  <si>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</si>
  <si>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</si>
  <si>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</si>
  <si>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</si>
  <si>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</si>
  <si>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</si>
  <si>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</si>
  <si>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</si>
  <si>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</si>
  <si>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</si>
  <si>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</si>
  <si>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</si>
  <si>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</si>
  <si>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</si>
  <si>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</si>
  <si>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</si>
  <si>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</si>
  <si>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</si>
  <si>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</si>
  <si>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</si>
  <si>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</si>
  <si>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</si>
  <si>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</si>
  <si>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</si>
  <si>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</si>
  <si>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</si>
  <si>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</si>
  <si>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</si>
  <si>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</si>
  <si>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</si>
  <si>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</si>
  <si>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</si>
  <si>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</si>
  <si>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</si>
  <si>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</si>
  <si>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</si>
  <si>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</si>
  <si>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</si>
  <si>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</si>
  <si>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</si>
  <si>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</si>
  <si>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</si>
  <si>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</si>
  <si>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</si>
  <si>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</si>
  <si>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</si>
  <si>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</si>
  <si>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</si>
  <si>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</si>
  <si>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</si>
  <si>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</si>
  <si>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428973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</si>
  <si>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</si>
  <si>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</si>
  <si>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</si>
  <si>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</si>
  <si>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</si>
  <si>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</si>
  <si>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</si>
  <si>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</si>
  <si>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</si>
  <si>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</si>
  <si>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</si>
  <si>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</si>
  <si>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</si>
  <si>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</si>
  <si>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</si>
  <si>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</si>
  <si>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</si>
  <si>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</si>
  <si>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</si>
  <si>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</si>
  <si>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</si>
  <si>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388568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</si>
  <si>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</si>
  <si>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</si>
  <si>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</si>
  <si>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</si>
  <si>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</si>
  <si>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</si>
  <si>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</si>
  <si>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</si>
  <si>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</si>
  <si>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 PARLANTE TEROS TE6047N BT 20W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</si>
  <si>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</si>
  <si>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</si>
  <si>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</si>
  <si>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</si>
  <si>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</si>
  <si>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</si>
  <si>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</si>
  <si>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</si>
  <si>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</si>
  <si>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</si>
  <si>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</si>
  <si>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</si>
  <si>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</si>
  <si>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</si>
  <si>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</si>
  <si>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</si>
  <si>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</si>
  <si>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</si>
  <si>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</si>
  <si>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</si>
  <si>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</si>
  <si>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</si>
  <si>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</si>
  <si>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</si>
  <si>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</si>
  <si>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</si>
  <si>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</si>
  <si>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</si>
  <si>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</si>
  <si>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</si>
  <si>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</si>
  <si>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</si>
  <si>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</si>
  <si>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</si>
  <si>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</si>
  <si>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</si>
  <si>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</si>
  <si>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</si>
  <si>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</si>
  <si>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</si>
  <si>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</si>
  <si>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</si>
  <si>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</si>
  <si>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</si>
  <si>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</si>
  <si>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</si>
  <si>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</si>
  <si>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</si>
  <si>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</si>
  <si>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</si>
  <si>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</si>
  <si>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</si>
  <si>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</si>
  <si>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</si>
  <si>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</si>
  <si>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</si>
  <si>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</si>
  <si>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</si>
  <si>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</si>
  <si>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</si>
  <si>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</si>
  <si>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</si>
  <si>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</si>
  <si>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</si>
  <si>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</si>
  <si>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</si>
  <si>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</si>
  <si>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</si>
  <si>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</si>
  <si>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</si>
  <si>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</si>
  <si>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</si>
  <si>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</si>
  <si>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</si>
  <si>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</si>
  <si>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</si>
  <si>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</si>
  <si>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</si>
  <si>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</si>
  <si>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</si>
  <si>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</si>
  <si>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</si>
  <si>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</si>
  <si>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</si>
  <si>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</si>
  <si>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</si>
  <si>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</si>
  <si>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</si>
  <si>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</si>
  <si>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</si>
  <si>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</si>
  <si>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</si>
  <si>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</si>
  <si>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</si>
  <si>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</si>
  <si>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</si>
  <si>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</si>
  <si>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</si>
  <si>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</si>
  <si>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</si>
  <si>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</si>
  <si>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</si>
  <si>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</si>
  <si>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</si>
  <si>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</si>
  <si>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</si>
  <si>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</si>
  <si>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</si>
  <si>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</si>
  <si>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</si>
  <si>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CPILI312100</t>
  </si>
  <si>
    <t> PROC INT CORE I3-12100 4.30GHZ</t>
  </si>
  <si>
    <t>390138</t>
  </si>
  <si>
    <t>Procesador Intel Core i3-12100 3.3 / 4.3GHz 12MB Intel Smart Caché, LGA1700, Intel 7(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</si>
  <si>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</si>
  <si>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</si>
  <si>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</si>
  <si>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</si>
  <si>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</si>
  <si>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</si>
  <si>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</si>
  <si>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</si>
  <si>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</si>
  <si>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</si>
  <si>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</si>
  <si>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</si>
  <si>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</si>
  <si>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</si>
  <si>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</si>
  <si>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</si>
  <si>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</si>
  <si>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</si>
  <si>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</si>
  <si>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</si>
  <si>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</si>
  <si>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</si>
  <si>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</si>
  <si>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</si>
  <si>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</si>
  <si>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</si>
  <si>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</si>
  <si>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</si>
  <si>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</si>
  <si>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</si>
  <si>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</si>
  <si>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</si>
  <si>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</si>
  <si>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</si>
  <si>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</si>
  <si>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</si>
  <si>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MBMSB760M-ED4</t>
  </si>
  <si>
    <t> MB MS PRO B760M-E S/V/L DDR4</t>
  </si>
  <si>
    <t>439631</t>
  </si>
  <si>
    <t>Motherboard MSI PRO PRO B760M-E DDR4, Chipset Intel B760, LGA1700, HDMI, VGA, mATX.[@</t>
  </si>
  <si>
    <t>MBASB760M-A</t>
  </si>
  <si>
    <t> MB AS PRIME B760M-A S/V/L DDR5</t>
  </si>
  <si>
    <t>425011</t>
  </si>
  <si>
    <t>Motherboard ASUS PRIME B760M-A Chipset Intel B760, LGA1700, Micro ATX[@@@]Soporta Pro</t>
  </si>
  <si>
    <t>MBASB760MPLWF2</t>
  </si>
  <si>
    <t> MB AS TUF GAMING B760M-PLUS WF</t>
  </si>
  <si>
    <t>441524</t>
  </si>
  <si>
    <t>Motherboard ASUS TUF GAMING B760M-PLUS WIFI II, Chipset Intel B760, LGA1700, ATX[@@@]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</si>
  <si>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</si>
  <si>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</si>
  <si>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</si>
  <si>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</si>
  <si>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</si>
  <si>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</si>
  <si>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</si>
  <si>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</si>
  <si>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</si>
  <si>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</si>
  <si>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</si>
  <si>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</si>
  <si>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</si>
  <si>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</si>
  <si>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</si>
  <si>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</si>
  <si>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</si>
  <si>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</si>
  <si>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</si>
  <si>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</si>
  <si>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</si>
  <si>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</si>
  <si>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</si>
  <si>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</si>
  <si>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</si>
  <si>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</si>
  <si>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</si>
  <si>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</si>
  <si>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</si>
  <si>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</si>
  <si>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</si>
  <si>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</si>
  <si>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</si>
  <si>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</si>
  <si>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</si>
  <si>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</si>
  <si>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</si>
  <si>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</si>
  <si>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</si>
  <si>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</si>
  <si>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</si>
  <si>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</si>
  <si>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</si>
  <si>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</si>
  <si>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</si>
  <si>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</si>
  <si>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</si>
  <si>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</si>
  <si>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</si>
  <si>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</si>
  <si>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</si>
  <si>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</si>
  <si>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</si>
  <si>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</si>
  <si>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</si>
  <si>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</si>
  <si>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</si>
  <si>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</si>
  <si>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</si>
  <si>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</si>
  <si>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</si>
  <si>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</si>
  <si>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</si>
  <si>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</si>
  <si>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</si>
  <si>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</si>
  <si>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</si>
  <si>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</si>
  <si>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</si>
  <si>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</si>
  <si>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</si>
  <si>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</si>
  <si>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</si>
  <si>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</si>
  <si>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</si>
  <si>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</si>
  <si>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</si>
  <si>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</si>
  <si>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</si>
  <si>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NBLEN83ER0019LM</t>
  </si>
  <si>
    <t> NB LEN 15 I5-12 16 512 W11</t>
  </si>
  <si>
    <t>422997</t>
  </si>
  <si>
    <t>NBLEN83JC005RLM</t>
  </si>
  <si>
    <t> NBG LOQ 15 R5-7 12 512 V6G W11</t>
  </si>
  <si>
    <t>471146</t>
  </si>
  <si>
    <t>Notebook Lenovo LOQ 15ARP9, 15.6" FHD IPS, AMD Ryzen 5 7235HS 3.2/4.2GHz, 12GB DDR5-4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</si>
  <si>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</si>
  <si>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</si>
  <si>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</si>
  <si>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</si>
  <si>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</si>
  <si>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</si>
  <si>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</si>
  <si>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</si>
  <si>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</si>
  <si>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</si>
  <si>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</si>
  <si>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</si>
  <si>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</si>
  <si>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</si>
  <si>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</si>
  <si>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</si>
  <si>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</si>
  <si>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</si>
  <si>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</si>
  <si>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</si>
  <si>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</si>
  <si>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</si>
  <si>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</si>
  <si>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</si>
  <si>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</si>
  <si>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</si>
  <si>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</si>
  <si>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</si>
  <si>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</si>
  <si>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</si>
  <si>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</si>
  <si>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</si>
  <si>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</si>
  <si>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</si>
  <si>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</si>
  <si>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</si>
  <si>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STEPT05A100</t>
  </si>
  <si>
    <t> TINTA NEGRA WF C878R/879R</t>
  </si>
  <si>
    <t>372170</t>
  </si>
  <si>
    <t>TBADVTR6985GRM</t>
  </si>
  <si>
    <t> TB ADV 7 WIFI 4 64 DINO GRN</t>
  </si>
  <si>
    <t>504437</t>
  </si>
  <si>
    <t>Tablet Advance Intro TR6985, 7" WSVGA IPS, A333 1.75 GHZ, 4GB, 64GB, Android 15, Blan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</si>
  <si>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</si>
  <si>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</si>
  <si>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</si>
  <si>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</si>
  <si>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</si>
  <si>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</si>
  <si>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</si>
  <si>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</si>
  <si>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</si>
  <si>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</si>
  <si>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</si>
  <si>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</si>
  <si>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</si>
  <si>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</si>
  <si>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</si>
  <si>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</si>
  <si>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</si>
  <si>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</si>
  <si>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</si>
  <si>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</si>
  <si>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</si>
  <si>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</si>
  <si>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</si>
  <si>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</si>
  <si>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</si>
  <si>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</si>
  <si>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</si>
  <si>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</si>
  <si>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PSASPRIME650BN</t>
  </si>
  <si>
    <t> PSU AS PRIME-650B-BLACK 80+B</t>
  </si>
  <si>
    <t>490568</t>
  </si>
  <si>
    <t>PSASAP-750G</t>
  </si>
  <si>
    <t> PSU AS PRIME AP-750G 80+G FM W</t>
  </si>
  <si>
    <t>484129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</si>
  <si>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</si>
  <si>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</si>
  <si>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</si>
  <si>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</si>
  <si>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</si>
  <si>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</si>
  <si>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</si>
  <si>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</si>
  <si>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</si>
  <si>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</si>
  <si>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</si>
  <si>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</si>
  <si>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</si>
  <si>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</si>
  <si>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</si>
  <si>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</si>
  <si>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CPAM4NR75700</t>
  </si>
  <si>
    <t> PROC AMD RYZEN 7 5700 3.7GHZ</t>
  </si>
  <si>
    <t>505026</t>
  </si>
  <si>
    <t>HDIST1000VM002</t>
  </si>
  <si>
    <t> HD SEA 1TB SATA 5900RPM - PULL</t>
  </si>
  <si>
    <t>164716</t>
  </si>
  <si>
    <t>Disco duro Seagate Pipeline HD, 1TB, SATA 6.0 Gb/s, 5900 RPM, 3.5, PULL.[@@@]PULL</t>
  </si>
  <si>
    <t>HDIWD181PURP</t>
  </si>
  <si>
    <t> HD WD PURPLE PRO 18TB SATA</t>
  </si>
  <si>
    <t>478509</t>
  </si>
  <si>
    <t>Disco duro Western Digital WD Purple Pro 18TB, SATA, 7200 rpm, 3.5", 512MB Cache[@@@]</t>
  </si>
  <si>
    <t>MMVDEPPW119W-B</t>
  </si>
  <si>
    <t>405486</t>
  </si>
  <si>
    <t>MBASB760TFGMPWF</t>
  </si>
  <si>
    <t> MB AS TUF GMG B760-PLUS WF DR5</t>
  </si>
  <si>
    <t>413291</t>
  </si>
  <si>
    <t>Motherboard ASUS TUF GAMING B760-PLUS WIFI, Chipset Intel B760, LGA1700, ATX[@@@]Sopo</t>
  </si>
  <si>
    <t>MBASA520M-K</t>
  </si>
  <si>
    <t> MB AS PRIME A520M-K SVL DDR4</t>
  </si>
  <si>
    <t>352078</t>
  </si>
  <si>
    <t>Motherboard ASUS PRIME A520M-K, Chipset AMD A520,Socket AMD AM4, Micro ATX[@@@]Soport</t>
  </si>
  <si>
    <t>MBASB550M-AAC</t>
  </si>
  <si>
    <t> MB AS PRIME B550M-A AC SVL DR4</t>
  </si>
  <si>
    <t>354055</t>
  </si>
  <si>
    <t>Motherboard Asus PRIME B550M-A AC, Chipset AMD B550, Socket AMD AM4, mATX[@@@]Soporta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</si>
  <si>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</si>
  <si>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</si>
  <si>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</si>
  <si>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</si>
  <si>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</si>
  <si>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</si>
  <si>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</si>
  <si>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</si>
  <si>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</si>
  <si>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</si>
  <si>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</si>
  <si>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</si>
  <si>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</si>
  <si>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</si>
  <si>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</si>
  <si>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</si>
  <si>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</si>
  <si>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</si>
  <si>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</si>
  <si>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</si>
  <si>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NBWLE21QU0007LM</t>
  </si>
  <si>
    <t> NBW P14S U7-255H/32/1/V6/W11P</t>
  </si>
  <si>
    <t>503516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</si>
  <si>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</si>
  <si>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</si>
  <si>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</si>
  <si>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</si>
  <si>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</si>
  <si>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</si>
  <si>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</si>
  <si>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</si>
  <si>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</si>
  <si>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</si>
  <si>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</si>
  <si>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</si>
  <si>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</si>
  <si>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</si>
  <si>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</si>
  <si>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</si>
  <si>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</si>
  <si>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</si>
  <si>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</si>
  <si>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</si>
  <si>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</si>
  <si>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</si>
  <si>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</si>
  <si>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</si>
  <si>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</si>
  <si>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</si>
  <si>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</si>
  <si>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</si>
  <si>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TCADVHL2460BKRD</t>
  </si>
  <si>
    <t> ADV 1.77 4G 800MH SENIOR RD BK</t>
  </si>
  <si>
    <t>434755</t>
  </si>
  <si>
    <t>Teléfono celular Senior 4G ADVANCE HL2460, 1.77",Radio FM Wireless, Desbloqueado.[@@@</t>
  </si>
  <si>
    <t>TCADVHL2460BLBK</t>
  </si>
  <si>
    <t> ADV 1.77 4G 800MH SENIOR BLUE</t>
  </si>
  <si>
    <t>434754</t>
  </si>
  <si>
    <t>TCLBLT1418BL</t>
  </si>
  <si>
    <t> TC LB 2.8 4G 1700MH BAR BLUE</t>
  </si>
  <si>
    <t>434746</t>
  </si>
  <si>
    <t>Teléfono celular básico 4g LandByte LT1418, 2.8",Dual SIM, Radio FM, Desbloqueado.[@@</t>
  </si>
  <si>
    <t>TCLBLT1448BK</t>
  </si>
  <si>
    <t> TC LB 1.77 4G 1000MH FLIP BK</t>
  </si>
  <si>
    <t>434749</t>
  </si>
  <si>
    <t>Teléfono celular Flip 4g LandByte LT1448, 1.77", Dual SIM, Radio FM, Desbloqueado.[@@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</si>
  <si>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</si>
  <si>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</si>
  <si>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</si>
  <si>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</si>
  <si>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</si>
  <si>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</si>
  <si>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</si>
  <si>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</si>
  <si>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</si>
  <si>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</si>
  <si>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VD16ASRTX5080OT</t>
  </si>
  <si>
    <t> VGA 16G AS RTX5080 TUF OC GDR7</t>
  </si>
  <si>
    <t>466157</t>
  </si>
  <si>
    <t>Tarjeta de video ASUS TUF-RTX5080-O16G-GAMING, 16GB GDDR7, PCIe Gen 5.0[@@@]Puertos:</t>
  </si>
  <si>
    <t>VD16ASRTX5080PO</t>
  </si>
  <si>
    <t> VGA 16G AS RTX5080 PRM OC GDR7</t>
  </si>
  <si>
    <t>466158</t>
  </si>
  <si>
    <t>Tarjeta de video ASUS PRIME-RTX5080-O16G, 16GB GDDR7, PCIe Gen 5.0[@@@]Puertos: 3 x D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</si>
  <si>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</si>
  <si>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</si>
  <si>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</si>
  <si>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</si>
  <si>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VD8GASRTX506TDO</t>
  </si>
  <si>
    <t> VGA 8G AS RTX5060TI DUAL OC</t>
  </si>
  <si>
    <t>479564</t>
  </si>
  <si>
    <t>Tarjeta de video ASUS DUAL-RTX5060TI-O8G, 8 GB GDDR7, PCIe Gen 5.0[@@@]Puertos: 3 x D</t>
  </si>
  <si>
    <t>VD16ASRX906XTDW</t>
  </si>
  <si>
    <t> VGA 16G AS RX9060XT DUAL WHITE</t>
  </si>
  <si>
    <t>499379</t>
  </si>
  <si>
    <t>VD16ASRX906XTTO</t>
  </si>
  <si>
    <t> VGA 16G AS RX9060XT TUF OC GD6</t>
  </si>
  <si>
    <t>481165</t>
  </si>
  <si>
    <t>Tarjeta de video ASUS TUF-RX9060XT-O16G-GAMING, 16 GB GDDR6, PCI-E 5.0[@@@]Puertos: 2</t>
  </si>
  <si>
    <t>CETLN201007RD</t>
  </si>
  <si>
    <t> PATCH CORD CAT6 ROJO 2.13M</t>
  </si>
  <si>
    <t>274115</t>
  </si>
  <si>
    <t>Cable Patch Moldeado Tripp-Lite Snagless Cat6 Gigabit (RJ45 M/M) - Rojo, de 2.13 mts.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</si>
  <si>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</si>
  <si>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</si>
  <si>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</si>
  <si>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</si>
  <si>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</si>
  <si>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</si>
  <si>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</si>
  <si>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</si>
  <si>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</si>
  <si>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ACCCRCT2006695</t>
  </si>
  <si>
    <t> CRICUT BASIC SET</t>
  </si>
  <si>
    <t>479364</t>
  </si>
  <si>
    <t>Cricut | Kit de Herramientas basicas | Tijera | Pinza | Raspador | Gancho | Espatula[</t>
  </si>
  <si>
    <t>NBACTE9010GR</t>
  </si>
  <si>
    <t> BACKPACK TE-ACS9010 NB 15.6''</t>
  </si>
  <si>
    <t>422960</t>
  </si>
  <si>
    <t>Mochila TEROS TE-ACS9010, poliéster, soporta notebooks de hasta 15.6", gris[@@@]La Mo</t>
  </si>
  <si>
    <t>NBACTE9017BK</t>
  </si>
  <si>
    <t> BACKPACK TEROS WORK BLACK</t>
  </si>
  <si>
    <t>425712</t>
  </si>
  <si>
    <t>Backpack Teros Work TE-ACS9017BK, para Notebooks de hasta 15.6", Color Black[@@@]Moch</t>
  </si>
  <si>
    <t>NBACTE9019BL</t>
  </si>
  <si>
    <t> BACKPACK TEROS NOVA BLUE/BROWN</t>
  </si>
  <si>
    <t>440794</t>
  </si>
  <si>
    <t>Backpack Teros Nova TE-ACS9019BL, para Notebooks de hasta 15.6", Color Azul/Marrón[@@</t>
  </si>
  <si>
    <t>NBACTE9020GR</t>
  </si>
  <si>
    <t> BACKPACK TEROS NOVA GREY/BROWN</t>
  </si>
  <si>
    <t>440795</t>
  </si>
  <si>
    <t>Backpack Teros Nova TE-ACS9020GR, para Notebooks de hasta 15.6", Color Gris/Marrón[@@</t>
  </si>
  <si>
    <t>NBHPBM6U7LA</t>
  </si>
  <si>
    <t> NBG OMN 16 R9-3 32 1T V8G W11</t>
  </si>
  <si>
    <t>478533</t>
  </si>
  <si>
    <t>Notebook HP Gaming OMEN 16-ap0004la, 16” 2K IPS, AMD Ryzen AI 9 365 5.0 GHZ,32GB DDR5</t>
  </si>
  <si>
    <t>DS86UHDTE8612W</t>
  </si>
  <si>
    <t> PIZ. INTERACTIVA 86\'' UHD 60H</t>
  </si>
  <si>
    <t>455912</t>
  </si>
  <si>
    <t>Pantalla Táctil Interactiva TEROS TE8612W, 86" D-LED IPS (3840x2160), 8ms, 8GB, Andro</t>
  </si>
  <si>
    <t>STEPT215520</t>
  </si>
  <si>
    <t> WF-100 CARTUCHO DE TINTA TRI-C</t>
  </si>
  <si>
    <t>293163</t>
  </si>
  <si>
    <t>Cartucho de Tinta Epson Tricolor, T215520-AL, para WorkForce WF-100.[@@@]Las tintas p</t>
  </si>
  <si>
    <t>STPRET04D100</t>
  </si>
  <si>
    <t> CAJA DE MANTENIMIENTO L6171</t>
  </si>
  <si>
    <t>294296</t>
  </si>
  <si>
    <t>Caja de mantenimiento Epson T04D100, para Epson EcoTank.[@@@]Almacena tinta que se el</t>
  </si>
  <si>
    <t xml:space="preserve"> Con velocidades de lectura de 500 MB/s y escritura de 450 MB/s</t>
  </si>
  <si>
    <t>Fuente de alimentación MSI MAG A750BN PCI-E 5, 750W, 80 PLUS Bronze, Formato ATX.[@@@</t>
  </si>
  <si>
    <t>PREPWFC5810</t>
  </si>
  <si>
    <t> IMP EPSON PRO WORKFORCE-C5810</t>
  </si>
  <si>
    <t>414601</t>
  </si>
  <si>
    <t>Multifuncional de tinta Epson WorkForce Pro WF-C5810, Imprime/Escanea/Copia/Fax/LAN/W</t>
  </si>
  <si>
    <t>PCAS90PF05E1M00</t>
  </si>
  <si>
    <t> PC SFF ASUS U7-265/16/1T/W11P</t>
  </si>
  <si>
    <t>491054</t>
  </si>
  <si>
    <t>PC SFF ASUS D700SF-007265038X, Core Ultra 7 265 2.4/5.3GHz, 16GB DDR5-5600MT/s,1TB SS</t>
  </si>
  <si>
    <t>CPAM4R35300G</t>
  </si>
  <si>
    <t> PROC AMD RYZEN 3 5300G 4GHZ</t>
  </si>
  <si>
    <t>465707</t>
  </si>
  <si>
    <t>Procesador AMD Ryzen 3 5300G, 4.00 / 4.20 GHz, 8MB L3, 4 Core, AM4, 7nm, 65W.[@@@]Inc</t>
  </si>
  <si>
    <t>Procesador AMD Ryzen 7 5700, 3.70 / 4.60GHz, 16MBL3, 8-Core, AM4, 7nm, 65W.[@@@]No In</t>
  </si>
  <si>
    <t>CPILI312100F</t>
  </si>
  <si>
    <t> PROC INT CORE I3-12100F 4.30GZ</t>
  </si>
  <si>
    <t>383117</t>
  </si>
  <si>
    <t>Procesador Intel Core i3-12100F, 3.30/4.30GHz, 12MB SmartCaché, LGA1700, Intel 7(10nm</t>
  </si>
  <si>
    <t>CPILI514600K</t>
  </si>
  <si>
    <t> PROC INT CORE I5-14600K 3.50G</t>
  </si>
  <si>
    <t>425316</t>
  </si>
  <si>
    <t>Procesador Intel Core i5-14600K 3.50/5.30GHz, 24 MB Intel Smart Caché, LGA1700, 125W/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</si>
  <si>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</si>
  <si>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</si>
  <si>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</si>
  <si>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</si>
  <si>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</si>
  <si>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</si>
  <si>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</si>
  <si>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</si>
  <si>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</si>
  <si>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</si>
  <si>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</si>
  <si>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</si>
  <si>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</si>
  <si>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</si>
  <si>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</si>
  <si>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</si>
  <si>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ACCFANPCCG6BK</t>
  </si>
  <si>
    <t> FAN-COOLER DUAL PCC G6 BK</t>
  </si>
  <si>
    <t>PCCOOLER</t>
  </si>
  <si>
    <t>455473</t>
  </si>
  <si>
    <t>Fan-Cooler Dual para CPU PcCooler G6 BK, 260W, 4-Pin PWM, 12V DC[@@@]Es un Fan-Cooler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</si>
  <si>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</si>
  <si>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</si>
  <si>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</si>
  <si>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</si>
  <si>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</si>
  <si>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</si>
  <si>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</si>
  <si>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MBMSZ890-SWIFIW</t>
  </si>
  <si>
    <t> MB MS PRO Z890-S WF WHITE DDR5</t>
  </si>
  <si>
    <t>469091</t>
  </si>
  <si>
    <t>Motherboard MSI PRO Z890-S WIFI WHITE, Chipset Intel Z890, LGA 1851, HDMI, DP, ATX[@@</t>
  </si>
  <si>
    <t>ME16PASL560081H</t>
  </si>
  <si>
    <t> MEM RAM 16G PA SL 5.60GHZ DDR5</t>
  </si>
  <si>
    <t>509201</t>
  </si>
  <si>
    <t>AC32GBUSBCZ410B</t>
  </si>
  <si>
    <t>460268</t>
  </si>
  <si>
    <t>Memoria Flash USB SanDisk Ultra Shift, 32GB, USB 3.2 Gen 1, Color Cyan[@@@]</t>
  </si>
  <si>
    <t>AC64GUSBSDCZ50</t>
  </si>
  <si>
    <t> USB SANDISK CRUZER BLADE 64GB</t>
  </si>
  <si>
    <t>224859</t>
  </si>
  <si>
    <t>Memoria Flash USB SanDisk Cruzer Blade , 64GB, USB 2.0, presentación en colgador.[@@@</t>
  </si>
  <si>
    <t>ACSDCZ73064GGG4</t>
  </si>
  <si>
    <t> USB SANDI ULTRA FLAIR 64GB 3.0</t>
  </si>
  <si>
    <t>416155</t>
  </si>
  <si>
    <t>Memoria Flash SanDisk 64GB Ultra Flair USB 3.0.[@@@]</t>
  </si>
  <si>
    <t>ME32KCP556SD8</t>
  </si>
  <si>
    <t> MEM RAM 32G KCP 5.60G SOD DDR5</t>
  </si>
  <si>
    <t>443814</t>
  </si>
  <si>
    <t>NBACTE9028GR</t>
  </si>
  <si>
    <t> BACKPACK TEROS CITY II GREY</t>
  </si>
  <si>
    <t>467754</t>
  </si>
  <si>
    <t>Backpack Teros City II TE-9028GR, para Notebooks de hasta 15.6" Color Gris[@@@]Descub</t>
  </si>
  <si>
    <t>MSWPKTE1221S</t>
  </si>
  <si>
    <t> MOUSE STD USB TE1221 PK</t>
  </si>
  <si>
    <t>427324</t>
  </si>
  <si>
    <t>Mouse óptico TEROS TE-1221S, 1000 DPI, USB, 3 botones[@@@]Descubre precisión y comodi</t>
  </si>
  <si>
    <t>NBASX1605MB1350</t>
  </si>
  <si>
    <t> NB AS 16 I5-13 16 512 FREE</t>
  </si>
  <si>
    <t>480389</t>
  </si>
  <si>
    <t>Notebook Asus Vivobook 16, 16" WUXGA IPS, Core i5-13420H 2.1/4.6GHz, 16GB DDR4[@@@]Po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</si>
  <si>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</si>
  <si>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</si>
  <si>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</si>
  <si>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</si>
  <si>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</si>
  <si>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</si>
  <si>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</si>
  <si>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</si>
  <si>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</si>
  <si>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</si>
  <si>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</si>
  <si>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</si>
  <si>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</si>
  <si>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</si>
  <si>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</si>
  <si>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ACCTE8081B</t>
  </si>
  <si>
    <t> SMART WATCH TE8081</t>
  </si>
  <si>
    <t>438463</t>
  </si>
  <si>
    <t>Reloj inteligente TEROS TE-8081B, 1.43" AMOLED, IP68, bluetooth 5.3, negro[@@@]Este r</t>
  </si>
  <si>
    <t>TBSMX620NLBAPEO</t>
  </si>
  <si>
    <t>510123</t>
  </si>
  <si>
    <t>TBSMX730NZSKPEO</t>
  </si>
  <si>
    <t> GALAXY TAB S11 12 512 KB COVER</t>
  </si>
  <si>
    <t>510124</t>
  </si>
  <si>
    <t>TBSMX930NZSDPEO</t>
  </si>
  <si>
    <t> GALAXY TAB S11 ULTRA 12 256</t>
  </si>
  <si>
    <t>510126</t>
  </si>
  <si>
    <t>ACSMT1510NBEGWW</t>
  </si>
  <si>
    <t> TRAVEL ADAPTER 15W_PD (TA ONLY</t>
  </si>
  <si>
    <t>437382</t>
  </si>
  <si>
    <t>Cargador Samsung Travel Adapter 15W PD, USB-C, Diseño compacto, Color Negro[@@@]¡Simp</t>
  </si>
  <si>
    <t>KBMSHDSTE4063N</t>
  </si>
  <si>
    <t> KB MS HS PAD TEROS TE-4063N</t>
  </si>
  <si>
    <t>414034</t>
  </si>
  <si>
    <t>Kit gamer TEROS TE-4063N, teclado multimedia, mouse, headset, mouse pad[@@@]Lleva tu</t>
  </si>
  <si>
    <t>MBASH610M-CT2D4</t>
  </si>
  <si>
    <t> MOTHERBOARD PRO H610M-CT2 D4</t>
  </si>
  <si>
    <t>448923</t>
  </si>
  <si>
    <t>Motherboard ASUS Pro H610M-CT2 D4-CSM, Chipset Intel H610, LGA1700, mATX[@@@]Soporta</t>
  </si>
  <si>
    <t>ME16TET32UN4C18</t>
  </si>
  <si>
    <t> MEM RAM 16G TE TIT 3.20GHZ DR4</t>
  </si>
  <si>
    <t>507853</t>
  </si>
  <si>
    <t>ME8GKF432C16BWP</t>
  </si>
  <si>
    <t> MEM RAM 8G FURY 3.20MTS DDR4</t>
  </si>
  <si>
    <t>495213</t>
  </si>
  <si>
    <t>Memoria UDIMM Kingston Fury Beast, 8GB DDR4-3200MT/s, CL16, 1.35V, 1Rx8, 288-Pin, Non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</si>
  <si>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</si>
  <si>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</si>
  <si>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</si>
  <si>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</si>
  <si>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</si>
  <si>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</si>
  <si>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</si>
  <si>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Case Gamer Teros TE-1321G, Mid Tower, USB 3.0 / USB 2.0, Audio, Ventilador RGB, Negro</t>
  </si>
  <si>
    <t>CSCMH500WGNNS00</t>
  </si>
  <si>
    <t> CASE GAMER E-ATX HAF500 WHITE</t>
  </si>
  <si>
    <t>467669</t>
  </si>
  <si>
    <t>Case Cooler Master HAF 500 Mid Tower Case[@@@]Motherboard - Factor de Forma soportado</t>
  </si>
  <si>
    <t>CSMSGUN211RAFPZ</t>
  </si>
  <si>
    <t> CS MS GUNGNIR 211R AF PZ BLACK</t>
  </si>
  <si>
    <t>509271</t>
  </si>
  <si>
    <t>ZZCSA00BKTE1321</t>
  </si>
  <si>
    <t> CASE GM ATX TE1321 BLACK (AMD</t>
  </si>
  <si>
    <t>510085</t>
  </si>
  <si>
    <t>PSGBAE850PMPG5</t>
  </si>
  <si>
    <t> PS GB AE850PM PG5 80+ PLATINUM</t>
  </si>
  <si>
    <t>463055</t>
  </si>
  <si>
    <t>Fuente de alimentación Gigabyte GP-AE850PM PG5, 850W, 80 PLUS Platinum, Formato ATX.[</t>
  </si>
  <si>
    <t>PSGBP550SS</t>
  </si>
  <si>
    <t> PS GB P550 550W 80+ SILVER</t>
  </si>
  <si>
    <t>448158</t>
  </si>
  <si>
    <t>Fuente de alimentación Gigabyte P550SS, 550W, 80 PLUS Silver, Formato ATX.[@@@]</t>
  </si>
  <si>
    <t>PSGBP650SSICE</t>
  </si>
  <si>
    <t> PS GB P650 650W 80+ SILVER</t>
  </si>
  <si>
    <t>448159</t>
  </si>
  <si>
    <t>Fuente de alimentación Gigabyte P650SS ICE , 650W, ATX, 80 Plus Silver.[@@@]1 conecto</t>
  </si>
  <si>
    <t>PSGBP750BS</t>
  </si>
  <si>
    <t> PSU GB P750BS 750W 80P BRONZE</t>
  </si>
  <si>
    <t>468996</t>
  </si>
  <si>
    <t>Fuente de alimentación Gigabyte P750BS, 750W, ATX, 80 Plus Bronze, 100V ~ 240VAC.[@@@</t>
  </si>
  <si>
    <t>PSGBUD1000GM</t>
  </si>
  <si>
    <t> PSU GB 1000W UD 80+G FM</t>
  </si>
  <si>
    <t>391475</t>
  </si>
  <si>
    <t>Fuente de alimentación Gigabyte GP-UD1000GM, 1000W, 80 PLUS Gold Certified, Formato A</t>
  </si>
  <si>
    <t>PSGBUD1600PMPG5</t>
  </si>
  <si>
    <t> PS GB UD1600PM PG5 1600W 80+PL</t>
  </si>
  <si>
    <t>476330</t>
  </si>
  <si>
    <t>Fuente de alimentación GIGABYTE UD1600PM PG5 AI TOP, 80 PLUS Platinum, 1600W, Formato</t>
  </si>
  <si>
    <t>PSGBUD750GMPG5</t>
  </si>
  <si>
    <t> PSU GB UD750GM PC5 FM 80+ GOLD</t>
  </si>
  <si>
    <t>449563</t>
  </si>
  <si>
    <t>Fuente de alimentación Gigabyte UD750GM PG5, 750W, 80 PLUS Gold Certified, Formato AT</t>
  </si>
  <si>
    <t>PSGBUD850GMPG5W</t>
  </si>
  <si>
    <t> PSU GB 850W 80+G FM PCI-EG5 WH</t>
  </si>
  <si>
    <t>463061</t>
  </si>
  <si>
    <t>Fuente de alimentación Gigabyte UD850GM PG5W, 850W, 80 PLUS Gold, Formato ATX.[@@@]Co</t>
  </si>
  <si>
    <t>PREPL15150-N</t>
  </si>
  <si>
    <t> IMP EPSON ECOTANK L15150 AV</t>
  </si>
  <si>
    <t>444288</t>
  </si>
  <si>
    <t>Multifuncional de tinta Epson EcoTank L15150, imprime/escanea/copia/Fax/Wi-Fi/USB/Eth</t>
  </si>
  <si>
    <t>PRHPWF5890</t>
  </si>
  <si>
    <t> IMPRESORA WORKFORCE WF-C5890</t>
  </si>
  <si>
    <t>418334</t>
  </si>
  <si>
    <t>Impresora Multifuncion Epson WorkForce Pro WF-C5890 Imprime/Escanea/Copia/Fax/LAN/WiF</t>
  </si>
  <si>
    <t>PCAD2VO650Y20BC</t>
  </si>
  <si>
    <t> PC VO6570 I5-13/16GB/512GB/LX</t>
  </si>
  <si>
    <t>510407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</si>
  <si>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</si>
  <si>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</si>
  <si>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</si>
  <si>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</si>
  <si>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</si>
  <si>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</si>
  <si>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</si>
  <si>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ACGBLQGME360N</t>
  </si>
  <si>
    <t> COOLER GB AIO GME 360 BLACK</t>
  </si>
  <si>
    <t>491443</t>
  </si>
  <si>
    <t>Refrigerador líquido de CPU GIGABYTE GP-GIGABYTE GME 360[@@@]El refrigerador de líqui</t>
  </si>
  <si>
    <t>ACGBLQGME360W</t>
  </si>
  <si>
    <t> COOLER GB AIO GME 360 WHITE</t>
  </si>
  <si>
    <t>479912</t>
  </si>
  <si>
    <t>Refrigerador líquido de CPU GIGABYTE GP-GIGABYTE GME 360 WHITE[@@@]El refrigerador de</t>
  </si>
  <si>
    <t>CPILI512400F</t>
  </si>
  <si>
    <t> PROC INT CORE I5-12400F 2.50GZ</t>
  </si>
  <si>
    <t>383119</t>
  </si>
  <si>
    <t>Procesador Intel Core i5-12400F, 2.50/4.40GHz, 18MB Caché L3, LGA1700, 117W, Intel 7(</t>
  </si>
  <si>
    <t>CPILI714700</t>
  </si>
  <si>
    <t> PROC INT CORE I7-14700 2.10GHZ</t>
  </si>
  <si>
    <t>435198</t>
  </si>
  <si>
    <t>Procesador Intel Core i7-14700 2.10/5.40GHz, 33 MB Intel Smart Caché, LGA1700, 65W/21</t>
  </si>
  <si>
    <t>HDTOWT840UZSVA</t>
  </si>
  <si>
    <t> HD TOSHIBA S300 4TB SURV.</t>
  </si>
  <si>
    <t>441367</t>
  </si>
  <si>
    <t>Disco duro Toshiba Surveillance S300, 4TB SATA 6.0Gb/s, 5400rpm, 256MB Cache, 3.5".[@</t>
  </si>
  <si>
    <t>Estabilizador Monofasico ELISE IEDA PODER SAFE, LCR10-4.5%, Solido, 1kVA, 220VAC, 4 T</t>
  </si>
  <si>
    <t>Estabilizador Monofasico ELISE IEDA PODER SAFE, LCR20-4.5%, Solido, 2kVA, 220VAC, 4 T</t>
  </si>
  <si>
    <t>ACCCR2003546</t>
  </si>
  <si>
    <t> CR PACK MATS FOR CUTTER</t>
  </si>
  <si>
    <t>502044</t>
  </si>
  <si>
    <t>MBGBB760MD3HPD4</t>
  </si>
  <si>
    <t> MB GB B760M D3HP S/V/L DDR4</t>
  </si>
  <si>
    <t>447946</t>
  </si>
  <si>
    <t>Motherboard Gigabyte B760M D3HP DDR4, Chipset Intel B760, LGA1700, mATX[@@@]Soporta P</t>
  </si>
  <si>
    <t>MBGBB860MD3HP</t>
  </si>
  <si>
    <t> MB GB B860M D3HP S/V/L DDR5</t>
  </si>
  <si>
    <t>498658</t>
  </si>
  <si>
    <t>Motherboard GIGABYTE B860M D3HP, Chipset Intel B860, LGA 1851, HDMI, DP, mATX[@@@]Sop</t>
  </si>
  <si>
    <t>MBGBB860ME</t>
  </si>
  <si>
    <t> MB GB B860M E S/V/L DDR5</t>
  </si>
  <si>
    <t>508303</t>
  </si>
  <si>
    <t>MBGBB860MH</t>
  </si>
  <si>
    <t> MB GB B860M H S/V/L DDR5</t>
  </si>
  <si>
    <t>501634</t>
  </si>
  <si>
    <t>Motherboard GIGABYTE B860M H, Chipset Intel B860,LGA 1851, HDMI, mATX[@@@]Soporta Pro</t>
  </si>
  <si>
    <t>MBGBB860MK</t>
  </si>
  <si>
    <t> MB GB B860M K S/V/L DDR5</t>
  </si>
  <si>
    <t>479950</t>
  </si>
  <si>
    <t>Motherboard GIGABYTE B860M K, Chipset Intel B860,LGA 1851, HDMI, mATX[@@@]Soporta Pro</t>
  </si>
  <si>
    <t>MBGBB860MAEWF6W</t>
  </si>
  <si>
    <t> MB GB B860M A ELT WF6E ICE DR5</t>
  </si>
  <si>
    <t>508388</t>
  </si>
  <si>
    <t>MBGBB860MAORELT</t>
  </si>
  <si>
    <t> MB GB B860M AORUS ELITE DDR5</t>
  </si>
  <si>
    <t>508310</t>
  </si>
  <si>
    <t>MBGBB860MEAWF6V</t>
  </si>
  <si>
    <t> MB GB B860M EAGLE WIFI6 V2 DR5</t>
  </si>
  <si>
    <t>508311</t>
  </si>
  <si>
    <t>MBGBB860MGMGWF6</t>
  </si>
  <si>
    <t> MB GB B860M GAMING WIFI6 DDR5</t>
  </si>
  <si>
    <t>469277</t>
  </si>
  <si>
    <t>Motherboard GIGABYTE B860M GAMING WIFI6, Chipset Intel B860, LGA 1851, HDMI, DP, mATX</t>
  </si>
  <si>
    <t>MBGBZ890MAEWF7</t>
  </si>
  <si>
    <t> MB GB Z890M A ELITE WIFI7 DDR5</t>
  </si>
  <si>
    <t>475916</t>
  </si>
  <si>
    <t>Motherboard GIGABYTE Z890M AORUS ELITE WIFI7, Chipset Intel Z890, LGA 1851, mATX[@@@]</t>
  </si>
  <si>
    <t>MBGBA520MKV2</t>
  </si>
  <si>
    <t> MB GB A520M K AM4 S/V/L DDR4</t>
  </si>
  <si>
    <t>414078</t>
  </si>
  <si>
    <t>Motherboard Gigabyte A520M K V2 (rev. 1.0) Chipset AMD A520, Socket AM4, Micro ATX[@@</t>
  </si>
  <si>
    <t>MBGBB550MDS3HR2</t>
  </si>
  <si>
    <t> MB GB B550M DS3H R2 SVL DDR4</t>
  </si>
  <si>
    <t>479947</t>
  </si>
  <si>
    <t>Motherboard Gigabyte B550M DS3H R2, Chipset AMD B550, Socket AM4, Micro ATX[@@@]Sopor</t>
  </si>
  <si>
    <t>MBGBB550MK</t>
  </si>
  <si>
    <t> MB GB B550M K AM4 S/V/L DDR4</t>
  </si>
  <si>
    <t>414077</t>
  </si>
  <si>
    <t>Motherboard Gigabyte B550M K (rev. 1.0) Chipset AMD B550, Socket AM4, Micro ATX[@@@]S</t>
  </si>
  <si>
    <t>MBGBB550AOELAX2</t>
  </si>
  <si>
    <t> MB GB B550 AOR ELITE AX V2 DR4</t>
  </si>
  <si>
    <t>364528</t>
  </si>
  <si>
    <t>Motherboard Gigabyte B550 AORUS ELITE AX V2 (rev.1.0) Chipset AMD B550 Socket AMD AM4</t>
  </si>
  <si>
    <t>MBGBB550MAORELT</t>
  </si>
  <si>
    <t> MB GB B550M AORUS ELITE DDR4</t>
  </si>
  <si>
    <t>353009</t>
  </si>
  <si>
    <t>Motherboard Gigabyte B550M AORUS ELITE (rev. 1.0), Chipset AMD B550, Socket AMD AM4,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</si>
  <si>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</si>
  <si>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</si>
  <si>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</si>
  <si>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</si>
  <si>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</si>
  <si>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</si>
  <si>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</si>
  <si>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</si>
  <si>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</si>
  <si>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</si>
  <si>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</si>
  <si>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</si>
  <si>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</si>
  <si>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</si>
  <si>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</si>
  <si>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</si>
  <si>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</si>
  <si>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</si>
  <si>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</si>
  <si>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</si>
  <si>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</si>
  <si>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</si>
  <si>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</si>
  <si>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</si>
  <si>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</si>
  <si>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</si>
  <si>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</si>
  <si>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</si>
  <si>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</si>
  <si>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</si>
  <si>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</si>
  <si>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</si>
  <si>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</si>
  <si>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</si>
  <si>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</si>
  <si>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</si>
  <si>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</si>
  <si>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</si>
  <si>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MBGBX870GMGWF6</t>
  </si>
  <si>
    <t> MB GB X870 GAMING WF6 DDR5</t>
  </si>
  <si>
    <t>463011</t>
  </si>
  <si>
    <t>Motherboard GIGABYTE X870 GAMING WIFI6, Chipset AMD X870, Socket AMD AM5, ATX[@@@]Sop</t>
  </si>
  <si>
    <t>MBGBX870MAELWF7</t>
  </si>
  <si>
    <t> MB GB X870M A ELITE WF7 DDR5</t>
  </si>
  <si>
    <t>508606</t>
  </si>
  <si>
    <t>MBGBX870MAEWF7I</t>
  </si>
  <si>
    <t>510132</t>
  </si>
  <si>
    <t>AC16GBUSBCZ50GR</t>
  </si>
  <si>
    <t> USB SANDISK 16GB CRUZER GREEN</t>
  </si>
  <si>
    <t>263235</t>
  </si>
  <si>
    <t>Memoria Flash USB SanDisk Cruzer Blade, 16GB, USB2.0.[@@@]Cruzer Blade USB Flash Driv</t>
  </si>
  <si>
    <t>ZZNBACTE9037BK</t>
  </si>
  <si>
    <t> ZZ MOCHILA TRAV 15.6 (TOSHIBA)</t>
  </si>
  <si>
    <t>511026</t>
  </si>
  <si>
    <t>MO24MSG2422C</t>
  </si>
  <si>
    <t> MON 24 MS G2422C FHD 1MS 180HZ</t>
  </si>
  <si>
    <t>439457</t>
  </si>
  <si>
    <t>Monitor curvo gaming MSI G2422C 24"/FHD/VA/1500R/180Hz/HDMI x2/DP x1/Earphone-Out x1[</t>
  </si>
  <si>
    <t>MO24MSG244FE2</t>
  </si>
  <si>
    <t> MON 24 MS G244FE2 FHD 1M 180HZ</t>
  </si>
  <si>
    <t>449096</t>
  </si>
  <si>
    <t>Monitor plano gaming MSI G244F E2 23.8"/FHD/RapidIPS/180Hz/HDMI x2/DP x1/Earphone-out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</si>
  <si>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</si>
  <si>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</si>
  <si>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</si>
  <si>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</si>
  <si>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</si>
  <si>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</si>
  <si>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</si>
  <si>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</si>
  <si>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</si>
  <si>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</si>
  <si>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</si>
  <si>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</si>
  <si>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</si>
  <si>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</si>
  <si>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</si>
  <si>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</si>
  <si>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</si>
  <si>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</si>
  <si>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</si>
  <si>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ZZMON238FTE2415</t>
  </si>
  <si>
    <t> MO TE 24 FHD 120HZ 1MS F (AMD)</t>
  </si>
  <si>
    <t>510087</t>
  </si>
  <si>
    <t>MONLE62CAUAR1US</t>
  </si>
  <si>
    <t> THINKVISION M15 15.6” FHD MOBI</t>
  </si>
  <si>
    <t>401144</t>
  </si>
  <si>
    <t>Monitor Lenovo ThinkVision M15 15.6" WLED IPS 1920x1080, 2x USB-C 3.2 G1 (DP 1.2 Alt</t>
  </si>
  <si>
    <t>MSWPPLTE1219S</t>
  </si>
  <si>
    <t>427322</t>
  </si>
  <si>
    <t>Mouse óptico inalámbrico TEROS TE-1219S, 1000 DPI, receptor USB, 3 botones, color mor</t>
  </si>
  <si>
    <t>NBHPB9TR3LA</t>
  </si>
  <si>
    <t> NB HP 15 R7-7 16 512 FREE</t>
  </si>
  <si>
    <t>491939</t>
  </si>
  <si>
    <t>Notebook HP 15-fc0275la, 15.6" FHD, AMD Ryzen 7 7730U 2.0 / 4.5GHz, 16GB DDR4-3200MHz</t>
  </si>
  <si>
    <t>Notebook HP 240RT G9, 14" LCD LED HD SVA, Core 3 N350 hasta 3.9GHz, 8GB DDR4-3200MHz[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</si>
  <si>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</si>
  <si>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</si>
  <si>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</si>
  <si>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</si>
  <si>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</si>
  <si>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</si>
  <si>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</si>
  <si>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Notebook Lenovo IDEPAD SLIM 3 15IRH10, 15.3" WUXGA IPS, Core i7 13620H 2.4/4.9GHz, 16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</si>
  <si>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</si>
  <si>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</si>
  <si>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</si>
  <si>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</si>
  <si>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</si>
  <si>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</si>
  <si>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</si>
  <si>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</si>
  <si>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</si>
  <si>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</si>
  <si>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</si>
  <si>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</si>
  <si>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</si>
  <si>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</si>
  <si>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</si>
  <si>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</si>
  <si>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</si>
  <si>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</si>
  <si>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</si>
  <si>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</si>
  <si>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</si>
  <si>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</si>
  <si>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RTDLKDIRX4860</t>
  </si>
  <si>
    <t> ROUTER DIR-X4860 EXO AX 4800 W</t>
  </si>
  <si>
    <t>483400</t>
  </si>
  <si>
    <t>Wifi Router D-Link DIR-X4860 AX4800 Next Generation / 6 Antenas Externas / 2,4/5 GHz[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</si>
  <si>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</si>
  <si>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</si>
  <si>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</si>
  <si>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</si>
  <si>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</si>
  <si>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</si>
  <si>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</si>
  <si>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</si>
  <si>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</si>
  <si>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</si>
  <si>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</si>
  <si>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</si>
  <si>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</si>
  <si>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</si>
  <si>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</si>
  <si>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Router Wireless N D-Link DIR-615, 4 10/100 LAN Ports, 1 10/100 WAN Port, 802.11g/n,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</si>
  <si>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</si>
  <si>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</si>
  <si>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</si>
  <si>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</si>
  <si>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</si>
  <si>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</si>
  <si>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</si>
  <si>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</si>
  <si>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NWDGS151028X</t>
  </si>
  <si>
    <t> 28-PORTS GIGABIT - 24-PORTS GI</t>
  </si>
  <si>
    <t>252014</t>
  </si>
  <si>
    <t>Switch D-Link DGS-1510 Series, Capa L2/L3, 24 RJ-45 GbE, 4 SFP+ 10GbE.[@@@]Capacidad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</si>
  <si>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</si>
  <si>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</si>
  <si>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</si>
  <si>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</si>
  <si>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</si>
  <si>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</si>
  <si>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</si>
  <si>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</si>
  <si>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</si>
  <si>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</si>
  <si>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</si>
  <si>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</si>
  <si>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</si>
  <si>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</si>
  <si>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</si>
  <si>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</si>
  <si>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</si>
  <si>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</si>
  <si>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</si>
  <si>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</si>
  <si>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</si>
  <si>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</si>
  <si>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</si>
  <si>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NWDLDGS1016D</t>
  </si>
  <si>
    <t> D-LINK SWITCH 16-PORT GIGABIT</t>
  </si>
  <si>
    <t>41032</t>
  </si>
  <si>
    <t>Switch D-Link DGS-1016C, 16 RJ-45 10/100/1000 Mbps, Auto MDI/MDIX.[@@@]Presentación e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</si>
  <si>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</si>
  <si>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</si>
  <si>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</si>
  <si>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</si>
  <si>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</si>
  <si>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</si>
  <si>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</si>
  <si>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</si>
  <si>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</si>
  <si>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</si>
  <si>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</si>
  <si>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</si>
  <si>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</si>
  <si>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</si>
  <si>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</si>
  <si>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</si>
  <si>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</si>
  <si>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</si>
  <si>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</si>
  <si>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</si>
  <si>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</si>
  <si>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</si>
  <si>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</si>
  <si>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</si>
  <si>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</si>
  <si>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</si>
  <si>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</si>
  <si>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</si>
  <si>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</si>
  <si>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</si>
  <si>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</si>
  <si>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</si>
  <si>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</si>
  <si>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</si>
  <si>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</si>
  <si>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</si>
  <si>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ACCTCTE7052N</t>
  </si>
  <si>
    <t> POWERBANK PD20W 8000MAH</t>
  </si>
  <si>
    <t>424107</t>
  </si>
  <si>
    <t>Batería externa / Powerbank Teros TE-7052N, 8000 mAh, PD 20W, magnético[@@@]Mantén tu</t>
  </si>
  <si>
    <t>ZZKBTE4064NA</t>
  </si>
  <si>
    <t> TECLADO KB TE-4064N BT (AMD)</t>
  </si>
  <si>
    <t>510088</t>
  </si>
  <si>
    <t>KBUSBSPLOGMK270</t>
  </si>
  <si>
    <t> COMBO TECLADO Y MOUSE LOGITECH</t>
  </si>
  <si>
    <t>445558</t>
  </si>
  <si>
    <t>VD16GBRTX5080AW</t>
  </si>
  <si>
    <t> VGA 16G GB RTX5080 AORUS X WT</t>
  </si>
  <si>
    <t>478595</t>
  </si>
  <si>
    <t>Tarjeta de video GIGABYTE AORUS GeForce RTX 5080 XTREME WATERFORCE 16G, 16GB GDDR7, P</t>
  </si>
  <si>
    <t>VD16GBRTX5080OG</t>
  </si>
  <si>
    <t> VGA 16G GB RTX5080 OC GMG GDR7</t>
  </si>
  <si>
    <t>467581</t>
  </si>
  <si>
    <t>Tarjeta de video GIGABYTE GeForce RTX 5080 GAMINGOC 16G, 16 GB GDDR7, PCIe Gen 5.0[@@</t>
  </si>
  <si>
    <t>Tarjeta de video ASUS Dual Radeon RX 9060 XT 16GBGDDR6 White Edition,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</si>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</sst>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6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68" dataDxfId="66" headerRowBorderDxfId="67" tableBorderDxfId="65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64"/>
    <tableColumn id="2" xr3:uid="{5E327936-82E8-4DDE-88EB-81FF82C89ADB}" name="DESCRIPCION" dataDxfId="63"/>
    <tableColumn id="3" xr3:uid="{12B8D6EE-232C-4DB2-9A27-C4B8E0000BAA}" name="STOCK" dataDxfId="62"/>
    <tableColumn id="4" xr3:uid="{FC7974D2-BFCA-4CF5-9C51-8903B6D3FE40}" name="PRECIO $" dataDxfId="61"/>
    <tableColumn id="5" xr3:uid="{A77B5974-403A-44B5-B0CA-69956CDE9FE3}" name="MARCA" dataDxfId="60"/>
    <tableColumn id="6" xr3:uid="{2162BA3C-E47D-4C33-A039-F58A3774A2DD}" name="MINI CODIGO" dataDxfId="59"/>
    <tableColumn id="7" xr3:uid="{C949476A-A627-4C6B-82A7-EF2C7D592B43}" name="DETALLES" dataDxfId="58"/>
    <tableColumn id="8" xr3:uid="{E975A22D-7BF6-4A02-8E56-104C3DD535C4}" name="PRECIO EN SOLES" dataDxfId="57">
      <calculatedColumnFormula array="1">_xlfn.IFS(I2&lt;197,I2*1.26,I2&gt;197,I2*1.17) + IF(I2&gt;1000,17,0)</calculatedColumnFormula>
    </tableColumn>
    <tableColumn id="9" xr3:uid="{226B2EEA-DBB4-4A08-95B7-8D757013498B}" name="PC" dataDxfId="56">
      <calculatedColumnFormula>($K$2+0.02)*Tabla1[[#This Row],[PRECIO $]]*1.18</calculatedColumnFormula>
    </tableColumn>
    <tableColumn id="10" xr3:uid="{CE91A1B4-20E9-4D00-ADDB-592DD1F34BEC}" name="G" dataDxfId="55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K2" totalsRowShown="0" dataDxfId="0">
  <autoFilter ref="K1:K2" xr:uid="{455B9343-FFD3-42D8-98A2-F173E1381CF8}"/>
  <tableColumns count="1">
    <tableColumn id="1" xr3:uid="{319D0C3A-2B74-44FD-A882-F467A7D82439}" name="T.C." dataDxfId="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P419" totalsRowShown="0" headerRowDxfId="54" dataDxfId="53">
  <tableColumns count="42">
    <tableColumn id="32" xr3:uid="{FDDC4F0B-9045-443D-8C76-CA735FA31908}" name="PROMO" dataDxfId="52"/>
    <tableColumn id="39" xr3:uid="{1AC7D975-804D-4302-86F4-1593B71BBDBB}" name="Laptop Gamer" dataDxfId="51"/>
    <tableColumn id="9" xr3:uid="{57B5AA43-5593-4F4F-B2E8-0BD2EF5A44B7}" name="Laptops" dataDxfId="50"/>
    <tableColumn id="28" xr3:uid="{5C8DE879-AEFD-47F7-8695-A8F3FAA60016}" name="Acces_Lap" dataDxfId="49"/>
    <tableColumn id="34" xr3:uid="{968EC682-C88F-4FF5-B53D-55A682D0C85A}" name="SSD" dataDxfId="48"/>
    <tableColumn id="1" xr3:uid="{0AE678DB-A499-4AD9-9166-CDAB74BED2AA}" name="NVME" dataDxfId="47"/>
    <tableColumn id="14" xr3:uid="{C8EEF5B9-F80E-48A2-8313-A9D608020A4B}" name="DD EXTERNOS" dataDxfId="46"/>
    <tableColumn id="29" xr3:uid="{CB483CCA-7E87-4C79-8586-760BEC639CB2}" name="TARJETAS DE VIDEO" dataDxfId="45"/>
    <tableColumn id="35" xr3:uid="{3B5ED23B-04E8-4836-A7B4-DB37438CE75B}" name="RAM NB" dataDxfId="44"/>
    <tableColumn id="38" xr3:uid="{345A0DB8-5FC8-4AB8-B4EE-7E15820DDB6C}" name="RAM PC" dataDxfId="43"/>
    <tableColumn id="2" xr3:uid="{9B8FDC90-F7B0-49FC-A283-A47B4EED5F01}" name="MF USB" dataDxfId="42"/>
    <tableColumn id="37" xr3:uid="{9EE22681-4FCE-4D35-960A-B07FE2E85922}" name="MF SD" dataDxfId="41"/>
    <tableColumn id="10" xr3:uid="{1846EE66-568B-474B-AA84-D2401D0A6F21}" name="COMPUTADORAS" dataDxfId="40"/>
    <tableColumn id="21" xr3:uid="{901B28E7-C96F-4FED-BCB7-7019FC78722D}" name="MONITORES" dataDxfId="39"/>
    <tableColumn id="15" xr3:uid="{F199FE70-04B0-4D28-8DC3-9B4830A55D54}" name="DD INTERNO" dataDxfId="38"/>
    <tableColumn id="5" xr3:uid="{F747F7EC-112B-4D09-9A10-FF73234673AD}" name="CASE" dataDxfId="37"/>
    <tableColumn id="19" xr3:uid="{88E44B5A-B3DA-4C4B-B333-4AC9186FF69F}" name="Impresoras" dataDxfId="36"/>
    <tableColumn id="8" xr3:uid="{489FB847-A50B-4D36-99CF-CDF5FFE308CB}" name="ACCESORIOS" dataDxfId="35"/>
    <tableColumn id="3" xr3:uid="{98D5601F-BC5C-4C0F-84C1-07CE54717DCF}" name="MULTIMEDIA" dataDxfId="34"/>
    <tableColumn id="23" xr3:uid="{00BEC416-4394-46C9-A0DB-D679EA965280}" name="MOUSE" dataDxfId="33"/>
    <tableColumn id="4" xr3:uid="{343C7A80-6334-47AC-BDC0-A5F1083A69CA}" name="SIXS" dataDxfId="32"/>
    <tableColumn id="6" xr3:uid="{CFFDFDA5-D923-4682-AF34-310EB309D152}" name="REDES" dataDxfId="31"/>
    <tableColumn id="7" xr3:uid="{659A6E71-1F64-4D93-BBB0-E895A7156F15}" name="Fuentes de Poder" dataDxfId="30"/>
    <tableColumn id="11" xr3:uid="{C126A45A-BB7E-4E8B-9E9E-7AA494CF3B8D}" name="Consolas" dataDxfId="29"/>
    <tableColumn id="12" xr3:uid="{DD72DD5E-F808-435A-BE66-9EA421857655}" name="Procesadores" dataDxfId="28"/>
    <tableColumn id="13" xr3:uid="{DA7038EB-6CA2-4D01-AB9E-2A99F2B47FA0}" name="Digital Signage" dataDxfId="27"/>
    <tableColumn id="22" xr3:uid="{6197EF5A-F957-466A-867F-DA19F67F4F8D}" name="Motherboard" dataDxfId="26"/>
    <tableColumn id="16" xr3:uid="{60D9B6B6-1108-41B0-9340-387308ACB2C7}" name="Fan Cooler CPU" dataDxfId="25"/>
    <tableColumn id="17" xr3:uid="{3F46C6AF-6314-4E44-9DE8-69E58F0F954D}" name="Dispositivos de Imagenes" dataDxfId="24"/>
    <tableColumn id="18" xr3:uid="{A62B746A-438D-478F-A89F-44CAFAE814B0}" name="Impresion de Manualidades" dataDxfId="23"/>
    <tableColumn id="24" xr3:uid="{1E9385A9-ADFA-4554-AA62-232D9AA271C6}" name="Servidores" dataDxfId="22"/>
    <tableColumn id="25" xr3:uid="{47CA0E50-30E7-41BD-93C0-09324E635653}" name="Smart Home" dataDxfId="21"/>
    <tableColumn id="26" xr3:uid="{4556D782-D861-4AE0-BDD2-065B121CD48A}" name="Storage" dataDxfId="20"/>
    <tableColumn id="27" xr3:uid="{396F33CA-AEA0-4252-AC50-4EAFD3BCB935}" name="Suministros" dataDxfId="19"/>
    <tableColumn id="30" xr3:uid="{2113325D-FB15-4465-95D5-21C7E21B5D71}" name="Telefonos" dataDxfId="18"/>
    <tableColumn id="31" xr3:uid="{AF1C112B-8F8D-4329-8936-653882B2C11D}" name="Televisores" dataDxfId="17"/>
    <tableColumn id="33" xr3:uid="{2B66F5A0-DA48-425A-B904-2776EDE4E644}" name="UPS/ESTABILIZADORES" dataDxfId="16"/>
    <tableColumn id="36" xr3:uid="{18000B52-4B2E-4BD4-A5D3-63E5873AD3EB}" name="Tablets" dataDxfId="15"/>
    <tableColumn id="40" xr3:uid="{15D37735-6E16-4E26-9EB7-71EC677B3142}" name="Teclados" dataDxfId="14"/>
    <tableColumn id="42" xr3:uid="{9EEE5230-4C4C-4F9C-B53E-F421F60FF194}" name="buy" dataDxfId="13"/>
    <tableColumn id="41" xr3:uid="{B022445F-7194-4921-A1AB-C77038A57B59}" name="SC+" dataDxfId="12"/>
    <tableColumn id="20" xr3:uid="{1853BE88-FD07-4930-9CCA-3DC86CFDF1FB}" name="Seguridad" dataDxfId="11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10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9" dataDxfId="8">
  <autoFilter ref="A1:F73" xr:uid="{D51F95DB-926D-44AB-A749-4DCED9BC4F79}"/>
  <tableColumns count="6">
    <tableColumn id="6" xr3:uid="{9ED63CF7-B524-444C-8650-716135D94C06}" name="DD EXTERNOS" dataDxfId="7"/>
    <tableColumn id="1" xr3:uid="{3791BE44-B364-4C6F-8AC1-1E0C31E91D78}" name="RAM LAPTOP" dataDxfId="6"/>
    <tableColumn id="2" xr3:uid="{098C1C07-807E-44C9-81AE-848AA4C3D502}" name="LAPTOP" dataDxfId="5"/>
    <tableColumn id="3" xr3:uid="{DD64B81B-2B7A-4F4B-A513-222E3B0A4059}" name="NVME" dataDxfId="4"/>
    <tableColumn id="4" xr3:uid="{CBBBCB10-B641-4529-ADD3-2F4EBB0990C6}" name="T. VIDEO" dataDxfId="3"/>
    <tableColumn id="5" xr3:uid="{0A8488E2-CBE8-4985-931D-4E342ED8DAAC}" name="Columna4" dataDxfId="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05"/>
  <sheetViews>
    <sheetView tabSelected="1" workbookViewId="0">
      <selection activeCell="K2" sqref="K2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t="s">
        <v>47</v>
      </c>
    </row>
    <row r="2" spans="1:11" x14ac:dyDescent="0.25">
      <c r="A2" s="3" t="s">
        <v>492</v>
      </c>
      <c r="B2" s="3" t="s">
        <v>5736</v>
      </c>
      <c r="C2" s="1">
        <v>107</v>
      </c>
      <c r="D2" s="1">
        <v>12.6</v>
      </c>
      <c r="E2" s="1"/>
      <c r="F2" s="1">
        <v>368984</v>
      </c>
      <c r="G2" s="3" t="s">
        <v>5737</v>
      </c>
      <c r="H2" s="12" cm="1">
        <f t="array" ref="H2">_xlfn.IFS(I2&lt;197,I2*1.26,I2&gt;197,I2*1.17) + IF(I2&gt;1000,17,0)</f>
        <v>63.694511999999996</v>
      </c>
      <c r="I2" s="10">
        <f>($K$2+0.02)*Tabla1[[#This Row],[PRECIO $]]*1.18</f>
        <v>50.551199999999994</v>
      </c>
      <c r="J2" s="7">
        <f>+Tabla1[[#This Row],[PRECIO EN SOLES]]-Tabla1[[#This Row],[PC]]</f>
        <v>13.143312000000002</v>
      </c>
      <c r="K2" s="9">
        <v>3.38</v>
      </c>
    </row>
    <row r="3" spans="1:11" x14ac:dyDescent="0.25">
      <c r="A3" s="3" t="s">
        <v>5738</v>
      </c>
      <c r="B3" s="3" t="s">
        <v>5735</v>
      </c>
      <c r="C3" s="1">
        <v>107</v>
      </c>
      <c r="D3" s="1">
        <v>6.7</v>
      </c>
      <c r="E3" s="1"/>
      <c r="F3" s="1">
        <v>426156</v>
      </c>
      <c r="G3" s="3" t="s">
        <v>5739</v>
      </c>
      <c r="H3" s="12" cm="1">
        <f t="array" ref="H3">_xlfn.IFS(I3&lt;197,I3*1.26,I3&gt;197,I3*1.17) + IF(I3&gt;1000,17,0)</f>
        <v>33.869304</v>
      </c>
      <c r="I3" s="10">
        <f>($K$2+0.02)*Tabla1[[#This Row],[PRECIO $]]*1.18</f>
        <v>26.880400000000002</v>
      </c>
      <c r="J3" s="7">
        <f>+Tabla1[[#This Row],[PRECIO EN SOLES]]-Tabla1[[#This Row],[PC]]</f>
        <v>6.988903999999998</v>
      </c>
    </row>
    <row r="4" spans="1:11" x14ac:dyDescent="0.25">
      <c r="A4" s="3" t="s">
        <v>5740</v>
      </c>
      <c r="B4" s="3" t="s">
        <v>5741</v>
      </c>
      <c r="C4" s="1">
        <v>107</v>
      </c>
      <c r="D4" s="1">
        <v>7.7</v>
      </c>
      <c r="E4" s="1"/>
      <c r="F4" s="1">
        <v>369033</v>
      </c>
      <c r="G4" s="3" t="s">
        <v>5741</v>
      </c>
      <c r="H4" s="12" cm="1">
        <f t="array" ref="H4">_xlfn.IFS(I4&lt;197,I4*1.26,I4&gt;197,I4*1.17) + IF(I4&gt;1000,17,0)</f>
        <v>38.924424000000002</v>
      </c>
      <c r="I4" s="10">
        <f>($K$2+0.02)*Tabla1[[#This Row],[PRECIO $]]*1.18</f>
        <v>30.892399999999999</v>
      </c>
      <c r="J4" s="7">
        <f>+Tabla1[[#This Row],[PRECIO EN SOLES]]-Tabla1[[#This Row],[PC]]</f>
        <v>8.0320240000000034</v>
      </c>
    </row>
    <row r="5" spans="1:11" x14ac:dyDescent="0.25">
      <c r="A5" s="3" t="s">
        <v>5742</v>
      </c>
      <c r="B5" s="3" t="s">
        <v>5743</v>
      </c>
      <c r="C5" s="1">
        <v>107</v>
      </c>
      <c r="D5" s="1">
        <v>3.9</v>
      </c>
      <c r="E5" s="1"/>
      <c r="F5" s="1">
        <v>370926</v>
      </c>
      <c r="G5" s="3" t="s">
        <v>5744</v>
      </c>
      <c r="H5" s="12" cm="1">
        <f t="array" ref="H5">_xlfn.IFS(I5&lt;197,I5*1.26,I5&gt;197,I5*1.17) + IF(I5&gt;1000,17,0)</f>
        <v>19.714967999999999</v>
      </c>
      <c r="I5" s="10">
        <f>($K$2+0.02)*Tabla1[[#This Row],[PRECIO $]]*1.18</f>
        <v>15.646799999999999</v>
      </c>
      <c r="J5" s="7">
        <f>+Tabla1[[#This Row],[PRECIO EN SOLES]]-Tabla1[[#This Row],[PC]]</f>
        <v>4.068168</v>
      </c>
    </row>
    <row r="6" spans="1:11" x14ac:dyDescent="0.25">
      <c r="A6" s="3" t="s">
        <v>5747</v>
      </c>
      <c r="B6" s="3" t="s">
        <v>5745</v>
      </c>
      <c r="C6" s="1">
        <v>107</v>
      </c>
      <c r="D6" s="1">
        <v>4.0999999999999996</v>
      </c>
      <c r="E6" s="1"/>
      <c r="F6" s="1">
        <v>427319</v>
      </c>
      <c r="G6" s="3" t="s">
        <v>5746</v>
      </c>
      <c r="H6" s="12" cm="1">
        <f t="array" ref="H6">_xlfn.IFS(I6&lt;197,I6*1.26,I6&gt;197,I6*1.17) + IF(I6&gt;1000,17,0)</f>
        <v>20.725991999999998</v>
      </c>
      <c r="I6" s="10">
        <f>($K$2+0.02)*Tabla1[[#This Row],[PRECIO $]]*1.18</f>
        <v>16.449199999999998</v>
      </c>
      <c r="J6" s="7">
        <f>+Tabla1[[#This Row],[PRECIO EN SOLES]]-Tabla1[[#This Row],[PC]]</f>
        <v>4.2767920000000004</v>
      </c>
    </row>
    <row r="7" spans="1:11" x14ac:dyDescent="0.25">
      <c r="A7" s="3" t="s">
        <v>5748</v>
      </c>
      <c r="B7" s="3" t="s">
        <v>5749</v>
      </c>
      <c r="C7" s="1">
        <v>107</v>
      </c>
      <c r="D7" s="1">
        <v>5.5</v>
      </c>
      <c r="E7" s="1"/>
      <c r="F7" s="1">
        <v>370420</v>
      </c>
      <c r="G7" s="3" t="s">
        <v>5750</v>
      </c>
      <c r="H7" s="12" cm="1">
        <f t="array" ref="H7">_xlfn.IFS(I7&lt;197,I7*1.26,I7&gt;197,I7*1.17) + IF(I7&gt;1000,17,0)</f>
        <v>27.803159999999998</v>
      </c>
      <c r="I7" s="10">
        <f>($K$2+0.02)*Tabla1[[#This Row],[PRECIO $]]*1.18</f>
        <v>22.065999999999999</v>
      </c>
      <c r="J7" s="7">
        <f>+Tabla1[[#This Row],[PRECIO EN SOLES]]-Tabla1[[#This Row],[PC]]</f>
        <v>5.7371599999999994</v>
      </c>
    </row>
    <row r="8" spans="1:11" x14ac:dyDescent="0.25">
      <c r="A8" s="3" t="s">
        <v>5751</v>
      </c>
      <c r="B8" s="3" t="s">
        <v>5752</v>
      </c>
      <c r="C8" s="1">
        <v>107</v>
      </c>
      <c r="D8" s="1">
        <v>12.5</v>
      </c>
      <c r="E8" s="1"/>
      <c r="F8" s="1">
        <v>440801</v>
      </c>
      <c r="G8" s="3" t="s">
        <v>5753</v>
      </c>
      <c r="H8" s="12" cm="1">
        <f t="array" ref="H8">_xlfn.IFS(I8&lt;197,I8*1.26,I8&gt;197,I8*1.17) + IF(I8&gt;1000,17,0)</f>
        <v>63.189</v>
      </c>
      <c r="I8" s="10">
        <f>($K$2+0.02)*Tabla1[[#This Row],[PRECIO $]]*1.18</f>
        <v>50.15</v>
      </c>
      <c r="J8" s="7">
        <f>+Tabla1[[#This Row],[PRECIO EN SOLES]]-Tabla1[[#This Row],[PC]]</f>
        <v>13.039000000000001</v>
      </c>
    </row>
    <row r="9" spans="1:11" x14ac:dyDescent="0.25">
      <c r="A9" s="3" t="s">
        <v>5909</v>
      </c>
      <c r="B9" s="3" t="s">
        <v>5910</v>
      </c>
      <c r="C9" s="1">
        <v>107</v>
      </c>
      <c r="D9" s="1">
        <v>40.299999999999997</v>
      </c>
      <c r="E9" s="1"/>
      <c r="F9" s="1">
        <v>473310</v>
      </c>
      <c r="G9" s="3" t="s">
        <v>5913</v>
      </c>
      <c r="H9" s="12" cm="1">
        <f t="array" ref="H9">_xlfn.IFS(I9&lt;197,I9*1.26,I9&gt;197,I9*1.17) + IF(I9&gt;1000,17,0)</f>
        <v>203.72133599999998</v>
      </c>
      <c r="I9" s="10">
        <f>($K$2+0.02)*Tabla1[[#This Row],[PRECIO $]]*1.18</f>
        <v>161.68359999999998</v>
      </c>
      <c r="J9" s="7">
        <f>+Tabla1[[#This Row],[PRECIO EN SOLES]]-Tabla1[[#This Row],[PC]]</f>
        <v>42.037735999999995</v>
      </c>
    </row>
    <row r="10" spans="1:11" x14ac:dyDescent="0.25">
      <c r="A10" s="3" t="s">
        <v>5911</v>
      </c>
      <c r="B10" s="3" t="s">
        <v>5912</v>
      </c>
      <c r="C10" s="1">
        <v>107</v>
      </c>
      <c r="D10" s="1">
        <v>100.3</v>
      </c>
      <c r="E10" s="1"/>
      <c r="F10" s="1">
        <v>451520</v>
      </c>
      <c r="G10" s="3" t="s">
        <v>5953</v>
      </c>
      <c r="H10" s="12" cm="1">
        <f t="array" ref="H10">_xlfn.IFS(I10&lt;197,I10*1.26,I10&gt;197,I10*1.17) + IF(I10&gt;1000,17,0)</f>
        <v>470.81221199999993</v>
      </c>
      <c r="I10" s="10">
        <f>($K$2+0.02)*Tabla1[[#This Row],[PRECIO $]]*1.18</f>
        <v>402.40359999999998</v>
      </c>
      <c r="J10" s="7">
        <f>+Tabla1[[#This Row],[PRECIO EN SOLES]]-Tabla1[[#This Row],[PC]]</f>
        <v>68.408611999999948</v>
      </c>
    </row>
    <row r="11" spans="1:11" x14ac:dyDescent="0.25">
      <c r="A11" s="3" t="s">
        <v>5748</v>
      </c>
      <c r="B11" s="3" t="s">
        <v>5749</v>
      </c>
      <c r="C11" s="1">
        <v>107</v>
      </c>
      <c r="D11" s="1">
        <v>5.5</v>
      </c>
      <c r="E11" s="1"/>
      <c r="F11" s="1">
        <v>370420</v>
      </c>
      <c r="G11" s="3" t="s">
        <v>5750</v>
      </c>
      <c r="H11" s="12" cm="1">
        <f t="array" ref="H11">_xlfn.IFS(I11&lt;197,I11*1.26,I11&gt;197,I11*1.17) + IF(I11&gt;1000,17,0)</f>
        <v>27.803159999999998</v>
      </c>
      <c r="I11" s="10">
        <f>($K$2+0.02)*Tabla1[[#This Row],[PRECIO $]]*1.18</f>
        <v>22.065999999999999</v>
      </c>
      <c r="J11" s="7">
        <f>+Tabla1[[#This Row],[PRECIO EN SOLES]]-Tabla1[[#This Row],[PC]]</f>
        <v>5.7371599999999994</v>
      </c>
    </row>
    <row r="12" spans="1:11" x14ac:dyDescent="0.25">
      <c r="A12" s="3"/>
      <c r="B12" s="3"/>
      <c r="C12" s="1"/>
      <c r="D12" s="1"/>
      <c r="E12" s="1"/>
      <c r="F12" s="1"/>
      <c r="G12" s="3"/>
      <c r="H12" s="12" cm="1">
        <f t="array" ref="H12">_xlfn.IFS(I12&lt;197,I12*1.26,I12&gt;197,I12*1.17) + IF(I12&gt;1000,17,0)</f>
        <v>0</v>
      </c>
      <c r="I12" s="10">
        <f>($K$2+0.02)*Tabla1[[#This Row],[PRECIO $]]*1.18</f>
        <v>0</v>
      </c>
      <c r="J12" s="7">
        <f>+Tabla1[[#This Row],[PRECIO EN SOLES]]-Tabla1[[#This Row],[PC]]</f>
        <v>0</v>
      </c>
    </row>
    <row r="13" spans="1:11" x14ac:dyDescent="0.25">
      <c r="A13" s="3"/>
      <c r="B13" s="3"/>
      <c r="C13" s="1"/>
      <c r="D13" s="1"/>
      <c r="E13" s="1"/>
      <c r="F13" s="1"/>
      <c r="G13" s="3"/>
      <c r="H13" s="12" cm="1">
        <f t="array" ref="H13">_xlfn.IFS(I13&lt;197,I13*1.26,I13&gt;197,I13*1.17) + IF(I13&gt;1000,17,0)</f>
        <v>0</v>
      </c>
      <c r="I13" s="10">
        <f>($K$2+0.02)*Tabla1[[#This Row],[PRECIO $]]*1.18</f>
        <v>0</v>
      </c>
      <c r="J13" s="7">
        <f>+Tabla1[[#This Row],[PRECIO EN SOLES]]-Tabla1[[#This Row],[PC]]</f>
        <v>0</v>
      </c>
    </row>
    <row r="14" spans="1:11" x14ac:dyDescent="0.25">
      <c r="A14" s="3"/>
      <c r="B14" s="3"/>
      <c r="C14" s="1"/>
      <c r="D14" s="1"/>
      <c r="E14" s="1"/>
      <c r="F14" s="1"/>
      <c r="G14" s="3"/>
      <c r="H14" s="12" cm="1">
        <f t="array" ref="H14">_xlfn.IFS(I14&lt;197,I14*1.26,I14&gt;197,I14*1.17) + IF(I14&gt;1000,17,0)</f>
        <v>0</v>
      </c>
      <c r="I14" s="10">
        <f>($K$2+0.02)*Tabla1[[#This Row],[PRECIO $]]*1.18</f>
        <v>0</v>
      </c>
      <c r="J14" s="7">
        <f>+Tabla1[[#This Row],[PRECIO EN SOLES]]-Tabla1[[#This Row],[PC]]</f>
        <v>0</v>
      </c>
    </row>
    <row r="15" spans="1:11" x14ac:dyDescent="0.25">
      <c r="A15" s="3"/>
      <c r="B15" s="3"/>
      <c r="C15" s="1"/>
      <c r="D15" s="1"/>
      <c r="E15" s="1"/>
      <c r="F15" s="1"/>
      <c r="G15" s="3"/>
      <c r="H15" s="12" cm="1">
        <f t="array" ref="H15">_xlfn.IFS(I15&lt;197,I15*1.26,I15&gt;197,I15*1.17) + IF(I15&gt;1000,17,0)</f>
        <v>0</v>
      </c>
      <c r="I15" s="10">
        <f>($K$2+0.02)*Tabla1[[#This Row],[PRECIO $]]*1.18</f>
        <v>0</v>
      </c>
      <c r="J15" s="7">
        <f>+Tabla1[[#This Row],[PRECIO EN SOLES]]-Tabla1[[#This Row],[PC]]</f>
        <v>0</v>
      </c>
    </row>
    <row r="16" spans="1:11" x14ac:dyDescent="0.25">
      <c r="A16" s="3"/>
      <c r="B16" s="3"/>
      <c r="C16" s="1"/>
      <c r="D16" s="1"/>
      <c r="E16" s="1"/>
      <c r="F16" s="1"/>
      <c r="G16" s="3"/>
      <c r="H16" s="12" cm="1">
        <f t="array" ref="H16">_xlfn.IFS(I16&lt;197,I16*1.26,I16&gt;197,I16*1.17) + IF(I16&gt;1000,17,0)</f>
        <v>0</v>
      </c>
      <c r="I16" s="10">
        <f>($K$2+0.02)*Tabla1[[#This Row],[PRECIO $]]*1.18</f>
        <v>0</v>
      </c>
      <c r="J16" s="7">
        <f>+Tabla1[[#This Row],[PRECIO EN SOLES]]-Tabla1[[#This Row],[PC]]</f>
        <v>0</v>
      </c>
    </row>
    <row r="17" spans="1:10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3981</v>
      </c>
      <c r="G17" s="3" t="s">
        <v>53</v>
      </c>
      <c r="H17" s="12" cm="1">
        <f t="array" ref="H17">_xlfn.IFS(I17&lt;197,I17*1.26,I17&gt;197,I17*1.17) + IF(I17&gt;1000,17,0)</f>
        <v>80.881919999999994</v>
      </c>
      <c r="I17" s="10">
        <f>($K$2+0.02)*Tabla1[[#This Row],[PRECIO $]]*1.18</f>
        <v>64.191999999999993</v>
      </c>
      <c r="J17" s="7">
        <f>+Tabla1[[#This Row],[PRECIO EN SOLES]]-Tabla1[[#This Row],[PC]]</f>
        <v>16.689920000000001</v>
      </c>
    </row>
    <row r="18" spans="1:10" x14ac:dyDescent="0.25">
      <c r="A18" s="3" t="s">
        <v>919</v>
      </c>
      <c r="B18" s="3" t="s">
        <v>920</v>
      </c>
      <c r="C18" s="1">
        <v>20</v>
      </c>
      <c r="D18" s="1">
        <v>10</v>
      </c>
      <c r="E18" s="1" t="s">
        <v>54</v>
      </c>
      <c r="F18" s="1" t="s">
        <v>3982</v>
      </c>
      <c r="G18" s="3" t="s">
        <v>921</v>
      </c>
      <c r="H18" s="12" cm="1">
        <f t="array" ref="H18">_xlfn.IFS(I18&lt;197,I18*1.26,I18&gt;197,I18*1.17) + IF(I18&gt;1000,17,0)</f>
        <v>50.551199999999994</v>
      </c>
      <c r="I18" s="10">
        <f>($K$2+0.02)*Tabla1[[#This Row],[PRECIO $]]*1.18</f>
        <v>40.119999999999997</v>
      </c>
      <c r="J18" s="7">
        <f>+Tabla1[[#This Row],[PRECIO EN SOLES]]-Tabla1[[#This Row],[PC]]</f>
        <v>10.431199999999997</v>
      </c>
    </row>
    <row r="19" spans="1:10" x14ac:dyDescent="0.25">
      <c r="A19" s="3" t="s">
        <v>922</v>
      </c>
      <c r="B19" s="3" t="s">
        <v>923</v>
      </c>
      <c r="C19" s="1">
        <v>20</v>
      </c>
      <c r="D19" s="1">
        <v>3</v>
      </c>
      <c r="E19" s="1" t="s">
        <v>55</v>
      </c>
      <c r="F19" s="1" t="s">
        <v>3983</v>
      </c>
      <c r="G19" s="3"/>
      <c r="H19" s="12" cm="1">
        <f t="array" ref="H19">_xlfn.IFS(I19&lt;197,I19*1.26,I19&gt;197,I19*1.17) + IF(I19&gt;1000,17,0)</f>
        <v>15.165359999999998</v>
      </c>
      <c r="I19" s="10">
        <f>($K$2+0.02)*Tabla1[[#This Row],[PRECIO $]]*1.18</f>
        <v>12.035999999999998</v>
      </c>
      <c r="J19" s="7">
        <f>+Tabla1[[#This Row],[PRECIO EN SOLES]]-Tabla1[[#This Row],[PC]]</f>
        <v>3.1293600000000001</v>
      </c>
    </row>
    <row r="20" spans="1:10" x14ac:dyDescent="0.25">
      <c r="A20" s="3" t="s">
        <v>924</v>
      </c>
      <c r="B20" s="3" t="s">
        <v>925</v>
      </c>
      <c r="C20" s="1">
        <v>20</v>
      </c>
      <c r="D20" s="1">
        <v>3</v>
      </c>
      <c r="E20" s="1" t="s">
        <v>55</v>
      </c>
      <c r="F20" s="1" t="s">
        <v>3984</v>
      </c>
      <c r="G20" s="3"/>
      <c r="H20" s="12" cm="1">
        <f t="array" ref="H20">_xlfn.IFS(I20&lt;197,I20*1.26,I20&gt;197,I20*1.17) + IF(I20&gt;1000,17,0)</f>
        <v>15.165359999999998</v>
      </c>
      <c r="I20" s="10">
        <f>($K$2+0.02)*Tabla1[[#This Row],[PRECIO $]]*1.18</f>
        <v>12.035999999999998</v>
      </c>
      <c r="J20" s="7">
        <f>+Tabla1[[#This Row],[PRECIO EN SOLES]]-Tabla1[[#This Row],[PC]]</f>
        <v>3.1293600000000001</v>
      </c>
    </row>
    <row r="21" spans="1:10" x14ac:dyDescent="0.25">
      <c r="A21" s="3" t="s">
        <v>1897</v>
      </c>
      <c r="B21" s="3" t="s">
        <v>1898</v>
      </c>
      <c r="C21" s="1">
        <v>20</v>
      </c>
      <c r="D21" s="1">
        <v>33</v>
      </c>
      <c r="E21" s="1" t="s">
        <v>55</v>
      </c>
      <c r="F21" s="1" t="s">
        <v>4554</v>
      </c>
      <c r="G21" s="3"/>
      <c r="H21" s="12" cm="1">
        <f t="array" ref="H21">_xlfn.IFS(I21&lt;197,I21*1.26,I21&gt;197,I21*1.17) + IF(I21&gt;1000,17,0)</f>
        <v>166.81895999999998</v>
      </c>
      <c r="I21" s="10">
        <f>($K$2+0.02)*Tabla1[[#This Row],[PRECIO $]]*1.18</f>
        <v>132.39599999999999</v>
      </c>
      <c r="J21" s="7">
        <f>+Tabla1[[#This Row],[PRECIO EN SOLES]]-Tabla1[[#This Row],[PC]]</f>
        <v>34.422959999999989</v>
      </c>
    </row>
    <row r="22" spans="1:10" x14ac:dyDescent="0.25">
      <c r="A22" s="3" t="s">
        <v>926</v>
      </c>
      <c r="B22" s="3" t="s">
        <v>927</v>
      </c>
      <c r="C22" s="1">
        <v>20</v>
      </c>
      <c r="D22" s="1">
        <v>33</v>
      </c>
      <c r="E22" s="1" t="s">
        <v>55</v>
      </c>
      <c r="F22" s="1" t="s">
        <v>3985</v>
      </c>
      <c r="G22" s="3"/>
      <c r="H22" s="13" cm="1">
        <f t="array" ref="H22">_xlfn.IFS(I22&lt;197,I22*1.26,I22&gt;197,I22*1.17) + IF(I22&gt;1000,17,0)</f>
        <v>166.81895999999998</v>
      </c>
      <c r="I22" s="10">
        <f>($K$2+0.02)*Tabla1[[#This Row],[PRECIO $]]*1.18</f>
        <v>132.39599999999999</v>
      </c>
      <c r="J22" s="7">
        <f>+Tabla1[[#This Row],[PRECIO EN SOLES]]-Tabla1[[#This Row],[PC]]</f>
        <v>34.422959999999989</v>
      </c>
    </row>
    <row r="23" spans="1:10" x14ac:dyDescent="0.25">
      <c r="A23" s="3" t="s">
        <v>928</v>
      </c>
      <c r="B23" s="3" t="s">
        <v>929</v>
      </c>
      <c r="C23" s="1">
        <v>15</v>
      </c>
      <c r="D23" s="1">
        <v>63.5</v>
      </c>
      <c r="E23" s="1" t="s">
        <v>56</v>
      </c>
      <c r="F23" s="1" t="s">
        <v>3986</v>
      </c>
      <c r="G23" s="3" t="s">
        <v>930</v>
      </c>
      <c r="H23" s="12" cm="1">
        <f t="array" ref="H23">_xlfn.IFS(I23&lt;197,I23*1.26,I23&gt;197,I23*1.17) + IF(I23&gt;1000,17,0)</f>
        <v>298.07153999999997</v>
      </c>
      <c r="I23" s="10">
        <f>($K$2+0.02)*Tabla1[[#This Row],[PRECIO $]]*1.18</f>
        <v>254.762</v>
      </c>
      <c r="J23" s="7">
        <f>+Tabla1[[#This Row],[PRECIO EN SOLES]]-Tabla1[[#This Row],[PC]]</f>
        <v>43.30953999999997</v>
      </c>
    </row>
    <row r="24" spans="1:10" x14ac:dyDescent="0.25">
      <c r="A24" s="3" t="s">
        <v>931</v>
      </c>
      <c r="B24" s="3" t="s">
        <v>932</v>
      </c>
      <c r="C24" s="1">
        <v>1</v>
      </c>
      <c r="D24" s="1">
        <v>94</v>
      </c>
      <c r="E24" s="1" t="s">
        <v>57</v>
      </c>
      <c r="F24" s="1" t="s">
        <v>3987</v>
      </c>
      <c r="G24" s="3" t="s">
        <v>933</v>
      </c>
      <c r="H24" s="13" cm="1">
        <f t="array" ref="H24">_xlfn.IFS(I24&lt;197,I24*1.26,I24&gt;197,I24*1.17) + IF(I24&gt;1000,17,0)</f>
        <v>441.23975999999988</v>
      </c>
      <c r="I24" s="10">
        <f>($K$2+0.02)*Tabla1[[#This Row],[PRECIO $]]*1.18</f>
        <v>377.12799999999993</v>
      </c>
      <c r="J24" s="7">
        <f>+Tabla1[[#This Row],[PRECIO EN SOLES]]-Tabla1[[#This Row],[PC]]</f>
        <v>64.111759999999947</v>
      </c>
    </row>
    <row r="25" spans="1:10" x14ac:dyDescent="0.25">
      <c r="A25" s="3" t="s">
        <v>934</v>
      </c>
      <c r="B25" s="3" t="s">
        <v>935</v>
      </c>
      <c r="C25" s="1">
        <v>20</v>
      </c>
      <c r="D25" s="1">
        <v>5</v>
      </c>
      <c r="E25" s="1" t="s">
        <v>55</v>
      </c>
      <c r="F25" s="1" t="s">
        <v>3988</v>
      </c>
      <c r="G25" s="3"/>
      <c r="H25" s="12" cm="1">
        <f t="array" ref="H25">_xlfn.IFS(I25&lt;197,I25*1.26,I25&gt;197,I25*1.17) + IF(I25&gt;1000,17,0)</f>
        <v>25.275599999999997</v>
      </c>
      <c r="I25" s="10">
        <f>($K$2+0.02)*Tabla1[[#This Row],[PRECIO $]]*1.18</f>
        <v>20.059999999999999</v>
      </c>
      <c r="J25" s="7">
        <f>+Tabla1[[#This Row],[PRECIO EN SOLES]]-Tabla1[[#This Row],[PC]]</f>
        <v>5.2155999999999985</v>
      </c>
    </row>
    <row r="26" spans="1:10" x14ac:dyDescent="0.25">
      <c r="A26" s="3" t="s">
        <v>936</v>
      </c>
      <c r="B26" s="3" t="s">
        <v>937</v>
      </c>
      <c r="C26" s="1">
        <v>0</v>
      </c>
      <c r="D26" s="1">
        <v>999</v>
      </c>
      <c r="E26" s="1" t="s">
        <v>52</v>
      </c>
      <c r="F26" s="1" t="s">
        <v>3989</v>
      </c>
      <c r="G26" s="3" t="s">
        <v>938</v>
      </c>
      <c r="H26" s="12" cm="1">
        <f t="array" ref="H26">_xlfn.IFS(I26&lt;197,I26*1.26,I26&gt;197,I26*1.17) + IF(I26&gt;1000,17,0)</f>
        <v>4706.3459599999996</v>
      </c>
      <c r="I26" s="10">
        <f>($K$2+0.02)*Tabla1[[#This Row],[PRECIO $]]*1.18</f>
        <v>4007.9879999999998</v>
      </c>
      <c r="J26" s="7">
        <f>+Tabla1[[#This Row],[PRECIO EN SOLES]]-Tabla1[[#This Row],[PC]]</f>
        <v>698.35795999999982</v>
      </c>
    </row>
    <row r="27" spans="1:10" x14ac:dyDescent="0.25">
      <c r="A27" s="3" t="s">
        <v>939</v>
      </c>
      <c r="B27" s="3" t="s">
        <v>940</v>
      </c>
      <c r="C27" s="1">
        <v>20</v>
      </c>
      <c r="D27" s="1">
        <v>1.4</v>
      </c>
      <c r="E27" s="1" t="s">
        <v>57</v>
      </c>
      <c r="F27" s="1" t="s">
        <v>3990</v>
      </c>
      <c r="G27" s="3" t="s">
        <v>941</v>
      </c>
      <c r="H27" s="12" cm="1">
        <f t="array" ref="H27">_xlfn.IFS(I27&lt;197,I27*1.26,I27&gt;197,I27*1.17) + IF(I27&gt;1000,17,0)</f>
        <v>7.0771679999999995</v>
      </c>
      <c r="I27" s="10">
        <f>($K$2+0.02)*Tabla1[[#This Row],[PRECIO $]]*1.18</f>
        <v>5.6167999999999996</v>
      </c>
      <c r="J27" s="7">
        <f>+Tabla1[[#This Row],[PRECIO EN SOLES]]-Tabla1[[#This Row],[PC]]</f>
        <v>1.4603679999999999</v>
      </c>
    </row>
    <row r="28" spans="1:10" x14ac:dyDescent="0.25">
      <c r="A28" s="3" t="s">
        <v>942</v>
      </c>
      <c r="B28" s="3" t="s">
        <v>943</v>
      </c>
      <c r="C28" s="1">
        <v>1</v>
      </c>
      <c r="D28" s="1">
        <v>400</v>
      </c>
      <c r="E28" s="1" t="s">
        <v>54</v>
      </c>
      <c r="F28" s="1" t="s">
        <v>3991</v>
      </c>
      <c r="G28" s="3"/>
      <c r="H28" s="12" cm="1">
        <f t="array" ref="H28">_xlfn.IFS(I28&lt;197,I28*1.26,I28&gt;197,I28*1.17) + IF(I28&gt;1000,17,0)</f>
        <v>1894.6159999999998</v>
      </c>
      <c r="I28" s="10">
        <f>($K$2+0.02)*Tabla1[[#This Row],[PRECIO $]]*1.18</f>
        <v>1604.8</v>
      </c>
      <c r="J28" s="7">
        <f>+Tabla1[[#This Row],[PRECIO EN SOLES]]-Tabla1[[#This Row],[PC]]</f>
        <v>289.8159999999998</v>
      </c>
    </row>
    <row r="29" spans="1:10" x14ac:dyDescent="0.25">
      <c r="A29" s="3" t="s">
        <v>944</v>
      </c>
      <c r="B29" s="3" t="s">
        <v>945</v>
      </c>
      <c r="C29" s="1">
        <v>2</v>
      </c>
      <c r="D29" s="1">
        <v>51.8</v>
      </c>
      <c r="E29" s="1" t="s">
        <v>54</v>
      </c>
      <c r="F29" s="1" t="s">
        <v>3992</v>
      </c>
      <c r="G29" s="3" t="s">
        <v>946</v>
      </c>
      <c r="H29" s="12" cm="1">
        <f t="array" ref="H29">_xlfn.IFS(I29&lt;197,I29*1.26,I29&gt;197,I29*1.17) + IF(I29&gt;1000,17,0)</f>
        <v>243.15127199999995</v>
      </c>
      <c r="I29" s="10">
        <f>($K$2+0.02)*Tabla1[[#This Row],[PRECIO $]]*1.18</f>
        <v>207.82159999999996</v>
      </c>
      <c r="J29" s="7">
        <f>+Tabla1[[#This Row],[PRECIO EN SOLES]]-Tabla1[[#This Row],[PC]]</f>
        <v>35.329671999999988</v>
      </c>
    </row>
    <row r="30" spans="1:10" x14ac:dyDescent="0.25">
      <c r="A30" s="3" t="s">
        <v>947</v>
      </c>
      <c r="B30" s="3" t="s">
        <v>948</v>
      </c>
      <c r="C30" s="1">
        <v>3</v>
      </c>
      <c r="D30" s="1">
        <v>320</v>
      </c>
      <c r="E30" s="1" t="s">
        <v>57</v>
      </c>
      <c r="F30" s="1" t="s">
        <v>3993</v>
      </c>
      <c r="G30" s="3"/>
      <c r="H30" s="12" cm="1">
        <f t="array" ref="H30">_xlfn.IFS(I30&lt;197,I30*1.26,I30&gt;197,I30*1.17) + IF(I30&gt;1000,17,0)</f>
        <v>1519.0927999999999</v>
      </c>
      <c r="I30" s="10">
        <f>($K$2+0.02)*Tabla1[[#This Row],[PRECIO $]]*1.18</f>
        <v>1283.8399999999999</v>
      </c>
      <c r="J30" s="7">
        <f>+Tabla1[[#This Row],[PRECIO EN SOLES]]-Tabla1[[#This Row],[PC]]</f>
        <v>235.25279999999998</v>
      </c>
    </row>
    <row r="31" spans="1:10" x14ac:dyDescent="0.25">
      <c r="A31" s="3" t="s">
        <v>3924</v>
      </c>
      <c r="B31" s="3" t="s">
        <v>3925</v>
      </c>
      <c r="C31" s="1">
        <v>20</v>
      </c>
      <c r="D31" s="1">
        <v>10</v>
      </c>
      <c r="E31" s="1" t="s">
        <v>3926</v>
      </c>
      <c r="F31" s="1" t="s">
        <v>3994</v>
      </c>
      <c r="G31" s="3"/>
      <c r="H31" s="12" cm="1">
        <f t="array" ref="H31">_xlfn.IFS(I31&lt;197,I31*1.26,I31&gt;197,I31*1.17) + IF(I31&gt;1000,17,0)</f>
        <v>50.551199999999994</v>
      </c>
      <c r="I31" s="10">
        <f>($K$2+0.02)*Tabla1[[#This Row],[PRECIO $]]*1.18</f>
        <v>40.119999999999997</v>
      </c>
      <c r="J31" s="7">
        <f>+Tabla1[[#This Row],[PRECIO EN SOLES]]-Tabla1[[#This Row],[PC]]</f>
        <v>10.431199999999997</v>
      </c>
    </row>
    <row r="32" spans="1:10" x14ac:dyDescent="0.25">
      <c r="A32" s="3" t="s">
        <v>949</v>
      </c>
      <c r="B32" s="3" t="s">
        <v>950</v>
      </c>
      <c r="C32" s="1">
        <v>6</v>
      </c>
      <c r="D32" s="1">
        <v>15.7</v>
      </c>
      <c r="E32" s="1" t="s">
        <v>56</v>
      </c>
      <c r="F32" s="1" t="s">
        <v>3995</v>
      </c>
      <c r="G32" s="3" t="s">
        <v>951</v>
      </c>
      <c r="H32" s="12" cm="1">
        <f t="array" ref="H32">_xlfn.IFS(I32&lt;197,I32*1.26,I32&gt;197,I32*1.17) + IF(I32&gt;1000,17,0)</f>
        <v>79.365383999999992</v>
      </c>
      <c r="I32" s="10">
        <f>($K$2+0.02)*Tabla1[[#This Row],[PRECIO $]]*1.18</f>
        <v>62.988399999999992</v>
      </c>
      <c r="J32" s="7">
        <f>+Tabla1[[#This Row],[PRECIO EN SOLES]]-Tabla1[[#This Row],[PC]]</f>
        <v>16.376984</v>
      </c>
    </row>
    <row r="33" spans="1:10" x14ac:dyDescent="0.25">
      <c r="A33" s="3" t="s">
        <v>952</v>
      </c>
      <c r="B33" s="3" t="s">
        <v>953</v>
      </c>
      <c r="C33" s="1">
        <v>2</v>
      </c>
      <c r="D33" s="1">
        <v>17.2</v>
      </c>
      <c r="E33" s="1" t="s">
        <v>954</v>
      </c>
      <c r="F33" s="1" t="s">
        <v>3996</v>
      </c>
      <c r="G33" s="3" t="s">
        <v>955</v>
      </c>
      <c r="H33" s="12" cm="1">
        <f t="array" ref="H33">_xlfn.IFS(I33&lt;197,I33*1.26,I33&gt;197,I33*1.17) + IF(I33&gt;1000,17,0)</f>
        <v>86.948064000000002</v>
      </c>
      <c r="I33" s="10">
        <f>($K$2+0.02)*Tabla1[[#This Row],[PRECIO $]]*1.18</f>
        <v>69.006399999999999</v>
      </c>
      <c r="J33" s="7">
        <f>+Tabla1[[#This Row],[PRECIO EN SOLES]]-Tabla1[[#This Row],[PC]]</f>
        <v>17.941664000000003</v>
      </c>
    </row>
    <row r="34" spans="1:10" x14ac:dyDescent="0.25">
      <c r="A34" s="3" t="s">
        <v>956</v>
      </c>
      <c r="B34" s="3" t="s">
        <v>957</v>
      </c>
      <c r="C34" s="1">
        <v>0</v>
      </c>
      <c r="D34" s="1">
        <v>24.2</v>
      </c>
      <c r="E34" s="1" t="s">
        <v>954</v>
      </c>
      <c r="F34" s="1" t="s">
        <v>3997</v>
      </c>
      <c r="G34" s="3" t="s">
        <v>958</v>
      </c>
      <c r="H34" s="12" cm="1">
        <f t="array" ref="H34">_xlfn.IFS(I34&lt;197,I34*1.26,I34&gt;197,I34*1.17) + IF(I34&gt;1000,17,0)</f>
        <v>122.333904</v>
      </c>
      <c r="I34" s="10">
        <f>($K$2+0.02)*Tabla1[[#This Row],[PRECIO $]]*1.18</f>
        <v>97.090400000000002</v>
      </c>
      <c r="J34" s="7">
        <f>+Tabla1[[#This Row],[PRECIO EN SOLES]]-Tabla1[[#This Row],[PC]]</f>
        <v>25.243504000000001</v>
      </c>
    </row>
    <row r="35" spans="1:10" x14ac:dyDescent="0.25">
      <c r="A35" s="3" t="s">
        <v>959</v>
      </c>
      <c r="B35" s="3" t="s">
        <v>960</v>
      </c>
      <c r="C35" s="1">
        <v>20</v>
      </c>
      <c r="D35" s="1">
        <v>8.4</v>
      </c>
      <c r="E35" s="1" t="s">
        <v>58</v>
      </c>
      <c r="F35" s="1" t="s">
        <v>3998</v>
      </c>
      <c r="G35" s="3" t="s">
        <v>961</v>
      </c>
      <c r="H35" s="12" cm="1">
        <f t="array" ref="H35">_xlfn.IFS(I35&lt;197,I35*1.26,I35&gt;197,I35*1.17) + IF(I35&gt;1000,17,0)</f>
        <v>42.463007999999995</v>
      </c>
      <c r="I35" s="10">
        <f>($K$2+0.02)*Tabla1[[#This Row],[PRECIO $]]*1.18</f>
        <v>33.700799999999994</v>
      </c>
      <c r="J35" s="7">
        <f>+Tabla1[[#This Row],[PRECIO EN SOLES]]-Tabla1[[#This Row],[PC]]</f>
        <v>8.7622080000000011</v>
      </c>
    </row>
    <row r="36" spans="1:10" x14ac:dyDescent="0.25">
      <c r="A36" s="3" t="s">
        <v>962</v>
      </c>
      <c r="B36" s="3" t="s">
        <v>963</v>
      </c>
      <c r="C36" s="1">
        <v>20</v>
      </c>
      <c r="D36" s="1">
        <v>3.45</v>
      </c>
      <c r="E36" s="1" t="s">
        <v>58</v>
      </c>
      <c r="F36" s="1" t="s">
        <v>3999</v>
      </c>
      <c r="G36" s="3" t="s">
        <v>964</v>
      </c>
      <c r="H36" s="13" cm="1">
        <f t="array" ref="H36">_xlfn.IFS(I36&lt;197,I36*1.26,I36&gt;197,I36*1.17) + IF(I36&gt;1000,17,0)</f>
        <v>17.440163999999999</v>
      </c>
      <c r="I36" s="10">
        <f>($K$2+0.02)*Tabla1[[#This Row],[PRECIO $]]*1.18</f>
        <v>13.8414</v>
      </c>
      <c r="J36" s="7">
        <f>+Tabla1[[#This Row],[PRECIO EN SOLES]]-Tabla1[[#This Row],[PC]]</f>
        <v>3.5987639999999992</v>
      </c>
    </row>
    <row r="37" spans="1:10" x14ac:dyDescent="0.25">
      <c r="A37" s="3" t="s">
        <v>965</v>
      </c>
      <c r="B37" s="3" t="s">
        <v>966</v>
      </c>
      <c r="C37" s="1">
        <v>20</v>
      </c>
      <c r="D37" s="1">
        <v>3.11</v>
      </c>
      <c r="E37" s="1" t="s">
        <v>58</v>
      </c>
      <c r="F37" s="1" t="s">
        <v>4000</v>
      </c>
      <c r="G37" s="3" t="s">
        <v>967</v>
      </c>
      <c r="H37" s="12" cm="1">
        <f t="array" ref="H37">_xlfn.IFS(I37&lt;197,I37*1.26,I37&gt;197,I37*1.17) + IF(I37&gt;1000,17,0)</f>
        <v>15.721423199999998</v>
      </c>
      <c r="I37" s="10">
        <f>($K$2+0.02)*Tabla1[[#This Row],[PRECIO $]]*1.18</f>
        <v>12.477319999999999</v>
      </c>
      <c r="J37" s="7">
        <f>+Tabla1[[#This Row],[PRECIO EN SOLES]]-Tabla1[[#This Row],[PC]]</f>
        <v>3.2441031999999996</v>
      </c>
    </row>
    <row r="38" spans="1:10" x14ac:dyDescent="0.25">
      <c r="A38" s="3" t="s">
        <v>968</v>
      </c>
      <c r="B38" s="3" t="s">
        <v>969</v>
      </c>
      <c r="C38" s="1">
        <v>20</v>
      </c>
      <c r="D38" s="1">
        <v>2.35</v>
      </c>
      <c r="E38" s="1" t="s">
        <v>58</v>
      </c>
      <c r="F38" s="1" t="s">
        <v>4001</v>
      </c>
      <c r="G38" s="3" t="s">
        <v>970</v>
      </c>
      <c r="H38" s="12" cm="1">
        <f t="array" ref="H38">_xlfn.IFS(I38&lt;197,I38*1.26,I38&gt;197,I38*1.17) + IF(I38&gt;1000,17,0)</f>
        <v>11.879532000000001</v>
      </c>
      <c r="I38" s="10">
        <f>($K$2+0.02)*Tabla1[[#This Row],[PRECIO $]]*1.18</f>
        <v>9.4282000000000004</v>
      </c>
      <c r="J38" s="7">
        <f>+Tabla1[[#This Row],[PRECIO EN SOLES]]-Tabla1[[#This Row],[PC]]</f>
        <v>2.4513320000000007</v>
      </c>
    </row>
    <row r="39" spans="1:10" x14ac:dyDescent="0.25">
      <c r="A39" s="3" t="s">
        <v>971</v>
      </c>
      <c r="B39" s="3" t="s">
        <v>972</v>
      </c>
      <c r="C39" s="1">
        <v>1</v>
      </c>
      <c r="D39" s="1">
        <v>22.5</v>
      </c>
      <c r="E39" s="1" t="s">
        <v>57</v>
      </c>
      <c r="F39" s="1" t="s">
        <v>4002</v>
      </c>
      <c r="G39" s="3"/>
      <c r="H39" s="12" cm="1">
        <f t="array" ref="H39">_xlfn.IFS(I39&lt;197,I39*1.26,I39&gt;197,I39*1.17) + IF(I39&gt;1000,17,0)</f>
        <v>113.7402</v>
      </c>
      <c r="I39" s="10">
        <f>($K$2+0.02)*Tabla1[[#This Row],[PRECIO $]]*1.18</f>
        <v>90.27</v>
      </c>
      <c r="J39" s="7">
        <f>+Tabla1[[#This Row],[PRECIO EN SOLES]]-Tabla1[[#This Row],[PC]]</f>
        <v>23.470200000000006</v>
      </c>
    </row>
    <row r="40" spans="1:10" x14ac:dyDescent="0.25">
      <c r="A40" s="3" t="s">
        <v>59</v>
      </c>
      <c r="B40" s="3" t="s">
        <v>60</v>
      </c>
      <c r="C40" s="1">
        <v>20</v>
      </c>
      <c r="D40" s="1">
        <v>10.1</v>
      </c>
      <c r="E40" s="1" t="s">
        <v>52</v>
      </c>
      <c r="F40" s="1" t="s">
        <v>4003</v>
      </c>
      <c r="G40" s="3" t="s">
        <v>61</v>
      </c>
      <c r="H40" s="12" cm="1">
        <f t="array" ref="H40">_xlfn.IFS(I40&lt;197,I40*1.26,I40&gt;197,I40*1.17) + IF(I40&gt;1000,17,0)</f>
        <v>51.05671199999999</v>
      </c>
      <c r="I40" s="10">
        <f>($K$2+0.02)*Tabla1[[#This Row],[PRECIO $]]*1.18</f>
        <v>40.521199999999993</v>
      </c>
      <c r="J40" s="7">
        <f>+Tabla1[[#This Row],[PRECIO EN SOLES]]-Tabla1[[#This Row],[PC]]</f>
        <v>10.535511999999997</v>
      </c>
    </row>
    <row r="41" spans="1:10" x14ac:dyDescent="0.25">
      <c r="A41" s="3" t="s">
        <v>62</v>
      </c>
      <c r="B41" s="3" t="s">
        <v>63</v>
      </c>
      <c r="C41" s="1">
        <v>20</v>
      </c>
      <c r="D41" s="1">
        <v>2.2000000000000002</v>
      </c>
      <c r="E41" s="1" t="s">
        <v>52</v>
      </c>
      <c r="F41" s="1" t="s">
        <v>4004</v>
      </c>
      <c r="G41" s="3" t="s">
        <v>64</v>
      </c>
      <c r="H41" s="12" cm="1">
        <f t="array" ref="H41">_xlfn.IFS(I41&lt;197,I41*1.26,I41&gt;197,I41*1.17) + IF(I41&gt;1000,17,0)</f>
        <v>11.121264</v>
      </c>
      <c r="I41" s="10">
        <f>($K$2+0.02)*Tabla1[[#This Row],[PRECIO $]]*1.18</f>
        <v>8.8263999999999996</v>
      </c>
      <c r="J41" s="7">
        <f>+Tabla1[[#This Row],[PRECIO EN SOLES]]-Tabla1[[#This Row],[PC]]</f>
        <v>2.2948640000000005</v>
      </c>
    </row>
    <row r="42" spans="1:10" x14ac:dyDescent="0.25">
      <c r="A42" s="3" t="s">
        <v>65</v>
      </c>
      <c r="B42" s="3" t="s">
        <v>66</v>
      </c>
      <c r="C42" s="1">
        <v>20</v>
      </c>
      <c r="D42" s="1">
        <v>1.55</v>
      </c>
      <c r="E42" s="1" t="s">
        <v>52</v>
      </c>
      <c r="F42" s="1" t="s">
        <v>4005</v>
      </c>
      <c r="G42" s="3" t="s">
        <v>67</v>
      </c>
      <c r="H42" s="12" cm="1">
        <f t="array" ref="H42">_xlfn.IFS(I42&lt;197,I42*1.26,I42&gt;197,I42*1.17) + IF(I42&gt;1000,17,0)</f>
        <v>7.8354359999999996</v>
      </c>
      <c r="I42" s="10">
        <f>($K$2+0.02)*Tabla1[[#This Row],[PRECIO $]]*1.18</f>
        <v>6.2185999999999995</v>
      </c>
      <c r="J42" s="7">
        <f>+Tabla1[[#This Row],[PRECIO EN SOLES]]-Tabla1[[#This Row],[PC]]</f>
        <v>1.6168360000000002</v>
      </c>
    </row>
    <row r="43" spans="1:10" x14ac:dyDescent="0.25">
      <c r="A43" s="3" t="s">
        <v>973</v>
      </c>
      <c r="B43" s="3" t="s">
        <v>974</v>
      </c>
      <c r="C43" s="1">
        <v>20</v>
      </c>
      <c r="D43" s="1">
        <v>1.95</v>
      </c>
      <c r="E43" s="1" t="s">
        <v>52</v>
      </c>
      <c r="F43" s="1" t="s">
        <v>4006</v>
      </c>
      <c r="G43" s="3" t="s">
        <v>975</v>
      </c>
      <c r="H43" s="12" cm="1">
        <f t="array" ref="H43">_xlfn.IFS(I43&lt;197,I43*1.26,I43&gt;197,I43*1.17) + IF(I43&gt;1000,17,0)</f>
        <v>9.8574839999999995</v>
      </c>
      <c r="I43" s="10">
        <f>($K$2+0.02)*Tabla1[[#This Row],[PRECIO $]]*1.18</f>
        <v>7.8233999999999995</v>
      </c>
      <c r="J43" s="7">
        <f>+Tabla1[[#This Row],[PRECIO EN SOLES]]-Tabla1[[#This Row],[PC]]</f>
        <v>2.034084</v>
      </c>
    </row>
    <row r="44" spans="1:10" x14ac:dyDescent="0.25">
      <c r="A44" s="3" t="s">
        <v>68</v>
      </c>
      <c r="B44" s="3" t="s">
        <v>69</v>
      </c>
      <c r="C44" s="1">
        <v>20</v>
      </c>
      <c r="D44" s="1">
        <v>6.22</v>
      </c>
      <c r="E44" s="1" t="s">
        <v>52</v>
      </c>
      <c r="F44" s="1" t="s">
        <v>4007</v>
      </c>
      <c r="G44" s="3" t="s">
        <v>70</v>
      </c>
      <c r="H44" s="12" cm="1">
        <f t="array" ref="H44">_xlfn.IFS(I44&lt;197,I44*1.26,I44&gt;197,I44*1.17) + IF(I44&gt;1000,17,0)</f>
        <v>31.442846399999997</v>
      </c>
      <c r="I44" s="10">
        <f>($K$2+0.02)*Tabla1[[#This Row],[PRECIO $]]*1.18</f>
        <v>24.954639999999998</v>
      </c>
      <c r="J44" s="7">
        <f>+Tabla1[[#This Row],[PRECIO EN SOLES]]-Tabla1[[#This Row],[PC]]</f>
        <v>6.4882063999999993</v>
      </c>
    </row>
    <row r="45" spans="1:10" x14ac:dyDescent="0.25">
      <c r="A45" s="3" t="s">
        <v>976</v>
      </c>
      <c r="B45" s="3" t="s">
        <v>977</v>
      </c>
      <c r="C45" s="1">
        <v>8</v>
      </c>
      <c r="D45" s="1">
        <v>2.75</v>
      </c>
      <c r="E45" s="1" t="s">
        <v>58</v>
      </c>
      <c r="F45" s="1" t="s">
        <v>4008</v>
      </c>
      <c r="G45" s="3"/>
      <c r="H45" s="12" cm="1">
        <f t="array" ref="H45">_xlfn.IFS(I45&lt;197,I45*1.26,I45&gt;197,I45*1.17) + IF(I45&gt;1000,17,0)</f>
        <v>13.901579999999999</v>
      </c>
      <c r="I45" s="10">
        <f>($K$2+0.02)*Tabla1[[#This Row],[PRECIO $]]*1.18</f>
        <v>11.032999999999999</v>
      </c>
      <c r="J45" s="7">
        <f>+Tabla1[[#This Row],[PRECIO EN SOLES]]-Tabla1[[#This Row],[PC]]</f>
        <v>2.8685799999999997</v>
      </c>
    </row>
    <row r="46" spans="1:10" x14ac:dyDescent="0.25">
      <c r="A46" s="3" t="s">
        <v>71</v>
      </c>
      <c r="B46" s="3" t="s">
        <v>72</v>
      </c>
      <c r="C46" s="1">
        <v>20</v>
      </c>
      <c r="D46" s="1">
        <v>4</v>
      </c>
      <c r="E46" s="1" t="s">
        <v>58</v>
      </c>
      <c r="F46" s="1" t="s">
        <v>4009</v>
      </c>
      <c r="G46" s="3"/>
      <c r="H46" s="12" cm="1">
        <f t="array" ref="H46">_xlfn.IFS(I46&lt;197,I46*1.26,I46&gt;197,I46*1.17) + IF(I46&gt;1000,17,0)</f>
        <v>20.220479999999998</v>
      </c>
      <c r="I46" s="10">
        <f>($K$2+0.02)*Tabla1[[#This Row],[PRECIO $]]*1.18</f>
        <v>16.047999999999998</v>
      </c>
      <c r="J46" s="7">
        <f>+Tabla1[[#This Row],[PRECIO EN SOLES]]-Tabla1[[#This Row],[PC]]</f>
        <v>4.1724800000000002</v>
      </c>
    </row>
    <row r="47" spans="1:10" x14ac:dyDescent="0.25">
      <c r="A47" s="3" t="s">
        <v>978</v>
      </c>
      <c r="B47" s="3" t="s">
        <v>60</v>
      </c>
      <c r="C47" s="1">
        <v>0</v>
      </c>
      <c r="D47" s="1">
        <v>9999999.9900000002</v>
      </c>
      <c r="E47" s="1" t="s">
        <v>214</v>
      </c>
      <c r="F47" s="1" t="s">
        <v>4010</v>
      </c>
      <c r="G47" s="3"/>
      <c r="H47" s="13" cm="1">
        <f t="array" ref="H47">_xlfn.IFS(I47&lt;197,I47*1.26,I47&gt;197,I47*1.17) + IF(I47&gt;1000,17,0)</f>
        <v>46940416.953059591</v>
      </c>
      <c r="I47" s="10">
        <f>($K$2+0.02)*Tabla1[[#This Row],[PRECIO $]]*1.18</f>
        <v>40119999.959879994</v>
      </c>
      <c r="J47" s="7">
        <f>+Tabla1[[#This Row],[PRECIO EN SOLES]]-Tabla1[[#This Row],[PC]]</f>
        <v>6820416.993179597</v>
      </c>
    </row>
    <row r="48" spans="1:10" x14ac:dyDescent="0.25">
      <c r="A48" s="3" t="s">
        <v>979</v>
      </c>
      <c r="B48" s="3" t="s">
        <v>980</v>
      </c>
      <c r="C48" s="1">
        <v>3</v>
      </c>
      <c r="D48" s="1">
        <v>198</v>
      </c>
      <c r="E48" s="1" t="s">
        <v>58</v>
      </c>
      <c r="F48" s="1" t="s">
        <v>4011</v>
      </c>
      <c r="G48" s="3" t="s">
        <v>981</v>
      </c>
      <c r="H48" s="12" cm="1">
        <f t="array" ref="H48">_xlfn.IFS(I48&lt;197,I48*1.26,I48&gt;197,I48*1.17) + IF(I48&gt;1000,17,0)</f>
        <v>929.41991999999982</v>
      </c>
      <c r="I48" s="10">
        <f>($K$2+0.02)*Tabla1[[#This Row],[PRECIO $]]*1.18</f>
        <v>794.37599999999986</v>
      </c>
      <c r="J48" s="7">
        <f>+Tabla1[[#This Row],[PRECIO EN SOLES]]-Tabla1[[#This Row],[PC]]</f>
        <v>135.04391999999996</v>
      </c>
    </row>
    <row r="49" spans="1:10" x14ac:dyDescent="0.25">
      <c r="A49" s="3" t="s">
        <v>982</v>
      </c>
      <c r="B49" s="3" t="s">
        <v>983</v>
      </c>
      <c r="C49" s="1">
        <v>3</v>
      </c>
      <c r="D49" s="1">
        <v>160</v>
      </c>
      <c r="E49" s="1" t="s">
        <v>58</v>
      </c>
      <c r="F49" s="1" t="s">
        <v>4012</v>
      </c>
      <c r="G49" s="3" t="s">
        <v>984</v>
      </c>
      <c r="H49" s="12" cm="1">
        <f t="array" ref="H49">_xlfn.IFS(I49&lt;197,I49*1.26,I49&gt;197,I49*1.17) + IF(I49&gt;1000,17,0)</f>
        <v>751.04639999999995</v>
      </c>
      <c r="I49" s="10">
        <f>($K$2+0.02)*Tabla1[[#This Row],[PRECIO $]]*1.18</f>
        <v>641.91999999999996</v>
      </c>
      <c r="J49" s="7">
        <f>+Tabla1[[#This Row],[PRECIO EN SOLES]]-Tabla1[[#This Row],[PC]]</f>
        <v>109.12639999999999</v>
      </c>
    </row>
    <row r="50" spans="1:10" x14ac:dyDescent="0.25">
      <c r="A50" s="3" t="s">
        <v>985</v>
      </c>
      <c r="B50" s="3" t="s">
        <v>986</v>
      </c>
      <c r="C50" s="1">
        <v>1</v>
      </c>
      <c r="D50" s="1">
        <v>254</v>
      </c>
      <c r="E50" s="1" t="s">
        <v>57</v>
      </c>
      <c r="F50" s="1" t="s">
        <v>4013</v>
      </c>
      <c r="G50" s="3" t="s">
        <v>987</v>
      </c>
      <c r="H50" s="12" cm="1">
        <f t="array" ref="H50">_xlfn.IFS(I50&lt;197,I50*1.26,I50&gt;197,I50*1.17) + IF(I50&gt;1000,17,0)</f>
        <v>1209.2861599999999</v>
      </c>
      <c r="I50" s="10">
        <f>($K$2+0.02)*Tabla1[[#This Row],[PRECIO $]]*1.18</f>
        <v>1019.048</v>
      </c>
      <c r="J50" s="7">
        <f>+Tabla1[[#This Row],[PRECIO EN SOLES]]-Tabla1[[#This Row],[PC]]</f>
        <v>190.23815999999988</v>
      </c>
    </row>
    <row r="51" spans="1:10" x14ac:dyDescent="0.25">
      <c r="A51" s="3" t="s">
        <v>5434</v>
      </c>
      <c r="B51" s="3" t="s">
        <v>5435</v>
      </c>
      <c r="C51" s="1">
        <v>10</v>
      </c>
      <c r="D51" s="1">
        <v>132.9</v>
      </c>
      <c r="E51" s="1" t="s">
        <v>73</v>
      </c>
      <c r="F51" s="1" t="s">
        <v>5496</v>
      </c>
      <c r="G51" s="3" t="s">
        <v>5436</v>
      </c>
      <c r="H51" s="12" cm="1">
        <f t="array" ref="H51">_xlfn.IFS(I51&lt;197,I51*1.26,I51&gt;197,I51*1.17) + IF(I51&gt;1000,17,0)</f>
        <v>623.83791599999995</v>
      </c>
      <c r="I51" s="10">
        <f>($K$2+0.02)*Tabla1[[#This Row],[PRECIO $]]*1.18</f>
        <v>533.19479999999999</v>
      </c>
      <c r="J51" s="7">
        <f>+Tabla1[[#This Row],[PRECIO EN SOLES]]-Tabla1[[#This Row],[PC]]</f>
        <v>90.643115999999964</v>
      </c>
    </row>
    <row r="52" spans="1:10" x14ac:dyDescent="0.25">
      <c r="A52" s="3" t="s">
        <v>988</v>
      </c>
      <c r="B52" s="3" t="s">
        <v>989</v>
      </c>
      <c r="C52" s="1">
        <v>20</v>
      </c>
      <c r="D52" s="1">
        <v>53</v>
      </c>
      <c r="E52" s="1" t="s">
        <v>74</v>
      </c>
      <c r="F52" s="1" t="s">
        <v>4014</v>
      </c>
      <c r="G52" s="3" t="s">
        <v>990</v>
      </c>
      <c r="H52" s="12" cm="1">
        <f t="array" ref="H52">_xlfn.IFS(I52&lt;197,I52*1.26,I52&gt;197,I52*1.17) + IF(I52&gt;1000,17,0)</f>
        <v>248.78411999999994</v>
      </c>
      <c r="I52" s="10">
        <f>($K$2+0.02)*Tabla1[[#This Row],[PRECIO $]]*1.18</f>
        <v>212.63599999999997</v>
      </c>
      <c r="J52" s="7">
        <f>+Tabla1[[#This Row],[PRECIO EN SOLES]]-Tabla1[[#This Row],[PC]]</f>
        <v>36.148119999999977</v>
      </c>
    </row>
    <row r="53" spans="1:10" x14ac:dyDescent="0.25">
      <c r="A53" s="3" t="s">
        <v>991</v>
      </c>
      <c r="B53" s="3" t="s">
        <v>992</v>
      </c>
      <c r="C53" s="1">
        <v>20</v>
      </c>
      <c r="D53" s="1">
        <v>29</v>
      </c>
      <c r="E53" s="1" t="s">
        <v>993</v>
      </c>
      <c r="F53" s="1" t="s">
        <v>4015</v>
      </c>
      <c r="G53" s="3" t="s">
        <v>994</v>
      </c>
      <c r="H53" s="12" cm="1">
        <f t="array" ref="H53">_xlfn.IFS(I53&lt;197,I53*1.26,I53&gt;197,I53*1.17) + IF(I53&gt;1000,17,0)</f>
        <v>146.59848</v>
      </c>
      <c r="I53" s="10">
        <f>($K$2+0.02)*Tabla1[[#This Row],[PRECIO $]]*1.18</f>
        <v>116.34799999999998</v>
      </c>
      <c r="J53" s="7">
        <f>+Tabla1[[#This Row],[PRECIO EN SOLES]]-Tabla1[[#This Row],[PC]]</f>
        <v>30.25048000000001</v>
      </c>
    </row>
    <row r="54" spans="1:10" x14ac:dyDescent="0.25">
      <c r="A54" s="3" t="s">
        <v>75</v>
      </c>
      <c r="B54" s="3" t="s">
        <v>76</v>
      </c>
      <c r="C54" s="1">
        <v>1</v>
      </c>
      <c r="D54" s="1">
        <v>48.5</v>
      </c>
      <c r="E54" s="1" t="s">
        <v>73</v>
      </c>
      <c r="F54" s="1" t="s">
        <v>4016</v>
      </c>
      <c r="G54" s="3" t="s">
        <v>77</v>
      </c>
      <c r="H54" s="12" cm="1">
        <f t="array" ref="H54">_xlfn.IFS(I54&lt;197,I54*1.26,I54&gt;197,I54*1.17) + IF(I54&gt;1000,17,0)</f>
        <v>245.17331999999999</v>
      </c>
      <c r="I54" s="10">
        <f>($K$2+0.02)*Tabla1[[#This Row],[PRECIO $]]*1.18</f>
        <v>194.58199999999999</v>
      </c>
      <c r="J54" s="7">
        <f>+Tabla1[[#This Row],[PRECIO EN SOLES]]-Tabla1[[#This Row],[PC]]</f>
        <v>50.591319999999996</v>
      </c>
    </row>
    <row r="55" spans="1:10" x14ac:dyDescent="0.25">
      <c r="A55" s="3" t="s">
        <v>2493</v>
      </c>
      <c r="B55" s="3" t="s">
        <v>2494</v>
      </c>
      <c r="C55" s="1">
        <v>0</v>
      </c>
      <c r="D55" s="1">
        <v>72.3</v>
      </c>
      <c r="E55" s="1" t="s">
        <v>1002</v>
      </c>
      <c r="F55" s="1" t="s">
        <v>4017</v>
      </c>
      <c r="G55" s="3" t="s">
        <v>3538</v>
      </c>
      <c r="H55" s="12" cm="1">
        <f t="array" ref="H55">_xlfn.IFS(I55&lt;197,I55*1.26,I55&gt;197,I55*1.17) + IF(I55&gt;1000,17,0)</f>
        <v>339.37909199999996</v>
      </c>
      <c r="I55" s="10">
        <f>($K$2+0.02)*Tabla1[[#This Row],[PRECIO $]]*1.18</f>
        <v>290.06759999999997</v>
      </c>
      <c r="J55" s="7">
        <f>+Tabla1[[#This Row],[PRECIO EN SOLES]]-Tabla1[[#This Row],[PC]]</f>
        <v>49.311491999999987</v>
      </c>
    </row>
    <row r="56" spans="1:10" x14ac:dyDescent="0.25">
      <c r="A56" s="3" t="s">
        <v>995</v>
      </c>
      <c r="B56" s="3" t="s">
        <v>996</v>
      </c>
      <c r="C56" s="1">
        <v>1</v>
      </c>
      <c r="D56" s="1">
        <v>10</v>
      </c>
      <c r="E56" s="1" t="s">
        <v>74</v>
      </c>
      <c r="F56" s="1" t="s">
        <v>4018</v>
      </c>
      <c r="G56" s="3" t="s">
        <v>997</v>
      </c>
      <c r="H56" s="12" cm="1">
        <f t="array" ref="H56">_xlfn.IFS(I56&lt;197,I56*1.26,I56&gt;197,I56*1.17) + IF(I56&gt;1000,17,0)</f>
        <v>50.551199999999994</v>
      </c>
      <c r="I56" s="10">
        <f>($K$2+0.02)*Tabla1[[#This Row],[PRECIO $]]*1.18</f>
        <v>40.119999999999997</v>
      </c>
      <c r="J56" s="7">
        <f>+Tabla1[[#This Row],[PRECIO EN SOLES]]-Tabla1[[#This Row],[PC]]</f>
        <v>10.431199999999997</v>
      </c>
    </row>
    <row r="57" spans="1:10" x14ac:dyDescent="0.25">
      <c r="A57" s="3" t="s">
        <v>998</v>
      </c>
      <c r="B57" s="3" t="s">
        <v>999</v>
      </c>
      <c r="C57" s="1">
        <v>20</v>
      </c>
      <c r="D57" s="1">
        <v>9.4</v>
      </c>
      <c r="E57" s="1" t="s">
        <v>1002</v>
      </c>
      <c r="F57" s="1" t="s">
        <v>4019</v>
      </c>
      <c r="G57" s="3" t="s">
        <v>3539</v>
      </c>
      <c r="H57" s="12" cm="1">
        <f t="array" ref="H57">_xlfn.IFS(I57&lt;197,I57*1.26,I57&gt;197,I57*1.17) + IF(I57&gt;1000,17,0)</f>
        <v>47.518128000000004</v>
      </c>
      <c r="I57" s="10">
        <f>($K$2+0.02)*Tabla1[[#This Row],[PRECIO $]]*1.18</f>
        <v>37.712800000000001</v>
      </c>
      <c r="J57" s="7">
        <f>+Tabla1[[#This Row],[PRECIO EN SOLES]]-Tabla1[[#This Row],[PC]]</f>
        <v>9.8053280000000029</v>
      </c>
    </row>
    <row r="58" spans="1:10" x14ac:dyDescent="0.25">
      <c r="A58" s="3" t="s">
        <v>1000</v>
      </c>
      <c r="B58" s="3" t="s">
        <v>1001</v>
      </c>
      <c r="C58" s="1">
        <v>20</v>
      </c>
      <c r="D58" s="1">
        <v>53.6</v>
      </c>
      <c r="E58" s="1" t="s">
        <v>1002</v>
      </c>
      <c r="F58" s="1" t="s">
        <v>4020</v>
      </c>
      <c r="G58" s="3" t="s">
        <v>3540</v>
      </c>
      <c r="H58" s="12" cm="1">
        <f t="array" ref="H58">_xlfn.IFS(I58&lt;197,I58*1.26,I58&gt;197,I58*1.17) + IF(I58&gt;1000,17,0)</f>
        <v>251.60054400000001</v>
      </c>
      <c r="I58" s="10">
        <f>($K$2+0.02)*Tabla1[[#This Row],[PRECIO $]]*1.18</f>
        <v>215.04320000000001</v>
      </c>
      <c r="J58" s="7">
        <f>+Tabla1[[#This Row],[PRECIO EN SOLES]]-Tabla1[[#This Row],[PC]]</f>
        <v>36.557344000000001</v>
      </c>
    </row>
    <row r="59" spans="1:10" x14ac:dyDescent="0.25">
      <c r="A59" s="3" t="s">
        <v>78</v>
      </c>
      <c r="B59" s="3" t="s">
        <v>79</v>
      </c>
      <c r="C59" s="1">
        <v>20</v>
      </c>
      <c r="D59" s="1">
        <v>9.6</v>
      </c>
      <c r="E59" s="1" t="s">
        <v>52</v>
      </c>
      <c r="F59" s="1" t="s">
        <v>4021</v>
      </c>
      <c r="G59" s="3" t="s">
        <v>80</v>
      </c>
      <c r="H59" s="12" cm="1">
        <f t="array" ref="H59">_xlfn.IFS(I59&lt;197,I59*1.26,I59&gt;197,I59*1.17) + IF(I59&gt;1000,17,0)</f>
        <v>48.529152000000003</v>
      </c>
      <c r="I59" s="10">
        <f>($K$2+0.02)*Tabla1[[#This Row],[PRECIO $]]*1.18</f>
        <v>38.5152</v>
      </c>
      <c r="J59" s="7">
        <f>+Tabla1[[#This Row],[PRECIO EN SOLES]]-Tabla1[[#This Row],[PC]]</f>
        <v>10.013952000000003</v>
      </c>
    </row>
    <row r="60" spans="1:10" x14ac:dyDescent="0.25">
      <c r="A60" s="3" t="s">
        <v>81</v>
      </c>
      <c r="B60" s="3" t="s">
        <v>82</v>
      </c>
      <c r="C60" s="1">
        <v>20</v>
      </c>
      <c r="D60" s="1">
        <v>9.6</v>
      </c>
      <c r="E60" s="1" t="s">
        <v>52</v>
      </c>
      <c r="F60" s="1" t="s">
        <v>4022</v>
      </c>
      <c r="G60" s="3" t="s">
        <v>83</v>
      </c>
      <c r="H60" s="12" cm="1">
        <f t="array" ref="H60">_xlfn.IFS(I60&lt;197,I60*1.26,I60&gt;197,I60*1.17) + IF(I60&gt;1000,17,0)</f>
        <v>48.529152000000003</v>
      </c>
      <c r="I60" s="10">
        <f>($K$2+0.02)*Tabla1[[#This Row],[PRECIO $]]*1.18</f>
        <v>38.5152</v>
      </c>
      <c r="J60" s="7">
        <f>+Tabla1[[#This Row],[PRECIO EN SOLES]]-Tabla1[[#This Row],[PC]]</f>
        <v>10.013952000000003</v>
      </c>
    </row>
    <row r="61" spans="1:10" x14ac:dyDescent="0.25">
      <c r="A61" s="3" t="s">
        <v>84</v>
      </c>
      <c r="B61" s="3" t="s">
        <v>85</v>
      </c>
      <c r="C61" s="1">
        <v>20</v>
      </c>
      <c r="D61" s="1">
        <v>6.8</v>
      </c>
      <c r="E61" s="1" t="s">
        <v>52</v>
      </c>
      <c r="F61" s="1" t="s">
        <v>4023</v>
      </c>
      <c r="G61" s="3" t="s">
        <v>86</v>
      </c>
      <c r="H61" s="12" cm="1">
        <f t="array" ref="H61">_xlfn.IFS(I61&lt;197,I61*1.26,I61&gt;197,I61*1.17) + IF(I61&gt;1000,17,0)</f>
        <v>34.374815999999996</v>
      </c>
      <c r="I61" s="10">
        <f>($K$2+0.02)*Tabla1[[#This Row],[PRECIO $]]*1.18</f>
        <v>27.281599999999994</v>
      </c>
      <c r="J61" s="7">
        <f>+Tabla1[[#This Row],[PRECIO EN SOLES]]-Tabla1[[#This Row],[PC]]</f>
        <v>7.0932160000000017</v>
      </c>
    </row>
    <row r="62" spans="1:10" x14ac:dyDescent="0.25">
      <c r="A62" s="3" t="s">
        <v>87</v>
      </c>
      <c r="B62" s="3" t="s">
        <v>88</v>
      </c>
      <c r="C62" s="1">
        <v>14</v>
      </c>
      <c r="D62" s="1">
        <v>18.399999999999999</v>
      </c>
      <c r="E62" s="1" t="s">
        <v>52</v>
      </c>
      <c r="F62" s="1" t="s">
        <v>4024</v>
      </c>
      <c r="G62" s="3" t="s">
        <v>89</v>
      </c>
      <c r="H62" s="12" cm="1">
        <f t="array" ref="H62">_xlfn.IFS(I62&lt;197,I62*1.26,I62&gt;197,I62*1.17) + IF(I62&gt;1000,17,0)</f>
        <v>93.014207999999996</v>
      </c>
      <c r="I62" s="10">
        <f>($K$2+0.02)*Tabla1[[#This Row],[PRECIO $]]*1.18</f>
        <v>73.820799999999991</v>
      </c>
      <c r="J62" s="7">
        <f>+Tabla1[[#This Row],[PRECIO EN SOLES]]-Tabla1[[#This Row],[PC]]</f>
        <v>19.193408000000005</v>
      </c>
    </row>
    <row r="63" spans="1:10" x14ac:dyDescent="0.25">
      <c r="A63" s="3" t="s">
        <v>90</v>
      </c>
      <c r="B63" s="3" t="s">
        <v>91</v>
      </c>
      <c r="C63" s="1">
        <v>20</v>
      </c>
      <c r="D63" s="1">
        <v>18.399999999999999</v>
      </c>
      <c r="E63" s="1" t="s">
        <v>52</v>
      </c>
      <c r="F63" s="1" t="s">
        <v>4025</v>
      </c>
      <c r="G63" s="3" t="s">
        <v>92</v>
      </c>
      <c r="H63" s="12" cm="1">
        <f t="array" ref="H63">_xlfn.IFS(I63&lt;197,I63*1.26,I63&gt;197,I63*1.17) + IF(I63&gt;1000,17,0)</f>
        <v>93.014207999999996</v>
      </c>
      <c r="I63" s="10">
        <f>($K$2+0.02)*Tabla1[[#This Row],[PRECIO $]]*1.18</f>
        <v>73.820799999999991</v>
      </c>
      <c r="J63" s="7">
        <f>+Tabla1[[#This Row],[PRECIO EN SOLES]]-Tabla1[[#This Row],[PC]]</f>
        <v>19.193408000000005</v>
      </c>
    </row>
    <row r="64" spans="1:10" x14ac:dyDescent="0.25">
      <c r="A64" s="3" t="s">
        <v>93</v>
      </c>
      <c r="B64" s="3" t="s">
        <v>94</v>
      </c>
      <c r="C64" s="1">
        <v>20</v>
      </c>
      <c r="D64" s="1">
        <v>18.399999999999999</v>
      </c>
      <c r="E64" s="1" t="s">
        <v>52</v>
      </c>
      <c r="F64" s="1" t="s">
        <v>4026</v>
      </c>
      <c r="G64" s="3" t="s">
        <v>95</v>
      </c>
      <c r="H64" s="12" cm="1">
        <f t="array" ref="H64">_xlfn.IFS(I64&lt;197,I64*1.26,I64&gt;197,I64*1.17) + IF(I64&gt;1000,17,0)</f>
        <v>93.014207999999996</v>
      </c>
      <c r="I64" s="10">
        <f>($K$2+0.02)*Tabla1[[#This Row],[PRECIO $]]*1.18</f>
        <v>73.820799999999991</v>
      </c>
      <c r="J64" s="7">
        <f>+Tabla1[[#This Row],[PRECIO EN SOLES]]-Tabla1[[#This Row],[PC]]</f>
        <v>19.193408000000005</v>
      </c>
    </row>
    <row r="65" spans="1:10" x14ac:dyDescent="0.25">
      <c r="A65" s="3" t="s">
        <v>1004</v>
      </c>
      <c r="B65" s="3" t="s">
        <v>1005</v>
      </c>
      <c r="C65" s="1">
        <v>20</v>
      </c>
      <c r="D65" s="1">
        <v>18.399999999999999</v>
      </c>
      <c r="E65" s="1" t="s">
        <v>52</v>
      </c>
      <c r="F65" s="1" t="s">
        <v>4027</v>
      </c>
      <c r="G65" s="3" t="s">
        <v>1006</v>
      </c>
      <c r="H65" s="12" cm="1">
        <f t="array" ref="H65">_xlfn.IFS(I65&lt;197,I65*1.26,I65&gt;197,I65*1.17) + IF(I65&gt;1000,17,0)</f>
        <v>93.014207999999996</v>
      </c>
      <c r="I65" s="10">
        <f>($K$2+0.02)*Tabla1[[#This Row],[PRECIO $]]*1.18</f>
        <v>73.820799999999991</v>
      </c>
      <c r="J65" s="7">
        <f>+Tabla1[[#This Row],[PRECIO EN SOLES]]-Tabla1[[#This Row],[PC]]</f>
        <v>19.193408000000005</v>
      </c>
    </row>
    <row r="66" spans="1:10" x14ac:dyDescent="0.25">
      <c r="A66" s="3" t="s">
        <v>96</v>
      </c>
      <c r="B66" s="3" t="s">
        <v>97</v>
      </c>
      <c r="C66" s="1">
        <v>20</v>
      </c>
      <c r="D66" s="1">
        <v>14.5</v>
      </c>
      <c r="E66" s="1" t="s">
        <v>52</v>
      </c>
      <c r="F66" s="1" t="s">
        <v>4028</v>
      </c>
      <c r="G66" s="3" t="s">
        <v>98</v>
      </c>
      <c r="H66" s="12" cm="1">
        <f t="array" ref="H66">_xlfn.IFS(I66&lt;197,I66*1.26,I66&gt;197,I66*1.17) + IF(I66&gt;1000,17,0)</f>
        <v>73.299239999999998</v>
      </c>
      <c r="I66" s="10">
        <f>($K$2+0.02)*Tabla1[[#This Row],[PRECIO $]]*1.18</f>
        <v>58.173999999999992</v>
      </c>
      <c r="J66" s="7">
        <f>+Tabla1[[#This Row],[PRECIO EN SOLES]]-Tabla1[[#This Row],[PC]]</f>
        <v>15.125240000000005</v>
      </c>
    </row>
    <row r="67" spans="1:10" x14ac:dyDescent="0.25">
      <c r="A67" s="3" t="s">
        <v>1007</v>
      </c>
      <c r="B67" s="3" t="s">
        <v>1008</v>
      </c>
      <c r="C67" s="1">
        <v>20</v>
      </c>
      <c r="D67" s="1">
        <v>23.4</v>
      </c>
      <c r="E67" s="1" t="s">
        <v>1002</v>
      </c>
      <c r="F67" s="1" t="s">
        <v>4029</v>
      </c>
      <c r="G67" s="3" t="s">
        <v>1009</v>
      </c>
      <c r="H67" s="12" cm="1">
        <f t="array" ref="H67">_xlfn.IFS(I67&lt;197,I67*1.26,I67&gt;197,I67*1.17) + IF(I67&gt;1000,17,0)</f>
        <v>118.28980799999998</v>
      </c>
      <c r="I67" s="10">
        <f>($K$2+0.02)*Tabla1[[#This Row],[PRECIO $]]*1.18</f>
        <v>93.880799999999979</v>
      </c>
      <c r="J67" s="7">
        <f>+Tabla1[[#This Row],[PRECIO EN SOLES]]-Tabla1[[#This Row],[PC]]</f>
        <v>24.409008</v>
      </c>
    </row>
    <row r="68" spans="1:10" x14ac:dyDescent="0.25">
      <c r="A68" s="3" t="s">
        <v>1010</v>
      </c>
      <c r="B68" s="3" t="s">
        <v>1011</v>
      </c>
      <c r="C68" s="1">
        <v>20</v>
      </c>
      <c r="D68" s="1">
        <v>30</v>
      </c>
      <c r="E68" s="1" t="s">
        <v>74</v>
      </c>
      <c r="F68" s="1" t="s">
        <v>4030</v>
      </c>
      <c r="G68" s="3" t="s">
        <v>1012</v>
      </c>
      <c r="H68" s="12" cm="1">
        <f t="array" ref="H68">_xlfn.IFS(I68&lt;197,I68*1.26,I68&gt;197,I68*1.17) + IF(I68&gt;1000,17,0)</f>
        <v>151.65360000000001</v>
      </c>
      <c r="I68" s="10">
        <f>($K$2+0.02)*Tabla1[[#This Row],[PRECIO $]]*1.18</f>
        <v>120.36</v>
      </c>
      <c r="J68" s="7">
        <f>+Tabla1[[#This Row],[PRECIO EN SOLES]]-Tabla1[[#This Row],[PC]]</f>
        <v>31.293600000000012</v>
      </c>
    </row>
    <row r="69" spans="1:10" x14ac:dyDescent="0.25">
      <c r="A69" s="3" t="s">
        <v>99</v>
      </c>
      <c r="B69" s="3" t="s">
        <v>100</v>
      </c>
      <c r="C69" s="1">
        <v>20</v>
      </c>
      <c r="D69" s="1">
        <v>22</v>
      </c>
      <c r="E69" s="1" t="s">
        <v>101</v>
      </c>
      <c r="F69" s="1" t="s">
        <v>4031</v>
      </c>
      <c r="G69" s="3" t="s">
        <v>102</v>
      </c>
      <c r="H69" s="12" cm="1">
        <f t="array" ref="H69">_xlfn.IFS(I69&lt;197,I69*1.26,I69&gt;197,I69*1.17) + IF(I69&gt;1000,17,0)</f>
        <v>111.21263999999999</v>
      </c>
      <c r="I69" s="10">
        <f>($K$2+0.02)*Tabla1[[#This Row],[PRECIO $]]*1.18</f>
        <v>88.263999999999996</v>
      </c>
      <c r="J69" s="7">
        <f>+Tabla1[[#This Row],[PRECIO EN SOLES]]-Tabla1[[#This Row],[PC]]</f>
        <v>22.948639999999997</v>
      </c>
    </row>
    <row r="70" spans="1:10" x14ac:dyDescent="0.25">
      <c r="A70" s="3" t="s">
        <v>1013</v>
      </c>
      <c r="B70" s="3" t="s">
        <v>1014</v>
      </c>
      <c r="C70" s="1">
        <v>16</v>
      </c>
      <c r="D70" s="1">
        <v>18.7</v>
      </c>
      <c r="E70" s="1" t="s">
        <v>52</v>
      </c>
      <c r="F70" s="1" t="s">
        <v>4032</v>
      </c>
      <c r="G70" s="3" t="s">
        <v>1015</v>
      </c>
      <c r="H70" s="12" cm="1">
        <f t="array" ref="H70">_xlfn.IFS(I70&lt;197,I70*1.26,I70&gt;197,I70*1.17) + IF(I70&gt;1000,17,0)</f>
        <v>94.530743999999999</v>
      </c>
      <c r="I70" s="10">
        <f>($K$2+0.02)*Tabla1[[#This Row],[PRECIO $]]*1.18</f>
        <v>75.0244</v>
      </c>
      <c r="J70" s="7">
        <f>+Tabla1[[#This Row],[PRECIO EN SOLES]]-Tabla1[[#This Row],[PC]]</f>
        <v>19.506343999999999</v>
      </c>
    </row>
    <row r="71" spans="1:10" x14ac:dyDescent="0.25">
      <c r="A71" s="3" t="s">
        <v>1016</v>
      </c>
      <c r="B71" s="3" t="s">
        <v>1017</v>
      </c>
      <c r="C71" s="1">
        <v>4</v>
      </c>
      <c r="D71" s="1">
        <v>39.299999999999997</v>
      </c>
      <c r="E71" s="1" t="s">
        <v>74</v>
      </c>
      <c r="F71" s="1" t="s">
        <v>4033</v>
      </c>
      <c r="G71" s="3" t="s">
        <v>1018</v>
      </c>
      <c r="H71" s="12" cm="1">
        <f t="array" ref="H71">_xlfn.IFS(I71&lt;197,I71*1.26,I71&gt;197,I71*1.17) + IF(I71&gt;1000,17,0)</f>
        <v>198.66621599999993</v>
      </c>
      <c r="I71" s="10">
        <f>($K$2+0.02)*Tabla1[[#This Row],[PRECIO $]]*1.18</f>
        <v>157.67159999999996</v>
      </c>
      <c r="J71" s="7">
        <f>+Tabla1[[#This Row],[PRECIO EN SOLES]]-Tabla1[[#This Row],[PC]]</f>
        <v>40.994615999999979</v>
      </c>
    </row>
    <row r="72" spans="1:10" x14ac:dyDescent="0.25">
      <c r="A72" s="3" t="s">
        <v>1019</v>
      </c>
      <c r="B72" s="3" t="s">
        <v>1020</v>
      </c>
      <c r="C72" s="1">
        <v>8</v>
      </c>
      <c r="D72" s="1">
        <v>33.5</v>
      </c>
      <c r="E72" s="1" t="s">
        <v>74</v>
      </c>
      <c r="F72" s="1" t="s">
        <v>4034</v>
      </c>
      <c r="G72" s="3" t="s">
        <v>1021</v>
      </c>
      <c r="H72" s="12" cm="1">
        <f t="array" ref="H72">_xlfn.IFS(I72&lt;197,I72*1.26,I72&gt;197,I72*1.17) + IF(I72&gt;1000,17,0)</f>
        <v>169.34652</v>
      </c>
      <c r="I72" s="10">
        <f>($K$2+0.02)*Tabla1[[#This Row],[PRECIO $]]*1.18</f>
        <v>134.40199999999999</v>
      </c>
      <c r="J72" s="7">
        <f>+Tabla1[[#This Row],[PRECIO EN SOLES]]-Tabla1[[#This Row],[PC]]</f>
        <v>34.944520000000011</v>
      </c>
    </row>
    <row r="73" spans="1:10" x14ac:dyDescent="0.25">
      <c r="A73" s="3" t="s">
        <v>5437</v>
      </c>
      <c r="B73" s="3" t="s">
        <v>5438</v>
      </c>
      <c r="C73" s="1">
        <v>20</v>
      </c>
      <c r="D73" s="1">
        <v>21.2</v>
      </c>
      <c r="E73" s="1" t="s">
        <v>52</v>
      </c>
      <c r="F73" s="1" t="s">
        <v>5497</v>
      </c>
      <c r="G73" s="3" t="s">
        <v>5521</v>
      </c>
      <c r="H73" s="12" cm="1">
        <f t="array" ref="H73">_xlfn.IFS(I73&lt;197,I73*1.26,I73&gt;197,I73*1.17) + IF(I73&gt;1000,17,0)</f>
        <v>107.16854399999998</v>
      </c>
      <c r="I73" s="10">
        <f>($K$2+0.02)*Tabla1[[#This Row],[PRECIO $]]*1.18</f>
        <v>85.054399999999987</v>
      </c>
      <c r="J73" s="7">
        <f>+Tabla1[[#This Row],[PRECIO EN SOLES]]-Tabla1[[#This Row],[PC]]</f>
        <v>22.114143999999996</v>
      </c>
    </row>
    <row r="74" spans="1:10" x14ac:dyDescent="0.25">
      <c r="A74" s="3" t="s">
        <v>1022</v>
      </c>
      <c r="B74" s="3" t="s">
        <v>1023</v>
      </c>
      <c r="C74" s="1">
        <v>6</v>
      </c>
      <c r="D74" s="1">
        <v>19.600000000000001</v>
      </c>
      <c r="E74" s="1" t="s">
        <v>57</v>
      </c>
      <c r="F74" s="1" t="s">
        <v>4035</v>
      </c>
      <c r="G74" s="3"/>
      <c r="H74" s="12" cm="1">
        <f t="array" ref="H74">_xlfn.IFS(I74&lt;197,I74*1.26,I74&gt;197,I74*1.17) + IF(I74&gt;1000,17,0)</f>
        <v>99.080351999999991</v>
      </c>
      <c r="I74" s="10">
        <f>($K$2+0.02)*Tabla1[[#This Row],[PRECIO $]]*1.18</f>
        <v>78.635199999999998</v>
      </c>
      <c r="J74" s="7">
        <f>+Tabla1[[#This Row],[PRECIO EN SOLES]]-Tabla1[[#This Row],[PC]]</f>
        <v>20.445151999999993</v>
      </c>
    </row>
    <row r="75" spans="1:10" x14ac:dyDescent="0.25">
      <c r="A75" s="3" t="s">
        <v>1024</v>
      </c>
      <c r="B75" s="3" t="s">
        <v>1025</v>
      </c>
      <c r="C75" s="1">
        <v>1</v>
      </c>
      <c r="D75" s="1">
        <v>13.5</v>
      </c>
      <c r="E75" s="1" t="s">
        <v>1026</v>
      </c>
      <c r="F75" s="1" t="s">
        <v>4036</v>
      </c>
      <c r="G75" s="3" t="s">
        <v>1027</v>
      </c>
      <c r="H75" s="12" cm="1">
        <f t="array" ref="H75">_xlfn.IFS(I75&lt;197,I75*1.26,I75&gt;197,I75*1.17) + IF(I75&gt;1000,17,0)</f>
        <v>68.244119999999995</v>
      </c>
      <c r="I75" s="10">
        <f>($K$2+0.02)*Tabla1[[#This Row],[PRECIO $]]*1.18</f>
        <v>54.161999999999992</v>
      </c>
      <c r="J75" s="7">
        <f>+Tabla1[[#This Row],[PRECIO EN SOLES]]-Tabla1[[#This Row],[PC]]</f>
        <v>14.082120000000003</v>
      </c>
    </row>
    <row r="76" spans="1:10" x14ac:dyDescent="0.25">
      <c r="A76" s="3" t="s">
        <v>1028</v>
      </c>
      <c r="B76" s="3" t="s">
        <v>1029</v>
      </c>
      <c r="C76" s="1">
        <v>20</v>
      </c>
      <c r="D76" s="1">
        <v>11.6</v>
      </c>
      <c r="E76" s="1" t="s">
        <v>52</v>
      </c>
      <c r="F76" s="1" t="s">
        <v>4037</v>
      </c>
      <c r="G76" s="3" t="s">
        <v>1030</v>
      </c>
      <c r="H76" s="12" cm="1">
        <f t="array" ref="H76">_xlfn.IFS(I76&lt;197,I76*1.26,I76&gt;197,I76*1.17) + IF(I76&gt;1000,17,0)</f>
        <v>58.639391999999994</v>
      </c>
      <c r="I76" s="10">
        <f>($K$2+0.02)*Tabla1[[#This Row],[PRECIO $]]*1.18</f>
        <v>46.539199999999994</v>
      </c>
      <c r="J76" s="7">
        <f>+Tabla1[[#This Row],[PRECIO EN SOLES]]-Tabla1[[#This Row],[PC]]</f>
        <v>12.100192</v>
      </c>
    </row>
    <row r="77" spans="1:10" x14ac:dyDescent="0.25">
      <c r="A77" s="3" t="s">
        <v>103</v>
      </c>
      <c r="B77" s="3" t="s">
        <v>104</v>
      </c>
      <c r="C77" s="1">
        <v>20</v>
      </c>
      <c r="D77" s="1">
        <v>41.1</v>
      </c>
      <c r="E77" s="1" t="s">
        <v>52</v>
      </c>
      <c r="F77" s="1" t="s">
        <v>4038</v>
      </c>
      <c r="G77" s="3" t="s">
        <v>105</v>
      </c>
      <c r="H77" s="12" cm="1">
        <f t="array" ref="H77">_xlfn.IFS(I77&lt;197,I77*1.26,I77&gt;197,I77*1.17) + IF(I77&gt;1000,17,0)</f>
        <v>207.765432</v>
      </c>
      <c r="I77" s="10">
        <f>($K$2+0.02)*Tabla1[[#This Row],[PRECIO $]]*1.18</f>
        <v>164.89320000000001</v>
      </c>
      <c r="J77" s="7">
        <f>+Tabla1[[#This Row],[PRECIO EN SOLES]]-Tabla1[[#This Row],[PC]]</f>
        <v>42.872231999999997</v>
      </c>
    </row>
    <row r="78" spans="1:10" x14ac:dyDescent="0.25">
      <c r="A78" s="3" t="s">
        <v>3583</v>
      </c>
      <c r="B78" s="3" t="s">
        <v>3584</v>
      </c>
      <c r="C78" s="1">
        <v>3</v>
      </c>
      <c r="D78" s="1">
        <v>41.4</v>
      </c>
      <c r="E78" s="1" t="s">
        <v>52</v>
      </c>
      <c r="F78" s="1" t="s">
        <v>4039</v>
      </c>
      <c r="G78" s="3" t="s">
        <v>3585</v>
      </c>
      <c r="H78" s="12" cm="1">
        <f t="array" ref="H78">_xlfn.IFS(I78&lt;197,I78*1.26,I78&gt;197,I78*1.17) + IF(I78&gt;1000,17,0)</f>
        <v>209.28196799999998</v>
      </c>
      <c r="I78" s="10">
        <f>($K$2+0.02)*Tabla1[[#This Row],[PRECIO $]]*1.18</f>
        <v>166.09679999999997</v>
      </c>
      <c r="J78" s="7">
        <f>+Tabla1[[#This Row],[PRECIO EN SOLES]]-Tabla1[[#This Row],[PC]]</f>
        <v>43.185168000000004</v>
      </c>
    </row>
    <row r="79" spans="1:10" x14ac:dyDescent="0.25">
      <c r="A79" s="3" t="s">
        <v>106</v>
      </c>
      <c r="B79" s="3" t="s">
        <v>3738</v>
      </c>
      <c r="C79" s="1">
        <v>17</v>
      </c>
      <c r="D79" s="1">
        <v>41.4</v>
      </c>
      <c r="E79" s="1" t="s">
        <v>52</v>
      </c>
      <c r="F79" s="1" t="s">
        <v>4040</v>
      </c>
      <c r="G79" s="3" t="s">
        <v>107</v>
      </c>
      <c r="H79" s="12" cm="1">
        <f t="array" ref="H79">_xlfn.IFS(I79&lt;197,I79*1.26,I79&gt;197,I79*1.17) + IF(I79&gt;1000,17,0)</f>
        <v>209.28196799999998</v>
      </c>
      <c r="I79" s="10">
        <f>($K$2+0.02)*Tabla1[[#This Row],[PRECIO $]]*1.18</f>
        <v>166.09679999999997</v>
      </c>
      <c r="J79" s="7">
        <f>+Tabla1[[#This Row],[PRECIO EN SOLES]]-Tabla1[[#This Row],[PC]]</f>
        <v>43.185168000000004</v>
      </c>
    </row>
    <row r="80" spans="1:10" x14ac:dyDescent="0.25">
      <c r="A80" s="3" t="s">
        <v>108</v>
      </c>
      <c r="B80" s="3" t="s">
        <v>109</v>
      </c>
      <c r="C80" s="1">
        <v>20</v>
      </c>
      <c r="D80" s="1">
        <v>25</v>
      </c>
      <c r="E80" s="1" t="s">
        <v>52</v>
      </c>
      <c r="F80" s="1" t="s">
        <v>4041</v>
      </c>
      <c r="G80" s="3" t="s">
        <v>110</v>
      </c>
      <c r="H80" s="12" cm="1">
        <f t="array" ref="H80">_xlfn.IFS(I80&lt;197,I80*1.26,I80&gt;197,I80*1.17) + IF(I80&gt;1000,17,0)</f>
        <v>126.378</v>
      </c>
      <c r="I80" s="10">
        <f>($K$2+0.02)*Tabla1[[#This Row],[PRECIO $]]*1.18</f>
        <v>100.3</v>
      </c>
      <c r="J80" s="7">
        <f>+Tabla1[[#This Row],[PRECIO EN SOLES]]-Tabla1[[#This Row],[PC]]</f>
        <v>26.078000000000003</v>
      </c>
    </row>
    <row r="81" spans="1:10" x14ac:dyDescent="0.25">
      <c r="A81" s="3" t="s">
        <v>111</v>
      </c>
      <c r="B81" s="3" t="s">
        <v>112</v>
      </c>
      <c r="C81" s="1">
        <v>20</v>
      </c>
      <c r="D81" s="1">
        <v>25</v>
      </c>
      <c r="E81" s="1" t="s">
        <v>52</v>
      </c>
      <c r="F81" s="1" t="s">
        <v>4042</v>
      </c>
      <c r="G81" s="3" t="s">
        <v>113</v>
      </c>
      <c r="H81" s="12" cm="1">
        <f t="array" ref="H81">_xlfn.IFS(I81&lt;197,I81*1.26,I81&gt;197,I81*1.17) + IF(I81&gt;1000,17,0)</f>
        <v>126.378</v>
      </c>
      <c r="I81" s="10">
        <f>($K$2+0.02)*Tabla1[[#This Row],[PRECIO $]]*1.18</f>
        <v>100.3</v>
      </c>
      <c r="J81" s="7">
        <f>+Tabla1[[#This Row],[PRECIO EN SOLES]]-Tabla1[[#This Row],[PC]]</f>
        <v>26.078000000000003</v>
      </c>
    </row>
    <row r="82" spans="1:10" x14ac:dyDescent="0.25">
      <c r="A82" s="3" t="s">
        <v>114</v>
      </c>
      <c r="B82" s="3" t="s">
        <v>115</v>
      </c>
      <c r="C82" s="1">
        <v>20</v>
      </c>
      <c r="D82" s="1">
        <v>25</v>
      </c>
      <c r="E82" s="1" t="s">
        <v>52</v>
      </c>
      <c r="F82" s="1" t="s">
        <v>4043</v>
      </c>
      <c r="G82" s="3" t="s">
        <v>116</v>
      </c>
      <c r="H82" s="12" cm="1">
        <f t="array" ref="H82">_xlfn.IFS(I82&lt;197,I82*1.26,I82&gt;197,I82*1.17) + IF(I82&gt;1000,17,0)</f>
        <v>126.378</v>
      </c>
      <c r="I82" s="10">
        <f>($K$2+0.02)*Tabla1[[#This Row],[PRECIO $]]*1.18</f>
        <v>100.3</v>
      </c>
      <c r="J82" s="7">
        <f>+Tabla1[[#This Row],[PRECIO EN SOLES]]-Tabla1[[#This Row],[PC]]</f>
        <v>26.078000000000003</v>
      </c>
    </row>
    <row r="83" spans="1:10" x14ac:dyDescent="0.25">
      <c r="A83" s="3" t="s">
        <v>117</v>
      </c>
      <c r="B83" s="3" t="s">
        <v>118</v>
      </c>
      <c r="C83" s="1">
        <v>20</v>
      </c>
      <c r="D83" s="1">
        <v>25</v>
      </c>
      <c r="E83" s="1" t="s">
        <v>52</v>
      </c>
      <c r="F83" s="1" t="s">
        <v>4044</v>
      </c>
      <c r="G83" s="3" t="s">
        <v>119</v>
      </c>
      <c r="H83" s="12" cm="1">
        <f t="array" ref="H83">_xlfn.IFS(I83&lt;197,I83*1.26,I83&gt;197,I83*1.17) + IF(I83&gt;1000,17,0)</f>
        <v>126.378</v>
      </c>
      <c r="I83" s="10">
        <f>($K$2+0.02)*Tabla1[[#This Row],[PRECIO $]]*1.18</f>
        <v>100.3</v>
      </c>
      <c r="J83" s="7">
        <f>+Tabla1[[#This Row],[PRECIO EN SOLES]]-Tabla1[[#This Row],[PC]]</f>
        <v>26.078000000000003</v>
      </c>
    </row>
    <row r="84" spans="1:10" x14ac:dyDescent="0.25">
      <c r="A84" s="3" t="s">
        <v>120</v>
      </c>
      <c r="B84" s="3" t="s">
        <v>109</v>
      </c>
      <c r="C84" s="1">
        <v>20</v>
      </c>
      <c r="D84" s="1">
        <v>25</v>
      </c>
      <c r="E84" s="1" t="s">
        <v>52</v>
      </c>
      <c r="F84" s="1" t="s">
        <v>4045</v>
      </c>
      <c r="G84" s="3" t="s">
        <v>121</v>
      </c>
      <c r="H84" s="12" cm="1">
        <f t="array" ref="H84">_xlfn.IFS(I84&lt;197,I84*1.26,I84&gt;197,I84*1.17) + IF(I84&gt;1000,17,0)</f>
        <v>126.378</v>
      </c>
      <c r="I84" s="10">
        <f>($K$2+0.02)*Tabla1[[#This Row],[PRECIO $]]*1.18</f>
        <v>100.3</v>
      </c>
      <c r="J84" s="7">
        <f>+Tabla1[[#This Row],[PRECIO EN SOLES]]-Tabla1[[#This Row],[PC]]</f>
        <v>26.078000000000003</v>
      </c>
    </row>
    <row r="85" spans="1:10" x14ac:dyDescent="0.25">
      <c r="A85" s="3" t="s">
        <v>1031</v>
      </c>
      <c r="B85" s="3" t="s">
        <v>109</v>
      </c>
      <c r="C85" s="1">
        <v>0</v>
      </c>
      <c r="D85" s="1">
        <v>999</v>
      </c>
      <c r="E85" s="1" t="s">
        <v>214</v>
      </c>
      <c r="F85" s="1" t="s">
        <v>4046</v>
      </c>
      <c r="G85" s="3"/>
      <c r="H85" s="12" cm="1">
        <f t="array" ref="H85">_xlfn.IFS(I85&lt;197,I85*1.26,I85&gt;197,I85*1.17) + IF(I85&gt;1000,17,0)</f>
        <v>4706.3459599999996</v>
      </c>
      <c r="I85" s="10">
        <f>($K$2+0.02)*Tabla1[[#This Row],[PRECIO $]]*1.18</f>
        <v>4007.9879999999998</v>
      </c>
      <c r="J85" s="7">
        <f>+Tabla1[[#This Row],[PRECIO EN SOLES]]-Tabla1[[#This Row],[PC]]</f>
        <v>698.35795999999982</v>
      </c>
    </row>
    <row r="86" spans="1:10" x14ac:dyDescent="0.25">
      <c r="A86" s="3" t="s">
        <v>1032</v>
      </c>
      <c r="B86" s="3" t="s">
        <v>1033</v>
      </c>
      <c r="C86" s="1">
        <v>17</v>
      </c>
      <c r="D86" s="1">
        <v>598</v>
      </c>
      <c r="E86" s="1" t="s">
        <v>122</v>
      </c>
      <c r="F86" s="1" t="s">
        <v>4047</v>
      </c>
      <c r="G86" s="3" t="s">
        <v>6086</v>
      </c>
      <c r="H86" s="12" cm="1">
        <f t="array" ref="H86">_xlfn.IFS(I86&lt;197,I86*1.26,I86&gt;197,I86*1.17) + IF(I86&gt;1000,17,0)</f>
        <v>2824.0359199999998</v>
      </c>
      <c r="I86" s="10">
        <f>($K$2+0.02)*Tabla1[[#This Row],[PRECIO $]]*1.18</f>
        <v>2399.1759999999999</v>
      </c>
      <c r="J86" s="7">
        <f>+Tabla1[[#This Row],[PRECIO EN SOLES]]-Tabla1[[#This Row],[PC]]</f>
        <v>424.85991999999987</v>
      </c>
    </row>
    <row r="87" spans="1:10" x14ac:dyDescent="0.25">
      <c r="A87" s="3" t="s">
        <v>1034</v>
      </c>
      <c r="B87" s="3" t="s">
        <v>1035</v>
      </c>
      <c r="C87" s="1">
        <v>10</v>
      </c>
      <c r="D87" s="1">
        <v>557</v>
      </c>
      <c r="E87" s="1" t="s">
        <v>122</v>
      </c>
      <c r="F87" s="1" t="s">
        <v>4048</v>
      </c>
      <c r="G87" s="3" t="s">
        <v>1036</v>
      </c>
      <c r="H87" s="12" cm="1">
        <f t="array" ref="H87">_xlfn.IFS(I87&lt;197,I87*1.26,I87&gt;197,I87*1.17) + IF(I87&gt;1000,17,0)</f>
        <v>2631.5802799999997</v>
      </c>
      <c r="I87" s="10">
        <f>($K$2+0.02)*Tabla1[[#This Row],[PRECIO $]]*1.18</f>
        <v>2234.6839999999997</v>
      </c>
      <c r="J87" s="7">
        <f>+Tabla1[[#This Row],[PRECIO EN SOLES]]-Tabla1[[#This Row],[PC]]</f>
        <v>396.89627999999993</v>
      </c>
    </row>
    <row r="88" spans="1:10" x14ac:dyDescent="0.25">
      <c r="A88" s="3" t="s">
        <v>1037</v>
      </c>
      <c r="B88" s="3" t="s">
        <v>1038</v>
      </c>
      <c r="C88" s="1">
        <v>2</v>
      </c>
      <c r="D88" s="1">
        <v>774</v>
      </c>
      <c r="E88" s="1" t="s">
        <v>122</v>
      </c>
      <c r="F88" s="1" t="s">
        <v>4049</v>
      </c>
      <c r="G88" s="3" t="s">
        <v>1039</v>
      </c>
      <c r="H88" s="12" cm="1">
        <f t="array" ref="H88">_xlfn.IFS(I88&lt;197,I88*1.26,I88&gt;197,I88*1.17) + IF(I88&gt;1000,17,0)</f>
        <v>3650.1869599999991</v>
      </c>
      <c r="I88" s="10">
        <f>($K$2+0.02)*Tabla1[[#This Row],[PRECIO $]]*1.18</f>
        <v>3105.2879999999996</v>
      </c>
      <c r="J88" s="7">
        <f>+Tabla1[[#This Row],[PRECIO EN SOLES]]-Tabla1[[#This Row],[PC]]</f>
        <v>544.89895999999953</v>
      </c>
    </row>
    <row r="89" spans="1:10" x14ac:dyDescent="0.25">
      <c r="A89" s="3" t="s">
        <v>1040</v>
      </c>
      <c r="B89" s="3" t="s">
        <v>1041</v>
      </c>
      <c r="C89" s="1">
        <v>1</v>
      </c>
      <c r="D89" s="1">
        <v>466.5</v>
      </c>
      <c r="E89" s="1" t="s">
        <v>133</v>
      </c>
      <c r="F89" s="1" t="s">
        <v>4050</v>
      </c>
      <c r="G89" s="3" t="s">
        <v>1042</v>
      </c>
      <c r="H89" s="12" cm="1">
        <f t="array" ref="H89">_xlfn.IFS(I89&lt;197,I89*1.26,I89&gt;197,I89*1.17) + IF(I89&gt;1000,17,0)</f>
        <v>2206.7696599999995</v>
      </c>
      <c r="I89" s="10">
        <f>($K$2+0.02)*Tabla1[[#This Row],[PRECIO $]]*1.18</f>
        <v>1871.5979999999997</v>
      </c>
      <c r="J89" s="7">
        <f>+Tabla1[[#This Row],[PRECIO EN SOLES]]-Tabla1[[#This Row],[PC]]</f>
        <v>335.17165999999975</v>
      </c>
    </row>
    <row r="90" spans="1:10" x14ac:dyDescent="0.25">
      <c r="A90" s="3" t="s">
        <v>123</v>
      </c>
      <c r="B90" s="3" t="s">
        <v>124</v>
      </c>
      <c r="C90" s="1">
        <v>20</v>
      </c>
      <c r="D90" s="1">
        <v>13.5</v>
      </c>
      <c r="E90" s="1" t="s">
        <v>52</v>
      </c>
      <c r="F90" s="1" t="s">
        <v>4051</v>
      </c>
      <c r="G90" s="3" t="s">
        <v>746</v>
      </c>
      <c r="H90" s="12" cm="1">
        <f t="array" ref="H90">_xlfn.IFS(I90&lt;197,I90*1.26,I90&gt;197,I90*1.17) + IF(I90&gt;1000,17,0)</f>
        <v>68.244119999999995</v>
      </c>
      <c r="I90" s="10">
        <f>($K$2+0.02)*Tabla1[[#This Row],[PRECIO $]]*1.18</f>
        <v>54.161999999999992</v>
      </c>
      <c r="J90" s="7">
        <f>+Tabla1[[#This Row],[PRECIO EN SOLES]]-Tabla1[[#This Row],[PC]]</f>
        <v>14.082120000000003</v>
      </c>
    </row>
    <row r="91" spans="1:10" x14ac:dyDescent="0.25">
      <c r="A91" s="3" t="s">
        <v>1043</v>
      </c>
      <c r="B91" s="3" t="s">
        <v>1044</v>
      </c>
      <c r="C91" s="1">
        <v>4</v>
      </c>
      <c r="D91" s="1">
        <v>131</v>
      </c>
      <c r="E91" s="1" t="s">
        <v>1002</v>
      </c>
      <c r="F91" s="1" t="s">
        <v>4052</v>
      </c>
      <c r="G91" s="3" t="s">
        <v>5522</v>
      </c>
      <c r="H91" s="12" cm="1">
        <f t="array" ref="H91">_xlfn.IFS(I91&lt;197,I91*1.26,I91&gt;197,I91*1.17) + IF(I91&gt;1000,17,0)</f>
        <v>614.91923999999983</v>
      </c>
      <c r="I91" s="10">
        <f>($K$2+0.02)*Tabla1[[#This Row],[PRECIO $]]*1.18</f>
        <v>525.57199999999989</v>
      </c>
      <c r="J91" s="7">
        <f>+Tabla1[[#This Row],[PRECIO EN SOLES]]-Tabla1[[#This Row],[PC]]</f>
        <v>89.347239999999942</v>
      </c>
    </row>
    <row r="92" spans="1:10" x14ac:dyDescent="0.25">
      <c r="A92" s="3" t="s">
        <v>1045</v>
      </c>
      <c r="B92" s="3" t="s">
        <v>1046</v>
      </c>
      <c r="C92" s="1">
        <v>20</v>
      </c>
      <c r="D92" s="1">
        <v>47.2</v>
      </c>
      <c r="E92" s="1" t="s">
        <v>1002</v>
      </c>
      <c r="F92" s="1" t="s">
        <v>4053</v>
      </c>
      <c r="G92" s="3" t="s">
        <v>5523</v>
      </c>
      <c r="H92" s="12" cm="1">
        <f t="array" ref="H92">_xlfn.IFS(I92&lt;197,I92*1.26,I92&gt;197,I92*1.17) + IF(I92&gt;1000,17,0)</f>
        <v>238.601664</v>
      </c>
      <c r="I92" s="10">
        <f>($K$2+0.02)*Tabla1[[#This Row],[PRECIO $]]*1.18</f>
        <v>189.3664</v>
      </c>
      <c r="J92" s="7">
        <f>+Tabla1[[#This Row],[PRECIO EN SOLES]]-Tabla1[[#This Row],[PC]]</f>
        <v>49.235264000000001</v>
      </c>
    </row>
    <row r="93" spans="1:10" x14ac:dyDescent="0.25">
      <c r="A93" s="3" t="s">
        <v>1047</v>
      </c>
      <c r="B93" s="3" t="s">
        <v>1048</v>
      </c>
      <c r="C93" s="1">
        <v>20</v>
      </c>
      <c r="D93" s="1">
        <v>44</v>
      </c>
      <c r="E93" s="1" t="s">
        <v>74</v>
      </c>
      <c r="F93" s="1" t="s">
        <v>4054</v>
      </c>
      <c r="G93" s="3" t="s">
        <v>1049</v>
      </c>
      <c r="H93" s="12" cm="1">
        <f t="array" ref="H93">_xlfn.IFS(I93&lt;197,I93*1.26,I93&gt;197,I93*1.17) + IF(I93&gt;1000,17,0)</f>
        <v>222.42527999999999</v>
      </c>
      <c r="I93" s="10">
        <f>($K$2+0.02)*Tabla1[[#This Row],[PRECIO $]]*1.18</f>
        <v>176.52799999999999</v>
      </c>
      <c r="J93" s="7">
        <f>+Tabla1[[#This Row],[PRECIO EN SOLES]]-Tabla1[[#This Row],[PC]]</f>
        <v>45.897279999999995</v>
      </c>
    </row>
    <row r="94" spans="1:10" x14ac:dyDescent="0.25">
      <c r="A94" s="3" t="s">
        <v>1050</v>
      </c>
      <c r="B94" s="3" t="s">
        <v>1051</v>
      </c>
      <c r="C94" s="1">
        <v>20</v>
      </c>
      <c r="D94" s="1">
        <v>43.8</v>
      </c>
      <c r="E94" s="1" t="s">
        <v>101</v>
      </c>
      <c r="F94" s="1" t="s">
        <v>4055</v>
      </c>
      <c r="G94" s="3" t="s">
        <v>1052</v>
      </c>
      <c r="H94" s="12" cm="1">
        <f t="array" ref="H94">_xlfn.IFS(I94&lt;197,I94*1.26,I94&gt;197,I94*1.17) + IF(I94&gt;1000,17,0)</f>
        <v>221.41425599999999</v>
      </c>
      <c r="I94" s="10">
        <f>($K$2+0.02)*Tabla1[[#This Row],[PRECIO $]]*1.18</f>
        <v>175.72559999999999</v>
      </c>
      <c r="J94" s="7">
        <f>+Tabla1[[#This Row],[PRECIO EN SOLES]]-Tabla1[[#This Row],[PC]]</f>
        <v>45.688656000000009</v>
      </c>
    </row>
    <row r="95" spans="1:10" x14ac:dyDescent="0.25">
      <c r="A95" s="3" t="s">
        <v>1053</v>
      </c>
      <c r="B95" s="3" t="s">
        <v>1054</v>
      </c>
      <c r="C95" s="1">
        <v>2</v>
      </c>
      <c r="D95" s="1">
        <v>13.2</v>
      </c>
      <c r="E95" s="1" t="s">
        <v>52</v>
      </c>
      <c r="F95" s="1" t="s">
        <v>4056</v>
      </c>
      <c r="G95" s="3" t="s">
        <v>1055</v>
      </c>
      <c r="H95" s="12" cm="1">
        <f t="array" ref="H95">_xlfn.IFS(I95&lt;197,I95*1.26,I95&gt;197,I95*1.17) + IF(I95&gt;1000,17,0)</f>
        <v>66.727583999999993</v>
      </c>
      <c r="I95" s="10">
        <f>($K$2+0.02)*Tabla1[[#This Row],[PRECIO $]]*1.18</f>
        <v>52.95839999999999</v>
      </c>
      <c r="J95" s="7">
        <f>+Tabla1[[#This Row],[PRECIO EN SOLES]]-Tabla1[[#This Row],[PC]]</f>
        <v>13.769184000000003</v>
      </c>
    </row>
    <row r="96" spans="1:10" x14ac:dyDescent="0.25">
      <c r="A96" s="3" t="s">
        <v>1056</v>
      </c>
      <c r="B96" s="3" t="s">
        <v>1057</v>
      </c>
      <c r="C96" s="1">
        <v>20</v>
      </c>
      <c r="D96" s="1">
        <v>26.5</v>
      </c>
      <c r="E96" s="1" t="s">
        <v>52</v>
      </c>
      <c r="F96" s="1" t="s">
        <v>4057</v>
      </c>
      <c r="G96" s="3" t="s">
        <v>1058</v>
      </c>
      <c r="H96" s="12" cm="1">
        <f t="array" ref="H96">_xlfn.IFS(I96&lt;197,I96*1.26,I96&gt;197,I96*1.17) + IF(I96&gt;1000,17,0)</f>
        <v>133.96067999999997</v>
      </c>
      <c r="I96" s="10">
        <f>($K$2+0.02)*Tabla1[[#This Row],[PRECIO $]]*1.18</f>
        <v>106.31799999999998</v>
      </c>
      <c r="J96" s="7">
        <f>+Tabla1[[#This Row],[PRECIO EN SOLES]]-Tabla1[[#This Row],[PC]]</f>
        <v>27.642679999999984</v>
      </c>
    </row>
    <row r="97" spans="1:10" x14ac:dyDescent="0.25">
      <c r="A97" s="3" t="s">
        <v>6087</v>
      </c>
      <c r="B97" s="3" t="s">
        <v>6088</v>
      </c>
      <c r="C97" s="1">
        <v>0</v>
      </c>
      <c r="D97" s="1">
        <v>9999999.9900000002</v>
      </c>
      <c r="E97" s="1" t="s">
        <v>52</v>
      </c>
      <c r="F97" s="1" t="s">
        <v>6089</v>
      </c>
      <c r="G97" s="3"/>
      <c r="H97" s="12" cm="1">
        <f t="array" ref="H97">_xlfn.IFS(I97&lt;197,I97*1.26,I97&gt;197,I97*1.17) + IF(I97&gt;1000,17,0)</f>
        <v>46940416.953059591</v>
      </c>
      <c r="I97" s="10">
        <f>($K$2+0.02)*Tabla1[[#This Row],[PRECIO $]]*1.18</f>
        <v>40119999.959879994</v>
      </c>
      <c r="J97" s="7">
        <f>+Tabla1[[#This Row],[PRECIO EN SOLES]]-Tabla1[[#This Row],[PC]]</f>
        <v>6820416.993179597</v>
      </c>
    </row>
    <row r="98" spans="1:10" x14ac:dyDescent="0.25">
      <c r="A98" s="3" t="s">
        <v>125</v>
      </c>
      <c r="B98" s="3" t="s">
        <v>126</v>
      </c>
      <c r="C98" s="1">
        <v>20</v>
      </c>
      <c r="D98" s="1">
        <v>5.3</v>
      </c>
      <c r="E98" s="1" t="s">
        <v>52</v>
      </c>
      <c r="F98" s="1" t="s">
        <v>4058</v>
      </c>
      <c r="G98" s="3" t="s">
        <v>127</v>
      </c>
      <c r="H98" s="12" cm="1">
        <f t="array" ref="H98">_xlfn.IFS(I98&lt;197,I98*1.26,I98&gt;197,I98*1.17) + IF(I98&gt;1000,17,0)</f>
        <v>26.792135999999996</v>
      </c>
      <c r="I98" s="10">
        <f>($K$2+0.02)*Tabla1[[#This Row],[PRECIO $]]*1.18</f>
        <v>21.263599999999997</v>
      </c>
      <c r="J98" s="7">
        <f>+Tabla1[[#This Row],[PRECIO EN SOLES]]-Tabla1[[#This Row],[PC]]</f>
        <v>5.528535999999999</v>
      </c>
    </row>
    <row r="99" spans="1:10" x14ac:dyDescent="0.25">
      <c r="A99" s="3" t="s">
        <v>1059</v>
      </c>
      <c r="B99" s="3" t="s">
        <v>1060</v>
      </c>
      <c r="C99" s="1">
        <v>20</v>
      </c>
      <c r="D99" s="1">
        <v>5.3</v>
      </c>
      <c r="E99" s="1" t="s">
        <v>52</v>
      </c>
      <c r="F99" s="1" t="s">
        <v>4059</v>
      </c>
      <c r="G99" s="3" t="s">
        <v>1061</v>
      </c>
      <c r="H99" s="12" cm="1">
        <f t="array" ref="H99">_xlfn.IFS(I99&lt;197,I99*1.26,I99&gt;197,I99*1.17) + IF(I99&gt;1000,17,0)</f>
        <v>26.792135999999996</v>
      </c>
      <c r="I99" s="10">
        <f>($K$2+0.02)*Tabla1[[#This Row],[PRECIO $]]*1.18</f>
        <v>21.263599999999997</v>
      </c>
      <c r="J99" s="7">
        <f>+Tabla1[[#This Row],[PRECIO EN SOLES]]-Tabla1[[#This Row],[PC]]</f>
        <v>5.528535999999999</v>
      </c>
    </row>
    <row r="100" spans="1:10" x14ac:dyDescent="0.25">
      <c r="A100" s="3" t="s">
        <v>1062</v>
      </c>
      <c r="B100" s="3" t="s">
        <v>1063</v>
      </c>
      <c r="C100" s="1">
        <v>20</v>
      </c>
      <c r="D100" s="1">
        <v>5.3</v>
      </c>
      <c r="E100" s="1" t="s">
        <v>52</v>
      </c>
      <c r="F100" s="1" t="s">
        <v>4060</v>
      </c>
      <c r="G100" s="3" t="s">
        <v>1064</v>
      </c>
      <c r="H100" s="12" cm="1">
        <f t="array" ref="H100">_xlfn.IFS(I100&lt;197,I100*1.26,I100&gt;197,I100*1.17) + IF(I100&gt;1000,17,0)</f>
        <v>26.792135999999996</v>
      </c>
      <c r="I100" s="10">
        <f>($K$2+0.02)*Tabla1[[#This Row],[PRECIO $]]*1.18</f>
        <v>21.263599999999997</v>
      </c>
      <c r="J100" s="7">
        <f>+Tabla1[[#This Row],[PRECIO EN SOLES]]-Tabla1[[#This Row],[PC]]</f>
        <v>5.528535999999999</v>
      </c>
    </row>
    <row r="101" spans="1:10" x14ac:dyDescent="0.25">
      <c r="A101" s="3" t="s">
        <v>1065</v>
      </c>
      <c r="B101" s="3" t="s">
        <v>1066</v>
      </c>
      <c r="C101" s="1">
        <v>20</v>
      </c>
      <c r="D101" s="1">
        <v>5.3</v>
      </c>
      <c r="E101" s="1" t="s">
        <v>52</v>
      </c>
      <c r="F101" s="1" t="s">
        <v>4061</v>
      </c>
      <c r="G101" s="3" t="s">
        <v>1067</v>
      </c>
      <c r="H101" s="12" cm="1">
        <f t="array" ref="H101">_xlfn.IFS(I101&lt;197,I101*1.26,I101&gt;197,I101*1.17) + IF(I101&gt;1000,17,0)</f>
        <v>26.792135999999996</v>
      </c>
      <c r="I101" s="10">
        <f>($K$2+0.02)*Tabla1[[#This Row],[PRECIO $]]*1.18</f>
        <v>21.263599999999997</v>
      </c>
      <c r="J101" s="7">
        <f>+Tabla1[[#This Row],[PRECIO EN SOLES]]-Tabla1[[#This Row],[PC]]</f>
        <v>5.528535999999999</v>
      </c>
    </row>
    <row r="102" spans="1:10" x14ac:dyDescent="0.25">
      <c r="A102" s="3" t="s">
        <v>1068</v>
      </c>
      <c r="B102" s="3" t="s">
        <v>1066</v>
      </c>
      <c r="C102" s="1">
        <v>0</v>
      </c>
      <c r="D102" s="1">
        <v>999</v>
      </c>
      <c r="E102" s="1" t="s">
        <v>214</v>
      </c>
      <c r="F102" s="1" t="s">
        <v>4062</v>
      </c>
      <c r="G102" s="3"/>
      <c r="H102" s="12" cm="1">
        <f t="array" ref="H102">_xlfn.IFS(I102&lt;197,I102*1.26,I102&gt;197,I102*1.17) + IF(I102&gt;1000,17,0)</f>
        <v>4706.3459599999996</v>
      </c>
      <c r="I102" s="10">
        <f>($K$2+0.02)*Tabla1[[#This Row],[PRECIO $]]*1.18</f>
        <v>4007.9879999999998</v>
      </c>
      <c r="J102" s="7">
        <f>+Tabla1[[#This Row],[PRECIO EN SOLES]]-Tabla1[[#This Row],[PC]]</f>
        <v>698.35795999999982</v>
      </c>
    </row>
    <row r="103" spans="1:10" x14ac:dyDescent="0.25">
      <c r="A103" s="3" t="s">
        <v>709</v>
      </c>
      <c r="B103" s="3" t="s">
        <v>710</v>
      </c>
      <c r="C103" s="1">
        <v>20</v>
      </c>
      <c r="D103" s="1">
        <v>20.7</v>
      </c>
      <c r="E103" s="1" t="s">
        <v>52</v>
      </c>
      <c r="F103" s="1" t="s">
        <v>4063</v>
      </c>
      <c r="G103" s="3" t="s">
        <v>711</v>
      </c>
      <c r="H103" s="12" cm="1">
        <f t="array" ref="H103">_xlfn.IFS(I103&lt;197,I103*1.26,I103&gt;197,I103*1.17) + IF(I103&gt;1000,17,0)</f>
        <v>104.64098399999999</v>
      </c>
      <c r="I103" s="10">
        <f>($K$2+0.02)*Tabla1[[#This Row],[PRECIO $]]*1.18</f>
        <v>83.048399999999987</v>
      </c>
      <c r="J103" s="7">
        <f>+Tabla1[[#This Row],[PRECIO EN SOLES]]-Tabla1[[#This Row],[PC]]</f>
        <v>21.592584000000002</v>
      </c>
    </row>
    <row r="104" spans="1:10" x14ac:dyDescent="0.25">
      <c r="A104" s="3" t="s">
        <v>128</v>
      </c>
      <c r="B104" s="3" t="s">
        <v>129</v>
      </c>
      <c r="C104" s="1">
        <v>20</v>
      </c>
      <c r="D104" s="1">
        <v>20.7</v>
      </c>
      <c r="E104" s="1" t="s">
        <v>52</v>
      </c>
      <c r="F104" s="1" t="s">
        <v>4064</v>
      </c>
      <c r="G104" s="3" t="s">
        <v>3541</v>
      </c>
      <c r="H104" s="12" cm="1">
        <f t="array" ref="H104">_xlfn.IFS(I104&lt;197,I104*1.26,I104&gt;197,I104*1.17) + IF(I104&gt;1000,17,0)</f>
        <v>104.64098399999999</v>
      </c>
      <c r="I104" s="10">
        <f>($K$2+0.02)*Tabla1[[#This Row],[PRECIO $]]*1.18</f>
        <v>83.048399999999987</v>
      </c>
      <c r="J104" s="7">
        <f>+Tabla1[[#This Row],[PRECIO EN SOLES]]-Tabla1[[#This Row],[PC]]</f>
        <v>21.592584000000002</v>
      </c>
    </row>
    <row r="105" spans="1:10" x14ac:dyDescent="0.25">
      <c r="A105" s="3" t="s">
        <v>130</v>
      </c>
      <c r="B105" s="3" t="s">
        <v>131</v>
      </c>
      <c r="C105" s="1">
        <v>20</v>
      </c>
      <c r="D105" s="1">
        <v>22.5</v>
      </c>
      <c r="E105" s="1" t="s">
        <v>52</v>
      </c>
      <c r="F105" s="1" t="s">
        <v>4065</v>
      </c>
      <c r="G105" s="3" t="s">
        <v>132</v>
      </c>
      <c r="H105" s="12" cm="1">
        <f t="array" ref="H105">_xlfn.IFS(I105&lt;197,I105*1.26,I105&gt;197,I105*1.17) + IF(I105&gt;1000,17,0)</f>
        <v>113.7402</v>
      </c>
      <c r="I105" s="10">
        <f>($K$2+0.02)*Tabla1[[#This Row],[PRECIO $]]*1.18</f>
        <v>90.27</v>
      </c>
      <c r="J105" s="7">
        <f>+Tabla1[[#This Row],[PRECIO EN SOLES]]-Tabla1[[#This Row],[PC]]</f>
        <v>23.470200000000006</v>
      </c>
    </row>
    <row r="106" spans="1:10" x14ac:dyDescent="0.25">
      <c r="A106" s="3" t="s">
        <v>1069</v>
      </c>
      <c r="B106" s="3" t="s">
        <v>1070</v>
      </c>
      <c r="C106" s="1">
        <v>20</v>
      </c>
      <c r="D106" s="1">
        <v>31</v>
      </c>
      <c r="E106" s="1" t="s">
        <v>52</v>
      </c>
      <c r="F106" s="1" t="s">
        <v>4066</v>
      </c>
      <c r="G106" s="3" t="s">
        <v>3522</v>
      </c>
      <c r="H106" s="12" cm="1">
        <f t="array" ref="H106">_xlfn.IFS(I106&lt;197,I106*1.26,I106&gt;197,I106*1.17) + IF(I106&gt;1000,17,0)</f>
        <v>156.70871999999997</v>
      </c>
      <c r="I106" s="10">
        <f>($K$2+0.02)*Tabla1[[#This Row],[PRECIO $]]*1.18</f>
        <v>124.37199999999999</v>
      </c>
      <c r="J106" s="7">
        <f>+Tabla1[[#This Row],[PRECIO EN SOLES]]-Tabla1[[#This Row],[PC]]</f>
        <v>32.336719999999985</v>
      </c>
    </row>
    <row r="107" spans="1:10" x14ac:dyDescent="0.25">
      <c r="A107" s="3" t="s">
        <v>1071</v>
      </c>
      <c r="B107" s="3" t="s">
        <v>1072</v>
      </c>
      <c r="C107" s="1">
        <v>17</v>
      </c>
      <c r="D107" s="1">
        <v>81</v>
      </c>
      <c r="E107" s="1" t="s">
        <v>133</v>
      </c>
      <c r="F107" s="1" t="s">
        <v>4067</v>
      </c>
      <c r="G107" s="3" t="s">
        <v>1073</v>
      </c>
      <c r="H107" s="12" cm="1">
        <f t="array" ref="H107">_xlfn.IFS(I107&lt;197,I107*1.26,I107&gt;197,I107*1.17) + IF(I107&gt;1000,17,0)</f>
        <v>380.21723999999995</v>
      </c>
      <c r="I107" s="10">
        <f>($K$2+0.02)*Tabla1[[#This Row],[PRECIO $]]*1.18</f>
        <v>324.97199999999998</v>
      </c>
      <c r="J107" s="7">
        <f>+Tabla1[[#This Row],[PRECIO EN SOLES]]-Tabla1[[#This Row],[PC]]</f>
        <v>55.245239999999967</v>
      </c>
    </row>
    <row r="108" spans="1:10" x14ac:dyDescent="0.25">
      <c r="A108" s="3" t="s">
        <v>1074</v>
      </c>
      <c r="B108" s="3" t="s">
        <v>1075</v>
      </c>
      <c r="C108" s="1">
        <v>20</v>
      </c>
      <c r="D108" s="1">
        <v>62</v>
      </c>
      <c r="E108" s="1" t="s">
        <v>133</v>
      </c>
      <c r="F108" s="1" t="s">
        <v>4068</v>
      </c>
      <c r="G108" s="3" t="s">
        <v>1076</v>
      </c>
      <c r="H108" s="12" cm="1">
        <f t="array" ref="H108">_xlfn.IFS(I108&lt;197,I108*1.26,I108&gt;197,I108*1.17) + IF(I108&gt;1000,17,0)</f>
        <v>291.03047999999995</v>
      </c>
      <c r="I108" s="10">
        <f>($K$2+0.02)*Tabla1[[#This Row],[PRECIO $]]*1.18</f>
        <v>248.74399999999997</v>
      </c>
      <c r="J108" s="7">
        <f>+Tabla1[[#This Row],[PRECIO EN SOLES]]-Tabla1[[#This Row],[PC]]</f>
        <v>42.286479999999983</v>
      </c>
    </row>
    <row r="109" spans="1:10" x14ac:dyDescent="0.25">
      <c r="A109" s="3" t="s">
        <v>5755</v>
      </c>
      <c r="B109" s="3" t="s">
        <v>5756</v>
      </c>
      <c r="C109" s="1">
        <v>20</v>
      </c>
      <c r="D109" s="1">
        <v>50.5</v>
      </c>
      <c r="E109" s="1" t="s">
        <v>3926</v>
      </c>
      <c r="F109" s="1" t="s">
        <v>5757</v>
      </c>
      <c r="G109" s="3"/>
      <c r="H109" s="12" cm="1">
        <f t="array" ref="H109">_xlfn.IFS(I109&lt;197,I109*1.26,I109&gt;197,I109*1.17) + IF(I109&gt;1000,17,0)</f>
        <v>237.04901999999996</v>
      </c>
      <c r="I109" s="10">
        <f>($K$2+0.02)*Tabla1[[#This Row],[PRECIO $]]*1.18</f>
        <v>202.60599999999997</v>
      </c>
      <c r="J109" s="7">
        <f>+Tabla1[[#This Row],[PRECIO EN SOLES]]-Tabla1[[#This Row],[PC]]</f>
        <v>34.44301999999999</v>
      </c>
    </row>
    <row r="110" spans="1:10" x14ac:dyDescent="0.25">
      <c r="A110" s="3" t="s">
        <v>136</v>
      </c>
      <c r="B110" s="3" t="s">
        <v>137</v>
      </c>
      <c r="C110" s="1">
        <v>20</v>
      </c>
      <c r="D110" s="1">
        <v>17.5</v>
      </c>
      <c r="E110" s="1" t="s">
        <v>52</v>
      </c>
      <c r="F110" s="1" t="s">
        <v>4069</v>
      </c>
      <c r="G110" s="3" t="s">
        <v>138</v>
      </c>
      <c r="H110" s="12" cm="1">
        <f t="array" ref="H110">_xlfn.IFS(I110&lt;197,I110*1.26,I110&gt;197,I110*1.17) + IF(I110&gt;1000,17,0)</f>
        <v>88.46459999999999</v>
      </c>
      <c r="I110" s="10">
        <f>($K$2+0.02)*Tabla1[[#This Row],[PRECIO $]]*1.18</f>
        <v>70.209999999999994</v>
      </c>
      <c r="J110" s="7">
        <f>+Tabla1[[#This Row],[PRECIO EN SOLES]]-Tabla1[[#This Row],[PC]]</f>
        <v>18.254599999999996</v>
      </c>
    </row>
    <row r="111" spans="1:10" x14ac:dyDescent="0.25">
      <c r="A111" s="3" t="s">
        <v>139</v>
      </c>
      <c r="B111" s="3" t="s">
        <v>140</v>
      </c>
      <c r="C111" s="1">
        <v>20</v>
      </c>
      <c r="D111" s="1">
        <v>17.5</v>
      </c>
      <c r="E111" s="1" t="s">
        <v>52</v>
      </c>
      <c r="F111" s="1" t="s">
        <v>4070</v>
      </c>
      <c r="G111" s="3" t="s">
        <v>141</v>
      </c>
      <c r="H111" s="12" cm="1">
        <f t="array" ref="H111">_xlfn.IFS(I111&lt;197,I111*1.26,I111&gt;197,I111*1.17) + IF(I111&gt;1000,17,0)</f>
        <v>88.46459999999999</v>
      </c>
      <c r="I111" s="10">
        <f>($K$2+0.02)*Tabla1[[#This Row],[PRECIO $]]*1.18</f>
        <v>70.209999999999994</v>
      </c>
      <c r="J111" s="7">
        <f>+Tabla1[[#This Row],[PRECIO EN SOLES]]-Tabla1[[#This Row],[PC]]</f>
        <v>18.254599999999996</v>
      </c>
    </row>
    <row r="112" spans="1:10" x14ac:dyDescent="0.25">
      <c r="A112" s="3" t="s">
        <v>142</v>
      </c>
      <c r="B112" s="3" t="s">
        <v>143</v>
      </c>
      <c r="C112" s="1">
        <v>20</v>
      </c>
      <c r="D112" s="1">
        <v>17.5</v>
      </c>
      <c r="E112" s="1" t="s">
        <v>52</v>
      </c>
      <c r="F112" s="1" t="s">
        <v>4071</v>
      </c>
      <c r="G112" s="3" t="s">
        <v>144</v>
      </c>
      <c r="H112" s="12" cm="1">
        <f t="array" ref="H112">_xlfn.IFS(I112&lt;197,I112*1.26,I112&gt;197,I112*1.17) + IF(I112&gt;1000,17,0)</f>
        <v>88.46459999999999</v>
      </c>
      <c r="I112" s="10">
        <f>($K$2+0.02)*Tabla1[[#This Row],[PRECIO $]]*1.18</f>
        <v>70.209999999999994</v>
      </c>
      <c r="J112" s="7">
        <f>+Tabla1[[#This Row],[PRECIO EN SOLES]]-Tabla1[[#This Row],[PC]]</f>
        <v>18.254599999999996</v>
      </c>
    </row>
    <row r="113" spans="1:10" x14ac:dyDescent="0.25">
      <c r="A113" s="3" t="s">
        <v>145</v>
      </c>
      <c r="B113" s="3" t="s">
        <v>146</v>
      </c>
      <c r="C113" s="1">
        <v>20</v>
      </c>
      <c r="D113" s="1">
        <v>25.9</v>
      </c>
      <c r="E113" s="1" t="s">
        <v>52</v>
      </c>
      <c r="F113" s="1" t="s">
        <v>4072</v>
      </c>
      <c r="G113" s="3" t="s">
        <v>3523</v>
      </c>
      <c r="H113" s="12" cm="1">
        <f t="array" ref="H113">_xlfn.IFS(I113&lt;197,I113*1.26,I113&gt;197,I113*1.17) + IF(I113&gt;1000,17,0)</f>
        <v>130.92760799999996</v>
      </c>
      <c r="I113" s="10">
        <f>($K$2+0.02)*Tabla1[[#This Row],[PRECIO $]]*1.18</f>
        <v>103.91079999999998</v>
      </c>
      <c r="J113" s="7">
        <f>+Tabla1[[#This Row],[PRECIO EN SOLES]]-Tabla1[[#This Row],[PC]]</f>
        <v>27.016807999999983</v>
      </c>
    </row>
    <row r="114" spans="1:10" x14ac:dyDescent="0.25">
      <c r="A114" s="3" t="s">
        <v>147</v>
      </c>
      <c r="B114" s="3" t="s">
        <v>148</v>
      </c>
      <c r="C114" s="1">
        <v>6</v>
      </c>
      <c r="D114" s="1">
        <v>28.3</v>
      </c>
      <c r="E114" s="1" t="s">
        <v>52</v>
      </c>
      <c r="F114" s="1" t="s">
        <v>4073</v>
      </c>
      <c r="G114" s="3" t="s">
        <v>6090</v>
      </c>
      <c r="H114" s="12" cm="1">
        <f t="array" ref="H114">_xlfn.IFS(I114&lt;197,I114*1.26,I114&gt;197,I114*1.17) + IF(I114&gt;1000,17,0)</f>
        <v>143.05989599999998</v>
      </c>
      <c r="I114" s="10">
        <f>($K$2+0.02)*Tabla1[[#This Row],[PRECIO $]]*1.18</f>
        <v>113.53959999999999</v>
      </c>
      <c r="J114" s="7">
        <f>+Tabla1[[#This Row],[PRECIO EN SOLES]]-Tabla1[[#This Row],[PC]]</f>
        <v>29.520295999999988</v>
      </c>
    </row>
    <row r="115" spans="1:10" x14ac:dyDescent="0.25">
      <c r="A115" s="3" t="s">
        <v>1077</v>
      </c>
      <c r="B115" s="3" t="s">
        <v>1078</v>
      </c>
      <c r="C115" s="1">
        <v>20</v>
      </c>
      <c r="D115" s="1">
        <v>28</v>
      </c>
      <c r="E115" s="1" t="s">
        <v>52</v>
      </c>
      <c r="F115" s="1" t="s">
        <v>4074</v>
      </c>
      <c r="G115" s="3" t="s">
        <v>1079</v>
      </c>
      <c r="H115" s="12" cm="1">
        <f t="array" ref="H115">_xlfn.IFS(I115&lt;197,I115*1.26,I115&gt;197,I115*1.17) + IF(I115&gt;1000,17,0)</f>
        <v>141.54336000000001</v>
      </c>
      <c r="I115" s="10">
        <f>($K$2+0.02)*Tabla1[[#This Row],[PRECIO $]]*1.18</f>
        <v>112.336</v>
      </c>
      <c r="J115" s="7">
        <f>+Tabla1[[#This Row],[PRECIO EN SOLES]]-Tabla1[[#This Row],[PC]]</f>
        <v>29.207360000000008</v>
      </c>
    </row>
    <row r="116" spans="1:10" x14ac:dyDescent="0.25">
      <c r="A116" s="3" t="s">
        <v>1080</v>
      </c>
      <c r="B116" s="3" t="s">
        <v>1081</v>
      </c>
      <c r="C116" s="1">
        <v>20</v>
      </c>
      <c r="D116" s="1">
        <v>29</v>
      </c>
      <c r="E116" s="1" t="s">
        <v>52</v>
      </c>
      <c r="F116" s="1" t="s">
        <v>4075</v>
      </c>
      <c r="G116" s="3" t="s">
        <v>1082</v>
      </c>
      <c r="H116" s="12" cm="1">
        <f t="array" ref="H116">_xlfn.IFS(I116&lt;197,I116*1.26,I116&gt;197,I116*1.17) + IF(I116&gt;1000,17,0)</f>
        <v>146.59848</v>
      </c>
      <c r="I116" s="10">
        <f>($K$2+0.02)*Tabla1[[#This Row],[PRECIO $]]*1.18</f>
        <v>116.34799999999998</v>
      </c>
      <c r="J116" s="7">
        <f>+Tabla1[[#This Row],[PRECIO EN SOLES]]-Tabla1[[#This Row],[PC]]</f>
        <v>30.25048000000001</v>
      </c>
    </row>
    <row r="117" spans="1:10" x14ac:dyDescent="0.25">
      <c r="A117" s="3" t="s">
        <v>149</v>
      </c>
      <c r="B117" s="3" t="s">
        <v>150</v>
      </c>
      <c r="C117" s="1">
        <v>20</v>
      </c>
      <c r="D117" s="1">
        <v>34.4</v>
      </c>
      <c r="E117" s="1" t="s">
        <v>52</v>
      </c>
      <c r="F117" s="1" t="s">
        <v>4076</v>
      </c>
      <c r="G117" s="3" t="s">
        <v>151</v>
      </c>
      <c r="H117" s="12" cm="1">
        <f t="array" ref="H117">_xlfn.IFS(I117&lt;197,I117*1.26,I117&gt;197,I117*1.17) + IF(I117&gt;1000,17,0)</f>
        <v>173.896128</v>
      </c>
      <c r="I117" s="10">
        <f>($K$2+0.02)*Tabla1[[#This Row],[PRECIO $]]*1.18</f>
        <v>138.0128</v>
      </c>
      <c r="J117" s="7">
        <f>+Tabla1[[#This Row],[PRECIO EN SOLES]]-Tabla1[[#This Row],[PC]]</f>
        <v>35.883328000000006</v>
      </c>
    </row>
    <row r="118" spans="1:10" x14ac:dyDescent="0.25">
      <c r="A118" s="3" t="s">
        <v>1083</v>
      </c>
      <c r="B118" s="3" t="s">
        <v>1084</v>
      </c>
      <c r="C118" s="1">
        <v>20</v>
      </c>
      <c r="D118" s="1">
        <v>34.5</v>
      </c>
      <c r="E118" s="1" t="s">
        <v>52</v>
      </c>
      <c r="F118" s="1" t="s">
        <v>4077</v>
      </c>
      <c r="G118" s="3" t="s">
        <v>1085</v>
      </c>
      <c r="H118" s="12" cm="1">
        <f t="array" ref="H118">_xlfn.IFS(I118&lt;197,I118*1.26,I118&gt;197,I118*1.17) + IF(I118&gt;1000,17,0)</f>
        <v>174.40163999999999</v>
      </c>
      <c r="I118" s="10">
        <f>($K$2+0.02)*Tabla1[[#This Row],[PRECIO $]]*1.18</f>
        <v>138.41399999999999</v>
      </c>
      <c r="J118" s="7">
        <f>+Tabla1[[#This Row],[PRECIO EN SOLES]]-Tabla1[[#This Row],[PC]]</f>
        <v>35.987639999999999</v>
      </c>
    </row>
    <row r="119" spans="1:10" x14ac:dyDescent="0.25">
      <c r="A119" s="3" t="s">
        <v>6091</v>
      </c>
      <c r="B119" s="3" t="s">
        <v>6092</v>
      </c>
      <c r="C119" s="1">
        <v>0</v>
      </c>
      <c r="D119" s="1">
        <v>106.7</v>
      </c>
      <c r="E119" s="1" t="s">
        <v>3926</v>
      </c>
      <c r="F119" s="1" t="s">
        <v>6093</v>
      </c>
      <c r="G119" s="3" t="s">
        <v>6094</v>
      </c>
      <c r="H119" s="12" cm="1">
        <f t="array" ref="H119">_xlfn.IFS(I119&lt;197,I119*1.26,I119&gt;197,I119*1.17) + IF(I119&gt;1000,17,0)</f>
        <v>500.85406799999993</v>
      </c>
      <c r="I119" s="10">
        <f>($K$2+0.02)*Tabla1[[#This Row],[PRECIO $]]*1.18</f>
        <v>428.08039999999994</v>
      </c>
      <c r="J119" s="7">
        <f>+Tabla1[[#This Row],[PRECIO EN SOLES]]-Tabla1[[#This Row],[PC]]</f>
        <v>72.773667999999986</v>
      </c>
    </row>
    <row r="120" spans="1:10" x14ac:dyDescent="0.25">
      <c r="A120" s="3" t="s">
        <v>1086</v>
      </c>
      <c r="B120" s="3" t="s">
        <v>1087</v>
      </c>
      <c r="C120" s="1">
        <v>16</v>
      </c>
      <c r="D120" s="1">
        <v>62.9</v>
      </c>
      <c r="E120" s="1" t="s">
        <v>256</v>
      </c>
      <c r="F120" s="1" t="s">
        <v>4078</v>
      </c>
      <c r="G120" s="3" t="s">
        <v>1088</v>
      </c>
      <c r="H120" s="12" cm="1">
        <f t="array" ref="H120">_xlfn.IFS(I120&lt;197,I120*1.26,I120&gt;197,I120*1.17) + IF(I120&gt;1000,17,0)</f>
        <v>295.25511599999999</v>
      </c>
      <c r="I120" s="10">
        <f>($K$2+0.02)*Tabla1[[#This Row],[PRECIO $]]*1.18</f>
        <v>252.35479999999998</v>
      </c>
      <c r="J120" s="7">
        <f>+Tabla1[[#This Row],[PRECIO EN SOLES]]-Tabla1[[#This Row],[PC]]</f>
        <v>42.900316000000004</v>
      </c>
    </row>
    <row r="121" spans="1:10" x14ac:dyDescent="0.25">
      <c r="A121" s="3" t="s">
        <v>3586</v>
      </c>
      <c r="B121" s="3" t="s">
        <v>153</v>
      </c>
      <c r="C121" s="1">
        <v>20</v>
      </c>
      <c r="D121" s="1">
        <v>34</v>
      </c>
      <c r="E121" s="1" t="s">
        <v>52</v>
      </c>
      <c r="F121" s="1" t="s">
        <v>4079</v>
      </c>
      <c r="G121" s="3"/>
      <c r="H121" s="12" cm="1">
        <f t="array" ref="H121">_xlfn.IFS(I121&lt;197,I121*1.26,I121&gt;197,I121*1.17) + IF(I121&gt;1000,17,0)</f>
        <v>171.87407999999999</v>
      </c>
      <c r="I121" s="10">
        <f>($K$2+0.02)*Tabla1[[#This Row],[PRECIO $]]*1.18</f>
        <v>136.40799999999999</v>
      </c>
      <c r="J121" s="7">
        <f>+Tabla1[[#This Row],[PRECIO EN SOLES]]-Tabla1[[#This Row],[PC]]</f>
        <v>35.466080000000005</v>
      </c>
    </row>
    <row r="122" spans="1:10" x14ac:dyDescent="0.25">
      <c r="A122" s="3" t="s">
        <v>152</v>
      </c>
      <c r="B122" s="3" t="s">
        <v>153</v>
      </c>
      <c r="C122" s="1">
        <v>20</v>
      </c>
      <c r="D122" s="1">
        <v>41</v>
      </c>
      <c r="E122" s="1" t="s">
        <v>52</v>
      </c>
      <c r="F122" s="1" t="s">
        <v>4080</v>
      </c>
      <c r="G122" s="3" t="s">
        <v>154</v>
      </c>
      <c r="H122" s="12" cm="1">
        <f t="array" ref="H122">_xlfn.IFS(I122&lt;197,I122*1.26,I122&gt;197,I122*1.17) + IF(I122&gt;1000,17,0)</f>
        <v>207.25991999999999</v>
      </c>
      <c r="I122" s="10">
        <f>($K$2+0.02)*Tabla1[[#This Row],[PRECIO $]]*1.18</f>
        <v>164.49199999999999</v>
      </c>
      <c r="J122" s="7">
        <f>+Tabla1[[#This Row],[PRECIO EN SOLES]]-Tabla1[[#This Row],[PC]]</f>
        <v>42.767920000000004</v>
      </c>
    </row>
    <row r="123" spans="1:10" x14ac:dyDescent="0.25">
      <c r="A123" s="3" t="s">
        <v>1089</v>
      </c>
      <c r="B123" s="3" t="s">
        <v>1090</v>
      </c>
      <c r="C123" s="1">
        <v>0</v>
      </c>
      <c r="D123" s="1">
        <v>54.4</v>
      </c>
      <c r="E123" s="1" t="s">
        <v>133</v>
      </c>
      <c r="F123" s="1" t="s">
        <v>4081</v>
      </c>
      <c r="G123" s="3" t="s">
        <v>1091</v>
      </c>
      <c r="H123" s="12" cm="1">
        <f t="array" ref="H123">_xlfn.IFS(I123&lt;197,I123*1.26,I123&gt;197,I123*1.17) + IF(I123&gt;1000,17,0)</f>
        <v>255.35577599999993</v>
      </c>
      <c r="I123" s="10">
        <f>($K$2+0.02)*Tabla1[[#This Row],[PRECIO $]]*1.18</f>
        <v>218.25279999999995</v>
      </c>
      <c r="J123" s="7">
        <f>+Tabla1[[#This Row],[PRECIO EN SOLES]]-Tabla1[[#This Row],[PC]]</f>
        <v>37.102975999999984</v>
      </c>
    </row>
    <row r="124" spans="1:10" x14ac:dyDescent="0.25">
      <c r="A124" s="3" t="s">
        <v>6095</v>
      </c>
      <c r="B124" s="3" t="s">
        <v>6096</v>
      </c>
      <c r="C124" s="1">
        <v>20</v>
      </c>
      <c r="D124" s="1">
        <v>71.599999999999994</v>
      </c>
      <c r="E124" s="1" t="s">
        <v>133</v>
      </c>
      <c r="F124" s="1" t="s">
        <v>6097</v>
      </c>
      <c r="G124" s="3"/>
      <c r="H124" s="12" cm="1">
        <f t="array" ref="H124">_xlfn.IFS(I124&lt;197,I124*1.26,I124&gt;197,I124*1.17) + IF(I124&gt;1000,17,0)</f>
        <v>336.09326399999992</v>
      </c>
      <c r="I124" s="10">
        <f>($K$2+0.02)*Tabla1[[#This Row],[PRECIO $]]*1.18</f>
        <v>287.25919999999996</v>
      </c>
      <c r="J124" s="7">
        <f>+Tabla1[[#This Row],[PRECIO EN SOLES]]-Tabla1[[#This Row],[PC]]</f>
        <v>48.834063999999955</v>
      </c>
    </row>
    <row r="125" spans="1:10" x14ac:dyDescent="0.25">
      <c r="A125" s="3" t="s">
        <v>1092</v>
      </c>
      <c r="B125" s="3" t="s">
        <v>1093</v>
      </c>
      <c r="C125" s="1">
        <v>20</v>
      </c>
      <c r="D125" s="1">
        <v>65.099999999999994</v>
      </c>
      <c r="E125" s="1" t="s">
        <v>133</v>
      </c>
      <c r="F125" s="1" t="s">
        <v>4082</v>
      </c>
      <c r="G125" s="3" t="s">
        <v>1094</v>
      </c>
      <c r="H125" s="12" cm="1">
        <f t="array" ref="H125">_xlfn.IFS(I125&lt;197,I125*1.26,I125&gt;197,I125*1.17) + IF(I125&gt;1000,17,0)</f>
        <v>305.58200399999993</v>
      </c>
      <c r="I125" s="10">
        <f>($K$2+0.02)*Tabla1[[#This Row],[PRECIO $]]*1.18</f>
        <v>261.18119999999993</v>
      </c>
      <c r="J125" s="7">
        <f>+Tabla1[[#This Row],[PRECIO EN SOLES]]-Tabla1[[#This Row],[PC]]</f>
        <v>44.400803999999994</v>
      </c>
    </row>
    <row r="126" spans="1:10" x14ac:dyDescent="0.25">
      <c r="A126" s="3" t="s">
        <v>1095</v>
      </c>
      <c r="B126" s="3" t="s">
        <v>1096</v>
      </c>
      <c r="C126" s="1">
        <v>11</v>
      </c>
      <c r="D126" s="1">
        <v>68.650000000000006</v>
      </c>
      <c r="E126" s="1" t="s">
        <v>133</v>
      </c>
      <c r="F126" s="1" t="s">
        <v>4083</v>
      </c>
      <c r="G126" s="3" t="s">
        <v>1097</v>
      </c>
      <c r="H126" s="12" cm="1">
        <f t="array" ref="H126">_xlfn.IFS(I126&lt;197,I126*1.26,I126&gt;197,I126*1.17) + IF(I126&gt;1000,17,0)</f>
        <v>322.24584600000003</v>
      </c>
      <c r="I126" s="10">
        <f>($K$2+0.02)*Tabla1[[#This Row],[PRECIO $]]*1.18</f>
        <v>275.42380000000003</v>
      </c>
      <c r="J126" s="7">
        <f>+Tabla1[[#This Row],[PRECIO EN SOLES]]-Tabla1[[#This Row],[PC]]</f>
        <v>46.822046</v>
      </c>
    </row>
    <row r="127" spans="1:10" x14ac:dyDescent="0.25">
      <c r="A127" s="3" t="s">
        <v>134</v>
      </c>
      <c r="B127" s="3" t="s">
        <v>135</v>
      </c>
      <c r="C127" s="1">
        <v>20</v>
      </c>
      <c r="D127" s="1">
        <v>125.2</v>
      </c>
      <c r="E127" s="1" t="s">
        <v>133</v>
      </c>
      <c r="F127" s="1" t="s">
        <v>4084</v>
      </c>
      <c r="G127" s="3" t="s">
        <v>747</v>
      </c>
      <c r="H127" s="12" cm="1">
        <f t="array" ref="H127">_xlfn.IFS(I127&lt;197,I127*1.26,I127&gt;197,I127*1.17) + IF(I127&gt;1000,17,0)</f>
        <v>587.69380799999999</v>
      </c>
      <c r="I127" s="10">
        <f>($K$2+0.02)*Tabla1[[#This Row],[PRECIO $]]*1.18</f>
        <v>502.30239999999998</v>
      </c>
      <c r="J127" s="7">
        <f>+Tabla1[[#This Row],[PRECIO EN SOLES]]-Tabla1[[#This Row],[PC]]</f>
        <v>85.391408000000013</v>
      </c>
    </row>
    <row r="128" spans="1:10" x14ac:dyDescent="0.25">
      <c r="A128" s="3" t="s">
        <v>1098</v>
      </c>
      <c r="B128" s="3" t="s">
        <v>1099</v>
      </c>
      <c r="C128" s="1">
        <v>20</v>
      </c>
      <c r="D128" s="1">
        <v>125.2</v>
      </c>
      <c r="E128" s="1" t="s">
        <v>133</v>
      </c>
      <c r="F128" s="1" t="s">
        <v>4085</v>
      </c>
      <c r="G128" s="3" t="s">
        <v>1100</v>
      </c>
      <c r="H128" s="12" cm="1">
        <f t="array" ref="H128">_xlfn.IFS(I128&lt;197,I128*1.26,I128&gt;197,I128*1.17) + IF(I128&gt;1000,17,0)</f>
        <v>587.69380799999999</v>
      </c>
      <c r="I128" s="10">
        <f>($K$2+0.02)*Tabla1[[#This Row],[PRECIO $]]*1.18</f>
        <v>502.30239999999998</v>
      </c>
      <c r="J128" s="7">
        <f>+Tabla1[[#This Row],[PRECIO EN SOLES]]-Tabla1[[#This Row],[PC]]</f>
        <v>85.391408000000013</v>
      </c>
    </row>
    <row r="129" spans="1:10" x14ac:dyDescent="0.25">
      <c r="A129" s="3" t="s">
        <v>6098</v>
      </c>
      <c r="B129" s="3" t="s">
        <v>6099</v>
      </c>
      <c r="C129" s="1">
        <v>0</v>
      </c>
      <c r="D129" s="1">
        <v>9999999.9900000002</v>
      </c>
      <c r="E129" s="1" t="s">
        <v>52</v>
      </c>
      <c r="F129" s="1" t="s">
        <v>6100</v>
      </c>
      <c r="G129" s="3"/>
      <c r="H129" s="12" cm="1">
        <f t="array" ref="H129">_xlfn.IFS(I129&lt;197,I129*1.26,I129&gt;197,I129*1.17) + IF(I129&gt;1000,17,0)</f>
        <v>46940416.953059591</v>
      </c>
      <c r="I129" s="10">
        <f>($K$2+0.02)*Tabla1[[#This Row],[PRECIO $]]*1.18</f>
        <v>40119999.959879994</v>
      </c>
      <c r="J129" s="7">
        <f>+Tabla1[[#This Row],[PRECIO EN SOLES]]-Tabla1[[#This Row],[PC]]</f>
        <v>6820416.993179597</v>
      </c>
    </row>
    <row r="130" spans="1:10" x14ac:dyDescent="0.25">
      <c r="A130" s="3" t="s">
        <v>1101</v>
      </c>
      <c r="B130" s="3" t="s">
        <v>1102</v>
      </c>
      <c r="C130" s="1">
        <v>20</v>
      </c>
      <c r="D130" s="1">
        <v>4.33</v>
      </c>
      <c r="E130" s="1" t="s">
        <v>54</v>
      </c>
      <c r="F130" s="1" t="s">
        <v>4086</v>
      </c>
      <c r="G130" s="3" t="s">
        <v>1103</v>
      </c>
      <c r="H130" s="12" cm="1">
        <f t="array" ref="H130">_xlfn.IFS(I130&lt;197,I130*1.26,I130&gt;197,I130*1.17) + IF(I130&gt;1000,17,0)</f>
        <v>21.888669599999997</v>
      </c>
      <c r="I130" s="10">
        <f>($K$2+0.02)*Tabla1[[#This Row],[PRECIO $]]*1.18</f>
        <v>17.371959999999998</v>
      </c>
      <c r="J130" s="7">
        <f>+Tabla1[[#This Row],[PRECIO EN SOLES]]-Tabla1[[#This Row],[PC]]</f>
        <v>4.5167095999999987</v>
      </c>
    </row>
    <row r="131" spans="1:10" x14ac:dyDescent="0.25">
      <c r="A131" s="3" t="s">
        <v>5524</v>
      </c>
      <c r="B131" s="3" t="s">
        <v>5525</v>
      </c>
      <c r="C131" s="1">
        <v>3</v>
      </c>
      <c r="D131" s="1">
        <v>0.57999999999999996</v>
      </c>
      <c r="E131" s="1" t="s">
        <v>52</v>
      </c>
      <c r="F131" s="1" t="s">
        <v>5526</v>
      </c>
      <c r="G131" s="3" t="s">
        <v>5527</v>
      </c>
      <c r="H131" s="12" cm="1">
        <f t="array" ref="H131">_xlfn.IFS(I131&lt;197,I131*1.26,I131&gt;197,I131*1.17) + IF(I131&gt;1000,17,0)</f>
        <v>2.9319695999999995</v>
      </c>
      <c r="I131" s="10">
        <f>($K$2+0.02)*Tabla1[[#This Row],[PRECIO $]]*1.18</f>
        <v>2.3269599999999997</v>
      </c>
      <c r="J131" s="7">
        <f>+Tabla1[[#This Row],[PRECIO EN SOLES]]-Tabla1[[#This Row],[PC]]</f>
        <v>0.60500959999999981</v>
      </c>
    </row>
    <row r="132" spans="1:10" x14ac:dyDescent="0.25">
      <c r="A132" s="3" t="s">
        <v>5758</v>
      </c>
      <c r="B132" s="3" t="s">
        <v>5759</v>
      </c>
      <c r="C132" s="1">
        <v>20</v>
      </c>
      <c r="D132" s="1">
        <v>54.3</v>
      </c>
      <c r="E132" s="1" t="s">
        <v>122</v>
      </c>
      <c r="F132" s="1" t="s">
        <v>5760</v>
      </c>
      <c r="G132" s="3"/>
      <c r="H132" s="12" cm="1">
        <f t="array" ref="H132">_xlfn.IFS(I132&lt;197,I132*1.26,I132&gt;197,I132*1.17) + IF(I132&gt;1000,17,0)</f>
        <v>254.88637199999994</v>
      </c>
      <c r="I132" s="10">
        <f>($K$2+0.02)*Tabla1[[#This Row],[PRECIO $]]*1.18</f>
        <v>217.85159999999996</v>
      </c>
      <c r="J132" s="7">
        <f>+Tabla1[[#This Row],[PRECIO EN SOLES]]-Tabla1[[#This Row],[PC]]</f>
        <v>37.034771999999975</v>
      </c>
    </row>
    <row r="133" spans="1:10" x14ac:dyDescent="0.25">
      <c r="A133" s="3" t="s">
        <v>1105</v>
      </c>
      <c r="B133" s="3" t="s">
        <v>1106</v>
      </c>
      <c r="C133" s="1">
        <v>20</v>
      </c>
      <c r="D133" s="1">
        <v>9.6999999999999993</v>
      </c>
      <c r="E133" s="1" t="s">
        <v>52</v>
      </c>
      <c r="F133" s="1" t="s">
        <v>4087</v>
      </c>
      <c r="G133" s="3" t="s">
        <v>1107</v>
      </c>
      <c r="H133" s="12" cm="1">
        <f t="array" ref="H133">_xlfn.IFS(I133&lt;197,I133*1.26,I133&gt;197,I133*1.17) + IF(I133&gt;1000,17,0)</f>
        <v>49.034663999999992</v>
      </c>
      <c r="I133" s="10">
        <f>($K$2+0.02)*Tabla1[[#This Row],[PRECIO $]]*1.18</f>
        <v>38.916399999999996</v>
      </c>
      <c r="J133" s="7">
        <f>+Tabla1[[#This Row],[PRECIO EN SOLES]]-Tabla1[[#This Row],[PC]]</f>
        <v>10.118263999999996</v>
      </c>
    </row>
    <row r="134" spans="1:10" x14ac:dyDescent="0.25">
      <c r="A134" s="3" t="s">
        <v>748</v>
      </c>
      <c r="B134" s="3" t="s">
        <v>749</v>
      </c>
      <c r="C134" s="1">
        <v>6</v>
      </c>
      <c r="D134" s="1">
        <v>5.4</v>
      </c>
      <c r="E134" s="1" t="s">
        <v>57</v>
      </c>
      <c r="F134" s="1" t="s">
        <v>4088</v>
      </c>
      <c r="G134" s="3"/>
      <c r="H134" s="12" cm="1">
        <f t="array" ref="H134">_xlfn.IFS(I134&lt;197,I134*1.26,I134&gt;197,I134*1.17) + IF(I134&gt;1000,17,0)</f>
        <v>27.297647999999999</v>
      </c>
      <c r="I134" s="10">
        <f>($K$2+0.02)*Tabla1[[#This Row],[PRECIO $]]*1.18</f>
        <v>21.6648</v>
      </c>
      <c r="J134" s="7">
        <f>+Tabla1[[#This Row],[PRECIO EN SOLES]]-Tabla1[[#This Row],[PC]]</f>
        <v>5.6328479999999992</v>
      </c>
    </row>
    <row r="135" spans="1:10" x14ac:dyDescent="0.25">
      <c r="A135" s="3" t="s">
        <v>5761</v>
      </c>
      <c r="B135" s="3" t="s">
        <v>5762</v>
      </c>
      <c r="C135" s="1">
        <v>0</v>
      </c>
      <c r="D135" s="1">
        <v>83.5</v>
      </c>
      <c r="E135" s="1" t="s">
        <v>122</v>
      </c>
      <c r="F135" s="1" t="s">
        <v>5763</v>
      </c>
      <c r="G135" s="3"/>
      <c r="H135" s="12" cm="1">
        <f t="array" ref="H135">_xlfn.IFS(I135&lt;197,I135*1.26,I135&gt;197,I135*1.17) + IF(I135&gt;1000,17,0)</f>
        <v>391.95233999999994</v>
      </c>
      <c r="I135" s="10">
        <f>($K$2+0.02)*Tabla1[[#This Row],[PRECIO $]]*1.18</f>
        <v>335.00199999999995</v>
      </c>
      <c r="J135" s="7">
        <f>+Tabla1[[#This Row],[PRECIO EN SOLES]]-Tabla1[[#This Row],[PC]]</f>
        <v>56.950339999999983</v>
      </c>
    </row>
    <row r="136" spans="1:10" x14ac:dyDescent="0.25">
      <c r="A136" s="3" t="s">
        <v>6101</v>
      </c>
      <c r="B136" s="3" t="s">
        <v>6102</v>
      </c>
      <c r="C136" s="1">
        <v>10</v>
      </c>
      <c r="D136" s="1">
        <v>122.2</v>
      </c>
      <c r="E136" s="1" t="s">
        <v>256</v>
      </c>
      <c r="F136" s="1" t="s">
        <v>6103</v>
      </c>
      <c r="G136" s="3" t="s">
        <v>6104</v>
      </c>
      <c r="H136" s="12" cm="1">
        <f t="array" ref="H136">_xlfn.IFS(I136&lt;197,I136*1.26,I136&gt;197,I136*1.17) + IF(I136&gt;1000,17,0)</f>
        <v>573.61168799999996</v>
      </c>
      <c r="I136" s="10">
        <f>($K$2+0.02)*Tabla1[[#This Row],[PRECIO $]]*1.18</f>
        <v>490.26639999999998</v>
      </c>
      <c r="J136" s="7">
        <f>+Tabla1[[#This Row],[PRECIO EN SOLES]]-Tabla1[[#This Row],[PC]]</f>
        <v>83.345287999999982</v>
      </c>
    </row>
    <row r="137" spans="1:10" x14ac:dyDescent="0.25">
      <c r="A137" s="3" t="s">
        <v>6105</v>
      </c>
      <c r="B137" s="3" t="s">
        <v>6106</v>
      </c>
      <c r="C137" s="1">
        <v>0</v>
      </c>
      <c r="D137" s="1">
        <v>33.700000000000003</v>
      </c>
      <c r="E137" s="1" t="s">
        <v>256</v>
      </c>
      <c r="F137" s="1" t="s">
        <v>6107</v>
      </c>
      <c r="G137" s="3" t="s">
        <v>6108</v>
      </c>
      <c r="H137" s="12" cm="1">
        <f t="array" ref="H137">_xlfn.IFS(I137&lt;197,I137*1.26,I137&gt;197,I137*1.17) + IF(I137&gt;1000,17,0)</f>
        <v>170.35754400000002</v>
      </c>
      <c r="I137" s="10">
        <f>($K$2+0.02)*Tabla1[[#This Row],[PRECIO $]]*1.18</f>
        <v>135.20440000000002</v>
      </c>
      <c r="J137" s="7">
        <f>+Tabla1[[#This Row],[PRECIO EN SOLES]]-Tabla1[[#This Row],[PC]]</f>
        <v>35.153143999999998</v>
      </c>
    </row>
    <row r="138" spans="1:10" x14ac:dyDescent="0.25">
      <c r="A138" s="3" t="s">
        <v>6109</v>
      </c>
      <c r="B138" s="3" t="s">
        <v>6110</v>
      </c>
      <c r="C138" s="1">
        <v>20</v>
      </c>
      <c r="D138" s="1">
        <v>44.5</v>
      </c>
      <c r="E138" s="1" t="s">
        <v>256</v>
      </c>
      <c r="F138" s="1" t="s">
        <v>6111</v>
      </c>
      <c r="G138" s="3" t="s">
        <v>6112</v>
      </c>
      <c r="H138" s="12" cm="1">
        <f t="array" ref="H138">_xlfn.IFS(I138&lt;197,I138*1.26,I138&gt;197,I138*1.17) + IF(I138&gt;1000,17,0)</f>
        <v>224.95283999999995</v>
      </c>
      <c r="I138" s="10">
        <f>($K$2+0.02)*Tabla1[[#This Row],[PRECIO $]]*1.18</f>
        <v>178.53399999999996</v>
      </c>
      <c r="J138" s="7">
        <f>+Tabla1[[#This Row],[PRECIO EN SOLES]]-Tabla1[[#This Row],[PC]]</f>
        <v>46.418839999999989</v>
      </c>
    </row>
    <row r="139" spans="1:10" x14ac:dyDescent="0.25">
      <c r="A139" s="3" t="s">
        <v>6113</v>
      </c>
      <c r="B139" s="3" t="s">
        <v>6114</v>
      </c>
      <c r="C139" s="1">
        <v>20</v>
      </c>
      <c r="D139" s="1">
        <v>55.3</v>
      </c>
      <c r="E139" s="1" t="s">
        <v>256</v>
      </c>
      <c r="F139" s="1" t="s">
        <v>6115</v>
      </c>
      <c r="G139" s="3" t="s">
        <v>6116</v>
      </c>
      <c r="H139" s="12" cm="1">
        <f t="array" ref="H139">_xlfn.IFS(I139&lt;197,I139*1.26,I139&gt;197,I139*1.17) + IF(I139&gt;1000,17,0)</f>
        <v>259.58041199999997</v>
      </c>
      <c r="I139" s="10">
        <f>($K$2+0.02)*Tabla1[[#This Row],[PRECIO $]]*1.18</f>
        <v>221.86359999999996</v>
      </c>
      <c r="J139" s="7">
        <f>+Tabla1[[#This Row],[PRECIO EN SOLES]]-Tabla1[[#This Row],[PC]]</f>
        <v>37.716812000000004</v>
      </c>
    </row>
    <row r="140" spans="1:10" x14ac:dyDescent="0.25">
      <c r="A140" s="3" t="s">
        <v>6117</v>
      </c>
      <c r="B140" s="3" t="s">
        <v>6118</v>
      </c>
      <c r="C140" s="1">
        <v>20</v>
      </c>
      <c r="D140" s="1">
        <v>101.5</v>
      </c>
      <c r="E140" s="1" t="s">
        <v>256</v>
      </c>
      <c r="F140" s="1" t="s">
        <v>6119</v>
      </c>
      <c r="G140" s="3" t="s">
        <v>6120</v>
      </c>
      <c r="H140" s="12" cm="1">
        <f t="array" ref="H140">_xlfn.IFS(I140&lt;197,I140*1.26,I140&gt;197,I140*1.17) + IF(I140&gt;1000,17,0)</f>
        <v>476.4450599999999</v>
      </c>
      <c r="I140" s="10">
        <f>($K$2+0.02)*Tabla1[[#This Row],[PRECIO $]]*1.18</f>
        <v>407.21799999999996</v>
      </c>
      <c r="J140" s="7">
        <f>+Tabla1[[#This Row],[PRECIO EN SOLES]]-Tabla1[[#This Row],[PC]]</f>
        <v>69.227059999999938</v>
      </c>
    </row>
    <row r="141" spans="1:10" x14ac:dyDescent="0.25">
      <c r="A141" s="3" t="s">
        <v>6121</v>
      </c>
      <c r="B141" s="3" t="s">
        <v>6122</v>
      </c>
      <c r="C141" s="1">
        <v>4</v>
      </c>
      <c r="D141" s="1">
        <v>291.5</v>
      </c>
      <c r="E141" s="1" t="s">
        <v>256</v>
      </c>
      <c r="F141" s="1" t="s">
        <v>6123</v>
      </c>
      <c r="G141" s="3" t="s">
        <v>6124</v>
      </c>
      <c r="H141" s="12" cm="1">
        <f t="array" ref="H141">_xlfn.IFS(I141&lt;197,I141*1.26,I141&gt;197,I141*1.17) + IF(I141&gt;1000,17,0)</f>
        <v>1385.3126600000001</v>
      </c>
      <c r="I141" s="10">
        <f>($K$2+0.02)*Tabla1[[#This Row],[PRECIO $]]*1.18</f>
        <v>1169.498</v>
      </c>
      <c r="J141" s="7">
        <f>+Tabla1[[#This Row],[PRECIO EN SOLES]]-Tabla1[[#This Row],[PC]]</f>
        <v>215.81466</v>
      </c>
    </row>
    <row r="142" spans="1:10" x14ac:dyDescent="0.25">
      <c r="A142" s="3" t="s">
        <v>6125</v>
      </c>
      <c r="B142" s="3" t="s">
        <v>6126</v>
      </c>
      <c r="C142" s="1">
        <v>20</v>
      </c>
      <c r="D142" s="1">
        <v>75.599999999999994</v>
      </c>
      <c r="E142" s="1" t="s">
        <v>256</v>
      </c>
      <c r="F142" s="1" t="s">
        <v>6127</v>
      </c>
      <c r="G142" s="3" t="s">
        <v>6128</v>
      </c>
      <c r="H142" s="12" cm="1">
        <f t="array" ref="H142">_xlfn.IFS(I142&lt;197,I142*1.26,I142&gt;197,I142*1.17) + IF(I142&gt;1000,17,0)</f>
        <v>354.86942399999992</v>
      </c>
      <c r="I142" s="10">
        <f>($K$2+0.02)*Tabla1[[#This Row],[PRECIO $]]*1.18</f>
        <v>303.30719999999997</v>
      </c>
      <c r="J142" s="7">
        <f>+Tabla1[[#This Row],[PRECIO EN SOLES]]-Tabla1[[#This Row],[PC]]</f>
        <v>51.562223999999958</v>
      </c>
    </row>
    <row r="143" spans="1:10" x14ac:dyDescent="0.25">
      <c r="A143" s="3" t="s">
        <v>6129</v>
      </c>
      <c r="B143" s="3" t="s">
        <v>6130</v>
      </c>
      <c r="C143" s="1">
        <v>20</v>
      </c>
      <c r="D143" s="1">
        <v>97.35</v>
      </c>
      <c r="E143" s="1" t="s">
        <v>256</v>
      </c>
      <c r="F143" s="1" t="s">
        <v>6131</v>
      </c>
      <c r="G143" s="3" t="s">
        <v>6132</v>
      </c>
      <c r="H143" s="12" cm="1">
        <f t="array" ref="H143">_xlfn.IFS(I143&lt;197,I143*1.26,I143&gt;197,I143*1.17) + IF(I143&gt;1000,17,0)</f>
        <v>456.96479399999987</v>
      </c>
      <c r="I143" s="10">
        <f>($K$2+0.02)*Tabla1[[#This Row],[PRECIO $]]*1.18</f>
        <v>390.56819999999993</v>
      </c>
      <c r="J143" s="7">
        <f>+Tabla1[[#This Row],[PRECIO EN SOLES]]-Tabla1[[#This Row],[PC]]</f>
        <v>66.396593999999936</v>
      </c>
    </row>
    <row r="144" spans="1:10" x14ac:dyDescent="0.25">
      <c r="A144" s="3" t="s">
        <v>3739</v>
      </c>
      <c r="B144" s="3" t="s">
        <v>3740</v>
      </c>
      <c r="C144" s="1">
        <v>0</v>
      </c>
      <c r="D144" s="1">
        <v>55.5</v>
      </c>
      <c r="E144" s="1" t="s">
        <v>133</v>
      </c>
      <c r="F144" s="1" t="s">
        <v>4089</v>
      </c>
      <c r="G144" s="3" t="s">
        <v>5954</v>
      </c>
      <c r="H144" s="12" cm="1">
        <f t="array" ref="H144">_xlfn.IFS(I144&lt;197,I144*1.26,I144&gt;197,I144*1.17) + IF(I144&gt;1000,17,0)</f>
        <v>260.51921999999996</v>
      </c>
      <c r="I144" s="10">
        <f>($K$2+0.02)*Tabla1[[#This Row],[PRECIO $]]*1.18</f>
        <v>222.66599999999997</v>
      </c>
      <c r="J144" s="7">
        <f>+Tabla1[[#This Row],[PRECIO EN SOLES]]-Tabla1[[#This Row],[PC]]</f>
        <v>37.853219999999993</v>
      </c>
    </row>
    <row r="145" spans="1:10" x14ac:dyDescent="0.25">
      <c r="A145" s="3" t="s">
        <v>1108</v>
      </c>
      <c r="B145" s="3" t="s">
        <v>1109</v>
      </c>
      <c r="C145" s="1">
        <v>0</v>
      </c>
      <c r="D145" s="1">
        <v>32</v>
      </c>
      <c r="E145" s="1" t="s">
        <v>52</v>
      </c>
      <c r="F145" s="1" t="s">
        <v>4090</v>
      </c>
      <c r="G145" s="3" t="s">
        <v>5528</v>
      </c>
      <c r="H145" s="12" cm="1">
        <f t="array" ref="H145">_xlfn.IFS(I145&lt;197,I145*1.26,I145&gt;197,I145*1.17) + IF(I145&gt;1000,17,0)</f>
        <v>161.76383999999999</v>
      </c>
      <c r="I145" s="10">
        <f>($K$2+0.02)*Tabla1[[#This Row],[PRECIO $]]*1.18</f>
        <v>128.38399999999999</v>
      </c>
      <c r="J145" s="7">
        <f>+Tabla1[[#This Row],[PRECIO EN SOLES]]-Tabla1[[#This Row],[PC]]</f>
        <v>33.379840000000002</v>
      </c>
    </row>
    <row r="146" spans="1:10" x14ac:dyDescent="0.25">
      <c r="A146" s="3" t="s">
        <v>750</v>
      </c>
      <c r="B146" s="3" t="s">
        <v>751</v>
      </c>
      <c r="C146" s="1">
        <v>20</v>
      </c>
      <c r="D146" s="1">
        <v>61</v>
      </c>
      <c r="E146" s="1" t="s">
        <v>52</v>
      </c>
      <c r="F146" s="1" t="s">
        <v>4091</v>
      </c>
      <c r="G146" s="3" t="s">
        <v>5529</v>
      </c>
      <c r="H146" s="12" cm="1">
        <f t="array" ref="H146">_xlfn.IFS(I146&lt;197,I146*1.26,I146&gt;197,I146*1.17) + IF(I146&gt;1000,17,0)</f>
        <v>286.33643999999998</v>
      </c>
      <c r="I146" s="10">
        <f>($K$2+0.02)*Tabla1[[#This Row],[PRECIO $]]*1.18</f>
        <v>244.732</v>
      </c>
      <c r="J146" s="7">
        <f>+Tabla1[[#This Row],[PRECIO EN SOLES]]-Tabla1[[#This Row],[PC]]</f>
        <v>41.604439999999983</v>
      </c>
    </row>
    <row r="147" spans="1:10" x14ac:dyDescent="0.25">
      <c r="A147" s="3" t="s">
        <v>155</v>
      </c>
      <c r="B147" s="3" t="s">
        <v>752</v>
      </c>
      <c r="C147" s="1">
        <v>0</v>
      </c>
      <c r="D147" s="1">
        <v>47</v>
      </c>
      <c r="E147" s="1" t="s">
        <v>52</v>
      </c>
      <c r="F147" s="1" t="s">
        <v>4092</v>
      </c>
      <c r="G147" s="3" t="s">
        <v>753</v>
      </c>
      <c r="H147" s="12" cm="1">
        <f t="array" ref="H147">_xlfn.IFS(I147&lt;197,I147*1.26,I147&gt;197,I147*1.17) + IF(I147&gt;1000,17,0)</f>
        <v>237.59063999999995</v>
      </c>
      <c r="I147" s="10">
        <f>($K$2+0.02)*Tabla1[[#This Row],[PRECIO $]]*1.18</f>
        <v>188.56399999999996</v>
      </c>
      <c r="J147" s="7">
        <f>+Tabla1[[#This Row],[PRECIO EN SOLES]]-Tabla1[[#This Row],[PC]]</f>
        <v>49.026639999999986</v>
      </c>
    </row>
    <row r="148" spans="1:10" x14ac:dyDescent="0.25">
      <c r="A148" s="3" t="s">
        <v>1110</v>
      </c>
      <c r="B148" s="3" t="s">
        <v>1111</v>
      </c>
      <c r="C148" s="1">
        <v>20</v>
      </c>
      <c r="D148" s="1">
        <v>297</v>
      </c>
      <c r="E148" s="1" t="s">
        <v>1112</v>
      </c>
      <c r="F148" s="1" t="s">
        <v>4093</v>
      </c>
      <c r="G148" s="3" t="s">
        <v>1113</v>
      </c>
      <c r="H148" s="12" cm="1">
        <f t="array" ref="H148">_xlfn.IFS(I148&lt;197,I148*1.26,I148&gt;197,I148*1.17) + IF(I148&gt;1000,17,0)</f>
        <v>1411.1298799999997</v>
      </c>
      <c r="I148" s="10">
        <f>($K$2+0.02)*Tabla1[[#This Row],[PRECIO $]]*1.18</f>
        <v>1191.5639999999999</v>
      </c>
      <c r="J148" s="7">
        <f>+Tabla1[[#This Row],[PRECIO EN SOLES]]-Tabla1[[#This Row],[PC]]</f>
        <v>219.56587999999988</v>
      </c>
    </row>
    <row r="149" spans="1:10" x14ac:dyDescent="0.25">
      <c r="A149" s="3" t="s">
        <v>1114</v>
      </c>
      <c r="B149" s="3" t="s">
        <v>1115</v>
      </c>
      <c r="C149" s="1">
        <v>11</v>
      </c>
      <c r="D149" s="1">
        <v>427</v>
      </c>
      <c r="E149" s="1" t="s">
        <v>1002</v>
      </c>
      <c r="F149" s="1" t="s">
        <v>4094</v>
      </c>
      <c r="G149" s="3" t="s">
        <v>1116</v>
      </c>
      <c r="H149" s="12" cm="1">
        <f t="array" ref="H149">_xlfn.IFS(I149&lt;197,I149*1.26,I149&gt;197,I149*1.17) + IF(I149&gt;1000,17,0)</f>
        <v>2021.3550799999996</v>
      </c>
      <c r="I149" s="10">
        <f>($K$2+0.02)*Tabla1[[#This Row],[PRECIO $]]*1.18</f>
        <v>1713.1239999999998</v>
      </c>
      <c r="J149" s="7">
        <f>+Tabla1[[#This Row],[PRECIO EN SOLES]]-Tabla1[[#This Row],[PC]]</f>
        <v>308.23107999999979</v>
      </c>
    </row>
    <row r="150" spans="1:10" x14ac:dyDescent="0.25">
      <c r="A150" s="3" t="s">
        <v>1117</v>
      </c>
      <c r="B150" s="3" t="s">
        <v>1118</v>
      </c>
      <c r="C150" s="1">
        <v>1</v>
      </c>
      <c r="D150" s="1">
        <v>563</v>
      </c>
      <c r="E150" s="1" t="s">
        <v>56</v>
      </c>
      <c r="F150" s="1" t="s">
        <v>4095</v>
      </c>
      <c r="G150" s="3"/>
      <c r="H150" s="12" cm="1">
        <f t="array" ref="H150">_xlfn.IFS(I150&lt;197,I150*1.26,I150&gt;197,I150*1.17) + IF(I150&gt;1000,17,0)</f>
        <v>2659.7445199999997</v>
      </c>
      <c r="I150" s="10">
        <f>($K$2+0.02)*Tabla1[[#This Row],[PRECIO $]]*1.18</f>
        <v>2258.7559999999999</v>
      </c>
      <c r="J150" s="7">
        <f>+Tabla1[[#This Row],[PRECIO EN SOLES]]-Tabla1[[#This Row],[PC]]</f>
        <v>400.98851999999988</v>
      </c>
    </row>
    <row r="151" spans="1:10" x14ac:dyDescent="0.25">
      <c r="A151" s="3" t="s">
        <v>1119</v>
      </c>
      <c r="B151" s="3" t="s">
        <v>1118</v>
      </c>
      <c r="C151" s="1">
        <v>1</v>
      </c>
      <c r="D151" s="1">
        <v>563</v>
      </c>
      <c r="E151" s="1" t="s">
        <v>56</v>
      </c>
      <c r="F151" s="1" t="s">
        <v>4096</v>
      </c>
      <c r="G151" s="3"/>
      <c r="H151" s="12" cm="1">
        <f t="array" ref="H151">_xlfn.IFS(I151&lt;197,I151*1.26,I151&gt;197,I151*1.17) + IF(I151&gt;1000,17,0)</f>
        <v>2659.7445199999997</v>
      </c>
      <c r="I151" s="10">
        <f>($K$2+0.02)*Tabla1[[#This Row],[PRECIO $]]*1.18</f>
        <v>2258.7559999999999</v>
      </c>
      <c r="J151" s="7">
        <f>+Tabla1[[#This Row],[PRECIO EN SOLES]]-Tabla1[[#This Row],[PC]]</f>
        <v>400.98851999999988</v>
      </c>
    </row>
    <row r="152" spans="1:10" x14ac:dyDescent="0.25">
      <c r="A152" s="3" t="s">
        <v>3741</v>
      </c>
      <c r="B152" s="3" t="s">
        <v>3742</v>
      </c>
      <c r="C152" s="1">
        <v>10</v>
      </c>
      <c r="D152" s="1">
        <v>578</v>
      </c>
      <c r="E152" s="1" t="s">
        <v>156</v>
      </c>
      <c r="F152" s="1" t="s">
        <v>4097</v>
      </c>
      <c r="G152" s="3" t="s">
        <v>3743</v>
      </c>
      <c r="H152" s="12" cm="1">
        <f t="array" ref="H152">_xlfn.IFS(I152&lt;197,I152*1.26,I152&gt;197,I152*1.17) + IF(I152&gt;1000,17,0)</f>
        <v>2730.1551199999999</v>
      </c>
      <c r="I152" s="10">
        <f>($K$2+0.02)*Tabla1[[#This Row],[PRECIO $]]*1.18</f>
        <v>2318.9360000000001</v>
      </c>
      <c r="J152" s="7">
        <f>+Tabla1[[#This Row],[PRECIO EN SOLES]]-Tabla1[[#This Row],[PC]]</f>
        <v>411.21911999999975</v>
      </c>
    </row>
    <row r="153" spans="1:10" x14ac:dyDescent="0.25">
      <c r="A153" s="3" t="s">
        <v>1120</v>
      </c>
      <c r="B153" s="3" t="s">
        <v>1121</v>
      </c>
      <c r="C153" s="1">
        <v>9</v>
      </c>
      <c r="D153" s="1">
        <v>412</v>
      </c>
      <c r="E153" s="1" t="s">
        <v>156</v>
      </c>
      <c r="F153" s="1" t="s">
        <v>4098</v>
      </c>
      <c r="G153" s="3" t="s">
        <v>1122</v>
      </c>
      <c r="H153" s="12" cm="1">
        <f t="array" ref="H153">_xlfn.IFS(I153&lt;197,I153*1.26,I153&gt;197,I153*1.17) + IF(I153&gt;1000,17,0)</f>
        <v>1950.9444799999999</v>
      </c>
      <c r="I153" s="10">
        <f>($K$2+0.02)*Tabla1[[#This Row],[PRECIO $]]*1.18</f>
        <v>1652.944</v>
      </c>
      <c r="J153" s="7">
        <f>+Tabla1[[#This Row],[PRECIO EN SOLES]]-Tabla1[[#This Row],[PC]]</f>
        <v>298.00047999999992</v>
      </c>
    </row>
    <row r="154" spans="1:10" x14ac:dyDescent="0.25">
      <c r="A154" s="3" t="s">
        <v>157</v>
      </c>
      <c r="B154" s="3" t="s">
        <v>158</v>
      </c>
      <c r="C154" s="1">
        <v>20</v>
      </c>
      <c r="D154" s="1">
        <v>203</v>
      </c>
      <c r="E154" s="1" t="s">
        <v>156</v>
      </c>
      <c r="F154" s="1" t="s">
        <v>4099</v>
      </c>
      <c r="G154" s="3" t="s">
        <v>159</v>
      </c>
      <c r="H154" s="12" cm="1">
        <f t="array" ref="H154">_xlfn.IFS(I154&lt;197,I154*1.26,I154&gt;197,I154*1.17) + IF(I154&gt;1000,17,0)</f>
        <v>952.8901199999998</v>
      </c>
      <c r="I154" s="10">
        <f>($K$2+0.02)*Tabla1[[#This Row],[PRECIO $]]*1.18</f>
        <v>814.43599999999992</v>
      </c>
      <c r="J154" s="7">
        <f>+Tabla1[[#This Row],[PRECIO EN SOLES]]-Tabla1[[#This Row],[PC]]</f>
        <v>138.45411999999988</v>
      </c>
    </row>
    <row r="155" spans="1:10" x14ac:dyDescent="0.25">
      <c r="A155" s="3" t="s">
        <v>1124</v>
      </c>
      <c r="B155" s="3" t="s">
        <v>1125</v>
      </c>
      <c r="C155" s="1">
        <v>4</v>
      </c>
      <c r="D155" s="1">
        <v>1770</v>
      </c>
      <c r="E155" s="1" t="s">
        <v>156</v>
      </c>
      <c r="F155" s="1" t="s">
        <v>4100</v>
      </c>
      <c r="G155" s="3" t="s">
        <v>1126</v>
      </c>
      <c r="H155" s="12" cm="1">
        <f t="array" ref="H155">_xlfn.IFS(I155&lt;197,I155*1.26,I155&gt;197,I155*1.17) + IF(I155&gt;1000,17,0)</f>
        <v>8325.4507999999987</v>
      </c>
      <c r="I155" s="10">
        <f>($K$2+0.02)*Tabla1[[#This Row],[PRECIO $]]*1.18</f>
        <v>7101.24</v>
      </c>
      <c r="J155" s="7">
        <f>+Tabla1[[#This Row],[PRECIO EN SOLES]]-Tabla1[[#This Row],[PC]]</f>
        <v>1224.2107999999989</v>
      </c>
    </row>
    <row r="156" spans="1:10" x14ac:dyDescent="0.25">
      <c r="A156" s="3" t="s">
        <v>3542</v>
      </c>
      <c r="B156" s="3" t="s">
        <v>1123</v>
      </c>
      <c r="C156" s="1">
        <v>20</v>
      </c>
      <c r="D156" s="1">
        <v>267</v>
      </c>
      <c r="E156" s="1" t="s">
        <v>156</v>
      </c>
      <c r="F156" s="1" t="s">
        <v>4101</v>
      </c>
      <c r="G156" s="3"/>
      <c r="H156" s="12" cm="1">
        <f t="array" ref="H156">_xlfn.IFS(I156&lt;197,I156*1.26,I156&gt;197,I156*1.17) + IF(I156&gt;1000,17,0)</f>
        <v>1270.3086799999999</v>
      </c>
      <c r="I156" s="10">
        <f>($K$2+0.02)*Tabla1[[#This Row],[PRECIO $]]*1.18</f>
        <v>1071.204</v>
      </c>
      <c r="J156" s="7">
        <f>+Tabla1[[#This Row],[PRECIO EN SOLES]]-Tabla1[[#This Row],[PC]]</f>
        <v>199.10467999999992</v>
      </c>
    </row>
    <row r="157" spans="1:10" x14ac:dyDescent="0.25">
      <c r="A157" s="3" t="s">
        <v>6133</v>
      </c>
      <c r="B157" s="3" t="s">
        <v>6134</v>
      </c>
      <c r="C157" s="1">
        <v>20</v>
      </c>
      <c r="D157" s="1">
        <v>868</v>
      </c>
      <c r="E157" s="1" t="s">
        <v>156</v>
      </c>
      <c r="F157" s="1" t="s">
        <v>6135</v>
      </c>
      <c r="G157" s="3" t="s">
        <v>6136</v>
      </c>
      <c r="H157" s="12" cm="1">
        <f t="array" ref="H157">_xlfn.IFS(I157&lt;197,I157*1.26,I157&gt;197,I157*1.17) + IF(I157&gt;1000,17,0)</f>
        <v>4091.4267199999995</v>
      </c>
      <c r="I157" s="10">
        <f>($K$2+0.02)*Tabla1[[#This Row],[PRECIO $]]*1.18</f>
        <v>3482.4159999999997</v>
      </c>
      <c r="J157" s="7">
        <f>+Tabla1[[#This Row],[PRECIO EN SOLES]]-Tabla1[[#This Row],[PC]]</f>
        <v>609.01071999999976</v>
      </c>
    </row>
    <row r="158" spans="1:10" x14ac:dyDescent="0.25">
      <c r="A158" s="3" t="s">
        <v>5955</v>
      </c>
      <c r="B158" s="3" t="s">
        <v>5956</v>
      </c>
      <c r="C158" s="1">
        <v>20</v>
      </c>
      <c r="D158" s="1">
        <v>403</v>
      </c>
      <c r="E158" s="1" t="s">
        <v>156</v>
      </c>
      <c r="F158" s="1" t="s">
        <v>5957</v>
      </c>
      <c r="G158" s="3" t="s">
        <v>5958</v>
      </c>
      <c r="H158" s="12" cm="1">
        <f t="array" ref="H158">_xlfn.IFS(I158&lt;197,I158*1.26,I158&gt;197,I158*1.17) + IF(I158&gt;1000,17,0)</f>
        <v>1908.6981199999998</v>
      </c>
      <c r="I158" s="10">
        <f>($K$2+0.02)*Tabla1[[#This Row],[PRECIO $]]*1.18</f>
        <v>1616.836</v>
      </c>
      <c r="J158" s="7">
        <f>+Tabla1[[#This Row],[PRECIO EN SOLES]]-Tabla1[[#This Row],[PC]]</f>
        <v>291.86211999999978</v>
      </c>
    </row>
    <row r="159" spans="1:10" x14ac:dyDescent="0.25">
      <c r="A159" s="3" t="s">
        <v>1127</v>
      </c>
      <c r="B159" s="3" t="s">
        <v>1128</v>
      </c>
      <c r="C159" s="1">
        <v>0</v>
      </c>
      <c r="D159" s="1">
        <v>752</v>
      </c>
      <c r="E159" s="1" t="s">
        <v>156</v>
      </c>
      <c r="F159" s="1" t="s">
        <v>4102</v>
      </c>
      <c r="G159" s="3" t="s">
        <v>1129</v>
      </c>
      <c r="H159" s="12" cm="1">
        <f t="array" ref="H159">_xlfn.IFS(I159&lt;197,I159*1.26,I159&gt;197,I159*1.17) + IF(I159&gt;1000,17,0)</f>
        <v>3546.918079999999</v>
      </c>
      <c r="I159" s="10">
        <f>($K$2+0.02)*Tabla1[[#This Row],[PRECIO $]]*1.18</f>
        <v>3017.0239999999994</v>
      </c>
      <c r="J159" s="7">
        <f>+Tabla1[[#This Row],[PRECIO EN SOLES]]-Tabla1[[#This Row],[PC]]</f>
        <v>529.89407999999958</v>
      </c>
    </row>
    <row r="160" spans="1:10" x14ac:dyDescent="0.25">
      <c r="A160" s="3" t="s">
        <v>6137</v>
      </c>
      <c r="B160" s="3" t="s">
        <v>6138</v>
      </c>
      <c r="C160" s="1">
        <v>0</v>
      </c>
      <c r="D160" s="1">
        <v>453</v>
      </c>
      <c r="E160" s="1" t="s">
        <v>156</v>
      </c>
      <c r="F160" s="1" t="s">
        <v>6139</v>
      </c>
      <c r="G160" s="3" t="s">
        <v>6140</v>
      </c>
      <c r="H160" s="12" cm="1">
        <f t="array" ref="H160">_xlfn.IFS(I160&lt;197,I160*1.26,I160&gt;197,I160*1.17) + IF(I160&gt;1000,17,0)</f>
        <v>2143.4001199999998</v>
      </c>
      <c r="I160" s="10">
        <f>($K$2+0.02)*Tabla1[[#This Row],[PRECIO $]]*1.18</f>
        <v>1817.4359999999999</v>
      </c>
      <c r="J160" s="7">
        <f>+Tabla1[[#This Row],[PRECIO EN SOLES]]-Tabla1[[#This Row],[PC]]</f>
        <v>325.96411999999987</v>
      </c>
    </row>
    <row r="161" spans="1:10" x14ac:dyDescent="0.25">
      <c r="A161" s="3" t="s">
        <v>1130</v>
      </c>
      <c r="B161" s="3" t="s">
        <v>1131</v>
      </c>
      <c r="C161" s="1">
        <v>1</v>
      </c>
      <c r="D161" s="1">
        <v>130</v>
      </c>
      <c r="E161" s="1" t="s">
        <v>156</v>
      </c>
      <c r="F161" s="1" t="s">
        <v>4103</v>
      </c>
      <c r="G161" s="3"/>
      <c r="H161" s="12" cm="1">
        <f t="array" ref="H161">_xlfn.IFS(I161&lt;197,I161*1.26,I161&gt;197,I161*1.17) + IF(I161&gt;1000,17,0)</f>
        <v>610.22519999999986</v>
      </c>
      <c r="I161" s="10">
        <f>($K$2+0.02)*Tabla1[[#This Row],[PRECIO $]]*1.18</f>
        <v>521.55999999999995</v>
      </c>
      <c r="J161" s="7">
        <f>+Tabla1[[#This Row],[PRECIO EN SOLES]]-Tabla1[[#This Row],[PC]]</f>
        <v>88.665199999999913</v>
      </c>
    </row>
    <row r="162" spans="1:10" x14ac:dyDescent="0.25">
      <c r="A162" s="3" t="s">
        <v>1132</v>
      </c>
      <c r="B162" s="3" t="s">
        <v>1133</v>
      </c>
      <c r="C162" s="1">
        <v>20</v>
      </c>
      <c r="D162" s="1">
        <v>228</v>
      </c>
      <c r="E162" s="1" t="s">
        <v>156</v>
      </c>
      <c r="F162" s="1" t="s">
        <v>4104</v>
      </c>
      <c r="G162" s="3" t="s">
        <v>1134</v>
      </c>
      <c r="H162" s="12" cm="1">
        <f t="array" ref="H162">_xlfn.IFS(I162&lt;197,I162*1.26,I162&gt;197,I162*1.17) + IF(I162&gt;1000,17,0)</f>
        <v>1070.2411199999997</v>
      </c>
      <c r="I162" s="10">
        <f>($K$2+0.02)*Tabla1[[#This Row],[PRECIO $]]*1.18</f>
        <v>914.73599999999988</v>
      </c>
      <c r="J162" s="7">
        <f>+Tabla1[[#This Row],[PRECIO EN SOLES]]-Tabla1[[#This Row],[PC]]</f>
        <v>155.50511999999981</v>
      </c>
    </row>
    <row r="163" spans="1:10" x14ac:dyDescent="0.25">
      <c r="A163" s="3" t="s">
        <v>3587</v>
      </c>
      <c r="B163" s="3" t="s">
        <v>3588</v>
      </c>
      <c r="C163" s="1">
        <v>11</v>
      </c>
      <c r="D163" s="1">
        <v>220</v>
      </c>
      <c r="E163" s="1" t="s">
        <v>156</v>
      </c>
      <c r="F163" s="1" t="s">
        <v>4105</v>
      </c>
      <c r="G163" s="3" t="s">
        <v>3589</v>
      </c>
      <c r="H163" s="12" cm="1">
        <f t="array" ref="H163">_xlfn.IFS(I163&lt;197,I163*1.26,I163&gt;197,I163*1.17) + IF(I163&gt;1000,17,0)</f>
        <v>1032.6887999999999</v>
      </c>
      <c r="I163" s="10">
        <f>($K$2+0.02)*Tabla1[[#This Row],[PRECIO $]]*1.18</f>
        <v>882.64</v>
      </c>
      <c r="J163" s="7">
        <f>+Tabla1[[#This Row],[PRECIO EN SOLES]]-Tabla1[[#This Row],[PC]]</f>
        <v>150.04879999999991</v>
      </c>
    </row>
    <row r="164" spans="1:10" x14ac:dyDescent="0.25">
      <c r="A164" s="3" t="s">
        <v>1135</v>
      </c>
      <c r="B164" s="3" t="s">
        <v>1136</v>
      </c>
      <c r="C164" s="1">
        <v>20</v>
      </c>
      <c r="D164" s="1">
        <v>294</v>
      </c>
      <c r="E164" s="1" t="s">
        <v>74</v>
      </c>
      <c r="F164" s="1" t="s">
        <v>4106</v>
      </c>
      <c r="G164" s="3" t="s">
        <v>1137</v>
      </c>
      <c r="H164" s="12" cm="1">
        <f t="array" ref="H164">_xlfn.IFS(I164&lt;197,I164*1.26,I164&gt;197,I164*1.17) + IF(I164&gt;1000,17,0)</f>
        <v>1397.0477599999999</v>
      </c>
      <c r="I164" s="10">
        <f>($K$2+0.02)*Tabla1[[#This Row],[PRECIO $]]*1.18</f>
        <v>1179.528</v>
      </c>
      <c r="J164" s="7">
        <f>+Tabla1[[#This Row],[PRECIO EN SOLES]]-Tabla1[[#This Row],[PC]]</f>
        <v>217.51975999999991</v>
      </c>
    </row>
    <row r="165" spans="1:10" x14ac:dyDescent="0.25">
      <c r="A165" s="3" t="s">
        <v>1138</v>
      </c>
      <c r="B165" s="3" t="s">
        <v>1139</v>
      </c>
      <c r="C165" s="1">
        <v>20</v>
      </c>
      <c r="D165" s="1">
        <v>847</v>
      </c>
      <c r="E165" s="1" t="s">
        <v>1002</v>
      </c>
      <c r="F165" s="1" t="s">
        <v>4107</v>
      </c>
      <c r="G165" s="3"/>
      <c r="H165" s="12" cm="1">
        <f t="array" ref="H165">_xlfn.IFS(I165&lt;197,I165*1.26,I165&gt;197,I165*1.17) + IF(I165&gt;1000,17,0)</f>
        <v>3992.8518799999988</v>
      </c>
      <c r="I165" s="10">
        <f>($K$2+0.02)*Tabla1[[#This Row],[PRECIO $]]*1.18</f>
        <v>3398.1639999999993</v>
      </c>
      <c r="J165" s="7">
        <f>+Tabla1[[#This Row],[PRECIO EN SOLES]]-Tabla1[[#This Row],[PC]]</f>
        <v>594.6878799999995</v>
      </c>
    </row>
    <row r="166" spans="1:10" x14ac:dyDescent="0.25">
      <c r="A166" s="3" t="s">
        <v>1140</v>
      </c>
      <c r="B166" s="3" t="s">
        <v>1141</v>
      </c>
      <c r="C166" s="1">
        <v>20</v>
      </c>
      <c r="D166" s="1">
        <v>997</v>
      </c>
      <c r="E166" s="1" t="s">
        <v>1002</v>
      </c>
      <c r="F166" s="1" t="s">
        <v>4108</v>
      </c>
      <c r="G166" s="3"/>
      <c r="H166" s="12" cm="1">
        <f t="array" ref="H166">_xlfn.IFS(I166&lt;197,I166*1.26,I166&gt;197,I166*1.17) + IF(I166&gt;1000,17,0)</f>
        <v>4696.957879999999</v>
      </c>
      <c r="I166" s="10">
        <f>($K$2+0.02)*Tabla1[[#This Row],[PRECIO $]]*1.18</f>
        <v>3999.9639999999995</v>
      </c>
      <c r="J166" s="7">
        <f>+Tabla1[[#This Row],[PRECIO EN SOLES]]-Tabla1[[#This Row],[PC]]</f>
        <v>696.99387999999954</v>
      </c>
    </row>
    <row r="167" spans="1:10" x14ac:dyDescent="0.25">
      <c r="A167" s="3" t="s">
        <v>1142</v>
      </c>
      <c r="B167" s="3" t="s">
        <v>1143</v>
      </c>
      <c r="C167" s="1">
        <v>20</v>
      </c>
      <c r="D167" s="1">
        <v>947</v>
      </c>
      <c r="E167" s="1" t="s">
        <v>1002</v>
      </c>
      <c r="F167" s="1" t="s">
        <v>4109</v>
      </c>
      <c r="G167" s="3"/>
      <c r="H167" s="12" cm="1">
        <f t="array" ref="H167">_xlfn.IFS(I167&lt;197,I167*1.26,I167&gt;197,I167*1.17) + IF(I167&gt;1000,17,0)</f>
        <v>4462.2558799999988</v>
      </c>
      <c r="I167" s="10">
        <f>($K$2+0.02)*Tabla1[[#This Row],[PRECIO $]]*1.18</f>
        <v>3799.3639999999996</v>
      </c>
      <c r="J167" s="7">
        <f>+Tabla1[[#This Row],[PRECIO EN SOLES]]-Tabla1[[#This Row],[PC]]</f>
        <v>662.89187999999922</v>
      </c>
    </row>
    <row r="168" spans="1:10" x14ac:dyDescent="0.25">
      <c r="A168" s="3" t="s">
        <v>1144</v>
      </c>
      <c r="B168" s="3" t="s">
        <v>1145</v>
      </c>
      <c r="C168" s="1">
        <v>18</v>
      </c>
      <c r="D168" s="1">
        <v>419</v>
      </c>
      <c r="E168" s="1" t="s">
        <v>54</v>
      </c>
      <c r="F168" s="1" t="s">
        <v>4110</v>
      </c>
      <c r="G168" s="3" t="s">
        <v>1146</v>
      </c>
      <c r="H168" s="12" cm="1">
        <f t="array" ref="H168">_xlfn.IFS(I168&lt;197,I168*1.26,I168&gt;197,I168*1.17) + IF(I168&gt;1000,17,0)</f>
        <v>1983.8027599999996</v>
      </c>
      <c r="I168" s="10">
        <f>($K$2+0.02)*Tabla1[[#This Row],[PRECIO $]]*1.18</f>
        <v>1681.0279999999998</v>
      </c>
      <c r="J168" s="7">
        <f>+Tabla1[[#This Row],[PRECIO EN SOLES]]-Tabla1[[#This Row],[PC]]</f>
        <v>302.77475999999979</v>
      </c>
    </row>
    <row r="169" spans="1:10" x14ac:dyDescent="0.25">
      <c r="A169" s="3" t="s">
        <v>1147</v>
      </c>
      <c r="B169" s="3" t="s">
        <v>1148</v>
      </c>
      <c r="C169" s="1">
        <v>20</v>
      </c>
      <c r="D169" s="1">
        <v>487</v>
      </c>
      <c r="E169" s="1" t="s">
        <v>74</v>
      </c>
      <c r="F169" s="1" t="s">
        <v>4111</v>
      </c>
      <c r="G169" s="3" t="s">
        <v>160</v>
      </c>
      <c r="H169" s="12" cm="1">
        <f t="array" ref="H169">_xlfn.IFS(I169&lt;197,I169*1.26,I169&gt;197,I169*1.17) + IF(I169&gt;1000,17,0)</f>
        <v>2302.9974799999995</v>
      </c>
      <c r="I169" s="10">
        <f>($K$2+0.02)*Tabla1[[#This Row],[PRECIO $]]*1.18</f>
        <v>1953.8439999999998</v>
      </c>
      <c r="J169" s="7">
        <f>+Tabla1[[#This Row],[PRECIO EN SOLES]]-Tabla1[[#This Row],[PC]]</f>
        <v>349.15347999999972</v>
      </c>
    </row>
    <row r="170" spans="1:10" x14ac:dyDescent="0.25">
      <c r="A170" s="3" t="s">
        <v>161</v>
      </c>
      <c r="B170" s="3" t="s">
        <v>162</v>
      </c>
      <c r="C170" s="1">
        <v>20</v>
      </c>
      <c r="D170" s="1">
        <v>342</v>
      </c>
      <c r="E170" s="1" t="s">
        <v>74</v>
      </c>
      <c r="F170" s="1" t="s">
        <v>4112</v>
      </c>
      <c r="G170" s="3" t="s">
        <v>160</v>
      </c>
      <c r="H170" s="12" cm="1">
        <f t="array" ref="H170">_xlfn.IFS(I170&lt;197,I170*1.26,I170&gt;197,I170*1.17) + IF(I170&gt;1000,17,0)</f>
        <v>1622.3616799999998</v>
      </c>
      <c r="I170" s="10">
        <f>($K$2+0.02)*Tabla1[[#This Row],[PRECIO $]]*1.18</f>
        <v>1372.1039999999998</v>
      </c>
      <c r="J170" s="7">
        <f>+Tabla1[[#This Row],[PRECIO EN SOLES]]-Tabla1[[#This Row],[PC]]</f>
        <v>250.25767999999994</v>
      </c>
    </row>
    <row r="171" spans="1:10" x14ac:dyDescent="0.25">
      <c r="A171" s="3" t="s">
        <v>1149</v>
      </c>
      <c r="B171" s="3" t="s">
        <v>1150</v>
      </c>
      <c r="C171" s="1">
        <v>1</v>
      </c>
      <c r="D171" s="1">
        <v>487</v>
      </c>
      <c r="E171" s="1" t="s">
        <v>54</v>
      </c>
      <c r="F171" s="1" t="s">
        <v>4113</v>
      </c>
      <c r="G171" s="3" t="s">
        <v>1151</v>
      </c>
      <c r="H171" s="12" cm="1">
        <f t="array" ref="H171">_xlfn.IFS(I171&lt;197,I171*1.26,I171&gt;197,I171*1.17) + IF(I171&gt;1000,17,0)</f>
        <v>2302.9974799999995</v>
      </c>
      <c r="I171" s="10">
        <f>($K$2+0.02)*Tabla1[[#This Row],[PRECIO $]]*1.18</f>
        <v>1953.8439999999998</v>
      </c>
      <c r="J171" s="7">
        <f>+Tabla1[[#This Row],[PRECIO EN SOLES]]-Tabla1[[#This Row],[PC]]</f>
        <v>349.15347999999972</v>
      </c>
    </row>
    <row r="172" spans="1:10" x14ac:dyDescent="0.25">
      <c r="A172" s="3" t="s">
        <v>5764</v>
      </c>
      <c r="B172" s="3" t="s">
        <v>5765</v>
      </c>
      <c r="C172" s="1">
        <v>20</v>
      </c>
      <c r="D172" s="1">
        <v>657</v>
      </c>
      <c r="E172" s="1" t="s">
        <v>1112</v>
      </c>
      <c r="F172" s="1" t="s">
        <v>5766</v>
      </c>
      <c r="G172" s="3" t="s">
        <v>5767</v>
      </c>
      <c r="H172" s="12" cm="1">
        <f t="array" ref="H172">_xlfn.IFS(I172&lt;197,I172*1.26,I172&gt;197,I172*1.17) + IF(I172&gt;1000,17,0)</f>
        <v>3100.9842799999992</v>
      </c>
      <c r="I172" s="10">
        <f>($K$2+0.02)*Tabla1[[#This Row],[PRECIO $]]*1.18</f>
        <v>2635.8839999999996</v>
      </c>
      <c r="J172" s="7">
        <f>+Tabla1[[#This Row],[PRECIO EN SOLES]]-Tabla1[[#This Row],[PC]]</f>
        <v>465.10027999999966</v>
      </c>
    </row>
    <row r="173" spans="1:10" x14ac:dyDescent="0.25">
      <c r="A173" s="3" t="s">
        <v>1152</v>
      </c>
      <c r="B173" s="3" t="s">
        <v>1153</v>
      </c>
      <c r="C173" s="1">
        <v>20</v>
      </c>
      <c r="D173" s="1">
        <v>659</v>
      </c>
      <c r="E173" s="1" t="s">
        <v>74</v>
      </c>
      <c r="F173" s="1" t="s">
        <v>4114</v>
      </c>
      <c r="G173" s="3" t="s">
        <v>1154</v>
      </c>
      <c r="H173" s="12" cm="1">
        <f t="array" ref="H173">_xlfn.IFS(I173&lt;197,I173*1.26,I173&gt;197,I173*1.17) + IF(I173&gt;1000,17,0)</f>
        <v>3110.3723599999998</v>
      </c>
      <c r="I173" s="10">
        <f>($K$2+0.02)*Tabla1[[#This Row],[PRECIO $]]*1.18</f>
        <v>2643.9079999999999</v>
      </c>
      <c r="J173" s="7">
        <f>+Tabla1[[#This Row],[PRECIO EN SOLES]]-Tabla1[[#This Row],[PC]]</f>
        <v>466.46435999999994</v>
      </c>
    </row>
    <row r="174" spans="1:10" x14ac:dyDescent="0.25">
      <c r="A174" s="3" t="s">
        <v>5530</v>
      </c>
      <c r="B174" s="3" t="s">
        <v>5531</v>
      </c>
      <c r="C174" s="1">
        <v>20</v>
      </c>
      <c r="D174" s="1">
        <v>575</v>
      </c>
      <c r="E174" s="1" t="s">
        <v>74</v>
      </c>
      <c r="F174" s="1" t="s">
        <v>5532</v>
      </c>
      <c r="G174" s="3" t="s">
        <v>5533</v>
      </c>
      <c r="H174" s="12" cm="1">
        <f t="array" ref="H174">_xlfn.IFS(I174&lt;197,I174*1.26,I174&gt;197,I174*1.17) + IF(I174&gt;1000,17,0)</f>
        <v>2716.0729999999999</v>
      </c>
      <c r="I174" s="10">
        <f>($K$2+0.02)*Tabla1[[#This Row],[PRECIO $]]*1.18</f>
        <v>2306.9</v>
      </c>
      <c r="J174" s="7">
        <f>+Tabla1[[#This Row],[PRECIO EN SOLES]]-Tabla1[[#This Row],[PC]]</f>
        <v>409.17299999999977</v>
      </c>
    </row>
    <row r="175" spans="1:10" x14ac:dyDescent="0.25">
      <c r="A175" s="3" t="s">
        <v>5534</v>
      </c>
      <c r="B175" s="3" t="s">
        <v>5535</v>
      </c>
      <c r="C175" s="1">
        <v>20</v>
      </c>
      <c r="D175" s="1">
        <v>571</v>
      </c>
      <c r="E175" s="1" t="s">
        <v>74</v>
      </c>
      <c r="F175" s="1" t="s">
        <v>5536</v>
      </c>
      <c r="G175" s="3" t="s">
        <v>5533</v>
      </c>
      <c r="H175" s="12" cm="1">
        <f t="array" ref="H175">_xlfn.IFS(I175&lt;197,I175*1.26,I175&gt;197,I175*1.17) + IF(I175&gt;1000,17,0)</f>
        <v>2697.2968399999995</v>
      </c>
      <c r="I175" s="10">
        <f>($K$2+0.02)*Tabla1[[#This Row],[PRECIO $]]*1.18</f>
        <v>2290.8519999999999</v>
      </c>
      <c r="J175" s="7">
        <f>+Tabla1[[#This Row],[PRECIO EN SOLES]]-Tabla1[[#This Row],[PC]]</f>
        <v>406.44483999999966</v>
      </c>
    </row>
    <row r="176" spans="1:10" x14ac:dyDescent="0.25">
      <c r="A176" s="3" t="s">
        <v>1155</v>
      </c>
      <c r="B176" s="3" t="s">
        <v>1156</v>
      </c>
      <c r="C176" s="1">
        <v>20</v>
      </c>
      <c r="D176" s="1">
        <v>894</v>
      </c>
      <c r="E176" s="1" t="s">
        <v>1002</v>
      </c>
      <c r="F176" s="1" t="s">
        <v>4115</v>
      </c>
      <c r="G176" s="3" t="s">
        <v>1157</v>
      </c>
      <c r="H176" s="12" cm="1">
        <f t="array" ref="H176">_xlfn.IFS(I176&lt;197,I176*1.26,I176&gt;197,I176*1.17) + IF(I176&gt;1000,17,0)</f>
        <v>4213.4717599999994</v>
      </c>
      <c r="I176" s="10">
        <f>($K$2+0.02)*Tabla1[[#This Row],[PRECIO $]]*1.18</f>
        <v>3586.7279999999996</v>
      </c>
      <c r="J176" s="7">
        <f>+Tabla1[[#This Row],[PRECIO EN SOLES]]-Tabla1[[#This Row],[PC]]</f>
        <v>626.74375999999984</v>
      </c>
    </row>
    <row r="177" spans="1:10" x14ac:dyDescent="0.25">
      <c r="A177" s="3" t="s">
        <v>1158</v>
      </c>
      <c r="B177" s="3" t="s">
        <v>1159</v>
      </c>
      <c r="C177" s="1">
        <v>20</v>
      </c>
      <c r="D177" s="1">
        <v>730</v>
      </c>
      <c r="E177" s="1" t="s">
        <v>74</v>
      </c>
      <c r="F177" s="1" t="s">
        <v>4116</v>
      </c>
      <c r="G177" s="3" t="s">
        <v>1160</v>
      </c>
      <c r="H177" s="12" cm="1">
        <f t="array" ref="H177">_xlfn.IFS(I177&lt;197,I177*1.26,I177&gt;197,I177*1.17) + IF(I177&gt;1000,17,0)</f>
        <v>3443.6491999999994</v>
      </c>
      <c r="I177" s="10">
        <f>($K$2+0.02)*Tabla1[[#This Row],[PRECIO $]]*1.18</f>
        <v>2928.7599999999998</v>
      </c>
      <c r="J177" s="7">
        <f>+Tabla1[[#This Row],[PRECIO EN SOLES]]-Tabla1[[#This Row],[PC]]</f>
        <v>514.88919999999962</v>
      </c>
    </row>
    <row r="178" spans="1:10" x14ac:dyDescent="0.25">
      <c r="A178" s="3" t="s">
        <v>1161</v>
      </c>
      <c r="B178" s="3" t="s">
        <v>1162</v>
      </c>
      <c r="C178" s="1">
        <v>20</v>
      </c>
      <c r="D178" s="1">
        <v>651</v>
      </c>
      <c r="E178" s="1" t="s">
        <v>74</v>
      </c>
      <c r="F178" s="1" t="s">
        <v>4117</v>
      </c>
      <c r="G178" s="3" t="s">
        <v>1163</v>
      </c>
      <c r="H178" s="12" cm="1">
        <f t="array" ref="H178">_xlfn.IFS(I178&lt;197,I178*1.26,I178&gt;197,I178*1.17) + IF(I178&gt;1000,17,0)</f>
        <v>3072.8200399999996</v>
      </c>
      <c r="I178" s="10">
        <f>($K$2+0.02)*Tabla1[[#This Row],[PRECIO $]]*1.18</f>
        <v>2611.8119999999999</v>
      </c>
      <c r="J178" s="7">
        <f>+Tabla1[[#This Row],[PRECIO EN SOLES]]-Tabla1[[#This Row],[PC]]</f>
        <v>461.00803999999971</v>
      </c>
    </row>
    <row r="179" spans="1:10" x14ac:dyDescent="0.25">
      <c r="A179" s="3" t="s">
        <v>1164</v>
      </c>
      <c r="B179" s="3" t="s">
        <v>1165</v>
      </c>
      <c r="C179" s="1">
        <v>20</v>
      </c>
      <c r="D179" s="1">
        <v>772</v>
      </c>
      <c r="E179" s="1" t="s">
        <v>163</v>
      </c>
      <c r="F179" s="1" t="s">
        <v>4118</v>
      </c>
      <c r="G179" s="3" t="s">
        <v>1166</v>
      </c>
      <c r="H179" s="12" cm="1">
        <f t="array" ref="H179">_xlfn.IFS(I179&lt;197,I179*1.26,I179&gt;197,I179*1.17) + IF(I179&gt;1000,17,0)</f>
        <v>3640.7988799999994</v>
      </c>
      <c r="I179" s="10">
        <f>($K$2+0.02)*Tabla1[[#This Row],[PRECIO $]]*1.18</f>
        <v>3097.2639999999997</v>
      </c>
      <c r="J179" s="7">
        <f>+Tabla1[[#This Row],[PRECIO EN SOLES]]-Tabla1[[#This Row],[PC]]</f>
        <v>543.5348799999997</v>
      </c>
    </row>
    <row r="180" spans="1:10" x14ac:dyDescent="0.25">
      <c r="A180" s="3" t="s">
        <v>1167</v>
      </c>
      <c r="B180" s="3" t="s">
        <v>1168</v>
      </c>
      <c r="C180" s="1">
        <v>15</v>
      </c>
      <c r="D180" s="1">
        <v>608</v>
      </c>
      <c r="E180" s="1" t="s">
        <v>74</v>
      </c>
      <c r="F180" s="1" t="s">
        <v>4119</v>
      </c>
      <c r="G180" s="3" t="s">
        <v>1169</v>
      </c>
      <c r="H180" s="12" cm="1">
        <f t="array" ref="H180">_xlfn.IFS(I180&lt;197,I180*1.26,I180&gt;197,I180*1.17) + IF(I180&gt;1000,17,0)</f>
        <v>2870.9763199999998</v>
      </c>
      <c r="I180" s="10">
        <f>($K$2+0.02)*Tabla1[[#This Row],[PRECIO $]]*1.18</f>
        <v>2439.2959999999998</v>
      </c>
      <c r="J180" s="7">
        <f>+Tabla1[[#This Row],[PRECIO EN SOLES]]-Tabla1[[#This Row],[PC]]</f>
        <v>431.68031999999994</v>
      </c>
    </row>
    <row r="181" spans="1:10" x14ac:dyDescent="0.25">
      <c r="A181" s="3" t="s">
        <v>1170</v>
      </c>
      <c r="B181" s="3" t="s">
        <v>1171</v>
      </c>
      <c r="C181" s="1">
        <v>20</v>
      </c>
      <c r="D181" s="1">
        <v>587</v>
      </c>
      <c r="E181" s="1" t="s">
        <v>74</v>
      </c>
      <c r="F181" s="1" t="s">
        <v>4120</v>
      </c>
      <c r="G181" s="3" t="s">
        <v>1172</v>
      </c>
      <c r="H181" s="12" cm="1">
        <f t="array" ref="H181">_xlfn.IFS(I181&lt;197,I181*1.26,I181&gt;197,I181*1.17) + IF(I181&gt;1000,17,0)</f>
        <v>2772.4014799999995</v>
      </c>
      <c r="I181" s="10">
        <f>($K$2+0.02)*Tabla1[[#This Row],[PRECIO $]]*1.18</f>
        <v>2355.0439999999999</v>
      </c>
      <c r="J181" s="7">
        <f>+Tabla1[[#This Row],[PRECIO EN SOLES]]-Tabla1[[#This Row],[PC]]</f>
        <v>417.35747999999967</v>
      </c>
    </row>
    <row r="182" spans="1:10" x14ac:dyDescent="0.25">
      <c r="A182" s="3" t="s">
        <v>1173</v>
      </c>
      <c r="B182" s="3" t="s">
        <v>1174</v>
      </c>
      <c r="C182" s="1">
        <v>8</v>
      </c>
      <c r="D182" s="1">
        <v>887</v>
      </c>
      <c r="E182" s="1" t="s">
        <v>163</v>
      </c>
      <c r="F182" s="1" t="s">
        <v>4121</v>
      </c>
      <c r="G182" s="3" t="s">
        <v>1175</v>
      </c>
      <c r="H182" s="12" cm="1">
        <f t="array" ref="H182">_xlfn.IFS(I182&lt;197,I182*1.26,I182&gt;197,I182*1.17) + IF(I182&gt;1000,17,0)</f>
        <v>4180.6134799999991</v>
      </c>
      <c r="I182" s="10">
        <f>($K$2+0.02)*Tabla1[[#This Row],[PRECIO $]]*1.18</f>
        <v>3558.6439999999993</v>
      </c>
      <c r="J182" s="7">
        <f>+Tabla1[[#This Row],[PRECIO EN SOLES]]-Tabla1[[#This Row],[PC]]</f>
        <v>621.96947999999975</v>
      </c>
    </row>
    <row r="183" spans="1:10" x14ac:dyDescent="0.25">
      <c r="A183" s="3" t="s">
        <v>1176</v>
      </c>
      <c r="B183" s="3" t="s">
        <v>1177</v>
      </c>
      <c r="C183" s="1">
        <v>20</v>
      </c>
      <c r="D183" s="1">
        <v>597</v>
      </c>
      <c r="E183" s="1" t="s">
        <v>74</v>
      </c>
      <c r="F183" s="1" t="s">
        <v>4122</v>
      </c>
      <c r="G183" s="3" t="s">
        <v>1178</v>
      </c>
      <c r="H183" s="12" cm="1">
        <f t="array" ref="H183">_xlfn.IFS(I183&lt;197,I183*1.26,I183&gt;197,I183*1.17) + IF(I183&gt;1000,17,0)</f>
        <v>2819.3418799999995</v>
      </c>
      <c r="I183" s="10">
        <f>($K$2+0.02)*Tabla1[[#This Row],[PRECIO $]]*1.18</f>
        <v>2395.1639999999998</v>
      </c>
      <c r="J183" s="7">
        <f>+Tabla1[[#This Row],[PRECIO EN SOLES]]-Tabla1[[#This Row],[PC]]</f>
        <v>424.17787999999973</v>
      </c>
    </row>
    <row r="184" spans="1:10" x14ac:dyDescent="0.25">
      <c r="A184" s="3" t="s">
        <v>1179</v>
      </c>
      <c r="B184" s="3" t="s">
        <v>1180</v>
      </c>
      <c r="C184" s="1">
        <v>20</v>
      </c>
      <c r="D184" s="1">
        <v>677</v>
      </c>
      <c r="E184" s="1" t="s">
        <v>74</v>
      </c>
      <c r="F184" s="1" t="s">
        <v>4123</v>
      </c>
      <c r="G184" s="3" t="s">
        <v>1178</v>
      </c>
      <c r="H184" s="12" cm="1">
        <f t="array" ref="H184">_xlfn.IFS(I184&lt;197,I184*1.26,I184&gt;197,I184*1.17) + IF(I184&gt;1000,17,0)</f>
        <v>3194.8650799999991</v>
      </c>
      <c r="I184" s="10">
        <f>($K$2+0.02)*Tabla1[[#This Row],[PRECIO $]]*1.18</f>
        <v>2716.1239999999993</v>
      </c>
      <c r="J184" s="7">
        <f>+Tabla1[[#This Row],[PRECIO EN SOLES]]-Tabla1[[#This Row],[PC]]</f>
        <v>478.74107999999978</v>
      </c>
    </row>
    <row r="185" spans="1:10" x14ac:dyDescent="0.25">
      <c r="A185" s="3" t="s">
        <v>1181</v>
      </c>
      <c r="B185" s="3" t="s">
        <v>1182</v>
      </c>
      <c r="C185" s="1">
        <v>20</v>
      </c>
      <c r="D185" s="1">
        <v>965</v>
      </c>
      <c r="E185" s="1" t="s">
        <v>163</v>
      </c>
      <c r="F185" s="1" t="s">
        <v>4124</v>
      </c>
      <c r="G185" s="3" t="s">
        <v>1183</v>
      </c>
      <c r="H185" s="12" cm="1">
        <f t="array" ref="H185">_xlfn.IFS(I185&lt;197,I185*1.26,I185&gt;197,I185*1.17) + IF(I185&gt;1000,17,0)</f>
        <v>4546.7485999999999</v>
      </c>
      <c r="I185" s="10">
        <f>($K$2+0.02)*Tabla1[[#This Row],[PRECIO $]]*1.18</f>
        <v>3871.58</v>
      </c>
      <c r="J185" s="7">
        <f>+Tabla1[[#This Row],[PRECIO EN SOLES]]-Tabla1[[#This Row],[PC]]</f>
        <v>675.16859999999997</v>
      </c>
    </row>
    <row r="186" spans="1:10" x14ac:dyDescent="0.25">
      <c r="A186" s="3" t="s">
        <v>1184</v>
      </c>
      <c r="B186" s="3" t="s">
        <v>1185</v>
      </c>
      <c r="C186" s="1">
        <v>10</v>
      </c>
      <c r="D186" s="1">
        <v>1520</v>
      </c>
      <c r="E186" s="1" t="s">
        <v>163</v>
      </c>
      <c r="F186" s="1" t="s">
        <v>4125</v>
      </c>
      <c r="G186" s="3" t="s">
        <v>1186</v>
      </c>
      <c r="H186" s="12" cm="1">
        <f t="array" ref="H186">_xlfn.IFS(I186&lt;197,I186*1.26,I186&gt;197,I186*1.17) + IF(I186&gt;1000,17,0)</f>
        <v>7151.9407999999994</v>
      </c>
      <c r="I186" s="10">
        <f>($K$2+0.02)*Tabla1[[#This Row],[PRECIO $]]*1.18</f>
        <v>6098.24</v>
      </c>
      <c r="J186" s="7">
        <f>+Tabla1[[#This Row],[PRECIO EN SOLES]]-Tabla1[[#This Row],[PC]]</f>
        <v>1053.7007999999996</v>
      </c>
    </row>
    <row r="187" spans="1:10" x14ac:dyDescent="0.25">
      <c r="A187" s="3" t="s">
        <v>3927</v>
      </c>
      <c r="B187" s="3" t="s">
        <v>3928</v>
      </c>
      <c r="C187" s="1">
        <v>1</v>
      </c>
      <c r="D187" s="1">
        <v>327</v>
      </c>
      <c r="E187" s="1" t="s">
        <v>54</v>
      </c>
      <c r="F187" s="1" t="s">
        <v>4126</v>
      </c>
      <c r="G187" s="3" t="s">
        <v>3929</v>
      </c>
      <c r="H187" s="12" cm="1">
        <f t="array" ref="H187">_xlfn.IFS(I187&lt;197,I187*1.26,I187&gt;197,I187*1.17) + IF(I187&gt;1000,17,0)</f>
        <v>1551.9510799999998</v>
      </c>
      <c r="I187" s="10">
        <f>($K$2+0.02)*Tabla1[[#This Row],[PRECIO $]]*1.18</f>
        <v>1311.924</v>
      </c>
      <c r="J187" s="7">
        <f>+Tabla1[[#This Row],[PRECIO EN SOLES]]-Tabla1[[#This Row],[PC]]</f>
        <v>240.02707999999984</v>
      </c>
    </row>
    <row r="188" spans="1:10" x14ac:dyDescent="0.25">
      <c r="A188" s="3" t="s">
        <v>4127</v>
      </c>
      <c r="B188" s="3" t="s">
        <v>4128</v>
      </c>
      <c r="C188" s="1">
        <v>3</v>
      </c>
      <c r="D188" s="1">
        <v>537</v>
      </c>
      <c r="E188" s="1" t="s">
        <v>54</v>
      </c>
      <c r="F188" s="1" t="s">
        <v>4129</v>
      </c>
      <c r="G188" s="3" t="s">
        <v>5439</v>
      </c>
      <c r="H188" s="12" cm="1">
        <f t="array" ref="H188">_xlfn.IFS(I188&lt;197,I188*1.26,I188&gt;197,I188*1.17) + IF(I188&gt;1000,17,0)</f>
        <v>2537.6994799999998</v>
      </c>
      <c r="I188" s="10">
        <f>($K$2+0.02)*Tabla1[[#This Row],[PRECIO $]]*1.18</f>
        <v>2154.444</v>
      </c>
      <c r="J188" s="7">
        <f>+Tabla1[[#This Row],[PRECIO EN SOLES]]-Tabla1[[#This Row],[PC]]</f>
        <v>383.25547999999981</v>
      </c>
    </row>
    <row r="189" spans="1:10" x14ac:dyDescent="0.25">
      <c r="A189" s="3" t="s">
        <v>1187</v>
      </c>
      <c r="B189" s="3" t="s">
        <v>1188</v>
      </c>
      <c r="C189" s="1">
        <v>20</v>
      </c>
      <c r="D189" s="1">
        <v>897</v>
      </c>
      <c r="E189" s="1" t="s">
        <v>56</v>
      </c>
      <c r="F189" s="1" t="s">
        <v>4130</v>
      </c>
      <c r="G189" s="3" t="s">
        <v>1189</v>
      </c>
      <c r="H189" s="12" cm="1">
        <f t="array" ref="H189">_xlfn.IFS(I189&lt;197,I189*1.26,I189&gt;197,I189*1.17) + IF(I189&gt;1000,17,0)</f>
        <v>4227.5538799999995</v>
      </c>
      <c r="I189" s="10">
        <f>($K$2+0.02)*Tabla1[[#This Row],[PRECIO $]]*1.18</f>
        <v>3598.7639999999997</v>
      </c>
      <c r="J189" s="7">
        <f>+Tabla1[[#This Row],[PRECIO EN SOLES]]-Tabla1[[#This Row],[PC]]</f>
        <v>628.78987999999981</v>
      </c>
    </row>
    <row r="190" spans="1:10" x14ac:dyDescent="0.25">
      <c r="A190" s="3" t="s">
        <v>3930</v>
      </c>
      <c r="B190" s="3" t="s">
        <v>3931</v>
      </c>
      <c r="C190" s="1">
        <v>2</v>
      </c>
      <c r="D190" s="1">
        <v>478</v>
      </c>
      <c r="E190" s="1" t="s">
        <v>54</v>
      </c>
      <c r="F190" s="1" t="s">
        <v>4131</v>
      </c>
      <c r="G190" s="3" t="s">
        <v>3932</v>
      </c>
      <c r="H190" s="12" cm="1">
        <f t="array" ref="H190">_xlfn.IFS(I190&lt;197,I190*1.26,I190&gt;197,I190*1.17) + IF(I190&gt;1000,17,0)</f>
        <v>2260.7511199999999</v>
      </c>
      <c r="I190" s="10">
        <f>($K$2+0.02)*Tabla1[[#This Row],[PRECIO $]]*1.18</f>
        <v>1917.7359999999999</v>
      </c>
      <c r="J190" s="7">
        <f>+Tabla1[[#This Row],[PRECIO EN SOLES]]-Tabla1[[#This Row],[PC]]</f>
        <v>343.01512000000002</v>
      </c>
    </row>
    <row r="191" spans="1:10" x14ac:dyDescent="0.25">
      <c r="A191" s="3" t="s">
        <v>1190</v>
      </c>
      <c r="B191" s="3" t="s">
        <v>1191</v>
      </c>
      <c r="C191" s="1">
        <v>20</v>
      </c>
      <c r="D191" s="1">
        <v>997</v>
      </c>
      <c r="E191" s="1" t="s">
        <v>56</v>
      </c>
      <c r="F191" s="1" t="s">
        <v>4132</v>
      </c>
      <c r="G191" s="3" t="s">
        <v>1192</v>
      </c>
      <c r="H191" s="12" cm="1">
        <f t="array" ref="H191">_xlfn.IFS(I191&lt;197,I191*1.26,I191&gt;197,I191*1.17) + IF(I191&gt;1000,17,0)</f>
        <v>4696.957879999999</v>
      </c>
      <c r="I191" s="10">
        <f>($K$2+0.02)*Tabla1[[#This Row],[PRECIO $]]*1.18</f>
        <v>3999.9639999999995</v>
      </c>
      <c r="J191" s="7">
        <f>+Tabla1[[#This Row],[PRECIO EN SOLES]]-Tabla1[[#This Row],[PC]]</f>
        <v>696.99387999999954</v>
      </c>
    </row>
    <row r="192" spans="1:10" x14ac:dyDescent="0.25">
      <c r="A192" s="3" t="s">
        <v>6141</v>
      </c>
      <c r="B192" s="3" t="s">
        <v>6142</v>
      </c>
      <c r="C192" s="1">
        <v>0</v>
      </c>
      <c r="D192" s="1">
        <v>597</v>
      </c>
      <c r="E192" s="1" t="s">
        <v>54</v>
      </c>
      <c r="F192" s="1" t="s">
        <v>6143</v>
      </c>
      <c r="G192" s="3"/>
      <c r="H192" s="12" cm="1">
        <f t="array" ref="H192">_xlfn.IFS(I192&lt;197,I192*1.26,I192&gt;197,I192*1.17) + IF(I192&gt;1000,17,0)</f>
        <v>2819.3418799999995</v>
      </c>
      <c r="I192" s="10">
        <f>($K$2+0.02)*Tabla1[[#This Row],[PRECIO $]]*1.18</f>
        <v>2395.1639999999998</v>
      </c>
      <c r="J192" s="7">
        <f>+Tabla1[[#This Row],[PRECIO EN SOLES]]-Tabla1[[#This Row],[PC]]</f>
        <v>424.17787999999973</v>
      </c>
    </row>
    <row r="193" spans="1:10" x14ac:dyDescent="0.25">
      <c r="A193" s="3" t="s">
        <v>1195</v>
      </c>
      <c r="B193" s="3" t="s">
        <v>162</v>
      </c>
      <c r="C193" s="1">
        <v>20</v>
      </c>
      <c r="D193" s="1">
        <v>295</v>
      </c>
      <c r="E193" s="1" t="s">
        <v>1002</v>
      </c>
      <c r="F193" s="1" t="s">
        <v>4133</v>
      </c>
      <c r="G193" s="3" t="s">
        <v>1196</v>
      </c>
      <c r="H193" s="12" cm="1">
        <f t="array" ref="H193">_xlfn.IFS(I193&lt;197,I193*1.26,I193&gt;197,I193*1.17) + IF(I193&gt;1000,17,0)</f>
        <v>1401.7417999999998</v>
      </c>
      <c r="I193" s="10">
        <f>($K$2+0.02)*Tabla1[[#This Row],[PRECIO $]]*1.18</f>
        <v>1183.54</v>
      </c>
      <c r="J193" s="7">
        <f>+Tabla1[[#This Row],[PRECIO EN SOLES]]-Tabla1[[#This Row],[PC]]</f>
        <v>218.20179999999982</v>
      </c>
    </row>
    <row r="194" spans="1:10" x14ac:dyDescent="0.25">
      <c r="A194" s="3" t="s">
        <v>3590</v>
      </c>
      <c r="B194" s="3" t="s">
        <v>3591</v>
      </c>
      <c r="C194" s="1">
        <v>0</v>
      </c>
      <c r="D194" s="1">
        <v>348</v>
      </c>
      <c r="E194" s="1" t="s">
        <v>54</v>
      </c>
      <c r="F194" s="1" t="s">
        <v>4134</v>
      </c>
      <c r="G194" s="3" t="s">
        <v>3592</v>
      </c>
      <c r="H194" s="12" cm="1">
        <f t="array" ref="H194">_xlfn.IFS(I194&lt;197,I194*1.26,I194&gt;197,I194*1.17) + IF(I194&gt;1000,17,0)</f>
        <v>1650.5259199999998</v>
      </c>
      <c r="I194" s="10">
        <f>($K$2+0.02)*Tabla1[[#This Row],[PRECIO $]]*1.18</f>
        <v>1396.1759999999999</v>
      </c>
      <c r="J194" s="7">
        <f>+Tabla1[[#This Row],[PRECIO EN SOLES]]-Tabla1[[#This Row],[PC]]</f>
        <v>254.34991999999988</v>
      </c>
    </row>
    <row r="195" spans="1:10" x14ac:dyDescent="0.25">
      <c r="A195" s="3" t="s">
        <v>1197</v>
      </c>
      <c r="B195" s="3" t="s">
        <v>1198</v>
      </c>
      <c r="C195" s="1">
        <v>20</v>
      </c>
      <c r="D195" s="1">
        <v>685</v>
      </c>
      <c r="E195" s="1" t="s">
        <v>56</v>
      </c>
      <c r="F195" s="1" t="s">
        <v>4135</v>
      </c>
      <c r="G195" s="3" t="s">
        <v>1199</v>
      </c>
      <c r="H195" s="12" cm="1">
        <f t="array" ref="H195">_xlfn.IFS(I195&lt;197,I195*1.26,I195&gt;197,I195*1.17) + IF(I195&gt;1000,17,0)</f>
        <v>3232.4173999999994</v>
      </c>
      <c r="I195" s="10">
        <f>($K$2+0.02)*Tabla1[[#This Row],[PRECIO $]]*1.18</f>
        <v>2748.22</v>
      </c>
      <c r="J195" s="7">
        <f>+Tabla1[[#This Row],[PRECIO EN SOLES]]-Tabla1[[#This Row],[PC]]</f>
        <v>484.19739999999956</v>
      </c>
    </row>
    <row r="196" spans="1:10" x14ac:dyDescent="0.25">
      <c r="A196" s="3" t="s">
        <v>164</v>
      </c>
      <c r="B196" s="3" t="s">
        <v>165</v>
      </c>
      <c r="C196" s="1">
        <v>20</v>
      </c>
      <c r="D196" s="1">
        <v>810</v>
      </c>
      <c r="E196" s="1" t="s">
        <v>56</v>
      </c>
      <c r="F196" s="1" t="s">
        <v>4136</v>
      </c>
      <c r="G196" s="3" t="s">
        <v>166</v>
      </c>
      <c r="H196" s="12" cm="1">
        <f t="array" ref="H196">_xlfn.IFS(I196&lt;197,I196*1.26,I196&gt;197,I196*1.17) + IF(I196&gt;1000,17,0)</f>
        <v>3819.1723999999995</v>
      </c>
      <c r="I196" s="10">
        <f>($K$2+0.02)*Tabla1[[#This Row],[PRECIO $]]*1.18</f>
        <v>3249.72</v>
      </c>
      <c r="J196" s="7">
        <f>+Tabla1[[#This Row],[PRECIO EN SOLES]]-Tabla1[[#This Row],[PC]]</f>
        <v>569.45239999999967</v>
      </c>
    </row>
    <row r="197" spans="1:10" x14ac:dyDescent="0.25">
      <c r="A197" s="3" t="s">
        <v>1200</v>
      </c>
      <c r="B197" s="3" t="s">
        <v>1201</v>
      </c>
      <c r="C197" s="1">
        <v>0</v>
      </c>
      <c r="D197" s="1">
        <v>483</v>
      </c>
      <c r="E197" s="1" t="s">
        <v>1002</v>
      </c>
      <c r="F197" s="1" t="s">
        <v>4137</v>
      </c>
      <c r="G197" s="3" t="s">
        <v>1202</v>
      </c>
      <c r="H197" s="12" cm="1">
        <f t="array" ref="H197">_xlfn.IFS(I197&lt;197,I197*1.26,I197&gt;197,I197*1.17) + IF(I197&gt;1000,17,0)</f>
        <v>2284.2213200000001</v>
      </c>
      <c r="I197" s="10">
        <f>($K$2+0.02)*Tabla1[[#This Row],[PRECIO $]]*1.18</f>
        <v>1937.796</v>
      </c>
      <c r="J197" s="7">
        <f>+Tabla1[[#This Row],[PRECIO EN SOLES]]-Tabla1[[#This Row],[PC]]</f>
        <v>346.42532000000006</v>
      </c>
    </row>
    <row r="198" spans="1:10" x14ac:dyDescent="0.25">
      <c r="A198" s="3" t="s">
        <v>1203</v>
      </c>
      <c r="B198" s="3" t="s">
        <v>1204</v>
      </c>
      <c r="C198" s="1">
        <v>0</v>
      </c>
      <c r="D198" s="1">
        <v>737</v>
      </c>
      <c r="E198" s="1" t="s">
        <v>54</v>
      </c>
      <c r="F198" s="1" t="s">
        <v>4138</v>
      </c>
      <c r="G198" s="3" t="s">
        <v>3593</v>
      </c>
      <c r="H198" s="12" cm="1">
        <f t="array" ref="H198">_xlfn.IFS(I198&lt;197,I198*1.26,I198&gt;197,I198*1.17) + IF(I198&gt;1000,17,0)</f>
        <v>3476.5074799999993</v>
      </c>
      <c r="I198" s="10">
        <f>($K$2+0.02)*Tabla1[[#This Row],[PRECIO $]]*1.18</f>
        <v>2956.8439999999996</v>
      </c>
      <c r="J198" s="7">
        <f>+Tabla1[[#This Row],[PRECIO EN SOLES]]-Tabla1[[#This Row],[PC]]</f>
        <v>519.66347999999971</v>
      </c>
    </row>
    <row r="199" spans="1:10" x14ac:dyDescent="0.25">
      <c r="A199" s="3" t="s">
        <v>3933</v>
      </c>
      <c r="B199" s="3" t="s">
        <v>3934</v>
      </c>
      <c r="C199" s="1">
        <v>1</v>
      </c>
      <c r="D199" s="1">
        <v>1098</v>
      </c>
      <c r="E199" s="1" t="s">
        <v>54</v>
      </c>
      <c r="F199" s="1" t="s">
        <v>4139</v>
      </c>
      <c r="G199" s="3" t="s">
        <v>4140</v>
      </c>
      <c r="H199" s="12" cm="1">
        <f t="array" ref="H199">_xlfn.IFS(I199&lt;197,I199*1.26,I199&gt;197,I199*1.17) + IF(I199&gt;1000,17,0)</f>
        <v>5171.0559199999989</v>
      </c>
      <c r="I199" s="10">
        <f>($K$2+0.02)*Tabla1[[#This Row],[PRECIO $]]*1.18</f>
        <v>4405.1759999999995</v>
      </c>
      <c r="J199" s="7">
        <f>+Tabla1[[#This Row],[PRECIO EN SOLES]]-Tabla1[[#This Row],[PC]]</f>
        <v>765.8799199999994</v>
      </c>
    </row>
    <row r="200" spans="1:10" x14ac:dyDescent="0.25">
      <c r="A200" s="3" t="s">
        <v>1205</v>
      </c>
      <c r="B200" s="3" t="s">
        <v>1206</v>
      </c>
      <c r="C200" s="1">
        <v>20</v>
      </c>
      <c r="D200" s="1">
        <v>1012</v>
      </c>
      <c r="E200" s="1" t="s">
        <v>1002</v>
      </c>
      <c r="F200" s="1" t="s">
        <v>4141</v>
      </c>
      <c r="G200" s="3" t="s">
        <v>1207</v>
      </c>
      <c r="H200" s="12" cm="1">
        <f t="array" ref="H200">_xlfn.IFS(I200&lt;197,I200*1.26,I200&gt;197,I200*1.17) + IF(I200&gt;1000,17,0)</f>
        <v>4767.3684799999992</v>
      </c>
      <c r="I200" s="10">
        <f>($K$2+0.02)*Tabla1[[#This Row],[PRECIO $]]*1.18</f>
        <v>4060.1439999999993</v>
      </c>
      <c r="J200" s="7">
        <f>+Tabla1[[#This Row],[PRECIO EN SOLES]]-Tabla1[[#This Row],[PC]]</f>
        <v>707.22447999999986</v>
      </c>
    </row>
    <row r="201" spans="1:10" x14ac:dyDescent="0.25">
      <c r="A201" s="3" t="s">
        <v>1208</v>
      </c>
      <c r="B201" s="3" t="s">
        <v>1209</v>
      </c>
      <c r="C201" s="1">
        <v>3</v>
      </c>
      <c r="D201" s="1">
        <v>819</v>
      </c>
      <c r="E201" s="1" t="s">
        <v>1002</v>
      </c>
      <c r="F201" s="1" t="s">
        <v>4142</v>
      </c>
      <c r="G201" s="3" t="s">
        <v>1210</v>
      </c>
      <c r="H201" s="12" cm="1">
        <f t="array" ref="H201">_xlfn.IFS(I201&lt;197,I201*1.26,I201&gt;197,I201*1.17) + IF(I201&gt;1000,17,0)</f>
        <v>3861.4187599999991</v>
      </c>
      <c r="I201" s="10">
        <f>($K$2+0.02)*Tabla1[[#This Row],[PRECIO $]]*1.18</f>
        <v>3285.8279999999995</v>
      </c>
      <c r="J201" s="7">
        <f>+Tabla1[[#This Row],[PRECIO EN SOLES]]-Tabla1[[#This Row],[PC]]</f>
        <v>575.59075999999959</v>
      </c>
    </row>
    <row r="202" spans="1:10" x14ac:dyDescent="0.25">
      <c r="A202" s="3" t="s">
        <v>1193</v>
      </c>
      <c r="B202" s="3" t="s">
        <v>1194</v>
      </c>
      <c r="C202" s="1">
        <v>12</v>
      </c>
      <c r="D202" s="1">
        <v>885</v>
      </c>
      <c r="E202" s="1" t="s">
        <v>52</v>
      </c>
      <c r="F202" s="1" t="s">
        <v>4143</v>
      </c>
      <c r="G202" s="3" t="s">
        <v>3935</v>
      </c>
      <c r="H202" s="12" cm="1">
        <f t="array" ref="H202">_xlfn.IFS(I202&lt;197,I202*1.26,I202&gt;197,I202*1.17) + IF(I202&gt;1000,17,0)</f>
        <v>4171.2253999999994</v>
      </c>
      <c r="I202" s="10">
        <f>($K$2+0.02)*Tabla1[[#This Row],[PRECIO $]]*1.18</f>
        <v>3550.62</v>
      </c>
      <c r="J202" s="7">
        <f>+Tabla1[[#This Row],[PRECIO EN SOLES]]-Tabla1[[#This Row],[PC]]</f>
        <v>620.60539999999946</v>
      </c>
    </row>
    <row r="203" spans="1:10" x14ac:dyDescent="0.25">
      <c r="A203" s="3" t="s">
        <v>5959</v>
      </c>
      <c r="B203" s="3" t="s">
        <v>5960</v>
      </c>
      <c r="C203" s="1">
        <v>20</v>
      </c>
      <c r="D203" s="1">
        <v>1080</v>
      </c>
      <c r="E203" s="1" t="s">
        <v>1112</v>
      </c>
      <c r="F203" s="1" t="s">
        <v>5961</v>
      </c>
      <c r="G203" s="3" t="s">
        <v>5962</v>
      </c>
      <c r="H203" s="12" cm="1">
        <f t="array" ref="H203">_xlfn.IFS(I203&lt;197,I203*1.26,I203&gt;197,I203*1.17) + IF(I203&gt;1000,17,0)</f>
        <v>5086.5631999999996</v>
      </c>
      <c r="I203" s="10">
        <f>($K$2+0.02)*Tabla1[[#This Row],[PRECIO $]]*1.18</f>
        <v>4332.96</v>
      </c>
      <c r="J203" s="7">
        <f>+Tabla1[[#This Row],[PRECIO EN SOLES]]-Tabla1[[#This Row],[PC]]</f>
        <v>753.60319999999956</v>
      </c>
    </row>
    <row r="204" spans="1:10" x14ac:dyDescent="0.25">
      <c r="A204" s="3" t="s">
        <v>6144</v>
      </c>
      <c r="B204" s="3" t="s">
        <v>6145</v>
      </c>
      <c r="C204" s="1">
        <v>13</v>
      </c>
      <c r="D204" s="1">
        <v>1115</v>
      </c>
      <c r="E204" s="1" t="s">
        <v>56</v>
      </c>
      <c r="F204" s="1" t="s">
        <v>6146</v>
      </c>
      <c r="G204" s="3"/>
      <c r="H204" s="12" cm="1">
        <f t="array" ref="H204">_xlfn.IFS(I204&lt;197,I204*1.26,I204&gt;197,I204*1.17) + IF(I204&gt;1000,17,0)</f>
        <v>5250.8545999999997</v>
      </c>
      <c r="I204" s="10">
        <f>($K$2+0.02)*Tabla1[[#This Row],[PRECIO $]]*1.18</f>
        <v>4473.38</v>
      </c>
      <c r="J204" s="7">
        <f>+Tabla1[[#This Row],[PRECIO EN SOLES]]-Tabla1[[#This Row],[PC]]</f>
        <v>777.47459999999955</v>
      </c>
    </row>
    <row r="205" spans="1:10" x14ac:dyDescent="0.25">
      <c r="A205" s="3" t="s">
        <v>1211</v>
      </c>
      <c r="B205" s="3" t="s">
        <v>1212</v>
      </c>
      <c r="C205" s="1">
        <v>20</v>
      </c>
      <c r="D205" s="1">
        <v>1085</v>
      </c>
      <c r="E205" s="1" t="s">
        <v>1002</v>
      </c>
      <c r="F205" s="1" t="s">
        <v>4144</v>
      </c>
      <c r="G205" s="3" t="s">
        <v>1213</v>
      </c>
      <c r="H205" s="12" cm="1">
        <f t="array" ref="H205">_xlfn.IFS(I205&lt;197,I205*1.26,I205&gt;197,I205*1.17) + IF(I205&gt;1000,17,0)</f>
        <v>5110.0333999999993</v>
      </c>
      <c r="I205" s="10">
        <f>($K$2+0.02)*Tabla1[[#This Row],[PRECIO $]]*1.18</f>
        <v>4353.0199999999995</v>
      </c>
      <c r="J205" s="7">
        <f>+Tabla1[[#This Row],[PRECIO EN SOLES]]-Tabla1[[#This Row],[PC]]</f>
        <v>757.01339999999982</v>
      </c>
    </row>
    <row r="206" spans="1:10" x14ac:dyDescent="0.25">
      <c r="A206" s="3" t="s">
        <v>1214</v>
      </c>
      <c r="B206" s="3" t="s">
        <v>1215</v>
      </c>
      <c r="C206" s="1">
        <v>4</v>
      </c>
      <c r="D206" s="1">
        <v>1750</v>
      </c>
      <c r="E206" s="1" t="s">
        <v>1112</v>
      </c>
      <c r="F206" s="1" t="s">
        <v>4145</v>
      </c>
      <c r="G206" s="3" t="s">
        <v>1216</v>
      </c>
      <c r="H206" s="12" cm="1">
        <f t="array" ref="H206">_xlfn.IFS(I206&lt;197,I206*1.26,I206&gt;197,I206*1.17) + IF(I206&gt;1000,17,0)</f>
        <v>8231.57</v>
      </c>
      <c r="I206" s="10">
        <f>($K$2+0.02)*Tabla1[[#This Row],[PRECIO $]]*1.18</f>
        <v>7021</v>
      </c>
      <c r="J206" s="7">
        <f>+Tabla1[[#This Row],[PRECIO EN SOLES]]-Tabla1[[#This Row],[PC]]</f>
        <v>1210.5699999999997</v>
      </c>
    </row>
    <row r="207" spans="1:10" x14ac:dyDescent="0.25">
      <c r="A207" s="3" t="s">
        <v>1217</v>
      </c>
      <c r="B207" s="3" t="s">
        <v>1218</v>
      </c>
      <c r="C207" s="1">
        <v>1</v>
      </c>
      <c r="D207" s="1">
        <v>2495</v>
      </c>
      <c r="E207" s="1" t="s">
        <v>56</v>
      </c>
      <c r="F207" s="1" t="s">
        <v>4146</v>
      </c>
      <c r="G207" s="3"/>
      <c r="H207" s="12" cm="1">
        <f t="array" ref="H207">_xlfn.IFS(I207&lt;197,I207*1.26,I207&gt;197,I207*1.17) + IF(I207&gt;1000,17,0)</f>
        <v>11728.629799999997</v>
      </c>
      <c r="I207" s="10">
        <f>($K$2+0.02)*Tabla1[[#This Row],[PRECIO $]]*1.18</f>
        <v>10009.939999999999</v>
      </c>
      <c r="J207" s="7">
        <f>+Tabla1[[#This Row],[PRECIO EN SOLES]]-Tabla1[[#This Row],[PC]]</f>
        <v>1718.6897999999983</v>
      </c>
    </row>
    <row r="208" spans="1:10" x14ac:dyDescent="0.25">
      <c r="A208" s="3" t="s">
        <v>1219</v>
      </c>
      <c r="B208" s="3" t="s">
        <v>1220</v>
      </c>
      <c r="C208" s="1">
        <v>1</v>
      </c>
      <c r="D208" s="1">
        <v>1624</v>
      </c>
      <c r="E208" s="1" t="s">
        <v>56</v>
      </c>
      <c r="F208" s="1" t="s">
        <v>4147</v>
      </c>
      <c r="G208" s="3" t="s">
        <v>1221</v>
      </c>
      <c r="H208" s="12" cm="1">
        <f t="array" ref="H208">_xlfn.IFS(I208&lt;197,I208*1.26,I208&gt;197,I208*1.17) + IF(I208&gt;1000,17,0)</f>
        <v>7640.1209599999984</v>
      </c>
      <c r="I208" s="10">
        <f>($K$2+0.02)*Tabla1[[#This Row],[PRECIO $]]*1.18</f>
        <v>6515.4879999999994</v>
      </c>
      <c r="J208" s="7">
        <f>+Tabla1[[#This Row],[PRECIO EN SOLES]]-Tabla1[[#This Row],[PC]]</f>
        <v>1124.632959999999</v>
      </c>
    </row>
    <row r="209" spans="1:10" x14ac:dyDescent="0.25">
      <c r="A209" s="3" t="s">
        <v>1222</v>
      </c>
      <c r="B209" s="3" t="s">
        <v>1220</v>
      </c>
      <c r="C209" s="1">
        <v>2</v>
      </c>
      <c r="D209" s="1">
        <v>1460</v>
      </c>
      <c r="E209" s="1" t="s">
        <v>56</v>
      </c>
      <c r="F209" s="1" t="s">
        <v>4148</v>
      </c>
      <c r="G209" s="3" t="s">
        <v>1221</v>
      </c>
      <c r="H209" s="12" cm="1">
        <f t="array" ref="H209">_xlfn.IFS(I209&lt;197,I209*1.26,I209&gt;197,I209*1.17) + IF(I209&gt;1000,17,0)</f>
        <v>6870.2983999999988</v>
      </c>
      <c r="I209" s="10">
        <f>($K$2+0.02)*Tabla1[[#This Row],[PRECIO $]]*1.18</f>
        <v>5857.5199999999995</v>
      </c>
      <c r="J209" s="7">
        <f>+Tabla1[[#This Row],[PRECIO EN SOLES]]-Tabla1[[#This Row],[PC]]</f>
        <v>1012.7783999999992</v>
      </c>
    </row>
    <row r="210" spans="1:10" x14ac:dyDescent="0.25">
      <c r="A210" s="3" t="s">
        <v>1223</v>
      </c>
      <c r="B210" s="3" t="s">
        <v>1224</v>
      </c>
      <c r="C210" s="1">
        <v>0</v>
      </c>
      <c r="D210" s="1">
        <v>1865</v>
      </c>
      <c r="E210" s="1" t="s">
        <v>1002</v>
      </c>
      <c r="F210" s="1" t="s">
        <v>4149</v>
      </c>
      <c r="G210" s="3"/>
      <c r="H210" s="12" cm="1">
        <f t="array" ref="H210">_xlfn.IFS(I210&lt;197,I210*1.26,I210&gt;197,I210*1.17) + IF(I210&gt;1000,17,0)</f>
        <v>8771.3845999999994</v>
      </c>
      <c r="I210" s="10">
        <f>($K$2+0.02)*Tabla1[[#This Row],[PRECIO $]]*1.18</f>
        <v>7482.3799999999992</v>
      </c>
      <c r="J210" s="7">
        <f>+Tabla1[[#This Row],[PRECIO EN SOLES]]-Tabla1[[#This Row],[PC]]</f>
        <v>1289.0046000000002</v>
      </c>
    </row>
    <row r="211" spans="1:10" x14ac:dyDescent="0.25">
      <c r="A211" s="3" t="s">
        <v>5768</v>
      </c>
      <c r="B211" s="3" t="s">
        <v>5769</v>
      </c>
      <c r="C211" s="1">
        <v>0</v>
      </c>
      <c r="D211" s="1">
        <v>277</v>
      </c>
      <c r="E211" s="1" t="s">
        <v>169</v>
      </c>
      <c r="F211" s="1" t="s">
        <v>5770</v>
      </c>
      <c r="G211" s="3" t="s">
        <v>5771</v>
      </c>
      <c r="H211" s="12" cm="1">
        <f t="array" ref="H211">_xlfn.IFS(I211&lt;197,I211*1.26,I211&gt;197,I211*1.17) + IF(I211&gt;1000,17,0)</f>
        <v>1317.2490799999998</v>
      </c>
      <c r="I211" s="10">
        <f>($K$2+0.02)*Tabla1[[#This Row],[PRECIO $]]*1.18</f>
        <v>1111.3239999999998</v>
      </c>
      <c r="J211" s="7">
        <f>+Tabla1[[#This Row],[PRECIO EN SOLES]]-Tabla1[[#This Row],[PC]]</f>
        <v>205.92507999999998</v>
      </c>
    </row>
    <row r="212" spans="1:10" x14ac:dyDescent="0.25">
      <c r="A212" s="3" t="s">
        <v>167</v>
      </c>
      <c r="B212" s="3" t="s">
        <v>168</v>
      </c>
      <c r="C212" s="1">
        <v>20</v>
      </c>
      <c r="D212" s="1">
        <v>126.5</v>
      </c>
      <c r="E212" s="1" t="s">
        <v>169</v>
      </c>
      <c r="F212" s="1" t="s">
        <v>4150</v>
      </c>
      <c r="G212" s="3" t="s">
        <v>170</v>
      </c>
      <c r="H212" s="12" cm="1">
        <f t="array" ref="H212">_xlfn.IFS(I212&lt;197,I212*1.26,I212&gt;197,I212*1.17) + IF(I212&gt;1000,17,0)</f>
        <v>593.7960599999999</v>
      </c>
      <c r="I212" s="10">
        <f>($K$2+0.02)*Tabla1[[#This Row],[PRECIO $]]*1.18</f>
        <v>507.51799999999992</v>
      </c>
      <c r="J212" s="7">
        <f>+Tabla1[[#This Row],[PRECIO EN SOLES]]-Tabla1[[#This Row],[PC]]</f>
        <v>86.278059999999982</v>
      </c>
    </row>
    <row r="213" spans="1:10" x14ac:dyDescent="0.25">
      <c r="A213" s="3" t="s">
        <v>1225</v>
      </c>
      <c r="B213" s="3" t="s">
        <v>168</v>
      </c>
      <c r="C213" s="1">
        <v>1</v>
      </c>
      <c r="D213" s="1">
        <v>121</v>
      </c>
      <c r="E213" s="1" t="s">
        <v>169</v>
      </c>
      <c r="F213" s="1" t="s">
        <v>4151</v>
      </c>
      <c r="G213" s="3"/>
      <c r="H213" s="12" cm="1">
        <f t="array" ref="H213">_xlfn.IFS(I213&lt;197,I213*1.26,I213&gt;197,I213*1.17) + IF(I213&gt;1000,17,0)</f>
        <v>567.97883999999988</v>
      </c>
      <c r="I213" s="10">
        <f>($K$2+0.02)*Tabla1[[#This Row],[PRECIO $]]*1.18</f>
        <v>485.45199999999994</v>
      </c>
      <c r="J213" s="7">
        <f>+Tabla1[[#This Row],[PRECIO EN SOLES]]-Tabla1[[#This Row],[PC]]</f>
        <v>82.526839999999936</v>
      </c>
    </row>
    <row r="214" spans="1:10" x14ac:dyDescent="0.25">
      <c r="A214" s="3" t="s">
        <v>1226</v>
      </c>
      <c r="B214" s="3" t="s">
        <v>1227</v>
      </c>
      <c r="C214" s="1">
        <v>20</v>
      </c>
      <c r="D214" s="1">
        <v>153</v>
      </c>
      <c r="E214" s="1" t="s">
        <v>169</v>
      </c>
      <c r="F214" s="1" t="s">
        <v>4152</v>
      </c>
      <c r="G214" s="3" t="s">
        <v>1228</v>
      </c>
      <c r="H214" s="12" cm="1">
        <f t="array" ref="H214">_xlfn.IFS(I214&lt;197,I214*1.26,I214&gt;197,I214*1.17) + IF(I214&gt;1000,17,0)</f>
        <v>718.1881199999998</v>
      </c>
      <c r="I214" s="10">
        <f>($K$2+0.02)*Tabla1[[#This Row],[PRECIO $]]*1.18</f>
        <v>613.8359999999999</v>
      </c>
      <c r="J214" s="7">
        <f>+Tabla1[[#This Row],[PRECIO EN SOLES]]-Tabla1[[#This Row],[PC]]</f>
        <v>104.3521199999999</v>
      </c>
    </row>
    <row r="215" spans="1:10" x14ac:dyDescent="0.25">
      <c r="A215" s="3" t="s">
        <v>5537</v>
      </c>
      <c r="B215" s="3" t="s">
        <v>5538</v>
      </c>
      <c r="C215" s="1">
        <v>11</v>
      </c>
      <c r="D215" s="1">
        <v>523</v>
      </c>
      <c r="E215" s="1" t="s">
        <v>169</v>
      </c>
      <c r="F215" s="1" t="s">
        <v>5539</v>
      </c>
      <c r="G215" s="3" t="s">
        <v>5540</v>
      </c>
      <c r="H215" s="12" cm="1">
        <f t="array" ref="H215">_xlfn.IFS(I215&lt;197,I215*1.26,I215&gt;197,I215*1.17) + IF(I215&gt;1000,17,0)</f>
        <v>2471.9829199999995</v>
      </c>
      <c r="I215" s="10">
        <f>($K$2+0.02)*Tabla1[[#This Row],[PRECIO $]]*1.18</f>
        <v>2098.2759999999998</v>
      </c>
      <c r="J215" s="7">
        <f>+Tabla1[[#This Row],[PRECIO EN SOLES]]-Tabla1[[#This Row],[PC]]</f>
        <v>373.70691999999963</v>
      </c>
    </row>
    <row r="216" spans="1:10" x14ac:dyDescent="0.25">
      <c r="A216" s="3" t="s">
        <v>754</v>
      </c>
      <c r="B216" s="3" t="s">
        <v>755</v>
      </c>
      <c r="C216" s="1">
        <v>20</v>
      </c>
      <c r="D216" s="1">
        <v>151.5</v>
      </c>
      <c r="E216" s="1" t="s">
        <v>169</v>
      </c>
      <c r="F216" s="1" t="s">
        <v>4153</v>
      </c>
      <c r="G216" s="3" t="s">
        <v>756</v>
      </c>
      <c r="H216" s="12" cm="1">
        <f t="array" ref="H216">_xlfn.IFS(I216&lt;197,I216*1.26,I216&gt;197,I216*1.17) + IF(I216&gt;1000,17,0)</f>
        <v>711.1470599999999</v>
      </c>
      <c r="I216" s="10">
        <f>($K$2+0.02)*Tabla1[[#This Row],[PRECIO $]]*1.18</f>
        <v>607.81799999999998</v>
      </c>
      <c r="J216" s="7">
        <f>+Tabla1[[#This Row],[PRECIO EN SOLES]]-Tabla1[[#This Row],[PC]]</f>
        <v>103.32905999999991</v>
      </c>
    </row>
    <row r="217" spans="1:10" x14ac:dyDescent="0.25">
      <c r="A217" s="3" t="s">
        <v>171</v>
      </c>
      <c r="B217" s="3" t="s">
        <v>172</v>
      </c>
      <c r="C217" s="1">
        <v>3</v>
      </c>
      <c r="D217" s="1">
        <v>171.3</v>
      </c>
      <c r="E217" s="1" t="s">
        <v>169</v>
      </c>
      <c r="F217" s="1" t="s">
        <v>4154</v>
      </c>
      <c r="G217" s="3" t="s">
        <v>173</v>
      </c>
      <c r="H217" s="12" cm="1">
        <f t="array" ref="H217">_xlfn.IFS(I217&lt;197,I217*1.26,I217&gt;197,I217*1.17) + IF(I217&gt;1000,17,0)</f>
        <v>804.08905200000004</v>
      </c>
      <c r="I217" s="10">
        <f>($K$2+0.02)*Tabla1[[#This Row],[PRECIO $]]*1.18</f>
        <v>687.25560000000007</v>
      </c>
      <c r="J217" s="7">
        <f>+Tabla1[[#This Row],[PRECIO EN SOLES]]-Tabla1[[#This Row],[PC]]</f>
        <v>116.83345199999997</v>
      </c>
    </row>
    <row r="218" spans="1:10" x14ac:dyDescent="0.25">
      <c r="A218" s="3" t="s">
        <v>174</v>
      </c>
      <c r="B218" s="3" t="s">
        <v>175</v>
      </c>
      <c r="C218" s="1">
        <v>20</v>
      </c>
      <c r="D218" s="1">
        <v>200</v>
      </c>
      <c r="E218" s="1" t="s">
        <v>169</v>
      </c>
      <c r="F218" s="1" t="s">
        <v>4155</v>
      </c>
      <c r="G218" s="3" t="s">
        <v>176</v>
      </c>
      <c r="H218" s="12" cm="1">
        <f t="array" ref="H218">_xlfn.IFS(I218&lt;197,I218*1.26,I218&gt;197,I218*1.17) + IF(I218&gt;1000,17,0)</f>
        <v>938.80799999999988</v>
      </c>
      <c r="I218" s="10">
        <f>($K$2+0.02)*Tabla1[[#This Row],[PRECIO $]]*1.18</f>
        <v>802.4</v>
      </c>
      <c r="J218" s="7">
        <f>+Tabla1[[#This Row],[PRECIO EN SOLES]]-Tabla1[[#This Row],[PC]]</f>
        <v>136.4079999999999</v>
      </c>
    </row>
    <row r="219" spans="1:10" x14ac:dyDescent="0.25">
      <c r="A219" s="3" t="s">
        <v>1229</v>
      </c>
      <c r="B219" s="3" t="s">
        <v>1230</v>
      </c>
      <c r="C219" s="1">
        <v>20</v>
      </c>
      <c r="D219" s="1">
        <v>226</v>
      </c>
      <c r="E219" s="1" t="s">
        <v>169</v>
      </c>
      <c r="F219" s="1" t="s">
        <v>4156</v>
      </c>
      <c r="G219" s="3" t="s">
        <v>1231</v>
      </c>
      <c r="H219" s="12" cm="1">
        <f t="array" ref="H219">_xlfn.IFS(I219&lt;197,I219*1.26,I219&gt;197,I219*1.17) + IF(I219&gt;1000,17,0)</f>
        <v>1060.8530399999997</v>
      </c>
      <c r="I219" s="10">
        <f>($K$2+0.02)*Tabla1[[#This Row],[PRECIO $]]*1.18</f>
        <v>906.71199999999988</v>
      </c>
      <c r="J219" s="7">
        <f>+Tabla1[[#This Row],[PRECIO EN SOLES]]-Tabla1[[#This Row],[PC]]</f>
        <v>154.14103999999986</v>
      </c>
    </row>
    <row r="220" spans="1:10" x14ac:dyDescent="0.25">
      <c r="A220" s="3" t="s">
        <v>5541</v>
      </c>
      <c r="B220" s="3" t="s">
        <v>5542</v>
      </c>
      <c r="C220" s="1">
        <v>20</v>
      </c>
      <c r="D220" s="1">
        <v>315.2</v>
      </c>
      <c r="E220" s="1" t="s">
        <v>169</v>
      </c>
      <c r="F220" s="1" t="s">
        <v>5543</v>
      </c>
      <c r="G220" s="3" t="s">
        <v>5544</v>
      </c>
      <c r="H220" s="12" cm="1">
        <f t="array" ref="H220">_xlfn.IFS(I220&lt;197,I220*1.26,I220&gt;197,I220*1.17) + IF(I220&gt;1000,17,0)</f>
        <v>1496.5614079999996</v>
      </c>
      <c r="I220" s="10">
        <f>($K$2+0.02)*Tabla1[[#This Row],[PRECIO $]]*1.18</f>
        <v>1264.5823999999998</v>
      </c>
      <c r="J220" s="7">
        <f>+Tabla1[[#This Row],[PRECIO EN SOLES]]-Tabla1[[#This Row],[PC]]</f>
        <v>231.97900799999979</v>
      </c>
    </row>
    <row r="221" spans="1:10" x14ac:dyDescent="0.25">
      <c r="A221" s="3" t="s">
        <v>5772</v>
      </c>
      <c r="B221" s="3" t="s">
        <v>5773</v>
      </c>
      <c r="C221" s="1">
        <v>10</v>
      </c>
      <c r="D221" s="1">
        <v>425</v>
      </c>
      <c r="E221" s="1" t="s">
        <v>169</v>
      </c>
      <c r="F221" s="1" t="s">
        <v>5774</v>
      </c>
      <c r="G221" s="3" t="s">
        <v>5775</v>
      </c>
      <c r="H221" s="12" cm="1">
        <f t="array" ref="H221">_xlfn.IFS(I221&lt;197,I221*1.26,I221&gt;197,I221*1.17) + IF(I221&gt;1000,17,0)</f>
        <v>2011.9669999999999</v>
      </c>
      <c r="I221" s="10">
        <f>($K$2+0.02)*Tabla1[[#This Row],[PRECIO $]]*1.18</f>
        <v>1705.1</v>
      </c>
      <c r="J221" s="7">
        <f>+Tabla1[[#This Row],[PRECIO EN SOLES]]-Tabla1[[#This Row],[PC]]</f>
        <v>306.86699999999996</v>
      </c>
    </row>
    <row r="222" spans="1:10" x14ac:dyDescent="0.25">
      <c r="A222" s="3" t="s">
        <v>5545</v>
      </c>
      <c r="B222" s="3" t="s">
        <v>5546</v>
      </c>
      <c r="C222" s="1">
        <v>20</v>
      </c>
      <c r="D222" s="1">
        <v>266</v>
      </c>
      <c r="E222" s="1" t="s">
        <v>169</v>
      </c>
      <c r="F222" s="1" t="s">
        <v>5547</v>
      </c>
      <c r="G222" s="3" t="s">
        <v>5548</v>
      </c>
      <c r="H222" s="12" cm="1">
        <f t="array" ref="H222">_xlfn.IFS(I222&lt;197,I222*1.26,I222&gt;197,I222*1.17) + IF(I222&gt;1000,17,0)</f>
        <v>1265.61464</v>
      </c>
      <c r="I222" s="10">
        <f>($K$2+0.02)*Tabla1[[#This Row],[PRECIO $]]*1.18</f>
        <v>1067.192</v>
      </c>
      <c r="J222" s="7">
        <f>+Tabla1[[#This Row],[PRECIO EN SOLES]]-Tabla1[[#This Row],[PC]]</f>
        <v>198.42264</v>
      </c>
    </row>
    <row r="223" spans="1:10" x14ac:dyDescent="0.25">
      <c r="A223" s="3" t="s">
        <v>177</v>
      </c>
      <c r="B223" s="3" t="s">
        <v>178</v>
      </c>
      <c r="C223" s="1">
        <v>20</v>
      </c>
      <c r="D223" s="1">
        <v>150</v>
      </c>
      <c r="E223" s="1" t="s">
        <v>163</v>
      </c>
      <c r="F223" s="1" t="s">
        <v>4157</v>
      </c>
      <c r="G223" s="3" t="s">
        <v>179</v>
      </c>
      <c r="H223" s="12" cm="1">
        <f t="array" ref="H223">_xlfn.IFS(I223&lt;197,I223*1.26,I223&gt;197,I223*1.17) + IF(I223&gt;1000,17,0)</f>
        <v>704.10599999999988</v>
      </c>
      <c r="I223" s="10">
        <f>($K$2+0.02)*Tabla1[[#This Row],[PRECIO $]]*1.18</f>
        <v>601.79999999999995</v>
      </c>
      <c r="J223" s="7">
        <f>+Tabla1[[#This Row],[PRECIO EN SOLES]]-Tabla1[[#This Row],[PC]]</f>
        <v>102.30599999999993</v>
      </c>
    </row>
    <row r="224" spans="1:10" x14ac:dyDescent="0.25">
      <c r="A224" s="3" t="s">
        <v>1232</v>
      </c>
      <c r="B224" s="3" t="s">
        <v>1233</v>
      </c>
      <c r="C224" s="1">
        <v>20</v>
      </c>
      <c r="D224" s="1">
        <v>150</v>
      </c>
      <c r="E224" s="1" t="s">
        <v>163</v>
      </c>
      <c r="F224" s="1" t="s">
        <v>4158</v>
      </c>
      <c r="G224" s="3"/>
      <c r="H224" s="12" cm="1">
        <f t="array" ref="H224">_xlfn.IFS(I224&lt;197,I224*1.26,I224&gt;197,I224*1.17) + IF(I224&gt;1000,17,0)</f>
        <v>704.10599999999988</v>
      </c>
      <c r="I224" s="10">
        <f>($K$2+0.02)*Tabla1[[#This Row],[PRECIO $]]*1.18</f>
        <v>601.79999999999995</v>
      </c>
      <c r="J224" s="7">
        <f>+Tabla1[[#This Row],[PRECIO EN SOLES]]-Tabla1[[#This Row],[PC]]</f>
        <v>102.30599999999993</v>
      </c>
    </row>
    <row r="225" spans="1:10" x14ac:dyDescent="0.25">
      <c r="A225" s="3" t="s">
        <v>180</v>
      </c>
      <c r="B225" s="3" t="s">
        <v>181</v>
      </c>
      <c r="C225" s="1">
        <v>2</v>
      </c>
      <c r="D225" s="1">
        <v>150</v>
      </c>
      <c r="E225" s="1" t="s">
        <v>163</v>
      </c>
      <c r="F225" s="1" t="s">
        <v>4159</v>
      </c>
      <c r="G225" s="3" t="s">
        <v>182</v>
      </c>
      <c r="H225" s="12" cm="1">
        <f t="array" ref="H225">_xlfn.IFS(I225&lt;197,I225*1.26,I225&gt;197,I225*1.17) + IF(I225&gt;1000,17,0)</f>
        <v>704.10599999999988</v>
      </c>
      <c r="I225" s="10">
        <f>($K$2+0.02)*Tabla1[[#This Row],[PRECIO $]]*1.18</f>
        <v>601.79999999999995</v>
      </c>
      <c r="J225" s="7">
        <f>+Tabla1[[#This Row],[PRECIO EN SOLES]]-Tabla1[[#This Row],[PC]]</f>
        <v>102.30599999999993</v>
      </c>
    </row>
    <row r="226" spans="1:10" x14ac:dyDescent="0.25">
      <c r="A226" s="3" t="s">
        <v>183</v>
      </c>
      <c r="B226" s="3" t="s">
        <v>184</v>
      </c>
      <c r="C226" s="1">
        <v>0</v>
      </c>
      <c r="D226" s="1">
        <v>30.3</v>
      </c>
      <c r="E226" s="1" t="s">
        <v>52</v>
      </c>
      <c r="F226" s="1" t="s">
        <v>4160</v>
      </c>
      <c r="G226" s="3" t="s">
        <v>185</v>
      </c>
      <c r="H226" s="12" cm="1">
        <f t="array" ref="H226">_xlfn.IFS(I226&lt;197,I226*1.26,I226&gt;197,I226*1.17) + IF(I226&gt;1000,17,0)</f>
        <v>153.17013599999999</v>
      </c>
      <c r="I226" s="10">
        <f>($K$2+0.02)*Tabla1[[#This Row],[PRECIO $]]*1.18</f>
        <v>121.56359999999999</v>
      </c>
      <c r="J226" s="7">
        <f>+Tabla1[[#This Row],[PRECIO EN SOLES]]-Tabla1[[#This Row],[PC]]</f>
        <v>31.606535999999991</v>
      </c>
    </row>
    <row r="227" spans="1:10" x14ac:dyDescent="0.25">
      <c r="A227" s="3" t="s">
        <v>3744</v>
      </c>
      <c r="B227" s="3" t="s">
        <v>3745</v>
      </c>
      <c r="C227" s="1">
        <v>20</v>
      </c>
      <c r="D227" s="1">
        <v>69.400000000000006</v>
      </c>
      <c r="E227" s="1" t="s">
        <v>122</v>
      </c>
      <c r="F227" s="1" t="s">
        <v>4161</v>
      </c>
      <c r="G227" s="3" t="s">
        <v>3746</v>
      </c>
      <c r="H227" s="12" cm="1">
        <f t="array" ref="H227">_xlfn.IFS(I227&lt;197,I227*1.26,I227&gt;197,I227*1.17) + IF(I227&gt;1000,17,0)</f>
        <v>325.76637599999998</v>
      </c>
      <c r="I227" s="10">
        <f>($K$2+0.02)*Tabla1[[#This Row],[PRECIO $]]*1.18</f>
        <v>278.43279999999999</v>
      </c>
      <c r="J227" s="7">
        <f>+Tabla1[[#This Row],[PRECIO EN SOLES]]-Tabla1[[#This Row],[PC]]</f>
        <v>47.333575999999994</v>
      </c>
    </row>
    <row r="228" spans="1:10" x14ac:dyDescent="0.25">
      <c r="A228" s="3" t="s">
        <v>1234</v>
      </c>
      <c r="B228" s="3" t="s">
        <v>1235</v>
      </c>
      <c r="C228" s="1">
        <v>20</v>
      </c>
      <c r="D228" s="1">
        <v>42.2</v>
      </c>
      <c r="E228" s="1" t="s">
        <v>52</v>
      </c>
      <c r="F228" s="1" t="s">
        <v>4162</v>
      </c>
      <c r="G228" s="3" t="s">
        <v>1236</v>
      </c>
      <c r="H228" s="12" cm="1">
        <f t="array" ref="H228">_xlfn.IFS(I228&lt;197,I228*1.26,I228&gt;197,I228*1.17) + IF(I228&gt;1000,17,0)</f>
        <v>213.32606400000003</v>
      </c>
      <c r="I228" s="10">
        <f>($K$2+0.02)*Tabla1[[#This Row],[PRECIO $]]*1.18</f>
        <v>169.30640000000002</v>
      </c>
      <c r="J228" s="7">
        <f>+Tabla1[[#This Row],[PRECIO EN SOLES]]-Tabla1[[#This Row],[PC]]</f>
        <v>44.019664000000006</v>
      </c>
    </row>
    <row r="229" spans="1:10" x14ac:dyDescent="0.25">
      <c r="A229" s="3" t="s">
        <v>6147</v>
      </c>
      <c r="B229" s="3" t="s">
        <v>6148</v>
      </c>
      <c r="C229" s="1">
        <v>20</v>
      </c>
      <c r="D229" s="1">
        <v>56.55</v>
      </c>
      <c r="E229" s="1" t="s">
        <v>256</v>
      </c>
      <c r="F229" s="1" t="s">
        <v>6149</v>
      </c>
      <c r="G229" s="3" t="s">
        <v>6150</v>
      </c>
      <c r="H229" s="12" cm="1">
        <f t="array" ref="H229">_xlfn.IFS(I229&lt;197,I229*1.26,I229&gt;197,I229*1.17) + IF(I229&gt;1000,17,0)</f>
        <v>265.44796199999996</v>
      </c>
      <c r="I229" s="10">
        <f>($K$2+0.02)*Tabla1[[#This Row],[PRECIO $]]*1.18</f>
        <v>226.87859999999998</v>
      </c>
      <c r="J229" s="7">
        <f>+Tabla1[[#This Row],[PRECIO EN SOLES]]-Tabla1[[#This Row],[PC]]</f>
        <v>38.569361999999984</v>
      </c>
    </row>
    <row r="230" spans="1:10" x14ac:dyDescent="0.25">
      <c r="A230" s="3" t="s">
        <v>3936</v>
      </c>
      <c r="B230" s="3" t="s">
        <v>3937</v>
      </c>
      <c r="C230" s="1">
        <v>20</v>
      </c>
      <c r="D230" s="1">
        <v>54</v>
      </c>
      <c r="E230" s="1" t="s">
        <v>3926</v>
      </c>
      <c r="F230" s="1" t="s">
        <v>4163</v>
      </c>
      <c r="G230" s="3"/>
      <c r="H230" s="12" cm="1">
        <f t="array" ref="H230">_xlfn.IFS(I230&lt;197,I230*1.26,I230&gt;197,I230*1.17) + IF(I230&gt;1000,17,0)</f>
        <v>253.47815999999995</v>
      </c>
      <c r="I230" s="10">
        <f>($K$2+0.02)*Tabla1[[#This Row],[PRECIO $]]*1.18</f>
        <v>216.64799999999997</v>
      </c>
      <c r="J230" s="7">
        <f>+Tabla1[[#This Row],[PRECIO EN SOLES]]-Tabla1[[#This Row],[PC]]</f>
        <v>36.830159999999978</v>
      </c>
    </row>
    <row r="231" spans="1:10" x14ac:dyDescent="0.25">
      <c r="A231" s="3" t="s">
        <v>3747</v>
      </c>
      <c r="B231" s="3" t="s">
        <v>3748</v>
      </c>
      <c r="C231" s="1">
        <v>20</v>
      </c>
      <c r="D231" s="1">
        <v>81.5</v>
      </c>
      <c r="E231" s="1" t="s">
        <v>122</v>
      </c>
      <c r="F231" s="1" t="s">
        <v>4164</v>
      </c>
      <c r="G231" s="3" t="s">
        <v>3749</v>
      </c>
      <c r="H231" s="12" cm="1">
        <f t="array" ref="H231">_xlfn.IFS(I231&lt;197,I231*1.26,I231&gt;197,I231*1.17) + IF(I231&gt;1000,17,0)</f>
        <v>382.56425999999993</v>
      </c>
      <c r="I231" s="10">
        <f>($K$2+0.02)*Tabla1[[#This Row],[PRECIO $]]*1.18</f>
        <v>326.97799999999995</v>
      </c>
      <c r="J231" s="7">
        <f>+Tabla1[[#This Row],[PRECIO EN SOLES]]-Tabla1[[#This Row],[PC]]</f>
        <v>55.586259999999982</v>
      </c>
    </row>
    <row r="232" spans="1:10" x14ac:dyDescent="0.25">
      <c r="A232" s="3" t="s">
        <v>3750</v>
      </c>
      <c r="B232" s="3" t="s">
        <v>3751</v>
      </c>
      <c r="C232" s="1">
        <v>5</v>
      </c>
      <c r="D232" s="1">
        <v>323.5</v>
      </c>
      <c r="E232" s="1" t="s">
        <v>122</v>
      </c>
      <c r="F232" s="1" t="s">
        <v>4165</v>
      </c>
      <c r="G232" s="3" t="s">
        <v>3752</v>
      </c>
      <c r="H232" s="12" cm="1">
        <f t="array" ref="H232">_xlfn.IFS(I232&lt;197,I232*1.26,I232&gt;197,I232*1.17) + IF(I232&gt;1000,17,0)</f>
        <v>1535.5219399999996</v>
      </c>
      <c r="I232" s="10">
        <f>($K$2+0.02)*Tabla1[[#This Row],[PRECIO $]]*1.18</f>
        <v>1297.8819999999998</v>
      </c>
      <c r="J232" s="7">
        <f>+Tabla1[[#This Row],[PRECIO EN SOLES]]-Tabla1[[#This Row],[PC]]</f>
        <v>237.6399399999998</v>
      </c>
    </row>
    <row r="233" spans="1:10" x14ac:dyDescent="0.25">
      <c r="A233" s="3" t="s">
        <v>3753</v>
      </c>
      <c r="B233" s="3" t="s">
        <v>3754</v>
      </c>
      <c r="C233" s="1">
        <v>13</v>
      </c>
      <c r="D233" s="1">
        <v>222.75</v>
      </c>
      <c r="E233" s="1" t="s">
        <v>122</v>
      </c>
      <c r="F233" s="1" t="s">
        <v>4166</v>
      </c>
      <c r="G233" s="3" t="s">
        <v>3755</v>
      </c>
      <c r="H233" s="12" cm="1">
        <f t="array" ref="H233">_xlfn.IFS(I233&lt;197,I233*1.26,I233&gt;197,I233*1.17) + IF(I233&gt;1000,17,0)</f>
        <v>1045.5974099999999</v>
      </c>
      <c r="I233" s="10">
        <f>($K$2+0.02)*Tabla1[[#This Row],[PRECIO $]]*1.18</f>
        <v>893.673</v>
      </c>
      <c r="J233" s="7">
        <f>+Tabla1[[#This Row],[PRECIO EN SOLES]]-Tabla1[[#This Row],[PC]]</f>
        <v>151.92440999999985</v>
      </c>
    </row>
    <row r="234" spans="1:10" x14ac:dyDescent="0.25">
      <c r="A234" s="3" t="s">
        <v>3756</v>
      </c>
      <c r="B234" s="3" t="s">
        <v>3757</v>
      </c>
      <c r="C234" s="1">
        <v>20</v>
      </c>
      <c r="D234" s="1">
        <v>134.80000000000001</v>
      </c>
      <c r="E234" s="1" t="s">
        <v>122</v>
      </c>
      <c r="F234" s="1" t="s">
        <v>4167</v>
      </c>
      <c r="G234" s="3" t="s">
        <v>3938</v>
      </c>
      <c r="H234" s="12" cm="1">
        <f t="array" ref="H234">_xlfn.IFS(I234&lt;197,I234*1.26,I234&gt;197,I234*1.17) + IF(I234&gt;1000,17,0)</f>
        <v>632.75659200000007</v>
      </c>
      <c r="I234" s="10">
        <f>($K$2+0.02)*Tabla1[[#This Row],[PRECIO $]]*1.18</f>
        <v>540.81760000000008</v>
      </c>
      <c r="J234" s="7">
        <f>+Tabla1[[#This Row],[PRECIO EN SOLES]]-Tabla1[[#This Row],[PC]]</f>
        <v>91.938991999999985</v>
      </c>
    </row>
    <row r="235" spans="1:10" x14ac:dyDescent="0.25">
      <c r="A235" s="3" t="s">
        <v>3939</v>
      </c>
      <c r="B235" s="3" t="s">
        <v>3940</v>
      </c>
      <c r="C235" s="1">
        <v>20</v>
      </c>
      <c r="D235" s="1">
        <v>78</v>
      </c>
      <c r="E235" s="1" t="s">
        <v>3926</v>
      </c>
      <c r="F235" s="1" t="s">
        <v>4168</v>
      </c>
      <c r="G235" s="3"/>
      <c r="H235" s="12" cm="1">
        <f t="array" ref="H235">_xlfn.IFS(I235&lt;197,I235*1.26,I235&gt;197,I235*1.17) + IF(I235&gt;1000,17,0)</f>
        <v>366.13511999999997</v>
      </c>
      <c r="I235" s="10">
        <f>($K$2+0.02)*Tabla1[[#This Row],[PRECIO $]]*1.18</f>
        <v>312.93599999999998</v>
      </c>
      <c r="J235" s="7">
        <f>+Tabla1[[#This Row],[PRECIO EN SOLES]]-Tabla1[[#This Row],[PC]]</f>
        <v>53.199119999999994</v>
      </c>
    </row>
    <row r="236" spans="1:10" x14ac:dyDescent="0.25">
      <c r="A236" s="3" t="s">
        <v>6151</v>
      </c>
      <c r="B236" s="3" t="s">
        <v>6152</v>
      </c>
      <c r="C236" s="1">
        <v>18</v>
      </c>
      <c r="D236" s="1">
        <v>63.85</v>
      </c>
      <c r="E236" s="1" t="s">
        <v>256</v>
      </c>
      <c r="F236" s="1" t="s">
        <v>6153</v>
      </c>
      <c r="G236" s="3" t="s">
        <v>6154</v>
      </c>
      <c r="H236" s="12" cm="1">
        <f t="array" ref="H236">_xlfn.IFS(I236&lt;197,I236*1.26,I236&gt;197,I236*1.17) + IF(I236&gt;1000,17,0)</f>
        <v>299.71445399999999</v>
      </c>
      <c r="I236" s="10">
        <f>($K$2+0.02)*Tabla1[[#This Row],[PRECIO $]]*1.18</f>
        <v>256.1662</v>
      </c>
      <c r="J236" s="7">
        <f>+Tabla1[[#This Row],[PRECIO EN SOLES]]-Tabla1[[#This Row],[PC]]</f>
        <v>43.548253999999986</v>
      </c>
    </row>
    <row r="237" spans="1:10" x14ac:dyDescent="0.25">
      <c r="A237" s="3" t="s">
        <v>6155</v>
      </c>
      <c r="B237" s="3" t="s">
        <v>6156</v>
      </c>
      <c r="C237" s="1">
        <v>20</v>
      </c>
      <c r="D237" s="1">
        <v>63.85</v>
      </c>
      <c r="E237" s="1" t="s">
        <v>256</v>
      </c>
      <c r="F237" s="1" t="s">
        <v>6157</v>
      </c>
      <c r="G237" s="3" t="s">
        <v>6158</v>
      </c>
      <c r="H237" s="12" cm="1">
        <f t="array" ref="H237">_xlfn.IFS(I237&lt;197,I237*1.26,I237&gt;197,I237*1.17) + IF(I237&gt;1000,17,0)</f>
        <v>299.71445399999999</v>
      </c>
      <c r="I237" s="10">
        <f>($K$2+0.02)*Tabla1[[#This Row],[PRECIO $]]*1.18</f>
        <v>256.1662</v>
      </c>
      <c r="J237" s="7">
        <f>+Tabla1[[#This Row],[PRECIO EN SOLES]]-Tabla1[[#This Row],[PC]]</f>
        <v>43.548253999999986</v>
      </c>
    </row>
    <row r="238" spans="1:10" x14ac:dyDescent="0.25">
      <c r="A238" s="3" t="s">
        <v>3758</v>
      </c>
      <c r="B238" s="3" t="s">
        <v>3759</v>
      </c>
      <c r="C238" s="1">
        <v>0</v>
      </c>
      <c r="D238" s="1">
        <v>73</v>
      </c>
      <c r="E238" s="1" t="s">
        <v>133</v>
      </c>
      <c r="F238" s="1" t="s">
        <v>4169</v>
      </c>
      <c r="G238" s="3" t="s">
        <v>3760</v>
      </c>
      <c r="H238" s="12" cm="1">
        <f t="array" ref="H238">_xlfn.IFS(I238&lt;197,I238*1.26,I238&gt;197,I238*1.17) + IF(I238&gt;1000,17,0)</f>
        <v>342.66491999999994</v>
      </c>
      <c r="I238" s="10">
        <f>($K$2+0.02)*Tabla1[[#This Row],[PRECIO $]]*1.18</f>
        <v>292.87599999999998</v>
      </c>
      <c r="J238" s="7">
        <f>+Tabla1[[#This Row],[PRECIO EN SOLES]]-Tabla1[[#This Row],[PC]]</f>
        <v>49.788919999999962</v>
      </c>
    </row>
    <row r="239" spans="1:10" x14ac:dyDescent="0.25">
      <c r="A239" s="3" t="s">
        <v>3761</v>
      </c>
      <c r="B239" s="3" t="s">
        <v>3762</v>
      </c>
      <c r="C239" s="1">
        <v>20</v>
      </c>
      <c r="D239" s="1">
        <v>116</v>
      </c>
      <c r="E239" s="1" t="s">
        <v>133</v>
      </c>
      <c r="F239" s="1" t="s">
        <v>4170</v>
      </c>
      <c r="G239" s="3" t="s">
        <v>3941</v>
      </c>
      <c r="H239" s="12" cm="1">
        <f t="array" ref="H239">_xlfn.IFS(I239&lt;197,I239*1.26,I239&gt;197,I239*1.17) + IF(I239&gt;1000,17,0)</f>
        <v>544.5086399999999</v>
      </c>
      <c r="I239" s="10">
        <f>($K$2+0.02)*Tabla1[[#This Row],[PRECIO $]]*1.18</f>
        <v>465.39199999999994</v>
      </c>
      <c r="J239" s="7">
        <f>+Tabla1[[#This Row],[PRECIO EN SOLES]]-Tabla1[[#This Row],[PC]]</f>
        <v>79.116639999999961</v>
      </c>
    </row>
    <row r="240" spans="1:10" x14ac:dyDescent="0.25">
      <c r="A240" s="3" t="s">
        <v>186</v>
      </c>
      <c r="B240" s="3" t="s">
        <v>187</v>
      </c>
      <c r="C240" s="1">
        <v>20</v>
      </c>
      <c r="D240" s="1">
        <v>32.75</v>
      </c>
      <c r="E240" s="1" t="s">
        <v>188</v>
      </c>
      <c r="F240" s="1" t="s">
        <v>4171</v>
      </c>
      <c r="G240" s="3" t="s">
        <v>189</v>
      </c>
      <c r="H240" s="12" cm="1">
        <f t="array" ref="H240">_xlfn.IFS(I240&lt;197,I240*1.26,I240&gt;197,I240*1.17) + IF(I240&gt;1000,17,0)</f>
        <v>165.55517999999998</v>
      </c>
      <c r="I240" s="10">
        <f>($K$2+0.02)*Tabla1[[#This Row],[PRECIO $]]*1.18</f>
        <v>131.39299999999997</v>
      </c>
      <c r="J240" s="7">
        <f>+Tabla1[[#This Row],[PRECIO EN SOLES]]-Tabla1[[#This Row],[PC]]</f>
        <v>34.162180000000006</v>
      </c>
    </row>
    <row r="241" spans="1:10" x14ac:dyDescent="0.25">
      <c r="A241" s="3" t="s">
        <v>5963</v>
      </c>
      <c r="B241" s="3" t="s">
        <v>5964</v>
      </c>
      <c r="C241" s="1">
        <v>0</v>
      </c>
      <c r="D241" s="1">
        <v>79.45</v>
      </c>
      <c r="E241" s="1" t="s">
        <v>188</v>
      </c>
      <c r="F241" s="1" t="s">
        <v>5965</v>
      </c>
      <c r="G241" s="3" t="s">
        <v>5966</v>
      </c>
      <c r="H241" s="12" cm="1">
        <f t="array" ref="H241">_xlfn.IFS(I241&lt;197,I241*1.26,I241&gt;197,I241*1.17) + IF(I241&gt;1000,17,0)</f>
        <v>372.94147799999996</v>
      </c>
      <c r="I241" s="10">
        <f>($K$2+0.02)*Tabla1[[#This Row],[PRECIO $]]*1.18</f>
        <v>318.7534</v>
      </c>
      <c r="J241" s="7">
        <f>+Tabla1[[#This Row],[PRECIO EN SOLES]]-Tabla1[[#This Row],[PC]]</f>
        <v>54.188077999999962</v>
      </c>
    </row>
    <row r="242" spans="1:10" x14ac:dyDescent="0.25">
      <c r="A242" s="3" t="s">
        <v>5776</v>
      </c>
      <c r="B242" s="3" t="s">
        <v>5777</v>
      </c>
      <c r="C242" s="1">
        <v>20</v>
      </c>
      <c r="D242" s="1">
        <v>89</v>
      </c>
      <c r="E242" s="1" t="s">
        <v>188</v>
      </c>
      <c r="F242" s="1" t="s">
        <v>5778</v>
      </c>
      <c r="G242" s="3" t="s">
        <v>5779</v>
      </c>
      <c r="H242" s="12" cm="1">
        <f t="array" ref="H242">_xlfn.IFS(I242&lt;197,I242*1.26,I242&gt;197,I242*1.17) + IF(I242&gt;1000,17,0)</f>
        <v>417.7695599999999</v>
      </c>
      <c r="I242" s="10">
        <f>($K$2+0.02)*Tabla1[[#This Row],[PRECIO $]]*1.18</f>
        <v>357.06799999999993</v>
      </c>
      <c r="J242" s="7">
        <f>+Tabla1[[#This Row],[PRECIO EN SOLES]]-Tabla1[[#This Row],[PC]]</f>
        <v>60.701559999999972</v>
      </c>
    </row>
    <row r="243" spans="1:10" x14ac:dyDescent="0.25">
      <c r="A243" s="3" t="s">
        <v>1237</v>
      </c>
      <c r="B243" s="3" t="s">
        <v>1238</v>
      </c>
      <c r="C243" s="1">
        <v>0</v>
      </c>
      <c r="D243" s="1">
        <v>133.69999999999999</v>
      </c>
      <c r="E243" s="1" t="s">
        <v>188</v>
      </c>
      <c r="F243" s="1" t="s">
        <v>4172</v>
      </c>
      <c r="G243" s="3" t="s">
        <v>1239</v>
      </c>
      <c r="H243" s="12" cm="1">
        <f t="array" ref="H243">_xlfn.IFS(I243&lt;197,I243*1.26,I243&gt;197,I243*1.17) + IF(I243&gt;1000,17,0)</f>
        <v>627.59314799999981</v>
      </c>
      <c r="I243" s="10">
        <f>($K$2+0.02)*Tabla1[[#This Row],[PRECIO $]]*1.18</f>
        <v>536.4043999999999</v>
      </c>
      <c r="J243" s="7">
        <f>+Tabla1[[#This Row],[PRECIO EN SOLES]]-Tabla1[[#This Row],[PC]]</f>
        <v>91.188747999999919</v>
      </c>
    </row>
    <row r="244" spans="1:10" x14ac:dyDescent="0.25">
      <c r="A244" s="3" t="s">
        <v>1240</v>
      </c>
      <c r="B244" s="3" t="s">
        <v>1241</v>
      </c>
      <c r="C244" s="1">
        <v>20</v>
      </c>
      <c r="D244" s="1">
        <v>205.1</v>
      </c>
      <c r="E244" s="1" t="s">
        <v>188</v>
      </c>
      <c r="F244" s="1" t="s">
        <v>4173</v>
      </c>
      <c r="G244" s="3" t="s">
        <v>1242</v>
      </c>
      <c r="H244" s="12" cm="1">
        <f t="array" ref="H244">_xlfn.IFS(I244&lt;197,I244*1.26,I244&gt;197,I244*1.17) + IF(I244&gt;1000,17,0)</f>
        <v>962.74760399999968</v>
      </c>
      <c r="I244" s="10">
        <f>($K$2+0.02)*Tabla1[[#This Row],[PRECIO $]]*1.18</f>
        <v>822.86119999999983</v>
      </c>
      <c r="J244" s="7">
        <f>+Tabla1[[#This Row],[PRECIO EN SOLES]]-Tabla1[[#This Row],[PC]]</f>
        <v>139.88640399999986</v>
      </c>
    </row>
    <row r="245" spans="1:10" x14ac:dyDescent="0.25">
      <c r="A245" s="3" t="s">
        <v>190</v>
      </c>
      <c r="B245" s="3" t="s">
        <v>191</v>
      </c>
      <c r="C245" s="1">
        <v>20</v>
      </c>
      <c r="D245" s="1">
        <v>128.69999999999999</v>
      </c>
      <c r="E245" s="1" t="s">
        <v>188</v>
      </c>
      <c r="F245" s="1" t="s">
        <v>4174</v>
      </c>
      <c r="G245" s="3" t="s">
        <v>192</v>
      </c>
      <c r="H245" s="12" cm="1">
        <f t="array" ref="H245">_xlfn.IFS(I245&lt;197,I245*1.26,I245&gt;197,I245*1.17) + IF(I245&gt;1000,17,0)</f>
        <v>604.12294799999972</v>
      </c>
      <c r="I245" s="10">
        <f>($K$2+0.02)*Tabla1[[#This Row],[PRECIO $]]*1.18</f>
        <v>516.34439999999984</v>
      </c>
      <c r="J245" s="7">
        <f>+Tabla1[[#This Row],[PRECIO EN SOLES]]-Tabla1[[#This Row],[PC]]</f>
        <v>87.778547999999887</v>
      </c>
    </row>
    <row r="246" spans="1:10" x14ac:dyDescent="0.25">
      <c r="A246" s="3" t="s">
        <v>1243</v>
      </c>
      <c r="B246" s="3" t="s">
        <v>1244</v>
      </c>
      <c r="C246" s="1">
        <v>20</v>
      </c>
      <c r="D246" s="1">
        <v>158.69999999999999</v>
      </c>
      <c r="E246" s="1" t="s">
        <v>188</v>
      </c>
      <c r="F246" s="1" t="s">
        <v>4175</v>
      </c>
      <c r="G246" s="3" t="s">
        <v>1245</v>
      </c>
      <c r="H246" s="12" cm="1">
        <f t="array" ref="H246">_xlfn.IFS(I246&lt;197,I246*1.26,I246&gt;197,I246*1.17) + IF(I246&gt;1000,17,0)</f>
        <v>744.94414799999981</v>
      </c>
      <c r="I246" s="10">
        <f>($K$2+0.02)*Tabla1[[#This Row],[PRECIO $]]*1.18</f>
        <v>636.70439999999985</v>
      </c>
      <c r="J246" s="7">
        <f>+Tabla1[[#This Row],[PRECIO EN SOLES]]-Tabla1[[#This Row],[PC]]</f>
        <v>108.23974799999996</v>
      </c>
    </row>
    <row r="247" spans="1:10" x14ac:dyDescent="0.25">
      <c r="A247" s="3" t="s">
        <v>1246</v>
      </c>
      <c r="B247" s="3" t="s">
        <v>1247</v>
      </c>
      <c r="C247" s="1">
        <v>20</v>
      </c>
      <c r="D247" s="1">
        <v>216.2</v>
      </c>
      <c r="E247" s="1" t="s">
        <v>188</v>
      </c>
      <c r="F247" s="1" t="s">
        <v>4176</v>
      </c>
      <c r="G247" s="3" t="s">
        <v>1248</v>
      </c>
      <c r="H247" s="12" cm="1">
        <f t="array" ref="H247">_xlfn.IFS(I247&lt;197,I247*1.26,I247&gt;197,I247*1.17) + IF(I247&gt;1000,17,0)</f>
        <v>1014.8514479999998</v>
      </c>
      <c r="I247" s="10">
        <f>($K$2+0.02)*Tabla1[[#This Row],[PRECIO $]]*1.18</f>
        <v>867.39439999999991</v>
      </c>
      <c r="J247" s="7">
        <f>+Tabla1[[#This Row],[PRECIO EN SOLES]]-Tabla1[[#This Row],[PC]]</f>
        <v>147.45704799999987</v>
      </c>
    </row>
    <row r="248" spans="1:10" x14ac:dyDescent="0.25">
      <c r="A248" s="3" t="s">
        <v>5780</v>
      </c>
      <c r="B248" s="3" t="s">
        <v>5781</v>
      </c>
      <c r="C248" s="1">
        <v>0</v>
      </c>
      <c r="D248" s="1">
        <v>132.69999999999999</v>
      </c>
      <c r="E248" s="1" t="s">
        <v>188</v>
      </c>
      <c r="F248" s="1" t="s">
        <v>5782</v>
      </c>
      <c r="G248" s="3" t="s">
        <v>5967</v>
      </c>
      <c r="H248" s="12" cm="1">
        <f t="array" ref="H248">_xlfn.IFS(I248&lt;197,I248*1.26,I248&gt;197,I248*1.17) + IF(I248&gt;1000,17,0)</f>
        <v>622.89910799999996</v>
      </c>
      <c r="I248" s="10">
        <f>($K$2+0.02)*Tabla1[[#This Row],[PRECIO $]]*1.18</f>
        <v>532.39239999999995</v>
      </c>
      <c r="J248" s="7">
        <f>+Tabla1[[#This Row],[PRECIO EN SOLES]]-Tabla1[[#This Row],[PC]]</f>
        <v>90.506708000000003</v>
      </c>
    </row>
    <row r="249" spans="1:10" x14ac:dyDescent="0.25">
      <c r="A249" s="3" t="s">
        <v>1249</v>
      </c>
      <c r="B249" s="3" t="s">
        <v>1250</v>
      </c>
      <c r="C249" s="1">
        <v>20</v>
      </c>
      <c r="D249" s="1">
        <v>168.5</v>
      </c>
      <c r="E249" s="1" t="s">
        <v>188</v>
      </c>
      <c r="F249" s="1" t="s">
        <v>4177</v>
      </c>
      <c r="G249" s="3" t="s">
        <v>1251</v>
      </c>
      <c r="H249" s="12" cm="1">
        <f t="array" ref="H249">_xlfn.IFS(I249&lt;197,I249*1.26,I249&gt;197,I249*1.17) + IF(I249&gt;1000,17,0)</f>
        <v>790.94573999999989</v>
      </c>
      <c r="I249" s="10">
        <f>($K$2+0.02)*Tabla1[[#This Row],[PRECIO $]]*1.18</f>
        <v>676.02199999999993</v>
      </c>
      <c r="J249" s="7">
        <f>+Tabla1[[#This Row],[PRECIO EN SOLES]]-Tabla1[[#This Row],[PC]]</f>
        <v>114.92373999999995</v>
      </c>
    </row>
    <row r="250" spans="1:10" x14ac:dyDescent="0.25">
      <c r="A250" s="3" t="s">
        <v>1252</v>
      </c>
      <c r="B250" s="3" t="s">
        <v>1253</v>
      </c>
      <c r="C250" s="1">
        <v>20</v>
      </c>
      <c r="D250" s="1">
        <v>302</v>
      </c>
      <c r="E250" s="1" t="s">
        <v>188</v>
      </c>
      <c r="F250" s="1" t="s">
        <v>4178</v>
      </c>
      <c r="G250" s="3" t="s">
        <v>1254</v>
      </c>
      <c r="H250" s="12" cm="1">
        <f t="array" ref="H250">_xlfn.IFS(I250&lt;197,I250*1.26,I250&gt;197,I250*1.17) + IF(I250&gt;1000,17,0)</f>
        <v>1434.6000799999997</v>
      </c>
      <c r="I250" s="10">
        <f>($K$2+0.02)*Tabla1[[#This Row],[PRECIO $]]*1.18</f>
        <v>1211.6239999999998</v>
      </c>
      <c r="J250" s="7">
        <f>+Tabla1[[#This Row],[PRECIO EN SOLES]]-Tabla1[[#This Row],[PC]]</f>
        <v>222.97607999999991</v>
      </c>
    </row>
    <row r="251" spans="1:10" x14ac:dyDescent="0.25">
      <c r="A251" s="3" t="s">
        <v>1255</v>
      </c>
      <c r="B251" s="3" t="s">
        <v>1256</v>
      </c>
      <c r="C251" s="1">
        <v>20</v>
      </c>
      <c r="D251" s="1">
        <v>210.6</v>
      </c>
      <c r="E251" s="1" t="s">
        <v>188</v>
      </c>
      <c r="F251" s="1" t="s">
        <v>4179</v>
      </c>
      <c r="G251" s="3" t="s">
        <v>1257</v>
      </c>
      <c r="H251" s="12" cm="1">
        <f t="array" ref="H251">_xlfn.IFS(I251&lt;197,I251*1.26,I251&gt;197,I251*1.17) + IF(I251&gt;1000,17,0)</f>
        <v>988.56482399999982</v>
      </c>
      <c r="I251" s="10">
        <f>($K$2+0.02)*Tabla1[[#This Row],[PRECIO $]]*1.18</f>
        <v>844.92719999999986</v>
      </c>
      <c r="J251" s="7">
        <f>+Tabla1[[#This Row],[PRECIO EN SOLES]]-Tabla1[[#This Row],[PC]]</f>
        <v>143.63762399999996</v>
      </c>
    </row>
    <row r="252" spans="1:10" x14ac:dyDescent="0.25">
      <c r="A252" s="3" t="s">
        <v>1258</v>
      </c>
      <c r="B252" s="3" t="s">
        <v>1259</v>
      </c>
      <c r="C252" s="1">
        <v>20</v>
      </c>
      <c r="D252" s="1">
        <v>224.25</v>
      </c>
      <c r="E252" s="1" t="s">
        <v>188</v>
      </c>
      <c r="F252" s="1" t="s">
        <v>4180</v>
      </c>
      <c r="G252" s="3" t="s">
        <v>1260</v>
      </c>
      <c r="H252" s="12" cm="1">
        <f t="array" ref="H252">_xlfn.IFS(I252&lt;197,I252*1.26,I252&gt;197,I252*1.17) + IF(I252&gt;1000,17,0)</f>
        <v>1052.6384699999999</v>
      </c>
      <c r="I252" s="10">
        <f>($K$2+0.02)*Tabla1[[#This Row],[PRECIO $]]*1.18</f>
        <v>899.69099999999992</v>
      </c>
      <c r="J252" s="7">
        <f>+Tabla1[[#This Row],[PRECIO EN SOLES]]-Tabla1[[#This Row],[PC]]</f>
        <v>152.94746999999995</v>
      </c>
    </row>
    <row r="253" spans="1:10" x14ac:dyDescent="0.25">
      <c r="A253" s="3" t="s">
        <v>1261</v>
      </c>
      <c r="B253" s="3" t="s">
        <v>1262</v>
      </c>
      <c r="C253" s="1">
        <v>20</v>
      </c>
      <c r="D253" s="1">
        <v>316</v>
      </c>
      <c r="E253" s="1" t="s">
        <v>188</v>
      </c>
      <c r="F253" s="1" t="s">
        <v>4181</v>
      </c>
      <c r="G253" s="3" t="s">
        <v>1263</v>
      </c>
      <c r="H253" s="12" cm="1">
        <f t="array" ref="H253">_xlfn.IFS(I253&lt;197,I253*1.26,I253&gt;197,I253*1.17) + IF(I253&gt;1000,17,0)</f>
        <v>1500.3166399999996</v>
      </c>
      <c r="I253" s="10">
        <f>($K$2+0.02)*Tabla1[[#This Row],[PRECIO $]]*1.18</f>
        <v>1267.7919999999997</v>
      </c>
      <c r="J253" s="7">
        <f>+Tabla1[[#This Row],[PRECIO EN SOLES]]-Tabla1[[#This Row],[PC]]</f>
        <v>232.52463999999986</v>
      </c>
    </row>
    <row r="254" spans="1:10" x14ac:dyDescent="0.25">
      <c r="A254" s="3" t="s">
        <v>1264</v>
      </c>
      <c r="B254" s="3" t="s">
        <v>1265</v>
      </c>
      <c r="C254" s="1">
        <v>20</v>
      </c>
      <c r="D254" s="1">
        <v>346.5</v>
      </c>
      <c r="E254" s="1" t="s">
        <v>188</v>
      </c>
      <c r="F254" s="1" t="s">
        <v>4182</v>
      </c>
      <c r="G254" s="3" t="s">
        <v>1266</v>
      </c>
      <c r="H254" s="12" cm="1">
        <f t="array" ref="H254">_xlfn.IFS(I254&lt;197,I254*1.26,I254&gt;197,I254*1.17) + IF(I254&gt;1000,17,0)</f>
        <v>1643.4848599999998</v>
      </c>
      <c r="I254" s="10">
        <f>($K$2+0.02)*Tabla1[[#This Row],[PRECIO $]]*1.18</f>
        <v>1390.1579999999999</v>
      </c>
      <c r="J254" s="7">
        <f>+Tabla1[[#This Row],[PRECIO EN SOLES]]-Tabla1[[#This Row],[PC]]</f>
        <v>253.3268599999999</v>
      </c>
    </row>
    <row r="255" spans="1:10" x14ac:dyDescent="0.25">
      <c r="A255" s="3" t="s">
        <v>193</v>
      </c>
      <c r="B255" s="3" t="s">
        <v>194</v>
      </c>
      <c r="C255" s="1">
        <v>20</v>
      </c>
      <c r="D255" s="1">
        <v>398</v>
      </c>
      <c r="E255" s="1" t="s">
        <v>188</v>
      </c>
      <c r="F255" s="1" t="s">
        <v>4183</v>
      </c>
      <c r="G255" s="3" t="s">
        <v>195</v>
      </c>
      <c r="H255" s="12" cm="1">
        <f t="array" ref="H255">_xlfn.IFS(I255&lt;197,I255*1.26,I255&gt;197,I255*1.17) + IF(I255&gt;1000,17,0)</f>
        <v>1885.22792</v>
      </c>
      <c r="I255" s="10">
        <f>($K$2+0.02)*Tabla1[[#This Row],[PRECIO $]]*1.18</f>
        <v>1596.7760000000001</v>
      </c>
      <c r="J255" s="7">
        <f>+Tabla1[[#This Row],[PRECIO EN SOLES]]-Tabla1[[#This Row],[PC]]</f>
        <v>288.45191999999997</v>
      </c>
    </row>
    <row r="256" spans="1:10" x14ac:dyDescent="0.25">
      <c r="A256" s="3" t="s">
        <v>1267</v>
      </c>
      <c r="B256" s="3" t="s">
        <v>1268</v>
      </c>
      <c r="C256" s="1">
        <v>15</v>
      </c>
      <c r="D256" s="1">
        <v>559</v>
      </c>
      <c r="E256" s="1" t="s">
        <v>188</v>
      </c>
      <c r="F256" s="1" t="s">
        <v>4184</v>
      </c>
      <c r="G256" s="3" t="s">
        <v>1269</v>
      </c>
      <c r="H256" s="12" cm="1">
        <f t="array" ref="H256">_xlfn.IFS(I256&lt;197,I256*1.26,I256&gt;197,I256*1.17) + IF(I256&gt;1000,17,0)</f>
        <v>2640.9683599999994</v>
      </c>
      <c r="I256" s="10">
        <f>($K$2+0.02)*Tabla1[[#This Row],[PRECIO $]]*1.18</f>
        <v>2242.7079999999996</v>
      </c>
      <c r="J256" s="7">
        <f>+Tabla1[[#This Row],[PRECIO EN SOLES]]-Tabla1[[#This Row],[PC]]</f>
        <v>398.26035999999976</v>
      </c>
    </row>
    <row r="257" spans="1:10" x14ac:dyDescent="0.25">
      <c r="A257" s="3" t="s">
        <v>1270</v>
      </c>
      <c r="B257" s="3" t="s">
        <v>1271</v>
      </c>
      <c r="C257" s="1">
        <v>6</v>
      </c>
      <c r="D257" s="1">
        <v>674</v>
      </c>
      <c r="E257" s="1" t="s">
        <v>188</v>
      </c>
      <c r="F257" s="1" t="s">
        <v>4185</v>
      </c>
      <c r="G257" s="3" t="s">
        <v>1272</v>
      </c>
      <c r="H257" s="12" cm="1">
        <f t="array" ref="H257">_xlfn.IFS(I257&lt;197,I257*1.26,I257&gt;197,I257*1.17) + IF(I257&gt;1000,17,0)</f>
        <v>3180.7829599999995</v>
      </c>
      <c r="I257" s="10">
        <f>($K$2+0.02)*Tabla1[[#This Row],[PRECIO $]]*1.18</f>
        <v>2704.0879999999997</v>
      </c>
      <c r="J257" s="7">
        <f>+Tabla1[[#This Row],[PRECIO EN SOLES]]-Tabla1[[#This Row],[PC]]</f>
        <v>476.69495999999981</v>
      </c>
    </row>
    <row r="258" spans="1:10" x14ac:dyDescent="0.25">
      <c r="A258" s="3" t="s">
        <v>5549</v>
      </c>
      <c r="B258" s="3" t="s">
        <v>5550</v>
      </c>
      <c r="C258" s="1">
        <v>3</v>
      </c>
      <c r="D258" s="1">
        <v>120.7</v>
      </c>
      <c r="E258" s="1" t="s">
        <v>196</v>
      </c>
      <c r="F258" s="1" t="s">
        <v>5551</v>
      </c>
      <c r="G258" s="3" t="s">
        <v>5552</v>
      </c>
      <c r="H258" s="12" cm="1">
        <f t="array" ref="H258">_xlfn.IFS(I258&lt;197,I258*1.26,I258&gt;197,I258*1.17) + IF(I258&gt;1000,17,0)</f>
        <v>566.57062799999994</v>
      </c>
      <c r="I258" s="10">
        <f>($K$2+0.02)*Tabla1[[#This Row],[PRECIO $]]*1.18</f>
        <v>484.24839999999995</v>
      </c>
      <c r="J258" s="7">
        <f>+Tabla1[[#This Row],[PRECIO EN SOLES]]-Tabla1[[#This Row],[PC]]</f>
        <v>82.322227999999996</v>
      </c>
    </row>
    <row r="259" spans="1:10" x14ac:dyDescent="0.25">
      <c r="A259" s="3" t="s">
        <v>5968</v>
      </c>
      <c r="B259" s="3" t="s">
        <v>5969</v>
      </c>
      <c r="C259" s="1">
        <v>0</v>
      </c>
      <c r="D259" s="1">
        <v>83.5</v>
      </c>
      <c r="E259" s="1" t="s">
        <v>196</v>
      </c>
      <c r="F259" s="1" t="s">
        <v>5970</v>
      </c>
      <c r="G259" s="3" t="s">
        <v>5971</v>
      </c>
      <c r="H259" s="12" cm="1">
        <f t="array" ref="H259">_xlfn.IFS(I259&lt;197,I259*1.26,I259&gt;197,I259*1.17) + IF(I259&gt;1000,17,0)</f>
        <v>391.95233999999994</v>
      </c>
      <c r="I259" s="10">
        <f>($K$2+0.02)*Tabla1[[#This Row],[PRECIO $]]*1.18</f>
        <v>335.00199999999995</v>
      </c>
      <c r="J259" s="7">
        <f>+Tabla1[[#This Row],[PRECIO EN SOLES]]-Tabla1[[#This Row],[PC]]</f>
        <v>56.950339999999983</v>
      </c>
    </row>
    <row r="260" spans="1:10" x14ac:dyDescent="0.25">
      <c r="A260" s="3" t="s">
        <v>197</v>
      </c>
      <c r="B260" s="3" t="s">
        <v>198</v>
      </c>
      <c r="C260" s="1">
        <v>1</v>
      </c>
      <c r="D260" s="1">
        <v>173.5</v>
      </c>
      <c r="E260" s="1" t="s">
        <v>196</v>
      </c>
      <c r="F260" s="1" t="s">
        <v>4186</v>
      </c>
      <c r="G260" s="3" t="s">
        <v>199</v>
      </c>
      <c r="H260" s="12" cm="1">
        <f t="array" ref="H260">_xlfn.IFS(I260&lt;197,I260*1.26,I260&gt;197,I260*1.17) + IF(I260&gt;1000,17,0)</f>
        <v>814.41593999999986</v>
      </c>
      <c r="I260" s="10">
        <f>($K$2+0.02)*Tabla1[[#This Row],[PRECIO $]]*1.18</f>
        <v>696.08199999999988</v>
      </c>
      <c r="J260" s="7">
        <f>+Tabla1[[#This Row],[PRECIO EN SOLES]]-Tabla1[[#This Row],[PC]]</f>
        <v>118.33393999999998</v>
      </c>
    </row>
    <row r="261" spans="1:10" x14ac:dyDescent="0.25">
      <c r="A261" s="3" t="s">
        <v>6159</v>
      </c>
      <c r="B261" s="3" t="s">
        <v>6160</v>
      </c>
      <c r="C261" s="1">
        <v>0</v>
      </c>
      <c r="D261" s="1">
        <v>138.80000000000001</v>
      </c>
      <c r="E261" s="1" t="s">
        <v>196</v>
      </c>
      <c r="F261" s="1" t="s">
        <v>6161</v>
      </c>
      <c r="G261" s="3" t="s">
        <v>6162</v>
      </c>
      <c r="H261" s="12" cm="1">
        <f t="array" ref="H261">_xlfn.IFS(I261&lt;197,I261*1.26,I261&gt;197,I261*1.17) + IF(I261&gt;1000,17,0)</f>
        <v>651.53275199999996</v>
      </c>
      <c r="I261" s="10">
        <f>($K$2+0.02)*Tabla1[[#This Row],[PRECIO $]]*1.18</f>
        <v>556.86559999999997</v>
      </c>
      <c r="J261" s="7">
        <f>+Tabla1[[#This Row],[PRECIO EN SOLES]]-Tabla1[[#This Row],[PC]]</f>
        <v>94.667151999999987</v>
      </c>
    </row>
    <row r="262" spans="1:10" x14ac:dyDescent="0.25">
      <c r="A262" s="3" t="s">
        <v>5972</v>
      </c>
      <c r="B262" s="3" t="s">
        <v>5973</v>
      </c>
      <c r="C262" s="1">
        <v>8</v>
      </c>
      <c r="D262" s="1">
        <v>229.5</v>
      </c>
      <c r="E262" s="1" t="s">
        <v>196</v>
      </c>
      <c r="F262" s="1" t="s">
        <v>5974</v>
      </c>
      <c r="G262" s="3" t="s">
        <v>5975</v>
      </c>
      <c r="H262" s="12" cm="1">
        <f t="array" ref="H262">_xlfn.IFS(I262&lt;197,I262*1.26,I262&gt;197,I262*1.17) + IF(I262&gt;1000,17,0)</f>
        <v>1077.2821799999999</v>
      </c>
      <c r="I262" s="10">
        <f>($K$2+0.02)*Tabla1[[#This Row],[PRECIO $]]*1.18</f>
        <v>920.75399999999991</v>
      </c>
      <c r="J262" s="7">
        <f>+Tabla1[[#This Row],[PRECIO EN SOLES]]-Tabla1[[#This Row],[PC]]</f>
        <v>156.52818000000002</v>
      </c>
    </row>
    <row r="263" spans="1:10" x14ac:dyDescent="0.25">
      <c r="A263" s="3" t="s">
        <v>5553</v>
      </c>
      <c r="B263" s="3" t="s">
        <v>5554</v>
      </c>
      <c r="C263" s="1">
        <v>0</v>
      </c>
      <c r="D263" s="1">
        <v>308</v>
      </c>
      <c r="E263" s="1" t="s">
        <v>196</v>
      </c>
      <c r="F263" s="1" t="s">
        <v>5555</v>
      </c>
      <c r="G263" s="3" t="s">
        <v>5556</v>
      </c>
      <c r="H263" s="12" cm="1">
        <f t="array" ref="H263">_xlfn.IFS(I263&lt;197,I263*1.26,I263&gt;197,I263*1.17) + IF(I263&gt;1000,17,0)</f>
        <v>1462.7643199999998</v>
      </c>
      <c r="I263" s="10">
        <f>($K$2+0.02)*Tabla1[[#This Row],[PRECIO $]]*1.18</f>
        <v>1235.6959999999999</v>
      </c>
      <c r="J263" s="7">
        <f>+Tabla1[[#This Row],[PRECIO EN SOLES]]-Tabla1[[#This Row],[PC]]</f>
        <v>227.06831999999986</v>
      </c>
    </row>
    <row r="264" spans="1:10" x14ac:dyDescent="0.25">
      <c r="A264" s="3" t="s">
        <v>200</v>
      </c>
      <c r="B264" s="3" t="s">
        <v>201</v>
      </c>
      <c r="C264" s="1">
        <v>0</v>
      </c>
      <c r="D264" s="1">
        <v>273.5</v>
      </c>
      <c r="E264" s="1" t="s">
        <v>196</v>
      </c>
      <c r="F264" s="1" t="s">
        <v>4187</v>
      </c>
      <c r="G264" s="3" t="s">
        <v>202</v>
      </c>
      <c r="H264" s="12" cm="1">
        <f t="array" ref="H264">_xlfn.IFS(I264&lt;197,I264*1.26,I264&gt;197,I264*1.17) + IF(I264&gt;1000,17,0)</f>
        <v>1300.8199399999999</v>
      </c>
      <c r="I264" s="10">
        <f>($K$2+0.02)*Tabla1[[#This Row],[PRECIO $]]*1.18</f>
        <v>1097.2819999999999</v>
      </c>
      <c r="J264" s="7">
        <f>+Tabla1[[#This Row],[PRECIO EN SOLES]]-Tabla1[[#This Row],[PC]]</f>
        <v>203.53793999999994</v>
      </c>
    </row>
    <row r="265" spans="1:10" x14ac:dyDescent="0.25">
      <c r="A265" s="3" t="s">
        <v>5557</v>
      </c>
      <c r="B265" s="3" t="s">
        <v>5558</v>
      </c>
      <c r="C265" s="1">
        <v>15</v>
      </c>
      <c r="D265" s="1">
        <v>280.5</v>
      </c>
      <c r="E265" s="1" t="s">
        <v>196</v>
      </c>
      <c r="F265" s="1" t="s">
        <v>5559</v>
      </c>
      <c r="G265" s="3" t="s">
        <v>5560</v>
      </c>
      <c r="H265" s="12" cm="1">
        <f t="array" ref="H265">_xlfn.IFS(I265&lt;197,I265*1.26,I265&gt;197,I265*1.17) + IF(I265&gt;1000,17,0)</f>
        <v>1333.6782199999996</v>
      </c>
      <c r="I265" s="10">
        <f>($K$2+0.02)*Tabla1[[#This Row],[PRECIO $]]*1.18</f>
        <v>1125.3659999999998</v>
      </c>
      <c r="J265" s="7">
        <f>+Tabla1[[#This Row],[PRECIO EN SOLES]]-Tabla1[[#This Row],[PC]]</f>
        <v>208.3122199999998</v>
      </c>
    </row>
    <row r="266" spans="1:10" x14ac:dyDescent="0.25">
      <c r="A266" s="3" t="s">
        <v>203</v>
      </c>
      <c r="B266" s="3" t="s">
        <v>204</v>
      </c>
      <c r="C266" s="1">
        <v>0</v>
      </c>
      <c r="D266" s="1">
        <v>300.75</v>
      </c>
      <c r="E266" s="1" t="s">
        <v>196</v>
      </c>
      <c r="F266" s="1" t="s">
        <v>4188</v>
      </c>
      <c r="G266" s="3" t="s">
        <v>205</v>
      </c>
      <c r="H266" s="12" cm="1">
        <f t="array" ref="H266">_xlfn.IFS(I266&lt;197,I266*1.26,I266&gt;197,I266*1.17) + IF(I266&gt;1000,17,0)</f>
        <v>1428.7325299999998</v>
      </c>
      <c r="I266" s="10">
        <f>($K$2+0.02)*Tabla1[[#This Row],[PRECIO $]]*1.18</f>
        <v>1206.6089999999999</v>
      </c>
      <c r="J266" s="7">
        <f>+Tabla1[[#This Row],[PRECIO EN SOLES]]-Tabla1[[#This Row],[PC]]</f>
        <v>222.12352999999985</v>
      </c>
    </row>
    <row r="267" spans="1:10" x14ac:dyDescent="0.25">
      <c r="A267" s="3" t="s">
        <v>6163</v>
      </c>
      <c r="B267" s="3" t="s">
        <v>6164</v>
      </c>
      <c r="C267" s="1">
        <v>10</v>
      </c>
      <c r="D267" s="1">
        <v>355</v>
      </c>
      <c r="E267" s="1" t="s">
        <v>196</v>
      </c>
      <c r="F267" s="1" t="s">
        <v>6165</v>
      </c>
      <c r="G267" s="3" t="s">
        <v>6166</v>
      </c>
      <c r="H267" s="12" cm="1">
        <f t="array" ref="H267">_xlfn.IFS(I267&lt;197,I267*1.26,I267&gt;197,I267*1.17) + IF(I267&gt;1000,17,0)</f>
        <v>1683.3842</v>
      </c>
      <c r="I267" s="10">
        <f>($K$2+0.02)*Tabla1[[#This Row],[PRECIO $]]*1.18</f>
        <v>1424.26</v>
      </c>
      <c r="J267" s="7">
        <f>+Tabla1[[#This Row],[PRECIO EN SOLES]]-Tabla1[[#This Row],[PC]]</f>
        <v>259.12419999999997</v>
      </c>
    </row>
    <row r="268" spans="1:10" x14ac:dyDescent="0.25">
      <c r="A268" s="3" t="s">
        <v>5440</v>
      </c>
      <c r="B268" s="3" t="s">
        <v>5441</v>
      </c>
      <c r="C268" s="1">
        <v>20</v>
      </c>
      <c r="D268" s="1">
        <v>329</v>
      </c>
      <c r="E268" s="1" t="s">
        <v>196</v>
      </c>
      <c r="F268" s="1" t="s">
        <v>5498</v>
      </c>
      <c r="G268" s="3" t="s">
        <v>5442</v>
      </c>
      <c r="H268" s="12" cm="1">
        <f t="array" ref="H268">_xlfn.IFS(I268&lt;197,I268*1.26,I268&gt;197,I268*1.17) + IF(I268&gt;1000,17,0)</f>
        <v>1561.3391599999998</v>
      </c>
      <c r="I268" s="10">
        <f>($K$2+0.02)*Tabla1[[#This Row],[PRECIO $]]*1.18</f>
        <v>1319.9479999999999</v>
      </c>
      <c r="J268" s="7">
        <f>+Tabla1[[#This Row],[PRECIO EN SOLES]]-Tabla1[[#This Row],[PC]]</f>
        <v>241.3911599999999</v>
      </c>
    </row>
    <row r="269" spans="1:10" x14ac:dyDescent="0.25">
      <c r="A269" s="3" t="s">
        <v>1273</v>
      </c>
      <c r="B269" s="3" t="s">
        <v>1274</v>
      </c>
      <c r="C269" s="1">
        <v>20</v>
      </c>
      <c r="D269" s="1">
        <v>374</v>
      </c>
      <c r="E269" s="1" t="s">
        <v>196</v>
      </c>
      <c r="F269" s="1" t="s">
        <v>4189</v>
      </c>
      <c r="G269" s="3" t="s">
        <v>1275</v>
      </c>
      <c r="H269" s="12" cm="1">
        <f t="array" ref="H269">_xlfn.IFS(I269&lt;197,I269*1.26,I269&gt;197,I269*1.17) + IF(I269&gt;1000,17,0)</f>
        <v>1772.5709599999998</v>
      </c>
      <c r="I269" s="10">
        <f>($K$2+0.02)*Tabla1[[#This Row],[PRECIO $]]*1.18</f>
        <v>1500.4879999999998</v>
      </c>
      <c r="J269" s="7">
        <f>+Tabla1[[#This Row],[PRECIO EN SOLES]]-Tabla1[[#This Row],[PC]]</f>
        <v>272.08295999999996</v>
      </c>
    </row>
    <row r="270" spans="1:10" x14ac:dyDescent="0.25">
      <c r="A270" s="3" t="s">
        <v>206</v>
      </c>
      <c r="B270" s="3" t="s">
        <v>207</v>
      </c>
      <c r="C270" s="1">
        <v>0</v>
      </c>
      <c r="D270" s="1">
        <v>360</v>
      </c>
      <c r="E270" s="1" t="s">
        <v>196</v>
      </c>
      <c r="F270" s="1" t="s">
        <v>4190</v>
      </c>
      <c r="G270" s="3" t="s">
        <v>208</v>
      </c>
      <c r="H270" s="12" cm="1">
        <f t="array" ref="H270">_xlfn.IFS(I270&lt;197,I270*1.26,I270&gt;197,I270*1.17) + IF(I270&gt;1000,17,0)</f>
        <v>1706.8543999999997</v>
      </c>
      <c r="I270" s="10">
        <f>($K$2+0.02)*Tabla1[[#This Row],[PRECIO $]]*1.18</f>
        <v>1444.32</v>
      </c>
      <c r="J270" s="7">
        <f>+Tabla1[[#This Row],[PRECIO EN SOLES]]-Tabla1[[#This Row],[PC]]</f>
        <v>262.53439999999978</v>
      </c>
    </row>
    <row r="271" spans="1:10" x14ac:dyDescent="0.25">
      <c r="A271" s="3" t="s">
        <v>5976</v>
      </c>
      <c r="B271" s="3" t="s">
        <v>5977</v>
      </c>
      <c r="C271" s="1">
        <v>9</v>
      </c>
      <c r="D271" s="1">
        <v>413</v>
      </c>
      <c r="E271" s="1" t="s">
        <v>196</v>
      </c>
      <c r="F271" s="1" t="s">
        <v>5978</v>
      </c>
      <c r="G271" s="3" t="s">
        <v>5979</v>
      </c>
      <c r="H271" s="12" cm="1">
        <f t="array" ref="H271">_xlfn.IFS(I271&lt;197,I271*1.26,I271&gt;197,I271*1.17) + IF(I271&gt;1000,17,0)</f>
        <v>1955.6385199999997</v>
      </c>
      <c r="I271" s="10">
        <f>($K$2+0.02)*Tabla1[[#This Row],[PRECIO $]]*1.18</f>
        <v>1656.9559999999999</v>
      </c>
      <c r="J271" s="7">
        <f>+Tabla1[[#This Row],[PRECIO EN SOLES]]-Tabla1[[#This Row],[PC]]</f>
        <v>298.68251999999984</v>
      </c>
    </row>
    <row r="272" spans="1:10" x14ac:dyDescent="0.25">
      <c r="A272" s="3" t="s">
        <v>5980</v>
      </c>
      <c r="B272" s="3" t="s">
        <v>5981</v>
      </c>
      <c r="C272" s="1">
        <v>10</v>
      </c>
      <c r="D272" s="1">
        <v>611</v>
      </c>
      <c r="E272" s="1" t="s">
        <v>196</v>
      </c>
      <c r="F272" s="1" t="s">
        <v>5982</v>
      </c>
      <c r="G272" s="3" t="s">
        <v>5983</v>
      </c>
      <c r="H272" s="12" cm="1">
        <f t="array" ref="H272">_xlfn.IFS(I272&lt;197,I272*1.26,I272&gt;197,I272*1.17) + IF(I272&gt;1000,17,0)</f>
        <v>2885.0584399999998</v>
      </c>
      <c r="I272" s="10">
        <f>($K$2+0.02)*Tabla1[[#This Row],[PRECIO $]]*1.18</f>
        <v>2451.3319999999999</v>
      </c>
      <c r="J272" s="7">
        <f>+Tabla1[[#This Row],[PRECIO EN SOLES]]-Tabla1[[#This Row],[PC]]</f>
        <v>433.72643999999991</v>
      </c>
    </row>
    <row r="273" spans="1:10" x14ac:dyDescent="0.25">
      <c r="A273" s="3" t="s">
        <v>1276</v>
      </c>
      <c r="B273" s="3" t="s">
        <v>1277</v>
      </c>
      <c r="C273" s="1">
        <v>3</v>
      </c>
      <c r="D273" s="1">
        <v>568.86</v>
      </c>
      <c r="E273" s="1" t="s">
        <v>196</v>
      </c>
      <c r="F273" s="1" t="s">
        <v>4191</v>
      </c>
      <c r="G273" s="3" t="s">
        <v>1278</v>
      </c>
      <c r="H273" s="12" cm="1">
        <f t="array" ref="H273">_xlfn.IFS(I273&lt;197,I273*1.26,I273&gt;197,I273*1.17) + IF(I273&gt;1000,17,0)</f>
        <v>2687.2515943999997</v>
      </c>
      <c r="I273" s="10">
        <f>($K$2+0.02)*Tabla1[[#This Row],[PRECIO $]]*1.18</f>
        <v>2282.2663199999997</v>
      </c>
      <c r="J273" s="7">
        <f>+Tabla1[[#This Row],[PRECIO EN SOLES]]-Tabla1[[#This Row],[PC]]</f>
        <v>404.98527439999998</v>
      </c>
    </row>
    <row r="274" spans="1:10" x14ac:dyDescent="0.25">
      <c r="A274" s="3" t="s">
        <v>1279</v>
      </c>
      <c r="B274" s="3" t="s">
        <v>1280</v>
      </c>
      <c r="C274" s="1">
        <v>20</v>
      </c>
      <c r="D274" s="1">
        <v>518</v>
      </c>
      <c r="E274" s="1" t="s">
        <v>196</v>
      </c>
      <c r="F274" s="1" t="s">
        <v>4192</v>
      </c>
      <c r="G274" s="3" t="s">
        <v>1281</v>
      </c>
      <c r="H274" s="12" cm="1">
        <f t="array" ref="H274">_xlfn.IFS(I274&lt;197,I274*1.26,I274&gt;197,I274*1.17) + IF(I274&gt;1000,17,0)</f>
        <v>2448.5127199999997</v>
      </c>
      <c r="I274" s="10">
        <f>($K$2+0.02)*Tabla1[[#This Row],[PRECIO $]]*1.18</f>
        <v>2078.2159999999999</v>
      </c>
      <c r="J274" s="7">
        <f>+Tabla1[[#This Row],[PRECIO EN SOLES]]-Tabla1[[#This Row],[PC]]</f>
        <v>370.29671999999982</v>
      </c>
    </row>
    <row r="275" spans="1:10" x14ac:dyDescent="0.25">
      <c r="A275" s="3" t="s">
        <v>209</v>
      </c>
      <c r="B275" s="3" t="s">
        <v>210</v>
      </c>
      <c r="C275" s="1">
        <v>20</v>
      </c>
      <c r="D275" s="1">
        <v>493</v>
      </c>
      <c r="E275" s="1" t="s">
        <v>196</v>
      </c>
      <c r="F275" s="1" t="s">
        <v>4193</v>
      </c>
      <c r="G275" s="3" t="s">
        <v>211</v>
      </c>
      <c r="H275" s="12" cm="1">
        <f t="array" ref="H275">_xlfn.IFS(I275&lt;197,I275*1.26,I275&gt;197,I275*1.17) + IF(I275&gt;1000,17,0)</f>
        <v>2331.1617199999996</v>
      </c>
      <c r="I275" s="10">
        <f>($K$2+0.02)*Tabla1[[#This Row],[PRECIO $]]*1.18</f>
        <v>1977.9159999999999</v>
      </c>
      <c r="J275" s="7">
        <f>+Tabla1[[#This Row],[PRECIO EN SOLES]]-Tabla1[[#This Row],[PC]]</f>
        <v>353.24571999999966</v>
      </c>
    </row>
    <row r="276" spans="1:10" x14ac:dyDescent="0.25">
      <c r="A276" s="3" t="s">
        <v>5984</v>
      </c>
      <c r="B276" s="3" t="s">
        <v>5985</v>
      </c>
      <c r="C276" s="1">
        <v>5</v>
      </c>
      <c r="D276" s="1">
        <v>710.63</v>
      </c>
      <c r="E276" s="1" t="s">
        <v>196</v>
      </c>
      <c r="F276" s="1" t="s">
        <v>5986</v>
      </c>
      <c r="G276" s="3" t="s">
        <v>5987</v>
      </c>
      <c r="H276" s="12" cm="1">
        <f t="array" ref="H276">_xlfn.IFS(I276&lt;197,I276*1.26,I276&gt;197,I276*1.17) + IF(I276&gt;1000,17,0)</f>
        <v>3352.7256451999992</v>
      </c>
      <c r="I276" s="10">
        <f>($K$2+0.02)*Tabla1[[#This Row],[PRECIO $]]*1.18</f>
        <v>2851.0475599999995</v>
      </c>
      <c r="J276" s="7">
        <f>+Tabla1[[#This Row],[PRECIO EN SOLES]]-Tabla1[[#This Row],[PC]]</f>
        <v>501.67808519999971</v>
      </c>
    </row>
    <row r="277" spans="1:10" x14ac:dyDescent="0.25">
      <c r="A277" s="3" t="s">
        <v>5988</v>
      </c>
      <c r="B277" s="3" t="s">
        <v>5989</v>
      </c>
      <c r="C277" s="1">
        <v>20</v>
      </c>
      <c r="D277" s="1">
        <v>169.43</v>
      </c>
      <c r="E277" s="1" t="s">
        <v>196</v>
      </c>
      <c r="F277" s="1" t="s">
        <v>5990</v>
      </c>
      <c r="G277" s="3" t="s">
        <v>5991</v>
      </c>
      <c r="H277" s="12" cm="1">
        <f t="array" ref="H277">_xlfn.IFS(I277&lt;197,I277*1.26,I277&gt;197,I277*1.17) + IF(I277&gt;1000,17,0)</f>
        <v>795.31119719999992</v>
      </c>
      <c r="I277" s="10">
        <f>($K$2+0.02)*Tabla1[[#This Row],[PRECIO $]]*1.18</f>
        <v>679.75315999999998</v>
      </c>
      <c r="J277" s="7">
        <f>+Tabla1[[#This Row],[PRECIO EN SOLES]]-Tabla1[[#This Row],[PC]]</f>
        <v>115.55803719999994</v>
      </c>
    </row>
    <row r="278" spans="1:10" x14ac:dyDescent="0.25">
      <c r="A278" s="3" t="s">
        <v>5561</v>
      </c>
      <c r="B278" s="3" t="s">
        <v>5562</v>
      </c>
      <c r="C278" s="1">
        <v>1</v>
      </c>
      <c r="D278" s="1">
        <v>158</v>
      </c>
      <c r="E278" s="1" t="s">
        <v>196</v>
      </c>
      <c r="F278" s="1" t="s">
        <v>5563</v>
      </c>
      <c r="G278" s="3" t="s">
        <v>5564</v>
      </c>
      <c r="H278" s="12" cm="1">
        <f t="array" ref="H278">_xlfn.IFS(I278&lt;197,I278*1.26,I278&gt;197,I278*1.17) + IF(I278&gt;1000,17,0)</f>
        <v>741.65831999999978</v>
      </c>
      <c r="I278" s="10">
        <f>($K$2+0.02)*Tabla1[[#This Row],[PRECIO $]]*1.18</f>
        <v>633.89599999999984</v>
      </c>
      <c r="J278" s="7">
        <f>+Tabla1[[#This Row],[PRECIO EN SOLES]]-Tabla1[[#This Row],[PC]]</f>
        <v>107.76231999999993</v>
      </c>
    </row>
    <row r="279" spans="1:10" x14ac:dyDescent="0.25">
      <c r="A279" s="3" t="s">
        <v>5565</v>
      </c>
      <c r="B279" s="3" t="s">
        <v>5566</v>
      </c>
      <c r="C279" s="1">
        <v>20</v>
      </c>
      <c r="D279" s="1">
        <v>219.89</v>
      </c>
      <c r="E279" s="1" t="s">
        <v>196</v>
      </c>
      <c r="F279" s="1" t="s">
        <v>5567</v>
      </c>
      <c r="G279" s="3" t="s">
        <v>5568</v>
      </c>
      <c r="H279" s="12" cm="1">
        <f t="array" ref="H279">_xlfn.IFS(I279&lt;197,I279*1.26,I279&gt;197,I279*1.17) + IF(I279&gt;1000,17,0)</f>
        <v>1032.1724555999999</v>
      </c>
      <c r="I279" s="10">
        <f>($K$2+0.02)*Tabla1[[#This Row],[PRECIO $]]*1.18</f>
        <v>882.19867999999997</v>
      </c>
      <c r="J279" s="7">
        <f>+Tabla1[[#This Row],[PRECIO EN SOLES]]-Tabla1[[#This Row],[PC]]</f>
        <v>149.97377559999995</v>
      </c>
    </row>
    <row r="280" spans="1:10" x14ac:dyDescent="0.25">
      <c r="A280" s="3" t="s">
        <v>5569</v>
      </c>
      <c r="B280" s="3" t="s">
        <v>5570</v>
      </c>
      <c r="C280" s="1">
        <v>20</v>
      </c>
      <c r="D280" s="1">
        <v>207.5</v>
      </c>
      <c r="E280" s="1" t="s">
        <v>196</v>
      </c>
      <c r="F280" s="1" t="s">
        <v>5571</v>
      </c>
      <c r="G280" s="3" t="s">
        <v>5572</v>
      </c>
      <c r="H280" s="12" cm="1">
        <f t="array" ref="H280">_xlfn.IFS(I280&lt;197,I280*1.26,I280&gt;197,I280*1.17) + IF(I280&gt;1000,17,0)</f>
        <v>974.01329999999996</v>
      </c>
      <c r="I280" s="10">
        <f>($K$2+0.02)*Tabla1[[#This Row],[PRECIO $]]*1.18</f>
        <v>832.49</v>
      </c>
      <c r="J280" s="7">
        <f>+Tabla1[[#This Row],[PRECIO EN SOLES]]-Tabla1[[#This Row],[PC]]</f>
        <v>141.52329999999995</v>
      </c>
    </row>
    <row r="281" spans="1:10" x14ac:dyDescent="0.25">
      <c r="A281" s="3" t="s">
        <v>5573</v>
      </c>
      <c r="B281" s="3" t="s">
        <v>5574</v>
      </c>
      <c r="C281" s="1">
        <v>20</v>
      </c>
      <c r="D281" s="1">
        <v>308.5</v>
      </c>
      <c r="E281" s="1" t="s">
        <v>196</v>
      </c>
      <c r="F281" s="1" t="s">
        <v>5575</v>
      </c>
      <c r="G281" s="3" t="s">
        <v>5576</v>
      </c>
      <c r="H281" s="12" cm="1">
        <f t="array" ref="H281">_xlfn.IFS(I281&lt;197,I281*1.26,I281&gt;197,I281*1.17) + IF(I281&gt;1000,17,0)</f>
        <v>1465.1113399999997</v>
      </c>
      <c r="I281" s="10">
        <f>($K$2+0.02)*Tabla1[[#This Row],[PRECIO $]]*1.18</f>
        <v>1237.7019999999998</v>
      </c>
      <c r="J281" s="7">
        <f>+Tabla1[[#This Row],[PRECIO EN SOLES]]-Tabla1[[#This Row],[PC]]</f>
        <v>227.40933999999993</v>
      </c>
    </row>
    <row r="282" spans="1:10" x14ac:dyDescent="0.25">
      <c r="A282" s="3" t="s">
        <v>1282</v>
      </c>
      <c r="B282" s="3" t="s">
        <v>1283</v>
      </c>
      <c r="C282" s="1">
        <v>12</v>
      </c>
      <c r="D282" s="1">
        <v>591.80999999999995</v>
      </c>
      <c r="E282" s="1" t="s">
        <v>196</v>
      </c>
      <c r="F282" s="1" t="s">
        <v>4194</v>
      </c>
      <c r="G282" s="3" t="s">
        <v>1284</v>
      </c>
      <c r="H282" s="12" cm="1">
        <f t="array" ref="H282">_xlfn.IFS(I282&lt;197,I282*1.26,I282&gt;197,I282*1.17) + IF(I282&gt;1000,17,0)</f>
        <v>2794.979812399999</v>
      </c>
      <c r="I282" s="10">
        <f>($K$2+0.02)*Tabla1[[#This Row],[PRECIO $]]*1.18</f>
        <v>2374.3417199999994</v>
      </c>
      <c r="J282" s="7">
        <f>+Tabla1[[#This Row],[PRECIO EN SOLES]]-Tabla1[[#This Row],[PC]]</f>
        <v>420.63809239999955</v>
      </c>
    </row>
    <row r="283" spans="1:10" x14ac:dyDescent="0.25">
      <c r="A283" s="3" t="s">
        <v>1285</v>
      </c>
      <c r="B283" s="3" t="s">
        <v>1286</v>
      </c>
      <c r="C283" s="1">
        <v>20</v>
      </c>
      <c r="D283" s="1">
        <v>602.45000000000005</v>
      </c>
      <c r="E283" s="1" t="s">
        <v>196</v>
      </c>
      <c r="F283" s="1" t="s">
        <v>4195</v>
      </c>
      <c r="G283" s="3" t="s">
        <v>1287</v>
      </c>
      <c r="H283" s="12" cm="1">
        <f t="array" ref="H283">_xlfn.IFS(I283&lt;197,I283*1.26,I283&gt;197,I283*1.17) + IF(I283&gt;1000,17,0)</f>
        <v>2844.9243979999997</v>
      </c>
      <c r="I283" s="10">
        <f>($K$2+0.02)*Tabla1[[#This Row],[PRECIO $]]*1.18</f>
        <v>2417.0293999999999</v>
      </c>
      <c r="J283" s="7">
        <f>+Tabla1[[#This Row],[PRECIO EN SOLES]]-Tabla1[[#This Row],[PC]]</f>
        <v>427.89499799999976</v>
      </c>
    </row>
    <row r="284" spans="1:10" x14ac:dyDescent="0.25">
      <c r="A284" s="3" t="s">
        <v>5783</v>
      </c>
      <c r="B284" s="3" t="s">
        <v>5784</v>
      </c>
      <c r="C284" s="1">
        <v>20</v>
      </c>
      <c r="D284" s="1">
        <v>24.3</v>
      </c>
      <c r="E284" s="1" t="s">
        <v>212</v>
      </c>
      <c r="F284" s="1" t="s">
        <v>5785</v>
      </c>
      <c r="G284" s="3" t="s">
        <v>5786</v>
      </c>
      <c r="H284" s="12" cm="1">
        <f t="array" ref="H284">_xlfn.IFS(I284&lt;197,I284*1.26,I284&gt;197,I284*1.17) + IF(I284&gt;1000,17,0)</f>
        <v>122.83941600000001</v>
      </c>
      <c r="I284" s="10">
        <f>($K$2+0.02)*Tabla1[[#This Row],[PRECIO $]]*1.18</f>
        <v>97.491600000000005</v>
      </c>
      <c r="J284" s="7">
        <f>+Tabla1[[#This Row],[PRECIO EN SOLES]]-Tabla1[[#This Row],[PC]]</f>
        <v>25.347816000000009</v>
      </c>
    </row>
    <row r="285" spans="1:10" x14ac:dyDescent="0.25">
      <c r="A285" s="3" t="s">
        <v>1288</v>
      </c>
      <c r="B285" s="3" t="s">
        <v>1289</v>
      </c>
      <c r="C285" s="1">
        <v>20</v>
      </c>
      <c r="D285" s="1">
        <v>177.3</v>
      </c>
      <c r="E285" s="1" t="s">
        <v>213</v>
      </c>
      <c r="F285" s="1" t="s">
        <v>4196</v>
      </c>
      <c r="G285" s="3"/>
      <c r="H285" s="12" cm="1">
        <f t="array" ref="H285">_xlfn.IFS(I285&lt;197,I285*1.26,I285&gt;197,I285*1.17) + IF(I285&gt;1000,17,0)</f>
        <v>832.25329199999999</v>
      </c>
      <c r="I285" s="10">
        <f>($K$2+0.02)*Tabla1[[#This Row],[PRECIO $]]*1.18</f>
        <v>711.32760000000007</v>
      </c>
      <c r="J285" s="7">
        <f>+Tabla1[[#This Row],[PRECIO EN SOLES]]-Tabla1[[#This Row],[PC]]</f>
        <v>120.92569199999991</v>
      </c>
    </row>
    <row r="286" spans="1:10" x14ac:dyDescent="0.25">
      <c r="A286" s="3" t="s">
        <v>5577</v>
      </c>
      <c r="B286" s="3" t="s">
        <v>5578</v>
      </c>
      <c r="C286" s="1">
        <v>1</v>
      </c>
      <c r="D286" s="1">
        <v>279.5</v>
      </c>
      <c r="E286" s="1" t="s">
        <v>213</v>
      </c>
      <c r="F286" s="1" t="s">
        <v>5579</v>
      </c>
      <c r="G286" s="3" t="s">
        <v>5580</v>
      </c>
      <c r="H286" s="12" cm="1">
        <f t="array" ref="H286">_xlfn.IFS(I286&lt;197,I286*1.26,I286&gt;197,I286*1.17) + IF(I286&gt;1000,17,0)</f>
        <v>1328.9841799999997</v>
      </c>
      <c r="I286" s="10">
        <f>($K$2+0.02)*Tabla1[[#This Row],[PRECIO $]]*1.18</f>
        <v>1121.3539999999998</v>
      </c>
      <c r="J286" s="7">
        <f>+Tabla1[[#This Row],[PRECIO EN SOLES]]-Tabla1[[#This Row],[PC]]</f>
        <v>207.63017999999988</v>
      </c>
    </row>
    <row r="287" spans="1:10" x14ac:dyDescent="0.25">
      <c r="A287" s="3" t="s">
        <v>1290</v>
      </c>
      <c r="B287" s="3" t="s">
        <v>1291</v>
      </c>
      <c r="C287" s="1">
        <v>20</v>
      </c>
      <c r="D287" s="1">
        <v>305.3</v>
      </c>
      <c r="E287" s="1" t="s">
        <v>213</v>
      </c>
      <c r="F287" s="1" t="s">
        <v>4197</v>
      </c>
      <c r="G287" s="3" t="s">
        <v>1292</v>
      </c>
      <c r="H287" s="12" cm="1">
        <f t="array" ref="H287">_xlfn.IFS(I287&lt;197,I287*1.26,I287&gt;197,I287*1.17) + IF(I287&gt;1000,17,0)</f>
        <v>1450.0904119999998</v>
      </c>
      <c r="I287" s="10">
        <f>($K$2+0.02)*Tabla1[[#This Row],[PRECIO $]]*1.18</f>
        <v>1224.8635999999999</v>
      </c>
      <c r="J287" s="7">
        <f>+Tabla1[[#This Row],[PRECIO EN SOLES]]-Tabla1[[#This Row],[PC]]</f>
        <v>225.22681199999988</v>
      </c>
    </row>
    <row r="288" spans="1:10" x14ac:dyDescent="0.25">
      <c r="A288" s="3" t="s">
        <v>1293</v>
      </c>
      <c r="B288" s="3" t="s">
        <v>1294</v>
      </c>
      <c r="C288" s="1">
        <v>20</v>
      </c>
      <c r="D288" s="1">
        <v>334.5</v>
      </c>
      <c r="E288" s="1" t="s">
        <v>213</v>
      </c>
      <c r="F288" s="1" t="s">
        <v>4198</v>
      </c>
      <c r="G288" s="3" t="s">
        <v>1295</v>
      </c>
      <c r="H288" s="12" cm="1">
        <f t="array" ref="H288">_xlfn.IFS(I288&lt;197,I288*1.26,I288&gt;197,I288*1.17) + IF(I288&gt;1000,17,0)</f>
        <v>1587.1563799999997</v>
      </c>
      <c r="I288" s="10">
        <f>($K$2+0.02)*Tabla1[[#This Row],[PRECIO $]]*1.18</f>
        <v>1342.0139999999999</v>
      </c>
      <c r="J288" s="7">
        <f>+Tabla1[[#This Row],[PRECIO EN SOLES]]-Tabla1[[#This Row],[PC]]</f>
        <v>245.14237999999978</v>
      </c>
    </row>
    <row r="289" spans="1:10" x14ac:dyDescent="0.25">
      <c r="A289" s="3" t="s">
        <v>1296</v>
      </c>
      <c r="B289" s="3" t="s">
        <v>1297</v>
      </c>
      <c r="C289" s="1">
        <v>9</v>
      </c>
      <c r="D289" s="1">
        <v>326.5</v>
      </c>
      <c r="E289" s="1" t="s">
        <v>214</v>
      </c>
      <c r="F289" s="1" t="s">
        <v>4199</v>
      </c>
      <c r="G289" s="3" t="s">
        <v>1298</v>
      </c>
      <c r="H289" s="12" cm="1">
        <f t="array" ref="H289">_xlfn.IFS(I289&lt;197,I289*1.26,I289&gt;197,I289*1.17) + IF(I289&gt;1000,17,0)</f>
        <v>1549.6040599999999</v>
      </c>
      <c r="I289" s="10">
        <f>($K$2+0.02)*Tabla1[[#This Row],[PRECIO $]]*1.18</f>
        <v>1309.9179999999999</v>
      </c>
      <c r="J289" s="7">
        <f>+Tabla1[[#This Row],[PRECIO EN SOLES]]-Tabla1[[#This Row],[PC]]</f>
        <v>239.68606</v>
      </c>
    </row>
    <row r="290" spans="1:10" x14ac:dyDescent="0.25">
      <c r="A290" s="3" t="s">
        <v>5787</v>
      </c>
      <c r="B290" s="3" t="s">
        <v>5788</v>
      </c>
      <c r="C290" s="1">
        <v>20</v>
      </c>
      <c r="D290" s="1">
        <v>460.5</v>
      </c>
      <c r="E290" s="1" t="s">
        <v>214</v>
      </c>
      <c r="F290" s="1" t="s">
        <v>5789</v>
      </c>
      <c r="G290" s="3" t="s">
        <v>5790</v>
      </c>
      <c r="H290" s="12" cm="1">
        <f t="array" ref="H290">_xlfn.IFS(I290&lt;197,I290*1.26,I290&gt;197,I290*1.17) + IF(I290&gt;1000,17,0)</f>
        <v>2178.6054199999999</v>
      </c>
      <c r="I290" s="10">
        <f>($K$2+0.02)*Tabla1[[#This Row],[PRECIO $]]*1.18</f>
        <v>1847.5260000000001</v>
      </c>
      <c r="J290" s="7">
        <f>+Tabla1[[#This Row],[PRECIO EN SOLES]]-Tabla1[[#This Row],[PC]]</f>
        <v>331.0794199999998</v>
      </c>
    </row>
    <row r="291" spans="1:10" x14ac:dyDescent="0.25">
      <c r="A291" s="3" t="s">
        <v>1299</v>
      </c>
      <c r="B291" s="3" t="s">
        <v>1300</v>
      </c>
      <c r="C291" s="1">
        <v>3</v>
      </c>
      <c r="D291" s="1">
        <v>488.5</v>
      </c>
      <c r="E291" s="1" t="s">
        <v>214</v>
      </c>
      <c r="F291" s="1" t="s">
        <v>4200</v>
      </c>
      <c r="G291" s="3" t="s">
        <v>3543</v>
      </c>
      <c r="H291" s="12" cm="1">
        <f t="array" ref="H291">_xlfn.IFS(I291&lt;197,I291*1.26,I291&gt;197,I291*1.17) + IF(I291&gt;1000,17,0)</f>
        <v>2310.0385399999996</v>
      </c>
      <c r="I291" s="10">
        <f>($K$2+0.02)*Tabla1[[#This Row],[PRECIO $]]*1.18</f>
        <v>1959.8619999999996</v>
      </c>
      <c r="J291" s="7">
        <f>+Tabla1[[#This Row],[PRECIO EN SOLES]]-Tabla1[[#This Row],[PC]]</f>
        <v>350.17653999999993</v>
      </c>
    </row>
    <row r="292" spans="1:10" x14ac:dyDescent="0.25">
      <c r="A292" s="3" t="s">
        <v>1301</v>
      </c>
      <c r="B292" s="3" t="s">
        <v>1302</v>
      </c>
      <c r="C292" s="1">
        <v>4</v>
      </c>
      <c r="D292" s="1">
        <v>112.3</v>
      </c>
      <c r="E292" s="1" t="s">
        <v>214</v>
      </c>
      <c r="F292" s="1" t="s">
        <v>4201</v>
      </c>
      <c r="G292" s="3" t="s">
        <v>1303</v>
      </c>
      <c r="H292" s="12" cm="1">
        <f t="array" ref="H292">_xlfn.IFS(I292&lt;197,I292*1.26,I292&gt;197,I292*1.17) + IF(I292&gt;1000,17,0)</f>
        <v>527.14069199999994</v>
      </c>
      <c r="I292" s="10">
        <f>($K$2+0.02)*Tabla1[[#This Row],[PRECIO $]]*1.18</f>
        <v>450.54759999999999</v>
      </c>
      <c r="J292" s="7">
        <f>+Tabla1[[#This Row],[PRECIO EN SOLES]]-Tabla1[[#This Row],[PC]]</f>
        <v>76.593091999999956</v>
      </c>
    </row>
    <row r="293" spans="1:10" x14ac:dyDescent="0.25">
      <c r="A293" s="3" t="s">
        <v>1304</v>
      </c>
      <c r="B293" s="3" t="s">
        <v>1305</v>
      </c>
      <c r="C293" s="1">
        <v>2</v>
      </c>
      <c r="D293" s="1">
        <v>119.3</v>
      </c>
      <c r="E293" s="1" t="s">
        <v>214</v>
      </c>
      <c r="F293" s="1" t="s">
        <v>4202</v>
      </c>
      <c r="G293" s="3" t="s">
        <v>3544</v>
      </c>
      <c r="H293" s="12" cm="1">
        <f t="array" ref="H293">_xlfn.IFS(I293&lt;197,I293*1.26,I293&gt;197,I293*1.17) + IF(I293&gt;1000,17,0)</f>
        <v>559.99897199999998</v>
      </c>
      <c r="I293" s="10">
        <f>($K$2+0.02)*Tabla1[[#This Row],[PRECIO $]]*1.18</f>
        <v>478.63159999999999</v>
      </c>
      <c r="J293" s="7">
        <f>+Tabla1[[#This Row],[PRECIO EN SOLES]]-Tabla1[[#This Row],[PC]]</f>
        <v>81.367371999999989</v>
      </c>
    </row>
    <row r="294" spans="1:10" x14ac:dyDescent="0.25">
      <c r="A294" s="3" t="s">
        <v>1306</v>
      </c>
      <c r="B294" s="3" t="s">
        <v>1307</v>
      </c>
      <c r="C294" s="1">
        <v>11</v>
      </c>
      <c r="D294" s="1">
        <v>175.5</v>
      </c>
      <c r="E294" s="1" t="s">
        <v>214</v>
      </c>
      <c r="F294" s="1" t="s">
        <v>4203</v>
      </c>
      <c r="G294" s="3" t="s">
        <v>1308</v>
      </c>
      <c r="H294" s="12" cm="1">
        <f t="array" ref="H294">_xlfn.IFS(I294&lt;197,I294*1.26,I294&gt;197,I294*1.17) + IF(I294&gt;1000,17,0)</f>
        <v>823.80401999999981</v>
      </c>
      <c r="I294" s="10">
        <f>($K$2+0.02)*Tabla1[[#This Row],[PRECIO $]]*1.18</f>
        <v>704.10599999999988</v>
      </c>
      <c r="J294" s="7">
        <f>+Tabla1[[#This Row],[PRECIO EN SOLES]]-Tabla1[[#This Row],[PC]]</f>
        <v>119.69801999999993</v>
      </c>
    </row>
    <row r="295" spans="1:10" x14ac:dyDescent="0.25">
      <c r="A295" s="3" t="s">
        <v>215</v>
      </c>
      <c r="B295" s="3" t="s">
        <v>216</v>
      </c>
      <c r="C295" s="1">
        <v>20</v>
      </c>
      <c r="D295" s="1">
        <v>175.3</v>
      </c>
      <c r="E295" s="1" t="s">
        <v>214</v>
      </c>
      <c r="F295" s="1" t="s">
        <v>4204</v>
      </c>
      <c r="G295" s="3" t="s">
        <v>217</v>
      </c>
      <c r="H295" s="12" cm="1">
        <f t="array" ref="H295">_xlfn.IFS(I295&lt;197,I295*1.26,I295&gt;197,I295*1.17) + IF(I295&gt;1000,17,0)</f>
        <v>822.86521199999993</v>
      </c>
      <c r="I295" s="10">
        <f>($K$2+0.02)*Tabla1[[#This Row],[PRECIO $]]*1.18</f>
        <v>703.30359999999996</v>
      </c>
      <c r="J295" s="7">
        <f>+Tabla1[[#This Row],[PRECIO EN SOLES]]-Tabla1[[#This Row],[PC]]</f>
        <v>119.56161199999997</v>
      </c>
    </row>
    <row r="296" spans="1:10" x14ac:dyDescent="0.25">
      <c r="A296" s="3" t="s">
        <v>1309</v>
      </c>
      <c r="B296" s="3" t="s">
        <v>1310</v>
      </c>
      <c r="C296" s="1">
        <v>1</v>
      </c>
      <c r="D296" s="1">
        <v>312.5</v>
      </c>
      <c r="E296" s="1" t="s">
        <v>214</v>
      </c>
      <c r="F296" s="1" t="s">
        <v>4205</v>
      </c>
      <c r="G296" s="3" t="s">
        <v>1311</v>
      </c>
      <c r="H296" s="12" cm="1">
        <f t="array" ref="H296">_xlfn.IFS(I296&lt;197,I296*1.26,I296&gt;197,I296*1.17) + IF(I296&gt;1000,17,0)</f>
        <v>1483.8874999999998</v>
      </c>
      <c r="I296" s="10">
        <f>($K$2+0.02)*Tabla1[[#This Row],[PRECIO $]]*1.18</f>
        <v>1253.75</v>
      </c>
      <c r="J296" s="7">
        <f>+Tabla1[[#This Row],[PRECIO EN SOLES]]-Tabla1[[#This Row],[PC]]</f>
        <v>230.13749999999982</v>
      </c>
    </row>
    <row r="297" spans="1:10" x14ac:dyDescent="0.25">
      <c r="A297" s="3" t="s">
        <v>1312</v>
      </c>
      <c r="B297" s="3" t="s">
        <v>1313</v>
      </c>
      <c r="C297" s="1">
        <v>20</v>
      </c>
      <c r="D297" s="1">
        <v>220.5</v>
      </c>
      <c r="E297" s="1" t="s">
        <v>213</v>
      </c>
      <c r="F297" s="1" t="s">
        <v>4206</v>
      </c>
      <c r="G297" s="3" t="s">
        <v>1314</v>
      </c>
      <c r="H297" s="12" cm="1">
        <f t="array" ref="H297">_xlfn.IFS(I297&lt;197,I297*1.26,I297&gt;197,I297*1.17) + IF(I297&gt;1000,17,0)</f>
        <v>1035.0358199999998</v>
      </c>
      <c r="I297" s="10">
        <f>($K$2+0.02)*Tabla1[[#This Row],[PRECIO $]]*1.18</f>
        <v>884.64599999999984</v>
      </c>
      <c r="J297" s="7">
        <f>+Tabla1[[#This Row],[PRECIO EN SOLES]]-Tabla1[[#This Row],[PC]]</f>
        <v>150.38981999999999</v>
      </c>
    </row>
    <row r="298" spans="1:10" x14ac:dyDescent="0.25">
      <c r="A298" s="3" t="s">
        <v>1315</v>
      </c>
      <c r="B298" s="3" t="s">
        <v>1316</v>
      </c>
      <c r="C298" s="1">
        <v>20</v>
      </c>
      <c r="D298" s="1">
        <v>247.3</v>
      </c>
      <c r="E298" s="1" t="s">
        <v>213</v>
      </c>
      <c r="F298" s="1" t="s">
        <v>4207</v>
      </c>
      <c r="G298" s="3" t="s">
        <v>1317</v>
      </c>
      <c r="H298" s="12" cm="1">
        <f t="array" ref="H298">_xlfn.IFS(I298&lt;197,I298*1.26,I298&gt;197,I298*1.17) + IF(I298&gt;1000,17,0)</f>
        <v>1160.836092</v>
      </c>
      <c r="I298" s="10">
        <f>($K$2+0.02)*Tabla1[[#This Row],[PRECIO $]]*1.18</f>
        <v>992.16759999999999</v>
      </c>
      <c r="J298" s="7">
        <f>+Tabla1[[#This Row],[PRECIO EN SOLES]]-Tabla1[[#This Row],[PC]]</f>
        <v>168.66849200000001</v>
      </c>
    </row>
    <row r="299" spans="1:10" x14ac:dyDescent="0.25">
      <c r="A299" s="3" t="s">
        <v>1318</v>
      </c>
      <c r="B299" s="3" t="s">
        <v>1319</v>
      </c>
      <c r="C299" s="1">
        <v>20</v>
      </c>
      <c r="D299" s="1">
        <v>283.3</v>
      </c>
      <c r="E299" s="1" t="s">
        <v>213</v>
      </c>
      <c r="F299" s="1" t="s">
        <v>4208</v>
      </c>
      <c r="G299" s="3" t="s">
        <v>1320</v>
      </c>
      <c r="H299" s="12" cm="1">
        <f t="array" ref="H299">_xlfn.IFS(I299&lt;197,I299*1.26,I299&gt;197,I299*1.17) + IF(I299&gt;1000,17,0)</f>
        <v>1346.8215319999999</v>
      </c>
      <c r="I299" s="10">
        <f>($K$2+0.02)*Tabla1[[#This Row],[PRECIO $]]*1.18</f>
        <v>1136.5996</v>
      </c>
      <c r="J299" s="7">
        <f>+Tabla1[[#This Row],[PRECIO EN SOLES]]-Tabla1[[#This Row],[PC]]</f>
        <v>210.22193199999992</v>
      </c>
    </row>
    <row r="300" spans="1:10" x14ac:dyDescent="0.25">
      <c r="A300" s="3" t="s">
        <v>1321</v>
      </c>
      <c r="B300" s="3" t="s">
        <v>1322</v>
      </c>
      <c r="C300" s="1">
        <v>17</v>
      </c>
      <c r="D300" s="1">
        <v>398.5</v>
      </c>
      <c r="E300" s="1" t="s">
        <v>213</v>
      </c>
      <c r="F300" s="1" t="s">
        <v>4209</v>
      </c>
      <c r="G300" s="3" t="s">
        <v>1323</v>
      </c>
      <c r="H300" s="12" cm="1">
        <f t="array" ref="H300">_xlfn.IFS(I300&lt;197,I300*1.26,I300&gt;197,I300*1.17) + IF(I300&gt;1000,17,0)</f>
        <v>1887.5749399999995</v>
      </c>
      <c r="I300" s="10">
        <f>($K$2+0.02)*Tabla1[[#This Row],[PRECIO $]]*1.18</f>
        <v>1598.7819999999997</v>
      </c>
      <c r="J300" s="7">
        <f>+Tabla1[[#This Row],[PRECIO EN SOLES]]-Tabla1[[#This Row],[PC]]</f>
        <v>288.79293999999982</v>
      </c>
    </row>
    <row r="301" spans="1:10" x14ac:dyDescent="0.25">
      <c r="A301" s="3" t="s">
        <v>1324</v>
      </c>
      <c r="B301" s="3" t="s">
        <v>1325</v>
      </c>
      <c r="C301" s="1">
        <v>20</v>
      </c>
      <c r="D301" s="1">
        <v>216.4</v>
      </c>
      <c r="E301" s="1" t="s">
        <v>213</v>
      </c>
      <c r="F301" s="1" t="s">
        <v>4210</v>
      </c>
      <c r="G301" s="3" t="s">
        <v>1326</v>
      </c>
      <c r="H301" s="12" cm="1">
        <f t="array" ref="H301">_xlfn.IFS(I301&lt;197,I301*1.26,I301&gt;197,I301*1.17) + IF(I301&gt;1000,17,0)</f>
        <v>1015.7902559999999</v>
      </c>
      <c r="I301" s="10">
        <f>($K$2+0.02)*Tabla1[[#This Row],[PRECIO $]]*1.18</f>
        <v>868.19679999999994</v>
      </c>
      <c r="J301" s="7">
        <f>+Tabla1[[#This Row],[PRECIO EN SOLES]]-Tabla1[[#This Row],[PC]]</f>
        <v>147.59345599999995</v>
      </c>
    </row>
    <row r="302" spans="1:10" x14ac:dyDescent="0.25">
      <c r="A302" s="3" t="s">
        <v>1327</v>
      </c>
      <c r="B302" s="3" t="s">
        <v>1328</v>
      </c>
      <c r="C302" s="1">
        <v>20</v>
      </c>
      <c r="D302" s="1">
        <v>232.5</v>
      </c>
      <c r="E302" s="1" t="s">
        <v>213</v>
      </c>
      <c r="F302" s="1" t="s">
        <v>4211</v>
      </c>
      <c r="G302" s="3" t="s">
        <v>1329</v>
      </c>
      <c r="H302" s="12" cm="1">
        <f t="array" ref="H302">_xlfn.IFS(I302&lt;197,I302*1.26,I302&gt;197,I302*1.17) + IF(I302&gt;1000,17,0)</f>
        <v>1091.3643</v>
      </c>
      <c r="I302" s="10">
        <f>($K$2+0.02)*Tabla1[[#This Row],[PRECIO $]]*1.18</f>
        <v>932.79</v>
      </c>
      <c r="J302" s="7">
        <f>+Tabla1[[#This Row],[PRECIO EN SOLES]]-Tabla1[[#This Row],[PC]]</f>
        <v>158.57429999999999</v>
      </c>
    </row>
    <row r="303" spans="1:10" x14ac:dyDescent="0.25">
      <c r="A303" s="3" t="s">
        <v>1330</v>
      </c>
      <c r="B303" s="3" t="s">
        <v>1331</v>
      </c>
      <c r="C303" s="1">
        <v>0</v>
      </c>
      <c r="D303" s="1">
        <v>163.5</v>
      </c>
      <c r="E303" s="1" t="s">
        <v>213</v>
      </c>
      <c r="F303" s="1" t="s">
        <v>4212</v>
      </c>
      <c r="G303" s="3" t="s">
        <v>1332</v>
      </c>
      <c r="H303" s="12" cm="1">
        <f t="array" ref="H303">_xlfn.IFS(I303&lt;197,I303*1.26,I303&gt;197,I303*1.17) + IF(I303&gt;1000,17,0)</f>
        <v>767.47553999999991</v>
      </c>
      <c r="I303" s="10">
        <f>($K$2+0.02)*Tabla1[[#This Row],[PRECIO $]]*1.18</f>
        <v>655.96199999999999</v>
      </c>
      <c r="J303" s="7">
        <f>+Tabla1[[#This Row],[PRECIO EN SOLES]]-Tabla1[[#This Row],[PC]]</f>
        <v>111.51353999999992</v>
      </c>
    </row>
    <row r="304" spans="1:10" x14ac:dyDescent="0.25">
      <c r="A304" s="3" t="s">
        <v>1333</v>
      </c>
      <c r="B304" s="3" t="s">
        <v>1334</v>
      </c>
      <c r="C304" s="1">
        <v>1</v>
      </c>
      <c r="D304" s="1">
        <v>150.1</v>
      </c>
      <c r="E304" s="1" t="s">
        <v>213</v>
      </c>
      <c r="F304" s="1" t="s">
        <v>4213</v>
      </c>
      <c r="G304" s="3"/>
      <c r="H304" s="12" cm="1">
        <f t="array" ref="H304">_xlfn.IFS(I304&lt;197,I304*1.26,I304&gt;197,I304*1.17) + IF(I304&gt;1000,17,0)</f>
        <v>704.57540399999993</v>
      </c>
      <c r="I304" s="10">
        <f>($K$2+0.02)*Tabla1[[#This Row],[PRECIO $]]*1.18</f>
        <v>602.20119999999997</v>
      </c>
      <c r="J304" s="7">
        <f>+Tabla1[[#This Row],[PRECIO EN SOLES]]-Tabla1[[#This Row],[PC]]</f>
        <v>102.37420399999996</v>
      </c>
    </row>
    <row r="305" spans="1:10" x14ac:dyDescent="0.25">
      <c r="A305" s="3" t="s">
        <v>1335</v>
      </c>
      <c r="B305" s="3" t="s">
        <v>1334</v>
      </c>
      <c r="C305" s="1">
        <v>20</v>
      </c>
      <c r="D305" s="1">
        <v>170.4</v>
      </c>
      <c r="E305" s="1" t="s">
        <v>213</v>
      </c>
      <c r="F305" s="1" t="s">
        <v>4214</v>
      </c>
      <c r="G305" s="3" t="s">
        <v>1336</v>
      </c>
      <c r="H305" s="12" cm="1">
        <f t="array" ref="H305">_xlfn.IFS(I305&lt;197,I305*1.26,I305&gt;197,I305*1.17) + IF(I305&gt;1000,17,0)</f>
        <v>799.86441600000001</v>
      </c>
      <c r="I305" s="10">
        <f>($K$2+0.02)*Tabla1[[#This Row],[PRECIO $]]*1.18</f>
        <v>683.64480000000003</v>
      </c>
      <c r="J305" s="7">
        <f>+Tabla1[[#This Row],[PRECIO EN SOLES]]-Tabla1[[#This Row],[PC]]</f>
        <v>116.21961599999997</v>
      </c>
    </row>
    <row r="306" spans="1:10" x14ac:dyDescent="0.25">
      <c r="A306" s="3" t="s">
        <v>1337</v>
      </c>
      <c r="B306" s="3" t="s">
        <v>1338</v>
      </c>
      <c r="C306" s="1">
        <v>3</v>
      </c>
      <c r="D306" s="1">
        <v>192.5</v>
      </c>
      <c r="E306" s="1" t="s">
        <v>213</v>
      </c>
      <c r="F306" s="1" t="s">
        <v>4215</v>
      </c>
      <c r="G306" s="3" t="s">
        <v>1339</v>
      </c>
      <c r="H306" s="12" cm="1">
        <f t="array" ref="H306">_xlfn.IFS(I306&lt;197,I306*1.26,I306&gt;197,I306*1.17) + IF(I306&gt;1000,17,0)</f>
        <v>903.60269999999991</v>
      </c>
      <c r="I306" s="10">
        <f>($K$2+0.02)*Tabla1[[#This Row],[PRECIO $]]*1.18</f>
        <v>772.31</v>
      </c>
      <c r="J306" s="7">
        <f>+Tabla1[[#This Row],[PRECIO EN SOLES]]-Tabla1[[#This Row],[PC]]</f>
        <v>131.29269999999997</v>
      </c>
    </row>
    <row r="307" spans="1:10" x14ac:dyDescent="0.25">
      <c r="A307" s="3" t="s">
        <v>6167</v>
      </c>
      <c r="B307" s="3" t="s">
        <v>6168</v>
      </c>
      <c r="C307" s="1">
        <v>20</v>
      </c>
      <c r="D307" s="1">
        <v>87.3</v>
      </c>
      <c r="E307" s="1" t="s">
        <v>213</v>
      </c>
      <c r="F307" s="1" t="s">
        <v>6169</v>
      </c>
      <c r="G307" s="3" t="s">
        <v>6170</v>
      </c>
      <c r="H307" s="12" cm="1">
        <f t="array" ref="H307">_xlfn.IFS(I307&lt;197,I307*1.26,I307&gt;197,I307*1.17) + IF(I307&gt;1000,17,0)</f>
        <v>409.78969199999995</v>
      </c>
      <c r="I307" s="10">
        <f>($K$2+0.02)*Tabla1[[#This Row],[PRECIO $]]*1.18</f>
        <v>350.24759999999998</v>
      </c>
      <c r="J307" s="7">
        <f>+Tabla1[[#This Row],[PRECIO EN SOLES]]-Tabla1[[#This Row],[PC]]</f>
        <v>59.542091999999968</v>
      </c>
    </row>
    <row r="308" spans="1:10" x14ac:dyDescent="0.25">
      <c r="A308" s="3" t="s">
        <v>1340</v>
      </c>
      <c r="B308" s="3" t="s">
        <v>1341</v>
      </c>
      <c r="C308" s="1">
        <v>20</v>
      </c>
      <c r="D308" s="1">
        <v>244.5</v>
      </c>
      <c r="E308" s="1" t="s">
        <v>213</v>
      </c>
      <c r="F308" s="1" t="s">
        <v>4216</v>
      </c>
      <c r="G308" s="3" t="s">
        <v>1342</v>
      </c>
      <c r="H308" s="12" cm="1">
        <f t="array" ref="H308">_xlfn.IFS(I308&lt;197,I308*1.26,I308&gt;197,I308*1.17) + IF(I308&gt;1000,17,0)</f>
        <v>1147.6927799999999</v>
      </c>
      <c r="I308" s="10">
        <f>($K$2+0.02)*Tabla1[[#This Row],[PRECIO $]]*1.18</f>
        <v>980.93399999999986</v>
      </c>
      <c r="J308" s="7">
        <f>+Tabla1[[#This Row],[PRECIO EN SOLES]]-Tabla1[[#This Row],[PC]]</f>
        <v>166.75878</v>
      </c>
    </row>
    <row r="309" spans="1:10" x14ac:dyDescent="0.25">
      <c r="A309" s="3" t="s">
        <v>218</v>
      </c>
      <c r="B309" s="3" t="s">
        <v>219</v>
      </c>
      <c r="C309" s="1">
        <v>20</v>
      </c>
      <c r="D309" s="1">
        <v>53.9</v>
      </c>
      <c r="E309" s="1" t="s">
        <v>213</v>
      </c>
      <c r="F309" s="1" t="s">
        <v>4217</v>
      </c>
      <c r="G309" s="3" t="s">
        <v>220</v>
      </c>
      <c r="H309" s="12" cm="1">
        <f t="array" ref="H309">_xlfn.IFS(I309&lt;197,I309*1.26,I309&gt;197,I309*1.17) + IF(I309&gt;1000,17,0)</f>
        <v>253.00875599999995</v>
      </c>
      <c r="I309" s="10">
        <f>($K$2+0.02)*Tabla1[[#This Row],[PRECIO $]]*1.18</f>
        <v>216.24679999999998</v>
      </c>
      <c r="J309" s="7">
        <f>+Tabla1[[#This Row],[PRECIO EN SOLES]]-Tabla1[[#This Row],[PC]]</f>
        <v>36.761955999999969</v>
      </c>
    </row>
    <row r="310" spans="1:10" x14ac:dyDescent="0.25">
      <c r="A310" s="3" t="s">
        <v>3545</v>
      </c>
      <c r="B310" s="3" t="s">
        <v>3546</v>
      </c>
      <c r="C310" s="1">
        <v>20</v>
      </c>
      <c r="D310" s="1">
        <v>72.2</v>
      </c>
      <c r="E310" s="1" t="s">
        <v>213</v>
      </c>
      <c r="F310" s="1" t="s">
        <v>4218</v>
      </c>
      <c r="G310" s="3" t="s">
        <v>3547</v>
      </c>
      <c r="H310" s="12" cm="1">
        <f t="array" ref="H310">_xlfn.IFS(I310&lt;197,I310*1.26,I310&gt;197,I310*1.17) + IF(I310&gt;1000,17,0)</f>
        <v>338.9096879999999</v>
      </c>
      <c r="I310" s="10">
        <f>($K$2+0.02)*Tabla1[[#This Row],[PRECIO $]]*1.18</f>
        <v>289.66639999999995</v>
      </c>
      <c r="J310" s="7">
        <f>+Tabla1[[#This Row],[PRECIO EN SOLES]]-Tabla1[[#This Row],[PC]]</f>
        <v>49.24328799999995</v>
      </c>
    </row>
    <row r="311" spans="1:10" x14ac:dyDescent="0.25">
      <c r="A311" s="3" t="s">
        <v>221</v>
      </c>
      <c r="B311" s="3" t="s">
        <v>222</v>
      </c>
      <c r="C311" s="1">
        <v>20</v>
      </c>
      <c r="D311" s="1">
        <v>105.7</v>
      </c>
      <c r="E311" s="1" t="s">
        <v>213</v>
      </c>
      <c r="F311" s="1" t="s">
        <v>4219</v>
      </c>
      <c r="G311" s="3" t="s">
        <v>223</v>
      </c>
      <c r="H311" s="12" cm="1">
        <f t="array" ref="H311">_xlfn.IFS(I311&lt;197,I311*1.26,I311&gt;197,I311*1.17) + IF(I311&gt;1000,17,0)</f>
        <v>496.16002799999995</v>
      </c>
      <c r="I311" s="10">
        <f>($K$2+0.02)*Tabla1[[#This Row],[PRECIO $]]*1.18</f>
        <v>424.0684</v>
      </c>
      <c r="J311" s="7">
        <f>+Tabla1[[#This Row],[PRECIO EN SOLES]]-Tabla1[[#This Row],[PC]]</f>
        <v>72.091627999999957</v>
      </c>
    </row>
    <row r="312" spans="1:10" x14ac:dyDescent="0.25">
      <c r="A312" s="3" t="s">
        <v>3548</v>
      </c>
      <c r="B312" s="3" t="s">
        <v>3549</v>
      </c>
      <c r="C312" s="1">
        <v>20</v>
      </c>
      <c r="D312" s="1">
        <v>68.099999999999994</v>
      </c>
      <c r="E312" s="1" t="s">
        <v>213</v>
      </c>
      <c r="F312" s="1" t="s">
        <v>4220</v>
      </c>
      <c r="G312" s="3" t="s">
        <v>3550</v>
      </c>
      <c r="H312" s="12" cm="1">
        <f t="array" ref="H312">_xlfn.IFS(I312&lt;197,I312*1.26,I312&gt;197,I312*1.17) + IF(I312&gt;1000,17,0)</f>
        <v>319.6641239999999</v>
      </c>
      <c r="I312" s="10">
        <f>($K$2+0.02)*Tabla1[[#This Row],[PRECIO $]]*1.18</f>
        <v>273.21719999999993</v>
      </c>
      <c r="J312" s="7">
        <f>+Tabla1[[#This Row],[PRECIO EN SOLES]]-Tabla1[[#This Row],[PC]]</f>
        <v>46.446923999999967</v>
      </c>
    </row>
    <row r="313" spans="1:10" x14ac:dyDescent="0.25">
      <c r="A313" s="3" t="s">
        <v>1343</v>
      </c>
      <c r="B313" s="3" t="s">
        <v>1344</v>
      </c>
      <c r="C313" s="1">
        <v>20</v>
      </c>
      <c r="D313" s="1">
        <v>71.3</v>
      </c>
      <c r="E313" s="1" t="s">
        <v>212</v>
      </c>
      <c r="F313" s="1" t="s">
        <v>4221</v>
      </c>
      <c r="G313" s="3" t="s">
        <v>1345</v>
      </c>
      <c r="H313" s="12" cm="1">
        <f t="array" ref="H313">_xlfn.IFS(I313&lt;197,I313*1.26,I313&gt;197,I313*1.17) + IF(I313&gt;1000,17,0)</f>
        <v>334.68505199999993</v>
      </c>
      <c r="I313" s="10">
        <f>($K$2+0.02)*Tabla1[[#This Row],[PRECIO $]]*1.18</f>
        <v>286.05559999999997</v>
      </c>
      <c r="J313" s="7">
        <f>+Tabla1[[#This Row],[PRECIO EN SOLES]]-Tabla1[[#This Row],[PC]]</f>
        <v>48.629451999999958</v>
      </c>
    </row>
    <row r="314" spans="1:10" x14ac:dyDescent="0.25">
      <c r="A314" s="3" t="s">
        <v>3551</v>
      </c>
      <c r="B314" s="3" t="s">
        <v>3552</v>
      </c>
      <c r="C314" s="1">
        <v>20</v>
      </c>
      <c r="D314" s="1">
        <v>120.5</v>
      </c>
      <c r="E314" s="1" t="s">
        <v>212</v>
      </c>
      <c r="F314" s="1" t="s">
        <v>4222</v>
      </c>
      <c r="G314" s="3" t="s">
        <v>3553</v>
      </c>
      <c r="H314" s="12" cm="1">
        <f t="array" ref="H314">_xlfn.IFS(I314&lt;197,I314*1.26,I314&gt;197,I314*1.17) + IF(I314&gt;1000,17,0)</f>
        <v>565.63181999999995</v>
      </c>
      <c r="I314" s="10">
        <f>($K$2+0.02)*Tabla1[[#This Row],[PRECIO $]]*1.18</f>
        <v>483.44599999999997</v>
      </c>
      <c r="J314" s="7">
        <f>+Tabla1[[#This Row],[PRECIO EN SOLES]]-Tabla1[[#This Row],[PC]]</f>
        <v>82.185819999999978</v>
      </c>
    </row>
    <row r="315" spans="1:10" x14ac:dyDescent="0.25">
      <c r="A315" s="3" t="s">
        <v>224</v>
      </c>
      <c r="B315" s="3" t="s">
        <v>225</v>
      </c>
      <c r="C315" s="1">
        <v>20</v>
      </c>
      <c r="D315" s="1">
        <v>2.0099999999999998</v>
      </c>
      <c r="E315" s="1" t="s">
        <v>226</v>
      </c>
      <c r="F315" s="1" t="s">
        <v>4223</v>
      </c>
      <c r="G315" s="3" t="s">
        <v>227</v>
      </c>
      <c r="H315" s="12" cm="1">
        <f t="array" ref="H315">_xlfn.IFS(I315&lt;197,I315*1.26,I315&gt;197,I315*1.17) + IF(I315&gt;1000,17,0)</f>
        <v>10.160791199999997</v>
      </c>
      <c r="I315" s="10">
        <f>($K$2+0.02)*Tabla1[[#This Row],[PRECIO $]]*1.18</f>
        <v>8.0641199999999973</v>
      </c>
      <c r="J315" s="7">
        <f>+Tabla1[[#This Row],[PRECIO EN SOLES]]-Tabla1[[#This Row],[PC]]</f>
        <v>2.0966711999999994</v>
      </c>
    </row>
    <row r="316" spans="1:10" x14ac:dyDescent="0.25">
      <c r="A316" s="3" t="s">
        <v>1843</v>
      </c>
      <c r="B316" s="3" t="s">
        <v>1844</v>
      </c>
      <c r="C316" s="1">
        <v>20</v>
      </c>
      <c r="D316" s="1">
        <v>86.3</v>
      </c>
      <c r="E316" s="1" t="s">
        <v>229</v>
      </c>
      <c r="F316" s="1" t="s">
        <v>4224</v>
      </c>
      <c r="G316" s="3" t="s">
        <v>3594</v>
      </c>
      <c r="H316" s="12" cm="1">
        <f t="array" ref="H316">_xlfn.IFS(I316&lt;197,I316*1.26,I316&gt;197,I316*1.17) + IF(I316&gt;1000,17,0)</f>
        <v>405.09565199999986</v>
      </c>
      <c r="I316" s="10">
        <f>($K$2+0.02)*Tabla1[[#This Row],[PRECIO $]]*1.18</f>
        <v>346.23559999999992</v>
      </c>
      <c r="J316" s="7">
        <f>+Tabla1[[#This Row],[PRECIO EN SOLES]]-Tabla1[[#This Row],[PC]]</f>
        <v>58.860051999999939</v>
      </c>
    </row>
    <row r="317" spans="1:10" x14ac:dyDescent="0.25">
      <c r="A317" s="3" t="s">
        <v>1346</v>
      </c>
      <c r="B317" s="3" t="s">
        <v>1347</v>
      </c>
      <c r="C317" s="1">
        <v>20</v>
      </c>
      <c r="D317" s="1">
        <v>50.3</v>
      </c>
      <c r="E317" s="1" t="s">
        <v>229</v>
      </c>
      <c r="F317" s="1" t="s">
        <v>4225</v>
      </c>
      <c r="G317" s="3" t="s">
        <v>1348</v>
      </c>
      <c r="H317" s="12" cm="1">
        <f t="array" ref="H317">_xlfn.IFS(I317&lt;197,I317*1.26,I317&gt;197,I317*1.17) + IF(I317&gt;1000,17,0)</f>
        <v>236.11021199999993</v>
      </c>
      <c r="I317" s="10">
        <f>($K$2+0.02)*Tabla1[[#This Row],[PRECIO $]]*1.18</f>
        <v>201.80359999999996</v>
      </c>
      <c r="J317" s="7">
        <f>+Tabla1[[#This Row],[PRECIO EN SOLES]]-Tabla1[[#This Row],[PC]]</f>
        <v>34.306611999999973</v>
      </c>
    </row>
    <row r="318" spans="1:10" x14ac:dyDescent="0.25">
      <c r="A318" s="3" t="s">
        <v>1349</v>
      </c>
      <c r="B318" s="3" t="s">
        <v>1350</v>
      </c>
      <c r="C318" s="1">
        <v>4</v>
      </c>
      <c r="D318" s="1">
        <v>135.30000000000001</v>
      </c>
      <c r="E318" s="1" t="s">
        <v>226</v>
      </c>
      <c r="F318" s="1" t="s">
        <v>4226</v>
      </c>
      <c r="G318" s="3" t="s">
        <v>1351</v>
      </c>
      <c r="H318" s="12" cm="1">
        <f t="array" ref="H318">_xlfn.IFS(I318&lt;197,I318*1.26,I318&gt;197,I318*1.17) + IF(I318&gt;1000,17,0)</f>
        <v>635.103612</v>
      </c>
      <c r="I318" s="10">
        <f>($K$2+0.02)*Tabla1[[#This Row],[PRECIO $]]*1.18</f>
        <v>542.82360000000006</v>
      </c>
      <c r="J318" s="7">
        <f>+Tabla1[[#This Row],[PRECIO EN SOLES]]-Tabla1[[#This Row],[PC]]</f>
        <v>92.280011999999942</v>
      </c>
    </row>
    <row r="319" spans="1:10" x14ac:dyDescent="0.25">
      <c r="A319" s="3" t="s">
        <v>1352</v>
      </c>
      <c r="B319" s="3" t="s">
        <v>1353</v>
      </c>
      <c r="C319" s="1">
        <v>2</v>
      </c>
      <c r="D319" s="1">
        <v>91.3</v>
      </c>
      <c r="E319" s="1" t="s">
        <v>226</v>
      </c>
      <c r="F319" s="1" t="s">
        <v>4227</v>
      </c>
      <c r="G319" s="3" t="s">
        <v>1354</v>
      </c>
      <c r="H319" s="12" cm="1">
        <f t="array" ref="H319">_xlfn.IFS(I319&lt;197,I319*1.26,I319&gt;197,I319*1.17) + IF(I319&gt;1000,17,0)</f>
        <v>428.56585199999989</v>
      </c>
      <c r="I319" s="10">
        <f>($K$2+0.02)*Tabla1[[#This Row],[PRECIO $]]*1.18</f>
        <v>366.29559999999992</v>
      </c>
      <c r="J319" s="7">
        <f>+Tabla1[[#This Row],[PRECIO EN SOLES]]-Tabla1[[#This Row],[PC]]</f>
        <v>62.270251999999971</v>
      </c>
    </row>
    <row r="320" spans="1:10" x14ac:dyDescent="0.25">
      <c r="A320" s="3" t="s">
        <v>1355</v>
      </c>
      <c r="B320" s="3" t="s">
        <v>1356</v>
      </c>
      <c r="C320" s="1">
        <v>20</v>
      </c>
      <c r="D320" s="1">
        <v>50.3</v>
      </c>
      <c r="E320" s="1" t="s">
        <v>229</v>
      </c>
      <c r="F320" s="1" t="s">
        <v>4228</v>
      </c>
      <c r="G320" s="3" t="s">
        <v>1357</v>
      </c>
      <c r="H320" s="12" cm="1">
        <f t="array" ref="H320">_xlfn.IFS(I320&lt;197,I320*1.26,I320&gt;197,I320*1.17) + IF(I320&gt;1000,17,0)</f>
        <v>236.11021199999993</v>
      </c>
      <c r="I320" s="10">
        <f>($K$2+0.02)*Tabla1[[#This Row],[PRECIO $]]*1.18</f>
        <v>201.80359999999996</v>
      </c>
      <c r="J320" s="7">
        <f>+Tabla1[[#This Row],[PRECIO EN SOLES]]-Tabla1[[#This Row],[PC]]</f>
        <v>34.306611999999973</v>
      </c>
    </row>
    <row r="321" spans="1:10" x14ac:dyDescent="0.25">
      <c r="A321" s="3" t="s">
        <v>1358</v>
      </c>
      <c r="B321" s="3" t="s">
        <v>1359</v>
      </c>
      <c r="C321" s="1">
        <v>11</v>
      </c>
      <c r="D321" s="1">
        <v>138.30000000000001</v>
      </c>
      <c r="E321" s="1" t="s">
        <v>248</v>
      </c>
      <c r="F321" s="1" t="s">
        <v>4229</v>
      </c>
      <c r="G321" s="3" t="s">
        <v>1360</v>
      </c>
      <c r="H321" s="12" cm="1">
        <f t="array" ref="H321">_xlfn.IFS(I321&lt;197,I321*1.26,I321&gt;197,I321*1.17) + IF(I321&gt;1000,17,0)</f>
        <v>649.18573199999992</v>
      </c>
      <c r="I321" s="10">
        <f>($K$2+0.02)*Tabla1[[#This Row],[PRECIO $]]*1.18</f>
        <v>554.8596</v>
      </c>
      <c r="J321" s="7">
        <f>+Tabla1[[#This Row],[PRECIO EN SOLES]]-Tabla1[[#This Row],[PC]]</f>
        <v>94.326131999999916</v>
      </c>
    </row>
    <row r="322" spans="1:10" x14ac:dyDescent="0.25">
      <c r="A322" s="3" t="s">
        <v>230</v>
      </c>
      <c r="B322" s="3" t="s">
        <v>231</v>
      </c>
      <c r="C322" s="1">
        <v>20</v>
      </c>
      <c r="D322" s="1">
        <v>138.30000000000001</v>
      </c>
      <c r="E322" s="1" t="s">
        <v>226</v>
      </c>
      <c r="F322" s="1" t="s">
        <v>4230</v>
      </c>
      <c r="G322" s="3" t="s">
        <v>232</v>
      </c>
      <c r="H322" s="12" cm="1">
        <f t="array" ref="H322">_xlfn.IFS(I322&lt;197,I322*1.26,I322&gt;197,I322*1.17) + IF(I322&gt;1000,17,0)</f>
        <v>649.18573199999992</v>
      </c>
      <c r="I322" s="10">
        <f>($K$2+0.02)*Tabla1[[#This Row],[PRECIO $]]*1.18</f>
        <v>554.8596</v>
      </c>
      <c r="J322" s="7">
        <f>+Tabla1[[#This Row],[PRECIO EN SOLES]]-Tabla1[[#This Row],[PC]]</f>
        <v>94.326131999999916</v>
      </c>
    </row>
    <row r="323" spans="1:10" x14ac:dyDescent="0.25">
      <c r="A323" s="3" t="s">
        <v>233</v>
      </c>
      <c r="B323" s="3" t="s">
        <v>234</v>
      </c>
      <c r="C323" s="1">
        <v>20</v>
      </c>
      <c r="D323" s="1">
        <v>235.5</v>
      </c>
      <c r="E323" s="1" t="s">
        <v>226</v>
      </c>
      <c r="F323" s="1" t="s">
        <v>4231</v>
      </c>
      <c r="G323" s="3" t="s">
        <v>235</v>
      </c>
      <c r="H323" s="12" cm="1">
        <f t="array" ref="H323">_xlfn.IFS(I323&lt;197,I323*1.26,I323&gt;197,I323*1.17) + IF(I323&gt;1000,17,0)</f>
        <v>1105.4464199999998</v>
      </c>
      <c r="I323" s="10">
        <f>($K$2+0.02)*Tabla1[[#This Row],[PRECIO $]]*1.18</f>
        <v>944.82599999999991</v>
      </c>
      <c r="J323" s="7">
        <f>+Tabla1[[#This Row],[PRECIO EN SOLES]]-Tabla1[[#This Row],[PC]]</f>
        <v>160.62041999999985</v>
      </c>
    </row>
    <row r="324" spans="1:10" x14ac:dyDescent="0.25">
      <c r="A324" s="3" t="s">
        <v>236</v>
      </c>
      <c r="B324" s="3" t="s">
        <v>237</v>
      </c>
      <c r="C324" s="1">
        <v>20</v>
      </c>
      <c r="D324" s="1">
        <v>140.30000000000001</v>
      </c>
      <c r="E324" s="1" t="s">
        <v>226</v>
      </c>
      <c r="F324" s="1" t="s">
        <v>4232</v>
      </c>
      <c r="G324" s="3" t="s">
        <v>238</v>
      </c>
      <c r="H324" s="12" cm="1">
        <f t="array" ref="H324">_xlfn.IFS(I324&lt;197,I324*1.26,I324&gt;197,I324*1.17) + IF(I324&gt;1000,17,0)</f>
        <v>658.57381199999998</v>
      </c>
      <c r="I324" s="10">
        <f>($K$2+0.02)*Tabla1[[#This Row],[PRECIO $]]*1.18</f>
        <v>562.8836</v>
      </c>
      <c r="J324" s="7">
        <f>+Tabla1[[#This Row],[PRECIO EN SOLES]]-Tabla1[[#This Row],[PC]]</f>
        <v>95.690211999999974</v>
      </c>
    </row>
    <row r="325" spans="1:10" x14ac:dyDescent="0.25">
      <c r="A325" s="3" t="s">
        <v>239</v>
      </c>
      <c r="B325" s="3" t="s">
        <v>240</v>
      </c>
      <c r="C325" s="1">
        <v>20</v>
      </c>
      <c r="D325" s="1">
        <v>235.5</v>
      </c>
      <c r="E325" s="1" t="s">
        <v>226</v>
      </c>
      <c r="F325" s="1" t="s">
        <v>4233</v>
      </c>
      <c r="G325" s="3" t="s">
        <v>241</v>
      </c>
      <c r="H325" s="12" cm="1">
        <f t="array" ref="H325">_xlfn.IFS(I325&lt;197,I325*1.26,I325&gt;197,I325*1.17) + IF(I325&gt;1000,17,0)</f>
        <v>1105.4464199999998</v>
      </c>
      <c r="I325" s="10">
        <f>($K$2+0.02)*Tabla1[[#This Row],[PRECIO $]]*1.18</f>
        <v>944.82599999999991</v>
      </c>
      <c r="J325" s="7">
        <f>+Tabla1[[#This Row],[PRECIO EN SOLES]]-Tabla1[[#This Row],[PC]]</f>
        <v>160.62041999999985</v>
      </c>
    </row>
    <row r="326" spans="1:10" x14ac:dyDescent="0.25">
      <c r="A326" s="3" t="s">
        <v>242</v>
      </c>
      <c r="B326" s="3" t="s">
        <v>243</v>
      </c>
      <c r="C326" s="1">
        <v>20</v>
      </c>
      <c r="D326" s="1">
        <v>162.30000000000001</v>
      </c>
      <c r="E326" s="1" t="s">
        <v>226</v>
      </c>
      <c r="F326" s="1" t="s">
        <v>4234</v>
      </c>
      <c r="G326" s="3" t="s">
        <v>244</v>
      </c>
      <c r="H326" s="12" cm="1">
        <f t="array" ref="H326">_xlfn.IFS(I326&lt;197,I326*1.26,I326&gt;197,I326*1.17) + IF(I326&gt;1000,17,0)</f>
        <v>761.84269199999994</v>
      </c>
      <c r="I326" s="10">
        <f>($K$2+0.02)*Tabla1[[#This Row],[PRECIO $]]*1.18</f>
        <v>651.14760000000001</v>
      </c>
      <c r="J326" s="7">
        <f>+Tabla1[[#This Row],[PRECIO EN SOLES]]-Tabla1[[#This Row],[PC]]</f>
        <v>110.69509199999993</v>
      </c>
    </row>
    <row r="327" spans="1:10" x14ac:dyDescent="0.25">
      <c r="A327" s="3" t="s">
        <v>757</v>
      </c>
      <c r="B327" s="3" t="s">
        <v>758</v>
      </c>
      <c r="C327" s="1">
        <v>20</v>
      </c>
      <c r="D327" s="1">
        <v>278.5</v>
      </c>
      <c r="E327" s="1" t="s">
        <v>226</v>
      </c>
      <c r="F327" s="1" t="s">
        <v>4235</v>
      </c>
      <c r="G327" s="3" t="s">
        <v>759</v>
      </c>
      <c r="H327" s="12" cm="1">
        <f t="array" ref="H327">_xlfn.IFS(I327&lt;197,I327*1.26,I327&gt;197,I327*1.17) + IF(I327&gt;1000,17,0)</f>
        <v>1324.2901399999998</v>
      </c>
      <c r="I327" s="10">
        <f>($K$2+0.02)*Tabla1[[#This Row],[PRECIO $]]*1.18</f>
        <v>1117.3419999999999</v>
      </c>
      <c r="J327" s="7">
        <f>+Tabla1[[#This Row],[PRECIO EN SOLES]]-Tabla1[[#This Row],[PC]]</f>
        <v>206.94813999999997</v>
      </c>
    </row>
    <row r="328" spans="1:10" x14ac:dyDescent="0.25">
      <c r="A328" s="3" t="s">
        <v>245</v>
      </c>
      <c r="B328" s="3" t="s">
        <v>246</v>
      </c>
      <c r="C328" s="1">
        <v>20</v>
      </c>
      <c r="D328" s="1">
        <v>476.5</v>
      </c>
      <c r="E328" s="1" t="s">
        <v>226</v>
      </c>
      <c r="F328" s="1" t="s">
        <v>4236</v>
      </c>
      <c r="G328" s="3" t="s">
        <v>247</v>
      </c>
      <c r="H328" s="12" cm="1">
        <f t="array" ref="H328">_xlfn.IFS(I328&lt;197,I328*1.26,I328&gt;197,I328*1.17) + IF(I328&gt;1000,17,0)</f>
        <v>2253.7100599999999</v>
      </c>
      <c r="I328" s="10">
        <f>($K$2+0.02)*Tabla1[[#This Row],[PRECIO $]]*1.18</f>
        <v>1911.7179999999998</v>
      </c>
      <c r="J328" s="7">
        <f>+Tabla1[[#This Row],[PRECIO EN SOLES]]-Tabla1[[#This Row],[PC]]</f>
        <v>341.99206000000004</v>
      </c>
    </row>
    <row r="329" spans="1:10" x14ac:dyDescent="0.25">
      <c r="A329" s="3" t="s">
        <v>1361</v>
      </c>
      <c r="B329" s="3" t="s">
        <v>1362</v>
      </c>
      <c r="C329" s="1">
        <v>20</v>
      </c>
      <c r="D329" s="1">
        <v>25.3</v>
      </c>
      <c r="E329" s="1" t="s">
        <v>249</v>
      </c>
      <c r="F329" s="1" t="s">
        <v>4237</v>
      </c>
      <c r="G329" s="3" t="s">
        <v>1363</v>
      </c>
      <c r="H329" s="12" cm="1">
        <f t="array" ref="H329">_xlfn.IFS(I329&lt;197,I329*1.26,I329&gt;197,I329*1.17) + IF(I329&gt;1000,17,0)</f>
        <v>127.89453599999999</v>
      </c>
      <c r="I329" s="10">
        <f>($K$2+0.02)*Tabla1[[#This Row],[PRECIO $]]*1.18</f>
        <v>101.50359999999999</v>
      </c>
      <c r="J329" s="7">
        <f>+Tabla1[[#This Row],[PRECIO EN SOLES]]-Tabla1[[#This Row],[PC]]</f>
        <v>26.390935999999996</v>
      </c>
    </row>
    <row r="330" spans="1:10" x14ac:dyDescent="0.25">
      <c r="A330" s="3" t="s">
        <v>1364</v>
      </c>
      <c r="B330" s="3" t="s">
        <v>1365</v>
      </c>
      <c r="C330" s="1">
        <v>15</v>
      </c>
      <c r="D330" s="1">
        <v>217</v>
      </c>
      <c r="E330" s="1" t="s">
        <v>1366</v>
      </c>
      <c r="F330" s="1" t="s">
        <v>4238</v>
      </c>
      <c r="G330" s="3" t="s">
        <v>1367</v>
      </c>
      <c r="H330" s="12" cm="1">
        <f t="array" ref="H330">_xlfn.IFS(I330&lt;197,I330*1.26,I330&gt;197,I330*1.17) + IF(I330&gt;1000,17,0)</f>
        <v>1018.6066799999999</v>
      </c>
      <c r="I330" s="10">
        <f>($K$2+0.02)*Tabla1[[#This Row],[PRECIO $]]*1.18</f>
        <v>870.60399999999993</v>
      </c>
      <c r="J330" s="7">
        <f>+Tabla1[[#This Row],[PRECIO EN SOLES]]-Tabla1[[#This Row],[PC]]</f>
        <v>148.00267999999994</v>
      </c>
    </row>
    <row r="331" spans="1:10" x14ac:dyDescent="0.25">
      <c r="A331" s="3" t="s">
        <v>1368</v>
      </c>
      <c r="B331" s="3" t="s">
        <v>1369</v>
      </c>
      <c r="C331" s="1">
        <v>3</v>
      </c>
      <c r="D331" s="1">
        <v>48</v>
      </c>
      <c r="E331" s="1" t="s">
        <v>52</v>
      </c>
      <c r="F331" s="1" t="s">
        <v>4239</v>
      </c>
      <c r="G331" s="3" t="s">
        <v>1370</v>
      </c>
      <c r="H331" s="12" cm="1">
        <f t="array" ref="H331">_xlfn.IFS(I331&lt;197,I331*1.26,I331&gt;197,I331*1.17) + IF(I331&gt;1000,17,0)</f>
        <v>242.64575999999997</v>
      </c>
      <c r="I331" s="10">
        <f>($K$2+0.02)*Tabla1[[#This Row],[PRECIO $]]*1.18</f>
        <v>192.57599999999996</v>
      </c>
      <c r="J331" s="7">
        <f>+Tabla1[[#This Row],[PRECIO EN SOLES]]-Tabla1[[#This Row],[PC]]</f>
        <v>50.069760000000002</v>
      </c>
    </row>
    <row r="332" spans="1:10" x14ac:dyDescent="0.25">
      <c r="A332" s="3" t="s">
        <v>1371</v>
      </c>
      <c r="B332" s="3" t="s">
        <v>1372</v>
      </c>
      <c r="C332" s="1">
        <v>20</v>
      </c>
      <c r="D332" s="1">
        <v>3</v>
      </c>
      <c r="E332" s="1" t="s">
        <v>254</v>
      </c>
      <c r="F332" s="1" t="s">
        <v>4240</v>
      </c>
      <c r="G332" s="3" t="s">
        <v>1373</v>
      </c>
      <c r="H332" s="12" cm="1">
        <f t="array" ref="H332">_xlfn.IFS(I332&lt;197,I332*1.26,I332&gt;197,I332*1.17) + IF(I332&gt;1000,17,0)</f>
        <v>15.165359999999998</v>
      </c>
      <c r="I332" s="10">
        <f>($K$2+0.02)*Tabla1[[#This Row],[PRECIO $]]*1.18</f>
        <v>12.035999999999998</v>
      </c>
      <c r="J332" s="7">
        <f>+Tabla1[[#This Row],[PRECIO EN SOLES]]-Tabla1[[#This Row],[PC]]</f>
        <v>3.1293600000000001</v>
      </c>
    </row>
    <row r="333" spans="1:10" x14ac:dyDescent="0.25">
      <c r="A333" s="3" t="s">
        <v>3763</v>
      </c>
      <c r="B333" s="3" t="s">
        <v>3764</v>
      </c>
      <c r="C333" s="1">
        <v>20</v>
      </c>
      <c r="D333" s="1">
        <v>9</v>
      </c>
      <c r="E333" s="1" t="s">
        <v>254</v>
      </c>
      <c r="F333" s="1" t="s">
        <v>4241</v>
      </c>
      <c r="G333" s="3" t="s">
        <v>3765</v>
      </c>
      <c r="H333" s="12" cm="1">
        <f t="array" ref="H333">_xlfn.IFS(I333&lt;197,I333*1.26,I333&gt;197,I333*1.17) + IF(I333&gt;1000,17,0)</f>
        <v>45.496079999999999</v>
      </c>
      <c r="I333" s="10">
        <f>($K$2+0.02)*Tabla1[[#This Row],[PRECIO $]]*1.18</f>
        <v>36.107999999999997</v>
      </c>
      <c r="J333" s="7">
        <f>+Tabla1[[#This Row],[PRECIO EN SOLES]]-Tabla1[[#This Row],[PC]]</f>
        <v>9.3880800000000022</v>
      </c>
    </row>
    <row r="334" spans="1:10" x14ac:dyDescent="0.25">
      <c r="A334" s="3" t="s">
        <v>712</v>
      </c>
      <c r="B334" s="3" t="s">
        <v>713</v>
      </c>
      <c r="C334" s="1">
        <v>20</v>
      </c>
      <c r="D334" s="1">
        <v>65</v>
      </c>
      <c r="E334" s="1" t="s">
        <v>254</v>
      </c>
      <c r="F334" s="1" t="s">
        <v>4242</v>
      </c>
      <c r="G334" s="3" t="s">
        <v>714</v>
      </c>
      <c r="H334" s="12" cm="1">
        <f t="array" ref="H334">_xlfn.IFS(I334&lt;197,I334*1.26,I334&gt;197,I334*1.17) + IF(I334&gt;1000,17,0)</f>
        <v>305.11259999999993</v>
      </c>
      <c r="I334" s="10">
        <f>($K$2+0.02)*Tabla1[[#This Row],[PRECIO $]]*1.18</f>
        <v>260.77999999999997</v>
      </c>
      <c r="J334" s="7">
        <f>+Tabla1[[#This Row],[PRECIO EN SOLES]]-Tabla1[[#This Row],[PC]]</f>
        <v>44.332599999999957</v>
      </c>
    </row>
    <row r="335" spans="1:10" x14ac:dyDescent="0.25">
      <c r="A335" s="3" t="s">
        <v>1374</v>
      </c>
      <c r="B335" s="3" t="s">
        <v>1375</v>
      </c>
      <c r="C335" s="1">
        <v>20</v>
      </c>
      <c r="D335" s="1">
        <v>55</v>
      </c>
      <c r="E335" s="1" t="s">
        <v>250</v>
      </c>
      <c r="F335" s="1" t="s">
        <v>4243</v>
      </c>
      <c r="G335" s="3" t="s">
        <v>6171</v>
      </c>
      <c r="H335" s="12" cm="1">
        <f t="array" ref="H335">_xlfn.IFS(I335&lt;197,I335*1.26,I335&gt;197,I335*1.17) + IF(I335&gt;1000,17,0)</f>
        <v>258.17219999999998</v>
      </c>
      <c r="I335" s="10">
        <f>($K$2+0.02)*Tabla1[[#This Row],[PRECIO $]]*1.18</f>
        <v>220.66</v>
      </c>
      <c r="J335" s="7">
        <f>+Tabla1[[#This Row],[PRECIO EN SOLES]]-Tabla1[[#This Row],[PC]]</f>
        <v>37.512199999999979</v>
      </c>
    </row>
    <row r="336" spans="1:10" x14ac:dyDescent="0.25">
      <c r="A336" s="3" t="s">
        <v>251</v>
      </c>
      <c r="B336" s="3" t="s">
        <v>252</v>
      </c>
      <c r="C336" s="1">
        <v>20</v>
      </c>
      <c r="D336" s="1">
        <v>30.5</v>
      </c>
      <c r="E336" s="1" t="s">
        <v>250</v>
      </c>
      <c r="F336" s="1" t="s">
        <v>4244</v>
      </c>
      <c r="G336" s="3" t="s">
        <v>253</v>
      </c>
      <c r="H336" s="12" cm="1">
        <f t="array" ref="H336">_xlfn.IFS(I336&lt;197,I336*1.26,I336&gt;197,I336*1.17) + IF(I336&gt;1000,17,0)</f>
        <v>154.18116000000001</v>
      </c>
      <c r="I336" s="10">
        <f>($K$2+0.02)*Tabla1[[#This Row],[PRECIO $]]*1.18</f>
        <v>122.366</v>
      </c>
      <c r="J336" s="7">
        <f>+Tabla1[[#This Row],[PRECIO EN SOLES]]-Tabla1[[#This Row],[PC]]</f>
        <v>31.815160000000006</v>
      </c>
    </row>
    <row r="337" spans="1:10" x14ac:dyDescent="0.25">
      <c r="A337" s="3" t="s">
        <v>1376</v>
      </c>
      <c r="B337" s="3" t="s">
        <v>1377</v>
      </c>
      <c r="C337" s="1">
        <v>20</v>
      </c>
      <c r="D337" s="1">
        <v>31</v>
      </c>
      <c r="E337" s="1" t="s">
        <v>250</v>
      </c>
      <c r="F337" s="1" t="s">
        <v>4245</v>
      </c>
      <c r="G337" s="3" t="s">
        <v>1378</v>
      </c>
      <c r="H337" s="12" cm="1">
        <f t="array" ref="H337">_xlfn.IFS(I337&lt;197,I337*1.26,I337&gt;197,I337*1.17) + IF(I337&gt;1000,17,0)</f>
        <v>156.70871999999997</v>
      </c>
      <c r="I337" s="10">
        <f>($K$2+0.02)*Tabla1[[#This Row],[PRECIO $]]*1.18</f>
        <v>124.37199999999999</v>
      </c>
      <c r="J337" s="7">
        <f>+Tabla1[[#This Row],[PRECIO EN SOLES]]-Tabla1[[#This Row],[PC]]</f>
        <v>32.336719999999985</v>
      </c>
    </row>
    <row r="338" spans="1:10" x14ac:dyDescent="0.25">
      <c r="A338" s="3" t="s">
        <v>760</v>
      </c>
      <c r="B338" s="3" t="s">
        <v>761</v>
      </c>
      <c r="C338" s="1">
        <v>20</v>
      </c>
      <c r="D338" s="1">
        <v>125</v>
      </c>
      <c r="E338" s="1" t="s">
        <v>250</v>
      </c>
      <c r="F338" s="1" t="s">
        <v>4246</v>
      </c>
      <c r="G338" s="3" t="s">
        <v>6172</v>
      </c>
      <c r="H338" s="12" cm="1">
        <f t="array" ref="H338">_xlfn.IFS(I338&lt;197,I338*1.26,I338&gt;197,I338*1.17) + IF(I338&gt;1000,17,0)</f>
        <v>586.755</v>
      </c>
      <c r="I338" s="10">
        <f>($K$2+0.02)*Tabla1[[#This Row],[PRECIO $]]*1.18</f>
        <v>501.5</v>
      </c>
      <c r="J338" s="7">
        <f>+Tabla1[[#This Row],[PRECIO EN SOLES]]-Tabla1[[#This Row],[PC]]</f>
        <v>85.254999999999995</v>
      </c>
    </row>
    <row r="339" spans="1:10" x14ac:dyDescent="0.25">
      <c r="A339" s="3" t="s">
        <v>1379</v>
      </c>
      <c r="B339" s="3" t="s">
        <v>1380</v>
      </c>
      <c r="C339" s="1">
        <v>7</v>
      </c>
      <c r="D339" s="1">
        <v>875</v>
      </c>
      <c r="E339" s="1" t="s">
        <v>250</v>
      </c>
      <c r="F339" s="1" t="s">
        <v>4247</v>
      </c>
      <c r="G339" s="3" t="s">
        <v>1381</v>
      </c>
      <c r="H339" s="12" cm="1">
        <f t="array" ref="H339">_xlfn.IFS(I339&lt;197,I339*1.26,I339&gt;197,I339*1.17) + IF(I339&gt;1000,17,0)</f>
        <v>4124.2849999999999</v>
      </c>
      <c r="I339" s="10">
        <f>($K$2+0.02)*Tabla1[[#This Row],[PRECIO $]]*1.18</f>
        <v>3510.5</v>
      </c>
      <c r="J339" s="7">
        <f>+Tabla1[[#This Row],[PRECIO EN SOLES]]-Tabla1[[#This Row],[PC]]</f>
        <v>613.78499999999985</v>
      </c>
    </row>
    <row r="340" spans="1:10" x14ac:dyDescent="0.25">
      <c r="A340" s="3" t="s">
        <v>3497</v>
      </c>
      <c r="B340" s="3" t="s">
        <v>3498</v>
      </c>
      <c r="C340" s="1">
        <v>0</v>
      </c>
      <c r="D340" s="1">
        <v>13.5</v>
      </c>
      <c r="E340" s="1" t="s">
        <v>254</v>
      </c>
      <c r="F340" s="1" t="s">
        <v>4248</v>
      </c>
      <c r="G340" s="3" t="s">
        <v>3524</v>
      </c>
      <c r="H340" s="12" cm="1">
        <f t="array" ref="H340">_xlfn.IFS(I340&lt;197,I340*1.26,I340&gt;197,I340*1.17) + IF(I340&gt;1000,17,0)</f>
        <v>68.244119999999995</v>
      </c>
      <c r="I340" s="10">
        <f>($K$2+0.02)*Tabla1[[#This Row],[PRECIO $]]*1.18</f>
        <v>54.161999999999992</v>
      </c>
      <c r="J340" s="7">
        <f>+Tabla1[[#This Row],[PRECIO EN SOLES]]-Tabla1[[#This Row],[PC]]</f>
        <v>14.082120000000003</v>
      </c>
    </row>
    <row r="341" spans="1:10" x14ac:dyDescent="0.25">
      <c r="A341" s="3" t="s">
        <v>3499</v>
      </c>
      <c r="B341" s="3" t="s">
        <v>3500</v>
      </c>
      <c r="C341" s="1">
        <v>0</v>
      </c>
      <c r="D341" s="1">
        <v>11.9</v>
      </c>
      <c r="E341" s="1" t="s">
        <v>254</v>
      </c>
      <c r="F341" s="1" t="s">
        <v>4249</v>
      </c>
      <c r="G341" s="3" t="s">
        <v>3525</v>
      </c>
      <c r="H341" s="12" cm="1">
        <f t="array" ref="H341">_xlfn.IFS(I341&lt;197,I341*1.26,I341&gt;197,I341*1.17) + IF(I341&gt;1000,17,0)</f>
        <v>60.155927999999996</v>
      </c>
      <c r="I341" s="10">
        <f>($K$2+0.02)*Tabla1[[#This Row],[PRECIO $]]*1.18</f>
        <v>47.742799999999995</v>
      </c>
      <c r="J341" s="7">
        <f>+Tabla1[[#This Row],[PRECIO EN SOLES]]-Tabla1[[#This Row],[PC]]</f>
        <v>12.413128</v>
      </c>
    </row>
    <row r="342" spans="1:10" x14ac:dyDescent="0.25">
      <c r="A342" s="3" t="s">
        <v>3595</v>
      </c>
      <c r="B342" s="3" t="s">
        <v>3596</v>
      </c>
      <c r="C342" s="1">
        <v>1</v>
      </c>
      <c r="D342" s="1">
        <v>227</v>
      </c>
      <c r="E342" s="1" t="s">
        <v>250</v>
      </c>
      <c r="F342" s="1" t="s">
        <v>4250</v>
      </c>
      <c r="G342" s="3" t="s">
        <v>3597</v>
      </c>
      <c r="H342" s="12" cm="1">
        <f t="array" ref="H342">_xlfn.IFS(I342&lt;197,I342*1.26,I342&gt;197,I342*1.17) + IF(I342&gt;1000,17,0)</f>
        <v>1065.5470799999998</v>
      </c>
      <c r="I342" s="10">
        <f>($K$2+0.02)*Tabla1[[#This Row],[PRECIO $]]*1.18</f>
        <v>910.72399999999993</v>
      </c>
      <c r="J342" s="7">
        <f>+Tabla1[[#This Row],[PRECIO EN SOLES]]-Tabla1[[#This Row],[PC]]</f>
        <v>154.82307999999989</v>
      </c>
    </row>
    <row r="343" spans="1:10" x14ac:dyDescent="0.25">
      <c r="A343" s="3" t="s">
        <v>1382</v>
      </c>
      <c r="B343" s="3" t="s">
        <v>1383</v>
      </c>
      <c r="C343" s="1">
        <v>7</v>
      </c>
      <c r="D343" s="1">
        <v>150</v>
      </c>
      <c r="E343" s="1" t="s">
        <v>250</v>
      </c>
      <c r="F343" s="1" t="s">
        <v>4251</v>
      </c>
      <c r="G343" s="3" t="s">
        <v>1384</v>
      </c>
      <c r="H343" s="12" cm="1">
        <f t="array" ref="H343">_xlfn.IFS(I343&lt;197,I343*1.26,I343&gt;197,I343*1.17) + IF(I343&gt;1000,17,0)</f>
        <v>704.10599999999988</v>
      </c>
      <c r="I343" s="10">
        <f>($K$2+0.02)*Tabla1[[#This Row],[PRECIO $]]*1.18</f>
        <v>601.79999999999995</v>
      </c>
      <c r="J343" s="7">
        <f>+Tabla1[[#This Row],[PRECIO EN SOLES]]-Tabla1[[#This Row],[PC]]</f>
        <v>102.30599999999993</v>
      </c>
    </row>
    <row r="344" spans="1:10" x14ac:dyDescent="0.25">
      <c r="A344" s="3" t="s">
        <v>1385</v>
      </c>
      <c r="B344" s="3" t="s">
        <v>1386</v>
      </c>
      <c r="C344" s="1">
        <v>4</v>
      </c>
      <c r="D344" s="1">
        <v>156</v>
      </c>
      <c r="E344" s="1" t="s">
        <v>250</v>
      </c>
      <c r="F344" s="1" t="s">
        <v>4252</v>
      </c>
      <c r="G344" s="3" t="s">
        <v>1387</v>
      </c>
      <c r="H344" s="12" cm="1">
        <f t="array" ref="H344">_xlfn.IFS(I344&lt;197,I344*1.26,I344&gt;197,I344*1.17) + IF(I344&gt;1000,17,0)</f>
        <v>732.27023999999994</v>
      </c>
      <c r="I344" s="10">
        <f>($K$2+0.02)*Tabla1[[#This Row],[PRECIO $]]*1.18</f>
        <v>625.87199999999996</v>
      </c>
      <c r="J344" s="7">
        <f>+Tabla1[[#This Row],[PRECIO EN SOLES]]-Tabla1[[#This Row],[PC]]</f>
        <v>106.39823999999999</v>
      </c>
    </row>
    <row r="345" spans="1:10" x14ac:dyDescent="0.25">
      <c r="A345" s="3" t="s">
        <v>1388</v>
      </c>
      <c r="B345" s="3" t="s">
        <v>1389</v>
      </c>
      <c r="C345" s="1">
        <v>5</v>
      </c>
      <c r="D345" s="1">
        <v>163</v>
      </c>
      <c r="E345" s="1" t="s">
        <v>250</v>
      </c>
      <c r="F345" s="1" t="s">
        <v>4253</v>
      </c>
      <c r="G345" s="3" t="s">
        <v>1390</v>
      </c>
      <c r="H345" s="12" cm="1">
        <f t="array" ref="H345">_xlfn.IFS(I345&lt;197,I345*1.26,I345&gt;197,I345*1.17) + IF(I345&gt;1000,17,0)</f>
        <v>765.12851999999987</v>
      </c>
      <c r="I345" s="10">
        <f>($K$2+0.02)*Tabla1[[#This Row],[PRECIO $]]*1.18</f>
        <v>653.9559999999999</v>
      </c>
      <c r="J345" s="7">
        <f>+Tabla1[[#This Row],[PRECIO EN SOLES]]-Tabla1[[#This Row],[PC]]</f>
        <v>111.17251999999996</v>
      </c>
    </row>
    <row r="346" spans="1:10" x14ac:dyDescent="0.25">
      <c r="A346" s="3" t="s">
        <v>1391</v>
      </c>
      <c r="B346" s="3" t="s">
        <v>255</v>
      </c>
      <c r="C346" s="1">
        <v>0</v>
      </c>
      <c r="D346" s="1">
        <v>999</v>
      </c>
      <c r="E346" s="1" t="s">
        <v>214</v>
      </c>
      <c r="F346" s="1" t="s">
        <v>4254</v>
      </c>
      <c r="G346" s="3"/>
      <c r="H346" s="12" cm="1">
        <f t="array" ref="H346">_xlfn.IFS(I346&lt;197,I346*1.26,I346&gt;197,I346*1.17) + IF(I346&gt;1000,17,0)</f>
        <v>4706.3459599999996</v>
      </c>
      <c r="I346" s="10">
        <f>($K$2+0.02)*Tabla1[[#This Row],[PRECIO $]]*1.18</f>
        <v>4007.9879999999998</v>
      </c>
      <c r="J346" s="7">
        <f>+Tabla1[[#This Row],[PRECIO EN SOLES]]-Tabla1[[#This Row],[PC]]</f>
        <v>698.35795999999982</v>
      </c>
    </row>
    <row r="347" spans="1:10" x14ac:dyDescent="0.25">
      <c r="A347" s="3" t="s">
        <v>5992</v>
      </c>
      <c r="B347" s="3" t="s">
        <v>5993</v>
      </c>
      <c r="C347" s="1">
        <v>0</v>
      </c>
      <c r="D347" s="1">
        <v>39.6</v>
      </c>
      <c r="E347" s="1" t="s">
        <v>5994</v>
      </c>
      <c r="F347" s="1" t="s">
        <v>5995</v>
      </c>
      <c r="G347" s="3" t="s">
        <v>5996</v>
      </c>
      <c r="H347" s="12" cm="1">
        <f t="array" ref="H347">_xlfn.IFS(I347&lt;197,I347*1.26,I347&gt;197,I347*1.17) + IF(I347&gt;1000,17,0)</f>
        <v>200.18275200000002</v>
      </c>
      <c r="I347" s="10">
        <f>($K$2+0.02)*Tabla1[[#This Row],[PRECIO $]]*1.18</f>
        <v>158.87520000000001</v>
      </c>
      <c r="J347" s="7">
        <f>+Tabla1[[#This Row],[PRECIO EN SOLES]]-Tabla1[[#This Row],[PC]]</f>
        <v>41.307552000000015</v>
      </c>
    </row>
    <row r="348" spans="1:10" x14ac:dyDescent="0.25">
      <c r="A348" s="3" t="s">
        <v>5997</v>
      </c>
      <c r="B348" s="3" t="s">
        <v>5998</v>
      </c>
      <c r="C348" s="1">
        <v>6</v>
      </c>
      <c r="D348" s="1">
        <v>21.6</v>
      </c>
      <c r="E348" s="1" t="s">
        <v>5994</v>
      </c>
      <c r="F348" s="1" t="s">
        <v>5999</v>
      </c>
      <c r="G348" s="3" t="s">
        <v>6000</v>
      </c>
      <c r="H348" s="12" cm="1">
        <f t="array" ref="H348">_xlfn.IFS(I348&lt;197,I348*1.26,I348&gt;197,I348*1.17) + IF(I348&gt;1000,17,0)</f>
        <v>109.190592</v>
      </c>
      <c r="I348" s="10">
        <f>($K$2+0.02)*Tabla1[[#This Row],[PRECIO $]]*1.18</f>
        <v>86.659199999999998</v>
      </c>
      <c r="J348" s="7">
        <f>+Tabla1[[#This Row],[PRECIO EN SOLES]]-Tabla1[[#This Row],[PC]]</f>
        <v>22.531391999999997</v>
      </c>
    </row>
    <row r="349" spans="1:10" x14ac:dyDescent="0.25">
      <c r="A349" s="3" t="s">
        <v>762</v>
      </c>
      <c r="B349" s="3" t="s">
        <v>763</v>
      </c>
      <c r="C349" s="1">
        <v>20</v>
      </c>
      <c r="D349" s="1">
        <v>4.75</v>
      </c>
      <c r="E349" s="1" t="s">
        <v>52</v>
      </c>
      <c r="F349" s="1" t="s">
        <v>4255</v>
      </c>
      <c r="G349" s="3" t="s">
        <v>764</v>
      </c>
      <c r="H349" s="12" cm="1">
        <f t="array" ref="H349">_xlfn.IFS(I349&lt;197,I349*1.26,I349&gt;197,I349*1.17) + IF(I349&gt;1000,17,0)</f>
        <v>24.01182</v>
      </c>
      <c r="I349" s="10">
        <f>($K$2+0.02)*Tabla1[[#This Row],[PRECIO $]]*1.18</f>
        <v>19.056999999999999</v>
      </c>
      <c r="J349" s="7">
        <f>+Tabla1[[#This Row],[PRECIO EN SOLES]]-Tabla1[[#This Row],[PC]]</f>
        <v>4.9548200000000016</v>
      </c>
    </row>
    <row r="350" spans="1:10" x14ac:dyDescent="0.25">
      <c r="A350" s="3" t="s">
        <v>257</v>
      </c>
      <c r="B350" s="3" t="s">
        <v>258</v>
      </c>
      <c r="C350" s="1">
        <v>20</v>
      </c>
      <c r="D350" s="1">
        <v>15.8</v>
      </c>
      <c r="E350" s="1" t="s">
        <v>52</v>
      </c>
      <c r="F350" s="1" t="s">
        <v>4256</v>
      </c>
      <c r="G350" s="3" t="s">
        <v>259</v>
      </c>
      <c r="H350" s="12" cm="1">
        <f t="array" ref="H350">_xlfn.IFS(I350&lt;197,I350*1.26,I350&gt;197,I350*1.17) + IF(I350&gt;1000,17,0)</f>
        <v>79.870895999999988</v>
      </c>
      <c r="I350" s="10">
        <f>($K$2+0.02)*Tabla1[[#This Row],[PRECIO $]]*1.18</f>
        <v>63.389599999999994</v>
      </c>
      <c r="J350" s="7">
        <f>+Tabla1[[#This Row],[PRECIO EN SOLES]]-Tabla1[[#This Row],[PC]]</f>
        <v>16.481295999999993</v>
      </c>
    </row>
    <row r="351" spans="1:10" x14ac:dyDescent="0.25">
      <c r="A351" s="3" t="s">
        <v>260</v>
      </c>
      <c r="B351" s="3" t="s">
        <v>261</v>
      </c>
      <c r="C351" s="1">
        <v>20</v>
      </c>
      <c r="D351" s="1">
        <v>10.5</v>
      </c>
      <c r="E351" s="1" t="s">
        <v>52</v>
      </c>
      <c r="F351" s="1" t="s">
        <v>4257</v>
      </c>
      <c r="G351" s="3" t="s">
        <v>262</v>
      </c>
      <c r="H351" s="12" cm="1">
        <f t="array" ref="H351">_xlfn.IFS(I351&lt;197,I351*1.26,I351&gt;197,I351*1.17) + IF(I351&gt;1000,17,0)</f>
        <v>53.078759999999988</v>
      </c>
      <c r="I351" s="10">
        <f>($K$2+0.02)*Tabla1[[#This Row],[PRECIO $]]*1.18</f>
        <v>42.125999999999991</v>
      </c>
      <c r="J351" s="7">
        <f>+Tabla1[[#This Row],[PRECIO EN SOLES]]-Tabla1[[#This Row],[PC]]</f>
        <v>10.952759999999998</v>
      </c>
    </row>
    <row r="352" spans="1:10" x14ac:dyDescent="0.25">
      <c r="A352" s="3" t="s">
        <v>263</v>
      </c>
      <c r="B352" s="3" t="s">
        <v>264</v>
      </c>
      <c r="C352" s="1">
        <v>20</v>
      </c>
      <c r="D352" s="1">
        <v>24.3</v>
      </c>
      <c r="E352" s="1" t="s">
        <v>52</v>
      </c>
      <c r="F352" s="1" t="s">
        <v>4258</v>
      </c>
      <c r="G352" s="3" t="s">
        <v>265</v>
      </c>
      <c r="H352" s="12" cm="1">
        <f t="array" ref="H352">_xlfn.IFS(I352&lt;197,I352*1.26,I352&gt;197,I352*1.17) + IF(I352&gt;1000,17,0)</f>
        <v>122.83941600000001</v>
      </c>
      <c r="I352" s="10">
        <f>($K$2+0.02)*Tabla1[[#This Row],[PRECIO $]]*1.18</f>
        <v>97.491600000000005</v>
      </c>
      <c r="J352" s="7">
        <f>+Tabla1[[#This Row],[PRECIO EN SOLES]]-Tabla1[[#This Row],[PC]]</f>
        <v>25.347816000000009</v>
      </c>
    </row>
    <row r="353" spans="1:10" x14ac:dyDescent="0.25">
      <c r="A353" s="3" t="s">
        <v>1392</v>
      </c>
      <c r="B353" s="3" t="s">
        <v>1393</v>
      </c>
      <c r="C353" s="1">
        <v>1</v>
      </c>
      <c r="D353" s="1">
        <v>54</v>
      </c>
      <c r="E353" s="1" t="s">
        <v>169</v>
      </c>
      <c r="F353" s="1" t="s">
        <v>4259</v>
      </c>
      <c r="G353" s="3"/>
      <c r="H353" s="12" cm="1">
        <f t="array" ref="H353">_xlfn.IFS(I353&lt;197,I353*1.26,I353&gt;197,I353*1.17) + IF(I353&gt;1000,17,0)</f>
        <v>253.47815999999995</v>
      </c>
      <c r="I353" s="10">
        <f>($K$2+0.02)*Tabla1[[#This Row],[PRECIO $]]*1.18</f>
        <v>216.64799999999997</v>
      </c>
      <c r="J353" s="7">
        <f>+Tabla1[[#This Row],[PRECIO EN SOLES]]-Tabla1[[#This Row],[PC]]</f>
        <v>36.830159999999978</v>
      </c>
    </row>
    <row r="354" spans="1:10" x14ac:dyDescent="0.25">
      <c r="A354" s="3" t="s">
        <v>1394</v>
      </c>
      <c r="B354" s="3" t="s">
        <v>1395</v>
      </c>
      <c r="C354" s="1">
        <v>13</v>
      </c>
      <c r="D354" s="1">
        <v>67.91</v>
      </c>
      <c r="E354" s="1" t="s">
        <v>169</v>
      </c>
      <c r="F354" s="1" t="s">
        <v>4260</v>
      </c>
      <c r="G354" s="3"/>
      <c r="H354" s="12" cm="1">
        <f t="array" ref="H354">_xlfn.IFS(I354&lt;197,I354*1.26,I354&gt;197,I354*1.17) + IF(I354&gt;1000,17,0)</f>
        <v>318.77225639999995</v>
      </c>
      <c r="I354" s="10">
        <f>($K$2+0.02)*Tabla1[[#This Row],[PRECIO $]]*1.18</f>
        <v>272.45491999999996</v>
      </c>
      <c r="J354" s="7">
        <f>+Tabla1[[#This Row],[PRECIO EN SOLES]]-Tabla1[[#This Row],[PC]]</f>
        <v>46.317336399999988</v>
      </c>
    </row>
    <row r="355" spans="1:10" x14ac:dyDescent="0.25">
      <c r="A355" s="3" t="s">
        <v>1397</v>
      </c>
      <c r="B355" s="3" t="s">
        <v>1398</v>
      </c>
      <c r="C355" s="1">
        <v>1</v>
      </c>
      <c r="D355" s="1">
        <v>908</v>
      </c>
      <c r="E355" s="1" t="s">
        <v>56</v>
      </c>
      <c r="F355" s="1" t="s">
        <v>4261</v>
      </c>
      <c r="G355" s="3" t="s">
        <v>1399</v>
      </c>
      <c r="H355" s="12" cm="1">
        <f t="array" ref="H355">_xlfn.IFS(I355&lt;197,I355*1.26,I355&gt;197,I355*1.17) + IF(I355&gt;1000,17,0)</f>
        <v>4279.1883199999993</v>
      </c>
      <c r="I355" s="10">
        <f>($K$2+0.02)*Tabla1[[#This Row],[PRECIO $]]*1.18</f>
        <v>3642.8959999999997</v>
      </c>
      <c r="J355" s="7">
        <f>+Tabla1[[#This Row],[PRECIO EN SOLES]]-Tabla1[[#This Row],[PC]]</f>
        <v>636.29231999999956</v>
      </c>
    </row>
    <row r="356" spans="1:10" x14ac:dyDescent="0.25">
      <c r="A356" s="3" t="s">
        <v>1400</v>
      </c>
      <c r="B356" s="3" t="s">
        <v>1401</v>
      </c>
      <c r="C356" s="1">
        <v>1</v>
      </c>
      <c r="D356" s="1">
        <v>2000</v>
      </c>
      <c r="E356" s="1" t="s">
        <v>56</v>
      </c>
      <c r="F356" s="1" t="s">
        <v>4262</v>
      </c>
      <c r="G356" s="3"/>
      <c r="H356" s="12" cm="1">
        <f t="array" ref="H356">_xlfn.IFS(I356&lt;197,I356*1.26,I356&gt;197,I356*1.17) + IF(I356&gt;1000,17,0)</f>
        <v>9405.08</v>
      </c>
      <c r="I356" s="10">
        <f>($K$2+0.02)*Tabla1[[#This Row],[PRECIO $]]*1.18</f>
        <v>8024</v>
      </c>
      <c r="J356" s="7">
        <f>+Tabla1[[#This Row],[PRECIO EN SOLES]]-Tabla1[[#This Row],[PC]]</f>
        <v>1381.08</v>
      </c>
    </row>
    <row r="357" spans="1:10" x14ac:dyDescent="0.25">
      <c r="A357" s="3" t="s">
        <v>1402</v>
      </c>
      <c r="B357" s="3" t="s">
        <v>1403</v>
      </c>
      <c r="C357" s="1">
        <v>5</v>
      </c>
      <c r="D357" s="1">
        <v>42</v>
      </c>
      <c r="E357" s="1" t="s">
        <v>163</v>
      </c>
      <c r="F357" s="1" t="s">
        <v>4263</v>
      </c>
      <c r="G357" s="3"/>
      <c r="H357" s="12" cm="1">
        <f t="array" ref="H357">_xlfn.IFS(I357&lt;197,I357*1.26,I357&gt;197,I357*1.17) + IF(I357&gt;1000,17,0)</f>
        <v>212.31503999999995</v>
      </c>
      <c r="I357" s="10">
        <f>($K$2+0.02)*Tabla1[[#This Row],[PRECIO $]]*1.18</f>
        <v>168.50399999999996</v>
      </c>
      <c r="J357" s="7">
        <f>+Tabla1[[#This Row],[PRECIO EN SOLES]]-Tabla1[[#This Row],[PC]]</f>
        <v>43.811039999999991</v>
      </c>
    </row>
    <row r="358" spans="1:10" x14ac:dyDescent="0.25">
      <c r="A358" s="3" t="s">
        <v>1404</v>
      </c>
      <c r="B358" s="3" t="s">
        <v>1405</v>
      </c>
      <c r="C358" s="1">
        <v>3</v>
      </c>
      <c r="D358" s="1">
        <v>100</v>
      </c>
      <c r="E358" s="1" t="s">
        <v>163</v>
      </c>
      <c r="F358" s="1" t="s">
        <v>4264</v>
      </c>
      <c r="G358" s="3" t="s">
        <v>1406</v>
      </c>
      <c r="H358" s="12" cm="1">
        <f t="array" ref="H358">_xlfn.IFS(I358&lt;197,I358*1.26,I358&gt;197,I358*1.17) + IF(I358&gt;1000,17,0)</f>
        <v>469.40399999999994</v>
      </c>
      <c r="I358" s="10">
        <f>($K$2+0.02)*Tabla1[[#This Row],[PRECIO $]]*1.18</f>
        <v>401.2</v>
      </c>
      <c r="J358" s="7">
        <f>+Tabla1[[#This Row],[PRECIO EN SOLES]]-Tabla1[[#This Row],[PC]]</f>
        <v>68.203999999999951</v>
      </c>
    </row>
    <row r="359" spans="1:10" x14ac:dyDescent="0.25">
      <c r="A359" s="3" t="s">
        <v>1407</v>
      </c>
      <c r="B359" s="3" t="s">
        <v>1408</v>
      </c>
      <c r="C359" s="1">
        <v>20</v>
      </c>
      <c r="D359" s="1">
        <v>100</v>
      </c>
      <c r="E359" s="1" t="s">
        <v>1002</v>
      </c>
      <c r="F359" s="1" t="s">
        <v>4265</v>
      </c>
      <c r="G359" s="3"/>
      <c r="H359" s="12" cm="1">
        <f t="array" ref="H359">_xlfn.IFS(I359&lt;197,I359*1.26,I359&gt;197,I359*1.17) + IF(I359&gt;1000,17,0)</f>
        <v>469.40399999999994</v>
      </c>
      <c r="I359" s="10">
        <f>($K$2+0.02)*Tabla1[[#This Row],[PRECIO $]]*1.18</f>
        <v>401.2</v>
      </c>
      <c r="J359" s="7">
        <f>+Tabla1[[#This Row],[PRECIO EN SOLES]]-Tabla1[[#This Row],[PC]]</f>
        <v>68.203999999999951</v>
      </c>
    </row>
    <row r="360" spans="1:10" x14ac:dyDescent="0.25">
      <c r="A360" s="3" t="s">
        <v>1409</v>
      </c>
      <c r="B360" s="3" t="s">
        <v>1410</v>
      </c>
      <c r="C360" s="1">
        <v>0</v>
      </c>
      <c r="D360" s="1">
        <v>9999999.9900000002</v>
      </c>
      <c r="E360" s="1" t="s">
        <v>1002</v>
      </c>
      <c r="F360" s="1" t="s">
        <v>4266</v>
      </c>
      <c r="G360" s="3"/>
      <c r="H360" s="12" cm="1">
        <f t="array" ref="H360">_xlfn.IFS(I360&lt;197,I360*1.26,I360&gt;197,I360*1.17) + IF(I360&gt;1000,17,0)</f>
        <v>46940416.953059591</v>
      </c>
      <c r="I360" s="10">
        <f>($K$2+0.02)*Tabla1[[#This Row],[PRECIO $]]*1.18</f>
        <v>40119999.959879994</v>
      </c>
      <c r="J360" s="7">
        <f>+Tabla1[[#This Row],[PRECIO EN SOLES]]-Tabla1[[#This Row],[PC]]</f>
        <v>6820416.993179597</v>
      </c>
    </row>
    <row r="361" spans="1:10" x14ac:dyDescent="0.25">
      <c r="A361" s="3" t="s">
        <v>1411</v>
      </c>
      <c r="B361" s="3" t="s">
        <v>1412</v>
      </c>
      <c r="C361" s="1">
        <v>1</v>
      </c>
      <c r="D361" s="1">
        <v>2000</v>
      </c>
      <c r="E361" s="1" t="s">
        <v>1396</v>
      </c>
      <c r="F361" s="1" t="s">
        <v>4267</v>
      </c>
      <c r="G361" s="3"/>
      <c r="H361" s="12" cm="1">
        <f t="array" ref="H361">_xlfn.IFS(I361&lt;197,I361*1.26,I361&gt;197,I361*1.17) + IF(I361&gt;1000,17,0)</f>
        <v>9405.08</v>
      </c>
      <c r="I361" s="10">
        <f>($K$2+0.02)*Tabla1[[#This Row],[PRECIO $]]*1.18</f>
        <v>8024</v>
      </c>
      <c r="J361" s="7">
        <f>+Tabla1[[#This Row],[PRECIO EN SOLES]]-Tabla1[[#This Row],[PC]]</f>
        <v>1381.08</v>
      </c>
    </row>
    <row r="362" spans="1:10" x14ac:dyDescent="0.25">
      <c r="A362" s="3" t="s">
        <v>1413</v>
      </c>
      <c r="B362" s="3" t="s">
        <v>1414</v>
      </c>
      <c r="C362" s="1">
        <v>1</v>
      </c>
      <c r="D362" s="1">
        <v>65.27</v>
      </c>
      <c r="E362" s="1" t="s">
        <v>1396</v>
      </c>
      <c r="F362" s="1" t="s">
        <v>4268</v>
      </c>
      <c r="G362" s="3"/>
      <c r="H362" s="12" cm="1">
        <f t="array" ref="H362">_xlfn.IFS(I362&lt;197,I362*1.26,I362&gt;197,I362*1.17) + IF(I362&gt;1000,17,0)</f>
        <v>306.37999079999992</v>
      </c>
      <c r="I362" s="10">
        <f>($K$2+0.02)*Tabla1[[#This Row],[PRECIO $]]*1.18</f>
        <v>261.86323999999996</v>
      </c>
      <c r="J362" s="7">
        <f>+Tabla1[[#This Row],[PRECIO EN SOLES]]-Tabla1[[#This Row],[PC]]</f>
        <v>44.516750799999954</v>
      </c>
    </row>
    <row r="363" spans="1:10" x14ac:dyDescent="0.25">
      <c r="A363" s="3" t="s">
        <v>1415</v>
      </c>
      <c r="B363" s="3" t="s">
        <v>1416</v>
      </c>
      <c r="C363" s="1">
        <v>1</v>
      </c>
      <c r="D363" s="1">
        <v>300</v>
      </c>
      <c r="E363" s="1" t="s">
        <v>1417</v>
      </c>
      <c r="F363" s="1" t="s">
        <v>4269</v>
      </c>
      <c r="G363" s="3" t="s">
        <v>1418</v>
      </c>
      <c r="H363" s="12" cm="1">
        <f t="array" ref="H363">_xlfn.IFS(I363&lt;197,I363*1.26,I363&gt;197,I363*1.17) + IF(I363&gt;1000,17,0)</f>
        <v>1425.2119999999998</v>
      </c>
      <c r="I363" s="10">
        <f>($K$2+0.02)*Tabla1[[#This Row],[PRECIO $]]*1.18</f>
        <v>1203.5999999999999</v>
      </c>
      <c r="J363" s="7">
        <f>+Tabla1[[#This Row],[PRECIO EN SOLES]]-Tabla1[[#This Row],[PC]]</f>
        <v>221.61199999999985</v>
      </c>
    </row>
    <row r="364" spans="1:10" x14ac:dyDescent="0.25">
      <c r="A364" s="3" t="s">
        <v>1419</v>
      </c>
      <c r="B364" s="3" t="s">
        <v>1420</v>
      </c>
      <c r="C364" s="1">
        <v>2</v>
      </c>
      <c r="D364" s="1">
        <v>522</v>
      </c>
      <c r="E364" s="1" t="s">
        <v>1396</v>
      </c>
      <c r="F364" s="1" t="s">
        <v>4270</v>
      </c>
      <c r="G364" s="3"/>
      <c r="H364" s="12" cm="1">
        <f t="array" ref="H364">_xlfn.IFS(I364&lt;197,I364*1.26,I364&gt;197,I364*1.17) + IF(I364&gt;1000,17,0)</f>
        <v>2467.2888799999996</v>
      </c>
      <c r="I364" s="10">
        <f>($K$2+0.02)*Tabla1[[#This Row],[PRECIO $]]*1.18</f>
        <v>2094.2639999999997</v>
      </c>
      <c r="J364" s="7">
        <f>+Tabla1[[#This Row],[PRECIO EN SOLES]]-Tabla1[[#This Row],[PC]]</f>
        <v>373.02487999999994</v>
      </c>
    </row>
    <row r="365" spans="1:10" x14ac:dyDescent="0.25">
      <c r="A365" s="3" t="s">
        <v>1421</v>
      </c>
      <c r="B365" s="3" t="s">
        <v>1422</v>
      </c>
      <c r="C365" s="1">
        <v>0</v>
      </c>
      <c r="D365" s="1">
        <v>350</v>
      </c>
      <c r="E365" s="1" t="s">
        <v>1396</v>
      </c>
      <c r="F365" s="1" t="s">
        <v>4271</v>
      </c>
      <c r="G365" s="3"/>
      <c r="H365" s="12" cm="1">
        <f t="array" ref="H365">_xlfn.IFS(I365&lt;197,I365*1.26,I365&gt;197,I365*1.17) + IF(I365&gt;1000,17,0)</f>
        <v>1659.9139999999998</v>
      </c>
      <c r="I365" s="10">
        <f>($K$2+0.02)*Tabla1[[#This Row],[PRECIO $]]*1.18</f>
        <v>1404.1999999999998</v>
      </c>
      <c r="J365" s="7">
        <f>+Tabla1[[#This Row],[PRECIO EN SOLES]]-Tabla1[[#This Row],[PC]]</f>
        <v>255.71399999999994</v>
      </c>
    </row>
    <row r="366" spans="1:10" x14ac:dyDescent="0.25">
      <c r="A366" s="3" t="s">
        <v>1423</v>
      </c>
      <c r="B366" s="3" t="s">
        <v>1424</v>
      </c>
      <c r="C366" s="1">
        <v>7</v>
      </c>
      <c r="D366" s="1">
        <v>60</v>
      </c>
      <c r="E366" s="1" t="s">
        <v>1396</v>
      </c>
      <c r="F366" s="1" t="s">
        <v>4272</v>
      </c>
      <c r="G366" s="3"/>
      <c r="H366" s="12" cm="1">
        <f t="array" ref="H366">_xlfn.IFS(I366&lt;197,I366*1.26,I366&gt;197,I366*1.17) + IF(I366&gt;1000,17,0)</f>
        <v>281.64240000000001</v>
      </c>
      <c r="I366" s="10">
        <f>($K$2+0.02)*Tabla1[[#This Row],[PRECIO $]]*1.18</f>
        <v>240.72</v>
      </c>
      <c r="J366" s="7">
        <f>+Tabla1[[#This Row],[PRECIO EN SOLES]]-Tabla1[[#This Row],[PC]]</f>
        <v>40.92240000000001</v>
      </c>
    </row>
    <row r="367" spans="1:10" x14ac:dyDescent="0.25">
      <c r="A367" s="3" t="s">
        <v>1425</v>
      </c>
      <c r="B367" s="3" t="s">
        <v>1426</v>
      </c>
      <c r="C367" s="1">
        <v>1</v>
      </c>
      <c r="D367" s="1">
        <v>15.3</v>
      </c>
      <c r="E367" s="1" t="s">
        <v>56</v>
      </c>
      <c r="F367" s="1" t="s">
        <v>4273</v>
      </c>
      <c r="G367" s="3"/>
      <c r="H367" s="13" cm="1">
        <f t="array" ref="H367">_xlfn.IFS(I367&lt;197,I367*1.26,I367&gt;197,I367*1.17) + IF(I367&gt;1000,17,0)</f>
        <v>77.343336000000008</v>
      </c>
      <c r="I367" s="10">
        <f>($K$2+0.02)*Tabla1[[#This Row],[PRECIO $]]*1.18</f>
        <v>61.383600000000001</v>
      </c>
      <c r="J367" s="7">
        <f>+Tabla1[[#This Row],[PRECIO EN SOLES]]-Tabla1[[#This Row],[PC]]</f>
        <v>15.959736000000007</v>
      </c>
    </row>
    <row r="368" spans="1:10" x14ac:dyDescent="0.25">
      <c r="A368" s="3" t="s">
        <v>1427</v>
      </c>
      <c r="B368" s="3" t="s">
        <v>1428</v>
      </c>
      <c r="C368" s="1">
        <v>1</v>
      </c>
      <c r="D368" s="1">
        <v>52</v>
      </c>
      <c r="E368" s="1" t="s">
        <v>169</v>
      </c>
      <c r="F368" s="1" t="s">
        <v>4274</v>
      </c>
      <c r="G368" s="3" t="s">
        <v>1429</v>
      </c>
      <c r="H368" s="12" cm="1">
        <f t="array" ref="H368">_xlfn.IFS(I368&lt;197,I368*1.26,I368&gt;197,I368*1.17) + IF(I368&gt;1000,17,0)</f>
        <v>244.09007999999994</v>
      </c>
      <c r="I368" s="10">
        <f>($K$2+0.02)*Tabla1[[#This Row],[PRECIO $]]*1.18</f>
        <v>208.62399999999997</v>
      </c>
      <c r="J368" s="7">
        <f>+Tabla1[[#This Row],[PRECIO EN SOLES]]-Tabla1[[#This Row],[PC]]</f>
        <v>35.466079999999977</v>
      </c>
    </row>
    <row r="369" spans="1:10" x14ac:dyDescent="0.25">
      <c r="A369" s="3" t="s">
        <v>1430</v>
      </c>
      <c r="B369" s="3" t="s">
        <v>1431</v>
      </c>
      <c r="C369" s="1">
        <v>1</v>
      </c>
      <c r="D369" s="1">
        <v>67</v>
      </c>
      <c r="E369" s="1" t="s">
        <v>169</v>
      </c>
      <c r="F369" s="1" t="s">
        <v>4275</v>
      </c>
      <c r="G369" s="3" t="s">
        <v>1432</v>
      </c>
      <c r="H369" s="12" cm="1">
        <f t="array" ref="H369">_xlfn.IFS(I369&lt;197,I369*1.26,I369&gt;197,I369*1.17) + IF(I369&gt;1000,17,0)</f>
        <v>314.50067999999993</v>
      </c>
      <c r="I369" s="10">
        <f>($K$2+0.02)*Tabla1[[#This Row],[PRECIO $]]*1.18</f>
        <v>268.80399999999997</v>
      </c>
      <c r="J369" s="7">
        <f>+Tabla1[[#This Row],[PRECIO EN SOLES]]-Tabla1[[#This Row],[PC]]</f>
        <v>45.696679999999958</v>
      </c>
    </row>
    <row r="370" spans="1:10" x14ac:dyDescent="0.25">
      <c r="A370" s="3" t="s">
        <v>1433</v>
      </c>
      <c r="B370" s="3" t="s">
        <v>1434</v>
      </c>
      <c r="C370" s="1">
        <v>1</v>
      </c>
      <c r="D370" s="1">
        <v>520</v>
      </c>
      <c r="E370" s="1" t="s">
        <v>1396</v>
      </c>
      <c r="F370" s="1" t="s">
        <v>4276</v>
      </c>
      <c r="G370" s="3"/>
      <c r="H370" s="12" cm="1">
        <f t="array" ref="H370">_xlfn.IFS(I370&lt;197,I370*1.26,I370&gt;197,I370*1.17) + IF(I370&gt;1000,17,0)</f>
        <v>2457.9007999999994</v>
      </c>
      <c r="I370" s="10">
        <f>($K$2+0.02)*Tabla1[[#This Row],[PRECIO $]]*1.18</f>
        <v>2086.2399999999998</v>
      </c>
      <c r="J370" s="7">
        <f>+Tabla1[[#This Row],[PRECIO EN SOLES]]-Tabla1[[#This Row],[PC]]</f>
        <v>371.66079999999965</v>
      </c>
    </row>
    <row r="371" spans="1:10" x14ac:dyDescent="0.25">
      <c r="A371" s="3" t="s">
        <v>1435</v>
      </c>
      <c r="B371" s="3" t="s">
        <v>1436</v>
      </c>
      <c r="C371" s="1">
        <v>0</v>
      </c>
      <c r="D371" s="1">
        <v>99</v>
      </c>
      <c r="E371" s="1" t="s">
        <v>56</v>
      </c>
      <c r="F371" s="1" t="s">
        <v>4277</v>
      </c>
      <c r="G371" s="3" t="s">
        <v>1437</v>
      </c>
      <c r="H371" s="12" cm="1">
        <f t="array" ref="H371">_xlfn.IFS(I371&lt;197,I371*1.26,I371&gt;197,I371*1.17) + IF(I371&gt;1000,17,0)</f>
        <v>464.70995999999991</v>
      </c>
      <c r="I371" s="10">
        <f>($K$2+0.02)*Tabla1[[#This Row],[PRECIO $]]*1.18</f>
        <v>397.18799999999993</v>
      </c>
      <c r="J371" s="7">
        <f>+Tabla1[[#This Row],[PRECIO EN SOLES]]-Tabla1[[#This Row],[PC]]</f>
        <v>67.521959999999979</v>
      </c>
    </row>
    <row r="372" spans="1:10" x14ac:dyDescent="0.25">
      <c r="A372" s="3" t="s">
        <v>1438</v>
      </c>
      <c r="B372" s="3" t="s">
        <v>1439</v>
      </c>
      <c r="C372" s="1">
        <v>1</v>
      </c>
      <c r="D372" s="1">
        <v>38.6</v>
      </c>
      <c r="E372" s="1" t="s">
        <v>163</v>
      </c>
      <c r="F372" s="1" t="s">
        <v>4278</v>
      </c>
      <c r="G372" s="3" t="s">
        <v>1440</v>
      </c>
      <c r="H372" s="12" cm="1">
        <f t="array" ref="H372">_xlfn.IFS(I372&lt;197,I372*1.26,I372&gt;197,I372*1.17) + IF(I372&gt;1000,17,0)</f>
        <v>195.12763200000001</v>
      </c>
      <c r="I372" s="10">
        <f>($K$2+0.02)*Tabla1[[#This Row],[PRECIO $]]*1.18</f>
        <v>154.86320000000001</v>
      </c>
      <c r="J372" s="7">
        <f>+Tabla1[[#This Row],[PRECIO EN SOLES]]-Tabla1[[#This Row],[PC]]</f>
        <v>40.264431999999999</v>
      </c>
    </row>
    <row r="373" spans="1:10" x14ac:dyDescent="0.25">
      <c r="A373" s="3" t="s">
        <v>1441</v>
      </c>
      <c r="B373" s="3" t="s">
        <v>1442</v>
      </c>
      <c r="C373" s="1">
        <v>1</v>
      </c>
      <c r="D373" s="1">
        <v>278.89999999999998</v>
      </c>
      <c r="E373" s="1" t="s">
        <v>1396</v>
      </c>
      <c r="F373" s="1" t="s">
        <v>4279</v>
      </c>
      <c r="G373" s="3" t="s">
        <v>1443</v>
      </c>
      <c r="H373" s="12" cm="1">
        <f t="array" ref="H373">_xlfn.IFS(I373&lt;197,I373*1.26,I373&gt;197,I373*1.17) + IF(I373&gt;1000,17,0)</f>
        <v>1326.1677559999996</v>
      </c>
      <c r="I373" s="10">
        <f>($K$2+0.02)*Tabla1[[#This Row],[PRECIO $]]*1.18</f>
        <v>1118.9467999999997</v>
      </c>
      <c r="J373" s="7">
        <f>+Tabla1[[#This Row],[PRECIO EN SOLES]]-Tabla1[[#This Row],[PC]]</f>
        <v>207.22095599999989</v>
      </c>
    </row>
    <row r="374" spans="1:10" x14ac:dyDescent="0.25">
      <c r="A374" s="3" t="s">
        <v>1444</v>
      </c>
      <c r="B374" s="3" t="s">
        <v>1445</v>
      </c>
      <c r="C374" s="1">
        <v>0</v>
      </c>
      <c r="D374" s="1">
        <v>9999999.9900000002</v>
      </c>
      <c r="E374" s="1" t="s">
        <v>56</v>
      </c>
      <c r="F374" s="1" t="s">
        <v>4280</v>
      </c>
      <c r="G374" s="3" t="s">
        <v>1446</v>
      </c>
      <c r="H374" s="12" cm="1">
        <f t="array" ref="H374">_xlfn.IFS(I374&lt;197,I374*1.26,I374&gt;197,I374*1.17) + IF(I374&gt;1000,17,0)</f>
        <v>46940416.953059591</v>
      </c>
      <c r="I374" s="10">
        <f>($K$2+0.02)*Tabla1[[#This Row],[PRECIO $]]*1.18</f>
        <v>40119999.959879994</v>
      </c>
      <c r="J374" s="7">
        <f>+Tabla1[[#This Row],[PRECIO EN SOLES]]-Tabla1[[#This Row],[PC]]</f>
        <v>6820416.993179597</v>
      </c>
    </row>
    <row r="375" spans="1:10" x14ac:dyDescent="0.25">
      <c r="A375" s="3" t="s">
        <v>1447</v>
      </c>
      <c r="B375" s="3" t="s">
        <v>1448</v>
      </c>
      <c r="C375" s="1">
        <v>1</v>
      </c>
      <c r="D375" s="1">
        <v>218</v>
      </c>
      <c r="E375" s="1" t="s">
        <v>1396</v>
      </c>
      <c r="F375" s="1" t="s">
        <v>4281</v>
      </c>
      <c r="G375" s="3"/>
      <c r="H375" s="12" cm="1">
        <f t="array" ref="H375">_xlfn.IFS(I375&lt;197,I375*1.26,I375&gt;197,I375*1.17) + IF(I375&gt;1000,17,0)</f>
        <v>1023.3007199999998</v>
      </c>
      <c r="I375" s="10">
        <f>($K$2+0.02)*Tabla1[[#This Row],[PRECIO $]]*1.18</f>
        <v>874.61599999999987</v>
      </c>
      <c r="J375" s="7">
        <f>+Tabla1[[#This Row],[PRECIO EN SOLES]]-Tabla1[[#This Row],[PC]]</f>
        <v>148.68471999999997</v>
      </c>
    </row>
    <row r="376" spans="1:10" x14ac:dyDescent="0.25">
      <c r="A376" s="3" t="s">
        <v>1449</v>
      </c>
      <c r="B376" s="3" t="s">
        <v>1450</v>
      </c>
      <c r="C376" s="1">
        <v>2</v>
      </c>
      <c r="D376" s="1">
        <v>1000</v>
      </c>
      <c r="E376" s="1" t="s">
        <v>1396</v>
      </c>
      <c r="F376" s="1" t="s">
        <v>4282</v>
      </c>
      <c r="G376" s="3" t="s">
        <v>1451</v>
      </c>
      <c r="H376" s="12" cm="1">
        <f t="array" ref="H376">_xlfn.IFS(I376&lt;197,I376*1.26,I376&gt;197,I376*1.17) + IF(I376&gt;1000,17,0)</f>
        <v>4711.04</v>
      </c>
      <c r="I376" s="10">
        <f>($K$2+0.02)*Tabla1[[#This Row],[PRECIO $]]*1.18</f>
        <v>4012</v>
      </c>
      <c r="J376" s="7">
        <f>+Tabla1[[#This Row],[PRECIO EN SOLES]]-Tabla1[[#This Row],[PC]]</f>
        <v>699.04</v>
      </c>
    </row>
    <row r="377" spans="1:10" x14ac:dyDescent="0.25">
      <c r="A377" s="3" t="s">
        <v>1452</v>
      </c>
      <c r="B377" s="3" t="s">
        <v>1453</v>
      </c>
      <c r="C377" s="1">
        <v>1</v>
      </c>
      <c r="D377" s="1">
        <v>1000</v>
      </c>
      <c r="E377" s="1" t="s">
        <v>1396</v>
      </c>
      <c r="F377" s="1" t="s">
        <v>4283</v>
      </c>
      <c r="G377" s="3" t="s">
        <v>1454</v>
      </c>
      <c r="H377" s="12" cm="1">
        <f t="array" ref="H377">_xlfn.IFS(I377&lt;197,I377*1.26,I377&gt;197,I377*1.17) + IF(I377&gt;1000,17,0)</f>
        <v>4711.04</v>
      </c>
      <c r="I377" s="10">
        <f>($K$2+0.02)*Tabla1[[#This Row],[PRECIO $]]*1.18</f>
        <v>4012</v>
      </c>
      <c r="J377" s="7">
        <f>+Tabla1[[#This Row],[PRECIO EN SOLES]]-Tabla1[[#This Row],[PC]]</f>
        <v>699.04</v>
      </c>
    </row>
    <row r="378" spans="1:10" x14ac:dyDescent="0.25">
      <c r="A378" s="3" t="s">
        <v>1455</v>
      </c>
      <c r="B378" s="3" t="s">
        <v>1456</v>
      </c>
      <c r="C378" s="1">
        <v>20</v>
      </c>
      <c r="D378" s="1">
        <v>113</v>
      </c>
      <c r="E378" s="1" t="s">
        <v>56</v>
      </c>
      <c r="F378" s="1" t="s">
        <v>4284</v>
      </c>
      <c r="G378" s="3" t="s">
        <v>1457</v>
      </c>
      <c r="H378" s="12" cm="1">
        <f t="array" ref="H378">_xlfn.IFS(I378&lt;197,I378*1.26,I378&gt;197,I378*1.17) + IF(I378&gt;1000,17,0)</f>
        <v>530.42651999999987</v>
      </c>
      <c r="I378" s="10">
        <f>($K$2+0.02)*Tabla1[[#This Row],[PRECIO $]]*1.18</f>
        <v>453.35599999999994</v>
      </c>
      <c r="J378" s="7">
        <f>+Tabla1[[#This Row],[PRECIO EN SOLES]]-Tabla1[[#This Row],[PC]]</f>
        <v>77.070519999999931</v>
      </c>
    </row>
    <row r="379" spans="1:10" x14ac:dyDescent="0.25">
      <c r="A379" s="3" t="s">
        <v>1458</v>
      </c>
      <c r="B379" s="3" t="s">
        <v>1459</v>
      </c>
      <c r="C379" s="1">
        <v>2</v>
      </c>
      <c r="D379" s="1">
        <v>150</v>
      </c>
      <c r="E379" s="1" t="s">
        <v>1460</v>
      </c>
      <c r="F379" s="1" t="s">
        <v>4285</v>
      </c>
      <c r="G379" s="3"/>
      <c r="H379" s="12" cm="1">
        <f t="array" ref="H379">_xlfn.IFS(I379&lt;197,I379*1.26,I379&gt;197,I379*1.17) + IF(I379&gt;1000,17,0)</f>
        <v>704.10599999999988</v>
      </c>
      <c r="I379" s="10">
        <f>($K$2+0.02)*Tabla1[[#This Row],[PRECIO $]]*1.18</f>
        <v>601.79999999999995</v>
      </c>
      <c r="J379" s="7">
        <f>+Tabla1[[#This Row],[PRECIO EN SOLES]]-Tabla1[[#This Row],[PC]]</f>
        <v>102.30599999999993</v>
      </c>
    </row>
    <row r="380" spans="1:10" x14ac:dyDescent="0.25">
      <c r="A380" s="3" t="s">
        <v>1461</v>
      </c>
      <c r="B380" s="3" t="s">
        <v>1462</v>
      </c>
      <c r="C380" s="1">
        <v>2</v>
      </c>
      <c r="D380" s="1">
        <v>170.15</v>
      </c>
      <c r="E380" s="1" t="s">
        <v>169</v>
      </c>
      <c r="F380" s="1" t="s">
        <v>4286</v>
      </c>
      <c r="G380" s="3" t="s">
        <v>1463</v>
      </c>
      <c r="H380" s="12" cm="1">
        <f t="array" ref="H380">_xlfn.IFS(I380&lt;197,I380*1.26,I380&gt;197,I380*1.17) + IF(I380&gt;1000,17,0)</f>
        <v>798.69090599999993</v>
      </c>
      <c r="I380" s="10">
        <f>($K$2+0.02)*Tabla1[[#This Row],[PRECIO $]]*1.18</f>
        <v>682.64179999999999</v>
      </c>
      <c r="J380" s="7">
        <f>+Tabla1[[#This Row],[PRECIO EN SOLES]]-Tabla1[[#This Row],[PC]]</f>
        <v>116.04910599999994</v>
      </c>
    </row>
    <row r="381" spans="1:10" x14ac:dyDescent="0.25">
      <c r="A381" s="3" t="s">
        <v>266</v>
      </c>
      <c r="B381" s="3" t="s">
        <v>267</v>
      </c>
      <c r="C381" s="1">
        <v>20</v>
      </c>
      <c r="D381" s="1">
        <v>29</v>
      </c>
      <c r="E381" s="1" t="s">
        <v>52</v>
      </c>
      <c r="F381" s="1" t="s">
        <v>4287</v>
      </c>
      <c r="G381" s="3" t="s">
        <v>268</v>
      </c>
      <c r="H381" s="12" cm="1">
        <f t="array" ref="H381">_xlfn.IFS(I381&lt;197,I381*1.26,I381&gt;197,I381*1.17) + IF(I381&gt;1000,17,0)</f>
        <v>146.59848</v>
      </c>
      <c r="I381" s="10">
        <f>($K$2+0.02)*Tabla1[[#This Row],[PRECIO $]]*1.18</f>
        <v>116.34799999999998</v>
      </c>
      <c r="J381" s="7">
        <f>+Tabla1[[#This Row],[PRECIO EN SOLES]]-Tabla1[[#This Row],[PC]]</f>
        <v>30.25048000000001</v>
      </c>
    </row>
    <row r="382" spans="1:10" x14ac:dyDescent="0.25">
      <c r="A382" s="3" t="s">
        <v>1464</v>
      </c>
      <c r="B382" s="3" t="s">
        <v>1465</v>
      </c>
      <c r="C382" s="1">
        <v>0</v>
      </c>
      <c r="D382" s="1">
        <v>350</v>
      </c>
      <c r="E382" s="1" t="s">
        <v>52</v>
      </c>
      <c r="F382" s="1" t="s">
        <v>4288</v>
      </c>
      <c r="G382" s="3"/>
      <c r="H382" s="12" cm="1">
        <f t="array" ref="H382">_xlfn.IFS(I382&lt;197,I382*1.26,I382&gt;197,I382*1.17) + IF(I382&gt;1000,17,0)</f>
        <v>1659.9139999999998</v>
      </c>
      <c r="I382" s="10">
        <f>($K$2+0.02)*Tabla1[[#This Row],[PRECIO $]]*1.18</f>
        <v>1404.1999999999998</v>
      </c>
      <c r="J382" s="7">
        <f>+Tabla1[[#This Row],[PRECIO EN SOLES]]-Tabla1[[#This Row],[PC]]</f>
        <v>255.71399999999994</v>
      </c>
    </row>
    <row r="383" spans="1:10" x14ac:dyDescent="0.25">
      <c r="A383" s="3" t="s">
        <v>1466</v>
      </c>
      <c r="B383" s="3" t="s">
        <v>1467</v>
      </c>
      <c r="C383" s="1">
        <v>15</v>
      </c>
      <c r="D383" s="1">
        <v>45.8</v>
      </c>
      <c r="E383" s="1" t="s">
        <v>156</v>
      </c>
      <c r="F383" s="1" t="s">
        <v>4289</v>
      </c>
      <c r="G383" s="3"/>
      <c r="H383" s="12" cm="1">
        <f t="array" ref="H383">_xlfn.IFS(I383&lt;197,I383*1.26,I383&gt;197,I383*1.17) + IF(I383&gt;1000,17,0)</f>
        <v>231.52449599999997</v>
      </c>
      <c r="I383" s="10">
        <f>($K$2+0.02)*Tabla1[[#This Row],[PRECIO $]]*1.18</f>
        <v>183.74959999999999</v>
      </c>
      <c r="J383" s="7">
        <f>+Tabla1[[#This Row],[PRECIO EN SOLES]]-Tabla1[[#This Row],[PC]]</f>
        <v>47.774895999999984</v>
      </c>
    </row>
    <row r="384" spans="1:10" x14ac:dyDescent="0.25">
      <c r="A384" s="3" t="s">
        <v>1468</v>
      </c>
      <c r="B384" s="3" t="s">
        <v>1469</v>
      </c>
      <c r="C384" s="1">
        <v>3</v>
      </c>
      <c r="D384" s="1">
        <v>300</v>
      </c>
      <c r="E384" s="1" t="s">
        <v>169</v>
      </c>
      <c r="F384" s="1" t="s">
        <v>4290</v>
      </c>
      <c r="G384" s="3" t="s">
        <v>1470</v>
      </c>
      <c r="H384" s="12" cm="1">
        <f t="array" ref="H384">_xlfn.IFS(I384&lt;197,I384*1.26,I384&gt;197,I384*1.17) + IF(I384&gt;1000,17,0)</f>
        <v>1425.2119999999998</v>
      </c>
      <c r="I384" s="10">
        <f>($K$2+0.02)*Tabla1[[#This Row],[PRECIO $]]*1.18</f>
        <v>1203.5999999999999</v>
      </c>
      <c r="J384" s="7">
        <f>+Tabla1[[#This Row],[PRECIO EN SOLES]]-Tabla1[[#This Row],[PC]]</f>
        <v>221.61199999999985</v>
      </c>
    </row>
    <row r="385" spans="1:10" x14ac:dyDescent="0.25">
      <c r="A385" s="3" t="s">
        <v>1471</v>
      </c>
      <c r="B385" s="3" t="s">
        <v>1472</v>
      </c>
      <c r="C385" s="1">
        <v>2</v>
      </c>
      <c r="D385" s="1">
        <v>77.7</v>
      </c>
      <c r="E385" s="1" t="s">
        <v>156</v>
      </c>
      <c r="F385" s="1" t="s">
        <v>4291</v>
      </c>
      <c r="G385" s="3" t="s">
        <v>1473</v>
      </c>
      <c r="H385" s="12" cm="1">
        <f t="array" ref="H385">_xlfn.IFS(I385&lt;197,I385*1.26,I385&gt;197,I385*1.17) + IF(I385&gt;1000,17,0)</f>
        <v>364.72690799999998</v>
      </c>
      <c r="I385" s="10">
        <f>($K$2+0.02)*Tabla1[[#This Row],[PRECIO $]]*1.18</f>
        <v>311.73239999999998</v>
      </c>
      <c r="J385" s="7">
        <f>+Tabla1[[#This Row],[PRECIO EN SOLES]]-Tabla1[[#This Row],[PC]]</f>
        <v>52.994507999999996</v>
      </c>
    </row>
    <row r="386" spans="1:10" x14ac:dyDescent="0.25">
      <c r="A386" s="3" t="s">
        <v>3501</v>
      </c>
      <c r="B386" s="3" t="s">
        <v>3502</v>
      </c>
      <c r="C386" s="1">
        <v>1</v>
      </c>
      <c r="D386" s="1">
        <v>358</v>
      </c>
      <c r="E386" s="1" t="s">
        <v>156</v>
      </c>
      <c r="F386" s="1" t="s">
        <v>4292</v>
      </c>
      <c r="G386" s="3" t="s">
        <v>3526</v>
      </c>
      <c r="H386" s="12" cm="1">
        <f t="array" ref="H386">_xlfn.IFS(I386&lt;197,I386*1.26,I386&gt;197,I386*1.17) + IF(I386&gt;1000,17,0)</f>
        <v>1697.46632</v>
      </c>
      <c r="I386" s="10">
        <f>($K$2+0.02)*Tabla1[[#This Row],[PRECIO $]]*1.18</f>
        <v>1436.296</v>
      </c>
      <c r="J386" s="7">
        <f>+Tabla1[[#This Row],[PRECIO EN SOLES]]-Tabla1[[#This Row],[PC]]</f>
        <v>261.17031999999995</v>
      </c>
    </row>
    <row r="387" spans="1:10" x14ac:dyDescent="0.25">
      <c r="A387" s="3" t="s">
        <v>5581</v>
      </c>
      <c r="B387" s="3" t="s">
        <v>5582</v>
      </c>
      <c r="C387" s="1">
        <v>0</v>
      </c>
      <c r="D387" s="1">
        <v>920</v>
      </c>
      <c r="E387" s="1" t="s">
        <v>156</v>
      </c>
      <c r="F387" s="1" t="s">
        <v>5583</v>
      </c>
      <c r="G387" s="3" t="s">
        <v>5584</v>
      </c>
      <c r="H387" s="12" cm="1">
        <f t="array" ref="H387">_xlfn.IFS(I387&lt;197,I387*1.26,I387&gt;197,I387*1.17) + IF(I387&gt;1000,17,0)</f>
        <v>4335.5167999999994</v>
      </c>
      <c r="I387" s="10">
        <f>($K$2+0.02)*Tabla1[[#This Row],[PRECIO $]]*1.18</f>
        <v>3691.04</v>
      </c>
      <c r="J387" s="7">
        <f>+Tabla1[[#This Row],[PRECIO EN SOLES]]-Tabla1[[#This Row],[PC]]</f>
        <v>644.47679999999946</v>
      </c>
    </row>
    <row r="388" spans="1:10" x14ac:dyDescent="0.25">
      <c r="A388" s="3" t="s">
        <v>3766</v>
      </c>
      <c r="B388" s="3" t="s">
        <v>3767</v>
      </c>
      <c r="C388" s="1">
        <v>17</v>
      </c>
      <c r="D388" s="1">
        <v>250</v>
      </c>
      <c r="E388" s="1" t="s">
        <v>56</v>
      </c>
      <c r="F388" s="1" t="s">
        <v>4293</v>
      </c>
      <c r="G388" s="3"/>
      <c r="H388" s="12" cm="1">
        <f t="array" ref="H388">_xlfn.IFS(I388&lt;197,I388*1.26,I388&gt;197,I388*1.17) + IF(I388&gt;1000,17,0)</f>
        <v>1190.51</v>
      </c>
      <c r="I388" s="10">
        <f>($K$2+0.02)*Tabla1[[#This Row],[PRECIO $]]*1.18</f>
        <v>1003</v>
      </c>
      <c r="J388" s="7">
        <f>+Tabla1[[#This Row],[PRECIO EN SOLES]]-Tabla1[[#This Row],[PC]]</f>
        <v>187.51</v>
      </c>
    </row>
    <row r="389" spans="1:10" x14ac:dyDescent="0.25">
      <c r="A389" s="3" t="s">
        <v>3768</v>
      </c>
      <c r="B389" s="3" t="s">
        <v>3769</v>
      </c>
      <c r="C389" s="1">
        <v>4</v>
      </c>
      <c r="D389" s="1">
        <v>356</v>
      </c>
      <c r="E389" s="1" t="s">
        <v>56</v>
      </c>
      <c r="F389" s="1" t="s">
        <v>4294</v>
      </c>
      <c r="G389" s="3"/>
      <c r="H389" s="12" cm="1">
        <f t="array" ref="H389">_xlfn.IFS(I389&lt;197,I389*1.26,I389&gt;197,I389*1.17) + IF(I389&gt;1000,17,0)</f>
        <v>1688.0782399999996</v>
      </c>
      <c r="I389" s="10">
        <f>($K$2+0.02)*Tabla1[[#This Row],[PRECIO $]]*1.18</f>
        <v>1428.2719999999997</v>
      </c>
      <c r="J389" s="7">
        <f>+Tabla1[[#This Row],[PRECIO EN SOLES]]-Tabla1[[#This Row],[PC]]</f>
        <v>259.80623999999989</v>
      </c>
    </row>
    <row r="390" spans="1:10" x14ac:dyDescent="0.25">
      <c r="A390" s="3" t="s">
        <v>3770</v>
      </c>
      <c r="B390" s="3" t="s">
        <v>3771</v>
      </c>
      <c r="C390" s="1">
        <v>15</v>
      </c>
      <c r="D390" s="1">
        <v>493</v>
      </c>
      <c r="E390" s="1" t="s">
        <v>56</v>
      </c>
      <c r="F390" s="1" t="s">
        <v>4295</v>
      </c>
      <c r="G390" s="3"/>
      <c r="H390" s="12" cm="1">
        <f t="array" ref="H390">_xlfn.IFS(I390&lt;197,I390*1.26,I390&gt;197,I390*1.17) + IF(I390&gt;1000,17,0)</f>
        <v>2331.1617199999996</v>
      </c>
      <c r="I390" s="10">
        <f>($K$2+0.02)*Tabla1[[#This Row],[PRECIO $]]*1.18</f>
        <v>1977.9159999999999</v>
      </c>
      <c r="J390" s="7">
        <f>+Tabla1[[#This Row],[PRECIO EN SOLES]]-Tabla1[[#This Row],[PC]]</f>
        <v>353.24571999999966</v>
      </c>
    </row>
    <row r="391" spans="1:10" x14ac:dyDescent="0.25">
      <c r="A391" s="3" t="s">
        <v>1474</v>
      </c>
      <c r="B391" s="3" t="s">
        <v>1475</v>
      </c>
      <c r="C391" s="1">
        <v>1</v>
      </c>
      <c r="D391" s="1">
        <v>1752</v>
      </c>
      <c r="E391" s="1" t="s">
        <v>156</v>
      </c>
      <c r="F391" s="1" t="s">
        <v>4296</v>
      </c>
      <c r="G391" s="3"/>
      <c r="H391" s="12" cm="1">
        <f t="array" ref="H391">_xlfn.IFS(I391&lt;197,I391*1.26,I391&gt;197,I391*1.17) + IF(I391&gt;1000,17,0)</f>
        <v>8240.9580799999985</v>
      </c>
      <c r="I391" s="10">
        <f>($K$2+0.02)*Tabla1[[#This Row],[PRECIO $]]*1.18</f>
        <v>7029.0239999999994</v>
      </c>
      <c r="J391" s="7">
        <f>+Tabla1[[#This Row],[PRECIO EN SOLES]]-Tabla1[[#This Row],[PC]]</f>
        <v>1211.9340799999991</v>
      </c>
    </row>
    <row r="392" spans="1:10" x14ac:dyDescent="0.25">
      <c r="A392" s="3" t="s">
        <v>1476</v>
      </c>
      <c r="B392" s="3" t="s">
        <v>1477</v>
      </c>
      <c r="C392" s="1">
        <v>1</v>
      </c>
      <c r="D392" s="1">
        <v>3980</v>
      </c>
      <c r="E392" s="1" t="s">
        <v>156</v>
      </c>
      <c r="F392" s="1" t="s">
        <v>4297</v>
      </c>
      <c r="G392" s="3"/>
      <c r="H392" s="12" cm="1">
        <f t="array" ref="H392">_xlfn.IFS(I392&lt;197,I392*1.26,I392&gt;197,I392*1.17) + IF(I392&gt;1000,17,0)</f>
        <v>18699.279199999997</v>
      </c>
      <c r="I392" s="10">
        <f>($K$2+0.02)*Tabla1[[#This Row],[PRECIO $]]*1.18</f>
        <v>15967.759999999998</v>
      </c>
      <c r="J392" s="7">
        <f>+Tabla1[[#This Row],[PRECIO EN SOLES]]-Tabla1[[#This Row],[PC]]</f>
        <v>2731.5191999999988</v>
      </c>
    </row>
    <row r="393" spans="1:10" x14ac:dyDescent="0.25">
      <c r="A393" s="3" t="s">
        <v>1478</v>
      </c>
      <c r="B393" s="3" t="s">
        <v>1479</v>
      </c>
      <c r="C393" s="1">
        <v>5</v>
      </c>
      <c r="D393" s="1">
        <v>612</v>
      </c>
      <c r="E393" s="1" t="s">
        <v>169</v>
      </c>
      <c r="F393" s="1" t="s">
        <v>4298</v>
      </c>
      <c r="G393" s="3"/>
      <c r="H393" s="12" cm="1">
        <f t="array" ref="H393">_xlfn.IFS(I393&lt;197,I393*1.26,I393&gt;197,I393*1.17) + IF(I393&gt;1000,17,0)</f>
        <v>2889.7524799999992</v>
      </c>
      <c r="I393" s="10">
        <f>($K$2+0.02)*Tabla1[[#This Row],[PRECIO $]]*1.18</f>
        <v>2455.3439999999996</v>
      </c>
      <c r="J393" s="7">
        <f>+Tabla1[[#This Row],[PRECIO EN SOLES]]-Tabla1[[#This Row],[PC]]</f>
        <v>434.4084799999996</v>
      </c>
    </row>
    <row r="394" spans="1:10" x14ac:dyDescent="0.25">
      <c r="A394" s="3" t="s">
        <v>3942</v>
      </c>
      <c r="B394" s="3" t="s">
        <v>3943</v>
      </c>
      <c r="C394" s="1">
        <v>0</v>
      </c>
      <c r="D394" s="1">
        <v>746</v>
      </c>
      <c r="E394" s="1" t="s">
        <v>169</v>
      </c>
      <c r="F394" s="1" t="s">
        <v>4299</v>
      </c>
      <c r="G394" s="3" t="s">
        <v>3944</v>
      </c>
      <c r="H394" s="12" cm="1">
        <f t="array" ref="H394">_xlfn.IFS(I394&lt;197,I394*1.26,I394&gt;197,I394*1.17) + IF(I394&gt;1000,17,0)</f>
        <v>3518.7538399999994</v>
      </c>
      <c r="I394" s="10">
        <f>($K$2+0.02)*Tabla1[[#This Row],[PRECIO $]]*1.18</f>
        <v>2992.9519999999998</v>
      </c>
      <c r="J394" s="7">
        <f>+Tabla1[[#This Row],[PRECIO EN SOLES]]-Tabla1[[#This Row],[PC]]</f>
        <v>525.80183999999963</v>
      </c>
    </row>
    <row r="395" spans="1:10" x14ac:dyDescent="0.25">
      <c r="A395" s="3" t="s">
        <v>1480</v>
      </c>
      <c r="B395" s="3" t="s">
        <v>1481</v>
      </c>
      <c r="C395" s="1">
        <v>4</v>
      </c>
      <c r="D395" s="1">
        <v>4255</v>
      </c>
      <c r="E395" s="1" t="s">
        <v>156</v>
      </c>
      <c r="F395" s="1" t="s">
        <v>4300</v>
      </c>
      <c r="G395" s="3" t="s">
        <v>1482</v>
      </c>
      <c r="H395" s="12" cm="1">
        <f t="array" ref="H395">_xlfn.IFS(I395&lt;197,I395*1.26,I395&gt;197,I395*1.17) + IF(I395&gt;1000,17,0)</f>
        <v>19990.140199999994</v>
      </c>
      <c r="I395" s="10">
        <f>($K$2+0.02)*Tabla1[[#This Row],[PRECIO $]]*1.18</f>
        <v>17071.059999999998</v>
      </c>
      <c r="J395" s="7">
        <f>+Tabla1[[#This Row],[PRECIO EN SOLES]]-Tabla1[[#This Row],[PC]]</f>
        <v>2919.0801999999967</v>
      </c>
    </row>
    <row r="396" spans="1:10" x14ac:dyDescent="0.25">
      <c r="A396" s="3" t="s">
        <v>1483</v>
      </c>
      <c r="B396" s="3" t="s">
        <v>1484</v>
      </c>
      <c r="C396" s="1">
        <v>20</v>
      </c>
      <c r="D396" s="1">
        <v>373</v>
      </c>
      <c r="E396" s="1" t="s">
        <v>169</v>
      </c>
      <c r="F396" s="1" t="s">
        <v>4301</v>
      </c>
      <c r="G396" s="3" t="s">
        <v>1485</v>
      </c>
      <c r="H396" s="12" cm="1">
        <f t="array" ref="H396">_xlfn.IFS(I396&lt;197,I396*1.26,I396&gt;197,I396*1.17) + IF(I396&gt;1000,17,0)</f>
        <v>1767.8769199999997</v>
      </c>
      <c r="I396" s="10">
        <f>($K$2+0.02)*Tabla1[[#This Row],[PRECIO $]]*1.18</f>
        <v>1496.4759999999999</v>
      </c>
      <c r="J396" s="7">
        <f>+Tabla1[[#This Row],[PRECIO EN SOLES]]-Tabla1[[#This Row],[PC]]</f>
        <v>271.40091999999981</v>
      </c>
    </row>
    <row r="397" spans="1:10" x14ac:dyDescent="0.25">
      <c r="A397" s="3" t="s">
        <v>1486</v>
      </c>
      <c r="B397" s="3" t="s">
        <v>1487</v>
      </c>
      <c r="C397" s="1">
        <v>0</v>
      </c>
      <c r="D397" s="1">
        <v>919</v>
      </c>
      <c r="E397" s="1" t="s">
        <v>169</v>
      </c>
      <c r="F397" s="1" t="s">
        <v>4302</v>
      </c>
      <c r="G397" s="3"/>
      <c r="H397" s="12" cm="1">
        <f t="array" ref="H397">_xlfn.IFS(I397&lt;197,I397*1.26,I397&gt;197,I397*1.17) + IF(I397&gt;1000,17,0)</f>
        <v>4330.8227599999991</v>
      </c>
      <c r="I397" s="10">
        <f>($K$2+0.02)*Tabla1[[#This Row],[PRECIO $]]*1.18</f>
        <v>3687.0279999999998</v>
      </c>
      <c r="J397" s="7">
        <f>+Tabla1[[#This Row],[PRECIO EN SOLES]]-Tabla1[[#This Row],[PC]]</f>
        <v>643.79475999999931</v>
      </c>
    </row>
    <row r="398" spans="1:10" x14ac:dyDescent="0.25">
      <c r="A398" s="3" t="s">
        <v>1488</v>
      </c>
      <c r="B398" s="3" t="s">
        <v>1489</v>
      </c>
      <c r="C398" s="1">
        <v>9</v>
      </c>
      <c r="D398" s="1">
        <v>1650</v>
      </c>
      <c r="E398" s="1" t="s">
        <v>156</v>
      </c>
      <c r="F398" s="1" t="s">
        <v>4303</v>
      </c>
      <c r="G398" s="3" t="s">
        <v>1490</v>
      </c>
      <c r="H398" s="12" cm="1">
        <f t="array" ref="H398">_xlfn.IFS(I398&lt;197,I398*1.26,I398&gt;197,I398*1.17) + IF(I398&gt;1000,17,0)</f>
        <v>7762.1659999999983</v>
      </c>
      <c r="I398" s="10">
        <f>($K$2+0.02)*Tabla1[[#This Row],[PRECIO $]]*1.18</f>
        <v>6619.7999999999993</v>
      </c>
      <c r="J398" s="7">
        <f>+Tabla1[[#This Row],[PRECIO EN SOLES]]-Tabla1[[#This Row],[PC]]</f>
        <v>1142.3659999999991</v>
      </c>
    </row>
    <row r="399" spans="1:10" x14ac:dyDescent="0.25">
      <c r="A399" s="3" t="s">
        <v>1491</v>
      </c>
      <c r="B399" s="3" t="s">
        <v>1492</v>
      </c>
      <c r="C399" s="1">
        <v>13</v>
      </c>
      <c r="D399" s="1">
        <v>1716</v>
      </c>
      <c r="E399" s="1" t="s">
        <v>156</v>
      </c>
      <c r="F399" s="1" t="s">
        <v>4304</v>
      </c>
      <c r="G399" s="3" t="s">
        <v>1493</v>
      </c>
      <c r="H399" s="12" cm="1">
        <f t="array" ref="H399">_xlfn.IFS(I399&lt;197,I399*1.26,I399&gt;197,I399*1.17) + IF(I399&gt;1000,17,0)</f>
        <v>8071.972639999999</v>
      </c>
      <c r="I399" s="10">
        <f>($K$2+0.02)*Tabla1[[#This Row],[PRECIO $]]*1.18</f>
        <v>6884.5919999999996</v>
      </c>
      <c r="J399" s="7">
        <f>+Tabla1[[#This Row],[PRECIO EN SOLES]]-Tabla1[[#This Row],[PC]]</f>
        <v>1187.3806399999994</v>
      </c>
    </row>
    <row r="400" spans="1:10" x14ac:dyDescent="0.25">
      <c r="A400" s="3" t="s">
        <v>1494</v>
      </c>
      <c r="B400" s="3" t="s">
        <v>1495</v>
      </c>
      <c r="C400" s="1">
        <v>4</v>
      </c>
      <c r="D400" s="1">
        <v>572</v>
      </c>
      <c r="E400" s="1" t="s">
        <v>169</v>
      </c>
      <c r="F400" s="1" t="s">
        <v>4305</v>
      </c>
      <c r="G400" s="3" t="s">
        <v>1496</v>
      </c>
      <c r="H400" s="12" cm="1">
        <f t="array" ref="H400">_xlfn.IFS(I400&lt;197,I400*1.26,I400&gt;197,I400*1.17) + IF(I400&gt;1000,17,0)</f>
        <v>2701.9908799999998</v>
      </c>
      <c r="I400" s="10">
        <f>($K$2+0.02)*Tabla1[[#This Row],[PRECIO $]]*1.18</f>
        <v>2294.864</v>
      </c>
      <c r="J400" s="7">
        <f>+Tabla1[[#This Row],[PRECIO EN SOLES]]-Tabla1[[#This Row],[PC]]</f>
        <v>407.1268799999998</v>
      </c>
    </row>
    <row r="401" spans="1:10" x14ac:dyDescent="0.25">
      <c r="A401" s="3" t="s">
        <v>1497</v>
      </c>
      <c r="B401" s="3" t="s">
        <v>1495</v>
      </c>
      <c r="C401" s="1">
        <v>4</v>
      </c>
      <c r="D401" s="1">
        <v>580</v>
      </c>
      <c r="E401" s="1" t="s">
        <v>169</v>
      </c>
      <c r="F401" s="1" t="s">
        <v>4306</v>
      </c>
      <c r="G401" s="3"/>
      <c r="H401" s="12" cm="1">
        <f t="array" ref="H401">_xlfn.IFS(I401&lt;197,I401*1.26,I401&gt;197,I401*1.17) + IF(I401&gt;1000,17,0)</f>
        <v>2739.5432000000001</v>
      </c>
      <c r="I401" s="10">
        <f>($K$2+0.02)*Tabla1[[#This Row],[PRECIO $]]*1.18</f>
        <v>2326.96</v>
      </c>
      <c r="J401" s="7">
        <f>+Tabla1[[#This Row],[PRECIO EN SOLES]]-Tabla1[[#This Row],[PC]]</f>
        <v>412.58320000000003</v>
      </c>
    </row>
    <row r="402" spans="1:10" x14ac:dyDescent="0.25">
      <c r="A402" s="3" t="s">
        <v>1498</v>
      </c>
      <c r="B402" s="3" t="s">
        <v>1499</v>
      </c>
      <c r="C402" s="1">
        <v>2</v>
      </c>
      <c r="D402" s="1">
        <v>471</v>
      </c>
      <c r="E402" s="1" t="s">
        <v>169</v>
      </c>
      <c r="F402" s="1" t="s">
        <v>4307</v>
      </c>
      <c r="G402" s="3"/>
      <c r="H402" s="12" cm="1">
        <f t="array" ref="H402">_xlfn.IFS(I402&lt;197,I402*1.26,I402&gt;197,I402*1.17) + IF(I402&gt;1000,17,0)</f>
        <v>2227.8928399999995</v>
      </c>
      <c r="I402" s="10">
        <f>($K$2+0.02)*Tabla1[[#This Row],[PRECIO $]]*1.18</f>
        <v>1889.6519999999998</v>
      </c>
      <c r="J402" s="7">
        <f>+Tabla1[[#This Row],[PRECIO EN SOLES]]-Tabla1[[#This Row],[PC]]</f>
        <v>338.24083999999971</v>
      </c>
    </row>
    <row r="403" spans="1:10" x14ac:dyDescent="0.25">
      <c r="A403" s="3" t="s">
        <v>1500</v>
      </c>
      <c r="B403" s="3" t="s">
        <v>1501</v>
      </c>
      <c r="C403" s="1">
        <v>4</v>
      </c>
      <c r="D403" s="1">
        <v>572</v>
      </c>
      <c r="E403" s="1" t="s">
        <v>169</v>
      </c>
      <c r="F403" s="1" t="s">
        <v>4308</v>
      </c>
      <c r="G403" s="3" t="s">
        <v>1502</v>
      </c>
      <c r="H403" s="12" cm="1">
        <f t="array" ref="H403">_xlfn.IFS(I403&lt;197,I403*1.26,I403&gt;197,I403*1.17) + IF(I403&gt;1000,17,0)</f>
        <v>2701.9908799999998</v>
      </c>
      <c r="I403" s="10">
        <f>($K$2+0.02)*Tabla1[[#This Row],[PRECIO $]]*1.18</f>
        <v>2294.864</v>
      </c>
      <c r="J403" s="7">
        <f>+Tabla1[[#This Row],[PRECIO EN SOLES]]-Tabla1[[#This Row],[PC]]</f>
        <v>407.1268799999998</v>
      </c>
    </row>
    <row r="404" spans="1:10" x14ac:dyDescent="0.25">
      <c r="A404" s="3" t="s">
        <v>269</v>
      </c>
      <c r="B404" s="3" t="s">
        <v>270</v>
      </c>
      <c r="C404" s="1">
        <v>20</v>
      </c>
      <c r="D404" s="1">
        <v>525</v>
      </c>
      <c r="E404" s="1" t="s">
        <v>169</v>
      </c>
      <c r="F404" s="1" t="s">
        <v>4309</v>
      </c>
      <c r="G404" s="3" t="s">
        <v>271</v>
      </c>
      <c r="H404" s="12" cm="1">
        <f t="array" ref="H404">_xlfn.IFS(I404&lt;197,I404*1.26,I404&gt;197,I404*1.17) + IF(I404&gt;1000,17,0)</f>
        <v>2481.3709999999996</v>
      </c>
      <c r="I404" s="10">
        <f>($K$2+0.02)*Tabla1[[#This Row],[PRECIO $]]*1.18</f>
        <v>2106.2999999999997</v>
      </c>
      <c r="J404" s="7">
        <f>+Tabla1[[#This Row],[PRECIO EN SOLES]]-Tabla1[[#This Row],[PC]]</f>
        <v>375.07099999999991</v>
      </c>
    </row>
    <row r="405" spans="1:10" x14ac:dyDescent="0.25">
      <c r="A405" s="3" t="s">
        <v>765</v>
      </c>
      <c r="B405" s="3" t="s">
        <v>766</v>
      </c>
      <c r="C405" s="1">
        <v>16</v>
      </c>
      <c r="D405" s="1">
        <v>604</v>
      </c>
      <c r="E405" s="1" t="s">
        <v>169</v>
      </c>
      <c r="F405" s="1" t="s">
        <v>4310</v>
      </c>
      <c r="G405" s="3" t="s">
        <v>767</v>
      </c>
      <c r="H405" s="12" cm="1">
        <f t="array" ref="H405">_xlfn.IFS(I405&lt;197,I405*1.26,I405&gt;197,I405*1.17) + IF(I405&gt;1000,17,0)</f>
        <v>2852.2001599999994</v>
      </c>
      <c r="I405" s="10">
        <f>($K$2+0.02)*Tabla1[[#This Row],[PRECIO $]]*1.18</f>
        <v>2423.2479999999996</v>
      </c>
      <c r="J405" s="7">
        <f>+Tabla1[[#This Row],[PRECIO EN SOLES]]-Tabla1[[#This Row],[PC]]</f>
        <v>428.95215999999982</v>
      </c>
    </row>
    <row r="406" spans="1:10" x14ac:dyDescent="0.25">
      <c r="A406" s="3" t="s">
        <v>5791</v>
      </c>
      <c r="B406" s="3" t="s">
        <v>766</v>
      </c>
      <c r="C406" s="1">
        <v>0</v>
      </c>
      <c r="D406" s="1">
        <v>9999999.9900000002</v>
      </c>
      <c r="E406" s="1" t="s">
        <v>169</v>
      </c>
      <c r="F406" s="1" t="s">
        <v>5792</v>
      </c>
      <c r="G406" s="3"/>
      <c r="H406" s="12" cm="1">
        <f t="array" ref="H406">_xlfn.IFS(I406&lt;197,I406*1.26,I406&gt;197,I406*1.17) + IF(I406&gt;1000,17,0)</f>
        <v>46940416.953059591</v>
      </c>
      <c r="I406" s="10">
        <f>($K$2+0.02)*Tabla1[[#This Row],[PRECIO $]]*1.18</f>
        <v>40119999.959879994</v>
      </c>
      <c r="J406" s="7">
        <f>+Tabla1[[#This Row],[PRECIO EN SOLES]]-Tabla1[[#This Row],[PC]]</f>
        <v>6820416.993179597</v>
      </c>
    </row>
    <row r="407" spans="1:10" x14ac:dyDescent="0.25">
      <c r="A407" s="3" t="s">
        <v>1503</v>
      </c>
      <c r="B407" s="3" t="s">
        <v>1504</v>
      </c>
      <c r="C407" s="1">
        <v>9</v>
      </c>
      <c r="D407" s="1">
        <v>732</v>
      </c>
      <c r="E407" s="1" t="s">
        <v>169</v>
      </c>
      <c r="F407" s="1" t="s">
        <v>4311</v>
      </c>
      <c r="G407" s="3" t="s">
        <v>1505</v>
      </c>
      <c r="H407" s="12" cm="1">
        <f t="array" ref="H407">_xlfn.IFS(I407&lt;197,I407*1.26,I407&gt;197,I407*1.17) + IF(I407&gt;1000,17,0)</f>
        <v>3453.0372799999996</v>
      </c>
      <c r="I407" s="10">
        <f>($K$2+0.02)*Tabla1[[#This Row],[PRECIO $]]*1.18</f>
        <v>2936.7839999999997</v>
      </c>
      <c r="J407" s="7">
        <f>+Tabla1[[#This Row],[PRECIO EN SOLES]]-Tabla1[[#This Row],[PC]]</f>
        <v>516.2532799999999</v>
      </c>
    </row>
    <row r="408" spans="1:10" x14ac:dyDescent="0.25">
      <c r="A408" s="3" t="s">
        <v>768</v>
      </c>
      <c r="B408" s="3" t="s">
        <v>769</v>
      </c>
      <c r="C408" s="1">
        <v>20</v>
      </c>
      <c r="D408" s="1">
        <v>376</v>
      </c>
      <c r="E408" s="1" t="s">
        <v>169</v>
      </c>
      <c r="F408" s="1" t="s">
        <v>4312</v>
      </c>
      <c r="G408" s="3"/>
      <c r="H408" s="12" cm="1">
        <f t="array" ref="H408">_xlfn.IFS(I408&lt;197,I408*1.26,I408&gt;197,I408*1.17) + IF(I408&gt;1000,17,0)</f>
        <v>1781.9590399999995</v>
      </c>
      <c r="I408" s="10">
        <f>($K$2+0.02)*Tabla1[[#This Row],[PRECIO $]]*1.18</f>
        <v>1508.5119999999997</v>
      </c>
      <c r="J408" s="7">
        <f>+Tabla1[[#This Row],[PRECIO EN SOLES]]-Tabla1[[#This Row],[PC]]</f>
        <v>273.44703999999979</v>
      </c>
    </row>
    <row r="409" spans="1:10" x14ac:dyDescent="0.25">
      <c r="A409" s="3" t="s">
        <v>1506</v>
      </c>
      <c r="B409" s="3" t="s">
        <v>1507</v>
      </c>
      <c r="C409" s="1">
        <v>20</v>
      </c>
      <c r="D409" s="1">
        <v>728</v>
      </c>
      <c r="E409" s="1" t="s">
        <v>169</v>
      </c>
      <c r="F409" s="1" t="s">
        <v>4313</v>
      </c>
      <c r="G409" s="3"/>
      <c r="H409" s="12" cm="1">
        <f t="array" ref="H409">_xlfn.IFS(I409&lt;197,I409*1.26,I409&gt;197,I409*1.17) + IF(I409&gt;1000,17,0)</f>
        <v>3434.2611199999992</v>
      </c>
      <c r="I409" s="10">
        <f>($K$2+0.02)*Tabla1[[#This Row],[PRECIO $]]*1.18</f>
        <v>2920.7359999999994</v>
      </c>
      <c r="J409" s="7">
        <f>+Tabla1[[#This Row],[PRECIO EN SOLES]]-Tabla1[[#This Row],[PC]]</f>
        <v>513.52511999999979</v>
      </c>
    </row>
    <row r="410" spans="1:10" x14ac:dyDescent="0.25">
      <c r="A410" s="3" t="s">
        <v>272</v>
      </c>
      <c r="B410" s="3" t="s">
        <v>273</v>
      </c>
      <c r="C410" s="1">
        <v>20</v>
      </c>
      <c r="D410" s="1">
        <v>503</v>
      </c>
      <c r="E410" s="1" t="s">
        <v>169</v>
      </c>
      <c r="F410" s="1" t="s">
        <v>4314</v>
      </c>
      <c r="G410" s="3" t="s">
        <v>274</v>
      </c>
      <c r="H410" s="12" cm="1">
        <f t="array" ref="H410">_xlfn.IFS(I410&lt;197,I410*1.26,I410&gt;197,I410*1.17) + IF(I410&gt;1000,17,0)</f>
        <v>2378.10212</v>
      </c>
      <c r="I410" s="10">
        <f>($K$2+0.02)*Tabla1[[#This Row],[PRECIO $]]*1.18</f>
        <v>2018.0360000000001</v>
      </c>
      <c r="J410" s="7">
        <f>+Tabla1[[#This Row],[PRECIO EN SOLES]]-Tabla1[[#This Row],[PC]]</f>
        <v>360.06611999999996</v>
      </c>
    </row>
    <row r="411" spans="1:10" x14ac:dyDescent="0.25">
      <c r="A411" s="3" t="s">
        <v>1508</v>
      </c>
      <c r="B411" s="3" t="s">
        <v>1509</v>
      </c>
      <c r="C411" s="1">
        <v>0</v>
      </c>
      <c r="D411" s="1">
        <v>38.5</v>
      </c>
      <c r="E411" s="1" t="s">
        <v>54</v>
      </c>
      <c r="F411" s="1" t="s">
        <v>4315</v>
      </c>
      <c r="G411" s="3" t="s">
        <v>1510</v>
      </c>
      <c r="H411" s="12" cm="1">
        <f t="array" ref="H411">_xlfn.IFS(I411&lt;197,I411*1.26,I411&gt;197,I411*1.17) + IF(I411&gt;1000,17,0)</f>
        <v>194.62212</v>
      </c>
      <c r="I411" s="10">
        <f>($K$2+0.02)*Tabla1[[#This Row],[PRECIO $]]*1.18</f>
        <v>154.46199999999999</v>
      </c>
      <c r="J411" s="7">
        <f>+Tabla1[[#This Row],[PRECIO EN SOLES]]-Tabla1[[#This Row],[PC]]</f>
        <v>40.160120000000006</v>
      </c>
    </row>
    <row r="412" spans="1:10" x14ac:dyDescent="0.25">
      <c r="A412" s="3" t="s">
        <v>1511</v>
      </c>
      <c r="B412" s="3" t="s">
        <v>1512</v>
      </c>
      <c r="C412" s="1">
        <v>1</v>
      </c>
      <c r="D412" s="1">
        <v>2420</v>
      </c>
      <c r="E412" s="1" t="s">
        <v>156</v>
      </c>
      <c r="F412" s="1" t="s">
        <v>4316</v>
      </c>
      <c r="G412" s="3"/>
      <c r="H412" s="12" cm="1">
        <f t="array" ref="H412">_xlfn.IFS(I412&lt;197,I412*1.26,I412&gt;197,I412*1.17) + IF(I412&gt;1000,17,0)</f>
        <v>11376.576799999999</v>
      </c>
      <c r="I412" s="10">
        <f>($K$2+0.02)*Tabla1[[#This Row],[PRECIO $]]*1.18</f>
        <v>9709.0399999999991</v>
      </c>
      <c r="J412" s="7">
        <f>+Tabla1[[#This Row],[PRECIO EN SOLES]]-Tabla1[[#This Row],[PC]]</f>
        <v>1667.5367999999999</v>
      </c>
    </row>
    <row r="413" spans="1:10" x14ac:dyDescent="0.25">
      <c r="A413" s="3" t="s">
        <v>1513</v>
      </c>
      <c r="B413" s="3" t="s">
        <v>1514</v>
      </c>
      <c r="C413" s="1">
        <v>7</v>
      </c>
      <c r="D413" s="1">
        <v>85</v>
      </c>
      <c r="E413" s="1" t="s">
        <v>1515</v>
      </c>
      <c r="F413" s="1" t="s">
        <v>4317</v>
      </c>
      <c r="G413" s="3" t="s">
        <v>1516</v>
      </c>
      <c r="H413" s="12" cm="1">
        <f t="array" ref="H413">_xlfn.IFS(I413&lt;197,I413*1.26,I413&gt;197,I413*1.17) + IF(I413&gt;1000,17,0)</f>
        <v>398.99339999999995</v>
      </c>
      <c r="I413" s="10">
        <f>($K$2+0.02)*Tabla1[[#This Row],[PRECIO $]]*1.18</f>
        <v>341.02</v>
      </c>
      <c r="J413" s="7">
        <f>+Tabla1[[#This Row],[PRECIO EN SOLES]]-Tabla1[[#This Row],[PC]]</f>
        <v>57.97339999999997</v>
      </c>
    </row>
    <row r="414" spans="1:10" x14ac:dyDescent="0.25">
      <c r="A414" s="3" t="s">
        <v>5585</v>
      </c>
      <c r="B414" s="3" t="s">
        <v>5586</v>
      </c>
      <c r="C414" s="1">
        <v>1</v>
      </c>
      <c r="D414" s="1">
        <v>726</v>
      </c>
      <c r="E414" s="1" t="s">
        <v>156</v>
      </c>
      <c r="F414" s="1" t="s">
        <v>5587</v>
      </c>
      <c r="G414" s="3" t="s">
        <v>5588</v>
      </c>
      <c r="H414" s="12" cm="1">
        <f t="array" ref="H414">_xlfn.IFS(I414&lt;197,I414*1.26,I414&gt;197,I414*1.17) + IF(I414&gt;1000,17,0)</f>
        <v>3424.8730399999999</v>
      </c>
      <c r="I414" s="10">
        <f>($K$2+0.02)*Tabla1[[#This Row],[PRECIO $]]*1.18</f>
        <v>2912.712</v>
      </c>
      <c r="J414" s="7">
        <f>+Tabla1[[#This Row],[PRECIO EN SOLES]]-Tabla1[[#This Row],[PC]]</f>
        <v>512.16103999999996</v>
      </c>
    </row>
    <row r="415" spans="1:10" x14ac:dyDescent="0.25">
      <c r="A415" s="3" t="s">
        <v>6001</v>
      </c>
      <c r="B415" s="3" t="s">
        <v>6002</v>
      </c>
      <c r="C415" s="1">
        <v>20</v>
      </c>
      <c r="D415" s="1">
        <v>170</v>
      </c>
      <c r="E415" s="1" t="s">
        <v>163</v>
      </c>
      <c r="F415" s="1" t="s">
        <v>6003</v>
      </c>
      <c r="G415" s="3"/>
      <c r="H415" s="12" cm="1">
        <f t="array" ref="H415">_xlfn.IFS(I415&lt;197,I415*1.26,I415&gt;197,I415*1.17) + IF(I415&gt;1000,17,0)</f>
        <v>797.9867999999999</v>
      </c>
      <c r="I415" s="10">
        <f>($K$2+0.02)*Tabla1[[#This Row],[PRECIO $]]*1.18</f>
        <v>682.04</v>
      </c>
      <c r="J415" s="7">
        <f>+Tabla1[[#This Row],[PRECIO EN SOLES]]-Tabla1[[#This Row],[PC]]</f>
        <v>115.94679999999994</v>
      </c>
    </row>
    <row r="416" spans="1:10" x14ac:dyDescent="0.25">
      <c r="A416" s="3" t="s">
        <v>1517</v>
      </c>
      <c r="B416" s="3" t="s">
        <v>1518</v>
      </c>
      <c r="C416" s="1">
        <v>1</v>
      </c>
      <c r="D416" s="1">
        <v>540</v>
      </c>
      <c r="E416" s="1" t="s">
        <v>56</v>
      </c>
      <c r="F416" s="1" t="s">
        <v>4318</v>
      </c>
      <c r="G416" s="3"/>
      <c r="H416" s="12" cm="1">
        <f t="array" ref="H416">_xlfn.IFS(I416&lt;197,I416*1.26,I416&gt;197,I416*1.17) + IF(I416&gt;1000,17,0)</f>
        <v>2551.7815999999998</v>
      </c>
      <c r="I416" s="10">
        <f>($K$2+0.02)*Tabla1[[#This Row],[PRECIO $]]*1.18</f>
        <v>2166.48</v>
      </c>
      <c r="J416" s="7">
        <f>+Tabla1[[#This Row],[PRECIO EN SOLES]]-Tabla1[[#This Row],[PC]]</f>
        <v>385.30159999999978</v>
      </c>
    </row>
    <row r="417" spans="1:10" x14ac:dyDescent="0.25">
      <c r="A417" s="3" t="s">
        <v>1519</v>
      </c>
      <c r="B417" s="3" t="s">
        <v>1518</v>
      </c>
      <c r="C417" s="1">
        <v>10</v>
      </c>
      <c r="D417" s="1">
        <v>558</v>
      </c>
      <c r="E417" s="1" t="s">
        <v>56</v>
      </c>
      <c r="F417" s="1" t="s">
        <v>4319</v>
      </c>
      <c r="G417" s="3" t="s">
        <v>1520</v>
      </c>
      <c r="H417" s="12" cm="1">
        <f t="array" ref="H417">_xlfn.IFS(I417&lt;197,I417*1.26,I417&gt;197,I417*1.17) + IF(I417&gt;1000,17,0)</f>
        <v>2636.2743199999995</v>
      </c>
      <c r="I417" s="10">
        <f>($K$2+0.02)*Tabla1[[#This Row],[PRECIO $]]*1.18</f>
        <v>2238.6959999999999</v>
      </c>
      <c r="J417" s="7">
        <f>+Tabla1[[#This Row],[PRECIO EN SOLES]]-Tabla1[[#This Row],[PC]]</f>
        <v>397.57831999999962</v>
      </c>
    </row>
    <row r="418" spans="1:10" x14ac:dyDescent="0.25">
      <c r="A418" s="3" t="s">
        <v>1521</v>
      </c>
      <c r="B418" s="3" t="s">
        <v>1522</v>
      </c>
      <c r="C418" s="1">
        <v>6</v>
      </c>
      <c r="D418" s="1">
        <v>550</v>
      </c>
      <c r="E418" s="1" t="s">
        <v>56</v>
      </c>
      <c r="F418" s="1" t="s">
        <v>4320</v>
      </c>
      <c r="G418" s="3" t="s">
        <v>1523</v>
      </c>
      <c r="H418" s="12" cm="1">
        <f t="array" ref="H418">_xlfn.IFS(I418&lt;197,I418*1.26,I418&gt;197,I418*1.17) + IF(I418&gt;1000,17,0)</f>
        <v>2598.7219999999998</v>
      </c>
      <c r="I418" s="10">
        <f>($K$2+0.02)*Tabla1[[#This Row],[PRECIO $]]*1.18</f>
        <v>2206.6</v>
      </c>
      <c r="J418" s="7">
        <f>+Tabla1[[#This Row],[PRECIO EN SOLES]]-Tabla1[[#This Row],[PC]]</f>
        <v>392.12199999999984</v>
      </c>
    </row>
    <row r="419" spans="1:10" x14ac:dyDescent="0.25">
      <c r="A419" s="3" t="s">
        <v>1524</v>
      </c>
      <c r="B419" s="3" t="s">
        <v>1525</v>
      </c>
      <c r="C419" s="1">
        <v>20</v>
      </c>
      <c r="D419" s="1">
        <v>426</v>
      </c>
      <c r="E419" s="1" t="s">
        <v>56</v>
      </c>
      <c r="F419" s="1" t="s">
        <v>4321</v>
      </c>
      <c r="G419" s="3" t="s">
        <v>1526</v>
      </c>
      <c r="H419" s="12" cm="1">
        <f t="array" ref="H419">_xlfn.IFS(I419&lt;197,I419*1.26,I419&gt;197,I419*1.17) + IF(I419&gt;1000,17,0)</f>
        <v>2016.6610399999997</v>
      </c>
      <c r="I419" s="10">
        <f>($K$2+0.02)*Tabla1[[#This Row],[PRECIO $]]*1.18</f>
        <v>1709.1119999999999</v>
      </c>
      <c r="J419" s="7">
        <f>+Tabla1[[#This Row],[PRECIO EN SOLES]]-Tabla1[[#This Row],[PC]]</f>
        <v>307.54903999999988</v>
      </c>
    </row>
    <row r="420" spans="1:10" x14ac:dyDescent="0.25">
      <c r="A420" s="3" t="s">
        <v>1527</v>
      </c>
      <c r="B420" s="3" t="s">
        <v>1528</v>
      </c>
      <c r="C420" s="1">
        <v>1</v>
      </c>
      <c r="D420" s="1">
        <v>1191</v>
      </c>
      <c r="E420" s="1" t="s">
        <v>56</v>
      </c>
      <c r="F420" s="1" t="s">
        <v>4322</v>
      </c>
      <c r="G420" s="3" t="s">
        <v>1529</v>
      </c>
      <c r="H420" s="12" cm="1">
        <f t="array" ref="H420">_xlfn.IFS(I420&lt;197,I420*1.26,I420&gt;197,I420*1.17) + IF(I420&gt;1000,17,0)</f>
        <v>5607.601639999999</v>
      </c>
      <c r="I420" s="10">
        <f>($K$2+0.02)*Tabla1[[#This Row],[PRECIO $]]*1.18</f>
        <v>4778.2919999999995</v>
      </c>
      <c r="J420" s="7">
        <f>+Tabla1[[#This Row],[PRECIO EN SOLES]]-Tabla1[[#This Row],[PC]]</f>
        <v>829.30963999999949</v>
      </c>
    </row>
    <row r="421" spans="1:10" x14ac:dyDescent="0.25">
      <c r="A421" s="3" t="s">
        <v>1530</v>
      </c>
      <c r="B421" s="3" t="s">
        <v>1531</v>
      </c>
      <c r="C421" s="1">
        <v>1</v>
      </c>
      <c r="D421" s="1">
        <v>417</v>
      </c>
      <c r="E421" s="1" t="s">
        <v>56</v>
      </c>
      <c r="F421" s="1" t="s">
        <v>4323</v>
      </c>
      <c r="G421" s="3"/>
      <c r="H421" s="12" cm="1">
        <f t="array" ref="H421">_xlfn.IFS(I421&lt;197,I421*1.26,I421&gt;197,I421*1.17) + IF(I421&gt;1000,17,0)</f>
        <v>1974.4146799999999</v>
      </c>
      <c r="I421" s="10">
        <f>($K$2+0.02)*Tabla1[[#This Row],[PRECIO $]]*1.18</f>
        <v>1673.0039999999999</v>
      </c>
      <c r="J421" s="7">
        <f>+Tabla1[[#This Row],[PRECIO EN SOLES]]-Tabla1[[#This Row],[PC]]</f>
        <v>301.41067999999996</v>
      </c>
    </row>
    <row r="422" spans="1:10" x14ac:dyDescent="0.25">
      <c r="A422" s="3" t="s">
        <v>5914</v>
      </c>
      <c r="B422" s="3" t="s">
        <v>5915</v>
      </c>
      <c r="C422" s="1">
        <v>1</v>
      </c>
      <c r="D422" s="1">
        <v>9</v>
      </c>
      <c r="E422" s="1" t="s">
        <v>163</v>
      </c>
      <c r="F422" s="1" t="s">
        <v>5916</v>
      </c>
      <c r="G422" s="3"/>
      <c r="H422" s="12" cm="1">
        <f t="array" ref="H422">_xlfn.IFS(I422&lt;197,I422*1.26,I422&gt;197,I422*1.17) + IF(I422&gt;1000,17,0)</f>
        <v>45.496079999999999</v>
      </c>
      <c r="I422" s="10">
        <f>($K$2+0.02)*Tabla1[[#This Row],[PRECIO $]]*1.18</f>
        <v>36.107999999999997</v>
      </c>
      <c r="J422" s="7">
        <f>+Tabla1[[#This Row],[PRECIO EN SOLES]]-Tabla1[[#This Row],[PC]]</f>
        <v>9.3880800000000022</v>
      </c>
    </row>
    <row r="423" spans="1:10" x14ac:dyDescent="0.25">
      <c r="A423" s="3" t="s">
        <v>1532</v>
      </c>
      <c r="B423" s="3" t="s">
        <v>1533</v>
      </c>
      <c r="C423" s="1">
        <v>2</v>
      </c>
      <c r="D423" s="1">
        <v>42</v>
      </c>
      <c r="E423" s="1" t="s">
        <v>156</v>
      </c>
      <c r="F423" s="1" t="s">
        <v>4324</v>
      </c>
      <c r="G423" s="3"/>
      <c r="H423" s="12" cm="1">
        <f t="array" ref="H423">_xlfn.IFS(I423&lt;197,I423*1.26,I423&gt;197,I423*1.17) + IF(I423&gt;1000,17,0)</f>
        <v>212.31503999999995</v>
      </c>
      <c r="I423" s="10">
        <f>($K$2+0.02)*Tabla1[[#This Row],[PRECIO $]]*1.18</f>
        <v>168.50399999999996</v>
      </c>
      <c r="J423" s="7">
        <f>+Tabla1[[#This Row],[PRECIO EN SOLES]]-Tabla1[[#This Row],[PC]]</f>
        <v>43.811039999999991</v>
      </c>
    </row>
    <row r="424" spans="1:10" x14ac:dyDescent="0.25">
      <c r="A424" s="3" t="s">
        <v>715</v>
      </c>
      <c r="B424" s="3" t="s">
        <v>275</v>
      </c>
      <c r="C424" s="1">
        <v>20</v>
      </c>
      <c r="D424" s="1">
        <v>83</v>
      </c>
      <c r="E424" s="1" t="s">
        <v>54</v>
      </c>
      <c r="F424" s="1" t="s">
        <v>4325</v>
      </c>
      <c r="G424" s="3" t="s">
        <v>716</v>
      </c>
      <c r="H424" s="12" cm="1">
        <f t="array" ref="H424">_xlfn.IFS(I424&lt;197,I424*1.26,I424&gt;197,I424*1.17) + IF(I424&gt;1000,17,0)</f>
        <v>389.60531999999995</v>
      </c>
      <c r="I424" s="10">
        <f>($K$2+0.02)*Tabla1[[#This Row],[PRECIO $]]*1.18</f>
        <v>332.99599999999998</v>
      </c>
      <c r="J424" s="7">
        <f>+Tabla1[[#This Row],[PRECIO EN SOLES]]-Tabla1[[#This Row],[PC]]</f>
        <v>56.609319999999968</v>
      </c>
    </row>
    <row r="425" spans="1:10" x14ac:dyDescent="0.25">
      <c r="A425" s="3" t="s">
        <v>1534</v>
      </c>
      <c r="B425" s="3" t="s">
        <v>1535</v>
      </c>
      <c r="C425" s="1">
        <v>11</v>
      </c>
      <c r="D425" s="1">
        <v>68</v>
      </c>
      <c r="E425" s="1" t="s">
        <v>54</v>
      </c>
      <c r="F425" s="1" t="s">
        <v>4326</v>
      </c>
      <c r="G425" s="3" t="s">
        <v>1536</v>
      </c>
      <c r="H425" s="12" cm="1">
        <f t="array" ref="H425">_xlfn.IFS(I425&lt;197,I425*1.26,I425&gt;197,I425*1.17) + IF(I425&gt;1000,17,0)</f>
        <v>319.19471999999996</v>
      </c>
      <c r="I425" s="10">
        <f>($K$2+0.02)*Tabla1[[#This Row],[PRECIO $]]*1.18</f>
        <v>272.81599999999997</v>
      </c>
      <c r="J425" s="7">
        <f>+Tabla1[[#This Row],[PRECIO EN SOLES]]-Tabla1[[#This Row],[PC]]</f>
        <v>46.378719999999987</v>
      </c>
    </row>
    <row r="426" spans="1:10" x14ac:dyDescent="0.25">
      <c r="A426" s="3" t="s">
        <v>1537</v>
      </c>
      <c r="B426" s="3" t="s">
        <v>1535</v>
      </c>
      <c r="C426" s="1">
        <v>20</v>
      </c>
      <c r="D426" s="1">
        <v>87</v>
      </c>
      <c r="E426" s="1" t="s">
        <v>54</v>
      </c>
      <c r="F426" s="1" t="s">
        <v>4327</v>
      </c>
      <c r="G426" s="3" t="s">
        <v>1538</v>
      </c>
      <c r="H426" s="12" cm="1">
        <f t="array" ref="H426">_xlfn.IFS(I426&lt;197,I426*1.26,I426&gt;197,I426*1.17) + IF(I426&gt;1000,17,0)</f>
        <v>408.38147999999995</v>
      </c>
      <c r="I426" s="10">
        <f>($K$2+0.02)*Tabla1[[#This Row],[PRECIO $]]*1.18</f>
        <v>349.04399999999998</v>
      </c>
      <c r="J426" s="7">
        <f>+Tabla1[[#This Row],[PRECIO EN SOLES]]-Tabla1[[#This Row],[PC]]</f>
        <v>59.337479999999971</v>
      </c>
    </row>
    <row r="427" spans="1:10" x14ac:dyDescent="0.25">
      <c r="A427" s="3" t="s">
        <v>276</v>
      </c>
      <c r="B427" s="3" t="s">
        <v>277</v>
      </c>
      <c r="C427" s="1">
        <v>20</v>
      </c>
      <c r="D427" s="1">
        <v>92</v>
      </c>
      <c r="E427" s="1" t="s">
        <v>54</v>
      </c>
      <c r="F427" s="1" t="s">
        <v>4328</v>
      </c>
      <c r="G427" s="3" t="s">
        <v>278</v>
      </c>
      <c r="H427" s="12" cm="1">
        <f t="array" ref="H427">_xlfn.IFS(I427&lt;197,I427*1.26,I427&gt;197,I427*1.17) + IF(I427&gt;1000,17,0)</f>
        <v>431.85167999999993</v>
      </c>
      <c r="I427" s="10">
        <f>($K$2+0.02)*Tabla1[[#This Row],[PRECIO $]]*1.18</f>
        <v>369.10399999999998</v>
      </c>
      <c r="J427" s="7">
        <f>+Tabla1[[#This Row],[PRECIO EN SOLES]]-Tabla1[[#This Row],[PC]]</f>
        <v>62.747679999999946</v>
      </c>
    </row>
    <row r="428" spans="1:10" x14ac:dyDescent="0.25">
      <c r="A428" s="3" t="s">
        <v>1539</v>
      </c>
      <c r="B428" s="3" t="s">
        <v>1540</v>
      </c>
      <c r="C428" s="1">
        <v>1</v>
      </c>
      <c r="D428" s="1">
        <v>2842</v>
      </c>
      <c r="E428" s="1" t="s">
        <v>156</v>
      </c>
      <c r="F428" s="1" t="s">
        <v>4329</v>
      </c>
      <c r="G428" s="3" t="s">
        <v>1541</v>
      </c>
      <c r="H428" s="12" cm="1">
        <f t="array" ref="H428">_xlfn.IFS(I428&lt;197,I428*1.26,I428&gt;197,I428*1.17) + IF(I428&gt;1000,17,0)</f>
        <v>13357.461679999999</v>
      </c>
      <c r="I428" s="10">
        <f>($K$2+0.02)*Tabla1[[#This Row],[PRECIO $]]*1.18</f>
        <v>11402.103999999999</v>
      </c>
      <c r="J428" s="7">
        <f>+Tabla1[[#This Row],[PRECIO EN SOLES]]-Tabla1[[#This Row],[PC]]</f>
        <v>1955.3576799999992</v>
      </c>
    </row>
    <row r="429" spans="1:10" x14ac:dyDescent="0.25">
      <c r="A429" s="3" t="s">
        <v>717</v>
      </c>
      <c r="B429" s="3" t="s">
        <v>718</v>
      </c>
      <c r="C429" s="1">
        <v>20</v>
      </c>
      <c r="D429" s="1">
        <v>122</v>
      </c>
      <c r="E429" s="1" t="s">
        <v>156</v>
      </c>
      <c r="F429" s="1" t="s">
        <v>4330</v>
      </c>
      <c r="G429" s="3" t="s">
        <v>719</v>
      </c>
      <c r="H429" s="12" cm="1">
        <f t="array" ref="H429">_xlfn.IFS(I429&lt;197,I429*1.26,I429&gt;197,I429*1.17) + IF(I429&gt;1000,17,0)</f>
        <v>572.67287999999996</v>
      </c>
      <c r="I429" s="10">
        <f>($K$2+0.02)*Tabla1[[#This Row],[PRECIO $]]*1.18</f>
        <v>489.464</v>
      </c>
      <c r="J429" s="7">
        <f>+Tabla1[[#This Row],[PRECIO EN SOLES]]-Tabla1[[#This Row],[PC]]</f>
        <v>83.208879999999965</v>
      </c>
    </row>
    <row r="430" spans="1:10" x14ac:dyDescent="0.25">
      <c r="A430" s="3" t="s">
        <v>1542</v>
      </c>
      <c r="B430" s="3" t="s">
        <v>1543</v>
      </c>
      <c r="C430" s="1">
        <v>20</v>
      </c>
      <c r="D430" s="1">
        <v>157</v>
      </c>
      <c r="E430" s="1" t="s">
        <v>156</v>
      </c>
      <c r="F430" s="1" t="s">
        <v>4331</v>
      </c>
      <c r="G430" s="3" t="s">
        <v>1544</v>
      </c>
      <c r="H430" s="12" cm="1">
        <f t="array" ref="H430">_xlfn.IFS(I430&lt;197,I430*1.26,I430&gt;197,I430*1.17) + IF(I430&gt;1000,17,0)</f>
        <v>736.9642799999998</v>
      </c>
      <c r="I430" s="10">
        <f>($K$2+0.02)*Tabla1[[#This Row],[PRECIO $]]*1.18</f>
        <v>629.8839999999999</v>
      </c>
      <c r="J430" s="7">
        <f>+Tabla1[[#This Row],[PRECIO EN SOLES]]-Tabla1[[#This Row],[PC]]</f>
        <v>107.0802799999999</v>
      </c>
    </row>
    <row r="431" spans="1:10" x14ac:dyDescent="0.25">
      <c r="A431" s="3" t="s">
        <v>1545</v>
      </c>
      <c r="B431" s="3" t="s">
        <v>1546</v>
      </c>
      <c r="C431" s="1">
        <v>11</v>
      </c>
      <c r="D431" s="1">
        <v>342</v>
      </c>
      <c r="E431" s="1" t="s">
        <v>156</v>
      </c>
      <c r="F431" s="1" t="s">
        <v>4332</v>
      </c>
      <c r="G431" s="3" t="s">
        <v>1547</v>
      </c>
      <c r="H431" s="12" cm="1">
        <f t="array" ref="H431">_xlfn.IFS(I431&lt;197,I431*1.26,I431&gt;197,I431*1.17) + IF(I431&gt;1000,17,0)</f>
        <v>1622.3616799999998</v>
      </c>
      <c r="I431" s="10">
        <f>($K$2+0.02)*Tabla1[[#This Row],[PRECIO $]]*1.18</f>
        <v>1372.1039999999998</v>
      </c>
      <c r="J431" s="7">
        <f>+Tabla1[[#This Row],[PRECIO EN SOLES]]-Tabla1[[#This Row],[PC]]</f>
        <v>250.25767999999994</v>
      </c>
    </row>
    <row r="432" spans="1:10" x14ac:dyDescent="0.25">
      <c r="A432" s="3" t="s">
        <v>1548</v>
      </c>
      <c r="B432" s="3" t="s">
        <v>1549</v>
      </c>
      <c r="C432" s="1">
        <v>2</v>
      </c>
      <c r="D432" s="1">
        <v>386</v>
      </c>
      <c r="E432" s="1" t="s">
        <v>156</v>
      </c>
      <c r="F432" s="1" t="s">
        <v>4333</v>
      </c>
      <c r="G432" s="3" t="s">
        <v>1550</v>
      </c>
      <c r="H432" s="12" cm="1">
        <f t="array" ref="H432">_xlfn.IFS(I432&lt;197,I432*1.26,I432&gt;197,I432*1.17) + IF(I432&gt;1000,17,0)</f>
        <v>1828.8994399999997</v>
      </c>
      <c r="I432" s="10">
        <f>($K$2+0.02)*Tabla1[[#This Row],[PRECIO $]]*1.18</f>
        <v>1548.6319999999998</v>
      </c>
      <c r="J432" s="7">
        <f>+Tabla1[[#This Row],[PRECIO EN SOLES]]-Tabla1[[#This Row],[PC]]</f>
        <v>280.26743999999985</v>
      </c>
    </row>
    <row r="433" spans="1:10" x14ac:dyDescent="0.25">
      <c r="A433" s="3" t="s">
        <v>1551</v>
      </c>
      <c r="B433" s="3" t="s">
        <v>1552</v>
      </c>
      <c r="C433" s="1">
        <v>20</v>
      </c>
      <c r="D433" s="1">
        <v>138</v>
      </c>
      <c r="E433" s="1" t="s">
        <v>156</v>
      </c>
      <c r="F433" s="1" t="s">
        <v>4334</v>
      </c>
      <c r="G433" s="3"/>
      <c r="H433" s="12" cm="1">
        <f t="array" ref="H433">_xlfn.IFS(I433&lt;197,I433*1.26,I433&gt;197,I433*1.17) + IF(I433&gt;1000,17,0)</f>
        <v>647.77751999999987</v>
      </c>
      <c r="I433" s="10">
        <f>($K$2+0.02)*Tabla1[[#This Row],[PRECIO $]]*1.18</f>
        <v>553.65599999999995</v>
      </c>
      <c r="J433" s="7">
        <f>+Tabla1[[#This Row],[PRECIO EN SOLES]]-Tabla1[[#This Row],[PC]]</f>
        <v>94.121519999999919</v>
      </c>
    </row>
    <row r="434" spans="1:10" x14ac:dyDescent="0.25">
      <c r="A434" s="3" t="s">
        <v>3503</v>
      </c>
      <c r="B434" s="3" t="s">
        <v>3504</v>
      </c>
      <c r="C434" s="1">
        <v>1</v>
      </c>
      <c r="D434" s="1">
        <v>24.7</v>
      </c>
      <c r="E434" s="1" t="s">
        <v>54</v>
      </c>
      <c r="F434" s="1" t="s">
        <v>4335</v>
      </c>
      <c r="G434" s="3" t="s">
        <v>3527</v>
      </c>
      <c r="H434" s="12" cm="1">
        <f t="array" ref="H434">_xlfn.IFS(I434&lt;197,I434*1.26,I434&gt;197,I434*1.17) + IF(I434&gt;1000,17,0)</f>
        <v>124.86146399999998</v>
      </c>
      <c r="I434" s="10">
        <f>($K$2+0.02)*Tabla1[[#This Row],[PRECIO $]]*1.18</f>
        <v>99.096399999999988</v>
      </c>
      <c r="J434" s="7">
        <f>+Tabla1[[#This Row],[PRECIO EN SOLES]]-Tabla1[[#This Row],[PC]]</f>
        <v>25.765063999999995</v>
      </c>
    </row>
    <row r="435" spans="1:10" x14ac:dyDescent="0.25">
      <c r="A435" s="3" t="s">
        <v>3505</v>
      </c>
      <c r="B435" s="3" t="s">
        <v>3506</v>
      </c>
      <c r="C435" s="1">
        <v>20</v>
      </c>
      <c r="D435" s="1">
        <v>34.799999999999997</v>
      </c>
      <c r="E435" s="1" t="s">
        <v>54</v>
      </c>
      <c r="F435" s="1" t="s">
        <v>4336</v>
      </c>
      <c r="G435" s="3" t="s">
        <v>3528</v>
      </c>
      <c r="H435" s="12" cm="1">
        <f t="array" ref="H435">_xlfn.IFS(I435&lt;197,I435*1.26,I435&gt;197,I435*1.17) + IF(I435&gt;1000,17,0)</f>
        <v>175.91817599999999</v>
      </c>
      <c r="I435" s="10">
        <f>($K$2+0.02)*Tabla1[[#This Row],[PRECIO $]]*1.18</f>
        <v>139.61759999999998</v>
      </c>
      <c r="J435" s="7">
        <f>+Tabla1[[#This Row],[PRECIO EN SOLES]]-Tabla1[[#This Row],[PC]]</f>
        <v>36.300576000000007</v>
      </c>
    </row>
    <row r="436" spans="1:10" x14ac:dyDescent="0.25">
      <c r="A436" s="3" t="s">
        <v>1553</v>
      </c>
      <c r="B436" s="3" t="s">
        <v>1554</v>
      </c>
      <c r="C436" s="1">
        <v>20</v>
      </c>
      <c r="D436" s="1">
        <v>19.600000000000001</v>
      </c>
      <c r="E436" s="1" t="s">
        <v>156</v>
      </c>
      <c r="F436" s="1" t="s">
        <v>4337</v>
      </c>
      <c r="G436" s="3"/>
      <c r="H436" s="12" cm="1">
        <f t="array" ref="H436">_xlfn.IFS(I436&lt;197,I436*1.26,I436&gt;197,I436*1.17) + IF(I436&gt;1000,17,0)</f>
        <v>99.080351999999991</v>
      </c>
      <c r="I436" s="10">
        <f>($K$2+0.02)*Tabla1[[#This Row],[PRECIO $]]*1.18</f>
        <v>78.635199999999998</v>
      </c>
      <c r="J436" s="7">
        <f>+Tabla1[[#This Row],[PRECIO EN SOLES]]-Tabla1[[#This Row],[PC]]</f>
        <v>20.445151999999993</v>
      </c>
    </row>
    <row r="437" spans="1:10" x14ac:dyDescent="0.25">
      <c r="A437" s="3" t="s">
        <v>1555</v>
      </c>
      <c r="B437" s="3" t="s">
        <v>1556</v>
      </c>
      <c r="C437" s="1">
        <v>1</v>
      </c>
      <c r="D437" s="1">
        <v>373</v>
      </c>
      <c r="E437" s="1" t="s">
        <v>56</v>
      </c>
      <c r="F437" s="1" t="s">
        <v>4338</v>
      </c>
      <c r="G437" s="3" t="s">
        <v>1557</v>
      </c>
      <c r="H437" s="12" cm="1">
        <f t="array" ref="H437">_xlfn.IFS(I437&lt;197,I437*1.26,I437&gt;197,I437*1.17) + IF(I437&gt;1000,17,0)</f>
        <v>1767.8769199999997</v>
      </c>
      <c r="I437" s="10">
        <f>($K$2+0.02)*Tabla1[[#This Row],[PRECIO $]]*1.18</f>
        <v>1496.4759999999999</v>
      </c>
      <c r="J437" s="7">
        <f>+Tabla1[[#This Row],[PRECIO EN SOLES]]-Tabla1[[#This Row],[PC]]</f>
        <v>271.40091999999981</v>
      </c>
    </row>
    <row r="438" spans="1:10" x14ac:dyDescent="0.25">
      <c r="A438" s="3" t="s">
        <v>1558</v>
      </c>
      <c r="B438" s="3" t="s">
        <v>1559</v>
      </c>
      <c r="C438" s="1">
        <v>3</v>
      </c>
      <c r="D438" s="1">
        <v>363</v>
      </c>
      <c r="E438" s="1" t="s">
        <v>56</v>
      </c>
      <c r="F438" s="1" t="s">
        <v>4339</v>
      </c>
      <c r="G438" s="3" t="s">
        <v>1560</v>
      </c>
      <c r="H438" s="12" cm="1">
        <f t="array" ref="H438">_xlfn.IFS(I438&lt;197,I438*1.26,I438&gt;197,I438*1.17) + IF(I438&gt;1000,17,0)</f>
        <v>1720.93652</v>
      </c>
      <c r="I438" s="10">
        <f>($K$2+0.02)*Tabla1[[#This Row],[PRECIO $]]*1.18</f>
        <v>1456.356</v>
      </c>
      <c r="J438" s="7">
        <f>+Tabla1[[#This Row],[PRECIO EN SOLES]]-Tabla1[[#This Row],[PC]]</f>
        <v>264.58051999999998</v>
      </c>
    </row>
    <row r="439" spans="1:10" x14ac:dyDescent="0.25">
      <c r="A439" s="3" t="s">
        <v>1561</v>
      </c>
      <c r="B439" s="3" t="s">
        <v>1562</v>
      </c>
      <c r="C439" s="1">
        <v>0</v>
      </c>
      <c r="D439" s="1">
        <v>9999999.9900000002</v>
      </c>
      <c r="E439" s="1" t="s">
        <v>1563</v>
      </c>
      <c r="F439" s="1" t="s">
        <v>4340</v>
      </c>
      <c r="G439" s="3"/>
      <c r="H439" s="12" cm="1">
        <f t="array" ref="H439">_xlfn.IFS(I439&lt;197,I439*1.26,I439&gt;197,I439*1.17) + IF(I439&gt;1000,17,0)</f>
        <v>46940416.953059591</v>
      </c>
      <c r="I439" s="10">
        <f>($K$2+0.02)*Tabla1[[#This Row],[PRECIO $]]*1.18</f>
        <v>40119999.959879994</v>
      </c>
      <c r="J439" s="7">
        <f>+Tabla1[[#This Row],[PRECIO EN SOLES]]-Tabla1[[#This Row],[PC]]</f>
        <v>6820416.993179597</v>
      </c>
    </row>
    <row r="440" spans="1:10" x14ac:dyDescent="0.25">
      <c r="A440" s="3" t="s">
        <v>850</v>
      </c>
      <c r="B440" s="3" t="s">
        <v>851</v>
      </c>
      <c r="C440" s="1">
        <v>20</v>
      </c>
      <c r="D440" s="1">
        <v>65</v>
      </c>
      <c r="E440" s="1" t="s">
        <v>279</v>
      </c>
      <c r="F440" s="1" t="s">
        <v>4341</v>
      </c>
      <c r="G440" s="3" t="s">
        <v>852</v>
      </c>
      <c r="H440" s="12" cm="1">
        <f t="array" ref="H440">_xlfn.IFS(I440&lt;197,I440*1.26,I440&gt;197,I440*1.17) + IF(I440&gt;1000,17,0)</f>
        <v>305.11259999999993</v>
      </c>
      <c r="I440" s="10">
        <f>($K$2+0.02)*Tabla1[[#This Row],[PRECIO $]]*1.18</f>
        <v>260.77999999999997</v>
      </c>
      <c r="J440" s="7">
        <f>+Tabla1[[#This Row],[PRECIO EN SOLES]]-Tabla1[[#This Row],[PC]]</f>
        <v>44.332599999999957</v>
      </c>
    </row>
    <row r="441" spans="1:10" x14ac:dyDescent="0.25">
      <c r="A441" s="3" t="s">
        <v>853</v>
      </c>
      <c r="B441" s="3" t="s">
        <v>854</v>
      </c>
      <c r="C441" s="1">
        <v>20</v>
      </c>
      <c r="D441" s="1">
        <v>148.94</v>
      </c>
      <c r="E441" s="1" t="s">
        <v>279</v>
      </c>
      <c r="F441" s="1" t="s">
        <v>4342</v>
      </c>
      <c r="G441" s="3" t="s">
        <v>855</v>
      </c>
      <c r="H441" s="12" cm="1">
        <f t="array" ref="H441">_xlfn.IFS(I441&lt;197,I441*1.26,I441&gt;197,I441*1.17) + IF(I441&gt;1000,17,0)</f>
        <v>699.13031759999978</v>
      </c>
      <c r="I441" s="10">
        <f>($K$2+0.02)*Tabla1[[#This Row],[PRECIO $]]*1.18</f>
        <v>597.54727999999989</v>
      </c>
      <c r="J441" s="7">
        <f>+Tabla1[[#This Row],[PRECIO EN SOLES]]-Tabla1[[#This Row],[PC]]</f>
        <v>101.5830375999999</v>
      </c>
    </row>
    <row r="442" spans="1:10" x14ac:dyDescent="0.25">
      <c r="A442" s="3" t="s">
        <v>856</v>
      </c>
      <c r="B442" s="3" t="s">
        <v>857</v>
      </c>
      <c r="C442" s="1">
        <v>20</v>
      </c>
      <c r="D442" s="1">
        <v>185</v>
      </c>
      <c r="E442" s="1" t="s">
        <v>279</v>
      </c>
      <c r="F442" s="1" t="s">
        <v>4343</v>
      </c>
      <c r="G442" s="3" t="s">
        <v>858</v>
      </c>
      <c r="H442" s="12" cm="1">
        <f t="array" ref="H442">_xlfn.IFS(I442&lt;197,I442*1.26,I442&gt;197,I442*1.17) + IF(I442&gt;1000,17,0)</f>
        <v>868.39739999999983</v>
      </c>
      <c r="I442" s="10">
        <f>($K$2+0.02)*Tabla1[[#This Row],[PRECIO $]]*1.18</f>
        <v>742.21999999999991</v>
      </c>
      <c r="J442" s="7">
        <f>+Tabla1[[#This Row],[PRECIO EN SOLES]]-Tabla1[[#This Row],[PC]]</f>
        <v>126.17739999999992</v>
      </c>
    </row>
    <row r="443" spans="1:10" x14ac:dyDescent="0.25">
      <c r="A443" s="3" t="s">
        <v>859</v>
      </c>
      <c r="B443" s="3" t="s">
        <v>860</v>
      </c>
      <c r="C443" s="1">
        <v>20</v>
      </c>
      <c r="D443" s="1">
        <v>232.47</v>
      </c>
      <c r="E443" s="1" t="s">
        <v>279</v>
      </c>
      <c r="F443" s="1" t="s">
        <v>4344</v>
      </c>
      <c r="G443" s="3" t="s">
        <v>861</v>
      </c>
      <c r="H443" s="12" cm="1">
        <f t="array" ref="H443">_xlfn.IFS(I443&lt;197,I443*1.26,I443&gt;197,I443*1.17) + IF(I443&gt;1000,17,0)</f>
        <v>1091.2234787999998</v>
      </c>
      <c r="I443" s="10">
        <f>($K$2+0.02)*Tabla1[[#This Row],[PRECIO $]]*1.18</f>
        <v>932.66963999999996</v>
      </c>
      <c r="J443" s="7">
        <f>+Tabla1[[#This Row],[PRECIO EN SOLES]]-Tabla1[[#This Row],[PC]]</f>
        <v>158.55383879999988</v>
      </c>
    </row>
    <row r="444" spans="1:10" x14ac:dyDescent="0.25">
      <c r="A444" s="3" t="s">
        <v>862</v>
      </c>
      <c r="B444" s="3" t="s">
        <v>863</v>
      </c>
      <c r="C444" s="1">
        <v>20</v>
      </c>
      <c r="D444" s="1">
        <v>223</v>
      </c>
      <c r="E444" s="1" t="s">
        <v>279</v>
      </c>
      <c r="F444" s="1" t="s">
        <v>4345</v>
      </c>
      <c r="G444" s="3" t="s">
        <v>864</v>
      </c>
      <c r="H444" s="12" cm="1">
        <f t="array" ref="H444">_xlfn.IFS(I444&lt;197,I444*1.26,I444&gt;197,I444*1.17) + IF(I444&gt;1000,17,0)</f>
        <v>1046.7709199999997</v>
      </c>
      <c r="I444" s="10">
        <f>($K$2+0.02)*Tabla1[[#This Row],[PRECIO $]]*1.18</f>
        <v>894.67599999999982</v>
      </c>
      <c r="J444" s="7">
        <f>+Tabla1[[#This Row],[PRECIO EN SOLES]]-Tabla1[[#This Row],[PC]]</f>
        <v>152.09491999999989</v>
      </c>
    </row>
    <row r="445" spans="1:10" x14ac:dyDescent="0.25">
      <c r="A445" s="3" t="s">
        <v>865</v>
      </c>
      <c r="B445" s="3" t="s">
        <v>866</v>
      </c>
      <c r="C445" s="1">
        <v>20</v>
      </c>
      <c r="D445" s="1">
        <v>430</v>
      </c>
      <c r="E445" s="1" t="s">
        <v>279</v>
      </c>
      <c r="F445" s="1" t="s">
        <v>4346</v>
      </c>
      <c r="G445" s="3" t="s">
        <v>867</v>
      </c>
      <c r="H445" s="12" cm="1">
        <f t="array" ref="H445">_xlfn.IFS(I445&lt;197,I445*1.26,I445&gt;197,I445*1.17) + IF(I445&gt;1000,17,0)</f>
        <v>2035.4371999999996</v>
      </c>
      <c r="I445" s="10">
        <f>($K$2+0.02)*Tabla1[[#This Row],[PRECIO $]]*1.18</f>
        <v>1725.1599999999999</v>
      </c>
      <c r="J445" s="7">
        <f>+Tabla1[[#This Row],[PRECIO EN SOLES]]-Tabla1[[#This Row],[PC]]</f>
        <v>310.27719999999977</v>
      </c>
    </row>
    <row r="446" spans="1:10" x14ac:dyDescent="0.25">
      <c r="A446" s="3" t="s">
        <v>868</v>
      </c>
      <c r="B446" s="3" t="s">
        <v>280</v>
      </c>
      <c r="C446" s="1">
        <v>20</v>
      </c>
      <c r="D446" s="1">
        <v>19.149999999999999</v>
      </c>
      <c r="E446" s="1" t="s">
        <v>279</v>
      </c>
      <c r="F446" s="1" t="s">
        <v>4347</v>
      </c>
      <c r="G446" s="3" t="s">
        <v>3945</v>
      </c>
      <c r="H446" s="12" cm="1">
        <f t="array" ref="H446">_xlfn.IFS(I446&lt;197,I446*1.26,I446&gt;197,I446*1.17) + IF(I446&gt;1000,17,0)</f>
        <v>96.805547999999987</v>
      </c>
      <c r="I446" s="10">
        <f>($K$2+0.02)*Tabla1[[#This Row],[PRECIO $]]*1.18</f>
        <v>76.829799999999992</v>
      </c>
      <c r="J446" s="7">
        <f>+Tabla1[[#This Row],[PRECIO EN SOLES]]-Tabla1[[#This Row],[PC]]</f>
        <v>19.975747999999996</v>
      </c>
    </row>
    <row r="447" spans="1:10" x14ac:dyDescent="0.25">
      <c r="A447" s="3" t="s">
        <v>1564</v>
      </c>
      <c r="B447" s="3" t="s">
        <v>280</v>
      </c>
      <c r="C447" s="1">
        <v>0</v>
      </c>
      <c r="D447" s="1">
        <v>999</v>
      </c>
      <c r="E447" s="1" t="s">
        <v>279</v>
      </c>
      <c r="F447" s="1" t="s">
        <v>4348</v>
      </c>
      <c r="G447" s="3"/>
      <c r="H447" s="12" cm="1">
        <f t="array" ref="H447">_xlfn.IFS(I447&lt;197,I447*1.26,I447&gt;197,I447*1.17) + IF(I447&gt;1000,17,0)</f>
        <v>4706.3459599999996</v>
      </c>
      <c r="I447" s="10">
        <f>($K$2+0.02)*Tabla1[[#This Row],[PRECIO $]]*1.18</f>
        <v>4007.9879999999998</v>
      </c>
      <c r="J447" s="7">
        <f>+Tabla1[[#This Row],[PRECIO EN SOLES]]-Tabla1[[#This Row],[PC]]</f>
        <v>698.35795999999982</v>
      </c>
    </row>
    <row r="448" spans="1:10" x14ac:dyDescent="0.25">
      <c r="A448" s="3" t="s">
        <v>869</v>
      </c>
      <c r="B448" s="3" t="s">
        <v>870</v>
      </c>
      <c r="C448" s="1">
        <v>20</v>
      </c>
      <c r="D448" s="1">
        <v>26.81</v>
      </c>
      <c r="E448" s="1" t="s">
        <v>279</v>
      </c>
      <c r="F448" s="1" t="s">
        <v>4349</v>
      </c>
      <c r="G448" s="3" t="s">
        <v>3946</v>
      </c>
      <c r="H448" s="12" cm="1">
        <f t="array" ref="H448">_xlfn.IFS(I448&lt;197,I448*1.26,I448&gt;197,I448*1.17) + IF(I448&gt;1000,17,0)</f>
        <v>135.5277672</v>
      </c>
      <c r="I448" s="10">
        <f>($K$2+0.02)*Tabla1[[#This Row],[PRECIO $]]*1.18</f>
        <v>107.56171999999999</v>
      </c>
      <c r="J448" s="7">
        <f>+Tabla1[[#This Row],[PRECIO EN SOLES]]-Tabla1[[#This Row],[PC]]</f>
        <v>27.966047200000006</v>
      </c>
    </row>
    <row r="449" spans="1:10" x14ac:dyDescent="0.25">
      <c r="A449" s="3" t="s">
        <v>871</v>
      </c>
      <c r="B449" s="3" t="s">
        <v>872</v>
      </c>
      <c r="C449" s="1">
        <v>20</v>
      </c>
      <c r="D449" s="1">
        <v>34.47</v>
      </c>
      <c r="E449" s="1" t="s">
        <v>279</v>
      </c>
      <c r="F449" s="1" t="s">
        <v>4350</v>
      </c>
      <c r="G449" s="3" t="s">
        <v>3947</v>
      </c>
      <c r="H449" s="12" cm="1">
        <f t="array" ref="H449">_xlfn.IFS(I449&lt;197,I449*1.26,I449&gt;197,I449*1.17) + IF(I449&gt;1000,17,0)</f>
        <v>174.24998639999998</v>
      </c>
      <c r="I449" s="10">
        <f>($K$2+0.02)*Tabla1[[#This Row],[PRECIO $]]*1.18</f>
        <v>138.29363999999998</v>
      </c>
      <c r="J449" s="7">
        <f>+Tabla1[[#This Row],[PRECIO EN SOLES]]-Tabla1[[#This Row],[PC]]</f>
        <v>35.956346400000001</v>
      </c>
    </row>
    <row r="450" spans="1:10" x14ac:dyDescent="0.25">
      <c r="A450" s="3" t="s">
        <v>873</v>
      </c>
      <c r="B450" s="3" t="s">
        <v>874</v>
      </c>
      <c r="C450" s="1">
        <v>20</v>
      </c>
      <c r="D450" s="1">
        <v>48.52</v>
      </c>
      <c r="E450" s="1" t="s">
        <v>279</v>
      </c>
      <c r="F450" s="1" t="s">
        <v>4351</v>
      </c>
      <c r="G450" s="3" t="s">
        <v>3948</v>
      </c>
      <c r="H450" s="12" cm="1">
        <f t="array" ref="H450">_xlfn.IFS(I450&lt;197,I450*1.26,I450&gt;197,I450*1.17) + IF(I450&gt;1000,17,0)</f>
        <v>245.27442239999999</v>
      </c>
      <c r="I450" s="10">
        <f>($K$2+0.02)*Tabla1[[#This Row],[PRECIO $]]*1.18</f>
        <v>194.66224</v>
      </c>
      <c r="J450" s="7">
        <f>+Tabla1[[#This Row],[PRECIO EN SOLES]]-Tabla1[[#This Row],[PC]]</f>
        <v>50.612182399999995</v>
      </c>
    </row>
    <row r="451" spans="1:10" x14ac:dyDescent="0.25">
      <c r="A451" s="3" t="s">
        <v>875</v>
      </c>
      <c r="B451" s="3" t="s">
        <v>876</v>
      </c>
      <c r="C451" s="1">
        <v>20</v>
      </c>
      <c r="D451" s="1">
        <v>26.81</v>
      </c>
      <c r="E451" s="1" t="s">
        <v>279</v>
      </c>
      <c r="F451" s="1" t="s">
        <v>4352</v>
      </c>
      <c r="G451" s="3" t="s">
        <v>3949</v>
      </c>
      <c r="H451" s="12" cm="1">
        <f t="array" ref="H451">_xlfn.IFS(I451&lt;197,I451*1.26,I451&gt;197,I451*1.17) + IF(I451&gt;1000,17,0)</f>
        <v>135.5277672</v>
      </c>
      <c r="I451" s="10">
        <f>($K$2+0.02)*Tabla1[[#This Row],[PRECIO $]]*1.18</f>
        <v>107.56171999999999</v>
      </c>
      <c r="J451" s="7">
        <f>+Tabla1[[#This Row],[PRECIO EN SOLES]]-Tabla1[[#This Row],[PC]]</f>
        <v>27.966047200000006</v>
      </c>
    </row>
    <row r="452" spans="1:10" x14ac:dyDescent="0.25">
      <c r="A452" s="3" t="s">
        <v>877</v>
      </c>
      <c r="B452" s="3" t="s">
        <v>878</v>
      </c>
      <c r="C452" s="1">
        <v>20</v>
      </c>
      <c r="D452" s="1">
        <v>34.47</v>
      </c>
      <c r="E452" s="1" t="s">
        <v>279</v>
      </c>
      <c r="F452" s="1" t="s">
        <v>4353</v>
      </c>
      <c r="G452" s="3" t="s">
        <v>3950</v>
      </c>
      <c r="H452" s="12" cm="1">
        <f t="array" ref="H452">_xlfn.IFS(I452&lt;197,I452*1.26,I452&gt;197,I452*1.17) + IF(I452&gt;1000,17,0)</f>
        <v>174.24998639999998</v>
      </c>
      <c r="I452" s="10">
        <f>($K$2+0.02)*Tabla1[[#This Row],[PRECIO $]]*1.18</f>
        <v>138.29363999999998</v>
      </c>
      <c r="J452" s="7">
        <f>+Tabla1[[#This Row],[PRECIO EN SOLES]]-Tabla1[[#This Row],[PC]]</f>
        <v>35.956346400000001</v>
      </c>
    </row>
    <row r="453" spans="1:10" x14ac:dyDescent="0.25">
      <c r="A453" s="3" t="s">
        <v>879</v>
      </c>
      <c r="B453" s="3" t="s">
        <v>880</v>
      </c>
      <c r="C453" s="1">
        <v>20</v>
      </c>
      <c r="D453" s="1">
        <v>42.14</v>
      </c>
      <c r="E453" s="1" t="s">
        <v>279</v>
      </c>
      <c r="F453" s="1" t="s">
        <v>4354</v>
      </c>
      <c r="G453" s="3" t="s">
        <v>3951</v>
      </c>
      <c r="H453" s="12" cm="1">
        <f t="array" ref="H453">_xlfn.IFS(I453&lt;197,I453*1.26,I453&gt;197,I453*1.17) + IF(I453&gt;1000,17,0)</f>
        <v>213.02275680000002</v>
      </c>
      <c r="I453" s="10">
        <f>($K$2+0.02)*Tabla1[[#This Row],[PRECIO $]]*1.18</f>
        <v>169.06568000000001</v>
      </c>
      <c r="J453" s="7">
        <f>+Tabla1[[#This Row],[PRECIO EN SOLES]]-Tabla1[[#This Row],[PC]]</f>
        <v>43.95707680000001</v>
      </c>
    </row>
    <row r="454" spans="1:10" x14ac:dyDescent="0.25">
      <c r="A454" s="3" t="s">
        <v>881</v>
      </c>
      <c r="B454" s="3" t="s">
        <v>882</v>
      </c>
      <c r="C454" s="1">
        <v>20</v>
      </c>
      <c r="D454" s="1">
        <v>54.9</v>
      </c>
      <c r="E454" s="1" t="s">
        <v>279</v>
      </c>
      <c r="F454" s="1" t="s">
        <v>4355</v>
      </c>
      <c r="G454" s="3" t="s">
        <v>3952</v>
      </c>
      <c r="H454" s="12" cm="1">
        <f t="array" ref="H454">_xlfn.IFS(I454&lt;197,I454*1.26,I454&gt;197,I454*1.17) + IF(I454&gt;1000,17,0)</f>
        <v>257.70279599999998</v>
      </c>
      <c r="I454" s="10">
        <f>($K$2+0.02)*Tabla1[[#This Row],[PRECIO $]]*1.18</f>
        <v>220.25879999999998</v>
      </c>
      <c r="J454" s="7">
        <f>+Tabla1[[#This Row],[PRECIO EN SOLES]]-Tabla1[[#This Row],[PC]]</f>
        <v>37.443995999999999</v>
      </c>
    </row>
    <row r="455" spans="1:10" x14ac:dyDescent="0.25">
      <c r="A455" s="3" t="s">
        <v>883</v>
      </c>
      <c r="B455" s="3" t="s">
        <v>884</v>
      </c>
      <c r="C455" s="1">
        <v>20</v>
      </c>
      <c r="D455" s="1">
        <v>38.31</v>
      </c>
      <c r="E455" s="1" t="s">
        <v>279</v>
      </c>
      <c r="F455" s="1" t="s">
        <v>4356</v>
      </c>
      <c r="G455" s="3" t="s">
        <v>3953</v>
      </c>
      <c r="H455" s="12" cm="1">
        <f t="array" ref="H455">_xlfn.IFS(I455&lt;197,I455*1.26,I455&gt;197,I455*1.17) + IF(I455&gt;1000,17,0)</f>
        <v>193.66164719999998</v>
      </c>
      <c r="I455" s="10">
        <f>($K$2+0.02)*Tabla1[[#This Row],[PRECIO $]]*1.18</f>
        <v>153.69971999999999</v>
      </c>
      <c r="J455" s="7">
        <f>+Tabla1[[#This Row],[PRECIO EN SOLES]]-Tabla1[[#This Row],[PC]]</f>
        <v>39.961927199999991</v>
      </c>
    </row>
    <row r="456" spans="1:10" x14ac:dyDescent="0.25">
      <c r="A456" s="3" t="s">
        <v>885</v>
      </c>
      <c r="B456" s="3" t="s">
        <v>886</v>
      </c>
      <c r="C456" s="1">
        <v>20</v>
      </c>
      <c r="D456" s="1">
        <v>54</v>
      </c>
      <c r="E456" s="1" t="s">
        <v>279</v>
      </c>
      <c r="F456" s="1" t="s">
        <v>4357</v>
      </c>
      <c r="G456" s="3" t="s">
        <v>3954</v>
      </c>
      <c r="H456" s="12" cm="1">
        <f t="array" ref="H456">_xlfn.IFS(I456&lt;197,I456*1.26,I456&gt;197,I456*1.17) + IF(I456&gt;1000,17,0)</f>
        <v>253.47815999999995</v>
      </c>
      <c r="I456" s="10">
        <f>($K$2+0.02)*Tabla1[[#This Row],[PRECIO $]]*1.18</f>
        <v>216.64799999999997</v>
      </c>
      <c r="J456" s="7">
        <f>+Tabla1[[#This Row],[PRECIO EN SOLES]]-Tabla1[[#This Row],[PC]]</f>
        <v>36.830159999999978</v>
      </c>
    </row>
    <row r="457" spans="1:10" x14ac:dyDescent="0.25">
      <c r="A457" s="3" t="s">
        <v>887</v>
      </c>
      <c r="B457" s="3" t="s">
        <v>888</v>
      </c>
      <c r="C457" s="1">
        <v>20</v>
      </c>
      <c r="D457" s="1">
        <v>18.829999999999998</v>
      </c>
      <c r="E457" s="1" t="s">
        <v>279</v>
      </c>
      <c r="F457" s="1" t="s">
        <v>4358</v>
      </c>
      <c r="G457" s="3"/>
      <c r="H457" s="12" cm="1">
        <f t="array" ref="H457">_xlfn.IFS(I457&lt;197,I457*1.26,I457&gt;197,I457*1.17) + IF(I457&gt;1000,17,0)</f>
        <v>95.187909599999969</v>
      </c>
      <c r="I457" s="10">
        <f>($K$2+0.02)*Tabla1[[#This Row],[PRECIO $]]*1.18</f>
        <v>75.54595999999998</v>
      </c>
      <c r="J457" s="7">
        <f>+Tabla1[[#This Row],[PRECIO EN SOLES]]-Tabla1[[#This Row],[PC]]</f>
        <v>19.64194959999999</v>
      </c>
    </row>
    <row r="458" spans="1:10" x14ac:dyDescent="0.25">
      <c r="A458" s="3" t="s">
        <v>889</v>
      </c>
      <c r="B458" s="3" t="s">
        <v>890</v>
      </c>
      <c r="C458" s="1">
        <v>20</v>
      </c>
      <c r="D458" s="1">
        <v>56</v>
      </c>
      <c r="E458" s="1" t="s">
        <v>279</v>
      </c>
      <c r="F458" s="1" t="s">
        <v>4359</v>
      </c>
      <c r="G458" s="3"/>
      <c r="H458" s="12" cm="1">
        <f t="array" ref="H458">_xlfn.IFS(I458&lt;197,I458*1.26,I458&gt;197,I458*1.17) + IF(I458&gt;1000,17,0)</f>
        <v>262.86624</v>
      </c>
      <c r="I458" s="10">
        <f>($K$2+0.02)*Tabla1[[#This Row],[PRECIO $]]*1.18</f>
        <v>224.672</v>
      </c>
      <c r="J458" s="7">
        <f>+Tabla1[[#This Row],[PRECIO EN SOLES]]-Tabla1[[#This Row],[PC]]</f>
        <v>38.194240000000008</v>
      </c>
    </row>
    <row r="459" spans="1:10" x14ac:dyDescent="0.25">
      <c r="A459" s="3" t="s">
        <v>1565</v>
      </c>
      <c r="B459" s="3" t="s">
        <v>1566</v>
      </c>
      <c r="C459" s="1">
        <v>20</v>
      </c>
      <c r="D459" s="1">
        <v>666</v>
      </c>
      <c r="E459" s="1" t="s">
        <v>279</v>
      </c>
      <c r="F459" s="1" t="s">
        <v>4360</v>
      </c>
      <c r="G459" s="3"/>
      <c r="H459" s="12" cm="1">
        <f t="array" ref="H459">_xlfn.IFS(I459&lt;197,I459*1.26,I459&gt;197,I459*1.17) + IF(I459&gt;1000,17,0)</f>
        <v>3143.2306400000002</v>
      </c>
      <c r="I459" s="10">
        <f>($K$2+0.02)*Tabla1[[#This Row],[PRECIO $]]*1.18</f>
        <v>2671.9920000000002</v>
      </c>
      <c r="J459" s="7">
        <f>+Tabla1[[#This Row],[PRECIO EN SOLES]]-Tabla1[[#This Row],[PC]]</f>
        <v>471.23864000000003</v>
      </c>
    </row>
    <row r="460" spans="1:10" x14ac:dyDescent="0.25">
      <c r="A460" s="3" t="s">
        <v>1567</v>
      </c>
      <c r="B460" s="3" t="s">
        <v>1568</v>
      </c>
      <c r="C460" s="1">
        <v>0</v>
      </c>
      <c r="D460" s="1">
        <v>999</v>
      </c>
      <c r="E460" s="1" t="s">
        <v>281</v>
      </c>
      <c r="F460" s="1" t="s">
        <v>4361</v>
      </c>
      <c r="G460" s="3"/>
      <c r="H460" s="12" cm="1">
        <f t="array" ref="H460">_xlfn.IFS(I460&lt;197,I460*1.26,I460&gt;197,I460*1.17) + IF(I460&gt;1000,17,0)</f>
        <v>4706.3459599999996</v>
      </c>
      <c r="I460" s="10">
        <f>($K$2+0.02)*Tabla1[[#This Row],[PRECIO $]]*1.18</f>
        <v>4007.9879999999998</v>
      </c>
      <c r="J460" s="7">
        <f>+Tabla1[[#This Row],[PRECIO EN SOLES]]-Tabla1[[#This Row],[PC]]</f>
        <v>698.35795999999982</v>
      </c>
    </row>
    <row r="461" spans="1:10" x14ac:dyDescent="0.25">
      <c r="A461" s="3" t="s">
        <v>1569</v>
      </c>
      <c r="B461" s="3" t="s">
        <v>1570</v>
      </c>
      <c r="C461" s="1">
        <v>2</v>
      </c>
      <c r="D461" s="1">
        <v>7.2</v>
      </c>
      <c r="E461" s="1" t="s">
        <v>1515</v>
      </c>
      <c r="F461" s="1" t="s">
        <v>4362</v>
      </c>
      <c r="G461" s="3"/>
      <c r="H461" s="12" cm="1">
        <f t="array" ref="H461">_xlfn.IFS(I461&lt;197,I461*1.26,I461&gt;197,I461*1.17) + IF(I461&gt;1000,17,0)</f>
        <v>36.396864000000001</v>
      </c>
      <c r="I461" s="10">
        <f>($K$2+0.02)*Tabla1[[#This Row],[PRECIO $]]*1.18</f>
        <v>28.886399999999998</v>
      </c>
      <c r="J461" s="7">
        <f>+Tabla1[[#This Row],[PRECIO EN SOLES]]-Tabla1[[#This Row],[PC]]</f>
        <v>7.5104640000000025</v>
      </c>
    </row>
    <row r="462" spans="1:10" x14ac:dyDescent="0.25">
      <c r="A462" s="3" t="s">
        <v>6173</v>
      </c>
      <c r="B462" s="3" t="s">
        <v>6174</v>
      </c>
      <c r="C462" s="1">
        <v>0</v>
      </c>
      <c r="D462" s="1">
        <v>9999999.9900000002</v>
      </c>
      <c r="E462" s="1" t="s">
        <v>1515</v>
      </c>
      <c r="F462" s="1" t="s">
        <v>6175</v>
      </c>
      <c r="G462" s="3"/>
      <c r="H462" s="12" cm="1">
        <f t="array" ref="H462">_xlfn.IFS(I462&lt;197,I462*1.26,I462&gt;197,I462*1.17) + IF(I462&gt;1000,17,0)</f>
        <v>46940416.953059591</v>
      </c>
      <c r="I462" s="10">
        <f>($K$2+0.02)*Tabla1[[#This Row],[PRECIO $]]*1.18</f>
        <v>40119999.959879994</v>
      </c>
      <c r="J462" s="7">
        <f>+Tabla1[[#This Row],[PRECIO EN SOLES]]-Tabla1[[#This Row],[PC]]</f>
        <v>6820416.993179597</v>
      </c>
    </row>
    <row r="463" spans="1:10" x14ac:dyDescent="0.25">
      <c r="A463" s="3" t="s">
        <v>1571</v>
      </c>
      <c r="B463" s="3" t="s">
        <v>1572</v>
      </c>
      <c r="C463" s="1">
        <v>2</v>
      </c>
      <c r="D463" s="1">
        <v>8.5</v>
      </c>
      <c r="E463" s="1" t="s">
        <v>1515</v>
      </c>
      <c r="F463" s="1" t="s">
        <v>4363</v>
      </c>
      <c r="G463" s="3"/>
      <c r="H463" s="12" cm="1">
        <f t="array" ref="H463">_xlfn.IFS(I463&lt;197,I463*1.26,I463&gt;197,I463*1.17) + IF(I463&gt;1000,17,0)</f>
        <v>42.968519999999998</v>
      </c>
      <c r="I463" s="10">
        <f>($K$2+0.02)*Tabla1[[#This Row],[PRECIO $]]*1.18</f>
        <v>34.101999999999997</v>
      </c>
      <c r="J463" s="7">
        <f>+Tabla1[[#This Row],[PRECIO EN SOLES]]-Tabla1[[#This Row],[PC]]</f>
        <v>8.8665200000000013</v>
      </c>
    </row>
    <row r="464" spans="1:10" x14ac:dyDescent="0.25">
      <c r="A464" s="3" t="s">
        <v>5917</v>
      </c>
      <c r="B464" s="3" t="s">
        <v>5918</v>
      </c>
      <c r="C464" s="1">
        <v>2</v>
      </c>
      <c r="D464" s="1">
        <v>12</v>
      </c>
      <c r="E464" s="1" t="s">
        <v>1515</v>
      </c>
      <c r="F464" s="1" t="s">
        <v>5919</v>
      </c>
      <c r="G464" s="3" t="s">
        <v>5920</v>
      </c>
      <c r="H464" s="12" cm="1">
        <f t="array" ref="H464">_xlfn.IFS(I464&lt;197,I464*1.26,I464&gt;197,I464*1.17) + IF(I464&gt;1000,17,0)</f>
        <v>60.661439999999992</v>
      </c>
      <c r="I464" s="10">
        <f>($K$2+0.02)*Tabla1[[#This Row],[PRECIO $]]*1.18</f>
        <v>48.143999999999991</v>
      </c>
      <c r="J464" s="7">
        <f>+Tabla1[[#This Row],[PRECIO EN SOLES]]-Tabla1[[#This Row],[PC]]</f>
        <v>12.517440000000001</v>
      </c>
    </row>
    <row r="465" spans="1:10" x14ac:dyDescent="0.25">
      <c r="A465" s="3" t="s">
        <v>1573</v>
      </c>
      <c r="B465" s="3" t="s">
        <v>1574</v>
      </c>
      <c r="C465" s="1">
        <v>4</v>
      </c>
      <c r="D465" s="1">
        <v>21.8</v>
      </c>
      <c r="E465" s="1" t="s">
        <v>1515</v>
      </c>
      <c r="F465" s="1" t="s">
        <v>4364</v>
      </c>
      <c r="G465" s="3" t="s">
        <v>1575</v>
      </c>
      <c r="H465" s="12" cm="1">
        <f t="array" ref="H465">_xlfn.IFS(I465&lt;197,I465*1.26,I465&gt;197,I465*1.17) + IF(I465&gt;1000,17,0)</f>
        <v>110.201616</v>
      </c>
      <c r="I465" s="10">
        <f>($K$2+0.02)*Tabla1[[#This Row],[PRECIO $]]*1.18</f>
        <v>87.461600000000004</v>
      </c>
      <c r="J465" s="7">
        <f>+Tabla1[[#This Row],[PRECIO EN SOLES]]-Tabla1[[#This Row],[PC]]</f>
        <v>22.740015999999997</v>
      </c>
    </row>
    <row r="466" spans="1:10" x14ac:dyDescent="0.25">
      <c r="A466" s="3" t="s">
        <v>1576</v>
      </c>
      <c r="B466" s="3" t="s">
        <v>1577</v>
      </c>
      <c r="C466" s="1">
        <v>20</v>
      </c>
      <c r="D466" s="1">
        <v>4.2</v>
      </c>
      <c r="E466" s="1" t="s">
        <v>1515</v>
      </c>
      <c r="F466" s="1" t="s">
        <v>4365</v>
      </c>
      <c r="G466" s="3" t="s">
        <v>1578</v>
      </c>
      <c r="H466" s="12" cm="1">
        <f t="array" ref="H466">_xlfn.IFS(I466&lt;197,I466*1.26,I466&gt;197,I466*1.17) + IF(I466&gt;1000,17,0)</f>
        <v>21.231503999999997</v>
      </c>
      <c r="I466" s="10">
        <f>($K$2+0.02)*Tabla1[[#This Row],[PRECIO $]]*1.18</f>
        <v>16.850399999999997</v>
      </c>
      <c r="J466" s="7">
        <f>+Tabla1[[#This Row],[PRECIO EN SOLES]]-Tabla1[[#This Row],[PC]]</f>
        <v>4.3811040000000006</v>
      </c>
    </row>
    <row r="467" spans="1:10" x14ac:dyDescent="0.25">
      <c r="A467" s="3" t="s">
        <v>1579</v>
      </c>
      <c r="B467" s="3" t="s">
        <v>1580</v>
      </c>
      <c r="C467" s="1">
        <v>20</v>
      </c>
      <c r="D467" s="1">
        <v>4.5999999999999996</v>
      </c>
      <c r="E467" s="1" t="s">
        <v>1515</v>
      </c>
      <c r="F467" s="1" t="s">
        <v>4366</v>
      </c>
      <c r="G467" s="3" t="s">
        <v>1581</v>
      </c>
      <c r="H467" s="12" cm="1">
        <f t="array" ref="H467">_xlfn.IFS(I467&lt;197,I467*1.26,I467&gt;197,I467*1.17) + IF(I467&gt;1000,17,0)</f>
        <v>23.253551999999999</v>
      </c>
      <c r="I467" s="10">
        <f>($K$2+0.02)*Tabla1[[#This Row],[PRECIO $]]*1.18</f>
        <v>18.455199999999998</v>
      </c>
      <c r="J467" s="7">
        <f>+Tabla1[[#This Row],[PRECIO EN SOLES]]-Tabla1[[#This Row],[PC]]</f>
        <v>4.7983520000000013</v>
      </c>
    </row>
    <row r="468" spans="1:10" x14ac:dyDescent="0.25">
      <c r="A468" s="3" t="s">
        <v>1582</v>
      </c>
      <c r="B468" s="3" t="s">
        <v>1577</v>
      </c>
      <c r="C468" s="1">
        <v>4</v>
      </c>
      <c r="D468" s="1">
        <v>8</v>
      </c>
      <c r="E468" s="1" t="s">
        <v>1515</v>
      </c>
      <c r="F468" s="1" t="s">
        <v>4367</v>
      </c>
      <c r="G468" s="3" t="s">
        <v>1583</v>
      </c>
      <c r="H468" s="12" cm="1">
        <f t="array" ref="H468">_xlfn.IFS(I468&lt;197,I468*1.26,I468&gt;197,I468*1.17) + IF(I468&gt;1000,17,0)</f>
        <v>40.440959999999997</v>
      </c>
      <c r="I468" s="10">
        <f>($K$2+0.02)*Tabla1[[#This Row],[PRECIO $]]*1.18</f>
        <v>32.095999999999997</v>
      </c>
      <c r="J468" s="7">
        <f>+Tabla1[[#This Row],[PRECIO EN SOLES]]-Tabla1[[#This Row],[PC]]</f>
        <v>8.3449600000000004</v>
      </c>
    </row>
    <row r="469" spans="1:10" x14ac:dyDescent="0.25">
      <c r="A469" s="3" t="s">
        <v>1584</v>
      </c>
      <c r="B469" s="3" t="s">
        <v>1577</v>
      </c>
      <c r="C469" s="1">
        <v>10</v>
      </c>
      <c r="D469" s="1">
        <v>8</v>
      </c>
      <c r="E469" s="1" t="s">
        <v>1515</v>
      </c>
      <c r="F469" s="1" t="s">
        <v>4368</v>
      </c>
      <c r="G469" s="3" t="s">
        <v>1585</v>
      </c>
      <c r="H469" s="12" cm="1">
        <f t="array" ref="H469">_xlfn.IFS(I469&lt;197,I469*1.26,I469&gt;197,I469*1.17) + IF(I469&gt;1000,17,0)</f>
        <v>40.440959999999997</v>
      </c>
      <c r="I469" s="10">
        <f>($K$2+0.02)*Tabla1[[#This Row],[PRECIO $]]*1.18</f>
        <v>32.095999999999997</v>
      </c>
      <c r="J469" s="7">
        <f>+Tabla1[[#This Row],[PRECIO EN SOLES]]-Tabla1[[#This Row],[PC]]</f>
        <v>8.3449600000000004</v>
      </c>
    </row>
    <row r="470" spans="1:10" x14ac:dyDescent="0.25">
      <c r="A470" s="3" t="s">
        <v>1586</v>
      </c>
      <c r="B470" s="3" t="s">
        <v>1587</v>
      </c>
      <c r="C470" s="1">
        <v>3</v>
      </c>
      <c r="D470" s="1">
        <v>8</v>
      </c>
      <c r="E470" s="1" t="s">
        <v>1515</v>
      </c>
      <c r="F470" s="1" t="s">
        <v>4369</v>
      </c>
      <c r="G470" s="3" t="s">
        <v>1588</v>
      </c>
      <c r="H470" s="12" cm="1">
        <f t="array" ref="H470">_xlfn.IFS(I470&lt;197,I470*1.26,I470&gt;197,I470*1.17) + IF(I470&gt;1000,17,0)</f>
        <v>40.440959999999997</v>
      </c>
      <c r="I470" s="10">
        <f>($K$2+0.02)*Tabla1[[#This Row],[PRECIO $]]*1.18</f>
        <v>32.095999999999997</v>
      </c>
      <c r="J470" s="7">
        <f>+Tabla1[[#This Row],[PRECIO EN SOLES]]-Tabla1[[#This Row],[PC]]</f>
        <v>8.3449600000000004</v>
      </c>
    </row>
    <row r="471" spans="1:10" x14ac:dyDescent="0.25">
      <c r="A471" s="3" t="s">
        <v>1589</v>
      </c>
      <c r="B471" s="3" t="s">
        <v>1590</v>
      </c>
      <c r="C471" s="1">
        <v>4</v>
      </c>
      <c r="D471" s="1">
        <v>3.1</v>
      </c>
      <c r="E471" s="1" t="s">
        <v>1515</v>
      </c>
      <c r="F471" s="1" t="s">
        <v>4370</v>
      </c>
      <c r="G471" s="3" t="s">
        <v>1591</v>
      </c>
      <c r="H471" s="12" cm="1">
        <f t="array" ref="H471">_xlfn.IFS(I471&lt;197,I471*1.26,I471&gt;197,I471*1.17) + IF(I471&gt;1000,17,0)</f>
        <v>15.670871999999999</v>
      </c>
      <c r="I471" s="10">
        <f>($K$2+0.02)*Tabla1[[#This Row],[PRECIO $]]*1.18</f>
        <v>12.437199999999999</v>
      </c>
      <c r="J471" s="7">
        <f>+Tabla1[[#This Row],[PRECIO EN SOLES]]-Tabla1[[#This Row],[PC]]</f>
        <v>3.2336720000000003</v>
      </c>
    </row>
    <row r="472" spans="1:10" x14ac:dyDescent="0.25">
      <c r="A472" s="3" t="s">
        <v>1592</v>
      </c>
      <c r="B472" s="3" t="s">
        <v>1593</v>
      </c>
      <c r="C472" s="1">
        <v>18</v>
      </c>
      <c r="D472" s="1">
        <v>54.5</v>
      </c>
      <c r="E472" s="1" t="s">
        <v>1515</v>
      </c>
      <c r="F472" s="1" t="s">
        <v>4371</v>
      </c>
      <c r="G472" s="3" t="s">
        <v>1594</v>
      </c>
      <c r="H472" s="12" cm="1">
        <f t="array" ref="H472">_xlfn.IFS(I472&lt;197,I472*1.26,I472&gt;197,I472*1.17) + IF(I472&gt;1000,17,0)</f>
        <v>255.82517999999996</v>
      </c>
      <c r="I472" s="10">
        <f>($K$2+0.02)*Tabla1[[#This Row],[PRECIO $]]*1.18</f>
        <v>218.65399999999997</v>
      </c>
      <c r="J472" s="7">
        <f>+Tabla1[[#This Row],[PRECIO EN SOLES]]-Tabla1[[#This Row],[PC]]</f>
        <v>37.171179999999993</v>
      </c>
    </row>
    <row r="473" spans="1:10" x14ac:dyDescent="0.25">
      <c r="A473" s="3" t="s">
        <v>1595</v>
      </c>
      <c r="B473" s="3" t="s">
        <v>1596</v>
      </c>
      <c r="C473" s="1">
        <v>7</v>
      </c>
      <c r="D473" s="1">
        <v>17.5</v>
      </c>
      <c r="E473" s="1" t="s">
        <v>1515</v>
      </c>
      <c r="F473" s="1" t="s">
        <v>4372</v>
      </c>
      <c r="G473" s="3" t="s">
        <v>1597</v>
      </c>
      <c r="H473" s="12" cm="1">
        <f t="array" ref="H473">_xlfn.IFS(I473&lt;197,I473*1.26,I473&gt;197,I473*1.17) + IF(I473&gt;1000,17,0)</f>
        <v>88.46459999999999</v>
      </c>
      <c r="I473" s="10">
        <f>($K$2+0.02)*Tabla1[[#This Row],[PRECIO $]]*1.18</f>
        <v>70.209999999999994</v>
      </c>
      <c r="J473" s="7">
        <f>+Tabla1[[#This Row],[PRECIO EN SOLES]]-Tabla1[[#This Row],[PC]]</f>
        <v>18.254599999999996</v>
      </c>
    </row>
    <row r="474" spans="1:10" x14ac:dyDescent="0.25">
      <c r="A474" s="3" t="s">
        <v>1598</v>
      </c>
      <c r="B474" s="3" t="s">
        <v>1599</v>
      </c>
      <c r="C474" s="1">
        <v>19</v>
      </c>
      <c r="D474" s="1">
        <v>5.0999999999999996</v>
      </c>
      <c r="E474" s="1" t="s">
        <v>1515</v>
      </c>
      <c r="F474" s="1" t="s">
        <v>4373</v>
      </c>
      <c r="G474" s="3" t="s">
        <v>1600</v>
      </c>
      <c r="H474" s="12" cm="1">
        <f t="array" ref="H474">_xlfn.IFS(I474&lt;197,I474*1.26,I474&gt;197,I474*1.17) + IF(I474&gt;1000,17,0)</f>
        <v>25.781111999999997</v>
      </c>
      <c r="I474" s="10">
        <f>($K$2+0.02)*Tabla1[[#This Row],[PRECIO $]]*1.18</f>
        <v>20.461199999999998</v>
      </c>
      <c r="J474" s="7">
        <f>+Tabla1[[#This Row],[PRECIO EN SOLES]]-Tabla1[[#This Row],[PC]]</f>
        <v>5.3199119999999986</v>
      </c>
    </row>
    <row r="475" spans="1:10" x14ac:dyDescent="0.25">
      <c r="A475" s="3" t="s">
        <v>1601</v>
      </c>
      <c r="B475" s="3" t="s">
        <v>1602</v>
      </c>
      <c r="C475" s="1">
        <v>20</v>
      </c>
      <c r="D475" s="1">
        <v>48.25</v>
      </c>
      <c r="E475" s="1" t="s">
        <v>1104</v>
      </c>
      <c r="F475" s="1" t="s">
        <v>4374</v>
      </c>
      <c r="G475" s="3" t="s">
        <v>3772</v>
      </c>
      <c r="H475" s="12" cm="1">
        <f t="array" ref="H475">_xlfn.IFS(I475&lt;197,I475*1.26,I475&gt;197,I475*1.17) + IF(I475&gt;1000,17,0)</f>
        <v>243.90953999999996</v>
      </c>
      <c r="I475" s="10">
        <f>($K$2+0.02)*Tabla1[[#This Row],[PRECIO $]]*1.18</f>
        <v>193.57899999999998</v>
      </c>
      <c r="J475" s="7">
        <f>+Tabla1[[#This Row],[PRECIO EN SOLES]]-Tabla1[[#This Row],[PC]]</f>
        <v>50.330539999999985</v>
      </c>
    </row>
    <row r="476" spans="1:10" x14ac:dyDescent="0.25">
      <c r="A476" s="3" t="s">
        <v>6072</v>
      </c>
      <c r="B476" s="3" t="s">
        <v>6073</v>
      </c>
      <c r="C476" s="1">
        <v>0</v>
      </c>
      <c r="D476" s="1">
        <v>66.400000000000006</v>
      </c>
      <c r="E476" s="1" t="s">
        <v>122</v>
      </c>
      <c r="F476" s="1" t="s">
        <v>6074</v>
      </c>
      <c r="G476" s="3" t="s">
        <v>6075</v>
      </c>
      <c r="H476" s="12" cm="1">
        <f t="array" ref="H476">_xlfn.IFS(I476&lt;197,I476*1.26,I476&gt;197,I476*1.17) + IF(I476&gt;1000,17,0)</f>
        <v>311.68425599999995</v>
      </c>
      <c r="I476" s="10">
        <f>($K$2+0.02)*Tabla1[[#This Row],[PRECIO $]]*1.18</f>
        <v>266.39679999999998</v>
      </c>
      <c r="J476" s="7">
        <f>+Tabla1[[#This Row],[PRECIO EN SOLES]]-Tabla1[[#This Row],[PC]]</f>
        <v>45.287455999999963</v>
      </c>
    </row>
    <row r="477" spans="1:10" x14ac:dyDescent="0.25">
      <c r="A477" s="3" t="s">
        <v>6176</v>
      </c>
      <c r="B477" s="3" t="s">
        <v>6177</v>
      </c>
      <c r="C477" s="1">
        <v>0</v>
      </c>
      <c r="D477" s="1">
        <v>81.25</v>
      </c>
      <c r="E477" s="1" t="s">
        <v>256</v>
      </c>
      <c r="F477" s="1" t="s">
        <v>6178</v>
      </c>
      <c r="G477" s="3" t="s">
        <v>6179</v>
      </c>
      <c r="H477" s="12" cm="1">
        <f t="array" ref="H477">_xlfn.IFS(I477&lt;197,I477*1.26,I477&gt;197,I477*1.17) + IF(I477&gt;1000,17,0)</f>
        <v>381.39074999999991</v>
      </c>
      <c r="I477" s="10">
        <f>($K$2+0.02)*Tabla1[[#This Row],[PRECIO $]]*1.18</f>
        <v>325.97499999999997</v>
      </c>
      <c r="J477" s="7">
        <f>+Tabla1[[#This Row],[PRECIO EN SOLES]]-Tabla1[[#This Row],[PC]]</f>
        <v>55.415749999999946</v>
      </c>
    </row>
    <row r="478" spans="1:10" x14ac:dyDescent="0.25">
      <c r="A478" s="3" t="s">
        <v>1603</v>
      </c>
      <c r="B478" s="3" t="s">
        <v>1604</v>
      </c>
      <c r="C478" s="1">
        <v>0</v>
      </c>
      <c r="D478" s="1">
        <v>59.3</v>
      </c>
      <c r="E478" s="1" t="s">
        <v>256</v>
      </c>
      <c r="F478" s="1" t="s">
        <v>4375</v>
      </c>
      <c r="G478" s="3" t="s">
        <v>1605</v>
      </c>
      <c r="H478" s="12" cm="1">
        <f t="array" ref="H478">_xlfn.IFS(I478&lt;197,I478*1.26,I478&gt;197,I478*1.17) + IF(I478&gt;1000,17,0)</f>
        <v>278.35657199999991</v>
      </c>
      <c r="I478" s="10">
        <f>($K$2+0.02)*Tabla1[[#This Row],[PRECIO $]]*1.18</f>
        <v>237.91159999999996</v>
      </c>
      <c r="J478" s="7">
        <f>+Tabla1[[#This Row],[PRECIO EN SOLES]]-Tabla1[[#This Row],[PC]]</f>
        <v>40.44497199999995</v>
      </c>
    </row>
    <row r="479" spans="1:10" x14ac:dyDescent="0.25">
      <c r="A479" s="3" t="s">
        <v>5589</v>
      </c>
      <c r="B479" s="3" t="s">
        <v>5590</v>
      </c>
      <c r="C479" s="1">
        <v>0</v>
      </c>
      <c r="D479" s="1">
        <v>74.2</v>
      </c>
      <c r="E479" s="1" t="s">
        <v>133</v>
      </c>
      <c r="F479" s="1" t="s">
        <v>5591</v>
      </c>
      <c r="G479" s="3" t="s">
        <v>5592</v>
      </c>
      <c r="H479" s="12" cm="1">
        <f t="array" ref="H479">_xlfn.IFS(I479&lt;197,I479*1.26,I479&gt;197,I479*1.17) + IF(I479&gt;1000,17,0)</f>
        <v>348.29776800000002</v>
      </c>
      <c r="I479" s="10">
        <f>($K$2+0.02)*Tabla1[[#This Row],[PRECIO $]]*1.18</f>
        <v>297.69040000000001</v>
      </c>
      <c r="J479" s="7">
        <f>+Tabla1[[#This Row],[PRECIO EN SOLES]]-Tabla1[[#This Row],[PC]]</f>
        <v>50.607368000000008</v>
      </c>
    </row>
    <row r="480" spans="1:10" x14ac:dyDescent="0.25">
      <c r="A480" s="3" t="s">
        <v>3773</v>
      </c>
      <c r="B480" s="3" t="s">
        <v>3774</v>
      </c>
      <c r="C480" s="1">
        <v>0</v>
      </c>
      <c r="D480" s="1">
        <v>57.85</v>
      </c>
      <c r="E480" s="1" t="s">
        <v>133</v>
      </c>
      <c r="F480" s="1" t="s">
        <v>4376</v>
      </c>
      <c r="G480" s="3" t="s">
        <v>3775</v>
      </c>
      <c r="H480" s="12" cm="1">
        <f t="array" ref="H480">_xlfn.IFS(I480&lt;197,I480*1.26,I480&gt;197,I480*1.17) + IF(I480&gt;1000,17,0)</f>
        <v>271.55021399999993</v>
      </c>
      <c r="I480" s="10">
        <f>($K$2+0.02)*Tabla1[[#This Row],[PRECIO $]]*1.18</f>
        <v>232.09419999999997</v>
      </c>
      <c r="J480" s="7">
        <f>+Tabla1[[#This Row],[PRECIO EN SOLES]]-Tabla1[[#This Row],[PC]]</f>
        <v>39.456013999999954</v>
      </c>
    </row>
    <row r="481" spans="1:10" x14ac:dyDescent="0.25">
      <c r="A481" s="3" t="s">
        <v>1606</v>
      </c>
      <c r="B481" s="3" t="s">
        <v>1607</v>
      </c>
      <c r="C481" s="1">
        <v>16</v>
      </c>
      <c r="D481" s="1">
        <v>60.35</v>
      </c>
      <c r="E481" s="1" t="s">
        <v>1104</v>
      </c>
      <c r="F481" s="1" t="s">
        <v>4377</v>
      </c>
      <c r="G481" s="3" t="s">
        <v>1608</v>
      </c>
      <c r="H481" s="12" cm="1">
        <f t="array" ref="H481">_xlfn.IFS(I481&lt;197,I481*1.26,I481&gt;197,I481*1.17) + IF(I481&gt;1000,17,0)</f>
        <v>283.28531399999997</v>
      </c>
      <c r="I481" s="10">
        <f>($K$2+0.02)*Tabla1[[#This Row],[PRECIO $]]*1.18</f>
        <v>242.12419999999997</v>
      </c>
      <c r="J481" s="7">
        <f>+Tabla1[[#This Row],[PRECIO EN SOLES]]-Tabla1[[#This Row],[PC]]</f>
        <v>41.161113999999998</v>
      </c>
    </row>
    <row r="482" spans="1:10" x14ac:dyDescent="0.25">
      <c r="A482" s="3" t="s">
        <v>5593</v>
      </c>
      <c r="B482" s="3" t="s">
        <v>5594</v>
      </c>
      <c r="C482" s="1">
        <v>20</v>
      </c>
      <c r="D482" s="1">
        <v>98.5</v>
      </c>
      <c r="E482" s="1" t="s">
        <v>122</v>
      </c>
      <c r="F482" s="1" t="s">
        <v>5595</v>
      </c>
      <c r="G482" s="3" t="s">
        <v>5596</v>
      </c>
      <c r="H482" s="12" cm="1">
        <f t="array" ref="H482">_xlfn.IFS(I482&lt;197,I482*1.26,I482&gt;197,I482*1.17) + IF(I482&gt;1000,17,0)</f>
        <v>462.36293999999992</v>
      </c>
      <c r="I482" s="10">
        <f>($K$2+0.02)*Tabla1[[#This Row],[PRECIO $]]*1.18</f>
        <v>395.18199999999996</v>
      </c>
      <c r="J482" s="7">
        <f>+Tabla1[[#This Row],[PRECIO EN SOLES]]-Tabla1[[#This Row],[PC]]</f>
        <v>67.180939999999964</v>
      </c>
    </row>
    <row r="483" spans="1:10" x14ac:dyDescent="0.25">
      <c r="A483" s="3" t="s">
        <v>1609</v>
      </c>
      <c r="B483" s="3" t="s">
        <v>1610</v>
      </c>
      <c r="C483" s="1">
        <v>20</v>
      </c>
      <c r="D483" s="1">
        <v>64.2</v>
      </c>
      <c r="E483" s="1" t="s">
        <v>122</v>
      </c>
      <c r="F483" s="1" t="s">
        <v>4378</v>
      </c>
      <c r="G483" s="3" t="s">
        <v>1611</v>
      </c>
      <c r="H483" s="12" cm="1">
        <f t="array" ref="H483">_xlfn.IFS(I483&lt;197,I483*1.26,I483&gt;197,I483*1.17) + IF(I483&gt;1000,17,0)</f>
        <v>301.35736800000001</v>
      </c>
      <c r="I483" s="10">
        <f>($K$2+0.02)*Tabla1[[#This Row],[PRECIO $]]*1.18</f>
        <v>257.57040000000001</v>
      </c>
      <c r="J483" s="7">
        <f>+Tabla1[[#This Row],[PRECIO EN SOLES]]-Tabla1[[#This Row],[PC]]</f>
        <v>43.786968000000002</v>
      </c>
    </row>
    <row r="484" spans="1:10" x14ac:dyDescent="0.25">
      <c r="A484" s="3" t="s">
        <v>1612</v>
      </c>
      <c r="B484" s="3" t="s">
        <v>1613</v>
      </c>
      <c r="C484" s="1">
        <v>1</v>
      </c>
      <c r="D484" s="1">
        <v>178</v>
      </c>
      <c r="E484" s="1" t="s">
        <v>122</v>
      </c>
      <c r="F484" s="1" t="s">
        <v>4379</v>
      </c>
      <c r="G484" s="3" t="s">
        <v>1614</v>
      </c>
      <c r="H484" s="12" cm="1">
        <f t="array" ref="H484">_xlfn.IFS(I484&lt;197,I484*1.26,I484&gt;197,I484*1.17) + IF(I484&gt;1000,17,0)</f>
        <v>835.5391199999998</v>
      </c>
      <c r="I484" s="10">
        <f>($K$2+0.02)*Tabla1[[#This Row],[PRECIO $]]*1.18</f>
        <v>714.13599999999985</v>
      </c>
      <c r="J484" s="7">
        <f>+Tabla1[[#This Row],[PRECIO EN SOLES]]-Tabla1[[#This Row],[PC]]</f>
        <v>121.40311999999994</v>
      </c>
    </row>
    <row r="485" spans="1:10" x14ac:dyDescent="0.25">
      <c r="A485" s="3" t="s">
        <v>1615</v>
      </c>
      <c r="B485" s="3" t="s">
        <v>1616</v>
      </c>
      <c r="C485" s="1">
        <v>4</v>
      </c>
      <c r="D485" s="1">
        <v>115.7</v>
      </c>
      <c r="E485" s="1" t="s">
        <v>256</v>
      </c>
      <c r="F485" s="1" t="s">
        <v>4380</v>
      </c>
      <c r="G485" s="3" t="s">
        <v>1617</v>
      </c>
      <c r="H485" s="12" cm="1">
        <f t="array" ref="H485">_xlfn.IFS(I485&lt;197,I485*1.26,I485&gt;197,I485*1.17) + IF(I485&gt;1000,17,0)</f>
        <v>543.10042799999985</v>
      </c>
      <c r="I485" s="10">
        <f>($K$2+0.02)*Tabla1[[#This Row],[PRECIO $]]*1.18</f>
        <v>464.18839999999994</v>
      </c>
      <c r="J485" s="7">
        <f>+Tabla1[[#This Row],[PRECIO EN SOLES]]-Tabla1[[#This Row],[PC]]</f>
        <v>78.912027999999907</v>
      </c>
    </row>
    <row r="486" spans="1:10" x14ac:dyDescent="0.25">
      <c r="A486" s="3" t="s">
        <v>770</v>
      </c>
      <c r="B486" s="3" t="s">
        <v>771</v>
      </c>
      <c r="C486" s="1">
        <v>20</v>
      </c>
      <c r="D486" s="1">
        <v>89.5</v>
      </c>
      <c r="E486" s="1" t="s">
        <v>256</v>
      </c>
      <c r="F486" s="1" t="s">
        <v>4381</v>
      </c>
      <c r="G486" s="3" t="s">
        <v>772</v>
      </c>
      <c r="H486" s="12" cm="1">
        <f t="array" ref="H486">_xlfn.IFS(I486&lt;197,I486*1.26,I486&gt;197,I486*1.17) + IF(I486&gt;1000,17,0)</f>
        <v>420.11658</v>
      </c>
      <c r="I486" s="10">
        <f>($K$2+0.02)*Tabla1[[#This Row],[PRECIO $]]*1.18</f>
        <v>359.07400000000001</v>
      </c>
      <c r="J486" s="7">
        <f>+Tabla1[[#This Row],[PRECIO EN SOLES]]-Tabla1[[#This Row],[PC]]</f>
        <v>61.042579999999987</v>
      </c>
    </row>
    <row r="487" spans="1:10" x14ac:dyDescent="0.25">
      <c r="A487" s="3" t="s">
        <v>1618</v>
      </c>
      <c r="B487" s="3" t="s">
        <v>1619</v>
      </c>
      <c r="C487" s="1">
        <v>20</v>
      </c>
      <c r="D487" s="1">
        <v>102.5</v>
      </c>
      <c r="E487" s="1" t="s">
        <v>256</v>
      </c>
      <c r="F487" s="1" t="s">
        <v>4382</v>
      </c>
      <c r="G487" s="3" t="s">
        <v>1620</v>
      </c>
      <c r="H487" s="12" cm="1">
        <f t="array" ref="H487">_xlfn.IFS(I487&lt;197,I487*1.26,I487&gt;197,I487*1.17) + IF(I487&gt;1000,17,0)</f>
        <v>481.13909999999993</v>
      </c>
      <c r="I487" s="10">
        <f>($K$2+0.02)*Tabla1[[#This Row],[PRECIO $]]*1.18</f>
        <v>411.22999999999996</v>
      </c>
      <c r="J487" s="7">
        <f>+Tabla1[[#This Row],[PRECIO EN SOLES]]-Tabla1[[#This Row],[PC]]</f>
        <v>69.909099999999967</v>
      </c>
    </row>
    <row r="488" spans="1:10" x14ac:dyDescent="0.25">
      <c r="A488" s="3" t="s">
        <v>1621</v>
      </c>
      <c r="B488" s="3" t="s">
        <v>1622</v>
      </c>
      <c r="C488" s="1">
        <v>20</v>
      </c>
      <c r="D488" s="1">
        <v>110.6</v>
      </c>
      <c r="E488" s="1" t="s">
        <v>256</v>
      </c>
      <c r="F488" s="1" t="s">
        <v>4383</v>
      </c>
      <c r="G488" s="3" t="s">
        <v>1623</v>
      </c>
      <c r="H488" s="12" cm="1">
        <f t="array" ref="H488">_xlfn.IFS(I488&lt;197,I488*1.26,I488&gt;197,I488*1.17) + IF(I488&gt;1000,17,0)</f>
        <v>519.16082399999993</v>
      </c>
      <c r="I488" s="10">
        <f>($K$2+0.02)*Tabla1[[#This Row],[PRECIO $]]*1.18</f>
        <v>443.72719999999993</v>
      </c>
      <c r="J488" s="7">
        <f>+Tabla1[[#This Row],[PRECIO EN SOLES]]-Tabla1[[#This Row],[PC]]</f>
        <v>75.433624000000009</v>
      </c>
    </row>
    <row r="489" spans="1:10" x14ac:dyDescent="0.25">
      <c r="A489" s="3" t="s">
        <v>773</v>
      </c>
      <c r="B489" s="3" t="s">
        <v>774</v>
      </c>
      <c r="C489" s="1">
        <v>20</v>
      </c>
      <c r="D489" s="1">
        <v>84.1</v>
      </c>
      <c r="E489" s="1" t="s">
        <v>256</v>
      </c>
      <c r="F489" s="1" t="s">
        <v>4384</v>
      </c>
      <c r="G489" s="3" t="s">
        <v>775</v>
      </c>
      <c r="H489" s="12" cm="1">
        <f t="array" ref="H489">_xlfn.IFS(I489&lt;197,I489*1.26,I489&gt;197,I489*1.17) + IF(I489&gt;1000,17,0)</f>
        <v>394.76876399999998</v>
      </c>
      <c r="I489" s="10">
        <f>($K$2+0.02)*Tabla1[[#This Row],[PRECIO $]]*1.18</f>
        <v>337.4092</v>
      </c>
      <c r="J489" s="7">
        <f>+Tabla1[[#This Row],[PRECIO EN SOLES]]-Tabla1[[#This Row],[PC]]</f>
        <v>57.359563999999978</v>
      </c>
    </row>
    <row r="490" spans="1:10" x14ac:dyDescent="0.25">
      <c r="A490" s="3" t="s">
        <v>1624</v>
      </c>
      <c r="B490" s="3" t="s">
        <v>1625</v>
      </c>
      <c r="C490" s="1">
        <v>20</v>
      </c>
      <c r="D490" s="1">
        <v>59.9</v>
      </c>
      <c r="E490" s="1" t="s">
        <v>256</v>
      </c>
      <c r="F490" s="1" t="s">
        <v>4385</v>
      </c>
      <c r="G490" s="3" t="s">
        <v>1626</v>
      </c>
      <c r="H490" s="12" cm="1">
        <f t="array" ref="H490">_xlfn.IFS(I490&lt;197,I490*1.26,I490&gt;197,I490*1.17) + IF(I490&gt;1000,17,0)</f>
        <v>281.17299599999996</v>
      </c>
      <c r="I490" s="10">
        <f>($K$2+0.02)*Tabla1[[#This Row],[PRECIO $]]*1.18</f>
        <v>240.31879999999998</v>
      </c>
      <c r="J490" s="7">
        <f>+Tabla1[[#This Row],[PRECIO EN SOLES]]-Tabla1[[#This Row],[PC]]</f>
        <v>40.854195999999973</v>
      </c>
    </row>
    <row r="491" spans="1:10" x14ac:dyDescent="0.25">
      <c r="A491" s="3" t="s">
        <v>282</v>
      </c>
      <c r="B491" s="3" t="s">
        <v>283</v>
      </c>
      <c r="C491" s="1">
        <v>20</v>
      </c>
      <c r="D491" s="1">
        <v>60.65</v>
      </c>
      <c r="E491" s="1" t="s">
        <v>133</v>
      </c>
      <c r="F491" s="1" t="s">
        <v>4386</v>
      </c>
      <c r="G491" s="3" t="s">
        <v>284</v>
      </c>
      <c r="H491" s="13" cm="1">
        <f t="array" ref="H491">_xlfn.IFS(I491&lt;197,I491*1.26,I491&gt;197,I491*1.17) + IF(I491&gt;1000,17,0)</f>
        <v>284.69352599999996</v>
      </c>
      <c r="I491" s="10">
        <f>($K$2+0.02)*Tabla1[[#This Row],[PRECIO $]]*1.18</f>
        <v>243.32779999999997</v>
      </c>
      <c r="J491" s="7">
        <f>+Tabla1[[#This Row],[PRECIO EN SOLES]]-Tabla1[[#This Row],[PC]]</f>
        <v>41.365725999999995</v>
      </c>
    </row>
    <row r="492" spans="1:10" x14ac:dyDescent="0.25">
      <c r="A492" s="3" t="s">
        <v>1627</v>
      </c>
      <c r="B492" s="3" t="s">
        <v>1628</v>
      </c>
      <c r="C492" s="1">
        <v>1</v>
      </c>
      <c r="D492" s="1">
        <v>64.900000000000006</v>
      </c>
      <c r="E492" s="1" t="s">
        <v>1629</v>
      </c>
      <c r="F492" s="1" t="s">
        <v>4387</v>
      </c>
      <c r="G492" s="3" t="s">
        <v>1630</v>
      </c>
      <c r="H492" s="12" cm="1">
        <f t="array" ref="H492">_xlfn.IFS(I492&lt;197,I492*1.26,I492&gt;197,I492*1.17) + IF(I492&gt;1000,17,0)</f>
        <v>304.64319599999999</v>
      </c>
      <c r="I492" s="10">
        <f>($K$2+0.02)*Tabla1[[#This Row],[PRECIO $]]*1.18</f>
        <v>260.37880000000001</v>
      </c>
      <c r="J492" s="7">
        <f>+Tabla1[[#This Row],[PRECIO EN SOLES]]-Tabla1[[#This Row],[PC]]</f>
        <v>44.264395999999977</v>
      </c>
    </row>
    <row r="493" spans="1:10" x14ac:dyDescent="0.25">
      <c r="A493" s="3" t="s">
        <v>1631</v>
      </c>
      <c r="B493" s="3" t="s">
        <v>1632</v>
      </c>
      <c r="C493" s="1">
        <v>20</v>
      </c>
      <c r="D493" s="1">
        <v>107</v>
      </c>
      <c r="E493" s="1" t="s">
        <v>1104</v>
      </c>
      <c r="F493" s="1" t="s">
        <v>4388</v>
      </c>
      <c r="G493" s="3" t="s">
        <v>1633</v>
      </c>
      <c r="H493" s="12" cm="1">
        <f t="array" ref="H493">_xlfn.IFS(I493&lt;197,I493*1.26,I493&gt;197,I493*1.17) + IF(I493&gt;1000,17,0)</f>
        <v>502.26227999999998</v>
      </c>
      <c r="I493" s="10">
        <f>($K$2+0.02)*Tabla1[[#This Row],[PRECIO $]]*1.18</f>
        <v>429.28399999999999</v>
      </c>
      <c r="J493" s="7">
        <f>+Tabla1[[#This Row],[PRECIO EN SOLES]]-Tabla1[[#This Row],[PC]]</f>
        <v>72.978279999999984</v>
      </c>
    </row>
    <row r="494" spans="1:10" x14ac:dyDescent="0.25">
      <c r="A494" s="3" t="s">
        <v>1634</v>
      </c>
      <c r="B494" s="3" t="s">
        <v>1635</v>
      </c>
      <c r="C494" s="1">
        <v>20</v>
      </c>
      <c r="D494" s="1">
        <v>115.85</v>
      </c>
      <c r="E494" s="1" t="s">
        <v>1104</v>
      </c>
      <c r="F494" s="1" t="s">
        <v>4389</v>
      </c>
      <c r="G494" s="3" t="s">
        <v>1636</v>
      </c>
      <c r="H494" s="12" cm="1">
        <f t="array" ref="H494">_xlfn.IFS(I494&lt;197,I494*1.26,I494&gt;197,I494*1.17) + IF(I494&gt;1000,17,0)</f>
        <v>543.80453399999988</v>
      </c>
      <c r="I494" s="10">
        <f>($K$2+0.02)*Tabla1[[#This Row],[PRECIO $]]*1.18</f>
        <v>464.79019999999997</v>
      </c>
      <c r="J494" s="7">
        <f>+Tabla1[[#This Row],[PRECIO EN SOLES]]-Tabla1[[#This Row],[PC]]</f>
        <v>79.014333999999906</v>
      </c>
    </row>
    <row r="495" spans="1:10" x14ac:dyDescent="0.25">
      <c r="A495" s="3" t="s">
        <v>5597</v>
      </c>
      <c r="B495" s="3" t="s">
        <v>5598</v>
      </c>
      <c r="C495" s="1">
        <v>10</v>
      </c>
      <c r="D495" s="1">
        <v>174.5</v>
      </c>
      <c r="E495" s="1" t="s">
        <v>122</v>
      </c>
      <c r="F495" s="1" t="s">
        <v>5599</v>
      </c>
      <c r="G495" s="3" t="s">
        <v>5600</v>
      </c>
      <c r="H495" s="12" cm="1">
        <f t="array" ref="H495">_xlfn.IFS(I495&lt;197,I495*1.26,I495&gt;197,I495*1.17) + IF(I495&gt;1000,17,0)</f>
        <v>819.10997999999984</v>
      </c>
      <c r="I495" s="10">
        <f>($K$2+0.02)*Tabla1[[#This Row],[PRECIO $]]*1.18</f>
        <v>700.09399999999994</v>
      </c>
      <c r="J495" s="7">
        <f>+Tabla1[[#This Row],[PRECIO EN SOLES]]-Tabla1[[#This Row],[PC]]</f>
        <v>119.0159799999999</v>
      </c>
    </row>
    <row r="496" spans="1:10" x14ac:dyDescent="0.25">
      <c r="A496" s="3" t="s">
        <v>5793</v>
      </c>
      <c r="B496" s="3" t="s">
        <v>5794</v>
      </c>
      <c r="C496" s="1">
        <v>20</v>
      </c>
      <c r="D496" s="1">
        <v>161.9</v>
      </c>
      <c r="E496" s="1" t="s">
        <v>122</v>
      </c>
      <c r="F496" s="1" t="s">
        <v>5795</v>
      </c>
      <c r="G496" s="3" t="s">
        <v>5796</v>
      </c>
      <c r="H496" s="12" cm="1">
        <f t="array" ref="H496">_xlfn.IFS(I496&lt;197,I496*1.26,I496&gt;197,I496*1.17) + IF(I496&gt;1000,17,0)</f>
        <v>759.96507600000007</v>
      </c>
      <c r="I496" s="10">
        <f>($K$2+0.02)*Tabla1[[#This Row],[PRECIO $]]*1.18</f>
        <v>649.54280000000006</v>
      </c>
      <c r="J496" s="7">
        <f>+Tabla1[[#This Row],[PRECIO EN SOLES]]-Tabla1[[#This Row],[PC]]</f>
        <v>110.42227600000001</v>
      </c>
    </row>
    <row r="497" spans="1:10" x14ac:dyDescent="0.25">
      <c r="A497" s="3" t="s">
        <v>1637</v>
      </c>
      <c r="B497" s="3" t="s">
        <v>1638</v>
      </c>
      <c r="C497" s="1">
        <v>4</v>
      </c>
      <c r="D497" s="1">
        <v>160</v>
      </c>
      <c r="E497" s="1" t="s">
        <v>256</v>
      </c>
      <c r="F497" s="1" t="s">
        <v>4390</v>
      </c>
      <c r="G497" s="3" t="s">
        <v>3776</v>
      </c>
      <c r="H497" s="12" cm="1">
        <f t="array" ref="H497">_xlfn.IFS(I497&lt;197,I497*1.26,I497&gt;197,I497*1.17) + IF(I497&gt;1000,17,0)</f>
        <v>751.04639999999995</v>
      </c>
      <c r="I497" s="10">
        <f>($K$2+0.02)*Tabla1[[#This Row],[PRECIO $]]*1.18</f>
        <v>641.91999999999996</v>
      </c>
      <c r="J497" s="7">
        <f>+Tabla1[[#This Row],[PRECIO EN SOLES]]-Tabla1[[#This Row],[PC]]</f>
        <v>109.12639999999999</v>
      </c>
    </row>
    <row r="498" spans="1:10" x14ac:dyDescent="0.25">
      <c r="A498" s="3" t="s">
        <v>1639</v>
      </c>
      <c r="B498" s="3" t="s">
        <v>1640</v>
      </c>
      <c r="C498" s="1">
        <v>14</v>
      </c>
      <c r="D498" s="1">
        <v>125.7</v>
      </c>
      <c r="E498" s="1" t="s">
        <v>133</v>
      </c>
      <c r="F498" s="1" t="s">
        <v>4391</v>
      </c>
      <c r="G498" s="3" t="s">
        <v>1641</v>
      </c>
      <c r="H498" s="12" cm="1">
        <f t="array" ref="H498">_xlfn.IFS(I498&lt;197,I498*1.26,I498&gt;197,I498*1.17) + IF(I498&gt;1000,17,0)</f>
        <v>590.04082799999992</v>
      </c>
      <c r="I498" s="10">
        <f>($K$2+0.02)*Tabla1[[#This Row],[PRECIO $]]*1.18</f>
        <v>504.30839999999995</v>
      </c>
      <c r="J498" s="7">
        <f>+Tabla1[[#This Row],[PRECIO EN SOLES]]-Tabla1[[#This Row],[PC]]</f>
        <v>85.73242799999997</v>
      </c>
    </row>
    <row r="499" spans="1:10" x14ac:dyDescent="0.25">
      <c r="A499" s="3" t="s">
        <v>1642</v>
      </c>
      <c r="B499" s="3" t="s">
        <v>1643</v>
      </c>
      <c r="C499" s="1">
        <v>1</v>
      </c>
      <c r="D499" s="1">
        <v>197.25</v>
      </c>
      <c r="E499" s="1" t="s">
        <v>133</v>
      </c>
      <c r="F499" s="1" t="s">
        <v>4392</v>
      </c>
      <c r="G499" s="3" t="s">
        <v>1644</v>
      </c>
      <c r="H499" s="12" cm="1">
        <f t="array" ref="H499">_xlfn.IFS(I499&lt;197,I499*1.26,I499&gt;197,I499*1.17) + IF(I499&gt;1000,17,0)</f>
        <v>925.89938999999993</v>
      </c>
      <c r="I499" s="10">
        <f>($K$2+0.02)*Tabla1[[#This Row],[PRECIO $]]*1.18</f>
        <v>791.36699999999996</v>
      </c>
      <c r="J499" s="7">
        <f>+Tabla1[[#This Row],[PRECIO EN SOLES]]-Tabla1[[#This Row],[PC]]</f>
        <v>134.53238999999996</v>
      </c>
    </row>
    <row r="500" spans="1:10" x14ac:dyDescent="0.25">
      <c r="A500" s="3" t="s">
        <v>3777</v>
      </c>
      <c r="B500" s="3" t="s">
        <v>3778</v>
      </c>
      <c r="C500" s="1">
        <v>5</v>
      </c>
      <c r="D500" s="1">
        <v>217</v>
      </c>
      <c r="E500" s="1" t="s">
        <v>133</v>
      </c>
      <c r="F500" s="1" t="s">
        <v>4393</v>
      </c>
      <c r="G500" s="3" t="s">
        <v>3779</v>
      </c>
      <c r="H500" s="12" cm="1">
        <f t="array" ref="H500">_xlfn.IFS(I500&lt;197,I500*1.26,I500&gt;197,I500*1.17) + IF(I500&gt;1000,17,0)</f>
        <v>1018.6066799999999</v>
      </c>
      <c r="I500" s="10">
        <f>($K$2+0.02)*Tabla1[[#This Row],[PRECIO $]]*1.18</f>
        <v>870.60399999999993</v>
      </c>
      <c r="J500" s="7">
        <f>+Tabla1[[#This Row],[PRECIO EN SOLES]]-Tabla1[[#This Row],[PC]]</f>
        <v>148.00267999999994</v>
      </c>
    </row>
    <row r="501" spans="1:10" x14ac:dyDescent="0.25">
      <c r="A501" s="3" t="s">
        <v>6180</v>
      </c>
      <c r="B501" s="3" t="s">
        <v>6181</v>
      </c>
      <c r="C501" s="1">
        <v>0</v>
      </c>
      <c r="D501" s="1">
        <v>103.2</v>
      </c>
      <c r="E501" s="1" t="s">
        <v>256</v>
      </c>
      <c r="F501" s="1" t="s">
        <v>6182</v>
      </c>
      <c r="G501" s="3" t="s">
        <v>6183</v>
      </c>
      <c r="H501" s="12" cm="1">
        <f t="array" ref="H501">_xlfn.IFS(I501&lt;197,I501*1.26,I501&gt;197,I501*1.17) + IF(I501&gt;1000,17,0)</f>
        <v>484.42492799999991</v>
      </c>
      <c r="I501" s="10">
        <f>($K$2+0.02)*Tabla1[[#This Row],[PRECIO $]]*1.18</f>
        <v>414.03839999999997</v>
      </c>
      <c r="J501" s="7">
        <f>+Tabla1[[#This Row],[PRECIO EN SOLES]]-Tabla1[[#This Row],[PC]]</f>
        <v>70.386527999999942</v>
      </c>
    </row>
    <row r="502" spans="1:10" x14ac:dyDescent="0.25">
      <c r="A502" s="3" t="s">
        <v>6184</v>
      </c>
      <c r="B502" s="3" t="s">
        <v>6185</v>
      </c>
      <c r="C502" s="1">
        <v>0</v>
      </c>
      <c r="D502" s="1">
        <v>96.5</v>
      </c>
      <c r="E502" s="1" t="s">
        <v>256</v>
      </c>
      <c r="F502" s="1" t="s">
        <v>6186</v>
      </c>
      <c r="G502" s="3"/>
      <c r="H502" s="12" cm="1">
        <f t="array" ref="H502">_xlfn.IFS(I502&lt;197,I502*1.26,I502&gt;197,I502*1.17) + IF(I502&gt;1000,17,0)</f>
        <v>452.97485999999992</v>
      </c>
      <c r="I502" s="10">
        <f>($K$2+0.02)*Tabla1[[#This Row],[PRECIO $]]*1.18</f>
        <v>387.15799999999996</v>
      </c>
      <c r="J502" s="7">
        <f>+Tabla1[[#This Row],[PRECIO EN SOLES]]-Tabla1[[#This Row],[PC]]</f>
        <v>65.816859999999963</v>
      </c>
    </row>
    <row r="503" spans="1:10" x14ac:dyDescent="0.25">
      <c r="A503" s="3" t="s">
        <v>6187</v>
      </c>
      <c r="B503" s="3" t="s">
        <v>6188</v>
      </c>
      <c r="C503" s="1">
        <v>0</v>
      </c>
      <c r="D503" s="1">
        <v>96.5</v>
      </c>
      <c r="E503" s="1" t="s">
        <v>256</v>
      </c>
      <c r="F503" s="1" t="s">
        <v>6189</v>
      </c>
      <c r="G503" s="3" t="s">
        <v>6190</v>
      </c>
      <c r="H503" s="12" cm="1">
        <f t="array" ref="H503">_xlfn.IFS(I503&lt;197,I503*1.26,I503&gt;197,I503*1.17) + IF(I503&gt;1000,17,0)</f>
        <v>452.97485999999992</v>
      </c>
      <c r="I503" s="10">
        <f>($K$2+0.02)*Tabla1[[#This Row],[PRECIO $]]*1.18</f>
        <v>387.15799999999996</v>
      </c>
      <c r="J503" s="7">
        <f>+Tabla1[[#This Row],[PRECIO EN SOLES]]-Tabla1[[#This Row],[PC]]</f>
        <v>65.816859999999963</v>
      </c>
    </row>
    <row r="504" spans="1:10" x14ac:dyDescent="0.25">
      <c r="A504" s="3" t="s">
        <v>6191</v>
      </c>
      <c r="B504" s="3" t="s">
        <v>6192</v>
      </c>
      <c r="C504" s="1">
        <v>0</v>
      </c>
      <c r="D504" s="1">
        <v>94</v>
      </c>
      <c r="E504" s="1" t="s">
        <v>256</v>
      </c>
      <c r="F504" s="1" t="s">
        <v>6193</v>
      </c>
      <c r="G504" s="3" t="s">
        <v>6194</v>
      </c>
      <c r="H504" s="12" cm="1">
        <f t="array" ref="H504">_xlfn.IFS(I504&lt;197,I504*1.26,I504&gt;197,I504*1.17) + IF(I504&gt;1000,17,0)</f>
        <v>441.23975999999988</v>
      </c>
      <c r="I504" s="10">
        <f>($K$2+0.02)*Tabla1[[#This Row],[PRECIO $]]*1.18</f>
        <v>377.12799999999993</v>
      </c>
      <c r="J504" s="7">
        <f>+Tabla1[[#This Row],[PRECIO EN SOLES]]-Tabla1[[#This Row],[PC]]</f>
        <v>64.111759999999947</v>
      </c>
    </row>
    <row r="505" spans="1:10" x14ac:dyDescent="0.25">
      <c r="A505" s="3" t="s">
        <v>6004</v>
      </c>
      <c r="B505" s="3" t="s">
        <v>6005</v>
      </c>
      <c r="C505" s="1">
        <v>3</v>
      </c>
      <c r="D505" s="1">
        <v>209.2</v>
      </c>
      <c r="E505" s="1" t="s">
        <v>133</v>
      </c>
      <c r="F505" s="1" t="s">
        <v>6006</v>
      </c>
      <c r="G505" s="3" t="s">
        <v>6007</v>
      </c>
      <c r="H505" s="12" cm="1">
        <f t="array" ref="H505">_xlfn.IFS(I505&lt;197,I505*1.26,I505&gt;197,I505*1.17) + IF(I505&gt;1000,17,0)</f>
        <v>981.99316799999986</v>
      </c>
      <c r="I505" s="10">
        <f>($K$2+0.02)*Tabla1[[#This Row],[PRECIO $]]*1.18</f>
        <v>839.31039999999996</v>
      </c>
      <c r="J505" s="7">
        <f>+Tabla1[[#This Row],[PRECIO EN SOLES]]-Tabla1[[#This Row],[PC]]</f>
        <v>142.6827679999999</v>
      </c>
    </row>
    <row r="506" spans="1:10" x14ac:dyDescent="0.25">
      <c r="A506" s="3" t="s">
        <v>1647</v>
      </c>
      <c r="B506" s="3" t="s">
        <v>1648</v>
      </c>
      <c r="C506" s="1">
        <v>3</v>
      </c>
      <c r="D506" s="1">
        <v>246</v>
      </c>
      <c r="E506" s="1" t="s">
        <v>1104</v>
      </c>
      <c r="F506" s="1" t="s">
        <v>4394</v>
      </c>
      <c r="G506" s="3" t="s">
        <v>1649</v>
      </c>
      <c r="H506" s="12" cm="1">
        <f t="array" ref="H506">_xlfn.IFS(I506&lt;197,I506*1.26,I506&gt;197,I506*1.17) + IF(I506&gt;1000,17,0)</f>
        <v>1154.7338399999999</v>
      </c>
      <c r="I506" s="10">
        <f>($K$2+0.02)*Tabla1[[#This Row],[PRECIO $]]*1.18</f>
        <v>986.95199999999988</v>
      </c>
      <c r="J506" s="7">
        <f>+Tabla1[[#This Row],[PRECIO EN SOLES]]-Tabla1[[#This Row],[PC]]</f>
        <v>167.78183999999999</v>
      </c>
    </row>
    <row r="507" spans="1:10" x14ac:dyDescent="0.25">
      <c r="A507" s="3" t="s">
        <v>1650</v>
      </c>
      <c r="B507" s="3" t="s">
        <v>1645</v>
      </c>
      <c r="C507" s="1">
        <v>3</v>
      </c>
      <c r="D507" s="1">
        <v>276.5</v>
      </c>
      <c r="E507" s="1" t="s">
        <v>1104</v>
      </c>
      <c r="F507" s="1" t="s">
        <v>4395</v>
      </c>
      <c r="G507" s="3" t="s">
        <v>1646</v>
      </c>
      <c r="H507" s="12" cm="1">
        <f t="array" ref="H507">_xlfn.IFS(I507&lt;197,I507*1.26,I507&gt;197,I507*1.17) + IF(I507&gt;1000,17,0)</f>
        <v>1314.9020599999999</v>
      </c>
      <c r="I507" s="10">
        <f>($K$2+0.02)*Tabla1[[#This Row],[PRECIO $]]*1.18</f>
        <v>1109.318</v>
      </c>
      <c r="J507" s="7">
        <f>+Tabla1[[#This Row],[PRECIO EN SOLES]]-Tabla1[[#This Row],[PC]]</f>
        <v>205.58405999999991</v>
      </c>
    </row>
    <row r="508" spans="1:10" x14ac:dyDescent="0.25">
      <c r="A508" s="3" t="s">
        <v>1651</v>
      </c>
      <c r="B508" s="3" t="s">
        <v>1652</v>
      </c>
      <c r="C508" s="1">
        <v>1</v>
      </c>
      <c r="D508" s="1">
        <v>243.5</v>
      </c>
      <c r="E508" s="1" t="s">
        <v>1104</v>
      </c>
      <c r="F508" s="1" t="s">
        <v>4396</v>
      </c>
      <c r="G508" s="3" t="s">
        <v>1653</v>
      </c>
      <c r="H508" s="12" cm="1">
        <f t="array" ref="H508">_xlfn.IFS(I508&lt;197,I508*1.26,I508&gt;197,I508*1.17) + IF(I508&gt;1000,17,0)</f>
        <v>1142.9987399999998</v>
      </c>
      <c r="I508" s="10">
        <f>($K$2+0.02)*Tabla1[[#This Row],[PRECIO $]]*1.18</f>
        <v>976.92199999999991</v>
      </c>
      <c r="J508" s="7">
        <f>+Tabla1[[#This Row],[PRECIO EN SOLES]]-Tabla1[[#This Row],[PC]]</f>
        <v>166.07673999999986</v>
      </c>
    </row>
    <row r="509" spans="1:10" x14ac:dyDescent="0.25">
      <c r="A509" s="3" t="s">
        <v>1654</v>
      </c>
      <c r="B509" s="3" t="s">
        <v>1655</v>
      </c>
      <c r="C509" s="1">
        <v>2</v>
      </c>
      <c r="D509" s="1">
        <v>245.5</v>
      </c>
      <c r="E509" s="1" t="s">
        <v>122</v>
      </c>
      <c r="F509" s="1" t="s">
        <v>4397</v>
      </c>
      <c r="G509" s="3" t="s">
        <v>1656</v>
      </c>
      <c r="H509" s="12" cm="1">
        <f t="array" ref="H509">_xlfn.IFS(I509&lt;197,I509*1.26,I509&gt;197,I509*1.17) + IF(I509&gt;1000,17,0)</f>
        <v>1152.3868199999997</v>
      </c>
      <c r="I509" s="10">
        <f>($K$2+0.02)*Tabla1[[#This Row],[PRECIO $]]*1.18</f>
        <v>984.94599999999991</v>
      </c>
      <c r="J509" s="7">
        <f>+Tabla1[[#This Row],[PRECIO EN SOLES]]-Tabla1[[#This Row],[PC]]</f>
        <v>167.4408199999998</v>
      </c>
    </row>
    <row r="510" spans="1:10" x14ac:dyDescent="0.25">
      <c r="A510" s="3" t="s">
        <v>6195</v>
      </c>
      <c r="B510" s="3" t="s">
        <v>6196</v>
      </c>
      <c r="C510" s="1">
        <v>16</v>
      </c>
      <c r="D510" s="1">
        <v>184</v>
      </c>
      <c r="E510" s="1" t="s">
        <v>256</v>
      </c>
      <c r="F510" s="1" t="s">
        <v>6197</v>
      </c>
      <c r="G510" s="3"/>
      <c r="H510" s="12" cm="1">
        <f t="array" ref="H510">_xlfn.IFS(I510&lt;197,I510*1.26,I510&gt;197,I510*1.17) + IF(I510&gt;1000,17,0)</f>
        <v>863.70335999999986</v>
      </c>
      <c r="I510" s="10">
        <f>($K$2+0.02)*Tabla1[[#This Row],[PRECIO $]]*1.18</f>
        <v>738.20799999999997</v>
      </c>
      <c r="J510" s="7">
        <f>+Tabla1[[#This Row],[PRECIO EN SOLES]]-Tabla1[[#This Row],[PC]]</f>
        <v>125.49535999999989</v>
      </c>
    </row>
    <row r="511" spans="1:10" x14ac:dyDescent="0.25">
      <c r="A511" s="3" t="s">
        <v>6198</v>
      </c>
      <c r="B511" s="3" t="s">
        <v>6199</v>
      </c>
      <c r="C511" s="1">
        <v>16</v>
      </c>
      <c r="D511" s="1">
        <v>163.25</v>
      </c>
      <c r="E511" s="1" t="s">
        <v>256</v>
      </c>
      <c r="F511" s="1" t="s">
        <v>6200</v>
      </c>
      <c r="G511" s="3"/>
      <c r="H511" s="12" cm="1">
        <f t="array" ref="H511">_xlfn.IFS(I511&lt;197,I511*1.26,I511&gt;197,I511*1.17) + IF(I511&gt;1000,17,0)</f>
        <v>766.30202999999995</v>
      </c>
      <c r="I511" s="10">
        <f>($K$2+0.02)*Tabla1[[#This Row],[PRECIO $]]*1.18</f>
        <v>654.95899999999995</v>
      </c>
      <c r="J511" s="7">
        <f>+Tabla1[[#This Row],[PRECIO EN SOLES]]-Tabla1[[#This Row],[PC]]</f>
        <v>111.34303</v>
      </c>
    </row>
    <row r="512" spans="1:10" x14ac:dyDescent="0.25">
      <c r="A512" s="3" t="s">
        <v>6201</v>
      </c>
      <c r="B512" s="3" t="s">
        <v>6202</v>
      </c>
      <c r="C512" s="1">
        <v>0</v>
      </c>
      <c r="D512" s="1">
        <v>126</v>
      </c>
      <c r="E512" s="1" t="s">
        <v>256</v>
      </c>
      <c r="F512" s="1" t="s">
        <v>6203</v>
      </c>
      <c r="G512" s="3"/>
      <c r="H512" s="12" cm="1">
        <f t="array" ref="H512">_xlfn.IFS(I512&lt;197,I512*1.26,I512&gt;197,I512*1.17) + IF(I512&gt;1000,17,0)</f>
        <v>591.44903999999985</v>
      </c>
      <c r="I512" s="10">
        <f>($K$2+0.02)*Tabla1[[#This Row],[PRECIO $]]*1.18</f>
        <v>505.51199999999994</v>
      </c>
      <c r="J512" s="7">
        <f>+Tabla1[[#This Row],[PRECIO EN SOLES]]-Tabla1[[#This Row],[PC]]</f>
        <v>85.937039999999911</v>
      </c>
    </row>
    <row r="513" spans="1:10" x14ac:dyDescent="0.25">
      <c r="A513" s="3" t="s">
        <v>6204</v>
      </c>
      <c r="B513" s="3" t="s">
        <v>6205</v>
      </c>
      <c r="C513" s="1">
        <v>5</v>
      </c>
      <c r="D513" s="1">
        <v>130.75</v>
      </c>
      <c r="E513" s="1" t="s">
        <v>256</v>
      </c>
      <c r="F513" s="1" t="s">
        <v>6206</v>
      </c>
      <c r="G513" s="3" t="s">
        <v>6207</v>
      </c>
      <c r="H513" s="12" cm="1">
        <f t="array" ref="H513">_xlfn.IFS(I513&lt;197,I513*1.26,I513&gt;197,I513*1.17) + IF(I513&gt;1000,17,0)</f>
        <v>613.74572999999987</v>
      </c>
      <c r="I513" s="10">
        <f>($K$2+0.02)*Tabla1[[#This Row],[PRECIO $]]*1.18</f>
        <v>524.56899999999996</v>
      </c>
      <c r="J513" s="7">
        <f>+Tabla1[[#This Row],[PRECIO EN SOLES]]-Tabla1[[#This Row],[PC]]</f>
        <v>89.176729999999907</v>
      </c>
    </row>
    <row r="514" spans="1:10" x14ac:dyDescent="0.25">
      <c r="A514" s="3" t="s">
        <v>1657</v>
      </c>
      <c r="B514" s="3" t="s">
        <v>1658</v>
      </c>
      <c r="C514" s="1">
        <v>1</v>
      </c>
      <c r="D514" s="1">
        <v>340</v>
      </c>
      <c r="E514" s="1" t="s">
        <v>256</v>
      </c>
      <c r="F514" s="1" t="s">
        <v>4398</v>
      </c>
      <c r="G514" s="3" t="s">
        <v>3780</v>
      </c>
      <c r="H514" s="12" cm="1">
        <f t="array" ref="H514">_xlfn.IFS(I514&lt;197,I514*1.26,I514&gt;197,I514*1.17) + IF(I514&gt;1000,17,0)</f>
        <v>1612.9735999999998</v>
      </c>
      <c r="I514" s="10">
        <f>($K$2+0.02)*Tabla1[[#This Row],[PRECIO $]]*1.18</f>
        <v>1364.08</v>
      </c>
      <c r="J514" s="7">
        <f>+Tabla1[[#This Row],[PRECIO EN SOLES]]-Tabla1[[#This Row],[PC]]</f>
        <v>248.89359999999988</v>
      </c>
    </row>
    <row r="515" spans="1:10" x14ac:dyDescent="0.25">
      <c r="A515" s="3" t="s">
        <v>6208</v>
      </c>
      <c r="B515" s="3" t="s">
        <v>6209</v>
      </c>
      <c r="C515" s="1">
        <v>8</v>
      </c>
      <c r="D515" s="1">
        <v>226</v>
      </c>
      <c r="E515" s="1" t="s">
        <v>256</v>
      </c>
      <c r="F515" s="1" t="s">
        <v>6210</v>
      </c>
      <c r="G515" s="3" t="s">
        <v>6211</v>
      </c>
      <c r="H515" s="12" cm="1">
        <f t="array" ref="H515">_xlfn.IFS(I515&lt;197,I515*1.26,I515&gt;197,I515*1.17) + IF(I515&gt;1000,17,0)</f>
        <v>1060.8530399999997</v>
      </c>
      <c r="I515" s="10">
        <f>($K$2+0.02)*Tabla1[[#This Row],[PRECIO $]]*1.18</f>
        <v>906.71199999999988</v>
      </c>
      <c r="J515" s="7">
        <f>+Tabla1[[#This Row],[PRECIO EN SOLES]]-Tabla1[[#This Row],[PC]]</f>
        <v>154.14103999999986</v>
      </c>
    </row>
    <row r="516" spans="1:10" x14ac:dyDescent="0.25">
      <c r="A516" s="3" t="s">
        <v>1659</v>
      </c>
      <c r="B516" s="3" t="s">
        <v>1660</v>
      </c>
      <c r="C516" s="1">
        <v>11</v>
      </c>
      <c r="D516" s="1">
        <v>224.5</v>
      </c>
      <c r="E516" s="1" t="s">
        <v>256</v>
      </c>
      <c r="F516" s="1" t="s">
        <v>4399</v>
      </c>
      <c r="G516" s="3" t="s">
        <v>1661</v>
      </c>
      <c r="H516" s="12" cm="1">
        <f t="array" ref="H516">_xlfn.IFS(I516&lt;197,I516*1.26,I516&gt;197,I516*1.17) + IF(I516&gt;1000,17,0)</f>
        <v>1053.8119799999997</v>
      </c>
      <c r="I516" s="10">
        <f>($K$2+0.02)*Tabla1[[#This Row],[PRECIO $]]*1.18</f>
        <v>900.69399999999985</v>
      </c>
      <c r="J516" s="7">
        <f>+Tabla1[[#This Row],[PRECIO EN SOLES]]-Tabla1[[#This Row],[PC]]</f>
        <v>153.11797999999987</v>
      </c>
    </row>
    <row r="517" spans="1:10" x14ac:dyDescent="0.25">
      <c r="A517" s="3" t="s">
        <v>3781</v>
      </c>
      <c r="B517" s="3" t="s">
        <v>3782</v>
      </c>
      <c r="C517" s="1">
        <v>17</v>
      </c>
      <c r="D517" s="1">
        <v>169</v>
      </c>
      <c r="E517" s="1" t="s">
        <v>133</v>
      </c>
      <c r="F517" s="1" t="s">
        <v>4400</v>
      </c>
      <c r="G517" s="3" t="s">
        <v>3783</v>
      </c>
      <c r="H517" s="12" cm="1">
        <f t="array" ref="H517">_xlfn.IFS(I517&lt;197,I517*1.26,I517&gt;197,I517*1.17) + IF(I517&gt;1000,17,0)</f>
        <v>793.29275999999993</v>
      </c>
      <c r="I517" s="10">
        <f>($K$2+0.02)*Tabla1[[#This Row],[PRECIO $]]*1.18</f>
        <v>678.02800000000002</v>
      </c>
      <c r="J517" s="7">
        <f>+Tabla1[[#This Row],[PRECIO EN SOLES]]-Tabla1[[#This Row],[PC]]</f>
        <v>115.26475999999991</v>
      </c>
    </row>
    <row r="518" spans="1:10" x14ac:dyDescent="0.25">
      <c r="A518" s="3" t="s">
        <v>3784</v>
      </c>
      <c r="B518" s="3" t="s">
        <v>3785</v>
      </c>
      <c r="C518" s="1">
        <v>20</v>
      </c>
      <c r="D518" s="1">
        <v>218.5</v>
      </c>
      <c r="E518" s="1" t="s">
        <v>133</v>
      </c>
      <c r="F518" s="1" t="s">
        <v>4401</v>
      </c>
      <c r="G518" s="3" t="s">
        <v>3786</v>
      </c>
      <c r="H518" s="12" cm="1">
        <f t="array" ref="H518">_xlfn.IFS(I518&lt;197,I518*1.26,I518&gt;197,I518*1.17) + IF(I518&gt;1000,17,0)</f>
        <v>1025.6477399999999</v>
      </c>
      <c r="I518" s="10">
        <f>($K$2+0.02)*Tabla1[[#This Row],[PRECIO $]]*1.18</f>
        <v>876.62199999999996</v>
      </c>
      <c r="J518" s="7">
        <f>+Tabla1[[#This Row],[PRECIO EN SOLES]]-Tabla1[[#This Row],[PC]]</f>
        <v>149.02573999999993</v>
      </c>
    </row>
    <row r="519" spans="1:10" x14ac:dyDescent="0.25">
      <c r="A519" s="3" t="s">
        <v>5797</v>
      </c>
      <c r="B519" s="3" t="s">
        <v>5798</v>
      </c>
      <c r="C519" s="1">
        <v>0</v>
      </c>
      <c r="D519" s="1">
        <v>48.2</v>
      </c>
      <c r="E519" s="1" t="s">
        <v>122</v>
      </c>
      <c r="F519" s="1" t="s">
        <v>5799</v>
      </c>
      <c r="G519" s="3" t="s">
        <v>5800</v>
      </c>
      <c r="H519" s="12" cm="1">
        <f t="array" ref="H519">_xlfn.IFS(I519&lt;197,I519*1.26,I519&gt;197,I519*1.17) + IF(I519&gt;1000,17,0)</f>
        <v>243.65678399999996</v>
      </c>
      <c r="I519" s="10">
        <f>($K$2+0.02)*Tabla1[[#This Row],[PRECIO $]]*1.18</f>
        <v>193.37839999999997</v>
      </c>
      <c r="J519" s="7">
        <f>+Tabla1[[#This Row],[PRECIO EN SOLES]]-Tabla1[[#This Row],[PC]]</f>
        <v>50.278383999999988</v>
      </c>
    </row>
    <row r="520" spans="1:10" x14ac:dyDescent="0.25">
      <c r="A520" s="3" t="s">
        <v>5801</v>
      </c>
      <c r="B520" s="3" t="s">
        <v>5802</v>
      </c>
      <c r="C520" s="1">
        <v>20</v>
      </c>
      <c r="D520" s="1">
        <v>86.5</v>
      </c>
      <c r="E520" s="1" t="s">
        <v>122</v>
      </c>
      <c r="F520" s="1" t="s">
        <v>5803</v>
      </c>
      <c r="G520" s="3" t="s">
        <v>5804</v>
      </c>
      <c r="H520" s="12" cm="1">
        <f t="array" ref="H520">_xlfn.IFS(I520&lt;197,I520*1.26,I520&gt;197,I520*1.17) + IF(I520&gt;1000,17,0)</f>
        <v>406.03445999999991</v>
      </c>
      <c r="I520" s="10">
        <f>($K$2+0.02)*Tabla1[[#This Row],[PRECIO $]]*1.18</f>
        <v>347.03799999999995</v>
      </c>
      <c r="J520" s="7">
        <f>+Tabla1[[#This Row],[PRECIO EN SOLES]]-Tabla1[[#This Row],[PC]]</f>
        <v>58.996459999999956</v>
      </c>
    </row>
    <row r="521" spans="1:10" x14ac:dyDescent="0.25">
      <c r="A521" s="3" t="s">
        <v>6212</v>
      </c>
      <c r="B521" s="3" t="s">
        <v>6213</v>
      </c>
      <c r="C521" s="1">
        <v>0</v>
      </c>
      <c r="D521" s="1">
        <v>45.5</v>
      </c>
      <c r="E521" s="1" t="s">
        <v>256</v>
      </c>
      <c r="F521" s="1" t="s">
        <v>6214</v>
      </c>
      <c r="G521" s="3" t="s">
        <v>6215</v>
      </c>
      <c r="H521" s="12" cm="1">
        <f t="array" ref="H521">_xlfn.IFS(I521&lt;197,I521*1.26,I521&gt;197,I521*1.17) + IF(I521&gt;1000,17,0)</f>
        <v>230.00795999999997</v>
      </c>
      <c r="I521" s="10">
        <f>($K$2+0.02)*Tabla1[[#This Row],[PRECIO $]]*1.18</f>
        <v>182.54599999999996</v>
      </c>
      <c r="J521" s="7">
        <f>+Tabla1[[#This Row],[PRECIO EN SOLES]]-Tabla1[[#This Row],[PC]]</f>
        <v>47.461960000000005</v>
      </c>
    </row>
    <row r="522" spans="1:10" x14ac:dyDescent="0.25">
      <c r="A522" s="3" t="s">
        <v>6216</v>
      </c>
      <c r="B522" s="3" t="s">
        <v>6217</v>
      </c>
      <c r="C522" s="1">
        <v>0</v>
      </c>
      <c r="D522" s="1">
        <v>79</v>
      </c>
      <c r="E522" s="1" t="s">
        <v>256</v>
      </c>
      <c r="F522" s="1" t="s">
        <v>6218</v>
      </c>
      <c r="G522" s="3" t="s">
        <v>6219</v>
      </c>
      <c r="H522" s="12" cm="1">
        <f t="array" ref="H522">_xlfn.IFS(I522&lt;197,I522*1.26,I522&gt;197,I522*1.17) + IF(I522&gt;1000,17,0)</f>
        <v>370.82915999999989</v>
      </c>
      <c r="I522" s="10">
        <f>($K$2+0.02)*Tabla1[[#This Row],[PRECIO $]]*1.18</f>
        <v>316.94799999999992</v>
      </c>
      <c r="J522" s="7">
        <f>+Tabla1[[#This Row],[PRECIO EN SOLES]]-Tabla1[[#This Row],[PC]]</f>
        <v>53.881159999999966</v>
      </c>
    </row>
    <row r="523" spans="1:10" x14ac:dyDescent="0.25">
      <c r="A523" s="3" t="s">
        <v>6220</v>
      </c>
      <c r="B523" s="3" t="s">
        <v>6221</v>
      </c>
      <c r="C523" s="1">
        <v>0</v>
      </c>
      <c r="D523" s="1">
        <v>66.900000000000006</v>
      </c>
      <c r="E523" s="1" t="s">
        <v>256</v>
      </c>
      <c r="F523" s="1" t="s">
        <v>6222</v>
      </c>
      <c r="G523" s="3" t="s">
        <v>6223</v>
      </c>
      <c r="H523" s="12" cm="1">
        <f t="array" ref="H523">_xlfn.IFS(I523&lt;197,I523*1.26,I523&gt;197,I523*1.17) + IF(I523&gt;1000,17,0)</f>
        <v>314.03127599999999</v>
      </c>
      <c r="I523" s="10">
        <f>($K$2+0.02)*Tabla1[[#This Row],[PRECIO $]]*1.18</f>
        <v>268.40280000000001</v>
      </c>
      <c r="J523" s="7">
        <f>+Tabla1[[#This Row],[PRECIO EN SOLES]]-Tabla1[[#This Row],[PC]]</f>
        <v>45.628475999999978</v>
      </c>
    </row>
    <row r="524" spans="1:10" x14ac:dyDescent="0.25">
      <c r="A524" s="3" t="s">
        <v>5601</v>
      </c>
      <c r="B524" s="3" t="s">
        <v>5602</v>
      </c>
      <c r="C524" s="1">
        <v>0</v>
      </c>
      <c r="D524" s="1">
        <v>45.5</v>
      </c>
      <c r="E524" s="1" t="s">
        <v>133</v>
      </c>
      <c r="F524" s="1" t="s">
        <v>5603</v>
      </c>
      <c r="G524" s="3" t="s">
        <v>5604</v>
      </c>
      <c r="H524" s="12" cm="1">
        <f t="array" ref="H524">_xlfn.IFS(I524&lt;197,I524*1.26,I524&gt;197,I524*1.17) + IF(I524&gt;1000,17,0)</f>
        <v>230.00795999999997</v>
      </c>
      <c r="I524" s="10">
        <f>($K$2+0.02)*Tabla1[[#This Row],[PRECIO $]]*1.18</f>
        <v>182.54599999999996</v>
      </c>
      <c r="J524" s="7">
        <f>+Tabla1[[#This Row],[PRECIO EN SOLES]]-Tabla1[[#This Row],[PC]]</f>
        <v>47.461960000000005</v>
      </c>
    </row>
    <row r="525" spans="1:10" x14ac:dyDescent="0.25">
      <c r="A525" s="3" t="s">
        <v>3598</v>
      </c>
      <c r="B525" s="3" t="s">
        <v>3599</v>
      </c>
      <c r="C525" s="1">
        <v>0</v>
      </c>
      <c r="D525" s="1">
        <v>64.8</v>
      </c>
      <c r="E525" s="1" t="s">
        <v>133</v>
      </c>
      <c r="F525" s="1" t="s">
        <v>4402</v>
      </c>
      <c r="G525" s="3" t="s">
        <v>3600</v>
      </c>
      <c r="H525" s="12" cm="1">
        <f t="array" ref="H525">_xlfn.IFS(I525&lt;197,I525*1.26,I525&gt;197,I525*1.17) + IF(I525&gt;1000,17,0)</f>
        <v>304.17379199999999</v>
      </c>
      <c r="I525" s="10">
        <f>($K$2+0.02)*Tabla1[[#This Row],[PRECIO $]]*1.18</f>
        <v>259.9776</v>
      </c>
      <c r="J525" s="7">
        <f>+Tabla1[[#This Row],[PRECIO EN SOLES]]-Tabla1[[#This Row],[PC]]</f>
        <v>44.196191999999996</v>
      </c>
    </row>
    <row r="526" spans="1:10" x14ac:dyDescent="0.25">
      <c r="A526" s="3" t="s">
        <v>776</v>
      </c>
      <c r="B526" s="3" t="s">
        <v>777</v>
      </c>
      <c r="C526" s="1">
        <v>20</v>
      </c>
      <c r="D526" s="1">
        <v>82.75</v>
      </c>
      <c r="E526" s="1" t="s">
        <v>133</v>
      </c>
      <c r="F526" s="1" t="s">
        <v>4403</v>
      </c>
      <c r="G526" s="3" t="s">
        <v>778</v>
      </c>
      <c r="H526" s="12" cm="1">
        <f t="array" ref="H526">_xlfn.IFS(I526&lt;197,I526*1.26,I526&gt;197,I526*1.17) + IF(I526&gt;1000,17,0)</f>
        <v>388.43180999999993</v>
      </c>
      <c r="I526" s="10">
        <f>($K$2+0.02)*Tabla1[[#This Row],[PRECIO $]]*1.18</f>
        <v>331.99299999999994</v>
      </c>
      <c r="J526" s="7">
        <f>+Tabla1[[#This Row],[PRECIO EN SOLES]]-Tabla1[[#This Row],[PC]]</f>
        <v>56.438809999999989</v>
      </c>
    </row>
    <row r="527" spans="1:10" x14ac:dyDescent="0.25">
      <c r="A527" s="3" t="s">
        <v>285</v>
      </c>
      <c r="B527" s="3" t="s">
        <v>286</v>
      </c>
      <c r="C527" s="1">
        <v>0</v>
      </c>
      <c r="D527" s="1">
        <v>75.8</v>
      </c>
      <c r="E527" s="1" t="s">
        <v>122</v>
      </c>
      <c r="F527" s="1" t="s">
        <v>4404</v>
      </c>
      <c r="G527" s="3" t="s">
        <v>287</v>
      </c>
      <c r="H527" s="12" cm="1">
        <f t="array" ref="H527">_xlfn.IFS(I527&lt;197,I527*1.26,I527&gt;197,I527*1.17) + IF(I527&gt;1000,17,0)</f>
        <v>355.80823199999992</v>
      </c>
      <c r="I527" s="10">
        <f>($K$2+0.02)*Tabla1[[#This Row],[PRECIO $]]*1.18</f>
        <v>304.10959999999994</v>
      </c>
      <c r="J527" s="7">
        <f>+Tabla1[[#This Row],[PRECIO EN SOLES]]-Tabla1[[#This Row],[PC]]</f>
        <v>51.698631999999975</v>
      </c>
    </row>
    <row r="528" spans="1:10" x14ac:dyDescent="0.25">
      <c r="A528" s="3" t="s">
        <v>6224</v>
      </c>
      <c r="B528" s="3" t="s">
        <v>6225</v>
      </c>
      <c r="C528" s="1">
        <v>7</v>
      </c>
      <c r="D528" s="1">
        <v>141</v>
      </c>
      <c r="E528" s="1" t="s">
        <v>256</v>
      </c>
      <c r="F528" s="1" t="s">
        <v>6226</v>
      </c>
      <c r="G528" s="3" t="s">
        <v>6227</v>
      </c>
      <c r="H528" s="12" cm="1">
        <f t="array" ref="H528">_xlfn.IFS(I528&lt;197,I528*1.26,I528&gt;197,I528*1.17) + IF(I528&gt;1000,17,0)</f>
        <v>661.85963999999979</v>
      </c>
      <c r="I528" s="10">
        <f>($K$2+0.02)*Tabla1[[#This Row],[PRECIO $]]*1.18</f>
        <v>565.69199999999989</v>
      </c>
      <c r="J528" s="7">
        <f>+Tabla1[[#This Row],[PRECIO EN SOLES]]-Tabla1[[#This Row],[PC]]</f>
        <v>96.167639999999892</v>
      </c>
    </row>
    <row r="529" spans="1:10" x14ac:dyDescent="0.25">
      <c r="A529" s="3" t="s">
        <v>6228</v>
      </c>
      <c r="B529" s="3" t="s">
        <v>6229</v>
      </c>
      <c r="C529" s="1">
        <v>17</v>
      </c>
      <c r="D529" s="1">
        <v>87.75</v>
      </c>
      <c r="E529" s="1" t="s">
        <v>256</v>
      </c>
      <c r="F529" s="1" t="s">
        <v>6230</v>
      </c>
      <c r="G529" s="3" t="s">
        <v>6231</v>
      </c>
      <c r="H529" s="12" cm="1">
        <f t="array" ref="H529">_xlfn.IFS(I529&lt;197,I529*1.26,I529&gt;197,I529*1.17) + IF(I529&gt;1000,17,0)</f>
        <v>411.9020099999999</v>
      </c>
      <c r="I529" s="10">
        <f>($K$2+0.02)*Tabla1[[#This Row],[PRECIO $]]*1.18</f>
        <v>352.05299999999994</v>
      </c>
      <c r="J529" s="7">
        <f>+Tabla1[[#This Row],[PRECIO EN SOLES]]-Tabla1[[#This Row],[PC]]</f>
        <v>59.849009999999964</v>
      </c>
    </row>
    <row r="530" spans="1:10" x14ac:dyDescent="0.25">
      <c r="A530" s="3" t="s">
        <v>1662</v>
      </c>
      <c r="B530" s="3" t="s">
        <v>1663</v>
      </c>
      <c r="C530" s="1">
        <v>20</v>
      </c>
      <c r="D530" s="1">
        <v>90.5</v>
      </c>
      <c r="E530" s="1" t="s">
        <v>1104</v>
      </c>
      <c r="F530" s="1" t="s">
        <v>4405</v>
      </c>
      <c r="G530" s="3" t="s">
        <v>1664</v>
      </c>
      <c r="H530" s="12" cm="1">
        <f t="array" ref="H530">_xlfn.IFS(I530&lt;197,I530*1.26,I530&gt;197,I530*1.17) + IF(I530&gt;1000,17,0)</f>
        <v>424.81061999999991</v>
      </c>
      <c r="I530" s="10">
        <f>($K$2+0.02)*Tabla1[[#This Row],[PRECIO $]]*1.18</f>
        <v>363.08599999999996</v>
      </c>
      <c r="J530" s="7">
        <f>+Tabla1[[#This Row],[PRECIO EN SOLES]]-Tabla1[[#This Row],[PC]]</f>
        <v>61.724619999999959</v>
      </c>
    </row>
    <row r="531" spans="1:10" x14ac:dyDescent="0.25">
      <c r="A531" s="3" t="s">
        <v>1665</v>
      </c>
      <c r="B531" s="3" t="s">
        <v>1666</v>
      </c>
      <c r="C531" s="1">
        <v>20</v>
      </c>
      <c r="D531" s="1">
        <v>111.6</v>
      </c>
      <c r="E531" s="1" t="s">
        <v>1104</v>
      </c>
      <c r="F531" s="1" t="s">
        <v>4406</v>
      </c>
      <c r="G531" s="3" t="s">
        <v>1667</v>
      </c>
      <c r="H531" s="12" cm="1">
        <f t="array" ref="H531">_xlfn.IFS(I531&lt;197,I531*1.26,I531&gt;197,I531*1.17) + IF(I531&gt;1000,17,0)</f>
        <v>523.85486399999991</v>
      </c>
      <c r="I531" s="10">
        <f>($K$2+0.02)*Tabla1[[#This Row],[PRECIO $]]*1.18</f>
        <v>447.73919999999998</v>
      </c>
      <c r="J531" s="7">
        <f>+Tabla1[[#This Row],[PRECIO EN SOLES]]-Tabla1[[#This Row],[PC]]</f>
        <v>76.115663999999924</v>
      </c>
    </row>
    <row r="532" spans="1:10" x14ac:dyDescent="0.25">
      <c r="A532" s="3" t="s">
        <v>1668</v>
      </c>
      <c r="B532" s="3" t="s">
        <v>1669</v>
      </c>
      <c r="C532" s="1">
        <v>20</v>
      </c>
      <c r="D532" s="1">
        <v>110</v>
      </c>
      <c r="E532" s="1" t="s">
        <v>122</v>
      </c>
      <c r="F532" s="1" t="s">
        <v>4407</v>
      </c>
      <c r="G532" s="3" t="s">
        <v>1670</v>
      </c>
      <c r="H532" s="12" cm="1">
        <f t="array" ref="H532">_xlfn.IFS(I532&lt;197,I532*1.26,I532&gt;197,I532*1.17) + IF(I532&gt;1000,17,0)</f>
        <v>516.34439999999995</v>
      </c>
      <c r="I532" s="10">
        <f>($K$2+0.02)*Tabla1[[#This Row],[PRECIO $]]*1.18</f>
        <v>441.32</v>
      </c>
      <c r="J532" s="7">
        <f>+Tabla1[[#This Row],[PRECIO EN SOLES]]-Tabla1[[#This Row],[PC]]</f>
        <v>75.024399999999957</v>
      </c>
    </row>
    <row r="533" spans="1:10" x14ac:dyDescent="0.25">
      <c r="A533" s="3" t="s">
        <v>1671</v>
      </c>
      <c r="B533" s="3" t="s">
        <v>1672</v>
      </c>
      <c r="C533" s="1">
        <v>20</v>
      </c>
      <c r="D533" s="1">
        <v>76.400000000000006</v>
      </c>
      <c r="E533" s="1" t="s">
        <v>122</v>
      </c>
      <c r="F533" s="1" t="s">
        <v>4408</v>
      </c>
      <c r="G533" s="3" t="s">
        <v>1673</v>
      </c>
      <c r="H533" s="12" cm="1">
        <f t="array" ref="H533">_xlfn.IFS(I533&lt;197,I533*1.26,I533&gt;197,I533*1.17) + IF(I533&gt;1000,17,0)</f>
        <v>358.62465599999996</v>
      </c>
      <c r="I533" s="10">
        <f>($K$2+0.02)*Tabla1[[#This Row],[PRECIO $]]*1.18</f>
        <v>306.51679999999999</v>
      </c>
      <c r="J533" s="7">
        <f>+Tabla1[[#This Row],[PRECIO EN SOLES]]-Tabla1[[#This Row],[PC]]</f>
        <v>52.10785599999997</v>
      </c>
    </row>
    <row r="534" spans="1:10" x14ac:dyDescent="0.25">
      <c r="A534" s="3" t="s">
        <v>1674</v>
      </c>
      <c r="B534" s="3" t="s">
        <v>1675</v>
      </c>
      <c r="C534" s="1">
        <v>1</v>
      </c>
      <c r="D534" s="1">
        <v>94.5</v>
      </c>
      <c r="E534" s="1" t="s">
        <v>256</v>
      </c>
      <c r="F534" s="1" t="s">
        <v>4409</v>
      </c>
      <c r="G534" s="3" t="s">
        <v>1676</v>
      </c>
      <c r="H534" s="12" cm="1">
        <f t="array" ref="H534">_xlfn.IFS(I534&lt;197,I534*1.26,I534&gt;197,I534*1.17) + IF(I534&gt;1000,17,0)</f>
        <v>443.58677999999998</v>
      </c>
      <c r="I534" s="10">
        <f>($K$2+0.02)*Tabla1[[#This Row],[PRECIO $]]*1.18</f>
        <v>379.13400000000001</v>
      </c>
      <c r="J534" s="7">
        <f>+Tabla1[[#This Row],[PRECIO EN SOLES]]-Tabla1[[#This Row],[PC]]</f>
        <v>64.452779999999962</v>
      </c>
    </row>
    <row r="535" spans="1:10" x14ac:dyDescent="0.25">
      <c r="A535" s="3" t="s">
        <v>6232</v>
      </c>
      <c r="B535" s="3" t="s">
        <v>6233</v>
      </c>
      <c r="C535" s="1">
        <v>20</v>
      </c>
      <c r="D535" s="1">
        <v>96.4</v>
      </c>
      <c r="E535" s="1" t="s">
        <v>256</v>
      </c>
      <c r="F535" s="1" t="s">
        <v>6234</v>
      </c>
      <c r="G535" s="3" t="s">
        <v>6235</v>
      </c>
      <c r="H535" s="12" cm="1">
        <f t="array" ref="H535">_xlfn.IFS(I535&lt;197,I535*1.26,I535&gt;197,I535*1.17) + IF(I535&gt;1000,17,0)</f>
        <v>452.50545599999992</v>
      </c>
      <c r="I535" s="10">
        <f>($K$2+0.02)*Tabla1[[#This Row],[PRECIO $]]*1.18</f>
        <v>386.75679999999994</v>
      </c>
      <c r="J535" s="7">
        <f>+Tabla1[[#This Row],[PRECIO EN SOLES]]-Tabla1[[#This Row],[PC]]</f>
        <v>65.748655999999983</v>
      </c>
    </row>
    <row r="536" spans="1:10" x14ac:dyDescent="0.25">
      <c r="A536" s="3" t="s">
        <v>6236</v>
      </c>
      <c r="B536" s="3" t="s">
        <v>6237</v>
      </c>
      <c r="C536" s="1">
        <v>20</v>
      </c>
      <c r="D536" s="1">
        <v>109.2</v>
      </c>
      <c r="E536" s="1" t="s">
        <v>256</v>
      </c>
      <c r="F536" s="1" t="s">
        <v>6238</v>
      </c>
      <c r="G536" s="3" t="s">
        <v>6239</v>
      </c>
      <c r="H536" s="12" cm="1">
        <f t="array" ref="H536">_xlfn.IFS(I536&lt;197,I536*1.26,I536&gt;197,I536*1.17) + IF(I536&gt;1000,17,0)</f>
        <v>512.58916799999997</v>
      </c>
      <c r="I536" s="10">
        <f>($K$2+0.02)*Tabla1[[#This Row],[PRECIO $]]*1.18</f>
        <v>438.11039999999997</v>
      </c>
      <c r="J536" s="7">
        <f>+Tabla1[[#This Row],[PRECIO EN SOLES]]-Tabla1[[#This Row],[PC]]</f>
        <v>74.478768000000002</v>
      </c>
    </row>
    <row r="537" spans="1:10" x14ac:dyDescent="0.25">
      <c r="A537" s="3" t="s">
        <v>6240</v>
      </c>
      <c r="B537" s="3" t="s">
        <v>6241</v>
      </c>
      <c r="C537" s="1">
        <v>18</v>
      </c>
      <c r="D537" s="1">
        <v>104.6</v>
      </c>
      <c r="E537" s="1" t="s">
        <v>256</v>
      </c>
      <c r="F537" s="1" t="s">
        <v>6242</v>
      </c>
      <c r="G537" s="3" t="s">
        <v>6243</v>
      </c>
      <c r="H537" s="12" cm="1">
        <f t="array" ref="H537">_xlfn.IFS(I537&lt;197,I537*1.26,I537&gt;197,I537*1.17) + IF(I537&gt;1000,17,0)</f>
        <v>490.99658399999993</v>
      </c>
      <c r="I537" s="10">
        <f>($K$2+0.02)*Tabla1[[#This Row],[PRECIO $]]*1.18</f>
        <v>419.65519999999998</v>
      </c>
      <c r="J537" s="7">
        <f>+Tabla1[[#This Row],[PRECIO EN SOLES]]-Tabla1[[#This Row],[PC]]</f>
        <v>71.341383999999948</v>
      </c>
    </row>
    <row r="538" spans="1:10" x14ac:dyDescent="0.25">
      <c r="A538" s="3" t="s">
        <v>6244</v>
      </c>
      <c r="B538" s="3" t="s">
        <v>6245</v>
      </c>
      <c r="C538" s="1">
        <v>20</v>
      </c>
      <c r="D538" s="1">
        <v>107.1</v>
      </c>
      <c r="E538" s="1" t="s">
        <v>256</v>
      </c>
      <c r="F538" s="1" t="s">
        <v>6246</v>
      </c>
      <c r="G538" s="3" t="s">
        <v>6247</v>
      </c>
      <c r="H538" s="12" cm="1">
        <f t="array" ref="H538">_xlfn.IFS(I538&lt;197,I538*1.26,I538&gt;197,I538*1.17) + IF(I538&gt;1000,17,0)</f>
        <v>502.73168399999992</v>
      </c>
      <c r="I538" s="10">
        <f>($K$2+0.02)*Tabla1[[#This Row],[PRECIO $]]*1.18</f>
        <v>429.68519999999995</v>
      </c>
      <c r="J538" s="7">
        <f>+Tabla1[[#This Row],[PRECIO EN SOLES]]-Tabla1[[#This Row],[PC]]</f>
        <v>73.046483999999964</v>
      </c>
    </row>
    <row r="539" spans="1:10" x14ac:dyDescent="0.25">
      <c r="A539" s="3" t="s">
        <v>5605</v>
      </c>
      <c r="B539" s="3" t="s">
        <v>5606</v>
      </c>
      <c r="C539" s="1">
        <v>20</v>
      </c>
      <c r="D539" s="1">
        <v>63.2</v>
      </c>
      <c r="E539" s="1" t="s">
        <v>133</v>
      </c>
      <c r="F539" s="1" t="s">
        <v>5607</v>
      </c>
      <c r="G539" s="3" t="s">
        <v>5608</v>
      </c>
      <c r="H539" s="12" cm="1">
        <f t="array" ref="H539">_xlfn.IFS(I539&lt;197,I539*1.26,I539&gt;197,I539*1.17) + IF(I539&gt;1000,17,0)</f>
        <v>296.66332799999998</v>
      </c>
      <c r="I539" s="10">
        <f>($K$2+0.02)*Tabla1[[#This Row],[PRECIO $]]*1.18</f>
        <v>253.55839999999998</v>
      </c>
      <c r="J539" s="7">
        <f>+Tabla1[[#This Row],[PRECIO EN SOLES]]-Tabla1[[#This Row],[PC]]</f>
        <v>43.104928000000001</v>
      </c>
    </row>
    <row r="540" spans="1:10" x14ac:dyDescent="0.25">
      <c r="A540" s="3" t="s">
        <v>5609</v>
      </c>
      <c r="B540" s="3" t="s">
        <v>5610</v>
      </c>
      <c r="C540" s="1">
        <v>20</v>
      </c>
      <c r="D540" s="1">
        <v>120.7</v>
      </c>
      <c r="E540" s="1" t="s">
        <v>133</v>
      </c>
      <c r="F540" s="1" t="s">
        <v>5611</v>
      </c>
      <c r="G540" s="3" t="s">
        <v>5612</v>
      </c>
      <c r="H540" s="12" cm="1">
        <f t="array" ref="H540">_xlfn.IFS(I540&lt;197,I540*1.26,I540&gt;197,I540*1.17) + IF(I540&gt;1000,17,0)</f>
        <v>566.57062799999994</v>
      </c>
      <c r="I540" s="10">
        <f>($K$2+0.02)*Tabla1[[#This Row],[PRECIO $]]*1.18</f>
        <v>484.24839999999995</v>
      </c>
      <c r="J540" s="7">
        <f>+Tabla1[[#This Row],[PRECIO EN SOLES]]-Tabla1[[#This Row],[PC]]</f>
        <v>82.322227999999996</v>
      </c>
    </row>
    <row r="541" spans="1:10" x14ac:dyDescent="0.25">
      <c r="A541" s="3" t="s">
        <v>1677</v>
      </c>
      <c r="B541" s="3" t="s">
        <v>1678</v>
      </c>
      <c r="C541" s="1">
        <v>5</v>
      </c>
      <c r="D541" s="1">
        <v>195</v>
      </c>
      <c r="E541" s="1" t="s">
        <v>1104</v>
      </c>
      <c r="F541" s="1" t="s">
        <v>4410</v>
      </c>
      <c r="G541" s="3" t="s">
        <v>1679</v>
      </c>
      <c r="H541" s="12" cm="1">
        <f t="array" ref="H541">_xlfn.IFS(I541&lt;197,I541*1.26,I541&gt;197,I541*1.17) + IF(I541&gt;1000,17,0)</f>
        <v>915.3377999999999</v>
      </c>
      <c r="I541" s="10">
        <f>($K$2+0.02)*Tabla1[[#This Row],[PRECIO $]]*1.18</f>
        <v>782.33999999999992</v>
      </c>
      <c r="J541" s="7">
        <f>+Tabla1[[#This Row],[PRECIO EN SOLES]]-Tabla1[[#This Row],[PC]]</f>
        <v>132.99779999999998</v>
      </c>
    </row>
    <row r="542" spans="1:10" x14ac:dyDescent="0.25">
      <c r="A542" s="3" t="s">
        <v>1680</v>
      </c>
      <c r="B542" s="3" t="s">
        <v>1681</v>
      </c>
      <c r="C542" s="1">
        <v>2</v>
      </c>
      <c r="D542" s="1">
        <v>171</v>
      </c>
      <c r="E542" s="1" t="s">
        <v>1104</v>
      </c>
      <c r="F542" s="1" t="s">
        <v>4411</v>
      </c>
      <c r="G542" s="3" t="s">
        <v>1682</v>
      </c>
      <c r="H542" s="12" cm="1">
        <f t="array" ref="H542">_xlfn.IFS(I542&lt;197,I542*1.26,I542&gt;197,I542*1.17) + IF(I542&gt;1000,17,0)</f>
        <v>802.68083999999988</v>
      </c>
      <c r="I542" s="10">
        <f>($K$2+0.02)*Tabla1[[#This Row],[PRECIO $]]*1.18</f>
        <v>686.05199999999991</v>
      </c>
      <c r="J542" s="7">
        <f>+Tabla1[[#This Row],[PRECIO EN SOLES]]-Tabla1[[#This Row],[PC]]</f>
        <v>116.62883999999997</v>
      </c>
    </row>
    <row r="543" spans="1:10" x14ac:dyDescent="0.25">
      <c r="A543" s="3" t="s">
        <v>1683</v>
      </c>
      <c r="B543" s="3" t="s">
        <v>1684</v>
      </c>
      <c r="C543" s="1">
        <v>8</v>
      </c>
      <c r="D543" s="1">
        <v>182</v>
      </c>
      <c r="E543" s="1" t="s">
        <v>1104</v>
      </c>
      <c r="F543" s="1" t="s">
        <v>4412</v>
      </c>
      <c r="G543" s="3" t="s">
        <v>1685</v>
      </c>
      <c r="H543" s="12" cm="1">
        <f t="array" ref="H543">_xlfn.IFS(I543&lt;197,I543*1.26,I543&gt;197,I543*1.17) + IF(I543&gt;1000,17,0)</f>
        <v>854.3152799999998</v>
      </c>
      <c r="I543" s="10">
        <f>($K$2+0.02)*Tabla1[[#This Row],[PRECIO $]]*1.18</f>
        <v>730.18399999999986</v>
      </c>
      <c r="J543" s="7">
        <f>+Tabla1[[#This Row],[PRECIO EN SOLES]]-Tabla1[[#This Row],[PC]]</f>
        <v>124.13127999999995</v>
      </c>
    </row>
    <row r="544" spans="1:10" x14ac:dyDescent="0.25">
      <c r="A544" s="3" t="s">
        <v>1686</v>
      </c>
      <c r="B544" s="3" t="s">
        <v>1687</v>
      </c>
      <c r="C544" s="1">
        <v>2</v>
      </c>
      <c r="D544" s="1">
        <v>248.5</v>
      </c>
      <c r="E544" s="1" t="s">
        <v>1104</v>
      </c>
      <c r="F544" s="1" t="s">
        <v>4413</v>
      </c>
      <c r="G544" s="3" t="s">
        <v>1688</v>
      </c>
      <c r="H544" s="12" cm="1">
        <f t="array" ref="H544">_xlfn.IFS(I544&lt;197,I544*1.26,I544&gt;197,I544*1.17) + IF(I544&gt;1000,17,0)</f>
        <v>1166.46894</v>
      </c>
      <c r="I544" s="10">
        <f>($K$2+0.02)*Tabla1[[#This Row],[PRECIO $]]*1.18</f>
        <v>996.98199999999997</v>
      </c>
      <c r="J544" s="7">
        <f>+Tabla1[[#This Row],[PRECIO EN SOLES]]-Tabla1[[#This Row],[PC]]</f>
        <v>169.48694</v>
      </c>
    </row>
    <row r="545" spans="1:10" x14ac:dyDescent="0.25">
      <c r="A545" s="3" t="s">
        <v>1689</v>
      </c>
      <c r="B545" s="3" t="s">
        <v>1690</v>
      </c>
      <c r="C545" s="1">
        <v>4</v>
      </c>
      <c r="D545" s="1">
        <v>312</v>
      </c>
      <c r="E545" s="1" t="s">
        <v>1104</v>
      </c>
      <c r="F545" s="1" t="s">
        <v>4414</v>
      </c>
      <c r="G545" s="3" t="s">
        <v>1691</v>
      </c>
      <c r="H545" s="12" cm="1">
        <f t="array" ref="H545">_xlfn.IFS(I545&lt;197,I545*1.26,I545&gt;197,I545*1.17) + IF(I545&gt;1000,17,0)</f>
        <v>1481.5404799999999</v>
      </c>
      <c r="I545" s="10">
        <f>($K$2+0.02)*Tabla1[[#This Row],[PRECIO $]]*1.18</f>
        <v>1251.7439999999999</v>
      </c>
      <c r="J545" s="7">
        <f>+Tabla1[[#This Row],[PRECIO EN SOLES]]-Tabla1[[#This Row],[PC]]</f>
        <v>229.79647999999997</v>
      </c>
    </row>
    <row r="546" spans="1:10" x14ac:dyDescent="0.25">
      <c r="A546" s="3" t="s">
        <v>1692</v>
      </c>
      <c r="B546" s="3" t="s">
        <v>1693</v>
      </c>
      <c r="C546" s="1">
        <v>2</v>
      </c>
      <c r="D546" s="1">
        <v>128.19999999999999</v>
      </c>
      <c r="E546" s="1" t="s">
        <v>122</v>
      </c>
      <c r="F546" s="1" t="s">
        <v>4415</v>
      </c>
      <c r="G546" s="3" t="s">
        <v>1694</v>
      </c>
      <c r="H546" s="12" cm="1">
        <f t="array" ref="H546">_xlfn.IFS(I546&lt;197,I546*1.26,I546&gt;197,I546*1.17) + IF(I546&gt;1000,17,0)</f>
        <v>601.77592799999979</v>
      </c>
      <c r="I546" s="10">
        <f>($K$2+0.02)*Tabla1[[#This Row],[PRECIO $]]*1.18</f>
        <v>514.33839999999987</v>
      </c>
      <c r="J546" s="7">
        <f>+Tabla1[[#This Row],[PRECIO EN SOLES]]-Tabla1[[#This Row],[PC]]</f>
        <v>87.437527999999929</v>
      </c>
    </row>
    <row r="547" spans="1:10" x14ac:dyDescent="0.25">
      <c r="A547" s="3" t="s">
        <v>1695</v>
      </c>
      <c r="B547" s="3" t="s">
        <v>1696</v>
      </c>
      <c r="C547" s="1">
        <v>9</v>
      </c>
      <c r="D547" s="1">
        <v>305</v>
      </c>
      <c r="E547" s="1" t="s">
        <v>122</v>
      </c>
      <c r="F547" s="1" t="s">
        <v>4416</v>
      </c>
      <c r="G547" s="3" t="s">
        <v>1697</v>
      </c>
      <c r="H547" s="12" cm="1">
        <f t="array" ref="H547">_xlfn.IFS(I547&lt;197,I547*1.26,I547&gt;197,I547*1.17) + IF(I547&gt;1000,17,0)</f>
        <v>1448.6821999999997</v>
      </c>
      <c r="I547" s="10">
        <f>($K$2+0.02)*Tabla1[[#This Row],[PRECIO $]]*1.18</f>
        <v>1223.6599999999999</v>
      </c>
      <c r="J547" s="7">
        <f>+Tabla1[[#This Row],[PRECIO EN SOLES]]-Tabla1[[#This Row],[PC]]</f>
        <v>225.02219999999988</v>
      </c>
    </row>
    <row r="548" spans="1:10" x14ac:dyDescent="0.25">
      <c r="A548" s="3" t="s">
        <v>1698</v>
      </c>
      <c r="B548" s="3" t="s">
        <v>1699</v>
      </c>
      <c r="C548" s="1">
        <v>16</v>
      </c>
      <c r="D548" s="1">
        <v>251.5</v>
      </c>
      <c r="E548" s="1" t="s">
        <v>122</v>
      </c>
      <c r="F548" s="1" t="s">
        <v>4417</v>
      </c>
      <c r="G548" s="3" t="s">
        <v>1700</v>
      </c>
      <c r="H548" s="12" cm="1">
        <f t="array" ref="H548">_xlfn.IFS(I548&lt;197,I548*1.26,I548&gt;197,I548*1.17) + IF(I548&gt;1000,17,0)</f>
        <v>1197.55106</v>
      </c>
      <c r="I548" s="10">
        <f>($K$2+0.02)*Tabla1[[#This Row],[PRECIO $]]*1.18</f>
        <v>1009.018</v>
      </c>
      <c r="J548" s="7">
        <f>+Tabla1[[#This Row],[PRECIO EN SOLES]]-Tabla1[[#This Row],[PC]]</f>
        <v>188.53305999999998</v>
      </c>
    </row>
    <row r="549" spans="1:10" x14ac:dyDescent="0.25">
      <c r="A549" s="3" t="s">
        <v>288</v>
      </c>
      <c r="B549" s="3" t="s">
        <v>289</v>
      </c>
      <c r="C549" s="1">
        <v>20</v>
      </c>
      <c r="D549" s="1">
        <v>163</v>
      </c>
      <c r="E549" s="1" t="s">
        <v>122</v>
      </c>
      <c r="F549" s="1" t="s">
        <v>4418</v>
      </c>
      <c r="G549" s="3" t="s">
        <v>290</v>
      </c>
      <c r="H549" s="12" cm="1">
        <f t="array" ref="H549">_xlfn.IFS(I549&lt;197,I549*1.26,I549&gt;197,I549*1.17) + IF(I549&gt;1000,17,0)</f>
        <v>765.12851999999987</v>
      </c>
      <c r="I549" s="10">
        <f>($K$2+0.02)*Tabla1[[#This Row],[PRECIO $]]*1.18</f>
        <v>653.9559999999999</v>
      </c>
      <c r="J549" s="7">
        <f>+Tabla1[[#This Row],[PRECIO EN SOLES]]-Tabla1[[#This Row],[PC]]</f>
        <v>111.17251999999996</v>
      </c>
    </row>
    <row r="550" spans="1:10" x14ac:dyDescent="0.25">
      <c r="A550" s="3" t="s">
        <v>291</v>
      </c>
      <c r="B550" s="3" t="s">
        <v>292</v>
      </c>
      <c r="C550" s="1">
        <v>18</v>
      </c>
      <c r="D550" s="1">
        <v>178.5</v>
      </c>
      <c r="E550" s="1" t="s">
        <v>122</v>
      </c>
      <c r="F550" s="1" t="s">
        <v>4419</v>
      </c>
      <c r="G550" s="3" t="s">
        <v>293</v>
      </c>
      <c r="H550" s="12" cm="1">
        <f t="array" ref="H550">_xlfn.IFS(I550&lt;197,I550*1.26,I550&gt;197,I550*1.17) + IF(I550&gt;1000,17,0)</f>
        <v>837.88613999999984</v>
      </c>
      <c r="I550" s="10">
        <f>($K$2+0.02)*Tabla1[[#This Row],[PRECIO $]]*1.18</f>
        <v>716.14199999999994</v>
      </c>
      <c r="J550" s="7">
        <f>+Tabla1[[#This Row],[PRECIO EN SOLES]]-Tabla1[[#This Row],[PC]]</f>
        <v>121.7441399999999</v>
      </c>
    </row>
    <row r="551" spans="1:10" x14ac:dyDescent="0.25">
      <c r="A551" s="3" t="s">
        <v>1701</v>
      </c>
      <c r="B551" s="3" t="s">
        <v>1702</v>
      </c>
      <c r="C551" s="1">
        <v>20</v>
      </c>
      <c r="D551" s="1">
        <v>114.2</v>
      </c>
      <c r="E551" s="1" t="s">
        <v>122</v>
      </c>
      <c r="F551" s="1" t="s">
        <v>4420</v>
      </c>
      <c r="G551" s="3" t="s">
        <v>1703</v>
      </c>
      <c r="H551" s="12" cm="1">
        <f t="array" ref="H551">_xlfn.IFS(I551&lt;197,I551*1.26,I551&gt;197,I551*1.17) + IF(I551&gt;1000,17,0)</f>
        <v>536.05936799999984</v>
      </c>
      <c r="I551" s="10">
        <f>($K$2+0.02)*Tabla1[[#This Row],[PRECIO $]]*1.18</f>
        <v>458.17039999999992</v>
      </c>
      <c r="J551" s="7">
        <f>+Tabla1[[#This Row],[PRECIO EN SOLES]]-Tabla1[[#This Row],[PC]]</f>
        <v>77.88896799999992</v>
      </c>
    </row>
    <row r="552" spans="1:10" x14ac:dyDescent="0.25">
      <c r="A552" s="3" t="s">
        <v>294</v>
      </c>
      <c r="B552" s="3" t="s">
        <v>295</v>
      </c>
      <c r="C552" s="1">
        <v>0</v>
      </c>
      <c r="D552" s="1">
        <v>256</v>
      </c>
      <c r="E552" s="1" t="s">
        <v>122</v>
      </c>
      <c r="F552" s="1" t="s">
        <v>4421</v>
      </c>
      <c r="G552" s="3" t="s">
        <v>296</v>
      </c>
      <c r="H552" s="12" cm="1">
        <f t="array" ref="H552">_xlfn.IFS(I552&lt;197,I552*1.26,I552&gt;197,I552*1.17) + IF(I552&gt;1000,17,0)</f>
        <v>1218.6742399999998</v>
      </c>
      <c r="I552" s="10">
        <f>($K$2+0.02)*Tabla1[[#This Row],[PRECIO $]]*1.18</f>
        <v>1027.0719999999999</v>
      </c>
      <c r="J552" s="7">
        <f>+Tabla1[[#This Row],[PRECIO EN SOLES]]-Tabla1[[#This Row],[PC]]</f>
        <v>191.60223999999994</v>
      </c>
    </row>
    <row r="553" spans="1:10" x14ac:dyDescent="0.25">
      <c r="A553" s="3" t="s">
        <v>1704</v>
      </c>
      <c r="B553" s="3" t="s">
        <v>1705</v>
      </c>
      <c r="C553" s="1">
        <v>9</v>
      </c>
      <c r="D553" s="1">
        <v>185.5</v>
      </c>
      <c r="E553" s="1" t="s">
        <v>256</v>
      </c>
      <c r="F553" s="1" t="s">
        <v>4422</v>
      </c>
      <c r="G553" s="3" t="s">
        <v>1706</v>
      </c>
      <c r="H553" s="12" cm="1">
        <f t="array" ref="H553">_xlfn.IFS(I553&lt;197,I553*1.26,I553&gt;197,I553*1.17) + IF(I553&gt;1000,17,0)</f>
        <v>870.74441999999976</v>
      </c>
      <c r="I553" s="10">
        <f>($K$2+0.02)*Tabla1[[#This Row],[PRECIO $]]*1.18</f>
        <v>744.22599999999989</v>
      </c>
      <c r="J553" s="7">
        <f>+Tabla1[[#This Row],[PRECIO EN SOLES]]-Tabla1[[#This Row],[PC]]</f>
        <v>126.51841999999988</v>
      </c>
    </row>
    <row r="554" spans="1:10" x14ac:dyDescent="0.25">
      <c r="A554" s="3" t="s">
        <v>1707</v>
      </c>
      <c r="B554" s="3" t="s">
        <v>1708</v>
      </c>
      <c r="C554" s="1">
        <v>10</v>
      </c>
      <c r="D554" s="1">
        <v>183</v>
      </c>
      <c r="E554" s="1" t="s">
        <v>256</v>
      </c>
      <c r="F554" s="1" t="s">
        <v>4423</v>
      </c>
      <c r="G554" s="3" t="s">
        <v>1709</v>
      </c>
      <c r="H554" s="12" cm="1">
        <f t="array" ref="H554">_xlfn.IFS(I554&lt;197,I554*1.26,I554&gt;197,I554*1.17) + IF(I554&gt;1000,17,0)</f>
        <v>859.00931999999989</v>
      </c>
      <c r="I554" s="10">
        <f>($K$2+0.02)*Tabla1[[#This Row],[PRECIO $]]*1.18</f>
        <v>734.19599999999991</v>
      </c>
      <c r="J554" s="7">
        <f>+Tabla1[[#This Row],[PRECIO EN SOLES]]-Tabla1[[#This Row],[PC]]</f>
        <v>124.81331999999998</v>
      </c>
    </row>
    <row r="555" spans="1:10" x14ac:dyDescent="0.25">
      <c r="A555" s="3" t="s">
        <v>1710</v>
      </c>
      <c r="B555" s="3" t="s">
        <v>1711</v>
      </c>
      <c r="C555" s="1">
        <v>17</v>
      </c>
      <c r="D555" s="1">
        <v>142.80000000000001</v>
      </c>
      <c r="E555" s="1" t="s">
        <v>256</v>
      </c>
      <c r="F555" s="1" t="s">
        <v>4424</v>
      </c>
      <c r="G555" s="3" t="s">
        <v>1712</v>
      </c>
      <c r="H555" s="12" cm="1">
        <f t="array" ref="H555">_xlfn.IFS(I555&lt;197,I555*1.26,I555&gt;197,I555*1.17) + IF(I555&gt;1000,17,0)</f>
        <v>670.30891199999996</v>
      </c>
      <c r="I555" s="10">
        <f>($K$2+0.02)*Tabla1[[#This Row],[PRECIO $]]*1.18</f>
        <v>572.91359999999997</v>
      </c>
      <c r="J555" s="7">
        <f>+Tabla1[[#This Row],[PRECIO EN SOLES]]-Tabla1[[#This Row],[PC]]</f>
        <v>97.39531199999999</v>
      </c>
    </row>
    <row r="556" spans="1:10" x14ac:dyDescent="0.25">
      <c r="A556" s="3" t="s">
        <v>6248</v>
      </c>
      <c r="B556" s="3" t="s">
        <v>6249</v>
      </c>
      <c r="C556" s="1">
        <v>16</v>
      </c>
      <c r="D556" s="1">
        <v>151</v>
      </c>
      <c r="E556" s="1" t="s">
        <v>256</v>
      </c>
      <c r="F556" s="1" t="s">
        <v>6250</v>
      </c>
      <c r="G556" s="3" t="s">
        <v>6251</v>
      </c>
      <c r="H556" s="12" cm="1">
        <f t="array" ref="H556">_xlfn.IFS(I556&lt;197,I556*1.26,I556&gt;197,I556*1.17) + IF(I556&gt;1000,17,0)</f>
        <v>708.80003999999985</v>
      </c>
      <c r="I556" s="10">
        <f>($K$2+0.02)*Tabla1[[#This Row],[PRECIO $]]*1.18</f>
        <v>605.8119999999999</v>
      </c>
      <c r="J556" s="7">
        <f>+Tabla1[[#This Row],[PRECIO EN SOLES]]-Tabla1[[#This Row],[PC]]</f>
        <v>102.98803999999996</v>
      </c>
    </row>
    <row r="557" spans="1:10" x14ac:dyDescent="0.25">
      <c r="A557" s="3" t="s">
        <v>1713</v>
      </c>
      <c r="B557" s="3" t="s">
        <v>1714</v>
      </c>
      <c r="C557" s="1">
        <v>2</v>
      </c>
      <c r="D557" s="1">
        <v>169</v>
      </c>
      <c r="E557" s="1" t="s">
        <v>256</v>
      </c>
      <c r="F557" s="1" t="s">
        <v>4425</v>
      </c>
      <c r="G557" s="3" t="s">
        <v>1715</v>
      </c>
      <c r="H557" s="12" cm="1">
        <f t="array" ref="H557">_xlfn.IFS(I557&lt;197,I557*1.26,I557&gt;197,I557*1.17) + IF(I557&gt;1000,17,0)</f>
        <v>793.29275999999993</v>
      </c>
      <c r="I557" s="10">
        <f>($K$2+0.02)*Tabla1[[#This Row],[PRECIO $]]*1.18</f>
        <v>678.02800000000002</v>
      </c>
      <c r="J557" s="7">
        <f>+Tabla1[[#This Row],[PRECIO EN SOLES]]-Tabla1[[#This Row],[PC]]</f>
        <v>115.26475999999991</v>
      </c>
    </row>
    <row r="558" spans="1:10" x14ac:dyDescent="0.25">
      <c r="A558" s="3" t="s">
        <v>1716</v>
      </c>
      <c r="B558" s="3" t="s">
        <v>1717</v>
      </c>
      <c r="C558" s="1">
        <v>15</v>
      </c>
      <c r="D558" s="1">
        <v>166.5</v>
      </c>
      <c r="E558" s="1" t="s">
        <v>256</v>
      </c>
      <c r="F558" s="1" t="s">
        <v>4426</v>
      </c>
      <c r="G558" s="3" t="s">
        <v>1718</v>
      </c>
      <c r="H558" s="12" cm="1">
        <f t="array" ref="H558">_xlfn.IFS(I558&lt;197,I558*1.26,I558&gt;197,I558*1.17) + IF(I558&gt;1000,17,0)</f>
        <v>781.55766000000006</v>
      </c>
      <c r="I558" s="10">
        <f>($K$2+0.02)*Tabla1[[#This Row],[PRECIO $]]*1.18</f>
        <v>667.99800000000005</v>
      </c>
      <c r="J558" s="7">
        <f>+Tabla1[[#This Row],[PRECIO EN SOLES]]-Tabla1[[#This Row],[PC]]</f>
        <v>113.55966000000001</v>
      </c>
    </row>
    <row r="559" spans="1:10" x14ac:dyDescent="0.25">
      <c r="A559" s="3" t="s">
        <v>1719</v>
      </c>
      <c r="B559" s="3" t="s">
        <v>1720</v>
      </c>
      <c r="C559" s="1">
        <v>10</v>
      </c>
      <c r="D559" s="1">
        <v>105.2</v>
      </c>
      <c r="E559" s="1" t="s">
        <v>256</v>
      </c>
      <c r="F559" s="1" t="s">
        <v>4427</v>
      </c>
      <c r="G559" s="3" t="s">
        <v>1721</v>
      </c>
      <c r="H559" s="12" cm="1">
        <f t="array" ref="H559">_xlfn.IFS(I559&lt;197,I559*1.26,I559&gt;197,I559*1.17) + IF(I559&gt;1000,17,0)</f>
        <v>493.81300799999991</v>
      </c>
      <c r="I559" s="10">
        <f>($K$2+0.02)*Tabla1[[#This Row],[PRECIO $]]*1.18</f>
        <v>422.06239999999997</v>
      </c>
      <c r="J559" s="7">
        <f>+Tabla1[[#This Row],[PRECIO EN SOLES]]-Tabla1[[#This Row],[PC]]</f>
        <v>71.750607999999943</v>
      </c>
    </row>
    <row r="560" spans="1:10" x14ac:dyDescent="0.25">
      <c r="A560" s="3" t="s">
        <v>1722</v>
      </c>
      <c r="B560" s="3" t="s">
        <v>1723</v>
      </c>
      <c r="C560" s="1">
        <v>9</v>
      </c>
      <c r="D560" s="1">
        <v>180</v>
      </c>
      <c r="E560" s="1" t="s">
        <v>256</v>
      </c>
      <c r="F560" s="1" t="s">
        <v>4428</v>
      </c>
      <c r="G560" s="3" t="s">
        <v>1724</v>
      </c>
      <c r="H560" s="12" cm="1">
        <f t="array" ref="H560">_xlfn.IFS(I560&lt;197,I560*1.26,I560&gt;197,I560*1.17) + IF(I560&gt;1000,17,0)</f>
        <v>844.92719999999986</v>
      </c>
      <c r="I560" s="10">
        <f>($K$2+0.02)*Tabla1[[#This Row],[PRECIO $]]*1.18</f>
        <v>722.16</v>
      </c>
      <c r="J560" s="7">
        <f>+Tabla1[[#This Row],[PRECIO EN SOLES]]-Tabla1[[#This Row],[PC]]</f>
        <v>122.76719999999989</v>
      </c>
    </row>
    <row r="561" spans="1:10" x14ac:dyDescent="0.25">
      <c r="A561" s="3" t="s">
        <v>6252</v>
      </c>
      <c r="B561" s="3" t="s">
        <v>6253</v>
      </c>
      <c r="C561" s="1">
        <v>20</v>
      </c>
      <c r="D561" s="1">
        <v>191.5</v>
      </c>
      <c r="E561" s="1" t="s">
        <v>256</v>
      </c>
      <c r="F561" s="1" t="s">
        <v>6254</v>
      </c>
      <c r="G561" s="3"/>
      <c r="H561" s="12" cm="1">
        <f t="array" ref="H561">_xlfn.IFS(I561&lt;197,I561*1.26,I561&gt;197,I561*1.17) + IF(I561&gt;1000,17,0)</f>
        <v>898.90865999999994</v>
      </c>
      <c r="I561" s="10">
        <f>($K$2+0.02)*Tabla1[[#This Row],[PRECIO $]]*1.18</f>
        <v>768.298</v>
      </c>
      <c r="J561" s="7">
        <f>+Tabla1[[#This Row],[PRECIO EN SOLES]]-Tabla1[[#This Row],[PC]]</f>
        <v>130.61065999999994</v>
      </c>
    </row>
    <row r="562" spans="1:10" x14ac:dyDescent="0.25">
      <c r="A562" s="3" t="s">
        <v>6255</v>
      </c>
      <c r="B562" s="3" t="s">
        <v>6256</v>
      </c>
      <c r="C562" s="1">
        <v>20</v>
      </c>
      <c r="D562" s="1">
        <v>145.80000000000001</v>
      </c>
      <c r="E562" s="1" t="s">
        <v>256</v>
      </c>
      <c r="F562" s="1" t="s">
        <v>6257</v>
      </c>
      <c r="G562" s="3" t="s">
        <v>6258</v>
      </c>
      <c r="H562" s="12" cm="1">
        <f t="array" ref="H562">_xlfn.IFS(I562&lt;197,I562*1.26,I562&gt;197,I562*1.17) + IF(I562&gt;1000,17,0)</f>
        <v>684.391032</v>
      </c>
      <c r="I562" s="10">
        <f>($K$2+0.02)*Tabla1[[#This Row],[PRECIO $]]*1.18</f>
        <v>584.94960000000003</v>
      </c>
      <c r="J562" s="7">
        <f>+Tabla1[[#This Row],[PRECIO EN SOLES]]-Tabla1[[#This Row],[PC]]</f>
        <v>99.441431999999963</v>
      </c>
    </row>
    <row r="563" spans="1:10" x14ac:dyDescent="0.25">
      <c r="A563" s="3" t="s">
        <v>1725</v>
      </c>
      <c r="B563" s="3" t="s">
        <v>1726</v>
      </c>
      <c r="C563" s="1">
        <v>12</v>
      </c>
      <c r="D563" s="1">
        <v>148.5</v>
      </c>
      <c r="E563" s="1" t="s">
        <v>256</v>
      </c>
      <c r="F563" s="1" t="s">
        <v>4429</v>
      </c>
      <c r="G563" s="3" t="s">
        <v>3787</v>
      </c>
      <c r="H563" s="12" cm="1">
        <f t="array" ref="H563">_xlfn.IFS(I563&lt;197,I563*1.26,I563&gt;197,I563*1.17) + IF(I563&gt;1000,17,0)</f>
        <v>697.06493999999986</v>
      </c>
      <c r="I563" s="10">
        <f>($K$2+0.02)*Tabla1[[#This Row],[PRECIO $]]*1.18</f>
        <v>595.78199999999993</v>
      </c>
      <c r="J563" s="7">
        <f>+Tabla1[[#This Row],[PRECIO EN SOLES]]-Tabla1[[#This Row],[PC]]</f>
        <v>101.28293999999994</v>
      </c>
    </row>
    <row r="564" spans="1:10" x14ac:dyDescent="0.25">
      <c r="A564" s="3" t="s">
        <v>1727</v>
      </c>
      <c r="B564" s="3" t="s">
        <v>1728</v>
      </c>
      <c r="C564" s="1">
        <v>1</v>
      </c>
      <c r="D564" s="1">
        <v>329</v>
      </c>
      <c r="E564" s="1" t="s">
        <v>256</v>
      </c>
      <c r="F564" s="1" t="s">
        <v>4430</v>
      </c>
      <c r="G564" s="3" t="s">
        <v>3788</v>
      </c>
      <c r="H564" s="12" cm="1">
        <f t="array" ref="H564">_xlfn.IFS(I564&lt;197,I564*1.26,I564&gt;197,I564*1.17) + IF(I564&gt;1000,17,0)</f>
        <v>1561.3391599999998</v>
      </c>
      <c r="I564" s="10">
        <f>($K$2+0.02)*Tabla1[[#This Row],[PRECIO $]]*1.18</f>
        <v>1319.9479999999999</v>
      </c>
      <c r="J564" s="7">
        <f>+Tabla1[[#This Row],[PRECIO EN SOLES]]-Tabla1[[#This Row],[PC]]</f>
        <v>241.3911599999999</v>
      </c>
    </row>
    <row r="565" spans="1:10" x14ac:dyDescent="0.25">
      <c r="A565" s="3" t="s">
        <v>6259</v>
      </c>
      <c r="B565" s="3" t="s">
        <v>6260</v>
      </c>
      <c r="C565" s="1">
        <v>5</v>
      </c>
      <c r="D565" s="1">
        <v>284</v>
      </c>
      <c r="E565" s="1" t="s">
        <v>256</v>
      </c>
      <c r="F565" s="1" t="s">
        <v>6261</v>
      </c>
      <c r="G565" s="3"/>
      <c r="H565" s="12" cm="1">
        <f t="array" ref="H565">_xlfn.IFS(I565&lt;197,I565*1.26,I565&gt;197,I565*1.17) + IF(I565&gt;1000,17,0)</f>
        <v>1350.1073599999997</v>
      </c>
      <c r="I565" s="10">
        <f>($K$2+0.02)*Tabla1[[#This Row],[PRECIO $]]*1.18</f>
        <v>1139.4079999999999</v>
      </c>
      <c r="J565" s="7">
        <f>+Tabla1[[#This Row],[PRECIO EN SOLES]]-Tabla1[[#This Row],[PC]]</f>
        <v>210.69935999999984</v>
      </c>
    </row>
    <row r="566" spans="1:10" x14ac:dyDescent="0.25">
      <c r="A566" s="3" t="s">
        <v>6262</v>
      </c>
      <c r="B566" s="3" t="s">
        <v>6263</v>
      </c>
      <c r="C566" s="1">
        <v>17</v>
      </c>
      <c r="D566" s="1">
        <v>204</v>
      </c>
      <c r="E566" s="1" t="s">
        <v>256</v>
      </c>
      <c r="F566" s="1" t="s">
        <v>6264</v>
      </c>
      <c r="G566" s="3" t="s">
        <v>6265</v>
      </c>
      <c r="H566" s="12" cm="1">
        <f t="array" ref="H566">_xlfn.IFS(I566&lt;197,I566*1.26,I566&gt;197,I566*1.17) + IF(I566&gt;1000,17,0)</f>
        <v>957.58415999999988</v>
      </c>
      <c r="I566" s="10">
        <f>($K$2+0.02)*Tabla1[[#This Row],[PRECIO $]]*1.18</f>
        <v>818.44799999999998</v>
      </c>
      <c r="J566" s="7">
        <f>+Tabla1[[#This Row],[PRECIO EN SOLES]]-Tabla1[[#This Row],[PC]]</f>
        <v>139.1361599999999</v>
      </c>
    </row>
    <row r="567" spans="1:10" x14ac:dyDescent="0.25">
      <c r="A567" s="3" t="s">
        <v>6266</v>
      </c>
      <c r="B567" s="3" t="s">
        <v>6267</v>
      </c>
      <c r="C567" s="1">
        <v>4</v>
      </c>
      <c r="D567" s="1">
        <v>330</v>
      </c>
      <c r="E567" s="1" t="s">
        <v>256</v>
      </c>
      <c r="F567" s="1" t="s">
        <v>6268</v>
      </c>
      <c r="G567" s="3" t="s">
        <v>6269</v>
      </c>
      <c r="H567" s="12" cm="1">
        <f t="array" ref="H567">_xlfn.IFS(I567&lt;197,I567*1.26,I567&gt;197,I567*1.17) + IF(I567&gt;1000,17,0)</f>
        <v>1566.0331999999999</v>
      </c>
      <c r="I567" s="10">
        <f>($K$2+0.02)*Tabla1[[#This Row],[PRECIO $]]*1.18</f>
        <v>1323.96</v>
      </c>
      <c r="J567" s="7">
        <f>+Tabla1[[#This Row],[PRECIO EN SOLES]]-Tabla1[[#This Row],[PC]]</f>
        <v>242.07319999999982</v>
      </c>
    </row>
    <row r="568" spans="1:10" x14ac:dyDescent="0.25">
      <c r="A568" s="3" t="s">
        <v>6270</v>
      </c>
      <c r="B568" s="3" t="s">
        <v>6271</v>
      </c>
      <c r="C568" s="1">
        <v>18</v>
      </c>
      <c r="D568" s="1">
        <v>190.6</v>
      </c>
      <c r="E568" s="1" t="s">
        <v>256</v>
      </c>
      <c r="F568" s="1" t="s">
        <v>6272</v>
      </c>
      <c r="G568" s="3" t="s">
        <v>6273</v>
      </c>
      <c r="H568" s="12" cm="1">
        <f t="array" ref="H568">_xlfn.IFS(I568&lt;197,I568*1.26,I568&gt;197,I568*1.17) + IF(I568&gt;1000,17,0)</f>
        <v>894.68402399999991</v>
      </c>
      <c r="I568" s="10">
        <f>($K$2+0.02)*Tabla1[[#This Row],[PRECIO $]]*1.18</f>
        <v>764.68719999999996</v>
      </c>
      <c r="J568" s="7">
        <f>+Tabla1[[#This Row],[PRECIO EN SOLES]]-Tabla1[[#This Row],[PC]]</f>
        <v>129.99682399999995</v>
      </c>
    </row>
    <row r="569" spans="1:10" x14ac:dyDescent="0.25">
      <c r="A569" s="3" t="s">
        <v>1729</v>
      </c>
      <c r="B569" s="3" t="s">
        <v>1730</v>
      </c>
      <c r="C569" s="1">
        <v>7</v>
      </c>
      <c r="D569" s="1">
        <v>216</v>
      </c>
      <c r="E569" s="1" t="s">
        <v>256</v>
      </c>
      <c r="F569" s="1" t="s">
        <v>4431</v>
      </c>
      <c r="G569" s="3" t="s">
        <v>1731</v>
      </c>
      <c r="H569" s="12" cm="1">
        <f t="array" ref="H569">_xlfn.IFS(I569&lt;197,I569*1.26,I569&gt;197,I569*1.17) + IF(I569&gt;1000,17,0)</f>
        <v>1013.9126399999998</v>
      </c>
      <c r="I569" s="10">
        <f>($K$2+0.02)*Tabla1[[#This Row],[PRECIO $]]*1.18</f>
        <v>866.59199999999987</v>
      </c>
      <c r="J569" s="7">
        <f>+Tabla1[[#This Row],[PRECIO EN SOLES]]-Tabla1[[#This Row],[PC]]</f>
        <v>147.32063999999991</v>
      </c>
    </row>
    <row r="570" spans="1:10" x14ac:dyDescent="0.25">
      <c r="A570" s="3" t="s">
        <v>6274</v>
      </c>
      <c r="B570" s="3" t="s">
        <v>6275</v>
      </c>
      <c r="C570" s="1">
        <v>16</v>
      </c>
      <c r="D570" s="1">
        <v>209.5</v>
      </c>
      <c r="E570" s="1" t="s">
        <v>256</v>
      </c>
      <c r="F570" s="1" t="s">
        <v>6276</v>
      </c>
      <c r="G570" s="3"/>
      <c r="H570" s="12" cm="1">
        <f t="array" ref="H570">_xlfn.IFS(I570&lt;197,I570*1.26,I570&gt;197,I570*1.17) + IF(I570&gt;1000,17,0)</f>
        <v>983.40137999999979</v>
      </c>
      <c r="I570" s="10">
        <f>($K$2+0.02)*Tabla1[[#This Row],[PRECIO $]]*1.18</f>
        <v>840.5139999999999</v>
      </c>
      <c r="J570" s="7">
        <f>+Tabla1[[#This Row],[PRECIO EN SOLES]]-Tabla1[[#This Row],[PC]]</f>
        <v>142.88737999999989</v>
      </c>
    </row>
    <row r="571" spans="1:10" x14ac:dyDescent="0.25">
      <c r="A571" s="3" t="s">
        <v>6277</v>
      </c>
      <c r="B571" s="3" t="s">
        <v>6275</v>
      </c>
      <c r="C571" s="1">
        <v>8</v>
      </c>
      <c r="D571" s="1">
        <v>212.5</v>
      </c>
      <c r="E571" s="1" t="s">
        <v>256</v>
      </c>
      <c r="F571" s="1" t="s">
        <v>6278</v>
      </c>
      <c r="G571" s="3"/>
      <c r="H571" s="12" cm="1">
        <f t="array" ref="H571">_xlfn.IFS(I571&lt;197,I571*1.26,I571&gt;197,I571*1.17) + IF(I571&gt;1000,17,0)</f>
        <v>997.48349999999994</v>
      </c>
      <c r="I571" s="10">
        <f>($K$2+0.02)*Tabla1[[#This Row],[PRECIO $]]*1.18</f>
        <v>852.55</v>
      </c>
      <c r="J571" s="7">
        <f>+Tabla1[[#This Row],[PRECIO EN SOLES]]-Tabla1[[#This Row],[PC]]</f>
        <v>144.93349999999998</v>
      </c>
    </row>
    <row r="572" spans="1:10" x14ac:dyDescent="0.25">
      <c r="A572" s="3" t="s">
        <v>1732</v>
      </c>
      <c r="B572" s="3" t="s">
        <v>1733</v>
      </c>
      <c r="C572" s="1">
        <v>16</v>
      </c>
      <c r="D572" s="1">
        <v>171.9</v>
      </c>
      <c r="E572" s="1" t="s">
        <v>133</v>
      </c>
      <c r="F572" s="1" t="s">
        <v>4432</v>
      </c>
      <c r="G572" s="3" t="s">
        <v>1734</v>
      </c>
      <c r="H572" s="12" cm="1">
        <f t="array" ref="H572">_xlfn.IFS(I572&lt;197,I572*1.26,I572&gt;197,I572*1.17) + IF(I572&gt;1000,17,0)</f>
        <v>806.90547600000002</v>
      </c>
      <c r="I572" s="10">
        <f>($K$2+0.02)*Tabla1[[#This Row],[PRECIO $]]*1.18</f>
        <v>689.66280000000006</v>
      </c>
      <c r="J572" s="7">
        <f>+Tabla1[[#This Row],[PRECIO EN SOLES]]-Tabla1[[#This Row],[PC]]</f>
        <v>117.24267599999996</v>
      </c>
    </row>
    <row r="573" spans="1:10" x14ac:dyDescent="0.25">
      <c r="A573" s="3" t="s">
        <v>1735</v>
      </c>
      <c r="B573" s="3" t="s">
        <v>1736</v>
      </c>
      <c r="C573" s="1">
        <v>11</v>
      </c>
      <c r="D573" s="1">
        <v>239</v>
      </c>
      <c r="E573" s="1" t="s">
        <v>133</v>
      </c>
      <c r="F573" s="1" t="s">
        <v>4433</v>
      </c>
      <c r="G573" s="3" t="s">
        <v>1737</v>
      </c>
      <c r="H573" s="12" cm="1">
        <f t="array" ref="H573">_xlfn.IFS(I573&lt;197,I573*1.26,I573&gt;197,I573*1.17) + IF(I573&gt;1000,17,0)</f>
        <v>1121.87556</v>
      </c>
      <c r="I573" s="10">
        <f>($K$2+0.02)*Tabla1[[#This Row],[PRECIO $]]*1.18</f>
        <v>958.86799999999994</v>
      </c>
      <c r="J573" s="7">
        <f>+Tabla1[[#This Row],[PRECIO EN SOLES]]-Tabla1[[#This Row],[PC]]</f>
        <v>163.00756000000001</v>
      </c>
    </row>
    <row r="574" spans="1:10" x14ac:dyDescent="0.25">
      <c r="A574" s="3" t="s">
        <v>1738</v>
      </c>
      <c r="B574" s="3" t="s">
        <v>1739</v>
      </c>
      <c r="C574" s="1">
        <v>2</v>
      </c>
      <c r="D574" s="1">
        <v>210.5</v>
      </c>
      <c r="E574" s="1" t="s">
        <v>133</v>
      </c>
      <c r="F574" s="1" t="s">
        <v>4434</v>
      </c>
      <c r="G574" s="3" t="s">
        <v>1740</v>
      </c>
      <c r="H574" s="12" cm="1">
        <f t="array" ref="H574">_xlfn.IFS(I574&lt;197,I574*1.26,I574&gt;197,I574*1.17) + IF(I574&gt;1000,17,0)</f>
        <v>988.09541999999976</v>
      </c>
      <c r="I574" s="10">
        <f>($K$2+0.02)*Tabla1[[#This Row],[PRECIO $]]*1.18</f>
        <v>844.52599999999984</v>
      </c>
      <c r="J574" s="7">
        <f>+Tabla1[[#This Row],[PRECIO EN SOLES]]-Tabla1[[#This Row],[PC]]</f>
        <v>143.56941999999992</v>
      </c>
    </row>
    <row r="575" spans="1:10" x14ac:dyDescent="0.25">
      <c r="A575" s="3" t="s">
        <v>1741</v>
      </c>
      <c r="B575" s="3" t="s">
        <v>1742</v>
      </c>
      <c r="C575" s="1">
        <v>20</v>
      </c>
      <c r="D575" s="1">
        <v>104.2</v>
      </c>
      <c r="E575" s="1" t="s">
        <v>133</v>
      </c>
      <c r="F575" s="1" t="s">
        <v>4435</v>
      </c>
      <c r="G575" s="3" t="s">
        <v>1743</v>
      </c>
      <c r="H575" s="12" cm="1">
        <f t="array" ref="H575">_xlfn.IFS(I575&lt;197,I575*1.26,I575&gt;197,I575*1.17) + IF(I575&gt;1000,17,0)</f>
        <v>489.11896799999994</v>
      </c>
      <c r="I575" s="10">
        <f>($K$2+0.02)*Tabla1[[#This Row],[PRECIO $]]*1.18</f>
        <v>418.05039999999997</v>
      </c>
      <c r="J575" s="7">
        <f>+Tabla1[[#This Row],[PRECIO EN SOLES]]-Tabla1[[#This Row],[PC]]</f>
        <v>71.068567999999971</v>
      </c>
    </row>
    <row r="576" spans="1:10" x14ac:dyDescent="0.25">
      <c r="A576" s="3" t="s">
        <v>1744</v>
      </c>
      <c r="B576" s="3" t="s">
        <v>1745</v>
      </c>
      <c r="C576" s="1">
        <v>13</v>
      </c>
      <c r="D576" s="1">
        <v>190.5</v>
      </c>
      <c r="E576" s="1" t="s">
        <v>133</v>
      </c>
      <c r="F576" s="1" t="s">
        <v>4436</v>
      </c>
      <c r="G576" s="3" t="s">
        <v>1746</v>
      </c>
      <c r="H576" s="12" cm="1">
        <f t="array" ref="H576">_xlfn.IFS(I576&lt;197,I576*1.26,I576&gt;197,I576*1.17) + IF(I576&gt;1000,17,0)</f>
        <v>894.21461999999974</v>
      </c>
      <c r="I576" s="10">
        <f>($K$2+0.02)*Tabla1[[#This Row],[PRECIO $]]*1.18</f>
        <v>764.28599999999983</v>
      </c>
      <c r="J576" s="7">
        <f>+Tabla1[[#This Row],[PRECIO EN SOLES]]-Tabla1[[#This Row],[PC]]</f>
        <v>129.92861999999991</v>
      </c>
    </row>
    <row r="577" spans="1:10" x14ac:dyDescent="0.25">
      <c r="A577" s="3" t="s">
        <v>1747</v>
      </c>
      <c r="B577" s="3" t="s">
        <v>1748</v>
      </c>
      <c r="C577" s="1">
        <v>6</v>
      </c>
      <c r="D577" s="1">
        <v>222.5</v>
      </c>
      <c r="E577" s="1" t="s">
        <v>133</v>
      </c>
      <c r="F577" s="1" t="s">
        <v>4437</v>
      </c>
      <c r="G577" s="3" t="s">
        <v>1749</v>
      </c>
      <c r="H577" s="12" cm="1">
        <f t="array" ref="H577">_xlfn.IFS(I577&lt;197,I577*1.26,I577&gt;197,I577*1.17) + IF(I577&gt;1000,17,0)</f>
        <v>1044.4238999999998</v>
      </c>
      <c r="I577" s="10">
        <f>($K$2+0.02)*Tabla1[[#This Row],[PRECIO $]]*1.18</f>
        <v>892.67</v>
      </c>
      <c r="J577" s="7">
        <f>+Tabla1[[#This Row],[PRECIO EN SOLES]]-Tabla1[[#This Row],[PC]]</f>
        <v>151.75389999999982</v>
      </c>
    </row>
    <row r="578" spans="1:10" x14ac:dyDescent="0.25">
      <c r="A578" s="3" t="s">
        <v>1750</v>
      </c>
      <c r="B578" s="3" t="s">
        <v>1751</v>
      </c>
      <c r="C578" s="1">
        <v>2</v>
      </c>
      <c r="D578" s="1">
        <v>230.5</v>
      </c>
      <c r="E578" s="1" t="s">
        <v>133</v>
      </c>
      <c r="F578" s="1" t="s">
        <v>4438</v>
      </c>
      <c r="G578" s="3" t="s">
        <v>1752</v>
      </c>
      <c r="H578" s="12" cm="1">
        <f t="array" ref="H578">_xlfn.IFS(I578&lt;197,I578*1.26,I578&gt;197,I578*1.17) + IF(I578&gt;1000,17,0)</f>
        <v>1081.9762199999998</v>
      </c>
      <c r="I578" s="10">
        <f>($K$2+0.02)*Tabla1[[#This Row],[PRECIO $]]*1.18</f>
        <v>924.76599999999985</v>
      </c>
      <c r="J578" s="7">
        <f>+Tabla1[[#This Row],[PRECIO EN SOLES]]-Tabla1[[#This Row],[PC]]</f>
        <v>157.21021999999994</v>
      </c>
    </row>
    <row r="579" spans="1:10" x14ac:dyDescent="0.25">
      <c r="A579" s="3" t="s">
        <v>3789</v>
      </c>
      <c r="B579" s="3" t="s">
        <v>3790</v>
      </c>
      <c r="C579" s="1">
        <v>19</v>
      </c>
      <c r="D579" s="1">
        <v>256.64999999999998</v>
      </c>
      <c r="E579" s="1" t="s">
        <v>133</v>
      </c>
      <c r="F579" s="1" t="s">
        <v>4439</v>
      </c>
      <c r="G579" s="3" t="s">
        <v>3791</v>
      </c>
      <c r="H579" s="12" cm="1">
        <f t="array" ref="H579">_xlfn.IFS(I579&lt;197,I579*1.26,I579&gt;197,I579*1.17) + IF(I579&gt;1000,17,0)</f>
        <v>1221.7253659999999</v>
      </c>
      <c r="I579" s="10">
        <f>($K$2+0.02)*Tabla1[[#This Row],[PRECIO $]]*1.18</f>
        <v>1029.6797999999999</v>
      </c>
      <c r="J579" s="7">
        <f>+Tabla1[[#This Row],[PRECIO EN SOLES]]-Tabla1[[#This Row],[PC]]</f>
        <v>192.04556600000001</v>
      </c>
    </row>
    <row r="580" spans="1:10" x14ac:dyDescent="0.25">
      <c r="A580" s="3" t="s">
        <v>3792</v>
      </c>
      <c r="B580" s="3" t="s">
        <v>3793</v>
      </c>
      <c r="C580" s="1">
        <v>20</v>
      </c>
      <c r="D580" s="1">
        <v>231.5</v>
      </c>
      <c r="E580" s="1" t="s">
        <v>133</v>
      </c>
      <c r="F580" s="1" t="s">
        <v>4440</v>
      </c>
      <c r="G580" s="3" t="s">
        <v>3791</v>
      </c>
      <c r="H580" s="12" cm="1">
        <f t="array" ref="H580">_xlfn.IFS(I580&lt;197,I580*1.26,I580&gt;197,I580*1.17) + IF(I580&gt;1000,17,0)</f>
        <v>1086.6702599999999</v>
      </c>
      <c r="I580" s="10">
        <f>($K$2+0.02)*Tabla1[[#This Row],[PRECIO $]]*1.18</f>
        <v>928.77800000000002</v>
      </c>
      <c r="J580" s="7">
        <f>+Tabla1[[#This Row],[PRECIO EN SOLES]]-Tabla1[[#This Row],[PC]]</f>
        <v>157.89225999999985</v>
      </c>
    </row>
    <row r="581" spans="1:10" x14ac:dyDescent="0.25">
      <c r="A581" s="3" t="s">
        <v>1753</v>
      </c>
      <c r="B581" s="3" t="s">
        <v>1754</v>
      </c>
      <c r="C581" s="1">
        <v>5</v>
      </c>
      <c r="D581" s="1">
        <v>250.5</v>
      </c>
      <c r="E581" s="1" t="s">
        <v>133</v>
      </c>
      <c r="F581" s="1" t="s">
        <v>4441</v>
      </c>
      <c r="G581" s="3" t="s">
        <v>1755</v>
      </c>
      <c r="H581" s="12" cm="1">
        <f t="array" ref="H581">_xlfn.IFS(I581&lt;197,I581*1.26,I581&gt;197,I581*1.17) + IF(I581&gt;1000,17,0)</f>
        <v>1192.8570199999997</v>
      </c>
      <c r="I581" s="10">
        <f>($K$2+0.02)*Tabla1[[#This Row],[PRECIO $]]*1.18</f>
        <v>1005.0059999999999</v>
      </c>
      <c r="J581" s="7">
        <f>+Tabla1[[#This Row],[PRECIO EN SOLES]]-Tabla1[[#This Row],[PC]]</f>
        <v>187.85101999999983</v>
      </c>
    </row>
    <row r="582" spans="1:10" x14ac:dyDescent="0.25">
      <c r="A582" s="3" t="s">
        <v>1756</v>
      </c>
      <c r="B582" s="3" t="s">
        <v>1757</v>
      </c>
      <c r="C582" s="1">
        <v>1</v>
      </c>
      <c r="D582" s="1">
        <v>525</v>
      </c>
      <c r="E582" s="1" t="s">
        <v>1104</v>
      </c>
      <c r="F582" s="1" t="s">
        <v>4442</v>
      </c>
      <c r="G582" s="3" t="s">
        <v>1758</v>
      </c>
      <c r="H582" s="12" cm="1">
        <f t="array" ref="H582">_xlfn.IFS(I582&lt;197,I582*1.26,I582&gt;197,I582*1.17) + IF(I582&gt;1000,17,0)</f>
        <v>2481.3709999999996</v>
      </c>
      <c r="I582" s="10">
        <f>($K$2+0.02)*Tabla1[[#This Row],[PRECIO $]]*1.18</f>
        <v>2106.2999999999997</v>
      </c>
      <c r="J582" s="7">
        <f>+Tabla1[[#This Row],[PRECIO EN SOLES]]-Tabla1[[#This Row],[PC]]</f>
        <v>375.07099999999991</v>
      </c>
    </row>
    <row r="583" spans="1:10" x14ac:dyDescent="0.25">
      <c r="A583" s="3" t="s">
        <v>1759</v>
      </c>
      <c r="B583" s="3" t="s">
        <v>1760</v>
      </c>
      <c r="C583" s="1">
        <v>17</v>
      </c>
      <c r="D583" s="1">
        <v>44.1</v>
      </c>
      <c r="E583" s="1" t="s">
        <v>226</v>
      </c>
      <c r="F583" s="1" t="s">
        <v>4443</v>
      </c>
      <c r="G583" s="3" t="s">
        <v>1761</v>
      </c>
      <c r="H583" s="12" cm="1">
        <f t="array" ref="H583">_xlfn.IFS(I583&lt;197,I583*1.26,I583&gt;197,I583*1.17) + IF(I583&gt;1000,17,0)</f>
        <v>222.93079199999997</v>
      </c>
      <c r="I583" s="10">
        <f>($K$2+0.02)*Tabla1[[#This Row],[PRECIO $]]*1.18</f>
        <v>176.92919999999998</v>
      </c>
      <c r="J583" s="7">
        <f>+Tabla1[[#This Row],[PRECIO EN SOLES]]-Tabla1[[#This Row],[PC]]</f>
        <v>46.001591999999988</v>
      </c>
    </row>
    <row r="584" spans="1:10" x14ac:dyDescent="0.25">
      <c r="A584" s="3" t="s">
        <v>3507</v>
      </c>
      <c r="B584" s="3" t="s">
        <v>3508</v>
      </c>
      <c r="C584" s="1">
        <v>20</v>
      </c>
      <c r="D584" s="1">
        <v>97.5</v>
      </c>
      <c r="E584" s="1" t="s">
        <v>993</v>
      </c>
      <c r="F584" s="1" t="s">
        <v>4444</v>
      </c>
      <c r="G584" s="3" t="s">
        <v>3529</v>
      </c>
      <c r="H584" s="12" cm="1">
        <f t="array" ref="H584">_xlfn.IFS(I584&lt;197,I584*1.26,I584&gt;197,I584*1.17) + IF(I584&gt;1000,17,0)</f>
        <v>457.66889999999995</v>
      </c>
      <c r="I584" s="10">
        <f>($K$2+0.02)*Tabla1[[#This Row],[PRECIO $]]*1.18</f>
        <v>391.16999999999996</v>
      </c>
      <c r="J584" s="7">
        <f>+Tabla1[[#This Row],[PRECIO EN SOLES]]-Tabla1[[#This Row],[PC]]</f>
        <v>66.498899999999992</v>
      </c>
    </row>
    <row r="585" spans="1:10" x14ac:dyDescent="0.25">
      <c r="A585" s="3" t="s">
        <v>1762</v>
      </c>
      <c r="B585" s="3" t="s">
        <v>1763</v>
      </c>
      <c r="C585" s="1">
        <v>8</v>
      </c>
      <c r="D585" s="1">
        <v>121.7</v>
      </c>
      <c r="E585" s="1" t="s">
        <v>226</v>
      </c>
      <c r="F585" s="1" t="s">
        <v>4445</v>
      </c>
      <c r="G585" s="3" t="s">
        <v>1764</v>
      </c>
      <c r="H585" s="12" cm="1">
        <f t="array" ref="H585">_xlfn.IFS(I585&lt;197,I585*1.26,I585&gt;197,I585*1.17) + IF(I585&gt;1000,17,0)</f>
        <v>571.26466799999992</v>
      </c>
      <c r="I585" s="10">
        <f>($K$2+0.02)*Tabla1[[#This Row],[PRECIO $]]*1.18</f>
        <v>488.26039999999995</v>
      </c>
      <c r="J585" s="7">
        <f>+Tabla1[[#This Row],[PRECIO EN SOLES]]-Tabla1[[#This Row],[PC]]</f>
        <v>83.004267999999968</v>
      </c>
    </row>
    <row r="586" spans="1:10" x14ac:dyDescent="0.25">
      <c r="A586" s="3" t="s">
        <v>3601</v>
      </c>
      <c r="B586" s="3" t="s">
        <v>1763</v>
      </c>
      <c r="C586" s="1">
        <v>20</v>
      </c>
      <c r="D586" s="1">
        <v>121.7</v>
      </c>
      <c r="E586" s="1" t="s">
        <v>226</v>
      </c>
      <c r="F586" s="1" t="s">
        <v>4446</v>
      </c>
      <c r="G586" s="3" t="s">
        <v>1764</v>
      </c>
      <c r="H586" s="12" cm="1">
        <f t="array" ref="H586">_xlfn.IFS(I586&lt;197,I586*1.26,I586&gt;197,I586*1.17) + IF(I586&gt;1000,17,0)</f>
        <v>571.26466799999992</v>
      </c>
      <c r="I586" s="10">
        <f>($K$2+0.02)*Tabla1[[#This Row],[PRECIO $]]*1.18</f>
        <v>488.26039999999995</v>
      </c>
      <c r="J586" s="7">
        <f>+Tabla1[[#This Row],[PRECIO EN SOLES]]-Tabla1[[#This Row],[PC]]</f>
        <v>83.004267999999968</v>
      </c>
    </row>
    <row r="587" spans="1:10" x14ac:dyDescent="0.25">
      <c r="A587" s="3" t="s">
        <v>1765</v>
      </c>
      <c r="B587" s="3" t="s">
        <v>1766</v>
      </c>
      <c r="C587" s="1">
        <v>20</v>
      </c>
      <c r="D587" s="1">
        <v>125.7</v>
      </c>
      <c r="E587" s="1" t="s">
        <v>226</v>
      </c>
      <c r="F587" s="1" t="s">
        <v>4447</v>
      </c>
      <c r="G587" s="3" t="s">
        <v>1767</v>
      </c>
      <c r="H587" s="12" cm="1">
        <f t="array" ref="H587">_xlfn.IFS(I587&lt;197,I587*1.26,I587&gt;197,I587*1.17) + IF(I587&gt;1000,17,0)</f>
        <v>590.04082799999992</v>
      </c>
      <c r="I587" s="10">
        <f>($K$2+0.02)*Tabla1[[#This Row],[PRECIO $]]*1.18</f>
        <v>504.30839999999995</v>
      </c>
      <c r="J587" s="7">
        <f>+Tabla1[[#This Row],[PRECIO EN SOLES]]-Tabla1[[#This Row],[PC]]</f>
        <v>85.73242799999997</v>
      </c>
    </row>
    <row r="588" spans="1:10" x14ac:dyDescent="0.25">
      <c r="A588" s="3" t="s">
        <v>1768</v>
      </c>
      <c r="B588" s="3" t="s">
        <v>1769</v>
      </c>
      <c r="C588" s="1">
        <v>20</v>
      </c>
      <c r="D588" s="1">
        <v>150.19999999999999</v>
      </c>
      <c r="E588" s="1" t="s">
        <v>226</v>
      </c>
      <c r="F588" s="1" t="s">
        <v>4448</v>
      </c>
      <c r="G588" s="3" t="s">
        <v>1770</v>
      </c>
      <c r="H588" s="12" cm="1">
        <f t="array" ref="H588">_xlfn.IFS(I588&lt;197,I588*1.26,I588&gt;197,I588*1.17) + IF(I588&gt;1000,17,0)</f>
        <v>705.04480799999976</v>
      </c>
      <c r="I588" s="10">
        <f>($K$2+0.02)*Tabla1[[#This Row],[PRECIO $]]*1.18</f>
        <v>602.60239999999988</v>
      </c>
      <c r="J588" s="7">
        <f>+Tabla1[[#This Row],[PRECIO EN SOLES]]-Tabla1[[#This Row],[PC]]</f>
        <v>102.44240799999989</v>
      </c>
    </row>
    <row r="589" spans="1:10" x14ac:dyDescent="0.25">
      <c r="A589" s="3" t="s">
        <v>1771</v>
      </c>
      <c r="B589" s="3" t="s">
        <v>1772</v>
      </c>
      <c r="C589" s="1">
        <v>20</v>
      </c>
      <c r="D589" s="1">
        <v>121.33</v>
      </c>
      <c r="E589" s="1" t="s">
        <v>226</v>
      </c>
      <c r="F589" s="1" t="s">
        <v>4449</v>
      </c>
      <c r="G589" s="3" t="s">
        <v>1764</v>
      </c>
      <c r="H589" s="12" cm="1">
        <f t="array" ref="H589">_xlfn.IFS(I589&lt;197,I589*1.26,I589&gt;197,I589*1.17) + IF(I589&gt;1000,17,0)</f>
        <v>569.52787319999993</v>
      </c>
      <c r="I589" s="10">
        <f>($K$2+0.02)*Tabla1[[#This Row],[PRECIO $]]*1.18</f>
        <v>486.77595999999994</v>
      </c>
      <c r="J589" s="7">
        <f>+Tabla1[[#This Row],[PRECIO EN SOLES]]-Tabla1[[#This Row],[PC]]</f>
        <v>82.75191319999999</v>
      </c>
    </row>
    <row r="590" spans="1:10" x14ac:dyDescent="0.25">
      <c r="A590" s="3" t="s">
        <v>6076</v>
      </c>
      <c r="B590" s="3" t="s">
        <v>6077</v>
      </c>
      <c r="C590" s="1">
        <v>20</v>
      </c>
      <c r="D590" s="1">
        <v>119.5</v>
      </c>
      <c r="E590" s="1" t="s">
        <v>52</v>
      </c>
      <c r="F590" s="1" t="s">
        <v>6078</v>
      </c>
      <c r="G590" s="3"/>
      <c r="H590" s="12" cm="1">
        <f t="array" ref="H590">_xlfn.IFS(I590&lt;197,I590*1.26,I590&gt;197,I590*1.17) + IF(I590&gt;1000,17,0)</f>
        <v>560.93777999999998</v>
      </c>
      <c r="I590" s="10">
        <f>($K$2+0.02)*Tabla1[[#This Row],[PRECIO $]]*1.18</f>
        <v>479.43399999999997</v>
      </c>
      <c r="J590" s="7">
        <f>+Tabla1[[#This Row],[PRECIO EN SOLES]]-Tabla1[[#This Row],[PC]]</f>
        <v>81.503780000000006</v>
      </c>
    </row>
    <row r="591" spans="1:10" x14ac:dyDescent="0.25">
      <c r="A591" s="3" t="s">
        <v>1773</v>
      </c>
      <c r="B591" s="3" t="s">
        <v>1774</v>
      </c>
      <c r="C591" s="1">
        <v>20</v>
      </c>
      <c r="D591" s="1">
        <v>239</v>
      </c>
      <c r="E591" s="1" t="s">
        <v>226</v>
      </c>
      <c r="F591" s="1" t="s">
        <v>4450</v>
      </c>
      <c r="G591" s="3" t="s">
        <v>1775</v>
      </c>
      <c r="H591" s="12" cm="1">
        <f t="array" ref="H591">_xlfn.IFS(I591&lt;197,I591*1.26,I591&gt;197,I591*1.17) + IF(I591&gt;1000,17,0)</f>
        <v>1121.87556</v>
      </c>
      <c r="I591" s="10">
        <f>($K$2+0.02)*Tabla1[[#This Row],[PRECIO $]]*1.18</f>
        <v>958.86799999999994</v>
      </c>
      <c r="J591" s="7">
        <f>+Tabla1[[#This Row],[PRECIO EN SOLES]]-Tabla1[[#This Row],[PC]]</f>
        <v>163.00756000000001</v>
      </c>
    </row>
    <row r="592" spans="1:10" x14ac:dyDescent="0.25">
      <c r="A592" s="3" t="s">
        <v>1776</v>
      </c>
      <c r="B592" s="3" t="s">
        <v>1777</v>
      </c>
      <c r="C592" s="1">
        <v>20</v>
      </c>
      <c r="D592" s="1">
        <v>77.3</v>
      </c>
      <c r="E592" s="1" t="s">
        <v>226</v>
      </c>
      <c r="F592" s="1" t="s">
        <v>4451</v>
      </c>
      <c r="G592" s="3" t="s">
        <v>1778</v>
      </c>
      <c r="H592" s="12" cm="1">
        <f t="array" ref="H592">_xlfn.IFS(I592&lt;197,I592*1.26,I592&gt;197,I592*1.17) + IF(I592&gt;1000,17,0)</f>
        <v>362.84929199999993</v>
      </c>
      <c r="I592" s="10">
        <f>($K$2+0.02)*Tabla1[[#This Row],[PRECIO $]]*1.18</f>
        <v>310.12759999999997</v>
      </c>
      <c r="J592" s="7">
        <f>+Tabla1[[#This Row],[PRECIO EN SOLES]]-Tabla1[[#This Row],[PC]]</f>
        <v>52.721691999999962</v>
      </c>
    </row>
    <row r="593" spans="1:10" x14ac:dyDescent="0.25">
      <c r="A593" s="3" t="s">
        <v>6079</v>
      </c>
      <c r="B593" s="3" t="s">
        <v>6080</v>
      </c>
      <c r="C593" s="1">
        <v>2</v>
      </c>
      <c r="D593" s="1">
        <v>77.3</v>
      </c>
      <c r="E593" s="1" t="s">
        <v>226</v>
      </c>
      <c r="F593" s="1" t="s">
        <v>6081</v>
      </c>
      <c r="G593" s="3" t="s">
        <v>6082</v>
      </c>
      <c r="H593" s="12" cm="1">
        <f t="array" ref="H593">_xlfn.IFS(I593&lt;197,I593*1.26,I593&gt;197,I593*1.17) + IF(I593&gt;1000,17,0)</f>
        <v>362.84929199999993</v>
      </c>
      <c r="I593" s="10">
        <f>($K$2+0.02)*Tabla1[[#This Row],[PRECIO $]]*1.18</f>
        <v>310.12759999999997</v>
      </c>
      <c r="J593" s="7">
        <f>+Tabla1[[#This Row],[PRECIO EN SOLES]]-Tabla1[[#This Row],[PC]]</f>
        <v>52.721691999999962</v>
      </c>
    </row>
    <row r="594" spans="1:10" x14ac:dyDescent="0.25">
      <c r="A594" s="3" t="s">
        <v>6083</v>
      </c>
      <c r="B594" s="3" t="s">
        <v>6084</v>
      </c>
      <c r="C594" s="1">
        <v>20</v>
      </c>
      <c r="D594" s="1">
        <v>73.3</v>
      </c>
      <c r="E594" s="1" t="s">
        <v>52</v>
      </c>
      <c r="F594" s="1" t="s">
        <v>6085</v>
      </c>
      <c r="G594" s="3"/>
      <c r="H594" s="12" cm="1">
        <f t="array" ref="H594">_xlfn.IFS(I594&lt;197,I594*1.26,I594&gt;197,I594*1.17) + IF(I594&gt;1000,17,0)</f>
        <v>344.07313199999993</v>
      </c>
      <c r="I594" s="10">
        <f>($K$2+0.02)*Tabla1[[#This Row],[PRECIO $]]*1.18</f>
        <v>294.07959999999997</v>
      </c>
      <c r="J594" s="7">
        <f>+Tabla1[[#This Row],[PRECIO EN SOLES]]-Tabla1[[#This Row],[PC]]</f>
        <v>49.993531999999959</v>
      </c>
    </row>
    <row r="595" spans="1:10" x14ac:dyDescent="0.25">
      <c r="A595" s="3" t="s">
        <v>720</v>
      </c>
      <c r="B595" s="3" t="s">
        <v>721</v>
      </c>
      <c r="C595" s="1">
        <v>20</v>
      </c>
      <c r="D595" s="1">
        <v>124.7</v>
      </c>
      <c r="E595" s="1" t="s">
        <v>547</v>
      </c>
      <c r="F595" s="1" t="s">
        <v>4452</v>
      </c>
      <c r="G595" s="3" t="s">
        <v>722</v>
      </c>
      <c r="H595" s="12" cm="1">
        <f t="array" ref="H595">_xlfn.IFS(I595&lt;197,I595*1.26,I595&gt;197,I595*1.17) + IF(I595&gt;1000,17,0)</f>
        <v>585.34678799999995</v>
      </c>
      <c r="I595" s="10">
        <f>($K$2+0.02)*Tabla1[[#This Row],[PRECIO $]]*1.18</f>
        <v>500.29640000000001</v>
      </c>
      <c r="J595" s="7">
        <f>+Tabla1[[#This Row],[PRECIO EN SOLES]]-Tabla1[[#This Row],[PC]]</f>
        <v>85.050387999999941</v>
      </c>
    </row>
    <row r="596" spans="1:10" x14ac:dyDescent="0.25">
      <c r="A596" s="3" t="s">
        <v>1779</v>
      </c>
      <c r="B596" s="3" t="s">
        <v>721</v>
      </c>
      <c r="C596" s="1">
        <v>20</v>
      </c>
      <c r="D596" s="1">
        <v>124.7</v>
      </c>
      <c r="E596" s="1" t="s">
        <v>547</v>
      </c>
      <c r="F596" s="1" t="s">
        <v>4453</v>
      </c>
      <c r="G596" s="3" t="s">
        <v>1780</v>
      </c>
      <c r="H596" s="12" cm="1">
        <f t="array" ref="H596">_xlfn.IFS(I596&lt;197,I596*1.26,I596&gt;197,I596*1.17) + IF(I596&gt;1000,17,0)</f>
        <v>585.34678799999995</v>
      </c>
      <c r="I596" s="10">
        <f>($K$2+0.02)*Tabla1[[#This Row],[PRECIO $]]*1.18</f>
        <v>500.29640000000001</v>
      </c>
      <c r="J596" s="7">
        <f>+Tabla1[[#This Row],[PRECIO EN SOLES]]-Tabla1[[#This Row],[PC]]</f>
        <v>85.050387999999941</v>
      </c>
    </row>
    <row r="597" spans="1:10" x14ac:dyDescent="0.25">
      <c r="A597" s="3" t="s">
        <v>3602</v>
      </c>
      <c r="B597" s="3" t="s">
        <v>3603</v>
      </c>
      <c r="C597" s="1">
        <v>20</v>
      </c>
      <c r="D597" s="1">
        <v>184.24</v>
      </c>
      <c r="E597" s="1" t="s">
        <v>226</v>
      </c>
      <c r="F597" s="1" t="s">
        <v>4454</v>
      </c>
      <c r="G597" s="3" t="s">
        <v>3604</v>
      </c>
      <c r="H597" s="12" cm="1">
        <f t="array" ref="H597">_xlfn.IFS(I597&lt;197,I597*1.26,I597&gt;197,I597*1.17) + IF(I597&gt;1000,17,0)</f>
        <v>864.82992960000001</v>
      </c>
      <c r="I597" s="10">
        <f>($K$2+0.02)*Tabla1[[#This Row],[PRECIO $]]*1.18</f>
        <v>739.17088000000001</v>
      </c>
      <c r="J597" s="7">
        <f>+Tabla1[[#This Row],[PRECIO EN SOLES]]-Tabla1[[#This Row],[PC]]</f>
        <v>125.6590496</v>
      </c>
    </row>
    <row r="598" spans="1:10" x14ac:dyDescent="0.25">
      <c r="A598" s="3" t="s">
        <v>3605</v>
      </c>
      <c r="B598" s="3" t="s">
        <v>3606</v>
      </c>
      <c r="C598" s="1">
        <v>20</v>
      </c>
      <c r="D598" s="1">
        <v>226.93</v>
      </c>
      <c r="E598" s="1" t="s">
        <v>226</v>
      </c>
      <c r="F598" s="1" t="s">
        <v>4455</v>
      </c>
      <c r="G598" s="3" t="s">
        <v>3607</v>
      </c>
      <c r="H598" s="12" cm="1">
        <f t="array" ref="H598">_xlfn.IFS(I598&lt;197,I598*1.26,I598&gt;197,I598*1.17) + IF(I598&gt;1000,17,0)</f>
        <v>1065.2184971999998</v>
      </c>
      <c r="I598" s="10">
        <f>($K$2+0.02)*Tabla1[[#This Row],[PRECIO $]]*1.18</f>
        <v>910.44315999999992</v>
      </c>
      <c r="J598" s="7">
        <f>+Tabla1[[#This Row],[PRECIO EN SOLES]]-Tabla1[[#This Row],[PC]]</f>
        <v>154.77533719999985</v>
      </c>
    </row>
    <row r="599" spans="1:10" x14ac:dyDescent="0.25">
      <c r="A599" s="3" t="s">
        <v>1781</v>
      </c>
      <c r="B599" s="3" t="s">
        <v>1782</v>
      </c>
      <c r="C599" s="1">
        <v>14</v>
      </c>
      <c r="D599" s="1">
        <v>211</v>
      </c>
      <c r="E599" s="1" t="s">
        <v>547</v>
      </c>
      <c r="F599" s="1" t="s">
        <v>4456</v>
      </c>
      <c r="G599" s="3" t="s">
        <v>1783</v>
      </c>
      <c r="H599" s="12" cm="1">
        <f t="array" ref="H599">_xlfn.IFS(I599&lt;197,I599*1.26,I599&gt;197,I599*1.17) + IF(I599&gt;1000,17,0)</f>
        <v>990.44243999999981</v>
      </c>
      <c r="I599" s="10">
        <f>($K$2+0.02)*Tabla1[[#This Row],[PRECIO $]]*1.18</f>
        <v>846.53199999999993</v>
      </c>
      <c r="J599" s="7">
        <f>+Tabla1[[#This Row],[PRECIO EN SOLES]]-Tabla1[[#This Row],[PC]]</f>
        <v>143.91043999999988</v>
      </c>
    </row>
    <row r="600" spans="1:10" x14ac:dyDescent="0.25">
      <c r="A600" s="3" t="s">
        <v>3608</v>
      </c>
      <c r="B600" s="3" t="s">
        <v>3609</v>
      </c>
      <c r="C600" s="1">
        <v>16</v>
      </c>
      <c r="D600" s="1">
        <v>342</v>
      </c>
      <c r="E600" s="1" t="s">
        <v>226</v>
      </c>
      <c r="F600" s="1" t="s">
        <v>4457</v>
      </c>
      <c r="G600" s="3" t="s">
        <v>3610</v>
      </c>
      <c r="H600" s="12" cm="1">
        <f t="array" ref="H600">_xlfn.IFS(I600&lt;197,I600*1.26,I600&gt;197,I600*1.17) + IF(I600&gt;1000,17,0)</f>
        <v>1622.3616799999998</v>
      </c>
      <c r="I600" s="10">
        <f>($K$2+0.02)*Tabla1[[#This Row],[PRECIO $]]*1.18</f>
        <v>1372.1039999999998</v>
      </c>
      <c r="J600" s="7">
        <f>+Tabla1[[#This Row],[PRECIO EN SOLES]]-Tabla1[[#This Row],[PC]]</f>
        <v>250.25767999999994</v>
      </c>
    </row>
    <row r="601" spans="1:10" x14ac:dyDescent="0.25">
      <c r="A601" s="3" t="s">
        <v>1784</v>
      </c>
      <c r="B601" s="3" t="s">
        <v>1785</v>
      </c>
      <c r="C601" s="1">
        <v>20</v>
      </c>
      <c r="D601" s="1">
        <v>116.5</v>
      </c>
      <c r="E601" s="1" t="s">
        <v>226</v>
      </c>
      <c r="F601" s="1" t="s">
        <v>4458</v>
      </c>
      <c r="G601" s="3" t="s">
        <v>1786</v>
      </c>
      <c r="H601" s="12" cm="1">
        <f t="array" ref="H601">_xlfn.IFS(I601&lt;197,I601*1.26,I601&gt;197,I601*1.17) + IF(I601&gt;1000,17,0)</f>
        <v>546.85565999999983</v>
      </c>
      <c r="I601" s="10">
        <f>($K$2+0.02)*Tabla1[[#This Row],[PRECIO $]]*1.18</f>
        <v>467.39799999999991</v>
      </c>
      <c r="J601" s="7">
        <f>+Tabla1[[#This Row],[PRECIO EN SOLES]]-Tabla1[[#This Row],[PC]]</f>
        <v>79.457659999999919</v>
      </c>
    </row>
    <row r="602" spans="1:10" x14ac:dyDescent="0.25">
      <c r="A602" s="3" t="s">
        <v>1787</v>
      </c>
      <c r="B602" s="3" t="s">
        <v>1788</v>
      </c>
      <c r="C602" s="1">
        <v>0</v>
      </c>
      <c r="D602" s="1">
        <v>208</v>
      </c>
      <c r="E602" s="1" t="s">
        <v>226</v>
      </c>
      <c r="F602" s="1" t="s">
        <v>4459</v>
      </c>
      <c r="G602" s="3" t="s">
        <v>1789</v>
      </c>
      <c r="H602" s="12" cm="1">
        <f t="array" ref="H602">_xlfn.IFS(I602&lt;197,I602*1.26,I602&gt;197,I602*1.17) + IF(I602&gt;1000,17,0)</f>
        <v>976.36031999999977</v>
      </c>
      <c r="I602" s="10">
        <f>($K$2+0.02)*Tabla1[[#This Row],[PRECIO $]]*1.18</f>
        <v>834.49599999999987</v>
      </c>
      <c r="J602" s="7">
        <f>+Tabla1[[#This Row],[PRECIO EN SOLES]]-Tabla1[[#This Row],[PC]]</f>
        <v>141.86431999999991</v>
      </c>
    </row>
    <row r="603" spans="1:10" x14ac:dyDescent="0.25">
      <c r="A603" s="3" t="s">
        <v>1790</v>
      </c>
      <c r="B603" s="3" t="s">
        <v>1791</v>
      </c>
      <c r="C603" s="1">
        <v>11</v>
      </c>
      <c r="D603" s="1">
        <v>215</v>
      </c>
      <c r="E603" s="1" t="s">
        <v>226</v>
      </c>
      <c r="F603" s="1" t="s">
        <v>4460</v>
      </c>
      <c r="G603" s="3" t="s">
        <v>1792</v>
      </c>
      <c r="H603" s="12" cm="1">
        <f t="array" ref="H603">_xlfn.IFS(I603&lt;197,I603*1.26,I603&gt;197,I603*1.17) + IF(I603&gt;1000,17,0)</f>
        <v>1009.2185999999998</v>
      </c>
      <c r="I603" s="10">
        <f>($K$2+0.02)*Tabla1[[#This Row],[PRECIO $]]*1.18</f>
        <v>862.57999999999993</v>
      </c>
      <c r="J603" s="7">
        <f>+Tabla1[[#This Row],[PRECIO EN SOLES]]-Tabla1[[#This Row],[PC]]</f>
        <v>146.63859999999988</v>
      </c>
    </row>
    <row r="604" spans="1:10" x14ac:dyDescent="0.25">
      <c r="A604" s="3" t="s">
        <v>1793</v>
      </c>
      <c r="B604" s="3" t="s">
        <v>1794</v>
      </c>
      <c r="C604" s="1">
        <v>11</v>
      </c>
      <c r="D604" s="1">
        <v>217.1</v>
      </c>
      <c r="E604" s="1" t="s">
        <v>226</v>
      </c>
      <c r="F604" s="1" t="s">
        <v>4461</v>
      </c>
      <c r="G604" s="3" t="s">
        <v>1795</v>
      </c>
      <c r="H604" s="12" cm="1">
        <f t="array" ref="H604">_xlfn.IFS(I604&lt;197,I604*1.26,I604&gt;197,I604*1.17) + IF(I604&gt;1000,17,0)</f>
        <v>1019.0760839999999</v>
      </c>
      <c r="I604" s="10">
        <f>($K$2+0.02)*Tabla1[[#This Row],[PRECIO $]]*1.18</f>
        <v>871.00519999999995</v>
      </c>
      <c r="J604" s="7">
        <f>+Tabla1[[#This Row],[PRECIO EN SOLES]]-Tabla1[[#This Row],[PC]]</f>
        <v>148.07088399999998</v>
      </c>
    </row>
    <row r="605" spans="1:10" x14ac:dyDescent="0.25">
      <c r="A605" s="3" t="s">
        <v>6008</v>
      </c>
      <c r="B605" s="3" t="s">
        <v>6009</v>
      </c>
      <c r="C605" s="1">
        <v>20</v>
      </c>
      <c r="D605" s="1">
        <v>205.15</v>
      </c>
      <c r="E605" s="1" t="s">
        <v>1865</v>
      </c>
      <c r="F605" s="1" t="s">
        <v>6010</v>
      </c>
      <c r="G605" s="3"/>
      <c r="H605" s="12" cm="1">
        <f t="array" ref="H605">_xlfn.IFS(I605&lt;197,I605*1.26,I605&gt;197,I605*1.17) + IF(I605&gt;1000,17,0)</f>
        <v>962.98230599999988</v>
      </c>
      <c r="I605" s="10">
        <f>($K$2+0.02)*Tabla1[[#This Row],[PRECIO $]]*1.18</f>
        <v>823.06179999999995</v>
      </c>
      <c r="J605" s="7">
        <f>+Tabla1[[#This Row],[PRECIO EN SOLES]]-Tabla1[[#This Row],[PC]]</f>
        <v>139.92050599999993</v>
      </c>
    </row>
    <row r="606" spans="1:10" x14ac:dyDescent="0.25">
      <c r="A606" s="3" t="s">
        <v>1796</v>
      </c>
      <c r="B606" s="3" t="s">
        <v>1797</v>
      </c>
      <c r="C606" s="1">
        <v>3</v>
      </c>
      <c r="D606" s="1">
        <v>391.71</v>
      </c>
      <c r="E606" s="1" t="s">
        <v>226</v>
      </c>
      <c r="F606" s="1" t="s">
        <v>4462</v>
      </c>
      <c r="G606" s="3" t="s">
        <v>1798</v>
      </c>
      <c r="H606" s="12" cm="1">
        <f t="array" ref="H606">_xlfn.IFS(I606&lt;197,I606*1.26,I606&gt;197,I606*1.17) + IF(I606&gt;1000,17,0)</f>
        <v>1855.7024083999997</v>
      </c>
      <c r="I606" s="10">
        <f>($K$2+0.02)*Tabla1[[#This Row],[PRECIO $]]*1.18</f>
        <v>1571.5405199999998</v>
      </c>
      <c r="J606" s="7">
        <f>+Tabla1[[#This Row],[PRECIO EN SOLES]]-Tabla1[[#This Row],[PC]]</f>
        <v>284.16188839999995</v>
      </c>
    </row>
    <row r="607" spans="1:10" x14ac:dyDescent="0.25">
      <c r="A607" s="3" t="s">
        <v>1799</v>
      </c>
      <c r="B607" s="3" t="s">
        <v>1800</v>
      </c>
      <c r="C607" s="1">
        <v>0</v>
      </c>
      <c r="D607" s="1">
        <v>391.71</v>
      </c>
      <c r="E607" s="1" t="s">
        <v>226</v>
      </c>
      <c r="F607" s="1" t="s">
        <v>4463</v>
      </c>
      <c r="G607" s="3" t="s">
        <v>3611</v>
      </c>
      <c r="H607" s="12" cm="1">
        <f t="array" ref="H607">_xlfn.IFS(I607&lt;197,I607*1.26,I607&gt;197,I607*1.17) + IF(I607&gt;1000,17,0)</f>
        <v>1855.7024083999997</v>
      </c>
      <c r="I607" s="10">
        <f>($K$2+0.02)*Tabla1[[#This Row],[PRECIO $]]*1.18</f>
        <v>1571.5405199999998</v>
      </c>
      <c r="J607" s="7">
        <f>+Tabla1[[#This Row],[PRECIO EN SOLES]]-Tabla1[[#This Row],[PC]]</f>
        <v>284.16188839999995</v>
      </c>
    </row>
    <row r="608" spans="1:10" x14ac:dyDescent="0.25">
      <c r="A608" s="3" t="s">
        <v>1801</v>
      </c>
      <c r="B608" s="3" t="s">
        <v>1802</v>
      </c>
      <c r="C608" s="1">
        <v>0</v>
      </c>
      <c r="D608" s="1">
        <v>116.5</v>
      </c>
      <c r="E608" s="1" t="s">
        <v>226</v>
      </c>
      <c r="F608" s="1" t="s">
        <v>4464</v>
      </c>
      <c r="G608" s="3" t="s">
        <v>1803</v>
      </c>
      <c r="H608" s="12" cm="1">
        <f t="array" ref="H608">_xlfn.IFS(I608&lt;197,I608*1.26,I608&gt;197,I608*1.17) + IF(I608&gt;1000,17,0)</f>
        <v>546.85565999999983</v>
      </c>
      <c r="I608" s="10">
        <f>($K$2+0.02)*Tabla1[[#This Row],[PRECIO $]]*1.18</f>
        <v>467.39799999999991</v>
      </c>
      <c r="J608" s="7">
        <f>+Tabla1[[#This Row],[PRECIO EN SOLES]]-Tabla1[[#This Row],[PC]]</f>
        <v>79.457659999999919</v>
      </c>
    </row>
    <row r="609" spans="1:10" x14ac:dyDescent="0.25">
      <c r="A609" s="3" t="s">
        <v>1804</v>
      </c>
      <c r="B609" s="3" t="s">
        <v>1805</v>
      </c>
      <c r="C609" s="1">
        <v>9</v>
      </c>
      <c r="D609" s="1">
        <v>409.29</v>
      </c>
      <c r="E609" s="1" t="s">
        <v>226</v>
      </c>
      <c r="F609" s="1" t="s">
        <v>4465</v>
      </c>
      <c r="G609" s="3" t="s">
        <v>1806</v>
      </c>
      <c r="H609" s="12" cm="1">
        <f t="array" ref="H609">_xlfn.IFS(I609&lt;197,I609*1.26,I609&gt;197,I609*1.17) + IF(I609&gt;1000,17,0)</f>
        <v>1938.2236315999996</v>
      </c>
      <c r="I609" s="10">
        <f>($K$2+0.02)*Tabla1[[#This Row],[PRECIO $]]*1.18</f>
        <v>1642.0714799999998</v>
      </c>
      <c r="J609" s="7">
        <f>+Tabla1[[#This Row],[PRECIO EN SOLES]]-Tabla1[[#This Row],[PC]]</f>
        <v>296.1521515999998</v>
      </c>
    </row>
    <row r="610" spans="1:10" x14ac:dyDescent="0.25">
      <c r="A610" s="3" t="s">
        <v>3612</v>
      </c>
      <c r="B610" s="3" t="s">
        <v>3613</v>
      </c>
      <c r="C610" s="1">
        <v>3</v>
      </c>
      <c r="D610" s="1">
        <v>409.29</v>
      </c>
      <c r="E610" s="1" t="s">
        <v>226</v>
      </c>
      <c r="F610" s="1" t="s">
        <v>4466</v>
      </c>
      <c r="G610" s="3" t="s">
        <v>3614</v>
      </c>
      <c r="H610" s="12" cm="1">
        <f t="array" ref="H610">_xlfn.IFS(I610&lt;197,I610*1.26,I610&gt;197,I610*1.17) + IF(I610&gt;1000,17,0)</f>
        <v>1938.2236315999996</v>
      </c>
      <c r="I610" s="10">
        <f>($K$2+0.02)*Tabla1[[#This Row],[PRECIO $]]*1.18</f>
        <v>1642.0714799999998</v>
      </c>
      <c r="J610" s="7">
        <f>+Tabla1[[#This Row],[PRECIO EN SOLES]]-Tabla1[[#This Row],[PC]]</f>
        <v>296.1521515999998</v>
      </c>
    </row>
    <row r="611" spans="1:10" x14ac:dyDescent="0.25">
      <c r="A611" s="3" t="s">
        <v>3955</v>
      </c>
      <c r="B611" s="3" t="s">
        <v>3956</v>
      </c>
      <c r="C611" s="1">
        <v>20</v>
      </c>
      <c r="D611" s="1">
        <v>510.54</v>
      </c>
      <c r="E611" s="1" t="s">
        <v>3957</v>
      </c>
      <c r="F611" s="1" t="s">
        <v>4467</v>
      </c>
      <c r="G611" s="3" t="s">
        <v>3958</v>
      </c>
      <c r="H611" s="12" cm="1">
        <f t="array" ref="H611">_xlfn.IFS(I611&lt;197,I611*1.26,I611&gt;197,I611*1.17) + IF(I611&gt;1000,17,0)</f>
        <v>2413.4951815999993</v>
      </c>
      <c r="I611" s="10">
        <f>($K$2+0.02)*Tabla1[[#This Row],[PRECIO $]]*1.18</f>
        <v>2048.2864799999998</v>
      </c>
      <c r="J611" s="7">
        <f>+Tabla1[[#This Row],[PRECIO EN SOLES]]-Tabla1[[#This Row],[PC]]</f>
        <v>365.20870159999959</v>
      </c>
    </row>
    <row r="612" spans="1:10" x14ac:dyDescent="0.25">
      <c r="A612" s="3" t="s">
        <v>3959</v>
      </c>
      <c r="B612" s="3" t="s">
        <v>3956</v>
      </c>
      <c r="C612" s="1">
        <v>20</v>
      </c>
      <c r="D612" s="1">
        <v>510.54</v>
      </c>
      <c r="E612" s="1" t="s">
        <v>3957</v>
      </c>
      <c r="F612" s="1" t="s">
        <v>4468</v>
      </c>
      <c r="G612" s="3" t="s">
        <v>3958</v>
      </c>
      <c r="H612" s="12" cm="1">
        <f t="array" ref="H612">_xlfn.IFS(I612&lt;197,I612*1.26,I612&gt;197,I612*1.17) + IF(I612&gt;1000,17,0)</f>
        <v>2413.4951815999993</v>
      </c>
      <c r="I612" s="10">
        <f>($K$2+0.02)*Tabla1[[#This Row],[PRECIO $]]*1.18</f>
        <v>2048.2864799999998</v>
      </c>
      <c r="J612" s="7">
        <f>+Tabla1[[#This Row],[PRECIO EN SOLES]]-Tabla1[[#This Row],[PC]]</f>
        <v>365.20870159999959</v>
      </c>
    </row>
    <row r="613" spans="1:10" x14ac:dyDescent="0.25">
      <c r="A613" s="3" t="s">
        <v>3794</v>
      </c>
      <c r="B613" s="3" t="s">
        <v>3795</v>
      </c>
      <c r="C613" s="1">
        <v>20</v>
      </c>
      <c r="D613" s="1">
        <v>1043.42</v>
      </c>
      <c r="E613" s="1" t="s">
        <v>228</v>
      </c>
      <c r="F613" s="1" t="s">
        <v>4469</v>
      </c>
      <c r="G613" s="3" t="s">
        <v>3796</v>
      </c>
      <c r="H613" s="12" cm="1">
        <f t="array" ref="H613">_xlfn.IFS(I613&lt;197,I613*1.26,I613&gt;197,I613*1.17) + IF(I613&gt;1000,17,0)</f>
        <v>4914.8552167999997</v>
      </c>
      <c r="I613" s="10">
        <f>($K$2+0.02)*Tabla1[[#This Row],[PRECIO $]]*1.18</f>
        <v>4186.2010399999999</v>
      </c>
      <c r="J613" s="7">
        <f>+Tabla1[[#This Row],[PRECIO EN SOLES]]-Tabla1[[#This Row],[PC]]</f>
        <v>728.65417679999973</v>
      </c>
    </row>
    <row r="614" spans="1:10" x14ac:dyDescent="0.25">
      <c r="A614" s="3" t="s">
        <v>3615</v>
      </c>
      <c r="B614" s="3" t="s">
        <v>3616</v>
      </c>
      <c r="C614" s="1">
        <v>1</v>
      </c>
      <c r="D614" s="1">
        <v>247.05</v>
      </c>
      <c r="E614" s="1" t="s">
        <v>226</v>
      </c>
      <c r="F614" s="1" t="s">
        <v>4470</v>
      </c>
      <c r="G614" s="3" t="s">
        <v>3617</v>
      </c>
      <c r="H614" s="12" cm="1">
        <f t="array" ref="H614">_xlfn.IFS(I614&lt;197,I614*1.26,I614&gt;197,I614*1.17) + IF(I614&gt;1000,17,0)</f>
        <v>1159.6625819999999</v>
      </c>
      <c r="I614" s="10">
        <f>($K$2+0.02)*Tabla1[[#This Row],[PRECIO $]]*1.18</f>
        <v>991.16459999999995</v>
      </c>
      <c r="J614" s="7">
        <f>+Tabla1[[#This Row],[PRECIO EN SOLES]]-Tabla1[[#This Row],[PC]]</f>
        <v>168.49798199999998</v>
      </c>
    </row>
    <row r="615" spans="1:10" x14ac:dyDescent="0.25">
      <c r="A615" s="3" t="s">
        <v>1807</v>
      </c>
      <c r="B615" s="3" t="s">
        <v>1808</v>
      </c>
      <c r="C615" s="1">
        <v>20</v>
      </c>
      <c r="D615" s="1">
        <v>222</v>
      </c>
      <c r="E615" s="1" t="s">
        <v>226</v>
      </c>
      <c r="F615" s="1" t="s">
        <v>4471</v>
      </c>
      <c r="G615" s="3" t="s">
        <v>1809</v>
      </c>
      <c r="H615" s="12" cm="1">
        <f t="array" ref="H615">_xlfn.IFS(I615&lt;197,I615*1.26,I615&gt;197,I615*1.17) + IF(I615&gt;1000,17,0)</f>
        <v>1042.0768799999998</v>
      </c>
      <c r="I615" s="10">
        <f>($K$2+0.02)*Tabla1[[#This Row],[PRECIO $]]*1.18</f>
        <v>890.66399999999987</v>
      </c>
      <c r="J615" s="7">
        <f>+Tabla1[[#This Row],[PRECIO EN SOLES]]-Tabla1[[#This Row],[PC]]</f>
        <v>151.41287999999997</v>
      </c>
    </row>
    <row r="616" spans="1:10" x14ac:dyDescent="0.25">
      <c r="A616" s="3" t="s">
        <v>1810</v>
      </c>
      <c r="B616" s="3" t="s">
        <v>1811</v>
      </c>
      <c r="C616" s="1">
        <v>11</v>
      </c>
      <c r="D616" s="1">
        <v>412</v>
      </c>
      <c r="E616" s="1" t="s">
        <v>226</v>
      </c>
      <c r="F616" s="1" t="s">
        <v>4472</v>
      </c>
      <c r="G616" s="3" t="s">
        <v>1812</v>
      </c>
      <c r="H616" s="12" cm="1">
        <f t="array" ref="H616">_xlfn.IFS(I616&lt;197,I616*1.26,I616&gt;197,I616*1.17) + IF(I616&gt;1000,17,0)</f>
        <v>1950.9444799999999</v>
      </c>
      <c r="I616" s="10">
        <f>($K$2+0.02)*Tabla1[[#This Row],[PRECIO $]]*1.18</f>
        <v>1652.944</v>
      </c>
      <c r="J616" s="7">
        <f>+Tabla1[[#This Row],[PRECIO EN SOLES]]-Tabla1[[#This Row],[PC]]</f>
        <v>298.00047999999992</v>
      </c>
    </row>
    <row r="617" spans="1:10" x14ac:dyDescent="0.25">
      <c r="A617" s="3" t="s">
        <v>1813</v>
      </c>
      <c r="B617" s="3" t="s">
        <v>1814</v>
      </c>
      <c r="C617" s="1">
        <v>12</v>
      </c>
      <c r="D617" s="1">
        <v>412</v>
      </c>
      <c r="E617" s="1" t="s">
        <v>226</v>
      </c>
      <c r="F617" s="1" t="s">
        <v>4473</v>
      </c>
      <c r="G617" s="3" t="s">
        <v>1815</v>
      </c>
      <c r="H617" s="12" cm="1">
        <f t="array" ref="H617">_xlfn.IFS(I617&lt;197,I617*1.26,I617&gt;197,I617*1.17) + IF(I617&gt;1000,17,0)</f>
        <v>1950.9444799999999</v>
      </c>
      <c r="I617" s="10">
        <f>($K$2+0.02)*Tabla1[[#This Row],[PRECIO $]]*1.18</f>
        <v>1652.944</v>
      </c>
      <c r="J617" s="7">
        <f>+Tabla1[[#This Row],[PRECIO EN SOLES]]-Tabla1[[#This Row],[PC]]</f>
        <v>298.00047999999992</v>
      </c>
    </row>
    <row r="618" spans="1:10" x14ac:dyDescent="0.25">
      <c r="A618" s="3" t="s">
        <v>1816</v>
      </c>
      <c r="B618" s="3" t="s">
        <v>1817</v>
      </c>
      <c r="C618" s="1">
        <v>8</v>
      </c>
      <c r="D618" s="1">
        <v>412</v>
      </c>
      <c r="E618" s="1" t="s">
        <v>226</v>
      </c>
      <c r="F618" s="1" t="s">
        <v>4474</v>
      </c>
      <c r="G618" s="3" t="s">
        <v>1818</v>
      </c>
      <c r="H618" s="12" cm="1">
        <f t="array" ref="H618">_xlfn.IFS(I618&lt;197,I618*1.26,I618&gt;197,I618*1.17) + IF(I618&gt;1000,17,0)</f>
        <v>1950.9444799999999</v>
      </c>
      <c r="I618" s="10">
        <f>($K$2+0.02)*Tabla1[[#This Row],[PRECIO $]]*1.18</f>
        <v>1652.944</v>
      </c>
      <c r="J618" s="7">
        <f>+Tabla1[[#This Row],[PRECIO EN SOLES]]-Tabla1[[#This Row],[PC]]</f>
        <v>298.00047999999992</v>
      </c>
    </row>
    <row r="619" spans="1:10" x14ac:dyDescent="0.25">
      <c r="A619" s="3" t="s">
        <v>1819</v>
      </c>
      <c r="B619" s="3" t="s">
        <v>1820</v>
      </c>
      <c r="C619" s="1">
        <v>20</v>
      </c>
      <c r="D619" s="1">
        <v>18.43</v>
      </c>
      <c r="E619" s="1" t="s">
        <v>248</v>
      </c>
      <c r="F619" s="1" t="s">
        <v>4475</v>
      </c>
      <c r="G619" s="3" t="s">
        <v>1821</v>
      </c>
      <c r="H619" s="12" cm="1">
        <f t="array" ref="H619">_xlfn.IFS(I619&lt;197,I619*1.26,I619&gt;197,I619*1.17) + IF(I619&gt;1000,17,0)</f>
        <v>93.165861599999999</v>
      </c>
      <c r="I619" s="10">
        <f>($K$2+0.02)*Tabla1[[#This Row],[PRECIO $]]*1.18</f>
        <v>73.941159999999996</v>
      </c>
      <c r="J619" s="7">
        <f>+Tabla1[[#This Row],[PRECIO EN SOLES]]-Tabla1[[#This Row],[PC]]</f>
        <v>19.224701600000003</v>
      </c>
    </row>
    <row r="620" spans="1:10" x14ac:dyDescent="0.25">
      <c r="A620" s="3" t="s">
        <v>3618</v>
      </c>
      <c r="B620" s="3" t="s">
        <v>3619</v>
      </c>
      <c r="C620" s="1">
        <v>20</v>
      </c>
      <c r="D620" s="1">
        <v>23.31</v>
      </c>
      <c r="E620" s="1" t="s">
        <v>226</v>
      </c>
      <c r="F620" s="1" t="s">
        <v>4476</v>
      </c>
      <c r="G620" s="3" t="s">
        <v>3620</v>
      </c>
      <c r="H620" s="12" cm="1">
        <f t="array" ref="H620">_xlfn.IFS(I620&lt;197,I620*1.26,I620&gt;197,I620*1.17) + IF(I620&gt;1000,17,0)</f>
        <v>117.83484719999997</v>
      </c>
      <c r="I620" s="10">
        <f>($K$2+0.02)*Tabla1[[#This Row],[PRECIO $]]*1.18</f>
        <v>93.519719999999978</v>
      </c>
      <c r="J620" s="7">
        <f>+Tabla1[[#This Row],[PRECIO EN SOLES]]-Tabla1[[#This Row],[PC]]</f>
        <v>24.315127199999992</v>
      </c>
    </row>
    <row r="621" spans="1:10" x14ac:dyDescent="0.25">
      <c r="A621" s="3" t="s">
        <v>1822</v>
      </c>
      <c r="B621" s="3" t="s">
        <v>1823</v>
      </c>
      <c r="C621" s="1">
        <v>20</v>
      </c>
      <c r="D621" s="1">
        <v>133.19999999999999</v>
      </c>
      <c r="E621" s="1" t="s">
        <v>226</v>
      </c>
      <c r="F621" s="1" t="s">
        <v>4477</v>
      </c>
      <c r="G621" s="3" t="s">
        <v>1824</v>
      </c>
      <c r="H621" s="12" cm="1">
        <f t="array" ref="H621">_xlfn.IFS(I621&lt;197,I621*1.26,I621&gt;197,I621*1.17) + IF(I621&gt;1000,17,0)</f>
        <v>625.24612799999989</v>
      </c>
      <c r="I621" s="10">
        <f>($K$2+0.02)*Tabla1[[#This Row],[PRECIO $]]*1.18</f>
        <v>534.39839999999992</v>
      </c>
      <c r="J621" s="7">
        <f>+Tabla1[[#This Row],[PRECIO EN SOLES]]-Tabla1[[#This Row],[PC]]</f>
        <v>90.847727999999961</v>
      </c>
    </row>
    <row r="622" spans="1:10" x14ac:dyDescent="0.25">
      <c r="A622" s="3" t="s">
        <v>3621</v>
      </c>
      <c r="B622" s="3" t="s">
        <v>3622</v>
      </c>
      <c r="C622" s="1">
        <v>20</v>
      </c>
      <c r="D622" s="1">
        <v>37.51</v>
      </c>
      <c r="E622" s="1" t="s">
        <v>226</v>
      </c>
      <c r="F622" s="1" t="s">
        <v>4478</v>
      </c>
      <c r="G622" s="3" t="s">
        <v>3623</v>
      </c>
      <c r="H622" s="12" cm="1">
        <f t="array" ref="H622">_xlfn.IFS(I622&lt;197,I622*1.26,I622&gt;197,I622*1.17) + IF(I622&gt;1000,17,0)</f>
        <v>189.61755119999998</v>
      </c>
      <c r="I622" s="10">
        <f>($K$2+0.02)*Tabla1[[#This Row],[PRECIO $]]*1.18</f>
        <v>150.49011999999999</v>
      </c>
      <c r="J622" s="7">
        <f>+Tabla1[[#This Row],[PRECIO EN SOLES]]-Tabla1[[#This Row],[PC]]</f>
        <v>39.12743119999999</v>
      </c>
    </row>
    <row r="623" spans="1:10" x14ac:dyDescent="0.25">
      <c r="A623" s="3" t="s">
        <v>3624</v>
      </c>
      <c r="B623" s="3" t="s">
        <v>3625</v>
      </c>
      <c r="C623" s="1">
        <v>20</v>
      </c>
      <c r="D623" s="1">
        <v>97.1</v>
      </c>
      <c r="E623" s="1" t="s">
        <v>226</v>
      </c>
      <c r="F623" s="1" t="s">
        <v>4479</v>
      </c>
      <c r="G623" s="3" t="s">
        <v>3626</v>
      </c>
      <c r="H623" s="12" cm="1">
        <f t="array" ref="H623">_xlfn.IFS(I623&lt;197,I623*1.26,I623&gt;197,I623*1.17) + IF(I623&gt;1000,17,0)</f>
        <v>455.79128399999991</v>
      </c>
      <c r="I623" s="10">
        <f>($K$2+0.02)*Tabla1[[#This Row],[PRECIO $]]*1.18</f>
        <v>389.56519999999995</v>
      </c>
      <c r="J623" s="7">
        <f>+Tabla1[[#This Row],[PRECIO EN SOLES]]-Tabla1[[#This Row],[PC]]</f>
        <v>66.226083999999958</v>
      </c>
    </row>
    <row r="624" spans="1:10" x14ac:dyDescent="0.25">
      <c r="A624" s="3" t="s">
        <v>3627</v>
      </c>
      <c r="B624" s="3" t="s">
        <v>3628</v>
      </c>
      <c r="C624" s="1">
        <v>20</v>
      </c>
      <c r="D624" s="1">
        <v>15.31</v>
      </c>
      <c r="E624" s="1" t="s">
        <v>226</v>
      </c>
      <c r="F624" s="1" t="s">
        <v>4480</v>
      </c>
      <c r="G624" s="3" t="s">
        <v>3629</v>
      </c>
      <c r="H624" s="12" cm="1">
        <f t="array" ref="H624">_xlfn.IFS(I624&lt;197,I624*1.26,I624&gt;197,I624*1.17) + IF(I624&gt;1000,17,0)</f>
        <v>77.393887199999995</v>
      </c>
      <c r="I624" s="10">
        <f>($K$2+0.02)*Tabla1[[#This Row],[PRECIO $]]*1.18</f>
        <v>61.423719999999996</v>
      </c>
      <c r="J624" s="7">
        <f>+Tabla1[[#This Row],[PRECIO EN SOLES]]-Tabla1[[#This Row],[PC]]</f>
        <v>15.970167199999999</v>
      </c>
    </row>
    <row r="625" spans="1:10" x14ac:dyDescent="0.25">
      <c r="A625" s="3" t="s">
        <v>3630</v>
      </c>
      <c r="B625" s="3" t="s">
        <v>3631</v>
      </c>
      <c r="C625" s="1">
        <v>20</v>
      </c>
      <c r="D625" s="1">
        <v>15.86</v>
      </c>
      <c r="E625" s="1" t="s">
        <v>226</v>
      </c>
      <c r="F625" s="1" t="s">
        <v>4481</v>
      </c>
      <c r="G625" s="3" t="s">
        <v>3632</v>
      </c>
      <c r="H625" s="12" cm="1">
        <f t="array" ref="H625">_xlfn.IFS(I625&lt;197,I625*1.26,I625&gt;197,I625*1.17) + IF(I625&gt;1000,17,0)</f>
        <v>80.174203199999994</v>
      </c>
      <c r="I625" s="10">
        <f>($K$2+0.02)*Tabla1[[#This Row],[PRECIO $]]*1.18</f>
        <v>63.630319999999998</v>
      </c>
      <c r="J625" s="7">
        <f>+Tabla1[[#This Row],[PRECIO EN SOLES]]-Tabla1[[#This Row],[PC]]</f>
        <v>16.543883199999996</v>
      </c>
    </row>
    <row r="626" spans="1:10" x14ac:dyDescent="0.25">
      <c r="A626" s="3" t="s">
        <v>1825</v>
      </c>
      <c r="B626" s="3" t="s">
        <v>1826</v>
      </c>
      <c r="C626" s="1">
        <v>15</v>
      </c>
      <c r="D626" s="1">
        <v>90.1</v>
      </c>
      <c r="E626" s="1" t="s">
        <v>226</v>
      </c>
      <c r="F626" s="1" t="s">
        <v>4482</v>
      </c>
      <c r="G626" s="3" t="s">
        <v>1827</v>
      </c>
      <c r="H626" s="12" cm="1">
        <f t="array" ref="H626">_xlfn.IFS(I626&lt;197,I626*1.26,I626&gt;197,I626*1.17) + IF(I626&gt;1000,17,0)</f>
        <v>422.93300399999993</v>
      </c>
      <c r="I626" s="10">
        <f>($K$2+0.02)*Tabla1[[#This Row],[PRECIO $]]*1.18</f>
        <v>361.48119999999994</v>
      </c>
      <c r="J626" s="7">
        <f>+Tabla1[[#This Row],[PRECIO EN SOLES]]-Tabla1[[#This Row],[PC]]</f>
        <v>61.451803999999981</v>
      </c>
    </row>
    <row r="627" spans="1:10" x14ac:dyDescent="0.25">
      <c r="A627" s="3" t="s">
        <v>3633</v>
      </c>
      <c r="B627" s="3" t="s">
        <v>3634</v>
      </c>
      <c r="C627" s="1">
        <v>20</v>
      </c>
      <c r="D627" s="1">
        <v>28.31</v>
      </c>
      <c r="E627" s="1" t="s">
        <v>226</v>
      </c>
      <c r="F627" s="1" t="s">
        <v>4483</v>
      </c>
      <c r="G627" s="3" t="s">
        <v>3635</v>
      </c>
      <c r="H627" s="12" cm="1">
        <f t="array" ref="H627">_xlfn.IFS(I627&lt;197,I627*1.26,I627&gt;197,I627*1.17) + IF(I627&gt;1000,17,0)</f>
        <v>143.11044719999998</v>
      </c>
      <c r="I627" s="10">
        <f>($K$2+0.02)*Tabla1[[#This Row],[PRECIO $]]*1.18</f>
        <v>113.57971999999998</v>
      </c>
      <c r="J627" s="7">
        <f>+Tabla1[[#This Row],[PRECIO EN SOLES]]-Tabla1[[#This Row],[PC]]</f>
        <v>29.530727200000001</v>
      </c>
    </row>
    <row r="628" spans="1:10" x14ac:dyDescent="0.25">
      <c r="A628" s="3" t="s">
        <v>3636</v>
      </c>
      <c r="B628" s="3" t="s">
        <v>3637</v>
      </c>
      <c r="C628" s="1">
        <v>20</v>
      </c>
      <c r="D628" s="1">
        <v>63.1</v>
      </c>
      <c r="E628" s="1" t="s">
        <v>226</v>
      </c>
      <c r="F628" s="1" t="s">
        <v>4484</v>
      </c>
      <c r="G628" s="3" t="s">
        <v>3638</v>
      </c>
      <c r="H628" s="12" cm="1">
        <f t="array" ref="H628">_xlfn.IFS(I628&lt;197,I628*1.26,I628&gt;197,I628*1.17) + IF(I628&gt;1000,17,0)</f>
        <v>296.19392399999998</v>
      </c>
      <c r="I628" s="10">
        <f>($K$2+0.02)*Tabla1[[#This Row],[PRECIO $]]*1.18</f>
        <v>253.15719999999999</v>
      </c>
      <c r="J628" s="7">
        <f>+Tabla1[[#This Row],[PRECIO EN SOLES]]-Tabla1[[#This Row],[PC]]</f>
        <v>43.036723999999992</v>
      </c>
    </row>
    <row r="629" spans="1:10" x14ac:dyDescent="0.25">
      <c r="A629" s="3" t="s">
        <v>297</v>
      </c>
      <c r="B629" s="3" t="s">
        <v>298</v>
      </c>
      <c r="C629" s="1">
        <v>20</v>
      </c>
      <c r="D629" s="1">
        <v>8.51</v>
      </c>
      <c r="E629" s="1" t="s">
        <v>226</v>
      </c>
      <c r="F629" s="1" t="s">
        <v>4485</v>
      </c>
      <c r="G629" s="3" t="s">
        <v>299</v>
      </c>
      <c r="H629" s="12" cm="1">
        <f t="array" ref="H629">_xlfn.IFS(I629&lt;197,I629*1.26,I629&gt;197,I629*1.17) + IF(I629&gt;1000,17,0)</f>
        <v>43.019071199999999</v>
      </c>
      <c r="I629" s="10">
        <f>($K$2+0.02)*Tabla1[[#This Row],[PRECIO $]]*1.18</f>
        <v>34.142119999999998</v>
      </c>
      <c r="J629" s="7">
        <f>+Tabla1[[#This Row],[PRECIO EN SOLES]]-Tabla1[[#This Row],[PC]]</f>
        <v>8.8769512000000006</v>
      </c>
    </row>
    <row r="630" spans="1:10" x14ac:dyDescent="0.25">
      <c r="A630" s="3" t="s">
        <v>1828</v>
      </c>
      <c r="B630" s="3" t="s">
        <v>1829</v>
      </c>
      <c r="C630" s="1">
        <v>20</v>
      </c>
      <c r="D630" s="1">
        <v>21.05</v>
      </c>
      <c r="E630" s="1" t="s">
        <v>226</v>
      </c>
      <c r="F630" s="1" t="s">
        <v>4486</v>
      </c>
      <c r="G630" s="3" t="s">
        <v>1830</v>
      </c>
      <c r="H630" s="12" cm="1">
        <f t="array" ref="H630">_xlfn.IFS(I630&lt;197,I630*1.26,I630&gt;197,I630*1.17) + IF(I630&gt;1000,17,0)</f>
        <v>106.41027600000001</v>
      </c>
      <c r="I630" s="10">
        <f>($K$2+0.02)*Tabla1[[#This Row],[PRECIO $]]*1.18</f>
        <v>84.452600000000004</v>
      </c>
      <c r="J630" s="7">
        <f>+Tabla1[[#This Row],[PRECIO EN SOLES]]-Tabla1[[#This Row],[PC]]</f>
        <v>21.957676000000006</v>
      </c>
    </row>
    <row r="631" spans="1:10" x14ac:dyDescent="0.25">
      <c r="A631" s="3" t="s">
        <v>3639</v>
      </c>
      <c r="B631" s="3" t="s">
        <v>3640</v>
      </c>
      <c r="C631" s="1">
        <v>20</v>
      </c>
      <c r="D631" s="1">
        <v>31.01</v>
      </c>
      <c r="E631" s="1" t="s">
        <v>226</v>
      </c>
      <c r="F631" s="1" t="s">
        <v>4487</v>
      </c>
      <c r="G631" s="3" t="s">
        <v>3641</v>
      </c>
      <c r="H631" s="12" cm="1">
        <f t="array" ref="H631">_xlfn.IFS(I631&lt;197,I631*1.26,I631&gt;197,I631*1.17) + IF(I631&gt;1000,17,0)</f>
        <v>156.75927119999997</v>
      </c>
      <c r="I631" s="10">
        <f>($K$2+0.02)*Tabla1[[#This Row],[PRECIO $]]*1.18</f>
        <v>124.41211999999999</v>
      </c>
      <c r="J631" s="7">
        <f>+Tabla1[[#This Row],[PRECIO EN SOLES]]-Tabla1[[#This Row],[PC]]</f>
        <v>32.347151199999985</v>
      </c>
    </row>
    <row r="632" spans="1:10" x14ac:dyDescent="0.25">
      <c r="A632" s="3" t="s">
        <v>3642</v>
      </c>
      <c r="B632" s="3" t="s">
        <v>3643</v>
      </c>
      <c r="C632" s="1">
        <v>20</v>
      </c>
      <c r="D632" s="1">
        <v>15.71</v>
      </c>
      <c r="E632" s="1" t="s">
        <v>226</v>
      </c>
      <c r="F632" s="1" t="s">
        <v>4488</v>
      </c>
      <c r="G632" s="3" t="s">
        <v>3644</v>
      </c>
      <c r="H632" s="12" cm="1">
        <f t="array" ref="H632">_xlfn.IFS(I632&lt;197,I632*1.26,I632&gt;197,I632*1.17) + IF(I632&gt;1000,17,0)</f>
        <v>79.415935200000007</v>
      </c>
      <c r="I632" s="10">
        <f>($K$2+0.02)*Tabla1[[#This Row],[PRECIO $]]*1.18</f>
        <v>63.02852</v>
      </c>
      <c r="J632" s="7">
        <f>+Tabla1[[#This Row],[PRECIO EN SOLES]]-Tabla1[[#This Row],[PC]]</f>
        <v>16.387415200000007</v>
      </c>
    </row>
    <row r="633" spans="1:10" x14ac:dyDescent="0.25">
      <c r="A633" s="3" t="s">
        <v>1831</v>
      </c>
      <c r="B633" s="3" t="s">
        <v>1832</v>
      </c>
      <c r="C633" s="1">
        <v>13</v>
      </c>
      <c r="D633" s="1">
        <v>70.3</v>
      </c>
      <c r="E633" s="1" t="s">
        <v>248</v>
      </c>
      <c r="F633" s="1" t="s">
        <v>4489</v>
      </c>
      <c r="G633" s="3" t="s">
        <v>1833</v>
      </c>
      <c r="H633" s="12" cm="1">
        <f t="array" ref="H633">_xlfn.IFS(I633&lt;197,I633*1.26,I633&gt;197,I633*1.17) + IF(I633&gt;1000,17,0)</f>
        <v>329.99101199999996</v>
      </c>
      <c r="I633" s="10">
        <f>($K$2+0.02)*Tabla1[[#This Row],[PRECIO $]]*1.18</f>
        <v>282.04359999999997</v>
      </c>
      <c r="J633" s="7">
        <f>+Tabla1[[#This Row],[PRECIO EN SOLES]]-Tabla1[[#This Row],[PC]]</f>
        <v>47.947411999999986</v>
      </c>
    </row>
    <row r="634" spans="1:10" x14ac:dyDescent="0.25">
      <c r="A634" s="3" t="s">
        <v>1834</v>
      </c>
      <c r="B634" s="3" t="s">
        <v>1835</v>
      </c>
      <c r="C634" s="1">
        <v>20</v>
      </c>
      <c r="D634" s="1">
        <v>145.30000000000001</v>
      </c>
      <c r="E634" s="1" t="s">
        <v>248</v>
      </c>
      <c r="F634" s="1" t="s">
        <v>4490</v>
      </c>
      <c r="G634" s="3" t="s">
        <v>1836</v>
      </c>
      <c r="H634" s="12" cm="1">
        <f t="array" ref="H634">_xlfn.IFS(I634&lt;197,I634*1.26,I634&gt;197,I634*1.17) + IF(I634&gt;1000,17,0)</f>
        <v>682.04401200000007</v>
      </c>
      <c r="I634" s="10">
        <f>($K$2+0.02)*Tabla1[[#This Row],[PRECIO $]]*1.18</f>
        <v>582.94360000000006</v>
      </c>
      <c r="J634" s="7">
        <f>+Tabla1[[#This Row],[PRECIO EN SOLES]]-Tabla1[[#This Row],[PC]]</f>
        <v>99.100412000000006</v>
      </c>
    </row>
    <row r="635" spans="1:10" x14ac:dyDescent="0.25">
      <c r="A635" s="3" t="s">
        <v>1837</v>
      </c>
      <c r="B635" s="3" t="s">
        <v>1838</v>
      </c>
      <c r="C635" s="1">
        <v>20</v>
      </c>
      <c r="D635" s="1">
        <v>165.3</v>
      </c>
      <c r="E635" s="1" t="s">
        <v>248</v>
      </c>
      <c r="F635" s="1" t="s">
        <v>4491</v>
      </c>
      <c r="G635" s="3" t="s">
        <v>1839</v>
      </c>
      <c r="H635" s="12" cm="1">
        <f t="array" ref="H635">_xlfn.IFS(I635&lt;197,I635*1.26,I635&gt;197,I635*1.17) + IF(I635&gt;1000,17,0)</f>
        <v>775.92481199999986</v>
      </c>
      <c r="I635" s="10">
        <f>($K$2+0.02)*Tabla1[[#This Row],[PRECIO $]]*1.18</f>
        <v>663.18359999999996</v>
      </c>
      <c r="J635" s="7">
        <f>+Tabla1[[#This Row],[PRECIO EN SOLES]]-Tabla1[[#This Row],[PC]]</f>
        <v>112.7412119999999</v>
      </c>
    </row>
    <row r="636" spans="1:10" x14ac:dyDescent="0.25">
      <c r="A636" s="3" t="s">
        <v>1840</v>
      </c>
      <c r="B636" s="3" t="s">
        <v>1841</v>
      </c>
      <c r="C636" s="1">
        <v>3</v>
      </c>
      <c r="D636" s="1">
        <v>11.01</v>
      </c>
      <c r="E636" s="1" t="s">
        <v>248</v>
      </c>
      <c r="F636" s="1" t="s">
        <v>4492</v>
      </c>
      <c r="G636" s="3" t="s">
        <v>1842</v>
      </c>
      <c r="H636" s="12" cm="1">
        <f t="array" ref="H636">_xlfn.IFS(I636&lt;197,I636*1.26,I636&gt;197,I636*1.17) + IF(I636&gt;1000,17,0)</f>
        <v>55.656871199999991</v>
      </c>
      <c r="I636" s="10">
        <f>($K$2+0.02)*Tabla1[[#This Row],[PRECIO $]]*1.18</f>
        <v>44.172119999999993</v>
      </c>
      <c r="J636" s="7">
        <f>+Tabla1[[#This Row],[PRECIO EN SOLES]]-Tabla1[[#This Row],[PC]]</f>
        <v>11.484751199999998</v>
      </c>
    </row>
    <row r="637" spans="1:10" x14ac:dyDescent="0.25">
      <c r="A637" s="3" t="s">
        <v>6279</v>
      </c>
      <c r="B637" s="3" t="s">
        <v>6280</v>
      </c>
      <c r="C637" s="1">
        <v>0</v>
      </c>
      <c r="D637" s="1">
        <v>5.01</v>
      </c>
      <c r="E637" s="1" t="s">
        <v>248</v>
      </c>
      <c r="F637" s="1" t="s">
        <v>6281</v>
      </c>
      <c r="G637" s="3" t="s">
        <v>6282</v>
      </c>
      <c r="H637" s="12" cm="1">
        <f t="array" ref="H637">_xlfn.IFS(I637&lt;197,I637*1.26,I637&gt;197,I637*1.17) + IF(I637&gt;1000,17,0)</f>
        <v>25.326151199999995</v>
      </c>
      <c r="I637" s="10">
        <f>($K$2+0.02)*Tabla1[[#This Row],[PRECIO $]]*1.18</f>
        <v>20.100119999999997</v>
      </c>
      <c r="J637" s="7">
        <f>+Tabla1[[#This Row],[PRECIO EN SOLES]]-Tabla1[[#This Row],[PC]]</f>
        <v>5.2260311999999978</v>
      </c>
    </row>
    <row r="638" spans="1:10" x14ac:dyDescent="0.25">
      <c r="A638" s="3" t="s">
        <v>6011</v>
      </c>
      <c r="B638" s="3" t="s">
        <v>1846</v>
      </c>
      <c r="C638" s="1">
        <v>5</v>
      </c>
      <c r="D638" s="1">
        <v>5.48</v>
      </c>
      <c r="E638" s="1" t="s">
        <v>248</v>
      </c>
      <c r="F638" s="1" t="s">
        <v>6012</v>
      </c>
      <c r="G638" s="3" t="s">
        <v>6013</v>
      </c>
      <c r="H638" s="12" cm="1">
        <f t="array" ref="H638">_xlfn.IFS(I638&lt;197,I638*1.26,I638&gt;197,I638*1.17) + IF(I638&gt;1000,17,0)</f>
        <v>27.7020576</v>
      </c>
      <c r="I638" s="10">
        <f>($K$2+0.02)*Tabla1[[#This Row],[PRECIO $]]*1.18</f>
        <v>21.985759999999999</v>
      </c>
      <c r="J638" s="7">
        <f>+Tabla1[[#This Row],[PRECIO EN SOLES]]-Tabla1[[#This Row],[PC]]</f>
        <v>5.7162976000000008</v>
      </c>
    </row>
    <row r="639" spans="1:10" x14ac:dyDescent="0.25">
      <c r="A639" s="3" t="s">
        <v>6014</v>
      </c>
      <c r="B639" s="3" t="s">
        <v>6015</v>
      </c>
      <c r="C639" s="1">
        <v>20</v>
      </c>
      <c r="D639" s="1">
        <v>7.43</v>
      </c>
      <c r="E639" s="1" t="s">
        <v>248</v>
      </c>
      <c r="F639" s="1" t="s">
        <v>6016</v>
      </c>
      <c r="G639" s="3" t="s">
        <v>6017</v>
      </c>
      <c r="H639" s="12" cm="1">
        <f t="array" ref="H639">_xlfn.IFS(I639&lt;197,I639*1.26,I639&gt;197,I639*1.17) + IF(I639&gt;1000,17,0)</f>
        <v>37.559541599999996</v>
      </c>
      <c r="I639" s="10">
        <f>($K$2+0.02)*Tabla1[[#This Row],[PRECIO $]]*1.18</f>
        <v>29.809159999999995</v>
      </c>
      <c r="J639" s="7">
        <f>+Tabla1[[#This Row],[PRECIO EN SOLES]]-Tabla1[[#This Row],[PC]]</f>
        <v>7.7503816000000008</v>
      </c>
    </row>
    <row r="640" spans="1:10" x14ac:dyDescent="0.25">
      <c r="A640" s="3" t="s">
        <v>300</v>
      </c>
      <c r="B640" s="3" t="s">
        <v>301</v>
      </c>
      <c r="C640" s="1">
        <v>20</v>
      </c>
      <c r="D640" s="1">
        <v>18.62</v>
      </c>
      <c r="E640" s="1" t="s">
        <v>226</v>
      </c>
      <c r="F640" s="1" t="s">
        <v>4493</v>
      </c>
      <c r="G640" s="3" t="s">
        <v>302</v>
      </c>
      <c r="H640" s="12" cm="1">
        <f t="array" ref="H640">_xlfn.IFS(I640&lt;197,I640*1.26,I640&gt;197,I640*1.17) + IF(I640&gt;1000,17,0)</f>
        <v>94.126334400000005</v>
      </c>
      <c r="I640" s="10">
        <f>($K$2+0.02)*Tabla1[[#This Row],[PRECIO $]]*1.18</f>
        <v>74.703440000000001</v>
      </c>
      <c r="J640" s="7">
        <f>+Tabla1[[#This Row],[PRECIO EN SOLES]]-Tabla1[[#This Row],[PC]]</f>
        <v>19.422894400000004</v>
      </c>
    </row>
    <row r="641" spans="1:10" x14ac:dyDescent="0.25">
      <c r="A641" s="3" t="s">
        <v>3645</v>
      </c>
      <c r="B641" s="3" t="s">
        <v>3646</v>
      </c>
      <c r="C641" s="1">
        <v>20</v>
      </c>
      <c r="D641" s="1">
        <v>29.84</v>
      </c>
      <c r="E641" s="1" t="s">
        <v>226</v>
      </c>
      <c r="F641" s="1" t="s">
        <v>4494</v>
      </c>
      <c r="G641" s="3" t="s">
        <v>302</v>
      </c>
      <c r="H641" s="12" cm="1">
        <f t="array" ref="H641">_xlfn.IFS(I641&lt;197,I641*1.26,I641&gt;197,I641*1.17) + IF(I641&gt;1000,17,0)</f>
        <v>150.8447808</v>
      </c>
      <c r="I641" s="10">
        <f>($K$2+0.02)*Tabla1[[#This Row],[PRECIO $]]*1.18</f>
        <v>119.71808</v>
      </c>
      <c r="J641" s="7">
        <f>+Tabla1[[#This Row],[PRECIO EN SOLES]]-Tabla1[[#This Row],[PC]]</f>
        <v>31.126700799999995</v>
      </c>
    </row>
    <row r="642" spans="1:10" x14ac:dyDescent="0.25">
      <c r="A642" s="3" t="s">
        <v>303</v>
      </c>
      <c r="B642" s="3" t="s">
        <v>304</v>
      </c>
      <c r="C642" s="1">
        <v>20</v>
      </c>
      <c r="D642" s="1">
        <v>11.4</v>
      </c>
      <c r="E642" s="1" t="s">
        <v>226</v>
      </c>
      <c r="F642" s="1" t="s">
        <v>4495</v>
      </c>
      <c r="G642" s="3" t="s">
        <v>302</v>
      </c>
      <c r="H642" s="12" cm="1">
        <f t="array" ref="H642">_xlfn.IFS(I642&lt;197,I642*1.26,I642&gt;197,I642*1.17) + IF(I642&gt;1000,17,0)</f>
        <v>57.628367999999995</v>
      </c>
      <c r="I642" s="10">
        <f>($K$2+0.02)*Tabla1[[#This Row],[PRECIO $]]*1.18</f>
        <v>45.736799999999995</v>
      </c>
      <c r="J642" s="7">
        <f>+Tabla1[[#This Row],[PRECIO EN SOLES]]-Tabla1[[#This Row],[PC]]</f>
        <v>11.891567999999999</v>
      </c>
    </row>
    <row r="643" spans="1:10" x14ac:dyDescent="0.25">
      <c r="A643" s="3" t="s">
        <v>3797</v>
      </c>
      <c r="B643" s="3" t="s">
        <v>3798</v>
      </c>
      <c r="C643" s="1">
        <v>20</v>
      </c>
      <c r="D643" s="1">
        <v>5.46</v>
      </c>
      <c r="E643" s="1" t="s">
        <v>226</v>
      </c>
      <c r="F643" s="1" t="s">
        <v>4496</v>
      </c>
      <c r="G643" s="3" t="s">
        <v>3799</v>
      </c>
      <c r="H643" s="12" cm="1">
        <f t="array" ref="H643">_xlfn.IFS(I643&lt;197,I643*1.26,I643&gt;197,I643*1.17) + IF(I643&gt;1000,17,0)</f>
        <v>27.600955199999998</v>
      </c>
      <c r="I643" s="10">
        <f>($K$2+0.02)*Tabla1[[#This Row],[PRECIO $]]*1.18</f>
        <v>21.905519999999999</v>
      </c>
      <c r="J643" s="7">
        <f>+Tabla1[[#This Row],[PRECIO EN SOLES]]-Tabla1[[#This Row],[PC]]</f>
        <v>5.6954351999999986</v>
      </c>
    </row>
    <row r="644" spans="1:10" x14ac:dyDescent="0.25">
      <c r="A644" s="3" t="s">
        <v>3800</v>
      </c>
      <c r="B644" s="3" t="s">
        <v>3801</v>
      </c>
      <c r="C644" s="1">
        <v>20</v>
      </c>
      <c r="D644" s="1">
        <v>5.46</v>
      </c>
      <c r="E644" s="1" t="s">
        <v>226</v>
      </c>
      <c r="F644" s="1" t="s">
        <v>4497</v>
      </c>
      <c r="G644" s="3" t="s">
        <v>3802</v>
      </c>
      <c r="H644" s="12" cm="1">
        <f t="array" ref="H644">_xlfn.IFS(I644&lt;197,I644*1.26,I644&gt;197,I644*1.17) + IF(I644&gt;1000,17,0)</f>
        <v>27.600955199999998</v>
      </c>
      <c r="I644" s="10">
        <f>($K$2+0.02)*Tabla1[[#This Row],[PRECIO $]]*1.18</f>
        <v>21.905519999999999</v>
      </c>
      <c r="J644" s="7">
        <f>+Tabla1[[#This Row],[PRECIO EN SOLES]]-Tabla1[[#This Row],[PC]]</f>
        <v>5.6954351999999986</v>
      </c>
    </row>
    <row r="645" spans="1:10" x14ac:dyDescent="0.25">
      <c r="A645" s="3" t="s">
        <v>3803</v>
      </c>
      <c r="B645" s="3" t="s">
        <v>3804</v>
      </c>
      <c r="C645" s="1">
        <v>20</v>
      </c>
      <c r="D645" s="1">
        <v>5.46</v>
      </c>
      <c r="E645" s="1" t="s">
        <v>226</v>
      </c>
      <c r="F645" s="1" t="s">
        <v>4498</v>
      </c>
      <c r="G645" s="3" t="s">
        <v>3805</v>
      </c>
      <c r="H645" s="12" cm="1">
        <f t="array" ref="H645">_xlfn.IFS(I645&lt;197,I645*1.26,I645&gt;197,I645*1.17) + IF(I645&gt;1000,17,0)</f>
        <v>27.600955199999998</v>
      </c>
      <c r="I645" s="10">
        <f>($K$2+0.02)*Tabla1[[#This Row],[PRECIO $]]*1.18</f>
        <v>21.905519999999999</v>
      </c>
      <c r="J645" s="7">
        <f>+Tabla1[[#This Row],[PRECIO EN SOLES]]-Tabla1[[#This Row],[PC]]</f>
        <v>5.6954351999999986</v>
      </c>
    </row>
    <row r="646" spans="1:10" x14ac:dyDescent="0.25">
      <c r="A646" s="3" t="s">
        <v>3647</v>
      </c>
      <c r="B646" s="3" t="s">
        <v>3648</v>
      </c>
      <c r="C646" s="1">
        <v>20</v>
      </c>
      <c r="D646" s="1">
        <v>20.61</v>
      </c>
      <c r="E646" s="1" t="s">
        <v>226</v>
      </c>
      <c r="F646" s="1" t="s">
        <v>4499</v>
      </c>
      <c r="G646" s="3" t="s">
        <v>3649</v>
      </c>
      <c r="H646" s="12" cm="1">
        <f t="array" ref="H646">_xlfn.IFS(I646&lt;197,I646*1.26,I646&gt;197,I646*1.17) + IF(I646&gt;1000,17,0)</f>
        <v>104.18602319999999</v>
      </c>
      <c r="I646" s="10">
        <f>($K$2+0.02)*Tabla1[[#This Row],[PRECIO $]]*1.18</f>
        <v>82.68732</v>
      </c>
      <c r="J646" s="7">
        <f>+Tabla1[[#This Row],[PRECIO EN SOLES]]-Tabla1[[#This Row],[PC]]</f>
        <v>21.498703199999994</v>
      </c>
    </row>
    <row r="647" spans="1:10" x14ac:dyDescent="0.25">
      <c r="A647" s="3" t="s">
        <v>1845</v>
      </c>
      <c r="B647" s="3" t="s">
        <v>1846</v>
      </c>
      <c r="C647" s="1">
        <v>0</v>
      </c>
      <c r="D647" s="1">
        <v>5.66</v>
      </c>
      <c r="E647" s="1" t="s">
        <v>248</v>
      </c>
      <c r="F647" s="1" t="s">
        <v>4500</v>
      </c>
      <c r="G647" s="3" t="s">
        <v>1847</v>
      </c>
      <c r="H647" s="12" cm="1">
        <f t="array" ref="H647">_xlfn.IFS(I647&lt;197,I647*1.26,I647&gt;197,I647*1.17) + IF(I647&gt;1000,17,0)</f>
        <v>28.611979199999997</v>
      </c>
      <c r="I647" s="10">
        <f>($K$2+0.02)*Tabla1[[#This Row],[PRECIO $]]*1.18</f>
        <v>22.707919999999998</v>
      </c>
      <c r="J647" s="7">
        <f>+Tabla1[[#This Row],[PRECIO EN SOLES]]-Tabla1[[#This Row],[PC]]</f>
        <v>5.904059199999999</v>
      </c>
    </row>
    <row r="648" spans="1:10" x14ac:dyDescent="0.25">
      <c r="A648" s="3" t="s">
        <v>3806</v>
      </c>
      <c r="B648" s="3" t="s">
        <v>3807</v>
      </c>
      <c r="C648" s="1">
        <v>20</v>
      </c>
      <c r="D648" s="1">
        <v>11.97</v>
      </c>
      <c r="E648" s="1" t="s">
        <v>226</v>
      </c>
      <c r="F648" s="1" t="s">
        <v>4501</v>
      </c>
      <c r="G648" s="3" t="s">
        <v>3808</v>
      </c>
      <c r="H648" s="12" cm="1">
        <f t="array" ref="H648">_xlfn.IFS(I648&lt;197,I648*1.26,I648&gt;197,I648*1.17) + IF(I648&gt;1000,17,0)</f>
        <v>60.509786400000003</v>
      </c>
      <c r="I648" s="10">
        <f>($K$2+0.02)*Tabla1[[#This Row],[PRECIO $]]*1.18</f>
        <v>48.02364</v>
      </c>
      <c r="J648" s="7">
        <f>+Tabla1[[#This Row],[PRECIO EN SOLES]]-Tabla1[[#This Row],[PC]]</f>
        <v>12.486146400000003</v>
      </c>
    </row>
    <row r="649" spans="1:10" x14ac:dyDescent="0.25">
      <c r="A649" s="3" t="s">
        <v>3809</v>
      </c>
      <c r="B649" s="3" t="s">
        <v>3810</v>
      </c>
      <c r="C649" s="1">
        <v>20</v>
      </c>
      <c r="D649" s="1">
        <v>18.760000000000002</v>
      </c>
      <c r="E649" s="1" t="s">
        <v>226</v>
      </c>
      <c r="F649" s="1" t="s">
        <v>4502</v>
      </c>
      <c r="G649" s="3" t="s">
        <v>3811</v>
      </c>
      <c r="H649" s="12" cm="1">
        <f t="array" ref="H649">_xlfn.IFS(I649&lt;197,I649*1.26,I649&gt;197,I649*1.17) + IF(I649&gt;1000,17,0)</f>
        <v>94.834051200000019</v>
      </c>
      <c r="I649" s="10">
        <f>($K$2+0.02)*Tabla1[[#This Row],[PRECIO $]]*1.18</f>
        <v>75.26512000000001</v>
      </c>
      <c r="J649" s="7">
        <f>+Tabla1[[#This Row],[PRECIO EN SOLES]]-Tabla1[[#This Row],[PC]]</f>
        <v>19.568931200000009</v>
      </c>
    </row>
    <row r="650" spans="1:10" x14ac:dyDescent="0.25">
      <c r="A650" s="3" t="s">
        <v>3650</v>
      </c>
      <c r="B650" s="3" t="s">
        <v>3651</v>
      </c>
      <c r="C650" s="1">
        <v>20</v>
      </c>
      <c r="D650" s="1">
        <v>19.88</v>
      </c>
      <c r="E650" s="1" t="s">
        <v>226</v>
      </c>
      <c r="F650" s="1" t="s">
        <v>4503</v>
      </c>
      <c r="G650" s="3" t="s">
        <v>3652</v>
      </c>
      <c r="H650" s="12" cm="1">
        <f t="array" ref="H650">_xlfn.IFS(I650&lt;197,I650*1.26,I650&gt;197,I650*1.17) + IF(I650&gt;1000,17,0)</f>
        <v>100.49578559999999</v>
      </c>
      <c r="I650" s="10">
        <f>($K$2+0.02)*Tabla1[[#This Row],[PRECIO $]]*1.18</f>
        <v>79.758559999999989</v>
      </c>
      <c r="J650" s="7">
        <f>+Tabla1[[#This Row],[PRECIO EN SOLES]]-Tabla1[[#This Row],[PC]]</f>
        <v>20.737225600000002</v>
      </c>
    </row>
    <row r="651" spans="1:10" x14ac:dyDescent="0.25">
      <c r="A651" s="3" t="s">
        <v>1848</v>
      </c>
      <c r="B651" s="3" t="s">
        <v>1849</v>
      </c>
      <c r="C651" s="1">
        <v>20</v>
      </c>
      <c r="D651" s="1">
        <v>27.2</v>
      </c>
      <c r="E651" s="1" t="s">
        <v>226</v>
      </c>
      <c r="F651" s="1" t="s">
        <v>4504</v>
      </c>
      <c r="G651" s="3" t="s">
        <v>1850</v>
      </c>
      <c r="H651" s="12" cm="1">
        <f t="array" ref="H651">_xlfn.IFS(I651&lt;197,I651*1.26,I651&gt;197,I651*1.17) + IF(I651&gt;1000,17,0)</f>
        <v>137.49926399999998</v>
      </c>
      <c r="I651" s="10">
        <f>($K$2+0.02)*Tabla1[[#This Row],[PRECIO $]]*1.18</f>
        <v>109.12639999999998</v>
      </c>
      <c r="J651" s="7">
        <f>+Tabla1[[#This Row],[PRECIO EN SOLES]]-Tabla1[[#This Row],[PC]]</f>
        <v>28.372864000000007</v>
      </c>
    </row>
    <row r="652" spans="1:10" x14ac:dyDescent="0.25">
      <c r="A652" s="3" t="s">
        <v>3653</v>
      </c>
      <c r="B652" s="3" t="s">
        <v>3654</v>
      </c>
      <c r="C652" s="1">
        <v>20</v>
      </c>
      <c r="D652" s="1">
        <v>64.099999999999994</v>
      </c>
      <c r="E652" s="1" t="s">
        <v>226</v>
      </c>
      <c r="F652" s="1" t="s">
        <v>4505</v>
      </c>
      <c r="G652" s="3" t="s">
        <v>3655</v>
      </c>
      <c r="H652" s="12" cm="1">
        <f t="array" ref="H652">_xlfn.IFS(I652&lt;197,I652*1.26,I652&gt;197,I652*1.17) + IF(I652&gt;1000,17,0)</f>
        <v>300.8879639999999</v>
      </c>
      <c r="I652" s="10">
        <f>($K$2+0.02)*Tabla1[[#This Row],[PRECIO $]]*1.18</f>
        <v>257.16919999999993</v>
      </c>
      <c r="J652" s="7">
        <f>+Tabla1[[#This Row],[PRECIO EN SOLES]]-Tabla1[[#This Row],[PC]]</f>
        <v>43.718763999999965</v>
      </c>
    </row>
    <row r="653" spans="1:10" x14ac:dyDescent="0.25">
      <c r="A653" s="3" t="s">
        <v>3812</v>
      </c>
      <c r="B653" s="3" t="s">
        <v>3813</v>
      </c>
      <c r="C653" s="1">
        <v>20</v>
      </c>
      <c r="D653" s="1">
        <v>5.46</v>
      </c>
      <c r="E653" s="1" t="s">
        <v>226</v>
      </c>
      <c r="F653" s="1" t="s">
        <v>4506</v>
      </c>
      <c r="G653" s="3" t="s">
        <v>3814</v>
      </c>
      <c r="H653" s="12" cm="1">
        <f t="array" ref="H653">_xlfn.IFS(I653&lt;197,I653*1.26,I653&gt;197,I653*1.17) + IF(I653&gt;1000,17,0)</f>
        <v>27.600955199999998</v>
      </c>
      <c r="I653" s="10">
        <f>($K$2+0.02)*Tabla1[[#This Row],[PRECIO $]]*1.18</f>
        <v>21.905519999999999</v>
      </c>
      <c r="J653" s="7">
        <f>+Tabla1[[#This Row],[PRECIO EN SOLES]]-Tabla1[[#This Row],[PC]]</f>
        <v>5.6954351999999986</v>
      </c>
    </row>
    <row r="654" spans="1:10" x14ac:dyDescent="0.25">
      <c r="A654" s="3" t="s">
        <v>3815</v>
      </c>
      <c r="B654" s="3" t="s">
        <v>3816</v>
      </c>
      <c r="C654" s="1">
        <v>20</v>
      </c>
      <c r="D654" s="1">
        <v>5.46</v>
      </c>
      <c r="E654" s="1" t="s">
        <v>226</v>
      </c>
      <c r="F654" s="1" t="s">
        <v>4507</v>
      </c>
      <c r="G654" s="3" t="s">
        <v>3817</v>
      </c>
      <c r="H654" s="12" cm="1">
        <f t="array" ref="H654">_xlfn.IFS(I654&lt;197,I654*1.26,I654&gt;197,I654*1.17) + IF(I654&gt;1000,17,0)</f>
        <v>27.600955199999998</v>
      </c>
      <c r="I654" s="10">
        <f>($K$2+0.02)*Tabla1[[#This Row],[PRECIO $]]*1.18</f>
        <v>21.905519999999999</v>
      </c>
      <c r="J654" s="7">
        <f>+Tabla1[[#This Row],[PRECIO EN SOLES]]-Tabla1[[#This Row],[PC]]</f>
        <v>5.6954351999999986</v>
      </c>
    </row>
    <row r="655" spans="1:10" x14ac:dyDescent="0.25">
      <c r="A655" s="3" t="s">
        <v>3656</v>
      </c>
      <c r="B655" s="3" t="s">
        <v>3657</v>
      </c>
      <c r="C655" s="1">
        <v>20</v>
      </c>
      <c r="D655" s="1">
        <v>12.37</v>
      </c>
      <c r="E655" s="1" t="s">
        <v>226</v>
      </c>
      <c r="F655" s="1" t="s">
        <v>4508</v>
      </c>
      <c r="G655" s="3" t="s">
        <v>3658</v>
      </c>
      <c r="H655" s="12" cm="1">
        <f t="array" ref="H655">_xlfn.IFS(I655&lt;197,I655*1.26,I655&gt;197,I655*1.17) + IF(I655&gt;1000,17,0)</f>
        <v>62.531834399999987</v>
      </c>
      <c r="I655" s="10">
        <f>($K$2+0.02)*Tabla1[[#This Row],[PRECIO $]]*1.18</f>
        <v>49.628439999999991</v>
      </c>
      <c r="J655" s="7">
        <f>+Tabla1[[#This Row],[PRECIO EN SOLES]]-Tabla1[[#This Row],[PC]]</f>
        <v>12.903394399999996</v>
      </c>
    </row>
    <row r="656" spans="1:10" x14ac:dyDescent="0.25">
      <c r="A656" s="3" t="s">
        <v>779</v>
      </c>
      <c r="B656" s="3" t="s">
        <v>780</v>
      </c>
      <c r="C656" s="1">
        <v>13</v>
      </c>
      <c r="D656" s="1">
        <v>6.95</v>
      </c>
      <c r="E656" s="1" t="s">
        <v>226</v>
      </c>
      <c r="F656" s="1" t="s">
        <v>4509</v>
      </c>
      <c r="G656" s="3" t="s">
        <v>781</v>
      </c>
      <c r="H656" s="12" cm="1">
        <f t="array" ref="H656">_xlfn.IFS(I656&lt;197,I656*1.26,I656&gt;197,I656*1.17) + IF(I656&gt;1000,17,0)</f>
        <v>35.133083999999997</v>
      </c>
      <c r="I656" s="10">
        <f>($K$2+0.02)*Tabla1[[#This Row],[PRECIO $]]*1.18</f>
        <v>27.883399999999998</v>
      </c>
      <c r="J656" s="7">
        <f>+Tabla1[[#This Row],[PRECIO EN SOLES]]-Tabla1[[#This Row],[PC]]</f>
        <v>7.2496839999999985</v>
      </c>
    </row>
    <row r="657" spans="1:10" x14ac:dyDescent="0.25">
      <c r="A657" s="3" t="s">
        <v>3659</v>
      </c>
      <c r="B657" s="3" t="s">
        <v>3660</v>
      </c>
      <c r="C657" s="1">
        <v>20</v>
      </c>
      <c r="D657" s="1">
        <v>5.61</v>
      </c>
      <c r="E657" s="1" t="s">
        <v>226</v>
      </c>
      <c r="F657" s="1" t="s">
        <v>4510</v>
      </c>
      <c r="G657" s="3" t="s">
        <v>3661</v>
      </c>
      <c r="H657" s="12" cm="1">
        <f t="array" ref="H657">_xlfn.IFS(I657&lt;197,I657*1.26,I657&gt;197,I657*1.17) + IF(I657&gt;1000,17,0)</f>
        <v>28.359223199999999</v>
      </c>
      <c r="I657" s="10">
        <f>($K$2+0.02)*Tabla1[[#This Row],[PRECIO $]]*1.18</f>
        <v>22.50732</v>
      </c>
      <c r="J657" s="7">
        <f>+Tabla1[[#This Row],[PRECIO EN SOLES]]-Tabla1[[#This Row],[PC]]</f>
        <v>5.8519031999999989</v>
      </c>
    </row>
    <row r="658" spans="1:10" x14ac:dyDescent="0.25">
      <c r="A658" s="3" t="s">
        <v>3662</v>
      </c>
      <c r="B658" s="3" t="s">
        <v>3663</v>
      </c>
      <c r="C658" s="1">
        <v>20</v>
      </c>
      <c r="D658" s="1">
        <v>7.71</v>
      </c>
      <c r="E658" s="1" t="s">
        <v>226</v>
      </c>
      <c r="F658" s="1" t="s">
        <v>4511</v>
      </c>
      <c r="G658" s="3" t="s">
        <v>3664</v>
      </c>
      <c r="H658" s="12" cm="1">
        <f t="array" ref="H658">_xlfn.IFS(I658&lt;197,I658*1.26,I658&gt;197,I658*1.17) + IF(I658&gt;1000,17,0)</f>
        <v>38.974975199999996</v>
      </c>
      <c r="I658" s="10">
        <f>($K$2+0.02)*Tabla1[[#This Row],[PRECIO $]]*1.18</f>
        <v>30.932519999999997</v>
      </c>
      <c r="J658" s="7">
        <f>+Tabla1[[#This Row],[PRECIO EN SOLES]]-Tabla1[[#This Row],[PC]]</f>
        <v>8.0424551999999991</v>
      </c>
    </row>
    <row r="659" spans="1:10" x14ac:dyDescent="0.25">
      <c r="A659" s="3" t="s">
        <v>3665</v>
      </c>
      <c r="B659" s="3" t="s">
        <v>3666</v>
      </c>
      <c r="C659" s="1">
        <v>20</v>
      </c>
      <c r="D659" s="1">
        <v>18.61</v>
      </c>
      <c r="E659" s="1" t="s">
        <v>226</v>
      </c>
      <c r="F659" s="1" t="s">
        <v>4512</v>
      </c>
      <c r="G659" s="3" t="s">
        <v>3667</v>
      </c>
      <c r="H659" s="12" cm="1">
        <f t="array" ref="H659">_xlfn.IFS(I659&lt;197,I659*1.26,I659&gt;197,I659*1.17) + IF(I659&gt;1000,17,0)</f>
        <v>94.075783199999975</v>
      </c>
      <c r="I659" s="10">
        <f>($K$2+0.02)*Tabla1[[#This Row],[PRECIO $]]*1.18</f>
        <v>74.663319999999985</v>
      </c>
      <c r="J659" s="7">
        <f>+Tabla1[[#This Row],[PRECIO EN SOLES]]-Tabla1[[#This Row],[PC]]</f>
        <v>19.412463199999991</v>
      </c>
    </row>
    <row r="660" spans="1:10" x14ac:dyDescent="0.25">
      <c r="A660" s="3" t="s">
        <v>3668</v>
      </c>
      <c r="B660" s="3" t="s">
        <v>3669</v>
      </c>
      <c r="C660" s="1">
        <v>20</v>
      </c>
      <c r="D660" s="1">
        <v>35.01</v>
      </c>
      <c r="E660" s="1" t="s">
        <v>226</v>
      </c>
      <c r="F660" s="1" t="s">
        <v>4513</v>
      </c>
      <c r="G660" s="3" t="s">
        <v>3670</v>
      </c>
      <c r="H660" s="12" cm="1">
        <f t="array" ref="H660">_xlfn.IFS(I660&lt;197,I660*1.26,I660&gt;197,I660*1.17) + IF(I660&gt;1000,17,0)</f>
        <v>176.97975119999998</v>
      </c>
      <c r="I660" s="10">
        <f>($K$2+0.02)*Tabla1[[#This Row],[PRECIO $]]*1.18</f>
        <v>140.46011999999999</v>
      </c>
      <c r="J660" s="7">
        <f>+Tabla1[[#This Row],[PRECIO EN SOLES]]-Tabla1[[#This Row],[PC]]</f>
        <v>36.519631199999992</v>
      </c>
    </row>
    <row r="661" spans="1:10" x14ac:dyDescent="0.25">
      <c r="A661" s="3" t="s">
        <v>3671</v>
      </c>
      <c r="B661" s="3" t="s">
        <v>3672</v>
      </c>
      <c r="C661" s="1">
        <v>20</v>
      </c>
      <c r="D661" s="1">
        <v>64.599999999999994</v>
      </c>
      <c r="E661" s="1" t="s">
        <v>226</v>
      </c>
      <c r="F661" s="1" t="s">
        <v>4514</v>
      </c>
      <c r="G661" s="3" t="s">
        <v>3673</v>
      </c>
      <c r="H661" s="12" cm="1">
        <f t="array" ref="H661">_xlfn.IFS(I661&lt;197,I661*1.26,I661&gt;197,I661*1.17) + IF(I661&gt;1000,17,0)</f>
        <v>303.23498399999994</v>
      </c>
      <c r="I661" s="10">
        <f>($K$2+0.02)*Tabla1[[#This Row],[PRECIO $]]*1.18</f>
        <v>259.17519999999996</v>
      </c>
      <c r="J661" s="7">
        <f>+Tabla1[[#This Row],[PRECIO EN SOLES]]-Tabla1[[#This Row],[PC]]</f>
        <v>44.059783999999979</v>
      </c>
    </row>
    <row r="662" spans="1:10" x14ac:dyDescent="0.25">
      <c r="A662" s="3" t="s">
        <v>305</v>
      </c>
      <c r="B662" s="3" t="s">
        <v>306</v>
      </c>
      <c r="C662" s="1">
        <v>20</v>
      </c>
      <c r="D662" s="1">
        <v>11.56</v>
      </c>
      <c r="E662" s="1" t="s">
        <v>226</v>
      </c>
      <c r="F662" s="1" t="s">
        <v>4515</v>
      </c>
      <c r="G662" s="3" t="s">
        <v>307</v>
      </c>
      <c r="H662" s="12" cm="1">
        <f t="array" ref="H662">_xlfn.IFS(I662&lt;197,I662*1.26,I662&gt;197,I662*1.17) + IF(I662&gt;1000,17,0)</f>
        <v>58.437187200000004</v>
      </c>
      <c r="I662" s="10">
        <f>($K$2+0.02)*Tabla1[[#This Row],[PRECIO $]]*1.18</f>
        <v>46.378720000000001</v>
      </c>
      <c r="J662" s="7">
        <f>+Tabla1[[#This Row],[PRECIO EN SOLES]]-Tabla1[[#This Row],[PC]]</f>
        <v>12.058467200000003</v>
      </c>
    </row>
    <row r="663" spans="1:10" x14ac:dyDescent="0.25">
      <c r="A663" s="3" t="s">
        <v>308</v>
      </c>
      <c r="B663" s="3" t="s">
        <v>309</v>
      </c>
      <c r="C663" s="1">
        <v>20</v>
      </c>
      <c r="D663" s="1">
        <v>8.76</v>
      </c>
      <c r="E663" s="1" t="s">
        <v>226</v>
      </c>
      <c r="F663" s="1" t="s">
        <v>4516</v>
      </c>
      <c r="G663" s="3" t="s">
        <v>310</v>
      </c>
      <c r="H663" s="12" cm="1">
        <f t="array" ref="H663">_xlfn.IFS(I663&lt;197,I663*1.26,I663&gt;197,I663*1.17) + IF(I663&gt;1000,17,0)</f>
        <v>44.282851199999996</v>
      </c>
      <c r="I663" s="10">
        <f>($K$2+0.02)*Tabla1[[#This Row],[PRECIO $]]*1.18</f>
        <v>35.145119999999999</v>
      </c>
      <c r="J663" s="7">
        <f>+Tabla1[[#This Row],[PRECIO EN SOLES]]-Tabla1[[#This Row],[PC]]</f>
        <v>9.1377311999999975</v>
      </c>
    </row>
    <row r="664" spans="1:10" x14ac:dyDescent="0.25">
      <c r="A664" s="3" t="s">
        <v>3674</v>
      </c>
      <c r="B664" s="3" t="s">
        <v>3675</v>
      </c>
      <c r="C664" s="1">
        <v>20</v>
      </c>
      <c r="D664" s="1">
        <v>20.21</v>
      </c>
      <c r="E664" s="1" t="s">
        <v>226</v>
      </c>
      <c r="F664" s="1" t="s">
        <v>4517</v>
      </c>
      <c r="G664" s="3" t="s">
        <v>3676</v>
      </c>
      <c r="H664" s="12" cm="1">
        <f t="array" ref="H664">_xlfn.IFS(I664&lt;197,I664*1.26,I664&gt;197,I664*1.17) + IF(I664&gt;1000,17,0)</f>
        <v>102.16397519999998</v>
      </c>
      <c r="I664" s="10">
        <f>($K$2+0.02)*Tabla1[[#This Row],[PRECIO $]]*1.18</f>
        <v>81.082519999999988</v>
      </c>
      <c r="J664" s="7">
        <f>+Tabla1[[#This Row],[PRECIO EN SOLES]]-Tabla1[[#This Row],[PC]]</f>
        <v>21.081455199999994</v>
      </c>
    </row>
    <row r="665" spans="1:10" x14ac:dyDescent="0.25">
      <c r="A665" s="3" t="s">
        <v>3677</v>
      </c>
      <c r="B665" s="3" t="s">
        <v>3678</v>
      </c>
      <c r="C665" s="1">
        <v>20</v>
      </c>
      <c r="D665" s="1">
        <v>5.31</v>
      </c>
      <c r="E665" s="1" t="s">
        <v>226</v>
      </c>
      <c r="F665" s="1" t="s">
        <v>4518</v>
      </c>
      <c r="G665" s="3" t="s">
        <v>3679</v>
      </c>
      <c r="H665" s="12" cm="1">
        <f t="array" ref="H665">_xlfn.IFS(I665&lt;197,I665*1.26,I665&gt;197,I665*1.17) + IF(I665&gt;1000,17,0)</f>
        <v>26.842687199999997</v>
      </c>
      <c r="I665" s="10">
        <f>($K$2+0.02)*Tabla1[[#This Row],[PRECIO $]]*1.18</f>
        <v>21.303719999999998</v>
      </c>
      <c r="J665" s="7">
        <f>+Tabla1[[#This Row],[PRECIO EN SOLES]]-Tabla1[[#This Row],[PC]]</f>
        <v>5.5389671999999983</v>
      </c>
    </row>
    <row r="666" spans="1:10" x14ac:dyDescent="0.25">
      <c r="A666" s="3" t="s">
        <v>3818</v>
      </c>
      <c r="B666" s="3" t="s">
        <v>3819</v>
      </c>
      <c r="C666" s="1">
        <v>20</v>
      </c>
      <c r="D666" s="1">
        <v>5.46</v>
      </c>
      <c r="E666" s="1" t="s">
        <v>226</v>
      </c>
      <c r="F666" s="1" t="s">
        <v>4519</v>
      </c>
      <c r="G666" s="3" t="s">
        <v>3820</v>
      </c>
      <c r="H666" s="12" cm="1">
        <f t="array" ref="H666">_xlfn.IFS(I666&lt;197,I666*1.26,I666&gt;197,I666*1.17) + IF(I666&gt;1000,17,0)</f>
        <v>27.600955199999998</v>
      </c>
      <c r="I666" s="10">
        <f>($K$2+0.02)*Tabla1[[#This Row],[PRECIO $]]*1.18</f>
        <v>21.905519999999999</v>
      </c>
      <c r="J666" s="7">
        <f>+Tabla1[[#This Row],[PRECIO EN SOLES]]-Tabla1[[#This Row],[PC]]</f>
        <v>5.6954351999999986</v>
      </c>
    </row>
    <row r="667" spans="1:10" x14ac:dyDescent="0.25">
      <c r="A667" s="3" t="s">
        <v>782</v>
      </c>
      <c r="B667" s="3" t="s">
        <v>783</v>
      </c>
      <c r="C667" s="1">
        <v>20</v>
      </c>
      <c r="D667" s="1">
        <v>8.8699999999999992</v>
      </c>
      <c r="E667" s="1" t="s">
        <v>226</v>
      </c>
      <c r="F667" s="1" t="s">
        <v>4520</v>
      </c>
      <c r="G667" s="3" t="s">
        <v>784</v>
      </c>
      <c r="H667" s="12" cm="1">
        <f t="array" ref="H667">_xlfn.IFS(I667&lt;197,I667*1.26,I667&gt;197,I667*1.17) + IF(I667&gt;1000,17,0)</f>
        <v>44.838914399999993</v>
      </c>
      <c r="I667" s="10">
        <f>($K$2+0.02)*Tabla1[[#This Row],[PRECIO $]]*1.18</f>
        <v>35.586439999999996</v>
      </c>
      <c r="J667" s="7">
        <f>+Tabla1[[#This Row],[PRECIO EN SOLES]]-Tabla1[[#This Row],[PC]]</f>
        <v>9.252474399999997</v>
      </c>
    </row>
    <row r="668" spans="1:10" x14ac:dyDescent="0.25">
      <c r="A668" s="3" t="s">
        <v>3680</v>
      </c>
      <c r="B668" s="3" t="s">
        <v>3681</v>
      </c>
      <c r="C668" s="1">
        <v>20</v>
      </c>
      <c r="D668" s="1">
        <v>20.02</v>
      </c>
      <c r="E668" s="1" t="s">
        <v>226</v>
      </c>
      <c r="F668" s="1" t="s">
        <v>4521</v>
      </c>
      <c r="G668" s="3" t="s">
        <v>3682</v>
      </c>
      <c r="H668" s="12" cm="1">
        <f t="array" ref="H668">_xlfn.IFS(I668&lt;197,I668*1.26,I668&gt;197,I668*1.17) + IF(I668&gt;1000,17,0)</f>
        <v>101.2035024</v>
      </c>
      <c r="I668" s="10">
        <f>($K$2+0.02)*Tabla1[[#This Row],[PRECIO $]]*1.18</f>
        <v>80.320239999999998</v>
      </c>
      <c r="J668" s="7">
        <f>+Tabla1[[#This Row],[PRECIO EN SOLES]]-Tabla1[[#This Row],[PC]]</f>
        <v>20.883262400000007</v>
      </c>
    </row>
    <row r="669" spans="1:10" x14ac:dyDescent="0.25">
      <c r="A669" s="3" t="s">
        <v>3683</v>
      </c>
      <c r="B669" s="3" t="s">
        <v>3684</v>
      </c>
      <c r="C669" s="1">
        <v>20</v>
      </c>
      <c r="D669" s="1">
        <v>5.36</v>
      </c>
      <c r="E669" s="1" t="s">
        <v>226</v>
      </c>
      <c r="F669" s="1" t="s">
        <v>4522</v>
      </c>
      <c r="G669" s="3" t="s">
        <v>3685</v>
      </c>
      <c r="H669" s="12" cm="1">
        <f t="array" ref="H669">_xlfn.IFS(I669&lt;197,I669*1.26,I669&gt;197,I669*1.17) + IF(I669&gt;1000,17,0)</f>
        <v>27.095443199999998</v>
      </c>
      <c r="I669" s="10">
        <f>($K$2+0.02)*Tabla1[[#This Row],[PRECIO $]]*1.18</f>
        <v>21.50432</v>
      </c>
      <c r="J669" s="7">
        <f>+Tabla1[[#This Row],[PRECIO EN SOLES]]-Tabla1[[#This Row],[PC]]</f>
        <v>5.5911231999999984</v>
      </c>
    </row>
    <row r="670" spans="1:10" x14ac:dyDescent="0.25">
      <c r="A670" s="3" t="s">
        <v>311</v>
      </c>
      <c r="B670" s="3" t="s">
        <v>312</v>
      </c>
      <c r="C670" s="1">
        <v>20</v>
      </c>
      <c r="D670" s="1">
        <v>7.95</v>
      </c>
      <c r="E670" s="1" t="s">
        <v>226</v>
      </c>
      <c r="F670" s="1" t="s">
        <v>4523</v>
      </c>
      <c r="G670" s="3" t="s">
        <v>313</v>
      </c>
      <c r="H670" s="12" cm="1">
        <f t="array" ref="H670">_xlfn.IFS(I670&lt;197,I670*1.26,I670&gt;197,I670*1.17) + IF(I670&gt;1000,17,0)</f>
        <v>40.188203999999999</v>
      </c>
      <c r="I670" s="10">
        <f>($K$2+0.02)*Tabla1[[#This Row],[PRECIO $]]*1.18</f>
        <v>31.895399999999999</v>
      </c>
      <c r="J670" s="7">
        <f>+Tabla1[[#This Row],[PRECIO EN SOLES]]-Tabla1[[#This Row],[PC]]</f>
        <v>8.2928040000000003</v>
      </c>
    </row>
    <row r="671" spans="1:10" x14ac:dyDescent="0.25">
      <c r="A671" s="3" t="s">
        <v>314</v>
      </c>
      <c r="B671" s="3" t="s">
        <v>315</v>
      </c>
      <c r="C671" s="1">
        <v>20</v>
      </c>
      <c r="D671" s="1">
        <v>20.010000000000002</v>
      </c>
      <c r="E671" s="1" t="s">
        <v>226</v>
      </c>
      <c r="F671" s="1" t="s">
        <v>4524</v>
      </c>
      <c r="G671" s="3" t="s">
        <v>316</v>
      </c>
      <c r="H671" s="12" cm="1">
        <f t="array" ref="H671">_xlfn.IFS(I671&lt;197,I671*1.26,I671&gt;197,I671*1.17) + IF(I671&gt;1000,17,0)</f>
        <v>101.15295119999999</v>
      </c>
      <c r="I671" s="10">
        <f>($K$2+0.02)*Tabla1[[#This Row],[PRECIO $]]*1.18</f>
        <v>80.280119999999997</v>
      </c>
      <c r="J671" s="7">
        <f>+Tabla1[[#This Row],[PRECIO EN SOLES]]-Tabla1[[#This Row],[PC]]</f>
        <v>20.872831199999993</v>
      </c>
    </row>
    <row r="672" spans="1:10" x14ac:dyDescent="0.25">
      <c r="A672" s="3" t="s">
        <v>1851</v>
      </c>
      <c r="B672" s="3" t="s">
        <v>1852</v>
      </c>
      <c r="C672" s="1">
        <v>20</v>
      </c>
      <c r="D672" s="1">
        <v>42.1</v>
      </c>
      <c r="E672" s="1" t="s">
        <v>226</v>
      </c>
      <c r="F672" s="1" t="s">
        <v>4525</v>
      </c>
      <c r="G672" s="3" t="s">
        <v>1853</v>
      </c>
      <c r="H672" s="12" cm="1">
        <f t="array" ref="H672">_xlfn.IFS(I672&lt;197,I672*1.26,I672&gt;197,I672*1.17) + IF(I672&gt;1000,17,0)</f>
        <v>212.82055200000002</v>
      </c>
      <c r="I672" s="10">
        <f>($K$2+0.02)*Tabla1[[#This Row],[PRECIO $]]*1.18</f>
        <v>168.90520000000001</v>
      </c>
      <c r="J672" s="7">
        <f>+Tabla1[[#This Row],[PRECIO EN SOLES]]-Tabla1[[#This Row],[PC]]</f>
        <v>43.915352000000013</v>
      </c>
    </row>
    <row r="673" spans="1:10" x14ac:dyDescent="0.25">
      <c r="A673" s="3" t="s">
        <v>3686</v>
      </c>
      <c r="B673" s="3" t="s">
        <v>3687</v>
      </c>
      <c r="C673" s="1">
        <v>20</v>
      </c>
      <c r="D673" s="1">
        <v>5.51</v>
      </c>
      <c r="E673" s="1" t="s">
        <v>226</v>
      </c>
      <c r="F673" s="1" t="s">
        <v>4526</v>
      </c>
      <c r="G673" s="3" t="s">
        <v>3688</v>
      </c>
      <c r="H673" s="12" cm="1">
        <f t="array" ref="H673">_xlfn.IFS(I673&lt;197,I673*1.26,I673&gt;197,I673*1.17) + IF(I673&gt;1000,17,0)</f>
        <v>27.853711199999996</v>
      </c>
      <c r="I673" s="10">
        <f>($K$2+0.02)*Tabla1[[#This Row],[PRECIO $]]*1.18</f>
        <v>22.106119999999997</v>
      </c>
      <c r="J673" s="7">
        <f>+Tabla1[[#This Row],[PRECIO EN SOLES]]-Tabla1[[#This Row],[PC]]</f>
        <v>5.7475911999999987</v>
      </c>
    </row>
    <row r="674" spans="1:10" x14ac:dyDescent="0.25">
      <c r="A674" s="3" t="s">
        <v>6018</v>
      </c>
      <c r="B674" s="3" t="s">
        <v>6019</v>
      </c>
      <c r="C674" s="1">
        <v>2</v>
      </c>
      <c r="D674" s="1">
        <v>7.31</v>
      </c>
      <c r="E674" s="1" t="s">
        <v>248</v>
      </c>
      <c r="F674" s="1" t="s">
        <v>6020</v>
      </c>
      <c r="G674" s="3" t="s">
        <v>6021</v>
      </c>
      <c r="H674" s="12" cm="1">
        <f t="array" ref="H674">_xlfn.IFS(I674&lt;197,I674*1.26,I674&gt;197,I674*1.17) + IF(I674&gt;1000,17,0)</f>
        <v>36.952927199999998</v>
      </c>
      <c r="I674" s="10">
        <f>($K$2+0.02)*Tabla1[[#This Row],[PRECIO $]]*1.18</f>
        <v>29.327719999999996</v>
      </c>
      <c r="J674" s="7">
        <f>+Tabla1[[#This Row],[PRECIO EN SOLES]]-Tabla1[[#This Row],[PC]]</f>
        <v>7.625207200000002</v>
      </c>
    </row>
    <row r="675" spans="1:10" x14ac:dyDescent="0.25">
      <c r="A675" s="3" t="s">
        <v>317</v>
      </c>
      <c r="B675" s="3" t="s">
        <v>318</v>
      </c>
      <c r="C675" s="1">
        <v>20</v>
      </c>
      <c r="D675" s="1">
        <v>8.81</v>
      </c>
      <c r="E675" s="1" t="s">
        <v>248</v>
      </c>
      <c r="F675" s="1" t="s">
        <v>4527</v>
      </c>
      <c r="G675" s="3" t="s">
        <v>319</v>
      </c>
      <c r="H675" s="12" cm="1">
        <f t="array" ref="H675">_xlfn.IFS(I675&lt;197,I675*1.26,I675&gt;197,I675*1.17) + IF(I675&gt;1000,17,0)</f>
        <v>44.535607200000001</v>
      </c>
      <c r="I675" s="10">
        <f>($K$2+0.02)*Tabla1[[#This Row],[PRECIO $]]*1.18</f>
        <v>35.34572</v>
      </c>
      <c r="J675" s="7">
        <f>+Tabla1[[#This Row],[PRECIO EN SOLES]]-Tabla1[[#This Row],[PC]]</f>
        <v>9.1898872000000011</v>
      </c>
    </row>
    <row r="676" spans="1:10" x14ac:dyDescent="0.25">
      <c r="A676" s="3" t="s">
        <v>320</v>
      </c>
      <c r="B676" s="3" t="s">
        <v>321</v>
      </c>
      <c r="C676" s="1">
        <v>20</v>
      </c>
      <c r="D676" s="1">
        <v>12.21</v>
      </c>
      <c r="E676" s="1" t="s">
        <v>248</v>
      </c>
      <c r="F676" s="1" t="s">
        <v>4528</v>
      </c>
      <c r="G676" s="3" t="s">
        <v>322</v>
      </c>
      <c r="H676" s="12" cm="1">
        <f t="array" ref="H676">_xlfn.IFS(I676&lt;197,I676*1.26,I676&gt;197,I676*1.17) + IF(I676&gt;1000,17,0)</f>
        <v>61.723015199999999</v>
      </c>
      <c r="I676" s="10">
        <f>($K$2+0.02)*Tabla1[[#This Row],[PRECIO $]]*1.18</f>
        <v>48.986519999999999</v>
      </c>
      <c r="J676" s="7">
        <f>+Tabla1[[#This Row],[PRECIO EN SOLES]]-Tabla1[[#This Row],[PC]]</f>
        <v>12.7364952</v>
      </c>
    </row>
    <row r="677" spans="1:10" x14ac:dyDescent="0.25">
      <c r="A677" s="3" t="s">
        <v>1854</v>
      </c>
      <c r="B677" s="3" t="s">
        <v>1855</v>
      </c>
      <c r="C677" s="1">
        <v>13</v>
      </c>
      <c r="D677" s="1">
        <v>23.52</v>
      </c>
      <c r="E677" s="1" t="s">
        <v>248</v>
      </c>
      <c r="F677" s="1" t="s">
        <v>4529</v>
      </c>
      <c r="G677" s="3" t="s">
        <v>1856</v>
      </c>
      <c r="H677" s="12" cm="1">
        <f t="array" ref="H677">_xlfn.IFS(I677&lt;197,I677*1.26,I677&gt;197,I677*1.17) + IF(I677&gt;1000,17,0)</f>
        <v>118.89642240000001</v>
      </c>
      <c r="I677" s="10">
        <f>($K$2+0.02)*Tabla1[[#This Row],[PRECIO $]]*1.18</f>
        <v>94.36224</v>
      </c>
      <c r="J677" s="7">
        <f>+Tabla1[[#This Row],[PRECIO EN SOLES]]-Tabla1[[#This Row],[PC]]</f>
        <v>24.534182400000006</v>
      </c>
    </row>
    <row r="678" spans="1:10" x14ac:dyDescent="0.25">
      <c r="A678" s="3" t="s">
        <v>1857</v>
      </c>
      <c r="B678" s="3" t="s">
        <v>1858</v>
      </c>
      <c r="C678" s="1">
        <v>20</v>
      </c>
      <c r="D678" s="1">
        <v>10.55</v>
      </c>
      <c r="E678" s="1" t="s">
        <v>229</v>
      </c>
      <c r="F678" s="1" t="s">
        <v>4530</v>
      </c>
      <c r="G678" s="3" t="s">
        <v>1859</v>
      </c>
      <c r="H678" s="12" cm="1">
        <f t="array" ref="H678">_xlfn.IFS(I678&lt;197,I678*1.26,I678&gt;197,I678*1.17) + IF(I678&gt;1000,17,0)</f>
        <v>53.331516000000008</v>
      </c>
      <c r="I678" s="10">
        <f>($K$2+0.02)*Tabla1[[#This Row],[PRECIO $]]*1.18</f>
        <v>42.326600000000006</v>
      </c>
      <c r="J678" s="7">
        <f>+Tabla1[[#This Row],[PRECIO EN SOLES]]-Tabla1[[#This Row],[PC]]</f>
        <v>11.004916000000001</v>
      </c>
    </row>
    <row r="679" spans="1:10" x14ac:dyDescent="0.25">
      <c r="A679" s="3" t="s">
        <v>785</v>
      </c>
      <c r="B679" s="3" t="s">
        <v>786</v>
      </c>
      <c r="C679" s="1">
        <v>20</v>
      </c>
      <c r="D679" s="1">
        <v>10.85</v>
      </c>
      <c r="E679" s="1" t="s">
        <v>547</v>
      </c>
      <c r="F679" s="1" t="s">
        <v>4531</v>
      </c>
      <c r="G679" s="3" t="s">
        <v>787</v>
      </c>
      <c r="H679" s="12" cm="1">
        <f t="array" ref="H679">_xlfn.IFS(I679&lt;197,I679*1.26,I679&gt;197,I679*1.17) + IF(I679&gt;1000,17,0)</f>
        <v>54.848052000000003</v>
      </c>
      <c r="I679" s="10">
        <f>($K$2+0.02)*Tabla1[[#This Row],[PRECIO $]]*1.18</f>
        <v>43.530200000000001</v>
      </c>
      <c r="J679" s="7">
        <f>+Tabla1[[#This Row],[PRECIO EN SOLES]]-Tabla1[[#This Row],[PC]]</f>
        <v>11.317852000000002</v>
      </c>
    </row>
    <row r="680" spans="1:10" x14ac:dyDescent="0.25">
      <c r="A680" s="3" t="s">
        <v>1860</v>
      </c>
      <c r="B680" s="3" t="s">
        <v>1861</v>
      </c>
      <c r="C680" s="1">
        <v>12</v>
      </c>
      <c r="D680" s="1">
        <v>44.1</v>
      </c>
      <c r="E680" s="1" t="s">
        <v>226</v>
      </c>
      <c r="F680" s="1" t="s">
        <v>4532</v>
      </c>
      <c r="G680" s="3" t="s">
        <v>1862</v>
      </c>
      <c r="H680" s="12" cm="1">
        <f t="array" ref="H680">_xlfn.IFS(I680&lt;197,I680*1.26,I680&gt;197,I680*1.17) + IF(I680&gt;1000,17,0)</f>
        <v>222.93079199999997</v>
      </c>
      <c r="I680" s="10">
        <f>($K$2+0.02)*Tabla1[[#This Row],[PRECIO $]]*1.18</f>
        <v>176.92919999999998</v>
      </c>
      <c r="J680" s="7">
        <f>+Tabla1[[#This Row],[PRECIO EN SOLES]]-Tabla1[[#This Row],[PC]]</f>
        <v>46.001591999999988</v>
      </c>
    </row>
    <row r="681" spans="1:10" x14ac:dyDescent="0.25">
      <c r="A681" s="3" t="s">
        <v>5613</v>
      </c>
      <c r="B681" s="3" t="s">
        <v>5614</v>
      </c>
      <c r="C681" s="1">
        <v>8</v>
      </c>
      <c r="D681" s="1">
        <v>19.2</v>
      </c>
      <c r="E681" s="1" t="s">
        <v>547</v>
      </c>
      <c r="F681" s="1" t="s">
        <v>5615</v>
      </c>
      <c r="G681" s="3" t="s">
        <v>5616</v>
      </c>
      <c r="H681" s="12" cm="1">
        <f t="array" ref="H681">_xlfn.IFS(I681&lt;197,I681*1.26,I681&gt;197,I681*1.17) + IF(I681&gt;1000,17,0)</f>
        <v>97.058304000000007</v>
      </c>
      <c r="I681" s="10">
        <f>($K$2+0.02)*Tabla1[[#This Row],[PRECIO $]]*1.18</f>
        <v>77.0304</v>
      </c>
      <c r="J681" s="7">
        <f>+Tabla1[[#This Row],[PRECIO EN SOLES]]-Tabla1[[#This Row],[PC]]</f>
        <v>20.027904000000007</v>
      </c>
    </row>
    <row r="682" spans="1:10" x14ac:dyDescent="0.25">
      <c r="A682" s="3" t="s">
        <v>1863</v>
      </c>
      <c r="B682" s="3" t="s">
        <v>1864</v>
      </c>
      <c r="C682" s="1">
        <v>6</v>
      </c>
      <c r="D682" s="1">
        <v>35</v>
      </c>
      <c r="E682" s="1" t="s">
        <v>1865</v>
      </c>
      <c r="F682" s="1" t="s">
        <v>4533</v>
      </c>
      <c r="G682" s="3"/>
      <c r="H682" s="12" cm="1">
        <f t="array" ref="H682">_xlfn.IFS(I682&lt;197,I682*1.26,I682&gt;197,I682*1.17) + IF(I682&gt;1000,17,0)</f>
        <v>176.92919999999998</v>
      </c>
      <c r="I682" s="10">
        <f>($K$2+0.02)*Tabla1[[#This Row],[PRECIO $]]*1.18</f>
        <v>140.41999999999999</v>
      </c>
      <c r="J682" s="7">
        <f>+Tabla1[[#This Row],[PRECIO EN SOLES]]-Tabla1[[#This Row],[PC]]</f>
        <v>36.509199999999993</v>
      </c>
    </row>
    <row r="683" spans="1:10" x14ac:dyDescent="0.25">
      <c r="A683" s="3" t="s">
        <v>1866</v>
      </c>
      <c r="B683" s="3" t="s">
        <v>1867</v>
      </c>
      <c r="C683" s="1">
        <v>20</v>
      </c>
      <c r="D683" s="1">
        <v>25.25</v>
      </c>
      <c r="E683" s="1" t="s">
        <v>1868</v>
      </c>
      <c r="F683" s="1" t="s">
        <v>4534</v>
      </c>
      <c r="G683" s="3"/>
      <c r="H683" s="12" cm="1">
        <f t="array" ref="H683">_xlfn.IFS(I683&lt;197,I683*1.26,I683&gt;197,I683*1.17) + IF(I683&gt;1000,17,0)</f>
        <v>127.64177999999998</v>
      </c>
      <c r="I683" s="10">
        <f>($K$2+0.02)*Tabla1[[#This Row],[PRECIO $]]*1.18</f>
        <v>101.30299999999998</v>
      </c>
      <c r="J683" s="7">
        <f>+Tabla1[[#This Row],[PRECIO EN SOLES]]-Tabla1[[#This Row],[PC]]</f>
        <v>26.33878</v>
      </c>
    </row>
    <row r="684" spans="1:10" x14ac:dyDescent="0.25">
      <c r="A684" s="3" t="s">
        <v>1869</v>
      </c>
      <c r="B684" s="3" t="s">
        <v>1870</v>
      </c>
      <c r="C684" s="1">
        <v>20</v>
      </c>
      <c r="D684" s="1">
        <v>80.930000000000007</v>
      </c>
      <c r="E684" s="1" t="s">
        <v>229</v>
      </c>
      <c r="F684" s="1" t="s">
        <v>4535</v>
      </c>
      <c r="G684" s="3" t="s">
        <v>1871</v>
      </c>
      <c r="H684" s="12" cm="1">
        <f t="array" ref="H684">_xlfn.IFS(I684&lt;197,I684*1.26,I684&gt;197,I684*1.17) + IF(I684&gt;1000,17,0)</f>
        <v>379.88865720000001</v>
      </c>
      <c r="I684" s="10">
        <f>($K$2+0.02)*Tabla1[[#This Row],[PRECIO $]]*1.18</f>
        <v>324.69116000000002</v>
      </c>
      <c r="J684" s="7">
        <f>+Tabla1[[#This Row],[PRECIO EN SOLES]]-Tabla1[[#This Row],[PC]]</f>
        <v>55.197497199999987</v>
      </c>
    </row>
    <row r="685" spans="1:10" x14ac:dyDescent="0.25">
      <c r="A685" s="3" t="s">
        <v>788</v>
      </c>
      <c r="B685" s="3" t="s">
        <v>789</v>
      </c>
      <c r="C685" s="1">
        <v>20</v>
      </c>
      <c r="D685" s="1">
        <v>42</v>
      </c>
      <c r="E685" s="1" t="s">
        <v>229</v>
      </c>
      <c r="F685" s="1" t="s">
        <v>4536</v>
      </c>
      <c r="G685" s="3" t="s">
        <v>891</v>
      </c>
      <c r="H685" s="12" cm="1">
        <f t="array" ref="H685">_xlfn.IFS(I685&lt;197,I685*1.26,I685&gt;197,I685*1.17) + IF(I685&gt;1000,17,0)</f>
        <v>212.31503999999995</v>
      </c>
      <c r="I685" s="10">
        <f>($K$2+0.02)*Tabla1[[#This Row],[PRECIO $]]*1.18</f>
        <v>168.50399999999996</v>
      </c>
      <c r="J685" s="7">
        <f>+Tabla1[[#This Row],[PRECIO EN SOLES]]-Tabla1[[#This Row],[PC]]</f>
        <v>43.811039999999991</v>
      </c>
    </row>
    <row r="686" spans="1:10" x14ac:dyDescent="0.25">
      <c r="A686" s="3" t="s">
        <v>1872</v>
      </c>
      <c r="B686" s="3" t="s">
        <v>1873</v>
      </c>
      <c r="C686" s="1">
        <v>20</v>
      </c>
      <c r="D686" s="1">
        <v>25.25</v>
      </c>
      <c r="E686" s="1" t="s">
        <v>1868</v>
      </c>
      <c r="F686" s="1" t="s">
        <v>4537</v>
      </c>
      <c r="G686" s="3"/>
      <c r="H686" s="12" cm="1">
        <f t="array" ref="H686">_xlfn.IFS(I686&lt;197,I686*1.26,I686&gt;197,I686*1.17) + IF(I686&gt;1000,17,0)</f>
        <v>127.64177999999998</v>
      </c>
      <c r="I686" s="10">
        <f>($K$2+0.02)*Tabla1[[#This Row],[PRECIO $]]*1.18</f>
        <v>101.30299999999998</v>
      </c>
      <c r="J686" s="7">
        <f>+Tabla1[[#This Row],[PRECIO EN SOLES]]-Tabla1[[#This Row],[PC]]</f>
        <v>26.33878</v>
      </c>
    </row>
    <row r="687" spans="1:10" x14ac:dyDescent="0.25">
      <c r="A687" s="3" t="s">
        <v>790</v>
      </c>
      <c r="B687" s="3" t="s">
        <v>791</v>
      </c>
      <c r="C687" s="1">
        <v>20</v>
      </c>
      <c r="D687" s="1">
        <v>131.9</v>
      </c>
      <c r="E687" s="1" t="s">
        <v>226</v>
      </c>
      <c r="F687" s="1" t="s">
        <v>4538</v>
      </c>
      <c r="G687" s="3" t="s">
        <v>792</v>
      </c>
      <c r="H687" s="12" cm="1">
        <f t="array" ref="H687">_xlfn.IFS(I687&lt;197,I687*1.26,I687&gt;197,I687*1.17) + IF(I687&gt;1000,17,0)</f>
        <v>619.14387599999986</v>
      </c>
      <c r="I687" s="10">
        <f>($K$2+0.02)*Tabla1[[#This Row],[PRECIO $]]*1.18</f>
        <v>529.18279999999993</v>
      </c>
      <c r="J687" s="7">
        <f>+Tabla1[[#This Row],[PRECIO EN SOLES]]-Tabla1[[#This Row],[PC]]</f>
        <v>89.961075999999935</v>
      </c>
    </row>
    <row r="688" spans="1:10" x14ac:dyDescent="0.25">
      <c r="A688" s="3" t="s">
        <v>723</v>
      </c>
      <c r="B688" s="3" t="s">
        <v>724</v>
      </c>
      <c r="C688" s="1">
        <v>20</v>
      </c>
      <c r="D688" s="1">
        <v>107.6</v>
      </c>
      <c r="E688" s="1" t="s">
        <v>547</v>
      </c>
      <c r="F688" s="1" t="s">
        <v>4539</v>
      </c>
      <c r="G688" s="3" t="s">
        <v>725</v>
      </c>
      <c r="H688" s="12" cm="1">
        <f t="array" ref="H688">_xlfn.IFS(I688&lt;197,I688*1.26,I688&gt;197,I688*1.17) + IF(I688&gt;1000,17,0)</f>
        <v>505.0787039999999</v>
      </c>
      <c r="I688" s="10">
        <f>($K$2+0.02)*Tabla1[[#This Row],[PRECIO $]]*1.18</f>
        <v>431.69119999999992</v>
      </c>
      <c r="J688" s="7">
        <f>+Tabla1[[#This Row],[PRECIO EN SOLES]]-Tabla1[[#This Row],[PC]]</f>
        <v>73.387503999999979</v>
      </c>
    </row>
    <row r="689" spans="1:10" x14ac:dyDescent="0.25">
      <c r="A689" s="3" t="s">
        <v>1874</v>
      </c>
      <c r="B689" s="3" t="s">
        <v>1875</v>
      </c>
      <c r="C689" s="1">
        <v>20</v>
      </c>
      <c r="D689" s="1">
        <v>90.63</v>
      </c>
      <c r="E689" s="1" t="s">
        <v>229</v>
      </c>
      <c r="F689" s="1" t="s">
        <v>4540</v>
      </c>
      <c r="G689" s="3" t="s">
        <v>1876</v>
      </c>
      <c r="H689" s="12" cm="1">
        <f t="array" ref="H689">_xlfn.IFS(I689&lt;197,I689*1.26,I689&gt;197,I689*1.17) + IF(I689&gt;1000,17,0)</f>
        <v>425.42084519999997</v>
      </c>
      <c r="I689" s="10">
        <f>($K$2+0.02)*Tabla1[[#This Row],[PRECIO $]]*1.18</f>
        <v>363.60755999999998</v>
      </c>
      <c r="J689" s="7">
        <f>+Tabla1[[#This Row],[PRECIO EN SOLES]]-Tabla1[[#This Row],[PC]]</f>
        <v>61.813285199999996</v>
      </c>
    </row>
    <row r="690" spans="1:10" x14ac:dyDescent="0.25">
      <c r="A690" s="3" t="s">
        <v>793</v>
      </c>
      <c r="B690" s="3" t="s">
        <v>794</v>
      </c>
      <c r="C690" s="1">
        <v>20</v>
      </c>
      <c r="D690" s="1">
        <v>43.64</v>
      </c>
      <c r="E690" s="1" t="s">
        <v>229</v>
      </c>
      <c r="F690" s="1" t="s">
        <v>4541</v>
      </c>
      <c r="G690" s="3" t="s">
        <v>892</v>
      </c>
      <c r="H690" s="12" cm="1">
        <f t="array" ref="H690">_xlfn.IFS(I690&lt;197,I690*1.26,I690&gt;197,I690*1.17) + IF(I690&gt;1000,17,0)</f>
        <v>220.60543679999998</v>
      </c>
      <c r="I690" s="10">
        <f>($K$2+0.02)*Tabla1[[#This Row],[PRECIO $]]*1.18</f>
        <v>175.08367999999999</v>
      </c>
      <c r="J690" s="7">
        <f>+Tabla1[[#This Row],[PRECIO EN SOLES]]-Tabla1[[#This Row],[PC]]</f>
        <v>45.521756799999991</v>
      </c>
    </row>
    <row r="691" spans="1:10" x14ac:dyDescent="0.25">
      <c r="A691" s="3" t="s">
        <v>795</v>
      </c>
      <c r="B691" s="3" t="s">
        <v>796</v>
      </c>
      <c r="C691" s="1">
        <v>20</v>
      </c>
      <c r="D691" s="1">
        <v>77.3</v>
      </c>
      <c r="E691" s="1" t="s">
        <v>226</v>
      </c>
      <c r="F691" s="1" t="s">
        <v>4542</v>
      </c>
      <c r="G691" s="3" t="s">
        <v>797</v>
      </c>
      <c r="H691" s="12" cm="1">
        <f t="array" ref="H691">_xlfn.IFS(I691&lt;197,I691*1.26,I691&gt;197,I691*1.17) + IF(I691&gt;1000,17,0)</f>
        <v>362.84929199999993</v>
      </c>
      <c r="I691" s="10">
        <f>($K$2+0.02)*Tabla1[[#This Row],[PRECIO $]]*1.18</f>
        <v>310.12759999999997</v>
      </c>
      <c r="J691" s="7">
        <f>+Tabla1[[#This Row],[PRECIO EN SOLES]]-Tabla1[[#This Row],[PC]]</f>
        <v>52.721691999999962</v>
      </c>
    </row>
    <row r="692" spans="1:10" x14ac:dyDescent="0.25">
      <c r="A692" s="3" t="s">
        <v>1877</v>
      </c>
      <c r="B692" s="3" t="s">
        <v>1878</v>
      </c>
      <c r="C692" s="1">
        <v>20</v>
      </c>
      <c r="D692" s="1">
        <v>62.33</v>
      </c>
      <c r="E692" s="1" t="s">
        <v>226</v>
      </c>
      <c r="F692" s="1" t="s">
        <v>4543</v>
      </c>
      <c r="G692" s="3"/>
      <c r="H692" s="12" cm="1">
        <f t="array" ref="H692">_xlfn.IFS(I692&lt;197,I692*1.26,I692&gt;197,I692*1.17) + IF(I692&gt;1000,17,0)</f>
        <v>292.57951319999995</v>
      </c>
      <c r="I692" s="10">
        <f>($K$2+0.02)*Tabla1[[#This Row],[PRECIO $]]*1.18</f>
        <v>250.06795999999997</v>
      </c>
      <c r="J692" s="7">
        <f>+Tabla1[[#This Row],[PRECIO EN SOLES]]-Tabla1[[#This Row],[PC]]</f>
        <v>42.51155319999998</v>
      </c>
    </row>
    <row r="693" spans="1:10" x14ac:dyDescent="0.25">
      <c r="A693" s="3" t="s">
        <v>1879</v>
      </c>
      <c r="B693" s="3" t="s">
        <v>1880</v>
      </c>
      <c r="C693" s="1">
        <v>20</v>
      </c>
      <c r="D693" s="1">
        <v>217.1</v>
      </c>
      <c r="E693" s="1" t="s">
        <v>226</v>
      </c>
      <c r="F693" s="1" t="s">
        <v>4544</v>
      </c>
      <c r="G693" s="3" t="s">
        <v>1881</v>
      </c>
      <c r="H693" s="12" cm="1">
        <f t="array" ref="H693">_xlfn.IFS(I693&lt;197,I693*1.26,I693&gt;197,I693*1.17) + IF(I693&gt;1000,17,0)</f>
        <v>1019.0760839999999</v>
      </c>
      <c r="I693" s="10">
        <f>($K$2+0.02)*Tabla1[[#This Row],[PRECIO $]]*1.18</f>
        <v>871.00519999999995</v>
      </c>
      <c r="J693" s="7">
        <f>+Tabla1[[#This Row],[PRECIO EN SOLES]]-Tabla1[[#This Row],[PC]]</f>
        <v>148.07088399999998</v>
      </c>
    </row>
    <row r="694" spans="1:10" x14ac:dyDescent="0.25">
      <c r="A694" s="3" t="s">
        <v>798</v>
      </c>
      <c r="B694" s="3" t="s">
        <v>799</v>
      </c>
      <c r="C694" s="1">
        <v>20</v>
      </c>
      <c r="D694" s="1">
        <v>222.25</v>
      </c>
      <c r="E694" s="1" t="s">
        <v>226</v>
      </c>
      <c r="F694" s="1" t="s">
        <v>4545</v>
      </c>
      <c r="G694" s="3" t="s">
        <v>800</v>
      </c>
      <c r="H694" s="12" cm="1">
        <f t="array" ref="H694">_xlfn.IFS(I694&lt;197,I694*1.26,I694&gt;197,I694*1.17) + IF(I694&gt;1000,17,0)</f>
        <v>1043.2503899999999</v>
      </c>
      <c r="I694" s="10">
        <f>($K$2+0.02)*Tabla1[[#This Row],[PRECIO $]]*1.18</f>
        <v>891.66699999999992</v>
      </c>
      <c r="J694" s="7">
        <f>+Tabla1[[#This Row],[PRECIO EN SOLES]]-Tabla1[[#This Row],[PC]]</f>
        <v>151.58339000000001</v>
      </c>
    </row>
    <row r="695" spans="1:10" x14ac:dyDescent="0.25">
      <c r="A695" s="3" t="s">
        <v>1882</v>
      </c>
      <c r="B695" s="3" t="s">
        <v>1883</v>
      </c>
      <c r="C695" s="1">
        <v>0</v>
      </c>
      <c r="D695" s="1">
        <v>189</v>
      </c>
      <c r="E695" s="1" t="s">
        <v>547</v>
      </c>
      <c r="F695" s="1" t="s">
        <v>4546</v>
      </c>
      <c r="G695" s="3" t="s">
        <v>1884</v>
      </c>
      <c r="H695" s="12" cm="1">
        <f t="array" ref="H695">_xlfn.IFS(I695&lt;197,I695*1.26,I695&gt;197,I695*1.17) + IF(I695&gt;1000,17,0)</f>
        <v>887.17355999999995</v>
      </c>
      <c r="I695" s="10">
        <f>($K$2+0.02)*Tabla1[[#This Row],[PRECIO $]]*1.18</f>
        <v>758.26800000000003</v>
      </c>
      <c r="J695" s="7">
        <f>+Tabla1[[#This Row],[PRECIO EN SOLES]]-Tabla1[[#This Row],[PC]]</f>
        <v>128.90555999999992</v>
      </c>
    </row>
    <row r="696" spans="1:10" x14ac:dyDescent="0.25">
      <c r="A696" s="3" t="s">
        <v>6022</v>
      </c>
      <c r="B696" s="3" t="s">
        <v>6023</v>
      </c>
      <c r="C696" s="1">
        <v>0</v>
      </c>
      <c r="D696" s="1">
        <v>336.43</v>
      </c>
      <c r="E696" s="1" t="s">
        <v>226</v>
      </c>
      <c r="F696" s="1" t="s">
        <v>6024</v>
      </c>
      <c r="G696" s="3" t="s">
        <v>323</v>
      </c>
      <c r="H696" s="12" cm="1">
        <f t="array" ref="H696">_xlfn.IFS(I696&lt;197,I696*1.26,I696&gt;197,I696*1.17) + IF(I696&gt;1000,17,0)</f>
        <v>1596.2158772</v>
      </c>
      <c r="I696" s="10">
        <f>($K$2+0.02)*Tabla1[[#This Row],[PRECIO $]]*1.18</f>
        <v>1349.7571600000001</v>
      </c>
      <c r="J696" s="7">
        <f>+Tabla1[[#This Row],[PRECIO EN SOLES]]-Tabla1[[#This Row],[PC]]</f>
        <v>246.45871719999991</v>
      </c>
    </row>
    <row r="697" spans="1:10" x14ac:dyDescent="0.25">
      <c r="A697" s="3" t="s">
        <v>801</v>
      </c>
      <c r="B697" s="3" t="s">
        <v>802</v>
      </c>
      <c r="C697" s="1">
        <v>10</v>
      </c>
      <c r="D697" s="1">
        <v>336.43</v>
      </c>
      <c r="E697" s="1" t="s">
        <v>226</v>
      </c>
      <c r="F697" s="1" t="s">
        <v>4547</v>
      </c>
      <c r="G697" s="3" t="s">
        <v>323</v>
      </c>
      <c r="H697" s="12" cm="1">
        <f t="array" ref="H697">_xlfn.IFS(I697&lt;197,I697*1.26,I697&gt;197,I697*1.17) + IF(I697&gt;1000,17,0)</f>
        <v>1596.2158772</v>
      </c>
      <c r="I697" s="10">
        <f>($K$2+0.02)*Tabla1[[#This Row],[PRECIO $]]*1.18</f>
        <v>1349.7571600000001</v>
      </c>
      <c r="J697" s="7">
        <f>+Tabla1[[#This Row],[PRECIO EN SOLES]]-Tabla1[[#This Row],[PC]]</f>
        <v>246.45871719999991</v>
      </c>
    </row>
    <row r="698" spans="1:10" x14ac:dyDescent="0.25">
      <c r="A698" s="3" t="s">
        <v>1885</v>
      </c>
      <c r="B698" s="3" t="s">
        <v>1886</v>
      </c>
      <c r="C698" s="1">
        <v>0</v>
      </c>
      <c r="D698" s="1">
        <v>91</v>
      </c>
      <c r="E698" s="1" t="s">
        <v>226</v>
      </c>
      <c r="F698" s="1" t="s">
        <v>4548</v>
      </c>
      <c r="G698" s="3" t="s">
        <v>1887</v>
      </c>
      <c r="H698" s="12" cm="1">
        <f t="array" ref="H698">_xlfn.IFS(I698&lt;197,I698*1.26,I698&gt;197,I698*1.17) + IF(I698&gt;1000,17,0)</f>
        <v>427.1576399999999</v>
      </c>
      <c r="I698" s="10">
        <f>($K$2+0.02)*Tabla1[[#This Row],[PRECIO $]]*1.18</f>
        <v>365.09199999999993</v>
      </c>
      <c r="J698" s="7">
        <f>+Tabla1[[#This Row],[PRECIO EN SOLES]]-Tabla1[[#This Row],[PC]]</f>
        <v>62.065639999999973</v>
      </c>
    </row>
    <row r="699" spans="1:10" x14ac:dyDescent="0.25">
      <c r="A699" s="3" t="s">
        <v>1888</v>
      </c>
      <c r="B699" s="3" t="s">
        <v>1889</v>
      </c>
      <c r="C699" s="1">
        <v>20</v>
      </c>
      <c r="D699" s="1">
        <v>100</v>
      </c>
      <c r="E699" s="1" t="s">
        <v>54</v>
      </c>
      <c r="F699" s="1" t="s">
        <v>4549</v>
      </c>
      <c r="G699" s="3"/>
      <c r="H699" s="12" cm="1">
        <f t="array" ref="H699">_xlfn.IFS(I699&lt;197,I699*1.26,I699&gt;197,I699*1.17) + IF(I699&gt;1000,17,0)</f>
        <v>469.40399999999994</v>
      </c>
      <c r="I699" s="10">
        <f>($K$2+0.02)*Tabla1[[#This Row],[PRECIO $]]*1.18</f>
        <v>401.2</v>
      </c>
      <c r="J699" s="7">
        <f>+Tabla1[[#This Row],[PRECIO EN SOLES]]-Tabla1[[#This Row],[PC]]</f>
        <v>68.203999999999951</v>
      </c>
    </row>
    <row r="700" spans="1:10" x14ac:dyDescent="0.25">
      <c r="A700" s="3" t="s">
        <v>1890</v>
      </c>
      <c r="B700" s="3" t="s">
        <v>1891</v>
      </c>
      <c r="C700" s="1">
        <v>20</v>
      </c>
      <c r="D700" s="1">
        <v>6</v>
      </c>
      <c r="E700" s="1" t="s">
        <v>55</v>
      </c>
      <c r="F700" s="1" t="s">
        <v>4550</v>
      </c>
      <c r="G700" s="3"/>
      <c r="H700" s="12" cm="1">
        <f t="array" ref="H700">_xlfn.IFS(I700&lt;197,I700*1.26,I700&gt;197,I700*1.17) + IF(I700&gt;1000,17,0)</f>
        <v>30.330719999999996</v>
      </c>
      <c r="I700" s="10">
        <f>($K$2+0.02)*Tabla1[[#This Row],[PRECIO $]]*1.18</f>
        <v>24.071999999999996</v>
      </c>
      <c r="J700" s="7">
        <f>+Tabla1[[#This Row],[PRECIO EN SOLES]]-Tabla1[[#This Row],[PC]]</f>
        <v>6.2587200000000003</v>
      </c>
    </row>
    <row r="701" spans="1:10" x14ac:dyDescent="0.25">
      <c r="A701" s="3" t="s">
        <v>3821</v>
      </c>
      <c r="B701" s="3" t="s">
        <v>3822</v>
      </c>
      <c r="C701" s="1">
        <v>20</v>
      </c>
      <c r="D701" s="1">
        <v>10</v>
      </c>
      <c r="E701" s="1" t="s">
        <v>52</v>
      </c>
      <c r="F701" s="1" t="s">
        <v>4551</v>
      </c>
      <c r="G701" s="3"/>
      <c r="H701" s="12" cm="1">
        <f t="array" ref="H701">_xlfn.IFS(I701&lt;197,I701*1.26,I701&gt;197,I701*1.17) + IF(I701&gt;1000,17,0)</f>
        <v>50.551199999999994</v>
      </c>
      <c r="I701" s="10">
        <f>($K$2+0.02)*Tabla1[[#This Row],[PRECIO $]]*1.18</f>
        <v>40.119999999999997</v>
      </c>
      <c r="J701" s="7">
        <f>+Tabla1[[#This Row],[PRECIO EN SOLES]]-Tabla1[[#This Row],[PC]]</f>
        <v>10.431199999999997</v>
      </c>
    </row>
    <row r="702" spans="1:10" x14ac:dyDescent="0.25">
      <c r="A702" s="3" t="s">
        <v>1892</v>
      </c>
      <c r="B702" s="3" t="s">
        <v>1893</v>
      </c>
      <c r="C702" s="1">
        <v>1</v>
      </c>
      <c r="D702" s="1">
        <v>60</v>
      </c>
      <c r="E702" s="1" t="s">
        <v>55</v>
      </c>
      <c r="F702" s="1" t="s">
        <v>4552</v>
      </c>
      <c r="G702" s="3"/>
      <c r="H702" s="12" cm="1">
        <f t="array" ref="H702">_xlfn.IFS(I702&lt;197,I702*1.26,I702&gt;197,I702*1.17) + IF(I702&gt;1000,17,0)</f>
        <v>281.64240000000001</v>
      </c>
      <c r="I702" s="10">
        <f>($K$2+0.02)*Tabla1[[#This Row],[PRECIO $]]*1.18</f>
        <v>240.72</v>
      </c>
      <c r="J702" s="7">
        <f>+Tabla1[[#This Row],[PRECIO EN SOLES]]-Tabla1[[#This Row],[PC]]</f>
        <v>40.92240000000001</v>
      </c>
    </row>
    <row r="703" spans="1:10" x14ac:dyDescent="0.25">
      <c r="A703" s="3" t="s">
        <v>1894</v>
      </c>
      <c r="B703" s="3" t="s">
        <v>1895</v>
      </c>
      <c r="C703" s="1">
        <v>20</v>
      </c>
      <c r="D703" s="1">
        <v>37</v>
      </c>
      <c r="E703" s="1" t="s">
        <v>55</v>
      </c>
      <c r="F703" s="1" t="s">
        <v>4553</v>
      </c>
      <c r="G703" s="3" t="s">
        <v>1896</v>
      </c>
      <c r="H703" s="12" cm="1">
        <f t="array" ref="H703">_xlfn.IFS(I703&lt;197,I703*1.26,I703&gt;197,I703*1.17) + IF(I703&gt;1000,17,0)</f>
        <v>187.03943999999998</v>
      </c>
      <c r="I703" s="10">
        <f>($K$2+0.02)*Tabla1[[#This Row],[PRECIO $]]*1.18</f>
        <v>148.44399999999999</v>
      </c>
      <c r="J703" s="7">
        <f>+Tabla1[[#This Row],[PRECIO EN SOLES]]-Tabla1[[#This Row],[PC]]</f>
        <v>38.595439999999996</v>
      </c>
    </row>
    <row r="704" spans="1:10" x14ac:dyDescent="0.25">
      <c r="A704" s="3" t="s">
        <v>1899</v>
      </c>
      <c r="B704" s="3" t="s">
        <v>1900</v>
      </c>
      <c r="C704" s="1">
        <v>20</v>
      </c>
      <c r="D704" s="1">
        <v>30</v>
      </c>
      <c r="E704" s="1" t="s">
        <v>55</v>
      </c>
      <c r="F704" s="1" t="s">
        <v>4555</v>
      </c>
      <c r="G704" s="3" t="s">
        <v>1896</v>
      </c>
      <c r="H704" s="12" cm="1">
        <f t="array" ref="H704">_xlfn.IFS(I704&lt;197,I704*1.26,I704&gt;197,I704*1.17) + IF(I704&gt;1000,17,0)</f>
        <v>151.65360000000001</v>
      </c>
      <c r="I704" s="10">
        <f>($K$2+0.02)*Tabla1[[#This Row],[PRECIO $]]*1.18</f>
        <v>120.36</v>
      </c>
      <c r="J704" s="7">
        <f>+Tabla1[[#This Row],[PRECIO EN SOLES]]-Tabla1[[#This Row],[PC]]</f>
        <v>31.293600000000012</v>
      </c>
    </row>
    <row r="705" spans="1:10" x14ac:dyDescent="0.25">
      <c r="A705" s="3" t="s">
        <v>1901</v>
      </c>
      <c r="B705" s="3" t="s">
        <v>1902</v>
      </c>
      <c r="C705" s="1">
        <v>1</v>
      </c>
      <c r="D705" s="1">
        <v>70</v>
      </c>
      <c r="E705" s="1" t="s">
        <v>55</v>
      </c>
      <c r="F705" s="1" t="s">
        <v>4556</v>
      </c>
      <c r="G705" s="3"/>
      <c r="H705" s="12" cm="1">
        <f t="array" ref="H705">_xlfn.IFS(I705&lt;197,I705*1.26,I705&gt;197,I705*1.17) + IF(I705&gt;1000,17,0)</f>
        <v>328.58279999999996</v>
      </c>
      <c r="I705" s="10">
        <f>($K$2+0.02)*Tabla1[[#This Row],[PRECIO $]]*1.18</f>
        <v>280.83999999999997</v>
      </c>
      <c r="J705" s="7">
        <f>+Tabla1[[#This Row],[PRECIO EN SOLES]]-Tabla1[[#This Row],[PC]]</f>
        <v>47.742799999999988</v>
      </c>
    </row>
    <row r="706" spans="1:10" x14ac:dyDescent="0.25">
      <c r="A706" s="3" t="s">
        <v>1903</v>
      </c>
      <c r="B706" s="3" t="s">
        <v>1904</v>
      </c>
      <c r="C706" s="1">
        <v>8</v>
      </c>
      <c r="D706" s="1">
        <v>200</v>
      </c>
      <c r="E706" s="1" t="s">
        <v>55</v>
      </c>
      <c r="F706" s="1" t="s">
        <v>4557</v>
      </c>
      <c r="G706" s="3"/>
      <c r="H706" s="12" cm="1">
        <f t="array" ref="H706">_xlfn.IFS(I706&lt;197,I706*1.26,I706&gt;197,I706*1.17) + IF(I706&gt;1000,17,0)</f>
        <v>938.80799999999988</v>
      </c>
      <c r="I706" s="10">
        <f>($K$2+0.02)*Tabla1[[#This Row],[PRECIO $]]*1.18</f>
        <v>802.4</v>
      </c>
      <c r="J706" s="7">
        <f>+Tabla1[[#This Row],[PRECIO EN SOLES]]-Tabla1[[#This Row],[PC]]</f>
        <v>136.4079999999999</v>
      </c>
    </row>
    <row r="707" spans="1:10" x14ac:dyDescent="0.25">
      <c r="A707" s="3" t="s">
        <v>1905</v>
      </c>
      <c r="B707" s="3" t="s">
        <v>1906</v>
      </c>
      <c r="C707" s="1">
        <v>13</v>
      </c>
      <c r="D707" s="1">
        <v>200</v>
      </c>
      <c r="E707" s="1" t="s">
        <v>55</v>
      </c>
      <c r="F707" s="1" t="s">
        <v>4558</v>
      </c>
      <c r="G707" s="3"/>
      <c r="H707" s="13" cm="1">
        <f t="array" ref="H707">_xlfn.IFS(I707&lt;197,I707*1.26,I707&gt;197,I707*1.17) + IF(I707&gt;1000,17,0)</f>
        <v>938.80799999999988</v>
      </c>
      <c r="I707" s="10">
        <f>($K$2+0.02)*Tabla1[[#This Row],[PRECIO $]]*1.18</f>
        <v>802.4</v>
      </c>
      <c r="J707" s="7">
        <f>+Tabla1[[#This Row],[PRECIO EN SOLES]]-Tabla1[[#This Row],[PC]]</f>
        <v>136.4079999999999</v>
      </c>
    </row>
    <row r="708" spans="1:10" x14ac:dyDescent="0.25">
      <c r="A708" s="3" t="s">
        <v>1907</v>
      </c>
      <c r="B708" s="3" t="s">
        <v>1908</v>
      </c>
      <c r="C708" s="1">
        <v>1</v>
      </c>
      <c r="D708" s="1">
        <v>200</v>
      </c>
      <c r="E708" s="1" t="s">
        <v>55</v>
      </c>
      <c r="F708" s="1" t="s">
        <v>4559</v>
      </c>
      <c r="G708" s="3"/>
      <c r="H708" s="12" cm="1">
        <f t="array" ref="H708">_xlfn.IFS(I708&lt;197,I708*1.26,I708&gt;197,I708*1.17) + IF(I708&gt;1000,17,0)</f>
        <v>938.80799999999988</v>
      </c>
      <c r="I708" s="10">
        <f>($K$2+0.02)*Tabla1[[#This Row],[PRECIO $]]*1.18</f>
        <v>802.4</v>
      </c>
      <c r="J708" s="7">
        <f>+Tabla1[[#This Row],[PRECIO EN SOLES]]-Tabla1[[#This Row],[PC]]</f>
        <v>136.4079999999999</v>
      </c>
    </row>
    <row r="709" spans="1:10" x14ac:dyDescent="0.25">
      <c r="A709" s="3" t="s">
        <v>893</v>
      </c>
      <c r="B709" s="3" t="s">
        <v>894</v>
      </c>
      <c r="C709" s="1">
        <v>1</v>
      </c>
      <c r="D709" s="1">
        <v>0.5</v>
      </c>
      <c r="E709" s="1" t="s">
        <v>52</v>
      </c>
      <c r="F709" s="1" t="s">
        <v>4560</v>
      </c>
      <c r="G709" s="3"/>
      <c r="H709" s="12" cm="1">
        <f t="array" ref="H709">_xlfn.IFS(I709&lt;197,I709*1.26,I709&gt;197,I709*1.17) + IF(I709&gt;1000,17,0)</f>
        <v>2.5275599999999998</v>
      </c>
      <c r="I709" s="10">
        <f>($K$2+0.02)*Tabla1[[#This Row],[PRECIO $]]*1.18</f>
        <v>2.0059999999999998</v>
      </c>
      <c r="J709" s="7">
        <f>+Tabla1[[#This Row],[PRECIO EN SOLES]]-Tabla1[[#This Row],[PC]]</f>
        <v>0.52156000000000002</v>
      </c>
    </row>
    <row r="710" spans="1:10" x14ac:dyDescent="0.25">
      <c r="A710" s="3" t="s">
        <v>1909</v>
      </c>
      <c r="B710" s="3" t="s">
        <v>1910</v>
      </c>
      <c r="C710" s="1">
        <v>20</v>
      </c>
      <c r="D710" s="1">
        <v>20</v>
      </c>
      <c r="E710" s="1" t="s">
        <v>54</v>
      </c>
      <c r="F710" s="1" t="s">
        <v>4561</v>
      </c>
      <c r="G710" s="3"/>
      <c r="H710" s="12" cm="1">
        <f t="array" ref="H710">_xlfn.IFS(I710&lt;197,I710*1.26,I710&gt;197,I710*1.17) + IF(I710&gt;1000,17,0)</f>
        <v>101.10239999999999</v>
      </c>
      <c r="I710" s="10">
        <f>($K$2+0.02)*Tabla1[[#This Row],[PRECIO $]]*1.18</f>
        <v>80.239999999999995</v>
      </c>
      <c r="J710" s="7">
        <f>+Tabla1[[#This Row],[PRECIO EN SOLES]]-Tabla1[[#This Row],[PC]]</f>
        <v>20.862399999999994</v>
      </c>
    </row>
    <row r="711" spans="1:10" x14ac:dyDescent="0.25">
      <c r="A711" s="3" t="s">
        <v>1911</v>
      </c>
      <c r="B711" s="3" t="s">
        <v>1912</v>
      </c>
      <c r="C711" s="1">
        <v>20</v>
      </c>
      <c r="D711" s="1">
        <v>5</v>
      </c>
      <c r="E711" s="1" t="s">
        <v>55</v>
      </c>
      <c r="F711" s="1" t="s">
        <v>4562</v>
      </c>
      <c r="G711" s="3"/>
      <c r="H711" s="12" cm="1">
        <f t="array" ref="H711">_xlfn.IFS(I711&lt;197,I711*1.26,I711&gt;197,I711*1.17) + IF(I711&gt;1000,17,0)</f>
        <v>25.275599999999997</v>
      </c>
      <c r="I711" s="10">
        <f>($K$2+0.02)*Tabla1[[#This Row],[PRECIO $]]*1.18</f>
        <v>20.059999999999999</v>
      </c>
      <c r="J711" s="7">
        <f>+Tabla1[[#This Row],[PRECIO EN SOLES]]-Tabla1[[#This Row],[PC]]</f>
        <v>5.2155999999999985</v>
      </c>
    </row>
    <row r="712" spans="1:10" x14ac:dyDescent="0.25">
      <c r="A712" s="3" t="s">
        <v>1913</v>
      </c>
      <c r="B712" s="3" t="s">
        <v>3554</v>
      </c>
      <c r="C712" s="1">
        <v>20</v>
      </c>
      <c r="D712" s="1">
        <v>2</v>
      </c>
      <c r="E712" s="1" t="s">
        <v>55</v>
      </c>
      <c r="F712" s="1" t="s">
        <v>4563</v>
      </c>
      <c r="G712" s="3"/>
      <c r="H712" s="12" cm="1">
        <f t="array" ref="H712">_xlfn.IFS(I712&lt;197,I712*1.26,I712&gt;197,I712*1.17) + IF(I712&gt;1000,17,0)</f>
        <v>10.110239999999999</v>
      </c>
      <c r="I712" s="10">
        <f>($K$2+0.02)*Tabla1[[#This Row],[PRECIO $]]*1.18</f>
        <v>8.0239999999999991</v>
      </c>
      <c r="J712" s="7">
        <f>+Tabla1[[#This Row],[PRECIO EN SOLES]]-Tabla1[[#This Row],[PC]]</f>
        <v>2.0862400000000001</v>
      </c>
    </row>
    <row r="713" spans="1:10" x14ac:dyDescent="0.25">
      <c r="A713" s="3" t="s">
        <v>1914</v>
      </c>
      <c r="B713" s="3" t="s">
        <v>1915</v>
      </c>
      <c r="C713" s="1">
        <v>20</v>
      </c>
      <c r="D713" s="1">
        <v>19</v>
      </c>
      <c r="E713" s="1" t="s">
        <v>52</v>
      </c>
      <c r="F713" s="1" t="s">
        <v>4564</v>
      </c>
      <c r="G713" s="3"/>
      <c r="H713" s="12" cm="1">
        <f t="array" ref="H713">_xlfn.IFS(I713&lt;197,I713*1.26,I713&gt;197,I713*1.17) + IF(I713&gt;1000,17,0)</f>
        <v>96.047280000000001</v>
      </c>
      <c r="I713" s="10">
        <f>($K$2+0.02)*Tabla1[[#This Row],[PRECIO $]]*1.18</f>
        <v>76.227999999999994</v>
      </c>
      <c r="J713" s="7">
        <f>+Tabla1[[#This Row],[PRECIO EN SOLES]]-Tabla1[[#This Row],[PC]]</f>
        <v>19.819280000000006</v>
      </c>
    </row>
    <row r="714" spans="1:10" x14ac:dyDescent="0.25">
      <c r="A714" s="3" t="s">
        <v>1916</v>
      </c>
      <c r="B714" s="3" t="s">
        <v>1917</v>
      </c>
      <c r="C714" s="1">
        <v>10</v>
      </c>
      <c r="D714" s="1">
        <v>666</v>
      </c>
      <c r="E714" s="1" t="s">
        <v>52</v>
      </c>
      <c r="F714" s="1" t="s">
        <v>4565</v>
      </c>
      <c r="G714" s="3"/>
      <c r="H714" s="13" cm="1">
        <f t="array" ref="H714">_xlfn.IFS(I714&lt;197,I714*1.26,I714&gt;197,I714*1.17) + IF(I714&gt;1000,17,0)</f>
        <v>3143.2306400000002</v>
      </c>
      <c r="I714" s="10">
        <f>($K$2+0.02)*Tabla1[[#This Row],[PRECIO $]]*1.18</f>
        <v>2671.9920000000002</v>
      </c>
      <c r="J714" s="7">
        <f>+Tabla1[[#This Row],[PRECIO EN SOLES]]-Tabla1[[#This Row],[PC]]</f>
        <v>471.23864000000003</v>
      </c>
    </row>
    <row r="715" spans="1:10" x14ac:dyDescent="0.25">
      <c r="A715" s="3" t="s">
        <v>1918</v>
      </c>
      <c r="B715" s="3" t="s">
        <v>1919</v>
      </c>
      <c r="C715" s="1">
        <v>20</v>
      </c>
      <c r="D715" s="1">
        <v>100</v>
      </c>
      <c r="E715" s="1" t="s">
        <v>52</v>
      </c>
      <c r="F715" s="1" t="s">
        <v>4566</v>
      </c>
      <c r="G715" s="3"/>
      <c r="H715" s="12" cm="1">
        <f t="array" ref="H715">_xlfn.IFS(I715&lt;197,I715*1.26,I715&gt;197,I715*1.17) + IF(I715&gt;1000,17,0)</f>
        <v>469.40399999999994</v>
      </c>
      <c r="I715" s="10">
        <f>($K$2+0.02)*Tabla1[[#This Row],[PRECIO $]]*1.18</f>
        <v>401.2</v>
      </c>
      <c r="J715" s="7">
        <f>+Tabla1[[#This Row],[PRECIO EN SOLES]]-Tabla1[[#This Row],[PC]]</f>
        <v>68.203999999999951</v>
      </c>
    </row>
    <row r="716" spans="1:10" x14ac:dyDescent="0.25">
      <c r="A716" s="3" t="s">
        <v>1920</v>
      </c>
      <c r="B716" s="3" t="s">
        <v>1921</v>
      </c>
      <c r="C716" s="1">
        <v>20</v>
      </c>
      <c r="D716" s="1">
        <v>100</v>
      </c>
      <c r="E716" s="1" t="s">
        <v>52</v>
      </c>
      <c r="F716" s="1" t="s">
        <v>4567</v>
      </c>
      <c r="G716" s="3"/>
      <c r="H716" s="12" cm="1">
        <f t="array" ref="H716">_xlfn.IFS(I716&lt;197,I716*1.26,I716&gt;197,I716*1.17) + IF(I716&gt;1000,17,0)</f>
        <v>469.40399999999994</v>
      </c>
      <c r="I716" s="10">
        <f>($K$2+0.02)*Tabla1[[#This Row],[PRECIO $]]*1.18</f>
        <v>401.2</v>
      </c>
      <c r="J716" s="7">
        <f>+Tabla1[[#This Row],[PRECIO EN SOLES]]-Tabla1[[#This Row],[PC]]</f>
        <v>68.203999999999951</v>
      </c>
    </row>
    <row r="717" spans="1:10" x14ac:dyDescent="0.25">
      <c r="A717" s="3" t="s">
        <v>1922</v>
      </c>
      <c r="B717" s="3" t="s">
        <v>1923</v>
      </c>
      <c r="C717" s="1">
        <v>20</v>
      </c>
      <c r="D717" s="1">
        <v>9</v>
      </c>
      <c r="E717" s="1" t="s">
        <v>52</v>
      </c>
      <c r="F717" s="1" t="s">
        <v>4568</v>
      </c>
      <c r="G717" s="3" t="s">
        <v>1924</v>
      </c>
      <c r="H717" s="12" cm="1">
        <f t="array" ref="H717">_xlfn.IFS(I717&lt;197,I717*1.26,I717&gt;197,I717*1.17) + IF(I717&gt;1000,17,0)</f>
        <v>45.496079999999999</v>
      </c>
      <c r="I717" s="10">
        <f>($K$2+0.02)*Tabla1[[#This Row],[PRECIO $]]*1.18</f>
        <v>36.107999999999997</v>
      </c>
      <c r="J717" s="7">
        <f>+Tabla1[[#This Row],[PRECIO EN SOLES]]-Tabla1[[#This Row],[PC]]</f>
        <v>9.3880800000000022</v>
      </c>
    </row>
    <row r="718" spans="1:10" x14ac:dyDescent="0.25">
      <c r="A718" s="3" t="s">
        <v>1925</v>
      </c>
      <c r="B718" s="3" t="s">
        <v>1926</v>
      </c>
      <c r="C718" s="1">
        <v>20</v>
      </c>
      <c r="D718" s="1">
        <v>20</v>
      </c>
      <c r="E718" s="1" t="s">
        <v>55</v>
      </c>
      <c r="F718" s="1" t="s">
        <v>4569</v>
      </c>
      <c r="G718" s="3"/>
      <c r="H718" s="12" cm="1">
        <f t="array" ref="H718">_xlfn.IFS(I718&lt;197,I718*1.26,I718&gt;197,I718*1.17) + IF(I718&gt;1000,17,0)</f>
        <v>101.10239999999999</v>
      </c>
      <c r="I718" s="10">
        <f>($K$2+0.02)*Tabla1[[#This Row],[PRECIO $]]*1.18</f>
        <v>80.239999999999995</v>
      </c>
      <c r="J718" s="7">
        <f>+Tabla1[[#This Row],[PRECIO EN SOLES]]-Tabla1[[#This Row],[PC]]</f>
        <v>20.862399999999994</v>
      </c>
    </row>
    <row r="719" spans="1:10" x14ac:dyDescent="0.25">
      <c r="A719" s="3" t="s">
        <v>1927</v>
      </c>
      <c r="B719" s="3" t="s">
        <v>1928</v>
      </c>
      <c r="C719" s="1">
        <v>20</v>
      </c>
      <c r="D719" s="1">
        <v>8</v>
      </c>
      <c r="E719" s="1" t="s">
        <v>55</v>
      </c>
      <c r="F719" s="1" t="s">
        <v>4570</v>
      </c>
      <c r="G719" s="3"/>
      <c r="H719" s="12" cm="1">
        <f t="array" ref="H719">_xlfn.IFS(I719&lt;197,I719*1.26,I719&gt;197,I719*1.17) + IF(I719&gt;1000,17,0)</f>
        <v>40.440959999999997</v>
      </c>
      <c r="I719" s="10">
        <f>($K$2+0.02)*Tabla1[[#This Row],[PRECIO $]]*1.18</f>
        <v>32.095999999999997</v>
      </c>
      <c r="J719" s="7">
        <f>+Tabla1[[#This Row],[PRECIO EN SOLES]]-Tabla1[[#This Row],[PC]]</f>
        <v>8.3449600000000004</v>
      </c>
    </row>
    <row r="720" spans="1:10" x14ac:dyDescent="0.25">
      <c r="A720" s="3" t="s">
        <v>3823</v>
      </c>
      <c r="B720" s="3" t="s">
        <v>3824</v>
      </c>
      <c r="C720" s="1">
        <v>1</v>
      </c>
      <c r="D720" s="1">
        <v>46</v>
      </c>
      <c r="E720" s="1" t="s">
        <v>55</v>
      </c>
      <c r="F720" s="1" t="s">
        <v>4571</v>
      </c>
      <c r="G720" s="3"/>
      <c r="H720" s="12" cm="1">
        <f t="array" ref="H720">_xlfn.IFS(I720&lt;197,I720*1.26,I720&gt;197,I720*1.17) + IF(I720&gt;1000,17,0)</f>
        <v>232.53551999999999</v>
      </c>
      <c r="I720" s="10">
        <f>($K$2+0.02)*Tabla1[[#This Row],[PRECIO $]]*1.18</f>
        <v>184.55199999999999</v>
      </c>
      <c r="J720" s="7">
        <f>+Tabla1[[#This Row],[PRECIO EN SOLES]]-Tabla1[[#This Row],[PC]]</f>
        <v>47.983519999999999</v>
      </c>
    </row>
    <row r="721" spans="1:10" x14ac:dyDescent="0.25">
      <c r="A721" s="3" t="s">
        <v>3960</v>
      </c>
      <c r="B721" s="3" t="s">
        <v>3961</v>
      </c>
      <c r="C721" s="1">
        <v>20</v>
      </c>
      <c r="D721" s="1">
        <v>19.59</v>
      </c>
      <c r="E721" s="1" t="s">
        <v>55</v>
      </c>
      <c r="F721" s="1" t="s">
        <v>4572</v>
      </c>
      <c r="G721" s="3"/>
      <c r="H721" s="12" cm="1">
        <f t="array" ref="H721">_xlfn.IFS(I721&lt;197,I721*1.26,I721&gt;197,I721*1.17) + IF(I721&gt;1000,17,0)</f>
        <v>99.02980079999999</v>
      </c>
      <c r="I721" s="10">
        <f>($K$2+0.02)*Tabla1[[#This Row],[PRECIO $]]*1.18</f>
        <v>78.595079999999996</v>
      </c>
      <c r="J721" s="7">
        <f>+Tabla1[[#This Row],[PRECIO EN SOLES]]-Tabla1[[#This Row],[PC]]</f>
        <v>20.434720799999994</v>
      </c>
    </row>
    <row r="722" spans="1:10" x14ac:dyDescent="0.25">
      <c r="A722" s="3" t="s">
        <v>1929</v>
      </c>
      <c r="B722" s="3" t="s">
        <v>1930</v>
      </c>
      <c r="C722" s="1">
        <v>20</v>
      </c>
      <c r="D722" s="1">
        <v>8.5</v>
      </c>
      <c r="E722" s="1" t="s">
        <v>55</v>
      </c>
      <c r="F722" s="1" t="s">
        <v>4573</v>
      </c>
      <c r="G722" s="3"/>
      <c r="H722" s="12" cm="1">
        <f t="array" ref="H722">_xlfn.IFS(I722&lt;197,I722*1.26,I722&gt;197,I722*1.17) + IF(I722&gt;1000,17,0)</f>
        <v>42.968519999999998</v>
      </c>
      <c r="I722" s="10">
        <f>($K$2+0.02)*Tabla1[[#This Row],[PRECIO $]]*1.18</f>
        <v>34.101999999999997</v>
      </c>
      <c r="J722" s="7">
        <f>+Tabla1[[#This Row],[PRECIO EN SOLES]]-Tabla1[[#This Row],[PC]]</f>
        <v>8.8665200000000013</v>
      </c>
    </row>
    <row r="723" spans="1:10" x14ac:dyDescent="0.25">
      <c r="A723" s="3" t="s">
        <v>1931</v>
      </c>
      <c r="B723" s="3" t="s">
        <v>1930</v>
      </c>
      <c r="C723" s="1">
        <v>0</v>
      </c>
      <c r="D723" s="1">
        <v>99</v>
      </c>
      <c r="E723" s="1" t="s">
        <v>55</v>
      </c>
      <c r="F723" s="1" t="s">
        <v>4574</v>
      </c>
      <c r="G723" s="3"/>
      <c r="H723" s="12" cm="1">
        <f t="array" ref="H723">_xlfn.IFS(I723&lt;197,I723*1.26,I723&gt;197,I723*1.17) + IF(I723&gt;1000,17,0)</f>
        <v>464.70995999999991</v>
      </c>
      <c r="I723" s="10">
        <f>($K$2+0.02)*Tabla1[[#This Row],[PRECIO $]]*1.18</f>
        <v>397.18799999999993</v>
      </c>
      <c r="J723" s="7">
        <f>+Tabla1[[#This Row],[PRECIO EN SOLES]]-Tabla1[[#This Row],[PC]]</f>
        <v>67.521959999999979</v>
      </c>
    </row>
    <row r="724" spans="1:10" x14ac:dyDescent="0.25">
      <c r="A724" s="3" t="s">
        <v>1932</v>
      </c>
      <c r="B724" s="3" t="s">
        <v>1933</v>
      </c>
      <c r="C724" s="1">
        <v>20</v>
      </c>
      <c r="D724" s="1">
        <v>20</v>
      </c>
      <c r="E724" s="1" t="s">
        <v>55</v>
      </c>
      <c r="F724" s="1" t="s">
        <v>4575</v>
      </c>
      <c r="G724" s="3"/>
      <c r="H724" s="12" cm="1">
        <f t="array" ref="H724">_xlfn.IFS(I724&lt;197,I724*1.26,I724&gt;197,I724*1.17) + IF(I724&gt;1000,17,0)</f>
        <v>101.10239999999999</v>
      </c>
      <c r="I724" s="10">
        <f>($K$2+0.02)*Tabla1[[#This Row],[PRECIO $]]*1.18</f>
        <v>80.239999999999995</v>
      </c>
      <c r="J724" s="7">
        <f>+Tabla1[[#This Row],[PRECIO EN SOLES]]-Tabla1[[#This Row],[PC]]</f>
        <v>20.862399999999994</v>
      </c>
    </row>
    <row r="725" spans="1:10" x14ac:dyDescent="0.25">
      <c r="A725" s="3" t="s">
        <v>1934</v>
      </c>
      <c r="B725" s="3" t="s">
        <v>1935</v>
      </c>
      <c r="C725" s="1">
        <v>1</v>
      </c>
      <c r="D725" s="1">
        <v>100</v>
      </c>
      <c r="E725" s="1" t="s">
        <v>57</v>
      </c>
      <c r="F725" s="1" t="s">
        <v>4576</v>
      </c>
      <c r="G725" s="3"/>
      <c r="H725" s="12" cm="1">
        <f t="array" ref="H725">_xlfn.IFS(I725&lt;197,I725*1.26,I725&gt;197,I725*1.17) + IF(I725&gt;1000,17,0)</f>
        <v>469.40399999999994</v>
      </c>
      <c r="I725" s="10">
        <f>($K$2+0.02)*Tabla1[[#This Row],[PRECIO $]]*1.18</f>
        <v>401.2</v>
      </c>
      <c r="J725" s="7">
        <f>+Tabla1[[#This Row],[PRECIO EN SOLES]]-Tabla1[[#This Row],[PC]]</f>
        <v>68.203999999999951</v>
      </c>
    </row>
    <row r="726" spans="1:10" x14ac:dyDescent="0.25">
      <c r="A726" s="3" t="s">
        <v>1936</v>
      </c>
      <c r="B726" s="3" t="s">
        <v>1937</v>
      </c>
      <c r="C726" s="1">
        <v>20</v>
      </c>
      <c r="D726" s="1">
        <v>5</v>
      </c>
      <c r="E726" s="1" t="s">
        <v>1002</v>
      </c>
      <c r="F726" s="1" t="s">
        <v>4577</v>
      </c>
      <c r="G726" s="3"/>
      <c r="H726" s="12" cm="1">
        <f t="array" ref="H726">_xlfn.IFS(I726&lt;197,I726*1.26,I726&gt;197,I726*1.17) + IF(I726&gt;1000,17,0)</f>
        <v>25.275599999999997</v>
      </c>
      <c r="I726" s="10">
        <f>($K$2+0.02)*Tabla1[[#This Row],[PRECIO $]]*1.18</f>
        <v>20.059999999999999</v>
      </c>
      <c r="J726" s="7">
        <f>+Tabla1[[#This Row],[PRECIO EN SOLES]]-Tabla1[[#This Row],[PC]]</f>
        <v>5.2155999999999985</v>
      </c>
    </row>
    <row r="727" spans="1:10" x14ac:dyDescent="0.25">
      <c r="A727" s="3" t="s">
        <v>1938</v>
      </c>
      <c r="B727" s="3" t="s">
        <v>3825</v>
      </c>
      <c r="C727" s="1">
        <v>20</v>
      </c>
      <c r="D727" s="1">
        <v>5</v>
      </c>
      <c r="E727" s="1" t="s">
        <v>74</v>
      </c>
      <c r="F727" s="1" t="s">
        <v>4578</v>
      </c>
      <c r="G727" s="3"/>
      <c r="H727" s="12" cm="1">
        <f t="array" ref="H727">_xlfn.IFS(I727&lt;197,I727*1.26,I727&gt;197,I727*1.17) + IF(I727&gt;1000,17,0)</f>
        <v>25.275599999999997</v>
      </c>
      <c r="I727" s="10">
        <f>($K$2+0.02)*Tabla1[[#This Row],[PRECIO $]]*1.18</f>
        <v>20.059999999999999</v>
      </c>
      <c r="J727" s="7">
        <f>+Tabla1[[#This Row],[PRECIO EN SOLES]]-Tabla1[[#This Row],[PC]]</f>
        <v>5.2155999999999985</v>
      </c>
    </row>
    <row r="728" spans="1:10" x14ac:dyDescent="0.25">
      <c r="A728" s="3" t="s">
        <v>1939</v>
      </c>
      <c r="B728" s="3" t="s">
        <v>1940</v>
      </c>
      <c r="C728" s="1">
        <v>20</v>
      </c>
      <c r="D728" s="1">
        <v>100</v>
      </c>
      <c r="E728" s="1" t="s">
        <v>54</v>
      </c>
      <c r="F728" s="1" t="s">
        <v>4579</v>
      </c>
      <c r="G728" s="3"/>
      <c r="H728" s="13" cm="1">
        <f t="array" ref="H728">_xlfn.IFS(I728&lt;197,I728*1.26,I728&gt;197,I728*1.17) + IF(I728&gt;1000,17,0)</f>
        <v>469.40399999999994</v>
      </c>
      <c r="I728" s="10">
        <f>($K$2+0.02)*Tabla1[[#This Row],[PRECIO $]]*1.18</f>
        <v>401.2</v>
      </c>
      <c r="J728" s="7">
        <f>+Tabla1[[#This Row],[PRECIO EN SOLES]]-Tabla1[[#This Row],[PC]]</f>
        <v>68.203999999999951</v>
      </c>
    </row>
    <row r="729" spans="1:10" x14ac:dyDescent="0.25">
      <c r="A729" s="3" t="s">
        <v>1941</v>
      </c>
      <c r="B729" s="3" t="s">
        <v>1942</v>
      </c>
      <c r="C729" s="1">
        <v>20</v>
      </c>
      <c r="D729" s="1">
        <v>100</v>
      </c>
      <c r="E729" s="1" t="s">
        <v>54</v>
      </c>
      <c r="F729" s="1" t="s">
        <v>4580</v>
      </c>
      <c r="G729" s="3"/>
      <c r="H729" s="12" cm="1">
        <f t="array" ref="H729">_xlfn.IFS(I729&lt;197,I729*1.26,I729&gt;197,I729*1.17) + IF(I729&gt;1000,17,0)</f>
        <v>469.40399999999994</v>
      </c>
      <c r="I729" s="10">
        <f>($K$2+0.02)*Tabla1[[#This Row],[PRECIO $]]*1.18</f>
        <v>401.2</v>
      </c>
      <c r="J729" s="7">
        <f>+Tabla1[[#This Row],[PRECIO EN SOLES]]-Tabla1[[#This Row],[PC]]</f>
        <v>68.203999999999951</v>
      </c>
    </row>
    <row r="730" spans="1:10" x14ac:dyDescent="0.25">
      <c r="A730" s="3" t="s">
        <v>1943</v>
      </c>
      <c r="B730" s="3" t="s">
        <v>1944</v>
      </c>
      <c r="C730" s="1">
        <v>20</v>
      </c>
      <c r="D730" s="1">
        <v>666</v>
      </c>
      <c r="E730" s="1" t="s">
        <v>55</v>
      </c>
      <c r="F730" s="1" t="s">
        <v>4581</v>
      </c>
      <c r="G730" s="3"/>
      <c r="H730" s="12" cm="1">
        <f t="array" ref="H730">_xlfn.IFS(I730&lt;197,I730*1.26,I730&gt;197,I730*1.17) + IF(I730&gt;1000,17,0)</f>
        <v>3143.2306400000002</v>
      </c>
      <c r="I730" s="10">
        <f>($K$2+0.02)*Tabla1[[#This Row],[PRECIO $]]*1.18</f>
        <v>2671.9920000000002</v>
      </c>
      <c r="J730" s="7">
        <f>+Tabla1[[#This Row],[PRECIO EN SOLES]]-Tabla1[[#This Row],[PC]]</f>
        <v>471.23864000000003</v>
      </c>
    </row>
    <row r="731" spans="1:10" x14ac:dyDescent="0.25">
      <c r="A731" s="3" t="s">
        <v>1945</v>
      </c>
      <c r="B731" s="3" t="s">
        <v>1946</v>
      </c>
      <c r="C731" s="1">
        <v>20</v>
      </c>
      <c r="D731" s="1">
        <v>666</v>
      </c>
      <c r="E731" s="1" t="s">
        <v>55</v>
      </c>
      <c r="F731" s="1" t="s">
        <v>4582</v>
      </c>
      <c r="G731" s="3"/>
      <c r="H731" s="12" cm="1">
        <f t="array" ref="H731">_xlfn.IFS(I731&lt;197,I731*1.26,I731&gt;197,I731*1.17) + IF(I731&gt;1000,17,0)</f>
        <v>3143.2306400000002</v>
      </c>
      <c r="I731" s="10">
        <f>($K$2+0.02)*Tabla1[[#This Row],[PRECIO $]]*1.18</f>
        <v>2671.9920000000002</v>
      </c>
      <c r="J731" s="7">
        <f>+Tabla1[[#This Row],[PRECIO EN SOLES]]-Tabla1[[#This Row],[PC]]</f>
        <v>471.23864000000003</v>
      </c>
    </row>
    <row r="732" spans="1:10" x14ac:dyDescent="0.25">
      <c r="A732" s="3" t="s">
        <v>1947</v>
      </c>
      <c r="B732" s="3" t="s">
        <v>1948</v>
      </c>
      <c r="C732" s="1">
        <v>0</v>
      </c>
      <c r="D732" s="1">
        <v>99</v>
      </c>
      <c r="E732" s="1" t="s">
        <v>55</v>
      </c>
      <c r="F732" s="1" t="s">
        <v>4583</v>
      </c>
      <c r="G732" s="3"/>
      <c r="H732" s="12" cm="1">
        <f t="array" ref="H732">_xlfn.IFS(I732&lt;197,I732*1.26,I732&gt;197,I732*1.17) + IF(I732&gt;1000,17,0)</f>
        <v>464.70995999999991</v>
      </c>
      <c r="I732" s="10">
        <f>($K$2+0.02)*Tabla1[[#This Row],[PRECIO $]]*1.18</f>
        <v>397.18799999999993</v>
      </c>
      <c r="J732" s="7">
        <f>+Tabla1[[#This Row],[PRECIO EN SOLES]]-Tabla1[[#This Row],[PC]]</f>
        <v>67.521959999999979</v>
      </c>
    </row>
    <row r="733" spans="1:10" x14ac:dyDescent="0.25">
      <c r="A733" s="3" t="s">
        <v>1949</v>
      </c>
      <c r="B733" s="3" t="s">
        <v>1950</v>
      </c>
      <c r="C733" s="1">
        <v>20</v>
      </c>
      <c r="D733" s="1">
        <v>6.5</v>
      </c>
      <c r="E733" s="1" t="s">
        <v>52</v>
      </c>
      <c r="F733" s="1" t="s">
        <v>4584</v>
      </c>
      <c r="G733" s="3"/>
      <c r="H733" s="12" cm="1">
        <f t="array" ref="H733">_xlfn.IFS(I733&lt;197,I733*1.26,I733&gt;197,I733*1.17) + IF(I733&gt;1000,17,0)</f>
        <v>32.858279999999993</v>
      </c>
      <c r="I733" s="10">
        <f>($K$2+0.02)*Tabla1[[#This Row],[PRECIO $]]*1.18</f>
        <v>26.077999999999996</v>
      </c>
      <c r="J733" s="7">
        <f>+Tabla1[[#This Row],[PRECIO EN SOLES]]-Tabla1[[#This Row],[PC]]</f>
        <v>6.7802799999999976</v>
      </c>
    </row>
    <row r="734" spans="1:10" x14ac:dyDescent="0.25">
      <c r="A734" s="3" t="s">
        <v>1951</v>
      </c>
      <c r="B734" s="3" t="s">
        <v>1952</v>
      </c>
      <c r="C734" s="1">
        <v>0</v>
      </c>
      <c r="D734" s="1">
        <v>99</v>
      </c>
      <c r="E734" s="1" t="s">
        <v>52</v>
      </c>
      <c r="F734" s="1" t="s">
        <v>4585</v>
      </c>
      <c r="G734" s="3"/>
      <c r="H734" s="12" cm="1">
        <f t="array" ref="H734">_xlfn.IFS(I734&lt;197,I734*1.26,I734&gt;197,I734*1.17) + IF(I734&gt;1000,17,0)</f>
        <v>464.70995999999991</v>
      </c>
      <c r="I734" s="10">
        <f>($K$2+0.02)*Tabla1[[#This Row],[PRECIO $]]*1.18</f>
        <v>397.18799999999993</v>
      </c>
      <c r="J734" s="7">
        <f>+Tabla1[[#This Row],[PRECIO EN SOLES]]-Tabla1[[#This Row],[PC]]</f>
        <v>67.521959999999979</v>
      </c>
    </row>
    <row r="735" spans="1:10" x14ac:dyDescent="0.25">
      <c r="A735" s="3" t="s">
        <v>1953</v>
      </c>
      <c r="B735" s="3" t="s">
        <v>1954</v>
      </c>
      <c r="C735" s="1">
        <v>0</v>
      </c>
      <c r="D735" s="1">
        <v>99</v>
      </c>
      <c r="E735" s="1" t="s">
        <v>52</v>
      </c>
      <c r="F735" s="1" t="s">
        <v>4586</v>
      </c>
      <c r="G735" s="3"/>
      <c r="H735" s="12" cm="1">
        <f t="array" ref="H735">_xlfn.IFS(I735&lt;197,I735*1.26,I735&gt;197,I735*1.17) + IF(I735&gt;1000,17,0)</f>
        <v>464.70995999999991</v>
      </c>
      <c r="I735" s="10">
        <f>($K$2+0.02)*Tabla1[[#This Row],[PRECIO $]]*1.18</f>
        <v>397.18799999999993</v>
      </c>
      <c r="J735" s="7">
        <f>+Tabla1[[#This Row],[PRECIO EN SOLES]]-Tabla1[[#This Row],[PC]]</f>
        <v>67.521959999999979</v>
      </c>
    </row>
    <row r="736" spans="1:10" x14ac:dyDescent="0.25">
      <c r="A736" s="3" t="s">
        <v>1955</v>
      </c>
      <c r="B736" s="3" t="s">
        <v>1952</v>
      </c>
      <c r="C736" s="1">
        <v>20</v>
      </c>
      <c r="D736" s="1">
        <v>10</v>
      </c>
      <c r="E736" s="1" t="s">
        <v>52</v>
      </c>
      <c r="F736" s="1" t="s">
        <v>4587</v>
      </c>
      <c r="G736" s="3"/>
      <c r="H736" s="12" cm="1">
        <f t="array" ref="H736">_xlfn.IFS(I736&lt;197,I736*1.26,I736&gt;197,I736*1.17) + IF(I736&gt;1000,17,0)</f>
        <v>50.551199999999994</v>
      </c>
      <c r="I736" s="10">
        <f>($K$2+0.02)*Tabla1[[#This Row],[PRECIO $]]*1.18</f>
        <v>40.119999999999997</v>
      </c>
      <c r="J736" s="7">
        <f>+Tabla1[[#This Row],[PRECIO EN SOLES]]-Tabla1[[#This Row],[PC]]</f>
        <v>10.431199999999997</v>
      </c>
    </row>
    <row r="737" spans="1:10" x14ac:dyDescent="0.25">
      <c r="A737" s="3" t="s">
        <v>1956</v>
      </c>
      <c r="B737" s="3" t="s">
        <v>1957</v>
      </c>
      <c r="C737" s="1">
        <v>20</v>
      </c>
      <c r="D737" s="1">
        <v>20</v>
      </c>
      <c r="E737" s="1" t="s">
        <v>52</v>
      </c>
      <c r="F737" s="1" t="s">
        <v>4588</v>
      </c>
      <c r="G737" s="3"/>
      <c r="H737" s="12" cm="1">
        <f t="array" ref="H737">_xlfn.IFS(I737&lt;197,I737*1.26,I737&gt;197,I737*1.17) + IF(I737&gt;1000,17,0)</f>
        <v>101.10239999999999</v>
      </c>
      <c r="I737" s="10">
        <f>($K$2+0.02)*Tabla1[[#This Row],[PRECIO $]]*1.18</f>
        <v>80.239999999999995</v>
      </c>
      <c r="J737" s="7">
        <f>+Tabla1[[#This Row],[PRECIO EN SOLES]]-Tabla1[[#This Row],[PC]]</f>
        <v>20.862399999999994</v>
      </c>
    </row>
    <row r="738" spans="1:10" x14ac:dyDescent="0.25">
      <c r="A738" s="3" t="s">
        <v>5617</v>
      </c>
      <c r="B738" s="3" t="s">
        <v>5618</v>
      </c>
      <c r="C738" s="1">
        <v>20</v>
      </c>
      <c r="D738" s="1">
        <v>50</v>
      </c>
      <c r="E738" s="1" t="s">
        <v>52</v>
      </c>
      <c r="F738" s="1" t="s">
        <v>5619</v>
      </c>
      <c r="G738" s="3"/>
      <c r="H738" s="12" cm="1">
        <f t="array" ref="H738">_xlfn.IFS(I738&lt;197,I738*1.26,I738&gt;197,I738*1.17) + IF(I738&gt;1000,17,0)</f>
        <v>234.70199999999997</v>
      </c>
      <c r="I738" s="10">
        <f>($K$2+0.02)*Tabla1[[#This Row],[PRECIO $]]*1.18</f>
        <v>200.6</v>
      </c>
      <c r="J738" s="7">
        <f>+Tabla1[[#This Row],[PRECIO EN SOLES]]-Tabla1[[#This Row],[PC]]</f>
        <v>34.101999999999975</v>
      </c>
    </row>
    <row r="739" spans="1:10" x14ac:dyDescent="0.25">
      <c r="A739" s="3" t="s">
        <v>1958</v>
      </c>
      <c r="B739" s="3" t="s">
        <v>1959</v>
      </c>
      <c r="C739" s="1">
        <v>20</v>
      </c>
      <c r="D739" s="1">
        <v>50</v>
      </c>
      <c r="E739" s="1" t="s">
        <v>52</v>
      </c>
      <c r="F739" s="1" t="s">
        <v>4589</v>
      </c>
      <c r="G739" s="3"/>
      <c r="H739" s="12" cm="1">
        <f t="array" ref="H739">_xlfn.IFS(I739&lt;197,I739*1.26,I739&gt;197,I739*1.17) + IF(I739&gt;1000,17,0)</f>
        <v>234.70199999999997</v>
      </c>
      <c r="I739" s="10">
        <f>($K$2+0.02)*Tabla1[[#This Row],[PRECIO $]]*1.18</f>
        <v>200.6</v>
      </c>
      <c r="J739" s="7">
        <f>+Tabla1[[#This Row],[PRECIO EN SOLES]]-Tabla1[[#This Row],[PC]]</f>
        <v>34.101999999999975</v>
      </c>
    </row>
    <row r="740" spans="1:10" x14ac:dyDescent="0.25">
      <c r="A740" s="3" t="s">
        <v>3555</v>
      </c>
      <c r="B740" s="3" t="s">
        <v>3556</v>
      </c>
      <c r="C740" s="1">
        <v>2</v>
      </c>
      <c r="D740" s="1">
        <v>666</v>
      </c>
      <c r="E740" s="1" t="s">
        <v>55</v>
      </c>
      <c r="F740" s="1" t="s">
        <v>4590</v>
      </c>
      <c r="G740" s="3"/>
      <c r="H740" s="12" cm="1">
        <f t="array" ref="H740">_xlfn.IFS(I740&lt;197,I740*1.26,I740&gt;197,I740*1.17) + IF(I740&gt;1000,17,0)</f>
        <v>3143.2306400000002</v>
      </c>
      <c r="I740" s="10">
        <f>($K$2+0.02)*Tabla1[[#This Row],[PRECIO $]]*1.18</f>
        <v>2671.9920000000002</v>
      </c>
      <c r="J740" s="7">
        <f>+Tabla1[[#This Row],[PRECIO EN SOLES]]-Tabla1[[#This Row],[PC]]</f>
        <v>471.23864000000003</v>
      </c>
    </row>
    <row r="741" spans="1:10" x14ac:dyDescent="0.25">
      <c r="A741" s="3" t="s">
        <v>1960</v>
      </c>
      <c r="B741" s="3" t="s">
        <v>1961</v>
      </c>
      <c r="C741" s="1">
        <v>20</v>
      </c>
      <c r="D741" s="1">
        <v>666</v>
      </c>
      <c r="E741" s="1" t="s">
        <v>55</v>
      </c>
      <c r="F741" s="1" t="s">
        <v>4591</v>
      </c>
      <c r="G741" s="3"/>
      <c r="H741" s="12" cm="1">
        <f t="array" ref="H741">_xlfn.IFS(I741&lt;197,I741*1.26,I741&gt;197,I741*1.17) + IF(I741&gt;1000,17,0)</f>
        <v>3143.2306400000002</v>
      </c>
      <c r="I741" s="10">
        <f>($K$2+0.02)*Tabla1[[#This Row],[PRECIO $]]*1.18</f>
        <v>2671.9920000000002</v>
      </c>
      <c r="J741" s="7">
        <f>+Tabla1[[#This Row],[PRECIO EN SOLES]]-Tabla1[[#This Row],[PC]]</f>
        <v>471.23864000000003</v>
      </c>
    </row>
    <row r="742" spans="1:10" x14ac:dyDescent="0.25">
      <c r="A742" s="3" t="s">
        <v>3962</v>
      </c>
      <c r="B742" s="3" t="s">
        <v>3963</v>
      </c>
      <c r="C742" s="1">
        <v>20</v>
      </c>
      <c r="D742" s="1">
        <v>0.06</v>
      </c>
      <c r="E742" s="1" t="s">
        <v>57</v>
      </c>
      <c r="F742" s="1" t="s">
        <v>4592</v>
      </c>
      <c r="G742" s="3"/>
      <c r="H742" s="12" cm="1">
        <f t="array" ref="H742">_xlfn.IFS(I742&lt;197,I742*1.26,I742&gt;197,I742*1.17) + IF(I742&gt;1000,17,0)</f>
        <v>0.30330719999999994</v>
      </c>
      <c r="I742" s="10">
        <f>($K$2+0.02)*Tabla1[[#This Row],[PRECIO $]]*1.18</f>
        <v>0.24071999999999996</v>
      </c>
      <c r="J742" s="7">
        <f>+Tabla1[[#This Row],[PRECIO EN SOLES]]-Tabla1[[#This Row],[PC]]</f>
        <v>6.2587199999999982E-2</v>
      </c>
    </row>
    <row r="743" spans="1:10" x14ac:dyDescent="0.25">
      <c r="A743" s="3" t="s">
        <v>1962</v>
      </c>
      <c r="B743" s="3" t="s">
        <v>1963</v>
      </c>
      <c r="C743" s="1">
        <v>0</v>
      </c>
      <c r="D743" s="1">
        <v>600</v>
      </c>
      <c r="E743" s="1" t="s">
        <v>57</v>
      </c>
      <c r="F743" s="1" t="s">
        <v>4593</v>
      </c>
      <c r="G743" s="3"/>
      <c r="H743" s="12" cm="1">
        <f t="array" ref="H743">_xlfn.IFS(I743&lt;197,I743*1.26,I743&gt;197,I743*1.17) + IF(I743&gt;1000,17,0)</f>
        <v>2833.4239999999995</v>
      </c>
      <c r="I743" s="10">
        <f>($K$2+0.02)*Tabla1[[#This Row],[PRECIO $]]*1.18</f>
        <v>2407.1999999999998</v>
      </c>
      <c r="J743" s="7">
        <f>+Tabla1[[#This Row],[PRECIO EN SOLES]]-Tabla1[[#This Row],[PC]]</f>
        <v>426.22399999999971</v>
      </c>
    </row>
    <row r="744" spans="1:10" x14ac:dyDescent="0.25">
      <c r="A744" s="3" t="s">
        <v>3826</v>
      </c>
      <c r="B744" s="3" t="s">
        <v>3827</v>
      </c>
      <c r="C744" s="1">
        <v>20</v>
      </c>
      <c r="D744" s="1">
        <v>666</v>
      </c>
      <c r="E744" s="1" t="s">
        <v>324</v>
      </c>
      <c r="F744" s="1" t="s">
        <v>4594</v>
      </c>
      <c r="G744" s="3"/>
      <c r="H744" s="12" cm="1">
        <f t="array" ref="H744">_xlfn.IFS(I744&lt;197,I744*1.26,I744&gt;197,I744*1.17) + IF(I744&gt;1000,17,0)</f>
        <v>3143.2306400000002</v>
      </c>
      <c r="I744" s="10">
        <f>($K$2+0.02)*Tabla1[[#This Row],[PRECIO $]]*1.18</f>
        <v>2671.9920000000002</v>
      </c>
      <c r="J744" s="7">
        <f>+Tabla1[[#This Row],[PRECIO EN SOLES]]-Tabla1[[#This Row],[PC]]</f>
        <v>471.23864000000003</v>
      </c>
    </row>
    <row r="745" spans="1:10" x14ac:dyDescent="0.25">
      <c r="A745" s="3" t="s">
        <v>3828</v>
      </c>
      <c r="B745" s="3" t="s">
        <v>3829</v>
      </c>
      <c r="C745" s="1">
        <v>20</v>
      </c>
      <c r="D745" s="1">
        <v>666</v>
      </c>
      <c r="E745" s="1" t="s">
        <v>324</v>
      </c>
      <c r="F745" s="1" t="s">
        <v>4595</v>
      </c>
      <c r="G745" s="3"/>
      <c r="H745" s="12" cm="1">
        <f t="array" ref="H745">_xlfn.IFS(I745&lt;197,I745*1.26,I745&gt;197,I745*1.17) + IF(I745&gt;1000,17,0)</f>
        <v>3143.2306400000002</v>
      </c>
      <c r="I745" s="10">
        <f>($K$2+0.02)*Tabla1[[#This Row],[PRECIO $]]*1.18</f>
        <v>2671.9920000000002</v>
      </c>
      <c r="J745" s="7">
        <f>+Tabla1[[#This Row],[PRECIO EN SOLES]]-Tabla1[[#This Row],[PC]]</f>
        <v>471.23864000000003</v>
      </c>
    </row>
    <row r="746" spans="1:10" x14ac:dyDescent="0.25">
      <c r="A746" s="3" t="s">
        <v>1964</v>
      </c>
      <c r="B746" s="3" t="s">
        <v>1965</v>
      </c>
      <c r="C746" s="1">
        <v>2</v>
      </c>
      <c r="D746" s="1">
        <v>600</v>
      </c>
      <c r="E746" s="1" t="s">
        <v>55</v>
      </c>
      <c r="F746" s="1" t="s">
        <v>4596</v>
      </c>
      <c r="G746" s="3"/>
      <c r="H746" s="12" cm="1">
        <f t="array" ref="H746">_xlfn.IFS(I746&lt;197,I746*1.26,I746&gt;197,I746*1.17) + IF(I746&gt;1000,17,0)</f>
        <v>2833.4239999999995</v>
      </c>
      <c r="I746" s="10">
        <f>($K$2+0.02)*Tabla1[[#This Row],[PRECIO $]]*1.18</f>
        <v>2407.1999999999998</v>
      </c>
      <c r="J746" s="7">
        <f>+Tabla1[[#This Row],[PRECIO EN SOLES]]-Tabla1[[#This Row],[PC]]</f>
        <v>426.22399999999971</v>
      </c>
    </row>
    <row r="747" spans="1:10" x14ac:dyDescent="0.25">
      <c r="A747" s="3" t="s">
        <v>1966</v>
      </c>
      <c r="B747" s="3" t="s">
        <v>3557</v>
      </c>
      <c r="C747" s="1">
        <v>20</v>
      </c>
      <c r="D747" s="1">
        <v>600</v>
      </c>
      <c r="E747" s="1" t="s">
        <v>55</v>
      </c>
      <c r="F747" s="1" t="s">
        <v>4597</v>
      </c>
      <c r="G747" s="3"/>
      <c r="H747" s="12" cm="1">
        <f t="array" ref="H747">_xlfn.IFS(I747&lt;197,I747*1.26,I747&gt;197,I747*1.17) + IF(I747&gt;1000,17,0)</f>
        <v>2833.4239999999995</v>
      </c>
      <c r="I747" s="10">
        <f>($K$2+0.02)*Tabla1[[#This Row],[PRECIO $]]*1.18</f>
        <v>2407.1999999999998</v>
      </c>
      <c r="J747" s="7">
        <f>+Tabla1[[#This Row],[PRECIO EN SOLES]]-Tabla1[[#This Row],[PC]]</f>
        <v>426.22399999999971</v>
      </c>
    </row>
    <row r="748" spans="1:10" x14ac:dyDescent="0.25">
      <c r="A748" s="3" t="s">
        <v>3689</v>
      </c>
      <c r="B748" s="3" t="s">
        <v>3690</v>
      </c>
      <c r="C748" s="1">
        <v>0</v>
      </c>
      <c r="D748" s="1">
        <v>9999999.9900000002</v>
      </c>
      <c r="E748" s="1" t="s">
        <v>324</v>
      </c>
      <c r="F748" s="1" t="s">
        <v>4598</v>
      </c>
      <c r="G748" s="3"/>
      <c r="H748" s="12" cm="1">
        <f t="array" ref="H748">_xlfn.IFS(I748&lt;197,I748*1.26,I748&gt;197,I748*1.17) + IF(I748&gt;1000,17,0)</f>
        <v>46940416.953059591</v>
      </c>
      <c r="I748" s="10">
        <f>($K$2+0.02)*Tabla1[[#This Row],[PRECIO $]]*1.18</f>
        <v>40119999.959879994</v>
      </c>
      <c r="J748" s="7">
        <f>+Tabla1[[#This Row],[PRECIO EN SOLES]]-Tabla1[[#This Row],[PC]]</f>
        <v>6820416.993179597</v>
      </c>
    </row>
    <row r="749" spans="1:10" x14ac:dyDescent="0.25">
      <c r="A749" s="3" t="s">
        <v>1967</v>
      </c>
      <c r="B749" s="3" t="s">
        <v>1968</v>
      </c>
      <c r="C749" s="1">
        <v>20</v>
      </c>
      <c r="D749" s="1">
        <v>600</v>
      </c>
      <c r="E749" s="1" t="s">
        <v>55</v>
      </c>
      <c r="F749" s="1" t="s">
        <v>4599</v>
      </c>
      <c r="G749" s="3"/>
      <c r="H749" s="12" cm="1">
        <f t="array" ref="H749">_xlfn.IFS(I749&lt;197,I749*1.26,I749&gt;197,I749*1.17) + IF(I749&gt;1000,17,0)</f>
        <v>2833.4239999999995</v>
      </c>
      <c r="I749" s="10">
        <f>($K$2+0.02)*Tabla1[[#This Row],[PRECIO $]]*1.18</f>
        <v>2407.1999999999998</v>
      </c>
      <c r="J749" s="7">
        <f>+Tabla1[[#This Row],[PRECIO EN SOLES]]-Tabla1[[#This Row],[PC]]</f>
        <v>426.22399999999971</v>
      </c>
    </row>
    <row r="750" spans="1:10" x14ac:dyDescent="0.25">
      <c r="A750" s="3" t="s">
        <v>1969</v>
      </c>
      <c r="B750" s="3" t="s">
        <v>1970</v>
      </c>
      <c r="C750" s="1">
        <v>13</v>
      </c>
      <c r="D750" s="1">
        <v>666</v>
      </c>
      <c r="E750" s="1" t="s">
        <v>57</v>
      </c>
      <c r="F750" s="1" t="s">
        <v>4600</v>
      </c>
      <c r="G750" s="3"/>
      <c r="H750" s="12" cm="1">
        <f t="array" ref="H750">_xlfn.IFS(I750&lt;197,I750*1.26,I750&gt;197,I750*1.17) + IF(I750&gt;1000,17,0)</f>
        <v>3143.2306400000002</v>
      </c>
      <c r="I750" s="10">
        <f>($K$2+0.02)*Tabla1[[#This Row],[PRECIO $]]*1.18</f>
        <v>2671.9920000000002</v>
      </c>
      <c r="J750" s="7">
        <f>+Tabla1[[#This Row],[PRECIO EN SOLES]]-Tabla1[[#This Row],[PC]]</f>
        <v>471.23864000000003</v>
      </c>
    </row>
    <row r="751" spans="1:10" x14ac:dyDescent="0.25">
      <c r="A751" s="3" t="s">
        <v>1971</v>
      </c>
      <c r="B751" s="3" t="s">
        <v>1972</v>
      </c>
      <c r="C751" s="1">
        <v>0</v>
      </c>
      <c r="D751" s="1">
        <v>999</v>
      </c>
      <c r="E751" s="1" t="s">
        <v>1973</v>
      </c>
      <c r="F751" s="1" t="s">
        <v>4601</v>
      </c>
      <c r="G751" s="3"/>
      <c r="H751" s="12" cm="1">
        <f t="array" ref="H751">_xlfn.IFS(I751&lt;197,I751*1.26,I751&gt;197,I751*1.17) + IF(I751&gt;1000,17,0)</f>
        <v>4706.3459599999996</v>
      </c>
      <c r="I751" s="10">
        <f>($K$2+0.02)*Tabla1[[#This Row],[PRECIO $]]*1.18</f>
        <v>4007.9879999999998</v>
      </c>
      <c r="J751" s="7">
        <f>+Tabla1[[#This Row],[PRECIO EN SOLES]]-Tabla1[[#This Row],[PC]]</f>
        <v>698.35795999999982</v>
      </c>
    </row>
    <row r="752" spans="1:10" x14ac:dyDescent="0.25">
      <c r="A752" s="3" t="s">
        <v>1974</v>
      </c>
      <c r="B752" s="3" t="s">
        <v>1975</v>
      </c>
      <c r="C752" s="1">
        <v>0</v>
      </c>
      <c r="D752" s="1">
        <v>666</v>
      </c>
      <c r="E752" s="1" t="s">
        <v>324</v>
      </c>
      <c r="F752" s="1" t="s">
        <v>4602</v>
      </c>
      <c r="G752" s="3"/>
      <c r="H752" s="12" cm="1">
        <f t="array" ref="H752">_xlfn.IFS(I752&lt;197,I752*1.26,I752&gt;197,I752*1.17) + IF(I752&gt;1000,17,0)</f>
        <v>3143.2306400000002</v>
      </c>
      <c r="I752" s="10">
        <f>($K$2+0.02)*Tabla1[[#This Row],[PRECIO $]]*1.18</f>
        <v>2671.9920000000002</v>
      </c>
      <c r="J752" s="7">
        <f>+Tabla1[[#This Row],[PRECIO EN SOLES]]-Tabla1[[#This Row],[PC]]</f>
        <v>471.23864000000003</v>
      </c>
    </row>
    <row r="753" spans="1:10" x14ac:dyDescent="0.25">
      <c r="A753" s="3" t="s">
        <v>5620</v>
      </c>
      <c r="B753" s="3" t="s">
        <v>5621</v>
      </c>
      <c r="C753" s="1">
        <v>20</v>
      </c>
      <c r="D753" s="1">
        <v>666</v>
      </c>
      <c r="E753" s="1" t="s">
        <v>324</v>
      </c>
      <c r="F753" s="1" t="s">
        <v>5622</v>
      </c>
      <c r="G753" s="3"/>
      <c r="H753" s="12" cm="1">
        <f t="array" ref="H753">_xlfn.IFS(I753&lt;197,I753*1.26,I753&gt;197,I753*1.17) + IF(I753&gt;1000,17,0)</f>
        <v>3143.2306400000002</v>
      </c>
      <c r="I753" s="10">
        <f>($K$2+0.02)*Tabla1[[#This Row],[PRECIO $]]*1.18</f>
        <v>2671.9920000000002</v>
      </c>
      <c r="J753" s="7">
        <f>+Tabla1[[#This Row],[PRECIO EN SOLES]]-Tabla1[[#This Row],[PC]]</f>
        <v>471.23864000000003</v>
      </c>
    </row>
    <row r="754" spans="1:10" x14ac:dyDescent="0.25">
      <c r="A754" s="3" t="s">
        <v>5623</v>
      </c>
      <c r="B754" s="3" t="s">
        <v>5624</v>
      </c>
      <c r="C754" s="1">
        <v>20</v>
      </c>
      <c r="D754" s="1">
        <v>666</v>
      </c>
      <c r="E754" s="1" t="s">
        <v>324</v>
      </c>
      <c r="F754" s="1" t="s">
        <v>5625</v>
      </c>
      <c r="G754" s="3"/>
      <c r="H754" s="12" cm="1">
        <f t="array" ref="H754">_xlfn.IFS(I754&lt;197,I754*1.26,I754&gt;197,I754*1.17) + IF(I754&gt;1000,17,0)</f>
        <v>3143.2306400000002</v>
      </c>
      <c r="I754" s="10">
        <f>($K$2+0.02)*Tabla1[[#This Row],[PRECIO $]]*1.18</f>
        <v>2671.9920000000002</v>
      </c>
      <c r="J754" s="7">
        <f>+Tabla1[[#This Row],[PRECIO EN SOLES]]-Tabla1[[#This Row],[PC]]</f>
        <v>471.23864000000003</v>
      </c>
    </row>
    <row r="755" spans="1:10" x14ac:dyDescent="0.25">
      <c r="A755" s="3" t="s">
        <v>5626</v>
      </c>
      <c r="B755" s="3" t="s">
        <v>5627</v>
      </c>
      <c r="C755" s="1">
        <v>20</v>
      </c>
      <c r="D755" s="1">
        <v>666</v>
      </c>
      <c r="E755" s="1" t="s">
        <v>324</v>
      </c>
      <c r="F755" s="1" t="s">
        <v>5628</v>
      </c>
      <c r="G755" s="3"/>
      <c r="H755" s="12" cm="1">
        <f t="array" ref="H755">_xlfn.IFS(I755&lt;197,I755*1.26,I755&gt;197,I755*1.17) + IF(I755&gt;1000,17,0)</f>
        <v>3143.2306400000002</v>
      </c>
      <c r="I755" s="10">
        <f>($K$2+0.02)*Tabla1[[#This Row],[PRECIO $]]*1.18</f>
        <v>2671.9920000000002</v>
      </c>
      <c r="J755" s="7">
        <f>+Tabla1[[#This Row],[PRECIO EN SOLES]]-Tabla1[[#This Row],[PC]]</f>
        <v>471.23864000000003</v>
      </c>
    </row>
    <row r="756" spans="1:10" x14ac:dyDescent="0.25">
      <c r="A756" s="3" t="s">
        <v>1976</v>
      </c>
      <c r="B756" s="3" t="s">
        <v>3558</v>
      </c>
      <c r="C756" s="1">
        <v>0</v>
      </c>
      <c r="D756" s="1">
        <v>600</v>
      </c>
      <c r="E756" s="1" t="s">
        <v>55</v>
      </c>
      <c r="F756" s="1" t="s">
        <v>4603</v>
      </c>
      <c r="G756" s="3"/>
      <c r="H756" s="12" cm="1">
        <f t="array" ref="H756">_xlfn.IFS(I756&lt;197,I756*1.26,I756&gt;197,I756*1.17) + IF(I756&gt;1000,17,0)</f>
        <v>2833.4239999999995</v>
      </c>
      <c r="I756" s="10">
        <f>($K$2+0.02)*Tabla1[[#This Row],[PRECIO $]]*1.18</f>
        <v>2407.1999999999998</v>
      </c>
      <c r="J756" s="7">
        <f>+Tabla1[[#This Row],[PRECIO EN SOLES]]-Tabla1[[#This Row],[PC]]</f>
        <v>426.22399999999971</v>
      </c>
    </row>
    <row r="757" spans="1:10" x14ac:dyDescent="0.25">
      <c r="A757" s="3" t="s">
        <v>1977</v>
      </c>
      <c r="B757" s="3" t="s">
        <v>1978</v>
      </c>
      <c r="C757" s="1">
        <v>0</v>
      </c>
      <c r="D757" s="1">
        <v>9999999.9900000002</v>
      </c>
      <c r="E757" s="1" t="s">
        <v>188</v>
      </c>
      <c r="F757" s="1" t="s">
        <v>4604</v>
      </c>
      <c r="G757" s="3"/>
      <c r="H757" s="12" cm="1">
        <f t="array" ref="H757">_xlfn.IFS(I757&lt;197,I757*1.26,I757&gt;197,I757*1.17) + IF(I757&gt;1000,17,0)</f>
        <v>46940416.953059591</v>
      </c>
      <c r="I757" s="10">
        <f>($K$2+0.02)*Tabla1[[#This Row],[PRECIO $]]*1.18</f>
        <v>40119999.959879994</v>
      </c>
      <c r="J757" s="7">
        <f>+Tabla1[[#This Row],[PRECIO EN SOLES]]-Tabla1[[#This Row],[PC]]</f>
        <v>6820416.993179597</v>
      </c>
    </row>
    <row r="758" spans="1:10" x14ac:dyDescent="0.25">
      <c r="A758" s="3" t="s">
        <v>1979</v>
      </c>
      <c r="B758" s="3" t="s">
        <v>1980</v>
      </c>
      <c r="C758" s="1">
        <v>0</v>
      </c>
      <c r="D758" s="1">
        <v>9999999.9900000002</v>
      </c>
      <c r="E758" s="1" t="s">
        <v>188</v>
      </c>
      <c r="F758" s="1" t="s">
        <v>4605</v>
      </c>
      <c r="G758" s="3"/>
      <c r="H758" s="12" cm="1">
        <f t="array" ref="H758">_xlfn.IFS(I758&lt;197,I758*1.26,I758&gt;197,I758*1.17) + IF(I758&gt;1000,17,0)</f>
        <v>46940416.953059591</v>
      </c>
      <c r="I758" s="10">
        <f>($K$2+0.02)*Tabla1[[#This Row],[PRECIO $]]*1.18</f>
        <v>40119999.959879994</v>
      </c>
      <c r="J758" s="7">
        <f>+Tabla1[[#This Row],[PRECIO EN SOLES]]-Tabla1[[#This Row],[PC]]</f>
        <v>6820416.993179597</v>
      </c>
    </row>
    <row r="759" spans="1:10" x14ac:dyDescent="0.25">
      <c r="A759" s="3" t="s">
        <v>1981</v>
      </c>
      <c r="B759" s="3" t="s">
        <v>1982</v>
      </c>
      <c r="C759" s="1">
        <v>20</v>
      </c>
      <c r="D759" s="1">
        <v>10</v>
      </c>
      <c r="E759" s="1" t="s">
        <v>57</v>
      </c>
      <c r="F759" s="1" t="s">
        <v>4606</v>
      </c>
      <c r="G759" s="3"/>
      <c r="H759" s="12" cm="1">
        <f t="array" ref="H759">_xlfn.IFS(I759&lt;197,I759*1.26,I759&gt;197,I759*1.17) + IF(I759&gt;1000,17,0)</f>
        <v>50.551199999999994</v>
      </c>
      <c r="I759" s="10">
        <f>($K$2+0.02)*Tabla1[[#This Row],[PRECIO $]]*1.18</f>
        <v>40.119999999999997</v>
      </c>
      <c r="J759" s="7">
        <f>+Tabla1[[#This Row],[PRECIO EN SOLES]]-Tabla1[[#This Row],[PC]]</f>
        <v>10.431199999999997</v>
      </c>
    </row>
    <row r="760" spans="1:10" x14ac:dyDescent="0.25">
      <c r="A760" s="3" t="s">
        <v>1983</v>
      </c>
      <c r="B760" s="3" t="s">
        <v>1984</v>
      </c>
      <c r="C760" s="1">
        <v>0</v>
      </c>
      <c r="D760" s="1">
        <v>999</v>
      </c>
      <c r="E760" s="1" t="s">
        <v>281</v>
      </c>
      <c r="F760" s="1" t="s">
        <v>4607</v>
      </c>
      <c r="G760" s="3"/>
      <c r="H760" s="12" cm="1">
        <f t="array" ref="H760">_xlfn.IFS(I760&lt;197,I760*1.26,I760&gt;197,I760*1.17) + IF(I760&gt;1000,17,0)</f>
        <v>4706.3459599999996</v>
      </c>
      <c r="I760" s="10">
        <f>($K$2+0.02)*Tabla1[[#This Row],[PRECIO $]]*1.18</f>
        <v>4007.9879999999998</v>
      </c>
      <c r="J760" s="7">
        <f>+Tabla1[[#This Row],[PRECIO EN SOLES]]-Tabla1[[#This Row],[PC]]</f>
        <v>698.35795999999982</v>
      </c>
    </row>
    <row r="761" spans="1:10" x14ac:dyDescent="0.25">
      <c r="A761" s="3" t="s">
        <v>1985</v>
      </c>
      <c r="B761" s="3" t="s">
        <v>1986</v>
      </c>
      <c r="C761" s="1">
        <v>20</v>
      </c>
      <c r="D761" s="1">
        <v>6.2</v>
      </c>
      <c r="E761" s="1" t="s">
        <v>52</v>
      </c>
      <c r="F761" s="1" t="s">
        <v>4608</v>
      </c>
      <c r="G761" s="3"/>
      <c r="H761" s="12" cm="1">
        <f t="array" ref="H761">_xlfn.IFS(I761&lt;197,I761*1.26,I761&gt;197,I761*1.17) + IF(I761&gt;1000,17,0)</f>
        <v>31.341743999999998</v>
      </c>
      <c r="I761" s="10">
        <f>($K$2+0.02)*Tabla1[[#This Row],[PRECIO $]]*1.18</f>
        <v>24.874399999999998</v>
      </c>
      <c r="J761" s="7">
        <f>+Tabla1[[#This Row],[PRECIO EN SOLES]]-Tabla1[[#This Row],[PC]]</f>
        <v>6.4673440000000006</v>
      </c>
    </row>
    <row r="762" spans="1:10" x14ac:dyDescent="0.25">
      <c r="A762" s="3" t="s">
        <v>1987</v>
      </c>
      <c r="B762" s="3" t="s">
        <v>3559</v>
      </c>
      <c r="C762" s="1">
        <v>0</v>
      </c>
      <c r="D762" s="1">
        <v>600</v>
      </c>
      <c r="E762" s="1" t="s">
        <v>55</v>
      </c>
      <c r="F762" s="1" t="s">
        <v>4609</v>
      </c>
      <c r="G762" s="3"/>
      <c r="H762" s="12" cm="1">
        <f t="array" ref="H762">_xlfn.IFS(I762&lt;197,I762*1.26,I762&gt;197,I762*1.17) + IF(I762&gt;1000,17,0)</f>
        <v>2833.4239999999995</v>
      </c>
      <c r="I762" s="10">
        <f>($K$2+0.02)*Tabla1[[#This Row],[PRECIO $]]*1.18</f>
        <v>2407.1999999999998</v>
      </c>
      <c r="J762" s="7">
        <f>+Tabla1[[#This Row],[PRECIO EN SOLES]]-Tabla1[[#This Row],[PC]]</f>
        <v>426.22399999999971</v>
      </c>
    </row>
    <row r="763" spans="1:10" x14ac:dyDescent="0.25">
      <c r="A763" s="3" t="s">
        <v>1988</v>
      </c>
      <c r="B763" s="3" t="s">
        <v>1989</v>
      </c>
      <c r="C763" s="1">
        <v>20</v>
      </c>
      <c r="D763" s="1">
        <v>50</v>
      </c>
      <c r="E763" s="1" t="s">
        <v>52</v>
      </c>
      <c r="F763" s="1" t="s">
        <v>4610</v>
      </c>
      <c r="G763" s="3"/>
      <c r="H763" s="12" cm="1">
        <f t="array" ref="H763">_xlfn.IFS(I763&lt;197,I763*1.26,I763&gt;197,I763*1.17) + IF(I763&gt;1000,17,0)</f>
        <v>234.70199999999997</v>
      </c>
      <c r="I763" s="10">
        <f>($K$2+0.02)*Tabla1[[#This Row],[PRECIO $]]*1.18</f>
        <v>200.6</v>
      </c>
      <c r="J763" s="7">
        <f>+Tabla1[[#This Row],[PRECIO EN SOLES]]-Tabla1[[#This Row],[PC]]</f>
        <v>34.101999999999975</v>
      </c>
    </row>
    <row r="764" spans="1:10" x14ac:dyDescent="0.25">
      <c r="A764" s="3" t="s">
        <v>1990</v>
      </c>
      <c r="B764" s="3" t="s">
        <v>1991</v>
      </c>
      <c r="C764" s="1">
        <v>20</v>
      </c>
      <c r="D764" s="1">
        <v>666</v>
      </c>
      <c r="E764" s="1" t="s">
        <v>57</v>
      </c>
      <c r="F764" s="1" t="s">
        <v>4611</v>
      </c>
      <c r="G764" s="3"/>
      <c r="H764" s="12" cm="1">
        <f t="array" ref="H764">_xlfn.IFS(I764&lt;197,I764*1.26,I764&gt;197,I764*1.17) + IF(I764&gt;1000,17,0)</f>
        <v>3143.2306400000002</v>
      </c>
      <c r="I764" s="10">
        <f>($K$2+0.02)*Tabla1[[#This Row],[PRECIO $]]*1.18</f>
        <v>2671.9920000000002</v>
      </c>
      <c r="J764" s="7">
        <f>+Tabla1[[#This Row],[PRECIO EN SOLES]]-Tabla1[[#This Row],[PC]]</f>
        <v>471.23864000000003</v>
      </c>
    </row>
    <row r="765" spans="1:10" x14ac:dyDescent="0.25">
      <c r="A765" s="3" t="s">
        <v>1992</v>
      </c>
      <c r="B765" s="3" t="s">
        <v>1993</v>
      </c>
      <c r="C765" s="1">
        <v>20</v>
      </c>
      <c r="D765" s="1">
        <v>55</v>
      </c>
      <c r="E765" s="1" t="s">
        <v>281</v>
      </c>
      <c r="F765" s="1" t="s">
        <v>4612</v>
      </c>
      <c r="G765" s="3"/>
      <c r="H765" s="12" cm="1">
        <f t="array" ref="H765">_xlfn.IFS(I765&lt;197,I765*1.26,I765&gt;197,I765*1.17) + IF(I765&gt;1000,17,0)</f>
        <v>258.17219999999998</v>
      </c>
      <c r="I765" s="10">
        <f>($K$2+0.02)*Tabla1[[#This Row],[PRECIO $]]*1.18</f>
        <v>220.66</v>
      </c>
      <c r="J765" s="7">
        <f>+Tabla1[[#This Row],[PRECIO EN SOLES]]-Tabla1[[#This Row],[PC]]</f>
        <v>37.512199999999979</v>
      </c>
    </row>
    <row r="766" spans="1:10" x14ac:dyDescent="0.25">
      <c r="A766" s="3" t="s">
        <v>1994</v>
      </c>
      <c r="B766" s="3" t="s">
        <v>1995</v>
      </c>
      <c r="C766" s="1">
        <v>6</v>
      </c>
      <c r="D766" s="1">
        <v>55</v>
      </c>
      <c r="E766" s="1" t="s">
        <v>281</v>
      </c>
      <c r="F766" s="1" t="s">
        <v>4613</v>
      </c>
      <c r="G766" s="3"/>
      <c r="H766" s="12" cm="1">
        <f t="array" ref="H766">_xlfn.IFS(I766&lt;197,I766*1.26,I766&gt;197,I766*1.17) + IF(I766&gt;1000,17,0)</f>
        <v>258.17219999999998</v>
      </c>
      <c r="I766" s="10">
        <f>($K$2+0.02)*Tabla1[[#This Row],[PRECIO $]]*1.18</f>
        <v>220.66</v>
      </c>
      <c r="J766" s="7">
        <f>+Tabla1[[#This Row],[PRECIO EN SOLES]]-Tabla1[[#This Row],[PC]]</f>
        <v>37.512199999999979</v>
      </c>
    </row>
    <row r="767" spans="1:10" x14ac:dyDescent="0.25">
      <c r="A767" s="3" t="s">
        <v>1996</v>
      </c>
      <c r="B767" s="3" t="s">
        <v>1997</v>
      </c>
      <c r="C767" s="1">
        <v>0</v>
      </c>
      <c r="D767" s="1">
        <v>9999999.9900000002</v>
      </c>
      <c r="E767" s="1" t="s">
        <v>188</v>
      </c>
      <c r="F767" s="1" t="s">
        <v>4614</v>
      </c>
      <c r="G767" s="3"/>
      <c r="H767" s="12" cm="1">
        <f t="array" ref="H767">_xlfn.IFS(I767&lt;197,I767*1.26,I767&gt;197,I767*1.17) + IF(I767&gt;1000,17,0)</f>
        <v>46940416.953059591</v>
      </c>
      <c r="I767" s="10">
        <f>($K$2+0.02)*Tabla1[[#This Row],[PRECIO $]]*1.18</f>
        <v>40119999.959879994</v>
      </c>
      <c r="J767" s="7">
        <f>+Tabla1[[#This Row],[PRECIO EN SOLES]]-Tabla1[[#This Row],[PC]]</f>
        <v>6820416.993179597</v>
      </c>
    </row>
    <row r="768" spans="1:10" x14ac:dyDescent="0.25">
      <c r="A768" s="3" t="s">
        <v>1998</v>
      </c>
      <c r="B768" s="3" t="s">
        <v>1999</v>
      </c>
      <c r="C768" s="1">
        <v>5</v>
      </c>
      <c r="D768" s="1">
        <v>50</v>
      </c>
      <c r="E768" s="1" t="s">
        <v>169</v>
      </c>
      <c r="F768" s="1" t="s">
        <v>4615</v>
      </c>
      <c r="G768" s="3"/>
      <c r="H768" s="12" cm="1">
        <f t="array" ref="H768">_xlfn.IFS(I768&lt;197,I768*1.26,I768&gt;197,I768*1.17) + IF(I768&gt;1000,17,0)</f>
        <v>234.70199999999997</v>
      </c>
      <c r="I768" s="10">
        <f>($K$2+0.02)*Tabla1[[#This Row],[PRECIO $]]*1.18</f>
        <v>200.6</v>
      </c>
      <c r="J768" s="7">
        <f>+Tabla1[[#This Row],[PRECIO EN SOLES]]-Tabla1[[#This Row],[PC]]</f>
        <v>34.101999999999975</v>
      </c>
    </row>
    <row r="769" spans="1:10" x14ac:dyDescent="0.25">
      <c r="A769" s="3" t="s">
        <v>2000</v>
      </c>
      <c r="B769" s="3" t="s">
        <v>2001</v>
      </c>
      <c r="C769" s="1">
        <v>0</v>
      </c>
      <c r="D769" s="1">
        <v>9999999.9900000002</v>
      </c>
      <c r="E769" s="1" t="s">
        <v>188</v>
      </c>
      <c r="F769" s="1" t="s">
        <v>4616</v>
      </c>
      <c r="G769" s="3"/>
      <c r="H769" s="12" cm="1">
        <f t="array" ref="H769">_xlfn.IFS(I769&lt;197,I769*1.26,I769&gt;197,I769*1.17) + IF(I769&gt;1000,17,0)</f>
        <v>46940416.953059591</v>
      </c>
      <c r="I769" s="10">
        <f>($K$2+0.02)*Tabla1[[#This Row],[PRECIO $]]*1.18</f>
        <v>40119999.959879994</v>
      </c>
      <c r="J769" s="7">
        <f>+Tabla1[[#This Row],[PRECIO EN SOLES]]-Tabla1[[#This Row],[PC]]</f>
        <v>6820416.993179597</v>
      </c>
    </row>
    <row r="770" spans="1:10" x14ac:dyDescent="0.25">
      <c r="A770" s="3" t="s">
        <v>2002</v>
      </c>
      <c r="B770" s="3" t="s">
        <v>2003</v>
      </c>
      <c r="C770" s="1">
        <v>0</v>
      </c>
      <c r="D770" s="1">
        <v>999</v>
      </c>
      <c r="E770" s="1" t="s">
        <v>57</v>
      </c>
      <c r="F770" s="1" t="s">
        <v>4617</v>
      </c>
      <c r="G770" s="3"/>
      <c r="H770" s="12" cm="1">
        <f t="array" ref="H770">_xlfn.IFS(I770&lt;197,I770*1.26,I770&gt;197,I770*1.17) + IF(I770&gt;1000,17,0)</f>
        <v>4706.3459599999996</v>
      </c>
      <c r="I770" s="10">
        <f>($K$2+0.02)*Tabla1[[#This Row],[PRECIO $]]*1.18</f>
        <v>4007.9879999999998</v>
      </c>
      <c r="J770" s="7">
        <f>+Tabla1[[#This Row],[PRECIO EN SOLES]]-Tabla1[[#This Row],[PC]]</f>
        <v>698.35795999999982</v>
      </c>
    </row>
    <row r="771" spans="1:10" x14ac:dyDescent="0.25">
      <c r="A771" s="3" t="s">
        <v>2004</v>
      </c>
      <c r="B771" s="3" t="s">
        <v>3560</v>
      </c>
      <c r="C771" s="1">
        <v>0</v>
      </c>
      <c r="D771" s="1">
        <v>600</v>
      </c>
      <c r="E771" s="1" t="s">
        <v>55</v>
      </c>
      <c r="F771" s="1" t="s">
        <v>4618</v>
      </c>
      <c r="G771" s="3"/>
      <c r="H771" s="12" cm="1">
        <f t="array" ref="H771">_xlfn.IFS(I771&lt;197,I771*1.26,I771&gt;197,I771*1.17) + IF(I771&gt;1000,17,0)</f>
        <v>2833.4239999999995</v>
      </c>
      <c r="I771" s="10">
        <f>($K$2+0.02)*Tabla1[[#This Row],[PRECIO $]]*1.18</f>
        <v>2407.1999999999998</v>
      </c>
      <c r="J771" s="7">
        <f>+Tabla1[[#This Row],[PRECIO EN SOLES]]-Tabla1[[#This Row],[PC]]</f>
        <v>426.22399999999971</v>
      </c>
    </row>
    <row r="772" spans="1:10" x14ac:dyDescent="0.25">
      <c r="A772" s="3" t="s">
        <v>2005</v>
      </c>
      <c r="B772" s="3" t="s">
        <v>2006</v>
      </c>
      <c r="C772" s="1">
        <v>0</v>
      </c>
      <c r="D772" s="1">
        <v>9999999.9900000002</v>
      </c>
      <c r="E772" s="1" t="s">
        <v>56</v>
      </c>
      <c r="F772" s="1" t="s">
        <v>4619</v>
      </c>
      <c r="G772" s="3"/>
      <c r="H772" s="12" cm="1">
        <f t="array" ref="H772">_xlfn.IFS(I772&lt;197,I772*1.26,I772&gt;197,I772*1.17) + IF(I772&gt;1000,17,0)</f>
        <v>46940416.953059591</v>
      </c>
      <c r="I772" s="10">
        <f>($K$2+0.02)*Tabla1[[#This Row],[PRECIO $]]*1.18</f>
        <v>40119999.959879994</v>
      </c>
      <c r="J772" s="7">
        <f>+Tabla1[[#This Row],[PRECIO EN SOLES]]-Tabla1[[#This Row],[PC]]</f>
        <v>6820416.993179597</v>
      </c>
    </row>
    <row r="773" spans="1:10" x14ac:dyDescent="0.25">
      <c r="A773" s="3" t="s">
        <v>5629</v>
      </c>
      <c r="B773" s="3" t="s">
        <v>5630</v>
      </c>
      <c r="C773" s="1">
        <v>2</v>
      </c>
      <c r="D773" s="1">
        <v>666</v>
      </c>
      <c r="E773" s="1" t="s">
        <v>56</v>
      </c>
      <c r="F773" s="1" t="s">
        <v>5631</v>
      </c>
      <c r="G773" s="3"/>
      <c r="H773" s="12" cm="1">
        <f t="array" ref="H773">_xlfn.IFS(I773&lt;197,I773*1.26,I773&gt;197,I773*1.17) + IF(I773&gt;1000,17,0)</f>
        <v>3143.2306400000002</v>
      </c>
      <c r="I773" s="10">
        <f>($K$2+0.02)*Tabla1[[#This Row],[PRECIO $]]*1.18</f>
        <v>2671.9920000000002</v>
      </c>
      <c r="J773" s="7">
        <f>+Tabla1[[#This Row],[PRECIO EN SOLES]]-Tabla1[[#This Row],[PC]]</f>
        <v>471.23864000000003</v>
      </c>
    </row>
    <row r="774" spans="1:10" x14ac:dyDescent="0.25">
      <c r="A774" s="3" t="s">
        <v>2007</v>
      </c>
      <c r="B774" s="3" t="s">
        <v>2008</v>
      </c>
      <c r="C774" s="1">
        <v>0</v>
      </c>
      <c r="D774" s="1">
        <v>9999999.9900000002</v>
      </c>
      <c r="E774" s="1" t="s">
        <v>56</v>
      </c>
      <c r="F774" s="1" t="s">
        <v>4620</v>
      </c>
      <c r="G774" s="3"/>
      <c r="H774" s="12" cm="1">
        <f t="array" ref="H774">_xlfn.IFS(I774&lt;197,I774*1.26,I774&gt;197,I774*1.17) + IF(I774&gt;1000,17,0)</f>
        <v>46940416.953059591</v>
      </c>
      <c r="I774" s="10">
        <f>($K$2+0.02)*Tabla1[[#This Row],[PRECIO $]]*1.18</f>
        <v>40119999.959879994</v>
      </c>
      <c r="J774" s="7">
        <f>+Tabla1[[#This Row],[PRECIO EN SOLES]]-Tabla1[[#This Row],[PC]]</f>
        <v>6820416.993179597</v>
      </c>
    </row>
    <row r="775" spans="1:10" x14ac:dyDescent="0.25">
      <c r="A775" s="3" t="s">
        <v>5632</v>
      </c>
      <c r="B775" s="3" t="s">
        <v>5633</v>
      </c>
      <c r="C775" s="1">
        <v>2</v>
      </c>
      <c r="D775" s="1">
        <v>666</v>
      </c>
      <c r="E775" s="1" t="s">
        <v>56</v>
      </c>
      <c r="F775" s="1" t="s">
        <v>5634</v>
      </c>
      <c r="G775" s="3"/>
      <c r="H775" s="12" cm="1">
        <f t="array" ref="H775">_xlfn.IFS(I775&lt;197,I775*1.26,I775&gt;197,I775*1.17) + IF(I775&gt;1000,17,0)</f>
        <v>3143.2306400000002</v>
      </c>
      <c r="I775" s="10">
        <f>($K$2+0.02)*Tabla1[[#This Row],[PRECIO $]]*1.18</f>
        <v>2671.9920000000002</v>
      </c>
      <c r="J775" s="7">
        <f>+Tabla1[[#This Row],[PRECIO EN SOLES]]-Tabla1[[#This Row],[PC]]</f>
        <v>471.23864000000003</v>
      </c>
    </row>
    <row r="776" spans="1:10" x14ac:dyDescent="0.25">
      <c r="A776" s="3" t="s">
        <v>2009</v>
      </c>
      <c r="B776" s="3" t="s">
        <v>2010</v>
      </c>
      <c r="C776" s="1">
        <v>1</v>
      </c>
      <c r="D776" s="1">
        <v>100</v>
      </c>
      <c r="E776" s="1" t="s">
        <v>101</v>
      </c>
      <c r="F776" s="1" t="s">
        <v>4621</v>
      </c>
      <c r="G776" s="3"/>
      <c r="H776" s="12" cm="1">
        <f t="array" ref="H776">_xlfn.IFS(I776&lt;197,I776*1.26,I776&gt;197,I776*1.17) + IF(I776&gt;1000,17,0)</f>
        <v>469.40399999999994</v>
      </c>
      <c r="I776" s="10">
        <f>($K$2+0.02)*Tabla1[[#This Row],[PRECIO $]]*1.18</f>
        <v>401.2</v>
      </c>
      <c r="J776" s="7">
        <f>+Tabla1[[#This Row],[PRECIO EN SOLES]]-Tabla1[[#This Row],[PC]]</f>
        <v>68.203999999999951</v>
      </c>
    </row>
    <row r="777" spans="1:10" x14ac:dyDescent="0.25">
      <c r="A777" s="3" t="s">
        <v>2011</v>
      </c>
      <c r="B777" s="3" t="s">
        <v>2012</v>
      </c>
      <c r="C777" s="1">
        <v>20</v>
      </c>
      <c r="D777" s="1">
        <v>600</v>
      </c>
      <c r="E777" s="1" t="s">
        <v>55</v>
      </c>
      <c r="F777" s="1" t="s">
        <v>4622</v>
      </c>
      <c r="G777" s="3"/>
      <c r="H777" s="12" cm="1">
        <f t="array" ref="H777">_xlfn.IFS(I777&lt;197,I777*1.26,I777&gt;197,I777*1.17) + IF(I777&gt;1000,17,0)</f>
        <v>2833.4239999999995</v>
      </c>
      <c r="I777" s="10">
        <f>($K$2+0.02)*Tabla1[[#This Row],[PRECIO $]]*1.18</f>
        <v>2407.1999999999998</v>
      </c>
      <c r="J777" s="7">
        <f>+Tabla1[[#This Row],[PRECIO EN SOLES]]-Tabla1[[#This Row],[PC]]</f>
        <v>426.22399999999971</v>
      </c>
    </row>
    <row r="778" spans="1:10" x14ac:dyDescent="0.25">
      <c r="A778" s="3" t="s">
        <v>2013</v>
      </c>
      <c r="B778" s="3" t="s">
        <v>2014</v>
      </c>
      <c r="C778" s="1">
        <v>20</v>
      </c>
      <c r="D778" s="1">
        <v>11</v>
      </c>
      <c r="E778" s="1" t="s">
        <v>55</v>
      </c>
      <c r="F778" s="1" t="s">
        <v>4623</v>
      </c>
      <c r="G778" s="3"/>
      <c r="H778" s="12" cm="1">
        <f t="array" ref="H778">_xlfn.IFS(I778&lt;197,I778*1.26,I778&gt;197,I778*1.17) + IF(I778&gt;1000,17,0)</f>
        <v>55.606319999999997</v>
      </c>
      <c r="I778" s="10">
        <f>($K$2+0.02)*Tabla1[[#This Row],[PRECIO $]]*1.18</f>
        <v>44.131999999999998</v>
      </c>
      <c r="J778" s="7">
        <f>+Tabla1[[#This Row],[PRECIO EN SOLES]]-Tabla1[[#This Row],[PC]]</f>
        <v>11.474319999999999</v>
      </c>
    </row>
    <row r="779" spans="1:10" x14ac:dyDescent="0.25">
      <c r="A779" s="3" t="s">
        <v>2015</v>
      </c>
      <c r="B779" s="3" t="s">
        <v>2016</v>
      </c>
      <c r="C779" s="1">
        <v>20</v>
      </c>
      <c r="D779" s="1">
        <v>2</v>
      </c>
      <c r="E779" s="1" t="s">
        <v>55</v>
      </c>
      <c r="F779" s="1" t="s">
        <v>4624</v>
      </c>
      <c r="G779" s="3"/>
      <c r="H779" s="12" cm="1">
        <f t="array" ref="H779">_xlfn.IFS(I779&lt;197,I779*1.26,I779&gt;197,I779*1.17) + IF(I779&gt;1000,17,0)</f>
        <v>10.110239999999999</v>
      </c>
      <c r="I779" s="10">
        <f>($K$2+0.02)*Tabla1[[#This Row],[PRECIO $]]*1.18</f>
        <v>8.0239999999999991</v>
      </c>
      <c r="J779" s="7">
        <f>+Tabla1[[#This Row],[PRECIO EN SOLES]]-Tabla1[[#This Row],[PC]]</f>
        <v>2.0862400000000001</v>
      </c>
    </row>
    <row r="780" spans="1:10" x14ac:dyDescent="0.25">
      <c r="A780" s="3" t="s">
        <v>2017</v>
      </c>
      <c r="B780" s="3" t="s">
        <v>2018</v>
      </c>
      <c r="C780" s="1">
        <v>20</v>
      </c>
      <c r="D780" s="1">
        <v>2</v>
      </c>
      <c r="E780" s="1" t="s">
        <v>55</v>
      </c>
      <c r="F780" s="1" t="s">
        <v>4625</v>
      </c>
      <c r="G780" s="3"/>
      <c r="H780" s="12" cm="1">
        <f t="array" ref="H780">_xlfn.IFS(I780&lt;197,I780*1.26,I780&gt;197,I780*1.17) + IF(I780&gt;1000,17,0)</f>
        <v>10.110239999999999</v>
      </c>
      <c r="I780" s="10">
        <f>($K$2+0.02)*Tabla1[[#This Row],[PRECIO $]]*1.18</f>
        <v>8.0239999999999991</v>
      </c>
      <c r="J780" s="7">
        <f>+Tabla1[[#This Row],[PRECIO EN SOLES]]-Tabla1[[#This Row],[PC]]</f>
        <v>2.0862400000000001</v>
      </c>
    </row>
    <row r="781" spans="1:10" x14ac:dyDescent="0.25">
      <c r="A781" s="3" t="s">
        <v>2019</v>
      </c>
      <c r="B781" s="3" t="s">
        <v>2020</v>
      </c>
      <c r="C781" s="1">
        <v>0</v>
      </c>
      <c r="D781" s="1">
        <v>999</v>
      </c>
      <c r="E781" s="1" t="s">
        <v>214</v>
      </c>
      <c r="F781" s="1" t="s">
        <v>4626</v>
      </c>
      <c r="G781" s="3"/>
      <c r="H781" s="12" cm="1">
        <f t="array" ref="H781">_xlfn.IFS(I781&lt;197,I781*1.26,I781&gt;197,I781*1.17) + IF(I781&gt;1000,17,0)</f>
        <v>4706.3459599999996</v>
      </c>
      <c r="I781" s="10">
        <f>($K$2+0.02)*Tabla1[[#This Row],[PRECIO $]]*1.18</f>
        <v>4007.9879999999998</v>
      </c>
      <c r="J781" s="7">
        <f>+Tabla1[[#This Row],[PRECIO EN SOLES]]-Tabla1[[#This Row],[PC]]</f>
        <v>698.35795999999982</v>
      </c>
    </row>
    <row r="782" spans="1:10" x14ac:dyDescent="0.25">
      <c r="A782" s="3" t="s">
        <v>2021</v>
      </c>
      <c r="B782" s="3" t="s">
        <v>2022</v>
      </c>
      <c r="C782" s="1">
        <v>1</v>
      </c>
      <c r="D782" s="1">
        <v>0.45</v>
      </c>
      <c r="E782" s="1" t="s">
        <v>54</v>
      </c>
      <c r="F782" s="1" t="s">
        <v>4627</v>
      </c>
      <c r="G782" s="3"/>
      <c r="H782" s="12" cm="1">
        <f t="array" ref="H782">_xlfn.IFS(I782&lt;197,I782*1.26,I782&gt;197,I782*1.17) + IF(I782&gt;1000,17,0)</f>
        <v>2.274804</v>
      </c>
      <c r="I782" s="10">
        <f>($K$2+0.02)*Tabla1[[#This Row],[PRECIO $]]*1.18</f>
        <v>1.8053999999999999</v>
      </c>
      <c r="J782" s="7">
        <f>+Tabla1[[#This Row],[PRECIO EN SOLES]]-Tabla1[[#This Row],[PC]]</f>
        <v>0.46940400000000015</v>
      </c>
    </row>
    <row r="783" spans="1:10" x14ac:dyDescent="0.25">
      <c r="A783" s="3" t="s">
        <v>2023</v>
      </c>
      <c r="B783" s="3" t="s">
        <v>2024</v>
      </c>
      <c r="C783" s="1">
        <v>1</v>
      </c>
      <c r="D783" s="1">
        <v>100</v>
      </c>
      <c r="E783" s="1" t="s">
        <v>55</v>
      </c>
      <c r="F783" s="1" t="s">
        <v>4628</v>
      </c>
      <c r="G783" s="3"/>
      <c r="H783" s="12" cm="1">
        <f t="array" ref="H783">_xlfn.IFS(I783&lt;197,I783*1.26,I783&gt;197,I783*1.17) + IF(I783&gt;1000,17,0)</f>
        <v>469.40399999999994</v>
      </c>
      <c r="I783" s="10">
        <f>($K$2+0.02)*Tabla1[[#This Row],[PRECIO $]]*1.18</f>
        <v>401.2</v>
      </c>
      <c r="J783" s="7">
        <f>+Tabla1[[#This Row],[PRECIO EN SOLES]]-Tabla1[[#This Row],[PC]]</f>
        <v>68.203999999999951</v>
      </c>
    </row>
    <row r="784" spans="1:10" x14ac:dyDescent="0.25">
      <c r="A784" s="3" t="s">
        <v>2025</v>
      </c>
      <c r="B784" s="3" t="s">
        <v>2022</v>
      </c>
      <c r="C784" s="1">
        <v>1</v>
      </c>
      <c r="D784" s="1">
        <v>0.45</v>
      </c>
      <c r="E784" s="1" t="s">
        <v>54</v>
      </c>
      <c r="F784" s="1" t="s">
        <v>4629</v>
      </c>
      <c r="G784" s="3"/>
      <c r="H784" s="12" cm="1">
        <f t="array" ref="H784">_xlfn.IFS(I784&lt;197,I784*1.26,I784&gt;197,I784*1.17) + IF(I784&gt;1000,17,0)</f>
        <v>2.274804</v>
      </c>
      <c r="I784" s="10">
        <f>($K$2+0.02)*Tabla1[[#This Row],[PRECIO $]]*1.18</f>
        <v>1.8053999999999999</v>
      </c>
      <c r="J784" s="7">
        <f>+Tabla1[[#This Row],[PRECIO EN SOLES]]-Tabla1[[#This Row],[PC]]</f>
        <v>0.46940400000000015</v>
      </c>
    </row>
    <row r="785" spans="1:10" x14ac:dyDescent="0.25">
      <c r="A785" s="3" t="s">
        <v>5921</v>
      </c>
      <c r="B785" s="3" t="s">
        <v>5922</v>
      </c>
      <c r="C785" s="1">
        <v>1</v>
      </c>
      <c r="D785" s="1">
        <v>12.5</v>
      </c>
      <c r="E785" s="1" t="s">
        <v>52</v>
      </c>
      <c r="F785" s="1" t="s">
        <v>5923</v>
      </c>
      <c r="G785" s="3" t="s">
        <v>5924</v>
      </c>
      <c r="H785" s="12" cm="1">
        <f t="array" ref="H785">_xlfn.IFS(I785&lt;197,I785*1.26,I785&gt;197,I785*1.17) + IF(I785&gt;1000,17,0)</f>
        <v>63.189</v>
      </c>
      <c r="I785" s="10">
        <f>($K$2+0.02)*Tabla1[[#This Row],[PRECIO $]]*1.18</f>
        <v>50.15</v>
      </c>
      <c r="J785" s="7">
        <f>+Tabla1[[#This Row],[PRECIO EN SOLES]]-Tabla1[[#This Row],[PC]]</f>
        <v>13.039000000000001</v>
      </c>
    </row>
    <row r="786" spans="1:10" x14ac:dyDescent="0.25">
      <c r="A786" s="3" t="s">
        <v>5925</v>
      </c>
      <c r="B786" s="3" t="s">
        <v>5926</v>
      </c>
      <c r="C786" s="1">
        <v>0</v>
      </c>
      <c r="D786" s="1">
        <v>13</v>
      </c>
      <c r="E786" s="1" t="s">
        <v>52</v>
      </c>
      <c r="F786" s="1" t="s">
        <v>5927</v>
      </c>
      <c r="G786" s="3" t="s">
        <v>5928</v>
      </c>
      <c r="H786" s="12" cm="1">
        <f t="array" ref="H786">_xlfn.IFS(I786&lt;197,I786*1.26,I786&gt;197,I786*1.17) + IF(I786&gt;1000,17,0)</f>
        <v>65.716559999999987</v>
      </c>
      <c r="I786" s="10">
        <f>($K$2+0.02)*Tabla1[[#This Row],[PRECIO $]]*1.18</f>
        <v>52.155999999999992</v>
      </c>
      <c r="J786" s="7">
        <f>+Tabla1[[#This Row],[PRECIO EN SOLES]]-Tabla1[[#This Row],[PC]]</f>
        <v>13.560559999999995</v>
      </c>
    </row>
    <row r="787" spans="1:10" x14ac:dyDescent="0.25">
      <c r="A787" s="3" t="s">
        <v>5929</v>
      </c>
      <c r="B787" s="3" t="s">
        <v>5930</v>
      </c>
      <c r="C787" s="1">
        <v>0</v>
      </c>
      <c r="D787" s="1">
        <v>8.6999999999999993</v>
      </c>
      <c r="E787" s="1" t="s">
        <v>52</v>
      </c>
      <c r="F787" s="1" t="s">
        <v>5931</v>
      </c>
      <c r="G787" s="3" t="s">
        <v>5932</v>
      </c>
      <c r="H787" s="12" cm="1">
        <f t="array" ref="H787">_xlfn.IFS(I787&lt;197,I787*1.26,I787&gt;197,I787*1.17) + IF(I787&gt;1000,17,0)</f>
        <v>43.979543999999997</v>
      </c>
      <c r="I787" s="10">
        <f>($K$2+0.02)*Tabla1[[#This Row],[PRECIO $]]*1.18</f>
        <v>34.904399999999995</v>
      </c>
      <c r="J787" s="7">
        <f>+Tabla1[[#This Row],[PRECIO EN SOLES]]-Tabla1[[#This Row],[PC]]</f>
        <v>9.0751440000000017</v>
      </c>
    </row>
    <row r="788" spans="1:10" x14ac:dyDescent="0.25">
      <c r="A788" s="3" t="s">
        <v>5933</v>
      </c>
      <c r="B788" s="3" t="s">
        <v>5934</v>
      </c>
      <c r="C788" s="1">
        <v>1</v>
      </c>
      <c r="D788" s="1">
        <v>8.6999999999999993</v>
      </c>
      <c r="E788" s="1" t="s">
        <v>52</v>
      </c>
      <c r="F788" s="1" t="s">
        <v>5935</v>
      </c>
      <c r="G788" s="3" t="s">
        <v>5936</v>
      </c>
      <c r="H788" s="12" cm="1">
        <f t="array" ref="H788">_xlfn.IFS(I788&lt;197,I788*1.26,I788&gt;197,I788*1.17) + IF(I788&gt;1000,17,0)</f>
        <v>43.979543999999997</v>
      </c>
      <c r="I788" s="10">
        <f>($K$2+0.02)*Tabla1[[#This Row],[PRECIO $]]*1.18</f>
        <v>34.904399999999995</v>
      </c>
      <c r="J788" s="7">
        <f>+Tabla1[[#This Row],[PRECIO EN SOLES]]-Tabla1[[#This Row],[PC]]</f>
        <v>9.0751440000000017</v>
      </c>
    </row>
    <row r="789" spans="1:10" x14ac:dyDescent="0.25">
      <c r="A789" s="3" t="s">
        <v>5635</v>
      </c>
      <c r="B789" s="3" t="s">
        <v>5636</v>
      </c>
      <c r="C789" s="1">
        <v>18</v>
      </c>
      <c r="D789" s="1">
        <v>8.6999999999999993</v>
      </c>
      <c r="E789" s="1" t="s">
        <v>52</v>
      </c>
      <c r="F789" s="1" t="s">
        <v>5637</v>
      </c>
      <c r="G789" s="3" t="s">
        <v>5638</v>
      </c>
      <c r="H789" s="12" cm="1">
        <f t="array" ref="H789">_xlfn.IFS(I789&lt;197,I789*1.26,I789&gt;197,I789*1.17) + IF(I789&gt;1000,17,0)</f>
        <v>43.979543999999997</v>
      </c>
      <c r="I789" s="10">
        <f>($K$2+0.02)*Tabla1[[#This Row],[PRECIO $]]*1.18</f>
        <v>34.904399999999995</v>
      </c>
      <c r="J789" s="7">
        <f>+Tabla1[[#This Row],[PRECIO EN SOLES]]-Tabla1[[#This Row],[PC]]</f>
        <v>9.0751440000000017</v>
      </c>
    </row>
    <row r="790" spans="1:10" x14ac:dyDescent="0.25">
      <c r="A790" s="3" t="s">
        <v>325</v>
      </c>
      <c r="B790" s="3" t="s">
        <v>326</v>
      </c>
      <c r="C790" s="1">
        <v>20</v>
      </c>
      <c r="D790" s="1">
        <v>15</v>
      </c>
      <c r="E790" s="1" t="s">
        <v>52</v>
      </c>
      <c r="F790" s="1" t="s">
        <v>4630</v>
      </c>
      <c r="G790" s="3" t="s">
        <v>803</v>
      </c>
      <c r="H790" s="12" cm="1">
        <f t="array" ref="H790">_xlfn.IFS(I790&lt;197,I790*1.26,I790&gt;197,I790*1.17) + IF(I790&gt;1000,17,0)</f>
        <v>75.826800000000006</v>
      </c>
      <c r="I790" s="10">
        <f>($K$2+0.02)*Tabla1[[#This Row],[PRECIO $]]*1.18</f>
        <v>60.18</v>
      </c>
      <c r="J790" s="7">
        <f>+Tabla1[[#This Row],[PRECIO EN SOLES]]-Tabla1[[#This Row],[PC]]</f>
        <v>15.646800000000006</v>
      </c>
    </row>
    <row r="791" spans="1:10" x14ac:dyDescent="0.25">
      <c r="A791" s="3" t="s">
        <v>4631</v>
      </c>
      <c r="B791" s="3" t="s">
        <v>4632</v>
      </c>
      <c r="C791" s="1">
        <v>14</v>
      </c>
      <c r="D791" s="1">
        <v>12.5</v>
      </c>
      <c r="E791" s="1" t="s">
        <v>52</v>
      </c>
      <c r="F791" s="1" t="s">
        <v>4633</v>
      </c>
      <c r="G791" s="3" t="s">
        <v>4634</v>
      </c>
      <c r="H791" s="12" cm="1">
        <f t="array" ref="H791">_xlfn.IFS(I791&lt;197,I791*1.26,I791&gt;197,I791*1.17) + IF(I791&gt;1000,17,0)</f>
        <v>63.189</v>
      </c>
      <c r="I791" s="10">
        <f>($K$2+0.02)*Tabla1[[#This Row],[PRECIO $]]*1.18</f>
        <v>50.15</v>
      </c>
      <c r="J791" s="7">
        <f>+Tabla1[[#This Row],[PRECIO EN SOLES]]-Tabla1[[#This Row],[PC]]</f>
        <v>13.039000000000001</v>
      </c>
    </row>
    <row r="792" spans="1:10" x14ac:dyDescent="0.25">
      <c r="A792" s="3" t="s">
        <v>6025</v>
      </c>
      <c r="B792" s="3" t="s">
        <v>6026</v>
      </c>
      <c r="C792" s="1">
        <v>2</v>
      </c>
      <c r="D792" s="1">
        <v>12.5</v>
      </c>
      <c r="E792" s="1" t="s">
        <v>52</v>
      </c>
      <c r="F792" s="1" t="s">
        <v>6027</v>
      </c>
      <c r="G792" s="3" t="s">
        <v>6028</v>
      </c>
      <c r="H792" s="12" cm="1">
        <f t="array" ref="H792">_xlfn.IFS(I792&lt;197,I792*1.26,I792&gt;197,I792*1.17) + IF(I792&gt;1000,17,0)</f>
        <v>63.189</v>
      </c>
      <c r="I792" s="10">
        <f>($K$2+0.02)*Tabla1[[#This Row],[PRECIO $]]*1.18</f>
        <v>50.15</v>
      </c>
      <c r="J792" s="7">
        <f>+Tabla1[[#This Row],[PRECIO EN SOLES]]-Tabla1[[#This Row],[PC]]</f>
        <v>13.039000000000001</v>
      </c>
    </row>
    <row r="793" spans="1:10" x14ac:dyDescent="0.25">
      <c r="A793" s="3" t="s">
        <v>3691</v>
      </c>
      <c r="B793" s="3" t="s">
        <v>3692</v>
      </c>
      <c r="C793" s="1">
        <v>3</v>
      </c>
      <c r="D793" s="1">
        <v>12.5</v>
      </c>
      <c r="E793" s="1" t="s">
        <v>52</v>
      </c>
      <c r="F793" s="1" t="s">
        <v>4635</v>
      </c>
      <c r="G793" s="3" t="s">
        <v>3693</v>
      </c>
      <c r="H793" s="12" cm="1">
        <f t="array" ref="H793">_xlfn.IFS(I793&lt;197,I793*1.26,I793&gt;197,I793*1.17) + IF(I793&gt;1000,17,0)</f>
        <v>63.189</v>
      </c>
      <c r="I793" s="10">
        <f>($K$2+0.02)*Tabla1[[#This Row],[PRECIO $]]*1.18</f>
        <v>50.15</v>
      </c>
      <c r="J793" s="7">
        <f>+Tabla1[[#This Row],[PRECIO EN SOLES]]-Tabla1[[#This Row],[PC]]</f>
        <v>13.039000000000001</v>
      </c>
    </row>
    <row r="794" spans="1:10" x14ac:dyDescent="0.25">
      <c r="A794" s="3" t="s">
        <v>2026</v>
      </c>
      <c r="B794" s="3" t="s">
        <v>2027</v>
      </c>
      <c r="C794" s="1">
        <v>20</v>
      </c>
      <c r="D794" s="1">
        <v>13.5</v>
      </c>
      <c r="E794" s="1" t="s">
        <v>52</v>
      </c>
      <c r="F794" s="1" t="s">
        <v>4636</v>
      </c>
      <c r="G794" s="3" t="s">
        <v>2028</v>
      </c>
      <c r="H794" s="12" cm="1">
        <f t="array" ref="H794">_xlfn.IFS(I794&lt;197,I794*1.26,I794&gt;197,I794*1.17) + IF(I794&gt;1000,17,0)</f>
        <v>68.244119999999995</v>
      </c>
      <c r="I794" s="10">
        <f>($K$2+0.02)*Tabla1[[#This Row],[PRECIO $]]*1.18</f>
        <v>54.161999999999992</v>
      </c>
      <c r="J794" s="7">
        <f>+Tabla1[[#This Row],[PRECIO EN SOLES]]-Tabla1[[#This Row],[PC]]</f>
        <v>14.082120000000003</v>
      </c>
    </row>
    <row r="795" spans="1:10" x14ac:dyDescent="0.25">
      <c r="A795" s="3" t="s">
        <v>2029</v>
      </c>
      <c r="B795" s="3" t="s">
        <v>2030</v>
      </c>
      <c r="C795" s="1">
        <v>20</v>
      </c>
      <c r="D795" s="1">
        <v>11.8</v>
      </c>
      <c r="E795" s="1" t="s">
        <v>52</v>
      </c>
      <c r="F795" s="1" t="s">
        <v>4637</v>
      </c>
      <c r="G795" s="3" t="s">
        <v>2031</v>
      </c>
      <c r="H795" s="12" cm="1">
        <f t="array" ref="H795">_xlfn.IFS(I795&lt;197,I795*1.26,I795&gt;197,I795*1.17) + IF(I795&gt;1000,17,0)</f>
        <v>59.650416</v>
      </c>
      <c r="I795" s="10">
        <f>($K$2+0.02)*Tabla1[[#This Row],[PRECIO $]]*1.18</f>
        <v>47.3416</v>
      </c>
      <c r="J795" s="7">
        <f>+Tabla1[[#This Row],[PRECIO EN SOLES]]-Tabla1[[#This Row],[PC]]</f>
        <v>12.308816</v>
      </c>
    </row>
    <row r="796" spans="1:10" x14ac:dyDescent="0.25">
      <c r="A796" s="3" t="s">
        <v>3694</v>
      </c>
      <c r="B796" s="3" t="s">
        <v>3695</v>
      </c>
      <c r="C796" s="1">
        <v>20</v>
      </c>
      <c r="D796" s="1">
        <v>16</v>
      </c>
      <c r="E796" s="1" t="s">
        <v>52</v>
      </c>
      <c r="F796" s="1" t="s">
        <v>4638</v>
      </c>
      <c r="G796" s="3" t="s">
        <v>3696</v>
      </c>
      <c r="H796" s="12" cm="1">
        <f t="array" ref="H796">_xlfn.IFS(I796&lt;197,I796*1.26,I796&gt;197,I796*1.17) + IF(I796&gt;1000,17,0)</f>
        <v>80.881919999999994</v>
      </c>
      <c r="I796" s="10">
        <f>($K$2+0.02)*Tabla1[[#This Row],[PRECIO $]]*1.18</f>
        <v>64.191999999999993</v>
      </c>
      <c r="J796" s="7">
        <f>+Tabla1[[#This Row],[PRECIO EN SOLES]]-Tabla1[[#This Row],[PC]]</f>
        <v>16.689920000000001</v>
      </c>
    </row>
    <row r="797" spans="1:10" x14ac:dyDescent="0.25">
      <c r="A797" s="3" t="s">
        <v>327</v>
      </c>
      <c r="B797" s="3" t="s">
        <v>328</v>
      </c>
      <c r="C797" s="1">
        <v>20</v>
      </c>
      <c r="D797" s="1">
        <v>25.9</v>
      </c>
      <c r="E797" s="1" t="s">
        <v>52</v>
      </c>
      <c r="F797" s="1" t="s">
        <v>4639</v>
      </c>
      <c r="G797" s="3" t="s">
        <v>804</v>
      </c>
      <c r="H797" s="12" cm="1">
        <f t="array" ref="H797">_xlfn.IFS(I797&lt;197,I797*1.26,I797&gt;197,I797*1.17) + IF(I797&gt;1000,17,0)</f>
        <v>130.92760799999996</v>
      </c>
      <c r="I797" s="10">
        <f>($K$2+0.02)*Tabla1[[#This Row],[PRECIO $]]*1.18</f>
        <v>103.91079999999998</v>
      </c>
      <c r="J797" s="7">
        <f>+Tabla1[[#This Row],[PRECIO EN SOLES]]-Tabla1[[#This Row],[PC]]</f>
        <v>27.016807999999983</v>
      </c>
    </row>
    <row r="798" spans="1:10" x14ac:dyDescent="0.25">
      <c r="A798" s="3" t="s">
        <v>329</v>
      </c>
      <c r="B798" s="3" t="s">
        <v>330</v>
      </c>
      <c r="C798" s="1">
        <v>20</v>
      </c>
      <c r="D798" s="1">
        <v>25.9</v>
      </c>
      <c r="E798" s="1" t="s">
        <v>52</v>
      </c>
      <c r="F798" s="1" t="s">
        <v>4640</v>
      </c>
      <c r="G798" s="3" t="s">
        <v>805</v>
      </c>
      <c r="H798" s="12" cm="1">
        <f t="array" ref="H798">_xlfn.IFS(I798&lt;197,I798*1.26,I798&gt;197,I798*1.17) + IF(I798&gt;1000,17,0)</f>
        <v>130.92760799999996</v>
      </c>
      <c r="I798" s="10">
        <f>($K$2+0.02)*Tabla1[[#This Row],[PRECIO $]]*1.18</f>
        <v>103.91079999999998</v>
      </c>
      <c r="J798" s="7">
        <f>+Tabla1[[#This Row],[PRECIO EN SOLES]]-Tabla1[[#This Row],[PC]]</f>
        <v>27.016807999999983</v>
      </c>
    </row>
    <row r="799" spans="1:10" x14ac:dyDescent="0.25">
      <c r="A799" s="3" t="s">
        <v>5639</v>
      </c>
      <c r="B799" s="3" t="s">
        <v>5640</v>
      </c>
      <c r="C799" s="1">
        <v>14</v>
      </c>
      <c r="D799" s="1">
        <v>15.6</v>
      </c>
      <c r="E799" s="1" t="s">
        <v>52</v>
      </c>
      <c r="F799" s="1" t="s">
        <v>5641</v>
      </c>
      <c r="G799" s="3" t="s">
        <v>5642</v>
      </c>
      <c r="H799" s="12" cm="1">
        <f t="array" ref="H799">_xlfn.IFS(I799&lt;197,I799*1.26,I799&gt;197,I799*1.17) + IF(I799&gt;1000,17,0)</f>
        <v>78.859871999999996</v>
      </c>
      <c r="I799" s="10">
        <f>($K$2+0.02)*Tabla1[[#This Row],[PRECIO $]]*1.18</f>
        <v>62.587199999999996</v>
      </c>
      <c r="J799" s="7">
        <f>+Tabla1[[#This Row],[PRECIO EN SOLES]]-Tabla1[[#This Row],[PC]]</f>
        <v>16.272672</v>
      </c>
    </row>
    <row r="800" spans="1:10" x14ac:dyDescent="0.25">
      <c r="A800" s="3" t="s">
        <v>3830</v>
      </c>
      <c r="B800" s="3" t="s">
        <v>3831</v>
      </c>
      <c r="C800" s="1">
        <v>20</v>
      </c>
      <c r="D800" s="1">
        <v>19.899999999999999</v>
      </c>
      <c r="E800" s="1" t="s">
        <v>324</v>
      </c>
      <c r="F800" s="1" t="s">
        <v>4641</v>
      </c>
      <c r="G800" s="3"/>
      <c r="H800" s="12" cm="1">
        <f t="array" ref="H800">_xlfn.IFS(I800&lt;197,I800*1.26,I800&gt;197,I800*1.17) + IF(I800&gt;1000,17,0)</f>
        <v>100.59688799999999</v>
      </c>
      <c r="I800" s="10">
        <f>($K$2+0.02)*Tabla1[[#This Row],[PRECIO $]]*1.18</f>
        <v>79.838799999999992</v>
      </c>
      <c r="J800" s="7">
        <f>+Tabla1[[#This Row],[PRECIO EN SOLES]]-Tabla1[[#This Row],[PC]]</f>
        <v>20.758088000000001</v>
      </c>
    </row>
    <row r="801" spans="1:10" x14ac:dyDescent="0.25">
      <c r="A801" s="3" t="s">
        <v>6283</v>
      </c>
      <c r="B801" s="3" t="s">
        <v>6284</v>
      </c>
      <c r="C801" s="1">
        <v>0</v>
      </c>
      <c r="D801" s="1">
        <v>999</v>
      </c>
      <c r="E801" s="1" t="s">
        <v>213</v>
      </c>
      <c r="F801" s="1" t="s">
        <v>6285</v>
      </c>
      <c r="G801" s="3"/>
      <c r="H801" s="12" cm="1">
        <f t="array" ref="H801">_xlfn.IFS(I801&lt;197,I801*1.26,I801&gt;197,I801*1.17) + IF(I801&gt;1000,17,0)</f>
        <v>4706.3459599999996</v>
      </c>
      <c r="I801" s="10">
        <f>($K$2+0.02)*Tabla1[[#This Row],[PRECIO $]]*1.18</f>
        <v>4007.9879999999998</v>
      </c>
      <c r="J801" s="7">
        <f>+Tabla1[[#This Row],[PRECIO EN SOLES]]-Tabla1[[#This Row],[PC]]</f>
        <v>698.35795999999982</v>
      </c>
    </row>
    <row r="802" spans="1:10" x14ac:dyDescent="0.25">
      <c r="A802" s="3" t="s">
        <v>2033</v>
      </c>
      <c r="B802" s="3" t="s">
        <v>2032</v>
      </c>
      <c r="C802" s="1">
        <v>0</v>
      </c>
      <c r="D802" s="1">
        <v>999</v>
      </c>
      <c r="E802" s="1" t="s">
        <v>214</v>
      </c>
      <c r="F802" s="1" t="s">
        <v>4642</v>
      </c>
      <c r="G802" s="3"/>
      <c r="H802" s="12" cm="1">
        <f t="array" ref="H802">_xlfn.IFS(I802&lt;197,I802*1.26,I802&gt;197,I802*1.17) + IF(I802&gt;1000,17,0)</f>
        <v>4706.3459599999996</v>
      </c>
      <c r="I802" s="10">
        <f>($K$2+0.02)*Tabla1[[#This Row],[PRECIO $]]*1.18</f>
        <v>4007.9879999999998</v>
      </c>
      <c r="J802" s="7">
        <f>+Tabla1[[#This Row],[PRECIO EN SOLES]]-Tabla1[[#This Row],[PC]]</f>
        <v>698.35795999999982</v>
      </c>
    </row>
    <row r="803" spans="1:10" x14ac:dyDescent="0.25">
      <c r="A803" s="3" t="s">
        <v>331</v>
      </c>
      <c r="B803" s="3" t="s">
        <v>332</v>
      </c>
      <c r="C803" s="1">
        <v>20</v>
      </c>
      <c r="D803" s="1">
        <v>68</v>
      </c>
      <c r="E803" s="1" t="s">
        <v>54</v>
      </c>
      <c r="F803" s="1" t="s">
        <v>4643</v>
      </c>
      <c r="G803" s="3" t="s">
        <v>333</v>
      </c>
      <c r="H803" s="12" cm="1">
        <f t="array" ref="H803">_xlfn.IFS(I803&lt;197,I803*1.26,I803&gt;197,I803*1.17) + IF(I803&gt;1000,17,0)</f>
        <v>319.19471999999996</v>
      </c>
      <c r="I803" s="10">
        <f>($K$2+0.02)*Tabla1[[#This Row],[PRECIO $]]*1.18</f>
        <v>272.81599999999997</v>
      </c>
      <c r="J803" s="7">
        <f>+Tabla1[[#This Row],[PRECIO EN SOLES]]-Tabla1[[#This Row],[PC]]</f>
        <v>46.378719999999987</v>
      </c>
    </row>
    <row r="804" spans="1:10" x14ac:dyDescent="0.25">
      <c r="A804" s="3" t="s">
        <v>334</v>
      </c>
      <c r="B804" s="3" t="s">
        <v>335</v>
      </c>
      <c r="C804" s="1">
        <v>20</v>
      </c>
      <c r="D804" s="1">
        <v>78</v>
      </c>
      <c r="E804" s="1" t="s">
        <v>52</v>
      </c>
      <c r="F804" s="1" t="s">
        <v>4644</v>
      </c>
      <c r="G804" s="3" t="s">
        <v>806</v>
      </c>
      <c r="H804" s="12" cm="1">
        <f t="array" ref="H804">_xlfn.IFS(I804&lt;197,I804*1.26,I804&gt;197,I804*1.17) + IF(I804&gt;1000,17,0)</f>
        <v>366.13511999999997</v>
      </c>
      <c r="I804" s="10">
        <f>($K$2+0.02)*Tabla1[[#This Row],[PRECIO $]]*1.18</f>
        <v>312.93599999999998</v>
      </c>
      <c r="J804" s="7">
        <f>+Tabla1[[#This Row],[PRECIO EN SOLES]]-Tabla1[[#This Row],[PC]]</f>
        <v>53.199119999999994</v>
      </c>
    </row>
    <row r="805" spans="1:10" x14ac:dyDescent="0.25">
      <c r="A805" s="3" t="s">
        <v>2034</v>
      </c>
      <c r="B805" s="3" t="s">
        <v>2035</v>
      </c>
      <c r="C805" s="1">
        <v>0</v>
      </c>
      <c r="D805" s="1">
        <v>90.9</v>
      </c>
      <c r="E805" s="1" t="s">
        <v>1003</v>
      </c>
      <c r="F805" s="1" t="s">
        <v>4645</v>
      </c>
      <c r="G805" s="3" t="s">
        <v>2036</v>
      </c>
      <c r="H805" s="12" cm="1">
        <f t="array" ref="H805">_xlfn.IFS(I805&lt;197,I805*1.26,I805&gt;197,I805*1.17) + IF(I805&gt;1000,17,0)</f>
        <v>426.68823599999996</v>
      </c>
      <c r="I805" s="10">
        <f>($K$2+0.02)*Tabla1[[#This Row],[PRECIO $]]*1.18</f>
        <v>364.69079999999997</v>
      </c>
      <c r="J805" s="7">
        <f>+Tabla1[[#This Row],[PRECIO EN SOLES]]-Tabla1[[#This Row],[PC]]</f>
        <v>61.997435999999993</v>
      </c>
    </row>
    <row r="806" spans="1:10" x14ac:dyDescent="0.25">
      <c r="A806" s="3" t="s">
        <v>3509</v>
      </c>
      <c r="B806" s="3" t="s">
        <v>3510</v>
      </c>
      <c r="C806" s="1">
        <v>20</v>
      </c>
      <c r="D806" s="1">
        <v>96</v>
      </c>
      <c r="E806" s="1" t="s">
        <v>54</v>
      </c>
      <c r="F806" s="1" t="s">
        <v>4646</v>
      </c>
      <c r="G806" s="3" t="s">
        <v>3530</v>
      </c>
      <c r="H806" s="12" cm="1">
        <f t="array" ref="H806">_xlfn.IFS(I806&lt;197,I806*1.26,I806&gt;197,I806*1.17) + IF(I806&gt;1000,17,0)</f>
        <v>450.62783999999988</v>
      </c>
      <c r="I806" s="10">
        <f>($K$2+0.02)*Tabla1[[#This Row],[PRECIO $]]*1.18</f>
        <v>385.15199999999993</v>
      </c>
      <c r="J806" s="7">
        <f>+Tabla1[[#This Row],[PRECIO EN SOLES]]-Tabla1[[#This Row],[PC]]</f>
        <v>65.475839999999948</v>
      </c>
    </row>
    <row r="807" spans="1:10" x14ac:dyDescent="0.25">
      <c r="A807" s="3" t="s">
        <v>2037</v>
      </c>
      <c r="B807" s="3" t="s">
        <v>2038</v>
      </c>
      <c r="C807" s="1">
        <v>20</v>
      </c>
      <c r="D807" s="1">
        <v>96</v>
      </c>
      <c r="E807" s="1" t="s">
        <v>52</v>
      </c>
      <c r="F807" s="1" t="s">
        <v>4647</v>
      </c>
      <c r="G807" s="3" t="s">
        <v>2039</v>
      </c>
      <c r="H807" s="12" cm="1">
        <f t="array" ref="H807">_xlfn.IFS(I807&lt;197,I807*1.26,I807&gt;197,I807*1.17) + IF(I807&gt;1000,17,0)</f>
        <v>450.62783999999988</v>
      </c>
      <c r="I807" s="10">
        <f>($K$2+0.02)*Tabla1[[#This Row],[PRECIO $]]*1.18</f>
        <v>385.15199999999993</v>
      </c>
      <c r="J807" s="7">
        <f>+Tabla1[[#This Row],[PRECIO EN SOLES]]-Tabla1[[#This Row],[PC]]</f>
        <v>65.475839999999948</v>
      </c>
    </row>
    <row r="808" spans="1:10" x14ac:dyDescent="0.25">
      <c r="A808" s="3" t="s">
        <v>5643</v>
      </c>
      <c r="B808" s="3" t="s">
        <v>5644</v>
      </c>
      <c r="C808" s="1">
        <v>20</v>
      </c>
      <c r="D808" s="1">
        <v>144.4</v>
      </c>
      <c r="E808" s="1" t="s">
        <v>249</v>
      </c>
      <c r="F808" s="1" t="s">
        <v>5645</v>
      </c>
      <c r="G808" s="3" t="s">
        <v>5646</v>
      </c>
      <c r="H808" s="12" cm="1">
        <f t="array" ref="H808">_xlfn.IFS(I808&lt;197,I808*1.26,I808&gt;197,I808*1.17) + IF(I808&gt;1000,17,0)</f>
        <v>677.81937599999981</v>
      </c>
      <c r="I808" s="10">
        <f>($K$2+0.02)*Tabla1[[#This Row],[PRECIO $]]*1.18</f>
        <v>579.33279999999991</v>
      </c>
      <c r="J808" s="7">
        <f>+Tabla1[[#This Row],[PRECIO EN SOLES]]-Tabla1[[#This Row],[PC]]</f>
        <v>98.4865759999999</v>
      </c>
    </row>
    <row r="809" spans="1:10" x14ac:dyDescent="0.25">
      <c r="A809" s="3" t="s">
        <v>3697</v>
      </c>
      <c r="B809" s="3" t="s">
        <v>3698</v>
      </c>
      <c r="C809" s="1">
        <v>20</v>
      </c>
      <c r="D809" s="1">
        <v>323.5</v>
      </c>
      <c r="E809" s="1" t="s">
        <v>249</v>
      </c>
      <c r="F809" s="1" t="s">
        <v>4648</v>
      </c>
      <c r="G809" s="3" t="s">
        <v>3699</v>
      </c>
      <c r="H809" s="12" cm="1">
        <f t="array" ref="H809">_xlfn.IFS(I809&lt;197,I809*1.26,I809&gt;197,I809*1.17) + IF(I809&gt;1000,17,0)</f>
        <v>1535.5219399999996</v>
      </c>
      <c r="I809" s="10">
        <f>($K$2+0.02)*Tabla1[[#This Row],[PRECIO $]]*1.18</f>
        <v>1297.8819999999998</v>
      </c>
      <c r="J809" s="7">
        <f>+Tabla1[[#This Row],[PRECIO EN SOLES]]-Tabla1[[#This Row],[PC]]</f>
        <v>237.6399399999998</v>
      </c>
    </row>
    <row r="810" spans="1:10" x14ac:dyDescent="0.25">
      <c r="A810" s="3" t="s">
        <v>2040</v>
      </c>
      <c r="B810" s="3" t="s">
        <v>2041</v>
      </c>
      <c r="C810" s="1">
        <v>4</v>
      </c>
      <c r="D810" s="1">
        <v>400</v>
      </c>
      <c r="E810" s="1" t="s">
        <v>249</v>
      </c>
      <c r="F810" s="1" t="s">
        <v>4649</v>
      </c>
      <c r="G810" s="3" t="s">
        <v>4650</v>
      </c>
      <c r="H810" s="12" cm="1">
        <f t="array" ref="H810">_xlfn.IFS(I810&lt;197,I810*1.26,I810&gt;197,I810*1.17) + IF(I810&gt;1000,17,0)</f>
        <v>1894.6159999999998</v>
      </c>
      <c r="I810" s="10">
        <f>($K$2+0.02)*Tabla1[[#This Row],[PRECIO $]]*1.18</f>
        <v>1604.8</v>
      </c>
      <c r="J810" s="7">
        <f>+Tabla1[[#This Row],[PRECIO EN SOLES]]-Tabla1[[#This Row],[PC]]</f>
        <v>289.8159999999998</v>
      </c>
    </row>
    <row r="811" spans="1:10" x14ac:dyDescent="0.25">
      <c r="A811" s="3" t="s">
        <v>6286</v>
      </c>
      <c r="B811" s="3" t="s">
        <v>6287</v>
      </c>
      <c r="C811" s="1">
        <v>1</v>
      </c>
      <c r="D811" s="1">
        <v>106.5</v>
      </c>
      <c r="E811" s="1" t="s">
        <v>133</v>
      </c>
      <c r="F811" s="1" t="s">
        <v>6288</v>
      </c>
      <c r="G811" s="3" t="s">
        <v>6289</v>
      </c>
      <c r="H811" s="12" cm="1">
        <f t="array" ref="H811">_xlfn.IFS(I811&lt;197,I811*1.26,I811&gt;197,I811*1.17) + IF(I811&gt;1000,17,0)</f>
        <v>499.91525999999993</v>
      </c>
      <c r="I811" s="10">
        <f>($K$2+0.02)*Tabla1[[#This Row],[PRECIO $]]*1.18</f>
        <v>427.27799999999996</v>
      </c>
      <c r="J811" s="7">
        <f>+Tabla1[[#This Row],[PRECIO EN SOLES]]-Tabla1[[#This Row],[PC]]</f>
        <v>72.637259999999969</v>
      </c>
    </row>
    <row r="812" spans="1:10" x14ac:dyDescent="0.25">
      <c r="A812" s="3" t="s">
        <v>2042</v>
      </c>
      <c r="B812" s="3" t="s">
        <v>2043</v>
      </c>
      <c r="C812" s="1">
        <v>20</v>
      </c>
      <c r="D812" s="1">
        <v>77</v>
      </c>
      <c r="E812" s="1" t="s">
        <v>52</v>
      </c>
      <c r="F812" s="1" t="s">
        <v>4651</v>
      </c>
      <c r="G812" s="3" t="s">
        <v>2044</v>
      </c>
      <c r="H812" s="12" cm="1">
        <f t="array" ref="H812">_xlfn.IFS(I812&lt;197,I812*1.26,I812&gt;197,I812*1.17) + IF(I812&gt;1000,17,0)</f>
        <v>361.44107999999994</v>
      </c>
      <c r="I812" s="10">
        <f>($K$2+0.02)*Tabla1[[#This Row],[PRECIO $]]*1.18</f>
        <v>308.92399999999998</v>
      </c>
      <c r="J812" s="7">
        <f>+Tabla1[[#This Row],[PRECIO EN SOLES]]-Tabla1[[#This Row],[PC]]</f>
        <v>52.517079999999964</v>
      </c>
    </row>
    <row r="813" spans="1:10" x14ac:dyDescent="0.25">
      <c r="A813" s="3" t="s">
        <v>3832</v>
      </c>
      <c r="B813" s="3" t="s">
        <v>3833</v>
      </c>
      <c r="C813" s="1">
        <v>0</v>
      </c>
      <c r="D813" s="1">
        <v>127.5</v>
      </c>
      <c r="E813" s="1" t="s">
        <v>133</v>
      </c>
      <c r="F813" s="1" t="s">
        <v>4652</v>
      </c>
      <c r="G813" s="3" t="s">
        <v>3964</v>
      </c>
      <c r="H813" s="12" cm="1">
        <f t="array" ref="H813">_xlfn.IFS(I813&lt;197,I813*1.26,I813&gt;197,I813*1.17) + IF(I813&gt;1000,17,0)</f>
        <v>598.49009999999998</v>
      </c>
      <c r="I813" s="10">
        <f>($K$2+0.02)*Tabla1[[#This Row],[PRECIO $]]*1.18</f>
        <v>511.53</v>
      </c>
      <c r="J813" s="7">
        <f>+Tabla1[[#This Row],[PRECIO EN SOLES]]-Tabla1[[#This Row],[PC]]</f>
        <v>86.960100000000011</v>
      </c>
    </row>
    <row r="814" spans="1:10" x14ac:dyDescent="0.25">
      <c r="A814" s="3" t="s">
        <v>3965</v>
      </c>
      <c r="B814" s="3" t="s">
        <v>3966</v>
      </c>
      <c r="C814" s="1">
        <v>19</v>
      </c>
      <c r="D814" s="1">
        <v>148</v>
      </c>
      <c r="E814" s="1" t="s">
        <v>52</v>
      </c>
      <c r="F814" s="1" t="s">
        <v>4653</v>
      </c>
      <c r="G814" s="3" t="s">
        <v>3967</v>
      </c>
      <c r="H814" s="12" cm="1">
        <f t="array" ref="H814">_xlfn.IFS(I814&lt;197,I814*1.26,I814&gt;197,I814*1.17) + IF(I814&gt;1000,17,0)</f>
        <v>694.71791999999994</v>
      </c>
      <c r="I814" s="10">
        <f>($K$2+0.02)*Tabla1[[#This Row],[PRECIO $]]*1.18</f>
        <v>593.77599999999995</v>
      </c>
      <c r="J814" s="7">
        <f>+Tabla1[[#This Row],[PRECIO EN SOLES]]-Tabla1[[#This Row],[PC]]</f>
        <v>100.94191999999998</v>
      </c>
    </row>
    <row r="815" spans="1:10" x14ac:dyDescent="0.25">
      <c r="A815" s="3" t="s">
        <v>336</v>
      </c>
      <c r="B815" s="3" t="s">
        <v>337</v>
      </c>
      <c r="C815" s="1">
        <v>20</v>
      </c>
      <c r="D815" s="1">
        <v>203</v>
      </c>
      <c r="E815" s="1" t="s">
        <v>52</v>
      </c>
      <c r="F815" s="1" t="s">
        <v>4654</v>
      </c>
      <c r="G815" s="3" t="s">
        <v>3561</v>
      </c>
      <c r="H815" s="12" cm="1">
        <f t="array" ref="H815">_xlfn.IFS(I815&lt;197,I815*1.26,I815&gt;197,I815*1.17) + IF(I815&gt;1000,17,0)</f>
        <v>952.8901199999998</v>
      </c>
      <c r="I815" s="10">
        <f>($K$2+0.02)*Tabla1[[#This Row],[PRECIO $]]*1.18</f>
        <v>814.43599999999992</v>
      </c>
      <c r="J815" s="7">
        <f>+Tabla1[[#This Row],[PRECIO EN SOLES]]-Tabla1[[#This Row],[PC]]</f>
        <v>138.45411999999988</v>
      </c>
    </row>
    <row r="816" spans="1:10" x14ac:dyDescent="0.25">
      <c r="A816" s="3" t="s">
        <v>3968</v>
      </c>
      <c r="B816" s="3" t="s">
        <v>3969</v>
      </c>
      <c r="C816" s="1">
        <v>20</v>
      </c>
      <c r="D816" s="1">
        <v>175</v>
      </c>
      <c r="E816" s="1" t="s">
        <v>52</v>
      </c>
      <c r="F816" s="1" t="s">
        <v>4655</v>
      </c>
      <c r="G816" s="3" t="s">
        <v>3970</v>
      </c>
      <c r="H816" s="12" cm="1">
        <f t="array" ref="H816">_xlfn.IFS(I816&lt;197,I816*1.26,I816&gt;197,I816*1.17) + IF(I816&gt;1000,17,0)</f>
        <v>821.45699999999988</v>
      </c>
      <c r="I816" s="10">
        <f>($K$2+0.02)*Tabla1[[#This Row],[PRECIO $]]*1.18</f>
        <v>702.09999999999991</v>
      </c>
      <c r="J816" s="7">
        <f>+Tabla1[[#This Row],[PRECIO EN SOLES]]-Tabla1[[#This Row],[PC]]</f>
        <v>119.35699999999997</v>
      </c>
    </row>
    <row r="817" spans="1:10" x14ac:dyDescent="0.25">
      <c r="A817" s="3" t="s">
        <v>2045</v>
      </c>
      <c r="B817" s="3" t="s">
        <v>2046</v>
      </c>
      <c r="C817" s="1">
        <v>6</v>
      </c>
      <c r="D817" s="1">
        <v>765</v>
      </c>
      <c r="E817" s="1" t="s">
        <v>52</v>
      </c>
      <c r="F817" s="1" t="s">
        <v>4656</v>
      </c>
      <c r="G817" s="3" t="s">
        <v>2047</v>
      </c>
      <c r="H817" s="12" cm="1">
        <f t="array" ref="H817">_xlfn.IFS(I817&lt;197,I817*1.26,I817&gt;197,I817*1.17) + IF(I817&gt;1000,17,0)</f>
        <v>3607.9405999999994</v>
      </c>
      <c r="I817" s="10">
        <f>($K$2+0.02)*Tabla1[[#This Row],[PRECIO $]]*1.18</f>
        <v>3069.18</v>
      </c>
      <c r="J817" s="7">
        <f>+Tabla1[[#This Row],[PRECIO EN SOLES]]-Tabla1[[#This Row],[PC]]</f>
        <v>538.76059999999961</v>
      </c>
    </row>
    <row r="818" spans="1:10" x14ac:dyDescent="0.25">
      <c r="A818" s="3" t="s">
        <v>3834</v>
      </c>
      <c r="B818" s="3" t="s">
        <v>3835</v>
      </c>
      <c r="C818" s="1">
        <v>6</v>
      </c>
      <c r="D818" s="1">
        <v>77.7</v>
      </c>
      <c r="E818" s="1" t="s">
        <v>133</v>
      </c>
      <c r="F818" s="1" t="s">
        <v>4657</v>
      </c>
      <c r="G818" s="3" t="s">
        <v>3836</v>
      </c>
      <c r="H818" s="12" cm="1">
        <f t="array" ref="H818">_xlfn.IFS(I818&lt;197,I818*1.26,I818&gt;197,I818*1.17) + IF(I818&gt;1000,17,0)</f>
        <v>364.72690799999998</v>
      </c>
      <c r="I818" s="10">
        <f>($K$2+0.02)*Tabla1[[#This Row],[PRECIO $]]*1.18</f>
        <v>311.73239999999998</v>
      </c>
      <c r="J818" s="7">
        <f>+Tabla1[[#This Row],[PRECIO EN SOLES]]-Tabla1[[#This Row],[PC]]</f>
        <v>52.994507999999996</v>
      </c>
    </row>
    <row r="819" spans="1:10" x14ac:dyDescent="0.25">
      <c r="A819" s="3" t="s">
        <v>6290</v>
      </c>
      <c r="B819" s="3" t="s">
        <v>6291</v>
      </c>
      <c r="C819" s="1">
        <v>2</v>
      </c>
      <c r="D819" s="1">
        <v>103</v>
      </c>
      <c r="E819" s="1" t="s">
        <v>133</v>
      </c>
      <c r="F819" s="1" t="s">
        <v>6292</v>
      </c>
      <c r="G819" s="3" t="s">
        <v>6293</v>
      </c>
      <c r="H819" s="12" cm="1">
        <f t="array" ref="H819">_xlfn.IFS(I819&lt;197,I819*1.26,I819&gt;197,I819*1.17) + IF(I819&gt;1000,17,0)</f>
        <v>483.48611999999997</v>
      </c>
      <c r="I819" s="10">
        <f>($K$2+0.02)*Tabla1[[#This Row],[PRECIO $]]*1.18</f>
        <v>413.23599999999999</v>
      </c>
      <c r="J819" s="7">
        <f>+Tabla1[[#This Row],[PRECIO EN SOLES]]-Tabla1[[#This Row],[PC]]</f>
        <v>70.250119999999981</v>
      </c>
    </row>
    <row r="820" spans="1:10" x14ac:dyDescent="0.25">
      <c r="A820" s="3" t="s">
        <v>2048</v>
      </c>
      <c r="B820" s="3" t="s">
        <v>2049</v>
      </c>
      <c r="C820" s="1">
        <v>0</v>
      </c>
      <c r="D820" s="1">
        <v>128.59</v>
      </c>
      <c r="E820" s="1" t="s">
        <v>1003</v>
      </c>
      <c r="F820" s="1" t="s">
        <v>4658</v>
      </c>
      <c r="G820" s="3" t="s">
        <v>2050</v>
      </c>
      <c r="H820" s="12" cm="1">
        <f t="array" ref="H820">_xlfn.IFS(I820&lt;197,I820*1.26,I820&gt;197,I820*1.17) + IF(I820&gt;1000,17,0)</f>
        <v>603.60660359999997</v>
      </c>
      <c r="I820" s="10">
        <f>($K$2+0.02)*Tabla1[[#This Row],[PRECIO $]]*1.18</f>
        <v>515.90308000000005</v>
      </c>
      <c r="J820" s="7">
        <f>+Tabla1[[#This Row],[PRECIO EN SOLES]]-Tabla1[[#This Row],[PC]]</f>
        <v>87.703523599999926</v>
      </c>
    </row>
    <row r="821" spans="1:10" x14ac:dyDescent="0.25">
      <c r="A821" s="3" t="s">
        <v>2051</v>
      </c>
      <c r="B821" s="3" t="s">
        <v>2052</v>
      </c>
      <c r="C821" s="1">
        <v>2</v>
      </c>
      <c r="D821" s="1">
        <v>199</v>
      </c>
      <c r="E821" s="1" t="s">
        <v>1003</v>
      </c>
      <c r="F821" s="1" t="s">
        <v>4659</v>
      </c>
      <c r="G821" s="3"/>
      <c r="H821" s="12" cm="1">
        <f t="array" ref="H821">_xlfn.IFS(I821&lt;197,I821*1.26,I821&gt;197,I821*1.17) + IF(I821&gt;1000,17,0)</f>
        <v>934.11396000000002</v>
      </c>
      <c r="I821" s="10">
        <f>($K$2+0.02)*Tabla1[[#This Row],[PRECIO $]]*1.18</f>
        <v>798.38800000000003</v>
      </c>
      <c r="J821" s="7">
        <f>+Tabla1[[#This Row],[PRECIO EN SOLES]]-Tabla1[[#This Row],[PC]]</f>
        <v>135.72595999999999</v>
      </c>
    </row>
    <row r="822" spans="1:10" x14ac:dyDescent="0.25">
      <c r="A822" s="3" t="s">
        <v>2053</v>
      </c>
      <c r="B822" s="3" t="s">
        <v>2054</v>
      </c>
      <c r="C822" s="1">
        <v>20</v>
      </c>
      <c r="D822" s="1">
        <v>111.36</v>
      </c>
      <c r="E822" s="1" t="s">
        <v>122</v>
      </c>
      <c r="F822" s="1" t="s">
        <v>4660</v>
      </c>
      <c r="G822" s="3" t="s">
        <v>3531</v>
      </c>
      <c r="H822" s="12" cm="1">
        <f t="array" ref="H822">_xlfn.IFS(I822&lt;197,I822*1.26,I822&gt;197,I822*1.17) + IF(I822&gt;1000,17,0)</f>
        <v>522.72829439999987</v>
      </c>
      <c r="I822" s="10">
        <f>($K$2+0.02)*Tabla1[[#This Row],[PRECIO $]]*1.18</f>
        <v>446.77631999999994</v>
      </c>
      <c r="J822" s="7">
        <f>+Tabla1[[#This Row],[PRECIO EN SOLES]]-Tabla1[[#This Row],[PC]]</f>
        <v>75.951974399999926</v>
      </c>
    </row>
    <row r="823" spans="1:10" x14ac:dyDescent="0.25">
      <c r="A823" s="3" t="s">
        <v>3837</v>
      </c>
      <c r="B823" s="3" t="s">
        <v>3838</v>
      </c>
      <c r="C823" s="1">
        <v>11</v>
      </c>
      <c r="D823" s="1">
        <v>109.8</v>
      </c>
      <c r="E823" s="1" t="s">
        <v>133</v>
      </c>
      <c r="F823" s="1" t="s">
        <v>4661</v>
      </c>
      <c r="G823" s="3"/>
      <c r="H823" s="12" cm="1">
        <f t="array" ref="H823">_xlfn.IFS(I823&lt;197,I823*1.26,I823&gt;197,I823*1.17) + IF(I823&gt;1000,17,0)</f>
        <v>515.40559199999996</v>
      </c>
      <c r="I823" s="10">
        <f>($K$2+0.02)*Tabla1[[#This Row],[PRECIO $]]*1.18</f>
        <v>440.51759999999996</v>
      </c>
      <c r="J823" s="7">
        <f>+Tabla1[[#This Row],[PRECIO EN SOLES]]-Tabla1[[#This Row],[PC]]</f>
        <v>74.887991999999997</v>
      </c>
    </row>
    <row r="824" spans="1:10" x14ac:dyDescent="0.25">
      <c r="A824" s="3" t="s">
        <v>338</v>
      </c>
      <c r="B824" s="3" t="s">
        <v>339</v>
      </c>
      <c r="C824" s="1">
        <v>20</v>
      </c>
      <c r="D824" s="1">
        <v>77</v>
      </c>
      <c r="E824" s="1" t="s">
        <v>52</v>
      </c>
      <c r="F824" s="1" t="s">
        <v>4662</v>
      </c>
      <c r="G824" s="3" t="s">
        <v>340</v>
      </c>
      <c r="H824" s="12" cm="1">
        <f t="array" ref="H824">_xlfn.IFS(I824&lt;197,I824*1.26,I824&gt;197,I824*1.17) + IF(I824&gt;1000,17,0)</f>
        <v>361.44107999999994</v>
      </c>
      <c r="I824" s="10">
        <f>($K$2+0.02)*Tabla1[[#This Row],[PRECIO $]]*1.18</f>
        <v>308.92399999999998</v>
      </c>
      <c r="J824" s="7">
        <f>+Tabla1[[#This Row],[PRECIO EN SOLES]]-Tabla1[[#This Row],[PC]]</f>
        <v>52.517079999999964</v>
      </c>
    </row>
    <row r="825" spans="1:10" x14ac:dyDescent="0.25">
      <c r="A825" s="3" t="s">
        <v>2055</v>
      </c>
      <c r="B825" s="3" t="s">
        <v>2056</v>
      </c>
      <c r="C825" s="1">
        <v>20</v>
      </c>
      <c r="D825" s="1">
        <v>133.62</v>
      </c>
      <c r="E825" s="1" t="s">
        <v>122</v>
      </c>
      <c r="F825" s="1" t="s">
        <v>4663</v>
      </c>
      <c r="G825" s="3" t="s">
        <v>3532</v>
      </c>
      <c r="H825" s="12" cm="1">
        <f t="array" ref="H825">_xlfn.IFS(I825&lt;197,I825*1.26,I825&gt;197,I825*1.17) + IF(I825&gt;1000,17,0)</f>
        <v>627.21762479999995</v>
      </c>
      <c r="I825" s="10">
        <f>($K$2+0.02)*Tabla1[[#This Row],[PRECIO $]]*1.18</f>
        <v>536.08344</v>
      </c>
      <c r="J825" s="7">
        <f>+Tabla1[[#This Row],[PRECIO EN SOLES]]-Tabla1[[#This Row],[PC]]</f>
        <v>91.134184799999957</v>
      </c>
    </row>
    <row r="826" spans="1:10" x14ac:dyDescent="0.25">
      <c r="A826" s="3" t="s">
        <v>2057</v>
      </c>
      <c r="B826" s="3" t="s">
        <v>2058</v>
      </c>
      <c r="C826" s="1">
        <v>8</v>
      </c>
      <c r="D826" s="1">
        <v>586.5</v>
      </c>
      <c r="E826" s="1" t="s">
        <v>133</v>
      </c>
      <c r="F826" s="1" t="s">
        <v>4664</v>
      </c>
      <c r="G826" s="3" t="s">
        <v>3700</v>
      </c>
      <c r="H826" s="12" cm="1">
        <f t="array" ref="H826">_xlfn.IFS(I826&lt;197,I826*1.26,I826&gt;197,I826*1.17) + IF(I826&gt;1000,17,0)</f>
        <v>2770.0544599999994</v>
      </c>
      <c r="I826" s="10">
        <f>($K$2+0.02)*Tabla1[[#This Row],[PRECIO $]]*1.18</f>
        <v>2353.0379999999996</v>
      </c>
      <c r="J826" s="7">
        <f>+Tabla1[[#This Row],[PRECIO EN SOLES]]-Tabla1[[#This Row],[PC]]</f>
        <v>417.01645999999982</v>
      </c>
    </row>
    <row r="827" spans="1:10" x14ac:dyDescent="0.25">
      <c r="A827" s="3" t="s">
        <v>2059</v>
      </c>
      <c r="B827" s="3" t="s">
        <v>2060</v>
      </c>
      <c r="C827" s="1">
        <v>1</v>
      </c>
      <c r="D827" s="1">
        <v>639</v>
      </c>
      <c r="E827" s="1" t="s">
        <v>133</v>
      </c>
      <c r="F827" s="1" t="s">
        <v>4665</v>
      </c>
      <c r="G827" s="3" t="s">
        <v>2061</v>
      </c>
      <c r="H827" s="12" cm="1">
        <f t="array" ref="H827">_xlfn.IFS(I827&lt;197,I827*1.26,I827&gt;197,I827*1.17) + IF(I827&gt;1000,17,0)</f>
        <v>3016.4915599999995</v>
      </c>
      <c r="I827" s="10">
        <f>($K$2+0.02)*Tabla1[[#This Row],[PRECIO $]]*1.18</f>
        <v>2563.6679999999997</v>
      </c>
      <c r="J827" s="7">
        <f>+Tabla1[[#This Row],[PRECIO EN SOLES]]-Tabla1[[#This Row],[PC]]</f>
        <v>452.82355999999982</v>
      </c>
    </row>
    <row r="828" spans="1:10" x14ac:dyDescent="0.25">
      <c r="A828" s="3" t="s">
        <v>341</v>
      </c>
      <c r="B828" s="3" t="s">
        <v>342</v>
      </c>
      <c r="C828" s="1">
        <v>4</v>
      </c>
      <c r="D828" s="1">
        <v>157</v>
      </c>
      <c r="E828" s="1" t="s">
        <v>52</v>
      </c>
      <c r="F828" s="1" t="s">
        <v>4666</v>
      </c>
      <c r="G828" s="3" t="s">
        <v>807</v>
      </c>
      <c r="H828" s="12" cm="1">
        <f t="array" ref="H828">_xlfn.IFS(I828&lt;197,I828*1.26,I828&gt;197,I828*1.17) + IF(I828&gt;1000,17,0)</f>
        <v>736.9642799999998</v>
      </c>
      <c r="I828" s="10">
        <f>($K$2+0.02)*Tabla1[[#This Row],[PRECIO $]]*1.18</f>
        <v>629.8839999999999</v>
      </c>
      <c r="J828" s="7">
        <f>+Tabla1[[#This Row],[PRECIO EN SOLES]]-Tabla1[[#This Row],[PC]]</f>
        <v>107.0802799999999</v>
      </c>
    </row>
    <row r="829" spans="1:10" x14ac:dyDescent="0.25">
      <c r="A829" s="3" t="s">
        <v>2062</v>
      </c>
      <c r="B829" s="3" t="s">
        <v>2063</v>
      </c>
      <c r="C829" s="1">
        <v>6</v>
      </c>
      <c r="D829" s="1">
        <v>97</v>
      </c>
      <c r="E829" s="1" t="s">
        <v>52</v>
      </c>
      <c r="F829" s="1" t="s">
        <v>4667</v>
      </c>
      <c r="G829" s="3" t="s">
        <v>2064</v>
      </c>
      <c r="H829" s="12" cm="1">
        <f t="array" ref="H829">_xlfn.IFS(I829&lt;197,I829*1.26,I829&gt;197,I829*1.17) + IF(I829&gt;1000,17,0)</f>
        <v>455.32187999999996</v>
      </c>
      <c r="I829" s="10">
        <f>($K$2+0.02)*Tabla1[[#This Row],[PRECIO $]]*1.18</f>
        <v>389.16399999999999</v>
      </c>
      <c r="J829" s="7">
        <f>+Tabla1[[#This Row],[PRECIO EN SOLES]]-Tabla1[[#This Row],[PC]]</f>
        <v>66.157879999999977</v>
      </c>
    </row>
    <row r="830" spans="1:10" x14ac:dyDescent="0.25">
      <c r="A830" s="3" t="s">
        <v>5647</v>
      </c>
      <c r="B830" s="3" t="s">
        <v>5648</v>
      </c>
      <c r="C830" s="1">
        <v>20</v>
      </c>
      <c r="D830" s="1">
        <v>209.5</v>
      </c>
      <c r="E830" s="1" t="s">
        <v>249</v>
      </c>
      <c r="F830" s="1" t="s">
        <v>5649</v>
      </c>
      <c r="G830" s="3" t="s">
        <v>5650</v>
      </c>
      <c r="H830" s="12" cm="1">
        <f t="array" ref="H830">_xlfn.IFS(I830&lt;197,I830*1.26,I830&gt;197,I830*1.17) + IF(I830&gt;1000,17,0)</f>
        <v>983.40137999999979</v>
      </c>
      <c r="I830" s="10">
        <f>($K$2+0.02)*Tabla1[[#This Row],[PRECIO $]]*1.18</f>
        <v>840.5139999999999</v>
      </c>
      <c r="J830" s="7">
        <f>+Tabla1[[#This Row],[PRECIO EN SOLES]]-Tabla1[[#This Row],[PC]]</f>
        <v>142.88737999999989</v>
      </c>
    </row>
    <row r="831" spans="1:10" x14ac:dyDescent="0.25">
      <c r="A831" s="3" t="s">
        <v>2065</v>
      </c>
      <c r="B831" s="3" t="s">
        <v>2066</v>
      </c>
      <c r="C831" s="1">
        <v>20</v>
      </c>
      <c r="D831" s="1">
        <v>581.9</v>
      </c>
      <c r="E831" s="1" t="s">
        <v>1003</v>
      </c>
      <c r="F831" s="1" t="s">
        <v>4668</v>
      </c>
      <c r="G831" s="3" t="s">
        <v>2067</v>
      </c>
      <c r="H831" s="12" cm="1">
        <f t="array" ref="H831">_xlfn.IFS(I831&lt;197,I831*1.26,I831&gt;197,I831*1.17) + IF(I831&gt;1000,17,0)</f>
        <v>2748.4618759999994</v>
      </c>
      <c r="I831" s="10">
        <f>($K$2+0.02)*Tabla1[[#This Row],[PRECIO $]]*1.18</f>
        <v>2334.5827999999997</v>
      </c>
      <c r="J831" s="7">
        <f>+Tabla1[[#This Row],[PRECIO EN SOLES]]-Tabla1[[#This Row],[PC]]</f>
        <v>413.87907599999971</v>
      </c>
    </row>
    <row r="832" spans="1:10" x14ac:dyDescent="0.25">
      <c r="A832" s="3" t="s">
        <v>2068</v>
      </c>
      <c r="B832" s="3" t="s">
        <v>2069</v>
      </c>
      <c r="C832" s="1">
        <v>0</v>
      </c>
      <c r="D832" s="1">
        <v>999</v>
      </c>
      <c r="E832" s="1" t="s">
        <v>188</v>
      </c>
      <c r="F832" s="1" t="s">
        <v>4669</v>
      </c>
      <c r="G832" s="3"/>
      <c r="H832" s="12" cm="1">
        <f t="array" ref="H832">_xlfn.IFS(I832&lt;197,I832*1.26,I832&gt;197,I832*1.17) + IF(I832&gt;1000,17,0)</f>
        <v>4706.3459599999996</v>
      </c>
      <c r="I832" s="10">
        <f>($K$2+0.02)*Tabla1[[#This Row],[PRECIO $]]*1.18</f>
        <v>4007.9879999999998</v>
      </c>
      <c r="J832" s="7">
        <f>+Tabla1[[#This Row],[PRECIO EN SOLES]]-Tabla1[[#This Row],[PC]]</f>
        <v>698.35795999999982</v>
      </c>
    </row>
    <row r="833" spans="1:10" x14ac:dyDescent="0.25">
      <c r="A833" s="3" t="s">
        <v>2070</v>
      </c>
      <c r="B833" s="3" t="s">
        <v>343</v>
      </c>
      <c r="C833" s="1">
        <v>20</v>
      </c>
      <c r="D833" s="1">
        <v>48.2</v>
      </c>
      <c r="E833" s="1" t="s">
        <v>52</v>
      </c>
      <c r="F833" s="1" t="s">
        <v>4670</v>
      </c>
      <c r="G833" s="3" t="s">
        <v>2071</v>
      </c>
      <c r="H833" s="12" cm="1">
        <f t="array" ref="H833">_xlfn.IFS(I833&lt;197,I833*1.26,I833&gt;197,I833*1.17) + IF(I833&gt;1000,17,0)</f>
        <v>243.65678399999996</v>
      </c>
      <c r="I833" s="10">
        <f>($K$2+0.02)*Tabla1[[#This Row],[PRECIO $]]*1.18</f>
        <v>193.37839999999997</v>
      </c>
      <c r="J833" s="7">
        <f>+Tabla1[[#This Row],[PRECIO EN SOLES]]-Tabla1[[#This Row],[PC]]</f>
        <v>50.278383999999988</v>
      </c>
    </row>
    <row r="834" spans="1:10" x14ac:dyDescent="0.25">
      <c r="A834" s="3" t="s">
        <v>2072</v>
      </c>
      <c r="B834" s="3" t="s">
        <v>2073</v>
      </c>
      <c r="C834" s="1">
        <v>20</v>
      </c>
      <c r="D834" s="1">
        <v>57</v>
      </c>
      <c r="E834" s="1" t="s">
        <v>54</v>
      </c>
      <c r="F834" s="1" t="s">
        <v>4671</v>
      </c>
      <c r="G834" s="3" t="s">
        <v>2074</v>
      </c>
      <c r="H834" s="12" cm="1">
        <f t="array" ref="H834">_xlfn.IFS(I834&lt;197,I834*1.26,I834&gt;197,I834*1.17) + IF(I834&gt;1000,17,0)</f>
        <v>267.56027999999992</v>
      </c>
      <c r="I834" s="10">
        <f>($K$2+0.02)*Tabla1[[#This Row],[PRECIO $]]*1.18</f>
        <v>228.68399999999997</v>
      </c>
      <c r="J834" s="7">
        <f>+Tabla1[[#This Row],[PRECIO EN SOLES]]-Tabla1[[#This Row],[PC]]</f>
        <v>38.876279999999952</v>
      </c>
    </row>
    <row r="835" spans="1:10" x14ac:dyDescent="0.25">
      <c r="A835" s="3" t="s">
        <v>344</v>
      </c>
      <c r="B835" s="3" t="s">
        <v>345</v>
      </c>
      <c r="C835" s="1">
        <v>20</v>
      </c>
      <c r="D835" s="1">
        <v>51.2</v>
      </c>
      <c r="E835" s="1" t="s">
        <v>52</v>
      </c>
      <c r="F835" s="1" t="s">
        <v>4672</v>
      </c>
      <c r="G835" s="3" t="s">
        <v>808</v>
      </c>
      <c r="H835" s="12" cm="1">
        <f t="array" ref="H835">_xlfn.IFS(I835&lt;197,I835*1.26,I835&gt;197,I835*1.17) + IF(I835&gt;1000,17,0)</f>
        <v>240.33484799999999</v>
      </c>
      <c r="I835" s="10">
        <f>($K$2+0.02)*Tabla1[[#This Row],[PRECIO $]]*1.18</f>
        <v>205.4144</v>
      </c>
      <c r="J835" s="7">
        <f>+Tabla1[[#This Row],[PRECIO EN SOLES]]-Tabla1[[#This Row],[PC]]</f>
        <v>34.920447999999993</v>
      </c>
    </row>
    <row r="836" spans="1:10" x14ac:dyDescent="0.25">
      <c r="A836" s="3" t="s">
        <v>346</v>
      </c>
      <c r="B836" s="3" t="s">
        <v>347</v>
      </c>
      <c r="C836" s="1">
        <v>20</v>
      </c>
      <c r="D836" s="1">
        <v>48</v>
      </c>
      <c r="E836" s="1" t="s">
        <v>52</v>
      </c>
      <c r="F836" s="1" t="s">
        <v>4673</v>
      </c>
      <c r="G836" s="3" t="s">
        <v>809</v>
      </c>
      <c r="H836" s="12" cm="1">
        <f t="array" ref="H836">_xlfn.IFS(I836&lt;197,I836*1.26,I836&gt;197,I836*1.17) + IF(I836&gt;1000,17,0)</f>
        <v>242.64575999999997</v>
      </c>
      <c r="I836" s="10">
        <f>($K$2+0.02)*Tabla1[[#This Row],[PRECIO $]]*1.18</f>
        <v>192.57599999999996</v>
      </c>
      <c r="J836" s="7">
        <f>+Tabla1[[#This Row],[PRECIO EN SOLES]]-Tabla1[[#This Row],[PC]]</f>
        <v>50.069760000000002</v>
      </c>
    </row>
    <row r="837" spans="1:10" x14ac:dyDescent="0.25">
      <c r="A837" s="3" t="s">
        <v>2075</v>
      </c>
      <c r="B837" s="3" t="s">
        <v>2076</v>
      </c>
      <c r="C837" s="1">
        <v>20</v>
      </c>
      <c r="D837" s="1">
        <v>121.2</v>
      </c>
      <c r="E837" s="1" t="s">
        <v>56</v>
      </c>
      <c r="F837" s="1" t="s">
        <v>4674</v>
      </c>
      <c r="G837" s="3" t="s">
        <v>2077</v>
      </c>
      <c r="H837" s="12" cm="1">
        <f t="array" ref="H837">_xlfn.IFS(I837&lt;197,I837*1.26,I837&gt;197,I837*1.17) + IF(I837&gt;1000,17,0)</f>
        <v>568.91764799999999</v>
      </c>
      <c r="I837" s="10">
        <f>($K$2+0.02)*Tabla1[[#This Row],[PRECIO $]]*1.18</f>
        <v>486.25439999999998</v>
      </c>
      <c r="J837" s="7">
        <f>+Tabla1[[#This Row],[PRECIO EN SOLES]]-Tabla1[[#This Row],[PC]]</f>
        <v>82.66324800000001</v>
      </c>
    </row>
    <row r="838" spans="1:10" x14ac:dyDescent="0.25">
      <c r="A838" s="3" t="s">
        <v>2078</v>
      </c>
      <c r="B838" s="3" t="s">
        <v>2079</v>
      </c>
      <c r="C838" s="1">
        <v>20</v>
      </c>
      <c r="D838" s="1">
        <v>126.5</v>
      </c>
      <c r="E838" s="1" t="s">
        <v>56</v>
      </c>
      <c r="F838" s="1" t="s">
        <v>4675</v>
      </c>
      <c r="G838" s="3"/>
      <c r="H838" s="12" cm="1">
        <f t="array" ref="H838">_xlfn.IFS(I838&lt;197,I838*1.26,I838&gt;197,I838*1.17) + IF(I838&gt;1000,17,0)</f>
        <v>593.7960599999999</v>
      </c>
      <c r="I838" s="10">
        <f>($K$2+0.02)*Tabla1[[#This Row],[PRECIO $]]*1.18</f>
        <v>507.51799999999992</v>
      </c>
      <c r="J838" s="7">
        <f>+Tabla1[[#This Row],[PRECIO EN SOLES]]-Tabla1[[#This Row],[PC]]</f>
        <v>86.278059999999982</v>
      </c>
    </row>
    <row r="839" spans="1:10" x14ac:dyDescent="0.25">
      <c r="A839" s="3" t="s">
        <v>2080</v>
      </c>
      <c r="B839" s="3" t="s">
        <v>2081</v>
      </c>
      <c r="C839" s="1">
        <v>20</v>
      </c>
      <c r="D839" s="1">
        <v>143</v>
      </c>
      <c r="E839" s="1" t="s">
        <v>1002</v>
      </c>
      <c r="F839" s="1" t="s">
        <v>4676</v>
      </c>
      <c r="G839" s="3" t="s">
        <v>2082</v>
      </c>
      <c r="H839" s="12" cm="1">
        <f t="array" ref="H839">_xlfn.IFS(I839&lt;197,I839*1.26,I839&gt;197,I839*1.17) + IF(I839&gt;1000,17,0)</f>
        <v>671.24771999999996</v>
      </c>
      <c r="I839" s="10">
        <f>($K$2+0.02)*Tabla1[[#This Row],[PRECIO $]]*1.18</f>
        <v>573.71600000000001</v>
      </c>
      <c r="J839" s="7">
        <f>+Tabla1[[#This Row],[PRECIO EN SOLES]]-Tabla1[[#This Row],[PC]]</f>
        <v>97.53171999999995</v>
      </c>
    </row>
    <row r="840" spans="1:10" x14ac:dyDescent="0.25">
      <c r="A840" s="3" t="s">
        <v>6294</v>
      </c>
      <c r="B840" s="3" t="s">
        <v>6295</v>
      </c>
      <c r="C840" s="1">
        <v>20</v>
      </c>
      <c r="D840" s="1">
        <v>121.3</v>
      </c>
      <c r="E840" s="1" t="s">
        <v>1002</v>
      </c>
      <c r="F840" s="1" t="s">
        <v>6296</v>
      </c>
      <c r="G840" s="3"/>
      <c r="H840" s="12" cm="1">
        <f t="array" ref="H840">_xlfn.IFS(I840&lt;197,I840*1.26,I840&gt;197,I840*1.17) + IF(I840&gt;1000,17,0)</f>
        <v>569.38705199999993</v>
      </c>
      <c r="I840" s="10">
        <f>($K$2+0.02)*Tabla1[[#This Row],[PRECIO $]]*1.18</f>
        <v>486.65559999999994</v>
      </c>
      <c r="J840" s="7">
        <f>+Tabla1[[#This Row],[PRECIO EN SOLES]]-Tabla1[[#This Row],[PC]]</f>
        <v>82.73145199999999</v>
      </c>
    </row>
    <row r="841" spans="1:10" x14ac:dyDescent="0.25">
      <c r="A841" s="3" t="s">
        <v>2083</v>
      </c>
      <c r="B841" s="3" t="s">
        <v>2084</v>
      </c>
      <c r="C841" s="1">
        <v>20</v>
      </c>
      <c r="D841" s="1">
        <v>95.4</v>
      </c>
      <c r="E841" s="1" t="s">
        <v>1003</v>
      </c>
      <c r="F841" s="1" t="s">
        <v>4677</v>
      </c>
      <c r="G841" s="3" t="s">
        <v>2085</v>
      </c>
      <c r="H841" s="12" cm="1">
        <f t="array" ref="H841">_xlfn.IFS(I841&lt;197,I841*1.26,I841&gt;197,I841*1.17) + IF(I841&gt;1000,17,0)</f>
        <v>447.81141599999995</v>
      </c>
      <c r="I841" s="10">
        <f>($K$2+0.02)*Tabla1[[#This Row],[PRECIO $]]*1.18</f>
        <v>382.7448</v>
      </c>
      <c r="J841" s="7">
        <f>+Tabla1[[#This Row],[PRECIO EN SOLES]]-Tabla1[[#This Row],[PC]]</f>
        <v>65.066615999999954</v>
      </c>
    </row>
    <row r="842" spans="1:10" x14ac:dyDescent="0.25">
      <c r="A842" s="3" t="s">
        <v>2086</v>
      </c>
      <c r="B842" s="3" t="s">
        <v>2087</v>
      </c>
      <c r="C842" s="1">
        <v>0</v>
      </c>
      <c r="D842" s="1">
        <v>9999</v>
      </c>
      <c r="E842" s="1" t="s">
        <v>56</v>
      </c>
      <c r="F842" s="1" t="s">
        <v>4678</v>
      </c>
      <c r="G842" s="3"/>
      <c r="H842" s="12" cm="1">
        <f t="array" ref="H842">_xlfn.IFS(I842&lt;197,I842*1.26,I842&gt;197,I842*1.17) + IF(I842&gt;1000,17,0)</f>
        <v>46952.705959999992</v>
      </c>
      <c r="I842" s="10">
        <f>($K$2+0.02)*Tabla1[[#This Row],[PRECIO $]]*1.18</f>
        <v>40115.987999999998</v>
      </c>
      <c r="J842" s="7">
        <f>+Tabla1[[#This Row],[PRECIO EN SOLES]]-Tabla1[[#This Row],[PC]]</f>
        <v>6836.7179599999945</v>
      </c>
    </row>
    <row r="843" spans="1:10" x14ac:dyDescent="0.25">
      <c r="A843" s="3" t="s">
        <v>2088</v>
      </c>
      <c r="B843" s="3" t="s">
        <v>2089</v>
      </c>
      <c r="C843" s="1">
        <v>0</v>
      </c>
      <c r="D843" s="1">
        <v>83</v>
      </c>
      <c r="E843" s="1" t="s">
        <v>54</v>
      </c>
      <c r="F843" s="1" t="s">
        <v>4679</v>
      </c>
      <c r="G843" s="3" t="s">
        <v>2090</v>
      </c>
      <c r="H843" s="12" cm="1">
        <f t="array" ref="H843">_xlfn.IFS(I843&lt;197,I843*1.26,I843&gt;197,I843*1.17) + IF(I843&gt;1000,17,0)</f>
        <v>389.60531999999995</v>
      </c>
      <c r="I843" s="10">
        <f>($K$2+0.02)*Tabla1[[#This Row],[PRECIO $]]*1.18</f>
        <v>332.99599999999998</v>
      </c>
      <c r="J843" s="7">
        <f>+Tabla1[[#This Row],[PRECIO EN SOLES]]-Tabla1[[#This Row],[PC]]</f>
        <v>56.609319999999968</v>
      </c>
    </row>
    <row r="844" spans="1:10" x14ac:dyDescent="0.25">
      <c r="A844" s="3" t="s">
        <v>348</v>
      </c>
      <c r="B844" s="3" t="s">
        <v>349</v>
      </c>
      <c r="C844" s="1">
        <v>20</v>
      </c>
      <c r="D844" s="1">
        <v>63.5</v>
      </c>
      <c r="E844" s="1" t="s">
        <v>52</v>
      </c>
      <c r="F844" s="1" t="s">
        <v>4680</v>
      </c>
      <c r="G844" s="3" t="s">
        <v>810</v>
      </c>
      <c r="H844" s="12" cm="1">
        <f t="array" ref="H844">_xlfn.IFS(I844&lt;197,I844*1.26,I844&gt;197,I844*1.17) + IF(I844&gt;1000,17,0)</f>
        <v>298.07153999999997</v>
      </c>
      <c r="I844" s="10">
        <f>($K$2+0.02)*Tabla1[[#This Row],[PRECIO $]]*1.18</f>
        <v>254.762</v>
      </c>
      <c r="J844" s="7">
        <f>+Tabla1[[#This Row],[PRECIO EN SOLES]]-Tabla1[[#This Row],[PC]]</f>
        <v>43.30953999999997</v>
      </c>
    </row>
    <row r="845" spans="1:10" x14ac:dyDescent="0.25">
      <c r="A845" s="3" t="s">
        <v>350</v>
      </c>
      <c r="B845" s="3" t="s">
        <v>351</v>
      </c>
      <c r="C845" s="1">
        <v>20</v>
      </c>
      <c r="D845" s="1">
        <v>175.44</v>
      </c>
      <c r="E845" s="1" t="s">
        <v>52</v>
      </c>
      <c r="F845" s="1" t="s">
        <v>4681</v>
      </c>
      <c r="G845" s="3" t="s">
        <v>352</v>
      </c>
      <c r="H845" s="12" cm="1">
        <f t="array" ref="H845">_xlfn.IFS(I845&lt;197,I845*1.26,I845&gt;197,I845*1.17) + IF(I845&gt;1000,17,0)</f>
        <v>823.52237759999991</v>
      </c>
      <c r="I845" s="10">
        <f>($K$2+0.02)*Tabla1[[#This Row],[PRECIO $]]*1.18</f>
        <v>703.86527999999998</v>
      </c>
      <c r="J845" s="7">
        <f>+Tabla1[[#This Row],[PRECIO EN SOLES]]-Tabla1[[#This Row],[PC]]</f>
        <v>119.65709759999993</v>
      </c>
    </row>
    <row r="846" spans="1:10" x14ac:dyDescent="0.25">
      <c r="A846" s="3" t="s">
        <v>4682</v>
      </c>
      <c r="B846" s="3" t="s">
        <v>4683</v>
      </c>
      <c r="C846" s="1">
        <v>20</v>
      </c>
      <c r="D846" s="1">
        <v>81</v>
      </c>
      <c r="E846" s="1" t="s">
        <v>52</v>
      </c>
      <c r="F846" s="1" t="s">
        <v>4684</v>
      </c>
      <c r="G846" s="3" t="s">
        <v>4685</v>
      </c>
      <c r="H846" s="12" cm="1">
        <f t="array" ref="H846">_xlfn.IFS(I846&lt;197,I846*1.26,I846&gt;197,I846*1.17) + IF(I846&gt;1000,17,0)</f>
        <v>380.21723999999995</v>
      </c>
      <c r="I846" s="10">
        <f>($K$2+0.02)*Tabla1[[#This Row],[PRECIO $]]*1.18</f>
        <v>324.97199999999998</v>
      </c>
      <c r="J846" s="7">
        <f>+Tabla1[[#This Row],[PRECIO EN SOLES]]-Tabla1[[#This Row],[PC]]</f>
        <v>55.245239999999967</v>
      </c>
    </row>
    <row r="847" spans="1:10" x14ac:dyDescent="0.25">
      <c r="A847" s="3" t="s">
        <v>2091</v>
      </c>
      <c r="B847" s="3" t="s">
        <v>2092</v>
      </c>
      <c r="C847" s="1">
        <v>8</v>
      </c>
      <c r="D847" s="1">
        <v>53.8</v>
      </c>
      <c r="E847" s="1" t="s">
        <v>52</v>
      </c>
      <c r="F847" s="1" t="s">
        <v>4686</v>
      </c>
      <c r="G847" s="3" t="s">
        <v>2093</v>
      </c>
      <c r="H847" s="12" cm="1">
        <f t="array" ref="H847">_xlfn.IFS(I847&lt;197,I847*1.26,I847&gt;197,I847*1.17) + IF(I847&gt;1000,17,0)</f>
        <v>252.53935199999995</v>
      </c>
      <c r="I847" s="10">
        <f>($K$2+0.02)*Tabla1[[#This Row],[PRECIO $]]*1.18</f>
        <v>215.84559999999996</v>
      </c>
      <c r="J847" s="7">
        <f>+Tabla1[[#This Row],[PRECIO EN SOLES]]-Tabla1[[#This Row],[PC]]</f>
        <v>36.693751999999989</v>
      </c>
    </row>
    <row r="848" spans="1:10" x14ac:dyDescent="0.25">
      <c r="A848" s="3" t="s">
        <v>811</v>
      </c>
      <c r="B848" s="3" t="s">
        <v>812</v>
      </c>
      <c r="C848" s="1">
        <v>20</v>
      </c>
      <c r="D848" s="1">
        <v>57</v>
      </c>
      <c r="E848" s="1" t="s">
        <v>52</v>
      </c>
      <c r="F848" s="1" t="s">
        <v>4687</v>
      </c>
      <c r="G848" s="3" t="s">
        <v>813</v>
      </c>
      <c r="H848" s="12" cm="1">
        <f t="array" ref="H848">_xlfn.IFS(I848&lt;197,I848*1.26,I848&gt;197,I848*1.17) + IF(I848&gt;1000,17,0)</f>
        <v>267.56027999999992</v>
      </c>
      <c r="I848" s="10">
        <f>($K$2+0.02)*Tabla1[[#This Row],[PRECIO $]]*1.18</f>
        <v>228.68399999999997</v>
      </c>
      <c r="J848" s="7">
        <f>+Tabla1[[#This Row],[PRECIO EN SOLES]]-Tabla1[[#This Row],[PC]]</f>
        <v>38.876279999999952</v>
      </c>
    </row>
    <row r="849" spans="1:10" x14ac:dyDescent="0.25">
      <c r="A849" s="3" t="s">
        <v>5651</v>
      </c>
      <c r="B849" s="3" t="s">
        <v>5652</v>
      </c>
      <c r="C849" s="1">
        <v>20</v>
      </c>
      <c r="D849" s="1">
        <v>79.8</v>
      </c>
      <c r="E849" s="1" t="s">
        <v>249</v>
      </c>
      <c r="F849" s="1" t="s">
        <v>5653</v>
      </c>
      <c r="G849" s="3" t="s">
        <v>5654</v>
      </c>
      <c r="H849" s="12" cm="1">
        <f t="array" ref="H849">_xlfn.IFS(I849&lt;197,I849*1.26,I849&gt;197,I849*1.17) + IF(I849&gt;1000,17,0)</f>
        <v>374.58439199999998</v>
      </c>
      <c r="I849" s="10">
        <f>($K$2+0.02)*Tabla1[[#This Row],[PRECIO $]]*1.18</f>
        <v>320.1576</v>
      </c>
      <c r="J849" s="7">
        <f>+Tabla1[[#This Row],[PRECIO EN SOLES]]-Tabla1[[#This Row],[PC]]</f>
        <v>54.426791999999978</v>
      </c>
    </row>
    <row r="850" spans="1:10" x14ac:dyDescent="0.25">
      <c r="A850" s="3" t="s">
        <v>3701</v>
      </c>
      <c r="B850" s="3" t="s">
        <v>3702</v>
      </c>
      <c r="C850" s="1">
        <v>20</v>
      </c>
      <c r="D850" s="1">
        <v>214.3</v>
      </c>
      <c r="E850" s="1" t="s">
        <v>56</v>
      </c>
      <c r="F850" s="1" t="s">
        <v>4688</v>
      </c>
      <c r="G850" s="3" t="s">
        <v>3703</v>
      </c>
      <c r="H850" s="12" cm="1">
        <f t="array" ref="H850">_xlfn.IFS(I850&lt;197,I850*1.26,I850&gt;197,I850*1.17) + IF(I850&gt;1000,17,0)</f>
        <v>1005.9327719999999</v>
      </c>
      <c r="I850" s="10">
        <f>($K$2+0.02)*Tabla1[[#This Row],[PRECIO $]]*1.18</f>
        <v>859.77159999999992</v>
      </c>
      <c r="J850" s="7">
        <f>+Tabla1[[#This Row],[PRECIO EN SOLES]]-Tabla1[[#This Row],[PC]]</f>
        <v>146.16117199999997</v>
      </c>
    </row>
    <row r="851" spans="1:10" x14ac:dyDescent="0.25">
      <c r="A851" s="3" t="s">
        <v>2094</v>
      </c>
      <c r="B851" s="3" t="s">
        <v>2095</v>
      </c>
      <c r="C851" s="1">
        <v>20</v>
      </c>
      <c r="D851" s="1">
        <v>294</v>
      </c>
      <c r="E851" s="1" t="s">
        <v>56</v>
      </c>
      <c r="F851" s="1" t="s">
        <v>4689</v>
      </c>
      <c r="G851" s="3" t="s">
        <v>2096</v>
      </c>
      <c r="H851" s="12" cm="1">
        <f t="array" ref="H851">_xlfn.IFS(I851&lt;197,I851*1.26,I851&gt;197,I851*1.17) + IF(I851&gt;1000,17,0)</f>
        <v>1397.0477599999999</v>
      </c>
      <c r="I851" s="10">
        <f>($K$2+0.02)*Tabla1[[#This Row],[PRECIO $]]*1.18</f>
        <v>1179.528</v>
      </c>
      <c r="J851" s="7">
        <f>+Tabla1[[#This Row],[PRECIO EN SOLES]]-Tabla1[[#This Row],[PC]]</f>
        <v>217.51975999999991</v>
      </c>
    </row>
    <row r="852" spans="1:10" x14ac:dyDescent="0.25">
      <c r="A852" s="3" t="s">
        <v>2097</v>
      </c>
      <c r="B852" s="3" t="s">
        <v>2098</v>
      </c>
      <c r="C852" s="1">
        <v>17</v>
      </c>
      <c r="D852" s="1">
        <v>364</v>
      </c>
      <c r="E852" s="1" t="s">
        <v>56</v>
      </c>
      <c r="F852" s="1" t="s">
        <v>4690</v>
      </c>
      <c r="G852" s="3" t="s">
        <v>2099</v>
      </c>
      <c r="H852" s="12" cm="1">
        <f t="array" ref="H852">_xlfn.IFS(I852&lt;197,I852*1.26,I852&gt;197,I852*1.17) + IF(I852&gt;1000,17,0)</f>
        <v>1725.6305599999996</v>
      </c>
      <c r="I852" s="10">
        <f>($K$2+0.02)*Tabla1[[#This Row],[PRECIO $]]*1.18</f>
        <v>1460.3679999999997</v>
      </c>
      <c r="J852" s="7">
        <f>+Tabla1[[#This Row],[PRECIO EN SOLES]]-Tabla1[[#This Row],[PC]]</f>
        <v>265.26255999999989</v>
      </c>
    </row>
    <row r="853" spans="1:10" x14ac:dyDescent="0.25">
      <c r="A853" s="3" t="s">
        <v>2100</v>
      </c>
      <c r="B853" s="3" t="s">
        <v>2101</v>
      </c>
      <c r="C853" s="1">
        <v>20</v>
      </c>
      <c r="D853" s="1">
        <v>334</v>
      </c>
      <c r="E853" s="1" t="s">
        <v>56</v>
      </c>
      <c r="F853" s="1" t="s">
        <v>4691</v>
      </c>
      <c r="G853" s="3"/>
      <c r="H853" s="12" cm="1">
        <f t="array" ref="H853">_xlfn.IFS(I853&lt;197,I853*1.26,I853&gt;197,I853*1.17) + IF(I853&gt;1000,17,0)</f>
        <v>1584.8093599999997</v>
      </c>
      <c r="I853" s="10">
        <f>($K$2+0.02)*Tabla1[[#This Row],[PRECIO $]]*1.18</f>
        <v>1340.0079999999998</v>
      </c>
      <c r="J853" s="7">
        <f>+Tabla1[[#This Row],[PRECIO EN SOLES]]-Tabla1[[#This Row],[PC]]</f>
        <v>244.80135999999993</v>
      </c>
    </row>
    <row r="854" spans="1:10" x14ac:dyDescent="0.25">
      <c r="A854" s="3" t="s">
        <v>2102</v>
      </c>
      <c r="B854" s="3" t="s">
        <v>2103</v>
      </c>
      <c r="C854" s="1">
        <v>20</v>
      </c>
      <c r="D854" s="1">
        <v>212.5</v>
      </c>
      <c r="E854" s="1" t="s">
        <v>56</v>
      </c>
      <c r="F854" s="1" t="s">
        <v>4692</v>
      </c>
      <c r="G854" s="3"/>
      <c r="H854" s="12" cm="1">
        <f t="array" ref="H854">_xlfn.IFS(I854&lt;197,I854*1.26,I854&gt;197,I854*1.17) + IF(I854&gt;1000,17,0)</f>
        <v>997.48349999999994</v>
      </c>
      <c r="I854" s="10">
        <f>($K$2+0.02)*Tabla1[[#This Row],[PRECIO $]]*1.18</f>
        <v>852.55</v>
      </c>
      <c r="J854" s="7">
        <f>+Tabla1[[#This Row],[PRECIO EN SOLES]]-Tabla1[[#This Row],[PC]]</f>
        <v>144.93349999999998</v>
      </c>
    </row>
    <row r="855" spans="1:10" x14ac:dyDescent="0.25">
      <c r="A855" s="3" t="s">
        <v>2104</v>
      </c>
      <c r="B855" s="3" t="s">
        <v>2105</v>
      </c>
      <c r="C855" s="1">
        <v>20</v>
      </c>
      <c r="D855" s="1">
        <v>185.8</v>
      </c>
      <c r="E855" s="1" t="s">
        <v>56</v>
      </c>
      <c r="F855" s="1" t="s">
        <v>4693</v>
      </c>
      <c r="G855" s="3" t="s">
        <v>2106</v>
      </c>
      <c r="H855" s="12" cm="1">
        <f t="array" ref="H855">_xlfn.IFS(I855&lt;197,I855*1.26,I855&gt;197,I855*1.17) + IF(I855&gt;1000,17,0)</f>
        <v>872.15263199999993</v>
      </c>
      <c r="I855" s="10">
        <f>($K$2+0.02)*Tabla1[[#This Row],[PRECIO $]]*1.18</f>
        <v>745.42959999999994</v>
      </c>
      <c r="J855" s="7">
        <f>+Tabla1[[#This Row],[PRECIO EN SOLES]]-Tabla1[[#This Row],[PC]]</f>
        <v>126.72303199999999</v>
      </c>
    </row>
    <row r="856" spans="1:10" x14ac:dyDescent="0.25">
      <c r="A856" s="3" t="s">
        <v>6297</v>
      </c>
      <c r="B856" s="3" t="s">
        <v>6298</v>
      </c>
      <c r="C856" s="1">
        <v>20</v>
      </c>
      <c r="D856" s="1">
        <v>124.5</v>
      </c>
      <c r="E856" s="1" t="s">
        <v>56</v>
      </c>
      <c r="F856" s="1" t="s">
        <v>6299</v>
      </c>
      <c r="G856" s="3" t="s">
        <v>6300</v>
      </c>
      <c r="H856" s="12" cm="1">
        <f t="array" ref="H856">_xlfn.IFS(I856&lt;197,I856*1.26,I856&gt;197,I856*1.17) + IF(I856&gt;1000,17,0)</f>
        <v>584.40797999999995</v>
      </c>
      <c r="I856" s="10">
        <f>($K$2+0.02)*Tabla1[[#This Row],[PRECIO $]]*1.18</f>
        <v>499.49399999999997</v>
      </c>
      <c r="J856" s="7">
        <f>+Tabla1[[#This Row],[PRECIO EN SOLES]]-Tabla1[[#This Row],[PC]]</f>
        <v>84.913979999999981</v>
      </c>
    </row>
    <row r="857" spans="1:10" x14ac:dyDescent="0.25">
      <c r="A857" s="3" t="s">
        <v>6301</v>
      </c>
      <c r="B857" s="3" t="s">
        <v>6302</v>
      </c>
      <c r="C857" s="1">
        <v>20</v>
      </c>
      <c r="D857" s="1">
        <v>129.9</v>
      </c>
      <c r="E857" s="1" t="s">
        <v>56</v>
      </c>
      <c r="F857" s="1" t="s">
        <v>6303</v>
      </c>
      <c r="G857" s="3" t="s">
        <v>6304</v>
      </c>
      <c r="H857" s="12" cm="1">
        <f t="array" ref="H857">_xlfn.IFS(I857&lt;197,I857*1.26,I857&gt;197,I857*1.17) + IF(I857&gt;1000,17,0)</f>
        <v>609.75579600000003</v>
      </c>
      <c r="I857" s="10">
        <f>($K$2+0.02)*Tabla1[[#This Row],[PRECIO $]]*1.18</f>
        <v>521.15880000000004</v>
      </c>
      <c r="J857" s="7">
        <f>+Tabla1[[#This Row],[PRECIO EN SOLES]]-Tabla1[[#This Row],[PC]]</f>
        <v>88.59699599999999</v>
      </c>
    </row>
    <row r="858" spans="1:10" x14ac:dyDescent="0.25">
      <c r="A858" s="3" t="s">
        <v>2107</v>
      </c>
      <c r="B858" s="3" t="s">
        <v>2108</v>
      </c>
      <c r="C858" s="1">
        <v>20</v>
      </c>
      <c r="D858" s="1">
        <v>304</v>
      </c>
      <c r="E858" s="1" t="s">
        <v>1002</v>
      </c>
      <c r="F858" s="1" t="s">
        <v>4694</v>
      </c>
      <c r="G858" s="3" t="s">
        <v>2109</v>
      </c>
      <c r="H858" s="12" cm="1">
        <f t="array" ref="H858">_xlfn.IFS(I858&lt;197,I858*1.26,I858&gt;197,I858*1.17) + IF(I858&gt;1000,17,0)</f>
        <v>1443.9881599999999</v>
      </c>
      <c r="I858" s="10">
        <f>($K$2+0.02)*Tabla1[[#This Row],[PRECIO $]]*1.18</f>
        <v>1219.6479999999999</v>
      </c>
      <c r="J858" s="7">
        <f>+Tabla1[[#This Row],[PRECIO EN SOLES]]-Tabla1[[#This Row],[PC]]</f>
        <v>224.34015999999997</v>
      </c>
    </row>
    <row r="859" spans="1:10" x14ac:dyDescent="0.25">
      <c r="A859" s="3" t="s">
        <v>3704</v>
      </c>
      <c r="B859" s="3" t="s">
        <v>3705</v>
      </c>
      <c r="C859" s="1">
        <v>0</v>
      </c>
      <c r="D859" s="1">
        <v>154</v>
      </c>
      <c r="E859" s="1" t="s">
        <v>1002</v>
      </c>
      <c r="F859" s="1" t="s">
        <v>4695</v>
      </c>
      <c r="G859" s="3" t="s">
        <v>3706</v>
      </c>
      <c r="H859" s="12" cm="1">
        <f t="array" ref="H859">_xlfn.IFS(I859&lt;197,I859*1.26,I859&gt;197,I859*1.17) + IF(I859&gt;1000,17,0)</f>
        <v>722.88215999999989</v>
      </c>
      <c r="I859" s="10">
        <f>($K$2+0.02)*Tabla1[[#This Row],[PRECIO $]]*1.18</f>
        <v>617.84799999999996</v>
      </c>
      <c r="J859" s="7">
        <f>+Tabla1[[#This Row],[PRECIO EN SOLES]]-Tabla1[[#This Row],[PC]]</f>
        <v>105.03415999999993</v>
      </c>
    </row>
    <row r="860" spans="1:10" x14ac:dyDescent="0.25">
      <c r="A860" s="3" t="s">
        <v>6305</v>
      </c>
      <c r="B860" s="3" t="s">
        <v>6306</v>
      </c>
      <c r="C860" s="1">
        <v>20</v>
      </c>
      <c r="D860" s="1">
        <v>239</v>
      </c>
      <c r="E860" s="1" t="s">
        <v>1002</v>
      </c>
      <c r="F860" s="1" t="s">
        <v>6307</v>
      </c>
      <c r="G860" s="3" t="s">
        <v>6308</v>
      </c>
      <c r="H860" s="12" cm="1">
        <f t="array" ref="H860">_xlfn.IFS(I860&lt;197,I860*1.26,I860&gt;197,I860*1.17) + IF(I860&gt;1000,17,0)</f>
        <v>1121.87556</v>
      </c>
      <c r="I860" s="10">
        <f>($K$2+0.02)*Tabla1[[#This Row],[PRECIO $]]*1.18</f>
        <v>958.86799999999994</v>
      </c>
      <c r="J860" s="7">
        <f>+Tabla1[[#This Row],[PRECIO EN SOLES]]-Tabla1[[#This Row],[PC]]</f>
        <v>163.00756000000001</v>
      </c>
    </row>
    <row r="861" spans="1:10" x14ac:dyDescent="0.25">
      <c r="A861" s="3" t="s">
        <v>6309</v>
      </c>
      <c r="B861" s="3" t="s">
        <v>6310</v>
      </c>
      <c r="C861" s="1">
        <v>0</v>
      </c>
      <c r="D861" s="1">
        <v>130</v>
      </c>
      <c r="E861" s="1" t="s">
        <v>1002</v>
      </c>
      <c r="F861" s="1" t="s">
        <v>6311</v>
      </c>
      <c r="G861" s="3" t="s">
        <v>6312</v>
      </c>
      <c r="H861" s="12" cm="1">
        <f t="array" ref="H861">_xlfn.IFS(I861&lt;197,I861*1.26,I861&gt;197,I861*1.17) + IF(I861&gt;1000,17,0)</f>
        <v>610.22519999999986</v>
      </c>
      <c r="I861" s="10">
        <f>($K$2+0.02)*Tabla1[[#This Row],[PRECIO $]]*1.18</f>
        <v>521.55999999999995</v>
      </c>
      <c r="J861" s="7">
        <f>+Tabla1[[#This Row],[PRECIO EN SOLES]]-Tabla1[[#This Row],[PC]]</f>
        <v>88.665199999999913</v>
      </c>
    </row>
    <row r="862" spans="1:10" x14ac:dyDescent="0.25">
      <c r="A862" s="3" t="s">
        <v>6313</v>
      </c>
      <c r="B862" s="3" t="s">
        <v>6314</v>
      </c>
      <c r="C862" s="1">
        <v>0</v>
      </c>
      <c r="D862" s="1">
        <v>9999999.9900000002</v>
      </c>
      <c r="E862" s="1" t="s">
        <v>52</v>
      </c>
      <c r="F862" s="1" t="s">
        <v>6315</v>
      </c>
      <c r="G862" s="3"/>
      <c r="H862" s="12" cm="1">
        <f t="array" ref="H862">_xlfn.IFS(I862&lt;197,I862*1.26,I862&gt;197,I862*1.17) + IF(I862&gt;1000,17,0)</f>
        <v>46940416.953059591</v>
      </c>
      <c r="I862" s="10">
        <f>($K$2+0.02)*Tabla1[[#This Row],[PRECIO $]]*1.18</f>
        <v>40119999.959879994</v>
      </c>
      <c r="J862" s="7">
        <f>+Tabla1[[#This Row],[PRECIO EN SOLES]]-Tabla1[[#This Row],[PC]]</f>
        <v>6820416.993179597</v>
      </c>
    </row>
    <row r="863" spans="1:10" x14ac:dyDescent="0.25">
      <c r="A863" s="3" t="s">
        <v>2110</v>
      </c>
      <c r="B863" s="3" t="s">
        <v>2111</v>
      </c>
      <c r="C863" s="1">
        <v>7</v>
      </c>
      <c r="D863" s="1">
        <v>580</v>
      </c>
      <c r="E863" s="1" t="s">
        <v>133</v>
      </c>
      <c r="F863" s="1" t="s">
        <v>4696</v>
      </c>
      <c r="G863" s="3" t="s">
        <v>2112</v>
      </c>
      <c r="H863" s="12" cm="1">
        <f t="array" ref="H863">_xlfn.IFS(I863&lt;197,I863*1.26,I863&gt;197,I863*1.17) + IF(I863&gt;1000,17,0)</f>
        <v>2739.5432000000001</v>
      </c>
      <c r="I863" s="10">
        <f>($K$2+0.02)*Tabla1[[#This Row],[PRECIO $]]*1.18</f>
        <v>2326.96</v>
      </c>
      <c r="J863" s="7">
        <f>+Tabla1[[#This Row],[PRECIO EN SOLES]]-Tabla1[[#This Row],[PC]]</f>
        <v>412.58320000000003</v>
      </c>
    </row>
    <row r="864" spans="1:10" x14ac:dyDescent="0.25">
      <c r="A864" s="3" t="s">
        <v>2113</v>
      </c>
      <c r="B864" s="3" t="s">
        <v>2114</v>
      </c>
      <c r="C864" s="1">
        <v>20</v>
      </c>
      <c r="D864" s="1">
        <v>97</v>
      </c>
      <c r="E864" s="1" t="s">
        <v>54</v>
      </c>
      <c r="F864" s="1" t="s">
        <v>4697</v>
      </c>
      <c r="G864" s="3" t="s">
        <v>2115</v>
      </c>
      <c r="H864" s="12" cm="1">
        <f t="array" ref="H864">_xlfn.IFS(I864&lt;197,I864*1.26,I864&gt;197,I864*1.17) + IF(I864&gt;1000,17,0)</f>
        <v>455.32187999999996</v>
      </c>
      <c r="I864" s="10">
        <f>($K$2+0.02)*Tabla1[[#This Row],[PRECIO $]]*1.18</f>
        <v>389.16399999999999</v>
      </c>
      <c r="J864" s="7">
        <f>+Tabla1[[#This Row],[PRECIO EN SOLES]]-Tabla1[[#This Row],[PC]]</f>
        <v>66.157879999999977</v>
      </c>
    </row>
    <row r="865" spans="1:10" x14ac:dyDescent="0.25">
      <c r="A865" s="3" t="s">
        <v>4698</v>
      </c>
      <c r="B865" s="3" t="s">
        <v>4699</v>
      </c>
      <c r="C865" s="1">
        <v>13</v>
      </c>
      <c r="D865" s="1">
        <v>101</v>
      </c>
      <c r="E865" s="1" t="s">
        <v>52</v>
      </c>
      <c r="F865" s="1" t="s">
        <v>4700</v>
      </c>
      <c r="G865" s="3" t="s">
        <v>4701</v>
      </c>
      <c r="H865" s="12" cm="1">
        <f t="array" ref="H865">_xlfn.IFS(I865&lt;197,I865*1.26,I865&gt;197,I865*1.17) + IF(I865&gt;1000,17,0)</f>
        <v>474.09803999999991</v>
      </c>
      <c r="I865" s="10">
        <f>($K$2+0.02)*Tabla1[[#This Row],[PRECIO $]]*1.18</f>
        <v>405.21199999999993</v>
      </c>
      <c r="J865" s="7">
        <f>+Tabla1[[#This Row],[PRECIO EN SOLES]]-Tabla1[[#This Row],[PC]]</f>
        <v>68.88603999999998</v>
      </c>
    </row>
    <row r="866" spans="1:10" x14ac:dyDescent="0.25">
      <c r="A866" s="3" t="s">
        <v>353</v>
      </c>
      <c r="B866" s="3" t="s">
        <v>354</v>
      </c>
      <c r="C866" s="1">
        <v>20</v>
      </c>
      <c r="D866" s="1">
        <v>252</v>
      </c>
      <c r="E866" s="1" t="s">
        <v>52</v>
      </c>
      <c r="F866" s="1" t="s">
        <v>4702</v>
      </c>
      <c r="G866" s="3" t="s">
        <v>814</v>
      </c>
      <c r="H866" s="12" cm="1">
        <f t="array" ref="H866">_xlfn.IFS(I866&lt;197,I866*1.26,I866&gt;197,I866*1.17) + IF(I866&gt;1000,17,0)</f>
        <v>1199.8980799999997</v>
      </c>
      <c r="I866" s="10">
        <f>($K$2+0.02)*Tabla1[[#This Row],[PRECIO $]]*1.18</f>
        <v>1011.0239999999999</v>
      </c>
      <c r="J866" s="7">
        <f>+Tabla1[[#This Row],[PRECIO EN SOLES]]-Tabla1[[#This Row],[PC]]</f>
        <v>188.87407999999982</v>
      </c>
    </row>
    <row r="867" spans="1:10" x14ac:dyDescent="0.25">
      <c r="A867" s="3" t="s">
        <v>3511</v>
      </c>
      <c r="B867" s="3" t="s">
        <v>2116</v>
      </c>
      <c r="C867" s="1">
        <v>1</v>
      </c>
      <c r="D867" s="1">
        <v>270</v>
      </c>
      <c r="E867" s="1" t="s">
        <v>249</v>
      </c>
      <c r="F867" s="1" t="s">
        <v>4703</v>
      </c>
      <c r="G867" s="3" t="s">
        <v>2117</v>
      </c>
      <c r="H867" s="12" cm="1">
        <f t="array" ref="H867">_xlfn.IFS(I867&lt;197,I867*1.26,I867&gt;197,I867*1.17) + IF(I867&gt;1000,17,0)</f>
        <v>1284.3907999999999</v>
      </c>
      <c r="I867" s="10">
        <f>($K$2+0.02)*Tabla1[[#This Row],[PRECIO $]]*1.18</f>
        <v>1083.24</v>
      </c>
      <c r="J867" s="7">
        <f>+Tabla1[[#This Row],[PRECIO EN SOLES]]-Tabla1[[#This Row],[PC]]</f>
        <v>201.15079999999989</v>
      </c>
    </row>
    <row r="868" spans="1:10" x14ac:dyDescent="0.25">
      <c r="A868" s="3" t="s">
        <v>2118</v>
      </c>
      <c r="B868" s="3" t="s">
        <v>2119</v>
      </c>
      <c r="C868" s="1">
        <v>4</v>
      </c>
      <c r="D868" s="1">
        <v>487</v>
      </c>
      <c r="E868" s="1" t="s">
        <v>56</v>
      </c>
      <c r="F868" s="1" t="s">
        <v>4704</v>
      </c>
      <c r="G868" s="3" t="s">
        <v>2120</v>
      </c>
      <c r="H868" s="12" cm="1">
        <f t="array" ref="H868">_xlfn.IFS(I868&lt;197,I868*1.26,I868&gt;197,I868*1.17) + IF(I868&gt;1000,17,0)</f>
        <v>2302.9974799999995</v>
      </c>
      <c r="I868" s="10">
        <f>($K$2+0.02)*Tabla1[[#This Row],[PRECIO $]]*1.18</f>
        <v>1953.8439999999998</v>
      </c>
      <c r="J868" s="7">
        <f>+Tabla1[[#This Row],[PRECIO EN SOLES]]-Tabla1[[#This Row],[PC]]</f>
        <v>349.15347999999972</v>
      </c>
    </row>
    <row r="869" spans="1:10" x14ac:dyDescent="0.25">
      <c r="A869" s="3" t="s">
        <v>2121</v>
      </c>
      <c r="B869" s="3" t="s">
        <v>2122</v>
      </c>
      <c r="C869" s="1">
        <v>20</v>
      </c>
      <c r="D869" s="1">
        <v>170.5</v>
      </c>
      <c r="E869" s="1" t="s">
        <v>56</v>
      </c>
      <c r="F869" s="1" t="s">
        <v>4705</v>
      </c>
      <c r="G869" s="3"/>
      <c r="H869" s="12" cm="1">
        <f t="array" ref="H869">_xlfn.IFS(I869&lt;197,I869*1.26,I869&gt;197,I869*1.17) + IF(I869&gt;1000,17,0)</f>
        <v>800.33381999999983</v>
      </c>
      <c r="I869" s="10">
        <f>($K$2+0.02)*Tabla1[[#This Row],[PRECIO $]]*1.18</f>
        <v>684.04599999999994</v>
      </c>
      <c r="J869" s="7">
        <f>+Tabla1[[#This Row],[PRECIO EN SOLES]]-Tabla1[[#This Row],[PC]]</f>
        <v>116.2878199999999</v>
      </c>
    </row>
    <row r="870" spans="1:10" x14ac:dyDescent="0.25">
      <c r="A870" s="3" t="s">
        <v>2123</v>
      </c>
      <c r="B870" s="3" t="s">
        <v>2124</v>
      </c>
      <c r="C870" s="1">
        <v>20</v>
      </c>
      <c r="D870" s="1">
        <v>208</v>
      </c>
      <c r="E870" s="1" t="s">
        <v>1002</v>
      </c>
      <c r="F870" s="1" t="s">
        <v>4706</v>
      </c>
      <c r="G870" s="3" t="s">
        <v>2125</v>
      </c>
      <c r="H870" s="12" cm="1">
        <f t="array" ref="H870">_xlfn.IFS(I870&lt;197,I870*1.26,I870&gt;197,I870*1.17) + IF(I870&gt;1000,17,0)</f>
        <v>976.36031999999977</v>
      </c>
      <c r="I870" s="10">
        <f>($K$2+0.02)*Tabla1[[#This Row],[PRECIO $]]*1.18</f>
        <v>834.49599999999987</v>
      </c>
      <c r="J870" s="7">
        <f>+Tabla1[[#This Row],[PRECIO EN SOLES]]-Tabla1[[#This Row],[PC]]</f>
        <v>141.86431999999991</v>
      </c>
    </row>
    <row r="871" spans="1:10" x14ac:dyDescent="0.25">
      <c r="A871" s="3" t="s">
        <v>2126</v>
      </c>
      <c r="B871" s="3" t="s">
        <v>2127</v>
      </c>
      <c r="C871" s="1">
        <v>16</v>
      </c>
      <c r="D871" s="1">
        <v>347</v>
      </c>
      <c r="E871" s="1" t="s">
        <v>1002</v>
      </c>
      <c r="F871" s="1" t="s">
        <v>4707</v>
      </c>
      <c r="G871" s="3" t="s">
        <v>2128</v>
      </c>
      <c r="H871" s="12" cm="1">
        <f t="array" ref="H871">_xlfn.IFS(I871&lt;197,I871*1.26,I871&gt;197,I871*1.17) + IF(I871&gt;1000,17,0)</f>
        <v>1645.8318799999997</v>
      </c>
      <c r="I871" s="10">
        <f>($K$2+0.02)*Tabla1[[#This Row],[PRECIO $]]*1.18</f>
        <v>1392.1639999999998</v>
      </c>
      <c r="J871" s="7">
        <f>+Tabla1[[#This Row],[PRECIO EN SOLES]]-Tabla1[[#This Row],[PC]]</f>
        <v>253.66787999999997</v>
      </c>
    </row>
    <row r="872" spans="1:10" x14ac:dyDescent="0.25">
      <c r="A872" s="3" t="s">
        <v>2129</v>
      </c>
      <c r="B872" s="3" t="s">
        <v>2130</v>
      </c>
      <c r="C872" s="1">
        <v>20</v>
      </c>
      <c r="D872" s="1">
        <v>133.30000000000001</v>
      </c>
      <c r="E872" s="1" t="s">
        <v>1002</v>
      </c>
      <c r="F872" s="1" t="s">
        <v>4708</v>
      </c>
      <c r="G872" s="3" t="s">
        <v>2131</v>
      </c>
      <c r="H872" s="12" cm="1">
        <f t="array" ref="H872">_xlfn.IFS(I872&lt;197,I872*1.26,I872&gt;197,I872*1.17) + IF(I872&gt;1000,17,0)</f>
        <v>625.71553200000005</v>
      </c>
      <c r="I872" s="10">
        <f>($K$2+0.02)*Tabla1[[#This Row],[PRECIO $]]*1.18</f>
        <v>534.79960000000005</v>
      </c>
      <c r="J872" s="7">
        <f>+Tabla1[[#This Row],[PRECIO EN SOLES]]-Tabla1[[#This Row],[PC]]</f>
        <v>90.915931999999998</v>
      </c>
    </row>
    <row r="873" spans="1:10" x14ac:dyDescent="0.25">
      <c r="A873" s="3" t="s">
        <v>2132</v>
      </c>
      <c r="B873" s="3" t="s">
        <v>2133</v>
      </c>
      <c r="C873" s="1">
        <v>20</v>
      </c>
      <c r="D873" s="1">
        <v>209.5</v>
      </c>
      <c r="E873" s="1" t="s">
        <v>249</v>
      </c>
      <c r="F873" s="1" t="s">
        <v>4709</v>
      </c>
      <c r="G873" s="3" t="s">
        <v>2134</v>
      </c>
      <c r="H873" s="12" cm="1">
        <f t="array" ref="H873">_xlfn.IFS(I873&lt;197,I873*1.26,I873&gt;197,I873*1.17) + IF(I873&gt;1000,17,0)</f>
        <v>983.40137999999979</v>
      </c>
      <c r="I873" s="10">
        <f>($K$2+0.02)*Tabla1[[#This Row],[PRECIO $]]*1.18</f>
        <v>840.5139999999999</v>
      </c>
      <c r="J873" s="7">
        <f>+Tabla1[[#This Row],[PRECIO EN SOLES]]-Tabla1[[#This Row],[PC]]</f>
        <v>142.88737999999989</v>
      </c>
    </row>
    <row r="874" spans="1:10" x14ac:dyDescent="0.25">
      <c r="A874" s="3" t="s">
        <v>5655</v>
      </c>
      <c r="B874" s="3" t="s">
        <v>5656</v>
      </c>
      <c r="C874" s="1">
        <v>20</v>
      </c>
      <c r="D874" s="1">
        <v>199.2</v>
      </c>
      <c r="E874" s="1" t="s">
        <v>249</v>
      </c>
      <c r="F874" s="1" t="s">
        <v>5657</v>
      </c>
      <c r="G874" s="3" t="s">
        <v>5658</v>
      </c>
      <c r="H874" s="12" cm="1">
        <f t="array" ref="H874">_xlfn.IFS(I874&lt;197,I874*1.26,I874&gt;197,I874*1.17) + IF(I874&gt;1000,17,0)</f>
        <v>935.0527679999999</v>
      </c>
      <c r="I874" s="10">
        <f>($K$2+0.02)*Tabla1[[#This Row],[PRECIO $]]*1.18</f>
        <v>799.19039999999995</v>
      </c>
      <c r="J874" s="7">
        <f>+Tabla1[[#This Row],[PRECIO EN SOLES]]-Tabla1[[#This Row],[PC]]</f>
        <v>135.86236799999995</v>
      </c>
    </row>
    <row r="875" spans="1:10" x14ac:dyDescent="0.25">
      <c r="A875" s="3" t="s">
        <v>5659</v>
      </c>
      <c r="B875" s="3" t="s">
        <v>5660</v>
      </c>
      <c r="C875" s="1">
        <v>2</v>
      </c>
      <c r="D875" s="1">
        <v>183.5</v>
      </c>
      <c r="E875" s="1" t="s">
        <v>249</v>
      </c>
      <c r="F875" s="1" t="s">
        <v>5661</v>
      </c>
      <c r="G875" s="3" t="s">
        <v>5662</v>
      </c>
      <c r="H875" s="12" cm="1">
        <f t="array" ref="H875">_xlfn.IFS(I875&lt;197,I875*1.26,I875&gt;197,I875*1.17) + IF(I875&gt;1000,17,0)</f>
        <v>861.35633999999982</v>
      </c>
      <c r="I875" s="10">
        <f>($K$2+0.02)*Tabla1[[#This Row],[PRECIO $]]*1.18</f>
        <v>736.20199999999988</v>
      </c>
      <c r="J875" s="7">
        <f>+Tabla1[[#This Row],[PRECIO EN SOLES]]-Tabla1[[#This Row],[PC]]</f>
        <v>125.15433999999993</v>
      </c>
    </row>
    <row r="876" spans="1:10" x14ac:dyDescent="0.25">
      <c r="A876" s="3" t="s">
        <v>2135</v>
      </c>
      <c r="B876" s="3" t="s">
        <v>2136</v>
      </c>
      <c r="C876" s="1">
        <v>9</v>
      </c>
      <c r="D876" s="1">
        <v>370</v>
      </c>
      <c r="E876" s="1" t="s">
        <v>1002</v>
      </c>
      <c r="F876" s="1" t="s">
        <v>4710</v>
      </c>
      <c r="G876" s="3" t="s">
        <v>2137</v>
      </c>
      <c r="H876" s="12" cm="1">
        <f t="array" ref="H876">_xlfn.IFS(I876&lt;197,I876*1.26,I876&gt;197,I876*1.17) + IF(I876&gt;1000,17,0)</f>
        <v>1753.7947999999997</v>
      </c>
      <c r="I876" s="10">
        <f>($K$2+0.02)*Tabla1[[#This Row],[PRECIO $]]*1.18</f>
        <v>1484.4399999999998</v>
      </c>
      <c r="J876" s="7">
        <f>+Tabla1[[#This Row],[PRECIO EN SOLES]]-Tabla1[[#This Row],[PC]]</f>
        <v>269.35479999999984</v>
      </c>
    </row>
    <row r="877" spans="1:10" x14ac:dyDescent="0.25">
      <c r="A877" s="3" t="s">
        <v>2138</v>
      </c>
      <c r="B877" s="3" t="s">
        <v>2139</v>
      </c>
      <c r="C877" s="1">
        <v>1</v>
      </c>
      <c r="D877" s="1">
        <v>523</v>
      </c>
      <c r="E877" s="1" t="s">
        <v>1002</v>
      </c>
      <c r="F877" s="1" t="s">
        <v>4711</v>
      </c>
      <c r="G877" s="3" t="s">
        <v>2140</v>
      </c>
      <c r="H877" s="12" cm="1">
        <f t="array" ref="H877">_xlfn.IFS(I877&lt;197,I877*1.26,I877&gt;197,I877*1.17) + IF(I877&gt;1000,17,0)</f>
        <v>2471.9829199999995</v>
      </c>
      <c r="I877" s="10">
        <f>($K$2+0.02)*Tabla1[[#This Row],[PRECIO $]]*1.18</f>
        <v>2098.2759999999998</v>
      </c>
      <c r="J877" s="7">
        <f>+Tabla1[[#This Row],[PRECIO EN SOLES]]-Tabla1[[#This Row],[PC]]</f>
        <v>373.70691999999963</v>
      </c>
    </row>
    <row r="878" spans="1:10" x14ac:dyDescent="0.25">
      <c r="A878" s="3" t="s">
        <v>5663</v>
      </c>
      <c r="B878" s="3" t="s">
        <v>5664</v>
      </c>
      <c r="C878" s="1">
        <v>7</v>
      </c>
      <c r="D878" s="1">
        <v>284</v>
      </c>
      <c r="E878" s="1" t="s">
        <v>249</v>
      </c>
      <c r="F878" s="1" t="s">
        <v>5665</v>
      </c>
      <c r="G878" s="3" t="s">
        <v>5666</v>
      </c>
      <c r="H878" s="12" cm="1">
        <f t="array" ref="H878">_xlfn.IFS(I878&lt;197,I878*1.26,I878&gt;197,I878*1.17) + IF(I878&gt;1000,17,0)</f>
        <v>1350.1073599999997</v>
      </c>
      <c r="I878" s="10">
        <f>($K$2+0.02)*Tabla1[[#This Row],[PRECIO $]]*1.18</f>
        <v>1139.4079999999999</v>
      </c>
      <c r="J878" s="7">
        <f>+Tabla1[[#This Row],[PRECIO EN SOLES]]-Tabla1[[#This Row],[PC]]</f>
        <v>210.69935999999984</v>
      </c>
    </row>
    <row r="879" spans="1:10" x14ac:dyDescent="0.25">
      <c r="A879" s="3" t="s">
        <v>3707</v>
      </c>
      <c r="B879" s="3" t="s">
        <v>3708</v>
      </c>
      <c r="C879" s="1">
        <v>13</v>
      </c>
      <c r="D879" s="1">
        <v>231</v>
      </c>
      <c r="E879" s="1" t="s">
        <v>249</v>
      </c>
      <c r="F879" s="1" t="s">
        <v>4712</v>
      </c>
      <c r="G879" s="3" t="s">
        <v>3709</v>
      </c>
      <c r="H879" s="12" cm="1">
        <f t="array" ref="H879">_xlfn.IFS(I879&lt;197,I879*1.26,I879&gt;197,I879*1.17) + IF(I879&gt;1000,17,0)</f>
        <v>1084.3232399999999</v>
      </c>
      <c r="I879" s="10">
        <f>($K$2+0.02)*Tabla1[[#This Row],[PRECIO $]]*1.18</f>
        <v>926.77199999999993</v>
      </c>
      <c r="J879" s="7">
        <f>+Tabla1[[#This Row],[PRECIO EN SOLES]]-Tabla1[[#This Row],[PC]]</f>
        <v>157.55124000000001</v>
      </c>
    </row>
    <row r="880" spans="1:10" x14ac:dyDescent="0.25">
      <c r="A880" s="3" t="s">
        <v>3839</v>
      </c>
      <c r="B880" s="3" t="s">
        <v>3840</v>
      </c>
      <c r="C880" s="1">
        <v>20</v>
      </c>
      <c r="D880" s="1">
        <v>94.5</v>
      </c>
      <c r="E880" s="1" t="s">
        <v>133</v>
      </c>
      <c r="F880" s="1" t="s">
        <v>4713</v>
      </c>
      <c r="G880" s="3" t="s">
        <v>3841</v>
      </c>
      <c r="H880" s="12" cm="1">
        <f t="array" ref="H880">_xlfn.IFS(I880&lt;197,I880*1.26,I880&gt;197,I880*1.17) + IF(I880&gt;1000,17,0)</f>
        <v>443.58677999999998</v>
      </c>
      <c r="I880" s="10">
        <f>($K$2+0.02)*Tabla1[[#This Row],[PRECIO $]]*1.18</f>
        <v>379.13400000000001</v>
      </c>
      <c r="J880" s="7">
        <f>+Tabla1[[#This Row],[PRECIO EN SOLES]]-Tabla1[[#This Row],[PC]]</f>
        <v>64.452779999999962</v>
      </c>
    </row>
    <row r="881" spans="1:10" x14ac:dyDescent="0.25">
      <c r="A881" s="3" t="s">
        <v>6316</v>
      </c>
      <c r="B881" s="3" t="s">
        <v>6317</v>
      </c>
      <c r="C881" s="1">
        <v>20</v>
      </c>
      <c r="D881" s="1">
        <v>177</v>
      </c>
      <c r="E881" s="1" t="s">
        <v>1002</v>
      </c>
      <c r="F881" s="1" t="s">
        <v>6318</v>
      </c>
      <c r="G881" s="3" t="s">
        <v>6319</v>
      </c>
      <c r="H881" s="12" cm="1">
        <f t="array" ref="H881">_xlfn.IFS(I881&lt;197,I881*1.26,I881&gt;197,I881*1.17) + IF(I881&gt;1000,17,0)</f>
        <v>830.84507999999983</v>
      </c>
      <c r="I881" s="10">
        <f>($K$2+0.02)*Tabla1[[#This Row],[PRECIO $]]*1.18</f>
        <v>710.12399999999991</v>
      </c>
      <c r="J881" s="7">
        <f>+Tabla1[[#This Row],[PRECIO EN SOLES]]-Tabla1[[#This Row],[PC]]</f>
        <v>120.72107999999992</v>
      </c>
    </row>
    <row r="882" spans="1:10" x14ac:dyDescent="0.25">
      <c r="A882" s="3" t="s">
        <v>3562</v>
      </c>
      <c r="B882" s="3" t="s">
        <v>3563</v>
      </c>
      <c r="C882" s="1">
        <v>2</v>
      </c>
      <c r="D882" s="1">
        <v>711</v>
      </c>
      <c r="E882" s="1" t="s">
        <v>1003</v>
      </c>
      <c r="F882" s="1" t="s">
        <v>4714</v>
      </c>
      <c r="G882" s="3" t="s">
        <v>3564</v>
      </c>
      <c r="H882" s="12" cm="1">
        <f t="array" ref="H882">_xlfn.IFS(I882&lt;197,I882*1.26,I882&gt;197,I882*1.17) + IF(I882&gt;1000,17,0)</f>
        <v>3354.4624399999998</v>
      </c>
      <c r="I882" s="10">
        <f>($K$2+0.02)*Tabla1[[#This Row],[PRECIO $]]*1.18</f>
        <v>2852.5320000000002</v>
      </c>
      <c r="J882" s="7">
        <f>+Tabla1[[#This Row],[PRECIO EN SOLES]]-Tabla1[[#This Row],[PC]]</f>
        <v>501.93043999999963</v>
      </c>
    </row>
    <row r="883" spans="1:10" x14ac:dyDescent="0.25">
      <c r="A883" s="3" t="s">
        <v>2141</v>
      </c>
      <c r="B883" s="3" t="s">
        <v>2142</v>
      </c>
      <c r="C883" s="1">
        <v>20</v>
      </c>
      <c r="D883" s="1">
        <v>27.7</v>
      </c>
      <c r="E883" s="1" t="s">
        <v>58</v>
      </c>
      <c r="F883" s="1" t="s">
        <v>4715</v>
      </c>
      <c r="G883" s="3" t="s">
        <v>2143</v>
      </c>
      <c r="H883" s="12" cm="1">
        <f t="array" ref="H883">_xlfn.IFS(I883&lt;197,I883*1.26,I883&gt;197,I883*1.17) + IF(I883&gt;1000,17,0)</f>
        <v>140.02682399999998</v>
      </c>
      <c r="I883" s="10">
        <f>($K$2+0.02)*Tabla1[[#This Row],[PRECIO $]]*1.18</f>
        <v>111.13239999999999</v>
      </c>
      <c r="J883" s="7">
        <f>+Tabla1[[#This Row],[PRECIO EN SOLES]]-Tabla1[[#This Row],[PC]]</f>
        <v>28.894423999999987</v>
      </c>
    </row>
    <row r="884" spans="1:10" x14ac:dyDescent="0.25">
      <c r="A884" s="3" t="s">
        <v>2144</v>
      </c>
      <c r="B884" s="3" t="s">
        <v>2145</v>
      </c>
      <c r="C884" s="1">
        <v>20</v>
      </c>
      <c r="D884" s="1">
        <v>10.4</v>
      </c>
      <c r="E884" s="1" t="s">
        <v>58</v>
      </c>
      <c r="F884" s="1" t="s">
        <v>4716</v>
      </c>
      <c r="G884" s="3" t="s">
        <v>2146</v>
      </c>
      <c r="H884" s="12" cm="1">
        <f t="array" ref="H884">_xlfn.IFS(I884&lt;197,I884*1.26,I884&gt;197,I884*1.17) + IF(I884&gt;1000,17,0)</f>
        <v>52.573247999999992</v>
      </c>
      <c r="I884" s="10">
        <f>($K$2+0.02)*Tabla1[[#This Row],[PRECIO $]]*1.18</f>
        <v>41.724799999999995</v>
      </c>
      <c r="J884" s="7">
        <f>+Tabla1[[#This Row],[PRECIO EN SOLES]]-Tabla1[[#This Row],[PC]]</f>
        <v>10.848447999999998</v>
      </c>
    </row>
    <row r="885" spans="1:10" x14ac:dyDescent="0.25">
      <c r="A885" s="3" t="s">
        <v>3842</v>
      </c>
      <c r="B885" s="3" t="s">
        <v>3843</v>
      </c>
      <c r="C885" s="1">
        <v>20</v>
      </c>
      <c r="D885" s="1">
        <v>51.3</v>
      </c>
      <c r="E885" s="1" t="s">
        <v>133</v>
      </c>
      <c r="F885" s="1" t="s">
        <v>4717</v>
      </c>
      <c r="G885" s="3" t="s">
        <v>3844</v>
      </c>
      <c r="H885" s="12" cm="1">
        <f t="array" ref="H885">_xlfn.IFS(I885&lt;197,I885*1.26,I885&gt;197,I885*1.17) + IF(I885&gt;1000,17,0)</f>
        <v>240.80425199999993</v>
      </c>
      <c r="I885" s="10">
        <f>($K$2+0.02)*Tabla1[[#This Row],[PRECIO $]]*1.18</f>
        <v>205.81559999999996</v>
      </c>
      <c r="J885" s="7">
        <f>+Tabla1[[#This Row],[PRECIO EN SOLES]]-Tabla1[[#This Row],[PC]]</f>
        <v>34.988651999999973</v>
      </c>
    </row>
    <row r="886" spans="1:10" x14ac:dyDescent="0.25">
      <c r="A886" s="3" t="s">
        <v>3845</v>
      </c>
      <c r="B886" s="3" t="s">
        <v>3846</v>
      </c>
      <c r="C886" s="1">
        <v>20</v>
      </c>
      <c r="D886" s="1">
        <v>62.35</v>
      </c>
      <c r="E886" s="1" t="s">
        <v>133</v>
      </c>
      <c r="F886" s="1" t="s">
        <v>4718</v>
      </c>
      <c r="G886" s="3" t="s">
        <v>3847</v>
      </c>
      <c r="H886" s="12" cm="1">
        <f t="array" ref="H886">_xlfn.IFS(I886&lt;197,I886*1.26,I886&gt;197,I886*1.17) + IF(I886&gt;1000,17,0)</f>
        <v>292.67339399999997</v>
      </c>
      <c r="I886" s="10">
        <f>($K$2+0.02)*Tabla1[[#This Row],[PRECIO $]]*1.18</f>
        <v>250.1482</v>
      </c>
      <c r="J886" s="7">
        <f>+Tabla1[[#This Row],[PRECIO EN SOLES]]-Tabla1[[#This Row],[PC]]</f>
        <v>42.525193999999971</v>
      </c>
    </row>
    <row r="887" spans="1:10" x14ac:dyDescent="0.25">
      <c r="A887" s="3" t="s">
        <v>355</v>
      </c>
      <c r="B887" s="3" t="s">
        <v>356</v>
      </c>
      <c r="C887" s="1">
        <v>20</v>
      </c>
      <c r="D887" s="1">
        <v>28.5</v>
      </c>
      <c r="E887" s="1" t="s">
        <v>52</v>
      </c>
      <c r="F887" s="1" t="s">
        <v>4719</v>
      </c>
      <c r="G887" s="3" t="s">
        <v>357</v>
      </c>
      <c r="H887" s="12" cm="1">
        <f t="array" ref="H887">_xlfn.IFS(I887&lt;197,I887*1.26,I887&gt;197,I887*1.17) + IF(I887&gt;1000,17,0)</f>
        <v>144.07091999999997</v>
      </c>
      <c r="I887" s="10">
        <f>($K$2+0.02)*Tabla1[[#This Row],[PRECIO $]]*1.18</f>
        <v>114.34199999999998</v>
      </c>
      <c r="J887" s="7">
        <f>+Tabla1[[#This Row],[PRECIO EN SOLES]]-Tabla1[[#This Row],[PC]]</f>
        <v>29.728919999999988</v>
      </c>
    </row>
    <row r="888" spans="1:10" x14ac:dyDescent="0.25">
      <c r="A888" s="3" t="s">
        <v>2147</v>
      </c>
      <c r="B888" s="3" t="s">
        <v>2148</v>
      </c>
      <c r="C888" s="1">
        <v>20</v>
      </c>
      <c r="D888" s="1">
        <v>43.5</v>
      </c>
      <c r="E888" s="1" t="s">
        <v>52</v>
      </c>
      <c r="F888" s="1" t="s">
        <v>4720</v>
      </c>
      <c r="G888" s="3" t="s">
        <v>2149</v>
      </c>
      <c r="H888" s="12" cm="1">
        <f t="array" ref="H888">_xlfn.IFS(I888&lt;197,I888*1.26,I888&gt;197,I888*1.17) + IF(I888&gt;1000,17,0)</f>
        <v>219.89771999999999</v>
      </c>
      <c r="I888" s="10">
        <f>($K$2+0.02)*Tabla1[[#This Row],[PRECIO $]]*1.18</f>
        <v>174.52199999999999</v>
      </c>
      <c r="J888" s="7">
        <f>+Tabla1[[#This Row],[PRECIO EN SOLES]]-Tabla1[[#This Row],[PC]]</f>
        <v>45.375720000000001</v>
      </c>
    </row>
    <row r="889" spans="1:10" x14ac:dyDescent="0.25">
      <c r="A889" s="3" t="s">
        <v>3971</v>
      </c>
      <c r="B889" s="3" t="s">
        <v>3972</v>
      </c>
      <c r="C889" s="1">
        <v>20</v>
      </c>
      <c r="D889" s="1">
        <v>177</v>
      </c>
      <c r="E889" s="1" t="s">
        <v>52</v>
      </c>
      <c r="F889" s="1" t="s">
        <v>4721</v>
      </c>
      <c r="G889" s="3" t="s">
        <v>3973</v>
      </c>
      <c r="H889" s="12" cm="1">
        <f t="array" ref="H889">_xlfn.IFS(I889&lt;197,I889*1.26,I889&gt;197,I889*1.17) + IF(I889&gt;1000,17,0)</f>
        <v>830.84507999999983</v>
      </c>
      <c r="I889" s="10">
        <f>($K$2+0.02)*Tabla1[[#This Row],[PRECIO $]]*1.18</f>
        <v>710.12399999999991</v>
      </c>
      <c r="J889" s="7">
        <f>+Tabla1[[#This Row],[PRECIO EN SOLES]]-Tabla1[[#This Row],[PC]]</f>
        <v>120.72107999999992</v>
      </c>
    </row>
    <row r="890" spans="1:10" x14ac:dyDescent="0.25">
      <c r="A890" s="3" t="s">
        <v>2150</v>
      </c>
      <c r="B890" s="3" t="s">
        <v>2151</v>
      </c>
      <c r="C890" s="1">
        <v>20</v>
      </c>
      <c r="D890" s="1">
        <v>86</v>
      </c>
      <c r="E890" s="1" t="s">
        <v>52</v>
      </c>
      <c r="F890" s="1" t="s">
        <v>4722</v>
      </c>
      <c r="G890" s="3" t="s">
        <v>2152</v>
      </c>
      <c r="H890" s="12" cm="1">
        <f t="array" ref="H890">_xlfn.IFS(I890&lt;197,I890*1.26,I890&gt;197,I890*1.17) + IF(I890&gt;1000,17,0)</f>
        <v>403.68743999999998</v>
      </c>
      <c r="I890" s="10">
        <f>($K$2+0.02)*Tabla1[[#This Row],[PRECIO $]]*1.18</f>
        <v>345.03199999999998</v>
      </c>
      <c r="J890" s="7">
        <f>+Tabla1[[#This Row],[PRECIO EN SOLES]]-Tabla1[[#This Row],[PC]]</f>
        <v>58.655439999999999</v>
      </c>
    </row>
    <row r="891" spans="1:10" x14ac:dyDescent="0.25">
      <c r="A891" s="3" t="s">
        <v>2153</v>
      </c>
      <c r="B891" s="3" t="s">
        <v>2154</v>
      </c>
      <c r="C891" s="1">
        <v>20</v>
      </c>
      <c r="D891" s="1">
        <v>439</v>
      </c>
      <c r="E891" s="1" t="s">
        <v>52</v>
      </c>
      <c r="F891" s="1" t="s">
        <v>4723</v>
      </c>
      <c r="G891" s="3" t="s">
        <v>2155</v>
      </c>
      <c r="H891" s="12" cm="1">
        <f t="array" ref="H891">_xlfn.IFS(I891&lt;197,I891*1.26,I891&gt;197,I891*1.17) + IF(I891&gt;1000,17,0)</f>
        <v>2077.6835599999995</v>
      </c>
      <c r="I891" s="10">
        <f>($K$2+0.02)*Tabla1[[#This Row],[PRECIO $]]*1.18</f>
        <v>1761.2679999999998</v>
      </c>
      <c r="J891" s="7">
        <f>+Tabla1[[#This Row],[PRECIO EN SOLES]]-Tabla1[[#This Row],[PC]]</f>
        <v>316.41555999999969</v>
      </c>
    </row>
    <row r="892" spans="1:10" x14ac:dyDescent="0.25">
      <c r="A892" s="3" t="s">
        <v>2156</v>
      </c>
      <c r="B892" s="3" t="s">
        <v>2157</v>
      </c>
      <c r="C892" s="1">
        <v>20</v>
      </c>
      <c r="D892" s="1">
        <v>449</v>
      </c>
      <c r="E892" s="1" t="s">
        <v>52</v>
      </c>
      <c r="F892" s="1" t="s">
        <v>4724</v>
      </c>
      <c r="G892" s="3" t="s">
        <v>2158</v>
      </c>
      <c r="H892" s="12" cm="1">
        <f t="array" ref="H892">_xlfn.IFS(I892&lt;197,I892*1.26,I892&gt;197,I892*1.17) + IF(I892&gt;1000,17,0)</f>
        <v>2124.6239599999994</v>
      </c>
      <c r="I892" s="10">
        <f>($K$2+0.02)*Tabla1[[#This Row],[PRECIO $]]*1.18</f>
        <v>1801.3879999999997</v>
      </c>
      <c r="J892" s="7">
        <f>+Tabla1[[#This Row],[PRECIO EN SOLES]]-Tabla1[[#This Row],[PC]]</f>
        <v>323.23595999999975</v>
      </c>
    </row>
    <row r="893" spans="1:10" x14ac:dyDescent="0.25">
      <c r="A893" s="3" t="s">
        <v>2159</v>
      </c>
      <c r="B893" s="3" t="s">
        <v>2160</v>
      </c>
      <c r="C893" s="1">
        <v>2</v>
      </c>
      <c r="D893" s="1">
        <v>695</v>
      </c>
      <c r="E893" s="1" t="s">
        <v>52</v>
      </c>
      <c r="F893" s="1" t="s">
        <v>4725</v>
      </c>
      <c r="G893" s="3" t="s">
        <v>2161</v>
      </c>
      <c r="H893" s="12" cm="1">
        <f t="array" ref="H893">_xlfn.IFS(I893&lt;197,I893*1.26,I893&gt;197,I893*1.17) + IF(I893&gt;1000,17,0)</f>
        <v>3279.3577999999993</v>
      </c>
      <c r="I893" s="10">
        <f>($K$2+0.02)*Tabla1[[#This Row],[PRECIO $]]*1.18</f>
        <v>2788.3399999999997</v>
      </c>
      <c r="J893" s="7">
        <f>+Tabla1[[#This Row],[PRECIO EN SOLES]]-Tabla1[[#This Row],[PC]]</f>
        <v>491.01779999999962</v>
      </c>
    </row>
    <row r="894" spans="1:10" x14ac:dyDescent="0.25">
      <c r="A894" s="3" t="s">
        <v>2162</v>
      </c>
      <c r="B894" s="3" t="s">
        <v>2163</v>
      </c>
      <c r="C894" s="1">
        <v>7</v>
      </c>
      <c r="D894" s="1">
        <v>90.5</v>
      </c>
      <c r="E894" s="1" t="s">
        <v>2164</v>
      </c>
      <c r="F894" s="1" t="s">
        <v>4726</v>
      </c>
      <c r="G894" s="3" t="s">
        <v>2165</v>
      </c>
      <c r="H894" s="12" cm="1">
        <f t="array" ref="H894">_xlfn.IFS(I894&lt;197,I894*1.26,I894&gt;197,I894*1.17) + IF(I894&gt;1000,17,0)</f>
        <v>424.81061999999991</v>
      </c>
      <c r="I894" s="10">
        <f>($K$2+0.02)*Tabla1[[#This Row],[PRECIO $]]*1.18</f>
        <v>363.08599999999996</v>
      </c>
      <c r="J894" s="7">
        <f>+Tabla1[[#This Row],[PRECIO EN SOLES]]-Tabla1[[#This Row],[PC]]</f>
        <v>61.724619999999959</v>
      </c>
    </row>
    <row r="895" spans="1:10" x14ac:dyDescent="0.25">
      <c r="A895" s="3" t="s">
        <v>2166</v>
      </c>
      <c r="B895" s="3" t="s">
        <v>2167</v>
      </c>
      <c r="C895" s="1">
        <v>1</v>
      </c>
      <c r="D895" s="1">
        <v>216.3</v>
      </c>
      <c r="E895" s="1" t="s">
        <v>2164</v>
      </c>
      <c r="F895" s="1" t="s">
        <v>4727</v>
      </c>
      <c r="G895" s="3" t="s">
        <v>2168</v>
      </c>
      <c r="H895" s="12" cm="1">
        <f t="array" ref="H895">_xlfn.IFS(I895&lt;197,I895*1.26,I895&gt;197,I895*1.17) + IF(I895&gt;1000,17,0)</f>
        <v>1015.3208519999999</v>
      </c>
      <c r="I895" s="10">
        <f>($K$2+0.02)*Tabla1[[#This Row],[PRECIO $]]*1.18</f>
        <v>867.79560000000004</v>
      </c>
      <c r="J895" s="7">
        <f>+Tabla1[[#This Row],[PRECIO EN SOLES]]-Tabla1[[#This Row],[PC]]</f>
        <v>147.52525199999991</v>
      </c>
    </row>
    <row r="896" spans="1:10" x14ac:dyDescent="0.25">
      <c r="A896" s="3" t="s">
        <v>2169</v>
      </c>
      <c r="B896" s="3" t="s">
        <v>2170</v>
      </c>
      <c r="C896" s="1">
        <v>1</v>
      </c>
      <c r="D896" s="1">
        <v>1193</v>
      </c>
      <c r="E896" s="1" t="s">
        <v>2164</v>
      </c>
      <c r="F896" s="1" t="s">
        <v>4728</v>
      </c>
      <c r="G896" s="3" t="s">
        <v>2171</v>
      </c>
      <c r="H896" s="12" cm="1">
        <f t="array" ref="H896">_xlfn.IFS(I896&lt;197,I896*1.26,I896&gt;197,I896*1.17) + IF(I896&gt;1000,17,0)</f>
        <v>5616.9897199999996</v>
      </c>
      <c r="I896" s="10">
        <f>($K$2+0.02)*Tabla1[[#This Row],[PRECIO $]]*1.18</f>
        <v>4786.3159999999998</v>
      </c>
      <c r="J896" s="7">
        <f>+Tabla1[[#This Row],[PRECIO EN SOLES]]-Tabla1[[#This Row],[PC]]</f>
        <v>830.67371999999978</v>
      </c>
    </row>
    <row r="897" spans="1:10" x14ac:dyDescent="0.25">
      <c r="A897" s="3" t="s">
        <v>2172</v>
      </c>
      <c r="B897" s="3" t="s">
        <v>2173</v>
      </c>
      <c r="C897" s="1">
        <v>2</v>
      </c>
      <c r="D897" s="1">
        <v>456</v>
      </c>
      <c r="E897" s="1" t="s">
        <v>1003</v>
      </c>
      <c r="F897" s="1" t="s">
        <v>4729</v>
      </c>
      <c r="G897" s="3" t="s">
        <v>2174</v>
      </c>
      <c r="H897" s="12" cm="1">
        <f t="array" ref="H897">_xlfn.IFS(I897&lt;197,I897*1.26,I897&gt;197,I897*1.17) + IF(I897&gt;1000,17,0)</f>
        <v>2157.4822399999994</v>
      </c>
      <c r="I897" s="10">
        <f>($K$2+0.02)*Tabla1[[#This Row],[PRECIO $]]*1.18</f>
        <v>1829.4719999999998</v>
      </c>
      <c r="J897" s="7">
        <f>+Tabla1[[#This Row],[PRECIO EN SOLES]]-Tabla1[[#This Row],[PC]]</f>
        <v>328.01023999999961</v>
      </c>
    </row>
    <row r="898" spans="1:10" x14ac:dyDescent="0.25">
      <c r="A898" s="3" t="s">
        <v>2175</v>
      </c>
      <c r="B898" s="3" t="s">
        <v>2176</v>
      </c>
      <c r="C898" s="1">
        <v>20</v>
      </c>
      <c r="D898" s="1">
        <v>19.600000000000001</v>
      </c>
      <c r="E898" s="1" t="s">
        <v>1002</v>
      </c>
      <c r="F898" s="1" t="s">
        <v>4730</v>
      </c>
      <c r="G898" s="3" t="s">
        <v>2177</v>
      </c>
      <c r="H898" s="12" cm="1">
        <f t="array" ref="H898">_xlfn.IFS(I898&lt;197,I898*1.26,I898&gt;197,I898*1.17) + IF(I898&gt;1000,17,0)</f>
        <v>99.080351999999991</v>
      </c>
      <c r="I898" s="10">
        <f>($K$2+0.02)*Tabla1[[#This Row],[PRECIO $]]*1.18</f>
        <v>78.635199999999998</v>
      </c>
      <c r="J898" s="7">
        <f>+Tabla1[[#This Row],[PRECIO EN SOLES]]-Tabla1[[#This Row],[PC]]</f>
        <v>20.445151999999993</v>
      </c>
    </row>
    <row r="899" spans="1:10" x14ac:dyDescent="0.25">
      <c r="A899" s="3" t="s">
        <v>2178</v>
      </c>
      <c r="B899" s="3" t="s">
        <v>2179</v>
      </c>
      <c r="C899" s="1">
        <v>20</v>
      </c>
      <c r="D899" s="1">
        <v>12</v>
      </c>
      <c r="E899" s="1" t="s">
        <v>56</v>
      </c>
      <c r="F899" s="1" t="s">
        <v>4731</v>
      </c>
      <c r="G899" s="3"/>
      <c r="H899" s="12" cm="1">
        <f t="array" ref="H899">_xlfn.IFS(I899&lt;197,I899*1.26,I899&gt;197,I899*1.17) + IF(I899&gt;1000,17,0)</f>
        <v>60.661439999999992</v>
      </c>
      <c r="I899" s="10">
        <f>($K$2+0.02)*Tabla1[[#This Row],[PRECIO $]]*1.18</f>
        <v>48.143999999999991</v>
      </c>
      <c r="J899" s="7">
        <f>+Tabla1[[#This Row],[PRECIO EN SOLES]]-Tabla1[[#This Row],[PC]]</f>
        <v>12.517440000000001</v>
      </c>
    </row>
    <row r="900" spans="1:10" x14ac:dyDescent="0.25">
      <c r="A900" s="3" t="s">
        <v>2180</v>
      </c>
      <c r="B900" s="3" t="s">
        <v>3565</v>
      </c>
      <c r="C900" s="1">
        <v>20</v>
      </c>
      <c r="D900" s="1">
        <v>12.7</v>
      </c>
      <c r="E900" s="1" t="s">
        <v>1002</v>
      </c>
      <c r="F900" s="1" t="s">
        <v>4732</v>
      </c>
      <c r="G900" s="3" t="s">
        <v>3566</v>
      </c>
      <c r="H900" s="12" cm="1">
        <f t="array" ref="H900">_xlfn.IFS(I900&lt;197,I900*1.26,I900&gt;197,I900*1.17) + IF(I900&gt;1000,17,0)</f>
        <v>64.200023999999999</v>
      </c>
      <c r="I900" s="10">
        <f>($K$2+0.02)*Tabla1[[#This Row],[PRECIO $]]*1.18</f>
        <v>50.952399999999997</v>
      </c>
      <c r="J900" s="7">
        <f>+Tabla1[[#This Row],[PRECIO EN SOLES]]-Tabla1[[#This Row],[PC]]</f>
        <v>13.247624000000002</v>
      </c>
    </row>
    <row r="901" spans="1:10" x14ac:dyDescent="0.25">
      <c r="A901" s="3" t="s">
        <v>2181</v>
      </c>
      <c r="B901" s="3" t="s">
        <v>2182</v>
      </c>
      <c r="C901" s="1">
        <v>20</v>
      </c>
      <c r="D901" s="1">
        <v>20.3</v>
      </c>
      <c r="E901" s="1" t="s">
        <v>74</v>
      </c>
      <c r="F901" s="1" t="s">
        <v>4733</v>
      </c>
      <c r="G901" s="3" t="s">
        <v>2183</v>
      </c>
      <c r="H901" s="12" cm="1">
        <f t="array" ref="H901">_xlfn.IFS(I901&lt;197,I901*1.26,I901&gt;197,I901*1.17) + IF(I901&gt;1000,17,0)</f>
        <v>102.61893599999999</v>
      </c>
      <c r="I901" s="10">
        <f>($K$2+0.02)*Tabla1[[#This Row],[PRECIO $]]*1.18</f>
        <v>81.443599999999989</v>
      </c>
      <c r="J901" s="7">
        <f>+Tabla1[[#This Row],[PRECIO EN SOLES]]-Tabla1[[#This Row],[PC]]</f>
        <v>21.175336000000001</v>
      </c>
    </row>
    <row r="902" spans="1:10" x14ac:dyDescent="0.25">
      <c r="A902" s="3" t="s">
        <v>2184</v>
      </c>
      <c r="B902" s="3" t="s">
        <v>2185</v>
      </c>
      <c r="C902" s="1">
        <v>11</v>
      </c>
      <c r="D902" s="1">
        <v>20</v>
      </c>
      <c r="E902" s="1" t="s">
        <v>101</v>
      </c>
      <c r="F902" s="1" t="s">
        <v>4734</v>
      </c>
      <c r="G902" s="3" t="s">
        <v>2186</v>
      </c>
      <c r="H902" s="12" cm="1">
        <f t="array" ref="H902">_xlfn.IFS(I902&lt;197,I902*1.26,I902&gt;197,I902*1.17) + IF(I902&gt;1000,17,0)</f>
        <v>101.10239999999999</v>
      </c>
      <c r="I902" s="10">
        <f>($K$2+0.02)*Tabla1[[#This Row],[PRECIO $]]*1.18</f>
        <v>80.239999999999995</v>
      </c>
      <c r="J902" s="7">
        <f>+Tabla1[[#This Row],[PRECIO EN SOLES]]-Tabla1[[#This Row],[PC]]</f>
        <v>20.862399999999994</v>
      </c>
    </row>
    <row r="903" spans="1:10" x14ac:dyDescent="0.25">
      <c r="A903" s="3" t="s">
        <v>2187</v>
      </c>
      <c r="B903" s="3" t="s">
        <v>2188</v>
      </c>
      <c r="C903" s="1">
        <v>20</v>
      </c>
      <c r="D903" s="1">
        <v>18.5</v>
      </c>
      <c r="E903" s="1" t="s">
        <v>101</v>
      </c>
      <c r="F903" s="1" t="s">
        <v>4735</v>
      </c>
      <c r="G903" s="3" t="s">
        <v>3848</v>
      </c>
      <c r="H903" s="12" cm="1">
        <f t="array" ref="H903">_xlfn.IFS(I903&lt;197,I903*1.26,I903&gt;197,I903*1.17) + IF(I903&gt;1000,17,0)</f>
        <v>93.519719999999992</v>
      </c>
      <c r="I903" s="10">
        <f>($K$2+0.02)*Tabla1[[#This Row],[PRECIO $]]*1.18</f>
        <v>74.221999999999994</v>
      </c>
      <c r="J903" s="7">
        <f>+Tabla1[[#This Row],[PRECIO EN SOLES]]-Tabla1[[#This Row],[PC]]</f>
        <v>19.297719999999998</v>
      </c>
    </row>
    <row r="904" spans="1:10" x14ac:dyDescent="0.25">
      <c r="A904" s="3" t="s">
        <v>2189</v>
      </c>
      <c r="B904" s="3" t="s">
        <v>2190</v>
      </c>
      <c r="C904" s="1">
        <v>20</v>
      </c>
      <c r="D904" s="1">
        <v>39.700000000000003</v>
      </c>
      <c r="E904" s="1" t="s">
        <v>1002</v>
      </c>
      <c r="F904" s="1" t="s">
        <v>4736</v>
      </c>
      <c r="G904" s="3" t="s">
        <v>2191</v>
      </c>
      <c r="H904" s="12" cm="1">
        <f t="array" ref="H904">_xlfn.IFS(I904&lt;197,I904*1.26,I904&gt;197,I904*1.17) + IF(I904&gt;1000,17,0)</f>
        <v>200.68826400000003</v>
      </c>
      <c r="I904" s="10">
        <f>($K$2+0.02)*Tabla1[[#This Row],[PRECIO $]]*1.18</f>
        <v>159.27640000000002</v>
      </c>
      <c r="J904" s="7">
        <f>+Tabla1[[#This Row],[PRECIO EN SOLES]]-Tabla1[[#This Row],[PC]]</f>
        <v>41.411864000000008</v>
      </c>
    </row>
    <row r="905" spans="1:10" x14ac:dyDescent="0.25">
      <c r="A905" s="3" t="s">
        <v>358</v>
      </c>
      <c r="B905" s="3" t="s">
        <v>359</v>
      </c>
      <c r="C905" s="1">
        <v>20</v>
      </c>
      <c r="D905" s="1">
        <v>3.6</v>
      </c>
      <c r="E905" s="1" t="s">
        <v>52</v>
      </c>
      <c r="F905" s="1" t="s">
        <v>4737</v>
      </c>
      <c r="G905" s="3" t="s">
        <v>815</v>
      </c>
      <c r="H905" s="12" cm="1">
        <f t="array" ref="H905">_xlfn.IFS(I905&lt;197,I905*1.26,I905&gt;197,I905*1.17) + IF(I905&gt;1000,17,0)</f>
        <v>18.198432</v>
      </c>
      <c r="I905" s="10">
        <f>($K$2+0.02)*Tabla1[[#This Row],[PRECIO $]]*1.18</f>
        <v>14.443199999999999</v>
      </c>
      <c r="J905" s="7">
        <f>+Tabla1[[#This Row],[PRECIO EN SOLES]]-Tabla1[[#This Row],[PC]]</f>
        <v>3.7552320000000012</v>
      </c>
    </row>
    <row r="906" spans="1:10" x14ac:dyDescent="0.25">
      <c r="A906" s="3" t="s">
        <v>360</v>
      </c>
      <c r="B906" s="3" t="s">
        <v>361</v>
      </c>
      <c r="C906" s="1">
        <v>20</v>
      </c>
      <c r="D906" s="1">
        <v>5.4</v>
      </c>
      <c r="E906" s="1" t="s">
        <v>52</v>
      </c>
      <c r="F906" s="1" t="s">
        <v>4738</v>
      </c>
      <c r="G906" s="3" t="s">
        <v>362</v>
      </c>
      <c r="H906" s="12" cm="1">
        <f t="array" ref="H906">_xlfn.IFS(I906&lt;197,I906*1.26,I906&gt;197,I906*1.17) + IF(I906&gt;1000,17,0)</f>
        <v>27.297647999999999</v>
      </c>
      <c r="I906" s="10">
        <f>($K$2+0.02)*Tabla1[[#This Row],[PRECIO $]]*1.18</f>
        <v>21.6648</v>
      </c>
      <c r="J906" s="7">
        <f>+Tabla1[[#This Row],[PRECIO EN SOLES]]-Tabla1[[#This Row],[PC]]</f>
        <v>5.6328479999999992</v>
      </c>
    </row>
    <row r="907" spans="1:10" x14ac:dyDescent="0.25">
      <c r="A907" s="3" t="s">
        <v>363</v>
      </c>
      <c r="B907" s="3" t="s">
        <v>364</v>
      </c>
      <c r="C907" s="1">
        <v>20</v>
      </c>
      <c r="D907" s="1">
        <v>5.4</v>
      </c>
      <c r="E907" s="1" t="s">
        <v>52</v>
      </c>
      <c r="F907" s="1" t="s">
        <v>4739</v>
      </c>
      <c r="G907" s="3" t="s">
        <v>365</v>
      </c>
      <c r="H907" s="12" cm="1">
        <f t="array" ref="H907">_xlfn.IFS(I907&lt;197,I907*1.26,I907&gt;197,I907*1.17) + IF(I907&gt;1000,17,0)</f>
        <v>27.297647999999999</v>
      </c>
      <c r="I907" s="10">
        <f>($K$2+0.02)*Tabla1[[#This Row],[PRECIO $]]*1.18</f>
        <v>21.6648</v>
      </c>
      <c r="J907" s="7">
        <f>+Tabla1[[#This Row],[PRECIO EN SOLES]]-Tabla1[[#This Row],[PC]]</f>
        <v>5.6328479999999992</v>
      </c>
    </row>
    <row r="908" spans="1:10" x14ac:dyDescent="0.25">
      <c r="A908" s="3" t="s">
        <v>366</v>
      </c>
      <c r="B908" s="3" t="s">
        <v>5805</v>
      </c>
      <c r="C908" s="1">
        <v>20</v>
      </c>
      <c r="D908" s="1">
        <v>9.3000000000000007</v>
      </c>
      <c r="E908" s="1" t="s">
        <v>52</v>
      </c>
      <c r="F908" s="1" t="s">
        <v>4740</v>
      </c>
      <c r="G908" s="3" t="s">
        <v>367</v>
      </c>
      <c r="H908" s="12" cm="1">
        <f t="array" ref="H908">_xlfn.IFS(I908&lt;197,I908*1.26,I908&gt;197,I908*1.17) + IF(I908&gt;1000,17,0)</f>
        <v>47.012616000000001</v>
      </c>
      <c r="I908" s="10">
        <f>($K$2+0.02)*Tabla1[[#This Row],[PRECIO $]]*1.18</f>
        <v>37.311599999999999</v>
      </c>
      <c r="J908" s="7">
        <f>+Tabla1[[#This Row],[PRECIO EN SOLES]]-Tabla1[[#This Row],[PC]]</f>
        <v>9.7010160000000027</v>
      </c>
    </row>
    <row r="909" spans="1:10" x14ac:dyDescent="0.25">
      <c r="A909" s="3" t="s">
        <v>368</v>
      </c>
      <c r="B909" s="3" t="s">
        <v>369</v>
      </c>
      <c r="C909" s="1">
        <v>20</v>
      </c>
      <c r="D909" s="1">
        <v>4.3</v>
      </c>
      <c r="E909" s="1" t="s">
        <v>54</v>
      </c>
      <c r="F909" s="1" t="s">
        <v>4741</v>
      </c>
      <c r="G909" s="3" t="s">
        <v>370</v>
      </c>
      <c r="H909" s="12" cm="1">
        <f t="array" ref="H909">_xlfn.IFS(I909&lt;197,I909*1.26,I909&gt;197,I909*1.17) + IF(I909&gt;1000,17,0)</f>
        <v>21.737016000000001</v>
      </c>
      <c r="I909" s="10">
        <f>($K$2+0.02)*Tabla1[[#This Row],[PRECIO $]]*1.18</f>
        <v>17.2516</v>
      </c>
      <c r="J909" s="7">
        <f>+Tabla1[[#This Row],[PRECIO EN SOLES]]-Tabla1[[#This Row],[PC]]</f>
        <v>4.4854160000000007</v>
      </c>
    </row>
    <row r="910" spans="1:10" x14ac:dyDescent="0.25">
      <c r="A910" s="3" t="s">
        <v>371</v>
      </c>
      <c r="B910" s="3" t="s">
        <v>372</v>
      </c>
      <c r="C910" s="1">
        <v>20</v>
      </c>
      <c r="D910" s="1">
        <v>3.6</v>
      </c>
      <c r="E910" s="1" t="s">
        <v>52</v>
      </c>
      <c r="F910" s="1" t="s">
        <v>4742</v>
      </c>
      <c r="G910" s="3" t="s">
        <v>816</v>
      </c>
      <c r="H910" s="12" cm="1">
        <f t="array" ref="H910">_xlfn.IFS(I910&lt;197,I910*1.26,I910&gt;197,I910*1.17) + IF(I910&gt;1000,17,0)</f>
        <v>18.198432</v>
      </c>
      <c r="I910" s="10">
        <f>($K$2+0.02)*Tabla1[[#This Row],[PRECIO $]]*1.18</f>
        <v>14.443199999999999</v>
      </c>
      <c r="J910" s="7">
        <f>+Tabla1[[#This Row],[PRECIO EN SOLES]]-Tabla1[[#This Row],[PC]]</f>
        <v>3.7552320000000012</v>
      </c>
    </row>
    <row r="911" spans="1:10" x14ac:dyDescent="0.25">
      <c r="A911" s="3" t="s">
        <v>373</v>
      </c>
      <c r="B911" s="3" t="s">
        <v>374</v>
      </c>
      <c r="C911" s="1">
        <v>20</v>
      </c>
      <c r="D911" s="1">
        <v>5.4</v>
      </c>
      <c r="E911" s="1" t="s">
        <v>52</v>
      </c>
      <c r="F911" s="1" t="s">
        <v>4743</v>
      </c>
      <c r="G911" s="3" t="s">
        <v>817</v>
      </c>
      <c r="H911" s="12" cm="1">
        <f t="array" ref="H911">_xlfn.IFS(I911&lt;197,I911*1.26,I911&gt;197,I911*1.17) + IF(I911&gt;1000,17,0)</f>
        <v>27.297647999999999</v>
      </c>
      <c r="I911" s="10">
        <f>($K$2+0.02)*Tabla1[[#This Row],[PRECIO $]]*1.18</f>
        <v>21.6648</v>
      </c>
      <c r="J911" s="7">
        <f>+Tabla1[[#This Row],[PRECIO EN SOLES]]-Tabla1[[#This Row],[PC]]</f>
        <v>5.6328479999999992</v>
      </c>
    </row>
    <row r="912" spans="1:10" x14ac:dyDescent="0.25">
      <c r="A912" s="3" t="s">
        <v>375</v>
      </c>
      <c r="B912" s="3" t="s">
        <v>376</v>
      </c>
      <c r="C912" s="1">
        <v>20</v>
      </c>
      <c r="D912" s="1">
        <v>5.4</v>
      </c>
      <c r="E912" s="1" t="s">
        <v>52</v>
      </c>
      <c r="F912" s="1" t="s">
        <v>4744</v>
      </c>
      <c r="G912" s="3" t="s">
        <v>818</v>
      </c>
      <c r="H912" s="12" cm="1">
        <f t="array" ref="H912">_xlfn.IFS(I912&lt;197,I912*1.26,I912&gt;197,I912*1.17) + IF(I912&gt;1000,17,0)</f>
        <v>27.297647999999999</v>
      </c>
      <c r="I912" s="10">
        <f>($K$2+0.02)*Tabla1[[#This Row],[PRECIO $]]*1.18</f>
        <v>21.6648</v>
      </c>
      <c r="J912" s="7">
        <f>+Tabla1[[#This Row],[PRECIO EN SOLES]]-Tabla1[[#This Row],[PC]]</f>
        <v>5.6328479999999992</v>
      </c>
    </row>
    <row r="913" spans="1:10" x14ac:dyDescent="0.25">
      <c r="A913" s="3" t="s">
        <v>377</v>
      </c>
      <c r="B913" s="3" t="s">
        <v>378</v>
      </c>
      <c r="C913" s="1">
        <v>20</v>
      </c>
      <c r="D913" s="1">
        <v>5.4</v>
      </c>
      <c r="E913" s="1" t="s">
        <v>52</v>
      </c>
      <c r="F913" s="1" t="s">
        <v>4745</v>
      </c>
      <c r="G913" s="3" t="s">
        <v>819</v>
      </c>
      <c r="H913" s="12" cm="1">
        <f t="array" ref="H913">_xlfn.IFS(I913&lt;197,I913*1.26,I913&gt;197,I913*1.17) + IF(I913&gt;1000,17,0)</f>
        <v>27.297647999999999</v>
      </c>
      <c r="I913" s="10">
        <f>($K$2+0.02)*Tabla1[[#This Row],[PRECIO $]]*1.18</f>
        <v>21.6648</v>
      </c>
      <c r="J913" s="7">
        <f>+Tabla1[[#This Row],[PRECIO EN SOLES]]-Tabla1[[#This Row],[PC]]</f>
        <v>5.6328479999999992</v>
      </c>
    </row>
    <row r="914" spans="1:10" x14ac:dyDescent="0.25">
      <c r="A914" s="3" t="s">
        <v>379</v>
      </c>
      <c r="B914" s="3" t="s">
        <v>380</v>
      </c>
      <c r="C914" s="1">
        <v>20</v>
      </c>
      <c r="D914" s="1">
        <v>3.6</v>
      </c>
      <c r="E914" s="1" t="s">
        <v>52</v>
      </c>
      <c r="F914" s="1" t="s">
        <v>4746</v>
      </c>
      <c r="G914" s="3" t="s">
        <v>381</v>
      </c>
      <c r="H914" s="12" cm="1">
        <f t="array" ref="H914">_xlfn.IFS(I914&lt;197,I914*1.26,I914&gt;197,I914*1.17) + IF(I914&gt;1000,17,0)</f>
        <v>18.198432</v>
      </c>
      <c r="I914" s="10">
        <f>($K$2+0.02)*Tabla1[[#This Row],[PRECIO $]]*1.18</f>
        <v>14.443199999999999</v>
      </c>
      <c r="J914" s="7">
        <f>+Tabla1[[#This Row],[PRECIO EN SOLES]]-Tabla1[[#This Row],[PC]]</f>
        <v>3.7552320000000012</v>
      </c>
    </row>
    <row r="915" spans="1:10" x14ac:dyDescent="0.25">
      <c r="A915" s="3" t="s">
        <v>6320</v>
      </c>
      <c r="B915" s="3" t="s">
        <v>2192</v>
      </c>
      <c r="C915" s="1">
        <v>20</v>
      </c>
      <c r="D915" s="1">
        <v>2.2999999999999998</v>
      </c>
      <c r="E915" s="1" t="s">
        <v>52</v>
      </c>
      <c r="F915" s="1" t="s">
        <v>6321</v>
      </c>
      <c r="G915" s="3" t="s">
        <v>6322</v>
      </c>
      <c r="H915" s="12" cm="1">
        <f t="array" ref="H915">_xlfn.IFS(I915&lt;197,I915*1.26,I915&gt;197,I915*1.17) + IF(I915&gt;1000,17,0)</f>
        <v>11.626776</v>
      </c>
      <c r="I915" s="10">
        <f>($K$2+0.02)*Tabla1[[#This Row],[PRECIO $]]*1.18</f>
        <v>9.2275999999999989</v>
      </c>
      <c r="J915" s="7">
        <f>+Tabla1[[#This Row],[PRECIO EN SOLES]]-Tabla1[[#This Row],[PC]]</f>
        <v>2.3991760000000006</v>
      </c>
    </row>
    <row r="916" spans="1:10" x14ac:dyDescent="0.25">
      <c r="A916" s="3" t="s">
        <v>2193</v>
      </c>
      <c r="B916" s="3" t="s">
        <v>2194</v>
      </c>
      <c r="C916" s="1">
        <v>20</v>
      </c>
      <c r="D916" s="1">
        <v>4</v>
      </c>
      <c r="E916" s="1" t="s">
        <v>52</v>
      </c>
      <c r="F916" s="1" t="s">
        <v>4747</v>
      </c>
      <c r="G916" s="3" t="s">
        <v>2195</v>
      </c>
      <c r="H916" s="12" cm="1">
        <f t="array" ref="H916">_xlfn.IFS(I916&lt;197,I916*1.26,I916&gt;197,I916*1.17) + IF(I916&gt;1000,17,0)</f>
        <v>20.220479999999998</v>
      </c>
      <c r="I916" s="10">
        <f>($K$2+0.02)*Tabla1[[#This Row],[PRECIO $]]*1.18</f>
        <v>16.047999999999998</v>
      </c>
      <c r="J916" s="7">
        <f>+Tabla1[[#This Row],[PRECIO EN SOLES]]-Tabla1[[#This Row],[PC]]</f>
        <v>4.1724800000000002</v>
      </c>
    </row>
    <row r="917" spans="1:10" x14ac:dyDescent="0.25">
      <c r="A917" s="3" t="s">
        <v>2196</v>
      </c>
      <c r="B917" s="3" t="s">
        <v>2197</v>
      </c>
      <c r="C917" s="1">
        <v>20</v>
      </c>
      <c r="D917" s="1">
        <v>4</v>
      </c>
      <c r="E917" s="1" t="s">
        <v>52</v>
      </c>
      <c r="F917" s="1" t="s">
        <v>4748</v>
      </c>
      <c r="G917" s="3" t="s">
        <v>2198</v>
      </c>
      <c r="H917" s="12" cm="1">
        <f t="array" ref="H917">_xlfn.IFS(I917&lt;197,I917*1.26,I917&gt;197,I917*1.17) + IF(I917&gt;1000,17,0)</f>
        <v>20.220479999999998</v>
      </c>
      <c r="I917" s="10">
        <f>($K$2+0.02)*Tabla1[[#This Row],[PRECIO $]]*1.18</f>
        <v>16.047999999999998</v>
      </c>
      <c r="J917" s="7">
        <f>+Tabla1[[#This Row],[PRECIO EN SOLES]]-Tabla1[[#This Row],[PC]]</f>
        <v>4.1724800000000002</v>
      </c>
    </row>
    <row r="918" spans="1:10" x14ac:dyDescent="0.25">
      <c r="A918" s="3" t="s">
        <v>2199</v>
      </c>
      <c r="B918" s="3" t="s">
        <v>2200</v>
      </c>
      <c r="C918" s="1">
        <v>0</v>
      </c>
      <c r="D918" s="1">
        <v>999</v>
      </c>
      <c r="E918" s="1" t="s">
        <v>169</v>
      </c>
      <c r="F918" s="1" t="s">
        <v>4749</v>
      </c>
      <c r="G918" s="3"/>
      <c r="H918" s="12" cm="1">
        <f t="array" ref="H918">_xlfn.IFS(I918&lt;197,I918*1.26,I918&gt;197,I918*1.17) + IF(I918&gt;1000,17,0)</f>
        <v>4706.3459599999996</v>
      </c>
      <c r="I918" s="10">
        <f>($K$2+0.02)*Tabla1[[#This Row],[PRECIO $]]*1.18</f>
        <v>4007.9879999999998</v>
      </c>
      <c r="J918" s="7">
        <f>+Tabla1[[#This Row],[PRECIO EN SOLES]]-Tabla1[[#This Row],[PC]]</f>
        <v>698.35795999999982</v>
      </c>
    </row>
    <row r="919" spans="1:10" x14ac:dyDescent="0.25">
      <c r="A919" s="3" t="s">
        <v>2201</v>
      </c>
      <c r="B919" s="3" t="s">
        <v>2192</v>
      </c>
      <c r="C919" s="1">
        <v>1</v>
      </c>
      <c r="D919" s="1">
        <v>50</v>
      </c>
      <c r="E919" s="1" t="s">
        <v>163</v>
      </c>
      <c r="F919" s="1" t="s">
        <v>4750</v>
      </c>
      <c r="G919" s="3"/>
      <c r="H919" s="12" cm="1">
        <f t="array" ref="H919">_xlfn.IFS(I919&lt;197,I919*1.26,I919&gt;197,I919*1.17) + IF(I919&gt;1000,17,0)</f>
        <v>234.70199999999997</v>
      </c>
      <c r="I919" s="10">
        <f>($K$2+0.02)*Tabla1[[#This Row],[PRECIO $]]*1.18</f>
        <v>200.6</v>
      </c>
      <c r="J919" s="7">
        <f>+Tabla1[[#This Row],[PRECIO EN SOLES]]-Tabla1[[#This Row],[PC]]</f>
        <v>34.101999999999975</v>
      </c>
    </row>
    <row r="920" spans="1:10" x14ac:dyDescent="0.25">
      <c r="A920" s="3" t="s">
        <v>2202</v>
      </c>
      <c r="B920" s="3" t="s">
        <v>374</v>
      </c>
      <c r="C920" s="1">
        <v>0</v>
      </c>
      <c r="D920" s="1">
        <v>999</v>
      </c>
      <c r="E920" s="1" t="s">
        <v>214</v>
      </c>
      <c r="F920" s="1" t="s">
        <v>4751</v>
      </c>
      <c r="G920" s="3"/>
      <c r="H920" s="12" cm="1">
        <f t="array" ref="H920">_xlfn.IFS(I920&lt;197,I920*1.26,I920&gt;197,I920*1.17) + IF(I920&gt;1000,17,0)</f>
        <v>4706.3459599999996</v>
      </c>
      <c r="I920" s="10">
        <f>($K$2+0.02)*Tabla1[[#This Row],[PRECIO $]]*1.18</f>
        <v>4007.9879999999998</v>
      </c>
      <c r="J920" s="7">
        <f>+Tabla1[[#This Row],[PRECIO EN SOLES]]-Tabla1[[#This Row],[PC]]</f>
        <v>698.35795999999982</v>
      </c>
    </row>
    <row r="921" spans="1:10" x14ac:dyDescent="0.25">
      <c r="A921" s="3" t="s">
        <v>382</v>
      </c>
      <c r="B921" s="3" t="s">
        <v>383</v>
      </c>
      <c r="C921" s="1">
        <v>20</v>
      </c>
      <c r="D921" s="1">
        <v>5.0999999999999996</v>
      </c>
      <c r="E921" s="1" t="s">
        <v>52</v>
      </c>
      <c r="F921" s="1" t="s">
        <v>4752</v>
      </c>
      <c r="G921" s="3" t="s">
        <v>384</v>
      </c>
      <c r="H921" s="12" cm="1">
        <f t="array" ref="H921">_xlfn.IFS(I921&lt;197,I921*1.26,I921&gt;197,I921*1.17) + IF(I921&gt;1000,17,0)</f>
        <v>25.781111999999997</v>
      </c>
      <c r="I921" s="10">
        <f>($K$2+0.02)*Tabla1[[#This Row],[PRECIO $]]*1.18</f>
        <v>20.461199999999998</v>
      </c>
      <c r="J921" s="7">
        <f>+Tabla1[[#This Row],[PRECIO EN SOLES]]-Tabla1[[#This Row],[PC]]</f>
        <v>5.3199119999999986</v>
      </c>
    </row>
    <row r="922" spans="1:10" x14ac:dyDescent="0.25">
      <c r="A922" s="3" t="s">
        <v>385</v>
      </c>
      <c r="B922" s="3" t="s">
        <v>386</v>
      </c>
      <c r="C922" s="1">
        <v>20</v>
      </c>
      <c r="D922" s="1">
        <v>2.85</v>
      </c>
      <c r="E922" s="1" t="s">
        <v>52</v>
      </c>
      <c r="F922" s="1" t="s">
        <v>4753</v>
      </c>
      <c r="G922" s="3" t="s">
        <v>387</v>
      </c>
      <c r="H922" s="12" cm="1">
        <f t="array" ref="H922">_xlfn.IFS(I922&lt;197,I922*1.26,I922&gt;197,I922*1.17) + IF(I922&gt;1000,17,0)</f>
        <v>14.407091999999999</v>
      </c>
      <c r="I922" s="10">
        <f>($K$2+0.02)*Tabla1[[#This Row],[PRECIO $]]*1.18</f>
        <v>11.434199999999999</v>
      </c>
      <c r="J922" s="7">
        <f>+Tabla1[[#This Row],[PRECIO EN SOLES]]-Tabla1[[#This Row],[PC]]</f>
        <v>2.9728919999999999</v>
      </c>
    </row>
    <row r="923" spans="1:10" x14ac:dyDescent="0.25">
      <c r="A923" s="3" t="s">
        <v>388</v>
      </c>
      <c r="B923" s="3" t="s">
        <v>389</v>
      </c>
      <c r="C923" s="1">
        <v>20</v>
      </c>
      <c r="D923" s="1">
        <v>2.15</v>
      </c>
      <c r="E923" s="1" t="s">
        <v>52</v>
      </c>
      <c r="F923" s="1" t="s">
        <v>4754</v>
      </c>
      <c r="G923" s="3" t="s">
        <v>390</v>
      </c>
      <c r="H923" s="12" cm="1">
        <f t="array" ref="H923">_xlfn.IFS(I923&lt;197,I923*1.26,I923&gt;197,I923*1.17) + IF(I923&gt;1000,17,0)</f>
        <v>10.868508</v>
      </c>
      <c r="I923" s="10">
        <f>($K$2+0.02)*Tabla1[[#This Row],[PRECIO $]]*1.18</f>
        <v>8.6257999999999999</v>
      </c>
      <c r="J923" s="7">
        <f>+Tabla1[[#This Row],[PRECIO EN SOLES]]-Tabla1[[#This Row],[PC]]</f>
        <v>2.2427080000000004</v>
      </c>
    </row>
    <row r="924" spans="1:10" x14ac:dyDescent="0.25">
      <c r="A924" s="3" t="s">
        <v>5667</v>
      </c>
      <c r="B924" s="3" t="s">
        <v>5668</v>
      </c>
      <c r="C924" s="1">
        <v>20</v>
      </c>
      <c r="D924" s="1">
        <v>2.15</v>
      </c>
      <c r="E924" s="1" t="s">
        <v>52</v>
      </c>
      <c r="F924" s="1" t="s">
        <v>5669</v>
      </c>
      <c r="G924" s="3" t="s">
        <v>5670</v>
      </c>
      <c r="H924" s="12" cm="1">
        <f t="array" ref="H924">_xlfn.IFS(I924&lt;197,I924*1.26,I924&gt;197,I924*1.17) + IF(I924&gt;1000,17,0)</f>
        <v>10.868508</v>
      </c>
      <c r="I924" s="10">
        <f>($K$2+0.02)*Tabla1[[#This Row],[PRECIO $]]*1.18</f>
        <v>8.6257999999999999</v>
      </c>
      <c r="J924" s="7">
        <f>+Tabla1[[#This Row],[PRECIO EN SOLES]]-Tabla1[[#This Row],[PC]]</f>
        <v>2.2427080000000004</v>
      </c>
    </row>
    <row r="925" spans="1:10" x14ac:dyDescent="0.25">
      <c r="A925" s="3" t="s">
        <v>391</v>
      </c>
      <c r="B925" s="3" t="s">
        <v>392</v>
      </c>
      <c r="C925" s="1">
        <v>20</v>
      </c>
      <c r="D925" s="1">
        <v>2.15</v>
      </c>
      <c r="E925" s="1" t="s">
        <v>52</v>
      </c>
      <c r="F925" s="1" t="s">
        <v>4755</v>
      </c>
      <c r="G925" s="3" t="s">
        <v>393</v>
      </c>
      <c r="H925" s="12" cm="1">
        <f t="array" ref="H925">_xlfn.IFS(I925&lt;197,I925*1.26,I925&gt;197,I925*1.17) + IF(I925&gt;1000,17,0)</f>
        <v>10.868508</v>
      </c>
      <c r="I925" s="10">
        <f>($K$2+0.02)*Tabla1[[#This Row],[PRECIO $]]*1.18</f>
        <v>8.6257999999999999</v>
      </c>
      <c r="J925" s="7">
        <f>+Tabla1[[#This Row],[PRECIO EN SOLES]]-Tabla1[[#This Row],[PC]]</f>
        <v>2.2427080000000004</v>
      </c>
    </row>
    <row r="926" spans="1:10" x14ac:dyDescent="0.25">
      <c r="A926" s="3" t="s">
        <v>2204</v>
      </c>
      <c r="B926" s="3" t="s">
        <v>2203</v>
      </c>
      <c r="C926" s="1">
        <v>0</v>
      </c>
      <c r="D926" s="1">
        <v>9999999.9900000002</v>
      </c>
      <c r="E926" s="1" t="s">
        <v>214</v>
      </c>
      <c r="F926" s="1" t="s">
        <v>4756</v>
      </c>
      <c r="G926" s="3"/>
      <c r="H926" s="12" cm="1">
        <f t="array" ref="H926">_xlfn.IFS(I926&lt;197,I926*1.26,I926&gt;197,I926*1.17) + IF(I926&gt;1000,17,0)</f>
        <v>46940416.953059591</v>
      </c>
      <c r="I926" s="10">
        <f>($K$2+0.02)*Tabla1[[#This Row],[PRECIO $]]*1.18</f>
        <v>40119999.959879994</v>
      </c>
      <c r="J926" s="7">
        <f>+Tabla1[[#This Row],[PRECIO EN SOLES]]-Tabla1[[#This Row],[PC]]</f>
        <v>6820416.993179597</v>
      </c>
    </row>
    <row r="927" spans="1:10" x14ac:dyDescent="0.25">
      <c r="A927" s="3" t="s">
        <v>394</v>
      </c>
      <c r="B927" s="3" t="s">
        <v>395</v>
      </c>
      <c r="C927" s="1">
        <v>20</v>
      </c>
      <c r="D927" s="1">
        <v>5.4</v>
      </c>
      <c r="E927" s="1" t="s">
        <v>52</v>
      </c>
      <c r="F927" s="1" t="s">
        <v>4757</v>
      </c>
      <c r="G927" s="3" t="s">
        <v>396</v>
      </c>
      <c r="H927" s="12" cm="1">
        <f t="array" ref="H927">_xlfn.IFS(I927&lt;197,I927*1.26,I927&gt;197,I927*1.17) + IF(I927&gt;1000,17,0)</f>
        <v>27.297647999999999</v>
      </c>
      <c r="I927" s="10">
        <f>($K$2+0.02)*Tabla1[[#This Row],[PRECIO $]]*1.18</f>
        <v>21.6648</v>
      </c>
      <c r="J927" s="7">
        <f>+Tabla1[[#This Row],[PRECIO EN SOLES]]-Tabla1[[#This Row],[PC]]</f>
        <v>5.6328479999999992</v>
      </c>
    </row>
    <row r="928" spans="1:10" x14ac:dyDescent="0.25">
      <c r="A928" s="3" t="s">
        <v>397</v>
      </c>
      <c r="B928" s="3" t="s">
        <v>398</v>
      </c>
      <c r="C928" s="1">
        <v>20</v>
      </c>
      <c r="D928" s="1">
        <v>5.4</v>
      </c>
      <c r="E928" s="1" t="s">
        <v>52</v>
      </c>
      <c r="F928" s="1" t="s">
        <v>4758</v>
      </c>
      <c r="G928" s="3" t="s">
        <v>820</v>
      </c>
      <c r="H928" s="12" cm="1">
        <f t="array" ref="H928">_xlfn.IFS(I928&lt;197,I928*1.26,I928&gt;197,I928*1.17) + IF(I928&gt;1000,17,0)</f>
        <v>27.297647999999999</v>
      </c>
      <c r="I928" s="10">
        <f>($K$2+0.02)*Tabla1[[#This Row],[PRECIO $]]*1.18</f>
        <v>21.6648</v>
      </c>
      <c r="J928" s="7">
        <f>+Tabla1[[#This Row],[PRECIO EN SOLES]]-Tabla1[[#This Row],[PC]]</f>
        <v>5.6328479999999992</v>
      </c>
    </row>
    <row r="929" spans="1:10" x14ac:dyDescent="0.25">
      <c r="A929" s="3" t="s">
        <v>2205</v>
      </c>
      <c r="B929" s="3" t="s">
        <v>2206</v>
      </c>
      <c r="C929" s="1">
        <v>20</v>
      </c>
      <c r="D929" s="1">
        <v>15.9</v>
      </c>
      <c r="E929" s="1" t="s">
        <v>74</v>
      </c>
      <c r="F929" s="1" t="s">
        <v>4759</v>
      </c>
      <c r="G929" s="3" t="s">
        <v>2207</v>
      </c>
      <c r="H929" s="12" cm="1">
        <f t="array" ref="H929">_xlfn.IFS(I929&lt;197,I929*1.26,I929&gt;197,I929*1.17) + IF(I929&gt;1000,17,0)</f>
        <v>80.376407999999998</v>
      </c>
      <c r="I929" s="10">
        <f>($K$2+0.02)*Tabla1[[#This Row],[PRECIO $]]*1.18</f>
        <v>63.790799999999997</v>
      </c>
      <c r="J929" s="7">
        <f>+Tabla1[[#This Row],[PRECIO EN SOLES]]-Tabla1[[#This Row],[PC]]</f>
        <v>16.585608000000001</v>
      </c>
    </row>
    <row r="930" spans="1:10" x14ac:dyDescent="0.25">
      <c r="A930" s="3" t="s">
        <v>2208</v>
      </c>
      <c r="B930" s="3" t="s">
        <v>2209</v>
      </c>
      <c r="C930" s="1">
        <v>20</v>
      </c>
      <c r="D930" s="1">
        <v>12.1</v>
      </c>
      <c r="E930" s="1" t="s">
        <v>1002</v>
      </c>
      <c r="F930" s="1" t="s">
        <v>4760</v>
      </c>
      <c r="G930" s="3" t="s">
        <v>2210</v>
      </c>
      <c r="H930" s="12" cm="1">
        <f t="array" ref="H930">_xlfn.IFS(I930&lt;197,I930*1.26,I930&gt;197,I930*1.17) + IF(I930&gt;1000,17,0)</f>
        <v>61.166952000000002</v>
      </c>
      <c r="I930" s="10">
        <f>($K$2+0.02)*Tabla1[[#This Row],[PRECIO $]]*1.18</f>
        <v>48.545200000000001</v>
      </c>
      <c r="J930" s="7">
        <f>+Tabla1[[#This Row],[PRECIO EN SOLES]]-Tabla1[[#This Row],[PC]]</f>
        <v>12.621752000000001</v>
      </c>
    </row>
    <row r="931" spans="1:10" x14ac:dyDescent="0.25">
      <c r="A931" s="3" t="s">
        <v>399</v>
      </c>
      <c r="B931" s="3" t="s">
        <v>400</v>
      </c>
      <c r="C931" s="1">
        <v>20</v>
      </c>
      <c r="D931" s="1">
        <v>2.5</v>
      </c>
      <c r="E931" s="1" t="s">
        <v>52</v>
      </c>
      <c r="F931" s="1" t="s">
        <v>4761</v>
      </c>
      <c r="G931" s="3" t="s">
        <v>401</v>
      </c>
      <c r="H931" s="12" cm="1">
        <f t="array" ref="H931">_xlfn.IFS(I931&lt;197,I931*1.26,I931&gt;197,I931*1.17) + IF(I931&gt;1000,17,0)</f>
        <v>12.637799999999999</v>
      </c>
      <c r="I931" s="10">
        <f>($K$2+0.02)*Tabla1[[#This Row],[PRECIO $]]*1.18</f>
        <v>10.029999999999999</v>
      </c>
      <c r="J931" s="7">
        <f>+Tabla1[[#This Row],[PRECIO EN SOLES]]-Tabla1[[#This Row],[PC]]</f>
        <v>2.6077999999999992</v>
      </c>
    </row>
    <row r="932" spans="1:10" x14ac:dyDescent="0.25">
      <c r="A932" s="3" t="s">
        <v>402</v>
      </c>
      <c r="B932" s="3" t="s">
        <v>403</v>
      </c>
      <c r="C932" s="1">
        <v>20</v>
      </c>
      <c r="D932" s="1">
        <v>2.5</v>
      </c>
      <c r="E932" s="1" t="s">
        <v>52</v>
      </c>
      <c r="F932" s="1" t="s">
        <v>4762</v>
      </c>
      <c r="G932" s="3" t="s">
        <v>821</v>
      </c>
      <c r="H932" s="12" cm="1">
        <f t="array" ref="H932">_xlfn.IFS(I932&lt;197,I932*1.26,I932&gt;197,I932*1.17) + IF(I932&gt;1000,17,0)</f>
        <v>12.637799999999999</v>
      </c>
      <c r="I932" s="10">
        <f>($K$2+0.02)*Tabla1[[#This Row],[PRECIO $]]*1.18</f>
        <v>10.029999999999999</v>
      </c>
      <c r="J932" s="7">
        <f>+Tabla1[[#This Row],[PRECIO EN SOLES]]-Tabla1[[#This Row],[PC]]</f>
        <v>2.6077999999999992</v>
      </c>
    </row>
    <row r="933" spans="1:10" x14ac:dyDescent="0.25">
      <c r="A933" s="3" t="s">
        <v>404</v>
      </c>
      <c r="B933" s="3" t="s">
        <v>405</v>
      </c>
      <c r="C933" s="1">
        <v>20</v>
      </c>
      <c r="D933" s="1">
        <v>2.5</v>
      </c>
      <c r="E933" s="1" t="s">
        <v>52</v>
      </c>
      <c r="F933" s="1" t="s">
        <v>4763</v>
      </c>
      <c r="G933" s="3" t="s">
        <v>406</v>
      </c>
      <c r="H933" s="12" cm="1">
        <f t="array" ref="H933">_xlfn.IFS(I933&lt;197,I933*1.26,I933&gt;197,I933*1.17) + IF(I933&gt;1000,17,0)</f>
        <v>12.637799999999999</v>
      </c>
      <c r="I933" s="10">
        <f>($K$2+0.02)*Tabla1[[#This Row],[PRECIO $]]*1.18</f>
        <v>10.029999999999999</v>
      </c>
      <c r="J933" s="7">
        <f>+Tabla1[[#This Row],[PRECIO EN SOLES]]-Tabla1[[#This Row],[PC]]</f>
        <v>2.6077999999999992</v>
      </c>
    </row>
    <row r="934" spans="1:10" x14ac:dyDescent="0.25">
      <c r="A934" s="3" t="s">
        <v>2211</v>
      </c>
      <c r="B934" s="3" t="s">
        <v>2212</v>
      </c>
      <c r="C934" s="1">
        <v>20</v>
      </c>
      <c r="D934" s="1">
        <v>12.3</v>
      </c>
      <c r="E934" s="1" t="s">
        <v>1002</v>
      </c>
      <c r="F934" s="1" t="s">
        <v>4764</v>
      </c>
      <c r="G934" s="3" t="s">
        <v>2213</v>
      </c>
      <c r="H934" s="12" cm="1">
        <f t="array" ref="H934">_xlfn.IFS(I934&lt;197,I934*1.26,I934&gt;197,I934*1.17) + IF(I934&gt;1000,17,0)</f>
        <v>62.177976000000001</v>
      </c>
      <c r="I934" s="10">
        <f>($K$2+0.02)*Tabla1[[#This Row],[PRECIO $]]*1.18</f>
        <v>49.3476</v>
      </c>
      <c r="J934" s="7">
        <f>+Tabla1[[#This Row],[PRECIO EN SOLES]]-Tabla1[[#This Row],[PC]]</f>
        <v>12.830376000000001</v>
      </c>
    </row>
    <row r="935" spans="1:10" x14ac:dyDescent="0.25">
      <c r="A935" s="3" t="s">
        <v>6029</v>
      </c>
      <c r="B935" s="3" t="s">
        <v>6030</v>
      </c>
      <c r="C935" s="1">
        <v>20</v>
      </c>
      <c r="D935" s="1">
        <v>2.5</v>
      </c>
      <c r="E935" s="1" t="s">
        <v>52</v>
      </c>
      <c r="F935" s="1" t="s">
        <v>6031</v>
      </c>
      <c r="G935" s="3" t="s">
        <v>6032</v>
      </c>
      <c r="H935" s="12" cm="1">
        <f t="array" ref="H935">_xlfn.IFS(I935&lt;197,I935*1.26,I935&gt;197,I935*1.17) + IF(I935&gt;1000,17,0)</f>
        <v>12.637799999999999</v>
      </c>
      <c r="I935" s="10">
        <f>($K$2+0.02)*Tabla1[[#This Row],[PRECIO $]]*1.18</f>
        <v>10.029999999999999</v>
      </c>
      <c r="J935" s="7">
        <f>+Tabla1[[#This Row],[PRECIO EN SOLES]]-Tabla1[[#This Row],[PC]]</f>
        <v>2.6077999999999992</v>
      </c>
    </row>
    <row r="936" spans="1:10" x14ac:dyDescent="0.25">
      <c r="A936" s="3" t="s">
        <v>407</v>
      </c>
      <c r="B936" s="3" t="s">
        <v>408</v>
      </c>
      <c r="C936" s="1">
        <v>20</v>
      </c>
      <c r="D936" s="1">
        <v>1072.6199999999999</v>
      </c>
      <c r="E936" s="1" t="s">
        <v>281</v>
      </c>
      <c r="F936" s="1" t="s">
        <v>4765</v>
      </c>
      <c r="G936" s="3"/>
      <c r="H936" s="12" cm="1">
        <f t="array" ref="H936">_xlfn.IFS(I936&lt;197,I936*1.26,I936&gt;197,I936*1.17) + IF(I936&gt;1000,17,0)</f>
        <v>5051.9211847999986</v>
      </c>
      <c r="I936" s="10">
        <f>($K$2+0.02)*Tabla1[[#This Row],[PRECIO $]]*1.18</f>
        <v>4303.3514399999995</v>
      </c>
      <c r="J936" s="7">
        <f>+Tabla1[[#This Row],[PRECIO EN SOLES]]-Tabla1[[#This Row],[PC]]</f>
        <v>748.56974479999917</v>
      </c>
    </row>
    <row r="937" spans="1:10" x14ac:dyDescent="0.25">
      <c r="A937" s="3" t="s">
        <v>895</v>
      </c>
      <c r="B937" s="3" t="s">
        <v>896</v>
      </c>
      <c r="C937" s="1">
        <v>11</v>
      </c>
      <c r="D937" s="1">
        <v>633.1</v>
      </c>
      <c r="E937" s="1" t="s">
        <v>281</v>
      </c>
      <c r="F937" s="1" t="s">
        <v>4766</v>
      </c>
      <c r="G937" s="3"/>
      <c r="H937" s="12" cm="1">
        <f t="array" ref="H937">_xlfn.IFS(I937&lt;197,I937*1.26,I937&gt;197,I937*1.17) + IF(I937&gt;1000,17,0)</f>
        <v>2988.7967239999994</v>
      </c>
      <c r="I937" s="10">
        <f>($K$2+0.02)*Tabla1[[#This Row],[PRECIO $]]*1.18</f>
        <v>2539.9971999999998</v>
      </c>
      <c r="J937" s="7">
        <f>+Tabla1[[#This Row],[PRECIO EN SOLES]]-Tabla1[[#This Row],[PC]]</f>
        <v>448.79952399999956</v>
      </c>
    </row>
    <row r="938" spans="1:10" x14ac:dyDescent="0.25">
      <c r="A938" s="3" t="s">
        <v>897</v>
      </c>
      <c r="B938" s="3" t="s">
        <v>898</v>
      </c>
      <c r="C938" s="1">
        <v>20</v>
      </c>
      <c r="D938" s="1">
        <v>650</v>
      </c>
      <c r="E938" s="1" t="s">
        <v>281</v>
      </c>
      <c r="F938" s="1" t="s">
        <v>4767</v>
      </c>
      <c r="G938" s="3"/>
      <c r="H938" s="12" cm="1">
        <f t="array" ref="H938">_xlfn.IFS(I938&lt;197,I938*1.26,I938&gt;197,I938*1.17) + IF(I938&gt;1000,17,0)</f>
        <v>3068.1259999999993</v>
      </c>
      <c r="I938" s="10">
        <f>($K$2+0.02)*Tabla1[[#This Row],[PRECIO $]]*1.18</f>
        <v>2607.7999999999997</v>
      </c>
      <c r="J938" s="7">
        <f>+Tabla1[[#This Row],[PRECIO EN SOLES]]-Tabla1[[#This Row],[PC]]</f>
        <v>460.32599999999957</v>
      </c>
    </row>
    <row r="939" spans="1:10" x14ac:dyDescent="0.25">
      <c r="A939" s="3" t="s">
        <v>899</v>
      </c>
      <c r="B939" s="3" t="s">
        <v>900</v>
      </c>
      <c r="C939" s="1">
        <v>20</v>
      </c>
      <c r="D939" s="1">
        <v>316</v>
      </c>
      <c r="E939" s="1" t="s">
        <v>281</v>
      </c>
      <c r="F939" s="1" t="s">
        <v>4768</v>
      </c>
      <c r="G939" s="3"/>
      <c r="H939" s="12" cm="1">
        <f t="array" ref="H939">_xlfn.IFS(I939&lt;197,I939*1.26,I939&gt;197,I939*1.17) + IF(I939&gt;1000,17,0)</f>
        <v>1500.3166399999996</v>
      </c>
      <c r="I939" s="10">
        <f>($K$2+0.02)*Tabla1[[#This Row],[PRECIO $]]*1.18</f>
        <v>1267.7919999999997</v>
      </c>
      <c r="J939" s="7">
        <f>+Tabla1[[#This Row],[PRECIO EN SOLES]]-Tabla1[[#This Row],[PC]]</f>
        <v>232.52463999999986</v>
      </c>
    </row>
    <row r="940" spans="1:10" x14ac:dyDescent="0.25">
      <c r="A940" s="3" t="s">
        <v>409</v>
      </c>
      <c r="B940" s="3" t="s">
        <v>410</v>
      </c>
      <c r="C940" s="1">
        <v>20</v>
      </c>
      <c r="D940" s="1">
        <v>194.66</v>
      </c>
      <c r="E940" s="1" t="s">
        <v>281</v>
      </c>
      <c r="F940" s="1" t="s">
        <v>4769</v>
      </c>
      <c r="G940" s="3"/>
      <c r="H940" s="12" cm="1">
        <f t="array" ref="H940">_xlfn.IFS(I940&lt;197,I940*1.26,I940&gt;197,I940*1.17) + IF(I940&gt;1000,17,0)</f>
        <v>913.74182639999981</v>
      </c>
      <c r="I940" s="10">
        <f>($K$2+0.02)*Tabla1[[#This Row],[PRECIO $]]*1.18</f>
        <v>780.97591999999986</v>
      </c>
      <c r="J940" s="7">
        <f>+Tabla1[[#This Row],[PRECIO EN SOLES]]-Tabla1[[#This Row],[PC]]</f>
        <v>132.76590639999995</v>
      </c>
    </row>
    <row r="941" spans="1:10" x14ac:dyDescent="0.25">
      <c r="A941" s="3" t="s">
        <v>901</v>
      </c>
      <c r="B941" s="3" t="s">
        <v>902</v>
      </c>
      <c r="C941" s="1">
        <v>20</v>
      </c>
      <c r="D941" s="1">
        <v>86.98</v>
      </c>
      <c r="E941" s="1" t="s">
        <v>281</v>
      </c>
      <c r="F941" s="1" t="s">
        <v>4770</v>
      </c>
      <c r="G941" s="3"/>
      <c r="H941" s="12" cm="1">
        <f t="array" ref="H941">_xlfn.IFS(I941&lt;197,I941*1.26,I941&gt;197,I941*1.17) + IF(I941&gt;1000,17,0)</f>
        <v>408.28759920000005</v>
      </c>
      <c r="I941" s="10">
        <f>($K$2+0.02)*Tabla1[[#This Row],[PRECIO $]]*1.18</f>
        <v>348.96376000000004</v>
      </c>
      <c r="J941" s="7">
        <f>+Tabla1[[#This Row],[PRECIO EN SOLES]]-Tabla1[[#This Row],[PC]]</f>
        <v>59.323839200000009</v>
      </c>
    </row>
    <row r="942" spans="1:10" x14ac:dyDescent="0.25">
      <c r="A942" s="3" t="s">
        <v>903</v>
      </c>
      <c r="B942" s="3" t="s">
        <v>904</v>
      </c>
      <c r="C942" s="1">
        <v>20</v>
      </c>
      <c r="D942" s="1">
        <v>70.099999999999994</v>
      </c>
      <c r="E942" s="1" t="s">
        <v>281</v>
      </c>
      <c r="F942" s="1" t="s">
        <v>4771</v>
      </c>
      <c r="G942" s="3" t="s">
        <v>905</v>
      </c>
      <c r="H942" s="12" cm="1">
        <f t="array" ref="H942">_xlfn.IFS(I942&lt;197,I942*1.26,I942&gt;197,I942*1.17) + IF(I942&gt;1000,17,0)</f>
        <v>329.0522039999999</v>
      </c>
      <c r="I942" s="10">
        <f>($K$2+0.02)*Tabla1[[#This Row],[PRECIO $]]*1.18</f>
        <v>281.24119999999994</v>
      </c>
      <c r="J942" s="7">
        <f>+Tabla1[[#This Row],[PRECIO EN SOLES]]-Tabla1[[#This Row],[PC]]</f>
        <v>47.811003999999969</v>
      </c>
    </row>
    <row r="943" spans="1:10" x14ac:dyDescent="0.25">
      <c r="A943" s="3" t="s">
        <v>411</v>
      </c>
      <c r="B943" s="3" t="s">
        <v>412</v>
      </c>
      <c r="C943" s="1">
        <v>20</v>
      </c>
      <c r="D943" s="1">
        <v>56.9</v>
      </c>
      <c r="E943" s="1" t="s">
        <v>281</v>
      </c>
      <c r="F943" s="1" t="s">
        <v>4772</v>
      </c>
      <c r="G943" s="3" t="s">
        <v>413</v>
      </c>
      <c r="H943" s="12" cm="1">
        <f t="array" ref="H943">_xlfn.IFS(I943&lt;197,I943*1.26,I943&gt;197,I943*1.17) + IF(I943&gt;1000,17,0)</f>
        <v>267.09087599999992</v>
      </c>
      <c r="I943" s="10">
        <f>($K$2+0.02)*Tabla1[[#This Row],[PRECIO $]]*1.18</f>
        <v>228.28279999999995</v>
      </c>
      <c r="J943" s="7">
        <f>+Tabla1[[#This Row],[PRECIO EN SOLES]]-Tabla1[[#This Row],[PC]]</f>
        <v>38.808075999999971</v>
      </c>
    </row>
    <row r="944" spans="1:10" x14ac:dyDescent="0.25">
      <c r="A944" s="3" t="s">
        <v>414</v>
      </c>
      <c r="B944" s="3" t="s">
        <v>415</v>
      </c>
      <c r="C944" s="1">
        <v>20</v>
      </c>
      <c r="D944" s="1">
        <v>125.65</v>
      </c>
      <c r="E944" s="1" t="s">
        <v>281</v>
      </c>
      <c r="F944" s="1" t="s">
        <v>4773</v>
      </c>
      <c r="G944" s="3" t="s">
        <v>416</v>
      </c>
      <c r="H944" s="12" cm="1">
        <f t="array" ref="H944">_xlfn.IFS(I944&lt;197,I944*1.26,I944&gt;197,I944*1.17) + IF(I944&gt;1000,17,0)</f>
        <v>589.80612599999995</v>
      </c>
      <c r="I944" s="10">
        <f>($K$2+0.02)*Tabla1[[#This Row],[PRECIO $]]*1.18</f>
        <v>504.1078</v>
      </c>
      <c r="J944" s="7">
        <f>+Tabla1[[#This Row],[PRECIO EN SOLES]]-Tabla1[[#This Row],[PC]]</f>
        <v>85.698325999999952</v>
      </c>
    </row>
    <row r="945" spans="1:10" x14ac:dyDescent="0.25">
      <c r="A945" s="3" t="s">
        <v>906</v>
      </c>
      <c r="B945" s="3" t="s">
        <v>907</v>
      </c>
      <c r="C945" s="1">
        <v>20</v>
      </c>
      <c r="D945" s="1">
        <v>82.93</v>
      </c>
      <c r="E945" s="1" t="s">
        <v>281</v>
      </c>
      <c r="F945" s="1" t="s">
        <v>4774</v>
      </c>
      <c r="G945" s="3" t="s">
        <v>908</v>
      </c>
      <c r="H945" s="12" cm="1">
        <f t="array" ref="H945">_xlfn.IFS(I945&lt;197,I945*1.26,I945&gt;197,I945*1.17) + IF(I945&gt;1000,17,0)</f>
        <v>389.27673719999996</v>
      </c>
      <c r="I945" s="10">
        <f>($K$2+0.02)*Tabla1[[#This Row],[PRECIO $]]*1.18</f>
        <v>332.71515999999997</v>
      </c>
      <c r="J945" s="7">
        <f>+Tabla1[[#This Row],[PRECIO EN SOLES]]-Tabla1[[#This Row],[PC]]</f>
        <v>56.561577199999988</v>
      </c>
    </row>
    <row r="946" spans="1:10" x14ac:dyDescent="0.25">
      <c r="A946" s="3" t="s">
        <v>2214</v>
      </c>
      <c r="B946" s="3" t="s">
        <v>2215</v>
      </c>
      <c r="C946" s="1">
        <v>20</v>
      </c>
      <c r="D946" s="1">
        <v>76.3</v>
      </c>
      <c r="E946" s="1" t="s">
        <v>281</v>
      </c>
      <c r="F946" s="1" t="s">
        <v>4775</v>
      </c>
      <c r="G946" s="3" t="s">
        <v>2216</v>
      </c>
      <c r="H946" s="12" cm="1">
        <f t="array" ref="H946">_xlfn.IFS(I946&lt;197,I946*1.26,I946&gt;197,I946*1.17) + IF(I946&gt;1000,17,0)</f>
        <v>358.1552519999999</v>
      </c>
      <c r="I946" s="10">
        <f>($K$2+0.02)*Tabla1[[#This Row],[PRECIO $]]*1.18</f>
        <v>306.11559999999992</v>
      </c>
      <c r="J946" s="7">
        <f>+Tabla1[[#This Row],[PRECIO EN SOLES]]-Tabla1[[#This Row],[PC]]</f>
        <v>52.03965199999999</v>
      </c>
    </row>
    <row r="947" spans="1:10" x14ac:dyDescent="0.25">
      <c r="A947" s="3" t="s">
        <v>2217</v>
      </c>
      <c r="B947" s="3" t="s">
        <v>2218</v>
      </c>
      <c r="C947" s="1">
        <v>20</v>
      </c>
      <c r="D947" s="1">
        <v>63.1</v>
      </c>
      <c r="E947" s="1" t="s">
        <v>281</v>
      </c>
      <c r="F947" s="1" t="s">
        <v>4776</v>
      </c>
      <c r="G947" s="3" t="s">
        <v>2219</v>
      </c>
      <c r="H947" s="12" cm="1">
        <f t="array" ref="H947">_xlfn.IFS(I947&lt;197,I947*1.26,I947&gt;197,I947*1.17) + IF(I947&gt;1000,17,0)</f>
        <v>296.19392399999998</v>
      </c>
      <c r="I947" s="10">
        <f>($K$2+0.02)*Tabla1[[#This Row],[PRECIO $]]*1.18</f>
        <v>253.15719999999999</v>
      </c>
      <c r="J947" s="7">
        <f>+Tabla1[[#This Row],[PRECIO EN SOLES]]-Tabla1[[#This Row],[PC]]</f>
        <v>43.036723999999992</v>
      </c>
    </row>
    <row r="948" spans="1:10" x14ac:dyDescent="0.25">
      <c r="A948" s="3" t="s">
        <v>909</v>
      </c>
      <c r="B948" s="3" t="s">
        <v>910</v>
      </c>
      <c r="C948" s="1">
        <v>20</v>
      </c>
      <c r="D948" s="1">
        <v>185.44</v>
      </c>
      <c r="E948" s="1" t="s">
        <v>281</v>
      </c>
      <c r="F948" s="1" t="s">
        <v>4777</v>
      </c>
      <c r="G948" s="3" t="s">
        <v>911</v>
      </c>
      <c r="H948" s="12" cm="1">
        <f t="array" ref="H948">_xlfn.IFS(I948&lt;197,I948*1.26,I948&gt;197,I948*1.17) + IF(I948&gt;1000,17,0)</f>
        <v>870.46277759999998</v>
      </c>
      <c r="I948" s="10">
        <f>($K$2+0.02)*Tabla1[[#This Row],[PRECIO $]]*1.18</f>
        <v>743.98527999999999</v>
      </c>
      <c r="J948" s="7">
        <f>+Tabla1[[#This Row],[PRECIO EN SOLES]]-Tabla1[[#This Row],[PC]]</f>
        <v>126.47749759999999</v>
      </c>
    </row>
    <row r="949" spans="1:10" x14ac:dyDescent="0.25">
      <c r="A949" s="3" t="s">
        <v>912</v>
      </c>
      <c r="B949" s="3" t="s">
        <v>913</v>
      </c>
      <c r="C949" s="1">
        <v>20</v>
      </c>
      <c r="D949" s="1">
        <v>121.47</v>
      </c>
      <c r="E949" s="1" t="s">
        <v>281</v>
      </c>
      <c r="F949" s="1" t="s">
        <v>4778</v>
      </c>
      <c r="G949" s="3" t="s">
        <v>914</v>
      </c>
      <c r="H949" s="12" cm="1">
        <f t="array" ref="H949">_xlfn.IFS(I949&lt;197,I949*1.26,I949&gt;197,I949*1.17) + IF(I949&gt;1000,17,0)</f>
        <v>570.18503879999992</v>
      </c>
      <c r="I949" s="10">
        <f>($K$2+0.02)*Tabla1[[#This Row],[PRECIO $]]*1.18</f>
        <v>487.33763999999996</v>
      </c>
      <c r="J949" s="7">
        <f>+Tabla1[[#This Row],[PRECIO EN SOLES]]-Tabla1[[#This Row],[PC]]</f>
        <v>82.847398799999951</v>
      </c>
    </row>
    <row r="950" spans="1:10" x14ac:dyDescent="0.25">
      <c r="A950" s="3" t="s">
        <v>2220</v>
      </c>
      <c r="B950" s="3" t="s">
        <v>2221</v>
      </c>
      <c r="C950" s="1">
        <v>10</v>
      </c>
      <c r="D950" s="1">
        <v>500</v>
      </c>
      <c r="E950" s="1" t="s">
        <v>281</v>
      </c>
      <c r="F950" s="1" t="s">
        <v>4779</v>
      </c>
      <c r="G950" s="3" t="s">
        <v>2222</v>
      </c>
      <c r="H950" s="12" cm="1">
        <f t="array" ref="H950">_xlfn.IFS(I950&lt;197,I950*1.26,I950&gt;197,I950*1.17) + IF(I950&gt;1000,17,0)</f>
        <v>2364.02</v>
      </c>
      <c r="I950" s="10">
        <f>($K$2+0.02)*Tabla1[[#This Row],[PRECIO $]]*1.18</f>
        <v>2006</v>
      </c>
      <c r="J950" s="7">
        <f>+Tabla1[[#This Row],[PRECIO EN SOLES]]-Tabla1[[#This Row],[PC]]</f>
        <v>358.02</v>
      </c>
    </row>
    <row r="951" spans="1:10" x14ac:dyDescent="0.25">
      <c r="A951" s="3" t="s">
        <v>2223</v>
      </c>
      <c r="B951" s="3" t="s">
        <v>2224</v>
      </c>
      <c r="C951" s="1">
        <v>1</v>
      </c>
      <c r="D951" s="1">
        <v>3198</v>
      </c>
      <c r="E951" s="1" t="s">
        <v>281</v>
      </c>
      <c r="F951" s="1" t="s">
        <v>4780</v>
      </c>
      <c r="G951" s="3" t="s">
        <v>2225</v>
      </c>
      <c r="H951" s="12" cm="1">
        <f t="array" ref="H951">_xlfn.IFS(I951&lt;197,I951*1.26,I951&gt;197,I951*1.17) + IF(I951&gt;1000,17,0)</f>
        <v>15028.539919999997</v>
      </c>
      <c r="I951" s="10">
        <f>($K$2+0.02)*Tabla1[[#This Row],[PRECIO $]]*1.18</f>
        <v>12830.375999999998</v>
      </c>
      <c r="J951" s="7">
        <f>+Tabla1[[#This Row],[PRECIO EN SOLES]]-Tabla1[[#This Row],[PC]]</f>
        <v>2198.1639199999991</v>
      </c>
    </row>
    <row r="952" spans="1:10" x14ac:dyDescent="0.25">
      <c r="A952" s="3" t="s">
        <v>2226</v>
      </c>
      <c r="B952" s="3" t="s">
        <v>2227</v>
      </c>
      <c r="C952" s="1">
        <v>1</v>
      </c>
      <c r="D952" s="1">
        <v>1039</v>
      </c>
      <c r="E952" s="1" t="s">
        <v>281</v>
      </c>
      <c r="F952" s="1" t="s">
        <v>4781</v>
      </c>
      <c r="G952" s="3" t="s">
        <v>2228</v>
      </c>
      <c r="H952" s="12" cm="1">
        <f t="array" ref="H952">_xlfn.IFS(I952&lt;197,I952*1.26,I952&gt;197,I952*1.17) + IF(I952&gt;1000,17,0)</f>
        <v>4894.1075599999995</v>
      </c>
      <c r="I952" s="10">
        <f>($K$2+0.02)*Tabla1[[#This Row],[PRECIO $]]*1.18</f>
        <v>4168.4679999999998</v>
      </c>
      <c r="J952" s="7">
        <f>+Tabla1[[#This Row],[PRECIO EN SOLES]]-Tabla1[[#This Row],[PC]]</f>
        <v>725.63955999999962</v>
      </c>
    </row>
    <row r="953" spans="1:10" x14ac:dyDescent="0.25">
      <c r="A953" s="3" t="s">
        <v>2229</v>
      </c>
      <c r="B953" s="3" t="s">
        <v>2230</v>
      </c>
      <c r="C953" s="1">
        <v>20</v>
      </c>
      <c r="D953" s="1">
        <v>1000</v>
      </c>
      <c r="E953" s="1" t="s">
        <v>54</v>
      </c>
      <c r="F953" s="1" t="s">
        <v>4782</v>
      </c>
      <c r="G953" s="3"/>
      <c r="H953" s="12" cm="1">
        <f t="array" ref="H953">_xlfn.IFS(I953&lt;197,I953*1.26,I953&gt;197,I953*1.17) + IF(I953&gt;1000,17,0)</f>
        <v>4711.04</v>
      </c>
      <c r="I953" s="10">
        <f>($K$2+0.02)*Tabla1[[#This Row],[PRECIO $]]*1.18</f>
        <v>4012</v>
      </c>
      <c r="J953" s="7">
        <f>+Tabla1[[#This Row],[PRECIO EN SOLES]]-Tabla1[[#This Row],[PC]]</f>
        <v>699.04</v>
      </c>
    </row>
    <row r="954" spans="1:10" x14ac:dyDescent="0.25">
      <c r="A954" s="3" t="s">
        <v>2231</v>
      </c>
      <c r="B954" s="3" t="s">
        <v>2232</v>
      </c>
      <c r="C954" s="1">
        <v>20</v>
      </c>
      <c r="D954" s="1">
        <v>33.4</v>
      </c>
      <c r="E954" s="1" t="s">
        <v>281</v>
      </c>
      <c r="F954" s="1" t="s">
        <v>4783</v>
      </c>
      <c r="G954" s="3" t="s">
        <v>2233</v>
      </c>
      <c r="H954" s="12" cm="1">
        <f t="array" ref="H954">_xlfn.IFS(I954&lt;197,I954*1.26,I954&gt;197,I954*1.17) + IF(I954&gt;1000,17,0)</f>
        <v>168.84100799999996</v>
      </c>
      <c r="I954" s="10">
        <f>($K$2+0.02)*Tabla1[[#This Row],[PRECIO $]]*1.18</f>
        <v>134.00079999999997</v>
      </c>
      <c r="J954" s="7">
        <f>+Tabla1[[#This Row],[PRECIO EN SOLES]]-Tabla1[[#This Row],[PC]]</f>
        <v>34.84020799999999</v>
      </c>
    </row>
    <row r="955" spans="1:10" x14ac:dyDescent="0.25">
      <c r="A955" s="3" t="s">
        <v>2234</v>
      </c>
      <c r="B955" s="3" t="s">
        <v>2235</v>
      </c>
      <c r="C955" s="1">
        <v>0</v>
      </c>
      <c r="D955" s="1">
        <v>9999999.9900000002</v>
      </c>
      <c r="E955" s="1" t="s">
        <v>2236</v>
      </c>
      <c r="F955" s="1" t="s">
        <v>4784</v>
      </c>
      <c r="G955" s="3" t="s">
        <v>2237</v>
      </c>
      <c r="H955" s="12" cm="1">
        <f t="array" ref="H955">_xlfn.IFS(I955&lt;197,I955*1.26,I955&gt;197,I955*1.17) + IF(I955&gt;1000,17,0)</f>
        <v>46940416.953059591</v>
      </c>
      <c r="I955" s="10">
        <f>($K$2+0.02)*Tabla1[[#This Row],[PRECIO $]]*1.18</f>
        <v>40119999.959879994</v>
      </c>
      <c r="J955" s="7">
        <f>+Tabla1[[#This Row],[PRECIO EN SOLES]]-Tabla1[[#This Row],[PC]]</f>
        <v>6820416.993179597</v>
      </c>
    </row>
    <row r="956" spans="1:10" x14ac:dyDescent="0.25">
      <c r="A956" s="3" t="s">
        <v>2238</v>
      </c>
      <c r="B956" s="3" t="s">
        <v>2239</v>
      </c>
      <c r="C956" s="1">
        <v>0</v>
      </c>
      <c r="D956" s="1">
        <v>999</v>
      </c>
      <c r="E956" s="1" t="s">
        <v>281</v>
      </c>
      <c r="F956" s="1" t="s">
        <v>4785</v>
      </c>
      <c r="G956" s="3" t="s">
        <v>2240</v>
      </c>
      <c r="H956" s="12" cm="1">
        <f t="array" ref="H956">_xlfn.IFS(I956&lt;197,I956*1.26,I956&gt;197,I956*1.17) + IF(I956&gt;1000,17,0)</f>
        <v>4706.3459599999996</v>
      </c>
      <c r="I956" s="10">
        <f>($K$2+0.02)*Tabla1[[#This Row],[PRECIO $]]*1.18</f>
        <v>4007.9879999999998</v>
      </c>
      <c r="J956" s="7">
        <f>+Tabla1[[#This Row],[PRECIO EN SOLES]]-Tabla1[[#This Row],[PC]]</f>
        <v>698.35795999999982</v>
      </c>
    </row>
    <row r="957" spans="1:10" x14ac:dyDescent="0.25">
      <c r="A957" s="3" t="s">
        <v>2241</v>
      </c>
      <c r="B957" s="3" t="s">
        <v>2242</v>
      </c>
      <c r="C957" s="1">
        <v>20</v>
      </c>
      <c r="D957" s="1">
        <v>148.19999999999999</v>
      </c>
      <c r="E957" s="1" t="s">
        <v>54</v>
      </c>
      <c r="F957" s="1" t="s">
        <v>4786</v>
      </c>
      <c r="G957" s="3" t="s">
        <v>2243</v>
      </c>
      <c r="H957" s="12" cm="1">
        <f t="array" ref="H957">_xlfn.IFS(I957&lt;197,I957*1.26,I957&gt;197,I957*1.17) + IF(I957&gt;1000,17,0)</f>
        <v>695.65672799999982</v>
      </c>
      <c r="I957" s="10">
        <f>($K$2+0.02)*Tabla1[[#This Row],[PRECIO $]]*1.18</f>
        <v>594.57839999999987</v>
      </c>
      <c r="J957" s="7">
        <f>+Tabla1[[#This Row],[PRECIO EN SOLES]]-Tabla1[[#This Row],[PC]]</f>
        <v>101.07832799999994</v>
      </c>
    </row>
    <row r="958" spans="1:10" x14ac:dyDescent="0.25">
      <c r="A958" s="3" t="s">
        <v>417</v>
      </c>
      <c r="B958" s="3" t="s">
        <v>418</v>
      </c>
      <c r="C958" s="1">
        <v>20</v>
      </c>
      <c r="D958" s="1">
        <v>139.5</v>
      </c>
      <c r="E958" s="1" t="s">
        <v>281</v>
      </c>
      <c r="F958" s="1" t="s">
        <v>4787</v>
      </c>
      <c r="G958" s="3" t="s">
        <v>419</v>
      </c>
      <c r="H958" s="12" cm="1">
        <f t="array" ref="H958">_xlfn.IFS(I958&lt;197,I958*1.26,I958&gt;197,I958*1.17) + IF(I958&gt;1000,17,0)</f>
        <v>654.81857999999988</v>
      </c>
      <c r="I958" s="10">
        <f>($K$2+0.02)*Tabla1[[#This Row],[PRECIO $]]*1.18</f>
        <v>559.67399999999998</v>
      </c>
      <c r="J958" s="7">
        <f>+Tabla1[[#This Row],[PRECIO EN SOLES]]-Tabla1[[#This Row],[PC]]</f>
        <v>95.144579999999905</v>
      </c>
    </row>
    <row r="959" spans="1:10" x14ac:dyDescent="0.25">
      <c r="A959" s="3" t="s">
        <v>2244</v>
      </c>
      <c r="B959" s="3" t="s">
        <v>2245</v>
      </c>
      <c r="C959" s="1">
        <v>8</v>
      </c>
      <c r="D959" s="1">
        <v>115</v>
      </c>
      <c r="E959" s="1" t="s">
        <v>54</v>
      </c>
      <c r="F959" s="1" t="s">
        <v>4788</v>
      </c>
      <c r="G959" s="3" t="s">
        <v>2246</v>
      </c>
      <c r="H959" s="12" cm="1">
        <f t="array" ref="H959">_xlfn.IFS(I959&lt;197,I959*1.26,I959&gt;197,I959*1.17) + IF(I959&gt;1000,17,0)</f>
        <v>539.81459999999993</v>
      </c>
      <c r="I959" s="10">
        <f>($K$2+0.02)*Tabla1[[#This Row],[PRECIO $]]*1.18</f>
        <v>461.38</v>
      </c>
      <c r="J959" s="7">
        <f>+Tabla1[[#This Row],[PRECIO EN SOLES]]-Tabla1[[#This Row],[PC]]</f>
        <v>78.434599999999932</v>
      </c>
    </row>
    <row r="960" spans="1:10" x14ac:dyDescent="0.25">
      <c r="A960" s="3" t="s">
        <v>420</v>
      </c>
      <c r="B960" s="3" t="s">
        <v>421</v>
      </c>
      <c r="C960" s="1">
        <v>20</v>
      </c>
      <c r="D960" s="1">
        <v>38.299999999999997</v>
      </c>
      <c r="E960" s="1" t="s">
        <v>281</v>
      </c>
      <c r="F960" s="1" t="s">
        <v>4789</v>
      </c>
      <c r="G960" s="3" t="s">
        <v>422</v>
      </c>
      <c r="H960" s="12" cm="1">
        <f t="array" ref="H960">_xlfn.IFS(I960&lt;197,I960*1.26,I960&gt;197,I960*1.17) + IF(I960&gt;1000,17,0)</f>
        <v>193.61109599999997</v>
      </c>
      <c r="I960" s="10">
        <f>($K$2+0.02)*Tabla1[[#This Row],[PRECIO $]]*1.18</f>
        <v>153.65959999999998</v>
      </c>
      <c r="J960" s="7">
        <f>+Tabla1[[#This Row],[PRECIO EN SOLES]]-Tabla1[[#This Row],[PC]]</f>
        <v>39.951495999999992</v>
      </c>
    </row>
    <row r="961" spans="1:10" x14ac:dyDescent="0.25">
      <c r="A961" s="3" t="s">
        <v>423</v>
      </c>
      <c r="B961" s="3" t="s">
        <v>424</v>
      </c>
      <c r="C961" s="1">
        <v>20</v>
      </c>
      <c r="D961" s="1">
        <v>47.18</v>
      </c>
      <c r="E961" s="1" t="s">
        <v>281</v>
      </c>
      <c r="F961" s="1" t="s">
        <v>4790</v>
      </c>
      <c r="G961" s="3" t="s">
        <v>425</v>
      </c>
      <c r="H961" s="12" cm="1">
        <f t="array" ref="H961">_xlfn.IFS(I961&lt;197,I961*1.26,I961&gt;197,I961*1.17) + IF(I961&gt;1000,17,0)</f>
        <v>238.5005616</v>
      </c>
      <c r="I961" s="10">
        <f>($K$2+0.02)*Tabla1[[#This Row],[PRECIO $]]*1.18</f>
        <v>189.28616</v>
      </c>
      <c r="J961" s="7">
        <f>+Tabla1[[#This Row],[PRECIO EN SOLES]]-Tabla1[[#This Row],[PC]]</f>
        <v>49.214401600000002</v>
      </c>
    </row>
    <row r="962" spans="1:10" x14ac:dyDescent="0.25">
      <c r="A962" s="3" t="s">
        <v>2247</v>
      </c>
      <c r="B962" s="3" t="s">
        <v>3512</v>
      </c>
      <c r="C962" s="1">
        <v>1</v>
      </c>
      <c r="D962" s="1">
        <v>1250</v>
      </c>
      <c r="E962" s="1" t="s">
        <v>281</v>
      </c>
      <c r="F962" s="1" t="s">
        <v>4791</v>
      </c>
      <c r="G962" s="3" t="s">
        <v>3710</v>
      </c>
      <c r="H962" s="12" cm="1">
        <f t="array" ref="H962">_xlfn.IFS(I962&lt;197,I962*1.26,I962&gt;197,I962*1.17) + IF(I962&gt;1000,17,0)</f>
        <v>5884.5499999999993</v>
      </c>
      <c r="I962" s="10">
        <f>($K$2+0.02)*Tabla1[[#This Row],[PRECIO $]]*1.18</f>
        <v>5015</v>
      </c>
      <c r="J962" s="7">
        <f>+Tabla1[[#This Row],[PRECIO EN SOLES]]-Tabla1[[#This Row],[PC]]</f>
        <v>869.54999999999927</v>
      </c>
    </row>
    <row r="963" spans="1:10" x14ac:dyDescent="0.25">
      <c r="A963" s="3" t="s">
        <v>2248</v>
      </c>
      <c r="B963" s="3" t="s">
        <v>2249</v>
      </c>
      <c r="C963" s="1">
        <v>13</v>
      </c>
      <c r="D963" s="1">
        <v>119.2</v>
      </c>
      <c r="E963" s="1" t="s">
        <v>281</v>
      </c>
      <c r="F963" s="1" t="s">
        <v>4792</v>
      </c>
      <c r="G963" s="3" t="s">
        <v>2250</v>
      </c>
      <c r="H963" s="12" cm="1">
        <f t="array" ref="H963">_xlfn.IFS(I963&lt;197,I963*1.26,I963&gt;197,I963*1.17) + IF(I963&gt;1000,17,0)</f>
        <v>559.52956799999993</v>
      </c>
      <c r="I963" s="10">
        <f>($K$2+0.02)*Tabla1[[#This Row],[PRECIO $]]*1.18</f>
        <v>478.23039999999992</v>
      </c>
      <c r="J963" s="7">
        <f>+Tabla1[[#This Row],[PRECIO EN SOLES]]-Tabla1[[#This Row],[PC]]</f>
        <v>81.299168000000009</v>
      </c>
    </row>
    <row r="964" spans="1:10" x14ac:dyDescent="0.25">
      <c r="A964" s="3" t="s">
        <v>2251</v>
      </c>
      <c r="B964" s="3" t="s">
        <v>2252</v>
      </c>
      <c r="C964" s="1">
        <v>1</v>
      </c>
      <c r="D964" s="1">
        <v>10000</v>
      </c>
      <c r="E964" s="1" t="s">
        <v>54</v>
      </c>
      <c r="F964" s="1" t="s">
        <v>4793</v>
      </c>
      <c r="G964" s="3"/>
      <c r="H964" s="12" cm="1">
        <f t="array" ref="H964">_xlfn.IFS(I964&lt;197,I964*1.26,I964&gt;197,I964*1.17) + IF(I964&gt;1000,17,0)</f>
        <v>46957.399999999994</v>
      </c>
      <c r="I964" s="10">
        <f>($K$2+0.02)*Tabla1[[#This Row],[PRECIO $]]*1.18</f>
        <v>40120</v>
      </c>
      <c r="J964" s="7">
        <f>+Tabla1[[#This Row],[PRECIO EN SOLES]]-Tabla1[[#This Row],[PC]]</f>
        <v>6837.3999999999942</v>
      </c>
    </row>
    <row r="965" spans="1:10" x14ac:dyDescent="0.25">
      <c r="A965" s="3" t="s">
        <v>2253</v>
      </c>
      <c r="B965" s="3" t="s">
        <v>2254</v>
      </c>
      <c r="C965" s="1">
        <v>20</v>
      </c>
      <c r="D965" s="1">
        <v>82</v>
      </c>
      <c r="E965" s="1" t="s">
        <v>133</v>
      </c>
      <c r="F965" s="1" t="s">
        <v>4794</v>
      </c>
      <c r="G965" s="3" t="s">
        <v>3711</v>
      </c>
      <c r="H965" s="12" cm="1">
        <f t="array" ref="H965">_xlfn.IFS(I965&lt;197,I965*1.26,I965&gt;197,I965*1.17) + IF(I965&gt;1000,17,0)</f>
        <v>384.91127999999998</v>
      </c>
      <c r="I965" s="10">
        <f>($K$2+0.02)*Tabla1[[#This Row],[PRECIO $]]*1.18</f>
        <v>328.98399999999998</v>
      </c>
      <c r="J965" s="7">
        <f>+Tabla1[[#This Row],[PRECIO EN SOLES]]-Tabla1[[#This Row],[PC]]</f>
        <v>55.927279999999996</v>
      </c>
    </row>
    <row r="966" spans="1:10" x14ac:dyDescent="0.25">
      <c r="A966" s="3" t="s">
        <v>3974</v>
      </c>
      <c r="B966" s="3" t="s">
        <v>3975</v>
      </c>
      <c r="C966" s="1">
        <v>20</v>
      </c>
      <c r="D966" s="1">
        <v>261</v>
      </c>
      <c r="E966" s="1" t="s">
        <v>56</v>
      </c>
      <c r="F966" s="1" t="s">
        <v>4795</v>
      </c>
      <c r="G966" s="3" t="s">
        <v>3976</v>
      </c>
      <c r="H966" s="12" cm="1">
        <f t="array" ref="H966">_xlfn.IFS(I966&lt;197,I966*1.26,I966&gt;197,I966*1.17) + IF(I966&gt;1000,17,0)</f>
        <v>1242.1444399999998</v>
      </c>
      <c r="I966" s="10">
        <f>($K$2+0.02)*Tabla1[[#This Row],[PRECIO $]]*1.18</f>
        <v>1047.1319999999998</v>
      </c>
      <c r="J966" s="7">
        <f>+Tabla1[[#This Row],[PRECIO EN SOLES]]-Tabla1[[#This Row],[PC]]</f>
        <v>195.01243999999997</v>
      </c>
    </row>
    <row r="967" spans="1:10" x14ac:dyDescent="0.25">
      <c r="A967" s="3" t="s">
        <v>822</v>
      </c>
      <c r="B967" s="3" t="s">
        <v>427</v>
      </c>
      <c r="C967" s="1">
        <v>20</v>
      </c>
      <c r="D967" s="1">
        <v>226</v>
      </c>
      <c r="E967" s="1" t="s">
        <v>324</v>
      </c>
      <c r="F967" s="1" t="s">
        <v>4796</v>
      </c>
      <c r="G967" s="3" t="s">
        <v>428</v>
      </c>
      <c r="H967" s="12" cm="1">
        <f t="array" ref="H967">_xlfn.IFS(I967&lt;197,I967*1.26,I967&gt;197,I967*1.17) + IF(I967&gt;1000,17,0)</f>
        <v>1060.8530399999997</v>
      </c>
      <c r="I967" s="10">
        <f>($K$2+0.02)*Tabla1[[#This Row],[PRECIO $]]*1.18</f>
        <v>906.71199999999988</v>
      </c>
      <c r="J967" s="7">
        <f>+Tabla1[[#This Row],[PRECIO EN SOLES]]-Tabla1[[#This Row],[PC]]</f>
        <v>154.14103999999986</v>
      </c>
    </row>
    <row r="968" spans="1:10" x14ac:dyDescent="0.25">
      <c r="A968" s="3" t="s">
        <v>2255</v>
      </c>
      <c r="B968" s="3" t="s">
        <v>2256</v>
      </c>
      <c r="C968" s="1">
        <v>20</v>
      </c>
      <c r="D968" s="1">
        <v>262</v>
      </c>
      <c r="E968" s="1" t="s">
        <v>56</v>
      </c>
      <c r="F968" s="1" t="s">
        <v>4797</v>
      </c>
      <c r="G968" s="3" t="s">
        <v>2257</v>
      </c>
      <c r="H968" s="12" cm="1">
        <f t="array" ref="H968">_xlfn.IFS(I968&lt;197,I968*1.26,I968&gt;197,I968*1.17) + IF(I968&gt;1000,17,0)</f>
        <v>1246.8384799999997</v>
      </c>
      <c r="I968" s="10">
        <f>($K$2+0.02)*Tabla1[[#This Row],[PRECIO $]]*1.18</f>
        <v>1051.1439999999998</v>
      </c>
      <c r="J968" s="7">
        <f>+Tabla1[[#This Row],[PRECIO EN SOLES]]-Tabla1[[#This Row],[PC]]</f>
        <v>195.69447999999988</v>
      </c>
    </row>
    <row r="969" spans="1:10" x14ac:dyDescent="0.25">
      <c r="A969" s="3" t="s">
        <v>429</v>
      </c>
      <c r="B969" s="3" t="s">
        <v>430</v>
      </c>
      <c r="C969" s="1">
        <v>20</v>
      </c>
      <c r="D969" s="1">
        <v>290</v>
      </c>
      <c r="E969" s="1" t="s">
        <v>324</v>
      </c>
      <c r="F969" s="1" t="s">
        <v>4798</v>
      </c>
      <c r="G969" s="3" t="s">
        <v>431</v>
      </c>
      <c r="H969" s="12" cm="1">
        <f t="array" ref="H969">_xlfn.IFS(I969&lt;197,I969*1.26,I969&gt;197,I969*1.17) + IF(I969&gt;1000,17,0)</f>
        <v>1378.2716</v>
      </c>
      <c r="I969" s="10">
        <f>($K$2+0.02)*Tabla1[[#This Row],[PRECIO $]]*1.18</f>
        <v>1163.48</v>
      </c>
      <c r="J969" s="7">
        <f>+Tabla1[[#This Row],[PRECIO EN SOLES]]-Tabla1[[#This Row],[PC]]</f>
        <v>214.79160000000002</v>
      </c>
    </row>
    <row r="970" spans="1:10" x14ac:dyDescent="0.25">
      <c r="A970" s="3" t="s">
        <v>2258</v>
      </c>
      <c r="B970" s="3" t="s">
        <v>2259</v>
      </c>
      <c r="C970" s="1">
        <v>20</v>
      </c>
      <c r="D970" s="1">
        <v>323</v>
      </c>
      <c r="E970" s="1" t="s">
        <v>324</v>
      </c>
      <c r="F970" s="1" t="s">
        <v>4799</v>
      </c>
      <c r="G970" s="3" t="s">
        <v>2260</v>
      </c>
      <c r="H970" s="12" cm="1">
        <f t="array" ref="H970">_xlfn.IFS(I970&lt;197,I970*1.26,I970&gt;197,I970*1.17) + IF(I970&gt;1000,17,0)</f>
        <v>1533.1749199999999</v>
      </c>
      <c r="I970" s="10">
        <f>($K$2+0.02)*Tabla1[[#This Row],[PRECIO $]]*1.18</f>
        <v>1295.876</v>
      </c>
      <c r="J970" s="7">
        <f>+Tabla1[[#This Row],[PRECIO EN SOLES]]-Tabla1[[#This Row],[PC]]</f>
        <v>237.29891999999995</v>
      </c>
    </row>
    <row r="971" spans="1:10" x14ac:dyDescent="0.25">
      <c r="A971" s="3" t="s">
        <v>2261</v>
      </c>
      <c r="B971" s="3" t="s">
        <v>2262</v>
      </c>
      <c r="C971" s="1">
        <v>20</v>
      </c>
      <c r="D971" s="1">
        <v>487</v>
      </c>
      <c r="E971" s="1" t="s">
        <v>1112</v>
      </c>
      <c r="F971" s="1" t="s">
        <v>4800</v>
      </c>
      <c r="G971" s="3" t="s">
        <v>2263</v>
      </c>
      <c r="H971" s="12" cm="1">
        <f t="array" ref="H971">_xlfn.IFS(I971&lt;197,I971*1.26,I971&gt;197,I971*1.17) + IF(I971&gt;1000,17,0)</f>
        <v>2302.9974799999995</v>
      </c>
      <c r="I971" s="10">
        <f>($K$2+0.02)*Tabla1[[#This Row],[PRECIO $]]*1.18</f>
        <v>1953.8439999999998</v>
      </c>
      <c r="J971" s="7">
        <f>+Tabla1[[#This Row],[PRECIO EN SOLES]]-Tabla1[[#This Row],[PC]]</f>
        <v>349.15347999999972</v>
      </c>
    </row>
    <row r="972" spans="1:10" x14ac:dyDescent="0.25">
      <c r="A972" s="3" t="s">
        <v>432</v>
      </c>
      <c r="B972" s="3" t="s">
        <v>433</v>
      </c>
      <c r="C972" s="1">
        <v>19</v>
      </c>
      <c r="D972" s="1">
        <v>382.5</v>
      </c>
      <c r="E972" s="1" t="s">
        <v>426</v>
      </c>
      <c r="F972" s="1" t="s">
        <v>4801</v>
      </c>
      <c r="G972" s="3" t="s">
        <v>434</v>
      </c>
      <c r="H972" s="12" cm="1">
        <f t="array" ref="H972">_xlfn.IFS(I972&lt;197,I972*1.26,I972&gt;197,I972*1.17) + IF(I972&gt;1000,17,0)</f>
        <v>1812.4702999999997</v>
      </c>
      <c r="I972" s="10">
        <f>($K$2+0.02)*Tabla1[[#This Row],[PRECIO $]]*1.18</f>
        <v>1534.59</v>
      </c>
      <c r="J972" s="7">
        <f>+Tabla1[[#This Row],[PRECIO EN SOLES]]-Tabla1[[#This Row],[PC]]</f>
        <v>277.88029999999981</v>
      </c>
    </row>
    <row r="973" spans="1:10" x14ac:dyDescent="0.25">
      <c r="A973" s="3" t="s">
        <v>435</v>
      </c>
      <c r="B973" s="3" t="s">
        <v>436</v>
      </c>
      <c r="C973" s="1">
        <v>20</v>
      </c>
      <c r="D973" s="1">
        <v>427</v>
      </c>
      <c r="E973" s="1" t="s">
        <v>56</v>
      </c>
      <c r="F973" s="1" t="s">
        <v>4802</v>
      </c>
      <c r="G973" s="3" t="s">
        <v>437</v>
      </c>
      <c r="H973" s="12" cm="1">
        <f t="array" ref="H973">_xlfn.IFS(I973&lt;197,I973*1.26,I973&gt;197,I973*1.17) + IF(I973&gt;1000,17,0)</f>
        <v>2021.3550799999996</v>
      </c>
      <c r="I973" s="10">
        <f>($K$2+0.02)*Tabla1[[#This Row],[PRECIO $]]*1.18</f>
        <v>1713.1239999999998</v>
      </c>
      <c r="J973" s="7">
        <f>+Tabla1[[#This Row],[PRECIO EN SOLES]]-Tabla1[[#This Row],[PC]]</f>
        <v>308.23107999999979</v>
      </c>
    </row>
    <row r="974" spans="1:10" x14ac:dyDescent="0.25">
      <c r="A974" s="3" t="s">
        <v>5806</v>
      </c>
      <c r="B974" s="3" t="s">
        <v>5807</v>
      </c>
      <c r="C974" s="1">
        <v>8</v>
      </c>
      <c r="D974" s="1">
        <v>450</v>
      </c>
      <c r="E974" s="1" t="s">
        <v>74</v>
      </c>
      <c r="F974" s="1" t="s">
        <v>5808</v>
      </c>
      <c r="G974" s="3" t="s">
        <v>5809</v>
      </c>
      <c r="H974" s="12" cm="1">
        <f t="array" ref="H974">_xlfn.IFS(I974&lt;197,I974*1.26,I974&gt;197,I974*1.17) + IF(I974&gt;1000,17,0)</f>
        <v>2129.3179999999998</v>
      </c>
      <c r="I974" s="10">
        <f>($K$2+0.02)*Tabla1[[#This Row],[PRECIO $]]*1.18</f>
        <v>1805.3999999999999</v>
      </c>
      <c r="J974" s="7">
        <f>+Tabla1[[#This Row],[PRECIO EN SOLES]]-Tabla1[[#This Row],[PC]]</f>
        <v>323.91799999999989</v>
      </c>
    </row>
    <row r="975" spans="1:10" x14ac:dyDescent="0.25">
      <c r="A975" s="3" t="s">
        <v>438</v>
      </c>
      <c r="B975" s="3" t="s">
        <v>439</v>
      </c>
      <c r="C975" s="1">
        <v>20</v>
      </c>
      <c r="D975" s="1">
        <v>402.55</v>
      </c>
      <c r="E975" s="1" t="s">
        <v>74</v>
      </c>
      <c r="F975" s="1" t="s">
        <v>4803</v>
      </c>
      <c r="G975" s="3" t="s">
        <v>440</v>
      </c>
      <c r="H975" s="12" cm="1">
        <f t="array" ref="H975">_xlfn.IFS(I975&lt;197,I975*1.26,I975&gt;197,I975*1.17) + IF(I975&gt;1000,17,0)</f>
        <v>1906.5858019999998</v>
      </c>
      <c r="I975" s="10">
        <f>($K$2+0.02)*Tabla1[[#This Row],[PRECIO $]]*1.18</f>
        <v>1615.0306</v>
      </c>
      <c r="J975" s="7">
        <f>+Tabla1[[#This Row],[PRECIO EN SOLES]]-Tabla1[[#This Row],[PC]]</f>
        <v>291.55520199999978</v>
      </c>
    </row>
    <row r="976" spans="1:10" x14ac:dyDescent="0.25">
      <c r="A976" s="3" t="s">
        <v>441</v>
      </c>
      <c r="B976" s="3" t="s">
        <v>442</v>
      </c>
      <c r="C976" s="1">
        <v>20</v>
      </c>
      <c r="D976" s="1">
        <v>387</v>
      </c>
      <c r="E976" s="1" t="s">
        <v>324</v>
      </c>
      <c r="F976" s="1" t="s">
        <v>4804</v>
      </c>
      <c r="G976" s="3" t="s">
        <v>443</v>
      </c>
      <c r="H976" s="12" cm="1">
        <f t="array" ref="H976">_xlfn.IFS(I976&lt;197,I976*1.26,I976&gt;197,I976*1.17) + IF(I976&gt;1000,17,0)</f>
        <v>1833.5934799999995</v>
      </c>
      <c r="I976" s="10">
        <f>($K$2+0.02)*Tabla1[[#This Row],[PRECIO $]]*1.18</f>
        <v>1552.6439999999998</v>
      </c>
      <c r="J976" s="7">
        <f>+Tabla1[[#This Row],[PRECIO EN SOLES]]-Tabla1[[#This Row],[PC]]</f>
        <v>280.94947999999977</v>
      </c>
    </row>
    <row r="977" spans="1:10" x14ac:dyDescent="0.25">
      <c r="A977" s="3" t="s">
        <v>444</v>
      </c>
      <c r="B977" s="3" t="s">
        <v>445</v>
      </c>
      <c r="C977" s="1">
        <v>20</v>
      </c>
      <c r="D977" s="1">
        <v>440</v>
      </c>
      <c r="E977" s="1" t="s">
        <v>324</v>
      </c>
      <c r="F977" s="1" t="s">
        <v>4805</v>
      </c>
      <c r="G977" s="3" t="s">
        <v>446</v>
      </c>
      <c r="H977" s="12" cm="1">
        <f t="array" ref="H977">_xlfn.IFS(I977&lt;197,I977*1.26,I977&gt;197,I977*1.17) + IF(I977&gt;1000,17,0)</f>
        <v>2082.3775999999998</v>
      </c>
      <c r="I977" s="10">
        <f>($K$2+0.02)*Tabla1[[#This Row],[PRECIO $]]*1.18</f>
        <v>1765.28</v>
      </c>
      <c r="J977" s="7">
        <f>+Tabla1[[#This Row],[PRECIO EN SOLES]]-Tabla1[[#This Row],[PC]]</f>
        <v>317.09759999999983</v>
      </c>
    </row>
    <row r="978" spans="1:10" x14ac:dyDescent="0.25">
      <c r="A978" s="3" t="s">
        <v>2264</v>
      </c>
      <c r="B978" s="3" t="s">
        <v>2265</v>
      </c>
      <c r="C978" s="1">
        <v>1</v>
      </c>
      <c r="D978" s="1">
        <v>539</v>
      </c>
      <c r="E978" s="1" t="s">
        <v>426</v>
      </c>
      <c r="F978" s="1" t="s">
        <v>4806</v>
      </c>
      <c r="G978" s="3" t="s">
        <v>2266</v>
      </c>
      <c r="H978" s="12" cm="1">
        <f t="array" ref="H978">_xlfn.IFS(I978&lt;197,I978*1.26,I978&gt;197,I978*1.17) + IF(I978&gt;1000,17,0)</f>
        <v>2547.0875599999995</v>
      </c>
      <c r="I978" s="10">
        <f>($K$2+0.02)*Tabla1[[#This Row],[PRECIO $]]*1.18</f>
        <v>2162.4679999999998</v>
      </c>
      <c r="J978" s="7">
        <f>+Tabla1[[#This Row],[PRECIO EN SOLES]]-Tabla1[[#This Row],[PC]]</f>
        <v>384.61955999999964</v>
      </c>
    </row>
    <row r="979" spans="1:10" x14ac:dyDescent="0.25">
      <c r="A979" s="3" t="s">
        <v>6323</v>
      </c>
      <c r="B979" s="3" t="s">
        <v>6324</v>
      </c>
      <c r="C979" s="1">
        <v>20</v>
      </c>
      <c r="D979" s="1">
        <v>439.98</v>
      </c>
      <c r="E979" s="1" t="s">
        <v>163</v>
      </c>
      <c r="F979" s="1" t="s">
        <v>6325</v>
      </c>
      <c r="G979" s="3" t="s">
        <v>6326</v>
      </c>
      <c r="H979" s="12" cm="1">
        <f t="array" ref="H979">_xlfn.IFS(I979&lt;197,I979*1.26,I979&gt;197,I979*1.17) + IF(I979&gt;1000,17,0)</f>
        <v>2082.2837191999997</v>
      </c>
      <c r="I979" s="10">
        <f>($K$2+0.02)*Tabla1[[#This Row],[PRECIO $]]*1.18</f>
        <v>1765.19976</v>
      </c>
      <c r="J979" s="7">
        <f>+Tabla1[[#This Row],[PRECIO EN SOLES]]-Tabla1[[#This Row],[PC]]</f>
        <v>317.08395919999975</v>
      </c>
    </row>
    <row r="980" spans="1:10" x14ac:dyDescent="0.25">
      <c r="A980" s="3" t="s">
        <v>5810</v>
      </c>
      <c r="B980" s="3" t="s">
        <v>5811</v>
      </c>
      <c r="C980" s="1">
        <v>20</v>
      </c>
      <c r="D980" s="1">
        <v>532</v>
      </c>
      <c r="E980" s="1" t="s">
        <v>324</v>
      </c>
      <c r="F980" s="1" t="s">
        <v>5812</v>
      </c>
      <c r="G980" s="3" t="s">
        <v>5813</v>
      </c>
      <c r="H980" s="12" cm="1">
        <f t="array" ref="H980">_xlfn.IFS(I980&lt;197,I980*1.26,I980&gt;197,I980*1.17) + IF(I980&gt;1000,17,0)</f>
        <v>2514.22928</v>
      </c>
      <c r="I980" s="10">
        <f>($K$2+0.02)*Tabla1[[#This Row],[PRECIO $]]*1.18</f>
        <v>2134.384</v>
      </c>
      <c r="J980" s="7">
        <f>+Tabla1[[#This Row],[PRECIO EN SOLES]]-Tabla1[[#This Row],[PC]]</f>
        <v>379.84528</v>
      </c>
    </row>
    <row r="981" spans="1:10" x14ac:dyDescent="0.25">
      <c r="A981" s="3" t="s">
        <v>2267</v>
      </c>
      <c r="B981" s="3" t="s">
        <v>2268</v>
      </c>
      <c r="C981" s="1">
        <v>1</v>
      </c>
      <c r="D981" s="1">
        <v>160</v>
      </c>
      <c r="E981" s="1" t="s">
        <v>57</v>
      </c>
      <c r="F981" s="1" t="s">
        <v>4807</v>
      </c>
      <c r="G981" s="3"/>
      <c r="H981" s="12" cm="1">
        <f t="array" ref="H981">_xlfn.IFS(I981&lt;197,I981*1.26,I981&gt;197,I981*1.17) + IF(I981&gt;1000,17,0)</f>
        <v>751.04639999999995</v>
      </c>
      <c r="I981" s="10">
        <f>($K$2+0.02)*Tabla1[[#This Row],[PRECIO $]]*1.18</f>
        <v>641.91999999999996</v>
      </c>
      <c r="J981" s="7">
        <f>+Tabla1[[#This Row],[PRECIO EN SOLES]]-Tabla1[[#This Row],[PC]]</f>
        <v>109.12639999999999</v>
      </c>
    </row>
    <row r="982" spans="1:10" x14ac:dyDescent="0.25">
      <c r="A982" s="3" t="s">
        <v>3849</v>
      </c>
      <c r="B982" s="3" t="s">
        <v>3850</v>
      </c>
      <c r="C982" s="1">
        <v>20</v>
      </c>
      <c r="D982" s="1">
        <v>205</v>
      </c>
      <c r="E982" s="1" t="s">
        <v>54</v>
      </c>
      <c r="F982" s="1" t="s">
        <v>4808</v>
      </c>
      <c r="G982" s="3" t="s">
        <v>3851</v>
      </c>
      <c r="H982" s="12" cm="1">
        <f t="array" ref="H982">_xlfn.IFS(I982&lt;197,I982*1.26,I982&gt;197,I982*1.17) + IF(I982&gt;1000,17,0)</f>
        <v>962.27819999999986</v>
      </c>
      <c r="I982" s="10">
        <f>($K$2+0.02)*Tabla1[[#This Row],[PRECIO $]]*1.18</f>
        <v>822.45999999999992</v>
      </c>
      <c r="J982" s="7">
        <f>+Tabla1[[#This Row],[PRECIO EN SOLES]]-Tabla1[[#This Row],[PC]]</f>
        <v>139.81819999999993</v>
      </c>
    </row>
    <row r="983" spans="1:10" x14ac:dyDescent="0.25">
      <c r="A983" s="3" t="s">
        <v>823</v>
      </c>
      <c r="B983" s="3" t="s">
        <v>447</v>
      </c>
      <c r="C983" s="1">
        <v>20</v>
      </c>
      <c r="D983" s="1">
        <v>224</v>
      </c>
      <c r="E983" s="1" t="s">
        <v>324</v>
      </c>
      <c r="F983" s="1" t="s">
        <v>4809</v>
      </c>
      <c r="G983" s="3" t="s">
        <v>448</v>
      </c>
      <c r="H983" s="12" cm="1">
        <f t="array" ref="H983">_xlfn.IFS(I983&lt;197,I983*1.26,I983&gt;197,I983*1.17) + IF(I983&gt;1000,17,0)</f>
        <v>1051.46496</v>
      </c>
      <c r="I983" s="10">
        <f>($K$2+0.02)*Tabla1[[#This Row],[PRECIO $]]*1.18</f>
        <v>898.68799999999999</v>
      </c>
      <c r="J983" s="7">
        <f>+Tabla1[[#This Row],[PRECIO EN SOLES]]-Tabla1[[#This Row],[PC]]</f>
        <v>152.77696000000003</v>
      </c>
    </row>
    <row r="984" spans="1:10" x14ac:dyDescent="0.25">
      <c r="A984" s="3" t="s">
        <v>2269</v>
      </c>
      <c r="B984" s="3" t="s">
        <v>2270</v>
      </c>
      <c r="C984" s="1">
        <v>20</v>
      </c>
      <c r="D984" s="1">
        <v>226</v>
      </c>
      <c r="E984" s="1" t="s">
        <v>56</v>
      </c>
      <c r="F984" s="1" t="s">
        <v>4810</v>
      </c>
      <c r="G984" s="3" t="s">
        <v>6327</v>
      </c>
      <c r="H984" s="12" cm="1">
        <f t="array" ref="H984">_xlfn.IFS(I984&lt;197,I984*1.26,I984&gt;197,I984*1.17) + IF(I984&gt;1000,17,0)</f>
        <v>1060.8530399999997</v>
      </c>
      <c r="I984" s="10">
        <f>($K$2+0.02)*Tabla1[[#This Row],[PRECIO $]]*1.18</f>
        <v>906.71199999999988</v>
      </c>
      <c r="J984" s="7">
        <f>+Tabla1[[#This Row],[PRECIO EN SOLES]]-Tabla1[[#This Row],[PC]]</f>
        <v>154.14103999999986</v>
      </c>
    </row>
    <row r="985" spans="1:10" x14ac:dyDescent="0.25">
      <c r="A985" s="3" t="s">
        <v>464</v>
      </c>
      <c r="B985" s="3" t="s">
        <v>463</v>
      </c>
      <c r="C985" s="1">
        <v>20</v>
      </c>
      <c r="D985" s="1">
        <v>415.5</v>
      </c>
      <c r="E985" s="1" t="s">
        <v>163</v>
      </c>
      <c r="F985" s="1" t="s">
        <v>4811</v>
      </c>
      <c r="G985" s="3" t="s">
        <v>465</v>
      </c>
      <c r="H985" s="12" cm="1">
        <f t="array" ref="H985">_xlfn.IFS(I985&lt;197,I985*1.26,I985&gt;197,I985*1.17) + IF(I985&gt;1000,17,0)</f>
        <v>1967.3736199999998</v>
      </c>
      <c r="I985" s="10">
        <f>($K$2+0.02)*Tabla1[[#This Row],[PRECIO $]]*1.18</f>
        <v>1666.9859999999999</v>
      </c>
      <c r="J985" s="7">
        <f>+Tabla1[[#This Row],[PRECIO EN SOLES]]-Tabla1[[#This Row],[PC]]</f>
        <v>300.38761999999997</v>
      </c>
    </row>
    <row r="986" spans="1:10" x14ac:dyDescent="0.25">
      <c r="A986" s="3" t="s">
        <v>915</v>
      </c>
      <c r="B986" s="3" t="s">
        <v>916</v>
      </c>
      <c r="C986" s="1">
        <v>20</v>
      </c>
      <c r="D986" s="1">
        <v>410</v>
      </c>
      <c r="E986" s="1" t="s">
        <v>163</v>
      </c>
      <c r="F986" s="1" t="s">
        <v>4812</v>
      </c>
      <c r="G986" s="3"/>
      <c r="H986" s="12" cm="1">
        <f t="array" ref="H986">_xlfn.IFS(I986&lt;197,I986*1.26,I986&gt;197,I986*1.17) + IF(I986&gt;1000,17,0)</f>
        <v>1941.5563999999997</v>
      </c>
      <c r="I986" s="10">
        <f>($K$2+0.02)*Tabla1[[#This Row],[PRECIO $]]*1.18</f>
        <v>1644.9199999999998</v>
      </c>
      <c r="J986" s="7">
        <f>+Tabla1[[#This Row],[PRECIO EN SOLES]]-Tabla1[[#This Row],[PC]]</f>
        <v>296.63639999999987</v>
      </c>
    </row>
    <row r="987" spans="1:10" x14ac:dyDescent="0.25">
      <c r="A987" s="3" t="s">
        <v>449</v>
      </c>
      <c r="B987" s="3" t="s">
        <v>450</v>
      </c>
      <c r="C987" s="1">
        <v>20</v>
      </c>
      <c r="D987" s="1">
        <v>434.3</v>
      </c>
      <c r="E987" s="1" t="s">
        <v>163</v>
      </c>
      <c r="F987" s="1" t="s">
        <v>4813</v>
      </c>
      <c r="G987" s="3" t="s">
        <v>451</v>
      </c>
      <c r="H987" s="12" cm="1">
        <f t="array" ref="H987">_xlfn.IFS(I987&lt;197,I987*1.26,I987&gt;197,I987*1.17) + IF(I987&gt;1000,17,0)</f>
        <v>2055.6215719999996</v>
      </c>
      <c r="I987" s="10">
        <f>($K$2+0.02)*Tabla1[[#This Row],[PRECIO $]]*1.18</f>
        <v>1742.4115999999997</v>
      </c>
      <c r="J987" s="7">
        <f>+Tabla1[[#This Row],[PRECIO EN SOLES]]-Tabla1[[#This Row],[PC]]</f>
        <v>313.20997199999988</v>
      </c>
    </row>
    <row r="988" spans="1:10" x14ac:dyDescent="0.25">
      <c r="A988" s="3" t="s">
        <v>2271</v>
      </c>
      <c r="B988" s="3" t="s">
        <v>2272</v>
      </c>
      <c r="C988" s="1">
        <v>20</v>
      </c>
      <c r="D988" s="1">
        <v>667</v>
      </c>
      <c r="E988" s="1" t="s">
        <v>1002</v>
      </c>
      <c r="F988" s="1" t="s">
        <v>4814</v>
      </c>
      <c r="G988" s="3" t="s">
        <v>2273</v>
      </c>
      <c r="H988" s="12" cm="1">
        <f t="array" ref="H988">_xlfn.IFS(I988&lt;197,I988*1.26,I988&gt;197,I988*1.17) + IF(I988&gt;1000,17,0)</f>
        <v>3147.9246799999992</v>
      </c>
      <c r="I988" s="10">
        <f>($K$2+0.02)*Tabla1[[#This Row],[PRECIO $]]*1.18</f>
        <v>2676.0039999999995</v>
      </c>
      <c r="J988" s="7">
        <f>+Tabla1[[#This Row],[PRECIO EN SOLES]]-Tabla1[[#This Row],[PC]]</f>
        <v>471.92067999999972</v>
      </c>
    </row>
    <row r="989" spans="1:10" x14ac:dyDescent="0.25">
      <c r="A989" s="3" t="s">
        <v>2274</v>
      </c>
      <c r="B989" s="3" t="s">
        <v>2275</v>
      </c>
      <c r="C989" s="1">
        <v>20</v>
      </c>
      <c r="D989" s="1">
        <v>455</v>
      </c>
      <c r="E989" s="1" t="s">
        <v>324</v>
      </c>
      <c r="F989" s="1" t="s">
        <v>4815</v>
      </c>
      <c r="G989" s="3" t="s">
        <v>2276</v>
      </c>
      <c r="H989" s="12" cm="1">
        <f t="array" ref="H989">_xlfn.IFS(I989&lt;197,I989*1.26,I989&gt;197,I989*1.17) + IF(I989&gt;1000,17,0)</f>
        <v>2152.7881999999995</v>
      </c>
      <c r="I989" s="10">
        <f>($K$2+0.02)*Tabla1[[#This Row],[PRECIO $]]*1.18</f>
        <v>1825.4599999999998</v>
      </c>
      <c r="J989" s="7">
        <f>+Tabla1[[#This Row],[PRECIO EN SOLES]]-Tabla1[[#This Row],[PC]]</f>
        <v>327.3281999999997</v>
      </c>
    </row>
    <row r="990" spans="1:10" x14ac:dyDescent="0.25">
      <c r="A990" s="3" t="s">
        <v>5671</v>
      </c>
      <c r="B990" s="3" t="s">
        <v>2275</v>
      </c>
      <c r="C990" s="1">
        <v>20</v>
      </c>
      <c r="D990" s="1">
        <v>484</v>
      </c>
      <c r="E990" s="1" t="s">
        <v>324</v>
      </c>
      <c r="F990" s="1" t="s">
        <v>5672</v>
      </c>
      <c r="G990" s="3" t="s">
        <v>2276</v>
      </c>
      <c r="H990" s="12" cm="1">
        <f t="array" ref="H990">_xlfn.IFS(I990&lt;197,I990*1.26,I990&gt;197,I990*1.17) + IF(I990&gt;1000,17,0)</f>
        <v>2288.9153599999995</v>
      </c>
      <c r="I990" s="10">
        <f>($K$2+0.02)*Tabla1[[#This Row],[PRECIO $]]*1.18</f>
        <v>1941.8079999999998</v>
      </c>
      <c r="J990" s="7">
        <f>+Tabla1[[#This Row],[PRECIO EN SOLES]]-Tabla1[[#This Row],[PC]]</f>
        <v>347.10735999999974</v>
      </c>
    </row>
    <row r="991" spans="1:10" x14ac:dyDescent="0.25">
      <c r="A991" s="3" t="s">
        <v>2277</v>
      </c>
      <c r="B991" s="3" t="s">
        <v>2278</v>
      </c>
      <c r="C991" s="1">
        <v>10</v>
      </c>
      <c r="D991" s="1">
        <v>2030</v>
      </c>
      <c r="E991" s="1" t="s">
        <v>1112</v>
      </c>
      <c r="F991" s="1" t="s">
        <v>4816</v>
      </c>
      <c r="G991" s="3" t="s">
        <v>2279</v>
      </c>
      <c r="H991" s="12" cm="1">
        <f t="array" ref="H991">_xlfn.IFS(I991&lt;197,I991*1.26,I991&gt;197,I991*1.17) + IF(I991&gt;1000,17,0)</f>
        <v>9545.9011999999984</v>
      </c>
      <c r="I991" s="10">
        <f>($K$2+0.02)*Tabla1[[#This Row],[PRECIO $]]*1.18</f>
        <v>8144.36</v>
      </c>
      <c r="J991" s="7">
        <f>+Tabla1[[#This Row],[PRECIO EN SOLES]]-Tabla1[[#This Row],[PC]]</f>
        <v>1401.5411999999988</v>
      </c>
    </row>
    <row r="992" spans="1:10" x14ac:dyDescent="0.25">
      <c r="A992" s="3" t="s">
        <v>5673</v>
      </c>
      <c r="B992" s="3" t="s">
        <v>5674</v>
      </c>
      <c r="C992" s="1">
        <v>3</v>
      </c>
      <c r="D992" s="1">
        <v>375</v>
      </c>
      <c r="E992" s="1" t="s">
        <v>74</v>
      </c>
      <c r="F992" s="1" t="s">
        <v>5675</v>
      </c>
      <c r="G992" s="3" t="s">
        <v>454</v>
      </c>
      <c r="H992" s="12" cm="1">
        <f t="array" ref="H992">_xlfn.IFS(I992&lt;197,I992*1.26,I992&gt;197,I992*1.17) + IF(I992&gt;1000,17,0)</f>
        <v>1777.2649999999999</v>
      </c>
      <c r="I992" s="10">
        <f>($K$2+0.02)*Tabla1[[#This Row],[PRECIO $]]*1.18</f>
        <v>1504.5</v>
      </c>
      <c r="J992" s="7">
        <f>+Tabla1[[#This Row],[PRECIO EN SOLES]]-Tabla1[[#This Row],[PC]]</f>
        <v>272.76499999999987</v>
      </c>
    </row>
    <row r="993" spans="1:10" x14ac:dyDescent="0.25">
      <c r="A993" s="3" t="s">
        <v>452</v>
      </c>
      <c r="B993" s="3" t="s">
        <v>453</v>
      </c>
      <c r="C993" s="1">
        <v>20</v>
      </c>
      <c r="D993" s="1">
        <v>338.6</v>
      </c>
      <c r="E993" s="1" t="s">
        <v>74</v>
      </c>
      <c r="F993" s="1" t="s">
        <v>4817</v>
      </c>
      <c r="G993" s="3" t="s">
        <v>454</v>
      </c>
      <c r="H993" s="12" cm="1">
        <f t="array" ref="H993">_xlfn.IFS(I993&lt;197,I993*1.26,I993&gt;197,I993*1.17) + IF(I993&gt;1000,17,0)</f>
        <v>1606.4019439999997</v>
      </c>
      <c r="I993" s="10">
        <f>($K$2+0.02)*Tabla1[[#This Row],[PRECIO $]]*1.18</f>
        <v>1358.4631999999999</v>
      </c>
      <c r="J993" s="7">
        <f>+Tabla1[[#This Row],[PRECIO EN SOLES]]-Tabla1[[#This Row],[PC]]</f>
        <v>247.93874399999982</v>
      </c>
    </row>
    <row r="994" spans="1:10" x14ac:dyDescent="0.25">
      <c r="A994" s="3" t="s">
        <v>455</v>
      </c>
      <c r="B994" s="3" t="s">
        <v>456</v>
      </c>
      <c r="C994" s="1">
        <v>20</v>
      </c>
      <c r="D994" s="1">
        <v>316</v>
      </c>
      <c r="E994" s="1" t="s">
        <v>324</v>
      </c>
      <c r="F994" s="1" t="s">
        <v>4818</v>
      </c>
      <c r="G994" s="3" t="s">
        <v>457</v>
      </c>
      <c r="H994" s="12" cm="1">
        <f t="array" ref="H994">_xlfn.IFS(I994&lt;197,I994*1.26,I994&gt;197,I994*1.17) + IF(I994&gt;1000,17,0)</f>
        <v>1500.3166399999996</v>
      </c>
      <c r="I994" s="10">
        <f>($K$2+0.02)*Tabla1[[#This Row],[PRECIO $]]*1.18</f>
        <v>1267.7919999999997</v>
      </c>
      <c r="J994" s="7">
        <f>+Tabla1[[#This Row],[PRECIO EN SOLES]]-Tabla1[[#This Row],[PC]]</f>
        <v>232.52463999999986</v>
      </c>
    </row>
    <row r="995" spans="1:10" x14ac:dyDescent="0.25">
      <c r="A995" s="3" t="s">
        <v>458</v>
      </c>
      <c r="B995" s="3" t="s">
        <v>459</v>
      </c>
      <c r="C995" s="1">
        <v>20</v>
      </c>
      <c r="D995" s="1">
        <v>335</v>
      </c>
      <c r="E995" s="1" t="s">
        <v>324</v>
      </c>
      <c r="F995" s="1" t="s">
        <v>4819</v>
      </c>
      <c r="G995" s="3" t="s">
        <v>457</v>
      </c>
      <c r="H995" s="12" cm="1">
        <f t="array" ref="H995">_xlfn.IFS(I995&lt;197,I995*1.26,I995&gt;197,I995*1.17) + IF(I995&gt;1000,17,0)</f>
        <v>1589.5033999999998</v>
      </c>
      <c r="I995" s="10">
        <f>($K$2+0.02)*Tabla1[[#This Row],[PRECIO $]]*1.18</f>
        <v>1344.02</v>
      </c>
      <c r="J995" s="7">
        <f>+Tabla1[[#This Row],[PRECIO EN SOLES]]-Tabla1[[#This Row],[PC]]</f>
        <v>245.48339999999985</v>
      </c>
    </row>
    <row r="996" spans="1:10" x14ac:dyDescent="0.25">
      <c r="A996" s="3" t="s">
        <v>2280</v>
      </c>
      <c r="B996" s="3" t="s">
        <v>459</v>
      </c>
      <c r="C996" s="1">
        <v>20</v>
      </c>
      <c r="D996" s="1">
        <v>407.5</v>
      </c>
      <c r="E996" s="1" t="s">
        <v>324</v>
      </c>
      <c r="F996" s="1" t="s">
        <v>4820</v>
      </c>
      <c r="G996" s="3" t="s">
        <v>2281</v>
      </c>
      <c r="H996" s="12" cm="1">
        <f t="array" ref="H996">_xlfn.IFS(I996&lt;197,I996*1.26,I996&gt;197,I996*1.17) + IF(I996&gt;1000,17,0)</f>
        <v>1929.8212999999998</v>
      </c>
      <c r="I996" s="10">
        <f>($K$2+0.02)*Tabla1[[#This Row],[PRECIO $]]*1.18</f>
        <v>1634.8899999999999</v>
      </c>
      <c r="J996" s="7">
        <f>+Tabla1[[#This Row],[PRECIO EN SOLES]]-Tabla1[[#This Row],[PC]]</f>
        <v>294.93129999999996</v>
      </c>
    </row>
    <row r="997" spans="1:10" x14ac:dyDescent="0.25">
      <c r="A997" s="3" t="s">
        <v>2282</v>
      </c>
      <c r="B997" s="3" t="s">
        <v>456</v>
      </c>
      <c r="C997" s="1">
        <v>20</v>
      </c>
      <c r="D997" s="1">
        <v>378</v>
      </c>
      <c r="E997" s="1" t="s">
        <v>324</v>
      </c>
      <c r="F997" s="1" t="s">
        <v>4821</v>
      </c>
      <c r="G997" s="3" t="s">
        <v>2281</v>
      </c>
      <c r="H997" s="12" cm="1">
        <f t="array" ref="H997">_xlfn.IFS(I997&lt;197,I997*1.26,I997&gt;197,I997*1.17) + IF(I997&gt;1000,17,0)</f>
        <v>1791.3471199999999</v>
      </c>
      <c r="I997" s="10">
        <f>($K$2+0.02)*Tabla1[[#This Row],[PRECIO $]]*1.18</f>
        <v>1516.5360000000001</v>
      </c>
      <c r="J997" s="7">
        <f>+Tabla1[[#This Row],[PRECIO EN SOLES]]-Tabla1[[#This Row],[PC]]</f>
        <v>274.81111999999985</v>
      </c>
    </row>
    <row r="998" spans="1:10" x14ac:dyDescent="0.25">
      <c r="A998" s="3" t="s">
        <v>2283</v>
      </c>
      <c r="B998" s="3" t="s">
        <v>2284</v>
      </c>
      <c r="C998" s="1">
        <v>20</v>
      </c>
      <c r="D998" s="1">
        <v>589</v>
      </c>
      <c r="E998" s="1" t="s">
        <v>1112</v>
      </c>
      <c r="F998" s="1" t="s">
        <v>4822</v>
      </c>
      <c r="G998" s="3" t="s">
        <v>2285</v>
      </c>
      <c r="H998" s="12" cm="1">
        <f t="array" ref="H998">_xlfn.IFS(I998&lt;197,I998*1.26,I998&gt;197,I998*1.17) + IF(I998&gt;1000,17,0)</f>
        <v>2781.7895599999997</v>
      </c>
      <c r="I998" s="10">
        <f>($K$2+0.02)*Tabla1[[#This Row],[PRECIO $]]*1.18</f>
        <v>2363.0679999999998</v>
      </c>
      <c r="J998" s="7">
        <f>+Tabla1[[#This Row],[PRECIO EN SOLES]]-Tabla1[[#This Row],[PC]]</f>
        <v>418.72155999999995</v>
      </c>
    </row>
    <row r="999" spans="1:10" x14ac:dyDescent="0.25">
      <c r="A999" s="3" t="s">
        <v>2286</v>
      </c>
      <c r="B999" s="3" t="s">
        <v>2287</v>
      </c>
      <c r="C999" s="1">
        <v>20</v>
      </c>
      <c r="D999" s="1">
        <v>522</v>
      </c>
      <c r="E999" s="1" t="s">
        <v>1112</v>
      </c>
      <c r="F999" s="1" t="s">
        <v>4823</v>
      </c>
      <c r="G999" s="3" t="s">
        <v>2288</v>
      </c>
      <c r="H999" s="12" cm="1">
        <f t="array" ref="H999">_xlfn.IFS(I999&lt;197,I999*1.26,I999&gt;197,I999*1.17) + IF(I999&gt;1000,17,0)</f>
        <v>2467.2888799999996</v>
      </c>
      <c r="I999" s="10">
        <f>($K$2+0.02)*Tabla1[[#This Row],[PRECIO $]]*1.18</f>
        <v>2094.2639999999997</v>
      </c>
      <c r="J999" s="7">
        <f>+Tabla1[[#This Row],[PRECIO EN SOLES]]-Tabla1[[#This Row],[PC]]</f>
        <v>373.02487999999994</v>
      </c>
    </row>
    <row r="1000" spans="1:10" x14ac:dyDescent="0.25">
      <c r="A1000" s="3" t="s">
        <v>2289</v>
      </c>
      <c r="B1000" s="3" t="s">
        <v>2290</v>
      </c>
      <c r="C1000" s="1">
        <v>6</v>
      </c>
      <c r="D1000" s="1">
        <v>548</v>
      </c>
      <c r="E1000" s="1" t="s">
        <v>426</v>
      </c>
      <c r="F1000" s="1" t="s">
        <v>4824</v>
      </c>
      <c r="G1000" s="3" t="s">
        <v>2291</v>
      </c>
      <c r="H1000" s="12" cm="1">
        <f t="array" ref="H1000">_xlfn.IFS(I1000&lt;197,I1000*1.26,I1000&gt;197,I1000*1.17) + IF(I1000&gt;1000,17,0)</f>
        <v>2589.33392</v>
      </c>
      <c r="I1000" s="10">
        <f>($K$2+0.02)*Tabla1[[#This Row],[PRECIO $]]*1.18</f>
        <v>2198.576</v>
      </c>
      <c r="J1000" s="7">
        <f>+Tabla1[[#This Row],[PRECIO EN SOLES]]-Tabla1[[#This Row],[PC]]</f>
        <v>390.75792000000001</v>
      </c>
    </row>
    <row r="1001" spans="1:10" x14ac:dyDescent="0.25">
      <c r="A1001" s="3" t="s">
        <v>2292</v>
      </c>
      <c r="B1001" s="3" t="s">
        <v>2293</v>
      </c>
      <c r="C1001" s="1">
        <v>1</v>
      </c>
      <c r="D1001" s="1">
        <v>574</v>
      </c>
      <c r="E1001" s="1" t="s">
        <v>426</v>
      </c>
      <c r="F1001" s="1" t="s">
        <v>4825</v>
      </c>
      <c r="G1001" s="3" t="s">
        <v>2294</v>
      </c>
      <c r="H1001" s="12" cm="1">
        <f t="array" ref="H1001">_xlfn.IFS(I1001&lt;197,I1001*1.26,I1001&gt;197,I1001*1.17) + IF(I1001&gt;1000,17,0)</f>
        <v>2711.3789599999996</v>
      </c>
      <c r="I1001" s="10">
        <f>($K$2+0.02)*Tabla1[[#This Row],[PRECIO $]]*1.18</f>
        <v>2302.8879999999999</v>
      </c>
      <c r="J1001" s="7">
        <f>+Tabla1[[#This Row],[PRECIO EN SOLES]]-Tabla1[[#This Row],[PC]]</f>
        <v>408.49095999999963</v>
      </c>
    </row>
    <row r="1002" spans="1:10" x14ac:dyDescent="0.25">
      <c r="A1002" s="3" t="s">
        <v>6033</v>
      </c>
      <c r="B1002" s="3" t="s">
        <v>6034</v>
      </c>
      <c r="C1002" s="1">
        <v>20</v>
      </c>
      <c r="D1002" s="1">
        <v>512</v>
      </c>
      <c r="E1002" s="1" t="s">
        <v>426</v>
      </c>
      <c r="F1002" s="1" t="s">
        <v>6035</v>
      </c>
      <c r="G1002" s="3" t="s">
        <v>6036</v>
      </c>
      <c r="H1002" s="12" cm="1">
        <f t="array" ref="H1002">_xlfn.IFS(I1002&lt;197,I1002*1.26,I1002&gt;197,I1002*1.17) + IF(I1002&gt;1000,17,0)</f>
        <v>2420.3484799999997</v>
      </c>
      <c r="I1002" s="10">
        <f>($K$2+0.02)*Tabla1[[#This Row],[PRECIO $]]*1.18</f>
        <v>2054.1439999999998</v>
      </c>
      <c r="J1002" s="7">
        <f>+Tabla1[[#This Row],[PRECIO EN SOLES]]-Tabla1[[#This Row],[PC]]</f>
        <v>366.20447999999988</v>
      </c>
    </row>
    <row r="1003" spans="1:10" x14ac:dyDescent="0.25">
      <c r="A1003" s="3" t="s">
        <v>460</v>
      </c>
      <c r="B1003" s="3" t="s">
        <v>461</v>
      </c>
      <c r="C1003" s="1">
        <v>20</v>
      </c>
      <c r="D1003" s="1">
        <v>434</v>
      </c>
      <c r="E1003" s="1" t="s">
        <v>56</v>
      </c>
      <c r="F1003" s="1" t="s">
        <v>4826</v>
      </c>
      <c r="G1003" s="3" t="s">
        <v>462</v>
      </c>
      <c r="H1003" s="12" cm="1">
        <f t="array" ref="H1003">_xlfn.IFS(I1003&lt;197,I1003*1.26,I1003&gt;197,I1003*1.17) + IF(I1003&gt;1000,17,0)</f>
        <v>2054.2133599999997</v>
      </c>
      <c r="I1003" s="10">
        <f>($K$2+0.02)*Tabla1[[#This Row],[PRECIO $]]*1.18</f>
        <v>1741.2079999999999</v>
      </c>
      <c r="J1003" s="7">
        <f>+Tabla1[[#This Row],[PRECIO EN SOLES]]-Tabla1[[#This Row],[PC]]</f>
        <v>313.00535999999988</v>
      </c>
    </row>
    <row r="1004" spans="1:10" x14ac:dyDescent="0.25">
      <c r="A1004" s="3" t="s">
        <v>2295</v>
      </c>
      <c r="B1004" s="3" t="s">
        <v>2296</v>
      </c>
      <c r="C1004" s="1">
        <v>20</v>
      </c>
      <c r="D1004" s="1">
        <v>468</v>
      </c>
      <c r="E1004" s="1" t="s">
        <v>56</v>
      </c>
      <c r="F1004" s="1" t="s">
        <v>4827</v>
      </c>
      <c r="G1004" s="3" t="s">
        <v>2297</v>
      </c>
      <c r="H1004" s="12" cm="1">
        <f t="array" ref="H1004">_xlfn.IFS(I1004&lt;197,I1004*1.26,I1004&gt;197,I1004*1.17) + IF(I1004&gt;1000,17,0)</f>
        <v>2213.8107199999999</v>
      </c>
      <c r="I1004" s="10">
        <f>($K$2+0.02)*Tabla1[[#This Row],[PRECIO $]]*1.18</f>
        <v>1877.616</v>
      </c>
      <c r="J1004" s="7">
        <f>+Tabla1[[#This Row],[PRECIO EN SOLES]]-Tabla1[[#This Row],[PC]]</f>
        <v>336.19471999999996</v>
      </c>
    </row>
    <row r="1005" spans="1:10" x14ac:dyDescent="0.25">
      <c r="A1005" s="3" t="s">
        <v>5676</v>
      </c>
      <c r="B1005" s="3" t="s">
        <v>5677</v>
      </c>
      <c r="C1005" s="1">
        <v>20</v>
      </c>
      <c r="D1005" s="1">
        <v>433.5</v>
      </c>
      <c r="E1005" s="1" t="s">
        <v>163</v>
      </c>
      <c r="F1005" s="1" t="s">
        <v>5678</v>
      </c>
      <c r="G1005" s="3" t="s">
        <v>5679</v>
      </c>
      <c r="H1005" s="12" cm="1">
        <f t="array" ref="H1005">_xlfn.IFS(I1005&lt;197,I1005*1.26,I1005&gt;197,I1005*1.17) + IF(I1005&gt;1000,17,0)</f>
        <v>2051.8663399999996</v>
      </c>
      <c r="I1005" s="10">
        <f>($K$2+0.02)*Tabla1[[#This Row],[PRECIO $]]*1.18</f>
        <v>1739.2019999999998</v>
      </c>
      <c r="J1005" s="7">
        <f>+Tabla1[[#This Row],[PRECIO EN SOLES]]-Tabla1[[#This Row],[PC]]</f>
        <v>312.66433999999981</v>
      </c>
    </row>
    <row r="1006" spans="1:10" x14ac:dyDescent="0.25">
      <c r="A1006" s="3" t="s">
        <v>2298</v>
      </c>
      <c r="B1006" s="3" t="s">
        <v>2299</v>
      </c>
      <c r="C1006" s="1">
        <v>20</v>
      </c>
      <c r="D1006" s="1">
        <v>445</v>
      </c>
      <c r="E1006" s="1" t="s">
        <v>324</v>
      </c>
      <c r="F1006" s="1" t="s">
        <v>4828</v>
      </c>
      <c r="G1006" s="3" t="s">
        <v>2300</v>
      </c>
      <c r="H1006" s="12" cm="1">
        <f t="array" ref="H1006">_xlfn.IFS(I1006&lt;197,I1006*1.26,I1006&gt;197,I1006*1.17) + IF(I1006&gt;1000,17,0)</f>
        <v>2105.8477999999996</v>
      </c>
      <c r="I1006" s="10">
        <f>($K$2+0.02)*Tabla1[[#This Row],[PRECIO $]]*1.18</f>
        <v>1785.34</v>
      </c>
      <c r="J1006" s="7">
        <f>+Tabla1[[#This Row],[PRECIO EN SOLES]]-Tabla1[[#This Row],[PC]]</f>
        <v>320.50779999999963</v>
      </c>
    </row>
    <row r="1007" spans="1:10" x14ac:dyDescent="0.25">
      <c r="A1007" s="3" t="s">
        <v>5680</v>
      </c>
      <c r="B1007" s="3" t="s">
        <v>5681</v>
      </c>
      <c r="C1007" s="1">
        <v>0</v>
      </c>
      <c r="D1007" s="1">
        <v>515</v>
      </c>
      <c r="E1007" s="1" t="s">
        <v>74</v>
      </c>
      <c r="F1007" s="1" t="s">
        <v>5682</v>
      </c>
      <c r="G1007" s="3" t="s">
        <v>468</v>
      </c>
      <c r="H1007" s="12" cm="1">
        <f t="array" ref="H1007">_xlfn.IFS(I1007&lt;197,I1007*1.26,I1007&gt;197,I1007*1.17) + IF(I1007&gt;1000,17,0)</f>
        <v>2434.4305999999997</v>
      </c>
      <c r="I1007" s="10">
        <f>($K$2+0.02)*Tabla1[[#This Row],[PRECIO $]]*1.18</f>
        <v>2066.1799999999998</v>
      </c>
      <c r="J1007" s="7">
        <f>+Tabla1[[#This Row],[PRECIO EN SOLES]]-Tabla1[[#This Row],[PC]]</f>
        <v>368.25059999999985</v>
      </c>
    </row>
    <row r="1008" spans="1:10" x14ac:dyDescent="0.25">
      <c r="A1008" s="3" t="s">
        <v>2301</v>
      </c>
      <c r="B1008" s="3" t="s">
        <v>2302</v>
      </c>
      <c r="C1008" s="1">
        <v>1</v>
      </c>
      <c r="D1008" s="1">
        <v>472</v>
      </c>
      <c r="E1008" s="1" t="s">
        <v>74</v>
      </c>
      <c r="F1008" s="1" t="s">
        <v>4829</v>
      </c>
      <c r="G1008" s="3" t="s">
        <v>2303</v>
      </c>
      <c r="H1008" s="12" cm="1">
        <f t="array" ref="H1008">_xlfn.IFS(I1008&lt;197,I1008*1.26,I1008&gt;197,I1008*1.17) + IF(I1008&gt;1000,17,0)</f>
        <v>2232.5868799999994</v>
      </c>
      <c r="I1008" s="10">
        <f>($K$2+0.02)*Tabla1[[#This Row],[PRECIO $]]*1.18</f>
        <v>1893.6639999999998</v>
      </c>
      <c r="J1008" s="7">
        <f>+Tabla1[[#This Row],[PRECIO EN SOLES]]-Tabla1[[#This Row],[PC]]</f>
        <v>338.92287999999962</v>
      </c>
    </row>
    <row r="1009" spans="1:10" x14ac:dyDescent="0.25">
      <c r="A1009" s="3" t="s">
        <v>3567</v>
      </c>
      <c r="B1009" s="3" t="s">
        <v>467</v>
      </c>
      <c r="C1009" s="1">
        <v>20</v>
      </c>
      <c r="D1009" s="1">
        <v>434.28</v>
      </c>
      <c r="E1009" s="1" t="s">
        <v>74</v>
      </c>
      <c r="F1009" s="1" t="s">
        <v>4830</v>
      </c>
      <c r="G1009" s="3" t="s">
        <v>468</v>
      </c>
      <c r="H1009" s="12" cm="1">
        <f t="array" ref="H1009">_xlfn.IFS(I1009&lt;197,I1009*1.26,I1009&gt;197,I1009*1.17) + IF(I1009&gt;1000,17,0)</f>
        <v>2055.5276911999999</v>
      </c>
      <c r="I1009" s="10">
        <f>($K$2+0.02)*Tabla1[[#This Row],[PRECIO $]]*1.18</f>
        <v>1742.3313599999999</v>
      </c>
      <c r="J1009" s="7">
        <f>+Tabla1[[#This Row],[PRECIO EN SOLES]]-Tabla1[[#This Row],[PC]]</f>
        <v>313.19633120000003</v>
      </c>
    </row>
    <row r="1010" spans="1:10" x14ac:dyDescent="0.25">
      <c r="A1010" s="3" t="s">
        <v>469</v>
      </c>
      <c r="B1010" s="3" t="s">
        <v>467</v>
      </c>
      <c r="C1010" s="1">
        <v>20</v>
      </c>
      <c r="D1010" s="1">
        <v>434.28</v>
      </c>
      <c r="E1010" s="1" t="s">
        <v>74</v>
      </c>
      <c r="F1010" s="1" t="s">
        <v>4831</v>
      </c>
      <c r="G1010" s="3" t="s">
        <v>470</v>
      </c>
      <c r="H1010" s="12" cm="1">
        <f t="array" ref="H1010">_xlfn.IFS(I1010&lt;197,I1010*1.26,I1010&gt;197,I1010*1.17) + IF(I1010&gt;1000,17,0)</f>
        <v>2055.5276911999999</v>
      </c>
      <c r="I1010" s="10">
        <f>($K$2+0.02)*Tabla1[[#This Row],[PRECIO $]]*1.18</f>
        <v>1742.3313599999999</v>
      </c>
      <c r="J1010" s="7">
        <f>+Tabla1[[#This Row],[PRECIO EN SOLES]]-Tabla1[[#This Row],[PC]]</f>
        <v>313.19633120000003</v>
      </c>
    </row>
    <row r="1011" spans="1:10" x14ac:dyDescent="0.25">
      <c r="A1011" s="3" t="s">
        <v>5814</v>
      </c>
      <c r="B1011" s="3" t="s">
        <v>5815</v>
      </c>
      <c r="C1011" s="1">
        <v>20</v>
      </c>
      <c r="D1011" s="1">
        <v>459</v>
      </c>
      <c r="E1011" s="1" t="s">
        <v>74</v>
      </c>
      <c r="F1011" s="1" t="s">
        <v>5816</v>
      </c>
      <c r="G1011" s="3" t="s">
        <v>5817</v>
      </c>
      <c r="H1011" s="12" cm="1">
        <f t="array" ref="H1011">_xlfn.IFS(I1011&lt;197,I1011*1.26,I1011&gt;197,I1011*1.17) + IF(I1011&gt;1000,17,0)</f>
        <v>2171.5643599999999</v>
      </c>
      <c r="I1011" s="10">
        <f>($K$2+0.02)*Tabla1[[#This Row],[PRECIO $]]*1.18</f>
        <v>1841.5079999999998</v>
      </c>
      <c r="J1011" s="7">
        <f>+Tabla1[[#This Row],[PRECIO EN SOLES]]-Tabla1[[#This Row],[PC]]</f>
        <v>330.05636000000004</v>
      </c>
    </row>
    <row r="1012" spans="1:10" x14ac:dyDescent="0.25">
      <c r="A1012" s="3" t="s">
        <v>2304</v>
      </c>
      <c r="B1012" s="3" t="s">
        <v>471</v>
      </c>
      <c r="C1012" s="1">
        <v>20</v>
      </c>
      <c r="D1012" s="1">
        <v>525</v>
      </c>
      <c r="E1012" s="1" t="s">
        <v>324</v>
      </c>
      <c r="F1012" s="1" t="s">
        <v>4832</v>
      </c>
      <c r="G1012" s="3" t="s">
        <v>2305</v>
      </c>
      <c r="H1012" s="12" cm="1">
        <f t="array" ref="H1012">_xlfn.IFS(I1012&lt;197,I1012*1.26,I1012&gt;197,I1012*1.17) + IF(I1012&gt;1000,17,0)</f>
        <v>2481.3709999999996</v>
      </c>
      <c r="I1012" s="10">
        <f>($K$2+0.02)*Tabla1[[#This Row],[PRECIO $]]*1.18</f>
        <v>2106.2999999999997</v>
      </c>
      <c r="J1012" s="7">
        <f>+Tabla1[[#This Row],[PRECIO EN SOLES]]-Tabla1[[#This Row],[PC]]</f>
        <v>375.07099999999991</v>
      </c>
    </row>
    <row r="1013" spans="1:10" x14ac:dyDescent="0.25">
      <c r="A1013" s="3" t="s">
        <v>472</v>
      </c>
      <c r="B1013" s="3" t="s">
        <v>466</v>
      </c>
      <c r="C1013" s="1">
        <v>20</v>
      </c>
      <c r="D1013" s="1">
        <v>490</v>
      </c>
      <c r="E1013" s="1" t="s">
        <v>324</v>
      </c>
      <c r="F1013" s="1" t="s">
        <v>4833</v>
      </c>
      <c r="G1013" s="3" t="s">
        <v>473</v>
      </c>
      <c r="H1013" s="12" cm="1">
        <f t="array" ref="H1013">_xlfn.IFS(I1013&lt;197,I1013*1.26,I1013&gt;197,I1013*1.17) + IF(I1013&gt;1000,17,0)</f>
        <v>2317.0795999999996</v>
      </c>
      <c r="I1013" s="10">
        <f>($K$2+0.02)*Tabla1[[#This Row],[PRECIO $]]*1.18</f>
        <v>1965.8799999999999</v>
      </c>
      <c r="J1013" s="7">
        <f>+Tabla1[[#This Row],[PRECIO EN SOLES]]-Tabla1[[#This Row],[PC]]</f>
        <v>351.19959999999969</v>
      </c>
    </row>
    <row r="1014" spans="1:10" x14ac:dyDescent="0.25">
      <c r="A1014" s="3" t="s">
        <v>474</v>
      </c>
      <c r="B1014" s="3" t="s">
        <v>475</v>
      </c>
      <c r="C1014" s="1">
        <v>20</v>
      </c>
      <c r="D1014" s="1">
        <v>428.09</v>
      </c>
      <c r="E1014" s="1" t="s">
        <v>74</v>
      </c>
      <c r="F1014" s="1" t="s">
        <v>4834</v>
      </c>
      <c r="G1014" s="3" t="s">
        <v>476</v>
      </c>
      <c r="H1014" s="12" cm="1">
        <f t="array" ref="H1014">_xlfn.IFS(I1014&lt;197,I1014*1.26,I1014&gt;197,I1014*1.17) + IF(I1014&gt;1000,17,0)</f>
        <v>2026.4715835999993</v>
      </c>
      <c r="I1014" s="10">
        <f>($K$2+0.02)*Tabla1[[#This Row],[PRECIO $]]*1.18</f>
        <v>1717.4970799999996</v>
      </c>
      <c r="J1014" s="7">
        <f>+Tabla1[[#This Row],[PRECIO EN SOLES]]-Tabla1[[#This Row],[PC]]</f>
        <v>308.97450359999971</v>
      </c>
    </row>
    <row r="1015" spans="1:10" x14ac:dyDescent="0.25">
      <c r="A1015" s="3" t="s">
        <v>2306</v>
      </c>
      <c r="B1015" s="3" t="s">
        <v>2307</v>
      </c>
      <c r="C1015" s="1">
        <v>20</v>
      </c>
      <c r="D1015" s="1">
        <v>693</v>
      </c>
      <c r="E1015" s="1" t="s">
        <v>1112</v>
      </c>
      <c r="F1015" s="1" t="s">
        <v>4835</v>
      </c>
      <c r="G1015" s="3" t="s">
        <v>2308</v>
      </c>
      <c r="H1015" s="12" cm="1">
        <f t="array" ref="H1015">_xlfn.IFS(I1015&lt;197,I1015*1.26,I1015&gt;197,I1015*1.17) + IF(I1015&gt;1000,17,0)</f>
        <v>3269.9697199999996</v>
      </c>
      <c r="I1015" s="10">
        <f>($K$2+0.02)*Tabla1[[#This Row],[PRECIO $]]*1.18</f>
        <v>2780.3159999999998</v>
      </c>
      <c r="J1015" s="7">
        <f>+Tabla1[[#This Row],[PRECIO EN SOLES]]-Tabla1[[#This Row],[PC]]</f>
        <v>489.65371999999979</v>
      </c>
    </row>
    <row r="1016" spans="1:10" x14ac:dyDescent="0.25">
      <c r="A1016" s="3" t="s">
        <v>6328</v>
      </c>
      <c r="B1016" s="3" t="s">
        <v>6329</v>
      </c>
      <c r="C1016" s="1">
        <v>20</v>
      </c>
      <c r="D1016" s="1">
        <v>643.5</v>
      </c>
      <c r="E1016" s="1" t="s">
        <v>426</v>
      </c>
      <c r="F1016" s="1" t="s">
        <v>6330</v>
      </c>
      <c r="G1016" s="3" t="s">
        <v>6331</v>
      </c>
      <c r="H1016" s="12" cm="1">
        <f t="array" ref="H1016">_xlfn.IFS(I1016&lt;197,I1016*1.26,I1016&gt;197,I1016*1.17) + IF(I1016&gt;1000,17,0)</f>
        <v>3037.6147399999995</v>
      </c>
      <c r="I1016" s="10">
        <f>($K$2+0.02)*Tabla1[[#This Row],[PRECIO $]]*1.18</f>
        <v>2581.7219999999998</v>
      </c>
      <c r="J1016" s="7">
        <f>+Tabla1[[#This Row],[PRECIO EN SOLES]]-Tabla1[[#This Row],[PC]]</f>
        <v>455.89273999999978</v>
      </c>
    </row>
    <row r="1017" spans="1:10" x14ac:dyDescent="0.25">
      <c r="A1017" s="3" t="s">
        <v>477</v>
      </c>
      <c r="B1017" s="3" t="s">
        <v>478</v>
      </c>
      <c r="C1017" s="1">
        <v>20</v>
      </c>
      <c r="D1017" s="1">
        <v>625</v>
      </c>
      <c r="E1017" s="1" t="s">
        <v>56</v>
      </c>
      <c r="F1017" s="1" t="s">
        <v>4836</v>
      </c>
      <c r="G1017" s="3" t="s">
        <v>479</v>
      </c>
      <c r="H1017" s="12" cm="1">
        <f t="array" ref="H1017">_xlfn.IFS(I1017&lt;197,I1017*1.26,I1017&gt;197,I1017*1.17) + IF(I1017&gt;1000,17,0)</f>
        <v>2950.7749999999996</v>
      </c>
      <c r="I1017" s="10">
        <f>($K$2+0.02)*Tabla1[[#This Row],[PRECIO $]]*1.18</f>
        <v>2507.5</v>
      </c>
      <c r="J1017" s="7">
        <f>+Tabla1[[#This Row],[PRECIO EN SOLES]]-Tabla1[[#This Row],[PC]]</f>
        <v>443.27499999999964</v>
      </c>
    </row>
    <row r="1018" spans="1:10" x14ac:dyDescent="0.25">
      <c r="A1018" s="3" t="s">
        <v>2309</v>
      </c>
      <c r="B1018" s="3" t="s">
        <v>2310</v>
      </c>
      <c r="C1018" s="1">
        <v>20</v>
      </c>
      <c r="D1018" s="1">
        <v>821.5</v>
      </c>
      <c r="E1018" s="1" t="s">
        <v>324</v>
      </c>
      <c r="F1018" s="1" t="s">
        <v>4837</v>
      </c>
      <c r="G1018" s="3" t="s">
        <v>2311</v>
      </c>
      <c r="H1018" s="12" cm="1">
        <f t="array" ref="H1018">_xlfn.IFS(I1018&lt;197,I1018*1.26,I1018&gt;197,I1018*1.17) + IF(I1018&gt;1000,17,0)</f>
        <v>3873.1538599999994</v>
      </c>
      <c r="I1018" s="10">
        <f>($K$2+0.02)*Tabla1[[#This Row],[PRECIO $]]*1.18</f>
        <v>3295.8579999999997</v>
      </c>
      <c r="J1018" s="7">
        <f>+Tabla1[[#This Row],[PRECIO EN SOLES]]-Tabla1[[#This Row],[PC]]</f>
        <v>577.29585999999972</v>
      </c>
    </row>
    <row r="1019" spans="1:10" x14ac:dyDescent="0.25">
      <c r="A1019" s="3" t="s">
        <v>2312</v>
      </c>
      <c r="B1019" s="3" t="s">
        <v>2313</v>
      </c>
      <c r="C1019" s="1">
        <v>20</v>
      </c>
      <c r="D1019" s="1">
        <v>834</v>
      </c>
      <c r="E1019" s="1" t="s">
        <v>324</v>
      </c>
      <c r="F1019" s="1" t="s">
        <v>4838</v>
      </c>
      <c r="G1019" s="3" t="s">
        <v>480</v>
      </c>
      <c r="H1019" s="12" cm="1">
        <f t="array" ref="H1019">_xlfn.IFS(I1019&lt;197,I1019*1.26,I1019&gt;197,I1019*1.17) + IF(I1019&gt;1000,17,0)</f>
        <v>3931.8293599999997</v>
      </c>
      <c r="I1019" s="10">
        <f>($K$2+0.02)*Tabla1[[#This Row],[PRECIO $]]*1.18</f>
        <v>3346.0079999999998</v>
      </c>
      <c r="J1019" s="7">
        <f>+Tabla1[[#This Row],[PRECIO EN SOLES]]-Tabla1[[#This Row],[PC]]</f>
        <v>585.82135999999991</v>
      </c>
    </row>
    <row r="1020" spans="1:10" x14ac:dyDescent="0.25">
      <c r="A1020" s="3" t="s">
        <v>2314</v>
      </c>
      <c r="B1020" s="3" t="s">
        <v>2315</v>
      </c>
      <c r="C1020" s="1">
        <v>20</v>
      </c>
      <c r="D1020" s="1">
        <v>695</v>
      </c>
      <c r="E1020" s="1" t="s">
        <v>324</v>
      </c>
      <c r="F1020" s="1" t="s">
        <v>4839</v>
      </c>
      <c r="G1020" s="3" t="s">
        <v>480</v>
      </c>
      <c r="H1020" s="12" cm="1">
        <f t="array" ref="H1020">_xlfn.IFS(I1020&lt;197,I1020*1.26,I1020&gt;197,I1020*1.17) + IF(I1020&gt;1000,17,0)</f>
        <v>3279.3577999999993</v>
      </c>
      <c r="I1020" s="10">
        <f>($K$2+0.02)*Tabla1[[#This Row],[PRECIO $]]*1.18</f>
        <v>2788.3399999999997</v>
      </c>
      <c r="J1020" s="7">
        <f>+Tabla1[[#This Row],[PRECIO EN SOLES]]-Tabla1[[#This Row],[PC]]</f>
        <v>491.01779999999962</v>
      </c>
    </row>
    <row r="1021" spans="1:10" x14ac:dyDescent="0.25">
      <c r="A1021" s="3" t="s">
        <v>2316</v>
      </c>
      <c r="B1021" s="3" t="s">
        <v>2317</v>
      </c>
      <c r="C1021" s="1">
        <v>20</v>
      </c>
      <c r="D1021" s="1">
        <v>624</v>
      </c>
      <c r="E1021" s="1" t="s">
        <v>324</v>
      </c>
      <c r="F1021" s="1" t="s">
        <v>4840</v>
      </c>
      <c r="G1021" s="3" t="s">
        <v>2318</v>
      </c>
      <c r="H1021" s="12" cm="1">
        <f t="array" ref="H1021">_xlfn.IFS(I1021&lt;197,I1021*1.26,I1021&gt;197,I1021*1.17) + IF(I1021&gt;1000,17,0)</f>
        <v>2946.0809599999998</v>
      </c>
      <c r="I1021" s="10">
        <f>($K$2+0.02)*Tabla1[[#This Row],[PRECIO $]]*1.18</f>
        <v>2503.4879999999998</v>
      </c>
      <c r="J1021" s="7">
        <f>+Tabla1[[#This Row],[PRECIO EN SOLES]]-Tabla1[[#This Row],[PC]]</f>
        <v>442.59295999999995</v>
      </c>
    </row>
    <row r="1022" spans="1:10" x14ac:dyDescent="0.25">
      <c r="A1022" s="3" t="s">
        <v>481</v>
      </c>
      <c r="B1022" s="3" t="s">
        <v>482</v>
      </c>
      <c r="C1022" s="1">
        <v>20</v>
      </c>
      <c r="D1022" s="1">
        <v>662</v>
      </c>
      <c r="E1022" s="1" t="s">
        <v>324</v>
      </c>
      <c r="F1022" s="1" t="s">
        <v>4841</v>
      </c>
      <c r="G1022" s="3" t="s">
        <v>480</v>
      </c>
      <c r="H1022" s="12" cm="1">
        <f t="array" ref="H1022">_xlfn.IFS(I1022&lt;197,I1022*1.26,I1022&gt;197,I1022*1.17) + IF(I1022&gt;1000,17,0)</f>
        <v>3124.4544799999994</v>
      </c>
      <c r="I1022" s="10">
        <f>($K$2+0.02)*Tabla1[[#This Row],[PRECIO $]]*1.18</f>
        <v>2655.9439999999995</v>
      </c>
      <c r="J1022" s="7">
        <f>+Tabla1[[#This Row],[PRECIO EN SOLES]]-Tabla1[[#This Row],[PC]]</f>
        <v>468.51047999999992</v>
      </c>
    </row>
    <row r="1023" spans="1:10" x14ac:dyDescent="0.25">
      <c r="A1023" s="3" t="s">
        <v>6332</v>
      </c>
      <c r="B1023" s="3" t="s">
        <v>6333</v>
      </c>
      <c r="C1023" s="1">
        <v>20</v>
      </c>
      <c r="D1023" s="1">
        <v>620.70000000000005</v>
      </c>
      <c r="E1023" s="1" t="s">
        <v>74</v>
      </c>
      <c r="F1023" s="1" t="s">
        <v>6334</v>
      </c>
      <c r="G1023" s="3" t="s">
        <v>6335</v>
      </c>
      <c r="H1023" s="12" cm="1">
        <f t="array" ref="H1023">_xlfn.IFS(I1023&lt;197,I1023*1.26,I1023&gt;197,I1023*1.17) + IF(I1023&gt;1000,17,0)</f>
        <v>2930.5906279999999</v>
      </c>
      <c r="I1023" s="10">
        <f>($K$2+0.02)*Tabla1[[#This Row],[PRECIO $]]*1.18</f>
        <v>2490.2483999999999</v>
      </c>
      <c r="J1023" s="7">
        <f>+Tabla1[[#This Row],[PRECIO EN SOLES]]-Tabla1[[#This Row],[PC]]</f>
        <v>440.34222799999998</v>
      </c>
    </row>
    <row r="1024" spans="1:10" x14ac:dyDescent="0.25">
      <c r="A1024" s="3" t="s">
        <v>2319</v>
      </c>
      <c r="B1024" s="3" t="s">
        <v>2320</v>
      </c>
      <c r="C1024" s="1">
        <v>0</v>
      </c>
      <c r="D1024" s="1">
        <v>567</v>
      </c>
      <c r="E1024" s="1" t="s">
        <v>54</v>
      </c>
      <c r="F1024" s="1" t="s">
        <v>4842</v>
      </c>
      <c r="G1024" s="3" t="s">
        <v>2321</v>
      </c>
      <c r="H1024" s="12" cm="1">
        <f t="array" ref="H1024">_xlfn.IFS(I1024&lt;197,I1024*1.26,I1024&gt;197,I1024*1.17) + IF(I1024&gt;1000,17,0)</f>
        <v>2678.5206799999996</v>
      </c>
      <c r="I1024" s="10">
        <f>($K$2+0.02)*Tabla1[[#This Row],[PRECIO $]]*1.18</f>
        <v>2274.8039999999996</v>
      </c>
      <c r="J1024" s="7">
        <f>+Tabla1[[#This Row],[PRECIO EN SOLES]]-Tabla1[[#This Row],[PC]]</f>
        <v>403.71668</v>
      </c>
    </row>
    <row r="1025" spans="1:10" x14ac:dyDescent="0.25">
      <c r="A1025" s="3" t="s">
        <v>2324</v>
      </c>
      <c r="B1025" s="3" t="s">
        <v>2322</v>
      </c>
      <c r="C1025" s="1">
        <v>0</v>
      </c>
      <c r="D1025" s="1">
        <v>847</v>
      </c>
      <c r="E1025" s="1" t="s">
        <v>56</v>
      </c>
      <c r="F1025" s="1" t="s">
        <v>4843</v>
      </c>
      <c r="G1025" s="3" t="s">
        <v>2323</v>
      </c>
      <c r="H1025" s="12" cm="1">
        <f t="array" ref="H1025">_xlfn.IFS(I1025&lt;197,I1025*1.26,I1025&gt;197,I1025*1.17) + IF(I1025&gt;1000,17,0)</f>
        <v>3992.8518799999988</v>
      </c>
      <c r="I1025" s="10">
        <f>($K$2+0.02)*Tabla1[[#This Row],[PRECIO $]]*1.18</f>
        <v>3398.1639999999993</v>
      </c>
      <c r="J1025" s="7">
        <f>+Tabla1[[#This Row],[PRECIO EN SOLES]]-Tabla1[[#This Row],[PC]]</f>
        <v>594.6878799999995</v>
      </c>
    </row>
    <row r="1026" spans="1:10" x14ac:dyDescent="0.25">
      <c r="A1026" s="3" t="s">
        <v>2325</v>
      </c>
      <c r="B1026" s="3" t="s">
        <v>2326</v>
      </c>
      <c r="C1026" s="1">
        <v>20</v>
      </c>
      <c r="D1026" s="1">
        <v>1355</v>
      </c>
      <c r="E1026" s="1" t="s">
        <v>1002</v>
      </c>
      <c r="F1026" s="1" t="s">
        <v>4844</v>
      </c>
      <c r="G1026" s="3" t="s">
        <v>2327</v>
      </c>
      <c r="H1026" s="12" cm="1">
        <f t="array" ref="H1026">_xlfn.IFS(I1026&lt;197,I1026*1.26,I1026&gt;197,I1026*1.17) + IF(I1026&gt;1000,17,0)</f>
        <v>6377.4241999999986</v>
      </c>
      <c r="I1026" s="10">
        <f>($K$2+0.02)*Tabla1[[#This Row],[PRECIO $]]*1.18</f>
        <v>5436.2599999999993</v>
      </c>
      <c r="J1026" s="7">
        <f>+Tabla1[[#This Row],[PRECIO EN SOLES]]-Tabla1[[#This Row],[PC]]</f>
        <v>941.16419999999925</v>
      </c>
    </row>
    <row r="1027" spans="1:10" x14ac:dyDescent="0.25">
      <c r="A1027" s="3" t="s">
        <v>2328</v>
      </c>
      <c r="B1027" s="3" t="s">
        <v>2329</v>
      </c>
      <c r="C1027" s="1">
        <v>20</v>
      </c>
      <c r="D1027" s="1">
        <v>1149</v>
      </c>
      <c r="E1027" s="1" t="s">
        <v>1002</v>
      </c>
      <c r="F1027" s="1" t="s">
        <v>4845</v>
      </c>
      <c r="G1027" s="3" t="s">
        <v>2330</v>
      </c>
      <c r="H1027" s="12" cm="1">
        <f t="array" ref="H1027">_xlfn.IFS(I1027&lt;197,I1027*1.26,I1027&gt;197,I1027*1.17) + IF(I1027&gt;1000,17,0)</f>
        <v>5410.4519599999994</v>
      </c>
      <c r="I1027" s="10">
        <f>($K$2+0.02)*Tabla1[[#This Row],[PRECIO $]]*1.18</f>
        <v>4609.7879999999996</v>
      </c>
      <c r="J1027" s="7">
        <f>+Tabla1[[#This Row],[PRECIO EN SOLES]]-Tabla1[[#This Row],[PC]]</f>
        <v>800.66395999999986</v>
      </c>
    </row>
    <row r="1028" spans="1:10" x14ac:dyDescent="0.25">
      <c r="A1028" s="3" t="s">
        <v>2331</v>
      </c>
      <c r="B1028" s="3" t="s">
        <v>2332</v>
      </c>
      <c r="C1028" s="1">
        <v>20</v>
      </c>
      <c r="D1028" s="1">
        <v>784</v>
      </c>
      <c r="E1028" s="1" t="s">
        <v>1002</v>
      </c>
      <c r="F1028" s="1" t="s">
        <v>4846</v>
      </c>
      <c r="G1028" s="3" t="s">
        <v>2333</v>
      </c>
      <c r="H1028" s="12" cm="1">
        <f t="array" ref="H1028">_xlfn.IFS(I1028&lt;197,I1028*1.26,I1028&gt;197,I1028*1.17) + IF(I1028&gt;1000,17,0)</f>
        <v>3697.1273599999995</v>
      </c>
      <c r="I1028" s="10">
        <f>($K$2+0.02)*Tabla1[[#This Row],[PRECIO $]]*1.18</f>
        <v>3145.4079999999999</v>
      </c>
      <c r="J1028" s="7">
        <f>+Tabla1[[#This Row],[PRECIO EN SOLES]]-Tabla1[[#This Row],[PC]]</f>
        <v>551.7193599999996</v>
      </c>
    </row>
    <row r="1029" spans="1:10" x14ac:dyDescent="0.25">
      <c r="A1029" s="3" t="s">
        <v>2334</v>
      </c>
      <c r="B1029" s="3" t="s">
        <v>2335</v>
      </c>
      <c r="C1029" s="1">
        <v>8</v>
      </c>
      <c r="D1029" s="1">
        <v>1617</v>
      </c>
      <c r="E1029" s="1" t="s">
        <v>1002</v>
      </c>
      <c r="F1029" s="1" t="s">
        <v>4847</v>
      </c>
      <c r="G1029" s="3" t="s">
        <v>2336</v>
      </c>
      <c r="H1029" s="12" cm="1">
        <f t="array" ref="H1029">_xlfn.IFS(I1029&lt;197,I1029*1.26,I1029&gt;197,I1029*1.17) + IF(I1029&gt;1000,17,0)</f>
        <v>7607.2626799999989</v>
      </c>
      <c r="I1029" s="10">
        <f>($K$2+0.02)*Tabla1[[#This Row],[PRECIO $]]*1.18</f>
        <v>6487.4039999999995</v>
      </c>
      <c r="J1029" s="7">
        <f>+Tabla1[[#This Row],[PRECIO EN SOLES]]-Tabla1[[#This Row],[PC]]</f>
        <v>1119.8586799999994</v>
      </c>
    </row>
    <row r="1030" spans="1:10" x14ac:dyDescent="0.25">
      <c r="A1030" s="3" t="s">
        <v>2337</v>
      </c>
      <c r="B1030" s="3" t="s">
        <v>2338</v>
      </c>
      <c r="C1030" s="1">
        <v>20</v>
      </c>
      <c r="D1030" s="1">
        <v>1355</v>
      </c>
      <c r="E1030" s="1" t="s">
        <v>1002</v>
      </c>
      <c r="F1030" s="1" t="s">
        <v>4848</v>
      </c>
      <c r="G1030" s="3"/>
      <c r="H1030" s="12" cm="1">
        <f t="array" ref="H1030">_xlfn.IFS(I1030&lt;197,I1030*1.26,I1030&gt;197,I1030*1.17) + IF(I1030&gt;1000,17,0)</f>
        <v>6377.4241999999986</v>
      </c>
      <c r="I1030" s="10">
        <f>($K$2+0.02)*Tabla1[[#This Row],[PRECIO $]]*1.18</f>
        <v>5436.2599999999993</v>
      </c>
      <c r="J1030" s="7">
        <f>+Tabla1[[#This Row],[PRECIO EN SOLES]]-Tabla1[[#This Row],[PC]]</f>
        <v>941.16419999999925</v>
      </c>
    </row>
    <row r="1031" spans="1:10" x14ac:dyDescent="0.25">
      <c r="A1031" s="3" t="s">
        <v>2339</v>
      </c>
      <c r="B1031" s="3" t="s">
        <v>2340</v>
      </c>
      <c r="C1031" s="1">
        <v>20</v>
      </c>
      <c r="D1031" s="1">
        <v>1387</v>
      </c>
      <c r="E1031" s="1" t="s">
        <v>1002</v>
      </c>
      <c r="F1031" s="1" t="s">
        <v>4849</v>
      </c>
      <c r="G1031" s="3"/>
      <c r="H1031" s="12" cm="1">
        <f t="array" ref="H1031">_xlfn.IFS(I1031&lt;197,I1031*1.26,I1031&gt;197,I1031*1.17) + IF(I1031&gt;1000,17,0)</f>
        <v>6527.6334799999995</v>
      </c>
      <c r="I1031" s="10">
        <f>($K$2+0.02)*Tabla1[[#This Row],[PRECIO $]]*1.18</f>
        <v>5564.6440000000002</v>
      </c>
      <c r="J1031" s="7">
        <f>+Tabla1[[#This Row],[PRECIO EN SOLES]]-Tabla1[[#This Row],[PC]]</f>
        <v>962.98947999999928</v>
      </c>
    </row>
    <row r="1032" spans="1:10" x14ac:dyDescent="0.25">
      <c r="A1032" s="3" t="s">
        <v>2341</v>
      </c>
      <c r="B1032" s="3" t="s">
        <v>2342</v>
      </c>
      <c r="C1032" s="1">
        <v>20</v>
      </c>
      <c r="D1032" s="1">
        <v>1377</v>
      </c>
      <c r="E1032" s="1" t="s">
        <v>1002</v>
      </c>
      <c r="F1032" s="1" t="s">
        <v>4850</v>
      </c>
      <c r="G1032" s="3"/>
      <c r="H1032" s="12" cm="1">
        <f t="array" ref="H1032">_xlfn.IFS(I1032&lt;197,I1032*1.26,I1032&gt;197,I1032*1.17) + IF(I1032&gt;1000,17,0)</f>
        <v>6480.69308</v>
      </c>
      <c r="I1032" s="10">
        <f>($K$2+0.02)*Tabla1[[#This Row],[PRECIO $]]*1.18</f>
        <v>5524.5240000000003</v>
      </c>
      <c r="J1032" s="7">
        <f>+Tabla1[[#This Row],[PRECIO EN SOLES]]-Tabla1[[#This Row],[PC]]</f>
        <v>956.16907999999967</v>
      </c>
    </row>
    <row r="1033" spans="1:10" x14ac:dyDescent="0.25">
      <c r="A1033" s="3" t="s">
        <v>2343</v>
      </c>
      <c r="B1033" s="3" t="s">
        <v>2344</v>
      </c>
      <c r="C1033" s="1">
        <v>7</v>
      </c>
      <c r="D1033" s="1">
        <v>830</v>
      </c>
      <c r="E1033" s="1" t="s">
        <v>74</v>
      </c>
      <c r="F1033" s="1" t="s">
        <v>4851</v>
      </c>
      <c r="G1033" s="3" t="s">
        <v>2345</v>
      </c>
      <c r="H1033" s="12" cm="1">
        <f t="array" ref="H1033">_xlfn.IFS(I1033&lt;197,I1033*1.26,I1033&gt;197,I1033*1.17) + IF(I1033&gt;1000,17,0)</f>
        <v>3913.0531999999998</v>
      </c>
      <c r="I1033" s="10">
        <f>($K$2+0.02)*Tabla1[[#This Row],[PRECIO $]]*1.18</f>
        <v>3329.96</v>
      </c>
      <c r="J1033" s="7">
        <f>+Tabla1[[#This Row],[PRECIO EN SOLES]]-Tabla1[[#This Row],[PC]]</f>
        <v>583.0931999999998</v>
      </c>
    </row>
    <row r="1034" spans="1:10" x14ac:dyDescent="0.25">
      <c r="A1034" s="3" t="s">
        <v>2346</v>
      </c>
      <c r="B1034" s="3" t="s">
        <v>2347</v>
      </c>
      <c r="C1034" s="1">
        <v>19</v>
      </c>
      <c r="D1034" s="1">
        <v>1469</v>
      </c>
      <c r="E1034" s="1" t="s">
        <v>1112</v>
      </c>
      <c r="F1034" s="1" t="s">
        <v>4852</v>
      </c>
      <c r="G1034" s="3" t="s">
        <v>2348</v>
      </c>
      <c r="H1034" s="12" cm="1">
        <f t="array" ref="H1034">_xlfn.IFS(I1034&lt;197,I1034*1.26,I1034&gt;197,I1034*1.17) + IF(I1034&gt;1000,17,0)</f>
        <v>6912.544759999998</v>
      </c>
      <c r="I1034" s="10">
        <f>($K$2+0.02)*Tabla1[[#This Row],[PRECIO $]]*1.18</f>
        <v>5893.6279999999988</v>
      </c>
      <c r="J1034" s="7">
        <f>+Tabla1[[#This Row],[PRECIO EN SOLES]]-Tabla1[[#This Row],[PC]]</f>
        <v>1018.9167599999992</v>
      </c>
    </row>
    <row r="1035" spans="1:10" x14ac:dyDescent="0.25">
      <c r="A1035" s="3" t="s">
        <v>3714</v>
      </c>
      <c r="B1035" s="3" t="s">
        <v>3712</v>
      </c>
      <c r="C1035" s="1">
        <v>1</v>
      </c>
      <c r="D1035" s="1">
        <v>1027</v>
      </c>
      <c r="E1035" s="1" t="s">
        <v>56</v>
      </c>
      <c r="F1035" s="1" t="s">
        <v>4853</v>
      </c>
      <c r="G1035" s="3" t="s">
        <v>3713</v>
      </c>
      <c r="H1035" s="12" cm="1">
        <f t="array" ref="H1035">_xlfn.IFS(I1035&lt;197,I1035*1.26,I1035&gt;197,I1035*1.17) + IF(I1035&gt;1000,17,0)</f>
        <v>4837.7790799999993</v>
      </c>
      <c r="I1035" s="10">
        <f>($K$2+0.02)*Tabla1[[#This Row],[PRECIO $]]*1.18</f>
        <v>4120.3239999999996</v>
      </c>
      <c r="J1035" s="7">
        <f>+Tabla1[[#This Row],[PRECIO EN SOLES]]-Tabla1[[#This Row],[PC]]</f>
        <v>717.45507999999973</v>
      </c>
    </row>
    <row r="1036" spans="1:10" x14ac:dyDescent="0.25">
      <c r="A1036" s="3" t="s">
        <v>3513</v>
      </c>
      <c r="B1036" s="3" t="s">
        <v>3514</v>
      </c>
      <c r="C1036" s="1">
        <v>0</v>
      </c>
      <c r="D1036" s="1">
        <v>1017</v>
      </c>
      <c r="E1036" s="1" t="s">
        <v>56</v>
      </c>
      <c r="F1036" s="1" t="s">
        <v>4854</v>
      </c>
      <c r="G1036" s="3" t="s">
        <v>3533</v>
      </c>
      <c r="H1036" s="12" cm="1">
        <f t="array" ref="H1036">_xlfn.IFS(I1036&lt;197,I1036*1.26,I1036&gt;197,I1036*1.17) + IF(I1036&gt;1000,17,0)</f>
        <v>4790.8386799999989</v>
      </c>
      <c r="I1036" s="10">
        <f>($K$2+0.02)*Tabla1[[#This Row],[PRECIO $]]*1.18</f>
        <v>4080.2039999999993</v>
      </c>
      <c r="J1036" s="7">
        <f>+Tabla1[[#This Row],[PRECIO EN SOLES]]-Tabla1[[#This Row],[PC]]</f>
        <v>710.63467999999966</v>
      </c>
    </row>
    <row r="1037" spans="1:10" x14ac:dyDescent="0.25">
      <c r="A1037" s="3" t="s">
        <v>2349</v>
      </c>
      <c r="B1037" s="3" t="s">
        <v>2350</v>
      </c>
      <c r="C1037" s="1">
        <v>1</v>
      </c>
      <c r="D1037" s="1">
        <v>1797</v>
      </c>
      <c r="E1037" s="1" t="s">
        <v>56</v>
      </c>
      <c r="F1037" s="1" t="s">
        <v>4855</v>
      </c>
      <c r="G1037" s="3" t="s">
        <v>2351</v>
      </c>
      <c r="H1037" s="12" cm="1">
        <f t="array" ref="H1037">_xlfn.IFS(I1037&lt;197,I1037*1.26,I1037&gt;197,I1037*1.17) + IF(I1037&gt;1000,17,0)</f>
        <v>8452.1898799999981</v>
      </c>
      <c r="I1037" s="10">
        <f>($K$2+0.02)*Tabla1[[#This Row],[PRECIO $]]*1.18</f>
        <v>7209.5639999999994</v>
      </c>
      <c r="J1037" s="7">
        <f>+Tabla1[[#This Row],[PRECIO EN SOLES]]-Tabla1[[#This Row],[PC]]</f>
        <v>1242.6258799999987</v>
      </c>
    </row>
    <row r="1038" spans="1:10" x14ac:dyDescent="0.25">
      <c r="A1038" s="3" t="s">
        <v>2352</v>
      </c>
      <c r="B1038" s="3" t="s">
        <v>2353</v>
      </c>
      <c r="C1038" s="1">
        <v>0</v>
      </c>
      <c r="D1038" s="1">
        <v>1665</v>
      </c>
      <c r="E1038" s="1" t="s">
        <v>56</v>
      </c>
      <c r="F1038" s="1" t="s">
        <v>4856</v>
      </c>
      <c r="G1038" s="3" t="s">
        <v>2354</v>
      </c>
      <c r="H1038" s="12" cm="1">
        <f t="array" ref="H1038">_xlfn.IFS(I1038&lt;197,I1038*1.26,I1038&gt;197,I1038*1.17) + IF(I1038&gt;1000,17,0)</f>
        <v>7832.5765999999994</v>
      </c>
      <c r="I1038" s="10">
        <f>($K$2+0.02)*Tabla1[[#This Row],[PRECIO $]]*1.18</f>
        <v>6679.98</v>
      </c>
      <c r="J1038" s="7">
        <f>+Tabla1[[#This Row],[PRECIO EN SOLES]]-Tabla1[[#This Row],[PC]]</f>
        <v>1152.5965999999999</v>
      </c>
    </row>
    <row r="1039" spans="1:10" x14ac:dyDescent="0.25">
      <c r="A1039" s="3" t="s">
        <v>2355</v>
      </c>
      <c r="B1039" s="3" t="s">
        <v>2356</v>
      </c>
      <c r="C1039" s="1">
        <v>0</v>
      </c>
      <c r="D1039" s="1">
        <v>2011</v>
      </c>
      <c r="E1039" s="1" t="s">
        <v>56</v>
      </c>
      <c r="F1039" s="1" t="s">
        <v>4857</v>
      </c>
      <c r="G1039" s="3" t="s">
        <v>2357</v>
      </c>
      <c r="H1039" s="12" cm="1">
        <f t="array" ref="H1039">_xlfn.IFS(I1039&lt;197,I1039*1.26,I1039&gt;197,I1039*1.17) + IF(I1039&gt;1000,17,0)</f>
        <v>9456.7144399999979</v>
      </c>
      <c r="I1039" s="10">
        <f>($K$2+0.02)*Tabla1[[#This Row],[PRECIO $]]*1.18</f>
        <v>8068.1319999999987</v>
      </c>
      <c r="J1039" s="7">
        <f>+Tabla1[[#This Row],[PRECIO EN SOLES]]-Tabla1[[#This Row],[PC]]</f>
        <v>1388.5824399999992</v>
      </c>
    </row>
    <row r="1040" spans="1:10" x14ac:dyDescent="0.25">
      <c r="A1040" s="3" t="s">
        <v>2358</v>
      </c>
      <c r="B1040" s="3" t="s">
        <v>2359</v>
      </c>
      <c r="C1040" s="1">
        <v>0</v>
      </c>
      <c r="D1040" s="1">
        <v>2593</v>
      </c>
      <c r="E1040" s="1" t="s">
        <v>1002</v>
      </c>
      <c r="F1040" s="1" t="s">
        <v>4858</v>
      </c>
      <c r="G1040" s="3" t="s">
        <v>2360</v>
      </c>
      <c r="H1040" s="12" cm="1">
        <f t="array" ref="H1040">_xlfn.IFS(I1040&lt;197,I1040*1.26,I1040&gt;197,I1040*1.17) + IF(I1040&gt;1000,17,0)</f>
        <v>12188.645719999997</v>
      </c>
      <c r="I1040" s="10">
        <f>($K$2+0.02)*Tabla1[[#This Row],[PRECIO $]]*1.18</f>
        <v>10403.115999999998</v>
      </c>
      <c r="J1040" s="7">
        <f>+Tabla1[[#This Row],[PRECIO EN SOLES]]-Tabla1[[#This Row],[PC]]</f>
        <v>1785.5297199999986</v>
      </c>
    </row>
    <row r="1041" spans="1:10" x14ac:dyDescent="0.25">
      <c r="A1041" s="3" t="s">
        <v>2361</v>
      </c>
      <c r="B1041" s="3" t="s">
        <v>2362</v>
      </c>
      <c r="C1041" s="1">
        <v>4</v>
      </c>
      <c r="D1041" s="1">
        <v>1564</v>
      </c>
      <c r="E1041" s="1" t="s">
        <v>1002</v>
      </c>
      <c r="F1041" s="1" t="s">
        <v>4859</v>
      </c>
      <c r="G1041" s="3" t="s">
        <v>2363</v>
      </c>
      <c r="H1041" s="12" cm="1">
        <f t="array" ref="H1041">_xlfn.IFS(I1041&lt;197,I1041*1.26,I1041&gt;197,I1041*1.17) + IF(I1041&gt;1000,17,0)</f>
        <v>7358.4785599999987</v>
      </c>
      <c r="I1041" s="10">
        <f>($K$2+0.02)*Tabla1[[#This Row],[PRECIO $]]*1.18</f>
        <v>6274.7679999999991</v>
      </c>
      <c r="J1041" s="7">
        <f>+Tabla1[[#This Row],[PRECIO EN SOLES]]-Tabla1[[#This Row],[PC]]</f>
        <v>1083.7105599999995</v>
      </c>
    </row>
    <row r="1042" spans="1:10" x14ac:dyDescent="0.25">
      <c r="A1042" s="3" t="s">
        <v>3852</v>
      </c>
      <c r="B1042" s="3" t="s">
        <v>3853</v>
      </c>
      <c r="C1042" s="1">
        <v>7</v>
      </c>
      <c r="D1042" s="1">
        <v>2835</v>
      </c>
      <c r="E1042" s="1" t="s">
        <v>1002</v>
      </c>
      <c r="F1042" s="1" t="s">
        <v>4860</v>
      </c>
      <c r="G1042" s="3"/>
      <c r="H1042" s="12" cm="1">
        <f t="array" ref="H1042">_xlfn.IFS(I1042&lt;197,I1042*1.26,I1042&gt;197,I1042*1.17) + IF(I1042&gt;1000,17,0)</f>
        <v>13324.603399999998</v>
      </c>
      <c r="I1042" s="10">
        <f>($K$2+0.02)*Tabla1[[#This Row],[PRECIO $]]*1.18</f>
        <v>11374.019999999999</v>
      </c>
      <c r="J1042" s="7">
        <f>+Tabla1[[#This Row],[PRECIO EN SOLES]]-Tabla1[[#This Row],[PC]]</f>
        <v>1950.5833999999995</v>
      </c>
    </row>
    <row r="1043" spans="1:10" x14ac:dyDescent="0.25">
      <c r="A1043" s="3" t="s">
        <v>2364</v>
      </c>
      <c r="B1043" s="3" t="s">
        <v>2365</v>
      </c>
      <c r="C1043" s="1">
        <v>5</v>
      </c>
      <c r="D1043" s="1">
        <v>1737</v>
      </c>
      <c r="E1043" s="1" t="s">
        <v>1002</v>
      </c>
      <c r="F1043" s="1" t="s">
        <v>4861</v>
      </c>
      <c r="G1043" s="3" t="s">
        <v>2366</v>
      </c>
      <c r="H1043" s="12" cm="1">
        <f t="array" ref="H1043">_xlfn.IFS(I1043&lt;197,I1043*1.26,I1043&gt;197,I1043*1.17) + IF(I1043&gt;1000,17,0)</f>
        <v>8170.5474799999993</v>
      </c>
      <c r="I1043" s="10">
        <f>($K$2+0.02)*Tabla1[[#This Row],[PRECIO $]]*1.18</f>
        <v>6968.8440000000001</v>
      </c>
      <c r="J1043" s="7">
        <f>+Tabla1[[#This Row],[PRECIO EN SOLES]]-Tabla1[[#This Row],[PC]]</f>
        <v>1201.7034799999992</v>
      </c>
    </row>
    <row r="1044" spans="1:10" x14ac:dyDescent="0.25">
      <c r="A1044" s="3" t="s">
        <v>6037</v>
      </c>
      <c r="B1044" s="3" t="s">
        <v>6038</v>
      </c>
      <c r="C1044" s="1">
        <v>16</v>
      </c>
      <c r="D1044" s="1">
        <v>2072</v>
      </c>
      <c r="E1044" s="1" t="s">
        <v>1002</v>
      </c>
      <c r="F1044" s="1" t="s">
        <v>6039</v>
      </c>
      <c r="G1044" s="3"/>
      <c r="H1044" s="12" cm="1">
        <f t="array" ref="H1044">_xlfn.IFS(I1044&lt;197,I1044*1.26,I1044&gt;197,I1044*1.17) + IF(I1044&gt;1000,17,0)</f>
        <v>9743.0508799999989</v>
      </c>
      <c r="I1044" s="10">
        <f>($K$2+0.02)*Tabla1[[#This Row],[PRECIO $]]*1.18</f>
        <v>8312.8639999999996</v>
      </c>
      <c r="J1044" s="7">
        <f>+Tabla1[[#This Row],[PRECIO EN SOLES]]-Tabla1[[#This Row],[PC]]</f>
        <v>1430.1868799999993</v>
      </c>
    </row>
    <row r="1045" spans="1:10" x14ac:dyDescent="0.25">
      <c r="A1045" s="3" t="s">
        <v>2367</v>
      </c>
      <c r="B1045" s="3" t="s">
        <v>2368</v>
      </c>
      <c r="C1045" s="1">
        <v>2</v>
      </c>
      <c r="D1045" s="1">
        <v>1057</v>
      </c>
      <c r="E1045" s="1" t="s">
        <v>1002</v>
      </c>
      <c r="F1045" s="1" t="s">
        <v>4862</v>
      </c>
      <c r="G1045" s="3" t="s">
        <v>2369</v>
      </c>
      <c r="H1045" s="12" cm="1">
        <f t="array" ref="H1045">_xlfn.IFS(I1045&lt;197,I1045*1.26,I1045&gt;197,I1045*1.17) + IF(I1045&gt;1000,17,0)</f>
        <v>4978.6002799999987</v>
      </c>
      <c r="I1045" s="10">
        <f>($K$2+0.02)*Tabla1[[#This Row],[PRECIO $]]*1.18</f>
        <v>4240.6839999999993</v>
      </c>
      <c r="J1045" s="7">
        <f>+Tabla1[[#This Row],[PRECIO EN SOLES]]-Tabla1[[#This Row],[PC]]</f>
        <v>737.91627999999946</v>
      </c>
    </row>
    <row r="1046" spans="1:10" x14ac:dyDescent="0.25">
      <c r="A1046" s="3" t="s">
        <v>2370</v>
      </c>
      <c r="B1046" s="3" t="s">
        <v>2371</v>
      </c>
      <c r="C1046" s="1">
        <v>0</v>
      </c>
      <c r="D1046" s="1">
        <v>1397</v>
      </c>
      <c r="E1046" s="1" t="s">
        <v>1002</v>
      </c>
      <c r="F1046" s="1" t="s">
        <v>4863</v>
      </c>
      <c r="G1046" s="3" t="s">
        <v>2372</v>
      </c>
      <c r="H1046" s="12" cm="1">
        <f t="array" ref="H1046">_xlfn.IFS(I1046&lt;197,I1046*1.26,I1046&gt;197,I1046*1.17) + IF(I1046&gt;1000,17,0)</f>
        <v>6574.5738799999999</v>
      </c>
      <c r="I1046" s="10">
        <f>($K$2+0.02)*Tabla1[[#This Row],[PRECIO $]]*1.18</f>
        <v>5604.7640000000001</v>
      </c>
      <c r="J1046" s="7">
        <f>+Tabla1[[#This Row],[PRECIO EN SOLES]]-Tabla1[[#This Row],[PC]]</f>
        <v>969.80987999999979</v>
      </c>
    </row>
    <row r="1047" spans="1:10" x14ac:dyDescent="0.25">
      <c r="A1047" s="3" t="s">
        <v>2373</v>
      </c>
      <c r="B1047" s="3" t="s">
        <v>2374</v>
      </c>
      <c r="C1047" s="1">
        <v>20</v>
      </c>
      <c r="D1047" s="1">
        <v>1860</v>
      </c>
      <c r="E1047" s="1" t="s">
        <v>426</v>
      </c>
      <c r="F1047" s="1" t="s">
        <v>4864</v>
      </c>
      <c r="G1047" s="3" t="s">
        <v>2375</v>
      </c>
      <c r="H1047" s="12" cm="1">
        <f t="array" ref="H1047">_xlfn.IFS(I1047&lt;197,I1047*1.26,I1047&gt;197,I1047*1.17) + IF(I1047&gt;1000,17,0)</f>
        <v>8747.9143999999997</v>
      </c>
      <c r="I1047" s="10">
        <f>($K$2+0.02)*Tabla1[[#This Row],[PRECIO $]]*1.18</f>
        <v>7462.32</v>
      </c>
      <c r="J1047" s="7">
        <f>+Tabla1[[#This Row],[PRECIO EN SOLES]]-Tabla1[[#This Row],[PC]]</f>
        <v>1285.5944</v>
      </c>
    </row>
    <row r="1048" spans="1:10" x14ac:dyDescent="0.25">
      <c r="A1048" s="3" t="s">
        <v>2376</v>
      </c>
      <c r="B1048" s="3" t="s">
        <v>2377</v>
      </c>
      <c r="C1048" s="1">
        <v>3</v>
      </c>
      <c r="D1048" s="1">
        <v>1912</v>
      </c>
      <c r="E1048" s="1" t="s">
        <v>163</v>
      </c>
      <c r="F1048" s="1" t="s">
        <v>4865</v>
      </c>
      <c r="G1048" s="3" t="s">
        <v>2378</v>
      </c>
      <c r="H1048" s="12" cm="1">
        <f t="array" ref="H1048">_xlfn.IFS(I1048&lt;197,I1048*1.26,I1048&gt;197,I1048*1.17) + IF(I1048&gt;1000,17,0)</f>
        <v>8992.0044799999996</v>
      </c>
      <c r="I1048" s="10">
        <f>($K$2+0.02)*Tabla1[[#This Row],[PRECIO $]]*1.18</f>
        <v>7670.9439999999995</v>
      </c>
      <c r="J1048" s="7">
        <f>+Tabla1[[#This Row],[PRECIO EN SOLES]]-Tabla1[[#This Row],[PC]]</f>
        <v>1321.0604800000001</v>
      </c>
    </row>
    <row r="1049" spans="1:10" x14ac:dyDescent="0.25">
      <c r="A1049" s="3" t="s">
        <v>2379</v>
      </c>
      <c r="B1049" s="3" t="s">
        <v>2380</v>
      </c>
      <c r="C1049" s="1">
        <v>8</v>
      </c>
      <c r="D1049" s="1">
        <v>1983</v>
      </c>
      <c r="E1049" s="1" t="s">
        <v>2381</v>
      </c>
      <c r="F1049" s="1" t="s">
        <v>4866</v>
      </c>
      <c r="G1049" s="3" t="s">
        <v>2382</v>
      </c>
      <c r="H1049" s="12" cm="1">
        <f t="array" ref="H1049">_xlfn.IFS(I1049&lt;197,I1049*1.26,I1049&gt;197,I1049*1.17) + IF(I1049&gt;1000,17,0)</f>
        <v>9325.2813199999982</v>
      </c>
      <c r="I1049" s="10">
        <f>($K$2+0.02)*Tabla1[[#This Row],[PRECIO $]]*1.18</f>
        <v>7955.7959999999994</v>
      </c>
      <c r="J1049" s="7">
        <f>+Tabla1[[#This Row],[PRECIO EN SOLES]]-Tabla1[[#This Row],[PC]]</f>
        <v>1369.4853199999989</v>
      </c>
    </row>
    <row r="1050" spans="1:10" x14ac:dyDescent="0.25">
      <c r="A1050" s="3" t="s">
        <v>2383</v>
      </c>
      <c r="B1050" s="3" t="s">
        <v>2384</v>
      </c>
      <c r="C1050" s="1">
        <v>20</v>
      </c>
      <c r="D1050" s="1">
        <v>2090</v>
      </c>
      <c r="E1050" s="1" t="s">
        <v>426</v>
      </c>
      <c r="F1050" s="1" t="s">
        <v>4867</v>
      </c>
      <c r="G1050" s="3" t="s">
        <v>2385</v>
      </c>
      <c r="H1050" s="12" cm="1">
        <f t="array" ref="H1050">_xlfn.IFS(I1050&lt;197,I1050*1.26,I1050&gt;197,I1050*1.17) + IF(I1050&gt;1000,17,0)</f>
        <v>9827.5435999999991</v>
      </c>
      <c r="I1050" s="10">
        <f>($K$2+0.02)*Tabla1[[#This Row],[PRECIO $]]*1.18</f>
        <v>8385.08</v>
      </c>
      <c r="J1050" s="7">
        <f>+Tabla1[[#This Row],[PRECIO EN SOLES]]-Tabla1[[#This Row],[PC]]</f>
        <v>1442.4635999999991</v>
      </c>
    </row>
    <row r="1051" spans="1:10" x14ac:dyDescent="0.25">
      <c r="A1051" s="3" t="s">
        <v>2386</v>
      </c>
      <c r="B1051" s="3" t="s">
        <v>2387</v>
      </c>
      <c r="C1051" s="1">
        <v>1</v>
      </c>
      <c r="D1051" s="1">
        <v>2380</v>
      </c>
      <c r="E1051" s="1" t="s">
        <v>426</v>
      </c>
      <c r="F1051" s="1" t="s">
        <v>4868</v>
      </c>
      <c r="G1051" s="3" t="s">
        <v>2388</v>
      </c>
      <c r="H1051" s="12" cm="1">
        <f t="array" ref="H1051">_xlfn.IFS(I1051&lt;197,I1051*1.26,I1051&gt;197,I1051*1.17) + IF(I1051&gt;1000,17,0)</f>
        <v>11188.815199999999</v>
      </c>
      <c r="I1051" s="10">
        <f>($K$2+0.02)*Tabla1[[#This Row],[PRECIO $]]*1.18</f>
        <v>9548.56</v>
      </c>
      <c r="J1051" s="7">
        <f>+Tabla1[[#This Row],[PRECIO EN SOLES]]-Tabla1[[#This Row],[PC]]</f>
        <v>1640.2551999999996</v>
      </c>
    </row>
    <row r="1052" spans="1:10" x14ac:dyDescent="0.25">
      <c r="A1052" s="3" t="s">
        <v>2389</v>
      </c>
      <c r="B1052" s="3" t="s">
        <v>2390</v>
      </c>
      <c r="C1052" s="1">
        <v>20</v>
      </c>
      <c r="D1052" s="1">
        <v>1920</v>
      </c>
      <c r="E1052" s="1" t="s">
        <v>426</v>
      </c>
      <c r="F1052" s="1" t="s">
        <v>4869</v>
      </c>
      <c r="G1052" s="3" t="s">
        <v>2391</v>
      </c>
      <c r="H1052" s="12" cm="1">
        <f t="array" ref="H1052">_xlfn.IFS(I1052&lt;197,I1052*1.26,I1052&gt;197,I1052*1.17) + IF(I1052&gt;1000,17,0)</f>
        <v>9029.5568000000003</v>
      </c>
      <c r="I1052" s="10">
        <f>($K$2+0.02)*Tabla1[[#This Row],[PRECIO $]]*1.18</f>
        <v>7703.04</v>
      </c>
      <c r="J1052" s="7">
        <f>+Tabla1[[#This Row],[PRECIO EN SOLES]]-Tabla1[[#This Row],[PC]]</f>
        <v>1326.5168000000003</v>
      </c>
    </row>
    <row r="1053" spans="1:10" x14ac:dyDescent="0.25">
      <c r="A1053" s="3" t="s">
        <v>2392</v>
      </c>
      <c r="B1053" s="3" t="s">
        <v>2393</v>
      </c>
      <c r="C1053" s="1">
        <v>20</v>
      </c>
      <c r="D1053" s="1">
        <v>4650</v>
      </c>
      <c r="E1053" s="1" t="s">
        <v>426</v>
      </c>
      <c r="F1053" s="1" t="s">
        <v>4870</v>
      </c>
      <c r="G1053" s="3" t="s">
        <v>2394</v>
      </c>
      <c r="H1053" s="12" cm="1">
        <f t="array" ref="H1053">_xlfn.IFS(I1053&lt;197,I1053*1.26,I1053&gt;197,I1053*1.17) + IF(I1053&gt;1000,17,0)</f>
        <v>21844.285999999996</v>
      </c>
      <c r="I1053" s="10">
        <f>($K$2+0.02)*Tabla1[[#This Row],[PRECIO $]]*1.18</f>
        <v>18655.8</v>
      </c>
      <c r="J1053" s="7">
        <f>+Tabla1[[#This Row],[PRECIO EN SOLES]]-Tabla1[[#This Row],[PC]]</f>
        <v>3188.4859999999971</v>
      </c>
    </row>
    <row r="1054" spans="1:10" x14ac:dyDescent="0.25">
      <c r="A1054" s="3" t="s">
        <v>2395</v>
      </c>
      <c r="B1054" s="3" t="s">
        <v>2396</v>
      </c>
      <c r="C1054" s="1">
        <v>20</v>
      </c>
      <c r="D1054" s="1">
        <v>4285.75</v>
      </c>
      <c r="E1054" s="1" t="s">
        <v>74</v>
      </c>
      <c r="F1054" s="1" t="s">
        <v>4871</v>
      </c>
      <c r="G1054" s="3" t="s">
        <v>2397</v>
      </c>
      <c r="H1054" s="12" cm="1">
        <f t="array" ref="H1054">_xlfn.IFS(I1054&lt;197,I1054*1.26,I1054&gt;197,I1054*1.17) + IF(I1054&gt;1000,17,0)</f>
        <v>20134.481929999994</v>
      </c>
      <c r="I1054" s="10">
        <f>($K$2+0.02)*Tabla1[[#This Row],[PRECIO $]]*1.18</f>
        <v>17194.428999999996</v>
      </c>
      <c r="J1054" s="7">
        <f>+Tabla1[[#This Row],[PRECIO EN SOLES]]-Tabla1[[#This Row],[PC]]</f>
        <v>2940.052929999998</v>
      </c>
    </row>
    <row r="1055" spans="1:10" x14ac:dyDescent="0.25">
      <c r="A1055" s="3" t="s">
        <v>2398</v>
      </c>
      <c r="B1055" s="3" t="s">
        <v>2399</v>
      </c>
      <c r="C1055" s="1">
        <v>20</v>
      </c>
      <c r="D1055" s="1">
        <v>4398.45</v>
      </c>
      <c r="E1055" s="1" t="s">
        <v>74</v>
      </c>
      <c r="F1055" s="1" t="s">
        <v>4872</v>
      </c>
      <c r="G1055" s="3" t="s">
        <v>2397</v>
      </c>
      <c r="H1055" s="12" cm="1">
        <f t="array" ref="H1055">_xlfn.IFS(I1055&lt;197,I1055*1.26,I1055&gt;197,I1055*1.17) + IF(I1055&gt;1000,17,0)</f>
        <v>20663.500237999997</v>
      </c>
      <c r="I1055" s="10">
        <f>($K$2+0.02)*Tabla1[[#This Row],[PRECIO $]]*1.18</f>
        <v>17646.581399999999</v>
      </c>
      <c r="J1055" s="7">
        <f>+Tabla1[[#This Row],[PRECIO EN SOLES]]-Tabla1[[#This Row],[PC]]</f>
        <v>3016.9188379999978</v>
      </c>
    </row>
    <row r="1056" spans="1:10" x14ac:dyDescent="0.25">
      <c r="A1056" s="3" t="s">
        <v>2400</v>
      </c>
      <c r="B1056" s="3" t="s">
        <v>2401</v>
      </c>
      <c r="C1056" s="1">
        <v>20</v>
      </c>
      <c r="D1056" s="1">
        <v>2112</v>
      </c>
      <c r="E1056" s="1" t="s">
        <v>74</v>
      </c>
      <c r="F1056" s="1" t="s">
        <v>4873</v>
      </c>
      <c r="G1056" s="3" t="s">
        <v>2402</v>
      </c>
      <c r="H1056" s="12" cm="1">
        <f t="array" ref="H1056">_xlfn.IFS(I1056&lt;197,I1056*1.26,I1056&gt;197,I1056*1.17) + IF(I1056&gt;1000,17,0)</f>
        <v>9930.8124799999987</v>
      </c>
      <c r="I1056" s="10">
        <f>($K$2+0.02)*Tabla1[[#This Row],[PRECIO $]]*1.18</f>
        <v>8473.3439999999991</v>
      </c>
      <c r="J1056" s="7">
        <f>+Tabla1[[#This Row],[PRECIO EN SOLES]]-Tabla1[[#This Row],[PC]]</f>
        <v>1457.4684799999995</v>
      </c>
    </row>
    <row r="1057" spans="1:10" x14ac:dyDescent="0.25">
      <c r="A1057" s="3" t="s">
        <v>2403</v>
      </c>
      <c r="B1057" s="3" t="s">
        <v>2404</v>
      </c>
      <c r="C1057" s="1">
        <v>20</v>
      </c>
      <c r="D1057" s="1">
        <v>2006</v>
      </c>
      <c r="E1057" s="1" t="s">
        <v>74</v>
      </c>
      <c r="F1057" s="1" t="s">
        <v>4874</v>
      </c>
      <c r="G1057" s="3" t="s">
        <v>2402</v>
      </c>
      <c r="H1057" s="12" cm="1">
        <f t="array" ref="H1057">_xlfn.IFS(I1057&lt;197,I1057*1.26,I1057&gt;197,I1057*1.17) + IF(I1057&gt;1000,17,0)</f>
        <v>9433.2442399999982</v>
      </c>
      <c r="I1057" s="10">
        <f>($K$2+0.02)*Tabla1[[#This Row],[PRECIO $]]*1.18</f>
        <v>8048.0719999999992</v>
      </c>
      <c r="J1057" s="7">
        <f>+Tabla1[[#This Row],[PRECIO EN SOLES]]-Tabla1[[#This Row],[PC]]</f>
        <v>1385.172239999999</v>
      </c>
    </row>
    <row r="1058" spans="1:10" x14ac:dyDescent="0.25">
      <c r="A1058" s="3" t="s">
        <v>2405</v>
      </c>
      <c r="B1058" s="3" t="s">
        <v>2406</v>
      </c>
      <c r="C1058" s="1">
        <v>9</v>
      </c>
      <c r="D1058" s="1">
        <v>2613</v>
      </c>
      <c r="E1058" s="1" t="s">
        <v>2381</v>
      </c>
      <c r="F1058" s="1" t="s">
        <v>4875</v>
      </c>
      <c r="G1058" s="3" t="s">
        <v>2407</v>
      </c>
      <c r="H1058" s="12" cm="1">
        <f t="array" ref="H1058">_xlfn.IFS(I1058&lt;197,I1058*1.26,I1058&gt;197,I1058*1.17) + IF(I1058&gt;1000,17,0)</f>
        <v>12282.526519999998</v>
      </c>
      <c r="I1058" s="10">
        <f>($K$2+0.02)*Tabla1[[#This Row],[PRECIO $]]*1.18</f>
        <v>10483.355999999998</v>
      </c>
      <c r="J1058" s="7">
        <f>+Tabla1[[#This Row],[PRECIO EN SOLES]]-Tabla1[[#This Row],[PC]]</f>
        <v>1799.1705199999997</v>
      </c>
    </row>
    <row r="1059" spans="1:10" x14ac:dyDescent="0.25">
      <c r="A1059" s="3" t="s">
        <v>2408</v>
      </c>
      <c r="B1059" s="3" t="s">
        <v>2409</v>
      </c>
      <c r="C1059" s="1">
        <v>20</v>
      </c>
      <c r="D1059" s="1">
        <v>1269</v>
      </c>
      <c r="E1059" s="1" t="s">
        <v>2381</v>
      </c>
      <c r="F1059" s="1" t="s">
        <v>4876</v>
      </c>
      <c r="G1059" s="3" t="s">
        <v>2410</v>
      </c>
      <c r="H1059" s="12" cm="1">
        <f t="array" ref="H1059">_xlfn.IFS(I1059&lt;197,I1059*1.26,I1059&gt;197,I1059*1.17) + IF(I1059&gt;1000,17,0)</f>
        <v>5973.7367599999989</v>
      </c>
      <c r="I1059" s="10">
        <f>($K$2+0.02)*Tabla1[[#This Row],[PRECIO $]]*1.18</f>
        <v>5091.2279999999992</v>
      </c>
      <c r="J1059" s="7">
        <f>+Tabla1[[#This Row],[PRECIO EN SOLES]]-Tabla1[[#This Row],[PC]]</f>
        <v>882.50875999999971</v>
      </c>
    </row>
    <row r="1060" spans="1:10" x14ac:dyDescent="0.25">
      <c r="A1060" s="3" t="s">
        <v>2411</v>
      </c>
      <c r="B1060" s="3" t="s">
        <v>2412</v>
      </c>
      <c r="C1060" s="1">
        <v>20</v>
      </c>
      <c r="D1060" s="1">
        <v>710</v>
      </c>
      <c r="E1060" s="1" t="s">
        <v>426</v>
      </c>
      <c r="F1060" s="1" t="s">
        <v>4877</v>
      </c>
      <c r="G1060" s="3" t="s">
        <v>2413</v>
      </c>
      <c r="H1060" s="12" cm="1">
        <f t="array" ref="H1060">_xlfn.IFS(I1060&lt;197,I1060*1.26,I1060&gt;197,I1060*1.17) + IF(I1060&gt;1000,17,0)</f>
        <v>3349.7683999999999</v>
      </c>
      <c r="I1060" s="10">
        <f>($K$2+0.02)*Tabla1[[#This Row],[PRECIO $]]*1.18</f>
        <v>2848.52</v>
      </c>
      <c r="J1060" s="7">
        <f>+Tabla1[[#This Row],[PRECIO EN SOLES]]-Tabla1[[#This Row],[PC]]</f>
        <v>501.24839999999995</v>
      </c>
    </row>
    <row r="1061" spans="1:10" x14ac:dyDescent="0.25">
      <c r="A1061" s="3" t="s">
        <v>2414</v>
      </c>
      <c r="B1061" s="3" t="s">
        <v>2415</v>
      </c>
      <c r="C1061" s="1">
        <v>4</v>
      </c>
      <c r="D1061" s="1">
        <v>735</v>
      </c>
      <c r="E1061" s="1" t="s">
        <v>163</v>
      </c>
      <c r="F1061" s="1" t="s">
        <v>4878</v>
      </c>
      <c r="G1061" s="3" t="s">
        <v>2416</v>
      </c>
      <c r="H1061" s="12" cm="1">
        <f t="array" ref="H1061">_xlfn.IFS(I1061&lt;197,I1061*1.26,I1061&gt;197,I1061*1.17) + IF(I1061&gt;1000,17,0)</f>
        <v>3467.1193999999996</v>
      </c>
      <c r="I1061" s="10">
        <f>($K$2+0.02)*Tabla1[[#This Row],[PRECIO $]]*1.18</f>
        <v>2948.8199999999997</v>
      </c>
      <c r="J1061" s="7">
        <f>+Tabla1[[#This Row],[PRECIO EN SOLES]]-Tabla1[[#This Row],[PC]]</f>
        <v>518.29939999999988</v>
      </c>
    </row>
    <row r="1062" spans="1:10" x14ac:dyDescent="0.25">
      <c r="A1062" s="3" t="s">
        <v>2417</v>
      </c>
      <c r="B1062" s="3" t="s">
        <v>2418</v>
      </c>
      <c r="C1062" s="1">
        <v>20</v>
      </c>
      <c r="D1062" s="1">
        <v>698</v>
      </c>
      <c r="E1062" s="1" t="s">
        <v>74</v>
      </c>
      <c r="F1062" s="1" t="s">
        <v>4879</v>
      </c>
      <c r="G1062" s="3" t="s">
        <v>2419</v>
      </c>
      <c r="H1062" s="12" cm="1">
        <f t="array" ref="H1062">_xlfn.IFS(I1062&lt;197,I1062*1.26,I1062&gt;197,I1062*1.17) + IF(I1062&gt;1000,17,0)</f>
        <v>3293.4399199999993</v>
      </c>
      <c r="I1062" s="10">
        <f>($K$2+0.02)*Tabla1[[#This Row],[PRECIO $]]*1.18</f>
        <v>2800.3759999999997</v>
      </c>
      <c r="J1062" s="7">
        <f>+Tabla1[[#This Row],[PRECIO EN SOLES]]-Tabla1[[#This Row],[PC]]</f>
        <v>493.0639199999996</v>
      </c>
    </row>
    <row r="1063" spans="1:10" x14ac:dyDescent="0.25">
      <c r="A1063" s="3" t="s">
        <v>483</v>
      </c>
      <c r="B1063" s="3" t="s">
        <v>484</v>
      </c>
      <c r="C1063" s="1">
        <v>20</v>
      </c>
      <c r="D1063" s="1">
        <v>667</v>
      </c>
      <c r="E1063" s="1" t="s">
        <v>74</v>
      </c>
      <c r="F1063" s="1" t="s">
        <v>4880</v>
      </c>
      <c r="G1063" s="3" t="s">
        <v>485</v>
      </c>
      <c r="H1063" s="12" cm="1">
        <f t="array" ref="H1063">_xlfn.IFS(I1063&lt;197,I1063*1.26,I1063&gt;197,I1063*1.17) + IF(I1063&gt;1000,17,0)</f>
        <v>3147.9246799999992</v>
      </c>
      <c r="I1063" s="10">
        <f>($K$2+0.02)*Tabla1[[#This Row],[PRECIO $]]*1.18</f>
        <v>2676.0039999999995</v>
      </c>
      <c r="J1063" s="7">
        <f>+Tabla1[[#This Row],[PRECIO EN SOLES]]-Tabla1[[#This Row],[PC]]</f>
        <v>471.92067999999972</v>
      </c>
    </row>
    <row r="1064" spans="1:10" x14ac:dyDescent="0.25">
      <c r="A1064" s="3" t="s">
        <v>2420</v>
      </c>
      <c r="B1064" s="3" t="s">
        <v>2421</v>
      </c>
      <c r="C1064" s="1">
        <v>12</v>
      </c>
      <c r="D1064" s="1">
        <v>662</v>
      </c>
      <c r="E1064" s="1" t="s">
        <v>74</v>
      </c>
      <c r="F1064" s="1" t="s">
        <v>4881</v>
      </c>
      <c r="G1064" s="3" t="s">
        <v>2422</v>
      </c>
      <c r="H1064" s="12" cm="1">
        <f t="array" ref="H1064">_xlfn.IFS(I1064&lt;197,I1064*1.26,I1064&gt;197,I1064*1.17) + IF(I1064&gt;1000,17,0)</f>
        <v>3124.4544799999994</v>
      </c>
      <c r="I1064" s="10">
        <f>($K$2+0.02)*Tabla1[[#This Row],[PRECIO $]]*1.18</f>
        <v>2655.9439999999995</v>
      </c>
      <c r="J1064" s="7">
        <f>+Tabla1[[#This Row],[PRECIO EN SOLES]]-Tabla1[[#This Row],[PC]]</f>
        <v>468.51047999999992</v>
      </c>
    </row>
    <row r="1065" spans="1:10" x14ac:dyDescent="0.25">
      <c r="A1065" s="3" t="s">
        <v>726</v>
      </c>
      <c r="B1065" s="3" t="s">
        <v>727</v>
      </c>
      <c r="C1065" s="1">
        <v>20</v>
      </c>
      <c r="D1065" s="1">
        <v>703</v>
      </c>
      <c r="E1065" s="1" t="s">
        <v>74</v>
      </c>
      <c r="F1065" s="1" t="s">
        <v>4882</v>
      </c>
      <c r="G1065" s="3" t="s">
        <v>824</v>
      </c>
      <c r="H1065" s="12" cm="1">
        <f t="array" ref="H1065">_xlfn.IFS(I1065&lt;197,I1065*1.26,I1065&gt;197,I1065*1.17) + IF(I1065&gt;1000,17,0)</f>
        <v>3316.9101199999996</v>
      </c>
      <c r="I1065" s="10">
        <f>($K$2+0.02)*Tabla1[[#This Row],[PRECIO $]]*1.18</f>
        <v>2820.4359999999997</v>
      </c>
      <c r="J1065" s="7">
        <f>+Tabla1[[#This Row],[PRECIO EN SOLES]]-Tabla1[[#This Row],[PC]]</f>
        <v>496.47411999999986</v>
      </c>
    </row>
    <row r="1066" spans="1:10" x14ac:dyDescent="0.25">
      <c r="A1066" s="3" t="s">
        <v>2423</v>
      </c>
      <c r="B1066" s="3" t="s">
        <v>2424</v>
      </c>
      <c r="C1066" s="1">
        <v>20</v>
      </c>
      <c r="D1066" s="1">
        <v>713</v>
      </c>
      <c r="E1066" s="1" t="s">
        <v>2381</v>
      </c>
      <c r="F1066" s="1" t="s">
        <v>4883</v>
      </c>
      <c r="G1066" s="3" t="s">
        <v>2425</v>
      </c>
      <c r="H1066" s="12" cm="1">
        <f t="array" ref="H1066">_xlfn.IFS(I1066&lt;197,I1066*1.26,I1066&gt;197,I1066*1.17) + IF(I1066&gt;1000,17,0)</f>
        <v>3363.8505199999995</v>
      </c>
      <c r="I1066" s="10">
        <f>($K$2+0.02)*Tabla1[[#This Row],[PRECIO $]]*1.18</f>
        <v>2860.5559999999996</v>
      </c>
      <c r="J1066" s="7">
        <f>+Tabla1[[#This Row],[PRECIO EN SOLES]]-Tabla1[[#This Row],[PC]]</f>
        <v>503.29451999999992</v>
      </c>
    </row>
    <row r="1067" spans="1:10" x14ac:dyDescent="0.25">
      <c r="A1067" s="3" t="s">
        <v>2426</v>
      </c>
      <c r="B1067" s="3" t="s">
        <v>2427</v>
      </c>
      <c r="C1067" s="1">
        <v>2</v>
      </c>
      <c r="D1067" s="1">
        <v>752</v>
      </c>
      <c r="E1067" s="1" t="s">
        <v>2381</v>
      </c>
      <c r="F1067" s="1" t="s">
        <v>4884</v>
      </c>
      <c r="G1067" s="3"/>
      <c r="H1067" s="12" cm="1">
        <f t="array" ref="H1067">_xlfn.IFS(I1067&lt;197,I1067*1.26,I1067&gt;197,I1067*1.17) + IF(I1067&gt;1000,17,0)</f>
        <v>3546.918079999999</v>
      </c>
      <c r="I1067" s="10">
        <f>($K$2+0.02)*Tabla1[[#This Row],[PRECIO $]]*1.18</f>
        <v>3017.0239999999994</v>
      </c>
      <c r="J1067" s="7">
        <f>+Tabla1[[#This Row],[PRECIO EN SOLES]]-Tabla1[[#This Row],[PC]]</f>
        <v>529.89407999999958</v>
      </c>
    </row>
    <row r="1068" spans="1:10" x14ac:dyDescent="0.25">
      <c r="A1068" s="3" t="s">
        <v>5818</v>
      </c>
      <c r="B1068" s="3" t="s">
        <v>5819</v>
      </c>
      <c r="C1068" s="1">
        <v>20</v>
      </c>
      <c r="D1068" s="1">
        <v>1347</v>
      </c>
      <c r="E1068" s="1" t="s">
        <v>426</v>
      </c>
      <c r="F1068" s="1" t="s">
        <v>5820</v>
      </c>
      <c r="G1068" s="3" t="s">
        <v>6336</v>
      </c>
      <c r="H1068" s="12" cm="1">
        <f t="array" ref="H1068">_xlfn.IFS(I1068&lt;197,I1068*1.26,I1068&gt;197,I1068*1.17) + IF(I1068&gt;1000,17,0)</f>
        <v>6339.8718799999997</v>
      </c>
      <c r="I1068" s="10">
        <f>($K$2+0.02)*Tabla1[[#This Row],[PRECIO $]]*1.18</f>
        <v>5404.1639999999998</v>
      </c>
      <c r="J1068" s="7">
        <f>+Tabla1[[#This Row],[PRECIO EN SOLES]]-Tabla1[[#This Row],[PC]]</f>
        <v>935.70787999999993</v>
      </c>
    </row>
    <row r="1069" spans="1:10" x14ac:dyDescent="0.25">
      <c r="A1069" s="3" t="s">
        <v>2428</v>
      </c>
      <c r="B1069" s="3" t="s">
        <v>2429</v>
      </c>
      <c r="C1069" s="1">
        <v>20</v>
      </c>
      <c r="D1069" s="1">
        <v>756</v>
      </c>
      <c r="E1069" s="1" t="s">
        <v>74</v>
      </c>
      <c r="F1069" s="1" t="s">
        <v>4885</v>
      </c>
      <c r="G1069" s="3" t="s">
        <v>2430</v>
      </c>
      <c r="H1069" s="12" cm="1">
        <f t="array" ref="H1069">_xlfn.IFS(I1069&lt;197,I1069*1.26,I1069&gt;197,I1069*1.17) + IF(I1069&gt;1000,17,0)</f>
        <v>3565.6942399999998</v>
      </c>
      <c r="I1069" s="10">
        <f>($K$2+0.02)*Tabla1[[#This Row],[PRECIO $]]*1.18</f>
        <v>3033.0720000000001</v>
      </c>
      <c r="J1069" s="7">
        <f>+Tabla1[[#This Row],[PRECIO EN SOLES]]-Tabla1[[#This Row],[PC]]</f>
        <v>532.62223999999969</v>
      </c>
    </row>
    <row r="1070" spans="1:10" x14ac:dyDescent="0.25">
      <c r="A1070" s="3" t="s">
        <v>2431</v>
      </c>
      <c r="B1070" s="3" t="s">
        <v>2432</v>
      </c>
      <c r="C1070" s="1">
        <v>20</v>
      </c>
      <c r="D1070" s="1">
        <v>988</v>
      </c>
      <c r="E1070" s="1" t="s">
        <v>74</v>
      </c>
      <c r="F1070" s="1" t="s">
        <v>4886</v>
      </c>
      <c r="G1070" s="3" t="s">
        <v>2433</v>
      </c>
      <c r="H1070" s="12" cm="1">
        <f t="array" ref="H1070">_xlfn.IFS(I1070&lt;197,I1070*1.26,I1070&gt;197,I1070*1.17) + IF(I1070&gt;1000,17,0)</f>
        <v>4654.7115199999998</v>
      </c>
      <c r="I1070" s="10">
        <f>($K$2+0.02)*Tabla1[[#This Row],[PRECIO $]]*1.18</f>
        <v>3963.8559999999998</v>
      </c>
      <c r="J1070" s="7">
        <f>+Tabla1[[#This Row],[PRECIO EN SOLES]]-Tabla1[[#This Row],[PC]]</f>
        <v>690.85552000000007</v>
      </c>
    </row>
    <row r="1071" spans="1:10" x14ac:dyDescent="0.25">
      <c r="A1071" s="3" t="s">
        <v>3515</v>
      </c>
      <c r="B1071" s="3" t="s">
        <v>3516</v>
      </c>
      <c r="C1071" s="1">
        <v>20</v>
      </c>
      <c r="D1071" s="1">
        <v>1312</v>
      </c>
      <c r="E1071" s="1" t="s">
        <v>2381</v>
      </c>
      <c r="F1071" s="1" t="s">
        <v>4887</v>
      </c>
      <c r="G1071" s="3" t="s">
        <v>3534</v>
      </c>
      <c r="H1071" s="12" cm="1">
        <f t="array" ref="H1071">_xlfn.IFS(I1071&lt;197,I1071*1.26,I1071&gt;197,I1071*1.17) + IF(I1071&gt;1000,17,0)</f>
        <v>6175.5804799999996</v>
      </c>
      <c r="I1071" s="10">
        <f>($K$2+0.02)*Tabla1[[#This Row],[PRECIO $]]*1.18</f>
        <v>5263.7439999999997</v>
      </c>
      <c r="J1071" s="7">
        <f>+Tabla1[[#This Row],[PRECIO EN SOLES]]-Tabla1[[#This Row],[PC]]</f>
        <v>911.83647999999994</v>
      </c>
    </row>
    <row r="1072" spans="1:10" x14ac:dyDescent="0.25">
      <c r="A1072" s="3" t="s">
        <v>3517</v>
      </c>
      <c r="B1072" s="3" t="s">
        <v>3516</v>
      </c>
      <c r="C1072" s="1">
        <v>20</v>
      </c>
      <c r="D1072" s="1">
        <v>1269</v>
      </c>
      <c r="E1072" s="1" t="s">
        <v>2381</v>
      </c>
      <c r="F1072" s="1" t="s">
        <v>4888</v>
      </c>
      <c r="G1072" s="3" t="s">
        <v>3535</v>
      </c>
      <c r="H1072" s="12" cm="1">
        <f t="array" ref="H1072">_xlfn.IFS(I1072&lt;197,I1072*1.26,I1072&gt;197,I1072*1.17) + IF(I1072&gt;1000,17,0)</f>
        <v>5973.7367599999989</v>
      </c>
      <c r="I1072" s="10">
        <f>($K$2+0.02)*Tabla1[[#This Row],[PRECIO $]]*1.18</f>
        <v>5091.2279999999992</v>
      </c>
      <c r="J1072" s="7">
        <f>+Tabla1[[#This Row],[PRECIO EN SOLES]]-Tabla1[[#This Row],[PC]]</f>
        <v>882.50875999999971</v>
      </c>
    </row>
    <row r="1073" spans="1:10" x14ac:dyDescent="0.25">
      <c r="A1073" s="3" t="s">
        <v>2434</v>
      </c>
      <c r="B1073" s="3" t="s">
        <v>2435</v>
      </c>
      <c r="C1073" s="1">
        <v>7</v>
      </c>
      <c r="D1073" s="1">
        <v>775</v>
      </c>
      <c r="E1073" s="1" t="s">
        <v>2381</v>
      </c>
      <c r="F1073" s="1" t="s">
        <v>4889</v>
      </c>
      <c r="G1073" s="3" t="s">
        <v>2436</v>
      </c>
      <c r="H1073" s="12" cm="1">
        <f t="array" ref="H1073">_xlfn.IFS(I1073&lt;197,I1073*1.26,I1073&gt;197,I1073*1.17) + IF(I1073&gt;1000,17,0)</f>
        <v>3654.8809999999994</v>
      </c>
      <c r="I1073" s="10">
        <f>($K$2+0.02)*Tabla1[[#This Row],[PRECIO $]]*1.18</f>
        <v>3109.2999999999997</v>
      </c>
      <c r="J1073" s="7">
        <f>+Tabla1[[#This Row],[PRECIO EN SOLES]]-Tabla1[[#This Row],[PC]]</f>
        <v>545.58099999999968</v>
      </c>
    </row>
    <row r="1074" spans="1:10" x14ac:dyDescent="0.25">
      <c r="A1074" s="3" t="s">
        <v>2437</v>
      </c>
      <c r="B1074" s="3" t="s">
        <v>3518</v>
      </c>
      <c r="C1074" s="1">
        <v>12</v>
      </c>
      <c r="D1074" s="1">
        <v>970</v>
      </c>
      <c r="E1074" s="1" t="s">
        <v>2381</v>
      </c>
      <c r="F1074" s="1" t="s">
        <v>4890</v>
      </c>
      <c r="G1074" s="3" t="s">
        <v>2438</v>
      </c>
      <c r="H1074" s="12" cm="1">
        <f t="array" ref="H1074">_xlfn.IFS(I1074&lt;197,I1074*1.26,I1074&gt;197,I1074*1.17) + IF(I1074&gt;1000,17,0)</f>
        <v>4570.2187999999996</v>
      </c>
      <c r="I1074" s="10">
        <f>($K$2+0.02)*Tabla1[[#This Row],[PRECIO $]]*1.18</f>
        <v>3891.64</v>
      </c>
      <c r="J1074" s="7">
        <f>+Tabla1[[#This Row],[PRECIO EN SOLES]]-Tabla1[[#This Row],[PC]]</f>
        <v>678.57879999999977</v>
      </c>
    </row>
    <row r="1075" spans="1:10" x14ac:dyDescent="0.25">
      <c r="A1075" s="3" t="s">
        <v>2439</v>
      </c>
      <c r="B1075" s="3" t="s">
        <v>2440</v>
      </c>
      <c r="C1075" s="1">
        <v>15</v>
      </c>
      <c r="D1075" s="1">
        <v>735</v>
      </c>
      <c r="E1075" s="1" t="s">
        <v>163</v>
      </c>
      <c r="F1075" s="1" t="s">
        <v>4891</v>
      </c>
      <c r="G1075" s="3" t="s">
        <v>2441</v>
      </c>
      <c r="H1075" s="12" cm="1">
        <f t="array" ref="H1075">_xlfn.IFS(I1075&lt;197,I1075*1.26,I1075&gt;197,I1075*1.17) + IF(I1075&gt;1000,17,0)</f>
        <v>3467.1193999999996</v>
      </c>
      <c r="I1075" s="10">
        <f>($K$2+0.02)*Tabla1[[#This Row],[PRECIO $]]*1.18</f>
        <v>2948.8199999999997</v>
      </c>
      <c r="J1075" s="7">
        <f>+Tabla1[[#This Row],[PRECIO EN SOLES]]-Tabla1[[#This Row],[PC]]</f>
        <v>518.29939999999988</v>
      </c>
    </row>
    <row r="1076" spans="1:10" x14ac:dyDescent="0.25">
      <c r="A1076" s="3" t="s">
        <v>5683</v>
      </c>
      <c r="B1076" s="3" t="s">
        <v>5684</v>
      </c>
      <c r="C1076" s="1">
        <v>3</v>
      </c>
      <c r="D1076" s="1">
        <v>705</v>
      </c>
      <c r="E1076" s="1" t="s">
        <v>74</v>
      </c>
      <c r="F1076" s="1" t="s">
        <v>5685</v>
      </c>
      <c r="G1076" s="3" t="s">
        <v>5686</v>
      </c>
      <c r="H1076" s="12" cm="1">
        <f t="array" ref="H1076">_xlfn.IFS(I1076&lt;197,I1076*1.26,I1076&gt;197,I1076*1.17) + IF(I1076&gt;1000,17,0)</f>
        <v>3326.2981999999997</v>
      </c>
      <c r="I1076" s="10">
        <f>($K$2+0.02)*Tabla1[[#This Row],[PRECIO $]]*1.18</f>
        <v>2828.46</v>
      </c>
      <c r="J1076" s="7">
        <f>+Tabla1[[#This Row],[PRECIO EN SOLES]]-Tabla1[[#This Row],[PC]]</f>
        <v>497.83819999999969</v>
      </c>
    </row>
    <row r="1077" spans="1:10" x14ac:dyDescent="0.25">
      <c r="A1077" s="3" t="s">
        <v>825</v>
      </c>
      <c r="B1077" s="3" t="s">
        <v>826</v>
      </c>
      <c r="C1077" s="1">
        <v>20</v>
      </c>
      <c r="D1077" s="1">
        <v>639</v>
      </c>
      <c r="E1077" s="1" t="s">
        <v>74</v>
      </c>
      <c r="F1077" s="1" t="s">
        <v>4892</v>
      </c>
      <c r="G1077" s="3" t="s">
        <v>827</v>
      </c>
      <c r="H1077" s="12" cm="1">
        <f t="array" ref="H1077">_xlfn.IFS(I1077&lt;197,I1077*1.26,I1077&gt;197,I1077*1.17) + IF(I1077&gt;1000,17,0)</f>
        <v>3016.4915599999995</v>
      </c>
      <c r="I1077" s="10">
        <f>($K$2+0.02)*Tabla1[[#This Row],[PRECIO $]]*1.18</f>
        <v>2563.6679999999997</v>
      </c>
      <c r="J1077" s="7">
        <f>+Tabla1[[#This Row],[PRECIO EN SOLES]]-Tabla1[[#This Row],[PC]]</f>
        <v>452.82355999999982</v>
      </c>
    </row>
    <row r="1078" spans="1:10" x14ac:dyDescent="0.25">
      <c r="A1078" s="3" t="s">
        <v>2442</v>
      </c>
      <c r="B1078" s="3" t="s">
        <v>2443</v>
      </c>
      <c r="C1078" s="1">
        <v>20</v>
      </c>
      <c r="D1078" s="1">
        <v>790</v>
      </c>
      <c r="E1078" s="1" t="s">
        <v>426</v>
      </c>
      <c r="F1078" s="1" t="s">
        <v>4893</v>
      </c>
      <c r="G1078" s="3" t="s">
        <v>2444</v>
      </c>
      <c r="H1078" s="12" cm="1">
        <f t="array" ref="H1078">_xlfn.IFS(I1078&lt;197,I1078*1.26,I1078&gt;197,I1078*1.17) + IF(I1078&gt;1000,17,0)</f>
        <v>3725.2916</v>
      </c>
      <c r="I1078" s="10">
        <f>($K$2+0.02)*Tabla1[[#This Row],[PRECIO $]]*1.18</f>
        <v>3169.48</v>
      </c>
      <c r="J1078" s="7">
        <f>+Tabla1[[#This Row],[PRECIO EN SOLES]]-Tabla1[[#This Row],[PC]]</f>
        <v>555.8116</v>
      </c>
    </row>
    <row r="1079" spans="1:10" x14ac:dyDescent="0.25">
      <c r="A1079" s="3" t="s">
        <v>2445</v>
      </c>
      <c r="B1079" s="3" t="s">
        <v>2446</v>
      </c>
      <c r="C1079" s="1">
        <v>1</v>
      </c>
      <c r="D1079" s="1">
        <v>1027</v>
      </c>
      <c r="E1079" s="1" t="s">
        <v>426</v>
      </c>
      <c r="F1079" s="1" t="s">
        <v>4894</v>
      </c>
      <c r="G1079" s="3" t="s">
        <v>2447</v>
      </c>
      <c r="H1079" s="12" cm="1">
        <f t="array" ref="H1079">_xlfn.IFS(I1079&lt;197,I1079*1.26,I1079&gt;197,I1079*1.17) + IF(I1079&gt;1000,17,0)</f>
        <v>4837.7790799999993</v>
      </c>
      <c r="I1079" s="10">
        <f>($K$2+0.02)*Tabla1[[#This Row],[PRECIO $]]*1.18</f>
        <v>4120.3239999999996</v>
      </c>
      <c r="J1079" s="7">
        <f>+Tabla1[[#This Row],[PRECIO EN SOLES]]-Tabla1[[#This Row],[PC]]</f>
        <v>717.45507999999973</v>
      </c>
    </row>
    <row r="1080" spans="1:10" x14ac:dyDescent="0.25">
      <c r="A1080" s="3" t="s">
        <v>6040</v>
      </c>
      <c r="B1080" s="3" t="s">
        <v>6041</v>
      </c>
      <c r="C1080" s="1">
        <v>20</v>
      </c>
      <c r="D1080" s="1">
        <v>980</v>
      </c>
      <c r="E1080" s="1" t="s">
        <v>426</v>
      </c>
      <c r="F1080" s="1" t="s">
        <v>6042</v>
      </c>
      <c r="G1080" s="3" t="s">
        <v>6043</v>
      </c>
      <c r="H1080" s="12" cm="1">
        <f t="array" ref="H1080">_xlfn.IFS(I1080&lt;197,I1080*1.26,I1080&gt;197,I1080*1.17) + IF(I1080&gt;1000,17,0)</f>
        <v>4617.1591999999991</v>
      </c>
      <c r="I1080" s="10">
        <f>($K$2+0.02)*Tabla1[[#This Row],[PRECIO $]]*1.18</f>
        <v>3931.7599999999998</v>
      </c>
      <c r="J1080" s="7">
        <f>+Tabla1[[#This Row],[PRECIO EN SOLES]]-Tabla1[[#This Row],[PC]]</f>
        <v>685.39919999999938</v>
      </c>
    </row>
    <row r="1081" spans="1:10" x14ac:dyDescent="0.25">
      <c r="A1081" s="3" t="s">
        <v>2448</v>
      </c>
      <c r="B1081" s="3" t="s">
        <v>2449</v>
      </c>
      <c r="C1081" s="1">
        <v>20</v>
      </c>
      <c r="D1081" s="1">
        <v>837</v>
      </c>
      <c r="E1081" s="1" t="s">
        <v>163</v>
      </c>
      <c r="F1081" s="1" t="s">
        <v>4895</v>
      </c>
      <c r="G1081" s="3" t="s">
        <v>2450</v>
      </c>
      <c r="H1081" s="12" cm="1">
        <f t="array" ref="H1081">_xlfn.IFS(I1081&lt;197,I1081*1.26,I1081&gt;197,I1081*1.17) + IF(I1081&gt;1000,17,0)</f>
        <v>3945.9114799999993</v>
      </c>
      <c r="I1081" s="10">
        <f>($K$2+0.02)*Tabla1[[#This Row],[PRECIO $]]*1.18</f>
        <v>3358.0439999999994</v>
      </c>
      <c r="J1081" s="7">
        <f>+Tabla1[[#This Row],[PRECIO EN SOLES]]-Tabla1[[#This Row],[PC]]</f>
        <v>587.86747999999989</v>
      </c>
    </row>
    <row r="1082" spans="1:10" x14ac:dyDescent="0.25">
      <c r="A1082" s="3" t="s">
        <v>2451</v>
      </c>
      <c r="B1082" s="3" t="s">
        <v>2452</v>
      </c>
      <c r="C1082" s="1">
        <v>20</v>
      </c>
      <c r="D1082" s="1">
        <v>687</v>
      </c>
      <c r="E1082" s="1" t="s">
        <v>163</v>
      </c>
      <c r="F1082" s="1" t="s">
        <v>4896</v>
      </c>
      <c r="G1082" s="3" t="s">
        <v>2453</v>
      </c>
      <c r="H1082" s="12" cm="1">
        <f t="array" ref="H1082">_xlfn.IFS(I1082&lt;197,I1082*1.26,I1082&gt;197,I1082*1.17) + IF(I1082&gt;1000,17,0)</f>
        <v>3241.8054799999995</v>
      </c>
      <c r="I1082" s="10">
        <f>($K$2+0.02)*Tabla1[[#This Row],[PRECIO $]]*1.18</f>
        <v>2756.2439999999997</v>
      </c>
      <c r="J1082" s="7">
        <f>+Tabla1[[#This Row],[PRECIO EN SOLES]]-Tabla1[[#This Row],[PC]]</f>
        <v>485.56147999999985</v>
      </c>
    </row>
    <row r="1083" spans="1:10" x14ac:dyDescent="0.25">
      <c r="A1083" s="3" t="s">
        <v>2454</v>
      </c>
      <c r="B1083" s="3" t="s">
        <v>2455</v>
      </c>
      <c r="C1083" s="1">
        <v>3</v>
      </c>
      <c r="D1083" s="1">
        <v>901</v>
      </c>
      <c r="E1083" s="1" t="s">
        <v>74</v>
      </c>
      <c r="F1083" s="1" t="s">
        <v>4897</v>
      </c>
      <c r="G1083" s="3" t="s">
        <v>2456</v>
      </c>
      <c r="H1083" s="12" cm="1">
        <f t="array" ref="H1083">_xlfn.IFS(I1083&lt;197,I1083*1.26,I1083&gt;197,I1083*1.17) + IF(I1083&gt;1000,17,0)</f>
        <v>4246.3300399999998</v>
      </c>
      <c r="I1083" s="10">
        <f>($K$2+0.02)*Tabla1[[#This Row],[PRECIO $]]*1.18</f>
        <v>3614.8119999999999</v>
      </c>
      <c r="J1083" s="7">
        <f>+Tabla1[[#This Row],[PRECIO EN SOLES]]-Tabla1[[#This Row],[PC]]</f>
        <v>631.51803999999993</v>
      </c>
    </row>
    <row r="1084" spans="1:10" x14ac:dyDescent="0.25">
      <c r="A1084" s="3" t="s">
        <v>486</v>
      </c>
      <c r="B1084" s="3" t="s">
        <v>487</v>
      </c>
      <c r="C1084" s="1">
        <v>20</v>
      </c>
      <c r="D1084" s="1">
        <v>848</v>
      </c>
      <c r="E1084" s="1" t="s">
        <v>74</v>
      </c>
      <c r="F1084" s="1" t="s">
        <v>4898</v>
      </c>
      <c r="G1084" s="3" t="s">
        <v>488</v>
      </c>
      <c r="H1084" s="12" cm="1">
        <f t="array" ref="H1084">_xlfn.IFS(I1084&lt;197,I1084*1.26,I1084&gt;197,I1084*1.17) + IF(I1084&gt;1000,17,0)</f>
        <v>3997.5459199999991</v>
      </c>
      <c r="I1084" s="10">
        <f>($K$2+0.02)*Tabla1[[#This Row],[PRECIO $]]*1.18</f>
        <v>3402.1759999999995</v>
      </c>
      <c r="J1084" s="7">
        <f>+Tabla1[[#This Row],[PRECIO EN SOLES]]-Tabla1[[#This Row],[PC]]</f>
        <v>595.36991999999964</v>
      </c>
    </row>
    <row r="1085" spans="1:10" x14ac:dyDescent="0.25">
      <c r="A1085" s="3" t="s">
        <v>2457</v>
      </c>
      <c r="B1085" s="3" t="s">
        <v>2458</v>
      </c>
      <c r="C1085" s="1">
        <v>20</v>
      </c>
      <c r="D1085" s="1">
        <v>992</v>
      </c>
      <c r="E1085" s="1" t="s">
        <v>74</v>
      </c>
      <c r="F1085" s="1" t="s">
        <v>4899</v>
      </c>
      <c r="G1085" s="3" t="s">
        <v>2459</v>
      </c>
      <c r="H1085" s="12" cm="1">
        <f t="array" ref="H1085">_xlfn.IFS(I1085&lt;197,I1085*1.26,I1085&gt;197,I1085*1.17) + IF(I1085&gt;1000,17,0)</f>
        <v>4673.4876799999993</v>
      </c>
      <c r="I1085" s="10">
        <f>($K$2+0.02)*Tabla1[[#This Row],[PRECIO $]]*1.18</f>
        <v>3979.9039999999995</v>
      </c>
      <c r="J1085" s="7">
        <f>+Tabla1[[#This Row],[PRECIO EN SOLES]]-Tabla1[[#This Row],[PC]]</f>
        <v>693.58367999999973</v>
      </c>
    </row>
    <row r="1086" spans="1:10" x14ac:dyDescent="0.25">
      <c r="A1086" s="3" t="s">
        <v>5821</v>
      </c>
      <c r="B1086" s="3" t="s">
        <v>5822</v>
      </c>
      <c r="C1086" s="1">
        <v>20</v>
      </c>
      <c r="D1086" s="1">
        <v>1965</v>
      </c>
      <c r="E1086" s="1" t="s">
        <v>426</v>
      </c>
      <c r="F1086" s="1" t="s">
        <v>5823</v>
      </c>
      <c r="G1086" s="3" t="s">
        <v>5824</v>
      </c>
      <c r="H1086" s="12" cm="1">
        <f t="array" ref="H1086">_xlfn.IFS(I1086&lt;197,I1086*1.26,I1086&gt;197,I1086*1.17) + IF(I1086&gt;1000,17,0)</f>
        <v>9240.7885999999999</v>
      </c>
      <c r="I1086" s="10">
        <f>($K$2+0.02)*Tabla1[[#This Row],[PRECIO $]]*1.18</f>
        <v>7883.58</v>
      </c>
      <c r="J1086" s="7">
        <f>+Tabla1[[#This Row],[PRECIO EN SOLES]]-Tabla1[[#This Row],[PC]]</f>
        <v>1357.2085999999999</v>
      </c>
    </row>
    <row r="1087" spans="1:10" x14ac:dyDescent="0.25">
      <c r="A1087" s="3" t="s">
        <v>5937</v>
      </c>
      <c r="B1087" s="3" t="s">
        <v>5938</v>
      </c>
      <c r="C1087" s="1">
        <v>5</v>
      </c>
      <c r="D1087" s="1">
        <v>1803</v>
      </c>
      <c r="E1087" s="1" t="s">
        <v>163</v>
      </c>
      <c r="F1087" s="1" t="s">
        <v>5939</v>
      </c>
      <c r="G1087" s="3" t="s">
        <v>5940</v>
      </c>
      <c r="H1087" s="12" cm="1">
        <f t="array" ref="H1087">_xlfn.IFS(I1087&lt;197,I1087*1.26,I1087&gt;197,I1087*1.17) + IF(I1087&gt;1000,17,0)</f>
        <v>8480.3541199999981</v>
      </c>
      <c r="I1087" s="10">
        <f>($K$2+0.02)*Tabla1[[#This Row],[PRECIO $]]*1.18</f>
        <v>7233.6359999999995</v>
      </c>
      <c r="J1087" s="7">
        <f>+Tabla1[[#This Row],[PRECIO EN SOLES]]-Tabla1[[#This Row],[PC]]</f>
        <v>1246.7181199999986</v>
      </c>
    </row>
    <row r="1088" spans="1:10" x14ac:dyDescent="0.25">
      <c r="A1088" s="3" t="s">
        <v>2460</v>
      </c>
      <c r="B1088" s="3" t="s">
        <v>2461</v>
      </c>
      <c r="C1088" s="1">
        <v>20</v>
      </c>
      <c r="D1088" s="1">
        <v>1504</v>
      </c>
      <c r="E1088" s="1" t="s">
        <v>74</v>
      </c>
      <c r="F1088" s="1" t="s">
        <v>4900</v>
      </c>
      <c r="G1088" s="3" t="s">
        <v>2462</v>
      </c>
      <c r="H1088" s="12" cm="1">
        <f t="array" ref="H1088">_xlfn.IFS(I1088&lt;197,I1088*1.26,I1088&gt;197,I1088*1.17) + IF(I1088&gt;1000,17,0)</f>
        <v>7076.836159999998</v>
      </c>
      <c r="I1088" s="10">
        <f>($K$2+0.02)*Tabla1[[#This Row],[PRECIO $]]*1.18</f>
        <v>6034.0479999999989</v>
      </c>
      <c r="J1088" s="7">
        <f>+Tabla1[[#This Row],[PRECIO EN SOLES]]-Tabla1[[#This Row],[PC]]</f>
        <v>1042.7881599999992</v>
      </c>
    </row>
    <row r="1089" spans="1:10" x14ac:dyDescent="0.25">
      <c r="A1089" s="3" t="s">
        <v>2463</v>
      </c>
      <c r="B1089" s="3" t="s">
        <v>2464</v>
      </c>
      <c r="C1089" s="1">
        <v>20</v>
      </c>
      <c r="D1089" s="1">
        <v>1485</v>
      </c>
      <c r="E1089" s="1" t="s">
        <v>1112</v>
      </c>
      <c r="F1089" s="1" t="s">
        <v>4901</v>
      </c>
      <c r="G1089" s="3" t="s">
        <v>2465</v>
      </c>
      <c r="H1089" s="12" cm="1">
        <f t="array" ref="H1089">_xlfn.IFS(I1089&lt;197,I1089*1.26,I1089&gt;197,I1089*1.17) + IF(I1089&gt;1000,17,0)</f>
        <v>6987.6493999999993</v>
      </c>
      <c r="I1089" s="10">
        <f>($K$2+0.02)*Tabla1[[#This Row],[PRECIO $]]*1.18</f>
        <v>5957.82</v>
      </c>
      <c r="J1089" s="7">
        <f>+Tabla1[[#This Row],[PRECIO EN SOLES]]-Tabla1[[#This Row],[PC]]</f>
        <v>1029.8293999999996</v>
      </c>
    </row>
    <row r="1090" spans="1:10" x14ac:dyDescent="0.25">
      <c r="A1090" s="3" t="s">
        <v>2466</v>
      </c>
      <c r="B1090" s="3" t="s">
        <v>2467</v>
      </c>
      <c r="C1090" s="1">
        <v>13</v>
      </c>
      <c r="D1090" s="1">
        <v>2225</v>
      </c>
      <c r="E1090" s="1" t="s">
        <v>56</v>
      </c>
      <c r="F1090" s="1" t="s">
        <v>4902</v>
      </c>
      <c r="G1090" s="3" t="s">
        <v>2468</v>
      </c>
      <c r="H1090" s="12" cm="1">
        <f t="array" ref="H1090">_xlfn.IFS(I1090&lt;197,I1090*1.26,I1090&gt;197,I1090*1.17) + IF(I1090&gt;1000,17,0)</f>
        <v>10461.238999999998</v>
      </c>
      <c r="I1090" s="10">
        <f>($K$2+0.02)*Tabla1[[#This Row],[PRECIO $]]*1.18</f>
        <v>8926.6999999999989</v>
      </c>
      <c r="J1090" s="7">
        <f>+Tabla1[[#This Row],[PRECIO EN SOLES]]-Tabla1[[#This Row],[PC]]</f>
        <v>1534.5389999999989</v>
      </c>
    </row>
    <row r="1091" spans="1:10" x14ac:dyDescent="0.25">
      <c r="A1091" s="3" t="s">
        <v>2469</v>
      </c>
      <c r="B1091" s="3" t="s">
        <v>2470</v>
      </c>
      <c r="C1091" s="1">
        <v>20</v>
      </c>
      <c r="D1091" s="1">
        <v>2125</v>
      </c>
      <c r="E1091" s="1" t="s">
        <v>56</v>
      </c>
      <c r="F1091" s="1" t="s">
        <v>4903</v>
      </c>
      <c r="G1091" s="3" t="s">
        <v>2471</v>
      </c>
      <c r="H1091" s="12" cm="1">
        <f t="array" ref="H1091">_xlfn.IFS(I1091&lt;197,I1091*1.26,I1091&gt;197,I1091*1.17) + IF(I1091&gt;1000,17,0)</f>
        <v>9991.8349999999991</v>
      </c>
      <c r="I1091" s="10">
        <f>($K$2+0.02)*Tabla1[[#This Row],[PRECIO $]]*1.18</f>
        <v>8525.5</v>
      </c>
      <c r="J1091" s="7">
        <f>+Tabla1[[#This Row],[PRECIO EN SOLES]]-Tabla1[[#This Row],[PC]]</f>
        <v>1466.3349999999991</v>
      </c>
    </row>
    <row r="1092" spans="1:10" x14ac:dyDescent="0.25">
      <c r="A1092" s="3" t="s">
        <v>2472</v>
      </c>
      <c r="B1092" s="3" t="s">
        <v>2473</v>
      </c>
      <c r="C1092" s="1">
        <v>0</v>
      </c>
      <c r="D1092" s="1">
        <v>1747</v>
      </c>
      <c r="E1092" s="1" t="s">
        <v>56</v>
      </c>
      <c r="F1092" s="1" t="s">
        <v>4904</v>
      </c>
      <c r="G1092" s="3" t="s">
        <v>2474</v>
      </c>
      <c r="H1092" s="12" cm="1">
        <f t="array" ref="H1092">_xlfn.IFS(I1092&lt;197,I1092*1.26,I1092&gt;197,I1092*1.17) + IF(I1092&gt;1000,17,0)</f>
        <v>8217.4878799999988</v>
      </c>
      <c r="I1092" s="10">
        <f>($K$2+0.02)*Tabla1[[#This Row],[PRECIO $]]*1.18</f>
        <v>7008.9639999999999</v>
      </c>
      <c r="J1092" s="7">
        <f>+Tabla1[[#This Row],[PRECIO EN SOLES]]-Tabla1[[#This Row],[PC]]</f>
        <v>1208.5238799999988</v>
      </c>
    </row>
    <row r="1093" spans="1:10" x14ac:dyDescent="0.25">
      <c r="A1093" s="3" t="s">
        <v>2475</v>
      </c>
      <c r="B1093" s="3" t="s">
        <v>2476</v>
      </c>
      <c r="C1093" s="1">
        <v>19</v>
      </c>
      <c r="D1093" s="1">
        <v>2327</v>
      </c>
      <c r="E1093" s="1" t="s">
        <v>56</v>
      </c>
      <c r="F1093" s="1" t="s">
        <v>4905</v>
      </c>
      <c r="G1093" s="3" t="s">
        <v>2477</v>
      </c>
      <c r="H1093" s="12" cm="1">
        <f t="array" ref="H1093">_xlfn.IFS(I1093&lt;197,I1093*1.26,I1093&gt;197,I1093*1.17) + IF(I1093&gt;1000,17,0)</f>
        <v>10940.031079999999</v>
      </c>
      <c r="I1093" s="10">
        <f>($K$2+0.02)*Tabla1[[#This Row],[PRECIO $]]*1.18</f>
        <v>9335.9239999999991</v>
      </c>
      <c r="J1093" s="7">
        <f>+Tabla1[[#This Row],[PRECIO EN SOLES]]-Tabla1[[#This Row],[PC]]</f>
        <v>1604.1070799999998</v>
      </c>
    </row>
    <row r="1094" spans="1:10" x14ac:dyDescent="0.25">
      <c r="A1094" s="3" t="s">
        <v>2478</v>
      </c>
      <c r="B1094" s="3" t="s">
        <v>2479</v>
      </c>
      <c r="C1094" s="1">
        <v>15</v>
      </c>
      <c r="D1094" s="1">
        <v>1897</v>
      </c>
      <c r="E1094" s="1" t="s">
        <v>56</v>
      </c>
      <c r="F1094" s="1" t="s">
        <v>4906</v>
      </c>
      <c r="G1094" s="3" t="s">
        <v>2480</v>
      </c>
      <c r="H1094" s="12" cm="1">
        <f t="array" ref="H1094">_xlfn.IFS(I1094&lt;197,I1094*1.26,I1094&gt;197,I1094*1.17) + IF(I1094&gt;1000,17,0)</f>
        <v>8921.5938800000004</v>
      </c>
      <c r="I1094" s="10">
        <f>($K$2+0.02)*Tabla1[[#This Row],[PRECIO $]]*1.18</f>
        <v>7610.7640000000001</v>
      </c>
      <c r="J1094" s="7">
        <f>+Tabla1[[#This Row],[PRECIO EN SOLES]]-Tabla1[[#This Row],[PC]]</f>
        <v>1310.8298800000002</v>
      </c>
    </row>
    <row r="1095" spans="1:10" x14ac:dyDescent="0.25">
      <c r="A1095" s="3" t="s">
        <v>2481</v>
      </c>
      <c r="B1095" s="3" t="s">
        <v>2482</v>
      </c>
      <c r="C1095" s="1">
        <v>15</v>
      </c>
      <c r="D1095" s="1">
        <v>2407</v>
      </c>
      <c r="E1095" s="1" t="s">
        <v>56</v>
      </c>
      <c r="F1095" s="1" t="s">
        <v>4907</v>
      </c>
      <c r="G1095" s="3" t="s">
        <v>2483</v>
      </c>
      <c r="H1095" s="12" cm="1">
        <f t="array" ref="H1095">_xlfn.IFS(I1095&lt;197,I1095*1.26,I1095&gt;197,I1095*1.17) + IF(I1095&gt;1000,17,0)</f>
        <v>11315.554279999998</v>
      </c>
      <c r="I1095" s="10">
        <f>($K$2+0.02)*Tabla1[[#This Row],[PRECIO $]]*1.18</f>
        <v>9656.884</v>
      </c>
      <c r="J1095" s="7">
        <f>+Tabla1[[#This Row],[PRECIO EN SOLES]]-Tabla1[[#This Row],[PC]]</f>
        <v>1658.6702799999985</v>
      </c>
    </row>
    <row r="1096" spans="1:10" x14ac:dyDescent="0.25">
      <c r="A1096" s="3" t="s">
        <v>2484</v>
      </c>
      <c r="B1096" s="3" t="s">
        <v>2485</v>
      </c>
      <c r="C1096" s="1">
        <v>0</v>
      </c>
      <c r="D1096" s="1">
        <v>1636</v>
      </c>
      <c r="E1096" s="1" t="s">
        <v>56</v>
      </c>
      <c r="F1096" s="1" t="s">
        <v>4908</v>
      </c>
      <c r="G1096" s="3" t="s">
        <v>2486</v>
      </c>
      <c r="H1096" s="12" cm="1">
        <f t="array" ref="H1096">_xlfn.IFS(I1096&lt;197,I1096*1.26,I1096&gt;197,I1096*1.17) + IF(I1096&gt;1000,17,0)</f>
        <v>7696.4494399999994</v>
      </c>
      <c r="I1096" s="10">
        <f>($K$2+0.02)*Tabla1[[#This Row],[PRECIO $]]*1.18</f>
        <v>6563.6319999999996</v>
      </c>
      <c r="J1096" s="7">
        <f>+Tabla1[[#This Row],[PRECIO EN SOLES]]-Tabla1[[#This Row],[PC]]</f>
        <v>1132.8174399999998</v>
      </c>
    </row>
    <row r="1097" spans="1:10" x14ac:dyDescent="0.25">
      <c r="A1097" s="3" t="s">
        <v>3715</v>
      </c>
      <c r="B1097" s="3" t="s">
        <v>3716</v>
      </c>
      <c r="C1097" s="1">
        <v>10</v>
      </c>
      <c r="D1097" s="1">
        <v>1655</v>
      </c>
      <c r="E1097" s="1" t="s">
        <v>56</v>
      </c>
      <c r="F1097" s="1" t="s">
        <v>4909</v>
      </c>
      <c r="G1097" s="3" t="s">
        <v>3717</v>
      </c>
      <c r="H1097" s="12" cm="1">
        <f t="array" ref="H1097">_xlfn.IFS(I1097&lt;197,I1097*1.26,I1097&gt;197,I1097*1.17) + IF(I1097&gt;1000,17,0)</f>
        <v>7785.636199999999</v>
      </c>
      <c r="I1097" s="10">
        <f>($K$2+0.02)*Tabla1[[#This Row],[PRECIO $]]*1.18</f>
        <v>6639.86</v>
      </c>
      <c r="J1097" s="7">
        <f>+Tabla1[[#This Row],[PRECIO EN SOLES]]-Tabla1[[#This Row],[PC]]</f>
        <v>1145.7761999999993</v>
      </c>
    </row>
    <row r="1098" spans="1:10" x14ac:dyDescent="0.25">
      <c r="A1098" s="3" t="s">
        <v>2487</v>
      </c>
      <c r="B1098" s="3" t="s">
        <v>2488</v>
      </c>
      <c r="C1098" s="1">
        <v>11</v>
      </c>
      <c r="D1098" s="1">
        <v>1865</v>
      </c>
      <c r="E1098" s="1" t="s">
        <v>56</v>
      </c>
      <c r="F1098" s="1" t="s">
        <v>4910</v>
      </c>
      <c r="G1098" s="3" t="s">
        <v>2489</v>
      </c>
      <c r="H1098" s="12" cm="1">
        <f t="array" ref="H1098">_xlfn.IFS(I1098&lt;197,I1098*1.26,I1098&gt;197,I1098*1.17) + IF(I1098&gt;1000,17,0)</f>
        <v>8771.3845999999994</v>
      </c>
      <c r="I1098" s="10">
        <f>($K$2+0.02)*Tabla1[[#This Row],[PRECIO $]]*1.18</f>
        <v>7482.3799999999992</v>
      </c>
      <c r="J1098" s="7">
        <f>+Tabla1[[#This Row],[PRECIO EN SOLES]]-Tabla1[[#This Row],[PC]]</f>
        <v>1289.0046000000002</v>
      </c>
    </row>
    <row r="1099" spans="1:10" x14ac:dyDescent="0.25">
      <c r="A1099" s="3" t="s">
        <v>2490</v>
      </c>
      <c r="B1099" s="3" t="s">
        <v>2491</v>
      </c>
      <c r="C1099" s="1">
        <v>8</v>
      </c>
      <c r="D1099" s="1">
        <v>2455</v>
      </c>
      <c r="E1099" s="1" t="s">
        <v>56</v>
      </c>
      <c r="F1099" s="1" t="s">
        <v>4911</v>
      </c>
      <c r="G1099" s="3" t="s">
        <v>2492</v>
      </c>
      <c r="H1099" s="12" cm="1">
        <f t="array" ref="H1099">_xlfn.IFS(I1099&lt;197,I1099*1.26,I1099&gt;197,I1099*1.17) + IF(I1099&gt;1000,17,0)</f>
        <v>11540.868199999999</v>
      </c>
      <c r="I1099" s="10">
        <f>($K$2+0.02)*Tabla1[[#This Row],[PRECIO $]]*1.18</f>
        <v>9849.4599999999991</v>
      </c>
      <c r="J1099" s="7">
        <f>+Tabla1[[#This Row],[PRECIO EN SOLES]]-Tabla1[[#This Row],[PC]]</f>
        <v>1691.4081999999999</v>
      </c>
    </row>
    <row r="1100" spans="1:10" x14ac:dyDescent="0.25">
      <c r="A1100" s="3" t="s">
        <v>5825</v>
      </c>
      <c r="B1100" s="3" t="s">
        <v>5826</v>
      </c>
      <c r="C1100" s="1">
        <v>6</v>
      </c>
      <c r="D1100" s="1">
        <v>1985</v>
      </c>
      <c r="E1100" s="1" t="s">
        <v>1002</v>
      </c>
      <c r="F1100" s="1" t="s">
        <v>5827</v>
      </c>
      <c r="G1100" s="3"/>
      <c r="H1100" s="12" cm="1">
        <f t="array" ref="H1100">_xlfn.IFS(I1100&lt;197,I1100*1.26,I1100&gt;197,I1100*1.17) + IF(I1100&gt;1000,17,0)</f>
        <v>9334.6693999999989</v>
      </c>
      <c r="I1100" s="10">
        <f>($K$2+0.02)*Tabla1[[#This Row],[PRECIO $]]*1.18</f>
        <v>7963.82</v>
      </c>
      <c r="J1100" s="7">
        <f>+Tabla1[[#This Row],[PRECIO EN SOLES]]-Tabla1[[#This Row],[PC]]</f>
        <v>1370.8493999999992</v>
      </c>
    </row>
    <row r="1101" spans="1:10" x14ac:dyDescent="0.25">
      <c r="A1101" s="3" t="s">
        <v>5828</v>
      </c>
      <c r="B1101" s="3" t="s">
        <v>5829</v>
      </c>
      <c r="C1101" s="1">
        <v>20</v>
      </c>
      <c r="D1101" s="1">
        <v>1985</v>
      </c>
      <c r="E1101" s="1" t="s">
        <v>1002</v>
      </c>
      <c r="F1101" s="1" t="s">
        <v>5830</v>
      </c>
      <c r="G1101" s="3"/>
      <c r="H1101" s="12" cm="1">
        <f t="array" ref="H1101">_xlfn.IFS(I1101&lt;197,I1101*1.26,I1101&gt;197,I1101*1.17) + IF(I1101&gt;1000,17,0)</f>
        <v>9334.6693999999989</v>
      </c>
      <c r="I1101" s="10">
        <f>($K$2+0.02)*Tabla1[[#This Row],[PRECIO $]]*1.18</f>
        <v>7963.82</v>
      </c>
      <c r="J1101" s="7">
        <f>+Tabla1[[#This Row],[PRECIO EN SOLES]]-Tabla1[[#This Row],[PC]]</f>
        <v>1370.8493999999992</v>
      </c>
    </row>
    <row r="1102" spans="1:10" x14ac:dyDescent="0.25">
      <c r="A1102" s="3" t="s">
        <v>5831</v>
      </c>
      <c r="B1102" s="3" t="s">
        <v>5832</v>
      </c>
      <c r="C1102" s="1">
        <v>20</v>
      </c>
      <c r="D1102" s="1">
        <v>2455</v>
      </c>
      <c r="E1102" s="1" t="s">
        <v>1002</v>
      </c>
      <c r="F1102" s="1" t="s">
        <v>5833</v>
      </c>
      <c r="G1102" s="3"/>
      <c r="H1102" s="12" cm="1">
        <f t="array" ref="H1102">_xlfn.IFS(I1102&lt;197,I1102*1.26,I1102&gt;197,I1102*1.17) + IF(I1102&gt;1000,17,0)</f>
        <v>11540.868199999999</v>
      </c>
      <c r="I1102" s="10">
        <f>($K$2+0.02)*Tabla1[[#This Row],[PRECIO $]]*1.18</f>
        <v>9849.4599999999991</v>
      </c>
      <c r="J1102" s="7">
        <f>+Tabla1[[#This Row],[PRECIO EN SOLES]]-Tabla1[[#This Row],[PC]]</f>
        <v>1691.4081999999999</v>
      </c>
    </row>
    <row r="1103" spans="1:10" x14ac:dyDescent="0.25">
      <c r="A1103" s="3" t="s">
        <v>5834</v>
      </c>
      <c r="B1103" s="3" t="s">
        <v>5835</v>
      </c>
      <c r="C1103" s="1">
        <v>20</v>
      </c>
      <c r="D1103" s="1">
        <v>3435</v>
      </c>
      <c r="E1103" s="1" t="s">
        <v>1002</v>
      </c>
      <c r="F1103" s="1" t="s">
        <v>5836</v>
      </c>
      <c r="G1103" s="3"/>
      <c r="H1103" s="12" cm="1">
        <f t="array" ref="H1103">_xlfn.IFS(I1103&lt;197,I1103*1.26,I1103&gt;197,I1103*1.17) + IF(I1103&gt;1000,17,0)</f>
        <v>16141.027399999999</v>
      </c>
      <c r="I1103" s="10">
        <f>($K$2+0.02)*Tabla1[[#This Row],[PRECIO $]]*1.18</f>
        <v>13781.22</v>
      </c>
      <c r="J1103" s="7">
        <f>+Tabla1[[#This Row],[PRECIO EN SOLES]]-Tabla1[[#This Row],[PC]]</f>
        <v>2359.8073999999997</v>
      </c>
    </row>
    <row r="1104" spans="1:10" x14ac:dyDescent="0.25">
      <c r="A1104" s="3" t="s">
        <v>5837</v>
      </c>
      <c r="B1104" s="3" t="s">
        <v>5838</v>
      </c>
      <c r="C1104" s="1">
        <v>9</v>
      </c>
      <c r="D1104" s="1">
        <v>3955</v>
      </c>
      <c r="E1104" s="1" t="s">
        <v>1002</v>
      </c>
      <c r="F1104" s="1" t="s">
        <v>5839</v>
      </c>
      <c r="G1104" s="3"/>
      <c r="H1104" s="12" cm="1">
        <f t="array" ref="H1104">_xlfn.IFS(I1104&lt;197,I1104*1.26,I1104&gt;197,I1104*1.17) + IF(I1104&gt;1000,17,0)</f>
        <v>18581.928199999998</v>
      </c>
      <c r="I1104" s="10">
        <f>($K$2+0.02)*Tabla1[[#This Row],[PRECIO $]]*1.18</f>
        <v>15867.46</v>
      </c>
      <c r="J1104" s="7">
        <f>+Tabla1[[#This Row],[PRECIO EN SOLES]]-Tabla1[[#This Row],[PC]]</f>
        <v>2714.4681999999993</v>
      </c>
    </row>
    <row r="1105" spans="1:10" x14ac:dyDescent="0.25">
      <c r="A1105" s="3" t="s">
        <v>5840</v>
      </c>
      <c r="B1105" s="3" t="s">
        <v>5841</v>
      </c>
      <c r="C1105" s="1">
        <v>8</v>
      </c>
      <c r="D1105" s="1">
        <v>3565</v>
      </c>
      <c r="E1105" s="1" t="s">
        <v>1002</v>
      </c>
      <c r="F1105" s="1" t="s">
        <v>5842</v>
      </c>
      <c r="G1105" s="3"/>
      <c r="H1105" s="12" cm="1">
        <f t="array" ref="H1105">_xlfn.IFS(I1105&lt;197,I1105*1.26,I1105&gt;197,I1105*1.17) + IF(I1105&gt;1000,17,0)</f>
        <v>16751.252599999996</v>
      </c>
      <c r="I1105" s="10">
        <f>($K$2+0.02)*Tabla1[[#This Row],[PRECIO $]]*1.18</f>
        <v>14302.779999999999</v>
      </c>
      <c r="J1105" s="7">
        <f>+Tabla1[[#This Row],[PRECIO EN SOLES]]-Tabla1[[#This Row],[PC]]</f>
        <v>2448.4725999999973</v>
      </c>
    </row>
    <row r="1106" spans="1:10" x14ac:dyDescent="0.25">
      <c r="A1106" s="3" t="s">
        <v>5843</v>
      </c>
      <c r="B1106" s="3" t="s">
        <v>5844</v>
      </c>
      <c r="C1106" s="1">
        <v>8</v>
      </c>
      <c r="D1106" s="1">
        <v>3995</v>
      </c>
      <c r="E1106" s="1" t="s">
        <v>1002</v>
      </c>
      <c r="F1106" s="1" t="s">
        <v>5845</v>
      </c>
      <c r="G1106" s="3"/>
      <c r="H1106" s="12" cm="1">
        <f t="array" ref="H1106">_xlfn.IFS(I1106&lt;197,I1106*1.26,I1106&gt;197,I1106*1.17) + IF(I1106&gt;1000,17,0)</f>
        <v>18769.689799999996</v>
      </c>
      <c r="I1106" s="10">
        <f>($K$2+0.02)*Tabla1[[#This Row],[PRECIO $]]*1.18</f>
        <v>16027.939999999999</v>
      </c>
      <c r="J1106" s="7">
        <f>+Tabla1[[#This Row],[PRECIO EN SOLES]]-Tabla1[[#This Row],[PC]]</f>
        <v>2741.7497999999978</v>
      </c>
    </row>
    <row r="1107" spans="1:10" x14ac:dyDescent="0.25">
      <c r="A1107" s="3" t="s">
        <v>5846</v>
      </c>
      <c r="B1107" s="3" t="s">
        <v>5847</v>
      </c>
      <c r="C1107" s="1">
        <v>20</v>
      </c>
      <c r="D1107" s="1">
        <v>2755</v>
      </c>
      <c r="E1107" s="1" t="s">
        <v>1002</v>
      </c>
      <c r="F1107" s="1" t="s">
        <v>5848</v>
      </c>
      <c r="G1107" s="3"/>
      <c r="H1107" s="12" cm="1">
        <f t="array" ref="H1107">_xlfn.IFS(I1107&lt;197,I1107*1.26,I1107&gt;197,I1107*1.17) + IF(I1107&gt;1000,17,0)</f>
        <v>12949.080199999999</v>
      </c>
      <c r="I1107" s="10">
        <f>($K$2+0.02)*Tabla1[[#This Row],[PRECIO $]]*1.18</f>
        <v>11053.06</v>
      </c>
      <c r="J1107" s="7">
        <f>+Tabla1[[#This Row],[PRECIO EN SOLES]]-Tabla1[[#This Row],[PC]]</f>
        <v>1896.020199999999</v>
      </c>
    </row>
    <row r="1108" spans="1:10" x14ac:dyDescent="0.25">
      <c r="A1108" s="3" t="s">
        <v>2495</v>
      </c>
      <c r="B1108" s="3" t="s">
        <v>2496</v>
      </c>
      <c r="C1108" s="1">
        <v>0</v>
      </c>
      <c r="D1108" s="1">
        <v>9.6</v>
      </c>
      <c r="E1108" s="1" t="s">
        <v>74</v>
      </c>
      <c r="F1108" s="1" t="s">
        <v>4912</v>
      </c>
      <c r="G1108" s="3" t="s">
        <v>2497</v>
      </c>
      <c r="H1108" s="12" cm="1">
        <f t="array" ref="H1108">_xlfn.IFS(I1108&lt;197,I1108*1.26,I1108&gt;197,I1108*1.17) + IF(I1108&gt;1000,17,0)</f>
        <v>48.529152000000003</v>
      </c>
      <c r="I1108" s="10">
        <f>($K$2+0.02)*Tabla1[[#This Row],[PRECIO $]]*1.18</f>
        <v>38.5152</v>
      </c>
      <c r="J1108" s="7">
        <f>+Tabla1[[#This Row],[PRECIO EN SOLES]]-Tabla1[[#This Row],[PC]]</f>
        <v>10.013952000000003</v>
      </c>
    </row>
    <row r="1109" spans="1:10" x14ac:dyDescent="0.25">
      <c r="A1109" s="3" t="s">
        <v>2498</v>
      </c>
      <c r="B1109" s="3" t="s">
        <v>2499</v>
      </c>
      <c r="C1109" s="1">
        <v>20</v>
      </c>
      <c r="D1109" s="1">
        <v>19</v>
      </c>
      <c r="E1109" s="1" t="s">
        <v>1002</v>
      </c>
      <c r="F1109" s="1" t="s">
        <v>4913</v>
      </c>
      <c r="G1109" s="3" t="s">
        <v>2500</v>
      </c>
      <c r="H1109" s="12" cm="1">
        <f t="array" ref="H1109">_xlfn.IFS(I1109&lt;197,I1109*1.26,I1109&gt;197,I1109*1.17) + IF(I1109&gt;1000,17,0)</f>
        <v>96.047280000000001</v>
      </c>
      <c r="I1109" s="10">
        <f>($K$2+0.02)*Tabla1[[#This Row],[PRECIO $]]*1.18</f>
        <v>76.227999999999994</v>
      </c>
      <c r="J1109" s="7">
        <f>+Tabla1[[#This Row],[PRECIO EN SOLES]]-Tabla1[[#This Row],[PC]]</f>
        <v>19.819280000000006</v>
      </c>
    </row>
    <row r="1110" spans="1:10" x14ac:dyDescent="0.25">
      <c r="A1110" s="3" t="s">
        <v>2501</v>
      </c>
      <c r="B1110" s="3" t="s">
        <v>2502</v>
      </c>
      <c r="C1110" s="1">
        <v>20</v>
      </c>
      <c r="D1110" s="1">
        <v>28.3</v>
      </c>
      <c r="E1110" s="1" t="s">
        <v>1002</v>
      </c>
      <c r="F1110" s="1" t="s">
        <v>4914</v>
      </c>
      <c r="G1110" s="3" t="s">
        <v>2503</v>
      </c>
      <c r="H1110" s="12" cm="1">
        <f t="array" ref="H1110">_xlfn.IFS(I1110&lt;197,I1110*1.26,I1110&gt;197,I1110*1.17) + IF(I1110&gt;1000,17,0)</f>
        <v>143.05989599999998</v>
      </c>
      <c r="I1110" s="10">
        <f>($K$2+0.02)*Tabla1[[#This Row],[PRECIO $]]*1.18</f>
        <v>113.53959999999999</v>
      </c>
      <c r="J1110" s="7">
        <f>+Tabla1[[#This Row],[PRECIO EN SOLES]]-Tabla1[[#This Row],[PC]]</f>
        <v>29.520295999999988</v>
      </c>
    </row>
    <row r="1111" spans="1:10" x14ac:dyDescent="0.25">
      <c r="A1111" s="3" t="s">
        <v>2504</v>
      </c>
      <c r="B1111" s="3" t="s">
        <v>2505</v>
      </c>
      <c r="C1111" s="1">
        <v>20</v>
      </c>
      <c r="D1111" s="1">
        <v>35.799999999999997</v>
      </c>
      <c r="E1111" s="1" t="s">
        <v>1002</v>
      </c>
      <c r="F1111" s="1" t="s">
        <v>4915</v>
      </c>
      <c r="G1111" s="3" t="s">
        <v>2506</v>
      </c>
      <c r="H1111" s="12" cm="1">
        <f t="array" ref="H1111">_xlfn.IFS(I1111&lt;197,I1111*1.26,I1111&gt;197,I1111*1.17) + IF(I1111&gt;1000,17,0)</f>
        <v>180.97329599999998</v>
      </c>
      <c r="I1111" s="10">
        <f>($K$2+0.02)*Tabla1[[#This Row],[PRECIO $]]*1.18</f>
        <v>143.62959999999998</v>
      </c>
      <c r="J1111" s="7">
        <f>+Tabla1[[#This Row],[PRECIO EN SOLES]]-Tabla1[[#This Row],[PC]]</f>
        <v>37.343695999999994</v>
      </c>
    </row>
    <row r="1112" spans="1:10" x14ac:dyDescent="0.25">
      <c r="A1112" s="3" t="s">
        <v>2507</v>
      </c>
      <c r="B1112" s="3" t="s">
        <v>2508</v>
      </c>
      <c r="C1112" s="1">
        <v>7</v>
      </c>
      <c r="D1112" s="1">
        <v>50.75</v>
      </c>
      <c r="E1112" s="1" t="s">
        <v>74</v>
      </c>
      <c r="F1112" s="1" t="s">
        <v>4916</v>
      </c>
      <c r="G1112" s="3" t="s">
        <v>2509</v>
      </c>
      <c r="H1112" s="12" cm="1">
        <f t="array" ref="H1112">_xlfn.IFS(I1112&lt;197,I1112*1.26,I1112&gt;197,I1112*1.17) + IF(I1112&gt;1000,17,0)</f>
        <v>238.22252999999995</v>
      </c>
      <c r="I1112" s="10">
        <f>($K$2+0.02)*Tabla1[[#This Row],[PRECIO $]]*1.18</f>
        <v>203.60899999999998</v>
      </c>
      <c r="J1112" s="7">
        <f>+Tabla1[[#This Row],[PRECIO EN SOLES]]-Tabla1[[#This Row],[PC]]</f>
        <v>34.613529999999969</v>
      </c>
    </row>
    <row r="1113" spans="1:10" x14ac:dyDescent="0.25">
      <c r="A1113" s="3" t="s">
        <v>2510</v>
      </c>
      <c r="B1113" s="3" t="s">
        <v>2511</v>
      </c>
      <c r="C1113" s="1">
        <v>20</v>
      </c>
      <c r="D1113" s="1">
        <v>22.2</v>
      </c>
      <c r="E1113" s="1" t="s">
        <v>1002</v>
      </c>
      <c r="F1113" s="1" t="s">
        <v>4917</v>
      </c>
      <c r="G1113" s="3" t="s">
        <v>2512</v>
      </c>
      <c r="H1113" s="12" cm="1">
        <f t="array" ref="H1113">_xlfn.IFS(I1113&lt;197,I1113*1.26,I1113&gt;197,I1113*1.17) + IF(I1113&gt;1000,17,0)</f>
        <v>112.22366399999999</v>
      </c>
      <c r="I1113" s="10">
        <f>($K$2+0.02)*Tabla1[[#This Row],[PRECIO $]]*1.18</f>
        <v>89.066399999999987</v>
      </c>
      <c r="J1113" s="7">
        <f>+Tabla1[[#This Row],[PRECIO EN SOLES]]-Tabla1[[#This Row],[PC]]</f>
        <v>23.157263999999998</v>
      </c>
    </row>
    <row r="1114" spans="1:10" x14ac:dyDescent="0.25">
      <c r="A1114" s="3" t="s">
        <v>2513</v>
      </c>
      <c r="B1114" s="3" t="s">
        <v>2514</v>
      </c>
      <c r="C1114" s="1">
        <v>1</v>
      </c>
      <c r="D1114" s="1">
        <v>174.2</v>
      </c>
      <c r="E1114" s="1" t="s">
        <v>56</v>
      </c>
      <c r="F1114" s="1" t="s">
        <v>4918</v>
      </c>
      <c r="G1114" s="3" t="s">
        <v>2515</v>
      </c>
      <c r="H1114" s="12" cm="1">
        <f t="array" ref="H1114">_xlfn.IFS(I1114&lt;197,I1114*1.26,I1114&gt;197,I1114*1.17) + IF(I1114&gt;1000,17,0)</f>
        <v>817.70176799999979</v>
      </c>
      <c r="I1114" s="10">
        <f>($K$2+0.02)*Tabla1[[#This Row],[PRECIO $]]*1.18</f>
        <v>698.89039999999989</v>
      </c>
      <c r="J1114" s="7">
        <f>+Tabla1[[#This Row],[PRECIO EN SOLES]]-Tabla1[[#This Row],[PC]]</f>
        <v>118.8113679999999</v>
      </c>
    </row>
    <row r="1115" spans="1:10" x14ac:dyDescent="0.25">
      <c r="A1115" s="3" t="s">
        <v>2516</v>
      </c>
      <c r="B1115" s="3" t="s">
        <v>2517</v>
      </c>
      <c r="C1115" s="1">
        <v>1</v>
      </c>
      <c r="D1115" s="1">
        <v>659</v>
      </c>
      <c r="E1115" s="1" t="s">
        <v>1002</v>
      </c>
      <c r="F1115" s="1" t="s">
        <v>4919</v>
      </c>
      <c r="G1115" s="3" t="s">
        <v>2518</v>
      </c>
      <c r="H1115" s="12" cm="1">
        <f t="array" ref="H1115">_xlfn.IFS(I1115&lt;197,I1115*1.26,I1115&gt;197,I1115*1.17) + IF(I1115&gt;1000,17,0)</f>
        <v>3110.3723599999998</v>
      </c>
      <c r="I1115" s="10">
        <f>($K$2+0.02)*Tabla1[[#This Row],[PRECIO $]]*1.18</f>
        <v>2643.9079999999999</v>
      </c>
      <c r="J1115" s="7">
        <f>+Tabla1[[#This Row],[PRECIO EN SOLES]]-Tabla1[[#This Row],[PC]]</f>
        <v>466.46435999999994</v>
      </c>
    </row>
    <row r="1116" spans="1:10" x14ac:dyDescent="0.25">
      <c r="A1116" s="3" t="s">
        <v>2519</v>
      </c>
      <c r="B1116" s="3" t="s">
        <v>2520</v>
      </c>
      <c r="C1116" s="1">
        <v>20</v>
      </c>
      <c r="D1116" s="1">
        <v>165.3</v>
      </c>
      <c r="E1116" s="1" t="s">
        <v>1002</v>
      </c>
      <c r="F1116" s="1" t="s">
        <v>4920</v>
      </c>
      <c r="G1116" s="3" t="s">
        <v>2521</v>
      </c>
      <c r="H1116" s="12" cm="1">
        <f t="array" ref="H1116">_xlfn.IFS(I1116&lt;197,I1116*1.26,I1116&gt;197,I1116*1.17) + IF(I1116&gt;1000,17,0)</f>
        <v>775.92481199999986</v>
      </c>
      <c r="I1116" s="10">
        <f>($K$2+0.02)*Tabla1[[#This Row],[PRECIO $]]*1.18</f>
        <v>663.18359999999996</v>
      </c>
      <c r="J1116" s="7">
        <f>+Tabla1[[#This Row],[PRECIO EN SOLES]]-Tabla1[[#This Row],[PC]]</f>
        <v>112.7412119999999</v>
      </c>
    </row>
    <row r="1117" spans="1:10" x14ac:dyDescent="0.25">
      <c r="A1117" s="3" t="s">
        <v>2522</v>
      </c>
      <c r="B1117" s="3" t="s">
        <v>2523</v>
      </c>
      <c r="C1117" s="1">
        <v>20</v>
      </c>
      <c r="D1117" s="1">
        <v>21.7</v>
      </c>
      <c r="E1117" s="1" t="s">
        <v>1002</v>
      </c>
      <c r="F1117" s="1" t="s">
        <v>4921</v>
      </c>
      <c r="G1117" s="3" t="s">
        <v>2524</v>
      </c>
      <c r="H1117" s="12" cm="1">
        <f t="array" ref="H1117">_xlfn.IFS(I1117&lt;197,I1117*1.26,I1117&gt;197,I1117*1.17) + IF(I1117&gt;1000,17,0)</f>
        <v>109.69610400000001</v>
      </c>
      <c r="I1117" s="10">
        <f>($K$2+0.02)*Tabla1[[#This Row],[PRECIO $]]*1.18</f>
        <v>87.060400000000001</v>
      </c>
      <c r="J1117" s="7">
        <f>+Tabla1[[#This Row],[PRECIO EN SOLES]]-Tabla1[[#This Row],[PC]]</f>
        <v>22.635704000000004</v>
      </c>
    </row>
    <row r="1118" spans="1:10" x14ac:dyDescent="0.25">
      <c r="A1118" s="3" t="s">
        <v>2525</v>
      </c>
      <c r="B1118" s="3" t="s">
        <v>2526</v>
      </c>
      <c r="C1118" s="1">
        <v>7</v>
      </c>
      <c r="D1118" s="1">
        <v>55</v>
      </c>
      <c r="E1118" s="1" t="s">
        <v>56</v>
      </c>
      <c r="F1118" s="1" t="s">
        <v>4922</v>
      </c>
      <c r="G1118" s="3" t="s">
        <v>2527</v>
      </c>
      <c r="H1118" s="12" cm="1">
        <f t="array" ref="H1118">_xlfn.IFS(I1118&lt;197,I1118*1.26,I1118&gt;197,I1118*1.17) + IF(I1118&gt;1000,17,0)</f>
        <v>258.17219999999998</v>
      </c>
      <c r="I1118" s="10">
        <f>($K$2+0.02)*Tabla1[[#This Row],[PRECIO $]]*1.18</f>
        <v>220.66</v>
      </c>
      <c r="J1118" s="7">
        <f>+Tabla1[[#This Row],[PRECIO EN SOLES]]-Tabla1[[#This Row],[PC]]</f>
        <v>37.512199999999979</v>
      </c>
    </row>
    <row r="1119" spans="1:10" x14ac:dyDescent="0.25">
      <c r="A1119" s="3" t="s">
        <v>2528</v>
      </c>
      <c r="B1119" s="3" t="s">
        <v>2529</v>
      </c>
      <c r="C1119" s="1">
        <v>20</v>
      </c>
      <c r="D1119" s="1">
        <v>12.97</v>
      </c>
      <c r="E1119" s="1" t="s">
        <v>56</v>
      </c>
      <c r="F1119" s="1" t="s">
        <v>4923</v>
      </c>
      <c r="G1119" s="3" t="s">
        <v>2530</v>
      </c>
      <c r="H1119" s="12" cm="1">
        <f t="array" ref="H1119">_xlfn.IFS(I1119&lt;197,I1119*1.26,I1119&gt;197,I1119*1.17) + IF(I1119&gt;1000,17,0)</f>
        <v>65.564906399999998</v>
      </c>
      <c r="I1119" s="10">
        <f>($K$2+0.02)*Tabla1[[#This Row],[PRECIO $]]*1.18</f>
        <v>52.035639999999994</v>
      </c>
      <c r="J1119" s="7">
        <f>+Tabla1[[#This Row],[PRECIO EN SOLES]]-Tabla1[[#This Row],[PC]]</f>
        <v>13.529266400000004</v>
      </c>
    </row>
    <row r="1120" spans="1:10" x14ac:dyDescent="0.25">
      <c r="A1120" s="3" t="s">
        <v>2531</v>
      </c>
      <c r="B1120" s="3" t="s">
        <v>2532</v>
      </c>
      <c r="C1120" s="1">
        <v>1</v>
      </c>
      <c r="D1120" s="1">
        <v>55</v>
      </c>
      <c r="E1120" s="1" t="s">
        <v>56</v>
      </c>
      <c r="F1120" s="1" t="s">
        <v>4924</v>
      </c>
      <c r="G1120" s="3" t="s">
        <v>2533</v>
      </c>
      <c r="H1120" s="12" cm="1">
        <f t="array" ref="H1120">_xlfn.IFS(I1120&lt;197,I1120*1.26,I1120&gt;197,I1120*1.17) + IF(I1120&gt;1000,17,0)</f>
        <v>258.17219999999998</v>
      </c>
      <c r="I1120" s="10">
        <f>($K$2+0.02)*Tabla1[[#This Row],[PRECIO $]]*1.18</f>
        <v>220.66</v>
      </c>
      <c r="J1120" s="7">
        <f>+Tabla1[[#This Row],[PRECIO EN SOLES]]-Tabla1[[#This Row],[PC]]</f>
        <v>37.512199999999979</v>
      </c>
    </row>
    <row r="1121" spans="1:10" x14ac:dyDescent="0.25">
      <c r="A1121" s="3" t="s">
        <v>2534</v>
      </c>
      <c r="B1121" s="3" t="s">
        <v>2535</v>
      </c>
      <c r="C1121" s="1">
        <v>20</v>
      </c>
      <c r="D1121" s="1">
        <v>48.9</v>
      </c>
      <c r="E1121" s="1" t="s">
        <v>1002</v>
      </c>
      <c r="F1121" s="1" t="s">
        <v>4925</v>
      </c>
      <c r="G1121" s="3" t="s">
        <v>3568</v>
      </c>
      <c r="H1121" s="12" cm="1">
        <f t="array" ref="H1121">_xlfn.IFS(I1121&lt;197,I1121*1.26,I1121&gt;197,I1121*1.17) + IF(I1121&gt;1000,17,0)</f>
        <v>247.19536799999997</v>
      </c>
      <c r="I1121" s="10">
        <f>($K$2+0.02)*Tabla1[[#This Row],[PRECIO $]]*1.18</f>
        <v>196.18679999999998</v>
      </c>
      <c r="J1121" s="7">
        <f>+Tabla1[[#This Row],[PRECIO EN SOLES]]-Tabla1[[#This Row],[PC]]</f>
        <v>51.008567999999997</v>
      </c>
    </row>
    <row r="1122" spans="1:10" x14ac:dyDescent="0.25">
      <c r="A1122" s="3" t="s">
        <v>2536</v>
      </c>
      <c r="B1122" s="3" t="s">
        <v>2537</v>
      </c>
      <c r="C1122" s="1">
        <v>20</v>
      </c>
      <c r="D1122" s="1">
        <v>54.1</v>
      </c>
      <c r="E1122" s="1" t="s">
        <v>1002</v>
      </c>
      <c r="F1122" s="1" t="s">
        <v>4926</v>
      </c>
      <c r="G1122" s="3" t="s">
        <v>3718</v>
      </c>
      <c r="H1122" s="12" cm="1">
        <f t="array" ref="H1122">_xlfn.IFS(I1122&lt;197,I1122*1.26,I1122&gt;197,I1122*1.17) + IF(I1122&gt;1000,17,0)</f>
        <v>253.94756399999997</v>
      </c>
      <c r="I1122" s="10">
        <f>($K$2+0.02)*Tabla1[[#This Row],[PRECIO $]]*1.18</f>
        <v>217.04919999999998</v>
      </c>
      <c r="J1122" s="7">
        <f>+Tabla1[[#This Row],[PRECIO EN SOLES]]-Tabla1[[#This Row],[PC]]</f>
        <v>36.898363999999987</v>
      </c>
    </row>
    <row r="1123" spans="1:10" x14ac:dyDescent="0.25">
      <c r="A1123" s="3" t="s">
        <v>489</v>
      </c>
      <c r="B1123" s="3" t="s">
        <v>490</v>
      </c>
      <c r="C1123" s="1">
        <v>20</v>
      </c>
      <c r="D1123" s="1">
        <v>8</v>
      </c>
      <c r="E1123" s="1" t="s">
        <v>52</v>
      </c>
      <c r="F1123" s="1" t="s">
        <v>4927</v>
      </c>
      <c r="G1123" s="3" t="s">
        <v>491</v>
      </c>
      <c r="H1123" s="12" cm="1">
        <f t="array" ref="H1123">_xlfn.IFS(I1123&lt;197,I1123*1.26,I1123&gt;197,I1123*1.17) + IF(I1123&gt;1000,17,0)</f>
        <v>40.440959999999997</v>
      </c>
      <c r="I1123" s="10">
        <f>($K$2+0.02)*Tabla1[[#This Row],[PRECIO $]]*1.18</f>
        <v>32.095999999999997</v>
      </c>
      <c r="J1123" s="7">
        <f>+Tabla1[[#This Row],[PRECIO EN SOLES]]-Tabla1[[#This Row],[PC]]</f>
        <v>8.3449600000000004</v>
      </c>
    </row>
    <row r="1124" spans="1:10" x14ac:dyDescent="0.25">
      <c r="A1124" s="3" t="s">
        <v>2538</v>
      </c>
      <c r="B1124" s="3" t="s">
        <v>2539</v>
      </c>
      <c r="C1124" s="1">
        <v>20</v>
      </c>
      <c r="D1124" s="1">
        <v>13.7</v>
      </c>
      <c r="E1124" s="1" t="s">
        <v>52</v>
      </c>
      <c r="F1124" s="1" t="s">
        <v>4928</v>
      </c>
      <c r="G1124" s="3" t="s">
        <v>2540</v>
      </c>
      <c r="H1124" s="12" cm="1">
        <f t="array" ref="H1124">_xlfn.IFS(I1124&lt;197,I1124*1.26,I1124&gt;197,I1124*1.17) + IF(I1124&gt;1000,17,0)</f>
        <v>69.255144000000001</v>
      </c>
      <c r="I1124" s="10">
        <f>($K$2+0.02)*Tabla1[[#This Row],[PRECIO $]]*1.18</f>
        <v>54.964399999999998</v>
      </c>
      <c r="J1124" s="7">
        <f>+Tabla1[[#This Row],[PRECIO EN SOLES]]-Tabla1[[#This Row],[PC]]</f>
        <v>14.290744000000004</v>
      </c>
    </row>
    <row r="1125" spans="1:10" x14ac:dyDescent="0.25">
      <c r="A1125" s="3" t="s">
        <v>493</v>
      </c>
      <c r="B1125" s="3" t="s">
        <v>494</v>
      </c>
      <c r="C1125" s="1">
        <v>20</v>
      </c>
      <c r="D1125" s="1">
        <v>20.7</v>
      </c>
      <c r="E1125" s="1" t="s">
        <v>52</v>
      </c>
      <c r="F1125" s="1" t="s">
        <v>4929</v>
      </c>
      <c r="G1125" s="3" t="s">
        <v>495</v>
      </c>
      <c r="H1125" s="12" cm="1">
        <f t="array" ref="H1125">_xlfn.IFS(I1125&lt;197,I1125*1.26,I1125&gt;197,I1125*1.17) + IF(I1125&gt;1000,17,0)</f>
        <v>104.64098399999999</v>
      </c>
      <c r="I1125" s="10">
        <f>($K$2+0.02)*Tabla1[[#This Row],[PRECIO $]]*1.18</f>
        <v>83.048399999999987</v>
      </c>
      <c r="J1125" s="7">
        <f>+Tabla1[[#This Row],[PRECIO EN SOLES]]-Tabla1[[#This Row],[PC]]</f>
        <v>21.592584000000002</v>
      </c>
    </row>
    <row r="1126" spans="1:10" x14ac:dyDescent="0.25">
      <c r="A1126" s="3" t="s">
        <v>496</v>
      </c>
      <c r="B1126" s="3" t="s">
        <v>497</v>
      </c>
      <c r="C1126" s="1">
        <v>20</v>
      </c>
      <c r="D1126" s="1">
        <v>14</v>
      </c>
      <c r="E1126" s="1" t="s">
        <v>52</v>
      </c>
      <c r="F1126" s="1" t="s">
        <v>4930</v>
      </c>
      <c r="G1126" s="3" t="s">
        <v>498</v>
      </c>
      <c r="H1126" s="12" cm="1">
        <f t="array" ref="H1126">_xlfn.IFS(I1126&lt;197,I1126*1.26,I1126&gt;197,I1126*1.17) + IF(I1126&gt;1000,17,0)</f>
        <v>70.771680000000003</v>
      </c>
      <c r="I1126" s="10">
        <f>($K$2+0.02)*Tabla1[[#This Row],[PRECIO $]]*1.18</f>
        <v>56.167999999999999</v>
      </c>
      <c r="J1126" s="7">
        <f>+Tabla1[[#This Row],[PRECIO EN SOLES]]-Tabla1[[#This Row],[PC]]</f>
        <v>14.603680000000004</v>
      </c>
    </row>
    <row r="1127" spans="1:10" x14ac:dyDescent="0.25">
      <c r="A1127" s="3" t="s">
        <v>2541</v>
      </c>
      <c r="B1127" s="3" t="s">
        <v>2542</v>
      </c>
      <c r="C1127" s="1">
        <v>14</v>
      </c>
      <c r="D1127" s="1">
        <v>9.5</v>
      </c>
      <c r="E1127" s="1" t="s">
        <v>58</v>
      </c>
      <c r="F1127" s="1" t="s">
        <v>4931</v>
      </c>
      <c r="G1127" s="3" t="s">
        <v>2543</v>
      </c>
      <c r="H1127" s="12" cm="1">
        <f t="array" ref="H1127">_xlfn.IFS(I1127&lt;197,I1127*1.26,I1127&gt;197,I1127*1.17) + IF(I1127&gt;1000,17,0)</f>
        <v>48.02364</v>
      </c>
      <c r="I1127" s="10">
        <f>($K$2+0.02)*Tabla1[[#This Row],[PRECIO $]]*1.18</f>
        <v>38.113999999999997</v>
      </c>
      <c r="J1127" s="7">
        <f>+Tabla1[[#This Row],[PRECIO EN SOLES]]-Tabla1[[#This Row],[PC]]</f>
        <v>9.9096400000000031</v>
      </c>
    </row>
    <row r="1128" spans="1:10" x14ac:dyDescent="0.25">
      <c r="A1128" s="3" t="s">
        <v>2544</v>
      </c>
      <c r="B1128" s="3" t="s">
        <v>2545</v>
      </c>
      <c r="C1128" s="1">
        <v>20</v>
      </c>
      <c r="D1128" s="1">
        <v>12.2</v>
      </c>
      <c r="E1128" s="1" t="s">
        <v>58</v>
      </c>
      <c r="F1128" s="1" t="s">
        <v>4932</v>
      </c>
      <c r="G1128" s="3" t="s">
        <v>2546</v>
      </c>
      <c r="H1128" s="12" cm="1">
        <f t="array" ref="H1128">_xlfn.IFS(I1128&lt;197,I1128*1.26,I1128&gt;197,I1128*1.17) + IF(I1128&gt;1000,17,0)</f>
        <v>61.672463999999998</v>
      </c>
      <c r="I1128" s="10">
        <f>($K$2+0.02)*Tabla1[[#This Row],[PRECIO $]]*1.18</f>
        <v>48.946399999999997</v>
      </c>
      <c r="J1128" s="7">
        <f>+Tabla1[[#This Row],[PRECIO EN SOLES]]-Tabla1[[#This Row],[PC]]</f>
        <v>12.726064000000001</v>
      </c>
    </row>
    <row r="1129" spans="1:10" x14ac:dyDescent="0.25">
      <c r="A1129" s="3" t="s">
        <v>2547</v>
      </c>
      <c r="B1129" s="3" t="s">
        <v>2548</v>
      </c>
      <c r="C1129" s="1">
        <v>2</v>
      </c>
      <c r="D1129" s="1">
        <v>7.5</v>
      </c>
      <c r="E1129" s="1" t="s">
        <v>58</v>
      </c>
      <c r="F1129" s="1" t="s">
        <v>4933</v>
      </c>
      <c r="G1129" s="3" t="s">
        <v>2549</v>
      </c>
      <c r="H1129" s="12" cm="1">
        <f t="array" ref="H1129">_xlfn.IFS(I1129&lt;197,I1129*1.26,I1129&gt;197,I1129*1.17) + IF(I1129&gt;1000,17,0)</f>
        <v>37.913400000000003</v>
      </c>
      <c r="I1129" s="10">
        <f>($K$2+0.02)*Tabla1[[#This Row],[PRECIO $]]*1.18</f>
        <v>30.09</v>
      </c>
      <c r="J1129" s="7">
        <f>+Tabla1[[#This Row],[PRECIO EN SOLES]]-Tabla1[[#This Row],[PC]]</f>
        <v>7.823400000000003</v>
      </c>
    </row>
    <row r="1130" spans="1:10" x14ac:dyDescent="0.25">
      <c r="A1130" s="3" t="s">
        <v>2550</v>
      </c>
      <c r="B1130" s="3" t="s">
        <v>2551</v>
      </c>
      <c r="C1130" s="1">
        <v>20</v>
      </c>
      <c r="D1130" s="1">
        <v>9</v>
      </c>
      <c r="E1130" s="1" t="s">
        <v>58</v>
      </c>
      <c r="F1130" s="1" t="s">
        <v>4934</v>
      </c>
      <c r="G1130" s="3" t="s">
        <v>2552</v>
      </c>
      <c r="H1130" s="12" cm="1">
        <f t="array" ref="H1130">_xlfn.IFS(I1130&lt;197,I1130*1.26,I1130&gt;197,I1130*1.17) + IF(I1130&gt;1000,17,0)</f>
        <v>45.496079999999999</v>
      </c>
      <c r="I1130" s="10">
        <f>($K$2+0.02)*Tabla1[[#This Row],[PRECIO $]]*1.18</f>
        <v>36.107999999999997</v>
      </c>
      <c r="J1130" s="7">
        <f>+Tabla1[[#This Row],[PRECIO EN SOLES]]-Tabla1[[#This Row],[PC]]</f>
        <v>9.3880800000000022</v>
      </c>
    </row>
    <row r="1131" spans="1:10" x14ac:dyDescent="0.25">
      <c r="A1131" s="3" t="s">
        <v>2553</v>
      </c>
      <c r="B1131" s="3" t="s">
        <v>2551</v>
      </c>
      <c r="C1131" s="1">
        <v>20</v>
      </c>
      <c r="D1131" s="1">
        <v>12</v>
      </c>
      <c r="E1131" s="1" t="s">
        <v>58</v>
      </c>
      <c r="F1131" s="1" t="s">
        <v>4935</v>
      </c>
      <c r="G1131" s="3" t="s">
        <v>2554</v>
      </c>
      <c r="H1131" s="12" cm="1">
        <f t="array" ref="H1131">_xlfn.IFS(I1131&lt;197,I1131*1.26,I1131&gt;197,I1131*1.17) + IF(I1131&gt;1000,17,0)</f>
        <v>60.661439999999992</v>
      </c>
      <c r="I1131" s="10">
        <f>($K$2+0.02)*Tabla1[[#This Row],[PRECIO $]]*1.18</f>
        <v>48.143999999999991</v>
      </c>
      <c r="J1131" s="7">
        <f>+Tabla1[[#This Row],[PRECIO EN SOLES]]-Tabla1[[#This Row],[PC]]</f>
        <v>12.517440000000001</v>
      </c>
    </row>
    <row r="1132" spans="1:10" x14ac:dyDescent="0.25">
      <c r="A1132" s="3" t="s">
        <v>2555</v>
      </c>
      <c r="B1132" s="3" t="s">
        <v>2556</v>
      </c>
      <c r="C1132" s="1">
        <v>9</v>
      </c>
      <c r="D1132" s="1">
        <v>13.5</v>
      </c>
      <c r="E1132" s="1" t="s">
        <v>58</v>
      </c>
      <c r="F1132" s="1" t="s">
        <v>4936</v>
      </c>
      <c r="G1132" s="3" t="s">
        <v>2557</v>
      </c>
      <c r="H1132" s="12" cm="1">
        <f t="array" ref="H1132">_xlfn.IFS(I1132&lt;197,I1132*1.26,I1132&gt;197,I1132*1.17) + IF(I1132&gt;1000,17,0)</f>
        <v>68.244119999999995</v>
      </c>
      <c r="I1132" s="10">
        <f>($K$2+0.02)*Tabla1[[#This Row],[PRECIO $]]*1.18</f>
        <v>54.161999999999992</v>
      </c>
      <c r="J1132" s="7">
        <f>+Tabla1[[#This Row],[PRECIO EN SOLES]]-Tabla1[[#This Row],[PC]]</f>
        <v>14.082120000000003</v>
      </c>
    </row>
    <row r="1133" spans="1:10" x14ac:dyDescent="0.25">
      <c r="A1133" s="3" t="s">
        <v>2558</v>
      </c>
      <c r="B1133" s="3" t="s">
        <v>2559</v>
      </c>
      <c r="C1133" s="1">
        <v>3</v>
      </c>
      <c r="D1133" s="1">
        <v>11.7</v>
      </c>
      <c r="E1133" s="1" t="s">
        <v>58</v>
      </c>
      <c r="F1133" s="1" t="s">
        <v>4937</v>
      </c>
      <c r="G1133" s="3" t="s">
        <v>2560</v>
      </c>
      <c r="H1133" s="12" cm="1">
        <f t="array" ref="H1133">_xlfn.IFS(I1133&lt;197,I1133*1.26,I1133&gt;197,I1133*1.17) + IF(I1133&gt;1000,17,0)</f>
        <v>59.14490399999999</v>
      </c>
      <c r="I1133" s="10">
        <f>($K$2+0.02)*Tabla1[[#This Row],[PRECIO $]]*1.18</f>
        <v>46.94039999999999</v>
      </c>
      <c r="J1133" s="7">
        <f>+Tabla1[[#This Row],[PRECIO EN SOLES]]-Tabla1[[#This Row],[PC]]</f>
        <v>12.204504</v>
      </c>
    </row>
    <row r="1134" spans="1:10" x14ac:dyDescent="0.25">
      <c r="A1134" s="3" t="s">
        <v>2561</v>
      </c>
      <c r="B1134" s="3" t="s">
        <v>2562</v>
      </c>
      <c r="C1134" s="1">
        <v>14</v>
      </c>
      <c r="D1134" s="1">
        <v>17.3</v>
      </c>
      <c r="E1134" s="1" t="s">
        <v>58</v>
      </c>
      <c r="F1134" s="1" t="s">
        <v>4938</v>
      </c>
      <c r="G1134" s="3" t="s">
        <v>2563</v>
      </c>
      <c r="H1134" s="12" cm="1">
        <f t="array" ref="H1134">_xlfn.IFS(I1134&lt;197,I1134*1.26,I1134&gt;197,I1134*1.17) + IF(I1134&gt;1000,17,0)</f>
        <v>87.453575999999998</v>
      </c>
      <c r="I1134" s="10">
        <f>($K$2+0.02)*Tabla1[[#This Row],[PRECIO $]]*1.18</f>
        <v>69.407600000000002</v>
      </c>
      <c r="J1134" s="7">
        <f>+Tabla1[[#This Row],[PRECIO EN SOLES]]-Tabla1[[#This Row],[PC]]</f>
        <v>18.045975999999996</v>
      </c>
    </row>
    <row r="1135" spans="1:10" x14ac:dyDescent="0.25">
      <c r="A1135" s="3" t="s">
        <v>2564</v>
      </c>
      <c r="B1135" s="3" t="s">
        <v>2565</v>
      </c>
      <c r="C1135" s="1">
        <v>10</v>
      </c>
      <c r="D1135" s="1">
        <v>92.2</v>
      </c>
      <c r="E1135" s="1" t="s">
        <v>58</v>
      </c>
      <c r="F1135" s="1" t="s">
        <v>4939</v>
      </c>
      <c r="G1135" s="3" t="s">
        <v>2566</v>
      </c>
      <c r="H1135" s="12" cm="1">
        <f t="array" ref="H1135">_xlfn.IFS(I1135&lt;197,I1135*1.26,I1135&gt;197,I1135*1.17) + IF(I1135&gt;1000,17,0)</f>
        <v>432.79048799999998</v>
      </c>
      <c r="I1135" s="10">
        <f>($K$2+0.02)*Tabla1[[#This Row],[PRECIO $]]*1.18</f>
        <v>369.90640000000002</v>
      </c>
      <c r="J1135" s="7">
        <f>+Tabla1[[#This Row],[PRECIO EN SOLES]]-Tabla1[[#This Row],[PC]]</f>
        <v>62.884087999999963</v>
      </c>
    </row>
    <row r="1136" spans="1:10" x14ac:dyDescent="0.25">
      <c r="A1136" s="3" t="s">
        <v>2567</v>
      </c>
      <c r="B1136" s="3" t="s">
        <v>2568</v>
      </c>
      <c r="C1136" s="1">
        <v>5</v>
      </c>
      <c r="D1136" s="1">
        <v>58.2</v>
      </c>
      <c r="E1136" s="1" t="s">
        <v>58</v>
      </c>
      <c r="F1136" s="1" t="s">
        <v>4940</v>
      </c>
      <c r="G1136" s="3" t="s">
        <v>2569</v>
      </c>
      <c r="H1136" s="12" cm="1">
        <f t="array" ref="H1136">_xlfn.IFS(I1136&lt;197,I1136*1.26,I1136&gt;197,I1136*1.17) + IF(I1136&gt;1000,17,0)</f>
        <v>273.19312799999994</v>
      </c>
      <c r="I1136" s="10">
        <f>($K$2+0.02)*Tabla1[[#This Row],[PRECIO $]]*1.18</f>
        <v>233.49839999999998</v>
      </c>
      <c r="J1136" s="7">
        <f>+Tabla1[[#This Row],[PRECIO EN SOLES]]-Tabla1[[#This Row],[PC]]</f>
        <v>39.694727999999969</v>
      </c>
    </row>
    <row r="1137" spans="1:10" x14ac:dyDescent="0.25">
      <c r="A1137" s="3" t="s">
        <v>2570</v>
      </c>
      <c r="B1137" s="3" t="s">
        <v>2571</v>
      </c>
      <c r="C1137" s="1">
        <v>0</v>
      </c>
      <c r="D1137" s="1">
        <v>56.2</v>
      </c>
      <c r="E1137" s="1" t="s">
        <v>58</v>
      </c>
      <c r="F1137" s="1" t="s">
        <v>4941</v>
      </c>
      <c r="G1137" s="3" t="s">
        <v>2572</v>
      </c>
      <c r="H1137" s="12" cm="1">
        <f t="array" ref="H1137">_xlfn.IFS(I1137&lt;197,I1137*1.26,I1137&gt;197,I1137*1.17) + IF(I1137&gt;1000,17,0)</f>
        <v>263.805048</v>
      </c>
      <c r="I1137" s="10">
        <f>($K$2+0.02)*Tabla1[[#This Row],[PRECIO $]]*1.18</f>
        <v>225.4744</v>
      </c>
      <c r="J1137" s="7">
        <f>+Tabla1[[#This Row],[PRECIO EN SOLES]]-Tabla1[[#This Row],[PC]]</f>
        <v>38.330647999999997</v>
      </c>
    </row>
    <row r="1138" spans="1:10" x14ac:dyDescent="0.25">
      <c r="A1138" s="3" t="s">
        <v>2573</v>
      </c>
      <c r="B1138" s="3" t="s">
        <v>2574</v>
      </c>
      <c r="C1138" s="1">
        <v>20</v>
      </c>
      <c r="D1138" s="1">
        <v>9</v>
      </c>
      <c r="E1138" s="1" t="s">
        <v>52</v>
      </c>
      <c r="F1138" s="1" t="s">
        <v>4942</v>
      </c>
      <c r="G1138" s="3"/>
      <c r="H1138" s="12" cm="1">
        <f t="array" ref="H1138">_xlfn.IFS(I1138&lt;197,I1138*1.26,I1138&gt;197,I1138*1.17) + IF(I1138&gt;1000,17,0)</f>
        <v>45.496079999999999</v>
      </c>
      <c r="I1138" s="10">
        <f>($K$2+0.02)*Tabla1[[#This Row],[PRECIO $]]*1.18</f>
        <v>36.107999999999997</v>
      </c>
      <c r="J1138" s="7">
        <f>+Tabla1[[#This Row],[PRECIO EN SOLES]]-Tabla1[[#This Row],[PC]]</f>
        <v>9.3880800000000022</v>
      </c>
    </row>
    <row r="1139" spans="1:10" x14ac:dyDescent="0.25">
      <c r="A1139" s="3" t="s">
        <v>499</v>
      </c>
      <c r="B1139" s="3" t="s">
        <v>500</v>
      </c>
      <c r="C1139" s="1">
        <v>20</v>
      </c>
      <c r="D1139" s="1">
        <v>12.8</v>
      </c>
      <c r="E1139" s="1" t="s">
        <v>56</v>
      </c>
      <c r="F1139" s="1" t="s">
        <v>4943</v>
      </c>
      <c r="G1139" s="3" t="s">
        <v>501</v>
      </c>
      <c r="H1139" s="12" cm="1">
        <f t="array" ref="H1139">_xlfn.IFS(I1139&lt;197,I1139*1.26,I1139&gt;197,I1139*1.17) + IF(I1139&gt;1000,17,0)</f>
        <v>64.705535999999995</v>
      </c>
      <c r="I1139" s="10">
        <f>($K$2+0.02)*Tabla1[[#This Row],[PRECIO $]]*1.18</f>
        <v>51.3536</v>
      </c>
      <c r="J1139" s="7">
        <f>+Tabla1[[#This Row],[PRECIO EN SOLES]]-Tabla1[[#This Row],[PC]]</f>
        <v>13.351935999999995</v>
      </c>
    </row>
    <row r="1140" spans="1:10" x14ac:dyDescent="0.25">
      <c r="A1140" s="3" t="s">
        <v>2575</v>
      </c>
      <c r="B1140" s="3" t="s">
        <v>2576</v>
      </c>
      <c r="C1140" s="1">
        <v>20</v>
      </c>
      <c r="D1140" s="1">
        <v>23.7</v>
      </c>
      <c r="E1140" s="1" t="s">
        <v>1002</v>
      </c>
      <c r="F1140" s="1" t="s">
        <v>4944</v>
      </c>
      <c r="G1140" s="3" t="s">
        <v>2577</v>
      </c>
      <c r="H1140" s="12" cm="1">
        <f t="array" ref="H1140">_xlfn.IFS(I1140&lt;197,I1140*1.26,I1140&gt;197,I1140*1.17) + IF(I1140&gt;1000,17,0)</f>
        <v>119.80634399999998</v>
      </c>
      <c r="I1140" s="10">
        <f>($K$2+0.02)*Tabla1[[#This Row],[PRECIO $]]*1.18</f>
        <v>95.084399999999988</v>
      </c>
      <c r="J1140" s="7">
        <f>+Tabla1[[#This Row],[PRECIO EN SOLES]]-Tabla1[[#This Row],[PC]]</f>
        <v>24.721943999999993</v>
      </c>
    </row>
    <row r="1141" spans="1:10" x14ac:dyDescent="0.25">
      <c r="A1141" s="3" t="s">
        <v>2578</v>
      </c>
      <c r="B1141" s="3" t="s">
        <v>2579</v>
      </c>
      <c r="C1141" s="1">
        <v>3</v>
      </c>
      <c r="D1141" s="1">
        <v>52.5</v>
      </c>
      <c r="E1141" s="1" t="s">
        <v>1002</v>
      </c>
      <c r="F1141" s="1" t="s">
        <v>4945</v>
      </c>
      <c r="G1141" s="3" t="s">
        <v>2580</v>
      </c>
      <c r="H1141" s="12" cm="1">
        <f t="array" ref="H1141">_xlfn.IFS(I1141&lt;197,I1141*1.26,I1141&gt;197,I1141*1.17) + IF(I1141&gt;1000,17,0)</f>
        <v>246.43709999999999</v>
      </c>
      <c r="I1141" s="10">
        <f>($K$2+0.02)*Tabla1[[#This Row],[PRECIO $]]*1.18</f>
        <v>210.63</v>
      </c>
      <c r="J1141" s="7">
        <f>+Tabla1[[#This Row],[PRECIO EN SOLES]]-Tabla1[[#This Row],[PC]]</f>
        <v>35.807099999999991</v>
      </c>
    </row>
    <row r="1142" spans="1:10" x14ac:dyDescent="0.25">
      <c r="A1142" s="3" t="s">
        <v>2581</v>
      </c>
      <c r="B1142" s="3" t="s">
        <v>2582</v>
      </c>
      <c r="C1142" s="1">
        <v>17</v>
      </c>
      <c r="D1142" s="1">
        <v>41</v>
      </c>
      <c r="E1142" s="1" t="s">
        <v>74</v>
      </c>
      <c r="F1142" s="1" t="s">
        <v>4946</v>
      </c>
      <c r="G1142" s="3" t="s">
        <v>2583</v>
      </c>
      <c r="H1142" s="12" cm="1">
        <f t="array" ref="H1142">_xlfn.IFS(I1142&lt;197,I1142*1.26,I1142&gt;197,I1142*1.17) + IF(I1142&gt;1000,17,0)</f>
        <v>207.25991999999999</v>
      </c>
      <c r="I1142" s="10">
        <f>($K$2+0.02)*Tabla1[[#This Row],[PRECIO $]]*1.18</f>
        <v>164.49199999999999</v>
      </c>
      <c r="J1142" s="7">
        <f>+Tabla1[[#This Row],[PRECIO EN SOLES]]-Tabla1[[#This Row],[PC]]</f>
        <v>42.767920000000004</v>
      </c>
    </row>
    <row r="1143" spans="1:10" x14ac:dyDescent="0.25">
      <c r="A1143" s="3" t="s">
        <v>2584</v>
      </c>
      <c r="B1143" s="3" t="s">
        <v>2585</v>
      </c>
      <c r="C1143" s="1">
        <v>20</v>
      </c>
      <c r="D1143" s="1">
        <v>44.1</v>
      </c>
      <c r="E1143" s="1" t="s">
        <v>74</v>
      </c>
      <c r="F1143" s="1" t="s">
        <v>4947</v>
      </c>
      <c r="G1143" s="3" t="s">
        <v>2586</v>
      </c>
      <c r="H1143" s="12" cm="1">
        <f t="array" ref="H1143">_xlfn.IFS(I1143&lt;197,I1143*1.26,I1143&gt;197,I1143*1.17) + IF(I1143&gt;1000,17,0)</f>
        <v>222.93079199999997</v>
      </c>
      <c r="I1143" s="10">
        <f>($K$2+0.02)*Tabla1[[#This Row],[PRECIO $]]*1.18</f>
        <v>176.92919999999998</v>
      </c>
      <c r="J1143" s="7">
        <f>+Tabla1[[#This Row],[PRECIO EN SOLES]]-Tabla1[[#This Row],[PC]]</f>
        <v>46.001591999999988</v>
      </c>
    </row>
    <row r="1144" spans="1:10" x14ac:dyDescent="0.25">
      <c r="A1144" s="3" t="s">
        <v>2587</v>
      </c>
      <c r="B1144" s="3" t="s">
        <v>2588</v>
      </c>
      <c r="C1144" s="1">
        <v>0</v>
      </c>
      <c r="D1144" s="1">
        <v>9999</v>
      </c>
      <c r="E1144" s="1" t="s">
        <v>1112</v>
      </c>
      <c r="F1144" s="1" t="s">
        <v>4948</v>
      </c>
      <c r="G1144" s="3"/>
      <c r="H1144" s="12" cm="1">
        <f t="array" ref="H1144">_xlfn.IFS(I1144&lt;197,I1144*1.26,I1144&gt;197,I1144*1.17) + IF(I1144&gt;1000,17,0)</f>
        <v>46952.705959999992</v>
      </c>
      <c r="I1144" s="10">
        <f>($K$2+0.02)*Tabla1[[#This Row],[PRECIO $]]*1.18</f>
        <v>40115.987999999998</v>
      </c>
      <c r="J1144" s="7">
        <f>+Tabla1[[#This Row],[PRECIO EN SOLES]]-Tabla1[[#This Row],[PC]]</f>
        <v>6836.7179599999945</v>
      </c>
    </row>
    <row r="1145" spans="1:10" x14ac:dyDescent="0.25">
      <c r="A1145" s="3" t="s">
        <v>2589</v>
      </c>
      <c r="B1145" s="3" t="s">
        <v>2590</v>
      </c>
      <c r="C1145" s="1">
        <v>0</v>
      </c>
      <c r="D1145" s="1">
        <v>99</v>
      </c>
      <c r="E1145" s="1" t="s">
        <v>163</v>
      </c>
      <c r="F1145" s="1" t="s">
        <v>4949</v>
      </c>
      <c r="G1145" s="3"/>
      <c r="H1145" s="12" cm="1">
        <f t="array" ref="H1145">_xlfn.IFS(I1145&lt;197,I1145*1.26,I1145&gt;197,I1145*1.17) + IF(I1145&gt;1000,17,0)</f>
        <v>464.70995999999991</v>
      </c>
      <c r="I1145" s="10">
        <f>($K$2+0.02)*Tabla1[[#This Row],[PRECIO $]]*1.18</f>
        <v>397.18799999999993</v>
      </c>
      <c r="J1145" s="7">
        <f>+Tabla1[[#This Row],[PRECIO EN SOLES]]-Tabla1[[#This Row],[PC]]</f>
        <v>67.521959999999979</v>
      </c>
    </row>
    <row r="1146" spans="1:10" x14ac:dyDescent="0.25">
      <c r="A1146" s="3" t="s">
        <v>2591</v>
      </c>
      <c r="B1146" s="3" t="s">
        <v>2588</v>
      </c>
      <c r="C1146" s="1">
        <v>0</v>
      </c>
      <c r="D1146" s="1">
        <v>9999</v>
      </c>
      <c r="E1146" s="1" t="s">
        <v>56</v>
      </c>
      <c r="F1146" s="1" t="s">
        <v>4950</v>
      </c>
      <c r="G1146" s="3"/>
      <c r="H1146" s="12" cm="1">
        <f t="array" ref="H1146">_xlfn.IFS(I1146&lt;197,I1146*1.26,I1146&gt;197,I1146*1.17) + IF(I1146&gt;1000,17,0)</f>
        <v>46952.705959999992</v>
      </c>
      <c r="I1146" s="10">
        <f>($K$2+0.02)*Tabla1[[#This Row],[PRECIO $]]*1.18</f>
        <v>40115.987999999998</v>
      </c>
      <c r="J1146" s="7">
        <f>+Tabla1[[#This Row],[PRECIO EN SOLES]]-Tabla1[[#This Row],[PC]]</f>
        <v>6836.7179599999945</v>
      </c>
    </row>
    <row r="1147" spans="1:10" x14ac:dyDescent="0.25">
      <c r="A1147" s="3" t="s">
        <v>6337</v>
      </c>
      <c r="B1147" s="3" t="s">
        <v>6338</v>
      </c>
      <c r="C1147" s="1">
        <v>0</v>
      </c>
      <c r="D1147" s="1">
        <v>999</v>
      </c>
      <c r="E1147" s="1" t="s">
        <v>213</v>
      </c>
      <c r="F1147" s="1" t="s">
        <v>6339</v>
      </c>
      <c r="G1147" s="3"/>
      <c r="H1147" s="12" cm="1">
        <f t="array" ref="H1147">_xlfn.IFS(I1147&lt;197,I1147*1.26,I1147&gt;197,I1147*1.17) + IF(I1147&gt;1000,17,0)</f>
        <v>4706.3459599999996</v>
      </c>
      <c r="I1147" s="10">
        <f>($K$2+0.02)*Tabla1[[#This Row],[PRECIO $]]*1.18</f>
        <v>4007.9879999999998</v>
      </c>
      <c r="J1147" s="7">
        <f>+Tabla1[[#This Row],[PRECIO EN SOLES]]-Tabla1[[#This Row],[PC]]</f>
        <v>698.35795999999982</v>
      </c>
    </row>
    <row r="1148" spans="1:10" x14ac:dyDescent="0.25">
      <c r="A1148" s="3" t="s">
        <v>5849</v>
      </c>
      <c r="B1148" s="3" t="s">
        <v>5850</v>
      </c>
      <c r="C1148" s="1">
        <v>12</v>
      </c>
      <c r="D1148" s="1">
        <v>485</v>
      </c>
      <c r="E1148" s="1" t="s">
        <v>52</v>
      </c>
      <c r="F1148" s="1" t="s">
        <v>5851</v>
      </c>
      <c r="G1148" s="3" t="s">
        <v>5852</v>
      </c>
      <c r="H1148" s="12" cm="1">
        <f t="array" ref="H1148">_xlfn.IFS(I1148&lt;197,I1148*1.26,I1148&gt;197,I1148*1.17) + IF(I1148&gt;1000,17,0)</f>
        <v>2293.6093999999998</v>
      </c>
      <c r="I1148" s="10">
        <f>($K$2+0.02)*Tabla1[[#This Row],[PRECIO $]]*1.18</f>
        <v>1945.82</v>
      </c>
      <c r="J1148" s="7">
        <f>+Tabla1[[#This Row],[PRECIO EN SOLES]]-Tabla1[[#This Row],[PC]]</f>
        <v>347.78939999999989</v>
      </c>
    </row>
    <row r="1149" spans="1:10" x14ac:dyDescent="0.25">
      <c r="A1149" s="3" t="s">
        <v>5941</v>
      </c>
      <c r="B1149" s="3" t="s">
        <v>5942</v>
      </c>
      <c r="C1149" s="1">
        <v>1</v>
      </c>
      <c r="D1149" s="1">
        <v>2242</v>
      </c>
      <c r="E1149" s="1" t="s">
        <v>52</v>
      </c>
      <c r="F1149" s="1" t="s">
        <v>5943</v>
      </c>
      <c r="G1149" s="3" t="s">
        <v>5944</v>
      </c>
      <c r="H1149" s="12" cm="1">
        <f t="array" ref="H1149">_xlfn.IFS(I1149&lt;197,I1149*1.26,I1149&gt;197,I1149*1.17) + IF(I1149&gt;1000,17,0)</f>
        <v>10541.037679999999</v>
      </c>
      <c r="I1149" s="10">
        <f>($K$2+0.02)*Tabla1[[#This Row],[PRECIO $]]*1.18</f>
        <v>8994.9040000000005</v>
      </c>
      <c r="J1149" s="7">
        <f>+Tabla1[[#This Row],[PRECIO EN SOLES]]-Tabla1[[#This Row],[PC]]</f>
        <v>1546.133679999999</v>
      </c>
    </row>
    <row r="1150" spans="1:10" x14ac:dyDescent="0.25">
      <c r="A1150" s="3" t="s">
        <v>2592</v>
      </c>
      <c r="B1150" s="3" t="s">
        <v>2593</v>
      </c>
      <c r="C1150" s="1">
        <v>5</v>
      </c>
      <c r="D1150" s="1">
        <v>2140</v>
      </c>
      <c r="E1150" s="1" t="s">
        <v>52</v>
      </c>
      <c r="F1150" s="1" t="s">
        <v>4951</v>
      </c>
      <c r="G1150" s="3" t="s">
        <v>2594</v>
      </c>
      <c r="H1150" s="12" cm="1">
        <f t="array" ref="H1150">_xlfn.IFS(I1150&lt;197,I1150*1.26,I1150&gt;197,I1150*1.17) + IF(I1150&gt;1000,17,0)</f>
        <v>10062.2456</v>
      </c>
      <c r="I1150" s="10">
        <f>($K$2+0.02)*Tabla1[[#This Row],[PRECIO $]]*1.18</f>
        <v>8585.68</v>
      </c>
      <c r="J1150" s="7">
        <f>+Tabla1[[#This Row],[PRECIO EN SOLES]]-Tabla1[[#This Row],[PC]]</f>
        <v>1476.5655999999999</v>
      </c>
    </row>
    <row r="1151" spans="1:10" x14ac:dyDescent="0.25">
      <c r="A1151" s="3" t="s">
        <v>2595</v>
      </c>
      <c r="B1151" s="3" t="s">
        <v>2596</v>
      </c>
      <c r="C1151" s="1">
        <v>2</v>
      </c>
      <c r="D1151" s="1">
        <v>13</v>
      </c>
      <c r="E1151" s="1" t="s">
        <v>2597</v>
      </c>
      <c r="F1151" s="1" t="s">
        <v>4952</v>
      </c>
      <c r="G1151" s="3"/>
      <c r="H1151" s="12" cm="1">
        <f t="array" ref="H1151">_xlfn.IFS(I1151&lt;197,I1151*1.26,I1151&gt;197,I1151*1.17) + IF(I1151&gt;1000,17,0)</f>
        <v>65.716559999999987</v>
      </c>
      <c r="I1151" s="10">
        <f>($K$2+0.02)*Tabla1[[#This Row],[PRECIO $]]*1.18</f>
        <v>52.155999999999992</v>
      </c>
      <c r="J1151" s="7">
        <f>+Tabla1[[#This Row],[PRECIO EN SOLES]]-Tabla1[[#This Row],[PC]]</f>
        <v>13.560559999999995</v>
      </c>
    </row>
    <row r="1152" spans="1:10" x14ac:dyDescent="0.25">
      <c r="A1152" s="3" t="s">
        <v>2598</v>
      </c>
      <c r="B1152" s="3" t="s">
        <v>2599</v>
      </c>
      <c r="C1152" s="1">
        <v>12</v>
      </c>
      <c r="D1152" s="1">
        <v>500</v>
      </c>
      <c r="E1152" s="1" t="s">
        <v>57</v>
      </c>
      <c r="F1152" s="1" t="s">
        <v>4953</v>
      </c>
      <c r="G1152" s="3"/>
      <c r="H1152" s="12" cm="1">
        <f t="array" ref="H1152">_xlfn.IFS(I1152&lt;197,I1152*1.26,I1152&gt;197,I1152*1.17) + IF(I1152&gt;1000,17,0)</f>
        <v>2364.02</v>
      </c>
      <c r="I1152" s="10">
        <f>($K$2+0.02)*Tabla1[[#This Row],[PRECIO $]]*1.18</f>
        <v>2006</v>
      </c>
      <c r="J1152" s="7">
        <f>+Tabla1[[#This Row],[PRECIO EN SOLES]]-Tabla1[[#This Row],[PC]]</f>
        <v>358.02</v>
      </c>
    </row>
    <row r="1153" spans="1:10" x14ac:dyDescent="0.25">
      <c r="A1153" s="3" t="s">
        <v>2600</v>
      </c>
      <c r="B1153" s="3" t="s">
        <v>2601</v>
      </c>
      <c r="C1153" s="1">
        <v>12</v>
      </c>
      <c r="D1153" s="1">
        <v>500</v>
      </c>
      <c r="E1153" s="1" t="s">
        <v>57</v>
      </c>
      <c r="F1153" s="1" t="s">
        <v>4954</v>
      </c>
      <c r="G1153" s="3"/>
      <c r="H1153" s="12" cm="1">
        <f t="array" ref="H1153">_xlfn.IFS(I1153&lt;197,I1153*1.26,I1153&gt;197,I1153*1.17) + IF(I1153&gt;1000,17,0)</f>
        <v>2364.02</v>
      </c>
      <c r="I1153" s="10">
        <f>($K$2+0.02)*Tabla1[[#This Row],[PRECIO $]]*1.18</f>
        <v>2006</v>
      </c>
      <c r="J1153" s="7">
        <f>+Tabla1[[#This Row],[PRECIO EN SOLES]]-Tabla1[[#This Row],[PC]]</f>
        <v>358.02</v>
      </c>
    </row>
    <row r="1154" spans="1:10" x14ac:dyDescent="0.25">
      <c r="A1154" s="3" t="s">
        <v>2602</v>
      </c>
      <c r="B1154" s="3" t="s">
        <v>2603</v>
      </c>
      <c r="C1154" s="1">
        <v>20</v>
      </c>
      <c r="D1154" s="1">
        <v>1</v>
      </c>
      <c r="E1154" s="1" t="s">
        <v>54</v>
      </c>
      <c r="F1154" s="1" t="s">
        <v>4955</v>
      </c>
      <c r="G1154" s="3"/>
      <c r="H1154" s="12" cm="1">
        <f t="array" ref="H1154">_xlfn.IFS(I1154&lt;197,I1154*1.26,I1154&gt;197,I1154*1.17) + IF(I1154&gt;1000,17,0)</f>
        <v>5.0551199999999996</v>
      </c>
      <c r="I1154" s="10">
        <f>($K$2+0.02)*Tabla1[[#This Row],[PRECIO $]]*1.18</f>
        <v>4.0119999999999996</v>
      </c>
      <c r="J1154" s="7">
        <f>+Tabla1[[#This Row],[PRECIO EN SOLES]]-Tabla1[[#This Row],[PC]]</f>
        <v>1.04312</v>
      </c>
    </row>
    <row r="1155" spans="1:10" x14ac:dyDescent="0.25">
      <c r="A1155" s="3" t="s">
        <v>2604</v>
      </c>
      <c r="B1155" s="3" t="s">
        <v>2605</v>
      </c>
      <c r="C1155" s="1">
        <v>20</v>
      </c>
      <c r="D1155" s="1">
        <v>666</v>
      </c>
      <c r="E1155" s="1" t="s">
        <v>57</v>
      </c>
      <c r="F1155" s="1" t="s">
        <v>4956</v>
      </c>
      <c r="G1155" s="3"/>
      <c r="H1155" s="12" cm="1">
        <f t="array" ref="H1155">_xlfn.IFS(I1155&lt;197,I1155*1.26,I1155&gt;197,I1155*1.17) + IF(I1155&gt;1000,17,0)</f>
        <v>3143.2306400000002</v>
      </c>
      <c r="I1155" s="10">
        <f>($K$2+0.02)*Tabla1[[#This Row],[PRECIO $]]*1.18</f>
        <v>2671.9920000000002</v>
      </c>
      <c r="J1155" s="7">
        <f>+Tabla1[[#This Row],[PRECIO EN SOLES]]-Tabla1[[#This Row],[PC]]</f>
        <v>471.23864000000003</v>
      </c>
    </row>
    <row r="1156" spans="1:10" x14ac:dyDescent="0.25">
      <c r="A1156" s="3" t="s">
        <v>2606</v>
      </c>
      <c r="B1156" s="3" t="s">
        <v>2607</v>
      </c>
      <c r="C1156" s="1">
        <v>12</v>
      </c>
      <c r="D1156" s="1">
        <v>500</v>
      </c>
      <c r="E1156" s="1" t="s">
        <v>57</v>
      </c>
      <c r="F1156" s="1" t="s">
        <v>4957</v>
      </c>
      <c r="G1156" s="3"/>
      <c r="H1156" s="12" cm="1">
        <f t="array" ref="H1156">_xlfn.IFS(I1156&lt;197,I1156*1.26,I1156&gt;197,I1156*1.17) + IF(I1156&gt;1000,17,0)</f>
        <v>2364.02</v>
      </c>
      <c r="I1156" s="10">
        <f>($K$2+0.02)*Tabla1[[#This Row],[PRECIO $]]*1.18</f>
        <v>2006</v>
      </c>
      <c r="J1156" s="7">
        <f>+Tabla1[[#This Row],[PRECIO EN SOLES]]-Tabla1[[#This Row],[PC]]</f>
        <v>358.02</v>
      </c>
    </row>
    <row r="1157" spans="1:10" x14ac:dyDescent="0.25">
      <c r="A1157" s="3" t="s">
        <v>2608</v>
      </c>
      <c r="B1157" s="3" t="s">
        <v>2609</v>
      </c>
      <c r="C1157" s="1">
        <v>9</v>
      </c>
      <c r="D1157" s="1">
        <v>16.8</v>
      </c>
      <c r="E1157" s="1" t="s">
        <v>57</v>
      </c>
      <c r="F1157" s="1" t="s">
        <v>4958</v>
      </c>
      <c r="G1157" s="3" t="s">
        <v>2610</v>
      </c>
      <c r="H1157" s="12" cm="1">
        <f t="array" ref="H1157">_xlfn.IFS(I1157&lt;197,I1157*1.26,I1157&gt;197,I1157*1.17) + IF(I1157&gt;1000,17,0)</f>
        <v>84.92601599999999</v>
      </c>
      <c r="I1157" s="10">
        <f>($K$2+0.02)*Tabla1[[#This Row],[PRECIO $]]*1.18</f>
        <v>67.401599999999988</v>
      </c>
      <c r="J1157" s="7">
        <f>+Tabla1[[#This Row],[PRECIO EN SOLES]]-Tabla1[[#This Row],[PC]]</f>
        <v>17.524416000000002</v>
      </c>
    </row>
    <row r="1158" spans="1:10" x14ac:dyDescent="0.25">
      <c r="A1158" s="3" t="s">
        <v>2612</v>
      </c>
      <c r="B1158" s="3" t="s">
        <v>2613</v>
      </c>
      <c r="C1158" s="1">
        <v>20</v>
      </c>
      <c r="D1158" s="1">
        <v>70.91</v>
      </c>
      <c r="E1158" s="1" t="s">
        <v>2611</v>
      </c>
      <c r="F1158" s="1" t="s">
        <v>4959</v>
      </c>
      <c r="G1158" s="3"/>
      <c r="H1158" s="12" cm="1">
        <f t="array" ref="H1158">_xlfn.IFS(I1158&lt;197,I1158*1.26,I1158&gt;197,I1158*1.17) + IF(I1158&gt;1000,17,0)</f>
        <v>332.85437639999992</v>
      </c>
      <c r="I1158" s="10">
        <f>($K$2+0.02)*Tabla1[[#This Row],[PRECIO $]]*1.18</f>
        <v>284.49091999999996</v>
      </c>
      <c r="J1158" s="7">
        <f>+Tabla1[[#This Row],[PRECIO EN SOLES]]-Tabla1[[#This Row],[PC]]</f>
        <v>48.363456399999961</v>
      </c>
    </row>
    <row r="1159" spans="1:10" x14ac:dyDescent="0.25">
      <c r="A1159" s="3" t="s">
        <v>2614</v>
      </c>
      <c r="B1159" s="3" t="s">
        <v>2615</v>
      </c>
      <c r="C1159" s="1">
        <v>20</v>
      </c>
      <c r="D1159" s="1">
        <v>55</v>
      </c>
      <c r="E1159" s="1" t="s">
        <v>2611</v>
      </c>
      <c r="F1159" s="1" t="s">
        <v>4960</v>
      </c>
      <c r="G1159" s="3"/>
      <c r="H1159" s="12" cm="1">
        <f t="array" ref="H1159">_xlfn.IFS(I1159&lt;197,I1159*1.26,I1159&gt;197,I1159*1.17) + IF(I1159&gt;1000,17,0)</f>
        <v>258.17219999999998</v>
      </c>
      <c r="I1159" s="10">
        <f>($K$2+0.02)*Tabla1[[#This Row],[PRECIO $]]*1.18</f>
        <v>220.66</v>
      </c>
      <c r="J1159" s="7">
        <f>+Tabla1[[#This Row],[PRECIO EN SOLES]]-Tabla1[[#This Row],[PC]]</f>
        <v>37.512199999999979</v>
      </c>
    </row>
    <row r="1160" spans="1:10" x14ac:dyDescent="0.25">
      <c r="A1160" s="3" t="s">
        <v>2616</v>
      </c>
      <c r="B1160" s="3" t="s">
        <v>2617</v>
      </c>
      <c r="C1160" s="1">
        <v>1</v>
      </c>
      <c r="D1160" s="1">
        <v>268</v>
      </c>
      <c r="E1160" s="1" t="s">
        <v>1417</v>
      </c>
      <c r="F1160" s="1" t="s">
        <v>4961</v>
      </c>
      <c r="G1160" s="3" t="s">
        <v>2618</v>
      </c>
      <c r="H1160" s="12" cm="1">
        <f t="array" ref="H1160">_xlfn.IFS(I1160&lt;197,I1160*1.26,I1160&gt;197,I1160*1.17) + IF(I1160&gt;1000,17,0)</f>
        <v>1275.0027199999997</v>
      </c>
      <c r="I1160" s="10">
        <f>($K$2+0.02)*Tabla1[[#This Row],[PRECIO $]]*1.18</f>
        <v>1075.2159999999999</v>
      </c>
      <c r="J1160" s="7">
        <f>+Tabla1[[#This Row],[PRECIO EN SOLES]]-Tabla1[[#This Row],[PC]]</f>
        <v>199.78671999999983</v>
      </c>
    </row>
    <row r="1161" spans="1:10" x14ac:dyDescent="0.25">
      <c r="A1161" s="3" t="s">
        <v>2619</v>
      </c>
      <c r="B1161" s="3" t="s">
        <v>2620</v>
      </c>
      <c r="C1161" s="1">
        <v>1</v>
      </c>
      <c r="D1161" s="1">
        <v>283</v>
      </c>
      <c r="E1161" s="1" t="s">
        <v>1417</v>
      </c>
      <c r="F1161" s="1" t="s">
        <v>4962</v>
      </c>
      <c r="G1161" s="3" t="s">
        <v>2621</v>
      </c>
      <c r="H1161" s="12" cm="1">
        <f t="array" ref="H1161">_xlfn.IFS(I1161&lt;197,I1161*1.26,I1161&gt;197,I1161*1.17) + IF(I1161&gt;1000,17,0)</f>
        <v>1345.4133199999999</v>
      </c>
      <c r="I1161" s="10">
        <f>($K$2+0.02)*Tabla1[[#This Row],[PRECIO $]]*1.18</f>
        <v>1135.396</v>
      </c>
      <c r="J1161" s="7">
        <f>+Tabla1[[#This Row],[PRECIO EN SOLES]]-Tabla1[[#This Row],[PC]]</f>
        <v>210.01731999999993</v>
      </c>
    </row>
    <row r="1162" spans="1:10" x14ac:dyDescent="0.25">
      <c r="A1162" s="3" t="s">
        <v>2622</v>
      </c>
      <c r="B1162" s="3" t="s">
        <v>2623</v>
      </c>
      <c r="C1162" s="1">
        <v>3</v>
      </c>
      <c r="D1162" s="1">
        <v>686</v>
      </c>
      <c r="E1162" s="1" t="s">
        <v>1417</v>
      </c>
      <c r="F1162" s="1" t="s">
        <v>4963</v>
      </c>
      <c r="G1162" s="3" t="s">
        <v>2624</v>
      </c>
      <c r="H1162" s="12" cm="1">
        <f t="array" ref="H1162">_xlfn.IFS(I1162&lt;197,I1162*1.26,I1162&gt;197,I1162*1.17) + IF(I1162&gt;1000,17,0)</f>
        <v>3237.1114399999997</v>
      </c>
      <c r="I1162" s="10">
        <f>($K$2+0.02)*Tabla1[[#This Row],[PRECIO $]]*1.18</f>
        <v>2752.232</v>
      </c>
      <c r="J1162" s="7">
        <f>+Tabla1[[#This Row],[PRECIO EN SOLES]]-Tabla1[[#This Row],[PC]]</f>
        <v>484.8794399999997</v>
      </c>
    </row>
    <row r="1163" spans="1:10" x14ac:dyDescent="0.25">
      <c r="A1163" s="3" t="s">
        <v>2625</v>
      </c>
      <c r="B1163" s="3" t="s">
        <v>2626</v>
      </c>
      <c r="C1163" s="1">
        <v>1</v>
      </c>
      <c r="D1163" s="1">
        <v>948</v>
      </c>
      <c r="E1163" s="1" t="s">
        <v>1417</v>
      </c>
      <c r="F1163" s="1" t="s">
        <v>4964</v>
      </c>
      <c r="G1163" s="3" t="s">
        <v>2627</v>
      </c>
      <c r="H1163" s="12" cm="1">
        <f t="array" ref="H1163">_xlfn.IFS(I1163&lt;197,I1163*1.26,I1163&gt;197,I1163*1.17) + IF(I1163&gt;1000,17,0)</f>
        <v>4466.9499199999991</v>
      </c>
      <c r="I1163" s="10">
        <f>($K$2+0.02)*Tabla1[[#This Row],[PRECIO $]]*1.18</f>
        <v>3803.3759999999997</v>
      </c>
      <c r="J1163" s="7">
        <f>+Tabla1[[#This Row],[PRECIO EN SOLES]]-Tabla1[[#This Row],[PC]]</f>
        <v>663.57391999999936</v>
      </c>
    </row>
    <row r="1164" spans="1:10" x14ac:dyDescent="0.25">
      <c r="A1164" s="3" t="s">
        <v>2628</v>
      </c>
      <c r="B1164" s="3" t="s">
        <v>2629</v>
      </c>
      <c r="C1164" s="1">
        <v>1</v>
      </c>
      <c r="D1164" s="1">
        <v>320</v>
      </c>
      <c r="E1164" s="1" t="s">
        <v>1417</v>
      </c>
      <c r="F1164" s="1" t="s">
        <v>4965</v>
      </c>
      <c r="G1164" s="3" t="s">
        <v>2630</v>
      </c>
      <c r="H1164" s="12" cm="1">
        <f t="array" ref="H1164">_xlfn.IFS(I1164&lt;197,I1164*1.26,I1164&gt;197,I1164*1.17) + IF(I1164&gt;1000,17,0)</f>
        <v>1519.0927999999999</v>
      </c>
      <c r="I1164" s="10">
        <f>($K$2+0.02)*Tabla1[[#This Row],[PRECIO $]]*1.18</f>
        <v>1283.8399999999999</v>
      </c>
      <c r="J1164" s="7">
        <f>+Tabla1[[#This Row],[PRECIO EN SOLES]]-Tabla1[[#This Row],[PC]]</f>
        <v>235.25279999999998</v>
      </c>
    </row>
    <row r="1165" spans="1:10" x14ac:dyDescent="0.25">
      <c r="A1165" s="3" t="s">
        <v>2631</v>
      </c>
      <c r="B1165" s="3" t="s">
        <v>2632</v>
      </c>
      <c r="C1165" s="1">
        <v>1</v>
      </c>
      <c r="D1165" s="1">
        <v>38.6</v>
      </c>
      <c r="E1165" s="1" t="s">
        <v>1417</v>
      </c>
      <c r="F1165" s="1" t="s">
        <v>4966</v>
      </c>
      <c r="G1165" s="3" t="s">
        <v>2633</v>
      </c>
      <c r="H1165" s="12" cm="1">
        <f t="array" ref="H1165">_xlfn.IFS(I1165&lt;197,I1165*1.26,I1165&gt;197,I1165*1.17) + IF(I1165&gt;1000,17,0)</f>
        <v>195.12763200000001</v>
      </c>
      <c r="I1165" s="10">
        <f>($K$2+0.02)*Tabla1[[#This Row],[PRECIO $]]*1.18</f>
        <v>154.86320000000001</v>
      </c>
      <c r="J1165" s="7">
        <f>+Tabla1[[#This Row],[PRECIO EN SOLES]]-Tabla1[[#This Row],[PC]]</f>
        <v>40.264431999999999</v>
      </c>
    </row>
    <row r="1166" spans="1:10" x14ac:dyDescent="0.25">
      <c r="A1166" s="3" t="s">
        <v>2634</v>
      </c>
      <c r="B1166" s="3" t="s">
        <v>2635</v>
      </c>
      <c r="C1166" s="1">
        <v>20</v>
      </c>
      <c r="D1166" s="1">
        <v>12.35</v>
      </c>
      <c r="E1166" s="1" t="s">
        <v>502</v>
      </c>
      <c r="F1166" s="1" t="s">
        <v>4967</v>
      </c>
      <c r="G1166" s="3" t="s">
        <v>2636</v>
      </c>
      <c r="H1166" s="12" cm="1">
        <f t="array" ref="H1166">_xlfn.IFS(I1166&lt;197,I1166*1.26,I1166&gt;197,I1166*1.17) + IF(I1166&gt;1000,17,0)</f>
        <v>62.430731999999992</v>
      </c>
      <c r="I1166" s="10">
        <f>($K$2+0.02)*Tabla1[[#This Row],[PRECIO $]]*1.18</f>
        <v>49.548199999999994</v>
      </c>
      <c r="J1166" s="7">
        <f>+Tabla1[[#This Row],[PRECIO EN SOLES]]-Tabla1[[#This Row],[PC]]</f>
        <v>12.882531999999998</v>
      </c>
    </row>
    <row r="1167" spans="1:10" x14ac:dyDescent="0.25">
      <c r="A1167" s="3" t="s">
        <v>6340</v>
      </c>
      <c r="B1167" s="3" t="s">
        <v>6341</v>
      </c>
      <c r="C1167" s="1">
        <v>20</v>
      </c>
      <c r="D1167" s="1">
        <v>6.2</v>
      </c>
      <c r="E1167" s="1" t="s">
        <v>502</v>
      </c>
      <c r="F1167" s="1" t="s">
        <v>6342</v>
      </c>
      <c r="G1167" s="3" t="s">
        <v>6343</v>
      </c>
      <c r="H1167" s="12" cm="1">
        <f t="array" ref="H1167">_xlfn.IFS(I1167&lt;197,I1167*1.26,I1167&gt;197,I1167*1.17) + IF(I1167&gt;1000,17,0)</f>
        <v>31.341743999999998</v>
      </c>
      <c r="I1167" s="10">
        <f>($K$2+0.02)*Tabla1[[#This Row],[PRECIO $]]*1.18</f>
        <v>24.874399999999998</v>
      </c>
      <c r="J1167" s="7">
        <f>+Tabla1[[#This Row],[PRECIO EN SOLES]]-Tabla1[[#This Row],[PC]]</f>
        <v>6.4673440000000006</v>
      </c>
    </row>
    <row r="1168" spans="1:10" x14ac:dyDescent="0.25">
      <c r="A1168" s="3" t="s">
        <v>503</v>
      </c>
      <c r="B1168" s="3" t="s">
        <v>504</v>
      </c>
      <c r="C1168" s="1">
        <v>20</v>
      </c>
      <c r="D1168" s="1">
        <v>12.41</v>
      </c>
      <c r="E1168" s="1" t="s">
        <v>502</v>
      </c>
      <c r="F1168" s="1" t="s">
        <v>4968</v>
      </c>
      <c r="G1168" s="3" t="s">
        <v>505</v>
      </c>
      <c r="H1168" s="12" cm="1">
        <f t="array" ref="H1168">_xlfn.IFS(I1168&lt;197,I1168*1.26,I1168&gt;197,I1168*1.17) + IF(I1168&gt;1000,17,0)</f>
        <v>62.734039199999998</v>
      </c>
      <c r="I1168" s="10">
        <f>($K$2+0.02)*Tabla1[[#This Row],[PRECIO $]]*1.18</f>
        <v>49.788919999999997</v>
      </c>
      <c r="J1168" s="7">
        <f>+Tabla1[[#This Row],[PRECIO EN SOLES]]-Tabla1[[#This Row],[PC]]</f>
        <v>12.945119200000001</v>
      </c>
    </row>
    <row r="1169" spans="1:10" x14ac:dyDescent="0.25">
      <c r="A1169" s="3" t="s">
        <v>506</v>
      </c>
      <c r="B1169" s="3" t="s">
        <v>507</v>
      </c>
      <c r="C1169" s="1">
        <v>20</v>
      </c>
      <c r="D1169" s="1">
        <v>15.78</v>
      </c>
      <c r="E1169" s="1" t="s">
        <v>502</v>
      </c>
      <c r="F1169" s="1" t="s">
        <v>4969</v>
      </c>
      <c r="G1169" s="3" t="s">
        <v>508</v>
      </c>
      <c r="H1169" s="12" cm="1">
        <f t="array" ref="H1169">_xlfn.IFS(I1169&lt;197,I1169*1.26,I1169&gt;197,I1169*1.17) + IF(I1169&gt;1000,17,0)</f>
        <v>79.769793599999986</v>
      </c>
      <c r="I1169" s="10">
        <f>($K$2+0.02)*Tabla1[[#This Row],[PRECIO $]]*1.18</f>
        <v>63.309359999999991</v>
      </c>
      <c r="J1169" s="7">
        <f>+Tabla1[[#This Row],[PRECIO EN SOLES]]-Tabla1[[#This Row],[PC]]</f>
        <v>16.460433599999995</v>
      </c>
    </row>
    <row r="1170" spans="1:10" x14ac:dyDescent="0.25">
      <c r="A1170" s="3" t="s">
        <v>6344</v>
      </c>
      <c r="B1170" s="3" t="s">
        <v>6345</v>
      </c>
      <c r="C1170" s="1">
        <v>17</v>
      </c>
      <c r="D1170" s="1">
        <v>190.26</v>
      </c>
      <c r="E1170" s="1" t="s">
        <v>502</v>
      </c>
      <c r="F1170" s="1" t="s">
        <v>6346</v>
      </c>
      <c r="G1170" s="3" t="s">
        <v>6347</v>
      </c>
      <c r="H1170" s="12" cm="1">
        <f t="array" ref="H1170">_xlfn.IFS(I1170&lt;197,I1170*1.26,I1170&gt;197,I1170*1.17) + IF(I1170&gt;1000,17,0)</f>
        <v>893.0880503999997</v>
      </c>
      <c r="I1170" s="10">
        <f>($K$2+0.02)*Tabla1[[#This Row],[PRECIO $]]*1.18</f>
        <v>763.32311999999979</v>
      </c>
      <c r="J1170" s="7">
        <f>+Tabla1[[#This Row],[PRECIO EN SOLES]]-Tabla1[[#This Row],[PC]]</f>
        <v>129.76493039999991</v>
      </c>
    </row>
    <row r="1171" spans="1:10" x14ac:dyDescent="0.25">
      <c r="A1171" s="3" t="s">
        <v>2637</v>
      </c>
      <c r="B1171" s="3" t="s">
        <v>2638</v>
      </c>
      <c r="C1171" s="1">
        <v>7</v>
      </c>
      <c r="D1171" s="1">
        <v>163.44999999999999</v>
      </c>
      <c r="E1171" s="1" t="s">
        <v>502</v>
      </c>
      <c r="F1171" s="1" t="s">
        <v>4970</v>
      </c>
      <c r="G1171" s="3" t="s">
        <v>2639</v>
      </c>
      <c r="H1171" s="12" cm="1">
        <f t="array" ref="H1171">_xlfn.IFS(I1171&lt;197,I1171*1.26,I1171&gt;197,I1171*1.17) + IF(I1171&gt;1000,17,0)</f>
        <v>767.24083799999983</v>
      </c>
      <c r="I1171" s="10">
        <f>($K$2+0.02)*Tabla1[[#This Row],[PRECIO $]]*1.18</f>
        <v>655.76139999999987</v>
      </c>
      <c r="J1171" s="7">
        <f>+Tabla1[[#This Row],[PRECIO EN SOLES]]-Tabla1[[#This Row],[PC]]</f>
        <v>111.47943799999996</v>
      </c>
    </row>
    <row r="1172" spans="1:10" x14ac:dyDescent="0.25">
      <c r="A1172" s="3" t="s">
        <v>2640</v>
      </c>
      <c r="B1172" s="3" t="s">
        <v>2641</v>
      </c>
      <c r="C1172" s="1">
        <v>18</v>
      </c>
      <c r="D1172" s="1">
        <v>857</v>
      </c>
      <c r="E1172" s="1" t="s">
        <v>2611</v>
      </c>
      <c r="F1172" s="1" t="s">
        <v>4971</v>
      </c>
      <c r="G1172" s="3"/>
      <c r="H1172" s="12" cm="1">
        <f t="array" ref="H1172">_xlfn.IFS(I1172&lt;197,I1172*1.26,I1172&gt;197,I1172*1.17) + IF(I1172&gt;1000,17,0)</f>
        <v>4039.7922799999992</v>
      </c>
      <c r="I1172" s="10">
        <f>($K$2+0.02)*Tabla1[[#This Row],[PRECIO $]]*1.18</f>
        <v>3438.2839999999997</v>
      </c>
      <c r="J1172" s="7">
        <f>+Tabla1[[#This Row],[PRECIO EN SOLES]]-Tabla1[[#This Row],[PC]]</f>
        <v>601.50827999999956</v>
      </c>
    </row>
    <row r="1173" spans="1:10" x14ac:dyDescent="0.25">
      <c r="A1173" s="3" t="s">
        <v>2642</v>
      </c>
      <c r="B1173" s="3" t="s">
        <v>2643</v>
      </c>
      <c r="C1173" s="1">
        <v>11</v>
      </c>
      <c r="D1173" s="1">
        <v>527.66</v>
      </c>
      <c r="E1173" s="1" t="s">
        <v>2611</v>
      </c>
      <c r="F1173" s="1" t="s">
        <v>4972</v>
      </c>
      <c r="G1173" s="3" t="s">
        <v>2644</v>
      </c>
      <c r="H1173" s="12" cm="1">
        <f t="array" ref="H1173">_xlfn.IFS(I1173&lt;197,I1173*1.26,I1173&gt;197,I1173*1.17) + IF(I1173&gt;1000,17,0)</f>
        <v>2493.8571463999997</v>
      </c>
      <c r="I1173" s="10">
        <f>($K$2+0.02)*Tabla1[[#This Row],[PRECIO $]]*1.18</f>
        <v>2116.97192</v>
      </c>
      <c r="J1173" s="7">
        <f>+Tabla1[[#This Row],[PRECIO EN SOLES]]-Tabla1[[#This Row],[PC]]</f>
        <v>376.88522639999974</v>
      </c>
    </row>
    <row r="1174" spans="1:10" x14ac:dyDescent="0.25">
      <c r="A1174" s="3" t="s">
        <v>2645</v>
      </c>
      <c r="B1174" s="3" t="s">
        <v>2646</v>
      </c>
      <c r="C1174" s="1">
        <v>9</v>
      </c>
      <c r="D1174" s="1">
        <v>122.92</v>
      </c>
      <c r="E1174" s="1" t="s">
        <v>502</v>
      </c>
      <c r="F1174" s="1" t="s">
        <v>4973</v>
      </c>
      <c r="G1174" s="3" t="s">
        <v>2647</v>
      </c>
      <c r="H1174" s="12" cm="1">
        <f t="array" ref="H1174">_xlfn.IFS(I1174&lt;197,I1174*1.26,I1174&gt;197,I1174*1.17) + IF(I1174&gt;1000,17,0)</f>
        <v>576.99139679999996</v>
      </c>
      <c r="I1174" s="10">
        <f>($K$2+0.02)*Tabla1[[#This Row],[PRECIO $]]*1.18</f>
        <v>493.15503999999999</v>
      </c>
      <c r="J1174" s="7">
        <f>+Tabla1[[#This Row],[PRECIO EN SOLES]]-Tabla1[[#This Row],[PC]]</f>
        <v>83.836356799999976</v>
      </c>
    </row>
    <row r="1175" spans="1:10" x14ac:dyDescent="0.25">
      <c r="A1175" s="3" t="s">
        <v>2648</v>
      </c>
      <c r="B1175" s="3" t="s">
        <v>2649</v>
      </c>
      <c r="C1175" s="1">
        <v>20</v>
      </c>
      <c r="D1175" s="1">
        <v>143.38</v>
      </c>
      <c r="E1175" s="1" t="s">
        <v>502</v>
      </c>
      <c r="F1175" s="1" t="s">
        <v>4974</v>
      </c>
      <c r="G1175" s="3"/>
      <c r="H1175" s="12" cm="1">
        <f t="array" ref="H1175">_xlfn.IFS(I1175&lt;197,I1175*1.26,I1175&gt;197,I1175*1.17) + IF(I1175&gt;1000,17,0)</f>
        <v>673.03145519999987</v>
      </c>
      <c r="I1175" s="10">
        <f>($K$2+0.02)*Tabla1[[#This Row],[PRECIO $]]*1.18</f>
        <v>575.24055999999996</v>
      </c>
      <c r="J1175" s="7">
        <f>+Tabla1[[#This Row],[PRECIO EN SOLES]]-Tabla1[[#This Row],[PC]]</f>
        <v>97.790895199999909</v>
      </c>
    </row>
    <row r="1176" spans="1:10" x14ac:dyDescent="0.25">
      <c r="A1176" s="3" t="s">
        <v>2650</v>
      </c>
      <c r="B1176" s="3" t="s">
        <v>2651</v>
      </c>
      <c r="C1176" s="1">
        <v>5</v>
      </c>
      <c r="D1176" s="1">
        <v>245</v>
      </c>
      <c r="E1176" s="1" t="s">
        <v>2611</v>
      </c>
      <c r="F1176" s="1" t="s">
        <v>4975</v>
      </c>
      <c r="G1176" s="3"/>
      <c r="H1176" s="12" cm="1">
        <f t="array" ref="H1176">_xlfn.IFS(I1176&lt;197,I1176*1.26,I1176&gt;197,I1176*1.17) + IF(I1176&gt;1000,17,0)</f>
        <v>1150.0397999999998</v>
      </c>
      <c r="I1176" s="10">
        <f>($K$2+0.02)*Tabla1[[#This Row],[PRECIO $]]*1.18</f>
        <v>982.93999999999994</v>
      </c>
      <c r="J1176" s="7">
        <f>+Tabla1[[#This Row],[PRECIO EN SOLES]]-Tabla1[[#This Row],[PC]]</f>
        <v>167.09979999999985</v>
      </c>
    </row>
    <row r="1177" spans="1:10" x14ac:dyDescent="0.25">
      <c r="A1177" s="3" t="s">
        <v>6348</v>
      </c>
      <c r="B1177" s="3" t="s">
        <v>6349</v>
      </c>
      <c r="C1177" s="1">
        <v>20</v>
      </c>
      <c r="D1177" s="1">
        <v>19.86</v>
      </c>
      <c r="E1177" s="1" t="s">
        <v>502</v>
      </c>
      <c r="F1177" s="1" t="s">
        <v>6350</v>
      </c>
      <c r="G1177" s="3" t="s">
        <v>6351</v>
      </c>
      <c r="H1177" s="12" cm="1">
        <f t="array" ref="H1177">_xlfn.IFS(I1177&lt;197,I1177*1.26,I1177&gt;197,I1177*1.17) + IF(I1177&gt;1000,17,0)</f>
        <v>100.3946832</v>
      </c>
      <c r="I1177" s="10">
        <f>($K$2+0.02)*Tabla1[[#This Row],[PRECIO $]]*1.18</f>
        <v>79.678319999999999</v>
      </c>
      <c r="J1177" s="7">
        <f>+Tabla1[[#This Row],[PRECIO EN SOLES]]-Tabla1[[#This Row],[PC]]</f>
        <v>20.716363200000004</v>
      </c>
    </row>
    <row r="1178" spans="1:10" x14ac:dyDescent="0.25">
      <c r="A1178" s="3" t="s">
        <v>2652</v>
      </c>
      <c r="B1178" s="3" t="s">
        <v>2653</v>
      </c>
      <c r="C1178" s="1">
        <v>20</v>
      </c>
      <c r="D1178" s="1">
        <v>39.19</v>
      </c>
      <c r="E1178" s="1" t="s">
        <v>502</v>
      </c>
      <c r="F1178" s="1" t="s">
        <v>4976</v>
      </c>
      <c r="G1178" s="3" t="s">
        <v>2654</v>
      </c>
      <c r="H1178" s="12" cm="1">
        <f t="array" ref="H1178">_xlfn.IFS(I1178&lt;197,I1178*1.26,I1178&gt;197,I1178*1.17) + IF(I1178&gt;1000,17,0)</f>
        <v>198.11015279999995</v>
      </c>
      <c r="I1178" s="10">
        <f>($K$2+0.02)*Tabla1[[#This Row],[PRECIO $]]*1.18</f>
        <v>157.23027999999996</v>
      </c>
      <c r="J1178" s="7">
        <f>+Tabla1[[#This Row],[PRECIO EN SOLES]]-Tabla1[[#This Row],[PC]]</f>
        <v>40.879872799999987</v>
      </c>
    </row>
    <row r="1179" spans="1:10" x14ac:dyDescent="0.25">
      <c r="A1179" s="3" t="s">
        <v>2655</v>
      </c>
      <c r="B1179" s="3" t="s">
        <v>2656</v>
      </c>
      <c r="C1179" s="1">
        <v>2</v>
      </c>
      <c r="D1179" s="1">
        <v>5387</v>
      </c>
      <c r="E1179" s="1" t="s">
        <v>2611</v>
      </c>
      <c r="F1179" s="1" t="s">
        <v>4977</v>
      </c>
      <c r="G1179" s="3"/>
      <c r="H1179" s="12" cm="1">
        <f t="array" ref="H1179">_xlfn.IFS(I1179&lt;197,I1179*1.26,I1179&gt;197,I1179*1.17) + IF(I1179&gt;1000,17,0)</f>
        <v>25303.793479999993</v>
      </c>
      <c r="I1179" s="10">
        <f>($K$2+0.02)*Tabla1[[#This Row],[PRECIO $]]*1.18</f>
        <v>21612.643999999997</v>
      </c>
      <c r="J1179" s="7">
        <f>+Tabla1[[#This Row],[PRECIO EN SOLES]]-Tabla1[[#This Row],[PC]]</f>
        <v>3691.1494799999964</v>
      </c>
    </row>
    <row r="1180" spans="1:10" x14ac:dyDescent="0.25">
      <c r="A1180" s="3" t="s">
        <v>2657</v>
      </c>
      <c r="B1180" s="3" t="s">
        <v>2658</v>
      </c>
      <c r="C1180" s="1">
        <v>1</v>
      </c>
      <c r="D1180" s="1">
        <v>2340</v>
      </c>
      <c r="E1180" s="1" t="s">
        <v>2611</v>
      </c>
      <c r="F1180" s="1" t="s">
        <v>4978</v>
      </c>
      <c r="G1180" s="3"/>
      <c r="H1180" s="12" cm="1">
        <f t="array" ref="H1180">_xlfn.IFS(I1180&lt;197,I1180*1.26,I1180&gt;197,I1180*1.17) + IF(I1180&gt;1000,17,0)</f>
        <v>11001.053599999999</v>
      </c>
      <c r="I1180" s="10">
        <f>($K$2+0.02)*Tabla1[[#This Row],[PRECIO $]]*1.18</f>
        <v>9388.08</v>
      </c>
      <c r="J1180" s="7">
        <f>+Tabla1[[#This Row],[PRECIO EN SOLES]]-Tabla1[[#This Row],[PC]]</f>
        <v>1612.9735999999994</v>
      </c>
    </row>
    <row r="1181" spans="1:10" x14ac:dyDescent="0.25">
      <c r="A1181" s="3" t="s">
        <v>6352</v>
      </c>
      <c r="B1181" s="3" t="s">
        <v>6353</v>
      </c>
      <c r="C1181" s="1">
        <v>20</v>
      </c>
      <c r="D1181" s="1">
        <v>27.24</v>
      </c>
      <c r="E1181" s="1" t="s">
        <v>502</v>
      </c>
      <c r="F1181" s="1" t="s">
        <v>6354</v>
      </c>
      <c r="G1181" s="3"/>
      <c r="H1181" s="12" cm="1">
        <f t="array" ref="H1181">_xlfn.IFS(I1181&lt;197,I1181*1.26,I1181&gt;197,I1181*1.17) + IF(I1181&gt;1000,17,0)</f>
        <v>137.70146879999999</v>
      </c>
      <c r="I1181" s="10">
        <f>($K$2+0.02)*Tabla1[[#This Row],[PRECIO $]]*1.18</f>
        <v>109.28687999999998</v>
      </c>
      <c r="J1181" s="7">
        <f>+Tabla1[[#This Row],[PRECIO EN SOLES]]-Tabla1[[#This Row],[PC]]</f>
        <v>28.414588800000004</v>
      </c>
    </row>
    <row r="1182" spans="1:10" x14ac:dyDescent="0.25">
      <c r="A1182" s="3" t="s">
        <v>5687</v>
      </c>
      <c r="B1182" s="3" t="s">
        <v>5688</v>
      </c>
      <c r="C1182" s="1">
        <v>20</v>
      </c>
      <c r="D1182" s="1">
        <v>51.24</v>
      </c>
      <c r="E1182" s="1" t="s">
        <v>502</v>
      </c>
      <c r="F1182" s="1" t="s">
        <v>5689</v>
      </c>
      <c r="G1182" s="3" t="s">
        <v>5690</v>
      </c>
      <c r="H1182" s="12" cm="1">
        <f t="array" ref="H1182">_xlfn.IFS(I1182&lt;197,I1182*1.26,I1182&gt;197,I1182*1.17) + IF(I1182&gt;1000,17,0)</f>
        <v>240.52260959999998</v>
      </c>
      <c r="I1182" s="10">
        <f>($K$2+0.02)*Tabla1[[#This Row],[PRECIO $]]*1.18</f>
        <v>205.57488000000001</v>
      </c>
      <c r="J1182" s="7">
        <f>+Tabla1[[#This Row],[PRECIO EN SOLES]]-Tabla1[[#This Row],[PC]]</f>
        <v>34.947729599999974</v>
      </c>
    </row>
    <row r="1183" spans="1:10" x14ac:dyDescent="0.25">
      <c r="A1183" s="3" t="s">
        <v>2659</v>
      </c>
      <c r="B1183" s="3" t="s">
        <v>2660</v>
      </c>
      <c r="C1183" s="1">
        <v>20</v>
      </c>
      <c r="D1183" s="1">
        <v>63.79</v>
      </c>
      <c r="E1183" s="1" t="s">
        <v>502</v>
      </c>
      <c r="F1183" s="1" t="s">
        <v>4979</v>
      </c>
      <c r="G1183" s="3" t="s">
        <v>2661</v>
      </c>
      <c r="H1183" s="12" cm="1">
        <f t="array" ref="H1183">_xlfn.IFS(I1183&lt;197,I1183*1.26,I1183&gt;197,I1183*1.17) + IF(I1183&gt;1000,17,0)</f>
        <v>299.43281159999998</v>
      </c>
      <c r="I1183" s="10">
        <f>($K$2+0.02)*Tabla1[[#This Row],[PRECIO $]]*1.18</f>
        <v>255.92547999999999</v>
      </c>
      <c r="J1183" s="7">
        <f>+Tabla1[[#This Row],[PRECIO EN SOLES]]-Tabla1[[#This Row],[PC]]</f>
        <v>43.507331599999986</v>
      </c>
    </row>
    <row r="1184" spans="1:10" x14ac:dyDescent="0.25">
      <c r="A1184" s="3" t="s">
        <v>2662</v>
      </c>
      <c r="B1184" s="3" t="s">
        <v>2663</v>
      </c>
      <c r="C1184" s="1">
        <v>0</v>
      </c>
      <c r="D1184" s="1">
        <v>36.39</v>
      </c>
      <c r="E1184" s="1" t="s">
        <v>502</v>
      </c>
      <c r="F1184" s="1" t="s">
        <v>4980</v>
      </c>
      <c r="G1184" s="3" t="s">
        <v>2661</v>
      </c>
      <c r="H1184" s="12" cm="1">
        <f t="array" ref="H1184">_xlfn.IFS(I1184&lt;197,I1184*1.26,I1184&gt;197,I1184*1.17) + IF(I1184&gt;1000,17,0)</f>
        <v>183.95581680000001</v>
      </c>
      <c r="I1184" s="10">
        <f>($K$2+0.02)*Tabla1[[#This Row],[PRECIO $]]*1.18</f>
        <v>145.99668</v>
      </c>
      <c r="J1184" s="7">
        <f>+Tabla1[[#This Row],[PRECIO EN SOLES]]-Tabla1[[#This Row],[PC]]</f>
        <v>37.95913680000001</v>
      </c>
    </row>
    <row r="1185" spans="1:10" x14ac:dyDescent="0.25">
      <c r="A1185" s="3" t="s">
        <v>6355</v>
      </c>
      <c r="B1185" s="3" t="s">
        <v>6356</v>
      </c>
      <c r="C1185" s="1">
        <v>20</v>
      </c>
      <c r="D1185" s="1">
        <v>93.17</v>
      </c>
      <c r="E1185" s="1" t="s">
        <v>502</v>
      </c>
      <c r="F1185" s="1" t="s">
        <v>6357</v>
      </c>
      <c r="G1185" s="3" t="s">
        <v>2661</v>
      </c>
      <c r="H1185" s="12" cm="1">
        <f t="array" ref="H1185">_xlfn.IFS(I1185&lt;197,I1185*1.26,I1185&gt;197,I1185*1.17) + IF(I1185&gt;1000,17,0)</f>
        <v>437.34370680000001</v>
      </c>
      <c r="I1185" s="10">
        <f>($K$2+0.02)*Tabla1[[#This Row],[PRECIO $]]*1.18</f>
        <v>373.79804000000001</v>
      </c>
      <c r="J1185" s="7">
        <f>+Tabla1[[#This Row],[PRECIO EN SOLES]]-Tabla1[[#This Row],[PC]]</f>
        <v>63.545666799999992</v>
      </c>
    </row>
    <row r="1186" spans="1:10" x14ac:dyDescent="0.25">
      <c r="A1186" s="3" t="s">
        <v>2664</v>
      </c>
      <c r="B1186" s="3" t="s">
        <v>2665</v>
      </c>
      <c r="C1186" s="1">
        <v>17</v>
      </c>
      <c r="D1186" s="1">
        <v>47.04</v>
      </c>
      <c r="E1186" s="1" t="s">
        <v>502</v>
      </c>
      <c r="F1186" s="1" t="s">
        <v>4981</v>
      </c>
      <c r="G1186" s="3"/>
      <c r="H1186" s="12" cm="1">
        <f t="array" ref="H1186">_xlfn.IFS(I1186&lt;197,I1186*1.26,I1186&gt;197,I1186*1.17) + IF(I1186&gt;1000,17,0)</f>
        <v>237.79284480000001</v>
      </c>
      <c r="I1186" s="10">
        <f>($K$2+0.02)*Tabla1[[#This Row],[PRECIO $]]*1.18</f>
        <v>188.72448</v>
      </c>
      <c r="J1186" s="7">
        <f>+Tabla1[[#This Row],[PRECIO EN SOLES]]-Tabla1[[#This Row],[PC]]</f>
        <v>49.068364800000012</v>
      </c>
    </row>
    <row r="1187" spans="1:10" x14ac:dyDescent="0.25">
      <c r="A1187" s="3" t="s">
        <v>2666</v>
      </c>
      <c r="B1187" s="3" t="s">
        <v>2667</v>
      </c>
      <c r="C1187" s="1">
        <v>4</v>
      </c>
      <c r="D1187" s="1">
        <v>43.12</v>
      </c>
      <c r="E1187" s="1" t="s">
        <v>502</v>
      </c>
      <c r="F1187" s="1" t="s">
        <v>4982</v>
      </c>
      <c r="G1187" s="3" t="s">
        <v>2668</v>
      </c>
      <c r="H1187" s="12" cm="1">
        <f t="array" ref="H1187">_xlfn.IFS(I1187&lt;197,I1187*1.26,I1187&gt;197,I1187*1.17) + IF(I1187&gt;1000,17,0)</f>
        <v>217.97677439999995</v>
      </c>
      <c r="I1187" s="10">
        <f>($K$2+0.02)*Tabla1[[#This Row],[PRECIO $]]*1.18</f>
        <v>172.99743999999995</v>
      </c>
      <c r="J1187" s="7">
        <f>+Tabla1[[#This Row],[PRECIO EN SOLES]]-Tabla1[[#This Row],[PC]]</f>
        <v>44.979334399999999</v>
      </c>
    </row>
    <row r="1188" spans="1:10" x14ac:dyDescent="0.25">
      <c r="A1188" s="3" t="s">
        <v>2669</v>
      </c>
      <c r="B1188" s="3" t="s">
        <v>2670</v>
      </c>
      <c r="C1188" s="1">
        <v>17</v>
      </c>
      <c r="D1188" s="1">
        <v>124.12</v>
      </c>
      <c r="E1188" s="1" t="s">
        <v>502</v>
      </c>
      <c r="F1188" s="1" t="s">
        <v>4983</v>
      </c>
      <c r="G1188" s="3" t="s">
        <v>2671</v>
      </c>
      <c r="H1188" s="12" cm="1">
        <f t="array" ref="H1188">_xlfn.IFS(I1188&lt;197,I1188*1.26,I1188&gt;197,I1188*1.17) + IF(I1188&gt;1000,17,0)</f>
        <v>582.62424479999993</v>
      </c>
      <c r="I1188" s="10">
        <f>($K$2+0.02)*Tabla1[[#This Row],[PRECIO $]]*1.18</f>
        <v>497.96943999999996</v>
      </c>
      <c r="J1188" s="7">
        <f>+Tabla1[[#This Row],[PRECIO EN SOLES]]-Tabla1[[#This Row],[PC]]</f>
        <v>84.654804799999965</v>
      </c>
    </row>
    <row r="1189" spans="1:10" x14ac:dyDescent="0.25">
      <c r="A1189" s="3" t="s">
        <v>2672</v>
      </c>
      <c r="B1189" s="3" t="s">
        <v>2673</v>
      </c>
      <c r="C1189" s="1">
        <v>4</v>
      </c>
      <c r="D1189" s="1">
        <v>88.58</v>
      </c>
      <c r="E1189" s="1" t="s">
        <v>502</v>
      </c>
      <c r="F1189" s="1" t="s">
        <v>4984</v>
      </c>
      <c r="G1189" s="3" t="s">
        <v>2674</v>
      </c>
      <c r="H1189" s="12" cm="1">
        <f t="array" ref="H1189">_xlfn.IFS(I1189&lt;197,I1189*1.26,I1189&gt;197,I1189*1.17) + IF(I1189&gt;1000,17,0)</f>
        <v>415.79806319999994</v>
      </c>
      <c r="I1189" s="10">
        <f>($K$2+0.02)*Tabla1[[#This Row],[PRECIO $]]*1.18</f>
        <v>355.38295999999997</v>
      </c>
      <c r="J1189" s="7">
        <f>+Tabla1[[#This Row],[PRECIO EN SOLES]]-Tabla1[[#This Row],[PC]]</f>
        <v>60.415103199999976</v>
      </c>
    </row>
    <row r="1190" spans="1:10" x14ac:dyDescent="0.25">
      <c r="A1190" s="3" t="s">
        <v>2675</v>
      </c>
      <c r="B1190" s="3" t="s">
        <v>2676</v>
      </c>
      <c r="C1190" s="1">
        <v>20</v>
      </c>
      <c r="D1190" s="1">
        <v>26.15</v>
      </c>
      <c r="E1190" s="1" t="s">
        <v>502</v>
      </c>
      <c r="F1190" s="1" t="s">
        <v>4985</v>
      </c>
      <c r="G1190" s="3" t="s">
        <v>2677</v>
      </c>
      <c r="H1190" s="12" cm="1">
        <f t="array" ref="H1190">_xlfn.IFS(I1190&lt;197,I1190*1.26,I1190&gt;197,I1190*1.17) + IF(I1190&gt;1000,17,0)</f>
        <v>132.19138799999999</v>
      </c>
      <c r="I1190" s="10">
        <f>($K$2+0.02)*Tabla1[[#This Row],[PRECIO $]]*1.18</f>
        <v>104.91379999999999</v>
      </c>
      <c r="J1190" s="7">
        <f>+Tabla1[[#This Row],[PRECIO EN SOLES]]-Tabla1[[#This Row],[PC]]</f>
        <v>27.277587999999994</v>
      </c>
    </row>
    <row r="1191" spans="1:10" x14ac:dyDescent="0.25">
      <c r="A1191" s="3" t="s">
        <v>2678</v>
      </c>
      <c r="B1191" s="3" t="s">
        <v>2679</v>
      </c>
      <c r="C1191" s="1">
        <v>20</v>
      </c>
      <c r="D1191" s="1">
        <v>32.6</v>
      </c>
      <c r="E1191" s="1" t="s">
        <v>502</v>
      </c>
      <c r="F1191" s="1" t="s">
        <v>4986</v>
      </c>
      <c r="G1191" s="3" t="s">
        <v>2680</v>
      </c>
      <c r="H1191" s="12" cm="1">
        <f t="array" ref="H1191">_xlfn.IFS(I1191&lt;197,I1191*1.26,I1191&gt;197,I1191*1.17) + IF(I1191&gt;1000,17,0)</f>
        <v>164.79691199999999</v>
      </c>
      <c r="I1191" s="10">
        <f>($K$2+0.02)*Tabla1[[#This Row],[PRECIO $]]*1.18</f>
        <v>130.7912</v>
      </c>
      <c r="J1191" s="7">
        <f>+Tabla1[[#This Row],[PRECIO EN SOLES]]-Tabla1[[#This Row],[PC]]</f>
        <v>34.005711999999988</v>
      </c>
    </row>
    <row r="1192" spans="1:10" x14ac:dyDescent="0.25">
      <c r="A1192" s="3" t="s">
        <v>2681</v>
      </c>
      <c r="B1192" s="3" t="s">
        <v>2682</v>
      </c>
      <c r="C1192" s="1">
        <v>20</v>
      </c>
      <c r="D1192" s="1">
        <v>44.98</v>
      </c>
      <c r="E1192" s="1" t="s">
        <v>502</v>
      </c>
      <c r="F1192" s="1" t="s">
        <v>4987</v>
      </c>
      <c r="G1192" s="3" t="s">
        <v>2683</v>
      </c>
      <c r="H1192" s="12" cm="1">
        <f t="array" ref="H1192">_xlfn.IFS(I1192&lt;197,I1192*1.26,I1192&gt;197,I1192*1.17) + IF(I1192&gt;1000,17,0)</f>
        <v>227.3792976</v>
      </c>
      <c r="I1192" s="10">
        <f>($K$2+0.02)*Tabla1[[#This Row],[PRECIO $]]*1.18</f>
        <v>180.45975999999999</v>
      </c>
      <c r="J1192" s="7">
        <f>+Tabla1[[#This Row],[PRECIO EN SOLES]]-Tabla1[[#This Row],[PC]]</f>
        <v>46.919537600000012</v>
      </c>
    </row>
    <row r="1193" spans="1:10" x14ac:dyDescent="0.25">
      <c r="A1193" s="3" t="s">
        <v>2684</v>
      </c>
      <c r="B1193" s="3" t="s">
        <v>2685</v>
      </c>
      <c r="C1193" s="1">
        <v>20</v>
      </c>
      <c r="D1193" s="1">
        <v>33.57</v>
      </c>
      <c r="E1193" s="1" t="s">
        <v>502</v>
      </c>
      <c r="F1193" s="1" t="s">
        <v>4988</v>
      </c>
      <c r="G1193" s="3" t="s">
        <v>2686</v>
      </c>
      <c r="H1193" s="12" cm="1">
        <f t="array" ref="H1193">_xlfn.IFS(I1193&lt;197,I1193*1.26,I1193&gt;197,I1193*1.17) + IF(I1193&gt;1000,17,0)</f>
        <v>169.70037839999998</v>
      </c>
      <c r="I1193" s="10">
        <f>($K$2+0.02)*Tabla1[[#This Row],[PRECIO $]]*1.18</f>
        <v>134.68283999999997</v>
      </c>
      <c r="J1193" s="7">
        <f>+Tabla1[[#This Row],[PRECIO EN SOLES]]-Tabla1[[#This Row],[PC]]</f>
        <v>35.017538400000007</v>
      </c>
    </row>
    <row r="1194" spans="1:10" x14ac:dyDescent="0.25">
      <c r="A1194" s="3" t="s">
        <v>6358</v>
      </c>
      <c r="B1194" s="3" t="s">
        <v>6359</v>
      </c>
      <c r="C1194" s="1">
        <v>14</v>
      </c>
      <c r="D1194" s="1">
        <v>49.11</v>
      </c>
      <c r="E1194" s="1" t="s">
        <v>502</v>
      </c>
      <c r="F1194" s="1" t="s">
        <v>6360</v>
      </c>
      <c r="G1194" s="3" t="s">
        <v>6361</v>
      </c>
      <c r="H1194" s="12" cm="1">
        <f t="array" ref="H1194">_xlfn.IFS(I1194&lt;197,I1194*1.26,I1194&gt;197,I1194*1.17) + IF(I1194&gt;1000,17,0)</f>
        <v>230.52430439999998</v>
      </c>
      <c r="I1194" s="10">
        <f>($K$2+0.02)*Tabla1[[#This Row],[PRECIO $]]*1.18</f>
        <v>197.02931999999998</v>
      </c>
      <c r="J1194" s="7">
        <f>+Tabla1[[#This Row],[PRECIO EN SOLES]]-Tabla1[[#This Row],[PC]]</f>
        <v>33.494984399999993</v>
      </c>
    </row>
    <row r="1195" spans="1:10" x14ac:dyDescent="0.25">
      <c r="A1195" s="3" t="s">
        <v>2687</v>
      </c>
      <c r="B1195" s="3" t="s">
        <v>2688</v>
      </c>
      <c r="C1195" s="1">
        <v>20</v>
      </c>
      <c r="D1195" s="1">
        <v>185.77</v>
      </c>
      <c r="E1195" s="1" t="s">
        <v>502</v>
      </c>
      <c r="F1195" s="1" t="s">
        <v>4989</v>
      </c>
      <c r="G1195" s="3" t="s">
        <v>2689</v>
      </c>
      <c r="H1195" s="12" cm="1">
        <f t="array" ref="H1195">_xlfn.IFS(I1195&lt;197,I1195*1.26,I1195&gt;197,I1195*1.17) + IF(I1195&gt;1000,17,0)</f>
        <v>872.01181080000003</v>
      </c>
      <c r="I1195" s="10">
        <f>($K$2+0.02)*Tabla1[[#This Row],[PRECIO $]]*1.18</f>
        <v>745.30924000000005</v>
      </c>
      <c r="J1195" s="7">
        <f>+Tabla1[[#This Row],[PRECIO EN SOLES]]-Tabla1[[#This Row],[PC]]</f>
        <v>126.70257079999999</v>
      </c>
    </row>
    <row r="1196" spans="1:10" x14ac:dyDescent="0.25">
      <c r="A1196" s="3" t="s">
        <v>6362</v>
      </c>
      <c r="B1196" s="3" t="s">
        <v>6363</v>
      </c>
      <c r="C1196" s="1">
        <v>20</v>
      </c>
      <c r="D1196" s="1">
        <v>10.91</v>
      </c>
      <c r="E1196" s="1" t="s">
        <v>502</v>
      </c>
      <c r="F1196" s="1" t="s">
        <v>6364</v>
      </c>
      <c r="G1196" s="3" t="s">
        <v>6365</v>
      </c>
      <c r="H1196" s="12" cm="1">
        <f t="array" ref="H1196">_xlfn.IFS(I1196&lt;197,I1196*1.26,I1196&gt;197,I1196*1.17) + IF(I1196&gt;1000,17,0)</f>
        <v>55.151359199999995</v>
      </c>
      <c r="I1196" s="10">
        <f>($K$2+0.02)*Tabla1[[#This Row],[PRECIO $]]*1.18</f>
        <v>43.770919999999997</v>
      </c>
      <c r="J1196" s="7">
        <f>+Tabla1[[#This Row],[PRECIO EN SOLES]]-Tabla1[[#This Row],[PC]]</f>
        <v>11.380439199999998</v>
      </c>
    </row>
    <row r="1197" spans="1:10" x14ac:dyDescent="0.25">
      <c r="A1197" s="3" t="s">
        <v>509</v>
      </c>
      <c r="B1197" s="3" t="s">
        <v>510</v>
      </c>
      <c r="C1197" s="1">
        <v>20</v>
      </c>
      <c r="D1197" s="1">
        <v>22.08</v>
      </c>
      <c r="E1197" s="1" t="s">
        <v>502</v>
      </c>
      <c r="F1197" s="1" t="s">
        <v>4990</v>
      </c>
      <c r="G1197" s="3" t="s">
        <v>511</v>
      </c>
      <c r="H1197" s="12" cm="1">
        <f t="array" ref="H1197">_xlfn.IFS(I1197&lt;197,I1197*1.26,I1197&gt;197,I1197*1.17) + IF(I1197&gt;1000,17,0)</f>
        <v>111.61704959999997</v>
      </c>
      <c r="I1197" s="10">
        <f>($K$2+0.02)*Tabla1[[#This Row],[PRECIO $]]*1.18</f>
        <v>88.584959999999981</v>
      </c>
      <c r="J1197" s="7">
        <f>+Tabla1[[#This Row],[PRECIO EN SOLES]]-Tabla1[[#This Row],[PC]]</f>
        <v>23.032089599999992</v>
      </c>
    </row>
    <row r="1198" spans="1:10" x14ac:dyDescent="0.25">
      <c r="A1198" s="3" t="s">
        <v>2690</v>
      </c>
      <c r="B1198" s="3" t="s">
        <v>2691</v>
      </c>
      <c r="C1198" s="1">
        <v>8</v>
      </c>
      <c r="D1198" s="1">
        <v>100</v>
      </c>
      <c r="E1198" s="1" t="s">
        <v>57</v>
      </c>
      <c r="F1198" s="1" t="s">
        <v>4991</v>
      </c>
      <c r="G1198" s="3"/>
      <c r="H1198" s="12" cm="1">
        <f t="array" ref="H1198">_xlfn.IFS(I1198&lt;197,I1198*1.26,I1198&gt;197,I1198*1.17) + IF(I1198&gt;1000,17,0)</f>
        <v>469.40399999999994</v>
      </c>
      <c r="I1198" s="10">
        <f>($K$2+0.02)*Tabla1[[#This Row],[PRECIO $]]*1.18</f>
        <v>401.2</v>
      </c>
      <c r="J1198" s="7">
        <f>+Tabla1[[#This Row],[PRECIO EN SOLES]]-Tabla1[[#This Row],[PC]]</f>
        <v>68.203999999999951</v>
      </c>
    </row>
    <row r="1199" spans="1:10" x14ac:dyDescent="0.25">
      <c r="A1199" s="3" t="s">
        <v>6366</v>
      </c>
      <c r="B1199" s="3" t="s">
        <v>6367</v>
      </c>
      <c r="C1199" s="1">
        <v>20</v>
      </c>
      <c r="D1199" s="1">
        <v>10.119999999999999</v>
      </c>
      <c r="E1199" s="1" t="s">
        <v>502</v>
      </c>
      <c r="F1199" s="1" t="s">
        <v>6368</v>
      </c>
      <c r="G1199" s="3" t="s">
        <v>6369</v>
      </c>
      <c r="H1199" s="12" cm="1">
        <f t="array" ref="H1199">_xlfn.IFS(I1199&lt;197,I1199*1.26,I1199&gt;197,I1199*1.17) + IF(I1199&gt;1000,17,0)</f>
        <v>51.157814399999985</v>
      </c>
      <c r="I1199" s="10">
        <f>($K$2+0.02)*Tabla1[[#This Row],[PRECIO $]]*1.18</f>
        <v>40.60143999999999</v>
      </c>
      <c r="J1199" s="7">
        <f>+Tabla1[[#This Row],[PRECIO EN SOLES]]-Tabla1[[#This Row],[PC]]</f>
        <v>10.556374399999996</v>
      </c>
    </row>
    <row r="1200" spans="1:10" x14ac:dyDescent="0.25">
      <c r="A1200" s="3" t="s">
        <v>6370</v>
      </c>
      <c r="B1200" s="3" t="s">
        <v>6371</v>
      </c>
      <c r="C1200" s="1">
        <v>20</v>
      </c>
      <c r="D1200" s="1">
        <v>11.18</v>
      </c>
      <c r="E1200" s="1" t="s">
        <v>502</v>
      </c>
      <c r="F1200" s="1" t="s">
        <v>6372</v>
      </c>
      <c r="G1200" s="3" t="s">
        <v>6373</v>
      </c>
      <c r="H1200" s="12" cm="1">
        <f t="array" ref="H1200">_xlfn.IFS(I1200&lt;197,I1200*1.26,I1200&gt;197,I1200*1.17) + IF(I1200&gt;1000,17,0)</f>
        <v>56.516241600000001</v>
      </c>
      <c r="I1200" s="10">
        <f>($K$2+0.02)*Tabla1[[#This Row],[PRECIO $]]*1.18</f>
        <v>44.85416</v>
      </c>
      <c r="J1200" s="7">
        <f>+Tabla1[[#This Row],[PRECIO EN SOLES]]-Tabla1[[#This Row],[PC]]</f>
        <v>11.6620816</v>
      </c>
    </row>
    <row r="1201" spans="1:10" x14ac:dyDescent="0.25">
      <c r="A1201" s="3" t="s">
        <v>2692</v>
      </c>
      <c r="B1201" s="3" t="s">
        <v>2693</v>
      </c>
      <c r="C1201" s="1">
        <v>4</v>
      </c>
      <c r="D1201" s="1">
        <v>984.43</v>
      </c>
      <c r="E1201" s="1" t="s">
        <v>2611</v>
      </c>
      <c r="F1201" s="1" t="s">
        <v>4992</v>
      </c>
      <c r="G1201" s="3"/>
      <c r="H1201" s="12" cm="1">
        <f t="array" ref="H1201">_xlfn.IFS(I1201&lt;197,I1201*1.26,I1201&gt;197,I1201*1.17) + IF(I1201&gt;1000,17,0)</f>
        <v>4637.9537971999989</v>
      </c>
      <c r="I1201" s="10">
        <f>($K$2+0.02)*Tabla1[[#This Row],[PRECIO $]]*1.18</f>
        <v>3949.5331599999995</v>
      </c>
      <c r="J1201" s="7">
        <f>+Tabla1[[#This Row],[PRECIO EN SOLES]]-Tabla1[[#This Row],[PC]]</f>
        <v>688.42063719999942</v>
      </c>
    </row>
    <row r="1202" spans="1:10" x14ac:dyDescent="0.25">
      <c r="A1202" s="3" t="s">
        <v>2694</v>
      </c>
      <c r="B1202" s="3" t="s">
        <v>2695</v>
      </c>
      <c r="C1202" s="1">
        <v>2</v>
      </c>
      <c r="D1202" s="1">
        <v>541.85</v>
      </c>
      <c r="E1202" s="1" t="s">
        <v>2611</v>
      </c>
      <c r="F1202" s="1" t="s">
        <v>4993</v>
      </c>
      <c r="G1202" s="3"/>
      <c r="H1202" s="12" cm="1">
        <f t="array" ref="H1202">_xlfn.IFS(I1202&lt;197,I1202*1.26,I1202&gt;197,I1202*1.17) + IF(I1202&gt;1000,17,0)</f>
        <v>2560.4655739999998</v>
      </c>
      <c r="I1202" s="10">
        <f>($K$2+0.02)*Tabla1[[#This Row],[PRECIO $]]*1.18</f>
        <v>2173.9022</v>
      </c>
      <c r="J1202" s="7">
        <f>+Tabla1[[#This Row],[PRECIO EN SOLES]]-Tabla1[[#This Row],[PC]]</f>
        <v>386.56337399999984</v>
      </c>
    </row>
    <row r="1203" spans="1:10" x14ac:dyDescent="0.25">
      <c r="A1203" s="3" t="s">
        <v>2696</v>
      </c>
      <c r="B1203" s="3" t="s">
        <v>2697</v>
      </c>
      <c r="C1203" s="1">
        <v>4</v>
      </c>
      <c r="D1203" s="1">
        <v>88.1</v>
      </c>
      <c r="E1203" s="1" t="s">
        <v>2611</v>
      </c>
      <c r="F1203" s="1" t="s">
        <v>4994</v>
      </c>
      <c r="G1203" s="3"/>
      <c r="H1203" s="12" cm="1">
        <f t="array" ref="H1203">_xlfn.IFS(I1203&lt;197,I1203*1.26,I1203&gt;197,I1203*1.17) + IF(I1203&gt;1000,17,0)</f>
        <v>413.54492399999992</v>
      </c>
      <c r="I1203" s="10">
        <f>($K$2+0.02)*Tabla1[[#This Row],[PRECIO $]]*1.18</f>
        <v>353.45719999999994</v>
      </c>
      <c r="J1203" s="7">
        <f>+Tabla1[[#This Row],[PRECIO EN SOLES]]-Tabla1[[#This Row],[PC]]</f>
        <v>60.08772399999998</v>
      </c>
    </row>
    <row r="1204" spans="1:10" x14ac:dyDescent="0.25">
      <c r="A1204" s="3" t="s">
        <v>2698</v>
      </c>
      <c r="B1204" s="3" t="s">
        <v>2699</v>
      </c>
      <c r="C1204" s="1">
        <v>0</v>
      </c>
      <c r="D1204" s="1">
        <v>35.299999999999997</v>
      </c>
      <c r="E1204" s="1" t="s">
        <v>2611</v>
      </c>
      <c r="F1204" s="1" t="s">
        <v>4995</v>
      </c>
      <c r="G1204" s="3"/>
      <c r="H1204" s="12" cm="1">
        <f t="array" ref="H1204">_xlfn.IFS(I1204&lt;197,I1204*1.26,I1204&gt;197,I1204*1.17) + IF(I1204&gt;1000,17,0)</f>
        <v>178.44573599999998</v>
      </c>
      <c r="I1204" s="10">
        <f>($K$2+0.02)*Tabla1[[#This Row],[PRECIO $]]*1.18</f>
        <v>141.62359999999998</v>
      </c>
      <c r="J1204" s="7">
        <f>+Tabla1[[#This Row],[PRECIO EN SOLES]]-Tabla1[[#This Row],[PC]]</f>
        <v>36.822136</v>
      </c>
    </row>
    <row r="1205" spans="1:10" x14ac:dyDescent="0.25">
      <c r="A1205" s="3" t="s">
        <v>2700</v>
      </c>
      <c r="B1205" s="3" t="s">
        <v>2701</v>
      </c>
      <c r="C1205" s="1">
        <v>6</v>
      </c>
      <c r="D1205" s="1">
        <v>890</v>
      </c>
      <c r="E1205" s="1" t="s">
        <v>2611</v>
      </c>
      <c r="F1205" s="1" t="s">
        <v>4996</v>
      </c>
      <c r="G1205" s="3"/>
      <c r="H1205" s="12" cm="1">
        <f t="array" ref="H1205">_xlfn.IFS(I1205&lt;197,I1205*1.26,I1205&gt;197,I1205*1.17) + IF(I1205&gt;1000,17,0)</f>
        <v>4194.6955999999991</v>
      </c>
      <c r="I1205" s="10">
        <f>($K$2+0.02)*Tabla1[[#This Row],[PRECIO $]]*1.18</f>
        <v>3570.68</v>
      </c>
      <c r="J1205" s="7">
        <f>+Tabla1[[#This Row],[PRECIO EN SOLES]]-Tabla1[[#This Row],[PC]]</f>
        <v>624.01559999999927</v>
      </c>
    </row>
    <row r="1206" spans="1:10" x14ac:dyDescent="0.25">
      <c r="A1206" s="3" t="s">
        <v>2702</v>
      </c>
      <c r="B1206" s="3" t="s">
        <v>2703</v>
      </c>
      <c r="C1206" s="1">
        <v>15</v>
      </c>
      <c r="D1206" s="1">
        <v>56</v>
      </c>
      <c r="E1206" s="1" t="s">
        <v>1417</v>
      </c>
      <c r="F1206" s="1" t="s">
        <v>4997</v>
      </c>
      <c r="G1206" s="3" t="s">
        <v>2704</v>
      </c>
      <c r="H1206" s="12" cm="1">
        <f t="array" ref="H1206">_xlfn.IFS(I1206&lt;197,I1206*1.26,I1206&gt;197,I1206*1.17) + IF(I1206&gt;1000,17,0)</f>
        <v>262.86624</v>
      </c>
      <c r="I1206" s="10">
        <f>($K$2+0.02)*Tabla1[[#This Row],[PRECIO $]]*1.18</f>
        <v>224.672</v>
      </c>
      <c r="J1206" s="7">
        <f>+Tabla1[[#This Row],[PRECIO EN SOLES]]-Tabla1[[#This Row],[PC]]</f>
        <v>38.194240000000008</v>
      </c>
    </row>
    <row r="1207" spans="1:10" x14ac:dyDescent="0.25">
      <c r="A1207" s="3" t="s">
        <v>2705</v>
      </c>
      <c r="B1207" s="3" t="s">
        <v>2706</v>
      </c>
      <c r="C1207" s="1">
        <v>1</v>
      </c>
      <c r="D1207" s="1">
        <v>101</v>
      </c>
      <c r="E1207" s="1" t="s">
        <v>502</v>
      </c>
      <c r="F1207" s="1" t="s">
        <v>4998</v>
      </c>
      <c r="G1207" s="3" t="s">
        <v>2707</v>
      </c>
      <c r="H1207" s="12" cm="1">
        <f t="array" ref="H1207">_xlfn.IFS(I1207&lt;197,I1207*1.26,I1207&gt;197,I1207*1.17) + IF(I1207&gt;1000,17,0)</f>
        <v>474.09803999999991</v>
      </c>
      <c r="I1207" s="10">
        <f>($K$2+0.02)*Tabla1[[#This Row],[PRECIO $]]*1.18</f>
        <v>405.21199999999993</v>
      </c>
      <c r="J1207" s="7">
        <f>+Tabla1[[#This Row],[PRECIO EN SOLES]]-Tabla1[[#This Row],[PC]]</f>
        <v>68.88603999999998</v>
      </c>
    </row>
    <row r="1208" spans="1:10" x14ac:dyDescent="0.25">
      <c r="A1208" s="3" t="s">
        <v>2708</v>
      </c>
      <c r="B1208" s="3" t="s">
        <v>2709</v>
      </c>
      <c r="C1208" s="1">
        <v>1</v>
      </c>
      <c r="D1208" s="1">
        <v>494.44</v>
      </c>
      <c r="E1208" s="1" t="s">
        <v>502</v>
      </c>
      <c r="F1208" s="1" t="s">
        <v>4999</v>
      </c>
      <c r="G1208" s="3" t="s">
        <v>2710</v>
      </c>
      <c r="H1208" s="12" cm="1">
        <f t="array" ref="H1208">_xlfn.IFS(I1208&lt;197,I1208*1.26,I1208&gt;197,I1208*1.17) + IF(I1208&gt;1000,17,0)</f>
        <v>2337.9211375999998</v>
      </c>
      <c r="I1208" s="10">
        <f>($K$2+0.02)*Tabla1[[#This Row],[PRECIO $]]*1.18</f>
        <v>1983.69328</v>
      </c>
      <c r="J1208" s="7">
        <f>+Tabla1[[#This Row],[PRECIO EN SOLES]]-Tabla1[[#This Row],[PC]]</f>
        <v>354.22785759999988</v>
      </c>
    </row>
    <row r="1209" spans="1:10" x14ac:dyDescent="0.25">
      <c r="A1209" s="3" t="s">
        <v>2711</v>
      </c>
      <c r="B1209" s="3" t="s">
        <v>2712</v>
      </c>
      <c r="C1209" s="1">
        <v>3</v>
      </c>
      <c r="D1209" s="1">
        <v>941.62</v>
      </c>
      <c r="E1209" s="1" t="s">
        <v>2611</v>
      </c>
      <c r="F1209" s="1" t="s">
        <v>5000</v>
      </c>
      <c r="G1209" s="3" t="s">
        <v>2713</v>
      </c>
      <c r="H1209" s="12" cm="1">
        <f t="array" ref="H1209">_xlfn.IFS(I1209&lt;197,I1209*1.26,I1209&gt;197,I1209*1.17) + IF(I1209&gt;1000,17,0)</f>
        <v>4437.0019447999994</v>
      </c>
      <c r="I1209" s="10">
        <f>($K$2+0.02)*Tabla1[[#This Row],[PRECIO $]]*1.18</f>
        <v>3777.7794399999998</v>
      </c>
      <c r="J1209" s="7">
        <f>+Tabla1[[#This Row],[PRECIO EN SOLES]]-Tabla1[[#This Row],[PC]]</f>
        <v>659.22250479999957</v>
      </c>
    </row>
    <row r="1210" spans="1:10" x14ac:dyDescent="0.25">
      <c r="A1210" s="3" t="s">
        <v>2714</v>
      </c>
      <c r="B1210" s="3" t="s">
        <v>2715</v>
      </c>
      <c r="C1210" s="1">
        <v>20</v>
      </c>
      <c r="D1210" s="1">
        <v>561.24</v>
      </c>
      <c r="E1210" s="1" t="s">
        <v>2611</v>
      </c>
      <c r="F1210" s="1" t="s">
        <v>5001</v>
      </c>
      <c r="G1210" s="3" t="s">
        <v>2716</v>
      </c>
      <c r="H1210" s="12" cm="1">
        <f t="array" ref="H1210">_xlfn.IFS(I1210&lt;197,I1210*1.26,I1210&gt;197,I1210*1.17) + IF(I1210&gt;1000,17,0)</f>
        <v>2651.4830095999991</v>
      </c>
      <c r="I1210" s="10">
        <f>($K$2+0.02)*Tabla1[[#This Row],[PRECIO $]]*1.18</f>
        <v>2251.6948799999996</v>
      </c>
      <c r="J1210" s="7">
        <f>+Tabla1[[#This Row],[PRECIO EN SOLES]]-Tabla1[[#This Row],[PC]]</f>
        <v>399.78812959999959</v>
      </c>
    </row>
    <row r="1211" spans="1:10" x14ac:dyDescent="0.25">
      <c r="A1211" s="3" t="s">
        <v>2717</v>
      </c>
      <c r="B1211" s="3" t="s">
        <v>2718</v>
      </c>
      <c r="C1211" s="1">
        <v>20</v>
      </c>
      <c r="D1211" s="1">
        <v>16.7</v>
      </c>
      <c r="E1211" s="1" t="s">
        <v>2611</v>
      </c>
      <c r="F1211" s="1" t="s">
        <v>5002</v>
      </c>
      <c r="G1211" s="3" t="s">
        <v>2719</v>
      </c>
      <c r="H1211" s="12" cm="1">
        <f t="array" ref="H1211">_xlfn.IFS(I1211&lt;197,I1211*1.26,I1211&gt;197,I1211*1.17) + IF(I1211&gt;1000,17,0)</f>
        <v>84.42050399999998</v>
      </c>
      <c r="I1211" s="10">
        <f>($K$2+0.02)*Tabla1[[#This Row],[PRECIO $]]*1.18</f>
        <v>67.000399999999985</v>
      </c>
      <c r="J1211" s="7">
        <f>+Tabla1[[#This Row],[PRECIO EN SOLES]]-Tabla1[[#This Row],[PC]]</f>
        <v>17.420103999999995</v>
      </c>
    </row>
    <row r="1212" spans="1:10" x14ac:dyDescent="0.25">
      <c r="A1212" s="3" t="s">
        <v>2720</v>
      </c>
      <c r="B1212" s="3" t="s">
        <v>2721</v>
      </c>
      <c r="C1212" s="1">
        <v>1</v>
      </c>
      <c r="D1212" s="1">
        <v>118</v>
      </c>
      <c r="E1212" s="1" t="s">
        <v>2611</v>
      </c>
      <c r="F1212" s="1" t="s">
        <v>5003</v>
      </c>
      <c r="G1212" s="3"/>
      <c r="H1212" s="12" cm="1">
        <f t="array" ref="H1212">_xlfn.IFS(I1212&lt;197,I1212*1.26,I1212&gt;197,I1212*1.17) + IF(I1212&gt;1000,17,0)</f>
        <v>553.89671999999985</v>
      </c>
      <c r="I1212" s="10">
        <f>($K$2+0.02)*Tabla1[[#This Row],[PRECIO $]]*1.18</f>
        <v>473.41599999999994</v>
      </c>
      <c r="J1212" s="7">
        <f>+Tabla1[[#This Row],[PRECIO EN SOLES]]-Tabla1[[#This Row],[PC]]</f>
        <v>80.480719999999906</v>
      </c>
    </row>
    <row r="1213" spans="1:10" x14ac:dyDescent="0.25">
      <c r="A1213" s="3" t="s">
        <v>2722</v>
      </c>
      <c r="B1213" s="3" t="s">
        <v>2723</v>
      </c>
      <c r="C1213" s="1">
        <v>19</v>
      </c>
      <c r="D1213" s="1">
        <v>93</v>
      </c>
      <c r="E1213" s="1" t="s">
        <v>2611</v>
      </c>
      <c r="F1213" s="1" t="s">
        <v>5004</v>
      </c>
      <c r="G1213" s="3" t="s">
        <v>2724</v>
      </c>
      <c r="H1213" s="12" cm="1">
        <f t="array" ref="H1213">_xlfn.IFS(I1213&lt;197,I1213*1.26,I1213&gt;197,I1213*1.17) + IF(I1213&gt;1000,17,0)</f>
        <v>436.54571999999996</v>
      </c>
      <c r="I1213" s="10">
        <f>($K$2+0.02)*Tabla1[[#This Row],[PRECIO $]]*1.18</f>
        <v>373.11599999999999</v>
      </c>
      <c r="J1213" s="7">
        <f>+Tabla1[[#This Row],[PRECIO EN SOLES]]-Tabla1[[#This Row],[PC]]</f>
        <v>63.429719999999975</v>
      </c>
    </row>
    <row r="1214" spans="1:10" x14ac:dyDescent="0.25">
      <c r="A1214" s="3" t="s">
        <v>2725</v>
      </c>
      <c r="B1214" s="3" t="s">
        <v>2726</v>
      </c>
      <c r="C1214" s="1">
        <v>3</v>
      </c>
      <c r="D1214" s="1">
        <v>409.71</v>
      </c>
      <c r="E1214" s="1" t="s">
        <v>2611</v>
      </c>
      <c r="F1214" s="1" t="s">
        <v>5005</v>
      </c>
      <c r="G1214" s="3" t="s">
        <v>2727</v>
      </c>
      <c r="H1214" s="12" cm="1">
        <f t="array" ref="H1214">_xlfn.IFS(I1214&lt;197,I1214*1.26,I1214&gt;197,I1214*1.17) + IF(I1214&gt;1000,17,0)</f>
        <v>1940.1951283999995</v>
      </c>
      <c r="I1214" s="10">
        <f>($K$2+0.02)*Tabla1[[#This Row],[PRECIO $]]*1.18</f>
        <v>1643.7565199999997</v>
      </c>
      <c r="J1214" s="7">
        <f>+Tabla1[[#This Row],[PRECIO EN SOLES]]-Tabla1[[#This Row],[PC]]</f>
        <v>296.43860839999979</v>
      </c>
    </row>
    <row r="1215" spans="1:10" x14ac:dyDescent="0.25">
      <c r="A1215" s="3" t="s">
        <v>2728</v>
      </c>
      <c r="B1215" s="3" t="s">
        <v>2729</v>
      </c>
      <c r="C1215" s="1">
        <v>3</v>
      </c>
      <c r="D1215" s="1">
        <v>228</v>
      </c>
      <c r="E1215" s="1" t="s">
        <v>1417</v>
      </c>
      <c r="F1215" s="1" t="s">
        <v>5006</v>
      </c>
      <c r="G1215" s="3" t="s">
        <v>2730</v>
      </c>
      <c r="H1215" s="12" cm="1">
        <f t="array" ref="H1215">_xlfn.IFS(I1215&lt;197,I1215*1.26,I1215&gt;197,I1215*1.17) + IF(I1215&gt;1000,17,0)</f>
        <v>1070.2411199999997</v>
      </c>
      <c r="I1215" s="10">
        <f>($K$2+0.02)*Tabla1[[#This Row],[PRECIO $]]*1.18</f>
        <v>914.73599999999988</v>
      </c>
      <c r="J1215" s="7">
        <f>+Tabla1[[#This Row],[PRECIO EN SOLES]]-Tabla1[[#This Row],[PC]]</f>
        <v>155.50511999999981</v>
      </c>
    </row>
    <row r="1216" spans="1:10" x14ac:dyDescent="0.25">
      <c r="A1216" s="3" t="s">
        <v>6374</v>
      </c>
      <c r="B1216" s="3" t="s">
        <v>6375</v>
      </c>
      <c r="C1216" s="1">
        <v>20</v>
      </c>
      <c r="D1216" s="1">
        <v>11.48</v>
      </c>
      <c r="E1216" s="1" t="s">
        <v>502</v>
      </c>
      <c r="F1216" s="1" t="s">
        <v>6376</v>
      </c>
      <c r="G1216" s="3" t="s">
        <v>6377</v>
      </c>
      <c r="H1216" s="12" cm="1">
        <f t="array" ref="H1216">_xlfn.IFS(I1216&lt;197,I1216*1.26,I1216&gt;197,I1216*1.17) + IF(I1216&gt;1000,17,0)</f>
        <v>58.032777600000003</v>
      </c>
      <c r="I1216" s="10">
        <f>($K$2+0.02)*Tabla1[[#This Row],[PRECIO $]]*1.18</f>
        <v>46.057760000000002</v>
      </c>
      <c r="J1216" s="7">
        <f>+Tabla1[[#This Row],[PRECIO EN SOLES]]-Tabla1[[#This Row],[PC]]</f>
        <v>11.975017600000001</v>
      </c>
    </row>
    <row r="1217" spans="1:10" x14ac:dyDescent="0.25">
      <c r="A1217" s="3" t="s">
        <v>5691</v>
      </c>
      <c r="B1217" s="3" t="s">
        <v>5692</v>
      </c>
      <c r="C1217" s="1">
        <v>2</v>
      </c>
      <c r="D1217" s="1">
        <v>36.700000000000003</v>
      </c>
      <c r="E1217" s="1" t="s">
        <v>502</v>
      </c>
      <c r="F1217" s="1" t="s">
        <v>5693</v>
      </c>
      <c r="G1217" s="3" t="s">
        <v>5694</v>
      </c>
      <c r="H1217" s="12" cm="1">
        <f t="array" ref="H1217">_xlfn.IFS(I1217&lt;197,I1217*1.26,I1217&gt;197,I1217*1.17) + IF(I1217&gt;1000,17,0)</f>
        <v>185.52290399999998</v>
      </c>
      <c r="I1217" s="10">
        <f>($K$2+0.02)*Tabla1[[#This Row],[PRECIO $]]*1.18</f>
        <v>147.24039999999999</v>
      </c>
      <c r="J1217" s="7">
        <f>+Tabla1[[#This Row],[PRECIO EN SOLES]]-Tabla1[[#This Row],[PC]]</f>
        <v>38.282503999999989</v>
      </c>
    </row>
    <row r="1218" spans="1:10" x14ac:dyDescent="0.25">
      <c r="A1218" s="3" t="s">
        <v>2731</v>
      </c>
      <c r="B1218" s="3" t="s">
        <v>2732</v>
      </c>
      <c r="C1218" s="1">
        <v>2</v>
      </c>
      <c r="D1218" s="1">
        <v>3370</v>
      </c>
      <c r="E1218" s="1" t="s">
        <v>1417</v>
      </c>
      <c r="F1218" s="1" t="s">
        <v>5007</v>
      </c>
      <c r="G1218" s="3" t="s">
        <v>2733</v>
      </c>
      <c r="H1218" s="12" cm="1">
        <f t="array" ref="H1218">_xlfn.IFS(I1218&lt;197,I1218*1.26,I1218&gt;197,I1218*1.17) + IF(I1218&gt;1000,17,0)</f>
        <v>15835.914799999997</v>
      </c>
      <c r="I1218" s="10">
        <f>($K$2+0.02)*Tabla1[[#This Row],[PRECIO $]]*1.18</f>
        <v>13520.439999999999</v>
      </c>
      <c r="J1218" s="7">
        <f>+Tabla1[[#This Row],[PRECIO EN SOLES]]-Tabla1[[#This Row],[PC]]</f>
        <v>2315.4747999999981</v>
      </c>
    </row>
    <row r="1219" spans="1:10" x14ac:dyDescent="0.25">
      <c r="A1219" s="3" t="s">
        <v>2734</v>
      </c>
      <c r="B1219" s="3" t="s">
        <v>2735</v>
      </c>
      <c r="C1219" s="1">
        <v>1</v>
      </c>
      <c r="D1219" s="1">
        <v>138</v>
      </c>
      <c r="E1219" s="1" t="s">
        <v>1417</v>
      </c>
      <c r="F1219" s="1" t="s">
        <v>5008</v>
      </c>
      <c r="G1219" s="3" t="s">
        <v>2736</v>
      </c>
      <c r="H1219" s="12" cm="1">
        <f t="array" ref="H1219">_xlfn.IFS(I1219&lt;197,I1219*1.26,I1219&gt;197,I1219*1.17) + IF(I1219&gt;1000,17,0)</f>
        <v>647.77751999999987</v>
      </c>
      <c r="I1219" s="10">
        <f>($K$2+0.02)*Tabla1[[#This Row],[PRECIO $]]*1.18</f>
        <v>553.65599999999995</v>
      </c>
      <c r="J1219" s="7">
        <f>+Tabla1[[#This Row],[PRECIO EN SOLES]]-Tabla1[[#This Row],[PC]]</f>
        <v>94.121519999999919</v>
      </c>
    </row>
    <row r="1220" spans="1:10" x14ac:dyDescent="0.25">
      <c r="A1220" s="3" t="s">
        <v>2737</v>
      </c>
      <c r="B1220" s="3" t="s">
        <v>2738</v>
      </c>
      <c r="C1220" s="1">
        <v>2</v>
      </c>
      <c r="D1220" s="1">
        <v>418</v>
      </c>
      <c r="E1220" s="1" t="s">
        <v>1417</v>
      </c>
      <c r="F1220" s="1" t="s">
        <v>5009</v>
      </c>
      <c r="G1220" s="3" t="s">
        <v>2739</v>
      </c>
      <c r="H1220" s="12" cm="1">
        <f t="array" ref="H1220">_xlfn.IFS(I1220&lt;197,I1220*1.26,I1220&gt;197,I1220*1.17) + IF(I1220&gt;1000,17,0)</f>
        <v>1979.1087199999999</v>
      </c>
      <c r="I1220" s="10">
        <f>($K$2+0.02)*Tabla1[[#This Row],[PRECIO $]]*1.18</f>
        <v>1677.0160000000001</v>
      </c>
      <c r="J1220" s="7">
        <f>+Tabla1[[#This Row],[PRECIO EN SOLES]]-Tabla1[[#This Row],[PC]]</f>
        <v>302.09271999999987</v>
      </c>
    </row>
    <row r="1221" spans="1:10" x14ac:dyDescent="0.25">
      <c r="A1221" s="3" t="s">
        <v>2740</v>
      </c>
      <c r="B1221" s="3" t="s">
        <v>2741</v>
      </c>
      <c r="C1221" s="1">
        <v>2</v>
      </c>
      <c r="D1221" s="1">
        <v>4398</v>
      </c>
      <c r="E1221" s="1" t="s">
        <v>1417</v>
      </c>
      <c r="F1221" s="1" t="s">
        <v>5010</v>
      </c>
      <c r="G1221" s="3" t="s">
        <v>2742</v>
      </c>
      <c r="H1221" s="12" cm="1">
        <f t="array" ref="H1221">_xlfn.IFS(I1221&lt;197,I1221*1.26,I1221&gt;197,I1221*1.17) + IF(I1221&gt;1000,17,0)</f>
        <v>20661.387919999997</v>
      </c>
      <c r="I1221" s="10">
        <f>($K$2+0.02)*Tabla1[[#This Row],[PRECIO $]]*1.18</f>
        <v>17644.775999999998</v>
      </c>
      <c r="J1221" s="7">
        <f>+Tabla1[[#This Row],[PRECIO EN SOLES]]-Tabla1[[#This Row],[PC]]</f>
        <v>3016.6119199999994</v>
      </c>
    </row>
    <row r="1222" spans="1:10" x14ac:dyDescent="0.25">
      <c r="A1222" s="3" t="s">
        <v>2743</v>
      </c>
      <c r="B1222" s="3" t="s">
        <v>2744</v>
      </c>
      <c r="C1222" s="1">
        <v>20</v>
      </c>
      <c r="D1222" s="1">
        <v>197</v>
      </c>
      <c r="E1222" s="1" t="s">
        <v>1417</v>
      </c>
      <c r="F1222" s="1" t="s">
        <v>5011</v>
      </c>
      <c r="G1222" s="3" t="s">
        <v>2745</v>
      </c>
      <c r="H1222" s="12" cm="1">
        <f t="array" ref="H1222">_xlfn.IFS(I1222&lt;197,I1222*1.26,I1222&gt;197,I1222*1.17) + IF(I1222&gt;1000,17,0)</f>
        <v>924.72587999999985</v>
      </c>
      <c r="I1222" s="10">
        <f>($K$2+0.02)*Tabla1[[#This Row],[PRECIO $]]*1.18</f>
        <v>790.36399999999992</v>
      </c>
      <c r="J1222" s="7">
        <f>+Tabla1[[#This Row],[PRECIO EN SOLES]]-Tabla1[[#This Row],[PC]]</f>
        <v>134.36187999999993</v>
      </c>
    </row>
    <row r="1223" spans="1:10" x14ac:dyDescent="0.25">
      <c r="A1223" s="3" t="s">
        <v>2746</v>
      </c>
      <c r="B1223" s="3" t="s">
        <v>2632</v>
      </c>
      <c r="C1223" s="1">
        <v>20</v>
      </c>
      <c r="D1223" s="1">
        <v>40</v>
      </c>
      <c r="E1223" s="1" t="s">
        <v>1417</v>
      </c>
      <c r="F1223" s="1" t="s">
        <v>5012</v>
      </c>
      <c r="G1223" s="3" t="s">
        <v>2747</v>
      </c>
      <c r="H1223" s="12" cm="1">
        <f t="array" ref="H1223">_xlfn.IFS(I1223&lt;197,I1223*1.26,I1223&gt;197,I1223*1.17) + IF(I1223&gt;1000,17,0)</f>
        <v>202.20479999999998</v>
      </c>
      <c r="I1223" s="10">
        <f>($K$2+0.02)*Tabla1[[#This Row],[PRECIO $]]*1.18</f>
        <v>160.47999999999999</v>
      </c>
      <c r="J1223" s="7">
        <f>+Tabla1[[#This Row],[PRECIO EN SOLES]]-Tabla1[[#This Row],[PC]]</f>
        <v>41.724799999999988</v>
      </c>
    </row>
    <row r="1224" spans="1:10" x14ac:dyDescent="0.25">
      <c r="A1224" s="3" t="s">
        <v>2748</v>
      </c>
      <c r="B1224" s="3" t="s">
        <v>2749</v>
      </c>
      <c r="C1224" s="1">
        <v>2</v>
      </c>
      <c r="D1224" s="1">
        <v>1798</v>
      </c>
      <c r="E1224" s="1" t="s">
        <v>1417</v>
      </c>
      <c r="F1224" s="1" t="s">
        <v>5013</v>
      </c>
      <c r="G1224" s="3" t="s">
        <v>2750</v>
      </c>
      <c r="H1224" s="12" cm="1">
        <f t="array" ref="H1224">_xlfn.IFS(I1224&lt;197,I1224*1.26,I1224&gt;197,I1224*1.17) + IF(I1224&gt;1000,17,0)</f>
        <v>8456.8839199999984</v>
      </c>
      <c r="I1224" s="10">
        <f>($K$2+0.02)*Tabla1[[#This Row],[PRECIO $]]*1.18</f>
        <v>7213.5759999999991</v>
      </c>
      <c r="J1224" s="7">
        <f>+Tabla1[[#This Row],[PRECIO EN SOLES]]-Tabla1[[#This Row],[PC]]</f>
        <v>1243.3079199999993</v>
      </c>
    </row>
    <row r="1225" spans="1:10" x14ac:dyDescent="0.25">
      <c r="A1225" s="3" t="s">
        <v>2751</v>
      </c>
      <c r="B1225" s="3" t="s">
        <v>2752</v>
      </c>
      <c r="C1225" s="1">
        <v>20</v>
      </c>
      <c r="D1225" s="1">
        <v>45</v>
      </c>
      <c r="E1225" s="1" t="s">
        <v>1417</v>
      </c>
      <c r="F1225" s="1" t="s">
        <v>5014</v>
      </c>
      <c r="G1225" s="3" t="s">
        <v>2753</v>
      </c>
      <c r="H1225" s="12" cm="1">
        <f t="array" ref="H1225">_xlfn.IFS(I1225&lt;197,I1225*1.26,I1225&gt;197,I1225*1.17) + IF(I1225&gt;1000,17,0)</f>
        <v>227.4804</v>
      </c>
      <c r="I1225" s="10">
        <f>($K$2+0.02)*Tabla1[[#This Row],[PRECIO $]]*1.18</f>
        <v>180.54</v>
      </c>
      <c r="J1225" s="7">
        <f>+Tabla1[[#This Row],[PRECIO EN SOLES]]-Tabla1[[#This Row],[PC]]</f>
        <v>46.940400000000011</v>
      </c>
    </row>
    <row r="1226" spans="1:10" x14ac:dyDescent="0.25">
      <c r="A1226" s="3" t="s">
        <v>2754</v>
      </c>
      <c r="B1226" s="3" t="s">
        <v>2755</v>
      </c>
      <c r="C1226" s="1">
        <v>1</v>
      </c>
      <c r="D1226" s="1">
        <v>2228</v>
      </c>
      <c r="E1226" s="1" t="s">
        <v>1417</v>
      </c>
      <c r="F1226" s="1" t="s">
        <v>5015</v>
      </c>
      <c r="G1226" s="3" t="s">
        <v>2756</v>
      </c>
      <c r="H1226" s="12" cm="1">
        <f t="array" ref="H1226">_xlfn.IFS(I1226&lt;197,I1226*1.26,I1226&gt;197,I1226*1.17) + IF(I1226&gt;1000,17,0)</f>
        <v>10475.321119999999</v>
      </c>
      <c r="I1226" s="10">
        <f>($K$2+0.02)*Tabla1[[#This Row],[PRECIO $]]*1.18</f>
        <v>8938.735999999999</v>
      </c>
      <c r="J1226" s="7">
        <f>+Tabla1[[#This Row],[PRECIO EN SOLES]]-Tabla1[[#This Row],[PC]]</f>
        <v>1536.5851199999997</v>
      </c>
    </row>
    <row r="1227" spans="1:10" x14ac:dyDescent="0.25">
      <c r="A1227" s="3" t="s">
        <v>2757</v>
      </c>
      <c r="B1227" s="3" t="s">
        <v>2758</v>
      </c>
      <c r="C1227" s="1">
        <v>20</v>
      </c>
      <c r="D1227" s="1">
        <v>329</v>
      </c>
      <c r="E1227" s="1" t="s">
        <v>2611</v>
      </c>
      <c r="F1227" s="1" t="s">
        <v>5016</v>
      </c>
      <c r="G1227" s="3"/>
      <c r="H1227" s="12" cm="1">
        <f t="array" ref="H1227">_xlfn.IFS(I1227&lt;197,I1227*1.26,I1227&gt;197,I1227*1.17) + IF(I1227&gt;1000,17,0)</f>
        <v>1561.3391599999998</v>
      </c>
      <c r="I1227" s="10">
        <f>($K$2+0.02)*Tabla1[[#This Row],[PRECIO $]]*1.18</f>
        <v>1319.9479999999999</v>
      </c>
      <c r="J1227" s="7">
        <f>+Tabla1[[#This Row],[PRECIO EN SOLES]]-Tabla1[[#This Row],[PC]]</f>
        <v>241.3911599999999</v>
      </c>
    </row>
    <row r="1228" spans="1:10" x14ac:dyDescent="0.25">
      <c r="A1228" s="3" t="s">
        <v>2759</v>
      </c>
      <c r="B1228" s="3" t="s">
        <v>2760</v>
      </c>
      <c r="C1228" s="1">
        <v>20</v>
      </c>
      <c r="D1228" s="1">
        <v>478.67</v>
      </c>
      <c r="E1228" s="1" t="s">
        <v>2611</v>
      </c>
      <c r="F1228" s="1" t="s">
        <v>5017</v>
      </c>
      <c r="G1228" s="3"/>
      <c r="H1228" s="12" cm="1">
        <f t="array" ref="H1228">_xlfn.IFS(I1228&lt;197,I1228*1.26,I1228&gt;197,I1228*1.17) + IF(I1228&gt;1000,17,0)</f>
        <v>2263.8961267999998</v>
      </c>
      <c r="I1228" s="10">
        <f>($K$2+0.02)*Tabla1[[#This Row],[PRECIO $]]*1.18</f>
        <v>1920.4240399999999</v>
      </c>
      <c r="J1228" s="7">
        <f>+Tabla1[[#This Row],[PRECIO EN SOLES]]-Tabla1[[#This Row],[PC]]</f>
        <v>343.47208679999994</v>
      </c>
    </row>
    <row r="1229" spans="1:10" x14ac:dyDescent="0.25">
      <c r="A1229" s="3" t="s">
        <v>2761</v>
      </c>
      <c r="B1229" s="3" t="s">
        <v>2760</v>
      </c>
      <c r="C1229" s="1">
        <v>1</v>
      </c>
      <c r="D1229" s="1">
        <v>428.3</v>
      </c>
      <c r="E1229" s="1" t="s">
        <v>2611</v>
      </c>
      <c r="F1229" s="1" t="s">
        <v>5018</v>
      </c>
      <c r="G1229" s="3"/>
      <c r="H1229" s="12" cm="1">
        <f t="array" ref="H1229">_xlfn.IFS(I1229&lt;197,I1229*1.26,I1229&gt;197,I1229*1.17) + IF(I1229&gt;1000,17,0)</f>
        <v>2027.457332</v>
      </c>
      <c r="I1229" s="10">
        <f>($K$2+0.02)*Tabla1[[#This Row],[PRECIO $]]*1.18</f>
        <v>1718.3396</v>
      </c>
      <c r="J1229" s="7">
        <f>+Tabla1[[#This Row],[PRECIO EN SOLES]]-Tabla1[[#This Row],[PC]]</f>
        <v>309.11773199999993</v>
      </c>
    </row>
    <row r="1230" spans="1:10" x14ac:dyDescent="0.25">
      <c r="A1230" s="3" t="s">
        <v>6378</v>
      </c>
      <c r="B1230" s="3" t="s">
        <v>6379</v>
      </c>
      <c r="C1230" s="1">
        <v>20</v>
      </c>
      <c r="D1230" s="1">
        <v>110.56</v>
      </c>
      <c r="E1230" s="1" t="s">
        <v>502</v>
      </c>
      <c r="F1230" s="1" t="s">
        <v>6380</v>
      </c>
      <c r="G1230" s="3" t="s">
        <v>6381</v>
      </c>
      <c r="H1230" s="12" cm="1">
        <f t="array" ref="H1230">_xlfn.IFS(I1230&lt;197,I1230*1.26,I1230&gt;197,I1230*1.17) + IF(I1230&gt;1000,17,0)</f>
        <v>518.97306239999989</v>
      </c>
      <c r="I1230" s="10">
        <f>($K$2+0.02)*Tabla1[[#This Row],[PRECIO $]]*1.18</f>
        <v>443.56671999999998</v>
      </c>
      <c r="J1230" s="7">
        <f>+Tabla1[[#This Row],[PRECIO EN SOLES]]-Tabla1[[#This Row],[PC]]</f>
        <v>75.406342399999915</v>
      </c>
    </row>
    <row r="1231" spans="1:10" x14ac:dyDescent="0.25">
      <c r="A1231" s="3" t="s">
        <v>6382</v>
      </c>
      <c r="B1231" s="3" t="s">
        <v>6383</v>
      </c>
      <c r="C1231" s="1">
        <v>4</v>
      </c>
      <c r="D1231" s="1">
        <v>405.01</v>
      </c>
      <c r="E1231" s="1" t="s">
        <v>502</v>
      </c>
      <c r="F1231" s="1" t="s">
        <v>6384</v>
      </c>
      <c r="G1231" s="3" t="s">
        <v>6385</v>
      </c>
      <c r="H1231" s="12" cm="1">
        <f t="array" ref="H1231">_xlfn.IFS(I1231&lt;197,I1231*1.26,I1231&gt;197,I1231*1.17) + IF(I1231&gt;1000,17,0)</f>
        <v>1918.1331403999995</v>
      </c>
      <c r="I1231" s="10">
        <f>($K$2+0.02)*Tabla1[[#This Row],[PRECIO $]]*1.18</f>
        <v>1624.9001199999998</v>
      </c>
      <c r="J1231" s="7">
        <f>+Tabla1[[#This Row],[PRECIO EN SOLES]]-Tabla1[[#This Row],[PC]]</f>
        <v>293.23302039999976</v>
      </c>
    </row>
    <row r="1232" spans="1:10" x14ac:dyDescent="0.25">
      <c r="A1232" s="3" t="s">
        <v>6386</v>
      </c>
      <c r="B1232" s="3" t="s">
        <v>6387</v>
      </c>
      <c r="C1232" s="1">
        <v>2</v>
      </c>
      <c r="D1232" s="1">
        <v>327.27999999999997</v>
      </c>
      <c r="E1232" s="1" t="s">
        <v>502</v>
      </c>
      <c r="F1232" s="1" t="s">
        <v>6388</v>
      </c>
      <c r="G1232" s="3" t="s">
        <v>6389</v>
      </c>
      <c r="H1232" s="12" cm="1">
        <f t="array" ref="H1232">_xlfn.IFS(I1232&lt;197,I1232*1.26,I1232&gt;197,I1232*1.17) + IF(I1232&gt;1000,17,0)</f>
        <v>1553.2654111999996</v>
      </c>
      <c r="I1232" s="10">
        <f>($K$2+0.02)*Tabla1[[#This Row],[PRECIO $]]*1.18</f>
        <v>1313.0473599999998</v>
      </c>
      <c r="J1232" s="7">
        <f>+Tabla1[[#This Row],[PRECIO EN SOLES]]-Tabla1[[#This Row],[PC]]</f>
        <v>240.21805119999976</v>
      </c>
    </row>
    <row r="1233" spans="1:10" x14ac:dyDescent="0.25">
      <c r="A1233" s="3" t="s">
        <v>6390</v>
      </c>
      <c r="B1233" s="3" t="s">
        <v>6391</v>
      </c>
      <c r="C1233" s="1">
        <v>15</v>
      </c>
      <c r="D1233" s="1">
        <v>67.13</v>
      </c>
      <c r="E1233" s="1" t="s">
        <v>502</v>
      </c>
      <c r="F1233" s="1" t="s">
        <v>6392</v>
      </c>
      <c r="G1233" s="3" t="s">
        <v>6393</v>
      </c>
      <c r="H1233" s="12" cm="1">
        <f t="array" ref="H1233">_xlfn.IFS(I1233&lt;197,I1233*1.26,I1233&gt;197,I1233*1.17) + IF(I1233&gt;1000,17,0)</f>
        <v>315.11090519999999</v>
      </c>
      <c r="I1233" s="10">
        <f>($K$2+0.02)*Tabla1[[#This Row],[PRECIO $]]*1.18</f>
        <v>269.32556</v>
      </c>
      <c r="J1233" s="7">
        <f>+Tabla1[[#This Row],[PRECIO EN SOLES]]-Tabla1[[#This Row],[PC]]</f>
        <v>45.785345199999995</v>
      </c>
    </row>
    <row r="1234" spans="1:10" x14ac:dyDescent="0.25">
      <c r="A1234" s="3" t="s">
        <v>5695</v>
      </c>
      <c r="B1234" s="3" t="s">
        <v>5696</v>
      </c>
      <c r="C1234" s="1">
        <v>20</v>
      </c>
      <c r="D1234" s="1">
        <v>32.99</v>
      </c>
      <c r="E1234" s="1" t="s">
        <v>502</v>
      </c>
      <c r="F1234" s="1" t="s">
        <v>5697</v>
      </c>
      <c r="G1234" s="3"/>
      <c r="H1234" s="12" cm="1">
        <f t="array" ref="H1234">_xlfn.IFS(I1234&lt;197,I1234*1.26,I1234&gt;197,I1234*1.17) + IF(I1234&gt;1000,17,0)</f>
        <v>166.76840879999997</v>
      </c>
      <c r="I1234" s="10">
        <f>($K$2+0.02)*Tabla1[[#This Row],[PRECIO $]]*1.18</f>
        <v>132.35587999999998</v>
      </c>
      <c r="J1234" s="7">
        <f>+Tabla1[[#This Row],[PRECIO EN SOLES]]-Tabla1[[#This Row],[PC]]</f>
        <v>34.41252879999999</v>
      </c>
    </row>
    <row r="1235" spans="1:10" x14ac:dyDescent="0.25">
      <c r="A1235" s="3" t="s">
        <v>2762</v>
      </c>
      <c r="B1235" s="3" t="s">
        <v>2763</v>
      </c>
      <c r="C1235" s="1">
        <v>20</v>
      </c>
      <c r="D1235" s="1">
        <v>114.41</v>
      </c>
      <c r="E1235" s="1" t="s">
        <v>502</v>
      </c>
      <c r="F1235" s="1" t="s">
        <v>5019</v>
      </c>
      <c r="G1235" s="3" t="s">
        <v>2764</v>
      </c>
      <c r="H1235" s="12" cm="1">
        <f t="array" ref="H1235">_xlfn.IFS(I1235&lt;197,I1235*1.26,I1235&gt;197,I1235*1.17) + IF(I1235&gt;1000,17,0)</f>
        <v>537.04511639999987</v>
      </c>
      <c r="I1235" s="10">
        <f>($K$2+0.02)*Tabla1[[#This Row],[PRECIO $]]*1.18</f>
        <v>459.01291999999995</v>
      </c>
      <c r="J1235" s="7">
        <f>+Tabla1[[#This Row],[PRECIO EN SOLES]]-Tabla1[[#This Row],[PC]]</f>
        <v>78.032196399999918</v>
      </c>
    </row>
    <row r="1236" spans="1:10" x14ac:dyDescent="0.25">
      <c r="A1236" s="3" t="s">
        <v>6394</v>
      </c>
      <c r="B1236" s="3" t="s">
        <v>6395</v>
      </c>
      <c r="C1236" s="1">
        <v>18</v>
      </c>
      <c r="D1236" s="1">
        <v>118.12</v>
      </c>
      <c r="E1236" s="1" t="s">
        <v>502</v>
      </c>
      <c r="F1236" s="1" t="s">
        <v>6396</v>
      </c>
      <c r="G1236" s="3" t="s">
        <v>6397</v>
      </c>
      <c r="H1236" s="12" cm="1">
        <f t="array" ref="H1236">_xlfn.IFS(I1236&lt;197,I1236*1.26,I1236&gt;197,I1236*1.17) + IF(I1236&gt;1000,17,0)</f>
        <v>554.46000479999987</v>
      </c>
      <c r="I1236" s="10">
        <f>($K$2+0.02)*Tabla1[[#This Row],[PRECIO $]]*1.18</f>
        <v>473.89743999999996</v>
      </c>
      <c r="J1236" s="7">
        <f>+Tabla1[[#This Row],[PRECIO EN SOLES]]-Tabla1[[#This Row],[PC]]</f>
        <v>80.562564799999905</v>
      </c>
    </row>
    <row r="1237" spans="1:10" x14ac:dyDescent="0.25">
      <c r="A1237" s="3" t="s">
        <v>6398</v>
      </c>
      <c r="B1237" s="3" t="s">
        <v>6399</v>
      </c>
      <c r="C1237" s="1">
        <v>12</v>
      </c>
      <c r="D1237" s="1">
        <v>349.61</v>
      </c>
      <c r="E1237" s="1" t="s">
        <v>502</v>
      </c>
      <c r="F1237" s="1" t="s">
        <v>6400</v>
      </c>
      <c r="G1237" s="3" t="s">
        <v>6401</v>
      </c>
      <c r="H1237" s="12" cm="1">
        <f t="array" ref="H1237">_xlfn.IFS(I1237&lt;197,I1237*1.26,I1237&gt;197,I1237*1.17) + IF(I1237&gt;1000,17,0)</f>
        <v>1658.0833243999998</v>
      </c>
      <c r="I1237" s="10">
        <f>($K$2+0.02)*Tabla1[[#This Row],[PRECIO $]]*1.18</f>
        <v>1402.6353199999999</v>
      </c>
      <c r="J1237" s="7">
        <f>+Tabla1[[#This Row],[PRECIO EN SOLES]]-Tabla1[[#This Row],[PC]]</f>
        <v>255.44800439999995</v>
      </c>
    </row>
    <row r="1238" spans="1:10" x14ac:dyDescent="0.25">
      <c r="A1238" s="3" t="s">
        <v>2765</v>
      </c>
      <c r="B1238" s="3" t="s">
        <v>2766</v>
      </c>
      <c r="C1238" s="1">
        <v>20</v>
      </c>
      <c r="D1238" s="1">
        <v>108.59</v>
      </c>
      <c r="E1238" s="1" t="s">
        <v>2611</v>
      </c>
      <c r="F1238" s="1" t="s">
        <v>5020</v>
      </c>
      <c r="G1238" s="3"/>
      <c r="H1238" s="12" cm="1">
        <f t="array" ref="H1238">_xlfn.IFS(I1238&lt;197,I1238*1.26,I1238&gt;197,I1238*1.17) + IF(I1238&gt;1000,17,0)</f>
        <v>509.72580359999995</v>
      </c>
      <c r="I1238" s="10">
        <f>($K$2+0.02)*Tabla1[[#This Row],[PRECIO $]]*1.18</f>
        <v>435.66307999999998</v>
      </c>
      <c r="J1238" s="7">
        <f>+Tabla1[[#This Row],[PRECIO EN SOLES]]-Tabla1[[#This Row],[PC]]</f>
        <v>74.06272359999997</v>
      </c>
    </row>
    <row r="1239" spans="1:10" x14ac:dyDescent="0.25">
      <c r="A1239" s="3" t="s">
        <v>3854</v>
      </c>
      <c r="B1239" s="3" t="s">
        <v>3855</v>
      </c>
      <c r="C1239" s="1">
        <v>20</v>
      </c>
      <c r="D1239" s="1">
        <v>192.19</v>
      </c>
      <c r="E1239" s="1" t="s">
        <v>2611</v>
      </c>
      <c r="F1239" s="1" t="s">
        <v>5021</v>
      </c>
      <c r="G1239" s="3" t="s">
        <v>3856</v>
      </c>
      <c r="H1239" s="12" cm="1">
        <f t="array" ref="H1239">_xlfn.IFS(I1239&lt;197,I1239*1.26,I1239&gt;197,I1239*1.17) + IF(I1239&gt;1000,17,0)</f>
        <v>902.14754759999994</v>
      </c>
      <c r="I1239" s="10">
        <f>($K$2+0.02)*Tabla1[[#This Row],[PRECIO $]]*1.18</f>
        <v>771.06628000000001</v>
      </c>
      <c r="J1239" s="7">
        <f>+Tabla1[[#This Row],[PRECIO EN SOLES]]-Tabla1[[#This Row],[PC]]</f>
        <v>131.08126759999993</v>
      </c>
    </row>
    <row r="1240" spans="1:10" x14ac:dyDescent="0.25">
      <c r="A1240" s="3" t="s">
        <v>3857</v>
      </c>
      <c r="B1240" s="3" t="s">
        <v>3858</v>
      </c>
      <c r="C1240" s="1">
        <v>0</v>
      </c>
      <c r="D1240" s="1">
        <v>215</v>
      </c>
      <c r="E1240" s="1" t="s">
        <v>2611</v>
      </c>
      <c r="F1240" s="1" t="s">
        <v>5022</v>
      </c>
      <c r="G1240" s="3" t="s">
        <v>3859</v>
      </c>
      <c r="H1240" s="12" cm="1">
        <f t="array" ref="H1240">_xlfn.IFS(I1240&lt;197,I1240*1.26,I1240&gt;197,I1240*1.17) + IF(I1240&gt;1000,17,0)</f>
        <v>1009.2185999999998</v>
      </c>
      <c r="I1240" s="10">
        <f>($K$2+0.02)*Tabla1[[#This Row],[PRECIO $]]*1.18</f>
        <v>862.57999999999993</v>
      </c>
      <c r="J1240" s="7">
        <f>+Tabla1[[#This Row],[PRECIO EN SOLES]]-Tabla1[[#This Row],[PC]]</f>
        <v>146.63859999999988</v>
      </c>
    </row>
    <row r="1241" spans="1:10" x14ac:dyDescent="0.25">
      <c r="A1241" s="3" t="s">
        <v>5698</v>
      </c>
      <c r="B1241" s="3" t="s">
        <v>5699</v>
      </c>
      <c r="C1241" s="1">
        <v>15</v>
      </c>
      <c r="D1241" s="1">
        <v>377.45</v>
      </c>
      <c r="E1241" s="1" t="s">
        <v>2611</v>
      </c>
      <c r="F1241" s="1" t="s">
        <v>5700</v>
      </c>
      <c r="G1241" s="3"/>
      <c r="H1241" s="12" cm="1">
        <f t="array" ref="H1241">_xlfn.IFS(I1241&lt;197,I1241*1.26,I1241&gt;197,I1241*1.17) + IF(I1241&gt;1000,17,0)</f>
        <v>1788.7653979999998</v>
      </c>
      <c r="I1241" s="10">
        <f>($K$2+0.02)*Tabla1[[#This Row],[PRECIO $]]*1.18</f>
        <v>1514.3293999999999</v>
      </c>
      <c r="J1241" s="7">
        <f>+Tabla1[[#This Row],[PRECIO EN SOLES]]-Tabla1[[#This Row],[PC]]</f>
        <v>274.43599799999993</v>
      </c>
    </row>
    <row r="1242" spans="1:10" x14ac:dyDescent="0.25">
      <c r="A1242" s="3" t="s">
        <v>6402</v>
      </c>
      <c r="B1242" s="3" t="s">
        <v>6403</v>
      </c>
      <c r="C1242" s="1">
        <v>5</v>
      </c>
      <c r="D1242" s="1">
        <v>549.85</v>
      </c>
      <c r="E1242" s="1" t="s">
        <v>502</v>
      </c>
      <c r="F1242" s="1" t="s">
        <v>6404</v>
      </c>
      <c r="G1242" s="3"/>
      <c r="H1242" s="12" cm="1">
        <f t="array" ref="H1242">_xlfn.IFS(I1242&lt;197,I1242*1.26,I1242&gt;197,I1242*1.17) + IF(I1242&gt;1000,17,0)</f>
        <v>2598.0178939999996</v>
      </c>
      <c r="I1242" s="10">
        <f>($K$2+0.02)*Tabla1[[#This Row],[PRECIO $]]*1.18</f>
        <v>2205.9982</v>
      </c>
      <c r="J1242" s="7">
        <f>+Tabla1[[#This Row],[PRECIO EN SOLES]]-Tabla1[[#This Row],[PC]]</f>
        <v>392.01969399999962</v>
      </c>
    </row>
    <row r="1243" spans="1:10" x14ac:dyDescent="0.25">
      <c r="A1243" s="3" t="s">
        <v>2767</v>
      </c>
      <c r="B1243" s="3" t="s">
        <v>2768</v>
      </c>
      <c r="C1243" s="1">
        <v>1</v>
      </c>
      <c r="D1243" s="1">
        <v>48.49</v>
      </c>
      <c r="E1243" s="1" t="s">
        <v>502</v>
      </c>
      <c r="F1243" s="1" t="s">
        <v>5023</v>
      </c>
      <c r="G1243" s="3" t="s">
        <v>2769</v>
      </c>
      <c r="H1243" s="12" cm="1">
        <f t="array" ref="H1243">_xlfn.IFS(I1243&lt;197,I1243*1.26,I1243&gt;197,I1243*1.17) + IF(I1243&gt;1000,17,0)</f>
        <v>245.12276879999999</v>
      </c>
      <c r="I1243" s="10">
        <f>($K$2+0.02)*Tabla1[[#This Row],[PRECIO $]]*1.18</f>
        <v>194.54187999999999</v>
      </c>
      <c r="J1243" s="7">
        <f>+Tabla1[[#This Row],[PRECIO EN SOLES]]-Tabla1[[#This Row],[PC]]</f>
        <v>50.580888799999997</v>
      </c>
    </row>
    <row r="1244" spans="1:10" x14ac:dyDescent="0.25">
      <c r="A1244" s="3" t="s">
        <v>2770</v>
      </c>
      <c r="B1244" s="3" t="s">
        <v>2771</v>
      </c>
      <c r="C1244" s="1">
        <v>2</v>
      </c>
      <c r="D1244" s="1">
        <v>1960</v>
      </c>
      <c r="E1244" s="1" t="s">
        <v>2611</v>
      </c>
      <c r="F1244" s="1" t="s">
        <v>5024</v>
      </c>
      <c r="G1244" s="3"/>
      <c r="H1244" s="12" cm="1">
        <f t="array" ref="H1244">_xlfn.IFS(I1244&lt;197,I1244*1.26,I1244&gt;197,I1244*1.17) + IF(I1244&gt;1000,17,0)</f>
        <v>9217.3183999999983</v>
      </c>
      <c r="I1244" s="10">
        <f>($K$2+0.02)*Tabla1[[#This Row],[PRECIO $]]*1.18</f>
        <v>7863.5199999999995</v>
      </c>
      <c r="J1244" s="7">
        <f>+Tabla1[[#This Row],[PRECIO EN SOLES]]-Tabla1[[#This Row],[PC]]</f>
        <v>1353.7983999999988</v>
      </c>
    </row>
    <row r="1245" spans="1:10" x14ac:dyDescent="0.25">
      <c r="A1245" s="3" t="s">
        <v>2772</v>
      </c>
      <c r="B1245" s="3" t="s">
        <v>2773</v>
      </c>
      <c r="C1245" s="1">
        <v>1</v>
      </c>
      <c r="D1245" s="1">
        <v>1548.68</v>
      </c>
      <c r="E1245" s="1" t="s">
        <v>2611</v>
      </c>
      <c r="F1245" s="1" t="s">
        <v>5025</v>
      </c>
      <c r="G1245" s="3"/>
      <c r="H1245" s="12" cm="1">
        <f t="array" ref="H1245">_xlfn.IFS(I1245&lt;197,I1245*1.26,I1245&gt;197,I1245*1.17) + IF(I1245&gt;1000,17,0)</f>
        <v>7286.565867199999</v>
      </c>
      <c r="I1245" s="10">
        <f>($K$2+0.02)*Tabla1[[#This Row],[PRECIO $]]*1.18</f>
        <v>6213.3041599999997</v>
      </c>
      <c r="J1245" s="7">
        <f>+Tabla1[[#This Row],[PRECIO EN SOLES]]-Tabla1[[#This Row],[PC]]</f>
        <v>1073.2617071999994</v>
      </c>
    </row>
    <row r="1246" spans="1:10" x14ac:dyDescent="0.25">
      <c r="A1246" s="3" t="s">
        <v>2774</v>
      </c>
      <c r="B1246" s="3" t="s">
        <v>2775</v>
      </c>
      <c r="C1246" s="1">
        <v>10</v>
      </c>
      <c r="D1246" s="1">
        <v>1382.24</v>
      </c>
      <c r="E1246" s="1" t="s">
        <v>2611</v>
      </c>
      <c r="F1246" s="1" t="s">
        <v>5026</v>
      </c>
      <c r="G1246" s="3"/>
      <c r="H1246" s="12" cm="1">
        <f t="array" ref="H1246">_xlfn.IFS(I1246&lt;197,I1246*1.26,I1246&gt;197,I1246*1.17) + IF(I1246&gt;1000,17,0)</f>
        <v>6505.2898495999998</v>
      </c>
      <c r="I1246" s="10">
        <f>($K$2+0.02)*Tabla1[[#This Row],[PRECIO $]]*1.18</f>
        <v>5545.5468799999999</v>
      </c>
      <c r="J1246" s="7">
        <f>+Tabla1[[#This Row],[PRECIO EN SOLES]]-Tabla1[[#This Row],[PC]]</f>
        <v>959.74296959999992</v>
      </c>
    </row>
    <row r="1247" spans="1:10" x14ac:dyDescent="0.25">
      <c r="A1247" s="3" t="s">
        <v>2776</v>
      </c>
      <c r="B1247" s="3" t="s">
        <v>2777</v>
      </c>
      <c r="C1247" s="1">
        <v>0</v>
      </c>
      <c r="D1247" s="1">
        <v>1086.1199999999999</v>
      </c>
      <c r="E1247" s="1" t="s">
        <v>2611</v>
      </c>
      <c r="F1247" s="1" t="s">
        <v>5027</v>
      </c>
      <c r="G1247" s="3" t="s">
        <v>2778</v>
      </c>
      <c r="H1247" s="12" cm="1">
        <f t="array" ref="H1247">_xlfn.IFS(I1247&lt;197,I1247*1.26,I1247&gt;197,I1247*1.17) + IF(I1247&gt;1000,17,0)</f>
        <v>5115.2907247999983</v>
      </c>
      <c r="I1247" s="10">
        <f>($K$2+0.02)*Tabla1[[#This Row],[PRECIO $]]*1.18</f>
        <v>4357.5134399999988</v>
      </c>
      <c r="J1247" s="7">
        <f>+Tabla1[[#This Row],[PRECIO EN SOLES]]-Tabla1[[#This Row],[PC]]</f>
        <v>757.77728479999951</v>
      </c>
    </row>
    <row r="1248" spans="1:10" x14ac:dyDescent="0.25">
      <c r="A1248" s="3" t="s">
        <v>2779</v>
      </c>
      <c r="B1248" s="3" t="s">
        <v>2780</v>
      </c>
      <c r="C1248" s="1">
        <v>18</v>
      </c>
      <c r="D1248" s="1">
        <v>1361.69</v>
      </c>
      <c r="E1248" s="1" t="s">
        <v>2611</v>
      </c>
      <c r="F1248" s="1" t="s">
        <v>5028</v>
      </c>
      <c r="G1248" s="3"/>
      <c r="H1248" s="12" cm="1">
        <f t="array" ref="H1248">_xlfn.IFS(I1248&lt;197,I1248*1.26,I1248&gt;197,I1248*1.17) + IF(I1248&gt;1000,17,0)</f>
        <v>6408.8273275999991</v>
      </c>
      <c r="I1248" s="10">
        <f>($K$2+0.02)*Tabla1[[#This Row],[PRECIO $]]*1.18</f>
        <v>5463.1002799999997</v>
      </c>
      <c r="J1248" s="7">
        <f>+Tabla1[[#This Row],[PRECIO EN SOLES]]-Tabla1[[#This Row],[PC]]</f>
        <v>945.72704759999942</v>
      </c>
    </row>
    <row r="1249" spans="1:10" x14ac:dyDescent="0.25">
      <c r="A1249" s="3" t="s">
        <v>2781</v>
      </c>
      <c r="B1249" s="3" t="s">
        <v>2782</v>
      </c>
      <c r="C1249" s="1">
        <v>11</v>
      </c>
      <c r="D1249" s="1">
        <v>810</v>
      </c>
      <c r="E1249" s="1" t="s">
        <v>2611</v>
      </c>
      <c r="F1249" s="1" t="s">
        <v>5029</v>
      </c>
      <c r="G1249" s="3"/>
      <c r="H1249" s="12" cm="1">
        <f t="array" ref="H1249">_xlfn.IFS(I1249&lt;197,I1249*1.26,I1249&gt;197,I1249*1.17) + IF(I1249&gt;1000,17,0)</f>
        <v>3819.1723999999995</v>
      </c>
      <c r="I1249" s="10">
        <f>($K$2+0.02)*Tabla1[[#This Row],[PRECIO $]]*1.18</f>
        <v>3249.72</v>
      </c>
      <c r="J1249" s="7">
        <f>+Tabla1[[#This Row],[PRECIO EN SOLES]]-Tabla1[[#This Row],[PC]]</f>
        <v>569.45239999999967</v>
      </c>
    </row>
    <row r="1250" spans="1:10" x14ac:dyDescent="0.25">
      <c r="A1250" s="3" t="s">
        <v>2783</v>
      </c>
      <c r="B1250" s="3" t="s">
        <v>2784</v>
      </c>
      <c r="C1250" s="1">
        <v>11</v>
      </c>
      <c r="D1250" s="1">
        <v>970</v>
      </c>
      <c r="E1250" s="1" t="s">
        <v>2611</v>
      </c>
      <c r="F1250" s="1" t="s">
        <v>5030</v>
      </c>
      <c r="G1250" s="3" t="s">
        <v>2785</v>
      </c>
      <c r="H1250" s="12" cm="1">
        <f t="array" ref="H1250">_xlfn.IFS(I1250&lt;197,I1250*1.26,I1250&gt;197,I1250*1.17) + IF(I1250&gt;1000,17,0)</f>
        <v>4570.2187999999996</v>
      </c>
      <c r="I1250" s="10">
        <f>($K$2+0.02)*Tabla1[[#This Row],[PRECIO $]]*1.18</f>
        <v>3891.64</v>
      </c>
      <c r="J1250" s="7">
        <f>+Tabla1[[#This Row],[PRECIO EN SOLES]]-Tabla1[[#This Row],[PC]]</f>
        <v>678.57879999999977</v>
      </c>
    </row>
    <row r="1251" spans="1:10" x14ac:dyDescent="0.25">
      <c r="A1251" s="3" t="s">
        <v>3860</v>
      </c>
      <c r="B1251" s="3" t="s">
        <v>3861</v>
      </c>
      <c r="C1251" s="1">
        <v>11</v>
      </c>
      <c r="D1251" s="1">
        <v>445.82</v>
      </c>
      <c r="E1251" s="1" t="s">
        <v>2611</v>
      </c>
      <c r="F1251" s="1" t="s">
        <v>5031</v>
      </c>
      <c r="G1251" s="3"/>
      <c r="H1251" s="12" cm="1">
        <f t="array" ref="H1251">_xlfn.IFS(I1251&lt;197,I1251*1.26,I1251&gt;197,I1251*1.17) + IF(I1251&gt;1000,17,0)</f>
        <v>2109.6969127999996</v>
      </c>
      <c r="I1251" s="10">
        <f>($K$2+0.02)*Tabla1[[#This Row],[PRECIO $]]*1.18</f>
        <v>1788.6298399999998</v>
      </c>
      <c r="J1251" s="7">
        <f>+Tabla1[[#This Row],[PRECIO EN SOLES]]-Tabla1[[#This Row],[PC]]</f>
        <v>321.06707279999978</v>
      </c>
    </row>
    <row r="1252" spans="1:10" x14ac:dyDescent="0.25">
      <c r="A1252" s="3" t="s">
        <v>2786</v>
      </c>
      <c r="B1252" s="3" t="s">
        <v>2787</v>
      </c>
      <c r="C1252" s="1">
        <v>15</v>
      </c>
      <c r="D1252" s="1">
        <v>750</v>
      </c>
      <c r="E1252" s="1" t="s">
        <v>2611</v>
      </c>
      <c r="F1252" s="1" t="s">
        <v>5032</v>
      </c>
      <c r="G1252" s="3"/>
      <c r="H1252" s="12" cm="1">
        <f t="array" ref="H1252">_xlfn.IFS(I1252&lt;197,I1252*1.26,I1252&gt;197,I1252*1.17) + IF(I1252&gt;1000,17,0)</f>
        <v>3537.5299999999997</v>
      </c>
      <c r="I1252" s="10">
        <f>($K$2+0.02)*Tabla1[[#This Row],[PRECIO $]]*1.18</f>
        <v>3009</v>
      </c>
      <c r="J1252" s="7">
        <f>+Tabla1[[#This Row],[PRECIO EN SOLES]]-Tabla1[[#This Row],[PC]]</f>
        <v>528.52999999999975</v>
      </c>
    </row>
    <row r="1253" spans="1:10" x14ac:dyDescent="0.25">
      <c r="A1253" s="3" t="s">
        <v>2788</v>
      </c>
      <c r="B1253" s="3" t="s">
        <v>2789</v>
      </c>
      <c r="C1253" s="1">
        <v>13</v>
      </c>
      <c r="D1253" s="1">
        <v>542.54</v>
      </c>
      <c r="E1253" s="1" t="s">
        <v>2611</v>
      </c>
      <c r="F1253" s="1" t="s">
        <v>5033</v>
      </c>
      <c r="G1253" s="3"/>
      <c r="H1253" s="12" cm="1">
        <f t="array" ref="H1253">_xlfn.IFS(I1253&lt;197,I1253*1.26,I1253&gt;197,I1253*1.17) + IF(I1253&gt;1000,17,0)</f>
        <v>2563.7044615999994</v>
      </c>
      <c r="I1253" s="10">
        <f>($K$2+0.02)*Tabla1[[#This Row],[PRECIO $]]*1.18</f>
        <v>2176.6704799999998</v>
      </c>
      <c r="J1253" s="7">
        <f>+Tabla1[[#This Row],[PRECIO EN SOLES]]-Tabla1[[#This Row],[PC]]</f>
        <v>387.03398159999961</v>
      </c>
    </row>
    <row r="1254" spans="1:10" x14ac:dyDescent="0.25">
      <c r="A1254" s="3" t="s">
        <v>512</v>
      </c>
      <c r="B1254" s="3" t="s">
        <v>513</v>
      </c>
      <c r="C1254" s="1">
        <v>20</v>
      </c>
      <c r="D1254" s="1">
        <v>7.04</v>
      </c>
      <c r="E1254" s="1" t="s">
        <v>502</v>
      </c>
      <c r="F1254" s="1" t="s">
        <v>5034</v>
      </c>
      <c r="G1254" s="3" t="s">
        <v>514</v>
      </c>
      <c r="H1254" s="12" cm="1">
        <f t="array" ref="H1254">_xlfn.IFS(I1254&lt;197,I1254*1.26,I1254&gt;197,I1254*1.17) + IF(I1254&gt;1000,17,0)</f>
        <v>35.588044799999999</v>
      </c>
      <c r="I1254" s="10">
        <f>($K$2+0.02)*Tabla1[[#This Row],[PRECIO $]]*1.18</f>
        <v>28.244479999999999</v>
      </c>
      <c r="J1254" s="7">
        <f>+Tabla1[[#This Row],[PRECIO EN SOLES]]-Tabla1[[#This Row],[PC]]</f>
        <v>7.3435647999999993</v>
      </c>
    </row>
    <row r="1255" spans="1:10" x14ac:dyDescent="0.25">
      <c r="A1255" s="3" t="s">
        <v>5701</v>
      </c>
      <c r="B1255" s="3" t="s">
        <v>5702</v>
      </c>
      <c r="C1255" s="1">
        <v>20</v>
      </c>
      <c r="D1255" s="1">
        <v>5.13</v>
      </c>
      <c r="E1255" s="1" t="s">
        <v>502</v>
      </c>
      <c r="F1255" s="1" t="s">
        <v>5703</v>
      </c>
      <c r="G1255" s="3" t="s">
        <v>5704</v>
      </c>
      <c r="H1255" s="12" cm="1">
        <f t="array" ref="H1255">_xlfn.IFS(I1255&lt;197,I1255*1.26,I1255&gt;197,I1255*1.17) + IF(I1255&gt;1000,17,0)</f>
        <v>25.9327656</v>
      </c>
      <c r="I1255" s="10">
        <f>($K$2+0.02)*Tabla1[[#This Row],[PRECIO $]]*1.18</f>
        <v>20.58156</v>
      </c>
      <c r="J1255" s="7">
        <f>+Tabla1[[#This Row],[PRECIO EN SOLES]]-Tabla1[[#This Row],[PC]]</f>
        <v>5.3512056000000001</v>
      </c>
    </row>
    <row r="1256" spans="1:10" x14ac:dyDescent="0.25">
      <c r="A1256" s="3" t="s">
        <v>6405</v>
      </c>
      <c r="B1256" s="3" t="s">
        <v>6406</v>
      </c>
      <c r="C1256" s="1">
        <v>20</v>
      </c>
      <c r="D1256" s="1">
        <v>9.7899999999999991</v>
      </c>
      <c r="E1256" s="1" t="s">
        <v>502</v>
      </c>
      <c r="F1256" s="1" t="s">
        <v>6407</v>
      </c>
      <c r="G1256" s="3" t="s">
        <v>6408</v>
      </c>
      <c r="H1256" s="12" cm="1">
        <f t="array" ref="H1256">_xlfn.IFS(I1256&lt;197,I1256*1.26,I1256&gt;197,I1256*1.17) + IF(I1256&gt;1000,17,0)</f>
        <v>49.489624799999987</v>
      </c>
      <c r="I1256" s="10">
        <f>($K$2+0.02)*Tabla1[[#This Row],[PRECIO $]]*1.18</f>
        <v>39.27747999999999</v>
      </c>
      <c r="J1256" s="7">
        <f>+Tabla1[[#This Row],[PRECIO EN SOLES]]-Tabla1[[#This Row],[PC]]</f>
        <v>10.212144799999997</v>
      </c>
    </row>
    <row r="1257" spans="1:10" x14ac:dyDescent="0.25">
      <c r="A1257" s="3" t="s">
        <v>6409</v>
      </c>
      <c r="B1257" s="3" t="s">
        <v>6410</v>
      </c>
      <c r="C1257" s="1">
        <v>20</v>
      </c>
      <c r="D1257" s="1">
        <v>14.97</v>
      </c>
      <c r="E1257" s="1" t="s">
        <v>502</v>
      </c>
      <c r="F1257" s="1" t="s">
        <v>6411</v>
      </c>
      <c r="G1257" s="3" t="s">
        <v>6412</v>
      </c>
      <c r="H1257" s="12" cm="1">
        <f t="array" ref="H1257">_xlfn.IFS(I1257&lt;197,I1257*1.26,I1257&gt;197,I1257*1.17) + IF(I1257&gt;1000,17,0)</f>
        <v>75.675146400000003</v>
      </c>
      <c r="I1257" s="10">
        <f>($K$2+0.02)*Tabla1[[#This Row],[PRECIO $]]*1.18</f>
        <v>60.059640000000002</v>
      </c>
      <c r="J1257" s="7">
        <f>+Tabla1[[#This Row],[PRECIO EN SOLES]]-Tabla1[[#This Row],[PC]]</f>
        <v>15.615506400000001</v>
      </c>
    </row>
    <row r="1258" spans="1:10" x14ac:dyDescent="0.25">
      <c r="A1258" s="3" t="s">
        <v>2790</v>
      </c>
      <c r="B1258" s="3" t="s">
        <v>2791</v>
      </c>
      <c r="C1258" s="1">
        <v>19</v>
      </c>
      <c r="D1258" s="1">
        <v>74.27</v>
      </c>
      <c r="E1258" s="1" t="s">
        <v>502</v>
      </c>
      <c r="F1258" s="1" t="s">
        <v>5035</v>
      </c>
      <c r="G1258" s="3" t="s">
        <v>2792</v>
      </c>
      <c r="H1258" s="12" cm="1">
        <f t="array" ref="H1258">_xlfn.IFS(I1258&lt;197,I1258*1.26,I1258&gt;197,I1258*1.17) + IF(I1258&gt;1000,17,0)</f>
        <v>348.62635079999995</v>
      </c>
      <c r="I1258" s="10">
        <f>($K$2+0.02)*Tabla1[[#This Row],[PRECIO $]]*1.18</f>
        <v>297.97123999999997</v>
      </c>
      <c r="J1258" s="7">
        <f>+Tabla1[[#This Row],[PRECIO EN SOLES]]-Tabla1[[#This Row],[PC]]</f>
        <v>50.655110799999989</v>
      </c>
    </row>
    <row r="1259" spans="1:10" x14ac:dyDescent="0.25">
      <c r="A1259" s="3" t="s">
        <v>6413</v>
      </c>
      <c r="B1259" s="3" t="s">
        <v>6414</v>
      </c>
      <c r="C1259" s="1">
        <v>20</v>
      </c>
      <c r="D1259" s="1">
        <v>42.74</v>
      </c>
      <c r="E1259" s="1" t="s">
        <v>502</v>
      </c>
      <c r="F1259" s="1" t="s">
        <v>6415</v>
      </c>
      <c r="G1259" s="3" t="s">
        <v>6416</v>
      </c>
      <c r="H1259" s="12" cm="1">
        <f t="array" ref="H1259">_xlfn.IFS(I1259&lt;197,I1259*1.26,I1259&gt;197,I1259*1.17) + IF(I1259&gt;1000,17,0)</f>
        <v>216.0558288</v>
      </c>
      <c r="I1259" s="10">
        <f>($K$2+0.02)*Tabla1[[#This Row],[PRECIO $]]*1.18</f>
        <v>171.47288</v>
      </c>
      <c r="J1259" s="7">
        <f>+Tabla1[[#This Row],[PRECIO EN SOLES]]-Tabla1[[#This Row],[PC]]</f>
        <v>44.582948799999997</v>
      </c>
    </row>
    <row r="1260" spans="1:10" x14ac:dyDescent="0.25">
      <c r="A1260" s="3" t="s">
        <v>6417</v>
      </c>
      <c r="B1260" s="3" t="s">
        <v>6418</v>
      </c>
      <c r="C1260" s="1">
        <v>20</v>
      </c>
      <c r="D1260" s="1">
        <v>58.5</v>
      </c>
      <c r="E1260" s="1" t="s">
        <v>502</v>
      </c>
      <c r="F1260" s="1" t="s">
        <v>6419</v>
      </c>
      <c r="G1260" s="3" t="s">
        <v>6420</v>
      </c>
      <c r="H1260" s="12" cm="1">
        <f t="array" ref="H1260">_xlfn.IFS(I1260&lt;197,I1260*1.26,I1260&gt;197,I1260*1.17) + IF(I1260&gt;1000,17,0)</f>
        <v>274.60133999999999</v>
      </c>
      <c r="I1260" s="10">
        <f>($K$2+0.02)*Tabla1[[#This Row],[PRECIO $]]*1.18</f>
        <v>234.702</v>
      </c>
      <c r="J1260" s="7">
        <f>+Tabla1[[#This Row],[PRECIO EN SOLES]]-Tabla1[[#This Row],[PC]]</f>
        <v>39.899339999999995</v>
      </c>
    </row>
    <row r="1261" spans="1:10" x14ac:dyDescent="0.25">
      <c r="A1261" s="3" t="s">
        <v>6421</v>
      </c>
      <c r="B1261" s="3" t="s">
        <v>6422</v>
      </c>
      <c r="C1261" s="1">
        <v>20</v>
      </c>
      <c r="D1261" s="1">
        <v>14.23</v>
      </c>
      <c r="E1261" s="1" t="s">
        <v>502</v>
      </c>
      <c r="F1261" s="1" t="s">
        <v>6423</v>
      </c>
      <c r="G1261" s="3"/>
      <c r="H1261" s="12" cm="1">
        <f t="array" ref="H1261">_xlfn.IFS(I1261&lt;197,I1261*1.26,I1261&gt;197,I1261*1.17) + IF(I1261&gt;1000,17,0)</f>
        <v>71.934357599999998</v>
      </c>
      <c r="I1261" s="10">
        <f>($K$2+0.02)*Tabla1[[#This Row],[PRECIO $]]*1.18</f>
        <v>57.090759999999996</v>
      </c>
      <c r="J1261" s="7">
        <f>+Tabla1[[#This Row],[PRECIO EN SOLES]]-Tabla1[[#This Row],[PC]]</f>
        <v>14.843597600000003</v>
      </c>
    </row>
    <row r="1262" spans="1:10" x14ac:dyDescent="0.25">
      <c r="A1262" s="3" t="s">
        <v>6424</v>
      </c>
      <c r="B1262" s="3" t="s">
        <v>6425</v>
      </c>
      <c r="C1262" s="1">
        <v>20</v>
      </c>
      <c r="D1262" s="1">
        <v>18</v>
      </c>
      <c r="E1262" s="1" t="s">
        <v>502</v>
      </c>
      <c r="F1262" s="1" t="s">
        <v>6426</v>
      </c>
      <c r="G1262" s="3"/>
      <c r="H1262" s="12" cm="1">
        <f t="array" ref="H1262">_xlfn.IFS(I1262&lt;197,I1262*1.26,I1262&gt;197,I1262*1.17) + IF(I1262&gt;1000,17,0)</f>
        <v>90.992159999999998</v>
      </c>
      <c r="I1262" s="10">
        <f>($K$2+0.02)*Tabla1[[#This Row],[PRECIO $]]*1.18</f>
        <v>72.215999999999994</v>
      </c>
      <c r="J1262" s="7">
        <f>+Tabla1[[#This Row],[PRECIO EN SOLES]]-Tabla1[[#This Row],[PC]]</f>
        <v>18.776160000000004</v>
      </c>
    </row>
    <row r="1263" spans="1:10" x14ac:dyDescent="0.25">
      <c r="A1263" s="3" t="s">
        <v>6427</v>
      </c>
      <c r="B1263" s="3" t="s">
        <v>6428</v>
      </c>
      <c r="C1263" s="1">
        <v>20</v>
      </c>
      <c r="D1263" s="1">
        <v>45.51</v>
      </c>
      <c r="E1263" s="1" t="s">
        <v>502</v>
      </c>
      <c r="F1263" s="1" t="s">
        <v>6429</v>
      </c>
      <c r="G1263" s="3" t="s">
        <v>6430</v>
      </c>
      <c r="H1263" s="12" cm="1">
        <f t="array" ref="H1263">_xlfn.IFS(I1263&lt;197,I1263*1.26,I1263&gt;197,I1263*1.17) + IF(I1263&gt;1000,17,0)</f>
        <v>230.05851119999997</v>
      </c>
      <c r="I1263" s="10">
        <f>($K$2+0.02)*Tabla1[[#This Row],[PRECIO $]]*1.18</f>
        <v>182.58611999999997</v>
      </c>
      <c r="J1263" s="7">
        <f>+Tabla1[[#This Row],[PRECIO EN SOLES]]-Tabla1[[#This Row],[PC]]</f>
        <v>47.472391200000004</v>
      </c>
    </row>
    <row r="1264" spans="1:10" x14ac:dyDescent="0.25">
      <c r="A1264" s="3" t="s">
        <v>2793</v>
      </c>
      <c r="B1264" s="3" t="s">
        <v>2794</v>
      </c>
      <c r="C1264" s="1">
        <v>20</v>
      </c>
      <c r="D1264" s="1">
        <v>85.5</v>
      </c>
      <c r="E1264" s="1" t="s">
        <v>54</v>
      </c>
      <c r="F1264" s="1" t="s">
        <v>5036</v>
      </c>
      <c r="G1264" s="3" t="s">
        <v>2795</v>
      </c>
      <c r="H1264" s="12" cm="1">
        <f t="array" ref="H1264">_xlfn.IFS(I1264&lt;197,I1264*1.26,I1264&gt;197,I1264*1.17) + IF(I1264&gt;1000,17,0)</f>
        <v>401.34041999999994</v>
      </c>
      <c r="I1264" s="10">
        <f>($K$2+0.02)*Tabla1[[#This Row],[PRECIO $]]*1.18</f>
        <v>343.02599999999995</v>
      </c>
      <c r="J1264" s="7">
        <f>+Tabla1[[#This Row],[PRECIO EN SOLES]]-Tabla1[[#This Row],[PC]]</f>
        <v>58.314419999999984</v>
      </c>
    </row>
    <row r="1265" spans="1:10" x14ac:dyDescent="0.25">
      <c r="A1265" s="3" t="s">
        <v>2796</v>
      </c>
      <c r="B1265" s="3" t="s">
        <v>2797</v>
      </c>
      <c r="C1265" s="1">
        <v>4</v>
      </c>
      <c r="D1265" s="1">
        <v>3480</v>
      </c>
      <c r="E1265" s="1" t="s">
        <v>2611</v>
      </c>
      <c r="F1265" s="1" t="s">
        <v>5037</v>
      </c>
      <c r="G1265" s="3"/>
      <c r="H1265" s="12" cm="1">
        <f t="array" ref="H1265">_xlfn.IFS(I1265&lt;197,I1265*1.26,I1265&gt;197,I1265*1.17) + IF(I1265&gt;1000,17,0)</f>
        <v>16352.259199999997</v>
      </c>
      <c r="I1265" s="10">
        <f>($K$2+0.02)*Tabla1[[#This Row],[PRECIO $]]*1.18</f>
        <v>13961.759999999998</v>
      </c>
      <c r="J1265" s="7">
        <f>+Tabla1[[#This Row],[PRECIO EN SOLES]]-Tabla1[[#This Row],[PC]]</f>
        <v>2390.4991999999984</v>
      </c>
    </row>
    <row r="1266" spans="1:10" x14ac:dyDescent="0.25">
      <c r="A1266" s="3" t="s">
        <v>2798</v>
      </c>
      <c r="B1266" s="3" t="s">
        <v>2799</v>
      </c>
      <c r="C1266" s="1">
        <v>2</v>
      </c>
      <c r="D1266" s="1">
        <v>6343.56</v>
      </c>
      <c r="E1266" s="1" t="s">
        <v>2611</v>
      </c>
      <c r="F1266" s="1" t="s">
        <v>5038</v>
      </c>
      <c r="G1266" s="3"/>
      <c r="H1266" s="12" cm="1">
        <f t="array" ref="H1266">_xlfn.IFS(I1266&lt;197,I1266*1.26,I1266&gt;197,I1266*1.17) + IF(I1266&gt;1000,17,0)</f>
        <v>29793.924382399997</v>
      </c>
      <c r="I1266" s="10">
        <f>($K$2+0.02)*Tabla1[[#This Row],[PRECIO $]]*1.18</f>
        <v>25450.362719999997</v>
      </c>
      <c r="J1266" s="7">
        <f>+Tabla1[[#This Row],[PRECIO EN SOLES]]-Tabla1[[#This Row],[PC]]</f>
        <v>4343.5616623999995</v>
      </c>
    </row>
    <row r="1267" spans="1:10" x14ac:dyDescent="0.25">
      <c r="A1267" s="3" t="s">
        <v>3862</v>
      </c>
      <c r="B1267" s="3" t="s">
        <v>3863</v>
      </c>
      <c r="C1267" s="1">
        <v>5</v>
      </c>
      <c r="D1267" s="1">
        <v>2900</v>
      </c>
      <c r="E1267" s="1" t="s">
        <v>2611</v>
      </c>
      <c r="F1267" s="1" t="s">
        <v>5039</v>
      </c>
      <c r="G1267" s="3" t="s">
        <v>3864</v>
      </c>
      <c r="H1267" s="12" cm="1">
        <f t="array" ref="H1267">_xlfn.IFS(I1267&lt;197,I1267*1.26,I1267&gt;197,I1267*1.17) + IF(I1267&gt;1000,17,0)</f>
        <v>13629.715999999999</v>
      </c>
      <c r="I1267" s="10">
        <f>($K$2+0.02)*Tabla1[[#This Row],[PRECIO $]]*1.18</f>
        <v>11634.8</v>
      </c>
      <c r="J1267" s="7">
        <f>+Tabla1[[#This Row],[PRECIO EN SOLES]]-Tabla1[[#This Row],[PC]]</f>
        <v>1994.9159999999993</v>
      </c>
    </row>
    <row r="1268" spans="1:10" x14ac:dyDescent="0.25">
      <c r="A1268" s="3" t="s">
        <v>2800</v>
      </c>
      <c r="B1268" s="3" t="s">
        <v>2801</v>
      </c>
      <c r="C1268" s="1">
        <v>1</v>
      </c>
      <c r="D1268" s="1">
        <v>14500</v>
      </c>
      <c r="E1268" s="1" t="s">
        <v>2611</v>
      </c>
      <c r="F1268" s="1" t="s">
        <v>5040</v>
      </c>
      <c r="G1268" s="3"/>
      <c r="H1268" s="12" cm="1">
        <f t="array" ref="H1268">_xlfn.IFS(I1268&lt;197,I1268*1.26,I1268&gt;197,I1268*1.17) + IF(I1268&gt;1000,17,0)</f>
        <v>68080.58</v>
      </c>
      <c r="I1268" s="10">
        <f>($K$2+0.02)*Tabla1[[#This Row],[PRECIO $]]*1.18</f>
        <v>58174</v>
      </c>
      <c r="J1268" s="7">
        <f>+Tabla1[[#This Row],[PRECIO EN SOLES]]-Tabla1[[#This Row],[PC]]</f>
        <v>9906.5800000000017</v>
      </c>
    </row>
    <row r="1269" spans="1:10" x14ac:dyDescent="0.25">
      <c r="A1269" s="3" t="s">
        <v>2802</v>
      </c>
      <c r="B1269" s="3" t="s">
        <v>2803</v>
      </c>
      <c r="C1269" s="1">
        <v>1</v>
      </c>
      <c r="D1269" s="1">
        <v>2090</v>
      </c>
      <c r="E1269" s="1" t="s">
        <v>2611</v>
      </c>
      <c r="F1269" s="1" t="s">
        <v>5041</v>
      </c>
      <c r="G1269" s="3"/>
      <c r="H1269" s="12" cm="1">
        <f t="array" ref="H1269">_xlfn.IFS(I1269&lt;197,I1269*1.26,I1269&gt;197,I1269*1.17) + IF(I1269&gt;1000,17,0)</f>
        <v>9827.5435999999991</v>
      </c>
      <c r="I1269" s="10">
        <f>($K$2+0.02)*Tabla1[[#This Row],[PRECIO $]]*1.18</f>
        <v>8385.08</v>
      </c>
      <c r="J1269" s="7">
        <f>+Tabla1[[#This Row],[PRECIO EN SOLES]]-Tabla1[[#This Row],[PC]]</f>
        <v>1442.4635999999991</v>
      </c>
    </row>
    <row r="1270" spans="1:10" x14ac:dyDescent="0.25">
      <c r="A1270" s="3" t="s">
        <v>2804</v>
      </c>
      <c r="B1270" s="3" t="s">
        <v>2805</v>
      </c>
      <c r="C1270" s="1">
        <v>6</v>
      </c>
      <c r="D1270" s="1">
        <v>1440.4</v>
      </c>
      <c r="E1270" s="1" t="s">
        <v>2611</v>
      </c>
      <c r="F1270" s="1" t="s">
        <v>5042</v>
      </c>
      <c r="G1270" s="3" t="s">
        <v>2806</v>
      </c>
      <c r="H1270" s="12" cm="1">
        <f t="array" ref="H1270">_xlfn.IFS(I1270&lt;197,I1270*1.26,I1270&gt;197,I1270*1.17) + IF(I1270&gt;1000,17,0)</f>
        <v>6778.2952160000004</v>
      </c>
      <c r="I1270" s="10">
        <f>($K$2+0.02)*Tabla1[[#This Row],[PRECIO $]]*1.18</f>
        <v>5778.8848000000007</v>
      </c>
      <c r="J1270" s="7">
        <f>+Tabla1[[#This Row],[PRECIO EN SOLES]]-Tabla1[[#This Row],[PC]]</f>
        <v>999.41041599999971</v>
      </c>
    </row>
    <row r="1271" spans="1:10" x14ac:dyDescent="0.25">
      <c r="A1271" s="3" t="s">
        <v>2807</v>
      </c>
      <c r="B1271" s="3" t="s">
        <v>2805</v>
      </c>
      <c r="C1271" s="1">
        <v>1</v>
      </c>
      <c r="D1271" s="1">
        <v>1396</v>
      </c>
      <c r="E1271" s="1" t="s">
        <v>2611</v>
      </c>
      <c r="F1271" s="1" t="s">
        <v>5043</v>
      </c>
      <c r="G1271" s="3"/>
      <c r="H1271" s="12" cm="1">
        <f t="array" ref="H1271">_xlfn.IFS(I1271&lt;197,I1271*1.26,I1271&gt;197,I1271*1.17) + IF(I1271&gt;1000,17,0)</f>
        <v>6569.8798399999987</v>
      </c>
      <c r="I1271" s="10">
        <f>($K$2+0.02)*Tabla1[[#This Row],[PRECIO $]]*1.18</f>
        <v>5600.7519999999995</v>
      </c>
      <c r="J1271" s="7">
        <f>+Tabla1[[#This Row],[PRECIO EN SOLES]]-Tabla1[[#This Row],[PC]]</f>
        <v>969.1278399999992</v>
      </c>
    </row>
    <row r="1272" spans="1:10" x14ac:dyDescent="0.25">
      <c r="A1272" s="3" t="s">
        <v>3865</v>
      </c>
      <c r="B1272" s="3" t="s">
        <v>3866</v>
      </c>
      <c r="C1272" s="1">
        <v>4</v>
      </c>
      <c r="D1272" s="1">
        <v>2600</v>
      </c>
      <c r="E1272" s="1" t="s">
        <v>2611</v>
      </c>
      <c r="F1272" s="1" t="s">
        <v>5044</v>
      </c>
      <c r="G1272" s="3" t="s">
        <v>3867</v>
      </c>
      <c r="H1272" s="12" cm="1">
        <f t="array" ref="H1272">_xlfn.IFS(I1272&lt;197,I1272*1.26,I1272&gt;197,I1272*1.17) + IF(I1272&gt;1000,17,0)</f>
        <v>12221.503999999997</v>
      </c>
      <c r="I1272" s="10">
        <f>($K$2+0.02)*Tabla1[[#This Row],[PRECIO $]]*1.18</f>
        <v>10431.199999999999</v>
      </c>
      <c r="J1272" s="7">
        <f>+Tabla1[[#This Row],[PRECIO EN SOLES]]-Tabla1[[#This Row],[PC]]</f>
        <v>1790.3039999999983</v>
      </c>
    </row>
    <row r="1273" spans="1:10" x14ac:dyDescent="0.25">
      <c r="A1273" s="3" t="s">
        <v>3519</v>
      </c>
      <c r="B1273" s="3" t="s">
        <v>2809</v>
      </c>
      <c r="C1273" s="1">
        <v>3</v>
      </c>
      <c r="D1273" s="1">
        <v>957.36</v>
      </c>
      <c r="E1273" s="1" t="s">
        <v>2611</v>
      </c>
      <c r="F1273" s="1" t="s">
        <v>5045</v>
      </c>
      <c r="G1273" s="3" t="s">
        <v>2810</v>
      </c>
      <c r="H1273" s="12" cm="1">
        <f t="array" ref="H1273">_xlfn.IFS(I1273&lt;197,I1273*1.26,I1273&gt;197,I1273*1.17) + IF(I1273&gt;1000,17,0)</f>
        <v>4510.8861343999988</v>
      </c>
      <c r="I1273" s="10">
        <f>($K$2+0.02)*Tabla1[[#This Row],[PRECIO $]]*1.18</f>
        <v>3840.9283199999995</v>
      </c>
      <c r="J1273" s="7">
        <f>+Tabla1[[#This Row],[PRECIO EN SOLES]]-Tabla1[[#This Row],[PC]]</f>
        <v>669.95781439999928</v>
      </c>
    </row>
    <row r="1274" spans="1:10" x14ac:dyDescent="0.25">
      <c r="A1274" s="3" t="s">
        <v>2808</v>
      </c>
      <c r="B1274" s="3" t="s">
        <v>2809</v>
      </c>
      <c r="C1274" s="1">
        <v>1</v>
      </c>
      <c r="D1274" s="1">
        <v>951.02</v>
      </c>
      <c r="E1274" s="1" t="s">
        <v>2611</v>
      </c>
      <c r="F1274" s="1" t="s">
        <v>5046</v>
      </c>
      <c r="G1274" s="3" t="s">
        <v>2810</v>
      </c>
      <c r="H1274" s="12" cm="1">
        <f t="array" ref="H1274">_xlfn.IFS(I1274&lt;197,I1274*1.26,I1274&gt;197,I1274*1.17) + IF(I1274&gt;1000,17,0)</f>
        <v>4481.1259207999992</v>
      </c>
      <c r="I1274" s="10">
        <f>($K$2+0.02)*Tabla1[[#This Row],[PRECIO $]]*1.18</f>
        <v>3815.4922399999996</v>
      </c>
      <c r="J1274" s="7">
        <f>+Tabla1[[#This Row],[PRECIO EN SOLES]]-Tabla1[[#This Row],[PC]]</f>
        <v>665.63368079999964</v>
      </c>
    </row>
    <row r="1275" spans="1:10" x14ac:dyDescent="0.25">
      <c r="A1275" s="3" t="s">
        <v>2811</v>
      </c>
      <c r="B1275" s="3" t="s">
        <v>2812</v>
      </c>
      <c r="C1275" s="1">
        <v>4</v>
      </c>
      <c r="D1275" s="1">
        <v>1844.5</v>
      </c>
      <c r="E1275" s="1" t="s">
        <v>2611</v>
      </c>
      <c r="F1275" s="1" t="s">
        <v>5047</v>
      </c>
      <c r="G1275" s="3" t="s">
        <v>2813</v>
      </c>
      <c r="H1275" s="12" cm="1">
        <f t="array" ref="H1275">_xlfn.IFS(I1275&lt;197,I1275*1.26,I1275&gt;197,I1275*1.17) + IF(I1275&gt;1000,17,0)</f>
        <v>8675.1567799999993</v>
      </c>
      <c r="I1275" s="10">
        <f>($K$2+0.02)*Tabla1[[#This Row],[PRECIO $]]*1.18</f>
        <v>7400.134</v>
      </c>
      <c r="J1275" s="7">
        <f>+Tabla1[[#This Row],[PRECIO EN SOLES]]-Tabla1[[#This Row],[PC]]</f>
        <v>1275.0227799999993</v>
      </c>
    </row>
    <row r="1276" spans="1:10" x14ac:dyDescent="0.25">
      <c r="A1276" s="3" t="s">
        <v>2814</v>
      </c>
      <c r="B1276" s="3" t="s">
        <v>2815</v>
      </c>
      <c r="C1276" s="1">
        <v>0</v>
      </c>
      <c r="D1276" s="1">
        <v>1300</v>
      </c>
      <c r="E1276" s="1" t="s">
        <v>2611</v>
      </c>
      <c r="F1276" s="1" t="s">
        <v>5048</v>
      </c>
      <c r="G1276" s="3" t="s">
        <v>2816</v>
      </c>
      <c r="H1276" s="12" cm="1">
        <f t="array" ref="H1276">_xlfn.IFS(I1276&lt;197,I1276*1.26,I1276&gt;197,I1276*1.17) + IF(I1276&gt;1000,17,0)</f>
        <v>6119.2519999999986</v>
      </c>
      <c r="I1276" s="10">
        <f>($K$2+0.02)*Tabla1[[#This Row],[PRECIO $]]*1.18</f>
        <v>5215.5999999999995</v>
      </c>
      <c r="J1276" s="7">
        <f>+Tabla1[[#This Row],[PRECIO EN SOLES]]-Tabla1[[#This Row],[PC]]</f>
        <v>903.65199999999913</v>
      </c>
    </row>
    <row r="1277" spans="1:10" x14ac:dyDescent="0.25">
      <c r="A1277" s="3" t="s">
        <v>2817</v>
      </c>
      <c r="B1277" s="3" t="s">
        <v>2818</v>
      </c>
      <c r="C1277" s="1">
        <v>4</v>
      </c>
      <c r="D1277" s="1">
        <v>4361.43</v>
      </c>
      <c r="E1277" s="1" t="s">
        <v>2611</v>
      </c>
      <c r="F1277" s="1" t="s">
        <v>5049</v>
      </c>
      <c r="G1277" s="3"/>
      <c r="H1277" s="12" cm="1">
        <f t="array" ref="H1277">_xlfn.IFS(I1277&lt;197,I1277*1.26,I1277&gt;197,I1277*1.17) + IF(I1277&gt;1000,17,0)</f>
        <v>20489.726877199999</v>
      </c>
      <c r="I1277" s="10">
        <f>($K$2+0.02)*Tabla1[[#This Row],[PRECIO $]]*1.18</f>
        <v>17498.05716</v>
      </c>
      <c r="J1277" s="7">
        <f>+Tabla1[[#This Row],[PRECIO EN SOLES]]-Tabla1[[#This Row],[PC]]</f>
        <v>2991.6697171999986</v>
      </c>
    </row>
    <row r="1278" spans="1:10" x14ac:dyDescent="0.25">
      <c r="A1278" s="3" t="s">
        <v>2819</v>
      </c>
      <c r="B1278" s="3" t="s">
        <v>2820</v>
      </c>
      <c r="C1278" s="1">
        <v>1</v>
      </c>
      <c r="D1278" s="1">
        <v>30000</v>
      </c>
      <c r="E1278" s="1" t="s">
        <v>2611</v>
      </c>
      <c r="F1278" s="1" t="s">
        <v>5050</v>
      </c>
      <c r="G1278" s="3"/>
      <c r="H1278" s="12" cm="1">
        <f t="array" ref="H1278">_xlfn.IFS(I1278&lt;197,I1278*1.26,I1278&gt;197,I1278*1.17) + IF(I1278&gt;1000,17,0)</f>
        <v>140838.19999999998</v>
      </c>
      <c r="I1278" s="10">
        <f>($K$2+0.02)*Tabla1[[#This Row],[PRECIO $]]*1.18</f>
        <v>120360</v>
      </c>
      <c r="J1278" s="7">
        <f>+Tabla1[[#This Row],[PRECIO EN SOLES]]-Tabla1[[#This Row],[PC]]</f>
        <v>20478.199999999983</v>
      </c>
    </row>
    <row r="1279" spans="1:10" x14ac:dyDescent="0.25">
      <c r="A1279" s="3" t="s">
        <v>2821</v>
      </c>
      <c r="B1279" s="3" t="s">
        <v>2822</v>
      </c>
      <c r="C1279" s="1">
        <v>5</v>
      </c>
      <c r="D1279" s="1">
        <v>130.05000000000001</v>
      </c>
      <c r="E1279" s="1" t="s">
        <v>502</v>
      </c>
      <c r="F1279" s="1" t="s">
        <v>5051</v>
      </c>
      <c r="G1279" s="3" t="s">
        <v>2823</v>
      </c>
      <c r="H1279" s="12" cm="1">
        <f t="array" ref="H1279">_xlfn.IFS(I1279&lt;197,I1279*1.26,I1279&gt;197,I1279*1.17) + IF(I1279&gt;1000,17,0)</f>
        <v>610.45990199999994</v>
      </c>
      <c r="I1279" s="10">
        <f>($K$2+0.02)*Tabla1[[#This Row],[PRECIO $]]*1.18</f>
        <v>521.76059999999995</v>
      </c>
      <c r="J1279" s="7">
        <f>+Tabla1[[#This Row],[PRECIO EN SOLES]]-Tabla1[[#This Row],[PC]]</f>
        <v>88.699301999999989</v>
      </c>
    </row>
    <row r="1280" spans="1:10" x14ac:dyDescent="0.25">
      <c r="A1280" s="3" t="s">
        <v>2824</v>
      </c>
      <c r="B1280" s="3" t="s">
        <v>2825</v>
      </c>
      <c r="C1280" s="1">
        <v>3</v>
      </c>
      <c r="D1280" s="1">
        <v>566.42999999999995</v>
      </c>
      <c r="E1280" s="1" t="s">
        <v>2611</v>
      </c>
      <c r="F1280" s="1" t="s">
        <v>5052</v>
      </c>
      <c r="G1280" s="3" t="s">
        <v>2826</v>
      </c>
      <c r="H1280" s="12" cm="1">
        <f t="array" ref="H1280">_xlfn.IFS(I1280&lt;197,I1280*1.26,I1280&gt;197,I1280*1.17) + IF(I1280&gt;1000,17,0)</f>
        <v>2675.8450771999997</v>
      </c>
      <c r="I1280" s="10">
        <f>($K$2+0.02)*Tabla1[[#This Row],[PRECIO $]]*1.18</f>
        <v>2272.5171599999999</v>
      </c>
      <c r="J1280" s="7">
        <f>+Tabla1[[#This Row],[PRECIO EN SOLES]]-Tabla1[[#This Row],[PC]]</f>
        <v>403.32791719999977</v>
      </c>
    </row>
    <row r="1281" spans="1:10" x14ac:dyDescent="0.25">
      <c r="A1281" s="3" t="s">
        <v>2827</v>
      </c>
      <c r="B1281" s="3" t="s">
        <v>2828</v>
      </c>
      <c r="C1281" s="1">
        <v>1</v>
      </c>
      <c r="D1281" s="1">
        <v>19</v>
      </c>
      <c r="E1281" s="1" t="s">
        <v>54</v>
      </c>
      <c r="F1281" s="1" t="s">
        <v>5053</v>
      </c>
      <c r="G1281" s="3"/>
      <c r="H1281" s="12" cm="1">
        <f t="array" ref="H1281">_xlfn.IFS(I1281&lt;197,I1281*1.26,I1281&gt;197,I1281*1.17) + IF(I1281&gt;1000,17,0)</f>
        <v>96.047280000000001</v>
      </c>
      <c r="I1281" s="10">
        <f>($K$2+0.02)*Tabla1[[#This Row],[PRECIO $]]*1.18</f>
        <v>76.227999999999994</v>
      </c>
      <c r="J1281" s="7">
        <f>+Tabla1[[#This Row],[PRECIO EN SOLES]]-Tabla1[[#This Row],[PC]]</f>
        <v>19.819280000000006</v>
      </c>
    </row>
    <row r="1282" spans="1:10" x14ac:dyDescent="0.25">
      <c r="A1282" s="3" t="s">
        <v>2829</v>
      </c>
      <c r="B1282" s="3" t="s">
        <v>2830</v>
      </c>
      <c r="C1282" s="1">
        <v>20</v>
      </c>
      <c r="D1282" s="1">
        <v>1.1000000000000001</v>
      </c>
      <c r="E1282" s="1" t="s">
        <v>54</v>
      </c>
      <c r="F1282" s="1" t="s">
        <v>5054</v>
      </c>
      <c r="G1282" s="3" t="s">
        <v>2831</v>
      </c>
      <c r="H1282" s="12" cm="1">
        <f t="array" ref="H1282">_xlfn.IFS(I1282&lt;197,I1282*1.26,I1282&gt;197,I1282*1.17) + IF(I1282&gt;1000,17,0)</f>
        <v>5.560632</v>
      </c>
      <c r="I1282" s="10">
        <f>($K$2+0.02)*Tabla1[[#This Row],[PRECIO $]]*1.18</f>
        <v>4.4131999999999998</v>
      </c>
      <c r="J1282" s="7">
        <f>+Tabla1[[#This Row],[PRECIO EN SOLES]]-Tabla1[[#This Row],[PC]]</f>
        <v>1.1474320000000002</v>
      </c>
    </row>
    <row r="1283" spans="1:10" x14ac:dyDescent="0.25">
      <c r="A1283" s="3" t="s">
        <v>2832</v>
      </c>
      <c r="B1283" s="3" t="s">
        <v>2833</v>
      </c>
      <c r="C1283" s="1">
        <v>0</v>
      </c>
      <c r="D1283" s="1">
        <v>9999999.9900000002</v>
      </c>
      <c r="E1283" s="1" t="s">
        <v>54</v>
      </c>
      <c r="F1283" s="1" t="s">
        <v>5055</v>
      </c>
      <c r="G1283" s="3"/>
      <c r="H1283" s="12" cm="1">
        <f t="array" ref="H1283">_xlfn.IFS(I1283&lt;197,I1283*1.26,I1283&gt;197,I1283*1.17) + IF(I1283&gt;1000,17,0)</f>
        <v>46940416.953059591</v>
      </c>
      <c r="I1283" s="10">
        <f>($K$2+0.02)*Tabla1[[#This Row],[PRECIO $]]*1.18</f>
        <v>40119999.959879994</v>
      </c>
      <c r="J1283" s="7">
        <f>+Tabla1[[#This Row],[PRECIO EN SOLES]]-Tabla1[[#This Row],[PC]]</f>
        <v>6820416.993179597</v>
      </c>
    </row>
    <row r="1284" spans="1:10" x14ac:dyDescent="0.25">
      <c r="A1284" s="3" t="s">
        <v>2834</v>
      </c>
      <c r="B1284" s="3" t="s">
        <v>2835</v>
      </c>
      <c r="C1284" s="1">
        <v>1</v>
      </c>
      <c r="D1284" s="1">
        <v>15</v>
      </c>
      <c r="E1284" s="1" t="s">
        <v>54</v>
      </c>
      <c r="F1284" s="1" t="s">
        <v>5056</v>
      </c>
      <c r="G1284" s="3"/>
      <c r="H1284" s="12" cm="1">
        <f t="array" ref="H1284">_xlfn.IFS(I1284&lt;197,I1284*1.26,I1284&gt;197,I1284*1.17) + IF(I1284&gt;1000,17,0)</f>
        <v>75.826800000000006</v>
      </c>
      <c r="I1284" s="10">
        <f>($K$2+0.02)*Tabla1[[#This Row],[PRECIO $]]*1.18</f>
        <v>60.18</v>
      </c>
      <c r="J1284" s="7">
        <f>+Tabla1[[#This Row],[PRECIO EN SOLES]]-Tabla1[[#This Row],[PC]]</f>
        <v>15.646800000000006</v>
      </c>
    </row>
    <row r="1285" spans="1:10" x14ac:dyDescent="0.25">
      <c r="A1285" s="3" t="s">
        <v>2836</v>
      </c>
      <c r="B1285" s="3" t="s">
        <v>2837</v>
      </c>
      <c r="C1285" s="1">
        <v>1</v>
      </c>
      <c r="D1285" s="1">
        <v>23</v>
      </c>
      <c r="E1285" s="1" t="s">
        <v>54</v>
      </c>
      <c r="F1285" s="1" t="s">
        <v>5057</v>
      </c>
      <c r="G1285" s="3" t="s">
        <v>2838</v>
      </c>
      <c r="H1285" s="12" cm="1">
        <f t="array" ref="H1285">_xlfn.IFS(I1285&lt;197,I1285*1.26,I1285&gt;197,I1285*1.17) + IF(I1285&gt;1000,17,0)</f>
        <v>116.26776</v>
      </c>
      <c r="I1285" s="10">
        <f>($K$2+0.02)*Tabla1[[#This Row],[PRECIO $]]*1.18</f>
        <v>92.275999999999996</v>
      </c>
      <c r="J1285" s="7">
        <f>+Tabla1[[#This Row],[PRECIO EN SOLES]]-Tabla1[[#This Row],[PC]]</f>
        <v>23.991759999999999</v>
      </c>
    </row>
    <row r="1286" spans="1:10" x14ac:dyDescent="0.25">
      <c r="A1286" s="3" t="s">
        <v>2839</v>
      </c>
      <c r="B1286" s="3" t="s">
        <v>2840</v>
      </c>
      <c r="C1286" s="1">
        <v>0</v>
      </c>
      <c r="D1286" s="1">
        <v>30</v>
      </c>
      <c r="E1286" s="1" t="s">
        <v>54</v>
      </c>
      <c r="F1286" s="1" t="s">
        <v>5058</v>
      </c>
      <c r="G1286" s="3"/>
      <c r="H1286" s="12" cm="1">
        <f t="array" ref="H1286">_xlfn.IFS(I1286&lt;197,I1286*1.26,I1286&gt;197,I1286*1.17) + IF(I1286&gt;1000,17,0)</f>
        <v>151.65360000000001</v>
      </c>
      <c r="I1286" s="10">
        <f>($K$2+0.02)*Tabla1[[#This Row],[PRECIO $]]*1.18</f>
        <v>120.36</v>
      </c>
      <c r="J1286" s="7">
        <f>+Tabla1[[#This Row],[PRECIO EN SOLES]]-Tabla1[[#This Row],[PC]]</f>
        <v>31.293600000000012</v>
      </c>
    </row>
    <row r="1287" spans="1:10" x14ac:dyDescent="0.25">
      <c r="A1287" s="3" t="s">
        <v>2841</v>
      </c>
      <c r="B1287" s="3" t="s">
        <v>2842</v>
      </c>
      <c r="C1287" s="1">
        <v>1</v>
      </c>
      <c r="D1287" s="1">
        <v>85</v>
      </c>
      <c r="E1287" s="1" t="s">
        <v>1002</v>
      </c>
      <c r="F1287" s="1" t="s">
        <v>5059</v>
      </c>
      <c r="G1287" s="3" t="s">
        <v>2843</v>
      </c>
      <c r="H1287" s="12" cm="1">
        <f t="array" ref="H1287">_xlfn.IFS(I1287&lt;197,I1287*1.26,I1287&gt;197,I1287*1.17) + IF(I1287&gt;1000,17,0)</f>
        <v>398.99339999999995</v>
      </c>
      <c r="I1287" s="10">
        <f>($K$2+0.02)*Tabla1[[#This Row],[PRECIO $]]*1.18</f>
        <v>341.02</v>
      </c>
      <c r="J1287" s="7">
        <f>+Tabla1[[#This Row],[PRECIO EN SOLES]]-Tabla1[[#This Row],[PC]]</f>
        <v>57.97339999999997</v>
      </c>
    </row>
    <row r="1288" spans="1:10" x14ac:dyDescent="0.25">
      <c r="A1288" s="3" t="s">
        <v>2844</v>
      </c>
      <c r="B1288" s="3" t="s">
        <v>2845</v>
      </c>
      <c r="C1288" s="1">
        <v>3</v>
      </c>
      <c r="D1288" s="1">
        <v>48</v>
      </c>
      <c r="E1288" s="1" t="s">
        <v>1396</v>
      </c>
      <c r="F1288" s="1" t="s">
        <v>5060</v>
      </c>
      <c r="G1288" s="3" t="s">
        <v>2846</v>
      </c>
      <c r="H1288" s="12" cm="1">
        <f t="array" ref="H1288">_xlfn.IFS(I1288&lt;197,I1288*1.26,I1288&gt;197,I1288*1.17) + IF(I1288&gt;1000,17,0)</f>
        <v>242.64575999999997</v>
      </c>
      <c r="I1288" s="10">
        <f>($K$2+0.02)*Tabla1[[#This Row],[PRECIO $]]*1.18</f>
        <v>192.57599999999996</v>
      </c>
      <c r="J1288" s="7">
        <f>+Tabla1[[#This Row],[PRECIO EN SOLES]]-Tabla1[[#This Row],[PC]]</f>
        <v>50.069760000000002</v>
      </c>
    </row>
    <row r="1289" spans="1:10" x14ac:dyDescent="0.25">
      <c r="A1289" s="3" t="s">
        <v>2847</v>
      </c>
      <c r="B1289" s="3" t="s">
        <v>2848</v>
      </c>
      <c r="C1289" s="1">
        <v>20</v>
      </c>
      <c r="D1289" s="1">
        <v>419.78</v>
      </c>
      <c r="E1289" s="1" t="s">
        <v>1396</v>
      </c>
      <c r="F1289" s="1" t="s">
        <v>5061</v>
      </c>
      <c r="G1289" s="3" t="s">
        <v>2849</v>
      </c>
      <c r="H1289" s="12" cm="1">
        <f t="array" ref="H1289">_xlfn.IFS(I1289&lt;197,I1289*1.26,I1289&gt;197,I1289*1.17) + IF(I1289&gt;1000,17,0)</f>
        <v>1987.4641111999997</v>
      </c>
      <c r="I1289" s="10">
        <f>($K$2+0.02)*Tabla1[[#This Row],[PRECIO $]]*1.18</f>
        <v>1684.1573599999999</v>
      </c>
      <c r="J1289" s="7">
        <f>+Tabla1[[#This Row],[PRECIO EN SOLES]]-Tabla1[[#This Row],[PC]]</f>
        <v>303.30675119999978</v>
      </c>
    </row>
    <row r="1290" spans="1:10" x14ac:dyDescent="0.25">
      <c r="A1290" s="3" t="s">
        <v>2850</v>
      </c>
      <c r="B1290" s="3" t="s">
        <v>2851</v>
      </c>
      <c r="C1290" s="1">
        <v>1</v>
      </c>
      <c r="D1290" s="1">
        <v>728.07</v>
      </c>
      <c r="E1290" s="1" t="s">
        <v>1396</v>
      </c>
      <c r="F1290" s="1" t="s">
        <v>5062</v>
      </c>
      <c r="G1290" s="3" t="s">
        <v>2852</v>
      </c>
      <c r="H1290" s="12" cm="1">
        <f t="array" ref="H1290">_xlfn.IFS(I1290&lt;197,I1290*1.26,I1290&gt;197,I1290*1.17) + IF(I1290&gt;1000,17,0)</f>
        <v>3434.5897027999995</v>
      </c>
      <c r="I1290" s="10">
        <f>($K$2+0.02)*Tabla1[[#This Row],[PRECIO $]]*1.18</f>
        <v>2921.0168399999998</v>
      </c>
      <c r="J1290" s="7">
        <f>+Tabla1[[#This Row],[PRECIO EN SOLES]]-Tabla1[[#This Row],[PC]]</f>
        <v>513.57286279999971</v>
      </c>
    </row>
    <row r="1291" spans="1:10" x14ac:dyDescent="0.25">
      <c r="A1291" s="3" t="s">
        <v>2853</v>
      </c>
      <c r="B1291" s="3" t="s">
        <v>2851</v>
      </c>
      <c r="C1291" s="1">
        <v>20</v>
      </c>
      <c r="D1291" s="1">
        <v>777.06</v>
      </c>
      <c r="E1291" s="1" t="s">
        <v>1396</v>
      </c>
      <c r="F1291" s="1" t="s">
        <v>5063</v>
      </c>
      <c r="G1291" s="3" t="s">
        <v>2852</v>
      </c>
      <c r="H1291" s="12" cm="1">
        <f t="array" ref="H1291">_xlfn.IFS(I1291&lt;197,I1291*1.26,I1291&gt;197,I1291*1.17) + IF(I1291&gt;1000,17,0)</f>
        <v>3664.5507223999998</v>
      </c>
      <c r="I1291" s="10">
        <f>($K$2+0.02)*Tabla1[[#This Row],[PRECIO $]]*1.18</f>
        <v>3117.5647199999999</v>
      </c>
      <c r="J1291" s="7">
        <f>+Tabla1[[#This Row],[PRECIO EN SOLES]]-Tabla1[[#This Row],[PC]]</f>
        <v>546.98600239999996</v>
      </c>
    </row>
    <row r="1292" spans="1:10" x14ac:dyDescent="0.25">
      <c r="A1292" s="3" t="s">
        <v>2854</v>
      </c>
      <c r="B1292" s="3" t="s">
        <v>2855</v>
      </c>
      <c r="C1292" s="1">
        <v>4</v>
      </c>
      <c r="D1292" s="1">
        <v>433.17</v>
      </c>
      <c r="E1292" s="1" t="s">
        <v>1396</v>
      </c>
      <c r="F1292" s="1" t="s">
        <v>5064</v>
      </c>
      <c r="G1292" s="3"/>
      <c r="H1292" s="12" cm="1">
        <f t="array" ref="H1292">_xlfn.IFS(I1292&lt;197,I1292*1.26,I1292&gt;197,I1292*1.17) + IF(I1292&gt;1000,17,0)</f>
        <v>2050.3173067999996</v>
      </c>
      <c r="I1292" s="10">
        <f>($K$2+0.02)*Tabla1[[#This Row],[PRECIO $]]*1.18</f>
        <v>1737.8780399999998</v>
      </c>
      <c r="J1292" s="7">
        <f>+Tabla1[[#This Row],[PRECIO EN SOLES]]-Tabla1[[#This Row],[PC]]</f>
        <v>312.43926679999981</v>
      </c>
    </row>
    <row r="1293" spans="1:10" x14ac:dyDescent="0.25">
      <c r="A1293" s="3" t="s">
        <v>2856</v>
      </c>
      <c r="B1293" s="3" t="s">
        <v>2857</v>
      </c>
      <c r="C1293" s="1">
        <v>20</v>
      </c>
      <c r="D1293" s="1">
        <v>484.55</v>
      </c>
      <c r="E1293" s="1" t="s">
        <v>1396</v>
      </c>
      <c r="F1293" s="1" t="s">
        <v>5065</v>
      </c>
      <c r="G1293" s="3"/>
      <c r="H1293" s="12" cm="1">
        <f t="array" ref="H1293">_xlfn.IFS(I1293&lt;197,I1293*1.26,I1293&gt;197,I1293*1.17) + IF(I1293&gt;1000,17,0)</f>
        <v>2291.4970819999999</v>
      </c>
      <c r="I1293" s="10">
        <f>($K$2+0.02)*Tabla1[[#This Row],[PRECIO $]]*1.18</f>
        <v>1944.0146</v>
      </c>
      <c r="J1293" s="7">
        <f>+Tabla1[[#This Row],[PRECIO EN SOLES]]-Tabla1[[#This Row],[PC]]</f>
        <v>347.48248199999989</v>
      </c>
    </row>
    <row r="1294" spans="1:10" x14ac:dyDescent="0.25">
      <c r="A1294" s="3" t="s">
        <v>2858</v>
      </c>
      <c r="B1294" s="3" t="s">
        <v>2859</v>
      </c>
      <c r="C1294" s="1">
        <v>3</v>
      </c>
      <c r="D1294" s="1">
        <v>748.15</v>
      </c>
      <c r="E1294" s="1" t="s">
        <v>1396</v>
      </c>
      <c r="F1294" s="1" t="s">
        <v>5066</v>
      </c>
      <c r="G1294" s="3" t="s">
        <v>2860</v>
      </c>
      <c r="H1294" s="12" cm="1">
        <f t="array" ref="H1294">_xlfn.IFS(I1294&lt;197,I1294*1.26,I1294&gt;197,I1294*1.17) + IF(I1294&gt;1000,17,0)</f>
        <v>3528.8460259999997</v>
      </c>
      <c r="I1294" s="10">
        <f>($K$2+0.02)*Tabla1[[#This Row],[PRECIO $]]*1.18</f>
        <v>3001.5778</v>
      </c>
      <c r="J1294" s="7">
        <f>+Tabla1[[#This Row],[PRECIO EN SOLES]]-Tabla1[[#This Row],[PC]]</f>
        <v>527.26822599999969</v>
      </c>
    </row>
    <row r="1295" spans="1:10" x14ac:dyDescent="0.25">
      <c r="A1295" s="3" t="s">
        <v>2861</v>
      </c>
      <c r="B1295" s="3" t="s">
        <v>2862</v>
      </c>
      <c r="C1295" s="1">
        <v>4</v>
      </c>
      <c r="D1295" s="1">
        <v>257.18</v>
      </c>
      <c r="E1295" s="1" t="s">
        <v>1460</v>
      </c>
      <c r="F1295" s="1" t="s">
        <v>5067</v>
      </c>
      <c r="G1295" s="3" t="s">
        <v>2863</v>
      </c>
      <c r="H1295" s="12" cm="1">
        <f t="array" ref="H1295">_xlfn.IFS(I1295&lt;197,I1295*1.26,I1295&gt;197,I1295*1.17) + IF(I1295&gt;1000,17,0)</f>
        <v>1224.2132071999999</v>
      </c>
      <c r="I1295" s="10">
        <f>($K$2+0.02)*Tabla1[[#This Row],[PRECIO $]]*1.18</f>
        <v>1031.8061600000001</v>
      </c>
      <c r="J1295" s="7">
        <f>+Tabla1[[#This Row],[PRECIO EN SOLES]]-Tabla1[[#This Row],[PC]]</f>
        <v>192.40704719999985</v>
      </c>
    </row>
    <row r="1296" spans="1:10" x14ac:dyDescent="0.25">
      <c r="A1296" s="3" t="s">
        <v>3868</v>
      </c>
      <c r="B1296" s="3" t="s">
        <v>3869</v>
      </c>
      <c r="C1296" s="1">
        <v>8</v>
      </c>
      <c r="D1296" s="1">
        <v>431.35</v>
      </c>
      <c r="E1296" s="1" t="s">
        <v>1460</v>
      </c>
      <c r="F1296" s="1" t="s">
        <v>5068</v>
      </c>
      <c r="G1296" s="3" t="s">
        <v>3870</v>
      </c>
      <c r="H1296" s="12" cm="1">
        <f t="array" ref="H1296">_xlfn.IFS(I1296&lt;197,I1296*1.26,I1296&gt;197,I1296*1.17) + IF(I1296&gt;1000,17,0)</f>
        <v>2041.774154</v>
      </c>
      <c r="I1296" s="10">
        <f>($K$2+0.02)*Tabla1[[#This Row],[PRECIO $]]*1.18</f>
        <v>1730.5762</v>
      </c>
      <c r="J1296" s="7">
        <f>+Tabla1[[#This Row],[PRECIO EN SOLES]]-Tabla1[[#This Row],[PC]]</f>
        <v>311.19795399999998</v>
      </c>
    </row>
    <row r="1297" spans="1:10" x14ac:dyDescent="0.25">
      <c r="A1297" s="3" t="s">
        <v>2864</v>
      </c>
      <c r="B1297" s="3" t="s">
        <v>2865</v>
      </c>
      <c r="C1297" s="1">
        <v>2</v>
      </c>
      <c r="D1297" s="1">
        <v>528.04</v>
      </c>
      <c r="E1297" s="1" t="s">
        <v>1460</v>
      </c>
      <c r="F1297" s="1" t="s">
        <v>5069</v>
      </c>
      <c r="G1297" s="3" t="s">
        <v>2866</v>
      </c>
      <c r="H1297" s="12" cm="1">
        <f t="array" ref="H1297">_xlfn.IFS(I1297&lt;197,I1297*1.26,I1297&gt;197,I1297*1.17) + IF(I1297&gt;1000,17,0)</f>
        <v>2495.6408815999998</v>
      </c>
      <c r="I1297" s="10">
        <f>($K$2+0.02)*Tabla1[[#This Row],[PRECIO $]]*1.18</f>
        <v>2118.4964799999998</v>
      </c>
      <c r="J1297" s="7">
        <f>+Tabla1[[#This Row],[PRECIO EN SOLES]]-Tabla1[[#This Row],[PC]]</f>
        <v>377.14440160000004</v>
      </c>
    </row>
    <row r="1298" spans="1:10" x14ac:dyDescent="0.25">
      <c r="A1298" s="3" t="s">
        <v>2867</v>
      </c>
      <c r="B1298" s="3" t="s">
        <v>2868</v>
      </c>
      <c r="C1298" s="1">
        <v>20</v>
      </c>
      <c r="D1298" s="1">
        <v>816.21</v>
      </c>
      <c r="E1298" s="1" t="s">
        <v>1396</v>
      </c>
      <c r="F1298" s="1" t="s">
        <v>5070</v>
      </c>
      <c r="G1298" s="3"/>
      <c r="H1298" s="12" cm="1">
        <f t="array" ref="H1298">_xlfn.IFS(I1298&lt;197,I1298*1.26,I1298&gt;197,I1298*1.17) + IF(I1298&gt;1000,17,0)</f>
        <v>3848.3223883999999</v>
      </c>
      <c r="I1298" s="10">
        <f>($K$2+0.02)*Tabla1[[#This Row],[PRECIO $]]*1.18</f>
        <v>3274.6345200000001</v>
      </c>
      <c r="J1298" s="7">
        <f>+Tabla1[[#This Row],[PRECIO EN SOLES]]-Tabla1[[#This Row],[PC]]</f>
        <v>573.68786839999984</v>
      </c>
    </row>
    <row r="1299" spans="1:10" x14ac:dyDescent="0.25">
      <c r="A1299" s="3" t="s">
        <v>2869</v>
      </c>
      <c r="B1299" s="3" t="s">
        <v>2870</v>
      </c>
      <c r="C1299" s="1">
        <v>20</v>
      </c>
      <c r="D1299" s="1">
        <v>1407.88</v>
      </c>
      <c r="E1299" s="1" t="s">
        <v>1396</v>
      </c>
      <c r="F1299" s="1" t="s">
        <v>5071</v>
      </c>
      <c r="G1299" s="3"/>
      <c r="H1299" s="12" cm="1">
        <f t="array" ref="H1299">_xlfn.IFS(I1299&lt;197,I1299*1.26,I1299&gt;197,I1299*1.17) + IF(I1299&gt;1000,17,0)</f>
        <v>6625.6450352000002</v>
      </c>
      <c r="I1299" s="10">
        <f>($K$2+0.02)*Tabla1[[#This Row],[PRECIO $]]*1.18</f>
        <v>5648.4145600000002</v>
      </c>
      <c r="J1299" s="7">
        <f>+Tabla1[[#This Row],[PRECIO EN SOLES]]-Tabla1[[#This Row],[PC]]</f>
        <v>977.2304752</v>
      </c>
    </row>
    <row r="1300" spans="1:10" x14ac:dyDescent="0.25">
      <c r="A1300" s="3" t="s">
        <v>2871</v>
      </c>
      <c r="B1300" s="3" t="s">
        <v>2872</v>
      </c>
      <c r="C1300" s="1">
        <v>12</v>
      </c>
      <c r="D1300" s="1">
        <v>2382.2600000000002</v>
      </c>
      <c r="E1300" s="1" t="s">
        <v>1396</v>
      </c>
      <c r="F1300" s="1" t="s">
        <v>5072</v>
      </c>
      <c r="G1300" s="3"/>
      <c r="H1300" s="12" cm="1">
        <f t="array" ref="H1300">_xlfn.IFS(I1300&lt;197,I1300*1.26,I1300&gt;197,I1300*1.17) + IF(I1300&gt;1000,17,0)</f>
        <v>11199.423730399998</v>
      </c>
      <c r="I1300" s="10">
        <f>($K$2+0.02)*Tabla1[[#This Row],[PRECIO $]]*1.18</f>
        <v>9557.6271199999992</v>
      </c>
      <c r="J1300" s="7">
        <f>+Tabla1[[#This Row],[PRECIO EN SOLES]]-Tabla1[[#This Row],[PC]]</f>
        <v>1641.7966103999988</v>
      </c>
    </row>
    <row r="1301" spans="1:10" x14ac:dyDescent="0.25">
      <c r="A1301" s="3" t="s">
        <v>2873</v>
      </c>
      <c r="B1301" s="3" t="s">
        <v>2874</v>
      </c>
      <c r="C1301" s="1">
        <v>8</v>
      </c>
      <c r="D1301" s="1">
        <v>963.94</v>
      </c>
      <c r="E1301" s="1" t="s">
        <v>1396</v>
      </c>
      <c r="F1301" s="1" t="s">
        <v>5073</v>
      </c>
      <c r="G1301" s="3"/>
      <c r="H1301" s="12" cm="1">
        <f t="array" ref="H1301">_xlfn.IFS(I1301&lt;197,I1301*1.26,I1301&gt;197,I1301*1.17) + IF(I1301&gt;1000,17,0)</f>
        <v>4541.7729175999993</v>
      </c>
      <c r="I1301" s="10">
        <f>($K$2+0.02)*Tabla1[[#This Row],[PRECIO $]]*1.18</f>
        <v>3867.32728</v>
      </c>
      <c r="J1301" s="7">
        <f>+Tabla1[[#This Row],[PRECIO EN SOLES]]-Tabla1[[#This Row],[PC]]</f>
        <v>674.44563759999937</v>
      </c>
    </row>
    <row r="1302" spans="1:10" x14ac:dyDescent="0.25">
      <c r="A1302" s="3" t="s">
        <v>2875</v>
      </c>
      <c r="B1302" s="3" t="s">
        <v>2868</v>
      </c>
      <c r="C1302" s="1">
        <v>1</v>
      </c>
      <c r="D1302" s="1">
        <v>769.89</v>
      </c>
      <c r="E1302" s="1" t="s">
        <v>1396</v>
      </c>
      <c r="F1302" s="1" t="s">
        <v>5074</v>
      </c>
      <c r="G1302" s="3"/>
      <c r="H1302" s="12" cm="1">
        <f t="array" ref="H1302">_xlfn.IFS(I1302&lt;197,I1302*1.26,I1302&gt;197,I1302*1.17) + IF(I1302&gt;1000,17,0)</f>
        <v>3630.8944555999992</v>
      </c>
      <c r="I1302" s="10">
        <f>($K$2+0.02)*Tabla1[[#This Row],[PRECIO $]]*1.18</f>
        <v>3088.7986799999994</v>
      </c>
      <c r="J1302" s="7">
        <f>+Tabla1[[#This Row],[PRECIO EN SOLES]]-Tabla1[[#This Row],[PC]]</f>
        <v>542.0957755999998</v>
      </c>
    </row>
    <row r="1303" spans="1:10" x14ac:dyDescent="0.25">
      <c r="A1303" s="3" t="s">
        <v>2876</v>
      </c>
      <c r="B1303" s="3" t="s">
        <v>2877</v>
      </c>
      <c r="C1303" s="1">
        <v>1</v>
      </c>
      <c r="D1303" s="1">
        <v>330</v>
      </c>
      <c r="E1303" s="1" t="s">
        <v>1460</v>
      </c>
      <c r="F1303" s="1" t="s">
        <v>5075</v>
      </c>
      <c r="G1303" s="3"/>
      <c r="H1303" s="12" cm="1">
        <f t="array" ref="H1303">_xlfn.IFS(I1303&lt;197,I1303*1.26,I1303&gt;197,I1303*1.17) + IF(I1303&gt;1000,17,0)</f>
        <v>1566.0331999999999</v>
      </c>
      <c r="I1303" s="10">
        <f>($K$2+0.02)*Tabla1[[#This Row],[PRECIO $]]*1.18</f>
        <v>1323.96</v>
      </c>
      <c r="J1303" s="7">
        <f>+Tabla1[[#This Row],[PRECIO EN SOLES]]-Tabla1[[#This Row],[PC]]</f>
        <v>242.07319999999982</v>
      </c>
    </row>
    <row r="1304" spans="1:10" x14ac:dyDescent="0.25">
      <c r="A1304" s="3" t="s">
        <v>2878</v>
      </c>
      <c r="B1304" s="3" t="s">
        <v>2879</v>
      </c>
      <c r="C1304" s="1">
        <v>7</v>
      </c>
      <c r="D1304" s="1">
        <v>1800</v>
      </c>
      <c r="E1304" s="1" t="s">
        <v>1396</v>
      </c>
      <c r="F1304" s="1" t="s">
        <v>5076</v>
      </c>
      <c r="G1304" s="3"/>
      <c r="H1304" s="12" cm="1">
        <f t="array" ref="H1304">_xlfn.IFS(I1304&lt;197,I1304*1.26,I1304&gt;197,I1304*1.17) + IF(I1304&gt;1000,17,0)</f>
        <v>8466.271999999999</v>
      </c>
      <c r="I1304" s="10">
        <f>($K$2+0.02)*Tabla1[[#This Row],[PRECIO $]]*1.18</f>
        <v>7221.5999999999995</v>
      </c>
      <c r="J1304" s="7">
        <f>+Tabla1[[#This Row],[PRECIO EN SOLES]]-Tabla1[[#This Row],[PC]]</f>
        <v>1244.6719999999996</v>
      </c>
    </row>
    <row r="1305" spans="1:10" x14ac:dyDescent="0.25">
      <c r="A1305" s="3" t="s">
        <v>2880</v>
      </c>
      <c r="B1305" s="3" t="s">
        <v>2881</v>
      </c>
      <c r="C1305" s="1">
        <v>15</v>
      </c>
      <c r="D1305" s="1">
        <v>818.84</v>
      </c>
      <c r="E1305" s="1" t="s">
        <v>1460</v>
      </c>
      <c r="F1305" s="1" t="s">
        <v>5077</v>
      </c>
      <c r="G1305" s="3" t="s">
        <v>2882</v>
      </c>
      <c r="H1305" s="12" cm="1">
        <f t="array" ref="H1305">_xlfn.IFS(I1305&lt;197,I1305*1.26,I1305&gt;197,I1305*1.17) + IF(I1305&gt;1000,17,0)</f>
        <v>3860.6677135999998</v>
      </c>
      <c r="I1305" s="10">
        <f>($K$2+0.02)*Tabla1[[#This Row],[PRECIO $]]*1.18</f>
        <v>3285.1860799999999</v>
      </c>
      <c r="J1305" s="7">
        <f>+Tabla1[[#This Row],[PRECIO EN SOLES]]-Tabla1[[#This Row],[PC]]</f>
        <v>575.4816335999999</v>
      </c>
    </row>
    <row r="1306" spans="1:10" x14ac:dyDescent="0.25">
      <c r="A1306" s="3" t="s">
        <v>2883</v>
      </c>
      <c r="B1306" s="3" t="s">
        <v>2884</v>
      </c>
      <c r="C1306" s="1">
        <v>1</v>
      </c>
      <c r="D1306" s="1">
        <v>500</v>
      </c>
      <c r="E1306" s="1" t="s">
        <v>1396</v>
      </c>
      <c r="F1306" s="1" t="s">
        <v>5078</v>
      </c>
      <c r="G1306" s="3" t="s">
        <v>2885</v>
      </c>
      <c r="H1306" s="12" cm="1">
        <f t="array" ref="H1306">_xlfn.IFS(I1306&lt;197,I1306*1.26,I1306&gt;197,I1306*1.17) + IF(I1306&gt;1000,17,0)</f>
        <v>2364.02</v>
      </c>
      <c r="I1306" s="10">
        <f>($K$2+0.02)*Tabla1[[#This Row],[PRECIO $]]*1.18</f>
        <v>2006</v>
      </c>
      <c r="J1306" s="7">
        <f>+Tabla1[[#This Row],[PRECIO EN SOLES]]-Tabla1[[#This Row],[PC]]</f>
        <v>358.02</v>
      </c>
    </row>
    <row r="1307" spans="1:10" x14ac:dyDescent="0.25">
      <c r="A1307" s="3" t="s">
        <v>2886</v>
      </c>
      <c r="B1307" s="3" t="s">
        <v>2887</v>
      </c>
      <c r="C1307" s="1">
        <v>15</v>
      </c>
      <c r="D1307" s="1">
        <v>800.91</v>
      </c>
      <c r="E1307" s="1" t="s">
        <v>1396</v>
      </c>
      <c r="F1307" s="1" t="s">
        <v>5079</v>
      </c>
      <c r="G1307" s="3"/>
      <c r="H1307" s="12" cm="1">
        <f t="array" ref="H1307">_xlfn.IFS(I1307&lt;197,I1307*1.26,I1307&gt;197,I1307*1.17) + IF(I1307&gt;1000,17,0)</f>
        <v>3776.503576399999</v>
      </c>
      <c r="I1307" s="10">
        <f>($K$2+0.02)*Tabla1[[#This Row],[PRECIO $]]*1.18</f>
        <v>3213.2509199999995</v>
      </c>
      <c r="J1307" s="7">
        <f>+Tabla1[[#This Row],[PRECIO EN SOLES]]-Tabla1[[#This Row],[PC]]</f>
        <v>563.25265639999952</v>
      </c>
    </row>
    <row r="1308" spans="1:10" x14ac:dyDescent="0.25">
      <c r="A1308" s="3" t="s">
        <v>2888</v>
      </c>
      <c r="B1308" s="3" t="s">
        <v>2889</v>
      </c>
      <c r="C1308" s="1">
        <v>20</v>
      </c>
      <c r="D1308" s="1">
        <v>2848.3</v>
      </c>
      <c r="E1308" s="1" t="s">
        <v>1396</v>
      </c>
      <c r="F1308" s="1" t="s">
        <v>5080</v>
      </c>
      <c r="G1308" s="3"/>
      <c r="H1308" s="12" cm="1">
        <f t="array" ref="H1308">_xlfn.IFS(I1308&lt;197,I1308*1.26,I1308&gt;197,I1308*1.17) + IF(I1308&gt;1000,17,0)</f>
        <v>13387.034131999999</v>
      </c>
      <c r="I1308" s="10">
        <f>($K$2+0.02)*Tabla1[[#This Row],[PRECIO $]]*1.18</f>
        <v>11427.3796</v>
      </c>
      <c r="J1308" s="7">
        <f>+Tabla1[[#This Row],[PRECIO EN SOLES]]-Tabla1[[#This Row],[PC]]</f>
        <v>1959.6545319999987</v>
      </c>
    </row>
    <row r="1309" spans="1:10" x14ac:dyDescent="0.25">
      <c r="A1309" s="3" t="s">
        <v>2890</v>
      </c>
      <c r="B1309" s="3" t="s">
        <v>2891</v>
      </c>
      <c r="C1309" s="1">
        <v>10</v>
      </c>
      <c r="D1309" s="1">
        <v>1236.02</v>
      </c>
      <c r="E1309" s="1" t="s">
        <v>1460</v>
      </c>
      <c r="F1309" s="1" t="s">
        <v>5081</v>
      </c>
      <c r="G1309" s="3" t="s">
        <v>2892</v>
      </c>
      <c r="H1309" s="12" cm="1">
        <f t="array" ref="H1309">_xlfn.IFS(I1309&lt;197,I1309*1.26,I1309&gt;197,I1309*1.17) + IF(I1309&gt;1000,17,0)</f>
        <v>5818.9273207999995</v>
      </c>
      <c r="I1309" s="10">
        <f>($K$2+0.02)*Tabla1[[#This Row],[PRECIO $]]*1.18</f>
        <v>4958.9122399999997</v>
      </c>
      <c r="J1309" s="7">
        <f>+Tabla1[[#This Row],[PRECIO EN SOLES]]-Tabla1[[#This Row],[PC]]</f>
        <v>860.01508079999985</v>
      </c>
    </row>
    <row r="1310" spans="1:10" x14ac:dyDescent="0.25">
      <c r="A1310" s="3" t="s">
        <v>2893</v>
      </c>
      <c r="B1310" s="3" t="s">
        <v>2894</v>
      </c>
      <c r="C1310" s="1">
        <v>17</v>
      </c>
      <c r="D1310" s="1">
        <v>1229.0899999999999</v>
      </c>
      <c r="E1310" s="1" t="s">
        <v>1460</v>
      </c>
      <c r="F1310" s="1" t="s">
        <v>5082</v>
      </c>
      <c r="G1310" s="3"/>
      <c r="H1310" s="12" cm="1">
        <f t="array" ref="H1310">_xlfn.IFS(I1310&lt;197,I1310*1.26,I1310&gt;197,I1310*1.17) + IF(I1310&gt;1000,17,0)</f>
        <v>5786.397623599999</v>
      </c>
      <c r="I1310" s="10">
        <f>($K$2+0.02)*Tabla1[[#This Row],[PRECIO $]]*1.18</f>
        <v>4931.1090799999993</v>
      </c>
      <c r="J1310" s="7">
        <f>+Tabla1[[#This Row],[PRECIO EN SOLES]]-Tabla1[[#This Row],[PC]]</f>
        <v>855.28854359999968</v>
      </c>
    </row>
    <row r="1311" spans="1:10" x14ac:dyDescent="0.25">
      <c r="A1311" s="3" t="s">
        <v>2895</v>
      </c>
      <c r="B1311" s="3" t="s">
        <v>2896</v>
      </c>
      <c r="C1311" s="1">
        <v>9</v>
      </c>
      <c r="D1311" s="1">
        <v>1235.8</v>
      </c>
      <c r="E1311" s="1" t="s">
        <v>1460</v>
      </c>
      <c r="F1311" s="1" t="s">
        <v>5083</v>
      </c>
      <c r="G1311" s="3"/>
      <c r="H1311" s="12" cm="1">
        <f t="array" ref="H1311">_xlfn.IFS(I1311&lt;197,I1311*1.26,I1311&gt;197,I1311*1.17) + IF(I1311&gt;1000,17,0)</f>
        <v>5817.8946319999986</v>
      </c>
      <c r="I1311" s="10">
        <f>($K$2+0.02)*Tabla1[[#This Row],[PRECIO $]]*1.18</f>
        <v>4958.0295999999989</v>
      </c>
      <c r="J1311" s="7">
        <f>+Tabla1[[#This Row],[PRECIO EN SOLES]]-Tabla1[[#This Row],[PC]]</f>
        <v>859.8650319999997</v>
      </c>
    </row>
    <row r="1312" spans="1:10" x14ac:dyDescent="0.25">
      <c r="A1312" s="3" t="s">
        <v>2897</v>
      </c>
      <c r="B1312" s="3" t="s">
        <v>2898</v>
      </c>
      <c r="C1312" s="1">
        <v>12</v>
      </c>
      <c r="D1312" s="1">
        <v>498.33</v>
      </c>
      <c r="E1312" s="1" t="s">
        <v>1460</v>
      </c>
      <c r="F1312" s="1" t="s">
        <v>5084</v>
      </c>
      <c r="G1312" s="3"/>
      <c r="H1312" s="12" cm="1">
        <f t="array" ref="H1312">_xlfn.IFS(I1312&lt;197,I1312*1.26,I1312&gt;197,I1312*1.17) + IF(I1312&gt;1000,17,0)</f>
        <v>2356.1809531999997</v>
      </c>
      <c r="I1312" s="10">
        <f>($K$2+0.02)*Tabla1[[#This Row],[PRECIO $]]*1.18</f>
        <v>1999.2999599999998</v>
      </c>
      <c r="J1312" s="7">
        <f>+Tabla1[[#This Row],[PRECIO EN SOLES]]-Tabla1[[#This Row],[PC]]</f>
        <v>356.88099319999992</v>
      </c>
    </row>
    <row r="1313" spans="1:10" x14ac:dyDescent="0.25">
      <c r="A1313" s="3" t="s">
        <v>2899</v>
      </c>
      <c r="B1313" s="3" t="s">
        <v>2900</v>
      </c>
      <c r="C1313" s="1">
        <v>7</v>
      </c>
      <c r="D1313" s="1">
        <v>1325.71</v>
      </c>
      <c r="E1313" s="1" t="s">
        <v>1460</v>
      </c>
      <c r="F1313" s="1" t="s">
        <v>5085</v>
      </c>
      <c r="G1313" s="3"/>
      <c r="H1313" s="12" cm="1">
        <f t="array" ref="H1313">_xlfn.IFS(I1313&lt;197,I1313*1.26,I1313&gt;197,I1313*1.17) + IF(I1313&gt;1000,17,0)</f>
        <v>6239.9357683999988</v>
      </c>
      <c r="I1313" s="10">
        <f>($K$2+0.02)*Tabla1[[#This Row],[PRECIO $]]*1.18</f>
        <v>5318.7485199999992</v>
      </c>
      <c r="J1313" s="7">
        <f>+Tabla1[[#This Row],[PRECIO EN SOLES]]-Tabla1[[#This Row],[PC]]</f>
        <v>921.18724839999959</v>
      </c>
    </row>
    <row r="1314" spans="1:10" x14ac:dyDescent="0.25">
      <c r="A1314" s="3" t="s">
        <v>2901</v>
      </c>
      <c r="B1314" s="3" t="s">
        <v>2902</v>
      </c>
      <c r="C1314" s="1">
        <v>8</v>
      </c>
      <c r="D1314" s="1">
        <v>747.17</v>
      </c>
      <c r="E1314" s="1" t="s">
        <v>1460</v>
      </c>
      <c r="F1314" s="1" t="s">
        <v>5086</v>
      </c>
      <c r="G1314" s="3" t="s">
        <v>2903</v>
      </c>
      <c r="H1314" s="12" cm="1">
        <f t="array" ref="H1314">_xlfn.IFS(I1314&lt;197,I1314*1.26,I1314&gt;197,I1314*1.17) + IF(I1314&gt;1000,17,0)</f>
        <v>3524.2458667999995</v>
      </c>
      <c r="I1314" s="10">
        <f>($K$2+0.02)*Tabla1[[#This Row],[PRECIO $]]*1.18</f>
        <v>2997.6460399999996</v>
      </c>
      <c r="J1314" s="7">
        <f>+Tabla1[[#This Row],[PRECIO EN SOLES]]-Tabla1[[#This Row],[PC]]</f>
        <v>526.59982679999985</v>
      </c>
    </row>
    <row r="1315" spans="1:10" x14ac:dyDescent="0.25">
      <c r="A1315" s="3" t="s">
        <v>2904</v>
      </c>
      <c r="B1315" s="3" t="s">
        <v>2905</v>
      </c>
      <c r="C1315" s="1">
        <v>1</v>
      </c>
      <c r="D1315" s="1">
        <v>779.19</v>
      </c>
      <c r="E1315" s="1" t="s">
        <v>1460</v>
      </c>
      <c r="F1315" s="1" t="s">
        <v>5087</v>
      </c>
      <c r="G1315" s="3" t="s">
        <v>2906</v>
      </c>
      <c r="H1315" s="12" cm="1">
        <f t="array" ref="H1315">_xlfn.IFS(I1315&lt;197,I1315*1.26,I1315&gt;197,I1315*1.17) + IF(I1315&gt;1000,17,0)</f>
        <v>3674.5490275999996</v>
      </c>
      <c r="I1315" s="10">
        <f>($K$2+0.02)*Tabla1[[#This Row],[PRECIO $]]*1.18</f>
        <v>3126.1102799999999</v>
      </c>
      <c r="J1315" s="7">
        <f>+Tabla1[[#This Row],[PRECIO EN SOLES]]-Tabla1[[#This Row],[PC]]</f>
        <v>548.43874759999972</v>
      </c>
    </row>
    <row r="1316" spans="1:10" x14ac:dyDescent="0.25">
      <c r="A1316" s="3" t="s">
        <v>2907</v>
      </c>
      <c r="B1316" s="3" t="s">
        <v>2908</v>
      </c>
      <c r="C1316" s="1">
        <v>20</v>
      </c>
      <c r="D1316" s="1">
        <v>1</v>
      </c>
      <c r="E1316" s="1" t="s">
        <v>2909</v>
      </c>
      <c r="F1316" s="1" t="s">
        <v>5088</v>
      </c>
      <c r="G1316" s="3"/>
      <c r="H1316" s="12" cm="1">
        <f t="array" ref="H1316">_xlfn.IFS(I1316&lt;197,I1316*1.26,I1316&gt;197,I1316*1.17) + IF(I1316&gt;1000,17,0)</f>
        <v>5.0551199999999996</v>
      </c>
      <c r="I1316" s="10">
        <f>($K$2+0.02)*Tabla1[[#This Row],[PRECIO $]]*1.18</f>
        <v>4.0119999999999996</v>
      </c>
      <c r="J1316" s="7">
        <f>+Tabla1[[#This Row],[PRECIO EN SOLES]]-Tabla1[[#This Row],[PC]]</f>
        <v>1.04312</v>
      </c>
    </row>
    <row r="1317" spans="1:10" x14ac:dyDescent="0.25">
      <c r="A1317" s="3" t="s">
        <v>2910</v>
      </c>
      <c r="B1317" s="3" t="s">
        <v>2911</v>
      </c>
      <c r="C1317" s="1">
        <v>0</v>
      </c>
      <c r="D1317" s="1">
        <v>9999999.9900000002</v>
      </c>
      <c r="E1317" s="1" t="s">
        <v>57</v>
      </c>
      <c r="F1317" s="1" t="s">
        <v>5089</v>
      </c>
      <c r="G1317" s="3"/>
      <c r="H1317" s="12" cm="1">
        <f t="array" ref="H1317">_xlfn.IFS(I1317&lt;197,I1317*1.26,I1317&gt;197,I1317*1.17) + IF(I1317&gt;1000,17,0)</f>
        <v>46940416.953059591</v>
      </c>
      <c r="I1317" s="10">
        <f>($K$2+0.02)*Tabla1[[#This Row],[PRECIO $]]*1.18</f>
        <v>40119999.959879994</v>
      </c>
      <c r="J1317" s="7">
        <f>+Tabla1[[#This Row],[PRECIO EN SOLES]]-Tabla1[[#This Row],[PC]]</f>
        <v>6820416.993179597</v>
      </c>
    </row>
    <row r="1318" spans="1:10" x14ac:dyDescent="0.25">
      <c r="A1318" s="3" t="s">
        <v>2912</v>
      </c>
      <c r="B1318" s="3" t="s">
        <v>2913</v>
      </c>
      <c r="C1318" s="1">
        <v>20</v>
      </c>
      <c r="D1318" s="1">
        <v>72.94</v>
      </c>
      <c r="E1318" s="1" t="s">
        <v>2909</v>
      </c>
      <c r="F1318" s="1" t="s">
        <v>5090</v>
      </c>
      <c r="G1318" s="3"/>
      <c r="H1318" s="12" cm="1">
        <f t="array" ref="H1318">_xlfn.IFS(I1318&lt;197,I1318*1.26,I1318&gt;197,I1318*1.17) + IF(I1318&gt;1000,17,0)</f>
        <v>342.38327759999993</v>
      </c>
      <c r="I1318" s="10">
        <f>($K$2+0.02)*Tabla1[[#This Row],[PRECIO $]]*1.18</f>
        <v>292.63527999999997</v>
      </c>
      <c r="J1318" s="7">
        <f>+Tabla1[[#This Row],[PRECIO EN SOLES]]-Tabla1[[#This Row],[PC]]</f>
        <v>49.747997599999962</v>
      </c>
    </row>
    <row r="1319" spans="1:10" x14ac:dyDescent="0.25">
      <c r="A1319" s="3" t="s">
        <v>2914</v>
      </c>
      <c r="B1319" s="3" t="s">
        <v>2915</v>
      </c>
      <c r="C1319" s="1">
        <v>20</v>
      </c>
      <c r="D1319" s="1">
        <v>663.13</v>
      </c>
      <c r="E1319" s="1" t="s">
        <v>2909</v>
      </c>
      <c r="F1319" s="1" t="s">
        <v>5091</v>
      </c>
      <c r="G1319" s="3"/>
      <c r="H1319" s="12" cm="1">
        <f t="array" ref="H1319">_xlfn.IFS(I1319&lt;197,I1319*1.26,I1319&gt;197,I1319*1.17) + IF(I1319&gt;1000,17,0)</f>
        <v>3129.7587451999998</v>
      </c>
      <c r="I1319" s="10">
        <f>($K$2+0.02)*Tabla1[[#This Row],[PRECIO $]]*1.18</f>
        <v>2660.4775599999998</v>
      </c>
      <c r="J1319" s="7">
        <f>+Tabla1[[#This Row],[PRECIO EN SOLES]]-Tabla1[[#This Row],[PC]]</f>
        <v>469.28118519999998</v>
      </c>
    </row>
    <row r="1320" spans="1:10" x14ac:dyDescent="0.25">
      <c r="A1320" s="3" t="s">
        <v>2916</v>
      </c>
      <c r="B1320" s="3" t="s">
        <v>2917</v>
      </c>
      <c r="C1320" s="1">
        <v>20</v>
      </c>
      <c r="D1320" s="1">
        <v>352</v>
      </c>
      <c r="E1320" s="1" t="s">
        <v>2909</v>
      </c>
      <c r="F1320" s="1" t="s">
        <v>5092</v>
      </c>
      <c r="G1320" s="3"/>
      <c r="H1320" s="12" cm="1">
        <f t="array" ref="H1320">_xlfn.IFS(I1320&lt;197,I1320*1.26,I1320&gt;197,I1320*1.17) + IF(I1320&gt;1000,17,0)</f>
        <v>1669.3020799999999</v>
      </c>
      <c r="I1320" s="10">
        <f>($K$2+0.02)*Tabla1[[#This Row],[PRECIO $]]*1.18</f>
        <v>1412.2239999999999</v>
      </c>
      <c r="J1320" s="7">
        <f>+Tabla1[[#This Row],[PRECIO EN SOLES]]-Tabla1[[#This Row],[PC]]</f>
        <v>257.07808</v>
      </c>
    </row>
    <row r="1321" spans="1:10" x14ac:dyDescent="0.25">
      <c r="A1321" s="3" t="s">
        <v>2918</v>
      </c>
      <c r="B1321" s="3" t="s">
        <v>2919</v>
      </c>
      <c r="C1321" s="1">
        <v>20</v>
      </c>
      <c r="D1321" s="1">
        <v>0.01</v>
      </c>
      <c r="E1321" s="1" t="s">
        <v>2909</v>
      </c>
      <c r="F1321" s="1" t="s">
        <v>5093</v>
      </c>
      <c r="G1321" s="3"/>
      <c r="H1321" s="12" cm="1">
        <f t="array" ref="H1321">_xlfn.IFS(I1321&lt;197,I1321*1.26,I1321&gt;197,I1321*1.17) + IF(I1321&gt;1000,17,0)</f>
        <v>5.0551200000000004E-2</v>
      </c>
      <c r="I1321" s="10">
        <f>($K$2+0.02)*Tabla1[[#This Row],[PRECIO $]]*1.18</f>
        <v>4.0120000000000003E-2</v>
      </c>
      <c r="J1321" s="7">
        <f>+Tabla1[[#This Row],[PRECIO EN SOLES]]-Tabla1[[#This Row],[PC]]</f>
        <v>1.0431200000000002E-2</v>
      </c>
    </row>
    <row r="1322" spans="1:10" x14ac:dyDescent="0.25">
      <c r="A1322" s="3" t="s">
        <v>2920</v>
      </c>
      <c r="B1322" s="3" t="s">
        <v>2921</v>
      </c>
      <c r="C1322" s="1">
        <v>1</v>
      </c>
      <c r="D1322" s="1">
        <v>1025</v>
      </c>
      <c r="E1322" s="1" t="s">
        <v>2922</v>
      </c>
      <c r="F1322" s="1" t="s">
        <v>5094</v>
      </c>
      <c r="G1322" s="3"/>
      <c r="H1322" s="12" cm="1">
        <f t="array" ref="H1322">_xlfn.IFS(I1322&lt;197,I1322*1.26,I1322&gt;197,I1322*1.17) + IF(I1322&gt;1000,17,0)</f>
        <v>4828.3909999999996</v>
      </c>
      <c r="I1322" s="10">
        <f>($K$2+0.02)*Tabla1[[#This Row],[PRECIO $]]*1.18</f>
        <v>4112.3</v>
      </c>
      <c r="J1322" s="7">
        <f>+Tabla1[[#This Row],[PRECIO EN SOLES]]-Tabla1[[#This Row],[PC]]</f>
        <v>716.09099999999944</v>
      </c>
    </row>
    <row r="1323" spans="1:10" x14ac:dyDescent="0.25">
      <c r="A1323" s="3" t="s">
        <v>2923</v>
      </c>
      <c r="B1323" s="3" t="s">
        <v>2924</v>
      </c>
      <c r="C1323" s="1">
        <v>1</v>
      </c>
      <c r="D1323" s="1">
        <v>309</v>
      </c>
      <c r="E1323" s="1" t="s">
        <v>2925</v>
      </c>
      <c r="F1323" s="1" t="s">
        <v>5095</v>
      </c>
      <c r="G1323" s="3"/>
      <c r="H1323" s="12" cm="1">
        <f t="array" ref="H1323">_xlfn.IFS(I1323&lt;197,I1323*1.26,I1323&gt;197,I1323*1.17) + IF(I1323&gt;1000,17,0)</f>
        <v>1467.4583599999999</v>
      </c>
      <c r="I1323" s="10">
        <f>($K$2+0.02)*Tabla1[[#This Row],[PRECIO $]]*1.18</f>
        <v>1239.7079999999999</v>
      </c>
      <c r="J1323" s="7">
        <f>+Tabla1[[#This Row],[PRECIO EN SOLES]]-Tabla1[[#This Row],[PC]]</f>
        <v>227.75036</v>
      </c>
    </row>
    <row r="1324" spans="1:10" x14ac:dyDescent="0.25">
      <c r="A1324" s="3" t="s">
        <v>2926</v>
      </c>
      <c r="B1324" s="3" t="s">
        <v>2927</v>
      </c>
      <c r="C1324" s="1">
        <v>1</v>
      </c>
      <c r="D1324" s="1">
        <v>288</v>
      </c>
      <c r="E1324" s="1" t="s">
        <v>2925</v>
      </c>
      <c r="F1324" s="1" t="s">
        <v>5096</v>
      </c>
      <c r="G1324" s="3"/>
      <c r="H1324" s="12" cm="1">
        <f t="array" ref="H1324">_xlfn.IFS(I1324&lt;197,I1324*1.26,I1324&gt;197,I1324*1.17) + IF(I1324&gt;1000,17,0)</f>
        <v>1368.8835199999999</v>
      </c>
      <c r="I1324" s="10">
        <f>($K$2+0.02)*Tabla1[[#This Row],[PRECIO $]]*1.18</f>
        <v>1155.4559999999999</v>
      </c>
      <c r="J1324" s="7">
        <f>+Tabla1[[#This Row],[PRECIO EN SOLES]]-Tabla1[[#This Row],[PC]]</f>
        <v>213.42751999999996</v>
      </c>
    </row>
    <row r="1325" spans="1:10" x14ac:dyDescent="0.25">
      <c r="A1325" s="3" t="s">
        <v>2928</v>
      </c>
      <c r="B1325" s="3" t="s">
        <v>2929</v>
      </c>
      <c r="C1325" s="1">
        <v>1</v>
      </c>
      <c r="D1325" s="1">
        <v>153</v>
      </c>
      <c r="E1325" s="1" t="s">
        <v>2925</v>
      </c>
      <c r="F1325" s="1" t="s">
        <v>5097</v>
      </c>
      <c r="G1325" s="3"/>
      <c r="H1325" s="12" cm="1">
        <f t="array" ref="H1325">_xlfn.IFS(I1325&lt;197,I1325*1.26,I1325&gt;197,I1325*1.17) + IF(I1325&gt;1000,17,0)</f>
        <v>718.1881199999998</v>
      </c>
      <c r="I1325" s="10">
        <f>($K$2+0.02)*Tabla1[[#This Row],[PRECIO $]]*1.18</f>
        <v>613.8359999999999</v>
      </c>
      <c r="J1325" s="7">
        <f>+Tabla1[[#This Row],[PRECIO EN SOLES]]-Tabla1[[#This Row],[PC]]</f>
        <v>104.3521199999999</v>
      </c>
    </row>
    <row r="1326" spans="1:10" x14ac:dyDescent="0.25">
      <c r="A1326" s="3" t="s">
        <v>2930</v>
      </c>
      <c r="B1326" s="3" t="s">
        <v>2931</v>
      </c>
      <c r="C1326" s="1">
        <v>1</v>
      </c>
      <c r="D1326" s="1">
        <v>676</v>
      </c>
      <c r="E1326" s="1" t="s">
        <v>2922</v>
      </c>
      <c r="F1326" s="1" t="s">
        <v>5098</v>
      </c>
      <c r="G1326" s="3"/>
      <c r="H1326" s="12" cm="1">
        <f t="array" ref="H1326">_xlfn.IFS(I1326&lt;197,I1326*1.26,I1326&gt;197,I1326*1.17) + IF(I1326&gt;1000,17,0)</f>
        <v>3190.1710399999997</v>
      </c>
      <c r="I1326" s="10">
        <f>($K$2+0.02)*Tabla1[[#This Row],[PRECIO $]]*1.18</f>
        <v>2712.1120000000001</v>
      </c>
      <c r="J1326" s="7">
        <f>+Tabla1[[#This Row],[PRECIO EN SOLES]]-Tabla1[[#This Row],[PC]]</f>
        <v>478.05903999999964</v>
      </c>
    </row>
    <row r="1327" spans="1:10" x14ac:dyDescent="0.25">
      <c r="A1327" s="3" t="s">
        <v>2932</v>
      </c>
      <c r="B1327" s="3" t="s">
        <v>2933</v>
      </c>
      <c r="C1327" s="1">
        <v>20</v>
      </c>
      <c r="D1327" s="1">
        <v>97</v>
      </c>
      <c r="E1327" s="1" t="s">
        <v>2909</v>
      </c>
      <c r="F1327" s="1" t="s">
        <v>5099</v>
      </c>
      <c r="G1327" s="3"/>
      <c r="H1327" s="12" cm="1">
        <f t="array" ref="H1327">_xlfn.IFS(I1327&lt;197,I1327*1.26,I1327&gt;197,I1327*1.17) + IF(I1327&gt;1000,17,0)</f>
        <v>455.32187999999996</v>
      </c>
      <c r="I1327" s="10">
        <f>($K$2+0.02)*Tabla1[[#This Row],[PRECIO $]]*1.18</f>
        <v>389.16399999999999</v>
      </c>
      <c r="J1327" s="7">
        <f>+Tabla1[[#This Row],[PRECIO EN SOLES]]-Tabla1[[#This Row],[PC]]</f>
        <v>66.157879999999977</v>
      </c>
    </row>
    <row r="1328" spans="1:10" x14ac:dyDescent="0.25">
      <c r="A1328" s="3" t="s">
        <v>2934</v>
      </c>
      <c r="B1328" s="3" t="s">
        <v>2935</v>
      </c>
      <c r="C1328" s="1">
        <v>20</v>
      </c>
      <c r="D1328" s="1">
        <v>1380</v>
      </c>
      <c r="E1328" s="1" t="s">
        <v>2909</v>
      </c>
      <c r="F1328" s="1" t="s">
        <v>5100</v>
      </c>
      <c r="G1328" s="3"/>
      <c r="H1328" s="12" cm="1">
        <f t="array" ref="H1328">_xlfn.IFS(I1328&lt;197,I1328*1.26,I1328&gt;197,I1328*1.17) + IF(I1328&gt;1000,17,0)</f>
        <v>6494.7751999999991</v>
      </c>
      <c r="I1328" s="10">
        <f>($K$2+0.02)*Tabla1[[#This Row],[PRECIO $]]*1.18</f>
        <v>5536.5599999999995</v>
      </c>
      <c r="J1328" s="7">
        <f>+Tabla1[[#This Row],[PRECIO EN SOLES]]-Tabla1[[#This Row],[PC]]</f>
        <v>958.21519999999964</v>
      </c>
    </row>
    <row r="1329" spans="1:10" x14ac:dyDescent="0.25">
      <c r="A1329" s="3" t="s">
        <v>2936</v>
      </c>
      <c r="B1329" s="3" t="s">
        <v>2937</v>
      </c>
      <c r="C1329" s="1">
        <v>20</v>
      </c>
      <c r="D1329" s="1">
        <v>10</v>
      </c>
      <c r="E1329" s="1" t="s">
        <v>2909</v>
      </c>
      <c r="F1329" s="1" t="s">
        <v>5101</v>
      </c>
      <c r="G1329" s="3"/>
      <c r="H1329" s="12" cm="1">
        <f t="array" ref="H1329">_xlfn.IFS(I1329&lt;197,I1329*1.26,I1329&gt;197,I1329*1.17) + IF(I1329&gt;1000,17,0)</f>
        <v>50.551199999999994</v>
      </c>
      <c r="I1329" s="10">
        <f>($K$2+0.02)*Tabla1[[#This Row],[PRECIO $]]*1.18</f>
        <v>40.119999999999997</v>
      </c>
      <c r="J1329" s="7">
        <f>+Tabla1[[#This Row],[PRECIO EN SOLES]]-Tabla1[[#This Row],[PC]]</f>
        <v>10.431199999999997</v>
      </c>
    </row>
    <row r="1330" spans="1:10" x14ac:dyDescent="0.25">
      <c r="A1330" s="3" t="s">
        <v>2938</v>
      </c>
      <c r="B1330" s="3" t="s">
        <v>2939</v>
      </c>
      <c r="C1330" s="1">
        <v>4</v>
      </c>
      <c r="D1330" s="1">
        <v>5572.39</v>
      </c>
      <c r="E1330" s="1" t="s">
        <v>1396</v>
      </c>
      <c r="F1330" s="1" t="s">
        <v>5102</v>
      </c>
      <c r="G1330" s="3"/>
      <c r="H1330" s="12" cm="1">
        <f t="array" ref="H1330">_xlfn.IFS(I1330&lt;197,I1330*1.26,I1330&gt;197,I1330*1.17) + IF(I1330&gt;1000,17,0)</f>
        <v>26174.021555599997</v>
      </c>
      <c r="I1330" s="10">
        <f>($K$2+0.02)*Tabla1[[#This Row],[PRECIO $]]*1.18</f>
        <v>22356.428679999997</v>
      </c>
      <c r="J1330" s="7">
        <f>+Tabla1[[#This Row],[PRECIO EN SOLES]]-Tabla1[[#This Row],[PC]]</f>
        <v>3817.5928755999994</v>
      </c>
    </row>
    <row r="1331" spans="1:10" x14ac:dyDescent="0.25">
      <c r="A1331" s="3" t="s">
        <v>2940</v>
      </c>
      <c r="B1331" s="3" t="s">
        <v>2941</v>
      </c>
      <c r="C1331" s="1">
        <v>11</v>
      </c>
      <c r="D1331" s="1">
        <v>3180</v>
      </c>
      <c r="E1331" s="1" t="s">
        <v>1460</v>
      </c>
      <c r="F1331" s="1" t="s">
        <v>5103</v>
      </c>
      <c r="G1331" s="3"/>
      <c r="H1331" s="12" cm="1">
        <f t="array" ref="H1331">_xlfn.IFS(I1331&lt;197,I1331*1.26,I1331&gt;197,I1331*1.17) + IF(I1331&gt;1000,17,0)</f>
        <v>14944.047199999999</v>
      </c>
      <c r="I1331" s="10">
        <f>($K$2+0.02)*Tabla1[[#This Row],[PRECIO $]]*1.18</f>
        <v>12758.16</v>
      </c>
      <c r="J1331" s="7">
        <f>+Tabla1[[#This Row],[PRECIO EN SOLES]]-Tabla1[[#This Row],[PC]]</f>
        <v>2185.8871999999992</v>
      </c>
    </row>
    <row r="1332" spans="1:10" x14ac:dyDescent="0.25">
      <c r="A1332" s="3" t="s">
        <v>2942</v>
      </c>
      <c r="B1332" s="3" t="s">
        <v>2943</v>
      </c>
      <c r="C1332" s="1">
        <v>20</v>
      </c>
      <c r="D1332" s="1">
        <v>1199</v>
      </c>
      <c r="E1332" s="1" t="s">
        <v>1460</v>
      </c>
      <c r="F1332" s="1" t="s">
        <v>5104</v>
      </c>
      <c r="G1332" s="3" t="s">
        <v>2944</v>
      </c>
      <c r="H1332" s="12" cm="1">
        <f t="array" ref="H1332">_xlfn.IFS(I1332&lt;197,I1332*1.26,I1332&gt;197,I1332*1.17) + IF(I1332&gt;1000,17,0)</f>
        <v>5645.1539599999996</v>
      </c>
      <c r="I1332" s="10">
        <f>($K$2+0.02)*Tabla1[[#This Row],[PRECIO $]]*1.18</f>
        <v>4810.3879999999999</v>
      </c>
      <c r="J1332" s="7">
        <f>+Tabla1[[#This Row],[PRECIO EN SOLES]]-Tabla1[[#This Row],[PC]]</f>
        <v>834.76595999999972</v>
      </c>
    </row>
    <row r="1333" spans="1:10" x14ac:dyDescent="0.25">
      <c r="A1333" s="3" t="s">
        <v>2945</v>
      </c>
      <c r="B1333" s="3" t="s">
        <v>2946</v>
      </c>
      <c r="C1333" s="1">
        <v>0</v>
      </c>
      <c r="D1333" s="1">
        <v>5401.37</v>
      </c>
      <c r="E1333" s="1" t="s">
        <v>1460</v>
      </c>
      <c r="F1333" s="1" t="s">
        <v>5105</v>
      </c>
      <c r="G1333" s="3"/>
      <c r="H1333" s="12" cm="1">
        <f t="array" ref="H1333">_xlfn.IFS(I1333&lt;197,I1333*1.26,I1333&gt;197,I1333*1.17) + IF(I1333&gt;1000,17,0)</f>
        <v>25371.246834799997</v>
      </c>
      <c r="I1333" s="10">
        <f>($K$2+0.02)*Tabla1[[#This Row],[PRECIO $]]*1.18</f>
        <v>21670.296439999998</v>
      </c>
      <c r="J1333" s="7">
        <f>+Tabla1[[#This Row],[PRECIO EN SOLES]]-Tabla1[[#This Row],[PC]]</f>
        <v>3700.9503947999983</v>
      </c>
    </row>
    <row r="1334" spans="1:10" x14ac:dyDescent="0.25">
      <c r="A1334" s="3" t="s">
        <v>2948</v>
      </c>
      <c r="B1334" s="3" t="s">
        <v>2947</v>
      </c>
      <c r="C1334" s="1">
        <v>20</v>
      </c>
      <c r="D1334" s="1">
        <v>1130</v>
      </c>
      <c r="E1334" s="1" t="s">
        <v>1460</v>
      </c>
      <c r="F1334" s="1" t="s">
        <v>5106</v>
      </c>
      <c r="G1334" s="3" t="s">
        <v>2949</v>
      </c>
      <c r="H1334" s="12" cm="1">
        <f t="array" ref="H1334">_xlfn.IFS(I1334&lt;197,I1334*1.26,I1334&gt;197,I1334*1.17) + IF(I1334&gt;1000,17,0)</f>
        <v>5321.2651999999989</v>
      </c>
      <c r="I1334" s="10">
        <f>($K$2+0.02)*Tabla1[[#This Row],[PRECIO $]]*1.18</f>
        <v>4533.5599999999995</v>
      </c>
      <c r="J1334" s="7">
        <f>+Tabla1[[#This Row],[PRECIO EN SOLES]]-Tabla1[[#This Row],[PC]]</f>
        <v>787.70519999999942</v>
      </c>
    </row>
    <row r="1335" spans="1:10" x14ac:dyDescent="0.25">
      <c r="A1335" s="3" t="s">
        <v>2950</v>
      </c>
      <c r="B1335" s="3" t="s">
        <v>2951</v>
      </c>
      <c r="C1335" s="1">
        <v>7</v>
      </c>
      <c r="D1335" s="1">
        <v>15</v>
      </c>
      <c r="E1335" s="1" t="s">
        <v>1396</v>
      </c>
      <c r="F1335" s="1" t="s">
        <v>5107</v>
      </c>
      <c r="G1335" s="3" t="s">
        <v>2952</v>
      </c>
      <c r="H1335" s="12" cm="1">
        <f t="array" ref="H1335">_xlfn.IFS(I1335&lt;197,I1335*1.26,I1335&gt;197,I1335*1.17) + IF(I1335&gt;1000,17,0)</f>
        <v>75.826800000000006</v>
      </c>
      <c r="I1335" s="10">
        <f>($K$2+0.02)*Tabla1[[#This Row],[PRECIO $]]*1.18</f>
        <v>60.18</v>
      </c>
      <c r="J1335" s="7">
        <f>+Tabla1[[#This Row],[PRECIO EN SOLES]]-Tabla1[[#This Row],[PC]]</f>
        <v>15.646800000000006</v>
      </c>
    </row>
    <row r="1336" spans="1:10" x14ac:dyDescent="0.25">
      <c r="A1336" s="3" t="s">
        <v>2953</v>
      </c>
      <c r="B1336" s="3" t="s">
        <v>2954</v>
      </c>
      <c r="C1336" s="1">
        <v>1</v>
      </c>
      <c r="D1336" s="1">
        <v>116.27</v>
      </c>
      <c r="E1336" s="1" t="s">
        <v>1460</v>
      </c>
      <c r="F1336" s="1" t="s">
        <v>5108</v>
      </c>
      <c r="G1336" s="3"/>
      <c r="H1336" s="12" cm="1">
        <f t="array" ref="H1336">_xlfn.IFS(I1336&lt;197,I1336*1.26,I1336&gt;197,I1336*1.17) + IF(I1336&gt;1000,17,0)</f>
        <v>545.77603079999983</v>
      </c>
      <c r="I1336" s="10">
        <f>($K$2+0.02)*Tabla1[[#This Row],[PRECIO $]]*1.18</f>
        <v>466.47523999999993</v>
      </c>
      <c r="J1336" s="7">
        <f>+Tabla1[[#This Row],[PRECIO EN SOLES]]-Tabla1[[#This Row],[PC]]</f>
        <v>79.300790799999902</v>
      </c>
    </row>
    <row r="1337" spans="1:10" x14ac:dyDescent="0.25">
      <c r="A1337" s="3" t="s">
        <v>2955</v>
      </c>
      <c r="B1337" s="3" t="s">
        <v>2956</v>
      </c>
      <c r="C1337" s="1">
        <v>19</v>
      </c>
      <c r="D1337" s="1">
        <v>30.85</v>
      </c>
      <c r="E1337" s="1" t="s">
        <v>1460</v>
      </c>
      <c r="F1337" s="1" t="s">
        <v>5109</v>
      </c>
      <c r="G1337" s="3" t="s">
        <v>2957</v>
      </c>
      <c r="H1337" s="12" cm="1">
        <f t="array" ref="H1337">_xlfn.IFS(I1337&lt;197,I1337*1.26,I1337&gt;197,I1337*1.17) + IF(I1337&gt;1000,17,0)</f>
        <v>155.95045199999998</v>
      </c>
      <c r="I1337" s="10">
        <f>($K$2+0.02)*Tabla1[[#This Row],[PRECIO $]]*1.18</f>
        <v>123.77019999999999</v>
      </c>
      <c r="J1337" s="7">
        <f>+Tabla1[[#This Row],[PRECIO EN SOLES]]-Tabla1[[#This Row],[PC]]</f>
        <v>32.180251999999996</v>
      </c>
    </row>
    <row r="1338" spans="1:10" x14ac:dyDescent="0.25">
      <c r="A1338" s="3" t="s">
        <v>2958</v>
      </c>
      <c r="B1338" s="3" t="s">
        <v>2959</v>
      </c>
      <c r="C1338" s="1">
        <v>0</v>
      </c>
      <c r="D1338" s="1">
        <v>72</v>
      </c>
      <c r="E1338" s="1" t="s">
        <v>1396</v>
      </c>
      <c r="F1338" s="1" t="s">
        <v>5110</v>
      </c>
      <c r="G1338" s="3" t="s">
        <v>2960</v>
      </c>
      <c r="H1338" s="12" cm="1">
        <f t="array" ref="H1338">_xlfn.IFS(I1338&lt;197,I1338*1.26,I1338&gt;197,I1338*1.17) + IF(I1338&gt;1000,17,0)</f>
        <v>337.97087999999997</v>
      </c>
      <c r="I1338" s="10">
        <f>($K$2+0.02)*Tabla1[[#This Row],[PRECIO $]]*1.18</f>
        <v>288.86399999999998</v>
      </c>
      <c r="J1338" s="7">
        <f>+Tabla1[[#This Row],[PRECIO EN SOLES]]-Tabla1[[#This Row],[PC]]</f>
        <v>49.10687999999999</v>
      </c>
    </row>
    <row r="1339" spans="1:10" x14ac:dyDescent="0.25">
      <c r="A1339" s="3" t="s">
        <v>2961</v>
      </c>
      <c r="B1339" s="3" t="s">
        <v>2962</v>
      </c>
      <c r="C1339" s="1">
        <v>7</v>
      </c>
      <c r="D1339" s="1">
        <v>510</v>
      </c>
      <c r="E1339" s="1" t="s">
        <v>1396</v>
      </c>
      <c r="F1339" s="1" t="s">
        <v>5111</v>
      </c>
      <c r="G1339" s="3" t="s">
        <v>2963</v>
      </c>
      <c r="H1339" s="12" cm="1">
        <f t="array" ref="H1339">_xlfn.IFS(I1339&lt;197,I1339*1.26,I1339&gt;197,I1339*1.17) + IF(I1339&gt;1000,17,0)</f>
        <v>2410.9603999999999</v>
      </c>
      <c r="I1339" s="10">
        <f>($K$2+0.02)*Tabla1[[#This Row],[PRECIO $]]*1.18</f>
        <v>2046.12</v>
      </c>
      <c r="J1339" s="7">
        <f>+Tabla1[[#This Row],[PRECIO EN SOLES]]-Tabla1[[#This Row],[PC]]</f>
        <v>364.84040000000005</v>
      </c>
    </row>
    <row r="1340" spans="1:10" x14ac:dyDescent="0.25">
      <c r="A1340" s="3" t="s">
        <v>2964</v>
      </c>
      <c r="B1340" s="3" t="s">
        <v>2965</v>
      </c>
      <c r="C1340" s="1">
        <v>7</v>
      </c>
      <c r="D1340" s="1">
        <v>41</v>
      </c>
      <c r="E1340" s="1" t="s">
        <v>1460</v>
      </c>
      <c r="F1340" s="1" t="s">
        <v>5112</v>
      </c>
      <c r="G1340" s="3"/>
      <c r="H1340" s="12" cm="1">
        <f t="array" ref="H1340">_xlfn.IFS(I1340&lt;197,I1340*1.26,I1340&gt;197,I1340*1.17) + IF(I1340&gt;1000,17,0)</f>
        <v>207.25991999999999</v>
      </c>
      <c r="I1340" s="10">
        <f>($K$2+0.02)*Tabla1[[#This Row],[PRECIO $]]*1.18</f>
        <v>164.49199999999999</v>
      </c>
      <c r="J1340" s="7">
        <f>+Tabla1[[#This Row],[PRECIO EN SOLES]]-Tabla1[[#This Row],[PC]]</f>
        <v>42.767920000000004</v>
      </c>
    </row>
    <row r="1341" spans="1:10" x14ac:dyDescent="0.25">
      <c r="A1341" s="3" t="s">
        <v>2966</v>
      </c>
      <c r="B1341" s="3" t="s">
        <v>2967</v>
      </c>
      <c r="C1341" s="1">
        <v>1</v>
      </c>
      <c r="D1341" s="1">
        <v>163</v>
      </c>
      <c r="E1341" s="1" t="s">
        <v>1396</v>
      </c>
      <c r="F1341" s="1" t="s">
        <v>5113</v>
      </c>
      <c r="G1341" s="3"/>
      <c r="H1341" s="12" cm="1">
        <f t="array" ref="H1341">_xlfn.IFS(I1341&lt;197,I1341*1.26,I1341&gt;197,I1341*1.17) + IF(I1341&gt;1000,17,0)</f>
        <v>765.12851999999987</v>
      </c>
      <c r="I1341" s="10">
        <f>($K$2+0.02)*Tabla1[[#This Row],[PRECIO $]]*1.18</f>
        <v>653.9559999999999</v>
      </c>
      <c r="J1341" s="7">
        <f>+Tabla1[[#This Row],[PRECIO EN SOLES]]-Tabla1[[#This Row],[PC]]</f>
        <v>111.17251999999996</v>
      </c>
    </row>
    <row r="1342" spans="1:10" x14ac:dyDescent="0.25">
      <c r="A1342" s="3" t="s">
        <v>2968</v>
      </c>
      <c r="B1342" s="3" t="s">
        <v>2967</v>
      </c>
      <c r="C1342" s="1">
        <v>20</v>
      </c>
      <c r="D1342" s="1">
        <v>255.41</v>
      </c>
      <c r="E1342" s="1" t="s">
        <v>1396</v>
      </c>
      <c r="F1342" s="1" t="s">
        <v>5114</v>
      </c>
      <c r="G1342" s="3" t="s">
        <v>2969</v>
      </c>
      <c r="H1342" s="12" cm="1">
        <f t="array" ref="H1342">_xlfn.IFS(I1342&lt;197,I1342*1.26,I1342&gt;197,I1342*1.17) + IF(I1342&gt;1000,17,0)</f>
        <v>1215.9047563999998</v>
      </c>
      <c r="I1342" s="10">
        <f>($K$2+0.02)*Tabla1[[#This Row],[PRECIO $]]*1.18</f>
        <v>1024.7049199999999</v>
      </c>
      <c r="J1342" s="7">
        <f>+Tabla1[[#This Row],[PRECIO EN SOLES]]-Tabla1[[#This Row],[PC]]</f>
        <v>191.19983639999987</v>
      </c>
    </row>
    <row r="1343" spans="1:10" x14ac:dyDescent="0.25">
      <c r="A1343" s="3" t="s">
        <v>2970</v>
      </c>
      <c r="B1343" s="3" t="s">
        <v>2971</v>
      </c>
      <c r="C1343" s="1">
        <v>3</v>
      </c>
      <c r="D1343" s="1">
        <v>369</v>
      </c>
      <c r="E1343" s="1" t="s">
        <v>1396</v>
      </c>
      <c r="F1343" s="1" t="s">
        <v>5115</v>
      </c>
      <c r="G1343" s="3" t="s">
        <v>2972</v>
      </c>
      <c r="H1343" s="12" cm="1">
        <f t="array" ref="H1343">_xlfn.IFS(I1343&lt;197,I1343*1.26,I1343&gt;197,I1343*1.17) + IF(I1343&gt;1000,17,0)</f>
        <v>1749.1007599999998</v>
      </c>
      <c r="I1343" s="10">
        <f>($K$2+0.02)*Tabla1[[#This Row],[PRECIO $]]*1.18</f>
        <v>1480.4279999999999</v>
      </c>
      <c r="J1343" s="7">
        <f>+Tabla1[[#This Row],[PRECIO EN SOLES]]-Tabla1[[#This Row],[PC]]</f>
        <v>268.67275999999993</v>
      </c>
    </row>
    <row r="1344" spans="1:10" x14ac:dyDescent="0.25">
      <c r="A1344" s="3" t="s">
        <v>2973</v>
      </c>
      <c r="B1344" s="3" t="s">
        <v>2971</v>
      </c>
      <c r="C1344" s="1">
        <v>20</v>
      </c>
      <c r="D1344" s="1">
        <v>311.06</v>
      </c>
      <c r="E1344" s="1" t="s">
        <v>1396</v>
      </c>
      <c r="F1344" s="1" t="s">
        <v>5116</v>
      </c>
      <c r="G1344" s="3"/>
      <c r="H1344" s="12" cm="1">
        <f t="array" ref="H1344">_xlfn.IFS(I1344&lt;197,I1344*1.26,I1344&gt;197,I1344*1.17) + IF(I1344&gt;1000,17,0)</f>
        <v>1477.1280823999998</v>
      </c>
      <c r="I1344" s="10">
        <f>($K$2+0.02)*Tabla1[[#This Row],[PRECIO $]]*1.18</f>
        <v>1247.97272</v>
      </c>
      <c r="J1344" s="7">
        <f>+Tabla1[[#This Row],[PRECIO EN SOLES]]-Tabla1[[#This Row],[PC]]</f>
        <v>229.15536239999983</v>
      </c>
    </row>
    <row r="1345" spans="1:10" x14ac:dyDescent="0.25">
      <c r="A1345" s="3" t="s">
        <v>2974</v>
      </c>
      <c r="B1345" s="3" t="s">
        <v>2975</v>
      </c>
      <c r="C1345" s="1">
        <v>9</v>
      </c>
      <c r="D1345" s="1">
        <v>172.93</v>
      </c>
      <c r="E1345" s="1" t="s">
        <v>1460</v>
      </c>
      <c r="F1345" s="1" t="s">
        <v>5117</v>
      </c>
      <c r="G1345" s="3" t="s">
        <v>2976</v>
      </c>
      <c r="H1345" s="12" cm="1">
        <f t="array" ref="H1345">_xlfn.IFS(I1345&lt;197,I1345*1.26,I1345&gt;197,I1345*1.17) + IF(I1345&gt;1000,17,0)</f>
        <v>811.74033719999989</v>
      </c>
      <c r="I1345" s="10">
        <f>($K$2+0.02)*Tabla1[[#This Row],[PRECIO $]]*1.18</f>
        <v>693.7951599999999</v>
      </c>
      <c r="J1345" s="7">
        <f>+Tabla1[[#This Row],[PRECIO EN SOLES]]-Tabla1[[#This Row],[PC]]</f>
        <v>117.94517719999999</v>
      </c>
    </row>
    <row r="1346" spans="1:10" x14ac:dyDescent="0.25">
      <c r="A1346" s="3" t="s">
        <v>2977</v>
      </c>
      <c r="B1346" s="3" t="s">
        <v>2978</v>
      </c>
      <c r="C1346" s="1">
        <v>10</v>
      </c>
      <c r="D1346" s="1">
        <v>240.77</v>
      </c>
      <c r="E1346" s="1" t="s">
        <v>57</v>
      </c>
      <c r="F1346" s="1" t="s">
        <v>5118</v>
      </c>
      <c r="G1346" s="3" t="s">
        <v>2979</v>
      </c>
      <c r="H1346" s="12" cm="1">
        <f t="array" ref="H1346">_xlfn.IFS(I1346&lt;197,I1346*1.26,I1346&gt;197,I1346*1.17) + IF(I1346&gt;1000,17,0)</f>
        <v>1130.1840107999999</v>
      </c>
      <c r="I1346" s="10">
        <f>($K$2+0.02)*Tabla1[[#This Row],[PRECIO $]]*1.18</f>
        <v>965.96924000000001</v>
      </c>
      <c r="J1346" s="7">
        <f>+Tabla1[[#This Row],[PRECIO EN SOLES]]-Tabla1[[#This Row],[PC]]</f>
        <v>164.21477079999988</v>
      </c>
    </row>
    <row r="1347" spans="1:10" x14ac:dyDescent="0.25">
      <c r="A1347" s="3" t="s">
        <v>2980</v>
      </c>
      <c r="B1347" s="3" t="s">
        <v>2981</v>
      </c>
      <c r="C1347" s="1">
        <v>2</v>
      </c>
      <c r="D1347" s="1">
        <v>450</v>
      </c>
      <c r="E1347" s="1" t="s">
        <v>1396</v>
      </c>
      <c r="F1347" s="1" t="s">
        <v>5119</v>
      </c>
      <c r="G1347" s="3" t="s">
        <v>2982</v>
      </c>
      <c r="H1347" s="12" cm="1">
        <f t="array" ref="H1347">_xlfn.IFS(I1347&lt;197,I1347*1.26,I1347&gt;197,I1347*1.17) + IF(I1347&gt;1000,17,0)</f>
        <v>2129.3179999999998</v>
      </c>
      <c r="I1347" s="10">
        <f>($K$2+0.02)*Tabla1[[#This Row],[PRECIO $]]*1.18</f>
        <v>1805.3999999999999</v>
      </c>
      <c r="J1347" s="7">
        <f>+Tabla1[[#This Row],[PRECIO EN SOLES]]-Tabla1[[#This Row],[PC]]</f>
        <v>323.91799999999989</v>
      </c>
    </row>
    <row r="1348" spans="1:10" x14ac:dyDescent="0.25">
      <c r="A1348" s="3" t="s">
        <v>2983</v>
      </c>
      <c r="B1348" s="3" t="s">
        <v>2984</v>
      </c>
      <c r="C1348" s="1">
        <v>7</v>
      </c>
      <c r="D1348" s="1">
        <v>350</v>
      </c>
      <c r="E1348" s="1" t="s">
        <v>1396</v>
      </c>
      <c r="F1348" s="1" t="s">
        <v>5120</v>
      </c>
      <c r="G1348" s="3"/>
      <c r="H1348" s="12" cm="1">
        <f t="array" ref="H1348">_xlfn.IFS(I1348&lt;197,I1348*1.26,I1348&gt;197,I1348*1.17) + IF(I1348&gt;1000,17,0)</f>
        <v>1659.9139999999998</v>
      </c>
      <c r="I1348" s="10">
        <f>($K$2+0.02)*Tabla1[[#This Row],[PRECIO $]]*1.18</f>
        <v>1404.1999999999998</v>
      </c>
      <c r="J1348" s="7">
        <f>+Tabla1[[#This Row],[PRECIO EN SOLES]]-Tabla1[[#This Row],[PC]]</f>
        <v>255.71399999999994</v>
      </c>
    </row>
    <row r="1349" spans="1:10" x14ac:dyDescent="0.25">
      <c r="A1349" s="3" t="s">
        <v>2985</v>
      </c>
      <c r="B1349" s="3" t="s">
        <v>2986</v>
      </c>
      <c r="C1349" s="1">
        <v>1</v>
      </c>
      <c r="D1349" s="1">
        <v>168.42</v>
      </c>
      <c r="E1349" s="1" t="s">
        <v>1396</v>
      </c>
      <c r="F1349" s="1" t="s">
        <v>5121</v>
      </c>
      <c r="G1349" s="3"/>
      <c r="H1349" s="12" cm="1">
        <f t="array" ref="H1349">_xlfn.IFS(I1349&lt;197,I1349*1.26,I1349&gt;197,I1349*1.17) + IF(I1349&gt;1000,17,0)</f>
        <v>790.57021679999991</v>
      </c>
      <c r="I1349" s="10">
        <f>($K$2+0.02)*Tabla1[[#This Row],[PRECIO $]]*1.18</f>
        <v>675.70103999999992</v>
      </c>
      <c r="J1349" s="7">
        <f>+Tabla1[[#This Row],[PRECIO EN SOLES]]-Tabla1[[#This Row],[PC]]</f>
        <v>114.86917679999999</v>
      </c>
    </row>
    <row r="1350" spans="1:10" x14ac:dyDescent="0.25">
      <c r="A1350" s="3" t="s">
        <v>2987</v>
      </c>
      <c r="B1350" s="3" t="s">
        <v>2988</v>
      </c>
      <c r="C1350" s="1">
        <v>1</v>
      </c>
      <c r="D1350" s="1">
        <v>678</v>
      </c>
      <c r="E1350" s="1" t="s">
        <v>1396</v>
      </c>
      <c r="F1350" s="1" t="s">
        <v>5122</v>
      </c>
      <c r="G1350" s="3" t="s">
        <v>2989</v>
      </c>
      <c r="H1350" s="12" cm="1">
        <f t="array" ref="H1350">_xlfn.IFS(I1350&lt;197,I1350*1.26,I1350&gt;197,I1350*1.17) + IF(I1350&gt;1000,17,0)</f>
        <v>3199.5591199999994</v>
      </c>
      <c r="I1350" s="10">
        <f>($K$2+0.02)*Tabla1[[#This Row],[PRECIO $]]*1.18</f>
        <v>2720.1359999999995</v>
      </c>
      <c r="J1350" s="7">
        <f>+Tabla1[[#This Row],[PRECIO EN SOLES]]-Tabla1[[#This Row],[PC]]</f>
        <v>479.42311999999993</v>
      </c>
    </row>
    <row r="1351" spans="1:10" x14ac:dyDescent="0.25">
      <c r="A1351" s="3" t="s">
        <v>2990</v>
      </c>
      <c r="B1351" s="3" t="s">
        <v>2991</v>
      </c>
      <c r="C1351" s="1">
        <v>6</v>
      </c>
      <c r="D1351" s="1">
        <v>201.77</v>
      </c>
      <c r="E1351" s="1" t="s">
        <v>1460</v>
      </c>
      <c r="F1351" s="1" t="s">
        <v>5123</v>
      </c>
      <c r="G1351" s="3" t="s">
        <v>2992</v>
      </c>
      <c r="H1351" s="12" cm="1">
        <f t="array" ref="H1351">_xlfn.IFS(I1351&lt;197,I1351*1.26,I1351&gt;197,I1351*1.17) + IF(I1351&gt;1000,17,0)</f>
        <v>947.11645079999982</v>
      </c>
      <c r="I1351" s="10">
        <f>($K$2+0.02)*Tabla1[[#This Row],[PRECIO $]]*1.18</f>
        <v>809.50123999999994</v>
      </c>
      <c r="J1351" s="7">
        <f>+Tabla1[[#This Row],[PRECIO EN SOLES]]-Tabla1[[#This Row],[PC]]</f>
        <v>137.61521079999989</v>
      </c>
    </row>
    <row r="1352" spans="1:10" x14ac:dyDescent="0.25">
      <c r="A1352" s="3" t="s">
        <v>2993</v>
      </c>
      <c r="B1352" s="3" t="s">
        <v>2994</v>
      </c>
      <c r="C1352" s="1">
        <v>5</v>
      </c>
      <c r="D1352" s="1">
        <v>116</v>
      </c>
      <c r="E1352" s="1" t="s">
        <v>52</v>
      </c>
      <c r="F1352" s="1" t="s">
        <v>5124</v>
      </c>
      <c r="G1352" s="3" t="s">
        <v>2995</v>
      </c>
      <c r="H1352" s="12" cm="1">
        <f t="array" ref="H1352">_xlfn.IFS(I1352&lt;197,I1352*1.26,I1352&gt;197,I1352*1.17) + IF(I1352&gt;1000,17,0)</f>
        <v>544.5086399999999</v>
      </c>
      <c r="I1352" s="10">
        <f>($K$2+0.02)*Tabla1[[#This Row],[PRECIO $]]*1.18</f>
        <v>465.39199999999994</v>
      </c>
      <c r="J1352" s="7">
        <f>+Tabla1[[#This Row],[PRECIO EN SOLES]]-Tabla1[[#This Row],[PC]]</f>
        <v>79.116639999999961</v>
      </c>
    </row>
    <row r="1353" spans="1:10" x14ac:dyDescent="0.25">
      <c r="A1353" s="3" t="s">
        <v>917</v>
      </c>
      <c r="B1353" s="3" t="s">
        <v>828</v>
      </c>
      <c r="C1353" s="1">
        <v>11</v>
      </c>
      <c r="D1353" s="1">
        <v>106</v>
      </c>
      <c r="E1353" s="1" t="s">
        <v>52</v>
      </c>
      <c r="F1353" s="1" t="s">
        <v>5125</v>
      </c>
      <c r="G1353" s="3" t="s">
        <v>918</v>
      </c>
      <c r="H1353" s="12" cm="1">
        <f t="array" ref="H1353">_xlfn.IFS(I1353&lt;197,I1353*1.26,I1353&gt;197,I1353*1.17) + IF(I1353&gt;1000,17,0)</f>
        <v>497.56823999999989</v>
      </c>
      <c r="I1353" s="10">
        <f>($K$2+0.02)*Tabla1[[#This Row],[PRECIO $]]*1.18</f>
        <v>425.27199999999993</v>
      </c>
      <c r="J1353" s="7">
        <f>+Tabla1[[#This Row],[PRECIO EN SOLES]]-Tabla1[[#This Row],[PC]]</f>
        <v>72.296239999999955</v>
      </c>
    </row>
    <row r="1354" spans="1:10" x14ac:dyDescent="0.25">
      <c r="A1354" s="3" t="s">
        <v>2996</v>
      </c>
      <c r="B1354" s="3" t="s">
        <v>828</v>
      </c>
      <c r="C1354" s="1">
        <v>0</v>
      </c>
      <c r="D1354" s="1">
        <v>9999999.9900000002</v>
      </c>
      <c r="E1354" s="1" t="s">
        <v>52</v>
      </c>
      <c r="F1354" s="1" t="s">
        <v>5126</v>
      </c>
      <c r="G1354" s="3"/>
      <c r="H1354" s="12" cm="1">
        <f t="array" ref="H1354">_xlfn.IFS(I1354&lt;197,I1354*1.26,I1354&gt;197,I1354*1.17) + IF(I1354&gt;1000,17,0)</f>
        <v>46940416.953059591</v>
      </c>
      <c r="I1354" s="10">
        <f>($K$2+0.02)*Tabla1[[#This Row],[PRECIO $]]*1.18</f>
        <v>40119999.959879994</v>
      </c>
      <c r="J1354" s="7">
        <f>+Tabla1[[#This Row],[PRECIO EN SOLES]]-Tabla1[[#This Row],[PC]]</f>
        <v>6820416.993179597</v>
      </c>
    </row>
    <row r="1355" spans="1:10" x14ac:dyDescent="0.25">
      <c r="A1355" s="3" t="s">
        <v>515</v>
      </c>
      <c r="B1355" s="3" t="s">
        <v>516</v>
      </c>
      <c r="C1355" s="1">
        <v>20</v>
      </c>
      <c r="D1355" s="1">
        <v>18.38</v>
      </c>
      <c r="E1355" s="1" t="s">
        <v>502</v>
      </c>
      <c r="F1355" s="1" t="s">
        <v>5127</v>
      </c>
      <c r="G1355" s="3" t="s">
        <v>517</v>
      </c>
      <c r="H1355" s="12" cm="1">
        <f t="array" ref="H1355">_xlfn.IFS(I1355&lt;197,I1355*1.26,I1355&gt;197,I1355*1.17) + IF(I1355&gt;1000,17,0)</f>
        <v>92.91310559999998</v>
      </c>
      <c r="I1355" s="10">
        <f>($K$2+0.02)*Tabla1[[#This Row],[PRECIO $]]*1.18</f>
        <v>73.740559999999988</v>
      </c>
      <c r="J1355" s="7">
        <f>+Tabla1[[#This Row],[PRECIO EN SOLES]]-Tabla1[[#This Row],[PC]]</f>
        <v>19.172545599999992</v>
      </c>
    </row>
    <row r="1356" spans="1:10" x14ac:dyDescent="0.25">
      <c r="A1356" s="3" t="s">
        <v>518</v>
      </c>
      <c r="B1356" s="3" t="s">
        <v>519</v>
      </c>
      <c r="C1356" s="1">
        <v>20</v>
      </c>
      <c r="D1356" s="1">
        <v>12.9</v>
      </c>
      <c r="E1356" s="1" t="s">
        <v>52</v>
      </c>
      <c r="F1356" s="1" t="s">
        <v>5128</v>
      </c>
      <c r="G1356" s="3" t="s">
        <v>520</v>
      </c>
      <c r="H1356" s="12" cm="1">
        <f t="array" ref="H1356">_xlfn.IFS(I1356&lt;197,I1356*1.26,I1356&gt;197,I1356*1.17) + IF(I1356&gt;1000,17,0)</f>
        <v>65.211047999999991</v>
      </c>
      <c r="I1356" s="10">
        <f>($K$2+0.02)*Tabla1[[#This Row],[PRECIO $]]*1.18</f>
        <v>51.754799999999996</v>
      </c>
      <c r="J1356" s="7">
        <f>+Tabla1[[#This Row],[PRECIO EN SOLES]]-Tabla1[[#This Row],[PC]]</f>
        <v>13.456247999999995</v>
      </c>
    </row>
    <row r="1357" spans="1:10" x14ac:dyDescent="0.25">
      <c r="A1357" s="3" t="s">
        <v>521</v>
      </c>
      <c r="B1357" s="3" t="s">
        <v>522</v>
      </c>
      <c r="C1357" s="1">
        <v>20</v>
      </c>
      <c r="D1357" s="1">
        <v>19.399999999999999</v>
      </c>
      <c r="E1357" s="1" t="s">
        <v>52</v>
      </c>
      <c r="F1357" s="1" t="s">
        <v>5129</v>
      </c>
      <c r="G1357" s="3" t="s">
        <v>523</v>
      </c>
      <c r="H1357" s="12" cm="1">
        <f t="array" ref="H1357">_xlfn.IFS(I1357&lt;197,I1357*1.26,I1357&gt;197,I1357*1.17) + IF(I1357&gt;1000,17,0)</f>
        <v>98.069327999999985</v>
      </c>
      <c r="I1357" s="10">
        <f>($K$2+0.02)*Tabla1[[#This Row],[PRECIO $]]*1.18</f>
        <v>77.832799999999992</v>
      </c>
      <c r="J1357" s="7">
        <f>+Tabla1[[#This Row],[PRECIO EN SOLES]]-Tabla1[[#This Row],[PC]]</f>
        <v>20.236527999999993</v>
      </c>
    </row>
    <row r="1358" spans="1:10" x14ac:dyDescent="0.25">
      <c r="A1358" s="3" t="s">
        <v>2997</v>
      </c>
      <c r="B1358" s="3" t="s">
        <v>2998</v>
      </c>
      <c r="C1358" s="1">
        <v>10</v>
      </c>
      <c r="D1358" s="1">
        <v>93</v>
      </c>
      <c r="E1358" s="1" t="s">
        <v>54</v>
      </c>
      <c r="F1358" s="1" t="s">
        <v>5130</v>
      </c>
      <c r="G1358" s="3" t="s">
        <v>2999</v>
      </c>
      <c r="H1358" s="12" cm="1">
        <f t="array" ref="H1358">_xlfn.IFS(I1358&lt;197,I1358*1.26,I1358&gt;197,I1358*1.17) + IF(I1358&gt;1000,17,0)</f>
        <v>436.54571999999996</v>
      </c>
      <c r="I1358" s="10">
        <f>($K$2+0.02)*Tabla1[[#This Row],[PRECIO $]]*1.18</f>
        <v>373.11599999999999</v>
      </c>
      <c r="J1358" s="7">
        <f>+Tabla1[[#This Row],[PRECIO EN SOLES]]-Tabla1[[#This Row],[PC]]</f>
        <v>63.429719999999975</v>
      </c>
    </row>
    <row r="1359" spans="1:10" x14ac:dyDescent="0.25">
      <c r="A1359" s="3" t="s">
        <v>524</v>
      </c>
      <c r="B1359" s="3" t="s">
        <v>525</v>
      </c>
      <c r="C1359" s="1">
        <v>0</v>
      </c>
      <c r="D1359" s="1">
        <v>999</v>
      </c>
      <c r="E1359" s="1" t="s">
        <v>526</v>
      </c>
      <c r="F1359" s="1" t="s">
        <v>5131</v>
      </c>
      <c r="G1359" s="3" t="s">
        <v>527</v>
      </c>
      <c r="H1359" s="12" cm="1">
        <f t="array" ref="H1359">_xlfn.IFS(I1359&lt;197,I1359*1.26,I1359&gt;197,I1359*1.17) + IF(I1359&gt;1000,17,0)</f>
        <v>4706.3459599999996</v>
      </c>
      <c r="I1359" s="10">
        <f>($K$2+0.02)*Tabla1[[#This Row],[PRECIO $]]*1.18</f>
        <v>4007.9879999999998</v>
      </c>
      <c r="J1359" s="7">
        <f>+Tabla1[[#This Row],[PRECIO EN SOLES]]-Tabla1[[#This Row],[PC]]</f>
        <v>698.35795999999982</v>
      </c>
    </row>
    <row r="1360" spans="1:10" x14ac:dyDescent="0.25">
      <c r="A1360" s="3" t="s">
        <v>3000</v>
      </c>
      <c r="B1360" s="3" t="s">
        <v>3001</v>
      </c>
      <c r="C1360" s="1">
        <v>0</v>
      </c>
      <c r="D1360" s="1">
        <v>999</v>
      </c>
      <c r="E1360" s="1" t="s">
        <v>526</v>
      </c>
      <c r="F1360" s="1" t="s">
        <v>5132</v>
      </c>
      <c r="G1360" s="3" t="s">
        <v>3002</v>
      </c>
      <c r="H1360" s="12" cm="1">
        <f t="array" ref="H1360">_xlfn.IFS(I1360&lt;197,I1360*1.26,I1360&gt;197,I1360*1.17) + IF(I1360&gt;1000,17,0)</f>
        <v>4706.3459599999996</v>
      </c>
      <c r="I1360" s="10">
        <f>($K$2+0.02)*Tabla1[[#This Row],[PRECIO $]]*1.18</f>
        <v>4007.9879999999998</v>
      </c>
      <c r="J1360" s="7">
        <f>+Tabla1[[#This Row],[PRECIO EN SOLES]]-Tabla1[[#This Row],[PC]]</f>
        <v>698.35795999999982</v>
      </c>
    </row>
    <row r="1361" spans="1:10" x14ac:dyDescent="0.25">
      <c r="A1361" s="3" t="s">
        <v>3003</v>
      </c>
      <c r="B1361" s="3" t="s">
        <v>3004</v>
      </c>
      <c r="C1361" s="1">
        <v>15</v>
      </c>
      <c r="D1361" s="1">
        <v>500</v>
      </c>
      <c r="E1361" s="1" t="s">
        <v>526</v>
      </c>
      <c r="F1361" s="1" t="s">
        <v>5133</v>
      </c>
      <c r="G1361" s="3"/>
      <c r="H1361" s="12" cm="1">
        <f t="array" ref="H1361">_xlfn.IFS(I1361&lt;197,I1361*1.26,I1361&gt;197,I1361*1.17) + IF(I1361&gt;1000,17,0)</f>
        <v>2364.02</v>
      </c>
      <c r="I1361" s="10">
        <f>($K$2+0.02)*Tabla1[[#This Row],[PRECIO $]]*1.18</f>
        <v>2006</v>
      </c>
      <c r="J1361" s="7">
        <f>+Tabla1[[#This Row],[PRECIO EN SOLES]]-Tabla1[[#This Row],[PC]]</f>
        <v>358.02</v>
      </c>
    </row>
    <row r="1362" spans="1:10" x14ac:dyDescent="0.25">
      <c r="A1362" s="3" t="s">
        <v>3005</v>
      </c>
      <c r="B1362" s="3" t="s">
        <v>3001</v>
      </c>
      <c r="C1362" s="1">
        <v>15</v>
      </c>
      <c r="D1362" s="1">
        <v>200</v>
      </c>
      <c r="E1362" s="1" t="s">
        <v>526</v>
      </c>
      <c r="F1362" s="1" t="s">
        <v>5134</v>
      </c>
      <c r="G1362" s="3"/>
      <c r="H1362" s="12" cm="1">
        <f t="array" ref="H1362">_xlfn.IFS(I1362&lt;197,I1362*1.26,I1362&gt;197,I1362*1.17) + IF(I1362&gt;1000,17,0)</f>
        <v>938.80799999999988</v>
      </c>
      <c r="I1362" s="10">
        <f>($K$2+0.02)*Tabla1[[#This Row],[PRECIO $]]*1.18</f>
        <v>802.4</v>
      </c>
      <c r="J1362" s="7">
        <f>+Tabla1[[#This Row],[PRECIO EN SOLES]]-Tabla1[[#This Row],[PC]]</f>
        <v>136.4079999999999</v>
      </c>
    </row>
    <row r="1363" spans="1:10" x14ac:dyDescent="0.25">
      <c r="A1363" s="3" t="s">
        <v>3006</v>
      </c>
      <c r="B1363" s="3" t="s">
        <v>3007</v>
      </c>
      <c r="C1363" s="1">
        <v>9</v>
      </c>
      <c r="D1363" s="1">
        <v>70</v>
      </c>
      <c r="E1363" s="1" t="s">
        <v>526</v>
      </c>
      <c r="F1363" s="1" t="s">
        <v>5135</v>
      </c>
      <c r="G1363" s="3"/>
      <c r="H1363" s="12" cm="1">
        <f t="array" ref="H1363">_xlfn.IFS(I1363&lt;197,I1363*1.26,I1363&gt;197,I1363*1.17) + IF(I1363&gt;1000,17,0)</f>
        <v>328.58279999999996</v>
      </c>
      <c r="I1363" s="10">
        <f>($K$2+0.02)*Tabla1[[#This Row],[PRECIO $]]*1.18</f>
        <v>280.83999999999997</v>
      </c>
      <c r="J1363" s="7">
        <f>+Tabla1[[#This Row],[PRECIO EN SOLES]]-Tabla1[[#This Row],[PC]]</f>
        <v>47.742799999999988</v>
      </c>
    </row>
    <row r="1364" spans="1:10" x14ac:dyDescent="0.25">
      <c r="A1364" s="3" t="s">
        <v>528</v>
      </c>
      <c r="B1364" s="3" t="s">
        <v>529</v>
      </c>
      <c r="C1364" s="1">
        <v>20</v>
      </c>
      <c r="D1364" s="1">
        <v>3.5</v>
      </c>
      <c r="E1364" s="1" t="s">
        <v>530</v>
      </c>
      <c r="F1364" s="1" t="s">
        <v>5136</v>
      </c>
      <c r="G1364" s="3"/>
      <c r="H1364" s="12" cm="1">
        <f t="array" ref="H1364">_xlfn.IFS(I1364&lt;197,I1364*1.26,I1364&gt;197,I1364*1.17) + IF(I1364&gt;1000,17,0)</f>
        <v>17.692920000000001</v>
      </c>
      <c r="I1364" s="10">
        <f>($K$2+0.02)*Tabla1[[#This Row],[PRECIO $]]*1.18</f>
        <v>14.042</v>
      </c>
      <c r="J1364" s="7">
        <f>+Tabla1[[#This Row],[PRECIO EN SOLES]]-Tabla1[[#This Row],[PC]]</f>
        <v>3.6509200000000011</v>
      </c>
    </row>
    <row r="1365" spans="1:10" x14ac:dyDescent="0.25">
      <c r="A1365" s="3" t="s">
        <v>3008</v>
      </c>
      <c r="B1365" s="3" t="s">
        <v>3009</v>
      </c>
      <c r="C1365" s="1">
        <v>20</v>
      </c>
      <c r="D1365" s="1">
        <v>10.32</v>
      </c>
      <c r="E1365" s="1" t="s">
        <v>530</v>
      </c>
      <c r="F1365" s="1" t="s">
        <v>5137</v>
      </c>
      <c r="G1365" s="3"/>
      <c r="H1365" s="12" cm="1">
        <f t="array" ref="H1365">_xlfn.IFS(I1365&lt;197,I1365*1.26,I1365&gt;197,I1365*1.17) + IF(I1365&gt;1000,17,0)</f>
        <v>52.168838400000006</v>
      </c>
      <c r="I1365" s="10">
        <f>($K$2+0.02)*Tabla1[[#This Row],[PRECIO $]]*1.18</f>
        <v>41.403840000000002</v>
      </c>
      <c r="J1365" s="7">
        <f>+Tabla1[[#This Row],[PRECIO EN SOLES]]-Tabla1[[#This Row],[PC]]</f>
        <v>10.764998400000003</v>
      </c>
    </row>
    <row r="1366" spans="1:10" x14ac:dyDescent="0.25">
      <c r="A1366" s="3" t="s">
        <v>3010</v>
      </c>
      <c r="B1366" s="3" t="s">
        <v>3011</v>
      </c>
      <c r="C1366" s="1">
        <v>20</v>
      </c>
      <c r="D1366" s="1">
        <v>16.8</v>
      </c>
      <c r="E1366" s="1" t="s">
        <v>530</v>
      </c>
      <c r="F1366" s="1" t="s">
        <v>5138</v>
      </c>
      <c r="G1366" s="3" t="s">
        <v>3012</v>
      </c>
      <c r="H1366" s="12" cm="1">
        <f t="array" ref="H1366">_xlfn.IFS(I1366&lt;197,I1366*1.26,I1366&gt;197,I1366*1.17) + IF(I1366&gt;1000,17,0)</f>
        <v>84.92601599999999</v>
      </c>
      <c r="I1366" s="10">
        <f>($K$2+0.02)*Tabla1[[#This Row],[PRECIO $]]*1.18</f>
        <v>67.401599999999988</v>
      </c>
      <c r="J1366" s="7">
        <f>+Tabla1[[#This Row],[PRECIO EN SOLES]]-Tabla1[[#This Row],[PC]]</f>
        <v>17.524416000000002</v>
      </c>
    </row>
    <row r="1367" spans="1:10" x14ac:dyDescent="0.25">
      <c r="A1367" s="3" t="s">
        <v>531</v>
      </c>
      <c r="B1367" s="3" t="s">
        <v>532</v>
      </c>
      <c r="C1367" s="1">
        <v>20</v>
      </c>
      <c r="D1367" s="1">
        <v>14.82</v>
      </c>
      <c r="E1367" s="1" t="s">
        <v>530</v>
      </c>
      <c r="F1367" s="1" t="s">
        <v>5139</v>
      </c>
      <c r="G1367" s="3" t="s">
        <v>533</v>
      </c>
      <c r="H1367" s="12" cm="1">
        <f t="array" ref="H1367">_xlfn.IFS(I1367&lt;197,I1367*1.26,I1367&gt;197,I1367*1.17) + IF(I1367&gt;1000,17,0)</f>
        <v>74.916878400000002</v>
      </c>
      <c r="I1367" s="10">
        <f>($K$2+0.02)*Tabla1[[#This Row],[PRECIO $]]*1.18</f>
        <v>59.457839999999997</v>
      </c>
      <c r="J1367" s="7">
        <f>+Tabla1[[#This Row],[PRECIO EN SOLES]]-Tabla1[[#This Row],[PC]]</f>
        <v>15.459038400000004</v>
      </c>
    </row>
    <row r="1368" spans="1:10" x14ac:dyDescent="0.25">
      <c r="A1368" s="3" t="s">
        <v>534</v>
      </c>
      <c r="B1368" s="3" t="s">
        <v>535</v>
      </c>
      <c r="C1368" s="1">
        <v>20</v>
      </c>
      <c r="D1368" s="1">
        <v>19.399999999999999</v>
      </c>
      <c r="E1368" s="1" t="s">
        <v>530</v>
      </c>
      <c r="F1368" s="1" t="s">
        <v>5140</v>
      </c>
      <c r="G1368" s="3" t="s">
        <v>536</v>
      </c>
      <c r="H1368" s="12" cm="1">
        <f t="array" ref="H1368">_xlfn.IFS(I1368&lt;197,I1368*1.26,I1368&gt;197,I1368*1.17) + IF(I1368&gt;1000,17,0)</f>
        <v>98.069327999999985</v>
      </c>
      <c r="I1368" s="10">
        <f>($K$2+0.02)*Tabla1[[#This Row],[PRECIO $]]*1.18</f>
        <v>77.832799999999992</v>
      </c>
      <c r="J1368" s="7">
        <f>+Tabla1[[#This Row],[PRECIO EN SOLES]]-Tabla1[[#This Row],[PC]]</f>
        <v>20.236527999999993</v>
      </c>
    </row>
    <row r="1369" spans="1:10" x14ac:dyDescent="0.25">
      <c r="A1369" s="3" t="s">
        <v>3013</v>
      </c>
      <c r="B1369" s="3" t="s">
        <v>3014</v>
      </c>
      <c r="C1369" s="1">
        <v>20</v>
      </c>
      <c r="D1369" s="1">
        <v>4.5</v>
      </c>
      <c r="E1369" s="1" t="s">
        <v>530</v>
      </c>
      <c r="F1369" s="1" t="s">
        <v>5141</v>
      </c>
      <c r="G1369" s="3"/>
      <c r="H1369" s="12" cm="1">
        <f t="array" ref="H1369">_xlfn.IFS(I1369&lt;197,I1369*1.26,I1369&gt;197,I1369*1.17) + IF(I1369&gt;1000,17,0)</f>
        <v>22.74804</v>
      </c>
      <c r="I1369" s="10">
        <f>($K$2+0.02)*Tabla1[[#This Row],[PRECIO $]]*1.18</f>
        <v>18.053999999999998</v>
      </c>
      <c r="J1369" s="7">
        <f>+Tabla1[[#This Row],[PRECIO EN SOLES]]-Tabla1[[#This Row],[PC]]</f>
        <v>4.6940400000000011</v>
      </c>
    </row>
    <row r="1370" spans="1:10" x14ac:dyDescent="0.25">
      <c r="A1370" s="3" t="s">
        <v>3015</v>
      </c>
      <c r="B1370" s="3" t="s">
        <v>3016</v>
      </c>
      <c r="C1370" s="1">
        <v>20</v>
      </c>
      <c r="D1370" s="1">
        <v>22.6</v>
      </c>
      <c r="E1370" s="1" t="s">
        <v>530</v>
      </c>
      <c r="F1370" s="1" t="s">
        <v>5142</v>
      </c>
      <c r="G1370" s="3" t="s">
        <v>3017</v>
      </c>
      <c r="H1370" s="12" cm="1">
        <f t="array" ref="H1370">_xlfn.IFS(I1370&lt;197,I1370*1.26,I1370&gt;197,I1370*1.17) + IF(I1370&gt;1000,17,0)</f>
        <v>114.245712</v>
      </c>
      <c r="I1370" s="10">
        <f>($K$2+0.02)*Tabla1[[#This Row],[PRECIO $]]*1.18</f>
        <v>90.671199999999999</v>
      </c>
      <c r="J1370" s="7">
        <f>+Tabla1[[#This Row],[PRECIO EN SOLES]]-Tabla1[[#This Row],[PC]]</f>
        <v>23.574511999999999</v>
      </c>
    </row>
    <row r="1371" spans="1:10" x14ac:dyDescent="0.25">
      <c r="A1371" s="3" t="s">
        <v>3018</v>
      </c>
      <c r="B1371" s="3" t="s">
        <v>3019</v>
      </c>
      <c r="C1371" s="1">
        <v>9</v>
      </c>
      <c r="D1371" s="1">
        <v>37.6</v>
      </c>
      <c r="E1371" s="1" t="s">
        <v>530</v>
      </c>
      <c r="F1371" s="1" t="s">
        <v>5143</v>
      </c>
      <c r="G1371" s="3"/>
      <c r="H1371" s="12" cm="1">
        <f t="array" ref="H1371">_xlfn.IFS(I1371&lt;197,I1371*1.26,I1371&gt;197,I1371*1.17) + IF(I1371&gt;1000,17,0)</f>
        <v>190.07251200000002</v>
      </c>
      <c r="I1371" s="10">
        <f>($K$2+0.02)*Tabla1[[#This Row],[PRECIO $]]*1.18</f>
        <v>150.85120000000001</v>
      </c>
      <c r="J1371" s="7">
        <f>+Tabla1[[#This Row],[PRECIO EN SOLES]]-Tabla1[[#This Row],[PC]]</f>
        <v>39.221312000000012</v>
      </c>
    </row>
    <row r="1372" spans="1:10" x14ac:dyDescent="0.25">
      <c r="A1372" s="3" t="s">
        <v>3020</v>
      </c>
      <c r="B1372" s="3" t="s">
        <v>3021</v>
      </c>
      <c r="C1372" s="1">
        <v>20</v>
      </c>
      <c r="D1372" s="1">
        <v>16.2</v>
      </c>
      <c r="E1372" s="1" t="s">
        <v>279</v>
      </c>
      <c r="F1372" s="1" t="s">
        <v>5144</v>
      </c>
      <c r="G1372" s="3"/>
      <c r="H1372" s="12" cm="1">
        <f t="array" ref="H1372">_xlfn.IFS(I1372&lt;197,I1372*1.26,I1372&gt;197,I1372*1.17) + IF(I1372&gt;1000,17,0)</f>
        <v>81.892944</v>
      </c>
      <c r="I1372" s="10">
        <f>($K$2+0.02)*Tabla1[[#This Row],[PRECIO $]]*1.18</f>
        <v>64.994399999999999</v>
      </c>
      <c r="J1372" s="7">
        <f>+Tabla1[[#This Row],[PRECIO EN SOLES]]-Tabla1[[#This Row],[PC]]</f>
        <v>16.898544000000001</v>
      </c>
    </row>
    <row r="1373" spans="1:10" x14ac:dyDescent="0.25">
      <c r="A1373" s="3" t="s">
        <v>3022</v>
      </c>
      <c r="B1373" s="3" t="s">
        <v>3023</v>
      </c>
      <c r="C1373" s="1">
        <v>20</v>
      </c>
      <c r="D1373" s="1">
        <v>20.9</v>
      </c>
      <c r="E1373" s="1" t="s">
        <v>279</v>
      </c>
      <c r="F1373" s="1" t="s">
        <v>5145</v>
      </c>
      <c r="G1373" s="3"/>
      <c r="H1373" s="12" cm="1">
        <f t="array" ref="H1373">_xlfn.IFS(I1373&lt;197,I1373*1.26,I1373&gt;197,I1373*1.17) + IF(I1373&gt;1000,17,0)</f>
        <v>105.65200799999997</v>
      </c>
      <c r="I1373" s="10">
        <f>($K$2+0.02)*Tabla1[[#This Row],[PRECIO $]]*1.18</f>
        <v>83.850799999999978</v>
      </c>
      <c r="J1373" s="7">
        <f>+Tabla1[[#This Row],[PRECIO EN SOLES]]-Tabla1[[#This Row],[PC]]</f>
        <v>21.801207999999988</v>
      </c>
    </row>
    <row r="1374" spans="1:10" x14ac:dyDescent="0.25">
      <c r="A1374" s="3" t="s">
        <v>5705</v>
      </c>
      <c r="B1374" s="3" t="s">
        <v>5706</v>
      </c>
      <c r="C1374" s="1">
        <v>20</v>
      </c>
      <c r="D1374" s="1">
        <v>26.7</v>
      </c>
      <c r="E1374" s="1" t="s">
        <v>279</v>
      </c>
      <c r="F1374" s="1" t="s">
        <v>5707</v>
      </c>
      <c r="G1374" s="3"/>
      <c r="H1374" s="12" cm="1">
        <f t="array" ref="H1374">_xlfn.IFS(I1374&lt;197,I1374*1.26,I1374&gt;197,I1374*1.17) + IF(I1374&gt;1000,17,0)</f>
        <v>134.97170399999999</v>
      </c>
      <c r="I1374" s="10">
        <f>($K$2+0.02)*Tabla1[[#This Row],[PRECIO $]]*1.18</f>
        <v>107.12039999999999</v>
      </c>
      <c r="J1374" s="7">
        <f>+Tabla1[[#This Row],[PRECIO EN SOLES]]-Tabla1[[#This Row],[PC]]</f>
        <v>27.851303999999999</v>
      </c>
    </row>
    <row r="1375" spans="1:10" x14ac:dyDescent="0.25">
      <c r="A1375" s="3" t="s">
        <v>5708</v>
      </c>
      <c r="B1375" s="3" t="s">
        <v>5709</v>
      </c>
      <c r="C1375" s="1">
        <v>20</v>
      </c>
      <c r="D1375" s="1">
        <v>37.46</v>
      </c>
      <c r="E1375" s="1" t="s">
        <v>279</v>
      </c>
      <c r="F1375" s="1" t="s">
        <v>5710</v>
      </c>
      <c r="G1375" s="3"/>
      <c r="H1375" s="12" cm="1">
        <f t="array" ref="H1375">_xlfn.IFS(I1375&lt;197,I1375*1.26,I1375&gt;197,I1375*1.17) + IF(I1375&gt;1000,17,0)</f>
        <v>189.3647952</v>
      </c>
      <c r="I1375" s="10">
        <f>($K$2+0.02)*Tabla1[[#This Row],[PRECIO $]]*1.18</f>
        <v>150.28952000000001</v>
      </c>
      <c r="J1375" s="7">
        <f>+Tabla1[[#This Row],[PRECIO EN SOLES]]-Tabla1[[#This Row],[PC]]</f>
        <v>39.075275199999993</v>
      </c>
    </row>
    <row r="1376" spans="1:10" x14ac:dyDescent="0.25">
      <c r="A1376" s="3" t="s">
        <v>3024</v>
      </c>
      <c r="B1376" s="3" t="s">
        <v>3025</v>
      </c>
      <c r="C1376" s="1">
        <v>14</v>
      </c>
      <c r="D1376" s="1">
        <v>24.2</v>
      </c>
      <c r="E1376" s="1" t="s">
        <v>279</v>
      </c>
      <c r="F1376" s="1" t="s">
        <v>5146</v>
      </c>
      <c r="G1376" s="3"/>
      <c r="H1376" s="12" cm="1">
        <f t="array" ref="H1376">_xlfn.IFS(I1376&lt;197,I1376*1.26,I1376&gt;197,I1376*1.17) + IF(I1376&gt;1000,17,0)</f>
        <v>122.333904</v>
      </c>
      <c r="I1376" s="10">
        <f>($K$2+0.02)*Tabla1[[#This Row],[PRECIO $]]*1.18</f>
        <v>97.090400000000002</v>
      </c>
      <c r="J1376" s="7">
        <f>+Tabla1[[#This Row],[PRECIO EN SOLES]]-Tabla1[[#This Row],[PC]]</f>
        <v>25.243504000000001</v>
      </c>
    </row>
    <row r="1377" spans="1:10" x14ac:dyDescent="0.25">
      <c r="A1377" s="3" t="s">
        <v>3026</v>
      </c>
      <c r="B1377" s="3" t="s">
        <v>3027</v>
      </c>
      <c r="C1377" s="1">
        <v>14</v>
      </c>
      <c r="D1377" s="1">
        <v>30.5</v>
      </c>
      <c r="E1377" s="1" t="s">
        <v>279</v>
      </c>
      <c r="F1377" s="1" t="s">
        <v>5147</v>
      </c>
      <c r="G1377" s="3" t="s">
        <v>3028</v>
      </c>
      <c r="H1377" s="12" cm="1">
        <f t="array" ref="H1377">_xlfn.IFS(I1377&lt;197,I1377*1.26,I1377&gt;197,I1377*1.17) + IF(I1377&gt;1000,17,0)</f>
        <v>154.18116000000001</v>
      </c>
      <c r="I1377" s="10">
        <f>($K$2+0.02)*Tabla1[[#This Row],[PRECIO $]]*1.18</f>
        <v>122.366</v>
      </c>
      <c r="J1377" s="7">
        <f>+Tabla1[[#This Row],[PRECIO EN SOLES]]-Tabla1[[#This Row],[PC]]</f>
        <v>31.815160000000006</v>
      </c>
    </row>
    <row r="1378" spans="1:10" x14ac:dyDescent="0.25">
      <c r="A1378" s="3" t="s">
        <v>3029</v>
      </c>
      <c r="B1378" s="3" t="s">
        <v>3030</v>
      </c>
      <c r="C1378" s="1">
        <v>16</v>
      </c>
      <c r="D1378" s="1">
        <v>28.1</v>
      </c>
      <c r="E1378" s="1" t="s">
        <v>279</v>
      </c>
      <c r="F1378" s="1" t="s">
        <v>5148</v>
      </c>
      <c r="G1378" s="3"/>
      <c r="H1378" s="12" cm="1">
        <f t="array" ref="H1378">_xlfn.IFS(I1378&lt;197,I1378*1.26,I1378&gt;197,I1378*1.17) + IF(I1378&gt;1000,17,0)</f>
        <v>142.04887199999999</v>
      </c>
      <c r="I1378" s="10">
        <f>($K$2+0.02)*Tabla1[[#This Row],[PRECIO $]]*1.18</f>
        <v>112.7372</v>
      </c>
      <c r="J1378" s="7">
        <f>+Tabla1[[#This Row],[PRECIO EN SOLES]]-Tabla1[[#This Row],[PC]]</f>
        <v>29.311671999999987</v>
      </c>
    </row>
    <row r="1379" spans="1:10" x14ac:dyDescent="0.25">
      <c r="A1379" s="3" t="s">
        <v>3031</v>
      </c>
      <c r="B1379" s="3" t="s">
        <v>3032</v>
      </c>
      <c r="C1379" s="1">
        <v>8</v>
      </c>
      <c r="D1379" s="1">
        <v>35.1</v>
      </c>
      <c r="E1379" s="1" t="s">
        <v>279</v>
      </c>
      <c r="F1379" s="1" t="s">
        <v>5149</v>
      </c>
      <c r="G1379" s="3"/>
      <c r="H1379" s="12" cm="1">
        <f t="array" ref="H1379">_xlfn.IFS(I1379&lt;197,I1379*1.26,I1379&gt;197,I1379*1.17) + IF(I1379&gt;1000,17,0)</f>
        <v>177.43471200000002</v>
      </c>
      <c r="I1379" s="10">
        <f>($K$2+0.02)*Tabla1[[#This Row],[PRECIO $]]*1.18</f>
        <v>140.8212</v>
      </c>
      <c r="J1379" s="7">
        <f>+Tabla1[[#This Row],[PRECIO EN SOLES]]-Tabla1[[#This Row],[PC]]</f>
        <v>36.613512000000014</v>
      </c>
    </row>
    <row r="1380" spans="1:10" x14ac:dyDescent="0.25">
      <c r="A1380" s="3" t="s">
        <v>3033</v>
      </c>
      <c r="B1380" s="3" t="s">
        <v>3034</v>
      </c>
      <c r="C1380" s="1">
        <v>11</v>
      </c>
      <c r="D1380" s="1">
        <v>25.1</v>
      </c>
      <c r="E1380" s="1" t="s">
        <v>279</v>
      </c>
      <c r="F1380" s="1" t="s">
        <v>5150</v>
      </c>
      <c r="G1380" s="3"/>
      <c r="H1380" s="12" cm="1">
        <f t="array" ref="H1380">_xlfn.IFS(I1380&lt;197,I1380*1.26,I1380&gt;197,I1380*1.17) + IF(I1380&gt;1000,17,0)</f>
        <v>126.883512</v>
      </c>
      <c r="I1380" s="10">
        <f>($K$2+0.02)*Tabla1[[#This Row],[PRECIO $]]*1.18</f>
        <v>100.7012</v>
      </c>
      <c r="J1380" s="7">
        <f>+Tabla1[[#This Row],[PRECIO EN SOLES]]-Tabla1[[#This Row],[PC]]</f>
        <v>26.182311999999996</v>
      </c>
    </row>
    <row r="1381" spans="1:10" x14ac:dyDescent="0.25">
      <c r="A1381" s="3" t="s">
        <v>5711</v>
      </c>
      <c r="B1381" s="3" t="s">
        <v>5712</v>
      </c>
      <c r="C1381" s="1">
        <v>20</v>
      </c>
      <c r="D1381" s="1">
        <v>30</v>
      </c>
      <c r="E1381" s="1" t="s">
        <v>279</v>
      </c>
      <c r="F1381" s="1" t="s">
        <v>5713</v>
      </c>
      <c r="G1381" s="3"/>
      <c r="H1381" s="12" cm="1">
        <f t="array" ref="H1381">_xlfn.IFS(I1381&lt;197,I1381*1.26,I1381&gt;197,I1381*1.17) + IF(I1381&gt;1000,17,0)</f>
        <v>151.65360000000001</v>
      </c>
      <c r="I1381" s="10">
        <f>($K$2+0.02)*Tabla1[[#This Row],[PRECIO $]]*1.18</f>
        <v>120.36</v>
      </c>
      <c r="J1381" s="7">
        <f>+Tabla1[[#This Row],[PRECIO EN SOLES]]-Tabla1[[#This Row],[PC]]</f>
        <v>31.293600000000012</v>
      </c>
    </row>
    <row r="1382" spans="1:10" x14ac:dyDescent="0.25">
      <c r="A1382" s="3" t="s">
        <v>5714</v>
      </c>
      <c r="B1382" s="3" t="s">
        <v>5715</v>
      </c>
      <c r="C1382" s="1">
        <v>19</v>
      </c>
      <c r="D1382" s="1">
        <v>35.799999999999997</v>
      </c>
      <c r="E1382" s="1" t="s">
        <v>279</v>
      </c>
      <c r="F1382" s="1" t="s">
        <v>5716</v>
      </c>
      <c r="G1382" s="3"/>
      <c r="H1382" s="12" cm="1">
        <f t="array" ref="H1382">_xlfn.IFS(I1382&lt;197,I1382*1.26,I1382&gt;197,I1382*1.17) + IF(I1382&gt;1000,17,0)</f>
        <v>180.97329599999998</v>
      </c>
      <c r="I1382" s="10">
        <f>($K$2+0.02)*Tabla1[[#This Row],[PRECIO $]]*1.18</f>
        <v>143.62959999999998</v>
      </c>
      <c r="J1382" s="7">
        <f>+Tabla1[[#This Row],[PRECIO EN SOLES]]-Tabla1[[#This Row],[PC]]</f>
        <v>37.343695999999994</v>
      </c>
    </row>
    <row r="1383" spans="1:10" x14ac:dyDescent="0.25">
      <c r="A1383" s="3" t="s">
        <v>5717</v>
      </c>
      <c r="B1383" s="3" t="s">
        <v>5718</v>
      </c>
      <c r="C1383" s="1">
        <v>9</v>
      </c>
      <c r="D1383" s="1">
        <v>48.1</v>
      </c>
      <c r="E1383" s="1" t="s">
        <v>279</v>
      </c>
      <c r="F1383" s="1" t="s">
        <v>5719</v>
      </c>
      <c r="G1383" s="3"/>
      <c r="H1383" s="12" cm="1">
        <f t="array" ref="H1383">_xlfn.IFS(I1383&lt;197,I1383*1.26,I1383&gt;197,I1383*1.17) + IF(I1383&gt;1000,17,0)</f>
        <v>243.15127199999998</v>
      </c>
      <c r="I1383" s="10">
        <f>($K$2+0.02)*Tabla1[[#This Row],[PRECIO $]]*1.18</f>
        <v>192.97719999999998</v>
      </c>
      <c r="J1383" s="7">
        <f>+Tabla1[[#This Row],[PRECIO EN SOLES]]-Tabla1[[#This Row],[PC]]</f>
        <v>50.174071999999995</v>
      </c>
    </row>
    <row r="1384" spans="1:10" x14ac:dyDescent="0.25">
      <c r="A1384" s="3" t="s">
        <v>3035</v>
      </c>
      <c r="B1384" s="3" t="s">
        <v>3036</v>
      </c>
      <c r="C1384" s="1">
        <v>6</v>
      </c>
      <c r="D1384" s="1">
        <v>26.6</v>
      </c>
      <c r="E1384" s="1" t="s">
        <v>526</v>
      </c>
      <c r="F1384" s="1" t="s">
        <v>5151</v>
      </c>
      <c r="G1384" s="3"/>
      <c r="H1384" s="12" cm="1">
        <f t="array" ref="H1384">_xlfn.IFS(I1384&lt;197,I1384*1.26,I1384&gt;197,I1384*1.17) + IF(I1384&gt;1000,17,0)</f>
        <v>134.46619199999998</v>
      </c>
      <c r="I1384" s="10">
        <f>($K$2+0.02)*Tabla1[[#This Row],[PRECIO $]]*1.18</f>
        <v>106.71919999999999</v>
      </c>
      <c r="J1384" s="7">
        <f>+Tabla1[[#This Row],[PRECIO EN SOLES]]-Tabla1[[#This Row],[PC]]</f>
        <v>27.746991999999992</v>
      </c>
    </row>
    <row r="1385" spans="1:10" x14ac:dyDescent="0.25">
      <c r="A1385" s="3" t="s">
        <v>3037</v>
      </c>
      <c r="B1385" s="3" t="s">
        <v>3038</v>
      </c>
      <c r="C1385" s="1">
        <v>7</v>
      </c>
      <c r="D1385" s="1">
        <v>300</v>
      </c>
      <c r="E1385" s="1" t="s">
        <v>526</v>
      </c>
      <c r="F1385" s="1" t="s">
        <v>5152</v>
      </c>
      <c r="G1385" s="3"/>
      <c r="H1385" s="12" cm="1">
        <f t="array" ref="H1385">_xlfn.IFS(I1385&lt;197,I1385*1.26,I1385&gt;197,I1385*1.17) + IF(I1385&gt;1000,17,0)</f>
        <v>1425.2119999999998</v>
      </c>
      <c r="I1385" s="10">
        <f>($K$2+0.02)*Tabla1[[#This Row],[PRECIO $]]*1.18</f>
        <v>1203.5999999999999</v>
      </c>
      <c r="J1385" s="7">
        <f>+Tabla1[[#This Row],[PRECIO EN SOLES]]-Tabla1[[#This Row],[PC]]</f>
        <v>221.61199999999985</v>
      </c>
    </row>
    <row r="1386" spans="1:10" x14ac:dyDescent="0.25">
      <c r="A1386" s="3" t="s">
        <v>3039</v>
      </c>
      <c r="B1386" s="3" t="s">
        <v>3040</v>
      </c>
      <c r="C1386" s="1">
        <v>1</v>
      </c>
      <c r="D1386" s="1">
        <v>20</v>
      </c>
      <c r="E1386" s="1" t="s">
        <v>526</v>
      </c>
      <c r="F1386" s="1" t="s">
        <v>5153</v>
      </c>
      <c r="G1386" s="3"/>
      <c r="H1386" s="12" cm="1">
        <f t="array" ref="H1386">_xlfn.IFS(I1386&lt;197,I1386*1.26,I1386&gt;197,I1386*1.17) + IF(I1386&gt;1000,17,0)</f>
        <v>101.10239999999999</v>
      </c>
      <c r="I1386" s="10">
        <f>($K$2+0.02)*Tabla1[[#This Row],[PRECIO $]]*1.18</f>
        <v>80.239999999999995</v>
      </c>
      <c r="J1386" s="7">
        <f>+Tabla1[[#This Row],[PRECIO EN SOLES]]-Tabla1[[#This Row],[PC]]</f>
        <v>20.862399999999994</v>
      </c>
    </row>
    <row r="1387" spans="1:10" x14ac:dyDescent="0.25">
      <c r="A1387" s="3" t="s">
        <v>537</v>
      </c>
      <c r="B1387" s="3" t="s">
        <v>538</v>
      </c>
      <c r="C1387" s="1">
        <v>20</v>
      </c>
      <c r="D1387" s="1">
        <v>32.6</v>
      </c>
      <c r="E1387" s="1" t="s">
        <v>526</v>
      </c>
      <c r="F1387" s="1" t="s">
        <v>5154</v>
      </c>
      <c r="G1387" s="3"/>
      <c r="H1387" s="12" cm="1">
        <f t="array" ref="H1387">_xlfn.IFS(I1387&lt;197,I1387*1.26,I1387&gt;197,I1387*1.17) + IF(I1387&gt;1000,17,0)</f>
        <v>164.79691199999999</v>
      </c>
      <c r="I1387" s="10">
        <f>($K$2+0.02)*Tabla1[[#This Row],[PRECIO $]]*1.18</f>
        <v>130.7912</v>
      </c>
      <c r="J1387" s="7">
        <f>+Tabla1[[#This Row],[PRECIO EN SOLES]]-Tabla1[[#This Row],[PC]]</f>
        <v>34.005711999999988</v>
      </c>
    </row>
    <row r="1388" spans="1:10" x14ac:dyDescent="0.25">
      <c r="A1388" s="3" t="s">
        <v>539</v>
      </c>
      <c r="B1388" s="3" t="s">
        <v>540</v>
      </c>
      <c r="C1388" s="1">
        <v>20</v>
      </c>
      <c r="D1388" s="1">
        <v>47.8</v>
      </c>
      <c r="E1388" s="1" t="s">
        <v>526</v>
      </c>
      <c r="F1388" s="1" t="s">
        <v>5155</v>
      </c>
      <c r="G1388" s="3"/>
      <c r="H1388" s="12" cm="1">
        <f t="array" ref="H1388">_xlfn.IFS(I1388&lt;197,I1388*1.26,I1388&gt;197,I1388*1.17) + IF(I1388&gt;1000,17,0)</f>
        <v>241.63473599999995</v>
      </c>
      <c r="I1388" s="10">
        <f>($K$2+0.02)*Tabla1[[#This Row],[PRECIO $]]*1.18</f>
        <v>191.77359999999996</v>
      </c>
      <c r="J1388" s="7">
        <f>+Tabla1[[#This Row],[PRECIO EN SOLES]]-Tabla1[[#This Row],[PC]]</f>
        <v>49.861135999999988</v>
      </c>
    </row>
    <row r="1389" spans="1:10" x14ac:dyDescent="0.25">
      <c r="A1389" s="3" t="s">
        <v>5720</v>
      </c>
      <c r="B1389" s="3" t="s">
        <v>5721</v>
      </c>
      <c r="C1389" s="1">
        <v>18</v>
      </c>
      <c r="D1389" s="1">
        <v>24.1</v>
      </c>
      <c r="E1389" s="1" t="s">
        <v>526</v>
      </c>
      <c r="F1389" s="1" t="s">
        <v>5722</v>
      </c>
      <c r="G1389" s="3"/>
      <c r="H1389" s="12" cm="1">
        <f t="array" ref="H1389">_xlfn.IFS(I1389&lt;197,I1389*1.26,I1389&gt;197,I1389*1.17) + IF(I1389&gt;1000,17,0)</f>
        <v>121.82839199999998</v>
      </c>
      <c r="I1389" s="10">
        <f>($K$2+0.02)*Tabla1[[#This Row],[PRECIO $]]*1.18</f>
        <v>96.689199999999985</v>
      </c>
      <c r="J1389" s="7">
        <f>+Tabla1[[#This Row],[PRECIO EN SOLES]]-Tabla1[[#This Row],[PC]]</f>
        <v>25.139191999999994</v>
      </c>
    </row>
    <row r="1390" spans="1:10" x14ac:dyDescent="0.25">
      <c r="A1390" s="3" t="s">
        <v>3041</v>
      </c>
      <c r="B1390" s="3" t="s">
        <v>3042</v>
      </c>
      <c r="C1390" s="1">
        <v>20</v>
      </c>
      <c r="D1390" s="1">
        <v>75.599999999999994</v>
      </c>
      <c r="E1390" s="1" t="s">
        <v>526</v>
      </c>
      <c r="F1390" s="1" t="s">
        <v>5156</v>
      </c>
      <c r="G1390" s="3" t="s">
        <v>3043</v>
      </c>
      <c r="H1390" s="12" cm="1">
        <f t="array" ref="H1390">_xlfn.IFS(I1390&lt;197,I1390*1.26,I1390&gt;197,I1390*1.17) + IF(I1390&gt;1000,17,0)</f>
        <v>354.86942399999992</v>
      </c>
      <c r="I1390" s="10">
        <f>($K$2+0.02)*Tabla1[[#This Row],[PRECIO $]]*1.18</f>
        <v>303.30719999999997</v>
      </c>
      <c r="J1390" s="7">
        <f>+Tabla1[[#This Row],[PRECIO EN SOLES]]-Tabla1[[#This Row],[PC]]</f>
        <v>51.562223999999958</v>
      </c>
    </row>
    <row r="1391" spans="1:10" x14ac:dyDescent="0.25">
      <c r="A1391" s="3" t="s">
        <v>3044</v>
      </c>
      <c r="B1391" s="3" t="s">
        <v>3045</v>
      </c>
      <c r="C1391" s="1">
        <v>13</v>
      </c>
      <c r="D1391" s="1">
        <v>87.5</v>
      </c>
      <c r="E1391" s="1" t="s">
        <v>526</v>
      </c>
      <c r="F1391" s="1" t="s">
        <v>5157</v>
      </c>
      <c r="G1391" s="3"/>
      <c r="H1391" s="12" cm="1">
        <f t="array" ref="H1391">_xlfn.IFS(I1391&lt;197,I1391*1.26,I1391&gt;197,I1391*1.17) + IF(I1391&gt;1000,17,0)</f>
        <v>410.72849999999994</v>
      </c>
      <c r="I1391" s="10">
        <f>($K$2+0.02)*Tabla1[[#This Row],[PRECIO $]]*1.18</f>
        <v>351.04999999999995</v>
      </c>
      <c r="J1391" s="7">
        <f>+Tabla1[[#This Row],[PRECIO EN SOLES]]-Tabla1[[#This Row],[PC]]</f>
        <v>59.678499999999985</v>
      </c>
    </row>
    <row r="1392" spans="1:10" x14ac:dyDescent="0.25">
      <c r="A1392" s="3" t="s">
        <v>3046</v>
      </c>
      <c r="B1392" s="3" t="s">
        <v>3047</v>
      </c>
      <c r="C1392" s="1">
        <v>11</v>
      </c>
      <c r="D1392" s="1">
        <v>150.80000000000001</v>
      </c>
      <c r="E1392" s="1" t="s">
        <v>526</v>
      </c>
      <c r="F1392" s="1" t="s">
        <v>5158</v>
      </c>
      <c r="G1392" s="3"/>
      <c r="H1392" s="12" cm="1">
        <f t="array" ref="H1392">_xlfn.IFS(I1392&lt;197,I1392*1.26,I1392&gt;197,I1392*1.17) + IF(I1392&gt;1000,17,0)</f>
        <v>707.86123199999997</v>
      </c>
      <c r="I1392" s="10">
        <f>($K$2+0.02)*Tabla1[[#This Row],[PRECIO $]]*1.18</f>
        <v>605.00959999999998</v>
      </c>
      <c r="J1392" s="7">
        <f>+Tabla1[[#This Row],[PRECIO EN SOLES]]-Tabla1[[#This Row],[PC]]</f>
        <v>102.851632</v>
      </c>
    </row>
    <row r="1393" spans="1:10" x14ac:dyDescent="0.25">
      <c r="A1393" s="3" t="s">
        <v>3048</v>
      </c>
      <c r="B1393" s="3" t="s">
        <v>3049</v>
      </c>
      <c r="C1393" s="1">
        <v>11</v>
      </c>
      <c r="D1393" s="1">
        <v>201.37</v>
      </c>
      <c r="E1393" s="1" t="s">
        <v>526</v>
      </c>
      <c r="F1393" s="1" t="s">
        <v>5159</v>
      </c>
      <c r="G1393" s="3"/>
      <c r="H1393" s="12" cm="1">
        <f t="array" ref="H1393">_xlfn.IFS(I1393&lt;197,I1393*1.26,I1393&gt;197,I1393*1.17) + IF(I1393&gt;1000,17,0)</f>
        <v>945.23883479999995</v>
      </c>
      <c r="I1393" s="10">
        <f>($K$2+0.02)*Tabla1[[#This Row],[PRECIO $]]*1.18</f>
        <v>807.89643999999998</v>
      </c>
      <c r="J1393" s="7">
        <f>+Tabla1[[#This Row],[PRECIO EN SOLES]]-Tabla1[[#This Row],[PC]]</f>
        <v>137.34239479999997</v>
      </c>
    </row>
    <row r="1394" spans="1:10" x14ac:dyDescent="0.25">
      <c r="A1394" s="3" t="s">
        <v>541</v>
      </c>
      <c r="B1394" s="3" t="s">
        <v>542</v>
      </c>
      <c r="C1394" s="1">
        <v>20</v>
      </c>
      <c r="D1394" s="1">
        <v>32.4</v>
      </c>
      <c r="E1394" s="1" t="s">
        <v>526</v>
      </c>
      <c r="F1394" s="1" t="s">
        <v>5160</v>
      </c>
      <c r="G1394" s="3"/>
      <c r="H1394" s="12" cm="1">
        <f t="array" ref="H1394">_xlfn.IFS(I1394&lt;197,I1394*1.26,I1394&gt;197,I1394*1.17) + IF(I1394&gt;1000,17,0)</f>
        <v>163.785888</v>
      </c>
      <c r="I1394" s="10">
        <f>($K$2+0.02)*Tabla1[[#This Row],[PRECIO $]]*1.18</f>
        <v>129.9888</v>
      </c>
      <c r="J1394" s="7">
        <f>+Tabla1[[#This Row],[PRECIO EN SOLES]]-Tabla1[[#This Row],[PC]]</f>
        <v>33.797088000000002</v>
      </c>
    </row>
    <row r="1395" spans="1:10" x14ac:dyDescent="0.25">
      <c r="A1395" s="3" t="s">
        <v>543</v>
      </c>
      <c r="B1395" s="3" t="s">
        <v>544</v>
      </c>
      <c r="C1395" s="1">
        <v>20</v>
      </c>
      <c r="D1395" s="1">
        <v>52.6</v>
      </c>
      <c r="E1395" s="1" t="s">
        <v>526</v>
      </c>
      <c r="F1395" s="1" t="s">
        <v>5161</v>
      </c>
      <c r="G1395" s="3"/>
      <c r="H1395" s="12" cm="1">
        <f t="array" ref="H1395">_xlfn.IFS(I1395&lt;197,I1395*1.26,I1395&gt;197,I1395*1.17) + IF(I1395&gt;1000,17,0)</f>
        <v>246.90650399999996</v>
      </c>
      <c r="I1395" s="10">
        <f>($K$2+0.02)*Tabla1[[#This Row],[PRECIO $]]*1.18</f>
        <v>211.03119999999998</v>
      </c>
      <c r="J1395" s="7">
        <f>+Tabla1[[#This Row],[PRECIO EN SOLES]]-Tabla1[[#This Row],[PC]]</f>
        <v>35.875303999999971</v>
      </c>
    </row>
    <row r="1396" spans="1:10" x14ac:dyDescent="0.25">
      <c r="A1396" s="3" t="s">
        <v>545</v>
      </c>
      <c r="B1396" s="3" t="s">
        <v>546</v>
      </c>
      <c r="C1396" s="1">
        <v>20</v>
      </c>
      <c r="D1396" s="1">
        <v>63.6</v>
      </c>
      <c r="E1396" s="1" t="s">
        <v>526</v>
      </c>
      <c r="F1396" s="1" t="s">
        <v>5162</v>
      </c>
      <c r="G1396" s="3"/>
      <c r="H1396" s="12" cm="1">
        <f t="array" ref="H1396">_xlfn.IFS(I1396&lt;197,I1396*1.26,I1396&gt;197,I1396*1.17) + IF(I1396&gt;1000,17,0)</f>
        <v>298.54094399999997</v>
      </c>
      <c r="I1396" s="10">
        <f>($K$2+0.02)*Tabla1[[#This Row],[PRECIO $]]*1.18</f>
        <v>255.16319999999999</v>
      </c>
      <c r="J1396" s="7">
        <f>+Tabla1[[#This Row],[PRECIO EN SOLES]]-Tabla1[[#This Row],[PC]]</f>
        <v>43.377743999999979</v>
      </c>
    </row>
    <row r="1397" spans="1:10" x14ac:dyDescent="0.25">
      <c r="A1397" s="3" t="s">
        <v>3050</v>
      </c>
      <c r="B1397" s="3" t="s">
        <v>3051</v>
      </c>
      <c r="C1397" s="1">
        <v>20</v>
      </c>
      <c r="D1397" s="1">
        <v>49</v>
      </c>
      <c r="E1397" s="1" t="s">
        <v>526</v>
      </c>
      <c r="F1397" s="1" t="s">
        <v>5163</v>
      </c>
      <c r="G1397" s="3"/>
      <c r="H1397" s="12" cm="1">
        <f t="array" ref="H1397">_xlfn.IFS(I1397&lt;197,I1397*1.26,I1397&gt;197,I1397*1.17) + IF(I1397&gt;1000,17,0)</f>
        <v>247.70087999999998</v>
      </c>
      <c r="I1397" s="10">
        <f>($K$2+0.02)*Tabla1[[#This Row],[PRECIO $]]*1.18</f>
        <v>196.58799999999999</v>
      </c>
      <c r="J1397" s="7">
        <f>+Tabla1[[#This Row],[PRECIO EN SOLES]]-Tabla1[[#This Row],[PC]]</f>
        <v>51.11287999999999</v>
      </c>
    </row>
    <row r="1398" spans="1:10" x14ac:dyDescent="0.25">
      <c r="A1398" s="3" t="s">
        <v>3052</v>
      </c>
      <c r="B1398" s="3" t="s">
        <v>3053</v>
      </c>
      <c r="C1398" s="1">
        <v>20</v>
      </c>
      <c r="D1398" s="1">
        <v>25.65</v>
      </c>
      <c r="E1398" s="1" t="s">
        <v>526</v>
      </c>
      <c r="F1398" s="1" t="s">
        <v>5164</v>
      </c>
      <c r="G1398" s="3"/>
      <c r="H1398" s="12" cm="1">
        <f t="array" ref="H1398">_xlfn.IFS(I1398&lt;197,I1398*1.26,I1398&gt;197,I1398*1.17) + IF(I1398&gt;1000,17,0)</f>
        <v>129.66382799999997</v>
      </c>
      <c r="I1398" s="10">
        <f>($K$2+0.02)*Tabla1[[#This Row],[PRECIO $]]*1.18</f>
        <v>102.90779999999998</v>
      </c>
      <c r="J1398" s="7">
        <f>+Tabla1[[#This Row],[PRECIO EN SOLES]]-Tabla1[[#This Row],[PC]]</f>
        <v>26.756027999999986</v>
      </c>
    </row>
    <row r="1399" spans="1:10" x14ac:dyDescent="0.25">
      <c r="A1399" s="3" t="s">
        <v>3054</v>
      </c>
      <c r="B1399" s="3" t="s">
        <v>3055</v>
      </c>
      <c r="C1399" s="1">
        <v>20</v>
      </c>
      <c r="D1399" s="1">
        <v>20.55</v>
      </c>
      <c r="E1399" s="1" t="s">
        <v>526</v>
      </c>
      <c r="F1399" s="1" t="s">
        <v>5165</v>
      </c>
      <c r="G1399" s="3"/>
      <c r="H1399" s="12" cm="1">
        <f t="array" ref="H1399">_xlfn.IFS(I1399&lt;197,I1399*1.26,I1399&gt;197,I1399*1.17) + IF(I1399&gt;1000,17,0)</f>
        <v>103.882716</v>
      </c>
      <c r="I1399" s="10">
        <f>($K$2+0.02)*Tabla1[[#This Row],[PRECIO $]]*1.18</f>
        <v>82.446600000000004</v>
      </c>
      <c r="J1399" s="7">
        <f>+Tabla1[[#This Row],[PRECIO EN SOLES]]-Tabla1[[#This Row],[PC]]</f>
        <v>21.436115999999998</v>
      </c>
    </row>
    <row r="1400" spans="1:10" x14ac:dyDescent="0.25">
      <c r="A1400" s="3" t="s">
        <v>3056</v>
      </c>
      <c r="B1400" s="3" t="s">
        <v>3057</v>
      </c>
      <c r="C1400" s="1">
        <v>20</v>
      </c>
      <c r="D1400" s="1">
        <v>15.1</v>
      </c>
      <c r="E1400" s="1" t="s">
        <v>526</v>
      </c>
      <c r="F1400" s="1" t="s">
        <v>5166</v>
      </c>
      <c r="G1400" s="3"/>
      <c r="H1400" s="12" cm="1">
        <f t="array" ref="H1400">_xlfn.IFS(I1400&lt;197,I1400*1.26,I1400&gt;197,I1400*1.17) + IF(I1400&gt;1000,17,0)</f>
        <v>76.332312000000002</v>
      </c>
      <c r="I1400" s="10">
        <f>($K$2+0.02)*Tabla1[[#This Row],[PRECIO $]]*1.18</f>
        <v>60.581199999999995</v>
      </c>
      <c r="J1400" s="7">
        <f>+Tabla1[[#This Row],[PRECIO EN SOLES]]-Tabla1[[#This Row],[PC]]</f>
        <v>15.751112000000006</v>
      </c>
    </row>
    <row r="1401" spans="1:10" x14ac:dyDescent="0.25">
      <c r="A1401" s="3" t="s">
        <v>3058</v>
      </c>
      <c r="B1401" s="3" t="s">
        <v>3059</v>
      </c>
      <c r="C1401" s="1">
        <v>20</v>
      </c>
      <c r="D1401" s="1">
        <v>20.3</v>
      </c>
      <c r="E1401" s="1" t="s">
        <v>526</v>
      </c>
      <c r="F1401" s="1" t="s">
        <v>5167</v>
      </c>
      <c r="G1401" s="3"/>
      <c r="H1401" s="12" cm="1">
        <f t="array" ref="H1401">_xlfn.IFS(I1401&lt;197,I1401*1.26,I1401&gt;197,I1401*1.17) + IF(I1401&gt;1000,17,0)</f>
        <v>102.61893599999999</v>
      </c>
      <c r="I1401" s="10">
        <f>($K$2+0.02)*Tabla1[[#This Row],[PRECIO $]]*1.18</f>
        <v>81.443599999999989</v>
      </c>
      <c r="J1401" s="7">
        <f>+Tabla1[[#This Row],[PRECIO EN SOLES]]-Tabla1[[#This Row],[PC]]</f>
        <v>21.175336000000001</v>
      </c>
    </row>
    <row r="1402" spans="1:10" x14ac:dyDescent="0.25">
      <c r="A1402" s="3" t="s">
        <v>3060</v>
      </c>
      <c r="B1402" s="3" t="s">
        <v>529</v>
      </c>
      <c r="C1402" s="1">
        <v>0</v>
      </c>
      <c r="D1402" s="1">
        <v>999</v>
      </c>
      <c r="E1402" s="1" t="s">
        <v>214</v>
      </c>
      <c r="F1402" s="1" t="s">
        <v>5168</v>
      </c>
      <c r="G1402" s="3"/>
      <c r="H1402" s="12" cm="1">
        <f t="array" ref="H1402">_xlfn.IFS(I1402&lt;197,I1402*1.26,I1402&gt;197,I1402*1.17) + IF(I1402&gt;1000,17,0)</f>
        <v>4706.3459599999996</v>
      </c>
      <c r="I1402" s="10">
        <f>($K$2+0.02)*Tabla1[[#This Row],[PRECIO $]]*1.18</f>
        <v>4007.9879999999998</v>
      </c>
      <c r="J1402" s="7">
        <f>+Tabla1[[#This Row],[PRECIO EN SOLES]]-Tabla1[[#This Row],[PC]]</f>
        <v>698.35795999999982</v>
      </c>
    </row>
    <row r="1403" spans="1:10" x14ac:dyDescent="0.25">
      <c r="A1403" s="3" t="s">
        <v>3061</v>
      </c>
      <c r="B1403" s="3" t="s">
        <v>3014</v>
      </c>
      <c r="C1403" s="1">
        <v>0</v>
      </c>
      <c r="D1403" s="1">
        <v>999</v>
      </c>
      <c r="E1403" s="1" t="s">
        <v>214</v>
      </c>
      <c r="F1403" s="1" t="s">
        <v>5169</v>
      </c>
      <c r="G1403" s="3"/>
      <c r="H1403" s="12" cm="1">
        <f t="array" ref="H1403">_xlfn.IFS(I1403&lt;197,I1403*1.26,I1403&gt;197,I1403*1.17) + IF(I1403&gt;1000,17,0)</f>
        <v>4706.3459599999996</v>
      </c>
      <c r="I1403" s="10">
        <f>($K$2+0.02)*Tabla1[[#This Row],[PRECIO $]]*1.18</f>
        <v>4007.9879999999998</v>
      </c>
      <c r="J1403" s="7">
        <f>+Tabla1[[#This Row],[PRECIO EN SOLES]]-Tabla1[[#This Row],[PC]]</f>
        <v>698.35795999999982</v>
      </c>
    </row>
    <row r="1404" spans="1:10" x14ac:dyDescent="0.25">
      <c r="A1404" s="3" t="s">
        <v>3062</v>
      </c>
      <c r="B1404" s="3" t="s">
        <v>3016</v>
      </c>
      <c r="C1404" s="1">
        <v>0</v>
      </c>
      <c r="D1404" s="1">
        <v>9999999.9900000002</v>
      </c>
      <c r="E1404" s="1" t="s">
        <v>281</v>
      </c>
      <c r="F1404" s="1" t="s">
        <v>5170</v>
      </c>
      <c r="G1404" s="3"/>
      <c r="H1404" s="12" cm="1">
        <f t="array" ref="H1404">_xlfn.IFS(I1404&lt;197,I1404*1.26,I1404&gt;197,I1404*1.17) + IF(I1404&gt;1000,17,0)</f>
        <v>46940416.953059591</v>
      </c>
      <c r="I1404" s="10">
        <f>($K$2+0.02)*Tabla1[[#This Row],[PRECIO $]]*1.18</f>
        <v>40119999.959879994</v>
      </c>
      <c r="J1404" s="7">
        <f>+Tabla1[[#This Row],[PRECIO EN SOLES]]-Tabla1[[#This Row],[PC]]</f>
        <v>6820416.993179597</v>
      </c>
    </row>
    <row r="1405" spans="1:10" x14ac:dyDescent="0.25">
      <c r="A1405" s="3" t="s">
        <v>3063</v>
      </c>
      <c r="B1405" s="3" t="s">
        <v>3064</v>
      </c>
      <c r="C1405" s="1">
        <v>0</v>
      </c>
      <c r="D1405" s="1">
        <v>999</v>
      </c>
      <c r="E1405" s="1" t="s">
        <v>74</v>
      </c>
      <c r="F1405" s="1" t="s">
        <v>5171</v>
      </c>
      <c r="G1405" s="3"/>
      <c r="H1405" s="12" cm="1">
        <f t="array" ref="H1405">_xlfn.IFS(I1405&lt;197,I1405*1.26,I1405&gt;197,I1405*1.17) + IF(I1405&gt;1000,17,0)</f>
        <v>4706.3459599999996</v>
      </c>
      <c r="I1405" s="10">
        <f>($K$2+0.02)*Tabla1[[#This Row],[PRECIO $]]*1.18</f>
        <v>4007.9879999999998</v>
      </c>
      <c r="J1405" s="7">
        <f>+Tabla1[[#This Row],[PRECIO EN SOLES]]-Tabla1[[#This Row],[PC]]</f>
        <v>698.35795999999982</v>
      </c>
    </row>
    <row r="1406" spans="1:10" x14ac:dyDescent="0.25">
      <c r="A1406" s="3" t="s">
        <v>3065</v>
      </c>
      <c r="B1406" s="3" t="s">
        <v>3066</v>
      </c>
      <c r="C1406" s="1">
        <v>1</v>
      </c>
      <c r="D1406" s="1">
        <v>137</v>
      </c>
      <c r="E1406" s="1" t="s">
        <v>2611</v>
      </c>
      <c r="F1406" s="1" t="s">
        <v>5172</v>
      </c>
      <c r="G1406" s="3"/>
      <c r="H1406" s="12" cm="1">
        <f t="array" ref="H1406">_xlfn.IFS(I1406&lt;197,I1406*1.26,I1406&gt;197,I1406*1.17) + IF(I1406&gt;1000,17,0)</f>
        <v>643.08348000000001</v>
      </c>
      <c r="I1406" s="10">
        <f>($K$2+0.02)*Tabla1[[#This Row],[PRECIO $]]*1.18</f>
        <v>549.64400000000001</v>
      </c>
      <c r="J1406" s="7">
        <f>+Tabla1[[#This Row],[PRECIO EN SOLES]]-Tabla1[[#This Row],[PC]]</f>
        <v>93.439480000000003</v>
      </c>
    </row>
    <row r="1407" spans="1:10" x14ac:dyDescent="0.25">
      <c r="A1407" s="3" t="s">
        <v>3067</v>
      </c>
      <c r="B1407" s="3" t="s">
        <v>3068</v>
      </c>
      <c r="C1407" s="1">
        <v>20</v>
      </c>
      <c r="D1407" s="1">
        <v>16.38</v>
      </c>
      <c r="E1407" s="1" t="s">
        <v>56</v>
      </c>
      <c r="F1407" s="1" t="s">
        <v>5173</v>
      </c>
      <c r="G1407" s="3" t="s">
        <v>3069</v>
      </c>
      <c r="H1407" s="12" cm="1">
        <f t="array" ref="H1407">_xlfn.IFS(I1407&lt;197,I1407*1.26,I1407&gt;197,I1407*1.17) + IF(I1407&gt;1000,17,0)</f>
        <v>82.80286559999999</v>
      </c>
      <c r="I1407" s="10">
        <f>($K$2+0.02)*Tabla1[[#This Row],[PRECIO $]]*1.18</f>
        <v>65.716559999999987</v>
      </c>
      <c r="J1407" s="7">
        <f>+Tabla1[[#This Row],[PRECIO EN SOLES]]-Tabla1[[#This Row],[PC]]</f>
        <v>17.086305600000003</v>
      </c>
    </row>
    <row r="1408" spans="1:10" x14ac:dyDescent="0.25">
      <c r="A1408" s="3" t="s">
        <v>3070</v>
      </c>
      <c r="B1408" s="3" t="s">
        <v>3071</v>
      </c>
      <c r="C1408" s="1">
        <v>0</v>
      </c>
      <c r="D1408" s="1">
        <v>999</v>
      </c>
      <c r="E1408" s="1" t="s">
        <v>279</v>
      </c>
      <c r="F1408" s="1" t="s">
        <v>5174</v>
      </c>
      <c r="G1408" s="3"/>
      <c r="H1408" s="12" cm="1">
        <f t="array" ref="H1408">_xlfn.IFS(I1408&lt;197,I1408*1.26,I1408&gt;197,I1408*1.17) + IF(I1408&gt;1000,17,0)</f>
        <v>4706.3459599999996</v>
      </c>
      <c r="I1408" s="10">
        <f>($K$2+0.02)*Tabla1[[#This Row],[PRECIO $]]*1.18</f>
        <v>4007.9879999999998</v>
      </c>
      <c r="J1408" s="7">
        <f>+Tabla1[[#This Row],[PRECIO EN SOLES]]-Tabla1[[#This Row],[PC]]</f>
        <v>698.35795999999982</v>
      </c>
    </row>
    <row r="1409" spans="1:10" x14ac:dyDescent="0.25">
      <c r="A1409" s="3" t="s">
        <v>3072</v>
      </c>
      <c r="B1409" s="3" t="s">
        <v>3073</v>
      </c>
      <c r="C1409" s="1">
        <v>2</v>
      </c>
      <c r="D1409" s="1">
        <v>195</v>
      </c>
      <c r="E1409" s="1" t="s">
        <v>279</v>
      </c>
      <c r="F1409" s="1" t="s">
        <v>5175</v>
      </c>
      <c r="G1409" s="3"/>
      <c r="H1409" s="12" cm="1">
        <f t="array" ref="H1409">_xlfn.IFS(I1409&lt;197,I1409*1.26,I1409&gt;197,I1409*1.17) + IF(I1409&gt;1000,17,0)</f>
        <v>915.3377999999999</v>
      </c>
      <c r="I1409" s="10">
        <f>($K$2+0.02)*Tabla1[[#This Row],[PRECIO $]]*1.18</f>
        <v>782.33999999999992</v>
      </c>
      <c r="J1409" s="7">
        <f>+Tabla1[[#This Row],[PRECIO EN SOLES]]-Tabla1[[#This Row],[PC]]</f>
        <v>132.99779999999998</v>
      </c>
    </row>
    <row r="1410" spans="1:10" x14ac:dyDescent="0.25">
      <c r="A1410" s="3" t="s">
        <v>3074</v>
      </c>
      <c r="B1410" s="3" t="s">
        <v>3075</v>
      </c>
      <c r="C1410" s="1">
        <v>2</v>
      </c>
      <c r="D1410" s="1">
        <v>185</v>
      </c>
      <c r="E1410" s="1" t="s">
        <v>279</v>
      </c>
      <c r="F1410" s="1" t="s">
        <v>5176</v>
      </c>
      <c r="G1410" s="3"/>
      <c r="H1410" s="12" cm="1">
        <f t="array" ref="H1410">_xlfn.IFS(I1410&lt;197,I1410*1.26,I1410&gt;197,I1410*1.17) + IF(I1410&gt;1000,17,0)</f>
        <v>868.39739999999983</v>
      </c>
      <c r="I1410" s="10">
        <f>($K$2+0.02)*Tabla1[[#This Row],[PRECIO $]]*1.18</f>
        <v>742.21999999999991</v>
      </c>
      <c r="J1410" s="7">
        <f>+Tabla1[[#This Row],[PRECIO EN SOLES]]-Tabla1[[#This Row],[PC]]</f>
        <v>126.17739999999992</v>
      </c>
    </row>
    <row r="1411" spans="1:10" x14ac:dyDescent="0.25">
      <c r="A1411" s="3" t="s">
        <v>3076</v>
      </c>
      <c r="B1411" s="3" t="s">
        <v>3077</v>
      </c>
      <c r="C1411" s="1">
        <v>5</v>
      </c>
      <c r="D1411" s="1">
        <v>188</v>
      </c>
      <c r="E1411" s="1" t="s">
        <v>1460</v>
      </c>
      <c r="F1411" s="1" t="s">
        <v>5177</v>
      </c>
      <c r="G1411" s="3" t="s">
        <v>3078</v>
      </c>
      <c r="H1411" s="12" cm="1">
        <f t="array" ref="H1411">_xlfn.IFS(I1411&lt;197,I1411*1.26,I1411&gt;197,I1411*1.17) + IF(I1411&gt;1000,17,0)</f>
        <v>882.47951999999975</v>
      </c>
      <c r="I1411" s="10">
        <f>($K$2+0.02)*Tabla1[[#This Row],[PRECIO $]]*1.18</f>
        <v>754.25599999999986</v>
      </c>
      <c r="J1411" s="7">
        <f>+Tabla1[[#This Row],[PRECIO EN SOLES]]-Tabla1[[#This Row],[PC]]</f>
        <v>128.22351999999989</v>
      </c>
    </row>
    <row r="1412" spans="1:10" x14ac:dyDescent="0.25">
      <c r="A1412" s="3" t="s">
        <v>3079</v>
      </c>
      <c r="B1412" s="3" t="s">
        <v>3080</v>
      </c>
      <c r="C1412" s="1">
        <v>1</v>
      </c>
      <c r="D1412" s="1">
        <v>897</v>
      </c>
      <c r="E1412" s="1" t="s">
        <v>57</v>
      </c>
      <c r="F1412" s="1" t="s">
        <v>5178</v>
      </c>
      <c r="G1412" s="3" t="s">
        <v>3081</v>
      </c>
      <c r="H1412" s="12" cm="1">
        <f t="array" ref="H1412">_xlfn.IFS(I1412&lt;197,I1412*1.26,I1412&gt;197,I1412*1.17) + IF(I1412&gt;1000,17,0)</f>
        <v>4227.5538799999995</v>
      </c>
      <c r="I1412" s="10">
        <f>($K$2+0.02)*Tabla1[[#This Row],[PRECIO $]]*1.18</f>
        <v>3598.7639999999997</v>
      </c>
      <c r="J1412" s="7">
        <f>+Tabla1[[#This Row],[PRECIO EN SOLES]]-Tabla1[[#This Row],[PC]]</f>
        <v>628.78987999999981</v>
      </c>
    </row>
    <row r="1413" spans="1:10" x14ac:dyDescent="0.25">
      <c r="A1413" s="3" t="s">
        <v>3082</v>
      </c>
      <c r="B1413" s="3" t="s">
        <v>3083</v>
      </c>
      <c r="C1413" s="1">
        <v>20</v>
      </c>
      <c r="D1413" s="1">
        <v>95.3</v>
      </c>
      <c r="E1413" s="1" t="s">
        <v>228</v>
      </c>
      <c r="F1413" s="1" t="s">
        <v>5179</v>
      </c>
      <c r="G1413" s="3" t="s">
        <v>3084</v>
      </c>
      <c r="H1413" s="12" cm="1">
        <f t="array" ref="H1413">_xlfn.IFS(I1413&lt;197,I1413*1.26,I1413&gt;197,I1413*1.17) + IF(I1413&gt;1000,17,0)</f>
        <v>447.34201199999995</v>
      </c>
      <c r="I1413" s="10">
        <f>($K$2+0.02)*Tabla1[[#This Row],[PRECIO $]]*1.18</f>
        <v>382.34359999999998</v>
      </c>
      <c r="J1413" s="7">
        <f>+Tabla1[[#This Row],[PRECIO EN SOLES]]-Tabla1[[#This Row],[PC]]</f>
        <v>64.998411999999973</v>
      </c>
    </row>
    <row r="1414" spans="1:10" x14ac:dyDescent="0.25">
      <c r="A1414" s="3" t="s">
        <v>728</v>
      </c>
      <c r="B1414" s="3" t="s">
        <v>729</v>
      </c>
      <c r="C1414" s="1">
        <v>20</v>
      </c>
      <c r="D1414" s="1">
        <v>92.5</v>
      </c>
      <c r="E1414" s="1" t="s">
        <v>547</v>
      </c>
      <c r="F1414" s="1" t="s">
        <v>5180</v>
      </c>
      <c r="G1414" s="3" t="s">
        <v>730</v>
      </c>
      <c r="H1414" s="12" cm="1">
        <f t="array" ref="H1414">_xlfn.IFS(I1414&lt;197,I1414*1.26,I1414&gt;197,I1414*1.17) + IF(I1414&gt;1000,17,0)</f>
        <v>434.19869999999992</v>
      </c>
      <c r="I1414" s="10">
        <f>($K$2+0.02)*Tabla1[[#This Row],[PRECIO $]]*1.18</f>
        <v>371.10999999999996</v>
      </c>
      <c r="J1414" s="7">
        <f>+Tabla1[[#This Row],[PRECIO EN SOLES]]-Tabla1[[#This Row],[PC]]</f>
        <v>63.08869999999996</v>
      </c>
    </row>
    <row r="1415" spans="1:10" x14ac:dyDescent="0.25">
      <c r="A1415" s="3" t="s">
        <v>6044</v>
      </c>
      <c r="B1415" s="3" t="s">
        <v>6045</v>
      </c>
      <c r="C1415" s="1">
        <v>1</v>
      </c>
      <c r="D1415" s="1">
        <v>91.5</v>
      </c>
      <c r="E1415" s="1" t="s">
        <v>547</v>
      </c>
      <c r="F1415" s="1" t="s">
        <v>6046</v>
      </c>
      <c r="G1415" s="3" t="s">
        <v>6047</v>
      </c>
      <c r="H1415" s="12" cm="1">
        <f t="array" ref="H1415">_xlfn.IFS(I1415&lt;197,I1415*1.26,I1415&gt;197,I1415*1.17) + IF(I1415&gt;1000,17,0)</f>
        <v>429.50465999999994</v>
      </c>
      <c r="I1415" s="10">
        <f>($K$2+0.02)*Tabla1[[#This Row],[PRECIO $]]*1.18</f>
        <v>367.09799999999996</v>
      </c>
      <c r="J1415" s="7">
        <f>+Tabla1[[#This Row],[PRECIO EN SOLES]]-Tabla1[[#This Row],[PC]]</f>
        <v>62.406659999999988</v>
      </c>
    </row>
    <row r="1416" spans="1:10" x14ac:dyDescent="0.25">
      <c r="A1416" s="3" t="s">
        <v>731</v>
      </c>
      <c r="B1416" s="3" t="s">
        <v>732</v>
      </c>
      <c r="C1416" s="1">
        <v>3</v>
      </c>
      <c r="D1416" s="1">
        <v>91.5</v>
      </c>
      <c r="E1416" s="1" t="s">
        <v>547</v>
      </c>
      <c r="F1416" s="1" t="s">
        <v>5181</v>
      </c>
      <c r="G1416" s="3" t="s">
        <v>733</v>
      </c>
      <c r="H1416" s="12" cm="1">
        <f t="array" ref="H1416">_xlfn.IFS(I1416&lt;197,I1416*1.26,I1416&gt;197,I1416*1.17) + IF(I1416&gt;1000,17,0)</f>
        <v>429.50465999999994</v>
      </c>
      <c r="I1416" s="10">
        <f>($K$2+0.02)*Tabla1[[#This Row],[PRECIO $]]*1.18</f>
        <v>367.09799999999996</v>
      </c>
      <c r="J1416" s="7">
        <f>+Tabla1[[#This Row],[PRECIO EN SOLES]]-Tabla1[[#This Row],[PC]]</f>
        <v>62.406659999999988</v>
      </c>
    </row>
    <row r="1417" spans="1:10" x14ac:dyDescent="0.25">
      <c r="A1417" s="3" t="s">
        <v>3085</v>
      </c>
      <c r="B1417" s="3" t="s">
        <v>3086</v>
      </c>
      <c r="C1417" s="1">
        <v>10</v>
      </c>
      <c r="D1417" s="1">
        <v>150.5</v>
      </c>
      <c r="E1417" s="1" t="s">
        <v>228</v>
      </c>
      <c r="F1417" s="1" t="s">
        <v>5182</v>
      </c>
      <c r="G1417" s="3" t="s">
        <v>3087</v>
      </c>
      <c r="H1417" s="12" cm="1">
        <f t="array" ref="H1417">_xlfn.IFS(I1417&lt;197,I1417*1.26,I1417&gt;197,I1417*1.17) + IF(I1417&gt;1000,17,0)</f>
        <v>706.45301999999992</v>
      </c>
      <c r="I1417" s="10">
        <f>($K$2+0.02)*Tabla1[[#This Row],[PRECIO $]]*1.18</f>
        <v>603.80599999999993</v>
      </c>
      <c r="J1417" s="7">
        <f>+Tabla1[[#This Row],[PRECIO EN SOLES]]-Tabla1[[#This Row],[PC]]</f>
        <v>102.64702</v>
      </c>
    </row>
    <row r="1418" spans="1:10" x14ac:dyDescent="0.25">
      <c r="A1418" s="3" t="s">
        <v>3088</v>
      </c>
      <c r="B1418" s="3" t="s">
        <v>3089</v>
      </c>
      <c r="C1418" s="1">
        <v>18</v>
      </c>
      <c r="D1418" s="1">
        <v>167.5</v>
      </c>
      <c r="E1418" s="1" t="s">
        <v>547</v>
      </c>
      <c r="F1418" s="1" t="s">
        <v>5183</v>
      </c>
      <c r="G1418" s="3" t="s">
        <v>3090</v>
      </c>
      <c r="H1418" s="12" cm="1">
        <f t="array" ref="H1418">_xlfn.IFS(I1418&lt;197,I1418*1.26,I1418&gt;197,I1418*1.17) + IF(I1418&gt;1000,17,0)</f>
        <v>786.25169999999991</v>
      </c>
      <c r="I1418" s="10">
        <f>($K$2+0.02)*Tabla1[[#This Row],[PRECIO $]]*1.18</f>
        <v>672.01</v>
      </c>
      <c r="J1418" s="7">
        <f>+Tabla1[[#This Row],[PRECIO EN SOLES]]-Tabla1[[#This Row],[PC]]</f>
        <v>114.24169999999992</v>
      </c>
    </row>
    <row r="1419" spans="1:10" x14ac:dyDescent="0.25">
      <c r="A1419" s="3" t="s">
        <v>829</v>
      </c>
      <c r="B1419" s="3" t="s">
        <v>830</v>
      </c>
      <c r="C1419" s="1">
        <v>20</v>
      </c>
      <c r="D1419" s="1">
        <v>171</v>
      </c>
      <c r="E1419" s="1" t="s">
        <v>547</v>
      </c>
      <c r="F1419" s="1" t="s">
        <v>5184</v>
      </c>
      <c r="G1419" s="3" t="s">
        <v>831</v>
      </c>
      <c r="H1419" s="12" cm="1">
        <f t="array" ref="H1419">_xlfn.IFS(I1419&lt;197,I1419*1.26,I1419&gt;197,I1419*1.17) + IF(I1419&gt;1000,17,0)</f>
        <v>802.68083999999988</v>
      </c>
      <c r="I1419" s="10">
        <f>($K$2+0.02)*Tabla1[[#This Row],[PRECIO $]]*1.18</f>
        <v>686.05199999999991</v>
      </c>
      <c r="J1419" s="7">
        <f>+Tabla1[[#This Row],[PRECIO EN SOLES]]-Tabla1[[#This Row],[PC]]</f>
        <v>116.62883999999997</v>
      </c>
    </row>
    <row r="1420" spans="1:10" x14ac:dyDescent="0.25">
      <c r="A1420" s="3" t="s">
        <v>3091</v>
      </c>
      <c r="B1420" s="3" t="s">
        <v>3092</v>
      </c>
      <c r="C1420" s="1">
        <v>20</v>
      </c>
      <c r="D1420" s="1">
        <v>72.400000000000006</v>
      </c>
      <c r="E1420" s="1" t="s">
        <v>547</v>
      </c>
      <c r="F1420" s="1" t="s">
        <v>5185</v>
      </c>
      <c r="G1420" s="3" t="s">
        <v>3093</v>
      </c>
      <c r="H1420" s="12" cm="1">
        <f t="array" ref="H1420">_xlfn.IFS(I1420&lt;197,I1420*1.26,I1420&gt;197,I1420*1.17) + IF(I1420&gt;1000,17,0)</f>
        <v>339.84849599999995</v>
      </c>
      <c r="I1420" s="10">
        <f>($K$2+0.02)*Tabla1[[#This Row],[PRECIO $]]*1.18</f>
        <v>290.46879999999999</v>
      </c>
      <c r="J1420" s="7">
        <f>+Tabla1[[#This Row],[PRECIO EN SOLES]]-Tabla1[[#This Row],[PC]]</f>
        <v>49.379695999999967</v>
      </c>
    </row>
    <row r="1421" spans="1:10" x14ac:dyDescent="0.25">
      <c r="A1421" s="3" t="s">
        <v>3719</v>
      </c>
      <c r="B1421" s="3" t="s">
        <v>3720</v>
      </c>
      <c r="C1421" s="1">
        <v>20</v>
      </c>
      <c r="D1421" s="1">
        <v>653.5</v>
      </c>
      <c r="E1421" s="1" t="s">
        <v>226</v>
      </c>
      <c r="F1421" s="1" t="s">
        <v>5186</v>
      </c>
      <c r="G1421" s="3" t="s">
        <v>3721</v>
      </c>
      <c r="H1421" s="12" cm="1">
        <f t="array" ref="H1421">_xlfn.IFS(I1421&lt;197,I1421*1.26,I1421&gt;197,I1421*1.17) + IF(I1421&gt;1000,17,0)</f>
        <v>3084.5551399999999</v>
      </c>
      <c r="I1421" s="10">
        <f>($K$2+0.02)*Tabla1[[#This Row],[PRECIO $]]*1.18</f>
        <v>2621.8420000000001</v>
      </c>
      <c r="J1421" s="7">
        <f>+Tabla1[[#This Row],[PRECIO EN SOLES]]-Tabla1[[#This Row],[PC]]</f>
        <v>462.71313999999984</v>
      </c>
    </row>
    <row r="1422" spans="1:10" x14ac:dyDescent="0.25">
      <c r="A1422" s="3" t="s">
        <v>3722</v>
      </c>
      <c r="B1422" s="3" t="s">
        <v>3723</v>
      </c>
      <c r="C1422" s="1">
        <v>9</v>
      </c>
      <c r="D1422" s="1">
        <v>1291</v>
      </c>
      <c r="E1422" s="1" t="s">
        <v>226</v>
      </c>
      <c r="F1422" s="1" t="s">
        <v>5187</v>
      </c>
      <c r="G1422" s="3" t="s">
        <v>3724</v>
      </c>
      <c r="H1422" s="12" cm="1">
        <f t="array" ref="H1422">_xlfn.IFS(I1422&lt;197,I1422*1.26,I1422&gt;197,I1422*1.17) + IF(I1422&gt;1000,17,0)</f>
        <v>6077.0056399999985</v>
      </c>
      <c r="I1422" s="10">
        <f>($K$2+0.02)*Tabla1[[#This Row],[PRECIO $]]*1.18</f>
        <v>5179.4919999999993</v>
      </c>
      <c r="J1422" s="7">
        <f>+Tabla1[[#This Row],[PRECIO EN SOLES]]-Tabla1[[#This Row],[PC]]</f>
        <v>897.51363999999921</v>
      </c>
    </row>
    <row r="1423" spans="1:10" x14ac:dyDescent="0.25">
      <c r="A1423" s="3" t="s">
        <v>3094</v>
      </c>
      <c r="B1423" s="3" t="s">
        <v>3095</v>
      </c>
      <c r="C1423" s="1">
        <v>20</v>
      </c>
      <c r="D1423" s="1">
        <v>266.5</v>
      </c>
      <c r="E1423" s="1" t="s">
        <v>226</v>
      </c>
      <c r="F1423" s="1" t="s">
        <v>5188</v>
      </c>
      <c r="G1423" s="3" t="s">
        <v>3096</v>
      </c>
      <c r="H1423" s="12" cm="1">
        <f t="array" ref="H1423">_xlfn.IFS(I1423&lt;197,I1423*1.26,I1423&gt;197,I1423*1.17) + IF(I1423&gt;1000,17,0)</f>
        <v>1267.9616599999997</v>
      </c>
      <c r="I1423" s="10">
        <f>($K$2+0.02)*Tabla1[[#This Row],[PRECIO $]]*1.18</f>
        <v>1069.1979999999999</v>
      </c>
      <c r="J1423" s="7">
        <f>+Tabla1[[#This Row],[PRECIO EN SOLES]]-Tabla1[[#This Row],[PC]]</f>
        <v>198.76365999999985</v>
      </c>
    </row>
    <row r="1424" spans="1:10" x14ac:dyDescent="0.25">
      <c r="A1424" s="3" t="s">
        <v>3097</v>
      </c>
      <c r="B1424" s="3" t="s">
        <v>3098</v>
      </c>
      <c r="C1424" s="1">
        <v>20</v>
      </c>
      <c r="D1424" s="1">
        <v>2301</v>
      </c>
      <c r="E1424" s="1" t="s">
        <v>226</v>
      </c>
      <c r="F1424" s="1" t="s">
        <v>5189</v>
      </c>
      <c r="G1424" s="3" t="s">
        <v>3099</v>
      </c>
      <c r="H1424" s="12" cm="1">
        <f t="array" ref="H1424">_xlfn.IFS(I1424&lt;197,I1424*1.26,I1424&gt;197,I1424*1.17) + IF(I1424&gt;1000,17,0)</f>
        <v>10817.986039999998</v>
      </c>
      <c r="I1424" s="10">
        <f>($K$2+0.02)*Tabla1[[#This Row],[PRECIO $]]*1.18</f>
        <v>9231.6119999999992</v>
      </c>
      <c r="J1424" s="7">
        <f>+Tabla1[[#This Row],[PRECIO EN SOLES]]-Tabla1[[#This Row],[PC]]</f>
        <v>1586.3740399999988</v>
      </c>
    </row>
    <row r="1425" spans="1:10" x14ac:dyDescent="0.25">
      <c r="A1425" s="3" t="s">
        <v>3725</v>
      </c>
      <c r="B1425" s="3" t="s">
        <v>3726</v>
      </c>
      <c r="C1425" s="1">
        <v>20</v>
      </c>
      <c r="D1425" s="1">
        <v>381</v>
      </c>
      <c r="E1425" s="1" t="s">
        <v>226</v>
      </c>
      <c r="F1425" s="1" t="s">
        <v>5190</v>
      </c>
      <c r="G1425" s="3" t="s">
        <v>3727</v>
      </c>
      <c r="H1425" s="12" cm="1">
        <f t="array" ref="H1425">_xlfn.IFS(I1425&lt;197,I1425*1.26,I1425&gt;197,I1425*1.17) + IF(I1425&gt;1000,17,0)</f>
        <v>1805.4292399999995</v>
      </c>
      <c r="I1425" s="10">
        <f>($K$2+0.02)*Tabla1[[#This Row],[PRECIO $]]*1.18</f>
        <v>1528.5719999999997</v>
      </c>
      <c r="J1425" s="7">
        <f>+Tabla1[[#This Row],[PRECIO EN SOLES]]-Tabla1[[#This Row],[PC]]</f>
        <v>276.85723999999982</v>
      </c>
    </row>
    <row r="1426" spans="1:10" x14ac:dyDescent="0.25">
      <c r="A1426" s="3" t="s">
        <v>548</v>
      </c>
      <c r="B1426" s="3" t="s">
        <v>549</v>
      </c>
      <c r="C1426" s="1">
        <v>20</v>
      </c>
      <c r="D1426" s="1">
        <v>39.299999999999997</v>
      </c>
      <c r="E1426" s="1" t="s">
        <v>226</v>
      </c>
      <c r="F1426" s="1" t="s">
        <v>5191</v>
      </c>
      <c r="G1426" s="3" t="s">
        <v>550</v>
      </c>
      <c r="H1426" s="12" cm="1">
        <f t="array" ref="H1426">_xlfn.IFS(I1426&lt;197,I1426*1.26,I1426&gt;197,I1426*1.17) + IF(I1426&gt;1000,17,0)</f>
        <v>198.66621599999993</v>
      </c>
      <c r="I1426" s="10">
        <f>($K$2+0.02)*Tabla1[[#This Row],[PRECIO $]]*1.18</f>
        <v>157.67159999999996</v>
      </c>
      <c r="J1426" s="7">
        <f>+Tabla1[[#This Row],[PRECIO EN SOLES]]-Tabla1[[#This Row],[PC]]</f>
        <v>40.994615999999979</v>
      </c>
    </row>
    <row r="1427" spans="1:10" x14ac:dyDescent="0.25">
      <c r="A1427" s="3" t="s">
        <v>551</v>
      </c>
      <c r="B1427" s="3" t="s">
        <v>552</v>
      </c>
      <c r="C1427" s="1">
        <v>20</v>
      </c>
      <c r="D1427" s="1">
        <v>51.3</v>
      </c>
      <c r="E1427" s="1" t="s">
        <v>226</v>
      </c>
      <c r="F1427" s="1" t="s">
        <v>5192</v>
      </c>
      <c r="G1427" s="3" t="s">
        <v>553</v>
      </c>
      <c r="H1427" s="12" cm="1">
        <f t="array" ref="H1427">_xlfn.IFS(I1427&lt;197,I1427*1.26,I1427&gt;197,I1427*1.17) + IF(I1427&gt;1000,17,0)</f>
        <v>240.80425199999993</v>
      </c>
      <c r="I1427" s="10">
        <f>($K$2+0.02)*Tabla1[[#This Row],[PRECIO $]]*1.18</f>
        <v>205.81559999999996</v>
      </c>
      <c r="J1427" s="7">
        <f>+Tabla1[[#This Row],[PRECIO EN SOLES]]-Tabla1[[#This Row],[PC]]</f>
        <v>34.988651999999973</v>
      </c>
    </row>
    <row r="1428" spans="1:10" x14ac:dyDescent="0.25">
      <c r="A1428" s="3" t="s">
        <v>554</v>
      </c>
      <c r="B1428" s="3" t="s">
        <v>555</v>
      </c>
      <c r="C1428" s="1">
        <v>20</v>
      </c>
      <c r="D1428" s="1">
        <v>100.3</v>
      </c>
      <c r="E1428" s="1" t="s">
        <v>226</v>
      </c>
      <c r="F1428" s="1" t="s">
        <v>5193</v>
      </c>
      <c r="G1428" s="3" t="s">
        <v>556</v>
      </c>
      <c r="H1428" s="12" cm="1">
        <f t="array" ref="H1428">_xlfn.IFS(I1428&lt;197,I1428*1.26,I1428&gt;197,I1428*1.17) + IF(I1428&gt;1000,17,0)</f>
        <v>470.81221199999993</v>
      </c>
      <c r="I1428" s="10">
        <f>($K$2+0.02)*Tabla1[[#This Row],[PRECIO $]]*1.18</f>
        <v>402.40359999999998</v>
      </c>
      <c r="J1428" s="7">
        <f>+Tabla1[[#This Row],[PRECIO EN SOLES]]-Tabla1[[#This Row],[PC]]</f>
        <v>68.408611999999948</v>
      </c>
    </row>
    <row r="1429" spans="1:10" x14ac:dyDescent="0.25">
      <c r="A1429" s="3" t="s">
        <v>557</v>
      </c>
      <c r="B1429" s="3" t="s">
        <v>558</v>
      </c>
      <c r="C1429" s="1">
        <v>20</v>
      </c>
      <c r="D1429" s="1">
        <v>148.30000000000001</v>
      </c>
      <c r="E1429" s="1" t="s">
        <v>226</v>
      </c>
      <c r="F1429" s="1" t="s">
        <v>5194</v>
      </c>
      <c r="G1429" s="3" t="s">
        <v>559</v>
      </c>
      <c r="H1429" s="12" cm="1">
        <f t="array" ref="H1429">_xlfn.IFS(I1429&lt;197,I1429*1.26,I1429&gt;197,I1429*1.17) + IF(I1429&gt;1000,17,0)</f>
        <v>696.12613199999998</v>
      </c>
      <c r="I1429" s="10">
        <f>($K$2+0.02)*Tabla1[[#This Row],[PRECIO $]]*1.18</f>
        <v>594.9796</v>
      </c>
      <c r="J1429" s="7">
        <f>+Tabla1[[#This Row],[PRECIO EN SOLES]]-Tabla1[[#This Row],[PC]]</f>
        <v>101.14653199999998</v>
      </c>
    </row>
    <row r="1430" spans="1:10" x14ac:dyDescent="0.25">
      <c r="A1430" s="3" t="s">
        <v>3100</v>
      </c>
      <c r="B1430" s="3" t="s">
        <v>3101</v>
      </c>
      <c r="C1430" s="1">
        <v>8</v>
      </c>
      <c r="D1430" s="1">
        <v>296.5</v>
      </c>
      <c r="E1430" s="1" t="s">
        <v>226</v>
      </c>
      <c r="F1430" s="1" t="s">
        <v>5195</v>
      </c>
      <c r="G1430" s="3" t="s">
        <v>3102</v>
      </c>
      <c r="H1430" s="12" cm="1">
        <f t="array" ref="H1430">_xlfn.IFS(I1430&lt;197,I1430*1.26,I1430&gt;197,I1430*1.17) + IF(I1430&gt;1000,17,0)</f>
        <v>1408.7828599999998</v>
      </c>
      <c r="I1430" s="10">
        <f>($K$2+0.02)*Tabla1[[#This Row],[PRECIO $]]*1.18</f>
        <v>1189.558</v>
      </c>
      <c r="J1430" s="7">
        <f>+Tabla1[[#This Row],[PRECIO EN SOLES]]-Tabla1[[#This Row],[PC]]</f>
        <v>219.22485999999981</v>
      </c>
    </row>
    <row r="1431" spans="1:10" x14ac:dyDescent="0.25">
      <c r="A1431" s="3" t="s">
        <v>560</v>
      </c>
      <c r="B1431" s="3" t="s">
        <v>561</v>
      </c>
      <c r="C1431" s="1">
        <v>20</v>
      </c>
      <c r="D1431" s="1">
        <v>54.3</v>
      </c>
      <c r="E1431" s="1" t="s">
        <v>226</v>
      </c>
      <c r="F1431" s="1" t="s">
        <v>5196</v>
      </c>
      <c r="G1431" s="3" t="s">
        <v>562</v>
      </c>
      <c r="H1431" s="12" cm="1">
        <f t="array" ref="H1431">_xlfn.IFS(I1431&lt;197,I1431*1.26,I1431&gt;197,I1431*1.17) + IF(I1431&gt;1000,17,0)</f>
        <v>254.88637199999994</v>
      </c>
      <c r="I1431" s="10">
        <f>($K$2+0.02)*Tabla1[[#This Row],[PRECIO $]]*1.18</f>
        <v>217.85159999999996</v>
      </c>
      <c r="J1431" s="7">
        <f>+Tabla1[[#This Row],[PRECIO EN SOLES]]-Tabla1[[#This Row],[PC]]</f>
        <v>37.034771999999975</v>
      </c>
    </row>
    <row r="1432" spans="1:10" x14ac:dyDescent="0.25">
      <c r="A1432" s="3" t="s">
        <v>832</v>
      </c>
      <c r="B1432" s="3" t="s">
        <v>833</v>
      </c>
      <c r="C1432" s="1">
        <v>20</v>
      </c>
      <c r="D1432" s="1">
        <v>91.3</v>
      </c>
      <c r="E1432" s="1" t="s">
        <v>226</v>
      </c>
      <c r="F1432" s="1" t="s">
        <v>5197</v>
      </c>
      <c r="G1432" s="3" t="s">
        <v>834</v>
      </c>
      <c r="H1432" s="12" cm="1">
        <f t="array" ref="H1432">_xlfn.IFS(I1432&lt;197,I1432*1.26,I1432&gt;197,I1432*1.17) + IF(I1432&gt;1000,17,0)</f>
        <v>428.56585199999989</v>
      </c>
      <c r="I1432" s="10">
        <f>($K$2+0.02)*Tabla1[[#This Row],[PRECIO $]]*1.18</f>
        <v>366.29559999999992</v>
      </c>
      <c r="J1432" s="7">
        <f>+Tabla1[[#This Row],[PRECIO EN SOLES]]-Tabla1[[#This Row],[PC]]</f>
        <v>62.270251999999971</v>
      </c>
    </row>
    <row r="1433" spans="1:10" x14ac:dyDescent="0.25">
      <c r="A1433" s="3" t="s">
        <v>3569</v>
      </c>
      <c r="B1433" s="3" t="s">
        <v>3570</v>
      </c>
      <c r="C1433" s="1">
        <v>20</v>
      </c>
      <c r="D1433" s="1">
        <v>98.3</v>
      </c>
      <c r="E1433" s="1" t="s">
        <v>248</v>
      </c>
      <c r="F1433" s="1" t="s">
        <v>5198</v>
      </c>
      <c r="G1433" s="3" t="s">
        <v>3571</v>
      </c>
      <c r="H1433" s="12" cm="1">
        <f t="array" ref="H1433">_xlfn.IFS(I1433&lt;197,I1433*1.26,I1433&gt;197,I1433*1.17) + IF(I1433&gt;1000,17,0)</f>
        <v>461.42413199999987</v>
      </c>
      <c r="I1433" s="10">
        <f>($K$2+0.02)*Tabla1[[#This Row],[PRECIO $]]*1.18</f>
        <v>394.37959999999993</v>
      </c>
      <c r="J1433" s="7">
        <f>+Tabla1[[#This Row],[PRECIO EN SOLES]]-Tabla1[[#This Row],[PC]]</f>
        <v>67.044531999999947</v>
      </c>
    </row>
    <row r="1434" spans="1:10" x14ac:dyDescent="0.25">
      <c r="A1434" s="3" t="s">
        <v>5199</v>
      </c>
      <c r="B1434" s="3" t="s">
        <v>5200</v>
      </c>
      <c r="C1434" s="1">
        <v>3</v>
      </c>
      <c r="D1434" s="1">
        <v>58.3</v>
      </c>
      <c r="E1434" s="1" t="s">
        <v>248</v>
      </c>
      <c r="F1434" s="1" t="s">
        <v>5201</v>
      </c>
      <c r="G1434" s="3" t="s">
        <v>5202</v>
      </c>
      <c r="H1434" s="12" cm="1">
        <f t="array" ref="H1434">_xlfn.IFS(I1434&lt;197,I1434*1.26,I1434&gt;197,I1434*1.17) + IF(I1434&gt;1000,17,0)</f>
        <v>273.662532</v>
      </c>
      <c r="I1434" s="10">
        <f>($K$2+0.02)*Tabla1[[#This Row],[PRECIO $]]*1.18</f>
        <v>233.89959999999999</v>
      </c>
      <c r="J1434" s="7">
        <f>+Tabla1[[#This Row],[PRECIO EN SOLES]]-Tabla1[[#This Row],[PC]]</f>
        <v>39.762932000000006</v>
      </c>
    </row>
    <row r="1435" spans="1:10" x14ac:dyDescent="0.25">
      <c r="A1435" s="3" t="s">
        <v>3572</v>
      </c>
      <c r="B1435" s="3" t="s">
        <v>3573</v>
      </c>
      <c r="C1435" s="1">
        <v>20</v>
      </c>
      <c r="D1435" s="1">
        <v>97.3</v>
      </c>
      <c r="E1435" s="1" t="s">
        <v>248</v>
      </c>
      <c r="F1435" s="1" t="s">
        <v>5203</v>
      </c>
      <c r="G1435" s="3" t="s">
        <v>3574</v>
      </c>
      <c r="H1435" s="12" cm="1">
        <f t="array" ref="H1435">_xlfn.IFS(I1435&lt;197,I1435*1.26,I1435&gt;197,I1435*1.17) + IF(I1435&gt;1000,17,0)</f>
        <v>456.73009199999996</v>
      </c>
      <c r="I1435" s="10">
        <f>($K$2+0.02)*Tabla1[[#This Row],[PRECIO $]]*1.18</f>
        <v>390.36759999999998</v>
      </c>
      <c r="J1435" s="7">
        <f>+Tabla1[[#This Row],[PRECIO EN SOLES]]-Tabla1[[#This Row],[PC]]</f>
        <v>66.362491999999975</v>
      </c>
    </row>
    <row r="1436" spans="1:10" x14ac:dyDescent="0.25">
      <c r="A1436" s="3" t="s">
        <v>3103</v>
      </c>
      <c r="B1436" s="3" t="s">
        <v>3104</v>
      </c>
      <c r="C1436" s="1">
        <v>0</v>
      </c>
      <c r="D1436" s="1">
        <v>210.5</v>
      </c>
      <c r="E1436" s="1" t="s">
        <v>248</v>
      </c>
      <c r="F1436" s="1" t="s">
        <v>5204</v>
      </c>
      <c r="G1436" s="3" t="s">
        <v>3105</v>
      </c>
      <c r="H1436" s="12" cm="1">
        <f t="array" ref="H1436">_xlfn.IFS(I1436&lt;197,I1436*1.26,I1436&gt;197,I1436*1.17) + IF(I1436&gt;1000,17,0)</f>
        <v>988.09541999999976</v>
      </c>
      <c r="I1436" s="10">
        <f>($K$2+0.02)*Tabla1[[#This Row],[PRECIO $]]*1.18</f>
        <v>844.52599999999984</v>
      </c>
      <c r="J1436" s="7">
        <f>+Tabla1[[#This Row],[PRECIO EN SOLES]]-Tabla1[[#This Row],[PC]]</f>
        <v>143.56941999999992</v>
      </c>
    </row>
    <row r="1437" spans="1:10" x14ac:dyDescent="0.25">
      <c r="A1437" s="3" t="s">
        <v>563</v>
      </c>
      <c r="B1437" s="3" t="s">
        <v>564</v>
      </c>
      <c r="C1437" s="1">
        <v>20</v>
      </c>
      <c r="D1437" s="1">
        <v>38.299999999999997</v>
      </c>
      <c r="E1437" s="1" t="s">
        <v>248</v>
      </c>
      <c r="F1437" s="1" t="s">
        <v>5205</v>
      </c>
      <c r="G1437" s="3" t="s">
        <v>565</v>
      </c>
      <c r="H1437" s="12" cm="1">
        <f t="array" ref="H1437">_xlfn.IFS(I1437&lt;197,I1437*1.26,I1437&gt;197,I1437*1.17) + IF(I1437&gt;1000,17,0)</f>
        <v>193.61109599999997</v>
      </c>
      <c r="I1437" s="10">
        <f>($K$2+0.02)*Tabla1[[#This Row],[PRECIO $]]*1.18</f>
        <v>153.65959999999998</v>
      </c>
      <c r="J1437" s="7">
        <f>+Tabla1[[#This Row],[PRECIO EN SOLES]]-Tabla1[[#This Row],[PC]]</f>
        <v>39.951495999999992</v>
      </c>
    </row>
    <row r="1438" spans="1:10" x14ac:dyDescent="0.25">
      <c r="A1438" s="3" t="s">
        <v>566</v>
      </c>
      <c r="B1438" s="3" t="s">
        <v>567</v>
      </c>
      <c r="C1438" s="1">
        <v>20</v>
      </c>
      <c r="D1438" s="1">
        <v>60.3</v>
      </c>
      <c r="E1438" s="1" t="s">
        <v>248</v>
      </c>
      <c r="F1438" s="1" t="s">
        <v>5206</v>
      </c>
      <c r="G1438" s="3" t="s">
        <v>568</v>
      </c>
      <c r="H1438" s="12" cm="1">
        <f t="array" ref="H1438">_xlfn.IFS(I1438&lt;197,I1438*1.26,I1438&gt;197,I1438*1.17) + IF(I1438&gt;1000,17,0)</f>
        <v>283.05061199999994</v>
      </c>
      <c r="I1438" s="10">
        <f>($K$2+0.02)*Tabla1[[#This Row],[PRECIO $]]*1.18</f>
        <v>241.92359999999996</v>
      </c>
      <c r="J1438" s="7">
        <f>+Tabla1[[#This Row],[PRECIO EN SOLES]]-Tabla1[[#This Row],[PC]]</f>
        <v>41.127011999999979</v>
      </c>
    </row>
    <row r="1439" spans="1:10" x14ac:dyDescent="0.25">
      <c r="A1439" s="3" t="s">
        <v>3106</v>
      </c>
      <c r="B1439" s="3" t="s">
        <v>3107</v>
      </c>
      <c r="C1439" s="1">
        <v>20</v>
      </c>
      <c r="D1439" s="1">
        <v>125.7</v>
      </c>
      <c r="E1439" s="1" t="s">
        <v>547</v>
      </c>
      <c r="F1439" s="1" t="s">
        <v>5207</v>
      </c>
      <c r="G1439" s="3" t="s">
        <v>3108</v>
      </c>
      <c r="H1439" s="12" cm="1">
        <f t="array" ref="H1439">_xlfn.IFS(I1439&lt;197,I1439*1.26,I1439&gt;197,I1439*1.17) + IF(I1439&gt;1000,17,0)</f>
        <v>590.04082799999992</v>
      </c>
      <c r="I1439" s="10">
        <f>($K$2+0.02)*Tabla1[[#This Row],[PRECIO $]]*1.18</f>
        <v>504.30839999999995</v>
      </c>
      <c r="J1439" s="7">
        <f>+Tabla1[[#This Row],[PRECIO EN SOLES]]-Tabla1[[#This Row],[PC]]</f>
        <v>85.73242799999997</v>
      </c>
    </row>
    <row r="1440" spans="1:10" x14ac:dyDescent="0.25">
      <c r="A1440" s="3" t="s">
        <v>734</v>
      </c>
      <c r="B1440" s="3" t="s">
        <v>735</v>
      </c>
      <c r="C1440" s="1">
        <v>20</v>
      </c>
      <c r="D1440" s="1">
        <v>62.25</v>
      </c>
      <c r="E1440" s="1" t="s">
        <v>547</v>
      </c>
      <c r="F1440" s="1" t="s">
        <v>5208</v>
      </c>
      <c r="G1440" s="3" t="s">
        <v>736</v>
      </c>
      <c r="H1440" s="12" cm="1">
        <f t="array" ref="H1440">_xlfn.IFS(I1440&lt;197,I1440*1.26,I1440&gt;197,I1440*1.17) + IF(I1440&gt;1000,17,0)</f>
        <v>292.20398999999998</v>
      </c>
      <c r="I1440" s="10">
        <f>($K$2+0.02)*Tabla1[[#This Row],[PRECIO $]]*1.18</f>
        <v>249.74699999999999</v>
      </c>
      <c r="J1440" s="7">
        <f>+Tabla1[[#This Row],[PRECIO EN SOLES]]-Tabla1[[#This Row],[PC]]</f>
        <v>42.45698999999999</v>
      </c>
    </row>
    <row r="1441" spans="1:10" x14ac:dyDescent="0.25">
      <c r="A1441" s="3" t="s">
        <v>3109</v>
      </c>
      <c r="B1441" s="3" t="s">
        <v>3110</v>
      </c>
      <c r="C1441" s="1">
        <v>20</v>
      </c>
      <c r="D1441" s="1">
        <v>202</v>
      </c>
      <c r="E1441" s="1" t="s">
        <v>547</v>
      </c>
      <c r="F1441" s="1" t="s">
        <v>5209</v>
      </c>
      <c r="G1441" s="3"/>
      <c r="H1441" s="12" cm="1">
        <f t="array" ref="H1441">_xlfn.IFS(I1441&lt;197,I1441*1.26,I1441&gt;197,I1441*1.17) + IF(I1441&gt;1000,17,0)</f>
        <v>948.19607999999982</v>
      </c>
      <c r="I1441" s="10">
        <f>($K$2+0.02)*Tabla1[[#This Row],[PRECIO $]]*1.18</f>
        <v>810.42399999999986</v>
      </c>
      <c r="J1441" s="7">
        <f>+Tabla1[[#This Row],[PRECIO EN SOLES]]-Tabla1[[#This Row],[PC]]</f>
        <v>137.77207999999996</v>
      </c>
    </row>
    <row r="1442" spans="1:10" x14ac:dyDescent="0.25">
      <c r="A1442" s="3" t="s">
        <v>3111</v>
      </c>
      <c r="B1442" s="3" t="s">
        <v>3112</v>
      </c>
      <c r="C1442" s="1">
        <v>20</v>
      </c>
      <c r="D1442" s="1">
        <v>59.3</v>
      </c>
      <c r="E1442" s="1" t="s">
        <v>1865</v>
      </c>
      <c r="F1442" s="1" t="s">
        <v>5210</v>
      </c>
      <c r="G1442" s="3" t="s">
        <v>3113</v>
      </c>
      <c r="H1442" s="12" cm="1">
        <f t="array" ref="H1442">_xlfn.IFS(I1442&lt;197,I1442*1.26,I1442&gt;197,I1442*1.17) + IF(I1442&gt;1000,17,0)</f>
        <v>278.35657199999991</v>
      </c>
      <c r="I1442" s="10">
        <f>($K$2+0.02)*Tabla1[[#This Row],[PRECIO $]]*1.18</f>
        <v>237.91159999999996</v>
      </c>
      <c r="J1442" s="7">
        <f>+Tabla1[[#This Row],[PRECIO EN SOLES]]-Tabla1[[#This Row],[PC]]</f>
        <v>40.44497199999995</v>
      </c>
    </row>
    <row r="1443" spans="1:10" x14ac:dyDescent="0.25">
      <c r="A1443" s="3" t="s">
        <v>737</v>
      </c>
      <c r="B1443" s="3" t="s">
        <v>738</v>
      </c>
      <c r="C1443" s="1">
        <v>20</v>
      </c>
      <c r="D1443" s="1">
        <v>70.400000000000006</v>
      </c>
      <c r="E1443" s="1" t="s">
        <v>547</v>
      </c>
      <c r="F1443" s="1" t="s">
        <v>5211</v>
      </c>
      <c r="G1443" s="3" t="s">
        <v>739</v>
      </c>
      <c r="H1443" s="12" cm="1">
        <f t="array" ref="H1443">_xlfn.IFS(I1443&lt;197,I1443*1.26,I1443&gt;197,I1443*1.17) + IF(I1443&gt;1000,17,0)</f>
        <v>330.46041599999995</v>
      </c>
      <c r="I1443" s="10">
        <f>($K$2+0.02)*Tabla1[[#This Row],[PRECIO $]]*1.18</f>
        <v>282.44479999999999</v>
      </c>
      <c r="J1443" s="7">
        <f>+Tabla1[[#This Row],[PRECIO EN SOLES]]-Tabla1[[#This Row],[PC]]</f>
        <v>48.015615999999966</v>
      </c>
    </row>
    <row r="1444" spans="1:10" x14ac:dyDescent="0.25">
      <c r="A1444" s="3" t="s">
        <v>569</v>
      </c>
      <c r="B1444" s="3" t="s">
        <v>570</v>
      </c>
      <c r="C1444" s="1">
        <v>20</v>
      </c>
      <c r="D1444" s="1">
        <v>175.3</v>
      </c>
      <c r="E1444" s="1" t="s">
        <v>226</v>
      </c>
      <c r="F1444" s="1" t="s">
        <v>5212</v>
      </c>
      <c r="G1444" s="3" t="s">
        <v>571</v>
      </c>
      <c r="H1444" s="12" cm="1">
        <f t="array" ref="H1444">_xlfn.IFS(I1444&lt;197,I1444*1.26,I1444&gt;197,I1444*1.17) + IF(I1444&gt;1000,17,0)</f>
        <v>822.86521199999993</v>
      </c>
      <c r="I1444" s="10">
        <f>($K$2+0.02)*Tabla1[[#This Row],[PRECIO $]]*1.18</f>
        <v>703.30359999999996</v>
      </c>
      <c r="J1444" s="7">
        <f>+Tabla1[[#This Row],[PRECIO EN SOLES]]-Tabla1[[#This Row],[PC]]</f>
        <v>119.56161199999997</v>
      </c>
    </row>
    <row r="1445" spans="1:10" x14ac:dyDescent="0.25">
      <c r="A1445" s="3" t="s">
        <v>3114</v>
      </c>
      <c r="B1445" s="3" t="s">
        <v>3115</v>
      </c>
      <c r="C1445" s="1">
        <v>20</v>
      </c>
      <c r="D1445" s="1">
        <v>291.5</v>
      </c>
      <c r="E1445" s="1" t="s">
        <v>226</v>
      </c>
      <c r="F1445" s="1" t="s">
        <v>5213</v>
      </c>
      <c r="G1445" s="3" t="s">
        <v>3116</v>
      </c>
      <c r="H1445" s="12" cm="1">
        <f t="array" ref="H1445">_xlfn.IFS(I1445&lt;197,I1445*1.26,I1445&gt;197,I1445*1.17) + IF(I1445&gt;1000,17,0)</f>
        <v>1385.3126600000001</v>
      </c>
      <c r="I1445" s="10">
        <f>($K$2+0.02)*Tabla1[[#This Row],[PRECIO $]]*1.18</f>
        <v>1169.498</v>
      </c>
      <c r="J1445" s="7">
        <f>+Tabla1[[#This Row],[PRECIO EN SOLES]]-Tabla1[[#This Row],[PC]]</f>
        <v>215.81466</v>
      </c>
    </row>
    <row r="1446" spans="1:10" x14ac:dyDescent="0.25">
      <c r="A1446" s="3" t="s">
        <v>3117</v>
      </c>
      <c r="B1446" s="3" t="s">
        <v>3118</v>
      </c>
      <c r="C1446" s="1">
        <v>13</v>
      </c>
      <c r="D1446" s="1">
        <v>663</v>
      </c>
      <c r="E1446" s="1" t="s">
        <v>226</v>
      </c>
      <c r="F1446" s="1" t="s">
        <v>5214</v>
      </c>
      <c r="G1446" s="3" t="s">
        <v>3119</v>
      </c>
      <c r="H1446" s="12" cm="1">
        <f t="array" ref="H1446">_xlfn.IFS(I1446&lt;197,I1446*1.26,I1446&gt;197,I1446*1.17) + IF(I1446&gt;1000,17,0)</f>
        <v>3129.1485199999993</v>
      </c>
      <c r="I1446" s="10">
        <f>($K$2+0.02)*Tabla1[[#This Row],[PRECIO $]]*1.18</f>
        <v>2659.9559999999997</v>
      </c>
      <c r="J1446" s="7">
        <f>+Tabla1[[#This Row],[PRECIO EN SOLES]]-Tabla1[[#This Row],[PC]]</f>
        <v>469.1925199999996</v>
      </c>
    </row>
    <row r="1447" spans="1:10" x14ac:dyDescent="0.25">
      <c r="A1447" s="3" t="s">
        <v>572</v>
      </c>
      <c r="B1447" s="3" t="s">
        <v>573</v>
      </c>
      <c r="C1447" s="1">
        <v>20</v>
      </c>
      <c r="D1447" s="1">
        <v>127.5</v>
      </c>
      <c r="E1447" s="1" t="s">
        <v>226</v>
      </c>
      <c r="F1447" s="1" t="s">
        <v>5215</v>
      </c>
      <c r="G1447" s="3" t="s">
        <v>574</v>
      </c>
      <c r="H1447" s="12" cm="1">
        <f t="array" ref="H1447">_xlfn.IFS(I1447&lt;197,I1447*1.26,I1447&gt;197,I1447*1.17) + IF(I1447&gt;1000,17,0)</f>
        <v>598.49009999999998</v>
      </c>
      <c r="I1447" s="10">
        <f>($K$2+0.02)*Tabla1[[#This Row],[PRECIO $]]*1.18</f>
        <v>511.53</v>
      </c>
      <c r="J1447" s="7">
        <f>+Tabla1[[#This Row],[PRECIO EN SOLES]]-Tabla1[[#This Row],[PC]]</f>
        <v>86.960100000000011</v>
      </c>
    </row>
    <row r="1448" spans="1:10" x14ac:dyDescent="0.25">
      <c r="A1448" s="3" t="s">
        <v>3871</v>
      </c>
      <c r="B1448" s="3" t="s">
        <v>3872</v>
      </c>
      <c r="C1448" s="1">
        <v>20</v>
      </c>
      <c r="D1448" s="1">
        <v>194.5</v>
      </c>
      <c r="E1448" s="1" t="s">
        <v>226</v>
      </c>
      <c r="F1448" s="1" t="s">
        <v>5216</v>
      </c>
      <c r="G1448" s="3" t="s">
        <v>3873</v>
      </c>
      <c r="H1448" s="12" cm="1">
        <f t="array" ref="H1448">_xlfn.IFS(I1448&lt;197,I1448*1.26,I1448&gt;197,I1448*1.17) + IF(I1448&gt;1000,17,0)</f>
        <v>912.99077999999986</v>
      </c>
      <c r="I1448" s="10">
        <f>($K$2+0.02)*Tabla1[[#This Row],[PRECIO $]]*1.18</f>
        <v>780.33399999999995</v>
      </c>
      <c r="J1448" s="7">
        <f>+Tabla1[[#This Row],[PRECIO EN SOLES]]-Tabla1[[#This Row],[PC]]</f>
        <v>132.65677999999991</v>
      </c>
    </row>
    <row r="1449" spans="1:10" x14ac:dyDescent="0.25">
      <c r="A1449" s="3" t="s">
        <v>3120</v>
      </c>
      <c r="B1449" s="3" t="s">
        <v>3121</v>
      </c>
      <c r="C1449" s="1">
        <v>20</v>
      </c>
      <c r="D1449" s="1">
        <v>260.5</v>
      </c>
      <c r="E1449" s="1" t="s">
        <v>226</v>
      </c>
      <c r="F1449" s="1" t="s">
        <v>5217</v>
      </c>
      <c r="G1449" s="3" t="s">
        <v>3122</v>
      </c>
      <c r="H1449" s="12" cm="1">
        <f t="array" ref="H1449">_xlfn.IFS(I1449&lt;197,I1449*1.26,I1449&gt;197,I1449*1.17) + IF(I1449&gt;1000,17,0)</f>
        <v>1239.7974199999999</v>
      </c>
      <c r="I1449" s="10">
        <f>($K$2+0.02)*Tabla1[[#This Row],[PRECIO $]]*1.18</f>
        <v>1045.126</v>
      </c>
      <c r="J1449" s="7">
        <f>+Tabla1[[#This Row],[PRECIO EN SOLES]]-Tabla1[[#This Row],[PC]]</f>
        <v>194.6714199999999</v>
      </c>
    </row>
    <row r="1450" spans="1:10" x14ac:dyDescent="0.25">
      <c r="A1450" s="3" t="s">
        <v>3123</v>
      </c>
      <c r="B1450" s="3" t="s">
        <v>3124</v>
      </c>
      <c r="C1450" s="1">
        <v>20</v>
      </c>
      <c r="D1450" s="1">
        <v>89.3</v>
      </c>
      <c r="E1450" s="1" t="s">
        <v>226</v>
      </c>
      <c r="F1450" s="1" t="s">
        <v>5218</v>
      </c>
      <c r="G1450" s="3" t="s">
        <v>3125</v>
      </c>
      <c r="H1450" s="12" cm="1">
        <f t="array" ref="H1450">_xlfn.IFS(I1450&lt;197,I1450*1.26,I1450&gt;197,I1450*1.17) + IF(I1450&gt;1000,17,0)</f>
        <v>419.17777199999995</v>
      </c>
      <c r="I1450" s="10">
        <f>($K$2+0.02)*Tabla1[[#This Row],[PRECIO $]]*1.18</f>
        <v>358.27159999999998</v>
      </c>
      <c r="J1450" s="7">
        <f>+Tabla1[[#This Row],[PRECIO EN SOLES]]-Tabla1[[#This Row],[PC]]</f>
        <v>60.90617199999997</v>
      </c>
    </row>
    <row r="1451" spans="1:10" x14ac:dyDescent="0.25">
      <c r="A1451" s="3" t="s">
        <v>3126</v>
      </c>
      <c r="B1451" s="3" t="s">
        <v>3127</v>
      </c>
      <c r="C1451" s="1">
        <v>20</v>
      </c>
      <c r="D1451" s="1">
        <v>360.3</v>
      </c>
      <c r="E1451" s="1" t="s">
        <v>226</v>
      </c>
      <c r="F1451" s="1" t="s">
        <v>5219</v>
      </c>
      <c r="G1451" s="3" t="s">
        <v>3128</v>
      </c>
      <c r="H1451" s="12" cm="1">
        <f t="array" ref="H1451">_xlfn.IFS(I1451&lt;197,I1451*1.26,I1451&gt;197,I1451*1.17) + IF(I1451&gt;1000,17,0)</f>
        <v>1708.262612</v>
      </c>
      <c r="I1451" s="10">
        <f>($K$2+0.02)*Tabla1[[#This Row],[PRECIO $]]*1.18</f>
        <v>1445.5236</v>
      </c>
      <c r="J1451" s="7">
        <f>+Tabla1[[#This Row],[PRECIO EN SOLES]]-Tabla1[[#This Row],[PC]]</f>
        <v>262.739012</v>
      </c>
    </row>
    <row r="1452" spans="1:10" x14ac:dyDescent="0.25">
      <c r="A1452" s="3" t="s">
        <v>3728</v>
      </c>
      <c r="B1452" s="3" t="s">
        <v>3729</v>
      </c>
      <c r="C1452" s="1">
        <v>20</v>
      </c>
      <c r="D1452" s="1">
        <v>490</v>
      </c>
      <c r="E1452" s="1" t="s">
        <v>226</v>
      </c>
      <c r="F1452" s="1" t="s">
        <v>5220</v>
      </c>
      <c r="G1452" s="3" t="s">
        <v>3730</v>
      </c>
      <c r="H1452" s="12" cm="1">
        <f t="array" ref="H1452">_xlfn.IFS(I1452&lt;197,I1452*1.26,I1452&gt;197,I1452*1.17) + IF(I1452&gt;1000,17,0)</f>
        <v>2317.0795999999996</v>
      </c>
      <c r="I1452" s="10">
        <f>($K$2+0.02)*Tabla1[[#This Row],[PRECIO $]]*1.18</f>
        <v>1965.8799999999999</v>
      </c>
      <c r="J1452" s="7">
        <f>+Tabla1[[#This Row],[PRECIO EN SOLES]]-Tabla1[[#This Row],[PC]]</f>
        <v>351.19959999999969</v>
      </c>
    </row>
    <row r="1453" spans="1:10" x14ac:dyDescent="0.25">
      <c r="A1453" s="3" t="s">
        <v>3129</v>
      </c>
      <c r="B1453" s="3" t="s">
        <v>3130</v>
      </c>
      <c r="C1453" s="1">
        <v>16</v>
      </c>
      <c r="D1453" s="1">
        <v>896</v>
      </c>
      <c r="E1453" s="1" t="s">
        <v>226</v>
      </c>
      <c r="F1453" s="1" t="s">
        <v>5221</v>
      </c>
      <c r="G1453" s="3" t="s">
        <v>3131</v>
      </c>
      <c r="H1453" s="12" cm="1">
        <f t="array" ref="H1453">_xlfn.IFS(I1453&lt;197,I1453*1.26,I1453&gt;197,I1453*1.17) + IF(I1453&gt;1000,17,0)</f>
        <v>4222.8598400000001</v>
      </c>
      <c r="I1453" s="10">
        <f>($K$2+0.02)*Tabla1[[#This Row],[PRECIO $]]*1.18</f>
        <v>3594.752</v>
      </c>
      <c r="J1453" s="7">
        <f>+Tabla1[[#This Row],[PRECIO EN SOLES]]-Tabla1[[#This Row],[PC]]</f>
        <v>628.10784000000012</v>
      </c>
    </row>
    <row r="1454" spans="1:10" x14ac:dyDescent="0.25">
      <c r="A1454" s="3" t="s">
        <v>3731</v>
      </c>
      <c r="B1454" s="3" t="s">
        <v>3732</v>
      </c>
      <c r="C1454" s="1">
        <v>20</v>
      </c>
      <c r="D1454" s="1">
        <v>455.5</v>
      </c>
      <c r="E1454" s="1" t="s">
        <v>226</v>
      </c>
      <c r="F1454" s="1" t="s">
        <v>5222</v>
      </c>
      <c r="G1454" s="3" t="s">
        <v>3733</v>
      </c>
      <c r="H1454" s="12" cm="1">
        <f t="array" ref="H1454">_xlfn.IFS(I1454&lt;197,I1454*1.26,I1454&gt;197,I1454*1.17) + IF(I1454&gt;1000,17,0)</f>
        <v>2155.1352199999997</v>
      </c>
      <c r="I1454" s="10">
        <f>($K$2+0.02)*Tabla1[[#This Row],[PRECIO $]]*1.18</f>
        <v>1827.4659999999999</v>
      </c>
      <c r="J1454" s="7">
        <f>+Tabla1[[#This Row],[PRECIO EN SOLES]]-Tabla1[[#This Row],[PC]]</f>
        <v>327.66921999999977</v>
      </c>
    </row>
    <row r="1455" spans="1:10" x14ac:dyDescent="0.25">
      <c r="A1455" s="3" t="s">
        <v>3132</v>
      </c>
      <c r="B1455" s="3" t="s">
        <v>3133</v>
      </c>
      <c r="C1455" s="1">
        <v>16</v>
      </c>
      <c r="D1455" s="1">
        <v>857</v>
      </c>
      <c r="E1455" s="1" t="s">
        <v>226</v>
      </c>
      <c r="F1455" s="1" t="s">
        <v>5223</v>
      </c>
      <c r="G1455" s="3" t="s">
        <v>3134</v>
      </c>
      <c r="H1455" s="12" cm="1">
        <f t="array" ref="H1455">_xlfn.IFS(I1455&lt;197,I1455*1.26,I1455&gt;197,I1455*1.17) + IF(I1455&gt;1000,17,0)</f>
        <v>4039.7922799999992</v>
      </c>
      <c r="I1455" s="10">
        <f>($K$2+0.02)*Tabla1[[#This Row],[PRECIO $]]*1.18</f>
        <v>3438.2839999999997</v>
      </c>
      <c r="J1455" s="7">
        <f>+Tabla1[[#This Row],[PRECIO EN SOLES]]-Tabla1[[#This Row],[PC]]</f>
        <v>601.50827999999956</v>
      </c>
    </row>
    <row r="1456" spans="1:10" x14ac:dyDescent="0.25">
      <c r="A1456" s="3" t="s">
        <v>575</v>
      </c>
      <c r="B1456" s="3" t="s">
        <v>576</v>
      </c>
      <c r="C1456" s="1">
        <v>20</v>
      </c>
      <c r="D1456" s="1">
        <v>272.5</v>
      </c>
      <c r="E1456" s="1" t="s">
        <v>226</v>
      </c>
      <c r="F1456" s="1" t="s">
        <v>5224</v>
      </c>
      <c r="G1456" s="3" t="s">
        <v>577</v>
      </c>
      <c r="H1456" s="12" cm="1">
        <f t="array" ref="H1456">_xlfn.IFS(I1456&lt;197,I1456*1.26,I1456&gt;197,I1456*1.17) + IF(I1456&gt;1000,17,0)</f>
        <v>1296.1259</v>
      </c>
      <c r="I1456" s="10">
        <f>($K$2+0.02)*Tabla1[[#This Row],[PRECIO $]]*1.18</f>
        <v>1093.27</v>
      </c>
      <c r="J1456" s="7">
        <f>+Tabla1[[#This Row],[PRECIO EN SOLES]]-Tabla1[[#This Row],[PC]]</f>
        <v>202.85590000000002</v>
      </c>
    </row>
    <row r="1457" spans="1:10" x14ac:dyDescent="0.25">
      <c r="A1457" s="3" t="s">
        <v>3135</v>
      </c>
      <c r="B1457" s="3" t="s">
        <v>3136</v>
      </c>
      <c r="C1457" s="1">
        <v>20</v>
      </c>
      <c r="D1457" s="1">
        <v>140.30000000000001</v>
      </c>
      <c r="E1457" s="1" t="s">
        <v>226</v>
      </c>
      <c r="F1457" s="1" t="s">
        <v>5225</v>
      </c>
      <c r="G1457" s="3" t="s">
        <v>3137</v>
      </c>
      <c r="H1457" s="12" cm="1">
        <f t="array" ref="H1457">_xlfn.IFS(I1457&lt;197,I1457*1.26,I1457&gt;197,I1457*1.17) + IF(I1457&gt;1000,17,0)</f>
        <v>658.57381199999998</v>
      </c>
      <c r="I1457" s="10">
        <f>($K$2+0.02)*Tabla1[[#This Row],[PRECIO $]]*1.18</f>
        <v>562.8836</v>
      </c>
      <c r="J1457" s="7">
        <f>+Tabla1[[#This Row],[PRECIO EN SOLES]]-Tabla1[[#This Row],[PC]]</f>
        <v>95.690211999999974</v>
      </c>
    </row>
    <row r="1458" spans="1:10" x14ac:dyDescent="0.25">
      <c r="A1458" s="3" t="s">
        <v>578</v>
      </c>
      <c r="B1458" s="3" t="s">
        <v>579</v>
      </c>
      <c r="C1458" s="1">
        <v>20</v>
      </c>
      <c r="D1458" s="1">
        <v>180.3</v>
      </c>
      <c r="E1458" s="1" t="s">
        <v>226</v>
      </c>
      <c r="F1458" s="1" t="s">
        <v>5226</v>
      </c>
      <c r="G1458" s="3" t="s">
        <v>580</v>
      </c>
      <c r="H1458" s="12" cm="1">
        <f t="array" ref="H1458">_xlfn.IFS(I1458&lt;197,I1458*1.26,I1458&gt;197,I1458*1.17) + IF(I1458&gt;1000,17,0)</f>
        <v>846.33541199999979</v>
      </c>
      <c r="I1458" s="10">
        <f>($K$2+0.02)*Tabla1[[#This Row],[PRECIO $]]*1.18</f>
        <v>723.36359999999991</v>
      </c>
      <c r="J1458" s="7">
        <f>+Tabla1[[#This Row],[PRECIO EN SOLES]]-Tabla1[[#This Row],[PC]]</f>
        <v>122.97181199999989</v>
      </c>
    </row>
    <row r="1459" spans="1:10" x14ac:dyDescent="0.25">
      <c r="A1459" s="3" t="s">
        <v>3138</v>
      </c>
      <c r="B1459" s="3" t="s">
        <v>3139</v>
      </c>
      <c r="C1459" s="1">
        <v>20</v>
      </c>
      <c r="D1459" s="1">
        <v>405.5</v>
      </c>
      <c r="E1459" s="1" t="s">
        <v>226</v>
      </c>
      <c r="F1459" s="1" t="s">
        <v>5227</v>
      </c>
      <c r="G1459" s="3" t="s">
        <v>3140</v>
      </c>
      <c r="H1459" s="12" cm="1">
        <f t="array" ref="H1459">_xlfn.IFS(I1459&lt;197,I1459*1.26,I1459&gt;197,I1459*1.17) + IF(I1459&gt;1000,17,0)</f>
        <v>1920.4332199999999</v>
      </c>
      <c r="I1459" s="10">
        <f>($K$2+0.02)*Tabla1[[#This Row],[PRECIO $]]*1.18</f>
        <v>1626.866</v>
      </c>
      <c r="J1459" s="7">
        <f>+Tabla1[[#This Row],[PRECIO EN SOLES]]-Tabla1[[#This Row],[PC]]</f>
        <v>293.56721999999991</v>
      </c>
    </row>
    <row r="1460" spans="1:10" x14ac:dyDescent="0.25">
      <c r="A1460" s="3" t="s">
        <v>581</v>
      </c>
      <c r="B1460" s="3" t="s">
        <v>582</v>
      </c>
      <c r="C1460" s="1">
        <v>20</v>
      </c>
      <c r="D1460" s="1">
        <v>65.3</v>
      </c>
      <c r="E1460" s="1" t="s">
        <v>226</v>
      </c>
      <c r="F1460" s="1" t="s">
        <v>5228</v>
      </c>
      <c r="G1460" s="3" t="s">
        <v>583</v>
      </c>
      <c r="H1460" s="12" cm="1">
        <f t="array" ref="H1460">_xlfn.IFS(I1460&lt;197,I1460*1.26,I1460&gt;197,I1460*1.17) + IF(I1460&gt;1000,17,0)</f>
        <v>306.52081199999992</v>
      </c>
      <c r="I1460" s="10">
        <f>($K$2+0.02)*Tabla1[[#This Row],[PRECIO $]]*1.18</f>
        <v>261.98359999999997</v>
      </c>
      <c r="J1460" s="7">
        <f>+Tabla1[[#This Row],[PRECIO EN SOLES]]-Tabla1[[#This Row],[PC]]</f>
        <v>44.537211999999954</v>
      </c>
    </row>
    <row r="1461" spans="1:10" x14ac:dyDescent="0.25">
      <c r="A1461" s="3" t="s">
        <v>3977</v>
      </c>
      <c r="B1461" s="3" t="s">
        <v>3142</v>
      </c>
      <c r="C1461" s="1">
        <v>0</v>
      </c>
      <c r="D1461" s="1">
        <v>9999999.9900000002</v>
      </c>
      <c r="E1461" s="1" t="s">
        <v>1865</v>
      </c>
      <c r="F1461" s="1" t="s">
        <v>5229</v>
      </c>
      <c r="G1461" s="3"/>
      <c r="H1461" s="12" cm="1">
        <f t="array" ref="H1461">_xlfn.IFS(I1461&lt;197,I1461*1.26,I1461&gt;197,I1461*1.17) + IF(I1461&gt;1000,17,0)</f>
        <v>46940416.953059591</v>
      </c>
      <c r="I1461" s="10">
        <f>($K$2+0.02)*Tabla1[[#This Row],[PRECIO $]]*1.18</f>
        <v>40119999.959879994</v>
      </c>
      <c r="J1461" s="7">
        <f>+Tabla1[[#This Row],[PRECIO EN SOLES]]-Tabla1[[#This Row],[PC]]</f>
        <v>6820416.993179597</v>
      </c>
    </row>
    <row r="1462" spans="1:10" x14ac:dyDescent="0.25">
      <c r="A1462" s="3" t="s">
        <v>3141</v>
      </c>
      <c r="B1462" s="3" t="s">
        <v>3142</v>
      </c>
      <c r="C1462" s="1">
        <v>0</v>
      </c>
      <c r="D1462" s="1">
        <v>40.299999999999997</v>
      </c>
      <c r="E1462" s="1" t="s">
        <v>1865</v>
      </c>
      <c r="F1462" s="1" t="s">
        <v>5230</v>
      </c>
      <c r="G1462" s="3" t="s">
        <v>3143</v>
      </c>
      <c r="H1462" s="12" cm="1">
        <f t="array" ref="H1462">_xlfn.IFS(I1462&lt;197,I1462*1.26,I1462&gt;197,I1462*1.17) + IF(I1462&gt;1000,17,0)</f>
        <v>203.72133599999998</v>
      </c>
      <c r="I1462" s="10">
        <f>($K$2+0.02)*Tabla1[[#This Row],[PRECIO $]]*1.18</f>
        <v>161.68359999999998</v>
      </c>
      <c r="J1462" s="7">
        <f>+Tabla1[[#This Row],[PRECIO EN SOLES]]-Tabla1[[#This Row],[PC]]</f>
        <v>42.037735999999995</v>
      </c>
    </row>
    <row r="1463" spans="1:10" x14ac:dyDescent="0.25">
      <c r="A1463" s="3" t="s">
        <v>3144</v>
      </c>
      <c r="B1463" s="3" t="s">
        <v>3145</v>
      </c>
      <c r="C1463" s="1">
        <v>5</v>
      </c>
      <c r="D1463" s="1">
        <v>202.3</v>
      </c>
      <c r="E1463" s="1" t="s">
        <v>248</v>
      </c>
      <c r="F1463" s="1" t="s">
        <v>5231</v>
      </c>
      <c r="G1463" s="3" t="s">
        <v>3146</v>
      </c>
      <c r="H1463" s="12" cm="1">
        <f t="array" ref="H1463">_xlfn.IFS(I1463&lt;197,I1463*1.26,I1463&gt;197,I1463*1.17) + IF(I1463&gt;1000,17,0)</f>
        <v>949.60429199999999</v>
      </c>
      <c r="I1463" s="10">
        <f>($K$2+0.02)*Tabla1[[#This Row],[PRECIO $]]*1.18</f>
        <v>811.62760000000003</v>
      </c>
      <c r="J1463" s="7">
        <f>+Tabla1[[#This Row],[PRECIO EN SOLES]]-Tabla1[[#This Row],[PC]]</f>
        <v>137.97669199999996</v>
      </c>
    </row>
    <row r="1464" spans="1:10" x14ac:dyDescent="0.25">
      <c r="A1464" s="3" t="s">
        <v>3147</v>
      </c>
      <c r="B1464" s="3" t="s">
        <v>3148</v>
      </c>
      <c r="C1464" s="1">
        <v>11</v>
      </c>
      <c r="D1464" s="1">
        <v>305.5</v>
      </c>
      <c r="E1464" s="1" t="s">
        <v>248</v>
      </c>
      <c r="F1464" s="1" t="s">
        <v>5232</v>
      </c>
      <c r="G1464" s="3" t="s">
        <v>3149</v>
      </c>
      <c r="H1464" s="12" cm="1">
        <f t="array" ref="H1464">_xlfn.IFS(I1464&lt;197,I1464*1.26,I1464&gt;197,I1464*1.17) + IF(I1464&gt;1000,17,0)</f>
        <v>1451.0292199999999</v>
      </c>
      <c r="I1464" s="10">
        <f>($K$2+0.02)*Tabla1[[#This Row],[PRECIO $]]*1.18</f>
        <v>1225.6659999999999</v>
      </c>
      <c r="J1464" s="7">
        <f>+Tabla1[[#This Row],[PRECIO EN SOLES]]-Tabla1[[#This Row],[PC]]</f>
        <v>225.36321999999996</v>
      </c>
    </row>
    <row r="1465" spans="1:10" x14ac:dyDescent="0.25">
      <c r="A1465" s="3" t="s">
        <v>3150</v>
      </c>
      <c r="B1465" s="3" t="s">
        <v>3151</v>
      </c>
      <c r="C1465" s="1">
        <v>8</v>
      </c>
      <c r="D1465" s="1">
        <v>300.5</v>
      </c>
      <c r="E1465" s="1" t="s">
        <v>248</v>
      </c>
      <c r="F1465" s="1" t="s">
        <v>5233</v>
      </c>
      <c r="G1465" s="3" t="s">
        <v>3152</v>
      </c>
      <c r="H1465" s="12" cm="1">
        <f t="array" ref="H1465">_xlfn.IFS(I1465&lt;197,I1465*1.26,I1465&gt;197,I1465*1.17) + IF(I1465&gt;1000,17,0)</f>
        <v>1427.5590199999997</v>
      </c>
      <c r="I1465" s="10">
        <f>($K$2+0.02)*Tabla1[[#This Row],[PRECIO $]]*1.18</f>
        <v>1205.6059999999998</v>
      </c>
      <c r="J1465" s="7">
        <f>+Tabla1[[#This Row],[PRECIO EN SOLES]]-Tabla1[[#This Row],[PC]]</f>
        <v>221.95301999999992</v>
      </c>
    </row>
    <row r="1466" spans="1:10" x14ac:dyDescent="0.25">
      <c r="A1466" s="3" t="s">
        <v>835</v>
      </c>
      <c r="B1466" s="3" t="s">
        <v>836</v>
      </c>
      <c r="C1466" s="1">
        <v>20</v>
      </c>
      <c r="D1466" s="1">
        <v>212.3</v>
      </c>
      <c r="E1466" s="1" t="s">
        <v>248</v>
      </c>
      <c r="F1466" s="1" t="s">
        <v>5234</v>
      </c>
      <c r="G1466" s="3" t="s">
        <v>837</v>
      </c>
      <c r="H1466" s="12" cm="1">
        <f t="array" ref="H1466">_xlfn.IFS(I1466&lt;197,I1466*1.26,I1466&gt;197,I1466*1.17) + IF(I1466&gt;1000,17,0)</f>
        <v>996.54469199999994</v>
      </c>
      <c r="I1466" s="10">
        <f>($K$2+0.02)*Tabla1[[#This Row],[PRECIO $]]*1.18</f>
        <v>851.74760000000003</v>
      </c>
      <c r="J1466" s="7">
        <f>+Tabla1[[#This Row],[PRECIO EN SOLES]]-Tabla1[[#This Row],[PC]]</f>
        <v>144.79709199999991</v>
      </c>
    </row>
    <row r="1467" spans="1:10" x14ac:dyDescent="0.25">
      <c r="A1467" s="3" t="s">
        <v>3153</v>
      </c>
      <c r="B1467" s="3" t="s">
        <v>3154</v>
      </c>
      <c r="C1467" s="1">
        <v>1</v>
      </c>
      <c r="D1467" s="1">
        <v>572</v>
      </c>
      <c r="E1467" s="1" t="s">
        <v>248</v>
      </c>
      <c r="F1467" s="1" t="s">
        <v>5235</v>
      </c>
      <c r="G1467" s="3" t="s">
        <v>3155</v>
      </c>
      <c r="H1467" s="12" cm="1">
        <f t="array" ref="H1467">_xlfn.IFS(I1467&lt;197,I1467*1.26,I1467&gt;197,I1467*1.17) + IF(I1467&gt;1000,17,0)</f>
        <v>2701.9908799999998</v>
      </c>
      <c r="I1467" s="10">
        <f>($K$2+0.02)*Tabla1[[#This Row],[PRECIO $]]*1.18</f>
        <v>2294.864</v>
      </c>
      <c r="J1467" s="7">
        <f>+Tabla1[[#This Row],[PRECIO EN SOLES]]-Tabla1[[#This Row],[PC]]</f>
        <v>407.1268799999998</v>
      </c>
    </row>
    <row r="1468" spans="1:10" x14ac:dyDescent="0.25">
      <c r="A1468" s="3" t="s">
        <v>3156</v>
      </c>
      <c r="B1468" s="3" t="s">
        <v>3157</v>
      </c>
      <c r="C1468" s="1">
        <v>20</v>
      </c>
      <c r="D1468" s="1">
        <v>500.5</v>
      </c>
      <c r="E1468" s="1" t="s">
        <v>248</v>
      </c>
      <c r="F1468" s="1" t="s">
        <v>5236</v>
      </c>
      <c r="G1468" s="3" t="s">
        <v>3158</v>
      </c>
      <c r="H1468" s="12" cm="1">
        <f t="array" ref="H1468">_xlfn.IFS(I1468&lt;197,I1468*1.26,I1468&gt;197,I1468*1.17) + IF(I1468&gt;1000,17,0)</f>
        <v>2366.3670199999997</v>
      </c>
      <c r="I1468" s="10">
        <f>($K$2+0.02)*Tabla1[[#This Row],[PRECIO $]]*1.18</f>
        <v>2008.0059999999999</v>
      </c>
      <c r="J1468" s="7">
        <f>+Tabla1[[#This Row],[PRECIO EN SOLES]]-Tabla1[[#This Row],[PC]]</f>
        <v>358.36101999999983</v>
      </c>
    </row>
    <row r="1469" spans="1:10" x14ac:dyDescent="0.25">
      <c r="A1469" s="3" t="s">
        <v>3159</v>
      </c>
      <c r="B1469" s="3" t="s">
        <v>3160</v>
      </c>
      <c r="C1469" s="1">
        <v>20</v>
      </c>
      <c r="D1469" s="1">
        <v>72</v>
      </c>
      <c r="E1469" s="1" t="s">
        <v>248</v>
      </c>
      <c r="F1469" s="1" t="s">
        <v>5237</v>
      </c>
      <c r="G1469" s="3" t="s">
        <v>3161</v>
      </c>
      <c r="H1469" s="12" cm="1">
        <f t="array" ref="H1469">_xlfn.IFS(I1469&lt;197,I1469*1.26,I1469&gt;197,I1469*1.17) + IF(I1469&gt;1000,17,0)</f>
        <v>337.97087999999997</v>
      </c>
      <c r="I1469" s="10">
        <f>($K$2+0.02)*Tabla1[[#This Row],[PRECIO $]]*1.18</f>
        <v>288.86399999999998</v>
      </c>
      <c r="J1469" s="7">
        <f>+Tabla1[[#This Row],[PRECIO EN SOLES]]-Tabla1[[#This Row],[PC]]</f>
        <v>49.10687999999999</v>
      </c>
    </row>
    <row r="1470" spans="1:10" x14ac:dyDescent="0.25">
      <c r="A1470" s="3" t="s">
        <v>3162</v>
      </c>
      <c r="B1470" s="3" t="s">
        <v>3163</v>
      </c>
      <c r="C1470" s="1">
        <v>20</v>
      </c>
      <c r="D1470" s="1">
        <v>305.5</v>
      </c>
      <c r="E1470" s="1" t="s">
        <v>248</v>
      </c>
      <c r="F1470" s="1" t="s">
        <v>5238</v>
      </c>
      <c r="G1470" s="3" t="s">
        <v>3164</v>
      </c>
      <c r="H1470" s="12" cm="1">
        <f t="array" ref="H1470">_xlfn.IFS(I1470&lt;197,I1470*1.26,I1470&gt;197,I1470*1.17) + IF(I1470&gt;1000,17,0)</f>
        <v>1451.0292199999999</v>
      </c>
      <c r="I1470" s="10">
        <f>($K$2+0.02)*Tabla1[[#This Row],[PRECIO $]]*1.18</f>
        <v>1225.6659999999999</v>
      </c>
      <c r="J1470" s="7">
        <f>+Tabla1[[#This Row],[PRECIO EN SOLES]]-Tabla1[[#This Row],[PC]]</f>
        <v>225.36321999999996</v>
      </c>
    </row>
    <row r="1471" spans="1:10" x14ac:dyDescent="0.25">
      <c r="A1471" s="3" t="s">
        <v>6431</v>
      </c>
      <c r="B1471" s="3" t="s">
        <v>6432</v>
      </c>
      <c r="C1471" s="1">
        <v>8</v>
      </c>
      <c r="D1471" s="1">
        <v>208.5</v>
      </c>
      <c r="E1471" s="1" t="s">
        <v>6433</v>
      </c>
      <c r="F1471" s="1" t="s">
        <v>6434</v>
      </c>
      <c r="G1471" s="3"/>
      <c r="H1471" s="12" cm="1">
        <f t="array" ref="H1471">_xlfn.IFS(I1471&lt;197,I1471*1.26,I1471&gt;197,I1471*1.17) + IF(I1471&gt;1000,17,0)</f>
        <v>978.70733999999993</v>
      </c>
      <c r="I1471" s="10">
        <f>($K$2+0.02)*Tabla1[[#This Row],[PRECIO $]]*1.18</f>
        <v>836.50199999999995</v>
      </c>
      <c r="J1471" s="7">
        <f>+Tabla1[[#This Row],[PRECIO EN SOLES]]-Tabla1[[#This Row],[PC]]</f>
        <v>142.20533999999998</v>
      </c>
    </row>
    <row r="1472" spans="1:10" x14ac:dyDescent="0.25">
      <c r="A1472" s="3" t="s">
        <v>6435</v>
      </c>
      <c r="B1472" s="3" t="s">
        <v>6436</v>
      </c>
      <c r="C1472" s="1">
        <v>4</v>
      </c>
      <c r="D1472" s="1">
        <v>283.5</v>
      </c>
      <c r="E1472" s="1" t="s">
        <v>6433</v>
      </c>
      <c r="F1472" s="1" t="s">
        <v>6437</v>
      </c>
      <c r="G1472" s="3"/>
      <c r="H1472" s="12" cm="1">
        <f t="array" ref="H1472">_xlfn.IFS(I1472&lt;197,I1472*1.26,I1472&gt;197,I1472*1.17) + IF(I1472&gt;1000,17,0)</f>
        <v>1347.7603399999998</v>
      </c>
      <c r="I1472" s="10">
        <f>($K$2+0.02)*Tabla1[[#This Row],[PRECIO $]]*1.18</f>
        <v>1137.4019999999998</v>
      </c>
      <c r="J1472" s="7">
        <f>+Tabla1[[#This Row],[PRECIO EN SOLES]]-Tabla1[[#This Row],[PC]]</f>
        <v>210.35834</v>
      </c>
    </row>
    <row r="1473" spans="1:10" x14ac:dyDescent="0.25">
      <c r="A1473" s="3" t="s">
        <v>6438</v>
      </c>
      <c r="B1473" s="3" t="s">
        <v>6439</v>
      </c>
      <c r="C1473" s="1">
        <v>4</v>
      </c>
      <c r="D1473" s="1">
        <v>285.5</v>
      </c>
      <c r="E1473" s="1" t="s">
        <v>6433</v>
      </c>
      <c r="F1473" s="1" t="s">
        <v>6440</v>
      </c>
      <c r="G1473" s="3"/>
      <c r="H1473" s="12" cm="1">
        <f t="array" ref="H1473">_xlfn.IFS(I1473&lt;197,I1473*1.26,I1473&gt;197,I1473*1.17) + IF(I1473&gt;1000,17,0)</f>
        <v>1357.1484199999998</v>
      </c>
      <c r="I1473" s="10">
        <f>($K$2+0.02)*Tabla1[[#This Row],[PRECIO $]]*1.18</f>
        <v>1145.4259999999999</v>
      </c>
      <c r="J1473" s="7">
        <f>+Tabla1[[#This Row],[PRECIO EN SOLES]]-Tabla1[[#This Row],[PC]]</f>
        <v>211.72241999999983</v>
      </c>
    </row>
    <row r="1474" spans="1:10" x14ac:dyDescent="0.25">
      <c r="A1474" s="3" t="s">
        <v>6441</v>
      </c>
      <c r="B1474" s="3" t="s">
        <v>6442</v>
      </c>
      <c r="C1474" s="1">
        <v>4</v>
      </c>
      <c r="D1474" s="1">
        <v>358.5</v>
      </c>
      <c r="E1474" s="1" t="s">
        <v>6433</v>
      </c>
      <c r="F1474" s="1" t="s">
        <v>6443</v>
      </c>
      <c r="G1474" s="3"/>
      <c r="H1474" s="12" cm="1">
        <f t="array" ref="H1474">_xlfn.IFS(I1474&lt;197,I1474*1.26,I1474&gt;197,I1474*1.17) + IF(I1474&gt;1000,17,0)</f>
        <v>1699.8133399999995</v>
      </c>
      <c r="I1474" s="10">
        <f>($K$2+0.02)*Tabla1[[#This Row],[PRECIO $]]*1.18</f>
        <v>1438.3019999999997</v>
      </c>
      <c r="J1474" s="7">
        <f>+Tabla1[[#This Row],[PRECIO EN SOLES]]-Tabla1[[#This Row],[PC]]</f>
        <v>261.51133999999979</v>
      </c>
    </row>
    <row r="1475" spans="1:10" x14ac:dyDescent="0.25">
      <c r="A1475" s="3" t="s">
        <v>6444</v>
      </c>
      <c r="B1475" s="3" t="s">
        <v>6445</v>
      </c>
      <c r="C1475" s="1">
        <v>4</v>
      </c>
      <c r="D1475" s="1">
        <v>557.5</v>
      </c>
      <c r="E1475" s="1" t="s">
        <v>6433</v>
      </c>
      <c r="F1475" s="1" t="s">
        <v>6446</v>
      </c>
      <c r="G1475" s="3"/>
      <c r="H1475" s="12" cm="1">
        <f t="array" ref="H1475">_xlfn.IFS(I1475&lt;197,I1475*1.26,I1475&gt;197,I1475*1.17) + IF(I1475&gt;1000,17,0)</f>
        <v>2633.9272999999998</v>
      </c>
      <c r="I1475" s="10">
        <f>($K$2+0.02)*Tabla1[[#This Row],[PRECIO $]]*1.18</f>
        <v>2236.69</v>
      </c>
      <c r="J1475" s="7">
        <f>+Tabla1[[#This Row],[PRECIO EN SOLES]]-Tabla1[[#This Row],[PC]]</f>
        <v>397.23729999999978</v>
      </c>
    </row>
    <row r="1476" spans="1:10" x14ac:dyDescent="0.25">
      <c r="A1476" s="3" t="s">
        <v>6447</v>
      </c>
      <c r="B1476" s="3" t="s">
        <v>6448</v>
      </c>
      <c r="C1476" s="1">
        <v>2</v>
      </c>
      <c r="D1476" s="1">
        <v>922.5</v>
      </c>
      <c r="E1476" s="1" t="s">
        <v>6433</v>
      </c>
      <c r="F1476" s="1" t="s">
        <v>6449</v>
      </c>
      <c r="G1476" s="3"/>
      <c r="H1476" s="12" cm="1">
        <f t="array" ref="H1476">_xlfn.IFS(I1476&lt;197,I1476*1.26,I1476&gt;197,I1476*1.17) + IF(I1476&gt;1000,17,0)</f>
        <v>4347.2518999999993</v>
      </c>
      <c r="I1476" s="10">
        <f>($K$2+0.02)*Tabla1[[#This Row],[PRECIO $]]*1.18</f>
        <v>3701.0699999999997</v>
      </c>
      <c r="J1476" s="7">
        <f>+Tabla1[[#This Row],[PRECIO EN SOLES]]-Tabla1[[#This Row],[PC]]</f>
        <v>646.18189999999959</v>
      </c>
    </row>
    <row r="1477" spans="1:10" x14ac:dyDescent="0.25">
      <c r="A1477" s="3" t="s">
        <v>6450</v>
      </c>
      <c r="B1477" s="3" t="s">
        <v>6451</v>
      </c>
      <c r="C1477" s="1">
        <v>2</v>
      </c>
      <c r="D1477" s="1">
        <v>1393</v>
      </c>
      <c r="E1477" s="1" t="s">
        <v>6433</v>
      </c>
      <c r="F1477" s="1" t="s">
        <v>6452</v>
      </c>
      <c r="G1477" s="3"/>
      <c r="H1477" s="12" cm="1">
        <f t="array" ref="H1477">_xlfn.IFS(I1477&lt;197,I1477*1.26,I1477&gt;197,I1477*1.17) + IF(I1477&gt;1000,17,0)</f>
        <v>6555.7977199999987</v>
      </c>
      <c r="I1477" s="10">
        <f>($K$2+0.02)*Tabla1[[#This Row],[PRECIO $]]*1.18</f>
        <v>5588.7159999999994</v>
      </c>
      <c r="J1477" s="7">
        <f>+Tabla1[[#This Row],[PRECIO EN SOLES]]-Tabla1[[#This Row],[PC]]</f>
        <v>967.08171999999922</v>
      </c>
    </row>
    <row r="1478" spans="1:10" x14ac:dyDescent="0.25">
      <c r="A1478" s="3" t="s">
        <v>3166</v>
      </c>
      <c r="B1478" s="3" t="s">
        <v>3167</v>
      </c>
      <c r="C1478" s="1">
        <v>0</v>
      </c>
      <c r="D1478" s="1">
        <v>710.5</v>
      </c>
      <c r="E1478" s="1" t="s">
        <v>3165</v>
      </c>
      <c r="F1478" s="1" t="s">
        <v>5239</v>
      </c>
      <c r="G1478" s="3" t="s">
        <v>3168</v>
      </c>
      <c r="H1478" s="12" cm="1">
        <f t="array" ref="H1478">_xlfn.IFS(I1478&lt;197,I1478*1.26,I1478&gt;197,I1478*1.17) + IF(I1478&gt;1000,17,0)</f>
        <v>3352.1154199999996</v>
      </c>
      <c r="I1478" s="10">
        <f>($K$2+0.02)*Tabla1[[#This Row],[PRECIO $]]*1.18</f>
        <v>2850.5259999999998</v>
      </c>
      <c r="J1478" s="7">
        <f>+Tabla1[[#This Row],[PRECIO EN SOLES]]-Tabla1[[#This Row],[PC]]</f>
        <v>501.58941999999979</v>
      </c>
    </row>
    <row r="1479" spans="1:10" x14ac:dyDescent="0.25">
      <c r="A1479" s="3" t="s">
        <v>3169</v>
      </c>
      <c r="B1479" s="3" t="s">
        <v>3170</v>
      </c>
      <c r="C1479" s="1">
        <v>1</v>
      </c>
      <c r="D1479" s="1">
        <v>1048</v>
      </c>
      <c r="E1479" s="1" t="s">
        <v>3165</v>
      </c>
      <c r="F1479" s="1" t="s">
        <v>5240</v>
      </c>
      <c r="G1479" s="3" t="s">
        <v>3171</v>
      </c>
      <c r="H1479" s="12" cm="1">
        <f t="array" ref="H1479">_xlfn.IFS(I1479&lt;197,I1479*1.26,I1479&gt;197,I1479*1.17) + IF(I1479&gt;1000,17,0)</f>
        <v>4936.3539199999987</v>
      </c>
      <c r="I1479" s="10">
        <f>($K$2+0.02)*Tabla1[[#This Row],[PRECIO $]]*1.18</f>
        <v>4204.5759999999991</v>
      </c>
      <c r="J1479" s="7">
        <f>+Tabla1[[#This Row],[PRECIO EN SOLES]]-Tabla1[[#This Row],[PC]]</f>
        <v>731.77791999999954</v>
      </c>
    </row>
    <row r="1480" spans="1:10" x14ac:dyDescent="0.25">
      <c r="A1480" s="3" t="s">
        <v>3172</v>
      </c>
      <c r="B1480" s="3" t="s">
        <v>3173</v>
      </c>
      <c r="C1480" s="1">
        <v>1</v>
      </c>
      <c r="D1480" s="1">
        <v>1467</v>
      </c>
      <c r="E1480" s="1" t="s">
        <v>3165</v>
      </c>
      <c r="F1480" s="1" t="s">
        <v>5241</v>
      </c>
      <c r="G1480" s="3" t="s">
        <v>3174</v>
      </c>
      <c r="H1480" s="12" cm="1">
        <f t="array" ref="H1480">_xlfn.IFS(I1480&lt;197,I1480*1.26,I1480&gt;197,I1480*1.17) + IF(I1480&gt;1000,17,0)</f>
        <v>6903.1566800000001</v>
      </c>
      <c r="I1480" s="10">
        <f>($K$2+0.02)*Tabla1[[#This Row],[PRECIO $]]*1.18</f>
        <v>5885.6040000000003</v>
      </c>
      <c r="J1480" s="7">
        <f>+Tabla1[[#This Row],[PRECIO EN SOLES]]-Tabla1[[#This Row],[PC]]</f>
        <v>1017.5526799999998</v>
      </c>
    </row>
    <row r="1481" spans="1:10" x14ac:dyDescent="0.25">
      <c r="A1481" s="3" t="s">
        <v>3175</v>
      </c>
      <c r="B1481" s="3" t="s">
        <v>3176</v>
      </c>
      <c r="C1481" s="1">
        <v>12</v>
      </c>
      <c r="D1481" s="1">
        <v>20</v>
      </c>
      <c r="E1481" s="1" t="s">
        <v>156</v>
      </c>
      <c r="F1481" s="1" t="s">
        <v>5242</v>
      </c>
      <c r="G1481" s="3"/>
      <c r="H1481" s="12" cm="1">
        <f t="array" ref="H1481">_xlfn.IFS(I1481&lt;197,I1481*1.26,I1481&gt;197,I1481*1.17) + IF(I1481&gt;1000,17,0)</f>
        <v>101.10239999999999</v>
      </c>
      <c r="I1481" s="10">
        <f>($K$2+0.02)*Tabla1[[#This Row],[PRECIO $]]*1.18</f>
        <v>80.239999999999995</v>
      </c>
      <c r="J1481" s="7">
        <f>+Tabla1[[#This Row],[PRECIO EN SOLES]]-Tabla1[[#This Row],[PC]]</f>
        <v>20.862399999999994</v>
      </c>
    </row>
    <row r="1482" spans="1:10" x14ac:dyDescent="0.25">
      <c r="A1482" s="3" t="s">
        <v>584</v>
      </c>
      <c r="B1482" s="3" t="s">
        <v>585</v>
      </c>
      <c r="C1482" s="1">
        <v>20</v>
      </c>
      <c r="D1482" s="1">
        <v>41.7</v>
      </c>
      <c r="E1482" s="1" t="s">
        <v>156</v>
      </c>
      <c r="F1482" s="1" t="s">
        <v>5243</v>
      </c>
      <c r="G1482" s="3" t="s">
        <v>586</v>
      </c>
      <c r="H1482" s="12" cm="1">
        <f t="array" ref="H1482">_xlfn.IFS(I1482&lt;197,I1482*1.26,I1482&gt;197,I1482*1.17) + IF(I1482&gt;1000,17,0)</f>
        <v>210.79850400000001</v>
      </c>
      <c r="I1482" s="10">
        <f>($K$2+0.02)*Tabla1[[#This Row],[PRECIO $]]*1.18</f>
        <v>167.3004</v>
      </c>
      <c r="J1482" s="7">
        <f>+Tabla1[[#This Row],[PRECIO EN SOLES]]-Tabla1[[#This Row],[PC]]</f>
        <v>43.498104000000012</v>
      </c>
    </row>
    <row r="1483" spans="1:10" x14ac:dyDescent="0.25">
      <c r="A1483" s="3" t="s">
        <v>6048</v>
      </c>
      <c r="B1483" s="3" t="s">
        <v>6049</v>
      </c>
      <c r="C1483" s="1">
        <v>20</v>
      </c>
      <c r="D1483" s="1">
        <v>41.7</v>
      </c>
      <c r="E1483" s="1" t="s">
        <v>156</v>
      </c>
      <c r="F1483" s="1" t="s">
        <v>6050</v>
      </c>
      <c r="G1483" s="3" t="s">
        <v>6051</v>
      </c>
      <c r="H1483" s="12" cm="1">
        <f t="array" ref="H1483">_xlfn.IFS(I1483&lt;197,I1483*1.26,I1483&gt;197,I1483*1.17) + IF(I1483&gt;1000,17,0)</f>
        <v>210.79850400000001</v>
      </c>
      <c r="I1483" s="10">
        <f>($K$2+0.02)*Tabla1[[#This Row],[PRECIO $]]*1.18</f>
        <v>167.3004</v>
      </c>
      <c r="J1483" s="7">
        <f>+Tabla1[[#This Row],[PRECIO EN SOLES]]-Tabla1[[#This Row],[PC]]</f>
        <v>43.498104000000012</v>
      </c>
    </row>
    <row r="1484" spans="1:10" x14ac:dyDescent="0.25">
      <c r="A1484" s="3" t="s">
        <v>587</v>
      </c>
      <c r="B1484" s="3" t="s">
        <v>588</v>
      </c>
      <c r="C1484" s="1">
        <v>20</v>
      </c>
      <c r="D1484" s="1">
        <v>41.7</v>
      </c>
      <c r="E1484" s="1" t="s">
        <v>156</v>
      </c>
      <c r="F1484" s="1" t="s">
        <v>5244</v>
      </c>
      <c r="G1484" s="3" t="s">
        <v>589</v>
      </c>
      <c r="H1484" s="12" cm="1">
        <f t="array" ref="H1484">_xlfn.IFS(I1484&lt;197,I1484*1.26,I1484&gt;197,I1484*1.17) + IF(I1484&gt;1000,17,0)</f>
        <v>210.79850400000001</v>
      </c>
      <c r="I1484" s="10">
        <f>($K$2+0.02)*Tabla1[[#This Row],[PRECIO $]]*1.18</f>
        <v>167.3004</v>
      </c>
      <c r="J1484" s="7">
        <f>+Tabla1[[#This Row],[PRECIO EN SOLES]]-Tabla1[[#This Row],[PC]]</f>
        <v>43.498104000000012</v>
      </c>
    </row>
    <row r="1485" spans="1:10" x14ac:dyDescent="0.25">
      <c r="A1485" s="3" t="s">
        <v>838</v>
      </c>
      <c r="B1485" s="3" t="s">
        <v>839</v>
      </c>
      <c r="C1485" s="1">
        <v>20</v>
      </c>
      <c r="D1485" s="1">
        <v>42</v>
      </c>
      <c r="E1485" s="1" t="s">
        <v>156</v>
      </c>
      <c r="F1485" s="1" t="s">
        <v>5245</v>
      </c>
      <c r="G1485" s="3" t="s">
        <v>840</v>
      </c>
      <c r="H1485" s="12" cm="1">
        <f t="array" ref="H1485">_xlfn.IFS(I1485&lt;197,I1485*1.26,I1485&gt;197,I1485*1.17) + IF(I1485&gt;1000,17,0)</f>
        <v>212.31503999999995</v>
      </c>
      <c r="I1485" s="10">
        <f>($K$2+0.02)*Tabla1[[#This Row],[PRECIO $]]*1.18</f>
        <v>168.50399999999996</v>
      </c>
      <c r="J1485" s="7">
        <f>+Tabla1[[#This Row],[PRECIO EN SOLES]]-Tabla1[[#This Row],[PC]]</f>
        <v>43.811039999999991</v>
      </c>
    </row>
    <row r="1486" spans="1:10" x14ac:dyDescent="0.25">
      <c r="A1486" s="3" t="s">
        <v>5853</v>
      </c>
      <c r="B1486" s="3" t="s">
        <v>5854</v>
      </c>
      <c r="C1486" s="1">
        <v>10</v>
      </c>
      <c r="D1486" s="1">
        <v>100.68</v>
      </c>
      <c r="E1486" s="1" t="s">
        <v>156</v>
      </c>
      <c r="F1486" s="1" t="s">
        <v>5855</v>
      </c>
      <c r="G1486" s="3"/>
      <c r="H1486" s="12" cm="1">
        <f t="array" ref="H1486">_xlfn.IFS(I1486&lt;197,I1486*1.26,I1486&gt;197,I1486*1.17) + IF(I1486&gt;1000,17,0)</f>
        <v>472.59594719999996</v>
      </c>
      <c r="I1486" s="10">
        <f>($K$2+0.02)*Tabla1[[#This Row],[PRECIO $]]*1.18</f>
        <v>403.92815999999999</v>
      </c>
      <c r="J1486" s="7">
        <f>+Tabla1[[#This Row],[PRECIO EN SOLES]]-Tabla1[[#This Row],[PC]]</f>
        <v>68.667787199999964</v>
      </c>
    </row>
    <row r="1487" spans="1:10" x14ac:dyDescent="0.25">
      <c r="A1487" s="3" t="s">
        <v>3177</v>
      </c>
      <c r="B1487" s="3" t="s">
        <v>3178</v>
      </c>
      <c r="C1487" s="1">
        <v>5</v>
      </c>
      <c r="D1487" s="1">
        <v>240.5</v>
      </c>
      <c r="E1487" s="1" t="s">
        <v>156</v>
      </c>
      <c r="F1487" s="1" t="s">
        <v>5246</v>
      </c>
      <c r="G1487" s="3"/>
      <c r="H1487" s="12" cm="1">
        <f t="array" ref="H1487">_xlfn.IFS(I1487&lt;197,I1487*1.26,I1487&gt;197,I1487*1.17) + IF(I1487&gt;1000,17,0)</f>
        <v>1128.9166199999997</v>
      </c>
      <c r="I1487" s="10">
        <f>($K$2+0.02)*Tabla1[[#This Row],[PRECIO $]]*1.18</f>
        <v>964.88599999999985</v>
      </c>
      <c r="J1487" s="7">
        <f>+Tabla1[[#This Row],[PRECIO EN SOLES]]-Tabla1[[#This Row],[PC]]</f>
        <v>164.03061999999989</v>
      </c>
    </row>
    <row r="1488" spans="1:10" x14ac:dyDescent="0.25">
      <c r="A1488" s="3" t="s">
        <v>3179</v>
      </c>
      <c r="B1488" s="3" t="s">
        <v>3178</v>
      </c>
      <c r="C1488" s="1">
        <v>2</v>
      </c>
      <c r="D1488" s="1">
        <v>239</v>
      </c>
      <c r="E1488" s="1" t="s">
        <v>156</v>
      </c>
      <c r="F1488" s="1" t="s">
        <v>5247</v>
      </c>
      <c r="G1488" s="3"/>
      <c r="H1488" s="12" cm="1">
        <f t="array" ref="H1488">_xlfn.IFS(I1488&lt;197,I1488*1.26,I1488&gt;197,I1488*1.17) + IF(I1488&gt;1000,17,0)</f>
        <v>1121.87556</v>
      </c>
      <c r="I1488" s="10">
        <f>($K$2+0.02)*Tabla1[[#This Row],[PRECIO $]]*1.18</f>
        <v>958.86799999999994</v>
      </c>
      <c r="J1488" s="7">
        <f>+Tabla1[[#This Row],[PRECIO EN SOLES]]-Tabla1[[#This Row],[PC]]</f>
        <v>163.00756000000001</v>
      </c>
    </row>
    <row r="1489" spans="1:10" x14ac:dyDescent="0.25">
      <c r="A1489" s="3" t="s">
        <v>3180</v>
      </c>
      <c r="B1489" s="3" t="s">
        <v>3181</v>
      </c>
      <c r="C1489" s="1">
        <v>2</v>
      </c>
      <c r="D1489" s="1">
        <v>239</v>
      </c>
      <c r="E1489" s="1" t="s">
        <v>156</v>
      </c>
      <c r="F1489" s="1" t="s">
        <v>5248</v>
      </c>
      <c r="G1489" s="3"/>
      <c r="H1489" s="12" cm="1">
        <f t="array" ref="H1489">_xlfn.IFS(I1489&lt;197,I1489*1.26,I1489&gt;197,I1489*1.17) + IF(I1489&gt;1000,17,0)</f>
        <v>1121.87556</v>
      </c>
      <c r="I1489" s="10">
        <f>($K$2+0.02)*Tabla1[[#This Row],[PRECIO $]]*1.18</f>
        <v>958.86799999999994</v>
      </c>
      <c r="J1489" s="7">
        <f>+Tabla1[[#This Row],[PRECIO EN SOLES]]-Tabla1[[#This Row],[PC]]</f>
        <v>163.00756000000001</v>
      </c>
    </row>
    <row r="1490" spans="1:10" x14ac:dyDescent="0.25">
      <c r="A1490" s="3" t="s">
        <v>3182</v>
      </c>
      <c r="B1490" s="3" t="s">
        <v>3178</v>
      </c>
      <c r="C1490" s="1">
        <v>2</v>
      </c>
      <c r="D1490" s="1">
        <v>239</v>
      </c>
      <c r="E1490" s="1" t="s">
        <v>156</v>
      </c>
      <c r="F1490" s="1" t="s">
        <v>5249</v>
      </c>
      <c r="G1490" s="3"/>
      <c r="H1490" s="12" cm="1">
        <f t="array" ref="H1490">_xlfn.IFS(I1490&lt;197,I1490*1.26,I1490&gt;197,I1490*1.17) + IF(I1490&gt;1000,17,0)</f>
        <v>1121.87556</v>
      </c>
      <c r="I1490" s="10">
        <f>($K$2+0.02)*Tabla1[[#This Row],[PRECIO $]]*1.18</f>
        <v>958.86799999999994</v>
      </c>
      <c r="J1490" s="7">
        <f>+Tabla1[[#This Row],[PRECIO EN SOLES]]-Tabla1[[#This Row],[PC]]</f>
        <v>163.00756000000001</v>
      </c>
    </row>
    <row r="1491" spans="1:10" x14ac:dyDescent="0.25">
      <c r="A1491" s="3" t="s">
        <v>5945</v>
      </c>
      <c r="B1491" s="3" t="s">
        <v>5946</v>
      </c>
      <c r="C1491" s="1">
        <v>10</v>
      </c>
      <c r="D1491" s="1">
        <v>19.7</v>
      </c>
      <c r="E1491" s="1" t="s">
        <v>156</v>
      </c>
      <c r="F1491" s="1" t="s">
        <v>5947</v>
      </c>
      <c r="G1491" s="3" t="s">
        <v>5948</v>
      </c>
      <c r="H1491" s="12" cm="1">
        <f t="array" ref="H1491">_xlfn.IFS(I1491&lt;197,I1491*1.26,I1491&gt;197,I1491*1.17) + IF(I1491&gt;1000,17,0)</f>
        <v>99.585863999999987</v>
      </c>
      <c r="I1491" s="10">
        <f>($K$2+0.02)*Tabla1[[#This Row],[PRECIO $]]*1.18</f>
        <v>79.036399999999986</v>
      </c>
      <c r="J1491" s="7">
        <f>+Tabla1[[#This Row],[PRECIO EN SOLES]]-Tabla1[[#This Row],[PC]]</f>
        <v>20.549464</v>
      </c>
    </row>
    <row r="1492" spans="1:10" x14ac:dyDescent="0.25">
      <c r="A1492" s="3" t="s">
        <v>3183</v>
      </c>
      <c r="B1492" s="3" t="s">
        <v>3184</v>
      </c>
      <c r="C1492" s="1">
        <v>20</v>
      </c>
      <c r="D1492" s="1">
        <v>15</v>
      </c>
      <c r="E1492" s="1" t="s">
        <v>156</v>
      </c>
      <c r="F1492" s="1" t="s">
        <v>5250</v>
      </c>
      <c r="G1492" s="3"/>
      <c r="H1492" s="12" cm="1">
        <f t="array" ref="H1492">_xlfn.IFS(I1492&lt;197,I1492*1.26,I1492&gt;197,I1492*1.17) + IF(I1492&gt;1000,17,0)</f>
        <v>75.826800000000006</v>
      </c>
      <c r="I1492" s="10">
        <f>($K$2+0.02)*Tabla1[[#This Row],[PRECIO $]]*1.18</f>
        <v>60.18</v>
      </c>
      <c r="J1492" s="7">
        <f>+Tabla1[[#This Row],[PRECIO EN SOLES]]-Tabla1[[#This Row],[PC]]</f>
        <v>15.646800000000006</v>
      </c>
    </row>
    <row r="1493" spans="1:10" x14ac:dyDescent="0.25">
      <c r="A1493" s="3" t="s">
        <v>3185</v>
      </c>
      <c r="B1493" s="3" t="s">
        <v>3186</v>
      </c>
      <c r="C1493" s="1">
        <v>20</v>
      </c>
      <c r="D1493" s="1">
        <v>14</v>
      </c>
      <c r="E1493" s="1" t="s">
        <v>156</v>
      </c>
      <c r="F1493" s="1" t="s">
        <v>5251</v>
      </c>
      <c r="G1493" s="3"/>
      <c r="H1493" s="12" cm="1">
        <f t="array" ref="H1493">_xlfn.IFS(I1493&lt;197,I1493*1.26,I1493&gt;197,I1493*1.17) + IF(I1493&gt;1000,17,0)</f>
        <v>70.771680000000003</v>
      </c>
      <c r="I1493" s="10">
        <f>($K$2+0.02)*Tabla1[[#This Row],[PRECIO $]]*1.18</f>
        <v>56.167999999999999</v>
      </c>
      <c r="J1493" s="7">
        <f>+Tabla1[[#This Row],[PRECIO EN SOLES]]-Tabla1[[#This Row],[PC]]</f>
        <v>14.603680000000004</v>
      </c>
    </row>
    <row r="1494" spans="1:10" x14ac:dyDescent="0.25">
      <c r="A1494" s="3" t="s">
        <v>3187</v>
      </c>
      <c r="B1494" s="3" t="s">
        <v>3188</v>
      </c>
      <c r="C1494" s="1">
        <v>20</v>
      </c>
      <c r="D1494" s="1">
        <v>14.6</v>
      </c>
      <c r="E1494" s="1" t="s">
        <v>156</v>
      </c>
      <c r="F1494" s="1" t="s">
        <v>5252</v>
      </c>
      <c r="G1494" s="3"/>
      <c r="H1494" s="12" cm="1">
        <f t="array" ref="H1494">_xlfn.IFS(I1494&lt;197,I1494*1.26,I1494&gt;197,I1494*1.17) + IF(I1494&gt;1000,17,0)</f>
        <v>73.804751999999993</v>
      </c>
      <c r="I1494" s="10">
        <f>($K$2+0.02)*Tabla1[[#This Row],[PRECIO $]]*1.18</f>
        <v>58.575199999999995</v>
      </c>
      <c r="J1494" s="7">
        <f>+Tabla1[[#This Row],[PRECIO EN SOLES]]-Tabla1[[#This Row],[PC]]</f>
        <v>15.229551999999998</v>
      </c>
    </row>
    <row r="1495" spans="1:10" x14ac:dyDescent="0.25">
      <c r="A1495" s="3" t="s">
        <v>3189</v>
      </c>
      <c r="B1495" s="3" t="s">
        <v>3190</v>
      </c>
      <c r="C1495" s="1">
        <v>20</v>
      </c>
      <c r="D1495" s="1">
        <v>14.8</v>
      </c>
      <c r="E1495" s="1" t="s">
        <v>156</v>
      </c>
      <c r="F1495" s="1" t="s">
        <v>5253</v>
      </c>
      <c r="G1495" s="3"/>
      <c r="H1495" s="12" cm="1">
        <f t="array" ref="H1495">_xlfn.IFS(I1495&lt;197,I1495*1.26,I1495&gt;197,I1495*1.17) + IF(I1495&gt;1000,17,0)</f>
        <v>74.815776</v>
      </c>
      <c r="I1495" s="10">
        <f>($K$2+0.02)*Tabla1[[#This Row],[PRECIO $]]*1.18</f>
        <v>59.377599999999994</v>
      </c>
      <c r="J1495" s="7">
        <f>+Tabla1[[#This Row],[PRECIO EN SOLES]]-Tabla1[[#This Row],[PC]]</f>
        <v>15.438176000000006</v>
      </c>
    </row>
    <row r="1496" spans="1:10" x14ac:dyDescent="0.25">
      <c r="A1496" s="3" t="s">
        <v>3191</v>
      </c>
      <c r="B1496" s="3" t="s">
        <v>3192</v>
      </c>
      <c r="C1496" s="1">
        <v>20</v>
      </c>
      <c r="D1496" s="1">
        <v>14</v>
      </c>
      <c r="E1496" s="1" t="s">
        <v>156</v>
      </c>
      <c r="F1496" s="1" t="s">
        <v>5254</v>
      </c>
      <c r="G1496" s="3"/>
      <c r="H1496" s="12" cm="1">
        <f t="array" ref="H1496">_xlfn.IFS(I1496&lt;197,I1496*1.26,I1496&gt;197,I1496*1.17) + IF(I1496&gt;1000,17,0)</f>
        <v>70.771680000000003</v>
      </c>
      <c r="I1496" s="10">
        <f>($K$2+0.02)*Tabla1[[#This Row],[PRECIO $]]*1.18</f>
        <v>56.167999999999999</v>
      </c>
      <c r="J1496" s="7">
        <f>+Tabla1[[#This Row],[PRECIO EN SOLES]]-Tabla1[[#This Row],[PC]]</f>
        <v>14.603680000000004</v>
      </c>
    </row>
    <row r="1497" spans="1:10" x14ac:dyDescent="0.25">
      <c r="A1497" s="3" t="s">
        <v>590</v>
      </c>
      <c r="B1497" s="3" t="s">
        <v>591</v>
      </c>
      <c r="C1497" s="1">
        <v>20</v>
      </c>
      <c r="D1497" s="1">
        <v>12.3</v>
      </c>
      <c r="E1497" s="1" t="s">
        <v>156</v>
      </c>
      <c r="F1497" s="1" t="s">
        <v>5255</v>
      </c>
      <c r="G1497" s="3"/>
      <c r="H1497" s="12" cm="1">
        <f t="array" ref="H1497">_xlfn.IFS(I1497&lt;197,I1497*1.26,I1497&gt;197,I1497*1.17) + IF(I1497&gt;1000,17,0)</f>
        <v>62.177976000000001</v>
      </c>
      <c r="I1497" s="10">
        <f>($K$2+0.02)*Tabla1[[#This Row],[PRECIO $]]*1.18</f>
        <v>49.3476</v>
      </c>
      <c r="J1497" s="7">
        <f>+Tabla1[[#This Row],[PRECIO EN SOLES]]-Tabla1[[#This Row],[PC]]</f>
        <v>12.830376000000001</v>
      </c>
    </row>
    <row r="1498" spans="1:10" x14ac:dyDescent="0.25">
      <c r="A1498" s="3" t="s">
        <v>592</v>
      </c>
      <c r="B1498" s="3" t="s">
        <v>593</v>
      </c>
      <c r="C1498" s="1">
        <v>20</v>
      </c>
      <c r="D1498" s="1">
        <v>12.3</v>
      </c>
      <c r="E1498" s="1" t="s">
        <v>156</v>
      </c>
      <c r="F1498" s="1" t="s">
        <v>5256</v>
      </c>
      <c r="G1498" s="3"/>
      <c r="H1498" s="12" cm="1">
        <f t="array" ref="H1498">_xlfn.IFS(I1498&lt;197,I1498*1.26,I1498&gt;197,I1498*1.17) + IF(I1498&gt;1000,17,0)</f>
        <v>62.177976000000001</v>
      </c>
      <c r="I1498" s="10">
        <f>($K$2+0.02)*Tabla1[[#This Row],[PRECIO $]]*1.18</f>
        <v>49.3476</v>
      </c>
      <c r="J1498" s="7">
        <f>+Tabla1[[#This Row],[PRECIO EN SOLES]]-Tabla1[[#This Row],[PC]]</f>
        <v>12.830376000000001</v>
      </c>
    </row>
    <row r="1499" spans="1:10" x14ac:dyDescent="0.25">
      <c r="A1499" s="3" t="s">
        <v>594</v>
      </c>
      <c r="B1499" s="3" t="s">
        <v>595</v>
      </c>
      <c r="C1499" s="1">
        <v>20</v>
      </c>
      <c r="D1499" s="1">
        <v>12.3</v>
      </c>
      <c r="E1499" s="1" t="s">
        <v>156</v>
      </c>
      <c r="F1499" s="1" t="s">
        <v>5257</v>
      </c>
      <c r="G1499" s="3"/>
      <c r="H1499" s="12" cm="1">
        <f t="array" ref="H1499">_xlfn.IFS(I1499&lt;197,I1499*1.26,I1499&gt;197,I1499*1.17) + IF(I1499&gt;1000,17,0)</f>
        <v>62.177976000000001</v>
      </c>
      <c r="I1499" s="10">
        <f>($K$2+0.02)*Tabla1[[#This Row],[PRECIO $]]*1.18</f>
        <v>49.3476</v>
      </c>
      <c r="J1499" s="7">
        <f>+Tabla1[[#This Row],[PRECIO EN SOLES]]-Tabla1[[#This Row],[PC]]</f>
        <v>12.830376000000001</v>
      </c>
    </row>
    <row r="1500" spans="1:10" x14ac:dyDescent="0.25">
      <c r="A1500" s="3" t="s">
        <v>3193</v>
      </c>
      <c r="B1500" s="3" t="s">
        <v>3194</v>
      </c>
      <c r="C1500" s="1">
        <v>4</v>
      </c>
      <c r="D1500" s="1">
        <v>23</v>
      </c>
      <c r="E1500" s="1" t="s">
        <v>156</v>
      </c>
      <c r="F1500" s="1" t="s">
        <v>5258</v>
      </c>
      <c r="G1500" s="3"/>
      <c r="H1500" s="12" cm="1">
        <f t="array" ref="H1500">_xlfn.IFS(I1500&lt;197,I1500*1.26,I1500&gt;197,I1500*1.17) + IF(I1500&gt;1000,17,0)</f>
        <v>116.26776</v>
      </c>
      <c r="I1500" s="10">
        <f>($K$2+0.02)*Tabla1[[#This Row],[PRECIO $]]*1.18</f>
        <v>92.275999999999996</v>
      </c>
      <c r="J1500" s="7">
        <f>+Tabla1[[#This Row],[PRECIO EN SOLES]]-Tabla1[[#This Row],[PC]]</f>
        <v>23.991759999999999</v>
      </c>
    </row>
    <row r="1501" spans="1:10" x14ac:dyDescent="0.25">
      <c r="A1501" s="3" t="s">
        <v>596</v>
      </c>
      <c r="B1501" s="3" t="s">
        <v>597</v>
      </c>
      <c r="C1501" s="1">
        <v>0</v>
      </c>
      <c r="D1501" s="1">
        <v>8.1</v>
      </c>
      <c r="E1501" s="1" t="s">
        <v>169</v>
      </c>
      <c r="F1501" s="1" t="s">
        <v>5259</v>
      </c>
      <c r="G1501" s="3" t="s">
        <v>598</v>
      </c>
      <c r="H1501" s="12" cm="1">
        <f t="array" ref="H1501">_xlfn.IFS(I1501&lt;197,I1501*1.26,I1501&gt;197,I1501*1.17) + IF(I1501&gt;1000,17,0)</f>
        <v>40.946472</v>
      </c>
      <c r="I1501" s="10">
        <f>($K$2+0.02)*Tabla1[[#This Row],[PRECIO $]]*1.18</f>
        <v>32.497199999999999</v>
      </c>
      <c r="J1501" s="7">
        <f>+Tabla1[[#This Row],[PRECIO EN SOLES]]-Tabla1[[#This Row],[PC]]</f>
        <v>8.4492720000000006</v>
      </c>
    </row>
    <row r="1502" spans="1:10" x14ac:dyDescent="0.25">
      <c r="A1502" s="3" t="s">
        <v>599</v>
      </c>
      <c r="B1502" s="3" t="s">
        <v>600</v>
      </c>
      <c r="C1502" s="1">
        <v>20</v>
      </c>
      <c r="D1502" s="1">
        <v>7.62</v>
      </c>
      <c r="E1502" s="1" t="s">
        <v>169</v>
      </c>
      <c r="F1502" s="1" t="s">
        <v>5260</v>
      </c>
      <c r="G1502" s="3" t="s">
        <v>601</v>
      </c>
      <c r="H1502" s="12" cm="1">
        <f t="array" ref="H1502">_xlfn.IFS(I1502&lt;197,I1502*1.26,I1502&gt;197,I1502*1.17) + IF(I1502&gt;1000,17,0)</f>
        <v>38.520014400000001</v>
      </c>
      <c r="I1502" s="10">
        <f>($K$2+0.02)*Tabla1[[#This Row],[PRECIO $]]*1.18</f>
        <v>30.571439999999999</v>
      </c>
      <c r="J1502" s="7">
        <f>+Tabla1[[#This Row],[PRECIO EN SOLES]]-Tabla1[[#This Row],[PC]]</f>
        <v>7.9485744000000018</v>
      </c>
    </row>
    <row r="1503" spans="1:10" x14ac:dyDescent="0.25">
      <c r="A1503" s="3" t="s">
        <v>5443</v>
      </c>
      <c r="B1503" s="3" t="s">
        <v>5444</v>
      </c>
      <c r="C1503" s="1">
        <v>20</v>
      </c>
      <c r="D1503" s="1">
        <v>7.62</v>
      </c>
      <c r="E1503" s="1" t="s">
        <v>169</v>
      </c>
      <c r="F1503" s="1" t="s">
        <v>5499</v>
      </c>
      <c r="G1503" s="3" t="s">
        <v>5445</v>
      </c>
      <c r="H1503" s="12" cm="1">
        <f t="array" ref="H1503">_xlfn.IFS(I1503&lt;197,I1503*1.26,I1503&gt;197,I1503*1.17) + IF(I1503&gt;1000,17,0)</f>
        <v>38.520014400000001</v>
      </c>
      <c r="I1503" s="10">
        <f>($K$2+0.02)*Tabla1[[#This Row],[PRECIO $]]*1.18</f>
        <v>30.571439999999999</v>
      </c>
      <c r="J1503" s="7">
        <f>+Tabla1[[#This Row],[PRECIO EN SOLES]]-Tabla1[[#This Row],[PC]]</f>
        <v>7.9485744000000018</v>
      </c>
    </row>
    <row r="1504" spans="1:10" x14ac:dyDescent="0.25">
      <c r="A1504" s="3" t="s">
        <v>5446</v>
      </c>
      <c r="B1504" s="3" t="s">
        <v>5447</v>
      </c>
      <c r="C1504" s="1">
        <v>20</v>
      </c>
      <c r="D1504" s="1">
        <v>7.62</v>
      </c>
      <c r="E1504" s="1" t="s">
        <v>169</v>
      </c>
      <c r="F1504" s="1" t="s">
        <v>5500</v>
      </c>
      <c r="G1504" s="3" t="s">
        <v>5448</v>
      </c>
      <c r="H1504" s="12" cm="1">
        <f t="array" ref="H1504">_xlfn.IFS(I1504&lt;197,I1504*1.26,I1504&gt;197,I1504*1.17) + IF(I1504&gt;1000,17,0)</f>
        <v>38.520014400000001</v>
      </c>
      <c r="I1504" s="10">
        <f>($K$2+0.02)*Tabla1[[#This Row],[PRECIO $]]*1.18</f>
        <v>30.571439999999999</v>
      </c>
      <c r="J1504" s="7">
        <f>+Tabla1[[#This Row],[PRECIO EN SOLES]]-Tabla1[[#This Row],[PC]]</f>
        <v>7.9485744000000018</v>
      </c>
    </row>
    <row r="1505" spans="1:10" x14ac:dyDescent="0.25">
      <c r="A1505" s="3" t="s">
        <v>602</v>
      </c>
      <c r="B1505" s="3" t="s">
        <v>603</v>
      </c>
      <c r="C1505" s="1">
        <v>20</v>
      </c>
      <c r="D1505" s="1">
        <v>7.6</v>
      </c>
      <c r="E1505" s="1" t="s">
        <v>169</v>
      </c>
      <c r="F1505" s="1" t="s">
        <v>5261</v>
      </c>
      <c r="G1505" s="3" t="s">
        <v>604</v>
      </c>
      <c r="H1505" s="12" cm="1">
        <f t="array" ref="H1505">_xlfn.IFS(I1505&lt;197,I1505*1.26,I1505&gt;197,I1505*1.17) + IF(I1505&gt;1000,17,0)</f>
        <v>38.418911999999999</v>
      </c>
      <c r="I1505" s="10">
        <f>($K$2+0.02)*Tabla1[[#This Row],[PRECIO $]]*1.18</f>
        <v>30.491199999999999</v>
      </c>
      <c r="J1505" s="7">
        <f>+Tabla1[[#This Row],[PRECIO EN SOLES]]-Tabla1[[#This Row],[PC]]</f>
        <v>7.9277119999999996</v>
      </c>
    </row>
    <row r="1506" spans="1:10" x14ac:dyDescent="0.25">
      <c r="A1506" s="3" t="s">
        <v>605</v>
      </c>
      <c r="B1506" s="3" t="s">
        <v>606</v>
      </c>
      <c r="C1506" s="1">
        <v>20</v>
      </c>
      <c r="D1506" s="1">
        <v>7.6</v>
      </c>
      <c r="E1506" s="1" t="s">
        <v>169</v>
      </c>
      <c r="F1506" s="1" t="s">
        <v>5262</v>
      </c>
      <c r="G1506" s="3" t="s">
        <v>607</v>
      </c>
      <c r="H1506" s="12" cm="1">
        <f t="array" ref="H1506">_xlfn.IFS(I1506&lt;197,I1506*1.26,I1506&gt;197,I1506*1.17) + IF(I1506&gt;1000,17,0)</f>
        <v>38.418911999999999</v>
      </c>
      <c r="I1506" s="10">
        <f>($K$2+0.02)*Tabla1[[#This Row],[PRECIO $]]*1.18</f>
        <v>30.491199999999999</v>
      </c>
      <c r="J1506" s="7">
        <f>+Tabla1[[#This Row],[PRECIO EN SOLES]]-Tabla1[[#This Row],[PC]]</f>
        <v>7.9277119999999996</v>
      </c>
    </row>
    <row r="1507" spans="1:10" x14ac:dyDescent="0.25">
      <c r="A1507" s="3" t="s">
        <v>608</v>
      </c>
      <c r="B1507" s="3" t="s">
        <v>609</v>
      </c>
      <c r="C1507" s="1">
        <v>20</v>
      </c>
      <c r="D1507" s="1">
        <v>7.57</v>
      </c>
      <c r="E1507" s="1" t="s">
        <v>169</v>
      </c>
      <c r="F1507" s="1" t="s">
        <v>5263</v>
      </c>
      <c r="G1507" s="3" t="s">
        <v>610</v>
      </c>
      <c r="H1507" s="12" cm="1">
        <f t="array" ref="H1507">_xlfn.IFS(I1507&lt;197,I1507*1.26,I1507&gt;197,I1507*1.17) + IF(I1507&gt;1000,17,0)</f>
        <v>38.267258399999996</v>
      </c>
      <c r="I1507" s="10">
        <f>($K$2+0.02)*Tabla1[[#This Row],[PRECIO $]]*1.18</f>
        <v>30.370839999999998</v>
      </c>
      <c r="J1507" s="7">
        <f>+Tabla1[[#This Row],[PRECIO EN SOLES]]-Tabla1[[#This Row],[PC]]</f>
        <v>7.8964183999999982</v>
      </c>
    </row>
    <row r="1508" spans="1:10" x14ac:dyDescent="0.25">
      <c r="A1508" s="3" t="s">
        <v>611</v>
      </c>
      <c r="B1508" s="3" t="s">
        <v>612</v>
      </c>
      <c r="C1508" s="1">
        <v>20</v>
      </c>
      <c r="D1508" s="1">
        <v>7.6</v>
      </c>
      <c r="E1508" s="1" t="s">
        <v>169</v>
      </c>
      <c r="F1508" s="1" t="s">
        <v>5264</v>
      </c>
      <c r="G1508" s="3" t="s">
        <v>613</v>
      </c>
      <c r="H1508" s="12" cm="1">
        <f t="array" ref="H1508">_xlfn.IFS(I1508&lt;197,I1508*1.26,I1508&gt;197,I1508*1.17) + IF(I1508&gt;1000,17,0)</f>
        <v>38.418911999999999</v>
      </c>
      <c r="I1508" s="10">
        <f>($K$2+0.02)*Tabla1[[#This Row],[PRECIO $]]*1.18</f>
        <v>30.491199999999999</v>
      </c>
      <c r="J1508" s="7">
        <f>+Tabla1[[#This Row],[PRECIO EN SOLES]]-Tabla1[[#This Row],[PC]]</f>
        <v>7.9277119999999996</v>
      </c>
    </row>
    <row r="1509" spans="1:10" x14ac:dyDescent="0.25">
      <c r="A1509" s="3" t="s">
        <v>614</v>
      </c>
      <c r="B1509" s="3" t="s">
        <v>615</v>
      </c>
      <c r="C1509" s="1">
        <v>20</v>
      </c>
      <c r="D1509" s="1">
        <v>16.149999999999999</v>
      </c>
      <c r="E1509" s="1" t="s">
        <v>169</v>
      </c>
      <c r="F1509" s="1" t="s">
        <v>5265</v>
      </c>
      <c r="G1509" s="3"/>
      <c r="H1509" s="12" cm="1">
        <f t="array" ref="H1509">_xlfn.IFS(I1509&lt;197,I1509*1.26,I1509&gt;197,I1509*1.17) + IF(I1509&gt;1000,17,0)</f>
        <v>81.640187999999995</v>
      </c>
      <c r="I1509" s="10">
        <f>($K$2+0.02)*Tabla1[[#This Row],[PRECIO $]]*1.18</f>
        <v>64.79379999999999</v>
      </c>
      <c r="J1509" s="7">
        <f>+Tabla1[[#This Row],[PRECIO EN SOLES]]-Tabla1[[#This Row],[PC]]</f>
        <v>16.846388000000005</v>
      </c>
    </row>
    <row r="1510" spans="1:10" x14ac:dyDescent="0.25">
      <c r="A1510" s="3" t="s">
        <v>5449</v>
      </c>
      <c r="B1510" s="3" t="s">
        <v>5450</v>
      </c>
      <c r="C1510" s="1">
        <v>20</v>
      </c>
      <c r="D1510" s="1">
        <v>16.149999999999999</v>
      </c>
      <c r="E1510" s="1" t="s">
        <v>169</v>
      </c>
      <c r="F1510" s="1" t="s">
        <v>5501</v>
      </c>
      <c r="G1510" s="3"/>
      <c r="H1510" s="12" cm="1">
        <f t="array" ref="H1510">_xlfn.IFS(I1510&lt;197,I1510*1.26,I1510&gt;197,I1510*1.17) + IF(I1510&gt;1000,17,0)</f>
        <v>81.640187999999995</v>
      </c>
      <c r="I1510" s="10">
        <f>($K$2+0.02)*Tabla1[[#This Row],[PRECIO $]]*1.18</f>
        <v>64.79379999999999</v>
      </c>
      <c r="J1510" s="7">
        <f>+Tabla1[[#This Row],[PRECIO EN SOLES]]-Tabla1[[#This Row],[PC]]</f>
        <v>16.846388000000005</v>
      </c>
    </row>
    <row r="1511" spans="1:10" x14ac:dyDescent="0.25">
      <c r="A1511" s="3" t="s">
        <v>3195</v>
      </c>
      <c r="B1511" s="3" t="s">
        <v>3196</v>
      </c>
      <c r="C1511" s="1">
        <v>20</v>
      </c>
      <c r="D1511" s="1">
        <v>16.149999999999999</v>
      </c>
      <c r="E1511" s="1" t="s">
        <v>169</v>
      </c>
      <c r="F1511" s="1" t="s">
        <v>5266</v>
      </c>
      <c r="G1511" s="3"/>
      <c r="H1511" s="12" cm="1">
        <f t="array" ref="H1511">_xlfn.IFS(I1511&lt;197,I1511*1.26,I1511&gt;197,I1511*1.17) + IF(I1511&gt;1000,17,0)</f>
        <v>81.640187999999995</v>
      </c>
      <c r="I1511" s="10">
        <f>($K$2+0.02)*Tabla1[[#This Row],[PRECIO $]]*1.18</f>
        <v>64.79379999999999</v>
      </c>
      <c r="J1511" s="7">
        <f>+Tabla1[[#This Row],[PRECIO EN SOLES]]-Tabla1[[#This Row],[PC]]</f>
        <v>16.846388000000005</v>
      </c>
    </row>
    <row r="1512" spans="1:10" x14ac:dyDescent="0.25">
      <c r="A1512" s="3" t="s">
        <v>5451</v>
      </c>
      <c r="B1512" s="3" t="s">
        <v>5452</v>
      </c>
      <c r="C1512" s="1">
        <v>20</v>
      </c>
      <c r="D1512" s="1">
        <v>16.149999999999999</v>
      </c>
      <c r="E1512" s="1" t="s">
        <v>169</v>
      </c>
      <c r="F1512" s="1" t="s">
        <v>5502</v>
      </c>
      <c r="G1512" s="3"/>
      <c r="H1512" s="12" cm="1">
        <f t="array" ref="H1512">_xlfn.IFS(I1512&lt;197,I1512*1.26,I1512&gt;197,I1512*1.17) + IF(I1512&gt;1000,17,0)</f>
        <v>81.640187999999995</v>
      </c>
      <c r="I1512" s="10">
        <f>($K$2+0.02)*Tabla1[[#This Row],[PRECIO $]]*1.18</f>
        <v>64.79379999999999</v>
      </c>
      <c r="J1512" s="7">
        <f>+Tabla1[[#This Row],[PRECIO EN SOLES]]-Tabla1[[#This Row],[PC]]</f>
        <v>16.846388000000005</v>
      </c>
    </row>
    <row r="1513" spans="1:10" x14ac:dyDescent="0.25">
      <c r="A1513" s="3" t="s">
        <v>5453</v>
      </c>
      <c r="B1513" s="3" t="s">
        <v>5454</v>
      </c>
      <c r="C1513" s="1">
        <v>20</v>
      </c>
      <c r="D1513" s="1">
        <v>16.149999999999999</v>
      </c>
      <c r="E1513" s="1" t="s">
        <v>169</v>
      </c>
      <c r="F1513" s="1" t="s">
        <v>5503</v>
      </c>
      <c r="G1513" s="3"/>
      <c r="H1513" s="12" cm="1">
        <f t="array" ref="H1513">_xlfn.IFS(I1513&lt;197,I1513*1.26,I1513&gt;197,I1513*1.17) + IF(I1513&gt;1000,17,0)</f>
        <v>81.640187999999995</v>
      </c>
      <c r="I1513" s="10">
        <f>($K$2+0.02)*Tabla1[[#This Row],[PRECIO $]]*1.18</f>
        <v>64.79379999999999</v>
      </c>
      <c r="J1513" s="7">
        <f>+Tabla1[[#This Row],[PRECIO EN SOLES]]-Tabla1[[#This Row],[PC]]</f>
        <v>16.846388000000005</v>
      </c>
    </row>
    <row r="1514" spans="1:10" x14ac:dyDescent="0.25">
      <c r="A1514" s="3" t="s">
        <v>5455</v>
      </c>
      <c r="B1514" s="3" t="s">
        <v>5456</v>
      </c>
      <c r="C1514" s="1">
        <v>20</v>
      </c>
      <c r="D1514" s="1">
        <v>16.149999999999999</v>
      </c>
      <c r="E1514" s="1" t="s">
        <v>169</v>
      </c>
      <c r="F1514" s="1" t="s">
        <v>5504</v>
      </c>
      <c r="G1514" s="3"/>
      <c r="H1514" s="12" cm="1">
        <f t="array" ref="H1514">_xlfn.IFS(I1514&lt;197,I1514*1.26,I1514&gt;197,I1514*1.17) + IF(I1514&gt;1000,17,0)</f>
        <v>81.640187999999995</v>
      </c>
      <c r="I1514" s="10">
        <f>($K$2+0.02)*Tabla1[[#This Row],[PRECIO $]]*1.18</f>
        <v>64.79379999999999</v>
      </c>
      <c r="J1514" s="7">
        <f>+Tabla1[[#This Row],[PRECIO EN SOLES]]-Tabla1[[#This Row],[PC]]</f>
        <v>16.846388000000005</v>
      </c>
    </row>
    <row r="1515" spans="1:10" x14ac:dyDescent="0.25">
      <c r="A1515" s="3" t="s">
        <v>636</v>
      </c>
      <c r="B1515" s="3" t="s">
        <v>637</v>
      </c>
      <c r="C1515" s="1">
        <v>20</v>
      </c>
      <c r="D1515" s="1">
        <v>7.52</v>
      </c>
      <c r="E1515" s="1" t="s">
        <v>169</v>
      </c>
      <c r="F1515" s="1" t="s">
        <v>5267</v>
      </c>
      <c r="G1515" s="3"/>
      <c r="H1515" s="12" cm="1">
        <f t="array" ref="H1515">_xlfn.IFS(I1515&lt;197,I1515*1.26,I1515&gt;197,I1515*1.17) + IF(I1515&gt;1000,17,0)</f>
        <v>38.014502399999998</v>
      </c>
      <c r="I1515" s="10">
        <f>($K$2+0.02)*Tabla1[[#This Row],[PRECIO $]]*1.18</f>
        <v>30.170239999999996</v>
      </c>
      <c r="J1515" s="7">
        <f>+Tabla1[[#This Row],[PRECIO EN SOLES]]-Tabla1[[#This Row],[PC]]</f>
        <v>7.8442624000000016</v>
      </c>
    </row>
    <row r="1516" spans="1:10" x14ac:dyDescent="0.25">
      <c r="A1516" s="3" t="s">
        <v>616</v>
      </c>
      <c r="B1516" s="3" t="s">
        <v>617</v>
      </c>
      <c r="C1516" s="1">
        <v>20</v>
      </c>
      <c r="D1516" s="1">
        <v>7.52</v>
      </c>
      <c r="E1516" s="1" t="s">
        <v>169</v>
      </c>
      <c r="F1516" s="1" t="s">
        <v>5268</v>
      </c>
      <c r="G1516" s="3"/>
      <c r="H1516" s="12" cm="1">
        <f t="array" ref="H1516">_xlfn.IFS(I1516&lt;197,I1516*1.26,I1516&gt;197,I1516*1.17) + IF(I1516&gt;1000,17,0)</f>
        <v>38.014502399999998</v>
      </c>
      <c r="I1516" s="10">
        <f>($K$2+0.02)*Tabla1[[#This Row],[PRECIO $]]*1.18</f>
        <v>30.170239999999996</v>
      </c>
      <c r="J1516" s="7">
        <f>+Tabla1[[#This Row],[PRECIO EN SOLES]]-Tabla1[[#This Row],[PC]]</f>
        <v>7.8442624000000016</v>
      </c>
    </row>
    <row r="1517" spans="1:10" x14ac:dyDescent="0.25">
      <c r="A1517" s="3" t="s">
        <v>5457</v>
      </c>
      <c r="B1517" s="3" t="s">
        <v>5458</v>
      </c>
      <c r="C1517" s="1">
        <v>20</v>
      </c>
      <c r="D1517" s="1">
        <v>7.52</v>
      </c>
      <c r="E1517" s="1" t="s">
        <v>169</v>
      </c>
      <c r="F1517" s="1" t="s">
        <v>5505</v>
      </c>
      <c r="G1517" s="3"/>
      <c r="H1517" s="12" cm="1">
        <f t="array" ref="H1517">_xlfn.IFS(I1517&lt;197,I1517*1.26,I1517&gt;197,I1517*1.17) + IF(I1517&gt;1000,17,0)</f>
        <v>38.014502399999998</v>
      </c>
      <c r="I1517" s="10">
        <f>($K$2+0.02)*Tabla1[[#This Row],[PRECIO $]]*1.18</f>
        <v>30.170239999999996</v>
      </c>
      <c r="J1517" s="7">
        <f>+Tabla1[[#This Row],[PRECIO EN SOLES]]-Tabla1[[#This Row],[PC]]</f>
        <v>7.8442624000000016</v>
      </c>
    </row>
    <row r="1518" spans="1:10" x14ac:dyDescent="0.25">
      <c r="A1518" s="3" t="s">
        <v>5459</v>
      </c>
      <c r="B1518" s="3" t="s">
        <v>5460</v>
      </c>
      <c r="C1518" s="1">
        <v>20</v>
      </c>
      <c r="D1518" s="1">
        <v>7.52</v>
      </c>
      <c r="E1518" s="1" t="s">
        <v>169</v>
      </c>
      <c r="F1518" s="1" t="s">
        <v>5506</v>
      </c>
      <c r="G1518" s="3"/>
      <c r="H1518" s="12" cm="1">
        <f t="array" ref="H1518">_xlfn.IFS(I1518&lt;197,I1518*1.26,I1518&gt;197,I1518*1.17) + IF(I1518&gt;1000,17,0)</f>
        <v>38.014502399999998</v>
      </c>
      <c r="I1518" s="10">
        <f>($K$2+0.02)*Tabla1[[#This Row],[PRECIO $]]*1.18</f>
        <v>30.170239999999996</v>
      </c>
      <c r="J1518" s="7">
        <f>+Tabla1[[#This Row],[PRECIO EN SOLES]]-Tabla1[[#This Row],[PC]]</f>
        <v>7.8442624000000016</v>
      </c>
    </row>
    <row r="1519" spans="1:10" x14ac:dyDescent="0.25">
      <c r="A1519" s="3" t="s">
        <v>5461</v>
      </c>
      <c r="B1519" s="3" t="s">
        <v>5462</v>
      </c>
      <c r="C1519" s="1">
        <v>0</v>
      </c>
      <c r="D1519" s="1">
        <v>7.57</v>
      </c>
      <c r="E1519" s="1" t="s">
        <v>169</v>
      </c>
      <c r="F1519" s="1" t="s">
        <v>5507</v>
      </c>
      <c r="G1519" s="3" t="s">
        <v>5463</v>
      </c>
      <c r="H1519" s="12" cm="1">
        <f t="array" ref="H1519">_xlfn.IFS(I1519&lt;197,I1519*1.26,I1519&gt;197,I1519*1.17) + IF(I1519&gt;1000,17,0)</f>
        <v>38.267258399999996</v>
      </c>
      <c r="I1519" s="10">
        <f>($K$2+0.02)*Tabla1[[#This Row],[PRECIO $]]*1.18</f>
        <v>30.370839999999998</v>
      </c>
      <c r="J1519" s="7">
        <f>+Tabla1[[#This Row],[PRECIO EN SOLES]]-Tabla1[[#This Row],[PC]]</f>
        <v>7.8964183999999982</v>
      </c>
    </row>
    <row r="1520" spans="1:10" x14ac:dyDescent="0.25">
      <c r="A1520" s="3" t="s">
        <v>618</v>
      </c>
      <c r="B1520" s="3" t="s">
        <v>619</v>
      </c>
      <c r="C1520" s="1">
        <v>0</v>
      </c>
      <c r="D1520" s="1">
        <v>7.57</v>
      </c>
      <c r="E1520" s="1" t="s">
        <v>169</v>
      </c>
      <c r="F1520" s="1" t="s">
        <v>5269</v>
      </c>
      <c r="G1520" s="3" t="s">
        <v>620</v>
      </c>
      <c r="H1520" s="12" cm="1">
        <f t="array" ref="H1520">_xlfn.IFS(I1520&lt;197,I1520*1.26,I1520&gt;197,I1520*1.17) + IF(I1520&gt;1000,17,0)</f>
        <v>38.267258399999996</v>
      </c>
      <c r="I1520" s="10">
        <f>($K$2+0.02)*Tabla1[[#This Row],[PRECIO $]]*1.18</f>
        <v>30.370839999999998</v>
      </c>
      <c r="J1520" s="7">
        <f>+Tabla1[[#This Row],[PRECIO EN SOLES]]-Tabla1[[#This Row],[PC]]</f>
        <v>7.8964183999999982</v>
      </c>
    </row>
    <row r="1521" spans="1:10" x14ac:dyDescent="0.25">
      <c r="A1521" s="3" t="s">
        <v>621</v>
      </c>
      <c r="B1521" s="3" t="s">
        <v>622</v>
      </c>
      <c r="C1521" s="1">
        <v>20</v>
      </c>
      <c r="D1521" s="1">
        <v>7.57</v>
      </c>
      <c r="E1521" s="1" t="s">
        <v>169</v>
      </c>
      <c r="F1521" s="1" t="s">
        <v>5270</v>
      </c>
      <c r="G1521" s="3" t="s">
        <v>623</v>
      </c>
      <c r="H1521" s="12" cm="1">
        <f t="array" ref="H1521">_xlfn.IFS(I1521&lt;197,I1521*1.26,I1521&gt;197,I1521*1.17) + IF(I1521&gt;1000,17,0)</f>
        <v>38.267258399999996</v>
      </c>
      <c r="I1521" s="10">
        <f>($K$2+0.02)*Tabla1[[#This Row],[PRECIO $]]*1.18</f>
        <v>30.370839999999998</v>
      </c>
      <c r="J1521" s="7">
        <f>+Tabla1[[#This Row],[PRECIO EN SOLES]]-Tabla1[[#This Row],[PC]]</f>
        <v>7.8964183999999982</v>
      </c>
    </row>
    <row r="1522" spans="1:10" x14ac:dyDescent="0.25">
      <c r="A1522" s="3" t="s">
        <v>624</v>
      </c>
      <c r="B1522" s="3" t="s">
        <v>625</v>
      </c>
      <c r="C1522" s="1">
        <v>20</v>
      </c>
      <c r="D1522" s="1">
        <v>7.57</v>
      </c>
      <c r="E1522" s="1" t="s">
        <v>169</v>
      </c>
      <c r="F1522" s="1" t="s">
        <v>5271</v>
      </c>
      <c r="G1522" s="3" t="s">
        <v>626</v>
      </c>
      <c r="H1522" s="12" cm="1">
        <f t="array" ref="H1522">_xlfn.IFS(I1522&lt;197,I1522*1.26,I1522&gt;197,I1522*1.17) + IF(I1522&gt;1000,17,0)</f>
        <v>38.267258399999996</v>
      </c>
      <c r="I1522" s="10">
        <f>($K$2+0.02)*Tabla1[[#This Row],[PRECIO $]]*1.18</f>
        <v>30.370839999999998</v>
      </c>
      <c r="J1522" s="7">
        <f>+Tabla1[[#This Row],[PRECIO EN SOLES]]-Tabla1[[#This Row],[PC]]</f>
        <v>7.8964183999999982</v>
      </c>
    </row>
    <row r="1523" spans="1:10" x14ac:dyDescent="0.25">
      <c r="A1523" s="3" t="s">
        <v>627</v>
      </c>
      <c r="B1523" s="3" t="s">
        <v>628</v>
      </c>
      <c r="C1523" s="1">
        <v>20</v>
      </c>
      <c r="D1523" s="1">
        <v>10</v>
      </c>
      <c r="E1523" s="1" t="s">
        <v>169</v>
      </c>
      <c r="F1523" s="1" t="s">
        <v>5272</v>
      </c>
      <c r="G1523" s="3" t="s">
        <v>629</v>
      </c>
      <c r="H1523" s="12" cm="1">
        <f t="array" ref="H1523">_xlfn.IFS(I1523&lt;197,I1523*1.26,I1523&gt;197,I1523*1.17) + IF(I1523&gt;1000,17,0)</f>
        <v>50.551199999999994</v>
      </c>
      <c r="I1523" s="10">
        <f>($K$2+0.02)*Tabla1[[#This Row],[PRECIO $]]*1.18</f>
        <v>40.119999999999997</v>
      </c>
      <c r="J1523" s="7">
        <f>+Tabla1[[#This Row],[PRECIO EN SOLES]]-Tabla1[[#This Row],[PC]]</f>
        <v>10.431199999999997</v>
      </c>
    </row>
    <row r="1524" spans="1:10" x14ac:dyDescent="0.25">
      <c r="A1524" s="3" t="s">
        <v>3197</v>
      </c>
      <c r="B1524" s="3" t="s">
        <v>3198</v>
      </c>
      <c r="C1524" s="1">
        <v>20</v>
      </c>
      <c r="D1524" s="1">
        <v>10</v>
      </c>
      <c r="E1524" s="1" t="s">
        <v>169</v>
      </c>
      <c r="F1524" s="1" t="s">
        <v>5273</v>
      </c>
      <c r="G1524" s="3" t="s">
        <v>3199</v>
      </c>
      <c r="H1524" s="12" cm="1">
        <f t="array" ref="H1524">_xlfn.IFS(I1524&lt;197,I1524*1.26,I1524&gt;197,I1524*1.17) + IF(I1524&gt;1000,17,0)</f>
        <v>50.551199999999994</v>
      </c>
      <c r="I1524" s="10">
        <f>($K$2+0.02)*Tabla1[[#This Row],[PRECIO $]]*1.18</f>
        <v>40.119999999999997</v>
      </c>
      <c r="J1524" s="7">
        <f>+Tabla1[[#This Row],[PRECIO EN SOLES]]-Tabla1[[#This Row],[PC]]</f>
        <v>10.431199999999997</v>
      </c>
    </row>
    <row r="1525" spans="1:10" x14ac:dyDescent="0.25">
      <c r="A1525" s="3" t="s">
        <v>5464</v>
      </c>
      <c r="B1525" s="3" t="s">
        <v>5465</v>
      </c>
      <c r="C1525" s="1">
        <v>20</v>
      </c>
      <c r="D1525" s="1">
        <v>10</v>
      </c>
      <c r="E1525" s="1" t="s">
        <v>169</v>
      </c>
      <c r="F1525" s="1" t="s">
        <v>5508</v>
      </c>
      <c r="G1525" s="3" t="s">
        <v>5466</v>
      </c>
      <c r="H1525" s="12" cm="1">
        <f t="array" ref="H1525">_xlfn.IFS(I1525&lt;197,I1525*1.26,I1525&gt;197,I1525*1.17) + IF(I1525&gt;1000,17,0)</f>
        <v>50.551199999999994</v>
      </c>
      <c r="I1525" s="10">
        <f>($K$2+0.02)*Tabla1[[#This Row],[PRECIO $]]*1.18</f>
        <v>40.119999999999997</v>
      </c>
      <c r="J1525" s="7">
        <f>+Tabla1[[#This Row],[PRECIO EN SOLES]]-Tabla1[[#This Row],[PC]]</f>
        <v>10.431199999999997</v>
      </c>
    </row>
    <row r="1526" spans="1:10" x14ac:dyDescent="0.25">
      <c r="A1526" s="3" t="s">
        <v>841</v>
      </c>
      <c r="B1526" s="3" t="s">
        <v>842</v>
      </c>
      <c r="C1526" s="1">
        <v>20</v>
      </c>
      <c r="D1526" s="1">
        <v>10</v>
      </c>
      <c r="E1526" s="1" t="s">
        <v>169</v>
      </c>
      <c r="F1526" s="1" t="s">
        <v>5274</v>
      </c>
      <c r="G1526" s="3" t="s">
        <v>843</v>
      </c>
      <c r="H1526" s="12" cm="1">
        <f t="array" ref="H1526">_xlfn.IFS(I1526&lt;197,I1526*1.26,I1526&gt;197,I1526*1.17) + IF(I1526&gt;1000,17,0)</f>
        <v>50.551199999999994</v>
      </c>
      <c r="I1526" s="10">
        <f>($K$2+0.02)*Tabla1[[#This Row],[PRECIO $]]*1.18</f>
        <v>40.119999999999997</v>
      </c>
      <c r="J1526" s="7">
        <f>+Tabla1[[#This Row],[PRECIO EN SOLES]]-Tabla1[[#This Row],[PC]]</f>
        <v>10.431199999999997</v>
      </c>
    </row>
    <row r="1527" spans="1:10" x14ac:dyDescent="0.25">
      <c r="A1527" s="3" t="s">
        <v>844</v>
      </c>
      <c r="B1527" s="3" t="s">
        <v>845</v>
      </c>
      <c r="C1527" s="1">
        <v>20</v>
      </c>
      <c r="D1527" s="1">
        <v>10</v>
      </c>
      <c r="E1527" s="1" t="s">
        <v>169</v>
      </c>
      <c r="F1527" s="1" t="s">
        <v>5275</v>
      </c>
      <c r="G1527" s="3" t="s">
        <v>846</v>
      </c>
      <c r="H1527" s="12" cm="1">
        <f t="array" ref="H1527">_xlfn.IFS(I1527&lt;197,I1527*1.26,I1527&gt;197,I1527*1.17) + IF(I1527&gt;1000,17,0)</f>
        <v>50.551199999999994</v>
      </c>
      <c r="I1527" s="10">
        <f>($K$2+0.02)*Tabla1[[#This Row],[PRECIO $]]*1.18</f>
        <v>40.119999999999997</v>
      </c>
      <c r="J1527" s="7">
        <f>+Tabla1[[#This Row],[PRECIO EN SOLES]]-Tabla1[[#This Row],[PC]]</f>
        <v>10.431199999999997</v>
      </c>
    </row>
    <row r="1528" spans="1:10" x14ac:dyDescent="0.25">
      <c r="A1528" s="3" t="s">
        <v>5467</v>
      </c>
      <c r="B1528" s="3" t="s">
        <v>5468</v>
      </c>
      <c r="C1528" s="1">
        <v>20</v>
      </c>
      <c r="D1528" s="1">
        <v>10</v>
      </c>
      <c r="E1528" s="1" t="s">
        <v>169</v>
      </c>
      <c r="F1528" s="1" t="s">
        <v>5509</v>
      </c>
      <c r="G1528" s="3" t="s">
        <v>5469</v>
      </c>
      <c r="H1528" s="12" cm="1">
        <f t="array" ref="H1528">_xlfn.IFS(I1528&lt;197,I1528*1.26,I1528&gt;197,I1528*1.17) + IF(I1528&gt;1000,17,0)</f>
        <v>50.551199999999994</v>
      </c>
      <c r="I1528" s="10">
        <f>($K$2+0.02)*Tabla1[[#This Row],[PRECIO $]]*1.18</f>
        <v>40.119999999999997</v>
      </c>
      <c r="J1528" s="7">
        <f>+Tabla1[[#This Row],[PRECIO EN SOLES]]-Tabla1[[#This Row],[PC]]</f>
        <v>10.431199999999997</v>
      </c>
    </row>
    <row r="1529" spans="1:10" x14ac:dyDescent="0.25">
      <c r="A1529" s="3" t="s">
        <v>3200</v>
      </c>
      <c r="B1529" s="3" t="s">
        <v>3201</v>
      </c>
      <c r="C1529" s="1">
        <v>20</v>
      </c>
      <c r="D1529" s="1">
        <v>17.25</v>
      </c>
      <c r="E1529" s="1" t="s">
        <v>169</v>
      </c>
      <c r="F1529" s="1" t="s">
        <v>5276</v>
      </c>
      <c r="G1529" s="3" t="s">
        <v>3202</v>
      </c>
      <c r="H1529" s="12" cm="1">
        <f t="array" ref="H1529">_xlfn.IFS(I1529&lt;197,I1529*1.26,I1529&gt;197,I1529*1.17) + IF(I1529&gt;1000,17,0)</f>
        <v>87.200819999999993</v>
      </c>
      <c r="I1529" s="10">
        <f>($K$2+0.02)*Tabla1[[#This Row],[PRECIO $]]*1.18</f>
        <v>69.206999999999994</v>
      </c>
      <c r="J1529" s="7">
        <f>+Tabla1[[#This Row],[PRECIO EN SOLES]]-Tabla1[[#This Row],[PC]]</f>
        <v>17.993819999999999</v>
      </c>
    </row>
    <row r="1530" spans="1:10" x14ac:dyDescent="0.25">
      <c r="A1530" s="3" t="s">
        <v>630</v>
      </c>
      <c r="B1530" s="3" t="s">
        <v>631</v>
      </c>
      <c r="C1530" s="1">
        <v>20</v>
      </c>
      <c r="D1530" s="1">
        <v>17.2</v>
      </c>
      <c r="E1530" s="1" t="s">
        <v>169</v>
      </c>
      <c r="F1530" s="1" t="s">
        <v>5277</v>
      </c>
      <c r="G1530" s="3" t="s">
        <v>632</v>
      </c>
      <c r="H1530" s="12" cm="1">
        <f t="array" ref="H1530">_xlfn.IFS(I1530&lt;197,I1530*1.26,I1530&gt;197,I1530*1.17) + IF(I1530&gt;1000,17,0)</f>
        <v>86.948064000000002</v>
      </c>
      <c r="I1530" s="10">
        <f>($K$2+0.02)*Tabla1[[#This Row],[PRECIO $]]*1.18</f>
        <v>69.006399999999999</v>
      </c>
      <c r="J1530" s="7">
        <f>+Tabla1[[#This Row],[PRECIO EN SOLES]]-Tabla1[[#This Row],[PC]]</f>
        <v>17.941664000000003</v>
      </c>
    </row>
    <row r="1531" spans="1:10" x14ac:dyDescent="0.25">
      <c r="A1531" s="3" t="s">
        <v>5470</v>
      </c>
      <c r="B1531" s="3" t="s">
        <v>5471</v>
      </c>
      <c r="C1531" s="1">
        <v>17</v>
      </c>
      <c r="D1531" s="1">
        <v>33</v>
      </c>
      <c r="E1531" s="1" t="s">
        <v>156</v>
      </c>
      <c r="F1531" s="1" t="s">
        <v>5510</v>
      </c>
      <c r="G1531" s="3"/>
      <c r="H1531" s="12" cm="1">
        <f t="array" ref="H1531">_xlfn.IFS(I1531&lt;197,I1531*1.26,I1531&gt;197,I1531*1.17) + IF(I1531&gt;1000,17,0)</f>
        <v>166.81895999999998</v>
      </c>
      <c r="I1531" s="10">
        <f>($K$2+0.02)*Tabla1[[#This Row],[PRECIO $]]*1.18</f>
        <v>132.39599999999999</v>
      </c>
      <c r="J1531" s="7">
        <f>+Tabla1[[#This Row],[PRECIO EN SOLES]]-Tabla1[[#This Row],[PC]]</f>
        <v>34.422959999999989</v>
      </c>
    </row>
    <row r="1532" spans="1:10" x14ac:dyDescent="0.25">
      <c r="A1532" s="3" t="s">
        <v>5472</v>
      </c>
      <c r="B1532" s="3" t="s">
        <v>5473</v>
      </c>
      <c r="C1532" s="1">
        <v>20</v>
      </c>
      <c r="D1532" s="1">
        <v>33.700000000000003</v>
      </c>
      <c r="E1532" s="1" t="s">
        <v>156</v>
      </c>
      <c r="F1532" s="1" t="s">
        <v>5511</v>
      </c>
      <c r="G1532" s="3"/>
      <c r="H1532" s="12" cm="1">
        <f t="array" ref="H1532">_xlfn.IFS(I1532&lt;197,I1532*1.26,I1532&gt;197,I1532*1.17) + IF(I1532&gt;1000,17,0)</f>
        <v>170.35754400000002</v>
      </c>
      <c r="I1532" s="10">
        <f>($K$2+0.02)*Tabla1[[#This Row],[PRECIO $]]*1.18</f>
        <v>135.20440000000002</v>
      </c>
      <c r="J1532" s="7">
        <f>+Tabla1[[#This Row],[PRECIO EN SOLES]]-Tabla1[[#This Row],[PC]]</f>
        <v>35.153143999999998</v>
      </c>
    </row>
    <row r="1533" spans="1:10" x14ac:dyDescent="0.25">
      <c r="A1533" s="3" t="s">
        <v>5474</v>
      </c>
      <c r="B1533" s="3" t="s">
        <v>5475</v>
      </c>
      <c r="C1533" s="1">
        <v>15</v>
      </c>
      <c r="D1533" s="1">
        <v>33.6</v>
      </c>
      <c r="E1533" s="1" t="s">
        <v>156</v>
      </c>
      <c r="F1533" s="1" t="s">
        <v>5512</v>
      </c>
      <c r="G1533" s="3"/>
      <c r="H1533" s="12" cm="1">
        <f t="array" ref="H1533">_xlfn.IFS(I1533&lt;197,I1533*1.26,I1533&gt;197,I1533*1.17) + IF(I1533&gt;1000,17,0)</f>
        <v>169.85203199999998</v>
      </c>
      <c r="I1533" s="10">
        <f>($K$2+0.02)*Tabla1[[#This Row],[PRECIO $]]*1.18</f>
        <v>134.80319999999998</v>
      </c>
      <c r="J1533" s="7">
        <f>+Tabla1[[#This Row],[PRECIO EN SOLES]]-Tabla1[[#This Row],[PC]]</f>
        <v>35.048832000000004</v>
      </c>
    </row>
    <row r="1534" spans="1:10" x14ac:dyDescent="0.25">
      <c r="A1534" s="3" t="s">
        <v>3203</v>
      </c>
      <c r="B1534" s="3" t="s">
        <v>3204</v>
      </c>
      <c r="C1534" s="1">
        <v>13</v>
      </c>
      <c r="D1534" s="1">
        <v>33.700000000000003</v>
      </c>
      <c r="E1534" s="1" t="s">
        <v>156</v>
      </c>
      <c r="F1534" s="1" t="s">
        <v>5278</v>
      </c>
      <c r="G1534" s="3"/>
      <c r="H1534" s="12" cm="1">
        <f t="array" ref="H1534">_xlfn.IFS(I1534&lt;197,I1534*1.26,I1534&gt;197,I1534*1.17) + IF(I1534&gt;1000,17,0)</f>
        <v>170.35754400000002</v>
      </c>
      <c r="I1534" s="10">
        <f>($K$2+0.02)*Tabla1[[#This Row],[PRECIO $]]*1.18</f>
        <v>135.20440000000002</v>
      </c>
      <c r="J1534" s="7">
        <f>+Tabla1[[#This Row],[PRECIO EN SOLES]]-Tabla1[[#This Row],[PC]]</f>
        <v>35.153143999999998</v>
      </c>
    </row>
    <row r="1535" spans="1:10" x14ac:dyDescent="0.25">
      <c r="A1535" s="3" t="s">
        <v>5723</v>
      </c>
      <c r="B1535" s="3" t="s">
        <v>5724</v>
      </c>
      <c r="C1535" s="1">
        <v>12</v>
      </c>
      <c r="D1535" s="1">
        <v>62</v>
      </c>
      <c r="E1535" s="1" t="s">
        <v>156</v>
      </c>
      <c r="F1535" s="1" t="s">
        <v>5725</v>
      </c>
      <c r="G1535" s="3"/>
      <c r="H1535" s="12" cm="1">
        <f t="array" ref="H1535">_xlfn.IFS(I1535&lt;197,I1535*1.26,I1535&gt;197,I1535*1.17) + IF(I1535&gt;1000,17,0)</f>
        <v>291.03047999999995</v>
      </c>
      <c r="I1535" s="10">
        <f>($K$2+0.02)*Tabla1[[#This Row],[PRECIO $]]*1.18</f>
        <v>248.74399999999997</v>
      </c>
      <c r="J1535" s="7">
        <f>+Tabla1[[#This Row],[PRECIO EN SOLES]]-Tabla1[[#This Row],[PC]]</f>
        <v>42.286479999999983</v>
      </c>
    </row>
    <row r="1536" spans="1:10" x14ac:dyDescent="0.25">
      <c r="A1536" s="3" t="s">
        <v>5476</v>
      </c>
      <c r="B1536" s="3" t="s">
        <v>5477</v>
      </c>
      <c r="C1536" s="1">
        <v>20</v>
      </c>
      <c r="D1536" s="1">
        <v>105</v>
      </c>
      <c r="E1536" s="1" t="s">
        <v>156</v>
      </c>
      <c r="F1536" s="1" t="s">
        <v>5513</v>
      </c>
      <c r="G1536" s="3"/>
      <c r="H1536" s="12" cm="1">
        <f t="array" ref="H1536">_xlfn.IFS(I1536&lt;197,I1536*1.26,I1536&gt;197,I1536*1.17) + IF(I1536&gt;1000,17,0)</f>
        <v>492.87419999999997</v>
      </c>
      <c r="I1536" s="10">
        <f>($K$2+0.02)*Tabla1[[#This Row],[PRECIO $]]*1.18</f>
        <v>421.26</v>
      </c>
      <c r="J1536" s="7">
        <f>+Tabla1[[#This Row],[PRECIO EN SOLES]]-Tabla1[[#This Row],[PC]]</f>
        <v>71.614199999999983</v>
      </c>
    </row>
    <row r="1537" spans="1:10" x14ac:dyDescent="0.25">
      <c r="A1537" s="3" t="s">
        <v>5478</v>
      </c>
      <c r="B1537" s="3" t="s">
        <v>5479</v>
      </c>
      <c r="C1537" s="1">
        <v>20</v>
      </c>
      <c r="D1537" s="1">
        <v>107</v>
      </c>
      <c r="E1537" s="1" t="s">
        <v>156</v>
      </c>
      <c r="F1537" s="1" t="s">
        <v>5514</v>
      </c>
      <c r="G1537" s="3"/>
      <c r="H1537" s="12" cm="1">
        <f t="array" ref="H1537">_xlfn.IFS(I1537&lt;197,I1537*1.26,I1537&gt;197,I1537*1.17) + IF(I1537&gt;1000,17,0)</f>
        <v>502.26227999999998</v>
      </c>
      <c r="I1537" s="10">
        <f>($K$2+0.02)*Tabla1[[#This Row],[PRECIO $]]*1.18</f>
        <v>429.28399999999999</v>
      </c>
      <c r="J1537" s="7">
        <f>+Tabla1[[#This Row],[PRECIO EN SOLES]]-Tabla1[[#This Row],[PC]]</f>
        <v>72.978279999999984</v>
      </c>
    </row>
    <row r="1538" spans="1:10" x14ac:dyDescent="0.25">
      <c r="A1538" s="3" t="s">
        <v>3205</v>
      </c>
      <c r="B1538" s="3" t="s">
        <v>3206</v>
      </c>
      <c r="C1538" s="1">
        <v>19</v>
      </c>
      <c r="D1538" s="1">
        <v>114</v>
      </c>
      <c r="E1538" s="1" t="s">
        <v>156</v>
      </c>
      <c r="F1538" s="1" t="s">
        <v>5279</v>
      </c>
      <c r="G1538" s="3"/>
      <c r="H1538" s="12" cm="1">
        <f t="array" ref="H1538">_xlfn.IFS(I1538&lt;197,I1538*1.26,I1538&gt;197,I1538*1.17) + IF(I1538&gt;1000,17,0)</f>
        <v>535.12055999999984</v>
      </c>
      <c r="I1538" s="10">
        <f>($K$2+0.02)*Tabla1[[#This Row],[PRECIO $]]*1.18</f>
        <v>457.36799999999994</v>
      </c>
      <c r="J1538" s="7">
        <f>+Tabla1[[#This Row],[PRECIO EN SOLES]]-Tabla1[[#This Row],[PC]]</f>
        <v>77.752559999999903</v>
      </c>
    </row>
    <row r="1539" spans="1:10" x14ac:dyDescent="0.25">
      <c r="A1539" s="3" t="s">
        <v>5480</v>
      </c>
      <c r="B1539" s="3" t="s">
        <v>5481</v>
      </c>
      <c r="C1539" s="1">
        <v>20</v>
      </c>
      <c r="D1539" s="1">
        <v>38.299999999999997</v>
      </c>
      <c r="E1539" s="1" t="s">
        <v>156</v>
      </c>
      <c r="F1539" s="1" t="s">
        <v>5515</v>
      </c>
      <c r="G1539" s="3" t="s">
        <v>5482</v>
      </c>
      <c r="H1539" s="12" cm="1">
        <f t="array" ref="H1539">_xlfn.IFS(I1539&lt;197,I1539*1.26,I1539&gt;197,I1539*1.17) + IF(I1539&gt;1000,17,0)</f>
        <v>193.61109599999997</v>
      </c>
      <c r="I1539" s="10">
        <f>($K$2+0.02)*Tabla1[[#This Row],[PRECIO $]]*1.18</f>
        <v>153.65959999999998</v>
      </c>
      <c r="J1539" s="7">
        <f>+Tabla1[[#This Row],[PRECIO EN SOLES]]-Tabla1[[#This Row],[PC]]</f>
        <v>39.951495999999992</v>
      </c>
    </row>
    <row r="1540" spans="1:10" x14ac:dyDescent="0.25">
      <c r="A1540" s="3" t="s">
        <v>633</v>
      </c>
      <c r="B1540" s="3" t="s">
        <v>634</v>
      </c>
      <c r="C1540" s="1">
        <v>0</v>
      </c>
      <c r="D1540" s="1">
        <v>40.5</v>
      </c>
      <c r="E1540" s="1" t="s">
        <v>156</v>
      </c>
      <c r="F1540" s="1" t="s">
        <v>5280</v>
      </c>
      <c r="G1540" s="3" t="s">
        <v>635</v>
      </c>
      <c r="H1540" s="12" cm="1">
        <f t="array" ref="H1540">_xlfn.IFS(I1540&lt;197,I1540*1.26,I1540&gt;197,I1540*1.17) + IF(I1540&gt;1000,17,0)</f>
        <v>204.73236</v>
      </c>
      <c r="I1540" s="10">
        <f>($K$2+0.02)*Tabla1[[#This Row],[PRECIO $]]*1.18</f>
        <v>162.48599999999999</v>
      </c>
      <c r="J1540" s="7">
        <f>+Tabla1[[#This Row],[PRECIO EN SOLES]]-Tabla1[[#This Row],[PC]]</f>
        <v>42.24636000000001</v>
      </c>
    </row>
    <row r="1541" spans="1:10" x14ac:dyDescent="0.25">
      <c r="A1541" s="3" t="s">
        <v>3207</v>
      </c>
      <c r="B1541" s="3" t="s">
        <v>3208</v>
      </c>
      <c r="C1541" s="1">
        <v>7</v>
      </c>
      <c r="D1541" s="1">
        <v>33.92</v>
      </c>
      <c r="E1541" s="1" t="s">
        <v>156</v>
      </c>
      <c r="F1541" s="1" t="s">
        <v>5281</v>
      </c>
      <c r="G1541" s="3" t="s">
        <v>3209</v>
      </c>
      <c r="H1541" s="12" cm="1">
        <f t="array" ref="H1541">_xlfn.IFS(I1541&lt;197,I1541*1.26,I1541&gt;197,I1541*1.17) + IF(I1541&gt;1000,17,0)</f>
        <v>171.46967040000001</v>
      </c>
      <c r="I1541" s="10">
        <f>($K$2+0.02)*Tabla1[[#This Row],[PRECIO $]]*1.18</f>
        <v>136.08704</v>
      </c>
      <c r="J1541" s="7">
        <f>+Tabla1[[#This Row],[PRECIO EN SOLES]]-Tabla1[[#This Row],[PC]]</f>
        <v>35.382630400000011</v>
      </c>
    </row>
    <row r="1542" spans="1:10" x14ac:dyDescent="0.25">
      <c r="A1542" s="3" t="s">
        <v>3210</v>
      </c>
      <c r="B1542" s="3" t="s">
        <v>3211</v>
      </c>
      <c r="C1542" s="1">
        <v>18</v>
      </c>
      <c r="D1542" s="1">
        <v>110</v>
      </c>
      <c r="E1542" s="1" t="s">
        <v>156</v>
      </c>
      <c r="F1542" s="1" t="s">
        <v>5282</v>
      </c>
      <c r="G1542" s="3" t="s">
        <v>3212</v>
      </c>
      <c r="H1542" s="12" cm="1">
        <f t="array" ref="H1542">_xlfn.IFS(I1542&lt;197,I1542*1.26,I1542&gt;197,I1542*1.17) + IF(I1542&gt;1000,17,0)</f>
        <v>516.34439999999995</v>
      </c>
      <c r="I1542" s="10">
        <f>($K$2+0.02)*Tabla1[[#This Row],[PRECIO $]]*1.18</f>
        <v>441.32</v>
      </c>
      <c r="J1542" s="7">
        <f>+Tabla1[[#This Row],[PRECIO EN SOLES]]-Tabla1[[#This Row],[PC]]</f>
        <v>75.024399999999957</v>
      </c>
    </row>
    <row r="1543" spans="1:10" x14ac:dyDescent="0.25">
      <c r="A1543" s="3" t="s">
        <v>3213</v>
      </c>
      <c r="B1543" s="3" t="s">
        <v>3214</v>
      </c>
      <c r="C1543" s="1">
        <v>9</v>
      </c>
      <c r="D1543" s="1">
        <v>114</v>
      </c>
      <c r="E1543" s="1" t="s">
        <v>156</v>
      </c>
      <c r="F1543" s="1" t="s">
        <v>5283</v>
      </c>
      <c r="G1543" s="3" t="s">
        <v>3215</v>
      </c>
      <c r="H1543" s="12" cm="1">
        <f t="array" ref="H1543">_xlfn.IFS(I1543&lt;197,I1543*1.26,I1543&gt;197,I1543*1.17) + IF(I1543&gt;1000,17,0)</f>
        <v>535.12055999999984</v>
      </c>
      <c r="I1543" s="10">
        <f>($K$2+0.02)*Tabla1[[#This Row],[PRECIO $]]*1.18</f>
        <v>457.36799999999994</v>
      </c>
      <c r="J1543" s="7">
        <f>+Tabla1[[#This Row],[PRECIO EN SOLES]]-Tabla1[[#This Row],[PC]]</f>
        <v>77.752559999999903</v>
      </c>
    </row>
    <row r="1544" spans="1:10" x14ac:dyDescent="0.25">
      <c r="A1544" s="3" t="s">
        <v>3216</v>
      </c>
      <c r="B1544" s="3" t="s">
        <v>3217</v>
      </c>
      <c r="C1544" s="1">
        <v>4</v>
      </c>
      <c r="D1544" s="1">
        <v>4.0999999999999996</v>
      </c>
      <c r="E1544" s="1" t="s">
        <v>156</v>
      </c>
      <c r="F1544" s="1" t="s">
        <v>5284</v>
      </c>
      <c r="G1544" s="3" t="s">
        <v>3218</v>
      </c>
      <c r="H1544" s="12" cm="1">
        <f t="array" ref="H1544">_xlfn.IFS(I1544&lt;197,I1544*1.26,I1544&gt;197,I1544*1.17) + IF(I1544&gt;1000,17,0)</f>
        <v>20.725991999999998</v>
      </c>
      <c r="I1544" s="10">
        <f>($K$2+0.02)*Tabla1[[#This Row],[PRECIO $]]*1.18</f>
        <v>16.449199999999998</v>
      </c>
      <c r="J1544" s="7">
        <f>+Tabla1[[#This Row],[PRECIO EN SOLES]]-Tabla1[[#This Row],[PC]]</f>
        <v>4.2767920000000004</v>
      </c>
    </row>
    <row r="1545" spans="1:10" x14ac:dyDescent="0.25">
      <c r="A1545" s="3" t="s">
        <v>3219</v>
      </c>
      <c r="B1545" s="3" t="s">
        <v>3220</v>
      </c>
      <c r="C1545" s="1">
        <v>20</v>
      </c>
      <c r="D1545" s="1">
        <v>2.1800000000000002</v>
      </c>
      <c r="E1545" s="1" t="s">
        <v>156</v>
      </c>
      <c r="F1545" s="1" t="s">
        <v>5285</v>
      </c>
      <c r="G1545" s="3" t="s">
        <v>3221</v>
      </c>
      <c r="H1545" s="12" cm="1">
        <f t="array" ref="H1545">_xlfn.IFS(I1545&lt;197,I1545*1.26,I1545&gt;197,I1545*1.17) + IF(I1545&gt;1000,17,0)</f>
        <v>11.0201616</v>
      </c>
      <c r="I1545" s="10">
        <f>($K$2+0.02)*Tabla1[[#This Row],[PRECIO $]]*1.18</f>
        <v>8.7461599999999997</v>
      </c>
      <c r="J1545" s="7">
        <f>+Tabla1[[#This Row],[PRECIO EN SOLES]]-Tabla1[[#This Row],[PC]]</f>
        <v>2.2740016000000001</v>
      </c>
    </row>
    <row r="1546" spans="1:10" x14ac:dyDescent="0.25">
      <c r="A1546" s="3" t="s">
        <v>3222</v>
      </c>
      <c r="B1546" s="3" t="s">
        <v>3223</v>
      </c>
      <c r="C1546" s="1">
        <v>6</v>
      </c>
      <c r="D1546" s="1">
        <v>11</v>
      </c>
      <c r="E1546" s="1" t="s">
        <v>156</v>
      </c>
      <c r="F1546" s="1" t="s">
        <v>5286</v>
      </c>
      <c r="G1546" s="3" t="s">
        <v>3224</v>
      </c>
      <c r="H1546" s="12" cm="1">
        <f t="array" ref="H1546">_xlfn.IFS(I1546&lt;197,I1546*1.26,I1546&gt;197,I1546*1.17) + IF(I1546&gt;1000,17,0)</f>
        <v>55.606319999999997</v>
      </c>
      <c r="I1546" s="10">
        <f>($K$2+0.02)*Tabla1[[#This Row],[PRECIO $]]*1.18</f>
        <v>44.131999999999998</v>
      </c>
      <c r="J1546" s="7">
        <f>+Tabla1[[#This Row],[PRECIO EN SOLES]]-Tabla1[[#This Row],[PC]]</f>
        <v>11.474319999999999</v>
      </c>
    </row>
    <row r="1547" spans="1:10" x14ac:dyDescent="0.25">
      <c r="A1547" s="3" t="s">
        <v>3225</v>
      </c>
      <c r="B1547" s="3" t="s">
        <v>3226</v>
      </c>
      <c r="C1547" s="1">
        <v>9</v>
      </c>
      <c r="D1547" s="1">
        <v>6.4</v>
      </c>
      <c r="E1547" s="1" t="s">
        <v>156</v>
      </c>
      <c r="F1547" s="1" t="s">
        <v>5287</v>
      </c>
      <c r="G1547" s="3" t="s">
        <v>3227</v>
      </c>
      <c r="H1547" s="12" cm="1">
        <f t="array" ref="H1547">_xlfn.IFS(I1547&lt;197,I1547*1.26,I1547&gt;197,I1547*1.17) + IF(I1547&gt;1000,17,0)</f>
        <v>32.352767999999998</v>
      </c>
      <c r="I1547" s="10">
        <f>($K$2+0.02)*Tabla1[[#This Row],[PRECIO $]]*1.18</f>
        <v>25.6768</v>
      </c>
      <c r="J1547" s="7">
        <f>+Tabla1[[#This Row],[PRECIO EN SOLES]]-Tabla1[[#This Row],[PC]]</f>
        <v>6.6759679999999975</v>
      </c>
    </row>
    <row r="1548" spans="1:10" x14ac:dyDescent="0.25">
      <c r="A1548" s="3" t="s">
        <v>3228</v>
      </c>
      <c r="B1548" s="3" t="s">
        <v>3229</v>
      </c>
      <c r="C1548" s="1">
        <v>8</v>
      </c>
      <c r="D1548" s="1">
        <v>28.42</v>
      </c>
      <c r="E1548" s="1" t="s">
        <v>156</v>
      </c>
      <c r="F1548" s="1" t="s">
        <v>5288</v>
      </c>
      <c r="G1548" s="3"/>
      <c r="H1548" s="12" cm="1">
        <f t="array" ref="H1548">_xlfn.IFS(I1548&lt;197,I1548*1.26,I1548&gt;197,I1548*1.17) + IF(I1548&gt;1000,17,0)</f>
        <v>143.66651039999999</v>
      </c>
      <c r="I1548" s="10">
        <f>($K$2+0.02)*Tabla1[[#This Row],[PRECIO $]]*1.18</f>
        <v>114.02104</v>
      </c>
      <c r="J1548" s="7">
        <f>+Tabla1[[#This Row],[PRECIO EN SOLES]]-Tabla1[[#This Row],[PC]]</f>
        <v>29.645470399999994</v>
      </c>
    </row>
    <row r="1549" spans="1:10" x14ac:dyDescent="0.25">
      <c r="A1549" s="3" t="s">
        <v>3230</v>
      </c>
      <c r="B1549" s="3" t="s">
        <v>3231</v>
      </c>
      <c r="C1549" s="1">
        <v>9</v>
      </c>
      <c r="D1549" s="1">
        <v>28.42</v>
      </c>
      <c r="E1549" s="1" t="s">
        <v>156</v>
      </c>
      <c r="F1549" s="1" t="s">
        <v>5289</v>
      </c>
      <c r="G1549" s="3"/>
      <c r="H1549" s="12" cm="1">
        <f t="array" ref="H1549">_xlfn.IFS(I1549&lt;197,I1549*1.26,I1549&gt;197,I1549*1.17) + IF(I1549&gt;1000,17,0)</f>
        <v>143.66651039999999</v>
      </c>
      <c r="I1549" s="10">
        <f>($K$2+0.02)*Tabla1[[#This Row],[PRECIO $]]*1.18</f>
        <v>114.02104</v>
      </c>
      <c r="J1549" s="7">
        <f>+Tabla1[[#This Row],[PRECIO EN SOLES]]-Tabla1[[#This Row],[PC]]</f>
        <v>29.645470399999994</v>
      </c>
    </row>
    <row r="1550" spans="1:10" x14ac:dyDescent="0.25">
      <c r="A1550" s="3" t="s">
        <v>3232</v>
      </c>
      <c r="B1550" s="3" t="s">
        <v>3233</v>
      </c>
      <c r="C1550" s="1">
        <v>9</v>
      </c>
      <c r="D1550" s="1">
        <v>28.42</v>
      </c>
      <c r="E1550" s="1" t="s">
        <v>156</v>
      </c>
      <c r="F1550" s="1" t="s">
        <v>5290</v>
      </c>
      <c r="G1550" s="3"/>
      <c r="H1550" s="12" cm="1">
        <f t="array" ref="H1550">_xlfn.IFS(I1550&lt;197,I1550*1.26,I1550&gt;197,I1550*1.17) + IF(I1550&gt;1000,17,0)</f>
        <v>143.66651039999999</v>
      </c>
      <c r="I1550" s="10">
        <f>($K$2+0.02)*Tabla1[[#This Row],[PRECIO $]]*1.18</f>
        <v>114.02104</v>
      </c>
      <c r="J1550" s="7">
        <f>+Tabla1[[#This Row],[PRECIO EN SOLES]]-Tabla1[[#This Row],[PC]]</f>
        <v>29.645470399999994</v>
      </c>
    </row>
    <row r="1551" spans="1:10" x14ac:dyDescent="0.25">
      <c r="A1551" s="3" t="s">
        <v>3234</v>
      </c>
      <c r="B1551" s="3" t="s">
        <v>3235</v>
      </c>
      <c r="C1551" s="1">
        <v>9</v>
      </c>
      <c r="D1551" s="1">
        <v>35</v>
      </c>
      <c r="E1551" s="1" t="s">
        <v>156</v>
      </c>
      <c r="F1551" s="1" t="s">
        <v>5291</v>
      </c>
      <c r="G1551" s="3"/>
      <c r="H1551" s="12" cm="1">
        <f t="array" ref="H1551">_xlfn.IFS(I1551&lt;197,I1551*1.26,I1551&gt;197,I1551*1.17) + IF(I1551&gt;1000,17,0)</f>
        <v>176.92919999999998</v>
      </c>
      <c r="I1551" s="10">
        <f>($K$2+0.02)*Tabla1[[#This Row],[PRECIO $]]*1.18</f>
        <v>140.41999999999999</v>
      </c>
      <c r="J1551" s="7">
        <f>+Tabla1[[#This Row],[PRECIO EN SOLES]]-Tabla1[[#This Row],[PC]]</f>
        <v>36.509199999999993</v>
      </c>
    </row>
    <row r="1552" spans="1:10" x14ac:dyDescent="0.25">
      <c r="A1552" s="3" t="s">
        <v>3236</v>
      </c>
      <c r="B1552" s="3" t="s">
        <v>3237</v>
      </c>
      <c r="C1552" s="1">
        <v>10</v>
      </c>
      <c r="D1552" s="1">
        <v>28.42</v>
      </c>
      <c r="E1552" s="1" t="s">
        <v>156</v>
      </c>
      <c r="F1552" s="1" t="s">
        <v>5292</v>
      </c>
      <c r="G1552" s="3"/>
      <c r="H1552" s="12" cm="1">
        <f t="array" ref="H1552">_xlfn.IFS(I1552&lt;197,I1552*1.26,I1552&gt;197,I1552*1.17) + IF(I1552&gt;1000,17,0)</f>
        <v>143.66651039999999</v>
      </c>
      <c r="I1552" s="10">
        <f>($K$2+0.02)*Tabla1[[#This Row],[PRECIO $]]*1.18</f>
        <v>114.02104</v>
      </c>
      <c r="J1552" s="7">
        <f>+Tabla1[[#This Row],[PRECIO EN SOLES]]-Tabla1[[#This Row],[PC]]</f>
        <v>29.645470399999994</v>
      </c>
    </row>
    <row r="1553" spans="1:10" x14ac:dyDescent="0.25">
      <c r="A1553" s="3" t="s">
        <v>3238</v>
      </c>
      <c r="B1553" s="3" t="s">
        <v>3239</v>
      </c>
      <c r="C1553" s="1">
        <v>10</v>
      </c>
      <c r="D1553" s="1">
        <v>36.1</v>
      </c>
      <c r="E1553" s="1" t="s">
        <v>156</v>
      </c>
      <c r="F1553" s="1" t="s">
        <v>5293</v>
      </c>
      <c r="G1553" s="3"/>
      <c r="H1553" s="12" cm="1">
        <f t="array" ref="H1553">_xlfn.IFS(I1553&lt;197,I1553*1.26,I1553&gt;197,I1553*1.17) + IF(I1553&gt;1000,17,0)</f>
        <v>182.48983199999998</v>
      </c>
      <c r="I1553" s="10">
        <f>($K$2+0.02)*Tabla1[[#This Row],[PRECIO $]]*1.18</f>
        <v>144.83319999999998</v>
      </c>
      <c r="J1553" s="7">
        <f>+Tabla1[[#This Row],[PRECIO EN SOLES]]-Tabla1[[#This Row],[PC]]</f>
        <v>37.656632000000002</v>
      </c>
    </row>
    <row r="1554" spans="1:10" x14ac:dyDescent="0.25">
      <c r="A1554" s="3" t="s">
        <v>5483</v>
      </c>
      <c r="B1554" s="3" t="s">
        <v>5484</v>
      </c>
      <c r="C1554" s="1">
        <v>5</v>
      </c>
      <c r="D1554" s="1">
        <v>151.4</v>
      </c>
      <c r="E1554" s="1" t="s">
        <v>156</v>
      </c>
      <c r="F1554" s="1" t="s">
        <v>5516</v>
      </c>
      <c r="G1554" s="3"/>
      <c r="H1554" s="12" cm="1">
        <f t="array" ref="H1554">_xlfn.IFS(I1554&lt;197,I1554*1.26,I1554&gt;197,I1554*1.17) + IF(I1554&gt;1000,17,0)</f>
        <v>710.67765599999996</v>
      </c>
      <c r="I1554" s="10">
        <f>($K$2+0.02)*Tabla1[[#This Row],[PRECIO $]]*1.18</f>
        <v>607.41679999999997</v>
      </c>
      <c r="J1554" s="7">
        <f>+Tabla1[[#This Row],[PRECIO EN SOLES]]-Tabla1[[#This Row],[PC]]</f>
        <v>103.26085599999999</v>
      </c>
    </row>
    <row r="1555" spans="1:10" x14ac:dyDescent="0.25">
      <c r="A1555" s="3" t="s">
        <v>5485</v>
      </c>
      <c r="B1555" s="3" t="s">
        <v>5486</v>
      </c>
      <c r="C1555" s="1">
        <v>5</v>
      </c>
      <c r="D1555" s="1">
        <v>117.7</v>
      </c>
      <c r="E1555" s="1" t="s">
        <v>156</v>
      </c>
      <c r="F1555" s="1" t="s">
        <v>5517</v>
      </c>
      <c r="G1555" s="3"/>
      <c r="H1555" s="12" cm="1">
        <f t="array" ref="H1555">_xlfn.IFS(I1555&lt;197,I1555*1.26,I1555&gt;197,I1555*1.17) + IF(I1555&gt;1000,17,0)</f>
        <v>552.48850800000002</v>
      </c>
      <c r="I1555" s="10">
        <f>($K$2+0.02)*Tabla1[[#This Row],[PRECIO $]]*1.18</f>
        <v>472.2124</v>
      </c>
      <c r="J1555" s="7">
        <f>+Tabla1[[#This Row],[PRECIO EN SOLES]]-Tabla1[[#This Row],[PC]]</f>
        <v>80.276108000000022</v>
      </c>
    </row>
    <row r="1556" spans="1:10" x14ac:dyDescent="0.25">
      <c r="A1556" s="3" t="s">
        <v>3240</v>
      </c>
      <c r="B1556" s="3" t="s">
        <v>3241</v>
      </c>
      <c r="C1556" s="1">
        <v>7</v>
      </c>
      <c r="D1556" s="1">
        <v>117.7</v>
      </c>
      <c r="E1556" s="1" t="s">
        <v>156</v>
      </c>
      <c r="F1556" s="1" t="s">
        <v>5294</v>
      </c>
      <c r="G1556" s="3"/>
      <c r="H1556" s="12" cm="1">
        <f t="array" ref="H1556">_xlfn.IFS(I1556&lt;197,I1556*1.26,I1556&gt;197,I1556*1.17) + IF(I1556&gt;1000,17,0)</f>
        <v>552.48850800000002</v>
      </c>
      <c r="I1556" s="10">
        <f>($K$2+0.02)*Tabla1[[#This Row],[PRECIO $]]*1.18</f>
        <v>472.2124</v>
      </c>
      <c r="J1556" s="7">
        <f>+Tabla1[[#This Row],[PRECIO EN SOLES]]-Tabla1[[#This Row],[PC]]</f>
        <v>80.276108000000022</v>
      </c>
    </row>
    <row r="1557" spans="1:10" x14ac:dyDescent="0.25">
      <c r="A1557" s="3" t="s">
        <v>3242</v>
      </c>
      <c r="B1557" s="3" t="s">
        <v>3243</v>
      </c>
      <c r="C1557" s="1">
        <v>8</v>
      </c>
      <c r="D1557" s="1">
        <v>117.7</v>
      </c>
      <c r="E1557" s="1" t="s">
        <v>156</v>
      </c>
      <c r="F1557" s="1" t="s">
        <v>5295</v>
      </c>
      <c r="G1557" s="3"/>
      <c r="H1557" s="12" cm="1">
        <f t="array" ref="H1557">_xlfn.IFS(I1557&lt;197,I1557*1.26,I1557&gt;197,I1557*1.17) + IF(I1557&gt;1000,17,0)</f>
        <v>552.48850800000002</v>
      </c>
      <c r="I1557" s="10">
        <f>($K$2+0.02)*Tabla1[[#This Row],[PRECIO $]]*1.18</f>
        <v>472.2124</v>
      </c>
      <c r="J1557" s="7">
        <f>+Tabla1[[#This Row],[PRECIO EN SOLES]]-Tabla1[[#This Row],[PC]]</f>
        <v>80.276108000000022</v>
      </c>
    </row>
    <row r="1558" spans="1:10" x14ac:dyDescent="0.25">
      <c r="A1558" s="3" t="s">
        <v>5487</v>
      </c>
      <c r="B1558" s="3" t="s">
        <v>5488</v>
      </c>
      <c r="C1558" s="1">
        <v>20</v>
      </c>
      <c r="D1558" s="1">
        <v>49.5</v>
      </c>
      <c r="E1558" s="1" t="s">
        <v>156</v>
      </c>
      <c r="F1558" s="1" t="s">
        <v>5518</v>
      </c>
      <c r="G1558" s="3" t="s">
        <v>5489</v>
      </c>
      <c r="H1558" s="12" cm="1">
        <f t="array" ref="H1558">_xlfn.IFS(I1558&lt;197,I1558*1.26,I1558&gt;197,I1558*1.17) + IF(I1558&gt;1000,17,0)</f>
        <v>232.35497999999995</v>
      </c>
      <c r="I1558" s="10">
        <f>($K$2+0.02)*Tabla1[[#This Row],[PRECIO $]]*1.18</f>
        <v>198.59399999999997</v>
      </c>
      <c r="J1558" s="7">
        <f>+Tabla1[[#This Row],[PRECIO EN SOLES]]-Tabla1[[#This Row],[PC]]</f>
        <v>33.760979999999989</v>
      </c>
    </row>
    <row r="1559" spans="1:10" x14ac:dyDescent="0.25">
      <c r="A1559" s="3" t="s">
        <v>5490</v>
      </c>
      <c r="B1559" s="3" t="s">
        <v>5491</v>
      </c>
      <c r="C1559" s="1">
        <v>17</v>
      </c>
      <c r="D1559" s="1">
        <v>49.7</v>
      </c>
      <c r="E1559" s="1" t="s">
        <v>156</v>
      </c>
      <c r="F1559" s="1" t="s">
        <v>5519</v>
      </c>
      <c r="G1559" s="3" t="s">
        <v>5492</v>
      </c>
      <c r="H1559" s="12" cm="1">
        <f t="array" ref="H1559">_xlfn.IFS(I1559&lt;197,I1559*1.26,I1559&gt;197,I1559*1.17) + IF(I1559&gt;1000,17,0)</f>
        <v>233.29378799999998</v>
      </c>
      <c r="I1559" s="10">
        <f>($K$2+0.02)*Tabla1[[#This Row],[PRECIO $]]*1.18</f>
        <v>199.3964</v>
      </c>
      <c r="J1559" s="7">
        <f>+Tabla1[[#This Row],[PRECIO EN SOLES]]-Tabla1[[#This Row],[PC]]</f>
        <v>33.897387999999978</v>
      </c>
    </row>
    <row r="1560" spans="1:10" x14ac:dyDescent="0.25">
      <c r="A1560" s="3" t="s">
        <v>5493</v>
      </c>
      <c r="B1560" s="3" t="s">
        <v>5494</v>
      </c>
      <c r="C1560" s="1">
        <v>19</v>
      </c>
      <c r="D1560" s="1">
        <v>49.7</v>
      </c>
      <c r="E1560" s="1" t="s">
        <v>156</v>
      </c>
      <c r="F1560" s="1" t="s">
        <v>5520</v>
      </c>
      <c r="G1560" s="3" t="s">
        <v>5495</v>
      </c>
      <c r="H1560" s="12" cm="1">
        <f t="array" ref="H1560">_xlfn.IFS(I1560&lt;197,I1560*1.26,I1560&gt;197,I1560*1.17) + IF(I1560&gt;1000,17,0)</f>
        <v>233.29378799999998</v>
      </c>
      <c r="I1560" s="10">
        <f>($K$2+0.02)*Tabla1[[#This Row],[PRECIO $]]*1.18</f>
        <v>199.3964</v>
      </c>
      <c r="J1560" s="7">
        <f>+Tabla1[[#This Row],[PRECIO EN SOLES]]-Tabla1[[#This Row],[PC]]</f>
        <v>33.897387999999978</v>
      </c>
    </row>
    <row r="1561" spans="1:10" x14ac:dyDescent="0.25">
      <c r="A1561" s="3" t="s">
        <v>847</v>
      </c>
      <c r="B1561" s="3" t="s">
        <v>848</v>
      </c>
      <c r="C1561" s="1">
        <v>20</v>
      </c>
      <c r="D1561" s="1">
        <v>49.7</v>
      </c>
      <c r="E1561" s="1" t="s">
        <v>156</v>
      </c>
      <c r="F1561" s="1" t="s">
        <v>5296</v>
      </c>
      <c r="G1561" s="3" t="s">
        <v>849</v>
      </c>
      <c r="H1561" s="12" cm="1">
        <f t="array" ref="H1561">_xlfn.IFS(I1561&lt;197,I1561*1.26,I1561&gt;197,I1561*1.17) + IF(I1561&gt;1000,17,0)</f>
        <v>233.29378799999998</v>
      </c>
      <c r="I1561" s="10">
        <f>($K$2+0.02)*Tabla1[[#This Row],[PRECIO $]]*1.18</f>
        <v>199.3964</v>
      </c>
      <c r="J1561" s="7">
        <f>+Tabla1[[#This Row],[PRECIO EN SOLES]]-Tabla1[[#This Row],[PC]]</f>
        <v>33.897387999999978</v>
      </c>
    </row>
    <row r="1562" spans="1:10" x14ac:dyDescent="0.25">
      <c r="A1562" s="3" t="s">
        <v>3244</v>
      </c>
      <c r="B1562" s="3" t="s">
        <v>3245</v>
      </c>
      <c r="C1562" s="1">
        <v>1</v>
      </c>
      <c r="D1562" s="1">
        <v>93.42</v>
      </c>
      <c r="E1562" s="1" t="s">
        <v>156</v>
      </c>
      <c r="F1562" s="1" t="s">
        <v>5297</v>
      </c>
      <c r="G1562" s="3" t="s">
        <v>3246</v>
      </c>
      <c r="H1562" s="12" cm="1">
        <f t="array" ref="H1562">_xlfn.IFS(I1562&lt;197,I1562*1.26,I1562&gt;197,I1562*1.17) + IF(I1562&gt;1000,17,0)</f>
        <v>438.51721679999991</v>
      </c>
      <c r="I1562" s="10">
        <f>($K$2+0.02)*Tabla1[[#This Row],[PRECIO $]]*1.18</f>
        <v>374.80103999999994</v>
      </c>
      <c r="J1562" s="7">
        <f>+Tabla1[[#This Row],[PRECIO EN SOLES]]-Tabla1[[#This Row],[PC]]</f>
        <v>63.716176799999971</v>
      </c>
    </row>
    <row r="1563" spans="1:10" x14ac:dyDescent="0.25">
      <c r="A1563" s="3" t="s">
        <v>3874</v>
      </c>
      <c r="B1563" s="3" t="s">
        <v>3875</v>
      </c>
      <c r="C1563" s="1">
        <v>20</v>
      </c>
      <c r="D1563" s="1">
        <v>7.33</v>
      </c>
      <c r="E1563" s="1" t="s">
        <v>163</v>
      </c>
      <c r="F1563" s="1" t="s">
        <v>5298</v>
      </c>
      <c r="G1563" s="3" t="s">
        <v>3876</v>
      </c>
      <c r="H1563" s="12" cm="1">
        <f t="array" ref="H1563">_xlfn.IFS(I1563&lt;197,I1563*1.26,I1563&gt;197,I1563*1.17) + IF(I1563&gt;1000,17,0)</f>
        <v>37.0540296</v>
      </c>
      <c r="I1563" s="10">
        <f>($K$2+0.02)*Tabla1[[#This Row],[PRECIO $]]*1.18</f>
        <v>29.407959999999999</v>
      </c>
      <c r="J1563" s="7">
        <f>+Tabla1[[#This Row],[PRECIO EN SOLES]]-Tabla1[[#This Row],[PC]]</f>
        <v>7.6460696000000006</v>
      </c>
    </row>
    <row r="1564" spans="1:10" x14ac:dyDescent="0.25">
      <c r="A1564" s="3" t="s">
        <v>3877</v>
      </c>
      <c r="B1564" s="3" t="s">
        <v>3878</v>
      </c>
      <c r="C1564" s="1">
        <v>3</v>
      </c>
      <c r="D1564" s="1">
        <v>28.2</v>
      </c>
      <c r="E1564" s="1" t="s">
        <v>163</v>
      </c>
      <c r="F1564" s="1" t="s">
        <v>5299</v>
      </c>
      <c r="G1564" s="3" t="s">
        <v>3879</v>
      </c>
      <c r="H1564" s="12" cm="1">
        <f t="array" ref="H1564">_xlfn.IFS(I1564&lt;197,I1564*1.26,I1564&gt;197,I1564*1.17) + IF(I1564&gt;1000,17,0)</f>
        <v>142.554384</v>
      </c>
      <c r="I1564" s="10">
        <f>($K$2+0.02)*Tabla1[[#This Row],[PRECIO $]]*1.18</f>
        <v>113.13839999999999</v>
      </c>
      <c r="J1564" s="7">
        <f>+Tabla1[[#This Row],[PRECIO EN SOLES]]-Tabla1[[#This Row],[PC]]</f>
        <v>29.415984000000009</v>
      </c>
    </row>
    <row r="1565" spans="1:10" x14ac:dyDescent="0.25">
      <c r="A1565" s="3" t="s">
        <v>3880</v>
      </c>
      <c r="B1565" s="3" t="s">
        <v>3881</v>
      </c>
      <c r="C1565" s="1">
        <v>20</v>
      </c>
      <c r="D1565" s="1">
        <v>7.33</v>
      </c>
      <c r="E1565" s="1" t="s">
        <v>163</v>
      </c>
      <c r="F1565" s="1" t="s">
        <v>5300</v>
      </c>
      <c r="G1565" s="3" t="s">
        <v>3882</v>
      </c>
      <c r="H1565" s="12" cm="1">
        <f t="array" ref="H1565">_xlfn.IFS(I1565&lt;197,I1565*1.26,I1565&gt;197,I1565*1.17) + IF(I1565&gt;1000,17,0)</f>
        <v>37.0540296</v>
      </c>
      <c r="I1565" s="10">
        <f>($K$2+0.02)*Tabla1[[#This Row],[PRECIO $]]*1.18</f>
        <v>29.407959999999999</v>
      </c>
      <c r="J1565" s="7">
        <f>+Tabla1[[#This Row],[PRECIO EN SOLES]]-Tabla1[[#This Row],[PC]]</f>
        <v>7.6460696000000006</v>
      </c>
    </row>
    <row r="1566" spans="1:10" x14ac:dyDescent="0.25">
      <c r="A1566" s="3" t="s">
        <v>3247</v>
      </c>
      <c r="B1566" s="3" t="s">
        <v>3248</v>
      </c>
      <c r="C1566" s="1">
        <v>20</v>
      </c>
      <c r="D1566" s="1">
        <v>7.33</v>
      </c>
      <c r="E1566" s="1" t="s">
        <v>163</v>
      </c>
      <c r="F1566" s="1" t="s">
        <v>5301</v>
      </c>
      <c r="G1566" s="3" t="s">
        <v>3249</v>
      </c>
      <c r="H1566" s="12" cm="1">
        <f t="array" ref="H1566">_xlfn.IFS(I1566&lt;197,I1566*1.26,I1566&gt;197,I1566*1.17) + IF(I1566&gt;1000,17,0)</f>
        <v>37.0540296</v>
      </c>
      <c r="I1566" s="10">
        <f>($K$2+0.02)*Tabla1[[#This Row],[PRECIO $]]*1.18</f>
        <v>29.407959999999999</v>
      </c>
      <c r="J1566" s="7">
        <f>+Tabla1[[#This Row],[PRECIO EN SOLES]]-Tabla1[[#This Row],[PC]]</f>
        <v>7.6460696000000006</v>
      </c>
    </row>
    <row r="1567" spans="1:10" x14ac:dyDescent="0.25">
      <c r="A1567" s="3" t="s">
        <v>3883</v>
      </c>
      <c r="B1567" s="3" t="s">
        <v>3884</v>
      </c>
      <c r="C1567" s="1">
        <v>20</v>
      </c>
      <c r="D1567" s="1">
        <v>7.33</v>
      </c>
      <c r="E1567" s="1" t="s">
        <v>163</v>
      </c>
      <c r="F1567" s="1" t="s">
        <v>5302</v>
      </c>
      <c r="G1567" s="3" t="s">
        <v>3885</v>
      </c>
      <c r="H1567" s="12" cm="1">
        <f t="array" ref="H1567">_xlfn.IFS(I1567&lt;197,I1567*1.26,I1567&gt;197,I1567*1.17) + IF(I1567&gt;1000,17,0)</f>
        <v>37.0540296</v>
      </c>
      <c r="I1567" s="10">
        <f>($K$2+0.02)*Tabla1[[#This Row],[PRECIO $]]*1.18</f>
        <v>29.407959999999999</v>
      </c>
      <c r="J1567" s="7">
        <f>+Tabla1[[#This Row],[PRECIO EN SOLES]]-Tabla1[[#This Row],[PC]]</f>
        <v>7.6460696000000006</v>
      </c>
    </row>
    <row r="1568" spans="1:10" x14ac:dyDescent="0.25">
      <c r="A1568" s="3" t="s">
        <v>638</v>
      </c>
      <c r="B1568" s="3" t="s">
        <v>639</v>
      </c>
      <c r="C1568" s="1">
        <v>20</v>
      </c>
      <c r="D1568" s="1">
        <v>15</v>
      </c>
      <c r="E1568" s="1" t="s">
        <v>640</v>
      </c>
      <c r="F1568" s="1" t="s">
        <v>5303</v>
      </c>
      <c r="G1568" s="3" t="s">
        <v>641</v>
      </c>
      <c r="H1568" s="12" cm="1">
        <f t="array" ref="H1568">_xlfn.IFS(I1568&lt;197,I1568*1.26,I1568&gt;197,I1568*1.17) + IF(I1568&gt;1000,17,0)</f>
        <v>75.826800000000006</v>
      </c>
      <c r="I1568" s="10">
        <f>($K$2+0.02)*Tabla1[[#This Row],[PRECIO $]]*1.18</f>
        <v>60.18</v>
      </c>
      <c r="J1568" s="7">
        <f>+Tabla1[[#This Row],[PRECIO EN SOLES]]-Tabla1[[#This Row],[PC]]</f>
        <v>15.646800000000006</v>
      </c>
    </row>
    <row r="1569" spans="1:10" x14ac:dyDescent="0.25">
      <c r="A1569" s="3" t="s">
        <v>5949</v>
      </c>
      <c r="B1569" s="3" t="s">
        <v>5950</v>
      </c>
      <c r="C1569" s="1">
        <v>0</v>
      </c>
      <c r="D1569" s="1">
        <v>9.8000000000000007</v>
      </c>
      <c r="E1569" s="1" t="s">
        <v>169</v>
      </c>
      <c r="F1569" s="1" t="s">
        <v>5951</v>
      </c>
      <c r="G1569" s="3" t="s">
        <v>5952</v>
      </c>
      <c r="H1569" s="12" cm="1">
        <f t="array" ref="H1569">_xlfn.IFS(I1569&lt;197,I1569*1.26,I1569&gt;197,I1569*1.17) + IF(I1569&gt;1000,17,0)</f>
        <v>49.540175999999995</v>
      </c>
      <c r="I1569" s="10">
        <f>($K$2+0.02)*Tabla1[[#This Row],[PRECIO $]]*1.18</f>
        <v>39.317599999999999</v>
      </c>
      <c r="J1569" s="7">
        <f>+Tabla1[[#This Row],[PRECIO EN SOLES]]-Tabla1[[#This Row],[PC]]</f>
        <v>10.222575999999997</v>
      </c>
    </row>
    <row r="1570" spans="1:10" x14ac:dyDescent="0.25">
      <c r="A1570" s="3" t="s">
        <v>3250</v>
      </c>
      <c r="B1570" s="3" t="s">
        <v>3251</v>
      </c>
      <c r="C1570" s="1">
        <v>14</v>
      </c>
      <c r="D1570" s="1">
        <v>16.75</v>
      </c>
      <c r="E1570" s="1" t="s">
        <v>156</v>
      </c>
      <c r="F1570" s="1" t="s">
        <v>5304</v>
      </c>
      <c r="G1570" s="3" t="s">
        <v>3252</v>
      </c>
      <c r="H1570" s="12" cm="1">
        <f t="array" ref="H1570">_xlfn.IFS(I1570&lt;197,I1570*1.26,I1570&gt;197,I1570*1.17) + IF(I1570&gt;1000,17,0)</f>
        <v>84.673259999999999</v>
      </c>
      <c r="I1570" s="10">
        <f>($K$2+0.02)*Tabla1[[#This Row],[PRECIO $]]*1.18</f>
        <v>67.200999999999993</v>
      </c>
      <c r="J1570" s="7">
        <f>+Tabla1[[#This Row],[PRECIO EN SOLES]]-Tabla1[[#This Row],[PC]]</f>
        <v>17.472260000000006</v>
      </c>
    </row>
    <row r="1571" spans="1:10" x14ac:dyDescent="0.25">
      <c r="A1571" s="3" t="s">
        <v>3253</v>
      </c>
      <c r="B1571" s="3" t="s">
        <v>3254</v>
      </c>
      <c r="C1571" s="1">
        <v>3</v>
      </c>
      <c r="D1571" s="1">
        <v>16.75</v>
      </c>
      <c r="E1571" s="1" t="s">
        <v>156</v>
      </c>
      <c r="F1571" s="1" t="s">
        <v>5305</v>
      </c>
      <c r="G1571" s="3" t="s">
        <v>3255</v>
      </c>
      <c r="H1571" s="12" cm="1">
        <f t="array" ref="H1571">_xlfn.IFS(I1571&lt;197,I1571*1.26,I1571&gt;197,I1571*1.17) + IF(I1571&gt;1000,17,0)</f>
        <v>84.673259999999999</v>
      </c>
      <c r="I1571" s="10">
        <f>($K$2+0.02)*Tabla1[[#This Row],[PRECIO $]]*1.18</f>
        <v>67.200999999999993</v>
      </c>
      <c r="J1571" s="7">
        <f>+Tabla1[[#This Row],[PRECIO EN SOLES]]-Tabla1[[#This Row],[PC]]</f>
        <v>17.472260000000006</v>
      </c>
    </row>
    <row r="1572" spans="1:10" x14ac:dyDescent="0.25">
      <c r="A1572" s="3" t="s">
        <v>3256</v>
      </c>
      <c r="B1572" s="3" t="s">
        <v>3257</v>
      </c>
      <c r="C1572" s="1">
        <v>4</v>
      </c>
      <c r="D1572" s="1">
        <v>16.75</v>
      </c>
      <c r="E1572" s="1" t="s">
        <v>156</v>
      </c>
      <c r="F1572" s="1" t="s">
        <v>5306</v>
      </c>
      <c r="G1572" s="3" t="s">
        <v>3258</v>
      </c>
      <c r="H1572" s="12" cm="1">
        <f t="array" ref="H1572">_xlfn.IFS(I1572&lt;197,I1572*1.26,I1572&gt;197,I1572*1.17) + IF(I1572&gt;1000,17,0)</f>
        <v>84.673259999999999</v>
      </c>
      <c r="I1572" s="10">
        <f>($K$2+0.02)*Tabla1[[#This Row],[PRECIO $]]*1.18</f>
        <v>67.200999999999993</v>
      </c>
      <c r="J1572" s="7">
        <f>+Tabla1[[#This Row],[PRECIO EN SOLES]]-Tabla1[[#This Row],[PC]]</f>
        <v>17.472260000000006</v>
      </c>
    </row>
    <row r="1573" spans="1:10" x14ac:dyDescent="0.25">
      <c r="A1573" s="3" t="s">
        <v>3259</v>
      </c>
      <c r="B1573" s="3" t="s">
        <v>3260</v>
      </c>
      <c r="C1573" s="1">
        <v>4</v>
      </c>
      <c r="D1573" s="1">
        <v>16.75</v>
      </c>
      <c r="E1573" s="1" t="s">
        <v>156</v>
      </c>
      <c r="F1573" s="1" t="s">
        <v>5307</v>
      </c>
      <c r="G1573" s="3" t="s">
        <v>3261</v>
      </c>
      <c r="H1573" s="12" cm="1">
        <f t="array" ref="H1573">_xlfn.IFS(I1573&lt;197,I1573*1.26,I1573&gt;197,I1573*1.17) + IF(I1573&gt;1000,17,0)</f>
        <v>84.673259999999999</v>
      </c>
      <c r="I1573" s="10">
        <f>($K$2+0.02)*Tabla1[[#This Row],[PRECIO $]]*1.18</f>
        <v>67.200999999999993</v>
      </c>
      <c r="J1573" s="7">
        <f>+Tabla1[[#This Row],[PRECIO EN SOLES]]-Tabla1[[#This Row],[PC]]</f>
        <v>17.472260000000006</v>
      </c>
    </row>
    <row r="1574" spans="1:10" x14ac:dyDescent="0.25">
      <c r="A1574" s="3" t="s">
        <v>5856</v>
      </c>
      <c r="B1574" s="3" t="s">
        <v>5857</v>
      </c>
      <c r="C1574" s="1">
        <v>4</v>
      </c>
      <c r="D1574" s="1">
        <v>12.94</v>
      </c>
      <c r="E1574" s="1" t="s">
        <v>54</v>
      </c>
      <c r="F1574" s="1" t="s">
        <v>5858</v>
      </c>
      <c r="G1574" s="3" t="s">
        <v>5859</v>
      </c>
      <c r="H1574" s="12" cm="1">
        <f t="array" ref="H1574">_xlfn.IFS(I1574&lt;197,I1574*1.26,I1574&gt;197,I1574*1.17) + IF(I1574&gt;1000,17,0)</f>
        <v>65.413252799999981</v>
      </c>
      <c r="I1574" s="10">
        <f>($K$2+0.02)*Tabla1[[#This Row],[PRECIO $]]*1.18</f>
        <v>51.915279999999989</v>
      </c>
      <c r="J1574" s="7">
        <f>+Tabla1[[#This Row],[PRECIO EN SOLES]]-Tabla1[[#This Row],[PC]]</f>
        <v>13.497972799999992</v>
      </c>
    </row>
    <row r="1575" spans="1:10" x14ac:dyDescent="0.25">
      <c r="A1575" s="3" t="s">
        <v>5860</v>
      </c>
      <c r="B1575" s="3" t="s">
        <v>5861</v>
      </c>
      <c r="C1575" s="1">
        <v>6</v>
      </c>
      <c r="D1575" s="1">
        <v>12.94</v>
      </c>
      <c r="E1575" s="1" t="s">
        <v>54</v>
      </c>
      <c r="F1575" s="1" t="s">
        <v>5862</v>
      </c>
      <c r="G1575" s="3" t="s">
        <v>5859</v>
      </c>
      <c r="H1575" s="12" cm="1">
        <f t="array" ref="H1575">_xlfn.IFS(I1575&lt;197,I1575*1.26,I1575&gt;197,I1575*1.17) + IF(I1575&gt;1000,17,0)</f>
        <v>65.413252799999981</v>
      </c>
      <c r="I1575" s="10">
        <f>($K$2+0.02)*Tabla1[[#This Row],[PRECIO $]]*1.18</f>
        <v>51.915279999999989</v>
      </c>
      <c r="J1575" s="7">
        <f>+Tabla1[[#This Row],[PRECIO EN SOLES]]-Tabla1[[#This Row],[PC]]</f>
        <v>13.497972799999992</v>
      </c>
    </row>
    <row r="1576" spans="1:10" x14ac:dyDescent="0.25">
      <c r="A1576" s="3" t="s">
        <v>5863</v>
      </c>
      <c r="B1576" s="3" t="s">
        <v>5864</v>
      </c>
      <c r="C1576" s="1">
        <v>20</v>
      </c>
      <c r="D1576" s="1">
        <v>14.48</v>
      </c>
      <c r="E1576" s="1" t="s">
        <v>1026</v>
      </c>
      <c r="F1576" s="1" t="s">
        <v>5865</v>
      </c>
      <c r="G1576" s="3" t="s">
        <v>5866</v>
      </c>
      <c r="H1576" s="12" cm="1">
        <f t="array" ref="H1576">_xlfn.IFS(I1576&lt;197,I1576*1.26,I1576&gt;197,I1576*1.17) + IF(I1576&gt;1000,17,0)</f>
        <v>73.198137599999995</v>
      </c>
      <c r="I1576" s="10">
        <f>($K$2+0.02)*Tabla1[[#This Row],[PRECIO $]]*1.18</f>
        <v>58.093759999999996</v>
      </c>
      <c r="J1576" s="7">
        <f>+Tabla1[[#This Row],[PRECIO EN SOLES]]-Tabla1[[#This Row],[PC]]</f>
        <v>15.104377599999999</v>
      </c>
    </row>
    <row r="1577" spans="1:10" x14ac:dyDescent="0.25">
      <c r="A1577" s="3" t="s">
        <v>5867</v>
      </c>
      <c r="B1577" s="3" t="s">
        <v>5868</v>
      </c>
      <c r="C1577" s="1">
        <v>20</v>
      </c>
      <c r="D1577" s="1">
        <v>20.38</v>
      </c>
      <c r="E1577" s="1" t="s">
        <v>1026</v>
      </c>
      <c r="F1577" s="1" t="s">
        <v>5869</v>
      </c>
      <c r="G1577" s="3" t="s">
        <v>5870</v>
      </c>
      <c r="H1577" s="12" cm="1">
        <f t="array" ref="H1577">_xlfn.IFS(I1577&lt;197,I1577*1.26,I1577&gt;197,I1577*1.17) + IF(I1577&gt;1000,17,0)</f>
        <v>103.0233456</v>
      </c>
      <c r="I1577" s="10">
        <f>($K$2+0.02)*Tabla1[[#This Row],[PRECIO $]]*1.18</f>
        <v>81.764560000000003</v>
      </c>
      <c r="J1577" s="7">
        <f>+Tabla1[[#This Row],[PRECIO EN SOLES]]-Tabla1[[#This Row],[PC]]</f>
        <v>21.258785599999996</v>
      </c>
    </row>
    <row r="1578" spans="1:10" x14ac:dyDescent="0.25">
      <c r="A1578" s="3" t="s">
        <v>5871</v>
      </c>
      <c r="B1578" s="3" t="s">
        <v>5872</v>
      </c>
      <c r="C1578" s="1">
        <v>20</v>
      </c>
      <c r="D1578" s="1">
        <v>20.38</v>
      </c>
      <c r="E1578" s="1" t="s">
        <v>1026</v>
      </c>
      <c r="F1578" s="1" t="s">
        <v>5873</v>
      </c>
      <c r="G1578" s="3" t="s">
        <v>5870</v>
      </c>
      <c r="H1578" s="12" cm="1">
        <f t="array" ref="H1578">_xlfn.IFS(I1578&lt;197,I1578*1.26,I1578&gt;197,I1578*1.17) + IF(I1578&gt;1000,17,0)</f>
        <v>103.0233456</v>
      </c>
      <c r="I1578" s="10">
        <f>($K$2+0.02)*Tabla1[[#This Row],[PRECIO $]]*1.18</f>
        <v>81.764560000000003</v>
      </c>
      <c r="J1578" s="7">
        <f>+Tabla1[[#This Row],[PRECIO EN SOLES]]-Tabla1[[#This Row],[PC]]</f>
        <v>21.258785599999996</v>
      </c>
    </row>
    <row r="1579" spans="1:10" x14ac:dyDescent="0.25">
      <c r="A1579" s="3" t="s">
        <v>5874</v>
      </c>
      <c r="B1579" s="3" t="s">
        <v>5875</v>
      </c>
      <c r="C1579" s="1">
        <v>1</v>
      </c>
      <c r="D1579" s="1">
        <v>18.98</v>
      </c>
      <c r="E1579" s="1" t="s">
        <v>1026</v>
      </c>
      <c r="F1579" s="1" t="s">
        <v>5876</v>
      </c>
      <c r="G1579" s="3" t="s">
        <v>5870</v>
      </c>
      <c r="H1579" s="12" cm="1">
        <f t="array" ref="H1579">_xlfn.IFS(I1579&lt;197,I1579*1.26,I1579&gt;197,I1579*1.17) + IF(I1579&gt;1000,17,0)</f>
        <v>95.946177599999984</v>
      </c>
      <c r="I1579" s="10">
        <f>($K$2+0.02)*Tabla1[[#This Row],[PRECIO $]]*1.18</f>
        <v>76.147759999999991</v>
      </c>
      <c r="J1579" s="7">
        <f>+Tabla1[[#This Row],[PRECIO EN SOLES]]-Tabla1[[#This Row],[PC]]</f>
        <v>19.798417599999993</v>
      </c>
    </row>
    <row r="1580" spans="1:10" x14ac:dyDescent="0.25">
      <c r="A1580" s="3" t="s">
        <v>6453</v>
      </c>
      <c r="B1580" s="3" t="s">
        <v>6454</v>
      </c>
      <c r="C1580" s="1">
        <v>2</v>
      </c>
      <c r="D1580" s="1">
        <v>18</v>
      </c>
      <c r="E1580" s="1" t="s">
        <v>52</v>
      </c>
      <c r="F1580" s="1" t="s">
        <v>6455</v>
      </c>
      <c r="G1580" s="3" t="s">
        <v>6456</v>
      </c>
      <c r="H1580" s="12" cm="1">
        <f t="array" ref="H1580">_xlfn.IFS(I1580&lt;197,I1580*1.26,I1580&gt;197,I1580*1.17) + IF(I1580&gt;1000,17,0)</f>
        <v>90.992159999999998</v>
      </c>
      <c r="I1580" s="10">
        <f>($K$2+0.02)*Tabla1[[#This Row],[PRECIO $]]*1.18</f>
        <v>72.215999999999994</v>
      </c>
      <c r="J1580" s="7">
        <f>+Tabla1[[#This Row],[PRECIO EN SOLES]]-Tabla1[[#This Row],[PC]]</f>
        <v>18.776160000000004</v>
      </c>
    </row>
    <row r="1581" spans="1:10" x14ac:dyDescent="0.25">
      <c r="A1581" s="3" t="s">
        <v>642</v>
      </c>
      <c r="B1581" s="3" t="s">
        <v>643</v>
      </c>
      <c r="C1581" s="1">
        <v>20</v>
      </c>
      <c r="D1581" s="1">
        <v>18.7</v>
      </c>
      <c r="E1581" s="1" t="s">
        <v>52</v>
      </c>
      <c r="F1581" s="1" t="s">
        <v>5308</v>
      </c>
      <c r="G1581" s="3" t="s">
        <v>644</v>
      </c>
      <c r="H1581" s="12" cm="1">
        <f t="array" ref="H1581">_xlfn.IFS(I1581&lt;197,I1581*1.26,I1581&gt;197,I1581*1.17) + IF(I1581&gt;1000,17,0)</f>
        <v>94.530743999999999</v>
      </c>
      <c r="I1581" s="10">
        <f>($K$2+0.02)*Tabla1[[#This Row],[PRECIO $]]*1.18</f>
        <v>75.0244</v>
      </c>
      <c r="J1581" s="7">
        <f>+Tabla1[[#This Row],[PRECIO EN SOLES]]-Tabla1[[#This Row],[PC]]</f>
        <v>19.506343999999999</v>
      </c>
    </row>
    <row r="1582" spans="1:10" x14ac:dyDescent="0.25">
      <c r="A1582" s="3" t="s">
        <v>645</v>
      </c>
      <c r="B1582" s="3" t="s">
        <v>646</v>
      </c>
      <c r="C1582" s="1">
        <v>20</v>
      </c>
      <c r="D1582" s="1">
        <v>20.399999999999999</v>
      </c>
      <c r="E1582" s="1" t="s">
        <v>52</v>
      </c>
      <c r="F1582" s="1" t="s">
        <v>5309</v>
      </c>
      <c r="G1582" s="3" t="s">
        <v>647</v>
      </c>
      <c r="H1582" s="12" cm="1">
        <f t="array" ref="H1582">_xlfn.IFS(I1582&lt;197,I1582*1.26,I1582&gt;197,I1582*1.17) + IF(I1582&gt;1000,17,0)</f>
        <v>103.12444799999999</v>
      </c>
      <c r="I1582" s="10">
        <f>($K$2+0.02)*Tabla1[[#This Row],[PRECIO $]]*1.18</f>
        <v>81.844799999999992</v>
      </c>
      <c r="J1582" s="7">
        <f>+Tabla1[[#This Row],[PRECIO EN SOLES]]-Tabla1[[#This Row],[PC]]</f>
        <v>21.279647999999995</v>
      </c>
    </row>
    <row r="1583" spans="1:10" x14ac:dyDescent="0.25">
      <c r="A1583" s="3" t="s">
        <v>648</v>
      </c>
      <c r="B1583" s="3" t="s">
        <v>649</v>
      </c>
      <c r="C1583" s="1">
        <v>20</v>
      </c>
      <c r="D1583" s="1">
        <v>15.1</v>
      </c>
      <c r="E1583" s="1" t="s">
        <v>52</v>
      </c>
      <c r="F1583" s="1" t="s">
        <v>5310</v>
      </c>
      <c r="G1583" s="3" t="s">
        <v>650</v>
      </c>
      <c r="H1583" s="12" cm="1">
        <f t="array" ref="H1583">_xlfn.IFS(I1583&lt;197,I1583*1.26,I1583&gt;197,I1583*1.17) + IF(I1583&gt;1000,17,0)</f>
        <v>76.332312000000002</v>
      </c>
      <c r="I1583" s="10">
        <f>($K$2+0.02)*Tabla1[[#This Row],[PRECIO $]]*1.18</f>
        <v>60.581199999999995</v>
      </c>
      <c r="J1583" s="7">
        <f>+Tabla1[[#This Row],[PRECIO EN SOLES]]-Tabla1[[#This Row],[PC]]</f>
        <v>15.751112000000006</v>
      </c>
    </row>
    <row r="1584" spans="1:10" x14ac:dyDescent="0.25">
      <c r="A1584" s="3" t="s">
        <v>3262</v>
      </c>
      <c r="B1584" s="3" t="s">
        <v>3263</v>
      </c>
      <c r="C1584" s="1">
        <v>20</v>
      </c>
      <c r="D1584" s="1">
        <v>28.4</v>
      </c>
      <c r="E1584" s="1" t="s">
        <v>52</v>
      </c>
      <c r="F1584" s="1" t="s">
        <v>5311</v>
      </c>
      <c r="G1584" s="3" t="s">
        <v>3264</v>
      </c>
      <c r="H1584" s="12" cm="1">
        <f t="array" ref="H1584">_xlfn.IFS(I1584&lt;197,I1584*1.26,I1584&gt;197,I1584*1.17) + IF(I1584&gt;1000,17,0)</f>
        <v>143.56540799999999</v>
      </c>
      <c r="I1584" s="10">
        <f>($K$2+0.02)*Tabla1[[#This Row],[PRECIO $]]*1.18</f>
        <v>113.94079999999998</v>
      </c>
      <c r="J1584" s="7">
        <f>+Tabla1[[#This Row],[PRECIO EN SOLES]]-Tabla1[[#This Row],[PC]]</f>
        <v>29.624608000000009</v>
      </c>
    </row>
    <row r="1585" spans="1:10" x14ac:dyDescent="0.25">
      <c r="A1585" s="3" t="s">
        <v>651</v>
      </c>
      <c r="B1585" s="3" t="s">
        <v>652</v>
      </c>
      <c r="C1585" s="1">
        <v>20</v>
      </c>
      <c r="D1585" s="1">
        <v>52.4</v>
      </c>
      <c r="E1585" s="1" t="s">
        <v>57</v>
      </c>
      <c r="F1585" s="1" t="s">
        <v>5312</v>
      </c>
      <c r="G1585" s="3" t="s">
        <v>653</v>
      </c>
      <c r="H1585" s="12" cm="1">
        <f t="array" ref="H1585">_xlfn.IFS(I1585&lt;197,I1585*1.26,I1585&gt;197,I1585*1.17) + IF(I1585&gt;1000,17,0)</f>
        <v>245.96769599999996</v>
      </c>
      <c r="I1585" s="10">
        <f>($K$2+0.02)*Tabla1[[#This Row],[PRECIO $]]*1.18</f>
        <v>210.22879999999998</v>
      </c>
      <c r="J1585" s="7">
        <f>+Tabla1[[#This Row],[PRECIO EN SOLES]]-Tabla1[[#This Row],[PC]]</f>
        <v>35.738895999999983</v>
      </c>
    </row>
    <row r="1586" spans="1:10" x14ac:dyDescent="0.25">
      <c r="A1586" s="3" t="s">
        <v>654</v>
      </c>
      <c r="B1586" s="3" t="s">
        <v>655</v>
      </c>
      <c r="C1586" s="1">
        <v>20</v>
      </c>
      <c r="D1586" s="1">
        <v>57</v>
      </c>
      <c r="E1586" s="1" t="s">
        <v>52</v>
      </c>
      <c r="F1586" s="1" t="s">
        <v>5313</v>
      </c>
      <c r="G1586" s="3" t="s">
        <v>656</v>
      </c>
      <c r="H1586" s="12" cm="1">
        <f t="array" ref="H1586">_xlfn.IFS(I1586&lt;197,I1586*1.26,I1586&gt;197,I1586*1.17) + IF(I1586&gt;1000,17,0)</f>
        <v>267.56027999999992</v>
      </c>
      <c r="I1586" s="10">
        <f>($K$2+0.02)*Tabla1[[#This Row],[PRECIO $]]*1.18</f>
        <v>228.68399999999997</v>
      </c>
      <c r="J1586" s="7">
        <f>+Tabla1[[#This Row],[PRECIO EN SOLES]]-Tabla1[[#This Row],[PC]]</f>
        <v>38.876279999999952</v>
      </c>
    </row>
    <row r="1587" spans="1:10" x14ac:dyDescent="0.25">
      <c r="A1587" s="3" t="s">
        <v>657</v>
      </c>
      <c r="B1587" s="3" t="s">
        <v>658</v>
      </c>
      <c r="C1587" s="1">
        <v>0</v>
      </c>
      <c r="D1587" s="1">
        <v>999</v>
      </c>
      <c r="E1587" s="1" t="s">
        <v>52</v>
      </c>
      <c r="F1587" s="1" t="s">
        <v>5314</v>
      </c>
      <c r="G1587" s="3"/>
      <c r="H1587" s="12" cm="1">
        <f t="array" ref="H1587">_xlfn.IFS(I1587&lt;197,I1587*1.26,I1587&gt;197,I1587*1.17) + IF(I1587&gt;1000,17,0)</f>
        <v>4706.3459599999996</v>
      </c>
      <c r="I1587" s="10">
        <f>($K$2+0.02)*Tabla1[[#This Row],[PRECIO $]]*1.18</f>
        <v>4007.9879999999998</v>
      </c>
      <c r="J1587" s="7">
        <f>+Tabla1[[#This Row],[PRECIO EN SOLES]]-Tabla1[[#This Row],[PC]]</f>
        <v>698.35795999999982</v>
      </c>
    </row>
    <row r="1588" spans="1:10" x14ac:dyDescent="0.25">
      <c r="A1588" s="3" t="s">
        <v>3265</v>
      </c>
      <c r="B1588" s="3" t="s">
        <v>646</v>
      </c>
      <c r="C1588" s="1">
        <v>0</v>
      </c>
      <c r="D1588" s="1">
        <v>9999999.9900000002</v>
      </c>
      <c r="E1588" s="1" t="s">
        <v>214</v>
      </c>
      <c r="F1588" s="1" t="s">
        <v>5315</v>
      </c>
      <c r="G1588" s="3"/>
      <c r="H1588" s="12" cm="1">
        <f t="array" ref="H1588">_xlfn.IFS(I1588&lt;197,I1588*1.26,I1588&gt;197,I1588*1.17) + IF(I1588&gt;1000,17,0)</f>
        <v>46940416.953059591</v>
      </c>
      <c r="I1588" s="10">
        <f>($K$2+0.02)*Tabla1[[#This Row],[PRECIO $]]*1.18</f>
        <v>40119999.959879994</v>
      </c>
      <c r="J1588" s="7">
        <f>+Tabla1[[#This Row],[PRECIO EN SOLES]]-Tabla1[[#This Row],[PC]]</f>
        <v>6820416.993179597</v>
      </c>
    </row>
    <row r="1589" spans="1:10" x14ac:dyDescent="0.25">
      <c r="A1589" s="3" t="s">
        <v>6052</v>
      </c>
      <c r="B1589" s="3" t="s">
        <v>6053</v>
      </c>
      <c r="C1589" s="1">
        <v>1</v>
      </c>
      <c r="D1589" s="1">
        <v>27</v>
      </c>
      <c r="E1589" s="1" t="s">
        <v>52</v>
      </c>
      <c r="F1589" s="1" t="s">
        <v>6054</v>
      </c>
      <c r="G1589" s="3" t="s">
        <v>6055</v>
      </c>
      <c r="H1589" s="12" cm="1">
        <f t="array" ref="H1589">_xlfn.IFS(I1589&lt;197,I1589*1.26,I1589&gt;197,I1589*1.17) + IF(I1589&gt;1000,17,0)</f>
        <v>136.48823999999999</v>
      </c>
      <c r="I1589" s="10">
        <f>($K$2+0.02)*Tabla1[[#This Row],[PRECIO $]]*1.18</f>
        <v>108.32399999999998</v>
      </c>
      <c r="J1589" s="7">
        <f>+Tabla1[[#This Row],[PRECIO EN SOLES]]-Tabla1[[#This Row],[PC]]</f>
        <v>28.164240000000007</v>
      </c>
    </row>
    <row r="1590" spans="1:10" x14ac:dyDescent="0.25">
      <c r="A1590" s="3" t="s">
        <v>3266</v>
      </c>
      <c r="B1590" s="3" t="s">
        <v>3267</v>
      </c>
      <c r="C1590" s="1">
        <v>20</v>
      </c>
      <c r="D1590" s="1">
        <v>19.3</v>
      </c>
      <c r="E1590" s="1" t="s">
        <v>52</v>
      </c>
      <c r="F1590" s="1" t="s">
        <v>5316</v>
      </c>
      <c r="G1590" s="3" t="s">
        <v>3268</v>
      </c>
      <c r="H1590" s="12" cm="1">
        <f t="array" ref="H1590">_xlfn.IFS(I1590&lt;197,I1590*1.26,I1590&gt;197,I1590*1.17) + IF(I1590&gt;1000,17,0)</f>
        <v>97.563816000000003</v>
      </c>
      <c r="I1590" s="10">
        <f>($K$2+0.02)*Tabla1[[#This Row],[PRECIO $]]*1.18</f>
        <v>77.431600000000003</v>
      </c>
      <c r="J1590" s="7">
        <f>+Tabla1[[#This Row],[PRECIO EN SOLES]]-Tabla1[[#This Row],[PC]]</f>
        <v>20.132216</v>
      </c>
    </row>
    <row r="1591" spans="1:10" x14ac:dyDescent="0.25">
      <c r="A1591" s="3" t="s">
        <v>3269</v>
      </c>
      <c r="B1591" s="3" t="s">
        <v>3270</v>
      </c>
      <c r="C1591" s="1">
        <v>0</v>
      </c>
      <c r="D1591" s="1">
        <v>132.6</v>
      </c>
      <c r="E1591" s="1" t="s">
        <v>659</v>
      </c>
      <c r="F1591" s="1" t="s">
        <v>5317</v>
      </c>
      <c r="G1591" s="3" t="s">
        <v>3271</v>
      </c>
      <c r="H1591" s="12" cm="1">
        <f t="array" ref="H1591">_xlfn.IFS(I1591&lt;197,I1591*1.26,I1591&gt;197,I1591*1.17) + IF(I1591&gt;1000,17,0)</f>
        <v>622.4297039999999</v>
      </c>
      <c r="I1591" s="10">
        <f>($K$2+0.02)*Tabla1[[#This Row],[PRECIO $]]*1.18</f>
        <v>531.99119999999994</v>
      </c>
      <c r="J1591" s="7">
        <f>+Tabla1[[#This Row],[PRECIO EN SOLES]]-Tabla1[[#This Row],[PC]]</f>
        <v>90.438503999999966</v>
      </c>
    </row>
    <row r="1592" spans="1:10" x14ac:dyDescent="0.25">
      <c r="A1592" s="3" t="s">
        <v>660</v>
      </c>
      <c r="B1592" s="3" t="s">
        <v>661</v>
      </c>
      <c r="C1592" s="1">
        <v>5</v>
      </c>
      <c r="D1592" s="1">
        <v>180.25</v>
      </c>
      <c r="E1592" s="1" t="s">
        <v>659</v>
      </c>
      <c r="F1592" s="1" t="s">
        <v>5318</v>
      </c>
      <c r="G1592" s="3" t="s">
        <v>662</v>
      </c>
      <c r="H1592" s="12" cm="1">
        <f t="array" ref="H1592">_xlfn.IFS(I1592&lt;197,I1592*1.26,I1592&gt;197,I1592*1.17) + IF(I1592&gt;1000,17,0)</f>
        <v>846.10070999999994</v>
      </c>
      <c r="I1592" s="10">
        <f>($K$2+0.02)*Tabla1[[#This Row],[PRECIO $]]*1.18</f>
        <v>723.16300000000001</v>
      </c>
      <c r="J1592" s="7">
        <f>+Tabla1[[#This Row],[PRECIO EN SOLES]]-Tabla1[[#This Row],[PC]]</f>
        <v>122.93770999999992</v>
      </c>
    </row>
    <row r="1593" spans="1:10" x14ac:dyDescent="0.25">
      <c r="A1593" s="3" t="s">
        <v>664</v>
      </c>
      <c r="B1593" s="3" t="s">
        <v>665</v>
      </c>
      <c r="C1593" s="1">
        <v>20</v>
      </c>
      <c r="D1593" s="1">
        <v>90.6</v>
      </c>
      <c r="E1593" s="1" t="s">
        <v>659</v>
      </c>
      <c r="F1593" s="1" t="s">
        <v>5319</v>
      </c>
      <c r="G1593" s="3" t="s">
        <v>666</v>
      </c>
      <c r="H1593" s="12" cm="1">
        <f t="array" ref="H1593">_xlfn.IFS(I1593&lt;197,I1593*1.26,I1593&gt;197,I1593*1.17) + IF(I1593&gt;1000,17,0)</f>
        <v>425.28002399999986</v>
      </c>
      <c r="I1593" s="10">
        <f>($K$2+0.02)*Tabla1[[#This Row],[PRECIO $]]*1.18</f>
        <v>363.48719999999992</v>
      </c>
      <c r="J1593" s="7">
        <f>+Tabla1[[#This Row],[PRECIO EN SOLES]]-Tabla1[[#This Row],[PC]]</f>
        <v>61.792823999999939</v>
      </c>
    </row>
    <row r="1594" spans="1:10" x14ac:dyDescent="0.25">
      <c r="A1594" s="3" t="s">
        <v>667</v>
      </c>
      <c r="B1594" s="3" t="s">
        <v>668</v>
      </c>
      <c r="C1594" s="1">
        <v>20</v>
      </c>
      <c r="D1594" s="1">
        <v>90.6</v>
      </c>
      <c r="E1594" s="1" t="s">
        <v>659</v>
      </c>
      <c r="F1594" s="1" t="s">
        <v>5320</v>
      </c>
      <c r="G1594" s="3" t="s">
        <v>663</v>
      </c>
      <c r="H1594" s="12" cm="1">
        <f t="array" ref="H1594">_xlfn.IFS(I1594&lt;197,I1594*1.26,I1594&gt;197,I1594*1.17) + IF(I1594&gt;1000,17,0)</f>
        <v>425.28002399999986</v>
      </c>
      <c r="I1594" s="10">
        <f>($K$2+0.02)*Tabla1[[#This Row],[PRECIO $]]*1.18</f>
        <v>363.48719999999992</v>
      </c>
      <c r="J1594" s="7">
        <f>+Tabla1[[#This Row],[PRECIO EN SOLES]]-Tabla1[[#This Row],[PC]]</f>
        <v>61.792823999999939</v>
      </c>
    </row>
    <row r="1595" spans="1:10" x14ac:dyDescent="0.25">
      <c r="A1595" s="3" t="s">
        <v>3272</v>
      </c>
      <c r="B1595" s="3" t="s">
        <v>3273</v>
      </c>
      <c r="C1595" s="1">
        <v>8</v>
      </c>
      <c r="D1595" s="1">
        <v>80.099999999999994</v>
      </c>
      <c r="E1595" s="1" t="s">
        <v>659</v>
      </c>
      <c r="F1595" s="1" t="s">
        <v>5321</v>
      </c>
      <c r="G1595" s="3" t="s">
        <v>3274</v>
      </c>
      <c r="H1595" s="12" cm="1">
        <f t="array" ref="H1595">_xlfn.IFS(I1595&lt;197,I1595*1.26,I1595&gt;197,I1595*1.17) + IF(I1595&gt;1000,17,0)</f>
        <v>375.99260399999991</v>
      </c>
      <c r="I1595" s="10">
        <f>($K$2+0.02)*Tabla1[[#This Row],[PRECIO $]]*1.18</f>
        <v>321.36119999999994</v>
      </c>
      <c r="J1595" s="7">
        <f>+Tabla1[[#This Row],[PRECIO EN SOLES]]-Tabla1[[#This Row],[PC]]</f>
        <v>54.631403999999975</v>
      </c>
    </row>
    <row r="1596" spans="1:10" x14ac:dyDescent="0.25">
      <c r="A1596" s="3" t="s">
        <v>669</v>
      </c>
      <c r="B1596" s="3" t="s">
        <v>670</v>
      </c>
      <c r="C1596" s="1">
        <v>5</v>
      </c>
      <c r="D1596" s="1">
        <v>80.099999999999994</v>
      </c>
      <c r="E1596" s="1" t="s">
        <v>659</v>
      </c>
      <c r="F1596" s="1" t="s">
        <v>5322</v>
      </c>
      <c r="G1596" s="3" t="s">
        <v>671</v>
      </c>
      <c r="H1596" s="12" cm="1">
        <f t="array" ref="H1596">_xlfn.IFS(I1596&lt;197,I1596*1.26,I1596&gt;197,I1596*1.17) + IF(I1596&gt;1000,17,0)</f>
        <v>375.99260399999991</v>
      </c>
      <c r="I1596" s="10">
        <f>($K$2+0.02)*Tabla1[[#This Row],[PRECIO $]]*1.18</f>
        <v>321.36119999999994</v>
      </c>
      <c r="J1596" s="7">
        <f>+Tabla1[[#This Row],[PRECIO EN SOLES]]-Tabla1[[#This Row],[PC]]</f>
        <v>54.631403999999975</v>
      </c>
    </row>
    <row r="1597" spans="1:10" x14ac:dyDescent="0.25">
      <c r="A1597" s="3" t="s">
        <v>3275</v>
      </c>
      <c r="B1597" s="3" t="s">
        <v>3276</v>
      </c>
      <c r="C1597" s="1">
        <v>20</v>
      </c>
      <c r="D1597" s="1">
        <v>147</v>
      </c>
      <c r="E1597" s="1" t="s">
        <v>54</v>
      </c>
      <c r="F1597" s="1" t="s">
        <v>5323</v>
      </c>
      <c r="G1597" s="3" t="s">
        <v>3277</v>
      </c>
      <c r="H1597" s="12" cm="1">
        <f t="array" ref="H1597">_xlfn.IFS(I1597&lt;197,I1597*1.26,I1597&gt;197,I1597*1.17) + IF(I1597&gt;1000,17,0)</f>
        <v>690.02387999999996</v>
      </c>
      <c r="I1597" s="10">
        <f>($K$2+0.02)*Tabla1[[#This Row],[PRECIO $]]*1.18</f>
        <v>589.76400000000001</v>
      </c>
      <c r="J1597" s="7">
        <f>+Tabla1[[#This Row],[PRECIO EN SOLES]]-Tabla1[[#This Row],[PC]]</f>
        <v>100.25987999999995</v>
      </c>
    </row>
    <row r="1598" spans="1:10" x14ac:dyDescent="0.25">
      <c r="A1598" s="3" t="s">
        <v>3278</v>
      </c>
      <c r="B1598" s="3" t="s">
        <v>3279</v>
      </c>
      <c r="C1598" s="1">
        <v>20</v>
      </c>
      <c r="D1598" s="1">
        <v>107</v>
      </c>
      <c r="E1598" s="1" t="s">
        <v>54</v>
      </c>
      <c r="F1598" s="1" t="s">
        <v>5324</v>
      </c>
      <c r="G1598" s="3" t="s">
        <v>3280</v>
      </c>
      <c r="H1598" s="12" cm="1">
        <f t="array" ref="H1598">_xlfn.IFS(I1598&lt;197,I1598*1.26,I1598&gt;197,I1598*1.17) + IF(I1598&gt;1000,17,0)</f>
        <v>502.26227999999998</v>
      </c>
      <c r="I1598" s="10">
        <f>($K$2+0.02)*Tabla1[[#This Row],[PRECIO $]]*1.18</f>
        <v>429.28399999999999</v>
      </c>
      <c r="J1598" s="7">
        <f>+Tabla1[[#This Row],[PRECIO EN SOLES]]-Tabla1[[#This Row],[PC]]</f>
        <v>72.978279999999984</v>
      </c>
    </row>
    <row r="1599" spans="1:10" x14ac:dyDescent="0.25">
      <c r="A1599" s="3" t="s">
        <v>3281</v>
      </c>
      <c r="B1599" s="3" t="s">
        <v>3282</v>
      </c>
      <c r="C1599" s="1">
        <v>3</v>
      </c>
      <c r="D1599" s="1">
        <v>145</v>
      </c>
      <c r="E1599" s="1" t="s">
        <v>54</v>
      </c>
      <c r="F1599" s="1" t="s">
        <v>5325</v>
      </c>
      <c r="G1599" s="3"/>
      <c r="H1599" s="12" cm="1">
        <f t="array" ref="H1599">_xlfn.IFS(I1599&lt;197,I1599*1.26,I1599&gt;197,I1599*1.17) + IF(I1599&gt;1000,17,0)</f>
        <v>680.63580000000002</v>
      </c>
      <c r="I1599" s="10">
        <f>($K$2+0.02)*Tabla1[[#This Row],[PRECIO $]]*1.18</f>
        <v>581.74</v>
      </c>
      <c r="J1599" s="7">
        <f>+Tabla1[[#This Row],[PRECIO EN SOLES]]-Tabla1[[#This Row],[PC]]</f>
        <v>98.895800000000008</v>
      </c>
    </row>
    <row r="1600" spans="1:10" x14ac:dyDescent="0.25">
      <c r="A1600" s="3" t="s">
        <v>5726</v>
      </c>
      <c r="B1600" s="3" t="s">
        <v>5727</v>
      </c>
      <c r="C1600" s="1">
        <v>3</v>
      </c>
      <c r="D1600" s="1">
        <v>66</v>
      </c>
      <c r="E1600" s="1" t="s">
        <v>54</v>
      </c>
      <c r="F1600" s="1" t="s">
        <v>5728</v>
      </c>
      <c r="G1600" s="3" t="s">
        <v>5729</v>
      </c>
      <c r="H1600" s="12" cm="1">
        <f t="array" ref="H1600">_xlfn.IFS(I1600&lt;197,I1600*1.26,I1600&gt;197,I1600*1.17) + IF(I1600&gt;1000,17,0)</f>
        <v>309.80663999999996</v>
      </c>
      <c r="I1600" s="10">
        <f>($K$2+0.02)*Tabla1[[#This Row],[PRECIO $]]*1.18</f>
        <v>264.79199999999997</v>
      </c>
      <c r="J1600" s="7">
        <f>+Tabla1[[#This Row],[PRECIO EN SOLES]]-Tabla1[[#This Row],[PC]]</f>
        <v>45.014639999999986</v>
      </c>
    </row>
    <row r="1601" spans="1:10" x14ac:dyDescent="0.25">
      <c r="A1601" s="3" t="s">
        <v>3886</v>
      </c>
      <c r="B1601" s="3" t="s">
        <v>3887</v>
      </c>
      <c r="C1601" s="1">
        <v>20</v>
      </c>
      <c r="D1601" s="1">
        <v>525</v>
      </c>
      <c r="E1601" s="1" t="s">
        <v>1003</v>
      </c>
      <c r="F1601" s="1" t="s">
        <v>5326</v>
      </c>
      <c r="G1601" s="3" t="s">
        <v>3888</v>
      </c>
      <c r="H1601" s="12" cm="1">
        <f t="array" ref="H1601">_xlfn.IFS(I1601&lt;197,I1601*1.26,I1601&gt;197,I1601*1.17) + IF(I1601&gt;1000,17,0)</f>
        <v>2481.3709999999996</v>
      </c>
      <c r="I1601" s="10">
        <f>($K$2+0.02)*Tabla1[[#This Row],[PRECIO $]]*1.18</f>
        <v>2106.2999999999997</v>
      </c>
      <c r="J1601" s="7">
        <f>+Tabla1[[#This Row],[PRECIO EN SOLES]]-Tabla1[[#This Row],[PC]]</f>
        <v>375.07099999999991</v>
      </c>
    </row>
    <row r="1602" spans="1:10" x14ac:dyDescent="0.25">
      <c r="A1602" s="3" t="s">
        <v>3283</v>
      </c>
      <c r="B1602" s="3" t="s">
        <v>3284</v>
      </c>
      <c r="C1602" s="1">
        <v>15</v>
      </c>
      <c r="D1602" s="1">
        <v>324</v>
      </c>
      <c r="E1602" s="1" t="s">
        <v>1003</v>
      </c>
      <c r="F1602" s="1" t="s">
        <v>5327</v>
      </c>
      <c r="G1602" s="3" t="s">
        <v>3285</v>
      </c>
      <c r="H1602" s="12" cm="1">
        <f t="array" ref="H1602">_xlfn.IFS(I1602&lt;197,I1602*1.26,I1602&gt;197,I1602*1.17) + IF(I1602&gt;1000,17,0)</f>
        <v>1537.8689599999998</v>
      </c>
      <c r="I1602" s="10">
        <f>($K$2+0.02)*Tabla1[[#This Row],[PRECIO $]]*1.18</f>
        <v>1299.8879999999999</v>
      </c>
      <c r="J1602" s="7">
        <f>+Tabla1[[#This Row],[PRECIO EN SOLES]]-Tabla1[[#This Row],[PC]]</f>
        <v>237.98095999999987</v>
      </c>
    </row>
    <row r="1603" spans="1:10" x14ac:dyDescent="0.25">
      <c r="A1603" s="3" t="s">
        <v>3286</v>
      </c>
      <c r="B1603" s="3" t="s">
        <v>3287</v>
      </c>
      <c r="C1603" s="1">
        <v>0</v>
      </c>
      <c r="D1603" s="1">
        <v>369</v>
      </c>
      <c r="E1603" s="1" t="s">
        <v>1003</v>
      </c>
      <c r="F1603" s="1" t="s">
        <v>5328</v>
      </c>
      <c r="G1603" s="3" t="s">
        <v>3285</v>
      </c>
      <c r="H1603" s="12" cm="1">
        <f t="array" ref="H1603">_xlfn.IFS(I1603&lt;197,I1603*1.26,I1603&gt;197,I1603*1.17) + IF(I1603&gt;1000,17,0)</f>
        <v>1749.1007599999998</v>
      </c>
      <c r="I1603" s="10">
        <f>($K$2+0.02)*Tabla1[[#This Row],[PRECIO $]]*1.18</f>
        <v>1480.4279999999999</v>
      </c>
      <c r="J1603" s="7">
        <f>+Tabla1[[#This Row],[PRECIO EN SOLES]]-Tabla1[[#This Row],[PC]]</f>
        <v>268.67275999999993</v>
      </c>
    </row>
    <row r="1604" spans="1:10" x14ac:dyDescent="0.25">
      <c r="A1604" s="3" t="s">
        <v>3288</v>
      </c>
      <c r="B1604" s="3" t="s">
        <v>3289</v>
      </c>
      <c r="C1604" s="1">
        <v>0</v>
      </c>
      <c r="D1604" s="1">
        <v>428</v>
      </c>
      <c r="E1604" s="1" t="s">
        <v>1003</v>
      </c>
      <c r="F1604" s="1" t="s">
        <v>5329</v>
      </c>
      <c r="G1604" s="3" t="s">
        <v>3290</v>
      </c>
      <c r="H1604" s="12" cm="1">
        <f t="array" ref="H1604">_xlfn.IFS(I1604&lt;197,I1604*1.26,I1604&gt;197,I1604*1.17) + IF(I1604&gt;1000,17,0)</f>
        <v>2026.0491199999999</v>
      </c>
      <c r="I1604" s="10">
        <f>($K$2+0.02)*Tabla1[[#This Row],[PRECIO $]]*1.18</f>
        <v>1717.136</v>
      </c>
      <c r="J1604" s="7">
        <f>+Tabla1[[#This Row],[PRECIO EN SOLES]]-Tabla1[[#This Row],[PC]]</f>
        <v>308.91311999999994</v>
      </c>
    </row>
    <row r="1605" spans="1:10" x14ac:dyDescent="0.25">
      <c r="A1605" s="3" t="s">
        <v>3889</v>
      </c>
      <c r="B1605" s="3" t="s">
        <v>3890</v>
      </c>
      <c r="C1605" s="1">
        <v>5</v>
      </c>
      <c r="D1605" s="1">
        <v>478</v>
      </c>
      <c r="E1605" s="1" t="s">
        <v>1003</v>
      </c>
      <c r="F1605" s="1" t="s">
        <v>5330</v>
      </c>
      <c r="G1605" s="3" t="s">
        <v>3891</v>
      </c>
      <c r="H1605" s="12" cm="1">
        <f t="array" ref="H1605">_xlfn.IFS(I1605&lt;197,I1605*1.26,I1605&gt;197,I1605*1.17) + IF(I1605&gt;1000,17,0)</f>
        <v>2260.7511199999999</v>
      </c>
      <c r="I1605" s="10">
        <f>($K$2+0.02)*Tabla1[[#This Row],[PRECIO $]]*1.18</f>
        <v>1917.7359999999999</v>
      </c>
      <c r="J1605" s="7">
        <f>+Tabla1[[#This Row],[PRECIO EN SOLES]]-Tabla1[[#This Row],[PC]]</f>
        <v>343.01512000000002</v>
      </c>
    </row>
    <row r="1606" spans="1:10" x14ac:dyDescent="0.25">
      <c r="A1606" s="3" t="s">
        <v>3892</v>
      </c>
      <c r="B1606" s="3" t="s">
        <v>3893</v>
      </c>
      <c r="C1606" s="1">
        <v>20</v>
      </c>
      <c r="D1606" s="1">
        <v>529</v>
      </c>
      <c r="E1606" s="1" t="s">
        <v>1003</v>
      </c>
      <c r="F1606" s="1" t="s">
        <v>5331</v>
      </c>
      <c r="G1606" s="3" t="s">
        <v>3894</v>
      </c>
      <c r="H1606" s="12" cm="1">
        <f t="array" ref="H1606">_xlfn.IFS(I1606&lt;197,I1606*1.26,I1606&gt;197,I1606*1.17) + IF(I1606&gt;1000,17,0)</f>
        <v>2500.14716</v>
      </c>
      <c r="I1606" s="10">
        <f>($K$2+0.02)*Tabla1[[#This Row],[PRECIO $]]*1.18</f>
        <v>2122.348</v>
      </c>
      <c r="J1606" s="7">
        <f>+Tabla1[[#This Row],[PRECIO EN SOLES]]-Tabla1[[#This Row],[PC]]</f>
        <v>377.79916000000003</v>
      </c>
    </row>
    <row r="1607" spans="1:10" x14ac:dyDescent="0.25">
      <c r="A1607" s="3" t="s">
        <v>6056</v>
      </c>
      <c r="B1607" s="3" t="s">
        <v>3292</v>
      </c>
      <c r="C1607" s="1">
        <v>20</v>
      </c>
      <c r="D1607" s="1">
        <v>579</v>
      </c>
      <c r="E1607" s="1" t="s">
        <v>1003</v>
      </c>
      <c r="F1607" s="1" t="s">
        <v>6057</v>
      </c>
      <c r="G1607" s="3"/>
      <c r="H1607" s="12" cm="1">
        <f t="array" ref="H1607">_xlfn.IFS(I1607&lt;197,I1607*1.26,I1607&gt;197,I1607*1.17) + IF(I1607&gt;1000,17,0)</f>
        <v>2734.8491599999998</v>
      </c>
      <c r="I1607" s="10">
        <f>($K$2+0.02)*Tabla1[[#This Row],[PRECIO $]]*1.18</f>
        <v>2322.9479999999999</v>
      </c>
      <c r="J1607" s="7">
        <f>+Tabla1[[#This Row],[PRECIO EN SOLES]]-Tabla1[[#This Row],[PC]]</f>
        <v>411.90115999999989</v>
      </c>
    </row>
    <row r="1608" spans="1:10" x14ac:dyDescent="0.25">
      <c r="A1608" s="3" t="s">
        <v>3291</v>
      </c>
      <c r="B1608" s="3" t="s">
        <v>3292</v>
      </c>
      <c r="C1608" s="1">
        <v>12</v>
      </c>
      <c r="D1608" s="1">
        <v>589</v>
      </c>
      <c r="E1608" s="1" t="s">
        <v>1003</v>
      </c>
      <c r="F1608" s="1" t="s">
        <v>5332</v>
      </c>
      <c r="G1608" s="3" t="s">
        <v>3293</v>
      </c>
      <c r="H1608" s="12" cm="1">
        <f t="array" ref="H1608">_xlfn.IFS(I1608&lt;197,I1608*1.26,I1608&gt;197,I1608*1.17) + IF(I1608&gt;1000,17,0)</f>
        <v>2781.7895599999997</v>
      </c>
      <c r="I1608" s="10">
        <f>($K$2+0.02)*Tabla1[[#This Row],[PRECIO $]]*1.18</f>
        <v>2363.0679999999998</v>
      </c>
      <c r="J1608" s="7">
        <f>+Tabla1[[#This Row],[PRECIO EN SOLES]]-Tabla1[[#This Row],[PC]]</f>
        <v>418.72155999999995</v>
      </c>
    </row>
    <row r="1609" spans="1:10" x14ac:dyDescent="0.25">
      <c r="A1609" s="3" t="s">
        <v>3294</v>
      </c>
      <c r="B1609" s="3" t="s">
        <v>3295</v>
      </c>
      <c r="C1609" s="1">
        <v>20</v>
      </c>
      <c r="D1609" s="1">
        <v>678</v>
      </c>
      <c r="E1609" s="1" t="s">
        <v>1003</v>
      </c>
      <c r="F1609" s="1" t="s">
        <v>5333</v>
      </c>
      <c r="G1609" s="3" t="s">
        <v>3296</v>
      </c>
      <c r="H1609" s="12" cm="1">
        <f t="array" ref="H1609">_xlfn.IFS(I1609&lt;197,I1609*1.26,I1609&gt;197,I1609*1.17) + IF(I1609&gt;1000,17,0)</f>
        <v>3199.5591199999994</v>
      </c>
      <c r="I1609" s="10">
        <f>($K$2+0.02)*Tabla1[[#This Row],[PRECIO $]]*1.18</f>
        <v>2720.1359999999995</v>
      </c>
      <c r="J1609" s="7">
        <f>+Tabla1[[#This Row],[PRECIO EN SOLES]]-Tabla1[[#This Row],[PC]]</f>
        <v>479.42311999999993</v>
      </c>
    </row>
    <row r="1610" spans="1:10" x14ac:dyDescent="0.25">
      <c r="A1610" s="3" t="s">
        <v>3895</v>
      </c>
      <c r="B1610" s="3" t="s">
        <v>3896</v>
      </c>
      <c r="C1610" s="1">
        <v>3</v>
      </c>
      <c r="D1610" s="1">
        <v>980</v>
      </c>
      <c r="E1610" s="1" t="s">
        <v>1003</v>
      </c>
      <c r="F1610" s="1" t="s">
        <v>5334</v>
      </c>
      <c r="G1610" s="3" t="s">
        <v>3897</v>
      </c>
      <c r="H1610" s="12" cm="1">
        <f t="array" ref="H1610">_xlfn.IFS(I1610&lt;197,I1610*1.26,I1610&gt;197,I1610*1.17) + IF(I1610&gt;1000,17,0)</f>
        <v>4617.1591999999991</v>
      </c>
      <c r="I1610" s="10">
        <f>($K$2+0.02)*Tabla1[[#This Row],[PRECIO $]]*1.18</f>
        <v>3931.7599999999998</v>
      </c>
      <c r="J1610" s="7">
        <f>+Tabla1[[#This Row],[PRECIO EN SOLES]]-Tabla1[[#This Row],[PC]]</f>
        <v>685.39919999999938</v>
      </c>
    </row>
    <row r="1611" spans="1:10" x14ac:dyDescent="0.25">
      <c r="A1611" s="3" t="s">
        <v>6058</v>
      </c>
      <c r="B1611" s="3" t="s">
        <v>6059</v>
      </c>
      <c r="C1611" s="1">
        <v>10</v>
      </c>
      <c r="D1611" s="1">
        <v>847</v>
      </c>
      <c r="E1611" s="1" t="s">
        <v>1003</v>
      </c>
      <c r="F1611" s="1" t="s">
        <v>6060</v>
      </c>
      <c r="G1611" s="3"/>
      <c r="H1611" s="12" cm="1">
        <f t="array" ref="H1611">_xlfn.IFS(I1611&lt;197,I1611*1.26,I1611&gt;197,I1611*1.17) + IF(I1611&gt;1000,17,0)</f>
        <v>3992.8518799999988</v>
      </c>
      <c r="I1611" s="10">
        <f>($K$2+0.02)*Tabla1[[#This Row],[PRECIO $]]*1.18</f>
        <v>3398.1639999999993</v>
      </c>
      <c r="J1611" s="7">
        <f>+Tabla1[[#This Row],[PRECIO EN SOLES]]-Tabla1[[#This Row],[PC]]</f>
        <v>594.6878799999995</v>
      </c>
    </row>
    <row r="1612" spans="1:10" x14ac:dyDescent="0.25">
      <c r="A1612" s="3" t="s">
        <v>6061</v>
      </c>
      <c r="B1612" s="3" t="s">
        <v>6062</v>
      </c>
      <c r="C1612" s="1">
        <v>4</v>
      </c>
      <c r="D1612" s="1">
        <v>1095</v>
      </c>
      <c r="E1612" s="1" t="s">
        <v>1003</v>
      </c>
      <c r="F1612" s="1" t="s">
        <v>6063</v>
      </c>
      <c r="G1612" s="3"/>
      <c r="H1612" s="12" cm="1">
        <f t="array" ref="H1612">_xlfn.IFS(I1612&lt;197,I1612*1.26,I1612&gt;197,I1612*1.17) + IF(I1612&gt;1000,17,0)</f>
        <v>5156.9737999999988</v>
      </c>
      <c r="I1612" s="10">
        <f>($K$2+0.02)*Tabla1[[#This Row],[PRECIO $]]*1.18</f>
        <v>4393.1399999999994</v>
      </c>
      <c r="J1612" s="7">
        <f>+Tabla1[[#This Row],[PRECIO EN SOLES]]-Tabla1[[#This Row],[PC]]</f>
        <v>763.83379999999943</v>
      </c>
    </row>
    <row r="1613" spans="1:10" x14ac:dyDescent="0.25">
      <c r="A1613" s="3" t="s">
        <v>3297</v>
      </c>
      <c r="B1613" s="3" t="s">
        <v>3298</v>
      </c>
      <c r="C1613" s="1">
        <v>20</v>
      </c>
      <c r="D1613" s="1">
        <v>400</v>
      </c>
      <c r="E1613" s="1" t="s">
        <v>54</v>
      </c>
      <c r="F1613" s="1" t="s">
        <v>5335</v>
      </c>
      <c r="G1613" s="3"/>
      <c r="H1613" s="12" cm="1">
        <f t="array" ref="H1613">_xlfn.IFS(I1613&lt;197,I1613*1.26,I1613&gt;197,I1613*1.17) + IF(I1613&gt;1000,17,0)</f>
        <v>1894.6159999999998</v>
      </c>
      <c r="I1613" s="10">
        <f>($K$2+0.02)*Tabla1[[#This Row],[PRECIO $]]*1.18</f>
        <v>1604.8</v>
      </c>
      <c r="J1613" s="7">
        <f>+Tabla1[[#This Row],[PRECIO EN SOLES]]-Tabla1[[#This Row],[PC]]</f>
        <v>289.8159999999998</v>
      </c>
    </row>
    <row r="1614" spans="1:10" x14ac:dyDescent="0.25">
      <c r="A1614" s="3" t="s">
        <v>3299</v>
      </c>
      <c r="B1614" s="3" t="s">
        <v>3300</v>
      </c>
      <c r="C1614" s="1">
        <v>1</v>
      </c>
      <c r="D1614" s="1">
        <v>200</v>
      </c>
      <c r="E1614" s="1" t="s">
        <v>57</v>
      </c>
      <c r="F1614" s="1" t="s">
        <v>5336</v>
      </c>
      <c r="G1614" s="3"/>
      <c r="H1614" s="12" cm="1">
        <f t="array" ref="H1614">_xlfn.IFS(I1614&lt;197,I1614*1.26,I1614&gt;197,I1614*1.17) + IF(I1614&gt;1000,17,0)</f>
        <v>938.80799999999988</v>
      </c>
      <c r="I1614" s="10">
        <f>($K$2+0.02)*Tabla1[[#This Row],[PRECIO $]]*1.18</f>
        <v>802.4</v>
      </c>
      <c r="J1614" s="7">
        <f>+Tabla1[[#This Row],[PRECIO EN SOLES]]-Tabla1[[#This Row],[PC]]</f>
        <v>136.4079999999999</v>
      </c>
    </row>
    <row r="1615" spans="1:10" x14ac:dyDescent="0.25">
      <c r="A1615" s="3" t="s">
        <v>3301</v>
      </c>
      <c r="B1615" s="3" t="s">
        <v>3302</v>
      </c>
      <c r="C1615" s="1">
        <v>17</v>
      </c>
      <c r="D1615" s="1">
        <v>2.5</v>
      </c>
      <c r="E1615" s="1" t="s">
        <v>54</v>
      </c>
      <c r="F1615" s="1" t="s">
        <v>5337</v>
      </c>
      <c r="G1615" s="3" t="s">
        <v>3303</v>
      </c>
      <c r="H1615" s="12" cm="1">
        <f t="array" ref="H1615">_xlfn.IFS(I1615&lt;197,I1615*1.26,I1615&gt;197,I1615*1.17) + IF(I1615&gt;1000,17,0)</f>
        <v>12.637799999999999</v>
      </c>
      <c r="I1615" s="10">
        <f>($K$2+0.02)*Tabla1[[#This Row],[PRECIO $]]*1.18</f>
        <v>10.029999999999999</v>
      </c>
      <c r="J1615" s="7">
        <f>+Tabla1[[#This Row],[PRECIO EN SOLES]]-Tabla1[[#This Row],[PC]]</f>
        <v>2.6077999999999992</v>
      </c>
    </row>
    <row r="1616" spans="1:10" x14ac:dyDescent="0.25">
      <c r="A1616" s="3" t="s">
        <v>3304</v>
      </c>
      <c r="B1616" s="3" t="s">
        <v>3305</v>
      </c>
      <c r="C1616" s="1">
        <v>1</v>
      </c>
      <c r="D1616" s="1">
        <v>3</v>
      </c>
      <c r="E1616" s="1" t="s">
        <v>54</v>
      </c>
      <c r="F1616" s="1" t="s">
        <v>5338</v>
      </c>
      <c r="G1616" s="3" t="s">
        <v>3306</v>
      </c>
      <c r="H1616" s="12" cm="1">
        <f t="array" ref="H1616">_xlfn.IFS(I1616&lt;197,I1616*1.26,I1616&gt;197,I1616*1.17) + IF(I1616&gt;1000,17,0)</f>
        <v>15.165359999999998</v>
      </c>
      <c r="I1616" s="10">
        <f>($K$2+0.02)*Tabla1[[#This Row],[PRECIO $]]*1.18</f>
        <v>12.035999999999998</v>
      </c>
      <c r="J1616" s="7">
        <f>+Tabla1[[#This Row],[PRECIO EN SOLES]]-Tabla1[[#This Row],[PC]]</f>
        <v>3.1293600000000001</v>
      </c>
    </row>
    <row r="1617" spans="1:10" x14ac:dyDescent="0.25">
      <c r="A1617" s="3" t="s">
        <v>3307</v>
      </c>
      <c r="B1617" s="3" t="s">
        <v>3308</v>
      </c>
      <c r="C1617" s="1">
        <v>20</v>
      </c>
      <c r="D1617" s="1">
        <v>100</v>
      </c>
      <c r="E1617" s="1" t="s">
        <v>54</v>
      </c>
      <c r="F1617" s="1" t="s">
        <v>5339</v>
      </c>
      <c r="G1617" s="3" t="s">
        <v>3309</v>
      </c>
      <c r="H1617" s="12" cm="1">
        <f t="array" ref="H1617">_xlfn.IFS(I1617&lt;197,I1617*1.26,I1617&gt;197,I1617*1.17) + IF(I1617&gt;1000,17,0)</f>
        <v>469.40399999999994</v>
      </c>
      <c r="I1617" s="10">
        <f>($K$2+0.02)*Tabla1[[#This Row],[PRECIO $]]*1.18</f>
        <v>401.2</v>
      </c>
      <c r="J1617" s="7">
        <f>+Tabla1[[#This Row],[PRECIO EN SOLES]]-Tabla1[[#This Row],[PC]]</f>
        <v>68.203999999999951</v>
      </c>
    </row>
    <row r="1618" spans="1:10" x14ac:dyDescent="0.25">
      <c r="A1618" s="3" t="s">
        <v>3898</v>
      </c>
      <c r="B1618" s="3" t="s">
        <v>3899</v>
      </c>
      <c r="C1618" s="1">
        <v>20</v>
      </c>
      <c r="D1618" s="1">
        <v>8</v>
      </c>
      <c r="E1618" s="1" t="s">
        <v>54</v>
      </c>
      <c r="F1618" s="1" t="s">
        <v>5340</v>
      </c>
      <c r="G1618" s="3"/>
      <c r="H1618" s="12" cm="1">
        <f t="array" ref="H1618">_xlfn.IFS(I1618&lt;197,I1618*1.26,I1618&gt;197,I1618*1.17) + IF(I1618&gt;1000,17,0)</f>
        <v>40.440959999999997</v>
      </c>
      <c r="I1618" s="10">
        <f>($K$2+0.02)*Tabla1[[#This Row],[PRECIO $]]*1.18</f>
        <v>32.095999999999997</v>
      </c>
      <c r="J1618" s="7">
        <f>+Tabla1[[#This Row],[PRECIO EN SOLES]]-Tabla1[[#This Row],[PC]]</f>
        <v>8.3449600000000004</v>
      </c>
    </row>
    <row r="1619" spans="1:10" x14ac:dyDescent="0.25">
      <c r="A1619" s="3" t="s">
        <v>3310</v>
      </c>
      <c r="B1619" s="3" t="s">
        <v>3311</v>
      </c>
      <c r="C1619" s="1">
        <v>1</v>
      </c>
      <c r="D1619" s="1">
        <v>50</v>
      </c>
      <c r="E1619" s="1" t="s">
        <v>1003</v>
      </c>
      <c r="F1619" s="1" t="s">
        <v>5341</v>
      </c>
      <c r="G1619" s="3" t="s">
        <v>3312</v>
      </c>
      <c r="H1619" s="12" cm="1">
        <f t="array" ref="H1619">_xlfn.IFS(I1619&lt;197,I1619*1.26,I1619&gt;197,I1619*1.17) + IF(I1619&gt;1000,17,0)</f>
        <v>234.70199999999997</v>
      </c>
      <c r="I1619" s="10">
        <f>($K$2+0.02)*Tabla1[[#This Row],[PRECIO $]]*1.18</f>
        <v>200.6</v>
      </c>
      <c r="J1619" s="7">
        <f>+Tabla1[[#This Row],[PRECIO EN SOLES]]-Tabla1[[#This Row],[PC]]</f>
        <v>34.101999999999975</v>
      </c>
    </row>
    <row r="1620" spans="1:10" x14ac:dyDescent="0.25">
      <c r="A1620" s="3" t="s">
        <v>3313</v>
      </c>
      <c r="B1620" s="3" t="s">
        <v>3314</v>
      </c>
      <c r="C1620" s="1">
        <v>0</v>
      </c>
      <c r="D1620" s="1">
        <v>40</v>
      </c>
      <c r="E1620" s="1" t="s">
        <v>1003</v>
      </c>
      <c r="F1620" s="1" t="s">
        <v>5342</v>
      </c>
      <c r="G1620" s="3" t="s">
        <v>3315</v>
      </c>
      <c r="H1620" s="12" cm="1">
        <f t="array" ref="H1620">_xlfn.IFS(I1620&lt;197,I1620*1.26,I1620&gt;197,I1620*1.17) + IF(I1620&gt;1000,17,0)</f>
        <v>202.20479999999998</v>
      </c>
      <c r="I1620" s="10">
        <f>($K$2+0.02)*Tabla1[[#This Row],[PRECIO $]]*1.18</f>
        <v>160.47999999999999</v>
      </c>
      <c r="J1620" s="7">
        <f>+Tabla1[[#This Row],[PRECIO EN SOLES]]-Tabla1[[#This Row],[PC]]</f>
        <v>41.724799999999988</v>
      </c>
    </row>
    <row r="1621" spans="1:10" x14ac:dyDescent="0.25">
      <c r="A1621" s="3" t="s">
        <v>3316</v>
      </c>
      <c r="B1621" s="3" t="s">
        <v>3317</v>
      </c>
      <c r="C1621" s="1">
        <v>12</v>
      </c>
      <c r="D1621" s="1">
        <v>7</v>
      </c>
      <c r="E1621" s="1" t="s">
        <v>54</v>
      </c>
      <c r="F1621" s="1" t="s">
        <v>5343</v>
      </c>
      <c r="G1621" s="3" t="s">
        <v>3318</v>
      </c>
      <c r="H1621" s="12" cm="1">
        <f t="array" ref="H1621">_xlfn.IFS(I1621&lt;197,I1621*1.26,I1621&gt;197,I1621*1.17) + IF(I1621&gt;1000,17,0)</f>
        <v>35.385840000000002</v>
      </c>
      <c r="I1621" s="10">
        <f>($K$2+0.02)*Tabla1[[#This Row],[PRECIO $]]*1.18</f>
        <v>28.084</v>
      </c>
      <c r="J1621" s="7">
        <f>+Tabla1[[#This Row],[PRECIO EN SOLES]]-Tabla1[[#This Row],[PC]]</f>
        <v>7.3018400000000021</v>
      </c>
    </row>
    <row r="1622" spans="1:10" x14ac:dyDescent="0.25">
      <c r="A1622" s="3" t="s">
        <v>3900</v>
      </c>
      <c r="B1622" s="3" t="s">
        <v>3901</v>
      </c>
      <c r="C1622" s="1">
        <v>20</v>
      </c>
      <c r="D1622" s="1">
        <v>39</v>
      </c>
      <c r="E1622" s="1" t="s">
        <v>1003</v>
      </c>
      <c r="F1622" s="1" t="s">
        <v>5344</v>
      </c>
      <c r="G1622" s="3" t="s">
        <v>3902</v>
      </c>
      <c r="H1622" s="12" cm="1">
        <f t="array" ref="H1622">_xlfn.IFS(I1622&lt;197,I1622*1.26,I1622&gt;197,I1622*1.17) + IF(I1622&gt;1000,17,0)</f>
        <v>197.14967999999999</v>
      </c>
      <c r="I1622" s="10">
        <f>($K$2+0.02)*Tabla1[[#This Row],[PRECIO $]]*1.18</f>
        <v>156.46799999999999</v>
      </c>
      <c r="J1622" s="7">
        <f>+Tabla1[[#This Row],[PRECIO EN SOLES]]-Tabla1[[#This Row],[PC]]</f>
        <v>40.68168</v>
      </c>
    </row>
    <row r="1623" spans="1:10" x14ac:dyDescent="0.25">
      <c r="A1623" s="3" t="s">
        <v>3319</v>
      </c>
      <c r="B1623" s="3" t="s">
        <v>3320</v>
      </c>
      <c r="C1623" s="1">
        <v>3</v>
      </c>
      <c r="D1623" s="1">
        <v>18.399999999999999</v>
      </c>
      <c r="E1623" s="1" t="s">
        <v>54</v>
      </c>
      <c r="F1623" s="1" t="s">
        <v>5345</v>
      </c>
      <c r="G1623" s="3" t="s">
        <v>3321</v>
      </c>
      <c r="H1623" s="12" cm="1">
        <f t="array" ref="H1623">_xlfn.IFS(I1623&lt;197,I1623*1.26,I1623&gt;197,I1623*1.17) + IF(I1623&gt;1000,17,0)</f>
        <v>93.014207999999996</v>
      </c>
      <c r="I1623" s="10">
        <f>($K$2+0.02)*Tabla1[[#This Row],[PRECIO $]]*1.18</f>
        <v>73.820799999999991</v>
      </c>
      <c r="J1623" s="7">
        <f>+Tabla1[[#This Row],[PRECIO EN SOLES]]-Tabla1[[#This Row],[PC]]</f>
        <v>19.193408000000005</v>
      </c>
    </row>
    <row r="1624" spans="1:10" x14ac:dyDescent="0.25">
      <c r="A1624" s="3" t="s">
        <v>3322</v>
      </c>
      <c r="B1624" s="3" t="s">
        <v>3323</v>
      </c>
      <c r="C1624" s="1">
        <v>10</v>
      </c>
      <c r="D1624" s="1">
        <v>6.4</v>
      </c>
      <c r="E1624" s="1" t="s">
        <v>54</v>
      </c>
      <c r="F1624" s="1" t="s">
        <v>5346</v>
      </c>
      <c r="G1624" s="3" t="s">
        <v>3324</v>
      </c>
      <c r="H1624" s="12" cm="1">
        <f t="array" ref="H1624">_xlfn.IFS(I1624&lt;197,I1624*1.26,I1624&gt;197,I1624*1.17) + IF(I1624&gt;1000,17,0)</f>
        <v>32.352767999999998</v>
      </c>
      <c r="I1624" s="10">
        <f>($K$2+0.02)*Tabla1[[#This Row],[PRECIO $]]*1.18</f>
        <v>25.6768</v>
      </c>
      <c r="J1624" s="7">
        <f>+Tabla1[[#This Row],[PRECIO EN SOLES]]-Tabla1[[#This Row],[PC]]</f>
        <v>6.6759679999999975</v>
      </c>
    </row>
    <row r="1625" spans="1:10" x14ac:dyDescent="0.25">
      <c r="A1625" s="3" t="s">
        <v>3325</v>
      </c>
      <c r="B1625" s="3" t="s">
        <v>3326</v>
      </c>
      <c r="C1625" s="1">
        <v>1</v>
      </c>
      <c r="D1625" s="1">
        <v>2.54</v>
      </c>
      <c r="E1625" s="1" t="s">
        <v>54</v>
      </c>
      <c r="F1625" s="1" t="s">
        <v>5347</v>
      </c>
      <c r="G1625" s="3" t="s">
        <v>3327</v>
      </c>
      <c r="H1625" s="12" cm="1">
        <f t="array" ref="H1625">_xlfn.IFS(I1625&lt;197,I1625*1.26,I1625&gt;197,I1625*1.17) + IF(I1625&gt;1000,17,0)</f>
        <v>12.840004799999999</v>
      </c>
      <c r="I1625" s="10">
        <f>($K$2+0.02)*Tabla1[[#This Row],[PRECIO $]]*1.18</f>
        <v>10.190479999999999</v>
      </c>
      <c r="J1625" s="7">
        <f>+Tabla1[[#This Row],[PRECIO EN SOLES]]-Tabla1[[#This Row],[PC]]</f>
        <v>2.6495248</v>
      </c>
    </row>
    <row r="1626" spans="1:10" x14ac:dyDescent="0.25">
      <c r="A1626" s="3" t="s">
        <v>3328</v>
      </c>
      <c r="B1626" s="3" t="s">
        <v>3329</v>
      </c>
      <c r="C1626" s="1">
        <v>20</v>
      </c>
      <c r="D1626" s="1">
        <v>15</v>
      </c>
      <c r="E1626" s="1" t="s">
        <v>1003</v>
      </c>
      <c r="F1626" s="1" t="s">
        <v>5348</v>
      </c>
      <c r="G1626" s="3" t="s">
        <v>3330</v>
      </c>
      <c r="H1626" s="12" cm="1">
        <f t="array" ref="H1626">_xlfn.IFS(I1626&lt;197,I1626*1.26,I1626&gt;197,I1626*1.17) + IF(I1626&gt;1000,17,0)</f>
        <v>75.826800000000006</v>
      </c>
      <c r="I1626" s="10">
        <f>($K$2+0.02)*Tabla1[[#This Row],[PRECIO $]]*1.18</f>
        <v>60.18</v>
      </c>
      <c r="J1626" s="7">
        <f>+Tabla1[[#This Row],[PRECIO EN SOLES]]-Tabla1[[#This Row],[PC]]</f>
        <v>15.646800000000006</v>
      </c>
    </row>
    <row r="1627" spans="1:10" x14ac:dyDescent="0.25">
      <c r="A1627" s="3" t="s">
        <v>6064</v>
      </c>
      <c r="B1627" s="3" t="s">
        <v>6065</v>
      </c>
      <c r="C1627" s="1">
        <v>20</v>
      </c>
      <c r="D1627" s="1">
        <v>10</v>
      </c>
      <c r="E1627" s="1" t="s">
        <v>1003</v>
      </c>
      <c r="F1627" s="1" t="s">
        <v>6066</v>
      </c>
      <c r="G1627" s="3" t="s">
        <v>6067</v>
      </c>
      <c r="H1627" s="12" cm="1">
        <f t="array" ref="H1627">_xlfn.IFS(I1627&lt;197,I1627*1.26,I1627&gt;197,I1627*1.17) + IF(I1627&gt;1000,17,0)</f>
        <v>50.551199999999994</v>
      </c>
      <c r="I1627" s="10">
        <f>($K$2+0.02)*Tabla1[[#This Row],[PRECIO $]]*1.18</f>
        <v>40.119999999999997</v>
      </c>
      <c r="J1627" s="7">
        <f>+Tabla1[[#This Row],[PRECIO EN SOLES]]-Tabla1[[#This Row],[PC]]</f>
        <v>10.431199999999997</v>
      </c>
    </row>
    <row r="1628" spans="1:10" x14ac:dyDescent="0.25">
      <c r="A1628" s="3" t="s">
        <v>3331</v>
      </c>
      <c r="B1628" s="3" t="s">
        <v>3332</v>
      </c>
      <c r="C1628" s="1">
        <v>20</v>
      </c>
      <c r="D1628" s="1">
        <v>22</v>
      </c>
      <c r="E1628" s="1" t="s">
        <v>1003</v>
      </c>
      <c r="F1628" s="1" t="s">
        <v>5349</v>
      </c>
      <c r="G1628" s="3" t="s">
        <v>3333</v>
      </c>
      <c r="H1628" s="12" cm="1">
        <f t="array" ref="H1628">_xlfn.IFS(I1628&lt;197,I1628*1.26,I1628&gt;197,I1628*1.17) + IF(I1628&gt;1000,17,0)</f>
        <v>111.21263999999999</v>
      </c>
      <c r="I1628" s="10">
        <f>($K$2+0.02)*Tabla1[[#This Row],[PRECIO $]]*1.18</f>
        <v>88.263999999999996</v>
      </c>
      <c r="J1628" s="7">
        <f>+Tabla1[[#This Row],[PRECIO EN SOLES]]-Tabla1[[#This Row],[PC]]</f>
        <v>22.948639999999997</v>
      </c>
    </row>
    <row r="1629" spans="1:10" x14ac:dyDescent="0.25">
      <c r="A1629" s="3" t="s">
        <v>3334</v>
      </c>
      <c r="B1629" s="3" t="s">
        <v>3335</v>
      </c>
      <c r="C1629" s="1">
        <v>17</v>
      </c>
      <c r="D1629" s="1">
        <v>29</v>
      </c>
      <c r="E1629" s="1" t="s">
        <v>1003</v>
      </c>
      <c r="F1629" s="1" t="s">
        <v>5350</v>
      </c>
      <c r="G1629" s="3" t="s">
        <v>3336</v>
      </c>
      <c r="H1629" s="12" cm="1">
        <f t="array" ref="H1629">_xlfn.IFS(I1629&lt;197,I1629*1.26,I1629&gt;197,I1629*1.17) + IF(I1629&gt;1000,17,0)</f>
        <v>146.59848</v>
      </c>
      <c r="I1629" s="10">
        <f>($K$2+0.02)*Tabla1[[#This Row],[PRECIO $]]*1.18</f>
        <v>116.34799999999998</v>
      </c>
      <c r="J1629" s="7">
        <f>+Tabla1[[#This Row],[PRECIO EN SOLES]]-Tabla1[[#This Row],[PC]]</f>
        <v>30.25048000000001</v>
      </c>
    </row>
    <row r="1630" spans="1:10" x14ac:dyDescent="0.25">
      <c r="A1630" s="3" t="s">
        <v>3337</v>
      </c>
      <c r="B1630" s="3" t="s">
        <v>3338</v>
      </c>
      <c r="C1630" s="1">
        <v>1</v>
      </c>
      <c r="D1630" s="1">
        <v>1</v>
      </c>
      <c r="E1630" s="1" t="s">
        <v>54</v>
      </c>
      <c r="F1630" s="1" t="s">
        <v>5351</v>
      </c>
      <c r="G1630" s="3" t="s">
        <v>3339</v>
      </c>
      <c r="H1630" s="12" cm="1">
        <f t="array" ref="H1630">_xlfn.IFS(I1630&lt;197,I1630*1.26,I1630&gt;197,I1630*1.17) + IF(I1630&gt;1000,17,0)</f>
        <v>5.0551199999999996</v>
      </c>
      <c r="I1630" s="10">
        <f>($K$2+0.02)*Tabla1[[#This Row],[PRECIO $]]*1.18</f>
        <v>4.0119999999999996</v>
      </c>
      <c r="J1630" s="7">
        <f>+Tabla1[[#This Row],[PRECIO EN SOLES]]-Tabla1[[#This Row],[PC]]</f>
        <v>1.04312</v>
      </c>
    </row>
    <row r="1631" spans="1:10" x14ac:dyDescent="0.25">
      <c r="A1631" s="3" t="s">
        <v>3340</v>
      </c>
      <c r="B1631" s="3" t="s">
        <v>3341</v>
      </c>
      <c r="C1631" s="1">
        <v>9</v>
      </c>
      <c r="D1631" s="1">
        <v>73</v>
      </c>
      <c r="E1631" s="1" t="s">
        <v>1002</v>
      </c>
      <c r="F1631" s="1" t="s">
        <v>5352</v>
      </c>
      <c r="G1631" s="3" t="s">
        <v>3575</v>
      </c>
      <c r="H1631" s="12" cm="1">
        <f t="array" ref="H1631">_xlfn.IFS(I1631&lt;197,I1631*1.26,I1631&gt;197,I1631*1.17) + IF(I1631&gt;1000,17,0)</f>
        <v>342.66491999999994</v>
      </c>
      <c r="I1631" s="10">
        <f>($K$2+0.02)*Tabla1[[#This Row],[PRECIO $]]*1.18</f>
        <v>292.87599999999998</v>
      </c>
      <c r="J1631" s="7">
        <f>+Tabla1[[#This Row],[PRECIO EN SOLES]]-Tabla1[[#This Row],[PC]]</f>
        <v>49.788919999999962</v>
      </c>
    </row>
    <row r="1632" spans="1:10" x14ac:dyDescent="0.25">
      <c r="A1632" s="3" t="s">
        <v>3342</v>
      </c>
      <c r="B1632" s="3" t="s">
        <v>3343</v>
      </c>
      <c r="C1632" s="1">
        <v>20</v>
      </c>
      <c r="D1632" s="1">
        <v>39</v>
      </c>
      <c r="E1632" s="1" t="s">
        <v>1002</v>
      </c>
      <c r="F1632" s="1" t="s">
        <v>5353</v>
      </c>
      <c r="G1632" s="3" t="s">
        <v>3344</v>
      </c>
      <c r="H1632" s="12" cm="1">
        <f t="array" ref="H1632">_xlfn.IFS(I1632&lt;197,I1632*1.26,I1632&gt;197,I1632*1.17) + IF(I1632&gt;1000,17,0)</f>
        <v>197.14967999999999</v>
      </c>
      <c r="I1632" s="10">
        <f>($K$2+0.02)*Tabla1[[#This Row],[PRECIO $]]*1.18</f>
        <v>156.46799999999999</v>
      </c>
      <c r="J1632" s="7">
        <f>+Tabla1[[#This Row],[PRECIO EN SOLES]]-Tabla1[[#This Row],[PC]]</f>
        <v>40.68168</v>
      </c>
    </row>
    <row r="1633" spans="1:10" x14ac:dyDescent="0.25">
      <c r="A1633" s="3" t="s">
        <v>672</v>
      </c>
      <c r="B1633" s="3" t="s">
        <v>673</v>
      </c>
      <c r="C1633" s="1">
        <v>20</v>
      </c>
      <c r="D1633" s="1">
        <v>9.6999999999999993</v>
      </c>
      <c r="E1633" s="1" t="s">
        <v>52</v>
      </c>
      <c r="F1633" s="1" t="s">
        <v>5354</v>
      </c>
      <c r="G1633" s="3" t="s">
        <v>674</v>
      </c>
      <c r="H1633" s="12" cm="1">
        <f t="array" ref="H1633">_xlfn.IFS(I1633&lt;197,I1633*1.26,I1633&gt;197,I1633*1.17) + IF(I1633&gt;1000,17,0)</f>
        <v>49.034663999999992</v>
      </c>
      <c r="I1633" s="10">
        <f>($K$2+0.02)*Tabla1[[#This Row],[PRECIO $]]*1.18</f>
        <v>38.916399999999996</v>
      </c>
      <c r="J1633" s="7">
        <f>+Tabla1[[#This Row],[PRECIO EN SOLES]]-Tabla1[[#This Row],[PC]]</f>
        <v>10.118263999999996</v>
      </c>
    </row>
    <row r="1634" spans="1:10" x14ac:dyDescent="0.25">
      <c r="A1634" s="3" t="s">
        <v>3345</v>
      </c>
      <c r="B1634" s="3" t="s">
        <v>3346</v>
      </c>
      <c r="C1634" s="1">
        <v>20</v>
      </c>
      <c r="D1634" s="1">
        <v>8.6999999999999993</v>
      </c>
      <c r="E1634" s="1" t="s">
        <v>52</v>
      </c>
      <c r="F1634" s="1" t="s">
        <v>5355</v>
      </c>
      <c r="G1634" s="3" t="s">
        <v>3347</v>
      </c>
      <c r="H1634" s="12" cm="1">
        <f t="array" ref="H1634">_xlfn.IFS(I1634&lt;197,I1634*1.26,I1634&gt;197,I1634*1.17) + IF(I1634&gt;1000,17,0)</f>
        <v>43.979543999999997</v>
      </c>
      <c r="I1634" s="10">
        <f>($K$2+0.02)*Tabla1[[#This Row],[PRECIO $]]*1.18</f>
        <v>34.904399999999995</v>
      </c>
      <c r="J1634" s="7">
        <f>+Tabla1[[#This Row],[PRECIO EN SOLES]]-Tabla1[[#This Row],[PC]]</f>
        <v>9.0751440000000017</v>
      </c>
    </row>
    <row r="1635" spans="1:10" x14ac:dyDescent="0.25">
      <c r="A1635" s="3" t="s">
        <v>3348</v>
      </c>
      <c r="B1635" s="3" t="s">
        <v>3346</v>
      </c>
      <c r="C1635" s="1">
        <v>20</v>
      </c>
      <c r="D1635" s="1">
        <v>14.3</v>
      </c>
      <c r="E1635" s="1" t="s">
        <v>52</v>
      </c>
      <c r="F1635" s="1" t="s">
        <v>5356</v>
      </c>
      <c r="G1635" s="3" t="s">
        <v>3349</v>
      </c>
      <c r="H1635" s="12" cm="1">
        <f t="array" ref="H1635">_xlfn.IFS(I1635&lt;197,I1635*1.26,I1635&gt;197,I1635*1.17) + IF(I1635&gt;1000,17,0)</f>
        <v>72.288216000000006</v>
      </c>
      <c r="I1635" s="10">
        <f>($K$2+0.02)*Tabla1[[#This Row],[PRECIO $]]*1.18</f>
        <v>57.371600000000001</v>
      </c>
      <c r="J1635" s="7">
        <f>+Tabla1[[#This Row],[PRECIO EN SOLES]]-Tabla1[[#This Row],[PC]]</f>
        <v>14.916616000000005</v>
      </c>
    </row>
    <row r="1636" spans="1:10" x14ac:dyDescent="0.25">
      <c r="A1636" s="3" t="s">
        <v>6457</v>
      </c>
      <c r="B1636" s="3" t="s">
        <v>6458</v>
      </c>
      <c r="C1636" s="1">
        <v>0</v>
      </c>
      <c r="D1636" s="1">
        <v>9999999.9900000002</v>
      </c>
      <c r="E1636" s="1" t="s">
        <v>52</v>
      </c>
      <c r="F1636" s="1" t="s">
        <v>6459</v>
      </c>
      <c r="G1636" s="3"/>
      <c r="H1636" s="12" cm="1">
        <f t="array" ref="H1636">_xlfn.IFS(I1636&lt;197,I1636*1.26,I1636&gt;197,I1636*1.17) + IF(I1636&gt;1000,17,0)</f>
        <v>46940416.953059591</v>
      </c>
      <c r="I1636" s="10">
        <f>($K$2+0.02)*Tabla1[[#This Row],[PRECIO $]]*1.18</f>
        <v>40119999.959879994</v>
      </c>
      <c r="J1636" s="7">
        <f>+Tabla1[[#This Row],[PRECIO EN SOLES]]-Tabla1[[#This Row],[PC]]</f>
        <v>6820416.993179597</v>
      </c>
    </row>
    <row r="1637" spans="1:10" x14ac:dyDescent="0.25">
      <c r="A1637" s="3" t="s">
        <v>675</v>
      </c>
      <c r="B1637" s="3" t="s">
        <v>676</v>
      </c>
      <c r="C1637" s="1">
        <v>20</v>
      </c>
      <c r="D1637" s="1">
        <v>15.5</v>
      </c>
      <c r="E1637" s="1" t="s">
        <v>52</v>
      </c>
      <c r="F1637" s="1" t="s">
        <v>5357</v>
      </c>
      <c r="G1637" s="3" t="s">
        <v>677</v>
      </c>
      <c r="H1637" s="12" cm="1">
        <f t="array" ref="H1637">_xlfn.IFS(I1637&lt;197,I1637*1.26,I1637&gt;197,I1637*1.17) + IF(I1637&gt;1000,17,0)</f>
        <v>78.354359999999986</v>
      </c>
      <c r="I1637" s="10">
        <f>($K$2+0.02)*Tabla1[[#This Row],[PRECIO $]]*1.18</f>
        <v>62.185999999999993</v>
      </c>
      <c r="J1637" s="7">
        <f>+Tabla1[[#This Row],[PRECIO EN SOLES]]-Tabla1[[#This Row],[PC]]</f>
        <v>16.168359999999993</v>
      </c>
    </row>
    <row r="1638" spans="1:10" x14ac:dyDescent="0.25">
      <c r="A1638" s="3" t="s">
        <v>678</v>
      </c>
      <c r="B1638" s="3" t="s">
        <v>679</v>
      </c>
      <c r="C1638" s="1">
        <v>20</v>
      </c>
      <c r="D1638" s="1">
        <v>5.3</v>
      </c>
      <c r="E1638" s="1" t="s">
        <v>52</v>
      </c>
      <c r="F1638" s="1" t="s">
        <v>5358</v>
      </c>
      <c r="G1638" s="3" t="s">
        <v>680</v>
      </c>
      <c r="H1638" s="12" cm="1">
        <f t="array" ref="H1638">_xlfn.IFS(I1638&lt;197,I1638*1.26,I1638&gt;197,I1638*1.17) + IF(I1638&gt;1000,17,0)</f>
        <v>26.792135999999996</v>
      </c>
      <c r="I1638" s="10">
        <f>($K$2+0.02)*Tabla1[[#This Row],[PRECIO $]]*1.18</f>
        <v>21.263599999999997</v>
      </c>
      <c r="J1638" s="7">
        <f>+Tabla1[[#This Row],[PRECIO EN SOLES]]-Tabla1[[#This Row],[PC]]</f>
        <v>5.528535999999999</v>
      </c>
    </row>
    <row r="1639" spans="1:10" x14ac:dyDescent="0.25">
      <c r="A1639" s="3" t="s">
        <v>681</v>
      </c>
      <c r="B1639" s="3" t="s">
        <v>682</v>
      </c>
      <c r="C1639" s="1">
        <v>20</v>
      </c>
      <c r="D1639" s="1">
        <v>15.5</v>
      </c>
      <c r="E1639" s="1" t="s">
        <v>52</v>
      </c>
      <c r="F1639" s="1" t="s">
        <v>5359</v>
      </c>
      <c r="G1639" s="3" t="s">
        <v>683</v>
      </c>
      <c r="H1639" s="12" cm="1">
        <f t="array" ref="H1639">_xlfn.IFS(I1639&lt;197,I1639*1.26,I1639&gt;197,I1639*1.17) + IF(I1639&gt;1000,17,0)</f>
        <v>78.354359999999986</v>
      </c>
      <c r="I1639" s="10">
        <f>($K$2+0.02)*Tabla1[[#This Row],[PRECIO $]]*1.18</f>
        <v>62.185999999999993</v>
      </c>
      <c r="J1639" s="7">
        <f>+Tabla1[[#This Row],[PRECIO EN SOLES]]-Tabla1[[#This Row],[PC]]</f>
        <v>16.168359999999993</v>
      </c>
    </row>
    <row r="1640" spans="1:10" x14ac:dyDescent="0.25">
      <c r="A1640" s="3" t="s">
        <v>3350</v>
      </c>
      <c r="B1640" s="3" t="s">
        <v>3351</v>
      </c>
      <c r="C1640" s="1">
        <v>20</v>
      </c>
      <c r="D1640" s="1">
        <v>17.2</v>
      </c>
      <c r="E1640" s="1" t="s">
        <v>1002</v>
      </c>
      <c r="F1640" s="1" t="s">
        <v>5360</v>
      </c>
      <c r="G1640" s="3" t="s">
        <v>3352</v>
      </c>
      <c r="H1640" s="12" cm="1">
        <f t="array" ref="H1640">_xlfn.IFS(I1640&lt;197,I1640*1.26,I1640&gt;197,I1640*1.17) + IF(I1640&gt;1000,17,0)</f>
        <v>86.948064000000002</v>
      </c>
      <c r="I1640" s="10">
        <f>($K$2+0.02)*Tabla1[[#This Row],[PRECIO $]]*1.18</f>
        <v>69.006399999999999</v>
      </c>
      <c r="J1640" s="7">
        <f>+Tabla1[[#This Row],[PRECIO EN SOLES]]-Tabla1[[#This Row],[PC]]</f>
        <v>17.941664000000003</v>
      </c>
    </row>
    <row r="1641" spans="1:10" x14ac:dyDescent="0.25">
      <c r="A1641" s="3" t="s">
        <v>684</v>
      </c>
      <c r="B1641" s="3" t="s">
        <v>685</v>
      </c>
      <c r="C1641" s="1">
        <v>20</v>
      </c>
      <c r="D1641" s="1">
        <v>6.6</v>
      </c>
      <c r="E1641" s="1" t="s">
        <v>52</v>
      </c>
      <c r="F1641" s="1" t="s">
        <v>5361</v>
      </c>
      <c r="G1641" s="3" t="s">
        <v>686</v>
      </c>
      <c r="H1641" s="12" cm="1">
        <f t="array" ref="H1641">_xlfn.IFS(I1641&lt;197,I1641*1.26,I1641&gt;197,I1641*1.17) + IF(I1641&gt;1000,17,0)</f>
        <v>33.363791999999997</v>
      </c>
      <c r="I1641" s="10">
        <f>($K$2+0.02)*Tabla1[[#This Row],[PRECIO $]]*1.18</f>
        <v>26.479199999999995</v>
      </c>
      <c r="J1641" s="7">
        <f>+Tabla1[[#This Row],[PRECIO EN SOLES]]-Tabla1[[#This Row],[PC]]</f>
        <v>6.8845920000000014</v>
      </c>
    </row>
    <row r="1642" spans="1:10" x14ac:dyDescent="0.25">
      <c r="A1642" s="3" t="s">
        <v>687</v>
      </c>
      <c r="B1642" s="3" t="s">
        <v>688</v>
      </c>
      <c r="C1642" s="1">
        <v>20</v>
      </c>
      <c r="D1642" s="1">
        <v>4.59</v>
      </c>
      <c r="E1642" s="1" t="s">
        <v>52</v>
      </c>
      <c r="F1642" s="1" t="s">
        <v>5362</v>
      </c>
      <c r="G1642" s="3" t="s">
        <v>689</v>
      </c>
      <c r="H1642" s="12" cm="1">
        <f t="array" ref="H1642">_xlfn.IFS(I1642&lt;197,I1642*1.26,I1642&gt;197,I1642*1.17) + IF(I1642&gt;1000,17,0)</f>
        <v>23.203000799999998</v>
      </c>
      <c r="I1642" s="10">
        <f>($K$2+0.02)*Tabla1[[#This Row],[PRECIO $]]*1.18</f>
        <v>18.41508</v>
      </c>
      <c r="J1642" s="7">
        <f>+Tabla1[[#This Row],[PRECIO EN SOLES]]-Tabla1[[#This Row],[PC]]</f>
        <v>4.7879207999999984</v>
      </c>
    </row>
    <row r="1643" spans="1:10" x14ac:dyDescent="0.25">
      <c r="A1643" s="3" t="s">
        <v>6068</v>
      </c>
      <c r="B1643" s="3" t="s">
        <v>6069</v>
      </c>
      <c r="C1643" s="1">
        <v>0</v>
      </c>
      <c r="D1643" s="1">
        <v>14.4</v>
      </c>
      <c r="E1643" s="1" t="s">
        <v>52</v>
      </c>
      <c r="F1643" s="1" t="s">
        <v>6070</v>
      </c>
      <c r="G1643" s="3" t="s">
        <v>6071</v>
      </c>
      <c r="H1643" s="12" cm="1">
        <f t="array" ref="H1643">_xlfn.IFS(I1643&lt;197,I1643*1.26,I1643&gt;197,I1643*1.17) + IF(I1643&gt;1000,17,0)</f>
        <v>72.793728000000002</v>
      </c>
      <c r="I1643" s="10">
        <f>($K$2+0.02)*Tabla1[[#This Row],[PRECIO $]]*1.18</f>
        <v>57.772799999999997</v>
      </c>
      <c r="J1643" s="7">
        <f>+Tabla1[[#This Row],[PRECIO EN SOLES]]-Tabla1[[#This Row],[PC]]</f>
        <v>15.020928000000005</v>
      </c>
    </row>
    <row r="1644" spans="1:10" x14ac:dyDescent="0.25">
      <c r="A1644" s="3" t="s">
        <v>690</v>
      </c>
      <c r="B1644" s="3" t="s">
        <v>691</v>
      </c>
      <c r="C1644" s="1">
        <v>20</v>
      </c>
      <c r="D1644" s="1">
        <v>4.1500000000000004</v>
      </c>
      <c r="E1644" s="1" t="s">
        <v>52</v>
      </c>
      <c r="F1644" s="1" t="s">
        <v>5363</v>
      </c>
      <c r="G1644" s="3" t="s">
        <v>692</v>
      </c>
      <c r="H1644" s="12" cm="1">
        <f t="array" ref="H1644">_xlfn.IFS(I1644&lt;197,I1644*1.26,I1644&gt;197,I1644*1.17) + IF(I1644&gt;1000,17,0)</f>
        <v>20.978748</v>
      </c>
      <c r="I1644" s="10">
        <f>($K$2+0.02)*Tabla1[[#This Row],[PRECIO $]]*1.18</f>
        <v>16.649799999999999</v>
      </c>
      <c r="J1644" s="7">
        <f>+Tabla1[[#This Row],[PRECIO EN SOLES]]-Tabla1[[#This Row],[PC]]</f>
        <v>4.3289480000000005</v>
      </c>
    </row>
    <row r="1645" spans="1:10" x14ac:dyDescent="0.25">
      <c r="A1645" s="3" t="s">
        <v>6460</v>
      </c>
      <c r="B1645" s="3" t="s">
        <v>6461</v>
      </c>
      <c r="C1645" s="1">
        <v>0</v>
      </c>
      <c r="D1645" s="1">
        <v>24.6</v>
      </c>
      <c r="E1645" s="1" t="s">
        <v>101</v>
      </c>
      <c r="F1645" s="1" t="s">
        <v>6462</v>
      </c>
      <c r="G1645" s="3"/>
      <c r="H1645" s="12" cm="1">
        <f t="array" ref="H1645">_xlfn.IFS(I1645&lt;197,I1645*1.26,I1645&gt;197,I1645*1.17) + IF(I1645&gt;1000,17,0)</f>
        <v>124.355952</v>
      </c>
      <c r="I1645" s="10">
        <f>($K$2+0.02)*Tabla1[[#This Row],[PRECIO $]]*1.18</f>
        <v>98.6952</v>
      </c>
      <c r="J1645" s="7">
        <f>+Tabla1[[#This Row],[PRECIO EN SOLES]]-Tabla1[[#This Row],[PC]]</f>
        <v>25.660752000000002</v>
      </c>
    </row>
    <row r="1646" spans="1:10" x14ac:dyDescent="0.25">
      <c r="A1646" s="3" t="s">
        <v>693</v>
      </c>
      <c r="B1646" s="3" t="s">
        <v>694</v>
      </c>
      <c r="C1646" s="1">
        <v>20</v>
      </c>
      <c r="D1646" s="1">
        <v>6.3</v>
      </c>
      <c r="E1646" s="1" t="s">
        <v>52</v>
      </c>
      <c r="F1646" s="1" t="s">
        <v>5364</v>
      </c>
      <c r="G1646" s="3" t="s">
        <v>695</v>
      </c>
      <c r="H1646" s="12" cm="1">
        <f t="array" ref="H1646">_xlfn.IFS(I1646&lt;197,I1646*1.26,I1646&gt;197,I1646*1.17) + IF(I1646&gt;1000,17,0)</f>
        <v>31.847255999999998</v>
      </c>
      <c r="I1646" s="10">
        <f>($K$2+0.02)*Tabla1[[#This Row],[PRECIO $]]*1.18</f>
        <v>25.275599999999997</v>
      </c>
      <c r="J1646" s="7">
        <f>+Tabla1[[#This Row],[PRECIO EN SOLES]]-Tabla1[[#This Row],[PC]]</f>
        <v>6.5716560000000008</v>
      </c>
    </row>
    <row r="1647" spans="1:10" x14ac:dyDescent="0.25">
      <c r="A1647" s="3" t="s">
        <v>696</v>
      </c>
      <c r="B1647" s="3" t="s">
        <v>697</v>
      </c>
      <c r="C1647" s="1">
        <v>20</v>
      </c>
      <c r="D1647" s="1">
        <v>6.5</v>
      </c>
      <c r="E1647" s="1" t="s">
        <v>52</v>
      </c>
      <c r="F1647" s="1" t="s">
        <v>5365</v>
      </c>
      <c r="G1647" s="3" t="s">
        <v>698</v>
      </c>
      <c r="H1647" s="12" cm="1">
        <f t="array" ref="H1647">_xlfn.IFS(I1647&lt;197,I1647*1.26,I1647&gt;197,I1647*1.17) + IF(I1647&gt;1000,17,0)</f>
        <v>32.858279999999993</v>
      </c>
      <c r="I1647" s="10">
        <f>($K$2+0.02)*Tabla1[[#This Row],[PRECIO $]]*1.18</f>
        <v>26.077999999999996</v>
      </c>
      <c r="J1647" s="7">
        <f>+Tabla1[[#This Row],[PRECIO EN SOLES]]-Tabla1[[#This Row],[PC]]</f>
        <v>6.7802799999999976</v>
      </c>
    </row>
    <row r="1648" spans="1:10" x14ac:dyDescent="0.25">
      <c r="A1648" s="3" t="s">
        <v>3353</v>
      </c>
      <c r="B1648" s="3" t="s">
        <v>3354</v>
      </c>
      <c r="C1648" s="1">
        <v>0</v>
      </c>
      <c r="D1648" s="1">
        <v>9999999.9900000002</v>
      </c>
      <c r="E1648" s="1" t="s">
        <v>214</v>
      </c>
      <c r="F1648" s="1" t="s">
        <v>5366</v>
      </c>
      <c r="G1648" s="3"/>
      <c r="H1648" s="12" cm="1">
        <f t="array" ref="H1648">_xlfn.IFS(I1648&lt;197,I1648*1.26,I1648&gt;197,I1648*1.17) + IF(I1648&gt;1000,17,0)</f>
        <v>46940416.953059591</v>
      </c>
      <c r="I1648" s="10">
        <f>($K$2+0.02)*Tabla1[[#This Row],[PRECIO $]]*1.18</f>
        <v>40119999.959879994</v>
      </c>
      <c r="J1648" s="7">
        <f>+Tabla1[[#This Row],[PRECIO EN SOLES]]-Tabla1[[#This Row],[PC]]</f>
        <v>6820416.993179597</v>
      </c>
    </row>
    <row r="1649" spans="1:10" x14ac:dyDescent="0.25">
      <c r="A1649" s="3" t="s">
        <v>699</v>
      </c>
      <c r="B1649" s="3" t="s">
        <v>700</v>
      </c>
      <c r="C1649" s="1">
        <v>20</v>
      </c>
      <c r="D1649" s="1">
        <v>8</v>
      </c>
      <c r="E1649" s="1" t="s">
        <v>52</v>
      </c>
      <c r="F1649" s="1" t="s">
        <v>5367</v>
      </c>
      <c r="G1649" s="3" t="s">
        <v>701</v>
      </c>
      <c r="H1649" s="12" cm="1">
        <f t="array" ref="H1649">_xlfn.IFS(I1649&lt;197,I1649*1.26,I1649&gt;197,I1649*1.17) + IF(I1649&gt;1000,17,0)</f>
        <v>40.440959999999997</v>
      </c>
      <c r="I1649" s="10">
        <f>($K$2+0.02)*Tabla1[[#This Row],[PRECIO $]]*1.18</f>
        <v>32.095999999999997</v>
      </c>
      <c r="J1649" s="7">
        <f>+Tabla1[[#This Row],[PRECIO EN SOLES]]-Tabla1[[#This Row],[PC]]</f>
        <v>8.3449600000000004</v>
      </c>
    </row>
    <row r="1650" spans="1:10" x14ac:dyDescent="0.25">
      <c r="A1650" s="3" t="s">
        <v>3355</v>
      </c>
      <c r="B1650" s="3" t="s">
        <v>3356</v>
      </c>
      <c r="C1650" s="1">
        <v>20</v>
      </c>
      <c r="D1650" s="1">
        <v>19.3</v>
      </c>
      <c r="E1650" s="1" t="s">
        <v>52</v>
      </c>
      <c r="F1650" s="1" t="s">
        <v>5368</v>
      </c>
      <c r="G1650" s="3" t="s">
        <v>3357</v>
      </c>
      <c r="H1650" s="12" cm="1">
        <f t="array" ref="H1650">_xlfn.IFS(I1650&lt;197,I1650*1.26,I1650&gt;197,I1650*1.17) + IF(I1650&gt;1000,17,0)</f>
        <v>97.563816000000003</v>
      </c>
      <c r="I1650" s="10">
        <f>($K$2+0.02)*Tabla1[[#This Row],[PRECIO $]]*1.18</f>
        <v>77.431600000000003</v>
      </c>
      <c r="J1650" s="7">
        <f>+Tabla1[[#This Row],[PRECIO EN SOLES]]-Tabla1[[#This Row],[PC]]</f>
        <v>20.132216</v>
      </c>
    </row>
    <row r="1651" spans="1:10" x14ac:dyDescent="0.25">
      <c r="A1651" s="3" t="s">
        <v>3358</v>
      </c>
      <c r="B1651" s="3" t="s">
        <v>3359</v>
      </c>
      <c r="C1651" s="1">
        <v>1</v>
      </c>
      <c r="D1651" s="1">
        <v>145</v>
      </c>
      <c r="E1651" s="1" t="s">
        <v>57</v>
      </c>
      <c r="F1651" s="1" t="s">
        <v>5369</v>
      </c>
      <c r="G1651" s="3"/>
      <c r="H1651" s="12" cm="1">
        <f t="array" ref="H1651">_xlfn.IFS(I1651&lt;197,I1651*1.26,I1651&gt;197,I1651*1.17) + IF(I1651&gt;1000,17,0)</f>
        <v>680.63580000000002</v>
      </c>
      <c r="I1651" s="10">
        <f>($K$2+0.02)*Tabla1[[#This Row],[PRECIO $]]*1.18</f>
        <v>581.74</v>
      </c>
      <c r="J1651" s="7">
        <f>+Tabla1[[#This Row],[PRECIO EN SOLES]]-Tabla1[[#This Row],[PC]]</f>
        <v>98.895800000000008</v>
      </c>
    </row>
    <row r="1652" spans="1:10" x14ac:dyDescent="0.25">
      <c r="A1652" s="3" t="s">
        <v>3903</v>
      </c>
      <c r="B1652" s="3" t="s">
        <v>3904</v>
      </c>
      <c r="C1652" s="1">
        <v>12</v>
      </c>
      <c r="D1652" s="1">
        <v>66.400000000000006</v>
      </c>
      <c r="E1652" s="1" t="s">
        <v>254</v>
      </c>
      <c r="F1652" s="1" t="s">
        <v>5370</v>
      </c>
      <c r="G1652" s="3" t="s">
        <v>3905</v>
      </c>
      <c r="H1652" s="12" cm="1">
        <f t="array" ref="H1652">_xlfn.IFS(I1652&lt;197,I1652*1.26,I1652&gt;197,I1652*1.17) + IF(I1652&gt;1000,17,0)</f>
        <v>311.68425599999995</v>
      </c>
      <c r="I1652" s="10">
        <f>($K$2+0.02)*Tabla1[[#This Row],[PRECIO $]]*1.18</f>
        <v>266.39679999999998</v>
      </c>
      <c r="J1652" s="7">
        <f>+Tabla1[[#This Row],[PRECIO EN SOLES]]-Tabla1[[#This Row],[PC]]</f>
        <v>45.287455999999963</v>
      </c>
    </row>
    <row r="1653" spans="1:10" x14ac:dyDescent="0.25">
      <c r="A1653" s="3" t="s">
        <v>3906</v>
      </c>
      <c r="B1653" s="3" t="s">
        <v>3907</v>
      </c>
      <c r="C1653" s="1">
        <v>20</v>
      </c>
      <c r="D1653" s="1">
        <v>120.7</v>
      </c>
      <c r="E1653" s="1" t="s">
        <v>250</v>
      </c>
      <c r="F1653" s="1" t="s">
        <v>5371</v>
      </c>
      <c r="G1653" s="3" t="s">
        <v>3908</v>
      </c>
      <c r="H1653" s="12" cm="1">
        <f t="array" ref="H1653">_xlfn.IFS(I1653&lt;197,I1653*1.26,I1653&gt;197,I1653*1.17) + IF(I1653&gt;1000,17,0)</f>
        <v>566.57062799999994</v>
      </c>
      <c r="I1653" s="10">
        <f>($K$2+0.02)*Tabla1[[#This Row],[PRECIO $]]*1.18</f>
        <v>484.24839999999995</v>
      </c>
      <c r="J1653" s="7">
        <f>+Tabla1[[#This Row],[PRECIO EN SOLES]]-Tabla1[[#This Row],[PC]]</f>
        <v>82.322227999999996</v>
      </c>
    </row>
    <row r="1654" spans="1:10" x14ac:dyDescent="0.25">
      <c r="A1654" s="3" t="s">
        <v>3360</v>
      </c>
      <c r="B1654" s="3" t="s">
        <v>3361</v>
      </c>
      <c r="C1654" s="1">
        <v>1</v>
      </c>
      <c r="D1654" s="1">
        <v>154.80000000000001</v>
      </c>
      <c r="E1654" s="1" t="s">
        <v>250</v>
      </c>
      <c r="F1654" s="1" t="s">
        <v>5372</v>
      </c>
      <c r="G1654" s="3" t="s">
        <v>3362</v>
      </c>
      <c r="H1654" s="12" cm="1">
        <f t="array" ref="H1654">_xlfn.IFS(I1654&lt;197,I1654*1.26,I1654&gt;197,I1654*1.17) + IF(I1654&gt;1000,17,0)</f>
        <v>726.63739199999998</v>
      </c>
      <c r="I1654" s="10">
        <f>($K$2+0.02)*Tabla1[[#This Row],[PRECIO $]]*1.18</f>
        <v>621.05759999999998</v>
      </c>
      <c r="J1654" s="7">
        <f>+Tabla1[[#This Row],[PRECIO EN SOLES]]-Tabla1[[#This Row],[PC]]</f>
        <v>105.579792</v>
      </c>
    </row>
    <row r="1655" spans="1:10" x14ac:dyDescent="0.25">
      <c r="A1655" s="3" t="s">
        <v>702</v>
      </c>
      <c r="B1655" s="3" t="s">
        <v>703</v>
      </c>
      <c r="C1655" s="1">
        <v>20</v>
      </c>
      <c r="D1655" s="1">
        <v>63</v>
      </c>
      <c r="E1655" s="1" t="s">
        <v>250</v>
      </c>
      <c r="F1655" s="1" t="s">
        <v>5373</v>
      </c>
      <c r="G1655" s="3" t="s">
        <v>704</v>
      </c>
      <c r="H1655" s="12" cm="1">
        <f t="array" ref="H1655">_xlfn.IFS(I1655&lt;197,I1655*1.26,I1655&gt;197,I1655*1.17) + IF(I1655&gt;1000,17,0)</f>
        <v>295.72451999999993</v>
      </c>
      <c r="I1655" s="10">
        <f>($K$2+0.02)*Tabla1[[#This Row],[PRECIO $]]*1.18</f>
        <v>252.75599999999997</v>
      </c>
      <c r="J1655" s="7">
        <f>+Tabla1[[#This Row],[PRECIO EN SOLES]]-Tabla1[[#This Row],[PC]]</f>
        <v>42.968519999999955</v>
      </c>
    </row>
    <row r="1656" spans="1:10" x14ac:dyDescent="0.25">
      <c r="A1656" s="3" t="s">
        <v>3576</v>
      </c>
      <c r="B1656" s="3" t="s">
        <v>3380</v>
      </c>
      <c r="C1656" s="1">
        <v>20</v>
      </c>
      <c r="D1656" s="1">
        <v>80</v>
      </c>
      <c r="E1656" s="1" t="s">
        <v>250</v>
      </c>
      <c r="F1656" s="1" t="s">
        <v>5374</v>
      </c>
      <c r="G1656" s="3" t="s">
        <v>3577</v>
      </c>
      <c r="H1656" s="12" cm="1">
        <f t="array" ref="H1656">_xlfn.IFS(I1656&lt;197,I1656*1.26,I1656&gt;197,I1656*1.17) + IF(I1656&gt;1000,17,0)</f>
        <v>375.52319999999997</v>
      </c>
      <c r="I1656" s="10">
        <f>($K$2+0.02)*Tabla1[[#This Row],[PRECIO $]]*1.18</f>
        <v>320.95999999999998</v>
      </c>
      <c r="J1656" s="7">
        <f>+Tabla1[[#This Row],[PRECIO EN SOLES]]-Tabla1[[#This Row],[PC]]</f>
        <v>54.563199999999995</v>
      </c>
    </row>
    <row r="1657" spans="1:10" x14ac:dyDescent="0.25">
      <c r="A1657" s="3" t="s">
        <v>3363</v>
      </c>
      <c r="B1657" s="3" t="s">
        <v>3364</v>
      </c>
      <c r="C1657" s="1">
        <v>9</v>
      </c>
      <c r="D1657" s="1">
        <v>49</v>
      </c>
      <c r="E1657" s="1" t="s">
        <v>254</v>
      </c>
      <c r="F1657" s="1" t="s">
        <v>5375</v>
      </c>
      <c r="G1657" s="3" t="s">
        <v>3365</v>
      </c>
      <c r="H1657" s="12" cm="1">
        <f t="array" ref="H1657">_xlfn.IFS(I1657&lt;197,I1657*1.26,I1657&gt;197,I1657*1.17) + IF(I1657&gt;1000,17,0)</f>
        <v>247.70087999999998</v>
      </c>
      <c r="I1657" s="10">
        <f>($K$2+0.02)*Tabla1[[#This Row],[PRECIO $]]*1.18</f>
        <v>196.58799999999999</v>
      </c>
      <c r="J1657" s="7">
        <f>+Tabla1[[#This Row],[PRECIO EN SOLES]]-Tabla1[[#This Row],[PC]]</f>
        <v>51.11287999999999</v>
      </c>
    </row>
    <row r="1658" spans="1:10" x14ac:dyDescent="0.25">
      <c r="A1658" s="3" t="s">
        <v>3366</v>
      </c>
      <c r="B1658" s="3" t="s">
        <v>3367</v>
      </c>
      <c r="C1658" s="1">
        <v>20</v>
      </c>
      <c r="D1658" s="1">
        <v>57</v>
      </c>
      <c r="E1658" s="1" t="s">
        <v>250</v>
      </c>
      <c r="F1658" s="1" t="s">
        <v>5376</v>
      </c>
      <c r="G1658" s="11" t="s">
        <v>3368</v>
      </c>
      <c r="H1658" s="13" cm="1">
        <f t="array" ref="H1658">_xlfn.IFS(I1658&lt;197,I1658*1.26,I1658&gt;197,I1658*1.17) + IF(I1658&gt;1000,17,0)</f>
        <v>267.56027999999992</v>
      </c>
      <c r="I1658" s="10">
        <f>($K$2+0.02)*Tabla1[[#This Row],[PRECIO $]]*1.18</f>
        <v>228.68399999999997</v>
      </c>
      <c r="J1658" s="7">
        <f>+Tabla1[[#This Row],[PRECIO EN SOLES]]-Tabla1[[#This Row],[PC]]</f>
        <v>38.876279999999952</v>
      </c>
    </row>
    <row r="1659" spans="1:10" x14ac:dyDescent="0.25">
      <c r="A1659" s="3" t="s">
        <v>3909</v>
      </c>
      <c r="B1659" s="3" t="s">
        <v>3910</v>
      </c>
      <c r="C1659" s="1">
        <v>20</v>
      </c>
      <c r="D1659" s="1">
        <v>58</v>
      </c>
      <c r="E1659" s="1" t="s">
        <v>254</v>
      </c>
      <c r="F1659" s="1" t="s">
        <v>5377</v>
      </c>
      <c r="G1659" s="3" t="s">
        <v>3911</v>
      </c>
      <c r="H1659" s="12" cm="1">
        <f t="array" ref="H1659">_xlfn.IFS(I1659&lt;197,I1659*1.26,I1659&gt;197,I1659*1.17) + IF(I1659&gt;1000,17,0)</f>
        <v>272.25431999999995</v>
      </c>
      <c r="I1659" s="10">
        <f>($K$2+0.02)*Tabla1[[#This Row],[PRECIO $]]*1.18</f>
        <v>232.69599999999997</v>
      </c>
      <c r="J1659" s="7">
        <f>+Tabla1[[#This Row],[PRECIO EN SOLES]]-Tabla1[[#This Row],[PC]]</f>
        <v>39.558319999999981</v>
      </c>
    </row>
    <row r="1660" spans="1:10" x14ac:dyDescent="0.25">
      <c r="A1660" s="3" t="s">
        <v>3912</v>
      </c>
      <c r="B1660" s="3" t="s">
        <v>3913</v>
      </c>
      <c r="C1660" s="1">
        <v>14</v>
      </c>
      <c r="D1660" s="1">
        <v>164</v>
      </c>
      <c r="E1660" s="1" t="s">
        <v>254</v>
      </c>
      <c r="F1660" s="1" t="s">
        <v>5378</v>
      </c>
      <c r="G1660" s="3" t="s">
        <v>3914</v>
      </c>
      <c r="H1660" s="12" cm="1">
        <f t="array" ref="H1660">_xlfn.IFS(I1660&lt;197,I1660*1.26,I1660&gt;197,I1660*1.17) + IF(I1660&gt;1000,17,0)</f>
        <v>769.82255999999995</v>
      </c>
      <c r="I1660" s="10">
        <f>($K$2+0.02)*Tabla1[[#This Row],[PRECIO $]]*1.18</f>
        <v>657.96799999999996</v>
      </c>
      <c r="J1660" s="7">
        <f>+Tabla1[[#This Row],[PRECIO EN SOLES]]-Tabla1[[#This Row],[PC]]</f>
        <v>111.85455999999999</v>
      </c>
    </row>
    <row r="1661" spans="1:10" x14ac:dyDescent="0.25">
      <c r="A1661" s="3" t="s">
        <v>3915</v>
      </c>
      <c r="B1661" s="3" t="s">
        <v>3916</v>
      </c>
      <c r="C1661" s="1">
        <v>9</v>
      </c>
      <c r="D1661" s="1">
        <v>136</v>
      </c>
      <c r="E1661" s="1" t="s">
        <v>254</v>
      </c>
      <c r="F1661" s="1" t="s">
        <v>5379</v>
      </c>
      <c r="G1661" s="3" t="s">
        <v>3917</v>
      </c>
      <c r="H1661" s="12" cm="1">
        <f t="array" ref="H1661">_xlfn.IFS(I1661&lt;197,I1661*1.26,I1661&gt;197,I1661*1.17) + IF(I1661&gt;1000,17,0)</f>
        <v>638.38943999999992</v>
      </c>
      <c r="I1661" s="10">
        <f>($K$2+0.02)*Tabla1[[#This Row],[PRECIO $]]*1.18</f>
        <v>545.63199999999995</v>
      </c>
      <c r="J1661" s="7">
        <f>+Tabla1[[#This Row],[PRECIO EN SOLES]]-Tabla1[[#This Row],[PC]]</f>
        <v>92.757439999999974</v>
      </c>
    </row>
    <row r="1662" spans="1:10" x14ac:dyDescent="0.25">
      <c r="A1662" s="3" t="s">
        <v>3918</v>
      </c>
      <c r="B1662" s="3" t="s">
        <v>3919</v>
      </c>
      <c r="C1662" s="1">
        <v>20</v>
      </c>
      <c r="D1662" s="1">
        <v>55</v>
      </c>
      <c r="E1662" s="1" t="s">
        <v>254</v>
      </c>
      <c r="F1662" s="1" t="s">
        <v>5380</v>
      </c>
      <c r="G1662" s="3" t="s">
        <v>3920</v>
      </c>
      <c r="H1662" s="12" cm="1">
        <f t="array" ref="H1662">_xlfn.IFS(I1662&lt;197,I1662*1.26,I1662&gt;197,I1662*1.17) + IF(I1662&gt;1000,17,0)</f>
        <v>258.17219999999998</v>
      </c>
      <c r="I1662" s="10">
        <f>($K$2+0.02)*Tabla1[[#This Row],[PRECIO $]]*1.18</f>
        <v>220.66</v>
      </c>
      <c r="J1662" s="7">
        <f>+Tabla1[[#This Row],[PRECIO EN SOLES]]-Tabla1[[#This Row],[PC]]</f>
        <v>37.512199999999979</v>
      </c>
    </row>
    <row r="1663" spans="1:10" x14ac:dyDescent="0.25">
      <c r="A1663" s="3" t="s">
        <v>705</v>
      </c>
      <c r="B1663" s="3" t="s">
        <v>706</v>
      </c>
      <c r="C1663" s="1">
        <v>20</v>
      </c>
      <c r="D1663" s="1">
        <v>33</v>
      </c>
      <c r="E1663" s="1" t="s">
        <v>254</v>
      </c>
      <c r="F1663" s="1" t="s">
        <v>5381</v>
      </c>
      <c r="G1663" s="3" t="s">
        <v>707</v>
      </c>
      <c r="H1663" s="12" cm="1">
        <f t="array" ref="H1663">_xlfn.IFS(I1663&lt;197,I1663*1.26,I1663&gt;197,I1663*1.17) + IF(I1663&gt;1000,17,0)</f>
        <v>166.81895999999998</v>
      </c>
      <c r="I1663" s="10">
        <f>($K$2+0.02)*Tabla1[[#This Row],[PRECIO $]]*1.18</f>
        <v>132.39599999999999</v>
      </c>
      <c r="J1663" s="7">
        <f>+Tabla1[[#This Row],[PRECIO EN SOLES]]-Tabla1[[#This Row],[PC]]</f>
        <v>34.422959999999989</v>
      </c>
    </row>
    <row r="1664" spans="1:10" x14ac:dyDescent="0.25">
      <c r="A1664" s="3" t="s">
        <v>3921</v>
      </c>
      <c r="B1664" s="3" t="s">
        <v>3922</v>
      </c>
      <c r="C1664" s="1">
        <v>11</v>
      </c>
      <c r="D1664" s="1">
        <v>107</v>
      </c>
      <c r="E1664" s="1" t="s">
        <v>254</v>
      </c>
      <c r="F1664" s="1" t="s">
        <v>5382</v>
      </c>
      <c r="G1664" s="3" t="s">
        <v>3923</v>
      </c>
      <c r="H1664" s="12" cm="1">
        <f t="array" ref="H1664">_xlfn.IFS(I1664&lt;197,I1664*1.26,I1664&gt;197,I1664*1.17) + IF(I1664&gt;1000,17,0)</f>
        <v>502.26227999999998</v>
      </c>
      <c r="I1664" s="10">
        <f>($K$2+0.02)*Tabla1[[#This Row],[PRECIO $]]*1.18</f>
        <v>429.28399999999999</v>
      </c>
      <c r="J1664" s="7">
        <f>+Tabla1[[#This Row],[PRECIO EN SOLES]]-Tabla1[[#This Row],[PC]]</f>
        <v>72.978279999999984</v>
      </c>
    </row>
    <row r="1665" spans="1:10" x14ac:dyDescent="0.25">
      <c r="A1665" s="3" t="s">
        <v>3369</v>
      </c>
      <c r="B1665" s="3" t="s">
        <v>3370</v>
      </c>
      <c r="C1665" s="1">
        <v>1</v>
      </c>
      <c r="D1665" s="1">
        <v>105</v>
      </c>
      <c r="E1665" s="1" t="s">
        <v>250</v>
      </c>
      <c r="F1665" s="1" t="s">
        <v>5383</v>
      </c>
      <c r="G1665" s="3" t="s">
        <v>3371</v>
      </c>
      <c r="H1665" s="12" cm="1">
        <f t="array" ref="H1665">_xlfn.IFS(I1665&lt;197,I1665*1.26,I1665&gt;197,I1665*1.17) + IF(I1665&gt;1000,17,0)</f>
        <v>492.87419999999997</v>
      </c>
      <c r="I1665" s="10">
        <f>($K$2+0.02)*Tabla1[[#This Row],[PRECIO $]]*1.18</f>
        <v>421.26</v>
      </c>
      <c r="J1665" s="7">
        <f>+Tabla1[[#This Row],[PRECIO EN SOLES]]-Tabla1[[#This Row],[PC]]</f>
        <v>71.614199999999983</v>
      </c>
    </row>
    <row r="1666" spans="1:10" x14ac:dyDescent="0.25">
      <c r="A1666" s="3" t="s">
        <v>3520</v>
      </c>
      <c r="B1666" s="3" t="s">
        <v>3521</v>
      </c>
      <c r="C1666" s="1">
        <v>20</v>
      </c>
      <c r="D1666" s="1">
        <v>69.3</v>
      </c>
      <c r="E1666" s="1" t="s">
        <v>250</v>
      </c>
      <c r="F1666" s="1" t="s">
        <v>5384</v>
      </c>
      <c r="G1666" s="3" t="s">
        <v>3536</v>
      </c>
      <c r="H1666" s="12" cm="1">
        <f t="array" ref="H1666">_xlfn.IFS(I1666&lt;197,I1666*1.26,I1666&gt;197,I1666*1.17) + IF(I1666&gt;1000,17,0)</f>
        <v>325.29697199999993</v>
      </c>
      <c r="I1666" s="10">
        <f>($K$2+0.02)*Tabla1[[#This Row],[PRECIO $]]*1.18</f>
        <v>278.03159999999997</v>
      </c>
      <c r="J1666" s="7">
        <f>+Tabla1[[#This Row],[PRECIO EN SOLES]]-Tabla1[[#This Row],[PC]]</f>
        <v>47.265371999999957</v>
      </c>
    </row>
    <row r="1667" spans="1:10" x14ac:dyDescent="0.25">
      <c r="A1667" s="3" t="s">
        <v>3734</v>
      </c>
      <c r="B1667" s="3" t="s">
        <v>3373</v>
      </c>
      <c r="C1667" s="1">
        <v>1</v>
      </c>
      <c r="D1667" s="1">
        <v>54.3</v>
      </c>
      <c r="E1667" s="1" t="s">
        <v>250</v>
      </c>
      <c r="F1667" s="1" t="s">
        <v>5385</v>
      </c>
      <c r="G1667" s="3" t="s">
        <v>3735</v>
      </c>
      <c r="H1667" s="12" cm="1">
        <f t="array" ref="H1667">_xlfn.IFS(I1667&lt;197,I1667*1.26,I1667&gt;197,I1667*1.17) + IF(I1667&gt;1000,17,0)</f>
        <v>254.88637199999994</v>
      </c>
      <c r="I1667" s="10">
        <f>($K$2+0.02)*Tabla1[[#This Row],[PRECIO $]]*1.18</f>
        <v>217.85159999999996</v>
      </c>
      <c r="J1667" s="7">
        <f>+Tabla1[[#This Row],[PRECIO EN SOLES]]-Tabla1[[#This Row],[PC]]</f>
        <v>37.034771999999975</v>
      </c>
    </row>
    <row r="1668" spans="1:10" x14ac:dyDescent="0.25">
      <c r="A1668" s="3" t="s">
        <v>3372</v>
      </c>
      <c r="B1668" s="3" t="s">
        <v>3373</v>
      </c>
      <c r="C1668" s="1">
        <v>20</v>
      </c>
      <c r="D1668" s="1">
        <v>104</v>
      </c>
      <c r="E1668" s="1" t="s">
        <v>250</v>
      </c>
      <c r="F1668" s="1" t="s">
        <v>5386</v>
      </c>
      <c r="G1668" s="3" t="s">
        <v>3374</v>
      </c>
      <c r="H1668" s="12" cm="1">
        <f t="array" ref="H1668">_xlfn.IFS(I1668&lt;197,I1668*1.26,I1668&gt;197,I1668*1.17) + IF(I1668&gt;1000,17,0)</f>
        <v>488.18015999999989</v>
      </c>
      <c r="I1668" s="10">
        <f>($K$2+0.02)*Tabla1[[#This Row],[PRECIO $]]*1.18</f>
        <v>417.24799999999993</v>
      </c>
      <c r="J1668" s="7">
        <f>+Tabla1[[#This Row],[PRECIO EN SOLES]]-Tabla1[[#This Row],[PC]]</f>
        <v>70.932159999999953</v>
      </c>
    </row>
    <row r="1669" spans="1:10" x14ac:dyDescent="0.25">
      <c r="A1669" s="3" t="s">
        <v>3375</v>
      </c>
      <c r="B1669" s="3" t="s">
        <v>3373</v>
      </c>
      <c r="C1669" s="1">
        <v>4</v>
      </c>
      <c r="D1669" s="1">
        <v>105</v>
      </c>
      <c r="E1669" s="1" t="s">
        <v>250</v>
      </c>
      <c r="F1669" s="1" t="s">
        <v>5387</v>
      </c>
      <c r="G1669" s="3" t="s">
        <v>3376</v>
      </c>
      <c r="H1669" s="12" cm="1">
        <f t="array" ref="H1669">_xlfn.IFS(I1669&lt;197,I1669*1.26,I1669&gt;197,I1669*1.17) + IF(I1669&gt;1000,17,0)</f>
        <v>492.87419999999997</v>
      </c>
      <c r="I1669" s="10">
        <f>($K$2+0.02)*Tabla1[[#This Row],[PRECIO $]]*1.18</f>
        <v>421.26</v>
      </c>
      <c r="J1669" s="7">
        <f>+Tabla1[[#This Row],[PRECIO EN SOLES]]-Tabla1[[#This Row],[PC]]</f>
        <v>71.614199999999983</v>
      </c>
    </row>
    <row r="1670" spans="1:10" x14ac:dyDescent="0.25">
      <c r="A1670" s="3" t="s">
        <v>3736</v>
      </c>
      <c r="B1670" s="3" t="s">
        <v>3373</v>
      </c>
      <c r="C1670" s="1">
        <v>20</v>
      </c>
      <c r="D1670" s="1">
        <v>146</v>
      </c>
      <c r="E1670" s="1" t="s">
        <v>250</v>
      </c>
      <c r="F1670" s="1" t="s">
        <v>5388</v>
      </c>
      <c r="G1670" s="3" t="s">
        <v>3737</v>
      </c>
      <c r="H1670" s="12" cm="1">
        <f t="array" ref="H1670">_xlfn.IFS(I1670&lt;197,I1670*1.26,I1670&gt;197,I1670*1.17) + IF(I1670&gt;1000,17,0)</f>
        <v>685.32983999999988</v>
      </c>
      <c r="I1670" s="10">
        <f>($K$2+0.02)*Tabla1[[#This Row],[PRECIO $]]*1.18</f>
        <v>585.75199999999995</v>
      </c>
      <c r="J1670" s="7">
        <f>+Tabla1[[#This Row],[PRECIO EN SOLES]]-Tabla1[[#This Row],[PC]]</f>
        <v>99.577839999999924</v>
      </c>
    </row>
    <row r="1671" spans="1:10" x14ac:dyDescent="0.25">
      <c r="A1671" s="3" t="s">
        <v>3377</v>
      </c>
      <c r="B1671" s="3" t="s">
        <v>3373</v>
      </c>
      <c r="C1671" s="1">
        <v>3</v>
      </c>
      <c r="D1671" s="1">
        <v>71</v>
      </c>
      <c r="E1671" s="1" t="s">
        <v>250</v>
      </c>
      <c r="F1671" s="1" t="s">
        <v>5389</v>
      </c>
      <c r="G1671" s="3" t="s">
        <v>3378</v>
      </c>
      <c r="H1671" s="12" cm="1">
        <f t="array" ref="H1671">_xlfn.IFS(I1671&lt;197,I1671*1.26,I1671&gt;197,I1671*1.17) + IF(I1671&gt;1000,17,0)</f>
        <v>333.27683999999994</v>
      </c>
      <c r="I1671" s="10">
        <f>($K$2+0.02)*Tabla1[[#This Row],[PRECIO $]]*1.18</f>
        <v>284.85199999999998</v>
      </c>
      <c r="J1671" s="7">
        <f>+Tabla1[[#This Row],[PRECIO EN SOLES]]-Tabla1[[#This Row],[PC]]</f>
        <v>48.424839999999961</v>
      </c>
    </row>
    <row r="1672" spans="1:10" x14ac:dyDescent="0.25">
      <c r="A1672" s="3" t="s">
        <v>3379</v>
      </c>
      <c r="B1672" s="3" t="s">
        <v>3380</v>
      </c>
      <c r="C1672" s="1">
        <v>20</v>
      </c>
      <c r="D1672" s="1">
        <v>172.6</v>
      </c>
      <c r="E1672" s="1" t="s">
        <v>250</v>
      </c>
      <c r="F1672" s="1" t="s">
        <v>5390</v>
      </c>
      <c r="G1672" s="3" t="s">
        <v>3381</v>
      </c>
      <c r="H1672" s="12" cm="1">
        <f t="array" ref="H1672">_xlfn.IFS(I1672&lt;197,I1672*1.26,I1672&gt;197,I1672*1.17) + IF(I1672&gt;1000,17,0)</f>
        <v>810.19130399999972</v>
      </c>
      <c r="I1672" s="10">
        <f>($K$2+0.02)*Tabla1[[#This Row],[PRECIO $]]*1.18</f>
        <v>692.47119999999984</v>
      </c>
      <c r="J1672" s="7">
        <f>+Tabla1[[#This Row],[PRECIO EN SOLES]]-Tabla1[[#This Row],[PC]]</f>
        <v>117.72010399999988</v>
      </c>
    </row>
    <row r="1673" spans="1:10" x14ac:dyDescent="0.25">
      <c r="A1673" s="3" t="s">
        <v>3382</v>
      </c>
      <c r="B1673" s="3" t="s">
        <v>3383</v>
      </c>
      <c r="C1673" s="1">
        <v>4</v>
      </c>
      <c r="D1673" s="1">
        <v>1987</v>
      </c>
      <c r="E1673" s="1" t="s">
        <v>250</v>
      </c>
      <c r="F1673" s="1" t="s">
        <v>5391</v>
      </c>
      <c r="G1673" s="3" t="s">
        <v>3384</v>
      </c>
      <c r="H1673" s="12" cm="1">
        <f t="array" ref="H1673">_xlfn.IFS(I1673&lt;197,I1673*1.26,I1673&gt;197,I1673*1.17) + IF(I1673&gt;1000,17,0)</f>
        <v>9344.0574799999995</v>
      </c>
      <c r="I1673" s="10">
        <f>($K$2+0.02)*Tabla1[[#This Row],[PRECIO $]]*1.18</f>
        <v>7971.8440000000001</v>
      </c>
      <c r="J1673" s="7">
        <f>+Tabla1[[#This Row],[PRECIO EN SOLES]]-Tabla1[[#This Row],[PC]]</f>
        <v>1372.2134799999994</v>
      </c>
    </row>
    <row r="1674" spans="1:10" x14ac:dyDescent="0.25">
      <c r="A1674" s="3" t="s">
        <v>3385</v>
      </c>
      <c r="B1674" s="3" t="s">
        <v>3386</v>
      </c>
      <c r="C1674" s="1">
        <v>14</v>
      </c>
      <c r="D1674" s="1">
        <v>585.4</v>
      </c>
      <c r="E1674" s="1" t="s">
        <v>250</v>
      </c>
      <c r="F1674" s="1" t="s">
        <v>5392</v>
      </c>
      <c r="G1674" s="3" t="s">
        <v>3387</v>
      </c>
      <c r="H1674" s="12" cm="1">
        <f t="array" ref="H1674">_xlfn.IFS(I1674&lt;197,I1674*1.26,I1674&gt;197,I1674*1.17) + IF(I1674&gt;1000,17,0)</f>
        <v>2764.8910159999996</v>
      </c>
      <c r="I1674" s="10">
        <f>($K$2+0.02)*Tabla1[[#This Row],[PRECIO $]]*1.18</f>
        <v>2348.6247999999996</v>
      </c>
      <c r="J1674" s="7">
        <f>+Tabla1[[#This Row],[PRECIO EN SOLES]]-Tabla1[[#This Row],[PC]]</f>
        <v>416.26621599999999</v>
      </c>
    </row>
    <row r="1675" spans="1:10" x14ac:dyDescent="0.25">
      <c r="A1675" s="3" t="s">
        <v>3578</v>
      </c>
      <c r="B1675" s="3" t="s">
        <v>3579</v>
      </c>
      <c r="C1675" s="1">
        <v>18</v>
      </c>
      <c r="D1675" s="1">
        <v>729</v>
      </c>
      <c r="E1675" s="1" t="s">
        <v>250</v>
      </c>
      <c r="F1675" s="1" t="s">
        <v>5393</v>
      </c>
      <c r="G1675" s="3" t="s">
        <v>3580</v>
      </c>
      <c r="H1675" s="12" cm="1">
        <f t="array" ref="H1675">_xlfn.IFS(I1675&lt;197,I1675*1.26,I1675&gt;197,I1675*1.17) + IF(I1675&gt;1000,17,0)</f>
        <v>3438.9551599999995</v>
      </c>
      <c r="I1675" s="10">
        <f>($K$2+0.02)*Tabla1[[#This Row],[PRECIO $]]*1.18</f>
        <v>2924.7479999999996</v>
      </c>
      <c r="J1675" s="7">
        <f>+Tabla1[[#This Row],[PRECIO EN SOLES]]-Tabla1[[#This Row],[PC]]</f>
        <v>514.20715999999993</v>
      </c>
    </row>
    <row r="1676" spans="1:10" x14ac:dyDescent="0.25">
      <c r="A1676" s="3" t="s">
        <v>5730</v>
      </c>
      <c r="B1676" s="3" t="s">
        <v>5731</v>
      </c>
      <c r="C1676" s="1">
        <v>5</v>
      </c>
      <c r="D1676" s="1">
        <v>1528</v>
      </c>
      <c r="E1676" s="1" t="s">
        <v>250</v>
      </c>
      <c r="F1676" s="1" t="s">
        <v>5732</v>
      </c>
      <c r="G1676" s="3" t="s">
        <v>5733</v>
      </c>
      <c r="H1676" s="12" cm="1">
        <f t="array" ref="H1676">_xlfn.IFS(I1676&lt;197,I1676*1.26,I1676&gt;197,I1676*1.17) + IF(I1676&gt;1000,17,0)</f>
        <v>7189.4931199999992</v>
      </c>
      <c r="I1676" s="10">
        <f>($K$2+0.02)*Tabla1[[#This Row],[PRECIO $]]*1.18</f>
        <v>6130.3359999999993</v>
      </c>
      <c r="J1676" s="7">
        <f>+Tabla1[[#This Row],[PRECIO EN SOLES]]-Tabla1[[#This Row],[PC]]</f>
        <v>1059.1571199999998</v>
      </c>
    </row>
    <row r="1677" spans="1:10" x14ac:dyDescent="0.25">
      <c r="A1677" s="3" t="s">
        <v>3388</v>
      </c>
      <c r="B1677" s="3" t="s">
        <v>3389</v>
      </c>
      <c r="C1677" s="1">
        <v>20</v>
      </c>
      <c r="D1677" s="1">
        <v>427.6</v>
      </c>
      <c r="E1677" s="1" t="s">
        <v>250</v>
      </c>
      <c r="F1677" s="1" t="s">
        <v>5394</v>
      </c>
      <c r="G1677" s="3" t="s">
        <v>3390</v>
      </c>
      <c r="H1677" s="12" cm="1">
        <f t="array" ref="H1677">_xlfn.IFS(I1677&lt;197,I1677*1.26,I1677&gt;197,I1677*1.17) + IF(I1677&gt;1000,17,0)</f>
        <v>2024.1715039999999</v>
      </c>
      <c r="I1677" s="10">
        <f>($K$2+0.02)*Tabla1[[#This Row],[PRECIO $]]*1.18</f>
        <v>1715.5312000000001</v>
      </c>
      <c r="J1677" s="7">
        <f>+Tabla1[[#This Row],[PRECIO EN SOLES]]-Tabla1[[#This Row],[PC]]</f>
        <v>308.64030399999979</v>
      </c>
    </row>
    <row r="1678" spans="1:10" x14ac:dyDescent="0.25">
      <c r="A1678" s="3" t="s">
        <v>3391</v>
      </c>
      <c r="B1678" s="3" t="s">
        <v>3392</v>
      </c>
      <c r="C1678" s="1">
        <v>7</v>
      </c>
      <c r="D1678" s="1">
        <v>739.7</v>
      </c>
      <c r="E1678" s="1" t="s">
        <v>250</v>
      </c>
      <c r="F1678" s="1" t="s">
        <v>5395</v>
      </c>
      <c r="G1678" s="3" t="s">
        <v>3393</v>
      </c>
      <c r="H1678" s="12" cm="1">
        <f t="array" ref="H1678">_xlfn.IFS(I1678&lt;197,I1678*1.26,I1678&gt;197,I1678*1.17) + IF(I1678&gt;1000,17,0)</f>
        <v>3489.1813879999995</v>
      </c>
      <c r="I1678" s="10">
        <f>($K$2+0.02)*Tabla1[[#This Row],[PRECIO $]]*1.18</f>
        <v>2967.6763999999998</v>
      </c>
      <c r="J1678" s="7">
        <f>+Tabla1[[#This Row],[PRECIO EN SOLES]]-Tabla1[[#This Row],[PC]]</f>
        <v>521.50498799999968</v>
      </c>
    </row>
    <row r="1679" spans="1:10" x14ac:dyDescent="0.25">
      <c r="A1679" s="3" t="s">
        <v>3394</v>
      </c>
      <c r="B1679" s="3" t="s">
        <v>3395</v>
      </c>
      <c r="C1679" s="1">
        <v>6</v>
      </c>
      <c r="D1679" s="1">
        <v>1649.8</v>
      </c>
      <c r="E1679" s="1" t="s">
        <v>250</v>
      </c>
      <c r="F1679" s="1" t="s">
        <v>5396</v>
      </c>
      <c r="G1679" s="3" t="s">
        <v>3396</v>
      </c>
      <c r="H1679" s="12" cm="1">
        <f t="array" ref="H1679">_xlfn.IFS(I1679&lt;197,I1679*1.26,I1679&gt;197,I1679*1.17) + IF(I1679&gt;1000,17,0)</f>
        <v>7761.2271919999994</v>
      </c>
      <c r="I1679" s="10">
        <f>($K$2+0.02)*Tabla1[[#This Row],[PRECIO $]]*1.18</f>
        <v>6618.9975999999997</v>
      </c>
      <c r="J1679" s="7">
        <f>+Tabla1[[#This Row],[PRECIO EN SOLES]]-Tabla1[[#This Row],[PC]]</f>
        <v>1142.2295919999997</v>
      </c>
    </row>
    <row r="1680" spans="1:10" x14ac:dyDescent="0.25">
      <c r="A1680" s="3" t="s">
        <v>3397</v>
      </c>
      <c r="B1680" s="3" t="s">
        <v>3398</v>
      </c>
      <c r="C1680" s="1">
        <v>1</v>
      </c>
      <c r="D1680" s="1">
        <v>235</v>
      </c>
      <c r="E1680" s="1" t="s">
        <v>250</v>
      </c>
      <c r="F1680" s="1" t="s">
        <v>5397</v>
      </c>
      <c r="G1680" s="3" t="s">
        <v>3399</v>
      </c>
      <c r="H1680" s="12" cm="1">
        <f t="array" ref="H1680">_xlfn.IFS(I1680&lt;197,I1680*1.26,I1680&gt;197,I1680*1.17) + IF(I1680&gt;1000,17,0)</f>
        <v>1103.0993999999998</v>
      </c>
      <c r="I1680" s="10">
        <f>($K$2+0.02)*Tabla1[[#This Row],[PRECIO $]]*1.18</f>
        <v>942.81999999999994</v>
      </c>
      <c r="J1680" s="7">
        <f>+Tabla1[[#This Row],[PRECIO EN SOLES]]-Tabla1[[#This Row],[PC]]</f>
        <v>160.2793999999999</v>
      </c>
    </row>
    <row r="1681" spans="1:10" x14ac:dyDescent="0.25">
      <c r="A1681" s="3" t="s">
        <v>3400</v>
      </c>
      <c r="B1681" s="3" t="s">
        <v>3401</v>
      </c>
      <c r="C1681" s="1">
        <v>20</v>
      </c>
      <c r="D1681" s="1">
        <v>391.5</v>
      </c>
      <c r="E1681" s="1" t="s">
        <v>250</v>
      </c>
      <c r="F1681" s="1" t="s">
        <v>5398</v>
      </c>
      <c r="G1681" s="3" t="s">
        <v>3402</v>
      </c>
      <c r="H1681" s="12" cm="1">
        <f t="array" ref="H1681">_xlfn.IFS(I1681&lt;197,I1681*1.26,I1681&gt;197,I1681*1.17) + IF(I1681&gt;1000,17,0)</f>
        <v>1854.7166599999998</v>
      </c>
      <c r="I1681" s="10">
        <f>($K$2+0.02)*Tabla1[[#This Row],[PRECIO $]]*1.18</f>
        <v>1570.6979999999999</v>
      </c>
      <c r="J1681" s="7">
        <f>+Tabla1[[#This Row],[PRECIO EN SOLES]]-Tabla1[[#This Row],[PC]]</f>
        <v>284.01865999999995</v>
      </c>
    </row>
    <row r="1682" spans="1:10" x14ac:dyDescent="0.25">
      <c r="A1682" s="3" t="s">
        <v>3403</v>
      </c>
      <c r="B1682" s="3" t="s">
        <v>3404</v>
      </c>
      <c r="C1682" s="1">
        <v>20</v>
      </c>
      <c r="D1682" s="1">
        <v>595</v>
      </c>
      <c r="E1682" s="1" t="s">
        <v>250</v>
      </c>
      <c r="F1682" s="1" t="s">
        <v>5399</v>
      </c>
      <c r="G1682" s="3" t="s">
        <v>3405</v>
      </c>
      <c r="H1682" s="12" cm="1">
        <f t="array" ref="H1682">_xlfn.IFS(I1682&lt;197,I1682*1.26,I1682&gt;197,I1682*1.17) + IF(I1682&gt;1000,17,0)</f>
        <v>2809.9537999999998</v>
      </c>
      <c r="I1682" s="10">
        <f>($K$2+0.02)*Tabla1[[#This Row],[PRECIO $]]*1.18</f>
        <v>2387.14</v>
      </c>
      <c r="J1682" s="7">
        <f>+Tabla1[[#This Row],[PRECIO EN SOLES]]-Tabla1[[#This Row],[PC]]</f>
        <v>422.8137999999999</v>
      </c>
    </row>
    <row r="1683" spans="1:10" x14ac:dyDescent="0.25">
      <c r="A1683" s="3" t="s">
        <v>3406</v>
      </c>
      <c r="B1683" s="3" t="s">
        <v>3407</v>
      </c>
      <c r="C1683" s="1">
        <v>0</v>
      </c>
      <c r="D1683" s="1">
        <v>1195</v>
      </c>
      <c r="E1683" s="1" t="s">
        <v>250</v>
      </c>
      <c r="F1683" s="1" t="s">
        <v>5400</v>
      </c>
      <c r="G1683" s="3" t="s">
        <v>3408</v>
      </c>
      <c r="H1683" s="12" cm="1">
        <f t="array" ref="H1683">_xlfn.IFS(I1683&lt;197,I1683*1.26,I1683&gt;197,I1683*1.17) + IF(I1683&gt;1000,17,0)</f>
        <v>5626.3778000000002</v>
      </c>
      <c r="I1683" s="10">
        <f>($K$2+0.02)*Tabla1[[#This Row],[PRECIO $]]*1.18</f>
        <v>4794.34</v>
      </c>
      <c r="J1683" s="7">
        <f>+Tabla1[[#This Row],[PRECIO EN SOLES]]-Tabla1[[#This Row],[PC]]</f>
        <v>832.03780000000006</v>
      </c>
    </row>
    <row r="1684" spans="1:10" x14ac:dyDescent="0.25">
      <c r="A1684" s="3" t="s">
        <v>5877</v>
      </c>
      <c r="B1684" s="3" t="s">
        <v>5878</v>
      </c>
      <c r="C1684" s="1">
        <v>3</v>
      </c>
      <c r="D1684" s="1">
        <v>2342</v>
      </c>
      <c r="E1684" s="1" t="s">
        <v>250</v>
      </c>
      <c r="F1684" s="1" t="s">
        <v>5879</v>
      </c>
      <c r="G1684" s="3" t="s">
        <v>5880</v>
      </c>
      <c r="H1684" s="12" cm="1">
        <f t="array" ref="H1684">_xlfn.IFS(I1684&lt;197,I1684*1.26,I1684&gt;197,I1684*1.17) + IF(I1684&gt;1000,17,0)</f>
        <v>11010.441679999998</v>
      </c>
      <c r="I1684" s="10">
        <f>($K$2+0.02)*Tabla1[[#This Row],[PRECIO $]]*1.18</f>
        <v>9396.1039999999994</v>
      </c>
      <c r="J1684" s="7">
        <f>+Tabla1[[#This Row],[PRECIO EN SOLES]]-Tabla1[[#This Row],[PC]]</f>
        <v>1614.3376799999987</v>
      </c>
    </row>
    <row r="1685" spans="1:10" x14ac:dyDescent="0.25">
      <c r="A1685" s="3" t="s">
        <v>3409</v>
      </c>
      <c r="B1685" s="3" t="s">
        <v>3410</v>
      </c>
      <c r="C1685" s="1">
        <v>1</v>
      </c>
      <c r="D1685" s="1">
        <v>2002</v>
      </c>
      <c r="E1685" s="1" t="s">
        <v>58</v>
      </c>
      <c r="F1685" s="1" t="s">
        <v>5401</v>
      </c>
      <c r="G1685" s="3" t="s">
        <v>3411</v>
      </c>
      <c r="H1685" s="12" cm="1">
        <f t="array" ref="H1685">_xlfn.IFS(I1685&lt;197,I1685*1.26,I1685&gt;197,I1685*1.17) + IF(I1685&gt;1000,17,0)</f>
        <v>9414.4680799999987</v>
      </c>
      <c r="I1685" s="10">
        <f>($K$2+0.02)*Tabla1[[#This Row],[PRECIO $]]*1.18</f>
        <v>8032.0239999999994</v>
      </c>
      <c r="J1685" s="7">
        <f>+Tabla1[[#This Row],[PRECIO EN SOLES]]-Tabla1[[#This Row],[PC]]</f>
        <v>1382.4440799999993</v>
      </c>
    </row>
    <row r="1686" spans="1:10" x14ac:dyDescent="0.25">
      <c r="A1686" s="3" t="s">
        <v>3412</v>
      </c>
      <c r="B1686" s="3" t="s">
        <v>3413</v>
      </c>
      <c r="C1686" s="1">
        <v>2</v>
      </c>
      <c r="D1686" s="1">
        <v>253</v>
      </c>
      <c r="E1686" s="1" t="s">
        <v>254</v>
      </c>
      <c r="F1686" s="1" t="s">
        <v>5402</v>
      </c>
      <c r="G1686" s="3" t="s">
        <v>3414</v>
      </c>
      <c r="H1686" s="12" cm="1">
        <f t="array" ref="H1686">_xlfn.IFS(I1686&lt;197,I1686*1.26,I1686&gt;197,I1686*1.17) + IF(I1686&gt;1000,17,0)</f>
        <v>1204.5921199999998</v>
      </c>
      <c r="I1686" s="10">
        <f>($K$2+0.02)*Tabla1[[#This Row],[PRECIO $]]*1.18</f>
        <v>1015.0359999999998</v>
      </c>
      <c r="J1686" s="7">
        <f>+Tabla1[[#This Row],[PRECIO EN SOLES]]-Tabla1[[#This Row],[PC]]</f>
        <v>189.55611999999996</v>
      </c>
    </row>
    <row r="1687" spans="1:10" x14ac:dyDescent="0.25">
      <c r="A1687" s="3" t="s">
        <v>3415</v>
      </c>
      <c r="B1687" s="3" t="s">
        <v>3416</v>
      </c>
      <c r="C1687" s="1">
        <v>1</v>
      </c>
      <c r="D1687" s="1">
        <v>3980</v>
      </c>
      <c r="E1687" s="1" t="s">
        <v>254</v>
      </c>
      <c r="F1687" s="1" t="s">
        <v>5403</v>
      </c>
      <c r="G1687" s="3" t="s">
        <v>3417</v>
      </c>
      <c r="H1687" s="12" cm="1">
        <f t="array" ref="H1687">_xlfn.IFS(I1687&lt;197,I1687*1.26,I1687&gt;197,I1687*1.17) + IF(I1687&gt;1000,17,0)</f>
        <v>18699.279199999997</v>
      </c>
      <c r="I1687" s="10">
        <f>($K$2+0.02)*Tabla1[[#This Row],[PRECIO $]]*1.18</f>
        <v>15967.759999999998</v>
      </c>
      <c r="J1687" s="7">
        <f>+Tabla1[[#This Row],[PRECIO EN SOLES]]-Tabla1[[#This Row],[PC]]</f>
        <v>2731.5191999999988</v>
      </c>
    </row>
    <row r="1688" spans="1:10" x14ac:dyDescent="0.25">
      <c r="A1688" s="3" t="s">
        <v>3418</v>
      </c>
      <c r="B1688" s="3" t="s">
        <v>3419</v>
      </c>
      <c r="C1688" s="1">
        <v>3</v>
      </c>
      <c r="D1688" s="1">
        <v>4680</v>
      </c>
      <c r="E1688" s="1" t="s">
        <v>250</v>
      </c>
      <c r="F1688" s="1" t="s">
        <v>5404</v>
      </c>
      <c r="G1688" s="3"/>
      <c r="H1688" s="12" cm="1">
        <f t="array" ref="H1688">_xlfn.IFS(I1688&lt;197,I1688*1.26,I1688&gt;197,I1688*1.17) + IF(I1688&gt;1000,17,0)</f>
        <v>21985.107199999999</v>
      </c>
      <c r="I1688" s="10">
        <f>($K$2+0.02)*Tabla1[[#This Row],[PRECIO $]]*1.18</f>
        <v>18776.16</v>
      </c>
      <c r="J1688" s="7">
        <f>+Tabla1[[#This Row],[PRECIO EN SOLES]]-Tabla1[[#This Row],[PC]]</f>
        <v>3208.9471999999987</v>
      </c>
    </row>
    <row r="1689" spans="1:10" x14ac:dyDescent="0.25">
      <c r="A1689" s="3" t="s">
        <v>3420</v>
      </c>
      <c r="B1689" s="3" t="s">
        <v>3421</v>
      </c>
      <c r="C1689" s="1">
        <v>2</v>
      </c>
      <c r="D1689" s="1">
        <v>4332.5</v>
      </c>
      <c r="E1689" s="1" t="s">
        <v>250</v>
      </c>
      <c r="F1689" s="1" t="s">
        <v>5405</v>
      </c>
      <c r="G1689" s="3" t="s">
        <v>3422</v>
      </c>
      <c r="H1689" s="12" cm="1">
        <f t="array" ref="H1689">_xlfn.IFS(I1689&lt;197,I1689*1.26,I1689&gt;197,I1689*1.17) + IF(I1689&gt;1000,17,0)</f>
        <v>20353.928299999996</v>
      </c>
      <c r="I1689" s="10">
        <f>($K$2+0.02)*Tabla1[[#This Row],[PRECIO $]]*1.18</f>
        <v>17381.989999999998</v>
      </c>
      <c r="J1689" s="7">
        <f>+Tabla1[[#This Row],[PRECIO EN SOLES]]-Tabla1[[#This Row],[PC]]</f>
        <v>2971.938299999998</v>
      </c>
    </row>
    <row r="1690" spans="1:10" x14ac:dyDescent="0.25">
      <c r="A1690" s="3" t="s">
        <v>3423</v>
      </c>
      <c r="B1690" s="3" t="s">
        <v>3424</v>
      </c>
      <c r="C1690" s="1">
        <v>0</v>
      </c>
      <c r="D1690" s="1">
        <v>1770</v>
      </c>
      <c r="E1690" s="1" t="s">
        <v>3425</v>
      </c>
      <c r="F1690" s="1" t="s">
        <v>5406</v>
      </c>
      <c r="G1690" s="3" t="s">
        <v>3426</v>
      </c>
      <c r="H1690" s="12" cm="1">
        <f t="array" ref="H1690">_xlfn.IFS(I1690&lt;197,I1690*1.26,I1690&gt;197,I1690*1.17) + IF(I1690&gt;1000,17,0)</f>
        <v>8325.4507999999987</v>
      </c>
      <c r="I1690" s="10">
        <f>($K$2+0.02)*Tabla1[[#This Row],[PRECIO $]]*1.18</f>
        <v>7101.24</v>
      </c>
      <c r="J1690" s="7">
        <f>+Tabla1[[#This Row],[PRECIO EN SOLES]]-Tabla1[[#This Row],[PC]]</f>
        <v>1224.2107999999989</v>
      </c>
    </row>
    <row r="1691" spans="1:10" x14ac:dyDescent="0.25">
      <c r="A1691" s="3" t="s">
        <v>3427</v>
      </c>
      <c r="B1691" s="3" t="s">
        <v>3428</v>
      </c>
      <c r="C1691" s="1">
        <v>8</v>
      </c>
      <c r="D1691" s="1">
        <v>56.5</v>
      </c>
      <c r="E1691" s="1" t="s">
        <v>254</v>
      </c>
      <c r="F1691" s="1" t="s">
        <v>5407</v>
      </c>
      <c r="G1691" s="3"/>
      <c r="H1691" s="12" cm="1">
        <f t="array" ref="H1691">_xlfn.IFS(I1691&lt;197,I1691*1.26,I1691&gt;197,I1691*1.17) + IF(I1691&gt;1000,17,0)</f>
        <v>265.21325999999993</v>
      </c>
      <c r="I1691" s="10">
        <f>($K$2+0.02)*Tabla1[[#This Row],[PRECIO $]]*1.18</f>
        <v>226.67799999999997</v>
      </c>
      <c r="J1691" s="7">
        <f>+Tabla1[[#This Row],[PRECIO EN SOLES]]-Tabla1[[#This Row],[PC]]</f>
        <v>38.535259999999965</v>
      </c>
    </row>
    <row r="1692" spans="1:10" x14ac:dyDescent="0.25">
      <c r="A1692" s="3" t="s">
        <v>3429</v>
      </c>
      <c r="B1692" s="3" t="s">
        <v>3430</v>
      </c>
      <c r="C1692" s="1">
        <v>1</v>
      </c>
      <c r="D1692" s="1">
        <v>49</v>
      </c>
      <c r="E1692" s="1" t="s">
        <v>58</v>
      </c>
      <c r="F1692" s="1" t="s">
        <v>5408</v>
      </c>
      <c r="G1692" s="3" t="s">
        <v>3431</v>
      </c>
      <c r="H1692" s="12" cm="1">
        <f t="array" ref="H1692">_xlfn.IFS(I1692&lt;197,I1692*1.26,I1692&gt;197,I1692*1.17) + IF(I1692&gt;1000,17,0)</f>
        <v>247.70087999999998</v>
      </c>
      <c r="I1692" s="10">
        <f>($K$2+0.02)*Tabla1[[#This Row],[PRECIO $]]*1.18</f>
        <v>196.58799999999999</v>
      </c>
      <c r="J1692" s="7">
        <f>+Tabla1[[#This Row],[PRECIO EN SOLES]]-Tabla1[[#This Row],[PC]]</f>
        <v>51.11287999999999</v>
      </c>
    </row>
    <row r="1693" spans="1:10" x14ac:dyDescent="0.25">
      <c r="A1693" s="3" t="s">
        <v>3432</v>
      </c>
      <c r="B1693" s="3" t="s">
        <v>3433</v>
      </c>
      <c r="C1693" s="1">
        <v>1</v>
      </c>
      <c r="D1693" s="1">
        <v>37.299999999999997</v>
      </c>
      <c r="E1693" s="1" t="s">
        <v>254</v>
      </c>
      <c r="F1693" s="1" t="s">
        <v>5409</v>
      </c>
      <c r="G1693" s="3" t="s">
        <v>3434</v>
      </c>
      <c r="H1693" s="12" cm="1">
        <f t="array" ref="H1693">_xlfn.IFS(I1693&lt;197,I1693*1.26,I1693&gt;197,I1693*1.17) + IF(I1693&gt;1000,17,0)</f>
        <v>188.55597599999999</v>
      </c>
      <c r="I1693" s="10">
        <f>($K$2+0.02)*Tabla1[[#This Row],[PRECIO $]]*1.18</f>
        <v>149.64759999999998</v>
      </c>
      <c r="J1693" s="7">
        <f>+Tabla1[[#This Row],[PRECIO EN SOLES]]-Tabla1[[#This Row],[PC]]</f>
        <v>38.908376000000004</v>
      </c>
    </row>
    <row r="1694" spans="1:10" x14ac:dyDescent="0.25">
      <c r="A1694" s="3" t="s">
        <v>3435</v>
      </c>
      <c r="B1694" s="3" t="s">
        <v>3436</v>
      </c>
      <c r="C1694" s="1">
        <v>4</v>
      </c>
      <c r="D1694" s="1">
        <v>177</v>
      </c>
      <c r="E1694" s="1" t="s">
        <v>250</v>
      </c>
      <c r="F1694" s="1" t="s">
        <v>5410</v>
      </c>
      <c r="G1694" s="3"/>
      <c r="H1694" s="12" cm="1">
        <f t="array" ref="H1694">_xlfn.IFS(I1694&lt;197,I1694*1.26,I1694&gt;197,I1694*1.17) + IF(I1694&gt;1000,17,0)</f>
        <v>830.84507999999983</v>
      </c>
      <c r="I1694" s="10">
        <f>($K$2+0.02)*Tabla1[[#This Row],[PRECIO $]]*1.18</f>
        <v>710.12399999999991</v>
      </c>
      <c r="J1694" s="7">
        <f>+Tabla1[[#This Row],[PRECIO EN SOLES]]-Tabla1[[#This Row],[PC]]</f>
        <v>120.72107999999992</v>
      </c>
    </row>
    <row r="1695" spans="1:10" x14ac:dyDescent="0.25">
      <c r="A1695" s="3" t="s">
        <v>3437</v>
      </c>
      <c r="B1695" s="3" t="s">
        <v>3438</v>
      </c>
      <c r="C1695" s="1">
        <v>8</v>
      </c>
      <c r="D1695" s="1">
        <v>107.9</v>
      </c>
      <c r="E1695" s="1" t="s">
        <v>250</v>
      </c>
      <c r="F1695" s="1" t="s">
        <v>5411</v>
      </c>
      <c r="G1695" s="3" t="s">
        <v>3439</v>
      </c>
      <c r="H1695" s="12" cm="1">
        <f t="array" ref="H1695">_xlfn.IFS(I1695&lt;197,I1695*1.26,I1695&gt;197,I1695*1.17) + IF(I1695&gt;1000,17,0)</f>
        <v>506.48691599999995</v>
      </c>
      <c r="I1695" s="10">
        <f>($K$2+0.02)*Tabla1[[#This Row],[PRECIO $]]*1.18</f>
        <v>432.89479999999998</v>
      </c>
      <c r="J1695" s="7">
        <f>+Tabla1[[#This Row],[PRECIO EN SOLES]]-Tabla1[[#This Row],[PC]]</f>
        <v>73.592115999999976</v>
      </c>
    </row>
    <row r="1696" spans="1:10" x14ac:dyDescent="0.25">
      <c r="A1696" s="3" t="s">
        <v>3440</v>
      </c>
      <c r="B1696" s="3" t="s">
        <v>3441</v>
      </c>
      <c r="C1696" s="1">
        <v>10</v>
      </c>
      <c r="D1696" s="1">
        <v>127.7</v>
      </c>
      <c r="E1696" s="1" t="s">
        <v>250</v>
      </c>
      <c r="F1696" s="1" t="s">
        <v>5412</v>
      </c>
      <c r="G1696" s="3" t="s">
        <v>3442</v>
      </c>
      <c r="H1696" s="12" cm="1">
        <f t="array" ref="H1696">_xlfn.IFS(I1696&lt;197,I1696*1.26,I1696&gt;197,I1696*1.17) + IF(I1696&gt;1000,17,0)</f>
        <v>599.42890799999998</v>
      </c>
      <c r="I1696" s="10">
        <f>($K$2+0.02)*Tabla1[[#This Row],[PRECIO $]]*1.18</f>
        <v>512.33240000000001</v>
      </c>
      <c r="J1696" s="7">
        <f>+Tabla1[[#This Row],[PRECIO EN SOLES]]-Tabla1[[#This Row],[PC]]</f>
        <v>87.096507999999972</v>
      </c>
    </row>
    <row r="1697" spans="1:10" x14ac:dyDescent="0.25">
      <c r="A1697" s="3" t="s">
        <v>3443</v>
      </c>
      <c r="B1697" s="3" t="s">
        <v>3444</v>
      </c>
      <c r="C1697" s="1">
        <v>6</v>
      </c>
      <c r="D1697" s="1">
        <v>143.4</v>
      </c>
      <c r="E1697" s="1" t="s">
        <v>250</v>
      </c>
      <c r="F1697" s="1" t="s">
        <v>5413</v>
      </c>
      <c r="G1697" s="3" t="s">
        <v>3445</v>
      </c>
      <c r="H1697" s="12" cm="1">
        <f t="array" ref="H1697">_xlfn.IFS(I1697&lt;197,I1697*1.26,I1697&gt;197,I1697*1.17) + IF(I1697&gt;1000,17,0)</f>
        <v>673.12533599999995</v>
      </c>
      <c r="I1697" s="10">
        <f>($K$2+0.02)*Tabla1[[#This Row],[PRECIO $]]*1.18</f>
        <v>575.32079999999996</v>
      </c>
      <c r="J1697" s="7">
        <f>+Tabla1[[#This Row],[PRECIO EN SOLES]]-Tabla1[[#This Row],[PC]]</f>
        <v>97.804535999999985</v>
      </c>
    </row>
    <row r="1698" spans="1:10" x14ac:dyDescent="0.25">
      <c r="A1698" s="3" t="s">
        <v>3491</v>
      </c>
      <c r="B1698" s="3" t="s">
        <v>3492</v>
      </c>
      <c r="C1698" s="1">
        <v>1</v>
      </c>
      <c r="D1698" s="1">
        <v>494</v>
      </c>
      <c r="E1698" s="1" t="s">
        <v>58</v>
      </c>
      <c r="F1698" s="1" t="s">
        <v>5414</v>
      </c>
      <c r="G1698" s="3" t="s">
        <v>3493</v>
      </c>
      <c r="H1698" s="12" cm="1">
        <f t="array" ref="H1698">_xlfn.IFS(I1698&lt;197,I1698*1.26,I1698&gt;197,I1698*1.17) + IF(I1698&gt;1000,17,0)</f>
        <v>2335.8557599999999</v>
      </c>
      <c r="I1698" s="10">
        <f>($K$2+0.02)*Tabla1[[#This Row],[PRECIO $]]*1.18</f>
        <v>1981.9279999999999</v>
      </c>
      <c r="J1698" s="7">
        <f>+Tabla1[[#This Row],[PRECIO EN SOLES]]-Tabla1[[#This Row],[PC]]</f>
        <v>353.92776000000003</v>
      </c>
    </row>
    <row r="1699" spans="1:10" x14ac:dyDescent="0.25">
      <c r="A1699" s="3" t="s">
        <v>3446</v>
      </c>
      <c r="B1699" s="3" t="s">
        <v>3447</v>
      </c>
      <c r="C1699" s="1">
        <v>20</v>
      </c>
      <c r="D1699" s="1">
        <v>3.2</v>
      </c>
      <c r="E1699" s="1" t="s">
        <v>58</v>
      </c>
      <c r="F1699" s="1" t="s">
        <v>5415</v>
      </c>
      <c r="G1699" s="3" t="s">
        <v>3448</v>
      </c>
      <c r="H1699" s="12" cm="1">
        <f t="array" ref="H1699">_xlfn.IFS(I1699&lt;197,I1699*1.26,I1699&gt;197,I1699*1.17) + IF(I1699&gt;1000,17,0)</f>
        <v>16.176383999999999</v>
      </c>
      <c r="I1699" s="10">
        <f>($K$2+0.02)*Tabla1[[#This Row],[PRECIO $]]*1.18</f>
        <v>12.8384</v>
      </c>
      <c r="J1699" s="7">
        <f>+Tabla1[[#This Row],[PRECIO EN SOLES]]-Tabla1[[#This Row],[PC]]</f>
        <v>3.3379839999999987</v>
      </c>
    </row>
    <row r="1700" spans="1:10" x14ac:dyDescent="0.25">
      <c r="A1700" s="3" t="s">
        <v>3449</v>
      </c>
      <c r="B1700" s="3" t="s">
        <v>3450</v>
      </c>
      <c r="C1700" s="1">
        <v>1</v>
      </c>
      <c r="D1700" s="1">
        <v>367</v>
      </c>
      <c r="E1700" s="1" t="s">
        <v>58</v>
      </c>
      <c r="F1700" s="1" t="s">
        <v>5416</v>
      </c>
      <c r="G1700" s="3" t="s">
        <v>3451</v>
      </c>
      <c r="H1700" s="12" cm="1">
        <f t="array" ref="H1700">_xlfn.IFS(I1700&lt;197,I1700*1.26,I1700&gt;197,I1700*1.17) + IF(I1700&gt;1000,17,0)</f>
        <v>1739.7126799999996</v>
      </c>
      <c r="I1700" s="10">
        <f>($K$2+0.02)*Tabla1[[#This Row],[PRECIO $]]*1.18</f>
        <v>1472.4039999999998</v>
      </c>
      <c r="J1700" s="7">
        <f>+Tabla1[[#This Row],[PRECIO EN SOLES]]-Tabla1[[#This Row],[PC]]</f>
        <v>267.30867999999987</v>
      </c>
    </row>
    <row r="1701" spans="1:10" x14ac:dyDescent="0.25">
      <c r="A1701" s="3" t="s">
        <v>3452</v>
      </c>
      <c r="B1701" s="3" t="s">
        <v>3453</v>
      </c>
      <c r="C1701" s="1">
        <v>10</v>
      </c>
      <c r="D1701" s="1">
        <v>26</v>
      </c>
      <c r="E1701" s="1" t="s">
        <v>58</v>
      </c>
      <c r="F1701" s="1" t="s">
        <v>5417</v>
      </c>
      <c r="G1701" s="3" t="s">
        <v>3454</v>
      </c>
      <c r="H1701" s="12" cm="1">
        <f t="array" ref="H1701">_xlfn.IFS(I1701&lt;197,I1701*1.26,I1701&gt;197,I1701*1.17) + IF(I1701&gt;1000,17,0)</f>
        <v>131.43311999999997</v>
      </c>
      <c r="I1701" s="10">
        <f>($K$2+0.02)*Tabla1[[#This Row],[PRECIO $]]*1.18</f>
        <v>104.31199999999998</v>
      </c>
      <c r="J1701" s="7">
        <f>+Tabla1[[#This Row],[PRECIO EN SOLES]]-Tabla1[[#This Row],[PC]]</f>
        <v>27.121119999999991</v>
      </c>
    </row>
    <row r="1702" spans="1:10" x14ac:dyDescent="0.25">
      <c r="A1702" s="3" t="s">
        <v>3455</v>
      </c>
      <c r="B1702" s="3" t="s">
        <v>3456</v>
      </c>
      <c r="C1702" s="1">
        <v>16</v>
      </c>
      <c r="D1702" s="1">
        <v>205</v>
      </c>
      <c r="E1702" s="1" t="s">
        <v>58</v>
      </c>
      <c r="F1702" s="1" t="s">
        <v>5418</v>
      </c>
      <c r="G1702" s="3" t="s">
        <v>3457</v>
      </c>
      <c r="H1702" s="12" cm="1">
        <f t="array" ref="H1702">_xlfn.IFS(I1702&lt;197,I1702*1.26,I1702&gt;197,I1702*1.17) + IF(I1702&gt;1000,17,0)</f>
        <v>962.27819999999986</v>
      </c>
      <c r="I1702" s="10">
        <f>($K$2+0.02)*Tabla1[[#This Row],[PRECIO $]]*1.18</f>
        <v>822.45999999999992</v>
      </c>
      <c r="J1702" s="7">
        <f>+Tabla1[[#This Row],[PRECIO EN SOLES]]-Tabla1[[#This Row],[PC]]</f>
        <v>139.81819999999993</v>
      </c>
    </row>
    <row r="1703" spans="1:10" x14ac:dyDescent="0.25">
      <c r="A1703" s="3" t="s">
        <v>3458</v>
      </c>
      <c r="B1703" s="3" t="s">
        <v>3459</v>
      </c>
      <c r="C1703" s="1">
        <v>20</v>
      </c>
      <c r="D1703" s="1">
        <v>160</v>
      </c>
      <c r="E1703" s="1" t="s">
        <v>3425</v>
      </c>
      <c r="F1703" s="1" t="s">
        <v>5419</v>
      </c>
      <c r="G1703" s="3" t="s">
        <v>3460</v>
      </c>
      <c r="H1703" s="12" cm="1">
        <f t="array" ref="H1703">_xlfn.IFS(I1703&lt;197,I1703*1.26,I1703&gt;197,I1703*1.17) + IF(I1703&gt;1000,17,0)</f>
        <v>751.04639999999995</v>
      </c>
      <c r="I1703" s="10">
        <f>($K$2+0.02)*Tabla1[[#This Row],[PRECIO $]]*1.18</f>
        <v>641.91999999999996</v>
      </c>
      <c r="J1703" s="7">
        <f>+Tabla1[[#This Row],[PRECIO EN SOLES]]-Tabla1[[#This Row],[PC]]</f>
        <v>109.12639999999999</v>
      </c>
    </row>
    <row r="1704" spans="1:10" x14ac:dyDescent="0.25">
      <c r="A1704" s="3" t="s">
        <v>3461</v>
      </c>
      <c r="B1704" s="3" t="s">
        <v>3462</v>
      </c>
      <c r="C1704" s="1">
        <v>6</v>
      </c>
      <c r="D1704" s="1">
        <v>110</v>
      </c>
      <c r="E1704" s="1" t="s">
        <v>254</v>
      </c>
      <c r="F1704" s="1" t="s">
        <v>5420</v>
      </c>
      <c r="G1704" s="3" t="s">
        <v>3463</v>
      </c>
      <c r="H1704" s="12" cm="1">
        <f t="array" ref="H1704">_xlfn.IFS(I1704&lt;197,I1704*1.26,I1704&gt;197,I1704*1.17) + IF(I1704&gt;1000,17,0)</f>
        <v>516.34439999999995</v>
      </c>
      <c r="I1704" s="10">
        <f>($K$2+0.02)*Tabla1[[#This Row],[PRECIO $]]*1.18</f>
        <v>441.32</v>
      </c>
      <c r="J1704" s="7">
        <f>+Tabla1[[#This Row],[PRECIO EN SOLES]]-Tabla1[[#This Row],[PC]]</f>
        <v>75.024399999999957</v>
      </c>
    </row>
    <row r="1705" spans="1:10" x14ac:dyDescent="0.25">
      <c r="A1705" s="3" t="s">
        <v>3464</v>
      </c>
      <c r="B1705" s="3" t="s">
        <v>3465</v>
      </c>
      <c r="C1705" s="1">
        <v>1</v>
      </c>
      <c r="D1705" s="1">
        <v>75</v>
      </c>
      <c r="E1705" s="1" t="s">
        <v>2597</v>
      </c>
      <c r="F1705" s="1" t="s">
        <v>5421</v>
      </c>
      <c r="G1705" s="3"/>
      <c r="H1705" s="12" cm="1">
        <f t="array" ref="H1705">_xlfn.IFS(I1705&lt;197,I1705*1.26,I1705&gt;197,I1705*1.17) + IF(I1705&gt;1000,17,0)</f>
        <v>352.05299999999994</v>
      </c>
      <c r="I1705" s="10">
        <f>($K$2+0.02)*Tabla1[[#This Row],[PRECIO $]]*1.18</f>
        <v>300.89999999999998</v>
      </c>
      <c r="J1705" s="7">
        <f>+Tabla1[[#This Row],[PRECIO EN SOLES]]-Tabla1[[#This Row],[PC]]</f>
        <v>51.152999999999963</v>
      </c>
    </row>
    <row r="1706" spans="1:10" x14ac:dyDescent="0.25">
      <c r="A1706" s="3" t="s">
        <v>3466</v>
      </c>
      <c r="B1706" s="3" t="s">
        <v>3467</v>
      </c>
      <c r="C1706" s="1">
        <v>20</v>
      </c>
      <c r="D1706" s="1">
        <v>15.3</v>
      </c>
      <c r="E1706" s="1" t="s">
        <v>58</v>
      </c>
      <c r="F1706" s="1" t="s">
        <v>5422</v>
      </c>
      <c r="G1706" s="3" t="s">
        <v>3468</v>
      </c>
      <c r="H1706" s="12" cm="1">
        <f t="array" ref="H1706">_xlfn.IFS(I1706&lt;197,I1706*1.26,I1706&gt;197,I1706*1.17) + IF(I1706&gt;1000,17,0)</f>
        <v>77.343336000000008</v>
      </c>
      <c r="I1706" s="10">
        <f>($K$2+0.02)*Tabla1[[#This Row],[PRECIO $]]*1.18</f>
        <v>61.383600000000001</v>
      </c>
      <c r="J1706" s="7">
        <f>+Tabla1[[#This Row],[PRECIO EN SOLES]]-Tabla1[[#This Row],[PC]]</f>
        <v>15.959736000000007</v>
      </c>
    </row>
    <row r="1707" spans="1:10" x14ac:dyDescent="0.25">
      <c r="A1707" s="3" t="s">
        <v>3469</v>
      </c>
      <c r="B1707" s="3" t="s">
        <v>3470</v>
      </c>
      <c r="C1707" s="1">
        <v>20</v>
      </c>
      <c r="D1707" s="1">
        <v>34.700000000000003</v>
      </c>
      <c r="E1707" s="1" t="s">
        <v>58</v>
      </c>
      <c r="F1707" s="1" t="s">
        <v>5423</v>
      </c>
      <c r="G1707" s="3" t="s">
        <v>3471</v>
      </c>
      <c r="H1707" s="12" cm="1">
        <f t="array" ref="H1707">_xlfn.IFS(I1707&lt;197,I1707*1.26,I1707&gt;197,I1707*1.17) + IF(I1707&gt;1000,17,0)</f>
        <v>175.41266400000001</v>
      </c>
      <c r="I1707" s="10">
        <f>($K$2+0.02)*Tabla1[[#This Row],[PRECIO $]]*1.18</f>
        <v>139.21639999999999</v>
      </c>
      <c r="J1707" s="7">
        <f>+Tabla1[[#This Row],[PRECIO EN SOLES]]-Tabla1[[#This Row],[PC]]</f>
        <v>36.196264000000014</v>
      </c>
    </row>
    <row r="1708" spans="1:10" x14ac:dyDescent="0.25">
      <c r="A1708" s="3" t="s">
        <v>5881</v>
      </c>
      <c r="B1708" s="3" t="s">
        <v>5882</v>
      </c>
      <c r="C1708" s="1">
        <v>0</v>
      </c>
      <c r="D1708" s="1">
        <v>1606</v>
      </c>
      <c r="E1708" s="1" t="s">
        <v>122</v>
      </c>
      <c r="F1708" s="1" t="s">
        <v>5883</v>
      </c>
      <c r="G1708" s="3" t="s">
        <v>5884</v>
      </c>
      <c r="H1708" s="12" cm="1">
        <f t="array" ref="H1708">_xlfn.IFS(I1708&lt;197,I1708*1.26,I1708&gt;197,I1708*1.17) + IF(I1708&gt;1000,17,0)</f>
        <v>7555.6282399999982</v>
      </c>
      <c r="I1708" s="10">
        <f>($K$2+0.02)*Tabla1[[#This Row],[PRECIO $]]*1.18</f>
        <v>6443.271999999999</v>
      </c>
      <c r="J1708" s="7">
        <f>+Tabla1[[#This Row],[PRECIO EN SOLES]]-Tabla1[[#This Row],[PC]]</f>
        <v>1112.3562399999992</v>
      </c>
    </row>
    <row r="1709" spans="1:10" x14ac:dyDescent="0.25">
      <c r="A1709" s="3" t="s">
        <v>5885</v>
      </c>
      <c r="B1709" s="3" t="s">
        <v>5886</v>
      </c>
      <c r="C1709" s="1">
        <v>0</v>
      </c>
      <c r="D1709" s="1">
        <v>1449</v>
      </c>
      <c r="E1709" s="1" t="s">
        <v>122</v>
      </c>
      <c r="F1709" s="1" t="s">
        <v>5887</v>
      </c>
      <c r="G1709" s="3" t="s">
        <v>5888</v>
      </c>
      <c r="H1709" s="12" cm="1">
        <f t="array" ref="H1709">_xlfn.IFS(I1709&lt;197,I1709*1.26,I1709&gt;197,I1709*1.17) + IF(I1709&gt;1000,17,0)</f>
        <v>6818.663959999998</v>
      </c>
      <c r="I1709" s="10">
        <f>($K$2+0.02)*Tabla1[[#This Row],[PRECIO $]]*1.18</f>
        <v>5813.387999999999</v>
      </c>
      <c r="J1709" s="7">
        <f>+Tabla1[[#This Row],[PRECIO EN SOLES]]-Tabla1[[#This Row],[PC]]</f>
        <v>1005.275959999999</v>
      </c>
    </row>
    <row r="1710" spans="1:10" x14ac:dyDescent="0.25">
      <c r="A1710" s="3" t="s">
        <v>6463</v>
      </c>
      <c r="B1710" s="3" t="s">
        <v>6464</v>
      </c>
      <c r="C1710" s="1">
        <v>0</v>
      </c>
      <c r="D1710" s="1">
        <v>1620</v>
      </c>
      <c r="E1710" s="1" t="s">
        <v>256</v>
      </c>
      <c r="F1710" s="1" t="s">
        <v>6465</v>
      </c>
      <c r="G1710" s="3" t="s">
        <v>6466</v>
      </c>
      <c r="H1710" s="12" cm="1">
        <f t="array" ref="H1710">_xlfn.IFS(I1710&lt;197,I1710*1.26,I1710&gt;197,I1710*1.17) + IF(I1710&gt;1000,17,0)</f>
        <v>7621.3447999999989</v>
      </c>
      <c r="I1710" s="10">
        <f>($K$2+0.02)*Tabla1[[#This Row],[PRECIO $]]*1.18</f>
        <v>6499.44</v>
      </c>
      <c r="J1710" s="7">
        <f>+Tabla1[[#This Row],[PRECIO EN SOLES]]-Tabla1[[#This Row],[PC]]</f>
        <v>1121.9047999999993</v>
      </c>
    </row>
    <row r="1711" spans="1:10" x14ac:dyDescent="0.25">
      <c r="A1711" s="3" t="s">
        <v>6467</v>
      </c>
      <c r="B1711" s="3" t="s">
        <v>6468</v>
      </c>
      <c r="C1711" s="1">
        <v>0</v>
      </c>
      <c r="D1711" s="1">
        <v>1450</v>
      </c>
      <c r="E1711" s="1" t="s">
        <v>256</v>
      </c>
      <c r="F1711" s="1" t="s">
        <v>6469</v>
      </c>
      <c r="G1711" s="3" t="s">
        <v>6470</v>
      </c>
      <c r="H1711" s="12" cm="1">
        <f t="array" ref="H1711">_xlfn.IFS(I1711&lt;197,I1711*1.26,I1711&gt;197,I1711*1.17) + IF(I1711&gt;1000,17,0)</f>
        <v>6823.3579999999993</v>
      </c>
      <c r="I1711" s="10">
        <f>($K$2+0.02)*Tabla1[[#This Row],[PRECIO $]]*1.18</f>
        <v>5817.4</v>
      </c>
      <c r="J1711" s="7">
        <f>+Tabla1[[#This Row],[PRECIO EN SOLES]]-Tabla1[[#This Row],[PC]]</f>
        <v>1005.9579999999996</v>
      </c>
    </row>
    <row r="1712" spans="1:10" x14ac:dyDescent="0.25">
      <c r="A1712" s="3" t="s">
        <v>5889</v>
      </c>
      <c r="B1712" s="3" t="s">
        <v>5890</v>
      </c>
      <c r="C1712" s="1">
        <v>1</v>
      </c>
      <c r="D1712" s="1">
        <v>297</v>
      </c>
      <c r="E1712" s="1" t="s">
        <v>122</v>
      </c>
      <c r="F1712" s="1" t="s">
        <v>5891</v>
      </c>
      <c r="G1712" s="3" t="s">
        <v>5892</v>
      </c>
      <c r="H1712" s="12" cm="1">
        <f t="array" ref="H1712">_xlfn.IFS(I1712&lt;197,I1712*1.26,I1712&gt;197,I1712*1.17) + IF(I1712&gt;1000,17,0)</f>
        <v>1411.1298799999997</v>
      </c>
      <c r="I1712" s="10">
        <f>($K$2+0.02)*Tabla1[[#This Row],[PRECIO $]]*1.18</f>
        <v>1191.5639999999999</v>
      </c>
      <c r="J1712" s="7">
        <f>+Tabla1[[#This Row],[PRECIO EN SOLES]]-Tabla1[[#This Row],[PC]]</f>
        <v>219.56587999999988</v>
      </c>
    </row>
    <row r="1713" spans="1:10" x14ac:dyDescent="0.25">
      <c r="A1713" s="3" t="s">
        <v>5893</v>
      </c>
      <c r="B1713" s="3" t="s">
        <v>5894</v>
      </c>
      <c r="C1713" s="1">
        <v>0</v>
      </c>
      <c r="D1713" s="1">
        <v>542</v>
      </c>
      <c r="E1713" s="1" t="s">
        <v>122</v>
      </c>
      <c r="F1713" s="1" t="s">
        <v>5895</v>
      </c>
      <c r="G1713" s="3" t="s">
        <v>5896</v>
      </c>
      <c r="H1713" s="12" cm="1">
        <f t="array" ref="H1713">_xlfn.IFS(I1713&lt;197,I1713*1.26,I1713&gt;197,I1713*1.17) + IF(I1713&gt;1000,17,0)</f>
        <v>2561.1696799999995</v>
      </c>
      <c r="I1713" s="10">
        <f>($K$2+0.02)*Tabla1[[#This Row],[PRECIO $]]*1.18</f>
        <v>2174.5039999999999</v>
      </c>
      <c r="J1713" s="7">
        <f>+Tabla1[[#This Row],[PRECIO EN SOLES]]-Tabla1[[#This Row],[PC]]</f>
        <v>386.66567999999961</v>
      </c>
    </row>
    <row r="1714" spans="1:10" x14ac:dyDescent="0.25">
      <c r="A1714" s="3" t="s">
        <v>3472</v>
      </c>
      <c r="B1714" s="3" t="s">
        <v>3473</v>
      </c>
      <c r="C1714" s="1">
        <v>20</v>
      </c>
      <c r="D1714" s="1">
        <v>545</v>
      </c>
      <c r="E1714" s="1" t="s">
        <v>1104</v>
      </c>
      <c r="F1714" s="1" t="s">
        <v>5424</v>
      </c>
      <c r="G1714" s="3" t="s">
        <v>3474</v>
      </c>
      <c r="H1714" s="12" cm="1">
        <f t="array" ref="H1714">_xlfn.IFS(I1714&lt;197,I1714*1.26,I1714&gt;197,I1714*1.17) + IF(I1714&gt;1000,17,0)</f>
        <v>2575.2518</v>
      </c>
      <c r="I1714" s="10">
        <f>($K$2+0.02)*Tabla1[[#This Row],[PRECIO $]]*1.18</f>
        <v>2186.54</v>
      </c>
      <c r="J1714" s="7">
        <f>+Tabla1[[#This Row],[PRECIO EN SOLES]]-Tabla1[[#This Row],[PC]]</f>
        <v>388.71180000000004</v>
      </c>
    </row>
    <row r="1715" spans="1:10" x14ac:dyDescent="0.25">
      <c r="A1715" s="3" t="s">
        <v>3475</v>
      </c>
      <c r="B1715" s="3" t="s">
        <v>3476</v>
      </c>
      <c r="C1715" s="1">
        <v>13</v>
      </c>
      <c r="D1715" s="1">
        <v>545</v>
      </c>
      <c r="E1715" s="1" t="s">
        <v>1104</v>
      </c>
      <c r="F1715" s="1" t="s">
        <v>5425</v>
      </c>
      <c r="G1715" s="3" t="s">
        <v>3477</v>
      </c>
      <c r="H1715" s="12" cm="1">
        <f t="array" ref="H1715">_xlfn.IFS(I1715&lt;197,I1715*1.26,I1715&gt;197,I1715*1.17) + IF(I1715&gt;1000,17,0)</f>
        <v>2575.2518</v>
      </c>
      <c r="I1715" s="10">
        <f>($K$2+0.02)*Tabla1[[#This Row],[PRECIO $]]*1.18</f>
        <v>2186.54</v>
      </c>
      <c r="J1715" s="7">
        <f>+Tabla1[[#This Row],[PRECIO EN SOLES]]-Tabla1[[#This Row],[PC]]</f>
        <v>388.71180000000004</v>
      </c>
    </row>
    <row r="1716" spans="1:10" x14ac:dyDescent="0.25">
      <c r="A1716" s="3" t="s">
        <v>5897</v>
      </c>
      <c r="B1716" s="3" t="s">
        <v>5898</v>
      </c>
      <c r="C1716" s="1">
        <v>0</v>
      </c>
      <c r="D1716" s="1">
        <v>511</v>
      </c>
      <c r="E1716" s="1" t="s">
        <v>122</v>
      </c>
      <c r="F1716" s="1" t="s">
        <v>5899</v>
      </c>
      <c r="G1716" s="3" t="s">
        <v>6471</v>
      </c>
      <c r="H1716" s="12" cm="1">
        <f t="array" ref="H1716">_xlfn.IFS(I1716&lt;197,I1716*1.26,I1716&gt;197,I1716*1.17) + IF(I1716&gt;1000,17,0)</f>
        <v>2415.6544399999993</v>
      </c>
      <c r="I1716" s="10">
        <f>($K$2+0.02)*Tabla1[[#This Row],[PRECIO $]]*1.18</f>
        <v>2050.1319999999996</v>
      </c>
      <c r="J1716" s="7">
        <f>+Tabla1[[#This Row],[PRECIO EN SOLES]]-Tabla1[[#This Row],[PC]]</f>
        <v>365.52243999999973</v>
      </c>
    </row>
    <row r="1717" spans="1:10" x14ac:dyDescent="0.25">
      <c r="A1717" s="3" t="s">
        <v>5900</v>
      </c>
      <c r="B1717" s="3" t="s">
        <v>5901</v>
      </c>
      <c r="C1717" s="1">
        <v>1</v>
      </c>
      <c r="D1717" s="1">
        <v>559</v>
      </c>
      <c r="E1717" s="1" t="s">
        <v>122</v>
      </c>
      <c r="F1717" s="1" t="s">
        <v>5902</v>
      </c>
      <c r="G1717" s="3" t="s">
        <v>5903</v>
      </c>
      <c r="H1717" s="12" cm="1">
        <f t="array" ref="H1717">_xlfn.IFS(I1717&lt;197,I1717*1.26,I1717&gt;197,I1717*1.17) + IF(I1717&gt;1000,17,0)</f>
        <v>2640.9683599999994</v>
      </c>
      <c r="I1717" s="10">
        <f>($K$2+0.02)*Tabla1[[#This Row],[PRECIO $]]*1.18</f>
        <v>2242.7079999999996</v>
      </c>
      <c r="J1717" s="7">
        <f>+Tabla1[[#This Row],[PRECIO EN SOLES]]-Tabla1[[#This Row],[PC]]</f>
        <v>398.26035999999976</v>
      </c>
    </row>
    <row r="1718" spans="1:10" x14ac:dyDescent="0.25">
      <c r="A1718" s="3" t="s">
        <v>6472</v>
      </c>
      <c r="B1718" s="3" t="s">
        <v>6473</v>
      </c>
      <c r="C1718" s="1">
        <v>10</v>
      </c>
      <c r="D1718" s="1">
        <v>786</v>
      </c>
      <c r="E1718" s="1" t="s">
        <v>256</v>
      </c>
      <c r="F1718" s="1" t="s">
        <v>6474</v>
      </c>
      <c r="G1718" s="3" t="s">
        <v>6475</v>
      </c>
      <c r="H1718" s="12" cm="1">
        <f t="array" ref="H1718">_xlfn.IFS(I1718&lt;197,I1718*1.26,I1718&gt;197,I1718*1.17) + IF(I1718&gt;1000,17,0)</f>
        <v>3706.5154399999997</v>
      </c>
      <c r="I1718" s="10">
        <f>($K$2+0.02)*Tabla1[[#This Row],[PRECIO $]]*1.18</f>
        <v>3153.4319999999998</v>
      </c>
      <c r="J1718" s="7">
        <f>+Tabla1[[#This Row],[PRECIO EN SOLES]]-Tabla1[[#This Row],[PC]]</f>
        <v>553.08343999999988</v>
      </c>
    </row>
    <row r="1719" spans="1:10" x14ac:dyDescent="0.25">
      <c r="A1719" s="3" t="s">
        <v>6476</v>
      </c>
      <c r="B1719" s="3" t="s">
        <v>6477</v>
      </c>
      <c r="C1719" s="1">
        <v>0</v>
      </c>
      <c r="D1719" s="1">
        <v>910</v>
      </c>
      <c r="E1719" s="1" t="s">
        <v>256</v>
      </c>
      <c r="F1719" s="1" t="s">
        <v>6478</v>
      </c>
      <c r="G1719" s="3" t="s">
        <v>6479</v>
      </c>
      <c r="H1719" s="12" cm="1">
        <f t="array" ref="H1719">_xlfn.IFS(I1719&lt;197,I1719*1.26,I1719&gt;197,I1719*1.17) + IF(I1719&gt;1000,17,0)</f>
        <v>4288.576399999999</v>
      </c>
      <c r="I1719" s="10">
        <f>($K$2+0.02)*Tabla1[[#This Row],[PRECIO $]]*1.18</f>
        <v>3650.9199999999996</v>
      </c>
      <c r="J1719" s="7">
        <f>+Tabla1[[#This Row],[PRECIO EN SOLES]]-Tabla1[[#This Row],[PC]]</f>
        <v>637.65639999999939</v>
      </c>
    </row>
    <row r="1720" spans="1:10" x14ac:dyDescent="0.25">
      <c r="A1720" s="3" t="s">
        <v>3478</v>
      </c>
      <c r="B1720" s="3" t="s">
        <v>3479</v>
      </c>
      <c r="C1720" s="1">
        <v>18</v>
      </c>
      <c r="D1720" s="1">
        <v>638</v>
      </c>
      <c r="E1720" s="1" t="s">
        <v>3480</v>
      </c>
      <c r="F1720" s="1" t="s">
        <v>5426</v>
      </c>
      <c r="G1720" s="3" t="s">
        <v>3481</v>
      </c>
      <c r="H1720" s="12" cm="1">
        <f t="array" ref="H1720">_xlfn.IFS(I1720&lt;197,I1720*1.26,I1720&gt;197,I1720*1.17) + IF(I1720&gt;1000,17,0)</f>
        <v>3011.7975199999992</v>
      </c>
      <c r="I1720" s="10">
        <f>($K$2+0.02)*Tabla1[[#This Row],[PRECIO $]]*1.18</f>
        <v>2559.6559999999995</v>
      </c>
      <c r="J1720" s="7">
        <f>+Tabla1[[#This Row],[PRECIO EN SOLES]]-Tabla1[[#This Row],[PC]]</f>
        <v>452.14151999999967</v>
      </c>
    </row>
    <row r="1721" spans="1:10" x14ac:dyDescent="0.25">
      <c r="A1721" s="3" t="s">
        <v>3482</v>
      </c>
      <c r="B1721" s="3" t="s">
        <v>3483</v>
      </c>
      <c r="C1721" s="1">
        <v>9</v>
      </c>
      <c r="D1721" s="1">
        <v>617</v>
      </c>
      <c r="E1721" s="1" t="s">
        <v>3480</v>
      </c>
      <c r="F1721" s="1" t="s">
        <v>5427</v>
      </c>
      <c r="G1721" s="3" t="s">
        <v>3484</v>
      </c>
      <c r="H1721" s="12" cm="1">
        <f t="array" ref="H1721">_xlfn.IFS(I1721&lt;197,I1721*1.26,I1721&gt;197,I1721*1.17) + IF(I1721&gt;1000,17,0)</f>
        <v>2913.2226799999994</v>
      </c>
      <c r="I1721" s="10">
        <f>($K$2+0.02)*Tabla1[[#This Row],[PRECIO $]]*1.18</f>
        <v>2475.4039999999995</v>
      </c>
      <c r="J1721" s="7">
        <f>+Tabla1[[#This Row],[PRECIO EN SOLES]]-Tabla1[[#This Row],[PC]]</f>
        <v>437.81867999999986</v>
      </c>
    </row>
    <row r="1722" spans="1:10" x14ac:dyDescent="0.25">
      <c r="A1722" s="3" t="s">
        <v>3978</v>
      </c>
      <c r="B1722" s="3" t="s">
        <v>3979</v>
      </c>
      <c r="C1722" s="1">
        <v>1</v>
      </c>
      <c r="D1722" s="1">
        <v>269.3</v>
      </c>
      <c r="E1722" s="1" t="s">
        <v>256</v>
      </c>
      <c r="F1722" s="1" t="s">
        <v>5428</v>
      </c>
      <c r="G1722" s="3" t="s">
        <v>3980</v>
      </c>
      <c r="H1722" s="12" cm="1">
        <f t="array" ref="H1722">_xlfn.IFS(I1722&lt;197,I1722*1.26,I1722&gt;197,I1722*1.17) + IF(I1722&gt;1000,17,0)</f>
        <v>1281.1049719999999</v>
      </c>
      <c r="I1722" s="10">
        <f>($K$2+0.02)*Tabla1[[#This Row],[PRECIO $]]*1.18</f>
        <v>1080.4315999999999</v>
      </c>
      <c r="J1722" s="7">
        <f>+Tabla1[[#This Row],[PRECIO EN SOLES]]-Tabla1[[#This Row],[PC]]</f>
        <v>200.67337199999997</v>
      </c>
    </row>
    <row r="1723" spans="1:10" x14ac:dyDescent="0.25">
      <c r="A1723" s="3" t="s">
        <v>5904</v>
      </c>
      <c r="B1723" s="3" t="s">
        <v>5905</v>
      </c>
      <c r="C1723" s="1">
        <v>20</v>
      </c>
      <c r="D1723" s="1">
        <v>1.95</v>
      </c>
      <c r="E1723" s="1" t="s">
        <v>58</v>
      </c>
      <c r="F1723" s="1" t="s">
        <v>5906</v>
      </c>
      <c r="G1723" s="3" t="s">
        <v>5907</v>
      </c>
      <c r="H1723" s="12" cm="1">
        <f t="array" ref="H1723">_xlfn.IFS(I1723&lt;197,I1723*1.26,I1723&gt;197,I1723*1.17) + IF(I1723&gt;1000,17,0)</f>
        <v>9.8574839999999995</v>
      </c>
      <c r="I1723" s="10">
        <f>($K$2+0.02)*Tabla1[[#This Row],[PRECIO $]]*1.18</f>
        <v>7.8233999999999995</v>
      </c>
      <c r="J1723" s="7">
        <f>+Tabla1[[#This Row],[PRECIO EN SOLES]]-Tabla1[[#This Row],[PC]]</f>
        <v>2.034084</v>
      </c>
    </row>
    <row r="1724" spans="1:10" x14ac:dyDescent="0.25">
      <c r="A1724" s="3" t="s">
        <v>3485</v>
      </c>
      <c r="B1724" s="3" t="s">
        <v>3486</v>
      </c>
      <c r="C1724" s="1">
        <v>20</v>
      </c>
      <c r="D1724" s="1">
        <v>5.5</v>
      </c>
      <c r="E1724" s="1" t="s">
        <v>58</v>
      </c>
      <c r="F1724" s="1" t="s">
        <v>5429</v>
      </c>
      <c r="G1724" s="3" t="s">
        <v>3487</v>
      </c>
      <c r="H1724" s="12" cm="1">
        <f t="array" ref="H1724">_xlfn.IFS(I1724&lt;197,I1724*1.26,I1724&gt;197,I1724*1.17) + IF(I1724&gt;1000,17,0)</f>
        <v>27.803159999999998</v>
      </c>
      <c r="I1724" s="10">
        <f>($K$2+0.02)*Tabla1[[#This Row],[PRECIO $]]*1.18</f>
        <v>22.065999999999999</v>
      </c>
      <c r="J1724" s="7">
        <f>+Tabla1[[#This Row],[PRECIO EN SOLES]]-Tabla1[[#This Row],[PC]]</f>
        <v>5.7371599999999994</v>
      </c>
    </row>
    <row r="1725" spans="1:10" x14ac:dyDescent="0.25">
      <c r="A1725" s="3" t="s">
        <v>3488</v>
      </c>
      <c r="B1725" s="3" t="s">
        <v>3489</v>
      </c>
      <c r="C1725" s="1">
        <v>20</v>
      </c>
      <c r="D1725" s="1">
        <v>4.8</v>
      </c>
      <c r="E1725" s="1" t="s">
        <v>58</v>
      </c>
      <c r="F1725" s="1" t="s">
        <v>5430</v>
      </c>
      <c r="G1725" s="3" t="s">
        <v>3490</v>
      </c>
      <c r="H1725" s="12" cm="1">
        <f t="array" ref="H1725">_xlfn.IFS(I1725&lt;197,I1725*1.26,I1725&gt;197,I1725*1.17) + IF(I1725&gt;1000,17,0)</f>
        <v>24.264576000000002</v>
      </c>
      <c r="I1725" s="10">
        <f>($K$2+0.02)*Tabla1[[#This Row],[PRECIO $]]*1.18</f>
        <v>19.2576</v>
      </c>
      <c r="J1725" s="7">
        <f>+Tabla1[[#This Row],[PRECIO EN SOLES]]-Tabla1[[#This Row],[PC]]</f>
        <v>5.0069760000000016</v>
      </c>
    </row>
    <row r="1726" spans="1:10" x14ac:dyDescent="0.25">
      <c r="A1726" s="3" t="s">
        <v>3494</v>
      </c>
      <c r="B1726" s="3" t="s">
        <v>3495</v>
      </c>
      <c r="C1726" s="1">
        <v>3</v>
      </c>
      <c r="D1726" s="1">
        <v>296</v>
      </c>
      <c r="E1726" s="1" t="s">
        <v>58</v>
      </c>
      <c r="F1726" s="1" t="s">
        <v>5431</v>
      </c>
      <c r="G1726" s="3" t="s">
        <v>3496</v>
      </c>
      <c r="H1726" s="12" cm="1">
        <f t="array" ref="H1726">_xlfn.IFS(I1726&lt;197,I1726*1.26,I1726&gt;197,I1726*1.17) + IF(I1726&gt;1000,17,0)</f>
        <v>1406.4358399999999</v>
      </c>
      <c r="I1726" s="10">
        <f>($K$2+0.02)*Tabla1[[#This Row],[PRECIO $]]*1.18</f>
        <v>1187.5519999999999</v>
      </c>
      <c r="J1726" s="7">
        <f>+Tabla1[[#This Row],[PRECIO EN SOLES]]-Tabla1[[#This Row],[PC]]</f>
        <v>218.88383999999996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($K$2+0.02)*Tabla1[[#This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($K$2+0.02)*Tabla1[[#This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($K$2+0.02)*Tabla1[[#This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($K$2+0.02)*Tabla1[[#This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($K$2+0.02)*Tabla1[[#This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($K$2+0.02)*Tabla1[[#This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($K$2+0.02)*Tabla1[[#This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($K$2+0.02)*Tabla1[[#This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($K$2+0.02)*Tabla1[[#This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($K$2+0.02)*Tabla1[[#This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($K$2+0.02)*Tabla1[[#This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($K$2+0.02)*Tabla1[[#This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($K$2+0.02)*Tabla1[[#This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($K$2+0.02)*Tabla1[[#This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($K$2+0.02)*Tabla1[[#This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($K$2+0.02)*Tabla1[[#This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($K$2+0.02)*Tabla1[[#This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($K$2+0.02)*Tabla1[[#This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($K$2+0.02)*Tabla1[[#This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($K$2+0.02)*Tabla1[[#This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($K$2+0.02)*Tabla1[[#This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($K$2+0.02)*Tabla1[[#This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($K$2+0.02)*Tabla1[[#This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($K$2+0.02)*Tabla1[[#This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($K$2+0.02)*Tabla1[[#This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($K$2+0.02)*Tabla1[[#This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($K$2+0.02)*Tabla1[[#This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($K$2+0.02)*Tabla1[[#This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($K$2+0.02)*Tabla1[[#This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($K$2+0.02)*Tabla1[[#This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($K$2+0.02)*Tabla1[[#This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($K$2+0.02)*Tabla1[[#This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($K$2+0.02)*Tabla1[[#This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($K$2+0.02)*Tabla1[[#This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($K$2+0.02)*Tabla1[[#This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($K$2+0.02)*Tabla1[[#This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($K$2+0.02)*Tabla1[[#This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($K$2+0.02)*Tabla1[[#This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($K$2+0.02)*Tabla1[[#This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($K$2+0.02)*Tabla1[[#This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($K$2+0.02)*Tabla1[[#This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($K$2+0.02)*Tabla1[[#This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($K$2+0.02)*Tabla1[[#This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($K$2+0.02)*Tabla1[[#This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($K$2+0.02)*Tabla1[[#This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($K$2+0.02)*Tabla1[[#This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($K$2+0.02)*Tabla1[[#This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($K$2+0.02)*Tabla1[[#This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($K$2+0.02)*Tabla1[[#This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($K$2+0.02)*Tabla1[[#This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($K$2+0.02)*Tabla1[[#This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($K$2+0.02)*Tabla1[[#This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($K$2+0.02)*Tabla1[[#This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($K$2+0.02)*Tabla1[[#This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($K$2+0.02)*Tabla1[[#This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($K$2+0.02)*Tabla1[[#This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($K$2+0.02)*Tabla1[[#This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($K$2+0.02)*Tabla1[[#This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($K$2+0.02)*Tabla1[[#This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($K$2+0.02)*Tabla1[[#This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($K$2+0.02)*Tabla1[[#This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($K$2+0.02)*Tabla1[[#This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($K$2+0.02)*Tabla1[[#This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($K$2+0.02)*Tabla1[[#This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($K$2+0.02)*Tabla1[[#This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($K$2+0.02)*Tabla1[[#This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($K$2+0.02)*Tabla1[[#This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($K$2+0.02)*Tabla1[[#This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($K$2+0.02)*Tabla1[[#This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($K$2+0.02)*Tabla1[[#This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($K$2+0.02)*Tabla1[[#This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($K$2+0.02)*Tabla1[[#This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($K$2+0.02)*Tabla1[[#This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($K$2+0.02)*Tabla1[[#This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($K$2+0.02)*Tabla1[[#This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($K$2+0.02)*Tabla1[[#This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($K$2+0.02)*Tabla1[[#This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($K$2+0.02)*Tabla1[[#This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($K$2+0.02)*Tabla1[[#This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($K$2+0.02)*Tabla1[[#This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($K$2+0.02)*Tabla1[[#This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($K$2+0.02)*Tabla1[[#This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($K$2+0.02)*Tabla1[[#This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($K$2+0.02)*Tabla1[[#This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($K$2+0.02)*Tabla1[[#This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($K$2+0.02)*Tabla1[[#This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($K$2+0.02)*Tabla1[[#This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($K$2+0.02)*Tabla1[[#This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($K$2+0.02)*Tabla1[[#This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($K$2+0.02)*Tabla1[[#This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($K$2+0.02)*Tabla1[[#This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($K$2+0.02)*Tabla1[[#This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($K$2+0.02)*Tabla1[[#This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($K$2+0.02)*Tabla1[[#This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($K$2+0.02)*Tabla1[[#This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($K$2+0.02)*Tabla1[[#This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($K$2+0.02)*Tabla1[[#This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($K$2+0.02)*Tabla1[[#This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($K$2+0.02)*Tabla1[[#This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($K$2+0.02)*Tabla1[[#This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($K$2+0.02)*Tabla1[[#This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($K$2+0.02)*Tabla1[[#This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($K$2+0.02)*Tabla1[[#This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($K$2+0.02)*Tabla1[[#This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($K$2+0.02)*Tabla1[[#This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($K$2+0.02)*Tabla1[[#This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($K$2+0.02)*Tabla1[[#This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($K$2+0.02)*Tabla1[[#This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($K$2+0.02)*Tabla1[[#This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($K$2+0.02)*Tabla1[[#This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($K$2+0.02)*Tabla1[[#This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($K$2+0.02)*Tabla1[[#This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($K$2+0.02)*Tabla1[[#This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($K$2+0.02)*Tabla1[[#This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($K$2+0.02)*Tabla1[[#This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($K$2+0.02)*Tabla1[[#This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($K$2+0.02)*Tabla1[[#This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($K$2+0.02)*Tabla1[[#This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($K$2+0.02)*Tabla1[[#This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($K$2+0.02)*Tabla1[[#This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($K$2+0.02)*Tabla1[[#This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($K$2+0.02)*Tabla1[[#This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($K$2+0.02)*Tabla1[[#This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($K$2+0.02)*Tabla1[[#This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($K$2+0.02)*Tabla1[[#This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($K$2+0.02)*Tabla1[[#This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($K$2+0.02)*Tabla1[[#This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($K$2+0.02)*Tabla1[[#This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($K$2+0.02)*Tabla1[[#This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($K$2+0.02)*Tabla1[[#This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($K$2+0.02)*Tabla1[[#This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($K$2+0.02)*Tabla1[[#This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($K$2+0.02)*Tabla1[[#This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($K$2+0.02)*Tabla1[[#This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($K$2+0.02)*Tabla1[[#This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($K$2+0.02)*Tabla1[[#This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($K$2+0.02)*Tabla1[[#This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($K$2+0.02)*Tabla1[[#This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($K$2+0.02)*Tabla1[[#This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($K$2+0.02)*Tabla1[[#This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($K$2+0.02)*Tabla1[[#This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($K$2+0.02)*Tabla1[[#This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($K$2+0.02)*Tabla1[[#This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($K$2+0.02)*Tabla1[[#This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($K$2+0.02)*Tabla1[[#This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($K$2+0.02)*Tabla1[[#This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($K$2+0.02)*Tabla1[[#This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($K$2+0.02)*Tabla1[[#This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($K$2+0.02)*Tabla1[[#This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($K$2+0.02)*Tabla1[[#This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($K$2+0.02)*Tabla1[[#This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($K$2+0.02)*Tabla1[[#This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($K$2+0.02)*Tabla1[[#This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($K$2+0.02)*Tabla1[[#This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($K$2+0.02)*Tabla1[[#This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($K$2+0.02)*Tabla1[[#This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($K$2+0.02)*Tabla1[[#This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($K$2+0.02)*Tabla1[[#This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($K$2+0.02)*Tabla1[[#This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($K$2+0.02)*Tabla1[[#This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($K$2+0.02)*Tabla1[[#This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($K$2+0.02)*Tabla1[[#This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($K$2+0.02)*Tabla1[[#This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($K$2+0.02)*Tabla1[[#This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($K$2+0.02)*Tabla1[[#This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($K$2+0.02)*Tabla1[[#This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($K$2+0.02)*Tabla1[[#This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($K$2+0.02)*Tabla1[[#This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($K$2+0.02)*Tabla1[[#This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($K$2+0.02)*Tabla1[[#This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($K$2+0.02)*Tabla1[[#This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($K$2+0.02)*Tabla1[[#This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($K$2+0.02)*Tabla1[[#This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($K$2+0.02)*Tabla1[[#This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($K$2+0.02)*Tabla1[[#This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($K$2+0.02)*Tabla1[[#This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($K$2+0.02)*Tabla1[[#This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($K$2+0.02)*Tabla1[[#This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($K$2+0.02)*Tabla1[[#This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($K$2+0.02)*Tabla1[[#This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($K$2+0.02)*Tabla1[[#This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($K$2+0.02)*Tabla1[[#This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($K$2+0.02)*Tabla1[[#This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($K$2+0.02)*Tabla1[[#This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($K$2+0.02)*Tabla1[[#This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($K$2+0.02)*Tabla1[[#This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($K$2+0.02)*Tabla1[[#This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($K$2+0.02)*Tabla1[[#This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($K$2+0.02)*Tabla1[[#This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($K$2+0.02)*Tabla1[[#This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($K$2+0.02)*Tabla1[[#This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($K$2+0.02)*Tabla1[[#This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($K$2+0.02)*Tabla1[[#This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($K$2+0.02)*Tabla1[[#This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($K$2+0.02)*Tabla1[[#This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($K$2+0.02)*Tabla1[[#This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($K$2+0.02)*Tabla1[[#This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($K$2+0.02)*Tabla1[[#This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($K$2+0.02)*Tabla1[[#This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($K$2+0.02)*Tabla1[[#This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($K$2+0.02)*Tabla1[[#This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($K$2+0.02)*Tabla1[[#This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($K$2+0.02)*Tabla1[[#This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($K$2+0.02)*Tabla1[[#This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($K$2+0.02)*Tabla1[[#This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($K$2+0.02)*Tabla1[[#This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($K$2+0.02)*Tabla1[[#This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($K$2+0.02)*Tabla1[[#This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($K$2+0.02)*Tabla1[[#This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($K$2+0.02)*Tabla1[[#This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($K$2+0.02)*Tabla1[[#This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($K$2+0.02)*Tabla1[[#This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($K$2+0.02)*Tabla1[[#This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($K$2+0.02)*Tabla1[[#This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($K$2+0.02)*Tabla1[[#This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($K$2+0.02)*Tabla1[[#This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($K$2+0.02)*Tabla1[[#This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($K$2+0.02)*Tabla1[[#This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($K$2+0.02)*Tabla1[[#This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($K$2+0.02)*Tabla1[[#This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($K$2+0.02)*Tabla1[[#This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($K$2+0.02)*Tabla1[[#This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($K$2+0.02)*Tabla1[[#This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($K$2+0.02)*Tabla1[[#This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($K$2+0.02)*Tabla1[[#This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($K$2+0.02)*Tabla1[[#This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($K$2+0.02)*Tabla1[[#This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($K$2+0.02)*Tabla1[[#This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($K$2+0.02)*Tabla1[[#This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($K$2+0.02)*Tabla1[[#This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($K$2+0.02)*Tabla1[[#This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($K$2+0.02)*Tabla1[[#This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($K$2+0.02)*Tabla1[[#This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($K$2+0.02)*Tabla1[[#This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($K$2+0.02)*Tabla1[[#This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($K$2+0.02)*Tabla1[[#This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($K$2+0.02)*Tabla1[[#This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($K$2+0.02)*Tabla1[[#This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($K$2+0.02)*Tabla1[[#This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($K$2+0.02)*Tabla1[[#This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($K$2+0.02)*Tabla1[[#This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($K$2+0.02)*Tabla1[[#This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($K$2+0.02)*Tabla1[[#This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($K$2+0.02)*Tabla1[[#This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($K$2+0.02)*Tabla1[[#This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($K$2+0.02)*Tabla1[[#This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($K$2+0.02)*Tabla1[[#This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($K$2+0.02)*Tabla1[[#This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($K$2+0.02)*Tabla1[[#This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($K$2+0.02)*Tabla1[[#This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($K$2+0.02)*Tabla1[[#This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($K$2+0.02)*Tabla1[[#This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($K$2+0.02)*Tabla1[[#This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($K$2+0.02)*Tabla1[[#This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($K$2+0.02)*Tabla1[[#This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($K$2+0.02)*Tabla1[[#This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($K$2+0.02)*Tabla1[[#This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($K$2+0.02)*Tabla1[[#This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($K$2+0.02)*Tabla1[[#This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($K$2+0.02)*Tabla1[[#This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($K$2+0.02)*Tabla1[[#This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($K$2+0.02)*Tabla1[[#This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($K$2+0.02)*Tabla1[[#This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($K$2+0.02)*Tabla1[[#This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($K$2+0.02)*Tabla1[[#This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($K$2+0.02)*Tabla1[[#This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($K$2+0.02)*Tabla1[[#This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($K$2+0.02)*Tabla1[[#This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($K$2+0.02)*Tabla1[[#This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($K$2+0.02)*Tabla1[[#This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($K$2+0.02)*Tabla1[[#This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($K$2+0.02)*Tabla1[[#This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($K$2+0.02)*Tabla1[[#This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($K$2+0.02)*Tabla1[[#This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($K$2+0.02)*Tabla1[[#This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($K$2+0.02)*Tabla1[[#This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($K$2+0.02)*Tabla1[[#This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($K$2+0.02)*Tabla1[[#This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($K$2+0.02)*Tabla1[[#This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($K$2+0.02)*Tabla1[[#This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($K$2+0.02)*Tabla1[[#This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($K$2+0.02)*Tabla1[[#This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($K$2+0.02)*Tabla1[[#This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($K$2+0.02)*Tabla1[[#This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($K$2+0.02)*Tabla1[[#This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($K$2+0.02)*Tabla1[[#This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($K$2+0.02)*Tabla1[[#This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($K$2+0.02)*Tabla1[[#This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($K$2+0.02)*Tabla1[[#This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($K$2+0.02)*Tabla1[[#This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($K$2+0.02)*Tabla1[[#This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($K$2+0.02)*Tabla1[[#This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($K$2+0.02)*Tabla1[[#This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($K$2+0.02)*Tabla1[[#This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($K$2+0.02)*Tabla1[[#This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($K$2+0.02)*Tabla1[[#This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($K$2+0.02)*Tabla1[[#This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($K$2+0.02)*Tabla1[[#This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($K$2+0.02)*Tabla1[[#This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($K$2+0.02)*Tabla1[[#This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($K$2+0.02)*Tabla1[[#This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($K$2+0.02)*Tabla1[[#This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($K$2+0.02)*Tabla1[[#This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($K$2+0.02)*Tabla1[[#This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($K$2+0.02)*Tabla1[[#This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($K$2+0.02)*Tabla1[[#This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($K$2+0.02)*Tabla1[[#This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($K$2+0.02)*Tabla1[[#This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($K$2+0.02)*Tabla1[[#This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($K$2+0.02)*Tabla1[[#This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($K$2+0.02)*Tabla1[[#This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($K$2+0.02)*Tabla1[[#This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($K$2+0.02)*Tabla1[[#This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($K$2+0.02)*Tabla1[[#This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($K$2+0.02)*Tabla1[[#This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($K$2+0.02)*Tabla1[[#This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($K$2+0.02)*Tabla1[[#This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($K$2+0.02)*Tabla1[[#This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($K$2+0.02)*Tabla1[[#This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($K$2+0.02)*Tabla1[[#This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($K$2+0.02)*Tabla1[[#This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($K$2+0.02)*Tabla1[[#This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($K$2+0.02)*Tabla1[[#This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($K$2+0.02)*Tabla1[[#This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($K$2+0.02)*Tabla1[[#This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($K$2+0.02)*Tabla1[[#This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($K$2+0.02)*Tabla1[[#This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($K$2+0.02)*Tabla1[[#This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($K$2+0.02)*Tabla1[[#This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($K$2+0.02)*Tabla1[[#This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($K$2+0.02)*Tabla1[[#This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($K$2+0.02)*Tabla1[[#This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($K$2+0.02)*Tabla1[[#This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($K$2+0.02)*Tabla1[[#This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($K$2+0.02)*Tabla1[[#This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($K$2+0.02)*Tabla1[[#This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($K$2+0.02)*Tabla1[[#This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($K$2+0.02)*Tabla1[[#This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($K$2+0.02)*Tabla1[[#This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($K$2+0.02)*Tabla1[[#This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($K$2+0.02)*Tabla1[[#This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($K$2+0.02)*Tabla1[[#This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($K$2+0.02)*Tabla1[[#This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($K$2+0.02)*Tabla1[[#This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($K$2+0.02)*Tabla1[[#This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($K$2+0.02)*Tabla1[[#This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($K$2+0.02)*Tabla1[[#This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($K$2+0.02)*Tabla1[[#This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($K$2+0.02)*Tabla1[[#This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($K$2+0.02)*Tabla1[[#This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($K$2+0.02)*Tabla1[[#This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($K$2+0.02)*Tabla1[[#This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($K$2+0.02)*Tabla1[[#This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($K$2+0.02)*Tabla1[[#This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($K$2+0.02)*Tabla1[[#This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($K$2+0.02)*Tabla1[[#This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($K$2+0.02)*Tabla1[[#This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($K$2+0.02)*Tabla1[[#This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($K$2+0.02)*Tabla1[[#This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($K$2+0.02)*Tabla1[[#This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($K$2+0.02)*Tabla1[[#This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($K$2+0.02)*Tabla1[[#This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($K$2+0.02)*Tabla1[[#This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($K$2+0.02)*Tabla1[[#This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($K$2+0.02)*Tabla1[[#This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($K$2+0.02)*Tabla1[[#This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($K$2+0.02)*Tabla1[[#This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($K$2+0.02)*Tabla1[[#This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($K$2+0.02)*Tabla1[[#This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($K$2+0.02)*Tabla1[[#This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($K$2+0.02)*Tabla1[[#This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($K$2+0.02)*Tabla1[[#This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($K$2+0.02)*Tabla1[[#This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($K$2+0.02)*Tabla1[[#This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($K$2+0.02)*Tabla1[[#This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($K$2+0.02)*Tabla1[[#This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($K$2+0.02)*Tabla1[[#This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($K$2+0.02)*Tabla1[[#This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($K$2+0.02)*Tabla1[[#This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($K$2+0.02)*Tabla1[[#This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($K$2+0.02)*Tabla1[[#This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($K$2+0.02)*Tabla1[[#This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($K$2+0.02)*Tabla1[[#This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($K$2+0.02)*Tabla1[[#This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($K$2+0.02)*Tabla1[[#This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($K$2+0.02)*Tabla1[[#This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($K$2+0.02)*Tabla1[[#This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($K$2+0.02)*Tabla1[[#This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($K$2+0.02)*Tabla1[[#This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($K$2+0.02)*Tabla1[[#This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($K$2+0.02)*Tabla1[[#This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($K$2+0.02)*Tabla1[[#This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($K$2+0.02)*Tabla1[[#This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($K$2+0.02)*Tabla1[[#This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($K$2+0.02)*Tabla1[[#This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($K$2+0.02)*Tabla1[[#This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($K$2+0.02)*Tabla1[[#This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($K$2+0.02)*Tabla1[[#This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($K$2+0.02)*Tabla1[[#This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($K$2+0.02)*Tabla1[[#This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($K$2+0.02)*Tabla1[[#This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($K$2+0.02)*Tabla1[[#This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($K$2+0.02)*Tabla1[[#This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($K$2+0.02)*Tabla1[[#This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($K$2+0.02)*Tabla1[[#This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($K$2+0.02)*Tabla1[[#This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($K$2+0.02)*Tabla1[[#This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($K$2+0.02)*Tabla1[[#This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($K$2+0.02)*Tabla1[[#This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($K$2+0.02)*Tabla1[[#This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($K$2+0.02)*Tabla1[[#This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($K$2+0.02)*Tabla1[[#This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($K$2+0.02)*Tabla1[[#This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($K$2+0.02)*Tabla1[[#This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($K$2+0.02)*Tabla1[[#This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($K$2+0.02)*Tabla1[[#This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($K$2+0.02)*Tabla1[[#This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($K$2+0.02)*Tabla1[[#This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($K$2+0.02)*Tabla1[[#This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($K$2+0.02)*Tabla1[[#This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($K$2+0.02)*Tabla1[[#This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($K$2+0.02)*Tabla1[[#This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($K$2+0.02)*Tabla1[[#This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($K$2+0.02)*Tabla1[[#This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($K$2+0.02)*Tabla1[[#This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($K$2+0.02)*Tabla1[[#This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($K$2+0.02)*Tabla1[[#This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($K$2+0.02)*Tabla1[[#This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($K$2+0.02)*Tabla1[[#This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($K$2+0.02)*Tabla1[[#This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($K$2+0.02)*Tabla1[[#This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($K$2+0.02)*Tabla1[[#This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($K$2+0.02)*Tabla1[[#This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($K$2+0.02)*Tabla1[[#This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($K$2+0.02)*Tabla1[[#This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($K$2+0.02)*Tabla1[[#This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($K$2+0.02)*Tabla1[[#This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($K$2+0.02)*Tabla1[[#This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($K$2+0.02)*Tabla1[[#This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($K$2+0.02)*Tabla1[[#This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($K$2+0.02)*Tabla1[[#This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2" cm="1">
        <f t="array" ref="H2168">_xlfn.IFS(I2168&lt;197,I2168*1.26,I2168&gt;197,I2168*1.17) + IF(I2168&gt;1000,17,0)</f>
        <v>0</v>
      </c>
      <c r="I2168" s="10">
        <f>($K$2+0.02)*Tabla1[[#This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2" cm="1">
        <f t="array" ref="H2169">_xlfn.IFS(I2169&lt;197,I2169*1.26,I2169&gt;197,I2169*1.17) + IF(I2169&gt;1000,17,0)</f>
        <v>0</v>
      </c>
      <c r="I2169" s="10">
        <f>($K$2+0.02)*Tabla1[[#This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2" cm="1">
        <f t="array" ref="H2170">_xlfn.IFS(I2170&lt;197,I2170*1.26,I2170&gt;197,I2170*1.17) + IF(I2170&gt;1000,17,0)</f>
        <v>0</v>
      </c>
      <c r="I2170" s="10">
        <f>($K$2+0.02)*Tabla1[[#This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2" cm="1">
        <f t="array" ref="H2171">_xlfn.IFS(I2171&lt;197,I2171*1.26,I2171&gt;197,I2171*1.17) + IF(I2171&gt;1000,17,0)</f>
        <v>0</v>
      </c>
      <c r="I2171" s="10">
        <f>($K$2+0.02)*Tabla1[[#This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2" cm="1">
        <f t="array" ref="H2172">_xlfn.IFS(I2172&lt;197,I2172*1.26,I2172&gt;197,I2172*1.17) + IF(I2172&gt;1000,17,0)</f>
        <v>0</v>
      </c>
      <c r="I2172" s="10">
        <f>($K$2+0.02)*Tabla1[[#This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2" cm="1">
        <f t="array" ref="H2173">_xlfn.IFS(I2173&lt;197,I2173*1.26,I2173&gt;197,I2173*1.17) + IF(I2173&gt;1000,17,0)</f>
        <v>0</v>
      </c>
      <c r="I2173" s="10">
        <f>($K$2+0.02)*Tabla1[[#This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2" cm="1">
        <f t="array" ref="H2174">_xlfn.IFS(I2174&lt;197,I2174*1.26,I2174&gt;197,I2174*1.17) + IF(I2174&gt;1000,17,0)</f>
        <v>0</v>
      </c>
      <c r="I2174" s="10">
        <f>($K$2+0.02)*Tabla1[[#This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2" cm="1">
        <f t="array" ref="H2175">_xlfn.IFS(I2175&lt;197,I2175*1.26,I2175&gt;197,I2175*1.17) + IF(I2175&gt;1000,17,0)</f>
        <v>0</v>
      </c>
      <c r="I2175" s="10">
        <f>($K$2+0.02)*Tabla1[[#This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2" cm="1">
        <f t="array" ref="H2176">_xlfn.IFS(I2176&lt;197,I2176*1.26,I2176&gt;197,I2176*1.17) + IF(I2176&gt;1000,17,0)</f>
        <v>0</v>
      </c>
      <c r="I2176" s="10">
        <f>($K$2+0.02)*Tabla1[[#This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2" cm="1">
        <f t="array" ref="H2177">_xlfn.IFS(I2177&lt;197,I2177*1.26,I2177&gt;197,I2177*1.17) + IF(I2177&gt;1000,17,0)</f>
        <v>0</v>
      </c>
      <c r="I2177" s="10">
        <f>($K$2+0.02)*Tabla1[[#This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2" cm="1">
        <f t="array" ref="H2178">_xlfn.IFS(I2178&lt;197,I2178*1.26,I2178&gt;197,I2178*1.17) + IF(I2178&gt;1000,17,0)</f>
        <v>0</v>
      </c>
      <c r="I2178" s="10">
        <f>($K$2+0.02)*Tabla1[[#This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2" cm="1">
        <f t="array" ref="H2179">_xlfn.IFS(I2179&lt;197,I2179*1.26,I2179&gt;197,I2179*1.17) + IF(I2179&gt;1000,17,0)</f>
        <v>0</v>
      </c>
      <c r="I2179" s="10">
        <f>($K$2+0.02)*Tabla1[[#This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2" cm="1">
        <f t="array" ref="H2180">_xlfn.IFS(I2180&lt;197,I2180*1.26,I2180&gt;197,I2180*1.17) + IF(I2180&gt;1000,17,0)</f>
        <v>0</v>
      </c>
      <c r="I2180" s="10">
        <f>($K$2+0.02)*Tabla1[[#This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2" cm="1">
        <f t="array" ref="H2181">_xlfn.IFS(I2181&lt;197,I2181*1.26,I2181&gt;197,I2181*1.17) + IF(I2181&gt;1000,17,0)</f>
        <v>0</v>
      </c>
      <c r="I2181" s="10">
        <f>($K$2+0.02)*Tabla1[[#This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2" cm="1">
        <f t="array" ref="H2182">_xlfn.IFS(I2182&lt;197,I2182*1.26,I2182&gt;197,I2182*1.17) + IF(I2182&gt;1000,17,0)</f>
        <v>0</v>
      </c>
      <c r="I2182" s="10">
        <f>($K$2+0.02)*Tabla1[[#This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2" cm="1">
        <f t="array" ref="H2183">_xlfn.IFS(I2183&lt;197,I2183*1.26,I2183&gt;197,I2183*1.17) + IF(I2183&gt;1000,17,0)</f>
        <v>0</v>
      </c>
      <c r="I2183" s="10">
        <f>($K$2+0.02)*Tabla1[[#This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2" cm="1">
        <f t="array" ref="H2184">_xlfn.IFS(I2184&lt;197,I2184*1.26,I2184&gt;197,I2184*1.17) + IF(I2184&gt;1000,17,0)</f>
        <v>0</v>
      </c>
      <c r="I2184" s="10">
        <f>($K$2+0.02)*Tabla1[[#This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2" cm="1">
        <f t="array" ref="H2185">_xlfn.IFS(I2185&lt;197,I2185*1.26,I2185&gt;197,I2185*1.17) + IF(I2185&gt;1000,17,0)</f>
        <v>0</v>
      </c>
      <c r="I2185" s="10">
        <f>($K$2+0.02)*Tabla1[[#This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2" cm="1">
        <f t="array" ref="H2186">_xlfn.IFS(I2186&lt;197,I2186*1.26,I2186&gt;197,I2186*1.17) + IF(I2186&gt;1000,17,0)</f>
        <v>0</v>
      </c>
      <c r="I2186" s="10">
        <f>($K$2+0.02)*Tabla1[[#This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2" cm="1">
        <f t="array" ref="H2187">_xlfn.IFS(I2187&lt;197,I2187*1.26,I2187&gt;197,I2187*1.17) + IF(I2187&gt;1000,17,0)</f>
        <v>0</v>
      </c>
      <c r="I2187" s="10">
        <f>($K$2+0.02)*Tabla1[[#This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2" cm="1">
        <f t="array" ref="H2188">_xlfn.IFS(I2188&lt;197,I2188*1.26,I2188&gt;197,I2188*1.17) + IF(I2188&gt;1000,17,0)</f>
        <v>0</v>
      </c>
      <c r="I2188" s="10">
        <f>($K$2+0.02)*Tabla1[[#This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2" cm="1">
        <f t="array" ref="H2189">_xlfn.IFS(I2189&lt;197,I2189*1.26,I2189&gt;197,I2189*1.17) + IF(I2189&gt;1000,17,0)</f>
        <v>0</v>
      </c>
      <c r="I2189" s="10">
        <f>($K$2+0.02)*Tabla1[[#This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2" cm="1">
        <f t="array" ref="H2190">_xlfn.IFS(I2190&lt;197,I2190*1.26,I2190&gt;197,I2190*1.17) + IF(I2190&gt;1000,17,0)</f>
        <v>0</v>
      </c>
      <c r="I2190" s="10">
        <f>($K$2+0.02)*Tabla1[[#This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2" cm="1">
        <f t="array" ref="H2191">_xlfn.IFS(I2191&lt;197,I2191*1.26,I2191&gt;197,I2191*1.17) + IF(I2191&gt;1000,17,0)</f>
        <v>0</v>
      </c>
      <c r="I2191" s="10">
        <f>($K$2+0.02)*Tabla1[[#This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2" cm="1">
        <f t="array" ref="H2192">_xlfn.IFS(I2192&lt;197,I2192*1.26,I2192&gt;197,I2192*1.17) + IF(I2192&gt;1000,17,0)</f>
        <v>0</v>
      </c>
      <c r="I2192" s="10">
        <f>($K$2+0.02)*Tabla1[[#This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2" cm="1">
        <f t="array" ref="H2193">_xlfn.IFS(I2193&lt;197,I2193*1.26,I2193&gt;197,I2193*1.17) + IF(I2193&gt;1000,17,0)</f>
        <v>0</v>
      </c>
      <c r="I2193" s="10">
        <f>($K$2+0.02)*Tabla1[[#This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2" cm="1">
        <f t="array" ref="H2194">_xlfn.IFS(I2194&lt;197,I2194*1.26,I2194&gt;197,I2194*1.17) + IF(I2194&gt;1000,17,0)</f>
        <v>0</v>
      </c>
      <c r="I2194" s="10">
        <f>($K$2+0.02)*Tabla1[[#This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2" cm="1">
        <f t="array" ref="H2195">_xlfn.IFS(I2195&lt;197,I2195*1.26,I2195&gt;197,I2195*1.17) + IF(I2195&gt;1000,17,0)</f>
        <v>0</v>
      </c>
      <c r="I2195" s="10">
        <f>($K$2+0.02)*Tabla1[[#This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2" cm="1">
        <f t="array" ref="H2196">_xlfn.IFS(I2196&lt;197,I2196*1.26,I2196&gt;197,I2196*1.17) + IF(I2196&gt;1000,17,0)</f>
        <v>0</v>
      </c>
      <c r="I2196" s="10">
        <f>($K$2+0.02)*Tabla1[[#This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2" cm="1">
        <f t="array" ref="H2197">_xlfn.IFS(I2197&lt;197,I2197*1.26,I2197&gt;197,I2197*1.17) + IF(I2197&gt;1000,17,0)</f>
        <v>0</v>
      </c>
      <c r="I2197" s="10">
        <f>($K$2+0.02)*Tabla1[[#This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2" cm="1">
        <f t="array" ref="H2198">_xlfn.IFS(I2198&lt;197,I2198*1.26,I2198&gt;197,I2198*1.17) + IF(I2198&gt;1000,17,0)</f>
        <v>0</v>
      </c>
      <c r="I2198" s="10">
        <f>($K$2+0.02)*Tabla1[[#This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2" cm="1">
        <f t="array" ref="H2199">_xlfn.IFS(I2199&lt;197,I2199*1.26,I2199&gt;197,I2199*1.17) + IF(I2199&gt;1000,17,0)</f>
        <v>0</v>
      </c>
      <c r="I2199" s="10">
        <f>($K$2+0.02)*Tabla1[[#This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2" cm="1">
        <f t="array" ref="H2200">_xlfn.IFS(I2200&lt;197,I2200*1.26,I2200&gt;197,I2200*1.17) + IF(I2200&gt;1000,17,0)</f>
        <v>0</v>
      </c>
      <c r="I2200" s="10">
        <f>($K$2+0.02)*Tabla1[[#This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2" cm="1">
        <f t="array" ref="H2201">_xlfn.IFS(I2201&lt;197,I2201*1.26,I2201&gt;197,I2201*1.17) + IF(I2201&gt;1000,17,0)</f>
        <v>0</v>
      </c>
      <c r="I2201" s="10">
        <f>($K$2+0.02)*Tabla1[[#This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2" cm="1">
        <f t="array" ref="H2202">_xlfn.IFS(I2202&lt;197,I2202*1.26,I2202&gt;197,I2202*1.17) + IF(I2202&gt;1000,17,0)</f>
        <v>0</v>
      </c>
      <c r="I2202" s="10">
        <f>($K$2+0.02)*Tabla1[[#This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2" cm="1">
        <f t="array" ref="H2203">_xlfn.IFS(I2203&lt;197,I2203*1.26,I2203&gt;197,I2203*1.17) + IF(I2203&gt;1000,17,0)</f>
        <v>0</v>
      </c>
      <c r="I2203" s="10">
        <f>($K$2+0.02)*Tabla1[[#This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2" cm="1">
        <f t="array" ref="H2204">_xlfn.IFS(I2204&lt;197,I2204*1.26,I2204&gt;197,I2204*1.17) + IF(I2204&gt;1000,17,0)</f>
        <v>0</v>
      </c>
      <c r="I2204" s="10">
        <f>($K$2+0.02)*Tabla1[[#This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2" cm="1">
        <f t="array" ref="H2205">_xlfn.IFS(I2205&lt;197,I2205*1.26,I2205&gt;197,I2205*1.17) + IF(I2205&gt;1000,17,0)</f>
        <v>0</v>
      </c>
      <c r="I2205" s="10">
        <f>($K$2+0.02)*Tabla1[[#This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2" cm="1">
        <f t="array" ref="H2206">_xlfn.IFS(I2206&lt;197,I2206*1.26,I2206&gt;197,I2206*1.17) + IF(I2206&gt;1000,17,0)</f>
        <v>0</v>
      </c>
      <c r="I2206" s="10">
        <f>($K$2+0.02)*Tabla1[[#This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2" cm="1">
        <f t="array" ref="H2207">_xlfn.IFS(I2207&lt;197,I2207*1.26,I2207&gt;197,I2207*1.17) + IF(I2207&gt;1000,17,0)</f>
        <v>0</v>
      </c>
      <c r="I2207" s="10">
        <f>($K$2+0.02)*Tabla1[[#This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2" cm="1">
        <f t="array" ref="H2208">_xlfn.IFS(I2208&lt;197,I2208*1.26,I2208&gt;197,I2208*1.17) + IF(I2208&gt;1000,17,0)</f>
        <v>0</v>
      </c>
      <c r="I2208" s="10">
        <f>($K$2+0.02)*Tabla1[[#This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2" cm="1">
        <f t="array" ref="H2209">_xlfn.IFS(I2209&lt;197,I2209*1.26,I2209&gt;197,I2209*1.17) + IF(I2209&gt;1000,17,0)</f>
        <v>0</v>
      </c>
      <c r="I2209" s="10">
        <f>($K$2+0.02)*Tabla1[[#This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2" cm="1">
        <f t="array" ref="H2210">_xlfn.IFS(I2210&lt;197,I2210*1.26,I2210&gt;197,I2210*1.17) + IF(I2210&gt;1000,17,0)</f>
        <v>0</v>
      </c>
      <c r="I2210" s="10">
        <f>($K$2+0.02)*Tabla1[[#This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2" cm="1">
        <f t="array" ref="H2211">_xlfn.IFS(I2211&lt;197,I2211*1.26,I2211&gt;197,I2211*1.17) + IF(I2211&gt;1000,17,0)</f>
        <v>0</v>
      </c>
      <c r="I2211" s="10">
        <f>($K$2+0.02)*Tabla1[[#This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2" cm="1">
        <f t="array" ref="H2212">_xlfn.IFS(I2212&lt;197,I2212*1.26,I2212&gt;197,I2212*1.17) + IF(I2212&gt;1000,17,0)</f>
        <v>0</v>
      </c>
      <c r="I2212" s="10">
        <f>($K$2+0.02)*Tabla1[[#This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2" cm="1">
        <f t="array" ref="H2213">_xlfn.IFS(I2213&lt;197,I2213*1.26,I2213&gt;197,I2213*1.17) + IF(I2213&gt;1000,17,0)</f>
        <v>0</v>
      </c>
      <c r="I2213" s="10">
        <f>($K$2+0.02)*Tabla1[[#This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2" cm="1">
        <f t="array" ref="H2214">_xlfn.IFS(I2214&lt;197,I2214*1.26,I2214&gt;197,I2214*1.17) + IF(I2214&gt;1000,17,0)</f>
        <v>0</v>
      </c>
      <c r="I2214" s="10">
        <f>($K$2+0.02)*Tabla1[[#This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2" cm="1">
        <f t="array" ref="H2215">_xlfn.IFS(I2215&lt;197,I2215*1.26,I2215&gt;197,I2215*1.17) + IF(I2215&gt;1000,17,0)</f>
        <v>0</v>
      </c>
      <c r="I2215" s="10">
        <f>($K$2+0.02)*Tabla1[[#This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2" cm="1">
        <f t="array" ref="H2216">_xlfn.IFS(I2216&lt;197,I2216*1.26,I2216&gt;197,I2216*1.17) + IF(I2216&gt;1000,17,0)</f>
        <v>0</v>
      </c>
      <c r="I2216" s="10">
        <f>($K$2+0.02)*Tabla1[[#This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2" cm="1">
        <f t="array" ref="H2217">_xlfn.IFS(I2217&lt;197,I2217*1.26,I2217&gt;197,I2217*1.17) + IF(I2217&gt;1000,17,0)</f>
        <v>0</v>
      </c>
      <c r="I2217" s="10">
        <f>($K$2+0.02)*Tabla1[[#This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2" cm="1">
        <f t="array" ref="H2218">_xlfn.IFS(I2218&lt;197,I2218*1.26,I2218&gt;197,I2218*1.17) + IF(I2218&gt;1000,17,0)</f>
        <v>0</v>
      </c>
      <c r="I2218" s="10">
        <f>($K$2+0.02)*Tabla1[[#This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2" cm="1">
        <f t="array" ref="H2219">_xlfn.IFS(I2219&lt;197,I2219*1.26,I2219&gt;197,I2219*1.17) + IF(I2219&gt;1000,17,0)</f>
        <v>0</v>
      </c>
      <c r="I2219" s="10">
        <f>($K$2+0.02)*Tabla1[[#This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2" cm="1">
        <f t="array" ref="H2220">_xlfn.IFS(I2220&lt;197,I2220*1.26,I2220&gt;197,I2220*1.17) + IF(I2220&gt;1000,17,0)</f>
        <v>0</v>
      </c>
      <c r="I2220" s="10">
        <f>($K$2+0.02)*Tabla1[[#This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2" cm="1">
        <f t="array" ref="H2221">_xlfn.IFS(I2221&lt;197,I2221*1.26,I2221&gt;197,I2221*1.17) + IF(I2221&gt;1000,17,0)</f>
        <v>0</v>
      </c>
      <c r="I2221" s="10">
        <f>($K$2+0.02)*Tabla1[[#This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2" cm="1">
        <f t="array" ref="H2222">_xlfn.IFS(I2222&lt;197,I2222*1.26,I2222&gt;197,I2222*1.17) + IF(I2222&gt;1000,17,0)</f>
        <v>0</v>
      </c>
      <c r="I2222" s="10">
        <f>($K$2+0.02)*Tabla1[[#This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2" cm="1">
        <f t="array" ref="H2223">_xlfn.IFS(I2223&lt;197,I2223*1.26,I2223&gt;197,I2223*1.17) + IF(I2223&gt;1000,17,0)</f>
        <v>0</v>
      </c>
      <c r="I2223" s="10">
        <f>($K$2+0.02)*Tabla1[[#This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2" cm="1">
        <f t="array" ref="H2224">_xlfn.IFS(I2224&lt;197,I2224*1.26,I2224&gt;197,I2224*1.17) + IF(I2224&gt;1000,17,0)</f>
        <v>0</v>
      </c>
      <c r="I2224" s="10">
        <f>($K$2+0.02)*Tabla1[[#This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2" cm="1">
        <f t="array" ref="H2225">_xlfn.IFS(I2225&lt;197,I2225*1.26,I2225&gt;197,I2225*1.17) + IF(I2225&gt;1000,17,0)</f>
        <v>0</v>
      </c>
      <c r="I2225" s="10">
        <f>($K$2+0.02)*Tabla1[[#This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2" cm="1">
        <f t="array" ref="H2226">_xlfn.IFS(I2226&lt;197,I2226*1.26,I2226&gt;197,I2226*1.17) + IF(I2226&gt;1000,17,0)</f>
        <v>0</v>
      </c>
      <c r="I2226" s="10">
        <f>($K$2+0.02)*Tabla1[[#This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2" cm="1">
        <f t="array" ref="H2227">_xlfn.IFS(I2227&lt;197,I2227*1.26,I2227&gt;197,I2227*1.17) + IF(I2227&gt;1000,17,0)</f>
        <v>0</v>
      </c>
      <c r="I2227" s="10">
        <f>($K$2+0.02)*Tabla1[[#This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2" cm="1">
        <f t="array" ref="H2228">_xlfn.IFS(I2228&lt;197,I2228*1.26,I2228&gt;197,I2228*1.17) + IF(I2228&gt;1000,17,0)</f>
        <v>0</v>
      </c>
      <c r="I2228" s="10">
        <f>($K$2+0.02)*Tabla1[[#This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2" cm="1">
        <f t="array" ref="H2229">_xlfn.IFS(I2229&lt;197,I2229*1.26,I2229&gt;197,I2229*1.17) + IF(I2229&gt;1000,17,0)</f>
        <v>0</v>
      </c>
      <c r="I2229" s="10">
        <f>($K$2+0.02)*Tabla1[[#This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2" cm="1">
        <f t="array" ref="H2230">_xlfn.IFS(I2230&lt;197,I2230*1.26,I2230&gt;197,I2230*1.17) + IF(I2230&gt;1000,17,0)</f>
        <v>0</v>
      </c>
      <c r="I2230" s="10">
        <f>($K$2+0.02)*Tabla1[[#This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2" cm="1">
        <f t="array" ref="H2231">_xlfn.IFS(I2231&lt;197,I2231*1.26,I2231&gt;197,I2231*1.17) + IF(I2231&gt;1000,17,0)</f>
        <v>0</v>
      </c>
      <c r="I2231" s="10">
        <f>($K$2+0.02)*Tabla1[[#This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2" cm="1">
        <f t="array" ref="H2232">_xlfn.IFS(I2232&lt;197,I2232*1.26,I2232&gt;197,I2232*1.17) + IF(I2232&gt;1000,17,0)</f>
        <v>0</v>
      </c>
      <c r="I2232" s="10">
        <f>($K$2+0.02)*Tabla1[[#This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2" cm="1">
        <f t="array" ref="H2233">_xlfn.IFS(I2233&lt;197,I2233*1.26,I2233&gt;197,I2233*1.17) + IF(I2233&gt;1000,17,0)</f>
        <v>0</v>
      </c>
      <c r="I2233" s="10">
        <f>($K$2+0.02)*Tabla1[[#This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2" cm="1">
        <f t="array" ref="H2234">_xlfn.IFS(I2234&lt;197,I2234*1.26,I2234&gt;197,I2234*1.17) + IF(I2234&gt;1000,17,0)</f>
        <v>0</v>
      </c>
      <c r="I2234" s="10">
        <f>($K$2+0.02)*Tabla1[[#This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2" cm="1">
        <f t="array" ref="H2235">_xlfn.IFS(I2235&lt;197,I2235*1.26,I2235&gt;197,I2235*1.17) + IF(I2235&gt;1000,17,0)</f>
        <v>0</v>
      </c>
      <c r="I2235" s="10">
        <f>($K$2+0.02)*Tabla1[[#This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2" cm="1">
        <f t="array" ref="H2236">_xlfn.IFS(I2236&lt;197,I2236*1.26,I2236&gt;197,I2236*1.17) + IF(I2236&gt;1000,17,0)</f>
        <v>0</v>
      </c>
      <c r="I2236" s="10">
        <f>($K$2+0.02)*Tabla1[[#This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2" cm="1">
        <f t="array" ref="H2237">_xlfn.IFS(I2237&lt;197,I2237*1.26,I2237&gt;197,I2237*1.17) + IF(I2237&gt;1000,17,0)</f>
        <v>0</v>
      </c>
      <c r="I2237" s="10">
        <f>($K$2+0.02)*Tabla1[[#This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2" cm="1">
        <f t="array" ref="H2238">_xlfn.IFS(I2238&lt;197,I2238*1.26,I2238&gt;197,I2238*1.17) + IF(I2238&gt;1000,17,0)</f>
        <v>0</v>
      </c>
      <c r="I2238" s="10">
        <f>($K$2+0.02)*Tabla1[[#This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2" cm="1">
        <f t="array" ref="H2239">_xlfn.IFS(I2239&lt;197,I2239*1.26,I2239&gt;197,I2239*1.17) + IF(I2239&gt;1000,17,0)</f>
        <v>0</v>
      </c>
      <c r="I2239" s="10">
        <f>($K$2+0.02)*Tabla1[[#This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2" cm="1">
        <f t="array" ref="H2240">_xlfn.IFS(I2240&lt;197,I2240*1.26,I2240&gt;197,I2240*1.17) + IF(I2240&gt;1000,17,0)</f>
        <v>0</v>
      </c>
      <c r="I2240" s="10">
        <f>($K$2+0.02)*Tabla1[[#This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2" cm="1">
        <f t="array" ref="H2241">_xlfn.IFS(I2241&lt;197,I2241*1.26,I2241&gt;197,I2241*1.17) + IF(I2241&gt;1000,17,0)</f>
        <v>0</v>
      </c>
      <c r="I2241" s="10">
        <f>($K$2+0.02)*Tabla1[[#This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2" cm="1">
        <f t="array" ref="H2242">_xlfn.IFS(I2242&lt;197,I2242*1.26,I2242&gt;197,I2242*1.17) + IF(I2242&gt;1000,17,0)</f>
        <v>0</v>
      </c>
      <c r="I2242" s="10">
        <f>($K$2+0.02)*Tabla1[[#This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2" cm="1">
        <f t="array" ref="H2243">_xlfn.IFS(I2243&lt;197,I2243*1.26,I2243&gt;197,I2243*1.17) + IF(I2243&gt;1000,17,0)</f>
        <v>0</v>
      </c>
      <c r="I2243" s="10">
        <f>($K$2+0.02)*Tabla1[[#This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2" cm="1">
        <f t="array" ref="H2244">_xlfn.IFS(I2244&lt;197,I2244*1.26,I2244&gt;197,I2244*1.17) + IF(I2244&gt;1000,17,0)</f>
        <v>0</v>
      </c>
      <c r="I2244" s="10">
        <f>($K$2+0.02)*Tabla1[[#This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2" cm="1">
        <f t="array" ref="H2245">_xlfn.IFS(I2245&lt;197,I2245*1.26,I2245&gt;197,I2245*1.17) + IF(I2245&gt;1000,17,0)</f>
        <v>0</v>
      </c>
      <c r="I2245" s="10">
        <f>($K$2+0.02)*Tabla1[[#This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2" cm="1">
        <f t="array" ref="H2246">_xlfn.IFS(I2246&lt;197,I2246*1.26,I2246&gt;197,I2246*1.17) + IF(I2246&gt;1000,17,0)</f>
        <v>0</v>
      </c>
      <c r="I2246" s="10">
        <f>($K$2+0.02)*Tabla1[[#This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2" cm="1">
        <f t="array" ref="H2247">_xlfn.IFS(I2247&lt;197,I2247*1.26,I2247&gt;197,I2247*1.17) + IF(I2247&gt;1000,17,0)</f>
        <v>0</v>
      </c>
      <c r="I2247" s="10">
        <f>($K$2+0.02)*Tabla1[[#This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2" cm="1">
        <f t="array" ref="H2248">_xlfn.IFS(I2248&lt;197,I2248*1.26,I2248&gt;197,I2248*1.17) + IF(I2248&gt;1000,17,0)</f>
        <v>0</v>
      </c>
      <c r="I2248" s="10">
        <f>($K$2+0.02)*Tabla1[[#This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2" cm="1">
        <f t="array" ref="H2249">_xlfn.IFS(I2249&lt;197,I2249*1.26,I2249&gt;197,I2249*1.17) + IF(I2249&gt;1000,17,0)</f>
        <v>0</v>
      </c>
      <c r="I2249" s="10">
        <f>($K$2+0.02)*Tabla1[[#This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2" cm="1">
        <f t="array" ref="H2250">_xlfn.IFS(I2250&lt;197,I2250*1.26,I2250&gt;197,I2250*1.17) + IF(I2250&gt;1000,17,0)</f>
        <v>0</v>
      </c>
      <c r="I2250" s="10">
        <f>($K$2+0.02)*Tabla1[[#This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2" cm="1">
        <f t="array" ref="H2251">_xlfn.IFS(I2251&lt;197,I2251*1.26,I2251&gt;197,I2251*1.17) + IF(I2251&gt;1000,17,0)</f>
        <v>0</v>
      </c>
      <c r="I2251" s="10">
        <f>($K$2+0.02)*Tabla1[[#This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15"/>
      <c r="C2252" s="1"/>
      <c r="D2252" s="1"/>
      <c r="E2252" s="1"/>
      <c r="F2252" s="1"/>
      <c r="G2252" s="3"/>
      <c r="H2252" s="12" cm="1">
        <f t="array" ref="H2252">_xlfn.IFS(I2252&lt;197,I2252*1.26,I2252&gt;197,I2252*1.17) + IF(I2252&gt;1000,17,0)</f>
        <v>0</v>
      </c>
      <c r="I2252" s="10">
        <f>($K$2+0.02)*Tabla1[[#This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2" cm="1">
        <f t="array" ref="H2253">_xlfn.IFS(I2253&lt;197,I2253*1.26,I2253&gt;197,I2253*1.17) + IF(I2253&gt;1000,17,0)</f>
        <v>0</v>
      </c>
      <c r="I2253" s="10">
        <f>($K$2+0.02)*Tabla1[[#This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2" cm="1">
        <f t="array" ref="H2254">_xlfn.IFS(I2254&lt;197,I2254*1.26,I2254&gt;197,I2254*1.17) + IF(I2254&gt;1000,17,0)</f>
        <v>0</v>
      </c>
      <c r="I2254" s="10">
        <f>($K$2+0.02)*Tabla1[[#This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2" cm="1">
        <f t="array" ref="H2255">_xlfn.IFS(I2255&lt;197,I2255*1.26,I2255&gt;197,I2255*1.17) + IF(I2255&gt;1000,17,0)</f>
        <v>0</v>
      </c>
      <c r="I2255" s="10">
        <f>($K$2+0.02)*Tabla1[[#This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2" cm="1">
        <f t="array" ref="H2256">_xlfn.IFS(I2256&lt;197,I2256*1.26,I2256&gt;197,I2256*1.17) + IF(I2256&gt;1000,17,0)</f>
        <v>0</v>
      </c>
      <c r="I2256" s="10">
        <f>($K$2+0.02)*Tabla1[[#This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2" cm="1">
        <f t="array" ref="H2257">_xlfn.IFS(I2257&lt;197,I2257*1.26,I2257&gt;197,I2257*1.17) + IF(I2257&gt;1000,17,0)</f>
        <v>0</v>
      </c>
      <c r="I2257" s="10">
        <f>($K$2+0.02)*Tabla1[[#This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2" cm="1">
        <f t="array" ref="H2258">_xlfn.IFS(I2258&lt;197,I2258*1.26,I2258&gt;197,I2258*1.17) + IF(I2258&gt;1000,17,0)</f>
        <v>0</v>
      </c>
      <c r="I2258" s="10">
        <f>($K$2+0.02)*Tabla1[[#This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2" cm="1">
        <f t="array" ref="H2259">_xlfn.IFS(I2259&lt;197,I2259*1.26,I2259&gt;197,I2259*1.17) + IF(I2259&gt;1000,17,0)</f>
        <v>0</v>
      </c>
      <c r="I2259" s="10">
        <f>($K$2+0.02)*Tabla1[[#This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2" cm="1">
        <f t="array" ref="H2260">_xlfn.IFS(I2260&lt;197,I2260*1.26,I2260&gt;197,I2260*1.17) + IF(I2260&gt;1000,17,0)</f>
        <v>0</v>
      </c>
      <c r="I2260" s="10">
        <f>($K$2+0.02)*Tabla1[[#This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2" cm="1">
        <f t="array" ref="H2261">_xlfn.IFS(I2261&lt;197,I2261*1.26,I2261&gt;197,I2261*1.17) + IF(I2261&gt;1000,17,0)</f>
        <v>0</v>
      </c>
      <c r="I2261" s="10">
        <f>($K$2+0.02)*Tabla1[[#This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2" cm="1">
        <f t="array" ref="H2262">_xlfn.IFS(I2262&lt;197,I2262*1.26,I2262&gt;197,I2262*1.17) + IF(I2262&gt;1000,17,0)</f>
        <v>0</v>
      </c>
      <c r="I2262" s="10">
        <f>($K$2+0.02)*Tabla1[[#This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2" cm="1">
        <f t="array" ref="H2263">_xlfn.IFS(I2263&lt;197,I2263*1.26,I2263&gt;197,I2263*1.17) + IF(I2263&gt;1000,17,0)</f>
        <v>0</v>
      </c>
      <c r="I2263" s="10">
        <f>($K$2+0.02)*Tabla1[[#This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2" cm="1">
        <f t="array" ref="H2264">_xlfn.IFS(I2264&lt;197,I2264*1.26,I2264&gt;197,I2264*1.17) + IF(I2264&gt;1000,17,0)</f>
        <v>0</v>
      </c>
      <c r="I2264" s="10">
        <f>($K$2+0.02)*Tabla1[[#This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2" cm="1">
        <f t="array" ref="H2265">_xlfn.IFS(I2265&lt;197,I2265*1.26,I2265&gt;197,I2265*1.17) + IF(I2265&gt;1000,17,0)</f>
        <v>0</v>
      </c>
      <c r="I2265" s="10">
        <f>($K$2+0.02)*Tabla1[[#This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2" cm="1">
        <f t="array" ref="H2266">_xlfn.IFS(I2266&lt;197,I2266*1.26,I2266&gt;197,I2266*1.17) + IF(I2266&gt;1000,17,0)</f>
        <v>0</v>
      </c>
      <c r="I2266" s="10">
        <f>($K$2+0.02)*Tabla1[[#This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2" cm="1">
        <f t="array" ref="H2267">_xlfn.IFS(I2267&lt;197,I2267*1.26,I2267&gt;197,I2267*1.17) + IF(I2267&gt;1000,17,0)</f>
        <v>0</v>
      </c>
      <c r="I2267" s="10">
        <f>($K$2+0.02)*Tabla1[[#This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2" cm="1">
        <f t="array" ref="H2268">_xlfn.IFS(I2268&lt;197,I2268*1.26,I2268&gt;197,I2268*1.17) + IF(I2268&gt;1000,17,0)</f>
        <v>0</v>
      </c>
      <c r="I2268" s="10">
        <f>($K$2+0.02)*Tabla1[[#This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2" cm="1">
        <f t="array" ref="H2269">_xlfn.IFS(I2269&lt;197,I2269*1.26,I2269&gt;197,I2269*1.17) + IF(I2269&gt;1000,17,0)</f>
        <v>0</v>
      </c>
      <c r="I2269" s="10">
        <f>($K$2+0.02)*Tabla1[[#This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2" cm="1">
        <f t="array" ref="H2270">_xlfn.IFS(I2270&lt;197,I2270*1.26,I2270&gt;197,I2270*1.17) + IF(I2270&gt;1000,17,0)</f>
        <v>0</v>
      </c>
      <c r="I2270" s="10">
        <f>($K$2+0.02)*Tabla1[[#This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2" cm="1">
        <f t="array" ref="H2271">_xlfn.IFS(I2271&lt;197,I2271*1.26,I2271&gt;197,I2271*1.17) + IF(I2271&gt;1000,17,0)</f>
        <v>0</v>
      </c>
      <c r="I2271" s="10">
        <f>($K$2+0.02)*Tabla1[[#This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2" cm="1">
        <f t="array" ref="H2272">_xlfn.IFS(I2272&lt;197,I2272*1.26,I2272&gt;197,I2272*1.17) + IF(I2272&gt;1000,17,0)</f>
        <v>0</v>
      </c>
      <c r="I2272" s="10">
        <f>($K$2+0.02)*Tabla1[[#This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2" cm="1">
        <f t="array" ref="H2273">_xlfn.IFS(I2273&lt;197,I2273*1.26,I2273&gt;197,I2273*1.17) + IF(I2273&gt;1000,17,0)</f>
        <v>0</v>
      </c>
      <c r="I2273" s="10">
        <f>($K$2+0.02)*Tabla1[[#This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2" cm="1">
        <f t="array" ref="H2274">_xlfn.IFS(I2274&lt;197,I2274*1.26,I2274&gt;197,I2274*1.17) + IF(I2274&gt;1000,17,0)</f>
        <v>0</v>
      </c>
      <c r="I2274" s="10">
        <f>($K$2+0.02)*Tabla1[[#This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2" cm="1">
        <f t="array" ref="H2275">_xlfn.IFS(I2275&lt;197,I2275*1.26,I2275&gt;197,I2275*1.17) + IF(I2275&gt;1000,17,0)</f>
        <v>0</v>
      </c>
      <c r="I2275" s="10">
        <f>($K$2+0.02)*Tabla1[[#This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2" cm="1">
        <f t="array" ref="H2276">_xlfn.IFS(I2276&lt;197,I2276*1.26,I2276&gt;197,I2276*1.17) + IF(I2276&gt;1000,17,0)</f>
        <v>0</v>
      </c>
      <c r="I2276" s="10">
        <f>($K$2+0.02)*Tabla1[[#This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2" cm="1">
        <f t="array" ref="H2277">_xlfn.IFS(I2277&lt;197,I2277*1.26,I2277&gt;197,I2277*1.17) + IF(I2277&gt;1000,17,0)</f>
        <v>0</v>
      </c>
      <c r="I2277" s="10">
        <f>($K$2+0.02)*Tabla1[[#This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2" cm="1">
        <f t="array" ref="H2278">_xlfn.IFS(I2278&lt;197,I2278*1.26,I2278&gt;197,I2278*1.17) + IF(I2278&gt;1000,17,0)</f>
        <v>0</v>
      </c>
      <c r="I2278" s="10">
        <f>($K$2+0.02)*Tabla1[[#This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2" cm="1">
        <f t="array" ref="H2279">_xlfn.IFS(I2279&lt;197,I2279*1.26,I2279&gt;197,I2279*1.17) + IF(I2279&gt;1000,17,0)</f>
        <v>0</v>
      </c>
      <c r="I2279" s="10">
        <f>($K$2+0.02)*Tabla1[[#This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2" cm="1">
        <f t="array" ref="H2280">_xlfn.IFS(I2280&lt;197,I2280*1.26,I2280&gt;197,I2280*1.17) + IF(I2280&gt;1000,17,0)</f>
        <v>0</v>
      </c>
      <c r="I2280" s="10">
        <f>($K$2+0.02)*Tabla1[[#This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2" cm="1">
        <f t="array" ref="H2281">_xlfn.IFS(I2281&lt;197,I2281*1.26,I2281&gt;197,I2281*1.17) + IF(I2281&gt;1000,17,0)</f>
        <v>0</v>
      </c>
      <c r="I2281" s="10">
        <f>($K$2+0.02)*Tabla1[[#This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2" cm="1">
        <f t="array" ref="H2282">_xlfn.IFS(I2282&lt;197,I2282*1.26,I2282&gt;197,I2282*1.17) + IF(I2282&gt;1000,17,0)</f>
        <v>0</v>
      </c>
      <c r="I2282" s="10">
        <f>($K$2+0.02)*Tabla1[[#This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2" cm="1">
        <f t="array" ref="H2283">_xlfn.IFS(I2283&lt;197,I2283*1.26,I2283&gt;197,I2283*1.17) + IF(I2283&gt;1000,17,0)</f>
        <v>0</v>
      </c>
      <c r="I2283" s="10">
        <f>($K$2+0.02)*Tabla1[[#This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2" cm="1">
        <f t="array" ref="H2284">_xlfn.IFS(I2284&lt;197,I2284*1.26,I2284&gt;197,I2284*1.17) + IF(I2284&gt;1000,17,0)</f>
        <v>0</v>
      </c>
      <c r="I2284" s="10">
        <f>($K$2+0.02)*Tabla1[[#This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2" cm="1">
        <f t="array" ref="H2285">_xlfn.IFS(I2285&lt;197,I2285*1.26,I2285&gt;197,I2285*1.17) + IF(I2285&gt;1000,17,0)</f>
        <v>0</v>
      </c>
      <c r="I2285" s="10">
        <f>($K$2+0.02)*Tabla1[[#This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2" cm="1">
        <f t="array" ref="H2286">_xlfn.IFS(I2286&lt;197,I2286*1.26,I2286&gt;197,I2286*1.17) + IF(I2286&gt;1000,17,0)</f>
        <v>0</v>
      </c>
      <c r="I2286" s="10">
        <f>($K$2+0.02)*Tabla1[[#This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2" cm="1">
        <f t="array" ref="H2287">_xlfn.IFS(I2287&lt;197,I2287*1.26,I2287&gt;197,I2287*1.17) + IF(I2287&gt;1000,17,0)</f>
        <v>0</v>
      </c>
      <c r="I2287" s="10">
        <f>($K$2+0.02)*Tabla1[[#This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2" cm="1">
        <f t="array" ref="H2288">_xlfn.IFS(I2288&lt;197,I2288*1.26,I2288&gt;197,I2288*1.17) + IF(I2288&gt;1000,17,0)</f>
        <v>0</v>
      </c>
      <c r="I2288" s="10">
        <f>($K$2+0.02)*Tabla1[[#This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2" cm="1">
        <f t="array" ref="H2289">_xlfn.IFS(I2289&lt;197,I2289*1.26,I2289&gt;197,I2289*1.17) + IF(I2289&gt;1000,17,0)</f>
        <v>0</v>
      </c>
      <c r="I2289" s="10">
        <f>($K$2+0.02)*Tabla1[[#This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2" cm="1">
        <f t="array" ref="H2290">_xlfn.IFS(I2290&lt;197,I2290*1.26,I2290&gt;197,I2290*1.17) + IF(I2290&gt;1000,17,0)</f>
        <v>0</v>
      </c>
      <c r="I2290" s="10">
        <f>($K$2+0.02)*Tabla1[[#This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2" cm="1">
        <f t="array" ref="H2291">_xlfn.IFS(I2291&lt;197,I2291*1.26,I2291&gt;197,I2291*1.17) + IF(I2291&gt;1000,17,0)</f>
        <v>0</v>
      </c>
      <c r="I2291" s="10">
        <f>($K$2+0.02)*Tabla1[[#This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2" cm="1">
        <f t="array" ref="H2292">_xlfn.IFS(I2292&lt;197,I2292*1.26,I2292&gt;197,I2292*1.17) + IF(I2292&gt;1000,17,0)</f>
        <v>0</v>
      </c>
      <c r="I2292" s="10">
        <f>($K$2+0.02)*Tabla1[[#This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2" cm="1">
        <f t="array" ref="H2293">_xlfn.IFS(I2293&lt;197,I2293*1.26,I2293&gt;197,I2293*1.17) + IF(I2293&gt;1000,17,0)</f>
        <v>0</v>
      </c>
      <c r="I2293" s="10">
        <f>($K$2+0.02)*Tabla1[[#This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2" cm="1">
        <f t="array" ref="H2294">_xlfn.IFS(I2294&lt;197,I2294*1.26,I2294&gt;197,I2294*1.17) + IF(I2294&gt;1000,17,0)</f>
        <v>0</v>
      </c>
      <c r="I2294" s="10">
        <f>($K$2+0.02)*Tabla1[[#This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2" cm="1">
        <f t="array" ref="H2295">_xlfn.IFS(I2295&lt;197,I2295*1.26,I2295&gt;197,I2295*1.17) + IF(I2295&gt;1000,17,0)</f>
        <v>0</v>
      </c>
      <c r="I2295" s="10">
        <f>($K$2+0.02)*Tabla1[[#This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2" cm="1">
        <f t="array" ref="H2296">_xlfn.IFS(I2296&lt;197,I2296*1.26,I2296&gt;197,I2296*1.17) + IF(I2296&gt;1000,17,0)</f>
        <v>0</v>
      </c>
      <c r="I2296" s="10">
        <f>($K$2+0.02)*Tabla1[[#This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2" cm="1">
        <f t="array" ref="H2297">_xlfn.IFS(I2297&lt;197,I2297*1.26,I2297&gt;197,I2297*1.17) + IF(I2297&gt;1000,17,0)</f>
        <v>0</v>
      </c>
      <c r="I2297" s="10">
        <f>($K$2+0.02)*Tabla1[[#This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2" cm="1">
        <f t="array" ref="H2298">_xlfn.IFS(I2298&lt;197,I2298*1.26,I2298&gt;197,I2298*1.17) + IF(I2298&gt;1000,17,0)</f>
        <v>0</v>
      </c>
      <c r="I2298" s="10">
        <f>($K$2+0.02)*Tabla1[[#This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2" cm="1">
        <f t="array" ref="H2299">_xlfn.IFS(I2299&lt;197,I2299*1.26,I2299&gt;197,I2299*1.17) + IF(I2299&gt;1000,17,0)</f>
        <v>0</v>
      </c>
      <c r="I2299" s="10">
        <f>($K$2+0.02)*Tabla1[[#This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2" cm="1">
        <f t="array" ref="H2300">_xlfn.IFS(I2300&lt;197,I2300*1.26,I2300&gt;197,I2300*1.17) + IF(I2300&gt;1000,17,0)</f>
        <v>0</v>
      </c>
      <c r="I2300" s="10">
        <f>($K$2+0.02)*Tabla1[[#This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2" cm="1">
        <f t="array" ref="H2301">_xlfn.IFS(I2301&lt;197,I2301*1.26,I2301&gt;197,I2301*1.17) + IF(I2301&gt;1000,17,0)</f>
        <v>0</v>
      </c>
      <c r="I2301" s="10">
        <f>($K$2+0.02)*Tabla1[[#This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2" cm="1">
        <f t="array" ref="H2302">_xlfn.IFS(I2302&lt;197,I2302*1.26,I2302&gt;197,I2302*1.17) + IF(I2302&gt;1000,17,0)</f>
        <v>0</v>
      </c>
      <c r="I2302" s="10">
        <f>($K$2+0.02)*Tabla1[[#This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2" cm="1">
        <f t="array" ref="H2303">_xlfn.IFS(I2303&lt;197,I2303*1.26,I2303&gt;197,I2303*1.17) + IF(I2303&gt;1000,17,0)</f>
        <v>0</v>
      </c>
      <c r="I2303" s="10">
        <f>($K$2+0.02)*Tabla1[[#This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2" cm="1">
        <f t="array" ref="H2304">_xlfn.IFS(I2304&lt;197,I2304*1.26,I2304&gt;197,I2304*1.17) + IF(I2304&gt;1000,17,0)</f>
        <v>0</v>
      </c>
      <c r="I2304" s="10">
        <f>($K$2+0.02)*Tabla1[[#This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2" cm="1">
        <f t="array" ref="H2305">_xlfn.IFS(I2305&lt;197,I2305*1.26,I2305&gt;197,I2305*1.17) + IF(I2305&gt;1000,17,0)</f>
        <v>0</v>
      </c>
      <c r="I2305" s="10">
        <f>($K$2+0.02)*Tabla1[[#This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2" cm="1">
        <f t="array" ref="H2306">_xlfn.IFS(I2306&lt;197,I2306*1.26,I2306&gt;197,I2306*1.17) + IF(I2306&gt;1000,17,0)</f>
        <v>0</v>
      </c>
      <c r="I2306" s="10">
        <f>($K$2+0.02)*Tabla1[[#This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2" cm="1">
        <f t="array" ref="H2307">_xlfn.IFS(I2307&lt;197,I2307*1.26,I2307&gt;197,I2307*1.17) + IF(I2307&gt;1000,17,0)</f>
        <v>0</v>
      </c>
      <c r="I2307" s="10">
        <f>($K$2+0.02)*Tabla1[[#This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2" cm="1">
        <f t="array" ref="H2308">_xlfn.IFS(I2308&lt;197,I2308*1.26,I2308&gt;197,I2308*1.17) + IF(I2308&gt;1000,17,0)</f>
        <v>0</v>
      </c>
      <c r="I2308" s="10">
        <f>($K$2+0.02)*Tabla1[[#This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2" cm="1">
        <f t="array" ref="H2309">_xlfn.IFS(I2309&lt;197,I2309*1.26,I2309&gt;197,I2309*1.17) + IF(I2309&gt;1000,17,0)</f>
        <v>0</v>
      </c>
      <c r="I2309" s="10">
        <f>($K$2+0.02)*Tabla1[[#This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2" cm="1">
        <f t="array" ref="H2310">_xlfn.IFS(I2310&lt;197,I2310*1.26,I2310&gt;197,I2310*1.17) + IF(I2310&gt;1000,17,0)</f>
        <v>0</v>
      </c>
      <c r="I2310" s="10">
        <f>($K$2+0.02)*Tabla1[[#This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2" cm="1">
        <f t="array" ref="H2311">_xlfn.IFS(I2311&lt;197,I2311*1.26,I2311&gt;197,I2311*1.17) + IF(I2311&gt;1000,17,0)</f>
        <v>0</v>
      </c>
      <c r="I2311" s="10">
        <f>($K$2+0.02)*Tabla1[[#This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2" cm="1">
        <f t="array" ref="H2312">_xlfn.IFS(I2312&lt;197,I2312*1.26,I2312&gt;197,I2312*1.17) + IF(I2312&gt;1000,17,0)</f>
        <v>0</v>
      </c>
      <c r="I2312" s="10">
        <f>($K$2+0.02)*Tabla1[[#This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2" cm="1">
        <f t="array" ref="H2313">_xlfn.IFS(I2313&lt;197,I2313*1.26,I2313&gt;197,I2313*1.17) + IF(I2313&gt;1000,17,0)</f>
        <v>0</v>
      </c>
      <c r="I2313" s="10">
        <f>($K$2+0.02)*Tabla1[[#This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2" cm="1">
        <f t="array" ref="H2314">_xlfn.IFS(I2314&lt;197,I2314*1.26,I2314&gt;197,I2314*1.17) + IF(I2314&gt;1000,17,0)</f>
        <v>0</v>
      </c>
      <c r="I2314" s="10">
        <f>($K$2+0.02)*Tabla1[[#This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2" cm="1">
        <f t="array" ref="H2315">_xlfn.IFS(I2315&lt;197,I2315*1.26,I2315&gt;197,I2315*1.17) + IF(I2315&gt;1000,17,0)</f>
        <v>0</v>
      </c>
      <c r="I2315" s="10">
        <f>($K$2+0.02)*Tabla1[[#This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2" cm="1">
        <f t="array" ref="H2316">_xlfn.IFS(I2316&lt;197,I2316*1.26,I2316&gt;197,I2316*1.17) + IF(I2316&gt;1000,17,0)</f>
        <v>0</v>
      </c>
      <c r="I2316" s="10">
        <f>($K$2+0.02)*Tabla1[[#This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2" cm="1">
        <f t="array" ref="H2317">_xlfn.IFS(I2317&lt;197,I2317*1.26,I2317&gt;197,I2317*1.17) + IF(I2317&gt;1000,17,0)</f>
        <v>0</v>
      </c>
      <c r="I2317" s="10">
        <f>($K$2+0.02)*Tabla1[[#This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2" cm="1">
        <f t="array" ref="H2318">_xlfn.IFS(I2318&lt;197,I2318*1.26,I2318&gt;197,I2318*1.17) + IF(I2318&gt;1000,17,0)</f>
        <v>0</v>
      </c>
      <c r="I2318" s="10">
        <f>($K$2+0.02)*Tabla1[[#This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2" cm="1">
        <f t="array" ref="H2319">_xlfn.IFS(I2319&lt;197,I2319*1.26,I2319&gt;197,I2319*1.17) + IF(I2319&gt;1000,17,0)</f>
        <v>0</v>
      </c>
      <c r="I2319" s="10">
        <f>($K$2+0.02)*Tabla1[[#This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2" cm="1">
        <f t="array" ref="H2320">_xlfn.IFS(I2320&lt;197,I2320*1.26,I2320&gt;197,I2320*1.17) + IF(I2320&gt;1000,17,0)</f>
        <v>0</v>
      </c>
      <c r="I2320" s="10">
        <f>($K$2+0.02)*Tabla1[[#This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2" cm="1">
        <f t="array" ref="H2321">_xlfn.IFS(I2321&lt;197,I2321*1.26,I2321&gt;197,I2321*1.17) + IF(I2321&gt;1000,17,0)</f>
        <v>0</v>
      </c>
      <c r="I2321" s="10">
        <f>($K$2+0.02)*Tabla1[[#This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2" cm="1">
        <f t="array" ref="H2322">_xlfn.IFS(I2322&lt;197,I2322*1.26,I2322&gt;197,I2322*1.17) + IF(I2322&gt;1000,17,0)</f>
        <v>0</v>
      </c>
      <c r="I2322" s="10">
        <f>($K$2+0.02)*Tabla1[[#This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2" cm="1">
        <f t="array" ref="H2323">_xlfn.IFS(I2323&lt;197,I2323*1.26,I2323&gt;197,I2323*1.17) + IF(I2323&gt;1000,17,0)</f>
        <v>0</v>
      </c>
      <c r="I2323" s="10">
        <f>($K$2+0.02)*Tabla1[[#This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2" cm="1">
        <f t="array" ref="H2324">_xlfn.IFS(I2324&lt;197,I2324*1.26,I2324&gt;197,I2324*1.17) + IF(I2324&gt;1000,17,0)</f>
        <v>0</v>
      </c>
      <c r="I2324" s="10">
        <f>($K$2+0.02)*Tabla1[[#This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2" cm="1">
        <f t="array" ref="H2325">_xlfn.IFS(I2325&lt;197,I2325*1.26,I2325&gt;197,I2325*1.17) + IF(I2325&gt;1000,17,0)</f>
        <v>0</v>
      </c>
      <c r="I2325" s="10">
        <f>($K$2+0.02)*Tabla1[[#This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2" cm="1">
        <f t="array" ref="H2326">_xlfn.IFS(I2326&lt;197,I2326*1.26,I2326&gt;197,I2326*1.17) + IF(I2326&gt;1000,17,0)</f>
        <v>0</v>
      </c>
      <c r="I2326" s="10">
        <f>($K$2+0.02)*Tabla1[[#This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2" cm="1">
        <f t="array" ref="H2327">_xlfn.IFS(I2327&lt;197,I2327*1.26,I2327&gt;197,I2327*1.17) + IF(I2327&gt;1000,17,0)</f>
        <v>0</v>
      </c>
      <c r="I2327" s="10">
        <f>($K$2+0.02)*Tabla1[[#This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2" cm="1">
        <f t="array" ref="H2328">_xlfn.IFS(I2328&lt;197,I2328*1.26,I2328&gt;197,I2328*1.17) + IF(I2328&gt;1000,17,0)</f>
        <v>0</v>
      </c>
      <c r="I2328" s="10">
        <f>($K$2+0.02)*Tabla1[[#This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2" cm="1">
        <f t="array" ref="H2329">_xlfn.IFS(I2329&lt;197,I2329*1.26,I2329&gt;197,I2329*1.17) + IF(I2329&gt;1000,17,0)</f>
        <v>0</v>
      </c>
      <c r="I2329" s="10">
        <f>($K$2+0.02)*Tabla1[[#This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2" cm="1">
        <f t="array" ref="H2330">_xlfn.IFS(I2330&lt;197,I2330*1.26,I2330&gt;197,I2330*1.17) + IF(I2330&gt;1000,17,0)</f>
        <v>0</v>
      </c>
      <c r="I2330" s="10">
        <f>($K$2+0.02)*Tabla1[[#This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2" cm="1">
        <f t="array" ref="H2331">_xlfn.IFS(I2331&lt;197,I2331*1.26,I2331&gt;197,I2331*1.17) + IF(I2331&gt;1000,17,0)</f>
        <v>0</v>
      </c>
      <c r="I2331" s="10">
        <f>($K$2+0.02)*Tabla1[[#This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2" cm="1">
        <f t="array" ref="H2332">_xlfn.IFS(I2332&lt;197,I2332*1.26,I2332&gt;197,I2332*1.17) + IF(I2332&gt;1000,17,0)</f>
        <v>0</v>
      </c>
      <c r="I2332" s="10">
        <f>($K$2+0.02)*Tabla1[[#This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2" cm="1">
        <f t="array" ref="H2333">_xlfn.IFS(I2333&lt;197,I2333*1.26,I2333&gt;197,I2333*1.17) + IF(I2333&gt;1000,17,0)</f>
        <v>0</v>
      </c>
      <c r="I2333" s="10">
        <f>($K$2+0.02)*Tabla1[[#This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2" cm="1">
        <f t="array" ref="H2334">_xlfn.IFS(I2334&lt;197,I2334*1.26,I2334&gt;197,I2334*1.17) + IF(I2334&gt;1000,17,0)</f>
        <v>0</v>
      </c>
      <c r="I2334" s="10">
        <f>($K$2+0.02)*Tabla1[[#This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2" cm="1">
        <f t="array" ref="H2335">_xlfn.IFS(I2335&lt;197,I2335*1.26,I2335&gt;197,I2335*1.17) + IF(I2335&gt;1000,17,0)</f>
        <v>0</v>
      </c>
      <c r="I2335" s="10">
        <f>($K$2+0.02)*Tabla1[[#This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2" cm="1">
        <f t="array" ref="H2336">_xlfn.IFS(I2336&lt;197,I2336*1.26,I2336&gt;197,I2336*1.17) + IF(I2336&gt;1000,17,0)</f>
        <v>0</v>
      </c>
      <c r="I2336" s="10">
        <f>($K$2+0.02)*Tabla1[[#This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2" cm="1">
        <f t="array" ref="H2337">_xlfn.IFS(I2337&lt;197,I2337*1.26,I2337&gt;197,I2337*1.17) + IF(I2337&gt;1000,17,0)</f>
        <v>0</v>
      </c>
      <c r="I2337" s="10">
        <f>($K$2+0.02)*Tabla1[[#This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2" cm="1">
        <f t="array" ref="H2338">_xlfn.IFS(I2338&lt;197,I2338*1.26,I2338&gt;197,I2338*1.17) + IF(I2338&gt;1000,17,0)</f>
        <v>0</v>
      </c>
      <c r="I2338" s="10">
        <f>($K$2+0.02)*Tabla1[[#This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2" cm="1">
        <f t="array" ref="H2339">_xlfn.IFS(I2339&lt;197,I2339*1.26,I2339&gt;197,I2339*1.17) + IF(I2339&gt;1000,17,0)</f>
        <v>0</v>
      </c>
      <c r="I2339" s="10">
        <f>($K$2+0.02)*Tabla1[[#This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2" cm="1">
        <f t="array" ref="H2340">_xlfn.IFS(I2340&lt;197,I2340*1.26,I2340&gt;197,I2340*1.17) + IF(I2340&gt;1000,17,0)</f>
        <v>0</v>
      </c>
      <c r="I2340" s="10">
        <f>($K$2+0.02)*Tabla1[[#This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2" cm="1">
        <f t="array" ref="H2341">_xlfn.IFS(I2341&lt;197,I2341*1.26,I2341&gt;197,I2341*1.17) + IF(I2341&gt;1000,17,0)</f>
        <v>0</v>
      </c>
      <c r="I2341" s="10">
        <f>($K$2+0.02)*Tabla1[[#This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2" cm="1">
        <f t="array" ref="H2342">_xlfn.IFS(I2342&lt;197,I2342*1.26,I2342&gt;197,I2342*1.17) + IF(I2342&gt;1000,17,0)</f>
        <v>0</v>
      </c>
      <c r="I2342" s="10">
        <f>($K$2+0.02)*Tabla1[[#This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2" cm="1">
        <f t="array" ref="H2343">_xlfn.IFS(I2343&lt;197,I2343*1.26,I2343&gt;197,I2343*1.17) + IF(I2343&gt;1000,17,0)</f>
        <v>0</v>
      </c>
      <c r="I2343" s="10">
        <f>($K$2+0.02)*Tabla1[[#This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2" cm="1">
        <f t="array" ref="H2344">_xlfn.IFS(I2344&lt;197,I2344*1.26,I2344&gt;197,I2344*1.17) + IF(I2344&gt;1000,17,0)</f>
        <v>0</v>
      </c>
      <c r="I2344" s="10">
        <f>($K$2+0.02)*Tabla1[[#This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2" cm="1">
        <f t="array" ref="H2345">_xlfn.IFS(I2345&lt;197,I2345*1.26,I2345&gt;197,I2345*1.17) + IF(I2345&gt;1000,17,0)</f>
        <v>0</v>
      </c>
      <c r="I2345" s="10">
        <f>($K$2+0.02)*Tabla1[[#This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2" cm="1">
        <f t="array" ref="H2346">_xlfn.IFS(I2346&lt;197,I2346*1.26,I2346&gt;197,I2346*1.17) + IF(I2346&gt;1000,17,0)</f>
        <v>0</v>
      </c>
      <c r="I2346" s="10">
        <f>($K$2+0.02)*Tabla1[[#This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2" cm="1">
        <f t="array" ref="H2347">_xlfn.IFS(I2347&lt;197,I2347*1.26,I2347&gt;197,I2347*1.17) + IF(I2347&gt;1000,17,0)</f>
        <v>0</v>
      </c>
      <c r="I2347" s="10">
        <f>($K$2+0.02)*Tabla1[[#This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2" cm="1">
        <f t="array" ref="H2348">_xlfn.IFS(I2348&lt;197,I2348*1.26,I2348&gt;197,I2348*1.17) + IF(I2348&gt;1000,17,0)</f>
        <v>0</v>
      </c>
      <c r="I2348" s="10">
        <f>($K$2+0.02)*Tabla1[[#This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2" cm="1">
        <f t="array" ref="H2349">_xlfn.IFS(I2349&lt;197,I2349*1.26,I2349&gt;197,I2349*1.17) + IF(I2349&gt;1000,17,0)</f>
        <v>0</v>
      </c>
      <c r="I2349" s="10">
        <f>($K$2+0.02)*Tabla1[[#This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2" cm="1">
        <f t="array" ref="H2350">_xlfn.IFS(I2350&lt;197,I2350*1.26,I2350&gt;197,I2350*1.17) + IF(I2350&gt;1000,17,0)</f>
        <v>0</v>
      </c>
      <c r="I2350" s="10">
        <f>($K$2+0.02)*Tabla1[[#This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2" cm="1">
        <f t="array" ref="H2351">_xlfn.IFS(I2351&lt;197,I2351*1.26,I2351&gt;197,I2351*1.17) + IF(I2351&gt;1000,17,0)</f>
        <v>0</v>
      </c>
      <c r="I2351" s="10">
        <f>($K$2+0.02)*Tabla1[[#This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2" cm="1">
        <f t="array" ref="H2352">_xlfn.IFS(I2352&lt;197,I2352*1.26,I2352&gt;197,I2352*1.17) + IF(I2352&gt;1000,17,0)</f>
        <v>0</v>
      </c>
      <c r="I2352" s="10">
        <f>($K$2+0.02)*Tabla1[[#This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2" cm="1">
        <f t="array" ref="H2353">_xlfn.IFS(I2353&lt;197,I2353*1.26,I2353&gt;197,I2353*1.17) + IF(I2353&gt;1000,17,0)</f>
        <v>0</v>
      </c>
      <c r="I2353" s="10">
        <f>($K$2+0.02)*Tabla1[[#This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2" cm="1">
        <f t="array" ref="H2354">_xlfn.IFS(I2354&lt;197,I2354*1.26,I2354&gt;197,I2354*1.17) + IF(I2354&gt;1000,17,0)</f>
        <v>0</v>
      </c>
      <c r="I2354" s="10">
        <f>($K$2+0.02)*Tabla1[[#This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2" cm="1">
        <f t="array" ref="H2355">_xlfn.IFS(I2355&lt;197,I2355*1.26,I2355&gt;197,I2355*1.17) + IF(I2355&gt;1000,17,0)</f>
        <v>0</v>
      </c>
      <c r="I2355" s="10">
        <f>($K$2+0.02)*Tabla1[[#This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2" cm="1">
        <f t="array" ref="H2356">_xlfn.IFS(I2356&lt;197,I2356*1.26,I2356&gt;197,I2356*1.17) + IF(I2356&gt;1000,17,0)</f>
        <v>0</v>
      </c>
      <c r="I2356" s="10">
        <f>($K$2+0.02)*Tabla1[[#This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2" cm="1">
        <f t="array" ref="H2357">_xlfn.IFS(I2357&lt;197,I2357*1.26,I2357&gt;197,I2357*1.17) + IF(I2357&gt;1000,17,0)</f>
        <v>0</v>
      </c>
      <c r="I2357" s="10">
        <f>($K$2+0.02)*Tabla1[[#This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2" cm="1">
        <f t="array" ref="H2358">_xlfn.IFS(I2358&lt;197,I2358*1.26,I2358&gt;197,I2358*1.17) + IF(I2358&gt;1000,17,0)</f>
        <v>0</v>
      </c>
      <c r="I2358" s="10">
        <f>($K$2+0.02)*Tabla1[[#This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2" cm="1">
        <f t="array" ref="H2359">_xlfn.IFS(I2359&lt;197,I2359*1.26,I2359&gt;197,I2359*1.17) + IF(I2359&gt;1000,17,0)</f>
        <v>0</v>
      </c>
      <c r="I2359" s="10">
        <f>($K$2+0.02)*Tabla1[[#This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2" cm="1">
        <f t="array" ref="H2360">_xlfn.IFS(I2360&lt;197,I2360*1.26,I2360&gt;197,I2360*1.17) + IF(I2360&gt;1000,17,0)</f>
        <v>0</v>
      </c>
      <c r="I2360" s="10">
        <f>($K$2+0.02)*Tabla1[[#This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2" cm="1">
        <f t="array" ref="H2361">_xlfn.IFS(I2361&lt;197,I2361*1.26,I2361&gt;197,I2361*1.17) + IF(I2361&gt;1000,17,0)</f>
        <v>0</v>
      </c>
      <c r="I2361" s="10">
        <f>($K$2+0.02)*Tabla1[[#This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2" cm="1">
        <f t="array" ref="H2362">_xlfn.IFS(I2362&lt;197,I2362*1.26,I2362&gt;197,I2362*1.17) + IF(I2362&gt;1000,17,0)</f>
        <v>0</v>
      </c>
      <c r="I2362" s="10">
        <f>($K$2+0.02)*Tabla1[[#This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2" cm="1">
        <f t="array" ref="H2363">_xlfn.IFS(I2363&lt;197,I2363*1.26,I2363&gt;197,I2363*1.17) + IF(I2363&gt;1000,17,0)</f>
        <v>0</v>
      </c>
      <c r="I2363" s="10">
        <f>($K$2+0.02)*Tabla1[[#This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2" cm="1">
        <f t="array" ref="H2364">_xlfn.IFS(I2364&lt;197,I2364*1.26,I2364&gt;197,I2364*1.17) + IF(I2364&gt;1000,17,0)</f>
        <v>0</v>
      </c>
      <c r="I2364" s="10">
        <f>($K$2+0.02)*Tabla1[[#This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2" cm="1">
        <f t="array" ref="H2365">_xlfn.IFS(I2365&lt;197,I2365*1.26,I2365&gt;197,I2365*1.17) + IF(I2365&gt;1000,17,0)</f>
        <v>0</v>
      </c>
      <c r="I2365" s="10">
        <f>($K$2+0.02)*Tabla1[[#This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2" cm="1">
        <f t="array" ref="H2366">_xlfn.IFS(I2366&lt;197,I2366*1.26,I2366&gt;197,I2366*1.17) + IF(I2366&gt;1000,17,0)</f>
        <v>0</v>
      </c>
      <c r="I2366" s="10">
        <f>($K$2+0.02)*Tabla1[[#This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2" cm="1">
        <f t="array" ref="H2367">_xlfn.IFS(I2367&lt;197,I2367*1.26,I2367&gt;197,I2367*1.17) + IF(I2367&gt;1000,17,0)</f>
        <v>0</v>
      </c>
      <c r="I2367" s="10">
        <f>($K$2+0.02)*Tabla1[[#This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2" cm="1">
        <f t="array" ref="H2368">_xlfn.IFS(I2368&lt;197,I2368*1.26,I2368&gt;197,I2368*1.17) + IF(I2368&gt;1000,17,0)</f>
        <v>0</v>
      </c>
      <c r="I2368" s="10">
        <f>($K$2+0.02)*Tabla1[[#This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2" cm="1">
        <f t="array" ref="H2369">_xlfn.IFS(I2369&lt;197,I2369*1.26,I2369&gt;197,I2369*1.17) + IF(I2369&gt;1000,17,0)</f>
        <v>0</v>
      </c>
      <c r="I2369" s="10">
        <f>($K$2+0.02)*Tabla1[[#This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2" cm="1">
        <f t="array" ref="H2370">_xlfn.IFS(I2370&lt;197,I2370*1.26,I2370&gt;197,I2370*1.17) + IF(I2370&gt;1000,17,0)</f>
        <v>0</v>
      </c>
      <c r="I2370" s="10">
        <f>($K$2+0.02)*Tabla1[[#This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2" cm="1">
        <f t="array" ref="H2371">_xlfn.IFS(I2371&lt;197,I2371*1.26,I2371&gt;197,I2371*1.17) + IF(I2371&gt;1000,17,0)</f>
        <v>0</v>
      </c>
      <c r="I2371" s="10">
        <f>($K$2+0.02)*Tabla1[[#This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2" cm="1">
        <f t="array" ref="H2372">_xlfn.IFS(I2372&lt;197,I2372*1.26,I2372&gt;197,I2372*1.17) + IF(I2372&gt;1000,17,0)</f>
        <v>0</v>
      </c>
      <c r="I2372" s="10">
        <f>($K$2+0.02)*Tabla1[[#This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2" cm="1">
        <f t="array" ref="H2373">_xlfn.IFS(I2373&lt;197,I2373*1.26,I2373&gt;197,I2373*1.17) + IF(I2373&gt;1000,17,0)</f>
        <v>0</v>
      </c>
      <c r="I2373" s="10">
        <f>($K$2+0.02)*Tabla1[[#This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2" cm="1">
        <f t="array" ref="H2374">_xlfn.IFS(I2374&lt;197,I2374*1.26,I2374&gt;197,I2374*1.17) + IF(I2374&gt;1000,17,0)</f>
        <v>0</v>
      </c>
      <c r="I2374" s="10">
        <f>($K$2+0.02)*Tabla1[[#This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2" cm="1">
        <f t="array" ref="H2375">_xlfn.IFS(I2375&lt;197,I2375*1.26,I2375&gt;197,I2375*1.17) + IF(I2375&gt;1000,17,0)</f>
        <v>0</v>
      </c>
      <c r="I2375" s="10">
        <f>($K$2+0.02)*Tabla1[[#This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2" cm="1">
        <f t="array" ref="H2376">_xlfn.IFS(I2376&lt;197,I2376*1.26,I2376&gt;197,I2376*1.17) + IF(I2376&gt;1000,17,0)</f>
        <v>0</v>
      </c>
      <c r="I2376" s="10">
        <f>($K$2+0.02)*Tabla1[[#This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2" cm="1">
        <f t="array" ref="H2377">_xlfn.IFS(I2377&lt;197,I2377*1.26,I2377&gt;197,I2377*1.17) + IF(I2377&gt;1000,17,0)</f>
        <v>0</v>
      </c>
      <c r="I2377" s="10">
        <f>($K$2+0.02)*Tabla1[[#This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2" cm="1">
        <f t="array" ref="H2378">_xlfn.IFS(I2378&lt;197,I2378*1.26,I2378&gt;197,I2378*1.17) + IF(I2378&gt;1000,17,0)</f>
        <v>0</v>
      </c>
      <c r="I2378" s="10">
        <f>($K$2+0.02)*Tabla1[[#This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2" cm="1">
        <f t="array" ref="H2379">_xlfn.IFS(I2379&lt;197,I2379*1.26,I2379&gt;197,I2379*1.17) + IF(I2379&gt;1000,17,0)</f>
        <v>0</v>
      </c>
      <c r="I2379" s="10">
        <f>($K$2+0.02)*Tabla1[[#This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2" cm="1">
        <f t="array" ref="H2380">_xlfn.IFS(I2380&lt;197,I2380*1.26,I2380&gt;197,I2380*1.17) + IF(I2380&gt;1000,17,0)</f>
        <v>0</v>
      </c>
      <c r="I2380" s="10">
        <f>($K$2+0.02)*Tabla1[[#This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2" cm="1">
        <f t="array" ref="H2381">_xlfn.IFS(I2381&lt;197,I2381*1.26,I2381&gt;197,I2381*1.17) + IF(I2381&gt;1000,17,0)</f>
        <v>0</v>
      </c>
      <c r="I2381" s="10">
        <f>($K$2+0.02)*Tabla1[[#This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2" cm="1">
        <f t="array" ref="H2382">_xlfn.IFS(I2382&lt;197,I2382*1.26,I2382&gt;197,I2382*1.17) + IF(I2382&gt;1000,17,0)</f>
        <v>0</v>
      </c>
      <c r="I2382" s="10">
        <f>($K$2+0.02)*Tabla1[[#This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2" cm="1">
        <f t="array" ref="H2383">_xlfn.IFS(I2383&lt;197,I2383*1.26,I2383&gt;197,I2383*1.17) + IF(I2383&gt;1000,17,0)</f>
        <v>0</v>
      </c>
      <c r="I2383" s="10">
        <f>($K$2+0.02)*Tabla1[[#This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2" cm="1">
        <f t="array" ref="H2384">_xlfn.IFS(I2384&lt;197,I2384*1.26,I2384&gt;197,I2384*1.17) + IF(I2384&gt;1000,17,0)</f>
        <v>0</v>
      </c>
      <c r="I2384" s="10">
        <f>($K$2+0.02)*Tabla1[[#This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2" cm="1">
        <f t="array" ref="H2385">_xlfn.IFS(I2385&lt;197,I2385*1.26,I2385&gt;197,I2385*1.17) + IF(I2385&gt;1000,17,0)</f>
        <v>0</v>
      </c>
      <c r="I2385" s="10">
        <f>($K$2+0.02)*Tabla1[[#This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2" cm="1">
        <f t="array" ref="H2386">_xlfn.IFS(I2386&lt;197,I2386*1.26,I2386&gt;197,I2386*1.17) + IF(I2386&gt;1000,17,0)</f>
        <v>0</v>
      </c>
      <c r="I2386" s="10">
        <f>($K$2+0.02)*Tabla1[[#This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2" cm="1">
        <f t="array" ref="H2387">_xlfn.IFS(I2387&lt;197,I2387*1.26,I2387&gt;197,I2387*1.17) + IF(I2387&gt;1000,17,0)</f>
        <v>0</v>
      </c>
      <c r="I2387" s="10">
        <f>($K$2+0.02)*Tabla1[[#This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2" cm="1">
        <f t="array" ref="H2388">_xlfn.IFS(I2388&lt;197,I2388*1.26,I2388&gt;197,I2388*1.17) + IF(I2388&gt;1000,17,0)</f>
        <v>0</v>
      </c>
      <c r="I2388" s="10">
        <f>($K$2+0.02)*Tabla1[[#This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2" cm="1">
        <f t="array" ref="H2389">_xlfn.IFS(I2389&lt;197,I2389*1.26,I2389&gt;197,I2389*1.17) + IF(I2389&gt;1000,17,0)</f>
        <v>0</v>
      </c>
      <c r="I2389" s="10">
        <f>($K$2+0.02)*Tabla1[[#This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2" cm="1">
        <f t="array" ref="H2390">_xlfn.IFS(I2390&lt;197,I2390*1.26,I2390&gt;197,I2390*1.17) + IF(I2390&gt;1000,17,0)</f>
        <v>0</v>
      </c>
      <c r="I2390" s="10">
        <f>($K$2+0.02)*Tabla1[[#This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2" cm="1">
        <f t="array" ref="H2391">_xlfn.IFS(I2391&lt;197,I2391*1.26,I2391&gt;197,I2391*1.17) + IF(I2391&gt;1000,17,0)</f>
        <v>0</v>
      </c>
      <c r="I2391" s="10">
        <f>($K$2+0.02)*Tabla1[[#This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2" cm="1">
        <f t="array" ref="H2392">_xlfn.IFS(I2392&lt;197,I2392*1.26,I2392&gt;197,I2392*1.17) + IF(I2392&gt;1000,17,0)</f>
        <v>0</v>
      </c>
      <c r="I2392" s="10">
        <f>($K$2+0.02)*Tabla1[[#This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2" cm="1">
        <f t="array" ref="H2393">_xlfn.IFS(I2393&lt;197,I2393*1.26,I2393&gt;197,I2393*1.17) + IF(I2393&gt;1000,17,0)</f>
        <v>0</v>
      </c>
      <c r="I2393" s="10">
        <f>($K$2+0.02)*Tabla1[[#This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2" cm="1">
        <f t="array" ref="H2394">_xlfn.IFS(I2394&lt;197,I2394*1.26,I2394&gt;197,I2394*1.17) + IF(I2394&gt;1000,17,0)</f>
        <v>0</v>
      </c>
      <c r="I2394" s="10">
        <f>($K$2+0.02)*Tabla1[[#This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2" cm="1">
        <f t="array" ref="H2395">_xlfn.IFS(I2395&lt;197,I2395*1.26,I2395&gt;197,I2395*1.17) + IF(I2395&gt;1000,17,0)</f>
        <v>0</v>
      </c>
      <c r="I2395" s="10">
        <f>($K$2+0.02)*Tabla1[[#This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2" cm="1">
        <f t="array" ref="H2396">_xlfn.IFS(I2396&lt;197,I2396*1.26,I2396&gt;197,I2396*1.17) + IF(I2396&gt;1000,17,0)</f>
        <v>0</v>
      </c>
      <c r="I2396" s="10">
        <f>($K$2+0.02)*Tabla1[[#This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2" cm="1">
        <f t="array" ref="H2397">_xlfn.IFS(I2397&lt;197,I2397*1.26,I2397&gt;197,I2397*1.17) + IF(I2397&gt;1000,17,0)</f>
        <v>0</v>
      </c>
      <c r="I2397" s="10">
        <f>($K$2+0.02)*Tabla1[[#This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2" cm="1">
        <f t="array" ref="H2398">_xlfn.IFS(I2398&lt;197,I2398*1.26,I2398&gt;197,I2398*1.17) + IF(I2398&gt;1000,17,0)</f>
        <v>0</v>
      </c>
      <c r="I2398" s="10">
        <f>($K$2+0.02)*Tabla1[[#This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2" cm="1">
        <f t="array" ref="H2399">_xlfn.IFS(I2399&lt;197,I2399*1.26,I2399&gt;197,I2399*1.17) + IF(I2399&gt;1000,17,0)</f>
        <v>0</v>
      </c>
      <c r="I2399" s="10">
        <f>($K$2+0.02)*Tabla1[[#This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2" cm="1">
        <f t="array" ref="H2400">_xlfn.IFS(I2400&lt;197,I2400*1.26,I2400&gt;197,I2400*1.17) + IF(I2400&gt;1000,17,0)</f>
        <v>0</v>
      </c>
      <c r="I2400" s="10">
        <f>($K$2+0.02)*Tabla1[[#This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2" cm="1">
        <f t="array" ref="H2401">_xlfn.IFS(I2401&lt;197,I2401*1.26,I2401&gt;197,I2401*1.17) + IF(I2401&gt;1000,17,0)</f>
        <v>0</v>
      </c>
      <c r="I2401" s="10">
        <f>($K$2+0.02)*Tabla1[[#This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2" cm="1">
        <f t="array" ref="H2402">_xlfn.IFS(I2402&lt;197,I2402*1.26,I2402&gt;197,I2402*1.17) + IF(I2402&gt;1000,17,0)</f>
        <v>0</v>
      </c>
      <c r="I2402" s="10">
        <f>($K$2+0.02)*Tabla1[[#This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2" cm="1">
        <f t="array" ref="H2403">_xlfn.IFS(I2403&lt;197,I2403*1.26,I2403&gt;197,I2403*1.17) + IF(I2403&gt;1000,17,0)</f>
        <v>0</v>
      </c>
      <c r="I2403" s="10">
        <f>($K$2+0.02)*Tabla1[[#This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2" cm="1">
        <f t="array" ref="H2404">_xlfn.IFS(I2404&lt;197,I2404*1.26,I2404&gt;197,I2404*1.17) + IF(I2404&gt;1000,17,0)</f>
        <v>0</v>
      </c>
      <c r="I2404" s="10">
        <f>($K$2+0.02)*Tabla1[[#This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2" cm="1">
        <f t="array" ref="H2405">_xlfn.IFS(I2405&lt;197,I2405*1.26,I2405&gt;197,I2405*1.17) + IF(I2405&gt;1000,17,0)</f>
        <v>0</v>
      </c>
      <c r="I2405" s="10">
        <f>($K$2+0.02)*Tabla1[[#This Row],[PRECIO $]]*1.18</f>
        <v>0</v>
      </c>
      <c r="J240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P419"/>
  <sheetViews>
    <sheetView topLeftCell="AA13" workbookViewId="0">
      <selection activeCell="AM28" sqref="AM28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4"/>
  </cols>
  <sheetData>
    <row r="1" spans="1:42" s="4" customFormat="1" x14ac:dyDescent="0.25">
      <c r="A1" s="3" t="s">
        <v>42</v>
      </c>
      <c r="B1" s="3" t="s">
        <v>5432</v>
      </c>
      <c r="C1" s="3" t="s">
        <v>5433</v>
      </c>
      <c r="D1" s="3" t="s">
        <v>3537</v>
      </c>
      <c r="E1" s="3" t="s">
        <v>43</v>
      </c>
      <c r="F1" s="3" t="s">
        <v>41</v>
      </c>
      <c r="G1" s="3" t="s">
        <v>29</v>
      </c>
      <c r="H1" s="3" t="s">
        <v>743</v>
      </c>
      <c r="I1" s="3" t="s">
        <v>741</v>
      </c>
      <c r="J1" s="3" t="s">
        <v>740</v>
      </c>
      <c r="K1" s="3" t="s">
        <v>46</v>
      </c>
      <c r="L1" s="3" t="s">
        <v>45</v>
      </c>
      <c r="M1" s="3" t="s">
        <v>12</v>
      </c>
      <c r="N1" s="3" t="s">
        <v>742</v>
      </c>
      <c r="O1" s="3" t="s">
        <v>744</v>
      </c>
      <c r="P1" s="3" t="s">
        <v>745</v>
      </c>
      <c r="Q1" s="3" t="s">
        <v>19</v>
      </c>
      <c r="R1" s="3" t="s">
        <v>11</v>
      </c>
      <c r="S1" s="3" t="s">
        <v>8</v>
      </c>
      <c r="T1" s="3" t="s">
        <v>3581</v>
      </c>
      <c r="U1" s="3" t="s">
        <v>708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3582</v>
      </c>
      <c r="AN1" s="1" t="s">
        <v>5734</v>
      </c>
      <c r="AO1" s="1" t="s">
        <v>5754</v>
      </c>
      <c r="AP1" s="3" t="s">
        <v>5908</v>
      </c>
    </row>
    <row r="2" spans="1:42" x14ac:dyDescent="0.25">
      <c r="A2" s="1"/>
      <c r="B2" s="1">
        <v>434953</v>
      </c>
      <c r="C2" s="1">
        <v>480426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</row>
    <row r="3" spans="1:42" x14ac:dyDescent="0.25">
      <c r="A3" s="1"/>
      <c r="B3" s="1">
        <v>12450</v>
      </c>
      <c r="C3" s="1">
        <v>506976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</row>
    <row r="4" spans="1:42" x14ac:dyDescent="0.25">
      <c r="A4" s="1">
        <v>152603</v>
      </c>
      <c r="B4" s="1">
        <v>490378</v>
      </c>
      <c r="C4" s="1">
        <v>506750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</row>
    <row r="5" spans="1:42" x14ac:dyDescent="0.25">
      <c r="A5" s="1">
        <v>212075</v>
      </c>
      <c r="B5" s="1">
        <v>451095</v>
      </c>
      <c r="C5" s="1">
        <v>495430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</row>
    <row r="6" spans="1:42" x14ac:dyDescent="0.25">
      <c r="A6" s="1">
        <v>177279</v>
      </c>
      <c r="B6" s="1">
        <v>12450</v>
      </c>
      <c r="C6" s="1">
        <v>415784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</row>
    <row r="7" spans="1:42" x14ac:dyDescent="0.25">
      <c r="A7" s="1">
        <v>424446</v>
      </c>
      <c r="B7" s="1">
        <v>490370</v>
      </c>
      <c r="C7" s="1">
        <v>470171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</row>
    <row r="8" spans="1:42" x14ac:dyDescent="0.25">
      <c r="A8" s="1">
        <v>142646</v>
      </c>
      <c r="B8" s="1">
        <v>12450</v>
      </c>
      <c r="C8" s="1">
        <v>488151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</row>
    <row r="9" spans="1:42" x14ac:dyDescent="0.25">
      <c r="A9" s="1">
        <v>424448</v>
      </c>
      <c r="B9" s="1">
        <v>479194</v>
      </c>
      <c r="C9" s="1">
        <v>470173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</row>
    <row r="10" spans="1:42" x14ac:dyDescent="0.25">
      <c r="A10" s="1"/>
      <c r="B10" s="1">
        <v>437193</v>
      </c>
      <c r="C10" s="1">
        <v>421960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</row>
    <row r="11" spans="1:42" x14ac:dyDescent="0.25">
      <c r="A11" s="1"/>
      <c r="B11" s="1">
        <v>12450</v>
      </c>
      <c r="C11" s="1">
        <v>422995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</row>
    <row r="12" spans="1:42" x14ac:dyDescent="0.25">
      <c r="A12" s="1"/>
      <c r="B12" s="1">
        <v>471146</v>
      </c>
      <c r="C12" s="1">
        <v>487647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/>
    </row>
    <row r="13" spans="1:42" x14ac:dyDescent="0.25">
      <c r="A13" s="1"/>
      <c r="B13" s="1">
        <v>471112</v>
      </c>
      <c r="C13" s="1">
        <v>485314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/>
    </row>
    <row r="14" spans="1:42" x14ac:dyDescent="0.25">
      <c r="A14" s="1">
        <v>473432</v>
      </c>
      <c r="B14" s="1">
        <v>8313037</v>
      </c>
      <c r="C14" s="1">
        <v>415788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/>
      <c r="AP14" s="1"/>
    </row>
    <row r="15" spans="1:42" x14ac:dyDescent="0.25">
      <c r="A15" s="1">
        <v>476847</v>
      </c>
      <c r="B15" s="1">
        <v>473080</v>
      </c>
      <c r="C15" s="1">
        <v>481871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426096</v>
      </c>
      <c r="AP15" s="1"/>
    </row>
    <row r="16" spans="1:42" x14ac:dyDescent="0.25">
      <c r="A16" s="1">
        <v>476848</v>
      </c>
      <c r="B16" s="1">
        <v>13420</v>
      </c>
      <c r="C16" s="1">
        <v>467970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</row>
    <row r="17" spans="1:42" x14ac:dyDescent="0.25">
      <c r="A17" s="1">
        <v>427325</v>
      </c>
      <c r="B17" s="1">
        <v>13420</v>
      </c>
      <c r="C17" s="1">
        <v>487667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</row>
    <row r="18" spans="1:42" x14ac:dyDescent="0.25">
      <c r="A18" s="1">
        <v>427326</v>
      </c>
      <c r="B18" s="1">
        <v>487747</v>
      </c>
      <c r="C18" s="1">
        <v>447697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</row>
    <row r="19" spans="1:42" x14ac:dyDescent="0.25">
      <c r="A19" s="1">
        <v>337726</v>
      </c>
      <c r="B19" s="1">
        <v>12450</v>
      </c>
      <c r="C19" s="1">
        <v>16100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</row>
    <row r="20" spans="1:42" x14ac:dyDescent="0.25">
      <c r="A20" s="1">
        <v>424445</v>
      </c>
      <c r="B20" s="1">
        <v>444602</v>
      </c>
      <c r="C20" s="1">
        <v>461232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</row>
    <row r="21" spans="1:42" x14ac:dyDescent="0.25">
      <c r="A21" s="1">
        <v>453370</v>
      </c>
      <c r="B21" s="1">
        <v>434957</v>
      </c>
      <c r="C21" s="1">
        <v>481864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</row>
    <row r="22" spans="1:42" x14ac:dyDescent="0.25">
      <c r="A22" s="1">
        <v>467240</v>
      </c>
      <c r="B22" s="1">
        <v>13650</v>
      </c>
      <c r="C22" s="1">
        <v>481852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</row>
    <row r="23" spans="1:42" x14ac:dyDescent="0.25">
      <c r="A23" s="1">
        <v>455724</v>
      </c>
      <c r="B23" s="1">
        <v>8313075</v>
      </c>
      <c r="C23" s="1">
        <v>13420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</row>
    <row r="24" spans="1:42" x14ac:dyDescent="0.25">
      <c r="A24" s="1">
        <v>455723</v>
      </c>
      <c r="B24" s="1">
        <v>482911</v>
      </c>
      <c r="C24" s="1">
        <v>506261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</row>
    <row r="25" spans="1:42" x14ac:dyDescent="0.25">
      <c r="A25" s="1">
        <v>455722</v>
      </c>
      <c r="B25" s="1">
        <v>13620</v>
      </c>
      <c r="C25" s="1">
        <v>474970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</row>
    <row r="26" spans="1:42" x14ac:dyDescent="0.25">
      <c r="A26" s="1">
        <v>427324</v>
      </c>
      <c r="B26" s="1">
        <v>475874</v>
      </c>
      <c r="C26" s="1">
        <v>418120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</row>
    <row r="27" spans="1:42" x14ac:dyDescent="0.25">
      <c r="A27" s="1">
        <v>104932</v>
      </c>
      <c r="B27" s="1">
        <v>490379</v>
      </c>
      <c r="C27" s="1">
        <v>490702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</row>
    <row r="28" spans="1:42" x14ac:dyDescent="0.25">
      <c r="A28" s="1">
        <v>168571</v>
      </c>
      <c r="B28" s="1">
        <v>479195</v>
      </c>
      <c r="C28" s="1">
        <v>12450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</row>
    <row r="29" spans="1:42" x14ac:dyDescent="0.25">
      <c r="A29" s="1">
        <v>257485</v>
      </c>
      <c r="B29" s="1">
        <v>443969</v>
      </c>
      <c r="C29" s="1">
        <v>12450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</row>
    <row r="30" spans="1:42" x14ac:dyDescent="0.25">
      <c r="A30" s="1">
        <v>365437</v>
      </c>
      <c r="B30" s="1">
        <v>468038</v>
      </c>
      <c r="C30" s="1">
        <v>421962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</row>
    <row r="31" spans="1:42" x14ac:dyDescent="0.25">
      <c r="A31" s="1">
        <v>473410</v>
      </c>
      <c r="B31" s="1">
        <v>13620</v>
      </c>
      <c r="C31" s="1">
        <v>12450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399458</v>
      </c>
      <c r="AP31" s="1"/>
    </row>
    <row r="32" spans="1:42" x14ac:dyDescent="0.25">
      <c r="A32" s="1">
        <v>361634</v>
      </c>
      <c r="B32" s="1">
        <v>486063</v>
      </c>
      <c r="C32" s="1">
        <v>441112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259236</v>
      </c>
      <c r="AP32" s="1"/>
    </row>
    <row r="33" spans="1:42" x14ac:dyDescent="0.25">
      <c r="A33" s="1">
        <v>479889</v>
      </c>
      <c r="B33" s="1">
        <v>490371</v>
      </c>
      <c r="C33" s="1">
        <v>13420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</row>
    <row r="34" spans="1:42" x14ac:dyDescent="0.25">
      <c r="A34" s="1">
        <v>432068</v>
      </c>
      <c r="B34" s="1">
        <v>13700</v>
      </c>
      <c r="C34" s="1">
        <v>472646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</row>
    <row r="35" spans="1:42" x14ac:dyDescent="0.25">
      <c r="A35" s="1">
        <v>432071</v>
      </c>
      <c r="B35" s="1">
        <v>13700</v>
      </c>
      <c r="C35" s="1">
        <v>3500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</row>
    <row r="36" spans="1:42" x14ac:dyDescent="0.25">
      <c r="A36" s="1">
        <v>432076</v>
      </c>
      <c r="B36" s="1">
        <v>490380</v>
      </c>
      <c r="C36" s="1">
        <v>491854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</row>
    <row r="37" spans="1:42" x14ac:dyDescent="0.25">
      <c r="A37" s="1">
        <v>432079</v>
      </c>
      <c r="B37" s="1">
        <v>482910</v>
      </c>
      <c r="C37" s="1">
        <v>3500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</row>
    <row r="38" spans="1:42" x14ac:dyDescent="0.25">
      <c r="A38" s="1"/>
      <c r="B38" s="1">
        <v>342686</v>
      </c>
      <c r="C38" s="1">
        <v>498198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</row>
    <row r="39" spans="1:42" x14ac:dyDescent="0.25">
      <c r="A39" s="1">
        <v>477432</v>
      </c>
      <c r="B39" s="1">
        <v>508966</v>
      </c>
      <c r="C39" s="1">
        <v>12450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</row>
    <row r="40" spans="1:42" x14ac:dyDescent="0.25">
      <c r="A40" s="1">
        <v>332518</v>
      </c>
      <c r="B40" s="1">
        <v>13620</v>
      </c>
      <c r="C40" s="1">
        <v>12450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</row>
    <row r="41" spans="1:42" x14ac:dyDescent="0.25">
      <c r="A41" s="1">
        <v>414834</v>
      </c>
      <c r="B41" s="1">
        <v>13620</v>
      </c>
      <c r="C41" s="1">
        <v>474303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</row>
    <row r="42" spans="1:42" x14ac:dyDescent="0.25">
      <c r="A42" s="1">
        <v>414836</v>
      </c>
      <c r="B42" s="1">
        <v>342685</v>
      </c>
      <c r="C42" s="1">
        <v>497500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</row>
    <row r="43" spans="1:42" x14ac:dyDescent="0.25">
      <c r="A43" s="1">
        <v>374289</v>
      </c>
      <c r="B43" s="1">
        <v>508967</v>
      </c>
      <c r="C43" s="1">
        <v>480389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</row>
    <row r="44" spans="1:42" x14ac:dyDescent="0.25">
      <c r="A44" s="1">
        <v>393597</v>
      </c>
      <c r="B44" s="1">
        <v>13620</v>
      </c>
      <c r="C44" s="1">
        <v>13420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</row>
    <row r="45" spans="1:42" x14ac:dyDescent="0.25">
      <c r="A45" s="1">
        <v>93854</v>
      </c>
      <c r="B45" s="1">
        <v>13620</v>
      </c>
      <c r="C45" s="1">
        <v>487668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</row>
    <row r="46" spans="1:42" x14ac:dyDescent="0.25">
      <c r="A46" s="1"/>
      <c r="B46" s="1">
        <v>475873</v>
      </c>
      <c r="C46" s="1">
        <v>13420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</row>
    <row r="47" spans="1:42" x14ac:dyDescent="0.25">
      <c r="A47" s="1">
        <v>457540</v>
      </c>
      <c r="B47" s="1">
        <v>14650</v>
      </c>
      <c r="C47" s="1">
        <v>13420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</row>
    <row r="48" spans="1:42" x14ac:dyDescent="0.25">
      <c r="A48" s="1">
        <v>460267</v>
      </c>
      <c r="B48" s="1">
        <v>491151</v>
      </c>
      <c r="C48" s="1">
        <v>487682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</row>
    <row r="49" spans="1:42" x14ac:dyDescent="0.25">
      <c r="A49" s="1">
        <v>460529</v>
      </c>
      <c r="B49" s="1">
        <v>90910</v>
      </c>
      <c r="C49" s="1">
        <v>13420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</row>
    <row r="50" spans="1:42" x14ac:dyDescent="0.25">
      <c r="A50" s="1">
        <v>190177</v>
      </c>
      <c r="B50" s="1">
        <v>90910</v>
      </c>
      <c r="C50" s="1">
        <v>13420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</row>
    <row r="51" spans="1:42" x14ac:dyDescent="0.25">
      <c r="A51" s="1">
        <v>243959</v>
      </c>
      <c r="B51" s="1">
        <v>490381</v>
      </c>
      <c r="C51" s="1">
        <v>489081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</row>
    <row r="52" spans="1:42" x14ac:dyDescent="0.25">
      <c r="A52" s="1">
        <v>481808</v>
      </c>
      <c r="B52" s="1">
        <v>478533</v>
      </c>
      <c r="C52" s="1">
        <v>71671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</row>
    <row r="53" spans="1:42" x14ac:dyDescent="0.25">
      <c r="A53" s="1"/>
      <c r="B53" s="1">
        <v>452972</v>
      </c>
      <c r="C53" s="1">
        <v>13420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</row>
    <row r="54" spans="1:42" x14ac:dyDescent="0.25">
      <c r="A54" s="1">
        <v>467239</v>
      </c>
      <c r="B54" s="1">
        <v>475875</v>
      </c>
      <c r="C54" s="1">
        <v>71671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</row>
    <row r="55" spans="1:42" x14ac:dyDescent="0.25">
      <c r="A55" s="1">
        <v>476854</v>
      </c>
      <c r="B55" s="1">
        <v>478534</v>
      </c>
      <c r="C55" s="1">
        <v>13420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</row>
    <row r="56" spans="1:42" x14ac:dyDescent="0.25">
      <c r="A56" s="1">
        <v>476853</v>
      </c>
      <c r="B56" s="1">
        <v>495192</v>
      </c>
      <c r="C56" s="1">
        <v>451092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</row>
    <row r="57" spans="1:42" x14ac:dyDescent="0.25">
      <c r="A57" s="1">
        <v>427322</v>
      </c>
      <c r="B57" s="1">
        <v>352085</v>
      </c>
      <c r="C57" s="1">
        <v>15021146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</row>
    <row r="58" spans="1:42" x14ac:dyDescent="0.25">
      <c r="A58" s="1">
        <v>427321</v>
      </c>
      <c r="B58" s="1">
        <v>470794</v>
      </c>
      <c r="C58" s="1">
        <v>489140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</row>
    <row r="59" spans="1:42" x14ac:dyDescent="0.25">
      <c r="A59" s="1">
        <v>422986</v>
      </c>
      <c r="B59" s="1">
        <v>490377</v>
      </c>
      <c r="C59" s="1">
        <v>13420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</row>
    <row r="60" spans="1:42" x14ac:dyDescent="0.25">
      <c r="A60" s="1">
        <v>246353</v>
      </c>
      <c r="B60" s="1">
        <v>486058</v>
      </c>
      <c r="C60" s="1">
        <v>13420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</row>
    <row r="61" spans="1:42" x14ac:dyDescent="0.25">
      <c r="A61" s="1">
        <v>337737</v>
      </c>
      <c r="B61" s="1">
        <v>490376</v>
      </c>
      <c r="C61" s="1">
        <v>475866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</row>
    <row r="62" spans="1:42" x14ac:dyDescent="0.25">
      <c r="A62" s="1">
        <v>125619</v>
      </c>
      <c r="B62" s="1">
        <v>477752</v>
      </c>
      <c r="C62" s="1">
        <v>1502726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</row>
    <row r="63" spans="1:42" x14ac:dyDescent="0.25">
      <c r="A63" s="1">
        <v>365435</v>
      </c>
      <c r="B63" s="1">
        <v>452973</v>
      </c>
      <c r="C63" s="1">
        <v>488347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</row>
    <row r="64" spans="1:42" x14ac:dyDescent="0.25">
      <c r="A64" s="1">
        <v>453742</v>
      </c>
      <c r="B64" s="1">
        <v>477756</v>
      </c>
      <c r="C64" s="1">
        <v>13420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</row>
    <row r="65" spans="1:42" x14ac:dyDescent="0.25">
      <c r="A65" s="1">
        <v>58044</v>
      </c>
      <c r="B65" s="1">
        <v>352084</v>
      </c>
      <c r="C65" s="1">
        <v>13420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</row>
    <row r="66" spans="1:42" x14ac:dyDescent="0.25">
      <c r="A66" s="1">
        <v>370421</v>
      </c>
      <c r="B66" s="1">
        <v>482906</v>
      </c>
      <c r="C66" s="1">
        <v>483201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</row>
    <row r="67" spans="1:42" x14ac:dyDescent="0.25">
      <c r="A67" s="1">
        <v>457610</v>
      </c>
      <c r="B67" s="1">
        <v>481359</v>
      </c>
      <c r="C67" s="1">
        <v>13420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</row>
    <row r="68" spans="1:42" x14ac:dyDescent="0.25">
      <c r="A68" s="1">
        <v>153129</v>
      </c>
      <c r="B68" s="1">
        <v>481358</v>
      </c>
      <c r="C68" s="1">
        <v>495590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</row>
    <row r="69" spans="1:42" x14ac:dyDescent="0.25">
      <c r="A69" s="1">
        <v>356979</v>
      </c>
      <c r="B69" s="1">
        <v>473530</v>
      </c>
      <c r="C69" s="1">
        <v>13620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</row>
    <row r="70" spans="1:42" x14ac:dyDescent="0.25">
      <c r="A70" s="1">
        <v>233715</v>
      </c>
      <c r="B70" s="1"/>
      <c r="C70" s="1">
        <v>13620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</row>
    <row r="71" spans="1:42" x14ac:dyDescent="0.25">
      <c r="A71" s="1">
        <v>478260</v>
      </c>
      <c r="B71" s="1"/>
      <c r="C71" s="1">
        <v>444894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</row>
    <row r="72" spans="1:42" x14ac:dyDescent="0.25">
      <c r="A72" s="1">
        <v>457614</v>
      </c>
      <c r="B72" s="1"/>
      <c r="C72" s="1">
        <v>470601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</row>
    <row r="73" spans="1:42" x14ac:dyDescent="0.25">
      <c r="A73" s="1">
        <v>479844</v>
      </c>
      <c r="B73" s="1"/>
      <c r="C73" s="1">
        <v>487687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</row>
    <row r="74" spans="1:42" x14ac:dyDescent="0.25">
      <c r="A74" s="1">
        <v>479393</v>
      </c>
      <c r="B74" s="1"/>
      <c r="C74" s="1">
        <v>13620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</row>
    <row r="75" spans="1:42" x14ac:dyDescent="0.25">
      <c r="A75" s="1"/>
      <c r="B75" s="1"/>
      <c r="C75" s="1">
        <v>13620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</row>
    <row r="76" spans="1:42" x14ac:dyDescent="0.25">
      <c r="A76" s="1">
        <v>479365</v>
      </c>
      <c r="B76" s="1"/>
      <c r="C76" s="1">
        <v>483194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</row>
    <row r="77" spans="1:42" x14ac:dyDescent="0.25">
      <c r="A77" s="1">
        <v>363379</v>
      </c>
      <c r="B77" s="1"/>
      <c r="C77" s="1">
        <v>13620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</row>
    <row r="78" spans="1:42" x14ac:dyDescent="0.25">
      <c r="A78" s="1"/>
      <c r="B78" s="1"/>
      <c r="C78" s="1">
        <v>487688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</row>
    <row r="79" spans="1:42" x14ac:dyDescent="0.25">
      <c r="A79" s="1"/>
      <c r="B79" s="1"/>
      <c r="C79" s="1">
        <v>13620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</row>
    <row r="80" spans="1:42" x14ac:dyDescent="0.25">
      <c r="A80" s="1"/>
      <c r="B80" s="1"/>
      <c r="C80" s="1">
        <v>13620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</row>
    <row r="81" spans="1:42" x14ac:dyDescent="0.25">
      <c r="A81" s="1">
        <v>477429</v>
      </c>
      <c r="B81" s="1"/>
      <c r="C81" s="1">
        <v>463230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</row>
    <row r="82" spans="1:42" x14ac:dyDescent="0.25">
      <c r="A82" s="1">
        <v>479907</v>
      </c>
      <c r="B82" s="1"/>
      <c r="C82" s="1">
        <v>483544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</row>
    <row r="83" spans="1:42" x14ac:dyDescent="0.25">
      <c r="A83" s="1"/>
      <c r="B83" s="1"/>
      <c r="C83" s="1">
        <v>13620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</row>
    <row r="84" spans="1:42" x14ac:dyDescent="0.25">
      <c r="A84" s="1"/>
      <c r="B84" s="1"/>
      <c r="C84" s="1">
        <v>13620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</row>
    <row r="85" spans="1:42" x14ac:dyDescent="0.25">
      <c r="A85" s="1"/>
      <c r="B85" s="1"/>
      <c r="C85" s="1">
        <v>487693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</row>
    <row r="86" spans="1:42" x14ac:dyDescent="0.25">
      <c r="A86" s="1"/>
      <c r="B86" s="1"/>
      <c r="C86" s="1">
        <v>13620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</row>
    <row r="87" spans="1:42" x14ac:dyDescent="0.25">
      <c r="A87" s="1">
        <v>433286</v>
      </c>
      <c r="B87" s="1"/>
      <c r="C87" s="1">
        <v>13620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</row>
    <row r="88" spans="1:42" x14ac:dyDescent="0.25">
      <c r="A88" s="1">
        <v>457615</v>
      </c>
      <c r="B88" s="1"/>
      <c r="C88" s="1">
        <v>434956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</row>
    <row r="89" spans="1:42" x14ac:dyDescent="0.25">
      <c r="A89" s="1">
        <v>393598</v>
      </c>
      <c r="B89" s="1"/>
      <c r="C89" s="1">
        <v>487848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</row>
    <row r="90" spans="1:42" x14ac:dyDescent="0.25">
      <c r="A90" s="1">
        <v>422975</v>
      </c>
      <c r="B90" s="1"/>
      <c r="C90" s="1">
        <v>454430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</row>
    <row r="91" spans="1:42" x14ac:dyDescent="0.25">
      <c r="A91" s="1">
        <v>422976</v>
      </c>
      <c r="B91" s="1"/>
      <c r="C91" s="1">
        <v>461901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</row>
    <row r="92" spans="1:42" x14ac:dyDescent="0.25">
      <c r="A92" s="1">
        <v>422977</v>
      </c>
      <c r="B92" s="1"/>
      <c r="C92" s="1">
        <v>448458</v>
      </c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</row>
    <row r="93" spans="1:42" x14ac:dyDescent="0.25">
      <c r="A93" s="1">
        <v>455432</v>
      </c>
      <c r="B93" s="1"/>
      <c r="C93" s="1">
        <v>454523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</row>
    <row r="94" spans="1:42" x14ac:dyDescent="0.25">
      <c r="A94" s="1">
        <v>475935</v>
      </c>
      <c r="B94" s="1"/>
      <c r="C94" s="1">
        <v>464940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</row>
    <row r="95" spans="1:42" x14ac:dyDescent="0.25">
      <c r="A95" s="1">
        <v>388323</v>
      </c>
      <c r="B95" s="1"/>
      <c r="C95" s="1">
        <v>489075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</row>
    <row r="96" spans="1:42" x14ac:dyDescent="0.25">
      <c r="A96" s="1">
        <v>473584</v>
      </c>
      <c r="B96" s="1"/>
      <c r="C96" s="1">
        <v>496535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</row>
    <row r="97" spans="1:42" x14ac:dyDescent="0.25">
      <c r="A97" s="1">
        <v>473585</v>
      </c>
      <c r="B97" s="1"/>
      <c r="C97" s="1">
        <v>477765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</row>
    <row r="98" spans="1:42" x14ac:dyDescent="0.25">
      <c r="A98" s="1"/>
      <c r="B98" s="1"/>
      <c r="C98" s="1">
        <v>461900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</row>
    <row r="99" spans="1:42" x14ac:dyDescent="0.25">
      <c r="A99" s="1"/>
      <c r="B99" s="1"/>
      <c r="C99" s="1">
        <v>496689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</row>
    <row r="100" spans="1:42" x14ac:dyDescent="0.25">
      <c r="A100" s="1">
        <v>479832</v>
      </c>
      <c r="B100" s="1"/>
      <c r="C100" s="1">
        <v>489045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x14ac:dyDescent="0.25">
      <c r="A101" s="1">
        <v>476849</v>
      </c>
      <c r="B101" s="1"/>
      <c r="C101" s="1">
        <v>477747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x14ac:dyDescent="0.25">
      <c r="A102" s="1">
        <v>476850</v>
      </c>
      <c r="B102" s="1"/>
      <c r="C102" s="1">
        <v>496694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2026-02-05T23:49:10Z</dcterms:modified>
</cp:coreProperties>
</file>