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48EDF6C-8EE5-44BC-BB5A-D629B5FF94C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I2406" i="1"/>
  <c r="H2406" i="1" s="1" a="1"/>
  <c r="H2406" i="1" s="1"/>
  <c r="J2406" i="1" s="1"/>
  <c r="I2407" i="1"/>
  <c r="H2407" i="1" s="1" a="1"/>
  <c r="H2407" i="1" s="1"/>
  <c r="J2407" i="1" s="1"/>
  <c r="I2408" i="1"/>
  <c r="H2408" i="1" s="1" a="1"/>
  <c r="H2408" i="1" s="1"/>
  <c r="J2408" i="1" s="1"/>
  <c r="I2409" i="1"/>
  <c r="H2409" i="1" s="1" a="1"/>
  <c r="H2409" i="1" s="1"/>
  <c r="J2409" i="1" s="1"/>
  <c r="I2410" i="1"/>
  <c r="H2410" i="1" s="1" a="1"/>
  <c r="H2410" i="1" s="1"/>
  <c r="J2410" i="1" s="1"/>
  <c r="I2411" i="1"/>
  <c r="H2411" i="1" s="1" a="1"/>
  <c r="H2411" i="1" s="1"/>
  <c r="J2411" i="1" s="1"/>
  <c r="I2412" i="1"/>
  <c r="H2412" i="1" s="1" a="1"/>
  <c r="H2412" i="1" s="1"/>
  <c r="J2412" i="1" s="1"/>
  <c r="I2413" i="1"/>
  <c r="H2413" i="1" s="1" a="1"/>
  <c r="H2413" i="1" s="1"/>
  <c r="J2413" i="1" s="1"/>
  <c r="I2414" i="1"/>
  <c r="H2414" i="1" s="1" a="1"/>
  <c r="H2414" i="1" s="1"/>
  <c r="J2414" i="1" s="1"/>
  <c r="I2415" i="1"/>
  <c r="H2415" i="1" s="1" a="1"/>
  <c r="H2415" i="1" s="1"/>
  <c r="J24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<sst xmlns="http://schemas.openxmlformats.org/spreadsheetml/2006/main" count="7926" uniqueCount="6226">
  <si>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</si>
  <si>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</si>
  <si>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</si>
  <si>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</si>
  <si>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</si>
  <si>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</si>
  <si>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</si>
  <si>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</si>
  <si>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</si>
  <si>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</si>
  <si>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</si>
  <si>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</si>
  <si>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</si>
  <si>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</si>
  <si>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</si>
  <si>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</si>
  <si>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</si>
  <si>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</si>
  <si>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</si>
  <si>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</si>
  <si>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</si>
  <si>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</si>
  <si>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</si>
  <si>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</si>
  <si>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</si>
  <si>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</si>
  <si>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</si>
  <si>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</si>
  <si>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</si>
  <si>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</si>
  <si>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</si>
  <si>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</si>
  <si>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</si>
  <si>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</si>
  <si>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</si>
  <si>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</si>
  <si>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</si>
  <si>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</si>
  <si>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</si>
  <si>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</si>
  <si>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</si>
  <si>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</si>
  <si>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</si>
  <si>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</si>
  <si>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</si>
  <si>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</si>
  <si>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</si>
  <si>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</si>
  <si>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</si>
  <si>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</si>
  <si>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</si>
  <si>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</si>
  <si>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</si>
  <si>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</si>
  <si>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</si>
  <si>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</si>
  <si>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</si>
  <si>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</si>
  <si>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</si>
  <si>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</si>
  <si>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</si>
  <si>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</si>
  <si>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</si>
  <si>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</si>
  <si>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</si>
  <si>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</si>
  <si>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</si>
  <si>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</si>
  <si>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</si>
  <si>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</si>
  <si>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</si>
  <si>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</si>
  <si>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</si>
  <si>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</si>
  <si>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</si>
  <si>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</si>
  <si>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</si>
  <si>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</si>
  <si>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</si>
  <si>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</si>
  <si>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</si>
  <si>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</si>
  <si>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</si>
  <si>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</si>
  <si>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</si>
  <si>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</si>
  <si>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</si>
  <si>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</si>
  <si>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</si>
  <si>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</si>
  <si>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</si>
  <si>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</si>
  <si>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</si>
  <si>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</si>
  <si>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</si>
  <si>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</si>
  <si>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</si>
  <si>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</si>
  <si>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</si>
  <si>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</si>
  <si>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</si>
  <si>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</si>
  <si>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</si>
  <si>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</si>
  <si>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</si>
  <si>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</si>
  <si>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</si>
  <si>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</si>
  <si>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</si>
  <si>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</si>
  <si>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</si>
  <si>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</si>
  <si>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</si>
  <si>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</si>
  <si>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</si>
  <si>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</si>
  <si>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</si>
  <si>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</si>
  <si>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</si>
  <si>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</si>
  <si>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</si>
  <si>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</si>
  <si>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</si>
  <si>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</si>
  <si>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</si>
  <si>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</si>
  <si>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</si>
  <si>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</si>
  <si>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</si>
  <si>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</si>
  <si>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</si>
  <si>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</si>
  <si>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</si>
  <si>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</si>
  <si>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</si>
  <si>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</si>
  <si>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</si>
  <si>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</si>
  <si>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</si>
  <si>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</si>
  <si>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</si>
  <si>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</si>
  <si>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</si>
  <si>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</si>
  <si>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</si>
  <si>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</si>
  <si>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</si>
  <si>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</si>
  <si>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</si>
  <si>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</si>
  <si>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</si>
  <si>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</si>
  <si>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</si>
  <si>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</si>
  <si>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</si>
  <si>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</si>
  <si>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</si>
  <si>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</si>
  <si>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</si>
  <si>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</si>
  <si>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</si>
  <si>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</si>
  <si>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</si>
  <si>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</si>
  <si>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</si>
  <si>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</si>
  <si>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</si>
  <si>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</si>
  <si>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</si>
  <si>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</si>
  <si>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</si>
  <si>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</si>
  <si>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</si>
  <si>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</si>
  <si>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</si>
  <si>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</si>
  <si>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</si>
  <si>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</si>
  <si>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</si>
  <si>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</si>
  <si>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</si>
  <si>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</si>
  <si>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</si>
  <si>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</si>
  <si>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</si>
  <si>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</si>
  <si>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</si>
  <si>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</si>
  <si>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</si>
  <si>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</si>
  <si>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</si>
  <si>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</si>
  <si>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</si>
  <si>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</si>
  <si>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</si>
  <si>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</si>
  <si>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</si>
  <si>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</si>
  <si>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</si>
  <si>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</si>
  <si>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</si>
  <si>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</si>
  <si>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</si>
  <si>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</si>
  <si>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</si>
  <si>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</si>
  <si>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</si>
  <si>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</si>
  <si>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</si>
  <si>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</si>
  <si>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</si>
  <si>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</si>
  <si>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</si>
  <si>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</si>
  <si>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</si>
  <si>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</si>
  <si>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</si>
  <si>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</si>
  <si>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</si>
  <si>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</si>
  <si>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</si>
  <si>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</si>
  <si>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</si>
  <si>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</si>
  <si>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</si>
  <si>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</si>
  <si>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</si>
  <si>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</si>
  <si>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</si>
  <si>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</si>
  <si>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</si>
  <si>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</si>
  <si>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</si>
  <si>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</si>
  <si>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</si>
  <si>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</si>
  <si>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</si>
  <si>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</si>
  <si>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</si>
  <si>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</si>
  <si>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</si>
  <si>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</si>
  <si>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</si>
  <si>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</si>
  <si>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</si>
  <si>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</si>
  <si>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</si>
  <si>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</si>
  <si>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</si>
  <si>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</si>
  <si>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</si>
  <si>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</si>
  <si>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</si>
  <si>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</si>
  <si>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</si>
  <si>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</si>
  <si>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</si>
  <si>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</si>
  <si>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</si>
  <si>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</si>
  <si>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</si>
  <si>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</si>
  <si>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</si>
  <si>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</si>
  <si>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</si>
  <si>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</si>
  <si>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</si>
  <si>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</si>
  <si>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</si>
  <si>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</si>
  <si>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</si>
  <si>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</si>
  <si>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</si>
  <si>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</si>
  <si>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</si>
  <si>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</si>
  <si>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</si>
  <si>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</si>
  <si>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</si>
  <si>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</si>
  <si>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</si>
  <si>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</si>
  <si>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</si>
  <si>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</si>
  <si>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</si>
  <si>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</si>
  <si>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</si>
  <si>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</si>
  <si>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</si>
  <si>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</si>
  <si>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</si>
  <si>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</si>
  <si>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</si>
  <si>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</si>
  <si>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</si>
  <si>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</si>
  <si>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</si>
  <si>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</si>
  <si>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</si>
  <si>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</si>
  <si>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</si>
  <si>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</si>
  <si>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</si>
  <si>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</si>
  <si>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</si>
  <si>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</si>
  <si>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</si>
  <si>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</si>
  <si>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</si>
  <si>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</si>
  <si>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</si>
  <si>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</si>
  <si>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</si>
  <si>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</si>
  <si>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</si>
  <si>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</si>
  <si>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</si>
  <si>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</si>
  <si>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</si>
  <si>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</si>
  <si>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</si>
  <si>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</si>
  <si>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</si>
  <si>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</si>
  <si>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</si>
  <si>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</si>
  <si>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</si>
  <si>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</si>
  <si>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</si>
  <si>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</si>
  <si>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</si>
  <si>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</si>
  <si>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</si>
  <si>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</si>
  <si>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</si>
  <si>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</si>
  <si>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</si>
  <si>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</si>
  <si>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</si>
  <si>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</si>
  <si>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</si>
  <si>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</si>
  <si>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</si>
  <si>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</si>
  <si>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</si>
  <si>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</si>
  <si>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</si>
  <si>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</si>
  <si>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</si>
  <si>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</si>
  <si>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</si>
  <si>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</si>
  <si>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</si>
  <si>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</si>
  <si>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</si>
  <si>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</si>
  <si>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</si>
  <si>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</si>
  <si>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</si>
  <si>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</si>
  <si>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</si>
  <si>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</si>
  <si>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</si>
  <si>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</si>
  <si>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</si>
  <si>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</si>
  <si>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</si>
  <si>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</si>
  <si>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</si>
  <si>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</si>
  <si>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</si>
  <si>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</si>
  <si>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</si>
  <si>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</si>
  <si>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</si>
  <si>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</si>
  <si>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</si>
  <si>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</si>
  <si>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</si>
  <si>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</si>
  <si>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</si>
  <si>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</si>
  <si>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</si>
  <si>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</si>
  <si>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</si>
  <si>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</si>
  <si>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</si>
  <si>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</si>
  <si>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</si>
  <si>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</si>
  <si>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</si>
  <si>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</si>
  <si>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</si>
  <si>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</si>
  <si>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</si>
  <si>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</si>
  <si>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</si>
  <si>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</si>
  <si>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</si>
  <si>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</si>
  <si>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</si>
  <si>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</si>
  <si>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</si>
  <si>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</si>
  <si>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</si>
  <si>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</si>
  <si>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</si>
  <si>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</si>
  <si>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</si>
  <si>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</si>
  <si>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</si>
  <si>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</si>
  <si>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</si>
  <si>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</si>
  <si>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</si>
  <si>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</si>
  <si>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</si>
  <si>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</si>
  <si>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</si>
  <si>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</si>
  <si>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</si>
  <si>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</si>
  <si>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</si>
  <si>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</si>
  <si>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</si>
  <si>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</si>
  <si>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</si>
  <si>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</si>
  <si>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</si>
  <si>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</si>
  <si>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</si>
  <si>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</si>
  <si>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</si>
  <si>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</si>
  <si>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</si>
  <si>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</si>
  <si>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</si>
  <si>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</si>
  <si>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</si>
  <si>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</si>
  <si>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</si>
  <si>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</si>
  <si>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</si>
  <si>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</si>
  <si>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</si>
  <si>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</si>
  <si>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</si>
  <si>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</si>
  <si>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</si>
  <si>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</si>
  <si>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</si>
  <si>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</si>
  <si>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</si>
  <si>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</si>
  <si>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</si>
  <si>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</si>
  <si>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</si>
  <si>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</si>
  <si>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</si>
  <si>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</si>
  <si>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</si>
  <si>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</si>
  <si>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</si>
  <si>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</si>
  <si>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</si>
  <si>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</si>
  <si>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</si>
  <si>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</si>
  <si>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</si>
  <si>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</si>
  <si>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</si>
  <si>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</si>
  <si>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</si>
  <si>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</si>
  <si>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</si>
  <si>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</si>
  <si>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</si>
  <si>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</si>
  <si>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</si>
  <si>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</si>
  <si>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</si>
  <si>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</si>
  <si>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</si>
  <si>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</si>
  <si>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</si>
  <si>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</si>
  <si>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</si>
  <si>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</si>
  <si>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</si>
  <si>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</si>
  <si>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</si>
  <si>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</si>
  <si>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</si>
  <si>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</si>
  <si>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</si>
  <si>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</si>
  <si>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</si>
  <si>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</si>
  <si>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</si>
  <si>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</si>
  <si>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</si>
  <si>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</si>
  <si>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</si>
  <si>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</si>
  <si>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</si>
  <si>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</si>
  <si>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</si>
  <si>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</si>
  <si>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</si>
  <si>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</si>
  <si>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</si>
  <si>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</si>
  <si>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</si>
  <si>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</si>
  <si>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</si>
  <si>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</si>
  <si>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</si>
  <si>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</si>
  <si>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</si>
  <si>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</si>
  <si>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</si>
  <si>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</si>
  <si>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</si>
  <si>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</si>
  <si>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</si>
  <si>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</si>
  <si>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</si>
  <si>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</si>
  <si>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</si>
  <si>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</si>
  <si>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</si>
  <si>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</si>
  <si>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</si>
  <si>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</si>
  <si>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</si>
  <si>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</si>
  <si>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</si>
  <si>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</si>
  <si>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</si>
  <si>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</si>
  <si>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</si>
  <si>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</si>
  <si>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</si>
  <si>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</si>
  <si>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</si>
  <si>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</si>
  <si>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</si>
  <si>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</si>
  <si>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</si>
  <si>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</si>
  <si>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</si>
  <si>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</si>
  <si>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</si>
  <si>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</si>
  <si>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</si>
  <si>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</si>
  <si>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</si>
  <si>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</si>
  <si>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</si>
  <si>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</si>
  <si>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</si>
  <si>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</si>
  <si>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</si>
  <si>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</si>
  <si>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</si>
  <si>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</si>
  <si>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</si>
  <si>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</si>
  <si>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</si>
  <si>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</si>
  <si>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</si>
  <si>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</si>
  <si>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</si>
  <si>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</si>
  <si>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</si>
  <si>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</si>
  <si>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</si>
  <si>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</si>
  <si>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</si>
  <si>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</si>
  <si>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</si>
  <si>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</si>
  <si>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</si>
  <si>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</si>
  <si>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</si>
  <si>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</si>
  <si>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</si>
  <si>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</si>
  <si>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</si>
  <si>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</si>
  <si>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</si>
  <si>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</si>
  <si>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</si>
  <si>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</si>
  <si>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</si>
  <si>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</si>
  <si>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</si>
  <si>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</si>
  <si>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</si>
  <si>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</si>
  <si>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</si>
  <si>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</si>
  <si>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</si>
  <si>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</si>
  <si>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</si>
  <si>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</si>
  <si>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</si>
  <si>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</si>
  <si>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</si>
  <si>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</si>
  <si>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</si>
  <si>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</si>
  <si>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</si>
  <si>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</si>
  <si>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</si>
  <si>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</si>
  <si>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</si>
  <si>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</si>
  <si>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</si>
  <si>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</si>
  <si>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</si>
  <si>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</si>
  <si>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</si>
  <si>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</si>
  <si>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</si>
  <si>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</si>
  <si>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</si>
  <si>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</si>
  <si>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</si>
  <si>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</si>
  <si>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</si>
  <si>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</si>
  <si>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</si>
  <si>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</si>
  <si>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</si>
  <si>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</si>
  <si>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</si>
  <si>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</si>
  <si>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</si>
  <si>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</si>
  <si>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</si>
  <si>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</si>
  <si>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</si>
  <si>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</si>
  <si>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</si>
  <si>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</si>
  <si>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</si>
  <si>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</si>
  <si>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</si>
  <si>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</si>
  <si>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</si>
  <si>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</si>
  <si>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</si>
  <si>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</si>
  <si>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</si>
  <si>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</si>
  <si>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</si>
  <si>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</si>
  <si>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</si>
  <si>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</si>
  <si>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</si>
  <si>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</si>
  <si>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</si>
  <si>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</si>
  <si>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</si>
  <si>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</si>
  <si>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</si>
  <si>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</si>
  <si>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</si>
  <si>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</si>
  <si>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</si>
  <si>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</si>
  <si>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</si>
  <si>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</si>
  <si>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</si>
  <si>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</si>
  <si>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</si>
  <si>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</si>
  <si>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</si>
  <si>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</si>
  <si>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</si>
  <si>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</si>
  <si>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</si>
  <si>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</si>
  <si>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</si>
  <si>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</si>
  <si>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</si>
  <si>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</si>
  <si>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</si>
  <si>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</si>
  <si>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</si>
  <si>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</si>
  <si>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</si>
  <si>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</si>
  <si>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</si>
  <si>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</si>
  <si>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</si>
  <si>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</si>
  <si>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</si>
  <si>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</si>
  <si>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</si>
  <si>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</si>
  <si>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</si>
  <si>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</si>
  <si>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</si>
  <si>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</si>
  <si>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</si>
  <si>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</si>
  <si>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</si>
  <si>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</si>
  <si>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</si>
  <si>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</si>
  <si>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</si>
  <si>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</si>
  <si>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</si>
  <si>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</si>
  <si>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</si>
  <si>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</si>
  <si>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</si>
  <si>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</si>
  <si>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</si>
  <si>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</si>
  <si>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</si>
  <si>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</si>
  <si>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</si>
  <si>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</si>
  <si>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</si>
  <si>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</si>
  <si>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</si>
  <si>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</si>
  <si>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</si>
  <si>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</si>
  <si>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</si>
  <si>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</si>
  <si>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</si>
  <si>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</si>
  <si>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</si>
  <si>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</si>
  <si>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</si>
  <si>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</si>
  <si>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</si>
  <si>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</si>
  <si>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</si>
  <si>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</si>
  <si>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</si>
  <si>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</si>
  <si>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</si>
  <si>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</si>
  <si>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</si>
  <si>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</si>
  <si>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</si>
  <si>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</si>
  <si>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</si>
  <si>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</si>
  <si>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</si>
  <si>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</si>
  <si>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</si>
  <si>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</si>
  <si>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</si>
  <si>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</si>
  <si>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</si>
  <si>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</si>
  <si>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</si>
  <si>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</si>
  <si>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</si>
  <si>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</si>
  <si>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</si>
  <si>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</si>
  <si>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</si>
  <si>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</si>
  <si>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</si>
  <si>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</si>
  <si>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</si>
  <si>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</si>
  <si>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</si>
  <si>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</si>
  <si>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</si>
  <si>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</si>
  <si>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</si>
  <si>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</si>
  <si>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</si>
  <si>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</si>
  <si>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</si>
  <si>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</si>
  <si>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</si>
  <si>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</si>
  <si>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</si>
  <si>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</si>
  <si>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</si>
  <si>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</si>
  <si>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</si>
  <si>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</si>
  <si>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</si>
  <si>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</si>
  <si>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</si>
  <si>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</si>
  <si>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</si>
  <si>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</si>
  <si>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</si>
  <si>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</si>
  <si>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</si>
  <si>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</si>
  <si>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</si>
  <si>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</si>
  <si>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</si>
  <si>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</si>
  <si>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</si>
  <si>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</si>
  <si>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</si>
  <si>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</si>
  <si>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</si>
  <si>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</si>
  <si>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</si>
  <si>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</si>
  <si>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</si>
  <si>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</si>
  <si>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</si>
  <si>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</si>
  <si>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</si>
  <si>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</si>
  <si>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</si>
  <si>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</si>
  <si>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</si>
  <si>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</si>
  <si>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</si>
  <si>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</si>
  <si>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</si>
  <si>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</si>
  <si>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</si>
  <si>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</si>
  <si>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</si>
  <si>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</si>
  <si>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</si>
  <si>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</si>
  <si>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</si>
  <si>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</si>
  <si>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</si>
  <si>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</si>
  <si>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</si>
  <si>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</si>
  <si>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</si>
  <si>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</si>
  <si>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</si>
  <si>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</si>
  <si>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</si>
  <si>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</si>
  <si>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</si>
  <si>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</si>
  <si>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</si>
  <si>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</si>
  <si>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</si>
  <si>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</si>
  <si>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</si>
  <si>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</si>
  <si>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</si>
  <si>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</si>
  <si>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</si>
  <si>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</si>
  <si>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</si>
  <si>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</si>
  <si>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</si>
  <si>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</si>
  <si>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</si>
  <si>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</si>
  <si>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</si>
  <si>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</si>
  <si>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</si>
  <si>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</si>
  <si>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</si>
  <si>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</si>
  <si>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</si>
  <si>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</si>
  <si>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</si>
  <si>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</si>
  <si>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</si>
  <si>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</si>
  <si>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</si>
  <si>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</si>
  <si>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</si>
  <si>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</si>
  <si>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</si>
  <si>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</si>
  <si>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</si>
  <si>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</si>
  <si>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</si>
  <si>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</si>
  <si>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</si>
  <si>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</si>
  <si>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</si>
  <si>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</si>
  <si>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</si>
  <si>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</si>
  <si>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</si>
  <si>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</si>
  <si>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</si>
  <si>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</si>
  <si>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</si>
  <si>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</si>
  <si>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</si>
  <si>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</si>
  <si>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</si>
  <si>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</si>
  <si>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</si>
  <si>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</si>
  <si>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</si>
  <si>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</si>
  <si>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</si>
  <si>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</si>
  <si>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</si>
  <si>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</si>
  <si>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</si>
  <si>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</si>
  <si>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</si>
  <si>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</si>
  <si>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</si>
  <si>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</si>
  <si>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</si>
  <si>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</si>
  <si>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</si>
  <si>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</si>
  <si>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</si>
  <si>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</si>
  <si>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</si>
  <si>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</si>
  <si>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</si>
  <si>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</si>
  <si>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</si>
  <si>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</si>
  <si>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</si>
  <si>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</si>
  <si>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</si>
  <si>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</si>
  <si>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</si>
  <si>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</si>
  <si>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</si>
  <si>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</si>
  <si>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</si>
  <si>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</si>
  <si>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</si>
  <si>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</si>
  <si>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</si>
  <si>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</si>
  <si>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</si>
  <si>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</si>
  <si>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</si>
  <si>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</si>
  <si>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</si>
  <si>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</si>
  <si>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</si>
  <si>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</si>
  <si>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</si>
  <si>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</si>
  <si>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</si>
  <si>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</si>
  <si>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</si>
  <si>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</si>
  <si>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</si>
  <si>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</si>
  <si>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</si>
  <si>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</si>
  <si>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</si>
  <si>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</si>
  <si>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</si>
  <si>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</si>
  <si>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</si>
  <si>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</si>
  <si>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</si>
  <si>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</si>
  <si>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</si>
  <si>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</si>
  <si>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</si>
  <si>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</si>
  <si>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</si>
  <si>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</si>
  <si>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</si>
  <si>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</si>
  <si>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</si>
  <si>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</si>
  <si>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</si>
  <si>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</si>
  <si>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</si>
  <si>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</si>
  <si>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</si>
  <si>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</si>
  <si>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</si>
  <si>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</si>
  <si>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</si>
  <si>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</si>
  <si>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</si>
  <si>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</si>
  <si>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</si>
  <si>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</si>
  <si>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</si>
  <si>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</si>
  <si>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</si>
  <si>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</si>
  <si>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</si>
  <si>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</si>
  <si>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</si>
  <si>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</si>
  <si>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</si>
  <si>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</si>
  <si>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</si>
  <si>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</si>
  <si>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</si>
  <si>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</si>
  <si>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</si>
  <si>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</si>
  <si>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</si>
  <si>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</si>
  <si>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</si>
  <si>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</si>
  <si>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</si>
  <si>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</si>
  <si>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</si>
  <si>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</si>
  <si>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</si>
  <si>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</si>
  <si>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</si>
  <si>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</si>
  <si>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</si>
  <si>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</si>
  <si>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</si>
  <si>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</si>
  <si>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</si>
  <si>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</si>
  <si>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</si>
  <si>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</si>
  <si>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</si>
  <si>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</si>
  <si>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</si>
  <si>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</si>
  <si>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</si>
  <si>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</si>
  <si>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</si>
  <si>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</si>
  <si>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</si>
  <si>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</si>
  <si>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</si>
  <si>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</si>
  <si>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</si>
  <si>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</si>
  <si>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</si>
  <si>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</si>
  <si>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</si>
  <si>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</si>
  <si>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</si>
  <si>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</si>
  <si>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</si>
  <si>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</si>
  <si>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</si>
  <si>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</si>
  <si>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</si>
  <si>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</si>
  <si>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</si>
  <si>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</si>
  <si>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</si>
  <si>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</si>
  <si>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</si>
  <si>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</si>
  <si>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</si>
  <si>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</si>
  <si>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</si>
  <si>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</si>
  <si>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</si>
  <si>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</si>
  <si>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</si>
  <si>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</si>
  <si>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</si>
  <si>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</si>
  <si>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</si>
  <si>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</si>
  <si>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</si>
  <si>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</si>
  <si>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</si>
  <si>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</si>
  <si>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</si>
  <si>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</si>
  <si>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</si>
  <si>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</si>
  <si>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</si>
  <si>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</si>
  <si>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</si>
  <si>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</si>
  <si>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</si>
  <si>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</si>
  <si>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</si>
  <si>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</si>
  <si>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</si>
  <si>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</si>
  <si>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</si>
  <si>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</si>
  <si>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</si>
  <si>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</si>
  <si>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</si>
  <si>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</si>
  <si>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</si>
  <si>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</si>
  <si>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</si>
  <si>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</si>
  <si>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</si>
  <si>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</si>
  <si>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</si>
  <si>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</si>
  <si>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</si>
  <si>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</si>
  <si>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</si>
  <si>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</si>
  <si>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</si>
  <si>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</si>
  <si>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</si>
  <si>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</si>
  <si>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</si>
  <si>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</si>
  <si>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</si>
  <si>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</si>
  <si>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</si>
  <si>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</si>
  <si>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</si>
  <si>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</si>
  <si>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</si>
  <si>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</si>
  <si>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</si>
  <si>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</si>
  <si>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</si>
  <si>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</si>
  <si>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</si>
  <si>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</si>
  <si>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</si>
  <si>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</si>
  <si>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</si>
  <si>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</si>
  <si>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</si>
  <si>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</si>
  <si>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</si>
  <si>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</si>
  <si>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</si>
  <si>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</si>
  <si>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</si>
  <si>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</si>
  <si>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</si>
  <si>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</si>
  <si>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</si>
  <si>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</si>
  <si>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</si>
  <si>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</si>
  <si>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</si>
  <si>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</si>
  <si>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</si>
  <si>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</si>
  <si>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</si>
  <si>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</si>
  <si>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</si>
  <si>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</si>
  <si>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</si>
  <si>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</si>
  <si>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</si>
  <si>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</si>
  <si>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</si>
  <si>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</si>
  <si>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</si>
  <si>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</si>
  <si>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</si>
  <si>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</si>
  <si>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</si>
  <si>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</si>
  <si>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</si>
  <si>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</si>
  <si>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</si>
  <si>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</si>
  <si>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</si>
  <si>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</si>
  <si>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</si>
  <si>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</si>
  <si>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</si>
  <si>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</si>
  <si>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</si>
  <si>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</si>
  <si>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</si>
  <si>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</si>
  <si>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</si>
  <si>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</si>
  <si>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</si>
  <si>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</si>
  <si>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</si>
  <si>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</si>
  <si>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</si>
  <si>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</si>
  <si>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</si>
  <si>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</si>
  <si>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</si>
  <si>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</si>
  <si>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</si>
  <si>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</si>
  <si>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</si>
  <si>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</si>
  <si>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</si>
  <si>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</si>
  <si>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</si>
  <si>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</si>
  <si>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</si>
  <si>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</si>
  <si>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</si>
  <si>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</si>
  <si>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</si>
  <si>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</si>
  <si>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</si>
  <si>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</si>
  <si>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</si>
  <si>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</si>
  <si>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</si>
  <si>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</si>
  <si>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</si>
  <si>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</si>
  <si>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</si>
  <si>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</si>
  <si>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</si>
  <si>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</si>
  <si>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</si>
  <si>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</si>
  <si>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</si>
  <si>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</si>
  <si>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</si>
  <si>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</si>
  <si>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</si>
  <si>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</si>
  <si>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</si>
  <si>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</si>
  <si>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</si>
  <si>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</si>
  <si>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</si>
  <si>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</si>
  <si>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</si>
  <si>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</si>
  <si>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</si>
  <si>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</si>
  <si>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</si>
  <si>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</si>
  <si>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</si>
  <si>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</si>
  <si>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</si>
  <si>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</si>
  <si>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</si>
  <si>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</si>
  <si>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</si>
  <si>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</si>
  <si>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</si>
  <si>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</si>
  <si>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</si>
  <si>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</si>
  <si>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</si>
  <si>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</si>
  <si>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</si>
  <si>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</si>
  <si>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</si>
  <si>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</si>
  <si>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</si>
  <si>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</si>
  <si>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</si>
  <si>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</si>
  <si>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</si>
  <si>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</si>
  <si>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</si>
  <si>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</si>
  <si>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</si>
  <si>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</si>
  <si>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</si>
  <si>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</si>
  <si>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</si>
  <si>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</si>
  <si>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</si>
  <si>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</si>
  <si>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</si>
  <si>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</si>
  <si>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</si>
  <si>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</si>
  <si>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</si>
  <si>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</si>
  <si>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</si>
  <si>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</si>
  <si>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</si>
  <si>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</si>
  <si>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</si>
  <si>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</si>
  <si>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</si>
  <si>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</si>
  <si>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</si>
  <si>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</si>
  <si>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</si>
  <si>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</si>
  <si>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</si>
  <si>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</si>
  <si>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</si>
  <si>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</si>
  <si>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</si>
  <si>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</si>
  <si>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</si>
  <si>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</si>
  <si>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</si>
  <si>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</si>
  <si>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</si>
  <si>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</si>
  <si>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</si>
  <si>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</si>
  <si>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</si>
  <si>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</si>
  <si>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</si>
  <si>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</si>
  <si>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</si>
  <si>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</si>
  <si>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</si>
  <si>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</si>
  <si>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</si>
  <si>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</si>
  <si>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</si>
  <si>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</si>
  <si>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</si>
  <si>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</si>
  <si>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</si>
  <si>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</si>
  <si>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</si>
  <si>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</si>
  <si>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</si>
  <si>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</si>
  <si>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</si>
  <si>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</si>
  <si>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</si>
  <si>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</si>
  <si>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</si>
  <si>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</si>
  <si>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</si>
  <si>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</si>
  <si>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</si>
  <si>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</si>
  <si>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</si>
  <si>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</si>
  <si>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</si>
  <si>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</si>
  <si>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</si>
  <si>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</si>
  <si>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</si>
  <si>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</si>
  <si>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</si>
  <si>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</si>
  <si>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</si>
  <si>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</si>
  <si>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</si>
  <si>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</si>
  <si>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</si>
  <si>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</si>
  <si>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</si>
  <si>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</si>
  <si>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</si>
  <si>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</si>
  <si>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</si>
  <si>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</si>
  <si>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</si>
  <si>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</si>
  <si>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</si>
  <si>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</si>
  <si>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</si>
  <si>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</si>
  <si>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</si>
  <si>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</si>
  <si>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</si>
  <si>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</si>
  <si>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</si>
  <si>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</si>
  <si>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</si>
  <si>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</si>
  <si>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</si>
  <si>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</si>
  <si>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</si>
  <si>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</si>
  <si>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</si>
  <si>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</si>
  <si>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</si>
  <si>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</si>
  <si>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</si>
  <si>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</si>
  <si>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</si>
  <si>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</si>
  <si>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</si>
  <si>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</si>
  <si>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</si>
  <si>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</si>
  <si>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</si>
  <si>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</si>
  <si>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</si>
  <si>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</si>
  <si>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</si>
  <si>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</si>
  <si>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</si>
  <si>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</si>
  <si>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</si>
  <si>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</si>
  <si>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</si>
  <si>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</si>
  <si>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</si>
  <si>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</si>
  <si>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</si>
  <si>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</si>
  <si>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</si>
  <si>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</si>
  <si>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</si>
  <si>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</si>
  <si>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</si>
  <si>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</si>
  <si>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</si>
  <si>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</si>
  <si>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</si>
  <si>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</si>
  <si>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</si>
  <si>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</si>
  <si>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</si>
  <si>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</si>
  <si>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</si>
  <si>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</si>
  <si>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</si>
  <si>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</si>
  <si>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</si>
  <si>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</si>
  <si>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</si>
  <si>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</si>
  <si>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</si>
  <si>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</si>
  <si>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</si>
  <si>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</si>
  <si>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</si>
  <si>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</si>
  <si>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</si>
  <si>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</si>
  <si>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</si>
  <si>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</si>
  <si>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</si>
  <si>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</si>
  <si>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</si>
  <si>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</si>
  <si>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</si>
  <si>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</si>
  <si>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</si>
  <si>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</si>
  <si>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</si>
  <si>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</si>
  <si>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</si>
  <si>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</si>
  <si>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</si>
  <si>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</si>
  <si>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</si>
  <si>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</si>
  <si>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</si>
  <si>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</si>
  <si>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</si>
  <si>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</si>
  <si>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</si>
  <si>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</si>
  <si>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</si>
  <si>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</si>
  <si>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</si>
  <si>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</si>
  <si>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</si>
  <si>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</si>
  <si>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</si>
  <si>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</si>
  <si>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</si>
  <si>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</si>
  <si>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</si>
  <si>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</si>
  <si>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</si>
  <si>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</si>
  <si>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</si>
  <si>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</si>
  <si>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</si>
  <si>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</si>
  <si>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</si>
  <si>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</si>
  <si>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</si>
  <si>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</si>
  <si>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</si>
  <si>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</si>
  <si>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</si>
  <si>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</si>
  <si>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</si>
  <si>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</si>
  <si>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</si>
  <si>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</si>
  <si>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</si>
  <si>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</si>
  <si>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</si>
  <si>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</si>
  <si>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</si>
  <si>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</si>
  <si>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</si>
  <si>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</si>
  <si>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</si>
  <si>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</si>
  <si>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</si>
  <si>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</si>
  <si>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</si>
  <si>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</si>
  <si>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</si>
  <si>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</si>
  <si>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</si>
  <si>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</si>
  <si>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</si>
  <si>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</si>
  <si>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</si>
  <si>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</si>
  <si>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</si>
  <si>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</si>
  <si>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</si>
  <si>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</si>
  <si>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</si>
  <si>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</si>
  <si>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</si>
  <si>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</si>
  <si>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</si>
  <si>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</si>
  <si>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</si>
  <si>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</si>
  <si>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</si>
  <si>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</si>
  <si>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</si>
  <si>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</si>
  <si>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</si>
  <si>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</si>
  <si>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</si>
  <si>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</si>
  <si>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</si>
  <si>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</si>
  <si>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</si>
  <si>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</si>
  <si>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</si>
  <si>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</si>
  <si>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</si>
  <si>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</si>
  <si>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</si>
  <si>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</si>
  <si>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</si>
  <si>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</si>
  <si>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</si>
  <si>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</si>
  <si>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</si>
  <si>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</si>
  <si>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</si>
  <si>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</si>
  <si>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</si>
  <si>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</si>
  <si>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</si>
  <si>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</si>
  <si>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</si>
  <si>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</si>
  <si>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</si>
  <si>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</si>
  <si>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</si>
  <si>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</si>
  <si>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</si>
  <si>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</si>
  <si>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</si>
  <si>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</si>
  <si>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</si>
  <si>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</si>
  <si>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</si>
  <si>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</si>
  <si>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</si>
  <si>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</si>
  <si>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</si>
  <si>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</si>
  <si>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</si>
  <si>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</si>
  <si>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</si>
  <si>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</si>
  <si>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</si>
  <si>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</si>
  <si>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</si>
  <si>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</si>
  <si>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</si>
  <si>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</si>
  <si>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</si>
  <si>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</si>
  <si>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</si>
  <si>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</si>
  <si>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</si>
  <si>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</si>
  <si>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</si>
  <si>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</si>
  <si>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</si>
  <si>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</si>
  <si>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</si>
  <si>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</si>
  <si>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</si>
  <si>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</si>
  <si>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</si>
  <si>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</si>
  <si>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</si>
  <si>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</si>
  <si>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</si>
  <si>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</si>
  <si>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</si>
  <si>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</si>
  <si>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</si>
  <si>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</si>
  <si>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</si>
  <si>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</si>
  <si>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</si>
  <si>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</si>
  <si>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</si>
  <si>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</si>
  <si>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</si>
  <si>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</si>
  <si>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</si>
  <si>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</si>
  <si>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</si>
  <si>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</si>
  <si>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</si>
  <si>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</si>
  <si>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</si>
  <si>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</si>
  <si>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</si>
  <si>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</si>
  <si>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</si>
  <si>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</si>
  <si>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</si>
  <si>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</si>
  <si>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</si>
  <si>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</si>
  <si>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</si>
  <si>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</si>
  <si>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</si>
  <si>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</si>
  <si>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</si>
  <si>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</si>
  <si>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</si>
  <si>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</si>
  <si>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</si>
  <si>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</si>
  <si>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</si>
  <si>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</si>
  <si>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</si>
  <si>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</si>
  <si>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</si>
  <si>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</si>
  <si>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</si>
  <si>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</si>
  <si>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</si>
  <si>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</si>
  <si>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</si>
  <si>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</si>
  <si>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</si>
  <si>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</si>
  <si>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</si>
  <si>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</si>
  <si>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</si>
  <si>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</si>
  <si>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</si>
  <si>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</si>
  <si>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</si>
  <si>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</si>
  <si>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</si>
  <si>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</si>
  <si>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</si>
  <si>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</si>
  <si>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</si>
  <si>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</si>
  <si>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</si>
  <si>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</si>
  <si>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</si>
  <si>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</si>
  <si>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</si>
  <si>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</si>
  <si>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</si>
  <si>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</si>
  <si>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</si>
  <si>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</si>
  <si>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</si>
  <si>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</si>
  <si>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</si>
  <si>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</si>
  <si>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</si>
  <si>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</si>
  <si>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</si>
  <si>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</si>
  <si>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</si>
  <si>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</si>
  <si>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</si>
  <si>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</si>
  <si>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</si>
  <si>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</si>
  <si>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</si>
  <si>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</si>
  <si>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</si>
  <si>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</si>
  <si>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</si>
  <si>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</si>
  <si>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</si>
  <si>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</si>
  <si>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</si>
  <si>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</si>
  <si>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</si>
  <si>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</si>
  <si>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</si>
  <si>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</si>
  <si>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</si>
  <si>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</si>
  <si>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</si>
  <si>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</si>
  <si>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</si>
  <si>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</si>
  <si>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</si>
  <si>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</si>
  <si>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</si>
  <si>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</si>
  <si>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</si>
  <si>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</si>
  <si>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</si>
  <si>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</si>
  <si>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</si>
  <si>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</si>
  <si>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</si>
  <si>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</si>
  <si>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</si>
  <si>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</si>
  <si>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</si>
  <si>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</si>
  <si>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</si>
  <si>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</si>
  <si>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</si>
  <si>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</si>
  <si>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</si>
  <si>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</si>
  <si>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</si>
  <si>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</si>
  <si>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</si>
  <si>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</si>
  <si>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</si>
  <si>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</si>
  <si>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</si>
  <si>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</si>
  <si>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</si>
  <si>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</si>
  <si>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</si>
  <si>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</si>
  <si>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</si>
  <si>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</si>
  <si>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</si>
  <si>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</si>
  <si>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</si>
  <si>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</si>
  <si>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</si>
  <si>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</si>
  <si>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</si>
  <si>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</si>
  <si>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</si>
  <si>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</si>
  <si>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</si>
  <si>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</si>
  <si>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</si>
  <si>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</si>
  <si>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</si>
  <si>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</si>
  <si>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</si>
  <si>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</si>
  <si>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</si>
  <si>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</si>
  <si>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</si>
  <si>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</si>
  <si>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</si>
  <si>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</si>
  <si>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</si>
  <si>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</si>
  <si>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</si>
  <si>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</si>
  <si>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</si>
  <si>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</si>
  <si>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</si>
  <si>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</si>
  <si>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</si>
  <si>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</si>
  <si>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</si>
  <si>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</si>
  <si>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</si>
  <si>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</si>
  <si>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</si>
  <si>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</si>
  <si>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</si>
  <si>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</si>
  <si>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</si>
  <si>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</si>
  <si>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</si>
  <si>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</si>
  <si>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</si>
  <si>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</si>
  <si>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</si>
  <si>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</si>
  <si>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</si>
  <si>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</si>
  <si>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</si>
  <si>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</si>
  <si>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</si>
  <si>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</si>
  <si>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</si>
  <si>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</si>
  <si>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</si>
  <si>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</si>
  <si>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</si>
  <si>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</si>
  <si>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</si>
  <si>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</si>
  <si>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</si>
  <si>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</si>
  <si>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</si>
  <si>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</si>
  <si>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</si>
  <si>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</si>
  <si>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</si>
  <si>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</si>
  <si>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</si>
  <si>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</si>
  <si>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</si>
  <si>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</si>
  <si>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</si>
  <si>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</si>
  <si>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</si>
  <si>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</si>
  <si>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</si>
  <si>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</si>
  <si>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</si>
  <si>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</si>
  <si>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</si>
  <si>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</si>
  <si>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</si>
  <si>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</si>
  <si>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</si>
  <si>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</si>
  <si>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</si>
  <si>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</si>
  <si>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</si>
  <si>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</si>
  <si>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</si>
  <si>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</si>
  <si>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</si>
  <si>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</si>
  <si>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</si>
  <si>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</si>
  <si>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</si>
  <si>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</si>
  <si>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</si>
  <si>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</si>
  <si>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</si>
  <si>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</si>
  <si>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</si>
  <si>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</si>
  <si>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</si>
  <si>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</si>
  <si>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</si>
  <si>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</si>
  <si>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</si>
  <si>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</si>
  <si>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</si>
  <si>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</si>
  <si>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</si>
  <si>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</si>
  <si>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</si>
  <si>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</si>
  <si>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</si>
  <si>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</si>
  <si>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</si>
  <si>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</si>
  <si>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</si>
  <si>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</si>
  <si>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</si>
  <si>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</si>
  <si>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</si>
  <si>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</si>
  <si>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</si>
  <si>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</si>
  <si>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</si>
  <si>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</si>
  <si>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</si>
  <si>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</si>
  <si>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</si>
  <si>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</si>
  <si>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</si>
  <si>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</si>
  <si>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</si>
  <si>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</si>
  <si>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</si>
  <si>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</si>
  <si>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</si>
  <si>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</si>
  <si>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</si>
  <si>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</si>
  <si>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</si>
  <si>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</si>
  <si>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</si>
  <si>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</si>
  <si>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</si>
  <si>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</si>
  <si>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</si>
  <si>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</si>
  <si>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</si>
  <si>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</si>
  <si>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</si>
  <si>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</si>
  <si>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</si>
  <si>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</si>
  <si>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</si>
  <si>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</si>
  <si>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</si>
  <si>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</si>
  <si>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</si>
  <si>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</si>
  <si>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</si>
  <si>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</si>
  <si>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</si>
  <si>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</si>
  <si>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</si>
  <si>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</si>
  <si>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</si>
  <si>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</si>
  <si>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</si>
  <si>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</si>
  <si>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</si>
  <si>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</si>
  <si>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</si>
  <si>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</si>
  <si>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</si>
  <si>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</si>
  <si>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</si>
  <si>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</si>
  <si>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</si>
  <si>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</si>
  <si>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</si>
  <si>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</si>
  <si>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</si>
  <si>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</si>
  <si>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</si>
  <si>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</si>
  <si>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</si>
  <si>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</si>
  <si>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</si>
  <si>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</si>
  <si>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</si>
  <si>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</si>
  <si>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</si>
  <si>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</si>
  <si>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</si>
  <si>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</si>
  <si>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</si>
  <si>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</si>
  <si>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</si>
  <si>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</si>
  <si>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</si>
  <si>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</si>
  <si>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</si>
  <si>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</si>
  <si>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</si>
  <si>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</si>
  <si>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</si>
  <si>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</si>
  <si>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</si>
  <si>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</si>
  <si>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</si>
  <si>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</si>
  <si>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</si>
  <si>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</si>
  <si>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</si>
  <si>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</si>
  <si>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</si>
  <si>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</si>
  <si>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</si>
  <si>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</si>
  <si>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</si>
  <si>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</si>
  <si>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</si>
  <si>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</si>
  <si>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</si>
  <si>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</si>
  <si>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</si>
  <si>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</si>
  <si>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</si>
  <si>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</si>
  <si>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</si>
  <si>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</si>
  <si>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</si>
  <si>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</si>
  <si>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</si>
  <si>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</si>
  <si>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</si>
  <si>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</si>
  <si>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</si>
  <si>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</si>
  <si>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</si>
  <si>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</si>
  <si>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</si>
  <si>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</si>
  <si>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</si>
  <si>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</si>
  <si>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</si>
  <si>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</si>
  <si>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</si>
  <si>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</si>
  <si>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</si>
  <si>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</si>
  <si>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</si>
  <si>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</si>
  <si>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</si>
  <si>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</si>
  <si>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</si>
  <si>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</si>
  <si>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</si>
  <si>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</si>
  <si>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</si>
  <si>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</si>
  <si>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</si>
  <si>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</si>
  <si>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</si>
  <si>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</si>
  <si>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</si>
  <si>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</si>
  <si>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</si>
  <si>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</si>
  <si>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</si>
  <si>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</si>
  <si>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</si>
  <si>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</si>
  <si>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</si>
  <si>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</si>
  <si>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</si>
  <si>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</si>
  <si>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</si>
  <si>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</si>
  <si>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</si>
  <si>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</si>
  <si>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</si>
  <si>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</si>
  <si>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</si>
  <si>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</si>
  <si>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</si>
  <si>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</si>
  <si>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</si>
  <si>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</si>
  <si>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</si>
  <si>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</si>
  <si>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</si>
  <si>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</si>
  <si>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</si>
  <si>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</si>
  <si>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</si>
  <si>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</si>
  <si>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</si>
  <si>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</si>
  <si>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</si>
  <si>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</si>
  <si>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</si>
  <si>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</si>
  <si>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</si>
  <si>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</si>
  <si>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</si>
  <si>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</si>
  <si>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</si>
  <si>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</si>
  <si>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</si>
  <si>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</si>
  <si>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</si>
  <si>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</si>
  <si>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</si>
  <si>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</si>
  <si>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</si>
  <si>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</si>
  <si>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</si>
  <si>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</si>
  <si>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</si>
  <si>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</si>
  <si>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</si>
  <si>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</si>
  <si>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</si>
  <si>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</si>
  <si>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</si>
  <si>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</si>
  <si>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</si>
  <si>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</si>
  <si>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</si>
  <si>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</si>
  <si>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</si>
  <si>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</si>
  <si>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</si>
  <si>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</si>
  <si>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</si>
  <si>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</si>
  <si>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</si>
  <si>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</si>
  <si>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</si>
  <si>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</si>
  <si>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</si>
  <si>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</si>
  <si>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</si>
  <si>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</si>
  <si>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</si>
  <si>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</si>
  <si>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</si>
  <si>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</si>
  <si>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</si>
  <si>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</si>
  <si>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</si>
  <si>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</si>
  <si>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</si>
  <si>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</si>
  <si>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</si>
  <si>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</si>
  <si>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</si>
  <si>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</si>
  <si>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</si>
  <si>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</si>
  <si>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</si>
  <si>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</si>
  <si>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</si>
  <si>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</si>
  <si>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</si>
  <si>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</si>
  <si>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</si>
  <si>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</si>
  <si>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</si>
  <si>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</si>
  <si>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</si>
  <si>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</si>
  <si>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</si>
  <si>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</si>
  <si>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</si>
  <si>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</si>
  <si>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</si>
  <si>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</si>
  <si>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</si>
  <si>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</si>
  <si>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</si>
  <si>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</si>
  <si>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</si>
  <si>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</si>
  <si>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</si>
  <si>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</si>
  <si>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</si>
  <si>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</si>
  <si>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</si>
  <si>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</si>
  <si>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</si>
  <si>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</si>
  <si>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</si>
  <si>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</si>
  <si>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</si>
  <si>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</si>
  <si>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</si>
  <si>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</si>
  <si>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</si>
  <si>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</si>
  <si>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</si>
  <si>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</si>
  <si>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</si>
  <si>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</si>
  <si>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</si>
  <si>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</si>
  <si>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</si>
  <si>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</si>
  <si>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</si>
  <si>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</si>
  <si>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</si>
  <si>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</si>
  <si>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</si>
  <si>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</si>
  <si>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</si>
  <si>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</si>
  <si>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</si>
  <si>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</si>
  <si>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</si>
  <si>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</si>
  <si>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</si>
  <si>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</si>
  <si>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</si>
  <si>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</si>
  <si>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</si>
  <si>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</si>
  <si>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</si>
  <si>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</si>
  <si>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</si>
  <si>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</si>
  <si>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</si>
  <si>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</si>
  <si>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</si>
  <si>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</si>
  <si>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</si>
  <si>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</si>
  <si>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</si>
  <si>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</si>
  <si>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</si>
  <si>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</si>
  <si>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</si>
  <si>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</si>
  <si>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</si>
  <si>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</si>
  <si>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</si>
  <si>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</si>
  <si>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</si>
  <si>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</si>
  <si>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</si>
  <si>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</si>
  <si>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</si>
  <si>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</si>
  <si>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</si>
  <si>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</si>
  <si>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</si>
  <si>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</si>
  <si>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</si>
  <si>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</si>
  <si>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</si>
  <si>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</si>
  <si>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</si>
  <si>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</si>
  <si>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</si>
  <si>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</si>
  <si>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</si>
  <si>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</si>
  <si>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</si>
  <si>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</si>
  <si>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</si>
  <si>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</si>
  <si>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</si>
  <si>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</si>
  <si>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</si>
  <si>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</si>
  <si>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</si>
  <si>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</si>
  <si>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</si>
  <si>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</si>
  <si>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</si>
  <si>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</si>
  <si>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</si>
  <si>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</si>
  <si>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</si>
  <si>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</si>
  <si>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</si>
  <si>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</si>
  <si>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</si>
  <si>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</si>
  <si>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</si>
  <si>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</si>
  <si>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</si>
  <si>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</si>
  <si>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</si>
  <si>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</si>
  <si>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</si>
  <si>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</si>
  <si>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</si>
  <si>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</si>
  <si>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</si>
  <si>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</si>
  <si>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</si>
  <si>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</si>
  <si>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</si>
  <si>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</si>
  <si>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</si>
  <si>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</si>
  <si>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</si>
  <si>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</si>
  <si>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</si>
  <si>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</si>
  <si>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</si>
  <si>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</si>
  <si>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</si>
  <si>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</si>
  <si>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</si>
  <si>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</si>
  <si>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</si>
  <si>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</si>
  <si>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</si>
  <si>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</si>
  <si>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</si>
  <si>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</si>
  <si>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</si>
  <si>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</si>
  <si>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</si>
  <si>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</si>
  <si>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</si>
  <si>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</si>
  <si>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</si>
  <si>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</si>
  <si>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</si>
  <si>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</si>
  <si>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</si>
  <si>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</si>
  <si>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</si>
  <si>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</si>
  <si>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</si>
  <si>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</si>
  <si>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</si>
  <si>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</si>
  <si>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</si>
  <si>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</si>
  <si>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</si>
  <si>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</si>
  <si>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</si>
  <si>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</si>
  <si>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</si>
  <si>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</si>
  <si>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</si>
  <si>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</si>
  <si>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</si>
  <si>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</si>
  <si>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</si>
  <si>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</si>
  <si>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</si>
  <si>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</si>
  <si>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</si>
  <si>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</si>
  <si>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</si>
  <si>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</si>
  <si>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</si>
  <si>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</si>
  <si>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</si>
  <si>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</si>
  <si>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</si>
  <si>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</si>
  <si>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</si>
  <si>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</si>
  <si>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</si>
  <si>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</si>
  <si>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</si>
  <si>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</si>
  <si>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</si>
  <si>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</si>
  <si>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</si>
  <si>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</si>
  <si>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</si>
  <si>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</si>
  <si>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</si>
  <si>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</si>
  <si>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</si>
  <si>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</si>
  <si>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</si>
  <si>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</si>
  <si>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</si>
  <si>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</si>
  <si>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</si>
  <si>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</si>
  <si>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</si>
  <si>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</si>
  <si>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</si>
  <si>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</si>
  <si>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</si>
  <si>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</si>
  <si>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</si>
  <si>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</si>
  <si>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</si>
  <si>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</si>
  <si>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</si>
  <si>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</si>
  <si>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</si>
  <si>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</si>
  <si>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</si>
  <si>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</si>
  <si>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</si>
  <si>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</si>
  <si>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</si>
  <si>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</si>
  <si>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</si>
  <si>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</si>
  <si>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</si>
  <si>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</si>
  <si>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</si>
  <si>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</si>
  <si>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</si>
  <si>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</si>
  <si>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</si>
  <si>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</si>
  <si>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</si>
  <si>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</si>
  <si>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</si>
  <si>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</si>
  <si>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</si>
  <si>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</si>
  <si>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</si>
  <si>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</si>
  <si>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</si>
  <si>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</si>
  <si>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</si>
  <si>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</si>
  <si>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</si>
  <si>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</si>
  <si>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</si>
  <si>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</si>
  <si>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</si>
  <si>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</si>
  <si>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</si>
  <si>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</si>
  <si>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</si>
  <si>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</si>
  <si>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</si>
  <si>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</si>
  <si>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</si>
  <si>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</si>
  <si>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</si>
  <si>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</si>
  <si>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</si>
  <si>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</si>
  <si>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</si>
  <si>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</si>
  <si>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</si>
  <si>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</si>
  <si>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</si>
  <si>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</si>
  <si>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</si>
  <si>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</si>
  <si>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</si>
  <si>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</si>
  <si>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</si>
  <si>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</si>
  <si>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</si>
  <si>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</si>
  <si>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</si>
  <si>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</si>
  <si>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</si>
  <si>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</si>
  <si>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</si>
  <si>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</si>
  <si>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</si>
  <si>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</si>
  <si>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</si>
  <si>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</si>
  <si>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</si>
  <si>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</si>
  <si>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</si>
  <si>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</si>
  <si>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</si>
  <si>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</si>
  <si>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</si>
  <si>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</si>
  <si>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</si>
  <si>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</si>
  <si>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</si>
  <si>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</si>
  <si>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</si>
  <si>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</si>
  <si>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</si>
  <si>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</si>
  <si>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</si>
  <si>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</si>
  <si>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</si>
  <si>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</si>
  <si>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</si>
  <si>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</si>
  <si>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</si>
  <si>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</si>
  <si>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</si>
  <si>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</si>
  <si>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</si>
  <si>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</si>
  <si>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</si>
  <si>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</si>
  <si>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</si>
  <si>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</si>
  <si>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</si>
  <si>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</si>
  <si>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</si>
  <si>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</si>
  <si>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</si>
  <si>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</si>
  <si>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</si>
  <si>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</si>
  <si>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</si>
  <si>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</si>
  <si>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</si>
  <si>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</si>
  <si>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</si>
  <si>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</si>
  <si>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</si>
  <si>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</si>
  <si>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</si>
  <si>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</si>
  <si>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</si>
  <si>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</si>
  <si>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</si>
  <si>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</si>
  <si>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</si>
  <si>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</si>
  <si>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</si>
  <si>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</si>
  <si>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</si>
  <si>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</si>
  <si>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</si>
  <si>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</si>
  <si>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</si>
  <si>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</si>
  <si>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</si>
  <si>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</si>
  <si>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</si>
  <si>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</si>
  <si>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</si>
  <si>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</si>
  <si>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</si>
  <si>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</si>
  <si>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</si>
  <si>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</si>
  <si>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</si>
  <si>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</si>
  <si>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</si>
  <si>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</si>
  <si>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</si>
  <si>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</si>
  <si>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</si>
  <si>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</si>
  <si>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</si>
  <si>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</si>
  <si>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</si>
  <si>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</si>
  <si>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</si>
  <si>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</si>
  <si>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</si>
  <si>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</si>
  <si>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</si>
  <si>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</si>
  <si>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</si>
  <si>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</si>
  <si>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</si>
  <si>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</si>
  <si>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</si>
  <si>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</si>
  <si>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</si>
  <si>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</si>
  <si>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</si>
  <si>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</si>
  <si>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</si>
  <si>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</si>
  <si>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</si>
  <si>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</si>
  <si>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</si>
  <si>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</si>
  <si>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</si>
  <si>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</si>
  <si>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</si>
  <si>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</si>
  <si>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</si>
  <si>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</si>
  <si>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</si>
  <si>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</si>
  <si>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</si>
  <si>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</si>
  <si>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</si>
  <si>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</si>
  <si>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</si>
  <si>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</si>
  <si>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</si>
  <si>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</si>
  <si>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</si>
  <si>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</si>
  <si>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</si>
  <si>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</si>
  <si>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</si>
  <si>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</si>
  <si>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</si>
  <si>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</si>
  <si>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</si>
  <si>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</si>
  <si>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</si>
  <si>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</si>
  <si>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</si>
  <si>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</si>
  <si>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</si>
  <si>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</si>
  <si>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</si>
  <si>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</si>
  <si>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</si>
  <si>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</si>
  <si>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</si>
  <si>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</si>
  <si>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</si>
  <si>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</si>
  <si>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</si>
  <si>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</si>
  <si>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</si>
  <si>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</si>
  <si>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</si>
  <si>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</si>
  <si>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</si>
  <si>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</si>
  <si>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</si>
  <si>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</si>
  <si>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</si>
  <si>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</si>
  <si>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</si>
  <si>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</si>
  <si>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</si>
  <si>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</si>
  <si>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</si>
  <si>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</si>
  <si>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</si>
  <si>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</si>
  <si>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</si>
  <si>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</si>
  <si>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</si>
  <si>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</si>
  <si>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</si>
  <si>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</si>
  <si>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</si>
  <si>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</si>
  <si>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</si>
  <si>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</si>
  <si>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</si>
  <si>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</si>
  <si>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</si>
  <si>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</si>
  <si>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</si>
  <si>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</si>
  <si>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</si>
  <si>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</si>
  <si>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</si>
  <si>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</si>
  <si>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</si>
  <si>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</si>
  <si>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</si>
  <si>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</si>
  <si>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</si>
  <si>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</si>
  <si>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</si>
  <si>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</si>
  <si>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</si>
  <si>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</si>
  <si>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</si>
  <si>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</si>
  <si>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</si>
  <si>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</si>
  <si>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</si>
  <si>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</si>
  <si>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</si>
  <si>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</si>
  <si>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</si>
  <si>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</si>
  <si>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</si>
  <si>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</si>
  <si>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</si>
  <si>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</si>
  <si>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</si>
  <si>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</si>
  <si>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</si>
  <si>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</si>
  <si>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</si>
  <si>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</si>
  <si>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</si>
  <si>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</si>
  <si>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</si>
  <si>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</si>
  <si>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</si>
  <si>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</si>
  <si>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</si>
  <si>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</si>
  <si>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</si>
  <si>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</si>
  <si>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</si>
  <si>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</si>
  <si>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</si>
  <si>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</si>
  <si>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</si>
  <si>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</si>
  <si>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</si>
  <si>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</si>
  <si>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</si>
  <si>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</si>
  <si>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</si>
  <si>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</si>
  <si>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</si>
  <si>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</si>
  <si>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</si>
  <si>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</si>
  <si>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</si>
  <si>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</si>
  <si>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</si>
  <si>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</si>
  <si>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</si>
  <si>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</si>
  <si>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</si>
  <si>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</si>
  <si>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</si>
  <si>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</si>
  <si>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</si>
  <si>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</si>
  <si>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</si>
  <si>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</si>
  <si>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</si>
  <si>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</si>
  <si>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</si>
  <si>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</si>
  <si>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</si>
  <si>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</si>
  <si>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</si>
  <si>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</si>
  <si>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</si>
  <si>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</si>
  <si>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</si>
  <si>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</si>
  <si>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</si>
  <si>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</si>
  <si>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</si>
  <si>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</si>
  <si>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</si>
  <si>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</si>
  <si>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</si>
  <si>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</si>
  <si>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</si>
  <si>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</si>
  <si>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</si>
  <si>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</si>
  <si>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</si>
  <si>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</si>
  <si>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</si>
  <si>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</si>
  <si>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</si>
  <si>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</si>
  <si>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</si>
  <si>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</si>
  <si>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</si>
  <si>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</si>
  <si>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</si>
  <si>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</si>
  <si>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</si>
  <si>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</si>
  <si>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</si>
  <si>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</si>
  <si>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</si>
  <si>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</si>
  <si>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</si>
  <si>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</si>
  <si>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</si>
  <si>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</si>
  <si>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</si>
  <si>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</si>
  <si>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</si>
  <si>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</si>
  <si>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</si>
  <si>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</si>
  <si>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</si>
  <si>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</si>
  <si>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</si>
  <si>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</si>
  <si>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</si>
  <si>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</si>
  <si>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</si>
  <si>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</si>
  <si>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</si>
  <si>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</si>
  <si>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</si>
  <si>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</si>
  <si>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</si>
  <si>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</si>
  <si>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</si>
  <si>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</si>
  <si>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</si>
  <si>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</si>
  <si>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</si>
  <si>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</si>
  <si>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</si>
  <si>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</si>
  <si>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</si>
  <si>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</si>
  <si>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</si>
  <si>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</si>
  <si>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</si>
  <si>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</si>
  <si>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</si>
  <si>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</si>
  <si>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</si>
  <si>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</si>
  <si>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</si>
  <si>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</si>
  <si>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</si>
  <si>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</si>
  <si>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</si>
  <si>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</si>
  <si>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</si>
  <si>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</si>
  <si>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</si>
  <si>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</si>
  <si>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</si>
  <si>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</si>
  <si>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</si>
  <si>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</si>
  <si>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</si>
  <si>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</si>
  <si>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</si>
  <si>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</si>
  <si>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</si>
  <si>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</si>
  <si>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</si>
  <si>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</si>
  <si>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</si>
  <si>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</si>
  <si>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</si>
  <si>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</si>
  <si>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</si>
  <si>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</si>
  <si>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</si>
  <si>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</si>
  <si>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</si>
  <si>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</si>
  <si>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</si>
  <si>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</si>
  <si>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</si>
  <si>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</si>
  <si>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</si>
  <si>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</si>
  <si>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</si>
  <si>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</si>
  <si>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</si>
  <si>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</si>
  <si>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</si>
  <si>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</si>
  <si>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</si>
  <si>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</si>
  <si>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</si>
  <si>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</si>
  <si>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</si>
  <si>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</si>
  <si>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</si>
  <si>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</si>
  <si>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</si>
  <si>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</si>
  <si>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</si>
  <si>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</si>
  <si>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</si>
  <si>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</si>
  <si>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</si>
  <si>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</si>
  <si>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</si>
  <si>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</si>
  <si>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</si>
  <si>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</si>
  <si>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</si>
  <si>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</si>
  <si>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</si>
  <si>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</si>
  <si>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</si>
  <si>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</si>
  <si>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</si>
  <si>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</si>
  <si>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</si>
  <si>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</si>
  <si>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</si>
  <si>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</si>
  <si>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</si>
  <si>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</si>
  <si>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</si>
  <si>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</si>
  <si>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</si>
  <si>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</si>
  <si>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</si>
  <si>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</si>
  <si>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</si>
  <si>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</si>
  <si>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</si>
  <si>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</si>
  <si>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</si>
  <si>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</si>
  <si>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</si>
  <si>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</si>
  <si>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</si>
  <si>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</si>
  <si>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</si>
  <si>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</si>
  <si>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</si>
  <si>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</si>
  <si>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</si>
  <si>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</si>
  <si>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</si>
  <si>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</si>
  <si>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</si>
  <si>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</si>
  <si>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</si>
  <si>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</si>
  <si>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</si>
  <si>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</si>
  <si>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</si>
  <si>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</si>
  <si>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</si>
  <si>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</si>
  <si>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</si>
  <si>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</si>
  <si>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</si>
  <si>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</si>
  <si>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</si>
  <si>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</si>
  <si>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</si>
  <si>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</si>
  <si>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</si>
  <si>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</si>
  <si>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</si>
  <si>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</si>
  <si>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</si>
  <si>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</si>
  <si>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</si>
  <si>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</si>
  <si>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</si>
  <si>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</si>
  <si>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</si>
  <si>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</si>
  <si>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</si>
  <si>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</si>
  <si>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</si>
  <si>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</si>
  <si>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</si>
  <si>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</si>
  <si>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</si>
  <si>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</si>
  <si>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</si>
  <si>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</si>
  <si>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</si>
  <si>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</si>
  <si>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</si>
  <si>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</si>
  <si>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</si>
  <si>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</si>
  <si>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</si>
  <si>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</si>
  <si>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</si>
  <si>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</si>
  <si>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</si>
  <si>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</si>
  <si>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</si>
  <si>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</si>
  <si>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</si>
  <si>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</si>
  <si>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</si>
  <si>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</si>
  <si>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</si>
  <si>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</si>
  <si>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</si>
  <si>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</si>
  <si>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</si>
  <si>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</si>
  <si>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</si>
  <si>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</si>
  <si>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</si>
  <si>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</si>
  <si>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</si>
  <si>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</si>
  <si>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</si>
  <si>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</si>
  <si>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</si>
  <si>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</si>
  <si>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</si>
  <si>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</si>
  <si>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</si>
  <si>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</si>
  <si>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</si>
  <si>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</si>
  <si>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</si>
  <si>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</si>
  <si>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</si>
  <si>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</si>
  <si>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</si>
  <si>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</si>
  <si>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</si>
  <si>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</si>
  <si>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</si>
  <si>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</si>
  <si>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</si>
  <si>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</si>
  <si>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</si>
  <si>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</si>
  <si>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</si>
  <si>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</si>
  <si>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</si>
  <si>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</si>
  <si>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</si>
  <si>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</si>
  <si>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</si>
  <si>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</si>
  <si>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</si>
  <si>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</si>
  <si>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</si>
  <si>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</si>
  <si>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</si>
  <si>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</si>
  <si>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</si>
  <si>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</si>
  <si>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</si>
  <si>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</si>
  <si>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</si>
  <si>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</si>
  <si>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</si>
  <si>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</si>
  <si>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</si>
  <si>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</si>
  <si>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</si>
  <si>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</si>
  <si>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</si>
  <si>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</si>
  <si>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</si>
  <si>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</si>
  <si>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</si>
  <si>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</si>
  <si>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</si>
  <si>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</si>
  <si>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</si>
  <si>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</si>
  <si>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</si>
  <si>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</si>
  <si>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</si>
  <si>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</si>
  <si>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</si>
  <si>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</si>
  <si>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</si>
  <si>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</si>
  <si>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</si>
  <si>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</si>
  <si>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</si>
  <si>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</si>
  <si>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</si>
  <si>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</si>
  <si>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</si>
  <si>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</si>
  <si>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</si>
  <si>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</si>
  <si>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</si>
  <si>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</si>
  <si>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</si>
  <si>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</si>
  <si>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</si>
  <si>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</si>
  <si>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</si>
  <si>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</si>
  <si>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</si>
  <si>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</si>
  <si>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</si>
  <si>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</si>
  <si>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</si>
  <si>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</si>
  <si>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</si>
  <si>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</si>
  <si>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</si>
  <si>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</si>
  <si>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</si>
  <si>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</si>
  <si>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</si>
  <si>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</si>
  <si>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</si>
  <si>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</si>
  <si>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</si>
  <si>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</si>
  <si>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</si>
  <si>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</si>
  <si>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</si>
  <si>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</si>
  <si>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</si>
  <si>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</si>
  <si>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</si>
  <si>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</si>
  <si>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</si>
  <si>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</si>
  <si>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</si>
  <si>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</si>
  <si>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</si>
  <si>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</si>
  <si>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</si>
  <si>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</si>
  <si>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</si>
  <si>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</si>
  <si>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</si>
  <si>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</si>
  <si>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</si>
  <si>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</si>
  <si>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</si>
  <si>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</si>
  <si>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</si>
  <si>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</si>
  <si>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</si>
  <si>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</si>
  <si>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</si>
  <si>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</si>
  <si>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</si>
  <si>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</si>
  <si>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</si>
  <si>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</si>
  <si>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</si>
  <si>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</si>
  <si>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</si>
  <si>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</si>
  <si>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</si>
  <si>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</si>
  <si>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</si>
  <si>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</si>
  <si>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</si>
  <si>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</si>
  <si>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</si>
  <si>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</si>
  <si>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</si>
  <si>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</si>
  <si>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</si>
  <si>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</si>
  <si>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</si>
  <si>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</si>
  <si>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</si>
  <si>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</si>
  <si>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</si>
  <si>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</si>
  <si>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</si>
  <si>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</si>
  <si>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</si>
  <si>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</si>
  <si>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</si>
  <si>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</si>
  <si>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</si>
  <si>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</si>
  <si>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</si>
  <si>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</si>
  <si>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</si>
  <si>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</si>
  <si>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</si>
  <si>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</si>
  <si>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</si>
  <si>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</si>
  <si>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</si>
  <si>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</si>
  <si>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</si>
  <si>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</si>
  <si>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</si>
  <si>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</si>
  <si>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</si>
  <si>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</si>
  <si>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</si>
  <si>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</si>
  <si>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</si>
  <si>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</si>
  <si>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</si>
  <si>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</si>
  <si>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</si>
  <si>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</si>
  <si>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</si>
  <si>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</si>
  <si>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</si>
  <si>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</si>
  <si>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</si>
  <si>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</si>
  <si>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</si>
  <si>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</si>
  <si>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</si>
  <si>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</si>
  <si>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</si>
  <si>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</si>
  <si>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</si>
  <si>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</si>
  <si>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</si>
  <si>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</si>
  <si>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</si>
  <si>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</si>
  <si>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</si>
  <si>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</si>
  <si>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</si>
  <si>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</si>
  <si>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</si>
  <si>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</si>
  <si>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</si>
  <si>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</si>
  <si>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</si>
  <si>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</si>
  <si>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</si>
  <si>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</si>
  <si>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</si>
  <si>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</si>
  <si>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</si>
  <si>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</si>
  <si>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</si>
  <si>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</si>
  <si>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</si>
  <si>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</si>
  <si>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</si>
  <si>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</si>
  <si>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</si>
  <si>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</si>
  <si>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</si>
  <si>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</si>
  <si>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</si>
  <si>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</si>
  <si>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</si>
  <si>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</si>
  <si>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</si>
  <si>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</si>
  <si>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</si>
  <si>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</si>
  <si>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</si>
  <si>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</si>
  <si>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</si>
  <si>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</si>
  <si>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</si>
  <si>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</si>
  <si>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</si>
  <si>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</si>
  <si>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</si>
  <si>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</si>
  <si>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</si>
  <si>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</si>
  <si>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</si>
  <si>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</si>
  <si>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</si>
  <si>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</si>
  <si>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</si>
  <si>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</si>
  <si>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</si>
  <si>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</si>
  <si>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</si>
  <si>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</si>
  <si>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</si>
  <si>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</si>
  <si>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</si>
  <si>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</si>
  <si>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</si>
  <si>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</si>
  <si>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</si>
  <si>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</si>
  <si>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</si>
  <si>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</si>
  <si>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</si>
  <si>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</si>
  <si>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</si>
  <si>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</si>
  <si>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</si>
  <si>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</si>
  <si>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</si>
  <si>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</si>
  <si>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</si>
  <si>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</si>
  <si>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</si>
  <si>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</si>
  <si>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</si>
  <si>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</si>
  <si>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</si>
  <si>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</si>
  <si>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</si>
  <si>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</si>
  <si>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</si>
  <si>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</si>
  <si>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</si>
  <si>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</si>
  <si>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</si>
  <si>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</si>
  <si>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</si>
  <si>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</si>
  <si>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</si>
  <si>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</si>
  <si>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</si>
  <si>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</si>
  <si>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</si>
  <si>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</si>
  <si>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</si>
  <si>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</si>
  <si>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</si>
  <si>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</si>
  <si>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</si>
  <si>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</si>
  <si>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</si>
  <si>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</si>
  <si>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</si>
  <si>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</si>
  <si>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</si>
  <si>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</si>
  <si>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</si>
  <si>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</si>
  <si>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</si>
  <si>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</si>
  <si>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</si>
  <si>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</si>
  <si>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</si>
  <si>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</si>
  <si>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</si>
  <si>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</si>
  <si>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</si>
  <si>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</si>
  <si>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</si>
  <si>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</si>
  <si>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</si>
  <si>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</si>
  <si>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</si>
  <si>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</si>
  <si>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</si>
  <si>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</si>
  <si>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</si>
  <si>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</si>
  <si>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</si>
  <si>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</si>
  <si>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</si>
  <si>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</si>
  <si>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</si>
  <si>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</si>
  <si>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</si>
  <si>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</si>
  <si>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</si>
  <si>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</si>
  <si>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</si>
  <si>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</si>
  <si>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</si>
  <si>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</si>
  <si>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</si>
  <si>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</si>
  <si>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</si>
  <si>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</si>
  <si>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</si>
  <si>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</si>
  <si>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</si>
  <si>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</si>
  <si>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</si>
  <si>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</si>
  <si>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</si>
  <si>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</si>
  <si>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</si>
  <si>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</si>
  <si>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</si>
  <si>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</si>
  <si>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</si>
  <si>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</si>
  <si>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</si>
  <si>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</si>
  <si>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</si>
  <si>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</si>
  <si>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</si>
  <si>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</si>
  <si>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</si>
  <si>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</si>
  <si>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</si>
  <si>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</si>
  <si>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</si>
  <si>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</si>
  <si>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</si>
  <si>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</si>
  <si>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</si>
  <si>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</si>
  <si>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</si>
  <si>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</si>
  <si>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</si>
  <si>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</si>
  <si>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</si>
  <si>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</si>
  <si>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</si>
  <si>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</si>
  <si>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</si>
  <si>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</si>
  <si>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</si>
  <si>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</si>
  <si>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</si>
  <si>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</si>
  <si>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</si>
  <si>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</si>
  <si>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</si>
  <si>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</si>
  <si>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</si>
  <si>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</si>
  <si>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</si>
  <si>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</si>
  <si>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</si>
  <si>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</si>
  <si>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</si>
  <si>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</si>
  <si>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</si>
  <si>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</si>
  <si>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</si>
  <si>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</si>
  <si>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</si>
  <si>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</si>
  <si>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</si>
  <si>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</si>
  <si>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</si>
  <si>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</si>
  <si>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</si>
  <si>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</si>
  <si>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</si>
  <si>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</si>
  <si>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</si>
  <si>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</si>
  <si>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</si>
  <si>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</si>
  <si>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</si>
  <si>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</si>
  <si>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</si>
  <si>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</si>
  <si>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</si>
  <si>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</si>
  <si>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</si>
  <si>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</si>
  <si>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</si>
  <si>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</si>
  <si>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</si>
  <si>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</si>
  <si>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</si>
  <si>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</si>
  <si>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</si>
  <si>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</si>
  <si>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</si>
  <si>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</si>
  <si>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</si>
  <si>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</si>
  <si>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</si>
  <si>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</si>
  <si>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</si>
  <si>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</si>
  <si>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</si>
  <si>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</si>
  <si>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</si>
  <si>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</si>
  <si>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</si>
  <si>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</si>
  <si>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</si>
  <si>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</si>
  <si>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</si>
  <si>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</si>
  <si>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</si>
  <si>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</si>
  <si>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</si>
  <si>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</si>
  <si>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</si>
  <si>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</si>
  <si>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</si>
  <si>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</si>
  <si>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</si>
  <si>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</si>
  <si>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</si>
  <si>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</si>
  <si>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</si>
  <si>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</si>
  <si>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</si>
  <si>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</si>
  <si>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</si>
  <si>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</si>
  <si>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</si>
  <si>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</si>
  <si>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</si>
  <si>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</si>
  <si>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</si>
  <si>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</si>
  <si>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</si>
  <si>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</si>
  <si>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</si>
  <si>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</si>
  <si>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</si>
  <si>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</si>
  <si>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</si>
  <si>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</si>
  <si>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</si>
  <si>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</si>
  <si>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</si>
  <si>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</si>
  <si>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</si>
  <si>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</si>
  <si>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</si>
  <si>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</si>
  <si>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</si>
  <si>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</si>
  <si>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</si>
  <si>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</si>
  <si>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</si>
  <si>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</si>
  <si>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</si>
  <si>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</si>
  <si>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</si>
  <si>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</si>
  <si>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</si>
  <si>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</si>
  <si>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</si>
  <si>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</si>
  <si>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</si>
  <si>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</si>
  <si>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</si>
  <si>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</si>
  <si>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</si>
  <si>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</si>
  <si>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</si>
  <si>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</si>
  <si>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</si>
  <si>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</si>
  <si>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</si>
  <si>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</si>
  <si>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</si>
  <si>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</si>
  <si>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</si>
  <si>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</si>
  <si>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</si>
  <si>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</si>
  <si>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</si>
  <si>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</si>
  <si>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</si>
  <si>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</si>
  <si>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</si>
  <si>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</si>
  <si>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</si>
  <si>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</si>
  <si>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</si>
  <si>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</si>
  <si>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</si>
  <si>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</si>
  <si>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</si>
  <si>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</si>
  <si>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</si>
  <si>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</si>
  <si>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</si>
  <si>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</si>
  <si>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</si>
  <si>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</si>
  <si>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</si>
  <si>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</si>
  <si>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</si>
  <si>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</si>
  <si>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</si>
  <si>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</si>
  <si>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</si>
  <si>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</si>
  <si>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</si>
  <si>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</si>
  <si>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</si>
  <si>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</si>
  <si>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</si>
  <si>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</si>
  <si>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</si>
  <si>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</si>
  <si>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</si>
  <si>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</si>
  <si>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</si>
  <si>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</si>
  <si>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</si>
  <si>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</si>
  <si>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</si>
  <si>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</si>
  <si>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</si>
  <si>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</si>
  <si>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</si>
  <si>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</si>
  <si>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</si>
  <si>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</si>
  <si>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</si>
  <si>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</si>
  <si>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</si>
  <si>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</si>
  <si>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</si>
  <si>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</si>
  <si>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</si>
  <si>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</si>
  <si>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</si>
  <si>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</si>
  <si>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</si>
  <si>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</si>
  <si>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</si>
  <si>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</si>
  <si>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</si>
  <si>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</si>
  <si>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</si>
  <si>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</si>
  <si>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</si>
  <si>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</si>
  <si>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</si>
  <si>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</si>
  <si>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</si>
  <si>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</si>
  <si>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</si>
  <si>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</si>
  <si>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</si>
  <si>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</si>
  <si>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</si>
  <si>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</si>
  <si>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</si>
  <si>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</si>
  <si>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</si>
  <si>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</si>
  <si>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</si>
  <si>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</si>
  <si>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</si>
  <si>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</si>
  <si>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</si>
  <si>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</si>
  <si>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</si>
  <si>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</si>
  <si>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</si>
  <si>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</si>
  <si>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</si>
  <si>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</si>
  <si>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</si>
  <si>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</si>
  <si>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</si>
  <si>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</si>
  <si>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</si>
  <si>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</si>
  <si>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</si>
  <si>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</si>
  <si>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</si>
  <si>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</si>
  <si>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</si>
  <si>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</si>
  <si>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</si>
  <si>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</si>
  <si>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</si>
  <si>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</si>
  <si>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</si>
  <si>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</si>
  <si>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</si>
  <si>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</si>
  <si>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</si>
  <si>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</si>
  <si>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</si>
  <si>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</si>
  <si>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</si>
  <si>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</si>
  <si>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</si>
  <si>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</si>
  <si>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</si>
  <si>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</si>
  <si>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</si>
  <si>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</si>
  <si>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</si>
  <si>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</si>
  <si>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</si>
  <si>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</si>
  <si>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</si>
  <si>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</si>
  <si>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</si>
  <si>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</si>
  <si>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</si>
  <si>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</si>
  <si>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</si>
  <si>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</si>
  <si>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</si>
  <si>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</si>
  <si>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</si>
  <si>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</si>
  <si>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</si>
  <si>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</si>
  <si>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</si>
  <si>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</si>
  <si>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</si>
  <si>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</si>
  <si>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</si>
  <si>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</si>
  <si>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</si>
  <si>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</si>
  <si>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</si>
  <si>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</si>
  <si>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</si>
  <si>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</si>
  <si>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</si>
  <si>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</si>
  <si>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</si>
  <si>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</si>
  <si>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</si>
  <si>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</si>
  <si>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</si>
  <si>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</si>
  <si>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</si>
  <si>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</si>
  <si>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</si>
  <si>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</si>
  <si>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</si>
  <si>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</si>
  <si>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</si>
  <si>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</si>
  <si>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</si>
  <si>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</si>
  <si>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</si>
  <si>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</si>
  <si>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</si>
  <si>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</si>
  <si>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</si>
  <si>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</si>
  <si>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</si>
  <si>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</si>
  <si>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</si>
  <si>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</si>
  <si>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</si>
  <si>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</si>
  <si>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</si>
  <si>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</si>
  <si>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</si>
  <si>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</si>
  <si>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</si>
  <si>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</si>
  <si>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</si>
  <si>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</si>
  <si>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</si>
  <si>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</si>
  <si>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</si>
  <si>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</si>
  <si>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</si>
  <si>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</si>
  <si>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</si>
  <si>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</si>
  <si>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</si>
  <si>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</si>
  <si>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</si>
  <si>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</si>
  <si>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</si>
  <si>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</si>
  <si>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</si>
  <si>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</si>
  <si>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</si>
  <si>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</si>
  <si>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</si>
  <si>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</si>
  <si>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</si>
  <si>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</si>
  <si>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</si>
  <si>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</si>
  <si>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</si>
  <si>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</si>
  <si>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</si>
  <si>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</si>
  <si>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</si>
  <si>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</si>
  <si>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</si>
  <si>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</si>
  <si>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</si>
  <si>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</si>
  <si>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</si>
  <si>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</si>
  <si>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</si>
  <si>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</si>
  <si>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</si>
  <si>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</si>
  <si>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</si>
  <si>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</si>
  <si>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</si>
  <si>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</si>
  <si>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</si>
  <si>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</si>
  <si>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</si>
  <si>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</si>
  <si>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</si>
  <si>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</si>
  <si>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</si>
  <si>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</si>
  <si>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</si>
  <si>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</si>
  <si>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</si>
  <si>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</si>
  <si>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</si>
  <si>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</si>
  <si>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</si>
  <si>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</si>
  <si>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</si>
  <si>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</si>
  <si>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</si>
  <si>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</si>
  <si>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</si>
  <si>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</si>
  <si>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</si>
  <si>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</si>
  <si>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</si>
  <si>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</si>
  <si>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</si>
  <si>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</si>
  <si>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</si>
  <si>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</si>
  <si>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</si>
  <si>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</si>
  <si>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</si>
  <si>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</si>
  <si>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</si>
  <si>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</si>
  <si>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</si>
  <si>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</si>
  <si>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</si>
  <si>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</si>
  <si>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</si>
  <si>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</si>
  <si>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</si>
  <si>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</si>
  <si>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</si>
  <si>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</si>
  <si>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</si>
  <si>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</si>
  <si>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</si>
  <si>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</si>
  <si>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</si>
  <si>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</si>
  <si>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</si>
  <si>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</si>
  <si>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</si>
  <si>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</si>
  <si>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</si>
  <si>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</si>
  <si>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</si>
  <si>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</si>
  <si>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</si>
  <si>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</si>
  <si>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</si>
  <si>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</si>
  <si>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</si>
  <si>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</si>
  <si>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</si>
  <si>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</si>
  <si>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</si>
  <si>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</si>
  <si>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</si>
  <si>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</si>
  <si>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</si>
  <si>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</si>
  <si>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</si>
  <si>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</si>
  <si>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</si>
  <si>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</si>
  <si>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</si>
  <si>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</si>
  <si>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</si>
  <si>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</si>
  <si>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</si>
  <si>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</si>
  <si>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</si>
  <si>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</si>
  <si>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</si>
  <si>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</si>
  <si>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</si>
  <si>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</si>
  <si>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</si>
  <si>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</si>
  <si>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</si>
  <si>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</si>
  <si>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</si>
  <si>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</si>
  <si>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</si>
  <si>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</si>
  <si>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</si>
  <si>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</si>
  <si>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</si>
  <si>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</si>
  <si>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</si>
  <si>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</si>
  <si>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</si>
  <si>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</si>
  <si>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</si>
  <si>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</si>
  <si>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</si>
  <si>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</si>
  <si>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</si>
  <si>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</si>
  <si>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</si>
  <si>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</si>
  <si>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</si>
  <si>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</si>
  <si>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</si>
  <si>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</si>
  <si>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</si>
  <si>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</si>
  <si>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</si>
  <si>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</si>
  <si>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</si>
  <si>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</si>
  <si>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</si>
  <si>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</si>
  <si>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</si>
  <si>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</si>
  <si>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</si>
  <si>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</si>
  <si>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</si>
  <si>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</si>
  <si>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</si>
  <si>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</si>
  <si>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</si>
  <si>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</si>
  <si>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</si>
  <si>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</si>
  <si>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</si>
  <si>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</si>
  <si>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</si>
  <si>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</si>
  <si>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</si>
  <si>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</si>
  <si>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</si>
  <si>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</si>
  <si>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</si>
  <si>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</si>
  <si>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</si>
  <si>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</si>
  <si>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</si>
  <si>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</si>
  <si>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</si>
  <si>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</si>
  <si>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</si>
  <si>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</si>
  <si>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</si>
  <si>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</si>
  <si>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</si>
  <si>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</si>
  <si>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</si>
  <si>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</si>
  <si>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</si>
  <si>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</si>
  <si>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</si>
  <si>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</si>
  <si>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</si>
  <si>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</si>
  <si>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</si>
  <si>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</si>
  <si>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</si>
  <si>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</si>
  <si>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</si>
  <si>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</si>
  <si>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</si>
  <si>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</si>
  <si>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</si>
  <si>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</si>
  <si>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</si>
  <si>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</si>
  <si>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</si>
  <si>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</si>
  <si>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</si>
  <si>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</si>
  <si>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</si>
  <si>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</si>
  <si>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</si>
  <si>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</si>
  <si>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</si>
  <si>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</si>
  <si>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</si>
  <si>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</si>
  <si>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</si>
  <si>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</si>
  <si>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</si>
  <si>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</si>
  <si>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</si>
  <si>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</si>
  <si>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</si>
  <si>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</si>
  <si>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</si>
  <si>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</si>
  <si>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</si>
  <si>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</si>
  <si>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</si>
  <si>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</si>
  <si>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</si>
  <si>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</si>
  <si>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</si>
  <si>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</si>
  <si>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</si>
  <si>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</si>
  <si>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</si>
  <si>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</si>
  <si>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</si>
  <si>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</si>
  <si>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</si>
  <si>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</si>
  <si>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</si>
  <si>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</si>
  <si>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</si>
  <si>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</si>
  <si>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</si>
  <si>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</si>
  <si>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</si>
  <si>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</si>
  <si>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</si>
  <si>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</si>
  <si>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</si>
  <si>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</si>
  <si>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</si>
  <si>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</si>
  <si>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</si>
  <si>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</si>
  <si>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</si>
  <si>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</si>
  <si>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</si>
  <si>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</si>
  <si>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</si>
  <si>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</si>
  <si>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</si>
  <si>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</si>
  <si>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</si>
  <si>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</si>
  <si>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</si>
  <si>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</si>
  <si>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</si>
  <si>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</si>
  <si>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</si>
  <si>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</si>
  <si>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</si>
  <si>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</si>
  <si>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</si>
  <si>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</si>
  <si>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</si>
  <si>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</si>
  <si>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</si>
  <si>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</si>
  <si>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</si>
  <si>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</si>
  <si>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</si>
  <si>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</si>
  <si>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</si>
  <si>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</si>
  <si>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</si>
  <si>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</si>
  <si>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</si>
  <si>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</si>
  <si>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</si>
  <si>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</si>
  <si>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</si>
  <si>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</si>
  <si>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</si>
  <si>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</si>
  <si>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</si>
  <si>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</si>
  <si>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</si>
  <si>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</si>
  <si>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</si>
  <si>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</si>
  <si>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</si>
  <si>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</si>
  <si>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</si>
  <si>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</si>
  <si>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</si>
  <si>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</si>
  <si>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</si>
  <si>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</si>
  <si>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</si>
  <si>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</si>
  <si>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</si>
  <si>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</si>
  <si>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</si>
  <si>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</si>
  <si>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</si>
  <si>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</si>
  <si>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</si>
  <si>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</si>
  <si>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</si>
  <si>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</si>
  <si>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</si>
  <si>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</si>
  <si>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</si>
  <si>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</si>
  <si>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</si>
  <si>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</si>
  <si>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</si>
  <si>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</si>
  <si>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</si>
  <si>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</si>
  <si>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</si>
  <si>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</si>
  <si>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</si>
  <si>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</si>
  <si>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</si>
  <si>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</si>
  <si>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</si>
  <si>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</si>
  <si>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</si>
  <si>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</si>
  <si>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</si>
  <si>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</si>
  <si>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</si>
  <si>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</si>
  <si>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</si>
  <si>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</si>
  <si>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</si>
  <si>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</si>
  <si>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</si>
  <si>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</si>
  <si>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</si>
  <si>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</si>
  <si>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</si>
  <si>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</si>
  <si>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</si>
  <si>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</si>
  <si>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</si>
  <si>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</si>
  <si>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</si>
  <si>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</si>
  <si>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</si>
  <si>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</si>
  <si>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</si>
  <si>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</si>
  <si>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</si>
  <si>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</si>
  <si>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</si>
  <si>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</si>
  <si>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</si>
  <si>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</si>
  <si>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</si>
  <si>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</si>
  <si>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</si>
  <si>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</si>
  <si>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</si>
  <si>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</si>
  <si>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</si>
  <si>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</si>
  <si>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</si>
  <si>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</si>
  <si>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</si>
  <si>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</si>
  <si>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</si>
  <si>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</si>
  <si>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</si>
  <si>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</si>
  <si>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</si>
  <si>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</si>
  <si>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</si>
  <si>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</si>
  <si>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</si>
  <si>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</si>
  <si>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</si>
  <si>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</si>
  <si>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</si>
  <si>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</si>
  <si>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</si>
  <si>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</si>
  <si>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</si>
  <si>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</si>
  <si>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</si>
  <si>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</si>
  <si>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</si>
  <si>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</si>
  <si>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</si>
  <si>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</si>
  <si>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</si>
  <si>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</si>
  <si>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</si>
  <si>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</si>
  <si>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</si>
  <si>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</si>
  <si>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</si>
  <si>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</si>
  <si>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</si>
  <si>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</si>
  <si>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</si>
  <si>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</si>
  <si>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</si>
  <si>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</si>
  <si>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</si>
  <si>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</si>
  <si>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</si>
  <si>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</si>
  <si>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</si>
  <si>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</si>
  <si>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</si>
  <si>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</si>
  <si>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</si>
  <si>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</si>
  <si>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</si>
  <si>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</si>
  <si>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</si>
  <si>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</si>
  <si>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</si>
  <si>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</si>
  <si>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</si>
  <si>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</si>
  <si>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</si>
  <si>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</si>
  <si>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</si>
  <si>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</si>
  <si>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</si>
  <si>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</si>
  <si>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</si>
  <si>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</si>
  <si>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</si>
  <si>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</si>
  <si>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</si>
  <si>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</si>
  <si>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</si>
  <si>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</si>
  <si>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</si>
  <si>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</si>
  <si>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</si>
  <si>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</si>
  <si>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</si>
  <si>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</si>
  <si>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</si>
  <si>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</si>
  <si>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</si>
  <si>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</si>
  <si>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</si>
  <si>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</si>
  <si>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</si>
  <si>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</si>
  <si>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</si>
  <si>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</si>
  <si>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</si>
  <si>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</si>
  <si>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</si>
  <si>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</si>
  <si>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</si>
  <si>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</si>
  <si>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</si>
  <si>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</si>
  <si>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</si>
  <si>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</si>
  <si>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</si>
  <si>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</si>
  <si>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</si>
  <si>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</si>
  <si>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</si>
  <si>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</si>
  <si>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</si>
  <si>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</si>
  <si>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</si>
  <si>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</si>
  <si>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</si>
  <si>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</si>
  <si>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</si>
  <si>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</si>
  <si>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</si>
  <si>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</si>
  <si>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</si>
  <si>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</si>
  <si>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</si>
  <si>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</si>
  <si>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</si>
  <si>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</si>
  <si>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</si>
  <si>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</si>
  <si>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</si>
  <si>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</si>
  <si>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</si>
  <si>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</si>
  <si>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</si>
  <si>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</si>
  <si>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</si>
  <si>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</si>
  <si>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</si>
  <si>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</si>
  <si>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</si>
  <si>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</si>
  <si>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</si>
  <si>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</si>
  <si>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</si>
  <si>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</si>
  <si>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</si>
  <si>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</si>
  <si>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</si>
  <si>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</si>
  <si>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</si>
  <si>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</si>
  <si>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</si>
  <si>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</si>
  <si>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</si>
  <si>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</si>
  <si>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</si>
  <si>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</si>
  <si>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</si>
  <si>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</si>
  <si>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</si>
  <si>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</si>
  <si>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</si>
  <si>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</si>
  <si>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</si>
  <si>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</si>
  <si>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</si>
  <si>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</si>
  <si>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</si>
  <si>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</si>
  <si>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</si>
  <si>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</si>
  <si>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</si>
  <si>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</si>
  <si>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</si>
  <si>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</si>
  <si>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</si>
  <si>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</si>
  <si>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</si>
  <si>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</si>
  <si>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</si>
  <si>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</si>
  <si>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</si>
  <si>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</si>
  <si>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</si>
  <si>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</si>
  <si>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</si>
  <si>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</si>
  <si>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</si>
  <si>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</si>
  <si>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</si>
  <si>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</si>
  <si>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</si>
  <si>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</si>
  <si>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</si>
  <si>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</si>
  <si>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</si>
  <si>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</si>
  <si>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</si>
  <si>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</si>
  <si>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</si>
  <si>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</si>
  <si>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</si>
  <si>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</si>
  <si>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</si>
  <si>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</si>
  <si>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</si>
  <si>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</si>
  <si>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</si>
  <si>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</si>
  <si>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</si>
  <si>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</si>
  <si>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</si>
  <si>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</si>
  <si>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</si>
  <si>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</si>
  <si>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</si>
  <si>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</si>
  <si>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</si>
  <si>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</si>
  <si>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</si>
  <si>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</si>
  <si>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</si>
  <si>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</si>
  <si>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</si>
  <si>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</si>
  <si>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</si>
  <si>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</si>
  <si>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</si>
  <si>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</si>
  <si>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</si>
  <si>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</si>
  <si>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</si>
  <si>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</si>
  <si>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</si>
  <si>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</si>
  <si>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</si>
  <si>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</si>
  <si>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</si>
  <si>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</si>
  <si>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</si>
  <si>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</si>
  <si>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</si>
  <si>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</si>
  <si>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</si>
  <si>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</si>
  <si>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</si>
  <si>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</si>
  <si>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</si>
  <si>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</si>
  <si>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</si>
  <si>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</si>
  <si>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</si>
  <si>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</si>
  <si>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</si>
  <si>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</si>
  <si>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</si>
  <si>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</si>
  <si>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</si>
  <si>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</si>
  <si>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</si>
  <si>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</si>
  <si>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</si>
  <si>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</si>
  <si>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</si>
  <si>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</si>
  <si>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</si>
  <si>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</si>
  <si>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</si>
  <si>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</si>
  <si>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</si>
  <si>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</si>
  <si>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</si>
  <si>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</si>
  <si>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</si>
  <si>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</si>
  <si>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</si>
  <si>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</si>
  <si>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</si>
  <si>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</si>
  <si>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</si>
  <si>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</si>
  <si>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</si>
  <si>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</si>
  <si>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</si>
  <si>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</si>
  <si>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</si>
  <si>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</si>
  <si>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</si>
  <si>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</si>
  <si>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</si>
  <si>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</si>
  <si>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</si>
  <si>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</si>
  <si>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</si>
  <si>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</si>
  <si>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</si>
  <si>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</si>
  <si>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</si>
  <si>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</si>
  <si>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</si>
  <si>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</si>
  <si>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</si>
  <si>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</si>
  <si>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</si>
  <si>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</si>
  <si>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</si>
  <si>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</si>
  <si>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</si>
  <si>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</si>
  <si>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</si>
  <si>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</si>
  <si>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</si>
  <si>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</si>
  <si>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</si>
  <si>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</si>
  <si>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</si>
  <si>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</si>
  <si>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</si>
  <si>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</si>
  <si>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</si>
  <si>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</si>
  <si>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</si>
  <si>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</si>
  <si>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</si>
  <si>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</si>
  <si>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</si>
  <si>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</si>
  <si>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</si>
  <si>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</si>
  <si>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</si>
  <si>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</si>
  <si>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</si>
  <si>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</si>
  <si>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</si>
  <si>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</si>
  <si>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</si>
  <si>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</si>
  <si>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</si>
  <si>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</si>
  <si>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</si>
  <si>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</si>
  <si>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</si>
  <si>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</si>
  <si>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</si>
  <si>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</si>
  <si>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</si>
  <si>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</si>
  <si>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</si>
  <si>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</si>
  <si>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</si>
  <si>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</si>
  <si>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</si>
  <si>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</si>
  <si>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</si>
  <si>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</si>
  <si>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</si>
  <si>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</si>
  <si>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</si>
  <si>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</si>
  <si>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</si>
  <si>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</si>
  <si>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</si>
  <si>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</si>
  <si>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</si>
  <si>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</si>
  <si>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</si>
  <si>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</si>
  <si>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</si>
  <si>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</si>
  <si>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</si>
  <si>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</si>
  <si>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</si>
  <si>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</si>
  <si>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</si>
  <si>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</si>
  <si>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</si>
  <si>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</si>
  <si>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</si>
  <si>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</si>
  <si>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</si>
  <si>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</si>
  <si>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</si>
  <si>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</si>
  <si>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</si>
  <si>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</si>
  <si>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</si>
  <si>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</si>
  <si>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</si>
  <si>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</si>
  <si>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</si>
  <si>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</si>
  <si>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</si>
  <si>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</si>
  <si>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</si>
  <si>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</si>
  <si>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</si>
  <si>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</si>
  <si>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</si>
  <si>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</si>
  <si>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</si>
  <si>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</si>
  <si>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</si>
  <si>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</si>
  <si>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</si>
  <si>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</si>
  <si>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</si>
  <si>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</si>
  <si>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</si>
  <si>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</si>
  <si>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</si>
  <si>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</si>
  <si>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</si>
  <si>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</si>
  <si>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</si>
  <si>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</si>
  <si>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</si>
  <si>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</si>
  <si>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</si>
  <si>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</si>
  <si>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</si>
  <si>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</si>
  <si>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</si>
  <si>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</si>
  <si>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</si>
  <si>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</si>
  <si>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</si>
  <si>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</si>
  <si>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</si>
  <si>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</si>
  <si>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</si>
  <si>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</si>
  <si>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</si>
  <si>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</si>
  <si>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</si>
  <si>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</si>
  <si>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</si>
  <si>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</si>
  <si>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</si>
  <si>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</si>
  <si>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</si>
  <si>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</si>
  <si>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</si>
  <si>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</si>
  <si>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</si>
  <si>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</si>
  <si>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</si>
  <si>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</si>
  <si>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</si>
  <si>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</si>
  <si>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</si>
  <si>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</si>
  <si>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</si>
  <si>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</si>
  <si>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</si>
  <si>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</si>
  <si>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</si>
  <si>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</si>
  <si>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</si>
  <si>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</si>
  <si>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</si>
  <si>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</si>
  <si>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</si>
  <si>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</si>
  <si>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</si>
  <si>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</si>
  <si>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</si>
  <si>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</si>
  <si>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</si>
  <si>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</si>
  <si>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</si>
  <si>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</si>
  <si>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</si>
  <si>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</si>
  <si>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</si>
  <si>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</si>
  <si>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</si>
  <si>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</si>
  <si>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</si>
  <si>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</si>
  <si>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</si>
  <si>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</si>
  <si>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</si>
  <si>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</si>
  <si>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</si>
  <si>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</si>
  <si>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</si>
  <si>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</si>
  <si>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</si>
  <si>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</si>
  <si>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</si>
  <si>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</si>
  <si>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</si>
  <si>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</si>
  <si>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</si>
  <si>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</si>
  <si>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</si>
  <si>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</si>
  <si>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</si>
  <si>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</si>
  <si>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</si>
  <si>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</si>
  <si>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</si>
  <si>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</si>
  <si>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</si>
  <si>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</si>
  <si>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</si>
  <si>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</si>
  <si>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</si>
  <si>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</si>
  <si>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</si>
  <si>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</si>
  <si>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</si>
  <si>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</si>
  <si>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</si>
  <si>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</si>
  <si>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</si>
  <si>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</si>
  <si>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</si>
  <si>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</si>
  <si>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</si>
  <si>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</si>
  <si>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</si>
  <si>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</si>
  <si>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</si>
  <si>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</si>
  <si>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</si>
  <si>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</si>
  <si>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</si>
  <si>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</si>
  <si>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</si>
  <si>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</si>
  <si>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</si>
  <si>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</si>
  <si>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</si>
  <si>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</si>
  <si>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</si>
  <si>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</si>
  <si>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</si>
  <si>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</si>
  <si>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</si>
  <si>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</si>
  <si>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</si>
  <si>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</si>
  <si>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</si>
  <si>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</si>
  <si>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</si>
  <si>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</si>
  <si>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</si>
  <si>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</si>
  <si>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</si>
  <si>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</si>
  <si>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</si>
  <si>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</si>
  <si>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</si>
  <si>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</si>
  <si>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</si>
  <si>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</si>
  <si>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</si>
  <si>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</si>
  <si>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</si>
  <si>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</si>
  <si>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</si>
  <si>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</si>
  <si>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</si>
  <si>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</si>
  <si>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</si>
  <si>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</si>
  <si>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</si>
  <si>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</si>
  <si>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</si>
  <si>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</si>
  <si>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</si>
  <si>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</si>
  <si>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</si>
  <si>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</si>
  <si>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</si>
  <si>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</si>
  <si>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</si>
  <si>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</si>
  <si>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</si>
  <si>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</si>
  <si>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</si>
  <si>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</si>
  <si>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</si>
  <si>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</si>
  <si>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</si>
  <si>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</si>
  <si>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</si>
  <si>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</si>
  <si>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</si>
  <si>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</si>
  <si>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</si>
  <si>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</si>
  <si>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</si>
  <si>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</si>
  <si>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</si>
  <si>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</si>
  <si>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</si>
  <si>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</si>
  <si>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</si>
  <si>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</si>
  <si>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</si>
  <si>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</si>
  <si>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</si>
  <si>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</si>
  <si>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</si>
  <si>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</si>
  <si>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</si>
  <si>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</si>
  <si>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</si>
  <si>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</si>
  <si>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</si>
  <si>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</si>
  <si>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</si>
  <si>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</si>
  <si>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</si>
  <si>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</si>
  <si>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</si>
  <si>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</si>
  <si>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</si>
  <si>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</si>
  <si>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</si>
  <si>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</si>
  <si>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</si>
  <si>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</si>
  <si>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</si>
  <si>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</si>
  <si>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</si>
  <si>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</si>
  <si>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</si>
  <si>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</si>
  <si>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</si>
  <si>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</si>
  <si>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</si>
  <si>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</si>
  <si>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</si>
  <si>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</si>
  <si>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</si>
  <si>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</si>
  <si>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</si>
  <si>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</si>
  <si>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</si>
  <si>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</si>
  <si>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</si>
  <si>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</si>
  <si>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</si>
  <si>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</si>
  <si>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</si>
  <si>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</si>
  <si>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</si>
  <si>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</si>
  <si>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</si>
  <si>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</si>
  <si>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</si>
  <si>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</si>
  <si>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</si>
  <si>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</si>
  <si>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</si>
  <si>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</si>
  <si>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</si>
  <si>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</si>
  <si>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</si>
  <si>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</si>
  <si>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</si>
  <si>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</si>
  <si>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</si>
  <si>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</si>
  <si>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</si>
  <si>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</si>
  <si>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</si>
  <si>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</si>
  <si>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</si>
  <si>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</si>
  <si>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</si>
  <si>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</si>
  <si>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</si>
  <si>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</si>
  <si>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</si>
  <si>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</si>
  <si>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</si>
  <si>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</si>
  <si>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</si>
  <si>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</si>
  <si>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</si>
  <si>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</si>
  <si>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</si>
  <si>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</si>
  <si>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</si>
  <si>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</si>
  <si>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</si>
  <si>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</si>
  <si>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</si>
  <si>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</si>
  <si>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</si>
  <si>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</si>
  <si>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</si>
  <si>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</si>
  <si>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</si>
  <si>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</si>
  <si>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</si>
  <si>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</si>
  <si>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</si>
  <si>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</si>
  <si>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</si>
  <si>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</si>
  <si>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</si>
  <si>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</si>
  <si>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</si>
  <si>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</si>
  <si>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</si>
  <si>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</si>
  <si>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</si>
  <si>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</si>
  <si>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</si>
  <si>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</si>
  <si>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</si>
  <si>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</si>
  <si>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</si>
  <si>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</si>
  <si>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</si>
  <si>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</si>
  <si>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</si>
  <si>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</si>
  <si>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</si>
  <si>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</si>
  <si>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</si>
  <si>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</si>
  <si>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</si>
  <si>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</si>
  <si>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</si>
  <si>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</si>
  <si>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</si>
  <si>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</si>
  <si>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</si>
  <si>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</si>
  <si>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</si>
  <si>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</si>
  <si>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</si>
  <si>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</si>
  <si>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</si>
  <si>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</si>
  <si>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</si>
  <si>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</si>
  <si>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</si>
  <si>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</si>
  <si>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</si>
  <si>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</si>
  <si>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</si>
  <si>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</si>
  <si>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</si>
  <si>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</si>
  <si>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</si>
  <si>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</si>
  <si>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</si>
  <si>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</si>
  <si>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</si>
  <si>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</si>
  <si>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</si>
  <si>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</si>
  <si>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</si>
  <si>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</si>
  <si>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</si>
  <si>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</si>
  <si>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</si>
  <si>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</si>
  <si>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</si>
  <si>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</si>
  <si>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</si>
  <si>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</si>
  <si>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</si>
  <si>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</si>
  <si>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</si>
  <si>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</si>
  <si>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</si>
  <si>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</si>
  <si>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</si>
  <si>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</si>
  <si>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</si>
  <si>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</si>
  <si>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</si>
  <si>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</si>
  <si>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</si>
  <si>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</si>
  <si>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</si>
  <si>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</si>
  <si>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</si>
  <si>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</si>
  <si>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</si>
  <si>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</si>
  <si>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</si>
  <si>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</si>
  <si>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</si>
  <si>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</si>
  <si>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</si>
  <si>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</si>
  <si>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</si>
  <si>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</si>
  <si>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</si>
  <si>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</si>
  <si>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</si>
  <si>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</si>
  <si>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</si>
  <si>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</si>
  <si>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</si>
  <si>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</si>
  <si>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</si>
  <si>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</si>
  <si>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</si>
  <si>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</si>
  <si>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</si>
  <si>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</si>
  <si>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</si>
  <si>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</si>
  <si>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</si>
  <si>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</si>
  <si>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</si>
  <si>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</si>
  <si>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</si>
  <si>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</si>
  <si>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</si>
  <si>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</si>
  <si>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</si>
  <si>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</si>
  <si>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</si>
  <si>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</si>
  <si>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</si>
  <si>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</si>
  <si>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</si>
  <si>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</si>
  <si>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</si>
  <si>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</si>
  <si>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</si>
  <si>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</si>
  <si>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</si>
  <si>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</si>
  <si>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</si>
  <si>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</si>
  <si>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</si>
  <si>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</si>
  <si>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</si>
  <si>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</si>
  <si>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</si>
  <si>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</si>
  <si>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</si>
  <si>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</si>
  <si>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</si>
  <si>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</si>
  <si>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</si>
  <si>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</si>
  <si>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</si>
  <si>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</si>
  <si>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</si>
  <si>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</si>
  <si>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</si>
  <si>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</si>
  <si>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</si>
  <si>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</si>
  <si>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</si>
  <si>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</si>
  <si>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</si>
  <si>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</si>
  <si>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</si>
  <si>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</si>
  <si>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</si>
  <si>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</si>
  <si>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</si>
  <si>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</si>
  <si>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</si>
  <si>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</si>
  <si>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</si>
  <si>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</si>
  <si>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</si>
  <si>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</si>
  <si>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</si>
  <si>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</si>
  <si>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</si>
  <si>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</si>
  <si>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</si>
  <si>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</si>
  <si>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</si>
  <si>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</si>
  <si>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</si>
  <si>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</si>
  <si>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</si>
  <si>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</si>
  <si>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</si>
  <si>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</si>
  <si>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</si>
  <si>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</si>
  <si>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</si>
  <si>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</si>
  <si>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</si>
  <si>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</si>
  <si>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</si>
  <si>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</si>
  <si>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</si>
  <si>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</si>
  <si>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</si>
  <si>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</si>
  <si>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</si>
  <si>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</si>
  <si>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</si>
  <si>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</si>
  <si>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</si>
  <si>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</si>
  <si>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</si>
  <si>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</si>
  <si>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</si>
  <si>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</si>
  <si>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</si>
  <si>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</si>
  <si>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</si>
  <si>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</si>
  <si>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</si>
  <si>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</si>
  <si>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</si>
  <si>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</si>
  <si>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</si>
  <si>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</si>
  <si>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</si>
  <si>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</si>
  <si>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</si>
  <si>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</si>
  <si>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</si>
  <si>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</si>
  <si>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</si>
  <si>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</si>
  <si>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</si>
  <si>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</si>
  <si>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</si>
  <si>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</si>
  <si>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</si>
  <si>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</si>
  <si>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</si>
  <si>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</si>
  <si>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</si>
  <si>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</si>
  <si>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</si>
  <si>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</si>
  <si>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</si>
  <si>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</si>
  <si>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</si>
  <si>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</si>
  <si>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</si>
  <si>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</si>
  <si>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</si>
  <si>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</si>
  <si>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</si>
  <si>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</si>
  <si>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</si>
  <si>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</si>
  <si>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</si>
  <si>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</si>
  <si>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</si>
  <si>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</si>
  <si>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</si>
  <si>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</si>
  <si>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</si>
  <si>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</si>
  <si>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</si>
  <si>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</si>
  <si>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</si>
  <si>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</si>
  <si>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</si>
  <si>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</si>
  <si>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</si>
  <si>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</si>
  <si>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</si>
  <si>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</si>
  <si>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</si>
  <si>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</si>
  <si>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</si>
  <si>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</si>
  <si>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</si>
  <si>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</si>
  <si>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</si>
  <si>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</si>
  <si>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</si>
  <si>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</si>
  <si>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</si>
  <si>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</si>
  <si>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</si>
  <si>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</si>
  <si>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</si>
  <si>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</si>
  <si>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</si>
  <si>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</si>
  <si>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</si>
  <si>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</si>
  <si>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</si>
  <si>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</si>
  <si>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</si>
  <si>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</si>
  <si>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</si>
  <si>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</si>
  <si>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</si>
  <si>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</si>
  <si>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</si>
  <si>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</si>
  <si>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</si>
  <si>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</si>
  <si>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</si>
  <si>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</si>
  <si>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</si>
  <si>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</si>
  <si>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</si>
  <si>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</si>
  <si>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</si>
  <si>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</si>
  <si>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</si>
  <si>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</si>
  <si>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</si>
  <si>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</si>
  <si>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</si>
  <si>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</si>
  <si>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</si>
  <si>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</si>
  <si>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</si>
  <si>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</si>
  <si>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</si>
  <si>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</si>
  <si>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</si>
  <si>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</si>
  <si>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</si>
  <si>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</si>
  <si>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</si>
  <si>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</si>
  <si>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</si>
  <si>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</si>
  <si>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</si>
  <si>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</si>
  <si>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</si>
  <si>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</si>
  <si>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</si>
  <si>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</si>
  <si>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</si>
  <si>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</si>
  <si>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</si>
  <si>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</si>
  <si>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</si>
  <si>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</si>
  <si>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</si>
  <si>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</si>
  <si>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</si>
  <si>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</si>
  <si>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</si>
  <si>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</si>
  <si>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</si>
  <si>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</si>
  <si>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</si>
  <si>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</si>
  <si>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</si>
  <si>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</si>
  <si>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</si>
  <si>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</si>
  <si>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</si>
  <si>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</si>
  <si>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</si>
  <si>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</si>
  <si>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</si>
  <si>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</si>
  <si>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</si>
  <si>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</si>
  <si>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</si>
  <si>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</si>
  <si>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</si>
  <si>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</si>
  <si>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</si>
  <si>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</si>
  <si>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</si>
  <si>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</si>
  <si>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</si>
  <si>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</si>
  <si>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</si>
  <si>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</si>
  <si>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</si>
  <si>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</si>
  <si>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</si>
  <si>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</si>
  <si>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</si>
  <si>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</si>
  <si>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</si>
  <si>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</si>
  <si>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</si>
  <si>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</si>
  <si>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</si>
  <si>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</si>
  <si>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</si>
  <si>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</si>
  <si>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</si>
  <si>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</si>
  <si>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</si>
  <si>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</si>
  <si>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</si>
  <si>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</si>
  <si>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</si>
  <si>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</si>
  <si>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</si>
  <si>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</si>
  <si>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</si>
  <si>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</si>
  <si>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</si>
  <si>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</si>
  <si>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</si>
  <si>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</si>
  <si>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</si>
  <si>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</si>
  <si>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</si>
  <si>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</si>
  <si>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</si>
  <si>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</si>
  <si>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</si>
  <si>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</si>
  <si>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</si>
  <si>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</si>
  <si>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</si>
  <si>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</si>
  <si>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</si>
  <si>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</si>
  <si>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</si>
  <si>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</si>
  <si>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</si>
  <si>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</si>
  <si>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</si>
  <si>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</si>
  <si>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</si>
  <si>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</si>
  <si>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</si>
  <si>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</si>
  <si>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</si>
  <si>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</si>
  <si>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</si>
  <si>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</si>
  <si>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</si>
  <si>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</si>
  <si>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</si>
  <si>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</si>
  <si>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</si>
  <si>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</si>
  <si>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</si>
  <si>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</si>
  <si>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</si>
  <si>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</si>
  <si>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</si>
  <si>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</si>
  <si>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</si>
  <si>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</si>
  <si>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</si>
  <si>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</si>
  <si>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</si>
  <si>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</si>
  <si>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</si>
  <si>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</si>
  <si>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</si>
  <si>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</si>
  <si>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</si>
  <si>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</si>
  <si>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</si>
  <si>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</si>
  <si>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</si>
  <si>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</si>
  <si>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</si>
  <si>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</si>
  <si>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</si>
  <si>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</si>
  <si>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</si>
  <si>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</si>
  <si>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</si>
  <si>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</si>
  <si>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</si>
  <si>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</si>
  <si>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</si>
  <si>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</si>
  <si>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</si>
  <si>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</si>
  <si>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</si>
  <si>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</si>
  <si>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</si>
  <si>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</si>
  <si>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</si>
  <si>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</si>
  <si>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</si>
  <si>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</si>
  <si>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</si>
  <si>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</si>
  <si>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</si>
  <si>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</si>
  <si>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</si>
  <si>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</si>
  <si>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</si>
  <si>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</si>
  <si>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</si>
  <si>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</si>
  <si>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</si>
  <si>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</si>
  <si>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</si>
  <si>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</si>
  <si>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</si>
  <si>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</si>
  <si>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</si>
  <si>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</si>
  <si>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</si>
  <si>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</si>
  <si>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</si>
  <si>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</si>
  <si>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</si>
  <si>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</si>
  <si>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</si>
  <si>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</si>
  <si>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</si>
  <si>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</si>
  <si>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</si>
  <si>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</si>
  <si>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</si>
  <si>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</si>
  <si>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</si>
  <si>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</si>
  <si>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</si>
  <si>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</si>
  <si>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</si>
  <si>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</si>
  <si>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</si>
  <si>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</si>
  <si>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</si>
  <si>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</si>
  <si>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</si>
  <si>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</si>
  <si>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</si>
  <si>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</si>
  <si>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</si>
  <si>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</si>
  <si>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</si>
  <si>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</si>
  <si>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</si>
  <si>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</si>
  <si>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</si>
  <si>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</si>
  <si>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</si>
  <si>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</si>
  <si>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</si>
  <si>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</si>
  <si>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</si>
  <si>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</si>
  <si>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</si>
  <si>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</si>
  <si>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</si>
  <si>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</si>
  <si>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</si>
  <si>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</si>
  <si>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</si>
  <si>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</si>
  <si>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</si>
  <si>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</si>
  <si>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</si>
  <si>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</si>
  <si>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</si>
  <si>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</si>
  <si>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</si>
  <si>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</si>
  <si>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</si>
  <si>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</si>
  <si>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</si>
  <si>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</si>
  <si>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</si>
  <si>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</si>
  <si>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</si>
  <si>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</si>
  <si>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</si>
  <si>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</si>
  <si>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</si>
  <si>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</si>
  <si>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</si>
  <si>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</si>
  <si>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</si>
  <si>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</si>
  <si>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</si>
  <si>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</si>
  <si>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</si>
  <si>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</si>
  <si>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</si>
  <si>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</si>
  <si>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</si>
  <si>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</si>
  <si>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</si>
  <si>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</si>
  <si>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</si>
  <si>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</si>
  <si>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</si>
  <si>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</si>
  <si>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</si>
  <si>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</si>
  <si>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</si>
  <si>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</si>
  <si>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</si>
  <si>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</si>
  <si>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</si>
  <si>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</si>
  <si>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</si>
  <si>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</si>
  <si>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</si>
  <si>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</si>
  <si>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</si>
  <si>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</si>
  <si>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</si>
  <si>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</si>
  <si>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</si>
  <si>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</si>
  <si>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</si>
  <si>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</si>
  <si>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</si>
  <si>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</si>
  <si>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</si>
  <si>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</si>
  <si>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</si>
  <si>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</si>
  <si>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</si>
  <si>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</si>
  <si>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</si>
  <si>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</si>
  <si>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</si>
  <si>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</si>
  <si>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</si>
  <si>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</si>
  <si>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</si>
  <si>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</si>
  <si>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</si>
  <si>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</si>
  <si>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</si>
  <si>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</si>
  <si>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</si>
  <si>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</si>
  <si>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</si>
  <si>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</si>
  <si>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</si>
  <si>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</si>
  <si>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</si>
  <si>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</si>
  <si>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</si>
  <si>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</si>
  <si>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</si>
  <si>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</si>
  <si>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</si>
  <si>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</si>
  <si>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</si>
  <si>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</si>
  <si>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</si>
  <si>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</si>
  <si>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</si>
  <si>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</si>
  <si>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</si>
  <si>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</si>
  <si>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</si>
  <si>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</si>
  <si>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</si>
  <si>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</si>
  <si>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</si>
  <si>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</si>
  <si>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</si>
  <si>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</si>
  <si>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</si>
  <si>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</si>
  <si>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</si>
  <si>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</si>
  <si>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</si>
  <si>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</si>
  <si>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</si>
  <si>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</si>
  <si>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</si>
  <si>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</si>
  <si>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</si>
  <si>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</si>
  <si>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</si>
  <si>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</si>
  <si>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</si>
  <si>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</si>
  <si>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</si>
  <si>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</si>
  <si>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</si>
  <si>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</si>
  <si>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</si>
  <si>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</si>
  <si>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</si>
  <si>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</si>
  <si>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</si>
  <si>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</si>
  <si>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</si>
  <si>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</si>
  <si>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</si>
  <si>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</si>
  <si>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</si>
  <si>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</si>
  <si>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</si>
  <si>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</si>
  <si>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</si>
  <si>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</si>
  <si>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</si>
  <si>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</si>
  <si>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</si>
  <si>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</si>
  <si>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</si>
  <si>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</si>
  <si>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</si>
  <si>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</si>
  <si>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</si>
  <si>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</si>
  <si>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</si>
  <si>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</si>
  <si>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</si>
  <si>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</si>
  <si>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</si>
  <si>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</si>
  <si>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</si>
  <si>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</si>
  <si>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</si>
  <si>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</si>
  <si>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</si>
  <si>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</si>
  <si>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</si>
  <si>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</si>
  <si>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</si>
  <si>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</si>
  <si>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</si>
  <si>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</si>
  <si>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</si>
  <si>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</si>
  <si>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</si>
  <si>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</si>
  <si>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</si>
  <si>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</si>
  <si>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</si>
  <si>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</si>
  <si>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</si>
  <si>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</si>
  <si>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</si>
  <si>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</si>
  <si>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</si>
  <si>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</si>
  <si>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</si>
  <si>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</si>
  <si>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</si>
  <si>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</si>
  <si>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</si>
  <si>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</si>
  <si>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</si>
  <si>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</si>
  <si>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</si>
  <si>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</si>
  <si>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</si>
  <si>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</si>
  <si>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</si>
  <si>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</si>
  <si>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</si>
  <si>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</si>
  <si>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</si>
  <si>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</si>
  <si>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</si>
  <si>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</si>
  <si>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</si>
  <si>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</si>
  <si>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</si>
  <si>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</si>
  <si>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</si>
  <si>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</si>
  <si>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</si>
  <si>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</si>
  <si>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</si>
  <si>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</si>
  <si>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</si>
  <si>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</si>
  <si>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</si>
  <si>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</si>
  <si>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</si>
  <si>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</si>
  <si>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</si>
  <si>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</si>
  <si>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</si>
  <si>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</si>
  <si>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</si>
  <si>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</si>
  <si>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</si>
  <si>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</si>
  <si>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</si>
  <si>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</si>
  <si>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</si>
  <si>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</si>
  <si>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</si>
  <si>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</si>
  <si>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</si>
  <si>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</si>
  <si>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</si>
  <si>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</si>
  <si>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</si>
  <si>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</si>
  <si>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</si>
  <si>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</si>
  <si>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</si>
  <si>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</si>
  <si>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</si>
  <si>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</si>
  <si>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</si>
  <si>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</si>
  <si>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</si>
  <si>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</si>
  <si>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</si>
  <si>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</si>
  <si>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</si>
  <si>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</si>
  <si>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</si>
  <si>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</si>
  <si>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</si>
  <si>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</si>
  <si>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</si>
  <si>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</si>
  <si>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</si>
  <si>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</si>
  <si>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</si>
  <si>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</si>
  <si>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</si>
  <si>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</si>
  <si>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</si>
  <si>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</si>
  <si>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</si>
  <si>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</si>
  <si>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</si>
  <si>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</si>
  <si>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</si>
  <si>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</si>
  <si>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</si>
  <si>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</si>
  <si>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</si>
  <si>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</si>
  <si>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</si>
  <si>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</si>
  <si>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</si>
  <si>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</si>
  <si>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</si>
  <si>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</si>
  <si>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</si>
  <si>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</si>
  <si>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</si>
  <si>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</si>
  <si>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</si>
  <si>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</si>
  <si>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</si>
  <si>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</si>
  <si>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</si>
  <si>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</si>
  <si>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</si>
  <si>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</si>
  <si>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</si>
  <si>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</si>
  <si>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</si>
  <si>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</si>
  <si>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</si>
  <si>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</si>
  <si>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</si>
  <si>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</si>
  <si>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</si>
  <si>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</si>
  <si>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</si>
  <si>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</si>
  <si>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</si>
  <si>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</si>
  <si>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</si>
  <si>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</si>
  <si>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</si>
  <si>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</si>
  <si>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</si>
  <si>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</si>
  <si>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</si>
  <si>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</si>
  <si>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</si>
  <si>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</si>
  <si>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</si>
  <si>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</si>
  <si>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</si>
  <si>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</si>
  <si>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</si>
  <si>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</si>
  <si>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</si>
  <si>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</si>
  <si>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</si>
  <si>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</si>
  <si>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</si>
  <si>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</si>
  <si>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</si>
  <si>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</si>
  <si>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</si>
  <si>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</si>
  <si>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</si>
  <si>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</si>
  <si>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</si>
  <si>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</si>
  <si>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</si>
  <si>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</si>
  <si>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</si>
  <si>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</si>
  <si>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</si>
  <si>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</si>
  <si>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</si>
  <si>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</si>
  <si>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</si>
  <si>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</si>
  <si>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</si>
  <si>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</si>
  <si>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</si>
  <si>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</si>
  <si>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</si>
  <si>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</si>
  <si>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</si>
  <si>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</si>
  <si>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</si>
  <si>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</si>
  <si>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</si>
  <si>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</si>
  <si>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</si>
  <si>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</si>
  <si>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</si>
  <si>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</si>
  <si>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</si>
  <si>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</si>
  <si>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</si>
  <si>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</si>
  <si>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</si>
  <si>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</si>
  <si>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</si>
  <si>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</si>
  <si>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</si>
  <si>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</si>
  <si>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</si>
  <si>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</si>
  <si>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</si>
  <si>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</si>
  <si>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</si>
  <si>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</si>
  <si>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</si>
  <si>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</si>
  <si>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</si>
  <si>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</si>
  <si>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</si>
  <si>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</si>
  <si>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</si>
  <si>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</si>
  <si>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</si>
  <si>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</si>
  <si>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</si>
  <si>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</si>
  <si>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</si>
  <si>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</si>
  <si>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</si>
  <si>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</si>
  <si>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</si>
  <si>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</si>
  <si>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</si>
  <si>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</si>
  <si>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</si>
  <si>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</si>
  <si>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</si>
  <si>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</si>
  <si>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</si>
  <si>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</si>
  <si>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</si>
  <si>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</si>
  <si>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</si>
  <si>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</si>
  <si>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</si>
  <si>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</si>
  <si>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</si>
  <si>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</si>
  <si>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</si>
  <si>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</si>
  <si>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</si>
  <si>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</si>
  <si>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</si>
  <si>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</si>
  <si>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</si>
  <si>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</si>
  <si>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</si>
  <si>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</si>
  <si>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</si>
  <si>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</si>
  <si>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</si>
  <si>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</si>
  <si>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</si>
  <si>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</si>
  <si>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</si>
  <si>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</si>
  <si>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</si>
  <si>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</si>
  <si>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</si>
  <si>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</si>
  <si>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</si>
  <si>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</si>
  <si>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</si>
  <si>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</si>
  <si>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</si>
  <si>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</si>
  <si>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</si>
  <si>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</si>
  <si>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</si>
  <si>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</si>
  <si>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</si>
  <si>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</si>
  <si>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</si>
  <si>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</si>
  <si>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</si>
  <si>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</si>
  <si>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</si>
  <si>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</si>
  <si>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</si>
  <si>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</si>
  <si>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</si>
  <si>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</si>
  <si>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</si>
  <si>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</si>
  <si>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</si>
  <si>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</si>
  <si>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</si>
  <si>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</si>
  <si>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</si>
  <si>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</si>
  <si>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</si>
  <si>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</si>
  <si>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</si>
  <si>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</si>
  <si>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</si>
  <si>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</si>
  <si>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</si>
  <si>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</si>
  <si>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</si>
  <si>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</si>
  <si>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</si>
  <si>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</si>
  <si>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</si>
  <si>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</si>
  <si>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</si>
  <si>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</si>
  <si>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</si>
  <si>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</si>
  <si>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</si>
  <si>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</si>
  <si>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</si>
  <si>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</si>
  <si>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</si>
  <si>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</si>
  <si>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</si>
  <si>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</si>
  <si>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</si>
  <si>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</si>
  <si>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</si>
  <si>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</si>
  <si>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</si>
  <si>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</si>
  <si>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</si>
  <si>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</si>
  <si>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</si>
  <si>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</si>
  <si>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</si>
  <si>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</si>
  <si>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</si>
  <si>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</si>
  <si>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</si>
  <si>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</si>
  <si>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</si>
  <si>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</si>
  <si>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</si>
  <si>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</si>
  <si>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</si>
  <si>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</si>
  <si>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</si>
  <si>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</si>
  <si>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</si>
  <si>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</si>
  <si>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</si>
  <si>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</si>
  <si>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</si>
  <si>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</si>
  <si>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</si>
  <si>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</si>
  <si>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</si>
  <si>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</si>
  <si>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</si>
  <si>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</si>
  <si>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</si>
  <si>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</si>
  <si>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</si>
  <si>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</si>
  <si>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</si>
  <si>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</si>
  <si>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</si>
  <si>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</si>
  <si>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</si>
  <si>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</si>
  <si>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</si>
  <si>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</si>
  <si>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</si>
  <si>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</si>
  <si>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</si>
  <si>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</si>
  <si>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</si>
  <si>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</si>
  <si>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</si>
  <si>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</si>
  <si>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</si>
  <si>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</si>
  <si>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</si>
  <si>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</si>
  <si>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</si>
  <si>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</si>
  <si>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</si>
  <si>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</si>
  <si>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</si>
  <si>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</si>
  <si>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</si>
  <si>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</si>
  <si>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</si>
  <si>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</si>
  <si>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</si>
  <si>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</si>
  <si>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</si>
  <si>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</si>
  <si>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</si>
  <si>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</si>
  <si>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</si>
  <si>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</si>
  <si>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</si>
  <si>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</si>
  <si>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</si>
  <si>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</si>
  <si>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</si>
  <si>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</si>
  <si>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</si>
  <si>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</si>
  <si>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</si>
  <si>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</si>
  <si>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</si>
  <si>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</si>
  <si>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</si>
  <si>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</si>
  <si>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</si>
  <si>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</si>
  <si>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</si>
  <si>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</si>
  <si>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</si>
  <si>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</si>
  <si>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</si>
  <si>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</si>
  <si>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</si>
  <si>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</si>
  <si>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</si>
  <si>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</si>
  <si>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</si>
  <si>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</si>
  <si>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</si>
  <si>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</si>
  <si>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</si>
  <si>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</si>
  <si>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</si>
  <si>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</si>
  <si>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</si>
  <si>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</si>
  <si>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</si>
  <si>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</si>
  <si>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</si>
  <si>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</si>
  <si>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</si>
  <si>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</si>
  <si>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</si>
  <si>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</si>
  <si>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</si>
  <si>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</si>
  <si>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</si>
  <si>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</si>
  <si>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</si>
  <si>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</si>
  <si>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</si>
  <si>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</si>
  <si>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</si>
  <si>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</si>
  <si>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</si>
  <si>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</si>
  <si>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</si>
  <si>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</si>
  <si>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</si>
  <si>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</si>
  <si>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</si>
  <si>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</si>
  <si>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</si>
  <si>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</si>
  <si>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</si>
  <si>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</si>
  <si>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</si>
  <si>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</si>
  <si>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</si>
  <si>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</si>
  <si>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</si>
  <si>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</si>
  <si>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</si>
  <si>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</si>
  <si>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</si>
  <si>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</si>
  <si>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</si>
  <si>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</si>
  <si>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</si>
  <si>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</si>
  <si>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</si>
  <si>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</si>
  <si>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</si>
  <si>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</si>
  <si>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</si>
  <si>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</si>
  <si>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</si>
  <si>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</si>
  <si>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</si>
  <si>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</si>
  <si>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</si>
  <si>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</si>
  <si>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</si>
  <si>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</si>
  <si>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</si>
  <si>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</si>
  <si>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</si>
  <si>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</si>
  <si>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</si>
  <si>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</si>
  <si>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</si>
  <si>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</si>
  <si>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</si>
  <si>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</si>
  <si>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</si>
  <si>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</si>
  <si>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</si>
  <si>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</si>
  <si>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</si>
  <si>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</si>
  <si>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</si>
  <si>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</si>
  <si>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</si>
  <si>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</si>
  <si>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</si>
  <si>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</si>
  <si>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</si>
  <si>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</si>
  <si>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</si>
  <si>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</si>
  <si>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</si>
  <si>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</si>
  <si>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</si>
  <si>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</si>
  <si>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</si>
  <si>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</si>
  <si>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</si>
  <si>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</si>
  <si>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</si>
  <si>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</si>
  <si>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</si>
  <si>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</si>
  <si>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</si>
  <si>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</si>
  <si>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</si>
  <si>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</si>
  <si>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</si>
  <si>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</si>
  <si>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</si>
  <si>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</si>
  <si>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</si>
  <si>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</si>
  <si>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</si>
  <si>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</si>
  <si>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</si>
  <si>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</si>
  <si>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</si>
  <si>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</si>
  <si>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</si>
  <si>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</si>
  <si>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</si>
  <si>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</si>
  <si>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</si>
  <si>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</si>
  <si>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</si>
  <si>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</si>
  <si>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</si>
  <si>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</si>
  <si>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</si>
  <si>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</si>
  <si>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</si>
  <si>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</si>
  <si>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</si>
  <si>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</si>
  <si>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</si>
  <si>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</si>
  <si>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</si>
  <si>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</si>
  <si>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</si>
  <si>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</si>
  <si>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</si>
  <si>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</si>
  <si>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</si>
  <si>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</si>
  <si>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</si>
  <si>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</si>
  <si>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</si>
  <si>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</si>
  <si>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</si>
  <si>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</si>
  <si>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</si>
  <si>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</si>
  <si>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</si>
  <si>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</si>
  <si>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</si>
  <si>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</si>
  <si>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</si>
  <si>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</si>
  <si>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</si>
  <si>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</si>
  <si>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</si>
  <si>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</si>
  <si>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</si>
  <si>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</si>
  <si>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</si>
  <si>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</si>
  <si>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</si>
  <si>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</si>
  <si>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</si>
  <si>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</si>
  <si>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</si>
  <si>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</si>
  <si>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</si>
  <si>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</si>
  <si>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</si>
  <si>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</si>
  <si>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</si>
  <si>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</si>
  <si>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</si>
  <si>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</si>
  <si>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</si>
  <si>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</si>
  <si>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</si>
  <si>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</si>
  <si>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</si>
  <si>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</si>
  <si>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</si>
  <si>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</si>
  <si>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</si>
  <si>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</si>
  <si>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</si>
  <si>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</si>
  <si>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</si>
  <si>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</si>
  <si>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</si>
  <si>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</si>
  <si>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</si>
  <si>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</si>
  <si>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</si>
  <si>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</si>
  <si>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</si>
  <si>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</si>
  <si>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</si>
  <si>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</si>
  <si>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</si>
  <si>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</si>
  <si>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</si>
  <si>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</si>
  <si>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</si>
  <si>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</si>
  <si>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</si>
  <si>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</si>
  <si>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</si>
  <si>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</si>
  <si>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</si>
  <si>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</si>
  <si>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</si>
  <si>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</si>
  <si>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</si>
  <si>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</si>
  <si>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</si>
  <si>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</si>
  <si>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</si>
  <si>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</si>
  <si>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</si>
  <si>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</si>
  <si>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</si>
  <si>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</si>
  <si>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</si>
  <si>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</si>
  <si>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</si>
  <si>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</si>
  <si>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</si>
  <si>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</si>
  <si>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</si>
  <si>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</si>
  <si>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</si>
  <si>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</si>
  <si>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</si>
  <si>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</si>
  <si>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</si>
  <si>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</si>
  <si>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</si>
  <si>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</si>
  <si>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</si>
  <si>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</si>
  <si>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</si>
  <si>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</si>
  <si>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</si>
  <si>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</si>
  <si>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</si>
  <si>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</si>
  <si>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</si>
  <si>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</si>
  <si>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</si>
  <si>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</si>
  <si>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</si>
  <si>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</si>
  <si>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</si>
  <si>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</si>
  <si>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</si>
  <si>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</si>
  <si>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</si>
  <si>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</si>
  <si>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</si>
  <si>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</si>
  <si>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</si>
  <si>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</si>
  <si>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</si>
  <si>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</si>
  <si>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</si>
  <si>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</si>
  <si>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</si>
  <si>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</si>
  <si>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</si>
  <si>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</si>
  <si>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</si>
  <si>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SC+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</si>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</sst>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5" totalsRowShown="0" headerRowDxfId="66" dataDxfId="64" headerRowBorderDxfId="65" tableBorderDxfId="63">
  <autoFilter ref="A1:J2415" xr:uid="{9152E929-B650-4928-A033-F3B04FA1DA9E}"/>
  <sortState xmlns:xlrd2="http://schemas.microsoft.com/office/spreadsheetml/2017/richdata2" ref="A2:J2415">
    <sortCondition ref="D1:D241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5"/>
  <sheetViews>
    <sheetView tabSelected="1" workbookViewId="0">
      <selection activeCell="E10" sqref="E1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6207</v>
      </c>
      <c r="C2" s="1">
        <v>107</v>
      </c>
      <c r="D2" s="1">
        <v>12.6</v>
      </c>
      <c r="E2" s="1"/>
      <c r="F2" s="1">
        <v>368984</v>
      </c>
      <c r="G2" s="3" t="s">
        <v>6208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6209</v>
      </c>
      <c r="B3" s="3" t="s">
        <v>6206</v>
      </c>
      <c r="C3" s="1">
        <v>107</v>
      </c>
      <c r="D3" s="1">
        <v>6.7</v>
      </c>
      <c r="E3" s="1"/>
      <c r="F3" s="1">
        <v>426156</v>
      </c>
      <c r="G3" s="3" t="s">
        <v>6210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6211</v>
      </c>
      <c r="B4" s="3" t="s">
        <v>6212</v>
      </c>
      <c r="C4" s="1">
        <v>107</v>
      </c>
      <c r="D4" s="1">
        <v>7.7</v>
      </c>
      <c r="E4" s="1"/>
      <c r="F4" s="1">
        <v>369033</v>
      </c>
      <c r="G4" s="3" t="s">
        <v>6212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6213</v>
      </c>
      <c r="B5" s="3" t="s">
        <v>6214</v>
      </c>
      <c r="C5" s="1">
        <v>107</v>
      </c>
      <c r="D5" s="1">
        <v>3.9</v>
      </c>
      <c r="E5" s="1"/>
      <c r="F5" s="1">
        <v>370926</v>
      </c>
      <c r="G5" s="3" t="s">
        <v>6215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6218</v>
      </c>
      <c r="B6" s="3" t="s">
        <v>6216</v>
      </c>
      <c r="C6" s="1">
        <v>107</v>
      </c>
      <c r="D6" s="1">
        <v>4.0999999999999996</v>
      </c>
      <c r="E6" s="1"/>
      <c r="F6" s="1">
        <v>427319</v>
      </c>
      <c r="G6" s="3" t="s">
        <v>6217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6219</v>
      </c>
      <c r="B7" s="3" t="s">
        <v>6220</v>
      </c>
      <c r="C7" s="1">
        <v>107</v>
      </c>
      <c r="D7" s="1">
        <v>5.5</v>
      </c>
      <c r="E7" s="1"/>
      <c r="F7" s="1">
        <v>370420</v>
      </c>
      <c r="G7" s="3" t="s">
        <v>6221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6209</v>
      </c>
      <c r="B8" s="3" t="s">
        <v>6206</v>
      </c>
      <c r="C8" s="1">
        <v>107</v>
      </c>
      <c r="D8" s="1">
        <v>6.7</v>
      </c>
      <c r="E8" s="1"/>
      <c r="F8" s="1">
        <v>426156</v>
      </c>
      <c r="G8" s="3" t="s">
        <v>6222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6223</v>
      </c>
      <c r="B9" s="3" t="s">
        <v>6224</v>
      </c>
      <c r="C9" s="1">
        <v>107</v>
      </c>
      <c r="D9" s="1">
        <v>12.5</v>
      </c>
      <c r="E9" s="1"/>
      <c r="F9" s="1">
        <v>440801</v>
      </c>
      <c r="G9" s="3" t="s">
        <v>6225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 t="s">
        <v>524</v>
      </c>
      <c r="B2252" s="3" t="s">
        <v>6207</v>
      </c>
      <c r="C2252" s="1">
        <v>107</v>
      </c>
      <c r="D2252" s="1">
        <v>12.6</v>
      </c>
      <c r="E2252" s="1" t="s">
        <v>6205</v>
      </c>
      <c r="F2252" s="1">
        <v>368984</v>
      </c>
      <c r="G2252" s="3" t="s">
        <v>6208</v>
      </c>
      <c r="H2252" s="12" cm="1">
        <f t="array" ref="H2252">_xlfn.IFS(I2252&lt;197,I2252*1.26,I2252&gt;197,I2252*1.17) + IF(I2252&gt;1000,17,0)</f>
        <v>63.694511999999996</v>
      </c>
      <c r="I2252" s="10">
        <f>($L$1+0.02)*Tabla1[[#This Row],[PRECIO $]]*1.18</f>
        <v>50.551199999999994</v>
      </c>
      <c r="J2252" s="7">
        <f>+Tabla1[[#This Row],[PRECIO EN SOLES]]-Tabla1[[#This Row],[PC]]</f>
        <v>13.143312000000002</v>
      </c>
    </row>
    <row r="2253" spans="1:10" x14ac:dyDescent="0.25">
      <c r="A2253" s="3" t="s">
        <v>6209</v>
      </c>
      <c r="B2253" s="3" t="s">
        <v>6206</v>
      </c>
      <c r="C2253" s="1">
        <v>107</v>
      </c>
      <c r="D2253" s="1">
        <v>6.7</v>
      </c>
      <c r="E2253" s="1" t="s">
        <v>6205</v>
      </c>
      <c r="F2253" s="1">
        <v>426156</v>
      </c>
      <c r="G2253" s="3" t="s">
        <v>6210</v>
      </c>
      <c r="H2253" s="12" cm="1">
        <f t="array" ref="H2253">_xlfn.IFS(I2253&lt;197,I2253*1.26,I2253&gt;197,I2253*1.17) + IF(I2253&gt;1000,17,0)</f>
        <v>33.869304</v>
      </c>
      <c r="I2253" s="10">
        <f>($L$1+0.02)*Tabla1[[#This Row],[PRECIO $]]*1.18</f>
        <v>26.880400000000002</v>
      </c>
      <c r="J2253" s="7">
        <f>+Tabla1[[#This Row],[PRECIO EN SOLES]]-Tabla1[[#This Row],[PC]]</f>
        <v>6.988903999999998</v>
      </c>
    </row>
    <row r="2254" spans="1:10" x14ac:dyDescent="0.25">
      <c r="A2254" s="3" t="s">
        <v>6211</v>
      </c>
      <c r="B2254" s="3" t="s">
        <v>6212</v>
      </c>
      <c r="C2254" s="1">
        <v>107</v>
      </c>
      <c r="D2254" s="1">
        <v>7.7</v>
      </c>
      <c r="E2254" s="1" t="s">
        <v>6205</v>
      </c>
      <c r="F2254" s="1">
        <v>369033</v>
      </c>
      <c r="G2254" s="3" t="s">
        <v>6212</v>
      </c>
      <c r="H2254" s="12" cm="1">
        <f t="array" ref="H2254">_xlfn.IFS(I2254&lt;197,I2254*1.26,I2254&gt;197,I2254*1.17) + IF(I2254&gt;1000,17,0)</f>
        <v>38.924424000000002</v>
      </c>
      <c r="I2254" s="10">
        <f>($L$1+0.02)*Tabla1[[#This Row],[PRECIO $]]*1.18</f>
        <v>30.892399999999999</v>
      </c>
      <c r="J2254" s="7">
        <f>+Tabla1[[#This Row],[PRECIO EN SOLES]]-Tabla1[[#This Row],[PC]]</f>
        <v>8.0320240000000034</v>
      </c>
    </row>
    <row r="2255" spans="1:10" x14ac:dyDescent="0.25">
      <c r="A2255" s="3" t="s">
        <v>6213</v>
      </c>
      <c r="B2255" s="3" t="s">
        <v>6214</v>
      </c>
      <c r="C2255" s="1">
        <v>107</v>
      </c>
      <c r="D2255" s="1">
        <v>3.9</v>
      </c>
      <c r="E2255" s="1" t="s">
        <v>6205</v>
      </c>
      <c r="F2255" s="1">
        <v>370926</v>
      </c>
      <c r="G2255" s="3" t="s">
        <v>6215</v>
      </c>
      <c r="H2255" s="12" cm="1">
        <f t="array" ref="H2255">_xlfn.IFS(I2255&lt;197,I2255*1.26,I2255&gt;197,I2255*1.17) + IF(I2255&gt;1000,17,0)</f>
        <v>19.714967999999999</v>
      </c>
      <c r="I2255" s="10">
        <f>($L$1+0.02)*Tabla1[[#This Row],[PRECIO $]]*1.18</f>
        <v>15.646799999999999</v>
      </c>
      <c r="J2255" s="7">
        <f>+Tabla1[[#This Row],[PRECIO EN SOLES]]-Tabla1[[#This Row],[PC]]</f>
        <v>4.068168</v>
      </c>
    </row>
    <row r="2256" spans="1:10" x14ac:dyDescent="0.25">
      <c r="A2256" s="3" t="s">
        <v>6218</v>
      </c>
      <c r="B2256" s="3" t="s">
        <v>6216</v>
      </c>
      <c r="C2256" s="1">
        <v>107</v>
      </c>
      <c r="D2256" s="1">
        <v>4.0999999999999996</v>
      </c>
      <c r="E2256" s="1" t="s">
        <v>6205</v>
      </c>
      <c r="F2256" s="1">
        <v>427319</v>
      </c>
      <c r="G2256" s="3" t="s">
        <v>6217</v>
      </c>
      <c r="H2256" s="12" cm="1">
        <f t="array" ref="H2256">_xlfn.IFS(I2256&lt;197,I2256*1.26,I2256&gt;197,I2256*1.17) + IF(I2256&gt;1000,17,0)</f>
        <v>20.725991999999998</v>
      </c>
      <c r="I2256" s="10">
        <f>($L$1+0.02)*Tabla1[[#This Row],[PRECIO $]]*1.18</f>
        <v>16.449199999999998</v>
      </c>
      <c r="J2256" s="7">
        <f>+Tabla1[[#This Row],[PRECIO EN SOLES]]-Tabla1[[#This Row],[PC]]</f>
        <v>4.2767920000000004</v>
      </c>
    </row>
    <row r="2257" spans="1:10" x14ac:dyDescent="0.25">
      <c r="A2257" s="3" t="s">
        <v>6219</v>
      </c>
      <c r="B2257" s="3" t="s">
        <v>6220</v>
      </c>
      <c r="C2257" s="1">
        <v>107</v>
      </c>
      <c r="D2257" s="1">
        <v>5.5</v>
      </c>
      <c r="E2257" s="1" t="s">
        <v>6205</v>
      </c>
      <c r="F2257" s="1">
        <v>370420</v>
      </c>
      <c r="G2257" s="3" t="s">
        <v>6221</v>
      </c>
      <c r="H2257" s="12" cm="1">
        <f t="array" ref="H2257">_xlfn.IFS(I2257&lt;197,I2257*1.26,I2257&gt;197,I2257*1.17) + IF(I2257&gt;1000,17,0)</f>
        <v>27.803159999999998</v>
      </c>
      <c r="I2257" s="10">
        <f>($L$1+0.02)*Tabla1[[#This Row],[PRECIO $]]*1.18</f>
        <v>22.065999999999999</v>
      </c>
      <c r="J2257" s="7">
        <f>+Tabla1[[#This Row],[PRECIO EN SOLES]]-Tabla1[[#This Row],[PC]]</f>
        <v>5.7371599999999994</v>
      </c>
    </row>
    <row r="2258" spans="1:10" x14ac:dyDescent="0.25">
      <c r="A2258" s="3" t="s">
        <v>6209</v>
      </c>
      <c r="B2258" s="3" t="s">
        <v>6206</v>
      </c>
      <c r="C2258" s="1">
        <v>107</v>
      </c>
      <c r="D2258" s="1">
        <v>6.7</v>
      </c>
      <c r="E2258" s="1" t="s">
        <v>6205</v>
      </c>
      <c r="F2258" s="1">
        <v>426156</v>
      </c>
      <c r="G2258" s="3" t="s">
        <v>6222</v>
      </c>
      <c r="H2258" s="12" cm="1">
        <f t="array" ref="H2258">_xlfn.IFS(I2258&lt;197,I2258*1.26,I2258&gt;197,I2258*1.17) + IF(I2258&gt;1000,17,0)</f>
        <v>33.869304</v>
      </c>
      <c r="I2258" s="10">
        <f>($L$1+0.02)*Tabla1[[#This Row],[PRECIO $]]*1.18</f>
        <v>26.880400000000002</v>
      </c>
      <c r="J2258" s="7">
        <f>+Tabla1[[#This Row],[PRECIO EN SOLES]]-Tabla1[[#This Row],[PC]]</f>
        <v>6.988903999999998</v>
      </c>
    </row>
    <row r="2259" spans="1:10" x14ac:dyDescent="0.25">
      <c r="A2259" s="3"/>
      <c r="B2259" s="3"/>
      <c r="C2259" s="1">
        <v>107</v>
      </c>
      <c r="D2259" s="1"/>
      <c r="E2259" s="1" t="s">
        <v>6205</v>
      </c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>
        <v>107</v>
      </c>
      <c r="D2260" s="1"/>
      <c r="E2260" s="1" t="s">
        <v>6205</v>
      </c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>
        <v>107</v>
      </c>
      <c r="D2261" s="1"/>
      <c r="E2261" s="1" t="s">
        <v>6205</v>
      </c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>
        <v>107</v>
      </c>
      <c r="D2262" s="1"/>
      <c r="E2262" s="1" t="s">
        <v>6205</v>
      </c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>
        <v>107</v>
      </c>
      <c r="D2263" s="1"/>
      <c r="E2263" s="1" t="s">
        <v>6205</v>
      </c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>
        <v>107</v>
      </c>
      <c r="D2264" s="1"/>
      <c r="E2264" s="1" t="s">
        <v>6205</v>
      </c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  <row r="2406" spans="1:10" x14ac:dyDescent="0.25">
      <c r="A2406" s="3"/>
      <c r="B2406" s="3"/>
      <c r="C2406" s="1"/>
      <c r="D2406" s="1"/>
      <c r="E2406" s="1"/>
      <c r="F2406" s="1"/>
      <c r="G2406" s="3"/>
      <c r="H2406" s="12" cm="1">
        <f t="array" ref="H2406">_xlfn.IFS(I2406&lt;197,I2406*1.26,I2406&gt;197,I2406*1.17) + IF(I2406&gt;1000,17,0)</f>
        <v>0</v>
      </c>
      <c r="I2406" s="10">
        <f>($L$1+0.02)*Tabla1[[#This Row],[PRECIO $]]*1.18</f>
        <v>0</v>
      </c>
      <c r="J2406" s="7">
        <f>+Tabla1[[#This Row],[PRECIO EN SOLES]]-Tabla1[[#This Row],[PC]]</f>
        <v>0</v>
      </c>
    </row>
    <row r="2407" spans="1:10" x14ac:dyDescent="0.25">
      <c r="A2407" s="3"/>
      <c r="B2407" s="3"/>
      <c r="C2407" s="1"/>
      <c r="D2407" s="1"/>
      <c r="E2407" s="1"/>
      <c r="F2407" s="1"/>
      <c r="G2407" s="3"/>
      <c r="H2407" s="12" cm="1">
        <f t="array" ref="H2407">_xlfn.IFS(I2407&lt;197,I2407*1.26,I2407&gt;197,I2407*1.17) + IF(I2407&gt;1000,17,0)</f>
        <v>0</v>
      </c>
      <c r="I2407" s="10">
        <f>($L$1+0.02)*Tabla1[[#This Row],[PRECIO $]]*1.18</f>
        <v>0</v>
      </c>
      <c r="J2407" s="7">
        <f>+Tabla1[[#This Row],[PRECIO EN SOLES]]-Tabla1[[#This Row],[PC]]</f>
        <v>0</v>
      </c>
    </row>
    <row r="2408" spans="1:10" x14ac:dyDescent="0.25">
      <c r="A2408" s="3"/>
      <c r="B2408" s="3"/>
      <c r="C2408" s="1"/>
      <c r="D2408" s="1"/>
      <c r="E2408" s="1"/>
      <c r="F2408" s="1"/>
      <c r="G2408" s="3"/>
      <c r="H2408" s="12" cm="1">
        <f t="array" ref="H2408">_xlfn.IFS(I2408&lt;197,I2408*1.26,I2408&gt;197,I2408*1.17) + IF(I2408&gt;1000,17,0)</f>
        <v>0</v>
      </c>
      <c r="I2408" s="10">
        <f>($L$1+0.02)*Tabla1[[#This Row],[PRECIO $]]*1.18</f>
        <v>0</v>
      </c>
      <c r="J2408" s="7">
        <f>+Tabla1[[#This Row],[PRECIO EN SOLES]]-Tabla1[[#This Row],[PC]]</f>
        <v>0</v>
      </c>
    </row>
    <row r="2409" spans="1:10" x14ac:dyDescent="0.25">
      <c r="A2409" s="3"/>
      <c r="B2409" s="3"/>
      <c r="C2409" s="1"/>
      <c r="D2409" s="1"/>
      <c r="E2409" s="1"/>
      <c r="F2409" s="1"/>
      <c r="G2409" s="3"/>
      <c r="H2409" s="12" cm="1">
        <f t="array" ref="H2409">_xlfn.IFS(I2409&lt;197,I2409*1.26,I2409&gt;197,I2409*1.17) + IF(I2409&gt;1000,17,0)</f>
        <v>0</v>
      </c>
      <c r="I2409" s="10">
        <f>($L$1+0.02)*Tabla1[[#This Row],[PRECIO $]]*1.18</f>
        <v>0</v>
      </c>
      <c r="J2409" s="7">
        <f>+Tabla1[[#This Row],[PRECIO EN SOLES]]-Tabla1[[#This Row],[PC]]</f>
        <v>0</v>
      </c>
    </row>
    <row r="2410" spans="1:10" x14ac:dyDescent="0.25">
      <c r="A2410" s="3"/>
      <c r="B2410" s="3"/>
      <c r="C2410" s="1"/>
      <c r="D2410" s="1"/>
      <c r="E2410" s="1"/>
      <c r="F2410" s="1"/>
      <c r="G2410" s="3"/>
      <c r="H2410" s="12" cm="1">
        <f t="array" ref="H2410">_xlfn.IFS(I2410&lt;197,I2410*1.26,I2410&gt;197,I2410*1.17) + IF(I2410&gt;1000,17,0)</f>
        <v>0</v>
      </c>
      <c r="I2410" s="10">
        <f>($L$1+0.02)*Tabla1[[#This Row],[PRECIO $]]*1.18</f>
        <v>0</v>
      </c>
      <c r="J2410" s="7">
        <f>+Tabla1[[#This Row],[PRECIO EN SOLES]]-Tabla1[[#This Row],[PC]]</f>
        <v>0</v>
      </c>
    </row>
    <row r="2411" spans="1:10" x14ac:dyDescent="0.25">
      <c r="A2411" s="3"/>
      <c r="B2411" s="3"/>
      <c r="C2411" s="1"/>
      <c r="D2411" s="1"/>
      <c r="E2411" s="1"/>
      <c r="F2411" s="1"/>
      <c r="G2411" s="3"/>
      <c r="H2411" s="12" cm="1">
        <f t="array" ref="H2411">_xlfn.IFS(I2411&lt;197,I2411*1.26,I2411&gt;197,I2411*1.17) + IF(I2411&gt;1000,17,0)</f>
        <v>0</v>
      </c>
      <c r="I2411" s="10">
        <f>($L$1+0.02)*Tabla1[[#This Row],[PRECIO $]]*1.18</f>
        <v>0</v>
      </c>
      <c r="J2411" s="7">
        <f>+Tabla1[[#This Row],[PRECIO EN SOLES]]-Tabla1[[#This Row],[PC]]</f>
        <v>0</v>
      </c>
    </row>
    <row r="2412" spans="1:10" x14ac:dyDescent="0.25">
      <c r="A2412" s="3"/>
      <c r="B2412" s="3"/>
      <c r="C2412" s="1"/>
      <c r="D2412" s="1"/>
      <c r="E2412" s="1"/>
      <c r="F2412" s="1"/>
      <c r="G2412" s="3"/>
      <c r="H2412" s="12" cm="1">
        <f t="array" ref="H2412">_xlfn.IFS(I2412&lt;197,I2412*1.26,I2412&gt;197,I2412*1.17) + IF(I2412&gt;1000,17,0)</f>
        <v>0</v>
      </c>
      <c r="I2412" s="10">
        <f>($L$1+0.02)*Tabla1[[#This Row],[PRECIO $]]*1.18</f>
        <v>0</v>
      </c>
      <c r="J2412" s="7">
        <f>+Tabla1[[#This Row],[PRECIO EN SOLES]]-Tabla1[[#This Row],[PC]]</f>
        <v>0</v>
      </c>
    </row>
    <row r="2413" spans="1:10" x14ac:dyDescent="0.25">
      <c r="A2413" s="3"/>
      <c r="B2413" s="3"/>
      <c r="C2413" s="1"/>
      <c r="D2413" s="1"/>
      <c r="E2413" s="1"/>
      <c r="F2413" s="1"/>
      <c r="G2413" s="3"/>
      <c r="H2413" s="12" cm="1">
        <f t="array" ref="H2413">_xlfn.IFS(I2413&lt;197,I2413*1.26,I2413&gt;197,I2413*1.17) + IF(I2413&gt;1000,17,0)</f>
        <v>0</v>
      </c>
      <c r="I2413" s="10">
        <f>($L$1+0.02)*Tabla1[[#This Row],[PRECIO $]]*1.18</f>
        <v>0</v>
      </c>
      <c r="J2413" s="7">
        <f>+Tabla1[[#This Row],[PRECIO EN SOLES]]-Tabla1[[#This Row],[PC]]</f>
        <v>0</v>
      </c>
    </row>
    <row r="2414" spans="1:10" x14ac:dyDescent="0.25">
      <c r="A2414" s="3"/>
      <c r="B2414" s="3"/>
      <c r="C2414" s="1"/>
      <c r="D2414" s="1"/>
      <c r="E2414" s="1"/>
      <c r="F2414" s="1"/>
      <c r="G2414" s="3"/>
      <c r="H2414" s="12" cm="1">
        <f t="array" ref="H2414">_xlfn.IFS(I2414&lt;197,I2414*1.26,I2414&gt;197,I2414*1.17) + IF(I2414&gt;1000,17,0)</f>
        <v>0</v>
      </c>
      <c r="I2414" s="10">
        <f>($L$1+0.02)*Tabla1[[#This Row],[PRECIO $]]*1.18</f>
        <v>0</v>
      </c>
      <c r="J2414" s="7">
        <f>+Tabla1[[#This Row],[PRECIO EN SOLES]]-Tabla1[[#This Row],[PC]]</f>
        <v>0</v>
      </c>
    </row>
    <row r="2415" spans="1:10" x14ac:dyDescent="0.25">
      <c r="A2415" s="3"/>
      <c r="B2415" s="3"/>
      <c r="C2415" s="1"/>
      <c r="D2415" s="1"/>
      <c r="E2415" s="1"/>
      <c r="F2415" s="1"/>
      <c r="G2415" s="3"/>
      <c r="H2415" s="12" cm="1">
        <f t="array" ref="H2415">_xlfn.IFS(I2415&lt;197,I2415*1.26,I2415&gt;197,I2415*1.17) + IF(I2415&gt;1000,17,0)</f>
        <v>0</v>
      </c>
      <c r="I2415" s="10">
        <f>($L$1+0.02)*Tabla1[[#This Row],[PRECIO $]]*1.18</f>
        <v>0</v>
      </c>
      <c r="J241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1" workbookViewId="0">
      <selection activeCell="AO9" sqref="AO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/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334245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/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357672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/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357672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/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363378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363378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363378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363379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363379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368984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369033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370420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370926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>
        <v>379319</v>
      </c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>
        <v>393598</v>
      </c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>
        <v>393598</v>
      </c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>
        <v>421817</v>
      </c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>
        <v>426096</v>
      </c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>
        <v>426156</v>
      </c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>
        <v>426156</v>
      </c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>
        <v>427319</v>
      </c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>
        <v>440801</v>
      </c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>
        <v>440801</v>
      </c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>
        <v>451130</v>
      </c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>
        <v>451520</v>
      </c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>
        <v>452106</v>
      </c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>
        <v>452109</v>
      </c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>
        <v>453743</v>
      </c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>
        <v>477526</v>
      </c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>
        <v>477937</v>
      </c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>
        <v>479907</v>
      </c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>
        <v>479907</v>
      </c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>
        <v>489485</v>
      </c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2026-01-30T17:02:00Z</dcterms:modified>
</cp:coreProperties>
</file>