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5A767608-D8A3-423F-AB4F-F173862C7D8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3" i="1"/>
  <c r="H3" i="1" s="1"/>
  <c r="L4" i="1"/>
  <c r="H4" i="1" s="1"/>
  <c r="L5" i="1"/>
  <c r="H5" i="1" s="1"/>
  <c r="L6" i="1"/>
  <c r="H6" i="1" s="1"/>
  <c r="L7" i="1"/>
  <c r="H7" i="1" s="1"/>
  <c r="L8" i="1"/>
  <c r="H8" i="1" s="1"/>
  <c r="L9" i="1"/>
  <c r="H9" i="1" s="1"/>
  <c r="L10" i="1"/>
  <c r="H10" i="1" s="1"/>
  <c r="L11" i="1"/>
  <c r="H11" i="1" s="1"/>
  <c r="L12" i="1"/>
  <c r="H12" i="1" s="1"/>
  <c r="L13" i="1"/>
  <c r="L14" i="1"/>
  <c r="H14" i="1" s="1"/>
  <c r="L15" i="1"/>
  <c r="H15" i="1" s="1"/>
  <c r="L16" i="1"/>
  <c r="L17" i="1"/>
  <c r="L18" i="1"/>
  <c r="H20" i="1" s="1"/>
  <c r="L19" i="1"/>
  <c r="H21" i="1" s="1"/>
  <c r="L20" i="1"/>
  <c r="H22" i="1" s="1"/>
  <c r="L21" i="1"/>
  <c r="H23" i="1" s="1"/>
  <c r="L22" i="1"/>
  <c r="H24" i="1" s="1"/>
  <c r="L23" i="1"/>
  <c r="H25" i="1" s="1"/>
  <c r="L24" i="1"/>
  <c r="H26" i="1" s="1"/>
  <c r="L25" i="1"/>
  <c r="H27" i="1" s="1"/>
  <c r="L26" i="1"/>
  <c r="H28" i="1" s="1"/>
  <c r="L27" i="1"/>
  <c r="H29" i="1" s="1"/>
  <c r="L28" i="1"/>
  <c r="H30" i="1" s="1"/>
  <c r="L29" i="1"/>
  <c r="H31" i="1" s="1"/>
  <c r="L30" i="1"/>
  <c r="H32" i="1" s="1"/>
  <c r="L31" i="1"/>
  <c r="H33" i="1" s="1"/>
  <c r="L32" i="1"/>
  <c r="H34" i="1" s="1"/>
  <c r="L33" i="1"/>
  <c r="H35" i="1" s="1"/>
  <c r="L34" i="1"/>
  <c r="H36" i="1" s="1"/>
  <c r="L35" i="1"/>
  <c r="H37" i="1" s="1"/>
  <c r="L36" i="1"/>
  <c r="H38" i="1" s="1"/>
  <c r="L37" i="1"/>
  <c r="H39" i="1" s="1"/>
  <c r="L38" i="1"/>
  <c r="H40" i="1" s="1"/>
  <c r="L39" i="1"/>
  <c r="H41" i="1" s="1"/>
  <c r="L40" i="1"/>
  <c r="H42" i="1" s="1"/>
  <c r="L41" i="1"/>
  <c r="H43" i="1" s="1"/>
  <c r="L42" i="1"/>
  <c r="H44" i="1" s="1"/>
  <c r="L43" i="1"/>
  <c r="H45" i="1" s="1"/>
  <c r="L44" i="1"/>
  <c r="H46" i="1" s="1"/>
  <c r="L45" i="1"/>
  <c r="H47" i="1" s="1"/>
  <c r="L46" i="1"/>
  <c r="H48" i="1" s="1"/>
  <c r="L47" i="1"/>
  <c r="H49" i="1" s="1"/>
  <c r="L48" i="1"/>
  <c r="H50" i="1" s="1"/>
  <c r="L49" i="1"/>
  <c r="H51" i="1" s="1"/>
  <c r="L50" i="1"/>
  <c r="H52" i="1" s="1"/>
  <c r="L51" i="1"/>
  <c r="H53" i="1" s="1"/>
  <c r="L52" i="1"/>
  <c r="H54" i="1" s="1"/>
  <c r="L53" i="1"/>
  <c r="H55" i="1" s="1"/>
  <c r="L54" i="1"/>
  <c r="H56" i="1" s="1"/>
  <c r="L55" i="1"/>
  <c r="H57" i="1" s="1"/>
  <c r="L56" i="1"/>
  <c r="H58" i="1" s="1"/>
  <c r="L57" i="1"/>
  <c r="H59" i="1" s="1"/>
  <c r="L58" i="1"/>
  <c r="H60" i="1" s="1"/>
  <c r="L59" i="1"/>
  <c r="H61" i="1" s="1"/>
  <c r="L60" i="1"/>
  <c r="H62" i="1" s="1"/>
  <c r="L61" i="1"/>
  <c r="H63" i="1" s="1"/>
  <c r="L62" i="1"/>
  <c r="H64" i="1" s="1"/>
  <c r="L63" i="1"/>
  <c r="H65" i="1" s="1"/>
  <c r="L64" i="1"/>
  <c r="H66" i="1" s="1"/>
  <c r="L65" i="1"/>
  <c r="H67" i="1" s="1"/>
  <c r="L66" i="1"/>
  <c r="H68" i="1" s="1"/>
  <c r="L67" i="1"/>
  <c r="H69" i="1" s="1"/>
  <c r="L68" i="1"/>
  <c r="H70" i="1" s="1"/>
  <c r="L69" i="1"/>
  <c r="H71" i="1" s="1"/>
  <c r="L70" i="1"/>
  <c r="H72" i="1" s="1"/>
  <c r="L71" i="1"/>
  <c r="H73" i="1" s="1"/>
  <c r="L72" i="1"/>
  <c r="H74" i="1" s="1"/>
  <c r="L73" i="1"/>
  <c r="H75" i="1" s="1"/>
  <c r="L74" i="1"/>
  <c r="H76" i="1" s="1"/>
  <c r="L75" i="1"/>
  <c r="H77" i="1" s="1"/>
  <c r="L76" i="1"/>
  <c r="H78" i="1" s="1"/>
  <c r="L77" i="1"/>
  <c r="H79" i="1" s="1"/>
  <c r="L78" i="1"/>
  <c r="H80" i="1" s="1"/>
  <c r="L79" i="1"/>
  <c r="H81" i="1" s="1"/>
  <c r="L80" i="1"/>
  <c r="H82" i="1" s="1"/>
  <c r="L81" i="1"/>
  <c r="H83" i="1" s="1"/>
  <c r="L82" i="1"/>
  <c r="H84" i="1" s="1"/>
  <c r="L83" i="1"/>
  <c r="H85" i="1" s="1"/>
  <c r="L84" i="1"/>
  <c r="H86" i="1" s="1"/>
  <c r="L85" i="1"/>
  <c r="H87" i="1" s="1"/>
  <c r="L86" i="1"/>
  <c r="H88" i="1" s="1"/>
  <c r="L87" i="1"/>
  <c r="H89" i="1" s="1"/>
  <c r="L88" i="1"/>
  <c r="H90" i="1" s="1"/>
  <c r="L89" i="1"/>
  <c r="H91" i="1" s="1"/>
  <c r="L90" i="1"/>
  <c r="H92" i="1" s="1"/>
  <c r="L91" i="1"/>
  <c r="H93" i="1" s="1"/>
  <c r="L92" i="1"/>
  <c r="H94" i="1" s="1"/>
  <c r="L93" i="1"/>
  <c r="H95" i="1" s="1"/>
  <c r="L94" i="1"/>
  <c r="H96" i="1" s="1"/>
  <c r="L95" i="1"/>
  <c r="H97" i="1" s="1"/>
  <c r="L96" i="1"/>
  <c r="H98" i="1" s="1"/>
  <c r="L97" i="1"/>
  <c r="H99" i="1" s="1"/>
  <c r="L98" i="1"/>
  <c r="H100" i="1" s="1"/>
  <c r="L99" i="1"/>
  <c r="H101" i="1" s="1"/>
  <c r="L100" i="1"/>
  <c r="H102" i="1" s="1"/>
  <c r="L101" i="1"/>
  <c r="H103" i="1" s="1"/>
  <c r="L102" i="1"/>
  <c r="H104" i="1" s="1"/>
  <c r="L103" i="1"/>
  <c r="H105" i="1" s="1"/>
  <c r="L104" i="1"/>
  <c r="H106" i="1" s="1"/>
  <c r="L105" i="1"/>
  <c r="H107" i="1" s="1"/>
  <c r="L106" i="1"/>
  <c r="H108" i="1" s="1"/>
  <c r="L107" i="1"/>
  <c r="H109" i="1" s="1"/>
  <c r="L108" i="1"/>
  <c r="H110" i="1" s="1"/>
  <c r="L109" i="1"/>
  <c r="H111" i="1" s="1"/>
  <c r="L110" i="1"/>
  <c r="H112" i="1" s="1"/>
  <c r="L111" i="1"/>
  <c r="H113" i="1" s="1"/>
  <c r="L112" i="1"/>
  <c r="H114" i="1" s="1"/>
  <c r="L113" i="1"/>
  <c r="H115" i="1" s="1"/>
  <c r="L114" i="1"/>
  <c r="H116" i="1" s="1"/>
  <c r="L115" i="1"/>
  <c r="H117" i="1" s="1"/>
  <c r="L116" i="1"/>
  <c r="H118" i="1" s="1"/>
  <c r="L117" i="1"/>
  <c r="H119" i="1" s="1"/>
  <c r="L118" i="1"/>
  <c r="H120" i="1" s="1"/>
  <c r="L119" i="1"/>
  <c r="H121" i="1" s="1"/>
  <c r="L120" i="1"/>
  <c r="H122" i="1" s="1"/>
  <c r="L121" i="1"/>
  <c r="H123" i="1" s="1"/>
  <c r="L122" i="1"/>
  <c r="H124" i="1" s="1"/>
  <c r="L123" i="1"/>
  <c r="H125" i="1" s="1"/>
  <c r="L124" i="1"/>
  <c r="H126" i="1" s="1"/>
  <c r="L125" i="1"/>
  <c r="H127" i="1" s="1"/>
  <c r="L126" i="1"/>
  <c r="H128" i="1" s="1"/>
  <c r="L127" i="1"/>
  <c r="H129" i="1" s="1"/>
  <c r="L128" i="1"/>
  <c r="H130" i="1" s="1"/>
  <c r="L129" i="1"/>
  <c r="H131" i="1" s="1"/>
  <c r="L130" i="1"/>
  <c r="H132" i="1" s="1"/>
  <c r="L131" i="1"/>
  <c r="H133" i="1" s="1"/>
  <c r="L132" i="1"/>
  <c r="H134" i="1" s="1"/>
  <c r="L133" i="1"/>
  <c r="H135" i="1" s="1"/>
  <c r="L134" i="1"/>
  <c r="H136" i="1" s="1"/>
  <c r="L135" i="1"/>
  <c r="H137" i="1" s="1"/>
  <c r="L136" i="1"/>
  <c r="H138" i="1" s="1"/>
  <c r="L137" i="1"/>
  <c r="H139" i="1" s="1"/>
  <c r="L138" i="1"/>
  <c r="H140" i="1" s="1"/>
  <c r="L139" i="1"/>
  <c r="H141" i="1" s="1"/>
  <c r="L140" i="1"/>
  <c r="H142" i="1" s="1"/>
  <c r="L141" i="1"/>
  <c r="H143" i="1" s="1"/>
  <c r="L142" i="1"/>
  <c r="H144" i="1" s="1"/>
  <c r="L143" i="1"/>
  <c r="H145" i="1" s="1"/>
  <c r="L144" i="1"/>
  <c r="H146" i="1" s="1"/>
  <c r="L145" i="1"/>
  <c r="H147" i="1" s="1"/>
  <c r="L146" i="1"/>
  <c r="H148" i="1" s="1"/>
  <c r="L147" i="1"/>
  <c r="H149" i="1" s="1"/>
  <c r="L148" i="1"/>
  <c r="H150" i="1" s="1"/>
  <c r="L149" i="1"/>
  <c r="H151" i="1" s="1"/>
  <c r="L150" i="1"/>
  <c r="H152" i="1" s="1"/>
  <c r="L151" i="1"/>
  <c r="H153" i="1" s="1"/>
  <c r="L152" i="1"/>
  <c r="H154" i="1" s="1"/>
  <c r="L153" i="1"/>
  <c r="H155" i="1" s="1"/>
  <c r="L154" i="1"/>
  <c r="H156" i="1" s="1"/>
  <c r="L155" i="1"/>
  <c r="H157" i="1" s="1"/>
  <c r="L156" i="1"/>
  <c r="H158" i="1" s="1"/>
  <c r="L157" i="1"/>
  <c r="H159" i="1" s="1"/>
  <c r="L158" i="1"/>
  <c r="H160" i="1" s="1"/>
  <c r="L159" i="1"/>
  <c r="H161" i="1" s="1"/>
  <c r="L160" i="1"/>
  <c r="H162" i="1" s="1"/>
  <c r="L161" i="1"/>
  <c r="H163" i="1" s="1"/>
  <c r="L162" i="1"/>
  <c r="H164" i="1" s="1"/>
  <c r="L163" i="1"/>
  <c r="H165" i="1" s="1"/>
  <c r="L164" i="1"/>
  <c r="H166" i="1" s="1"/>
  <c r="L165" i="1"/>
  <c r="H167" i="1" s="1"/>
  <c r="L166" i="1"/>
  <c r="H168" i="1" s="1"/>
  <c r="L167" i="1"/>
  <c r="H169" i="1" s="1"/>
  <c r="L168" i="1"/>
  <c r="H170" i="1" s="1"/>
  <c r="L169" i="1"/>
  <c r="H171" i="1" s="1"/>
  <c r="L170" i="1"/>
  <c r="H172" i="1" s="1"/>
  <c r="L171" i="1"/>
  <c r="H173" i="1" s="1"/>
  <c r="L172" i="1"/>
  <c r="H174" i="1" s="1"/>
  <c r="L173" i="1"/>
  <c r="H175" i="1" s="1"/>
  <c r="L174" i="1"/>
  <c r="H176" i="1" s="1"/>
  <c r="L175" i="1"/>
  <c r="H177" i="1" s="1"/>
  <c r="L176" i="1"/>
  <c r="H178" i="1" s="1"/>
  <c r="L177" i="1"/>
  <c r="H179" i="1" s="1"/>
  <c r="L178" i="1"/>
  <c r="H180" i="1" s="1"/>
  <c r="L179" i="1"/>
  <c r="H181" i="1" s="1"/>
  <c r="L180" i="1"/>
  <c r="H182" i="1" s="1"/>
  <c r="L181" i="1"/>
  <c r="H183" i="1" s="1"/>
  <c r="L182" i="1"/>
  <c r="H184" i="1" s="1"/>
  <c r="L183" i="1"/>
  <c r="H185" i="1" s="1"/>
  <c r="L184" i="1"/>
  <c r="H186" i="1" s="1"/>
  <c r="L185" i="1"/>
  <c r="H187" i="1" s="1"/>
  <c r="L186" i="1"/>
  <c r="H188" i="1" s="1"/>
  <c r="L187" i="1"/>
  <c r="H189" i="1" s="1"/>
  <c r="L188" i="1"/>
  <c r="H190" i="1" s="1"/>
  <c r="L189" i="1"/>
  <c r="H191" i="1" s="1"/>
  <c r="L190" i="1"/>
  <c r="H192" i="1" s="1"/>
  <c r="L191" i="1"/>
  <c r="H193" i="1" s="1"/>
  <c r="L192" i="1"/>
  <c r="H194" i="1" s="1"/>
  <c r="L193" i="1"/>
  <c r="H195" i="1" s="1"/>
  <c r="L194" i="1"/>
  <c r="H196" i="1" s="1"/>
  <c r="L195" i="1"/>
  <c r="H197" i="1" s="1"/>
  <c r="L196" i="1"/>
  <c r="H198" i="1" s="1"/>
  <c r="L197" i="1"/>
  <c r="H199" i="1" s="1"/>
  <c r="L198" i="1"/>
  <c r="H200" i="1" s="1"/>
  <c r="L199" i="1"/>
  <c r="H201" i="1" s="1"/>
  <c r="L200" i="1"/>
  <c r="H202" i="1" s="1"/>
  <c r="L201" i="1"/>
  <c r="H203" i="1" s="1"/>
  <c r="L202" i="1"/>
  <c r="H204" i="1" s="1"/>
  <c r="L203" i="1"/>
  <c r="H205" i="1" s="1"/>
  <c r="L204" i="1"/>
  <c r="H206" i="1" s="1"/>
  <c r="L205" i="1"/>
  <c r="H207" i="1" s="1"/>
  <c r="L206" i="1"/>
  <c r="H208" i="1" s="1"/>
  <c r="L207" i="1"/>
  <c r="H209" i="1" s="1"/>
  <c r="L208" i="1"/>
  <c r="H210" i="1" s="1"/>
  <c r="L209" i="1"/>
  <c r="H211" i="1" s="1"/>
  <c r="L210" i="1"/>
  <c r="H212" i="1" s="1"/>
  <c r="L211" i="1"/>
  <c r="H213" i="1" s="1"/>
  <c r="L212" i="1"/>
  <c r="H214" i="1" s="1"/>
  <c r="L213" i="1"/>
  <c r="H215" i="1" s="1"/>
  <c r="L214" i="1"/>
  <c r="H216" i="1" s="1"/>
  <c r="L215" i="1"/>
  <c r="H217" i="1" s="1"/>
  <c r="L216" i="1"/>
  <c r="H218" i="1" s="1"/>
  <c r="L217" i="1"/>
  <c r="H219" i="1" s="1"/>
  <c r="L218" i="1"/>
  <c r="H220" i="1" s="1"/>
  <c r="L219" i="1"/>
  <c r="H221" i="1" s="1"/>
  <c r="L220" i="1"/>
  <c r="H222" i="1" s="1"/>
  <c r="L221" i="1"/>
  <c r="H223" i="1" s="1"/>
  <c r="L222" i="1"/>
  <c r="H224" i="1" s="1"/>
  <c r="L223" i="1"/>
  <c r="H225" i="1" s="1"/>
  <c r="L224" i="1"/>
  <c r="H226" i="1" s="1"/>
  <c r="L225" i="1"/>
  <c r="H227" i="1" s="1"/>
  <c r="L226" i="1"/>
  <c r="H228" i="1" s="1"/>
  <c r="L227" i="1"/>
  <c r="H229" i="1" s="1"/>
  <c r="L228" i="1"/>
  <c r="H230" i="1" s="1"/>
  <c r="L229" i="1"/>
  <c r="H231" i="1" s="1"/>
  <c r="L230" i="1"/>
  <c r="H232" i="1" s="1"/>
  <c r="L231" i="1"/>
  <c r="H233" i="1" s="1"/>
  <c r="L232" i="1"/>
  <c r="H234" i="1" s="1"/>
  <c r="L233" i="1"/>
  <c r="H235" i="1" s="1"/>
  <c r="L234" i="1"/>
  <c r="H236" i="1" s="1"/>
  <c r="L235" i="1"/>
  <c r="H237" i="1" s="1"/>
  <c r="L236" i="1"/>
  <c r="H238" i="1" s="1"/>
  <c r="L237" i="1"/>
  <c r="H239" i="1" s="1"/>
  <c r="L238" i="1"/>
  <c r="H240" i="1" s="1"/>
  <c r="L239" i="1"/>
  <c r="H241" i="1" s="1"/>
  <c r="L240" i="1"/>
  <c r="H242" i="1" s="1"/>
  <c r="L241" i="1"/>
  <c r="H243" i="1" s="1"/>
  <c r="L242" i="1"/>
  <c r="H244" i="1" s="1"/>
  <c r="L243" i="1"/>
  <c r="H245" i="1" s="1"/>
  <c r="L244" i="1"/>
  <c r="H246" i="1" s="1"/>
  <c r="L245" i="1"/>
  <c r="H247" i="1" s="1"/>
  <c r="L246" i="1"/>
  <c r="H248" i="1" s="1"/>
  <c r="L247" i="1"/>
  <c r="H249" i="1" s="1"/>
  <c r="L248" i="1"/>
  <c r="H250" i="1" s="1"/>
  <c r="L249" i="1"/>
  <c r="H251" i="1" s="1"/>
  <c r="L250" i="1"/>
  <c r="H252" i="1" s="1"/>
  <c r="L251" i="1"/>
  <c r="H253" i="1" s="1"/>
  <c r="L252" i="1"/>
  <c r="H254" i="1" s="1"/>
  <c r="L253" i="1"/>
  <c r="H255" i="1" s="1"/>
  <c r="L254" i="1"/>
  <c r="H256" i="1" s="1"/>
  <c r="L255" i="1"/>
  <c r="H257" i="1" s="1"/>
  <c r="L256" i="1"/>
  <c r="H258" i="1" s="1"/>
  <c r="L257" i="1"/>
  <c r="H259" i="1" s="1"/>
  <c r="L258" i="1"/>
  <c r="H260" i="1" s="1"/>
  <c r="L259" i="1"/>
  <c r="H261" i="1" s="1"/>
  <c r="L260" i="1"/>
  <c r="H262" i="1" s="1"/>
  <c r="L261" i="1"/>
  <c r="H263" i="1" s="1"/>
  <c r="L262" i="1"/>
  <c r="H264" i="1" s="1"/>
  <c r="L263" i="1"/>
  <c r="H265" i="1" s="1"/>
  <c r="L264" i="1"/>
  <c r="H266" i="1" s="1"/>
  <c r="L265" i="1"/>
  <c r="H267" i="1" s="1"/>
  <c r="L266" i="1"/>
  <c r="H268" i="1" s="1"/>
  <c r="L267" i="1"/>
  <c r="H269" i="1" s="1"/>
  <c r="L268" i="1"/>
  <c r="H270" i="1" s="1"/>
  <c r="L269" i="1"/>
  <c r="H271" i="1" s="1"/>
  <c r="L270" i="1"/>
  <c r="H272" i="1" s="1"/>
  <c r="L271" i="1"/>
  <c r="H273" i="1" s="1"/>
  <c r="L272" i="1"/>
  <c r="H274" i="1" s="1"/>
  <c r="L273" i="1"/>
  <c r="H275" i="1" s="1"/>
  <c r="L274" i="1"/>
  <c r="H276" i="1" s="1"/>
  <c r="L275" i="1"/>
  <c r="H277" i="1" s="1"/>
  <c r="L276" i="1"/>
  <c r="H278" i="1" s="1"/>
  <c r="L277" i="1"/>
  <c r="H279" i="1" s="1"/>
  <c r="L278" i="1"/>
  <c r="H280" i="1" s="1"/>
  <c r="L279" i="1"/>
  <c r="H281" i="1" s="1"/>
  <c r="L280" i="1"/>
  <c r="H282" i="1" s="1"/>
  <c r="L281" i="1"/>
  <c r="H283" i="1" s="1"/>
  <c r="L282" i="1"/>
  <c r="H284" i="1" s="1"/>
  <c r="L283" i="1"/>
  <c r="H285" i="1" s="1"/>
  <c r="L284" i="1"/>
  <c r="H286" i="1" s="1"/>
  <c r="L285" i="1"/>
  <c r="H287" i="1" s="1"/>
  <c r="L286" i="1"/>
  <c r="H288" i="1" s="1"/>
  <c r="L287" i="1"/>
  <c r="H289" i="1" s="1"/>
  <c r="L288" i="1"/>
  <c r="H290" i="1" s="1"/>
  <c r="L289" i="1"/>
  <c r="H291" i="1" s="1"/>
  <c r="L290" i="1"/>
  <c r="H292" i="1" s="1"/>
  <c r="L291" i="1"/>
  <c r="H293" i="1" s="1"/>
  <c r="L292" i="1"/>
  <c r="H294" i="1" s="1"/>
  <c r="L293" i="1"/>
  <c r="H295" i="1" s="1"/>
  <c r="L294" i="1"/>
  <c r="H296" i="1" s="1"/>
  <c r="L295" i="1"/>
  <c r="H297" i="1" s="1"/>
  <c r="L296" i="1"/>
  <c r="H298" i="1" s="1"/>
  <c r="L297" i="1"/>
  <c r="H299" i="1" s="1"/>
  <c r="L298" i="1"/>
  <c r="H300" i="1" s="1"/>
  <c r="L299" i="1"/>
  <c r="H301" i="1" s="1"/>
  <c r="L300" i="1"/>
  <c r="H302" i="1" s="1"/>
  <c r="L301" i="1"/>
  <c r="H303" i="1" s="1"/>
  <c r="L302" i="1"/>
  <c r="H304" i="1" s="1"/>
  <c r="L303" i="1"/>
  <c r="H305" i="1" s="1"/>
  <c r="L304" i="1"/>
  <c r="H306" i="1" s="1"/>
  <c r="L305" i="1"/>
  <c r="H307" i="1" s="1"/>
  <c r="L306" i="1"/>
  <c r="H308" i="1" s="1"/>
  <c r="L307" i="1"/>
  <c r="H309" i="1" s="1"/>
  <c r="L308" i="1"/>
  <c r="H310" i="1" s="1"/>
  <c r="L309" i="1"/>
  <c r="H311" i="1" s="1"/>
  <c r="L310" i="1"/>
  <c r="H312" i="1" s="1"/>
  <c r="L311" i="1"/>
  <c r="H313" i="1" s="1"/>
  <c r="L312" i="1"/>
  <c r="H314" i="1" s="1"/>
  <c r="L313" i="1"/>
  <c r="H315" i="1" s="1"/>
  <c r="L314" i="1"/>
  <c r="H316" i="1" s="1"/>
  <c r="L315" i="1"/>
  <c r="H317" i="1" s="1"/>
  <c r="L316" i="1"/>
  <c r="H318" i="1" s="1"/>
  <c r="L317" i="1"/>
  <c r="H319" i="1" s="1"/>
  <c r="L318" i="1"/>
  <c r="H320" i="1" s="1"/>
  <c r="L319" i="1"/>
  <c r="H321" i="1" s="1"/>
  <c r="L320" i="1"/>
  <c r="H322" i="1" s="1"/>
  <c r="L321" i="1"/>
  <c r="H323" i="1" s="1"/>
  <c r="L322" i="1"/>
  <c r="H324" i="1" s="1"/>
  <c r="L323" i="1"/>
  <c r="H325" i="1" s="1"/>
  <c r="L324" i="1"/>
  <c r="H326" i="1" s="1"/>
  <c r="L325" i="1"/>
  <c r="H327" i="1" s="1"/>
  <c r="L326" i="1"/>
  <c r="H328" i="1" s="1"/>
  <c r="L327" i="1"/>
  <c r="H329" i="1" s="1"/>
  <c r="L328" i="1"/>
  <c r="H330" i="1" s="1"/>
  <c r="L329" i="1"/>
  <c r="H331" i="1" s="1"/>
  <c r="L330" i="1"/>
  <c r="H332" i="1" s="1"/>
  <c r="L331" i="1"/>
  <c r="H333" i="1" s="1"/>
  <c r="L332" i="1"/>
  <c r="H334" i="1" s="1"/>
  <c r="L333" i="1"/>
  <c r="H335" i="1" s="1"/>
  <c r="L334" i="1"/>
  <c r="H336" i="1" s="1"/>
  <c r="L335" i="1"/>
  <c r="H337" i="1" s="1"/>
  <c r="L336" i="1"/>
  <c r="H338" i="1" s="1"/>
  <c r="L337" i="1"/>
  <c r="H339" i="1" s="1"/>
  <c r="L338" i="1"/>
  <c r="H340" i="1" s="1"/>
  <c r="L339" i="1"/>
  <c r="H341" i="1" s="1"/>
  <c r="L340" i="1"/>
  <c r="H342" i="1" s="1"/>
  <c r="L341" i="1"/>
  <c r="H343" i="1" s="1"/>
  <c r="L342" i="1"/>
  <c r="H344" i="1" s="1"/>
  <c r="L343" i="1"/>
  <c r="H345" i="1" s="1"/>
  <c r="L344" i="1"/>
  <c r="H346" i="1" s="1"/>
  <c r="L345" i="1"/>
  <c r="H347" i="1" s="1"/>
  <c r="L346" i="1"/>
  <c r="H348" i="1" s="1"/>
  <c r="L347" i="1"/>
  <c r="H349" i="1" s="1"/>
  <c r="L348" i="1"/>
  <c r="H350" i="1" s="1"/>
  <c r="L349" i="1"/>
  <c r="H351" i="1" s="1"/>
  <c r="L350" i="1"/>
  <c r="H352" i="1" s="1"/>
  <c r="L351" i="1"/>
  <c r="H353" i="1" s="1"/>
  <c r="L352" i="1"/>
  <c r="H354" i="1" s="1"/>
  <c r="L353" i="1"/>
  <c r="H355" i="1" s="1"/>
  <c r="L354" i="1"/>
  <c r="H356" i="1" s="1"/>
  <c r="L355" i="1"/>
  <c r="H357" i="1" s="1"/>
  <c r="L356" i="1"/>
  <c r="H358" i="1" s="1"/>
  <c r="L357" i="1"/>
  <c r="H359" i="1" s="1"/>
  <c r="L358" i="1"/>
  <c r="H360" i="1" s="1"/>
  <c r="L359" i="1"/>
  <c r="H361" i="1" s="1"/>
  <c r="L360" i="1"/>
  <c r="H362" i="1" s="1"/>
  <c r="L361" i="1"/>
  <c r="H363" i="1" s="1"/>
  <c r="L362" i="1"/>
  <c r="H364" i="1" s="1"/>
  <c r="L363" i="1"/>
  <c r="H365" i="1" s="1"/>
  <c r="L364" i="1"/>
  <c r="H366" i="1" s="1"/>
  <c r="L365" i="1"/>
  <c r="H367" i="1" s="1"/>
  <c r="L366" i="1"/>
  <c r="H368" i="1" s="1"/>
  <c r="L367" i="1"/>
  <c r="H369" i="1" s="1"/>
  <c r="L368" i="1"/>
  <c r="H370" i="1" s="1"/>
  <c r="L369" i="1"/>
  <c r="H371" i="1" s="1"/>
  <c r="L370" i="1"/>
  <c r="H372" i="1" s="1"/>
  <c r="L371" i="1"/>
  <c r="H373" i="1" s="1"/>
  <c r="L372" i="1"/>
  <c r="H374" i="1" s="1"/>
  <c r="L373" i="1"/>
  <c r="H375" i="1" s="1"/>
  <c r="L374" i="1"/>
  <c r="H376" i="1" s="1"/>
  <c r="L375" i="1"/>
  <c r="H377" i="1" s="1"/>
  <c r="L376" i="1"/>
  <c r="H378" i="1" s="1"/>
  <c r="L377" i="1"/>
  <c r="H379" i="1" s="1"/>
  <c r="L378" i="1"/>
  <c r="H380" i="1" s="1"/>
  <c r="L379" i="1"/>
  <c r="H381" i="1" s="1"/>
  <c r="L380" i="1"/>
  <c r="H382" i="1" s="1"/>
  <c r="L381" i="1"/>
  <c r="H383" i="1" s="1"/>
  <c r="L382" i="1"/>
  <c r="H384" i="1" s="1"/>
  <c r="L383" i="1"/>
  <c r="H385" i="1" s="1"/>
  <c r="L384" i="1"/>
  <c r="H386" i="1" s="1"/>
  <c r="L385" i="1"/>
  <c r="H387" i="1" s="1"/>
  <c r="L386" i="1"/>
  <c r="H388" i="1" s="1"/>
  <c r="L387" i="1"/>
  <c r="H389" i="1" s="1"/>
  <c r="L388" i="1"/>
  <c r="H390" i="1" s="1"/>
  <c r="L389" i="1"/>
  <c r="H391" i="1" s="1"/>
  <c r="L390" i="1"/>
  <c r="H392" i="1" s="1"/>
  <c r="L391" i="1"/>
  <c r="H393" i="1" s="1"/>
  <c r="L392" i="1"/>
  <c r="H394" i="1" s="1"/>
  <c r="L393" i="1"/>
  <c r="H395" i="1" s="1"/>
  <c r="L394" i="1"/>
  <c r="H396" i="1" s="1"/>
  <c r="L395" i="1"/>
  <c r="H397" i="1" s="1"/>
  <c r="L396" i="1"/>
  <c r="H398" i="1" s="1"/>
  <c r="L397" i="1"/>
  <c r="H399" i="1" s="1"/>
  <c r="L398" i="1"/>
  <c r="H400" i="1" s="1"/>
  <c r="L399" i="1"/>
  <c r="H401" i="1" s="1"/>
  <c r="L400" i="1"/>
  <c r="H402" i="1" s="1"/>
  <c r="L401" i="1"/>
  <c r="H403" i="1" s="1"/>
  <c r="L402" i="1"/>
  <c r="H404" i="1" s="1"/>
  <c r="L403" i="1"/>
  <c r="H405" i="1" s="1"/>
  <c r="L404" i="1"/>
  <c r="H406" i="1" s="1"/>
  <c r="L405" i="1"/>
  <c r="H407" i="1" s="1"/>
  <c r="L406" i="1"/>
  <c r="H408" i="1" s="1"/>
  <c r="L407" i="1"/>
  <c r="H409" i="1" s="1"/>
  <c r="L408" i="1"/>
  <c r="H410" i="1" s="1"/>
  <c r="L409" i="1"/>
  <c r="H411" i="1" s="1"/>
  <c r="L410" i="1"/>
  <c r="H412" i="1" s="1"/>
  <c r="L411" i="1"/>
  <c r="H413" i="1" s="1"/>
  <c r="L412" i="1"/>
  <c r="H414" i="1" s="1"/>
  <c r="L413" i="1"/>
  <c r="H415" i="1" s="1"/>
  <c r="L414" i="1"/>
  <c r="H416" i="1" s="1"/>
  <c r="L415" i="1"/>
  <c r="H417" i="1" s="1"/>
  <c r="L416" i="1"/>
  <c r="H418" i="1" s="1"/>
  <c r="L417" i="1"/>
  <c r="H419" i="1" s="1"/>
  <c r="L418" i="1"/>
  <c r="H420" i="1" s="1"/>
  <c r="L419" i="1"/>
  <c r="H421" i="1" s="1"/>
  <c r="L420" i="1"/>
  <c r="H422" i="1" s="1"/>
  <c r="L421" i="1"/>
  <c r="H423" i="1" s="1"/>
  <c r="L422" i="1"/>
  <c r="H424" i="1" s="1"/>
  <c r="L423" i="1"/>
  <c r="H425" i="1" s="1"/>
  <c r="L424" i="1"/>
  <c r="H426" i="1" s="1"/>
  <c r="L425" i="1"/>
  <c r="H427" i="1" s="1"/>
  <c r="L426" i="1"/>
  <c r="H428" i="1" s="1"/>
  <c r="L427" i="1"/>
  <c r="H429" i="1" s="1"/>
  <c r="L428" i="1"/>
  <c r="H430" i="1" s="1"/>
  <c r="L429" i="1"/>
  <c r="H431" i="1" s="1"/>
  <c r="L430" i="1"/>
  <c r="H432" i="1" s="1"/>
  <c r="L431" i="1"/>
  <c r="H433" i="1" s="1"/>
  <c r="L432" i="1"/>
  <c r="H434" i="1" s="1"/>
  <c r="L433" i="1"/>
  <c r="H435" i="1" s="1"/>
  <c r="L434" i="1"/>
  <c r="H436" i="1" s="1"/>
  <c r="L435" i="1"/>
  <c r="H437" i="1" s="1"/>
  <c r="L436" i="1"/>
  <c r="H438" i="1" s="1"/>
  <c r="L437" i="1"/>
  <c r="H439" i="1" s="1"/>
  <c r="L438" i="1"/>
  <c r="H440" i="1" s="1"/>
  <c r="L439" i="1"/>
  <c r="H441" i="1" s="1"/>
  <c r="L440" i="1"/>
  <c r="H442" i="1" s="1"/>
  <c r="L441" i="1"/>
  <c r="H443" i="1" s="1"/>
  <c r="L442" i="1"/>
  <c r="H444" i="1" s="1"/>
  <c r="L443" i="1"/>
  <c r="H445" i="1" s="1"/>
  <c r="L444" i="1"/>
  <c r="H446" i="1" s="1"/>
  <c r="L445" i="1"/>
  <c r="H447" i="1" s="1"/>
  <c r="L446" i="1"/>
  <c r="H448" i="1" s="1"/>
  <c r="L447" i="1"/>
  <c r="H449" i="1" s="1"/>
  <c r="L448" i="1"/>
  <c r="H450" i="1" s="1"/>
  <c r="L449" i="1"/>
  <c r="H451" i="1" s="1"/>
  <c r="L450" i="1"/>
  <c r="H452" i="1" s="1"/>
  <c r="L451" i="1"/>
  <c r="H453" i="1" s="1"/>
  <c r="L452" i="1"/>
  <c r="H454" i="1" s="1"/>
  <c r="L453" i="1"/>
  <c r="H455" i="1" s="1"/>
  <c r="L454" i="1"/>
  <c r="H456" i="1" s="1"/>
  <c r="L455" i="1"/>
  <c r="H457" i="1" s="1"/>
  <c r="L456" i="1"/>
  <c r="H458" i="1" s="1"/>
  <c r="L457" i="1"/>
  <c r="H459" i="1" s="1"/>
  <c r="L458" i="1"/>
  <c r="H460" i="1" s="1"/>
  <c r="L459" i="1"/>
  <c r="H461" i="1" s="1"/>
  <c r="L460" i="1"/>
  <c r="H462" i="1" s="1"/>
  <c r="L461" i="1"/>
  <c r="H463" i="1" s="1"/>
  <c r="L462" i="1"/>
  <c r="H464" i="1" s="1"/>
  <c r="L463" i="1"/>
  <c r="H465" i="1" s="1"/>
  <c r="L464" i="1"/>
  <c r="H466" i="1" s="1"/>
  <c r="L465" i="1"/>
  <c r="H467" i="1" s="1"/>
  <c r="L466" i="1"/>
  <c r="H468" i="1" s="1"/>
  <c r="L467" i="1"/>
  <c r="H469" i="1" s="1"/>
  <c r="L468" i="1"/>
  <c r="H470" i="1" s="1"/>
  <c r="L469" i="1"/>
  <c r="H471" i="1" s="1"/>
  <c r="L470" i="1"/>
  <c r="H472" i="1" s="1"/>
  <c r="L471" i="1"/>
  <c r="H473" i="1" s="1"/>
  <c r="L472" i="1"/>
  <c r="H474" i="1" s="1"/>
  <c r="L473" i="1"/>
  <c r="H475" i="1" s="1"/>
  <c r="L474" i="1"/>
  <c r="H476" i="1" s="1"/>
  <c r="L475" i="1"/>
  <c r="H477" i="1" s="1"/>
  <c r="L476" i="1"/>
  <c r="H478" i="1" s="1"/>
  <c r="L477" i="1"/>
  <c r="H479" i="1" s="1"/>
  <c r="L478" i="1"/>
  <c r="H480" i="1" s="1"/>
  <c r="L479" i="1"/>
  <c r="H481" i="1" s="1"/>
  <c r="L480" i="1"/>
  <c r="H482" i="1" s="1"/>
  <c r="L481" i="1"/>
  <c r="H483" i="1" s="1"/>
  <c r="L482" i="1"/>
  <c r="H484" i="1" s="1"/>
  <c r="L483" i="1"/>
  <c r="H485" i="1" s="1"/>
  <c r="L484" i="1"/>
  <c r="H486" i="1" s="1"/>
  <c r="L485" i="1"/>
  <c r="H487" i="1" s="1"/>
  <c r="L486" i="1"/>
  <c r="H488" i="1" s="1"/>
  <c r="L487" i="1"/>
  <c r="H489" i="1" s="1"/>
  <c r="L488" i="1"/>
  <c r="H490" i="1" s="1"/>
  <c r="L489" i="1"/>
  <c r="H491" i="1" s="1"/>
  <c r="L490" i="1"/>
  <c r="H492" i="1" s="1"/>
  <c r="L491" i="1"/>
  <c r="H493" i="1" s="1"/>
  <c r="L492" i="1"/>
  <c r="H494" i="1" s="1"/>
  <c r="L493" i="1"/>
  <c r="H495" i="1" s="1"/>
  <c r="L494" i="1"/>
  <c r="H496" i="1" s="1"/>
  <c r="L495" i="1"/>
  <c r="H497" i="1" s="1"/>
  <c r="L496" i="1"/>
  <c r="H498" i="1" s="1"/>
  <c r="L497" i="1"/>
  <c r="H499" i="1" s="1"/>
  <c r="L498" i="1"/>
  <c r="H500" i="1" s="1"/>
  <c r="L499" i="1"/>
  <c r="H501" i="1" s="1"/>
  <c r="L500" i="1"/>
  <c r="H502" i="1" s="1"/>
  <c r="L501" i="1"/>
  <c r="H503" i="1" s="1"/>
  <c r="L502" i="1"/>
  <c r="H504" i="1" s="1"/>
  <c r="L503" i="1"/>
  <c r="H505" i="1" s="1"/>
  <c r="L504" i="1"/>
  <c r="H506" i="1" s="1"/>
  <c r="L505" i="1"/>
  <c r="H507" i="1" s="1"/>
  <c r="L506" i="1"/>
  <c r="H508" i="1" s="1"/>
  <c r="L507" i="1"/>
  <c r="H509" i="1" s="1"/>
  <c r="L508" i="1"/>
  <c r="H510" i="1" s="1"/>
  <c r="L509" i="1"/>
  <c r="H511" i="1" s="1"/>
  <c r="L510" i="1"/>
  <c r="H512" i="1" s="1"/>
  <c r="L511" i="1"/>
  <c r="H513" i="1" s="1"/>
  <c r="L512" i="1"/>
  <c r="H514" i="1" s="1"/>
  <c r="L513" i="1"/>
  <c r="H515" i="1" s="1"/>
  <c r="L514" i="1"/>
  <c r="H516" i="1" s="1"/>
  <c r="L515" i="1"/>
  <c r="H517" i="1" s="1"/>
  <c r="L516" i="1"/>
  <c r="H518" i="1" s="1"/>
  <c r="L517" i="1"/>
  <c r="H519" i="1" s="1"/>
  <c r="L518" i="1"/>
  <c r="H520" i="1" s="1"/>
  <c r="L519" i="1"/>
  <c r="H521" i="1" s="1"/>
  <c r="L520" i="1"/>
  <c r="H522" i="1" s="1"/>
  <c r="L521" i="1"/>
  <c r="H523" i="1" s="1"/>
  <c r="L522" i="1"/>
  <c r="H524" i="1" s="1"/>
  <c r="L523" i="1"/>
  <c r="H525" i="1" s="1"/>
  <c r="L524" i="1"/>
  <c r="H526" i="1" s="1"/>
  <c r="L525" i="1"/>
  <c r="H527" i="1" s="1"/>
  <c r="L526" i="1"/>
  <c r="H528" i="1" s="1"/>
  <c r="L527" i="1"/>
  <c r="H529" i="1" s="1"/>
  <c r="L528" i="1"/>
  <c r="H530" i="1" s="1"/>
  <c r="L529" i="1"/>
  <c r="H531" i="1" s="1"/>
  <c r="L530" i="1"/>
  <c r="H532" i="1" s="1"/>
  <c r="L531" i="1"/>
  <c r="H533" i="1" s="1"/>
  <c r="L532" i="1"/>
  <c r="H534" i="1" s="1"/>
  <c r="L533" i="1"/>
  <c r="H535" i="1" s="1"/>
  <c r="L534" i="1"/>
  <c r="H536" i="1" s="1"/>
  <c r="L535" i="1"/>
  <c r="H537" i="1" s="1"/>
  <c r="L536" i="1"/>
  <c r="H538" i="1" s="1"/>
  <c r="L537" i="1"/>
  <c r="H539" i="1" s="1"/>
  <c r="L538" i="1"/>
  <c r="H540" i="1" s="1"/>
  <c r="L539" i="1"/>
  <c r="H541" i="1" s="1"/>
  <c r="L540" i="1"/>
  <c r="H542" i="1" s="1"/>
  <c r="L541" i="1"/>
  <c r="H543" i="1" s="1"/>
  <c r="L542" i="1"/>
  <c r="H544" i="1" s="1"/>
  <c r="L543" i="1"/>
  <c r="H545" i="1" s="1"/>
  <c r="L544" i="1"/>
  <c r="H546" i="1" s="1"/>
  <c r="L545" i="1"/>
  <c r="H547" i="1" s="1"/>
  <c r="L546" i="1"/>
  <c r="H548" i="1" s="1"/>
  <c r="L547" i="1"/>
  <c r="H549" i="1" s="1"/>
  <c r="L548" i="1"/>
  <c r="H550" i="1" s="1"/>
  <c r="L549" i="1"/>
  <c r="H551" i="1" s="1"/>
  <c r="L550" i="1"/>
  <c r="H552" i="1" s="1"/>
  <c r="L551" i="1"/>
  <c r="H553" i="1" s="1"/>
  <c r="L552" i="1"/>
  <c r="H554" i="1" s="1"/>
  <c r="L553" i="1"/>
  <c r="H555" i="1" s="1"/>
  <c r="L554" i="1"/>
  <c r="H556" i="1" s="1"/>
  <c r="L555" i="1"/>
  <c r="H557" i="1" s="1"/>
  <c r="L556" i="1"/>
  <c r="H558" i="1" s="1"/>
  <c r="L557" i="1"/>
  <c r="H559" i="1" s="1"/>
  <c r="L558" i="1"/>
  <c r="H560" i="1" s="1"/>
  <c r="L559" i="1"/>
  <c r="H561" i="1" s="1"/>
  <c r="L560" i="1"/>
  <c r="H562" i="1" s="1"/>
  <c r="L561" i="1"/>
  <c r="H563" i="1" s="1"/>
  <c r="L562" i="1"/>
  <c r="H564" i="1" s="1"/>
  <c r="L563" i="1"/>
  <c r="H565" i="1" s="1"/>
  <c r="L564" i="1"/>
  <c r="H566" i="1" s="1"/>
  <c r="L565" i="1"/>
  <c r="H567" i="1" s="1"/>
  <c r="L566" i="1"/>
  <c r="H568" i="1" s="1"/>
  <c r="L567" i="1"/>
  <c r="H569" i="1" s="1"/>
  <c r="L568" i="1"/>
  <c r="H570" i="1" s="1"/>
  <c r="L569" i="1"/>
  <c r="H571" i="1" s="1"/>
  <c r="L570" i="1"/>
  <c r="H572" i="1" s="1"/>
  <c r="L571" i="1"/>
  <c r="H573" i="1" s="1"/>
  <c r="L572" i="1"/>
  <c r="H574" i="1" s="1"/>
  <c r="L573" i="1"/>
  <c r="H575" i="1" s="1"/>
  <c r="L574" i="1"/>
  <c r="H576" i="1" s="1"/>
  <c r="L575" i="1"/>
  <c r="H577" i="1" s="1"/>
  <c r="L576" i="1"/>
  <c r="H578" i="1" s="1"/>
  <c r="L577" i="1"/>
  <c r="H579" i="1" s="1"/>
  <c r="L578" i="1"/>
  <c r="H580" i="1" s="1"/>
  <c r="L579" i="1"/>
  <c r="H581" i="1" s="1"/>
  <c r="L580" i="1"/>
  <c r="H582" i="1" s="1"/>
  <c r="L581" i="1"/>
  <c r="H583" i="1" s="1"/>
  <c r="L582" i="1"/>
  <c r="H584" i="1" s="1"/>
  <c r="L583" i="1"/>
  <c r="H585" i="1" s="1"/>
  <c r="L584" i="1"/>
  <c r="H586" i="1" s="1"/>
  <c r="L585" i="1"/>
  <c r="H587" i="1" s="1"/>
  <c r="L586" i="1"/>
  <c r="H588" i="1" s="1"/>
  <c r="L587" i="1"/>
  <c r="H589" i="1" s="1"/>
  <c r="L588" i="1"/>
  <c r="H590" i="1" s="1"/>
  <c r="L589" i="1"/>
  <c r="H591" i="1" s="1"/>
  <c r="L590" i="1"/>
  <c r="H592" i="1" s="1"/>
  <c r="L591" i="1"/>
  <c r="H593" i="1" s="1"/>
  <c r="L592" i="1"/>
  <c r="H594" i="1" s="1"/>
  <c r="L593" i="1"/>
  <c r="H595" i="1" s="1"/>
  <c r="L594" i="1"/>
  <c r="H596" i="1" s="1"/>
  <c r="L595" i="1"/>
  <c r="H597" i="1" s="1"/>
  <c r="L596" i="1"/>
  <c r="H598" i="1" s="1"/>
  <c r="L597" i="1"/>
  <c r="H599" i="1" s="1"/>
  <c r="L598" i="1"/>
  <c r="H600" i="1" s="1"/>
  <c r="L599" i="1"/>
  <c r="H601" i="1" s="1"/>
  <c r="L600" i="1"/>
  <c r="H602" i="1" s="1"/>
  <c r="L601" i="1"/>
  <c r="H603" i="1" s="1"/>
  <c r="L602" i="1"/>
  <c r="H604" i="1" s="1"/>
  <c r="L603" i="1"/>
  <c r="H605" i="1" s="1"/>
  <c r="L604" i="1"/>
  <c r="H606" i="1" s="1"/>
  <c r="L605" i="1"/>
  <c r="L606" i="1"/>
  <c r="H608" i="1" s="1"/>
  <c r="L607" i="1"/>
  <c r="H609" i="1" s="1"/>
  <c r="L608" i="1"/>
  <c r="H610" i="1" s="1"/>
  <c r="L609" i="1"/>
  <c r="H611" i="1" s="1"/>
  <c r="L610" i="1"/>
  <c r="H612" i="1" s="1"/>
  <c r="L611" i="1"/>
  <c r="H613" i="1" s="1"/>
  <c r="L612" i="1"/>
  <c r="H614" i="1" s="1"/>
  <c r="L613" i="1"/>
  <c r="H615" i="1" s="1"/>
  <c r="L614" i="1"/>
  <c r="H616" i="1" s="1"/>
  <c r="L615" i="1"/>
  <c r="H617" i="1" s="1"/>
  <c r="L616" i="1"/>
  <c r="H618" i="1" s="1"/>
  <c r="L617" i="1"/>
  <c r="H619" i="1" s="1"/>
  <c r="L618" i="1"/>
  <c r="H620" i="1" s="1"/>
  <c r="L619" i="1"/>
  <c r="H621" i="1" s="1"/>
  <c r="L620" i="1"/>
  <c r="H622" i="1" s="1"/>
  <c r="L621" i="1"/>
  <c r="H623" i="1" s="1"/>
  <c r="L622" i="1"/>
  <c r="H624" i="1" s="1"/>
  <c r="L623" i="1"/>
  <c r="H625" i="1" s="1"/>
  <c r="L624" i="1"/>
  <c r="H626" i="1" s="1"/>
  <c r="L625" i="1"/>
  <c r="H627" i="1" s="1"/>
  <c r="L626" i="1"/>
  <c r="H628" i="1" s="1"/>
  <c r="L627" i="1"/>
  <c r="H629" i="1" s="1"/>
  <c r="L628" i="1"/>
  <c r="H630" i="1" s="1"/>
  <c r="L629" i="1"/>
  <c r="H631" i="1" s="1"/>
  <c r="L630" i="1"/>
  <c r="H632" i="1" s="1"/>
  <c r="L631" i="1"/>
  <c r="H633" i="1" s="1"/>
  <c r="L632" i="1"/>
  <c r="H634" i="1" s="1"/>
  <c r="L633" i="1"/>
  <c r="H635" i="1" s="1"/>
  <c r="L634" i="1"/>
  <c r="H636" i="1" s="1"/>
  <c r="L635" i="1"/>
  <c r="H637" i="1" s="1"/>
  <c r="L636" i="1"/>
  <c r="H638" i="1" s="1"/>
  <c r="L637" i="1"/>
  <c r="H639" i="1" s="1"/>
  <c r="L638" i="1"/>
  <c r="H640" i="1" s="1"/>
  <c r="L639" i="1"/>
  <c r="H641" i="1" s="1"/>
  <c r="L640" i="1"/>
  <c r="H642" i="1" s="1"/>
  <c r="L641" i="1"/>
  <c r="H643" i="1" s="1"/>
  <c r="L642" i="1"/>
  <c r="H644" i="1" s="1"/>
  <c r="L643" i="1"/>
  <c r="H645" i="1" s="1"/>
  <c r="L644" i="1"/>
  <c r="H646" i="1" s="1"/>
  <c r="L645" i="1"/>
  <c r="H647" i="1" s="1"/>
  <c r="L646" i="1"/>
  <c r="H648" i="1" s="1"/>
  <c r="L647" i="1"/>
  <c r="H649" i="1" s="1"/>
  <c r="L648" i="1"/>
  <c r="H650" i="1" s="1"/>
  <c r="L649" i="1"/>
  <c r="H651" i="1" s="1"/>
  <c r="L650" i="1"/>
  <c r="H652" i="1" s="1"/>
  <c r="L651" i="1"/>
  <c r="H653" i="1" s="1"/>
  <c r="L652" i="1"/>
  <c r="H654" i="1" s="1"/>
  <c r="L653" i="1"/>
  <c r="H655" i="1" s="1"/>
  <c r="L654" i="1"/>
  <c r="H656" i="1" s="1"/>
  <c r="L655" i="1"/>
  <c r="H657" i="1" s="1"/>
  <c r="L656" i="1"/>
  <c r="H658" i="1" s="1"/>
  <c r="L657" i="1"/>
  <c r="H659" i="1" s="1"/>
  <c r="L658" i="1"/>
  <c r="H660" i="1" s="1"/>
  <c r="L659" i="1"/>
  <c r="H661" i="1" s="1"/>
  <c r="L660" i="1"/>
  <c r="H662" i="1" s="1"/>
  <c r="L661" i="1"/>
  <c r="H663" i="1" s="1"/>
  <c r="L662" i="1"/>
  <c r="H664" i="1" s="1"/>
  <c r="L663" i="1"/>
  <c r="H665" i="1" s="1"/>
  <c r="L664" i="1"/>
  <c r="H666" i="1" s="1"/>
  <c r="L665" i="1"/>
  <c r="H667" i="1" s="1"/>
  <c r="L666" i="1"/>
  <c r="H668" i="1" s="1"/>
  <c r="L667" i="1"/>
  <c r="H669" i="1" s="1"/>
  <c r="L668" i="1"/>
  <c r="H670" i="1" s="1"/>
  <c r="L669" i="1"/>
  <c r="H671" i="1" s="1"/>
  <c r="L670" i="1"/>
  <c r="H672" i="1" s="1"/>
  <c r="L671" i="1"/>
  <c r="H673" i="1" s="1"/>
  <c r="L672" i="1"/>
  <c r="H674" i="1" s="1"/>
  <c r="L673" i="1"/>
  <c r="H675" i="1" s="1"/>
  <c r="L674" i="1"/>
  <c r="H676" i="1" s="1"/>
  <c r="L675" i="1"/>
  <c r="H677" i="1" s="1"/>
  <c r="L676" i="1"/>
  <c r="H678" i="1" s="1"/>
  <c r="L677" i="1"/>
  <c r="H679" i="1" s="1"/>
  <c r="L678" i="1"/>
  <c r="H680" i="1" s="1"/>
  <c r="L679" i="1"/>
  <c r="H681" i="1" s="1"/>
  <c r="L680" i="1"/>
  <c r="H682" i="1" s="1"/>
  <c r="L681" i="1"/>
  <c r="H683" i="1" s="1"/>
  <c r="L682" i="1"/>
  <c r="H684" i="1" s="1"/>
  <c r="L683" i="1"/>
  <c r="H685" i="1" s="1"/>
  <c r="L684" i="1"/>
  <c r="H686" i="1" s="1"/>
  <c r="L685" i="1"/>
  <c r="H687" i="1" s="1"/>
  <c r="L686" i="1"/>
  <c r="H688" i="1" s="1"/>
  <c r="L687" i="1"/>
  <c r="H689" i="1" s="1"/>
  <c r="L688" i="1"/>
  <c r="H690" i="1" s="1"/>
  <c r="L689" i="1"/>
  <c r="H691" i="1" s="1"/>
  <c r="L690" i="1"/>
  <c r="H692" i="1" s="1"/>
  <c r="L691" i="1"/>
  <c r="H693" i="1" s="1"/>
  <c r="L692" i="1"/>
  <c r="H694" i="1" s="1"/>
  <c r="L693" i="1"/>
  <c r="H695" i="1" s="1"/>
  <c r="L694" i="1"/>
  <c r="H696" i="1" s="1"/>
  <c r="L695" i="1"/>
  <c r="H697" i="1" s="1"/>
  <c r="L696" i="1"/>
  <c r="H698" i="1" s="1"/>
  <c r="L697" i="1"/>
  <c r="H699" i="1" s="1"/>
  <c r="L698" i="1"/>
  <c r="H700" i="1" s="1"/>
  <c r="L699" i="1"/>
  <c r="H701" i="1" s="1"/>
  <c r="L700" i="1"/>
  <c r="H702" i="1" s="1"/>
  <c r="L701" i="1"/>
  <c r="H703" i="1" s="1"/>
  <c r="L702" i="1"/>
  <c r="H704" i="1" s="1"/>
  <c r="L703" i="1"/>
  <c r="H705" i="1" s="1"/>
  <c r="L704" i="1"/>
  <c r="H706" i="1" s="1"/>
  <c r="L705" i="1"/>
  <c r="H707" i="1" s="1"/>
  <c r="L706" i="1"/>
  <c r="H708" i="1" s="1"/>
  <c r="L707" i="1"/>
  <c r="H709" i="1" s="1"/>
  <c r="L708" i="1"/>
  <c r="H710" i="1" s="1"/>
  <c r="L709" i="1"/>
  <c r="H711" i="1" s="1"/>
  <c r="L710" i="1"/>
  <c r="H712" i="1" s="1"/>
  <c r="L711" i="1"/>
  <c r="H713" i="1" s="1"/>
  <c r="L712" i="1"/>
  <c r="H714" i="1" s="1"/>
  <c r="L713" i="1"/>
  <c r="H715" i="1" s="1"/>
  <c r="L714" i="1"/>
  <c r="H716" i="1" s="1"/>
  <c r="L715" i="1"/>
  <c r="H717" i="1" s="1"/>
  <c r="L716" i="1"/>
  <c r="H718" i="1" s="1"/>
  <c r="L717" i="1"/>
  <c r="H719" i="1" s="1"/>
  <c r="L718" i="1"/>
  <c r="H720" i="1" s="1"/>
  <c r="L719" i="1"/>
  <c r="H721" i="1" s="1"/>
  <c r="L720" i="1"/>
  <c r="H722" i="1" s="1"/>
  <c r="L721" i="1"/>
  <c r="H723" i="1" s="1"/>
  <c r="L722" i="1"/>
  <c r="H724" i="1" s="1"/>
  <c r="L723" i="1"/>
  <c r="H725" i="1" s="1"/>
  <c r="L724" i="1"/>
  <c r="H726" i="1" s="1"/>
  <c r="L725" i="1"/>
  <c r="H727" i="1" s="1"/>
  <c r="L726" i="1"/>
  <c r="H728" i="1" s="1"/>
  <c r="L727" i="1"/>
  <c r="H729" i="1" s="1"/>
  <c r="L728" i="1"/>
  <c r="H730" i="1" s="1"/>
  <c r="L729" i="1"/>
  <c r="H731" i="1" s="1"/>
  <c r="L730" i="1"/>
  <c r="H732" i="1" s="1"/>
  <c r="L731" i="1"/>
  <c r="H733" i="1" s="1"/>
  <c r="L732" i="1"/>
  <c r="H734" i="1" s="1"/>
  <c r="L733" i="1"/>
  <c r="H735" i="1" s="1"/>
  <c r="L734" i="1"/>
  <c r="H736" i="1" s="1"/>
  <c r="L735" i="1"/>
  <c r="H737" i="1" s="1"/>
  <c r="L736" i="1"/>
  <c r="H738" i="1" s="1"/>
  <c r="L737" i="1"/>
  <c r="H739" i="1" s="1"/>
  <c r="L738" i="1"/>
  <c r="H740" i="1" s="1"/>
  <c r="L739" i="1"/>
  <c r="H741" i="1" s="1"/>
  <c r="L740" i="1"/>
  <c r="H742" i="1" s="1"/>
  <c r="L741" i="1"/>
  <c r="H743" i="1" s="1"/>
  <c r="L742" i="1"/>
  <c r="H744" i="1" s="1"/>
  <c r="L743" i="1"/>
  <c r="H745" i="1" s="1"/>
  <c r="L744" i="1"/>
  <c r="H746" i="1" s="1"/>
  <c r="L745" i="1"/>
  <c r="H747" i="1" s="1"/>
  <c r="L746" i="1"/>
  <c r="H748" i="1" s="1"/>
  <c r="L747" i="1"/>
  <c r="H749" i="1" s="1"/>
  <c r="L748" i="1"/>
  <c r="H750" i="1" s="1"/>
  <c r="L749" i="1"/>
  <c r="H751" i="1" s="1"/>
  <c r="L750" i="1"/>
  <c r="H752" i="1" s="1"/>
  <c r="L751" i="1"/>
  <c r="H753" i="1" s="1"/>
  <c r="L752" i="1"/>
  <c r="H754" i="1" s="1"/>
  <c r="L753" i="1"/>
  <c r="H755" i="1" s="1"/>
  <c r="L754" i="1"/>
  <c r="H756" i="1" s="1"/>
  <c r="L755" i="1"/>
  <c r="H757" i="1" s="1"/>
  <c r="L756" i="1"/>
  <c r="H758" i="1" s="1"/>
  <c r="L757" i="1"/>
  <c r="H759" i="1" s="1"/>
  <c r="L758" i="1"/>
  <c r="H760" i="1" s="1"/>
  <c r="L759" i="1"/>
  <c r="H761" i="1" s="1"/>
  <c r="L760" i="1"/>
  <c r="H762" i="1" s="1"/>
  <c r="L761" i="1"/>
  <c r="H763" i="1" s="1"/>
  <c r="L762" i="1"/>
  <c r="H764" i="1" s="1"/>
  <c r="L763" i="1"/>
  <c r="H765" i="1" s="1"/>
  <c r="L764" i="1"/>
  <c r="H766" i="1" s="1"/>
  <c r="L765" i="1"/>
  <c r="H767" i="1" s="1"/>
  <c r="L766" i="1"/>
  <c r="H768" i="1" s="1"/>
  <c r="L767" i="1"/>
  <c r="H769" i="1" s="1"/>
  <c r="L768" i="1"/>
  <c r="H770" i="1" s="1"/>
  <c r="L769" i="1"/>
  <c r="H771" i="1" s="1"/>
  <c r="L770" i="1"/>
  <c r="H772" i="1" s="1"/>
  <c r="L771" i="1"/>
  <c r="H773" i="1" s="1"/>
  <c r="L772" i="1"/>
  <c r="H774" i="1" s="1"/>
  <c r="L773" i="1"/>
  <c r="H775" i="1" s="1"/>
  <c r="L774" i="1"/>
  <c r="H776" i="1" s="1"/>
  <c r="L775" i="1"/>
  <c r="H777" i="1" s="1"/>
  <c r="L776" i="1"/>
  <c r="H778" i="1" s="1"/>
  <c r="L777" i="1"/>
  <c r="H779" i="1" s="1"/>
  <c r="L778" i="1"/>
  <c r="H780" i="1" s="1"/>
  <c r="L779" i="1"/>
  <c r="H781" i="1" s="1"/>
  <c r="L780" i="1"/>
  <c r="H782" i="1" s="1"/>
  <c r="L781" i="1"/>
  <c r="H783" i="1" s="1"/>
  <c r="L782" i="1"/>
  <c r="H784" i="1" s="1"/>
  <c r="L783" i="1"/>
  <c r="H785" i="1" s="1"/>
  <c r="L784" i="1"/>
  <c r="H786" i="1" s="1"/>
  <c r="L785" i="1"/>
  <c r="H787" i="1" s="1"/>
  <c r="L786" i="1"/>
  <c r="H788" i="1" s="1"/>
  <c r="L787" i="1"/>
  <c r="H789" i="1" s="1"/>
  <c r="L788" i="1"/>
  <c r="H790" i="1" s="1"/>
  <c r="L789" i="1"/>
  <c r="H791" i="1" s="1"/>
  <c r="L790" i="1"/>
  <c r="H792" i="1" s="1"/>
  <c r="L791" i="1"/>
  <c r="H793" i="1" s="1"/>
  <c r="L792" i="1"/>
  <c r="H794" i="1" s="1"/>
  <c r="L793" i="1"/>
  <c r="H795" i="1" s="1"/>
  <c r="L794" i="1"/>
  <c r="H796" i="1" s="1"/>
  <c r="L795" i="1"/>
  <c r="H797" i="1" s="1"/>
  <c r="L796" i="1"/>
  <c r="H798" i="1" s="1"/>
  <c r="L797" i="1"/>
  <c r="H799" i="1" s="1"/>
  <c r="L798" i="1"/>
  <c r="H800" i="1" s="1"/>
  <c r="L799" i="1"/>
  <c r="H801" i="1" s="1"/>
  <c r="L800" i="1"/>
  <c r="H802" i="1" s="1"/>
  <c r="L801" i="1"/>
  <c r="H803" i="1" s="1"/>
  <c r="L802" i="1"/>
  <c r="H804" i="1" s="1"/>
  <c r="L803" i="1"/>
  <c r="H805" i="1" s="1"/>
  <c r="L804" i="1"/>
  <c r="H806" i="1" s="1"/>
  <c r="L805" i="1"/>
  <c r="H807" i="1" s="1"/>
  <c r="L806" i="1"/>
  <c r="H808" i="1" s="1"/>
  <c r="L807" i="1"/>
  <c r="H809" i="1" s="1"/>
  <c r="L808" i="1"/>
  <c r="H810" i="1" s="1"/>
  <c r="L809" i="1"/>
  <c r="H811" i="1" s="1"/>
  <c r="L810" i="1"/>
  <c r="H812" i="1" s="1"/>
  <c r="L811" i="1"/>
  <c r="H813" i="1" s="1"/>
  <c r="L812" i="1"/>
  <c r="H814" i="1" s="1"/>
  <c r="L813" i="1"/>
  <c r="H815" i="1" s="1"/>
  <c r="L814" i="1"/>
  <c r="H816" i="1" s="1"/>
  <c r="L815" i="1"/>
  <c r="H817" i="1" s="1"/>
  <c r="L816" i="1"/>
  <c r="H818" i="1" s="1"/>
  <c r="L817" i="1"/>
  <c r="H819" i="1" s="1"/>
  <c r="L818" i="1"/>
  <c r="H820" i="1" s="1"/>
  <c r="L819" i="1"/>
  <c r="H821" i="1" s="1"/>
  <c r="L820" i="1"/>
  <c r="H822" i="1" s="1"/>
  <c r="L821" i="1"/>
  <c r="H823" i="1" s="1"/>
  <c r="L822" i="1"/>
  <c r="H824" i="1" s="1"/>
  <c r="L823" i="1"/>
  <c r="H825" i="1" s="1"/>
  <c r="L824" i="1"/>
  <c r="H826" i="1" s="1"/>
  <c r="L825" i="1"/>
  <c r="H827" i="1" s="1"/>
  <c r="L826" i="1"/>
  <c r="H828" i="1" s="1"/>
  <c r="L827" i="1"/>
  <c r="H829" i="1" s="1"/>
  <c r="L828" i="1"/>
  <c r="H830" i="1" s="1"/>
  <c r="L829" i="1"/>
  <c r="H831" i="1" s="1"/>
  <c r="L830" i="1"/>
  <c r="H832" i="1" s="1"/>
  <c r="L831" i="1"/>
  <c r="H833" i="1" s="1"/>
  <c r="L832" i="1"/>
  <c r="H834" i="1" s="1"/>
  <c r="L833" i="1"/>
  <c r="H835" i="1" s="1"/>
  <c r="L834" i="1"/>
  <c r="H836" i="1" s="1"/>
  <c r="L835" i="1"/>
  <c r="H837" i="1" s="1"/>
  <c r="L836" i="1"/>
  <c r="H838" i="1" s="1"/>
  <c r="L837" i="1"/>
  <c r="H839" i="1" s="1"/>
  <c r="L838" i="1"/>
  <c r="H840" i="1" s="1"/>
  <c r="L839" i="1"/>
  <c r="H841" i="1" s="1"/>
  <c r="L840" i="1"/>
  <c r="H842" i="1" s="1"/>
  <c r="L841" i="1"/>
  <c r="H843" i="1" s="1"/>
  <c r="L842" i="1"/>
  <c r="H844" i="1" s="1"/>
  <c r="L843" i="1"/>
  <c r="H845" i="1" s="1"/>
  <c r="L844" i="1"/>
  <c r="H846" i="1" s="1"/>
  <c r="L845" i="1"/>
  <c r="H847" i="1" s="1"/>
  <c r="L846" i="1"/>
  <c r="H848" i="1" s="1"/>
  <c r="L847" i="1"/>
  <c r="H849" i="1" s="1"/>
  <c r="L848" i="1"/>
  <c r="H850" i="1" s="1"/>
  <c r="L849" i="1"/>
  <c r="H851" i="1" s="1"/>
  <c r="L850" i="1"/>
  <c r="H852" i="1" s="1"/>
  <c r="L851" i="1"/>
  <c r="H853" i="1" s="1"/>
  <c r="L852" i="1"/>
  <c r="H854" i="1" s="1"/>
  <c r="L853" i="1"/>
  <c r="H855" i="1" s="1"/>
  <c r="L854" i="1"/>
  <c r="H856" i="1" s="1"/>
  <c r="L855" i="1"/>
  <c r="H857" i="1" s="1"/>
  <c r="L856" i="1"/>
  <c r="H858" i="1" s="1"/>
  <c r="L857" i="1"/>
  <c r="H859" i="1" s="1"/>
  <c r="L858" i="1"/>
  <c r="H860" i="1" s="1"/>
  <c r="L859" i="1"/>
  <c r="H861" i="1" s="1"/>
  <c r="L860" i="1"/>
  <c r="H862" i="1" s="1"/>
  <c r="L861" i="1"/>
  <c r="H863" i="1" s="1"/>
  <c r="L862" i="1"/>
  <c r="H864" i="1" s="1"/>
  <c r="L863" i="1"/>
  <c r="H865" i="1" s="1"/>
  <c r="L864" i="1"/>
  <c r="H866" i="1" s="1"/>
  <c r="L865" i="1"/>
  <c r="H867" i="1" s="1"/>
  <c r="L866" i="1"/>
  <c r="H868" i="1" s="1"/>
  <c r="L867" i="1"/>
  <c r="H869" i="1" s="1"/>
  <c r="L868" i="1"/>
  <c r="H870" i="1" s="1"/>
  <c r="L869" i="1"/>
  <c r="H871" i="1" s="1"/>
  <c r="L870" i="1"/>
  <c r="H872" i="1" s="1"/>
  <c r="L871" i="1"/>
  <c r="H873" i="1" s="1"/>
  <c r="L872" i="1"/>
  <c r="H874" i="1" s="1"/>
  <c r="L873" i="1"/>
  <c r="H875" i="1" s="1"/>
  <c r="L874" i="1"/>
  <c r="H876" i="1" s="1"/>
  <c r="L875" i="1"/>
  <c r="H877" i="1" s="1"/>
  <c r="L876" i="1"/>
  <c r="H878" i="1" s="1"/>
  <c r="L877" i="1"/>
  <c r="H879" i="1" s="1"/>
  <c r="L878" i="1"/>
  <c r="H880" i="1" s="1"/>
  <c r="L879" i="1"/>
  <c r="H881" i="1" s="1"/>
  <c r="L880" i="1"/>
  <c r="H882" i="1" s="1"/>
  <c r="L881" i="1"/>
  <c r="H883" i="1" s="1"/>
  <c r="L882" i="1"/>
  <c r="H884" i="1" s="1"/>
  <c r="L883" i="1"/>
  <c r="H885" i="1" s="1"/>
  <c r="L884" i="1"/>
  <c r="H886" i="1" s="1"/>
  <c r="L885" i="1"/>
  <c r="H887" i="1" s="1"/>
  <c r="L886" i="1"/>
  <c r="H888" i="1" s="1"/>
  <c r="L887" i="1"/>
  <c r="H889" i="1" s="1"/>
  <c r="L888" i="1"/>
  <c r="H890" i="1" s="1"/>
  <c r="L889" i="1"/>
  <c r="H891" i="1" s="1"/>
  <c r="L890" i="1"/>
  <c r="H892" i="1" s="1"/>
  <c r="L891" i="1"/>
  <c r="H893" i="1" s="1"/>
  <c r="L892" i="1"/>
  <c r="H894" i="1" s="1"/>
  <c r="L893" i="1"/>
  <c r="H895" i="1" s="1"/>
  <c r="L894" i="1"/>
  <c r="H896" i="1" s="1"/>
  <c r="L895" i="1"/>
  <c r="H897" i="1" s="1"/>
  <c r="L896" i="1"/>
  <c r="H898" i="1" s="1"/>
  <c r="L897" i="1"/>
  <c r="H899" i="1" s="1"/>
  <c r="L898" i="1"/>
  <c r="H900" i="1" s="1"/>
  <c r="L899" i="1"/>
  <c r="H901" i="1" s="1"/>
  <c r="L900" i="1"/>
  <c r="H902" i="1" s="1"/>
  <c r="L901" i="1"/>
  <c r="H903" i="1" s="1"/>
  <c r="L902" i="1"/>
  <c r="H904" i="1" s="1"/>
  <c r="L903" i="1"/>
  <c r="H905" i="1" s="1"/>
  <c r="L904" i="1"/>
  <c r="H906" i="1" s="1"/>
  <c r="L905" i="1"/>
  <c r="H907" i="1" s="1"/>
  <c r="L906" i="1"/>
  <c r="H908" i="1" s="1"/>
  <c r="L907" i="1"/>
  <c r="H909" i="1" s="1"/>
  <c r="L908" i="1"/>
  <c r="H910" i="1" s="1"/>
  <c r="L909" i="1"/>
  <c r="H911" i="1" s="1"/>
  <c r="L910" i="1"/>
  <c r="H912" i="1" s="1"/>
  <c r="L911" i="1"/>
  <c r="H913" i="1" s="1"/>
  <c r="L912" i="1"/>
  <c r="H914" i="1" s="1"/>
  <c r="L913" i="1"/>
  <c r="H915" i="1" s="1"/>
  <c r="L914" i="1"/>
  <c r="H916" i="1" s="1"/>
  <c r="L915" i="1"/>
  <c r="H917" i="1" s="1"/>
  <c r="L916" i="1"/>
  <c r="H918" i="1" s="1"/>
  <c r="L917" i="1"/>
  <c r="H919" i="1" s="1"/>
  <c r="L918" i="1"/>
  <c r="H920" i="1" s="1"/>
  <c r="L919" i="1"/>
  <c r="H921" i="1" s="1"/>
  <c r="L920" i="1"/>
  <c r="H922" i="1" s="1"/>
  <c r="L921" i="1"/>
  <c r="H923" i="1" s="1"/>
  <c r="L922" i="1"/>
  <c r="H924" i="1" s="1"/>
  <c r="L923" i="1"/>
  <c r="H925" i="1" s="1"/>
  <c r="L924" i="1"/>
  <c r="H926" i="1" s="1"/>
  <c r="L925" i="1"/>
  <c r="H927" i="1" s="1"/>
  <c r="L926" i="1"/>
  <c r="H928" i="1" s="1"/>
  <c r="L927" i="1"/>
  <c r="H929" i="1" s="1"/>
  <c r="L928" i="1"/>
  <c r="H930" i="1" s="1"/>
  <c r="L929" i="1"/>
  <c r="H931" i="1" s="1"/>
  <c r="L930" i="1"/>
  <c r="H932" i="1" s="1"/>
  <c r="L931" i="1"/>
  <c r="H933" i="1" s="1"/>
  <c r="L932" i="1"/>
  <c r="H934" i="1" s="1"/>
  <c r="L933" i="1"/>
  <c r="H935" i="1" s="1"/>
  <c r="L934" i="1"/>
  <c r="H936" i="1" s="1"/>
  <c r="L935" i="1"/>
  <c r="H937" i="1" s="1"/>
  <c r="L936" i="1"/>
  <c r="H938" i="1" s="1"/>
  <c r="L937" i="1"/>
  <c r="H939" i="1" s="1"/>
  <c r="L938" i="1"/>
  <c r="H940" i="1" s="1"/>
  <c r="L939" i="1"/>
  <c r="H941" i="1" s="1"/>
  <c r="L940" i="1"/>
  <c r="H942" i="1" s="1"/>
  <c r="L941" i="1"/>
  <c r="H943" i="1" s="1"/>
  <c r="L942" i="1"/>
  <c r="H944" i="1" s="1"/>
  <c r="L943" i="1"/>
  <c r="H945" i="1" s="1"/>
  <c r="L944" i="1"/>
  <c r="H946" i="1" s="1"/>
  <c r="L945" i="1"/>
  <c r="H947" i="1" s="1"/>
  <c r="L946" i="1"/>
  <c r="H948" i="1" s="1"/>
  <c r="L947" i="1"/>
  <c r="H949" i="1" s="1"/>
  <c r="L948" i="1"/>
  <c r="H950" i="1" s="1"/>
  <c r="L949" i="1"/>
  <c r="H951" i="1" s="1"/>
  <c r="L950" i="1"/>
  <c r="H952" i="1" s="1"/>
  <c r="L951" i="1"/>
  <c r="H953" i="1" s="1"/>
  <c r="L952" i="1"/>
  <c r="H954" i="1" s="1"/>
  <c r="L953" i="1"/>
  <c r="H955" i="1" s="1"/>
  <c r="L954" i="1"/>
  <c r="H956" i="1" s="1"/>
  <c r="L955" i="1"/>
  <c r="H957" i="1" s="1"/>
  <c r="L956" i="1"/>
  <c r="H958" i="1" s="1"/>
  <c r="L957" i="1"/>
  <c r="H959" i="1" s="1"/>
  <c r="L958" i="1"/>
  <c r="H960" i="1" s="1"/>
  <c r="L959" i="1"/>
  <c r="H961" i="1" s="1"/>
  <c r="L960" i="1"/>
  <c r="H962" i="1" s="1"/>
  <c r="L961" i="1"/>
  <c r="H963" i="1" s="1"/>
  <c r="L962" i="1"/>
  <c r="H964" i="1" s="1"/>
  <c r="L963" i="1"/>
  <c r="H965" i="1" s="1"/>
  <c r="L964" i="1"/>
  <c r="H966" i="1" s="1"/>
  <c r="L965" i="1"/>
  <c r="H967" i="1" s="1"/>
  <c r="L966" i="1"/>
  <c r="H968" i="1" s="1"/>
  <c r="L967" i="1"/>
  <c r="H969" i="1" s="1"/>
  <c r="L968" i="1"/>
  <c r="H970" i="1" s="1"/>
  <c r="L969" i="1"/>
  <c r="H971" i="1" s="1"/>
  <c r="L970" i="1"/>
  <c r="H972" i="1" s="1"/>
  <c r="L971" i="1"/>
  <c r="H973" i="1" s="1"/>
  <c r="L972" i="1"/>
  <c r="H974" i="1" s="1"/>
  <c r="L973" i="1"/>
  <c r="H975" i="1" s="1"/>
  <c r="L974" i="1"/>
  <c r="H976" i="1" s="1"/>
  <c r="L975" i="1"/>
  <c r="H977" i="1" s="1"/>
  <c r="L976" i="1"/>
  <c r="H978" i="1" s="1"/>
  <c r="L977" i="1"/>
  <c r="H979" i="1" s="1"/>
  <c r="L978" i="1"/>
  <c r="H980" i="1" s="1"/>
  <c r="L979" i="1"/>
  <c r="H981" i="1" s="1"/>
  <c r="L980" i="1"/>
  <c r="H982" i="1" s="1"/>
  <c r="L981" i="1"/>
  <c r="H983" i="1" s="1"/>
  <c r="L982" i="1"/>
  <c r="H984" i="1" s="1"/>
  <c r="L983" i="1"/>
  <c r="H985" i="1" s="1"/>
  <c r="L984" i="1"/>
  <c r="H986" i="1" s="1"/>
  <c r="L985" i="1"/>
  <c r="H987" i="1" s="1"/>
  <c r="L986" i="1"/>
  <c r="H988" i="1" s="1"/>
  <c r="L987" i="1"/>
  <c r="H989" i="1" s="1"/>
  <c r="L988" i="1"/>
  <c r="H990" i="1" s="1"/>
  <c r="L989" i="1"/>
  <c r="H991" i="1" s="1"/>
  <c r="L990" i="1"/>
  <c r="H992" i="1" s="1"/>
  <c r="L991" i="1"/>
  <c r="H993" i="1" s="1"/>
  <c r="L992" i="1"/>
  <c r="H994" i="1" s="1"/>
  <c r="L993" i="1"/>
  <c r="H995" i="1" s="1"/>
  <c r="L994" i="1"/>
  <c r="H996" i="1" s="1"/>
  <c r="L995" i="1"/>
  <c r="H997" i="1" s="1"/>
  <c r="L996" i="1"/>
  <c r="H998" i="1" s="1"/>
  <c r="L997" i="1"/>
  <c r="H999" i="1" s="1"/>
  <c r="L998" i="1"/>
  <c r="H1000" i="1" s="1"/>
  <c r="L999" i="1"/>
  <c r="H1001" i="1" s="1"/>
  <c r="L1000" i="1"/>
  <c r="H1002" i="1" s="1"/>
  <c r="L1001" i="1"/>
  <c r="H1003" i="1" s="1"/>
  <c r="L1002" i="1"/>
  <c r="H1004" i="1" s="1"/>
  <c r="L1003" i="1"/>
  <c r="H1005" i="1" s="1"/>
  <c r="L1004" i="1"/>
  <c r="H1006" i="1" s="1"/>
  <c r="L1005" i="1"/>
  <c r="H1007" i="1" s="1"/>
  <c r="L1006" i="1"/>
  <c r="H1008" i="1" s="1"/>
  <c r="L1007" i="1"/>
  <c r="H1009" i="1" s="1"/>
  <c r="L1008" i="1"/>
  <c r="H1010" i="1" s="1"/>
  <c r="L1009" i="1"/>
  <c r="H1011" i="1" s="1"/>
  <c r="L1010" i="1"/>
  <c r="H1012" i="1" s="1"/>
  <c r="L1011" i="1"/>
  <c r="H1013" i="1" s="1"/>
  <c r="L1012" i="1"/>
  <c r="H1014" i="1" s="1"/>
  <c r="L1013" i="1"/>
  <c r="H1015" i="1" s="1"/>
  <c r="L1014" i="1"/>
  <c r="H1016" i="1" s="1"/>
  <c r="L1015" i="1"/>
  <c r="H1017" i="1" s="1"/>
  <c r="L1016" i="1"/>
  <c r="H1018" i="1" s="1"/>
  <c r="L1017" i="1"/>
  <c r="H1019" i="1" s="1"/>
  <c r="L1018" i="1"/>
  <c r="H1020" i="1" s="1"/>
  <c r="L1019" i="1"/>
  <c r="H1021" i="1" s="1"/>
  <c r="L1020" i="1"/>
  <c r="H1022" i="1" s="1"/>
  <c r="L1021" i="1"/>
  <c r="H1023" i="1" s="1"/>
  <c r="L1022" i="1"/>
  <c r="H1024" i="1" s="1"/>
  <c r="L1023" i="1"/>
  <c r="H1025" i="1" s="1"/>
  <c r="L1024" i="1"/>
  <c r="H1026" i="1" s="1"/>
  <c r="L1025" i="1"/>
  <c r="H1027" i="1" s="1"/>
  <c r="L1026" i="1"/>
  <c r="H1028" i="1" s="1"/>
  <c r="L1027" i="1"/>
  <c r="H1029" i="1" s="1"/>
  <c r="L1028" i="1"/>
  <c r="H1030" i="1" s="1"/>
  <c r="L1029" i="1"/>
  <c r="H1031" i="1" s="1"/>
  <c r="L1030" i="1"/>
  <c r="H1032" i="1" s="1"/>
  <c r="L1031" i="1"/>
  <c r="H1033" i="1" s="1"/>
  <c r="L1032" i="1"/>
  <c r="H1034" i="1" s="1"/>
  <c r="L1033" i="1"/>
  <c r="H1035" i="1" s="1"/>
  <c r="L1034" i="1"/>
  <c r="H1036" i="1" s="1"/>
  <c r="L1035" i="1"/>
  <c r="H1037" i="1" s="1"/>
  <c r="L1036" i="1"/>
  <c r="H1038" i="1" s="1"/>
  <c r="L1037" i="1"/>
  <c r="H1039" i="1" s="1"/>
  <c r="L1038" i="1"/>
  <c r="H1040" i="1" s="1"/>
  <c r="L1039" i="1"/>
  <c r="H1041" i="1" s="1"/>
  <c r="L1040" i="1"/>
  <c r="H1042" i="1" s="1"/>
  <c r="L1041" i="1"/>
  <c r="H1043" i="1" s="1"/>
  <c r="L1042" i="1"/>
  <c r="H1044" i="1" s="1"/>
  <c r="L1043" i="1"/>
  <c r="H1045" i="1" s="1"/>
  <c r="L1044" i="1"/>
  <c r="H1046" i="1" s="1"/>
  <c r="L1045" i="1"/>
  <c r="H1047" i="1" s="1"/>
  <c r="L1046" i="1"/>
  <c r="H1048" i="1" s="1"/>
  <c r="L1047" i="1"/>
  <c r="H1049" i="1" s="1"/>
  <c r="L1048" i="1"/>
  <c r="H1050" i="1" s="1"/>
  <c r="L1049" i="1"/>
  <c r="H1051" i="1" s="1"/>
  <c r="L1050" i="1"/>
  <c r="H1052" i="1" s="1"/>
  <c r="L1051" i="1"/>
  <c r="H1053" i="1" s="1"/>
  <c r="L1052" i="1"/>
  <c r="H1054" i="1" s="1"/>
  <c r="L1053" i="1"/>
  <c r="H1055" i="1" s="1"/>
  <c r="L1054" i="1"/>
  <c r="H1056" i="1" s="1"/>
  <c r="L1055" i="1"/>
  <c r="H1057" i="1" s="1"/>
  <c r="L1056" i="1"/>
  <c r="H1058" i="1" s="1"/>
  <c r="L1057" i="1"/>
  <c r="H1059" i="1" s="1"/>
  <c r="L1058" i="1"/>
  <c r="H1060" i="1" s="1"/>
  <c r="L1059" i="1"/>
  <c r="H1061" i="1" s="1"/>
  <c r="L1060" i="1"/>
  <c r="H1062" i="1" s="1"/>
  <c r="L1061" i="1"/>
  <c r="H1063" i="1" s="1"/>
  <c r="L1062" i="1"/>
  <c r="H1064" i="1" s="1"/>
  <c r="L1063" i="1"/>
  <c r="H1065" i="1" s="1"/>
  <c r="L1064" i="1"/>
  <c r="H1066" i="1" s="1"/>
  <c r="L1065" i="1"/>
  <c r="H1067" i="1" s="1"/>
  <c r="L1066" i="1"/>
  <c r="H1068" i="1" s="1"/>
  <c r="L1067" i="1"/>
  <c r="H1069" i="1" s="1"/>
  <c r="L1068" i="1"/>
  <c r="H1070" i="1" s="1"/>
  <c r="L1069" i="1"/>
  <c r="H1071" i="1" s="1"/>
  <c r="L1070" i="1"/>
  <c r="H1072" i="1" s="1"/>
  <c r="L1071" i="1"/>
  <c r="H1073" i="1" s="1"/>
  <c r="L1072" i="1"/>
  <c r="H1074" i="1" s="1"/>
  <c r="L1073" i="1"/>
  <c r="H1075" i="1" s="1"/>
  <c r="L1074" i="1"/>
  <c r="H1076" i="1" s="1"/>
  <c r="L1075" i="1"/>
  <c r="H1077" i="1" s="1"/>
  <c r="L1076" i="1"/>
  <c r="H1078" i="1" s="1"/>
  <c r="L1077" i="1"/>
  <c r="H1079" i="1" s="1"/>
  <c r="L1078" i="1"/>
  <c r="H1080" i="1" s="1"/>
  <c r="L1079" i="1"/>
  <c r="H1081" i="1" s="1"/>
  <c r="L1080" i="1"/>
  <c r="H1082" i="1" s="1"/>
  <c r="L1081" i="1"/>
  <c r="H1083" i="1" s="1"/>
  <c r="L1082" i="1"/>
  <c r="H1084" i="1" s="1"/>
  <c r="L1083" i="1"/>
  <c r="H1085" i="1" s="1"/>
  <c r="L1084" i="1"/>
  <c r="H1086" i="1" s="1"/>
  <c r="L1085" i="1"/>
  <c r="H1087" i="1" s="1"/>
  <c r="L1086" i="1"/>
  <c r="H1088" i="1" s="1"/>
  <c r="L1087" i="1"/>
  <c r="H1089" i="1" s="1"/>
  <c r="L1088" i="1"/>
  <c r="H1090" i="1" s="1"/>
  <c r="L1089" i="1"/>
  <c r="H1091" i="1" s="1"/>
  <c r="L1090" i="1"/>
  <c r="H1092" i="1" s="1"/>
  <c r="L1091" i="1"/>
  <c r="H1093" i="1" s="1"/>
  <c r="L1092" i="1"/>
  <c r="H1094" i="1" s="1"/>
  <c r="L1093" i="1"/>
  <c r="H1095" i="1" s="1"/>
  <c r="L1094" i="1"/>
  <c r="H1096" i="1" s="1"/>
  <c r="L1095" i="1"/>
  <c r="H1097" i="1" s="1"/>
  <c r="L1096" i="1"/>
  <c r="H1098" i="1" s="1"/>
  <c r="L1097" i="1"/>
  <c r="H1099" i="1" s="1"/>
  <c r="L1098" i="1"/>
  <c r="H1100" i="1" s="1"/>
  <c r="L1099" i="1"/>
  <c r="H1101" i="1" s="1"/>
  <c r="L1100" i="1"/>
  <c r="H1102" i="1" s="1"/>
  <c r="L1101" i="1"/>
  <c r="H1103" i="1" s="1"/>
  <c r="L1102" i="1"/>
  <c r="H1104" i="1" s="1"/>
  <c r="L1103" i="1"/>
  <c r="H1105" i="1" s="1"/>
  <c r="L1104" i="1"/>
  <c r="H1106" i="1" s="1"/>
  <c r="L1105" i="1"/>
  <c r="H1107" i="1" s="1"/>
  <c r="L1106" i="1"/>
  <c r="H1108" i="1" s="1"/>
  <c r="L1107" i="1"/>
  <c r="H1109" i="1" s="1"/>
  <c r="L1108" i="1"/>
  <c r="H1110" i="1" s="1"/>
  <c r="L1109" i="1"/>
  <c r="H1111" i="1" s="1"/>
  <c r="L1110" i="1"/>
  <c r="H1112" i="1" s="1"/>
  <c r="L1111" i="1"/>
  <c r="H1113" i="1" s="1"/>
  <c r="L1112" i="1"/>
  <c r="H1114" i="1" s="1"/>
  <c r="L1113" i="1"/>
  <c r="H1115" i="1" s="1"/>
  <c r="L1114" i="1"/>
  <c r="H1116" i="1" s="1"/>
  <c r="L1115" i="1"/>
  <c r="H1117" i="1" s="1"/>
  <c r="L1116" i="1"/>
  <c r="H1118" i="1" s="1"/>
  <c r="L1117" i="1"/>
  <c r="H1119" i="1" s="1"/>
  <c r="L1118" i="1"/>
  <c r="H1120" i="1" s="1"/>
  <c r="L1119" i="1"/>
  <c r="H1121" i="1" s="1"/>
  <c r="L1120" i="1"/>
  <c r="H1122" i="1" s="1"/>
  <c r="L1121" i="1"/>
  <c r="H1123" i="1" s="1"/>
  <c r="L1122" i="1"/>
  <c r="H1124" i="1" s="1"/>
  <c r="L1123" i="1"/>
  <c r="H1125" i="1" s="1"/>
  <c r="L1124" i="1"/>
  <c r="H1126" i="1" s="1"/>
  <c r="L1125" i="1"/>
  <c r="H1127" i="1" s="1"/>
  <c r="L1126" i="1"/>
  <c r="H1128" i="1" s="1"/>
  <c r="L1127" i="1"/>
  <c r="H1129" i="1" s="1"/>
  <c r="L1128" i="1"/>
  <c r="H1130" i="1" s="1"/>
  <c r="L1129" i="1"/>
  <c r="H1131" i="1" s="1"/>
  <c r="L1130" i="1"/>
  <c r="H1132" i="1" s="1"/>
  <c r="L1131" i="1"/>
  <c r="H1133" i="1" s="1"/>
  <c r="L1132" i="1"/>
  <c r="H1134" i="1" s="1"/>
  <c r="L1133" i="1"/>
  <c r="H1135" i="1" s="1"/>
  <c r="L1134" i="1"/>
  <c r="H1136" i="1" s="1"/>
  <c r="L1135" i="1"/>
  <c r="H1137" i="1" s="1"/>
  <c r="L1136" i="1"/>
  <c r="H1138" i="1" s="1"/>
  <c r="L1137" i="1"/>
  <c r="H1139" i="1" s="1"/>
  <c r="L1138" i="1"/>
  <c r="H1140" i="1" s="1"/>
  <c r="L1139" i="1"/>
  <c r="H1141" i="1" s="1"/>
  <c r="L1140" i="1"/>
  <c r="H1142" i="1" s="1"/>
  <c r="L1141" i="1"/>
  <c r="H1143" i="1" s="1"/>
  <c r="L1142" i="1"/>
  <c r="H1144" i="1" s="1"/>
  <c r="L1143" i="1"/>
  <c r="H1145" i="1" s="1"/>
  <c r="L1144" i="1"/>
  <c r="H1146" i="1" s="1"/>
  <c r="L1145" i="1"/>
  <c r="H1147" i="1" s="1"/>
  <c r="L1146" i="1"/>
  <c r="H1148" i="1" s="1"/>
  <c r="L1147" i="1"/>
  <c r="H1149" i="1" s="1"/>
  <c r="L1148" i="1"/>
  <c r="H1150" i="1" s="1"/>
  <c r="L1149" i="1"/>
  <c r="H1151" i="1" s="1"/>
  <c r="L1150" i="1"/>
  <c r="H1152" i="1" s="1"/>
  <c r="L1151" i="1"/>
  <c r="H1153" i="1" s="1"/>
  <c r="L1152" i="1"/>
  <c r="H1154" i="1" s="1"/>
  <c r="L1153" i="1"/>
  <c r="H1155" i="1" s="1"/>
  <c r="L1154" i="1"/>
  <c r="H1156" i="1" s="1"/>
  <c r="L1155" i="1"/>
  <c r="H1157" i="1" s="1"/>
  <c r="L1156" i="1"/>
  <c r="H1158" i="1" s="1"/>
  <c r="L1157" i="1"/>
  <c r="H1159" i="1" s="1"/>
  <c r="L1158" i="1"/>
  <c r="H1160" i="1" s="1"/>
  <c r="L1159" i="1"/>
  <c r="H1161" i="1" s="1"/>
  <c r="L1160" i="1"/>
  <c r="H1162" i="1" s="1"/>
  <c r="L1161" i="1"/>
  <c r="H1163" i="1" s="1"/>
  <c r="L1162" i="1"/>
  <c r="H1164" i="1" s="1"/>
  <c r="L1163" i="1"/>
  <c r="H1165" i="1" s="1"/>
  <c r="L1164" i="1"/>
  <c r="H1166" i="1" s="1"/>
  <c r="L1165" i="1"/>
  <c r="H1167" i="1" s="1"/>
  <c r="L1166" i="1"/>
  <c r="H1168" i="1" s="1"/>
  <c r="L1167" i="1"/>
  <c r="H1169" i="1" s="1"/>
  <c r="L1168" i="1"/>
  <c r="H1170" i="1" s="1"/>
  <c r="L1169" i="1"/>
  <c r="H1171" i="1" s="1"/>
  <c r="L1170" i="1"/>
  <c r="H1172" i="1" s="1"/>
  <c r="L1171" i="1"/>
  <c r="H1173" i="1" s="1"/>
  <c r="L1172" i="1"/>
  <c r="H1174" i="1" s="1"/>
  <c r="L1173" i="1"/>
  <c r="H1175" i="1" s="1"/>
  <c r="L1174" i="1"/>
  <c r="H1176" i="1" s="1"/>
  <c r="L1175" i="1"/>
  <c r="H1177" i="1" s="1"/>
  <c r="L1176" i="1"/>
  <c r="H1178" i="1" s="1"/>
  <c r="L1177" i="1"/>
  <c r="H1179" i="1" s="1"/>
  <c r="L1178" i="1"/>
  <c r="H1180" i="1" s="1"/>
  <c r="L1179" i="1"/>
  <c r="H1181" i="1" s="1"/>
  <c r="L1180" i="1"/>
  <c r="H1182" i="1" s="1"/>
  <c r="L1181" i="1"/>
  <c r="H1183" i="1" s="1"/>
  <c r="L1182" i="1"/>
  <c r="H1184" i="1" s="1"/>
  <c r="L1183" i="1"/>
  <c r="H1185" i="1" s="1"/>
  <c r="L1184" i="1"/>
  <c r="H1186" i="1" s="1"/>
  <c r="L1185" i="1"/>
  <c r="H1187" i="1" s="1"/>
  <c r="L1186" i="1"/>
  <c r="H1188" i="1" s="1"/>
  <c r="L1187" i="1"/>
  <c r="H1189" i="1" s="1"/>
  <c r="L1188" i="1"/>
  <c r="H1190" i="1" s="1"/>
  <c r="L1189" i="1"/>
  <c r="H1191" i="1" s="1"/>
  <c r="L1190" i="1"/>
  <c r="H1192" i="1" s="1"/>
  <c r="L1191" i="1"/>
  <c r="H1193" i="1" s="1"/>
  <c r="L1192" i="1"/>
  <c r="H1194" i="1" s="1"/>
  <c r="L1193" i="1"/>
  <c r="H1195" i="1" s="1"/>
  <c r="L1194" i="1"/>
  <c r="H1196" i="1" s="1"/>
  <c r="L1195" i="1"/>
  <c r="H1197" i="1" s="1"/>
  <c r="L1196" i="1"/>
  <c r="H1198" i="1" s="1"/>
  <c r="L1197" i="1"/>
  <c r="H1199" i="1" s="1"/>
  <c r="L1198" i="1"/>
  <c r="H1200" i="1" s="1"/>
  <c r="L1199" i="1"/>
  <c r="H1201" i="1" s="1"/>
  <c r="L1200" i="1"/>
  <c r="H1202" i="1" s="1"/>
  <c r="L1201" i="1"/>
  <c r="H1203" i="1" s="1"/>
  <c r="L1202" i="1"/>
  <c r="H1204" i="1" s="1"/>
  <c r="L1203" i="1"/>
  <c r="H1205" i="1" s="1"/>
  <c r="L1204" i="1"/>
  <c r="H1206" i="1" s="1"/>
  <c r="L1205" i="1"/>
  <c r="H1207" i="1" s="1"/>
  <c r="L1206" i="1"/>
  <c r="H1208" i="1" s="1"/>
  <c r="L1207" i="1"/>
  <c r="H1209" i="1" s="1"/>
  <c r="L1208" i="1"/>
  <c r="H1210" i="1" s="1"/>
  <c r="L1209" i="1"/>
  <c r="H1211" i="1" s="1"/>
  <c r="L1210" i="1"/>
  <c r="H1212" i="1" s="1"/>
  <c r="L1211" i="1"/>
  <c r="H1213" i="1" s="1"/>
  <c r="L1212" i="1"/>
  <c r="H1214" i="1" s="1"/>
  <c r="L1213" i="1"/>
  <c r="H1215" i="1" s="1"/>
  <c r="L1214" i="1"/>
  <c r="H1216" i="1" s="1"/>
  <c r="L1215" i="1"/>
  <c r="H1217" i="1" s="1"/>
  <c r="L1216" i="1"/>
  <c r="H1218" i="1" s="1"/>
  <c r="L1217" i="1"/>
  <c r="H1219" i="1" s="1"/>
  <c r="L1218" i="1"/>
  <c r="H1220" i="1" s="1"/>
  <c r="L1219" i="1"/>
  <c r="H1221" i="1" s="1"/>
  <c r="L1220" i="1"/>
  <c r="H1222" i="1" s="1"/>
  <c r="L1221" i="1"/>
  <c r="H1223" i="1" s="1"/>
  <c r="L1222" i="1"/>
  <c r="H1224" i="1" s="1"/>
  <c r="L1223" i="1"/>
  <c r="H1225" i="1" s="1"/>
  <c r="L1224" i="1"/>
  <c r="H1226" i="1" s="1"/>
  <c r="L1225" i="1"/>
  <c r="H1227" i="1" s="1"/>
  <c r="L1226" i="1"/>
  <c r="H1228" i="1" s="1"/>
  <c r="L1227" i="1"/>
  <c r="H1229" i="1" s="1"/>
  <c r="L1228" i="1"/>
  <c r="H1230" i="1" s="1"/>
  <c r="L1229" i="1"/>
  <c r="H1231" i="1" s="1"/>
  <c r="L1230" i="1"/>
  <c r="H1232" i="1" s="1"/>
  <c r="L1231" i="1"/>
  <c r="H1233" i="1" s="1"/>
  <c r="L1232" i="1"/>
  <c r="H1234" i="1" s="1"/>
  <c r="L1233" i="1"/>
  <c r="H1235" i="1" s="1"/>
  <c r="L1234" i="1"/>
  <c r="H1236" i="1" s="1"/>
  <c r="L1235" i="1"/>
  <c r="H1237" i="1" s="1"/>
  <c r="L1236" i="1"/>
  <c r="H1238" i="1" s="1"/>
  <c r="L1237" i="1"/>
  <c r="H1239" i="1" s="1"/>
  <c r="L1238" i="1"/>
  <c r="H1240" i="1" s="1"/>
  <c r="L1239" i="1"/>
  <c r="H1241" i="1" s="1"/>
  <c r="L1240" i="1"/>
  <c r="H1242" i="1" s="1"/>
  <c r="L1241" i="1"/>
  <c r="H1243" i="1" s="1"/>
  <c r="L1242" i="1"/>
  <c r="H1244" i="1" s="1"/>
  <c r="L1243" i="1"/>
  <c r="H1245" i="1" s="1"/>
  <c r="L1244" i="1"/>
  <c r="H1246" i="1" s="1"/>
  <c r="L1245" i="1"/>
  <c r="H1247" i="1" s="1"/>
  <c r="L1246" i="1"/>
  <c r="H1248" i="1" s="1"/>
  <c r="L1247" i="1"/>
  <c r="H1249" i="1" s="1"/>
  <c r="L1248" i="1"/>
  <c r="H1250" i="1" s="1"/>
  <c r="L1249" i="1"/>
  <c r="H1251" i="1" s="1"/>
  <c r="L1250" i="1"/>
  <c r="H1252" i="1" s="1"/>
  <c r="L1251" i="1"/>
  <c r="H1253" i="1" s="1"/>
  <c r="L1252" i="1"/>
  <c r="H1254" i="1" s="1"/>
  <c r="L1253" i="1"/>
  <c r="H1255" i="1" s="1"/>
  <c r="L1254" i="1"/>
  <c r="H1256" i="1" s="1"/>
  <c r="L1255" i="1"/>
  <c r="H1257" i="1" s="1"/>
  <c r="L1256" i="1"/>
  <c r="H1258" i="1" s="1"/>
  <c r="L1257" i="1"/>
  <c r="H1259" i="1" s="1"/>
  <c r="L1258" i="1"/>
  <c r="H1260" i="1" s="1"/>
  <c r="L1259" i="1"/>
  <c r="H1261" i="1" s="1"/>
  <c r="L1260" i="1"/>
  <c r="H1262" i="1" s="1"/>
  <c r="L1261" i="1"/>
  <c r="H1263" i="1" s="1"/>
  <c r="L1262" i="1"/>
  <c r="H1264" i="1" s="1"/>
  <c r="L1263" i="1"/>
  <c r="H1265" i="1" s="1"/>
  <c r="L1264" i="1"/>
  <c r="H1266" i="1" s="1"/>
  <c r="L1265" i="1"/>
  <c r="H1267" i="1" s="1"/>
  <c r="L1266" i="1"/>
  <c r="H1268" i="1" s="1"/>
  <c r="L1267" i="1"/>
  <c r="H1269" i="1" s="1"/>
  <c r="L1268" i="1"/>
  <c r="H1270" i="1" s="1"/>
  <c r="L1269" i="1"/>
  <c r="H1271" i="1" s="1"/>
  <c r="L1270" i="1"/>
  <c r="H1272" i="1" s="1"/>
  <c r="L1271" i="1"/>
  <c r="H1273" i="1" s="1"/>
  <c r="L1272" i="1"/>
  <c r="H1274" i="1" s="1"/>
  <c r="L1273" i="1"/>
  <c r="H1275" i="1" s="1"/>
  <c r="L1274" i="1"/>
  <c r="H1276" i="1" s="1"/>
  <c r="L1275" i="1"/>
  <c r="H1277" i="1" s="1"/>
  <c r="L1276" i="1"/>
  <c r="H1278" i="1" s="1"/>
  <c r="L1277" i="1"/>
  <c r="H1279" i="1" s="1"/>
  <c r="L1278" i="1"/>
  <c r="H1280" i="1" s="1"/>
  <c r="L1279" i="1"/>
  <c r="H1281" i="1" s="1"/>
  <c r="L1280" i="1"/>
  <c r="H1282" i="1" s="1"/>
  <c r="L1281" i="1"/>
  <c r="H1283" i="1" s="1"/>
  <c r="L1282" i="1"/>
  <c r="H1284" i="1" s="1"/>
  <c r="L1283" i="1"/>
  <c r="H1285" i="1" s="1"/>
  <c r="L1284" i="1"/>
  <c r="H1286" i="1" s="1"/>
  <c r="L1285" i="1"/>
  <c r="H1287" i="1" s="1"/>
  <c r="L1286" i="1"/>
  <c r="H1288" i="1" s="1"/>
  <c r="L1287" i="1"/>
  <c r="H1289" i="1" s="1"/>
  <c r="L1288" i="1"/>
  <c r="H1290" i="1" s="1"/>
  <c r="L1289" i="1"/>
  <c r="H1291" i="1" s="1"/>
  <c r="L1290" i="1"/>
  <c r="H1292" i="1" s="1"/>
  <c r="L1291" i="1"/>
  <c r="H1293" i="1" s="1"/>
  <c r="L1292" i="1"/>
  <c r="H1294" i="1" s="1"/>
  <c r="L1293" i="1"/>
  <c r="H1295" i="1" s="1"/>
  <c r="L1294" i="1"/>
  <c r="H1296" i="1" s="1"/>
  <c r="L1295" i="1"/>
  <c r="H1297" i="1" s="1"/>
  <c r="L1296" i="1"/>
  <c r="H1298" i="1" s="1"/>
  <c r="L1297" i="1"/>
  <c r="H1299" i="1" s="1"/>
  <c r="L1298" i="1"/>
  <c r="H1300" i="1" s="1"/>
  <c r="L1299" i="1"/>
  <c r="H1301" i="1" s="1"/>
  <c r="L1300" i="1"/>
  <c r="H1302" i="1" s="1"/>
  <c r="L1301" i="1"/>
  <c r="H1303" i="1" s="1"/>
  <c r="L1302" i="1"/>
  <c r="H1304" i="1" s="1"/>
  <c r="L1303" i="1"/>
  <c r="H1305" i="1" s="1"/>
  <c r="L1304" i="1"/>
  <c r="H1306" i="1" s="1"/>
  <c r="L1305" i="1"/>
  <c r="H1307" i="1" s="1"/>
  <c r="L1306" i="1"/>
  <c r="H1308" i="1" s="1"/>
  <c r="L1307" i="1"/>
  <c r="H1309" i="1" s="1"/>
  <c r="L1308" i="1"/>
  <c r="H1310" i="1" s="1"/>
  <c r="L1309" i="1"/>
  <c r="H1311" i="1" s="1"/>
  <c r="L1310" i="1"/>
  <c r="H1312" i="1" s="1"/>
  <c r="L1311" i="1"/>
  <c r="H1313" i="1" s="1"/>
  <c r="L1312" i="1"/>
  <c r="H1314" i="1" s="1"/>
  <c r="L1313" i="1"/>
  <c r="H1315" i="1" s="1"/>
  <c r="L1314" i="1"/>
  <c r="H1316" i="1" s="1"/>
  <c r="L1315" i="1"/>
  <c r="H1317" i="1" s="1"/>
  <c r="L1316" i="1"/>
  <c r="H1318" i="1" s="1"/>
  <c r="L1317" i="1"/>
  <c r="H1319" i="1" s="1"/>
  <c r="L1318" i="1"/>
  <c r="H1320" i="1" s="1"/>
  <c r="L1319" i="1"/>
  <c r="H1321" i="1" s="1"/>
  <c r="L1320" i="1"/>
  <c r="H1322" i="1" s="1"/>
  <c r="L1321" i="1"/>
  <c r="H1323" i="1" s="1"/>
  <c r="L1322" i="1"/>
  <c r="H1324" i="1" s="1"/>
  <c r="L1323" i="1"/>
  <c r="H1325" i="1" s="1"/>
  <c r="L1324" i="1"/>
  <c r="H1326" i="1" s="1"/>
  <c r="L1325" i="1"/>
  <c r="H1327" i="1" s="1"/>
  <c r="L1326" i="1"/>
  <c r="H1328" i="1" s="1"/>
  <c r="L1327" i="1"/>
  <c r="H1329" i="1" s="1"/>
  <c r="L1328" i="1"/>
  <c r="H1330" i="1" s="1"/>
  <c r="L1329" i="1"/>
  <c r="H1331" i="1" s="1"/>
  <c r="L1330" i="1"/>
  <c r="H1332" i="1" s="1"/>
  <c r="L1331" i="1"/>
  <c r="H1333" i="1" s="1"/>
  <c r="L1332" i="1"/>
  <c r="H1334" i="1" s="1"/>
  <c r="L1333" i="1"/>
  <c r="H1335" i="1" s="1"/>
  <c r="L1334" i="1"/>
  <c r="H1336" i="1" s="1"/>
  <c r="L1335" i="1"/>
  <c r="H1337" i="1" s="1"/>
  <c r="L1336" i="1"/>
  <c r="H1338" i="1" s="1"/>
  <c r="L1337" i="1"/>
  <c r="H1339" i="1" s="1"/>
  <c r="L1338" i="1"/>
  <c r="H1340" i="1" s="1"/>
  <c r="L1339" i="1"/>
  <c r="H1341" i="1" s="1"/>
  <c r="L1340" i="1"/>
  <c r="H1342" i="1" s="1"/>
  <c r="L1341" i="1"/>
  <c r="H1343" i="1" s="1"/>
  <c r="L1342" i="1"/>
  <c r="H1344" i="1" s="1"/>
  <c r="L1343" i="1"/>
  <c r="H1345" i="1" s="1"/>
  <c r="L1344" i="1"/>
  <c r="H1346" i="1" s="1"/>
  <c r="L1345" i="1"/>
  <c r="H1347" i="1" s="1"/>
  <c r="L1346" i="1"/>
  <c r="H1348" i="1" s="1"/>
  <c r="L1347" i="1"/>
  <c r="H1349" i="1" s="1"/>
  <c r="L1348" i="1"/>
  <c r="H1350" i="1" s="1"/>
  <c r="L1349" i="1"/>
  <c r="H1351" i="1" s="1"/>
  <c r="L1350" i="1"/>
  <c r="H1352" i="1" s="1"/>
  <c r="L1351" i="1"/>
  <c r="H1353" i="1" s="1"/>
  <c r="L1352" i="1"/>
  <c r="H1354" i="1" s="1"/>
  <c r="L1353" i="1"/>
  <c r="H1355" i="1" s="1"/>
  <c r="L1354" i="1"/>
  <c r="H1356" i="1" s="1"/>
  <c r="L1355" i="1"/>
  <c r="H1357" i="1" s="1"/>
  <c r="L1356" i="1"/>
  <c r="H1358" i="1" s="1"/>
  <c r="L1357" i="1"/>
  <c r="H1359" i="1" s="1"/>
  <c r="L1358" i="1"/>
  <c r="H1360" i="1" s="1"/>
  <c r="L1359" i="1"/>
  <c r="H1361" i="1" s="1"/>
  <c r="L1360" i="1"/>
  <c r="H1362" i="1" s="1"/>
  <c r="L1361" i="1"/>
  <c r="H1363" i="1" s="1"/>
  <c r="L1362" i="1"/>
  <c r="H1364" i="1" s="1"/>
  <c r="L1363" i="1"/>
  <c r="H1365" i="1" s="1"/>
  <c r="L1364" i="1"/>
  <c r="H1366" i="1" s="1"/>
  <c r="L1365" i="1"/>
  <c r="H1367" i="1" s="1"/>
  <c r="L1366" i="1"/>
  <c r="H1368" i="1" s="1"/>
  <c r="L1367" i="1"/>
  <c r="H1369" i="1" s="1"/>
  <c r="L1368" i="1"/>
  <c r="H1370" i="1" s="1"/>
  <c r="L1369" i="1"/>
  <c r="H1371" i="1" s="1"/>
  <c r="L1370" i="1"/>
  <c r="H1372" i="1" s="1"/>
  <c r="L1371" i="1"/>
  <c r="H1373" i="1" s="1"/>
  <c r="L1372" i="1"/>
  <c r="H1374" i="1" s="1"/>
  <c r="L1373" i="1"/>
  <c r="H1375" i="1" s="1"/>
  <c r="L1374" i="1"/>
  <c r="H1376" i="1" s="1"/>
  <c r="L1375" i="1"/>
  <c r="H1377" i="1" s="1"/>
  <c r="L1376" i="1"/>
  <c r="H1378" i="1" s="1"/>
  <c r="L1377" i="1"/>
  <c r="H1379" i="1" s="1"/>
  <c r="L1378" i="1"/>
  <c r="H1380" i="1" s="1"/>
  <c r="L1379" i="1"/>
  <c r="H1381" i="1" s="1"/>
  <c r="L1380" i="1"/>
  <c r="H1382" i="1" s="1"/>
  <c r="L1381" i="1"/>
  <c r="H1383" i="1" s="1"/>
  <c r="L1382" i="1"/>
  <c r="H1384" i="1" s="1"/>
  <c r="L1383" i="1"/>
  <c r="H1385" i="1" s="1"/>
  <c r="L1384" i="1"/>
  <c r="H1386" i="1" s="1"/>
  <c r="L1385" i="1"/>
  <c r="H1387" i="1" s="1"/>
  <c r="L1386" i="1"/>
  <c r="H1388" i="1" s="1"/>
  <c r="L1387" i="1"/>
  <c r="H1389" i="1" s="1"/>
  <c r="L1388" i="1"/>
  <c r="H1390" i="1" s="1"/>
  <c r="L1389" i="1"/>
  <c r="H1391" i="1" s="1"/>
  <c r="L1390" i="1"/>
  <c r="H1392" i="1" s="1"/>
  <c r="L1391" i="1"/>
  <c r="H1393" i="1" s="1"/>
  <c r="L1392" i="1"/>
  <c r="H1394" i="1" s="1"/>
  <c r="L1393" i="1"/>
  <c r="H1395" i="1" s="1"/>
  <c r="L1394" i="1"/>
  <c r="H1396" i="1" s="1"/>
  <c r="L1395" i="1"/>
  <c r="H1397" i="1" s="1"/>
  <c r="L1396" i="1"/>
  <c r="H1398" i="1" s="1"/>
  <c r="L1397" i="1"/>
  <c r="H1399" i="1" s="1"/>
  <c r="L1398" i="1"/>
  <c r="H1400" i="1" s="1"/>
  <c r="L1399" i="1"/>
  <c r="H1401" i="1" s="1"/>
  <c r="L1400" i="1"/>
  <c r="H1402" i="1" s="1"/>
  <c r="L1401" i="1"/>
  <c r="H1403" i="1" s="1"/>
  <c r="L1402" i="1"/>
  <c r="H1404" i="1" s="1"/>
  <c r="L1403" i="1"/>
  <c r="H1405" i="1" s="1"/>
  <c r="L1404" i="1"/>
  <c r="H1406" i="1" s="1"/>
  <c r="L1405" i="1"/>
  <c r="H1407" i="1" s="1"/>
  <c r="L1406" i="1"/>
  <c r="H1408" i="1" s="1"/>
  <c r="L1407" i="1"/>
  <c r="H1409" i="1" s="1"/>
  <c r="L1408" i="1"/>
  <c r="H1410" i="1" s="1"/>
  <c r="L1409" i="1"/>
  <c r="H1411" i="1" s="1"/>
  <c r="L1410" i="1"/>
  <c r="H1412" i="1" s="1"/>
  <c r="L1411" i="1"/>
  <c r="H1413" i="1" s="1"/>
  <c r="L1412" i="1"/>
  <c r="H1414" i="1" s="1"/>
  <c r="L1413" i="1"/>
  <c r="H1415" i="1" s="1"/>
  <c r="L1414" i="1"/>
  <c r="H1416" i="1" s="1"/>
  <c r="L1415" i="1"/>
  <c r="H1417" i="1" s="1"/>
  <c r="L1416" i="1"/>
  <c r="H1418" i="1" s="1"/>
  <c r="L1417" i="1"/>
  <c r="H1419" i="1" s="1"/>
  <c r="L1418" i="1"/>
  <c r="H1420" i="1" s="1"/>
  <c r="L1419" i="1"/>
  <c r="H1421" i="1" s="1"/>
  <c r="L1420" i="1"/>
  <c r="H1422" i="1" s="1"/>
  <c r="L1421" i="1"/>
  <c r="H1423" i="1" s="1"/>
  <c r="L1422" i="1"/>
  <c r="H1424" i="1" s="1"/>
  <c r="L1423" i="1"/>
  <c r="H1425" i="1" s="1"/>
  <c r="L1424" i="1"/>
  <c r="H1426" i="1" s="1"/>
  <c r="L1425" i="1"/>
  <c r="H1427" i="1" s="1"/>
  <c r="L1426" i="1"/>
  <c r="H1428" i="1" s="1"/>
  <c r="L1427" i="1"/>
  <c r="H1429" i="1" s="1"/>
  <c r="L1428" i="1"/>
  <c r="H1430" i="1" s="1"/>
  <c r="L1429" i="1"/>
  <c r="H1431" i="1" s="1"/>
  <c r="L1430" i="1"/>
  <c r="H1432" i="1" s="1"/>
  <c r="L1431" i="1"/>
  <c r="H1433" i="1" s="1"/>
  <c r="L1432" i="1"/>
  <c r="H1434" i="1" s="1"/>
  <c r="L1433" i="1"/>
  <c r="H1435" i="1" s="1"/>
  <c r="L1434" i="1"/>
  <c r="H1436" i="1" s="1"/>
  <c r="L1435" i="1"/>
  <c r="H1437" i="1" s="1"/>
  <c r="L1436" i="1"/>
  <c r="H1438" i="1" s="1"/>
  <c r="L1437" i="1"/>
  <c r="H1439" i="1" s="1"/>
  <c r="L1438" i="1"/>
  <c r="H1440" i="1" s="1"/>
  <c r="L1439" i="1"/>
  <c r="H1441" i="1" s="1"/>
  <c r="L1440" i="1"/>
  <c r="H1442" i="1" s="1"/>
  <c r="L1441" i="1"/>
  <c r="H1443" i="1" s="1"/>
  <c r="L1442" i="1"/>
  <c r="H1444" i="1" s="1"/>
  <c r="L1443" i="1"/>
  <c r="H1445" i="1" s="1"/>
  <c r="L1444" i="1"/>
  <c r="H1446" i="1" s="1"/>
  <c r="L1445" i="1"/>
  <c r="H1447" i="1" s="1"/>
  <c r="L1446" i="1"/>
  <c r="H1448" i="1" s="1"/>
  <c r="L1447" i="1"/>
  <c r="H1449" i="1" s="1"/>
  <c r="L1448" i="1"/>
  <c r="H1450" i="1" s="1"/>
  <c r="L1449" i="1"/>
  <c r="H1451" i="1" s="1"/>
  <c r="L1450" i="1"/>
  <c r="H1452" i="1" s="1"/>
  <c r="L1451" i="1"/>
  <c r="H1453" i="1" s="1"/>
  <c r="L1452" i="1"/>
  <c r="H1454" i="1" s="1"/>
  <c r="L1453" i="1"/>
  <c r="H1455" i="1" s="1"/>
  <c r="L1454" i="1"/>
  <c r="H1456" i="1" s="1"/>
  <c r="L1455" i="1"/>
  <c r="H1457" i="1" s="1"/>
  <c r="L1456" i="1"/>
  <c r="H1458" i="1" s="1"/>
  <c r="L1457" i="1"/>
  <c r="H1459" i="1" s="1"/>
  <c r="L1458" i="1"/>
  <c r="H1460" i="1" s="1"/>
  <c r="L1459" i="1"/>
  <c r="H1461" i="1" s="1"/>
  <c r="L1460" i="1"/>
  <c r="H1462" i="1" s="1"/>
  <c r="L1461" i="1"/>
  <c r="H1463" i="1" s="1"/>
  <c r="L1462" i="1"/>
  <c r="H1464" i="1" s="1"/>
  <c r="L1463" i="1"/>
  <c r="H1465" i="1" s="1"/>
  <c r="L1464" i="1"/>
  <c r="H1466" i="1" s="1"/>
  <c r="L1465" i="1"/>
  <c r="H1467" i="1" s="1"/>
  <c r="L1466" i="1"/>
  <c r="H1468" i="1" s="1"/>
  <c r="L1467" i="1"/>
  <c r="H1469" i="1" s="1"/>
  <c r="L1468" i="1"/>
  <c r="H1470" i="1" s="1"/>
  <c r="L1469" i="1"/>
  <c r="H1471" i="1" s="1"/>
  <c r="L1470" i="1"/>
  <c r="H1472" i="1" s="1"/>
  <c r="L1471" i="1"/>
  <c r="H1473" i="1" s="1"/>
  <c r="L1472" i="1"/>
  <c r="H1474" i="1" s="1"/>
  <c r="L1473" i="1"/>
  <c r="H1475" i="1" s="1"/>
  <c r="L1474" i="1"/>
  <c r="H1476" i="1" s="1"/>
  <c r="L1475" i="1"/>
  <c r="H1477" i="1" s="1"/>
  <c r="L1476" i="1"/>
  <c r="H1478" i="1" s="1"/>
  <c r="L1477" i="1"/>
  <c r="H1479" i="1" s="1"/>
  <c r="L1478" i="1"/>
  <c r="H1480" i="1" s="1"/>
  <c r="L1479" i="1"/>
  <c r="H1481" i="1" s="1"/>
  <c r="L1480" i="1"/>
  <c r="H1482" i="1" s="1"/>
  <c r="L1481" i="1"/>
  <c r="H1483" i="1" s="1"/>
  <c r="L1482" i="1"/>
  <c r="H1484" i="1" s="1"/>
  <c r="L1483" i="1"/>
  <c r="H1485" i="1" s="1"/>
  <c r="L1484" i="1"/>
  <c r="H1486" i="1" s="1"/>
  <c r="L1485" i="1"/>
  <c r="H1487" i="1" s="1"/>
  <c r="L1486" i="1"/>
  <c r="H1488" i="1" s="1"/>
  <c r="L1487" i="1"/>
  <c r="H1489" i="1" s="1"/>
  <c r="L1488" i="1"/>
  <c r="H1490" i="1" s="1"/>
  <c r="L1489" i="1"/>
  <c r="H1491" i="1" s="1"/>
  <c r="L1490" i="1"/>
  <c r="H1492" i="1" s="1"/>
  <c r="L1491" i="1"/>
  <c r="H1493" i="1" s="1"/>
  <c r="L1492" i="1"/>
  <c r="H1494" i="1" s="1"/>
  <c r="L1493" i="1"/>
  <c r="H1495" i="1" s="1"/>
  <c r="L1494" i="1"/>
  <c r="H1496" i="1" s="1"/>
  <c r="L1495" i="1"/>
  <c r="H1497" i="1" s="1"/>
  <c r="L1496" i="1"/>
  <c r="H1498" i="1" s="1"/>
  <c r="L1497" i="1"/>
  <c r="H1499" i="1" s="1"/>
  <c r="L1498" i="1"/>
  <c r="H1500" i="1" s="1"/>
  <c r="L1499" i="1"/>
  <c r="H1501" i="1" s="1"/>
  <c r="L1500" i="1"/>
  <c r="H1502" i="1" s="1"/>
  <c r="L1501" i="1"/>
  <c r="H1503" i="1" s="1"/>
  <c r="L1502" i="1"/>
  <c r="H1504" i="1" s="1"/>
  <c r="L1503" i="1"/>
  <c r="H1505" i="1" s="1"/>
  <c r="L1504" i="1"/>
  <c r="H1506" i="1" s="1"/>
  <c r="L1505" i="1"/>
  <c r="H1507" i="1" s="1"/>
  <c r="L1506" i="1"/>
  <c r="H1508" i="1" s="1"/>
  <c r="L1507" i="1"/>
  <c r="H1509" i="1" s="1"/>
  <c r="L1508" i="1"/>
  <c r="H1510" i="1" s="1"/>
  <c r="L1509" i="1"/>
  <c r="H1511" i="1" s="1"/>
  <c r="L1510" i="1"/>
  <c r="H1512" i="1" s="1"/>
  <c r="L1511" i="1"/>
  <c r="H1513" i="1" s="1"/>
  <c r="L1512" i="1"/>
  <c r="H1514" i="1" s="1"/>
  <c r="L1513" i="1"/>
  <c r="H1515" i="1" s="1"/>
  <c r="L1514" i="1"/>
  <c r="H1516" i="1" s="1"/>
  <c r="L1515" i="1"/>
  <c r="H1517" i="1" s="1"/>
  <c r="L1516" i="1"/>
  <c r="H1518" i="1" s="1"/>
  <c r="L1517" i="1"/>
  <c r="H1519" i="1" s="1"/>
  <c r="L1518" i="1"/>
  <c r="H1520" i="1" s="1"/>
  <c r="L1519" i="1"/>
  <c r="H1521" i="1" s="1"/>
  <c r="L1520" i="1"/>
  <c r="H1522" i="1" s="1"/>
  <c r="L1521" i="1"/>
  <c r="H1523" i="1" s="1"/>
  <c r="L1522" i="1"/>
  <c r="H1524" i="1" s="1"/>
  <c r="L1523" i="1"/>
  <c r="H1525" i="1" s="1"/>
  <c r="L1524" i="1"/>
  <c r="H1526" i="1" s="1"/>
  <c r="L1525" i="1"/>
  <c r="H1527" i="1" s="1"/>
  <c r="L1526" i="1"/>
  <c r="H1528" i="1" s="1"/>
  <c r="L1527" i="1"/>
  <c r="H1529" i="1" s="1"/>
  <c r="L1528" i="1"/>
  <c r="H1530" i="1" s="1"/>
  <c r="L1529" i="1"/>
  <c r="H1531" i="1" s="1"/>
  <c r="L1530" i="1"/>
  <c r="H1532" i="1" s="1"/>
  <c r="L1531" i="1"/>
  <c r="H1533" i="1" s="1"/>
  <c r="L1532" i="1"/>
  <c r="H1534" i="1" s="1"/>
  <c r="L1533" i="1"/>
  <c r="H1535" i="1" s="1"/>
  <c r="L1534" i="1"/>
  <c r="H1536" i="1" s="1"/>
  <c r="L1535" i="1"/>
  <c r="H1537" i="1" s="1"/>
  <c r="L1536" i="1"/>
  <c r="H1538" i="1" s="1"/>
  <c r="L1537" i="1"/>
  <c r="H1539" i="1" s="1"/>
  <c r="L1538" i="1"/>
  <c r="H1540" i="1" s="1"/>
  <c r="L1539" i="1"/>
  <c r="H1541" i="1" s="1"/>
  <c r="L1540" i="1"/>
  <c r="H1542" i="1" s="1"/>
  <c r="L1541" i="1"/>
  <c r="H1543" i="1" s="1"/>
  <c r="L1542" i="1"/>
  <c r="H1544" i="1" s="1"/>
  <c r="L1543" i="1"/>
  <c r="H1545" i="1" s="1"/>
  <c r="L1544" i="1"/>
  <c r="H1546" i="1" s="1"/>
  <c r="L1545" i="1"/>
  <c r="H1547" i="1" s="1"/>
  <c r="L1546" i="1"/>
  <c r="H1548" i="1" s="1"/>
  <c r="L1547" i="1"/>
  <c r="H1549" i="1" s="1"/>
  <c r="L1548" i="1"/>
  <c r="H1550" i="1" s="1"/>
  <c r="L1549" i="1"/>
  <c r="H1551" i="1" s="1"/>
  <c r="L1550" i="1"/>
  <c r="H1552" i="1" s="1"/>
  <c r="L1551" i="1"/>
  <c r="H1553" i="1" s="1"/>
  <c r="L1552" i="1"/>
  <c r="H1554" i="1" s="1"/>
  <c r="L1553" i="1"/>
  <c r="H1555" i="1" s="1"/>
  <c r="L1554" i="1"/>
  <c r="H1556" i="1" s="1"/>
  <c r="L1555" i="1"/>
  <c r="H1557" i="1" s="1"/>
  <c r="L1556" i="1"/>
  <c r="H1558" i="1" s="1"/>
  <c r="L1557" i="1"/>
  <c r="H1559" i="1" s="1"/>
  <c r="L1558" i="1"/>
  <c r="H1560" i="1" s="1"/>
  <c r="L1559" i="1"/>
  <c r="H1561" i="1" s="1"/>
  <c r="L1560" i="1"/>
  <c r="H1562" i="1" s="1"/>
  <c r="L1561" i="1"/>
  <c r="H1563" i="1" s="1"/>
  <c r="L1562" i="1"/>
  <c r="H1564" i="1" s="1"/>
  <c r="L1563" i="1"/>
  <c r="H1565" i="1" s="1"/>
  <c r="L1564" i="1"/>
  <c r="H1566" i="1" s="1"/>
  <c r="L1565" i="1"/>
  <c r="H1567" i="1" s="1"/>
  <c r="L1566" i="1"/>
  <c r="H1568" i="1" s="1"/>
  <c r="L1567" i="1"/>
  <c r="H1569" i="1" s="1"/>
  <c r="L1568" i="1"/>
  <c r="H1570" i="1" s="1"/>
  <c r="L1569" i="1"/>
  <c r="H1571" i="1" s="1"/>
  <c r="L1570" i="1"/>
  <c r="H1572" i="1" s="1"/>
  <c r="L1571" i="1"/>
  <c r="H1573" i="1" s="1"/>
  <c r="L1572" i="1"/>
  <c r="H1574" i="1" s="1"/>
  <c r="L1573" i="1"/>
  <c r="H1575" i="1" s="1"/>
  <c r="L1574" i="1"/>
  <c r="H1576" i="1" s="1"/>
  <c r="L1575" i="1"/>
  <c r="H1577" i="1" s="1"/>
  <c r="L1576" i="1"/>
  <c r="H1578" i="1" s="1"/>
  <c r="L1577" i="1"/>
  <c r="H1579" i="1" s="1"/>
  <c r="L1578" i="1"/>
  <c r="H1580" i="1" s="1"/>
  <c r="L1579" i="1"/>
  <c r="H1581" i="1" s="1"/>
  <c r="L1580" i="1"/>
  <c r="H1582" i="1" s="1"/>
  <c r="L1581" i="1"/>
  <c r="H1583" i="1" s="1"/>
  <c r="L1582" i="1"/>
  <c r="H1584" i="1" s="1"/>
  <c r="L1583" i="1"/>
  <c r="H1585" i="1" s="1"/>
  <c r="L1584" i="1"/>
  <c r="H1586" i="1" s="1"/>
  <c r="L1585" i="1"/>
  <c r="H1587" i="1" s="1"/>
  <c r="L1586" i="1"/>
  <c r="H1588" i="1" s="1"/>
  <c r="L1587" i="1"/>
  <c r="H1589" i="1" s="1"/>
  <c r="L1588" i="1"/>
  <c r="H1590" i="1" s="1"/>
  <c r="L1589" i="1"/>
  <c r="H1591" i="1" s="1"/>
  <c r="L1590" i="1"/>
  <c r="H1592" i="1" s="1"/>
  <c r="L1591" i="1"/>
  <c r="H1593" i="1" s="1"/>
  <c r="L1592" i="1"/>
  <c r="H1594" i="1" s="1"/>
  <c r="L1593" i="1"/>
  <c r="H1595" i="1" s="1"/>
  <c r="L1594" i="1"/>
  <c r="H1596" i="1" s="1"/>
  <c r="L1595" i="1"/>
  <c r="H1597" i="1" s="1"/>
  <c r="L1596" i="1"/>
  <c r="H1598" i="1" s="1"/>
  <c r="L1597" i="1"/>
  <c r="H1599" i="1" s="1"/>
  <c r="L1598" i="1"/>
  <c r="H1600" i="1" s="1"/>
  <c r="L1599" i="1"/>
  <c r="H1601" i="1" s="1"/>
  <c r="L1600" i="1"/>
  <c r="H1602" i="1" s="1"/>
  <c r="L1601" i="1"/>
  <c r="H1603" i="1" s="1"/>
  <c r="L1602" i="1"/>
  <c r="H1604" i="1" s="1"/>
  <c r="L1603" i="1"/>
  <c r="H1605" i="1" s="1"/>
  <c r="L1604" i="1"/>
  <c r="H1606" i="1" s="1"/>
  <c r="L1605" i="1"/>
  <c r="H1607" i="1" s="1"/>
  <c r="L1606" i="1"/>
  <c r="H1608" i="1" s="1"/>
  <c r="L1607" i="1"/>
  <c r="H1609" i="1" s="1"/>
  <c r="L1608" i="1"/>
  <c r="H1610" i="1" s="1"/>
  <c r="L1609" i="1"/>
  <c r="H1611" i="1" s="1"/>
  <c r="L1610" i="1"/>
  <c r="H1612" i="1" s="1"/>
  <c r="L1611" i="1"/>
  <c r="H1613" i="1" s="1"/>
  <c r="L1612" i="1"/>
  <c r="H1614" i="1" s="1"/>
  <c r="L1613" i="1"/>
  <c r="H1615" i="1" s="1"/>
  <c r="L1614" i="1"/>
  <c r="H1616" i="1" s="1"/>
  <c r="L1615" i="1"/>
  <c r="H1617" i="1" s="1"/>
  <c r="L1616" i="1"/>
  <c r="H1618" i="1" s="1"/>
  <c r="L1617" i="1"/>
  <c r="H1619" i="1" s="1"/>
  <c r="L1618" i="1"/>
  <c r="H1620" i="1" s="1"/>
  <c r="L1619" i="1"/>
  <c r="H1621" i="1" s="1"/>
  <c r="L1620" i="1"/>
  <c r="H1622" i="1" s="1"/>
  <c r="L1621" i="1"/>
  <c r="H1623" i="1" s="1"/>
  <c r="L1622" i="1"/>
  <c r="H1624" i="1" s="1"/>
  <c r="L1623" i="1"/>
  <c r="H1625" i="1" s="1"/>
  <c r="L1624" i="1"/>
  <c r="H1626" i="1" s="1"/>
  <c r="L1625" i="1"/>
  <c r="H1627" i="1" s="1"/>
  <c r="L1626" i="1"/>
  <c r="H1628" i="1" s="1"/>
  <c r="L1627" i="1"/>
  <c r="H1629" i="1" s="1"/>
  <c r="L1628" i="1"/>
  <c r="H1630" i="1" s="1"/>
  <c r="L1629" i="1"/>
  <c r="H1631" i="1" s="1"/>
  <c r="L1630" i="1"/>
  <c r="H1632" i="1" s="1"/>
  <c r="L1631" i="1"/>
  <c r="H1633" i="1" s="1"/>
  <c r="L1632" i="1"/>
  <c r="H1634" i="1" s="1"/>
  <c r="L1633" i="1"/>
  <c r="H1635" i="1" s="1"/>
  <c r="L1634" i="1"/>
  <c r="H1636" i="1" s="1"/>
  <c r="L1635" i="1"/>
  <c r="H1637" i="1" s="1"/>
  <c r="L1636" i="1"/>
  <c r="H1638" i="1" s="1"/>
  <c r="L1637" i="1"/>
  <c r="H1639" i="1" s="1"/>
  <c r="L1638" i="1"/>
  <c r="H1640" i="1" s="1"/>
  <c r="L1639" i="1"/>
  <c r="H1641" i="1" s="1"/>
  <c r="L1640" i="1"/>
  <c r="H1642" i="1" s="1"/>
  <c r="L1641" i="1"/>
  <c r="H1643" i="1" s="1"/>
  <c r="L1642" i="1"/>
  <c r="H1644" i="1" s="1"/>
  <c r="L1643" i="1"/>
  <c r="H1645" i="1" s="1"/>
  <c r="L1644" i="1"/>
  <c r="H1646" i="1" s="1"/>
  <c r="L1645" i="1"/>
  <c r="H1647" i="1" s="1"/>
  <c r="L1646" i="1"/>
  <c r="H1648" i="1" s="1"/>
  <c r="L1647" i="1"/>
  <c r="H1649" i="1" s="1"/>
  <c r="L1648" i="1"/>
  <c r="H1650" i="1" s="1"/>
  <c r="L1649" i="1"/>
  <c r="H1651" i="1" s="1"/>
  <c r="L1650" i="1"/>
  <c r="H1652" i="1" s="1"/>
  <c r="L1651" i="1"/>
  <c r="H1653" i="1" s="1"/>
  <c r="L1652" i="1"/>
  <c r="H1654" i="1" s="1"/>
  <c r="L1653" i="1"/>
  <c r="H1655" i="1" s="1"/>
  <c r="L1654" i="1"/>
  <c r="H1656" i="1" s="1"/>
  <c r="L1655" i="1"/>
  <c r="H1657" i="1" s="1"/>
  <c r="L1656" i="1"/>
  <c r="H1658" i="1" s="1"/>
  <c r="L1657" i="1"/>
  <c r="H1659" i="1" s="1"/>
  <c r="L1658" i="1"/>
  <c r="H1660" i="1" s="1"/>
  <c r="L1659" i="1"/>
  <c r="H1661" i="1" s="1"/>
  <c r="L1660" i="1"/>
  <c r="H1662" i="1" s="1"/>
  <c r="L1661" i="1"/>
  <c r="H1663" i="1" s="1"/>
  <c r="L1662" i="1"/>
  <c r="H1664" i="1" s="1"/>
  <c r="L1663" i="1"/>
  <c r="H1665" i="1" s="1"/>
  <c r="L1664" i="1"/>
  <c r="H1666" i="1" s="1"/>
  <c r="L1665" i="1"/>
  <c r="H1667" i="1" s="1"/>
  <c r="L1666" i="1"/>
  <c r="H1668" i="1" s="1"/>
  <c r="L1667" i="1"/>
  <c r="H1669" i="1" s="1"/>
  <c r="L1668" i="1"/>
  <c r="H1670" i="1" s="1"/>
  <c r="L1669" i="1"/>
  <c r="H1671" i="1" s="1"/>
  <c r="L1670" i="1"/>
  <c r="H1672" i="1" s="1"/>
  <c r="L1671" i="1"/>
  <c r="H1673" i="1" s="1"/>
  <c r="L1672" i="1"/>
  <c r="H1674" i="1" s="1"/>
  <c r="L1673" i="1"/>
  <c r="H1675" i="1" s="1"/>
  <c r="L1674" i="1"/>
  <c r="H1676" i="1" s="1"/>
  <c r="L1675" i="1"/>
  <c r="H1677" i="1" s="1"/>
  <c r="L1676" i="1"/>
  <c r="H1678" i="1" s="1"/>
  <c r="L1677" i="1"/>
  <c r="H1679" i="1" s="1"/>
  <c r="L1678" i="1"/>
  <c r="H1680" i="1" s="1"/>
  <c r="L1679" i="1"/>
  <c r="H1681" i="1" s="1"/>
  <c r="L1680" i="1"/>
  <c r="H1682" i="1" s="1"/>
  <c r="L1681" i="1"/>
  <c r="H1683" i="1" s="1"/>
  <c r="L1682" i="1"/>
  <c r="H1684" i="1" s="1"/>
  <c r="L1683" i="1"/>
  <c r="H1685" i="1" s="1"/>
  <c r="L1684" i="1"/>
  <c r="H1686" i="1" s="1"/>
  <c r="L1685" i="1"/>
  <c r="H1687" i="1" s="1"/>
  <c r="L1686" i="1"/>
  <c r="H1688" i="1" s="1"/>
  <c r="L1687" i="1"/>
  <c r="H1689" i="1" s="1"/>
  <c r="L1688" i="1"/>
  <c r="H1690" i="1" s="1"/>
  <c r="L1689" i="1"/>
  <c r="H1691" i="1" s="1"/>
  <c r="L1690" i="1"/>
  <c r="H1692" i="1" s="1"/>
  <c r="L1691" i="1"/>
  <c r="H1693" i="1" s="1"/>
  <c r="L1692" i="1"/>
  <c r="H1694" i="1" s="1"/>
  <c r="L1693" i="1"/>
  <c r="H1695" i="1" s="1"/>
  <c r="L1694" i="1"/>
  <c r="H1696" i="1" s="1"/>
  <c r="L1695" i="1"/>
  <c r="H1697" i="1" s="1"/>
  <c r="L1696" i="1"/>
  <c r="H1698" i="1" s="1"/>
  <c r="L1697" i="1"/>
  <c r="H1699" i="1" s="1"/>
  <c r="L1698" i="1"/>
  <c r="H1700" i="1" s="1"/>
  <c r="L1699" i="1"/>
  <c r="H1701" i="1" s="1"/>
  <c r="L1700" i="1"/>
  <c r="H1702" i="1" s="1"/>
  <c r="L1701" i="1"/>
  <c r="H1703" i="1" s="1"/>
  <c r="L1702" i="1"/>
  <c r="H1704" i="1" s="1"/>
  <c r="L1703" i="1"/>
  <c r="H1705" i="1" s="1"/>
  <c r="L1704" i="1"/>
  <c r="H1706" i="1" s="1"/>
  <c r="L1705" i="1"/>
  <c r="H1707" i="1" s="1"/>
  <c r="L1706" i="1"/>
  <c r="H1708" i="1" s="1"/>
  <c r="L1707" i="1"/>
  <c r="H1709" i="1" s="1"/>
  <c r="L1708" i="1"/>
  <c r="H1710" i="1" s="1"/>
  <c r="L1709" i="1"/>
  <c r="H1711" i="1" s="1"/>
  <c r="L1710" i="1"/>
  <c r="H1712" i="1" s="1"/>
  <c r="L1711" i="1"/>
  <c r="H1713" i="1" s="1"/>
  <c r="L1712" i="1"/>
  <c r="H1714" i="1" s="1"/>
  <c r="L1713" i="1"/>
  <c r="H1715" i="1" s="1"/>
  <c r="L1714" i="1"/>
  <c r="H1716" i="1" s="1"/>
  <c r="L1715" i="1"/>
  <c r="H1717" i="1" s="1"/>
  <c r="L1716" i="1"/>
  <c r="H1718" i="1" s="1"/>
  <c r="L1717" i="1"/>
  <c r="H1719" i="1" s="1"/>
  <c r="L1718" i="1"/>
  <c r="H1720" i="1" s="1"/>
  <c r="L1719" i="1"/>
  <c r="H1721" i="1" s="1"/>
  <c r="L1720" i="1"/>
  <c r="H1722" i="1" s="1"/>
  <c r="L1721" i="1"/>
  <c r="H1723" i="1" s="1"/>
  <c r="L1722" i="1"/>
  <c r="H1724" i="1" s="1"/>
  <c r="L1723" i="1"/>
  <c r="H1725" i="1" s="1"/>
  <c r="L1724" i="1"/>
  <c r="H1726" i="1" s="1"/>
  <c r="L1725" i="1"/>
  <c r="H1727" i="1" s="1"/>
  <c r="L1726" i="1"/>
  <c r="H1728" i="1" s="1"/>
  <c r="L1727" i="1"/>
  <c r="H1729" i="1" s="1"/>
  <c r="L1728" i="1"/>
  <c r="H1730" i="1" s="1"/>
  <c r="L1729" i="1"/>
  <c r="H1731" i="1" s="1"/>
  <c r="L1730" i="1"/>
  <c r="H1732" i="1" s="1"/>
  <c r="L1731" i="1"/>
  <c r="H1733" i="1" s="1"/>
  <c r="L1732" i="1"/>
  <c r="H1734" i="1" s="1"/>
  <c r="L1733" i="1"/>
  <c r="H1735" i="1" s="1"/>
  <c r="L1734" i="1"/>
  <c r="H1736" i="1" s="1"/>
  <c r="L1735" i="1"/>
  <c r="H1737" i="1" s="1"/>
  <c r="L1736" i="1"/>
  <c r="H1738" i="1" s="1"/>
  <c r="L1737" i="1"/>
  <c r="H1739" i="1" s="1"/>
  <c r="L1738" i="1"/>
  <c r="H1740" i="1" s="1"/>
  <c r="L1739" i="1"/>
  <c r="H1741" i="1" s="1"/>
  <c r="L1740" i="1"/>
  <c r="H1742" i="1" s="1"/>
  <c r="L1741" i="1"/>
  <c r="H1743" i="1" s="1"/>
  <c r="L1742" i="1"/>
  <c r="H1744" i="1" s="1"/>
  <c r="L1743" i="1"/>
  <c r="H1745" i="1" s="1"/>
  <c r="L1744" i="1"/>
  <c r="H1746" i="1" s="1"/>
  <c r="L1745" i="1"/>
  <c r="H1747" i="1" s="1"/>
  <c r="L1746" i="1"/>
  <c r="H1748" i="1" s="1"/>
  <c r="L1747" i="1"/>
  <c r="H1749" i="1" s="1"/>
  <c r="L1748" i="1"/>
  <c r="H1750" i="1" s="1"/>
  <c r="L1749" i="1"/>
  <c r="H1751" i="1" s="1"/>
  <c r="L1750" i="1"/>
  <c r="H1752" i="1" s="1"/>
  <c r="L1751" i="1"/>
  <c r="H1753" i="1" s="1"/>
  <c r="L1752" i="1"/>
  <c r="H1754" i="1" s="1"/>
  <c r="L1753" i="1"/>
  <c r="H1755" i="1" s="1"/>
  <c r="L1754" i="1"/>
  <c r="H1756" i="1" s="1"/>
  <c r="L1755" i="1"/>
  <c r="H1757" i="1" s="1"/>
  <c r="L1756" i="1"/>
  <c r="H1758" i="1" s="1"/>
  <c r="L1757" i="1"/>
  <c r="H1759" i="1" s="1"/>
  <c r="L1758" i="1"/>
  <c r="H1760" i="1" s="1"/>
  <c r="L1759" i="1"/>
  <c r="H1761" i="1" s="1"/>
  <c r="L1760" i="1"/>
  <c r="H1762" i="1" s="1"/>
  <c r="L1761" i="1"/>
  <c r="H1763" i="1" s="1"/>
  <c r="L1762" i="1"/>
  <c r="H1764" i="1" s="1"/>
  <c r="L1763" i="1"/>
  <c r="H1765" i="1" s="1"/>
  <c r="L1764" i="1"/>
  <c r="H1766" i="1" s="1"/>
  <c r="L1765" i="1"/>
  <c r="H1767" i="1" s="1"/>
  <c r="L1766" i="1"/>
  <c r="H1768" i="1" s="1"/>
  <c r="L1767" i="1"/>
  <c r="H1769" i="1" s="1"/>
  <c r="L1768" i="1"/>
  <c r="H1770" i="1" s="1"/>
  <c r="L1769" i="1"/>
  <c r="H1771" i="1" s="1"/>
  <c r="L1770" i="1"/>
  <c r="H1772" i="1" s="1"/>
  <c r="L1771" i="1"/>
  <c r="H1773" i="1" s="1"/>
  <c r="L1772" i="1"/>
  <c r="H1774" i="1" s="1"/>
  <c r="L1773" i="1"/>
  <c r="H1775" i="1" s="1"/>
  <c r="L1774" i="1"/>
  <c r="H1776" i="1" s="1"/>
  <c r="L1775" i="1"/>
  <c r="H1777" i="1" s="1"/>
  <c r="L1776" i="1"/>
  <c r="H1778" i="1" s="1"/>
  <c r="L1777" i="1"/>
  <c r="H1779" i="1" s="1"/>
  <c r="L1778" i="1"/>
  <c r="H1780" i="1" s="1"/>
  <c r="L1779" i="1"/>
  <c r="H1781" i="1" s="1"/>
  <c r="L1780" i="1"/>
  <c r="H1782" i="1" s="1"/>
  <c r="L1781" i="1"/>
  <c r="H1783" i="1" s="1"/>
  <c r="L1782" i="1"/>
  <c r="H1784" i="1" s="1"/>
  <c r="L1783" i="1"/>
  <c r="H1785" i="1" s="1"/>
  <c r="L1784" i="1"/>
  <c r="H1786" i="1" s="1"/>
  <c r="L1785" i="1"/>
  <c r="H1787" i="1" s="1"/>
  <c r="L1786" i="1"/>
  <c r="H1788" i="1" s="1"/>
  <c r="L1787" i="1"/>
  <c r="H1789" i="1" s="1"/>
  <c r="L1788" i="1"/>
  <c r="H1790" i="1" s="1"/>
  <c r="L1789" i="1"/>
  <c r="H1791" i="1" s="1"/>
  <c r="L1790" i="1"/>
  <c r="H1792" i="1" s="1"/>
  <c r="L1791" i="1"/>
  <c r="H1793" i="1" s="1"/>
  <c r="L1792" i="1"/>
  <c r="H1794" i="1" s="1"/>
  <c r="L1793" i="1"/>
  <c r="H1795" i="1" s="1"/>
  <c r="L1794" i="1"/>
  <c r="H1796" i="1" s="1"/>
  <c r="L1795" i="1"/>
  <c r="H1797" i="1" s="1"/>
  <c r="L1796" i="1"/>
  <c r="H1798" i="1" s="1"/>
  <c r="L1797" i="1"/>
  <c r="H1799" i="1" s="1"/>
  <c r="L1798" i="1"/>
  <c r="H1800" i="1" s="1"/>
  <c r="L1799" i="1"/>
  <c r="H1801" i="1" s="1"/>
  <c r="L1800" i="1"/>
  <c r="H1802" i="1" s="1"/>
  <c r="L1801" i="1"/>
  <c r="H1803" i="1" s="1"/>
  <c r="L1802" i="1"/>
  <c r="H1804" i="1" s="1"/>
  <c r="L1803" i="1"/>
  <c r="H1805" i="1" s="1"/>
  <c r="L1804" i="1"/>
  <c r="H1806" i="1" s="1"/>
  <c r="L1805" i="1"/>
  <c r="H1807" i="1" s="1"/>
  <c r="L1806" i="1"/>
  <c r="H1808" i="1" s="1"/>
  <c r="L1807" i="1"/>
  <c r="H1809" i="1" s="1"/>
  <c r="L1808" i="1"/>
  <c r="H1810" i="1" s="1"/>
  <c r="L1809" i="1"/>
  <c r="H1811" i="1" s="1"/>
  <c r="L1810" i="1"/>
  <c r="H1812" i="1" s="1"/>
  <c r="L1811" i="1"/>
  <c r="H1813" i="1" s="1"/>
  <c r="L1812" i="1"/>
  <c r="H1814" i="1" s="1"/>
  <c r="L1813" i="1"/>
  <c r="H1815" i="1" s="1"/>
  <c r="L1814" i="1"/>
  <c r="H1816" i="1" s="1"/>
  <c r="L1815" i="1"/>
  <c r="H1817" i="1" s="1"/>
  <c r="L1816" i="1"/>
  <c r="H1818" i="1" s="1"/>
  <c r="L1817" i="1"/>
  <c r="H1819" i="1" s="1"/>
  <c r="L1818" i="1"/>
  <c r="H1820" i="1" s="1"/>
  <c r="L1819" i="1"/>
  <c r="H1821" i="1" s="1"/>
  <c r="L1820" i="1"/>
  <c r="H1822" i="1" s="1"/>
  <c r="L1821" i="1"/>
  <c r="H1823" i="1" s="1"/>
  <c r="L1822" i="1"/>
  <c r="H1824" i="1" s="1"/>
  <c r="L1823" i="1"/>
  <c r="H1825" i="1" s="1"/>
  <c r="L1824" i="1"/>
  <c r="H1826" i="1" s="1"/>
  <c r="L1825" i="1"/>
  <c r="H1827" i="1" s="1"/>
  <c r="L1826" i="1"/>
  <c r="H1828" i="1" s="1"/>
  <c r="L1827" i="1"/>
  <c r="H1829" i="1" s="1"/>
  <c r="L1828" i="1"/>
  <c r="H1830" i="1" s="1"/>
  <c r="L1829" i="1"/>
  <c r="H1831" i="1" s="1"/>
  <c r="L1830" i="1"/>
  <c r="H1832" i="1" s="1"/>
  <c r="L1831" i="1"/>
  <c r="H1833" i="1" s="1"/>
  <c r="L1832" i="1"/>
  <c r="H1834" i="1" s="1"/>
  <c r="L1833" i="1"/>
  <c r="H1835" i="1" s="1"/>
  <c r="L1834" i="1"/>
  <c r="H1836" i="1" s="1"/>
  <c r="L1835" i="1"/>
  <c r="H1837" i="1" s="1"/>
  <c r="L1836" i="1"/>
  <c r="H1838" i="1" s="1"/>
  <c r="L1837" i="1"/>
  <c r="H1839" i="1" s="1"/>
  <c r="L1838" i="1"/>
  <c r="H1840" i="1" s="1"/>
  <c r="L1839" i="1"/>
  <c r="H1841" i="1" s="1"/>
  <c r="L1840" i="1"/>
  <c r="H1842" i="1" s="1"/>
  <c r="L1841" i="1"/>
  <c r="H1843" i="1" s="1"/>
  <c r="L1842" i="1"/>
  <c r="H1844" i="1" s="1"/>
  <c r="L1843" i="1"/>
  <c r="H1845" i="1" s="1"/>
  <c r="L1844" i="1"/>
  <c r="H1846" i="1" s="1"/>
  <c r="L1845" i="1"/>
  <c r="H1847" i="1" s="1"/>
  <c r="L1846" i="1"/>
  <c r="H1848" i="1" s="1"/>
  <c r="L1847" i="1"/>
  <c r="H1849" i="1" s="1"/>
  <c r="L1848" i="1"/>
  <c r="H1850" i="1" s="1"/>
  <c r="L1849" i="1"/>
  <c r="H1851" i="1" s="1"/>
  <c r="L1850" i="1"/>
  <c r="H1852" i="1" s="1"/>
  <c r="L1851" i="1"/>
  <c r="H1853" i="1" s="1"/>
  <c r="L1852" i="1"/>
  <c r="H1854" i="1" s="1"/>
  <c r="L1853" i="1"/>
  <c r="H1855" i="1" s="1"/>
  <c r="L1854" i="1"/>
  <c r="H1856" i="1" s="1"/>
  <c r="L1855" i="1"/>
  <c r="H1857" i="1" s="1"/>
  <c r="L1856" i="1"/>
  <c r="H1858" i="1" s="1"/>
  <c r="L1857" i="1"/>
  <c r="H1859" i="1" s="1"/>
  <c r="L1858" i="1"/>
  <c r="H1860" i="1" s="1"/>
  <c r="L1859" i="1"/>
  <c r="H1861" i="1" s="1"/>
  <c r="L1860" i="1"/>
  <c r="H1862" i="1" s="1"/>
  <c r="L1861" i="1"/>
  <c r="H1863" i="1" s="1"/>
  <c r="L1862" i="1"/>
  <c r="H1864" i="1" s="1"/>
  <c r="L1863" i="1"/>
  <c r="H1865" i="1" s="1"/>
  <c r="L1864" i="1"/>
  <c r="H1866" i="1" s="1"/>
  <c r="L1865" i="1"/>
  <c r="H1867" i="1" s="1"/>
  <c r="L1866" i="1"/>
  <c r="H1868" i="1" s="1"/>
  <c r="L1867" i="1"/>
  <c r="H1869" i="1" s="1"/>
  <c r="L1868" i="1"/>
  <c r="H1870" i="1" s="1"/>
  <c r="L1869" i="1"/>
  <c r="H1871" i="1" s="1"/>
  <c r="L1870" i="1"/>
  <c r="H1872" i="1" s="1"/>
  <c r="L1871" i="1"/>
  <c r="H1873" i="1" s="1"/>
  <c r="L1872" i="1"/>
  <c r="H1874" i="1" s="1"/>
  <c r="L1873" i="1"/>
  <c r="H1875" i="1" s="1"/>
  <c r="L1874" i="1"/>
  <c r="H1876" i="1" s="1"/>
  <c r="L1875" i="1"/>
  <c r="H1877" i="1" s="1"/>
  <c r="L1876" i="1"/>
  <c r="H1878" i="1" s="1"/>
  <c r="L1877" i="1"/>
  <c r="H1879" i="1" s="1"/>
  <c r="L1878" i="1"/>
  <c r="H1880" i="1" s="1"/>
  <c r="L1879" i="1"/>
  <c r="H1881" i="1" s="1"/>
  <c r="L1880" i="1"/>
  <c r="H1882" i="1" s="1"/>
  <c r="L1881" i="1"/>
  <c r="H1883" i="1" s="1"/>
  <c r="L1882" i="1"/>
  <c r="H1884" i="1" s="1"/>
  <c r="L1883" i="1"/>
  <c r="H1885" i="1" s="1"/>
  <c r="L1884" i="1"/>
  <c r="H1886" i="1" s="1"/>
  <c r="L1885" i="1"/>
  <c r="H1887" i="1" s="1"/>
  <c r="L1886" i="1"/>
  <c r="H1888" i="1" s="1"/>
  <c r="L1887" i="1"/>
  <c r="H1889" i="1" s="1"/>
  <c r="L1888" i="1"/>
  <c r="H1890" i="1" s="1"/>
  <c r="L1889" i="1"/>
  <c r="H1891" i="1" s="1"/>
  <c r="L1890" i="1"/>
  <c r="H1892" i="1" s="1"/>
  <c r="L1891" i="1"/>
  <c r="H1893" i="1" s="1"/>
  <c r="L1892" i="1"/>
  <c r="H1894" i="1" s="1"/>
  <c r="L1893" i="1"/>
  <c r="H1895" i="1" s="1"/>
  <c r="L1894" i="1"/>
  <c r="H1896" i="1" s="1"/>
  <c r="L1895" i="1"/>
  <c r="H1897" i="1" s="1"/>
  <c r="L1896" i="1"/>
  <c r="H1898" i="1" s="1"/>
  <c r="L1897" i="1"/>
  <c r="H1899" i="1" s="1"/>
  <c r="L1898" i="1"/>
  <c r="H1900" i="1" s="1"/>
  <c r="L1899" i="1"/>
  <c r="H1901" i="1" s="1"/>
  <c r="L1900" i="1"/>
  <c r="H1902" i="1" s="1"/>
  <c r="L1901" i="1"/>
  <c r="H1903" i="1" s="1"/>
  <c r="L1902" i="1"/>
  <c r="H1904" i="1" s="1"/>
  <c r="L1903" i="1"/>
  <c r="H1905" i="1" s="1"/>
  <c r="L1904" i="1"/>
  <c r="H1906" i="1" s="1"/>
  <c r="L1905" i="1"/>
  <c r="H1907" i="1" s="1"/>
  <c r="L1906" i="1"/>
  <c r="H1908" i="1" s="1"/>
  <c r="L1907" i="1"/>
  <c r="H1909" i="1" s="1"/>
  <c r="L1908" i="1"/>
  <c r="H1910" i="1" s="1"/>
  <c r="L1909" i="1"/>
  <c r="H1911" i="1" s="1"/>
  <c r="L1910" i="1"/>
  <c r="H1912" i="1" s="1"/>
  <c r="L1911" i="1"/>
  <c r="H1913" i="1" s="1"/>
  <c r="L1912" i="1"/>
  <c r="H1914" i="1" s="1"/>
  <c r="L1913" i="1"/>
  <c r="H1915" i="1" s="1"/>
  <c r="L1914" i="1"/>
  <c r="H1916" i="1" s="1"/>
  <c r="L1915" i="1"/>
  <c r="H1917" i="1" s="1"/>
  <c r="L1916" i="1"/>
  <c r="H1918" i="1" s="1"/>
  <c r="L1917" i="1"/>
  <c r="H1919" i="1" s="1"/>
  <c r="L1918" i="1"/>
  <c r="H1920" i="1" s="1"/>
  <c r="L1919" i="1"/>
  <c r="H1921" i="1" s="1"/>
  <c r="L1920" i="1"/>
  <c r="H1922" i="1" s="1"/>
  <c r="L1921" i="1"/>
  <c r="H1923" i="1" s="1"/>
  <c r="L1922" i="1"/>
  <c r="H1924" i="1" s="1"/>
  <c r="L1923" i="1"/>
  <c r="H1925" i="1" s="1"/>
  <c r="L1924" i="1"/>
  <c r="H1926" i="1" s="1"/>
  <c r="L1925" i="1"/>
  <c r="H1927" i="1" s="1"/>
  <c r="L1926" i="1"/>
  <c r="H1928" i="1" s="1"/>
  <c r="L1927" i="1"/>
  <c r="H1929" i="1" s="1"/>
  <c r="L1928" i="1"/>
  <c r="H1930" i="1" s="1"/>
  <c r="L1929" i="1"/>
  <c r="H1931" i="1" s="1"/>
  <c r="L1930" i="1"/>
  <c r="H1932" i="1" s="1"/>
  <c r="L1931" i="1"/>
  <c r="H1933" i="1" s="1"/>
  <c r="L1932" i="1"/>
  <c r="H1934" i="1" s="1"/>
  <c r="L1933" i="1"/>
  <c r="H1935" i="1" s="1"/>
  <c r="L1934" i="1"/>
  <c r="H1936" i="1" s="1"/>
  <c r="L1935" i="1"/>
  <c r="H1937" i="1" s="1"/>
  <c r="L1936" i="1"/>
  <c r="H1938" i="1" s="1"/>
  <c r="L1937" i="1"/>
  <c r="H1939" i="1" s="1"/>
  <c r="L1938" i="1"/>
  <c r="H1940" i="1" s="1"/>
  <c r="L1939" i="1"/>
  <c r="H1941" i="1" s="1"/>
  <c r="L1940" i="1"/>
  <c r="H1942" i="1" s="1"/>
  <c r="L1941" i="1"/>
  <c r="H1943" i="1" s="1"/>
  <c r="L1942" i="1"/>
  <c r="H1944" i="1" s="1"/>
  <c r="L1943" i="1"/>
  <c r="H1945" i="1" s="1"/>
  <c r="L1944" i="1"/>
  <c r="H1946" i="1" s="1"/>
  <c r="L1945" i="1"/>
  <c r="H1947" i="1" s="1"/>
  <c r="L1946" i="1"/>
  <c r="H1948" i="1" s="1"/>
  <c r="L1947" i="1"/>
  <c r="H1949" i="1" s="1"/>
  <c r="L1948" i="1"/>
  <c r="H1950" i="1" s="1"/>
  <c r="L1949" i="1"/>
  <c r="H1951" i="1" s="1"/>
  <c r="L1950" i="1"/>
  <c r="H1952" i="1" s="1"/>
  <c r="L1951" i="1"/>
  <c r="H1953" i="1" s="1"/>
  <c r="L1952" i="1"/>
  <c r="H1954" i="1" s="1"/>
  <c r="L1953" i="1"/>
  <c r="H1955" i="1" s="1"/>
  <c r="L1954" i="1"/>
  <c r="H1956" i="1" s="1"/>
  <c r="L1955" i="1"/>
  <c r="H1957" i="1" s="1"/>
  <c r="L1956" i="1"/>
  <c r="H1958" i="1" s="1"/>
  <c r="L1957" i="1"/>
  <c r="H1959" i="1" s="1"/>
  <c r="L1958" i="1"/>
  <c r="H1960" i="1" s="1"/>
  <c r="L1959" i="1"/>
  <c r="H1961" i="1" s="1"/>
  <c r="L1960" i="1"/>
  <c r="H1962" i="1" s="1"/>
  <c r="L1961" i="1"/>
  <c r="H1963" i="1" s="1"/>
  <c r="L1962" i="1"/>
  <c r="H1964" i="1" s="1"/>
  <c r="L1963" i="1"/>
  <c r="H1965" i="1" s="1"/>
  <c r="L1964" i="1"/>
  <c r="H1966" i="1" s="1"/>
  <c r="L1965" i="1"/>
  <c r="H1967" i="1" s="1"/>
  <c r="L1966" i="1"/>
  <c r="H1968" i="1" s="1"/>
  <c r="L1967" i="1"/>
  <c r="H1969" i="1" s="1"/>
  <c r="L1968" i="1"/>
  <c r="H1970" i="1" s="1"/>
  <c r="L1969" i="1"/>
  <c r="H1971" i="1" s="1"/>
  <c r="L1970" i="1"/>
  <c r="H1972" i="1" s="1"/>
  <c r="L1971" i="1"/>
  <c r="H1973" i="1" s="1"/>
  <c r="L1972" i="1"/>
  <c r="H1974" i="1" s="1"/>
  <c r="L1973" i="1"/>
  <c r="H1975" i="1" s="1"/>
  <c r="L1974" i="1"/>
  <c r="H1976" i="1" s="1"/>
  <c r="L1975" i="1"/>
  <c r="H1977" i="1" s="1"/>
  <c r="L1976" i="1"/>
  <c r="H1978" i="1" s="1"/>
  <c r="L1977" i="1"/>
  <c r="H1979" i="1" s="1"/>
  <c r="L1978" i="1"/>
  <c r="H1980" i="1" s="1"/>
  <c r="L1979" i="1"/>
  <c r="H1981" i="1" s="1"/>
  <c r="L1980" i="1"/>
  <c r="H1982" i="1" s="1"/>
  <c r="L1981" i="1"/>
  <c r="H1983" i="1" s="1"/>
  <c r="L1982" i="1"/>
  <c r="H1984" i="1" s="1"/>
  <c r="L1983" i="1"/>
  <c r="H1985" i="1" s="1"/>
  <c r="L1984" i="1"/>
  <c r="H1986" i="1" s="1"/>
  <c r="L1985" i="1"/>
  <c r="H1987" i="1" s="1"/>
  <c r="L1986" i="1"/>
  <c r="H1988" i="1" s="1"/>
  <c r="L1987" i="1"/>
  <c r="H1989" i="1" s="1"/>
  <c r="L1988" i="1"/>
  <c r="H1990" i="1" s="1"/>
  <c r="L1989" i="1"/>
  <c r="H1991" i="1" s="1"/>
  <c r="L1990" i="1"/>
  <c r="H1992" i="1" s="1"/>
  <c r="L1991" i="1"/>
  <c r="H1993" i="1" s="1"/>
  <c r="L1992" i="1"/>
  <c r="H1994" i="1" s="1"/>
  <c r="L1993" i="1"/>
  <c r="H1995" i="1" s="1"/>
  <c r="L1994" i="1"/>
  <c r="H1996" i="1" s="1"/>
  <c r="L1995" i="1"/>
  <c r="H1997" i="1" s="1"/>
  <c r="L1996" i="1"/>
  <c r="H1998" i="1" s="1"/>
  <c r="L1997" i="1"/>
  <c r="H1999" i="1" s="1"/>
  <c r="L1998" i="1"/>
  <c r="H2000" i="1" s="1"/>
  <c r="L1999" i="1"/>
  <c r="H2001" i="1" s="1"/>
  <c r="L2000" i="1"/>
  <c r="H2002" i="1" s="1"/>
  <c r="L2001" i="1"/>
  <c r="H2003" i="1" s="1"/>
  <c r="L2002" i="1"/>
  <c r="H2004" i="1" s="1"/>
  <c r="L2003" i="1"/>
  <c r="H2005" i="1" s="1"/>
  <c r="L2004" i="1"/>
  <c r="H2006" i="1" s="1"/>
  <c r="L2005" i="1"/>
  <c r="H2007" i="1" s="1"/>
  <c r="L2006" i="1"/>
  <c r="H2008" i="1" s="1"/>
  <c r="L2007" i="1"/>
  <c r="H2009" i="1" s="1"/>
  <c r="L2008" i="1"/>
  <c r="H2010" i="1" s="1"/>
  <c r="L2009" i="1"/>
  <c r="H2011" i="1" s="1"/>
  <c r="L2010" i="1"/>
  <c r="H2012" i="1" s="1"/>
  <c r="L2011" i="1"/>
  <c r="H2013" i="1" s="1"/>
  <c r="L2012" i="1"/>
  <c r="H2014" i="1" s="1"/>
  <c r="L2013" i="1"/>
  <c r="H2015" i="1" s="1"/>
  <c r="L2014" i="1"/>
  <c r="H2016" i="1" s="1"/>
  <c r="L2015" i="1"/>
  <c r="H2017" i="1" s="1"/>
  <c r="L2016" i="1"/>
  <c r="H2018" i="1" s="1"/>
  <c r="L2017" i="1"/>
  <c r="H2019" i="1" s="1"/>
  <c r="L2018" i="1"/>
  <c r="H2020" i="1" s="1"/>
  <c r="L2019" i="1"/>
  <c r="H2021" i="1" s="1"/>
  <c r="L2020" i="1"/>
  <c r="H2022" i="1" s="1"/>
  <c r="L2021" i="1"/>
  <c r="H2023" i="1" s="1"/>
  <c r="L2022" i="1"/>
  <c r="H2024" i="1" s="1"/>
  <c r="L2023" i="1"/>
  <c r="H2025" i="1" s="1"/>
  <c r="L2024" i="1"/>
  <c r="H2026" i="1" s="1"/>
  <c r="L2025" i="1"/>
  <c r="H2027" i="1" s="1"/>
  <c r="L2026" i="1"/>
  <c r="H2028" i="1" s="1"/>
  <c r="L2027" i="1"/>
  <c r="H2029" i="1" s="1"/>
  <c r="L2028" i="1"/>
  <c r="H2030" i="1" s="1"/>
  <c r="L2029" i="1"/>
  <c r="H2031" i="1" s="1"/>
  <c r="L2030" i="1"/>
  <c r="H2032" i="1" s="1"/>
  <c r="L2031" i="1"/>
  <c r="H2033" i="1" s="1"/>
  <c r="L2032" i="1"/>
  <c r="H2034" i="1" s="1"/>
  <c r="L2033" i="1"/>
  <c r="H2035" i="1" s="1"/>
  <c r="L2034" i="1"/>
  <c r="H2036" i="1" s="1"/>
  <c r="L2035" i="1"/>
  <c r="H2037" i="1" s="1"/>
  <c r="L2036" i="1"/>
  <c r="H2038" i="1" s="1"/>
  <c r="L2037" i="1"/>
  <c r="H2039" i="1" s="1"/>
  <c r="L2038" i="1"/>
  <c r="H2040" i="1" s="1"/>
  <c r="L2039" i="1"/>
  <c r="H2041" i="1" s="1"/>
  <c r="L2040" i="1"/>
  <c r="H2042" i="1" s="1"/>
  <c r="L2041" i="1"/>
  <c r="H2043" i="1" s="1"/>
  <c r="L2042" i="1"/>
  <c r="H2044" i="1" s="1"/>
  <c r="L2043" i="1"/>
  <c r="H2045" i="1" s="1"/>
  <c r="L2044" i="1"/>
  <c r="H2046" i="1" s="1"/>
  <c r="L2045" i="1"/>
  <c r="H2047" i="1" s="1"/>
  <c r="L2046" i="1"/>
  <c r="H2048" i="1" s="1"/>
  <c r="L2047" i="1"/>
  <c r="H2049" i="1" s="1"/>
  <c r="L2048" i="1"/>
  <c r="H2050" i="1" s="1"/>
  <c r="L2049" i="1"/>
  <c r="H2051" i="1" s="1"/>
  <c r="L2050" i="1"/>
  <c r="H2052" i="1" s="1"/>
  <c r="L2051" i="1"/>
  <c r="H2053" i="1" s="1"/>
  <c r="L2052" i="1"/>
  <c r="H2054" i="1" s="1"/>
  <c r="L2053" i="1"/>
  <c r="H2055" i="1" s="1"/>
  <c r="L2054" i="1"/>
  <c r="H2056" i="1" s="1"/>
  <c r="L2055" i="1"/>
  <c r="H2057" i="1" s="1"/>
  <c r="L2056" i="1"/>
  <c r="H2058" i="1" s="1"/>
  <c r="L2057" i="1"/>
  <c r="H2059" i="1" s="1"/>
  <c r="L2058" i="1"/>
  <c r="H2060" i="1" s="1"/>
  <c r="L2059" i="1"/>
  <c r="H2061" i="1" s="1"/>
  <c r="L2060" i="1"/>
  <c r="H2062" i="1" s="1"/>
  <c r="L2061" i="1"/>
  <c r="H2063" i="1" s="1"/>
  <c r="L2062" i="1"/>
  <c r="H2064" i="1" s="1"/>
  <c r="L2063" i="1"/>
  <c r="H2065" i="1" s="1"/>
  <c r="L2064" i="1"/>
  <c r="H2066" i="1" s="1"/>
  <c r="L2065" i="1"/>
  <c r="H2067" i="1" s="1"/>
  <c r="L2066" i="1"/>
  <c r="H2068" i="1" s="1"/>
  <c r="L2067" i="1"/>
  <c r="H2069" i="1" s="1"/>
  <c r="L2068" i="1"/>
  <c r="H2070" i="1" s="1"/>
  <c r="L2069" i="1"/>
  <c r="H2071" i="1" s="1"/>
  <c r="L2070" i="1"/>
  <c r="H2072" i="1" s="1"/>
  <c r="L2071" i="1"/>
  <c r="H2073" i="1" s="1"/>
  <c r="L2072" i="1"/>
  <c r="H2074" i="1" s="1"/>
  <c r="L2073" i="1"/>
  <c r="H2075" i="1" s="1"/>
  <c r="L2074" i="1"/>
  <c r="H2076" i="1" s="1"/>
  <c r="L2075" i="1"/>
  <c r="H2077" i="1" s="1"/>
  <c r="L2076" i="1"/>
  <c r="H2078" i="1" s="1"/>
  <c r="L2077" i="1"/>
  <c r="H2079" i="1" s="1"/>
  <c r="L2078" i="1"/>
  <c r="H2080" i="1" s="1"/>
  <c r="L2079" i="1"/>
  <c r="H2081" i="1" s="1"/>
  <c r="L2080" i="1"/>
  <c r="H2082" i="1" s="1"/>
  <c r="L2081" i="1"/>
  <c r="H2083" i="1" s="1"/>
  <c r="L2082" i="1"/>
  <c r="H2084" i="1" s="1"/>
  <c r="L2083" i="1"/>
  <c r="H2085" i="1" s="1"/>
  <c r="L2084" i="1"/>
  <c r="H2086" i="1" s="1"/>
  <c r="L2085" i="1"/>
  <c r="H2087" i="1" s="1"/>
  <c r="L2086" i="1"/>
  <c r="H2088" i="1" s="1"/>
  <c r="L2087" i="1"/>
  <c r="H2089" i="1" s="1"/>
  <c r="L2088" i="1"/>
  <c r="H2090" i="1" s="1"/>
  <c r="L2089" i="1"/>
  <c r="H2091" i="1" s="1"/>
  <c r="L2090" i="1"/>
  <c r="H2092" i="1" s="1"/>
  <c r="L2091" i="1"/>
  <c r="H2093" i="1" s="1"/>
  <c r="L2092" i="1"/>
  <c r="H2094" i="1" s="1"/>
  <c r="L2093" i="1"/>
  <c r="H2095" i="1" s="1"/>
  <c r="L2094" i="1"/>
  <c r="H2096" i="1" s="1"/>
  <c r="L2095" i="1"/>
  <c r="H2097" i="1" s="1"/>
  <c r="L2096" i="1"/>
  <c r="H2098" i="1" s="1"/>
  <c r="L2097" i="1"/>
  <c r="H2099" i="1" s="1"/>
  <c r="L2098" i="1"/>
  <c r="H2100" i="1" s="1"/>
  <c r="L2099" i="1"/>
  <c r="H2101" i="1" s="1"/>
  <c r="L2100" i="1"/>
  <c r="H2102" i="1" s="1"/>
  <c r="L2101" i="1"/>
  <c r="H2103" i="1" s="1"/>
  <c r="L2102" i="1"/>
  <c r="H2104" i="1" s="1"/>
  <c r="L2103" i="1"/>
  <c r="H2105" i="1" s="1"/>
  <c r="L2104" i="1"/>
  <c r="H2106" i="1" s="1"/>
  <c r="L2105" i="1"/>
  <c r="H2107" i="1" s="1"/>
  <c r="L2106" i="1"/>
  <c r="H2108" i="1" s="1"/>
  <c r="L2107" i="1"/>
  <c r="H2109" i="1" s="1"/>
  <c r="L2108" i="1"/>
  <c r="H2110" i="1" s="1"/>
  <c r="L2109" i="1"/>
  <c r="H2111" i="1" s="1"/>
  <c r="L2110" i="1"/>
  <c r="H2112" i="1" s="1"/>
  <c r="L2111" i="1"/>
  <c r="H2113" i="1" s="1"/>
  <c r="L2112" i="1"/>
  <c r="H2114" i="1" s="1"/>
  <c r="L2113" i="1"/>
  <c r="H2115" i="1" s="1"/>
  <c r="L2114" i="1"/>
  <c r="H2116" i="1" s="1"/>
  <c r="L2115" i="1"/>
  <c r="H2117" i="1" s="1"/>
  <c r="L2116" i="1"/>
  <c r="H2118" i="1" s="1"/>
  <c r="L2117" i="1"/>
  <c r="H2119" i="1" s="1"/>
  <c r="L2118" i="1"/>
  <c r="H2120" i="1" s="1"/>
  <c r="L2119" i="1"/>
  <c r="H2121" i="1" s="1"/>
  <c r="L2120" i="1"/>
  <c r="H2122" i="1" s="1"/>
  <c r="L2121" i="1"/>
  <c r="H2123" i="1" s="1"/>
  <c r="L2122" i="1"/>
  <c r="H2124" i="1" s="1"/>
  <c r="L2123" i="1"/>
  <c r="H2125" i="1" s="1"/>
  <c r="L2124" i="1"/>
  <c r="H2126" i="1" s="1"/>
  <c r="L2125" i="1"/>
  <c r="H2127" i="1" s="1"/>
  <c r="L2126" i="1"/>
  <c r="H2128" i="1" s="1"/>
  <c r="L2127" i="1"/>
  <c r="H2129" i="1" s="1"/>
  <c r="L2128" i="1"/>
  <c r="H2130" i="1" s="1"/>
  <c r="L2129" i="1"/>
  <c r="H2131" i="1" s="1"/>
  <c r="L2130" i="1"/>
  <c r="H2132" i="1" s="1"/>
  <c r="L2131" i="1"/>
  <c r="H2133" i="1" s="1"/>
  <c r="L2132" i="1"/>
  <c r="H2134" i="1" s="1"/>
  <c r="L2133" i="1"/>
  <c r="H2135" i="1" s="1"/>
  <c r="L2134" i="1"/>
  <c r="H2136" i="1" s="1"/>
  <c r="L2135" i="1"/>
  <c r="H2137" i="1" s="1"/>
  <c r="L2136" i="1"/>
  <c r="H2138" i="1" s="1"/>
  <c r="L2137" i="1"/>
  <c r="H2139" i="1" s="1"/>
  <c r="L2138" i="1"/>
  <c r="H2140" i="1" s="1"/>
  <c r="L2139" i="1"/>
  <c r="H2141" i="1" s="1"/>
  <c r="L2140" i="1"/>
  <c r="H2142" i="1" s="1"/>
  <c r="L2141" i="1"/>
  <c r="H2143" i="1" s="1"/>
  <c r="L2142" i="1"/>
  <c r="H2144" i="1" s="1"/>
  <c r="L2143" i="1"/>
  <c r="H2145" i="1" s="1"/>
  <c r="L2144" i="1"/>
  <c r="H2146" i="1" s="1"/>
  <c r="L2145" i="1"/>
  <c r="H2147" i="1" s="1"/>
  <c r="L2146" i="1"/>
  <c r="H2148" i="1" s="1"/>
  <c r="L2147" i="1"/>
  <c r="H2149" i="1" s="1"/>
  <c r="L2148" i="1"/>
  <c r="H2150" i="1" s="1"/>
  <c r="L2149" i="1"/>
  <c r="H2151" i="1" s="1"/>
  <c r="L2150" i="1"/>
  <c r="H2152" i="1" s="1"/>
  <c r="L2151" i="1"/>
  <c r="H2153" i="1" s="1"/>
  <c r="L2152" i="1"/>
  <c r="H2154" i="1" s="1"/>
  <c r="L2153" i="1"/>
  <c r="H2155" i="1" s="1"/>
  <c r="L2154" i="1"/>
  <c r="H2156" i="1" s="1"/>
  <c r="L2155" i="1"/>
  <c r="H2157" i="1" s="1"/>
  <c r="L2156" i="1"/>
  <c r="H2158" i="1" s="1"/>
  <c r="L2157" i="1"/>
  <c r="H2159" i="1" s="1"/>
  <c r="L2158" i="1"/>
  <c r="H2160" i="1" s="1"/>
  <c r="L2159" i="1"/>
  <c r="H2161" i="1" s="1"/>
  <c r="L2160" i="1"/>
  <c r="H2162" i="1" s="1"/>
  <c r="L2161" i="1"/>
  <c r="H2163" i="1" s="1"/>
  <c r="L2162" i="1"/>
  <c r="H2164" i="1" s="1"/>
  <c r="L2163" i="1"/>
  <c r="H2165" i="1" s="1"/>
  <c r="L2164" i="1"/>
  <c r="H2166" i="1" s="1"/>
  <c r="L2165" i="1"/>
  <c r="H2167" i="1" s="1"/>
  <c r="L2166" i="1"/>
  <c r="H2168" i="1" s="1"/>
  <c r="L2167" i="1"/>
  <c r="H2169" i="1" s="1"/>
  <c r="L2168" i="1"/>
  <c r="H2170" i="1" s="1"/>
  <c r="L2169" i="1"/>
  <c r="H2171" i="1" s="1"/>
  <c r="L2170" i="1"/>
  <c r="H2172" i="1" s="1"/>
  <c r="L2171" i="1"/>
  <c r="H2173" i="1" s="1"/>
  <c r="L2172" i="1"/>
  <c r="H2174" i="1" s="1"/>
  <c r="L2173" i="1"/>
  <c r="H2175" i="1" s="1"/>
  <c r="L2174" i="1"/>
  <c r="H2176" i="1" s="1"/>
  <c r="L2175" i="1"/>
  <c r="H2177" i="1" s="1"/>
  <c r="L2176" i="1"/>
  <c r="H2178" i="1" s="1"/>
  <c r="L2177" i="1"/>
  <c r="H2179" i="1" s="1"/>
  <c r="L2178" i="1"/>
  <c r="H2180" i="1" s="1"/>
  <c r="L2179" i="1"/>
  <c r="H2181" i="1" s="1"/>
  <c r="L2180" i="1"/>
  <c r="H2182" i="1" s="1"/>
  <c r="L2181" i="1"/>
  <c r="H2183" i="1" s="1"/>
  <c r="L2182" i="1"/>
  <c r="H2184" i="1" s="1"/>
  <c r="L2183" i="1"/>
  <c r="H2185" i="1" s="1"/>
  <c r="L2184" i="1"/>
  <c r="H2186" i="1" s="1"/>
  <c r="L2185" i="1"/>
  <c r="H2187" i="1" s="1"/>
  <c r="L2186" i="1"/>
  <c r="H2188" i="1" s="1"/>
  <c r="L2187" i="1"/>
  <c r="H2189" i="1" s="1"/>
  <c r="L2188" i="1"/>
  <c r="H2190" i="1" s="1"/>
  <c r="L2189" i="1"/>
  <c r="H2191" i="1" s="1"/>
  <c r="L2190" i="1"/>
  <c r="H2192" i="1" s="1"/>
  <c r="L2191" i="1"/>
  <c r="H2193" i="1" s="1"/>
  <c r="L2192" i="1"/>
  <c r="H2194" i="1" s="1"/>
  <c r="L2193" i="1"/>
  <c r="H2195" i="1" s="1"/>
  <c r="L2194" i="1"/>
  <c r="H2196" i="1" s="1"/>
  <c r="L2195" i="1"/>
  <c r="H2197" i="1" s="1"/>
  <c r="L2196" i="1"/>
  <c r="H2198" i="1" s="1"/>
  <c r="L2197" i="1"/>
  <c r="H2199" i="1" s="1"/>
  <c r="L2198" i="1"/>
  <c r="H2200" i="1" s="1"/>
  <c r="L2199" i="1"/>
  <c r="H2201" i="1" s="1"/>
  <c r="L2200" i="1"/>
  <c r="H2202" i="1" s="1"/>
  <c r="L2201" i="1"/>
  <c r="H2203" i="1" s="1"/>
  <c r="L2202" i="1"/>
  <c r="H2204" i="1" s="1"/>
  <c r="L2203" i="1"/>
  <c r="H2205" i="1" s="1"/>
  <c r="L2204" i="1"/>
  <c r="H2206" i="1" s="1"/>
  <c r="L2205" i="1"/>
  <c r="H2207" i="1" s="1"/>
  <c r="L2206" i="1"/>
  <c r="H2208" i="1" s="1"/>
  <c r="L2207" i="1"/>
  <c r="H2209" i="1" s="1"/>
  <c r="L2208" i="1"/>
  <c r="H2210" i="1" s="1"/>
  <c r="L2209" i="1"/>
  <c r="H2211" i="1" s="1"/>
  <c r="L2210" i="1"/>
  <c r="H2212" i="1" s="1"/>
  <c r="L2211" i="1"/>
  <c r="H2213" i="1" s="1"/>
  <c r="L2212" i="1"/>
  <c r="H2214" i="1" s="1"/>
  <c r="L2213" i="1"/>
  <c r="H2215" i="1" s="1"/>
  <c r="L2214" i="1"/>
  <c r="H2216" i="1" s="1"/>
  <c r="L2215" i="1"/>
  <c r="H2217" i="1" s="1"/>
  <c r="L2216" i="1"/>
  <c r="H2218" i="1" s="1"/>
  <c r="L2217" i="1"/>
  <c r="H2219" i="1" s="1"/>
  <c r="L2218" i="1"/>
  <c r="H2220" i="1" s="1"/>
  <c r="L2219" i="1"/>
  <c r="H2221" i="1" s="1"/>
  <c r="L2220" i="1"/>
  <c r="H2222" i="1" s="1"/>
  <c r="L2221" i="1"/>
  <c r="H2223" i="1" s="1"/>
  <c r="L2222" i="1"/>
  <c r="H2224" i="1" s="1"/>
  <c r="L2223" i="1"/>
  <c r="H2225" i="1" s="1"/>
  <c r="L2224" i="1"/>
  <c r="H2226" i="1" s="1"/>
  <c r="L2225" i="1"/>
  <c r="H2227" i="1" s="1"/>
  <c r="L2226" i="1"/>
  <c r="H2228" i="1" s="1"/>
  <c r="L2227" i="1"/>
  <c r="H2229" i="1" s="1"/>
  <c r="L2228" i="1"/>
  <c r="H2230" i="1" s="1"/>
  <c r="L2229" i="1"/>
  <c r="H2231" i="1" s="1"/>
  <c r="L2230" i="1"/>
  <c r="H2232" i="1" s="1"/>
  <c r="L2231" i="1"/>
  <c r="H2233" i="1" s="1"/>
  <c r="L2232" i="1"/>
  <c r="H2234" i="1" s="1"/>
  <c r="L2233" i="1"/>
  <c r="H2235" i="1" s="1"/>
  <c r="L2234" i="1"/>
  <c r="H2236" i="1" s="1"/>
  <c r="L2235" i="1"/>
  <c r="H2237" i="1" s="1"/>
  <c r="L2236" i="1"/>
  <c r="H2238" i="1" s="1"/>
  <c r="L2237" i="1"/>
  <c r="H2239" i="1" s="1"/>
  <c r="L2238" i="1"/>
  <c r="H2240" i="1" s="1"/>
  <c r="L2239" i="1"/>
  <c r="H2241" i="1" s="1"/>
  <c r="L2240" i="1"/>
  <c r="H2242" i="1" s="1"/>
  <c r="L2241" i="1"/>
  <c r="H2243" i="1" s="1"/>
  <c r="L2242" i="1"/>
  <c r="H2244" i="1" s="1"/>
  <c r="L2243" i="1"/>
  <c r="H2245" i="1" s="1"/>
  <c r="L2244" i="1"/>
  <c r="H2246" i="1" s="1"/>
  <c r="L2245" i="1"/>
  <c r="H2247" i="1" s="1"/>
  <c r="L2246" i="1"/>
  <c r="H2248" i="1" s="1"/>
  <c r="L2247" i="1"/>
  <c r="H2249" i="1" s="1"/>
  <c r="L2248" i="1"/>
  <c r="H2250" i="1" s="1"/>
  <c r="L2249" i="1"/>
  <c r="H2251" i="1" s="1"/>
  <c r="L2250" i="1"/>
  <c r="H2252" i="1" s="1"/>
  <c r="L2251" i="1"/>
  <c r="H2253" i="1" s="1"/>
  <c r="L2252" i="1"/>
  <c r="H2254" i="1" s="1"/>
  <c r="L2253" i="1"/>
  <c r="H2255" i="1" s="1"/>
  <c r="L2254" i="1"/>
  <c r="H2256" i="1" s="1"/>
  <c r="L2255" i="1"/>
  <c r="H2257" i="1" s="1"/>
  <c r="L2256" i="1"/>
  <c r="H2258" i="1" s="1"/>
  <c r="L2257" i="1"/>
  <c r="H2259" i="1" s="1"/>
  <c r="L2258" i="1"/>
  <c r="H2260" i="1" s="1"/>
  <c r="L2259" i="1"/>
  <c r="H2261" i="1" s="1"/>
  <c r="L2260" i="1"/>
  <c r="H2262" i="1" s="1"/>
  <c r="L2261" i="1"/>
  <c r="H2263" i="1" s="1"/>
  <c r="L2262" i="1"/>
  <c r="H2264" i="1" s="1"/>
  <c r="L2263" i="1"/>
  <c r="H2265" i="1" s="1"/>
  <c r="L2264" i="1"/>
  <c r="H2266" i="1" s="1"/>
  <c r="L2265" i="1"/>
  <c r="H2267" i="1" s="1"/>
  <c r="L2266" i="1"/>
  <c r="H2268" i="1" s="1"/>
  <c r="L2267" i="1"/>
  <c r="H2269" i="1" s="1"/>
  <c r="L2268" i="1"/>
  <c r="H2270" i="1" s="1"/>
  <c r="L2269" i="1"/>
  <c r="H2271" i="1" s="1"/>
  <c r="L2270" i="1"/>
  <c r="H2272" i="1" s="1"/>
  <c r="L2271" i="1"/>
  <c r="H2273" i="1" s="1"/>
  <c r="L2272" i="1"/>
  <c r="H2274" i="1" s="1"/>
  <c r="L2273" i="1"/>
  <c r="H2275" i="1" s="1"/>
  <c r="L2274" i="1"/>
  <c r="H2276" i="1" s="1"/>
  <c r="L2275" i="1"/>
  <c r="H2277" i="1" s="1"/>
  <c r="L2276" i="1"/>
  <c r="H2278" i="1" s="1"/>
  <c r="L2277" i="1"/>
  <c r="H2279" i="1" s="1"/>
  <c r="L2278" i="1"/>
  <c r="H2280" i="1" s="1"/>
  <c r="L2279" i="1"/>
  <c r="H2281" i="1" s="1"/>
  <c r="L2280" i="1"/>
  <c r="H2282" i="1" s="1"/>
  <c r="L2281" i="1"/>
  <c r="H2283" i="1" s="1"/>
  <c r="L2282" i="1"/>
  <c r="H2284" i="1" s="1"/>
  <c r="L2283" i="1"/>
  <c r="H2285" i="1" s="1"/>
  <c r="L2284" i="1"/>
  <c r="H2286" i="1" s="1"/>
  <c r="L2285" i="1"/>
  <c r="H2287" i="1" s="1"/>
  <c r="L2286" i="1"/>
  <c r="H2288" i="1" s="1"/>
  <c r="L2287" i="1"/>
  <c r="H2289" i="1" s="1"/>
  <c r="L2288" i="1"/>
  <c r="H2290" i="1" s="1"/>
  <c r="L2289" i="1"/>
  <c r="H2291" i="1" s="1"/>
  <c r="L2290" i="1"/>
  <c r="H2292" i="1" s="1"/>
  <c r="L2291" i="1"/>
  <c r="H2293" i="1" s="1"/>
  <c r="L2292" i="1"/>
  <c r="H2294" i="1" s="1"/>
  <c r="L2293" i="1"/>
  <c r="H2295" i="1" s="1"/>
  <c r="L2294" i="1"/>
  <c r="H2296" i="1" s="1"/>
  <c r="L2295" i="1"/>
  <c r="H2297" i="1" s="1"/>
  <c r="L2296" i="1"/>
  <c r="H2298" i="1" s="1"/>
  <c r="L2297" i="1"/>
  <c r="H2299" i="1" s="1"/>
  <c r="L2298" i="1"/>
  <c r="H2300" i="1" s="1"/>
  <c r="L2299" i="1"/>
  <c r="H2301" i="1" s="1"/>
  <c r="L2300" i="1"/>
  <c r="H2302" i="1" s="1"/>
  <c r="L2301" i="1"/>
  <c r="H2303" i="1" s="1"/>
  <c r="L2302" i="1"/>
  <c r="H2304" i="1" s="1"/>
  <c r="L2303" i="1"/>
  <c r="H2305" i="1" s="1"/>
  <c r="L2304" i="1"/>
  <c r="H2306" i="1" s="1"/>
  <c r="L2305" i="1"/>
  <c r="H2307" i="1" s="1"/>
  <c r="L2306" i="1"/>
  <c r="H2308" i="1" s="1"/>
  <c r="L2307" i="1"/>
  <c r="H2309" i="1" s="1"/>
  <c r="L2308" i="1"/>
  <c r="H2310" i="1" s="1"/>
  <c r="L2309" i="1"/>
  <c r="H2311" i="1" s="1"/>
  <c r="L2310" i="1"/>
  <c r="H2312" i="1" s="1"/>
  <c r="L2311" i="1"/>
  <c r="H2313" i="1" s="1"/>
  <c r="L2312" i="1"/>
  <c r="H2314" i="1" s="1"/>
  <c r="L2313" i="1"/>
  <c r="H2315" i="1" s="1"/>
  <c r="L2314" i="1"/>
  <c r="H2316" i="1" s="1"/>
  <c r="L2315" i="1"/>
  <c r="H2317" i="1" s="1"/>
  <c r="L2316" i="1"/>
  <c r="H2318" i="1" s="1"/>
  <c r="L2317" i="1"/>
  <c r="H2319" i="1" s="1"/>
  <c r="L2318" i="1"/>
  <c r="H2320" i="1" s="1"/>
  <c r="L2319" i="1"/>
  <c r="H2321" i="1" s="1"/>
  <c r="L2320" i="1"/>
  <c r="H2322" i="1" s="1"/>
  <c r="L2321" i="1"/>
  <c r="H2323" i="1" s="1"/>
  <c r="L2322" i="1"/>
  <c r="H2324" i="1" s="1"/>
  <c r="L2323" i="1"/>
  <c r="H2325" i="1" s="1"/>
  <c r="L2324" i="1"/>
  <c r="H2326" i="1" s="1"/>
  <c r="L2325" i="1"/>
  <c r="H2327" i="1" s="1"/>
  <c r="L2326" i="1"/>
  <c r="H2328" i="1" s="1"/>
  <c r="L2327" i="1"/>
  <c r="H2329" i="1" s="1"/>
  <c r="L2328" i="1"/>
  <c r="H2330" i="1" s="1"/>
  <c r="L2329" i="1"/>
  <c r="H2331" i="1" s="1"/>
  <c r="L2330" i="1"/>
  <c r="H2332" i="1" s="1"/>
  <c r="L2331" i="1"/>
  <c r="H2333" i="1" s="1"/>
  <c r="L2332" i="1"/>
  <c r="H2334" i="1" s="1"/>
  <c r="L2333" i="1"/>
  <c r="H2335" i="1" s="1"/>
  <c r="L2334" i="1"/>
  <c r="H2336" i="1" s="1"/>
  <c r="L2335" i="1"/>
  <c r="H2337" i="1" s="1"/>
  <c r="L2336" i="1"/>
  <c r="H2338" i="1" s="1"/>
  <c r="L2337" i="1"/>
  <c r="H2339" i="1" s="1"/>
  <c r="L2338" i="1"/>
  <c r="H2340" i="1" s="1"/>
  <c r="L2339" i="1"/>
  <c r="H2341" i="1" s="1"/>
  <c r="L2340" i="1"/>
  <c r="H2342" i="1" s="1"/>
  <c r="L2341" i="1"/>
  <c r="H2343" i="1" s="1"/>
  <c r="L2342" i="1"/>
  <c r="H2344" i="1" s="1"/>
  <c r="L2343" i="1"/>
  <c r="H2345" i="1" s="1"/>
  <c r="L2344" i="1"/>
  <c r="H2346" i="1" s="1"/>
  <c r="L2345" i="1"/>
  <c r="H2347" i="1" s="1"/>
  <c r="L2346" i="1"/>
  <c r="H2348" i="1" s="1"/>
  <c r="L2347" i="1"/>
  <c r="H2349" i="1" s="1"/>
  <c r="L2348" i="1"/>
  <c r="H2350" i="1" s="1"/>
  <c r="L2349" i="1"/>
  <c r="H2351" i="1" s="1"/>
  <c r="L2350" i="1"/>
  <c r="H2352" i="1" s="1"/>
  <c r="L2351" i="1"/>
  <c r="H2353" i="1" s="1"/>
  <c r="L2352" i="1"/>
  <c r="H2354" i="1" s="1"/>
  <c r="L2353" i="1"/>
  <c r="H2355" i="1" s="1"/>
  <c r="L2354" i="1"/>
  <c r="H2356" i="1" s="1"/>
  <c r="L2355" i="1"/>
  <c r="H2357" i="1" s="1"/>
  <c r="L2356" i="1"/>
  <c r="H2358" i="1" s="1"/>
  <c r="L2357" i="1"/>
  <c r="H2359" i="1" s="1"/>
  <c r="L2358" i="1"/>
  <c r="H2360" i="1" s="1"/>
  <c r="L2359" i="1"/>
  <c r="H2361" i="1" s="1"/>
  <c r="L2360" i="1"/>
  <c r="H2362" i="1" s="1"/>
  <c r="L2361" i="1"/>
  <c r="H2363" i="1" s="1"/>
  <c r="L2362" i="1"/>
  <c r="H2364" i="1" s="1"/>
  <c r="L2363" i="1"/>
  <c r="H2365" i="1" s="1"/>
  <c r="L2364" i="1"/>
  <c r="H2366" i="1" s="1"/>
  <c r="L2365" i="1"/>
  <c r="H2367" i="1" s="1"/>
  <c r="L2366" i="1"/>
  <c r="H2368" i="1" s="1"/>
  <c r="L2367" i="1"/>
  <c r="H2369" i="1" s="1"/>
  <c r="L2368" i="1"/>
  <c r="H2370" i="1" s="1"/>
  <c r="L2369" i="1"/>
  <c r="H2371" i="1" s="1"/>
  <c r="L2370" i="1"/>
  <c r="H2372" i="1" s="1"/>
  <c r="L2371" i="1"/>
  <c r="H2373" i="1" s="1"/>
  <c r="L2372" i="1"/>
  <c r="H2374" i="1" s="1"/>
  <c r="L2373" i="1"/>
  <c r="H2375" i="1" s="1"/>
  <c r="L2374" i="1"/>
  <c r="H2376" i="1" s="1"/>
  <c r="L2375" i="1"/>
  <c r="H2377" i="1" s="1"/>
  <c r="L2376" i="1"/>
  <c r="H2378" i="1" s="1"/>
  <c r="L2377" i="1"/>
  <c r="H2379" i="1" s="1"/>
  <c r="L2378" i="1"/>
  <c r="H2380" i="1" s="1"/>
  <c r="L2379" i="1"/>
  <c r="H2381" i="1" s="1"/>
  <c r="L2380" i="1"/>
  <c r="H2382" i="1" s="1"/>
  <c r="L2381" i="1"/>
  <c r="H2383" i="1" s="1"/>
  <c r="L2382" i="1"/>
  <c r="H2384" i="1" s="1"/>
  <c r="L2383" i="1"/>
  <c r="H2385" i="1" s="1"/>
  <c r="L2384" i="1"/>
  <c r="H2386" i="1" s="1"/>
  <c r="L2385" i="1"/>
  <c r="H2387" i="1" s="1"/>
  <c r="L2386" i="1"/>
  <c r="H2388" i="1" s="1"/>
  <c r="L2387" i="1"/>
  <c r="H2389" i="1" s="1"/>
  <c r="L2388" i="1"/>
  <c r="H2390" i="1" s="1"/>
  <c r="L2389" i="1"/>
  <c r="H2391" i="1" s="1"/>
  <c r="L2390" i="1"/>
  <c r="H2392" i="1" s="1"/>
  <c r="L2391" i="1"/>
  <c r="H2393" i="1" s="1"/>
  <c r="L2392" i="1"/>
  <c r="H2394" i="1" s="1"/>
  <c r="L2393" i="1"/>
  <c r="H2395" i="1" s="1"/>
  <c r="L2394" i="1"/>
  <c r="H2396" i="1" s="1"/>
  <c r="L2395" i="1"/>
  <c r="H2397" i="1" s="1"/>
  <c r="L2396" i="1"/>
  <c r="H2398" i="1" s="1"/>
  <c r="L2397" i="1"/>
  <c r="H2399" i="1" s="1"/>
  <c r="L2398" i="1"/>
  <c r="H2400" i="1" s="1"/>
  <c r="L2399" i="1"/>
  <c r="H2401" i="1" s="1"/>
  <c r="L2400" i="1"/>
  <c r="H2402" i="1" s="1"/>
  <c r="L2401" i="1"/>
  <c r="H2403" i="1" s="1"/>
  <c r="L2402" i="1"/>
  <c r="H2404" i="1" s="1"/>
  <c r="L2403" i="1"/>
  <c r="H2405" i="1" s="1"/>
  <c r="L2404" i="1"/>
  <c r="H2406" i="1" s="1"/>
  <c r="L2405" i="1"/>
  <c r="H2407" i="1" s="1"/>
  <c r="L2" i="1"/>
  <c r="I2" i="1"/>
  <c r="H607" i="1" l="1"/>
  <c r="H19" i="1"/>
  <c r="H17" i="1"/>
  <c r="J17" i="1" s="1"/>
  <c r="H2" i="1"/>
  <c r="H16" i="1"/>
  <c r="J16" i="1" s="1"/>
  <c r="H18" i="1"/>
  <c r="H13" i="1"/>
  <c r="J13" i="1" s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527" i="1"/>
  <c r="J541" i="1"/>
  <c r="J543" i="1"/>
  <c r="J545" i="1"/>
  <c r="J549" i="1"/>
  <c r="J551" i="1"/>
  <c r="J397" i="1"/>
  <c r="J401" i="1"/>
  <c r="J406" i="1"/>
  <c r="J416" i="1"/>
  <c r="J418" i="1"/>
  <c r="J450" i="1"/>
  <c r="J454" i="1"/>
  <c r="J456" i="1"/>
  <c r="J458" i="1"/>
  <c r="J462" i="1"/>
  <c r="J464" i="1"/>
  <c r="J468" i="1"/>
  <c r="J470" i="1"/>
  <c r="J472" i="1"/>
  <c r="J474" i="1"/>
  <c r="J476" i="1"/>
  <c r="J479" i="1"/>
  <c r="J491" i="1"/>
  <c r="J501" i="1"/>
  <c r="J503" i="1"/>
  <c r="J505" i="1"/>
  <c r="J507" i="1"/>
  <c r="J509" i="1"/>
  <c r="J510" i="1"/>
  <c r="J513" i="1"/>
  <c r="J515" i="1"/>
  <c r="J517" i="1"/>
  <c r="J519" i="1"/>
  <c r="J521" i="1"/>
  <c r="J523" i="1"/>
  <c r="J525" i="1"/>
  <c r="J529" i="1"/>
  <c r="J531" i="1"/>
  <c r="J533" i="1"/>
  <c r="J535" i="1"/>
  <c r="J537" i="1"/>
  <c r="J539" i="1"/>
  <c r="J546" i="1"/>
  <c r="J961" i="1"/>
  <c r="J1013" i="1"/>
  <c r="J1015" i="1"/>
  <c r="J1017" i="1"/>
  <c r="J1019" i="1"/>
  <c r="J1021" i="1"/>
  <c r="J1023" i="1"/>
  <c r="J1025" i="1"/>
  <c r="J1027" i="1"/>
  <c r="J1029" i="1"/>
  <c r="J1030" i="1"/>
  <c r="J1032" i="1"/>
  <c r="J1034" i="1"/>
  <c r="J1036" i="1"/>
  <c r="J1038" i="1"/>
  <c r="J1055" i="1"/>
  <c r="J1057" i="1"/>
  <c r="J1059" i="1"/>
  <c r="J1060" i="1"/>
  <c r="J1062" i="1"/>
  <c r="J1064" i="1"/>
  <c r="J1065" i="1"/>
  <c r="J1067" i="1"/>
  <c r="J1069" i="1"/>
  <c r="J963" i="1"/>
  <c r="J965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2" i="1"/>
  <c r="J11" i="1"/>
  <c r="J12" i="1"/>
  <c r="J14" i="1"/>
  <c r="J15" i="1"/>
  <c r="J18" i="1"/>
  <c r="J19" i="1"/>
  <c r="J3" i="1"/>
  <c r="J4" i="1"/>
  <c r="J5" i="1"/>
  <c r="J6" i="1"/>
  <c r="J7" i="1"/>
  <c r="J8" i="1"/>
  <c r="J9" i="1"/>
  <c r="J10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395" i="1"/>
  <c r="J400" i="1"/>
  <c r="J404" i="1"/>
  <c r="J408" i="1"/>
  <c r="J410" i="1"/>
  <c r="J412" i="1"/>
  <c r="J414" i="1"/>
  <c r="J419" i="1"/>
  <c r="J422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48" i="1"/>
  <c r="J452" i="1"/>
  <c r="J460" i="1"/>
  <c r="J465" i="1"/>
  <c r="J478" i="1"/>
  <c r="J482" i="1"/>
  <c r="J484" i="1"/>
  <c r="J486" i="1"/>
  <c r="J488" i="1"/>
  <c r="J490" i="1"/>
  <c r="J494" i="1"/>
  <c r="J496" i="1"/>
  <c r="J498" i="1"/>
  <c r="J500" i="1"/>
  <c r="J553" i="1"/>
  <c r="J555" i="1"/>
  <c r="J557" i="1"/>
  <c r="J558" i="1"/>
  <c r="J561" i="1"/>
  <c r="J563" i="1"/>
  <c r="J565" i="1"/>
  <c r="J568" i="1"/>
  <c r="J570" i="1"/>
  <c r="J572" i="1"/>
  <c r="J574" i="1"/>
  <c r="J576" i="1"/>
  <c r="J578" i="1"/>
  <c r="J580" i="1"/>
  <c r="J582" i="1"/>
  <c r="J584" i="1"/>
  <c r="J585" i="1"/>
  <c r="J587" i="1"/>
  <c r="J589" i="1"/>
  <c r="J591" i="1"/>
  <c r="J593" i="1"/>
  <c r="J595" i="1"/>
  <c r="J597" i="1"/>
  <c r="J599" i="1"/>
  <c r="J600" i="1"/>
  <c r="J603" i="1"/>
  <c r="J605" i="1"/>
  <c r="J607" i="1"/>
  <c r="J609" i="1"/>
  <c r="J611" i="1"/>
  <c r="J613" i="1"/>
  <c r="J614" i="1"/>
  <c r="J616" i="1"/>
  <c r="J618" i="1"/>
  <c r="J620" i="1"/>
  <c r="J622" i="1"/>
  <c r="J624" i="1"/>
  <c r="J626" i="1"/>
  <c r="J628" i="1"/>
  <c r="J629" i="1"/>
  <c r="J631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9" i="1"/>
  <c r="J660" i="1"/>
  <c r="J662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90" i="1"/>
  <c r="J691" i="1"/>
  <c r="J693" i="1"/>
  <c r="J695" i="1"/>
  <c r="J697" i="1"/>
  <c r="J699" i="1"/>
  <c r="J700" i="1"/>
  <c r="J702" i="1"/>
  <c r="J704" i="1"/>
  <c r="J706" i="1"/>
  <c r="J708" i="1"/>
  <c r="J710" i="1"/>
  <c r="J712" i="1"/>
  <c r="J714" i="1"/>
  <c r="J716" i="1"/>
  <c r="J718" i="1"/>
  <c r="J720" i="1"/>
  <c r="J722" i="1"/>
  <c r="J724" i="1"/>
  <c r="J725" i="1"/>
  <c r="J727" i="1"/>
  <c r="J729" i="1"/>
  <c r="J731" i="1"/>
  <c r="J733" i="1"/>
  <c r="J735" i="1"/>
  <c r="J736" i="1"/>
  <c r="J738" i="1"/>
  <c r="J740" i="1"/>
  <c r="J741" i="1"/>
  <c r="J743" i="1"/>
  <c r="J745" i="1"/>
  <c r="J747" i="1"/>
  <c r="J750" i="1"/>
  <c r="J752" i="1"/>
  <c r="J754" i="1"/>
  <c r="J756" i="1"/>
  <c r="J757" i="1"/>
  <c r="J759" i="1"/>
  <c r="J762" i="1"/>
  <c r="J764" i="1"/>
  <c r="J766" i="1"/>
  <c r="J768" i="1"/>
  <c r="J770" i="1"/>
  <c r="J772" i="1"/>
  <c r="J774" i="1"/>
  <c r="J775" i="1"/>
  <c r="J777" i="1"/>
  <c r="J779" i="1"/>
  <c r="J781" i="1"/>
  <c r="J783" i="1"/>
  <c r="J785" i="1"/>
  <c r="J787" i="1"/>
  <c r="J789" i="1"/>
  <c r="J790" i="1"/>
  <c r="J792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8" i="1"/>
  <c r="J839" i="1"/>
  <c r="J841" i="1"/>
  <c r="J844" i="1"/>
  <c r="J846" i="1"/>
  <c r="J848" i="1"/>
  <c r="J850" i="1"/>
  <c r="J852" i="1"/>
  <c r="J854" i="1"/>
  <c r="J856" i="1"/>
  <c r="J857" i="1"/>
  <c r="J859" i="1"/>
  <c r="J861" i="1"/>
  <c r="J863" i="1"/>
  <c r="J865" i="1"/>
  <c r="J867" i="1"/>
  <c r="J869" i="1"/>
  <c r="J871" i="1"/>
  <c r="J872" i="1"/>
  <c r="J874" i="1"/>
  <c r="J876" i="1"/>
  <c r="J878" i="1"/>
  <c r="J880" i="1"/>
  <c r="J882" i="1"/>
  <c r="J903" i="1"/>
  <c r="J905" i="1"/>
  <c r="J907" i="1"/>
  <c r="J909" i="1"/>
  <c r="J911" i="1"/>
  <c r="J913" i="1"/>
  <c r="J915" i="1"/>
  <c r="J917" i="1"/>
  <c r="J919" i="1"/>
  <c r="J921" i="1"/>
  <c r="J923" i="1"/>
  <c r="J926" i="1"/>
  <c r="J928" i="1"/>
  <c r="J930" i="1"/>
  <c r="J932" i="1"/>
  <c r="J934" i="1"/>
  <c r="J935" i="1"/>
  <c r="J938" i="1"/>
  <c r="J940" i="1"/>
  <c r="J942" i="1"/>
  <c r="J944" i="1"/>
  <c r="J945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1071" i="1"/>
  <c r="J1072" i="1"/>
  <c r="J1074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2" i="1"/>
  <c r="J1103" i="1"/>
  <c r="J1106" i="1"/>
  <c r="J1108" i="1"/>
  <c r="J1110" i="1"/>
  <c r="J1111" i="1"/>
  <c r="J1113" i="1"/>
  <c r="J1115" i="1"/>
  <c r="J1118" i="1"/>
  <c r="J1120" i="1"/>
  <c r="J1122" i="1"/>
  <c r="J1124" i="1"/>
  <c r="J1126" i="1"/>
  <c r="J1127" i="1"/>
  <c r="J1129" i="1"/>
  <c r="J1131" i="1"/>
  <c r="J1133" i="1"/>
  <c r="J1135" i="1"/>
  <c r="J1137" i="1"/>
  <c r="J1138" i="1"/>
  <c r="J1140" i="1"/>
  <c r="J1142" i="1"/>
  <c r="J1144" i="1"/>
  <c r="J1146" i="1"/>
  <c r="J1148" i="1"/>
  <c r="J1150" i="1"/>
  <c r="J1152" i="1"/>
  <c r="J1154" i="1"/>
  <c r="J1156" i="1"/>
  <c r="J1158" i="1"/>
  <c r="J1159" i="1"/>
  <c r="J1161" i="1"/>
  <c r="J1164" i="1"/>
  <c r="J1166" i="1"/>
  <c r="J1168" i="1"/>
  <c r="J1424" i="1"/>
  <c r="J1427" i="1"/>
  <c r="J1429" i="1"/>
  <c r="J1430" i="1"/>
  <c r="J1432" i="1"/>
  <c r="J1434" i="1"/>
  <c r="J1436" i="1"/>
  <c r="J1438" i="1"/>
  <c r="J1440" i="1"/>
  <c r="J1442" i="1"/>
  <c r="J1444" i="1"/>
  <c r="J1445" i="1"/>
  <c r="J1448" i="1"/>
  <c r="J1449" i="1"/>
  <c r="J1451" i="1"/>
  <c r="J1453" i="1"/>
  <c r="J1455" i="1"/>
  <c r="J1457" i="1"/>
  <c r="J1459" i="1"/>
  <c r="J1461" i="1"/>
  <c r="J1463" i="1"/>
  <c r="J1465" i="1"/>
  <c r="J1467" i="1"/>
  <c r="J1469" i="1"/>
  <c r="J1471" i="1"/>
  <c r="J1472" i="1"/>
  <c r="J1474" i="1"/>
  <c r="J1476" i="1"/>
  <c r="J1478" i="1"/>
  <c r="J1479" i="1"/>
  <c r="J1481" i="1"/>
  <c r="J1483" i="1"/>
  <c r="J1485" i="1"/>
  <c r="J1487" i="1"/>
  <c r="J1488" i="1"/>
  <c r="J1490" i="1"/>
  <c r="J1492" i="1"/>
  <c r="J1494" i="1"/>
  <c r="J1496" i="1"/>
  <c r="J1498" i="1"/>
  <c r="J1500" i="1"/>
  <c r="J1502" i="1"/>
  <c r="J1504" i="1"/>
  <c r="J1506" i="1"/>
  <c r="J1507" i="1"/>
  <c r="J1510" i="1"/>
  <c r="J1512" i="1"/>
  <c r="J1515" i="1"/>
  <c r="J1516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396" i="1"/>
  <c r="J398" i="1"/>
  <c r="J399" i="1"/>
  <c r="J402" i="1"/>
  <c r="J403" i="1"/>
  <c r="J405" i="1"/>
  <c r="J407" i="1"/>
  <c r="J409" i="1"/>
  <c r="J411" i="1"/>
  <c r="J413" i="1"/>
  <c r="J415" i="1"/>
  <c r="J417" i="1"/>
  <c r="J420" i="1"/>
  <c r="J421" i="1"/>
  <c r="J423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3" i="1"/>
  <c r="J466" i="1"/>
  <c r="J467" i="1"/>
  <c r="J469" i="1"/>
  <c r="J471" i="1"/>
  <c r="J473" i="1"/>
  <c r="J475" i="1"/>
  <c r="J477" i="1"/>
  <c r="J480" i="1"/>
  <c r="J481" i="1"/>
  <c r="J483" i="1"/>
  <c r="J485" i="1"/>
  <c r="J487" i="1"/>
  <c r="J489" i="1"/>
  <c r="J492" i="1"/>
  <c r="J493" i="1"/>
  <c r="J495" i="1"/>
  <c r="J497" i="1"/>
  <c r="J499" i="1"/>
  <c r="J502" i="1"/>
  <c r="J504" i="1"/>
  <c r="J506" i="1"/>
  <c r="J508" i="1"/>
  <c r="J511" i="1"/>
  <c r="J512" i="1"/>
  <c r="J514" i="1"/>
  <c r="J516" i="1"/>
  <c r="J518" i="1"/>
  <c r="J520" i="1"/>
  <c r="J522" i="1"/>
  <c r="J524" i="1"/>
  <c r="J526" i="1"/>
  <c r="J528" i="1"/>
  <c r="J530" i="1"/>
  <c r="J532" i="1"/>
  <c r="J534" i="1"/>
  <c r="J536" i="1"/>
  <c r="J538" i="1"/>
  <c r="J540" i="1"/>
  <c r="J542" i="1"/>
  <c r="J544" i="1"/>
  <c r="J547" i="1"/>
  <c r="J548" i="1"/>
  <c r="J550" i="1"/>
  <c r="J552" i="1"/>
  <c r="J554" i="1"/>
  <c r="J556" i="1"/>
  <c r="J559" i="1"/>
  <c r="J560" i="1"/>
  <c r="J562" i="1"/>
  <c r="J564" i="1"/>
  <c r="J566" i="1"/>
  <c r="J567" i="1"/>
  <c r="J569" i="1"/>
  <c r="J571" i="1"/>
  <c r="J573" i="1"/>
  <c r="J575" i="1"/>
  <c r="J577" i="1"/>
  <c r="J579" i="1"/>
  <c r="J581" i="1"/>
  <c r="J583" i="1"/>
  <c r="J586" i="1"/>
  <c r="J588" i="1"/>
  <c r="J590" i="1"/>
  <c r="J592" i="1"/>
  <c r="J594" i="1"/>
  <c r="J596" i="1"/>
  <c r="J598" i="1"/>
  <c r="J601" i="1"/>
  <c r="J602" i="1"/>
  <c r="J604" i="1"/>
  <c r="J606" i="1"/>
  <c r="J608" i="1"/>
  <c r="J610" i="1"/>
  <c r="J612" i="1"/>
  <c r="J615" i="1"/>
  <c r="J617" i="1"/>
  <c r="J619" i="1"/>
  <c r="J621" i="1"/>
  <c r="J623" i="1"/>
  <c r="J625" i="1"/>
  <c r="J627" i="1"/>
  <c r="J630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8" i="1"/>
  <c r="J661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89" i="1"/>
  <c r="J692" i="1"/>
  <c r="J694" i="1"/>
  <c r="J696" i="1"/>
  <c r="J698" i="1"/>
  <c r="J701" i="1"/>
  <c r="J703" i="1"/>
  <c r="J705" i="1"/>
  <c r="J707" i="1"/>
  <c r="J709" i="1"/>
  <c r="J711" i="1"/>
  <c r="J713" i="1"/>
  <c r="J715" i="1"/>
  <c r="J717" i="1"/>
  <c r="J719" i="1"/>
  <c r="J721" i="1"/>
  <c r="J723" i="1"/>
  <c r="J726" i="1"/>
  <c r="J728" i="1"/>
  <c r="J730" i="1"/>
  <c r="J732" i="1"/>
  <c r="J734" i="1"/>
  <c r="J737" i="1"/>
  <c r="J739" i="1"/>
  <c r="J742" i="1"/>
  <c r="J744" i="1"/>
  <c r="J746" i="1"/>
  <c r="J748" i="1"/>
  <c r="J749" i="1"/>
  <c r="J751" i="1"/>
  <c r="J753" i="1"/>
  <c r="J755" i="1"/>
  <c r="J758" i="1"/>
  <c r="J760" i="1"/>
  <c r="J761" i="1"/>
  <c r="J763" i="1"/>
  <c r="J765" i="1"/>
  <c r="J767" i="1"/>
  <c r="J769" i="1"/>
  <c r="J771" i="1"/>
  <c r="J773" i="1"/>
  <c r="J776" i="1"/>
  <c r="J778" i="1"/>
  <c r="J780" i="1"/>
  <c r="J782" i="1"/>
  <c r="J784" i="1"/>
  <c r="J786" i="1"/>
  <c r="J788" i="1"/>
  <c r="J791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7" i="1"/>
  <c r="J840" i="1"/>
  <c r="J842" i="1"/>
  <c r="J843" i="1"/>
  <c r="J845" i="1"/>
  <c r="J847" i="1"/>
  <c r="J849" i="1"/>
  <c r="J851" i="1"/>
  <c r="J853" i="1"/>
  <c r="J855" i="1"/>
  <c r="J858" i="1"/>
  <c r="J860" i="1"/>
  <c r="J862" i="1"/>
  <c r="J864" i="1"/>
  <c r="J866" i="1"/>
  <c r="J868" i="1"/>
  <c r="J870" i="1"/>
  <c r="J873" i="1"/>
  <c r="J875" i="1"/>
  <c r="J877" i="1"/>
  <c r="J879" i="1"/>
  <c r="J881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4" i="1"/>
  <c r="J906" i="1"/>
  <c r="J908" i="1"/>
  <c r="J910" i="1"/>
  <c r="J912" i="1"/>
  <c r="J914" i="1"/>
  <c r="J916" i="1"/>
  <c r="J918" i="1"/>
  <c r="J920" i="1"/>
  <c r="J922" i="1"/>
  <c r="J924" i="1"/>
  <c r="J925" i="1"/>
  <c r="J927" i="1"/>
  <c r="J929" i="1"/>
  <c r="J931" i="1"/>
  <c r="J933" i="1"/>
  <c r="J936" i="1"/>
  <c r="J937" i="1"/>
  <c r="J939" i="1"/>
  <c r="J941" i="1"/>
  <c r="J943" i="1"/>
  <c r="J946" i="1"/>
  <c r="J962" i="1"/>
  <c r="J964" i="1"/>
  <c r="J966" i="1"/>
  <c r="J1014" i="1"/>
  <c r="J1016" i="1"/>
  <c r="J1018" i="1"/>
  <c r="J1020" i="1"/>
  <c r="J1022" i="1"/>
  <c r="J1024" i="1"/>
  <c r="J1026" i="1"/>
  <c r="J1028" i="1"/>
  <c r="J1031" i="1"/>
  <c r="J1033" i="1"/>
  <c r="J1035" i="1"/>
  <c r="J1037" i="1"/>
  <c r="J1039" i="1"/>
  <c r="J1056" i="1"/>
  <c r="J1058" i="1"/>
  <c r="J1061" i="1"/>
  <c r="J1063" i="1"/>
  <c r="J1066" i="1"/>
  <c r="J1068" i="1"/>
  <c r="J1070" i="1"/>
  <c r="J1073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1" i="1"/>
  <c r="J1104" i="1"/>
  <c r="J1105" i="1"/>
  <c r="J1107" i="1"/>
  <c r="J1109" i="1"/>
  <c r="J1112" i="1"/>
  <c r="J1114" i="1"/>
  <c r="J1116" i="1"/>
  <c r="J1117" i="1"/>
  <c r="J1119" i="1"/>
  <c r="J1121" i="1"/>
  <c r="J1123" i="1"/>
  <c r="J1125" i="1"/>
  <c r="J1128" i="1"/>
  <c r="J1130" i="1"/>
  <c r="J1132" i="1"/>
  <c r="J1134" i="1"/>
  <c r="J1136" i="1"/>
  <c r="J1139" i="1"/>
  <c r="J1141" i="1"/>
  <c r="J1143" i="1"/>
  <c r="J1145" i="1"/>
  <c r="J1147" i="1"/>
  <c r="J1149" i="1"/>
  <c r="J1151" i="1"/>
  <c r="J1153" i="1"/>
  <c r="J1155" i="1"/>
  <c r="J1157" i="1"/>
  <c r="J1160" i="1"/>
  <c r="J1162" i="1"/>
  <c r="J1163" i="1"/>
  <c r="J1165" i="1"/>
  <c r="J1167" i="1"/>
  <c r="J1425" i="1"/>
  <c r="J1426" i="1"/>
  <c r="J1428" i="1"/>
  <c r="J1431" i="1"/>
  <c r="J1433" i="1"/>
  <c r="J1435" i="1"/>
  <c r="J1437" i="1"/>
  <c r="J1439" i="1"/>
  <c r="J1441" i="1"/>
  <c r="J1443" i="1"/>
  <c r="J1446" i="1"/>
  <c r="J1447" i="1"/>
  <c r="J1450" i="1"/>
  <c r="J1452" i="1"/>
  <c r="J1454" i="1"/>
  <c r="J1456" i="1"/>
  <c r="J1458" i="1"/>
  <c r="J1460" i="1"/>
  <c r="J1462" i="1"/>
  <c r="J1464" i="1"/>
  <c r="J1466" i="1"/>
  <c r="J1468" i="1"/>
  <c r="J1470" i="1"/>
  <c r="J1473" i="1"/>
  <c r="J1475" i="1"/>
  <c r="J1477" i="1"/>
  <c r="J1480" i="1"/>
  <c r="J1482" i="1"/>
  <c r="J1484" i="1"/>
  <c r="J1486" i="1"/>
  <c r="J1489" i="1"/>
  <c r="J1491" i="1"/>
  <c r="J1493" i="1"/>
  <c r="J1495" i="1"/>
  <c r="J1497" i="1"/>
  <c r="J1499" i="1"/>
  <c r="J1501" i="1"/>
  <c r="J1503" i="1"/>
  <c r="J1505" i="1"/>
  <c r="J1508" i="1"/>
  <c r="J1509" i="1"/>
  <c r="J1511" i="1"/>
  <c r="J1513" i="1"/>
  <c r="J1514" i="1"/>
  <c r="J1517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<sst xmlns="http://schemas.openxmlformats.org/spreadsheetml/2006/main" count="8881" uniqueCount="7011">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</sst>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0" dataDxfId="53">
  <tableColumns count="43">
    <tableColumn id="32" xr3:uid="{FDDC4F0B-9045-443D-8C76-CA735FA31908}" name="PROMO" dataDxfId="52"/>
    <tableColumn id="39" xr3:uid="{1AC7D975-804D-4302-86F4-1593B71BBDBB}" name="Laptop Gamer" dataDxfId="51"/>
    <tableColumn id="9" xr3:uid="{57B5AA43-5593-4F4F-B2E8-0BD2EF5A44B7}" name="Laptops" dataDxfId="50"/>
    <tableColumn id="28" xr3:uid="{5C8DE879-AEFD-47F7-8695-A8F3FAA60016}" name="Acces_Lap" dataDxfId="49"/>
    <tableColumn id="34" xr3:uid="{968EC682-C88F-4FF5-B53D-55A682D0C85A}" name="SSD" dataDxfId="48"/>
    <tableColumn id="1" xr3:uid="{0AE678DB-A499-4AD9-9166-CDAB74BED2AA}" name="NVME" dataDxfId="47"/>
    <tableColumn id="14" xr3:uid="{C8EEF5B9-F80E-48A2-8313-A9D608020A4B}" name="DD EXTERNOS" dataDxfId="46"/>
    <tableColumn id="29" xr3:uid="{CB483CCA-7E87-4C79-8586-760BEC639CB2}" name="TARJETAS DE VIDEO" dataDxfId="45"/>
    <tableColumn id="35" xr3:uid="{3B5ED23B-04E8-4836-A7B4-DB37438CE75B}" name="RAM NB" dataDxfId="44"/>
    <tableColumn id="38" xr3:uid="{345A0DB8-5FC8-4AB8-B4EE-7E15820DDB6C}" name="RAM PC" dataDxfId="43"/>
    <tableColumn id="2" xr3:uid="{9B8FDC90-F7B0-49FC-A283-A47B4EED5F01}" name="MF USB" dataDxfId="42"/>
    <tableColumn id="37" xr3:uid="{9EE22681-4FCE-4D35-960A-B07FE2E85922}" name="MF SD" dataDxfId="41"/>
    <tableColumn id="10" xr3:uid="{1846EE66-568B-474B-AA84-D2401D0A6F21}" name="COMPUTADORAS" dataDxfId="40"/>
    <tableColumn id="21" xr3:uid="{901B28E7-C96F-4FED-BCB7-7019FC78722D}" name="MONITORES" dataDxfId="39"/>
    <tableColumn id="15" xr3:uid="{F199FE70-04B0-4D28-8DC3-9B4830A55D54}" name="DD INTERNO" dataDxfId="38"/>
    <tableColumn id="5" xr3:uid="{F747F7EC-112B-4D09-9A10-FF73234673AD}" name="CASE" dataDxfId="37"/>
    <tableColumn id="19" xr3:uid="{88E44B5A-B3DA-4C4B-B333-4AC9186FF69F}" name="Impresoras" dataDxfId="36"/>
    <tableColumn id="8" xr3:uid="{489FB847-A50B-4D36-99CF-CDF5FFE308CB}" name="ACCESORIOS" dataDxfId="35"/>
    <tableColumn id="3" xr3:uid="{98D5601F-BC5C-4C0F-84C1-07CE54717DCF}" name="MULTIMEDIA" dataDxfId="34"/>
    <tableColumn id="23" xr3:uid="{00BEC416-4394-46C9-A0DB-D679EA965280}" name="MOUSE" dataDxfId="33"/>
    <tableColumn id="4" xr3:uid="{343C7A80-6334-47AC-BDC0-A5F1083A69CA}" name="SIXS" dataDxfId="32"/>
    <tableColumn id="6" xr3:uid="{CFFDFDA5-D923-4682-AF34-310EB309D152}" name="REDES" dataDxfId="31"/>
    <tableColumn id="7" xr3:uid="{659A6E71-1F64-4D93-BBB0-E895A7156F15}" name="Fuentes de Poder" dataDxfId="30"/>
    <tableColumn id="11" xr3:uid="{C126A45A-BB7E-4E8B-9E9E-7AA494CF3B8D}" name="Consolas" dataDxfId="29"/>
    <tableColumn id="12" xr3:uid="{DD72DD5E-F808-435A-BE66-9EA421857655}" name="Procesadores" dataDxfId="28"/>
    <tableColumn id="13" xr3:uid="{DA7038EB-6CA2-4D01-AB9E-2A99F2B47FA0}" name="Digital Signage" dataDxfId="27"/>
    <tableColumn id="22" xr3:uid="{6197EF5A-F957-466A-867F-DA19F67F4F8D}" name="Motherboard" dataDxfId="26"/>
    <tableColumn id="16" xr3:uid="{60D9B6B6-1108-41B0-9340-387308ACB2C7}" name="Fan Cooler CPU" dataDxfId="25"/>
    <tableColumn id="17" xr3:uid="{3F46C6AF-6314-4E44-9DE8-69E58F0F954D}" name="Dispositivos de Imagenes" dataDxfId="24"/>
    <tableColumn id="18" xr3:uid="{A62B746A-438D-478F-A89F-44CAFAE814B0}" name="Impresion de Manualidades" dataDxfId="23"/>
    <tableColumn id="24" xr3:uid="{1E9385A9-ADFA-4554-AA62-232D9AA271C6}" name="Servidores" dataDxfId="22"/>
    <tableColumn id="25" xr3:uid="{47CA0E50-30E7-41BD-93C0-09324E635653}" name="Smart Home" dataDxfId="21"/>
    <tableColumn id="26" xr3:uid="{4556D782-D861-4AE0-BDD2-065B121CD48A}" name="Storage" dataDxfId="20"/>
    <tableColumn id="27" xr3:uid="{396F33CA-AEA0-4252-AC50-4EAFD3BCB935}" name="Suministros" dataDxfId="19"/>
    <tableColumn id="30" xr3:uid="{2113325D-FB15-4465-95D5-21C7E21B5D71}" name="Telefonos" dataDxfId="18"/>
    <tableColumn id="31" xr3:uid="{AF1C112B-8F8D-4329-8936-653882B2C11D}" name="Televisores" dataDxfId="17"/>
    <tableColumn id="33" xr3:uid="{2B66F5A0-DA48-425A-B904-2776EDE4E644}" name="UPS/ESTABILIZADORES" dataDxfId="16"/>
    <tableColumn id="36" xr3:uid="{18000B52-4B2E-4BD4-A5D3-63E5873AD3EB}" name="Tablets" dataDxfId="15"/>
    <tableColumn id="40" xr3:uid="{15D37735-6E16-4E26-9EB7-71EC677B3142}" name="Teclados" dataDxfId="14"/>
    <tableColumn id="20" xr3:uid="{1853BE88-FD07-4930-9CCA-3DC86CFDF1FB}" name="Seguridad" dataDxfId="13"/>
    <tableColumn id="43" xr3:uid="{BF70008E-A2C3-4B72-B605-9FC6A3A70780}" name="Kaspersky" dataDxfId="12"/>
    <tableColumn id="44" xr3:uid="{5EE1E014-326F-44A2-9183-1BFFA02CFEB2}" name="SC+" dataDxfId="2"/>
    <tableColumn id="45" xr3:uid="{E16F618C-2D7A-4FF2-A721-513D3DE34EC5}" name="BUY" dataDxfId="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1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10" dataDxfId="9">
  <autoFilter ref="A1:F73" xr:uid="{D51F95DB-926D-44AB-A749-4DCED9BC4F79}"/>
  <tableColumns count="6">
    <tableColumn id="6" xr3:uid="{9ED63CF7-B524-444C-8650-716135D94C06}" name="DD EXTERNOS" dataDxfId="8"/>
    <tableColumn id="1" xr3:uid="{3791BE44-B364-4C6F-8AC1-1E0C31E91D78}" name="RAM LAPTOP" dataDxfId="7"/>
    <tableColumn id="2" xr3:uid="{098C1C07-807E-44C9-81AE-848AA4C3D502}" name="LAPTOP" dataDxfId="6"/>
    <tableColumn id="3" xr3:uid="{DD64B81B-2B7A-4F4B-A513-222E3B0A4059}" name="NVME" dataDxfId="5"/>
    <tableColumn id="4" xr3:uid="{CBBBCB10-B641-4529-ADD3-2F4EBB0990C6}" name="T. VIDEO" dataDxfId="4"/>
    <tableColumn id="5" xr3:uid="{0A8488E2-CBE8-4985-931D-4E342ED8DAAC}" name="Columna4" dataDxfId="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opLeftCell="A13" workbookViewId="0">
      <selection activeCell="A17" sqref="A17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6997</v>
      </c>
    </row>
    <row r="2" spans="1:12" x14ac:dyDescent="0.25">
      <c r="A2" s="3" t="s">
        <v>414</v>
      </c>
      <c r="B2" s="3" t="s">
        <v>4362</v>
      </c>
      <c r="C2" s="1">
        <v>8</v>
      </c>
      <c r="D2" s="1">
        <v>12.6</v>
      </c>
      <c r="E2" s="1"/>
      <c r="F2" s="1">
        <v>368984</v>
      </c>
      <c r="G2" s="3" t="s">
        <v>4363</v>
      </c>
      <c r="H2" s="11">
        <f t="shared" ref="H2:H1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4364</v>
      </c>
      <c r="B3" s="3" t="s">
        <v>4361</v>
      </c>
      <c r="C3" s="1">
        <v>8</v>
      </c>
      <c r="D3" s="1">
        <v>6.7</v>
      </c>
      <c r="E3" s="1"/>
      <c r="F3" s="1">
        <v>426156</v>
      </c>
      <c r="G3" s="3" t="s">
        <v>4365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4366</v>
      </c>
      <c r="B4" s="3" t="s">
        <v>4367</v>
      </c>
      <c r="C4" s="1">
        <v>8</v>
      </c>
      <c r="D4" s="1">
        <v>7.7</v>
      </c>
      <c r="E4" s="1"/>
      <c r="F4" s="1">
        <v>369033</v>
      </c>
      <c r="G4" s="3" t="s">
        <v>4367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4368</v>
      </c>
      <c r="B5" s="3" t="s">
        <v>4369</v>
      </c>
      <c r="C5" s="1">
        <v>8</v>
      </c>
      <c r="D5" s="1">
        <v>3.9</v>
      </c>
      <c r="E5" s="1"/>
      <c r="F5" s="1">
        <v>370926</v>
      </c>
      <c r="G5" s="3" t="s">
        <v>4370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4373</v>
      </c>
      <c r="B6" s="3" t="s">
        <v>4371</v>
      </c>
      <c r="C6" s="1">
        <v>8</v>
      </c>
      <c r="D6" s="1">
        <v>4.0999999999999996</v>
      </c>
      <c r="E6" s="1"/>
      <c r="F6" s="1">
        <v>427319</v>
      </c>
      <c r="G6" s="3" t="s">
        <v>4372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4374</v>
      </c>
      <c r="B7" s="3" t="s">
        <v>4375</v>
      </c>
      <c r="C7" s="1">
        <v>8</v>
      </c>
      <c r="D7" s="1">
        <v>5.5</v>
      </c>
      <c r="E7" s="1"/>
      <c r="F7" s="1">
        <v>370420</v>
      </c>
      <c r="G7" s="3" t="s">
        <v>4376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4377</v>
      </c>
      <c r="B8" s="3" t="s">
        <v>4378</v>
      </c>
      <c r="C8" s="1">
        <v>8</v>
      </c>
      <c r="D8" s="1">
        <v>12.5</v>
      </c>
      <c r="E8" s="1"/>
      <c r="F8" s="1">
        <v>440801</v>
      </c>
      <c r="G8" s="3" t="s">
        <v>4379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4469</v>
      </c>
      <c r="B9" s="3" t="s">
        <v>4470</v>
      </c>
      <c r="C9" s="1">
        <v>8</v>
      </c>
      <c r="D9" s="1">
        <v>40.299999999999997</v>
      </c>
      <c r="E9" s="1"/>
      <c r="F9" s="1">
        <v>473310</v>
      </c>
      <c r="G9" s="3" t="s">
        <v>4473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4471</v>
      </c>
      <c r="B10" s="3" t="s">
        <v>4472</v>
      </c>
      <c r="C10" s="1">
        <v>8</v>
      </c>
      <c r="D10" s="1">
        <v>100.3</v>
      </c>
      <c r="E10" s="1"/>
      <c r="F10" s="1">
        <v>451520</v>
      </c>
      <c r="G10" s="3" t="s">
        <v>4481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4374</v>
      </c>
      <c r="B11" s="3" t="s">
        <v>4375</v>
      </c>
      <c r="C11" s="1">
        <v>8</v>
      </c>
      <c r="D11" s="1">
        <v>5.5</v>
      </c>
      <c r="E11" s="1"/>
      <c r="F11" s="1">
        <v>370420</v>
      </c>
      <c r="G11" s="3" t="s">
        <v>4376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5638</v>
      </c>
      <c r="B12" s="3" t="s">
        <v>5637</v>
      </c>
      <c r="C12" s="1">
        <v>8</v>
      </c>
      <c r="D12" s="1">
        <v>44</v>
      </c>
      <c r="E12" s="1"/>
      <c r="F12" s="1">
        <v>426096</v>
      </c>
      <c r="G12" s="3" t="s">
        <v>5636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6998</v>
      </c>
      <c r="B13" s="3" t="s">
        <v>6999</v>
      </c>
      <c r="C13" s="1">
        <v>8</v>
      </c>
      <c r="D13" s="1">
        <v>41.3</v>
      </c>
      <c r="E13" s="1"/>
      <c r="F13" s="1">
        <v>488963</v>
      </c>
      <c r="G13" s="3" t="s">
        <v>7000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7002</v>
      </c>
      <c r="B14" s="3" t="s">
        <v>7003</v>
      </c>
      <c r="C14" s="1">
        <v>8</v>
      </c>
      <c r="D14" s="1">
        <v>14.51</v>
      </c>
      <c r="E14" s="1"/>
      <c r="F14" s="1">
        <v>489485</v>
      </c>
      <c r="G14" s="3" t="s">
        <v>7001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7004</v>
      </c>
      <c r="B15" s="3" t="s">
        <v>7005</v>
      </c>
      <c r="C15" s="1">
        <v>8</v>
      </c>
      <c r="D15" s="1">
        <v>6.95</v>
      </c>
      <c r="E15" s="1"/>
      <c r="F15" s="1">
        <v>363378</v>
      </c>
      <c r="G15" s="3" t="s">
        <v>7006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7007</v>
      </c>
      <c r="B16" s="3" t="s">
        <v>7008</v>
      </c>
      <c r="C16" s="1">
        <v>8</v>
      </c>
      <c r="D16" s="1">
        <v>15</v>
      </c>
      <c r="E16" s="1"/>
      <c r="F16" s="1">
        <v>451130</v>
      </c>
      <c r="G16" s="3" t="s">
        <v>7009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74.84</v>
      </c>
      <c r="I16" s="9">
        <f>($K$2+0.02)*Tabla1[[#This Row],[PRECIO $]]*1.18</f>
        <v>61.596000000000004</v>
      </c>
      <c r="J16" s="7">
        <f>+Tabla1[[#This Row],[PRECIO EN SOLES]]-Tabla1[[#This Row],[PC]]</f>
        <v>13.244</v>
      </c>
      <c r="K16" s="15"/>
      <c r="L16" s="15" t="str">
        <f>IF(
OR(
ISNUMBER(SEARCH("BACKPACK",B18)),
ISNUMBER(SEARCH("MOCHILA",B18)),
ISNUMBER(SEARCH("FUNDA",B18)),
ISNUMBER(SEARCH("ESTUCHE",B18)),
ISNUMBER(SEARCH("BOOK COVER",B18)),
ISNUMBER(SEARCH("KEYBOARD PARA TABLET",B18)),
ISNUMBER(SEARCH("FLIP TABLET",B18)),
ISNUMBER(SEARCH("CASE FOR TABLET",B18)),
ISNUMBER(SEARCH("CABLE",B18)),
ISNUMBER(SEARCH("ADAPTADOR",B18)),
ISNUMBER(SEARCH("HUB",B18)),
ISNUMBER(SEARCH("DOCK",B18)),
ISNUMBER(SEARCH("MOUSE PAD",B18)),
ISNUMBER(SEARCH("MOUSEPAD",B18)),
ISNUMBER(SEARCH("SOPORTE",B18)),
ISNUMBER(SEARCH("STAND",B18)),
ISNUMBER(SEARCH("TRAVEL ADAPTER",B18)),
ISNUMBER(SEARCH("RJ45",B18)),
ISNUMBER(SEARCH("USB-C",B18)),
ISNUMBER(SEARCH("USB WIFI",B18)),
ISNUMBER(SEARCH("POWERBANK",B18)),
ISNUMBER(SEARCH("CARGADOR",B18)),
ISNUMBER(SEARCH("COOLER PARA NB",B18)),
ISNUMBER(SEARCH("SOPORTE PARA NB",B18)),
ISNUMBER(SEARCH("WEBCAM",B18)),
ISNUMBER(SEARCH("WEB CAM",B18)),
ISNUMBER(SEARCH("MOUSE",B18)),
ISNUMBER(SEARCH("TECLADO",B18))
),
"COMPLEMENTO",
IF(
OR(
LEFT(A18,2)="NB",
LEFT(A18,2)="PC",
LEFT(A18,2)="WS",
LEFT(A18,2)="TB",
LEFT(A18,3)="CEL",
LEFT(A18,3)="MON",
LEFT(A18,3)="PRE",
LEFT(A18,3)="PRH",
ISNUMBER(SEARCH("NOTEBOOK",B18)),
ISNUMBER(SEARCH("LAPTOP",B18)),
ISNUMBER(SEARCH("MONITOR",B18)),
ISNUMBER(SEARCH("TABLET",B18)),
ISNUMBER(SEARCH("SMARTPH",B18)),
ISNUMBER(SEARCH("IMPRESORA",B18)),
ISNUMBER(SEARCH("MULTIFUNCIONAL",B18)),
ISNUMBER(SEARCH("AIO",B18))
),
"GANCHO",
"NORMAL"
)
)</f>
        <v>NORMAL</v>
      </c>
    </row>
    <row r="17" spans="1:12" x14ac:dyDescent="0.25">
      <c r="A17" s="3"/>
      <c r="B17" s="3"/>
      <c r="C17" s="1"/>
      <c r="D17" s="1"/>
      <c r="E17" s="1"/>
      <c r="F17" s="1"/>
      <c r="G17" s="3"/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2</v>
      </c>
      <c r="I17" s="9">
        <f>($K$2+0.02)*Tabla1[[#This Row],[PRECIO $]]*1.18</f>
        <v>0</v>
      </c>
      <c r="J17" s="7">
        <f>+Tabla1[[#This Row],[PRECIO EN SOLES]]-Tabla1[[#This Row],[PC]]</f>
        <v>2</v>
      </c>
      <c r="K17" s="15"/>
      <c r="L17" s="15" t="str">
        <f>IF(
OR(
ISNUMBER(SEARCH("BACKPACK",B19)),
ISNUMBER(SEARCH("MOCHILA",B19)),
ISNUMBER(SEARCH("FUNDA",B19)),
ISNUMBER(SEARCH("ESTUCHE",B19)),
ISNUMBER(SEARCH("BOOK COVER",B19)),
ISNUMBER(SEARCH("KEYBOARD PARA TABLET",B19)),
ISNUMBER(SEARCH("FLIP TABLET",B19)),
ISNUMBER(SEARCH("CASE FOR TABLET",B19)),
ISNUMBER(SEARCH("CABLE",B19)),
ISNUMBER(SEARCH("ADAPTADOR",B19)),
ISNUMBER(SEARCH("HUB",B19)),
ISNUMBER(SEARCH("DOCK",B19)),
ISNUMBER(SEARCH("MOUSE PAD",B19)),
ISNUMBER(SEARCH("MOUSEPAD",B19)),
ISNUMBER(SEARCH("SOPORTE",B19)),
ISNUMBER(SEARCH("STAND",B19)),
ISNUMBER(SEARCH("TRAVEL ADAPTER",B19)),
ISNUMBER(SEARCH("RJ45",B19)),
ISNUMBER(SEARCH("USB-C",B19)),
ISNUMBER(SEARCH("USB WIFI",B19)),
ISNUMBER(SEARCH("POWERBANK",B19)),
ISNUMBER(SEARCH("CARGADOR",B19)),
ISNUMBER(SEARCH("COOLER PARA NB",B19)),
ISNUMBER(SEARCH("SOPORTE PARA NB",B19)),
ISNUMBER(SEARCH("WEBCAM",B19)),
ISNUMBER(SEARCH("WEB CAM",B19)),
ISNUMBER(SEARCH("MOUSE",B19)),
ISNUMBER(SEARCH("TECLADO",B19))
),
"COMPLEMENTO",
IF(
OR(
LEFT(A19,2)="NB",
LEFT(A19,2)="PC",
LEFT(A19,2)="WS",
LEFT(A19,2)="TB",
LEFT(A19,3)="CEL",
LEFT(A19,3)="MON",
LEFT(A19,3)="PRE",
LEFT(A19,3)="PRH",
ISNUMBER(SEARCH("NOTEBOOK",B19)),
ISNUMBER(SEARCH("LAPTOP",B19)),
ISNUMBER(SEARCH("MONITOR",B19)),
ISNUMBER(SEARCH("TABLET",B19)),
ISNUMBER(SEARCH("SMARTPH",B19)),
ISNUMBER(SEARCH("IMPRESORA",B19)),
ISNUMBER(SEARCH("MULTIFUNCIONAL",B19)),
ISNUMBER(SEARCH("AIO",B19))
),
"GANCHO",
"NORMAL"
)
)</f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>ROUND(
IF(L16="GANCHO",
   IF(I18&lt;=50,I18*1.1+4,IF(I18&lt;=120,I18*1.1+7,IF(I18&lt;=250,I18*1.1+11,I18*1.1+19))),
IF(L16="NORMAL",
   IF(I18&lt;=30,I18*1.15+2,IF(I18&lt;=80,I18*1.15+4,IF(I18&lt;=150,I18*1.15+6,I18*1.15+8))),
IF(L16="COMPLEMENTO",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>IF(
OR(
ISNUMBER(SEARCH("BACKPACK",B20)),
ISNUMBER(SEARCH("MOCHILA",B20)),
ISNUMBER(SEARCH("FUNDA",B20)),
ISNUMBER(SEARCH("ESTUCHE",B20)),
ISNUMBER(SEARCH("BOOK COVER",B20)),
ISNUMBER(SEARCH("KEYBOARD PARA TABLET",B20)),
ISNUMBER(SEARCH("FLIP TABLET",B20)),
ISNUMBER(SEARCH("CASE FOR TABLET",B20)),
ISNUMBER(SEARCH("CABLE",B20)),
ISNUMBER(SEARCH("ADAPTADOR",B20)),
ISNUMBER(SEARCH("HUB",B20)),
ISNUMBER(SEARCH("DOCK",B20)),
ISNUMBER(SEARCH("MOUSE PAD",B20)),
ISNUMBER(SEARCH("MOUSEPAD",B20)),
ISNUMBER(SEARCH("SOPORTE",B20)),
ISNUMBER(SEARCH("STAND",B20)),
ISNUMBER(SEARCH("TRAVEL ADAPTER",B20)),
ISNUMBER(SEARCH("RJ45",B20)),
ISNUMBER(SEARCH("USB-C",B20)),
ISNUMBER(SEARCH("USB WIFI",B20)),
ISNUMBER(SEARCH("POWERBANK",B20)),
ISNUMBER(SEARCH("CARGADOR",B20)),
ISNUMBER(SEARCH("COOLER PARA NB",B20)),
ISNUMBER(SEARCH("SOPORTE PARA NB",B20)),
ISNUMBER(SEARCH("WEBCAM",B20)),
ISNUMBER(SEARCH("WEB CAM",B20)),
ISNUMBER(SEARCH("MOUSE",B20)),
ISNUMBER(SEARCH("TECLADO",B20))
),
"COMPLEMENTO",
IF(
OR(
LEFT(A20,2)="NB",
LEFT(A20,2)="PC",
LEFT(A20,2)="WS",
LEFT(A20,2)="TB",
LEFT(A20,3)="CEL",
LEFT(A20,3)="MON",
LEFT(A20,3)="PRE",
LEFT(A20,3)="PRH",
ISNUMBER(SEARCH("NOTEBOOK",B20)),
ISNUMBER(SEARCH("LAPTOP",B20)),
ISNUMBER(SEARCH("MONITOR",B20)),
ISNUMBER(SEARCH("TABLET",B20)),
ISNUMBER(SEARCH("SMARTPH",B20)),
ISNUMBER(SEARCH("IMPRESORA",B20)),
ISNUMBER(SEARCH("MULTIFUNCIONAL",B20)),
ISNUMBER(SEARCH("AIO",B20))
),
"GANCHO",
"NORMAL"
)
)</f>
        <v>COMPLEMENTO</v>
      </c>
    </row>
    <row r="19" spans="1:12" x14ac:dyDescent="0.25">
      <c r="A19" s="3" t="s">
        <v>50</v>
      </c>
      <c r="B19" s="3" t="s">
        <v>51</v>
      </c>
      <c r="C19" s="1">
        <v>20</v>
      </c>
      <c r="D19" s="1">
        <v>16</v>
      </c>
      <c r="E19" s="1" t="s">
        <v>52</v>
      </c>
      <c r="F19" s="1" t="s">
        <v>3063</v>
      </c>
      <c r="G19" s="3" t="s">
        <v>53</v>
      </c>
      <c r="H19" s="11">
        <f>ROUND(
IF(L17="GANCHO",
   IF(I19&lt;=50,I19*1.1+4,IF(I19&lt;=120,I19*1.1+7,IF(I19&lt;=250,I19*1.1+11,I19*1.1+19))),
IF(L17="NORMAL",
   IF(I19&lt;=30,I19*1.15+2,IF(I19&lt;=80,I19*1.15+4,IF(I19&lt;=150,I19*1.15+6,I19*1.15+8))),
IF(L17="COMPLEMENTO",
   IF(I19&lt;=25,I19*1.25+1.5,IF(I19&lt;=60,I19*1.25+3,IF(I19&lt;=120,I19*1.25+4,I19*1.25+5))),
""))),2)</f>
        <v>79.56</v>
      </c>
      <c r="I19" s="9">
        <f>($K$2+0.02)*Tabla1[[#This Row],[PRECIO $]]*1.18</f>
        <v>65.702399999999997</v>
      </c>
      <c r="J19" s="7">
        <f>+Tabla1[[#This Row],[PRECIO EN SOLES]]-Tabla1[[#This Row],[PC]]</f>
        <v>13.857600000000005</v>
      </c>
      <c r="K19" s="15"/>
      <c r="L19" s="15" t="str">
        <f>IF(
OR(
ISNUMBER(SEARCH("BACKPACK",B21)),
ISNUMBER(SEARCH("MOCHILA",B21)),
ISNUMBER(SEARCH("FUNDA",B21)),
ISNUMBER(SEARCH("ESTUCHE",B21)),
ISNUMBER(SEARCH("BOOK COVER",B21)),
ISNUMBER(SEARCH("KEYBOARD PARA TABLET",B21)),
ISNUMBER(SEARCH("FLIP TABLET",B21)),
ISNUMBER(SEARCH("CASE FOR TABLET",B21)),
ISNUMBER(SEARCH("CABLE",B21)),
ISNUMBER(SEARCH("ADAPTADOR",B21)),
ISNUMBER(SEARCH("HUB",B21)),
ISNUMBER(SEARCH("DOCK",B21)),
ISNUMBER(SEARCH("MOUSE PAD",B21)),
ISNUMBER(SEARCH("MOUSEPAD",B21)),
ISNUMBER(SEARCH("SOPORTE",B21)),
ISNUMBER(SEARCH("STAND",B21)),
ISNUMBER(SEARCH("TRAVEL ADAPTER",B21)),
ISNUMBER(SEARCH("RJ45",B21)),
ISNUMBER(SEARCH("USB-C",B21)),
ISNUMBER(SEARCH("USB WIFI",B21)),
ISNUMBER(SEARCH("POWERBANK",B21)),
ISNUMBER(SEARCH("CARGADOR",B21)),
ISNUMBER(SEARCH("COOLER PARA NB",B21)),
ISNUMBER(SEARCH("SOPORTE PARA NB",B21)),
ISNUMBER(SEARCH("WEBCAM",B21)),
ISNUMBER(SEARCH("WEB CAM",B21)),
ISNUMBER(SEARCH("MOUSE",B21)),
ISNUMBER(SEARCH("TECLADO",B21))
),
"COMPLEMENTO",
IF(
OR(
LEFT(A21,2)="NB",
LEFT(A21,2)="PC",
LEFT(A21,2)="WS",
LEFT(A21,2)="TB",
LEFT(A21,3)="CEL",
LEFT(A21,3)="MON",
LEFT(A21,3)="PRE",
LEFT(A21,3)="PRH",
ISNUMBER(SEARCH("NOTEBOOK",B21)),
ISNUMBER(SEARCH("LAPTOP",B21)),
ISNUMBER(SEARCH("MONITOR",B21)),
ISNUMBER(SEARCH("TABLET",B21)),
ISNUMBER(SEARCH("SMARTPH",B21)),
ISNUMBER(SEARCH("IMPRESORA",B21)),
ISNUMBER(SEARCH("MULTIFUNCIONAL",B21)),
ISNUMBER(SEARCH("AIO",B21))
),
"GANCHO",
"NORMAL"
)
)</f>
        <v>NORMAL</v>
      </c>
    </row>
    <row r="20" spans="1:12" x14ac:dyDescent="0.25">
      <c r="A20" s="3" t="s">
        <v>766</v>
      </c>
      <c r="B20" s="3" t="s">
        <v>767</v>
      </c>
      <c r="C20" s="1">
        <v>20</v>
      </c>
      <c r="D20" s="1">
        <v>10</v>
      </c>
      <c r="E20" s="1" t="s">
        <v>54</v>
      </c>
      <c r="F20" s="1" t="s">
        <v>3064</v>
      </c>
      <c r="G20" s="3" t="s">
        <v>768</v>
      </c>
      <c r="H20" s="11">
        <f>ROUND(
IF(L18="GANCHO",
   IF(I20&lt;=50,I20*1.1+4,IF(I20&lt;=120,I20*1.1+7,IF(I20&lt;=250,I20*1.1+11,I20*1.1+19))),
IF(L18="NORMAL",
   IF(I20&lt;=30,I20*1.15+2,IF(I20&lt;=80,I20*1.15+4,IF(I20&lt;=150,I20*1.15+6,I20*1.15+8))),
IF(L18="COMPLEMENTO",
   IF(I20&lt;=25,I20*1.25+1.5,IF(I20&lt;=60,I20*1.25+3,IF(I20&lt;=120,I20*1.25+4,I20*1.25+5))),
""))),2)</f>
        <v>54.33</v>
      </c>
      <c r="I20" s="9">
        <f>($K$2+0.02)*Tabla1[[#This Row],[PRECIO $]]*1.18</f>
        <v>41.063999999999993</v>
      </c>
      <c r="J20" s="7">
        <f>+Tabla1[[#This Row],[PRECIO EN SOLES]]-Tabla1[[#This Row],[PC]]</f>
        <v>13.266000000000005</v>
      </c>
      <c r="K20" s="15"/>
      <c r="L20" s="15" t="str">
        <f>IF(
OR(
ISNUMBER(SEARCH("BACKPACK",B22)),
ISNUMBER(SEARCH("MOCHILA",B22)),
ISNUMBER(SEARCH("FUNDA",B22)),
ISNUMBER(SEARCH("ESTUCHE",B22)),
ISNUMBER(SEARCH("BOOK COVER",B22)),
ISNUMBER(SEARCH("KEYBOARD PARA TABLET",B22)),
ISNUMBER(SEARCH("FLIP TABLET",B22)),
ISNUMBER(SEARCH("CASE FOR TABLET",B22)),
ISNUMBER(SEARCH("CABLE",B22)),
ISNUMBER(SEARCH("ADAPTADOR",B22)),
ISNUMBER(SEARCH("HUB",B22)),
ISNUMBER(SEARCH("DOCK",B22)),
ISNUMBER(SEARCH("MOUSE PAD",B22)),
ISNUMBER(SEARCH("MOUSEPAD",B22)),
ISNUMBER(SEARCH("SOPORTE",B22)),
ISNUMBER(SEARCH("STAND",B22)),
ISNUMBER(SEARCH("TRAVEL ADAPTER",B22)),
ISNUMBER(SEARCH("RJ45",B22)),
ISNUMBER(SEARCH("USB-C",B22)),
ISNUMBER(SEARCH("USB WIFI",B22)),
ISNUMBER(SEARCH("POWERBANK",B22)),
ISNUMBER(SEARCH("CARGADOR",B22)),
ISNUMBER(SEARCH("COOLER PARA NB",B22)),
ISNUMBER(SEARCH("SOPORTE PARA NB",B22)),
ISNUMBER(SEARCH("WEBCAM",B22)),
ISNUMBER(SEARCH("WEB CAM",B22)),
ISNUMBER(SEARCH("MOUSE",B22)),
ISNUMBER(SEARCH("TECLADO",B22))
),
"COMPLEMENTO",
IF(
OR(
LEFT(A22,2)="NB",
LEFT(A22,2)="PC",
LEFT(A22,2)="WS",
LEFT(A22,2)="TB",
LEFT(A22,3)="CEL",
LEFT(A22,3)="MON",
LEFT(A22,3)="PRE",
LEFT(A22,3)="PRH",
ISNUMBER(SEARCH("NOTEBOOK",B22)),
ISNUMBER(SEARCH("LAPTOP",B22)),
ISNUMBER(SEARCH("MONITOR",B22)),
ISNUMBER(SEARCH("TABLET",B22)),
ISNUMBER(SEARCH("SMARTPH",B22)),
ISNUMBER(SEARCH("IMPRESORA",B22)),
ISNUMBER(SEARCH("MULTIFUNCIONAL",B22)),
ISNUMBER(SEARCH("AIO",B22))
),
"GANCHO",
"NORMAL"
)
)</f>
        <v>NORMAL</v>
      </c>
    </row>
    <row r="21" spans="1:12" x14ac:dyDescent="0.25">
      <c r="A21" s="3" t="s">
        <v>5697</v>
      </c>
      <c r="B21" s="3" t="s">
        <v>5698</v>
      </c>
      <c r="C21" s="1">
        <v>20</v>
      </c>
      <c r="D21" s="1">
        <v>36.5</v>
      </c>
      <c r="E21" s="1" t="s">
        <v>55</v>
      </c>
      <c r="F21" s="1" t="s">
        <v>5699</v>
      </c>
      <c r="G21" s="3"/>
      <c r="H21" s="11">
        <f>ROUND(
IF(L19="GANCHO",
   IF(I21&lt;=50,I21*1.1+4,IF(I21&lt;=120,I21*1.1+7,IF(I21&lt;=250,I21*1.1+11,I21*1.1+19))),
IF(L19="NORMAL",
   IF(I21&lt;=30,I21*1.15+2,IF(I21&lt;=80,I21*1.15+4,IF(I21&lt;=150,I21*1.15+6,I21*1.15+8))),
IF(L19="COMPLEMENTO",
   IF(I21&lt;=25,I21*1.25+1.5,IF(I21&lt;=60,I21*1.25+3,IF(I21&lt;=120,I21*1.25+4,I21*1.25+5))),
""))),2)</f>
        <v>178.37</v>
      </c>
      <c r="I21" s="9">
        <f>($K$2+0.02)*Tabla1[[#This Row],[PRECIO $]]*1.18</f>
        <v>149.8836</v>
      </c>
      <c r="J21" s="7">
        <f>+Tabla1[[#This Row],[PRECIO EN SOLES]]-Tabla1[[#This Row],[PC]]</f>
        <v>28.486400000000003</v>
      </c>
      <c r="K21" s="15"/>
      <c r="L21" s="15" t="str">
        <f>IF(
OR(
ISNUMBER(SEARCH("BACKPACK",B23)),
ISNUMBER(SEARCH("MOCHILA",B23)),
ISNUMBER(SEARCH("FUNDA",B23)),
ISNUMBER(SEARCH("ESTUCHE",B23)),
ISNUMBER(SEARCH("BOOK COVER",B23)),
ISNUMBER(SEARCH("KEYBOARD PARA TABLET",B23)),
ISNUMBER(SEARCH("FLIP TABLET",B23)),
ISNUMBER(SEARCH("CASE FOR TABLET",B23)),
ISNUMBER(SEARCH("CABLE",B23)),
ISNUMBER(SEARCH("ADAPTADOR",B23)),
ISNUMBER(SEARCH("HUB",B23)),
ISNUMBER(SEARCH("DOCK",B23)),
ISNUMBER(SEARCH("MOUSE PAD",B23)),
ISNUMBER(SEARCH("MOUSEPAD",B23)),
ISNUMBER(SEARCH("SOPORTE",B23)),
ISNUMBER(SEARCH("STAND",B23)),
ISNUMBER(SEARCH("TRAVEL ADAPTER",B23)),
ISNUMBER(SEARCH("RJ45",B23)),
ISNUMBER(SEARCH("USB-C",B23)),
ISNUMBER(SEARCH("USB WIFI",B23)),
ISNUMBER(SEARCH("POWERBANK",B23)),
ISNUMBER(SEARCH("CARGADOR",B23)),
ISNUMBER(SEARCH("COOLER PARA NB",B23)),
ISNUMBER(SEARCH("SOPORTE PARA NB",B23)),
ISNUMBER(SEARCH("WEBCAM",B23)),
ISNUMBER(SEARCH("WEB CAM",B23)),
ISNUMBER(SEARCH("MOUSE",B23)),
ISNUMBER(SEARCH("TECLADO",B23))
),
"COMPLEMENTO",
IF(
OR(
LEFT(A23,2)="NB",
LEFT(A23,2)="PC",
LEFT(A23,2)="WS",
LEFT(A23,2)="TB",
LEFT(A23,3)="CEL",
LEFT(A23,3)="MON",
LEFT(A23,3)="PRE",
LEFT(A23,3)="PRH",
ISNUMBER(SEARCH("NOTEBOOK",B23)),
ISNUMBER(SEARCH("LAPTOP",B23)),
ISNUMBER(SEARCH("MONITOR",B23)),
ISNUMBER(SEARCH("TABLET",B23)),
ISNUMBER(SEARCH("SMARTPH",B23)),
ISNUMBER(SEARCH("IMPRESORA",B23)),
ISNUMBER(SEARCH("MULTIFUNCIONAL",B23)),
ISNUMBER(SEARCH("AIO",B23))
),
"GANCHO",
"NORMAL"
)
)</f>
        <v>NORMAL</v>
      </c>
    </row>
    <row r="22" spans="1:12" x14ac:dyDescent="0.25">
      <c r="A22" s="3" t="s">
        <v>769</v>
      </c>
      <c r="B22" s="3" t="s">
        <v>770</v>
      </c>
      <c r="C22" s="1">
        <v>20</v>
      </c>
      <c r="D22" s="1">
        <v>3</v>
      </c>
      <c r="E22" s="1" t="s">
        <v>55</v>
      </c>
      <c r="F22" s="1" t="s">
        <v>3065</v>
      </c>
      <c r="G22" s="3"/>
      <c r="H22" s="11">
        <f>ROUND(
IF(L20="GANCHO",
   IF(I22&lt;=50,I22*1.1+4,IF(I22&lt;=120,I22*1.1+7,IF(I22&lt;=250,I22*1.1+11,I22*1.1+19))),
IF(L20="NORMAL",
   IF(I22&lt;=30,I22*1.15+2,IF(I22&lt;=80,I22*1.15+4,IF(I22&lt;=150,I22*1.15+6,I22*1.15+8))),
IF(L20="COMPLEMENTO",
   IF(I22&lt;=25,I22*1.25+1.5,IF(I22&lt;=60,I22*1.25+3,IF(I22&lt;=120,I22*1.25+4,I22*1.25+5))),
""))),2)</f>
        <v>16.170000000000002</v>
      </c>
      <c r="I22" s="9">
        <f>($K$2+0.02)*Tabla1[[#This Row],[PRECIO $]]*1.18</f>
        <v>12.319199999999999</v>
      </c>
      <c r="J22" s="7">
        <f>+Tabla1[[#This Row],[PRECIO EN SOLES]]-Tabla1[[#This Row],[PC]]</f>
        <v>3.8508000000000031</v>
      </c>
      <c r="K22" s="15"/>
      <c r="L22" s="15" t="str">
        <f>IF(
OR(
ISNUMBER(SEARCH("BACKPACK",B24)),
ISNUMBER(SEARCH("MOCHILA",B24)),
ISNUMBER(SEARCH("FUNDA",B24)),
ISNUMBER(SEARCH("ESTUCHE",B24)),
ISNUMBER(SEARCH("BOOK COVER",B24)),
ISNUMBER(SEARCH("KEYBOARD PARA TABLET",B24)),
ISNUMBER(SEARCH("FLIP TABLET",B24)),
ISNUMBER(SEARCH("CASE FOR TABLET",B24)),
ISNUMBER(SEARCH("CABLE",B24)),
ISNUMBER(SEARCH("ADAPTADOR",B24)),
ISNUMBER(SEARCH("HUB",B24)),
ISNUMBER(SEARCH("DOCK",B24)),
ISNUMBER(SEARCH("MOUSE PAD",B24)),
ISNUMBER(SEARCH("MOUSEPAD",B24)),
ISNUMBER(SEARCH("SOPORTE",B24)),
ISNUMBER(SEARCH("STAND",B24)),
ISNUMBER(SEARCH("TRAVEL ADAPTER",B24)),
ISNUMBER(SEARCH("RJ45",B24)),
ISNUMBER(SEARCH("USB-C",B24)),
ISNUMBER(SEARCH("USB WIFI",B24)),
ISNUMBER(SEARCH("POWERBANK",B24)),
ISNUMBER(SEARCH("CARGADOR",B24)),
ISNUMBER(SEARCH("COOLER PARA NB",B24)),
ISNUMBER(SEARCH("SOPORTE PARA NB",B24)),
ISNUMBER(SEARCH("WEBCAM",B24)),
ISNUMBER(SEARCH("WEB CAM",B24)),
ISNUMBER(SEARCH("MOUSE",B24)),
ISNUMBER(SEARCH("TECLADO",B24))
),
"COMPLEMENTO",
IF(
OR(
LEFT(A24,2)="NB",
LEFT(A24,2)="PC",
LEFT(A24,2)="WS",
LEFT(A24,2)="TB",
LEFT(A24,3)="CEL",
LEFT(A24,3)="MON",
LEFT(A24,3)="PRE",
LEFT(A24,3)="PRH",
ISNUMBER(SEARCH("NOTEBOOK",B24)),
ISNUMBER(SEARCH("LAPTOP",B24)),
ISNUMBER(SEARCH("MONITOR",B24)),
ISNUMBER(SEARCH("TABLET",B24)),
ISNUMBER(SEARCH("SMARTPH",B24)),
ISNUMBER(SEARCH("IMPRESORA",B24)),
ISNUMBER(SEARCH("MULTIFUNCIONAL",B24)),
ISNUMBER(SEARCH("AIO",B24))
),
"GANCHO",
"NORMAL"
)
)</f>
        <v>NORMAL</v>
      </c>
    </row>
    <row r="23" spans="1:12" x14ac:dyDescent="0.25">
      <c r="A23" s="3" t="s">
        <v>771</v>
      </c>
      <c r="B23" s="3" t="s">
        <v>772</v>
      </c>
      <c r="C23" s="1">
        <v>20</v>
      </c>
      <c r="D23" s="1">
        <v>3</v>
      </c>
      <c r="E23" s="1" t="s">
        <v>55</v>
      </c>
      <c r="F23" s="1" t="s">
        <v>3066</v>
      </c>
      <c r="G23" s="3"/>
      <c r="H23" s="11">
        <f>ROUND(
IF(L21="GANCHO",
   IF(I23&lt;=50,I23*1.1+4,IF(I23&lt;=120,I23*1.1+7,IF(I23&lt;=250,I23*1.1+11,I23*1.1+19))),
IF(L21="NORMAL",
   IF(I23&lt;=30,I23*1.15+2,IF(I23&lt;=80,I23*1.15+4,IF(I23&lt;=150,I23*1.15+6,I23*1.15+8))),
IF(L21="COMPLEMENTO",
   IF(I23&lt;=25,I23*1.25+1.5,IF(I23&lt;=60,I23*1.25+3,IF(I23&lt;=120,I23*1.25+4,I23*1.25+5))),
""))),2)</f>
        <v>16.170000000000002</v>
      </c>
      <c r="I23" s="9">
        <f>($K$2+0.02)*Tabla1[[#This Row],[PRECIO $]]*1.18</f>
        <v>12.319199999999999</v>
      </c>
      <c r="J23" s="7">
        <f>+Tabla1[[#This Row],[PRECIO EN SOLES]]-Tabla1[[#This Row],[PC]]</f>
        <v>3.8508000000000031</v>
      </c>
      <c r="K23" s="15"/>
      <c r="L23" s="15" t="str">
        <f>IF(
OR(
ISNUMBER(SEARCH("BACKPACK",B25)),
ISNUMBER(SEARCH("MOCHILA",B25)),
ISNUMBER(SEARCH("FUNDA",B25)),
ISNUMBER(SEARCH("ESTUCHE",B25)),
ISNUMBER(SEARCH("BOOK COVER",B25)),
ISNUMBER(SEARCH("KEYBOARD PARA TABLET",B25)),
ISNUMBER(SEARCH("FLIP TABLET",B25)),
ISNUMBER(SEARCH("CASE FOR TABLET",B25)),
ISNUMBER(SEARCH("CABLE",B25)),
ISNUMBER(SEARCH("ADAPTADOR",B25)),
ISNUMBER(SEARCH("HUB",B25)),
ISNUMBER(SEARCH("DOCK",B25)),
ISNUMBER(SEARCH("MOUSE PAD",B25)),
ISNUMBER(SEARCH("MOUSEPAD",B25)),
ISNUMBER(SEARCH("SOPORTE",B25)),
ISNUMBER(SEARCH("STAND",B25)),
ISNUMBER(SEARCH("TRAVEL ADAPTER",B25)),
ISNUMBER(SEARCH("RJ45",B25)),
ISNUMBER(SEARCH("USB-C",B25)),
ISNUMBER(SEARCH("USB WIFI",B25)),
ISNUMBER(SEARCH("POWERBANK",B25)),
ISNUMBER(SEARCH("CARGADOR",B25)),
ISNUMBER(SEARCH("COOLER PARA NB",B25)),
ISNUMBER(SEARCH("SOPORTE PARA NB",B25)),
ISNUMBER(SEARCH("WEBCAM",B25)),
ISNUMBER(SEARCH("WEB CAM",B25)),
ISNUMBER(SEARCH("MOUSE",B25)),
ISNUMBER(SEARCH("TECLADO",B25))
),
"COMPLEMENTO",
IF(
OR(
LEFT(A25,2)="NB",
LEFT(A25,2)="PC",
LEFT(A25,2)="WS",
LEFT(A25,2)="TB",
LEFT(A25,3)="CEL",
LEFT(A25,3)="MON",
LEFT(A25,3)="PRE",
LEFT(A25,3)="PRH",
ISNUMBER(SEARCH("NOTEBOOK",B25)),
ISNUMBER(SEARCH("LAPTOP",B25)),
ISNUMBER(SEARCH("MONITOR",B25)),
ISNUMBER(SEARCH("TABLET",B25)),
ISNUMBER(SEARCH("SMARTPH",B25)),
ISNUMBER(SEARCH("IMPRESORA",B25)),
ISNUMBER(SEARCH("MULTIFUNCIONAL",B25)),
ISNUMBER(SEARCH("AIO",B25))
),
"GANCHO",
"NORMAL"
)
)</f>
        <v>NORMAL</v>
      </c>
    </row>
    <row r="24" spans="1:12" x14ac:dyDescent="0.25">
      <c r="A24" s="3" t="s">
        <v>1473</v>
      </c>
      <c r="B24" s="3" t="s">
        <v>1474</v>
      </c>
      <c r="C24" s="1">
        <v>14</v>
      </c>
      <c r="D24" s="1">
        <v>33</v>
      </c>
      <c r="E24" s="1" t="s">
        <v>55</v>
      </c>
      <c r="F24" s="1" t="s">
        <v>3476</v>
      </c>
      <c r="G24" s="3"/>
      <c r="H24" s="11">
        <f>ROUND(
IF(L22="GANCHO",
   IF(I24&lt;=50,I24*1.1+4,IF(I24&lt;=120,I24*1.1+7,IF(I24&lt;=250,I24*1.1+11,I24*1.1+19))),
IF(L22="NORMAL",
   IF(I24&lt;=30,I24*1.15+2,IF(I24&lt;=80,I24*1.15+4,IF(I24&lt;=150,I24*1.15+6,I24*1.15+8))),
IF(L22="COMPLEMENTO",
   IF(I24&lt;=25,I24*1.25+1.5,IF(I24&lt;=60,I24*1.25+3,IF(I24&lt;=120,I24*1.25+4,I24*1.25+5))),
""))),2)</f>
        <v>161.84</v>
      </c>
      <c r="I24" s="9">
        <f>($K$2+0.02)*Tabla1[[#This Row],[PRECIO $]]*1.18</f>
        <v>135.5112</v>
      </c>
      <c r="J24" s="7">
        <f>+Tabla1[[#This Row],[PRECIO EN SOLES]]-Tabla1[[#This Row],[PC]]</f>
        <v>26.328800000000001</v>
      </c>
      <c r="K24" s="15"/>
      <c r="L24" s="15" t="str">
        <f>IF(
OR(
ISNUMBER(SEARCH("BACKPACK",B26)),
ISNUMBER(SEARCH("MOCHILA",B26)),
ISNUMBER(SEARCH("FUNDA",B26)),
ISNUMBER(SEARCH("ESTUCHE",B26)),
ISNUMBER(SEARCH("BOOK COVER",B26)),
ISNUMBER(SEARCH("KEYBOARD PARA TABLET",B26)),
ISNUMBER(SEARCH("FLIP TABLET",B26)),
ISNUMBER(SEARCH("CASE FOR TABLET",B26)),
ISNUMBER(SEARCH("CABLE",B26)),
ISNUMBER(SEARCH("ADAPTADOR",B26)),
ISNUMBER(SEARCH("HUB",B26)),
ISNUMBER(SEARCH("DOCK",B26)),
ISNUMBER(SEARCH("MOUSE PAD",B26)),
ISNUMBER(SEARCH("MOUSEPAD",B26)),
ISNUMBER(SEARCH("SOPORTE",B26)),
ISNUMBER(SEARCH("STAND",B26)),
ISNUMBER(SEARCH("TRAVEL ADAPTER",B26)),
ISNUMBER(SEARCH("RJ45",B26)),
ISNUMBER(SEARCH("USB-C",B26)),
ISNUMBER(SEARCH("USB WIFI",B26)),
ISNUMBER(SEARCH("POWERBANK",B26)),
ISNUMBER(SEARCH("CARGADOR",B26)),
ISNUMBER(SEARCH("COOLER PARA NB",B26)),
ISNUMBER(SEARCH("SOPORTE PARA NB",B26)),
ISNUMBER(SEARCH("WEBCAM",B26)),
ISNUMBER(SEARCH("WEB CAM",B26)),
ISNUMBER(SEARCH("MOUSE",B26)),
ISNUMBER(SEARCH("TECLADO",B26))
),
"COMPLEMENTO",
IF(
OR(
LEFT(A26,2)="NB",
LEFT(A26,2)="PC",
LEFT(A26,2)="WS",
LEFT(A26,2)="TB",
LEFT(A26,3)="CEL",
LEFT(A26,3)="MON",
LEFT(A26,3)="PRE",
LEFT(A26,3)="PRH",
ISNUMBER(SEARCH("NOTEBOOK",B26)),
ISNUMBER(SEARCH("LAPTOP",B26)),
ISNUMBER(SEARCH("MONITOR",B26)),
ISNUMBER(SEARCH("TABLET",B26)),
ISNUMBER(SEARCH("SMARTPH",B26)),
ISNUMBER(SEARCH("IMPRESORA",B26)),
ISNUMBER(SEARCH("MULTIFUNCIONAL",B26)),
ISNUMBER(SEARCH("AIO",B26))
),
"GANCHO",
"NORMAL"
)
)</f>
        <v>COMPLEMENTO</v>
      </c>
    </row>
    <row r="25" spans="1:12" x14ac:dyDescent="0.25">
      <c r="A25" s="3" t="s">
        <v>773</v>
      </c>
      <c r="B25" s="3" t="s">
        <v>774</v>
      </c>
      <c r="C25" s="1">
        <v>0</v>
      </c>
      <c r="D25" s="1">
        <v>33</v>
      </c>
      <c r="E25" s="1" t="s">
        <v>55</v>
      </c>
      <c r="F25" s="1" t="s">
        <v>3067</v>
      </c>
      <c r="G25" s="3"/>
      <c r="H25" s="11">
        <f>ROUND(
IF(L23="GANCHO",
   IF(I25&lt;=50,I25*1.1+4,IF(I25&lt;=120,I25*1.1+7,IF(I25&lt;=250,I25*1.1+11,I25*1.1+19))),
IF(L23="NORMAL",
   IF(I25&lt;=30,I25*1.15+2,IF(I25&lt;=80,I25*1.15+4,IF(I25&lt;=150,I25*1.15+6,I25*1.15+8))),
IF(L23="COMPLEMENTO",
   IF(I25&lt;=25,I25*1.25+1.5,IF(I25&lt;=60,I25*1.25+3,IF(I25&lt;=120,I25*1.25+4,I25*1.25+5))),
""))),2)</f>
        <v>161.84</v>
      </c>
      <c r="I25" s="9">
        <f>($K$2+0.02)*Tabla1[[#This Row],[PRECIO $]]*1.18</f>
        <v>135.5112</v>
      </c>
      <c r="J25" s="7">
        <f>+Tabla1[[#This Row],[PRECIO EN SOLES]]-Tabla1[[#This Row],[PC]]</f>
        <v>26.328800000000001</v>
      </c>
      <c r="K25" s="15"/>
      <c r="L25" s="15" t="str">
        <f>IF(
OR(
ISNUMBER(SEARCH("BACKPACK",B27)),
ISNUMBER(SEARCH("MOCHILA",B27)),
ISNUMBER(SEARCH("FUNDA",B27)),
ISNUMBER(SEARCH("ESTUCHE",B27)),
ISNUMBER(SEARCH("BOOK COVER",B27)),
ISNUMBER(SEARCH("KEYBOARD PARA TABLET",B27)),
ISNUMBER(SEARCH("FLIP TABLET",B27)),
ISNUMBER(SEARCH("CASE FOR TABLET",B27)),
ISNUMBER(SEARCH("CABLE",B27)),
ISNUMBER(SEARCH("ADAPTADOR",B27)),
ISNUMBER(SEARCH("HUB",B27)),
ISNUMBER(SEARCH("DOCK",B27)),
ISNUMBER(SEARCH("MOUSE PAD",B27)),
ISNUMBER(SEARCH("MOUSEPAD",B27)),
ISNUMBER(SEARCH("SOPORTE",B27)),
ISNUMBER(SEARCH("STAND",B27)),
ISNUMBER(SEARCH("TRAVEL ADAPTER",B27)),
ISNUMBER(SEARCH("RJ45",B27)),
ISNUMBER(SEARCH("USB-C",B27)),
ISNUMBER(SEARCH("USB WIFI",B27)),
ISNUMBER(SEARCH("POWERBANK",B27)),
ISNUMBER(SEARCH("CARGADOR",B27)),
ISNUMBER(SEARCH("COOLER PARA NB",B27)),
ISNUMBER(SEARCH("SOPORTE PARA NB",B27)),
ISNUMBER(SEARCH("WEBCAM",B27)),
ISNUMBER(SEARCH("WEB CAM",B27)),
ISNUMBER(SEARCH("MOUSE",B27)),
ISNUMBER(SEARCH("TECLADO",B27))
),
"COMPLEMENTO",
IF(
OR(
LEFT(A27,2)="NB",
LEFT(A27,2)="PC",
LEFT(A27,2)="WS",
LEFT(A27,2)="TB",
LEFT(A27,3)="CEL",
LEFT(A27,3)="MON",
LEFT(A27,3)="PRE",
LEFT(A27,3)="PRH",
ISNUMBER(SEARCH("NOTEBOOK",B27)),
ISNUMBER(SEARCH("LAPTOP",B27)),
ISNUMBER(SEARCH("MONITOR",B27)),
ISNUMBER(SEARCH("TABLET",B27)),
ISNUMBER(SEARCH("SMARTPH",B27)),
ISNUMBER(SEARCH("IMPRESORA",B27)),
ISNUMBER(SEARCH("MULTIFUNCIONAL",B27)),
ISNUMBER(SEARCH("AIO",B27))
),
"GANCHO",
"NORMAL"
)
)</f>
        <v>NORMAL</v>
      </c>
    </row>
    <row r="26" spans="1:12" x14ac:dyDescent="0.25">
      <c r="A26" s="3" t="s">
        <v>775</v>
      </c>
      <c r="B26" s="3" t="s">
        <v>776</v>
      </c>
      <c r="C26" s="1">
        <v>0</v>
      </c>
      <c r="D26" s="1">
        <v>63.5</v>
      </c>
      <c r="E26" s="1" t="s">
        <v>56</v>
      </c>
      <c r="F26" s="1" t="s">
        <v>3068</v>
      </c>
      <c r="G26" s="3" t="s">
        <v>777</v>
      </c>
      <c r="H26" s="11">
        <f>ROUND(
IF(L24="GANCHO",
   IF(I26&lt;=50,I26*1.1+4,IF(I26&lt;=120,I26*1.1+7,IF(I26&lt;=250,I26*1.1+11,I26*1.1+19))),
IF(L24="NORMAL",
   IF(I26&lt;=30,I26*1.15+2,IF(I26&lt;=80,I26*1.15+4,IF(I26&lt;=150,I26*1.15+6,I26*1.15+8))),
IF(L24="COMPLEMENTO",
   IF(I26&lt;=25,I26*1.25+1.5,IF(I26&lt;=60,I26*1.25+3,IF(I26&lt;=120,I26*1.25+4,I26*1.25+5))),
""))),2)</f>
        <v>330.95</v>
      </c>
      <c r="I26" s="9">
        <f>($K$2+0.02)*Tabla1[[#This Row],[PRECIO $]]*1.18</f>
        <v>260.75639999999999</v>
      </c>
      <c r="J26" s="7">
        <f>+Tabla1[[#This Row],[PRECIO EN SOLES]]-Tabla1[[#This Row],[PC]]</f>
        <v>70.193600000000004</v>
      </c>
      <c r="K26" s="15"/>
      <c r="L26" s="15" t="str">
        <f>IF(
OR(
ISNUMBER(SEARCH("BACKPACK",B28)),
ISNUMBER(SEARCH("MOCHILA",B28)),
ISNUMBER(SEARCH("FUNDA",B28)),
ISNUMBER(SEARCH("ESTUCHE",B28)),
ISNUMBER(SEARCH("BOOK COVER",B28)),
ISNUMBER(SEARCH("KEYBOARD PARA TABLET",B28)),
ISNUMBER(SEARCH("FLIP TABLET",B28)),
ISNUMBER(SEARCH("CASE FOR TABLET",B28)),
ISNUMBER(SEARCH("CABLE",B28)),
ISNUMBER(SEARCH("ADAPTADOR",B28)),
ISNUMBER(SEARCH("HUB",B28)),
ISNUMBER(SEARCH("DOCK",B28)),
ISNUMBER(SEARCH("MOUSE PAD",B28)),
ISNUMBER(SEARCH("MOUSEPAD",B28)),
ISNUMBER(SEARCH("SOPORTE",B28)),
ISNUMBER(SEARCH("STAND",B28)),
ISNUMBER(SEARCH("TRAVEL ADAPTER",B28)),
ISNUMBER(SEARCH("RJ45",B28)),
ISNUMBER(SEARCH("USB-C",B28)),
ISNUMBER(SEARCH("USB WIFI",B28)),
ISNUMBER(SEARCH("POWERBANK",B28)),
ISNUMBER(SEARCH("CARGADOR",B28)),
ISNUMBER(SEARCH("COOLER PARA NB",B28)),
ISNUMBER(SEARCH("SOPORTE PARA NB",B28)),
ISNUMBER(SEARCH("WEBCAM",B28)),
ISNUMBER(SEARCH("WEB CAM",B28)),
ISNUMBER(SEARCH("MOUSE",B28)),
ISNUMBER(SEARCH("TECLADO",B28))
),
"COMPLEMENTO",
IF(
OR(
LEFT(A28,2)="NB",
LEFT(A28,2)="PC",
LEFT(A28,2)="WS",
LEFT(A28,2)="TB",
LEFT(A28,3)="CEL",
LEFT(A28,3)="MON",
LEFT(A28,3)="PRE",
LEFT(A28,3)="PRH",
ISNUMBER(SEARCH("NOTEBOOK",B28)),
ISNUMBER(SEARCH("LAPTOP",B28)),
ISNUMBER(SEARCH("MONITOR",B28)),
ISNUMBER(SEARCH("TABLET",B28)),
ISNUMBER(SEARCH("SMARTPH",B28)),
ISNUMBER(SEARCH("IMPRESORA",B28)),
ISNUMBER(SEARCH("MULTIFUNCIONAL",B28)),
ISNUMBER(SEARCH("AIO",B28))
),
"GANCHO",
"NORMAL"
)
)</f>
        <v>NORMAL</v>
      </c>
    </row>
    <row r="27" spans="1:12" x14ac:dyDescent="0.25">
      <c r="A27" s="3" t="s">
        <v>778</v>
      </c>
      <c r="B27" s="3" t="s">
        <v>779</v>
      </c>
      <c r="C27" s="1">
        <v>1</v>
      </c>
      <c r="D27" s="1">
        <v>94</v>
      </c>
      <c r="E27" s="1" t="s">
        <v>57</v>
      </c>
      <c r="F27" s="1" t="s">
        <v>3069</v>
      </c>
      <c r="G27" s="3" t="s">
        <v>780</v>
      </c>
      <c r="H27" s="11">
        <f>ROUND(
IF(L25="GANCHO",
   IF(I27&lt;=50,I27*1.1+4,IF(I27&lt;=120,I27*1.1+7,IF(I27&lt;=250,I27*1.1+11,I27*1.1+19))),
IF(L25="NORMAL",
   IF(I27&lt;=30,I27*1.15+2,IF(I27&lt;=80,I27*1.15+4,IF(I27&lt;=150,I27*1.15+6,I27*1.15+8))),
IF(L25="COMPLEMENTO",
   IF(I27&lt;=25,I27*1.25+1.5,IF(I27&lt;=60,I27*1.25+3,IF(I27&lt;=120,I27*1.25+4,I27*1.25+5))),
""))),2)</f>
        <v>451.9</v>
      </c>
      <c r="I27" s="9">
        <f>($K$2+0.02)*Tabla1[[#This Row],[PRECIO $]]*1.18</f>
        <v>386.0016</v>
      </c>
      <c r="J27" s="7">
        <f>+Tabla1[[#This Row],[PRECIO EN SOLES]]-Tabla1[[#This Row],[PC]]</f>
        <v>65.898399999999981</v>
      </c>
      <c r="K27" s="15"/>
      <c r="L27" s="15" t="str">
        <f>IF(
OR(
ISNUMBER(SEARCH("BACKPACK",B29)),
ISNUMBER(SEARCH("MOCHILA",B29)),
ISNUMBER(SEARCH("FUNDA",B29)),
ISNUMBER(SEARCH("ESTUCHE",B29)),
ISNUMBER(SEARCH("BOOK COVER",B29)),
ISNUMBER(SEARCH("KEYBOARD PARA TABLET",B29)),
ISNUMBER(SEARCH("FLIP TABLET",B29)),
ISNUMBER(SEARCH("CASE FOR TABLET",B29)),
ISNUMBER(SEARCH("CABLE",B29)),
ISNUMBER(SEARCH("ADAPTADOR",B29)),
ISNUMBER(SEARCH("HUB",B29)),
ISNUMBER(SEARCH("DOCK",B29)),
ISNUMBER(SEARCH("MOUSE PAD",B29)),
ISNUMBER(SEARCH("MOUSEPAD",B29)),
ISNUMBER(SEARCH("SOPORTE",B29)),
ISNUMBER(SEARCH("STAND",B29)),
ISNUMBER(SEARCH("TRAVEL ADAPTER",B29)),
ISNUMBER(SEARCH("RJ45",B29)),
ISNUMBER(SEARCH("USB-C",B29)),
ISNUMBER(SEARCH("USB WIFI",B29)),
ISNUMBER(SEARCH("POWERBANK",B29)),
ISNUMBER(SEARCH("CARGADOR",B29)),
ISNUMBER(SEARCH("COOLER PARA NB",B29)),
ISNUMBER(SEARCH("SOPORTE PARA NB",B29)),
ISNUMBER(SEARCH("WEBCAM",B29)),
ISNUMBER(SEARCH("WEB CAM",B29)),
ISNUMBER(SEARCH("MOUSE",B29)),
ISNUMBER(SEARCH("TECLADO",B29))
),
"COMPLEMENTO",
IF(
OR(
LEFT(A29,2)="NB",
LEFT(A29,2)="PC",
LEFT(A29,2)="WS",
LEFT(A29,2)="TB",
LEFT(A29,3)="CEL",
LEFT(A29,3)="MON",
LEFT(A29,3)="PRE",
LEFT(A29,3)="PRH",
ISNUMBER(SEARCH("NOTEBOOK",B29)),
ISNUMBER(SEARCH("LAPTOP",B29)),
ISNUMBER(SEARCH("MONITOR",B29)),
ISNUMBER(SEARCH("TABLET",B29)),
ISNUMBER(SEARCH("SMARTPH",B29)),
ISNUMBER(SEARCH("IMPRESORA",B29)),
ISNUMBER(SEARCH("MULTIFUNCIONAL",B29)),
ISNUMBER(SEARCH("AIO",B29))
),
"GANCHO",
"NORMAL"
)
)</f>
        <v>NORMAL</v>
      </c>
    </row>
    <row r="28" spans="1:12" x14ac:dyDescent="0.25">
      <c r="A28" s="3" t="s">
        <v>781</v>
      </c>
      <c r="B28" s="3" t="s">
        <v>782</v>
      </c>
      <c r="C28" s="1">
        <v>20</v>
      </c>
      <c r="D28" s="1">
        <v>5</v>
      </c>
      <c r="E28" s="1" t="s">
        <v>55</v>
      </c>
      <c r="F28" s="1" t="s">
        <v>3070</v>
      </c>
      <c r="G28" s="3"/>
      <c r="H28" s="11">
        <f>ROUND(
IF(L26="GANCHO",
   IF(I28&lt;=50,I28*1.1+4,IF(I28&lt;=120,I28*1.1+7,IF(I28&lt;=250,I28*1.1+11,I28*1.1+19))),
IF(L26="NORMAL",
   IF(I28&lt;=30,I28*1.15+2,IF(I28&lt;=80,I28*1.15+4,IF(I28&lt;=150,I28*1.15+6,I28*1.15+8))),
IF(L26="COMPLEMENTO",
   IF(I28&lt;=25,I28*1.25+1.5,IF(I28&lt;=60,I28*1.25+3,IF(I28&lt;=120,I28*1.25+4,I28*1.25+5))),
""))),2)</f>
        <v>25.61</v>
      </c>
      <c r="I28" s="9">
        <f>($K$2+0.02)*Tabla1[[#This Row],[PRECIO $]]*1.18</f>
        <v>20.531999999999996</v>
      </c>
      <c r="J28" s="7">
        <f>+Tabla1[[#This Row],[PRECIO EN SOLES]]-Tabla1[[#This Row],[PC]]</f>
        <v>5.078000000000003</v>
      </c>
      <c r="K28" s="15"/>
      <c r="L28" s="15" t="str">
        <f>IF(
OR(
ISNUMBER(SEARCH("BACKPACK",B30)),
ISNUMBER(SEARCH("MOCHILA",B30)),
ISNUMBER(SEARCH("FUNDA",B30)),
ISNUMBER(SEARCH("ESTUCHE",B30)),
ISNUMBER(SEARCH("BOOK COVER",B30)),
ISNUMBER(SEARCH("KEYBOARD PARA TABLET",B30)),
ISNUMBER(SEARCH("FLIP TABLET",B30)),
ISNUMBER(SEARCH("CASE FOR TABLET",B30)),
ISNUMBER(SEARCH("CABLE",B30)),
ISNUMBER(SEARCH("ADAPTADOR",B30)),
ISNUMBER(SEARCH("HUB",B30)),
ISNUMBER(SEARCH("DOCK",B30)),
ISNUMBER(SEARCH("MOUSE PAD",B30)),
ISNUMBER(SEARCH("MOUSEPAD",B30)),
ISNUMBER(SEARCH("SOPORTE",B30)),
ISNUMBER(SEARCH("STAND",B30)),
ISNUMBER(SEARCH("TRAVEL ADAPTER",B30)),
ISNUMBER(SEARCH("RJ45",B30)),
ISNUMBER(SEARCH("USB-C",B30)),
ISNUMBER(SEARCH("USB WIFI",B30)),
ISNUMBER(SEARCH("POWERBANK",B30)),
ISNUMBER(SEARCH("CARGADOR",B30)),
ISNUMBER(SEARCH("COOLER PARA NB",B30)),
ISNUMBER(SEARCH("SOPORTE PARA NB",B30)),
ISNUMBER(SEARCH("WEBCAM",B30)),
ISNUMBER(SEARCH("WEB CAM",B30)),
ISNUMBER(SEARCH("MOUSE",B30)),
ISNUMBER(SEARCH("TECLADO",B30))
),
"COMPLEMENTO",
IF(
OR(
LEFT(A30,2)="NB",
LEFT(A30,2)="PC",
LEFT(A30,2)="WS",
LEFT(A30,2)="TB",
LEFT(A30,3)="CEL",
LEFT(A30,3)="MON",
LEFT(A30,3)="PRE",
LEFT(A30,3)="PRH",
ISNUMBER(SEARCH("NOTEBOOK",B30)),
ISNUMBER(SEARCH("LAPTOP",B30)),
ISNUMBER(SEARCH("MONITOR",B30)),
ISNUMBER(SEARCH("TABLET",B30)),
ISNUMBER(SEARCH("SMARTPH",B30)),
ISNUMBER(SEARCH("IMPRESORA",B30)),
ISNUMBER(SEARCH("MULTIFUNCIONAL",B30)),
ISNUMBER(SEARCH("AIO",B30))
),
"GANCHO",
"NORMAL"
)
)</f>
        <v>NORMAL</v>
      </c>
    </row>
    <row r="29" spans="1:12" x14ac:dyDescent="0.25">
      <c r="A29" s="3" t="s">
        <v>783</v>
      </c>
      <c r="B29" s="3" t="s">
        <v>784</v>
      </c>
      <c r="C29" s="1">
        <v>0</v>
      </c>
      <c r="D29" s="1">
        <v>999</v>
      </c>
      <c r="E29" s="1" t="s">
        <v>52</v>
      </c>
      <c r="F29" s="1" t="s">
        <v>3071</v>
      </c>
      <c r="G29" s="3" t="s">
        <v>785</v>
      </c>
      <c r="H29" s="11">
        <f>ROUND(
IF(L27="GANCHO",
   IF(I29&lt;=50,I29*1.1+4,IF(I29&lt;=120,I29*1.1+7,IF(I29&lt;=250,I29*1.1+11,I29*1.1+19))),
IF(L27="NORMAL",
   IF(I29&lt;=30,I29*1.15+2,IF(I29&lt;=80,I29*1.15+4,IF(I29&lt;=150,I29*1.15+6,I29*1.15+8))),
IF(L27="COMPLEMENTO",
   IF(I29&lt;=25,I29*1.25+1.5,IF(I29&lt;=60,I29*1.25+3,IF(I29&lt;=120,I29*1.25+4,I29*1.25+5))),
""))),2)</f>
        <v>4725.6400000000003</v>
      </c>
      <c r="I29" s="9">
        <f>($K$2+0.02)*Tabla1[[#This Row],[PRECIO $]]*1.18</f>
        <v>4102.2936</v>
      </c>
      <c r="J29" s="7">
        <f>+Tabla1[[#This Row],[PRECIO EN SOLES]]-Tabla1[[#This Row],[PC]]</f>
        <v>623.34640000000036</v>
      </c>
      <c r="K29" s="15"/>
      <c r="L29" s="15" t="str">
        <f>IF(
OR(
ISNUMBER(SEARCH("BACKPACK",B31)),
ISNUMBER(SEARCH("MOCHILA",B31)),
ISNUMBER(SEARCH("FUNDA",B31)),
ISNUMBER(SEARCH("ESTUCHE",B31)),
ISNUMBER(SEARCH("BOOK COVER",B31)),
ISNUMBER(SEARCH("KEYBOARD PARA TABLET",B31)),
ISNUMBER(SEARCH("FLIP TABLET",B31)),
ISNUMBER(SEARCH("CASE FOR TABLET",B31)),
ISNUMBER(SEARCH("CABLE",B31)),
ISNUMBER(SEARCH("ADAPTADOR",B31)),
ISNUMBER(SEARCH("HUB",B31)),
ISNUMBER(SEARCH("DOCK",B31)),
ISNUMBER(SEARCH("MOUSE PAD",B31)),
ISNUMBER(SEARCH("MOUSEPAD",B31)),
ISNUMBER(SEARCH("SOPORTE",B31)),
ISNUMBER(SEARCH("STAND",B31)),
ISNUMBER(SEARCH("TRAVEL ADAPTER",B31)),
ISNUMBER(SEARCH("RJ45",B31)),
ISNUMBER(SEARCH("USB-C",B31)),
ISNUMBER(SEARCH("USB WIFI",B31)),
ISNUMBER(SEARCH("POWERBANK",B31)),
ISNUMBER(SEARCH("CARGADOR",B31)),
ISNUMBER(SEARCH("COOLER PARA NB",B31)),
ISNUMBER(SEARCH("SOPORTE PARA NB",B31)),
ISNUMBER(SEARCH("WEBCAM",B31)),
ISNUMBER(SEARCH("WEB CAM",B31)),
ISNUMBER(SEARCH("MOUSE",B31)),
ISNUMBER(SEARCH("TECLADO",B31))
),
"COMPLEMENTO",
IF(
OR(
LEFT(A31,2)="NB",
LEFT(A31,2)="PC",
LEFT(A31,2)="WS",
LEFT(A31,2)="TB",
LEFT(A31,3)="CEL",
LEFT(A31,3)="MON",
LEFT(A31,3)="PRE",
LEFT(A31,3)="PRH",
ISNUMBER(SEARCH("NOTEBOOK",B31)),
ISNUMBER(SEARCH("LAPTOP",B31)),
ISNUMBER(SEARCH("MONITOR",B31)),
ISNUMBER(SEARCH("TABLET",B31)),
ISNUMBER(SEARCH("SMARTPH",B31)),
ISNUMBER(SEARCH("IMPRESORA",B31)),
ISNUMBER(SEARCH("MULTIFUNCIONAL",B31)),
ISNUMBER(SEARCH("AIO",B31))
),
"GANCHO",
"NORMAL"
)
)</f>
        <v>NORMAL</v>
      </c>
    </row>
    <row r="30" spans="1:12" x14ac:dyDescent="0.25">
      <c r="A30" s="3" t="s">
        <v>786</v>
      </c>
      <c r="B30" s="3" t="s">
        <v>787</v>
      </c>
      <c r="C30" s="1">
        <v>20</v>
      </c>
      <c r="D30" s="1">
        <v>1.4</v>
      </c>
      <c r="E30" s="1" t="s">
        <v>57</v>
      </c>
      <c r="F30" s="1" t="s">
        <v>3072</v>
      </c>
      <c r="G30" s="3" t="s">
        <v>788</v>
      </c>
      <c r="H30" s="11">
        <f>ROUND(
IF(L28="GANCHO",
   IF(I30&lt;=50,I30*1.1+4,IF(I30&lt;=120,I30*1.1+7,IF(I30&lt;=250,I30*1.1+11,I30*1.1+19))),
IF(L28="NORMAL",
   IF(I30&lt;=30,I30*1.15+2,IF(I30&lt;=80,I30*1.15+4,IF(I30&lt;=150,I30*1.15+6,I30*1.15+8))),
IF(L28="COMPLEMENTO",
   IF(I30&lt;=25,I30*1.25+1.5,IF(I30&lt;=60,I30*1.25+3,IF(I30&lt;=120,I30*1.25+4,I30*1.25+5))),
""))),2)</f>
        <v>8.61</v>
      </c>
      <c r="I30" s="9">
        <f>($K$2+0.02)*Tabla1[[#This Row],[PRECIO $]]*1.18</f>
        <v>5.7489599999999994</v>
      </c>
      <c r="J30" s="7">
        <f>+Tabla1[[#This Row],[PRECIO EN SOLES]]-Tabla1[[#This Row],[PC]]</f>
        <v>2.86104</v>
      </c>
      <c r="K30" s="15"/>
      <c r="L30" s="15" t="str">
        <f>IF(
OR(
ISNUMBER(SEARCH("BACKPACK",B32)),
ISNUMBER(SEARCH("MOCHILA",B32)),
ISNUMBER(SEARCH("FUNDA",B32)),
ISNUMBER(SEARCH("ESTUCHE",B32)),
ISNUMBER(SEARCH("BOOK COVER",B32)),
ISNUMBER(SEARCH("KEYBOARD PARA TABLET",B32)),
ISNUMBER(SEARCH("FLIP TABLET",B32)),
ISNUMBER(SEARCH("CASE FOR TABLET",B32)),
ISNUMBER(SEARCH("CABLE",B32)),
ISNUMBER(SEARCH("ADAPTADOR",B32)),
ISNUMBER(SEARCH("HUB",B32)),
ISNUMBER(SEARCH("DOCK",B32)),
ISNUMBER(SEARCH("MOUSE PAD",B32)),
ISNUMBER(SEARCH("MOUSEPAD",B32)),
ISNUMBER(SEARCH("SOPORTE",B32)),
ISNUMBER(SEARCH("STAND",B32)),
ISNUMBER(SEARCH("TRAVEL ADAPTER",B32)),
ISNUMBER(SEARCH("RJ45",B32)),
ISNUMBER(SEARCH("USB-C",B32)),
ISNUMBER(SEARCH("USB WIFI",B32)),
ISNUMBER(SEARCH("POWERBANK",B32)),
ISNUMBER(SEARCH("CARGADOR",B32)),
ISNUMBER(SEARCH("COOLER PARA NB",B32)),
ISNUMBER(SEARCH("SOPORTE PARA NB",B32)),
ISNUMBER(SEARCH("WEBCAM",B32)),
ISNUMBER(SEARCH("WEB CAM",B32)),
ISNUMBER(SEARCH("MOUSE",B32)),
ISNUMBER(SEARCH("TECLADO",B32))
),
"COMPLEMENTO",
IF(
OR(
LEFT(A32,2)="NB",
LEFT(A32,2)="PC",
LEFT(A32,2)="WS",
LEFT(A32,2)="TB",
LEFT(A32,3)="CEL",
LEFT(A32,3)="MON",
LEFT(A32,3)="PRE",
LEFT(A32,3)="PRH",
ISNUMBER(SEARCH("NOTEBOOK",B32)),
ISNUMBER(SEARCH("LAPTOP",B32)),
ISNUMBER(SEARCH("MONITOR",B32)),
ISNUMBER(SEARCH("TABLET",B32)),
ISNUMBER(SEARCH("SMARTPH",B32)),
ISNUMBER(SEARCH("IMPRESORA",B32)),
ISNUMBER(SEARCH("MULTIFUNCIONAL",B32)),
ISNUMBER(SEARCH("AIO",B32))
),
"GANCHO",
"NORMAL"
)
)</f>
        <v>NORMAL</v>
      </c>
    </row>
    <row r="31" spans="1:12" x14ac:dyDescent="0.25">
      <c r="A31" s="3" t="s">
        <v>6381</v>
      </c>
      <c r="B31" s="3" t="s">
        <v>6382</v>
      </c>
      <c r="C31" s="1">
        <v>20</v>
      </c>
      <c r="D31" s="1">
        <v>4</v>
      </c>
      <c r="E31" s="1" t="s">
        <v>55</v>
      </c>
      <c r="F31" s="1" t="s">
        <v>6383</v>
      </c>
      <c r="G31" s="3"/>
      <c r="H31" s="11">
        <f>ROUND(
IF(L29="GANCHO",
   IF(I31&lt;=50,I31*1.1+4,IF(I31&lt;=120,I31*1.1+7,IF(I31&lt;=250,I31*1.1+11,I31*1.1+19))),
IF(L29="NORMAL",
   IF(I31&lt;=30,I31*1.15+2,IF(I31&lt;=80,I31*1.15+4,IF(I31&lt;=150,I31*1.15+6,I31*1.15+8))),
IF(L29="COMPLEMENTO",
   IF(I31&lt;=25,I31*1.25+1.5,IF(I31&lt;=60,I31*1.25+3,IF(I31&lt;=120,I31*1.25+4,I31*1.25+5))),
""))),2)</f>
        <v>20.89</v>
      </c>
      <c r="I31" s="9">
        <f>($K$2+0.02)*Tabla1[[#This Row],[PRECIO $]]*1.18</f>
        <v>16.425599999999999</v>
      </c>
      <c r="J31" s="7">
        <f>+Tabla1[[#This Row],[PRECIO EN SOLES]]-Tabla1[[#This Row],[PC]]</f>
        <v>4.4644000000000013</v>
      </c>
      <c r="K31" s="15"/>
      <c r="L31" s="15" t="str">
        <f>IF(
OR(
ISNUMBER(SEARCH("BACKPACK",B33)),
ISNUMBER(SEARCH("MOCHILA",B33)),
ISNUMBER(SEARCH("FUNDA",B33)),
ISNUMBER(SEARCH("ESTUCHE",B33)),
ISNUMBER(SEARCH("BOOK COVER",B33)),
ISNUMBER(SEARCH("KEYBOARD PARA TABLET",B33)),
ISNUMBER(SEARCH("FLIP TABLET",B33)),
ISNUMBER(SEARCH("CASE FOR TABLET",B33)),
ISNUMBER(SEARCH("CABLE",B33)),
ISNUMBER(SEARCH("ADAPTADOR",B33)),
ISNUMBER(SEARCH("HUB",B33)),
ISNUMBER(SEARCH("DOCK",B33)),
ISNUMBER(SEARCH("MOUSE PAD",B33)),
ISNUMBER(SEARCH("MOUSEPAD",B33)),
ISNUMBER(SEARCH("SOPORTE",B33)),
ISNUMBER(SEARCH("STAND",B33)),
ISNUMBER(SEARCH("TRAVEL ADAPTER",B33)),
ISNUMBER(SEARCH("RJ45",B33)),
ISNUMBER(SEARCH("USB-C",B33)),
ISNUMBER(SEARCH("USB WIFI",B33)),
ISNUMBER(SEARCH("POWERBANK",B33)),
ISNUMBER(SEARCH("CARGADOR",B33)),
ISNUMBER(SEARCH("COOLER PARA NB",B33)),
ISNUMBER(SEARCH("SOPORTE PARA NB",B33)),
ISNUMBER(SEARCH("WEBCAM",B33)),
ISNUMBER(SEARCH("WEB CAM",B33)),
ISNUMBER(SEARCH("MOUSE",B33)),
ISNUMBER(SEARCH("TECLADO",B33))
),
"COMPLEMENTO",
IF(
OR(
LEFT(A33,2)="NB",
LEFT(A33,2)="PC",
LEFT(A33,2)="WS",
LEFT(A33,2)="TB",
LEFT(A33,3)="CEL",
LEFT(A33,3)="MON",
LEFT(A33,3)="PRE",
LEFT(A33,3)="PRH",
ISNUMBER(SEARCH("NOTEBOOK",B33)),
ISNUMBER(SEARCH("LAPTOP",B33)),
ISNUMBER(SEARCH("MONITOR",B33)),
ISNUMBER(SEARCH("TABLET",B33)),
ISNUMBER(SEARCH("SMARTPH",B33)),
ISNUMBER(SEARCH("IMPRESORA",B33)),
ISNUMBER(SEARCH("MULTIFUNCIONAL",B33)),
ISNUMBER(SEARCH("AIO",B33))
),
"GANCHO",
"NORMAL"
)
)</f>
        <v>NORMAL</v>
      </c>
    </row>
    <row r="32" spans="1:12" x14ac:dyDescent="0.25">
      <c r="A32" s="3" t="s">
        <v>6384</v>
      </c>
      <c r="B32" s="3" t="s">
        <v>6385</v>
      </c>
      <c r="C32" s="1">
        <v>20</v>
      </c>
      <c r="D32" s="1">
        <v>4</v>
      </c>
      <c r="E32" s="1" t="s">
        <v>55</v>
      </c>
      <c r="F32" s="1" t="s">
        <v>6386</v>
      </c>
      <c r="G32" s="3"/>
      <c r="H32" s="11">
        <f>ROUND(
IF(L30="GANCHO",
   IF(I32&lt;=50,I32*1.1+4,IF(I32&lt;=120,I32*1.1+7,IF(I32&lt;=250,I32*1.1+11,I32*1.1+19))),
IF(L30="NORMAL",
   IF(I32&lt;=30,I32*1.15+2,IF(I32&lt;=80,I32*1.15+4,IF(I32&lt;=150,I32*1.15+6,I32*1.15+8))),
IF(L30="COMPLEMENTO",
   IF(I32&lt;=25,I32*1.25+1.5,IF(I32&lt;=60,I32*1.25+3,IF(I32&lt;=120,I32*1.25+4,I32*1.25+5))),
""))),2)</f>
        <v>20.89</v>
      </c>
      <c r="I32" s="9">
        <f>($K$2+0.02)*Tabla1[[#This Row],[PRECIO $]]*1.18</f>
        <v>16.425599999999999</v>
      </c>
      <c r="J32" s="7">
        <f>+Tabla1[[#This Row],[PRECIO EN SOLES]]-Tabla1[[#This Row],[PC]]</f>
        <v>4.4644000000000013</v>
      </c>
      <c r="K32" s="15"/>
      <c r="L32" s="15" t="str">
        <f>IF(
OR(
ISNUMBER(SEARCH("BACKPACK",B34)),
ISNUMBER(SEARCH("MOCHILA",B34)),
ISNUMBER(SEARCH("FUNDA",B34)),
ISNUMBER(SEARCH("ESTUCHE",B34)),
ISNUMBER(SEARCH("BOOK COVER",B34)),
ISNUMBER(SEARCH("KEYBOARD PARA TABLET",B34)),
ISNUMBER(SEARCH("FLIP TABLET",B34)),
ISNUMBER(SEARCH("CASE FOR TABLET",B34)),
ISNUMBER(SEARCH("CABLE",B34)),
ISNUMBER(SEARCH("ADAPTADOR",B34)),
ISNUMBER(SEARCH("HUB",B34)),
ISNUMBER(SEARCH("DOCK",B34)),
ISNUMBER(SEARCH("MOUSE PAD",B34)),
ISNUMBER(SEARCH("MOUSEPAD",B34)),
ISNUMBER(SEARCH("SOPORTE",B34)),
ISNUMBER(SEARCH("STAND",B34)),
ISNUMBER(SEARCH("TRAVEL ADAPTER",B34)),
ISNUMBER(SEARCH("RJ45",B34)),
ISNUMBER(SEARCH("USB-C",B34)),
ISNUMBER(SEARCH("USB WIFI",B34)),
ISNUMBER(SEARCH("POWERBANK",B34)),
ISNUMBER(SEARCH("CARGADOR",B34)),
ISNUMBER(SEARCH("COOLER PARA NB",B34)),
ISNUMBER(SEARCH("SOPORTE PARA NB",B34)),
ISNUMBER(SEARCH("WEBCAM",B34)),
ISNUMBER(SEARCH("WEB CAM",B34)),
ISNUMBER(SEARCH("MOUSE",B34)),
ISNUMBER(SEARCH("TECLADO",B34))
),
"COMPLEMENTO",
IF(
OR(
LEFT(A34,2)="NB",
LEFT(A34,2)="PC",
LEFT(A34,2)="WS",
LEFT(A34,2)="TB",
LEFT(A34,3)="CEL",
LEFT(A34,3)="MON",
LEFT(A34,3)="PRE",
LEFT(A34,3)="PRH",
ISNUMBER(SEARCH("NOTEBOOK",B34)),
ISNUMBER(SEARCH("LAPTOP",B34)),
ISNUMBER(SEARCH("MONITOR",B34)),
ISNUMBER(SEARCH("TABLET",B34)),
ISNUMBER(SEARCH("SMARTPH",B34)),
ISNUMBER(SEARCH("IMPRESORA",B34)),
ISNUMBER(SEARCH("MULTIFUNCIONAL",B34)),
ISNUMBER(SEARCH("AIO",B34))
),
"GANCHO",
"NORMAL"
)
)</f>
        <v>NORMAL</v>
      </c>
    </row>
    <row r="33" spans="1:12" x14ac:dyDescent="0.25">
      <c r="A33" s="3" t="s">
        <v>6387</v>
      </c>
      <c r="B33" s="3" t="s">
        <v>6388</v>
      </c>
      <c r="C33" s="1">
        <v>20</v>
      </c>
      <c r="D33" s="1">
        <v>4</v>
      </c>
      <c r="E33" s="1" t="s">
        <v>55</v>
      </c>
      <c r="F33" s="1" t="s">
        <v>6389</v>
      </c>
      <c r="G33" s="3"/>
      <c r="H33" s="11">
        <f>ROUND(
IF(L31="GANCHO",
   IF(I33&lt;=50,I33*1.1+4,IF(I33&lt;=120,I33*1.1+7,IF(I33&lt;=250,I33*1.1+11,I33*1.1+19))),
IF(L31="NORMAL",
   IF(I33&lt;=30,I33*1.15+2,IF(I33&lt;=80,I33*1.15+4,IF(I33&lt;=150,I33*1.15+6,I33*1.15+8))),
IF(L31="COMPLEMENTO",
   IF(I33&lt;=25,I33*1.25+1.5,IF(I33&lt;=60,I33*1.25+3,IF(I33&lt;=120,I33*1.25+4,I33*1.25+5))),
""))),2)</f>
        <v>20.89</v>
      </c>
      <c r="I33" s="9">
        <f>($K$2+0.02)*Tabla1[[#This Row],[PRECIO $]]*1.18</f>
        <v>16.425599999999999</v>
      </c>
      <c r="J33" s="7">
        <f>+Tabla1[[#This Row],[PRECIO EN SOLES]]-Tabla1[[#This Row],[PC]]</f>
        <v>4.4644000000000013</v>
      </c>
      <c r="K33" s="15"/>
      <c r="L33" s="15" t="str">
        <f>IF(
OR(
ISNUMBER(SEARCH("BACKPACK",B35)),
ISNUMBER(SEARCH("MOCHILA",B35)),
ISNUMBER(SEARCH("FUNDA",B35)),
ISNUMBER(SEARCH("ESTUCHE",B35)),
ISNUMBER(SEARCH("BOOK COVER",B35)),
ISNUMBER(SEARCH("KEYBOARD PARA TABLET",B35)),
ISNUMBER(SEARCH("FLIP TABLET",B35)),
ISNUMBER(SEARCH("CASE FOR TABLET",B35)),
ISNUMBER(SEARCH("CABLE",B35)),
ISNUMBER(SEARCH("ADAPTADOR",B35)),
ISNUMBER(SEARCH("HUB",B35)),
ISNUMBER(SEARCH("DOCK",B35)),
ISNUMBER(SEARCH("MOUSE PAD",B35)),
ISNUMBER(SEARCH("MOUSEPAD",B35)),
ISNUMBER(SEARCH("SOPORTE",B35)),
ISNUMBER(SEARCH("STAND",B35)),
ISNUMBER(SEARCH("TRAVEL ADAPTER",B35)),
ISNUMBER(SEARCH("RJ45",B35)),
ISNUMBER(SEARCH("USB-C",B35)),
ISNUMBER(SEARCH("USB WIFI",B35)),
ISNUMBER(SEARCH("POWERBANK",B35)),
ISNUMBER(SEARCH("CARGADOR",B35)),
ISNUMBER(SEARCH("COOLER PARA NB",B35)),
ISNUMBER(SEARCH("SOPORTE PARA NB",B35)),
ISNUMBER(SEARCH("WEBCAM",B35)),
ISNUMBER(SEARCH("WEB CAM",B35)),
ISNUMBER(SEARCH("MOUSE",B35)),
ISNUMBER(SEARCH("TECLADO",B35))
),
"COMPLEMENTO",
IF(
OR(
LEFT(A35,2)="NB",
LEFT(A35,2)="PC",
LEFT(A35,2)="WS",
LEFT(A35,2)="TB",
LEFT(A35,3)="CEL",
LEFT(A35,3)="MON",
LEFT(A35,3)="PRE",
LEFT(A35,3)="PRH",
ISNUMBER(SEARCH("NOTEBOOK",B35)),
ISNUMBER(SEARCH("LAPTOP",B35)),
ISNUMBER(SEARCH("MONITOR",B35)),
ISNUMBER(SEARCH("TABLET",B35)),
ISNUMBER(SEARCH("SMARTPH",B35)),
ISNUMBER(SEARCH("IMPRESORA",B35)),
ISNUMBER(SEARCH("MULTIFUNCIONAL",B35)),
ISNUMBER(SEARCH("AIO",B35))
),
"GANCHO",
"NORMAL"
)
)</f>
        <v>NORMAL</v>
      </c>
    </row>
    <row r="34" spans="1:12" x14ac:dyDescent="0.25">
      <c r="A34" s="3" t="s">
        <v>6390</v>
      </c>
      <c r="B34" s="3" t="s">
        <v>6391</v>
      </c>
      <c r="C34" s="1">
        <v>20</v>
      </c>
      <c r="D34" s="1">
        <v>4</v>
      </c>
      <c r="E34" s="1" t="s">
        <v>55</v>
      </c>
      <c r="F34" s="1" t="s">
        <v>6392</v>
      </c>
      <c r="G34" s="3"/>
      <c r="H34" s="11">
        <f>ROUND(
IF(L32="GANCHO",
   IF(I34&lt;=50,I34*1.1+4,IF(I34&lt;=120,I34*1.1+7,IF(I34&lt;=250,I34*1.1+11,I34*1.1+19))),
IF(L32="NORMAL",
   IF(I34&lt;=30,I34*1.15+2,IF(I34&lt;=80,I34*1.15+4,IF(I34&lt;=150,I34*1.15+6,I34*1.15+8))),
IF(L32="COMPLEMENTO",
   IF(I34&lt;=25,I34*1.25+1.5,IF(I34&lt;=60,I34*1.25+3,IF(I34&lt;=120,I34*1.25+4,I34*1.25+5))),
""))),2)</f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>IF(
OR(
ISNUMBER(SEARCH("BACKPACK",B36)),
ISNUMBER(SEARCH("MOCHILA",B36)),
ISNUMBER(SEARCH("FUNDA",B36)),
ISNUMBER(SEARCH("ESTUCHE",B36)),
ISNUMBER(SEARCH("BOOK COVER",B36)),
ISNUMBER(SEARCH("KEYBOARD PARA TABLET",B36)),
ISNUMBER(SEARCH("FLIP TABLET",B36)),
ISNUMBER(SEARCH("CASE FOR TABLET",B36)),
ISNUMBER(SEARCH("CABLE",B36)),
ISNUMBER(SEARCH("ADAPTADOR",B36)),
ISNUMBER(SEARCH("HUB",B36)),
ISNUMBER(SEARCH("DOCK",B36)),
ISNUMBER(SEARCH("MOUSE PAD",B36)),
ISNUMBER(SEARCH("MOUSEPAD",B36)),
ISNUMBER(SEARCH("SOPORTE",B36)),
ISNUMBER(SEARCH("STAND",B36)),
ISNUMBER(SEARCH("TRAVEL ADAPTER",B36)),
ISNUMBER(SEARCH("RJ45",B36)),
ISNUMBER(SEARCH("USB-C",B36)),
ISNUMBER(SEARCH("USB WIFI",B36)),
ISNUMBER(SEARCH("POWERBANK",B36)),
ISNUMBER(SEARCH("CARGADOR",B36)),
ISNUMBER(SEARCH("COOLER PARA NB",B36)),
ISNUMBER(SEARCH("SOPORTE PARA NB",B36)),
ISNUMBER(SEARCH("WEBCAM",B36)),
ISNUMBER(SEARCH("WEB CAM",B36)),
ISNUMBER(SEARCH("MOUSE",B36)),
ISNUMBER(SEARCH("TECLADO",B36))
),
"COMPLEMENTO",
IF(
OR(
LEFT(A36,2)="NB",
LEFT(A36,2)="PC",
LEFT(A36,2)="WS",
LEFT(A36,2)="TB",
LEFT(A36,3)="CEL",
LEFT(A36,3)="MON",
LEFT(A36,3)="PRE",
LEFT(A36,3)="PRH",
ISNUMBER(SEARCH("NOTEBOOK",B36)),
ISNUMBER(SEARCH("LAPTOP",B36)),
ISNUMBER(SEARCH("MONITOR",B36)),
ISNUMBER(SEARCH("TABLET",B36)),
ISNUMBER(SEARCH("SMARTPH",B36)),
ISNUMBER(SEARCH("IMPRESORA",B36)),
ISNUMBER(SEARCH("MULTIFUNCIONAL",B36)),
ISNUMBER(SEARCH("AIO",B36))
),
"GANCHO",
"NORMAL"
)
)</f>
        <v>NORMAL</v>
      </c>
    </row>
    <row r="35" spans="1:12" x14ac:dyDescent="0.25">
      <c r="A35" s="3" t="s">
        <v>6393</v>
      </c>
      <c r="B35" s="3" t="s">
        <v>6394</v>
      </c>
      <c r="C35" s="1">
        <v>20</v>
      </c>
      <c r="D35" s="1">
        <v>4</v>
      </c>
      <c r="E35" s="1" t="s">
        <v>55</v>
      </c>
      <c r="F35" s="1" t="s">
        <v>6395</v>
      </c>
      <c r="G35" s="3"/>
      <c r="H35" s="11">
        <f>ROUND(
IF(L33="GANCHO",
   IF(I35&lt;=50,I35*1.1+4,IF(I35&lt;=120,I35*1.1+7,IF(I35&lt;=250,I35*1.1+11,I35*1.1+19))),
IF(L33="NORMAL",
   IF(I35&lt;=30,I35*1.15+2,IF(I35&lt;=80,I35*1.15+4,IF(I35&lt;=150,I35*1.15+6,I35*1.15+8))),
IF(L33="COMPLEMENTO",
   IF(I35&lt;=25,I35*1.25+1.5,IF(I35&lt;=60,I35*1.25+3,IF(I35&lt;=120,I35*1.25+4,I35*1.25+5))),
""))),2)</f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>IF(
OR(
ISNUMBER(SEARCH("BACKPACK",B37)),
ISNUMBER(SEARCH("MOCHILA",B37)),
ISNUMBER(SEARCH("FUNDA",B37)),
ISNUMBER(SEARCH("ESTUCHE",B37)),
ISNUMBER(SEARCH("BOOK COVER",B37)),
ISNUMBER(SEARCH("KEYBOARD PARA TABLET",B37)),
ISNUMBER(SEARCH("FLIP TABLET",B37)),
ISNUMBER(SEARCH("CASE FOR TABLET",B37)),
ISNUMBER(SEARCH("CABLE",B37)),
ISNUMBER(SEARCH("ADAPTADOR",B37)),
ISNUMBER(SEARCH("HUB",B37)),
ISNUMBER(SEARCH("DOCK",B37)),
ISNUMBER(SEARCH("MOUSE PAD",B37)),
ISNUMBER(SEARCH("MOUSEPAD",B37)),
ISNUMBER(SEARCH("SOPORTE",B37)),
ISNUMBER(SEARCH("STAND",B37)),
ISNUMBER(SEARCH("TRAVEL ADAPTER",B37)),
ISNUMBER(SEARCH("RJ45",B37)),
ISNUMBER(SEARCH("USB-C",B37)),
ISNUMBER(SEARCH("USB WIFI",B37)),
ISNUMBER(SEARCH("POWERBANK",B37)),
ISNUMBER(SEARCH("CARGADOR",B37)),
ISNUMBER(SEARCH("COOLER PARA NB",B37)),
ISNUMBER(SEARCH("SOPORTE PARA NB",B37)),
ISNUMBER(SEARCH("WEBCAM",B37)),
ISNUMBER(SEARCH("WEB CAM",B37)),
ISNUMBER(SEARCH("MOUSE",B37)),
ISNUMBER(SEARCH("TECLADO",B37))
),
"COMPLEMENTO",
IF(
OR(
LEFT(A37,2)="NB",
LEFT(A37,2)="PC",
LEFT(A37,2)="WS",
LEFT(A37,2)="TB",
LEFT(A37,3)="CEL",
LEFT(A37,3)="MON",
LEFT(A37,3)="PRE",
LEFT(A37,3)="PRH",
ISNUMBER(SEARCH("NOTEBOOK",B37)),
ISNUMBER(SEARCH("LAPTOP",B37)),
ISNUMBER(SEARCH("MONITOR",B37)),
ISNUMBER(SEARCH("TABLET",B37)),
ISNUMBER(SEARCH("SMARTPH",B37)),
ISNUMBER(SEARCH("IMPRESORA",B37)),
ISNUMBER(SEARCH("MULTIFUNCIONAL",B37)),
ISNUMBER(SEARCH("AIO",B37))
),
"GANCHO",
"NORMAL"
)
)</f>
        <v>NORMAL</v>
      </c>
    </row>
    <row r="36" spans="1:12" x14ac:dyDescent="0.25">
      <c r="A36" s="3" t="s">
        <v>6396</v>
      </c>
      <c r="B36" s="3" t="s">
        <v>6397</v>
      </c>
      <c r="C36" s="1">
        <v>20</v>
      </c>
      <c r="D36" s="1">
        <v>4</v>
      </c>
      <c r="E36" s="1" t="s">
        <v>55</v>
      </c>
      <c r="F36" s="1" t="s">
        <v>6398</v>
      </c>
      <c r="G36" s="3"/>
      <c r="H36" s="11">
        <f>ROUND(
IF(L34="GANCHO",
   IF(I36&lt;=50,I36*1.1+4,IF(I36&lt;=120,I36*1.1+7,IF(I36&lt;=250,I36*1.1+11,I36*1.1+19))),
IF(L34="NORMAL",
   IF(I36&lt;=30,I36*1.15+2,IF(I36&lt;=80,I36*1.15+4,IF(I36&lt;=150,I36*1.15+6,I36*1.15+8))),
IF(L34="COMPLEMENTO",
   IF(I36&lt;=25,I36*1.25+1.5,IF(I36&lt;=60,I36*1.25+3,IF(I36&lt;=120,I36*1.25+4,I36*1.25+5))),
""))),2)</f>
        <v>20.89</v>
      </c>
      <c r="I36" s="9">
        <f>($K$2+0.02)*Tabla1[[#This Row],[PRECIO $]]*1.18</f>
        <v>16.425599999999999</v>
      </c>
      <c r="J36" s="7">
        <f>+Tabla1[[#This Row],[PRECIO EN SOLES]]-Tabla1[[#This Row],[PC]]</f>
        <v>4.4644000000000013</v>
      </c>
      <c r="K36" s="15"/>
      <c r="L36" s="15" t="str">
        <f>IF(
OR(
ISNUMBER(SEARCH("BACKPACK",B38)),
ISNUMBER(SEARCH("MOCHILA",B38)),
ISNUMBER(SEARCH("FUNDA",B38)),
ISNUMBER(SEARCH("ESTUCHE",B38)),
ISNUMBER(SEARCH("BOOK COVER",B38)),
ISNUMBER(SEARCH("KEYBOARD PARA TABLET",B38)),
ISNUMBER(SEARCH("FLIP TABLET",B38)),
ISNUMBER(SEARCH("CASE FOR TABLET",B38)),
ISNUMBER(SEARCH("CABLE",B38)),
ISNUMBER(SEARCH("ADAPTADOR",B38)),
ISNUMBER(SEARCH("HUB",B38)),
ISNUMBER(SEARCH("DOCK",B38)),
ISNUMBER(SEARCH("MOUSE PAD",B38)),
ISNUMBER(SEARCH("MOUSEPAD",B38)),
ISNUMBER(SEARCH("SOPORTE",B38)),
ISNUMBER(SEARCH("STAND",B38)),
ISNUMBER(SEARCH("TRAVEL ADAPTER",B38)),
ISNUMBER(SEARCH("RJ45",B38)),
ISNUMBER(SEARCH("USB-C",B38)),
ISNUMBER(SEARCH("USB WIFI",B38)),
ISNUMBER(SEARCH("POWERBANK",B38)),
ISNUMBER(SEARCH("CARGADOR",B38)),
ISNUMBER(SEARCH("COOLER PARA NB",B38)),
ISNUMBER(SEARCH("SOPORTE PARA NB",B38)),
ISNUMBER(SEARCH("WEBCAM",B38)),
ISNUMBER(SEARCH("WEB CAM",B38)),
ISNUMBER(SEARCH("MOUSE",B38)),
ISNUMBER(SEARCH("TECLADO",B38))
),
"COMPLEMENTO",
IF(
OR(
LEFT(A38,2)="NB",
LEFT(A38,2)="PC",
LEFT(A38,2)="WS",
LEFT(A38,2)="TB",
LEFT(A38,3)="CEL",
LEFT(A38,3)="MON",
LEFT(A38,3)="PRE",
LEFT(A38,3)="PRH",
ISNUMBER(SEARCH("NOTEBOOK",B38)),
ISNUMBER(SEARCH("LAPTOP",B38)),
ISNUMBER(SEARCH("MONITOR",B38)),
ISNUMBER(SEARCH("TABLET",B38)),
ISNUMBER(SEARCH("SMARTPH",B38)),
ISNUMBER(SEARCH("IMPRESORA",B38)),
ISNUMBER(SEARCH("MULTIFUNCIONAL",B38)),
ISNUMBER(SEARCH("AIO",B38))
),
"GANCHO",
"NORMAL"
)
)</f>
        <v>NORMAL</v>
      </c>
    </row>
    <row r="37" spans="1:12" x14ac:dyDescent="0.25">
      <c r="A37" s="3" t="s">
        <v>6399</v>
      </c>
      <c r="B37" s="3" t="s">
        <v>6397</v>
      </c>
      <c r="C37" s="1">
        <v>20</v>
      </c>
      <c r="D37" s="1">
        <v>4</v>
      </c>
      <c r="E37" s="1" t="s">
        <v>55</v>
      </c>
      <c r="F37" s="1" t="s">
        <v>6400</v>
      </c>
      <c r="G37" s="3"/>
      <c r="H37" s="11">
        <f>ROUND(
IF(L35="GANCHO",
   IF(I37&lt;=50,I37*1.1+4,IF(I37&lt;=120,I37*1.1+7,IF(I37&lt;=250,I37*1.1+11,I37*1.1+19))),
IF(L35="NORMAL",
   IF(I37&lt;=30,I37*1.15+2,IF(I37&lt;=80,I37*1.15+4,IF(I37&lt;=150,I37*1.15+6,I37*1.15+8))),
IF(L35="COMPLEMENTO",
   IF(I37&lt;=25,I37*1.25+1.5,IF(I37&lt;=60,I37*1.25+3,IF(I37&lt;=120,I37*1.25+4,I37*1.25+5))),
""))),2)</f>
        <v>20.89</v>
      </c>
      <c r="I37" s="9">
        <f>($K$2+0.02)*Tabla1[[#This Row],[PRECIO $]]*1.18</f>
        <v>16.425599999999999</v>
      </c>
      <c r="J37" s="7">
        <f>+Tabla1[[#This Row],[PRECIO EN SOLES]]-Tabla1[[#This Row],[PC]]</f>
        <v>4.4644000000000013</v>
      </c>
      <c r="K37" s="15"/>
      <c r="L37" s="15" t="str">
        <f>IF(
OR(
ISNUMBER(SEARCH("BACKPACK",B39)),
ISNUMBER(SEARCH("MOCHILA",B39)),
ISNUMBER(SEARCH("FUNDA",B39)),
ISNUMBER(SEARCH("ESTUCHE",B39)),
ISNUMBER(SEARCH("BOOK COVER",B39)),
ISNUMBER(SEARCH("KEYBOARD PARA TABLET",B39)),
ISNUMBER(SEARCH("FLIP TABLET",B39)),
ISNUMBER(SEARCH("CASE FOR TABLET",B39)),
ISNUMBER(SEARCH("CABLE",B39)),
ISNUMBER(SEARCH("ADAPTADOR",B39)),
ISNUMBER(SEARCH("HUB",B39)),
ISNUMBER(SEARCH("DOCK",B39)),
ISNUMBER(SEARCH("MOUSE PAD",B39)),
ISNUMBER(SEARCH("MOUSEPAD",B39)),
ISNUMBER(SEARCH("SOPORTE",B39)),
ISNUMBER(SEARCH("STAND",B39)),
ISNUMBER(SEARCH("TRAVEL ADAPTER",B39)),
ISNUMBER(SEARCH("RJ45",B39)),
ISNUMBER(SEARCH("USB-C",B39)),
ISNUMBER(SEARCH("USB WIFI",B39)),
ISNUMBER(SEARCH("POWERBANK",B39)),
ISNUMBER(SEARCH("CARGADOR",B39)),
ISNUMBER(SEARCH("COOLER PARA NB",B39)),
ISNUMBER(SEARCH("SOPORTE PARA NB",B39)),
ISNUMBER(SEARCH("WEBCAM",B39)),
ISNUMBER(SEARCH("WEB CAM",B39)),
ISNUMBER(SEARCH("MOUSE",B39)),
ISNUMBER(SEARCH("TECLADO",B39))
),
"COMPLEMENTO",
IF(
OR(
LEFT(A39,2)="NB",
LEFT(A39,2)="PC",
LEFT(A39,2)="WS",
LEFT(A39,2)="TB",
LEFT(A39,3)="CEL",
LEFT(A39,3)="MON",
LEFT(A39,3)="PRE",
LEFT(A39,3)="PRH",
ISNUMBER(SEARCH("NOTEBOOK",B39)),
ISNUMBER(SEARCH("LAPTOP",B39)),
ISNUMBER(SEARCH("MONITOR",B39)),
ISNUMBER(SEARCH("TABLET",B39)),
ISNUMBER(SEARCH("SMARTPH",B39)),
ISNUMBER(SEARCH("IMPRESORA",B39)),
ISNUMBER(SEARCH("MULTIFUNCIONAL",B39)),
ISNUMBER(SEARCH("AIO",B39))
),
"GANCHO",
"NORMAL"
)
)</f>
        <v>NORMAL</v>
      </c>
    </row>
    <row r="38" spans="1:12" x14ac:dyDescent="0.25">
      <c r="A38" s="3" t="s">
        <v>789</v>
      </c>
      <c r="B38" s="3" t="s">
        <v>790</v>
      </c>
      <c r="C38" s="1">
        <v>1</v>
      </c>
      <c r="D38" s="1">
        <v>400</v>
      </c>
      <c r="E38" s="1" t="s">
        <v>54</v>
      </c>
      <c r="F38" s="1" t="s">
        <v>3073</v>
      </c>
      <c r="G38" s="3"/>
      <c r="H38" s="11">
        <f>ROUND(
IF(L36="GANCHO",
   IF(I38&lt;=50,I38*1.1+4,IF(I38&lt;=120,I38*1.1+7,IF(I38&lt;=250,I38*1.1+11,I38*1.1+19))),
IF(L36="NORMAL",
   IF(I38&lt;=30,I38*1.15+2,IF(I38&lt;=80,I38*1.15+4,IF(I38&lt;=150,I38*1.15+6,I38*1.15+8))),
IF(L36="COMPLEMENTO",
   IF(I38&lt;=25,I38*1.25+1.5,IF(I38&lt;=60,I38*1.25+3,IF(I38&lt;=120,I38*1.25+4,I38*1.25+5))),
""))),2)</f>
        <v>1896.94</v>
      </c>
      <c r="I38" s="9">
        <f>($K$2+0.02)*Tabla1[[#This Row],[PRECIO $]]*1.18</f>
        <v>1642.56</v>
      </c>
      <c r="J38" s="7">
        <f>+Tabla1[[#This Row],[PRECIO EN SOLES]]-Tabla1[[#This Row],[PC]]</f>
        <v>254.38000000000011</v>
      </c>
      <c r="K38" s="15"/>
      <c r="L38" s="15" t="str">
        <f>IF(
OR(
ISNUMBER(SEARCH("BACKPACK",B40)),
ISNUMBER(SEARCH("MOCHILA",B40)),
ISNUMBER(SEARCH("FUNDA",B40)),
ISNUMBER(SEARCH("ESTUCHE",B40)),
ISNUMBER(SEARCH("BOOK COVER",B40)),
ISNUMBER(SEARCH("KEYBOARD PARA TABLET",B40)),
ISNUMBER(SEARCH("FLIP TABLET",B40)),
ISNUMBER(SEARCH("CASE FOR TABLET",B40)),
ISNUMBER(SEARCH("CABLE",B40)),
ISNUMBER(SEARCH("ADAPTADOR",B40)),
ISNUMBER(SEARCH("HUB",B40)),
ISNUMBER(SEARCH("DOCK",B40)),
ISNUMBER(SEARCH("MOUSE PAD",B40)),
ISNUMBER(SEARCH("MOUSEPAD",B40)),
ISNUMBER(SEARCH("SOPORTE",B40)),
ISNUMBER(SEARCH("STAND",B40)),
ISNUMBER(SEARCH("TRAVEL ADAPTER",B40)),
ISNUMBER(SEARCH("RJ45",B40)),
ISNUMBER(SEARCH("USB-C",B40)),
ISNUMBER(SEARCH("USB WIFI",B40)),
ISNUMBER(SEARCH("POWERBANK",B40)),
ISNUMBER(SEARCH("CARGADOR",B40)),
ISNUMBER(SEARCH("COOLER PARA NB",B40)),
ISNUMBER(SEARCH("SOPORTE PARA NB",B40)),
ISNUMBER(SEARCH("WEBCAM",B40)),
ISNUMBER(SEARCH("WEB CAM",B40)),
ISNUMBER(SEARCH("MOUSE",B40)),
ISNUMBER(SEARCH("TECLADO",B40))
),
"COMPLEMENTO",
IF(
OR(
LEFT(A40,2)="NB",
LEFT(A40,2)="PC",
LEFT(A40,2)="WS",
LEFT(A40,2)="TB",
LEFT(A40,3)="CEL",
LEFT(A40,3)="MON",
LEFT(A40,3)="PRE",
LEFT(A40,3)="PRH",
ISNUMBER(SEARCH("NOTEBOOK",B40)),
ISNUMBER(SEARCH("LAPTOP",B40)),
ISNUMBER(SEARCH("MONITOR",B40)),
ISNUMBER(SEARCH("TABLET",B40)),
ISNUMBER(SEARCH("SMARTPH",B40)),
ISNUMBER(SEARCH("IMPRESORA",B40)),
ISNUMBER(SEARCH("MULTIFUNCIONAL",B40)),
ISNUMBER(SEARCH("AIO",B40))
),
"GANCHO",
"NORMAL"
)
)</f>
        <v>NORMAL</v>
      </c>
    </row>
    <row r="39" spans="1:12" x14ac:dyDescent="0.25">
      <c r="A39" s="3" t="s">
        <v>791</v>
      </c>
      <c r="B39" s="3" t="s">
        <v>792</v>
      </c>
      <c r="C39" s="1">
        <v>2</v>
      </c>
      <c r="D39" s="1">
        <v>51.8</v>
      </c>
      <c r="E39" s="1" t="s">
        <v>54</v>
      </c>
      <c r="F39" s="1" t="s">
        <v>3074</v>
      </c>
      <c r="G39" s="3" t="s">
        <v>793</v>
      </c>
      <c r="H39" s="11">
        <f>ROUND(
IF(L37="GANCHO",
   IF(I39&lt;=50,I39*1.1+4,IF(I39&lt;=120,I39*1.1+7,IF(I39&lt;=250,I39*1.1+11,I39*1.1+19))),
IF(L37="NORMAL",
   IF(I39&lt;=30,I39*1.15+2,IF(I39&lt;=80,I39*1.15+4,IF(I39&lt;=150,I39*1.15+6,I39*1.15+8))),
IF(L37="COMPLEMENTO",
   IF(I39&lt;=25,I39*1.25+1.5,IF(I39&lt;=60,I39*1.25+3,IF(I39&lt;=120,I39*1.25+4,I39*1.25+5))),
""))),2)</f>
        <v>252.62</v>
      </c>
      <c r="I39" s="9">
        <f>($K$2+0.02)*Tabla1[[#This Row],[PRECIO $]]*1.18</f>
        <v>212.71151999999998</v>
      </c>
      <c r="J39" s="7">
        <f>+Tabla1[[#This Row],[PRECIO EN SOLES]]-Tabla1[[#This Row],[PC]]</f>
        <v>39.908480000000026</v>
      </c>
      <c r="K39" s="15"/>
      <c r="L39" s="15" t="str">
        <f>IF(
OR(
ISNUMBER(SEARCH("BACKPACK",B41)),
ISNUMBER(SEARCH("MOCHILA",B41)),
ISNUMBER(SEARCH("FUNDA",B41)),
ISNUMBER(SEARCH("ESTUCHE",B41)),
ISNUMBER(SEARCH("BOOK COVER",B41)),
ISNUMBER(SEARCH("KEYBOARD PARA TABLET",B41)),
ISNUMBER(SEARCH("FLIP TABLET",B41)),
ISNUMBER(SEARCH("CASE FOR TABLET",B41)),
ISNUMBER(SEARCH("CABLE",B41)),
ISNUMBER(SEARCH("ADAPTADOR",B41)),
ISNUMBER(SEARCH("HUB",B41)),
ISNUMBER(SEARCH("DOCK",B41)),
ISNUMBER(SEARCH("MOUSE PAD",B41)),
ISNUMBER(SEARCH("MOUSEPAD",B41)),
ISNUMBER(SEARCH("SOPORTE",B41)),
ISNUMBER(SEARCH("STAND",B41)),
ISNUMBER(SEARCH("TRAVEL ADAPTER",B41)),
ISNUMBER(SEARCH("RJ45",B41)),
ISNUMBER(SEARCH("USB-C",B41)),
ISNUMBER(SEARCH("USB WIFI",B41)),
ISNUMBER(SEARCH("POWERBANK",B41)),
ISNUMBER(SEARCH("CARGADOR",B41)),
ISNUMBER(SEARCH("COOLER PARA NB",B41)),
ISNUMBER(SEARCH("SOPORTE PARA NB",B41)),
ISNUMBER(SEARCH("WEBCAM",B41)),
ISNUMBER(SEARCH("WEB CAM",B41)),
ISNUMBER(SEARCH("MOUSE",B41)),
ISNUMBER(SEARCH("TECLADO",B41))
),
"COMPLEMENTO",
IF(
OR(
LEFT(A41,2)="NB",
LEFT(A41,2)="PC",
LEFT(A41,2)="WS",
LEFT(A41,2)="TB",
LEFT(A41,3)="CEL",
LEFT(A41,3)="MON",
LEFT(A41,3)="PRE",
LEFT(A41,3)="PRH",
ISNUMBER(SEARCH("NOTEBOOK",B41)),
ISNUMBER(SEARCH("LAPTOP",B41)),
ISNUMBER(SEARCH("MONITOR",B41)),
ISNUMBER(SEARCH("TABLET",B41)),
ISNUMBER(SEARCH("SMARTPH",B41)),
ISNUMBER(SEARCH("IMPRESORA",B41)),
ISNUMBER(SEARCH("MULTIFUNCIONAL",B41)),
ISNUMBER(SEARCH("AIO",B41))
),
"GANCHO",
"NORMAL"
)
)</f>
        <v>NORMAL</v>
      </c>
    </row>
    <row r="40" spans="1:12" x14ac:dyDescent="0.25">
      <c r="A40" s="3" t="s">
        <v>794</v>
      </c>
      <c r="B40" s="3" t="s">
        <v>795</v>
      </c>
      <c r="C40" s="1">
        <v>3</v>
      </c>
      <c r="D40" s="1">
        <v>320</v>
      </c>
      <c r="E40" s="1" t="s">
        <v>57</v>
      </c>
      <c r="F40" s="1" t="s">
        <v>3075</v>
      </c>
      <c r="G40" s="3"/>
      <c r="H40" s="11">
        <f>ROUND(
IF(L38="GANCHO",
   IF(I40&lt;=50,I40*1.1+4,IF(I40&lt;=120,I40*1.1+7,IF(I40&lt;=250,I40*1.1+11,I40*1.1+19))),
IF(L38="NORMAL",
   IF(I40&lt;=30,I40*1.15+2,IF(I40&lt;=80,I40*1.15+4,IF(I40&lt;=150,I40*1.15+6,I40*1.15+8))),
IF(L38="COMPLEMENTO",
   IF(I40&lt;=25,I40*1.25+1.5,IF(I40&lt;=60,I40*1.25+3,IF(I40&lt;=120,I40*1.25+4,I40*1.25+5))),
""))),2)</f>
        <v>1519.16</v>
      </c>
      <c r="I40" s="9">
        <f>($K$2+0.02)*Tabla1[[#This Row],[PRECIO $]]*1.18</f>
        <v>1314.0479999999998</v>
      </c>
      <c r="J40" s="7">
        <f>+Tabla1[[#This Row],[PRECIO EN SOLES]]-Tabla1[[#This Row],[PC]]</f>
        <v>205.11200000000031</v>
      </c>
      <c r="K40" s="15"/>
      <c r="L40" s="15" t="str">
        <f>IF(
OR(
ISNUMBER(SEARCH("BACKPACK",B42)),
ISNUMBER(SEARCH("MOCHILA",B42)),
ISNUMBER(SEARCH("FUNDA",B42)),
ISNUMBER(SEARCH("ESTUCHE",B42)),
ISNUMBER(SEARCH("BOOK COVER",B42)),
ISNUMBER(SEARCH("KEYBOARD PARA TABLET",B42)),
ISNUMBER(SEARCH("FLIP TABLET",B42)),
ISNUMBER(SEARCH("CASE FOR TABLET",B42)),
ISNUMBER(SEARCH("CABLE",B42)),
ISNUMBER(SEARCH("ADAPTADOR",B42)),
ISNUMBER(SEARCH("HUB",B42)),
ISNUMBER(SEARCH("DOCK",B42)),
ISNUMBER(SEARCH("MOUSE PAD",B42)),
ISNUMBER(SEARCH("MOUSEPAD",B42)),
ISNUMBER(SEARCH("SOPORTE",B42)),
ISNUMBER(SEARCH("STAND",B42)),
ISNUMBER(SEARCH("TRAVEL ADAPTER",B42)),
ISNUMBER(SEARCH("RJ45",B42)),
ISNUMBER(SEARCH("USB-C",B42)),
ISNUMBER(SEARCH("USB WIFI",B42)),
ISNUMBER(SEARCH("POWERBANK",B42)),
ISNUMBER(SEARCH("CARGADOR",B42)),
ISNUMBER(SEARCH("COOLER PARA NB",B42)),
ISNUMBER(SEARCH("SOPORTE PARA NB",B42)),
ISNUMBER(SEARCH("WEBCAM",B42)),
ISNUMBER(SEARCH("WEB CAM",B42)),
ISNUMBER(SEARCH("MOUSE",B42)),
ISNUMBER(SEARCH("TECLADO",B42))
),
"COMPLEMENTO",
IF(
OR(
LEFT(A42,2)="NB",
LEFT(A42,2)="PC",
LEFT(A42,2)="WS",
LEFT(A42,2)="TB",
LEFT(A42,3)="CEL",
LEFT(A42,3)="MON",
LEFT(A42,3)="PRE",
LEFT(A42,3)="PRH",
ISNUMBER(SEARCH("NOTEBOOK",B42)),
ISNUMBER(SEARCH("LAPTOP",B42)),
ISNUMBER(SEARCH("MONITOR",B42)),
ISNUMBER(SEARCH("TABLET",B42)),
ISNUMBER(SEARCH("SMARTPH",B42)),
ISNUMBER(SEARCH("IMPRESORA",B42)),
ISNUMBER(SEARCH("MULTIFUNCIONAL",B42)),
ISNUMBER(SEARCH("AIO",B42))
),
"GANCHO",
"NORMAL"
)
)</f>
        <v>COMPLEMENTO</v>
      </c>
    </row>
    <row r="41" spans="1:12" x14ac:dyDescent="0.25">
      <c r="A41" s="3" t="s">
        <v>3027</v>
      </c>
      <c r="B41" s="3" t="s">
        <v>3028</v>
      </c>
      <c r="C41" s="1">
        <v>20</v>
      </c>
      <c r="D41" s="1">
        <v>8</v>
      </c>
      <c r="E41" s="1" t="s">
        <v>3029</v>
      </c>
      <c r="F41" s="1" t="s">
        <v>3076</v>
      </c>
      <c r="G41" s="3" t="s">
        <v>4856</v>
      </c>
      <c r="H41" s="11">
        <f>ROUND(
IF(L39="GANCHO",
   IF(I41&lt;=50,I41*1.1+4,IF(I41&lt;=120,I41*1.1+7,IF(I41&lt;=250,I41*1.1+11,I41*1.1+19))),
IF(L39="NORMAL",
   IF(I41&lt;=30,I41*1.15+2,IF(I41&lt;=80,I41*1.15+4,IF(I41&lt;=150,I41*1.15+6,I41*1.15+8))),
IF(L39="COMPLEMENTO",
   IF(I41&lt;=25,I41*1.25+1.5,IF(I41&lt;=60,I41*1.25+3,IF(I41&lt;=120,I41*1.25+4,I41*1.25+5))),
""))),2)</f>
        <v>41.78</v>
      </c>
      <c r="I41" s="9">
        <f>($K$2+0.02)*Tabla1[[#This Row],[PRECIO $]]*1.18</f>
        <v>32.851199999999999</v>
      </c>
      <c r="J41" s="7">
        <f>+Tabla1[[#This Row],[PRECIO EN SOLES]]-Tabla1[[#This Row],[PC]]</f>
        <v>8.9288000000000025</v>
      </c>
      <c r="K41" s="15"/>
      <c r="L41" s="15" t="str">
        <f>IF(
OR(
ISNUMBER(SEARCH("BACKPACK",B43)),
ISNUMBER(SEARCH("MOCHILA",B43)),
ISNUMBER(SEARCH("FUNDA",B43)),
ISNUMBER(SEARCH("ESTUCHE",B43)),
ISNUMBER(SEARCH("BOOK COVER",B43)),
ISNUMBER(SEARCH("KEYBOARD PARA TABLET",B43)),
ISNUMBER(SEARCH("FLIP TABLET",B43)),
ISNUMBER(SEARCH("CASE FOR TABLET",B43)),
ISNUMBER(SEARCH("CABLE",B43)),
ISNUMBER(SEARCH("ADAPTADOR",B43)),
ISNUMBER(SEARCH("HUB",B43)),
ISNUMBER(SEARCH("DOCK",B43)),
ISNUMBER(SEARCH("MOUSE PAD",B43)),
ISNUMBER(SEARCH("MOUSEPAD",B43)),
ISNUMBER(SEARCH("SOPORTE",B43)),
ISNUMBER(SEARCH("STAND",B43)),
ISNUMBER(SEARCH("TRAVEL ADAPTER",B43)),
ISNUMBER(SEARCH("RJ45",B43)),
ISNUMBER(SEARCH("USB-C",B43)),
ISNUMBER(SEARCH("USB WIFI",B43)),
ISNUMBER(SEARCH("POWERBANK",B43)),
ISNUMBER(SEARCH("CARGADOR",B43)),
ISNUMBER(SEARCH("COOLER PARA NB",B43)),
ISNUMBER(SEARCH("SOPORTE PARA NB",B43)),
ISNUMBER(SEARCH("WEBCAM",B43)),
ISNUMBER(SEARCH("WEB CAM",B43)),
ISNUMBER(SEARCH("MOUSE",B43)),
ISNUMBER(SEARCH("TECLADO",B43))
),
"COMPLEMENTO",
IF(
OR(
LEFT(A43,2)="NB",
LEFT(A43,2)="PC",
LEFT(A43,2)="WS",
LEFT(A43,2)="TB",
LEFT(A43,3)="CEL",
LEFT(A43,3)="MON",
LEFT(A43,3)="PRE",
LEFT(A43,3)="PRH",
ISNUMBER(SEARCH("NOTEBOOK",B43)),
ISNUMBER(SEARCH("LAPTOP",B43)),
ISNUMBER(SEARCH("MONITOR",B43)),
ISNUMBER(SEARCH("TABLET",B43)),
ISNUMBER(SEARCH("SMARTPH",B43)),
ISNUMBER(SEARCH("IMPRESORA",B43)),
ISNUMBER(SEARCH("MULTIFUNCIONAL",B43)),
ISNUMBER(SEARCH("AIO",B43))
),
"GANCHO",
"NORMAL"
)
)</f>
        <v>COMPLEMENTO</v>
      </c>
    </row>
    <row r="42" spans="1:12" x14ac:dyDescent="0.25">
      <c r="A42" s="3" t="s">
        <v>796</v>
      </c>
      <c r="B42" s="3" t="s">
        <v>797</v>
      </c>
      <c r="C42" s="1">
        <v>0</v>
      </c>
      <c r="D42" s="1">
        <v>15.7</v>
      </c>
      <c r="E42" s="1" t="s">
        <v>56</v>
      </c>
      <c r="F42" s="1" t="s">
        <v>3077</v>
      </c>
      <c r="G42" s="3" t="s">
        <v>798</v>
      </c>
      <c r="H42" s="11">
        <f>ROUND(
IF(L40="GANCHO",
   IF(I42&lt;=50,I42*1.1+4,IF(I42&lt;=120,I42*1.1+7,IF(I42&lt;=250,I42*1.1+11,I42*1.1+19))),
IF(L40="NORMAL",
   IF(I42&lt;=30,I42*1.15+2,IF(I42&lt;=80,I42*1.15+4,IF(I42&lt;=150,I42*1.15+6,I42*1.15+8))),
IF(L40="COMPLEMENTO",
   IF(I42&lt;=25,I42*1.25+1.5,IF(I42&lt;=60,I42*1.25+3,IF(I42&lt;=120,I42*1.25+4,I42*1.25+5))),
""))),2)</f>
        <v>84.59</v>
      </c>
      <c r="I42" s="9">
        <f>($K$2+0.02)*Tabla1[[#This Row],[PRECIO $]]*1.18</f>
        <v>64.470479999999995</v>
      </c>
      <c r="J42" s="7">
        <f>+Tabla1[[#This Row],[PRECIO EN SOLES]]-Tabla1[[#This Row],[PC]]</f>
        <v>20.119520000000009</v>
      </c>
      <c r="K42" s="15"/>
      <c r="L42" s="15" t="str">
        <f>IF(
OR(
ISNUMBER(SEARCH("BACKPACK",B44)),
ISNUMBER(SEARCH("MOCHILA",B44)),
ISNUMBER(SEARCH("FUNDA",B44)),
ISNUMBER(SEARCH("ESTUCHE",B44)),
ISNUMBER(SEARCH("BOOK COVER",B44)),
ISNUMBER(SEARCH("KEYBOARD PARA TABLET",B44)),
ISNUMBER(SEARCH("FLIP TABLET",B44)),
ISNUMBER(SEARCH("CASE FOR TABLET",B44)),
ISNUMBER(SEARCH("CABLE",B44)),
ISNUMBER(SEARCH("ADAPTADOR",B44)),
ISNUMBER(SEARCH("HUB",B44)),
ISNUMBER(SEARCH("DOCK",B44)),
ISNUMBER(SEARCH("MOUSE PAD",B44)),
ISNUMBER(SEARCH("MOUSEPAD",B44)),
ISNUMBER(SEARCH("SOPORTE",B44)),
ISNUMBER(SEARCH("STAND",B44)),
ISNUMBER(SEARCH("TRAVEL ADAPTER",B44)),
ISNUMBER(SEARCH("RJ45",B44)),
ISNUMBER(SEARCH("USB-C",B44)),
ISNUMBER(SEARCH("USB WIFI",B44)),
ISNUMBER(SEARCH("POWERBANK",B44)),
ISNUMBER(SEARCH("CARGADOR",B44)),
ISNUMBER(SEARCH("COOLER PARA NB",B44)),
ISNUMBER(SEARCH("SOPORTE PARA NB",B44)),
ISNUMBER(SEARCH("WEBCAM",B44)),
ISNUMBER(SEARCH("WEB CAM",B44)),
ISNUMBER(SEARCH("MOUSE",B44)),
ISNUMBER(SEARCH("TECLADO",B44))
),
"COMPLEMENTO",
IF(
OR(
LEFT(A44,2)="NB",
LEFT(A44,2)="PC",
LEFT(A44,2)="WS",
LEFT(A44,2)="TB",
LEFT(A44,3)="CEL",
LEFT(A44,3)="MON",
LEFT(A44,3)="PRE",
LEFT(A44,3)="PRH",
ISNUMBER(SEARCH("NOTEBOOK",B44)),
ISNUMBER(SEARCH("LAPTOP",B44)),
ISNUMBER(SEARCH("MONITOR",B44)),
ISNUMBER(SEARCH("TABLET",B44)),
ISNUMBER(SEARCH("SMARTPH",B44)),
ISNUMBER(SEARCH("IMPRESORA",B44)),
ISNUMBER(SEARCH("MULTIFUNCIONAL",B44)),
ISNUMBER(SEARCH("AIO",B44))
),
"GANCHO",
"NORMAL"
)
)</f>
        <v>COMPLEMENTO</v>
      </c>
    </row>
    <row r="43" spans="1:12" x14ac:dyDescent="0.25">
      <c r="A43" s="3" t="s">
        <v>799</v>
      </c>
      <c r="B43" s="3" t="s">
        <v>800</v>
      </c>
      <c r="C43" s="1">
        <v>20</v>
      </c>
      <c r="D43" s="1">
        <v>1.8</v>
      </c>
      <c r="E43" s="1" t="s">
        <v>58</v>
      </c>
      <c r="F43" s="1" t="s">
        <v>3078</v>
      </c>
      <c r="G43" s="3" t="s">
        <v>801</v>
      </c>
      <c r="H43" s="11">
        <f>ROUND(
IF(L41="GANCHO",
   IF(I43&lt;=50,I43*1.1+4,IF(I43&lt;=120,I43*1.1+7,IF(I43&lt;=250,I43*1.1+11,I43*1.1+19))),
IF(L41="NORMAL",
   IF(I43&lt;=30,I43*1.15+2,IF(I43&lt;=80,I43*1.15+4,IF(I43&lt;=150,I43*1.15+6,I43*1.15+8))),
IF(L41="COMPLEMENTO",
   IF(I43&lt;=25,I43*1.25+1.5,IF(I43&lt;=60,I43*1.25+3,IF(I43&lt;=120,I43*1.25+4,I43*1.25+5))),
""))),2)</f>
        <v>10.74</v>
      </c>
      <c r="I43" s="9">
        <f>($K$2+0.02)*Tabla1[[#This Row],[PRECIO $]]*1.18</f>
        <v>7.3915199999999999</v>
      </c>
      <c r="J43" s="7">
        <f>+Tabla1[[#This Row],[PRECIO EN SOLES]]-Tabla1[[#This Row],[PC]]</f>
        <v>3.3484800000000003</v>
      </c>
      <c r="K43" s="15"/>
      <c r="L43" s="15" t="str">
        <f>IF(
OR(
ISNUMBER(SEARCH("BACKPACK",B45)),
ISNUMBER(SEARCH("MOCHILA",B45)),
ISNUMBER(SEARCH("FUNDA",B45)),
ISNUMBER(SEARCH("ESTUCHE",B45)),
ISNUMBER(SEARCH("BOOK COVER",B45)),
ISNUMBER(SEARCH("KEYBOARD PARA TABLET",B45)),
ISNUMBER(SEARCH("FLIP TABLET",B45)),
ISNUMBER(SEARCH("CASE FOR TABLET",B45)),
ISNUMBER(SEARCH("CABLE",B45)),
ISNUMBER(SEARCH("ADAPTADOR",B45)),
ISNUMBER(SEARCH("HUB",B45)),
ISNUMBER(SEARCH("DOCK",B45)),
ISNUMBER(SEARCH("MOUSE PAD",B45)),
ISNUMBER(SEARCH("MOUSEPAD",B45)),
ISNUMBER(SEARCH("SOPORTE",B45)),
ISNUMBER(SEARCH("STAND",B45)),
ISNUMBER(SEARCH("TRAVEL ADAPTER",B45)),
ISNUMBER(SEARCH("RJ45",B45)),
ISNUMBER(SEARCH("USB-C",B45)),
ISNUMBER(SEARCH("USB WIFI",B45)),
ISNUMBER(SEARCH("POWERBANK",B45)),
ISNUMBER(SEARCH("CARGADOR",B45)),
ISNUMBER(SEARCH("COOLER PARA NB",B45)),
ISNUMBER(SEARCH("SOPORTE PARA NB",B45)),
ISNUMBER(SEARCH("WEBCAM",B45)),
ISNUMBER(SEARCH("WEB CAM",B45)),
ISNUMBER(SEARCH("MOUSE",B45)),
ISNUMBER(SEARCH("TECLADO",B45))
),
"COMPLEMENTO",
IF(
OR(
LEFT(A45,2)="NB",
LEFT(A45,2)="PC",
LEFT(A45,2)="WS",
LEFT(A45,2)="TB",
LEFT(A45,3)="CEL",
LEFT(A45,3)="MON",
LEFT(A45,3)="PRE",
LEFT(A45,3)="PRH",
ISNUMBER(SEARCH("NOTEBOOK",B45)),
ISNUMBER(SEARCH("LAPTOP",B45)),
ISNUMBER(SEARCH("MONITOR",B45)),
ISNUMBER(SEARCH("TABLET",B45)),
ISNUMBER(SEARCH("SMARTPH",B45)),
ISNUMBER(SEARCH("IMPRESORA",B45)),
ISNUMBER(SEARCH("MULTIFUNCIONAL",B45)),
ISNUMBER(SEARCH("AIO",B45))
),
"GANCHO",
"NORMAL"
)
)</f>
        <v>COMPLEMENTO</v>
      </c>
    </row>
    <row r="44" spans="1:12" x14ac:dyDescent="0.25">
      <c r="A44" s="3" t="s">
        <v>802</v>
      </c>
      <c r="B44" s="3" t="s">
        <v>803</v>
      </c>
      <c r="C44" s="1">
        <v>20</v>
      </c>
      <c r="D44" s="1">
        <v>3.45</v>
      </c>
      <c r="E44" s="1" t="s">
        <v>58</v>
      </c>
      <c r="F44" s="1" t="s">
        <v>3079</v>
      </c>
      <c r="G44" s="3" t="s">
        <v>804</v>
      </c>
      <c r="H44" s="11">
        <f>ROUND(
IF(L42="GANCHO",
   IF(I44&lt;=50,I44*1.1+4,IF(I44&lt;=120,I44*1.1+7,IF(I44&lt;=250,I44*1.1+11,I44*1.1+19))),
IF(L42="NORMAL",
   IF(I44&lt;=30,I44*1.15+2,IF(I44&lt;=80,I44*1.15+4,IF(I44&lt;=150,I44*1.15+6,I44*1.15+8))),
IF(L42="COMPLEMENTO",
   IF(I44&lt;=25,I44*1.25+1.5,IF(I44&lt;=60,I44*1.25+3,IF(I44&lt;=120,I44*1.25+4,I44*1.25+5))),
""))),2)</f>
        <v>19.21</v>
      </c>
      <c r="I44" s="9">
        <f>($K$2+0.02)*Tabla1[[#This Row],[PRECIO $]]*1.18</f>
        <v>14.16708</v>
      </c>
      <c r="J44" s="7">
        <f>+Tabla1[[#This Row],[PRECIO EN SOLES]]-Tabla1[[#This Row],[PC]]</f>
        <v>5.0429200000000005</v>
      </c>
      <c r="K44" s="15"/>
      <c r="L44" s="15" t="str">
        <f>IF(
OR(
ISNUMBER(SEARCH("BACKPACK",B46)),
ISNUMBER(SEARCH("MOCHILA",B46)),
ISNUMBER(SEARCH("FUNDA",B46)),
ISNUMBER(SEARCH("ESTUCHE",B46)),
ISNUMBER(SEARCH("BOOK COVER",B46)),
ISNUMBER(SEARCH("KEYBOARD PARA TABLET",B46)),
ISNUMBER(SEARCH("FLIP TABLET",B46)),
ISNUMBER(SEARCH("CASE FOR TABLET",B46)),
ISNUMBER(SEARCH("CABLE",B46)),
ISNUMBER(SEARCH("ADAPTADOR",B46)),
ISNUMBER(SEARCH("HUB",B46)),
ISNUMBER(SEARCH("DOCK",B46)),
ISNUMBER(SEARCH("MOUSE PAD",B46)),
ISNUMBER(SEARCH("MOUSEPAD",B46)),
ISNUMBER(SEARCH("SOPORTE",B46)),
ISNUMBER(SEARCH("STAND",B46)),
ISNUMBER(SEARCH("TRAVEL ADAPTER",B46)),
ISNUMBER(SEARCH("RJ45",B46)),
ISNUMBER(SEARCH("USB-C",B46)),
ISNUMBER(SEARCH("USB WIFI",B46)),
ISNUMBER(SEARCH("POWERBANK",B46)),
ISNUMBER(SEARCH("CARGADOR",B46)),
ISNUMBER(SEARCH("COOLER PARA NB",B46)),
ISNUMBER(SEARCH("SOPORTE PARA NB",B46)),
ISNUMBER(SEARCH("WEBCAM",B46)),
ISNUMBER(SEARCH("WEB CAM",B46)),
ISNUMBER(SEARCH("MOUSE",B46)),
ISNUMBER(SEARCH("TECLADO",B46))
),
"COMPLEMENTO",
IF(
OR(
LEFT(A46,2)="NB",
LEFT(A46,2)="PC",
LEFT(A46,2)="WS",
LEFT(A46,2)="TB",
LEFT(A46,3)="CEL",
LEFT(A46,3)="MON",
LEFT(A46,3)="PRE",
LEFT(A46,3)="PRH",
ISNUMBER(SEARCH("NOTEBOOK",B46)),
ISNUMBER(SEARCH("LAPTOP",B46)),
ISNUMBER(SEARCH("MONITOR",B46)),
ISNUMBER(SEARCH("TABLET",B46)),
ISNUMBER(SEARCH("SMARTPH",B46)),
ISNUMBER(SEARCH("IMPRESORA",B46)),
ISNUMBER(SEARCH("MULTIFUNCIONAL",B46)),
ISNUMBER(SEARCH("AIO",B46))
),
"GANCHO",
"NORMAL"
)
)</f>
        <v>COMPLEMENTO</v>
      </c>
    </row>
    <row r="45" spans="1:12" x14ac:dyDescent="0.25">
      <c r="A45" s="3" t="s">
        <v>805</v>
      </c>
      <c r="B45" s="3" t="s">
        <v>806</v>
      </c>
      <c r="C45" s="1">
        <v>20</v>
      </c>
      <c r="D45" s="1">
        <v>2.2000000000000002</v>
      </c>
      <c r="E45" s="1" t="s">
        <v>58</v>
      </c>
      <c r="F45" s="1" t="s">
        <v>3080</v>
      </c>
      <c r="G45" s="3" t="s">
        <v>807</v>
      </c>
      <c r="H45" s="11">
        <f>ROUND(
IF(L43="GANCHO",
   IF(I45&lt;=50,I45*1.1+4,IF(I45&lt;=120,I45*1.1+7,IF(I45&lt;=250,I45*1.1+11,I45*1.1+19))),
IF(L43="NORMAL",
   IF(I45&lt;=30,I45*1.15+2,IF(I45&lt;=80,I45*1.15+4,IF(I45&lt;=150,I45*1.15+6,I45*1.15+8))),
IF(L43="COMPLEMENTO",
   IF(I45&lt;=25,I45*1.25+1.5,IF(I45&lt;=60,I45*1.25+3,IF(I45&lt;=120,I45*1.25+4,I45*1.25+5))),
""))),2)</f>
        <v>12.79</v>
      </c>
      <c r="I45" s="9">
        <f>($K$2+0.02)*Tabla1[[#This Row],[PRECIO $]]*1.18</f>
        <v>9.0340799999999994</v>
      </c>
      <c r="J45" s="7">
        <f>+Tabla1[[#This Row],[PRECIO EN SOLES]]-Tabla1[[#This Row],[PC]]</f>
        <v>3.7559199999999997</v>
      </c>
      <c r="K45" s="15"/>
      <c r="L45" s="15" t="str">
        <f>IF(
OR(
ISNUMBER(SEARCH("BACKPACK",B47)),
ISNUMBER(SEARCH("MOCHILA",B47)),
ISNUMBER(SEARCH("FUNDA",B47)),
ISNUMBER(SEARCH("ESTUCHE",B47)),
ISNUMBER(SEARCH("BOOK COVER",B47)),
ISNUMBER(SEARCH("KEYBOARD PARA TABLET",B47)),
ISNUMBER(SEARCH("FLIP TABLET",B47)),
ISNUMBER(SEARCH("CASE FOR TABLET",B47)),
ISNUMBER(SEARCH("CABLE",B47)),
ISNUMBER(SEARCH("ADAPTADOR",B47)),
ISNUMBER(SEARCH("HUB",B47)),
ISNUMBER(SEARCH("DOCK",B47)),
ISNUMBER(SEARCH("MOUSE PAD",B47)),
ISNUMBER(SEARCH("MOUSEPAD",B47)),
ISNUMBER(SEARCH("SOPORTE",B47)),
ISNUMBER(SEARCH("STAND",B47)),
ISNUMBER(SEARCH("TRAVEL ADAPTER",B47)),
ISNUMBER(SEARCH("RJ45",B47)),
ISNUMBER(SEARCH("USB-C",B47)),
ISNUMBER(SEARCH("USB WIFI",B47)),
ISNUMBER(SEARCH("POWERBANK",B47)),
ISNUMBER(SEARCH("CARGADOR",B47)),
ISNUMBER(SEARCH("COOLER PARA NB",B47)),
ISNUMBER(SEARCH("SOPORTE PARA NB",B47)),
ISNUMBER(SEARCH("WEBCAM",B47)),
ISNUMBER(SEARCH("WEB CAM",B47)),
ISNUMBER(SEARCH("MOUSE",B47)),
ISNUMBER(SEARCH("TECLADO",B47))
),
"COMPLEMENTO",
IF(
OR(
LEFT(A47,2)="NB",
LEFT(A47,2)="PC",
LEFT(A47,2)="WS",
LEFT(A47,2)="TB",
LEFT(A47,3)="CEL",
LEFT(A47,3)="MON",
LEFT(A47,3)="PRE",
LEFT(A47,3)="PRH",
ISNUMBER(SEARCH("NOTEBOOK",B47)),
ISNUMBER(SEARCH("LAPTOP",B47)),
ISNUMBER(SEARCH("MONITOR",B47)),
ISNUMBER(SEARCH("TABLET",B47)),
ISNUMBER(SEARCH("SMARTPH",B47)),
ISNUMBER(SEARCH("IMPRESORA",B47)),
ISNUMBER(SEARCH("MULTIFUNCIONAL",B47)),
ISNUMBER(SEARCH("AIO",B47))
),
"GANCHO",
"NORMAL"
)
)</f>
        <v>COMPLEMENTO</v>
      </c>
    </row>
    <row r="46" spans="1:12" x14ac:dyDescent="0.25">
      <c r="A46" s="3" t="s">
        <v>808</v>
      </c>
      <c r="B46" s="3" t="s">
        <v>809</v>
      </c>
      <c r="C46" s="1">
        <v>20</v>
      </c>
      <c r="D46" s="1">
        <v>2.35</v>
      </c>
      <c r="E46" s="1" t="s">
        <v>58</v>
      </c>
      <c r="F46" s="1" t="s">
        <v>3081</v>
      </c>
      <c r="G46" s="3" t="s">
        <v>810</v>
      </c>
      <c r="H46" s="11">
        <f>ROUND(
IF(L44="GANCHO",
   IF(I46&lt;=50,I46*1.1+4,IF(I46&lt;=120,I46*1.1+7,IF(I46&lt;=250,I46*1.1+11,I46*1.1+19))),
IF(L44="NORMAL",
   IF(I46&lt;=30,I46*1.15+2,IF(I46&lt;=80,I46*1.15+4,IF(I46&lt;=150,I46*1.15+6,I46*1.15+8))),
IF(L44="COMPLEMENTO",
   IF(I46&lt;=25,I46*1.25+1.5,IF(I46&lt;=60,I46*1.25+3,IF(I46&lt;=120,I46*1.25+4,I46*1.25+5))),
""))),2)</f>
        <v>13.56</v>
      </c>
      <c r="I46" s="9">
        <f>($K$2+0.02)*Tabla1[[#This Row],[PRECIO $]]*1.18</f>
        <v>9.6500400000000006</v>
      </c>
      <c r="J46" s="7">
        <f>+Tabla1[[#This Row],[PRECIO EN SOLES]]-Tabla1[[#This Row],[PC]]</f>
        <v>3.9099599999999999</v>
      </c>
      <c r="K46" s="15"/>
      <c r="L46" s="15" t="str">
        <f>IF(
OR(
ISNUMBER(SEARCH("BACKPACK",B48)),
ISNUMBER(SEARCH("MOCHILA",B48)),
ISNUMBER(SEARCH("FUNDA",B48)),
ISNUMBER(SEARCH("ESTUCHE",B48)),
ISNUMBER(SEARCH("BOOK COVER",B48)),
ISNUMBER(SEARCH("KEYBOARD PARA TABLET",B48)),
ISNUMBER(SEARCH("FLIP TABLET",B48)),
ISNUMBER(SEARCH("CASE FOR TABLET",B48)),
ISNUMBER(SEARCH("CABLE",B48)),
ISNUMBER(SEARCH("ADAPTADOR",B48)),
ISNUMBER(SEARCH("HUB",B48)),
ISNUMBER(SEARCH("DOCK",B48)),
ISNUMBER(SEARCH("MOUSE PAD",B48)),
ISNUMBER(SEARCH("MOUSEPAD",B48)),
ISNUMBER(SEARCH("SOPORTE",B48)),
ISNUMBER(SEARCH("STAND",B48)),
ISNUMBER(SEARCH("TRAVEL ADAPTER",B48)),
ISNUMBER(SEARCH("RJ45",B48)),
ISNUMBER(SEARCH("USB-C",B48)),
ISNUMBER(SEARCH("USB WIFI",B48)),
ISNUMBER(SEARCH("POWERBANK",B48)),
ISNUMBER(SEARCH("CARGADOR",B48)),
ISNUMBER(SEARCH("COOLER PARA NB",B48)),
ISNUMBER(SEARCH("SOPORTE PARA NB",B48)),
ISNUMBER(SEARCH("WEBCAM",B48)),
ISNUMBER(SEARCH("WEB CAM",B48)),
ISNUMBER(SEARCH("MOUSE",B48)),
ISNUMBER(SEARCH("TECLADO",B48))
),
"COMPLEMENTO",
IF(
OR(
LEFT(A48,2)="NB",
LEFT(A48,2)="PC",
LEFT(A48,2)="WS",
LEFT(A48,2)="TB",
LEFT(A48,3)="CEL",
LEFT(A48,3)="MON",
LEFT(A48,3)="PRE",
LEFT(A48,3)="PRH",
ISNUMBER(SEARCH("NOTEBOOK",B48)),
ISNUMBER(SEARCH("LAPTOP",B48)),
ISNUMBER(SEARCH("MONITOR",B48)),
ISNUMBER(SEARCH("TABLET",B48)),
ISNUMBER(SEARCH("SMARTPH",B48)),
ISNUMBER(SEARCH("IMPRESORA",B48)),
ISNUMBER(SEARCH("MULTIFUNCIONAL",B48)),
ISNUMBER(SEARCH("AIO",B48))
),
"GANCHO",
"NORMAL"
)
)</f>
        <v>COMPLEMENTO</v>
      </c>
    </row>
    <row r="47" spans="1:12" x14ac:dyDescent="0.25">
      <c r="A47" s="3" t="s">
        <v>811</v>
      </c>
      <c r="B47" s="3" t="s">
        <v>812</v>
      </c>
      <c r="C47" s="1">
        <v>0</v>
      </c>
      <c r="D47" s="1">
        <v>22.5</v>
      </c>
      <c r="E47" s="1" t="s">
        <v>57</v>
      </c>
      <c r="F47" s="1" t="s">
        <v>3082</v>
      </c>
      <c r="G47" s="3"/>
      <c r="H47" s="11">
        <f>ROUND(
IF(L45="GANCHO",
   IF(I47&lt;=50,I47*1.1+4,IF(I47&lt;=120,I47*1.1+7,IF(I47&lt;=250,I47*1.1+11,I47*1.1+19))),
IF(L45="NORMAL",
   IF(I47&lt;=30,I47*1.15+2,IF(I47&lt;=80,I47*1.15+4,IF(I47&lt;=150,I47*1.15+6,I47*1.15+8))),
IF(L45="COMPLEMENTO",
   IF(I47&lt;=25,I47*1.25+1.5,IF(I47&lt;=60,I47*1.25+3,IF(I47&lt;=120,I47*1.25+4,I47*1.25+5))),
""))),2)</f>
        <v>119.49</v>
      </c>
      <c r="I47" s="9">
        <f>($K$2+0.02)*Tabla1[[#This Row],[PRECIO $]]*1.18</f>
        <v>92.393999999999991</v>
      </c>
      <c r="J47" s="7">
        <f>+Tabla1[[#This Row],[PRECIO EN SOLES]]-Tabla1[[#This Row],[PC]]</f>
        <v>27.096000000000004</v>
      </c>
      <c r="K47" s="15"/>
      <c r="L47" s="15" t="str">
        <f>IF(
OR(
ISNUMBER(SEARCH("BACKPACK",B49)),
ISNUMBER(SEARCH("MOCHILA",B49)),
ISNUMBER(SEARCH("FUNDA",B49)),
ISNUMBER(SEARCH("ESTUCHE",B49)),
ISNUMBER(SEARCH("BOOK COVER",B49)),
ISNUMBER(SEARCH("KEYBOARD PARA TABLET",B49)),
ISNUMBER(SEARCH("FLIP TABLET",B49)),
ISNUMBER(SEARCH("CASE FOR TABLET",B49)),
ISNUMBER(SEARCH("CABLE",B49)),
ISNUMBER(SEARCH("ADAPTADOR",B49)),
ISNUMBER(SEARCH("HUB",B49)),
ISNUMBER(SEARCH("DOCK",B49)),
ISNUMBER(SEARCH("MOUSE PAD",B49)),
ISNUMBER(SEARCH("MOUSEPAD",B49)),
ISNUMBER(SEARCH("SOPORTE",B49)),
ISNUMBER(SEARCH("STAND",B49)),
ISNUMBER(SEARCH("TRAVEL ADAPTER",B49)),
ISNUMBER(SEARCH("RJ45",B49)),
ISNUMBER(SEARCH("USB-C",B49)),
ISNUMBER(SEARCH("USB WIFI",B49)),
ISNUMBER(SEARCH("POWERBANK",B49)),
ISNUMBER(SEARCH("CARGADOR",B49)),
ISNUMBER(SEARCH("COOLER PARA NB",B49)),
ISNUMBER(SEARCH("SOPORTE PARA NB",B49)),
ISNUMBER(SEARCH("WEBCAM",B49)),
ISNUMBER(SEARCH("WEB CAM",B49)),
ISNUMBER(SEARCH("MOUSE",B49)),
ISNUMBER(SEARCH("TECLADO",B49))
),
"COMPLEMENTO",
IF(
OR(
LEFT(A49,2)="NB",
LEFT(A49,2)="PC",
LEFT(A49,2)="WS",
LEFT(A49,2)="TB",
LEFT(A49,3)="CEL",
LEFT(A49,3)="MON",
LEFT(A49,3)="PRE",
LEFT(A49,3)="PRH",
ISNUMBER(SEARCH("NOTEBOOK",B49)),
ISNUMBER(SEARCH("LAPTOP",B49)),
ISNUMBER(SEARCH("MONITOR",B49)),
ISNUMBER(SEARCH("TABLET",B49)),
ISNUMBER(SEARCH("SMARTPH",B49)),
ISNUMBER(SEARCH("IMPRESORA",B49)),
ISNUMBER(SEARCH("MULTIFUNCIONAL",B49)),
ISNUMBER(SEARCH("AIO",B49))
),
"GANCHO",
"NORMAL"
)
)</f>
        <v>COMPLEMENTO</v>
      </c>
    </row>
    <row r="48" spans="1:12" x14ac:dyDescent="0.25">
      <c r="A48" s="3" t="s">
        <v>59</v>
      </c>
      <c r="B48" s="3" t="s">
        <v>60</v>
      </c>
      <c r="C48" s="1">
        <v>20</v>
      </c>
      <c r="D48" s="1">
        <v>10.1</v>
      </c>
      <c r="E48" s="1" t="s">
        <v>52</v>
      </c>
      <c r="F48" s="1" t="s">
        <v>3083</v>
      </c>
      <c r="G48" s="3" t="s">
        <v>61</v>
      </c>
      <c r="H48" s="11">
        <f>ROUND(
IF(L46="GANCHO",
   IF(I48&lt;=50,I48*1.1+4,IF(I48&lt;=120,I48*1.1+7,IF(I48&lt;=250,I48*1.1+11,I48*1.1+19))),
IF(L46="NORMAL",
   IF(I48&lt;=30,I48*1.15+2,IF(I48&lt;=80,I48*1.15+4,IF(I48&lt;=150,I48*1.15+6,I48*1.15+8))),
IF(L46="COMPLEMENTO",
   IF(I48&lt;=25,I48*1.25+1.5,IF(I48&lt;=60,I48*1.25+3,IF(I48&lt;=120,I48*1.25+4,I48*1.25+5))),
""))),2)</f>
        <v>54.84</v>
      </c>
      <c r="I48" s="9">
        <f>($K$2+0.02)*Tabla1[[#This Row],[PRECIO $]]*1.18</f>
        <v>41.474639999999994</v>
      </c>
      <c r="J48" s="7">
        <f>+Tabla1[[#This Row],[PRECIO EN SOLES]]-Tabla1[[#This Row],[PC]]</f>
        <v>13.36536000000001</v>
      </c>
      <c r="K48" s="15"/>
      <c r="L48" s="15" t="str">
        <f>IF(
OR(
ISNUMBER(SEARCH("BACKPACK",B50)),
ISNUMBER(SEARCH("MOCHILA",B50)),
ISNUMBER(SEARCH("FUNDA",B50)),
ISNUMBER(SEARCH("ESTUCHE",B50)),
ISNUMBER(SEARCH("BOOK COVER",B50)),
ISNUMBER(SEARCH("KEYBOARD PARA TABLET",B50)),
ISNUMBER(SEARCH("FLIP TABLET",B50)),
ISNUMBER(SEARCH("CASE FOR TABLET",B50)),
ISNUMBER(SEARCH("CABLE",B50)),
ISNUMBER(SEARCH("ADAPTADOR",B50)),
ISNUMBER(SEARCH("HUB",B50)),
ISNUMBER(SEARCH("DOCK",B50)),
ISNUMBER(SEARCH("MOUSE PAD",B50)),
ISNUMBER(SEARCH("MOUSEPAD",B50)),
ISNUMBER(SEARCH("SOPORTE",B50)),
ISNUMBER(SEARCH("STAND",B50)),
ISNUMBER(SEARCH("TRAVEL ADAPTER",B50)),
ISNUMBER(SEARCH("RJ45",B50)),
ISNUMBER(SEARCH("USB-C",B50)),
ISNUMBER(SEARCH("USB WIFI",B50)),
ISNUMBER(SEARCH("POWERBANK",B50)),
ISNUMBER(SEARCH("CARGADOR",B50)),
ISNUMBER(SEARCH("COOLER PARA NB",B50)),
ISNUMBER(SEARCH("SOPORTE PARA NB",B50)),
ISNUMBER(SEARCH("WEBCAM",B50)),
ISNUMBER(SEARCH("WEB CAM",B50)),
ISNUMBER(SEARCH("MOUSE",B50)),
ISNUMBER(SEARCH("TECLADO",B50))
),
"COMPLEMENTO",
IF(
OR(
LEFT(A50,2)="NB",
LEFT(A50,2)="PC",
LEFT(A50,2)="WS",
LEFT(A50,2)="TB",
LEFT(A50,3)="CEL",
LEFT(A50,3)="MON",
LEFT(A50,3)="PRE",
LEFT(A50,3)="PRH",
ISNUMBER(SEARCH("NOTEBOOK",B50)),
ISNUMBER(SEARCH("LAPTOP",B50)),
ISNUMBER(SEARCH("MONITOR",B50)),
ISNUMBER(SEARCH("TABLET",B50)),
ISNUMBER(SEARCH("SMARTPH",B50)),
ISNUMBER(SEARCH("IMPRESORA",B50)),
ISNUMBER(SEARCH("MULTIFUNCIONAL",B50)),
ISNUMBER(SEARCH("AIO",B50))
),
"GANCHO",
"NORMAL"
)
)</f>
        <v>COMPLEMENTO</v>
      </c>
    </row>
    <row r="49" spans="1:12" x14ac:dyDescent="0.25">
      <c r="A49" s="3" t="s">
        <v>62</v>
      </c>
      <c r="B49" s="3" t="s">
        <v>63</v>
      </c>
      <c r="C49" s="1">
        <v>20</v>
      </c>
      <c r="D49" s="1">
        <v>2.2000000000000002</v>
      </c>
      <c r="E49" s="1" t="s">
        <v>52</v>
      </c>
      <c r="F49" s="1" t="s">
        <v>3084</v>
      </c>
      <c r="G49" s="3" t="s">
        <v>64</v>
      </c>
      <c r="H49" s="11">
        <f>ROUND(
IF(L47="GANCHO",
   IF(I49&lt;=50,I49*1.1+4,IF(I49&lt;=120,I49*1.1+7,IF(I49&lt;=250,I49*1.1+11,I49*1.1+19))),
IF(L47="NORMAL",
   IF(I49&lt;=30,I49*1.15+2,IF(I49&lt;=80,I49*1.15+4,IF(I49&lt;=150,I49*1.15+6,I49*1.15+8))),
IF(L47="COMPLEMENTO",
   IF(I49&lt;=25,I49*1.25+1.5,IF(I49&lt;=60,I49*1.25+3,IF(I49&lt;=120,I49*1.25+4,I49*1.25+5))),
""))),2)</f>
        <v>12.79</v>
      </c>
      <c r="I49" s="9">
        <f>($K$2+0.02)*Tabla1[[#This Row],[PRECIO $]]*1.18</f>
        <v>9.0340799999999994</v>
      </c>
      <c r="J49" s="7">
        <f>+Tabla1[[#This Row],[PRECIO EN SOLES]]-Tabla1[[#This Row],[PC]]</f>
        <v>3.7559199999999997</v>
      </c>
      <c r="K49" s="15"/>
      <c r="L49" s="15" t="str">
        <f>IF(
OR(
ISNUMBER(SEARCH("BACKPACK",B51)),
ISNUMBER(SEARCH("MOCHILA",B51)),
ISNUMBER(SEARCH("FUNDA",B51)),
ISNUMBER(SEARCH("ESTUCHE",B51)),
ISNUMBER(SEARCH("BOOK COVER",B51)),
ISNUMBER(SEARCH("KEYBOARD PARA TABLET",B51)),
ISNUMBER(SEARCH("FLIP TABLET",B51)),
ISNUMBER(SEARCH("CASE FOR TABLET",B51)),
ISNUMBER(SEARCH("CABLE",B51)),
ISNUMBER(SEARCH("ADAPTADOR",B51)),
ISNUMBER(SEARCH("HUB",B51)),
ISNUMBER(SEARCH("DOCK",B51)),
ISNUMBER(SEARCH("MOUSE PAD",B51)),
ISNUMBER(SEARCH("MOUSEPAD",B51)),
ISNUMBER(SEARCH("SOPORTE",B51)),
ISNUMBER(SEARCH("STAND",B51)),
ISNUMBER(SEARCH("TRAVEL ADAPTER",B51)),
ISNUMBER(SEARCH("RJ45",B51)),
ISNUMBER(SEARCH("USB-C",B51)),
ISNUMBER(SEARCH("USB WIFI",B51)),
ISNUMBER(SEARCH("POWERBANK",B51)),
ISNUMBER(SEARCH("CARGADOR",B51)),
ISNUMBER(SEARCH("COOLER PARA NB",B51)),
ISNUMBER(SEARCH("SOPORTE PARA NB",B51)),
ISNUMBER(SEARCH("WEBCAM",B51)),
ISNUMBER(SEARCH("WEB CAM",B51)),
ISNUMBER(SEARCH("MOUSE",B51)),
ISNUMBER(SEARCH("TECLADO",B51))
),
"COMPLEMENTO",
IF(
OR(
LEFT(A51,2)="NB",
LEFT(A51,2)="PC",
LEFT(A51,2)="WS",
LEFT(A51,2)="TB",
LEFT(A51,3)="CEL",
LEFT(A51,3)="MON",
LEFT(A51,3)="PRE",
LEFT(A51,3)="PRH",
ISNUMBER(SEARCH("NOTEBOOK",B51)),
ISNUMBER(SEARCH("LAPTOP",B51)),
ISNUMBER(SEARCH("MONITOR",B51)),
ISNUMBER(SEARCH("TABLET",B51)),
ISNUMBER(SEARCH("SMARTPH",B51)),
ISNUMBER(SEARCH("IMPRESORA",B51)),
ISNUMBER(SEARCH("MULTIFUNCIONAL",B51)),
ISNUMBER(SEARCH("AIO",B51))
),
"GANCHO",
"NORMAL"
)
)</f>
        <v>COMPLEMENTO</v>
      </c>
    </row>
    <row r="50" spans="1:12" x14ac:dyDescent="0.25">
      <c r="A50" s="3" t="s">
        <v>65</v>
      </c>
      <c r="B50" s="3" t="s">
        <v>66</v>
      </c>
      <c r="C50" s="1">
        <v>20</v>
      </c>
      <c r="D50" s="1">
        <v>1.55</v>
      </c>
      <c r="E50" s="1" t="s">
        <v>52</v>
      </c>
      <c r="F50" s="1" t="s">
        <v>3085</v>
      </c>
      <c r="G50" s="3" t="s">
        <v>67</v>
      </c>
      <c r="H50" s="11">
        <f>ROUND(
IF(L48="GANCHO",
   IF(I50&lt;=50,I50*1.1+4,IF(I50&lt;=120,I50*1.1+7,IF(I50&lt;=250,I50*1.1+11,I50*1.1+19))),
IF(L48="NORMAL",
   IF(I50&lt;=30,I50*1.15+2,IF(I50&lt;=80,I50*1.15+4,IF(I50&lt;=150,I50*1.15+6,I50*1.15+8))),
IF(L48="COMPLEMENTO",
   IF(I50&lt;=25,I50*1.25+1.5,IF(I50&lt;=60,I50*1.25+3,IF(I50&lt;=120,I50*1.25+4,I50*1.25+5))),
""))),2)</f>
        <v>9.4600000000000009</v>
      </c>
      <c r="I50" s="9">
        <f>($K$2+0.02)*Tabla1[[#This Row],[PRECIO $]]*1.18</f>
        <v>6.3649199999999997</v>
      </c>
      <c r="J50" s="7">
        <f>+Tabla1[[#This Row],[PRECIO EN SOLES]]-Tabla1[[#This Row],[PC]]</f>
        <v>3.0950800000000012</v>
      </c>
      <c r="K50" s="15"/>
      <c r="L50" s="15" t="str">
        <f>IF(
OR(
ISNUMBER(SEARCH("BACKPACK",B52)),
ISNUMBER(SEARCH("MOCHILA",B52)),
ISNUMBER(SEARCH("FUNDA",B52)),
ISNUMBER(SEARCH("ESTUCHE",B52)),
ISNUMBER(SEARCH("BOOK COVER",B52)),
ISNUMBER(SEARCH("KEYBOARD PARA TABLET",B52)),
ISNUMBER(SEARCH("FLIP TABLET",B52)),
ISNUMBER(SEARCH("CASE FOR TABLET",B52)),
ISNUMBER(SEARCH("CABLE",B52)),
ISNUMBER(SEARCH("ADAPTADOR",B52)),
ISNUMBER(SEARCH("HUB",B52)),
ISNUMBER(SEARCH("DOCK",B52)),
ISNUMBER(SEARCH("MOUSE PAD",B52)),
ISNUMBER(SEARCH("MOUSEPAD",B52)),
ISNUMBER(SEARCH("SOPORTE",B52)),
ISNUMBER(SEARCH("STAND",B52)),
ISNUMBER(SEARCH("TRAVEL ADAPTER",B52)),
ISNUMBER(SEARCH("RJ45",B52)),
ISNUMBER(SEARCH("USB-C",B52)),
ISNUMBER(SEARCH("USB WIFI",B52)),
ISNUMBER(SEARCH("POWERBANK",B52)),
ISNUMBER(SEARCH("CARGADOR",B52)),
ISNUMBER(SEARCH("COOLER PARA NB",B52)),
ISNUMBER(SEARCH("SOPORTE PARA NB",B52)),
ISNUMBER(SEARCH("WEBCAM",B52)),
ISNUMBER(SEARCH("WEB CAM",B52)),
ISNUMBER(SEARCH("MOUSE",B52)),
ISNUMBER(SEARCH("TECLADO",B52))
),
"COMPLEMENTO",
IF(
OR(
LEFT(A52,2)="NB",
LEFT(A52,2)="PC",
LEFT(A52,2)="WS",
LEFT(A52,2)="TB",
LEFT(A52,3)="CEL",
LEFT(A52,3)="MON",
LEFT(A52,3)="PRE",
LEFT(A52,3)="PRH",
ISNUMBER(SEARCH("NOTEBOOK",B52)),
ISNUMBER(SEARCH("LAPTOP",B52)),
ISNUMBER(SEARCH("MONITOR",B52)),
ISNUMBER(SEARCH("TABLET",B52)),
ISNUMBER(SEARCH("SMARTPH",B52)),
ISNUMBER(SEARCH("IMPRESORA",B52)),
ISNUMBER(SEARCH("MULTIFUNCIONAL",B52)),
ISNUMBER(SEARCH("AIO",B52))
),
"GANCHO",
"NORMAL"
)
)</f>
        <v>COMPLEMENTO</v>
      </c>
    </row>
    <row r="51" spans="1:12" x14ac:dyDescent="0.25">
      <c r="A51" s="3" t="s">
        <v>813</v>
      </c>
      <c r="B51" s="3" t="s">
        <v>814</v>
      </c>
      <c r="C51" s="1">
        <v>7</v>
      </c>
      <c r="D51" s="1">
        <v>1.95</v>
      </c>
      <c r="E51" s="1" t="s">
        <v>52</v>
      </c>
      <c r="F51" s="1" t="s">
        <v>3086</v>
      </c>
      <c r="G51" s="3" t="s">
        <v>815</v>
      </c>
      <c r="H51" s="11">
        <f>ROUND(
IF(L49="GANCHO",
   IF(I51&lt;=50,I51*1.1+4,IF(I51&lt;=120,I51*1.1+7,IF(I51&lt;=250,I51*1.1+11,I51*1.1+19))),
IF(L49="NORMAL",
   IF(I51&lt;=30,I51*1.15+2,IF(I51&lt;=80,I51*1.15+4,IF(I51&lt;=150,I51*1.15+6,I51*1.15+8))),
IF(L49="COMPLEMENTO",
   IF(I51&lt;=25,I51*1.25+1.5,IF(I51&lt;=60,I51*1.25+3,IF(I51&lt;=120,I51*1.25+4,I51*1.25+5))),
""))),2)</f>
        <v>11.51</v>
      </c>
      <c r="I51" s="9">
        <f>($K$2+0.02)*Tabla1[[#This Row],[PRECIO $]]*1.18</f>
        <v>8.0074799999999993</v>
      </c>
      <c r="J51" s="7">
        <f>+Tabla1[[#This Row],[PRECIO EN SOLES]]-Tabla1[[#This Row],[PC]]</f>
        <v>3.5025200000000005</v>
      </c>
      <c r="K51" s="15"/>
      <c r="L51" s="15" t="str">
        <f>IF(
OR(
ISNUMBER(SEARCH("BACKPACK",B53)),
ISNUMBER(SEARCH("MOCHILA",B53)),
ISNUMBER(SEARCH("FUNDA",B53)),
ISNUMBER(SEARCH("ESTUCHE",B53)),
ISNUMBER(SEARCH("BOOK COVER",B53)),
ISNUMBER(SEARCH("KEYBOARD PARA TABLET",B53)),
ISNUMBER(SEARCH("FLIP TABLET",B53)),
ISNUMBER(SEARCH("CASE FOR TABLET",B53)),
ISNUMBER(SEARCH("CABLE",B53)),
ISNUMBER(SEARCH("ADAPTADOR",B53)),
ISNUMBER(SEARCH("HUB",B53)),
ISNUMBER(SEARCH("DOCK",B53)),
ISNUMBER(SEARCH("MOUSE PAD",B53)),
ISNUMBER(SEARCH("MOUSEPAD",B53)),
ISNUMBER(SEARCH("SOPORTE",B53)),
ISNUMBER(SEARCH("STAND",B53)),
ISNUMBER(SEARCH("TRAVEL ADAPTER",B53)),
ISNUMBER(SEARCH("RJ45",B53)),
ISNUMBER(SEARCH("USB-C",B53)),
ISNUMBER(SEARCH("USB WIFI",B53)),
ISNUMBER(SEARCH("POWERBANK",B53)),
ISNUMBER(SEARCH("CARGADOR",B53)),
ISNUMBER(SEARCH("COOLER PARA NB",B53)),
ISNUMBER(SEARCH("SOPORTE PARA NB",B53)),
ISNUMBER(SEARCH("WEBCAM",B53)),
ISNUMBER(SEARCH("WEB CAM",B53)),
ISNUMBER(SEARCH("MOUSE",B53)),
ISNUMBER(SEARCH("TECLADO",B53))
),
"COMPLEMENTO",
IF(
OR(
LEFT(A53,2)="NB",
LEFT(A53,2)="PC",
LEFT(A53,2)="WS",
LEFT(A53,2)="TB",
LEFT(A53,3)="CEL",
LEFT(A53,3)="MON",
LEFT(A53,3)="PRE",
LEFT(A53,3)="PRH",
ISNUMBER(SEARCH("NOTEBOOK",B53)),
ISNUMBER(SEARCH("LAPTOP",B53)),
ISNUMBER(SEARCH("MONITOR",B53)),
ISNUMBER(SEARCH("TABLET",B53)),
ISNUMBER(SEARCH("SMARTPH",B53)),
ISNUMBER(SEARCH("IMPRESORA",B53)),
ISNUMBER(SEARCH("MULTIFUNCIONAL",B53)),
ISNUMBER(SEARCH("AIO",B53))
),
"GANCHO",
"NORMAL"
)
)</f>
        <v>COMPLEMENTO</v>
      </c>
    </row>
    <row r="52" spans="1:12" x14ac:dyDescent="0.25">
      <c r="A52" s="3" t="s">
        <v>68</v>
      </c>
      <c r="B52" s="3" t="s">
        <v>69</v>
      </c>
      <c r="C52" s="1">
        <v>20</v>
      </c>
      <c r="D52" s="1">
        <v>6.22</v>
      </c>
      <c r="E52" s="1" t="s">
        <v>52</v>
      </c>
      <c r="F52" s="1" t="s">
        <v>3087</v>
      </c>
      <c r="G52" s="3" t="s">
        <v>70</v>
      </c>
      <c r="H52" s="11">
        <f>ROUND(
IF(L50="GANCHO",
   IF(I52&lt;=50,I52*1.1+4,IF(I52&lt;=120,I52*1.1+7,IF(I52&lt;=250,I52*1.1+11,I52*1.1+19))),
IF(L50="NORMAL",
   IF(I52&lt;=30,I52*1.15+2,IF(I52&lt;=80,I52*1.15+4,IF(I52&lt;=150,I52*1.15+6,I52*1.15+8))),
IF(L50="COMPLEMENTO",
   IF(I52&lt;=25,I52*1.25+1.5,IF(I52&lt;=60,I52*1.25+3,IF(I52&lt;=120,I52*1.25+4,I52*1.25+5))),
""))),2)</f>
        <v>34.93</v>
      </c>
      <c r="I52" s="9">
        <f>($K$2+0.02)*Tabla1[[#This Row],[PRECIO $]]*1.18</f>
        <v>25.541807999999996</v>
      </c>
      <c r="J52" s="7">
        <f>+Tabla1[[#This Row],[PRECIO EN SOLES]]-Tabla1[[#This Row],[PC]]</f>
        <v>9.3881920000000036</v>
      </c>
      <c r="K52" s="15"/>
      <c r="L52" s="15" t="str">
        <f>IF(
OR(
ISNUMBER(SEARCH("BACKPACK",B54)),
ISNUMBER(SEARCH("MOCHILA",B54)),
ISNUMBER(SEARCH("FUNDA",B54)),
ISNUMBER(SEARCH("ESTUCHE",B54)),
ISNUMBER(SEARCH("BOOK COVER",B54)),
ISNUMBER(SEARCH("KEYBOARD PARA TABLET",B54)),
ISNUMBER(SEARCH("FLIP TABLET",B54)),
ISNUMBER(SEARCH("CASE FOR TABLET",B54)),
ISNUMBER(SEARCH("CABLE",B54)),
ISNUMBER(SEARCH("ADAPTADOR",B54)),
ISNUMBER(SEARCH("HUB",B54)),
ISNUMBER(SEARCH("DOCK",B54)),
ISNUMBER(SEARCH("MOUSE PAD",B54)),
ISNUMBER(SEARCH("MOUSEPAD",B54)),
ISNUMBER(SEARCH("SOPORTE",B54)),
ISNUMBER(SEARCH("STAND",B54)),
ISNUMBER(SEARCH("TRAVEL ADAPTER",B54)),
ISNUMBER(SEARCH("RJ45",B54)),
ISNUMBER(SEARCH("USB-C",B54)),
ISNUMBER(SEARCH("USB WIFI",B54)),
ISNUMBER(SEARCH("POWERBANK",B54)),
ISNUMBER(SEARCH("CARGADOR",B54)),
ISNUMBER(SEARCH("COOLER PARA NB",B54)),
ISNUMBER(SEARCH("SOPORTE PARA NB",B54)),
ISNUMBER(SEARCH("WEBCAM",B54)),
ISNUMBER(SEARCH("WEB CAM",B54)),
ISNUMBER(SEARCH("MOUSE",B54)),
ISNUMBER(SEARCH("TECLADO",B54))
),
"COMPLEMENTO",
IF(
OR(
LEFT(A54,2)="NB",
LEFT(A54,2)="PC",
LEFT(A54,2)="WS",
LEFT(A54,2)="TB",
LEFT(A54,3)="CEL",
LEFT(A54,3)="MON",
LEFT(A54,3)="PRE",
LEFT(A54,3)="PRH",
ISNUMBER(SEARCH("NOTEBOOK",B54)),
ISNUMBER(SEARCH("LAPTOP",B54)),
ISNUMBER(SEARCH("MONITOR",B54)),
ISNUMBER(SEARCH("TABLET",B54)),
ISNUMBER(SEARCH("SMARTPH",B54)),
ISNUMBER(SEARCH("IMPRESORA",B54)),
ISNUMBER(SEARCH("MULTIFUNCIONAL",B54)),
ISNUMBER(SEARCH("AIO",B54))
),
"GANCHO",
"NORMAL"
)
)</f>
        <v>COMPLEMENTO</v>
      </c>
    </row>
    <row r="53" spans="1:12" x14ac:dyDescent="0.25">
      <c r="A53" s="3" t="s">
        <v>71</v>
      </c>
      <c r="B53" s="3" t="s">
        <v>72</v>
      </c>
      <c r="C53" s="1">
        <v>5</v>
      </c>
      <c r="D53" s="1">
        <v>4.3</v>
      </c>
      <c r="E53" s="1" t="s">
        <v>58</v>
      </c>
      <c r="F53" s="1" t="s">
        <v>3088</v>
      </c>
      <c r="G53" s="3"/>
      <c r="H53" s="11">
        <f>ROUND(
IF(L51="GANCHO",
   IF(I53&lt;=50,I53*1.1+4,IF(I53&lt;=120,I53*1.1+7,IF(I53&lt;=250,I53*1.1+11,I53*1.1+19))),
IF(L51="NORMAL",
   IF(I53&lt;=30,I53*1.15+2,IF(I53&lt;=80,I53*1.15+4,IF(I53&lt;=150,I53*1.15+6,I53*1.15+8))),
IF(L51="COMPLEMENTO",
   IF(I53&lt;=25,I53*1.25+1.5,IF(I53&lt;=60,I53*1.25+3,IF(I53&lt;=120,I53*1.25+4,I53*1.25+5))),
""))),2)</f>
        <v>23.57</v>
      </c>
      <c r="I53" s="9">
        <f>($K$2+0.02)*Tabla1[[#This Row],[PRECIO $]]*1.18</f>
        <v>17.657519999999998</v>
      </c>
      <c r="J53" s="7">
        <f>+Tabla1[[#This Row],[PRECIO EN SOLES]]-Tabla1[[#This Row],[PC]]</f>
        <v>5.9124800000000022</v>
      </c>
      <c r="K53" s="15"/>
      <c r="L53" s="15" t="str">
        <f>IF(
OR(
ISNUMBER(SEARCH("BACKPACK",B55)),
ISNUMBER(SEARCH("MOCHILA",B55)),
ISNUMBER(SEARCH("FUNDA",B55)),
ISNUMBER(SEARCH("ESTUCHE",B55)),
ISNUMBER(SEARCH("BOOK COVER",B55)),
ISNUMBER(SEARCH("KEYBOARD PARA TABLET",B55)),
ISNUMBER(SEARCH("FLIP TABLET",B55)),
ISNUMBER(SEARCH("CASE FOR TABLET",B55)),
ISNUMBER(SEARCH("CABLE",B55)),
ISNUMBER(SEARCH("ADAPTADOR",B55)),
ISNUMBER(SEARCH("HUB",B55)),
ISNUMBER(SEARCH("DOCK",B55)),
ISNUMBER(SEARCH("MOUSE PAD",B55)),
ISNUMBER(SEARCH("MOUSEPAD",B55)),
ISNUMBER(SEARCH("SOPORTE",B55)),
ISNUMBER(SEARCH("STAND",B55)),
ISNUMBER(SEARCH("TRAVEL ADAPTER",B55)),
ISNUMBER(SEARCH("RJ45",B55)),
ISNUMBER(SEARCH("USB-C",B55)),
ISNUMBER(SEARCH("USB WIFI",B55)),
ISNUMBER(SEARCH("POWERBANK",B55)),
ISNUMBER(SEARCH("CARGADOR",B55)),
ISNUMBER(SEARCH("COOLER PARA NB",B55)),
ISNUMBER(SEARCH("SOPORTE PARA NB",B55)),
ISNUMBER(SEARCH("WEBCAM",B55)),
ISNUMBER(SEARCH("WEB CAM",B55)),
ISNUMBER(SEARCH("MOUSE",B55)),
ISNUMBER(SEARCH("TECLADO",B55))
),
"COMPLEMENTO",
IF(
OR(
LEFT(A55,2)="NB",
LEFT(A55,2)="PC",
LEFT(A55,2)="WS",
LEFT(A55,2)="TB",
LEFT(A55,3)="CEL",
LEFT(A55,3)="MON",
LEFT(A55,3)="PRE",
LEFT(A55,3)="PRH",
ISNUMBER(SEARCH("NOTEBOOK",B55)),
ISNUMBER(SEARCH("LAPTOP",B55)),
ISNUMBER(SEARCH("MONITOR",B55)),
ISNUMBER(SEARCH("TABLET",B55)),
ISNUMBER(SEARCH("SMARTPH",B55)),
ISNUMBER(SEARCH("IMPRESORA",B55)),
ISNUMBER(SEARCH("MULTIFUNCIONAL",B55)),
ISNUMBER(SEARCH("AIO",B55))
),
"GANCHO",
"NORMAL"
)
)</f>
        <v>NORMAL</v>
      </c>
    </row>
    <row r="54" spans="1:12" x14ac:dyDescent="0.25">
      <c r="A54" s="3" t="s">
        <v>816</v>
      </c>
      <c r="B54" s="3" t="s">
        <v>60</v>
      </c>
      <c r="C54" s="1">
        <v>0</v>
      </c>
      <c r="D54" s="1">
        <v>999</v>
      </c>
      <c r="E54" s="1" t="s">
        <v>187</v>
      </c>
      <c r="F54" s="1" t="s">
        <v>3089</v>
      </c>
      <c r="G54" s="3"/>
      <c r="H54" s="11">
        <f>ROUND(
IF(L52="GANCHO",
   IF(I54&lt;=50,I54*1.1+4,IF(I54&lt;=120,I54*1.1+7,IF(I54&lt;=250,I54*1.1+11,I54*1.1+19))),
IF(L52="NORMAL",
   IF(I54&lt;=30,I54*1.15+2,IF(I54&lt;=80,I54*1.15+4,IF(I54&lt;=150,I54*1.15+6,I54*1.15+8))),
IF(L52="COMPLEMENTO",
   IF(I54&lt;=25,I54*1.25+1.5,IF(I54&lt;=60,I54*1.25+3,IF(I54&lt;=120,I54*1.25+4,I54*1.25+5))),
""))),2)</f>
        <v>5132.87</v>
      </c>
      <c r="I54" s="9">
        <f>($K$2+0.02)*Tabla1[[#This Row],[PRECIO $]]*1.18</f>
        <v>4102.2936</v>
      </c>
      <c r="J54" s="7">
        <f>+Tabla1[[#This Row],[PRECIO EN SOLES]]-Tabla1[[#This Row],[PC]]</f>
        <v>1030.5763999999999</v>
      </c>
      <c r="K54" s="15"/>
      <c r="L54" s="15" t="str">
        <f>IF(
OR(
ISNUMBER(SEARCH("BACKPACK",B56)),
ISNUMBER(SEARCH("MOCHILA",B56)),
ISNUMBER(SEARCH("FUNDA",B56)),
ISNUMBER(SEARCH("ESTUCHE",B56)),
ISNUMBER(SEARCH("BOOK COVER",B56)),
ISNUMBER(SEARCH("KEYBOARD PARA TABLET",B56)),
ISNUMBER(SEARCH("FLIP TABLET",B56)),
ISNUMBER(SEARCH("CASE FOR TABLET",B56)),
ISNUMBER(SEARCH("CABLE",B56)),
ISNUMBER(SEARCH("ADAPTADOR",B56)),
ISNUMBER(SEARCH("HUB",B56)),
ISNUMBER(SEARCH("DOCK",B56)),
ISNUMBER(SEARCH("MOUSE PAD",B56)),
ISNUMBER(SEARCH("MOUSEPAD",B56)),
ISNUMBER(SEARCH("SOPORTE",B56)),
ISNUMBER(SEARCH("STAND",B56)),
ISNUMBER(SEARCH("TRAVEL ADAPTER",B56)),
ISNUMBER(SEARCH("RJ45",B56)),
ISNUMBER(SEARCH("USB-C",B56)),
ISNUMBER(SEARCH("USB WIFI",B56)),
ISNUMBER(SEARCH("POWERBANK",B56)),
ISNUMBER(SEARCH("CARGADOR",B56)),
ISNUMBER(SEARCH("COOLER PARA NB",B56)),
ISNUMBER(SEARCH("SOPORTE PARA NB",B56)),
ISNUMBER(SEARCH("WEBCAM",B56)),
ISNUMBER(SEARCH("WEB CAM",B56)),
ISNUMBER(SEARCH("MOUSE",B56)),
ISNUMBER(SEARCH("TECLADO",B56))
),
"COMPLEMENTO",
IF(
OR(
LEFT(A56,2)="NB",
LEFT(A56,2)="PC",
LEFT(A56,2)="WS",
LEFT(A56,2)="TB",
LEFT(A56,3)="CEL",
LEFT(A56,3)="MON",
LEFT(A56,3)="PRE",
LEFT(A56,3)="PRH",
ISNUMBER(SEARCH("NOTEBOOK",B56)),
ISNUMBER(SEARCH("LAPTOP",B56)),
ISNUMBER(SEARCH("MONITOR",B56)),
ISNUMBER(SEARCH("TABLET",B56)),
ISNUMBER(SEARCH("SMARTPH",B56)),
ISNUMBER(SEARCH("IMPRESORA",B56)),
ISNUMBER(SEARCH("MULTIFUNCIONAL",B56)),
ISNUMBER(SEARCH("AIO",B56))
),
"GANCHO",
"NORMAL"
)
)</f>
        <v>NORMAL</v>
      </c>
    </row>
    <row r="55" spans="1:12" x14ac:dyDescent="0.25">
      <c r="A55" s="3" t="s">
        <v>817</v>
      </c>
      <c r="B55" s="3" t="s">
        <v>818</v>
      </c>
      <c r="C55" s="1">
        <v>3</v>
      </c>
      <c r="D55" s="1">
        <v>198</v>
      </c>
      <c r="E55" s="1" t="s">
        <v>58</v>
      </c>
      <c r="F55" s="1" t="s">
        <v>3090</v>
      </c>
      <c r="G55" s="3" t="s">
        <v>819</v>
      </c>
      <c r="H55" s="11">
        <f>ROUND(
IF(L53="GANCHO",
   IF(I55&lt;=50,I55*1.1+4,IF(I55&lt;=120,I55*1.1+7,IF(I55&lt;=250,I55*1.1+11,I55*1.1+19))),
IF(L53="NORMAL",
   IF(I55&lt;=30,I55*1.15+2,IF(I55&lt;=80,I55*1.15+4,IF(I55&lt;=150,I55*1.15+6,I55*1.15+8))),
IF(L53="COMPLEMENTO",
   IF(I55&lt;=25,I55*1.25+1.5,IF(I55&lt;=60,I55*1.25+3,IF(I55&lt;=120,I55*1.25+4,I55*1.25+5))),
""))),2)</f>
        <v>943.03</v>
      </c>
      <c r="I55" s="9">
        <f>($K$2+0.02)*Tabla1[[#This Row],[PRECIO $]]*1.18</f>
        <v>813.06719999999996</v>
      </c>
      <c r="J55" s="7">
        <f>+Tabla1[[#This Row],[PRECIO EN SOLES]]-Tabla1[[#This Row],[PC]]</f>
        <v>129.96280000000002</v>
      </c>
      <c r="K55" s="15"/>
      <c r="L55" s="15" t="str">
        <f>IF(
OR(
ISNUMBER(SEARCH("BACKPACK",B57)),
ISNUMBER(SEARCH("MOCHILA",B57)),
ISNUMBER(SEARCH("FUNDA",B57)),
ISNUMBER(SEARCH("ESTUCHE",B57)),
ISNUMBER(SEARCH("BOOK COVER",B57)),
ISNUMBER(SEARCH("KEYBOARD PARA TABLET",B57)),
ISNUMBER(SEARCH("FLIP TABLET",B57)),
ISNUMBER(SEARCH("CASE FOR TABLET",B57)),
ISNUMBER(SEARCH("CABLE",B57)),
ISNUMBER(SEARCH("ADAPTADOR",B57)),
ISNUMBER(SEARCH("HUB",B57)),
ISNUMBER(SEARCH("DOCK",B57)),
ISNUMBER(SEARCH("MOUSE PAD",B57)),
ISNUMBER(SEARCH("MOUSEPAD",B57)),
ISNUMBER(SEARCH("SOPORTE",B57)),
ISNUMBER(SEARCH("STAND",B57)),
ISNUMBER(SEARCH("TRAVEL ADAPTER",B57)),
ISNUMBER(SEARCH("RJ45",B57)),
ISNUMBER(SEARCH("USB-C",B57)),
ISNUMBER(SEARCH("USB WIFI",B57)),
ISNUMBER(SEARCH("POWERBANK",B57)),
ISNUMBER(SEARCH("CARGADOR",B57)),
ISNUMBER(SEARCH("COOLER PARA NB",B57)),
ISNUMBER(SEARCH("SOPORTE PARA NB",B57)),
ISNUMBER(SEARCH("WEBCAM",B57)),
ISNUMBER(SEARCH("WEB CAM",B57)),
ISNUMBER(SEARCH("MOUSE",B57)),
ISNUMBER(SEARCH("TECLADO",B57))
),
"COMPLEMENTO",
IF(
OR(
LEFT(A57,2)="NB",
LEFT(A57,2)="PC",
LEFT(A57,2)="WS",
LEFT(A57,2)="TB",
LEFT(A57,3)="CEL",
LEFT(A57,3)="MON",
LEFT(A57,3)="PRE",
LEFT(A57,3)="PRH",
ISNUMBER(SEARCH("NOTEBOOK",B57)),
ISNUMBER(SEARCH("LAPTOP",B57)),
ISNUMBER(SEARCH("MONITOR",B57)),
ISNUMBER(SEARCH("TABLET",B57)),
ISNUMBER(SEARCH("SMARTPH",B57)),
ISNUMBER(SEARCH("IMPRESORA",B57)),
ISNUMBER(SEARCH("MULTIFUNCIONAL",B57)),
ISNUMBER(SEARCH("AIO",B57))
),
"GANCHO",
"NORMAL"
)
)</f>
        <v>NORMAL</v>
      </c>
    </row>
    <row r="56" spans="1:12" x14ac:dyDescent="0.25">
      <c r="A56" s="3" t="s">
        <v>820</v>
      </c>
      <c r="B56" s="3" t="s">
        <v>821</v>
      </c>
      <c r="C56" s="1">
        <v>3</v>
      </c>
      <c r="D56" s="1">
        <v>160</v>
      </c>
      <c r="E56" s="1" t="s">
        <v>58</v>
      </c>
      <c r="F56" s="1" t="s">
        <v>3091</v>
      </c>
      <c r="G56" s="3" t="s">
        <v>822</v>
      </c>
      <c r="H56" s="11">
        <f>ROUND(
IF(L54="GANCHO",
   IF(I56&lt;=50,I56*1.1+4,IF(I56&lt;=120,I56*1.1+7,IF(I56&lt;=250,I56*1.1+11,I56*1.1+19))),
IF(L54="NORMAL",
   IF(I56&lt;=30,I56*1.15+2,IF(I56&lt;=80,I56*1.15+4,IF(I56&lt;=150,I56*1.15+6,I56*1.15+8))),
IF(L54="COMPLEMENTO",
   IF(I56&lt;=25,I56*1.25+1.5,IF(I56&lt;=60,I56*1.25+3,IF(I56&lt;=120,I56*1.25+4,I56*1.25+5))),
""))),2)</f>
        <v>763.58</v>
      </c>
      <c r="I56" s="9">
        <f>($K$2+0.02)*Tabla1[[#This Row],[PRECIO $]]*1.18</f>
        <v>657.02399999999989</v>
      </c>
      <c r="J56" s="7">
        <f>+Tabla1[[#This Row],[PRECIO EN SOLES]]-Tabla1[[#This Row],[PC]]</f>
        <v>106.55600000000015</v>
      </c>
      <c r="K56" s="15"/>
      <c r="L56" s="15" t="str">
        <f>IF(
OR(
ISNUMBER(SEARCH("BACKPACK",B58)),
ISNUMBER(SEARCH("MOCHILA",B58)),
ISNUMBER(SEARCH("FUNDA",B58)),
ISNUMBER(SEARCH("ESTUCHE",B58)),
ISNUMBER(SEARCH("BOOK COVER",B58)),
ISNUMBER(SEARCH("KEYBOARD PARA TABLET",B58)),
ISNUMBER(SEARCH("FLIP TABLET",B58)),
ISNUMBER(SEARCH("CASE FOR TABLET",B58)),
ISNUMBER(SEARCH("CABLE",B58)),
ISNUMBER(SEARCH("ADAPTADOR",B58)),
ISNUMBER(SEARCH("HUB",B58)),
ISNUMBER(SEARCH("DOCK",B58)),
ISNUMBER(SEARCH("MOUSE PAD",B58)),
ISNUMBER(SEARCH("MOUSEPAD",B58)),
ISNUMBER(SEARCH("SOPORTE",B58)),
ISNUMBER(SEARCH("STAND",B58)),
ISNUMBER(SEARCH("TRAVEL ADAPTER",B58)),
ISNUMBER(SEARCH("RJ45",B58)),
ISNUMBER(SEARCH("USB-C",B58)),
ISNUMBER(SEARCH("USB WIFI",B58)),
ISNUMBER(SEARCH("POWERBANK",B58)),
ISNUMBER(SEARCH("CARGADOR",B58)),
ISNUMBER(SEARCH("COOLER PARA NB",B58)),
ISNUMBER(SEARCH("SOPORTE PARA NB",B58)),
ISNUMBER(SEARCH("WEBCAM",B58)),
ISNUMBER(SEARCH("WEB CAM",B58)),
ISNUMBER(SEARCH("MOUSE",B58)),
ISNUMBER(SEARCH("TECLADO",B58))
),
"COMPLEMENTO",
IF(
OR(
LEFT(A58,2)="NB",
LEFT(A58,2)="PC",
LEFT(A58,2)="WS",
LEFT(A58,2)="TB",
LEFT(A58,3)="CEL",
LEFT(A58,3)="MON",
LEFT(A58,3)="PRE",
LEFT(A58,3)="PRH",
ISNUMBER(SEARCH("NOTEBOOK",B58)),
ISNUMBER(SEARCH("LAPTOP",B58)),
ISNUMBER(SEARCH("MONITOR",B58)),
ISNUMBER(SEARCH("TABLET",B58)),
ISNUMBER(SEARCH("SMARTPH",B58)),
ISNUMBER(SEARCH("IMPRESORA",B58)),
ISNUMBER(SEARCH("MULTIFUNCIONAL",B58)),
ISNUMBER(SEARCH("AIO",B58))
),
"GANCHO",
"NORMAL"
)
)</f>
        <v>NORMAL</v>
      </c>
    </row>
    <row r="57" spans="1:12" x14ac:dyDescent="0.25">
      <c r="A57" s="3" t="s">
        <v>823</v>
      </c>
      <c r="B57" s="3" t="s">
        <v>824</v>
      </c>
      <c r="C57" s="1">
        <v>1</v>
      </c>
      <c r="D57" s="1">
        <v>254</v>
      </c>
      <c r="E57" s="1" t="s">
        <v>57</v>
      </c>
      <c r="F57" s="1" t="s">
        <v>3092</v>
      </c>
      <c r="G57" s="3" t="s">
        <v>825</v>
      </c>
      <c r="H57" s="11">
        <f>ROUND(
IF(L55="GANCHO",
   IF(I57&lt;=50,I57*1.1+4,IF(I57&lt;=120,I57*1.1+7,IF(I57&lt;=250,I57*1.1+11,I57*1.1+19))),
IF(L55="NORMAL",
   IF(I57&lt;=30,I57*1.15+2,IF(I57&lt;=80,I57*1.15+4,IF(I57&lt;=150,I57*1.15+6,I57*1.15+8))),
IF(L55="COMPLEMENTO",
   IF(I57&lt;=25,I57*1.25+1.5,IF(I57&lt;=60,I57*1.25+3,IF(I57&lt;=120,I57*1.25+4,I57*1.25+5))),
""))),2)</f>
        <v>1207.48</v>
      </c>
      <c r="I57" s="9">
        <f>($K$2+0.02)*Tabla1[[#This Row],[PRECIO $]]*1.18</f>
        <v>1043.0255999999999</v>
      </c>
      <c r="J57" s="7">
        <f>+Tabla1[[#This Row],[PRECIO EN SOLES]]-Tabla1[[#This Row],[PC]]</f>
        <v>164.45440000000008</v>
      </c>
      <c r="K57" s="15"/>
      <c r="L57" s="15" t="str">
        <f>IF(
OR(
ISNUMBER(SEARCH("BACKPACK",B59)),
ISNUMBER(SEARCH("MOCHILA",B59)),
ISNUMBER(SEARCH("FUNDA",B59)),
ISNUMBER(SEARCH("ESTUCHE",B59)),
ISNUMBER(SEARCH("BOOK COVER",B59)),
ISNUMBER(SEARCH("KEYBOARD PARA TABLET",B59)),
ISNUMBER(SEARCH("FLIP TABLET",B59)),
ISNUMBER(SEARCH("CASE FOR TABLET",B59)),
ISNUMBER(SEARCH("CABLE",B59)),
ISNUMBER(SEARCH("ADAPTADOR",B59)),
ISNUMBER(SEARCH("HUB",B59)),
ISNUMBER(SEARCH("DOCK",B59)),
ISNUMBER(SEARCH("MOUSE PAD",B59)),
ISNUMBER(SEARCH("MOUSEPAD",B59)),
ISNUMBER(SEARCH("SOPORTE",B59)),
ISNUMBER(SEARCH("STAND",B59)),
ISNUMBER(SEARCH("TRAVEL ADAPTER",B59)),
ISNUMBER(SEARCH("RJ45",B59)),
ISNUMBER(SEARCH("USB-C",B59)),
ISNUMBER(SEARCH("USB WIFI",B59)),
ISNUMBER(SEARCH("POWERBANK",B59)),
ISNUMBER(SEARCH("CARGADOR",B59)),
ISNUMBER(SEARCH("COOLER PARA NB",B59)),
ISNUMBER(SEARCH("SOPORTE PARA NB",B59)),
ISNUMBER(SEARCH("WEBCAM",B59)),
ISNUMBER(SEARCH("WEB CAM",B59)),
ISNUMBER(SEARCH("MOUSE",B59)),
ISNUMBER(SEARCH("TECLADO",B59))
),
"COMPLEMENTO",
IF(
OR(
LEFT(A59,2)="NB",
LEFT(A59,2)="PC",
LEFT(A59,2)="WS",
LEFT(A59,2)="TB",
LEFT(A59,3)="CEL",
LEFT(A59,3)="MON",
LEFT(A59,3)="PRE",
LEFT(A59,3)="PRH",
ISNUMBER(SEARCH("NOTEBOOK",B59)),
ISNUMBER(SEARCH("LAPTOP",B59)),
ISNUMBER(SEARCH("MONITOR",B59)),
ISNUMBER(SEARCH("TABLET",B59)),
ISNUMBER(SEARCH("SMARTPH",B59)),
ISNUMBER(SEARCH("IMPRESORA",B59)),
ISNUMBER(SEARCH("MULTIFUNCIONAL",B59)),
ISNUMBER(SEARCH("AIO",B59))
),
"GANCHO",
"NORMAL"
)
)</f>
        <v>NORMAL</v>
      </c>
    </row>
    <row r="58" spans="1:12" x14ac:dyDescent="0.25">
      <c r="A58" s="3" t="s">
        <v>4177</v>
      </c>
      <c r="B58" s="3" t="s">
        <v>4178</v>
      </c>
      <c r="C58" s="1">
        <v>8</v>
      </c>
      <c r="D58" s="1">
        <v>126</v>
      </c>
      <c r="E58" s="1" t="s">
        <v>73</v>
      </c>
      <c r="F58" s="1" t="s">
        <v>4228</v>
      </c>
      <c r="G58" s="3" t="s">
        <v>4179</v>
      </c>
      <c r="H58" s="11">
        <f>ROUND(
IF(L56="GANCHO",
   IF(I58&lt;=50,I58*1.1+4,IF(I58&lt;=120,I58*1.1+7,IF(I58&lt;=250,I58*1.1+11,I58*1.1+19))),
IF(L56="NORMAL",
   IF(I58&lt;=30,I58*1.15+2,IF(I58&lt;=80,I58*1.15+4,IF(I58&lt;=150,I58*1.15+6,I58*1.15+8))),
IF(L56="COMPLEMENTO",
   IF(I58&lt;=25,I58*1.25+1.5,IF(I58&lt;=60,I58*1.25+3,IF(I58&lt;=120,I58*1.25+4,I58*1.25+5))),
""))),2)</f>
        <v>603.02</v>
      </c>
      <c r="I58" s="9">
        <f>($K$2+0.02)*Tabla1[[#This Row],[PRECIO $]]*1.18</f>
        <v>517.40639999999996</v>
      </c>
      <c r="J58" s="7">
        <f>+Tabla1[[#This Row],[PRECIO EN SOLES]]-Tabla1[[#This Row],[PC]]</f>
        <v>85.613600000000019</v>
      </c>
      <c r="K58" s="15"/>
      <c r="L58" s="15" t="str">
        <f>IF(
OR(
ISNUMBER(SEARCH("BACKPACK",B60)),
ISNUMBER(SEARCH("MOCHILA",B60)),
ISNUMBER(SEARCH("FUNDA",B60)),
ISNUMBER(SEARCH("ESTUCHE",B60)),
ISNUMBER(SEARCH("BOOK COVER",B60)),
ISNUMBER(SEARCH("KEYBOARD PARA TABLET",B60)),
ISNUMBER(SEARCH("FLIP TABLET",B60)),
ISNUMBER(SEARCH("CASE FOR TABLET",B60)),
ISNUMBER(SEARCH("CABLE",B60)),
ISNUMBER(SEARCH("ADAPTADOR",B60)),
ISNUMBER(SEARCH("HUB",B60)),
ISNUMBER(SEARCH("DOCK",B60)),
ISNUMBER(SEARCH("MOUSE PAD",B60)),
ISNUMBER(SEARCH("MOUSEPAD",B60)),
ISNUMBER(SEARCH("SOPORTE",B60)),
ISNUMBER(SEARCH("STAND",B60)),
ISNUMBER(SEARCH("TRAVEL ADAPTER",B60)),
ISNUMBER(SEARCH("RJ45",B60)),
ISNUMBER(SEARCH("USB-C",B60)),
ISNUMBER(SEARCH("USB WIFI",B60)),
ISNUMBER(SEARCH("POWERBANK",B60)),
ISNUMBER(SEARCH("CARGADOR",B60)),
ISNUMBER(SEARCH("COOLER PARA NB",B60)),
ISNUMBER(SEARCH("SOPORTE PARA NB",B60)),
ISNUMBER(SEARCH("WEBCAM",B60)),
ISNUMBER(SEARCH("WEB CAM",B60)),
ISNUMBER(SEARCH("MOUSE",B60)),
ISNUMBER(SEARCH("TECLADO",B60))
),
"COMPLEMENTO",
IF(
OR(
LEFT(A60,2)="NB",
LEFT(A60,2)="PC",
LEFT(A60,2)="WS",
LEFT(A60,2)="TB",
LEFT(A60,3)="CEL",
LEFT(A60,3)="MON",
LEFT(A60,3)="PRE",
LEFT(A60,3)="PRH",
ISNUMBER(SEARCH("NOTEBOOK",B60)),
ISNUMBER(SEARCH("LAPTOP",B60)),
ISNUMBER(SEARCH("MONITOR",B60)),
ISNUMBER(SEARCH("TABLET",B60)),
ISNUMBER(SEARCH("SMARTPH",B60)),
ISNUMBER(SEARCH("IMPRESORA",B60)),
ISNUMBER(SEARCH("MULTIFUNCIONAL",B60)),
ISNUMBER(SEARCH("AIO",B60))
),
"GANCHO",
"NORMAL"
)
)</f>
        <v>NORMAL</v>
      </c>
    </row>
    <row r="59" spans="1:12" x14ac:dyDescent="0.25">
      <c r="A59" s="3" t="s">
        <v>826</v>
      </c>
      <c r="B59" s="3" t="s">
        <v>827</v>
      </c>
      <c r="C59" s="1">
        <v>20</v>
      </c>
      <c r="D59" s="1">
        <v>53</v>
      </c>
      <c r="E59" s="1" t="s">
        <v>74</v>
      </c>
      <c r="F59" s="1" t="s">
        <v>3093</v>
      </c>
      <c r="G59" s="3" t="s">
        <v>828</v>
      </c>
      <c r="H59" s="11">
        <f>ROUND(
IF(L57="GANCHO",
   IF(I59&lt;=50,I59*1.1+4,IF(I59&lt;=120,I59*1.1+7,IF(I59&lt;=250,I59*1.1+11,I59*1.1+19))),
IF(L57="NORMAL",
   IF(I59&lt;=30,I59*1.15+2,IF(I59&lt;=80,I59*1.15+4,IF(I59&lt;=150,I59*1.15+6,I59*1.15+8))),
IF(L57="COMPLEMENTO",
   IF(I59&lt;=25,I59*1.25+1.5,IF(I59&lt;=60,I59*1.25+3,IF(I59&lt;=120,I59*1.25+4,I59*1.25+5))),
""))),2)</f>
        <v>258.29000000000002</v>
      </c>
      <c r="I59" s="9">
        <f>($K$2+0.02)*Tabla1[[#This Row],[PRECIO $]]*1.18</f>
        <v>217.63919999999999</v>
      </c>
      <c r="J59" s="7">
        <f>+Tabla1[[#This Row],[PRECIO EN SOLES]]-Tabla1[[#This Row],[PC]]</f>
        <v>40.650800000000032</v>
      </c>
      <c r="K59" s="15"/>
      <c r="L59" s="15" t="str">
        <f>IF(
OR(
ISNUMBER(SEARCH("BACKPACK",B61)),
ISNUMBER(SEARCH("MOCHILA",B61)),
ISNUMBER(SEARCH("FUNDA",B61)),
ISNUMBER(SEARCH("ESTUCHE",B61)),
ISNUMBER(SEARCH("BOOK COVER",B61)),
ISNUMBER(SEARCH("KEYBOARD PARA TABLET",B61)),
ISNUMBER(SEARCH("FLIP TABLET",B61)),
ISNUMBER(SEARCH("CASE FOR TABLET",B61)),
ISNUMBER(SEARCH("CABLE",B61)),
ISNUMBER(SEARCH("ADAPTADOR",B61)),
ISNUMBER(SEARCH("HUB",B61)),
ISNUMBER(SEARCH("DOCK",B61)),
ISNUMBER(SEARCH("MOUSE PAD",B61)),
ISNUMBER(SEARCH("MOUSEPAD",B61)),
ISNUMBER(SEARCH("SOPORTE",B61)),
ISNUMBER(SEARCH("STAND",B61)),
ISNUMBER(SEARCH("TRAVEL ADAPTER",B61)),
ISNUMBER(SEARCH("RJ45",B61)),
ISNUMBER(SEARCH("USB-C",B61)),
ISNUMBER(SEARCH("USB WIFI",B61)),
ISNUMBER(SEARCH("POWERBANK",B61)),
ISNUMBER(SEARCH("CARGADOR",B61)),
ISNUMBER(SEARCH("COOLER PARA NB",B61)),
ISNUMBER(SEARCH("SOPORTE PARA NB",B61)),
ISNUMBER(SEARCH("WEBCAM",B61)),
ISNUMBER(SEARCH("WEB CAM",B61)),
ISNUMBER(SEARCH("MOUSE",B61)),
ISNUMBER(SEARCH("TECLADO",B61))
),
"COMPLEMENTO",
IF(
OR(
LEFT(A61,2)="NB",
LEFT(A61,2)="PC",
LEFT(A61,2)="WS",
LEFT(A61,2)="TB",
LEFT(A61,3)="CEL",
LEFT(A61,3)="MON",
LEFT(A61,3)="PRE",
LEFT(A61,3)="PRH",
ISNUMBER(SEARCH("NOTEBOOK",B61)),
ISNUMBER(SEARCH("LAPTOP",B61)),
ISNUMBER(SEARCH("MONITOR",B61)),
ISNUMBER(SEARCH("TABLET",B61)),
ISNUMBER(SEARCH("SMARTPH",B61)),
ISNUMBER(SEARCH("IMPRESORA",B61)),
ISNUMBER(SEARCH("MULTIFUNCIONAL",B61)),
ISNUMBER(SEARCH("AIO",B61))
),
"GANCHO",
"NORMAL"
)
)</f>
        <v>COMPLEMENTO</v>
      </c>
    </row>
    <row r="60" spans="1:12" x14ac:dyDescent="0.25">
      <c r="A60" s="3" t="s">
        <v>829</v>
      </c>
      <c r="B60" s="3" t="s">
        <v>830</v>
      </c>
      <c r="C60" s="1">
        <v>20</v>
      </c>
      <c r="D60" s="1">
        <v>29</v>
      </c>
      <c r="E60" s="1" t="s">
        <v>831</v>
      </c>
      <c r="F60" s="1" t="s">
        <v>3094</v>
      </c>
      <c r="G60" s="3" t="s">
        <v>832</v>
      </c>
      <c r="H60" s="11">
        <f>ROUND(
IF(L58="GANCHO",
   IF(I60&lt;=50,I60*1.1+4,IF(I60&lt;=120,I60*1.1+7,IF(I60&lt;=250,I60*1.1+11,I60*1.1+19))),
IF(L58="NORMAL",
   IF(I60&lt;=30,I60*1.15+2,IF(I60&lt;=80,I60*1.15+4,IF(I60&lt;=150,I60*1.15+6,I60*1.15+8))),
IF(L58="COMPLEMENTO",
   IF(I60&lt;=25,I60*1.25+1.5,IF(I60&lt;=60,I60*1.25+3,IF(I60&lt;=120,I60*1.25+4,I60*1.25+5))),
""))),2)</f>
        <v>142.94999999999999</v>
      </c>
      <c r="I60" s="9">
        <f>($K$2+0.02)*Tabla1[[#This Row],[PRECIO $]]*1.18</f>
        <v>119.0856</v>
      </c>
      <c r="J60" s="7">
        <f>+Tabla1[[#This Row],[PRECIO EN SOLES]]-Tabla1[[#This Row],[PC]]</f>
        <v>23.864399999999989</v>
      </c>
      <c r="K60" s="15"/>
      <c r="L60" s="15" t="str">
        <f>IF(
OR(
ISNUMBER(SEARCH("BACKPACK",B62)),
ISNUMBER(SEARCH("MOCHILA",B62)),
ISNUMBER(SEARCH("FUNDA",B62)),
ISNUMBER(SEARCH("ESTUCHE",B62)),
ISNUMBER(SEARCH("BOOK COVER",B62)),
ISNUMBER(SEARCH("KEYBOARD PARA TABLET",B62)),
ISNUMBER(SEARCH("FLIP TABLET",B62)),
ISNUMBER(SEARCH("CASE FOR TABLET",B62)),
ISNUMBER(SEARCH("CABLE",B62)),
ISNUMBER(SEARCH("ADAPTADOR",B62)),
ISNUMBER(SEARCH("HUB",B62)),
ISNUMBER(SEARCH("DOCK",B62)),
ISNUMBER(SEARCH("MOUSE PAD",B62)),
ISNUMBER(SEARCH("MOUSEPAD",B62)),
ISNUMBER(SEARCH("SOPORTE",B62)),
ISNUMBER(SEARCH("STAND",B62)),
ISNUMBER(SEARCH("TRAVEL ADAPTER",B62)),
ISNUMBER(SEARCH("RJ45",B62)),
ISNUMBER(SEARCH("USB-C",B62)),
ISNUMBER(SEARCH("USB WIFI",B62)),
ISNUMBER(SEARCH("POWERBANK",B62)),
ISNUMBER(SEARCH("CARGADOR",B62)),
ISNUMBER(SEARCH("COOLER PARA NB",B62)),
ISNUMBER(SEARCH("SOPORTE PARA NB",B62)),
ISNUMBER(SEARCH("WEBCAM",B62)),
ISNUMBER(SEARCH("WEB CAM",B62)),
ISNUMBER(SEARCH("MOUSE",B62)),
ISNUMBER(SEARCH("TECLADO",B62))
),
"COMPLEMENTO",
IF(
OR(
LEFT(A62,2)="NB",
LEFT(A62,2)="PC",
LEFT(A62,2)="WS",
LEFT(A62,2)="TB",
LEFT(A62,3)="CEL",
LEFT(A62,3)="MON",
LEFT(A62,3)="PRE",
LEFT(A62,3)="PRH",
ISNUMBER(SEARCH("NOTEBOOK",B62)),
ISNUMBER(SEARCH("LAPTOP",B62)),
ISNUMBER(SEARCH("MONITOR",B62)),
ISNUMBER(SEARCH("TABLET",B62)),
ISNUMBER(SEARCH("SMARTPH",B62)),
ISNUMBER(SEARCH("IMPRESORA",B62)),
ISNUMBER(SEARCH("MULTIFUNCIONAL",B62)),
ISNUMBER(SEARCH("AIO",B62))
),
"GANCHO",
"NORMAL"
)
)</f>
        <v>NORMAL</v>
      </c>
    </row>
    <row r="61" spans="1:12" x14ac:dyDescent="0.25">
      <c r="A61" s="3" t="s">
        <v>833</v>
      </c>
      <c r="B61" s="3" t="s">
        <v>834</v>
      </c>
      <c r="C61" s="1">
        <v>20</v>
      </c>
      <c r="D61" s="1">
        <v>9.4</v>
      </c>
      <c r="E61" s="1" t="s">
        <v>837</v>
      </c>
      <c r="F61" s="1" t="s">
        <v>3095</v>
      </c>
      <c r="G61" s="3" t="s">
        <v>2771</v>
      </c>
      <c r="H61" s="11">
        <f>ROUND(
IF(L59="GANCHO",
   IF(I61&lt;=50,I61*1.1+4,IF(I61&lt;=120,I61*1.1+7,IF(I61&lt;=250,I61*1.1+11,I61*1.1+19))),
IF(L59="NORMAL",
   IF(I61&lt;=30,I61*1.15+2,IF(I61&lt;=80,I61*1.15+4,IF(I61&lt;=150,I61*1.15+6,I61*1.15+8))),
IF(L59="COMPLEMENTO",
   IF(I61&lt;=25,I61*1.25+1.5,IF(I61&lt;=60,I61*1.25+3,IF(I61&lt;=120,I61*1.25+4,I61*1.25+5))),
""))),2)</f>
        <v>51.25</v>
      </c>
      <c r="I61" s="9">
        <f>($K$2+0.02)*Tabla1[[#This Row],[PRECIO $]]*1.18</f>
        <v>38.600160000000002</v>
      </c>
      <c r="J61" s="7">
        <f>+Tabla1[[#This Row],[PRECIO EN SOLES]]-Tabla1[[#This Row],[PC]]</f>
        <v>12.649839999999998</v>
      </c>
      <c r="K61" s="15"/>
      <c r="L61" s="15" t="str">
        <f>IF(
OR(
ISNUMBER(SEARCH("BACKPACK",B63)),
ISNUMBER(SEARCH("MOCHILA",B63)),
ISNUMBER(SEARCH("FUNDA",B63)),
ISNUMBER(SEARCH("ESTUCHE",B63)),
ISNUMBER(SEARCH("BOOK COVER",B63)),
ISNUMBER(SEARCH("KEYBOARD PARA TABLET",B63)),
ISNUMBER(SEARCH("FLIP TABLET",B63)),
ISNUMBER(SEARCH("CASE FOR TABLET",B63)),
ISNUMBER(SEARCH("CABLE",B63)),
ISNUMBER(SEARCH("ADAPTADOR",B63)),
ISNUMBER(SEARCH("HUB",B63)),
ISNUMBER(SEARCH("DOCK",B63)),
ISNUMBER(SEARCH("MOUSE PAD",B63)),
ISNUMBER(SEARCH("MOUSEPAD",B63)),
ISNUMBER(SEARCH("SOPORTE",B63)),
ISNUMBER(SEARCH("STAND",B63)),
ISNUMBER(SEARCH("TRAVEL ADAPTER",B63)),
ISNUMBER(SEARCH("RJ45",B63)),
ISNUMBER(SEARCH("USB-C",B63)),
ISNUMBER(SEARCH("USB WIFI",B63)),
ISNUMBER(SEARCH("POWERBANK",B63)),
ISNUMBER(SEARCH("CARGADOR",B63)),
ISNUMBER(SEARCH("COOLER PARA NB",B63)),
ISNUMBER(SEARCH("SOPORTE PARA NB",B63)),
ISNUMBER(SEARCH("WEBCAM",B63)),
ISNUMBER(SEARCH("WEB CAM",B63)),
ISNUMBER(SEARCH("MOUSE",B63)),
ISNUMBER(SEARCH("TECLADO",B63))
),
"COMPLEMENTO",
IF(
OR(
LEFT(A63,2)="NB",
LEFT(A63,2)="PC",
LEFT(A63,2)="WS",
LEFT(A63,2)="TB",
LEFT(A63,3)="CEL",
LEFT(A63,3)="MON",
LEFT(A63,3)="PRE",
LEFT(A63,3)="PRH",
ISNUMBER(SEARCH("NOTEBOOK",B63)),
ISNUMBER(SEARCH("LAPTOP",B63)),
ISNUMBER(SEARCH("MONITOR",B63)),
ISNUMBER(SEARCH("TABLET",B63)),
ISNUMBER(SEARCH("SMARTPH",B63)),
ISNUMBER(SEARCH("IMPRESORA",B63)),
ISNUMBER(SEARCH("MULTIFUNCIONAL",B63)),
ISNUMBER(SEARCH("AIO",B63))
),
"GANCHO",
"NORMAL"
)
)</f>
        <v>NORMAL</v>
      </c>
    </row>
    <row r="62" spans="1:12" x14ac:dyDescent="0.25">
      <c r="A62" s="3" t="s">
        <v>835</v>
      </c>
      <c r="B62" s="3" t="s">
        <v>836</v>
      </c>
      <c r="C62" s="1">
        <v>20</v>
      </c>
      <c r="D62" s="1">
        <v>53.6</v>
      </c>
      <c r="E62" s="1" t="s">
        <v>837</v>
      </c>
      <c r="F62" s="1" t="s">
        <v>3096</v>
      </c>
      <c r="G62" s="3" t="s">
        <v>2772</v>
      </c>
      <c r="H62" s="11">
        <f>ROUND(
IF(L60="GANCHO",
   IF(I62&lt;=50,I62*1.1+4,IF(I62&lt;=120,I62*1.1+7,IF(I62&lt;=250,I62*1.1+11,I62*1.1+19))),
IF(L60="NORMAL",
   IF(I62&lt;=30,I62*1.15+2,IF(I62&lt;=80,I62*1.15+4,IF(I62&lt;=150,I62*1.15+6,I62*1.15+8))),
IF(L60="COMPLEMENTO",
   IF(I62&lt;=25,I62*1.25+1.5,IF(I62&lt;=60,I62*1.25+3,IF(I62&lt;=120,I62*1.25+4,I62*1.25+5))),
""))),2)</f>
        <v>261.12</v>
      </c>
      <c r="I62" s="9">
        <f>($K$2+0.02)*Tabla1[[#This Row],[PRECIO $]]*1.18</f>
        <v>220.10303999999996</v>
      </c>
      <c r="J62" s="7">
        <f>+Tabla1[[#This Row],[PRECIO EN SOLES]]-Tabla1[[#This Row],[PC]]</f>
        <v>41.01696000000004</v>
      </c>
      <c r="K62" s="15"/>
      <c r="L62" s="15" t="str">
        <f>IF(
OR(
ISNUMBER(SEARCH("BACKPACK",B64)),
ISNUMBER(SEARCH("MOCHILA",B64)),
ISNUMBER(SEARCH("FUNDA",B64)),
ISNUMBER(SEARCH("ESTUCHE",B64)),
ISNUMBER(SEARCH("BOOK COVER",B64)),
ISNUMBER(SEARCH("KEYBOARD PARA TABLET",B64)),
ISNUMBER(SEARCH("FLIP TABLET",B64)),
ISNUMBER(SEARCH("CASE FOR TABLET",B64)),
ISNUMBER(SEARCH("CABLE",B64)),
ISNUMBER(SEARCH("ADAPTADOR",B64)),
ISNUMBER(SEARCH("HUB",B64)),
ISNUMBER(SEARCH("DOCK",B64)),
ISNUMBER(SEARCH("MOUSE PAD",B64)),
ISNUMBER(SEARCH("MOUSEPAD",B64)),
ISNUMBER(SEARCH("SOPORTE",B64)),
ISNUMBER(SEARCH("STAND",B64)),
ISNUMBER(SEARCH("TRAVEL ADAPTER",B64)),
ISNUMBER(SEARCH("RJ45",B64)),
ISNUMBER(SEARCH("USB-C",B64)),
ISNUMBER(SEARCH("USB WIFI",B64)),
ISNUMBER(SEARCH("POWERBANK",B64)),
ISNUMBER(SEARCH("CARGADOR",B64)),
ISNUMBER(SEARCH("COOLER PARA NB",B64)),
ISNUMBER(SEARCH("SOPORTE PARA NB",B64)),
ISNUMBER(SEARCH("WEBCAM",B64)),
ISNUMBER(SEARCH("WEB CAM",B64)),
ISNUMBER(SEARCH("MOUSE",B64)),
ISNUMBER(SEARCH("TECLADO",B64))
),
"COMPLEMENTO",
IF(
OR(
LEFT(A64,2)="NB",
LEFT(A64,2)="PC",
LEFT(A64,2)="WS",
LEFT(A64,2)="TB",
LEFT(A64,3)="CEL",
LEFT(A64,3)="MON",
LEFT(A64,3)="PRE",
LEFT(A64,3)="PRH",
ISNUMBER(SEARCH("NOTEBOOK",B64)),
ISNUMBER(SEARCH("LAPTOP",B64)),
ISNUMBER(SEARCH("MONITOR",B64)),
ISNUMBER(SEARCH("TABLET",B64)),
ISNUMBER(SEARCH("SMARTPH",B64)),
ISNUMBER(SEARCH("IMPRESORA",B64)),
ISNUMBER(SEARCH("MULTIFUNCIONAL",B64)),
ISNUMBER(SEARCH("AIO",B64))
),
"GANCHO",
"NORMAL"
)
)</f>
        <v>NORMAL</v>
      </c>
    </row>
    <row r="63" spans="1:12" x14ac:dyDescent="0.25">
      <c r="A63" s="3" t="s">
        <v>75</v>
      </c>
      <c r="B63" s="3" t="s">
        <v>76</v>
      </c>
      <c r="C63" s="1">
        <v>20</v>
      </c>
      <c r="D63" s="1">
        <v>9.6</v>
      </c>
      <c r="E63" s="1" t="s">
        <v>52</v>
      </c>
      <c r="F63" s="1" t="s">
        <v>3097</v>
      </c>
      <c r="G63" s="3" t="s">
        <v>77</v>
      </c>
      <c r="H63" s="11">
        <f>ROUND(
IF(L61="GANCHO",
   IF(I63&lt;=50,I63*1.1+4,IF(I63&lt;=120,I63*1.1+7,IF(I63&lt;=250,I63*1.1+11,I63*1.1+19))),
IF(L61="NORMAL",
   IF(I63&lt;=30,I63*1.15+2,IF(I63&lt;=80,I63*1.15+4,IF(I63&lt;=150,I63*1.15+6,I63*1.15+8))),
IF(L61="COMPLEMENTO",
   IF(I63&lt;=25,I63*1.25+1.5,IF(I63&lt;=60,I63*1.25+3,IF(I63&lt;=120,I63*1.25+4,I63*1.25+5))),
""))),2)</f>
        <v>49.33</v>
      </c>
      <c r="I63" s="9">
        <f>($K$2+0.02)*Tabla1[[#This Row],[PRECIO $]]*1.18</f>
        <v>39.421439999999997</v>
      </c>
      <c r="J63" s="7">
        <f>+Tabla1[[#This Row],[PRECIO EN SOLES]]-Tabla1[[#This Row],[PC]]</f>
        <v>9.9085600000000014</v>
      </c>
      <c r="K63" s="15"/>
      <c r="L63" s="15" t="str">
        <f>IF(
OR(
ISNUMBER(SEARCH("BACKPACK",B65)),
ISNUMBER(SEARCH("MOCHILA",B65)),
ISNUMBER(SEARCH("FUNDA",B65)),
ISNUMBER(SEARCH("ESTUCHE",B65)),
ISNUMBER(SEARCH("BOOK COVER",B65)),
ISNUMBER(SEARCH("KEYBOARD PARA TABLET",B65)),
ISNUMBER(SEARCH("FLIP TABLET",B65)),
ISNUMBER(SEARCH("CASE FOR TABLET",B65)),
ISNUMBER(SEARCH("CABLE",B65)),
ISNUMBER(SEARCH("ADAPTADOR",B65)),
ISNUMBER(SEARCH("HUB",B65)),
ISNUMBER(SEARCH("DOCK",B65)),
ISNUMBER(SEARCH("MOUSE PAD",B65)),
ISNUMBER(SEARCH("MOUSEPAD",B65)),
ISNUMBER(SEARCH("SOPORTE",B65)),
ISNUMBER(SEARCH("STAND",B65)),
ISNUMBER(SEARCH("TRAVEL ADAPTER",B65)),
ISNUMBER(SEARCH("RJ45",B65)),
ISNUMBER(SEARCH("USB-C",B65)),
ISNUMBER(SEARCH("USB WIFI",B65)),
ISNUMBER(SEARCH("POWERBANK",B65)),
ISNUMBER(SEARCH("CARGADOR",B65)),
ISNUMBER(SEARCH("COOLER PARA NB",B65)),
ISNUMBER(SEARCH("SOPORTE PARA NB",B65)),
ISNUMBER(SEARCH("WEBCAM",B65)),
ISNUMBER(SEARCH("WEB CAM",B65)),
ISNUMBER(SEARCH("MOUSE",B65)),
ISNUMBER(SEARCH("TECLADO",B65))
),
"COMPLEMENTO",
IF(
OR(
LEFT(A65,2)="NB",
LEFT(A65,2)="PC",
LEFT(A65,2)="WS",
LEFT(A65,2)="TB",
LEFT(A65,3)="CEL",
LEFT(A65,3)="MON",
LEFT(A65,3)="PRE",
LEFT(A65,3)="PRH",
ISNUMBER(SEARCH("NOTEBOOK",B65)),
ISNUMBER(SEARCH("LAPTOP",B65)),
ISNUMBER(SEARCH("MONITOR",B65)),
ISNUMBER(SEARCH("TABLET",B65)),
ISNUMBER(SEARCH("SMARTPH",B65)),
ISNUMBER(SEARCH("IMPRESORA",B65)),
ISNUMBER(SEARCH("MULTIFUNCIONAL",B65)),
ISNUMBER(SEARCH("AIO",B65))
),
"GANCHO",
"NORMAL"
)
)</f>
        <v>NORMAL</v>
      </c>
    </row>
    <row r="64" spans="1:12" x14ac:dyDescent="0.25">
      <c r="A64" s="3" t="s">
        <v>78</v>
      </c>
      <c r="B64" s="3" t="s">
        <v>79</v>
      </c>
      <c r="C64" s="1">
        <v>20</v>
      </c>
      <c r="D64" s="1">
        <v>9.6</v>
      </c>
      <c r="E64" s="1" t="s">
        <v>52</v>
      </c>
      <c r="F64" s="1" t="s">
        <v>3098</v>
      </c>
      <c r="G64" s="3" t="s">
        <v>80</v>
      </c>
      <c r="H64" s="11">
        <f>ROUND(
IF(L62="GANCHO",
   IF(I64&lt;=50,I64*1.1+4,IF(I64&lt;=120,I64*1.1+7,IF(I64&lt;=250,I64*1.1+11,I64*1.1+19))),
IF(L62="NORMAL",
   IF(I64&lt;=30,I64*1.15+2,IF(I64&lt;=80,I64*1.15+4,IF(I64&lt;=150,I64*1.15+6,I64*1.15+8))),
IF(L62="COMPLEMENTO",
   IF(I64&lt;=25,I64*1.25+1.5,IF(I64&lt;=60,I64*1.25+3,IF(I64&lt;=120,I64*1.25+4,I64*1.25+5))),
""))),2)</f>
        <v>49.33</v>
      </c>
      <c r="I64" s="9">
        <f>($K$2+0.02)*Tabla1[[#This Row],[PRECIO $]]*1.18</f>
        <v>39.421439999999997</v>
      </c>
      <c r="J64" s="7">
        <f>+Tabla1[[#This Row],[PRECIO EN SOLES]]-Tabla1[[#This Row],[PC]]</f>
        <v>9.9085600000000014</v>
      </c>
      <c r="K64" s="15"/>
      <c r="L64" s="15" t="str">
        <f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5" spans="1:12" x14ac:dyDescent="0.25">
      <c r="A65" s="3" t="s">
        <v>6401</v>
      </c>
      <c r="B65" s="3" t="s">
        <v>6402</v>
      </c>
      <c r="C65" s="1">
        <v>0</v>
      </c>
      <c r="D65" s="1">
        <v>11.1</v>
      </c>
      <c r="E65" s="1" t="s">
        <v>52</v>
      </c>
      <c r="F65" s="1" t="s">
        <v>6403</v>
      </c>
      <c r="G65" s="3" t="s">
        <v>6404</v>
      </c>
      <c r="H65" s="11">
        <f>ROUND(
IF(L63="GANCHO",
   IF(I65&lt;=50,I65*1.1+4,IF(I65&lt;=120,I65*1.1+7,IF(I65&lt;=250,I65*1.1+11,I65*1.1+19))),
IF(L63="NORMAL",
   IF(I65&lt;=30,I65*1.15+2,IF(I65&lt;=80,I65*1.15+4,IF(I65&lt;=150,I65*1.15+6,I65*1.15+8))),
IF(L63="COMPLEMENTO",
   IF(I65&lt;=25,I65*1.25+1.5,IF(I65&lt;=60,I65*1.25+3,IF(I65&lt;=120,I65*1.25+4,I65*1.25+5))),
""))),2)</f>
        <v>56.42</v>
      </c>
      <c r="I65" s="9">
        <f>($K$2+0.02)*Tabla1[[#This Row],[PRECIO $]]*1.18</f>
        <v>45.581039999999994</v>
      </c>
      <c r="J65" s="7">
        <f>+Tabla1[[#This Row],[PRECIO EN SOLES]]-Tabla1[[#This Row],[PC]]</f>
        <v>10.838960000000007</v>
      </c>
      <c r="K65" s="15"/>
      <c r="L65" s="15" t="str">
        <f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6" spans="1:12" x14ac:dyDescent="0.25">
      <c r="A66" s="3" t="s">
        <v>81</v>
      </c>
      <c r="B66" s="3" t="s">
        <v>82</v>
      </c>
      <c r="C66" s="1">
        <v>0</v>
      </c>
      <c r="D66" s="1">
        <v>18.399999999999999</v>
      </c>
      <c r="E66" s="1" t="s">
        <v>52</v>
      </c>
      <c r="F66" s="1" t="s">
        <v>3099</v>
      </c>
      <c r="G66" s="3" t="s">
        <v>83</v>
      </c>
      <c r="H66" s="11">
        <f>ROUND(
IF(L64="GANCHO",
   IF(I66&lt;=50,I66*1.1+4,IF(I66&lt;=120,I66*1.1+7,IF(I66&lt;=250,I66*1.1+11,I66*1.1+19))),
IF(L64="NORMAL",
   IF(I66&lt;=30,I66*1.15+2,IF(I66&lt;=80,I66*1.15+4,IF(I66&lt;=150,I66*1.15+6,I66*1.15+8))),
IF(L64="COMPLEMENTO",
   IF(I66&lt;=25,I66*1.25+1.5,IF(I66&lt;=60,I66*1.25+3,IF(I66&lt;=120,I66*1.25+4,I66*1.25+5))),
""))),2)</f>
        <v>90.89</v>
      </c>
      <c r="I66" s="9">
        <f>($K$2+0.02)*Tabla1[[#This Row],[PRECIO $]]*1.18</f>
        <v>75.557759999999988</v>
      </c>
      <c r="J66" s="7">
        <f>+Tabla1[[#This Row],[PRECIO EN SOLES]]-Tabla1[[#This Row],[PC]]</f>
        <v>15.332240000000013</v>
      </c>
      <c r="K66" s="15"/>
      <c r="L66" s="15" t="str">
        <f>IF(
OR(
ISNUMBER(SEARCH("BACKPACK",B68)),
ISNUMBER(SEARCH("MOCHILA",B68)),
ISNUMBER(SEARCH("FUNDA",B68)),
ISNUMBER(SEARCH("ESTUCHE",B68)),
ISNUMBER(SEARCH("BOOK COVER",B68)),
ISNUMBER(SEARCH("KEYBOARD PARA TABLET",B68)),
ISNUMBER(SEARCH("FLIP TABLET",B68)),
ISNUMBER(SEARCH("CASE FOR TABLET",B68)),
ISNUMBER(SEARCH("CABLE",B68)),
ISNUMBER(SEARCH("ADAPTADOR",B68)),
ISNUMBER(SEARCH("HUB",B68)),
ISNUMBER(SEARCH("DOCK",B68)),
ISNUMBER(SEARCH("MOUSE PAD",B68)),
ISNUMBER(SEARCH("MOUSEPAD",B68)),
ISNUMBER(SEARCH("SOPORTE",B68)),
ISNUMBER(SEARCH("STAND",B68)),
ISNUMBER(SEARCH("TRAVEL ADAPTER",B68)),
ISNUMBER(SEARCH("RJ45",B68)),
ISNUMBER(SEARCH("USB-C",B68)),
ISNUMBER(SEARCH("USB WIFI",B68)),
ISNUMBER(SEARCH("POWERBANK",B68)),
ISNUMBER(SEARCH("CARGADOR",B68)),
ISNUMBER(SEARCH("COOLER PARA NB",B68)),
ISNUMBER(SEARCH("SOPORTE PARA NB",B68)),
ISNUMBER(SEARCH("WEBCAM",B68)),
ISNUMBER(SEARCH("WEB CAM",B68)),
ISNUMBER(SEARCH("MOUSE",B68)),
ISNUMBER(SEARCH("TECLADO",B68))
),
"COMPLEMENTO",
IF(
OR(
LEFT(A68,2)="NB",
LEFT(A68,2)="PC",
LEFT(A68,2)="WS",
LEFT(A68,2)="TB",
LEFT(A68,3)="CEL",
LEFT(A68,3)="MON",
LEFT(A68,3)="PRE",
LEFT(A68,3)="PRH",
ISNUMBER(SEARCH("NOTEBOOK",B68)),
ISNUMBER(SEARCH("LAPTOP",B68)),
ISNUMBER(SEARCH("MONITOR",B68)),
ISNUMBER(SEARCH("TABLET",B68)),
ISNUMBER(SEARCH("SMARTPH",B68)),
ISNUMBER(SEARCH("IMPRESORA",B68)),
ISNUMBER(SEARCH("MULTIFUNCIONAL",B68)),
ISNUMBER(SEARCH("AIO",B68))
),
"GANCHO",
"NORMAL"
)
)</f>
        <v>NORMAL</v>
      </c>
    </row>
    <row r="67" spans="1:12" x14ac:dyDescent="0.25">
      <c r="A67" s="3" t="s">
        <v>84</v>
      </c>
      <c r="B67" s="3" t="s">
        <v>85</v>
      </c>
      <c r="C67" s="1">
        <v>20</v>
      </c>
      <c r="D67" s="1">
        <v>18.399999999999999</v>
      </c>
      <c r="E67" s="1" t="s">
        <v>52</v>
      </c>
      <c r="F67" s="1" t="s">
        <v>3100</v>
      </c>
      <c r="G67" s="3" t="s">
        <v>86</v>
      </c>
      <c r="H67" s="11">
        <f>ROUND(
IF(L65="GANCHO",
   IF(I67&lt;=50,I67*1.1+4,IF(I67&lt;=120,I67*1.1+7,IF(I67&lt;=250,I67*1.1+11,I67*1.1+19))),
IF(L65="NORMAL",
   IF(I67&lt;=30,I67*1.15+2,IF(I67&lt;=80,I67*1.15+4,IF(I67&lt;=150,I67*1.15+6,I67*1.15+8))),
IF(L65="COMPLEMENTO",
   IF(I67&lt;=25,I67*1.25+1.5,IF(I67&lt;=60,I67*1.25+3,IF(I67&lt;=120,I67*1.25+4,I67*1.25+5))),
""))),2)</f>
        <v>90.89</v>
      </c>
      <c r="I67" s="9">
        <f>($K$2+0.02)*Tabla1[[#This Row],[PRECIO $]]*1.18</f>
        <v>75.557759999999988</v>
      </c>
      <c r="J67" s="7">
        <f>+Tabla1[[#This Row],[PRECIO EN SOLES]]-Tabla1[[#This Row],[PC]]</f>
        <v>15.332240000000013</v>
      </c>
      <c r="K67" s="15"/>
      <c r="L67" s="15" t="str">
        <f>IF(
OR(
ISNUMBER(SEARCH("BACKPACK",B69)),
ISNUMBER(SEARCH("MOCHILA",B69)),
ISNUMBER(SEARCH("FUNDA",B69)),
ISNUMBER(SEARCH("ESTUCHE",B69)),
ISNUMBER(SEARCH("BOOK COVER",B69)),
ISNUMBER(SEARCH("KEYBOARD PARA TABLET",B69)),
ISNUMBER(SEARCH("FLIP TABLET",B69)),
ISNUMBER(SEARCH("CASE FOR TABLET",B69)),
ISNUMBER(SEARCH("CABLE",B69)),
ISNUMBER(SEARCH("ADAPTADOR",B69)),
ISNUMBER(SEARCH("HUB",B69)),
ISNUMBER(SEARCH("DOCK",B69)),
ISNUMBER(SEARCH("MOUSE PAD",B69)),
ISNUMBER(SEARCH("MOUSEPAD",B69)),
ISNUMBER(SEARCH("SOPORTE",B69)),
ISNUMBER(SEARCH("STAND",B69)),
ISNUMBER(SEARCH("TRAVEL ADAPTER",B69)),
ISNUMBER(SEARCH("RJ45",B69)),
ISNUMBER(SEARCH("USB-C",B69)),
ISNUMBER(SEARCH("USB WIFI",B69)),
ISNUMBER(SEARCH("POWERBANK",B69)),
ISNUMBER(SEARCH("CARGADOR",B69)),
ISNUMBER(SEARCH("COOLER PARA NB",B69)),
ISNUMBER(SEARCH("SOPORTE PARA NB",B69)),
ISNUMBER(SEARCH("WEBCAM",B69)),
ISNUMBER(SEARCH("WEB CAM",B69)),
ISNUMBER(SEARCH("MOUSE",B69)),
ISNUMBER(SEARCH("TECLADO",B69))
),
"COMPLEMENTO",
IF(
OR(
LEFT(A69,2)="NB",
LEFT(A69,2)="PC",
LEFT(A69,2)="WS",
LEFT(A69,2)="TB",
LEFT(A69,3)="CEL",
LEFT(A69,3)="MON",
LEFT(A69,3)="PRE",
LEFT(A69,3)="PRH",
ISNUMBER(SEARCH("NOTEBOOK",B69)),
ISNUMBER(SEARCH("LAPTOP",B69)),
ISNUMBER(SEARCH("MONITOR",B69)),
ISNUMBER(SEARCH("TABLET",B69)),
ISNUMBER(SEARCH("SMARTPH",B69)),
ISNUMBER(SEARCH("IMPRESORA",B69)),
ISNUMBER(SEARCH("MULTIFUNCIONAL",B69)),
ISNUMBER(SEARCH("AIO",B69))
),
"GANCHO",
"NORMAL"
)
)</f>
        <v>NORMAL</v>
      </c>
    </row>
    <row r="68" spans="1:12" x14ac:dyDescent="0.25">
      <c r="A68" s="3" t="s">
        <v>87</v>
      </c>
      <c r="B68" s="3" t="s">
        <v>88</v>
      </c>
      <c r="C68" s="1">
        <v>20</v>
      </c>
      <c r="D68" s="1">
        <v>18.399999999999999</v>
      </c>
      <c r="E68" s="1" t="s">
        <v>52</v>
      </c>
      <c r="F68" s="1" t="s">
        <v>3101</v>
      </c>
      <c r="G68" s="3" t="s">
        <v>89</v>
      </c>
      <c r="H68" s="11">
        <f>ROUND(
IF(L66="GANCHO",
   IF(I68&lt;=50,I68*1.1+4,IF(I68&lt;=120,I68*1.1+7,IF(I68&lt;=250,I68*1.1+11,I68*1.1+19))),
IF(L66="NORMAL",
   IF(I68&lt;=30,I68*1.15+2,IF(I68&lt;=80,I68*1.15+4,IF(I68&lt;=150,I68*1.15+6,I68*1.15+8))),
IF(L66="COMPLEMENTO",
   IF(I68&lt;=25,I68*1.25+1.5,IF(I68&lt;=60,I68*1.25+3,IF(I68&lt;=120,I68*1.25+4,I68*1.25+5))),
""))),2)</f>
        <v>90.89</v>
      </c>
      <c r="I68" s="9">
        <f>($K$2+0.02)*Tabla1[[#This Row],[PRECIO $]]*1.18</f>
        <v>75.557759999999988</v>
      </c>
      <c r="J68" s="7">
        <f>+Tabla1[[#This Row],[PRECIO EN SOLES]]-Tabla1[[#This Row],[PC]]</f>
        <v>15.332240000000013</v>
      </c>
      <c r="K68" s="15"/>
      <c r="L68" s="15" t="str">
        <f>IF(
OR(
ISNUMBER(SEARCH("BACKPACK",B70)),
ISNUMBER(SEARCH("MOCHILA",B70)),
ISNUMBER(SEARCH("FUNDA",B70)),
ISNUMBER(SEARCH("ESTUCHE",B70)),
ISNUMBER(SEARCH("BOOK COVER",B70)),
ISNUMBER(SEARCH("KEYBOARD PARA TABLET",B70)),
ISNUMBER(SEARCH("FLIP TABLET",B70)),
ISNUMBER(SEARCH("CASE FOR TABLET",B70)),
ISNUMBER(SEARCH("CABLE",B70)),
ISNUMBER(SEARCH("ADAPTADOR",B70)),
ISNUMBER(SEARCH("HUB",B70)),
ISNUMBER(SEARCH("DOCK",B70)),
ISNUMBER(SEARCH("MOUSE PAD",B70)),
ISNUMBER(SEARCH("MOUSEPAD",B70)),
ISNUMBER(SEARCH("SOPORTE",B70)),
ISNUMBER(SEARCH("STAND",B70)),
ISNUMBER(SEARCH("TRAVEL ADAPTER",B70)),
ISNUMBER(SEARCH("RJ45",B70)),
ISNUMBER(SEARCH("USB-C",B70)),
ISNUMBER(SEARCH("USB WIFI",B70)),
ISNUMBER(SEARCH("POWERBANK",B70)),
ISNUMBER(SEARCH("CARGADOR",B70)),
ISNUMBER(SEARCH("COOLER PARA NB",B70)),
ISNUMBER(SEARCH("SOPORTE PARA NB",B70)),
ISNUMBER(SEARCH("WEBCAM",B70)),
ISNUMBER(SEARCH("WEB CAM",B70)),
ISNUMBER(SEARCH("MOUSE",B70)),
ISNUMBER(SEARCH("TECLADO",B70))
),
"COMPLEMENTO",
IF(
OR(
LEFT(A70,2)="NB",
LEFT(A70,2)="PC",
LEFT(A70,2)="WS",
LEFT(A70,2)="TB",
LEFT(A70,3)="CEL",
LEFT(A70,3)="MON",
LEFT(A70,3)="PRE",
LEFT(A70,3)="PRH",
ISNUMBER(SEARCH("NOTEBOOK",B70)),
ISNUMBER(SEARCH("LAPTOP",B70)),
ISNUMBER(SEARCH("MONITOR",B70)),
ISNUMBER(SEARCH("TABLET",B70)),
ISNUMBER(SEARCH("SMARTPH",B70)),
ISNUMBER(SEARCH("IMPRESORA",B70)),
ISNUMBER(SEARCH("MULTIFUNCIONAL",B70)),
ISNUMBER(SEARCH("AIO",B70))
),
"GANCHO",
"NORMAL"
)
)</f>
        <v>NORMAL</v>
      </c>
    </row>
    <row r="69" spans="1:12" x14ac:dyDescent="0.25">
      <c r="A69" s="3" t="s">
        <v>839</v>
      </c>
      <c r="B69" s="3" t="s">
        <v>840</v>
      </c>
      <c r="C69" s="1">
        <v>20</v>
      </c>
      <c r="D69" s="1">
        <v>18.399999999999999</v>
      </c>
      <c r="E69" s="1" t="s">
        <v>52</v>
      </c>
      <c r="F69" s="1" t="s">
        <v>3102</v>
      </c>
      <c r="G69" s="3" t="s">
        <v>841</v>
      </c>
      <c r="H69" s="11">
        <f>ROUND(
IF(L67="GANCHO",
   IF(I69&lt;=50,I69*1.1+4,IF(I69&lt;=120,I69*1.1+7,IF(I69&lt;=250,I69*1.1+11,I69*1.1+19))),
IF(L67="NORMAL",
   IF(I69&lt;=30,I69*1.15+2,IF(I69&lt;=80,I69*1.15+4,IF(I69&lt;=150,I69*1.15+6,I69*1.15+8))),
IF(L67="COMPLEMENTO",
   IF(I69&lt;=25,I69*1.25+1.5,IF(I69&lt;=60,I69*1.25+3,IF(I69&lt;=120,I69*1.25+4,I69*1.25+5))),
""))),2)</f>
        <v>90.89</v>
      </c>
      <c r="I69" s="9">
        <f>($K$2+0.02)*Tabla1[[#This Row],[PRECIO $]]*1.18</f>
        <v>75.557759999999988</v>
      </c>
      <c r="J69" s="7">
        <f>+Tabla1[[#This Row],[PRECIO EN SOLES]]-Tabla1[[#This Row],[PC]]</f>
        <v>15.332240000000013</v>
      </c>
      <c r="K69" s="15"/>
      <c r="L69" s="15" t="str">
        <f>IF(
OR(
ISNUMBER(SEARCH("BACKPACK",B71)),
ISNUMBER(SEARCH("MOCHILA",B71)),
ISNUMBER(SEARCH("FUNDA",B71)),
ISNUMBER(SEARCH("ESTUCHE",B71)),
ISNUMBER(SEARCH("BOOK COVER",B71)),
ISNUMBER(SEARCH("KEYBOARD PARA TABLET",B71)),
ISNUMBER(SEARCH("FLIP TABLET",B71)),
ISNUMBER(SEARCH("CASE FOR TABLET",B71)),
ISNUMBER(SEARCH("CABLE",B71)),
ISNUMBER(SEARCH("ADAPTADOR",B71)),
ISNUMBER(SEARCH("HUB",B71)),
ISNUMBER(SEARCH("DOCK",B71)),
ISNUMBER(SEARCH("MOUSE PAD",B71)),
ISNUMBER(SEARCH("MOUSEPAD",B71)),
ISNUMBER(SEARCH("SOPORTE",B71)),
ISNUMBER(SEARCH("STAND",B71)),
ISNUMBER(SEARCH("TRAVEL ADAPTER",B71)),
ISNUMBER(SEARCH("RJ45",B71)),
ISNUMBER(SEARCH("USB-C",B71)),
ISNUMBER(SEARCH("USB WIFI",B71)),
ISNUMBER(SEARCH("POWERBANK",B71)),
ISNUMBER(SEARCH("CARGADOR",B71)),
ISNUMBER(SEARCH("COOLER PARA NB",B71)),
ISNUMBER(SEARCH("SOPORTE PARA NB",B71)),
ISNUMBER(SEARCH("WEBCAM",B71)),
ISNUMBER(SEARCH("WEB CAM",B71)),
ISNUMBER(SEARCH("MOUSE",B71)),
ISNUMBER(SEARCH("TECLADO",B71))
),
"COMPLEMENTO",
IF(
OR(
LEFT(A71,2)="NB",
LEFT(A71,2)="PC",
LEFT(A71,2)="WS",
LEFT(A71,2)="TB",
LEFT(A71,3)="CEL",
LEFT(A71,3)="MON",
LEFT(A71,3)="PRE",
LEFT(A71,3)="PRH",
ISNUMBER(SEARCH("NOTEBOOK",B71)),
ISNUMBER(SEARCH("LAPTOP",B71)),
ISNUMBER(SEARCH("MONITOR",B71)),
ISNUMBER(SEARCH("TABLET",B71)),
ISNUMBER(SEARCH("SMARTPH",B71)),
ISNUMBER(SEARCH("IMPRESORA",B71)),
ISNUMBER(SEARCH("MULTIFUNCIONAL",B71)),
ISNUMBER(SEARCH("AIO",B71))
),
"GANCHO",
"NORMAL"
)
)</f>
        <v>NORMAL</v>
      </c>
    </row>
    <row r="70" spans="1:12" x14ac:dyDescent="0.25">
      <c r="A70" s="3" t="s">
        <v>90</v>
      </c>
      <c r="B70" s="3" t="s">
        <v>91</v>
      </c>
      <c r="C70" s="1">
        <v>20</v>
      </c>
      <c r="D70" s="1">
        <v>14.5</v>
      </c>
      <c r="E70" s="1" t="s">
        <v>52</v>
      </c>
      <c r="F70" s="1" t="s">
        <v>3103</v>
      </c>
      <c r="G70" s="3" t="s">
        <v>92</v>
      </c>
      <c r="H70" s="11">
        <f>ROUND(
IF(L68="GANCHO",
   IF(I70&lt;=50,I70*1.1+4,IF(I70&lt;=120,I70*1.1+7,IF(I70&lt;=250,I70*1.1+11,I70*1.1+19))),
IF(L68="NORMAL",
   IF(I70&lt;=30,I70*1.15+2,IF(I70&lt;=80,I70*1.15+4,IF(I70&lt;=150,I70*1.15+6,I70*1.15+8))),
IF(L68="COMPLEMENTO",
   IF(I70&lt;=25,I70*1.25+1.5,IF(I70&lt;=60,I70*1.25+3,IF(I70&lt;=120,I70*1.25+4,I70*1.25+5))),
""))),2)</f>
        <v>72.47</v>
      </c>
      <c r="I70" s="9">
        <f>($K$2+0.02)*Tabla1[[#This Row],[PRECIO $]]*1.18</f>
        <v>59.5428</v>
      </c>
      <c r="J70" s="7">
        <f>+Tabla1[[#This Row],[PRECIO EN SOLES]]-Tabla1[[#This Row],[PC]]</f>
        <v>12.927199999999999</v>
      </c>
      <c r="K70" s="15"/>
      <c r="L70" s="15" t="str">
        <f>IF(
OR(
ISNUMBER(SEARCH("BACKPACK",B72)),
ISNUMBER(SEARCH("MOCHILA",B72)),
ISNUMBER(SEARCH("FUNDA",B72)),
ISNUMBER(SEARCH("ESTUCHE",B72)),
ISNUMBER(SEARCH("BOOK COVER",B72)),
ISNUMBER(SEARCH("KEYBOARD PARA TABLET",B72)),
ISNUMBER(SEARCH("FLIP TABLET",B72)),
ISNUMBER(SEARCH("CASE FOR TABLET",B72)),
ISNUMBER(SEARCH("CABLE",B72)),
ISNUMBER(SEARCH("ADAPTADOR",B72)),
ISNUMBER(SEARCH("HUB",B72)),
ISNUMBER(SEARCH("DOCK",B72)),
ISNUMBER(SEARCH("MOUSE PAD",B72)),
ISNUMBER(SEARCH("MOUSEPAD",B72)),
ISNUMBER(SEARCH("SOPORTE",B72)),
ISNUMBER(SEARCH("STAND",B72)),
ISNUMBER(SEARCH("TRAVEL ADAPTER",B72)),
ISNUMBER(SEARCH("RJ45",B72)),
ISNUMBER(SEARCH("USB-C",B72)),
ISNUMBER(SEARCH("USB WIFI",B72)),
ISNUMBER(SEARCH("POWERBANK",B72)),
ISNUMBER(SEARCH("CARGADOR",B72)),
ISNUMBER(SEARCH("COOLER PARA NB",B72)),
ISNUMBER(SEARCH("SOPORTE PARA NB",B72)),
ISNUMBER(SEARCH("WEBCAM",B72)),
ISNUMBER(SEARCH("WEB CAM",B72)),
ISNUMBER(SEARCH("MOUSE",B72)),
ISNUMBER(SEARCH("TECLADO",B72))
),
"COMPLEMENTO",
IF(
OR(
LEFT(A72,2)="NB",
LEFT(A72,2)="PC",
LEFT(A72,2)="WS",
LEFT(A72,2)="TB",
LEFT(A72,3)="CEL",
LEFT(A72,3)="MON",
LEFT(A72,3)="PRE",
LEFT(A72,3)="PRH",
ISNUMBER(SEARCH("NOTEBOOK",B72)),
ISNUMBER(SEARCH("LAPTOP",B72)),
ISNUMBER(SEARCH("MONITOR",B72)),
ISNUMBER(SEARCH("TABLET",B72)),
ISNUMBER(SEARCH("SMARTPH",B72)),
ISNUMBER(SEARCH("IMPRESORA",B72)),
ISNUMBER(SEARCH("MULTIFUNCIONAL",B72)),
ISNUMBER(SEARCH("AIO",B72))
),
"GANCHO",
"NORMAL"
)
)</f>
        <v>NORMAL</v>
      </c>
    </row>
    <row r="71" spans="1:12" x14ac:dyDescent="0.25">
      <c r="A71" s="3" t="s">
        <v>842</v>
      </c>
      <c r="B71" s="3" t="s">
        <v>843</v>
      </c>
      <c r="C71" s="1">
        <v>20</v>
      </c>
      <c r="D71" s="1">
        <v>23.4</v>
      </c>
      <c r="E71" s="1" t="s">
        <v>837</v>
      </c>
      <c r="F71" s="1" t="s">
        <v>3104</v>
      </c>
      <c r="G71" s="3" t="s">
        <v>844</v>
      </c>
      <c r="H71" s="11">
        <f>ROUND(
IF(L69="GANCHO",
   IF(I71&lt;=50,I71*1.1+4,IF(I71&lt;=120,I71*1.1+7,IF(I71&lt;=250,I71*1.1+11,I71*1.1+19))),
IF(L69="NORMAL",
   IF(I71&lt;=30,I71*1.15+2,IF(I71&lt;=80,I71*1.15+4,IF(I71&lt;=150,I71*1.15+6,I71*1.15+8))),
IF(L69="COMPLEMENTO",
   IF(I71&lt;=25,I71*1.25+1.5,IF(I71&lt;=60,I71*1.25+3,IF(I71&lt;=120,I71*1.25+4,I71*1.25+5))),
""))),2)</f>
        <v>116.5</v>
      </c>
      <c r="I71" s="9">
        <f>($K$2+0.02)*Tabla1[[#This Row],[PRECIO $]]*1.18</f>
        <v>96.089759999999984</v>
      </c>
      <c r="J71" s="7">
        <f>+Tabla1[[#This Row],[PRECIO EN SOLES]]-Tabla1[[#This Row],[PC]]</f>
        <v>20.410240000000016</v>
      </c>
      <c r="K71" s="15"/>
      <c r="L71" s="15" t="str">
        <f>IF(
OR(
ISNUMBER(SEARCH("BACKPACK",B73)),
ISNUMBER(SEARCH("MOCHILA",B73)),
ISNUMBER(SEARCH("FUNDA",B73)),
ISNUMBER(SEARCH("ESTUCHE",B73)),
ISNUMBER(SEARCH("BOOK COVER",B73)),
ISNUMBER(SEARCH("KEYBOARD PARA TABLET",B73)),
ISNUMBER(SEARCH("FLIP TABLET",B73)),
ISNUMBER(SEARCH("CASE FOR TABLET",B73)),
ISNUMBER(SEARCH("CABLE",B73)),
ISNUMBER(SEARCH("ADAPTADOR",B73)),
ISNUMBER(SEARCH("HUB",B73)),
ISNUMBER(SEARCH("DOCK",B73)),
ISNUMBER(SEARCH("MOUSE PAD",B73)),
ISNUMBER(SEARCH("MOUSEPAD",B73)),
ISNUMBER(SEARCH("SOPORTE",B73)),
ISNUMBER(SEARCH("STAND",B73)),
ISNUMBER(SEARCH("TRAVEL ADAPTER",B73)),
ISNUMBER(SEARCH("RJ45",B73)),
ISNUMBER(SEARCH("USB-C",B73)),
ISNUMBER(SEARCH("USB WIFI",B73)),
ISNUMBER(SEARCH("POWERBANK",B73)),
ISNUMBER(SEARCH("CARGADOR",B73)),
ISNUMBER(SEARCH("COOLER PARA NB",B73)),
ISNUMBER(SEARCH("SOPORTE PARA NB",B73)),
ISNUMBER(SEARCH("WEBCAM",B73)),
ISNUMBER(SEARCH("WEB CAM",B73)),
ISNUMBER(SEARCH("MOUSE",B73)),
ISNUMBER(SEARCH("TECLADO",B73))
),
"COMPLEMENTO",
IF(
OR(
LEFT(A73,2)="NB",
LEFT(A73,2)="PC",
LEFT(A73,2)="WS",
LEFT(A73,2)="TB",
LEFT(A73,3)="CEL",
LEFT(A73,3)="MON",
LEFT(A73,3)="PRE",
LEFT(A73,3)="PRH",
ISNUMBER(SEARCH("NOTEBOOK",B73)),
ISNUMBER(SEARCH("LAPTOP",B73)),
ISNUMBER(SEARCH("MONITOR",B73)),
ISNUMBER(SEARCH("TABLET",B73)),
ISNUMBER(SEARCH("SMARTPH",B73)),
ISNUMBER(SEARCH("IMPRESORA",B73)),
ISNUMBER(SEARCH("MULTIFUNCIONAL",B73)),
ISNUMBER(SEARCH("AIO",B73))
),
"GANCHO",
"NORMAL"
)
)</f>
        <v>NORMAL</v>
      </c>
    </row>
    <row r="72" spans="1:12" x14ac:dyDescent="0.25">
      <c r="A72" s="3" t="s">
        <v>845</v>
      </c>
      <c r="B72" s="3" t="s">
        <v>846</v>
      </c>
      <c r="C72" s="1">
        <v>20</v>
      </c>
      <c r="D72" s="1">
        <v>30</v>
      </c>
      <c r="E72" s="1" t="s">
        <v>74</v>
      </c>
      <c r="F72" s="1" t="s">
        <v>3105</v>
      </c>
      <c r="G72" s="3" t="s">
        <v>847</v>
      </c>
      <c r="H72" s="11">
        <f>ROUND(
IF(L70="GANCHO",
   IF(I72&lt;=50,I72*1.1+4,IF(I72&lt;=120,I72*1.1+7,IF(I72&lt;=250,I72*1.1+11,I72*1.1+19))),
IF(L70="NORMAL",
   IF(I72&lt;=30,I72*1.15+2,IF(I72&lt;=80,I72*1.15+4,IF(I72&lt;=150,I72*1.15+6,I72*1.15+8))),
IF(L70="COMPLEMENTO",
   IF(I72&lt;=25,I72*1.25+1.5,IF(I72&lt;=60,I72*1.25+3,IF(I72&lt;=120,I72*1.25+4,I72*1.25+5))),
""))),2)</f>
        <v>147.66999999999999</v>
      </c>
      <c r="I72" s="9">
        <f>($K$2+0.02)*Tabla1[[#This Row],[PRECIO $]]*1.18</f>
        <v>123.19200000000001</v>
      </c>
      <c r="J72" s="7">
        <f>+Tabla1[[#This Row],[PRECIO EN SOLES]]-Tabla1[[#This Row],[PC]]</f>
        <v>24.47799999999998</v>
      </c>
      <c r="K72" s="15"/>
      <c r="L72" s="15" t="str">
        <f>IF(
OR(
ISNUMBER(SEARCH("BACKPACK",B74)),
ISNUMBER(SEARCH("MOCHILA",B74)),
ISNUMBER(SEARCH("FUNDA",B74)),
ISNUMBER(SEARCH("ESTUCHE",B74)),
ISNUMBER(SEARCH("BOOK COVER",B74)),
ISNUMBER(SEARCH("KEYBOARD PARA TABLET",B74)),
ISNUMBER(SEARCH("FLIP TABLET",B74)),
ISNUMBER(SEARCH("CASE FOR TABLET",B74)),
ISNUMBER(SEARCH("CABLE",B74)),
ISNUMBER(SEARCH("ADAPTADOR",B74)),
ISNUMBER(SEARCH("HUB",B74)),
ISNUMBER(SEARCH("DOCK",B74)),
ISNUMBER(SEARCH("MOUSE PAD",B74)),
ISNUMBER(SEARCH("MOUSEPAD",B74)),
ISNUMBER(SEARCH("SOPORTE",B74)),
ISNUMBER(SEARCH("STAND",B74)),
ISNUMBER(SEARCH("TRAVEL ADAPTER",B74)),
ISNUMBER(SEARCH("RJ45",B74)),
ISNUMBER(SEARCH("USB-C",B74)),
ISNUMBER(SEARCH("USB WIFI",B74)),
ISNUMBER(SEARCH("POWERBANK",B74)),
ISNUMBER(SEARCH("CARGADOR",B74)),
ISNUMBER(SEARCH("COOLER PARA NB",B74)),
ISNUMBER(SEARCH("SOPORTE PARA NB",B74)),
ISNUMBER(SEARCH("WEBCAM",B74)),
ISNUMBER(SEARCH("WEB CAM",B74)),
ISNUMBER(SEARCH("MOUSE",B74)),
ISNUMBER(SEARCH("TECLADO",B74))
),
"COMPLEMENTO",
IF(
OR(
LEFT(A74,2)="NB",
LEFT(A74,2)="PC",
LEFT(A74,2)="WS",
LEFT(A74,2)="TB",
LEFT(A74,3)="CEL",
LEFT(A74,3)="MON",
LEFT(A74,3)="PRE",
LEFT(A74,3)="PRH",
ISNUMBER(SEARCH("NOTEBOOK",B74)),
ISNUMBER(SEARCH("LAPTOP",B74)),
ISNUMBER(SEARCH("MONITOR",B74)),
ISNUMBER(SEARCH("TABLET",B74)),
ISNUMBER(SEARCH("SMARTPH",B74)),
ISNUMBER(SEARCH("IMPRESORA",B74)),
ISNUMBER(SEARCH("MULTIFUNCIONAL",B74)),
ISNUMBER(SEARCH("AIO",B74))
),
"GANCHO",
"NORMAL"
)
)</f>
        <v>NORMAL</v>
      </c>
    </row>
    <row r="73" spans="1:12" x14ac:dyDescent="0.25">
      <c r="A73" s="3" t="s">
        <v>93</v>
      </c>
      <c r="B73" s="3" t="s">
        <v>94</v>
      </c>
      <c r="C73" s="1">
        <v>20</v>
      </c>
      <c r="D73" s="1">
        <v>22</v>
      </c>
      <c r="E73" s="1" t="s">
        <v>95</v>
      </c>
      <c r="F73" s="1" t="s">
        <v>3106</v>
      </c>
      <c r="G73" s="3" t="s">
        <v>96</v>
      </c>
      <c r="H73" s="11">
        <f>ROUND(
IF(L71="GANCHO",
   IF(I73&lt;=50,I73*1.1+4,IF(I73&lt;=120,I73*1.1+7,IF(I73&lt;=250,I73*1.1+11,I73*1.1+19))),
IF(L71="NORMAL",
   IF(I73&lt;=30,I73*1.15+2,IF(I73&lt;=80,I73*1.15+4,IF(I73&lt;=150,I73*1.15+6,I73*1.15+8))),
IF(L71="COMPLEMENTO",
   IF(I73&lt;=25,I73*1.25+1.5,IF(I73&lt;=60,I73*1.25+3,IF(I73&lt;=120,I73*1.25+4,I73*1.25+5))),
""))),2)</f>
        <v>109.89</v>
      </c>
      <c r="I73" s="9">
        <f>($K$2+0.02)*Tabla1[[#This Row],[PRECIO $]]*1.18</f>
        <v>90.340800000000002</v>
      </c>
      <c r="J73" s="7">
        <f>+Tabla1[[#This Row],[PRECIO EN SOLES]]-Tabla1[[#This Row],[PC]]</f>
        <v>19.549199999999999</v>
      </c>
      <c r="K73" s="15"/>
      <c r="L73" s="15" t="str">
        <f>IF(
OR(
ISNUMBER(SEARCH("BACKPACK",B75)),
ISNUMBER(SEARCH("MOCHILA",B75)),
ISNUMBER(SEARCH("FUNDA",B75)),
ISNUMBER(SEARCH("ESTUCHE",B75)),
ISNUMBER(SEARCH("BOOK COVER",B75)),
ISNUMBER(SEARCH("KEYBOARD PARA TABLET",B75)),
ISNUMBER(SEARCH("FLIP TABLET",B75)),
ISNUMBER(SEARCH("CASE FOR TABLET",B75)),
ISNUMBER(SEARCH("CABLE",B75)),
ISNUMBER(SEARCH("ADAPTADOR",B75)),
ISNUMBER(SEARCH("HUB",B75)),
ISNUMBER(SEARCH("DOCK",B75)),
ISNUMBER(SEARCH("MOUSE PAD",B75)),
ISNUMBER(SEARCH("MOUSEPAD",B75)),
ISNUMBER(SEARCH("SOPORTE",B75)),
ISNUMBER(SEARCH("STAND",B75)),
ISNUMBER(SEARCH("TRAVEL ADAPTER",B75)),
ISNUMBER(SEARCH("RJ45",B75)),
ISNUMBER(SEARCH("USB-C",B75)),
ISNUMBER(SEARCH("USB WIFI",B75)),
ISNUMBER(SEARCH("POWERBANK",B75)),
ISNUMBER(SEARCH("CARGADOR",B75)),
ISNUMBER(SEARCH("COOLER PARA NB",B75)),
ISNUMBER(SEARCH("SOPORTE PARA NB",B75)),
ISNUMBER(SEARCH("WEBCAM",B75)),
ISNUMBER(SEARCH("WEB CAM",B75)),
ISNUMBER(SEARCH("MOUSE",B75)),
ISNUMBER(SEARCH("TECLADO",B75))
),
"COMPLEMENTO",
IF(
OR(
LEFT(A75,2)="NB",
LEFT(A75,2)="PC",
LEFT(A75,2)="WS",
LEFT(A75,2)="TB",
LEFT(A75,3)="CEL",
LEFT(A75,3)="MON",
LEFT(A75,3)="PRE",
LEFT(A75,3)="PRH",
ISNUMBER(SEARCH("NOTEBOOK",B75)),
ISNUMBER(SEARCH("LAPTOP",B75)),
ISNUMBER(SEARCH("MONITOR",B75)),
ISNUMBER(SEARCH("TABLET",B75)),
ISNUMBER(SEARCH("SMARTPH",B75)),
ISNUMBER(SEARCH("IMPRESORA",B75)),
ISNUMBER(SEARCH("MULTIFUNCIONAL",B75)),
ISNUMBER(SEARCH("AIO",B75))
),
"GANCHO",
"NORMAL"
)
)</f>
        <v>NORMAL</v>
      </c>
    </row>
    <row r="74" spans="1:12" x14ac:dyDescent="0.25">
      <c r="A74" s="3" t="s">
        <v>6255</v>
      </c>
      <c r="B74" s="3" t="s">
        <v>6256</v>
      </c>
      <c r="C74" s="1">
        <v>20</v>
      </c>
      <c r="D74" s="1">
        <v>10.4</v>
      </c>
      <c r="E74" s="1" t="s">
        <v>52</v>
      </c>
      <c r="F74" s="1" t="s">
        <v>6257</v>
      </c>
      <c r="G74" s="3" t="s">
        <v>6258</v>
      </c>
      <c r="H74" s="11">
        <f>ROUND(
IF(L72="GANCHO",
   IF(I74&lt;=50,I74*1.1+4,IF(I74&lt;=120,I74*1.1+7,IF(I74&lt;=250,I74*1.1+11,I74*1.1+19))),
IF(L72="NORMAL",
   IF(I74&lt;=30,I74*1.15+2,IF(I74&lt;=80,I74*1.15+4,IF(I74&lt;=150,I74*1.15+6,I74*1.15+8))),
IF(L72="COMPLEMENTO",
   IF(I74&lt;=25,I74*1.25+1.5,IF(I74&lt;=60,I74*1.25+3,IF(I74&lt;=120,I74*1.25+4,I74*1.25+5))),
""))),2)</f>
        <v>53.11</v>
      </c>
      <c r="I74" s="9">
        <f>($K$2+0.02)*Tabla1[[#This Row],[PRECIO $]]*1.18</f>
        <v>42.706559999999996</v>
      </c>
      <c r="J74" s="7">
        <f>+Tabla1[[#This Row],[PRECIO EN SOLES]]-Tabla1[[#This Row],[PC]]</f>
        <v>10.403440000000003</v>
      </c>
      <c r="K74" s="15"/>
      <c r="L74" s="15" t="str">
        <f>IF(
OR(
ISNUMBER(SEARCH("BACKPACK",B76)),
ISNUMBER(SEARCH("MOCHILA",B76)),
ISNUMBER(SEARCH("FUNDA",B76)),
ISNUMBER(SEARCH("ESTUCHE",B76)),
ISNUMBER(SEARCH("BOOK COVER",B76)),
ISNUMBER(SEARCH("KEYBOARD PARA TABLET",B76)),
ISNUMBER(SEARCH("FLIP TABLET",B76)),
ISNUMBER(SEARCH("CASE FOR TABLET",B76)),
ISNUMBER(SEARCH("CABLE",B76)),
ISNUMBER(SEARCH("ADAPTADOR",B76)),
ISNUMBER(SEARCH("HUB",B76)),
ISNUMBER(SEARCH("DOCK",B76)),
ISNUMBER(SEARCH("MOUSE PAD",B76)),
ISNUMBER(SEARCH("MOUSEPAD",B76)),
ISNUMBER(SEARCH("SOPORTE",B76)),
ISNUMBER(SEARCH("STAND",B76)),
ISNUMBER(SEARCH("TRAVEL ADAPTER",B76)),
ISNUMBER(SEARCH("RJ45",B76)),
ISNUMBER(SEARCH("USB-C",B76)),
ISNUMBER(SEARCH("USB WIFI",B76)),
ISNUMBER(SEARCH("POWERBANK",B76)),
ISNUMBER(SEARCH("CARGADOR",B76)),
ISNUMBER(SEARCH("COOLER PARA NB",B76)),
ISNUMBER(SEARCH("SOPORTE PARA NB",B76)),
ISNUMBER(SEARCH("WEBCAM",B76)),
ISNUMBER(SEARCH("WEB CAM",B76)),
ISNUMBER(SEARCH("MOUSE",B76)),
ISNUMBER(SEARCH("TECLADO",B76))
),
"COMPLEMENTO",
IF(
OR(
LEFT(A76,2)="NB",
LEFT(A76,2)="PC",
LEFT(A76,2)="WS",
LEFT(A76,2)="TB",
LEFT(A76,3)="CEL",
LEFT(A76,3)="MON",
LEFT(A76,3)="PRE",
LEFT(A76,3)="PRH",
ISNUMBER(SEARCH("NOTEBOOK",B76)),
ISNUMBER(SEARCH("LAPTOP",B76)),
ISNUMBER(SEARCH("MONITOR",B76)),
ISNUMBER(SEARCH("TABLET",B76)),
ISNUMBER(SEARCH("SMARTPH",B76)),
ISNUMBER(SEARCH("IMPRESORA",B76)),
ISNUMBER(SEARCH("MULTIFUNCIONAL",B76)),
ISNUMBER(SEARCH("AIO",B76))
),
"GANCHO",
"NORMAL"
)
)</f>
        <v>NORMAL</v>
      </c>
    </row>
    <row r="75" spans="1:12" x14ac:dyDescent="0.25">
      <c r="A75" s="3" t="s">
        <v>6259</v>
      </c>
      <c r="B75" s="3" t="s">
        <v>6260</v>
      </c>
      <c r="C75" s="1">
        <v>20</v>
      </c>
      <c r="D75" s="1">
        <v>10.4</v>
      </c>
      <c r="E75" s="1" t="s">
        <v>52</v>
      </c>
      <c r="F75" s="1" t="s">
        <v>6261</v>
      </c>
      <c r="G75" s="3" t="s">
        <v>6262</v>
      </c>
      <c r="H75" s="11">
        <f>ROUND(
IF(L73="GANCHO",
   IF(I75&lt;=50,I75*1.1+4,IF(I75&lt;=120,I75*1.1+7,IF(I75&lt;=250,I75*1.1+11,I75*1.1+19))),
IF(L73="NORMAL",
   IF(I75&lt;=30,I75*1.15+2,IF(I75&lt;=80,I75*1.15+4,IF(I75&lt;=150,I75*1.15+6,I75*1.15+8))),
IF(L73="COMPLEMENTO",
   IF(I75&lt;=25,I75*1.25+1.5,IF(I75&lt;=60,I75*1.25+3,IF(I75&lt;=120,I75*1.25+4,I75*1.25+5))),
""))),2)</f>
        <v>53.11</v>
      </c>
      <c r="I75" s="9">
        <f>($K$2+0.02)*Tabla1[[#This Row],[PRECIO $]]*1.18</f>
        <v>42.706559999999996</v>
      </c>
      <c r="J75" s="7">
        <f>+Tabla1[[#This Row],[PRECIO EN SOLES]]-Tabla1[[#This Row],[PC]]</f>
        <v>10.403440000000003</v>
      </c>
      <c r="K75" s="15"/>
      <c r="L75" s="15" t="str">
        <f>IF(
OR(
ISNUMBER(SEARCH("BACKPACK",B77)),
ISNUMBER(SEARCH("MOCHILA",B77)),
ISNUMBER(SEARCH("FUNDA",B77)),
ISNUMBER(SEARCH("ESTUCHE",B77)),
ISNUMBER(SEARCH("BOOK COVER",B77)),
ISNUMBER(SEARCH("KEYBOARD PARA TABLET",B77)),
ISNUMBER(SEARCH("FLIP TABLET",B77)),
ISNUMBER(SEARCH("CASE FOR TABLET",B77)),
ISNUMBER(SEARCH("CABLE",B77)),
ISNUMBER(SEARCH("ADAPTADOR",B77)),
ISNUMBER(SEARCH("HUB",B77)),
ISNUMBER(SEARCH("DOCK",B77)),
ISNUMBER(SEARCH("MOUSE PAD",B77)),
ISNUMBER(SEARCH("MOUSEPAD",B77)),
ISNUMBER(SEARCH("SOPORTE",B77)),
ISNUMBER(SEARCH("STAND",B77)),
ISNUMBER(SEARCH("TRAVEL ADAPTER",B77)),
ISNUMBER(SEARCH("RJ45",B77)),
ISNUMBER(SEARCH("USB-C",B77)),
ISNUMBER(SEARCH("USB WIFI",B77)),
ISNUMBER(SEARCH("POWERBANK",B77)),
ISNUMBER(SEARCH("CARGADOR",B77)),
ISNUMBER(SEARCH("COOLER PARA NB",B77)),
ISNUMBER(SEARCH("SOPORTE PARA NB",B77)),
ISNUMBER(SEARCH("WEBCAM",B77)),
ISNUMBER(SEARCH("WEB CAM",B77)),
ISNUMBER(SEARCH("MOUSE",B77)),
ISNUMBER(SEARCH("TECLADO",B77))
),
"COMPLEMENTO",
IF(
OR(
LEFT(A77,2)="NB",
LEFT(A77,2)="PC",
LEFT(A77,2)="WS",
LEFT(A77,2)="TB",
LEFT(A77,3)="CEL",
LEFT(A77,3)="MON",
LEFT(A77,3)="PRE",
LEFT(A77,3)="PRH",
ISNUMBER(SEARCH("NOTEBOOK",B77)),
ISNUMBER(SEARCH("LAPTOP",B77)),
ISNUMBER(SEARCH("MONITOR",B77)),
ISNUMBER(SEARCH("TABLET",B77)),
ISNUMBER(SEARCH("SMARTPH",B77)),
ISNUMBER(SEARCH("IMPRESORA",B77)),
ISNUMBER(SEARCH("MULTIFUNCIONAL",B77)),
ISNUMBER(SEARCH("AIO",B77))
),
"GANCHO",
"NORMAL"
)
)</f>
        <v>NORMAL</v>
      </c>
    </row>
    <row r="76" spans="1:12" x14ac:dyDescent="0.25">
      <c r="A76" s="3" t="s">
        <v>6263</v>
      </c>
      <c r="B76" s="3" t="s">
        <v>6264</v>
      </c>
      <c r="C76" s="1">
        <v>20</v>
      </c>
      <c r="D76" s="1">
        <v>10.5</v>
      </c>
      <c r="E76" s="1" t="s">
        <v>52</v>
      </c>
      <c r="F76" s="1" t="s">
        <v>6265</v>
      </c>
      <c r="G76" s="3" t="s">
        <v>6266</v>
      </c>
      <c r="H76" s="11">
        <f>ROUND(
IF(L74="GANCHO",
   IF(I76&lt;=50,I76*1.1+4,IF(I76&lt;=120,I76*1.1+7,IF(I76&lt;=250,I76*1.1+11,I76*1.1+19))),
IF(L74="NORMAL",
   IF(I76&lt;=30,I76*1.15+2,IF(I76&lt;=80,I76*1.15+4,IF(I76&lt;=150,I76*1.15+6,I76*1.15+8))),
IF(L74="COMPLEMENTO",
   IF(I76&lt;=25,I76*1.25+1.5,IF(I76&lt;=60,I76*1.25+3,IF(I76&lt;=120,I76*1.25+4,I76*1.25+5))),
""))),2)</f>
        <v>53.58</v>
      </c>
      <c r="I76" s="9">
        <f>($K$2+0.02)*Tabla1[[#This Row],[PRECIO $]]*1.18</f>
        <v>43.117199999999997</v>
      </c>
      <c r="J76" s="7">
        <f>+Tabla1[[#This Row],[PRECIO EN SOLES]]-Tabla1[[#This Row],[PC]]</f>
        <v>10.462800000000001</v>
      </c>
      <c r="K76" s="15"/>
      <c r="L76" s="15" t="str">
        <f>IF(
OR(
ISNUMBER(SEARCH("BACKPACK",B78)),
ISNUMBER(SEARCH("MOCHILA",B78)),
ISNUMBER(SEARCH("FUNDA",B78)),
ISNUMBER(SEARCH("ESTUCHE",B78)),
ISNUMBER(SEARCH("BOOK COVER",B78)),
ISNUMBER(SEARCH("KEYBOARD PARA TABLET",B78)),
ISNUMBER(SEARCH("FLIP TABLET",B78)),
ISNUMBER(SEARCH("CASE FOR TABLET",B78)),
ISNUMBER(SEARCH("CABLE",B78)),
ISNUMBER(SEARCH("ADAPTADOR",B78)),
ISNUMBER(SEARCH("HUB",B78)),
ISNUMBER(SEARCH("DOCK",B78)),
ISNUMBER(SEARCH("MOUSE PAD",B78)),
ISNUMBER(SEARCH("MOUSEPAD",B78)),
ISNUMBER(SEARCH("SOPORTE",B78)),
ISNUMBER(SEARCH("STAND",B78)),
ISNUMBER(SEARCH("TRAVEL ADAPTER",B78)),
ISNUMBER(SEARCH("RJ45",B78)),
ISNUMBER(SEARCH("USB-C",B78)),
ISNUMBER(SEARCH("USB WIFI",B78)),
ISNUMBER(SEARCH("POWERBANK",B78)),
ISNUMBER(SEARCH("CARGADOR",B78)),
ISNUMBER(SEARCH("COOLER PARA NB",B78)),
ISNUMBER(SEARCH("SOPORTE PARA NB",B78)),
ISNUMBER(SEARCH("WEBCAM",B78)),
ISNUMBER(SEARCH("WEB CAM",B78)),
ISNUMBER(SEARCH("MOUSE",B78)),
ISNUMBER(SEARCH("TECLADO",B78))
),
"COMPLEMENTO",
IF(
OR(
LEFT(A78,2)="NB",
LEFT(A78,2)="PC",
LEFT(A78,2)="WS",
LEFT(A78,2)="TB",
LEFT(A78,3)="CEL",
LEFT(A78,3)="MON",
LEFT(A78,3)="PRE",
LEFT(A78,3)="PRH",
ISNUMBER(SEARCH("NOTEBOOK",B78)),
ISNUMBER(SEARCH("LAPTOP",B78)),
ISNUMBER(SEARCH("MONITOR",B78)),
ISNUMBER(SEARCH("TABLET",B78)),
ISNUMBER(SEARCH("SMARTPH",B78)),
ISNUMBER(SEARCH("IMPRESORA",B78)),
ISNUMBER(SEARCH("MULTIFUNCIONAL",B78)),
ISNUMBER(SEARCH("AIO",B78))
),
"GANCHO",
"NORMAL"
)
)</f>
        <v>NORMAL</v>
      </c>
    </row>
    <row r="77" spans="1:12" x14ac:dyDescent="0.25">
      <c r="A77" s="3" t="s">
        <v>6267</v>
      </c>
      <c r="B77" s="3" t="s">
        <v>6268</v>
      </c>
      <c r="C77" s="1">
        <v>20</v>
      </c>
      <c r="D77" s="1">
        <v>10.4</v>
      </c>
      <c r="E77" s="1" t="s">
        <v>52</v>
      </c>
      <c r="F77" s="1" t="s">
        <v>6269</v>
      </c>
      <c r="G77" s="3" t="s">
        <v>6270</v>
      </c>
      <c r="H77" s="11">
        <f>ROUND(
IF(L75="GANCHO",
   IF(I77&lt;=50,I77*1.1+4,IF(I77&lt;=120,I77*1.1+7,IF(I77&lt;=250,I77*1.1+11,I77*1.1+19))),
IF(L75="NORMAL",
   IF(I77&lt;=30,I77*1.15+2,IF(I77&lt;=80,I77*1.15+4,IF(I77&lt;=150,I77*1.15+6,I77*1.15+8))),
IF(L75="COMPLEMENTO",
   IF(I77&lt;=25,I77*1.25+1.5,IF(I77&lt;=60,I77*1.25+3,IF(I77&lt;=120,I77*1.25+4,I77*1.25+5))),
""))),2)</f>
        <v>53.11</v>
      </c>
      <c r="I77" s="9">
        <f>($K$2+0.02)*Tabla1[[#This Row],[PRECIO $]]*1.18</f>
        <v>42.706559999999996</v>
      </c>
      <c r="J77" s="7">
        <f>+Tabla1[[#This Row],[PRECIO EN SOLES]]-Tabla1[[#This Row],[PC]]</f>
        <v>10.403440000000003</v>
      </c>
      <c r="K77" s="15"/>
      <c r="L77" s="15" t="str">
        <f>IF(
OR(
ISNUMBER(SEARCH("BACKPACK",B79)),
ISNUMBER(SEARCH("MOCHILA",B79)),
ISNUMBER(SEARCH("FUNDA",B79)),
ISNUMBER(SEARCH("ESTUCHE",B79)),
ISNUMBER(SEARCH("BOOK COVER",B79)),
ISNUMBER(SEARCH("KEYBOARD PARA TABLET",B79)),
ISNUMBER(SEARCH("FLIP TABLET",B79)),
ISNUMBER(SEARCH("CASE FOR TABLET",B79)),
ISNUMBER(SEARCH("CABLE",B79)),
ISNUMBER(SEARCH("ADAPTADOR",B79)),
ISNUMBER(SEARCH("HUB",B79)),
ISNUMBER(SEARCH("DOCK",B79)),
ISNUMBER(SEARCH("MOUSE PAD",B79)),
ISNUMBER(SEARCH("MOUSEPAD",B79)),
ISNUMBER(SEARCH("SOPORTE",B79)),
ISNUMBER(SEARCH("STAND",B79)),
ISNUMBER(SEARCH("TRAVEL ADAPTER",B79)),
ISNUMBER(SEARCH("RJ45",B79)),
ISNUMBER(SEARCH("USB-C",B79)),
ISNUMBER(SEARCH("USB WIFI",B79)),
ISNUMBER(SEARCH("POWERBANK",B79)),
ISNUMBER(SEARCH("CARGADOR",B79)),
ISNUMBER(SEARCH("COOLER PARA NB",B79)),
ISNUMBER(SEARCH("SOPORTE PARA NB",B79)),
ISNUMBER(SEARCH("WEBCAM",B79)),
ISNUMBER(SEARCH("WEB CAM",B79)),
ISNUMBER(SEARCH("MOUSE",B79)),
ISNUMBER(SEARCH("TECLADO",B79))
),
"COMPLEMENTO",
IF(
OR(
LEFT(A79,2)="NB",
LEFT(A79,2)="PC",
LEFT(A79,2)="WS",
LEFT(A79,2)="TB",
LEFT(A79,3)="CEL",
LEFT(A79,3)="MON",
LEFT(A79,3)="PRE",
LEFT(A79,3)="PRH",
ISNUMBER(SEARCH("NOTEBOOK",B79)),
ISNUMBER(SEARCH("LAPTOP",B79)),
ISNUMBER(SEARCH("MONITOR",B79)),
ISNUMBER(SEARCH("TABLET",B79)),
ISNUMBER(SEARCH("SMARTPH",B79)),
ISNUMBER(SEARCH("IMPRESORA",B79)),
ISNUMBER(SEARCH("MULTIFUNCIONAL",B79)),
ISNUMBER(SEARCH("AIO",B79))
),
"GANCHO",
"NORMAL"
)
)</f>
        <v>NORMAL</v>
      </c>
    </row>
    <row r="78" spans="1:12" x14ac:dyDescent="0.25">
      <c r="A78" s="3" t="s">
        <v>848</v>
      </c>
      <c r="B78" s="3" t="s">
        <v>849</v>
      </c>
      <c r="C78" s="1">
        <v>4</v>
      </c>
      <c r="D78" s="1">
        <v>19.600000000000001</v>
      </c>
      <c r="E78" s="1" t="s">
        <v>57</v>
      </c>
      <c r="F78" s="1" t="s">
        <v>3107</v>
      </c>
      <c r="G78" s="3"/>
      <c r="H78" s="11">
        <f>ROUND(
IF(L76="GANCHO",
   IF(I78&lt;=50,I78*1.1+4,IF(I78&lt;=120,I78*1.1+7,IF(I78&lt;=250,I78*1.1+11,I78*1.1+19))),
IF(L76="NORMAL",
   IF(I78&lt;=30,I78*1.15+2,IF(I78&lt;=80,I78*1.15+4,IF(I78&lt;=150,I78*1.15+6,I78*1.15+8))),
IF(L76="COMPLEMENTO",
   IF(I78&lt;=25,I78*1.25+1.5,IF(I78&lt;=60,I78*1.25+3,IF(I78&lt;=120,I78*1.25+4,I78*1.25+5))),
""))),2)</f>
        <v>98.56</v>
      </c>
      <c r="I78" s="9">
        <f>($K$2+0.02)*Tabla1[[#This Row],[PRECIO $]]*1.18</f>
        <v>80.485439999999997</v>
      </c>
      <c r="J78" s="7">
        <f>+Tabla1[[#This Row],[PRECIO EN SOLES]]-Tabla1[[#This Row],[PC]]</f>
        <v>18.074560000000005</v>
      </c>
      <c r="K78" s="15"/>
      <c r="L78" s="15" t="str">
        <f>IF(
OR(
ISNUMBER(SEARCH("BACKPACK",B80)),
ISNUMBER(SEARCH("MOCHILA",B80)),
ISNUMBER(SEARCH("FUNDA",B80)),
ISNUMBER(SEARCH("ESTUCHE",B80)),
ISNUMBER(SEARCH("BOOK COVER",B80)),
ISNUMBER(SEARCH("KEYBOARD PARA TABLET",B80)),
ISNUMBER(SEARCH("FLIP TABLET",B80)),
ISNUMBER(SEARCH("CASE FOR TABLET",B80)),
ISNUMBER(SEARCH("CABLE",B80)),
ISNUMBER(SEARCH("ADAPTADOR",B80)),
ISNUMBER(SEARCH("HUB",B80)),
ISNUMBER(SEARCH("DOCK",B80)),
ISNUMBER(SEARCH("MOUSE PAD",B80)),
ISNUMBER(SEARCH("MOUSEPAD",B80)),
ISNUMBER(SEARCH("SOPORTE",B80)),
ISNUMBER(SEARCH("STAND",B80)),
ISNUMBER(SEARCH("TRAVEL ADAPTER",B80)),
ISNUMBER(SEARCH("RJ45",B80)),
ISNUMBER(SEARCH("USB-C",B80)),
ISNUMBER(SEARCH("USB WIFI",B80)),
ISNUMBER(SEARCH("POWERBANK",B80)),
ISNUMBER(SEARCH("CARGADOR",B80)),
ISNUMBER(SEARCH("COOLER PARA NB",B80)),
ISNUMBER(SEARCH("SOPORTE PARA NB",B80)),
ISNUMBER(SEARCH("WEBCAM",B80)),
ISNUMBER(SEARCH("WEB CAM",B80)),
ISNUMBER(SEARCH("MOUSE",B80)),
ISNUMBER(SEARCH("TECLADO",B80))
),
"COMPLEMENTO",
IF(
OR(
LEFT(A80,2)="NB",
LEFT(A80,2)="PC",
LEFT(A80,2)="WS",
LEFT(A80,2)="TB",
LEFT(A80,3)="CEL",
LEFT(A80,3)="MON",
LEFT(A80,3)="PRE",
LEFT(A80,3)="PRH",
ISNUMBER(SEARCH("NOTEBOOK",B80)),
ISNUMBER(SEARCH("LAPTOP",B80)),
ISNUMBER(SEARCH("MONITOR",B80)),
ISNUMBER(SEARCH("TABLET",B80)),
ISNUMBER(SEARCH("SMARTPH",B80)),
ISNUMBER(SEARCH("IMPRESORA",B80)),
ISNUMBER(SEARCH("MULTIFUNCIONAL",B80)),
ISNUMBER(SEARCH("AIO",B80))
),
"GANCHO",
"NORMAL"
)
)</f>
        <v>NORMAL</v>
      </c>
    </row>
    <row r="79" spans="1:12" x14ac:dyDescent="0.25">
      <c r="A79" s="3" t="s">
        <v>850</v>
      </c>
      <c r="B79" s="3" t="s">
        <v>851</v>
      </c>
      <c r="C79" s="1">
        <v>1</v>
      </c>
      <c r="D79" s="1">
        <v>13.5</v>
      </c>
      <c r="E79" s="1" t="s">
        <v>852</v>
      </c>
      <c r="F79" s="1" t="s">
        <v>3108</v>
      </c>
      <c r="G79" s="3" t="s">
        <v>853</v>
      </c>
      <c r="H79" s="11">
        <f>ROUND(
IF(L77="GANCHO",
   IF(I79&lt;=50,I79*1.1+4,IF(I79&lt;=120,I79*1.1+7,IF(I79&lt;=250,I79*1.1+11,I79*1.1+19))),
IF(L77="NORMAL",
   IF(I79&lt;=30,I79*1.15+2,IF(I79&lt;=80,I79*1.15+4,IF(I79&lt;=150,I79*1.15+6,I79*1.15+8))),
IF(L77="COMPLEMENTO",
   IF(I79&lt;=25,I79*1.25+1.5,IF(I79&lt;=60,I79*1.25+3,IF(I79&lt;=120,I79*1.25+4,I79*1.25+5))),
""))),2)</f>
        <v>67.75</v>
      </c>
      <c r="I79" s="9">
        <f>($K$2+0.02)*Tabla1[[#This Row],[PRECIO $]]*1.18</f>
        <v>55.436399999999992</v>
      </c>
      <c r="J79" s="7">
        <f>+Tabla1[[#This Row],[PRECIO EN SOLES]]-Tabla1[[#This Row],[PC]]</f>
        <v>12.313600000000008</v>
      </c>
      <c r="K79" s="15"/>
      <c r="L79" s="15" t="str">
        <f>IF(
OR(
ISNUMBER(SEARCH("BACKPACK",B81)),
ISNUMBER(SEARCH("MOCHILA",B81)),
ISNUMBER(SEARCH("FUNDA",B81)),
ISNUMBER(SEARCH("ESTUCHE",B81)),
ISNUMBER(SEARCH("BOOK COVER",B81)),
ISNUMBER(SEARCH("KEYBOARD PARA TABLET",B81)),
ISNUMBER(SEARCH("FLIP TABLET",B81)),
ISNUMBER(SEARCH("CASE FOR TABLET",B81)),
ISNUMBER(SEARCH("CABLE",B81)),
ISNUMBER(SEARCH("ADAPTADOR",B81)),
ISNUMBER(SEARCH("HUB",B81)),
ISNUMBER(SEARCH("DOCK",B81)),
ISNUMBER(SEARCH("MOUSE PAD",B81)),
ISNUMBER(SEARCH("MOUSEPAD",B81)),
ISNUMBER(SEARCH("SOPORTE",B81)),
ISNUMBER(SEARCH("STAND",B81)),
ISNUMBER(SEARCH("TRAVEL ADAPTER",B81)),
ISNUMBER(SEARCH("RJ45",B81)),
ISNUMBER(SEARCH("USB-C",B81)),
ISNUMBER(SEARCH("USB WIFI",B81)),
ISNUMBER(SEARCH("POWERBANK",B81)),
ISNUMBER(SEARCH("CARGADOR",B81)),
ISNUMBER(SEARCH("COOLER PARA NB",B81)),
ISNUMBER(SEARCH("SOPORTE PARA NB",B81)),
ISNUMBER(SEARCH("WEBCAM",B81)),
ISNUMBER(SEARCH("WEB CAM",B81)),
ISNUMBER(SEARCH("MOUSE",B81)),
ISNUMBER(SEARCH("TECLADO",B81))
),
"COMPLEMENTO",
IF(
OR(
LEFT(A81,2)="NB",
LEFT(A81,2)="PC",
LEFT(A81,2)="WS",
LEFT(A81,2)="TB",
LEFT(A81,3)="CEL",
LEFT(A81,3)="MON",
LEFT(A81,3)="PRE",
LEFT(A81,3)="PRH",
ISNUMBER(SEARCH("NOTEBOOK",B81)),
ISNUMBER(SEARCH("LAPTOP",B81)),
ISNUMBER(SEARCH("MONITOR",B81)),
ISNUMBER(SEARCH("TABLET",B81)),
ISNUMBER(SEARCH("SMARTPH",B81)),
ISNUMBER(SEARCH("IMPRESORA",B81)),
ISNUMBER(SEARCH("MULTIFUNCIONAL",B81)),
ISNUMBER(SEARCH("AIO",B81))
),
"GANCHO",
"NORMAL"
)
)</f>
        <v>NORMAL</v>
      </c>
    </row>
    <row r="80" spans="1:12" x14ac:dyDescent="0.25">
      <c r="A80" s="3" t="s">
        <v>854</v>
      </c>
      <c r="B80" s="3" t="s">
        <v>855</v>
      </c>
      <c r="C80" s="1">
        <v>20</v>
      </c>
      <c r="D80" s="1">
        <v>11.6</v>
      </c>
      <c r="E80" s="1" t="s">
        <v>52</v>
      </c>
      <c r="F80" s="1" t="s">
        <v>3109</v>
      </c>
      <c r="G80" s="3" t="s">
        <v>856</v>
      </c>
      <c r="H80" s="11">
        <f>ROUND(
IF(L78="GANCHO",
   IF(I80&lt;=50,I80*1.1+4,IF(I80&lt;=120,I80*1.1+7,IF(I80&lt;=250,I80*1.1+11,I80*1.1+19))),
IF(L78="NORMAL",
   IF(I80&lt;=30,I80*1.15+2,IF(I80&lt;=80,I80*1.15+4,IF(I80&lt;=150,I80*1.15+6,I80*1.15+8))),
IF(L78="COMPLEMENTO",
   IF(I80&lt;=25,I80*1.25+1.5,IF(I80&lt;=60,I80*1.25+3,IF(I80&lt;=120,I80*1.25+4,I80*1.25+5))),
""))),2)</f>
        <v>58.78</v>
      </c>
      <c r="I80" s="9">
        <f>($K$2+0.02)*Tabla1[[#This Row],[PRECIO $]]*1.18</f>
        <v>47.634239999999998</v>
      </c>
      <c r="J80" s="7">
        <f>+Tabla1[[#This Row],[PRECIO EN SOLES]]-Tabla1[[#This Row],[PC]]</f>
        <v>11.145760000000003</v>
      </c>
      <c r="K80" s="15"/>
      <c r="L80" s="15" t="str">
        <f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81" spans="1:12" x14ac:dyDescent="0.25">
      <c r="A81" s="3" t="s">
        <v>6653</v>
      </c>
      <c r="B81" s="3" t="s">
        <v>6654</v>
      </c>
      <c r="C81" s="1">
        <v>20</v>
      </c>
      <c r="D81" s="1">
        <v>6.2</v>
      </c>
      <c r="E81" s="1" t="s">
        <v>52</v>
      </c>
      <c r="F81" s="1" t="s">
        <v>6655</v>
      </c>
      <c r="G81" s="3" t="s">
        <v>6656</v>
      </c>
      <c r="H81" s="11">
        <f>ROUND(
IF(L79="GANCHO",
   IF(I81&lt;=50,I81*1.1+4,IF(I81&lt;=120,I81*1.1+7,IF(I81&lt;=250,I81*1.1+11,I81*1.1+19))),
IF(L79="NORMAL",
   IF(I81&lt;=30,I81*1.15+2,IF(I81&lt;=80,I81*1.15+4,IF(I81&lt;=150,I81*1.15+6,I81*1.15+8))),
IF(L79="COMPLEMENTO",
   IF(I81&lt;=25,I81*1.25+1.5,IF(I81&lt;=60,I81*1.25+3,IF(I81&lt;=120,I81*1.25+4,I81*1.25+5))),
""))),2)</f>
        <v>31.28</v>
      </c>
      <c r="I81" s="9">
        <f>($K$2+0.02)*Tabla1[[#This Row],[PRECIO $]]*1.18</f>
        <v>25.459679999999999</v>
      </c>
      <c r="J81" s="7">
        <f>+Tabla1[[#This Row],[PRECIO EN SOLES]]-Tabla1[[#This Row],[PC]]</f>
        <v>5.8203200000000024</v>
      </c>
      <c r="K81" s="15"/>
      <c r="L81" s="15" t="str">
        <f>IF(
OR(
ISNUMBER(SEARCH("BACKPACK",B83)),
ISNUMBER(SEARCH("MOCHILA",B83)),
ISNUMBER(SEARCH("FUNDA",B83)),
ISNUMBER(SEARCH("ESTUCHE",B83)),
ISNUMBER(SEARCH("BOOK COVER",B83)),
ISNUMBER(SEARCH("KEYBOARD PARA TABLET",B83)),
ISNUMBER(SEARCH("FLIP TABLET",B83)),
ISNUMBER(SEARCH("CASE FOR TABLET",B83)),
ISNUMBER(SEARCH("CABLE",B83)),
ISNUMBER(SEARCH("ADAPTADOR",B83)),
ISNUMBER(SEARCH("HUB",B83)),
ISNUMBER(SEARCH("DOCK",B83)),
ISNUMBER(SEARCH("MOUSE PAD",B83)),
ISNUMBER(SEARCH("MOUSEPAD",B83)),
ISNUMBER(SEARCH("SOPORTE",B83)),
ISNUMBER(SEARCH("STAND",B83)),
ISNUMBER(SEARCH("TRAVEL ADAPTER",B83)),
ISNUMBER(SEARCH("RJ45",B83)),
ISNUMBER(SEARCH("USB-C",B83)),
ISNUMBER(SEARCH("USB WIFI",B83)),
ISNUMBER(SEARCH("POWERBANK",B83)),
ISNUMBER(SEARCH("CARGADOR",B83)),
ISNUMBER(SEARCH("COOLER PARA NB",B83)),
ISNUMBER(SEARCH("SOPORTE PARA NB",B83)),
ISNUMBER(SEARCH("WEBCAM",B83)),
ISNUMBER(SEARCH("WEB CAM",B83)),
ISNUMBER(SEARCH("MOUSE",B83)),
ISNUMBER(SEARCH("TECLADO",B83))
),
"COMPLEMENTO",
IF(
OR(
LEFT(A83,2)="NB",
LEFT(A83,2)="PC",
LEFT(A83,2)="WS",
LEFT(A83,2)="TB",
LEFT(A83,3)="CEL",
LEFT(A83,3)="MON",
LEFT(A83,3)="PRE",
LEFT(A83,3)="PRH",
ISNUMBER(SEARCH("NOTEBOOK",B83)),
ISNUMBER(SEARCH("LAPTOP",B83)),
ISNUMBER(SEARCH("MONITOR",B83)),
ISNUMBER(SEARCH("TABLET",B83)),
ISNUMBER(SEARCH("SMARTPH",B83)),
ISNUMBER(SEARCH("IMPRESORA",B83)),
ISNUMBER(SEARCH("MULTIFUNCIONAL",B83)),
ISNUMBER(SEARCH("AIO",B83))
),
"GANCHO",
"NORMAL"
)
)</f>
        <v>NORMAL</v>
      </c>
    </row>
    <row r="82" spans="1:12" x14ac:dyDescent="0.25">
      <c r="A82" s="3" t="s">
        <v>97</v>
      </c>
      <c r="B82" s="3" t="s">
        <v>98</v>
      </c>
      <c r="C82" s="1">
        <v>20</v>
      </c>
      <c r="D82" s="1">
        <v>41.1</v>
      </c>
      <c r="E82" s="1" t="s">
        <v>52</v>
      </c>
      <c r="F82" s="1" t="s">
        <v>3110</v>
      </c>
      <c r="G82" s="3" t="s">
        <v>4820</v>
      </c>
      <c r="H82" s="11">
        <f>ROUND(
IF(L80="GANCHO",
   IF(I82&lt;=50,I82*1.1+4,IF(I82&lt;=120,I82*1.1+7,IF(I82&lt;=250,I82*1.1+11,I82*1.1+19))),
IF(L80="NORMAL",
   IF(I82&lt;=30,I82*1.15+2,IF(I82&lt;=80,I82*1.15+4,IF(I82&lt;=150,I82*1.15+6,I82*1.15+8))),
IF(L80="COMPLEMENTO",
   IF(I82&lt;=25,I82*1.25+1.5,IF(I82&lt;=60,I82*1.25+3,IF(I82&lt;=120,I82*1.25+4,I82*1.25+5))),
""))),2)</f>
        <v>202.09</v>
      </c>
      <c r="I82" s="9">
        <f>($K$2+0.02)*Tabla1[[#This Row],[PRECIO $]]*1.18</f>
        <v>168.77303999999998</v>
      </c>
      <c r="J82" s="7">
        <f>+Tabla1[[#This Row],[PRECIO EN SOLES]]-Tabla1[[#This Row],[PC]]</f>
        <v>33.316960000000023</v>
      </c>
      <c r="K82" s="15"/>
      <c r="L82" s="15" t="str">
        <f>IF(
OR(
ISNUMBER(SEARCH("BACKPACK",B84)),
ISNUMBER(SEARCH("MOCHILA",B84)),
ISNUMBER(SEARCH("FUNDA",B84)),
ISNUMBER(SEARCH("ESTUCHE",B84)),
ISNUMBER(SEARCH("BOOK COVER",B84)),
ISNUMBER(SEARCH("KEYBOARD PARA TABLET",B84)),
ISNUMBER(SEARCH("FLIP TABLET",B84)),
ISNUMBER(SEARCH("CASE FOR TABLET",B84)),
ISNUMBER(SEARCH("CABLE",B84)),
ISNUMBER(SEARCH("ADAPTADOR",B84)),
ISNUMBER(SEARCH("HUB",B84)),
ISNUMBER(SEARCH("DOCK",B84)),
ISNUMBER(SEARCH("MOUSE PAD",B84)),
ISNUMBER(SEARCH("MOUSEPAD",B84)),
ISNUMBER(SEARCH("SOPORTE",B84)),
ISNUMBER(SEARCH("STAND",B84)),
ISNUMBER(SEARCH("TRAVEL ADAPTER",B84)),
ISNUMBER(SEARCH("RJ45",B84)),
ISNUMBER(SEARCH("USB-C",B84)),
ISNUMBER(SEARCH("USB WIFI",B84)),
ISNUMBER(SEARCH("POWERBANK",B84)),
ISNUMBER(SEARCH("CARGADOR",B84)),
ISNUMBER(SEARCH("COOLER PARA NB",B84)),
ISNUMBER(SEARCH("SOPORTE PARA NB",B84)),
ISNUMBER(SEARCH("WEBCAM",B84)),
ISNUMBER(SEARCH("WEB CAM",B84)),
ISNUMBER(SEARCH("MOUSE",B84)),
ISNUMBER(SEARCH("TECLADO",B84))
),
"COMPLEMENTO",
IF(
OR(
LEFT(A84,2)="NB",
LEFT(A84,2)="PC",
LEFT(A84,2)="WS",
LEFT(A84,2)="TB",
LEFT(A84,3)="CEL",
LEFT(A84,3)="MON",
LEFT(A84,3)="PRE",
LEFT(A84,3)="PRH",
ISNUMBER(SEARCH("NOTEBOOK",B84)),
ISNUMBER(SEARCH("LAPTOP",B84)),
ISNUMBER(SEARCH("MONITOR",B84)),
ISNUMBER(SEARCH("TABLET",B84)),
ISNUMBER(SEARCH("SMARTPH",B84)),
ISNUMBER(SEARCH("IMPRESORA",B84)),
ISNUMBER(SEARCH("MULTIFUNCIONAL",B84)),
ISNUMBER(SEARCH("AIO",B84))
),
"GANCHO",
"NORMAL"
)
)</f>
        <v>NORMAL</v>
      </c>
    </row>
    <row r="83" spans="1:12" x14ac:dyDescent="0.25">
      <c r="A83" s="3" t="s">
        <v>99</v>
      </c>
      <c r="B83" s="3" t="s">
        <v>2917</v>
      </c>
      <c r="C83" s="1">
        <v>20</v>
      </c>
      <c r="D83" s="1">
        <v>41.4</v>
      </c>
      <c r="E83" s="1" t="s">
        <v>52</v>
      </c>
      <c r="F83" s="1" t="s">
        <v>3111</v>
      </c>
      <c r="G83" s="3" t="s">
        <v>100</v>
      </c>
      <c r="H83" s="11">
        <f>ROUND(
IF(L81="GANCHO",
   IF(I83&lt;=50,I83*1.1+4,IF(I83&lt;=120,I83*1.1+7,IF(I83&lt;=250,I83*1.1+11,I83*1.1+19))),
IF(L81="NORMAL",
   IF(I83&lt;=30,I83*1.15+2,IF(I83&lt;=80,I83*1.15+4,IF(I83&lt;=150,I83*1.15+6,I83*1.15+8))),
IF(L81="COMPLEMENTO",
   IF(I83&lt;=25,I83*1.25+1.5,IF(I83&lt;=60,I83*1.25+3,IF(I83&lt;=120,I83*1.25+4,I83*1.25+5))),
""))),2)</f>
        <v>203.51</v>
      </c>
      <c r="I83" s="9">
        <f>($K$2+0.02)*Tabla1[[#This Row],[PRECIO $]]*1.18</f>
        <v>170.00495999999998</v>
      </c>
      <c r="J83" s="7">
        <f>+Tabla1[[#This Row],[PRECIO EN SOLES]]-Tabla1[[#This Row],[PC]]</f>
        <v>33.505040000000008</v>
      </c>
      <c r="K83" s="15"/>
      <c r="L83" s="15" t="str">
        <f>IF(
OR(
ISNUMBER(SEARCH("BACKPACK",B85)),
ISNUMBER(SEARCH("MOCHILA",B85)),
ISNUMBER(SEARCH("FUNDA",B85)),
ISNUMBER(SEARCH("ESTUCHE",B85)),
ISNUMBER(SEARCH("BOOK COVER",B85)),
ISNUMBER(SEARCH("KEYBOARD PARA TABLET",B85)),
ISNUMBER(SEARCH("FLIP TABLET",B85)),
ISNUMBER(SEARCH("CASE FOR TABLET",B85)),
ISNUMBER(SEARCH("CABLE",B85)),
ISNUMBER(SEARCH("ADAPTADOR",B85)),
ISNUMBER(SEARCH("HUB",B85)),
ISNUMBER(SEARCH("DOCK",B85)),
ISNUMBER(SEARCH("MOUSE PAD",B85)),
ISNUMBER(SEARCH("MOUSEPAD",B85)),
ISNUMBER(SEARCH("SOPORTE",B85)),
ISNUMBER(SEARCH("STAND",B85)),
ISNUMBER(SEARCH("TRAVEL ADAPTER",B85)),
ISNUMBER(SEARCH("RJ45",B85)),
ISNUMBER(SEARCH("USB-C",B85)),
ISNUMBER(SEARCH("USB WIFI",B85)),
ISNUMBER(SEARCH("POWERBANK",B85)),
ISNUMBER(SEARCH("CARGADOR",B85)),
ISNUMBER(SEARCH("COOLER PARA NB",B85)),
ISNUMBER(SEARCH("SOPORTE PARA NB",B85)),
ISNUMBER(SEARCH("WEBCAM",B85)),
ISNUMBER(SEARCH("WEB CAM",B85)),
ISNUMBER(SEARCH("MOUSE",B85)),
ISNUMBER(SEARCH("TECLADO",B85))
),
"COMPLEMENTO",
IF(
OR(
LEFT(A85,2)="NB",
LEFT(A85,2)="PC",
LEFT(A85,2)="WS",
LEFT(A85,2)="TB",
LEFT(A85,3)="CEL",
LEFT(A85,3)="MON",
LEFT(A85,3)="PRE",
LEFT(A85,3)="PRH",
ISNUMBER(SEARCH("NOTEBOOK",B85)),
ISNUMBER(SEARCH("LAPTOP",B85)),
ISNUMBER(SEARCH("MONITOR",B85)),
ISNUMBER(SEARCH("TABLET",B85)),
ISNUMBER(SEARCH("SMARTPH",B85)),
ISNUMBER(SEARCH("IMPRESORA",B85)),
ISNUMBER(SEARCH("MULTIFUNCIONAL",B85)),
ISNUMBER(SEARCH("AIO",B85))
),
"GANCHO",
"NORMAL"
)
)</f>
        <v>NORMAL</v>
      </c>
    </row>
    <row r="84" spans="1:12" x14ac:dyDescent="0.25">
      <c r="A84" s="3" t="s">
        <v>101</v>
      </c>
      <c r="B84" s="3" t="s">
        <v>102</v>
      </c>
      <c r="C84" s="1">
        <v>20</v>
      </c>
      <c r="D84" s="1">
        <v>25</v>
      </c>
      <c r="E84" s="1" t="s">
        <v>52</v>
      </c>
      <c r="F84" s="1" t="s">
        <v>3112</v>
      </c>
      <c r="G84" s="3" t="s">
        <v>103</v>
      </c>
      <c r="H84" s="11">
        <f>ROUND(
IF(L82="GANCHO",
   IF(I84&lt;=50,I84*1.1+4,IF(I84&lt;=120,I84*1.1+7,IF(I84&lt;=250,I84*1.1+11,I84*1.1+19))),
IF(L82="NORMAL",
   IF(I84&lt;=30,I84*1.15+2,IF(I84&lt;=80,I84*1.15+4,IF(I84&lt;=150,I84*1.15+6,I84*1.15+8))),
IF(L82="COMPLEMENTO",
   IF(I84&lt;=25,I84*1.25+1.5,IF(I84&lt;=60,I84*1.25+3,IF(I84&lt;=120,I84*1.25+4,I84*1.25+5))),
""))),2)</f>
        <v>124.06</v>
      </c>
      <c r="I84" s="9">
        <f>($K$2+0.02)*Tabla1[[#This Row],[PRECIO $]]*1.18</f>
        <v>102.66</v>
      </c>
      <c r="J84" s="7">
        <f>+Tabla1[[#This Row],[PRECIO EN SOLES]]-Tabla1[[#This Row],[PC]]</f>
        <v>21.400000000000006</v>
      </c>
      <c r="K84" s="15"/>
      <c r="L84" s="15" t="str">
        <f>IF(
OR(
ISNUMBER(SEARCH("BACKPACK",B86)),
ISNUMBER(SEARCH("MOCHILA",B86)),
ISNUMBER(SEARCH("FUNDA",B86)),
ISNUMBER(SEARCH("ESTUCHE",B86)),
ISNUMBER(SEARCH("BOOK COVER",B86)),
ISNUMBER(SEARCH("KEYBOARD PARA TABLET",B86)),
ISNUMBER(SEARCH("FLIP TABLET",B86)),
ISNUMBER(SEARCH("CASE FOR TABLET",B86)),
ISNUMBER(SEARCH("CABLE",B86)),
ISNUMBER(SEARCH("ADAPTADOR",B86)),
ISNUMBER(SEARCH("HUB",B86)),
ISNUMBER(SEARCH("DOCK",B86)),
ISNUMBER(SEARCH("MOUSE PAD",B86)),
ISNUMBER(SEARCH("MOUSEPAD",B86)),
ISNUMBER(SEARCH("SOPORTE",B86)),
ISNUMBER(SEARCH("STAND",B86)),
ISNUMBER(SEARCH("TRAVEL ADAPTER",B86)),
ISNUMBER(SEARCH("RJ45",B86)),
ISNUMBER(SEARCH("USB-C",B86)),
ISNUMBER(SEARCH("USB WIFI",B86)),
ISNUMBER(SEARCH("POWERBANK",B86)),
ISNUMBER(SEARCH("CARGADOR",B86)),
ISNUMBER(SEARCH("COOLER PARA NB",B86)),
ISNUMBER(SEARCH("SOPORTE PARA NB",B86)),
ISNUMBER(SEARCH("WEBCAM",B86)),
ISNUMBER(SEARCH("WEB CAM",B86)),
ISNUMBER(SEARCH("MOUSE",B86)),
ISNUMBER(SEARCH("TECLADO",B86))
),
"COMPLEMENTO",
IF(
OR(
LEFT(A86,2)="NB",
LEFT(A86,2)="PC",
LEFT(A86,2)="WS",
LEFT(A86,2)="TB",
LEFT(A86,3)="CEL",
LEFT(A86,3)="MON",
LEFT(A86,3)="PRE",
LEFT(A86,3)="PRH",
ISNUMBER(SEARCH("NOTEBOOK",B86)),
ISNUMBER(SEARCH("LAPTOP",B86)),
ISNUMBER(SEARCH("MONITOR",B86)),
ISNUMBER(SEARCH("TABLET",B86)),
ISNUMBER(SEARCH("SMARTPH",B86)),
ISNUMBER(SEARCH("IMPRESORA",B86)),
ISNUMBER(SEARCH("MULTIFUNCIONAL",B86)),
ISNUMBER(SEARCH("AIO",B86))
),
"GANCHO",
"NORMAL"
)
)</f>
        <v>NORMAL</v>
      </c>
    </row>
    <row r="85" spans="1:12" x14ac:dyDescent="0.25">
      <c r="A85" s="3" t="s">
        <v>104</v>
      </c>
      <c r="B85" s="3" t="s">
        <v>105</v>
      </c>
      <c r="C85" s="1">
        <v>20</v>
      </c>
      <c r="D85" s="1">
        <v>25</v>
      </c>
      <c r="E85" s="1" t="s">
        <v>52</v>
      </c>
      <c r="F85" s="1" t="s">
        <v>3113</v>
      </c>
      <c r="G85" s="3" t="s">
        <v>106</v>
      </c>
      <c r="H85" s="11">
        <f>ROUND(
IF(L83="GANCHO",
   IF(I85&lt;=50,I85*1.1+4,IF(I85&lt;=120,I85*1.1+7,IF(I85&lt;=250,I85*1.1+11,I85*1.1+19))),
IF(L83="NORMAL",
   IF(I85&lt;=30,I85*1.15+2,IF(I85&lt;=80,I85*1.15+4,IF(I85&lt;=150,I85*1.15+6,I85*1.15+8))),
IF(L83="COMPLEMENTO",
   IF(I85&lt;=25,I85*1.25+1.5,IF(I85&lt;=60,I85*1.25+3,IF(I85&lt;=120,I85*1.25+4,I85*1.25+5))),
""))),2)</f>
        <v>124.06</v>
      </c>
      <c r="I85" s="9">
        <f>($K$2+0.02)*Tabla1[[#This Row],[PRECIO $]]*1.18</f>
        <v>102.66</v>
      </c>
      <c r="J85" s="7">
        <f>+Tabla1[[#This Row],[PRECIO EN SOLES]]-Tabla1[[#This Row],[PC]]</f>
        <v>21.400000000000006</v>
      </c>
      <c r="K85" s="15"/>
      <c r="L85" s="15" t="str">
        <f>IF(
OR(
ISNUMBER(SEARCH("BACKPACK",B87)),
ISNUMBER(SEARCH("MOCHILA",B87)),
ISNUMBER(SEARCH("FUNDA",B87)),
ISNUMBER(SEARCH("ESTUCHE",B87)),
ISNUMBER(SEARCH("BOOK COVER",B87)),
ISNUMBER(SEARCH("KEYBOARD PARA TABLET",B87)),
ISNUMBER(SEARCH("FLIP TABLET",B87)),
ISNUMBER(SEARCH("CASE FOR TABLET",B87)),
ISNUMBER(SEARCH("CABLE",B87)),
ISNUMBER(SEARCH("ADAPTADOR",B87)),
ISNUMBER(SEARCH("HUB",B87)),
ISNUMBER(SEARCH("DOCK",B87)),
ISNUMBER(SEARCH("MOUSE PAD",B87)),
ISNUMBER(SEARCH("MOUSEPAD",B87)),
ISNUMBER(SEARCH("SOPORTE",B87)),
ISNUMBER(SEARCH("STAND",B87)),
ISNUMBER(SEARCH("TRAVEL ADAPTER",B87)),
ISNUMBER(SEARCH("RJ45",B87)),
ISNUMBER(SEARCH("USB-C",B87)),
ISNUMBER(SEARCH("USB WIFI",B87)),
ISNUMBER(SEARCH("POWERBANK",B87)),
ISNUMBER(SEARCH("CARGADOR",B87)),
ISNUMBER(SEARCH("COOLER PARA NB",B87)),
ISNUMBER(SEARCH("SOPORTE PARA NB",B87)),
ISNUMBER(SEARCH("WEBCAM",B87)),
ISNUMBER(SEARCH("WEB CAM",B87)),
ISNUMBER(SEARCH("MOUSE",B87)),
ISNUMBER(SEARCH("TECLADO",B87))
),
"COMPLEMENTO",
IF(
OR(
LEFT(A87,2)="NB",
LEFT(A87,2)="PC",
LEFT(A87,2)="WS",
LEFT(A87,2)="TB",
LEFT(A87,3)="CEL",
LEFT(A87,3)="MON",
LEFT(A87,3)="PRE",
LEFT(A87,3)="PRH",
ISNUMBER(SEARCH("NOTEBOOK",B87)),
ISNUMBER(SEARCH("LAPTOP",B87)),
ISNUMBER(SEARCH("MONITOR",B87)),
ISNUMBER(SEARCH("TABLET",B87)),
ISNUMBER(SEARCH("SMARTPH",B87)),
ISNUMBER(SEARCH("IMPRESORA",B87)),
ISNUMBER(SEARCH("MULTIFUNCIONAL",B87)),
ISNUMBER(SEARCH("AIO",B87))
),
"GANCHO",
"NORMAL"
)
)</f>
        <v>NORMAL</v>
      </c>
    </row>
    <row r="86" spans="1:12" x14ac:dyDescent="0.25">
      <c r="A86" s="3" t="s">
        <v>107</v>
      </c>
      <c r="B86" s="3" t="s">
        <v>108</v>
      </c>
      <c r="C86" s="1">
        <v>20</v>
      </c>
      <c r="D86" s="1">
        <v>25</v>
      </c>
      <c r="E86" s="1" t="s">
        <v>52</v>
      </c>
      <c r="F86" s="1" t="s">
        <v>3114</v>
      </c>
      <c r="G86" s="3" t="s">
        <v>109</v>
      </c>
      <c r="H86" s="11">
        <f>ROUND(
IF(L84="GANCHO",
   IF(I86&lt;=50,I86*1.1+4,IF(I86&lt;=120,I86*1.1+7,IF(I86&lt;=250,I86*1.1+11,I86*1.1+19))),
IF(L84="NORMAL",
   IF(I86&lt;=30,I86*1.15+2,IF(I86&lt;=80,I86*1.15+4,IF(I86&lt;=150,I86*1.15+6,I86*1.15+8))),
IF(L84="COMPLEMENTO",
   IF(I86&lt;=25,I86*1.25+1.5,IF(I86&lt;=60,I86*1.25+3,IF(I86&lt;=120,I86*1.25+4,I86*1.25+5))),
""))),2)</f>
        <v>124.06</v>
      </c>
      <c r="I86" s="9">
        <f>($K$2+0.02)*Tabla1[[#This Row],[PRECIO $]]*1.18</f>
        <v>102.66</v>
      </c>
      <c r="J86" s="7">
        <f>+Tabla1[[#This Row],[PRECIO EN SOLES]]-Tabla1[[#This Row],[PC]]</f>
        <v>21.400000000000006</v>
      </c>
      <c r="K86" s="15"/>
      <c r="L86" s="15" t="str">
        <f>IF(
OR(
ISNUMBER(SEARCH("BACKPACK",B88)),
ISNUMBER(SEARCH("MOCHILA",B88)),
ISNUMBER(SEARCH("FUNDA",B88)),
ISNUMBER(SEARCH("ESTUCHE",B88)),
ISNUMBER(SEARCH("BOOK COVER",B88)),
ISNUMBER(SEARCH("KEYBOARD PARA TABLET",B88)),
ISNUMBER(SEARCH("FLIP TABLET",B88)),
ISNUMBER(SEARCH("CASE FOR TABLET",B88)),
ISNUMBER(SEARCH("CABLE",B88)),
ISNUMBER(SEARCH("ADAPTADOR",B88)),
ISNUMBER(SEARCH("HUB",B88)),
ISNUMBER(SEARCH("DOCK",B88)),
ISNUMBER(SEARCH("MOUSE PAD",B88)),
ISNUMBER(SEARCH("MOUSEPAD",B88)),
ISNUMBER(SEARCH("SOPORTE",B88)),
ISNUMBER(SEARCH("STAND",B88)),
ISNUMBER(SEARCH("TRAVEL ADAPTER",B88)),
ISNUMBER(SEARCH("RJ45",B88)),
ISNUMBER(SEARCH("USB-C",B88)),
ISNUMBER(SEARCH("USB WIFI",B88)),
ISNUMBER(SEARCH("POWERBANK",B88)),
ISNUMBER(SEARCH("CARGADOR",B88)),
ISNUMBER(SEARCH("COOLER PARA NB",B88)),
ISNUMBER(SEARCH("SOPORTE PARA NB",B88)),
ISNUMBER(SEARCH("WEBCAM",B88)),
ISNUMBER(SEARCH("WEB CAM",B88)),
ISNUMBER(SEARCH("MOUSE",B88)),
ISNUMBER(SEARCH("TECLADO",B88))
),
"COMPLEMENTO",
IF(
OR(
LEFT(A88,2)="NB",
LEFT(A88,2)="PC",
LEFT(A88,2)="WS",
LEFT(A88,2)="TB",
LEFT(A88,3)="CEL",
LEFT(A88,3)="MON",
LEFT(A88,3)="PRE",
LEFT(A88,3)="PRH",
ISNUMBER(SEARCH("NOTEBOOK",B88)),
ISNUMBER(SEARCH("LAPTOP",B88)),
ISNUMBER(SEARCH("MONITOR",B88)),
ISNUMBER(SEARCH("TABLET",B88)),
ISNUMBER(SEARCH("SMARTPH",B88)),
ISNUMBER(SEARCH("IMPRESORA",B88)),
ISNUMBER(SEARCH("MULTIFUNCIONAL",B88)),
ISNUMBER(SEARCH("AIO",B88))
),
"GANCHO",
"NORMAL"
)
)</f>
        <v>NORMAL</v>
      </c>
    </row>
    <row r="87" spans="1:12" x14ac:dyDescent="0.25">
      <c r="A87" s="3" t="s">
        <v>110</v>
      </c>
      <c r="B87" s="3" t="s">
        <v>111</v>
      </c>
      <c r="C87" s="1">
        <v>20</v>
      </c>
      <c r="D87" s="1">
        <v>25</v>
      </c>
      <c r="E87" s="1" t="s">
        <v>52</v>
      </c>
      <c r="F87" s="1" t="s">
        <v>3115</v>
      </c>
      <c r="G87" s="3" t="s">
        <v>112</v>
      </c>
      <c r="H87" s="11">
        <f>ROUND(
IF(L85="GANCHO",
   IF(I87&lt;=50,I87*1.1+4,IF(I87&lt;=120,I87*1.1+7,IF(I87&lt;=250,I87*1.1+11,I87*1.1+19))),
IF(L85="NORMAL",
   IF(I87&lt;=30,I87*1.15+2,IF(I87&lt;=80,I87*1.15+4,IF(I87&lt;=150,I87*1.15+6,I87*1.15+8))),
IF(L85="COMPLEMENTO",
   IF(I87&lt;=25,I87*1.25+1.5,IF(I87&lt;=60,I87*1.25+3,IF(I87&lt;=120,I87*1.25+4,I87*1.25+5))),
""))),2)</f>
        <v>124.06</v>
      </c>
      <c r="I87" s="9">
        <f>($K$2+0.02)*Tabla1[[#This Row],[PRECIO $]]*1.18</f>
        <v>102.66</v>
      </c>
      <c r="J87" s="7">
        <f>+Tabla1[[#This Row],[PRECIO EN SOLES]]-Tabla1[[#This Row],[PC]]</f>
        <v>21.400000000000006</v>
      </c>
      <c r="K87" s="15"/>
      <c r="L87" s="15" t="str">
        <f>IF(
OR(
ISNUMBER(SEARCH("BACKPACK",B89)),
ISNUMBER(SEARCH("MOCHILA",B89)),
ISNUMBER(SEARCH("FUNDA",B89)),
ISNUMBER(SEARCH("ESTUCHE",B89)),
ISNUMBER(SEARCH("BOOK COVER",B89)),
ISNUMBER(SEARCH("KEYBOARD PARA TABLET",B89)),
ISNUMBER(SEARCH("FLIP TABLET",B89)),
ISNUMBER(SEARCH("CASE FOR TABLET",B89)),
ISNUMBER(SEARCH("CABLE",B89)),
ISNUMBER(SEARCH("ADAPTADOR",B89)),
ISNUMBER(SEARCH("HUB",B89)),
ISNUMBER(SEARCH("DOCK",B89)),
ISNUMBER(SEARCH("MOUSE PAD",B89)),
ISNUMBER(SEARCH("MOUSEPAD",B89)),
ISNUMBER(SEARCH("SOPORTE",B89)),
ISNUMBER(SEARCH("STAND",B89)),
ISNUMBER(SEARCH("TRAVEL ADAPTER",B89)),
ISNUMBER(SEARCH("RJ45",B89)),
ISNUMBER(SEARCH("USB-C",B89)),
ISNUMBER(SEARCH("USB WIFI",B89)),
ISNUMBER(SEARCH("POWERBANK",B89)),
ISNUMBER(SEARCH("CARGADOR",B89)),
ISNUMBER(SEARCH("COOLER PARA NB",B89)),
ISNUMBER(SEARCH("SOPORTE PARA NB",B89)),
ISNUMBER(SEARCH("WEBCAM",B89)),
ISNUMBER(SEARCH("WEB CAM",B89)),
ISNUMBER(SEARCH("MOUSE",B89)),
ISNUMBER(SEARCH("TECLADO",B89))
),
"COMPLEMENTO",
IF(
OR(
LEFT(A89,2)="NB",
LEFT(A89,2)="PC",
LEFT(A89,2)="WS",
LEFT(A89,2)="TB",
LEFT(A89,3)="CEL",
LEFT(A89,3)="MON",
LEFT(A89,3)="PRE",
LEFT(A89,3)="PRH",
ISNUMBER(SEARCH("NOTEBOOK",B89)),
ISNUMBER(SEARCH("LAPTOP",B89)),
ISNUMBER(SEARCH("MONITOR",B89)),
ISNUMBER(SEARCH("TABLET",B89)),
ISNUMBER(SEARCH("SMARTPH",B89)),
ISNUMBER(SEARCH("IMPRESORA",B89)),
ISNUMBER(SEARCH("MULTIFUNCIONAL",B89)),
ISNUMBER(SEARCH("AIO",B89))
),
"GANCHO",
"NORMAL"
)
)</f>
        <v>NORMAL</v>
      </c>
    </row>
    <row r="88" spans="1:12" x14ac:dyDescent="0.25">
      <c r="A88" s="3" t="s">
        <v>113</v>
      </c>
      <c r="B88" s="3" t="s">
        <v>102</v>
      </c>
      <c r="C88" s="1">
        <v>20</v>
      </c>
      <c r="D88" s="1">
        <v>25</v>
      </c>
      <c r="E88" s="1" t="s">
        <v>52</v>
      </c>
      <c r="F88" s="1" t="s">
        <v>3116</v>
      </c>
      <c r="G88" s="3" t="s">
        <v>114</v>
      </c>
      <c r="H88" s="11">
        <f>ROUND(
IF(L86="GANCHO",
   IF(I88&lt;=50,I88*1.1+4,IF(I88&lt;=120,I88*1.1+7,IF(I88&lt;=250,I88*1.1+11,I88*1.1+19))),
IF(L86="NORMAL",
   IF(I88&lt;=30,I88*1.15+2,IF(I88&lt;=80,I88*1.15+4,IF(I88&lt;=150,I88*1.15+6,I88*1.15+8))),
IF(L86="COMPLEMENTO",
   IF(I88&lt;=25,I88*1.25+1.5,IF(I88&lt;=60,I88*1.25+3,IF(I88&lt;=120,I88*1.25+4,I88*1.25+5))),
""))),2)</f>
        <v>124.06</v>
      </c>
      <c r="I88" s="9">
        <f>($K$2+0.02)*Tabla1[[#This Row],[PRECIO $]]*1.18</f>
        <v>102.66</v>
      </c>
      <c r="J88" s="7">
        <f>+Tabla1[[#This Row],[PRECIO EN SOLES]]-Tabla1[[#This Row],[PC]]</f>
        <v>21.400000000000006</v>
      </c>
      <c r="K88" s="15"/>
      <c r="L88" s="15" t="str">
        <f>IF(
OR(
ISNUMBER(SEARCH("BACKPACK",B90)),
ISNUMBER(SEARCH("MOCHILA",B90)),
ISNUMBER(SEARCH("FUNDA",B90)),
ISNUMBER(SEARCH("ESTUCHE",B90)),
ISNUMBER(SEARCH("BOOK COVER",B90)),
ISNUMBER(SEARCH("KEYBOARD PARA TABLET",B90)),
ISNUMBER(SEARCH("FLIP TABLET",B90)),
ISNUMBER(SEARCH("CASE FOR TABLET",B90)),
ISNUMBER(SEARCH("CABLE",B90)),
ISNUMBER(SEARCH("ADAPTADOR",B90)),
ISNUMBER(SEARCH("HUB",B90)),
ISNUMBER(SEARCH("DOCK",B90)),
ISNUMBER(SEARCH("MOUSE PAD",B90)),
ISNUMBER(SEARCH("MOUSEPAD",B90)),
ISNUMBER(SEARCH("SOPORTE",B90)),
ISNUMBER(SEARCH("STAND",B90)),
ISNUMBER(SEARCH("TRAVEL ADAPTER",B90)),
ISNUMBER(SEARCH("RJ45",B90)),
ISNUMBER(SEARCH("USB-C",B90)),
ISNUMBER(SEARCH("USB WIFI",B90)),
ISNUMBER(SEARCH("POWERBANK",B90)),
ISNUMBER(SEARCH("CARGADOR",B90)),
ISNUMBER(SEARCH("COOLER PARA NB",B90)),
ISNUMBER(SEARCH("SOPORTE PARA NB",B90)),
ISNUMBER(SEARCH("WEBCAM",B90)),
ISNUMBER(SEARCH("WEB CAM",B90)),
ISNUMBER(SEARCH("MOUSE",B90)),
ISNUMBER(SEARCH("TECLADO",B90))
),
"COMPLEMENTO",
IF(
OR(
LEFT(A90,2)="NB",
LEFT(A90,2)="PC",
LEFT(A90,2)="WS",
LEFT(A90,2)="TB",
LEFT(A90,3)="CEL",
LEFT(A90,3)="MON",
LEFT(A90,3)="PRE",
LEFT(A90,3)="PRH",
ISNUMBER(SEARCH("NOTEBOOK",B90)),
ISNUMBER(SEARCH("LAPTOP",B90)),
ISNUMBER(SEARCH("MONITOR",B90)),
ISNUMBER(SEARCH("TABLET",B90)),
ISNUMBER(SEARCH("SMARTPH",B90)),
ISNUMBER(SEARCH("IMPRESORA",B90)),
ISNUMBER(SEARCH("MULTIFUNCIONAL",B90)),
ISNUMBER(SEARCH("AIO",B90))
),
"GANCHO",
"NORMAL"
)
)</f>
        <v>NORMAL</v>
      </c>
    </row>
    <row r="89" spans="1:12" x14ac:dyDescent="0.25">
      <c r="A89" s="3" t="s">
        <v>4180</v>
      </c>
      <c r="B89" s="3" t="s">
        <v>4857</v>
      </c>
      <c r="C89" s="1">
        <v>20</v>
      </c>
      <c r="D89" s="1">
        <v>21.2</v>
      </c>
      <c r="E89" s="1" t="s">
        <v>52</v>
      </c>
      <c r="F89" s="1" t="s">
        <v>4229</v>
      </c>
      <c r="G89" s="3" t="s">
        <v>4249</v>
      </c>
      <c r="H89" s="11">
        <f>ROUND(
IF(L87="GANCHO",
   IF(I89&lt;=50,I89*1.1+4,IF(I89&lt;=120,I89*1.1+7,IF(I89&lt;=250,I89*1.1+11,I89*1.1+19))),
IF(L87="NORMAL",
   IF(I89&lt;=30,I89*1.15+2,IF(I89&lt;=80,I89*1.15+4,IF(I89&lt;=150,I89*1.15+6,I89*1.15+8))),
IF(L87="COMPLEMENTO",
   IF(I89&lt;=25,I89*1.25+1.5,IF(I89&lt;=60,I89*1.25+3,IF(I89&lt;=120,I89*1.25+4,I89*1.25+5))),
""))),2)</f>
        <v>106.11</v>
      </c>
      <c r="I89" s="9">
        <f>($K$2+0.02)*Tabla1[[#This Row],[PRECIO $]]*1.18</f>
        <v>87.055679999999995</v>
      </c>
      <c r="J89" s="7">
        <f>+Tabla1[[#This Row],[PRECIO EN SOLES]]-Tabla1[[#This Row],[PC]]</f>
        <v>19.054320000000004</v>
      </c>
      <c r="K89" s="15"/>
      <c r="L89" s="15" t="str">
        <f>IF(
OR(
ISNUMBER(SEARCH("BACKPACK",B91)),
ISNUMBER(SEARCH("MOCHILA",B91)),
ISNUMBER(SEARCH("FUNDA",B91)),
ISNUMBER(SEARCH("ESTUCHE",B91)),
ISNUMBER(SEARCH("BOOK COVER",B91)),
ISNUMBER(SEARCH("KEYBOARD PARA TABLET",B91)),
ISNUMBER(SEARCH("FLIP TABLET",B91)),
ISNUMBER(SEARCH("CASE FOR TABLET",B91)),
ISNUMBER(SEARCH("CABLE",B91)),
ISNUMBER(SEARCH("ADAPTADOR",B91)),
ISNUMBER(SEARCH("HUB",B91)),
ISNUMBER(SEARCH("DOCK",B91)),
ISNUMBER(SEARCH("MOUSE PAD",B91)),
ISNUMBER(SEARCH("MOUSEPAD",B91)),
ISNUMBER(SEARCH("SOPORTE",B91)),
ISNUMBER(SEARCH("STAND",B91)),
ISNUMBER(SEARCH("TRAVEL ADAPTER",B91)),
ISNUMBER(SEARCH("RJ45",B91)),
ISNUMBER(SEARCH("USB-C",B91)),
ISNUMBER(SEARCH("USB WIFI",B91)),
ISNUMBER(SEARCH("POWERBANK",B91)),
ISNUMBER(SEARCH("CARGADOR",B91)),
ISNUMBER(SEARCH("COOLER PARA NB",B91)),
ISNUMBER(SEARCH("SOPORTE PARA NB",B91)),
ISNUMBER(SEARCH("WEBCAM",B91)),
ISNUMBER(SEARCH("WEB CAM",B91)),
ISNUMBER(SEARCH("MOUSE",B91)),
ISNUMBER(SEARCH("TECLADO",B91))
),
"COMPLEMENTO",
IF(
OR(
LEFT(A91,2)="NB",
LEFT(A91,2)="PC",
LEFT(A91,2)="WS",
LEFT(A91,2)="TB",
LEFT(A91,3)="CEL",
LEFT(A91,3)="MON",
LEFT(A91,3)="PRE",
LEFT(A91,3)="PRH",
ISNUMBER(SEARCH("NOTEBOOK",B91)),
ISNUMBER(SEARCH("LAPTOP",B91)),
ISNUMBER(SEARCH("MONITOR",B91)),
ISNUMBER(SEARCH("TABLET",B91)),
ISNUMBER(SEARCH("SMARTPH",B91)),
ISNUMBER(SEARCH("IMPRESORA",B91)),
ISNUMBER(SEARCH("MULTIFUNCIONAL",B91)),
ISNUMBER(SEARCH("AIO",B91))
),
"GANCHO",
"NORMAL"
)
)</f>
        <v>NORMAL</v>
      </c>
    </row>
    <row r="90" spans="1:12" x14ac:dyDescent="0.25">
      <c r="A90" s="3" t="s">
        <v>5700</v>
      </c>
      <c r="B90" s="3" t="s">
        <v>5701</v>
      </c>
      <c r="C90" s="1">
        <v>0</v>
      </c>
      <c r="D90" s="1">
        <v>999</v>
      </c>
      <c r="E90" s="1" t="s">
        <v>186</v>
      </c>
      <c r="F90" s="1" t="s">
        <v>5702</v>
      </c>
      <c r="G90" s="3"/>
      <c r="H90" s="11">
        <f>ROUND(
IF(L88="GANCHO",
   IF(I90&lt;=50,I90*1.1+4,IF(I90&lt;=120,I90*1.1+7,IF(I90&lt;=250,I90*1.1+11,I90*1.1+19))),
IF(L88="NORMAL",
   IF(I90&lt;=30,I90*1.15+2,IF(I90&lt;=80,I90*1.15+4,IF(I90&lt;=150,I90*1.15+6,I90*1.15+8))),
IF(L88="COMPLEMENTO",
   IF(I90&lt;=25,I90*1.25+1.5,IF(I90&lt;=60,I90*1.25+3,IF(I90&lt;=120,I90*1.25+4,I90*1.25+5))),
""))),2)</f>
        <v>4725.6400000000003</v>
      </c>
      <c r="I90" s="9">
        <f>($K$2+0.02)*Tabla1[[#This Row],[PRECIO $]]*1.18</f>
        <v>4102.2936</v>
      </c>
      <c r="J90" s="7">
        <f>+Tabla1[[#This Row],[PRECIO EN SOLES]]-Tabla1[[#This Row],[PC]]</f>
        <v>623.34640000000036</v>
      </c>
      <c r="K90" s="15"/>
      <c r="L90" s="15" t="str">
        <f>IF(
OR(
ISNUMBER(SEARCH("BACKPACK",B92)),
ISNUMBER(SEARCH("MOCHILA",B92)),
ISNUMBER(SEARCH("FUNDA",B92)),
ISNUMBER(SEARCH("ESTUCHE",B92)),
ISNUMBER(SEARCH("BOOK COVER",B92)),
ISNUMBER(SEARCH("KEYBOARD PARA TABLET",B92)),
ISNUMBER(SEARCH("FLIP TABLET",B92)),
ISNUMBER(SEARCH("CASE FOR TABLET",B92)),
ISNUMBER(SEARCH("CABLE",B92)),
ISNUMBER(SEARCH("ADAPTADOR",B92)),
ISNUMBER(SEARCH("HUB",B92)),
ISNUMBER(SEARCH("DOCK",B92)),
ISNUMBER(SEARCH("MOUSE PAD",B92)),
ISNUMBER(SEARCH("MOUSEPAD",B92)),
ISNUMBER(SEARCH("SOPORTE",B92)),
ISNUMBER(SEARCH("STAND",B92)),
ISNUMBER(SEARCH("TRAVEL ADAPTER",B92)),
ISNUMBER(SEARCH("RJ45",B92)),
ISNUMBER(SEARCH("USB-C",B92)),
ISNUMBER(SEARCH("USB WIFI",B92)),
ISNUMBER(SEARCH("POWERBANK",B92)),
ISNUMBER(SEARCH("CARGADOR",B92)),
ISNUMBER(SEARCH("COOLER PARA NB",B92)),
ISNUMBER(SEARCH("SOPORTE PARA NB",B92)),
ISNUMBER(SEARCH("WEBCAM",B92)),
ISNUMBER(SEARCH("WEB CAM",B92)),
ISNUMBER(SEARCH("MOUSE",B92)),
ISNUMBER(SEARCH("TECLADO",B92))
),
"COMPLEMENTO",
IF(
OR(
LEFT(A92,2)="NB",
LEFT(A92,2)="PC",
LEFT(A92,2)="WS",
LEFT(A92,2)="TB",
LEFT(A92,3)="CEL",
LEFT(A92,3)="MON",
LEFT(A92,3)="PRE",
LEFT(A92,3)="PRH",
ISNUMBER(SEARCH("NOTEBOOK",B92)),
ISNUMBER(SEARCH("LAPTOP",B92)),
ISNUMBER(SEARCH("MONITOR",B92)),
ISNUMBER(SEARCH("TABLET",B92)),
ISNUMBER(SEARCH("SMARTPH",B92)),
ISNUMBER(SEARCH("IMPRESORA",B92)),
ISNUMBER(SEARCH("MULTIFUNCIONAL",B92)),
ISNUMBER(SEARCH("AIO",B92))
),
"GANCHO",
"NORMAL"
)
)</f>
        <v>NORMAL</v>
      </c>
    </row>
    <row r="91" spans="1:12" x14ac:dyDescent="0.25">
      <c r="A91" s="3" t="s">
        <v>857</v>
      </c>
      <c r="B91" s="3" t="s">
        <v>102</v>
      </c>
      <c r="C91" s="1">
        <v>0</v>
      </c>
      <c r="D91" s="1">
        <v>999</v>
      </c>
      <c r="E91" s="1" t="s">
        <v>187</v>
      </c>
      <c r="F91" s="1" t="s">
        <v>3117</v>
      </c>
      <c r="G91" s="3"/>
      <c r="H91" s="11">
        <f>ROUND(
IF(L89="GANCHO",
   IF(I91&lt;=50,I91*1.1+4,IF(I91&lt;=120,I91*1.1+7,IF(I91&lt;=250,I91*1.1+11,I91*1.1+19))),
IF(L89="NORMAL",
   IF(I91&lt;=30,I91*1.15+2,IF(I91&lt;=80,I91*1.15+4,IF(I91&lt;=150,I91*1.15+6,I91*1.15+8))),
IF(L89="COMPLEMENTO",
   IF(I91&lt;=25,I91*1.25+1.5,IF(I91&lt;=60,I91*1.25+3,IF(I91&lt;=120,I91*1.25+4,I91*1.25+5))),
""))),2)</f>
        <v>4725.6400000000003</v>
      </c>
      <c r="I91" s="9">
        <f>($K$2+0.02)*Tabla1[[#This Row],[PRECIO $]]*1.18</f>
        <v>4102.2936</v>
      </c>
      <c r="J91" s="7">
        <f>+Tabla1[[#This Row],[PRECIO EN SOLES]]-Tabla1[[#This Row],[PC]]</f>
        <v>623.34640000000036</v>
      </c>
      <c r="K91" s="15"/>
      <c r="L91" s="15" t="str">
        <f>IF(
OR(
ISNUMBER(SEARCH("BACKPACK",B93)),
ISNUMBER(SEARCH("MOCHILA",B93)),
ISNUMBER(SEARCH("FUNDA",B93)),
ISNUMBER(SEARCH("ESTUCHE",B93)),
ISNUMBER(SEARCH("BOOK COVER",B93)),
ISNUMBER(SEARCH("KEYBOARD PARA TABLET",B93)),
ISNUMBER(SEARCH("FLIP TABLET",B93)),
ISNUMBER(SEARCH("CASE FOR TABLET",B93)),
ISNUMBER(SEARCH("CABLE",B93)),
ISNUMBER(SEARCH("ADAPTADOR",B93)),
ISNUMBER(SEARCH("HUB",B93)),
ISNUMBER(SEARCH("DOCK",B93)),
ISNUMBER(SEARCH("MOUSE PAD",B93)),
ISNUMBER(SEARCH("MOUSEPAD",B93)),
ISNUMBER(SEARCH("SOPORTE",B93)),
ISNUMBER(SEARCH("STAND",B93)),
ISNUMBER(SEARCH("TRAVEL ADAPTER",B93)),
ISNUMBER(SEARCH("RJ45",B93)),
ISNUMBER(SEARCH("USB-C",B93)),
ISNUMBER(SEARCH("USB WIFI",B93)),
ISNUMBER(SEARCH("POWERBANK",B93)),
ISNUMBER(SEARCH("CARGADOR",B93)),
ISNUMBER(SEARCH("COOLER PARA NB",B93)),
ISNUMBER(SEARCH("SOPORTE PARA NB",B93)),
ISNUMBER(SEARCH("WEBCAM",B93)),
ISNUMBER(SEARCH("WEB CAM",B93)),
ISNUMBER(SEARCH("MOUSE",B93)),
ISNUMBER(SEARCH("TECLADO",B93))
),
"COMPLEMENTO",
IF(
OR(
LEFT(A93,2)="NB",
LEFT(A93,2)="PC",
LEFT(A93,2)="WS",
LEFT(A93,2)="TB",
LEFT(A93,3)="CEL",
LEFT(A93,3)="MON",
LEFT(A93,3)="PRE",
LEFT(A93,3)="PRH",
ISNUMBER(SEARCH("NOTEBOOK",B93)),
ISNUMBER(SEARCH("LAPTOP",B93)),
ISNUMBER(SEARCH("MONITOR",B93)),
ISNUMBER(SEARCH("TABLET",B93)),
ISNUMBER(SEARCH("SMARTPH",B93)),
ISNUMBER(SEARCH("IMPRESORA",B93)),
ISNUMBER(SEARCH("MULTIFUNCIONAL",B93)),
ISNUMBER(SEARCH("AIO",B93))
),
"GANCHO",
"NORMAL"
)
)</f>
        <v>NORMAL</v>
      </c>
    </row>
    <row r="92" spans="1:12" x14ac:dyDescent="0.25">
      <c r="A92" s="3" t="s">
        <v>6576</v>
      </c>
      <c r="B92" s="3" t="s">
        <v>6577</v>
      </c>
      <c r="C92" s="1">
        <v>20</v>
      </c>
      <c r="D92" s="1">
        <v>347</v>
      </c>
      <c r="E92" s="1" t="s">
        <v>54</v>
      </c>
      <c r="F92" s="1" t="s">
        <v>6578</v>
      </c>
      <c r="G92" s="3" t="s">
        <v>6579</v>
      </c>
      <c r="H92" s="11">
        <f>ROUND(
IF(L90="GANCHO",
   IF(I92&lt;=50,I92*1.1+4,IF(I92&lt;=120,I92*1.1+7,IF(I92&lt;=250,I92*1.1+11,I92*1.1+19))),
IF(L90="NORMAL",
   IF(I92&lt;=30,I92*1.15+2,IF(I92&lt;=80,I92*1.15+4,IF(I92&lt;=150,I92*1.15+6,I92*1.15+8))),
IF(L90="COMPLEMENTO",
   IF(I92&lt;=25,I92*1.25+1.5,IF(I92&lt;=60,I92*1.25+3,IF(I92&lt;=120,I92*1.25+4,I92*1.25+5))),
""))),2)</f>
        <v>1646.66</v>
      </c>
      <c r="I92" s="9">
        <f>($K$2+0.02)*Tabla1[[#This Row],[PRECIO $]]*1.18</f>
        <v>1424.9207999999999</v>
      </c>
      <c r="J92" s="7">
        <f>+Tabla1[[#This Row],[PRECIO EN SOLES]]-Tabla1[[#This Row],[PC]]</f>
        <v>221.73920000000021</v>
      </c>
      <c r="K92" s="15"/>
      <c r="L92" s="15" t="str">
        <f>IF(
OR(
ISNUMBER(SEARCH("BACKPACK",B94)),
ISNUMBER(SEARCH("MOCHILA",B94)),
ISNUMBER(SEARCH("FUNDA",B94)),
ISNUMBER(SEARCH("ESTUCHE",B94)),
ISNUMBER(SEARCH("BOOK COVER",B94)),
ISNUMBER(SEARCH("KEYBOARD PARA TABLET",B94)),
ISNUMBER(SEARCH("FLIP TABLET",B94)),
ISNUMBER(SEARCH("CASE FOR TABLET",B94)),
ISNUMBER(SEARCH("CABLE",B94)),
ISNUMBER(SEARCH("ADAPTADOR",B94)),
ISNUMBER(SEARCH("HUB",B94)),
ISNUMBER(SEARCH("DOCK",B94)),
ISNUMBER(SEARCH("MOUSE PAD",B94)),
ISNUMBER(SEARCH("MOUSEPAD",B94)),
ISNUMBER(SEARCH("SOPORTE",B94)),
ISNUMBER(SEARCH("STAND",B94)),
ISNUMBER(SEARCH("TRAVEL ADAPTER",B94)),
ISNUMBER(SEARCH("RJ45",B94)),
ISNUMBER(SEARCH("USB-C",B94)),
ISNUMBER(SEARCH("USB WIFI",B94)),
ISNUMBER(SEARCH("POWERBANK",B94)),
ISNUMBER(SEARCH("CARGADOR",B94)),
ISNUMBER(SEARCH("COOLER PARA NB",B94)),
ISNUMBER(SEARCH("SOPORTE PARA NB",B94)),
ISNUMBER(SEARCH("WEBCAM",B94)),
ISNUMBER(SEARCH("WEB CAM",B94)),
ISNUMBER(SEARCH("MOUSE",B94)),
ISNUMBER(SEARCH("TECLADO",B94))
),
"COMPLEMENTO",
IF(
OR(
LEFT(A94,2)="NB",
LEFT(A94,2)="PC",
LEFT(A94,2)="WS",
LEFT(A94,2)="TB",
LEFT(A94,3)="CEL",
LEFT(A94,3)="MON",
LEFT(A94,3)="PRE",
LEFT(A94,3)="PRH",
ISNUMBER(SEARCH("NOTEBOOK",B94)),
ISNUMBER(SEARCH("LAPTOP",B94)),
ISNUMBER(SEARCH("MONITOR",B94)),
ISNUMBER(SEARCH("TABLET",B94)),
ISNUMBER(SEARCH("SMARTPH",B94)),
ISNUMBER(SEARCH("IMPRESORA",B94)),
ISNUMBER(SEARCH("MULTIFUNCIONAL",B94)),
ISNUMBER(SEARCH("AIO",B94))
),
"GANCHO",
"NORMAL"
)
)</f>
        <v>NORMAL</v>
      </c>
    </row>
    <row r="93" spans="1:12" x14ac:dyDescent="0.25">
      <c r="A93" s="3" t="s">
        <v>858</v>
      </c>
      <c r="B93" s="3" t="s">
        <v>859</v>
      </c>
      <c r="C93" s="1">
        <v>6</v>
      </c>
      <c r="D93" s="1">
        <v>598</v>
      </c>
      <c r="E93" s="1" t="s">
        <v>115</v>
      </c>
      <c r="F93" s="1" t="s">
        <v>3118</v>
      </c>
      <c r="G93" s="3" t="s">
        <v>4552</v>
      </c>
      <c r="H93" s="11">
        <f>ROUND(
IF(L91="GANCHO",
   IF(I93&lt;=50,I93*1.1+4,IF(I93&lt;=120,I93*1.1+7,IF(I93&lt;=250,I93*1.1+11,I93*1.1+19))),
IF(L91="NORMAL",
   IF(I93&lt;=30,I93*1.15+2,IF(I93&lt;=80,I93*1.15+4,IF(I93&lt;=150,I93*1.15+6,I93*1.15+8))),
IF(L91="COMPLEMENTO",
   IF(I93&lt;=25,I93*1.25+1.5,IF(I93&lt;=60,I93*1.25+3,IF(I93&lt;=120,I93*1.25+4,I93*1.25+5))),
""))),2)</f>
        <v>2831.97</v>
      </c>
      <c r="I93" s="9">
        <f>($K$2+0.02)*Tabla1[[#This Row],[PRECIO $]]*1.18</f>
        <v>2455.6271999999999</v>
      </c>
      <c r="J93" s="7">
        <f>+Tabla1[[#This Row],[PRECIO EN SOLES]]-Tabla1[[#This Row],[PC]]</f>
        <v>376.3427999999999</v>
      </c>
      <c r="K93" s="15"/>
      <c r="L93" s="15" t="str">
        <f>IF(
OR(
ISNUMBER(SEARCH("BACKPACK",B95)),
ISNUMBER(SEARCH("MOCHILA",B95)),
ISNUMBER(SEARCH("FUNDA",B95)),
ISNUMBER(SEARCH("ESTUCHE",B95)),
ISNUMBER(SEARCH("BOOK COVER",B95)),
ISNUMBER(SEARCH("KEYBOARD PARA TABLET",B95)),
ISNUMBER(SEARCH("FLIP TABLET",B95)),
ISNUMBER(SEARCH("CASE FOR TABLET",B95)),
ISNUMBER(SEARCH("CABLE",B95)),
ISNUMBER(SEARCH("ADAPTADOR",B95)),
ISNUMBER(SEARCH("HUB",B95)),
ISNUMBER(SEARCH("DOCK",B95)),
ISNUMBER(SEARCH("MOUSE PAD",B95)),
ISNUMBER(SEARCH("MOUSEPAD",B95)),
ISNUMBER(SEARCH("SOPORTE",B95)),
ISNUMBER(SEARCH("STAND",B95)),
ISNUMBER(SEARCH("TRAVEL ADAPTER",B95)),
ISNUMBER(SEARCH("RJ45",B95)),
ISNUMBER(SEARCH("USB-C",B95)),
ISNUMBER(SEARCH("USB WIFI",B95)),
ISNUMBER(SEARCH("POWERBANK",B95)),
ISNUMBER(SEARCH("CARGADOR",B95)),
ISNUMBER(SEARCH("COOLER PARA NB",B95)),
ISNUMBER(SEARCH("SOPORTE PARA NB",B95)),
ISNUMBER(SEARCH("WEBCAM",B95)),
ISNUMBER(SEARCH("WEB CAM",B95)),
ISNUMBER(SEARCH("MOUSE",B95)),
ISNUMBER(SEARCH("TECLADO",B95))
),
"COMPLEMENTO",
IF(
OR(
LEFT(A95,2)="NB",
LEFT(A95,2)="PC",
LEFT(A95,2)="WS",
LEFT(A95,2)="TB",
LEFT(A95,3)="CEL",
LEFT(A95,3)="MON",
LEFT(A95,3)="PRE",
LEFT(A95,3)="PRH",
ISNUMBER(SEARCH("NOTEBOOK",B95)),
ISNUMBER(SEARCH("LAPTOP",B95)),
ISNUMBER(SEARCH("MONITOR",B95)),
ISNUMBER(SEARCH("TABLET",B95)),
ISNUMBER(SEARCH("SMARTPH",B95)),
ISNUMBER(SEARCH("IMPRESORA",B95)),
ISNUMBER(SEARCH("MULTIFUNCIONAL",B95)),
ISNUMBER(SEARCH("AIO",B95))
),
"GANCHO",
"NORMAL"
)
)</f>
        <v>NORMAL</v>
      </c>
    </row>
    <row r="94" spans="1:12" x14ac:dyDescent="0.25">
      <c r="A94" s="3" t="s">
        <v>860</v>
      </c>
      <c r="B94" s="3" t="s">
        <v>861</v>
      </c>
      <c r="C94" s="1">
        <v>2</v>
      </c>
      <c r="D94" s="1">
        <v>774</v>
      </c>
      <c r="E94" s="1" t="s">
        <v>115</v>
      </c>
      <c r="F94" s="1" t="s">
        <v>3119</v>
      </c>
      <c r="G94" s="3" t="s">
        <v>862</v>
      </c>
      <c r="H94" s="11">
        <f>ROUND(
IF(L92="GANCHO",
   IF(I94&lt;=50,I94*1.1+4,IF(I94&lt;=120,I94*1.1+7,IF(I94&lt;=250,I94*1.1+11,I94*1.1+19))),
IF(L92="NORMAL",
   IF(I94&lt;=30,I94*1.15+2,IF(I94&lt;=80,I94*1.15+4,IF(I94&lt;=150,I94*1.15+6,I94*1.15+8))),
IF(L92="COMPLEMENTO",
   IF(I94&lt;=25,I94*1.25+1.5,IF(I94&lt;=60,I94*1.25+3,IF(I94&lt;=120,I94*1.25+4,I94*1.25+5))),
""))),2)</f>
        <v>3663.11</v>
      </c>
      <c r="I94" s="9">
        <f>($K$2+0.02)*Tabla1[[#This Row],[PRECIO $]]*1.18</f>
        <v>3178.3535999999999</v>
      </c>
      <c r="J94" s="7">
        <f>+Tabla1[[#This Row],[PRECIO EN SOLES]]-Tabla1[[#This Row],[PC]]</f>
        <v>484.75640000000021</v>
      </c>
      <c r="K94" s="15"/>
      <c r="L94" s="15" t="str">
        <f>IF(
OR(
ISNUMBER(SEARCH("BACKPACK",B96)),
ISNUMBER(SEARCH("MOCHILA",B96)),
ISNUMBER(SEARCH("FUNDA",B96)),
ISNUMBER(SEARCH("ESTUCHE",B96)),
ISNUMBER(SEARCH("BOOK COVER",B96)),
ISNUMBER(SEARCH("KEYBOARD PARA TABLET",B96)),
ISNUMBER(SEARCH("FLIP TABLET",B96)),
ISNUMBER(SEARCH("CASE FOR TABLET",B96)),
ISNUMBER(SEARCH("CABLE",B96)),
ISNUMBER(SEARCH("ADAPTADOR",B96)),
ISNUMBER(SEARCH("HUB",B96)),
ISNUMBER(SEARCH("DOCK",B96)),
ISNUMBER(SEARCH("MOUSE PAD",B96)),
ISNUMBER(SEARCH("MOUSEPAD",B96)),
ISNUMBER(SEARCH("SOPORTE",B96)),
ISNUMBER(SEARCH("STAND",B96)),
ISNUMBER(SEARCH("TRAVEL ADAPTER",B96)),
ISNUMBER(SEARCH("RJ45",B96)),
ISNUMBER(SEARCH("USB-C",B96)),
ISNUMBER(SEARCH("USB WIFI",B96)),
ISNUMBER(SEARCH("POWERBANK",B96)),
ISNUMBER(SEARCH("CARGADOR",B96)),
ISNUMBER(SEARCH("COOLER PARA NB",B96)),
ISNUMBER(SEARCH("SOPORTE PARA NB",B96)),
ISNUMBER(SEARCH("WEBCAM",B96)),
ISNUMBER(SEARCH("WEB CAM",B96)),
ISNUMBER(SEARCH("MOUSE",B96)),
ISNUMBER(SEARCH("TECLADO",B96))
),
"COMPLEMENTO",
IF(
OR(
LEFT(A96,2)="NB",
LEFT(A96,2)="PC",
LEFT(A96,2)="WS",
LEFT(A96,2)="TB",
LEFT(A96,3)="CEL",
LEFT(A96,3)="MON",
LEFT(A96,3)="PRE",
LEFT(A96,3)="PRH",
ISNUMBER(SEARCH("NOTEBOOK",B96)),
ISNUMBER(SEARCH("LAPTOP",B96)),
ISNUMBER(SEARCH("MONITOR",B96)),
ISNUMBER(SEARCH("TABLET",B96)),
ISNUMBER(SEARCH("SMARTPH",B96)),
ISNUMBER(SEARCH("IMPRESORA",B96)),
ISNUMBER(SEARCH("MULTIFUNCIONAL",B96)),
ISNUMBER(SEARCH("AIO",B96))
),
"GANCHO",
"NORMAL"
)
)</f>
        <v>COMPLEMENTO</v>
      </c>
    </row>
    <row r="95" spans="1:12" x14ac:dyDescent="0.25">
      <c r="A95" s="3" t="s">
        <v>6271</v>
      </c>
      <c r="B95" s="3" t="s">
        <v>6272</v>
      </c>
      <c r="C95" s="1">
        <v>1</v>
      </c>
      <c r="D95" s="1">
        <v>466.5</v>
      </c>
      <c r="E95" s="1" t="s">
        <v>121</v>
      </c>
      <c r="F95" s="1" t="s">
        <v>6273</v>
      </c>
      <c r="G95" s="3" t="s">
        <v>6274</v>
      </c>
      <c r="H95" s="11">
        <f>ROUND(
IF(L93="GANCHO",
   IF(I95&lt;=50,I95*1.1+4,IF(I95&lt;=120,I95*1.1+7,IF(I95&lt;=250,I95*1.1+11,I95*1.1+19))),
IF(L93="NORMAL",
   IF(I95&lt;=30,I95*1.15+2,IF(I95&lt;=80,I95*1.15+4,IF(I95&lt;=150,I95*1.15+6,I95*1.15+8))),
IF(L93="COMPLEMENTO",
   IF(I95&lt;=25,I95*1.25+1.5,IF(I95&lt;=60,I95*1.25+3,IF(I95&lt;=120,I95*1.25+4,I95*1.25+5))),
""))),2)</f>
        <v>2210.98</v>
      </c>
      <c r="I95" s="9">
        <f>($K$2+0.02)*Tabla1[[#This Row],[PRECIO $]]*1.18</f>
        <v>1915.6356000000001</v>
      </c>
      <c r="J95" s="7">
        <f>+Tabla1[[#This Row],[PRECIO EN SOLES]]-Tabla1[[#This Row],[PC]]</f>
        <v>295.34439999999995</v>
      </c>
      <c r="K95" s="15"/>
      <c r="L95" s="15" t="str">
        <f>IF(
OR(
ISNUMBER(SEARCH("BACKPACK",B97)),
ISNUMBER(SEARCH("MOCHILA",B97)),
ISNUMBER(SEARCH("FUNDA",B97)),
ISNUMBER(SEARCH("ESTUCHE",B97)),
ISNUMBER(SEARCH("BOOK COVER",B97)),
ISNUMBER(SEARCH("KEYBOARD PARA TABLET",B97)),
ISNUMBER(SEARCH("FLIP TABLET",B97)),
ISNUMBER(SEARCH("CASE FOR TABLET",B97)),
ISNUMBER(SEARCH("CABLE",B97)),
ISNUMBER(SEARCH("ADAPTADOR",B97)),
ISNUMBER(SEARCH("HUB",B97)),
ISNUMBER(SEARCH("DOCK",B97)),
ISNUMBER(SEARCH("MOUSE PAD",B97)),
ISNUMBER(SEARCH("MOUSEPAD",B97)),
ISNUMBER(SEARCH("SOPORTE",B97)),
ISNUMBER(SEARCH("STAND",B97)),
ISNUMBER(SEARCH("TRAVEL ADAPTER",B97)),
ISNUMBER(SEARCH("RJ45",B97)),
ISNUMBER(SEARCH("USB-C",B97)),
ISNUMBER(SEARCH("USB WIFI",B97)),
ISNUMBER(SEARCH("POWERBANK",B97)),
ISNUMBER(SEARCH("CARGADOR",B97)),
ISNUMBER(SEARCH("COOLER PARA NB",B97)),
ISNUMBER(SEARCH("SOPORTE PARA NB",B97)),
ISNUMBER(SEARCH("WEBCAM",B97)),
ISNUMBER(SEARCH("WEB CAM",B97)),
ISNUMBER(SEARCH("MOUSE",B97)),
ISNUMBER(SEARCH("TECLADO",B97))
),
"COMPLEMENTO",
IF(
OR(
LEFT(A97,2)="NB",
LEFT(A97,2)="PC",
LEFT(A97,2)="WS",
LEFT(A97,2)="TB",
LEFT(A97,3)="CEL",
LEFT(A97,3)="MON",
LEFT(A97,3)="PRE",
LEFT(A97,3)="PRH",
ISNUMBER(SEARCH("NOTEBOOK",B97)),
ISNUMBER(SEARCH("LAPTOP",B97)),
ISNUMBER(SEARCH("MONITOR",B97)),
ISNUMBER(SEARCH("TABLET",B97)),
ISNUMBER(SEARCH("SMARTPH",B97)),
ISNUMBER(SEARCH("IMPRESORA",B97)),
ISNUMBER(SEARCH("MULTIFUNCIONAL",B97)),
ISNUMBER(SEARCH("AIO",B97))
),
"GANCHO",
"NORMAL"
)
)</f>
        <v>COMPLEMENTO</v>
      </c>
    </row>
    <row r="96" spans="1:12" x14ac:dyDescent="0.25">
      <c r="A96" s="3" t="s">
        <v>863</v>
      </c>
      <c r="B96" s="3" t="s">
        <v>864</v>
      </c>
      <c r="C96" s="1">
        <v>2</v>
      </c>
      <c r="D96" s="1">
        <v>131</v>
      </c>
      <c r="E96" s="1" t="s">
        <v>837</v>
      </c>
      <c r="F96" s="1" t="s">
        <v>3120</v>
      </c>
      <c r="G96" s="3" t="s">
        <v>4250</v>
      </c>
      <c r="H96" s="11">
        <f>ROUND(
IF(L94="GANCHO",
   IF(I96&lt;=50,I96*1.1+4,IF(I96&lt;=120,I96*1.1+7,IF(I96&lt;=250,I96*1.1+11,I96*1.1+19))),
IF(L94="NORMAL",
   IF(I96&lt;=30,I96*1.15+2,IF(I96&lt;=80,I96*1.15+4,IF(I96&lt;=150,I96*1.15+6,I96*1.15+8))),
IF(L94="COMPLEMENTO",
   IF(I96&lt;=25,I96*1.25+1.5,IF(I96&lt;=60,I96*1.25+3,IF(I96&lt;=120,I96*1.25+4,I96*1.25+5))),
""))),2)</f>
        <v>677.42</v>
      </c>
      <c r="I96" s="9">
        <f>($K$2+0.02)*Tabla1[[#This Row],[PRECIO $]]*1.18</f>
        <v>537.9384</v>
      </c>
      <c r="J96" s="7">
        <f>+Tabla1[[#This Row],[PRECIO EN SOLES]]-Tabla1[[#This Row],[PC]]</f>
        <v>139.48159999999996</v>
      </c>
      <c r="K96" s="15"/>
      <c r="L96" s="15" t="str">
        <f>IF(
OR(
ISNUMBER(SEARCH("BACKPACK",B98)),
ISNUMBER(SEARCH("MOCHILA",B98)),
ISNUMBER(SEARCH("FUNDA",B98)),
ISNUMBER(SEARCH("ESTUCHE",B98)),
ISNUMBER(SEARCH("BOOK COVER",B98)),
ISNUMBER(SEARCH("KEYBOARD PARA TABLET",B98)),
ISNUMBER(SEARCH("FLIP TABLET",B98)),
ISNUMBER(SEARCH("CASE FOR TABLET",B98)),
ISNUMBER(SEARCH("CABLE",B98)),
ISNUMBER(SEARCH("ADAPTADOR",B98)),
ISNUMBER(SEARCH("HUB",B98)),
ISNUMBER(SEARCH("DOCK",B98)),
ISNUMBER(SEARCH("MOUSE PAD",B98)),
ISNUMBER(SEARCH("MOUSEPAD",B98)),
ISNUMBER(SEARCH("SOPORTE",B98)),
ISNUMBER(SEARCH("STAND",B98)),
ISNUMBER(SEARCH("TRAVEL ADAPTER",B98)),
ISNUMBER(SEARCH("RJ45",B98)),
ISNUMBER(SEARCH("USB-C",B98)),
ISNUMBER(SEARCH("USB WIFI",B98)),
ISNUMBER(SEARCH("POWERBANK",B98)),
ISNUMBER(SEARCH("CARGADOR",B98)),
ISNUMBER(SEARCH("COOLER PARA NB",B98)),
ISNUMBER(SEARCH("SOPORTE PARA NB",B98)),
ISNUMBER(SEARCH("WEBCAM",B98)),
ISNUMBER(SEARCH("WEB CAM",B98)),
ISNUMBER(SEARCH("MOUSE",B98)),
ISNUMBER(SEARCH("TECLADO",B98))
),
"COMPLEMENTO",
IF(
OR(
LEFT(A98,2)="NB",
LEFT(A98,2)="PC",
LEFT(A98,2)="WS",
LEFT(A98,2)="TB",
LEFT(A98,3)="CEL",
LEFT(A98,3)="MON",
LEFT(A98,3)="PRE",
LEFT(A98,3)="PRH",
ISNUMBER(SEARCH("NOTEBOOK",B98)),
ISNUMBER(SEARCH("LAPTOP",B98)),
ISNUMBER(SEARCH("MONITOR",B98)),
ISNUMBER(SEARCH("TABLET",B98)),
ISNUMBER(SEARCH("SMARTPH",B98)),
ISNUMBER(SEARCH("IMPRESORA",B98)),
ISNUMBER(SEARCH("MULTIFUNCIONAL",B98)),
ISNUMBER(SEARCH("AIO",B98))
),
"GANCHO",
"NORMAL"
)
)</f>
        <v>NORMAL</v>
      </c>
    </row>
    <row r="97" spans="1:12" x14ac:dyDescent="0.25">
      <c r="A97" s="3" t="s">
        <v>865</v>
      </c>
      <c r="B97" s="3" t="s">
        <v>866</v>
      </c>
      <c r="C97" s="1">
        <v>20</v>
      </c>
      <c r="D97" s="1">
        <v>47.2</v>
      </c>
      <c r="E97" s="1" t="s">
        <v>837</v>
      </c>
      <c r="F97" s="1" t="s">
        <v>3121</v>
      </c>
      <c r="G97" s="3" t="s">
        <v>4251</v>
      </c>
      <c r="H97" s="11">
        <f>ROUND(
IF(L95="GANCHO",
   IF(I97&lt;=50,I97*1.1+4,IF(I97&lt;=120,I97*1.1+7,IF(I97&lt;=250,I97*1.1+11,I97*1.1+19))),
IF(L95="NORMAL",
   IF(I97&lt;=30,I97*1.15+2,IF(I97&lt;=80,I97*1.15+4,IF(I97&lt;=150,I97*1.15+6,I97*1.15+8))),
IF(L95="COMPLEMENTO",
   IF(I97&lt;=25,I97*1.25+1.5,IF(I97&lt;=60,I97*1.25+3,IF(I97&lt;=120,I97*1.25+4,I97*1.25+5))),
""))),2)</f>
        <v>247.28</v>
      </c>
      <c r="I97" s="9">
        <f>($K$2+0.02)*Tabla1[[#This Row],[PRECIO $]]*1.18</f>
        <v>193.82208</v>
      </c>
      <c r="J97" s="7">
        <f>+Tabla1[[#This Row],[PRECIO EN SOLES]]-Tabla1[[#This Row],[PC]]</f>
        <v>53.457920000000001</v>
      </c>
      <c r="K97" s="15"/>
      <c r="L97" s="15" t="str">
        <f>IF(
OR(
ISNUMBER(SEARCH("BACKPACK",B99)),
ISNUMBER(SEARCH("MOCHILA",B99)),
ISNUMBER(SEARCH("FUNDA",B99)),
ISNUMBER(SEARCH("ESTUCHE",B99)),
ISNUMBER(SEARCH("BOOK COVER",B99)),
ISNUMBER(SEARCH("KEYBOARD PARA TABLET",B99)),
ISNUMBER(SEARCH("FLIP TABLET",B99)),
ISNUMBER(SEARCH("CASE FOR TABLET",B99)),
ISNUMBER(SEARCH("CABLE",B99)),
ISNUMBER(SEARCH("ADAPTADOR",B99)),
ISNUMBER(SEARCH("HUB",B99)),
ISNUMBER(SEARCH("DOCK",B99)),
ISNUMBER(SEARCH("MOUSE PAD",B99)),
ISNUMBER(SEARCH("MOUSEPAD",B99)),
ISNUMBER(SEARCH("SOPORTE",B99)),
ISNUMBER(SEARCH("STAND",B99)),
ISNUMBER(SEARCH("TRAVEL ADAPTER",B99)),
ISNUMBER(SEARCH("RJ45",B99)),
ISNUMBER(SEARCH("USB-C",B99)),
ISNUMBER(SEARCH("USB WIFI",B99)),
ISNUMBER(SEARCH("POWERBANK",B99)),
ISNUMBER(SEARCH("CARGADOR",B99)),
ISNUMBER(SEARCH("COOLER PARA NB",B99)),
ISNUMBER(SEARCH("SOPORTE PARA NB",B99)),
ISNUMBER(SEARCH("WEBCAM",B99)),
ISNUMBER(SEARCH("WEB CAM",B99)),
ISNUMBER(SEARCH("MOUSE",B99)),
ISNUMBER(SEARCH("TECLADO",B99))
),
"COMPLEMENTO",
IF(
OR(
LEFT(A99,2)="NB",
LEFT(A99,2)="PC",
LEFT(A99,2)="WS",
LEFT(A99,2)="TB",
LEFT(A99,3)="CEL",
LEFT(A99,3)="MON",
LEFT(A99,3)="PRE",
LEFT(A99,3)="PRH",
ISNUMBER(SEARCH("NOTEBOOK",B99)),
ISNUMBER(SEARCH("LAPTOP",B99)),
ISNUMBER(SEARCH("MONITOR",B99)),
ISNUMBER(SEARCH("TABLET",B99)),
ISNUMBER(SEARCH("SMARTPH",B99)),
ISNUMBER(SEARCH("IMPRESORA",B99)),
ISNUMBER(SEARCH("MULTIFUNCIONAL",B99)),
ISNUMBER(SEARCH("AIO",B99))
),
"GANCHO",
"NORMAL"
)
)</f>
        <v>NORMAL</v>
      </c>
    </row>
    <row r="98" spans="1:12" x14ac:dyDescent="0.25">
      <c r="A98" s="3" t="s">
        <v>867</v>
      </c>
      <c r="B98" s="3" t="s">
        <v>868</v>
      </c>
      <c r="C98" s="1">
        <v>0</v>
      </c>
      <c r="D98" s="1">
        <v>44</v>
      </c>
      <c r="E98" s="1" t="s">
        <v>74</v>
      </c>
      <c r="F98" s="1" t="s">
        <v>3122</v>
      </c>
      <c r="G98" s="3" t="s">
        <v>869</v>
      </c>
      <c r="H98" s="11">
        <f>ROUND(
IF(L96="GANCHO",
   IF(I98&lt;=50,I98*1.1+4,IF(I98&lt;=120,I98*1.1+7,IF(I98&lt;=250,I98*1.1+11,I98*1.1+19))),
IF(L96="NORMAL",
   IF(I98&lt;=30,I98*1.15+2,IF(I98&lt;=80,I98*1.15+4,IF(I98&lt;=150,I98*1.15+6,I98*1.15+8))),
IF(L96="COMPLEMENTO",
   IF(I98&lt;=25,I98*1.25+1.5,IF(I98&lt;=60,I98*1.25+3,IF(I98&lt;=120,I98*1.25+4,I98*1.25+5))),
""))),2)</f>
        <v>215.78</v>
      </c>
      <c r="I98" s="9">
        <f>($K$2+0.02)*Tabla1[[#This Row],[PRECIO $]]*1.18</f>
        <v>180.6816</v>
      </c>
      <c r="J98" s="7">
        <f>+Tabla1[[#This Row],[PRECIO EN SOLES]]-Tabla1[[#This Row],[PC]]</f>
        <v>35.098399999999998</v>
      </c>
      <c r="K98" s="15"/>
      <c r="L98" s="15" t="str">
        <f>IF(
OR(
ISNUMBER(SEARCH("BACKPACK",B100)),
ISNUMBER(SEARCH("MOCHILA",B100)),
ISNUMBER(SEARCH("FUNDA",B100)),
ISNUMBER(SEARCH("ESTUCHE",B100)),
ISNUMBER(SEARCH("BOOK COVER",B100)),
ISNUMBER(SEARCH("KEYBOARD PARA TABLET",B100)),
ISNUMBER(SEARCH("FLIP TABLET",B100)),
ISNUMBER(SEARCH("CASE FOR TABLET",B100)),
ISNUMBER(SEARCH("CABLE",B100)),
ISNUMBER(SEARCH("ADAPTADOR",B100)),
ISNUMBER(SEARCH("HUB",B100)),
ISNUMBER(SEARCH("DOCK",B100)),
ISNUMBER(SEARCH("MOUSE PAD",B100)),
ISNUMBER(SEARCH("MOUSEPAD",B100)),
ISNUMBER(SEARCH("SOPORTE",B100)),
ISNUMBER(SEARCH("STAND",B100)),
ISNUMBER(SEARCH("TRAVEL ADAPTER",B100)),
ISNUMBER(SEARCH("RJ45",B100)),
ISNUMBER(SEARCH("USB-C",B100)),
ISNUMBER(SEARCH("USB WIFI",B100)),
ISNUMBER(SEARCH("POWERBANK",B100)),
ISNUMBER(SEARCH("CARGADOR",B100)),
ISNUMBER(SEARCH("COOLER PARA NB",B100)),
ISNUMBER(SEARCH("SOPORTE PARA NB",B100)),
ISNUMBER(SEARCH("WEBCAM",B100)),
ISNUMBER(SEARCH("WEB CAM",B100)),
ISNUMBER(SEARCH("MOUSE",B100)),
ISNUMBER(SEARCH("TECLADO",B100))
),
"COMPLEMENTO",
IF(
OR(
LEFT(A100,2)="NB",
LEFT(A100,2)="PC",
LEFT(A100,2)="WS",
LEFT(A100,2)="TB",
LEFT(A100,3)="CEL",
LEFT(A100,3)="MON",
LEFT(A100,3)="PRE",
LEFT(A100,3)="PRH",
ISNUMBER(SEARCH("NOTEBOOK",B100)),
ISNUMBER(SEARCH("LAPTOP",B100)),
ISNUMBER(SEARCH("MONITOR",B100)),
ISNUMBER(SEARCH("TABLET",B100)),
ISNUMBER(SEARCH("SMARTPH",B100)),
ISNUMBER(SEARCH("IMPRESORA",B100)),
ISNUMBER(SEARCH("MULTIFUNCIONAL",B100)),
ISNUMBER(SEARCH("AIO",B100))
),
"GANCHO",
"NORMAL"
)
)</f>
        <v>COMPLEMENTO</v>
      </c>
    </row>
    <row r="99" spans="1:12" x14ac:dyDescent="0.25">
      <c r="A99" s="3" t="s">
        <v>870</v>
      </c>
      <c r="B99" s="3" t="s">
        <v>871</v>
      </c>
      <c r="C99" s="1">
        <v>20</v>
      </c>
      <c r="D99" s="1">
        <v>43.8</v>
      </c>
      <c r="E99" s="1" t="s">
        <v>95</v>
      </c>
      <c r="F99" s="1" t="s">
        <v>3123</v>
      </c>
      <c r="G99" s="3" t="s">
        <v>872</v>
      </c>
      <c r="H99" s="11">
        <f>ROUND(
IF(L97="GANCHO",
   IF(I99&lt;=50,I99*1.1+4,IF(I99&lt;=120,I99*1.1+7,IF(I99&lt;=250,I99*1.1+11,I99*1.1+19))),
IF(L97="NORMAL",
   IF(I99&lt;=30,I99*1.15+2,IF(I99&lt;=80,I99*1.15+4,IF(I99&lt;=150,I99*1.15+6,I99*1.15+8))),
IF(L97="COMPLEMENTO",
   IF(I99&lt;=25,I99*1.25+1.5,IF(I99&lt;=60,I99*1.25+3,IF(I99&lt;=120,I99*1.25+4,I99*1.25+5))),
""))),2)</f>
        <v>214.84</v>
      </c>
      <c r="I99" s="9">
        <f>($K$2+0.02)*Tabla1[[#This Row],[PRECIO $]]*1.18</f>
        <v>179.86031999999997</v>
      </c>
      <c r="J99" s="7">
        <f>+Tabla1[[#This Row],[PRECIO EN SOLES]]-Tabla1[[#This Row],[PC]]</f>
        <v>34.97968000000003</v>
      </c>
      <c r="K99" s="15"/>
      <c r="L99" s="15" t="str">
        <f>IF(
OR(
ISNUMBER(SEARCH("BACKPACK",B101)),
ISNUMBER(SEARCH("MOCHILA",B101)),
ISNUMBER(SEARCH("FUNDA",B101)),
ISNUMBER(SEARCH("ESTUCHE",B101)),
ISNUMBER(SEARCH("BOOK COVER",B101)),
ISNUMBER(SEARCH("KEYBOARD PARA TABLET",B101)),
ISNUMBER(SEARCH("FLIP TABLET",B101)),
ISNUMBER(SEARCH("CASE FOR TABLET",B101)),
ISNUMBER(SEARCH("CABLE",B101)),
ISNUMBER(SEARCH("ADAPTADOR",B101)),
ISNUMBER(SEARCH("HUB",B101)),
ISNUMBER(SEARCH("DOCK",B101)),
ISNUMBER(SEARCH("MOUSE PAD",B101)),
ISNUMBER(SEARCH("MOUSEPAD",B101)),
ISNUMBER(SEARCH("SOPORTE",B101)),
ISNUMBER(SEARCH("STAND",B101)),
ISNUMBER(SEARCH("TRAVEL ADAPTER",B101)),
ISNUMBER(SEARCH("RJ45",B101)),
ISNUMBER(SEARCH("USB-C",B101)),
ISNUMBER(SEARCH("USB WIFI",B101)),
ISNUMBER(SEARCH("POWERBANK",B101)),
ISNUMBER(SEARCH("CARGADOR",B101)),
ISNUMBER(SEARCH("COOLER PARA NB",B101)),
ISNUMBER(SEARCH("SOPORTE PARA NB",B101)),
ISNUMBER(SEARCH("WEBCAM",B101)),
ISNUMBER(SEARCH("WEB CAM",B101)),
ISNUMBER(SEARCH("MOUSE",B101)),
ISNUMBER(SEARCH("TECLADO",B101))
),
"COMPLEMENTO",
IF(
OR(
LEFT(A101,2)="NB",
LEFT(A101,2)="PC",
LEFT(A101,2)="WS",
LEFT(A101,2)="TB",
LEFT(A101,3)="CEL",
LEFT(A101,3)="MON",
LEFT(A101,3)="PRE",
LEFT(A101,3)="PRH",
ISNUMBER(SEARCH("NOTEBOOK",B101)),
ISNUMBER(SEARCH("LAPTOP",B101)),
ISNUMBER(SEARCH("MONITOR",B101)),
ISNUMBER(SEARCH("TABLET",B101)),
ISNUMBER(SEARCH("SMARTPH",B101)),
ISNUMBER(SEARCH("IMPRESORA",B101)),
ISNUMBER(SEARCH("MULTIFUNCIONAL",B101)),
ISNUMBER(SEARCH("AIO",B101))
),
"GANCHO",
"NORMAL"
)
)</f>
        <v>COMPLEMENTO</v>
      </c>
    </row>
    <row r="100" spans="1:12" x14ac:dyDescent="0.25">
      <c r="A100" s="3" t="s">
        <v>6405</v>
      </c>
      <c r="B100" s="3" t="s">
        <v>6406</v>
      </c>
      <c r="C100" s="1">
        <v>20</v>
      </c>
      <c r="D100" s="1">
        <v>13.2</v>
      </c>
      <c r="E100" s="1" t="s">
        <v>52</v>
      </c>
      <c r="F100" s="1" t="s">
        <v>6407</v>
      </c>
      <c r="G100" s="3" t="s">
        <v>6408</v>
      </c>
      <c r="H100" s="11">
        <f>ROUND(
IF(L98="GANCHO",
   IF(I100&lt;=50,I100*1.1+4,IF(I100&lt;=120,I100*1.1+7,IF(I100&lt;=250,I100*1.1+11,I100*1.1+19))),
IF(L98="NORMAL",
   IF(I100&lt;=30,I100*1.15+2,IF(I100&lt;=80,I100*1.15+4,IF(I100&lt;=150,I100*1.15+6,I100*1.15+8))),
IF(L98="COMPLEMENTO",
   IF(I100&lt;=25,I100*1.25+1.5,IF(I100&lt;=60,I100*1.25+3,IF(I100&lt;=120,I100*1.25+4,I100*1.25+5))),
""))),2)</f>
        <v>70.760000000000005</v>
      </c>
      <c r="I100" s="9">
        <f>($K$2+0.02)*Tabla1[[#This Row],[PRECIO $]]*1.18</f>
        <v>54.204479999999997</v>
      </c>
      <c r="J100" s="7">
        <f>+Tabla1[[#This Row],[PRECIO EN SOLES]]-Tabla1[[#This Row],[PC]]</f>
        <v>16.555520000000008</v>
      </c>
      <c r="K100" s="15"/>
      <c r="L100" s="15" t="str">
        <f>IF(
OR(
ISNUMBER(SEARCH("BACKPACK",B102)),
ISNUMBER(SEARCH("MOCHILA",B102)),
ISNUMBER(SEARCH("FUNDA",B102)),
ISNUMBER(SEARCH("ESTUCHE",B102)),
ISNUMBER(SEARCH("BOOK COVER",B102)),
ISNUMBER(SEARCH("KEYBOARD PARA TABLET",B102)),
ISNUMBER(SEARCH("FLIP TABLET",B102)),
ISNUMBER(SEARCH("CASE FOR TABLET",B102)),
ISNUMBER(SEARCH("CABLE",B102)),
ISNUMBER(SEARCH("ADAPTADOR",B102)),
ISNUMBER(SEARCH("HUB",B102)),
ISNUMBER(SEARCH("DOCK",B102)),
ISNUMBER(SEARCH("MOUSE PAD",B102)),
ISNUMBER(SEARCH("MOUSEPAD",B102)),
ISNUMBER(SEARCH("SOPORTE",B102)),
ISNUMBER(SEARCH("STAND",B102)),
ISNUMBER(SEARCH("TRAVEL ADAPTER",B102)),
ISNUMBER(SEARCH("RJ45",B102)),
ISNUMBER(SEARCH("USB-C",B102)),
ISNUMBER(SEARCH("USB WIFI",B102)),
ISNUMBER(SEARCH("POWERBANK",B102)),
ISNUMBER(SEARCH("CARGADOR",B102)),
ISNUMBER(SEARCH("COOLER PARA NB",B102)),
ISNUMBER(SEARCH("SOPORTE PARA NB",B102)),
ISNUMBER(SEARCH("WEBCAM",B102)),
ISNUMBER(SEARCH("WEB CAM",B102)),
ISNUMBER(SEARCH("MOUSE",B102)),
ISNUMBER(SEARCH("TECLADO",B102))
),
"COMPLEMENTO",
IF(
OR(
LEFT(A102,2)="NB",
LEFT(A102,2)="PC",
LEFT(A102,2)="WS",
LEFT(A102,2)="TB",
LEFT(A102,3)="CEL",
LEFT(A102,3)="MON",
LEFT(A102,3)="PRE",
LEFT(A102,3)="PRH",
ISNUMBER(SEARCH("NOTEBOOK",B102)),
ISNUMBER(SEARCH("LAPTOP",B102)),
ISNUMBER(SEARCH("MONITOR",B102)),
ISNUMBER(SEARCH("TABLET",B102)),
ISNUMBER(SEARCH("SMARTPH",B102)),
ISNUMBER(SEARCH("IMPRESORA",B102)),
ISNUMBER(SEARCH("MULTIFUNCIONAL",B102)),
ISNUMBER(SEARCH("AIO",B102))
),
"GANCHO",
"NORMAL"
)
)</f>
        <v>COMPLEMENTO</v>
      </c>
    </row>
    <row r="101" spans="1:12" x14ac:dyDescent="0.25">
      <c r="A101" s="3" t="s">
        <v>873</v>
      </c>
      <c r="B101" s="3" t="s">
        <v>874</v>
      </c>
      <c r="C101" s="1">
        <v>20</v>
      </c>
      <c r="D101" s="1">
        <v>26.5</v>
      </c>
      <c r="E101" s="1" t="s">
        <v>52</v>
      </c>
      <c r="F101" s="1" t="s">
        <v>3124</v>
      </c>
      <c r="G101" s="3" t="s">
        <v>875</v>
      </c>
      <c r="H101" s="11">
        <f>ROUND(
IF(L99="GANCHO",
   IF(I101&lt;=50,I101*1.1+4,IF(I101&lt;=120,I101*1.1+7,IF(I101&lt;=250,I101*1.1+11,I101*1.1+19))),
IF(L99="NORMAL",
   IF(I101&lt;=30,I101*1.15+2,IF(I101&lt;=80,I101*1.15+4,IF(I101&lt;=150,I101*1.15+6,I101*1.15+8))),
IF(L99="COMPLEMENTO",
   IF(I101&lt;=25,I101*1.25+1.5,IF(I101&lt;=60,I101*1.25+3,IF(I101&lt;=120,I101*1.25+4,I101*1.25+5))),
""))),2)</f>
        <v>140.02000000000001</v>
      </c>
      <c r="I101" s="9">
        <f>($K$2+0.02)*Tabla1[[#This Row],[PRECIO $]]*1.18</f>
        <v>108.81959999999999</v>
      </c>
      <c r="J101" s="7">
        <f>+Tabla1[[#This Row],[PRECIO EN SOLES]]-Tabla1[[#This Row],[PC]]</f>
        <v>31.200400000000016</v>
      </c>
      <c r="K101" s="15"/>
      <c r="L101" s="15" t="str">
        <f>IF(
OR(
ISNUMBER(SEARCH("BACKPACK",B103)),
ISNUMBER(SEARCH("MOCHILA",B103)),
ISNUMBER(SEARCH("FUNDA",B103)),
ISNUMBER(SEARCH("ESTUCHE",B103)),
ISNUMBER(SEARCH("BOOK COVER",B103)),
ISNUMBER(SEARCH("KEYBOARD PARA TABLET",B103)),
ISNUMBER(SEARCH("FLIP TABLET",B103)),
ISNUMBER(SEARCH("CASE FOR TABLET",B103)),
ISNUMBER(SEARCH("CABLE",B103)),
ISNUMBER(SEARCH("ADAPTADOR",B103)),
ISNUMBER(SEARCH("HUB",B103)),
ISNUMBER(SEARCH("DOCK",B103)),
ISNUMBER(SEARCH("MOUSE PAD",B103)),
ISNUMBER(SEARCH("MOUSEPAD",B103)),
ISNUMBER(SEARCH("SOPORTE",B103)),
ISNUMBER(SEARCH("STAND",B103)),
ISNUMBER(SEARCH("TRAVEL ADAPTER",B103)),
ISNUMBER(SEARCH("RJ45",B103)),
ISNUMBER(SEARCH("USB-C",B103)),
ISNUMBER(SEARCH("USB WIFI",B103)),
ISNUMBER(SEARCH("POWERBANK",B103)),
ISNUMBER(SEARCH("CARGADOR",B103)),
ISNUMBER(SEARCH("COOLER PARA NB",B103)),
ISNUMBER(SEARCH("SOPORTE PARA NB",B103)),
ISNUMBER(SEARCH("WEBCAM",B103)),
ISNUMBER(SEARCH("WEB CAM",B103)),
ISNUMBER(SEARCH("MOUSE",B103)),
ISNUMBER(SEARCH("TECLADO",B103))
),
"COMPLEMENTO",
IF(
OR(
LEFT(A103,2)="NB",
LEFT(A103,2)="PC",
LEFT(A103,2)="WS",
LEFT(A103,2)="TB",
LEFT(A103,3)="CEL",
LEFT(A103,3)="MON",
LEFT(A103,3)="PRE",
LEFT(A103,3)="PRH",
ISNUMBER(SEARCH("NOTEBOOK",B103)),
ISNUMBER(SEARCH("LAPTOP",B103)),
ISNUMBER(SEARCH("MONITOR",B103)),
ISNUMBER(SEARCH("TABLET",B103)),
ISNUMBER(SEARCH("SMARTPH",B103)),
ISNUMBER(SEARCH("IMPRESORA",B103)),
ISNUMBER(SEARCH("MULTIFUNCIONAL",B103)),
ISNUMBER(SEARCH("AIO",B103))
),
"GANCHO",
"NORMAL"
)
)</f>
        <v>COMPLEMENTO</v>
      </c>
    </row>
    <row r="102" spans="1:12" x14ac:dyDescent="0.25">
      <c r="A102" s="3" t="s">
        <v>4553</v>
      </c>
      <c r="B102" s="3" t="s">
        <v>4554</v>
      </c>
      <c r="C102" s="1">
        <v>0</v>
      </c>
      <c r="D102" s="1">
        <v>999</v>
      </c>
      <c r="E102" s="1" t="s">
        <v>170</v>
      </c>
      <c r="F102" s="1" t="s">
        <v>4555</v>
      </c>
      <c r="G102" s="3" t="s">
        <v>5703</v>
      </c>
      <c r="H102" s="11">
        <f>ROUND(
IF(L100="GANCHO",
   IF(I102&lt;=50,I102*1.1+4,IF(I102&lt;=120,I102*1.1+7,IF(I102&lt;=250,I102*1.1+11,I102*1.1+19))),
IF(L100="NORMAL",
   IF(I102&lt;=30,I102*1.15+2,IF(I102&lt;=80,I102*1.15+4,IF(I102&lt;=150,I102*1.15+6,I102*1.15+8))),
IF(L100="COMPLEMENTO",
   IF(I102&lt;=25,I102*1.25+1.5,IF(I102&lt;=60,I102*1.25+3,IF(I102&lt;=120,I102*1.25+4,I102*1.25+5))),
""))),2)</f>
        <v>5132.87</v>
      </c>
      <c r="I102" s="9">
        <f>($K$2+0.02)*Tabla1[[#This Row],[PRECIO $]]*1.18</f>
        <v>4102.2936</v>
      </c>
      <c r="J102" s="7">
        <f>+Tabla1[[#This Row],[PRECIO EN SOLES]]-Tabla1[[#This Row],[PC]]</f>
        <v>1030.5763999999999</v>
      </c>
      <c r="K102" s="15"/>
      <c r="L102" s="15" t="str">
        <f>IF(
OR(
ISNUMBER(SEARCH("BACKPACK",B104)),
ISNUMBER(SEARCH("MOCHILA",B104)),
ISNUMBER(SEARCH("FUNDA",B104)),
ISNUMBER(SEARCH("ESTUCHE",B104)),
ISNUMBER(SEARCH("BOOK COVER",B104)),
ISNUMBER(SEARCH("KEYBOARD PARA TABLET",B104)),
ISNUMBER(SEARCH("FLIP TABLET",B104)),
ISNUMBER(SEARCH("CASE FOR TABLET",B104)),
ISNUMBER(SEARCH("CABLE",B104)),
ISNUMBER(SEARCH("ADAPTADOR",B104)),
ISNUMBER(SEARCH("HUB",B104)),
ISNUMBER(SEARCH("DOCK",B104)),
ISNUMBER(SEARCH("MOUSE PAD",B104)),
ISNUMBER(SEARCH("MOUSEPAD",B104)),
ISNUMBER(SEARCH("SOPORTE",B104)),
ISNUMBER(SEARCH("STAND",B104)),
ISNUMBER(SEARCH("TRAVEL ADAPTER",B104)),
ISNUMBER(SEARCH("RJ45",B104)),
ISNUMBER(SEARCH("USB-C",B104)),
ISNUMBER(SEARCH("USB WIFI",B104)),
ISNUMBER(SEARCH("POWERBANK",B104)),
ISNUMBER(SEARCH("CARGADOR",B104)),
ISNUMBER(SEARCH("COOLER PARA NB",B104)),
ISNUMBER(SEARCH("SOPORTE PARA NB",B104)),
ISNUMBER(SEARCH("WEBCAM",B104)),
ISNUMBER(SEARCH("WEB CAM",B104)),
ISNUMBER(SEARCH("MOUSE",B104)),
ISNUMBER(SEARCH("TECLADO",B104))
),
"COMPLEMENTO",
IF(
OR(
LEFT(A104,2)="NB",
LEFT(A104,2)="PC",
LEFT(A104,2)="WS",
LEFT(A104,2)="TB",
LEFT(A104,3)="CEL",
LEFT(A104,3)="MON",
LEFT(A104,3)="PRE",
LEFT(A104,3)="PRH",
ISNUMBER(SEARCH("NOTEBOOK",B104)),
ISNUMBER(SEARCH("LAPTOP",B104)),
ISNUMBER(SEARCH("MONITOR",B104)),
ISNUMBER(SEARCH("TABLET",B104)),
ISNUMBER(SEARCH("SMARTPH",B104)),
ISNUMBER(SEARCH("IMPRESORA",B104)),
ISNUMBER(SEARCH("MULTIFUNCIONAL",B104)),
ISNUMBER(SEARCH("AIO",B104))
),
"GANCHO",
"NORMAL"
)
)</f>
        <v>COMPLEMENTO</v>
      </c>
    </row>
    <row r="103" spans="1:12" x14ac:dyDescent="0.25">
      <c r="A103" s="3" t="s">
        <v>876</v>
      </c>
      <c r="B103" s="3" t="s">
        <v>877</v>
      </c>
      <c r="C103" s="1">
        <v>20</v>
      </c>
      <c r="D103" s="1">
        <v>5.3</v>
      </c>
      <c r="E103" s="1" t="s">
        <v>52</v>
      </c>
      <c r="F103" s="1" t="s">
        <v>3125</v>
      </c>
      <c r="G103" s="3" t="s">
        <v>878</v>
      </c>
      <c r="H103" s="11">
        <f>ROUND(
IF(L101="GANCHO",
   IF(I103&lt;=50,I103*1.1+4,IF(I103&lt;=120,I103*1.1+7,IF(I103&lt;=250,I103*1.1+11,I103*1.1+19))),
IF(L101="NORMAL",
   IF(I103&lt;=30,I103*1.15+2,IF(I103&lt;=80,I103*1.15+4,IF(I103&lt;=150,I103*1.15+6,I103*1.15+8))),
IF(L101="COMPLEMENTO",
   IF(I103&lt;=25,I103*1.25+1.5,IF(I103&lt;=60,I103*1.25+3,IF(I103&lt;=120,I103*1.25+4,I103*1.25+5))),
""))),2)</f>
        <v>28.7</v>
      </c>
      <c r="I103" s="9">
        <f>($K$2+0.02)*Tabla1[[#This Row],[PRECIO $]]*1.18</f>
        <v>21.763919999999999</v>
      </c>
      <c r="J103" s="7">
        <f>+Tabla1[[#This Row],[PRECIO EN SOLES]]-Tabla1[[#This Row],[PC]]</f>
        <v>6.9360800000000005</v>
      </c>
      <c r="K103" s="15"/>
      <c r="L103" s="15" t="str">
        <f>IF(
OR(
ISNUMBER(SEARCH("BACKPACK",B105)),
ISNUMBER(SEARCH("MOCHILA",B105)),
ISNUMBER(SEARCH("FUNDA",B105)),
ISNUMBER(SEARCH("ESTUCHE",B105)),
ISNUMBER(SEARCH("BOOK COVER",B105)),
ISNUMBER(SEARCH("KEYBOARD PARA TABLET",B105)),
ISNUMBER(SEARCH("FLIP TABLET",B105)),
ISNUMBER(SEARCH("CASE FOR TABLET",B105)),
ISNUMBER(SEARCH("CABLE",B105)),
ISNUMBER(SEARCH("ADAPTADOR",B105)),
ISNUMBER(SEARCH("HUB",B105)),
ISNUMBER(SEARCH("DOCK",B105)),
ISNUMBER(SEARCH("MOUSE PAD",B105)),
ISNUMBER(SEARCH("MOUSEPAD",B105)),
ISNUMBER(SEARCH("SOPORTE",B105)),
ISNUMBER(SEARCH("STAND",B105)),
ISNUMBER(SEARCH("TRAVEL ADAPTER",B105)),
ISNUMBER(SEARCH("RJ45",B105)),
ISNUMBER(SEARCH("USB-C",B105)),
ISNUMBER(SEARCH("USB WIFI",B105)),
ISNUMBER(SEARCH("POWERBANK",B105)),
ISNUMBER(SEARCH("CARGADOR",B105)),
ISNUMBER(SEARCH("COOLER PARA NB",B105)),
ISNUMBER(SEARCH("SOPORTE PARA NB",B105)),
ISNUMBER(SEARCH("WEBCAM",B105)),
ISNUMBER(SEARCH("WEB CAM",B105)),
ISNUMBER(SEARCH("MOUSE",B105)),
ISNUMBER(SEARCH("TECLADO",B105))
),
"COMPLEMENTO",
IF(
OR(
LEFT(A105,2)="NB",
LEFT(A105,2)="PC",
LEFT(A105,2)="WS",
LEFT(A105,2)="TB",
LEFT(A105,3)="CEL",
LEFT(A105,3)="MON",
LEFT(A105,3)="PRE",
LEFT(A105,3)="PRH",
ISNUMBER(SEARCH("NOTEBOOK",B105)),
ISNUMBER(SEARCH("LAPTOP",B105)),
ISNUMBER(SEARCH("MONITOR",B105)),
ISNUMBER(SEARCH("TABLET",B105)),
ISNUMBER(SEARCH("SMARTPH",B105)),
ISNUMBER(SEARCH("IMPRESORA",B105)),
ISNUMBER(SEARCH("MULTIFUNCIONAL",B105)),
ISNUMBER(SEARCH("AIO",B105))
),
"GANCHO",
"NORMAL"
)
)</f>
        <v>COMPLEMENTO</v>
      </c>
    </row>
    <row r="104" spans="1:12" x14ac:dyDescent="0.25">
      <c r="A104" s="3" t="s">
        <v>879</v>
      </c>
      <c r="B104" s="3" t="s">
        <v>880</v>
      </c>
      <c r="C104" s="1">
        <v>20</v>
      </c>
      <c r="D104" s="1">
        <v>5.3</v>
      </c>
      <c r="E104" s="1" t="s">
        <v>52</v>
      </c>
      <c r="F104" s="1" t="s">
        <v>3126</v>
      </c>
      <c r="G104" s="3" t="s">
        <v>881</v>
      </c>
      <c r="H104" s="11">
        <f>ROUND(
IF(L102="GANCHO",
   IF(I104&lt;=50,I104*1.1+4,IF(I104&lt;=120,I104*1.1+7,IF(I104&lt;=250,I104*1.1+11,I104*1.1+19))),
IF(L102="NORMAL",
   IF(I104&lt;=30,I104*1.15+2,IF(I104&lt;=80,I104*1.15+4,IF(I104&lt;=150,I104*1.15+6,I104*1.15+8))),
IF(L102="COMPLEMENTO",
   IF(I104&lt;=25,I104*1.25+1.5,IF(I104&lt;=60,I104*1.25+3,IF(I104&lt;=120,I104*1.25+4,I104*1.25+5))),
""))),2)</f>
        <v>28.7</v>
      </c>
      <c r="I104" s="9">
        <f>($K$2+0.02)*Tabla1[[#This Row],[PRECIO $]]*1.18</f>
        <v>21.763919999999999</v>
      </c>
      <c r="J104" s="7">
        <f>+Tabla1[[#This Row],[PRECIO EN SOLES]]-Tabla1[[#This Row],[PC]]</f>
        <v>6.9360800000000005</v>
      </c>
      <c r="K104" s="15"/>
      <c r="L104" s="15" t="str">
        <f>IF(
OR(
ISNUMBER(SEARCH("BACKPACK",B106)),
ISNUMBER(SEARCH("MOCHILA",B106)),
ISNUMBER(SEARCH("FUNDA",B106)),
ISNUMBER(SEARCH("ESTUCHE",B106)),
ISNUMBER(SEARCH("BOOK COVER",B106)),
ISNUMBER(SEARCH("KEYBOARD PARA TABLET",B106)),
ISNUMBER(SEARCH("FLIP TABLET",B106)),
ISNUMBER(SEARCH("CASE FOR TABLET",B106)),
ISNUMBER(SEARCH("CABLE",B106)),
ISNUMBER(SEARCH("ADAPTADOR",B106)),
ISNUMBER(SEARCH("HUB",B106)),
ISNUMBER(SEARCH("DOCK",B106)),
ISNUMBER(SEARCH("MOUSE PAD",B106)),
ISNUMBER(SEARCH("MOUSEPAD",B106)),
ISNUMBER(SEARCH("SOPORTE",B106)),
ISNUMBER(SEARCH("STAND",B106)),
ISNUMBER(SEARCH("TRAVEL ADAPTER",B106)),
ISNUMBER(SEARCH("RJ45",B106)),
ISNUMBER(SEARCH("USB-C",B106)),
ISNUMBER(SEARCH("USB WIFI",B106)),
ISNUMBER(SEARCH("POWERBANK",B106)),
ISNUMBER(SEARCH("CARGADOR",B106)),
ISNUMBER(SEARCH("COOLER PARA NB",B106)),
ISNUMBER(SEARCH("SOPORTE PARA NB",B106)),
ISNUMBER(SEARCH("WEBCAM",B106)),
ISNUMBER(SEARCH("WEB CAM",B106)),
ISNUMBER(SEARCH("MOUSE",B106)),
ISNUMBER(SEARCH("TECLADO",B106))
),
"COMPLEMENTO",
IF(
OR(
LEFT(A106,2)="NB",
LEFT(A106,2)="PC",
LEFT(A106,2)="WS",
LEFT(A106,2)="TB",
LEFT(A106,3)="CEL",
LEFT(A106,3)="MON",
LEFT(A106,3)="PRE",
LEFT(A106,3)="PRH",
ISNUMBER(SEARCH("NOTEBOOK",B106)),
ISNUMBER(SEARCH("LAPTOP",B106)),
ISNUMBER(SEARCH("MONITOR",B106)),
ISNUMBER(SEARCH("TABLET",B106)),
ISNUMBER(SEARCH("SMARTPH",B106)),
ISNUMBER(SEARCH("IMPRESORA",B106)),
ISNUMBER(SEARCH("MULTIFUNCIONAL",B106)),
ISNUMBER(SEARCH("AIO",B106))
),
"GANCHO",
"NORMAL"
)
)</f>
        <v>COMPLEMENTO</v>
      </c>
    </row>
    <row r="105" spans="1:12" x14ac:dyDescent="0.25">
      <c r="A105" s="3" t="s">
        <v>882</v>
      </c>
      <c r="B105" s="3" t="s">
        <v>883</v>
      </c>
      <c r="C105" s="1">
        <v>20</v>
      </c>
      <c r="D105" s="1">
        <v>5.3</v>
      </c>
      <c r="E105" s="1" t="s">
        <v>52</v>
      </c>
      <c r="F105" s="1" t="s">
        <v>3127</v>
      </c>
      <c r="G105" s="3" t="s">
        <v>884</v>
      </c>
      <c r="H105" s="11">
        <f>ROUND(
IF(L103="GANCHO",
   IF(I105&lt;=50,I105*1.1+4,IF(I105&lt;=120,I105*1.1+7,IF(I105&lt;=250,I105*1.1+11,I105*1.1+19))),
IF(L103="NORMAL",
   IF(I105&lt;=30,I105*1.15+2,IF(I105&lt;=80,I105*1.15+4,IF(I105&lt;=150,I105*1.15+6,I105*1.15+8))),
IF(L103="COMPLEMENTO",
   IF(I105&lt;=25,I105*1.25+1.5,IF(I105&lt;=60,I105*1.25+3,IF(I105&lt;=120,I105*1.25+4,I105*1.25+5))),
""))),2)</f>
        <v>28.7</v>
      </c>
      <c r="I105" s="9">
        <f>($K$2+0.02)*Tabla1[[#This Row],[PRECIO $]]*1.18</f>
        <v>21.763919999999999</v>
      </c>
      <c r="J105" s="7">
        <f>+Tabla1[[#This Row],[PRECIO EN SOLES]]-Tabla1[[#This Row],[PC]]</f>
        <v>6.9360800000000005</v>
      </c>
      <c r="K105" s="15"/>
      <c r="L105" s="15" t="str">
        <f>IF(
OR(
ISNUMBER(SEARCH("BACKPACK",B107)),
ISNUMBER(SEARCH("MOCHILA",B107)),
ISNUMBER(SEARCH("FUNDA",B107)),
ISNUMBER(SEARCH("ESTUCHE",B107)),
ISNUMBER(SEARCH("BOOK COVER",B107)),
ISNUMBER(SEARCH("KEYBOARD PARA TABLET",B107)),
ISNUMBER(SEARCH("FLIP TABLET",B107)),
ISNUMBER(SEARCH("CASE FOR TABLET",B107)),
ISNUMBER(SEARCH("CABLE",B107)),
ISNUMBER(SEARCH("ADAPTADOR",B107)),
ISNUMBER(SEARCH("HUB",B107)),
ISNUMBER(SEARCH("DOCK",B107)),
ISNUMBER(SEARCH("MOUSE PAD",B107)),
ISNUMBER(SEARCH("MOUSEPAD",B107)),
ISNUMBER(SEARCH("SOPORTE",B107)),
ISNUMBER(SEARCH("STAND",B107)),
ISNUMBER(SEARCH("TRAVEL ADAPTER",B107)),
ISNUMBER(SEARCH("RJ45",B107)),
ISNUMBER(SEARCH("USB-C",B107)),
ISNUMBER(SEARCH("USB WIFI",B107)),
ISNUMBER(SEARCH("POWERBANK",B107)),
ISNUMBER(SEARCH("CARGADOR",B107)),
ISNUMBER(SEARCH("COOLER PARA NB",B107)),
ISNUMBER(SEARCH("SOPORTE PARA NB",B107)),
ISNUMBER(SEARCH("WEBCAM",B107)),
ISNUMBER(SEARCH("WEB CAM",B107)),
ISNUMBER(SEARCH("MOUSE",B107)),
ISNUMBER(SEARCH("TECLADO",B107))
),
"COMPLEMENTO",
IF(
OR(
LEFT(A107,2)="NB",
LEFT(A107,2)="PC",
LEFT(A107,2)="WS",
LEFT(A107,2)="TB",
LEFT(A107,3)="CEL",
LEFT(A107,3)="MON",
LEFT(A107,3)="PRE",
LEFT(A107,3)="PRH",
ISNUMBER(SEARCH("NOTEBOOK",B107)),
ISNUMBER(SEARCH("LAPTOP",B107)),
ISNUMBER(SEARCH("MONITOR",B107)),
ISNUMBER(SEARCH("TABLET",B107)),
ISNUMBER(SEARCH("SMARTPH",B107)),
ISNUMBER(SEARCH("IMPRESORA",B107)),
ISNUMBER(SEARCH("MULTIFUNCIONAL",B107)),
ISNUMBER(SEARCH("AIO",B107))
),
"GANCHO",
"NORMAL"
)
)</f>
        <v>NORMAL</v>
      </c>
    </row>
    <row r="106" spans="1:12" x14ac:dyDescent="0.25">
      <c r="A106" s="3" t="s">
        <v>885</v>
      </c>
      <c r="B106" s="3" t="s">
        <v>883</v>
      </c>
      <c r="C106" s="1">
        <v>0</v>
      </c>
      <c r="D106" s="1">
        <v>999</v>
      </c>
      <c r="E106" s="1" t="s">
        <v>187</v>
      </c>
      <c r="F106" s="1" t="s">
        <v>3128</v>
      </c>
      <c r="G106" s="3"/>
      <c r="H106" s="11">
        <f>ROUND(
IF(L104="GANCHO",
   IF(I106&lt;=50,I106*1.1+4,IF(I106&lt;=120,I106*1.1+7,IF(I106&lt;=250,I106*1.1+11,I106*1.1+19))),
IF(L104="NORMAL",
   IF(I106&lt;=30,I106*1.15+2,IF(I106&lt;=80,I106*1.15+4,IF(I106&lt;=150,I106*1.15+6,I106*1.15+8))),
IF(L104="COMPLEMENTO",
   IF(I106&lt;=25,I106*1.25+1.5,IF(I106&lt;=60,I106*1.25+3,IF(I106&lt;=120,I106*1.25+4,I106*1.25+5))),
""))),2)</f>
        <v>5132.87</v>
      </c>
      <c r="I106" s="9">
        <f>($K$2+0.02)*Tabla1[[#This Row],[PRECIO $]]*1.18</f>
        <v>4102.2936</v>
      </c>
      <c r="J106" s="7">
        <f>+Tabla1[[#This Row],[PRECIO EN SOLES]]-Tabla1[[#This Row],[PC]]</f>
        <v>1030.5763999999999</v>
      </c>
      <c r="K106" s="15"/>
      <c r="L106" s="15" t="str">
        <f>IF(
OR(
ISNUMBER(SEARCH("BACKPACK",B108)),
ISNUMBER(SEARCH("MOCHILA",B108)),
ISNUMBER(SEARCH("FUNDA",B108)),
ISNUMBER(SEARCH("ESTUCHE",B108)),
ISNUMBER(SEARCH("BOOK COVER",B108)),
ISNUMBER(SEARCH("KEYBOARD PARA TABLET",B108)),
ISNUMBER(SEARCH("FLIP TABLET",B108)),
ISNUMBER(SEARCH("CASE FOR TABLET",B108)),
ISNUMBER(SEARCH("CABLE",B108)),
ISNUMBER(SEARCH("ADAPTADOR",B108)),
ISNUMBER(SEARCH("HUB",B108)),
ISNUMBER(SEARCH("DOCK",B108)),
ISNUMBER(SEARCH("MOUSE PAD",B108)),
ISNUMBER(SEARCH("MOUSEPAD",B108)),
ISNUMBER(SEARCH("SOPORTE",B108)),
ISNUMBER(SEARCH("STAND",B108)),
ISNUMBER(SEARCH("TRAVEL ADAPTER",B108)),
ISNUMBER(SEARCH("RJ45",B108)),
ISNUMBER(SEARCH("USB-C",B108)),
ISNUMBER(SEARCH("USB WIFI",B108)),
ISNUMBER(SEARCH("POWERBANK",B108)),
ISNUMBER(SEARCH("CARGADOR",B108)),
ISNUMBER(SEARCH("COOLER PARA NB",B108)),
ISNUMBER(SEARCH("SOPORTE PARA NB",B108)),
ISNUMBER(SEARCH("WEBCAM",B108)),
ISNUMBER(SEARCH("WEB CAM",B108)),
ISNUMBER(SEARCH("MOUSE",B108)),
ISNUMBER(SEARCH("TECLADO",B108))
),
"COMPLEMENTO",
IF(
OR(
LEFT(A108,2)="NB",
LEFT(A108,2)="PC",
LEFT(A108,2)="WS",
LEFT(A108,2)="TB",
LEFT(A108,3)="CEL",
LEFT(A108,3)="MON",
LEFT(A108,3)="PRE",
LEFT(A108,3)="PRH",
ISNUMBER(SEARCH("NOTEBOOK",B108)),
ISNUMBER(SEARCH("LAPTOP",B108)),
ISNUMBER(SEARCH("MONITOR",B108)),
ISNUMBER(SEARCH("TABLET",B108)),
ISNUMBER(SEARCH("SMARTPH",B108)),
ISNUMBER(SEARCH("IMPRESORA",B108)),
ISNUMBER(SEARCH("MULTIFUNCIONAL",B108)),
ISNUMBER(SEARCH("AIO",B108))
),
"GANCHO",
"NORMAL"
)
)</f>
        <v>NORMAL</v>
      </c>
    </row>
    <row r="107" spans="1:12" x14ac:dyDescent="0.25">
      <c r="A107" s="3" t="s">
        <v>601</v>
      </c>
      <c r="B107" s="3" t="s">
        <v>602</v>
      </c>
      <c r="C107" s="1">
        <v>20</v>
      </c>
      <c r="D107" s="1">
        <v>20.7</v>
      </c>
      <c r="E107" s="1" t="s">
        <v>52</v>
      </c>
      <c r="F107" s="1" t="s">
        <v>3129</v>
      </c>
      <c r="G107" s="3" t="s">
        <v>603</v>
      </c>
      <c r="H107" s="11">
        <f>ROUND(
IF(L105="GANCHO",
   IF(I107&lt;=50,I107*1.1+4,IF(I107&lt;=120,I107*1.1+7,IF(I107&lt;=250,I107*1.1+11,I107*1.1+19))),
IF(L105="NORMAL",
   IF(I107&lt;=30,I107*1.15+2,IF(I107&lt;=80,I107*1.15+4,IF(I107&lt;=150,I107*1.15+6,I107*1.15+8))),
IF(L105="COMPLEMENTO",
   IF(I107&lt;=25,I107*1.25+1.5,IF(I107&lt;=60,I107*1.25+3,IF(I107&lt;=120,I107*1.25+4,I107*1.25+5))),
""))),2)</f>
        <v>103.75</v>
      </c>
      <c r="I107" s="9">
        <f>($K$2+0.02)*Tabla1[[#This Row],[PRECIO $]]*1.18</f>
        <v>85.002479999999991</v>
      </c>
      <c r="J107" s="7">
        <f>+Tabla1[[#This Row],[PRECIO EN SOLES]]-Tabla1[[#This Row],[PC]]</f>
        <v>18.747520000000009</v>
      </c>
      <c r="K107" s="15"/>
      <c r="L107" s="15" t="str">
        <f>IF(
OR(
ISNUMBER(SEARCH("BACKPACK",B109)),
ISNUMBER(SEARCH("MOCHILA",B109)),
ISNUMBER(SEARCH("FUNDA",B109)),
ISNUMBER(SEARCH("ESTUCHE",B109)),
ISNUMBER(SEARCH("BOOK COVER",B109)),
ISNUMBER(SEARCH("KEYBOARD PARA TABLET",B109)),
ISNUMBER(SEARCH("FLIP TABLET",B109)),
ISNUMBER(SEARCH("CASE FOR TABLET",B109)),
ISNUMBER(SEARCH("CABLE",B109)),
ISNUMBER(SEARCH("ADAPTADOR",B109)),
ISNUMBER(SEARCH("HUB",B109)),
ISNUMBER(SEARCH("DOCK",B109)),
ISNUMBER(SEARCH("MOUSE PAD",B109)),
ISNUMBER(SEARCH("MOUSEPAD",B109)),
ISNUMBER(SEARCH("SOPORTE",B109)),
ISNUMBER(SEARCH("STAND",B109)),
ISNUMBER(SEARCH("TRAVEL ADAPTER",B109)),
ISNUMBER(SEARCH("RJ45",B109)),
ISNUMBER(SEARCH("USB-C",B109)),
ISNUMBER(SEARCH("USB WIFI",B109)),
ISNUMBER(SEARCH("POWERBANK",B109)),
ISNUMBER(SEARCH("CARGADOR",B109)),
ISNUMBER(SEARCH("COOLER PARA NB",B109)),
ISNUMBER(SEARCH("SOPORTE PARA NB",B109)),
ISNUMBER(SEARCH("WEBCAM",B109)),
ISNUMBER(SEARCH("WEB CAM",B109)),
ISNUMBER(SEARCH("MOUSE",B109)),
ISNUMBER(SEARCH("TECLADO",B109))
),
"COMPLEMENTO",
IF(
OR(
LEFT(A109,2)="NB",
LEFT(A109,2)="PC",
LEFT(A109,2)="WS",
LEFT(A109,2)="TB",
LEFT(A109,3)="CEL",
LEFT(A109,3)="MON",
LEFT(A109,3)="PRE",
LEFT(A109,3)="PRH",
ISNUMBER(SEARCH("NOTEBOOK",B109)),
ISNUMBER(SEARCH("LAPTOP",B109)),
ISNUMBER(SEARCH("MONITOR",B109)),
ISNUMBER(SEARCH("TABLET",B109)),
ISNUMBER(SEARCH("SMARTPH",B109)),
ISNUMBER(SEARCH("IMPRESORA",B109)),
ISNUMBER(SEARCH("MULTIFUNCIONAL",B109)),
ISNUMBER(SEARCH("AIO",B109))
),
"GANCHO",
"NORMAL"
)
)</f>
        <v>NORMAL</v>
      </c>
    </row>
    <row r="108" spans="1:12" x14ac:dyDescent="0.25">
      <c r="A108" s="3" t="s">
        <v>116</v>
      </c>
      <c r="B108" s="3" t="s">
        <v>117</v>
      </c>
      <c r="C108" s="1">
        <v>20</v>
      </c>
      <c r="D108" s="1">
        <v>20.7</v>
      </c>
      <c r="E108" s="1" t="s">
        <v>52</v>
      </c>
      <c r="F108" s="1" t="s">
        <v>3130</v>
      </c>
      <c r="G108" s="3" t="s">
        <v>2773</v>
      </c>
      <c r="H108" s="11">
        <f>ROUND(
IF(L106="GANCHO",
   IF(I108&lt;=50,I108*1.1+4,IF(I108&lt;=120,I108*1.1+7,IF(I108&lt;=250,I108*1.1+11,I108*1.1+19))),
IF(L106="NORMAL",
   IF(I108&lt;=30,I108*1.15+2,IF(I108&lt;=80,I108*1.15+4,IF(I108&lt;=150,I108*1.15+6,I108*1.15+8))),
IF(L106="COMPLEMENTO",
   IF(I108&lt;=25,I108*1.25+1.5,IF(I108&lt;=60,I108*1.25+3,IF(I108&lt;=120,I108*1.25+4,I108*1.25+5))),
""))),2)</f>
        <v>103.75</v>
      </c>
      <c r="I108" s="9">
        <f>($K$2+0.02)*Tabla1[[#This Row],[PRECIO $]]*1.18</f>
        <v>85.002479999999991</v>
      </c>
      <c r="J108" s="7">
        <f>+Tabla1[[#This Row],[PRECIO EN SOLES]]-Tabla1[[#This Row],[PC]]</f>
        <v>18.747520000000009</v>
      </c>
      <c r="K108" s="15"/>
      <c r="L108" s="15" t="str">
        <f>IF(
OR(
ISNUMBER(SEARCH("BACKPACK",B110)),
ISNUMBER(SEARCH("MOCHILA",B110)),
ISNUMBER(SEARCH("FUNDA",B110)),
ISNUMBER(SEARCH("ESTUCHE",B110)),
ISNUMBER(SEARCH("BOOK COVER",B110)),
ISNUMBER(SEARCH("KEYBOARD PARA TABLET",B110)),
ISNUMBER(SEARCH("FLIP TABLET",B110)),
ISNUMBER(SEARCH("CASE FOR TABLET",B110)),
ISNUMBER(SEARCH("CABLE",B110)),
ISNUMBER(SEARCH("ADAPTADOR",B110)),
ISNUMBER(SEARCH("HUB",B110)),
ISNUMBER(SEARCH("DOCK",B110)),
ISNUMBER(SEARCH("MOUSE PAD",B110)),
ISNUMBER(SEARCH("MOUSEPAD",B110)),
ISNUMBER(SEARCH("SOPORTE",B110)),
ISNUMBER(SEARCH("STAND",B110)),
ISNUMBER(SEARCH("TRAVEL ADAPTER",B110)),
ISNUMBER(SEARCH("RJ45",B110)),
ISNUMBER(SEARCH("USB-C",B110)),
ISNUMBER(SEARCH("USB WIFI",B110)),
ISNUMBER(SEARCH("POWERBANK",B110)),
ISNUMBER(SEARCH("CARGADOR",B110)),
ISNUMBER(SEARCH("COOLER PARA NB",B110)),
ISNUMBER(SEARCH("SOPORTE PARA NB",B110)),
ISNUMBER(SEARCH("WEBCAM",B110)),
ISNUMBER(SEARCH("WEB CAM",B110)),
ISNUMBER(SEARCH("MOUSE",B110)),
ISNUMBER(SEARCH("TECLADO",B110))
),
"COMPLEMENTO",
IF(
OR(
LEFT(A110,2)="NB",
LEFT(A110,2)="PC",
LEFT(A110,2)="WS",
LEFT(A110,2)="TB",
LEFT(A110,3)="CEL",
LEFT(A110,3)="MON",
LEFT(A110,3)="PRE",
LEFT(A110,3)="PRH",
ISNUMBER(SEARCH("NOTEBOOK",B110)),
ISNUMBER(SEARCH("LAPTOP",B110)),
ISNUMBER(SEARCH("MONITOR",B110)),
ISNUMBER(SEARCH("TABLET",B110)),
ISNUMBER(SEARCH("SMARTPH",B110)),
ISNUMBER(SEARCH("IMPRESORA",B110)),
ISNUMBER(SEARCH("MULTIFUNCIONAL",B110)),
ISNUMBER(SEARCH("AIO",B110))
),
"GANCHO",
"NORMAL"
)
)</f>
        <v>NORMAL</v>
      </c>
    </row>
    <row r="109" spans="1:12" x14ac:dyDescent="0.25">
      <c r="A109" s="3" t="s">
        <v>118</v>
      </c>
      <c r="B109" s="3" t="s">
        <v>119</v>
      </c>
      <c r="C109" s="1">
        <v>20</v>
      </c>
      <c r="D109" s="1">
        <v>22.5</v>
      </c>
      <c r="E109" s="1" t="s">
        <v>52</v>
      </c>
      <c r="F109" s="1" t="s">
        <v>3131</v>
      </c>
      <c r="G109" s="3" t="s">
        <v>120</v>
      </c>
      <c r="H109" s="11">
        <f>ROUND(
IF(L107="GANCHO",
   IF(I109&lt;=50,I109*1.1+4,IF(I109&lt;=120,I109*1.1+7,IF(I109&lt;=250,I109*1.1+11,I109*1.1+19))),
IF(L107="NORMAL",
   IF(I109&lt;=30,I109*1.15+2,IF(I109&lt;=80,I109*1.15+4,IF(I109&lt;=150,I109*1.15+6,I109*1.15+8))),
IF(L107="COMPLEMENTO",
   IF(I109&lt;=25,I109*1.25+1.5,IF(I109&lt;=60,I109*1.25+3,IF(I109&lt;=120,I109*1.25+4,I109*1.25+5))),
""))),2)</f>
        <v>112.25</v>
      </c>
      <c r="I109" s="9">
        <f>($K$2+0.02)*Tabla1[[#This Row],[PRECIO $]]*1.18</f>
        <v>92.393999999999991</v>
      </c>
      <c r="J109" s="7">
        <f>+Tabla1[[#This Row],[PRECIO EN SOLES]]-Tabla1[[#This Row],[PC]]</f>
        <v>19.856000000000009</v>
      </c>
      <c r="K109" s="15"/>
      <c r="L109" s="15" t="str">
        <f>IF(
OR(
ISNUMBER(SEARCH("BACKPACK",B111)),
ISNUMBER(SEARCH("MOCHILA",B111)),
ISNUMBER(SEARCH("FUNDA",B111)),
ISNUMBER(SEARCH("ESTUCHE",B111)),
ISNUMBER(SEARCH("BOOK COVER",B111)),
ISNUMBER(SEARCH("KEYBOARD PARA TABLET",B111)),
ISNUMBER(SEARCH("FLIP TABLET",B111)),
ISNUMBER(SEARCH("CASE FOR TABLET",B111)),
ISNUMBER(SEARCH("CABLE",B111)),
ISNUMBER(SEARCH("ADAPTADOR",B111)),
ISNUMBER(SEARCH("HUB",B111)),
ISNUMBER(SEARCH("DOCK",B111)),
ISNUMBER(SEARCH("MOUSE PAD",B111)),
ISNUMBER(SEARCH("MOUSEPAD",B111)),
ISNUMBER(SEARCH("SOPORTE",B111)),
ISNUMBER(SEARCH("STAND",B111)),
ISNUMBER(SEARCH("TRAVEL ADAPTER",B111)),
ISNUMBER(SEARCH("RJ45",B111)),
ISNUMBER(SEARCH("USB-C",B111)),
ISNUMBER(SEARCH("USB WIFI",B111)),
ISNUMBER(SEARCH("POWERBANK",B111)),
ISNUMBER(SEARCH("CARGADOR",B111)),
ISNUMBER(SEARCH("COOLER PARA NB",B111)),
ISNUMBER(SEARCH("SOPORTE PARA NB",B111)),
ISNUMBER(SEARCH("WEBCAM",B111)),
ISNUMBER(SEARCH("WEB CAM",B111)),
ISNUMBER(SEARCH("MOUSE",B111)),
ISNUMBER(SEARCH("TECLADO",B111))
),
"COMPLEMENTO",
IF(
OR(
LEFT(A111,2)="NB",
LEFT(A111,2)="PC",
LEFT(A111,2)="WS",
LEFT(A111,2)="TB",
LEFT(A111,3)="CEL",
LEFT(A111,3)="MON",
LEFT(A111,3)="PRE",
LEFT(A111,3)="PRH",
ISNUMBER(SEARCH("NOTEBOOK",B111)),
ISNUMBER(SEARCH("LAPTOP",B111)),
ISNUMBER(SEARCH("MONITOR",B111)),
ISNUMBER(SEARCH("TABLET",B111)),
ISNUMBER(SEARCH("SMARTPH",B111)),
ISNUMBER(SEARCH("IMPRESORA",B111)),
ISNUMBER(SEARCH("MULTIFUNCIONAL",B111)),
ISNUMBER(SEARCH("AIO",B111))
),
"GANCHO",
"NORMAL"
)
)</f>
        <v>NORMAL</v>
      </c>
    </row>
    <row r="110" spans="1:12" x14ac:dyDescent="0.25">
      <c r="A110" s="3" t="s">
        <v>886</v>
      </c>
      <c r="B110" s="3" t="s">
        <v>887</v>
      </c>
      <c r="C110" s="1">
        <v>20</v>
      </c>
      <c r="D110" s="1">
        <v>31</v>
      </c>
      <c r="E110" s="1" t="s">
        <v>52</v>
      </c>
      <c r="F110" s="1" t="s">
        <v>3132</v>
      </c>
      <c r="G110" s="3" t="s">
        <v>2761</v>
      </c>
      <c r="H110" s="11">
        <f>ROUND(
IF(L108="GANCHO",
   IF(I110&lt;=50,I110*1.1+4,IF(I110&lt;=120,I110*1.1+7,IF(I110&lt;=250,I110*1.1+11,I110*1.1+19))),
IF(L108="NORMAL",
   IF(I110&lt;=30,I110*1.15+2,IF(I110&lt;=80,I110*1.15+4,IF(I110&lt;=150,I110*1.15+6,I110*1.15+8))),
IF(L108="COMPLEMENTO",
   IF(I110&lt;=25,I110*1.25+1.5,IF(I110&lt;=60,I110*1.25+3,IF(I110&lt;=120,I110*1.25+4,I110*1.25+5))),
""))),2)</f>
        <v>152.38999999999999</v>
      </c>
      <c r="I110" s="9">
        <f>($K$2+0.02)*Tabla1[[#This Row],[PRECIO $]]*1.18</f>
        <v>127.29839999999999</v>
      </c>
      <c r="J110" s="7">
        <f>+Tabla1[[#This Row],[PRECIO EN SOLES]]-Tabla1[[#This Row],[PC]]</f>
        <v>25.0916</v>
      </c>
      <c r="K110" s="15"/>
      <c r="L110" s="15" t="str">
        <f>IF(
OR(
ISNUMBER(SEARCH("BACKPACK",B112)),
ISNUMBER(SEARCH("MOCHILA",B112)),
ISNUMBER(SEARCH("FUNDA",B112)),
ISNUMBER(SEARCH("ESTUCHE",B112)),
ISNUMBER(SEARCH("BOOK COVER",B112)),
ISNUMBER(SEARCH("KEYBOARD PARA TABLET",B112)),
ISNUMBER(SEARCH("FLIP TABLET",B112)),
ISNUMBER(SEARCH("CASE FOR TABLET",B112)),
ISNUMBER(SEARCH("CABLE",B112)),
ISNUMBER(SEARCH("ADAPTADOR",B112)),
ISNUMBER(SEARCH("HUB",B112)),
ISNUMBER(SEARCH("DOCK",B112)),
ISNUMBER(SEARCH("MOUSE PAD",B112)),
ISNUMBER(SEARCH("MOUSEPAD",B112)),
ISNUMBER(SEARCH("SOPORTE",B112)),
ISNUMBER(SEARCH("STAND",B112)),
ISNUMBER(SEARCH("TRAVEL ADAPTER",B112)),
ISNUMBER(SEARCH("RJ45",B112)),
ISNUMBER(SEARCH("USB-C",B112)),
ISNUMBER(SEARCH("USB WIFI",B112)),
ISNUMBER(SEARCH("POWERBANK",B112)),
ISNUMBER(SEARCH("CARGADOR",B112)),
ISNUMBER(SEARCH("COOLER PARA NB",B112)),
ISNUMBER(SEARCH("SOPORTE PARA NB",B112)),
ISNUMBER(SEARCH("WEBCAM",B112)),
ISNUMBER(SEARCH("WEB CAM",B112)),
ISNUMBER(SEARCH("MOUSE",B112)),
ISNUMBER(SEARCH("TECLADO",B112))
),
"COMPLEMENTO",
IF(
OR(
LEFT(A112,2)="NB",
LEFT(A112,2)="PC",
LEFT(A112,2)="WS",
LEFT(A112,2)="TB",
LEFT(A112,3)="CEL",
LEFT(A112,3)="MON",
LEFT(A112,3)="PRE",
LEFT(A112,3)="PRH",
ISNUMBER(SEARCH("NOTEBOOK",B112)),
ISNUMBER(SEARCH("LAPTOP",B112)),
ISNUMBER(SEARCH("MONITOR",B112)),
ISNUMBER(SEARCH("TABLET",B112)),
ISNUMBER(SEARCH("SMARTPH",B112)),
ISNUMBER(SEARCH("IMPRESORA",B112)),
ISNUMBER(SEARCH("MULTIFUNCIONAL",B112)),
ISNUMBER(SEARCH("AIO",B112))
),
"GANCHO",
"NORMAL"
)
)</f>
        <v>NORMAL</v>
      </c>
    </row>
    <row r="111" spans="1:12" x14ac:dyDescent="0.25">
      <c r="A111" s="3" t="s">
        <v>888</v>
      </c>
      <c r="B111" s="3" t="s">
        <v>889</v>
      </c>
      <c r="C111" s="1">
        <v>0</v>
      </c>
      <c r="D111" s="1">
        <v>81</v>
      </c>
      <c r="E111" s="1" t="s">
        <v>121</v>
      </c>
      <c r="F111" s="1" t="s">
        <v>3133</v>
      </c>
      <c r="G111" s="3" t="s">
        <v>890</v>
      </c>
      <c r="H111" s="11">
        <f>ROUND(
IF(L109="GANCHO",
   IF(I111&lt;=50,I111*1.1+4,IF(I111&lt;=120,I111*1.1+7,IF(I111&lt;=250,I111*1.1+11,I111*1.1+19))),
IF(L109="NORMAL",
   IF(I111&lt;=30,I111*1.15+2,IF(I111&lt;=80,I111*1.15+4,IF(I111&lt;=150,I111*1.15+6,I111*1.15+8))),
IF(L109="COMPLEMENTO",
   IF(I111&lt;=25,I111*1.25+1.5,IF(I111&lt;=60,I111*1.25+3,IF(I111&lt;=120,I111*1.25+4,I111*1.25+5))),
""))),2)</f>
        <v>390.51</v>
      </c>
      <c r="I111" s="9">
        <f>($K$2+0.02)*Tabla1[[#This Row],[PRECIO $]]*1.18</f>
        <v>332.61839999999995</v>
      </c>
      <c r="J111" s="7">
        <f>+Tabla1[[#This Row],[PRECIO EN SOLES]]-Tabla1[[#This Row],[PC]]</f>
        <v>57.891600000000039</v>
      </c>
      <c r="K111" s="15"/>
      <c r="L111" s="15" t="str">
        <f>IF(
OR(
ISNUMBER(SEARCH("BACKPACK",B113)),
ISNUMBER(SEARCH("MOCHILA",B113)),
ISNUMBER(SEARCH("FUNDA",B113)),
ISNUMBER(SEARCH("ESTUCHE",B113)),
ISNUMBER(SEARCH("BOOK COVER",B113)),
ISNUMBER(SEARCH("KEYBOARD PARA TABLET",B113)),
ISNUMBER(SEARCH("FLIP TABLET",B113)),
ISNUMBER(SEARCH("CASE FOR TABLET",B113)),
ISNUMBER(SEARCH("CABLE",B113)),
ISNUMBER(SEARCH("ADAPTADOR",B113)),
ISNUMBER(SEARCH("HUB",B113)),
ISNUMBER(SEARCH("DOCK",B113)),
ISNUMBER(SEARCH("MOUSE PAD",B113)),
ISNUMBER(SEARCH("MOUSEPAD",B113)),
ISNUMBER(SEARCH("SOPORTE",B113)),
ISNUMBER(SEARCH("STAND",B113)),
ISNUMBER(SEARCH("TRAVEL ADAPTER",B113)),
ISNUMBER(SEARCH("RJ45",B113)),
ISNUMBER(SEARCH("USB-C",B113)),
ISNUMBER(SEARCH("USB WIFI",B113)),
ISNUMBER(SEARCH("POWERBANK",B113)),
ISNUMBER(SEARCH("CARGADOR",B113)),
ISNUMBER(SEARCH("COOLER PARA NB",B113)),
ISNUMBER(SEARCH("SOPORTE PARA NB",B113)),
ISNUMBER(SEARCH("WEBCAM",B113)),
ISNUMBER(SEARCH("WEB CAM",B113)),
ISNUMBER(SEARCH("MOUSE",B113)),
ISNUMBER(SEARCH("TECLADO",B113))
),
"COMPLEMENTO",
IF(
OR(
LEFT(A113,2)="NB",
LEFT(A113,2)="PC",
LEFT(A113,2)="WS",
LEFT(A113,2)="TB",
LEFT(A113,3)="CEL",
LEFT(A113,3)="MON",
LEFT(A113,3)="PRE",
LEFT(A113,3)="PRH",
ISNUMBER(SEARCH("NOTEBOOK",B113)),
ISNUMBER(SEARCH("LAPTOP",B113)),
ISNUMBER(SEARCH("MONITOR",B113)),
ISNUMBER(SEARCH("TABLET",B113)),
ISNUMBER(SEARCH("SMARTPH",B113)),
ISNUMBER(SEARCH("IMPRESORA",B113)),
ISNUMBER(SEARCH("MULTIFUNCIONAL",B113)),
ISNUMBER(SEARCH("AIO",B113))
),
"GANCHO",
"NORMAL"
)
)</f>
        <v>NORMAL</v>
      </c>
    </row>
    <row r="112" spans="1:12" x14ac:dyDescent="0.25">
      <c r="A112" s="3" t="s">
        <v>4381</v>
      </c>
      <c r="B112" s="3" t="s">
        <v>4382</v>
      </c>
      <c r="C112" s="1">
        <v>20</v>
      </c>
      <c r="D112" s="1">
        <v>50.5</v>
      </c>
      <c r="E112" s="1" t="s">
        <v>3029</v>
      </c>
      <c r="F112" s="1" t="s">
        <v>4383</v>
      </c>
      <c r="G112" s="3" t="s">
        <v>4858</v>
      </c>
      <c r="H112" s="11">
        <f>ROUND(
IF(L110="GANCHO",
   IF(I112&lt;=50,I112*1.1+4,IF(I112&lt;=120,I112*1.1+7,IF(I112&lt;=250,I112*1.1+11,I112*1.1+19))),
IF(L110="NORMAL",
   IF(I112&lt;=30,I112*1.15+2,IF(I112&lt;=80,I112*1.15+4,IF(I112&lt;=150,I112*1.15+6,I112*1.15+8))),
IF(L110="COMPLEMENTO",
   IF(I112&lt;=25,I112*1.25+1.5,IF(I112&lt;=60,I112*1.25+3,IF(I112&lt;=120,I112*1.25+4,I112*1.25+5))),
""))),2)</f>
        <v>246.48</v>
      </c>
      <c r="I112" s="9">
        <f>($K$2+0.02)*Tabla1[[#This Row],[PRECIO $]]*1.18</f>
        <v>207.3732</v>
      </c>
      <c r="J112" s="7">
        <f>+Tabla1[[#This Row],[PRECIO EN SOLES]]-Tabla1[[#This Row],[PC]]</f>
        <v>39.106799999999993</v>
      </c>
      <c r="K112" s="15"/>
      <c r="L112" s="15" t="str">
        <f>IF(
OR(
ISNUMBER(SEARCH("BACKPACK",B114)),
ISNUMBER(SEARCH("MOCHILA",B114)),
ISNUMBER(SEARCH("FUNDA",B114)),
ISNUMBER(SEARCH("ESTUCHE",B114)),
ISNUMBER(SEARCH("BOOK COVER",B114)),
ISNUMBER(SEARCH("KEYBOARD PARA TABLET",B114)),
ISNUMBER(SEARCH("FLIP TABLET",B114)),
ISNUMBER(SEARCH("CASE FOR TABLET",B114)),
ISNUMBER(SEARCH("CABLE",B114)),
ISNUMBER(SEARCH("ADAPTADOR",B114)),
ISNUMBER(SEARCH("HUB",B114)),
ISNUMBER(SEARCH("DOCK",B114)),
ISNUMBER(SEARCH("MOUSE PAD",B114)),
ISNUMBER(SEARCH("MOUSEPAD",B114)),
ISNUMBER(SEARCH("SOPORTE",B114)),
ISNUMBER(SEARCH("STAND",B114)),
ISNUMBER(SEARCH("TRAVEL ADAPTER",B114)),
ISNUMBER(SEARCH("RJ45",B114)),
ISNUMBER(SEARCH("USB-C",B114)),
ISNUMBER(SEARCH("USB WIFI",B114)),
ISNUMBER(SEARCH("POWERBANK",B114)),
ISNUMBER(SEARCH("CARGADOR",B114)),
ISNUMBER(SEARCH("COOLER PARA NB",B114)),
ISNUMBER(SEARCH("SOPORTE PARA NB",B114)),
ISNUMBER(SEARCH("WEBCAM",B114)),
ISNUMBER(SEARCH("WEB CAM",B114)),
ISNUMBER(SEARCH("MOUSE",B114)),
ISNUMBER(SEARCH("TECLADO",B114))
),
"COMPLEMENTO",
IF(
OR(
LEFT(A114,2)="NB",
LEFT(A114,2)="PC",
LEFT(A114,2)="WS",
LEFT(A114,2)="TB",
LEFT(A114,3)="CEL",
LEFT(A114,3)="MON",
LEFT(A114,3)="PRE",
LEFT(A114,3)="PRH",
ISNUMBER(SEARCH("NOTEBOOK",B114)),
ISNUMBER(SEARCH("LAPTOP",B114)),
ISNUMBER(SEARCH("MONITOR",B114)),
ISNUMBER(SEARCH("TABLET",B114)),
ISNUMBER(SEARCH("SMARTPH",B114)),
ISNUMBER(SEARCH("IMPRESORA",B114)),
ISNUMBER(SEARCH("MULTIFUNCIONAL",B114)),
ISNUMBER(SEARCH("AIO",B114))
),
"GANCHO",
"NORMAL"
)
)</f>
        <v>NORMAL</v>
      </c>
    </row>
    <row r="113" spans="1:12" x14ac:dyDescent="0.25">
      <c r="A113" s="3" t="s">
        <v>124</v>
      </c>
      <c r="B113" s="3" t="s">
        <v>125</v>
      </c>
      <c r="C113" s="1">
        <v>20</v>
      </c>
      <c r="D113" s="1">
        <v>17.5</v>
      </c>
      <c r="E113" s="1" t="s">
        <v>52</v>
      </c>
      <c r="F113" s="1" t="s">
        <v>3134</v>
      </c>
      <c r="G113" s="3" t="s">
        <v>126</v>
      </c>
      <c r="H113" s="11">
        <f>ROUND(
IF(L111="GANCHO",
   IF(I113&lt;=50,I113*1.1+4,IF(I113&lt;=120,I113*1.1+7,IF(I113&lt;=250,I113*1.1+11,I113*1.1+19))),
IF(L111="NORMAL",
   IF(I113&lt;=30,I113*1.15+2,IF(I113&lt;=80,I113*1.15+4,IF(I113&lt;=150,I113*1.15+6,I113*1.15+8))),
IF(L111="COMPLEMENTO",
   IF(I113&lt;=25,I113*1.25+1.5,IF(I113&lt;=60,I113*1.25+3,IF(I113&lt;=120,I113*1.25+4,I113*1.25+5))),
""))),2)</f>
        <v>86.64</v>
      </c>
      <c r="I113" s="9">
        <f>($K$2+0.02)*Tabla1[[#This Row],[PRECIO $]]*1.18</f>
        <v>71.861999999999995</v>
      </c>
      <c r="J113" s="7">
        <f>+Tabla1[[#This Row],[PRECIO EN SOLES]]-Tabla1[[#This Row],[PC]]</f>
        <v>14.778000000000006</v>
      </c>
      <c r="K113" s="15"/>
      <c r="L113" s="15" t="str">
        <f>IF(
OR(
ISNUMBER(SEARCH("BACKPACK",B115)),
ISNUMBER(SEARCH("MOCHILA",B115)),
ISNUMBER(SEARCH("FUNDA",B115)),
ISNUMBER(SEARCH("ESTUCHE",B115)),
ISNUMBER(SEARCH("BOOK COVER",B115)),
ISNUMBER(SEARCH("KEYBOARD PARA TABLET",B115)),
ISNUMBER(SEARCH("FLIP TABLET",B115)),
ISNUMBER(SEARCH("CASE FOR TABLET",B115)),
ISNUMBER(SEARCH("CABLE",B115)),
ISNUMBER(SEARCH("ADAPTADOR",B115)),
ISNUMBER(SEARCH("HUB",B115)),
ISNUMBER(SEARCH("DOCK",B115)),
ISNUMBER(SEARCH("MOUSE PAD",B115)),
ISNUMBER(SEARCH("MOUSEPAD",B115)),
ISNUMBER(SEARCH("SOPORTE",B115)),
ISNUMBER(SEARCH("STAND",B115)),
ISNUMBER(SEARCH("TRAVEL ADAPTER",B115)),
ISNUMBER(SEARCH("RJ45",B115)),
ISNUMBER(SEARCH("USB-C",B115)),
ISNUMBER(SEARCH("USB WIFI",B115)),
ISNUMBER(SEARCH("POWERBANK",B115)),
ISNUMBER(SEARCH("CARGADOR",B115)),
ISNUMBER(SEARCH("COOLER PARA NB",B115)),
ISNUMBER(SEARCH("SOPORTE PARA NB",B115)),
ISNUMBER(SEARCH("WEBCAM",B115)),
ISNUMBER(SEARCH("WEB CAM",B115)),
ISNUMBER(SEARCH("MOUSE",B115)),
ISNUMBER(SEARCH("TECLADO",B115))
),
"COMPLEMENTO",
IF(
OR(
LEFT(A115,2)="NB",
LEFT(A115,2)="PC",
LEFT(A115,2)="WS",
LEFT(A115,2)="TB",
LEFT(A115,3)="CEL",
LEFT(A115,3)="MON",
LEFT(A115,3)="PRE",
LEFT(A115,3)="PRH",
ISNUMBER(SEARCH("NOTEBOOK",B115)),
ISNUMBER(SEARCH("LAPTOP",B115)),
ISNUMBER(SEARCH("MONITOR",B115)),
ISNUMBER(SEARCH("TABLET",B115)),
ISNUMBER(SEARCH("SMARTPH",B115)),
ISNUMBER(SEARCH("IMPRESORA",B115)),
ISNUMBER(SEARCH("MULTIFUNCIONAL",B115)),
ISNUMBER(SEARCH("AIO",B115))
),
"GANCHO",
"NORMAL"
)
)</f>
        <v>NORMAL</v>
      </c>
    </row>
    <row r="114" spans="1:12" x14ac:dyDescent="0.25">
      <c r="A114" s="3" t="s">
        <v>127</v>
      </c>
      <c r="B114" s="3" t="s">
        <v>128</v>
      </c>
      <c r="C114" s="1">
        <v>20</v>
      </c>
      <c r="D114" s="1">
        <v>17.5</v>
      </c>
      <c r="E114" s="1" t="s">
        <v>52</v>
      </c>
      <c r="F114" s="1" t="s">
        <v>3135</v>
      </c>
      <c r="G114" s="3" t="s">
        <v>129</v>
      </c>
      <c r="H114" s="11">
        <f>ROUND(
IF(L112="GANCHO",
   IF(I114&lt;=50,I114*1.1+4,IF(I114&lt;=120,I114*1.1+7,IF(I114&lt;=250,I114*1.1+11,I114*1.1+19))),
IF(L112="NORMAL",
   IF(I114&lt;=30,I114*1.15+2,IF(I114&lt;=80,I114*1.15+4,IF(I114&lt;=150,I114*1.15+6,I114*1.15+8))),
IF(L112="COMPLEMENTO",
   IF(I114&lt;=25,I114*1.25+1.5,IF(I114&lt;=60,I114*1.25+3,IF(I114&lt;=120,I114*1.25+4,I114*1.25+5))),
""))),2)</f>
        <v>86.64</v>
      </c>
      <c r="I114" s="9">
        <f>($K$2+0.02)*Tabla1[[#This Row],[PRECIO $]]*1.18</f>
        <v>71.861999999999995</v>
      </c>
      <c r="J114" s="7">
        <f>+Tabla1[[#This Row],[PRECIO EN SOLES]]-Tabla1[[#This Row],[PC]]</f>
        <v>14.778000000000006</v>
      </c>
      <c r="K114" s="15"/>
      <c r="L114" s="15" t="str">
        <f>IF(
OR(
ISNUMBER(SEARCH("BACKPACK",B116)),
ISNUMBER(SEARCH("MOCHILA",B116)),
ISNUMBER(SEARCH("FUNDA",B116)),
ISNUMBER(SEARCH("ESTUCHE",B116)),
ISNUMBER(SEARCH("BOOK COVER",B116)),
ISNUMBER(SEARCH("KEYBOARD PARA TABLET",B116)),
ISNUMBER(SEARCH("FLIP TABLET",B116)),
ISNUMBER(SEARCH("CASE FOR TABLET",B116)),
ISNUMBER(SEARCH("CABLE",B116)),
ISNUMBER(SEARCH("ADAPTADOR",B116)),
ISNUMBER(SEARCH("HUB",B116)),
ISNUMBER(SEARCH("DOCK",B116)),
ISNUMBER(SEARCH("MOUSE PAD",B116)),
ISNUMBER(SEARCH("MOUSEPAD",B116)),
ISNUMBER(SEARCH("SOPORTE",B116)),
ISNUMBER(SEARCH("STAND",B116)),
ISNUMBER(SEARCH("TRAVEL ADAPTER",B116)),
ISNUMBER(SEARCH("RJ45",B116)),
ISNUMBER(SEARCH("USB-C",B116)),
ISNUMBER(SEARCH("USB WIFI",B116)),
ISNUMBER(SEARCH("POWERBANK",B116)),
ISNUMBER(SEARCH("CARGADOR",B116)),
ISNUMBER(SEARCH("COOLER PARA NB",B116)),
ISNUMBER(SEARCH("SOPORTE PARA NB",B116)),
ISNUMBER(SEARCH("WEBCAM",B116)),
ISNUMBER(SEARCH("WEB CAM",B116)),
ISNUMBER(SEARCH("MOUSE",B116)),
ISNUMBER(SEARCH("TECLADO",B116))
),
"COMPLEMENTO",
IF(
OR(
LEFT(A116,2)="NB",
LEFT(A116,2)="PC",
LEFT(A116,2)="WS",
LEFT(A116,2)="TB",
LEFT(A116,3)="CEL",
LEFT(A116,3)="MON",
LEFT(A116,3)="PRE",
LEFT(A116,3)="PRH",
ISNUMBER(SEARCH("NOTEBOOK",B116)),
ISNUMBER(SEARCH("LAPTOP",B116)),
ISNUMBER(SEARCH("MONITOR",B116)),
ISNUMBER(SEARCH("TABLET",B116)),
ISNUMBER(SEARCH("SMARTPH",B116)),
ISNUMBER(SEARCH("IMPRESORA",B116)),
ISNUMBER(SEARCH("MULTIFUNCIONAL",B116)),
ISNUMBER(SEARCH("AIO",B116))
),
"GANCHO",
"NORMAL"
)
)</f>
        <v>NORMAL</v>
      </c>
    </row>
    <row r="115" spans="1:12" x14ac:dyDescent="0.25">
      <c r="A115" s="3" t="s">
        <v>130</v>
      </c>
      <c r="B115" s="3" t="s">
        <v>131</v>
      </c>
      <c r="C115" s="1">
        <v>20</v>
      </c>
      <c r="D115" s="1">
        <v>17.5</v>
      </c>
      <c r="E115" s="1" t="s">
        <v>52</v>
      </c>
      <c r="F115" s="1" t="s">
        <v>3136</v>
      </c>
      <c r="G115" s="3" t="s">
        <v>132</v>
      </c>
      <c r="H115" s="11">
        <f>ROUND(
IF(L113="GANCHO",
   IF(I115&lt;=50,I115*1.1+4,IF(I115&lt;=120,I115*1.1+7,IF(I115&lt;=250,I115*1.1+11,I115*1.1+19))),
IF(L113="NORMAL",
   IF(I115&lt;=30,I115*1.15+2,IF(I115&lt;=80,I115*1.15+4,IF(I115&lt;=150,I115*1.15+6,I115*1.15+8))),
IF(L113="COMPLEMENTO",
   IF(I115&lt;=25,I115*1.25+1.5,IF(I115&lt;=60,I115*1.25+3,IF(I115&lt;=120,I115*1.25+4,I115*1.25+5))),
""))),2)</f>
        <v>86.64</v>
      </c>
      <c r="I115" s="9">
        <f>($K$2+0.02)*Tabla1[[#This Row],[PRECIO $]]*1.18</f>
        <v>71.861999999999995</v>
      </c>
      <c r="J115" s="7">
        <f>+Tabla1[[#This Row],[PRECIO EN SOLES]]-Tabla1[[#This Row],[PC]]</f>
        <v>14.778000000000006</v>
      </c>
      <c r="K115" s="15"/>
      <c r="L115" s="15" t="str">
        <f>IF(
OR(
ISNUMBER(SEARCH("BACKPACK",B117)),
ISNUMBER(SEARCH("MOCHILA",B117)),
ISNUMBER(SEARCH("FUNDA",B117)),
ISNUMBER(SEARCH("ESTUCHE",B117)),
ISNUMBER(SEARCH("BOOK COVER",B117)),
ISNUMBER(SEARCH("KEYBOARD PARA TABLET",B117)),
ISNUMBER(SEARCH("FLIP TABLET",B117)),
ISNUMBER(SEARCH("CASE FOR TABLET",B117)),
ISNUMBER(SEARCH("CABLE",B117)),
ISNUMBER(SEARCH("ADAPTADOR",B117)),
ISNUMBER(SEARCH("HUB",B117)),
ISNUMBER(SEARCH("DOCK",B117)),
ISNUMBER(SEARCH("MOUSE PAD",B117)),
ISNUMBER(SEARCH("MOUSEPAD",B117)),
ISNUMBER(SEARCH("SOPORTE",B117)),
ISNUMBER(SEARCH("STAND",B117)),
ISNUMBER(SEARCH("TRAVEL ADAPTER",B117)),
ISNUMBER(SEARCH("RJ45",B117)),
ISNUMBER(SEARCH("USB-C",B117)),
ISNUMBER(SEARCH("USB WIFI",B117)),
ISNUMBER(SEARCH("POWERBANK",B117)),
ISNUMBER(SEARCH("CARGADOR",B117)),
ISNUMBER(SEARCH("COOLER PARA NB",B117)),
ISNUMBER(SEARCH("SOPORTE PARA NB",B117)),
ISNUMBER(SEARCH("WEBCAM",B117)),
ISNUMBER(SEARCH("WEB CAM",B117)),
ISNUMBER(SEARCH("MOUSE",B117)),
ISNUMBER(SEARCH("TECLADO",B117))
),
"COMPLEMENTO",
IF(
OR(
LEFT(A117,2)="NB",
LEFT(A117,2)="PC",
LEFT(A117,2)="WS",
LEFT(A117,2)="TB",
LEFT(A117,3)="CEL",
LEFT(A117,3)="MON",
LEFT(A117,3)="PRE",
LEFT(A117,3)="PRH",
ISNUMBER(SEARCH("NOTEBOOK",B117)),
ISNUMBER(SEARCH("LAPTOP",B117)),
ISNUMBER(SEARCH("MONITOR",B117)),
ISNUMBER(SEARCH("TABLET",B117)),
ISNUMBER(SEARCH("SMARTPH",B117)),
ISNUMBER(SEARCH("IMPRESORA",B117)),
ISNUMBER(SEARCH("MULTIFUNCIONAL",B117)),
ISNUMBER(SEARCH("AIO",B117))
),
"GANCHO",
"NORMAL"
)
)</f>
        <v>NORMAL</v>
      </c>
    </row>
    <row r="116" spans="1:12" x14ac:dyDescent="0.25">
      <c r="A116" s="3" t="s">
        <v>6409</v>
      </c>
      <c r="B116" s="3" t="s">
        <v>6410</v>
      </c>
      <c r="C116" s="1">
        <v>20</v>
      </c>
      <c r="D116" s="1">
        <v>25.9</v>
      </c>
      <c r="E116" s="1" t="s">
        <v>52</v>
      </c>
      <c r="F116" s="1" t="s">
        <v>6411</v>
      </c>
      <c r="G116" s="3" t="s">
        <v>6412</v>
      </c>
      <c r="H116" s="11">
        <f>ROUND(
IF(L114="GANCHO",
   IF(I116&lt;=50,I116*1.1+4,IF(I116&lt;=120,I116*1.1+7,IF(I116&lt;=250,I116*1.1+11,I116*1.1+19))),
IF(L114="NORMAL",
   IF(I116&lt;=30,I116*1.15+2,IF(I116&lt;=80,I116*1.15+4,IF(I116&lt;=150,I116*1.15+6,I116*1.15+8))),
IF(L114="COMPLEMENTO",
   IF(I116&lt;=25,I116*1.25+1.5,IF(I116&lt;=60,I116*1.25+3,IF(I116&lt;=120,I116*1.25+4,I116*1.25+5))),
""))),2)</f>
        <v>128.31</v>
      </c>
      <c r="I116" s="9">
        <f>($K$2+0.02)*Tabla1[[#This Row],[PRECIO $]]*1.18</f>
        <v>106.35575999999999</v>
      </c>
      <c r="J116" s="7">
        <f>+Tabla1[[#This Row],[PRECIO EN SOLES]]-Tabla1[[#This Row],[PC]]</f>
        <v>21.954240000000013</v>
      </c>
      <c r="K116" s="15"/>
      <c r="L116" s="15" t="str">
        <f>IF(
OR(
ISNUMBER(SEARCH("BACKPACK",B118)),
ISNUMBER(SEARCH("MOCHILA",B118)),
ISNUMBER(SEARCH("FUNDA",B118)),
ISNUMBER(SEARCH("ESTUCHE",B118)),
ISNUMBER(SEARCH("BOOK COVER",B118)),
ISNUMBER(SEARCH("KEYBOARD PARA TABLET",B118)),
ISNUMBER(SEARCH("FLIP TABLET",B118)),
ISNUMBER(SEARCH("CASE FOR TABLET",B118)),
ISNUMBER(SEARCH("CABLE",B118)),
ISNUMBER(SEARCH("ADAPTADOR",B118)),
ISNUMBER(SEARCH("HUB",B118)),
ISNUMBER(SEARCH("DOCK",B118)),
ISNUMBER(SEARCH("MOUSE PAD",B118)),
ISNUMBER(SEARCH("MOUSEPAD",B118)),
ISNUMBER(SEARCH("SOPORTE",B118)),
ISNUMBER(SEARCH("STAND",B118)),
ISNUMBER(SEARCH("TRAVEL ADAPTER",B118)),
ISNUMBER(SEARCH("RJ45",B118)),
ISNUMBER(SEARCH("USB-C",B118)),
ISNUMBER(SEARCH("USB WIFI",B118)),
ISNUMBER(SEARCH("POWERBANK",B118)),
ISNUMBER(SEARCH("CARGADOR",B118)),
ISNUMBER(SEARCH("COOLER PARA NB",B118)),
ISNUMBER(SEARCH("SOPORTE PARA NB",B118)),
ISNUMBER(SEARCH("WEBCAM",B118)),
ISNUMBER(SEARCH("WEB CAM",B118)),
ISNUMBER(SEARCH("MOUSE",B118)),
ISNUMBER(SEARCH("TECLADO",B118))
),
"COMPLEMENTO",
IF(
OR(
LEFT(A118,2)="NB",
LEFT(A118,2)="PC",
LEFT(A118,2)="WS",
LEFT(A118,2)="TB",
LEFT(A118,3)="CEL",
LEFT(A118,3)="MON",
LEFT(A118,3)="PRE",
LEFT(A118,3)="PRH",
ISNUMBER(SEARCH("NOTEBOOK",B118)),
ISNUMBER(SEARCH("LAPTOP",B118)),
ISNUMBER(SEARCH("MONITOR",B118)),
ISNUMBER(SEARCH("TABLET",B118)),
ISNUMBER(SEARCH("SMARTPH",B118)),
ISNUMBER(SEARCH("IMPRESORA",B118)),
ISNUMBER(SEARCH("MULTIFUNCIONAL",B118)),
ISNUMBER(SEARCH("AIO",B118))
),
"GANCHO",
"NORMAL"
)
)</f>
        <v>NORMAL</v>
      </c>
    </row>
    <row r="117" spans="1:12" x14ac:dyDescent="0.25">
      <c r="A117" s="3" t="s">
        <v>133</v>
      </c>
      <c r="B117" s="3" t="s">
        <v>134</v>
      </c>
      <c r="C117" s="1">
        <v>20</v>
      </c>
      <c r="D117" s="1">
        <v>25.9</v>
      </c>
      <c r="E117" s="1" t="s">
        <v>52</v>
      </c>
      <c r="F117" s="1" t="s">
        <v>3137</v>
      </c>
      <c r="G117" s="3" t="s">
        <v>2762</v>
      </c>
      <c r="H117" s="11">
        <f>ROUND(
IF(L115="GANCHO",
   IF(I117&lt;=50,I117*1.1+4,IF(I117&lt;=120,I117*1.1+7,IF(I117&lt;=250,I117*1.1+11,I117*1.1+19))),
IF(L115="NORMAL",
   IF(I117&lt;=30,I117*1.15+2,IF(I117&lt;=80,I117*1.15+4,IF(I117&lt;=150,I117*1.15+6,I117*1.15+8))),
IF(L115="COMPLEMENTO",
   IF(I117&lt;=25,I117*1.25+1.5,IF(I117&lt;=60,I117*1.25+3,IF(I117&lt;=120,I117*1.25+4,I117*1.25+5))),
""))),2)</f>
        <v>128.31</v>
      </c>
      <c r="I117" s="9">
        <f>($K$2+0.02)*Tabla1[[#This Row],[PRECIO $]]*1.18</f>
        <v>106.35575999999999</v>
      </c>
      <c r="J117" s="7">
        <f>+Tabla1[[#This Row],[PRECIO EN SOLES]]-Tabla1[[#This Row],[PC]]</f>
        <v>21.954240000000013</v>
      </c>
      <c r="K117" s="15"/>
      <c r="L117" s="15" t="str">
        <f>IF(
OR(
ISNUMBER(SEARCH("BACKPACK",B119)),
ISNUMBER(SEARCH("MOCHILA",B119)),
ISNUMBER(SEARCH("FUNDA",B119)),
ISNUMBER(SEARCH("ESTUCHE",B119)),
ISNUMBER(SEARCH("BOOK COVER",B119)),
ISNUMBER(SEARCH("KEYBOARD PARA TABLET",B119)),
ISNUMBER(SEARCH("FLIP TABLET",B119)),
ISNUMBER(SEARCH("CASE FOR TABLET",B119)),
ISNUMBER(SEARCH("CABLE",B119)),
ISNUMBER(SEARCH("ADAPTADOR",B119)),
ISNUMBER(SEARCH("HUB",B119)),
ISNUMBER(SEARCH("DOCK",B119)),
ISNUMBER(SEARCH("MOUSE PAD",B119)),
ISNUMBER(SEARCH("MOUSEPAD",B119)),
ISNUMBER(SEARCH("SOPORTE",B119)),
ISNUMBER(SEARCH("STAND",B119)),
ISNUMBER(SEARCH("TRAVEL ADAPTER",B119)),
ISNUMBER(SEARCH("RJ45",B119)),
ISNUMBER(SEARCH("USB-C",B119)),
ISNUMBER(SEARCH("USB WIFI",B119)),
ISNUMBER(SEARCH("POWERBANK",B119)),
ISNUMBER(SEARCH("CARGADOR",B119)),
ISNUMBER(SEARCH("COOLER PARA NB",B119)),
ISNUMBER(SEARCH("SOPORTE PARA NB",B119)),
ISNUMBER(SEARCH("WEBCAM",B119)),
ISNUMBER(SEARCH("WEB CAM",B119)),
ISNUMBER(SEARCH("MOUSE",B119)),
ISNUMBER(SEARCH("TECLADO",B119))
),
"COMPLEMENTO",
IF(
OR(
LEFT(A119,2)="NB",
LEFT(A119,2)="PC",
LEFT(A119,2)="WS",
LEFT(A119,2)="TB",
LEFT(A119,3)="CEL",
LEFT(A119,3)="MON",
LEFT(A119,3)="PRE",
LEFT(A119,3)="PRH",
ISNUMBER(SEARCH("NOTEBOOK",B119)),
ISNUMBER(SEARCH("LAPTOP",B119)),
ISNUMBER(SEARCH("MONITOR",B119)),
ISNUMBER(SEARCH("TABLET",B119)),
ISNUMBER(SEARCH("SMARTPH",B119)),
ISNUMBER(SEARCH("IMPRESORA",B119)),
ISNUMBER(SEARCH("MULTIFUNCIONAL",B119)),
ISNUMBER(SEARCH("AIO",B119))
),
"GANCHO",
"NORMAL"
)
)</f>
        <v>NORMAL</v>
      </c>
    </row>
    <row r="118" spans="1:12" x14ac:dyDescent="0.25">
      <c r="A118" s="3" t="s">
        <v>891</v>
      </c>
      <c r="B118" s="3" t="s">
        <v>892</v>
      </c>
      <c r="C118" s="1">
        <v>20</v>
      </c>
      <c r="D118" s="1">
        <v>28</v>
      </c>
      <c r="E118" s="1" t="s">
        <v>52</v>
      </c>
      <c r="F118" s="1" t="s">
        <v>3138</v>
      </c>
      <c r="G118" s="3" t="s">
        <v>893</v>
      </c>
      <c r="H118" s="11">
        <f>ROUND(
IF(L116="GANCHO",
   IF(I118&lt;=50,I118*1.1+4,IF(I118&lt;=120,I118*1.1+7,IF(I118&lt;=250,I118*1.1+11,I118*1.1+19))),
IF(L116="NORMAL",
   IF(I118&lt;=30,I118*1.15+2,IF(I118&lt;=80,I118*1.15+4,IF(I118&lt;=150,I118*1.15+6,I118*1.15+8))),
IF(L116="COMPLEMENTO",
   IF(I118&lt;=25,I118*1.25+1.5,IF(I118&lt;=60,I118*1.25+3,IF(I118&lt;=120,I118*1.25+4,I118*1.25+5))),
""))),2)</f>
        <v>138.22999999999999</v>
      </c>
      <c r="I118" s="9">
        <f>($K$2+0.02)*Tabla1[[#This Row],[PRECIO $]]*1.18</f>
        <v>114.97919999999999</v>
      </c>
      <c r="J118" s="7">
        <f>+Tabla1[[#This Row],[PRECIO EN SOLES]]-Tabla1[[#This Row],[PC]]</f>
        <v>23.250799999999998</v>
      </c>
      <c r="K118" s="15"/>
      <c r="L118" s="15" t="str">
        <f>IF(
OR(
ISNUMBER(SEARCH("BACKPACK",B120)),
ISNUMBER(SEARCH("MOCHILA",B120)),
ISNUMBER(SEARCH("FUNDA",B120)),
ISNUMBER(SEARCH("ESTUCHE",B120)),
ISNUMBER(SEARCH("BOOK COVER",B120)),
ISNUMBER(SEARCH("KEYBOARD PARA TABLET",B120)),
ISNUMBER(SEARCH("FLIP TABLET",B120)),
ISNUMBER(SEARCH("CASE FOR TABLET",B120)),
ISNUMBER(SEARCH("CABLE",B120)),
ISNUMBER(SEARCH("ADAPTADOR",B120)),
ISNUMBER(SEARCH("HUB",B120)),
ISNUMBER(SEARCH("DOCK",B120)),
ISNUMBER(SEARCH("MOUSE PAD",B120)),
ISNUMBER(SEARCH("MOUSEPAD",B120)),
ISNUMBER(SEARCH("SOPORTE",B120)),
ISNUMBER(SEARCH("STAND",B120)),
ISNUMBER(SEARCH("TRAVEL ADAPTER",B120)),
ISNUMBER(SEARCH("RJ45",B120)),
ISNUMBER(SEARCH("USB-C",B120)),
ISNUMBER(SEARCH("USB WIFI",B120)),
ISNUMBER(SEARCH("POWERBANK",B120)),
ISNUMBER(SEARCH("CARGADOR",B120)),
ISNUMBER(SEARCH("COOLER PARA NB",B120)),
ISNUMBER(SEARCH("SOPORTE PARA NB",B120)),
ISNUMBER(SEARCH("WEBCAM",B120)),
ISNUMBER(SEARCH("WEB CAM",B120)),
ISNUMBER(SEARCH("MOUSE",B120)),
ISNUMBER(SEARCH("TECLADO",B120))
),
"COMPLEMENTO",
IF(
OR(
LEFT(A120,2)="NB",
LEFT(A120,2)="PC",
LEFT(A120,2)="WS",
LEFT(A120,2)="TB",
LEFT(A120,3)="CEL",
LEFT(A120,3)="MON",
LEFT(A120,3)="PRE",
LEFT(A120,3)="PRH",
ISNUMBER(SEARCH("NOTEBOOK",B120)),
ISNUMBER(SEARCH("LAPTOP",B120)),
ISNUMBER(SEARCH("MONITOR",B120)),
ISNUMBER(SEARCH("TABLET",B120)),
ISNUMBER(SEARCH("SMARTPH",B120)),
ISNUMBER(SEARCH("IMPRESORA",B120)),
ISNUMBER(SEARCH("MULTIFUNCIONAL",B120)),
ISNUMBER(SEARCH("AIO",B120))
),
"GANCHO",
"NORMAL"
)
)</f>
        <v>NORMAL</v>
      </c>
    </row>
    <row r="119" spans="1:12" x14ac:dyDescent="0.25">
      <c r="A119" s="3" t="s">
        <v>5225</v>
      </c>
      <c r="B119" s="3" t="s">
        <v>5226</v>
      </c>
      <c r="C119" s="1">
        <v>11</v>
      </c>
      <c r="D119" s="1">
        <v>30.3</v>
      </c>
      <c r="E119" s="1" t="s">
        <v>52</v>
      </c>
      <c r="F119" s="1" t="s">
        <v>5227</v>
      </c>
      <c r="G119" s="3" t="s">
        <v>5228</v>
      </c>
      <c r="H119" s="11">
        <f>ROUND(
IF(L117="GANCHO",
   IF(I119&lt;=50,I119*1.1+4,IF(I119&lt;=120,I119*1.1+7,IF(I119&lt;=250,I119*1.1+11,I119*1.1+19))),
IF(L117="NORMAL",
   IF(I119&lt;=30,I119*1.15+2,IF(I119&lt;=80,I119*1.15+4,IF(I119&lt;=150,I119*1.15+6,I119*1.15+8))),
IF(L117="COMPLEMENTO",
   IF(I119&lt;=25,I119*1.25+1.5,IF(I119&lt;=60,I119*1.25+3,IF(I119&lt;=120,I119*1.25+4,I119*1.25+5))),
""))),2)</f>
        <v>149.09</v>
      </c>
      <c r="I119" s="9">
        <f>($K$2+0.02)*Tabla1[[#This Row],[PRECIO $]]*1.18</f>
        <v>124.42392</v>
      </c>
      <c r="J119" s="7">
        <f>+Tabla1[[#This Row],[PRECIO EN SOLES]]-Tabla1[[#This Row],[PC]]</f>
        <v>24.666080000000008</v>
      </c>
      <c r="K119" s="15"/>
      <c r="L119" s="15" t="str">
        <f>IF(
OR(
ISNUMBER(SEARCH("BACKPACK",B121)),
ISNUMBER(SEARCH("MOCHILA",B121)),
ISNUMBER(SEARCH("FUNDA",B121)),
ISNUMBER(SEARCH("ESTUCHE",B121)),
ISNUMBER(SEARCH("BOOK COVER",B121)),
ISNUMBER(SEARCH("KEYBOARD PARA TABLET",B121)),
ISNUMBER(SEARCH("FLIP TABLET",B121)),
ISNUMBER(SEARCH("CASE FOR TABLET",B121)),
ISNUMBER(SEARCH("CABLE",B121)),
ISNUMBER(SEARCH("ADAPTADOR",B121)),
ISNUMBER(SEARCH("HUB",B121)),
ISNUMBER(SEARCH("DOCK",B121)),
ISNUMBER(SEARCH("MOUSE PAD",B121)),
ISNUMBER(SEARCH("MOUSEPAD",B121)),
ISNUMBER(SEARCH("SOPORTE",B121)),
ISNUMBER(SEARCH("STAND",B121)),
ISNUMBER(SEARCH("TRAVEL ADAPTER",B121)),
ISNUMBER(SEARCH("RJ45",B121)),
ISNUMBER(SEARCH("USB-C",B121)),
ISNUMBER(SEARCH("USB WIFI",B121)),
ISNUMBER(SEARCH("POWERBANK",B121)),
ISNUMBER(SEARCH("CARGADOR",B121)),
ISNUMBER(SEARCH("COOLER PARA NB",B121)),
ISNUMBER(SEARCH("SOPORTE PARA NB",B121)),
ISNUMBER(SEARCH("WEBCAM",B121)),
ISNUMBER(SEARCH("WEB CAM",B121)),
ISNUMBER(SEARCH("MOUSE",B121)),
ISNUMBER(SEARCH("TECLADO",B121))
),
"COMPLEMENTO",
IF(
OR(
LEFT(A121,2)="NB",
LEFT(A121,2)="PC",
LEFT(A121,2)="WS",
LEFT(A121,2)="TB",
LEFT(A121,3)="CEL",
LEFT(A121,3)="MON",
LEFT(A121,3)="PRE",
LEFT(A121,3)="PRH",
ISNUMBER(SEARCH("NOTEBOOK",B121)),
ISNUMBER(SEARCH("LAPTOP",B121)),
ISNUMBER(SEARCH("MONITOR",B121)),
ISNUMBER(SEARCH("TABLET",B121)),
ISNUMBER(SEARCH("SMARTPH",B121)),
ISNUMBER(SEARCH("IMPRESORA",B121)),
ISNUMBER(SEARCH("MULTIFUNCIONAL",B121)),
ISNUMBER(SEARCH("AIO",B121))
),
"GANCHO",
"NORMAL"
)
)</f>
        <v>NORMAL</v>
      </c>
    </row>
    <row r="120" spans="1:12" x14ac:dyDescent="0.25">
      <c r="A120" s="3" t="s">
        <v>894</v>
      </c>
      <c r="B120" s="3" t="s">
        <v>895</v>
      </c>
      <c r="C120" s="1">
        <v>20</v>
      </c>
      <c r="D120" s="1">
        <v>29</v>
      </c>
      <c r="E120" s="1" t="s">
        <v>52</v>
      </c>
      <c r="F120" s="1" t="s">
        <v>3139</v>
      </c>
      <c r="G120" s="3" t="s">
        <v>896</v>
      </c>
      <c r="H120" s="11">
        <f>ROUND(
IF(L118="GANCHO",
   IF(I120&lt;=50,I120*1.1+4,IF(I120&lt;=120,I120*1.1+7,IF(I120&lt;=250,I120*1.1+11,I120*1.1+19))),
IF(L118="NORMAL",
   IF(I120&lt;=30,I120*1.15+2,IF(I120&lt;=80,I120*1.15+4,IF(I120&lt;=150,I120*1.15+6,I120*1.15+8))),
IF(L118="COMPLEMENTO",
   IF(I120&lt;=25,I120*1.25+1.5,IF(I120&lt;=60,I120*1.25+3,IF(I120&lt;=120,I120*1.25+4,I120*1.25+5))),
""))),2)</f>
        <v>142.94999999999999</v>
      </c>
      <c r="I120" s="9">
        <f>($K$2+0.02)*Tabla1[[#This Row],[PRECIO $]]*1.18</f>
        <v>119.0856</v>
      </c>
      <c r="J120" s="7">
        <f>+Tabla1[[#This Row],[PRECIO EN SOLES]]-Tabla1[[#This Row],[PC]]</f>
        <v>23.864399999999989</v>
      </c>
      <c r="K120" s="15"/>
      <c r="L120" s="15" t="str">
        <f>IF(
OR(
ISNUMBER(SEARCH("BACKPACK",B122)),
ISNUMBER(SEARCH("MOCHILA",B122)),
ISNUMBER(SEARCH("FUNDA",B122)),
ISNUMBER(SEARCH("ESTUCHE",B122)),
ISNUMBER(SEARCH("BOOK COVER",B122)),
ISNUMBER(SEARCH("KEYBOARD PARA TABLET",B122)),
ISNUMBER(SEARCH("FLIP TABLET",B122)),
ISNUMBER(SEARCH("CASE FOR TABLET",B122)),
ISNUMBER(SEARCH("CABLE",B122)),
ISNUMBER(SEARCH("ADAPTADOR",B122)),
ISNUMBER(SEARCH("HUB",B122)),
ISNUMBER(SEARCH("DOCK",B122)),
ISNUMBER(SEARCH("MOUSE PAD",B122)),
ISNUMBER(SEARCH("MOUSEPAD",B122)),
ISNUMBER(SEARCH("SOPORTE",B122)),
ISNUMBER(SEARCH("STAND",B122)),
ISNUMBER(SEARCH("TRAVEL ADAPTER",B122)),
ISNUMBER(SEARCH("RJ45",B122)),
ISNUMBER(SEARCH("USB-C",B122)),
ISNUMBER(SEARCH("USB WIFI",B122)),
ISNUMBER(SEARCH("POWERBANK",B122)),
ISNUMBER(SEARCH("CARGADOR",B122)),
ISNUMBER(SEARCH("COOLER PARA NB",B122)),
ISNUMBER(SEARCH("SOPORTE PARA NB",B122)),
ISNUMBER(SEARCH("WEBCAM",B122)),
ISNUMBER(SEARCH("WEB CAM",B122)),
ISNUMBER(SEARCH("MOUSE",B122)),
ISNUMBER(SEARCH("TECLADO",B122))
),
"COMPLEMENTO",
IF(
OR(
LEFT(A122,2)="NB",
LEFT(A122,2)="PC",
LEFT(A122,2)="WS",
LEFT(A122,2)="TB",
LEFT(A122,3)="CEL",
LEFT(A122,3)="MON",
LEFT(A122,3)="PRE",
LEFT(A122,3)="PRH",
ISNUMBER(SEARCH("NOTEBOOK",B122)),
ISNUMBER(SEARCH("LAPTOP",B122)),
ISNUMBER(SEARCH("MONITOR",B122)),
ISNUMBER(SEARCH("TABLET",B122)),
ISNUMBER(SEARCH("SMARTPH",B122)),
ISNUMBER(SEARCH("IMPRESORA",B122)),
ISNUMBER(SEARCH("MULTIFUNCIONAL",B122)),
ISNUMBER(SEARCH("AIO",B122))
),
"GANCHO",
"NORMAL"
)
)</f>
        <v>NORMAL</v>
      </c>
    </row>
    <row r="121" spans="1:12" x14ac:dyDescent="0.25">
      <c r="A121" s="3" t="s">
        <v>4859</v>
      </c>
      <c r="B121" s="3" t="s">
        <v>4860</v>
      </c>
      <c r="C121" s="1">
        <v>20</v>
      </c>
      <c r="D121" s="1">
        <v>75.150000000000006</v>
      </c>
      <c r="E121" s="1" t="s">
        <v>115</v>
      </c>
      <c r="F121" s="1" t="s">
        <v>4861</v>
      </c>
      <c r="G121" s="3" t="s">
        <v>5148</v>
      </c>
      <c r="H121" s="11">
        <f>ROUND(
IF(L119="GANCHO",
   IF(I121&lt;=50,I121*1.1+4,IF(I121&lt;=120,I121*1.1+7,IF(I121&lt;=250,I121*1.1+11,I121*1.1+19))),
IF(L119="NORMAL",
   IF(I121&lt;=30,I121*1.15+2,IF(I121&lt;=80,I121*1.15+4,IF(I121&lt;=150,I121*1.15+6,I121*1.15+8))),
IF(L119="COMPLEMENTO",
   IF(I121&lt;=25,I121*1.25+1.5,IF(I121&lt;=60,I121*1.25+3,IF(I121&lt;=120,I121*1.25+4,I121*1.25+5))),
""))),2)</f>
        <v>362.89</v>
      </c>
      <c r="I121" s="9">
        <f>($K$2+0.02)*Tabla1[[#This Row],[PRECIO $]]*1.18</f>
        <v>308.59595999999999</v>
      </c>
      <c r="J121" s="7">
        <f>+Tabla1[[#This Row],[PRECIO EN SOLES]]-Tabla1[[#This Row],[PC]]</f>
        <v>54.294039999999995</v>
      </c>
      <c r="K121" s="15"/>
      <c r="L121" s="15" t="str">
        <f>IF(
OR(
ISNUMBER(SEARCH("BACKPACK",B123)),
ISNUMBER(SEARCH("MOCHILA",B123)),
ISNUMBER(SEARCH("FUNDA",B123)),
ISNUMBER(SEARCH("ESTUCHE",B123)),
ISNUMBER(SEARCH("BOOK COVER",B123)),
ISNUMBER(SEARCH("KEYBOARD PARA TABLET",B123)),
ISNUMBER(SEARCH("FLIP TABLET",B123)),
ISNUMBER(SEARCH("CASE FOR TABLET",B123)),
ISNUMBER(SEARCH("CABLE",B123)),
ISNUMBER(SEARCH("ADAPTADOR",B123)),
ISNUMBER(SEARCH("HUB",B123)),
ISNUMBER(SEARCH("DOCK",B123)),
ISNUMBER(SEARCH("MOUSE PAD",B123)),
ISNUMBER(SEARCH("MOUSEPAD",B123)),
ISNUMBER(SEARCH("SOPORTE",B123)),
ISNUMBER(SEARCH("STAND",B123)),
ISNUMBER(SEARCH("TRAVEL ADAPTER",B123)),
ISNUMBER(SEARCH("RJ45",B123)),
ISNUMBER(SEARCH("USB-C",B123)),
ISNUMBER(SEARCH("USB WIFI",B123)),
ISNUMBER(SEARCH("POWERBANK",B123)),
ISNUMBER(SEARCH("CARGADOR",B123)),
ISNUMBER(SEARCH("COOLER PARA NB",B123)),
ISNUMBER(SEARCH("SOPORTE PARA NB",B123)),
ISNUMBER(SEARCH("WEBCAM",B123)),
ISNUMBER(SEARCH("WEB CAM",B123)),
ISNUMBER(SEARCH("MOUSE",B123)),
ISNUMBER(SEARCH("TECLADO",B123))
),
"COMPLEMENTO",
IF(
OR(
LEFT(A123,2)="NB",
LEFT(A123,2)="PC",
LEFT(A123,2)="WS",
LEFT(A123,2)="TB",
LEFT(A123,3)="CEL",
LEFT(A123,3)="MON",
LEFT(A123,3)="PRE",
LEFT(A123,3)="PRH",
ISNUMBER(SEARCH("NOTEBOOK",B123)),
ISNUMBER(SEARCH("LAPTOP",B123)),
ISNUMBER(SEARCH("MONITOR",B123)),
ISNUMBER(SEARCH("TABLET",B123)),
ISNUMBER(SEARCH("SMARTPH",B123)),
ISNUMBER(SEARCH("IMPRESORA",B123)),
ISNUMBER(SEARCH("MULTIFUNCIONAL",B123)),
ISNUMBER(SEARCH("AIO",B123))
),
"GANCHO",
"NORMAL"
)
)</f>
        <v>NORMAL</v>
      </c>
    </row>
    <row r="122" spans="1:12" x14ac:dyDescent="0.25">
      <c r="A122" s="3" t="s">
        <v>4862</v>
      </c>
      <c r="B122" s="3" t="s">
        <v>4863</v>
      </c>
      <c r="C122" s="1">
        <v>20</v>
      </c>
      <c r="D122" s="1">
        <v>75.25</v>
      </c>
      <c r="E122" s="1" t="s">
        <v>115</v>
      </c>
      <c r="F122" s="1" t="s">
        <v>4864</v>
      </c>
      <c r="G122" s="3" t="s">
        <v>5149</v>
      </c>
      <c r="H122" s="11">
        <f>ROUND(
IF(L120="GANCHO",
   IF(I122&lt;=50,I122*1.1+4,IF(I122&lt;=120,I122*1.1+7,IF(I122&lt;=250,I122*1.1+11,I122*1.1+19))),
IF(L120="NORMAL",
   IF(I122&lt;=30,I122*1.15+2,IF(I122&lt;=80,I122*1.15+4,IF(I122&lt;=150,I122*1.15+6,I122*1.15+8))),
IF(L120="COMPLEMENTO",
   IF(I122&lt;=25,I122*1.25+1.5,IF(I122&lt;=60,I122*1.25+3,IF(I122&lt;=120,I122*1.25+4,I122*1.25+5))),
""))),2)</f>
        <v>363.36</v>
      </c>
      <c r="I122" s="9">
        <f>($K$2+0.02)*Tabla1[[#This Row],[PRECIO $]]*1.18</f>
        <v>309.00659999999999</v>
      </c>
      <c r="J122" s="7">
        <f>+Tabla1[[#This Row],[PRECIO EN SOLES]]-Tabla1[[#This Row],[PC]]</f>
        <v>54.353400000000022</v>
      </c>
      <c r="K122" s="15"/>
      <c r="L122" s="15" t="str">
        <f>IF(
OR(
ISNUMBER(SEARCH("BACKPACK",B124)),
ISNUMBER(SEARCH("MOCHILA",B124)),
ISNUMBER(SEARCH("FUNDA",B124)),
ISNUMBER(SEARCH("ESTUCHE",B124)),
ISNUMBER(SEARCH("BOOK COVER",B124)),
ISNUMBER(SEARCH("KEYBOARD PARA TABLET",B124)),
ISNUMBER(SEARCH("FLIP TABLET",B124)),
ISNUMBER(SEARCH("CASE FOR TABLET",B124)),
ISNUMBER(SEARCH("CABLE",B124)),
ISNUMBER(SEARCH("ADAPTADOR",B124)),
ISNUMBER(SEARCH("HUB",B124)),
ISNUMBER(SEARCH("DOCK",B124)),
ISNUMBER(SEARCH("MOUSE PAD",B124)),
ISNUMBER(SEARCH("MOUSEPAD",B124)),
ISNUMBER(SEARCH("SOPORTE",B124)),
ISNUMBER(SEARCH("STAND",B124)),
ISNUMBER(SEARCH("TRAVEL ADAPTER",B124)),
ISNUMBER(SEARCH("RJ45",B124)),
ISNUMBER(SEARCH("USB-C",B124)),
ISNUMBER(SEARCH("USB WIFI",B124)),
ISNUMBER(SEARCH("POWERBANK",B124)),
ISNUMBER(SEARCH("CARGADOR",B124)),
ISNUMBER(SEARCH("COOLER PARA NB",B124)),
ISNUMBER(SEARCH("SOPORTE PARA NB",B124)),
ISNUMBER(SEARCH("WEBCAM",B124)),
ISNUMBER(SEARCH("WEB CAM",B124)),
ISNUMBER(SEARCH("MOUSE",B124)),
ISNUMBER(SEARCH("TECLADO",B124))
),
"COMPLEMENTO",
IF(
OR(
LEFT(A124,2)="NB",
LEFT(A124,2)="PC",
LEFT(A124,2)="WS",
LEFT(A124,2)="TB",
LEFT(A124,3)="CEL",
LEFT(A124,3)="MON",
LEFT(A124,3)="PRE",
LEFT(A124,3)="PRH",
ISNUMBER(SEARCH("NOTEBOOK",B124)),
ISNUMBER(SEARCH("LAPTOP",B124)),
ISNUMBER(SEARCH("MONITOR",B124)),
ISNUMBER(SEARCH("TABLET",B124)),
ISNUMBER(SEARCH("SMARTPH",B124)),
ISNUMBER(SEARCH("IMPRESORA",B124)),
ISNUMBER(SEARCH("MULTIFUNCIONAL",B124)),
ISNUMBER(SEARCH("AIO",B124))
),
"GANCHO",
"NORMAL"
)
)</f>
        <v>NORMAL</v>
      </c>
    </row>
    <row r="123" spans="1:12" x14ac:dyDescent="0.25">
      <c r="A123" s="3" t="s">
        <v>6657</v>
      </c>
      <c r="B123" s="3" t="s">
        <v>6658</v>
      </c>
      <c r="C123" s="1">
        <v>0</v>
      </c>
      <c r="D123" s="1">
        <v>77.45</v>
      </c>
      <c r="E123" s="1" t="s">
        <v>115</v>
      </c>
      <c r="F123" s="1" t="s">
        <v>6659</v>
      </c>
      <c r="G123" s="3" t="s">
        <v>6660</v>
      </c>
      <c r="H123" s="11">
        <f>ROUND(
IF(L121="GANCHO",
   IF(I123&lt;=50,I123*1.1+4,IF(I123&lt;=120,I123*1.1+7,IF(I123&lt;=250,I123*1.1+11,I123*1.1+19))),
IF(L121="NORMAL",
   IF(I123&lt;=30,I123*1.15+2,IF(I123&lt;=80,I123*1.15+4,IF(I123&lt;=150,I123*1.15+6,I123*1.15+8))),
IF(L121="COMPLEMENTO",
   IF(I123&lt;=25,I123*1.25+1.5,IF(I123&lt;=60,I123*1.25+3,IF(I123&lt;=120,I123*1.25+4,I123*1.25+5))),
""))),2)</f>
        <v>373.75</v>
      </c>
      <c r="I123" s="9">
        <f>($K$2+0.02)*Tabla1[[#This Row],[PRECIO $]]*1.18</f>
        <v>318.04068000000001</v>
      </c>
      <c r="J123" s="7">
        <f>+Tabla1[[#This Row],[PRECIO EN SOLES]]-Tabla1[[#This Row],[PC]]</f>
        <v>55.709319999999991</v>
      </c>
      <c r="K123" s="15"/>
      <c r="L123" s="15" t="str">
        <f>IF(
OR(
ISNUMBER(SEARCH("BACKPACK",B125)),
ISNUMBER(SEARCH("MOCHILA",B125)),
ISNUMBER(SEARCH("FUNDA",B125)),
ISNUMBER(SEARCH("ESTUCHE",B125)),
ISNUMBER(SEARCH("BOOK COVER",B125)),
ISNUMBER(SEARCH("KEYBOARD PARA TABLET",B125)),
ISNUMBER(SEARCH("FLIP TABLET",B125)),
ISNUMBER(SEARCH("CASE FOR TABLET",B125)),
ISNUMBER(SEARCH("CABLE",B125)),
ISNUMBER(SEARCH("ADAPTADOR",B125)),
ISNUMBER(SEARCH("HUB",B125)),
ISNUMBER(SEARCH("DOCK",B125)),
ISNUMBER(SEARCH("MOUSE PAD",B125)),
ISNUMBER(SEARCH("MOUSEPAD",B125)),
ISNUMBER(SEARCH("SOPORTE",B125)),
ISNUMBER(SEARCH("STAND",B125)),
ISNUMBER(SEARCH("TRAVEL ADAPTER",B125)),
ISNUMBER(SEARCH("RJ45",B125)),
ISNUMBER(SEARCH("USB-C",B125)),
ISNUMBER(SEARCH("USB WIFI",B125)),
ISNUMBER(SEARCH("POWERBANK",B125)),
ISNUMBER(SEARCH("CARGADOR",B125)),
ISNUMBER(SEARCH("COOLER PARA NB",B125)),
ISNUMBER(SEARCH("SOPORTE PARA NB",B125)),
ISNUMBER(SEARCH("WEBCAM",B125)),
ISNUMBER(SEARCH("WEB CAM",B125)),
ISNUMBER(SEARCH("MOUSE",B125)),
ISNUMBER(SEARCH("TECLADO",B125))
),
"COMPLEMENTO",
IF(
OR(
LEFT(A125,2)="NB",
LEFT(A125,2)="PC",
LEFT(A125,2)="WS",
LEFT(A125,2)="TB",
LEFT(A125,3)="CEL",
LEFT(A125,3)="MON",
LEFT(A125,3)="PRE",
LEFT(A125,3)="PRH",
ISNUMBER(SEARCH("NOTEBOOK",B125)),
ISNUMBER(SEARCH("LAPTOP",B125)),
ISNUMBER(SEARCH("MONITOR",B125)),
ISNUMBER(SEARCH("TABLET",B125)),
ISNUMBER(SEARCH("SMARTPH",B125)),
ISNUMBER(SEARCH("IMPRESORA",B125)),
ISNUMBER(SEARCH("MULTIFUNCIONAL",B125)),
ISNUMBER(SEARCH("AIO",B125))
),
"GANCHO",
"NORMAL"
)
)</f>
        <v>NORMAL</v>
      </c>
    </row>
    <row r="124" spans="1:12" x14ac:dyDescent="0.25">
      <c r="A124" s="3" t="s">
        <v>4865</v>
      </c>
      <c r="B124" s="3" t="s">
        <v>4866</v>
      </c>
      <c r="C124" s="1">
        <v>20</v>
      </c>
      <c r="D124" s="1">
        <v>109.6</v>
      </c>
      <c r="E124" s="1" t="s">
        <v>115</v>
      </c>
      <c r="F124" s="1" t="s">
        <v>4867</v>
      </c>
      <c r="G124" s="3" t="s">
        <v>4868</v>
      </c>
      <c r="H124" s="11">
        <f>ROUND(
IF(L122="GANCHO",
   IF(I124&lt;=50,I124*1.1+4,IF(I124&lt;=120,I124*1.1+7,IF(I124&lt;=250,I124*1.1+11,I124*1.1+19))),
IF(L122="NORMAL",
   IF(I124&lt;=30,I124*1.15+2,IF(I124&lt;=80,I124*1.15+4,IF(I124&lt;=150,I124*1.15+6,I124*1.15+8))),
IF(L122="COMPLEMENTO",
   IF(I124&lt;=25,I124*1.25+1.5,IF(I124&lt;=60,I124*1.25+3,IF(I124&lt;=120,I124*1.25+4,I124*1.25+5))),
""))),2)</f>
        <v>525.57000000000005</v>
      </c>
      <c r="I124" s="9">
        <f>($K$2+0.02)*Tabla1[[#This Row],[PRECIO $]]*1.18</f>
        <v>450.06143999999995</v>
      </c>
      <c r="J124" s="7">
        <f>+Tabla1[[#This Row],[PRECIO EN SOLES]]-Tabla1[[#This Row],[PC]]</f>
        <v>75.508560000000102</v>
      </c>
      <c r="K124" s="15"/>
      <c r="L124" s="15" t="str">
        <f>IF(
OR(
ISNUMBER(SEARCH("BACKPACK",B126)),
ISNUMBER(SEARCH("MOCHILA",B126)),
ISNUMBER(SEARCH("FUNDA",B126)),
ISNUMBER(SEARCH("ESTUCHE",B126)),
ISNUMBER(SEARCH("BOOK COVER",B126)),
ISNUMBER(SEARCH("KEYBOARD PARA TABLET",B126)),
ISNUMBER(SEARCH("FLIP TABLET",B126)),
ISNUMBER(SEARCH("CASE FOR TABLET",B126)),
ISNUMBER(SEARCH("CABLE",B126)),
ISNUMBER(SEARCH("ADAPTADOR",B126)),
ISNUMBER(SEARCH("HUB",B126)),
ISNUMBER(SEARCH("DOCK",B126)),
ISNUMBER(SEARCH("MOUSE PAD",B126)),
ISNUMBER(SEARCH("MOUSEPAD",B126)),
ISNUMBER(SEARCH("SOPORTE",B126)),
ISNUMBER(SEARCH("STAND",B126)),
ISNUMBER(SEARCH("TRAVEL ADAPTER",B126)),
ISNUMBER(SEARCH("RJ45",B126)),
ISNUMBER(SEARCH("USB-C",B126)),
ISNUMBER(SEARCH("USB WIFI",B126)),
ISNUMBER(SEARCH("POWERBANK",B126)),
ISNUMBER(SEARCH("CARGADOR",B126)),
ISNUMBER(SEARCH("COOLER PARA NB",B126)),
ISNUMBER(SEARCH("SOPORTE PARA NB",B126)),
ISNUMBER(SEARCH("WEBCAM",B126)),
ISNUMBER(SEARCH("WEB CAM",B126)),
ISNUMBER(SEARCH("MOUSE",B126)),
ISNUMBER(SEARCH("TECLADO",B126))
),
"COMPLEMENTO",
IF(
OR(
LEFT(A126,2)="NB",
LEFT(A126,2)="PC",
LEFT(A126,2)="WS",
LEFT(A126,2)="TB",
LEFT(A126,3)="CEL",
LEFT(A126,3)="MON",
LEFT(A126,3)="PRE",
LEFT(A126,3)="PRH",
ISNUMBER(SEARCH("NOTEBOOK",B126)),
ISNUMBER(SEARCH("LAPTOP",B126)),
ISNUMBER(SEARCH("MONITOR",B126)),
ISNUMBER(SEARCH("TABLET",B126)),
ISNUMBER(SEARCH("SMARTPH",B126)),
ISNUMBER(SEARCH("IMPRESORA",B126)),
ISNUMBER(SEARCH("MULTIFUNCIONAL",B126)),
ISNUMBER(SEARCH("AIO",B126))
),
"GANCHO",
"NORMAL"
)
)</f>
        <v>NORMAL</v>
      </c>
    </row>
    <row r="125" spans="1:12" x14ac:dyDescent="0.25">
      <c r="A125" s="3" t="s">
        <v>135</v>
      </c>
      <c r="B125" s="3" t="s">
        <v>136</v>
      </c>
      <c r="C125" s="1">
        <v>20</v>
      </c>
      <c r="D125" s="1">
        <v>34.4</v>
      </c>
      <c r="E125" s="1" t="s">
        <v>52</v>
      </c>
      <c r="F125" s="1" t="s">
        <v>3140</v>
      </c>
      <c r="G125" s="3" t="s">
        <v>137</v>
      </c>
      <c r="H125" s="11">
        <f>ROUND(
IF(L123="GANCHO",
   IF(I125&lt;=50,I125*1.1+4,IF(I125&lt;=120,I125*1.1+7,IF(I125&lt;=250,I125*1.1+11,I125*1.1+19))),
IF(L123="NORMAL",
   IF(I125&lt;=30,I125*1.15+2,IF(I125&lt;=80,I125*1.15+4,IF(I125&lt;=150,I125*1.15+6,I125*1.15+8))),
IF(L123="COMPLEMENTO",
   IF(I125&lt;=25,I125*1.25+1.5,IF(I125&lt;=60,I125*1.25+3,IF(I125&lt;=120,I125*1.25+4,I125*1.25+5))),
""))),2)</f>
        <v>168.45</v>
      </c>
      <c r="I125" s="9">
        <f>($K$2+0.02)*Tabla1[[#This Row],[PRECIO $]]*1.18</f>
        <v>141.26015999999998</v>
      </c>
      <c r="J125" s="7">
        <f>+Tabla1[[#This Row],[PRECIO EN SOLES]]-Tabla1[[#This Row],[PC]]</f>
        <v>27.189840000000004</v>
      </c>
      <c r="K125" s="15"/>
      <c r="L125" s="15" t="str">
        <f>IF(
OR(
ISNUMBER(SEARCH("BACKPACK",B127)),
ISNUMBER(SEARCH("MOCHILA",B127)),
ISNUMBER(SEARCH("FUNDA",B127)),
ISNUMBER(SEARCH("ESTUCHE",B127)),
ISNUMBER(SEARCH("BOOK COVER",B127)),
ISNUMBER(SEARCH("KEYBOARD PARA TABLET",B127)),
ISNUMBER(SEARCH("FLIP TABLET",B127)),
ISNUMBER(SEARCH("CASE FOR TABLET",B127)),
ISNUMBER(SEARCH("CABLE",B127)),
ISNUMBER(SEARCH("ADAPTADOR",B127)),
ISNUMBER(SEARCH("HUB",B127)),
ISNUMBER(SEARCH("DOCK",B127)),
ISNUMBER(SEARCH("MOUSE PAD",B127)),
ISNUMBER(SEARCH("MOUSEPAD",B127)),
ISNUMBER(SEARCH("SOPORTE",B127)),
ISNUMBER(SEARCH("STAND",B127)),
ISNUMBER(SEARCH("TRAVEL ADAPTER",B127)),
ISNUMBER(SEARCH("RJ45",B127)),
ISNUMBER(SEARCH("USB-C",B127)),
ISNUMBER(SEARCH("USB WIFI",B127)),
ISNUMBER(SEARCH("POWERBANK",B127)),
ISNUMBER(SEARCH("CARGADOR",B127)),
ISNUMBER(SEARCH("COOLER PARA NB",B127)),
ISNUMBER(SEARCH("SOPORTE PARA NB",B127)),
ISNUMBER(SEARCH("WEBCAM",B127)),
ISNUMBER(SEARCH("WEB CAM",B127)),
ISNUMBER(SEARCH("MOUSE",B127)),
ISNUMBER(SEARCH("TECLADO",B127))
),
"COMPLEMENTO",
IF(
OR(
LEFT(A127,2)="NB",
LEFT(A127,2)="PC",
LEFT(A127,2)="WS",
LEFT(A127,2)="TB",
LEFT(A127,3)="CEL",
LEFT(A127,3)="MON",
LEFT(A127,3)="PRE",
LEFT(A127,3)="PRH",
ISNUMBER(SEARCH("NOTEBOOK",B127)),
ISNUMBER(SEARCH("LAPTOP",B127)),
ISNUMBER(SEARCH("MONITOR",B127)),
ISNUMBER(SEARCH("TABLET",B127)),
ISNUMBER(SEARCH("SMARTPH",B127)),
ISNUMBER(SEARCH("IMPRESORA",B127)),
ISNUMBER(SEARCH("MULTIFUNCIONAL",B127)),
ISNUMBER(SEARCH("AIO",B127))
),
"GANCHO",
"NORMAL"
)
)</f>
        <v>NORMAL</v>
      </c>
    </row>
    <row r="126" spans="1:12" x14ac:dyDescent="0.25">
      <c r="A126" s="3" t="s">
        <v>897</v>
      </c>
      <c r="B126" s="3" t="s">
        <v>898</v>
      </c>
      <c r="C126" s="1">
        <v>20</v>
      </c>
      <c r="D126" s="1">
        <v>34.5</v>
      </c>
      <c r="E126" s="1" t="s">
        <v>52</v>
      </c>
      <c r="F126" s="1" t="s">
        <v>3141</v>
      </c>
      <c r="G126" s="3" t="s">
        <v>899</v>
      </c>
      <c r="H126" s="11">
        <f>ROUND(
IF(L124="GANCHO",
   IF(I126&lt;=50,I126*1.1+4,IF(I126&lt;=120,I126*1.1+7,IF(I126&lt;=250,I126*1.1+11,I126*1.1+19))),
IF(L124="NORMAL",
   IF(I126&lt;=30,I126*1.15+2,IF(I126&lt;=80,I126*1.15+4,IF(I126&lt;=150,I126*1.15+6,I126*1.15+8))),
IF(L124="COMPLEMENTO",
   IF(I126&lt;=25,I126*1.25+1.5,IF(I126&lt;=60,I126*1.25+3,IF(I126&lt;=120,I126*1.25+4,I126*1.25+5))),
""))),2)</f>
        <v>168.92</v>
      </c>
      <c r="I126" s="9">
        <f>($K$2+0.02)*Tabla1[[#This Row],[PRECIO $]]*1.18</f>
        <v>141.67079999999999</v>
      </c>
      <c r="J126" s="7">
        <f>+Tabla1[[#This Row],[PRECIO EN SOLES]]-Tabla1[[#This Row],[PC]]</f>
        <v>27.249200000000002</v>
      </c>
      <c r="K126" s="15"/>
      <c r="L126" s="15" t="str">
        <f>IF(
OR(
ISNUMBER(SEARCH("BACKPACK",B128)),
ISNUMBER(SEARCH("MOCHILA",B128)),
ISNUMBER(SEARCH("FUNDA",B128)),
ISNUMBER(SEARCH("ESTUCHE",B128)),
ISNUMBER(SEARCH("BOOK COVER",B128)),
ISNUMBER(SEARCH("KEYBOARD PARA TABLET",B128)),
ISNUMBER(SEARCH("FLIP TABLET",B128)),
ISNUMBER(SEARCH("CASE FOR TABLET",B128)),
ISNUMBER(SEARCH("CABLE",B128)),
ISNUMBER(SEARCH("ADAPTADOR",B128)),
ISNUMBER(SEARCH("HUB",B128)),
ISNUMBER(SEARCH("DOCK",B128)),
ISNUMBER(SEARCH("MOUSE PAD",B128)),
ISNUMBER(SEARCH("MOUSEPAD",B128)),
ISNUMBER(SEARCH("SOPORTE",B128)),
ISNUMBER(SEARCH("STAND",B128)),
ISNUMBER(SEARCH("TRAVEL ADAPTER",B128)),
ISNUMBER(SEARCH("RJ45",B128)),
ISNUMBER(SEARCH("USB-C",B128)),
ISNUMBER(SEARCH("USB WIFI",B128)),
ISNUMBER(SEARCH("POWERBANK",B128)),
ISNUMBER(SEARCH("CARGADOR",B128)),
ISNUMBER(SEARCH("COOLER PARA NB",B128)),
ISNUMBER(SEARCH("SOPORTE PARA NB",B128)),
ISNUMBER(SEARCH("WEBCAM",B128)),
ISNUMBER(SEARCH("WEB CAM",B128)),
ISNUMBER(SEARCH("MOUSE",B128)),
ISNUMBER(SEARCH("TECLADO",B128))
),
"COMPLEMENTO",
IF(
OR(
LEFT(A128,2)="NB",
LEFT(A128,2)="PC",
LEFT(A128,2)="WS",
LEFT(A128,2)="TB",
LEFT(A128,3)="CEL",
LEFT(A128,3)="MON",
LEFT(A128,3)="PRE",
LEFT(A128,3)="PRH",
ISNUMBER(SEARCH("NOTEBOOK",B128)),
ISNUMBER(SEARCH("LAPTOP",B128)),
ISNUMBER(SEARCH("MONITOR",B128)),
ISNUMBER(SEARCH("TABLET",B128)),
ISNUMBER(SEARCH("SMARTPH",B128)),
ISNUMBER(SEARCH("IMPRESORA",B128)),
ISNUMBER(SEARCH("MULTIFUNCIONAL",B128)),
ISNUMBER(SEARCH("AIO",B128))
),
"GANCHO",
"NORMAL"
)
)</f>
        <v>NORMAL</v>
      </c>
    </row>
    <row r="127" spans="1:12" x14ac:dyDescent="0.25">
      <c r="A127" s="3" t="s">
        <v>4869</v>
      </c>
      <c r="B127" s="3" t="s">
        <v>4870</v>
      </c>
      <c r="C127" s="1">
        <v>18</v>
      </c>
      <c r="D127" s="1">
        <v>103.5</v>
      </c>
      <c r="E127" s="1" t="s">
        <v>3029</v>
      </c>
      <c r="F127" s="1" t="s">
        <v>4871</v>
      </c>
      <c r="G127" s="3" t="s">
        <v>4556</v>
      </c>
      <c r="H127" s="11">
        <f>ROUND(
IF(L125="GANCHO",
   IF(I127&lt;=50,I127*1.1+4,IF(I127&lt;=120,I127*1.1+7,IF(I127&lt;=250,I127*1.1+11,I127*1.1+19))),
IF(L125="NORMAL",
   IF(I127&lt;=30,I127*1.15+2,IF(I127&lt;=80,I127*1.15+4,IF(I127&lt;=150,I127*1.15+6,I127*1.15+8))),
IF(L125="COMPLEMENTO",
   IF(I127&lt;=25,I127*1.25+1.5,IF(I127&lt;=60,I127*1.25+3,IF(I127&lt;=120,I127*1.25+4,I127*1.25+5))),
""))),2)</f>
        <v>496.76</v>
      </c>
      <c r="I127" s="9">
        <f>($K$2+0.02)*Tabla1[[#This Row],[PRECIO $]]*1.18</f>
        <v>425.01240000000001</v>
      </c>
      <c r="J127" s="7">
        <f>+Tabla1[[#This Row],[PRECIO EN SOLES]]-Tabla1[[#This Row],[PC]]</f>
        <v>71.747599999999977</v>
      </c>
      <c r="K127" s="15"/>
      <c r="L127" s="15" t="str">
        <f>IF(
OR(
ISNUMBER(SEARCH("BACKPACK",B129)),
ISNUMBER(SEARCH("MOCHILA",B129)),
ISNUMBER(SEARCH("FUNDA",B129)),
ISNUMBER(SEARCH("ESTUCHE",B129)),
ISNUMBER(SEARCH("BOOK COVER",B129)),
ISNUMBER(SEARCH("KEYBOARD PARA TABLET",B129)),
ISNUMBER(SEARCH("FLIP TABLET",B129)),
ISNUMBER(SEARCH("CASE FOR TABLET",B129)),
ISNUMBER(SEARCH("CABLE",B129)),
ISNUMBER(SEARCH("ADAPTADOR",B129)),
ISNUMBER(SEARCH("HUB",B129)),
ISNUMBER(SEARCH("DOCK",B129)),
ISNUMBER(SEARCH("MOUSE PAD",B129)),
ISNUMBER(SEARCH("MOUSEPAD",B129)),
ISNUMBER(SEARCH("SOPORTE",B129)),
ISNUMBER(SEARCH("STAND",B129)),
ISNUMBER(SEARCH("TRAVEL ADAPTER",B129)),
ISNUMBER(SEARCH("RJ45",B129)),
ISNUMBER(SEARCH("USB-C",B129)),
ISNUMBER(SEARCH("USB WIFI",B129)),
ISNUMBER(SEARCH("POWERBANK",B129)),
ISNUMBER(SEARCH("CARGADOR",B129)),
ISNUMBER(SEARCH("COOLER PARA NB",B129)),
ISNUMBER(SEARCH("SOPORTE PARA NB",B129)),
ISNUMBER(SEARCH("WEBCAM",B129)),
ISNUMBER(SEARCH("WEB CAM",B129)),
ISNUMBER(SEARCH("MOUSE",B129)),
ISNUMBER(SEARCH("TECLADO",B129))
),
"COMPLEMENTO",
IF(
OR(
LEFT(A129,2)="NB",
LEFT(A129,2)="PC",
LEFT(A129,2)="WS",
LEFT(A129,2)="TB",
LEFT(A129,3)="CEL",
LEFT(A129,3)="MON",
LEFT(A129,3)="PRE",
LEFT(A129,3)="PRH",
ISNUMBER(SEARCH("NOTEBOOK",B129)),
ISNUMBER(SEARCH("LAPTOP",B129)),
ISNUMBER(SEARCH("MONITOR",B129)),
ISNUMBER(SEARCH("TABLET",B129)),
ISNUMBER(SEARCH("SMARTPH",B129)),
ISNUMBER(SEARCH("IMPRESORA",B129)),
ISNUMBER(SEARCH("MULTIFUNCIONAL",B129)),
ISNUMBER(SEARCH("AIO",B129))
),
"GANCHO",
"NORMAL"
)
)</f>
        <v>NORMAL</v>
      </c>
    </row>
    <row r="128" spans="1:12" x14ac:dyDescent="0.25">
      <c r="A128" s="3" t="s">
        <v>2807</v>
      </c>
      <c r="B128" s="3" t="s">
        <v>139</v>
      </c>
      <c r="C128" s="1">
        <v>19</v>
      </c>
      <c r="D128" s="1">
        <v>34</v>
      </c>
      <c r="E128" s="1" t="s">
        <v>52</v>
      </c>
      <c r="F128" s="1" t="s">
        <v>3142</v>
      </c>
      <c r="G128" s="3"/>
      <c r="H128" s="11">
        <f>ROUND(
IF(L126="GANCHO",
   IF(I128&lt;=50,I128*1.1+4,IF(I128&lt;=120,I128*1.1+7,IF(I128&lt;=250,I128*1.1+11,I128*1.1+19))),
IF(L126="NORMAL",
   IF(I128&lt;=30,I128*1.15+2,IF(I128&lt;=80,I128*1.15+4,IF(I128&lt;=150,I128*1.15+6,I128*1.15+8))),
IF(L126="COMPLEMENTO",
   IF(I128&lt;=25,I128*1.25+1.5,IF(I128&lt;=60,I128*1.25+3,IF(I128&lt;=120,I128*1.25+4,I128*1.25+5))),
""))),2)</f>
        <v>166.56</v>
      </c>
      <c r="I128" s="9">
        <f>($K$2+0.02)*Tabla1[[#This Row],[PRECIO $]]*1.18</f>
        <v>139.61759999999998</v>
      </c>
      <c r="J128" s="7">
        <f>+Tabla1[[#This Row],[PRECIO EN SOLES]]-Tabla1[[#This Row],[PC]]</f>
        <v>26.942400000000021</v>
      </c>
      <c r="K128" s="15"/>
      <c r="L128" s="15" t="str">
        <f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NORMAL</v>
      </c>
    </row>
    <row r="129" spans="1:12" x14ac:dyDescent="0.25">
      <c r="A129" s="3" t="s">
        <v>138</v>
      </c>
      <c r="B129" s="3" t="s">
        <v>139</v>
      </c>
      <c r="C129" s="1">
        <v>20</v>
      </c>
      <c r="D129" s="1">
        <v>41</v>
      </c>
      <c r="E129" s="1" t="s">
        <v>52</v>
      </c>
      <c r="F129" s="1" t="s">
        <v>3143</v>
      </c>
      <c r="G129" s="3" t="s">
        <v>140</v>
      </c>
      <c r="H129" s="11">
        <f>ROUND(
IF(L127="GANCHO",
   IF(I129&lt;=50,I129*1.1+4,IF(I129&lt;=120,I129*1.1+7,IF(I129&lt;=250,I129*1.1+11,I129*1.1+19))),
IF(L127="NORMAL",
   IF(I129&lt;=30,I129*1.15+2,IF(I129&lt;=80,I129*1.15+4,IF(I129&lt;=150,I129*1.15+6,I129*1.15+8))),
IF(L127="COMPLEMENTO",
   IF(I129&lt;=25,I129*1.25+1.5,IF(I129&lt;=60,I129*1.25+3,IF(I129&lt;=120,I129*1.25+4,I129*1.25+5))),
""))),2)</f>
        <v>201.62</v>
      </c>
      <c r="I129" s="9">
        <f>($K$2+0.02)*Tabla1[[#This Row],[PRECIO $]]*1.18</f>
        <v>168.36240000000001</v>
      </c>
      <c r="J129" s="7">
        <f>+Tabla1[[#This Row],[PRECIO EN SOLES]]-Tabla1[[#This Row],[PC]]</f>
        <v>33.257599999999996</v>
      </c>
      <c r="K129" s="15"/>
      <c r="L129" s="15" t="str">
        <f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0" spans="1:12" x14ac:dyDescent="0.25">
      <c r="A130" s="3" t="s">
        <v>5704</v>
      </c>
      <c r="B130" s="3" t="s">
        <v>5705</v>
      </c>
      <c r="C130" s="1">
        <v>20</v>
      </c>
      <c r="D130" s="1">
        <v>50.25</v>
      </c>
      <c r="E130" s="1" t="s">
        <v>121</v>
      </c>
      <c r="F130" s="1" t="s">
        <v>5706</v>
      </c>
      <c r="G130" s="3" t="s">
        <v>5707</v>
      </c>
      <c r="H130" s="11">
        <f>ROUND(
IF(L128="GANCHO",
   IF(I130&lt;=50,I130*1.1+4,IF(I130&lt;=120,I130*1.1+7,IF(I130&lt;=250,I130*1.1+11,I130*1.1+19))),
IF(L128="NORMAL",
   IF(I130&lt;=30,I130*1.15+2,IF(I130&lt;=80,I130*1.15+4,IF(I130&lt;=150,I130*1.15+6,I130*1.15+8))),
IF(L128="COMPLEMENTO",
   IF(I130&lt;=25,I130*1.25+1.5,IF(I130&lt;=60,I130*1.25+3,IF(I130&lt;=120,I130*1.25+4,I130*1.25+5))),
""))),2)</f>
        <v>245.3</v>
      </c>
      <c r="I130" s="9">
        <f>($K$2+0.02)*Tabla1[[#This Row],[PRECIO $]]*1.18</f>
        <v>206.3466</v>
      </c>
      <c r="J130" s="7">
        <f>+Tabla1[[#This Row],[PRECIO EN SOLES]]-Tabla1[[#This Row],[PC]]</f>
        <v>38.953400000000016</v>
      </c>
      <c r="K130" s="15"/>
      <c r="L130" s="15" t="str">
        <f>IF(
OR(
ISNUMBER(SEARCH("BACKPACK",B132)),
ISNUMBER(SEARCH("MOCHILA",B132)),
ISNUMBER(SEARCH("FUNDA",B132)),
ISNUMBER(SEARCH("ESTUCHE",B132)),
ISNUMBER(SEARCH("BOOK COVER",B132)),
ISNUMBER(SEARCH("KEYBOARD PARA TABLET",B132)),
ISNUMBER(SEARCH("FLIP TABLET",B132)),
ISNUMBER(SEARCH("CASE FOR TABLET",B132)),
ISNUMBER(SEARCH("CABLE",B132)),
ISNUMBER(SEARCH("ADAPTADOR",B132)),
ISNUMBER(SEARCH("HUB",B132)),
ISNUMBER(SEARCH("DOCK",B132)),
ISNUMBER(SEARCH("MOUSE PAD",B132)),
ISNUMBER(SEARCH("MOUSEPAD",B132)),
ISNUMBER(SEARCH("SOPORTE",B132)),
ISNUMBER(SEARCH("STAND",B132)),
ISNUMBER(SEARCH("TRAVEL ADAPTER",B132)),
ISNUMBER(SEARCH("RJ45",B132)),
ISNUMBER(SEARCH("USB-C",B132)),
ISNUMBER(SEARCH("USB WIFI",B132)),
ISNUMBER(SEARCH("POWERBANK",B132)),
ISNUMBER(SEARCH("CARGADOR",B132)),
ISNUMBER(SEARCH("COOLER PARA NB",B132)),
ISNUMBER(SEARCH("SOPORTE PARA NB",B132)),
ISNUMBER(SEARCH("WEBCAM",B132)),
ISNUMBER(SEARCH("WEB CAM",B132)),
ISNUMBER(SEARCH("MOUSE",B132)),
ISNUMBER(SEARCH("TECLADO",B132))
),
"COMPLEMENTO",
IF(
OR(
LEFT(A132,2)="NB",
LEFT(A132,2)="PC",
LEFT(A132,2)="WS",
LEFT(A132,2)="TB",
LEFT(A132,3)="CEL",
LEFT(A132,3)="MON",
LEFT(A132,3)="PRE",
LEFT(A132,3)="PRH",
ISNUMBER(SEARCH("NOTEBOOK",B132)),
ISNUMBER(SEARCH("LAPTOP",B132)),
ISNUMBER(SEARCH("MONITOR",B132)),
ISNUMBER(SEARCH("TABLET",B132)),
ISNUMBER(SEARCH("SMARTPH",B132)),
ISNUMBER(SEARCH("IMPRESORA",B132)),
ISNUMBER(SEARCH("MULTIFUNCIONAL",B132)),
ISNUMBER(SEARCH("AIO",B132))
),
"GANCHO",
"NORMAL"
)
)</f>
        <v>NORMAL</v>
      </c>
    </row>
    <row r="131" spans="1:12" x14ac:dyDescent="0.25">
      <c r="A131" s="3" t="s">
        <v>5229</v>
      </c>
      <c r="B131" s="3" t="s">
        <v>5230</v>
      </c>
      <c r="C131" s="1">
        <v>20</v>
      </c>
      <c r="D131" s="1">
        <v>54.4</v>
      </c>
      <c r="E131" s="1" t="s">
        <v>121</v>
      </c>
      <c r="F131" s="1" t="s">
        <v>5231</v>
      </c>
      <c r="G131" s="3" t="s">
        <v>5232</v>
      </c>
      <c r="H131" s="11">
        <f>ROUND(
IF(L129="GANCHO",
   IF(I131&lt;=50,I131*1.1+4,IF(I131&lt;=120,I131*1.1+7,IF(I131&lt;=250,I131*1.1+11,I131*1.1+19))),
IF(L129="NORMAL",
   IF(I131&lt;=30,I131*1.15+2,IF(I131&lt;=80,I131*1.15+4,IF(I131&lt;=150,I131*1.15+6,I131*1.15+8))),
IF(L129="COMPLEMENTO",
   IF(I131&lt;=25,I131*1.25+1.5,IF(I131&lt;=60,I131*1.25+3,IF(I131&lt;=120,I131*1.25+4,I131*1.25+5))),
""))),2)</f>
        <v>264.89999999999998</v>
      </c>
      <c r="I131" s="9">
        <f>($K$2+0.02)*Tabla1[[#This Row],[PRECIO $]]*1.18</f>
        <v>223.38815999999997</v>
      </c>
      <c r="J131" s="7">
        <f>+Tabla1[[#This Row],[PRECIO EN SOLES]]-Tabla1[[#This Row],[PC]]</f>
        <v>41.511840000000007</v>
      </c>
      <c r="K131" s="15"/>
      <c r="L131" s="15" t="str">
        <f>IF(
OR(
ISNUMBER(SEARCH("BACKPACK",B133)),
ISNUMBER(SEARCH("MOCHILA",B133)),
ISNUMBER(SEARCH("FUNDA",B133)),
ISNUMBER(SEARCH("ESTUCHE",B133)),
ISNUMBER(SEARCH("BOOK COVER",B133)),
ISNUMBER(SEARCH("KEYBOARD PARA TABLET",B133)),
ISNUMBER(SEARCH("FLIP TABLET",B133)),
ISNUMBER(SEARCH("CASE FOR TABLET",B133)),
ISNUMBER(SEARCH("CABLE",B133)),
ISNUMBER(SEARCH("ADAPTADOR",B133)),
ISNUMBER(SEARCH("HUB",B133)),
ISNUMBER(SEARCH("DOCK",B133)),
ISNUMBER(SEARCH("MOUSE PAD",B133)),
ISNUMBER(SEARCH("MOUSEPAD",B133)),
ISNUMBER(SEARCH("SOPORTE",B133)),
ISNUMBER(SEARCH("STAND",B133)),
ISNUMBER(SEARCH("TRAVEL ADAPTER",B133)),
ISNUMBER(SEARCH("RJ45",B133)),
ISNUMBER(SEARCH("USB-C",B133)),
ISNUMBER(SEARCH("USB WIFI",B133)),
ISNUMBER(SEARCH("POWERBANK",B133)),
ISNUMBER(SEARCH("CARGADOR",B133)),
ISNUMBER(SEARCH("COOLER PARA NB",B133)),
ISNUMBER(SEARCH("SOPORTE PARA NB",B133)),
ISNUMBER(SEARCH("WEBCAM",B133)),
ISNUMBER(SEARCH("WEB CAM",B133)),
ISNUMBER(SEARCH("MOUSE",B133)),
ISNUMBER(SEARCH("TECLADO",B133))
),
"COMPLEMENTO",
IF(
OR(
LEFT(A133,2)="NB",
LEFT(A133,2)="PC",
LEFT(A133,2)="WS",
LEFT(A133,2)="TB",
LEFT(A133,3)="CEL",
LEFT(A133,3)="MON",
LEFT(A133,3)="PRE",
LEFT(A133,3)="PRH",
ISNUMBER(SEARCH("NOTEBOOK",B133)),
ISNUMBER(SEARCH("LAPTOP",B133)),
ISNUMBER(SEARCH("MONITOR",B133)),
ISNUMBER(SEARCH("TABLET",B133)),
ISNUMBER(SEARCH("SMARTPH",B133)),
ISNUMBER(SEARCH("IMPRESORA",B133)),
ISNUMBER(SEARCH("MULTIFUNCIONAL",B133)),
ISNUMBER(SEARCH("AIO",B133))
),
"GANCHO",
"NORMAL"
)
)</f>
        <v>NORMAL</v>
      </c>
    </row>
    <row r="132" spans="1:12" x14ac:dyDescent="0.25">
      <c r="A132" s="3" t="s">
        <v>122</v>
      </c>
      <c r="B132" s="3" t="s">
        <v>123</v>
      </c>
      <c r="C132" s="1">
        <v>20</v>
      </c>
      <c r="D132" s="1">
        <v>122.7</v>
      </c>
      <c r="E132" s="1" t="s">
        <v>121</v>
      </c>
      <c r="F132" s="1" t="s">
        <v>3144</v>
      </c>
      <c r="G132" s="3" t="s">
        <v>630</v>
      </c>
      <c r="H132" s="11">
        <f>ROUND(
IF(L130="GANCHO",
   IF(I132&lt;=50,I132*1.1+4,IF(I132&lt;=120,I132*1.1+7,IF(I132&lt;=250,I132*1.1+11,I132*1.1+19))),
IF(L130="NORMAL",
   IF(I132&lt;=30,I132*1.15+2,IF(I132&lt;=80,I132*1.15+4,IF(I132&lt;=150,I132*1.15+6,I132*1.15+8))),
IF(L130="COMPLEMENTO",
   IF(I132&lt;=25,I132*1.25+1.5,IF(I132&lt;=60,I132*1.25+3,IF(I132&lt;=120,I132*1.25+4,I132*1.25+5))),
""))),2)</f>
        <v>587.42999999999995</v>
      </c>
      <c r="I132" s="9">
        <f>($K$2+0.02)*Tabla1[[#This Row],[PRECIO $]]*1.18</f>
        <v>503.85527999999994</v>
      </c>
      <c r="J132" s="7">
        <f>+Tabla1[[#This Row],[PRECIO EN SOLES]]-Tabla1[[#This Row],[PC]]</f>
        <v>83.574720000000013</v>
      </c>
      <c r="K132" s="15"/>
      <c r="L132" s="15" t="str">
        <f>IF(
OR(
ISNUMBER(SEARCH("BACKPACK",B134)),
ISNUMBER(SEARCH("MOCHILA",B134)),
ISNUMBER(SEARCH("FUNDA",B134)),
ISNUMBER(SEARCH("ESTUCHE",B134)),
ISNUMBER(SEARCH("BOOK COVER",B134)),
ISNUMBER(SEARCH("KEYBOARD PARA TABLET",B134)),
ISNUMBER(SEARCH("FLIP TABLET",B134)),
ISNUMBER(SEARCH("CASE FOR TABLET",B134)),
ISNUMBER(SEARCH("CABLE",B134)),
ISNUMBER(SEARCH("ADAPTADOR",B134)),
ISNUMBER(SEARCH("HUB",B134)),
ISNUMBER(SEARCH("DOCK",B134)),
ISNUMBER(SEARCH("MOUSE PAD",B134)),
ISNUMBER(SEARCH("MOUSEPAD",B134)),
ISNUMBER(SEARCH("SOPORTE",B134)),
ISNUMBER(SEARCH("STAND",B134)),
ISNUMBER(SEARCH("TRAVEL ADAPTER",B134)),
ISNUMBER(SEARCH("RJ45",B134)),
ISNUMBER(SEARCH("USB-C",B134)),
ISNUMBER(SEARCH("USB WIFI",B134)),
ISNUMBER(SEARCH("POWERBANK",B134)),
ISNUMBER(SEARCH("CARGADOR",B134)),
ISNUMBER(SEARCH("COOLER PARA NB",B134)),
ISNUMBER(SEARCH("SOPORTE PARA NB",B134)),
ISNUMBER(SEARCH("WEBCAM",B134)),
ISNUMBER(SEARCH("WEB CAM",B134)),
ISNUMBER(SEARCH("MOUSE",B134)),
ISNUMBER(SEARCH("TECLADO",B134))
),
"COMPLEMENTO",
IF(
OR(
LEFT(A134,2)="NB",
LEFT(A134,2)="PC",
LEFT(A134,2)="WS",
LEFT(A134,2)="TB",
LEFT(A134,3)="CEL",
LEFT(A134,3)="MON",
LEFT(A134,3)="PRE",
LEFT(A134,3)="PRH",
ISNUMBER(SEARCH("NOTEBOOK",B134)),
ISNUMBER(SEARCH("LAPTOP",B134)),
ISNUMBER(SEARCH("MONITOR",B134)),
ISNUMBER(SEARCH("TABLET",B134)),
ISNUMBER(SEARCH("SMARTPH",B134)),
ISNUMBER(SEARCH("IMPRESORA",B134)),
ISNUMBER(SEARCH("MULTIFUNCIONAL",B134)),
ISNUMBER(SEARCH("AIO",B134))
),
"GANCHO",
"NORMAL"
)
)</f>
        <v>NORMAL</v>
      </c>
    </row>
    <row r="133" spans="1:12" x14ac:dyDescent="0.25">
      <c r="A133" s="3" t="s">
        <v>900</v>
      </c>
      <c r="B133" s="3" t="s">
        <v>901</v>
      </c>
      <c r="C133" s="1">
        <v>20</v>
      </c>
      <c r="D133" s="1">
        <v>122.7</v>
      </c>
      <c r="E133" s="1" t="s">
        <v>121</v>
      </c>
      <c r="F133" s="1" t="s">
        <v>3145</v>
      </c>
      <c r="G133" s="3" t="s">
        <v>902</v>
      </c>
      <c r="H133" s="11">
        <f>ROUND(
IF(L131="GANCHO",
   IF(I133&lt;=50,I133*1.1+4,IF(I133&lt;=120,I133*1.1+7,IF(I133&lt;=250,I133*1.1+11,I133*1.1+19))),
IF(L131="NORMAL",
   IF(I133&lt;=30,I133*1.15+2,IF(I133&lt;=80,I133*1.15+4,IF(I133&lt;=150,I133*1.15+6,I133*1.15+8))),
IF(L131="COMPLEMENTO",
   IF(I133&lt;=25,I133*1.25+1.5,IF(I133&lt;=60,I133*1.25+3,IF(I133&lt;=120,I133*1.25+4,I133*1.25+5))),
""))),2)</f>
        <v>587.42999999999995</v>
      </c>
      <c r="I133" s="9">
        <f>($K$2+0.02)*Tabla1[[#This Row],[PRECIO $]]*1.18</f>
        <v>503.85527999999994</v>
      </c>
      <c r="J133" s="7">
        <f>+Tabla1[[#This Row],[PRECIO EN SOLES]]-Tabla1[[#This Row],[PC]]</f>
        <v>83.574720000000013</v>
      </c>
      <c r="K133" s="15"/>
      <c r="L133" s="15" t="str">
        <f>IF(
OR(
ISNUMBER(SEARCH("BACKPACK",B135)),
ISNUMBER(SEARCH("MOCHILA",B135)),
ISNUMBER(SEARCH("FUNDA",B135)),
ISNUMBER(SEARCH("ESTUCHE",B135)),
ISNUMBER(SEARCH("BOOK COVER",B135)),
ISNUMBER(SEARCH("KEYBOARD PARA TABLET",B135)),
ISNUMBER(SEARCH("FLIP TABLET",B135)),
ISNUMBER(SEARCH("CASE FOR TABLET",B135)),
ISNUMBER(SEARCH("CABLE",B135)),
ISNUMBER(SEARCH("ADAPTADOR",B135)),
ISNUMBER(SEARCH("HUB",B135)),
ISNUMBER(SEARCH("DOCK",B135)),
ISNUMBER(SEARCH("MOUSE PAD",B135)),
ISNUMBER(SEARCH("MOUSEPAD",B135)),
ISNUMBER(SEARCH("SOPORTE",B135)),
ISNUMBER(SEARCH("STAND",B135)),
ISNUMBER(SEARCH("TRAVEL ADAPTER",B135)),
ISNUMBER(SEARCH("RJ45",B135)),
ISNUMBER(SEARCH("USB-C",B135)),
ISNUMBER(SEARCH("USB WIFI",B135)),
ISNUMBER(SEARCH("POWERBANK",B135)),
ISNUMBER(SEARCH("CARGADOR",B135)),
ISNUMBER(SEARCH("COOLER PARA NB",B135)),
ISNUMBER(SEARCH("SOPORTE PARA NB",B135)),
ISNUMBER(SEARCH("WEBCAM",B135)),
ISNUMBER(SEARCH("WEB CAM",B135)),
ISNUMBER(SEARCH("MOUSE",B135)),
ISNUMBER(SEARCH("TECLADO",B135))
),
"COMPLEMENTO",
IF(
OR(
LEFT(A135,2)="NB",
LEFT(A135,2)="PC",
LEFT(A135,2)="WS",
LEFT(A135,2)="TB",
LEFT(A135,3)="CEL",
LEFT(A135,3)="MON",
LEFT(A135,3)="PRE",
LEFT(A135,3)="PRH",
ISNUMBER(SEARCH("NOTEBOOK",B135)),
ISNUMBER(SEARCH("LAPTOP",B135)),
ISNUMBER(SEARCH("MONITOR",B135)),
ISNUMBER(SEARCH("TABLET",B135)),
ISNUMBER(SEARCH("SMARTPH",B135)),
ISNUMBER(SEARCH("IMPRESORA",B135)),
ISNUMBER(SEARCH("MULTIFUNCIONAL",B135)),
ISNUMBER(SEARCH("AIO",B135))
),
"GANCHO",
"NORMAL"
)
)</f>
        <v>NORMAL</v>
      </c>
    </row>
    <row r="134" spans="1:12" x14ac:dyDescent="0.25">
      <c r="A134" s="3" t="s">
        <v>903</v>
      </c>
      <c r="B134" s="3" t="s">
        <v>904</v>
      </c>
      <c r="C134" s="1">
        <v>20</v>
      </c>
      <c r="D134" s="1">
        <v>4.33</v>
      </c>
      <c r="E134" s="1" t="s">
        <v>54</v>
      </c>
      <c r="F134" s="1" t="s">
        <v>3146</v>
      </c>
      <c r="G134" s="3" t="s">
        <v>905</v>
      </c>
      <c r="H134" s="11">
        <f>ROUND(
IF(L132="GANCHO",
   IF(I134&lt;=50,I134*1.1+4,IF(I134&lt;=120,I134*1.1+7,IF(I134&lt;=250,I134*1.1+11,I134*1.1+19))),
IF(L132="NORMAL",
   IF(I134&lt;=30,I134*1.15+2,IF(I134&lt;=80,I134*1.15+4,IF(I134&lt;=150,I134*1.15+6,I134*1.15+8))),
IF(L132="COMPLEMENTO",
   IF(I134&lt;=25,I134*1.25+1.5,IF(I134&lt;=60,I134*1.25+3,IF(I134&lt;=120,I134*1.25+4,I134*1.25+5))),
""))),2)</f>
        <v>22.45</v>
      </c>
      <c r="I134" s="9">
        <f>($K$2+0.02)*Tabla1[[#This Row],[PRECIO $]]*1.18</f>
        <v>17.780712000000001</v>
      </c>
      <c r="J134" s="7">
        <f>+Tabla1[[#This Row],[PRECIO EN SOLES]]-Tabla1[[#This Row],[PC]]</f>
        <v>4.6692879999999981</v>
      </c>
      <c r="K134" s="15"/>
      <c r="L134" s="15" t="str">
        <f>IF(
OR(
ISNUMBER(SEARCH("BACKPACK",B136)),
ISNUMBER(SEARCH("MOCHILA",B136)),
ISNUMBER(SEARCH("FUNDA",B136)),
ISNUMBER(SEARCH("ESTUCHE",B136)),
ISNUMBER(SEARCH("BOOK COVER",B136)),
ISNUMBER(SEARCH("KEYBOARD PARA TABLET",B136)),
ISNUMBER(SEARCH("FLIP TABLET",B136)),
ISNUMBER(SEARCH("CASE FOR TABLET",B136)),
ISNUMBER(SEARCH("CABLE",B136)),
ISNUMBER(SEARCH("ADAPTADOR",B136)),
ISNUMBER(SEARCH("HUB",B136)),
ISNUMBER(SEARCH("DOCK",B136)),
ISNUMBER(SEARCH("MOUSE PAD",B136)),
ISNUMBER(SEARCH("MOUSEPAD",B136)),
ISNUMBER(SEARCH("SOPORTE",B136)),
ISNUMBER(SEARCH("STAND",B136)),
ISNUMBER(SEARCH("TRAVEL ADAPTER",B136)),
ISNUMBER(SEARCH("RJ45",B136)),
ISNUMBER(SEARCH("USB-C",B136)),
ISNUMBER(SEARCH("USB WIFI",B136)),
ISNUMBER(SEARCH("POWERBANK",B136)),
ISNUMBER(SEARCH("CARGADOR",B136)),
ISNUMBER(SEARCH("COOLER PARA NB",B136)),
ISNUMBER(SEARCH("SOPORTE PARA NB",B136)),
ISNUMBER(SEARCH("WEBCAM",B136)),
ISNUMBER(SEARCH("WEB CAM",B136)),
ISNUMBER(SEARCH("MOUSE",B136)),
ISNUMBER(SEARCH("TECLADO",B136))
),
"COMPLEMENTO",
IF(
OR(
LEFT(A136,2)="NB",
LEFT(A136,2)="PC",
LEFT(A136,2)="WS",
LEFT(A136,2)="TB",
LEFT(A136,3)="CEL",
LEFT(A136,3)="MON",
LEFT(A136,3)="PRE",
LEFT(A136,3)="PRH",
ISNUMBER(SEARCH("NOTEBOOK",B136)),
ISNUMBER(SEARCH("LAPTOP",B136)),
ISNUMBER(SEARCH("MONITOR",B136)),
ISNUMBER(SEARCH("TABLET",B136)),
ISNUMBER(SEARCH("SMARTPH",B136)),
ISNUMBER(SEARCH("IMPRESORA",B136)),
ISNUMBER(SEARCH("MULTIFUNCIONAL",B136)),
ISNUMBER(SEARCH("AIO",B136))
),
"GANCHO",
"NORMAL"
)
)</f>
        <v>NORMAL</v>
      </c>
    </row>
    <row r="135" spans="1:12" x14ac:dyDescent="0.25">
      <c r="A135" s="3" t="s">
        <v>5708</v>
      </c>
      <c r="B135" s="3" t="s">
        <v>5709</v>
      </c>
      <c r="C135" s="1">
        <v>8</v>
      </c>
      <c r="D135" s="1">
        <v>126.6</v>
      </c>
      <c r="E135" s="1" t="s">
        <v>906</v>
      </c>
      <c r="F135" s="1" t="s">
        <v>5710</v>
      </c>
      <c r="G135" s="3" t="s">
        <v>5711</v>
      </c>
      <c r="H135" s="11">
        <f>ROUND(
IF(L133="GANCHO",
   IF(I135&lt;=50,I135*1.1+4,IF(I135&lt;=120,I135*1.1+7,IF(I135&lt;=250,I135*1.1+11,I135*1.1+19))),
IF(L133="NORMAL",
   IF(I135&lt;=30,I135*1.15+2,IF(I135&lt;=80,I135*1.15+4,IF(I135&lt;=150,I135*1.15+6,I135*1.15+8))),
IF(L133="COMPLEMENTO",
   IF(I135&lt;=25,I135*1.25+1.5,IF(I135&lt;=60,I135*1.25+3,IF(I135&lt;=120,I135*1.25+4,I135*1.25+5))),
""))),2)</f>
        <v>605.85</v>
      </c>
      <c r="I135" s="9">
        <f>($K$2+0.02)*Tabla1[[#This Row],[PRECIO $]]*1.18</f>
        <v>519.87023999999997</v>
      </c>
      <c r="J135" s="7">
        <f>+Tabla1[[#This Row],[PRECIO EN SOLES]]-Tabla1[[#This Row],[PC]]</f>
        <v>85.979760000000056</v>
      </c>
      <c r="K135" s="15"/>
      <c r="L135" s="15" t="str">
        <f>IF(
OR(
ISNUMBER(SEARCH("BACKPACK",B137)),
ISNUMBER(SEARCH("MOCHILA",B137)),
ISNUMBER(SEARCH("FUNDA",B137)),
ISNUMBER(SEARCH("ESTUCHE",B137)),
ISNUMBER(SEARCH("BOOK COVER",B137)),
ISNUMBER(SEARCH("KEYBOARD PARA TABLET",B137)),
ISNUMBER(SEARCH("FLIP TABLET",B137)),
ISNUMBER(SEARCH("CASE FOR TABLET",B137)),
ISNUMBER(SEARCH("CABLE",B137)),
ISNUMBER(SEARCH("ADAPTADOR",B137)),
ISNUMBER(SEARCH("HUB",B137)),
ISNUMBER(SEARCH("DOCK",B137)),
ISNUMBER(SEARCH("MOUSE PAD",B137)),
ISNUMBER(SEARCH("MOUSEPAD",B137)),
ISNUMBER(SEARCH("SOPORTE",B137)),
ISNUMBER(SEARCH("STAND",B137)),
ISNUMBER(SEARCH("TRAVEL ADAPTER",B137)),
ISNUMBER(SEARCH("RJ45",B137)),
ISNUMBER(SEARCH("USB-C",B137)),
ISNUMBER(SEARCH("USB WIFI",B137)),
ISNUMBER(SEARCH("POWERBANK",B137)),
ISNUMBER(SEARCH("CARGADOR",B137)),
ISNUMBER(SEARCH("COOLER PARA NB",B137)),
ISNUMBER(SEARCH("SOPORTE PARA NB",B137)),
ISNUMBER(SEARCH("WEBCAM",B137)),
ISNUMBER(SEARCH("WEB CAM",B137)),
ISNUMBER(SEARCH("MOUSE",B137)),
ISNUMBER(SEARCH("TECLADO",B137))
),
"COMPLEMENTO",
IF(
OR(
LEFT(A137,2)="NB",
LEFT(A137,2)="PC",
LEFT(A137,2)="WS",
LEFT(A137,2)="TB",
LEFT(A137,3)="CEL",
LEFT(A137,3)="MON",
LEFT(A137,3)="PRE",
LEFT(A137,3)="PRH",
ISNUMBER(SEARCH("NOTEBOOK",B137)),
ISNUMBER(SEARCH("LAPTOP",B137)),
ISNUMBER(SEARCH("MONITOR",B137)),
ISNUMBER(SEARCH("TABLET",B137)),
ISNUMBER(SEARCH("SMARTPH",B137)),
ISNUMBER(SEARCH("IMPRESORA",B137)),
ISNUMBER(SEARCH("MULTIFUNCIONAL",B137)),
ISNUMBER(SEARCH("AIO",B137))
),
"GANCHO",
"NORMAL"
)
)</f>
        <v>NORMAL</v>
      </c>
    </row>
    <row r="136" spans="1:12" x14ac:dyDescent="0.25">
      <c r="A136" s="3" t="s">
        <v>5712</v>
      </c>
      <c r="B136" s="3" t="s">
        <v>5713</v>
      </c>
      <c r="C136" s="1">
        <v>6</v>
      </c>
      <c r="D136" s="1">
        <v>134.5</v>
      </c>
      <c r="E136" s="1" t="s">
        <v>906</v>
      </c>
      <c r="F136" s="1" t="s">
        <v>5714</v>
      </c>
      <c r="G136" s="3" t="s">
        <v>5715</v>
      </c>
      <c r="H136" s="11">
        <f>ROUND(
IF(L134="GANCHO",
   IF(I136&lt;=50,I136*1.1+4,IF(I136&lt;=120,I136*1.1+7,IF(I136&lt;=250,I136*1.1+11,I136*1.1+19))),
IF(L134="NORMAL",
   IF(I136&lt;=30,I136*1.15+2,IF(I136&lt;=80,I136*1.15+4,IF(I136&lt;=150,I136*1.15+6,I136*1.15+8))),
IF(L134="COMPLEMENTO",
   IF(I136&lt;=25,I136*1.25+1.5,IF(I136&lt;=60,I136*1.25+3,IF(I136&lt;=120,I136*1.25+4,I136*1.25+5))),
""))),2)</f>
        <v>643.16</v>
      </c>
      <c r="I136" s="9">
        <f>($K$2+0.02)*Tabla1[[#This Row],[PRECIO $]]*1.18</f>
        <v>552.31079999999997</v>
      </c>
      <c r="J136" s="7">
        <f>+Tabla1[[#This Row],[PRECIO EN SOLES]]-Tabla1[[#This Row],[PC]]</f>
        <v>90.849199999999996</v>
      </c>
      <c r="K136" s="15"/>
      <c r="L136" s="15" t="str">
        <f>IF(
OR(
ISNUMBER(SEARCH("BACKPACK",B138)),
ISNUMBER(SEARCH("MOCHILA",B138)),
ISNUMBER(SEARCH("FUNDA",B138)),
ISNUMBER(SEARCH("ESTUCHE",B138)),
ISNUMBER(SEARCH("BOOK COVER",B138)),
ISNUMBER(SEARCH("KEYBOARD PARA TABLET",B138)),
ISNUMBER(SEARCH("FLIP TABLET",B138)),
ISNUMBER(SEARCH("CASE FOR TABLET",B138)),
ISNUMBER(SEARCH("CABLE",B138)),
ISNUMBER(SEARCH("ADAPTADOR",B138)),
ISNUMBER(SEARCH("HUB",B138)),
ISNUMBER(SEARCH("DOCK",B138)),
ISNUMBER(SEARCH("MOUSE PAD",B138)),
ISNUMBER(SEARCH("MOUSEPAD",B138)),
ISNUMBER(SEARCH("SOPORTE",B138)),
ISNUMBER(SEARCH("STAND",B138)),
ISNUMBER(SEARCH("TRAVEL ADAPTER",B138)),
ISNUMBER(SEARCH("RJ45",B138)),
ISNUMBER(SEARCH("USB-C",B138)),
ISNUMBER(SEARCH("USB WIFI",B138)),
ISNUMBER(SEARCH("POWERBANK",B138)),
ISNUMBER(SEARCH("CARGADOR",B138)),
ISNUMBER(SEARCH("COOLER PARA NB",B138)),
ISNUMBER(SEARCH("SOPORTE PARA NB",B138)),
ISNUMBER(SEARCH("WEBCAM",B138)),
ISNUMBER(SEARCH("WEB CAM",B138)),
ISNUMBER(SEARCH("MOUSE",B138)),
ISNUMBER(SEARCH("TECLADO",B138))
),
"COMPLEMENTO",
IF(
OR(
LEFT(A138,2)="NB",
LEFT(A138,2)="PC",
LEFT(A138,2)="WS",
LEFT(A138,2)="TB",
LEFT(A138,3)="CEL",
LEFT(A138,3)="MON",
LEFT(A138,3)="PRE",
LEFT(A138,3)="PRH",
ISNUMBER(SEARCH("NOTEBOOK",B138)),
ISNUMBER(SEARCH("LAPTOP",B138)),
ISNUMBER(SEARCH("MONITOR",B138)),
ISNUMBER(SEARCH("TABLET",B138)),
ISNUMBER(SEARCH("SMARTPH",B138)),
ISNUMBER(SEARCH("IMPRESORA",B138)),
ISNUMBER(SEARCH("MULTIFUNCIONAL",B138)),
ISNUMBER(SEARCH("AIO",B138))
),
"GANCHO",
"NORMAL"
)
)</f>
        <v>NORMAL</v>
      </c>
    </row>
    <row r="137" spans="1:12" x14ac:dyDescent="0.25">
      <c r="A137" s="3" t="s">
        <v>6661</v>
      </c>
      <c r="B137" s="3" t="s">
        <v>6662</v>
      </c>
      <c r="C137" s="1">
        <v>20</v>
      </c>
      <c r="D137" s="1">
        <v>74</v>
      </c>
      <c r="E137" s="1" t="s">
        <v>52</v>
      </c>
      <c r="F137" s="1" t="s">
        <v>6663</v>
      </c>
      <c r="G137" s="3" t="s">
        <v>6664</v>
      </c>
      <c r="H137" s="11">
        <f>ROUND(
IF(L135="GANCHO",
   IF(I137&lt;=50,I137*1.1+4,IF(I137&lt;=120,I137*1.1+7,IF(I137&lt;=250,I137*1.1+11,I137*1.1+19))),
IF(L135="NORMAL",
   IF(I137&lt;=30,I137*1.15+2,IF(I137&lt;=80,I137*1.15+4,IF(I137&lt;=150,I137*1.15+6,I137*1.15+8))),
IF(L135="COMPLEMENTO",
   IF(I137&lt;=25,I137*1.25+1.5,IF(I137&lt;=60,I137*1.25+3,IF(I137&lt;=120,I137*1.25+4,I137*1.25+5))),
""))),2)</f>
        <v>357.45</v>
      </c>
      <c r="I137" s="9">
        <f>($K$2+0.02)*Tabla1[[#This Row],[PRECIO $]]*1.18</f>
        <v>303.87359999999995</v>
      </c>
      <c r="J137" s="7">
        <f>+Tabla1[[#This Row],[PRECIO EN SOLES]]-Tabla1[[#This Row],[PC]]</f>
        <v>53.576400000000035</v>
      </c>
      <c r="K137" s="15"/>
      <c r="L137" s="15" t="str">
        <f>IF(
OR(
ISNUMBER(SEARCH("BACKPACK",B139)),
ISNUMBER(SEARCH("MOCHILA",B139)),
ISNUMBER(SEARCH("FUNDA",B139)),
ISNUMBER(SEARCH("ESTUCHE",B139)),
ISNUMBER(SEARCH("BOOK COVER",B139)),
ISNUMBER(SEARCH("KEYBOARD PARA TABLET",B139)),
ISNUMBER(SEARCH("FLIP TABLET",B139)),
ISNUMBER(SEARCH("CASE FOR TABLET",B139)),
ISNUMBER(SEARCH("CABLE",B139)),
ISNUMBER(SEARCH("ADAPTADOR",B139)),
ISNUMBER(SEARCH("HUB",B139)),
ISNUMBER(SEARCH("DOCK",B139)),
ISNUMBER(SEARCH("MOUSE PAD",B139)),
ISNUMBER(SEARCH("MOUSEPAD",B139)),
ISNUMBER(SEARCH("SOPORTE",B139)),
ISNUMBER(SEARCH("STAND",B139)),
ISNUMBER(SEARCH("TRAVEL ADAPTER",B139)),
ISNUMBER(SEARCH("RJ45",B139)),
ISNUMBER(SEARCH("USB-C",B139)),
ISNUMBER(SEARCH("USB WIFI",B139)),
ISNUMBER(SEARCH("POWERBANK",B139)),
ISNUMBER(SEARCH("CARGADOR",B139)),
ISNUMBER(SEARCH("COOLER PARA NB",B139)),
ISNUMBER(SEARCH("SOPORTE PARA NB",B139)),
ISNUMBER(SEARCH("WEBCAM",B139)),
ISNUMBER(SEARCH("WEB CAM",B139)),
ISNUMBER(SEARCH("MOUSE",B139)),
ISNUMBER(SEARCH("TECLADO",B139))
),
"COMPLEMENTO",
IF(
OR(
LEFT(A139,2)="NB",
LEFT(A139,2)="PC",
LEFT(A139,2)="WS",
LEFT(A139,2)="TB",
LEFT(A139,3)="CEL",
LEFT(A139,3)="MON",
LEFT(A139,3)="PRE",
LEFT(A139,3)="PRH",
ISNUMBER(SEARCH("NOTEBOOK",B139)),
ISNUMBER(SEARCH("LAPTOP",B139)),
ISNUMBER(SEARCH("MONITOR",B139)),
ISNUMBER(SEARCH("TABLET",B139)),
ISNUMBER(SEARCH("SMARTPH",B139)),
ISNUMBER(SEARCH("IMPRESORA",B139)),
ISNUMBER(SEARCH("MULTIFUNCIONAL",B139)),
ISNUMBER(SEARCH("AIO",B139))
),
"GANCHO",
"NORMAL"
)
)</f>
        <v>NORMAL</v>
      </c>
    </row>
    <row r="138" spans="1:12" x14ac:dyDescent="0.25">
      <c r="A138" s="3" t="s">
        <v>907</v>
      </c>
      <c r="B138" s="3" t="s">
        <v>908</v>
      </c>
      <c r="C138" s="1">
        <v>20</v>
      </c>
      <c r="D138" s="1">
        <v>9.6999999999999993</v>
      </c>
      <c r="E138" s="1" t="s">
        <v>52</v>
      </c>
      <c r="F138" s="1" t="s">
        <v>3147</v>
      </c>
      <c r="G138" s="3" t="s">
        <v>909</v>
      </c>
      <c r="H138" s="11">
        <f>ROUND(
IF(L136="GANCHO",
   IF(I138&lt;=50,I138*1.1+4,IF(I138&lt;=120,I138*1.1+7,IF(I138&lt;=250,I138*1.1+11,I138*1.1+19))),
IF(L136="NORMAL",
   IF(I138&lt;=30,I138*1.15+2,IF(I138&lt;=80,I138*1.15+4,IF(I138&lt;=150,I138*1.15+6,I138*1.15+8))),
IF(L136="COMPLEMENTO",
   IF(I138&lt;=25,I138*1.25+1.5,IF(I138&lt;=60,I138*1.25+3,IF(I138&lt;=120,I138*1.25+4,I138*1.25+5))),
""))),2)</f>
        <v>49.81</v>
      </c>
      <c r="I138" s="9">
        <f>($K$2+0.02)*Tabla1[[#This Row],[PRECIO $]]*1.18</f>
        <v>39.832079999999998</v>
      </c>
      <c r="J138" s="7">
        <f>+Tabla1[[#This Row],[PRECIO EN SOLES]]-Tabla1[[#This Row],[PC]]</f>
        <v>9.9779200000000046</v>
      </c>
      <c r="K138" s="15"/>
      <c r="L138" s="15" t="str">
        <f>IF(
OR(
ISNUMBER(SEARCH("BACKPACK",B140)),
ISNUMBER(SEARCH("MOCHILA",B140)),
ISNUMBER(SEARCH("FUNDA",B140)),
ISNUMBER(SEARCH("ESTUCHE",B140)),
ISNUMBER(SEARCH("BOOK COVER",B140)),
ISNUMBER(SEARCH("KEYBOARD PARA TABLET",B140)),
ISNUMBER(SEARCH("FLIP TABLET",B140)),
ISNUMBER(SEARCH("CASE FOR TABLET",B140)),
ISNUMBER(SEARCH("CABLE",B140)),
ISNUMBER(SEARCH("ADAPTADOR",B140)),
ISNUMBER(SEARCH("HUB",B140)),
ISNUMBER(SEARCH("DOCK",B140)),
ISNUMBER(SEARCH("MOUSE PAD",B140)),
ISNUMBER(SEARCH("MOUSEPAD",B140)),
ISNUMBER(SEARCH("SOPORTE",B140)),
ISNUMBER(SEARCH("STAND",B140)),
ISNUMBER(SEARCH("TRAVEL ADAPTER",B140)),
ISNUMBER(SEARCH("RJ45",B140)),
ISNUMBER(SEARCH("USB-C",B140)),
ISNUMBER(SEARCH("USB WIFI",B140)),
ISNUMBER(SEARCH("POWERBANK",B140)),
ISNUMBER(SEARCH("CARGADOR",B140)),
ISNUMBER(SEARCH("COOLER PARA NB",B140)),
ISNUMBER(SEARCH("SOPORTE PARA NB",B140)),
ISNUMBER(SEARCH("WEBCAM",B140)),
ISNUMBER(SEARCH("WEB CAM",B140)),
ISNUMBER(SEARCH("MOUSE",B140)),
ISNUMBER(SEARCH("TECLADO",B140))
),
"COMPLEMENTO",
IF(
OR(
LEFT(A140,2)="NB",
LEFT(A140,2)="PC",
LEFT(A140,2)="WS",
LEFT(A140,2)="TB",
LEFT(A140,3)="CEL",
LEFT(A140,3)="MON",
LEFT(A140,3)="PRE",
LEFT(A140,3)="PRH",
ISNUMBER(SEARCH("NOTEBOOK",B140)),
ISNUMBER(SEARCH("LAPTOP",B140)),
ISNUMBER(SEARCH("MONITOR",B140)),
ISNUMBER(SEARCH("TABLET",B140)),
ISNUMBER(SEARCH("SMARTPH",B140)),
ISNUMBER(SEARCH("IMPRESORA",B140)),
ISNUMBER(SEARCH("MULTIFUNCIONAL",B140)),
ISNUMBER(SEARCH("AIO",B140))
),
"GANCHO",
"NORMAL"
)
)</f>
        <v>NORMAL</v>
      </c>
    </row>
    <row r="139" spans="1:12" x14ac:dyDescent="0.25">
      <c r="A139" s="3" t="s">
        <v>631</v>
      </c>
      <c r="B139" s="3" t="s">
        <v>632</v>
      </c>
      <c r="C139" s="1">
        <v>0</v>
      </c>
      <c r="D139" s="1">
        <v>999</v>
      </c>
      <c r="E139" s="1" t="s">
        <v>57</v>
      </c>
      <c r="F139" s="1" t="s">
        <v>3148</v>
      </c>
      <c r="G139" s="3"/>
      <c r="H139" s="11">
        <f>ROUND(
IF(L137="GANCHO",
   IF(I139&lt;=50,I139*1.1+4,IF(I139&lt;=120,I139*1.1+7,IF(I139&lt;=250,I139*1.1+11,I139*1.1+19))),
IF(L137="NORMAL",
   IF(I139&lt;=30,I139*1.15+2,IF(I139&lt;=80,I139*1.15+4,IF(I139&lt;=150,I139*1.15+6,I139*1.15+8))),
IF(L137="COMPLEMENTO",
   IF(I139&lt;=25,I139*1.25+1.5,IF(I139&lt;=60,I139*1.25+3,IF(I139&lt;=120,I139*1.25+4,I139*1.25+5))),
""))),2)</f>
        <v>4725.6400000000003</v>
      </c>
      <c r="I139" s="9">
        <f>($K$2+0.02)*Tabla1[[#This Row],[PRECIO $]]*1.18</f>
        <v>4102.2936</v>
      </c>
      <c r="J139" s="7">
        <f>+Tabla1[[#This Row],[PRECIO EN SOLES]]-Tabla1[[#This Row],[PC]]</f>
        <v>623.34640000000036</v>
      </c>
      <c r="K139" s="15"/>
      <c r="L139" s="15" t="str">
        <f>IF(
OR(
ISNUMBER(SEARCH("BACKPACK",B141)),
ISNUMBER(SEARCH("MOCHILA",B141)),
ISNUMBER(SEARCH("FUNDA",B141)),
ISNUMBER(SEARCH("ESTUCHE",B141)),
ISNUMBER(SEARCH("BOOK COVER",B141)),
ISNUMBER(SEARCH("KEYBOARD PARA TABLET",B141)),
ISNUMBER(SEARCH("FLIP TABLET",B141)),
ISNUMBER(SEARCH("CASE FOR TABLET",B141)),
ISNUMBER(SEARCH("CABLE",B141)),
ISNUMBER(SEARCH("ADAPTADOR",B141)),
ISNUMBER(SEARCH("HUB",B141)),
ISNUMBER(SEARCH("DOCK",B141)),
ISNUMBER(SEARCH("MOUSE PAD",B141)),
ISNUMBER(SEARCH("MOUSEPAD",B141)),
ISNUMBER(SEARCH("SOPORTE",B141)),
ISNUMBER(SEARCH("STAND",B141)),
ISNUMBER(SEARCH("TRAVEL ADAPTER",B141)),
ISNUMBER(SEARCH("RJ45",B141)),
ISNUMBER(SEARCH("USB-C",B141)),
ISNUMBER(SEARCH("USB WIFI",B141)),
ISNUMBER(SEARCH("POWERBANK",B141)),
ISNUMBER(SEARCH("CARGADOR",B141)),
ISNUMBER(SEARCH("COOLER PARA NB",B141)),
ISNUMBER(SEARCH("SOPORTE PARA NB",B141)),
ISNUMBER(SEARCH("WEBCAM",B141)),
ISNUMBER(SEARCH("WEB CAM",B141)),
ISNUMBER(SEARCH("MOUSE",B141)),
ISNUMBER(SEARCH("TECLADO",B141))
),
"COMPLEMENTO",
IF(
OR(
LEFT(A141,2)="NB",
LEFT(A141,2)="PC",
LEFT(A141,2)="WS",
LEFT(A141,2)="TB",
LEFT(A141,3)="CEL",
LEFT(A141,3)="MON",
LEFT(A141,3)="PRE",
LEFT(A141,3)="PRH",
ISNUMBER(SEARCH("NOTEBOOK",B141)),
ISNUMBER(SEARCH("LAPTOP",B141)),
ISNUMBER(SEARCH("MONITOR",B141)),
ISNUMBER(SEARCH("TABLET",B141)),
ISNUMBER(SEARCH("SMARTPH",B141)),
ISNUMBER(SEARCH("IMPRESORA",B141)),
ISNUMBER(SEARCH("MULTIFUNCIONAL",B141)),
ISNUMBER(SEARCH("AIO",B141))
),
"GANCHO",
"NORMAL"
)
)</f>
        <v>NORMAL</v>
      </c>
    </row>
    <row r="140" spans="1:12" x14ac:dyDescent="0.25">
      <c r="A140" s="3" t="s">
        <v>5716</v>
      </c>
      <c r="B140" s="3" t="s">
        <v>5717</v>
      </c>
      <c r="C140" s="1">
        <v>20</v>
      </c>
      <c r="D140" s="1">
        <v>51.5</v>
      </c>
      <c r="E140" s="1" t="s">
        <v>906</v>
      </c>
      <c r="F140" s="1" t="s">
        <v>5718</v>
      </c>
      <c r="G140" s="3" t="s">
        <v>5719</v>
      </c>
      <c r="H140" s="11">
        <f>ROUND(
IF(L138="GANCHO",
   IF(I140&lt;=50,I140*1.1+4,IF(I140&lt;=120,I140*1.1+7,IF(I140&lt;=250,I140*1.1+11,I140*1.1+19))),
IF(L138="NORMAL",
   IF(I140&lt;=30,I140*1.15+2,IF(I140&lt;=80,I140*1.15+4,IF(I140&lt;=150,I140*1.15+6,I140*1.15+8))),
IF(L138="COMPLEMENTO",
   IF(I140&lt;=25,I140*1.25+1.5,IF(I140&lt;=60,I140*1.25+3,IF(I140&lt;=120,I140*1.25+4,I140*1.25+5))),
""))),2)</f>
        <v>251.2</v>
      </c>
      <c r="I140" s="9">
        <f>($K$2+0.02)*Tabla1[[#This Row],[PRECIO $]]*1.18</f>
        <v>211.47959999999998</v>
      </c>
      <c r="J140" s="7">
        <f>+Tabla1[[#This Row],[PRECIO EN SOLES]]-Tabla1[[#This Row],[PC]]</f>
        <v>39.720400000000012</v>
      </c>
      <c r="K140" s="15"/>
      <c r="L140" s="15" t="str">
        <f>IF(
OR(
ISNUMBER(SEARCH("BACKPACK",B142)),
ISNUMBER(SEARCH("MOCHILA",B142)),
ISNUMBER(SEARCH("FUNDA",B142)),
ISNUMBER(SEARCH("ESTUCHE",B142)),
ISNUMBER(SEARCH("BOOK COVER",B142)),
ISNUMBER(SEARCH("KEYBOARD PARA TABLET",B142)),
ISNUMBER(SEARCH("FLIP TABLET",B142)),
ISNUMBER(SEARCH("CASE FOR TABLET",B142)),
ISNUMBER(SEARCH("CABLE",B142)),
ISNUMBER(SEARCH("ADAPTADOR",B142)),
ISNUMBER(SEARCH("HUB",B142)),
ISNUMBER(SEARCH("DOCK",B142)),
ISNUMBER(SEARCH("MOUSE PAD",B142)),
ISNUMBER(SEARCH("MOUSEPAD",B142)),
ISNUMBER(SEARCH("SOPORTE",B142)),
ISNUMBER(SEARCH("STAND",B142)),
ISNUMBER(SEARCH("TRAVEL ADAPTER",B142)),
ISNUMBER(SEARCH("RJ45",B142)),
ISNUMBER(SEARCH("USB-C",B142)),
ISNUMBER(SEARCH("USB WIFI",B142)),
ISNUMBER(SEARCH("POWERBANK",B142)),
ISNUMBER(SEARCH("CARGADOR",B142)),
ISNUMBER(SEARCH("COOLER PARA NB",B142)),
ISNUMBER(SEARCH("SOPORTE PARA NB",B142)),
ISNUMBER(SEARCH("WEBCAM",B142)),
ISNUMBER(SEARCH("WEB CAM",B142)),
ISNUMBER(SEARCH("MOUSE",B142)),
ISNUMBER(SEARCH("TECLADO",B142))
),
"COMPLEMENTO",
IF(
OR(
LEFT(A142,2)="NB",
LEFT(A142,2)="PC",
LEFT(A142,2)="WS",
LEFT(A142,2)="TB",
LEFT(A142,3)="CEL",
LEFT(A142,3)="MON",
LEFT(A142,3)="PRE",
LEFT(A142,3)="PRH",
ISNUMBER(SEARCH("NOTEBOOK",B142)),
ISNUMBER(SEARCH("LAPTOP",B142)),
ISNUMBER(SEARCH("MONITOR",B142)),
ISNUMBER(SEARCH("TABLET",B142)),
ISNUMBER(SEARCH("SMARTPH",B142)),
ISNUMBER(SEARCH("IMPRESORA",B142)),
ISNUMBER(SEARCH("MULTIFUNCIONAL",B142)),
ISNUMBER(SEARCH("AIO",B142))
),
"GANCHO",
"NORMAL"
)
)</f>
        <v>NORMAL</v>
      </c>
    </row>
    <row r="141" spans="1:12" x14ac:dyDescent="0.25">
      <c r="A141" s="3" t="s">
        <v>5720</v>
      </c>
      <c r="B141" s="3" t="s">
        <v>5721</v>
      </c>
      <c r="C141" s="1">
        <v>20</v>
      </c>
      <c r="D141" s="1">
        <v>44.8</v>
      </c>
      <c r="E141" s="1" t="s">
        <v>906</v>
      </c>
      <c r="F141" s="1" t="s">
        <v>5722</v>
      </c>
      <c r="G141" s="3" t="s">
        <v>5723</v>
      </c>
      <c r="H141" s="11">
        <f>ROUND(
IF(L139="GANCHO",
   IF(I141&lt;=50,I141*1.1+4,IF(I141&lt;=120,I141*1.1+7,IF(I141&lt;=250,I141*1.1+11,I141*1.1+19))),
IF(L139="NORMAL",
   IF(I141&lt;=30,I141*1.15+2,IF(I141&lt;=80,I141*1.15+4,IF(I141&lt;=150,I141*1.15+6,I141*1.15+8))),
IF(L139="COMPLEMENTO",
   IF(I141&lt;=25,I141*1.25+1.5,IF(I141&lt;=60,I141*1.25+3,IF(I141&lt;=120,I141*1.25+4,I141*1.25+5))),
""))),2)</f>
        <v>219.56</v>
      </c>
      <c r="I141" s="9">
        <f>($K$2+0.02)*Tabla1[[#This Row],[PRECIO $]]*1.18</f>
        <v>183.96671999999998</v>
      </c>
      <c r="J141" s="7">
        <f>+Tabla1[[#This Row],[PRECIO EN SOLES]]-Tabla1[[#This Row],[PC]]</f>
        <v>35.593280000000021</v>
      </c>
      <c r="K141" s="15"/>
      <c r="L141" s="15" t="str">
        <f>IF(
OR(
ISNUMBER(SEARCH("BACKPACK",B143)),
ISNUMBER(SEARCH("MOCHILA",B143)),
ISNUMBER(SEARCH("FUNDA",B143)),
ISNUMBER(SEARCH("ESTUCHE",B143)),
ISNUMBER(SEARCH("BOOK COVER",B143)),
ISNUMBER(SEARCH("KEYBOARD PARA TABLET",B143)),
ISNUMBER(SEARCH("FLIP TABLET",B143)),
ISNUMBER(SEARCH("CASE FOR TABLET",B143)),
ISNUMBER(SEARCH("CABLE",B143)),
ISNUMBER(SEARCH("ADAPTADOR",B143)),
ISNUMBER(SEARCH("HUB",B143)),
ISNUMBER(SEARCH("DOCK",B143)),
ISNUMBER(SEARCH("MOUSE PAD",B143)),
ISNUMBER(SEARCH("MOUSEPAD",B143)),
ISNUMBER(SEARCH("SOPORTE",B143)),
ISNUMBER(SEARCH("STAND",B143)),
ISNUMBER(SEARCH("TRAVEL ADAPTER",B143)),
ISNUMBER(SEARCH("RJ45",B143)),
ISNUMBER(SEARCH("USB-C",B143)),
ISNUMBER(SEARCH("USB WIFI",B143)),
ISNUMBER(SEARCH("POWERBANK",B143)),
ISNUMBER(SEARCH("CARGADOR",B143)),
ISNUMBER(SEARCH("COOLER PARA NB",B143)),
ISNUMBER(SEARCH("SOPORTE PARA NB",B143)),
ISNUMBER(SEARCH("WEBCAM",B143)),
ISNUMBER(SEARCH("WEB CAM",B143)),
ISNUMBER(SEARCH("MOUSE",B143)),
ISNUMBER(SEARCH("TECLADO",B143))
),
"COMPLEMENTO",
IF(
OR(
LEFT(A143,2)="NB",
LEFT(A143,2)="PC",
LEFT(A143,2)="WS",
LEFT(A143,2)="TB",
LEFT(A143,3)="CEL",
LEFT(A143,3)="MON",
LEFT(A143,3)="PRE",
LEFT(A143,3)="PRH",
ISNUMBER(SEARCH("NOTEBOOK",B143)),
ISNUMBER(SEARCH("LAPTOP",B143)),
ISNUMBER(SEARCH("MONITOR",B143)),
ISNUMBER(SEARCH("TABLET",B143)),
ISNUMBER(SEARCH("SMARTPH",B143)),
ISNUMBER(SEARCH("IMPRESORA",B143)),
ISNUMBER(SEARCH("MULTIFUNCIONAL",B143)),
ISNUMBER(SEARCH("AIO",B143))
),
"GANCHO",
"NORMAL"
)
)</f>
        <v>NORMAL</v>
      </c>
    </row>
    <row r="142" spans="1:12" x14ac:dyDescent="0.25">
      <c r="A142" s="3" t="s">
        <v>5724</v>
      </c>
      <c r="B142" s="3" t="s">
        <v>5725</v>
      </c>
      <c r="C142" s="1">
        <v>0</v>
      </c>
      <c r="D142" s="1">
        <v>55.5</v>
      </c>
      <c r="E142" s="1" t="s">
        <v>906</v>
      </c>
      <c r="F142" s="1" t="s">
        <v>5726</v>
      </c>
      <c r="G142" s="3" t="s">
        <v>5727</v>
      </c>
      <c r="H142" s="11">
        <f>ROUND(
IF(L140="GANCHO",
   IF(I142&lt;=50,I142*1.1+4,IF(I142&lt;=120,I142*1.1+7,IF(I142&lt;=250,I142*1.1+11,I142*1.1+19))),
IF(L140="NORMAL",
   IF(I142&lt;=30,I142*1.15+2,IF(I142&lt;=80,I142*1.15+4,IF(I142&lt;=150,I142*1.15+6,I142*1.15+8))),
IF(L140="COMPLEMENTO",
   IF(I142&lt;=25,I142*1.25+1.5,IF(I142&lt;=60,I142*1.25+3,IF(I142&lt;=120,I142*1.25+4,I142*1.25+5))),
""))),2)</f>
        <v>270.08999999999997</v>
      </c>
      <c r="I142" s="9">
        <f>($K$2+0.02)*Tabla1[[#This Row],[PRECIO $]]*1.18</f>
        <v>227.90519999999998</v>
      </c>
      <c r="J142" s="7">
        <f>+Tabla1[[#This Row],[PRECIO EN SOLES]]-Tabla1[[#This Row],[PC]]</f>
        <v>42.184799999999996</v>
      </c>
      <c r="K142" s="15"/>
      <c r="L142" s="15" t="str">
        <f>IF(
OR(
ISNUMBER(SEARCH("BACKPACK",B144)),
ISNUMBER(SEARCH("MOCHILA",B144)),
ISNUMBER(SEARCH("FUNDA",B144)),
ISNUMBER(SEARCH("ESTUCHE",B144)),
ISNUMBER(SEARCH("BOOK COVER",B144)),
ISNUMBER(SEARCH("KEYBOARD PARA TABLET",B144)),
ISNUMBER(SEARCH("FLIP TABLET",B144)),
ISNUMBER(SEARCH("CASE FOR TABLET",B144)),
ISNUMBER(SEARCH("CABLE",B144)),
ISNUMBER(SEARCH("ADAPTADOR",B144)),
ISNUMBER(SEARCH("HUB",B144)),
ISNUMBER(SEARCH("DOCK",B144)),
ISNUMBER(SEARCH("MOUSE PAD",B144)),
ISNUMBER(SEARCH("MOUSEPAD",B144)),
ISNUMBER(SEARCH("SOPORTE",B144)),
ISNUMBER(SEARCH("STAND",B144)),
ISNUMBER(SEARCH("TRAVEL ADAPTER",B144)),
ISNUMBER(SEARCH("RJ45",B144)),
ISNUMBER(SEARCH("USB-C",B144)),
ISNUMBER(SEARCH("USB WIFI",B144)),
ISNUMBER(SEARCH("POWERBANK",B144)),
ISNUMBER(SEARCH("CARGADOR",B144)),
ISNUMBER(SEARCH("COOLER PARA NB",B144)),
ISNUMBER(SEARCH("SOPORTE PARA NB",B144)),
ISNUMBER(SEARCH("WEBCAM",B144)),
ISNUMBER(SEARCH("WEB CAM",B144)),
ISNUMBER(SEARCH("MOUSE",B144)),
ISNUMBER(SEARCH("TECLADO",B144))
),
"COMPLEMENTO",
IF(
OR(
LEFT(A144,2)="NB",
LEFT(A144,2)="PC",
LEFT(A144,2)="WS",
LEFT(A144,2)="TB",
LEFT(A144,3)="CEL",
LEFT(A144,3)="MON",
LEFT(A144,3)="PRE",
LEFT(A144,3)="PRH",
ISNUMBER(SEARCH("NOTEBOOK",B144)),
ISNUMBER(SEARCH("LAPTOP",B144)),
ISNUMBER(SEARCH("MONITOR",B144)),
ISNUMBER(SEARCH("TABLET",B144)),
ISNUMBER(SEARCH("SMARTPH",B144)),
ISNUMBER(SEARCH("IMPRESORA",B144)),
ISNUMBER(SEARCH("MULTIFUNCIONAL",B144)),
ISNUMBER(SEARCH("AIO",B144))
),
"GANCHO",
"NORMAL"
)
)</f>
        <v>NORMAL</v>
      </c>
    </row>
    <row r="143" spans="1:12" x14ac:dyDescent="0.25">
      <c r="A143" s="3" t="s">
        <v>5728</v>
      </c>
      <c r="B143" s="3" t="s">
        <v>5729</v>
      </c>
      <c r="C143" s="1">
        <v>20</v>
      </c>
      <c r="D143" s="1">
        <v>71.7</v>
      </c>
      <c r="E143" s="1" t="s">
        <v>906</v>
      </c>
      <c r="F143" s="1" t="s">
        <v>5730</v>
      </c>
      <c r="G143" s="3" t="s">
        <v>5731</v>
      </c>
      <c r="H143" s="11">
        <f>ROUND(
IF(L141="GANCHO",
   IF(I143&lt;=50,I143*1.1+4,IF(I143&lt;=120,I143*1.1+7,IF(I143&lt;=250,I143*1.1+11,I143*1.1+19))),
IF(L141="NORMAL",
   IF(I143&lt;=30,I143*1.15+2,IF(I143&lt;=80,I143*1.15+4,IF(I143&lt;=150,I143*1.15+6,I143*1.15+8))),
IF(L141="COMPLEMENTO",
   IF(I143&lt;=25,I143*1.25+1.5,IF(I143&lt;=60,I143*1.25+3,IF(I143&lt;=120,I143*1.25+4,I143*1.25+5))),
""))),2)</f>
        <v>346.59</v>
      </c>
      <c r="I143" s="9">
        <f>($K$2+0.02)*Tabla1[[#This Row],[PRECIO $]]*1.18</f>
        <v>294.42887999999999</v>
      </c>
      <c r="J143" s="7">
        <f>+Tabla1[[#This Row],[PRECIO EN SOLES]]-Tabla1[[#This Row],[PC]]</f>
        <v>52.161119999999983</v>
      </c>
      <c r="K143" s="15"/>
      <c r="L143" s="15" t="str">
        <f>IF(
OR(
ISNUMBER(SEARCH("BACKPACK",B145)),
ISNUMBER(SEARCH("MOCHILA",B145)),
ISNUMBER(SEARCH("FUNDA",B145)),
ISNUMBER(SEARCH("ESTUCHE",B145)),
ISNUMBER(SEARCH("BOOK COVER",B145)),
ISNUMBER(SEARCH("KEYBOARD PARA TABLET",B145)),
ISNUMBER(SEARCH("FLIP TABLET",B145)),
ISNUMBER(SEARCH("CASE FOR TABLET",B145)),
ISNUMBER(SEARCH("CABLE",B145)),
ISNUMBER(SEARCH("ADAPTADOR",B145)),
ISNUMBER(SEARCH("HUB",B145)),
ISNUMBER(SEARCH("DOCK",B145)),
ISNUMBER(SEARCH("MOUSE PAD",B145)),
ISNUMBER(SEARCH("MOUSEPAD",B145)),
ISNUMBER(SEARCH("SOPORTE",B145)),
ISNUMBER(SEARCH("STAND",B145)),
ISNUMBER(SEARCH("TRAVEL ADAPTER",B145)),
ISNUMBER(SEARCH("RJ45",B145)),
ISNUMBER(SEARCH("USB-C",B145)),
ISNUMBER(SEARCH("USB WIFI",B145)),
ISNUMBER(SEARCH("POWERBANK",B145)),
ISNUMBER(SEARCH("CARGADOR",B145)),
ISNUMBER(SEARCH("COOLER PARA NB",B145)),
ISNUMBER(SEARCH("SOPORTE PARA NB",B145)),
ISNUMBER(SEARCH("WEBCAM",B145)),
ISNUMBER(SEARCH("WEB CAM",B145)),
ISNUMBER(SEARCH("MOUSE",B145)),
ISNUMBER(SEARCH("TECLADO",B145))
),
"COMPLEMENTO",
IF(
OR(
LEFT(A145,2)="NB",
LEFT(A145,2)="PC",
LEFT(A145,2)="WS",
LEFT(A145,2)="TB",
LEFT(A145,3)="CEL",
LEFT(A145,3)="MON",
LEFT(A145,3)="PRE",
LEFT(A145,3)="PRH",
ISNUMBER(SEARCH("NOTEBOOK",B145)),
ISNUMBER(SEARCH("LAPTOP",B145)),
ISNUMBER(SEARCH("MONITOR",B145)),
ISNUMBER(SEARCH("TABLET",B145)),
ISNUMBER(SEARCH("SMARTPH",B145)),
ISNUMBER(SEARCH("IMPRESORA",B145)),
ISNUMBER(SEARCH("MULTIFUNCIONAL",B145)),
ISNUMBER(SEARCH("AIO",B145))
),
"GANCHO",
"NORMAL"
)
)</f>
        <v>NORMAL</v>
      </c>
    </row>
    <row r="144" spans="1:12" x14ac:dyDescent="0.25">
      <c r="A144" s="3" t="s">
        <v>5732</v>
      </c>
      <c r="B144" s="3" t="s">
        <v>5733</v>
      </c>
      <c r="C144" s="1">
        <v>9</v>
      </c>
      <c r="D144" s="1">
        <v>139.75</v>
      </c>
      <c r="E144" s="1" t="s">
        <v>906</v>
      </c>
      <c r="F144" s="1" t="s">
        <v>5734</v>
      </c>
      <c r="G144" s="3" t="s">
        <v>5735</v>
      </c>
      <c r="H144" s="11">
        <f>ROUND(
IF(L142="GANCHO",
   IF(I144&lt;=50,I144*1.1+4,IF(I144&lt;=120,I144*1.1+7,IF(I144&lt;=250,I144*1.1+11,I144*1.1+19))),
IF(L142="NORMAL",
   IF(I144&lt;=30,I144*1.15+2,IF(I144&lt;=80,I144*1.15+4,IF(I144&lt;=150,I144*1.15+6,I144*1.15+8))),
IF(L142="COMPLEMENTO",
   IF(I144&lt;=25,I144*1.25+1.5,IF(I144&lt;=60,I144*1.25+3,IF(I144&lt;=120,I144*1.25+4,I144*1.25+5))),
""))),2)</f>
        <v>667.95</v>
      </c>
      <c r="I144" s="9">
        <f>($K$2+0.02)*Tabla1[[#This Row],[PRECIO $]]*1.18</f>
        <v>573.86939999999993</v>
      </c>
      <c r="J144" s="7">
        <f>+Tabla1[[#This Row],[PRECIO EN SOLES]]-Tabla1[[#This Row],[PC]]</f>
        <v>94.080600000000118</v>
      </c>
      <c r="K144" s="15"/>
      <c r="L144" s="15" t="str">
        <f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5" spans="1:12" x14ac:dyDescent="0.25">
      <c r="A145" s="3" t="s">
        <v>5736</v>
      </c>
      <c r="B145" s="3" t="s">
        <v>5737</v>
      </c>
      <c r="C145" s="1">
        <v>7</v>
      </c>
      <c r="D145" s="1">
        <v>154.6</v>
      </c>
      <c r="E145" s="1" t="s">
        <v>906</v>
      </c>
      <c r="F145" s="1" t="s">
        <v>5738</v>
      </c>
      <c r="G145" s="3" t="s">
        <v>5739</v>
      </c>
      <c r="H145" s="11">
        <f>ROUND(
IF(L143="GANCHO",
   IF(I145&lt;=50,I145*1.1+4,IF(I145&lt;=120,I145*1.1+7,IF(I145&lt;=250,I145*1.1+11,I145*1.1+19))),
IF(L143="NORMAL",
   IF(I145&lt;=30,I145*1.15+2,IF(I145&lt;=80,I145*1.15+4,IF(I145&lt;=150,I145*1.15+6,I145*1.15+8))),
IF(L143="COMPLEMENTO",
   IF(I145&lt;=25,I145*1.25+1.5,IF(I145&lt;=60,I145*1.25+3,IF(I145&lt;=120,I145*1.25+4,I145*1.25+5))),
""))),2)</f>
        <v>738.08</v>
      </c>
      <c r="I145" s="9">
        <f>($K$2+0.02)*Tabla1[[#This Row],[PRECIO $]]*1.18</f>
        <v>634.84943999999984</v>
      </c>
      <c r="J145" s="7">
        <f>+Tabla1[[#This Row],[PRECIO EN SOLES]]-Tabla1[[#This Row],[PC]]</f>
        <v>103.2305600000002</v>
      </c>
      <c r="K145" s="15"/>
      <c r="L145" s="15" t="str">
        <f>IF(
OR(
ISNUMBER(SEARCH("BACKPACK",B147)),
ISNUMBER(SEARCH("MOCHILA",B147)),
ISNUMBER(SEARCH("FUNDA",B147)),
ISNUMBER(SEARCH("ESTUCHE",B147)),
ISNUMBER(SEARCH("BOOK COVER",B147)),
ISNUMBER(SEARCH("KEYBOARD PARA TABLET",B147)),
ISNUMBER(SEARCH("FLIP TABLET",B147)),
ISNUMBER(SEARCH("CASE FOR TABLET",B147)),
ISNUMBER(SEARCH("CABLE",B147)),
ISNUMBER(SEARCH("ADAPTADOR",B147)),
ISNUMBER(SEARCH("HUB",B147)),
ISNUMBER(SEARCH("DOCK",B147)),
ISNUMBER(SEARCH("MOUSE PAD",B147)),
ISNUMBER(SEARCH("MOUSEPAD",B147)),
ISNUMBER(SEARCH("SOPORTE",B147)),
ISNUMBER(SEARCH("STAND",B147)),
ISNUMBER(SEARCH("TRAVEL ADAPTER",B147)),
ISNUMBER(SEARCH("RJ45",B147)),
ISNUMBER(SEARCH("USB-C",B147)),
ISNUMBER(SEARCH("USB WIFI",B147)),
ISNUMBER(SEARCH("POWERBANK",B147)),
ISNUMBER(SEARCH("CARGADOR",B147)),
ISNUMBER(SEARCH("COOLER PARA NB",B147)),
ISNUMBER(SEARCH("SOPORTE PARA NB",B147)),
ISNUMBER(SEARCH("WEBCAM",B147)),
ISNUMBER(SEARCH("WEB CAM",B147)),
ISNUMBER(SEARCH("MOUSE",B147)),
ISNUMBER(SEARCH("TECLADO",B147))
),
"COMPLEMENTO",
IF(
OR(
LEFT(A147,2)="NB",
LEFT(A147,2)="PC",
LEFT(A147,2)="WS",
LEFT(A147,2)="TB",
LEFT(A147,3)="CEL",
LEFT(A147,3)="MON",
LEFT(A147,3)="PRE",
LEFT(A147,3)="PRH",
ISNUMBER(SEARCH("NOTEBOOK",B147)),
ISNUMBER(SEARCH("LAPTOP",B147)),
ISNUMBER(SEARCH("MONITOR",B147)),
ISNUMBER(SEARCH("TABLET",B147)),
ISNUMBER(SEARCH("SMARTPH",B147)),
ISNUMBER(SEARCH("IMPRESORA",B147)),
ISNUMBER(SEARCH("MULTIFUNCIONAL",B147)),
ISNUMBER(SEARCH("AIO",B147))
),
"GANCHO",
"NORMAL"
)
)</f>
        <v>NORMAL</v>
      </c>
    </row>
    <row r="146" spans="1:12" x14ac:dyDescent="0.25">
      <c r="A146" s="3" t="s">
        <v>5740</v>
      </c>
      <c r="B146" s="3" t="s">
        <v>5741</v>
      </c>
      <c r="C146" s="1">
        <v>0</v>
      </c>
      <c r="D146" s="1">
        <v>80.7</v>
      </c>
      <c r="E146" s="1" t="s">
        <v>906</v>
      </c>
      <c r="F146" s="1" t="s">
        <v>5742</v>
      </c>
      <c r="G146" s="3" t="s">
        <v>5743</v>
      </c>
      <c r="H146" s="11">
        <f>ROUND(
IF(L144="GANCHO",
   IF(I146&lt;=50,I146*1.1+4,IF(I146&lt;=120,I146*1.1+7,IF(I146&lt;=250,I146*1.1+11,I146*1.1+19))),
IF(L144="NORMAL",
   IF(I146&lt;=30,I146*1.15+2,IF(I146&lt;=80,I146*1.15+4,IF(I146&lt;=150,I146*1.15+6,I146*1.15+8))),
IF(L144="COMPLEMENTO",
   IF(I146&lt;=25,I146*1.25+1.5,IF(I146&lt;=60,I146*1.25+3,IF(I146&lt;=120,I146*1.25+4,I146*1.25+5))),
""))),2)</f>
        <v>389.09</v>
      </c>
      <c r="I146" s="9">
        <f>($K$2+0.02)*Tabla1[[#This Row],[PRECIO $]]*1.18</f>
        <v>331.38648000000001</v>
      </c>
      <c r="J146" s="7">
        <f>+Tabla1[[#This Row],[PRECIO EN SOLES]]-Tabla1[[#This Row],[PC]]</f>
        <v>57.703519999999969</v>
      </c>
      <c r="K146" s="15"/>
      <c r="L146" s="15" t="str">
        <f>IF(
OR(
ISNUMBER(SEARCH("BACKPACK",B148)),
ISNUMBER(SEARCH("MOCHILA",B148)),
ISNUMBER(SEARCH("FUNDA",B148)),
ISNUMBER(SEARCH("ESTUCHE",B148)),
ISNUMBER(SEARCH("BOOK COVER",B148)),
ISNUMBER(SEARCH("KEYBOARD PARA TABLET",B148)),
ISNUMBER(SEARCH("FLIP TABLET",B148)),
ISNUMBER(SEARCH("CASE FOR TABLET",B148)),
ISNUMBER(SEARCH("CABLE",B148)),
ISNUMBER(SEARCH("ADAPTADOR",B148)),
ISNUMBER(SEARCH("HUB",B148)),
ISNUMBER(SEARCH("DOCK",B148)),
ISNUMBER(SEARCH("MOUSE PAD",B148)),
ISNUMBER(SEARCH("MOUSEPAD",B148)),
ISNUMBER(SEARCH("SOPORTE",B148)),
ISNUMBER(SEARCH("STAND",B148)),
ISNUMBER(SEARCH("TRAVEL ADAPTER",B148)),
ISNUMBER(SEARCH("RJ45",B148)),
ISNUMBER(SEARCH("USB-C",B148)),
ISNUMBER(SEARCH("USB WIFI",B148)),
ISNUMBER(SEARCH("POWERBANK",B148)),
ISNUMBER(SEARCH("CARGADOR",B148)),
ISNUMBER(SEARCH("COOLER PARA NB",B148)),
ISNUMBER(SEARCH("SOPORTE PARA NB",B148)),
ISNUMBER(SEARCH("WEBCAM",B148)),
ISNUMBER(SEARCH("WEB CAM",B148)),
ISNUMBER(SEARCH("MOUSE",B148)),
ISNUMBER(SEARCH("TECLADO",B148))
),
"COMPLEMENTO",
IF(
OR(
LEFT(A148,2)="NB",
LEFT(A148,2)="PC",
LEFT(A148,2)="WS",
LEFT(A148,2)="TB",
LEFT(A148,3)="CEL",
LEFT(A148,3)="MON",
LEFT(A148,3)="PRE",
LEFT(A148,3)="PRH",
ISNUMBER(SEARCH("NOTEBOOK",B148)),
ISNUMBER(SEARCH("LAPTOP",B148)),
ISNUMBER(SEARCH("MONITOR",B148)),
ISNUMBER(SEARCH("TABLET",B148)),
ISNUMBER(SEARCH("SMARTPH",B148)),
ISNUMBER(SEARCH("IMPRESORA",B148)),
ISNUMBER(SEARCH("MULTIFUNCIONAL",B148)),
ISNUMBER(SEARCH("AIO",B148))
),
"GANCHO",
"NORMAL"
)
)</f>
        <v>NORMAL</v>
      </c>
    </row>
    <row r="147" spans="1:12" x14ac:dyDescent="0.25">
      <c r="A147" s="3" t="s">
        <v>5744</v>
      </c>
      <c r="B147" s="3" t="s">
        <v>5745</v>
      </c>
      <c r="C147" s="1">
        <v>12</v>
      </c>
      <c r="D147" s="1">
        <v>105.3</v>
      </c>
      <c r="E147" s="1" t="s">
        <v>906</v>
      </c>
      <c r="F147" s="1" t="s">
        <v>5746</v>
      </c>
      <c r="G147" s="3" t="s">
        <v>5747</v>
      </c>
      <c r="H147" s="11">
        <f>ROUND(
IF(L145="GANCHO",
   IF(I147&lt;=50,I147*1.1+4,IF(I147&lt;=120,I147*1.1+7,IF(I147&lt;=250,I147*1.1+11,I147*1.1+19))),
IF(L145="NORMAL",
   IF(I147&lt;=30,I147*1.15+2,IF(I147&lt;=80,I147*1.15+4,IF(I147&lt;=150,I147*1.15+6,I147*1.15+8))),
IF(L145="COMPLEMENTO",
   IF(I147&lt;=25,I147*1.25+1.5,IF(I147&lt;=60,I147*1.25+3,IF(I147&lt;=120,I147*1.25+4,I147*1.25+5))),
""))),2)</f>
        <v>505.26</v>
      </c>
      <c r="I147" s="9">
        <f>($K$2+0.02)*Tabla1[[#This Row],[PRECIO $]]*1.18</f>
        <v>432.40391999999991</v>
      </c>
      <c r="J147" s="7">
        <f>+Tabla1[[#This Row],[PRECIO EN SOLES]]-Tabla1[[#This Row],[PC]]</f>
        <v>72.856080000000077</v>
      </c>
      <c r="K147" s="15"/>
      <c r="L147" s="15" t="str">
        <f>IF(
OR(
ISNUMBER(SEARCH("BACKPACK",B149)),
ISNUMBER(SEARCH("MOCHILA",B149)),
ISNUMBER(SEARCH("FUNDA",B149)),
ISNUMBER(SEARCH("ESTUCHE",B149)),
ISNUMBER(SEARCH("BOOK COVER",B149)),
ISNUMBER(SEARCH("KEYBOARD PARA TABLET",B149)),
ISNUMBER(SEARCH("FLIP TABLET",B149)),
ISNUMBER(SEARCH("CASE FOR TABLET",B149)),
ISNUMBER(SEARCH("CABLE",B149)),
ISNUMBER(SEARCH("ADAPTADOR",B149)),
ISNUMBER(SEARCH("HUB",B149)),
ISNUMBER(SEARCH("DOCK",B149)),
ISNUMBER(SEARCH("MOUSE PAD",B149)),
ISNUMBER(SEARCH("MOUSEPAD",B149)),
ISNUMBER(SEARCH("SOPORTE",B149)),
ISNUMBER(SEARCH("STAND",B149)),
ISNUMBER(SEARCH("TRAVEL ADAPTER",B149)),
ISNUMBER(SEARCH("RJ45",B149)),
ISNUMBER(SEARCH("USB-C",B149)),
ISNUMBER(SEARCH("USB WIFI",B149)),
ISNUMBER(SEARCH("POWERBANK",B149)),
ISNUMBER(SEARCH("CARGADOR",B149)),
ISNUMBER(SEARCH("COOLER PARA NB",B149)),
ISNUMBER(SEARCH("SOPORTE PARA NB",B149)),
ISNUMBER(SEARCH("WEBCAM",B149)),
ISNUMBER(SEARCH("WEB CAM",B149)),
ISNUMBER(SEARCH("MOUSE",B149)),
ISNUMBER(SEARCH("TECLADO",B149))
),
"COMPLEMENTO",
IF(
OR(
LEFT(A149,2)="NB",
LEFT(A149,2)="PC",
LEFT(A149,2)="WS",
LEFT(A149,2)="TB",
LEFT(A149,3)="CEL",
LEFT(A149,3)="MON",
LEFT(A149,3)="PRE",
LEFT(A149,3)="PRH",
ISNUMBER(SEARCH("NOTEBOOK",B149)),
ISNUMBER(SEARCH("LAPTOP",B149)),
ISNUMBER(SEARCH("MONITOR",B149)),
ISNUMBER(SEARCH("TABLET",B149)),
ISNUMBER(SEARCH("SMARTPH",B149)),
ISNUMBER(SEARCH("IMPRESORA",B149)),
ISNUMBER(SEARCH("MULTIFUNCIONAL",B149)),
ISNUMBER(SEARCH("AIO",B149))
),
"GANCHO",
"NORMAL"
)
)</f>
        <v>NORMAL</v>
      </c>
    </row>
    <row r="148" spans="1:12" x14ac:dyDescent="0.25">
      <c r="A148" s="3" t="s">
        <v>5748</v>
      </c>
      <c r="B148" s="3" t="s">
        <v>5749</v>
      </c>
      <c r="C148" s="1">
        <v>0</v>
      </c>
      <c r="D148" s="1">
        <v>35.25</v>
      </c>
      <c r="E148" s="1" t="s">
        <v>906</v>
      </c>
      <c r="F148" s="1" t="s">
        <v>5750</v>
      </c>
      <c r="G148" s="3" t="s">
        <v>5719</v>
      </c>
      <c r="H148" s="11">
        <f>ROUND(
IF(L146="GANCHO",
   IF(I148&lt;=50,I148*1.1+4,IF(I148&lt;=120,I148*1.1+7,IF(I148&lt;=250,I148*1.1+11,I148*1.1+19))),
IF(L146="NORMAL",
   IF(I148&lt;=30,I148*1.15+2,IF(I148&lt;=80,I148*1.15+4,IF(I148&lt;=150,I148*1.15+6,I148*1.15+8))),
IF(L146="COMPLEMENTO",
   IF(I148&lt;=25,I148*1.25+1.5,IF(I148&lt;=60,I148*1.25+3,IF(I148&lt;=120,I148*1.25+4,I148*1.25+5))),
""))),2)</f>
        <v>172.46</v>
      </c>
      <c r="I148" s="9">
        <f>($K$2+0.02)*Tabla1[[#This Row],[PRECIO $]]*1.18</f>
        <v>144.75059999999999</v>
      </c>
      <c r="J148" s="7">
        <f>+Tabla1[[#This Row],[PRECIO EN SOLES]]-Tabla1[[#This Row],[PC]]</f>
        <v>27.709400000000016</v>
      </c>
      <c r="K148" s="15"/>
      <c r="L148" s="15" t="str">
        <f>IF(
OR(
ISNUMBER(SEARCH("BACKPACK",B150)),
ISNUMBER(SEARCH("MOCHILA",B150)),
ISNUMBER(SEARCH("FUNDA",B150)),
ISNUMBER(SEARCH("ESTUCHE",B150)),
ISNUMBER(SEARCH("BOOK COVER",B150)),
ISNUMBER(SEARCH("KEYBOARD PARA TABLET",B150)),
ISNUMBER(SEARCH("FLIP TABLET",B150)),
ISNUMBER(SEARCH("CASE FOR TABLET",B150)),
ISNUMBER(SEARCH("CABLE",B150)),
ISNUMBER(SEARCH("ADAPTADOR",B150)),
ISNUMBER(SEARCH("HUB",B150)),
ISNUMBER(SEARCH("DOCK",B150)),
ISNUMBER(SEARCH("MOUSE PAD",B150)),
ISNUMBER(SEARCH("MOUSEPAD",B150)),
ISNUMBER(SEARCH("SOPORTE",B150)),
ISNUMBER(SEARCH("STAND",B150)),
ISNUMBER(SEARCH("TRAVEL ADAPTER",B150)),
ISNUMBER(SEARCH("RJ45",B150)),
ISNUMBER(SEARCH("USB-C",B150)),
ISNUMBER(SEARCH("USB WIFI",B150)),
ISNUMBER(SEARCH("POWERBANK",B150)),
ISNUMBER(SEARCH("CARGADOR",B150)),
ISNUMBER(SEARCH("COOLER PARA NB",B150)),
ISNUMBER(SEARCH("SOPORTE PARA NB",B150)),
ISNUMBER(SEARCH("WEBCAM",B150)),
ISNUMBER(SEARCH("WEB CAM",B150)),
ISNUMBER(SEARCH("MOUSE",B150)),
ISNUMBER(SEARCH("TECLADO",B150))
),
"COMPLEMENTO",
IF(
OR(
LEFT(A150,2)="NB",
LEFT(A150,2)="PC",
LEFT(A150,2)="WS",
LEFT(A150,2)="TB",
LEFT(A150,3)="CEL",
LEFT(A150,3)="MON",
LEFT(A150,3)="PRE",
LEFT(A150,3)="PRH",
ISNUMBER(SEARCH("NOTEBOOK",B150)),
ISNUMBER(SEARCH("LAPTOP",B150)),
ISNUMBER(SEARCH("MONITOR",B150)),
ISNUMBER(SEARCH("TABLET",B150)),
ISNUMBER(SEARCH("SMARTPH",B150)),
ISNUMBER(SEARCH("IMPRESORA",B150)),
ISNUMBER(SEARCH("MULTIFUNCIONAL",B150)),
ISNUMBER(SEARCH("AIO",B150))
),
"GANCHO",
"NORMAL"
)
)</f>
        <v>NORMAL</v>
      </c>
    </row>
    <row r="149" spans="1:12" x14ac:dyDescent="0.25">
      <c r="A149" s="3" t="s">
        <v>5751</v>
      </c>
      <c r="B149" s="3" t="s">
        <v>5752</v>
      </c>
      <c r="C149" s="1">
        <v>16</v>
      </c>
      <c r="D149" s="1">
        <v>95.2</v>
      </c>
      <c r="E149" s="1" t="s">
        <v>906</v>
      </c>
      <c r="F149" s="1" t="s">
        <v>5753</v>
      </c>
      <c r="G149" s="3" t="s">
        <v>5754</v>
      </c>
      <c r="H149" s="11">
        <f>ROUND(
IF(L147="GANCHO",
   IF(I149&lt;=50,I149*1.1+4,IF(I149&lt;=120,I149*1.1+7,IF(I149&lt;=250,I149*1.1+11,I149*1.1+19))),
IF(L147="NORMAL",
   IF(I149&lt;=30,I149*1.15+2,IF(I149&lt;=80,I149*1.15+4,IF(I149&lt;=150,I149*1.15+6,I149*1.15+8))),
IF(L147="COMPLEMENTO",
   IF(I149&lt;=25,I149*1.25+1.5,IF(I149&lt;=60,I149*1.25+3,IF(I149&lt;=120,I149*1.25+4,I149*1.25+5))),
""))),2)</f>
        <v>457.57</v>
      </c>
      <c r="I149" s="9">
        <f>($K$2+0.02)*Tabla1[[#This Row],[PRECIO $]]*1.18</f>
        <v>390.92927999999995</v>
      </c>
      <c r="J149" s="7">
        <f>+Tabla1[[#This Row],[PRECIO EN SOLES]]-Tabla1[[#This Row],[PC]]</f>
        <v>66.640720000000044</v>
      </c>
      <c r="K149" s="15"/>
      <c r="L149" s="15" t="str">
        <f>IF(
OR(
ISNUMBER(SEARCH("BACKPACK",B151)),
ISNUMBER(SEARCH("MOCHILA",B151)),
ISNUMBER(SEARCH("FUNDA",B151)),
ISNUMBER(SEARCH("ESTUCHE",B151)),
ISNUMBER(SEARCH("BOOK COVER",B151)),
ISNUMBER(SEARCH("KEYBOARD PARA TABLET",B151)),
ISNUMBER(SEARCH("FLIP TABLET",B151)),
ISNUMBER(SEARCH("CASE FOR TABLET",B151)),
ISNUMBER(SEARCH("CABLE",B151)),
ISNUMBER(SEARCH("ADAPTADOR",B151)),
ISNUMBER(SEARCH("HUB",B151)),
ISNUMBER(SEARCH("DOCK",B151)),
ISNUMBER(SEARCH("MOUSE PAD",B151)),
ISNUMBER(SEARCH("MOUSEPAD",B151)),
ISNUMBER(SEARCH("SOPORTE",B151)),
ISNUMBER(SEARCH("STAND",B151)),
ISNUMBER(SEARCH("TRAVEL ADAPTER",B151)),
ISNUMBER(SEARCH("RJ45",B151)),
ISNUMBER(SEARCH("USB-C",B151)),
ISNUMBER(SEARCH("USB WIFI",B151)),
ISNUMBER(SEARCH("POWERBANK",B151)),
ISNUMBER(SEARCH("CARGADOR",B151)),
ISNUMBER(SEARCH("COOLER PARA NB",B151)),
ISNUMBER(SEARCH("SOPORTE PARA NB",B151)),
ISNUMBER(SEARCH("WEBCAM",B151)),
ISNUMBER(SEARCH("WEB CAM",B151)),
ISNUMBER(SEARCH("MOUSE",B151)),
ISNUMBER(SEARCH("TECLADO",B151))
),
"COMPLEMENTO",
IF(
OR(
LEFT(A151,2)="NB",
LEFT(A151,2)="PC",
LEFT(A151,2)="WS",
LEFT(A151,2)="TB",
LEFT(A151,3)="CEL",
LEFT(A151,3)="MON",
LEFT(A151,3)="PRE",
LEFT(A151,3)="PRH",
ISNUMBER(SEARCH("NOTEBOOK",B151)),
ISNUMBER(SEARCH("LAPTOP",B151)),
ISNUMBER(SEARCH("MONITOR",B151)),
ISNUMBER(SEARCH("TABLET",B151)),
ISNUMBER(SEARCH("SMARTPH",B151)),
ISNUMBER(SEARCH("IMPRESORA",B151)),
ISNUMBER(SEARCH("MULTIFUNCIONAL",B151)),
ISNUMBER(SEARCH("AIO",B151))
),
"GANCHO",
"NORMAL"
)
)</f>
        <v>NORMAL</v>
      </c>
    </row>
    <row r="150" spans="1:12" x14ac:dyDescent="0.25">
      <c r="A150" s="3" t="s">
        <v>5755</v>
      </c>
      <c r="B150" s="3" t="s">
        <v>5756</v>
      </c>
      <c r="C150" s="1">
        <v>11</v>
      </c>
      <c r="D150" s="1">
        <v>118.6</v>
      </c>
      <c r="E150" s="1" t="s">
        <v>906</v>
      </c>
      <c r="F150" s="1" t="s">
        <v>5757</v>
      </c>
      <c r="G150" s="3" t="s">
        <v>5758</v>
      </c>
      <c r="H150" s="11">
        <f>ROUND(
IF(L148="GANCHO",
   IF(I150&lt;=50,I150*1.1+4,IF(I150&lt;=120,I150*1.1+7,IF(I150&lt;=250,I150*1.1+11,I150*1.1+19))),
IF(L148="NORMAL",
   IF(I150&lt;=30,I150*1.15+2,IF(I150&lt;=80,I150*1.15+4,IF(I150&lt;=150,I150*1.15+6,I150*1.15+8))),
IF(L148="COMPLEMENTO",
   IF(I150&lt;=25,I150*1.25+1.5,IF(I150&lt;=60,I150*1.25+3,IF(I150&lt;=120,I150*1.25+4,I150*1.25+5))),
""))),2)</f>
        <v>568.07000000000005</v>
      </c>
      <c r="I150" s="9">
        <f>($K$2+0.02)*Tabla1[[#This Row],[PRECIO $]]*1.18</f>
        <v>487.0190399999999</v>
      </c>
      <c r="J150" s="7">
        <f>+Tabla1[[#This Row],[PRECIO EN SOLES]]-Tabla1[[#This Row],[PC]]</f>
        <v>81.050960000000146</v>
      </c>
      <c r="K150" s="15"/>
      <c r="L150" s="15" t="str">
        <f>IF(
OR(
ISNUMBER(SEARCH("BACKPACK",B152)),
ISNUMBER(SEARCH("MOCHILA",B152)),
ISNUMBER(SEARCH("FUNDA",B152)),
ISNUMBER(SEARCH("ESTUCHE",B152)),
ISNUMBER(SEARCH("BOOK COVER",B152)),
ISNUMBER(SEARCH("KEYBOARD PARA TABLET",B152)),
ISNUMBER(SEARCH("FLIP TABLET",B152)),
ISNUMBER(SEARCH("CASE FOR TABLET",B152)),
ISNUMBER(SEARCH("CABLE",B152)),
ISNUMBER(SEARCH("ADAPTADOR",B152)),
ISNUMBER(SEARCH("HUB",B152)),
ISNUMBER(SEARCH("DOCK",B152)),
ISNUMBER(SEARCH("MOUSE PAD",B152)),
ISNUMBER(SEARCH("MOUSEPAD",B152)),
ISNUMBER(SEARCH("SOPORTE",B152)),
ISNUMBER(SEARCH("STAND",B152)),
ISNUMBER(SEARCH("TRAVEL ADAPTER",B152)),
ISNUMBER(SEARCH("RJ45",B152)),
ISNUMBER(SEARCH("USB-C",B152)),
ISNUMBER(SEARCH("USB WIFI",B152)),
ISNUMBER(SEARCH("POWERBANK",B152)),
ISNUMBER(SEARCH("CARGADOR",B152)),
ISNUMBER(SEARCH("COOLER PARA NB",B152)),
ISNUMBER(SEARCH("SOPORTE PARA NB",B152)),
ISNUMBER(SEARCH("WEBCAM",B152)),
ISNUMBER(SEARCH("WEB CAM",B152)),
ISNUMBER(SEARCH("MOUSE",B152)),
ISNUMBER(SEARCH("TECLADO",B152))
),
"COMPLEMENTO",
IF(
OR(
LEFT(A152,2)="NB",
LEFT(A152,2)="PC",
LEFT(A152,2)="WS",
LEFT(A152,2)="TB",
LEFT(A152,3)="CEL",
LEFT(A152,3)="MON",
LEFT(A152,3)="PRE",
LEFT(A152,3)="PRH",
ISNUMBER(SEARCH("NOTEBOOK",B152)),
ISNUMBER(SEARCH("LAPTOP",B152)),
ISNUMBER(SEARCH("MONITOR",B152)),
ISNUMBER(SEARCH("TABLET",B152)),
ISNUMBER(SEARCH("SMARTPH",B152)),
ISNUMBER(SEARCH("IMPRESORA",B152)),
ISNUMBER(SEARCH("MULTIFUNCIONAL",B152)),
ISNUMBER(SEARCH("AIO",B152))
),
"GANCHO",
"NORMAL"
)
)</f>
        <v>NORMAL</v>
      </c>
    </row>
    <row r="151" spans="1:12" x14ac:dyDescent="0.25">
      <c r="A151" s="3" t="s">
        <v>5759</v>
      </c>
      <c r="B151" s="3" t="s">
        <v>5760</v>
      </c>
      <c r="C151" s="1">
        <v>16</v>
      </c>
      <c r="D151" s="1">
        <v>76.150000000000006</v>
      </c>
      <c r="E151" s="1" t="s">
        <v>906</v>
      </c>
      <c r="F151" s="1" t="s">
        <v>5761</v>
      </c>
      <c r="G151" s="3" t="s">
        <v>5762</v>
      </c>
      <c r="H151" s="11">
        <f>ROUND(
IF(L149="GANCHO",
   IF(I151&lt;=50,I151*1.1+4,IF(I151&lt;=120,I151*1.1+7,IF(I151&lt;=250,I151*1.1+11,I151*1.1+19))),
IF(L149="NORMAL",
   IF(I151&lt;=30,I151*1.15+2,IF(I151&lt;=80,I151*1.15+4,IF(I151&lt;=150,I151*1.15+6,I151*1.15+8))),
IF(L149="COMPLEMENTO",
   IF(I151&lt;=25,I151*1.25+1.5,IF(I151&lt;=60,I151*1.25+3,IF(I151&lt;=120,I151*1.25+4,I151*1.25+5))),
""))),2)</f>
        <v>367.61</v>
      </c>
      <c r="I151" s="9">
        <f>($K$2+0.02)*Tabla1[[#This Row],[PRECIO $]]*1.18</f>
        <v>312.70236</v>
      </c>
      <c r="J151" s="7">
        <f>+Tabla1[[#This Row],[PRECIO EN SOLES]]-Tabla1[[#This Row],[PC]]</f>
        <v>54.907640000000015</v>
      </c>
      <c r="K151" s="15"/>
      <c r="L151" s="15" t="str">
        <f>IF(
OR(
ISNUMBER(SEARCH("BACKPACK",B153)),
ISNUMBER(SEARCH("MOCHILA",B153)),
ISNUMBER(SEARCH("FUNDA",B153)),
ISNUMBER(SEARCH("ESTUCHE",B153)),
ISNUMBER(SEARCH("BOOK COVER",B153)),
ISNUMBER(SEARCH("KEYBOARD PARA TABLET",B153)),
ISNUMBER(SEARCH("FLIP TABLET",B153)),
ISNUMBER(SEARCH("CASE FOR TABLET",B153)),
ISNUMBER(SEARCH("CABLE",B153)),
ISNUMBER(SEARCH("ADAPTADOR",B153)),
ISNUMBER(SEARCH("HUB",B153)),
ISNUMBER(SEARCH("DOCK",B153)),
ISNUMBER(SEARCH("MOUSE PAD",B153)),
ISNUMBER(SEARCH("MOUSEPAD",B153)),
ISNUMBER(SEARCH("SOPORTE",B153)),
ISNUMBER(SEARCH("STAND",B153)),
ISNUMBER(SEARCH("TRAVEL ADAPTER",B153)),
ISNUMBER(SEARCH("RJ45",B153)),
ISNUMBER(SEARCH("USB-C",B153)),
ISNUMBER(SEARCH("USB WIFI",B153)),
ISNUMBER(SEARCH("POWERBANK",B153)),
ISNUMBER(SEARCH("CARGADOR",B153)),
ISNUMBER(SEARCH("COOLER PARA NB",B153)),
ISNUMBER(SEARCH("SOPORTE PARA NB",B153)),
ISNUMBER(SEARCH("WEBCAM",B153)),
ISNUMBER(SEARCH("WEB CAM",B153)),
ISNUMBER(SEARCH("MOUSE",B153)),
ISNUMBER(SEARCH("TECLADO",B153))
),
"COMPLEMENTO",
IF(
OR(
LEFT(A153,2)="NB",
LEFT(A153,2)="PC",
LEFT(A153,2)="WS",
LEFT(A153,2)="TB",
LEFT(A153,3)="CEL",
LEFT(A153,3)="MON",
LEFT(A153,3)="PRE",
LEFT(A153,3)="PRH",
ISNUMBER(SEARCH("NOTEBOOK",B153)),
ISNUMBER(SEARCH("LAPTOP",B153)),
ISNUMBER(SEARCH("MONITOR",B153)),
ISNUMBER(SEARCH("TABLET",B153)),
ISNUMBER(SEARCH("SMARTPH",B153)),
ISNUMBER(SEARCH("IMPRESORA",B153)),
ISNUMBER(SEARCH("MULTIFUNCIONAL",B153)),
ISNUMBER(SEARCH("AIO",B153))
),
"GANCHO",
"NORMAL"
)
)</f>
        <v>NORMAL</v>
      </c>
    </row>
    <row r="152" spans="1:12" x14ac:dyDescent="0.25">
      <c r="A152" s="3" t="s">
        <v>5763</v>
      </c>
      <c r="B152" s="3" t="s">
        <v>5764</v>
      </c>
      <c r="C152" s="1">
        <v>17</v>
      </c>
      <c r="D152" s="1">
        <v>80.7</v>
      </c>
      <c r="E152" s="1" t="s">
        <v>906</v>
      </c>
      <c r="F152" s="1" t="s">
        <v>5765</v>
      </c>
      <c r="G152" s="3" t="s">
        <v>5766</v>
      </c>
      <c r="H152" s="11">
        <f>ROUND(
IF(L150="GANCHO",
   IF(I152&lt;=50,I152*1.1+4,IF(I152&lt;=120,I152*1.1+7,IF(I152&lt;=250,I152*1.1+11,I152*1.1+19))),
IF(L150="NORMAL",
   IF(I152&lt;=30,I152*1.15+2,IF(I152&lt;=80,I152*1.15+4,IF(I152&lt;=150,I152*1.15+6,I152*1.15+8))),
IF(L150="COMPLEMENTO",
   IF(I152&lt;=25,I152*1.25+1.5,IF(I152&lt;=60,I152*1.25+3,IF(I152&lt;=120,I152*1.25+4,I152*1.25+5))),
""))),2)</f>
        <v>389.09</v>
      </c>
      <c r="I152" s="9">
        <f>($K$2+0.02)*Tabla1[[#This Row],[PRECIO $]]*1.18</f>
        <v>331.38648000000001</v>
      </c>
      <c r="J152" s="7">
        <f>+Tabla1[[#This Row],[PRECIO EN SOLES]]-Tabla1[[#This Row],[PC]]</f>
        <v>57.703519999999969</v>
      </c>
      <c r="K152" s="15"/>
      <c r="L152" s="15" t="str">
        <f>IF(
OR(
ISNUMBER(SEARCH("BACKPACK",B154)),
ISNUMBER(SEARCH("MOCHILA",B154)),
ISNUMBER(SEARCH("FUNDA",B154)),
ISNUMBER(SEARCH("ESTUCHE",B154)),
ISNUMBER(SEARCH("BOOK COVER",B154)),
ISNUMBER(SEARCH("KEYBOARD PARA TABLET",B154)),
ISNUMBER(SEARCH("FLIP TABLET",B154)),
ISNUMBER(SEARCH("CASE FOR TABLET",B154)),
ISNUMBER(SEARCH("CABLE",B154)),
ISNUMBER(SEARCH("ADAPTADOR",B154)),
ISNUMBER(SEARCH("HUB",B154)),
ISNUMBER(SEARCH("DOCK",B154)),
ISNUMBER(SEARCH("MOUSE PAD",B154)),
ISNUMBER(SEARCH("MOUSEPAD",B154)),
ISNUMBER(SEARCH("SOPORTE",B154)),
ISNUMBER(SEARCH("STAND",B154)),
ISNUMBER(SEARCH("TRAVEL ADAPTER",B154)),
ISNUMBER(SEARCH("RJ45",B154)),
ISNUMBER(SEARCH("USB-C",B154)),
ISNUMBER(SEARCH("USB WIFI",B154)),
ISNUMBER(SEARCH("POWERBANK",B154)),
ISNUMBER(SEARCH("CARGADOR",B154)),
ISNUMBER(SEARCH("COOLER PARA NB",B154)),
ISNUMBER(SEARCH("SOPORTE PARA NB",B154)),
ISNUMBER(SEARCH("WEBCAM",B154)),
ISNUMBER(SEARCH("WEB CAM",B154)),
ISNUMBER(SEARCH("MOUSE",B154)),
ISNUMBER(SEARCH("TECLADO",B154))
),
"COMPLEMENTO",
IF(
OR(
LEFT(A154,2)="NB",
LEFT(A154,2)="PC",
LEFT(A154,2)="WS",
LEFT(A154,2)="TB",
LEFT(A154,3)="CEL",
LEFT(A154,3)="MON",
LEFT(A154,3)="PRE",
LEFT(A154,3)="PRH",
ISNUMBER(SEARCH("NOTEBOOK",B154)),
ISNUMBER(SEARCH("LAPTOP",B154)),
ISNUMBER(SEARCH("MONITOR",B154)),
ISNUMBER(SEARCH("TABLET",B154)),
ISNUMBER(SEARCH("SMARTPH",B154)),
ISNUMBER(SEARCH("IMPRESORA",B154)),
ISNUMBER(SEARCH("MULTIFUNCIONAL",B154)),
ISNUMBER(SEARCH("AIO",B154))
),
"GANCHO",
"NORMAL"
)
)</f>
        <v>NORMAL</v>
      </c>
    </row>
    <row r="153" spans="1:12" x14ac:dyDescent="0.25">
      <c r="A153" s="3" t="s">
        <v>5767</v>
      </c>
      <c r="B153" s="3" t="s">
        <v>5768</v>
      </c>
      <c r="C153" s="1">
        <v>14</v>
      </c>
      <c r="D153" s="1">
        <v>86.25</v>
      </c>
      <c r="E153" s="1" t="s">
        <v>906</v>
      </c>
      <c r="F153" s="1" t="s">
        <v>5769</v>
      </c>
      <c r="G153" s="3" t="s">
        <v>5770</v>
      </c>
      <c r="H153" s="11">
        <f>ROUND(
IF(L151="GANCHO",
   IF(I153&lt;=50,I153*1.1+4,IF(I153&lt;=120,I153*1.1+7,IF(I153&lt;=250,I153*1.1+11,I153*1.1+19))),
IF(L151="NORMAL",
   IF(I153&lt;=30,I153*1.15+2,IF(I153&lt;=80,I153*1.15+4,IF(I153&lt;=150,I153*1.15+6,I153*1.15+8))),
IF(L151="COMPLEMENTO",
   IF(I153&lt;=25,I153*1.25+1.5,IF(I153&lt;=60,I153*1.25+3,IF(I153&lt;=120,I153*1.25+4,I153*1.25+5))),
""))),2)</f>
        <v>415.3</v>
      </c>
      <c r="I153" s="9">
        <f>($K$2+0.02)*Tabla1[[#This Row],[PRECIO $]]*1.18</f>
        <v>354.17699999999996</v>
      </c>
      <c r="J153" s="7">
        <f>+Tabla1[[#This Row],[PRECIO EN SOLES]]-Tabla1[[#This Row],[PC]]</f>
        <v>61.123000000000047</v>
      </c>
      <c r="K153" s="15"/>
      <c r="L153" s="15" t="str">
        <f>IF(
OR(
ISNUMBER(SEARCH("BACKPACK",B155)),
ISNUMBER(SEARCH("MOCHILA",B155)),
ISNUMBER(SEARCH("FUNDA",B155)),
ISNUMBER(SEARCH("ESTUCHE",B155)),
ISNUMBER(SEARCH("BOOK COVER",B155)),
ISNUMBER(SEARCH("KEYBOARD PARA TABLET",B155)),
ISNUMBER(SEARCH("FLIP TABLET",B155)),
ISNUMBER(SEARCH("CASE FOR TABLET",B155)),
ISNUMBER(SEARCH("CABLE",B155)),
ISNUMBER(SEARCH("ADAPTADOR",B155)),
ISNUMBER(SEARCH("HUB",B155)),
ISNUMBER(SEARCH("DOCK",B155)),
ISNUMBER(SEARCH("MOUSE PAD",B155)),
ISNUMBER(SEARCH("MOUSEPAD",B155)),
ISNUMBER(SEARCH("SOPORTE",B155)),
ISNUMBER(SEARCH("STAND",B155)),
ISNUMBER(SEARCH("TRAVEL ADAPTER",B155)),
ISNUMBER(SEARCH("RJ45",B155)),
ISNUMBER(SEARCH("USB-C",B155)),
ISNUMBER(SEARCH("USB WIFI",B155)),
ISNUMBER(SEARCH("POWERBANK",B155)),
ISNUMBER(SEARCH("CARGADOR",B155)),
ISNUMBER(SEARCH("COOLER PARA NB",B155)),
ISNUMBER(SEARCH("SOPORTE PARA NB",B155)),
ISNUMBER(SEARCH("WEBCAM",B155)),
ISNUMBER(SEARCH("WEB CAM",B155)),
ISNUMBER(SEARCH("MOUSE",B155)),
ISNUMBER(SEARCH("TECLADO",B155))
),
"COMPLEMENTO",
IF(
OR(
LEFT(A155,2)="NB",
LEFT(A155,2)="PC",
LEFT(A155,2)="WS",
LEFT(A155,2)="TB",
LEFT(A155,3)="CEL",
LEFT(A155,3)="MON",
LEFT(A155,3)="PRE",
LEFT(A155,3)="PRH",
ISNUMBER(SEARCH("NOTEBOOK",B155)),
ISNUMBER(SEARCH("LAPTOP",B155)),
ISNUMBER(SEARCH("MONITOR",B155)),
ISNUMBER(SEARCH("TABLET",B155)),
ISNUMBER(SEARCH("SMARTPH",B155)),
ISNUMBER(SEARCH("IMPRESORA",B155)),
ISNUMBER(SEARCH("MULTIFUNCIONAL",B155)),
ISNUMBER(SEARCH("AIO",B155))
),
"GANCHO",
"NORMAL"
)
)</f>
        <v>NORMAL</v>
      </c>
    </row>
    <row r="154" spans="1:12" x14ac:dyDescent="0.25">
      <c r="A154" s="3" t="s">
        <v>5771</v>
      </c>
      <c r="B154" s="3" t="s">
        <v>5772</v>
      </c>
      <c r="C154" s="1">
        <v>6</v>
      </c>
      <c r="D154" s="1">
        <v>106.5</v>
      </c>
      <c r="E154" s="1" t="s">
        <v>906</v>
      </c>
      <c r="F154" s="1" t="s">
        <v>5773</v>
      </c>
      <c r="G154" s="3" t="s">
        <v>5774</v>
      </c>
      <c r="H154" s="11">
        <f>ROUND(
IF(L152="GANCHO",
   IF(I154&lt;=50,I154*1.1+4,IF(I154&lt;=120,I154*1.1+7,IF(I154&lt;=250,I154*1.1+11,I154*1.1+19))),
IF(L152="NORMAL",
   IF(I154&lt;=30,I154*1.15+2,IF(I154&lt;=80,I154*1.15+4,IF(I154&lt;=150,I154*1.15+6,I154*1.15+8))),
IF(L152="COMPLEMENTO",
   IF(I154&lt;=25,I154*1.25+1.5,IF(I154&lt;=60,I154*1.25+3,IF(I154&lt;=120,I154*1.25+4,I154*1.25+5))),
""))),2)</f>
        <v>510.93</v>
      </c>
      <c r="I154" s="9">
        <f>($K$2+0.02)*Tabla1[[#This Row],[PRECIO $]]*1.18</f>
        <v>437.33159999999998</v>
      </c>
      <c r="J154" s="7">
        <f>+Tabla1[[#This Row],[PRECIO EN SOLES]]-Tabla1[[#This Row],[PC]]</f>
        <v>73.598400000000026</v>
      </c>
      <c r="K154" s="15"/>
      <c r="L154" s="15" t="str">
        <f>IF(
OR(
ISNUMBER(SEARCH("BACKPACK",B156)),
ISNUMBER(SEARCH("MOCHILA",B156)),
ISNUMBER(SEARCH("FUNDA",B156)),
ISNUMBER(SEARCH("ESTUCHE",B156)),
ISNUMBER(SEARCH("BOOK COVER",B156)),
ISNUMBER(SEARCH("KEYBOARD PARA TABLET",B156)),
ISNUMBER(SEARCH("FLIP TABLET",B156)),
ISNUMBER(SEARCH("CASE FOR TABLET",B156)),
ISNUMBER(SEARCH("CABLE",B156)),
ISNUMBER(SEARCH("ADAPTADOR",B156)),
ISNUMBER(SEARCH("HUB",B156)),
ISNUMBER(SEARCH("DOCK",B156)),
ISNUMBER(SEARCH("MOUSE PAD",B156)),
ISNUMBER(SEARCH("MOUSEPAD",B156)),
ISNUMBER(SEARCH("SOPORTE",B156)),
ISNUMBER(SEARCH("STAND",B156)),
ISNUMBER(SEARCH("TRAVEL ADAPTER",B156)),
ISNUMBER(SEARCH("RJ45",B156)),
ISNUMBER(SEARCH("USB-C",B156)),
ISNUMBER(SEARCH("USB WIFI",B156)),
ISNUMBER(SEARCH("POWERBANK",B156)),
ISNUMBER(SEARCH("CARGADOR",B156)),
ISNUMBER(SEARCH("COOLER PARA NB",B156)),
ISNUMBER(SEARCH("SOPORTE PARA NB",B156)),
ISNUMBER(SEARCH("WEBCAM",B156)),
ISNUMBER(SEARCH("WEB CAM",B156)),
ISNUMBER(SEARCH("MOUSE",B156)),
ISNUMBER(SEARCH("TECLADO",B156))
),
"COMPLEMENTO",
IF(
OR(
LEFT(A156,2)="NB",
LEFT(A156,2)="PC",
LEFT(A156,2)="WS",
LEFT(A156,2)="TB",
LEFT(A156,3)="CEL",
LEFT(A156,3)="MON",
LEFT(A156,3)="PRE",
LEFT(A156,3)="PRH",
ISNUMBER(SEARCH("NOTEBOOK",B156)),
ISNUMBER(SEARCH("LAPTOP",B156)),
ISNUMBER(SEARCH("MONITOR",B156)),
ISNUMBER(SEARCH("TABLET",B156)),
ISNUMBER(SEARCH("SMARTPH",B156)),
ISNUMBER(SEARCH("IMPRESORA",B156)),
ISNUMBER(SEARCH("MULTIFUNCIONAL",B156)),
ISNUMBER(SEARCH("AIO",B156))
),
"GANCHO",
"NORMAL"
)
)</f>
        <v>NORMAL</v>
      </c>
    </row>
    <row r="155" spans="1:12" x14ac:dyDescent="0.25">
      <c r="A155" s="3" t="s">
        <v>5775</v>
      </c>
      <c r="B155" s="3" t="s">
        <v>5776</v>
      </c>
      <c r="C155" s="1">
        <v>10</v>
      </c>
      <c r="D155" s="1">
        <v>306.5</v>
      </c>
      <c r="E155" s="1" t="s">
        <v>906</v>
      </c>
      <c r="F155" s="1" t="s">
        <v>5777</v>
      </c>
      <c r="G155" s="3" t="s">
        <v>5778</v>
      </c>
      <c r="H155" s="11">
        <f>ROUND(
IF(L153="GANCHO",
   IF(I155&lt;=50,I155*1.1+4,IF(I155&lt;=120,I155*1.1+7,IF(I155&lt;=250,I155*1.1+11,I155*1.1+19))),
IF(L153="NORMAL",
   IF(I155&lt;=30,I155*1.15+2,IF(I155&lt;=80,I155*1.15+4,IF(I155&lt;=150,I155*1.15+6,I155*1.15+8))),
IF(L153="COMPLEMENTO",
   IF(I155&lt;=25,I155*1.25+1.5,IF(I155&lt;=60,I155*1.25+3,IF(I155&lt;=120,I155*1.25+4,I155*1.25+5))),
""))),2)</f>
        <v>1455.4</v>
      </c>
      <c r="I155" s="9">
        <f>($K$2+0.02)*Tabla1[[#This Row],[PRECIO $]]*1.18</f>
        <v>1258.6115999999997</v>
      </c>
      <c r="J155" s="7">
        <f>+Tabla1[[#This Row],[PRECIO EN SOLES]]-Tabla1[[#This Row],[PC]]</f>
        <v>196.78840000000037</v>
      </c>
      <c r="K155" s="15"/>
      <c r="L155" s="15" t="str">
        <f>IF(
OR(
ISNUMBER(SEARCH("BACKPACK",B157)),
ISNUMBER(SEARCH("MOCHILA",B157)),
ISNUMBER(SEARCH("FUNDA",B157)),
ISNUMBER(SEARCH("ESTUCHE",B157)),
ISNUMBER(SEARCH("BOOK COVER",B157)),
ISNUMBER(SEARCH("KEYBOARD PARA TABLET",B157)),
ISNUMBER(SEARCH("FLIP TABLET",B157)),
ISNUMBER(SEARCH("CASE FOR TABLET",B157)),
ISNUMBER(SEARCH("CABLE",B157)),
ISNUMBER(SEARCH("ADAPTADOR",B157)),
ISNUMBER(SEARCH("HUB",B157)),
ISNUMBER(SEARCH("DOCK",B157)),
ISNUMBER(SEARCH("MOUSE PAD",B157)),
ISNUMBER(SEARCH("MOUSEPAD",B157)),
ISNUMBER(SEARCH("SOPORTE",B157)),
ISNUMBER(SEARCH("STAND",B157)),
ISNUMBER(SEARCH("TRAVEL ADAPTER",B157)),
ISNUMBER(SEARCH("RJ45",B157)),
ISNUMBER(SEARCH("USB-C",B157)),
ISNUMBER(SEARCH("USB WIFI",B157)),
ISNUMBER(SEARCH("POWERBANK",B157)),
ISNUMBER(SEARCH("CARGADOR",B157)),
ISNUMBER(SEARCH("COOLER PARA NB",B157)),
ISNUMBER(SEARCH("SOPORTE PARA NB",B157)),
ISNUMBER(SEARCH("WEBCAM",B157)),
ISNUMBER(SEARCH("WEB CAM",B157)),
ISNUMBER(SEARCH("MOUSE",B157)),
ISNUMBER(SEARCH("TECLADO",B157))
),
"COMPLEMENTO",
IF(
OR(
LEFT(A157,2)="NB",
LEFT(A157,2)="PC",
LEFT(A157,2)="WS",
LEFT(A157,2)="TB",
LEFT(A157,3)="CEL",
LEFT(A157,3)="MON",
LEFT(A157,3)="PRE",
LEFT(A157,3)="PRH",
ISNUMBER(SEARCH("NOTEBOOK",B157)),
ISNUMBER(SEARCH("LAPTOP",B157)),
ISNUMBER(SEARCH("MONITOR",B157)),
ISNUMBER(SEARCH("TABLET",B157)),
ISNUMBER(SEARCH("SMARTPH",B157)),
ISNUMBER(SEARCH("IMPRESORA",B157)),
ISNUMBER(SEARCH("MULTIFUNCIONAL",B157)),
ISNUMBER(SEARCH("AIO",B157))
),
"GANCHO",
"NORMAL"
)
)</f>
        <v>NORMAL</v>
      </c>
    </row>
    <row r="156" spans="1:12" x14ac:dyDescent="0.25">
      <c r="A156" s="3" t="s">
        <v>5779</v>
      </c>
      <c r="B156" s="3" t="s">
        <v>5780</v>
      </c>
      <c r="C156" s="1">
        <v>6</v>
      </c>
      <c r="D156" s="1">
        <v>400</v>
      </c>
      <c r="E156" s="1" t="s">
        <v>906</v>
      </c>
      <c r="F156" s="1" t="s">
        <v>5781</v>
      </c>
      <c r="G156" s="3" t="s">
        <v>5782</v>
      </c>
      <c r="H156" s="11">
        <f>ROUND(
IF(L154="GANCHO",
   IF(I156&lt;=50,I156*1.1+4,IF(I156&lt;=120,I156*1.1+7,IF(I156&lt;=250,I156*1.1+11,I156*1.1+19))),
IF(L154="NORMAL",
   IF(I156&lt;=30,I156*1.15+2,IF(I156&lt;=80,I156*1.15+4,IF(I156&lt;=150,I156*1.15+6,I156*1.15+8))),
IF(L154="COMPLEMENTO",
   IF(I156&lt;=25,I156*1.25+1.5,IF(I156&lt;=60,I156*1.25+3,IF(I156&lt;=120,I156*1.25+4,I156*1.25+5))),
""))),2)</f>
        <v>1896.94</v>
      </c>
      <c r="I156" s="9">
        <f>($K$2+0.02)*Tabla1[[#This Row],[PRECIO $]]*1.18</f>
        <v>1642.56</v>
      </c>
      <c r="J156" s="7">
        <f>+Tabla1[[#This Row],[PRECIO EN SOLES]]-Tabla1[[#This Row],[PC]]</f>
        <v>254.38000000000011</v>
      </c>
      <c r="K156" s="15"/>
      <c r="L156" s="15" t="str">
        <f>IF(
OR(
ISNUMBER(SEARCH("BACKPACK",B158)),
ISNUMBER(SEARCH("MOCHILA",B158)),
ISNUMBER(SEARCH("FUNDA",B158)),
ISNUMBER(SEARCH("ESTUCHE",B158)),
ISNUMBER(SEARCH("BOOK COVER",B158)),
ISNUMBER(SEARCH("KEYBOARD PARA TABLET",B158)),
ISNUMBER(SEARCH("FLIP TABLET",B158)),
ISNUMBER(SEARCH("CASE FOR TABLET",B158)),
ISNUMBER(SEARCH("CABLE",B158)),
ISNUMBER(SEARCH("ADAPTADOR",B158)),
ISNUMBER(SEARCH("HUB",B158)),
ISNUMBER(SEARCH("DOCK",B158)),
ISNUMBER(SEARCH("MOUSE PAD",B158)),
ISNUMBER(SEARCH("MOUSEPAD",B158)),
ISNUMBER(SEARCH("SOPORTE",B158)),
ISNUMBER(SEARCH("STAND",B158)),
ISNUMBER(SEARCH("TRAVEL ADAPTER",B158)),
ISNUMBER(SEARCH("RJ45",B158)),
ISNUMBER(SEARCH("USB-C",B158)),
ISNUMBER(SEARCH("USB WIFI",B158)),
ISNUMBER(SEARCH("POWERBANK",B158)),
ISNUMBER(SEARCH("CARGADOR",B158)),
ISNUMBER(SEARCH("COOLER PARA NB",B158)),
ISNUMBER(SEARCH("SOPORTE PARA NB",B158)),
ISNUMBER(SEARCH("WEBCAM",B158)),
ISNUMBER(SEARCH("WEB CAM",B158)),
ISNUMBER(SEARCH("MOUSE",B158)),
ISNUMBER(SEARCH("TECLADO",B158))
),
"COMPLEMENTO",
IF(
OR(
LEFT(A158,2)="NB",
LEFT(A158,2)="PC",
LEFT(A158,2)="WS",
LEFT(A158,2)="TB",
LEFT(A158,3)="CEL",
LEFT(A158,3)="MON",
LEFT(A158,3)="PRE",
LEFT(A158,3)="PRH",
ISNUMBER(SEARCH("NOTEBOOK",B158)),
ISNUMBER(SEARCH("LAPTOP",B158)),
ISNUMBER(SEARCH("MONITOR",B158)),
ISNUMBER(SEARCH("TABLET",B158)),
ISNUMBER(SEARCH("SMARTPH",B158)),
ISNUMBER(SEARCH("IMPRESORA",B158)),
ISNUMBER(SEARCH("MULTIFUNCIONAL",B158)),
ISNUMBER(SEARCH("AIO",B158))
),
"GANCHO",
"NORMAL"
)
)</f>
        <v>NORMAL</v>
      </c>
    </row>
    <row r="157" spans="1:12" x14ac:dyDescent="0.25">
      <c r="A157" s="3" t="s">
        <v>4557</v>
      </c>
      <c r="B157" s="3" t="s">
        <v>4558</v>
      </c>
      <c r="C157" s="1">
        <v>0</v>
      </c>
      <c r="D157" s="1">
        <v>33.700000000000003</v>
      </c>
      <c r="E157" s="1" t="s">
        <v>226</v>
      </c>
      <c r="F157" s="1" t="s">
        <v>4559</v>
      </c>
      <c r="G157" s="3" t="s">
        <v>4560</v>
      </c>
      <c r="H157" s="11">
        <f>ROUND(
IF(L155="GANCHO",
   IF(I157&lt;=50,I157*1.1+4,IF(I157&lt;=120,I157*1.1+7,IF(I157&lt;=250,I157*1.1+11,I157*1.1+19))),
IF(L155="NORMAL",
   IF(I157&lt;=30,I157*1.15+2,IF(I157&lt;=80,I157*1.15+4,IF(I157&lt;=150,I157*1.15+6,I157*1.15+8))),
IF(L155="COMPLEMENTO",
   IF(I157&lt;=25,I157*1.25+1.5,IF(I157&lt;=60,I157*1.25+3,IF(I157&lt;=120,I157*1.25+4,I157*1.25+5))),
""))),2)</f>
        <v>165.14</v>
      </c>
      <c r="I157" s="9">
        <f>($K$2+0.02)*Tabla1[[#This Row],[PRECIO $]]*1.18</f>
        <v>138.38568000000001</v>
      </c>
      <c r="J157" s="7">
        <f>+Tabla1[[#This Row],[PRECIO EN SOLES]]-Tabla1[[#This Row],[PC]]</f>
        <v>26.754319999999979</v>
      </c>
      <c r="K157" s="15"/>
      <c r="L157" s="15" t="str">
        <f>IF(
OR(
ISNUMBER(SEARCH("BACKPACK",B159)),
ISNUMBER(SEARCH("MOCHILA",B159)),
ISNUMBER(SEARCH("FUNDA",B159)),
ISNUMBER(SEARCH("ESTUCHE",B159)),
ISNUMBER(SEARCH("BOOK COVER",B159)),
ISNUMBER(SEARCH("KEYBOARD PARA TABLET",B159)),
ISNUMBER(SEARCH("FLIP TABLET",B159)),
ISNUMBER(SEARCH("CASE FOR TABLET",B159)),
ISNUMBER(SEARCH("CABLE",B159)),
ISNUMBER(SEARCH("ADAPTADOR",B159)),
ISNUMBER(SEARCH("HUB",B159)),
ISNUMBER(SEARCH("DOCK",B159)),
ISNUMBER(SEARCH("MOUSE PAD",B159)),
ISNUMBER(SEARCH("MOUSEPAD",B159)),
ISNUMBER(SEARCH("SOPORTE",B159)),
ISNUMBER(SEARCH("STAND",B159)),
ISNUMBER(SEARCH("TRAVEL ADAPTER",B159)),
ISNUMBER(SEARCH("RJ45",B159)),
ISNUMBER(SEARCH("USB-C",B159)),
ISNUMBER(SEARCH("USB WIFI",B159)),
ISNUMBER(SEARCH("POWERBANK",B159)),
ISNUMBER(SEARCH("CARGADOR",B159)),
ISNUMBER(SEARCH("COOLER PARA NB",B159)),
ISNUMBER(SEARCH("SOPORTE PARA NB",B159)),
ISNUMBER(SEARCH("WEBCAM",B159)),
ISNUMBER(SEARCH("WEB CAM",B159)),
ISNUMBER(SEARCH("MOUSE",B159)),
ISNUMBER(SEARCH("TECLADO",B159))
),
"COMPLEMENTO",
IF(
OR(
LEFT(A159,2)="NB",
LEFT(A159,2)="PC",
LEFT(A159,2)="WS",
LEFT(A159,2)="TB",
LEFT(A159,3)="CEL",
LEFT(A159,3)="MON",
LEFT(A159,3)="PRE",
LEFT(A159,3)="PRH",
ISNUMBER(SEARCH("NOTEBOOK",B159)),
ISNUMBER(SEARCH("LAPTOP",B159)),
ISNUMBER(SEARCH("MONITOR",B159)),
ISNUMBER(SEARCH("TABLET",B159)),
ISNUMBER(SEARCH("SMARTPH",B159)),
ISNUMBER(SEARCH("IMPRESORA",B159)),
ISNUMBER(SEARCH("MULTIFUNCIONAL",B159)),
ISNUMBER(SEARCH("AIO",B159))
),
"GANCHO",
"NORMAL"
)
)</f>
        <v>NORMAL</v>
      </c>
    </row>
    <row r="158" spans="1:12" x14ac:dyDescent="0.25">
      <c r="A158" s="3" t="s">
        <v>5233</v>
      </c>
      <c r="B158" s="3" t="s">
        <v>5234</v>
      </c>
      <c r="C158" s="1">
        <v>20</v>
      </c>
      <c r="D158" s="1">
        <v>100.6</v>
      </c>
      <c r="E158" s="1" t="s">
        <v>121</v>
      </c>
      <c r="F158" s="1" t="s">
        <v>5235</v>
      </c>
      <c r="G158" s="3" t="s">
        <v>5236</v>
      </c>
      <c r="H158" s="11">
        <f>ROUND(
IF(L156="GANCHO",
   IF(I158&lt;=50,I158*1.1+4,IF(I158&lt;=120,I158*1.1+7,IF(I158&lt;=250,I158*1.1+11,I158*1.1+19))),
IF(L156="NORMAL",
   IF(I158&lt;=30,I158*1.15+2,IF(I158&lt;=80,I158*1.15+4,IF(I158&lt;=150,I158*1.15+6,I158*1.15+8))),
IF(L156="COMPLEMENTO",
   IF(I158&lt;=25,I158*1.25+1.5,IF(I158&lt;=60,I158*1.25+3,IF(I158&lt;=120,I158*1.25+4,I158*1.25+5))),
""))),2)</f>
        <v>483.07</v>
      </c>
      <c r="I158" s="9">
        <f>($K$2+0.02)*Tabla1[[#This Row],[PRECIO $]]*1.18</f>
        <v>413.10383999999993</v>
      </c>
      <c r="J158" s="7">
        <f>+Tabla1[[#This Row],[PRECIO EN SOLES]]-Tabla1[[#This Row],[PC]]</f>
        <v>69.966160000000059</v>
      </c>
      <c r="K158" s="15"/>
      <c r="L158" s="15" t="str">
        <f>IF(
OR(
ISNUMBER(SEARCH("BACKPACK",B160)),
ISNUMBER(SEARCH("MOCHILA",B160)),
ISNUMBER(SEARCH("FUNDA",B160)),
ISNUMBER(SEARCH("ESTUCHE",B160)),
ISNUMBER(SEARCH("BOOK COVER",B160)),
ISNUMBER(SEARCH("KEYBOARD PARA TABLET",B160)),
ISNUMBER(SEARCH("FLIP TABLET",B160)),
ISNUMBER(SEARCH("CASE FOR TABLET",B160)),
ISNUMBER(SEARCH("CABLE",B160)),
ISNUMBER(SEARCH("ADAPTADOR",B160)),
ISNUMBER(SEARCH("HUB",B160)),
ISNUMBER(SEARCH("DOCK",B160)),
ISNUMBER(SEARCH("MOUSE PAD",B160)),
ISNUMBER(SEARCH("MOUSEPAD",B160)),
ISNUMBER(SEARCH("SOPORTE",B160)),
ISNUMBER(SEARCH("STAND",B160)),
ISNUMBER(SEARCH("TRAVEL ADAPTER",B160)),
ISNUMBER(SEARCH("RJ45",B160)),
ISNUMBER(SEARCH("USB-C",B160)),
ISNUMBER(SEARCH("USB WIFI",B160)),
ISNUMBER(SEARCH("POWERBANK",B160)),
ISNUMBER(SEARCH("CARGADOR",B160)),
ISNUMBER(SEARCH("COOLER PARA NB",B160)),
ISNUMBER(SEARCH("SOPORTE PARA NB",B160)),
ISNUMBER(SEARCH("WEBCAM",B160)),
ISNUMBER(SEARCH("WEB CAM",B160)),
ISNUMBER(SEARCH("MOUSE",B160)),
ISNUMBER(SEARCH("TECLADO",B160))
),
"COMPLEMENTO",
IF(
OR(
LEFT(A160,2)="NB",
LEFT(A160,2)="PC",
LEFT(A160,2)="WS",
LEFT(A160,2)="TB",
LEFT(A160,3)="CEL",
LEFT(A160,3)="MON",
LEFT(A160,3)="PRE",
LEFT(A160,3)="PRH",
ISNUMBER(SEARCH("NOTEBOOK",B160)),
ISNUMBER(SEARCH("LAPTOP",B160)),
ISNUMBER(SEARCH("MONITOR",B160)),
ISNUMBER(SEARCH("TABLET",B160)),
ISNUMBER(SEARCH("SMARTPH",B160)),
ISNUMBER(SEARCH("IMPRESORA",B160)),
ISNUMBER(SEARCH("MULTIFUNCIONAL",B160)),
ISNUMBER(SEARCH("AIO",B160))
),
"GANCHO",
"NORMAL"
)
)</f>
        <v>NORMAL</v>
      </c>
    </row>
    <row r="159" spans="1:12" x14ac:dyDescent="0.25">
      <c r="A159" s="3" t="s">
        <v>5237</v>
      </c>
      <c r="B159" s="3" t="s">
        <v>5238</v>
      </c>
      <c r="C159" s="1">
        <v>0</v>
      </c>
      <c r="D159" s="1">
        <v>86.45</v>
      </c>
      <c r="E159" s="1" t="s">
        <v>121</v>
      </c>
      <c r="F159" s="1" t="s">
        <v>5239</v>
      </c>
      <c r="G159" s="3" t="s">
        <v>5240</v>
      </c>
      <c r="H159" s="11">
        <f>ROUND(
IF(L157="GANCHO",
   IF(I159&lt;=50,I159*1.1+4,IF(I159&lt;=120,I159*1.1+7,IF(I159&lt;=250,I159*1.1+11,I159*1.1+19))),
IF(L157="NORMAL",
   IF(I159&lt;=30,I159*1.15+2,IF(I159&lt;=80,I159*1.15+4,IF(I159&lt;=150,I159*1.15+6,I159*1.15+8))),
IF(L157="COMPLEMENTO",
   IF(I159&lt;=25,I159*1.25+1.5,IF(I159&lt;=60,I159*1.25+3,IF(I159&lt;=120,I159*1.25+4,I159*1.25+5))),
""))),2)</f>
        <v>416.25</v>
      </c>
      <c r="I159" s="9">
        <f>($K$2+0.02)*Tabla1[[#This Row],[PRECIO $]]*1.18</f>
        <v>354.99827999999997</v>
      </c>
      <c r="J159" s="7">
        <f>+Tabla1[[#This Row],[PRECIO EN SOLES]]-Tabla1[[#This Row],[PC]]</f>
        <v>61.251720000000034</v>
      </c>
      <c r="K159" s="15"/>
      <c r="L159" s="15" t="str">
        <f>IF(
OR(
ISNUMBER(SEARCH("BACKPACK",B161)),
ISNUMBER(SEARCH("MOCHILA",B161)),
ISNUMBER(SEARCH("FUNDA",B161)),
ISNUMBER(SEARCH("ESTUCHE",B161)),
ISNUMBER(SEARCH("BOOK COVER",B161)),
ISNUMBER(SEARCH("KEYBOARD PARA TABLET",B161)),
ISNUMBER(SEARCH("FLIP TABLET",B161)),
ISNUMBER(SEARCH("CASE FOR TABLET",B161)),
ISNUMBER(SEARCH("CABLE",B161)),
ISNUMBER(SEARCH("ADAPTADOR",B161)),
ISNUMBER(SEARCH("HUB",B161)),
ISNUMBER(SEARCH("DOCK",B161)),
ISNUMBER(SEARCH("MOUSE PAD",B161)),
ISNUMBER(SEARCH("MOUSEPAD",B161)),
ISNUMBER(SEARCH("SOPORTE",B161)),
ISNUMBER(SEARCH("STAND",B161)),
ISNUMBER(SEARCH("TRAVEL ADAPTER",B161)),
ISNUMBER(SEARCH("RJ45",B161)),
ISNUMBER(SEARCH("USB-C",B161)),
ISNUMBER(SEARCH("USB WIFI",B161)),
ISNUMBER(SEARCH("POWERBANK",B161)),
ISNUMBER(SEARCH("CARGADOR",B161)),
ISNUMBER(SEARCH("COOLER PARA NB",B161)),
ISNUMBER(SEARCH("SOPORTE PARA NB",B161)),
ISNUMBER(SEARCH("WEBCAM",B161)),
ISNUMBER(SEARCH("WEB CAM",B161)),
ISNUMBER(SEARCH("MOUSE",B161)),
ISNUMBER(SEARCH("TECLADO",B161))
),
"COMPLEMENTO",
IF(
OR(
LEFT(A161,2)="NB",
LEFT(A161,2)="PC",
LEFT(A161,2)="WS",
LEFT(A161,2)="TB",
LEFT(A161,3)="CEL",
LEFT(A161,3)="MON",
LEFT(A161,3)="PRE",
LEFT(A161,3)="PRH",
ISNUMBER(SEARCH("NOTEBOOK",B161)),
ISNUMBER(SEARCH("LAPTOP",B161)),
ISNUMBER(SEARCH("MONITOR",B161)),
ISNUMBER(SEARCH("TABLET",B161)),
ISNUMBER(SEARCH("SMARTPH",B161)),
ISNUMBER(SEARCH("IMPRESORA",B161)),
ISNUMBER(SEARCH("MULTIFUNCIONAL",B161)),
ISNUMBER(SEARCH("AIO",B161))
),
"GANCHO",
"NORMAL"
)
)</f>
        <v>GANCHO</v>
      </c>
    </row>
    <row r="160" spans="1:12" x14ac:dyDescent="0.25">
      <c r="A160" s="3" t="s">
        <v>5783</v>
      </c>
      <c r="B160" s="3" t="s">
        <v>5784</v>
      </c>
      <c r="C160" s="1">
        <v>0</v>
      </c>
      <c r="D160" s="1">
        <v>40.799999999999997</v>
      </c>
      <c r="E160" s="1" t="s">
        <v>121</v>
      </c>
      <c r="F160" s="1" t="s">
        <v>5785</v>
      </c>
      <c r="G160" s="3" t="s">
        <v>5786</v>
      </c>
      <c r="H160" s="11">
        <f>ROUND(
IF(L158="GANCHO",
   IF(I160&lt;=50,I160*1.1+4,IF(I160&lt;=120,I160*1.1+7,IF(I160&lt;=250,I160*1.1+11,I160*1.1+19))),
IF(L158="NORMAL",
   IF(I160&lt;=30,I160*1.15+2,IF(I160&lt;=80,I160*1.15+4,IF(I160&lt;=150,I160*1.15+6,I160*1.15+8))),
IF(L158="COMPLEMENTO",
   IF(I160&lt;=25,I160*1.25+1.5,IF(I160&lt;=60,I160*1.25+3,IF(I160&lt;=120,I160*1.25+4,I160*1.25+5))),
""))),2)</f>
        <v>200.67</v>
      </c>
      <c r="I160" s="9">
        <f>($K$2+0.02)*Tabla1[[#This Row],[PRECIO $]]*1.18</f>
        <v>167.54111999999998</v>
      </c>
      <c r="J160" s="7">
        <f>+Tabla1[[#This Row],[PRECIO EN SOLES]]-Tabla1[[#This Row],[PC]]</f>
        <v>33.128880000000009</v>
      </c>
      <c r="K160" s="15"/>
      <c r="L160" s="15" t="str">
        <f>IF(
OR(
ISNUMBER(SEARCH("BACKPACK",B162)),
ISNUMBER(SEARCH("MOCHILA",B162)),
ISNUMBER(SEARCH("FUNDA",B162)),
ISNUMBER(SEARCH("ESTUCHE",B162)),
ISNUMBER(SEARCH("BOOK COVER",B162)),
ISNUMBER(SEARCH("KEYBOARD PARA TABLET",B162)),
ISNUMBER(SEARCH("FLIP TABLET",B162)),
ISNUMBER(SEARCH("CASE FOR TABLET",B162)),
ISNUMBER(SEARCH("CABLE",B162)),
ISNUMBER(SEARCH("ADAPTADOR",B162)),
ISNUMBER(SEARCH("HUB",B162)),
ISNUMBER(SEARCH("DOCK",B162)),
ISNUMBER(SEARCH("MOUSE PAD",B162)),
ISNUMBER(SEARCH("MOUSEPAD",B162)),
ISNUMBER(SEARCH("SOPORTE",B162)),
ISNUMBER(SEARCH("STAND",B162)),
ISNUMBER(SEARCH("TRAVEL ADAPTER",B162)),
ISNUMBER(SEARCH("RJ45",B162)),
ISNUMBER(SEARCH("USB-C",B162)),
ISNUMBER(SEARCH("USB WIFI",B162)),
ISNUMBER(SEARCH("POWERBANK",B162)),
ISNUMBER(SEARCH("CARGADOR",B162)),
ISNUMBER(SEARCH("COOLER PARA NB",B162)),
ISNUMBER(SEARCH("SOPORTE PARA NB",B162)),
ISNUMBER(SEARCH("WEBCAM",B162)),
ISNUMBER(SEARCH("WEB CAM",B162)),
ISNUMBER(SEARCH("MOUSE",B162)),
ISNUMBER(SEARCH("TECLADO",B162))
),
"COMPLEMENTO",
IF(
OR(
LEFT(A162,2)="NB",
LEFT(A162,2)="PC",
LEFT(A162,2)="WS",
LEFT(A162,2)="TB",
LEFT(A162,3)="CEL",
LEFT(A162,3)="MON",
LEFT(A162,3)="PRE",
LEFT(A162,3)="PRH",
ISNUMBER(SEARCH("NOTEBOOK",B162)),
ISNUMBER(SEARCH("LAPTOP",B162)),
ISNUMBER(SEARCH("MONITOR",B162)),
ISNUMBER(SEARCH("TABLET",B162)),
ISNUMBER(SEARCH("SMARTPH",B162)),
ISNUMBER(SEARCH("IMPRESORA",B162)),
ISNUMBER(SEARCH("MULTIFUNCIONAL",B162)),
ISNUMBER(SEARCH("AIO",B162))
),
"GANCHO",
"NORMAL"
)
)</f>
        <v>GANCHO</v>
      </c>
    </row>
    <row r="161" spans="1:12" x14ac:dyDescent="0.25">
      <c r="A161" s="3" t="s">
        <v>911</v>
      </c>
      <c r="B161" s="3" t="s">
        <v>912</v>
      </c>
      <c r="C161" s="1">
        <v>0</v>
      </c>
      <c r="D161" s="1">
        <v>427</v>
      </c>
      <c r="E161" s="1" t="s">
        <v>837</v>
      </c>
      <c r="F161" s="1" t="s">
        <v>3149</v>
      </c>
      <c r="G161" s="3" t="s">
        <v>913</v>
      </c>
      <c r="H161" s="11">
        <f>ROUND(
IF(L159="GANCHO",
   IF(I161&lt;=50,I161*1.1+4,IF(I161&lt;=120,I161*1.1+7,IF(I161&lt;=250,I161*1.1+11,I161*1.1+19))),
IF(L159="NORMAL",
   IF(I161&lt;=30,I161*1.15+2,IF(I161&lt;=80,I161*1.15+4,IF(I161&lt;=150,I161*1.15+6,I161*1.15+8))),
IF(L159="COMPLEMENTO",
   IF(I161&lt;=25,I161*1.25+1.5,IF(I161&lt;=60,I161*1.25+3,IF(I161&lt;=120,I161*1.25+4,I161*1.25+5))),
""))),2)</f>
        <v>1947.78</v>
      </c>
      <c r="I161" s="9">
        <f>($K$2+0.02)*Tabla1[[#This Row],[PRECIO $]]*1.18</f>
        <v>1753.4328</v>
      </c>
      <c r="J161" s="7">
        <f>+Tabla1[[#This Row],[PRECIO EN SOLES]]-Tabla1[[#This Row],[PC]]</f>
        <v>194.34719999999993</v>
      </c>
      <c r="K161" s="15"/>
      <c r="L161" s="15" t="str">
        <f>IF(
OR(
ISNUMBER(SEARCH("BACKPACK",B163)),
ISNUMBER(SEARCH("MOCHILA",B163)),
ISNUMBER(SEARCH("FUNDA",B163)),
ISNUMBER(SEARCH("ESTUCHE",B163)),
ISNUMBER(SEARCH("BOOK COVER",B163)),
ISNUMBER(SEARCH("KEYBOARD PARA TABLET",B163)),
ISNUMBER(SEARCH("FLIP TABLET",B163)),
ISNUMBER(SEARCH("CASE FOR TABLET",B163)),
ISNUMBER(SEARCH("CABLE",B163)),
ISNUMBER(SEARCH("ADAPTADOR",B163)),
ISNUMBER(SEARCH("HUB",B163)),
ISNUMBER(SEARCH("DOCK",B163)),
ISNUMBER(SEARCH("MOUSE PAD",B163)),
ISNUMBER(SEARCH("MOUSEPAD",B163)),
ISNUMBER(SEARCH("SOPORTE",B163)),
ISNUMBER(SEARCH("STAND",B163)),
ISNUMBER(SEARCH("TRAVEL ADAPTER",B163)),
ISNUMBER(SEARCH("RJ45",B163)),
ISNUMBER(SEARCH("USB-C",B163)),
ISNUMBER(SEARCH("USB WIFI",B163)),
ISNUMBER(SEARCH("POWERBANK",B163)),
ISNUMBER(SEARCH("CARGADOR",B163)),
ISNUMBER(SEARCH("COOLER PARA NB",B163)),
ISNUMBER(SEARCH("SOPORTE PARA NB",B163)),
ISNUMBER(SEARCH("WEBCAM",B163)),
ISNUMBER(SEARCH("WEB CAM",B163)),
ISNUMBER(SEARCH("MOUSE",B163)),
ISNUMBER(SEARCH("TECLADO",B163))
),
"COMPLEMENTO",
IF(
OR(
LEFT(A163,2)="NB",
LEFT(A163,2)="PC",
LEFT(A163,2)="WS",
LEFT(A163,2)="TB",
LEFT(A163,3)="CEL",
LEFT(A163,3)="MON",
LEFT(A163,3)="PRE",
LEFT(A163,3)="PRH",
ISNUMBER(SEARCH("NOTEBOOK",B163)),
ISNUMBER(SEARCH("LAPTOP",B163)),
ISNUMBER(SEARCH("MONITOR",B163)),
ISNUMBER(SEARCH("TABLET",B163)),
ISNUMBER(SEARCH("SMARTPH",B163)),
ISNUMBER(SEARCH("IMPRESORA",B163)),
ISNUMBER(SEARCH("MULTIFUNCIONAL",B163)),
ISNUMBER(SEARCH("AIO",B163))
),
"GANCHO",
"NORMAL"
)
)</f>
        <v>GANCHO</v>
      </c>
    </row>
    <row r="162" spans="1:12" x14ac:dyDescent="0.25">
      <c r="A162" s="3" t="s">
        <v>914</v>
      </c>
      <c r="B162" s="3" t="s">
        <v>915</v>
      </c>
      <c r="C162" s="1">
        <v>0</v>
      </c>
      <c r="D162" s="1">
        <v>563</v>
      </c>
      <c r="E162" s="1" t="s">
        <v>56</v>
      </c>
      <c r="F162" s="1" t="s">
        <v>3150</v>
      </c>
      <c r="G162" s="3"/>
      <c r="H162" s="11">
        <f>ROUND(
IF(L160="GANCHO",
   IF(I162&lt;=50,I162*1.1+4,IF(I162&lt;=120,I162*1.1+7,IF(I162&lt;=250,I162*1.1+11,I162*1.1+19))),
IF(L160="NORMAL",
   IF(I162&lt;=30,I162*1.15+2,IF(I162&lt;=80,I162*1.15+4,IF(I162&lt;=150,I162*1.15+6,I162*1.15+8))),
IF(L160="COMPLEMENTO",
   IF(I162&lt;=25,I162*1.25+1.5,IF(I162&lt;=60,I162*1.25+3,IF(I162&lt;=120,I162*1.25+4,I162*1.25+5))),
""))),2)</f>
        <v>2562.09</v>
      </c>
      <c r="I162" s="9">
        <f>($K$2+0.02)*Tabla1[[#This Row],[PRECIO $]]*1.18</f>
        <v>2311.9031999999997</v>
      </c>
      <c r="J162" s="7">
        <f>+Tabla1[[#This Row],[PRECIO EN SOLES]]-Tabla1[[#This Row],[PC]]</f>
        <v>250.1868000000004</v>
      </c>
      <c r="K162" s="15"/>
      <c r="L162" s="15" t="str">
        <f>IF(
OR(
ISNUMBER(SEARCH("BACKPACK",B164)),
ISNUMBER(SEARCH("MOCHILA",B164)),
ISNUMBER(SEARCH("FUNDA",B164)),
ISNUMBER(SEARCH("ESTUCHE",B164)),
ISNUMBER(SEARCH("BOOK COVER",B164)),
ISNUMBER(SEARCH("KEYBOARD PARA TABLET",B164)),
ISNUMBER(SEARCH("FLIP TABLET",B164)),
ISNUMBER(SEARCH("CASE FOR TABLET",B164)),
ISNUMBER(SEARCH("CABLE",B164)),
ISNUMBER(SEARCH("ADAPTADOR",B164)),
ISNUMBER(SEARCH("HUB",B164)),
ISNUMBER(SEARCH("DOCK",B164)),
ISNUMBER(SEARCH("MOUSE PAD",B164)),
ISNUMBER(SEARCH("MOUSEPAD",B164)),
ISNUMBER(SEARCH("SOPORTE",B164)),
ISNUMBER(SEARCH("STAND",B164)),
ISNUMBER(SEARCH("TRAVEL ADAPTER",B164)),
ISNUMBER(SEARCH("RJ45",B164)),
ISNUMBER(SEARCH("USB-C",B164)),
ISNUMBER(SEARCH("USB WIFI",B164)),
ISNUMBER(SEARCH("POWERBANK",B164)),
ISNUMBER(SEARCH("CARGADOR",B164)),
ISNUMBER(SEARCH("COOLER PARA NB",B164)),
ISNUMBER(SEARCH("SOPORTE PARA NB",B164)),
ISNUMBER(SEARCH("WEBCAM",B164)),
ISNUMBER(SEARCH("WEB CAM",B164)),
ISNUMBER(SEARCH("MOUSE",B164)),
ISNUMBER(SEARCH("TECLADO",B164))
),
"COMPLEMENTO",
IF(
OR(
LEFT(A164,2)="NB",
LEFT(A164,2)="PC",
LEFT(A164,2)="WS",
LEFT(A164,2)="TB",
LEFT(A164,3)="CEL",
LEFT(A164,3)="MON",
LEFT(A164,3)="PRE",
LEFT(A164,3)="PRH",
ISNUMBER(SEARCH("NOTEBOOK",B164)),
ISNUMBER(SEARCH("LAPTOP",B164)),
ISNUMBER(SEARCH("MONITOR",B164)),
ISNUMBER(SEARCH("TABLET",B164)),
ISNUMBER(SEARCH("SMARTPH",B164)),
ISNUMBER(SEARCH("IMPRESORA",B164)),
ISNUMBER(SEARCH("MULTIFUNCIONAL",B164)),
ISNUMBER(SEARCH("AIO",B164))
),
"GANCHO",
"NORMAL"
)
)</f>
        <v>GANCHO</v>
      </c>
    </row>
    <row r="163" spans="1:12" x14ac:dyDescent="0.25">
      <c r="A163" s="3" t="s">
        <v>2918</v>
      </c>
      <c r="B163" s="3" t="s">
        <v>2919</v>
      </c>
      <c r="C163" s="1">
        <v>0</v>
      </c>
      <c r="D163" s="1">
        <v>578</v>
      </c>
      <c r="E163" s="1" t="s">
        <v>141</v>
      </c>
      <c r="F163" s="1" t="s">
        <v>3151</v>
      </c>
      <c r="G163" s="3" t="s">
        <v>2920</v>
      </c>
      <c r="H163" s="11">
        <f>ROUND(
IF(L161="GANCHO",
   IF(I163&lt;=50,I163*1.1+4,IF(I163&lt;=120,I163*1.1+7,IF(I163&lt;=250,I163*1.1+11,I163*1.1+19))),
IF(L161="NORMAL",
   IF(I163&lt;=30,I163*1.15+2,IF(I163&lt;=80,I163*1.15+4,IF(I163&lt;=150,I163*1.15+6,I163*1.15+8))),
IF(L161="COMPLEMENTO",
   IF(I163&lt;=25,I163*1.25+1.5,IF(I163&lt;=60,I163*1.25+3,IF(I163&lt;=120,I163*1.25+4,I163*1.25+5))),
""))),2)</f>
        <v>2629.85</v>
      </c>
      <c r="I163" s="9">
        <f>($K$2+0.02)*Tabla1[[#This Row],[PRECIO $]]*1.18</f>
        <v>2373.4991999999997</v>
      </c>
      <c r="J163" s="7">
        <f>+Tabla1[[#This Row],[PRECIO EN SOLES]]-Tabla1[[#This Row],[PC]]</f>
        <v>256.35080000000016</v>
      </c>
      <c r="K163" s="15"/>
      <c r="L163" s="15" t="str">
        <f>IF(
OR(
ISNUMBER(SEARCH("BACKPACK",B165)),
ISNUMBER(SEARCH("MOCHILA",B165)),
ISNUMBER(SEARCH("FUNDA",B165)),
ISNUMBER(SEARCH("ESTUCHE",B165)),
ISNUMBER(SEARCH("BOOK COVER",B165)),
ISNUMBER(SEARCH("KEYBOARD PARA TABLET",B165)),
ISNUMBER(SEARCH("FLIP TABLET",B165)),
ISNUMBER(SEARCH("CASE FOR TABLET",B165)),
ISNUMBER(SEARCH("CABLE",B165)),
ISNUMBER(SEARCH("ADAPTADOR",B165)),
ISNUMBER(SEARCH("HUB",B165)),
ISNUMBER(SEARCH("DOCK",B165)),
ISNUMBER(SEARCH("MOUSE PAD",B165)),
ISNUMBER(SEARCH("MOUSEPAD",B165)),
ISNUMBER(SEARCH("SOPORTE",B165)),
ISNUMBER(SEARCH("STAND",B165)),
ISNUMBER(SEARCH("TRAVEL ADAPTER",B165)),
ISNUMBER(SEARCH("RJ45",B165)),
ISNUMBER(SEARCH("USB-C",B165)),
ISNUMBER(SEARCH("USB WIFI",B165)),
ISNUMBER(SEARCH("POWERBANK",B165)),
ISNUMBER(SEARCH("CARGADOR",B165)),
ISNUMBER(SEARCH("COOLER PARA NB",B165)),
ISNUMBER(SEARCH("SOPORTE PARA NB",B165)),
ISNUMBER(SEARCH("WEBCAM",B165)),
ISNUMBER(SEARCH("WEB CAM",B165)),
ISNUMBER(SEARCH("MOUSE",B165)),
ISNUMBER(SEARCH("TECLADO",B165))
),
"COMPLEMENTO",
IF(
OR(
LEFT(A165,2)="NB",
LEFT(A165,2)="PC",
LEFT(A165,2)="WS",
LEFT(A165,2)="TB",
LEFT(A165,3)="CEL",
LEFT(A165,3)="MON",
LEFT(A165,3)="PRE",
LEFT(A165,3)="PRH",
ISNUMBER(SEARCH("NOTEBOOK",B165)),
ISNUMBER(SEARCH("LAPTOP",B165)),
ISNUMBER(SEARCH("MONITOR",B165)),
ISNUMBER(SEARCH("TABLET",B165)),
ISNUMBER(SEARCH("SMARTPH",B165)),
ISNUMBER(SEARCH("IMPRESORA",B165)),
ISNUMBER(SEARCH("MULTIFUNCIONAL",B165)),
ISNUMBER(SEARCH("AIO",B165))
),
"GANCHO",
"NORMAL"
)
)</f>
        <v>GANCHO</v>
      </c>
    </row>
    <row r="164" spans="1:12" x14ac:dyDescent="0.25">
      <c r="A164" s="3" t="s">
        <v>142</v>
      </c>
      <c r="B164" s="3" t="s">
        <v>143</v>
      </c>
      <c r="C164" s="1">
        <v>18</v>
      </c>
      <c r="D164" s="1">
        <v>203</v>
      </c>
      <c r="E164" s="1" t="s">
        <v>141</v>
      </c>
      <c r="F164" s="1" t="s">
        <v>3152</v>
      </c>
      <c r="G164" s="3" t="s">
        <v>144</v>
      </c>
      <c r="H164" s="11">
        <f>ROUND(
IF(L162="GANCHO",
   IF(I164&lt;=50,I164*1.1+4,IF(I164&lt;=120,I164*1.1+7,IF(I164&lt;=250,I164*1.1+11,I164*1.1+19))),
IF(L162="NORMAL",
   IF(I164&lt;=30,I164*1.15+2,IF(I164&lt;=80,I164*1.15+4,IF(I164&lt;=150,I164*1.15+6,I164*1.15+8))),
IF(L162="COMPLEMENTO",
   IF(I164&lt;=25,I164*1.25+1.5,IF(I164&lt;=60,I164*1.25+3,IF(I164&lt;=120,I164*1.25+4,I164*1.25+5))),
""))),2)</f>
        <v>935.96</v>
      </c>
      <c r="I164" s="9">
        <f>($K$2+0.02)*Tabla1[[#This Row],[PRECIO $]]*1.18</f>
        <v>833.59919999999988</v>
      </c>
      <c r="J164" s="7">
        <f>+Tabla1[[#This Row],[PRECIO EN SOLES]]-Tabla1[[#This Row],[PC]]</f>
        <v>102.36080000000015</v>
      </c>
      <c r="K164" s="15"/>
      <c r="L164" s="15" t="str">
        <f>IF(
OR(
ISNUMBER(SEARCH("BACKPACK",B166)),
ISNUMBER(SEARCH("MOCHILA",B166)),
ISNUMBER(SEARCH("FUNDA",B166)),
ISNUMBER(SEARCH("ESTUCHE",B166)),
ISNUMBER(SEARCH("BOOK COVER",B166)),
ISNUMBER(SEARCH("KEYBOARD PARA TABLET",B166)),
ISNUMBER(SEARCH("FLIP TABLET",B166)),
ISNUMBER(SEARCH("CASE FOR TABLET",B166)),
ISNUMBER(SEARCH("CABLE",B166)),
ISNUMBER(SEARCH("ADAPTADOR",B166)),
ISNUMBER(SEARCH("HUB",B166)),
ISNUMBER(SEARCH("DOCK",B166)),
ISNUMBER(SEARCH("MOUSE PAD",B166)),
ISNUMBER(SEARCH("MOUSEPAD",B166)),
ISNUMBER(SEARCH("SOPORTE",B166)),
ISNUMBER(SEARCH("STAND",B166)),
ISNUMBER(SEARCH("TRAVEL ADAPTER",B166)),
ISNUMBER(SEARCH("RJ45",B166)),
ISNUMBER(SEARCH("USB-C",B166)),
ISNUMBER(SEARCH("USB WIFI",B166)),
ISNUMBER(SEARCH("POWERBANK",B166)),
ISNUMBER(SEARCH("CARGADOR",B166)),
ISNUMBER(SEARCH("COOLER PARA NB",B166)),
ISNUMBER(SEARCH("SOPORTE PARA NB",B166)),
ISNUMBER(SEARCH("WEBCAM",B166)),
ISNUMBER(SEARCH("WEB CAM",B166)),
ISNUMBER(SEARCH("MOUSE",B166)),
ISNUMBER(SEARCH("TECLADO",B166))
),
"COMPLEMENTO",
IF(
OR(
LEFT(A166,2)="NB",
LEFT(A166,2)="PC",
LEFT(A166,2)="WS",
LEFT(A166,2)="TB",
LEFT(A166,3)="CEL",
LEFT(A166,3)="MON",
LEFT(A166,3)="PRE",
LEFT(A166,3)="PRH",
ISNUMBER(SEARCH("NOTEBOOK",B166)),
ISNUMBER(SEARCH("LAPTOP",B166)),
ISNUMBER(SEARCH("MONITOR",B166)),
ISNUMBER(SEARCH("TABLET",B166)),
ISNUMBER(SEARCH("SMARTPH",B166)),
ISNUMBER(SEARCH("IMPRESORA",B166)),
ISNUMBER(SEARCH("MULTIFUNCIONAL",B166)),
ISNUMBER(SEARCH("AIO",B166))
),
"GANCHO",
"NORMAL"
)
)</f>
        <v>GANCHO</v>
      </c>
    </row>
    <row r="165" spans="1:12" x14ac:dyDescent="0.25">
      <c r="A165" s="3" t="s">
        <v>917</v>
      </c>
      <c r="B165" s="3" t="s">
        <v>918</v>
      </c>
      <c r="C165" s="1">
        <v>4</v>
      </c>
      <c r="D165" s="1">
        <v>1710</v>
      </c>
      <c r="E165" s="1" t="s">
        <v>141</v>
      </c>
      <c r="F165" s="1" t="s">
        <v>3153</v>
      </c>
      <c r="G165" s="3" t="s">
        <v>919</v>
      </c>
      <c r="H165" s="11">
        <f>ROUND(
IF(L163="GANCHO",
   IF(I165&lt;=50,I165*1.1+4,IF(I165&lt;=120,I165*1.1+7,IF(I165&lt;=250,I165*1.1+11,I165*1.1+19))),
IF(L163="NORMAL",
   IF(I165&lt;=30,I165*1.15+2,IF(I165&lt;=80,I165*1.15+4,IF(I165&lt;=150,I165*1.15+6,I165*1.15+8))),
IF(L163="COMPLEMENTO",
   IF(I165&lt;=25,I165*1.25+1.5,IF(I165&lt;=60,I165*1.25+3,IF(I165&lt;=120,I165*1.25+4,I165*1.25+5))),
""))),2)</f>
        <v>7743.14</v>
      </c>
      <c r="I165" s="9">
        <f>($K$2+0.02)*Tabla1[[#This Row],[PRECIO $]]*1.18</f>
        <v>7021.9439999999995</v>
      </c>
      <c r="J165" s="7">
        <f>+Tabla1[[#This Row],[PRECIO EN SOLES]]-Tabla1[[#This Row],[PC]]</f>
        <v>721.19600000000082</v>
      </c>
      <c r="K165" s="15"/>
      <c r="L165" s="15" t="str">
        <f>IF(
OR(
ISNUMBER(SEARCH("BACKPACK",B167)),
ISNUMBER(SEARCH("MOCHILA",B167)),
ISNUMBER(SEARCH("FUNDA",B167)),
ISNUMBER(SEARCH("ESTUCHE",B167)),
ISNUMBER(SEARCH("BOOK COVER",B167)),
ISNUMBER(SEARCH("KEYBOARD PARA TABLET",B167)),
ISNUMBER(SEARCH("FLIP TABLET",B167)),
ISNUMBER(SEARCH("CASE FOR TABLET",B167)),
ISNUMBER(SEARCH("CABLE",B167)),
ISNUMBER(SEARCH("ADAPTADOR",B167)),
ISNUMBER(SEARCH("HUB",B167)),
ISNUMBER(SEARCH("DOCK",B167)),
ISNUMBER(SEARCH("MOUSE PAD",B167)),
ISNUMBER(SEARCH("MOUSEPAD",B167)),
ISNUMBER(SEARCH("SOPORTE",B167)),
ISNUMBER(SEARCH("STAND",B167)),
ISNUMBER(SEARCH("TRAVEL ADAPTER",B167)),
ISNUMBER(SEARCH("RJ45",B167)),
ISNUMBER(SEARCH("USB-C",B167)),
ISNUMBER(SEARCH("USB WIFI",B167)),
ISNUMBER(SEARCH("POWERBANK",B167)),
ISNUMBER(SEARCH("CARGADOR",B167)),
ISNUMBER(SEARCH("COOLER PARA NB",B167)),
ISNUMBER(SEARCH("SOPORTE PARA NB",B167)),
ISNUMBER(SEARCH("WEBCAM",B167)),
ISNUMBER(SEARCH("WEB CAM",B167)),
ISNUMBER(SEARCH("MOUSE",B167)),
ISNUMBER(SEARCH("TECLADO",B167))
),
"COMPLEMENTO",
IF(
OR(
LEFT(A167,2)="NB",
LEFT(A167,2)="PC",
LEFT(A167,2)="WS",
LEFT(A167,2)="TB",
LEFT(A167,3)="CEL",
LEFT(A167,3)="MON",
LEFT(A167,3)="PRE",
LEFT(A167,3)="PRH",
ISNUMBER(SEARCH("NOTEBOOK",B167)),
ISNUMBER(SEARCH("LAPTOP",B167)),
ISNUMBER(SEARCH("MONITOR",B167)),
ISNUMBER(SEARCH("TABLET",B167)),
ISNUMBER(SEARCH("SMARTPH",B167)),
ISNUMBER(SEARCH("IMPRESORA",B167)),
ISNUMBER(SEARCH("MULTIFUNCIONAL",B167)),
ISNUMBER(SEARCH("AIO",B167))
),
"GANCHO",
"NORMAL"
)
)</f>
        <v>GANCHO</v>
      </c>
    </row>
    <row r="166" spans="1:12" x14ac:dyDescent="0.25">
      <c r="A166" s="3" t="s">
        <v>2774</v>
      </c>
      <c r="B166" s="3" t="s">
        <v>916</v>
      </c>
      <c r="C166" s="1">
        <v>20</v>
      </c>
      <c r="D166" s="1">
        <v>267</v>
      </c>
      <c r="E166" s="1" t="s">
        <v>141</v>
      </c>
      <c r="F166" s="1" t="s">
        <v>3154</v>
      </c>
      <c r="G166" s="3"/>
      <c r="H166" s="11">
        <f>ROUND(
IF(L164="GANCHO",
   IF(I166&lt;=50,I166*1.1+4,IF(I166&lt;=120,I166*1.1+7,IF(I166&lt;=250,I166*1.1+11,I166*1.1+19))),
IF(L164="NORMAL",
   IF(I166&lt;=30,I166*1.15+2,IF(I166&lt;=80,I166*1.15+4,IF(I166&lt;=150,I166*1.15+6,I166*1.15+8))),
IF(L164="COMPLEMENTO",
   IF(I166&lt;=25,I166*1.25+1.5,IF(I166&lt;=60,I166*1.25+3,IF(I166&lt;=120,I166*1.25+4,I166*1.25+5))),
""))),2)</f>
        <v>1225.05</v>
      </c>
      <c r="I166" s="9">
        <f>($K$2+0.02)*Tabla1[[#This Row],[PRECIO $]]*1.18</f>
        <v>1096.4087999999999</v>
      </c>
      <c r="J166" s="7">
        <f>+Tabla1[[#This Row],[PRECIO EN SOLES]]-Tabla1[[#This Row],[PC]]</f>
        <v>128.64120000000003</v>
      </c>
      <c r="K166" s="15"/>
      <c r="L166" s="15" t="str">
        <f>IF(
OR(
ISNUMBER(SEARCH("BACKPACK",B168)),
ISNUMBER(SEARCH("MOCHILA",B168)),
ISNUMBER(SEARCH("FUNDA",B168)),
ISNUMBER(SEARCH("ESTUCHE",B168)),
ISNUMBER(SEARCH("BOOK COVER",B168)),
ISNUMBER(SEARCH("KEYBOARD PARA TABLET",B168)),
ISNUMBER(SEARCH("FLIP TABLET",B168)),
ISNUMBER(SEARCH("CASE FOR TABLET",B168)),
ISNUMBER(SEARCH("CABLE",B168)),
ISNUMBER(SEARCH("ADAPTADOR",B168)),
ISNUMBER(SEARCH("HUB",B168)),
ISNUMBER(SEARCH("DOCK",B168)),
ISNUMBER(SEARCH("MOUSE PAD",B168)),
ISNUMBER(SEARCH("MOUSEPAD",B168)),
ISNUMBER(SEARCH("SOPORTE",B168)),
ISNUMBER(SEARCH("STAND",B168)),
ISNUMBER(SEARCH("TRAVEL ADAPTER",B168)),
ISNUMBER(SEARCH("RJ45",B168)),
ISNUMBER(SEARCH("USB-C",B168)),
ISNUMBER(SEARCH("USB WIFI",B168)),
ISNUMBER(SEARCH("POWERBANK",B168)),
ISNUMBER(SEARCH("CARGADOR",B168)),
ISNUMBER(SEARCH("COOLER PARA NB",B168)),
ISNUMBER(SEARCH("SOPORTE PARA NB",B168)),
ISNUMBER(SEARCH("WEBCAM",B168)),
ISNUMBER(SEARCH("WEB CAM",B168)),
ISNUMBER(SEARCH("MOUSE",B168)),
ISNUMBER(SEARCH("TECLADO",B168))
),
"COMPLEMENTO",
IF(
OR(
LEFT(A168,2)="NB",
LEFT(A168,2)="PC",
LEFT(A168,2)="WS",
LEFT(A168,2)="TB",
LEFT(A168,3)="CEL",
LEFT(A168,3)="MON",
LEFT(A168,3)="PRE",
LEFT(A168,3)="PRH",
ISNUMBER(SEARCH("NOTEBOOK",B168)),
ISNUMBER(SEARCH("LAPTOP",B168)),
ISNUMBER(SEARCH("MONITOR",B168)),
ISNUMBER(SEARCH("TABLET",B168)),
ISNUMBER(SEARCH("SMARTPH",B168)),
ISNUMBER(SEARCH("IMPRESORA",B168)),
ISNUMBER(SEARCH("MULTIFUNCIONAL",B168)),
ISNUMBER(SEARCH("AIO",B168))
),
"GANCHO",
"NORMAL"
)
)</f>
        <v>GANCHO</v>
      </c>
    </row>
    <row r="167" spans="1:12" x14ac:dyDescent="0.25">
      <c r="A167" s="3" t="s">
        <v>4561</v>
      </c>
      <c r="B167" s="3" t="s">
        <v>4562</v>
      </c>
      <c r="C167" s="1">
        <v>4</v>
      </c>
      <c r="D167" s="1">
        <v>868</v>
      </c>
      <c r="E167" s="1" t="s">
        <v>141</v>
      </c>
      <c r="F167" s="1" t="s">
        <v>4563</v>
      </c>
      <c r="G167" s="3" t="s">
        <v>4564</v>
      </c>
      <c r="H167" s="11">
        <f>ROUND(
IF(L165="GANCHO",
   IF(I167&lt;=50,I167*1.1+4,IF(I167&lt;=120,I167*1.1+7,IF(I167&lt;=250,I167*1.1+11,I167*1.1+19))),
IF(L165="NORMAL",
   IF(I167&lt;=30,I167*1.15+2,IF(I167&lt;=80,I167*1.15+4,IF(I167&lt;=150,I167*1.15+6,I167*1.15+8))),
IF(L165="COMPLEMENTO",
   IF(I167&lt;=25,I167*1.25+1.5,IF(I167&lt;=60,I167*1.25+3,IF(I167&lt;=120,I167*1.25+4,I167*1.25+5))),
""))),2)</f>
        <v>3939.79</v>
      </c>
      <c r="I167" s="9">
        <f>($K$2+0.02)*Tabla1[[#This Row],[PRECIO $]]*1.18</f>
        <v>3564.3551999999995</v>
      </c>
      <c r="J167" s="7">
        <f>+Tabla1[[#This Row],[PRECIO EN SOLES]]-Tabla1[[#This Row],[PC]]</f>
        <v>375.43480000000045</v>
      </c>
      <c r="K167" s="15"/>
      <c r="L167" s="15" t="str">
        <f>IF(
OR(
ISNUMBER(SEARCH("BACKPACK",B169)),
ISNUMBER(SEARCH("MOCHILA",B169)),
ISNUMBER(SEARCH("FUNDA",B169)),
ISNUMBER(SEARCH("ESTUCHE",B169)),
ISNUMBER(SEARCH("BOOK COVER",B169)),
ISNUMBER(SEARCH("KEYBOARD PARA TABLET",B169)),
ISNUMBER(SEARCH("FLIP TABLET",B169)),
ISNUMBER(SEARCH("CASE FOR TABLET",B169)),
ISNUMBER(SEARCH("CABLE",B169)),
ISNUMBER(SEARCH("ADAPTADOR",B169)),
ISNUMBER(SEARCH("HUB",B169)),
ISNUMBER(SEARCH("DOCK",B169)),
ISNUMBER(SEARCH("MOUSE PAD",B169)),
ISNUMBER(SEARCH("MOUSEPAD",B169)),
ISNUMBER(SEARCH("SOPORTE",B169)),
ISNUMBER(SEARCH("STAND",B169)),
ISNUMBER(SEARCH("TRAVEL ADAPTER",B169)),
ISNUMBER(SEARCH("RJ45",B169)),
ISNUMBER(SEARCH("USB-C",B169)),
ISNUMBER(SEARCH("USB WIFI",B169)),
ISNUMBER(SEARCH("POWERBANK",B169)),
ISNUMBER(SEARCH("CARGADOR",B169)),
ISNUMBER(SEARCH("COOLER PARA NB",B169)),
ISNUMBER(SEARCH("SOPORTE PARA NB",B169)),
ISNUMBER(SEARCH("WEBCAM",B169)),
ISNUMBER(SEARCH("WEB CAM",B169)),
ISNUMBER(SEARCH("MOUSE",B169)),
ISNUMBER(SEARCH("TECLADO",B169))
),
"COMPLEMENTO",
IF(
OR(
LEFT(A169,2)="NB",
LEFT(A169,2)="PC",
LEFT(A169,2)="WS",
LEFT(A169,2)="TB",
LEFT(A169,3)="CEL",
LEFT(A169,3)="MON",
LEFT(A169,3)="PRE",
LEFT(A169,3)="PRH",
ISNUMBER(SEARCH("NOTEBOOK",B169)),
ISNUMBER(SEARCH("LAPTOP",B169)),
ISNUMBER(SEARCH("MONITOR",B169)),
ISNUMBER(SEARCH("TABLET",B169)),
ISNUMBER(SEARCH("SMARTPH",B169)),
ISNUMBER(SEARCH("IMPRESORA",B169)),
ISNUMBER(SEARCH("MULTIFUNCIONAL",B169)),
ISNUMBER(SEARCH("AIO",B169))
),
"GANCHO",
"NORMAL"
)
)</f>
        <v>GANCHO</v>
      </c>
    </row>
    <row r="168" spans="1:12" x14ac:dyDescent="0.25">
      <c r="A168" s="3" t="s">
        <v>5639</v>
      </c>
      <c r="B168" s="3" t="s">
        <v>5640</v>
      </c>
      <c r="C168" s="1">
        <v>15</v>
      </c>
      <c r="D168" s="1">
        <v>403</v>
      </c>
      <c r="E168" s="1" t="s">
        <v>141</v>
      </c>
      <c r="F168" s="1" t="s">
        <v>5641</v>
      </c>
      <c r="G168" s="3" t="s">
        <v>5642</v>
      </c>
      <c r="H168" s="11">
        <f>ROUND(
IF(L166="GANCHO",
   IF(I168&lt;=50,I168*1.1+4,IF(I168&lt;=120,I168*1.1+7,IF(I168&lt;=250,I168*1.1+11,I168*1.1+19))),
IF(L166="NORMAL",
   IF(I168&lt;=30,I168*1.15+2,IF(I168&lt;=80,I168*1.15+4,IF(I168&lt;=150,I168*1.15+6,I168*1.15+8))),
IF(L166="COMPLEMENTO",
   IF(I168&lt;=25,I168*1.25+1.5,IF(I168&lt;=60,I168*1.25+3,IF(I168&lt;=120,I168*1.25+4,I168*1.25+5))),
""))),2)</f>
        <v>1839.37</v>
      </c>
      <c r="I168" s="9">
        <f>($K$2+0.02)*Tabla1[[#This Row],[PRECIO $]]*1.18</f>
        <v>1654.8792000000001</v>
      </c>
      <c r="J168" s="7">
        <f>+Tabla1[[#This Row],[PRECIO EN SOLES]]-Tabla1[[#This Row],[PC]]</f>
        <v>184.49079999999981</v>
      </c>
      <c r="K168" s="15"/>
      <c r="L168" s="15" t="str">
        <f>IF(
OR(
ISNUMBER(SEARCH("BACKPACK",B170)),
ISNUMBER(SEARCH("MOCHILA",B170)),
ISNUMBER(SEARCH("FUNDA",B170)),
ISNUMBER(SEARCH("ESTUCHE",B170)),
ISNUMBER(SEARCH("BOOK COVER",B170)),
ISNUMBER(SEARCH("KEYBOARD PARA TABLET",B170)),
ISNUMBER(SEARCH("FLIP TABLET",B170)),
ISNUMBER(SEARCH("CASE FOR TABLET",B170)),
ISNUMBER(SEARCH("CABLE",B170)),
ISNUMBER(SEARCH("ADAPTADOR",B170)),
ISNUMBER(SEARCH("HUB",B170)),
ISNUMBER(SEARCH("DOCK",B170)),
ISNUMBER(SEARCH("MOUSE PAD",B170)),
ISNUMBER(SEARCH("MOUSEPAD",B170)),
ISNUMBER(SEARCH("SOPORTE",B170)),
ISNUMBER(SEARCH("STAND",B170)),
ISNUMBER(SEARCH("TRAVEL ADAPTER",B170)),
ISNUMBER(SEARCH("RJ45",B170)),
ISNUMBER(SEARCH("USB-C",B170)),
ISNUMBER(SEARCH("USB WIFI",B170)),
ISNUMBER(SEARCH("POWERBANK",B170)),
ISNUMBER(SEARCH("CARGADOR",B170)),
ISNUMBER(SEARCH("COOLER PARA NB",B170)),
ISNUMBER(SEARCH("SOPORTE PARA NB",B170)),
ISNUMBER(SEARCH("WEBCAM",B170)),
ISNUMBER(SEARCH("WEB CAM",B170)),
ISNUMBER(SEARCH("MOUSE",B170)),
ISNUMBER(SEARCH("TECLADO",B170))
),
"COMPLEMENTO",
IF(
OR(
LEFT(A170,2)="NB",
LEFT(A170,2)="PC",
LEFT(A170,2)="WS",
LEFT(A170,2)="TB",
LEFT(A170,3)="CEL",
LEFT(A170,3)="MON",
LEFT(A170,3)="PRE",
LEFT(A170,3)="PRH",
ISNUMBER(SEARCH("NOTEBOOK",B170)),
ISNUMBER(SEARCH("LAPTOP",B170)),
ISNUMBER(SEARCH("MONITOR",B170)),
ISNUMBER(SEARCH("TABLET",B170)),
ISNUMBER(SEARCH("SMARTPH",B170)),
ISNUMBER(SEARCH("IMPRESORA",B170)),
ISNUMBER(SEARCH("MULTIFUNCIONAL",B170)),
ISNUMBER(SEARCH("AIO",B170))
),
"GANCHO",
"NORMAL"
)
)</f>
        <v>GANCHO</v>
      </c>
    </row>
    <row r="169" spans="1:12" x14ac:dyDescent="0.25">
      <c r="A169" s="3" t="s">
        <v>920</v>
      </c>
      <c r="B169" s="3" t="s">
        <v>921</v>
      </c>
      <c r="C169" s="1">
        <v>11</v>
      </c>
      <c r="D169" s="1">
        <v>752</v>
      </c>
      <c r="E169" s="1" t="s">
        <v>141</v>
      </c>
      <c r="F169" s="1" t="s">
        <v>3155</v>
      </c>
      <c r="G169" s="3" t="s">
        <v>922</v>
      </c>
      <c r="H169" s="11">
        <f>ROUND(
IF(L167="GANCHO",
   IF(I169&lt;=50,I169*1.1+4,IF(I169&lt;=120,I169*1.1+7,IF(I169&lt;=250,I169*1.1+11,I169*1.1+19))),
IF(L167="NORMAL",
   IF(I169&lt;=30,I169*1.15+2,IF(I169&lt;=80,I169*1.15+4,IF(I169&lt;=150,I169*1.15+6,I169*1.15+8))),
IF(L167="COMPLEMENTO",
   IF(I169&lt;=25,I169*1.25+1.5,IF(I169&lt;=60,I169*1.25+3,IF(I169&lt;=120,I169*1.25+4,I169*1.25+5))),
""))),2)</f>
        <v>3415.81</v>
      </c>
      <c r="I169" s="9">
        <f>($K$2+0.02)*Tabla1[[#This Row],[PRECIO $]]*1.18</f>
        <v>3088.0128</v>
      </c>
      <c r="J169" s="7">
        <f>+Tabla1[[#This Row],[PRECIO EN SOLES]]-Tabla1[[#This Row],[PC]]</f>
        <v>327.79719999999998</v>
      </c>
      <c r="K169" s="15"/>
      <c r="L169" s="15" t="str">
        <f>IF(
OR(
ISNUMBER(SEARCH("BACKPACK",B171)),
ISNUMBER(SEARCH("MOCHILA",B171)),
ISNUMBER(SEARCH("FUNDA",B171)),
ISNUMBER(SEARCH("ESTUCHE",B171)),
ISNUMBER(SEARCH("BOOK COVER",B171)),
ISNUMBER(SEARCH("KEYBOARD PARA TABLET",B171)),
ISNUMBER(SEARCH("FLIP TABLET",B171)),
ISNUMBER(SEARCH("CASE FOR TABLET",B171)),
ISNUMBER(SEARCH("CABLE",B171)),
ISNUMBER(SEARCH("ADAPTADOR",B171)),
ISNUMBER(SEARCH("HUB",B171)),
ISNUMBER(SEARCH("DOCK",B171)),
ISNUMBER(SEARCH("MOUSE PAD",B171)),
ISNUMBER(SEARCH("MOUSEPAD",B171)),
ISNUMBER(SEARCH("SOPORTE",B171)),
ISNUMBER(SEARCH("STAND",B171)),
ISNUMBER(SEARCH("TRAVEL ADAPTER",B171)),
ISNUMBER(SEARCH("RJ45",B171)),
ISNUMBER(SEARCH("USB-C",B171)),
ISNUMBER(SEARCH("USB WIFI",B171)),
ISNUMBER(SEARCH("POWERBANK",B171)),
ISNUMBER(SEARCH("CARGADOR",B171)),
ISNUMBER(SEARCH("COOLER PARA NB",B171)),
ISNUMBER(SEARCH("SOPORTE PARA NB",B171)),
ISNUMBER(SEARCH("WEBCAM",B171)),
ISNUMBER(SEARCH("WEB CAM",B171)),
ISNUMBER(SEARCH("MOUSE",B171)),
ISNUMBER(SEARCH("TECLADO",B171))
),
"COMPLEMENTO",
IF(
OR(
LEFT(A171,2)="NB",
LEFT(A171,2)="PC",
LEFT(A171,2)="WS",
LEFT(A171,2)="TB",
LEFT(A171,3)="CEL",
LEFT(A171,3)="MON",
LEFT(A171,3)="PRE",
LEFT(A171,3)="PRH",
ISNUMBER(SEARCH("NOTEBOOK",B171)),
ISNUMBER(SEARCH("LAPTOP",B171)),
ISNUMBER(SEARCH("MONITOR",B171)),
ISNUMBER(SEARCH("TABLET",B171)),
ISNUMBER(SEARCH("SMARTPH",B171)),
ISNUMBER(SEARCH("IMPRESORA",B171)),
ISNUMBER(SEARCH("MULTIFUNCIONAL",B171)),
ISNUMBER(SEARCH("AIO",B171))
),
"GANCHO",
"NORMAL"
)
)</f>
        <v>GANCHO</v>
      </c>
    </row>
    <row r="170" spans="1:12" x14ac:dyDescent="0.25">
      <c r="A170" s="3" t="s">
        <v>923</v>
      </c>
      <c r="B170" s="3" t="s">
        <v>924</v>
      </c>
      <c r="C170" s="1">
        <v>20</v>
      </c>
      <c r="D170" s="1">
        <v>222</v>
      </c>
      <c r="E170" s="1" t="s">
        <v>141</v>
      </c>
      <c r="F170" s="1" t="s">
        <v>3156</v>
      </c>
      <c r="G170" s="3" t="s">
        <v>925</v>
      </c>
      <c r="H170" s="11">
        <f>ROUND(
IF(L168="GANCHO",
   IF(I170&lt;=50,I170*1.1+4,IF(I170&lt;=120,I170*1.1+7,IF(I170&lt;=250,I170*1.1+11,I170*1.1+19))),
IF(L168="NORMAL",
   IF(I170&lt;=30,I170*1.15+2,IF(I170&lt;=80,I170*1.15+4,IF(I170&lt;=150,I170*1.15+6,I170*1.15+8))),
IF(L168="COMPLEMENTO",
   IF(I170&lt;=25,I170*1.25+1.5,IF(I170&lt;=60,I170*1.25+3,IF(I170&lt;=120,I170*1.25+4,I170*1.25+5))),
""))),2)</f>
        <v>1021.78</v>
      </c>
      <c r="I170" s="9">
        <f>($K$2+0.02)*Tabla1[[#This Row],[PRECIO $]]*1.18</f>
        <v>911.62079999999992</v>
      </c>
      <c r="J170" s="7">
        <f>+Tabla1[[#This Row],[PRECIO EN SOLES]]-Tabla1[[#This Row],[PC]]</f>
        <v>110.15920000000006</v>
      </c>
      <c r="K170" s="15"/>
      <c r="L170" s="15" t="str">
        <f>IF(
OR(
ISNUMBER(SEARCH("BACKPACK",B172)),
ISNUMBER(SEARCH("MOCHILA",B172)),
ISNUMBER(SEARCH("FUNDA",B172)),
ISNUMBER(SEARCH("ESTUCHE",B172)),
ISNUMBER(SEARCH("BOOK COVER",B172)),
ISNUMBER(SEARCH("KEYBOARD PARA TABLET",B172)),
ISNUMBER(SEARCH("FLIP TABLET",B172)),
ISNUMBER(SEARCH("CASE FOR TABLET",B172)),
ISNUMBER(SEARCH("CABLE",B172)),
ISNUMBER(SEARCH("ADAPTADOR",B172)),
ISNUMBER(SEARCH("HUB",B172)),
ISNUMBER(SEARCH("DOCK",B172)),
ISNUMBER(SEARCH("MOUSE PAD",B172)),
ISNUMBER(SEARCH("MOUSEPAD",B172)),
ISNUMBER(SEARCH("SOPORTE",B172)),
ISNUMBER(SEARCH("STAND",B172)),
ISNUMBER(SEARCH("TRAVEL ADAPTER",B172)),
ISNUMBER(SEARCH("RJ45",B172)),
ISNUMBER(SEARCH("USB-C",B172)),
ISNUMBER(SEARCH("USB WIFI",B172)),
ISNUMBER(SEARCH("POWERBANK",B172)),
ISNUMBER(SEARCH("CARGADOR",B172)),
ISNUMBER(SEARCH("COOLER PARA NB",B172)),
ISNUMBER(SEARCH("SOPORTE PARA NB",B172)),
ISNUMBER(SEARCH("WEBCAM",B172)),
ISNUMBER(SEARCH("WEB CAM",B172)),
ISNUMBER(SEARCH("MOUSE",B172)),
ISNUMBER(SEARCH("TECLADO",B172))
),
"COMPLEMENTO",
IF(
OR(
LEFT(A172,2)="NB",
LEFT(A172,2)="PC",
LEFT(A172,2)="WS",
LEFT(A172,2)="TB",
LEFT(A172,3)="CEL",
LEFT(A172,3)="MON",
LEFT(A172,3)="PRE",
LEFT(A172,3)="PRH",
ISNUMBER(SEARCH("NOTEBOOK",B172)),
ISNUMBER(SEARCH("LAPTOP",B172)),
ISNUMBER(SEARCH("MONITOR",B172)),
ISNUMBER(SEARCH("TABLET",B172)),
ISNUMBER(SEARCH("SMARTPH",B172)),
ISNUMBER(SEARCH("IMPRESORA",B172)),
ISNUMBER(SEARCH("MULTIFUNCIONAL",B172)),
ISNUMBER(SEARCH("AIO",B172))
),
"GANCHO",
"NORMAL"
)
)</f>
        <v>GANCHO</v>
      </c>
    </row>
    <row r="171" spans="1:12" x14ac:dyDescent="0.25">
      <c r="A171" s="3" t="s">
        <v>2808</v>
      </c>
      <c r="B171" s="3" t="s">
        <v>2809</v>
      </c>
      <c r="C171" s="1">
        <v>5</v>
      </c>
      <c r="D171" s="1">
        <v>220</v>
      </c>
      <c r="E171" s="1" t="s">
        <v>141</v>
      </c>
      <c r="F171" s="1" t="s">
        <v>3157</v>
      </c>
      <c r="G171" s="3" t="s">
        <v>2810</v>
      </c>
      <c r="H171" s="11">
        <f>ROUND(
IF(L169="GANCHO",
   IF(I171&lt;=50,I171*1.1+4,IF(I171&lt;=120,I171*1.1+7,IF(I171&lt;=250,I171*1.1+11,I171*1.1+19))),
IF(L169="NORMAL",
   IF(I171&lt;=30,I171*1.15+2,IF(I171&lt;=80,I171*1.15+4,IF(I171&lt;=150,I171*1.15+6,I171*1.15+8))),
IF(L169="COMPLEMENTO",
   IF(I171&lt;=25,I171*1.25+1.5,IF(I171&lt;=60,I171*1.25+3,IF(I171&lt;=120,I171*1.25+4,I171*1.25+5))),
""))),2)</f>
        <v>1012.75</v>
      </c>
      <c r="I171" s="9">
        <f>($K$2+0.02)*Tabla1[[#This Row],[PRECIO $]]*1.18</f>
        <v>903.40800000000002</v>
      </c>
      <c r="J171" s="7">
        <f>+Tabla1[[#This Row],[PRECIO EN SOLES]]-Tabla1[[#This Row],[PC]]</f>
        <v>109.34199999999998</v>
      </c>
      <c r="K171" s="15"/>
      <c r="L171" s="15" t="str">
        <f>IF(
OR(
ISNUMBER(SEARCH("BACKPACK",B173)),
ISNUMBER(SEARCH("MOCHILA",B173)),
ISNUMBER(SEARCH("FUNDA",B173)),
ISNUMBER(SEARCH("ESTUCHE",B173)),
ISNUMBER(SEARCH("BOOK COVER",B173)),
ISNUMBER(SEARCH("KEYBOARD PARA TABLET",B173)),
ISNUMBER(SEARCH("FLIP TABLET",B173)),
ISNUMBER(SEARCH("CASE FOR TABLET",B173)),
ISNUMBER(SEARCH("CABLE",B173)),
ISNUMBER(SEARCH("ADAPTADOR",B173)),
ISNUMBER(SEARCH("HUB",B173)),
ISNUMBER(SEARCH("DOCK",B173)),
ISNUMBER(SEARCH("MOUSE PAD",B173)),
ISNUMBER(SEARCH("MOUSEPAD",B173)),
ISNUMBER(SEARCH("SOPORTE",B173)),
ISNUMBER(SEARCH("STAND",B173)),
ISNUMBER(SEARCH("TRAVEL ADAPTER",B173)),
ISNUMBER(SEARCH("RJ45",B173)),
ISNUMBER(SEARCH("USB-C",B173)),
ISNUMBER(SEARCH("USB WIFI",B173)),
ISNUMBER(SEARCH("POWERBANK",B173)),
ISNUMBER(SEARCH("CARGADOR",B173)),
ISNUMBER(SEARCH("COOLER PARA NB",B173)),
ISNUMBER(SEARCH("SOPORTE PARA NB",B173)),
ISNUMBER(SEARCH("WEBCAM",B173)),
ISNUMBER(SEARCH("WEB CAM",B173)),
ISNUMBER(SEARCH("MOUSE",B173)),
ISNUMBER(SEARCH("TECLADO",B173))
),
"COMPLEMENTO",
IF(
OR(
LEFT(A173,2)="NB",
LEFT(A173,2)="PC",
LEFT(A173,2)="WS",
LEFT(A173,2)="TB",
LEFT(A173,3)="CEL",
LEFT(A173,3)="MON",
LEFT(A173,3)="PRE",
LEFT(A173,3)="PRH",
ISNUMBER(SEARCH("NOTEBOOK",B173)),
ISNUMBER(SEARCH("LAPTOP",B173)),
ISNUMBER(SEARCH("MONITOR",B173)),
ISNUMBER(SEARCH("TABLET",B173)),
ISNUMBER(SEARCH("SMARTPH",B173)),
ISNUMBER(SEARCH("IMPRESORA",B173)),
ISNUMBER(SEARCH("MULTIFUNCIONAL",B173)),
ISNUMBER(SEARCH("AIO",B173))
),
"GANCHO",
"NORMAL"
)
)</f>
        <v>GANCHO</v>
      </c>
    </row>
    <row r="172" spans="1:12" x14ac:dyDescent="0.25">
      <c r="A172" s="3" t="s">
        <v>926</v>
      </c>
      <c r="B172" s="3" t="s">
        <v>927</v>
      </c>
      <c r="C172" s="1">
        <v>20</v>
      </c>
      <c r="D172" s="1">
        <v>308</v>
      </c>
      <c r="E172" s="1" t="s">
        <v>74</v>
      </c>
      <c r="F172" s="1" t="s">
        <v>3158</v>
      </c>
      <c r="G172" s="3" t="s">
        <v>928</v>
      </c>
      <c r="H172" s="11">
        <f>ROUND(
IF(L170="GANCHO",
   IF(I172&lt;=50,I172*1.1+4,IF(I172&lt;=120,I172*1.1+7,IF(I172&lt;=250,I172*1.1+11,I172*1.1+19))),
IF(L170="NORMAL",
   IF(I172&lt;=30,I172*1.15+2,IF(I172&lt;=80,I172*1.15+4,IF(I172&lt;=150,I172*1.15+6,I172*1.15+8))),
IF(L170="COMPLEMENTO",
   IF(I172&lt;=25,I172*1.25+1.5,IF(I172&lt;=60,I172*1.25+3,IF(I172&lt;=120,I172*1.25+4,I172*1.25+5))),
""))),2)</f>
        <v>1410.25</v>
      </c>
      <c r="I172" s="9">
        <f>($K$2+0.02)*Tabla1[[#This Row],[PRECIO $]]*1.18</f>
        <v>1264.7711999999999</v>
      </c>
      <c r="J172" s="7">
        <f>+Tabla1[[#This Row],[PRECIO EN SOLES]]-Tabla1[[#This Row],[PC]]</f>
        <v>145.47880000000009</v>
      </c>
      <c r="K172" s="15"/>
      <c r="L172" s="15" t="str">
        <f>IF(
OR(
ISNUMBER(SEARCH("BACKPACK",B174)),
ISNUMBER(SEARCH("MOCHILA",B174)),
ISNUMBER(SEARCH("FUNDA",B174)),
ISNUMBER(SEARCH("ESTUCHE",B174)),
ISNUMBER(SEARCH("BOOK COVER",B174)),
ISNUMBER(SEARCH("KEYBOARD PARA TABLET",B174)),
ISNUMBER(SEARCH("FLIP TABLET",B174)),
ISNUMBER(SEARCH("CASE FOR TABLET",B174)),
ISNUMBER(SEARCH("CABLE",B174)),
ISNUMBER(SEARCH("ADAPTADOR",B174)),
ISNUMBER(SEARCH("HUB",B174)),
ISNUMBER(SEARCH("DOCK",B174)),
ISNUMBER(SEARCH("MOUSE PAD",B174)),
ISNUMBER(SEARCH("MOUSEPAD",B174)),
ISNUMBER(SEARCH("SOPORTE",B174)),
ISNUMBER(SEARCH("STAND",B174)),
ISNUMBER(SEARCH("TRAVEL ADAPTER",B174)),
ISNUMBER(SEARCH("RJ45",B174)),
ISNUMBER(SEARCH("USB-C",B174)),
ISNUMBER(SEARCH("USB WIFI",B174)),
ISNUMBER(SEARCH("POWERBANK",B174)),
ISNUMBER(SEARCH("CARGADOR",B174)),
ISNUMBER(SEARCH("COOLER PARA NB",B174)),
ISNUMBER(SEARCH("SOPORTE PARA NB",B174)),
ISNUMBER(SEARCH("WEBCAM",B174)),
ISNUMBER(SEARCH("WEB CAM",B174)),
ISNUMBER(SEARCH("MOUSE",B174)),
ISNUMBER(SEARCH("TECLADO",B174))
),
"COMPLEMENTO",
IF(
OR(
LEFT(A174,2)="NB",
LEFT(A174,2)="PC",
LEFT(A174,2)="WS",
LEFT(A174,2)="TB",
LEFT(A174,3)="CEL",
LEFT(A174,3)="MON",
LEFT(A174,3)="PRE",
LEFT(A174,3)="PRH",
ISNUMBER(SEARCH("NOTEBOOK",B174)),
ISNUMBER(SEARCH("LAPTOP",B174)),
ISNUMBER(SEARCH("MONITOR",B174)),
ISNUMBER(SEARCH("TABLET",B174)),
ISNUMBER(SEARCH("SMARTPH",B174)),
ISNUMBER(SEARCH("IMPRESORA",B174)),
ISNUMBER(SEARCH("MULTIFUNCIONAL",B174)),
ISNUMBER(SEARCH("AIO",B174))
),
"GANCHO",
"NORMAL"
)
)</f>
        <v>GANCHO</v>
      </c>
    </row>
    <row r="173" spans="1:12" x14ac:dyDescent="0.25">
      <c r="A173" s="3" t="s">
        <v>929</v>
      </c>
      <c r="B173" s="3" t="s">
        <v>930</v>
      </c>
      <c r="C173" s="1">
        <v>20</v>
      </c>
      <c r="D173" s="1">
        <v>872</v>
      </c>
      <c r="E173" s="1" t="s">
        <v>837</v>
      </c>
      <c r="F173" s="1" t="s">
        <v>3159</v>
      </c>
      <c r="G173" s="3" t="s">
        <v>4872</v>
      </c>
      <c r="H173" s="11">
        <f>ROUND(
IF(L171="GANCHO",
   IF(I173&lt;=50,I173*1.1+4,IF(I173&lt;=120,I173*1.1+7,IF(I173&lt;=250,I173*1.1+11,I173*1.1+19))),
IF(L171="NORMAL",
   IF(I173&lt;=30,I173*1.15+2,IF(I173&lt;=80,I173*1.15+4,IF(I173&lt;=150,I173*1.15+6,I173*1.15+8))),
IF(L171="COMPLEMENTO",
   IF(I173&lt;=25,I173*1.25+1.5,IF(I173&lt;=60,I173*1.25+3,IF(I173&lt;=120,I173*1.25+4,I173*1.25+5))),
""))),2)</f>
        <v>3957.86</v>
      </c>
      <c r="I173" s="9">
        <f>($K$2+0.02)*Tabla1[[#This Row],[PRECIO $]]*1.18</f>
        <v>3580.7807999999995</v>
      </c>
      <c r="J173" s="7">
        <f>+Tabla1[[#This Row],[PRECIO EN SOLES]]-Tabla1[[#This Row],[PC]]</f>
        <v>377.07920000000058</v>
      </c>
      <c r="K173" s="15"/>
      <c r="L173" s="15" t="str">
        <f>IF(
OR(
ISNUMBER(SEARCH("BACKPACK",B175)),
ISNUMBER(SEARCH("MOCHILA",B175)),
ISNUMBER(SEARCH("FUNDA",B175)),
ISNUMBER(SEARCH("ESTUCHE",B175)),
ISNUMBER(SEARCH("BOOK COVER",B175)),
ISNUMBER(SEARCH("KEYBOARD PARA TABLET",B175)),
ISNUMBER(SEARCH("FLIP TABLET",B175)),
ISNUMBER(SEARCH("CASE FOR TABLET",B175)),
ISNUMBER(SEARCH("CABLE",B175)),
ISNUMBER(SEARCH("ADAPTADOR",B175)),
ISNUMBER(SEARCH("HUB",B175)),
ISNUMBER(SEARCH("DOCK",B175)),
ISNUMBER(SEARCH("MOUSE PAD",B175)),
ISNUMBER(SEARCH("MOUSEPAD",B175)),
ISNUMBER(SEARCH("SOPORTE",B175)),
ISNUMBER(SEARCH("STAND",B175)),
ISNUMBER(SEARCH("TRAVEL ADAPTER",B175)),
ISNUMBER(SEARCH("RJ45",B175)),
ISNUMBER(SEARCH("USB-C",B175)),
ISNUMBER(SEARCH("USB WIFI",B175)),
ISNUMBER(SEARCH("POWERBANK",B175)),
ISNUMBER(SEARCH("CARGADOR",B175)),
ISNUMBER(SEARCH("COOLER PARA NB",B175)),
ISNUMBER(SEARCH("SOPORTE PARA NB",B175)),
ISNUMBER(SEARCH("WEBCAM",B175)),
ISNUMBER(SEARCH("WEB CAM",B175)),
ISNUMBER(SEARCH("MOUSE",B175)),
ISNUMBER(SEARCH("TECLADO",B175))
),
"COMPLEMENTO",
IF(
OR(
LEFT(A175,2)="NB",
LEFT(A175,2)="PC",
LEFT(A175,2)="WS",
LEFT(A175,2)="TB",
LEFT(A175,3)="CEL",
LEFT(A175,3)="MON",
LEFT(A175,3)="PRE",
LEFT(A175,3)="PRH",
ISNUMBER(SEARCH("NOTEBOOK",B175)),
ISNUMBER(SEARCH("LAPTOP",B175)),
ISNUMBER(SEARCH("MONITOR",B175)),
ISNUMBER(SEARCH("TABLET",B175)),
ISNUMBER(SEARCH("SMARTPH",B175)),
ISNUMBER(SEARCH("IMPRESORA",B175)),
ISNUMBER(SEARCH("MULTIFUNCIONAL",B175)),
ISNUMBER(SEARCH("AIO",B175))
),
"GANCHO",
"NORMAL"
)
)</f>
        <v>GANCHO</v>
      </c>
    </row>
    <row r="174" spans="1:12" x14ac:dyDescent="0.25">
      <c r="A174" s="3" t="s">
        <v>931</v>
      </c>
      <c r="B174" s="3" t="s">
        <v>932</v>
      </c>
      <c r="C174" s="1">
        <v>20</v>
      </c>
      <c r="D174" s="1">
        <v>1035</v>
      </c>
      <c r="E174" s="1" t="s">
        <v>837</v>
      </c>
      <c r="F174" s="1" t="s">
        <v>3160</v>
      </c>
      <c r="G174" s="3" t="s">
        <v>4873</v>
      </c>
      <c r="H174" s="11">
        <f>ROUND(
IF(L172="GANCHO",
   IF(I174&lt;=50,I174*1.1+4,IF(I174&lt;=120,I174*1.1+7,IF(I174&lt;=250,I174*1.1+11,I174*1.1+19))),
IF(L172="NORMAL",
   IF(I174&lt;=30,I174*1.15+2,IF(I174&lt;=80,I174*1.15+4,IF(I174&lt;=150,I174*1.15+6,I174*1.15+8))),
IF(L172="COMPLEMENTO",
   IF(I174&lt;=25,I174*1.25+1.5,IF(I174&lt;=60,I174*1.25+3,IF(I174&lt;=120,I174*1.25+4,I174*1.25+5))),
""))),2)</f>
        <v>4694.1400000000003</v>
      </c>
      <c r="I174" s="9">
        <f>($K$2+0.02)*Tabla1[[#This Row],[PRECIO $]]*1.18</f>
        <v>4250.1239999999998</v>
      </c>
      <c r="J174" s="7">
        <f>+Tabla1[[#This Row],[PRECIO EN SOLES]]-Tabla1[[#This Row],[PC]]</f>
        <v>444.01600000000053</v>
      </c>
      <c r="K174" s="15"/>
      <c r="L174" s="15" t="str">
        <f>IF(
OR(
ISNUMBER(SEARCH("BACKPACK",B176)),
ISNUMBER(SEARCH("MOCHILA",B176)),
ISNUMBER(SEARCH("FUNDA",B176)),
ISNUMBER(SEARCH("ESTUCHE",B176)),
ISNUMBER(SEARCH("BOOK COVER",B176)),
ISNUMBER(SEARCH("KEYBOARD PARA TABLET",B176)),
ISNUMBER(SEARCH("FLIP TABLET",B176)),
ISNUMBER(SEARCH("CASE FOR TABLET",B176)),
ISNUMBER(SEARCH("CABLE",B176)),
ISNUMBER(SEARCH("ADAPTADOR",B176)),
ISNUMBER(SEARCH("HUB",B176)),
ISNUMBER(SEARCH("DOCK",B176)),
ISNUMBER(SEARCH("MOUSE PAD",B176)),
ISNUMBER(SEARCH("MOUSEPAD",B176)),
ISNUMBER(SEARCH("SOPORTE",B176)),
ISNUMBER(SEARCH("STAND",B176)),
ISNUMBER(SEARCH("TRAVEL ADAPTER",B176)),
ISNUMBER(SEARCH("RJ45",B176)),
ISNUMBER(SEARCH("USB-C",B176)),
ISNUMBER(SEARCH("USB WIFI",B176)),
ISNUMBER(SEARCH("POWERBANK",B176)),
ISNUMBER(SEARCH("CARGADOR",B176)),
ISNUMBER(SEARCH("COOLER PARA NB",B176)),
ISNUMBER(SEARCH("SOPORTE PARA NB",B176)),
ISNUMBER(SEARCH("WEBCAM",B176)),
ISNUMBER(SEARCH("WEB CAM",B176)),
ISNUMBER(SEARCH("MOUSE",B176)),
ISNUMBER(SEARCH("TECLADO",B176))
),
"COMPLEMENTO",
IF(
OR(
LEFT(A176,2)="NB",
LEFT(A176,2)="PC",
LEFT(A176,2)="WS",
LEFT(A176,2)="TB",
LEFT(A176,3)="CEL",
LEFT(A176,3)="MON",
LEFT(A176,3)="PRE",
LEFT(A176,3)="PRH",
ISNUMBER(SEARCH("NOTEBOOK",B176)),
ISNUMBER(SEARCH("LAPTOP",B176)),
ISNUMBER(SEARCH("MONITOR",B176)),
ISNUMBER(SEARCH("TABLET",B176)),
ISNUMBER(SEARCH("SMARTPH",B176)),
ISNUMBER(SEARCH("IMPRESORA",B176)),
ISNUMBER(SEARCH("MULTIFUNCIONAL",B176)),
ISNUMBER(SEARCH("AIO",B176))
),
"GANCHO",
"NORMAL"
)
)</f>
        <v>GANCHO</v>
      </c>
    </row>
    <row r="175" spans="1:12" x14ac:dyDescent="0.25">
      <c r="A175" s="3" t="s">
        <v>933</v>
      </c>
      <c r="B175" s="3" t="s">
        <v>934</v>
      </c>
      <c r="C175" s="1">
        <v>20</v>
      </c>
      <c r="D175" s="1">
        <v>967</v>
      </c>
      <c r="E175" s="1" t="s">
        <v>837</v>
      </c>
      <c r="F175" s="1" t="s">
        <v>3161</v>
      </c>
      <c r="G175" s="3" t="s">
        <v>4873</v>
      </c>
      <c r="H175" s="11">
        <f>ROUND(
IF(L173="GANCHO",
   IF(I175&lt;=50,I175*1.1+4,IF(I175&lt;=120,I175*1.1+7,IF(I175&lt;=250,I175*1.1+11,I175*1.1+19))),
IF(L173="NORMAL",
   IF(I175&lt;=30,I175*1.15+2,IF(I175&lt;=80,I175*1.15+4,IF(I175&lt;=150,I175*1.15+6,I175*1.15+8))),
IF(L173="COMPLEMENTO",
   IF(I175&lt;=25,I175*1.25+1.5,IF(I175&lt;=60,I175*1.25+3,IF(I175&lt;=120,I175*1.25+4,I175*1.25+5))),
""))),2)</f>
        <v>4386.9799999999996</v>
      </c>
      <c r="I175" s="9">
        <f>($K$2+0.02)*Tabla1[[#This Row],[PRECIO $]]*1.18</f>
        <v>3970.8887999999997</v>
      </c>
      <c r="J175" s="7">
        <f>+Tabla1[[#This Row],[PRECIO EN SOLES]]-Tabla1[[#This Row],[PC]]</f>
        <v>416.09119999999984</v>
      </c>
      <c r="K175" s="15"/>
      <c r="L175" s="15" t="str">
        <f>IF(
OR(
ISNUMBER(SEARCH("BACKPACK",B177)),
ISNUMBER(SEARCH("MOCHILA",B177)),
ISNUMBER(SEARCH("FUNDA",B177)),
ISNUMBER(SEARCH("ESTUCHE",B177)),
ISNUMBER(SEARCH("BOOK COVER",B177)),
ISNUMBER(SEARCH("KEYBOARD PARA TABLET",B177)),
ISNUMBER(SEARCH("FLIP TABLET",B177)),
ISNUMBER(SEARCH("CASE FOR TABLET",B177)),
ISNUMBER(SEARCH("CABLE",B177)),
ISNUMBER(SEARCH("ADAPTADOR",B177)),
ISNUMBER(SEARCH("HUB",B177)),
ISNUMBER(SEARCH("DOCK",B177)),
ISNUMBER(SEARCH("MOUSE PAD",B177)),
ISNUMBER(SEARCH("MOUSEPAD",B177)),
ISNUMBER(SEARCH("SOPORTE",B177)),
ISNUMBER(SEARCH("STAND",B177)),
ISNUMBER(SEARCH("TRAVEL ADAPTER",B177)),
ISNUMBER(SEARCH("RJ45",B177)),
ISNUMBER(SEARCH("USB-C",B177)),
ISNUMBER(SEARCH("USB WIFI",B177)),
ISNUMBER(SEARCH("POWERBANK",B177)),
ISNUMBER(SEARCH("CARGADOR",B177)),
ISNUMBER(SEARCH("COOLER PARA NB",B177)),
ISNUMBER(SEARCH("SOPORTE PARA NB",B177)),
ISNUMBER(SEARCH("WEBCAM",B177)),
ISNUMBER(SEARCH("WEB CAM",B177)),
ISNUMBER(SEARCH("MOUSE",B177)),
ISNUMBER(SEARCH("TECLADO",B177))
),
"COMPLEMENTO",
IF(
OR(
LEFT(A177,2)="NB",
LEFT(A177,2)="PC",
LEFT(A177,2)="WS",
LEFT(A177,2)="TB",
LEFT(A177,3)="CEL",
LEFT(A177,3)="MON",
LEFT(A177,3)="PRE",
LEFT(A177,3)="PRH",
ISNUMBER(SEARCH("NOTEBOOK",B177)),
ISNUMBER(SEARCH("LAPTOP",B177)),
ISNUMBER(SEARCH("MONITOR",B177)),
ISNUMBER(SEARCH("TABLET",B177)),
ISNUMBER(SEARCH("SMARTPH",B177)),
ISNUMBER(SEARCH("IMPRESORA",B177)),
ISNUMBER(SEARCH("MULTIFUNCIONAL",B177)),
ISNUMBER(SEARCH("AIO",B177))
),
"GANCHO",
"NORMAL"
)
)</f>
        <v>GANCHO</v>
      </c>
    </row>
    <row r="176" spans="1:12" x14ac:dyDescent="0.25">
      <c r="A176" s="3" t="s">
        <v>935</v>
      </c>
      <c r="B176" s="3" t="s">
        <v>936</v>
      </c>
      <c r="C176" s="1">
        <v>0</v>
      </c>
      <c r="D176" s="1">
        <v>419</v>
      </c>
      <c r="E176" s="1" t="s">
        <v>54</v>
      </c>
      <c r="F176" s="1" t="s">
        <v>3162</v>
      </c>
      <c r="G176" s="3" t="s">
        <v>937</v>
      </c>
      <c r="H176" s="11">
        <f>ROUND(
IF(L174="GANCHO",
   IF(I176&lt;=50,I176*1.1+4,IF(I176&lt;=120,I176*1.1+7,IF(I176&lt;=250,I176*1.1+11,I176*1.1+19))),
IF(L174="NORMAL",
   IF(I176&lt;=30,I176*1.15+2,IF(I176&lt;=80,I176*1.15+4,IF(I176&lt;=150,I176*1.15+6,I176*1.15+8))),
IF(L174="COMPLEMENTO",
   IF(I176&lt;=25,I176*1.25+1.5,IF(I176&lt;=60,I176*1.25+3,IF(I176&lt;=120,I176*1.25+4,I176*1.25+5))),
""))),2)</f>
        <v>1911.64</v>
      </c>
      <c r="I176" s="9">
        <f>($K$2+0.02)*Tabla1[[#This Row],[PRECIO $]]*1.18</f>
        <v>1720.5815999999998</v>
      </c>
      <c r="J176" s="7">
        <f>+Tabla1[[#This Row],[PRECIO EN SOLES]]-Tabla1[[#This Row],[PC]]</f>
        <v>191.05840000000035</v>
      </c>
      <c r="K176" s="15"/>
      <c r="L176" s="15" t="str">
        <f>IF(
OR(
ISNUMBER(SEARCH("BACKPACK",B178)),
ISNUMBER(SEARCH("MOCHILA",B178)),
ISNUMBER(SEARCH("FUNDA",B178)),
ISNUMBER(SEARCH("ESTUCHE",B178)),
ISNUMBER(SEARCH("BOOK COVER",B178)),
ISNUMBER(SEARCH("KEYBOARD PARA TABLET",B178)),
ISNUMBER(SEARCH("FLIP TABLET",B178)),
ISNUMBER(SEARCH("CASE FOR TABLET",B178)),
ISNUMBER(SEARCH("CABLE",B178)),
ISNUMBER(SEARCH("ADAPTADOR",B178)),
ISNUMBER(SEARCH("HUB",B178)),
ISNUMBER(SEARCH("DOCK",B178)),
ISNUMBER(SEARCH("MOUSE PAD",B178)),
ISNUMBER(SEARCH("MOUSEPAD",B178)),
ISNUMBER(SEARCH("SOPORTE",B178)),
ISNUMBER(SEARCH("STAND",B178)),
ISNUMBER(SEARCH("TRAVEL ADAPTER",B178)),
ISNUMBER(SEARCH("RJ45",B178)),
ISNUMBER(SEARCH("USB-C",B178)),
ISNUMBER(SEARCH("USB WIFI",B178)),
ISNUMBER(SEARCH("POWERBANK",B178)),
ISNUMBER(SEARCH("CARGADOR",B178)),
ISNUMBER(SEARCH("COOLER PARA NB",B178)),
ISNUMBER(SEARCH("SOPORTE PARA NB",B178)),
ISNUMBER(SEARCH("WEBCAM",B178)),
ISNUMBER(SEARCH("WEB CAM",B178)),
ISNUMBER(SEARCH("MOUSE",B178)),
ISNUMBER(SEARCH("TECLADO",B178))
),
"COMPLEMENTO",
IF(
OR(
LEFT(A178,2)="NB",
LEFT(A178,2)="PC",
LEFT(A178,2)="WS",
LEFT(A178,2)="TB",
LEFT(A178,3)="CEL",
LEFT(A178,3)="MON",
LEFT(A178,3)="PRE",
LEFT(A178,3)="PRH",
ISNUMBER(SEARCH("NOTEBOOK",B178)),
ISNUMBER(SEARCH("LAPTOP",B178)),
ISNUMBER(SEARCH("MONITOR",B178)),
ISNUMBER(SEARCH("TABLET",B178)),
ISNUMBER(SEARCH("SMARTPH",B178)),
ISNUMBER(SEARCH("IMPRESORA",B178)),
ISNUMBER(SEARCH("MULTIFUNCIONAL",B178)),
ISNUMBER(SEARCH("AIO",B178))
),
"GANCHO",
"NORMAL"
)
)</f>
        <v>GANCHO</v>
      </c>
    </row>
    <row r="177" spans="1:12" x14ac:dyDescent="0.25">
      <c r="A177" s="3" t="s">
        <v>938</v>
      </c>
      <c r="B177" s="3" t="s">
        <v>939</v>
      </c>
      <c r="C177" s="1">
        <v>20</v>
      </c>
      <c r="D177" s="1">
        <v>477</v>
      </c>
      <c r="E177" s="1" t="s">
        <v>74</v>
      </c>
      <c r="F177" s="1" t="s">
        <v>3163</v>
      </c>
      <c r="G177" s="3" t="s">
        <v>145</v>
      </c>
      <c r="H177" s="11">
        <f>ROUND(
IF(L175="GANCHO",
   IF(I177&lt;=50,I177*1.1+4,IF(I177&lt;=120,I177*1.1+7,IF(I177&lt;=250,I177*1.1+11,I177*1.1+19))),
IF(L175="NORMAL",
   IF(I177&lt;=30,I177*1.15+2,IF(I177&lt;=80,I177*1.15+4,IF(I177&lt;=150,I177*1.15+6,I177*1.15+8))),
IF(L175="COMPLEMENTO",
   IF(I177&lt;=25,I177*1.25+1.5,IF(I177&lt;=60,I177*1.25+3,IF(I177&lt;=120,I177*1.25+4,I177*1.25+5))),
""))),2)</f>
        <v>2173.63</v>
      </c>
      <c r="I177" s="9">
        <f>($K$2+0.02)*Tabla1[[#This Row],[PRECIO $]]*1.18</f>
        <v>1958.7528</v>
      </c>
      <c r="J177" s="7">
        <f>+Tabla1[[#This Row],[PRECIO EN SOLES]]-Tabla1[[#This Row],[PC]]</f>
        <v>214.87720000000013</v>
      </c>
      <c r="K177" s="15"/>
      <c r="L177" s="15" t="str">
        <f>IF(
OR(
ISNUMBER(SEARCH("BACKPACK",B179)),
ISNUMBER(SEARCH("MOCHILA",B179)),
ISNUMBER(SEARCH("FUNDA",B179)),
ISNUMBER(SEARCH("ESTUCHE",B179)),
ISNUMBER(SEARCH("BOOK COVER",B179)),
ISNUMBER(SEARCH("KEYBOARD PARA TABLET",B179)),
ISNUMBER(SEARCH("FLIP TABLET",B179)),
ISNUMBER(SEARCH("CASE FOR TABLET",B179)),
ISNUMBER(SEARCH("CABLE",B179)),
ISNUMBER(SEARCH("ADAPTADOR",B179)),
ISNUMBER(SEARCH("HUB",B179)),
ISNUMBER(SEARCH("DOCK",B179)),
ISNUMBER(SEARCH("MOUSE PAD",B179)),
ISNUMBER(SEARCH("MOUSEPAD",B179)),
ISNUMBER(SEARCH("SOPORTE",B179)),
ISNUMBER(SEARCH("STAND",B179)),
ISNUMBER(SEARCH("TRAVEL ADAPTER",B179)),
ISNUMBER(SEARCH("RJ45",B179)),
ISNUMBER(SEARCH("USB-C",B179)),
ISNUMBER(SEARCH("USB WIFI",B179)),
ISNUMBER(SEARCH("POWERBANK",B179)),
ISNUMBER(SEARCH("CARGADOR",B179)),
ISNUMBER(SEARCH("COOLER PARA NB",B179)),
ISNUMBER(SEARCH("SOPORTE PARA NB",B179)),
ISNUMBER(SEARCH("WEBCAM",B179)),
ISNUMBER(SEARCH("WEB CAM",B179)),
ISNUMBER(SEARCH("MOUSE",B179)),
ISNUMBER(SEARCH("TECLADO",B179))
),
"COMPLEMENTO",
IF(
OR(
LEFT(A179,2)="NB",
LEFT(A179,2)="PC",
LEFT(A179,2)="WS",
LEFT(A179,2)="TB",
LEFT(A179,3)="CEL",
LEFT(A179,3)="MON",
LEFT(A179,3)="PRE",
LEFT(A179,3)="PRH",
ISNUMBER(SEARCH("NOTEBOOK",B179)),
ISNUMBER(SEARCH("LAPTOP",B179)),
ISNUMBER(SEARCH("MONITOR",B179)),
ISNUMBER(SEARCH("TABLET",B179)),
ISNUMBER(SEARCH("SMARTPH",B179)),
ISNUMBER(SEARCH("IMPRESORA",B179)),
ISNUMBER(SEARCH("MULTIFUNCIONAL",B179)),
ISNUMBER(SEARCH("AIO",B179))
),
"GANCHO",
"NORMAL"
)
)</f>
        <v>GANCHO</v>
      </c>
    </row>
    <row r="178" spans="1:12" x14ac:dyDescent="0.25">
      <c r="A178" s="3" t="s">
        <v>146</v>
      </c>
      <c r="B178" s="3" t="s">
        <v>147</v>
      </c>
      <c r="C178" s="1">
        <v>14</v>
      </c>
      <c r="D178" s="1">
        <v>380.5</v>
      </c>
      <c r="E178" s="1" t="s">
        <v>74</v>
      </c>
      <c r="F178" s="1" t="s">
        <v>3164</v>
      </c>
      <c r="G178" s="3" t="s">
        <v>145</v>
      </c>
      <c r="H178" s="11">
        <f>ROUND(
IF(L176="GANCHO",
   IF(I178&lt;=50,I178*1.1+4,IF(I178&lt;=120,I178*1.1+7,IF(I178&lt;=250,I178*1.1+11,I178*1.1+19))),
IF(L176="NORMAL",
   IF(I178&lt;=30,I178*1.15+2,IF(I178&lt;=80,I178*1.15+4,IF(I178&lt;=150,I178*1.15+6,I178*1.15+8))),
IF(L176="COMPLEMENTO",
   IF(I178&lt;=25,I178*1.25+1.5,IF(I178&lt;=60,I178*1.25+3,IF(I178&lt;=120,I178*1.25+4,I178*1.25+5))),
""))),2)</f>
        <v>1737.73</v>
      </c>
      <c r="I178" s="9">
        <f>($K$2+0.02)*Tabla1[[#This Row],[PRECIO $]]*1.18</f>
        <v>1562.4852000000001</v>
      </c>
      <c r="J178" s="7">
        <f>+Tabla1[[#This Row],[PRECIO EN SOLES]]-Tabla1[[#This Row],[PC]]</f>
        <v>175.24479999999994</v>
      </c>
      <c r="K178" s="15"/>
      <c r="L178" s="15" t="str">
        <f>IF(
OR(
ISNUMBER(SEARCH("BACKPACK",B180)),
ISNUMBER(SEARCH("MOCHILA",B180)),
ISNUMBER(SEARCH("FUNDA",B180)),
ISNUMBER(SEARCH("ESTUCHE",B180)),
ISNUMBER(SEARCH("BOOK COVER",B180)),
ISNUMBER(SEARCH("KEYBOARD PARA TABLET",B180)),
ISNUMBER(SEARCH("FLIP TABLET",B180)),
ISNUMBER(SEARCH("CASE FOR TABLET",B180)),
ISNUMBER(SEARCH("CABLE",B180)),
ISNUMBER(SEARCH("ADAPTADOR",B180)),
ISNUMBER(SEARCH("HUB",B180)),
ISNUMBER(SEARCH("DOCK",B180)),
ISNUMBER(SEARCH("MOUSE PAD",B180)),
ISNUMBER(SEARCH("MOUSEPAD",B180)),
ISNUMBER(SEARCH("SOPORTE",B180)),
ISNUMBER(SEARCH("STAND",B180)),
ISNUMBER(SEARCH("TRAVEL ADAPTER",B180)),
ISNUMBER(SEARCH("RJ45",B180)),
ISNUMBER(SEARCH("USB-C",B180)),
ISNUMBER(SEARCH("USB WIFI",B180)),
ISNUMBER(SEARCH("POWERBANK",B180)),
ISNUMBER(SEARCH("CARGADOR",B180)),
ISNUMBER(SEARCH("COOLER PARA NB",B180)),
ISNUMBER(SEARCH("SOPORTE PARA NB",B180)),
ISNUMBER(SEARCH("WEBCAM",B180)),
ISNUMBER(SEARCH("WEB CAM",B180)),
ISNUMBER(SEARCH("MOUSE",B180)),
ISNUMBER(SEARCH("TECLADO",B180))
),
"COMPLEMENTO",
IF(
OR(
LEFT(A180,2)="NB",
LEFT(A180,2)="PC",
LEFT(A180,2)="WS",
LEFT(A180,2)="TB",
LEFT(A180,3)="CEL",
LEFT(A180,3)="MON",
LEFT(A180,3)="PRE",
LEFT(A180,3)="PRH",
ISNUMBER(SEARCH("NOTEBOOK",B180)),
ISNUMBER(SEARCH("LAPTOP",B180)),
ISNUMBER(SEARCH("MONITOR",B180)),
ISNUMBER(SEARCH("TABLET",B180)),
ISNUMBER(SEARCH("SMARTPH",B180)),
ISNUMBER(SEARCH("IMPRESORA",B180)),
ISNUMBER(SEARCH("MULTIFUNCIONAL",B180)),
ISNUMBER(SEARCH("AIO",B180))
),
"GANCHO",
"NORMAL"
)
)</f>
        <v>GANCHO</v>
      </c>
    </row>
    <row r="179" spans="1:12" x14ac:dyDescent="0.25">
      <c r="A179" s="3" t="s">
        <v>4384</v>
      </c>
      <c r="B179" s="3" t="s">
        <v>4385</v>
      </c>
      <c r="C179" s="1">
        <v>0</v>
      </c>
      <c r="D179" s="1">
        <v>650</v>
      </c>
      <c r="E179" s="1" t="s">
        <v>910</v>
      </c>
      <c r="F179" s="1" t="s">
        <v>4386</v>
      </c>
      <c r="G179" s="3" t="s">
        <v>4387</v>
      </c>
      <c r="H179" s="11">
        <f>ROUND(
IF(L177="GANCHO",
   IF(I179&lt;=50,I179*1.1+4,IF(I179&lt;=120,I179*1.1+7,IF(I179&lt;=250,I179*1.1+11,I179*1.1+19))),
IF(L177="NORMAL",
   IF(I179&lt;=30,I179*1.15+2,IF(I179&lt;=80,I179*1.15+4,IF(I179&lt;=150,I179*1.15+6,I179*1.15+8))),
IF(L177="COMPLEMENTO",
   IF(I179&lt;=25,I179*1.25+1.5,IF(I179&lt;=60,I179*1.25+3,IF(I179&lt;=120,I179*1.25+4,I179*1.25+5))),
""))),2)</f>
        <v>2955.08</v>
      </c>
      <c r="I179" s="9">
        <f>($K$2+0.02)*Tabla1[[#This Row],[PRECIO $]]*1.18</f>
        <v>2669.16</v>
      </c>
      <c r="J179" s="7">
        <f>+Tabla1[[#This Row],[PRECIO EN SOLES]]-Tabla1[[#This Row],[PC]]</f>
        <v>285.92000000000007</v>
      </c>
      <c r="K179" s="15"/>
      <c r="L179" s="15" t="str">
        <f>IF(
OR(
ISNUMBER(SEARCH("BACKPACK",B181)),
ISNUMBER(SEARCH("MOCHILA",B181)),
ISNUMBER(SEARCH("FUNDA",B181)),
ISNUMBER(SEARCH("ESTUCHE",B181)),
ISNUMBER(SEARCH("BOOK COVER",B181)),
ISNUMBER(SEARCH("KEYBOARD PARA TABLET",B181)),
ISNUMBER(SEARCH("FLIP TABLET",B181)),
ISNUMBER(SEARCH("CASE FOR TABLET",B181)),
ISNUMBER(SEARCH("CABLE",B181)),
ISNUMBER(SEARCH("ADAPTADOR",B181)),
ISNUMBER(SEARCH("HUB",B181)),
ISNUMBER(SEARCH("DOCK",B181)),
ISNUMBER(SEARCH("MOUSE PAD",B181)),
ISNUMBER(SEARCH("MOUSEPAD",B181)),
ISNUMBER(SEARCH("SOPORTE",B181)),
ISNUMBER(SEARCH("STAND",B181)),
ISNUMBER(SEARCH("TRAVEL ADAPTER",B181)),
ISNUMBER(SEARCH("RJ45",B181)),
ISNUMBER(SEARCH("USB-C",B181)),
ISNUMBER(SEARCH("USB WIFI",B181)),
ISNUMBER(SEARCH("POWERBANK",B181)),
ISNUMBER(SEARCH("CARGADOR",B181)),
ISNUMBER(SEARCH("COOLER PARA NB",B181)),
ISNUMBER(SEARCH("SOPORTE PARA NB",B181)),
ISNUMBER(SEARCH("WEBCAM",B181)),
ISNUMBER(SEARCH("WEB CAM",B181)),
ISNUMBER(SEARCH("MOUSE",B181)),
ISNUMBER(SEARCH("TECLADO",B181))
),
"COMPLEMENTO",
IF(
OR(
LEFT(A181,2)="NB",
LEFT(A181,2)="PC",
LEFT(A181,2)="WS",
LEFT(A181,2)="TB",
LEFT(A181,3)="CEL",
LEFT(A181,3)="MON",
LEFT(A181,3)="PRE",
LEFT(A181,3)="PRH",
ISNUMBER(SEARCH("NOTEBOOK",B181)),
ISNUMBER(SEARCH("LAPTOP",B181)),
ISNUMBER(SEARCH("MONITOR",B181)),
ISNUMBER(SEARCH("TABLET",B181)),
ISNUMBER(SEARCH("SMARTPH",B181)),
ISNUMBER(SEARCH("IMPRESORA",B181)),
ISNUMBER(SEARCH("MULTIFUNCIONAL",B181)),
ISNUMBER(SEARCH("AIO",B181))
),
"GANCHO",
"NORMAL"
)
)</f>
        <v>GANCHO</v>
      </c>
    </row>
    <row r="180" spans="1:12" x14ac:dyDescent="0.25">
      <c r="A180" s="3" t="s">
        <v>940</v>
      </c>
      <c r="B180" s="3" t="s">
        <v>941</v>
      </c>
      <c r="C180" s="1">
        <v>20</v>
      </c>
      <c r="D180" s="1">
        <v>727</v>
      </c>
      <c r="E180" s="1" t="s">
        <v>74</v>
      </c>
      <c r="F180" s="1" t="s">
        <v>3165</v>
      </c>
      <c r="G180" s="3" t="s">
        <v>942</v>
      </c>
      <c r="H180" s="11">
        <f>ROUND(
IF(L178="GANCHO",
   IF(I180&lt;=50,I180*1.1+4,IF(I180&lt;=120,I180*1.1+7,IF(I180&lt;=250,I180*1.1+11,I180*1.1+19))),
IF(L178="NORMAL",
   IF(I180&lt;=30,I180*1.15+2,IF(I180&lt;=80,I180*1.15+4,IF(I180&lt;=150,I180*1.15+6,I180*1.15+8))),
IF(L178="COMPLEMENTO",
   IF(I180&lt;=25,I180*1.25+1.5,IF(I180&lt;=60,I180*1.25+3,IF(I180&lt;=120,I180*1.25+4,I180*1.25+5))),
""))),2)</f>
        <v>3302.89</v>
      </c>
      <c r="I180" s="9">
        <f>($K$2+0.02)*Tabla1[[#This Row],[PRECIO $]]*1.18</f>
        <v>2985.3527999999997</v>
      </c>
      <c r="J180" s="7">
        <f>+Tabla1[[#This Row],[PRECIO EN SOLES]]-Tabla1[[#This Row],[PC]]</f>
        <v>317.53720000000021</v>
      </c>
      <c r="K180" s="15"/>
      <c r="L180" s="15" t="str">
        <f>IF(
OR(
ISNUMBER(SEARCH("BACKPACK",B182)),
ISNUMBER(SEARCH("MOCHILA",B182)),
ISNUMBER(SEARCH("FUNDA",B182)),
ISNUMBER(SEARCH("ESTUCHE",B182)),
ISNUMBER(SEARCH("BOOK COVER",B182)),
ISNUMBER(SEARCH("KEYBOARD PARA TABLET",B182)),
ISNUMBER(SEARCH("FLIP TABLET",B182)),
ISNUMBER(SEARCH("CASE FOR TABLET",B182)),
ISNUMBER(SEARCH("CABLE",B182)),
ISNUMBER(SEARCH("ADAPTADOR",B182)),
ISNUMBER(SEARCH("HUB",B182)),
ISNUMBER(SEARCH("DOCK",B182)),
ISNUMBER(SEARCH("MOUSE PAD",B182)),
ISNUMBER(SEARCH("MOUSEPAD",B182)),
ISNUMBER(SEARCH("SOPORTE",B182)),
ISNUMBER(SEARCH("STAND",B182)),
ISNUMBER(SEARCH("TRAVEL ADAPTER",B182)),
ISNUMBER(SEARCH("RJ45",B182)),
ISNUMBER(SEARCH("USB-C",B182)),
ISNUMBER(SEARCH("USB WIFI",B182)),
ISNUMBER(SEARCH("POWERBANK",B182)),
ISNUMBER(SEARCH("CARGADOR",B182)),
ISNUMBER(SEARCH("COOLER PARA NB",B182)),
ISNUMBER(SEARCH("SOPORTE PARA NB",B182)),
ISNUMBER(SEARCH("WEBCAM",B182)),
ISNUMBER(SEARCH("WEB CAM",B182)),
ISNUMBER(SEARCH("MOUSE",B182)),
ISNUMBER(SEARCH("TECLADO",B182))
),
"COMPLEMENTO",
IF(
OR(
LEFT(A182,2)="NB",
LEFT(A182,2)="PC",
LEFT(A182,2)="WS",
LEFT(A182,2)="TB",
LEFT(A182,3)="CEL",
LEFT(A182,3)="MON",
LEFT(A182,3)="PRE",
LEFT(A182,3)="PRH",
ISNUMBER(SEARCH("NOTEBOOK",B182)),
ISNUMBER(SEARCH("LAPTOP",B182)),
ISNUMBER(SEARCH("MONITOR",B182)),
ISNUMBER(SEARCH("TABLET",B182)),
ISNUMBER(SEARCH("SMARTPH",B182)),
ISNUMBER(SEARCH("IMPRESORA",B182)),
ISNUMBER(SEARCH("MULTIFUNCIONAL",B182)),
ISNUMBER(SEARCH("AIO",B182))
),
"GANCHO",
"NORMAL"
)
)</f>
        <v>GANCHO</v>
      </c>
    </row>
    <row r="181" spans="1:12" x14ac:dyDescent="0.25">
      <c r="A181" s="3" t="s">
        <v>6665</v>
      </c>
      <c r="B181" s="3" t="s">
        <v>6666</v>
      </c>
      <c r="C181" s="1">
        <v>20</v>
      </c>
      <c r="D181" s="1">
        <v>567</v>
      </c>
      <c r="E181" s="1" t="s">
        <v>74</v>
      </c>
      <c r="F181" s="1" t="s">
        <v>6667</v>
      </c>
      <c r="G181" s="3" t="s">
        <v>4252</v>
      </c>
      <c r="H181" s="11">
        <f>ROUND(
IF(L179="GANCHO",
   IF(I181&lt;=50,I181*1.1+4,IF(I181&lt;=120,I181*1.1+7,IF(I181&lt;=250,I181*1.1+11,I181*1.1+19))),
IF(L179="NORMAL",
   IF(I181&lt;=30,I181*1.15+2,IF(I181&lt;=80,I181*1.15+4,IF(I181&lt;=150,I181*1.15+6,I181*1.15+8))),
IF(L179="COMPLEMENTO",
   IF(I181&lt;=25,I181*1.25+1.5,IF(I181&lt;=60,I181*1.25+3,IF(I181&lt;=120,I181*1.25+4,I181*1.25+5))),
""))),2)</f>
        <v>2580.16</v>
      </c>
      <c r="I181" s="9">
        <f>($K$2+0.02)*Tabla1[[#This Row],[PRECIO $]]*1.18</f>
        <v>2328.3287999999998</v>
      </c>
      <c r="J181" s="7">
        <f>+Tabla1[[#This Row],[PRECIO EN SOLES]]-Tabla1[[#This Row],[PC]]</f>
        <v>251.83120000000008</v>
      </c>
      <c r="K181" s="15"/>
      <c r="L181" s="15" t="str">
        <f>IF(
OR(
ISNUMBER(SEARCH("BACKPACK",B183)),
ISNUMBER(SEARCH("MOCHILA",B183)),
ISNUMBER(SEARCH("FUNDA",B183)),
ISNUMBER(SEARCH("ESTUCHE",B183)),
ISNUMBER(SEARCH("BOOK COVER",B183)),
ISNUMBER(SEARCH("KEYBOARD PARA TABLET",B183)),
ISNUMBER(SEARCH("FLIP TABLET",B183)),
ISNUMBER(SEARCH("CASE FOR TABLET",B183)),
ISNUMBER(SEARCH("CABLE",B183)),
ISNUMBER(SEARCH("ADAPTADOR",B183)),
ISNUMBER(SEARCH("HUB",B183)),
ISNUMBER(SEARCH("DOCK",B183)),
ISNUMBER(SEARCH("MOUSE PAD",B183)),
ISNUMBER(SEARCH("MOUSEPAD",B183)),
ISNUMBER(SEARCH("SOPORTE",B183)),
ISNUMBER(SEARCH("STAND",B183)),
ISNUMBER(SEARCH("TRAVEL ADAPTER",B183)),
ISNUMBER(SEARCH("RJ45",B183)),
ISNUMBER(SEARCH("USB-C",B183)),
ISNUMBER(SEARCH("USB WIFI",B183)),
ISNUMBER(SEARCH("POWERBANK",B183)),
ISNUMBER(SEARCH("CARGADOR",B183)),
ISNUMBER(SEARCH("COOLER PARA NB",B183)),
ISNUMBER(SEARCH("SOPORTE PARA NB",B183)),
ISNUMBER(SEARCH("WEBCAM",B183)),
ISNUMBER(SEARCH("WEB CAM",B183)),
ISNUMBER(SEARCH("MOUSE",B183)),
ISNUMBER(SEARCH("TECLADO",B183))
),
"COMPLEMENTO",
IF(
OR(
LEFT(A183,2)="NB",
LEFT(A183,2)="PC",
LEFT(A183,2)="WS",
LEFT(A183,2)="TB",
LEFT(A183,3)="CEL",
LEFT(A183,3)="MON",
LEFT(A183,3)="PRE",
LEFT(A183,3)="PRH",
ISNUMBER(SEARCH("NOTEBOOK",B183)),
ISNUMBER(SEARCH("LAPTOP",B183)),
ISNUMBER(SEARCH("MONITOR",B183)),
ISNUMBER(SEARCH("TABLET",B183)),
ISNUMBER(SEARCH("SMARTPH",B183)),
ISNUMBER(SEARCH("IMPRESORA",B183)),
ISNUMBER(SEARCH("MULTIFUNCIONAL",B183)),
ISNUMBER(SEARCH("AIO",B183))
),
"GANCHO",
"NORMAL"
)
)</f>
        <v>GANCHO</v>
      </c>
    </row>
    <row r="182" spans="1:12" x14ac:dyDescent="0.25">
      <c r="A182" s="3" t="s">
        <v>4253</v>
      </c>
      <c r="B182" s="3" t="s">
        <v>4254</v>
      </c>
      <c r="C182" s="1">
        <v>20</v>
      </c>
      <c r="D182" s="1">
        <v>625</v>
      </c>
      <c r="E182" s="1" t="s">
        <v>74</v>
      </c>
      <c r="F182" s="1" t="s">
        <v>4255</v>
      </c>
      <c r="G182" s="3" t="s">
        <v>4252</v>
      </c>
      <c r="H182" s="11">
        <f>ROUND(
IF(L180="GANCHO",
   IF(I182&lt;=50,I182*1.1+4,IF(I182&lt;=120,I182*1.1+7,IF(I182&lt;=250,I182*1.1+11,I182*1.1+19))),
IF(L180="NORMAL",
   IF(I182&lt;=30,I182*1.15+2,IF(I182&lt;=80,I182*1.15+4,IF(I182&lt;=150,I182*1.15+6,I182*1.15+8))),
IF(L180="COMPLEMENTO",
   IF(I182&lt;=25,I182*1.25+1.5,IF(I182&lt;=60,I182*1.25+3,IF(I182&lt;=120,I182*1.25+4,I182*1.25+5))),
""))),2)</f>
        <v>2842.15</v>
      </c>
      <c r="I182" s="9">
        <f>($K$2+0.02)*Tabla1[[#This Row],[PRECIO $]]*1.18</f>
        <v>2566.5</v>
      </c>
      <c r="J182" s="7">
        <f>+Tabla1[[#This Row],[PRECIO EN SOLES]]-Tabla1[[#This Row],[PC]]</f>
        <v>275.65000000000009</v>
      </c>
      <c r="K182" s="15"/>
      <c r="L182" s="15" t="str">
        <f>IF(
OR(
ISNUMBER(SEARCH("BACKPACK",B184)),
ISNUMBER(SEARCH("MOCHILA",B184)),
ISNUMBER(SEARCH("FUNDA",B184)),
ISNUMBER(SEARCH("ESTUCHE",B184)),
ISNUMBER(SEARCH("BOOK COVER",B184)),
ISNUMBER(SEARCH("KEYBOARD PARA TABLET",B184)),
ISNUMBER(SEARCH("FLIP TABLET",B184)),
ISNUMBER(SEARCH("CASE FOR TABLET",B184)),
ISNUMBER(SEARCH("CABLE",B184)),
ISNUMBER(SEARCH("ADAPTADOR",B184)),
ISNUMBER(SEARCH("HUB",B184)),
ISNUMBER(SEARCH("DOCK",B184)),
ISNUMBER(SEARCH("MOUSE PAD",B184)),
ISNUMBER(SEARCH("MOUSEPAD",B184)),
ISNUMBER(SEARCH("SOPORTE",B184)),
ISNUMBER(SEARCH("STAND",B184)),
ISNUMBER(SEARCH("TRAVEL ADAPTER",B184)),
ISNUMBER(SEARCH("RJ45",B184)),
ISNUMBER(SEARCH("USB-C",B184)),
ISNUMBER(SEARCH("USB WIFI",B184)),
ISNUMBER(SEARCH("POWERBANK",B184)),
ISNUMBER(SEARCH("CARGADOR",B184)),
ISNUMBER(SEARCH("COOLER PARA NB",B184)),
ISNUMBER(SEARCH("SOPORTE PARA NB",B184)),
ISNUMBER(SEARCH("WEBCAM",B184)),
ISNUMBER(SEARCH("WEB CAM",B184)),
ISNUMBER(SEARCH("MOUSE",B184)),
ISNUMBER(SEARCH("TECLADO",B184))
),
"COMPLEMENTO",
IF(
OR(
LEFT(A184,2)="NB",
LEFT(A184,2)="PC",
LEFT(A184,2)="WS",
LEFT(A184,2)="TB",
LEFT(A184,3)="CEL",
LEFT(A184,3)="MON",
LEFT(A184,3)="PRE",
LEFT(A184,3)="PRH",
ISNUMBER(SEARCH("NOTEBOOK",B184)),
ISNUMBER(SEARCH("LAPTOP",B184)),
ISNUMBER(SEARCH("MONITOR",B184)),
ISNUMBER(SEARCH("TABLET",B184)),
ISNUMBER(SEARCH("SMARTPH",B184)),
ISNUMBER(SEARCH("IMPRESORA",B184)),
ISNUMBER(SEARCH("MULTIFUNCIONAL",B184)),
ISNUMBER(SEARCH("AIO",B184))
),
"GANCHO",
"NORMAL"
)
)</f>
        <v>GANCHO</v>
      </c>
    </row>
    <row r="183" spans="1:12" x14ac:dyDescent="0.25">
      <c r="A183" s="3" t="s">
        <v>943</v>
      </c>
      <c r="B183" s="3" t="s">
        <v>944</v>
      </c>
      <c r="C183" s="1">
        <v>19</v>
      </c>
      <c r="D183" s="1">
        <v>917</v>
      </c>
      <c r="E183" s="1" t="s">
        <v>837</v>
      </c>
      <c r="F183" s="1" t="s">
        <v>3166</v>
      </c>
      <c r="G183" s="3" t="s">
        <v>945</v>
      </c>
      <c r="H183" s="11">
        <f>ROUND(
IF(L181="GANCHO",
   IF(I183&lt;=50,I183*1.1+4,IF(I183&lt;=120,I183*1.1+7,IF(I183&lt;=250,I183*1.1+11,I183*1.1+19))),
IF(L181="NORMAL",
   IF(I183&lt;=30,I183*1.15+2,IF(I183&lt;=80,I183*1.15+4,IF(I183&lt;=150,I183*1.15+6,I183*1.15+8))),
IF(L181="COMPLEMENTO",
   IF(I183&lt;=25,I183*1.25+1.5,IF(I183&lt;=60,I183*1.25+3,IF(I183&lt;=120,I183*1.25+4,I183*1.25+5))),
""))),2)</f>
        <v>4161.13</v>
      </c>
      <c r="I183" s="9">
        <f>($K$2+0.02)*Tabla1[[#This Row],[PRECIO $]]*1.18</f>
        <v>3765.5687999999996</v>
      </c>
      <c r="J183" s="7">
        <f>+Tabla1[[#This Row],[PRECIO EN SOLES]]-Tabla1[[#This Row],[PC]]</f>
        <v>395.56120000000055</v>
      </c>
      <c r="K183" s="15"/>
      <c r="L183" s="15" t="str">
        <f>IF(
OR(
ISNUMBER(SEARCH("BACKPACK",B185)),
ISNUMBER(SEARCH("MOCHILA",B185)),
ISNUMBER(SEARCH("FUNDA",B185)),
ISNUMBER(SEARCH("ESTUCHE",B185)),
ISNUMBER(SEARCH("BOOK COVER",B185)),
ISNUMBER(SEARCH("KEYBOARD PARA TABLET",B185)),
ISNUMBER(SEARCH("FLIP TABLET",B185)),
ISNUMBER(SEARCH("CASE FOR TABLET",B185)),
ISNUMBER(SEARCH("CABLE",B185)),
ISNUMBER(SEARCH("ADAPTADOR",B185)),
ISNUMBER(SEARCH("HUB",B185)),
ISNUMBER(SEARCH("DOCK",B185)),
ISNUMBER(SEARCH("MOUSE PAD",B185)),
ISNUMBER(SEARCH("MOUSEPAD",B185)),
ISNUMBER(SEARCH("SOPORTE",B185)),
ISNUMBER(SEARCH("STAND",B185)),
ISNUMBER(SEARCH("TRAVEL ADAPTER",B185)),
ISNUMBER(SEARCH("RJ45",B185)),
ISNUMBER(SEARCH("USB-C",B185)),
ISNUMBER(SEARCH("USB WIFI",B185)),
ISNUMBER(SEARCH("POWERBANK",B185)),
ISNUMBER(SEARCH("CARGADOR",B185)),
ISNUMBER(SEARCH("COOLER PARA NB",B185)),
ISNUMBER(SEARCH("SOPORTE PARA NB",B185)),
ISNUMBER(SEARCH("WEBCAM",B185)),
ISNUMBER(SEARCH("WEB CAM",B185)),
ISNUMBER(SEARCH("MOUSE",B185)),
ISNUMBER(SEARCH("TECLADO",B185))
),
"COMPLEMENTO",
IF(
OR(
LEFT(A185,2)="NB",
LEFT(A185,2)="PC",
LEFT(A185,2)="WS",
LEFT(A185,2)="TB",
LEFT(A185,3)="CEL",
LEFT(A185,3)="MON",
LEFT(A185,3)="PRE",
LEFT(A185,3)="PRH",
ISNUMBER(SEARCH("NOTEBOOK",B185)),
ISNUMBER(SEARCH("LAPTOP",B185)),
ISNUMBER(SEARCH("MONITOR",B185)),
ISNUMBER(SEARCH("TABLET",B185)),
ISNUMBER(SEARCH("SMARTPH",B185)),
ISNUMBER(SEARCH("IMPRESORA",B185)),
ISNUMBER(SEARCH("MULTIFUNCIONAL",B185)),
ISNUMBER(SEARCH("AIO",B185))
),
"GANCHO",
"NORMAL"
)
)</f>
        <v>GANCHO</v>
      </c>
    </row>
    <row r="184" spans="1:12" x14ac:dyDescent="0.25">
      <c r="A184" s="3" t="s">
        <v>5241</v>
      </c>
      <c r="B184" s="3" t="s">
        <v>5242</v>
      </c>
      <c r="C184" s="1">
        <v>5</v>
      </c>
      <c r="D184" s="1">
        <v>747</v>
      </c>
      <c r="E184" s="1" t="s">
        <v>74</v>
      </c>
      <c r="F184" s="1" t="s">
        <v>5243</v>
      </c>
      <c r="G184" s="3" t="s">
        <v>6413</v>
      </c>
      <c r="H184" s="11">
        <f>ROUND(
IF(L182="GANCHO",
   IF(I184&lt;=50,I184*1.1+4,IF(I184&lt;=120,I184*1.1+7,IF(I184&lt;=250,I184*1.1+11,I184*1.1+19))),
IF(L182="NORMAL",
   IF(I184&lt;=30,I184*1.15+2,IF(I184&lt;=80,I184*1.15+4,IF(I184&lt;=150,I184*1.15+6,I184*1.15+8))),
IF(L182="COMPLEMENTO",
   IF(I184&lt;=25,I184*1.25+1.5,IF(I184&lt;=60,I184*1.25+3,IF(I184&lt;=120,I184*1.25+4,I184*1.25+5))),
""))),2)</f>
        <v>3393.23</v>
      </c>
      <c r="I184" s="9">
        <f>($K$2+0.02)*Tabla1[[#This Row],[PRECIO $]]*1.18</f>
        <v>3067.4807999999998</v>
      </c>
      <c r="J184" s="7">
        <f>+Tabla1[[#This Row],[PRECIO EN SOLES]]-Tabla1[[#This Row],[PC]]</f>
        <v>325.7492000000002</v>
      </c>
      <c r="K184" s="15"/>
      <c r="L184" s="15" t="str">
        <f>IF(
OR(
ISNUMBER(SEARCH("BACKPACK",B186)),
ISNUMBER(SEARCH("MOCHILA",B186)),
ISNUMBER(SEARCH("FUNDA",B186)),
ISNUMBER(SEARCH("ESTUCHE",B186)),
ISNUMBER(SEARCH("BOOK COVER",B186)),
ISNUMBER(SEARCH("KEYBOARD PARA TABLET",B186)),
ISNUMBER(SEARCH("FLIP TABLET",B186)),
ISNUMBER(SEARCH("CASE FOR TABLET",B186)),
ISNUMBER(SEARCH("CABLE",B186)),
ISNUMBER(SEARCH("ADAPTADOR",B186)),
ISNUMBER(SEARCH("HUB",B186)),
ISNUMBER(SEARCH("DOCK",B186)),
ISNUMBER(SEARCH("MOUSE PAD",B186)),
ISNUMBER(SEARCH("MOUSEPAD",B186)),
ISNUMBER(SEARCH("SOPORTE",B186)),
ISNUMBER(SEARCH("STAND",B186)),
ISNUMBER(SEARCH("TRAVEL ADAPTER",B186)),
ISNUMBER(SEARCH("RJ45",B186)),
ISNUMBER(SEARCH("USB-C",B186)),
ISNUMBER(SEARCH("USB WIFI",B186)),
ISNUMBER(SEARCH("POWERBANK",B186)),
ISNUMBER(SEARCH("CARGADOR",B186)),
ISNUMBER(SEARCH("COOLER PARA NB",B186)),
ISNUMBER(SEARCH("SOPORTE PARA NB",B186)),
ISNUMBER(SEARCH("WEBCAM",B186)),
ISNUMBER(SEARCH("WEB CAM",B186)),
ISNUMBER(SEARCH("MOUSE",B186)),
ISNUMBER(SEARCH("TECLADO",B186))
),
"COMPLEMENTO",
IF(
OR(
LEFT(A186,2)="NB",
LEFT(A186,2)="PC",
LEFT(A186,2)="WS",
LEFT(A186,2)="TB",
LEFT(A186,3)="CEL",
LEFT(A186,3)="MON",
LEFT(A186,3)="PRE",
LEFT(A186,3)="PRH",
ISNUMBER(SEARCH("NOTEBOOK",B186)),
ISNUMBER(SEARCH("LAPTOP",B186)),
ISNUMBER(SEARCH("MONITOR",B186)),
ISNUMBER(SEARCH("TABLET",B186)),
ISNUMBER(SEARCH("SMARTPH",B186)),
ISNUMBER(SEARCH("IMPRESORA",B186)),
ISNUMBER(SEARCH("MULTIFUNCIONAL",B186)),
ISNUMBER(SEARCH("AIO",B186))
),
"GANCHO",
"NORMAL"
)
)</f>
        <v>GANCHO</v>
      </c>
    </row>
    <row r="185" spans="1:12" x14ac:dyDescent="0.25">
      <c r="A185" s="3" t="s">
        <v>6668</v>
      </c>
      <c r="B185" s="3" t="s">
        <v>6669</v>
      </c>
      <c r="C185" s="1">
        <v>4</v>
      </c>
      <c r="D185" s="1">
        <v>867</v>
      </c>
      <c r="E185" s="1" t="s">
        <v>74</v>
      </c>
      <c r="F185" s="1" t="s">
        <v>6670</v>
      </c>
      <c r="G185" s="3" t="s">
        <v>6413</v>
      </c>
      <c r="H185" s="11">
        <f>ROUND(
IF(L183="GANCHO",
   IF(I185&lt;=50,I185*1.1+4,IF(I185&lt;=120,I185*1.1+7,IF(I185&lt;=250,I185*1.1+11,I185*1.1+19))),
IF(L183="NORMAL",
   IF(I185&lt;=30,I185*1.15+2,IF(I185&lt;=80,I185*1.15+4,IF(I185&lt;=150,I185*1.15+6,I185*1.15+8))),
IF(L183="COMPLEMENTO",
   IF(I185&lt;=25,I185*1.25+1.5,IF(I185&lt;=60,I185*1.25+3,IF(I185&lt;=120,I185*1.25+4,I185*1.25+5))),
""))),2)</f>
        <v>3935.27</v>
      </c>
      <c r="I185" s="9">
        <f>($K$2+0.02)*Tabla1[[#This Row],[PRECIO $]]*1.18</f>
        <v>3560.2487999999998</v>
      </c>
      <c r="J185" s="7">
        <f>+Tabla1[[#This Row],[PRECIO EN SOLES]]-Tabla1[[#This Row],[PC]]</f>
        <v>375.02120000000014</v>
      </c>
      <c r="K185" s="15"/>
      <c r="L185" s="15" t="str">
        <f>IF(
OR(
ISNUMBER(SEARCH("BACKPACK",B187)),
ISNUMBER(SEARCH("MOCHILA",B187)),
ISNUMBER(SEARCH("FUNDA",B187)),
ISNUMBER(SEARCH("ESTUCHE",B187)),
ISNUMBER(SEARCH("BOOK COVER",B187)),
ISNUMBER(SEARCH("KEYBOARD PARA TABLET",B187)),
ISNUMBER(SEARCH("FLIP TABLET",B187)),
ISNUMBER(SEARCH("CASE FOR TABLET",B187)),
ISNUMBER(SEARCH("CABLE",B187)),
ISNUMBER(SEARCH("ADAPTADOR",B187)),
ISNUMBER(SEARCH("HUB",B187)),
ISNUMBER(SEARCH("DOCK",B187)),
ISNUMBER(SEARCH("MOUSE PAD",B187)),
ISNUMBER(SEARCH("MOUSEPAD",B187)),
ISNUMBER(SEARCH("SOPORTE",B187)),
ISNUMBER(SEARCH("STAND",B187)),
ISNUMBER(SEARCH("TRAVEL ADAPTER",B187)),
ISNUMBER(SEARCH("RJ45",B187)),
ISNUMBER(SEARCH("USB-C",B187)),
ISNUMBER(SEARCH("USB WIFI",B187)),
ISNUMBER(SEARCH("POWERBANK",B187)),
ISNUMBER(SEARCH("CARGADOR",B187)),
ISNUMBER(SEARCH("COOLER PARA NB",B187)),
ISNUMBER(SEARCH("SOPORTE PARA NB",B187)),
ISNUMBER(SEARCH("WEBCAM",B187)),
ISNUMBER(SEARCH("WEB CAM",B187)),
ISNUMBER(SEARCH("MOUSE",B187)),
ISNUMBER(SEARCH("TECLADO",B187))
),
"COMPLEMENTO",
IF(
OR(
LEFT(A187,2)="NB",
LEFT(A187,2)="PC",
LEFT(A187,2)="WS",
LEFT(A187,2)="TB",
LEFT(A187,3)="CEL",
LEFT(A187,3)="MON",
LEFT(A187,3)="PRE",
LEFT(A187,3)="PRH",
ISNUMBER(SEARCH("NOTEBOOK",B187)),
ISNUMBER(SEARCH("LAPTOP",B187)),
ISNUMBER(SEARCH("MONITOR",B187)),
ISNUMBER(SEARCH("TABLET",B187)),
ISNUMBER(SEARCH("SMARTPH",B187)),
ISNUMBER(SEARCH("IMPRESORA",B187)),
ISNUMBER(SEARCH("MULTIFUNCIONAL",B187)),
ISNUMBER(SEARCH("AIO",B187))
),
"GANCHO",
"NORMAL"
)
)</f>
        <v>GANCHO</v>
      </c>
    </row>
    <row r="186" spans="1:12" x14ac:dyDescent="0.25">
      <c r="A186" s="3" t="s">
        <v>946</v>
      </c>
      <c r="B186" s="3" t="s">
        <v>947</v>
      </c>
      <c r="C186" s="1">
        <v>20</v>
      </c>
      <c r="D186" s="1">
        <v>827</v>
      </c>
      <c r="E186" s="1" t="s">
        <v>74</v>
      </c>
      <c r="F186" s="1" t="s">
        <v>3167</v>
      </c>
      <c r="G186" s="3" t="s">
        <v>948</v>
      </c>
      <c r="H186" s="11">
        <f>ROUND(
IF(L184="GANCHO",
   IF(I186&lt;=50,I186*1.1+4,IF(I186&lt;=120,I186*1.1+7,IF(I186&lt;=250,I186*1.1+11,I186*1.1+19))),
IF(L184="NORMAL",
   IF(I186&lt;=30,I186*1.15+2,IF(I186&lt;=80,I186*1.15+4,IF(I186&lt;=150,I186*1.15+6,I186*1.15+8))),
IF(L184="COMPLEMENTO",
   IF(I186&lt;=25,I186*1.25+1.5,IF(I186&lt;=60,I186*1.25+3,IF(I186&lt;=120,I186*1.25+4,I186*1.25+5))),
""))),2)</f>
        <v>3754.59</v>
      </c>
      <c r="I186" s="9">
        <f>($K$2+0.02)*Tabla1[[#This Row],[PRECIO $]]*1.18</f>
        <v>3395.9928</v>
      </c>
      <c r="J186" s="7">
        <f>+Tabla1[[#This Row],[PRECIO EN SOLES]]-Tabla1[[#This Row],[PC]]</f>
        <v>358.59720000000016</v>
      </c>
      <c r="K186" s="15"/>
      <c r="L186" s="15" t="str">
        <f>IF(
OR(
ISNUMBER(SEARCH("BACKPACK",B188)),
ISNUMBER(SEARCH("MOCHILA",B188)),
ISNUMBER(SEARCH("FUNDA",B188)),
ISNUMBER(SEARCH("ESTUCHE",B188)),
ISNUMBER(SEARCH("BOOK COVER",B188)),
ISNUMBER(SEARCH("KEYBOARD PARA TABLET",B188)),
ISNUMBER(SEARCH("FLIP TABLET",B188)),
ISNUMBER(SEARCH("CASE FOR TABLET",B188)),
ISNUMBER(SEARCH("CABLE",B188)),
ISNUMBER(SEARCH("ADAPTADOR",B188)),
ISNUMBER(SEARCH("HUB",B188)),
ISNUMBER(SEARCH("DOCK",B188)),
ISNUMBER(SEARCH("MOUSE PAD",B188)),
ISNUMBER(SEARCH("MOUSEPAD",B188)),
ISNUMBER(SEARCH("SOPORTE",B188)),
ISNUMBER(SEARCH("STAND",B188)),
ISNUMBER(SEARCH("TRAVEL ADAPTER",B188)),
ISNUMBER(SEARCH("RJ45",B188)),
ISNUMBER(SEARCH("USB-C",B188)),
ISNUMBER(SEARCH("USB WIFI",B188)),
ISNUMBER(SEARCH("POWERBANK",B188)),
ISNUMBER(SEARCH("CARGADOR",B188)),
ISNUMBER(SEARCH("COOLER PARA NB",B188)),
ISNUMBER(SEARCH("SOPORTE PARA NB",B188)),
ISNUMBER(SEARCH("WEBCAM",B188)),
ISNUMBER(SEARCH("WEB CAM",B188)),
ISNUMBER(SEARCH("MOUSE",B188)),
ISNUMBER(SEARCH("TECLADO",B188))
),
"COMPLEMENTO",
IF(
OR(
LEFT(A188,2)="NB",
LEFT(A188,2)="PC",
LEFT(A188,2)="WS",
LEFT(A188,2)="TB",
LEFT(A188,3)="CEL",
LEFT(A188,3)="MON",
LEFT(A188,3)="PRE",
LEFT(A188,3)="PRH",
ISNUMBER(SEARCH("NOTEBOOK",B188)),
ISNUMBER(SEARCH("LAPTOP",B188)),
ISNUMBER(SEARCH("MONITOR",B188)),
ISNUMBER(SEARCH("TABLET",B188)),
ISNUMBER(SEARCH("SMARTPH",B188)),
ISNUMBER(SEARCH("IMPRESORA",B188)),
ISNUMBER(SEARCH("MULTIFUNCIONAL",B188)),
ISNUMBER(SEARCH("AIO",B188))
),
"GANCHO",
"NORMAL"
)
)</f>
        <v>GANCHO</v>
      </c>
    </row>
    <row r="187" spans="1:12" x14ac:dyDescent="0.25">
      <c r="A187" s="3" t="s">
        <v>949</v>
      </c>
      <c r="B187" s="3" t="s">
        <v>950</v>
      </c>
      <c r="C187" s="1">
        <v>18</v>
      </c>
      <c r="D187" s="1">
        <v>780</v>
      </c>
      <c r="E187" s="1" t="s">
        <v>148</v>
      </c>
      <c r="F187" s="1" t="s">
        <v>3168</v>
      </c>
      <c r="G187" s="3" t="s">
        <v>951</v>
      </c>
      <c r="H187" s="11">
        <f>ROUND(
IF(L185="GANCHO",
   IF(I187&lt;=50,I187*1.1+4,IF(I187&lt;=120,I187*1.1+7,IF(I187&lt;=250,I187*1.1+11,I187*1.1+19))),
IF(L185="NORMAL",
   IF(I187&lt;=30,I187*1.15+2,IF(I187&lt;=80,I187*1.15+4,IF(I187&lt;=150,I187*1.15+6,I187*1.15+8))),
IF(L185="COMPLEMENTO",
   IF(I187&lt;=25,I187*1.25+1.5,IF(I187&lt;=60,I187*1.25+3,IF(I187&lt;=120,I187*1.25+4,I187*1.25+5))),
""))),2)</f>
        <v>3542.29</v>
      </c>
      <c r="I187" s="9">
        <f>($K$2+0.02)*Tabla1[[#This Row],[PRECIO $]]*1.18</f>
        <v>3202.9919999999997</v>
      </c>
      <c r="J187" s="7">
        <f>+Tabla1[[#This Row],[PRECIO EN SOLES]]-Tabla1[[#This Row],[PC]]</f>
        <v>339.29800000000023</v>
      </c>
      <c r="K187" s="15"/>
      <c r="L187" s="15" t="str">
        <f>IF(
OR(
ISNUMBER(SEARCH("BACKPACK",B189)),
ISNUMBER(SEARCH("MOCHILA",B189)),
ISNUMBER(SEARCH("FUNDA",B189)),
ISNUMBER(SEARCH("ESTUCHE",B189)),
ISNUMBER(SEARCH("BOOK COVER",B189)),
ISNUMBER(SEARCH("KEYBOARD PARA TABLET",B189)),
ISNUMBER(SEARCH("FLIP TABLET",B189)),
ISNUMBER(SEARCH("CASE FOR TABLET",B189)),
ISNUMBER(SEARCH("CABLE",B189)),
ISNUMBER(SEARCH("ADAPTADOR",B189)),
ISNUMBER(SEARCH("HUB",B189)),
ISNUMBER(SEARCH("DOCK",B189)),
ISNUMBER(SEARCH("MOUSE PAD",B189)),
ISNUMBER(SEARCH("MOUSEPAD",B189)),
ISNUMBER(SEARCH("SOPORTE",B189)),
ISNUMBER(SEARCH("STAND",B189)),
ISNUMBER(SEARCH("TRAVEL ADAPTER",B189)),
ISNUMBER(SEARCH("RJ45",B189)),
ISNUMBER(SEARCH("USB-C",B189)),
ISNUMBER(SEARCH("USB WIFI",B189)),
ISNUMBER(SEARCH("POWERBANK",B189)),
ISNUMBER(SEARCH("CARGADOR",B189)),
ISNUMBER(SEARCH("COOLER PARA NB",B189)),
ISNUMBER(SEARCH("SOPORTE PARA NB",B189)),
ISNUMBER(SEARCH("WEBCAM",B189)),
ISNUMBER(SEARCH("WEB CAM",B189)),
ISNUMBER(SEARCH("MOUSE",B189)),
ISNUMBER(SEARCH("TECLADO",B189))
),
"COMPLEMENTO",
IF(
OR(
LEFT(A189,2)="NB",
LEFT(A189,2)="PC",
LEFT(A189,2)="WS",
LEFT(A189,2)="TB",
LEFT(A189,3)="CEL",
LEFT(A189,3)="MON",
LEFT(A189,3)="PRE",
LEFT(A189,3)="PRH",
ISNUMBER(SEARCH("NOTEBOOK",B189)),
ISNUMBER(SEARCH("LAPTOP",B189)),
ISNUMBER(SEARCH("MONITOR",B189)),
ISNUMBER(SEARCH("TABLET",B189)),
ISNUMBER(SEARCH("SMARTPH",B189)),
ISNUMBER(SEARCH("IMPRESORA",B189)),
ISNUMBER(SEARCH("MULTIFUNCIONAL",B189)),
ISNUMBER(SEARCH("AIO",B189))
),
"GANCHO",
"NORMAL"
)
)</f>
        <v>GANCHO</v>
      </c>
    </row>
    <row r="188" spans="1:12" x14ac:dyDescent="0.25">
      <c r="A188" s="3" t="s">
        <v>952</v>
      </c>
      <c r="B188" s="3" t="s">
        <v>953</v>
      </c>
      <c r="C188" s="1">
        <v>20</v>
      </c>
      <c r="D188" s="1">
        <v>586</v>
      </c>
      <c r="E188" s="1" t="s">
        <v>74</v>
      </c>
      <c r="F188" s="1" t="s">
        <v>3169</v>
      </c>
      <c r="G188" s="3" t="s">
        <v>954</v>
      </c>
      <c r="H188" s="11">
        <f>ROUND(
IF(L186="GANCHO",
   IF(I188&lt;=50,I188*1.1+4,IF(I188&lt;=120,I188*1.1+7,IF(I188&lt;=250,I188*1.1+11,I188*1.1+19))),
IF(L186="NORMAL",
   IF(I188&lt;=30,I188*1.15+2,IF(I188&lt;=80,I188*1.15+4,IF(I188&lt;=150,I188*1.15+6,I188*1.15+8))),
IF(L186="COMPLEMENTO",
   IF(I188&lt;=25,I188*1.25+1.5,IF(I188&lt;=60,I188*1.25+3,IF(I188&lt;=120,I188*1.25+4,I188*1.25+5))),
""))),2)</f>
        <v>2665.99</v>
      </c>
      <c r="I188" s="9">
        <f>($K$2+0.02)*Tabla1[[#This Row],[PRECIO $]]*1.18</f>
        <v>2406.3503999999998</v>
      </c>
      <c r="J188" s="7">
        <f>+Tabla1[[#This Row],[PRECIO EN SOLES]]-Tabla1[[#This Row],[PC]]</f>
        <v>259.63959999999997</v>
      </c>
      <c r="K188" s="15"/>
      <c r="L188" s="15" t="str">
        <f>IF(
OR(
ISNUMBER(SEARCH("BACKPACK",B190)),
ISNUMBER(SEARCH("MOCHILA",B190)),
ISNUMBER(SEARCH("FUNDA",B190)),
ISNUMBER(SEARCH("ESTUCHE",B190)),
ISNUMBER(SEARCH("BOOK COVER",B190)),
ISNUMBER(SEARCH("KEYBOARD PARA TABLET",B190)),
ISNUMBER(SEARCH("FLIP TABLET",B190)),
ISNUMBER(SEARCH("CASE FOR TABLET",B190)),
ISNUMBER(SEARCH("CABLE",B190)),
ISNUMBER(SEARCH("ADAPTADOR",B190)),
ISNUMBER(SEARCH("HUB",B190)),
ISNUMBER(SEARCH("DOCK",B190)),
ISNUMBER(SEARCH("MOUSE PAD",B190)),
ISNUMBER(SEARCH("MOUSEPAD",B190)),
ISNUMBER(SEARCH("SOPORTE",B190)),
ISNUMBER(SEARCH("STAND",B190)),
ISNUMBER(SEARCH("TRAVEL ADAPTER",B190)),
ISNUMBER(SEARCH("RJ45",B190)),
ISNUMBER(SEARCH("USB-C",B190)),
ISNUMBER(SEARCH("USB WIFI",B190)),
ISNUMBER(SEARCH("POWERBANK",B190)),
ISNUMBER(SEARCH("CARGADOR",B190)),
ISNUMBER(SEARCH("COOLER PARA NB",B190)),
ISNUMBER(SEARCH("SOPORTE PARA NB",B190)),
ISNUMBER(SEARCH("WEBCAM",B190)),
ISNUMBER(SEARCH("WEB CAM",B190)),
ISNUMBER(SEARCH("MOUSE",B190)),
ISNUMBER(SEARCH("TECLADO",B190))
),
"COMPLEMENTO",
IF(
OR(
LEFT(A190,2)="NB",
LEFT(A190,2)="PC",
LEFT(A190,2)="WS",
LEFT(A190,2)="TB",
LEFT(A190,3)="CEL",
LEFT(A190,3)="MON",
LEFT(A190,3)="PRE",
LEFT(A190,3)="PRH",
ISNUMBER(SEARCH("NOTEBOOK",B190)),
ISNUMBER(SEARCH("LAPTOP",B190)),
ISNUMBER(SEARCH("MONITOR",B190)),
ISNUMBER(SEARCH("TABLET",B190)),
ISNUMBER(SEARCH("SMARTPH",B190)),
ISNUMBER(SEARCH("IMPRESORA",B190)),
ISNUMBER(SEARCH("MULTIFUNCIONAL",B190)),
ISNUMBER(SEARCH("AIO",B190))
),
"GANCHO",
"NORMAL"
)
)</f>
        <v>GANCHO</v>
      </c>
    </row>
    <row r="189" spans="1:12" x14ac:dyDescent="0.25">
      <c r="A189" s="3" t="s">
        <v>955</v>
      </c>
      <c r="B189" s="3" t="s">
        <v>956</v>
      </c>
      <c r="C189" s="1">
        <v>20</v>
      </c>
      <c r="D189" s="1">
        <v>606</v>
      </c>
      <c r="E189" s="1" t="s">
        <v>74</v>
      </c>
      <c r="F189" s="1" t="s">
        <v>3170</v>
      </c>
      <c r="G189" s="3" t="s">
        <v>957</v>
      </c>
      <c r="H189" s="11">
        <f>ROUND(
IF(L187="GANCHO",
   IF(I189&lt;=50,I189*1.1+4,IF(I189&lt;=120,I189*1.1+7,IF(I189&lt;=250,I189*1.1+11,I189*1.1+19))),
IF(L187="NORMAL",
   IF(I189&lt;=30,I189*1.15+2,IF(I189&lt;=80,I189*1.15+4,IF(I189&lt;=150,I189*1.15+6,I189*1.15+8))),
IF(L187="COMPLEMENTO",
   IF(I189&lt;=25,I189*1.25+1.5,IF(I189&lt;=60,I189*1.25+3,IF(I189&lt;=120,I189*1.25+4,I189*1.25+5))),
""))),2)</f>
        <v>2756.33</v>
      </c>
      <c r="I189" s="9">
        <f>($K$2+0.02)*Tabla1[[#This Row],[PRECIO $]]*1.18</f>
        <v>2488.4784</v>
      </c>
      <c r="J189" s="7">
        <f>+Tabla1[[#This Row],[PRECIO EN SOLES]]-Tabla1[[#This Row],[PC]]</f>
        <v>267.85159999999996</v>
      </c>
      <c r="K189" s="15"/>
      <c r="L189" s="15" t="str">
        <f>IF(
OR(
ISNUMBER(SEARCH("BACKPACK",B191)),
ISNUMBER(SEARCH("MOCHILA",B191)),
ISNUMBER(SEARCH("FUNDA",B191)),
ISNUMBER(SEARCH("ESTUCHE",B191)),
ISNUMBER(SEARCH("BOOK COVER",B191)),
ISNUMBER(SEARCH("KEYBOARD PARA TABLET",B191)),
ISNUMBER(SEARCH("FLIP TABLET",B191)),
ISNUMBER(SEARCH("CASE FOR TABLET",B191)),
ISNUMBER(SEARCH("CABLE",B191)),
ISNUMBER(SEARCH("ADAPTADOR",B191)),
ISNUMBER(SEARCH("HUB",B191)),
ISNUMBER(SEARCH("DOCK",B191)),
ISNUMBER(SEARCH("MOUSE PAD",B191)),
ISNUMBER(SEARCH("MOUSEPAD",B191)),
ISNUMBER(SEARCH("SOPORTE",B191)),
ISNUMBER(SEARCH("STAND",B191)),
ISNUMBER(SEARCH("TRAVEL ADAPTER",B191)),
ISNUMBER(SEARCH("RJ45",B191)),
ISNUMBER(SEARCH("USB-C",B191)),
ISNUMBER(SEARCH("USB WIFI",B191)),
ISNUMBER(SEARCH("POWERBANK",B191)),
ISNUMBER(SEARCH("CARGADOR",B191)),
ISNUMBER(SEARCH("COOLER PARA NB",B191)),
ISNUMBER(SEARCH("SOPORTE PARA NB",B191)),
ISNUMBER(SEARCH("WEBCAM",B191)),
ISNUMBER(SEARCH("WEB CAM",B191)),
ISNUMBER(SEARCH("MOUSE",B191)),
ISNUMBER(SEARCH("TECLADO",B191))
),
"COMPLEMENTO",
IF(
OR(
LEFT(A191,2)="NB",
LEFT(A191,2)="PC",
LEFT(A191,2)="WS",
LEFT(A191,2)="TB",
LEFT(A191,3)="CEL",
LEFT(A191,3)="MON",
LEFT(A191,3)="PRE",
LEFT(A191,3)="PRH",
ISNUMBER(SEARCH("NOTEBOOK",B191)),
ISNUMBER(SEARCH("LAPTOP",B191)),
ISNUMBER(SEARCH("MONITOR",B191)),
ISNUMBER(SEARCH("TABLET",B191)),
ISNUMBER(SEARCH("SMARTPH",B191)),
ISNUMBER(SEARCH("IMPRESORA",B191)),
ISNUMBER(SEARCH("MULTIFUNCIONAL",B191)),
ISNUMBER(SEARCH("AIO",B191))
),
"GANCHO",
"NORMAL"
)
)</f>
        <v>GANCHO</v>
      </c>
    </row>
    <row r="190" spans="1:12" x14ac:dyDescent="0.25">
      <c r="A190" s="3" t="s">
        <v>958</v>
      </c>
      <c r="B190" s="3" t="s">
        <v>959</v>
      </c>
      <c r="C190" s="1">
        <v>0</v>
      </c>
      <c r="D190" s="1">
        <v>887</v>
      </c>
      <c r="E190" s="1" t="s">
        <v>148</v>
      </c>
      <c r="F190" s="1" t="s">
        <v>3171</v>
      </c>
      <c r="G190" s="3" t="s">
        <v>960</v>
      </c>
      <c r="H190" s="11">
        <f>ROUND(
IF(L188="GANCHO",
   IF(I190&lt;=50,I190*1.1+4,IF(I190&lt;=120,I190*1.1+7,IF(I190&lt;=250,I190*1.1+11,I190*1.1+19))),
IF(L188="NORMAL",
   IF(I190&lt;=30,I190*1.15+2,IF(I190&lt;=80,I190*1.15+4,IF(I190&lt;=150,I190*1.15+6,I190*1.15+8))),
IF(L188="COMPLEMENTO",
   IF(I190&lt;=25,I190*1.25+1.5,IF(I190&lt;=60,I190*1.25+3,IF(I190&lt;=120,I190*1.25+4,I190*1.25+5))),
""))),2)</f>
        <v>4025.61</v>
      </c>
      <c r="I190" s="9">
        <f>($K$2+0.02)*Tabla1[[#This Row],[PRECIO $]]*1.18</f>
        <v>3642.3767999999995</v>
      </c>
      <c r="J190" s="7">
        <f>+Tabla1[[#This Row],[PRECIO EN SOLES]]-Tabla1[[#This Row],[PC]]</f>
        <v>383.23320000000058</v>
      </c>
      <c r="K190" s="15"/>
      <c r="L190" s="15" t="str">
        <f>IF(
OR(
ISNUMBER(SEARCH("BACKPACK",B192)),
ISNUMBER(SEARCH("MOCHILA",B192)),
ISNUMBER(SEARCH("FUNDA",B192)),
ISNUMBER(SEARCH("ESTUCHE",B192)),
ISNUMBER(SEARCH("BOOK COVER",B192)),
ISNUMBER(SEARCH("KEYBOARD PARA TABLET",B192)),
ISNUMBER(SEARCH("FLIP TABLET",B192)),
ISNUMBER(SEARCH("CASE FOR TABLET",B192)),
ISNUMBER(SEARCH("CABLE",B192)),
ISNUMBER(SEARCH("ADAPTADOR",B192)),
ISNUMBER(SEARCH("HUB",B192)),
ISNUMBER(SEARCH("DOCK",B192)),
ISNUMBER(SEARCH("MOUSE PAD",B192)),
ISNUMBER(SEARCH("MOUSEPAD",B192)),
ISNUMBER(SEARCH("SOPORTE",B192)),
ISNUMBER(SEARCH("STAND",B192)),
ISNUMBER(SEARCH("TRAVEL ADAPTER",B192)),
ISNUMBER(SEARCH("RJ45",B192)),
ISNUMBER(SEARCH("USB-C",B192)),
ISNUMBER(SEARCH("USB WIFI",B192)),
ISNUMBER(SEARCH("POWERBANK",B192)),
ISNUMBER(SEARCH("CARGADOR",B192)),
ISNUMBER(SEARCH("COOLER PARA NB",B192)),
ISNUMBER(SEARCH("SOPORTE PARA NB",B192)),
ISNUMBER(SEARCH("WEBCAM",B192)),
ISNUMBER(SEARCH("WEB CAM",B192)),
ISNUMBER(SEARCH("MOUSE",B192)),
ISNUMBER(SEARCH("TECLADO",B192))
),
"COMPLEMENTO",
IF(
OR(
LEFT(A192,2)="NB",
LEFT(A192,2)="PC",
LEFT(A192,2)="WS",
LEFT(A192,2)="TB",
LEFT(A192,3)="CEL",
LEFT(A192,3)="MON",
LEFT(A192,3)="PRE",
LEFT(A192,3)="PRH",
ISNUMBER(SEARCH("NOTEBOOK",B192)),
ISNUMBER(SEARCH("LAPTOP",B192)),
ISNUMBER(SEARCH("MONITOR",B192)),
ISNUMBER(SEARCH("TABLET",B192)),
ISNUMBER(SEARCH("SMARTPH",B192)),
ISNUMBER(SEARCH("IMPRESORA",B192)),
ISNUMBER(SEARCH("MULTIFUNCIONAL",B192)),
ISNUMBER(SEARCH("AIO",B192))
),
"GANCHO",
"NORMAL"
)
)</f>
        <v>GANCHO</v>
      </c>
    </row>
    <row r="191" spans="1:12" x14ac:dyDescent="0.25">
      <c r="A191" s="3" t="s">
        <v>962</v>
      </c>
      <c r="B191" s="3" t="s">
        <v>963</v>
      </c>
      <c r="C191" s="1">
        <v>20</v>
      </c>
      <c r="D191" s="1">
        <v>677</v>
      </c>
      <c r="E191" s="1" t="s">
        <v>74</v>
      </c>
      <c r="F191" s="1" t="s">
        <v>3172</v>
      </c>
      <c r="G191" s="3" t="s">
        <v>961</v>
      </c>
      <c r="H191" s="11">
        <f>ROUND(
IF(L189="GANCHO",
   IF(I191&lt;=50,I191*1.1+4,IF(I191&lt;=120,I191*1.1+7,IF(I191&lt;=250,I191*1.1+11,I191*1.1+19))),
IF(L189="NORMAL",
   IF(I191&lt;=30,I191*1.15+2,IF(I191&lt;=80,I191*1.15+4,IF(I191&lt;=150,I191*1.15+6,I191*1.15+8))),
IF(L189="COMPLEMENTO",
   IF(I191&lt;=25,I191*1.25+1.5,IF(I191&lt;=60,I191*1.25+3,IF(I191&lt;=120,I191*1.25+4,I191*1.25+5))),
""))),2)</f>
        <v>3077.04</v>
      </c>
      <c r="I191" s="9">
        <f>($K$2+0.02)*Tabla1[[#This Row],[PRECIO $]]*1.18</f>
        <v>2780.0328</v>
      </c>
      <c r="J191" s="7">
        <f>+Tabla1[[#This Row],[PRECIO EN SOLES]]-Tabla1[[#This Row],[PC]]</f>
        <v>297.00720000000001</v>
      </c>
      <c r="K191" s="15"/>
      <c r="L191" s="15" t="str">
        <f>IF(
OR(
ISNUMBER(SEARCH("BACKPACK",B193)),
ISNUMBER(SEARCH("MOCHILA",B193)),
ISNUMBER(SEARCH("FUNDA",B193)),
ISNUMBER(SEARCH("ESTUCHE",B193)),
ISNUMBER(SEARCH("BOOK COVER",B193)),
ISNUMBER(SEARCH("KEYBOARD PARA TABLET",B193)),
ISNUMBER(SEARCH("FLIP TABLET",B193)),
ISNUMBER(SEARCH("CASE FOR TABLET",B193)),
ISNUMBER(SEARCH("CABLE",B193)),
ISNUMBER(SEARCH("ADAPTADOR",B193)),
ISNUMBER(SEARCH("HUB",B193)),
ISNUMBER(SEARCH("DOCK",B193)),
ISNUMBER(SEARCH("MOUSE PAD",B193)),
ISNUMBER(SEARCH("MOUSEPAD",B193)),
ISNUMBER(SEARCH("SOPORTE",B193)),
ISNUMBER(SEARCH("STAND",B193)),
ISNUMBER(SEARCH("TRAVEL ADAPTER",B193)),
ISNUMBER(SEARCH("RJ45",B193)),
ISNUMBER(SEARCH("USB-C",B193)),
ISNUMBER(SEARCH("USB WIFI",B193)),
ISNUMBER(SEARCH("POWERBANK",B193)),
ISNUMBER(SEARCH("CARGADOR",B193)),
ISNUMBER(SEARCH("COOLER PARA NB",B193)),
ISNUMBER(SEARCH("SOPORTE PARA NB",B193)),
ISNUMBER(SEARCH("WEBCAM",B193)),
ISNUMBER(SEARCH("WEB CAM",B193)),
ISNUMBER(SEARCH("MOUSE",B193)),
ISNUMBER(SEARCH("TECLADO",B193))
),
"COMPLEMENTO",
IF(
OR(
LEFT(A193,2)="NB",
LEFT(A193,2)="PC",
LEFT(A193,2)="WS",
LEFT(A193,2)="TB",
LEFT(A193,3)="CEL",
LEFT(A193,3)="MON",
LEFT(A193,3)="PRE",
LEFT(A193,3)="PRH",
ISNUMBER(SEARCH("NOTEBOOK",B193)),
ISNUMBER(SEARCH("LAPTOP",B193)),
ISNUMBER(SEARCH("MONITOR",B193)),
ISNUMBER(SEARCH("TABLET",B193)),
ISNUMBER(SEARCH("SMARTPH",B193)),
ISNUMBER(SEARCH("IMPRESORA",B193)),
ISNUMBER(SEARCH("MULTIFUNCIONAL",B193)),
ISNUMBER(SEARCH("AIO",B193))
),
"GANCHO",
"NORMAL"
)
)</f>
        <v>GANCHO</v>
      </c>
    </row>
    <row r="192" spans="1:12" x14ac:dyDescent="0.25">
      <c r="A192" s="3" t="s">
        <v>964</v>
      </c>
      <c r="B192" s="3" t="s">
        <v>965</v>
      </c>
      <c r="C192" s="1">
        <v>20</v>
      </c>
      <c r="D192" s="1">
        <v>965</v>
      </c>
      <c r="E192" s="1" t="s">
        <v>148</v>
      </c>
      <c r="F192" s="1" t="s">
        <v>3173</v>
      </c>
      <c r="G192" s="3" t="s">
        <v>966</v>
      </c>
      <c r="H192" s="11">
        <f>ROUND(
IF(L190="GANCHO",
   IF(I192&lt;=50,I192*1.1+4,IF(I192&lt;=120,I192*1.1+7,IF(I192&lt;=250,I192*1.1+11,I192*1.1+19))),
IF(L190="NORMAL",
   IF(I192&lt;=30,I192*1.15+2,IF(I192&lt;=80,I192*1.15+4,IF(I192&lt;=150,I192*1.15+6,I192*1.15+8))),
IF(L190="COMPLEMENTO",
   IF(I192&lt;=25,I192*1.25+1.5,IF(I192&lt;=60,I192*1.25+3,IF(I192&lt;=120,I192*1.25+4,I192*1.25+5))),
""))),2)</f>
        <v>4377.9399999999996</v>
      </c>
      <c r="I192" s="9">
        <f>($K$2+0.02)*Tabla1[[#This Row],[PRECIO $]]*1.18</f>
        <v>3962.6759999999995</v>
      </c>
      <c r="J192" s="7">
        <f>+Tabla1[[#This Row],[PRECIO EN SOLES]]-Tabla1[[#This Row],[PC]]</f>
        <v>415.26400000000012</v>
      </c>
      <c r="K192" s="15"/>
      <c r="L192" s="15" t="str">
        <f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GANCHO</v>
      </c>
    </row>
    <row r="193" spans="1:12" x14ac:dyDescent="0.25">
      <c r="A193" s="3" t="s">
        <v>6671</v>
      </c>
      <c r="B193" s="3" t="s">
        <v>6672</v>
      </c>
      <c r="C193" s="1">
        <v>0</v>
      </c>
      <c r="D193" s="1">
        <v>1520</v>
      </c>
      <c r="E193" s="1" t="s">
        <v>148</v>
      </c>
      <c r="F193" s="1" t="s">
        <v>6673</v>
      </c>
      <c r="G193" s="3" t="s">
        <v>6674</v>
      </c>
      <c r="H193" s="11">
        <f>ROUND(
IF(L191="GANCHO",
   IF(I193&lt;=50,I193*1.1+4,IF(I193&lt;=120,I193*1.1+7,IF(I193&lt;=250,I193*1.1+11,I193*1.1+19))),
IF(L191="NORMAL",
   IF(I193&lt;=30,I193*1.15+2,IF(I193&lt;=80,I193*1.15+4,IF(I193&lt;=150,I193*1.15+6,I193*1.15+8))),
IF(L191="COMPLEMENTO",
   IF(I193&lt;=25,I193*1.25+1.5,IF(I193&lt;=60,I193*1.25+3,IF(I193&lt;=120,I193*1.25+4,I193*1.25+5))),
""))),2)</f>
        <v>6884.9</v>
      </c>
      <c r="I193" s="9">
        <f>($K$2+0.02)*Tabla1[[#This Row],[PRECIO $]]*1.18</f>
        <v>6241.7280000000001</v>
      </c>
      <c r="J193" s="7">
        <f>+Tabla1[[#This Row],[PRECIO EN SOLES]]-Tabla1[[#This Row],[PC]]</f>
        <v>643.17199999999957</v>
      </c>
      <c r="K193" s="15"/>
      <c r="L193" s="15" t="str">
        <f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GANCHO</v>
      </c>
    </row>
    <row r="194" spans="1:12" x14ac:dyDescent="0.25">
      <c r="A194" s="3" t="s">
        <v>4874</v>
      </c>
      <c r="B194" s="3" t="s">
        <v>4875</v>
      </c>
      <c r="C194" s="1">
        <v>20</v>
      </c>
      <c r="D194" s="1">
        <v>1175</v>
      </c>
      <c r="E194" s="1" t="s">
        <v>56</v>
      </c>
      <c r="F194" s="1" t="s">
        <v>4876</v>
      </c>
      <c r="G194" s="3"/>
      <c r="H194" s="11">
        <f>ROUND(
IF(L192="GANCHO",
   IF(I194&lt;=50,I194*1.1+4,IF(I194&lt;=120,I194*1.1+7,IF(I194&lt;=250,I194*1.1+11,I194*1.1+19))),
IF(L192="NORMAL",
   IF(I194&lt;=30,I194*1.15+2,IF(I194&lt;=80,I194*1.15+4,IF(I194&lt;=150,I194*1.15+6,I194*1.15+8))),
IF(L192="COMPLEMENTO",
   IF(I194&lt;=25,I194*1.25+1.5,IF(I194&lt;=60,I194*1.25+3,IF(I194&lt;=120,I194*1.25+4,I194*1.25+5))),
""))),2)</f>
        <v>5326.52</v>
      </c>
      <c r="I194" s="9">
        <f>($K$2+0.02)*Tabla1[[#This Row],[PRECIO $]]*1.18</f>
        <v>4825.0199999999995</v>
      </c>
      <c r="J194" s="7">
        <f>+Tabla1[[#This Row],[PRECIO EN SOLES]]-Tabla1[[#This Row],[PC]]</f>
        <v>501.50000000000091</v>
      </c>
      <c r="K194" s="15"/>
      <c r="L194" s="15" t="str">
        <f>IF(
OR(
ISNUMBER(SEARCH("BACKPACK",B196)),
ISNUMBER(SEARCH("MOCHILA",B196)),
ISNUMBER(SEARCH("FUNDA",B196)),
ISNUMBER(SEARCH("ESTUCHE",B196)),
ISNUMBER(SEARCH("BOOK COVER",B196)),
ISNUMBER(SEARCH("KEYBOARD PARA TABLET",B196)),
ISNUMBER(SEARCH("FLIP TABLET",B196)),
ISNUMBER(SEARCH("CASE FOR TABLET",B196)),
ISNUMBER(SEARCH("CABLE",B196)),
ISNUMBER(SEARCH("ADAPTADOR",B196)),
ISNUMBER(SEARCH("HUB",B196)),
ISNUMBER(SEARCH("DOCK",B196)),
ISNUMBER(SEARCH("MOUSE PAD",B196)),
ISNUMBER(SEARCH("MOUSEPAD",B196)),
ISNUMBER(SEARCH("SOPORTE",B196)),
ISNUMBER(SEARCH("STAND",B196)),
ISNUMBER(SEARCH("TRAVEL ADAPTER",B196)),
ISNUMBER(SEARCH("RJ45",B196)),
ISNUMBER(SEARCH("USB-C",B196)),
ISNUMBER(SEARCH("USB WIFI",B196)),
ISNUMBER(SEARCH("POWERBANK",B196)),
ISNUMBER(SEARCH("CARGADOR",B196)),
ISNUMBER(SEARCH("COOLER PARA NB",B196)),
ISNUMBER(SEARCH("SOPORTE PARA NB",B196)),
ISNUMBER(SEARCH("WEBCAM",B196)),
ISNUMBER(SEARCH("WEB CAM",B196)),
ISNUMBER(SEARCH("MOUSE",B196)),
ISNUMBER(SEARCH("TECLADO",B196))
),
"COMPLEMENTO",
IF(
OR(
LEFT(A196,2)="NB",
LEFT(A196,2)="PC",
LEFT(A196,2)="WS",
LEFT(A196,2)="TB",
LEFT(A196,3)="CEL",
LEFT(A196,3)="MON",
LEFT(A196,3)="PRE",
LEFT(A196,3)="PRH",
ISNUMBER(SEARCH("NOTEBOOK",B196)),
ISNUMBER(SEARCH("LAPTOP",B196)),
ISNUMBER(SEARCH("MONITOR",B196)),
ISNUMBER(SEARCH("TABLET",B196)),
ISNUMBER(SEARCH("SMARTPH",B196)),
ISNUMBER(SEARCH("IMPRESORA",B196)),
ISNUMBER(SEARCH("MULTIFUNCIONAL",B196)),
ISNUMBER(SEARCH("AIO",B196))
),
"GANCHO",
"NORMAL"
)
)</f>
        <v>GANCHO</v>
      </c>
    </row>
    <row r="195" spans="1:12" x14ac:dyDescent="0.25">
      <c r="A195" s="3" t="s">
        <v>5787</v>
      </c>
      <c r="B195" s="3" t="s">
        <v>5788</v>
      </c>
      <c r="C195" s="1">
        <v>9</v>
      </c>
      <c r="D195" s="1">
        <v>337</v>
      </c>
      <c r="E195" s="1" t="s">
        <v>54</v>
      </c>
      <c r="F195" s="1" t="s">
        <v>5789</v>
      </c>
      <c r="G195" s="3" t="s">
        <v>5790</v>
      </c>
      <c r="H195" s="11">
        <f>ROUND(
IF(L193="GANCHO",
   IF(I195&lt;=50,I195*1.1+4,IF(I195&lt;=120,I195*1.1+7,IF(I195&lt;=250,I195*1.1+11,I195*1.1+19))),
IF(L193="NORMAL",
   IF(I195&lt;=30,I195*1.15+2,IF(I195&lt;=80,I195*1.15+4,IF(I195&lt;=150,I195*1.15+6,I195*1.15+8))),
IF(L193="COMPLEMENTO",
   IF(I195&lt;=25,I195*1.25+1.5,IF(I195&lt;=60,I195*1.25+3,IF(I195&lt;=120,I195*1.25+4,I195*1.25+5))),
""))),2)</f>
        <v>1541.24</v>
      </c>
      <c r="I195" s="9">
        <f>($K$2+0.02)*Tabla1[[#This Row],[PRECIO $]]*1.18</f>
        <v>1383.8568</v>
      </c>
      <c r="J195" s="7">
        <f>+Tabla1[[#This Row],[PRECIO EN SOLES]]-Tabla1[[#This Row],[PC]]</f>
        <v>157.38319999999999</v>
      </c>
      <c r="K195" s="15"/>
      <c r="L195" s="15" t="str">
        <f>IF(
OR(
ISNUMBER(SEARCH("BACKPACK",B197)),
ISNUMBER(SEARCH("MOCHILA",B197)),
ISNUMBER(SEARCH("FUNDA",B197)),
ISNUMBER(SEARCH("ESTUCHE",B197)),
ISNUMBER(SEARCH("BOOK COVER",B197)),
ISNUMBER(SEARCH("KEYBOARD PARA TABLET",B197)),
ISNUMBER(SEARCH("FLIP TABLET",B197)),
ISNUMBER(SEARCH("CASE FOR TABLET",B197)),
ISNUMBER(SEARCH("CABLE",B197)),
ISNUMBER(SEARCH("ADAPTADOR",B197)),
ISNUMBER(SEARCH("HUB",B197)),
ISNUMBER(SEARCH("DOCK",B197)),
ISNUMBER(SEARCH("MOUSE PAD",B197)),
ISNUMBER(SEARCH("MOUSEPAD",B197)),
ISNUMBER(SEARCH("SOPORTE",B197)),
ISNUMBER(SEARCH("STAND",B197)),
ISNUMBER(SEARCH("TRAVEL ADAPTER",B197)),
ISNUMBER(SEARCH("RJ45",B197)),
ISNUMBER(SEARCH("USB-C",B197)),
ISNUMBER(SEARCH("USB WIFI",B197)),
ISNUMBER(SEARCH("POWERBANK",B197)),
ISNUMBER(SEARCH("CARGADOR",B197)),
ISNUMBER(SEARCH("COOLER PARA NB",B197)),
ISNUMBER(SEARCH("SOPORTE PARA NB",B197)),
ISNUMBER(SEARCH("WEBCAM",B197)),
ISNUMBER(SEARCH("WEB CAM",B197)),
ISNUMBER(SEARCH("MOUSE",B197)),
ISNUMBER(SEARCH("TECLADO",B197))
),
"COMPLEMENTO",
IF(
OR(
LEFT(A197,2)="NB",
LEFT(A197,2)="PC",
LEFT(A197,2)="WS",
LEFT(A197,2)="TB",
LEFT(A197,3)="CEL",
LEFT(A197,3)="MON",
LEFT(A197,3)="PRE",
LEFT(A197,3)="PRH",
ISNUMBER(SEARCH("NOTEBOOK",B197)),
ISNUMBER(SEARCH("LAPTOP",B197)),
ISNUMBER(SEARCH("MONITOR",B197)),
ISNUMBER(SEARCH("TABLET",B197)),
ISNUMBER(SEARCH("SMARTPH",B197)),
ISNUMBER(SEARCH("IMPRESORA",B197)),
ISNUMBER(SEARCH("MULTIFUNCIONAL",B197)),
ISNUMBER(SEARCH("AIO",B197))
),
"GANCHO",
"NORMAL"
)
)</f>
        <v>GANCHO</v>
      </c>
    </row>
    <row r="196" spans="1:12" x14ac:dyDescent="0.25">
      <c r="A196" s="3" t="s">
        <v>5791</v>
      </c>
      <c r="B196" s="3" t="s">
        <v>5792</v>
      </c>
      <c r="C196" s="1">
        <v>2</v>
      </c>
      <c r="D196" s="1">
        <v>1461</v>
      </c>
      <c r="E196" s="1" t="s">
        <v>54</v>
      </c>
      <c r="F196" s="1" t="s">
        <v>5793</v>
      </c>
      <c r="G196" s="3"/>
      <c r="H196" s="11">
        <f>ROUND(
IF(L194="GANCHO",
   IF(I196&lt;=50,I196*1.1+4,IF(I196&lt;=120,I196*1.1+7,IF(I196&lt;=250,I196*1.1+11,I196*1.1+19))),
IF(L194="NORMAL",
   IF(I196&lt;=30,I196*1.15+2,IF(I196&lt;=80,I196*1.15+4,IF(I196&lt;=150,I196*1.15+6,I196*1.15+8))),
IF(L194="COMPLEMENTO",
   IF(I196&lt;=25,I196*1.25+1.5,IF(I196&lt;=60,I196*1.25+3,IF(I196&lt;=120,I196*1.25+4,I196*1.25+5))),
""))),2)</f>
        <v>6618.4</v>
      </c>
      <c r="I196" s="9">
        <f>($K$2+0.02)*Tabla1[[#This Row],[PRECIO $]]*1.18</f>
        <v>5999.4503999999997</v>
      </c>
      <c r="J196" s="7">
        <f>+Tabla1[[#This Row],[PRECIO EN SOLES]]-Tabla1[[#This Row],[PC]]</f>
        <v>618.94959999999992</v>
      </c>
      <c r="K196" s="15"/>
      <c r="L196" s="15" t="str">
        <f>IF(
OR(
ISNUMBER(SEARCH("BACKPACK",B198)),
ISNUMBER(SEARCH("MOCHILA",B198)),
ISNUMBER(SEARCH("FUNDA",B198)),
ISNUMBER(SEARCH("ESTUCHE",B198)),
ISNUMBER(SEARCH("BOOK COVER",B198)),
ISNUMBER(SEARCH("KEYBOARD PARA TABLET",B198)),
ISNUMBER(SEARCH("FLIP TABLET",B198)),
ISNUMBER(SEARCH("CASE FOR TABLET",B198)),
ISNUMBER(SEARCH("CABLE",B198)),
ISNUMBER(SEARCH("ADAPTADOR",B198)),
ISNUMBER(SEARCH("HUB",B198)),
ISNUMBER(SEARCH("DOCK",B198)),
ISNUMBER(SEARCH("MOUSE PAD",B198)),
ISNUMBER(SEARCH("MOUSEPAD",B198)),
ISNUMBER(SEARCH("SOPORTE",B198)),
ISNUMBER(SEARCH("STAND",B198)),
ISNUMBER(SEARCH("TRAVEL ADAPTER",B198)),
ISNUMBER(SEARCH("RJ45",B198)),
ISNUMBER(SEARCH("USB-C",B198)),
ISNUMBER(SEARCH("USB WIFI",B198)),
ISNUMBER(SEARCH("POWERBANK",B198)),
ISNUMBER(SEARCH("CARGADOR",B198)),
ISNUMBER(SEARCH("COOLER PARA NB",B198)),
ISNUMBER(SEARCH("SOPORTE PARA NB",B198)),
ISNUMBER(SEARCH("WEBCAM",B198)),
ISNUMBER(SEARCH("WEB CAM",B198)),
ISNUMBER(SEARCH("MOUSE",B198)),
ISNUMBER(SEARCH("TECLADO",B198))
),
"COMPLEMENTO",
IF(
OR(
LEFT(A198,2)="NB",
LEFT(A198,2)="PC",
LEFT(A198,2)="WS",
LEFT(A198,2)="TB",
LEFT(A198,3)="CEL",
LEFT(A198,3)="MON",
LEFT(A198,3)="PRE",
LEFT(A198,3)="PRH",
ISNUMBER(SEARCH("NOTEBOOK",B198)),
ISNUMBER(SEARCH("LAPTOP",B198)),
ISNUMBER(SEARCH("MONITOR",B198)),
ISNUMBER(SEARCH("TABLET",B198)),
ISNUMBER(SEARCH("SMARTPH",B198)),
ISNUMBER(SEARCH("IMPRESORA",B198)),
ISNUMBER(SEARCH("MULTIFUNCIONAL",B198)),
ISNUMBER(SEARCH("AIO",B198))
),
"GANCHO",
"NORMAL"
)
)</f>
        <v>GANCHO</v>
      </c>
    </row>
    <row r="197" spans="1:12" x14ac:dyDescent="0.25">
      <c r="A197" s="3" t="s">
        <v>967</v>
      </c>
      <c r="B197" s="3" t="s">
        <v>968</v>
      </c>
      <c r="C197" s="1">
        <v>20</v>
      </c>
      <c r="D197" s="1">
        <v>897</v>
      </c>
      <c r="E197" s="1" t="s">
        <v>56</v>
      </c>
      <c r="F197" s="1" t="s">
        <v>3174</v>
      </c>
      <c r="G197" s="3" t="s">
        <v>969</v>
      </c>
      <c r="H197" s="11">
        <f>ROUND(
IF(L195="GANCHO",
   IF(I197&lt;=50,I197*1.1+4,IF(I197&lt;=120,I197*1.1+7,IF(I197&lt;=250,I197*1.1+11,I197*1.1+19))),
IF(L195="NORMAL",
   IF(I197&lt;=30,I197*1.15+2,IF(I197&lt;=80,I197*1.15+4,IF(I197&lt;=150,I197*1.15+6,I197*1.15+8))),
IF(L195="COMPLEMENTO",
   IF(I197&lt;=25,I197*1.25+1.5,IF(I197&lt;=60,I197*1.25+3,IF(I197&lt;=120,I197*1.25+4,I197*1.25+5))),
""))),2)</f>
        <v>4070.78</v>
      </c>
      <c r="I197" s="9">
        <f>($K$2+0.02)*Tabla1[[#This Row],[PRECIO $]]*1.18</f>
        <v>3683.4407999999999</v>
      </c>
      <c r="J197" s="7">
        <f>+Tabla1[[#This Row],[PRECIO EN SOLES]]-Tabla1[[#This Row],[PC]]</f>
        <v>387.33920000000035</v>
      </c>
      <c r="K197" s="15"/>
      <c r="L197" s="15" t="str">
        <f>IF(
OR(
ISNUMBER(SEARCH("BACKPACK",B199)),
ISNUMBER(SEARCH("MOCHILA",B199)),
ISNUMBER(SEARCH("FUNDA",B199)),
ISNUMBER(SEARCH("ESTUCHE",B199)),
ISNUMBER(SEARCH("BOOK COVER",B199)),
ISNUMBER(SEARCH("KEYBOARD PARA TABLET",B199)),
ISNUMBER(SEARCH("FLIP TABLET",B199)),
ISNUMBER(SEARCH("CASE FOR TABLET",B199)),
ISNUMBER(SEARCH("CABLE",B199)),
ISNUMBER(SEARCH("ADAPTADOR",B199)),
ISNUMBER(SEARCH("HUB",B199)),
ISNUMBER(SEARCH("DOCK",B199)),
ISNUMBER(SEARCH("MOUSE PAD",B199)),
ISNUMBER(SEARCH("MOUSEPAD",B199)),
ISNUMBER(SEARCH("SOPORTE",B199)),
ISNUMBER(SEARCH("STAND",B199)),
ISNUMBER(SEARCH("TRAVEL ADAPTER",B199)),
ISNUMBER(SEARCH("RJ45",B199)),
ISNUMBER(SEARCH("USB-C",B199)),
ISNUMBER(SEARCH("USB WIFI",B199)),
ISNUMBER(SEARCH("POWERBANK",B199)),
ISNUMBER(SEARCH("CARGADOR",B199)),
ISNUMBER(SEARCH("COOLER PARA NB",B199)),
ISNUMBER(SEARCH("SOPORTE PARA NB",B199)),
ISNUMBER(SEARCH("WEBCAM",B199)),
ISNUMBER(SEARCH("WEB CAM",B199)),
ISNUMBER(SEARCH("MOUSE",B199)),
ISNUMBER(SEARCH("TECLADO",B199))
),
"COMPLEMENTO",
IF(
OR(
LEFT(A199,2)="NB",
LEFT(A199,2)="PC",
LEFT(A199,2)="WS",
LEFT(A199,2)="TB",
LEFT(A199,3)="CEL",
LEFT(A199,3)="MON",
LEFT(A199,3)="PRE",
LEFT(A199,3)="PRH",
ISNUMBER(SEARCH("NOTEBOOK",B199)),
ISNUMBER(SEARCH("LAPTOP",B199)),
ISNUMBER(SEARCH("MONITOR",B199)),
ISNUMBER(SEARCH("TABLET",B199)),
ISNUMBER(SEARCH("SMARTPH",B199)),
ISNUMBER(SEARCH("IMPRESORA",B199)),
ISNUMBER(SEARCH("MULTIFUNCIONAL",B199)),
ISNUMBER(SEARCH("AIO",B199))
),
"GANCHO",
"NORMAL"
)
)</f>
        <v>GANCHO</v>
      </c>
    </row>
    <row r="198" spans="1:12" x14ac:dyDescent="0.25">
      <c r="A198" s="3" t="s">
        <v>3030</v>
      </c>
      <c r="B198" s="3" t="s">
        <v>3031</v>
      </c>
      <c r="C198" s="1">
        <v>8</v>
      </c>
      <c r="D198" s="1">
        <v>477</v>
      </c>
      <c r="E198" s="1" t="s">
        <v>54</v>
      </c>
      <c r="F198" s="1" t="s">
        <v>3175</v>
      </c>
      <c r="G198" s="3" t="s">
        <v>3032</v>
      </c>
      <c r="H198" s="11">
        <f>ROUND(
IF(L196="GANCHO",
   IF(I198&lt;=50,I198*1.1+4,IF(I198&lt;=120,I198*1.1+7,IF(I198&lt;=250,I198*1.1+11,I198*1.1+19))),
IF(L196="NORMAL",
   IF(I198&lt;=30,I198*1.15+2,IF(I198&lt;=80,I198*1.15+4,IF(I198&lt;=150,I198*1.15+6,I198*1.15+8))),
IF(L196="COMPLEMENTO",
   IF(I198&lt;=25,I198*1.25+1.5,IF(I198&lt;=60,I198*1.25+3,IF(I198&lt;=120,I198*1.25+4,I198*1.25+5))),
""))),2)</f>
        <v>2173.63</v>
      </c>
      <c r="I198" s="9">
        <f>($K$2+0.02)*Tabla1[[#This Row],[PRECIO $]]*1.18</f>
        <v>1958.7528</v>
      </c>
      <c r="J198" s="7">
        <f>+Tabla1[[#This Row],[PRECIO EN SOLES]]-Tabla1[[#This Row],[PC]]</f>
        <v>214.87720000000013</v>
      </c>
      <c r="K198" s="15"/>
      <c r="L198" s="15" t="str">
        <f>IF(
OR(
ISNUMBER(SEARCH("BACKPACK",B200)),
ISNUMBER(SEARCH("MOCHILA",B200)),
ISNUMBER(SEARCH("FUNDA",B200)),
ISNUMBER(SEARCH("ESTUCHE",B200)),
ISNUMBER(SEARCH("BOOK COVER",B200)),
ISNUMBER(SEARCH("KEYBOARD PARA TABLET",B200)),
ISNUMBER(SEARCH("FLIP TABLET",B200)),
ISNUMBER(SEARCH("CASE FOR TABLET",B200)),
ISNUMBER(SEARCH("CABLE",B200)),
ISNUMBER(SEARCH("ADAPTADOR",B200)),
ISNUMBER(SEARCH("HUB",B200)),
ISNUMBER(SEARCH("DOCK",B200)),
ISNUMBER(SEARCH("MOUSE PAD",B200)),
ISNUMBER(SEARCH("MOUSEPAD",B200)),
ISNUMBER(SEARCH("SOPORTE",B200)),
ISNUMBER(SEARCH("STAND",B200)),
ISNUMBER(SEARCH("TRAVEL ADAPTER",B200)),
ISNUMBER(SEARCH("RJ45",B200)),
ISNUMBER(SEARCH("USB-C",B200)),
ISNUMBER(SEARCH("USB WIFI",B200)),
ISNUMBER(SEARCH("POWERBANK",B200)),
ISNUMBER(SEARCH("CARGADOR",B200)),
ISNUMBER(SEARCH("COOLER PARA NB",B200)),
ISNUMBER(SEARCH("SOPORTE PARA NB",B200)),
ISNUMBER(SEARCH("WEBCAM",B200)),
ISNUMBER(SEARCH("WEB CAM",B200)),
ISNUMBER(SEARCH("MOUSE",B200)),
ISNUMBER(SEARCH("TECLADO",B200))
),
"COMPLEMENTO",
IF(
OR(
LEFT(A200,2)="NB",
LEFT(A200,2)="PC",
LEFT(A200,2)="WS",
LEFT(A200,2)="TB",
LEFT(A200,3)="CEL",
LEFT(A200,3)="MON",
LEFT(A200,3)="PRE",
LEFT(A200,3)="PRH",
ISNUMBER(SEARCH("NOTEBOOK",B200)),
ISNUMBER(SEARCH("LAPTOP",B200)),
ISNUMBER(SEARCH("MONITOR",B200)),
ISNUMBER(SEARCH("TABLET",B200)),
ISNUMBER(SEARCH("SMARTPH",B200)),
ISNUMBER(SEARCH("IMPRESORA",B200)),
ISNUMBER(SEARCH("MULTIFUNCIONAL",B200)),
ISNUMBER(SEARCH("AIO",B200))
),
"GANCHO",
"NORMAL"
)
)</f>
        <v>GANCHO</v>
      </c>
    </row>
    <row r="199" spans="1:12" x14ac:dyDescent="0.25">
      <c r="A199" s="3" t="s">
        <v>970</v>
      </c>
      <c r="B199" s="3" t="s">
        <v>971</v>
      </c>
      <c r="C199" s="1">
        <v>20</v>
      </c>
      <c r="D199" s="1">
        <v>997</v>
      </c>
      <c r="E199" s="1" t="s">
        <v>56</v>
      </c>
      <c r="F199" s="1" t="s">
        <v>3176</v>
      </c>
      <c r="G199" s="3" t="s">
        <v>972</v>
      </c>
      <c r="H199" s="11">
        <f>ROUND(
IF(L197="GANCHO",
   IF(I199&lt;=50,I199*1.1+4,IF(I199&lt;=120,I199*1.1+7,IF(I199&lt;=250,I199*1.1+11,I199*1.1+19))),
IF(L197="NORMAL",
   IF(I199&lt;=30,I199*1.15+2,IF(I199&lt;=80,I199*1.15+4,IF(I199&lt;=150,I199*1.15+6,I199*1.15+8))),
IF(L197="COMPLEMENTO",
   IF(I199&lt;=25,I199*1.25+1.5,IF(I199&lt;=60,I199*1.25+3,IF(I199&lt;=120,I199*1.25+4,I199*1.25+5))),
""))),2)</f>
        <v>4522.49</v>
      </c>
      <c r="I199" s="9">
        <f>($K$2+0.02)*Tabla1[[#This Row],[PRECIO $]]*1.18</f>
        <v>4094.0807999999997</v>
      </c>
      <c r="J199" s="7">
        <f>+Tabla1[[#This Row],[PRECIO EN SOLES]]-Tabla1[[#This Row],[PC]]</f>
        <v>428.40920000000006</v>
      </c>
      <c r="K199" s="15"/>
      <c r="L199" s="15" t="str">
        <f>IF(
OR(
ISNUMBER(SEARCH("BACKPACK",B201)),
ISNUMBER(SEARCH("MOCHILA",B201)),
ISNUMBER(SEARCH("FUNDA",B201)),
ISNUMBER(SEARCH("ESTUCHE",B201)),
ISNUMBER(SEARCH("BOOK COVER",B201)),
ISNUMBER(SEARCH("KEYBOARD PARA TABLET",B201)),
ISNUMBER(SEARCH("FLIP TABLET",B201)),
ISNUMBER(SEARCH("CASE FOR TABLET",B201)),
ISNUMBER(SEARCH("CABLE",B201)),
ISNUMBER(SEARCH("ADAPTADOR",B201)),
ISNUMBER(SEARCH("HUB",B201)),
ISNUMBER(SEARCH("DOCK",B201)),
ISNUMBER(SEARCH("MOUSE PAD",B201)),
ISNUMBER(SEARCH("MOUSEPAD",B201)),
ISNUMBER(SEARCH("SOPORTE",B201)),
ISNUMBER(SEARCH("STAND",B201)),
ISNUMBER(SEARCH("TRAVEL ADAPTER",B201)),
ISNUMBER(SEARCH("RJ45",B201)),
ISNUMBER(SEARCH("USB-C",B201)),
ISNUMBER(SEARCH("USB WIFI",B201)),
ISNUMBER(SEARCH("POWERBANK",B201)),
ISNUMBER(SEARCH("CARGADOR",B201)),
ISNUMBER(SEARCH("COOLER PARA NB",B201)),
ISNUMBER(SEARCH("SOPORTE PARA NB",B201)),
ISNUMBER(SEARCH("WEBCAM",B201)),
ISNUMBER(SEARCH("WEB CAM",B201)),
ISNUMBER(SEARCH("MOUSE",B201)),
ISNUMBER(SEARCH("TECLADO",B201))
),
"COMPLEMENTO",
IF(
OR(
LEFT(A201,2)="NB",
LEFT(A201,2)="PC",
LEFT(A201,2)="WS",
LEFT(A201,2)="TB",
LEFT(A201,3)="CEL",
LEFT(A201,3)="MON",
LEFT(A201,3)="PRE",
LEFT(A201,3)="PRH",
ISNUMBER(SEARCH("NOTEBOOK",B201)),
ISNUMBER(SEARCH("LAPTOP",B201)),
ISNUMBER(SEARCH("MONITOR",B201)),
ISNUMBER(SEARCH("TABLET",B201)),
ISNUMBER(SEARCH("SMARTPH",B201)),
ISNUMBER(SEARCH("IMPRESORA",B201)),
ISNUMBER(SEARCH("MULTIFUNCIONAL",B201)),
ISNUMBER(SEARCH("AIO",B201))
),
"GANCHO",
"NORMAL"
)
)</f>
        <v>GANCHO</v>
      </c>
    </row>
    <row r="200" spans="1:12" x14ac:dyDescent="0.25">
      <c r="A200" s="3" t="s">
        <v>5794</v>
      </c>
      <c r="B200" s="3" t="s">
        <v>5795</v>
      </c>
      <c r="C200" s="1">
        <v>20</v>
      </c>
      <c r="D200" s="1">
        <v>734</v>
      </c>
      <c r="E200" s="1" t="s">
        <v>837</v>
      </c>
      <c r="F200" s="1" t="s">
        <v>5796</v>
      </c>
      <c r="G200" s="3"/>
      <c r="H200" s="11">
        <f>ROUND(
IF(L198="GANCHO",
   IF(I200&lt;=50,I200*1.1+4,IF(I200&lt;=120,I200*1.1+7,IF(I200&lt;=250,I200*1.1+11,I200*1.1+19))),
IF(L198="NORMAL",
   IF(I200&lt;=30,I200*1.15+2,IF(I200&lt;=80,I200*1.15+4,IF(I200&lt;=150,I200*1.15+6,I200*1.15+8))),
IF(L198="COMPLEMENTO",
   IF(I200&lt;=25,I200*1.25+1.5,IF(I200&lt;=60,I200*1.25+3,IF(I200&lt;=120,I200*1.25+4,I200*1.25+5))),
""))),2)</f>
        <v>3334.51</v>
      </c>
      <c r="I200" s="9">
        <f>($K$2+0.02)*Tabla1[[#This Row],[PRECIO $]]*1.18</f>
        <v>3014.0976000000001</v>
      </c>
      <c r="J200" s="7">
        <f>+Tabla1[[#This Row],[PRECIO EN SOLES]]-Tabla1[[#This Row],[PC]]</f>
        <v>320.41240000000016</v>
      </c>
      <c r="K200" s="15"/>
      <c r="L200" s="15" t="str">
        <f>IF(
OR(
ISNUMBER(SEARCH("BACKPACK",B202)),
ISNUMBER(SEARCH("MOCHILA",B202)),
ISNUMBER(SEARCH("FUNDA",B202)),
ISNUMBER(SEARCH("ESTUCHE",B202)),
ISNUMBER(SEARCH("BOOK COVER",B202)),
ISNUMBER(SEARCH("KEYBOARD PARA TABLET",B202)),
ISNUMBER(SEARCH("FLIP TABLET",B202)),
ISNUMBER(SEARCH("CASE FOR TABLET",B202)),
ISNUMBER(SEARCH("CABLE",B202)),
ISNUMBER(SEARCH("ADAPTADOR",B202)),
ISNUMBER(SEARCH("HUB",B202)),
ISNUMBER(SEARCH("DOCK",B202)),
ISNUMBER(SEARCH("MOUSE PAD",B202)),
ISNUMBER(SEARCH("MOUSEPAD",B202)),
ISNUMBER(SEARCH("SOPORTE",B202)),
ISNUMBER(SEARCH("STAND",B202)),
ISNUMBER(SEARCH("TRAVEL ADAPTER",B202)),
ISNUMBER(SEARCH("RJ45",B202)),
ISNUMBER(SEARCH("USB-C",B202)),
ISNUMBER(SEARCH("USB WIFI",B202)),
ISNUMBER(SEARCH("POWERBANK",B202)),
ISNUMBER(SEARCH("CARGADOR",B202)),
ISNUMBER(SEARCH("COOLER PARA NB",B202)),
ISNUMBER(SEARCH("SOPORTE PARA NB",B202)),
ISNUMBER(SEARCH("WEBCAM",B202)),
ISNUMBER(SEARCH("WEB CAM",B202)),
ISNUMBER(SEARCH("MOUSE",B202)),
ISNUMBER(SEARCH("TECLADO",B202))
),
"COMPLEMENTO",
IF(
OR(
LEFT(A202,2)="NB",
LEFT(A202,2)="PC",
LEFT(A202,2)="WS",
LEFT(A202,2)="TB",
LEFT(A202,3)="CEL",
LEFT(A202,3)="MON",
LEFT(A202,3)="PRE",
LEFT(A202,3)="PRH",
ISNUMBER(SEARCH("NOTEBOOK",B202)),
ISNUMBER(SEARCH("LAPTOP",B202)),
ISNUMBER(SEARCH("MONITOR",B202)),
ISNUMBER(SEARCH("TABLET",B202)),
ISNUMBER(SEARCH("SMARTPH",B202)),
ISNUMBER(SEARCH("IMPRESORA",B202)),
ISNUMBER(SEARCH("MULTIFUNCIONAL",B202)),
ISNUMBER(SEARCH("AIO",B202))
),
"GANCHO",
"NORMAL"
)
)</f>
        <v>GANCHO</v>
      </c>
    </row>
    <row r="201" spans="1:12" x14ac:dyDescent="0.25">
      <c r="A201" s="3" t="s">
        <v>973</v>
      </c>
      <c r="B201" s="3" t="s">
        <v>147</v>
      </c>
      <c r="C201" s="1">
        <v>20</v>
      </c>
      <c r="D201" s="1">
        <v>319</v>
      </c>
      <c r="E201" s="1" t="s">
        <v>837</v>
      </c>
      <c r="F201" s="1" t="s">
        <v>3177</v>
      </c>
      <c r="G201" s="3" t="s">
        <v>974</v>
      </c>
      <c r="H201" s="11">
        <f>ROUND(
IF(L199="GANCHO",
   IF(I201&lt;=50,I201*1.1+4,IF(I201&lt;=120,I201*1.1+7,IF(I201&lt;=250,I201*1.1+11,I201*1.1+19))),
IF(L199="NORMAL",
   IF(I201&lt;=30,I201*1.15+2,IF(I201&lt;=80,I201*1.15+4,IF(I201&lt;=150,I201*1.15+6,I201*1.15+8))),
IF(L199="COMPLEMENTO",
   IF(I201&lt;=25,I201*1.25+1.5,IF(I201&lt;=60,I201*1.25+3,IF(I201&lt;=120,I201*1.25+4,I201*1.25+5))),
""))),2)</f>
        <v>1459.94</v>
      </c>
      <c r="I201" s="9">
        <f>($K$2+0.02)*Tabla1[[#This Row],[PRECIO $]]*1.18</f>
        <v>1309.9415999999999</v>
      </c>
      <c r="J201" s="7">
        <f>+Tabla1[[#This Row],[PRECIO EN SOLES]]-Tabla1[[#This Row],[PC]]</f>
        <v>149.99840000000017</v>
      </c>
      <c r="K201" s="15"/>
      <c r="L201" s="15" t="str">
        <f>IF(
OR(
ISNUMBER(SEARCH("BACKPACK",B203)),
ISNUMBER(SEARCH("MOCHILA",B203)),
ISNUMBER(SEARCH("FUNDA",B203)),
ISNUMBER(SEARCH("ESTUCHE",B203)),
ISNUMBER(SEARCH("BOOK COVER",B203)),
ISNUMBER(SEARCH("KEYBOARD PARA TABLET",B203)),
ISNUMBER(SEARCH("FLIP TABLET",B203)),
ISNUMBER(SEARCH("CASE FOR TABLET",B203)),
ISNUMBER(SEARCH("CABLE",B203)),
ISNUMBER(SEARCH("ADAPTADOR",B203)),
ISNUMBER(SEARCH("HUB",B203)),
ISNUMBER(SEARCH("DOCK",B203)),
ISNUMBER(SEARCH("MOUSE PAD",B203)),
ISNUMBER(SEARCH("MOUSEPAD",B203)),
ISNUMBER(SEARCH("SOPORTE",B203)),
ISNUMBER(SEARCH("STAND",B203)),
ISNUMBER(SEARCH("TRAVEL ADAPTER",B203)),
ISNUMBER(SEARCH("RJ45",B203)),
ISNUMBER(SEARCH("USB-C",B203)),
ISNUMBER(SEARCH("USB WIFI",B203)),
ISNUMBER(SEARCH("POWERBANK",B203)),
ISNUMBER(SEARCH("CARGADOR",B203)),
ISNUMBER(SEARCH("COOLER PARA NB",B203)),
ISNUMBER(SEARCH("SOPORTE PARA NB",B203)),
ISNUMBER(SEARCH("WEBCAM",B203)),
ISNUMBER(SEARCH("WEB CAM",B203)),
ISNUMBER(SEARCH("MOUSE",B203)),
ISNUMBER(SEARCH("TECLADO",B203))
),
"COMPLEMENTO",
IF(
OR(
LEFT(A203,2)="NB",
LEFT(A203,2)="PC",
LEFT(A203,2)="WS",
LEFT(A203,2)="TB",
LEFT(A203,3)="CEL",
LEFT(A203,3)="MON",
LEFT(A203,3)="PRE",
LEFT(A203,3)="PRH",
ISNUMBER(SEARCH("NOTEBOOK",B203)),
ISNUMBER(SEARCH("LAPTOP",B203)),
ISNUMBER(SEARCH("MONITOR",B203)),
ISNUMBER(SEARCH("TABLET",B203)),
ISNUMBER(SEARCH("SMARTPH",B203)),
ISNUMBER(SEARCH("IMPRESORA",B203)),
ISNUMBER(SEARCH("MULTIFUNCIONAL",B203)),
ISNUMBER(SEARCH("AIO",B203))
),
"GANCHO",
"NORMAL"
)
)</f>
        <v>GANCHO</v>
      </c>
    </row>
    <row r="202" spans="1:12" x14ac:dyDescent="0.25">
      <c r="A202" s="3" t="s">
        <v>5797</v>
      </c>
      <c r="B202" s="3" t="s">
        <v>5798</v>
      </c>
      <c r="C202" s="1">
        <v>0</v>
      </c>
      <c r="D202" s="1">
        <v>407</v>
      </c>
      <c r="E202" s="1" t="s">
        <v>54</v>
      </c>
      <c r="F202" s="1" t="s">
        <v>5799</v>
      </c>
      <c r="G202" s="3"/>
      <c r="H202" s="11">
        <f>ROUND(
IF(L200="GANCHO",
   IF(I202&lt;=50,I202*1.1+4,IF(I202&lt;=120,I202*1.1+7,IF(I202&lt;=250,I202*1.1+11,I202*1.1+19))),
IF(L200="NORMAL",
   IF(I202&lt;=30,I202*1.15+2,IF(I202&lt;=80,I202*1.15+4,IF(I202&lt;=150,I202*1.15+6,I202*1.15+8))),
IF(L200="COMPLEMENTO",
   IF(I202&lt;=25,I202*1.25+1.5,IF(I202&lt;=60,I202*1.25+3,IF(I202&lt;=120,I202*1.25+4,I202*1.25+5))),
""))),2)</f>
        <v>1857.44</v>
      </c>
      <c r="I202" s="9">
        <f>($K$2+0.02)*Tabla1[[#This Row],[PRECIO $]]*1.18</f>
        <v>1671.3047999999999</v>
      </c>
      <c r="J202" s="7">
        <f>+Tabla1[[#This Row],[PRECIO EN SOLES]]-Tabla1[[#This Row],[PC]]</f>
        <v>186.13520000000017</v>
      </c>
      <c r="K202" s="15"/>
      <c r="L202" s="15" t="str">
        <f>IF(
OR(
ISNUMBER(SEARCH("BACKPACK",B204)),
ISNUMBER(SEARCH("MOCHILA",B204)),
ISNUMBER(SEARCH("FUNDA",B204)),
ISNUMBER(SEARCH("ESTUCHE",B204)),
ISNUMBER(SEARCH("BOOK COVER",B204)),
ISNUMBER(SEARCH("KEYBOARD PARA TABLET",B204)),
ISNUMBER(SEARCH("FLIP TABLET",B204)),
ISNUMBER(SEARCH("CASE FOR TABLET",B204)),
ISNUMBER(SEARCH("CABLE",B204)),
ISNUMBER(SEARCH("ADAPTADOR",B204)),
ISNUMBER(SEARCH("HUB",B204)),
ISNUMBER(SEARCH("DOCK",B204)),
ISNUMBER(SEARCH("MOUSE PAD",B204)),
ISNUMBER(SEARCH("MOUSEPAD",B204)),
ISNUMBER(SEARCH("SOPORTE",B204)),
ISNUMBER(SEARCH("STAND",B204)),
ISNUMBER(SEARCH("TRAVEL ADAPTER",B204)),
ISNUMBER(SEARCH("RJ45",B204)),
ISNUMBER(SEARCH("USB-C",B204)),
ISNUMBER(SEARCH("USB WIFI",B204)),
ISNUMBER(SEARCH("POWERBANK",B204)),
ISNUMBER(SEARCH("CARGADOR",B204)),
ISNUMBER(SEARCH("COOLER PARA NB",B204)),
ISNUMBER(SEARCH("SOPORTE PARA NB",B204)),
ISNUMBER(SEARCH("WEBCAM",B204)),
ISNUMBER(SEARCH("WEB CAM",B204)),
ISNUMBER(SEARCH("MOUSE",B204)),
ISNUMBER(SEARCH("TECLADO",B204))
),
"COMPLEMENTO",
IF(
OR(
LEFT(A204,2)="NB",
LEFT(A204,2)="PC",
LEFT(A204,2)="WS",
LEFT(A204,2)="TB",
LEFT(A204,3)="CEL",
LEFT(A204,3)="MON",
LEFT(A204,3)="PRE",
LEFT(A204,3)="PRH",
ISNUMBER(SEARCH("NOTEBOOK",B204)),
ISNUMBER(SEARCH("LAPTOP",B204)),
ISNUMBER(SEARCH("MONITOR",B204)),
ISNUMBER(SEARCH("TABLET",B204)),
ISNUMBER(SEARCH("SMARTPH",B204)),
ISNUMBER(SEARCH("IMPRESORA",B204)),
ISNUMBER(SEARCH("MULTIFUNCIONAL",B204)),
ISNUMBER(SEARCH("AIO",B204))
),
"GANCHO",
"NORMAL"
)
)</f>
        <v>GANCHO</v>
      </c>
    </row>
    <row r="203" spans="1:12" x14ac:dyDescent="0.25">
      <c r="A203" s="3" t="s">
        <v>5800</v>
      </c>
      <c r="B203" s="3" t="s">
        <v>5798</v>
      </c>
      <c r="C203" s="1">
        <v>6</v>
      </c>
      <c r="D203" s="1">
        <v>485</v>
      </c>
      <c r="E203" s="1" t="s">
        <v>54</v>
      </c>
      <c r="F203" s="1" t="s">
        <v>5801</v>
      </c>
      <c r="G203" s="3"/>
      <c r="H203" s="11">
        <f>ROUND(
IF(L201="GANCHO",
   IF(I203&lt;=50,I203*1.1+4,IF(I203&lt;=120,I203*1.1+7,IF(I203&lt;=250,I203*1.1+11,I203*1.1+19))),
IF(L201="NORMAL",
   IF(I203&lt;=30,I203*1.15+2,IF(I203&lt;=80,I203*1.15+4,IF(I203&lt;=150,I203*1.15+6,I203*1.15+8))),
IF(L201="COMPLEMENTO",
   IF(I203&lt;=25,I203*1.25+1.5,IF(I203&lt;=60,I203*1.25+3,IF(I203&lt;=120,I203*1.25+4,I203*1.25+5))),
""))),2)</f>
        <v>2209.7600000000002</v>
      </c>
      <c r="I203" s="9">
        <f>($K$2+0.02)*Tabla1[[#This Row],[PRECIO $]]*1.18</f>
        <v>1991.6039999999998</v>
      </c>
      <c r="J203" s="7">
        <f>+Tabla1[[#This Row],[PRECIO EN SOLES]]-Tabla1[[#This Row],[PC]]</f>
        <v>218.1560000000004</v>
      </c>
      <c r="K203" s="15"/>
      <c r="L203" s="15" t="str">
        <f>IF(
OR(
ISNUMBER(SEARCH("BACKPACK",B205)),
ISNUMBER(SEARCH("MOCHILA",B205)),
ISNUMBER(SEARCH("FUNDA",B205)),
ISNUMBER(SEARCH("ESTUCHE",B205)),
ISNUMBER(SEARCH("BOOK COVER",B205)),
ISNUMBER(SEARCH("KEYBOARD PARA TABLET",B205)),
ISNUMBER(SEARCH("FLIP TABLET",B205)),
ISNUMBER(SEARCH("CASE FOR TABLET",B205)),
ISNUMBER(SEARCH("CABLE",B205)),
ISNUMBER(SEARCH("ADAPTADOR",B205)),
ISNUMBER(SEARCH("HUB",B205)),
ISNUMBER(SEARCH("DOCK",B205)),
ISNUMBER(SEARCH("MOUSE PAD",B205)),
ISNUMBER(SEARCH("MOUSEPAD",B205)),
ISNUMBER(SEARCH("SOPORTE",B205)),
ISNUMBER(SEARCH("STAND",B205)),
ISNUMBER(SEARCH("TRAVEL ADAPTER",B205)),
ISNUMBER(SEARCH("RJ45",B205)),
ISNUMBER(SEARCH("USB-C",B205)),
ISNUMBER(SEARCH("USB WIFI",B205)),
ISNUMBER(SEARCH("POWERBANK",B205)),
ISNUMBER(SEARCH("CARGADOR",B205)),
ISNUMBER(SEARCH("COOLER PARA NB",B205)),
ISNUMBER(SEARCH("SOPORTE PARA NB",B205)),
ISNUMBER(SEARCH("WEBCAM",B205)),
ISNUMBER(SEARCH("WEB CAM",B205)),
ISNUMBER(SEARCH("MOUSE",B205)),
ISNUMBER(SEARCH("TECLADO",B205))
),
"COMPLEMENTO",
IF(
OR(
LEFT(A205,2)="NB",
LEFT(A205,2)="PC",
LEFT(A205,2)="WS",
LEFT(A205,2)="TB",
LEFT(A205,3)="CEL",
LEFT(A205,3)="MON",
LEFT(A205,3)="PRE",
LEFT(A205,3)="PRH",
ISNUMBER(SEARCH("NOTEBOOK",B205)),
ISNUMBER(SEARCH("LAPTOP",B205)),
ISNUMBER(SEARCH("MONITOR",B205)),
ISNUMBER(SEARCH("TABLET",B205)),
ISNUMBER(SEARCH("SMARTPH",B205)),
ISNUMBER(SEARCH("IMPRESORA",B205)),
ISNUMBER(SEARCH("MULTIFUNCIONAL",B205)),
ISNUMBER(SEARCH("AIO",B205))
),
"GANCHO",
"NORMAL"
)
)</f>
        <v>GANCHO</v>
      </c>
    </row>
    <row r="204" spans="1:12" x14ac:dyDescent="0.25">
      <c r="A204" s="3" t="s">
        <v>6675</v>
      </c>
      <c r="B204" s="3" t="s">
        <v>6676</v>
      </c>
      <c r="C204" s="1">
        <v>0</v>
      </c>
      <c r="D204" s="1">
        <v>999</v>
      </c>
      <c r="E204" s="1" t="s">
        <v>54</v>
      </c>
      <c r="F204" s="1" t="s">
        <v>6677</v>
      </c>
      <c r="G204" s="3"/>
      <c r="H204" s="11">
        <f>ROUND(
IF(L202="GANCHO",
   IF(I204&lt;=50,I204*1.1+4,IF(I204&lt;=120,I204*1.1+7,IF(I204&lt;=250,I204*1.1+11,I204*1.1+19))),
IF(L202="NORMAL",
   IF(I204&lt;=30,I204*1.15+2,IF(I204&lt;=80,I204*1.15+4,IF(I204&lt;=150,I204*1.15+6,I204*1.15+8))),
IF(L202="COMPLEMENTO",
   IF(I204&lt;=25,I204*1.25+1.5,IF(I204&lt;=60,I204*1.25+3,IF(I204&lt;=120,I204*1.25+4,I204*1.25+5))),
""))),2)</f>
        <v>4531.5200000000004</v>
      </c>
      <c r="I204" s="9">
        <f>($K$2+0.02)*Tabla1[[#This Row],[PRECIO $]]*1.18</f>
        <v>4102.2936</v>
      </c>
      <c r="J204" s="7">
        <f>+Tabla1[[#This Row],[PRECIO EN SOLES]]-Tabla1[[#This Row],[PC]]</f>
        <v>429.22640000000047</v>
      </c>
      <c r="K204" s="15"/>
      <c r="L204" s="15" t="str">
        <f>IF(
OR(
ISNUMBER(SEARCH("BACKPACK",B206)),
ISNUMBER(SEARCH("MOCHILA",B206)),
ISNUMBER(SEARCH("FUNDA",B206)),
ISNUMBER(SEARCH("ESTUCHE",B206)),
ISNUMBER(SEARCH("BOOK COVER",B206)),
ISNUMBER(SEARCH("KEYBOARD PARA TABLET",B206)),
ISNUMBER(SEARCH("FLIP TABLET",B206)),
ISNUMBER(SEARCH("CASE FOR TABLET",B206)),
ISNUMBER(SEARCH("CABLE",B206)),
ISNUMBER(SEARCH("ADAPTADOR",B206)),
ISNUMBER(SEARCH("HUB",B206)),
ISNUMBER(SEARCH("DOCK",B206)),
ISNUMBER(SEARCH("MOUSE PAD",B206)),
ISNUMBER(SEARCH("MOUSEPAD",B206)),
ISNUMBER(SEARCH("SOPORTE",B206)),
ISNUMBER(SEARCH("STAND",B206)),
ISNUMBER(SEARCH("TRAVEL ADAPTER",B206)),
ISNUMBER(SEARCH("RJ45",B206)),
ISNUMBER(SEARCH("USB-C",B206)),
ISNUMBER(SEARCH("USB WIFI",B206)),
ISNUMBER(SEARCH("POWERBANK",B206)),
ISNUMBER(SEARCH("CARGADOR",B206)),
ISNUMBER(SEARCH("COOLER PARA NB",B206)),
ISNUMBER(SEARCH("SOPORTE PARA NB",B206)),
ISNUMBER(SEARCH("WEBCAM",B206)),
ISNUMBER(SEARCH("WEB CAM",B206)),
ISNUMBER(SEARCH("MOUSE",B206)),
ISNUMBER(SEARCH("TECLADO",B206))
),
"COMPLEMENTO",
IF(
OR(
LEFT(A206,2)="NB",
LEFT(A206,2)="PC",
LEFT(A206,2)="WS",
LEFT(A206,2)="TB",
LEFT(A206,3)="CEL",
LEFT(A206,3)="MON",
LEFT(A206,3)="PRE",
LEFT(A206,3)="PRH",
ISNUMBER(SEARCH("NOTEBOOK",B206)),
ISNUMBER(SEARCH("LAPTOP",B206)),
ISNUMBER(SEARCH("MONITOR",B206)),
ISNUMBER(SEARCH("TABLET",B206)),
ISNUMBER(SEARCH("SMARTPH",B206)),
ISNUMBER(SEARCH("IMPRESORA",B206)),
ISNUMBER(SEARCH("MULTIFUNCIONAL",B206)),
ISNUMBER(SEARCH("AIO",B206))
),
"GANCHO",
"NORMAL"
)
)</f>
        <v>GANCHO</v>
      </c>
    </row>
    <row r="205" spans="1:12" x14ac:dyDescent="0.25">
      <c r="A205" s="3" t="s">
        <v>975</v>
      </c>
      <c r="B205" s="3" t="s">
        <v>976</v>
      </c>
      <c r="C205" s="1">
        <v>0</v>
      </c>
      <c r="D205" s="1">
        <v>685</v>
      </c>
      <c r="E205" s="1" t="s">
        <v>56</v>
      </c>
      <c r="F205" s="1" t="s">
        <v>3178</v>
      </c>
      <c r="G205" s="3" t="s">
        <v>977</v>
      </c>
      <c r="H205" s="11">
        <f>ROUND(
IF(L203="GANCHO",
   IF(I205&lt;=50,I205*1.1+4,IF(I205&lt;=120,I205*1.1+7,IF(I205&lt;=250,I205*1.1+11,I205*1.1+19))),
IF(L203="NORMAL",
   IF(I205&lt;=30,I205*1.15+2,IF(I205&lt;=80,I205*1.15+4,IF(I205&lt;=150,I205*1.15+6,I205*1.15+8))),
IF(L203="COMPLEMENTO",
   IF(I205&lt;=25,I205*1.25+1.5,IF(I205&lt;=60,I205*1.25+3,IF(I205&lt;=120,I205*1.25+4,I205*1.25+5))),
""))),2)</f>
        <v>3113.17</v>
      </c>
      <c r="I205" s="9">
        <f>($K$2+0.02)*Tabla1[[#This Row],[PRECIO $]]*1.18</f>
        <v>2812.884</v>
      </c>
      <c r="J205" s="7">
        <f>+Tabla1[[#This Row],[PRECIO EN SOLES]]-Tabla1[[#This Row],[PC]]</f>
        <v>300.28600000000006</v>
      </c>
      <c r="K205" s="15"/>
      <c r="L205" s="15" t="str">
        <f>IF(
OR(
ISNUMBER(SEARCH("BACKPACK",B207)),
ISNUMBER(SEARCH("MOCHILA",B207)),
ISNUMBER(SEARCH("FUNDA",B207)),
ISNUMBER(SEARCH("ESTUCHE",B207)),
ISNUMBER(SEARCH("BOOK COVER",B207)),
ISNUMBER(SEARCH("KEYBOARD PARA TABLET",B207)),
ISNUMBER(SEARCH("FLIP TABLET",B207)),
ISNUMBER(SEARCH("CASE FOR TABLET",B207)),
ISNUMBER(SEARCH("CABLE",B207)),
ISNUMBER(SEARCH("ADAPTADOR",B207)),
ISNUMBER(SEARCH("HUB",B207)),
ISNUMBER(SEARCH("DOCK",B207)),
ISNUMBER(SEARCH("MOUSE PAD",B207)),
ISNUMBER(SEARCH("MOUSEPAD",B207)),
ISNUMBER(SEARCH("SOPORTE",B207)),
ISNUMBER(SEARCH("STAND",B207)),
ISNUMBER(SEARCH("TRAVEL ADAPTER",B207)),
ISNUMBER(SEARCH("RJ45",B207)),
ISNUMBER(SEARCH("USB-C",B207)),
ISNUMBER(SEARCH("USB WIFI",B207)),
ISNUMBER(SEARCH("POWERBANK",B207)),
ISNUMBER(SEARCH("CARGADOR",B207)),
ISNUMBER(SEARCH("COOLER PARA NB",B207)),
ISNUMBER(SEARCH("SOPORTE PARA NB",B207)),
ISNUMBER(SEARCH("WEBCAM",B207)),
ISNUMBER(SEARCH("WEB CAM",B207)),
ISNUMBER(SEARCH("MOUSE",B207)),
ISNUMBER(SEARCH("TECLADO",B207))
),
"COMPLEMENTO",
IF(
OR(
LEFT(A207,2)="NB",
LEFT(A207,2)="PC",
LEFT(A207,2)="WS",
LEFT(A207,2)="TB",
LEFT(A207,3)="CEL",
LEFT(A207,3)="MON",
LEFT(A207,3)="PRE",
LEFT(A207,3)="PRH",
ISNUMBER(SEARCH("NOTEBOOK",B207)),
ISNUMBER(SEARCH("LAPTOP",B207)),
ISNUMBER(SEARCH("MONITOR",B207)),
ISNUMBER(SEARCH("TABLET",B207)),
ISNUMBER(SEARCH("SMARTPH",B207)),
ISNUMBER(SEARCH("IMPRESORA",B207)),
ISNUMBER(SEARCH("MULTIFUNCIONAL",B207)),
ISNUMBER(SEARCH("AIO",B207))
),
"GANCHO",
"NORMAL"
)
)</f>
        <v>GANCHO</v>
      </c>
    </row>
    <row r="206" spans="1:12" x14ac:dyDescent="0.25">
      <c r="A206" s="3" t="s">
        <v>149</v>
      </c>
      <c r="B206" s="3" t="s">
        <v>150</v>
      </c>
      <c r="C206" s="1">
        <v>2</v>
      </c>
      <c r="D206" s="1">
        <v>810</v>
      </c>
      <c r="E206" s="1" t="s">
        <v>56</v>
      </c>
      <c r="F206" s="1" t="s">
        <v>3179</v>
      </c>
      <c r="G206" s="3" t="s">
        <v>151</v>
      </c>
      <c r="H206" s="11">
        <f>ROUND(
IF(L204="GANCHO",
   IF(I206&lt;=50,I206*1.1+4,IF(I206&lt;=120,I206*1.1+7,IF(I206&lt;=250,I206*1.1+11,I206*1.1+19))),
IF(L204="NORMAL",
   IF(I206&lt;=30,I206*1.15+2,IF(I206&lt;=80,I206*1.15+4,IF(I206&lt;=150,I206*1.15+6,I206*1.15+8))),
IF(L204="COMPLEMENTO",
   IF(I206&lt;=25,I206*1.25+1.5,IF(I206&lt;=60,I206*1.25+3,IF(I206&lt;=120,I206*1.25+4,I206*1.25+5))),
""))),2)</f>
        <v>3677.8</v>
      </c>
      <c r="I206" s="9">
        <f>($K$2+0.02)*Tabla1[[#This Row],[PRECIO $]]*1.18</f>
        <v>3326.1840000000002</v>
      </c>
      <c r="J206" s="7">
        <f>+Tabla1[[#This Row],[PRECIO EN SOLES]]-Tabla1[[#This Row],[PC]]</f>
        <v>351.61599999999999</v>
      </c>
      <c r="K206" s="15"/>
      <c r="L206" s="15" t="str">
        <f>IF(
OR(
ISNUMBER(SEARCH("BACKPACK",B208)),
ISNUMBER(SEARCH("MOCHILA",B208)),
ISNUMBER(SEARCH("FUNDA",B208)),
ISNUMBER(SEARCH("ESTUCHE",B208)),
ISNUMBER(SEARCH("BOOK COVER",B208)),
ISNUMBER(SEARCH("KEYBOARD PARA TABLET",B208)),
ISNUMBER(SEARCH("FLIP TABLET",B208)),
ISNUMBER(SEARCH("CASE FOR TABLET",B208)),
ISNUMBER(SEARCH("CABLE",B208)),
ISNUMBER(SEARCH("ADAPTADOR",B208)),
ISNUMBER(SEARCH("HUB",B208)),
ISNUMBER(SEARCH("DOCK",B208)),
ISNUMBER(SEARCH("MOUSE PAD",B208)),
ISNUMBER(SEARCH("MOUSEPAD",B208)),
ISNUMBER(SEARCH("SOPORTE",B208)),
ISNUMBER(SEARCH("STAND",B208)),
ISNUMBER(SEARCH("TRAVEL ADAPTER",B208)),
ISNUMBER(SEARCH("RJ45",B208)),
ISNUMBER(SEARCH("USB-C",B208)),
ISNUMBER(SEARCH("USB WIFI",B208)),
ISNUMBER(SEARCH("POWERBANK",B208)),
ISNUMBER(SEARCH("CARGADOR",B208)),
ISNUMBER(SEARCH("COOLER PARA NB",B208)),
ISNUMBER(SEARCH("SOPORTE PARA NB",B208)),
ISNUMBER(SEARCH("WEBCAM",B208)),
ISNUMBER(SEARCH("WEB CAM",B208)),
ISNUMBER(SEARCH("MOUSE",B208)),
ISNUMBER(SEARCH("TECLADO",B208))
),
"COMPLEMENTO",
IF(
OR(
LEFT(A208,2)="NB",
LEFT(A208,2)="PC",
LEFT(A208,2)="WS",
LEFT(A208,2)="TB",
LEFT(A208,3)="CEL",
LEFT(A208,3)="MON",
LEFT(A208,3)="PRE",
LEFT(A208,3)="PRH",
ISNUMBER(SEARCH("NOTEBOOK",B208)),
ISNUMBER(SEARCH("LAPTOP",B208)),
ISNUMBER(SEARCH("MONITOR",B208)),
ISNUMBER(SEARCH("TABLET",B208)),
ISNUMBER(SEARCH("SMARTPH",B208)),
ISNUMBER(SEARCH("IMPRESORA",B208)),
ISNUMBER(SEARCH("MULTIFUNCIONAL",B208)),
ISNUMBER(SEARCH("AIO",B208))
),
"GANCHO",
"NORMAL"
)
)</f>
        <v>GANCHO</v>
      </c>
    </row>
    <row r="207" spans="1:12" x14ac:dyDescent="0.25">
      <c r="A207" s="3" t="s">
        <v>5802</v>
      </c>
      <c r="B207" s="3" t="s">
        <v>5803</v>
      </c>
      <c r="C207" s="1">
        <v>20</v>
      </c>
      <c r="D207" s="1">
        <v>747</v>
      </c>
      <c r="E207" s="1" t="s">
        <v>54</v>
      </c>
      <c r="F207" s="1" t="s">
        <v>5804</v>
      </c>
      <c r="G207" s="3" t="s">
        <v>5805</v>
      </c>
      <c r="H207" s="11">
        <f>ROUND(
IF(L205="GANCHO",
   IF(I207&lt;=50,I207*1.1+4,IF(I207&lt;=120,I207*1.1+7,IF(I207&lt;=250,I207*1.1+11,I207*1.1+19))),
IF(L205="NORMAL",
   IF(I207&lt;=30,I207*1.15+2,IF(I207&lt;=80,I207*1.15+4,IF(I207&lt;=150,I207*1.15+6,I207*1.15+8))),
IF(L205="COMPLEMENTO",
   IF(I207&lt;=25,I207*1.25+1.5,IF(I207&lt;=60,I207*1.25+3,IF(I207&lt;=120,I207*1.25+4,I207*1.25+5))),
""))),2)</f>
        <v>3393.23</v>
      </c>
      <c r="I207" s="9">
        <f>($K$2+0.02)*Tabla1[[#This Row],[PRECIO $]]*1.18</f>
        <v>3067.4807999999998</v>
      </c>
      <c r="J207" s="7">
        <f>+Tabla1[[#This Row],[PRECIO EN SOLES]]-Tabla1[[#This Row],[PC]]</f>
        <v>325.7492000000002</v>
      </c>
      <c r="K207" s="15"/>
      <c r="L207" s="15" t="str">
        <f>IF(
OR(
ISNUMBER(SEARCH("BACKPACK",B209)),
ISNUMBER(SEARCH("MOCHILA",B209)),
ISNUMBER(SEARCH("FUNDA",B209)),
ISNUMBER(SEARCH("ESTUCHE",B209)),
ISNUMBER(SEARCH("BOOK COVER",B209)),
ISNUMBER(SEARCH("KEYBOARD PARA TABLET",B209)),
ISNUMBER(SEARCH("FLIP TABLET",B209)),
ISNUMBER(SEARCH("CASE FOR TABLET",B209)),
ISNUMBER(SEARCH("CABLE",B209)),
ISNUMBER(SEARCH("ADAPTADOR",B209)),
ISNUMBER(SEARCH("HUB",B209)),
ISNUMBER(SEARCH("DOCK",B209)),
ISNUMBER(SEARCH("MOUSE PAD",B209)),
ISNUMBER(SEARCH("MOUSEPAD",B209)),
ISNUMBER(SEARCH("SOPORTE",B209)),
ISNUMBER(SEARCH("STAND",B209)),
ISNUMBER(SEARCH("TRAVEL ADAPTER",B209)),
ISNUMBER(SEARCH("RJ45",B209)),
ISNUMBER(SEARCH("USB-C",B209)),
ISNUMBER(SEARCH("USB WIFI",B209)),
ISNUMBER(SEARCH("POWERBANK",B209)),
ISNUMBER(SEARCH("CARGADOR",B209)),
ISNUMBER(SEARCH("COOLER PARA NB",B209)),
ISNUMBER(SEARCH("SOPORTE PARA NB",B209)),
ISNUMBER(SEARCH("WEBCAM",B209)),
ISNUMBER(SEARCH("WEB CAM",B209)),
ISNUMBER(SEARCH("MOUSE",B209)),
ISNUMBER(SEARCH("TECLADO",B209))
),
"COMPLEMENTO",
IF(
OR(
LEFT(A209,2)="NB",
LEFT(A209,2)="PC",
LEFT(A209,2)="WS",
LEFT(A209,2)="TB",
LEFT(A209,3)="CEL",
LEFT(A209,3)="MON",
LEFT(A209,3)="PRE",
LEFT(A209,3)="PRH",
ISNUMBER(SEARCH("NOTEBOOK",B209)),
ISNUMBER(SEARCH("LAPTOP",B209)),
ISNUMBER(SEARCH("MONITOR",B209)),
ISNUMBER(SEARCH("TABLET",B209)),
ISNUMBER(SEARCH("SMARTPH",B209)),
ISNUMBER(SEARCH("IMPRESORA",B209)),
ISNUMBER(SEARCH("MULTIFUNCIONAL",B209)),
ISNUMBER(SEARCH("AIO",B209))
),
"GANCHO",
"NORMAL"
)
)</f>
        <v>GANCHO</v>
      </c>
    </row>
    <row r="208" spans="1:12" x14ac:dyDescent="0.25">
      <c r="A208" s="3" t="s">
        <v>5150</v>
      </c>
      <c r="B208" s="3" t="s">
        <v>5151</v>
      </c>
      <c r="C208" s="1">
        <v>20</v>
      </c>
      <c r="D208" s="1">
        <v>1287</v>
      </c>
      <c r="E208" s="1" t="s">
        <v>74</v>
      </c>
      <c r="F208" s="1" t="s">
        <v>5152</v>
      </c>
      <c r="G208" s="3" t="s">
        <v>5806</v>
      </c>
      <c r="H208" s="11">
        <f>ROUND(
IF(L206="GANCHO",
   IF(I208&lt;=50,I208*1.1+4,IF(I208&lt;=120,I208*1.1+7,IF(I208&lt;=250,I208*1.1+11,I208*1.1+19))),
IF(L206="NORMAL",
   IF(I208&lt;=30,I208*1.15+2,IF(I208&lt;=80,I208*1.15+4,IF(I208&lt;=150,I208*1.15+6,I208*1.15+8))),
IF(L206="COMPLEMENTO",
   IF(I208&lt;=25,I208*1.25+1.5,IF(I208&lt;=60,I208*1.25+3,IF(I208&lt;=120,I208*1.25+4,I208*1.25+5))),
""))),2)</f>
        <v>5832.43</v>
      </c>
      <c r="I208" s="9">
        <f>($K$2+0.02)*Tabla1[[#This Row],[PRECIO $]]*1.18</f>
        <v>5284.9368000000004</v>
      </c>
      <c r="J208" s="7">
        <f>+Tabla1[[#This Row],[PRECIO EN SOLES]]-Tabla1[[#This Row],[PC]]</f>
        <v>547.49319999999989</v>
      </c>
      <c r="K208" s="15"/>
      <c r="L208" s="15" t="str">
        <f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09" spans="1:12" x14ac:dyDescent="0.25">
      <c r="A209" s="3" t="s">
        <v>5807</v>
      </c>
      <c r="B209" s="3" t="s">
        <v>5808</v>
      </c>
      <c r="C209" s="1">
        <v>9</v>
      </c>
      <c r="D209" s="1">
        <v>875</v>
      </c>
      <c r="E209" s="1" t="s">
        <v>52</v>
      </c>
      <c r="F209" s="1" t="s">
        <v>5809</v>
      </c>
      <c r="G209" s="3" t="s">
        <v>5810</v>
      </c>
      <c r="H209" s="11">
        <f>ROUND(
IF(L207="GANCHO",
   IF(I209&lt;=50,I209*1.1+4,IF(I209&lt;=120,I209*1.1+7,IF(I209&lt;=250,I209*1.1+11,I209*1.1+19))),
IF(L207="NORMAL",
   IF(I209&lt;=30,I209*1.15+2,IF(I209&lt;=80,I209*1.15+4,IF(I209&lt;=150,I209*1.15+6,I209*1.15+8))),
IF(L207="COMPLEMENTO",
   IF(I209&lt;=25,I209*1.25+1.5,IF(I209&lt;=60,I209*1.25+3,IF(I209&lt;=120,I209*1.25+4,I209*1.25+5))),
""))),2)</f>
        <v>3971.41</v>
      </c>
      <c r="I209" s="9">
        <f>($K$2+0.02)*Tabla1[[#This Row],[PRECIO $]]*1.18</f>
        <v>3593.1</v>
      </c>
      <c r="J209" s="7">
        <f>+Tabla1[[#This Row],[PRECIO EN SOLES]]-Tabla1[[#This Row],[PC]]</f>
        <v>378.30999999999995</v>
      </c>
      <c r="K209" s="15"/>
      <c r="L209" s="15" t="str">
        <f>IF(
OR(
ISNUMBER(SEARCH("BACKPACK",B211)),
ISNUMBER(SEARCH("MOCHILA",B211)),
ISNUMBER(SEARCH("FUNDA",B211)),
ISNUMBER(SEARCH("ESTUCHE",B211)),
ISNUMBER(SEARCH("BOOK COVER",B211)),
ISNUMBER(SEARCH("KEYBOARD PARA TABLET",B211)),
ISNUMBER(SEARCH("FLIP TABLET",B211)),
ISNUMBER(SEARCH("CASE FOR TABLET",B211)),
ISNUMBER(SEARCH("CABLE",B211)),
ISNUMBER(SEARCH("ADAPTADOR",B211)),
ISNUMBER(SEARCH("HUB",B211)),
ISNUMBER(SEARCH("DOCK",B211)),
ISNUMBER(SEARCH("MOUSE PAD",B211)),
ISNUMBER(SEARCH("MOUSEPAD",B211)),
ISNUMBER(SEARCH("SOPORTE",B211)),
ISNUMBER(SEARCH("STAND",B211)),
ISNUMBER(SEARCH("TRAVEL ADAPTER",B211)),
ISNUMBER(SEARCH("RJ45",B211)),
ISNUMBER(SEARCH("USB-C",B211)),
ISNUMBER(SEARCH("USB WIFI",B211)),
ISNUMBER(SEARCH("POWERBANK",B211)),
ISNUMBER(SEARCH("CARGADOR",B211)),
ISNUMBER(SEARCH("COOLER PARA NB",B211)),
ISNUMBER(SEARCH("SOPORTE PARA NB",B211)),
ISNUMBER(SEARCH("WEBCAM",B211)),
ISNUMBER(SEARCH("WEB CAM",B211)),
ISNUMBER(SEARCH("MOUSE",B211)),
ISNUMBER(SEARCH("TECLADO",B211))
),
"COMPLEMENTO",
IF(
OR(
LEFT(A211,2)="NB",
LEFT(A211,2)="PC",
LEFT(A211,2)="WS",
LEFT(A211,2)="TB",
LEFT(A211,3)="CEL",
LEFT(A211,3)="MON",
LEFT(A211,3)="PRE",
LEFT(A211,3)="PRH",
ISNUMBER(SEARCH("NOTEBOOK",B211)),
ISNUMBER(SEARCH("LAPTOP",B211)),
ISNUMBER(SEARCH("MONITOR",B211)),
ISNUMBER(SEARCH("TABLET",B211)),
ISNUMBER(SEARCH("SMARTPH",B211)),
ISNUMBER(SEARCH("IMPRESORA",B211)),
ISNUMBER(SEARCH("MULTIFUNCIONAL",B211)),
ISNUMBER(SEARCH("AIO",B211))
),
"GANCHO",
"NORMAL"
)
)</f>
        <v>GANCHO</v>
      </c>
    </row>
    <row r="210" spans="1:12" x14ac:dyDescent="0.25">
      <c r="A210" s="3" t="s">
        <v>4482</v>
      </c>
      <c r="B210" s="3" t="s">
        <v>4483</v>
      </c>
      <c r="C210" s="1">
        <v>5</v>
      </c>
      <c r="D210" s="1">
        <v>1080</v>
      </c>
      <c r="E210" s="1" t="s">
        <v>910</v>
      </c>
      <c r="F210" s="1" t="s">
        <v>4484</v>
      </c>
      <c r="G210" s="3" t="s">
        <v>4485</v>
      </c>
      <c r="H210" s="11">
        <f>ROUND(
IF(L208="GANCHO",
   IF(I210&lt;=50,I210*1.1+4,IF(I210&lt;=120,I210*1.1+7,IF(I210&lt;=250,I210*1.1+11,I210*1.1+19))),
IF(L208="NORMAL",
   IF(I210&lt;=30,I210*1.15+2,IF(I210&lt;=80,I210*1.15+4,IF(I210&lt;=150,I210*1.15+6,I210*1.15+8))),
IF(L208="COMPLEMENTO",
   IF(I210&lt;=25,I210*1.25+1.5,IF(I210&lt;=60,I210*1.25+3,IF(I210&lt;=120,I210*1.25+4,I210*1.25+5))),
""))),2)</f>
        <v>4897.3999999999996</v>
      </c>
      <c r="I210" s="9">
        <f>($K$2+0.02)*Tabla1[[#This Row],[PRECIO $]]*1.18</f>
        <v>4434.9120000000003</v>
      </c>
      <c r="J210" s="7">
        <f>+Tabla1[[#This Row],[PRECIO EN SOLES]]-Tabla1[[#This Row],[PC]]</f>
        <v>462.48799999999937</v>
      </c>
      <c r="K210" s="15"/>
      <c r="L210" s="15" t="str">
        <f>IF(
OR(
ISNUMBER(SEARCH("BACKPACK",B212)),
ISNUMBER(SEARCH("MOCHILA",B212)),
ISNUMBER(SEARCH("FUNDA",B212)),
ISNUMBER(SEARCH("ESTUCHE",B212)),
ISNUMBER(SEARCH("BOOK COVER",B212)),
ISNUMBER(SEARCH("KEYBOARD PARA TABLET",B212)),
ISNUMBER(SEARCH("FLIP TABLET",B212)),
ISNUMBER(SEARCH("CASE FOR TABLET",B212)),
ISNUMBER(SEARCH("CABLE",B212)),
ISNUMBER(SEARCH("ADAPTADOR",B212)),
ISNUMBER(SEARCH("HUB",B212)),
ISNUMBER(SEARCH("DOCK",B212)),
ISNUMBER(SEARCH("MOUSE PAD",B212)),
ISNUMBER(SEARCH("MOUSEPAD",B212)),
ISNUMBER(SEARCH("SOPORTE",B212)),
ISNUMBER(SEARCH("STAND",B212)),
ISNUMBER(SEARCH("TRAVEL ADAPTER",B212)),
ISNUMBER(SEARCH("RJ45",B212)),
ISNUMBER(SEARCH("USB-C",B212)),
ISNUMBER(SEARCH("USB WIFI",B212)),
ISNUMBER(SEARCH("POWERBANK",B212)),
ISNUMBER(SEARCH("CARGADOR",B212)),
ISNUMBER(SEARCH("COOLER PARA NB",B212)),
ISNUMBER(SEARCH("SOPORTE PARA NB",B212)),
ISNUMBER(SEARCH("WEBCAM",B212)),
ISNUMBER(SEARCH("WEB CAM",B212)),
ISNUMBER(SEARCH("MOUSE",B212)),
ISNUMBER(SEARCH("TECLADO",B212))
),
"COMPLEMENTO",
IF(
OR(
LEFT(A212,2)="NB",
LEFT(A212,2)="PC",
LEFT(A212,2)="WS",
LEFT(A212,2)="TB",
LEFT(A212,3)="CEL",
LEFT(A212,3)="MON",
LEFT(A212,3)="PRE",
LEFT(A212,3)="PRH",
ISNUMBER(SEARCH("NOTEBOOK",B212)),
ISNUMBER(SEARCH("LAPTOP",B212)),
ISNUMBER(SEARCH("MONITOR",B212)),
ISNUMBER(SEARCH("TABLET",B212)),
ISNUMBER(SEARCH("SMARTPH",B212)),
ISNUMBER(SEARCH("IMPRESORA",B212)),
ISNUMBER(SEARCH("MULTIFUNCIONAL",B212)),
ISNUMBER(SEARCH("AIO",B212))
),
"GANCHO",
"NORMAL"
)
)</f>
        <v>GANCHO</v>
      </c>
    </row>
    <row r="211" spans="1:12" x14ac:dyDescent="0.25">
      <c r="A211" s="3" t="s">
        <v>6414</v>
      </c>
      <c r="B211" s="3" t="s">
        <v>6415</v>
      </c>
      <c r="C211" s="1">
        <v>20</v>
      </c>
      <c r="D211" s="1">
        <v>1097</v>
      </c>
      <c r="E211" s="1" t="s">
        <v>56</v>
      </c>
      <c r="F211" s="1" t="s">
        <v>6416</v>
      </c>
      <c r="G211" s="3"/>
      <c r="H211" s="11">
        <f>ROUND(
IF(L209="GANCHO",
   IF(I211&lt;=50,I211*1.1+4,IF(I211&lt;=120,I211*1.1+7,IF(I211&lt;=250,I211*1.1+11,I211*1.1+19))),
IF(L209="NORMAL",
   IF(I211&lt;=30,I211*1.15+2,IF(I211&lt;=80,I211*1.15+4,IF(I211&lt;=150,I211*1.15+6,I211*1.15+8))),
IF(L209="COMPLEMENTO",
   IF(I211&lt;=25,I211*1.25+1.5,IF(I211&lt;=60,I211*1.25+3,IF(I211&lt;=120,I211*1.25+4,I211*1.25+5))),
""))),2)</f>
        <v>4974.1899999999996</v>
      </c>
      <c r="I211" s="9">
        <f>($K$2+0.02)*Tabla1[[#This Row],[PRECIO $]]*1.18</f>
        <v>4504.7208000000001</v>
      </c>
      <c r="J211" s="7">
        <f>+Tabla1[[#This Row],[PRECIO EN SOLES]]-Tabla1[[#This Row],[PC]]</f>
        <v>469.46919999999955</v>
      </c>
      <c r="K211" s="15"/>
      <c r="L211" s="15" t="str">
        <f>IF(
OR(
ISNUMBER(SEARCH("BACKPACK",B213)),
ISNUMBER(SEARCH("MOCHILA",B213)),
ISNUMBER(SEARCH("FUNDA",B213)),
ISNUMBER(SEARCH("ESTUCHE",B213)),
ISNUMBER(SEARCH("BOOK COVER",B213)),
ISNUMBER(SEARCH("KEYBOARD PARA TABLET",B213)),
ISNUMBER(SEARCH("FLIP TABLET",B213)),
ISNUMBER(SEARCH("CASE FOR TABLET",B213)),
ISNUMBER(SEARCH("CABLE",B213)),
ISNUMBER(SEARCH("ADAPTADOR",B213)),
ISNUMBER(SEARCH("HUB",B213)),
ISNUMBER(SEARCH("DOCK",B213)),
ISNUMBER(SEARCH("MOUSE PAD",B213)),
ISNUMBER(SEARCH("MOUSEPAD",B213)),
ISNUMBER(SEARCH("SOPORTE",B213)),
ISNUMBER(SEARCH("STAND",B213)),
ISNUMBER(SEARCH("TRAVEL ADAPTER",B213)),
ISNUMBER(SEARCH("RJ45",B213)),
ISNUMBER(SEARCH("USB-C",B213)),
ISNUMBER(SEARCH("USB WIFI",B213)),
ISNUMBER(SEARCH("POWERBANK",B213)),
ISNUMBER(SEARCH("CARGADOR",B213)),
ISNUMBER(SEARCH("COOLER PARA NB",B213)),
ISNUMBER(SEARCH("SOPORTE PARA NB",B213)),
ISNUMBER(SEARCH("WEBCAM",B213)),
ISNUMBER(SEARCH("WEB CAM",B213)),
ISNUMBER(SEARCH("MOUSE",B213)),
ISNUMBER(SEARCH("TECLADO",B213))
),
"COMPLEMENTO",
IF(
OR(
LEFT(A213,2)="NB",
LEFT(A213,2)="PC",
LEFT(A213,2)="WS",
LEFT(A213,2)="TB",
LEFT(A213,3)="CEL",
LEFT(A213,3)="MON",
LEFT(A213,3)="PRE",
LEFT(A213,3)="PRH",
ISNUMBER(SEARCH("NOTEBOOK",B213)),
ISNUMBER(SEARCH("LAPTOP",B213)),
ISNUMBER(SEARCH("MONITOR",B213)),
ISNUMBER(SEARCH("TABLET",B213)),
ISNUMBER(SEARCH("SMARTPH",B213)),
ISNUMBER(SEARCH("IMPRESORA",B213)),
ISNUMBER(SEARCH("MULTIFUNCIONAL",B213)),
ISNUMBER(SEARCH("AIO",B213))
),
"GANCHO",
"NORMAL"
)
)</f>
        <v>GANCHO</v>
      </c>
    </row>
    <row r="212" spans="1:12" x14ac:dyDescent="0.25">
      <c r="A212" s="3" t="s">
        <v>4565</v>
      </c>
      <c r="B212" s="3" t="s">
        <v>4566</v>
      </c>
      <c r="C212" s="1">
        <v>20</v>
      </c>
      <c r="D212" s="1">
        <v>1185</v>
      </c>
      <c r="E212" s="1" t="s">
        <v>56</v>
      </c>
      <c r="F212" s="1" t="s">
        <v>4567</v>
      </c>
      <c r="G212" s="3"/>
      <c r="H212" s="11">
        <f>ROUND(
IF(L210="GANCHO",
   IF(I212&lt;=50,I212*1.1+4,IF(I212&lt;=120,I212*1.1+7,IF(I212&lt;=250,I212*1.1+11,I212*1.1+19))),
IF(L210="NORMAL",
   IF(I212&lt;=30,I212*1.15+2,IF(I212&lt;=80,I212*1.15+4,IF(I212&lt;=150,I212*1.15+6,I212*1.15+8))),
IF(L210="COMPLEMENTO",
   IF(I212&lt;=25,I212*1.25+1.5,IF(I212&lt;=60,I212*1.25+3,IF(I212&lt;=120,I212*1.25+4,I212*1.25+5))),
""))),2)</f>
        <v>5371.69</v>
      </c>
      <c r="I212" s="9">
        <f>($K$2+0.02)*Tabla1[[#This Row],[PRECIO $]]*1.18</f>
        <v>4866.0839999999998</v>
      </c>
      <c r="J212" s="7">
        <f>+Tabla1[[#This Row],[PRECIO EN SOLES]]-Tabla1[[#This Row],[PC]]</f>
        <v>505.60599999999977</v>
      </c>
      <c r="K212" s="15"/>
      <c r="L212" s="15" t="str">
        <f>IF(
OR(
ISNUMBER(SEARCH("BACKPACK",B214)),
ISNUMBER(SEARCH("MOCHILA",B214)),
ISNUMBER(SEARCH("FUNDA",B214)),
ISNUMBER(SEARCH("ESTUCHE",B214)),
ISNUMBER(SEARCH("BOOK COVER",B214)),
ISNUMBER(SEARCH("KEYBOARD PARA TABLET",B214)),
ISNUMBER(SEARCH("FLIP TABLET",B214)),
ISNUMBER(SEARCH("CASE FOR TABLET",B214)),
ISNUMBER(SEARCH("CABLE",B214)),
ISNUMBER(SEARCH("ADAPTADOR",B214)),
ISNUMBER(SEARCH("HUB",B214)),
ISNUMBER(SEARCH("DOCK",B214)),
ISNUMBER(SEARCH("MOUSE PAD",B214)),
ISNUMBER(SEARCH("MOUSEPAD",B214)),
ISNUMBER(SEARCH("SOPORTE",B214)),
ISNUMBER(SEARCH("STAND",B214)),
ISNUMBER(SEARCH("TRAVEL ADAPTER",B214)),
ISNUMBER(SEARCH("RJ45",B214)),
ISNUMBER(SEARCH("USB-C",B214)),
ISNUMBER(SEARCH("USB WIFI",B214)),
ISNUMBER(SEARCH("POWERBANK",B214)),
ISNUMBER(SEARCH("CARGADOR",B214)),
ISNUMBER(SEARCH("COOLER PARA NB",B214)),
ISNUMBER(SEARCH("SOPORTE PARA NB",B214)),
ISNUMBER(SEARCH("WEBCAM",B214)),
ISNUMBER(SEARCH("WEB CAM",B214)),
ISNUMBER(SEARCH("MOUSE",B214)),
ISNUMBER(SEARCH("TECLADO",B214))
),
"COMPLEMENTO",
IF(
OR(
LEFT(A214,2)="NB",
LEFT(A214,2)="PC",
LEFT(A214,2)="WS",
LEFT(A214,2)="TB",
LEFT(A214,3)="CEL",
LEFT(A214,3)="MON",
LEFT(A214,3)="PRE",
LEFT(A214,3)="PRH",
ISNUMBER(SEARCH("NOTEBOOK",B214)),
ISNUMBER(SEARCH("LAPTOP",B214)),
ISNUMBER(SEARCH("MONITOR",B214)),
ISNUMBER(SEARCH("TABLET",B214)),
ISNUMBER(SEARCH("SMARTPH",B214)),
ISNUMBER(SEARCH("IMPRESORA",B214)),
ISNUMBER(SEARCH("MULTIFUNCIONAL",B214)),
ISNUMBER(SEARCH("AIO",B214))
),
"GANCHO",
"NORMAL"
)
)</f>
        <v>GANCHO</v>
      </c>
    </row>
    <row r="213" spans="1:12" x14ac:dyDescent="0.25">
      <c r="A213" s="3" t="s">
        <v>978</v>
      </c>
      <c r="B213" s="3" t="s">
        <v>979</v>
      </c>
      <c r="C213" s="1">
        <v>0</v>
      </c>
      <c r="D213" s="1">
        <v>1135</v>
      </c>
      <c r="E213" s="1" t="s">
        <v>837</v>
      </c>
      <c r="F213" s="1" t="s">
        <v>3180</v>
      </c>
      <c r="G213" s="3" t="s">
        <v>980</v>
      </c>
      <c r="H213" s="11">
        <f>ROUND(
IF(L211="GANCHO",
   IF(I213&lt;=50,I213*1.1+4,IF(I213&lt;=120,I213*1.1+7,IF(I213&lt;=250,I213*1.1+11,I213*1.1+19))),
IF(L211="NORMAL",
   IF(I213&lt;=30,I213*1.15+2,IF(I213&lt;=80,I213*1.15+4,IF(I213&lt;=150,I213*1.15+6,I213*1.15+8))),
IF(L211="COMPLEMENTO",
   IF(I213&lt;=25,I213*1.25+1.5,IF(I213&lt;=60,I213*1.25+3,IF(I213&lt;=120,I213*1.25+4,I213*1.25+5))),
""))),2)</f>
        <v>5145.84</v>
      </c>
      <c r="I213" s="9">
        <f>($K$2+0.02)*Tabla1[[#This Row],[PRECIO $]]*1.18</f>
        <v>4660.7640000000001</v>
      </c>
      <c r="J213" s="7">
        <f>+Tabla1[[#This Row],[PRECIO EN SOLES]]-Tabla1[[#This Row],[PC]]</f>
        <v>485.07600000000002</v>
      </c>
      <c r="K213" s="15"/>
      <c r="L213" s="15" t="str">
        <f>IF(
OR(
ISNUMBER(SEARCH("BACKPACK",B215)),
ISNUMBER(SEARCH("MOCHILA",B215)),
ISNUMBER(SEARCH("FUNDA",B215)),
ISNUMBER(SEARCH("ESTUCHE",B215)),
ISNUMBER(SEARCH("BOOK COVER",B215)),
ISNUMBER(SEARCH("KEYBOARD PARA TABLET",B215)),
ISNUMBER(SEARCH("FLIP TABLET",B215)),
ISNUMBER(SEARCH("CASE FOR TABLET",B215)),
ISNUMBER(SEARCH("CABLE",B215)),
ISNUMBER(SEARCH("ADAPTADOR",B215)),
ISNUMBER(SEARCH("HUB",B215)),
ISNUMBER(SEARCH("DOCK",B215)),
ISNUMBER(SEARCH("MOUSE PAD",B215)),
ISNUMBER(SEARCH("MOUSEPAD",B215)),
ISNUMBER(SEARCH("SOPORTE",B215)),
ISNUMBER(SEARCH("STAND",B215)),
ISNUMBER(SEARCH("TRAVEL ADAPTER",B215)),
ISNUMBER(SEARCH("RJ45",B215)),
ISNUMBER(SEARCH("USB-C",B215)),
ISNUMBER(SEARCH("USB WIFI",B215)),
ISNUMBER(SEARCH("POWERBANK",B215)),
ISNUMBER(SEARCH("CARGADOR",B215)),
ISNUMBER(SEARCH("COOLER PARA NB",B215)),
ISNUMBER(SEARCH("SOPORTE PARA NB",B215)),
ISNUMBER(SEARCH("WEBCAM",B215)),
ISNUMBER(SEARCH("WEB CAM",B215)),
ISNUMBER(SEARCH("MOUSE",B215)),
ISNUMBER(SEARCH("TECLADO",B215))
),
"COMPLEMENTO",
IF(
OR(
LEFT(A215,2)="NB",
LEFT(A215,2)="PC",
LEFT(A215,2)="WS",
LEFT(A215,2)="TB",
LEFT(A215,3)="CEL",
LEFT(A215,3)="MON",
LEFT(A215,3)="PRE",
LEFT(A215,3)="PRH",
ISNUMBER(SEARCH("NOTEBOOK",B215)),
ISNUMBER(SEARCH("LAPTOP",B215)),
ISNUMBER(SEARCH("MONITOR",B215)),
ISNUMBER(SEARCH("TABLET",B215)),
ISNUMBER(SEARCH("SMARTPH",B215)),
ISNUMBER(SEARCH("IMPRESORA",B215)),
ISNUMBER(SEARCH("MULTIFUNCIONAL",B215)),
ISNUMBER(SEARCH("AIO",B215))
),
"GANCHO",
"NORMAL"
)
)</f>
        <v>GANCHO</v>
      </c>
    </row>
    <row r="214" spans="1:12" x14ac:dyDescent="0.25">
      <c r="A214" s="3" t="s">
        <v>5811</v>
      </c>
      <c r="B214" s="3" t="s">
        <v>5812</v>
      </c>
      <c r="C214" s="1">
        <v>20</v>
      </c>
      <c r="D214" s="1">
        <v>844</v>
      </c>
      <c r="E214" s="1" t="s">
        <v>837</v>
      </c>
      <c r="F214" s="1" t="s">
        <v>5813</v>
      </c>
      <c r="G214" s="3" t="s">
        <v>6678</v>
      </c>
      <c r="H214" s="11">
        <f>ROUND(
IF(L212="GANCHO",
   IF(I214&lt;=50,I214*1.1+4,IF(I214&lt;=120,I214*1.1+7,IF(I214&lt;=250,I214*1.1+11,I214*1.1+19))),
IF(L212="NORMAL",
   IF(I214&lt;=30,I214*1.15+2,IF(I214&lt;=80,I214*1.15+4,IF(I214&lt;=150,I214*1.15+6,I214*1.15+8))),
IF(L212="COMPLEMENTO",
   IF(I214&lt;=25,I214*1.25+1.5,IF(I214&lt;=60,I214*1.25+3,IF(I214&lt;=120,I214*1.25+4,I214*1.25+5))),
""))),2)</f>
        <v>3831.38</v>
      </c>
      <c r="I214" s="9">
        <f>($K$2+0.02)*Tabla1[[#This Row],[PRECIO $]]*1.18</f>
        <v>3465.8015999999998</v>
      </c>
      <c r="J214" s="7">
        <f>+Tabla1[[#This Row],[PRECIO EN SOLES]]-Tabla1[[#This Row],[PC]]</f>
        <v>365.57840000000033</v>
      </c>
      <c r="K214" s="15"/>
      <c r="L214" s="15" t="str">
        <f>IF(
OR(
ISNUMBER(SEARCH("BACKPACK",B216)),
ISNUMBER(SEARCH("MOCHILA",B216)),
ISNUMBER(SEARCH("FUNDA",B216)),
ISNUMBER(SEARCH("ESTUCHE",B216)),
ISNUMBER(SEARCH("BOOK COVER",B216)),
ISNUMBER(SEARCH("KEYBOARD PARA TABLET",B216)),
ISNUMBER(SEARCH("FLIP TABLET",B216)),
ISNUMBER(SEARCH("CASE FOR TABLET",B216)),
ISNUMBER(SEARCH("CABLE",B216)),
ISNUMBER(SEARCH("ADAPTADOR",B216)),
ISNUMBER(SEARCH("HUB",B216)),
ISNUMBER(SEARCH("DOCK",B216)),
ISNUMBER(SEARCH("MOUSE PAD",B216)),
ISNUMBER(SEARCH("MOUSEPAD",B216)),
ISNUMBER(SEARCH("SOPORTE",B216)),
ISNUMBER(SEARCH("STAND",B216)),
ISNUMBER(SEARCH("TRAVEL ADAPTER",B216)),
ISNUMBER(SEARCH("RJ45",B216)),
ISNUMBER(SEARCH("USB-C",B216)),
ISNUMBER(SEARCH("USB WIFI",B216)),
ISNUMBER(SEARCH("POWERBANK",B216)),
ISNUMBER(SEARCH("CARGADOR",B216)),
ISNUMBER(SEARCH("COOLER PARA NB",B216)),
ISNUMBER(SEARCH("SOPORTE PARA NB",B216)),
ISNUMBER(SEARCH("WEBCAM",B216)),
ISNUMBER(SEARCH("WEB CAM",B216)),
ISNUMBER(SEARCH("MOUSE",B216)),
ISNUMBER(SEARCH("TECLADO",B216))
),
"COMPLEMENTO",
IF(
OR(
LEFT(A216,2)="NB",
LEFT(A216,2)="PC",
LEFT(A216,2)="WS",
LEFT(A216,2)="TB",
LEFT(A216,3)="CEL",
LEFT(A216,3)="MON",
LEFT(A216,3)="PRE",
LEFT(A216,3)="PRH",
ISNUMBER(SEARCH("NOTEBOOK",B216)),
ISNUMBER(SEARCH("LAPTOP",B216)),
ISNUMBER(SEARCH("MONITOR",B216)),
ISNUMBER(SEARCH("TABLET",B216)),
ISNUMBER(SEARCH("SMARTPH",B216)),
ISNUMBER(SEARCH("IMPRESORA",B216)),
ISNUMBER(SEARCH("MULTIFUNCIONAL",B216)),
ISNUMBER(SEARCH("AIO",B216))
),
"GANCHO",
"NORMAL"
)
)</f>
        <v>GANCHO</v>
      </c>
    </row>
    <row r="215" spans="1:12" x14ac:dyDescent="0.25">
      <c r="A215" s="3" t="s">
        <v>5814</v>
      </c>
      <c r="B215" s="3" t="s">
        <v>5815</v>
      </c>
      <c r="C215" s="1">
        <v>20</v>
      </c>
      <c r="D215" s="1">
        <v>1035</v>
      </c>
      <c r="E215" s="1" t="s">
        <v>837</v>
      </c>
      <c r="F215" s="1" t="s">
        <v>5816</v>
      </c>
      <c r="G215" s="3" t="s">
        <v>6678</v>
      </c>
      <c r="H215" s="11">
        <f>ROUND(
IF(L213="GANCHO",
   IF(I215&lt;=50,I215*1.1+4,IF(I215&lt;=120,I215*1.1+7,IF(I215&lt;=250,I215*1.1+11,I215*1.1+19))),
IF(L213="NORMAL",
   IF(I215&lt;=30,I215*1.15+2,IF(I215&lt;=80,I215*1.15+4,IF(I215&lt;=150,I215*1.15+6,I215*1.15+8))),
IF(L213="COMPLEMENTO",
   IF(I215&lt;=25,I215*1.25+1.5,IF(I215&lt;=60,I215*1.25+3,IF(I215&lt;=120,I215*1.25+4,I215*1.25+5))),
""))),2)</f>
        <v>4694.1400000000003</v>
      </c>
      <c r="I215" s="9">
        <f>($K$2+0.02)*Tabla1[[#This Row],[PRECIO $]]*1.18</f>
        <v>4250.1239999999998</v>
      </c>
      <c r="J215" s="7">
        <f>+Tabla1[[#This Row],[PRECIO EN SOLES]]-Tabla1[[#This Row],[PC]]</f>
        <v>444.01600000000053</v>
      </c>
      <c r="K215" s="15"/>
      <c r="L215" s="15" t="str">
        <f>IF(
OR(
ISNUMBER(SEARCH("BACKPACK",B217)),
ISNUMBER(SEARCH("MOCHILA",B217)),
ISNUMBER(SEARCH("FUNDA",B217)),
ISNUMBER(SEARCH("ESTUCHE",B217)),
ISNUMBER(SEARCH("BOOK COVER",B217)),
ISNUMBER(SEARCH("KEYBOARD PARA TABLET",B217)),
ISNUMBER(SEARCH("FLIP TABLET",B217)),
ISNUMBER(SEARCH("CASE FOR TABLET",B217)),
ISNUMBER(SEARCH("CABLE",B217)),
ISNUMBER(SEARCH("ADAPTADOR",B217)),
ISNUMBER(SEARCH("HUB",B217)),
ISNUMBER(SEARCH("DOCK",B217)),
ISNUMBER(SEARCH("MOUSE PAD",B217)),
ISNUMBER(SEARCH("MOUSEPAD",B217)),
ISNUMBER(SEARCH("SOPORTE",B217)),
ISNUMBER(SEARCH("STAND",B217)),
ISNUMBER(SEARCH("TRAVEL ADAPTER",B217)),
ISNUMBER(SEARCH("RJ45",B217)),
ISNUMBER(SEARCH("USB-C",B217)),
ISNUMBER(SEARCH("USB WIFI",B217)),
ISNUMBER(SEARCH("POWERBANK",B217)),
ISNUMBER(SEARCH("CARGADOR",B217)),
ISNUMBER(SEARCH("COOLER PARA NB",B217)),
ISNUMBER(SEARCH("SOPORTE PARA NB",B217)),
ISNUMBER(SEARCH("WEBCAM",B217)),
ISNUMBER(SEARCH("WEB CAM",B217)),
ISNUMBER(SEARCH("MOUSE",B217)),
ISNUMBER(SEARCH("TECLADO",B217))
),
"COMPLEMENTO",
IF(
OR(
LEFT(A217,2)="NB",
LEFT(A217,2)="PC",
LEFT(A217,2)="WS",
LEFT(A217,2)="TB",
LEFT(A217,3)="CEL",
LEFT(A217,3)="MON",
LEFT(A217,3)="PRE",
LEFT(A217,3)="PRH",
ISNUMBER(SEARCH("NOTEBOOK",B217)),
ISNUMBER(SEARCH("LAPTOP",B217)),
ISNUMBER(SEARCH("MONITOR",B217)),
ISNUMBER(SEARCH("TABLET",B217)),
ISNUMBER(SEARCH("SMARTPH",B217)),
ISNUMBER(SEARCH("IMPRESORA",B217)),
ISNUMBER(SEARCH("MULTIFUNCIONAL",B217)),
ISNUMBER(SEARCH("AIO",B217))
),
"GANCHO",
"NORMAL"
)
)</f>
        <v>GANCHO</v>
      </c>
    </row>
    <row r="216" spans="1:12" x14ac:dyDescent="0.25">
      <c r="A216" s="3" t="s">
        <v>5817</v>
      </c>
      <c r="B216" s="3" t="s">
        <v>5818</v>
      </c>
      <c r="C216" s="1">
        <v>10</v>
      </c>
      <c r="D216" s="1">
        <v>1295</v>
      </c>
      <c r="E216" s="1" t="s">
        <v>52</v>
      </c>
      <c r="F216" s="1" t="s">
        <v>5819</v>
      </c>
      <c r="G216" s="3" t="s">
        <v>5820</v>
      </c>
      <c r="H216" s="11">
        <f>ROUND(
IF(L214="GANCHO",
   IF(I216&lt;=50,I216*1.1+4,IF(I216&lt;=120,I216*1.1+7,IF(I216&lt;=250,I216*1.1+11,I216*1.1+19))),
IF(L214="NORMAL",
   IF(I216&lt;=30,I216*1.15+2,IF(I216&lt;=80,I216*1.15+4,IF(I216&lt;=150,I216*1.15+6,I216*1.15+8))),
IF(L214="COMPLEMENTO",
   IF(I216&lt;=25,I216*1.25+1.5,IF(I216&lt;=60,I216*1.25+3,IF(I216&lt;=120,I216*1.25+4,I216*1.25+5))),
""))),2)</f>
        <v>5868.57</v>
      </c>
      <c r="I216" s="9">
        <f>($K$2+0.02)*Tabla1[[#This Row],[PRECIO $]]*1.18</f>
        <v>5317.7880000000005</v>
      </c>
      <c r="J216" s="7">
        <f>+Tabla1[[#This Row],[PRECIO EN SOLES]]-Tabla1[[#This Row],[PC]]</f>
        <v>550.78199999999924</v>
      </c>
      <c r="K216" s="15"/>
      <c r="L216" s="15" t="str">
        <f>IF(
OR(
ISNUMBER(SEARCH("BACKPACK",B218)),
ISNUMBER(SEARCH("MOCHILA",B218)),
ISNUMBER(SEARCH("FUNDA",B218)),
ISNUMBER(SEARCH("ESTUCHE",B218)),
ISNUMBER(SEARCH("BOOK COVER",B218)),
ISNUMBER(SEARCH("KEYBOARD PARA TABLET",B218)),
ISNUMBER(SEARCH("FLIP TABLET",B218)),
ISNUMBER(SEARCH("CASE FOR TABLET",B218)),
ISNUMBER(SEARCH("CABLE",B218)),
ISNUMBER(SEARCH("ADAPTADOR",B218)),
ISNUMBER(SEARCH("HUB",B218)),
ISNUMBER(SEARCH("DOCK",B218)),
ISNUMBER(SEARCH("MOUSE PAD",B218)),
ISNUMBER(SEARCH("MOUSEPAD",B218)),
ISNUMBER(SEARCH("SOPORTE",B218)),
ISNUMBER(SEARCH("STAND",B218)),
ISNUMBER(SEARCH("TRAVEL ADAPTER",B218)),
ISNUMBER(SEARCH("RJ45",B218)),
ISNUMBER(SEARCH("USB-C",B218)),
ISNUMBER(SEARCH("USB WIFI",B218)),
ISNUMBER(SEARCH("POWERBANK",B218)),
ISNUMBER(SEARCH("CARGADOR",B218)),
ISNUMBER(SEARCH("COOLER PARA NB",B218)),
ISNUMBER(SEARCH("SOPORTE PARA NB",B218)),
ISNUMBER(SEARCH("WEBCAM",B218)),
ISNUMBER(SEARCH("WEB CAM",B218)),
ISNUMBER(SEARCH("MOUSE",B218)),
ISNUMBER(SEARCH("TECLADO",B218))
),
"COMPLEMENTO",
IF(
OR(
LEFT(A218,2)="NB",
LEFT(A218,2)="PC",
LEFT(A218,2)="WS",
LEFT(A218,2)="TB",
LEFT(A218,3)="CEL",
LEFT(A218,3)="MON",
LEFT(A218,3)="PRE",
LEFT(A218,3)="PRH",
ISNUMBER(SEARCH("NOTEBOOK",B218)),
ISNUMBER(SEARCH("LAPTOP",B218)),
ISNUMBER(SEARCH("MONITOR",B218)),
ISNUMBER(SEARCH("TABLET",B218)),
ISNUMBER(SEARCH("SMARTPH",B218)),
ISNUMBER(SEARCH("IMPRESORA",B218)),
ISNUMBER(SEARCH("MULTIFUNCIONAL",B218)),
ISNUMBER(SEARCH("AIO",B218))
),
"GANCHO",
"NORMAL"
)
)</f>
        <v>GANCHO</v>
      </c>
    </row>
    <row r="217" spans="1:12" x14ac:dyDescent="0.25">
      <c r="A217" s="3" t="s">
        <v>4821</v>
      </c>
      <c r="B217" s="3" t="s">
        <v>4822</v>
      </c>
      <c r="C217" s="1">
        <v>1</v>
      </c>
      <c r="D217" s="1">
        <v>1449</v>
      </c>
      <c r="E217" s="1" t="s">
        <v>54</v>
      </c>
      <c r="F217" s="1" t="s">
        <v>4823</v>
      </c>
      <c r="G217" s="3" t="s">
        <v>4877</v>
      </c>
      <c r="H217" s="11">
        <f>ROUND(
IF(L215="GANCHO",
   IF(I217&lt;=50,I217*1.1+4,IF(I217&lt;=120,I217*1.1+7,IF(I217&lt;=250,I217*1.1+11,I217*1.1+19))),
IF(L215="NORMAL",
   IF(I217&lt;=30,I217*1.15+2,IF(I217&lt;=80,I217*1.15+4,IF(I217&lt;=150,I217*1.15+6,I217*1.15+8))),
IF(L215="COMPLEMENTO",
   IF(I217&lt;=25,I217*1.25+1.5,IF(I217&lt;=60,I217*1.25+3,IF(I217&lt;=120,I217*1.25+4,I217*1.25+5))),
""))),2)</f>
        <v>6564.19</v>
      </c>
      <c r="I217" s="9">
        <f>($K$2+0.02)*Tabla1[[#This Row],[PRECIO $]]*1.18</f>
        <v>5950.1735999999992</v>
      </c>
      <c r="J217" s="7">
        <f>+Tabla1[[#This Row],[PRECIO EN SOLES]]-Tabla1[[#This Row],[PC]]</f>
        <v>614.01640000000043</v>
      </c>
      <c r="K217" s="15"/>
      <c r="L217" s="15" t="str">
        <f>IF(
OR(
ISNUMBER(SEARCH("BACKPACK",B219)),
ISNUMBER(SEARCH("MOCHILA",B219)),
ISNUMBER(SEARCH("FUNDA",B219)),
ISNUMBER(SEARCH("ESTUCHE",B219)),
ISNUMBER(SEARCH("BOOK COVER",B219)),
ISNUMBER(SEARCH("KEYBOARD PARA TABLET",B219)),
ISNUMBER(SEARCH("FLIP TABLET",B219)),
ISNUMBER(SEARCH("CASE FOR TABLET",B219)),
ISNUMBER(SEARCH("CABLE",B219)),
ISNUMBER(SEARCH("ADAPTADOR",B219)),
ISNUMBER(SEARCH("HUB",B219)),
ISNUMBER(SEARCH("DOCK",B219)),
ISNUMBER(SEARCH("MOUSE PAD",B219)),
ISNUMBER(SEARCH("MOUSEPAD",B219)),
ISNUMBER(SEARCH("SOPORTE",B219)),
ISNUMBER(SEARCH("STAND",B219)),
ISNUMBER(SEARCH("TRAVEL ADAPTER",B219)),
ISNUMBER(SEARCH("RJ45",B219)),
ISNUMBER(SEARCH("USB-C",B219)),
ISNUMBER(SEARCH("USB WIFI",B219)),
ISNUMBER(SEARCH("POWERBANK",B219)),
ISNUMBER(SEARCH("CARGADOR",B219)),
ISNUMBER(SEARCH("COOLER PARA NB",B219)),
ISNUMBER(SEARCH("SOPORTE PARA NB",B219)),
ISNUMBER(SEARCH("WEBCAM",B219)),
ISNUMBER(SEARCH("WEB CAM",B219)),
ISNUMBER(SEARCH("MOUSE",B219)),
ISNUMBER(SEARCH("TECLADO",B219))
),
"COMPLEMENTO",
IF(
OR(
LEFT(A219,2)="NB",
LEFT(A219,2)="PC",
LEFT(A219,2)="WS",
LEFT(A219,2)="TB",
LEFT(A219,3)="CEL",
LEFT(A219,3)="MON",
LEFT(A219,3)="PRE",
LEFT(A219,3)="PRH",
ISNUMBER(SEARCH("NOTEBOOK",B219)),
ISNUMBER(SEARCH("LAPTOP",B219)),
ISNUMBER(SEARCH("MONITOR",B219)),
ISNUMBER(SEARCH("TABLET",B219)),
ISNUMBER(SEARCH("SMARTPH",B219)),
ISNUMBER(SEARCH("IMPRESORA",B219)),
ISNUMBER(SEARCH("MULTIFUNCIONAL",B219)),
ISNUMBER(SEARCH("AIO",B219))
),
"GANCHO",
"NORMAL"
)
)</f>
        <v>GANCHO</v>
      </c>
    </row>
    <row r="218" spans="1:12" x14ac:dyDescent="0.25">
      <c r="A218" s="3" t="s">
        <v>981</v>
      </c>
      <c r="B218" s="3" t="s">
        <v>982</v>
      </c>
      <c r="C218" s="1">
        <v>1</v>
      </c>
      <c r="D218" s="1">
        <v>2635</v>
      </c>
      <c r="E218" s="1" t="s">
        <v>56</v>
      </c>
      <c r="F218" s="1" t="s">
        <v>3181</v>
      </c>
      <c r="G218" s="3"/>
      <c r="H218" s="11">
        <f>ROUND(
IF(L216="GANCHO",
   IF(I218&lt;=50,I218*1.1+4,IF(I218&lt;=120,I218*1.1+7,IF(I218&lt;=250,I218*1.1+11,I218*1.1+19))),
IF(L216="NORMAL",
   IF(I218&lt;=30,I218*1.15+2,IF(I218&lt;=80,I218*1.15+4,IF(I218&lt;=150,I218*1.15+6,I218*1.15+8))),
IF(L216="COMPLEMENTO",
   IF(I218&lt;=25,I218*1.25+1.5,IF(I218&lt;=60,I218*1.25+3,IF(I218&lt;=120,I218*1.25+4,I218*1.25+5))),
""))),2)</f>
        <v>11921.4</v>
      </c>
      <c r="I218" s="9">
        <f>($K$2+0.02)*Tabla1[[#This Row],[PRECIO $]]*1.18</f>
        <v>10820.363999999998</v>
      </c>
      <c r="J218" s="7">
        <f>+Tabla1[[#This Row],[PRECIO EN SOLES]]-Tabla1[[#This Row],[PC]]</f>
        <v>1101.0360000000019</v>
      </c>
      <c r="K218" s="15"/>
      <c r="L218" s="15" t="str">
        <f>IF(
OR(
ISNUMBER(SEARCH("BACKPACK",B220)),
ISNUMBER(SEARCH("MOCHILA",B220)),
ISNUMBER(SEARCH("FUNDA",B220)),
ISNUMBER(SEARCH("ESTUCHE",B220)),
ISNUMBER(SEARCH("BOOK COVER",B220)),
ISNUMBER(SEARCH("KEYBOARD PARA TABLET",B220)),
ISNUMBER(SEARCH("FLIP TABLET",B220)),
ISNUMBER(SEARCH("CASE FOR TABLET",B220)),
ISNUMBER(SEARCH("CABLE",B220)),
ISNUMBER(SEARCH("ADAPTADOR",B220)),
ISNUMBER(SEARCH("HUB",B220)),
ISNUMBER(SEARCH("DOCK",B220)),
ISNUMBER(SEARCH("MOUSE PAD",B220)),
ISNUMBER(SEARCH("MOUSEPAD",B220)),
ISNUMBER(SEARCH("SOPORTE",B220)),
ISNUMBER(SEARCH("STAND",B220)),
ISNUMBER(SEARCH("TRAVEL ADAPTER",B220)),
ISNUMBER(SEARCH("RJ45",B220)),
ISNUMBER(SEARCH("USB-C",B220)),
ISNUMBER(SEARCH("USB WIFI",B220)),
ISNUMBER(SEARCH("POWERBANK",B220)),
ISNUMBER(SEARCH("CARGADOR",B220)),
ISNUMBER(SEARCH("COOLER PARA NB",B220)),
ISNUMBER(SEARCH("SOPORTE PARA NB",B220)),
ISNUMBER(SEARCH("WEBCAM",B220)),
ISNUMBER(SEARCH("WEB CAM",B220)),
ISNUMBER(SEARCH("MOUSE",B220)),
ISNUMBER(SEARCH("TECLADO",B220))
),
"COMPLEMENTO",
IF(
OR(
LEFT(A220,2)="NB",
LEFT(A220,2)="PC",
LEFT(A220,2)="WS",
LEFT(A220,2)="TB",
LEFT(A220,3)="CEL",
LEFT(A220,3)="MON",
LEFT(A220,3)="PRE",
LEFT(A220,3)="PRH",
ISNUMBER(SEARCH("NOTEBOOK",B220)),
ISNUMBER(SEARCH("LAPTOP",B220)),
ISNUMBER(SEARCH("MONITOR",B220)),
ISNUMBER(SEARCH("TABLET",B220)),
ISNUMBER(SEARCH("SMARTPH",B220)),
ISNUMBER(SEARCH("IMPRESORA",B220)),
ISNUMBER(SEARCH("MULTIFUNCIONAL",B220)),
ISNUMBER(SEARCH("AIO",B220))
),
"GANCHO",
"NORMAL"
)
)</f>
        <v>GANCHO</v>
      </c>
    </row>
    <row r="219" spans="1:12" x14ac:dyDescent="0.25">
      <c r="A219" s="3" t="s">
        <v>985</v>
      </c>
      <c r="B219" s="3" t="s">
        <v>983</v>
      </c>
      <c r="C219" s="1">
        <v>20</v>
      </c>
      <c r="D219" s="1">
        <v>1442</v>
      </c>
      <c r="E219" s="1" t="s">
        <v>56</v>
      </c>
      <c r="F219" s="1" t="s">
        <v>3182</v>
      </c>
      <c r="G219" s="3" t="s">
        <v>984</v>
      </c>
      <c r="H219" s="11">
        <f>ROUND(
IF(L217="GANCHO",
   IF(I219&lt;=50,I219*1.1+4,IF(I219&lt;=120,I219*1.1+7,IF(I219&lt;=250,I219*1.1+11,I219*1.1+19))),
IF(L217="NORMAL",
   IF(I219&lt;=30,I219*1.15+2,IF(I219&lt;=80,I219*1.15+4,IF(I219&lt;=150,I219*1.15+6,I219*1.15+8))),
IF(L217="COMPLEMENTO",
   IF(I219&lt;=25,I219*1.25+1.5,IF(I219&lt;=60,I219*1.25+3,IF(I219&lt;=120,I219*1.25+4,I219*1.25+5))),
""))),2)</f>
        <v>6532.57</v>
      </c>
      <c r="I219" s="9">
        <f>($K$2+0.02)*Tabla1[[#This Row],[PRECIO $]]*1.18</f>
        <v>5921.4287999999997</v>
      </c>
      <c r="J219" s="7">
        <f>+Tabla1[[#This Row],[PRECIO EN SOLES]]-Tabla1[[#This Row],[PC]]</f>
        <v>611.14120000000003</v>
      </c>
      <c r="K219" s="15"/>
      <c r="L219" s="15" t="str">
        <f>IF(
OR(
ISNUMBER(SEARCH("BACKPACK",B221)),
ISNUMBER(SEARCH("MOCHILA",B221)),
ISNUMBER(SEARCH("FUNDA",B221)),
ISNUMBER(SEARCH("ESTUCHE",B221)),
ISNUMBER(SEARCH("BOOK COVER",B221)),
ISNUMBER(SEARCH("KEYBOARD PARA TABLET",B221)),
ISNUMBER(SEARCH("FLIP TABLET",B221)),
ISNUMBER(SEARCH("CASE FOR TABLET",B221)),
ISNUMBER(SEARCH("CABLE",B221)),
ISNUMBER(SEARCH("ADAPTADOR",B221)),
ISNUMBER(SEARCH("HUB",B221)),
ISNUMBER(SEARCH("DOCK",B221)),
ISNUMBER(SEARCH("MOUSE PAD",B221)),
ISNUMBER(SEARCH("MOUSEPAD",B221)),
ISNUMBER(SEARCH("SOPORTE",B221)),
ISNUMBER(SEARCH("STAND",B221)),
ISNUMBER(SEARCH("TRAVEL ADAPTER",B221)),
ISNUMBER(SEARCH("RJ45",B221)),
ISNUMBER(SEARCH("USB-C",B221)),
ISNUMBER(SEARCH("USB WIFI",B221)),
ISNUMBER(SEARCH("POWERBANK",B221)),
ISNUMBER(SEARCH("CARGADOR",B221)),
ISNUMBER(SEARCH("COOLER PARA NB",B221)),
ISNUMBER(SEARCH("SOPORTE PARA NB",B221)),
ISNUMBER(SEARCH("WEBCAM",B221)),
ISNUMBER(SEARCH("WEB CAM",B221)),
ISNUMBER(SEARCH("MOUSE",B221)),
ISNUMBER(SEARCH("TECLADO",B221))
),
"COMPLEMENTO",
IF(
OR(
LEFT(A221,2)="NB",
LEFT(A221,2)="PC",
LEFT(A221,2)="WS",
LEFT(A221,2)="TB",
LEFT(A221,3)="CEL",
LEFT(A221,3)="MON",
LEFT(A221,3)="PRE",
LEFT(A221,3)="PRH",
ISNUMBER(SEARCH("NOTEBOOK",B221)),
ISNUMBER(SEARCH("LAPTOP",B221)),
ISNUMBER(SEARCH("MONITOR",B221)),
ISNUMBER(SEARCH("TABLET",B221)),
ISNUMBER(SEARCH("SMARTPH",B221)),
ISNUMBER(SEARCH("IMPRESORA",B221)),
ISNUMBER(SEARCH("MULTIFUNCIONAL",B221)),
ISNUMBER(SEARCH("AIO",B221))
),
"GANCHO",
"NORMAL"
)
)</f>
        <v>GANCHO</v>
      </c>
    </row>
    <row r="220" spans="1:12" x14ac:dyDescent="0.25">
      <c r="A220" s="3" t="s">
        <v>4878</v>
      </c>
      <c r="B220" s="3" t="s">
        <v>4879</v>
      </c>
      <c r="C220" s="1">
        <v>20</v>
      </c>
      <c r="D220" s="1">
        <v>2236</v>
      </c>
      <c r="E220" s="1" t="s">
        <v>56</v>
      </c>
      <c r="F220" s="1" t="s">
        <v>4880</v>
      </c>
      <c r="G220" s="3"/>
      <c r="H220" s="11">
        <f>ROUND(
IF(L218="GANCHO",
   IF(I220&lt;=50,I220*1.1+4,IF(I220&lt;=120,I220*1.1+7,IF(I220&lt;=250,I220*1.1+11,I220*1.1+19))),
IF(L218="NORMAL",
   IF(I220&lt;=30,I220*1.15+2,IF(I220&lt;=80,I220*1.15+4,IF(I220&lt;=150,I220*1.15+6,I220*1.15+8))),
IF(L218="COMPLEMENTO",
   IF(I220&lt;=25,I220*1.25+1.5,IF(I220&lt;=60,I220*1.25+3,IF(I220&lt;=120,I220*1.25+4,I220*1.25+5))),
""))),2)</f>
        <v>10119.1</v>
      </c>
      <c r="I220" s="9">
        <f>($K$2+0.02)*Tabla1[[#This Row],[PRECIO $]]*1.18</f>
        <v>9181.9103999999988</v>
      </c>
      <c r="J220" s="7">
        <f>+Tabla1[[#This Row],[PRECIO EN SOLES]]-Tabla1[[#This Row],[PC]]</f>
        <v>937.18960000000152</v>
      </c>
      <c r="K220" s="15"/>
      <c r="L220" s="15" t="str">
        <f>IF(
OR(
ISNUMBER(SEARCH("BACKPACK",B222)),
ISNUMBER(SEARCH("MOCHILA",B222)),
ISNUMBER(SEARCH("FUNDA",B222)),
ISNUMBER(SEARCH("ESTUCHE",B222)),
ISNUMBER(SEARCH("BOOK COVER",B222)),
ISNUMBER(SEARCH("KEYBOARD PARA TABLET",B222)),
ISNUMBER(SEARCH("FLIP TABLET",B222)),
ISNUMBER(SEARCH("CASE FOR TABLET",B222)),
ISNUMBER(SEARCH("CABLE",B222)),
ISNUMBER(SEARCH("ADAPTADOR",B222)),
ISNUMBER(SEARCH("HUB",B222)),
ISNUMBER(SEARCH("DOCK",B222)),
ISNUMBER(SEARCH("MOUSE PAD",B222)),
ISNUMBER(SEARCH("MOUSEPAD",B222)),
ISNUMBER(SEARCH("SOPORTE",B222)),
ISNUMBER(SEARCH("STAND",B222)),
ISNUMBER(SEARCH("TRAVEL ADAPTER",B222)),
ISNUMBER(SEARCH("RJ45",B222)),
ISNUMBER(SEARCH("USB-C",B222)),
ISNUMBER(SEARCH("USB WIFI",B222)),
ISNUMBER(SEARCH("POWERBANK",B222)),
ISNUMBER(SEARCH("CARGADOR",B222)),
ISNUMBER(SEARCH("COOLER PARA NB",B222)),
ISNUMBER(SEARCH("SOPORTE PARA NB",B222)),
ISNUMBER(SEARCH("WEBCAM",B222)),
ISNUMBER(SEARCH("WEB CAM",B222)),
ISNUMBER(SEARCH("MOUSE",B222)),
ISNUMBER(SEARCH("TECLADO",B222))
),
"COMPLEMENTO",
IF(
OR(
LEFT(A222,2)="NB",
LEFT(A222,2)="PC",
LEFT(A222,2)="WS",
LEFT(A222,2)="TB",
LEFT(A222,3)="CEL",
LEFT(A222,3)="MON",
LEFT(A222,3)="PRE",
LEFT(A222,3)="PRH",
ISNUMBER(SEARCH("NOTEBOOK",B222)),
ISNUMBER(SEARCH("LAPTOP",B222)),
ISNUMBER(SEARCH("MONITOR",B222)),
ISNUMBER(SEARCH("TABLET",B222)),
ISNUMBER(SEARCH("SMARTPH",B222)),
ISNUMBER(SEARCH("IMPRESORA",B222)),
ISNUMBER(SEARCH("MULTIFUNCIONAL",B222)),
ISNUMBER(SEARCH("AIO",B222))
),
"GANCHO",
"NORMAL"
)
)</f>
        <v>GANCHO</v>
      </c>
    </row>
    <row r="221" spans="1:12" x14ac:dyDescent="0.25">
      <c r="A221" s="3" t="s">
        <v>4881</v>
      </c>
      <c r="B221" s="3" t="s">
        <v>4882</v>
      </c>
      <c r="C221" s="1">
        <v>14</v>
      </c>
      <c r="D221" s="1">
        <v>2735</v>
      </c>
      <c r="E221" s="1" t="s">
        <v>56</v>
      </c>
      <c r="F221" s="1" t="s">
        <v>4883</v>
      </c>
      <c r="G221" s="3"/>
      <c r="H221" s="11">
        <f>ROUND(
IF(L219="GANCHO",
   IF(I221&lt;=50,I221*1.1+4,IF(I221&lt;=120,I221*1.1+7,IF(I221&lt;=250,I221*1.1+11,I221*1.1+19))),
IF(L219="NORMAL",
   IF(I221&lt;=30,I221*1.15+2,IF(I221&lt;=80,I221*1.15+4,IF(I221&lt;=150,I221*1.15+6,I221*1.15+8))),
IF(L219="COMPLEMENTO",
   IF(I221&lt;=25,I221*1.25+1.5,IF(I221&lt;=60,I221*1.25+3,IF(I221&lt;=120,I221*1.25+4,I221*1.25+5))),
""))),2)</f>
        <v>12373.1</v>
      </c>
      <c r="I221" s="9">
        <f>($K$2+0.02)*Tabla1[[#This Row],[PRECIO $]]*1.18</f>
        <v>11231.003999999999</v>
      </c>
      <c r="J221" s="7">
        <f>+Tabla1[[#This Row],[PRECIO EN SOLES]]-Tabla1[[#This Row],[PC]]</f>
        <v>1142.0960000000014</v>
      </c>
      <c r="K221" s="15"/>
      <c r="L221" s="15" t="str">
        <f>IF(
OR(
ISNUMBER(SEARCH("BACKPACK",B223)),
ISNUMBER(SEARCH("MOCHILA",B223)),
ISNUMBER(SEARCH("FUNDA",B223)),
ISNUMBER(SEARCH("ESTUCHE",B223)),
ISNUMBER(SEARCH("BOOK COVER",B223)),
ISNUMBER(SEARCH("KEYBOARD PARA TABLET",B223)),
ISNUMBER(SEARCH("FLIP TABLET",B223)),
ISNUMBER(SEARCH("CASE FOR TABLET",B223)),
ISNUMBER(SEARCH("CABLE",B223)),
ISNUMBER(SEARCH("ADAPTADOR",B223)),
ISNUMBER(SEARCH("HUB",B223)),
ISNUMBER(SEARCH("DOCK",B223)),
ISNUMBER(SEARCH("MOUSE PAD",B223)),
ISNUMBER(SEARCH("MOUSEPAD",B223)),
ISNUMBER(SEARCH("SOPORTE",B223)),
ISNUMBER(SEARCH("STAND",B223)),
ISNUMBER(SEARCH("TRAVEL ADAPTER",B223)),
ISNUMBER(SEARCH("RJ45",B223)),
ISNUMBER(SEARCH("USB-C",B223)),
ISNUMBER(SEARCH("USB WIFI",B223)),
ISNUMBER(SEARCH("POWERBANK",B223)),
ISNUMBER(SEARCH("CARGADOR",B223)),
ISNUMBER(SEARCH("COOLER PARA NB",B223)),
ISNUMBER(SEARCH("SOPORTE PARA NB",B223)),
ISNUMBER(SEARCH("WEBCAM",B223)),
ISNUMBER(SEARCH("WEB CAM",B223)),
ISNUMBER(SEARCH("MOUSE",B223)),
ISNUMBER(SEARCH("TECLADO",B223))
),
"COMPLEMENTO",
IF(
OR(
LEFT(A223,2)="NB",
LEFT(A223,2)="PC",
LEFT(A223,2)="WS",
LEFT(A223,2)="TB",
LEFT(A223,3)="CEL",
LEFT(A223,3)="MON",
LEFT(A223,3)="PRE",
LEFT(A223,3)="PRH",
ISNUMBER(SEARCH("NOTEBOOK",B223)),
ISNUMBER(SEARCH("LAPTOP",B223)),
ISNUMBER(SEARCH("MONITOR",B223)),
ISNUMBER(SEARCH("TABLET",B223)),
ISNUMBER(SEARCH("SMARTPH",B223)),
ISNUMBER(SEARCH("IMPRESORA",B223)),
ISNUMBER(SEARCH("MULTIFUNCIONAL",B223)),
ISNUMBER(SEARCH("AIO",B223))
),
"GANCHO",
"NORMAL"
)
)</f>
        <v>GANCHO</v>
      </c>
    </row>
    <row r="222" spans="1:12" x14ac:dyDescent="0.25">
      <c r="A222" s="3" t="s">
        <v>4884</v>
      </c>
      <c r="B222" s="3" t="s">
        <v>4885</v>
      </c>
      <c r="C222" s="1">
        <v>6</v>
      </c>
      <c r="D222" s="1">
        <v>2535</v>
      </c>
      <c r="E222" s="1" t="s">
        <v>56</v>
      </c>
      <c r="F222" s="1" t="s">
        <v>4886</v>
      </c>
      <c r="G222" s="3"/>
      <c r="H222" s="11">
        <f>ROUND(
IF(L220="GANCHO",
   IF(I222&lt;=50,I222*1.1+4,IF(I222&lt;=120,I222*1.1+7,IF(I222&lt;=250,I222*1.1+11,I222*1.1+19))),
IF(L220="NORMAL",
   IF(I222&lt;=30,I222*1.15+2,IF(I222&lt;=80,I222*1.15+4,IF(I222&lt;=150,I222*1.15+6,I222*1.15+8))),
IF(L220="COMPLEMENTO",
   IF(I222&lt;=25,I222*1.25+1.5,IF(I222&lt;=60,I222*1.25+3,IF(I222&lt;=120,I222*1.25+4,I222*1.25+5))),
""))),2)</f>
        <v>11469.7</v>
      </c>
      <c r="I222" s="9">
        <f>($K$2+0.02)*Tabla1[[#This Row],[PRECIO $]]*1.18</f>
        <v>10409.723999999998</v>
      </c>
      <c r="J222" s="7">
        <f>+Tabla1[[#This Row],[PRECIO EN SOLES]]-Tabla1[[#This Row],[PC]]</f>
        <v>1059.9760000000024</v>
      </c>
      <c r="K222" s="15"/>
      <c r="L222" s="15" t="str">
        <f>IF(
OR(
ISNUMBER(SEARCH("BACKPACK",B224)),
ISNUMBER(SEARCH("MOCHILA",B224)),
ISNUMBER(SEARCH("FUNDA",B224)),
ISNUMBER(SEARCH("ESTUCHE",B224)),
ISNUMBER(SEARCH("BOOK COVER",B224)),
ISNUMBER(SEARCH("KEYBOARD PARA TABLET",B224)),
ISNUMBER(SEARCH("FLIP TABLET",B224)),
ISNUMBER(SEARCH("CASE FOR TABLET",B224)),
ISNUMBER(SEARCH("CABLE",B224)),
ISNUMBER(SEARCH("ADAPTADOR",B224)),
ISNUMBER(SEARCH("HUB",B224)),
ISNUMBER(SEARCH("DOCK",B224)),
ISNUMBER(SEARCH("MOUSE PAD",B224)),
ISNUMBER(SEARCH("MOUSEPAD",B224)),
ISNUMBER(SEARCH("SOPORTE",B224)),
ISNUMBER(SEARCH("STAND",B224)),
ISNUMBER(SEARCH("TRAVEL ADAPTER",B224)),
ISNUMBER(SEARCH("RJ45",B224)),
ISNUMBER(SEARCH("USB-C",B224)),
ISNUMBER(SEARCH("USB WIFI",B224)),
ISNUMBER(SEARCH("POWERBANK",B224)),
ISNUMBER(SEARCH("CARGADOR",B224)),
ISNUMBER(SEARCH("COOLER PARA NB",B224)),
ISNUMBER(SEARCH("SOPORTE PARA NB",B224)),
ISNUMBER(SEARCH("WEBCAM",B224)),
ISNUMBER(SEARCH("WEB CAM",B224)),
ISNUMBER(SEARCH("MOUSE",B224)),
ISNUMBER(SEARCH("TECLADO",B224))
),
"COMPLEMENTO",
IF(
OR(
LEFT(A224,2)="NB",
LEFT(A224,2)="PC",
LEFT(A224,2)="WS",
LEFT(A224,2)="TB",
LEFT(A224,3)="CEL",
LEFT(A224,3)="MON",
LEFT(A224,3)="PRE",
LEFT(A224,3)="PRH",
ISNUMBER(SEARCH("NOTEBOOK",B224)),
ISNUMBER(SEARCH("LAPTOP",B224)),
ISNUMBER(SEARCH("MONITOR",B224)),
ISNUMBER(SEARCH("TABLET",B224)),
ISNUMBER(SEARCH("SMARTPH",B224)),
ISNUMBER(SEARCH("IMPRESORA",B224)),
ISNUMBER(SEARCH("MULTIFUNCIONAL",B224)),
ISNUMBER(SEARCH("AIO",B224))
),
"GANCHO",
"NORMAL"
)
)</f>
        <v>GANCHO</v>
      </c>
    </row>
    <row r="223" spans="1:12" x14ac:dyDescent="0.25">
      <c r="A223" s="3" t="s">
        <v>4887</v>
      </c>
      <c r="B223" s="3" t="s">
        <v>4888</v>
      </c>
      <c r="C223" s="1">
        <v>4</v>
      </c>
      <c r="D223" s="1">
        <v>2225</v>
      </c>
      <c r="E223" s="1" t="s">
        <v>56</v>
      </c>
      <c r="F223" s="1" t="s">
        <v>4889</v>
      </c>
      <c r="G223" s="3"/>
      <c r="H223" s="11">
        <f>ROUND(
IF(L221="GANCHO",
   IF(I223&lt;=50,I223*1.1+4,IF(I223&lt;=120,I223*1.1+7,IF(I223&lt;=250,I223*1.1+11,I223*1.1+19))),
IF(L221="NORMAL",
   IF(I223&lt;=30,I223*1.15+2,IF(I223&lt;=80,I223*1.15+4,IF(I223&lt;=150,I223*1.15+6,I223*1.15+8))),
IF(L221="COMPLEMENTO",
   IF(I223&lt;=25,I223*1.25+1.5,IF(I223&lt;=60,I223*1.25+3,IF(I223&lt;=120,I223*1.25+4,I223*1.25+5))),
""))),2)</f>
        <v>10069.41</v>
      </c>
      <c r="I223" s="9">
        <f>($K$2+0.02)*Tabla1[[#This Row],[PRECIO $]]*1.18</f>
        <v>9136.74</v>
      </c>
      <c r="J223" s="7">
        <f>+Tabla1[[#This Row],[PRECIO EN SOLES]]-Tabla1[[#This Row],[PC]]</f>
        <v>932.67000000000007</v>
      </c>
      <c r="K223" s="15"/>
      <c r="L223" s="15" t="str">
        <f>IF(
OR(
ISNUMBER(SEARCH("BACKPACK",B225)),
ISNUMBER(SEARCH("MOCHILA",B225)),
ISNUMBER(SEARCH("FUNDA",B225)),
ISNUMBER(SEARCH("ESTUCHE",B225)),
ISNUMBER(SEARCH("BOOK COVER",B225)),
ISNUMBER(SEARCH("KEYBOARD PARA TABLET",B225)),
ISNUMBER(SEARCH("FLIP TABLET",B225)),
ISNUMBER(SEARCH("CASE FOR TABLET",B225)),
ISNUMBER(SEARCH("CABLE",B225)),
ISNUMBER(SEARCH("ADAPTADOR",B225)),
ISNUMBER(SEARCH("HUB",B225)),
ISNUMBER(SEARCH("DOCK",B225)),
ISNUMBER(SEARCH("MOUSE PAD",B225)),
ISNUMBER(SEARCH("MOUSEPAD",B225)),
ISNUMBER(SEARCH("SOPORTE",B225)),
ISNUMBER(SEARCH("STAND",B225)),
ISNUMBER(SEARCH("TRAVEL ADAPTER",B225)),
ISNUMBER(SEARCH("RJ45",B225)),
ISNUMBER(SEARCH("USB-C",B225)),
ISNUMBER(SEARCH("USB WIFI",B225)),
ISNUMBER(SEARCH("POWERBANK",B225)),
ISNUMBER(SEARCH("CARGADOR",B225)),
ISNUMBER(SEARCH("COOLER PARA NB",B225)),
ISNUMBER(SEARCH("SOPORTE PARA NB",B225)),
ISNUMBER(SEARCH("WEBCAM",B225)),
ISNUMBER(SEARCH("WEB CAM",B225)),
ISNUMBER(SEARCH("MOUSE",B225)),
ISNUMBER(SEARCH("TECLADO",B225))
),
"COMPLEMENTO",
IF(
OR(
LEFT(A225,2)="NB",
LEFT(A225,2)="PC",
LEFT(A225,2)="WS",
LEFT(A225,2)="TB",
LEFT(A225,3)="CEL",
LEFT(A225,3)="MON",
LEFT(A225,3)="PRE",
LEFT(A225,3)="PRH",
ISNUMBER(SEARCH("NOTEBOOK",B225)),
ISNUMBER(SEARCH("LAPTOP",B225)),
ISNUMBER(SEARCH("MONITOR",B225)),
ISNUMBER(SEARCH("TABLET",B225)),
ISNUMBER(SEARCH("SMARTPH",B225)),
ISNUMBER(SEARCH("IMPRESORA",B225)),
ISNUMBER(SEARCH("MULTIFUNCIONAL",B225)),
ISNUMBER(SEARCH("AIO",B225))
),
"GANCHO",
"NORMAL"
)
)</f>
        <v>GANCHO</v>
      </c>
    </row>
    <row r="224" spans="1:12" x14ac:dyDescent="0.25">
      <c r="A224" s="3" t="s">
        <v>4890</v>
      </c>
      <c r="B224" s="3" t="s">
        <v>4891</v>
      </c>
      <c r="C224" s="1">
        <v>9</v>
      </c>
      <c r="D224" s="1">
        <v>2695</v>
      </c>
      <c r="E224" s="1" t="s">
        <v>56</v>
      </c>
      <c r="F224" s="1" t="s">
        <v>4892</v>
      </c>
      <c r="G224" s="3"/>
      <c r="H224" s="11">
        <f>ROUND(
IF(L222="GANCHO",
   IF(I224&lt;=50,I224*1.1+4,IF(I224&lt;=120,I224*1.1+7,IF(I224&lt;=250,I224*1.1+11,I224*1.1+19))),
IF(L222="NORMAL",
   IF(I224&lt;=30,I224*1.15+2,IF(I224&lt;=80,I224*1.15+4,IF(I224&lt;=150,I224*1.15+6,I224*1.15+8))),
IF(L222="COMPLEMENTO",
   IF(I224&lt;=25,I224*1.25+1.5,IF(I224&lt;=60,I224*1.25+3,IF(I224&lt;=120,I224*1.25+4,I224*1.25+5))),
""))),2)</f>
        <v>12192.42</v>
      </c>
      <c r="I224" s="9">
        <f>($K$2+0.02)*Tabla1[[#This Row],[PRECIO $]]*1.18</f>
        <v>11066.748</v>
      </c>
      <c r="J224" s="7">
        <f>+Tabla1[[#This Row],[PRECIO EN SOLES]]-Tabla1[[#This Row],[PC]]</f>
        <v>1125.6720000000005</v>
      </c>
      <c r="K224" s="15"/>
      <c r="L224" s="15" t="str">
        <f>IF(
OR(
ISNUMBER(SEARCH("BACKPACK",B226)),
ISNUMBER(SEARCH("MOCHILA",B226)),
ISNUMBER(SEARCH("FUNDA",B226)),
ISNUMBER(SEARCH("ESTUCHE",B226)),
ISNUMBER(SEARCH("BOOK COVER",B226)),
ISNUMBER(SEARCH("KEYBOARD PARA TABLET",B226)),
ISNUMBER(SEARCH("FLIP TABLET",B226)),
ISNUMBER(SEARCH("CASE FOR TABLET",B226)),
ISNUMBER(SEARCH("CABLE",B226)),
ISNUMBER(SEARCH("ADAPTADOR",B226)),
ISNUMBER(SEARCH("HUB",B226)),
ISNUMBER(SEARCH("DOCK",B226)),
ISNUMBER(SEARCH("MOUSE PAD",B226)),
ISNUMBER(SEARCH("MOUSEPAD",B226)),
ISNUMBER(SEARCH("SOPORTE",B226)),
ISNUMBER(SEARCH("STAND",B226)),
ISNUMBER(SEARCH("TRAVEL ADAPTER",B226)),
ISNUMBER(SEARCH("RJ45",B226)),
ISNUMBER(SEARCH("USB-C",B226)),
ISNUMBER(SEARCH("USB WIFI",B226)),
ISNUMBER(SEARCH("POWERBANK",B226)),
ISNUMBER(SEARCH("CARGADOR",B226)),
ISNUMBER(SEARCH("COOLER PARA NB",B226)),
ISNUMBER(SEARCH("SOPORTE PARA NB",B226)),
ISNUMBER(SEARCH("WEBCAM",B226)),
ISNUMBER(SEARCH("WEB CAM",B226)),
ISNUMBER(SEARCH("MOUSE",B226)),
ISNUMBER(SEARCH("TECLADO",B226))
),
"COMPLEMENTO",
IF(
OR(
LEFT(A226,2)="NB",
LEFT(A226,2)="PC",
LEFT(A226,2)="WS",
LEFT(A226,2)="TB",
LEFT(A226,3)="CEL",
LEFT(A226,3)="MON",
LEFT(A226,3)="PRE",
LEFT(A226,3)="PRH",
ISNUMBER(SEARCH("NOTEBOOK",B226)),
ISNUMBER(SEARCH("LAPTOP",B226)),
ISNUMBER(SEARCH("MONITOR",B226)),
ISNUMBER(SEARCH("TABLET",B226)),
ISNUMBER(SEARCH("SMARTPH",B226)),
ISNUMBER(SEARCH("IMPRESORA",B226)),
ISNUMBER(SEARCH("MULTIFUNCIONAL",B226)),
ISNUMBER(SEARCH("AIO",B226))
),
"GANCHO",
"NORMAL"
)
)</f>
        <v>GANCHO</v>
      </c>
    </row>
    <row r="225" spans="1:12" x14ac:dyDescent="0.25">
      <c r="A225" s="3" t="s">
        <v>5244</v>
      </c>
      <c r="B225" s="3" t="s">
        <v>5245</v>
      </c>
      <c r="C225" s="1">
        <v>20</v>
      </c>
      <c r="D225" s="1">
        <v>3125</v>
      </c>
      <c r="E225" s="1" t="s">
        <v>837</v>
      </c>
      <c r="F225" s="1" t="s">
        <v>5246</v>
      </c>
      <c r="G225" s="3" t="s">
        <v>5247</v>
      </c>
      <c r="H225" s="11">
        <f>ROUND(
IF(L223="GANCHO",
   IF(I225&lt;=50,I225*1.1+4,IF(I225&lt;=120,I225*1.1+7,IF(I225&lt;=250,I225*1.1+11,I225*1.1+19))),
IF(L223="NORMAL",
   IF(I225&lt;=30,I225*1.15+2,IF(I225&lt;=80,I225*1.15+4,IF(I225&lt;=150,I225*1.15+6,I225*1.15+8))),
IF(L223="COMPLEMENTO",
   IF(I225&lt;=25,I225*1.25+1.5,IF(I225&lt;=60,I225*1.25+3,IF(I225&lt;=120,I225*1.25+4,I225*1.25+5))),
""))),2)</f>
        <v>14134.75</v>
      </c>
      <c r="I225" s="9">
        <f>($K$2+0.02)*Tabla1[[#This Row],[PRECIO $]]*1.18</f>
        <v>12832.5</v>
      </c>
      <c r="J225" s="7">
        <f>+Tabla1[[#This Row],[PRECIO EN SOLES]]-Tabla1[[#This Row],[PC]]</f>
        <v>1302.25</v>
      </c>
      <c r="K225" s="15"/>
      <c r="L225" s="15" t="str">
        <f>IF(
OR(
ISNUMBER(SEARCH("BACKPACK",B227)),
ISNUMBER(SEARCH("MOCHILA",B227)),
ISNUMBER(SEARCH("FUNDA",B227)),
ISNUMBER(SEARCH("ESTUCHE",B227)),
ISNUMBER(SEARCH("BOOK COVER",B227)),
ISNUMBER(SEARCH("KEYBOARD PARA TABLET",B227)),
ISNUMBER(SEARCH("FLIP TABLET",B227)),
ISNUMBER(SEARCH("CASE FOR TABLET",B227)),
ISNUMBER(SEARCH("CABLE",B227)),
ISNUMBER(SEARCH("ADAPTADOR",B227)),
ISNUMBER(SEARCH("HUB",B227)),
ISNUMBER(SEARCH("DOCK",B227)),
ISNUMBER(SEARCH("MOUSE PAD",B227)),
ISNUMBER(SEARCH("MOUSEPAD",B227)),
ISNUMBER(SEARCH("SOPORTE",B227)),
ISNUMBER(SEARCH("STAND",B227)),
ISNUMBER(SEARCH("TRAVEL ADAPTER",B227)),
ISNUMBER(SEARCH("RJ45",B227)),
ISNUMBER(SEARCH("USB-C",B227)),
ISNUMBER(SEARCH("USB WIFI",B227)),
ISNUMBER(SEARCH("POWERBANK",B227)),
ISNUMBER(SEARCH("CARGADOR",B227)),
ISNUMBER(SEARCH("COOLER PARA NB",B227)),
ISNUMBER(SEARCH("SOPORTE PARA NB",B227)),
ISNUMBER(SEARCH("WEBCAM",B227)),
ISNUMBER(SEARCH("WEB CAM",B227)),
ISNUMBER(SEARCH("MOUSE",B227)),
ISNUMBER(SEARCH("TECLADO",B227))
),
"COMPLEMENTO",
IF(
OR(
LEFT(A227,2)="NB",
LEFT(A227,2)="PC",
LEFT(A227,2)="WS",
LEFT(A227,2)="TB",
LEFT(A227,3)="CEL",
LEFT(A227,3)="MON",
LEFT(A227,3)="PRE",
LEFT(A227,3)="PRH",
ISNUMBER(SEARCH("NOTEBOOK",B227)),
ISNUMBER(SEARCH("LAPTOP",B227)),
ISNUMBER(SEARCH("MONITOR",B227)),
ISNUMBER(SEARCH("TABLET",B227)),
ISNUMBER(SEARCH("SMARTPH",B227)),
ISNUMBER(SEARCH("IMPRESORA",B227)),
ISNUMBER(SEARCH("MULTIFUNCIONAL",B227)),
ISNUMBER(SEARCH("AIO",B227))
),
"GANCHO",
"NORMAL"
)
)</f>
        <v>GANCHO</v>
      </c>
    </row>
    <row r="226" spans="1:12" x14ac:dyDescent="0.25">
      <c r="A226" s="3" t="s">
        <v>4824</v>
      </c>
      <c r="B226" s="3" t="s">
        <v>4825</v>
      </c>
      <c r="C226" s="1">
        <v>17</v>
      </c>
      <c r="D226" s="1">
        <v>3232</v>
      </c>
      <c r="E226" s="1" t="s">
        <v>837</v>
      </c>
      <c r="F226" s="1" t="s">
        <v>4826</v>
      </c>
      <c r="G226" s="3" t="s">
        <v>4893</v>
      </c>
      <c r="H226" s="11">
        <f>ROUND(
IF(L224="GANCHO",
   IF(I226&lt;=50,I226*1.1+4,IF(I226&lt;=120,I226*1.1+7,IF(I226&lt;=250,I226*1.1+11,I226*1.1+19))),
IF(L224="NORMAL",
   IF(I226&lt;=30,I226*1.15+2,IF(I226&lt;=80,I226*1.15+4,IF(I226&lt;=150,I226*1.15+6,I226*1.15+8))),
IF(L224="COMPLEMENTO",
   IF(I226&lt;=25,I226*1.25+1.5,IF(I226&lt;=60,I226*1.25+3,IF(I226&lt;=120,I226*1.25+4,I226*1.25+5))),
""))),2)</f>
        <v>14618.07</v>
      </c>
      <c r="I226" s="9">
        <f>($K$2+0.02)*Tabla1[[#This Row],[PRECIO $]]*1.18</f>
        <v>13271.8848</v>
      </c>
      <c r="J226" s="7">
        <f>+Tabla1[[#This Row],[PRECIO EN SOLES]]-Tabla1[[#This Row],[PC]]</f>
        <v>1346.1851999999999</v>
      </c>
      <c r="K226" s="15"/>
      <c r="L226" s="15" t="str">
        <f>IF(
OR(
ISNUMBER(SEARCH("BACKPACK",B228)),
ISNUMBER(SEARCH("MOCHILA",B228)),
ISNUMBER(SEARCH("FUNDA",B228)),
ISNUMBER(SEARCH("ESTUCHE",B228)),
ISNUMBER(SEARCH("BOOK COVER",B228)),
ISNUMBER(SEARCH("KEYBOARD PARA TABLET",B228)),
ISNUMBER(SEARCH("FLIP TABLET",B228)),
ISNUMBER(SEARCH("CASE FOR TABLET",B228)),
ISNUMBER(SEARCH("CABLE",B228)),
ISNUMBER(SEARCH("ADAPTADOR",B228)),
ISNUMBER(SEARCH("HUB",B228)),
ISNUMBER(SEARCH("DOCK",B228)),
ISNUMBER(SEARCH("MOUSE PAD",B228)),
ISNUMBER(SEARCH("MOUSEPAD",B228)),
ISNUMBER(SEARCH("SOPORTE",B228)),
ISNUMBER(SEARCH("STAND",B228)),
ISNUMBER(SEARCH("TRAVEL ADAPTER",B228)),
ISNUMBER(SEARCH("RJ45",B228)),
ISNUMBER(SEARCH("USB-C",B228)),
ISNUMBER(SEARCH("USB WIFI",B228)),
ISNUMBER(SEARCH("POWERBANK",B228)),
ISNUMBER(SEARCH("CARGADOR",B228)),
ISNUMBER(SEARCH("COOLER PARA NB",B228)),
ISNUMBER(SEARCH("SOPORTE PARA NB",B228)),
ISNUMBER(SEARCH("WEBCAM",B228)),
ISNUMBER(SEARCH("WEB CAM",B228)),
ISNUMBER(SEARCH("MOUSE",B228)),
ISNUMBER(SEARCH("TECLADO",B228))
),
"COMPLEMENTO",
IF(
OR(
LEFT(A228,2)="NB",
LEFT(A228,2)="PC",
LEFT(A228,2)="WS",
LEFT(A228,2)="TB",
LEFT(A228,3)="CEL",
LEFT(A228,3)="MON",
LEFT(A228,3)="PRE",
LEFT(A228,3)="PRH",
ISNUMBER(SEARCH("NOTEBOOK",B228)),
ISNUMBER(SEARCH("LAPTOP",B228)),
ISNUMBER(SEARCH("MONITOR",B228)),
ISNUMBER(SEARCH("TABLET",B228)),
ISNUMBER(SEARCH("SMARTPH",B228)),
ISNUMBER(SEARCH("IMPRESORA",B228)),
ISNUMBER(SEARCH("MULTIFUNCIONAL",B228)),
ISNUMBER(SEARCH("AIO",B228))
),
"GANCHO",
"NORMAL"
)
)</f>
        <v>GANCHO</v>
      </c>
    </row>
    <row r="227" spans="1:12" x14ac:dyDescent="0.25">
      <c r="A227" s="3" t="s">
        <v>5248</v>
      </c>
      <c r="B227" s="3" t="s">
        <v>5249</v>
      </c>
      <c r="C227" s="1">
        <v>20</v>
      </c>
      <c r="D227" s="1">
        <v>2645</v>
      </c>
      <c r="E227" s="1" t="s">
        <v>837</v>
      </c>
      <c r="F227" s="1" t="s">
        <v>5250</v>
      </c>
      <c r="G227" s="3" t="s">
        <v>5251</v>
      </c>
      <c r="H227" s="11">
        <f>ROUND(
IF(L225="GANCHO",
   IF(I227&lt;=50,I227*1.1+4,IF(I227&lt;=120,I227*1.1+7,IF(I227&lt;=250,I227*1.1+11,I227*1.1+19))),
IF(L225="NORMAL",
   IF(I227&lt;=30,I227*1.15+2,IF(I227&lt;=80,I227*1.15+4,IF(I227&lt;=150,I227*1.15+6,I227*1.15+8))),
IF(L225="COMPLEMENTO",
   IF(I227&lt;=25,I227*1.25+1.5,IF(I227&lt;=60,I227*1.25+3,IF(I227&lt;=120,I227*1.25+4,I227*1.25+5))),
""))),2)</f>
        <v>11966.57</v>
      </c>
      <c r="I227" s="9">
        <f>($K$2+0.02)*Tabla1[[#This Row],[PRECIO $]]*1.18</f>
        <v>10861.428</v>
      </c>
      <c r="J227" s="7">
        <f>+Tabla1[[#This Row],[PRECIO EN SOLES]]-Tabla1[[#This Row],[PC]]</f>
        <v>1105.1419999999998</v>
      </c>
      <c r="K227" s="15"/>
      <c r="L227" s="15" t="str">
        <f>IF(
OR(
ISNUMBER(SEARCH("BACKPACK",B229)),
ISNUMBER(SEARCH("MOCHILA",B229)),
ISNUMBER(SEARCH("FUNDA",B229)),
ISNUMBER(SEARCH("ESTUCHE",B229)),
ISNUMBER(SEARCH("BOOK COVER",B229)),
ISNUMBER(SEARCH("KEYBOARD PARA TABLET",B229)),
ISNUMBER(SEARCH("FLIP TABLET",B229)),
ISNUMBER(SEARCH("CASE FOR TABLET",B229)),
ISNUMBER(SEARCH("CABLE",B229)),
ISNUMBER(SEARCH("ADAPTADOR",B229)),
ISNUMBER(SEARCH("HUB",B229)),
ISNUMBER(SEARCH("DOCK",B229)),
ISNUMBER(SEARCH("MOUSE PAD",B229)),
ISNUMBER(SEARCH("MOUSEPAD",B229)),
ISNUMBER(SEARCH("SOPORTE",B229)),
ISNUMBER(SEARCH("STAND",B229)),
ISNUMBER(SEARCH("TRAVEL ADAPTER",B229)),
ISNUMBER(SEARCH("RJ45",B229)),
ISNUMBER(SEARCH("USB-C",B229)),
ISNUMBER(SEARCH("USB WIFI",B229)),
ISNUMBER(SEARCH("POWERBANK",B229)),
ISNUMBER(SEARCH("CARGADOR",B229)),
ISNUMBER(SEARCH("COOLER PARA NB",B229)),
ISNUMBER(SEARCH("SOPORTE PARA NB",B229)),
ISNUMBER(SEARCH("WEBCAM",B229)),
ISNUMBER(SEARCH("WEB CAM",B229)),
ISNUMBER(SEARCH("MOUSE",B229)),
ISNUMBER(SEARCH("TECLADO",B229))
),
"COMPLEMENTO",
IF(
OR(
LEFT(A229,2)="NB",
LEFT(A229,2)="PC",
LEFT(A229,2)="WS",
LEFT(A229,2)="TB",
LEFT(A229,3)="CEL",
LEFT(A229,3)="MON",
LEFT(A229,3)="PRE",
LEFT(A229,3)="PRH",
ISNUMBER(SEARCH("NOTEBOOK",B229)),
ISNUMBER(SEARCH("LAPTOP",B229)),
ISNUMBER(SEARCH("MONITOR",B229)),
ISNUMBER(SEARCH("TABLET",B229)),
ISNUMBER(SEARCH("SMARTPH",B229)),
ISNUMBER(SEARCH("IMPRESORA",B229)),
ISNUMBER(SEARCH("MULTIFUNCIONAL",B229)),
ISNUMBER(SEARCH("AIO",B229))
),
"GANCHO",
"NORMAL"
)
)</f>
        <v>GANCHO</v>
      </c>
    </row>
    <row r="228" spans="1:12" x14ac:dyDescent="0.25">
      <c r="A228" s="3" t="s">
        <v>5252</v>
      </c>
      <c r="B228" s="3" t="s">
        <v>5253</v>
      </c>
      <c r="C228" s="1">
        <v>20</v>
      </c>
      <c r="D228" s="1">
        <v>2975</v>
      </c>
      <c r="E228" s="1" t="s">
        <v>837</v>
      </c>
      <c r="F228" s="1" t="s">
        <v>5254</v>
      </c>
      <c r="G228" s="3" t="s">
        <v>5251</v>
      </c>
      <c r="H228" s="11">
        <f>ROUND(
IF(L226="GANCHO",
   IF(I228&lt;=50,I228*1.1+4,IF(I228&lt;=120,I228*1.1+7,IF(I228&lt;=250,I228*1.1+11,I228*1.1+19))),
IF(L226="NORMAL",
   IF(I228&lt;=30,I228*1.15+2,IF(I228&lt;=80,I228*1.15+4,IF(I228&lt;=150,I228*1.15+6,I228*1.15+8))),
IF(L226="COMPLEMENTO",
   IF(I228&lt;=25,I228*1.25+1.5,IF(I228&lt;=60,I228*1.25+3,IF(I228&lt;=120,I228*1.25+4,I228*1.25+5))),
""))),2)</f>
        <v>13457.19</v>
      </c>
      <c r="I228" s="9">
        <f>($K$2+0.02)*Tabla1[[#This Row],[PRECIO $]]*1.18</f>
        <v>12216.539999999999</v>
      </c>
      <c r="J228" s="7">
        <f>+Tabla1[[#This Row],[PRECIO EN SOLES]]-Tabla1[[#This Row],[PC]]</f>
        <v>1240.6500000000015</v>
      </c>
      <c r="K228" s="15"/>
      <c r="L228" s="15" t="str">
        <f>IF(
OR(
ISNUMBER(SEARCH("BACKPACK",B230)),
ISNUMBER(SEARCH("MOCHILA",B230)),
ISNUMBER(SEARCH("FUNDA",B230)),
ISNUMBER(SEARCH("ESTUCHE",B230)),
ISNUMBER(SEARCH("BOOK COVER",B230)),
ISNUMBER(SEARCH("KEYBOARD PARA TABLET",B230)),
ISNUMBER(SEARCH("FLIP TABLET",B230)),
ISNUMBER(SEARCH("CASE FOR TABLET",B230)),
ISNUMBER(SEARCH("CABLE",B230)),
ISNUMBER(SEARCH("ADAPTADOR",B230)),
ISNUMBER(SEARCH("HUB",B230)),
ISNUMBER(SEARCH("DOCK",B230)),
ISNUMBER(SEARCH("MOUSE PAD",B230)),
ISNUMBER(SEARCH("MOUSEPAD",B230)),
ISNUMBER(SEARCH("SOPORTE",B230)),
ISNUMBER(SEARCH("STAND",B230)),
ISNUMBER(SEARCH("TRAVEL ADAPTER",B230)),
ISNUMBER(SEARCH("RJ45",B230)),
ISNUMBER(SEARCH("USB-C",B230)),
ISNUMBER(SEARCH("USB WIFI",B230)),
ISNUMBER(SEARCH("POWERBANK",B230)),
ISNUMBER(SEARCH("CARGADOR",B230)),
ISNUMBER(SEARCH("COOLER PARA NB",B230)),
ISNUMBER(SEARCH("SOPORTE PARA NB",B230)),
ISNUMBER(SEARCH("WEBCAM",B230)),
ISNUMBER(SEARCH("WEB CAM",B230)),
ISNUMBER(SEARCH("MOUSE",B230)),
ISNUMBER(SEARCH("TECLADO",B230))
),
"COMPLEMENTO",
IF(
OR(
LEFT(A230,2)="NB",
LEFT(A230,2)="PC",
LEFT(A230,2)="WS",
LEFT(A230,2)="TB",
LEFT(A230,3)="CEL",
LEFT(A230,3)="MON",
LEFT(A230,3)="PRE",
LEFT(A230,3)="PRH",
ISNUMBER(SEARCH("NOTEBOOK",B230)),
ISNUMBER(SEARCH("LAPTOP",B230)),
ISNUMBER(SEARCH("MONITOR",B230)),
ISNUMBER(SEARCH("TABLET",B230)),
ISNUMBER(SEARCH("SMARTPH",B230)),
ISNUMBER(SEARCH("IMPRESORA",B230)),
ISNUMBER(SEARCH("MULTIFUNCIONAL",B230)),
ISNUMBER(SEARCH("AIO",B230))
),
"GANCHO",
"NORMAL"
)
)</f>
        <v>GANCHO</v>
      </c>
    </row>
    <row r="229" spans="1:12" x14ac:dyDescent="0.25">
      <c r="A229" s="3" t="s">
        <v>4827</v>
      </c>
      <c r="B229" s="3" t="s">
        <v>4828</v>
      </c>
      <c r="C229" s="1">
        <v>20</v>
      </c>
      <c r="D229" s="1">
        <v>3075</v>
      </c>
      <c r="E229" s="1" t="s">
        <v>837</v>
      </c>
      <c r="F229" s="1" t="s">
        <v>4829</v>
      </c>
      <c r="G229" s="3" t="s">
        <v>4830</v>
      </c>
      <c r="H229" s="11">
        <f>ROUND(
IF(L227="GANCHO",
   IF(I229&lt;=50,I229*1.1+4,IF(I229&lt;=120,I229*1.1+7,IF(I229&lt;=250,I229*1.1+11,I229*1.1+19))),
IF(L227="NORMAL",
   IF(I229&lt;=30,I229*1.15+2,IF(I229&lt;=80,I229*1.15+4,IF(I229&lt;=150,I229*1.15+6,I229*1.15+8))),
IF(L227="COMPLEMENTO",
   IF(I229&lt;=25,I229*1.25+1.5,IF(I229&lt;=60,I229*1.25+3,IF(I229&lt;=120,I229*1.25+4,I229*1.25+5))),
""))),2)</f>
        <v>13908.9</v>
      </c>
      <c r="I229" s="9">
        <f>($K$2+0.02)*Tabla1[[#This Row],[PRECIO $]]*1.18</f>
        <v>12627.179999999998</v>
      </c>
      <c r="J229" s="7">
        <f>+Tabla1[[#This Row],[PRECIO EN SOLES]]-Tabla1[[#This Row],[PC]]</f>
        <v>1281.7200000000012</v>
      </c>
      <c r="K229" s="15"/>
      <c r="L229" s="15" t="str">
        <f>IF(
OR(
ISNUMBER(SEARCH("BACKPACK",B231)),
ISNUMBER(SEARCH("MOCHILA",B231)),
ISNUMBER(SEARCH("FUNDA",B231)),
ISNUMBER(SEARCH("ESTUCHE",B231)),
ISNUMBER(SEARCH("BOOK COVER",B231)),
ISNUMBER(SEARCH("KEYBOARD PARA TABLET",B231)),
ISNUMBER(SEARCH("FLIP TABLET",B231)),
ISNUMBER(SEARCH("CASE FOR TABLET",B231)),
ISNUMBER(SEARCH("CABLE",B231)),
ISNUMBER(SEARCH("ADAPTADOR",B231)),
ISNUMBER(SEARCH("HUB",B231)),
ISNUMBER(SEARCH("DOCK",B231)),
ISNUMBER(SEARCH("MOUSE PAD",B231)),
ISNUMBER(SEARCH("MOUSEPAD",B231)),
ISNUMBER(SEARCH("SOPORTE",B231)),
ISNUMBER(SEARCH("STAND",B231)),
ISNUMBER(SEARCH("TRAVEL ADAPTER",B231)),
ISNUMBER(SEARCH("RJ45",B231)),
ISNUMBER(SEARCH("USB-C",B231)),
ISNUMBER(SEARCH("USB WIFI",B231)),
ISNUMBER(SEARCH("POWERBANK",B231)),
ISNUMBER(SEARCH("CARGADOR",B231)),
ISNUMBER(SEARCH("COOLER PARA NB",B231)),
ISNUMBER(SEARCH("SOPORTE PARA NB",B231)),
ISNUMBER(SEARCH("WEBCAM",B231)),
ISNUMBER(SEARCH("WEB CAM",B231)),
ISNUMBER(SEARCH("MOUSE",B231)),
ISNUMBER(SEARCH("TECLADO",B231))
),
"COMPLEMENTO",
IF(
OR(
LEFT(A231,2)="NB",
LEFT(A231,2)="PC",
LEFT(A231,2)="WS",
LEFT(A231,2)="TB",
LEFT(A231,3)="CEL",
LEFT(A231,3)="MON",
LEFT(A231,3)="PRE",
LEFT(A231,3)="PRH",
ISNUMBER(SEARCH("NOTEBOOK",B231)),
ISNUMBER(SEARCH("LAPTOP",B231)),
ISNUMBER(SEARCH("MONITOR",B231)),
ISNUMBER(SEARCH("TABLET",B231)),
ISNUMBER(SEARCH("SMARTPH",B231)),
ISNUMBER(SEARCH("IMPRESORA",B231)),
ISNUMBER(SEARCH("MULTIFUNCIONAL",B231)),
ISNUMBER(SEARCH("AIO",B231))
),
"GANCHO",
"NORMAL"
)
)</f>
        <v>NORMAL</v>
      </c>
    </row>
    <row r="230" spans="1:12" x14ac:dyDescent="0.25">
      <c r="A230" s="3" t="s">
        <v>986</v>
      </c>
      <c r="B230" s="3" t="s">
        <v>987</v>
      </c>
      <c r="C230" s="1">
        <v>20</v>
      </c>
      <c r="D230" s="1">
        <v>1865</v>
      </c>
      <c r="E230" s="1" t="s">
        <v>837</v>
      </c>
      <c r="F230" s="1" t="s">
        <v>3183</v>
      </c>
      <c r="G230" s="3" t="s">
        <v>4894</v>
      </c>
      <c r="H230" s="11">
        <f>ROUND(
IF(L228="GANCHO",
   IF(I230&lt;=50,I230*1.1+4,IF(I230&lt;=120,I230*1.1+7,IF(I230&lt;=250,I230*1.1+11,I230*1.1+19))),
IF(L228="NORMAL",
   IF(I230&lt;=30,I230*1.15+2,IF(I230&lt;=80,I230*1.15+4,IF(I230&lt;=150,I230*1.15+6,I230*1.15+8))),
IF(L228="COMPLEMENTO",
   IF(I230&lt;=25,I230*1.25+1.5,IF(I230&lt;=60,I230*1.25+3,IF(I230&lt;=120,I230*1.25+4,I230*1.25+5))),
""))),2)</f>
        <v>8443.2800000000007</v>
      </c>
      <c r="I230" s="9">
        <f>($K$2+0.02)*Tabla1[[#This Row],[PRECIO $]]*1.18</f>
        <v>7658.4359999999997</v>
      </c>
      <c r="J230" s="7">
        <f>+Tabla1[[#This Row],[PRECIO EN SOLES]]-Tabla1[[#This Row],[PC]]</f>
        <v>784.84400000000096</v>
      </c>
      <c r="K230" s="15"/>
      <c r="L230" s="15" t="str">
        <f>IF(
OR(
ISNUMBER(SEARCH("BACKPACK",B232)),
ISNUMBER(SEARCH("MOCHILA",B232)),
ISNUMBER(SEARCH("FUNDA",B232)),
ISNUMBER(SEARCH("ESTUCHE",B232)),
ISNUMBER(SEARCH("BOOK COVER",B232)),
ISNUMBER(SEARCH("KEYBOARD PARA TABLET",B232)),
ISNUMBER(SEARCH("FLIP TABLET",B232)),
ISNUMBER(SEARCH("CASE FOR TABLET",B232)),
ISNUMBER(SEARCH("CABLE",B232)),
ISNUMBER(SEARCH("ADAPTADOR",B232)),
ISNUMBER(SEARCH("HUB",B232)),
ISNUMBER(SEARCH("DOCK",B232)),
ISNUMBER(SEARCH("MOUSE PAD",B232)),
ISNUMBER(SEARCH("MOUSEPAD",B232)),
ISNUMBER(SEARCH("SOPORTE",B232)),
ISNUMBER(SEARCH("STAND",B232)),
ISNUMBER(SEARCH("TRAVEL ADAPTER",B232)),
ISNUMBER(SEARCH("RJ45",B232)),
ISNUMBER(SEARCH("USB-C",B232)),
ISNUMBER(SEARCH("USB WIFI",B232)),
ISNUMBER(SEARCH("POWERBANK",B232)),
ISNUMBER(SEARCH("CARGADOR",B232)),
ISNUMBER(SEARCH("COOLER PARA NB",B232)),
ISNUMBER(SEARCH("SOPORTE PARA NB",B232)),
ISNUMBER(SEARCH("WEBCAM",B232)),
ISNUMBER(SEARCH("WEB CAM",B232)),
ISNUMBER(SEARCH("MOUSE",B232)),
ISNUMBER(SEARCH("TECLADO",B232))
),
"COMPLEMENTO",
IF(
OR(
LEFT(A232,2)="NB",
LEFT(A232,2)="PC",
LEFT(A232,2)="WS",
LEFT(A232,2)="TB",
LEFT(A232,3)="CEL",
LEFT(A232,3)="MON",
LEFT(A232,3)="PRE",
LEFT(A232,3)="PRH",
ISNUMBER(SEARCH("NOTEBOOK",B232)),
ISNUMBER(SEARCH("LAPTOP",B232)),
ISNUMBER(SEARCH("MONITOR",B232)),
ISNUMBER(SEARCH("TABLET",B232)),
ISNUMBER(SEARCH("SMARTPH",B232)),
ISNUMBER(SEARCH("IMPRESORA",B232)),
ISNUMBER(SEARCH("MULTIFUNCIONAL",B232)),
ISNUMBER(SEARCH("AIO",B232))
),
"GANCHO",
"NORMAL"
)
)</f>
        <v>GANCHO</v>
      </c>
    </row>
    <row r="231" spans="1:12" x14ac:dyDescent="0.25">
      <c r="A231" s="3" t="s">
        <v>1774</v>
      </c>
      <c r="B231" s="3" t="s">
        <v>1775</v>
      </c>
      <c r="C231" s="1">
        <v>20</v>
      </c>
      <c r="D231" s="1">
        <v>82</v>
      </c>
      <c r="E231" s="1" t="s">
        <v>121</v>
      </c>
      <c r="F231" s="1" t="s">
        <v>3668</v>
      </c>
      <c r="G231" s="3" t="s">
        <v>2894</v>
      </c>
      <c r="H231" s="11">
        <f>ROUND(
IF(L229="GANCHO",
   IF(I231&lt;=50,I231*1.1+4,IF(I231&lt;=120,I231*1.1+7,IF(I231&lt;=250,I231*1.1+11,I231*1.1+19))),
IF(L229="NORMAL",
   IF(I231&lt;=30,I231*1.15+2,IF(I231&lt;=80,I231*1.15+4,IF(I231&lt;=150,I231*1.15+6,I231*1.15+8))),
IF(L229="COMPLEMENTO",
   IF(I231&lt;=25,I231*1.25+1.5,IF(I231&lt;=60,I231*1.25+3,IF(I231&lt;=120,I231*1.25+4,I231*1.25+5))),
""))),2)</f>
        <v>395.23</v>
      </c>
      <c r="I231" s="9">
        <f>($K$2+0.02)*Tabla1[[#This Row],[PRECIO $]]*1.18</f>
        <v>336.72480000000002</v>
      </c>
      <c r="J231" s="7">
        <f>+Tabla1[[#This Row],[PRECIO EN SOLES]]-Tabla1[[#This Row],[PC]]</f>
        <v>58.505200000000002</v>
      </c>
      <c r="K231" s="15"/>
      <c r="L231" s="15" t="str">
        <f>IF(
OR(
ISNUMBER(SEARCH("BACKPACK",B233)),
ISNUMBER(SEARCH("MOCHILA",B233)),
ISNUMBER(SEARCH("FUNDA",B233)),
ISNUMBER(SEARCH("ESTUCHE",B233)),
ISNUMBER(SEARCH("BOOK COVER",B233)),
ISNUMBER(SEARCH("KEYBOARD PARA TABLET",B233)),
ISNUMBER(SEARCH("FLIP TABLET",B233)),
ISNUMBER(SEARCH("CASE FOR TABLET",B233)),
ISNUMBER(SEARCH("CABLE",B233)),
ISNUMBER(SEARCH("ADAPTADOR",B233)),
ISNUMBER(SEARCH("HUB",B233)),
ISNUMBER(SEARCH("DOCK",B233)),
ISNUMBER(SEARCH("MOUSE PAD",B233)),
ISNUMBER(SEARCH("MOUSEPAD",B233)),
ISNUMBER(SEARCH("SOPORTE",B233)),
ISNUMBER(SEARCH("STAND",B233)),
ISNUMBER(SEARCH("TRAVEL ADAPTER",B233)),
ISNUMBER(SEARCH("RJ45",B233)),
ISNUMBER(SEARCH("USB-C",B233)),
ISNUMBER(SEARCH("USB WIFI",B233)),
ISNUMBER(SEARCH("POWERBANK",B233)),
ISNUMBER(SEARCH("CARGADOR",B233)),
ISNUMBER(SEARCH("COOLER PARA NB",B233)),
ISNUMBER(SEARCH("SOPORTE PARA NB",B233)),
ISNUMBER(SEARCH("WEBCAM",B233)),
ISNUMBER(SEARCH("WEB CAM",B233)),
ISNUMBER(SEARCH("MOUSE",B233)),
ISNUMBER(SEARCH("TECLADO",B233))
),
"COMPLEMENTO",
IF(
OR(
LEFT(A233,2)="NB",
LEFT(A233,2)="PC",
LEFT(A233,2)="WS",
LEFT(A233,2)="TB",
LEFT(A233,3)="CEL",
LEFT(A233,3)="MON",
LEFT(A233,3)="PRE",
LEFT(A233,3)="PRH",
ISNUMBER(SEARCH("NOTEBOOK",B233)),
ISNUMBER(SEARCH("LAPTOP",B233)),
ISNUMBER(SEARCH("MONITOR",B233)),
ISNUMBER(SEARCH("TABLET",B233)),
ISNUMBER(SEARCH("SMARTPH",B233)),
ISNUMBER(SEARCH("IMPRESORA",B233)),
ISNUMBER(SEARCH("MULTIFUNCIONAL",B233)),
ISNUMBER(SEARCH("AIO",B233))
),
"GANCHO",
"NORMAL"
)
)</f>
        <v>GANCHO</v>
      </c>
    </row>
    <row r="232" spans="1:12" x14ac:dyDescent="0.25">
      <c r="A232" s="3" t="s">
        <v>4388</v>
      </c>
      <c r="B232" s="3" t="s">
        <v>4389</v>
      </c>
      <c r="C232" s="1">
        <v>16</v>
      </c>
      <c r="D232" s="1">
        <v>277</v>
      </c>
      <c r="E232" s="1" t="s">
        <v>154</v>
      </c>
      <c r="F232" s="1" t="s">
        <v>4390</v>
      </c>
      <c r="G232" s="3" t="s">
        <v>4391</v>
      </c>
      <c r="H232" s="11">
        <f>ROUND(
IF(L230="GANCHO",
   IF(I232&lt;=50,I232*1.1+4,IF(I232&lt;=120,I232*1.1+7,IF(I232&lt;=250,I232*1.1+11,I232*1.1+19))),
IF(L230="NORMAL",
   IF(I232&lt;=30,I232*1.15+2,IF(I232&lt;=80,I232*1.15+4,IF(I232&lt;=150,I232*1.15+6,I232*1.15+8))),
IF(L230="COMPLEMENTO",
   IF(I232&lt;=25,I232*1.25+1.5,IF(I232&lt;=60,I232*1.25+3,IF(I232&lt;=120,I232*1.25+4,I232*1.25+5))),
""))),2)</f>
        <v>1270.22</v>
      </c>
      <c r="I232" s="9">
        <f>($K$2+0.02)*Tabla1[[#This Row],[PRECIO $]]*1.18</f>
        <v>1137.4728</v>
      </c>
      <c r="J232" s="7">
        <f>+Tabla1[[#This Row],[PRECIO EN SOLES]]-Tabla1[[#This Row],[PC]]</f>
        <v>132.74720000000002</v>
      </c>
      <c r="K232" s="15"/>
      <c r="L232" s="15" t="str">
        <f>IF(
OR(
ISNUMBER(SEARCH("BACKPACK",B234)),
ISNUMBER(SEARCH("MOCHILA",B234)),
ISNUMBER(SEARCH("FUNDA",B234)),
ISNUMBER(SEARCH("ESTUCHE",B234)),
ISNUMBER(SEARCH("BOOK COVER",B234)),
ISNUMBER(SEARCH("KEYBOARD PARA TABLET",B234)),
ISNUMBER(SEARCH("FLIP TABLET",B234)),
ISNUMBER(SEARCH("CASE FOR TABLET",B234)),
ISNUMBER(SEARCH("CABLE",B234)),
ISNUMBER(SEARCH("ADAPTADOR",B234)),
ISNUMBER(SEARCH("HUB",B234)),
ISNUMBER(SEARCH("DOCK",B234)),
ISNUMBER(SEARCH("MOUSE PAD",B234)),
ISNUMBER(SEARCH("MOUSEPAD",B234)),
ISNUMBER(SEARCH("SOPORTE",B234)),
ISNUMBER(SEARCH("STAND",B234)),
ISNUMBER(SEARCH("TRAVEL ADAPTER",B234)),
ISNUMBER(SEARCH("RJ45",B234)),
ISNUMBER(SEARCH("USB-C",B234)),
ISNUMBER(SEARCH("USB WIFI",B234)),
ISNUMBER(SEARCH("POWERBANK",B234)),
ISNUMBER(SEARCH("CARGADOR",B234)),
ISNUMBER(SEARCH("COOLER PARA NB",B234)),
ISNUMBER(SEARCH("SOPORTE PARA NB",B234)),
ISNUMBER(SEARCH("WEBCAM",B234)),
ISNUMBER(SEARCH("WEB CAM",B234)),
ISNUMBER(SEARCH("MOUSE",B234)),
ISNUMBER(SEARCH("TECLADO",B234))
),
"COMPLEMENTO",
IF(
OR(
LEFT(A234,2)="NB",
LEFT(A234,2)="PC",
LEFT(A234,2)="WS",
LEFT(A234,2)="TB",
LEFT(A234,3)="CEL",
LEFT(A234,3)="MON",
LEFT(A234,3)="PRE",
LEFT(A234,3)="PRH",
ISNUMBER(SEARCH("NOTEBOOK",B234)),
ISNUMBER(SEARCH("LAPTOP",B234)),
ISNUMBER(SEARCH("MONITOR",B234)),
ISNUMBER(SEARCH("TABLET",B234)),
ISNUMBER(SEARCH("SMARTPH",B234)),
ISNUMBER(SEARCH("IMPRESORA",B234)),
ISNUMBER(SEARCH("MULTIFUNCIONAL",B234)),
ISNUMBER(SEARCH("AIO",B234))
),
"GANCHO",
"NORMAL"
)
)</f>
        <v>GANCHO</v>
      </c>
    </row>
    <row r="233" spans="1:12" x14ac:dyDescent="0.25">
      <c r="A233" s="3" t="s">
        <v>152</v>
      </c>
      <c r="B233" s="3" t="s">
        <v>153</v>
      </c>
      <c r="C233" s="1">
        <v>20</v>
      </c>
      <c r="D233" s="1">
        <v>126.5</v>
      </c>
      <c r="E233" s="1" t="s">
        <v>154</v>
      </c>
      <c r="F233" s="1" t="s">
        <v>3184</v>
      </c>
      <c r="G233" s="3" t="s">
        <v>155</v>
      </c>
      <c r="H233" s="11">
        <f>ROUND(
IF(L231="GANCHO",
   IF(I233&lt;=50,I233*1.1+4,IF(I233&lt;=120,I233*1.1+7,IF(I233&lt;=250,I233*1.1+11,I233*1.1+19))),
IF(L231="NORMAL",
   IF(I233&lt;=30,I233*1.15+2,IF(I233&lt;=80,I233*1.15+4,IF(I233&lt;=150,I233*1.15+6,I233*1.15+8))),
IF(L231="COMPLEMENTO",
   IF(I233&lt;=25,I233*1.25+1.5,IF(I233&lt;=60,I233*1.25+3,IF(I233&lt;=120,I233*1.25+4,I233*1.25+5))),
""))),2)</f>
        <v>590.41</v>
      </c>
      <c r="I233" s="9">
        <f>($K$2+0.02)*Tabla1[[#This Row],[PRECIO $]]*1.18</f>
        <v>519.45959999999991</v>
      </c>
      <c r="J233" s="7">
        <f>+Tabla1[[#This Row],[PRECIO EN SOLES]]-Tabla1[[#This Row],[PC]]</f>
        <v>70.950400000000059</v>
      </c>
      <c r="K233" s="15"/>
      <c r="L233" s="15" t="str">
        <f>IF(
OR(
ISNUMBER(SEARCH("BACKPACK",B235)),
ISNUMBER(SEARCH("MOCHILA",B235)),
ISNUMBER(SEARCH("FUNDA",B235)),
ISNUMBER(SEARCH("ESTUCHE",B235)),
ISNUMBER(SEARCH("BOOK COVER",B235)),
ISNUMBER(SEARCH("KEYBOARD PARA TABLET",B235)),
ISNUMBER(SEARCH("FLIP TABLET",B235)),
ISNUMBER(SEARCH("CASE FOR TABLET",B235)),
ISNUMBER(SEARCH("CABLE",B235)),
ISNUMBER(SEARCH("ADAPTADOR",B235)),
ISNUMBER(SEARCH("HUB",B235)),
ISNUMBER(SEARCH("DOCK",B235)),
ISNUMBER(SEARCH("MOUSE PAD",B235)),
ISNUMBER(SEARCH("MOUSEPAD",B235)),
ISNUMBER(SEARCH("SOPORTE",B235)),
ISNUMBER(SEARCH("STAND",B235)),
ISNUMBER(SEARCH("TRAVEL ADAPTER",B235)),
ISNUMBER(SEARCH("RJ45",B235)),
ISNUMBER(SEARCH("USB-C",B235)),
ISNUMBER(SEARCH("USB WIFI",B235)),
ISNUMBER(SEARCH("POWERBANK",B235)),
ISNUMBER(SEARCH("CARGADOR",B235)),
ISNUMBER(SEARCH("COOLER PARA NB",B235)),
ISNUMBER(SEARCH("SOPORTE PARA NB",B235)),
ISNUMBER(SEARCH("WEBCAM",B235)),
ISNUMBER(SEARCH("WEB CAM",B235)),
ISNUMBER(SEARCH("MOUSE",B235)),
ISNUMBER(SEARCH("TECLADO",B235))
),
"COMPLEMENTO",
IF(
OR(
LEFT(A235,2)="NB",
LEFT(A235,2)="PC",
LEFT(A235,2)="WS",
LEFT(A235,2)="TB",
LEFT(A235,3)="CEL",
LEFT(A235,3)="MON",
LEFT(A235,3)="PRE",
LEFT(A235,3)="PRH",
ISNUMBER(SEARCH("NOTEBOOK",B235)),
ISNUMBER(SEARCH("LAPTOP",B235)),
ISNUMBER(SEARCH("MONITOR",B235)),
ISNUMBER(SEARCH("TABLET",B235)),
ISNUMBER(SEARCH("SMARTPH",B235)),
ISNUMBER(SEARCH("IMPRESORA",B235)),
ISNUMBER(SEARCH("MULTIFUNCIONAL",B235)),
ISNUMBER(SEARCH("AIO",B235))
),
"GANCHO",
"NORMAL"
)
)</f>
        <v>GANCHO</v>
      </c>
    </row>
    <row r="234" spans="1:12" x14ac:dyDescent="0.25">
      <c r="A234" s="3" t="s">
        <v>988</v>
      </c>
      <c r="B234" s="3" t="s">
        <v>989</v>
      </c>
      <c r="C234" s="1">
        <v>15</v>
      </c>
      <c r="D234" s="1">
        <v>153</v>
      </c>
      <c r="E234" s="1" t="s">
        <v>154</v>
      </c>
      <c r="F234" s="1" t="s">
        <v>3185</v>
      </c>
      <c r="G234" s="3" t="s">
        <v>990</v>
      </c>
      <c r="H234" s="11">
        <f>ROUND(
IF(L232="GANCHO",
   IF(I234&lt;=50,I234*1.1+4,IF(I234&lt;=120,I234*1.1+7,IF(I234&lt;=250,I234*1.1+11,I234*1.1+19))),
IF(L232="NORMAL",
   IF(I234&lt;=30,I234*1.15+2,IF(I234&lt;=80,I234*1.15+4,IF(I234&lt;=150,I234*1.15+6,I234*1.15+8))),
IF(L232="COMPLEMENTO",
   IF(I234&lt;=25,I234*1.25+1.5,IF(I234&lt;=60,I234*1.25+3,IF(I234&lt;=120,I234*1.25+4,I234*1.25+5))),
""))),2)</f>
        <v>710.11</v>
      </c>
      <c r="I234" s="9">
        <f>($K$2+0.02)*Tabla1[[#This Row],[PRECIO $]]*1.18</f>
        <v>628.27919999999995</v>
      </c>
      <c r="J234" s="7">
        <f>+Tabla1[[#This Row],[PRECIO EN SOLES]]-Tabla1[[#This Row],[PC]]</f>
        <v>81.830800000000067</v>
      </c>
      <c r="K234" s="15"/>
      <c r="L234" s="15" t="str">
        <f>IF(
OR(
ISNUMBER(SEARCH("BACKPACK",B236)),
ISNUMBER(SEARCH("MOCHILA",B236)),
ISNUMBER(SEARCH("FUNDA",B236)),
ISNUMBER(SEARCH("ESTUCHE",B236)),
ISNUMBER(SEARCH("BOOK COVER",B236)),
ISNUMBER(SEARCH("KEYBOARD PARA TABLET",B236)),
ISNUMBER(SEARCH("FLIP TABLET",B236)),
ISNUMBER(SEARCH("CASE FOR TABLET",B236)),
ISNUMBER(SEARCH("CABLE",B236)),
ISNUMBER(SEARCH("ADAPTADOR",B236)),
ISNUMBER(SEARCH("HUB",B236)),
ISNUMBER(SEARCH("DOCK",B236)),
ISNUMBER(SEARCH("MOUSE PAD",B236)),
ISNUMBER(SEARCH("MOUSEPAD",B236)),
ISNUMBER(SEARCH("SOPORTE",B236)),
ISNUMBER(SEARCH("STAND",B236)),
ISNUMBER(SEARCH("TRAVEL ADAPTER",B236)),
ISNUMBER(SEARCH("RJ45",B236)),
ISNUMBER(SEARCH("USB-C",B236)),
ISNUMBER(SEARCH("USB WIFI",B236)),
ISNUMBER(SEARCH("POWERBANK",B236)),
ISNUMBER(SEARCH("CARGADOR",B236)),
ISNUMBER(SEARCH("COOLER PARA NB",B236)),
ISNUMBER(SEARCH("SOPORTE PARA NB",B236)),
ISNUMBER(SEARCH("WEBCAM",B236)),
ISNUMBER(SEARCH("WEB CAM",B236)),
ISNUMBER(SEARCH("MOUSE",B236)),
ISNUMBER(SEARCH("TECLADO",B236))
),
"COMPLEMENTO",
IF(
OR(
LEFT(A236,2)="NB",
LEFT(A236,2)="PC",
LEFT(A236,2)="WS",
LEFT(A236,2)="TB",
LEFT(A236,3)="CEL",
LEFT(A236,3)="MON",
LEFT(A236,3)="PRE",
LEFT(A236,3)="PRH",
ISNUMBER(SEARCH("NOTEBOOK",B236)),
ISNUMBER(SEARCH("LAPTOP",B236)),
ISNUMBER(SEARCH("MONITOR",B236)),
ISNUMBER(SEARCH("TABLET",B236)),
ISNUMBER(SEARCH("SMARTPH",B236)),
ISNUMBER(SEARCH("IMPRESORA",B236)),
ISNUMBER(SEARCH("MULTIFUNCIONAL",B236)),
ISNUMBER(SEARCH("AIO",B236))
),
"GANCHO",
"NORMAL"
)
)</f>
        <v>GANCHO</v>
      </c>
    </row>
    <row r="235" spans="1:12" x14ac:dyDescent="0.25">
      <c r="A235" s="3" t="s">
        <v>4256</v>
      </c>
      <c r="B235" s="3" t="s">
        <v>4257</v>
      </c>
      <c r="C235" s="1">
        <v>20</v>
      </c>
      <c r="D235" s="1">
        <v>523</v>
      </c>
      <c r="E235" s="1" t="s">
        <v>154</v>
      </c>
      <c r="F235" s="1" t="s">
        <v>4258</v>
      </c>
      <c r="G235" s="3" t="s">
        <v>4259</v>
      </c>
      <c r="H235" s="11">
        <f>ROUND(
IF(L233="GANCHO",
   IF(I235&lt;=50,I235*1.1+4,IF(I235&lt;=120,I235*1.1+7,IF(I235&lt;=250,I235*1.1+11,I235*1.1+19))),
IF(L233="NORMAL",
   IF(I235&lt;=30,I235*1.15+2,IF(I235&lt;=80,I235*1.15+4,IF(I235&lt;=150,I235*1.15+6,I235*1.15+8))),
IF(L233="COMPLEMENTO",
   IF(I235&lt;=25,I235*1.25+1.5,IF(I235&lt;=60,I235*1.25+3,IF(I235&lt;=120,I235*1.25+4,I235*1.25+5))),
""))),2)</f>
        <v>2381.41</v>
      </c>
      <c r="I235" s="9">
        <f>($K$2+0.02)*Tabla1[[#This Row],[PRECIO $]]*1.18</f>
        <v>2147.6471999999999</v>
      </c>
      <c r="J235" s="7">
        <f>+Tabla1[[#This Row],[PRECIO EN SOLES]]-Tabla1[[#This Row],[PC]]</f>
        <v>233.76279999999997</v>
      </c>
      <c r="K235" s="15"/>
      <c r="L235" s="15" t="str">
        <f>IF(
OR(
ISNUMBER(SEARCH("BACKPACK",B237)),
ISNUMBER(SEARCH("MOCHILA",B237)),
ISNUMBER(SEARCH("FUNDA",B237)),
ISNUMBER(SEARCH("ESTUCHE",B237)),
ISNUMBER(SEARCH("BOOK COVER",B237)),
ISNUMBER(SEARCH("KEYBOARD PARA TABLET",B237)),
ISNUMBER(SEARCH("FLIP TABLET",B237)),
ISNUMBER(SEARCH("CASE FOR TABLET",B237)),
ISNUMBER(SEARCH("CABLE",B237)),
ISNUMBER(SEARCH("ADAPTADOR",B237)),
ISNUMBER(SEARCH("HUB",B237)),
ISNUMBER(SEARCH("DOCK",B237)),
ISNUMBER(SEARCH("MOUSE PAD",B237)),
ISNUMBER(SEARCH("MOUSEPAD",B237)),
ISNUMBER(SEARCH("SOPORTE",B237)),
ISNUMBER(SEARCH("STAND",B237)),
ISNUMBER(SEARCH("TRAVEL ADAPTER",B237)),
ISNUMBER(SEARCH("RJ45",B237)),
ISNUMBER(SEARCH("USB-C",B237)),
ISNUMBER(SEARCH("USB WIFI",B237)),
ISNUMBER(SEARCH("POWERBANK",B237)),
ISNUMBER(SEARCH("CARGADOR",B237)),
ISNUMBER(SEARCH("COOLER PARA NB",B237)),
ISNUMBER(SEARCH("SOPORTE PARA NB",B237)),
ISNUMBER(SEARCH("WEBCAM",B237)),
ISNUMBER(SEARCH("WEB CAM",B237)),
ISNUMBER(SEARCH("MOUSE",B237)),
ISNUMBER(SEARCH("TECLADO",B237))
),
"COMPLEMENTO",
IF(
OR(
LEFT(A237,2)="NB",
LEFT(A237,2)="PC",
LEFT(A237,2)="WS",
LEFT(A237,2)="TB",
LEFT(A237,3)="CEL",
LEFT(A237,3)="MON",
LEFT(A237,3)="PRE",
LEFT(A237,3)="PRH",
ISNUMBER(SEARCH("NOTEBOOK",B237)),
ISNUMBER(SEARCH("LAPTOP",B237)),
ISNUMBER(SEARCH("MONITOR",B237)),
ISNUMBER(SEARCH("TABLET",B237)),
ISNUMBER(SEARCH("SMARTPH",B237)),
ISNUMBER(SEARCH("IMPRESORA",B237)),
ISNUMBER(SEARCH("MULTIFUNCIONAL",B237)),
ISNUMBER(SEARCH("AIO",B237))
),
"GANCHO",
"NORMAL"
)
)</f>
        <v>GANCHO</v>
      </c>
    </row>
    <row r="236" spans="1:12" x14ac:dyDescent="0.25">
      <c r="A236" s="3" t="s">
        <v>633</v>
      </c>
      <c r="B236" s="3" t="s">
        <v>634</v>
      </c>
      <c r="C236" s="1">
        <v>20</v>
      </c>
      <c r="D236" s="1">
        <v>151.5</v>
      </c>
      <c r="E236" s="1" t="s">
        <v>154</v>
      </c>
      <c r="F236" s="1" t="s">
        <v>3186</v>
      </c>
      <c r="G236" s="3" t="s">
        <v>635</v>
      </c>
      <c r="H236" s="11">
        <f>ROUND(
IF(L234="GANCHO",
   IF(I236&lt;=50,I236*1.1+4,IF(I236&lt;=120,I236*1.1+7,IF(I236&lt;=250,I236*1.1+11,I236*1.1+19))),
IF(L234="NORMAL",
   IF(I236&lt;=30,I236*1.15+2,IF(I236&lt;=80,I236*1.15+4,IF(I236&lt;=150,I236*1.15+6,I236*1.15+8))),
IF(L234="COMPLEMENTO",
   IF(I236&lt;=25,I236*1.25+1.5,IF(I236&lt;=60,I236*1.25+3,IF(I236&lt;=120,I236*1.25+4,I236*1.25+5))),
""))),2)</f>
        <v>703.33</v>
      </c>
      <c r="I236" s="9">
        <f>($K$2+0.02)*Tabla1[[#This Row],[PRECIO $]]*1.18</f>
        <v>622.11959999999999</v>
      </c>
      <c r="J236" s="7">
        <f>+Tabla1[[#This Row],[PRECIO EN SOLES]]-Tabla1[[#This Row],[PC]]</f>
        <v>81.21040000000005</v>
      </c>
      <c r="K236" s="15"/>
      <c r="L236" s="15" t="str">
        <f>IF(
OR(
ISNUMBER(SEARCH("BACKPACK",B238)),
ISNUMBER(SEARCH("MOCHILA",B238)),
ISNUMBER(SEARCH("FUNDA",B238)),
ISNUMBER(SEARCH("ESTUCHE",B238)),
ISNUMBER(SEARCH("BOOK COVER",B238)),
ISNUMBER(SEARCH("KEYBOARD PARA TABLET",B238)),
ISNUMBER(SEARCH("FLIP TABLET",B238)),
ISNUMBER(SEARCH("CASE FOR TABLET",B238)),
ISNUMBER(SEARCH("CABLE",B238)),
ISNUMBER(SEARCH("ADAPTADOR",B238)),
ISNUMBER(SEARCH("HUB",B238)),
ISNUMBER(SEARCH("DOCK",B238)),
ISNUMBER(SEARCH("MOUSE PAD",B238)),
ISNUMBER(SEARCH("MOUSEPAD",B238)),
ISNUMBER(SEARCH("SOPORTE",B238)),
ISNUMBER(SEARCH("STAND",B238)),
ISNUMBER(SEARCH("TRAVEL ADAPTER",B238)),
ISNUMBER(SEARCH("RJ45",B238)),
ISNUMBER(SEARCH("USB-C",B238)),
ISNUMBER(SEARCH("USB WIFI",B238)),
ISNUMBER(SEARCH("POWERBANK",B238)),
ISNUMBER(SEARCH("CARGADOR",B238)),
ISNUMBER(SEARCH("COOLER PARA NB",B238)),
ISNUMBER(SEARCH("SOPORTE PARA NB",B238)),
ISNUMBER(SEARCH("WEBCAM",B238)),
ISNUMBER(SEARCH("WEB CAM",B238)),
ISNUMBER(SEARCH("MOUSE",B238)),
ISNUMBER(SEARCH("TECLADO",B238))
),
"COMPLEMENTO",
IF(
OR(
LEFT(A238,2)="NB",
LEFT(A238,2)="PC",
LEFT(A238,2)="WS",
LEFT(A238,2)="TB",
LEFT(A238,3)="CEL",
LEFT(A238,3)="MON",
LEFT(A238,3)="PRE",
LEFT(A238,3)="PRH",
ISNUMBER(SEARCH("NOTEBOOK",B238)),
ISNUMBER(SEARCH("LAPTOP",B238)),
ISNUMBER(SEARCH("MONITOR",B238)),
ISNUMBER(SEARCH("TABLET",B238)),
ISNUMBER(SEARCH("SMARTPH",B238)),
ISNUMBER(SEARCH("IMPRESORA",B238)),
ISNUMBER(SEARCH("MULTIFUNCIONAL",B238)),
ISNUMBER(SEARCH("AIO",B238))
),
"GANCHO",
"NORMAL"
)
)</f>
        <v>GANCHO</v>
      </c>
    </row>
    <row r="237" spans="1:12" x14ac:dyDescent="0.25">
      <c r="A237" s="3" t="s">
        <v>156</v>
      </c>
      <c r="B237" s="3" t="s">
        <v>157</v>
      </c>
      <c r="C237" s="1">
        <v>20</v>
      </c>
      <c r="D237" s="1">
        <v>171.3</v>
      </c>
      <c r="E237" s="1" t="s">
        <v>154</v>
      </c>
      <c r="F237" s="1" t="s">
        <v>3187</v>
      </c>
      <c r="G237" s="3" t="s">
        <v>158</v>
      </c>
      <c r="H237" s="11">
        <f>ROUND(
IF(L235="GANCHO",
   IF(I237&lt;=50,I237*1.1+4,IF(I237&lt;=120,I237*1.1+7,IF(I237&lt;=250,I237*1.1+11,I237*1.1+19))),
IF(L235="NORMAL",
   IF(I237&lt;=30,I237*1.15+2,IF(I237&lt;=80,I237*1.15+4,IF(I237&lt;=150,I237*1.15+6,I237*1.15+8))),
IF(L235="COMPLEMENTO",
   IF(I237&lt;=25,I237*1.25+1.5,IF(I237&lt;=60,I237*1.25+3,IF(I237&lt;=120,I237*1.25+4,I237*1.25+5))),
""))),2)</f>
        <v>792.77</v>
      </c>
      <c r="I237" s="9">
        <f>($K$2+0.02)*Tabla1[[#This Row],[PRECIO $]]*1.18</f>
        <v>703.42632000000003</v>
      </c>
      <c r="J237" s="7">
        <f>+Tabla1[[#This Row],[PRECIO EN SOLES]]-Tabla1[[#This Row],[PC]]</f>
        <v>89.343679999999949</v>
      </c>
      <c r="K237" s="15"/>
      <c r="L237" s="15" t="str">
        <f>IF(
OR(
ISNUMBER(SEARCH("BACKPACK",B239)),
ISNUMBER(SEARCH("MOCHILA",B239)),
ISNUMBER(SEARCH("FUNDA",B239)),
ISNUMBER(SEARCH("ESTUCHE",B239)),
ISNUMBER(SEARCH("BOOK COVER",B239)),
ISNUMBER(SEARCH("KEYBOARD PARA TABLET",B239)),
ISNUMBER(SEARCH("FLIP TABLET",B239)),
ISNUMBER(SEARCH("CASE FOR TABLET",B239)),
ISNUMBER(SEARCH("CABLE",B239)),
ISNUMBER(SEARCH("ADAPTADOR",B239)),
ISNUMBER(SEARCH("HUB",B239)),
ISNUMBER(SEARCH("DOCK",B239)),
ISNUMBER(SEARCH("MOUSE PAD",B239)),
ISNUMBER(SEARCH("MOUSEPAD",B239)),
ISNUMBER(SEARCH("SOPORTE",B239)),
ISNUMBER(SEARCH("STAND",B239)),
ISNUMBER(SEARCH("TRAVEL ADAPTER",B239)),
ISNUMBER(SEARCH("RJ45",B239)),
ISNUMBER(SEARCH("USB-C",B239)),
ISNUMBER(SEARCH("USB WIFI",B239)),
ISNUMBER(SEARCH("POWERBANK",B239)),
ISNUMBER(SEARCH("CARGADOR",B239)),
ISNUMBER(SEARCH("COOLER PARA NB",B239)),
ISNUMBER(SEARCH("SOPORTE PARA NB",B239)),
ISNUMBER(SEARCH("WEBCAM",B239)),
ISNUMBER(SEARCH("WEB CAM",B239)),
ISNUMBER(SEARCH("MOUSE",B239)),
ISNUMBER(SEARCH("TECLADO",B239))
),
"COMPLEMENTO",
IF(
OR(
LEFT(A239,2)="NB",
LEFT(A239,2)="PC",
LEFT(A239,2)="WS",
LEFT(A239,2)="TB",
LEFT(A239,3)="CEL",
LEFT(A239,3)="MON",
LEFT(A239,3)="PRE",
LEFT(A239,3)="PRH",
ISNUMBER(SEARCH("NOTEBOOK",B239)),
ISNUMBER(SEARCH("LAPTOP",B239)),
ISNUMBER(SEARCH("MONITOR",B239)),
ISNUMBER(SEARCH("TABLET",B239)),
ISNUMBER(SEARCH("SMARTPH",B239)),
ISNUMBER(SEARCH("IMPRESORA",B239)),
ISNUMBER(SEARCH("MULTIFUNCIONAL",B239)),
ISNUMBER(SEARCH("AIO",B239))
),
"GANCHO",
"NORMAL"
)
)</f>
        <v>GANCHO</v>
      </c>
    </row>
    <row r="238" spans="1:12" x14ac:dyDescent="0.25">
      <c r="A238" s="3" t="s">
        <v>159</v>
      </c>
      <c r="B238" s="3" t="s">
        <v>160</v>
      </c>
      <c r="C238" s="1">
        <v>2</v>
      </c>
      <c r="D238" s="1">
        <v>200</v>
      </c>
      <c r="E238" s="1" t="s">
        <v>154</v>
      </c>
      <c r="F238" s="1" t="s">
        <v>3188</v>
      </c>
      <c r="G238" s="3" t="s">
        <v>161</v>
      </c>
      <c r="H238" s="11">
        <f>ROUND(
IF(L236="GANCHO",
   IF(I238&lt;=50,I238*1.1+4,IF(I238&lt;=120,I238*1.1+7,IF(I238&lt;=250,I238*1.1+11,I238*1.1+19))),
IF(L236="NORMAL",
   IF(I238&lt;=30,I238*1.15+2,IF(I238&lt;=80,I238*1.15+4,IF(I238&lt;=150,I238*1.15+6,I238*1.15+8))),
IF(L236="COMPLEMENTO",
   IF(I238&lt;=25,I238*1.25+1.5,IF(I238&lt;=60,I238*1.25+3,IF(I238&lt;=120,I238*1.25+4,I238*1.25+5))),
""))),2)</f>
        <v>922.41</v>
      </c>
      <c r="I238" s="9">
        <f>($K$2+0.02)*Tabla1[[#This Row],[PRECIO $]]*1.18</f>
        <v>821.28</v>
      </c>
      <c r="J238" s="7">
        <f>+Tabla1[[#This Row],[PRECIO EN SOLES]]-Tabla1[[#This Row],[PC]]</f>
        <v>101.13</v>
      </c>
      <c r="K238" s="15"/>
      <c r="L238" s="15" t="str">
        <f>IF(
OR(
ISNUMBER(SEARCH("BACKPACK",B240)),
ISNUMBER(SEARCH("MOCHILA",B240)),
ISNUMBER(SEARCH("FUNDA",B240)),
ISNUMBER(SEARCH("ESTUCHE",B240)),
ISNUMBER(SEARCH("BOOK COVER",B240)),
ISNUMBER(SEARCH("KEYBOARD PARA TABLET",B240)),
ISNUMBER(SEARCH("FLIP TABLET",B240)),
ISNUMBER(SEARCH("CASE FOR TABLET",B240)),
ISNUMBER(SEARCH("CABLE",B240)),
ISNUMBER(SEARCH("ADAPTADOR",B240)),
ISNUMBER(SEARCH("HUB",B240)),
ISNUMBER(SEARCH("DOCK",B240)),
ISNUMBER(SEARCH("MOUSE PAD",B240)),
ISNUMBER(SEARCH("MOUSEPAD",B240)),
ISNUMBER(SEARCH("SOPORTE",B240)),
ISNUMBER(SEARCH("STAND",B240)),
ISNUMBER(SEARCH("TRAVEL ADAPTER",B240)),
ISNUMBER(SEARCH("RJ45",B240)),
ISNUMBER(SEARCH("USB-C",B240)),
ISNUMBER(SEARCH("USB WIFI",B240)),
ISNUMBER(SEARCH("POWERBANK",B240)),
ISNUMBER(SEARCH("CARGADOR",B240)),
ISNUMBER(SEARCH("COOLER PARA NB",B240)),
ISNUMBER(SEARCH("SOPORTE PARA NB",B240)),
ISNUMBER(SEARCH("WEBCAM",B240)),
ISNUMBER(SEARCH("WEB CAM",B240)),
ISNUMBER(SEARCH("MOUSE",B240)),
ISNUMBER(SEARCH("TECLADO",B240))
),
"COMPLEMENTO",
IF(
OR(
LEFT(A240,2)="NB",
LEFT(A240,2)="PC",
LEFT(A240,2)="WS",
LEFT(A240,2)="TB",
LEFT(A240,3)="CEL",
LEFT(A240,3)="MON",
LEFT(A240,3)="PRE",
LEFT(A240,3)="PRH",
ISNUMBER(SEARCH("NOTEBOOK",B240)),
ISNUMBER(SEARCH("LAPTOP",B240)),
ISNUMBER(SEARCH("MONITOR",B240)),
ISNUMBER(SEARCH("TABLET",B240)),
ISNUMBER(SEARCH("SMARTPH",B240)),
ISNUMBER(SEARCH("IMPRESORA",B240)),
ISNUMBER(SEARCH("MULTIFUNCIONAL",B240)),
ISNUMBER(SEARCH("AIO",B240))
),
"GANCHO",
"NORMAL"
)
)</f>
        <v>GANCHO</v>
      </c>
    </row>
    <row r="239" spans="1:12" x14ac:dyDescent="0.25">
      <c r="A239" s="3" t="s">
        <v>991</v>
      </c>
      <c r="B239" s="3" t="s">
        <v>992</v>
      </c>
      <c r="C239" s="1">
        <v>20</v>
      </c>
      <c r="D239" s="1">
        <v>226</v>
      </c>
      <c r="E239" s="1" t="s">
        <v>154</v>
      </c>
      <c r="F239" s="1" t="s">
        <v>3189</v>
      </c>
      <c r="G239" s="3" t="s">
        <v>993</v>
      </c>
      <c r="H239" s="11">
        <f>ROUND(
IF(L237="GANCHO",
   IF(I239&lt;=50,I239*1.1+4,IF(I239&lt;=120,I239*1.1+7,IF(I239&lt;=250,I239*1.1+11,I239*1.1+19))),
IF(L237="NORMAL",
   IF(I239&lt;=30,I239*1.15+2,IF(I239&lt;=80,I239*1.15+4,IF(I239&lt;=150,I239*1.15+6,I239*1.15+8))),
IF(L237="COMPLEMENTO",
   IF(I239&lt;=25,I239*1.25+1.5,IF(I239&lt;=60,I239*1.25+3,IF(I239&lt;=120,I239*1.25+4,I239*1.25+5))),
""))),2)</f>
        <v>1039.8499999999999</v>
      </c>
      <c r="I239" s="9">
        <f>($K$2+0.02)*Tabla1[[#This Row],[PRECIO $]]*1.18</f>
        <v>928.04639999999995</v>
      </c>
      <c r="J239" s="7">
        <f>+Tabla1[[#This Row],[PRECIO EN SOLES]]-Tabla1[[#This Row],[PC]]</f>
        <v>111.80359999999996</v>
      </c>
      <c r="K239" s="15"/>
      <c r="L239" s="15" t="str">
        <f>IF(
OR(
ISNUMBER(SEARCH("BACKPACK",B241)),
ISNUMBER(SEARCH("MOCHILA",B241)),
ISNUMBER(SEARCH("FUNDA",B241)),
ISNUMBER(SEARCH("ESTUCHE",B241)),
ISNUMBER(SEARCH("BOOK COVER",B241)),
ISNUMBER(SEARCH("KEYBOARD PARA TABLET",B241)),
ISNUMBER(SEARCH("FLIP TABLET",B241)),
ISNUMBER(SEARCH("CASE FOR TABLET",B241)),
ISNUMBER(SEARCH("CABLE",B241)),
ISNUMBER(SEARCH("ADAPTADOR",B241)),
ISNUMBER(SEARCH("HUB",B241)),
ISNUMBER(SEARCH("DOCK",B241)),
ISNUMBER(SEARCH("MOUSE PAD",B241)),
ISNUMBER(SEARCH("MOUSEPAD",B241)),
ISNUMBER(SEARCH("SOPORTE",B241)),
ISNUMBER(SEARCH("STAND",B241)),
ISNUMBER(SEARCH("TRAVEL ADAPTER",B241)),
ISNUMBER(SEARCH("RJ45",B241)),
ISNUMBER(SEARCH("USB-C",B241)),
ISNUMBER(SEARCH("USB WIFI",B241)),
ISNUMBER(SEARCH("POWERBANK",B241)),
ISNUMBER(SEARCH("CARGADOR",B241)),
ISNUMBER(SEARCH("COOLER PARA NB",B241)),
ISNUMBER(SEARCH("SOPORTE PARA NB",B241)),
ISNUMBER(SEARCH("WEBCAM",B241)),
ISNUMBER(SEARCH("WEB CAM",B241)),
ISNUMBER(SEARCH("MOUSE",B241)),
ISNUMBER(SEARCH("TECLADO",B241))
),
"COMPLEMENTO",
IF(
OR(
LEFT(A241,2)="NB",
LEFT(A241,2)="PC",
LEFT(A241,2)="WS",
LEFT(A241,2)="TB",
LEFT(A241,3)="CEL",
LEFT(A241,3)="MON",
LEFT(A241,3)="PRE",
LEFT(A241,3)="PRH",
ISNUMBER(SEARCH("NOTEBOOK",B241)),
ISNUMBER(SEARCH("LAPTOP",B241)),
ISNUMBER(SEARCH("MONITOR",B241)),
ISNUMBER(SEARCH("TABLET",B241)),
ISNUMBER(SEARCH("SMARTPH",B241)),
ISNUMBER(SEARCH("IMPRESORA",B241)),
ISNUMBER(SEARCH("MULTIFUNCIONAL",B241)),
ISNUMBER(SEARCH("AIO",B241))
),
"GANCHO",
"NORMAL"
)
)</f>
        <v>GANCHO</v>
      </c>
    </row>
    <row r="240" spans="1:12" x14ac:dyDescent="0.25">
      <c r="A240" s="3" t="s">
        <v>4260</v>
      </c>
      <c r="B240" s="3" t="s">
        <v>4261</v>
      </c>
      <c r="C240" s="1">
        <v>20</v>
      </c>
      <c r="D240" s="1">
        <v>315.2</v>
      </c>
      <c r="E240" s="1" t="s">
        <v>154</v>
      </c>
      <c r="F240" s="1" t="s">
        <v>4262</v>
      </c>
      <c r="G240" s="3" t="s">
        <v>4263</v>
      </c>
      <c r="H240" s="11">
        <f>ROUND(
IF(L238="GANCHO",
   IF(I240&lt;=50,I240*1.1+4,IF(I240&lt;=120,I240*1.1+7,IF(I240&lt;=250,I240*1.1+11,I240*1.1+19))),
IF(L238="NORMAL",
   IF(I240&lt;=30,I240*1.15+2,IF(I240&lt;=80,I240*1.15+4,IF(I240&lt;=150,I240*1.15+6,I240*1.15+8))),
IF(L238="COMPLEMENTO",
   IF(I240&lt;=25,I240*1.25+1.5,IF(I240&lt;=60,I240*1.25+3,IF(I240&lt;=120,I240*1.25+4,I240*1.25+5))),
""))),2)</f>
        <v>1442.77</v>
      </c>
      <c r="I240" s="9">
        <f>($K$2+0.02)*Tabla1[[#This Row],[PRECIO $]]*1.18</f>
        <v>1294.33728</v>
      </c>
      <c r="J240" s="7">
        <f>+Tabla1[[#This Row],[PRECIO EN SOLES]]-Tabla1[[#This Row],[PC]]</f>
        <v>148.43272000000002</v>
      </c>
      <c r="K240" s="15"/>
      <c r="L240" s="15" t="str">
        <f>IF(
OR(
ISNUMBER(SEARCH("BACKPACK",B242)),
ISNUMBER(SEARCH("MOCHILA",B242)),
ISNUMBER(SEARCH("FUNDA",B242)),
ISNUMBER(SEARCH("ESTUCHE",B242)),
ISNUMBER(SEARCH("BOOK COVER",B242)),
ISNUMBER(SEARCH("KEYBOARD PARA TABLET",B242)),
ISNUMBER(SEARCH("FLIP TABLET",B242)),
ISNUMBER(SEARCH("CASE FOR TABLET",B242)),
ISNUMBER(SEARCH("CABLE",B242)),
ISNUMBER(SEARCH("ADAPTADOR",B242)),
ISNUMBER(SEARCH("HUB",B242)),
ISNUMBER(SEARCH("DOCK",B242)),
ISNUMBER(SEARCH("MOUSE PAD",B242)),
ISNUMBER(SEARCH("MOUSEPAD",B242)),
ISNUMBER(SEARCH("SOPORTE",B242)),
ISNUMBER(SEARCH("STAND",B242)),
ISNUMBER(SEARCH("TRAVEL ADAPTER",B242)),
ISNUMBER(SEARCH("RJ45",B242)),
ISNUMBER(SEARCH("USB-C",B242)),
ISNUMBER(SEARCH("USB WIFI",B242)),
ISNUMBER(SEARCH("POWERBANK",B242)),
ISNUMBER(SEARCH("CARGADOR",B242)),
ISNUMBER(SEARCH("COOLER PARA NB",B242)),
ISNUMBER(SEARCH("SOPORTE PARA NB",B242)),
ISNUMBER(SEARCH("WEBCAM",B242)),
ISNUMBER(SEARCH("WEB CAM",B242)),
ISNUMBER(SEARCH("MOUSE",B242)),
ISNUMBER(SEARCH("TECLADO",B242))
),
"COMPLEMENTO",
IF(
OR(
LEFT(A242,2)="NB",
LEFT(A242,2)="PC",
LEFT(A242,2)="WS",
LEFT(A242,2)="TB",
LEFT(A242,3)="CEL",
LEFT(A242,3)="MON",
LEFT(A242,3)="PRE",
LEFT(A242,3)="PRH",
ISNUMBER(SEARCH("NOTEBOOK",B242)),
ISNUMBER(SEARCH("LAPTOP",B242)),
ISNUMBER(SEARCH("MONITOR",B242)),
ISNUMBER(SEARCH("TABLET",B242)),
ISNUMBER(SEARCH("SMARTPH",B242)),
ISNUMBER(SEARCH("IMPRESORA",B242)),
ISNUMBER(SEARCH("MULTIFUNCIONAL",B242)),
ISNUMBER(SEARCH("AIO",B242))
),
"GANCHO",
"NORMAL"
)
)</f>
        <v>GANCHO</v>
      </c>
    </row>
    <row r="241" spans="1:12" x14ac:dyDescent="0.25">
      <c r="A241" s="3" t="s">
        <v>4392</v>
      </c>
      <c r="B241" s="3" t="s">
        <v>4393</v>
      </c>
      <c r="C241" s="1">
        <v>2</v>
      </c>
      <c r="D241" s="1">
        <v>425</v>
      </c>
      <c r="E241" s="1" t="s">
        <v>154</v>
      </c>
      <c r="F241" s="1" t="s">
        <v>4394</v>
      </c>
      <c r="G241" s="3" t="s">
        <v>4395</v>
      </c>
      <c r="H241" s="11">
        <f>ROUND(
IF(L239="GANCHO",
   IF(I241&lt;=50,I241*1.1+4,IF(I241&lt;=120,I241*1.1+7,IF(I241&lt;=250,I241*1.1+11,I241*1.1+19))),
IF(L239="NORMAL",
   IF(I241&lt;=30,I241*1.15+2,IF(I241&lt;=80,I241*1.15+4,IF(I241&lt;=150,I241*1.15+6,I241*1.15+8))),
IF(L239="COMPLEMENTO",
   IF(I241&lt;=25,I241*1.25+1.5,IF(I241&lt;=60,I241*1.25+3,IF(I241&lt;=120,I241*1.25+4,I241*1.25+5))),
""))),2)</f>
        <v>1938.74</v>
      </c>
      <c r="I241" s="9">
        <f>($K$2+0.02)*Tabla1[[#This Row],[PRECIO $]]*1.18</f>
        <v>1745.2199999999998</v>
      </c>
      <c r="J241" s="7">
        <f>+Tabla1[[#This Row],[PRECIO EN SOLES]]-Tabla1[[#This Row],[PC]]</f>
        <v>193.52000000000021</v>
      </c>
      <c r="K241" s="15"/>
      <c r="L241" s="15" t="str">
        <f>IF(
OR(
ISNUMBER(SEARCH("BACKPACK",B243)),
ISNUMBER(SEARCH("MOCHILA",B243)),
ISNUMBER(SEARCH("FUNDA",B243)),
ISNUMBER(SEARCH("ESTUCHE",B243)),
ISNUMBER(SEARCH("BOOK COVER",B243)),
ISNUMBER(SEARCH("KEYBOARD PARA TABLET",B243)),
ISNUMBER(SEARCH("FLIP TABLET",B243)),
ISNUMBER(SEARCH("CASE FOR TABLET",B243)),
ISNUMBER(SEARCH("CABLE",B243)),
ISNUMBER(SEARCH("ADAPTADOR",B243)),
ISNUMBER(SEARCH("HUB",B243)),
ISNUMBER(SEARCH("DOCK",B243)),
ISNUMBER(SEARCH("MOUSE PAD",B243)),
ISNUMBER(SEARCH("MOUSEPAD",B243)),
ISNUMBER(SEARCH("SOPORTE",B243)),
ISNUMBER(SEARCH("STAND",B243)),
ISNUMBER(SEARCH("TRAVEL ADAPTER",B243)),
ISNUMBER(SEARCH("RJ45",B243)),
ISNUMBER(SEARCH("USB-C",B243)),
ISNUMBER(SEARCH("USB WIFI",B243)),
ISNUMBER(SEARCH("POWERBANK",B243)),
ISNUMBER(SEARCH("CARGADOR",B243)),
ISNUMBER(SEARCH("COOLER PARA NB",B243)),
ISNUMBER(SEARCH("SOPORTE PARA NB",B243)),
ISNUMBER(SEARCH("WEBCAM",B243)),
ISNUMBER(SEARCH("WEB CAM",B243)),
ISNUMBER(SEARCH("MOUSE",B243)),
ISNUMBER(SEARCH("TECLADO",B243))
),
"COMPLEMENTO",
IF(
OR(
LEFT(A243,2)="NB",
LEFT(A243,2)="PC",
LEFT(A243,2)="WS",
LEFT(A243,2)="TB",
LEFT(A243,3)="CEL",
LEFT(A243,3)="MON",
LEFT(A243,3)="PRE",
LEFT(A243,3)="PRH",
ISNUMBER(SEARCH("NOTEBOOK",B243)),
ISNUMBER(SEARCH("LAPTOP",B243)),
ISNUMBER(SEARCH("MONITOR",B243)),
ISNUMBER(SEARCH("TABLET",B243)),
ISNUMBER(SEARCH("SMARTPH",B243)),
ISNUMBER(SEARCH("IMPRESORA",B243)),
ISNUMBER(SEARCH("MULTIFUNCIONAL",B243)),
ISNUMBER(SEARCH("AIO",B243))
),
"GANCHO",
"NORMAL"
)
)</f>
        <v>GANCHO</v>
      </c>
    </row>
    <row r="242" spans="1:12" x14ac:dyDescent="0.25">
      <c r="A242" s="3" t="s">
        <v>4264</v>
      </c>
      <c r="B242" s="3" t="s">
        <v>4265</v>
      </c>
      <c r="C242" s="1">
        <v>3</v>
      </c>
      <c r="D242" s="1">
        <v>266</v>
      </c>
      <c r="E242" s="1" t="s">
        <v>154</v>
      </c>
      <c r="F242" s="1" t="s">
        <v>4266</v>
      </c>
      <c r="G242" s="3" t="s">
        <v>4267</v>
      </c>
      <c r="H242" s="11">
        <f>ROUND(
IF(L240="GANCHO",
   IF(I242&lt;=50,I242*1.1+4,IF(I242&lt;=120,I242*1.1+7,IF(I242&lt;=250,I242*1.1+11,I242*1.1+19))),
IF(L240="NORMAL",
   IF(I242&lt;=30,I242*1.15+2,IF(I242&lt;=80,I242*1.15+4,IF(I242&lt;=150,I242*1.15+6,I242*1.15+8))),
IF(L240="COMPLEMENTO",
   IF(I242&lt;=25,I242*1.25+1.5,IF(I242&lt;=60,I242*1.25+3,IF(I242&lt;=120,I242*1.25+4,I242*1.25+5))),
""))),2)</f>
        <v>1220.53</v>
      </c>
      <c r="I242" s="9">
        <f>($K$2+0.02)*Tabla1[[#This Row],[PRECIO $]]*1.18</f>
        <v>1092.3023999999998</v>
      </c>
      <c r="J242" s="7">
        <f>+Tabla1[[#This Row],[PRECIO EN SOLES]]-Tabla1[[#This Row],[PC]]</f>
        <v>128.22760000000017</v>
      </c>
      <c r="K242" s="15"/>
      <c r="L242" s="15" t="str">
        <f>IF(
OR(
ISNUMBER(SEARCH("BACKPACK",B244)),
ISNUMBER(SEARCH("MOCHILA",B244)),
ISNUMBER(SEARCH("FUNDA",B244)),
ISNUMBER(SEARCH("ESTUCHE",B244)),
ISNUMBER(SEARCH("BOOK COVER",B244)),
ISNUMBER(SEARCH("KEYBOARD PARA TABLET",B244)),
ISNUMBER(SEARCH("FLIP TABLET",B244)),
ISNUMBER(SEARCH("CASE FOR TABLET",B244)),
ISNUMBER(SEARCH("CABLE",B244)),
ISNUMBER(SEARCH("ADAPTADOR",B244)),
ISNUMBER(SEARCH("HUB",B244)),
ISNUMBER(SEARCH("DOCK",B244)),
ISNUMBER(SEARCH("MOUSE PAD",B244)),
ISNUMBER(SEARCH("MOUSEPAD",B244)),
ISNUMBER(SEARCH("SOPORTE",B244)),
ISNUMBER(SEARCH("STAND",B244)),
ISNUMBER(SEARCH("TRAVEL ADAPTER",B244)),
ISNUMBER(SEARCH("RJ45",B244)),
ISNUMBER(SEARCH("USB-C",B244)),
ISNUMBER(SEARCH("USB WIFI",B244)),
ISNUMBER(SEARCH("POWERBANK",B244)),
ISNUMBER(SEARCH("CARGADOR",B244)),
ISNUMBER(SEARCH("COOLER PARA NB",B244)),
ISNUMBER(SEARCH("SOPORTE PARA NB",B244)),
ISNUMBER(SEARCH("WEBCAM",B244)),
ISNUMBER(SEARCH("WEB CAM",B244)),
ISNUMBER(SEARCH("MOUSE",B244)),
ISNUMBER(SEARCH("TECLADO",B244))
),
"COMPLEMENTO",
IF(
OR(
LEFT(A244,2)="NB",
LEFT(A244,2)="PC",
LEFT(A244,2)="WS",
LEFT(A244,2)="TB",
LEFT(A244,3)="CEL",
LEFT(A244,3)="MON",
LEFT(A244,3)="PRE",
LEFT(A244,3)="PRH",
ISNUMBER(SEARCH("NOTEBOOK",B244)),
ISNUMBER(SEARCH("LAPTOP",B244)),
ISNUMBER(SEARCH("MONITOR",B244)),
ISNUMBER(SEARCH("TABLET",B244)),
ISNUMBER(SEARCH("SMARTPH",B244)),
ISNUMBER(SEARCH("IMPRESORA",B244)),
ISNUMBER(SEARCH("MULTIFUNCIONAL",B244)),
ISNUMBER(SEARCH("AIO",B244))
),
"GANCHO",
"NORMAL"
)
)</f>
        <v>GANCHO</v>
      </c>
    </row>
    <row r="243" spans="1:12" x14ac:dyDescent="0.25">
      <c r="A243" s="3" t="s">
        <v>162</v>
      </c>
      <c r="B243" s="3" t="s">
        <v>163</v>
      </c>
      <c r="C243" s="1">
        <v>20</v>
      </c>
      <c r="D243" s="1">
        <v>150</v>
      </c>
      <c r="E243" s="1" t="s">
        <v>148</v>
      </c>
      <c r="F243" s="1" t="s">
        <v>3190</v>
      </c>
      <c r="G243" s="3" t="s">
        <v>164</v>
      </c>
      <c r="H243" s="11">
        <f>ROUND(
IF(L241="GANCHO",
   IF(I243&lt;=50,I243*1.1+4,IF(I243&lt;=120,I243*1.1+7,IF(I243&lt;=250,I243*1.1+11,I243*1.1+19))),
IF(L241="NORMAL",
   IF(I243&lt;=30,I243*1.15+2,IF(I243&lt;=80,I243*1.15+4,IF(I243&lt;=150,I243*1.15+6,I243*1.15+8))),
IF(L241="COMPLEMENTO",
   IF(I243&lt;=25,I243*1.25+1.5,IF(I243&lt;=60,I243*1.25+3,IF(I243&lt;=120,I243*1.25+4,I243*1.25+5))),
""))),2)</f>
        <v>696.56</v>
      </c>
      <c r="I243" s="9">
        <f>($K$2+0.02)*Tabla1[[#This Row],[PRECIO $]]*1.18</f>
        <v>615.95999999999992</v>
      </c>
      <c r="J243" s="7">
        <f>+Tabla1[[#This Row],[PRECIO EN SOLES]]-Tabla1[[#This Row],[PC]]</f>
        <v>80.600000000000023</v>
      </c>
      <c r="K243" s="15"/>
      <c r="L243" s="15" t="str">
        <f>IF(
OR(
ISNUMBER(SEARCH("BACKPACK",B245)),
ISNUMBER(SEARCH("MOCHILA",B245)),
ISNUMBER(SEARCH("FUNDA",B245)),
ISNUMBER(SEARCH("ESTUCHE",B245)),
ISNUMBER(SEARCH("BOOK COVER",B245)),
ISNUMBER(SEARCH("KEYBOARD PARA TABLET",B245)),
ISNUMBER(SEARCH("FLIP TABLET",B245)),
ISNUMBER(SEARCH("CASE FOR TABLET",B245)),
ISNUMBER(SEARCH("CABLE",B245)),
ISNUMBER(SEARCH("ADAPTADOR",B245)),
ISNUMBER(SEARCH("HUB",B245)),
ISNUMBER(SEARCH("DOCK",B245)),
ISNUMBER(SEARCH("MOUSE PAD",B245)),
ISNUMBER(SEARCH("MOUSEPAD",B245)),
ISNUMBER(SEARCH("SOPORTE",B245)),
ISNUMBER(SEARCH("STAND",B245)),
ISNUMBER(SEARCH("TRAVEL ADAPTER",B245)),
ISNUMBER(SEARCH("RJ45",B245)),
ISNUMBER(SEARCH("USB-C",B245)),
ISNUMBER(SEARCH("USB WIFI",B245)),
ISNUMBER(SEARCH("POWERBANK",B245)),
ISNUMBER(SEARCH("CARGADOR",B245)),
ISNUMBER(SEARCH("COOLER PARA NB",B245)),
ISNUMBER(SEARCH("SOPORTE PARA NB",B245)),
ISNUMBER(SEARCH("WEBCAM",B245)),
ISNUMBER(SEARCH("WEB CAM",B245)),
ISNUMBER(SEARCH("MOUSE",B245)),
ISNUMBER(SEARCH("TECLADO",B245))
),
"COMPLEMENTO",
IF(
OR(
LEFT(A245,2)="NB",
LEFT(A245,2)="PC",
LEFT(A245,2)="WS",
LEFT(A245,2)="TB",
LEFT(A245,3)="CEL",
LEFT(A245,3)="MON",
LEFT(A245,3)="PRE",
LEFT(A245,3)="PRH",
ISNUMBER(SEARCH("NOTEBOOK",B245)),
ISNUMBER(SEARCH("LAPTOP",B245)),
ISNUMBER(SEARCH("MONITOR",B245)),
ISNUMBER(SEARCH("TABLET",B245)),
ISNUMBER(SEARCH("SMARTPH",B245)),
ISNUMBER(SEARCH("IMPRESORA",B245)),
ISNUMBER(SEARCH("MULTIFUNCIONAL",B245)),
ISNUMBER(SEARCH("AIO",B245))
),
"GANCHO",
"NORMAL"
)
)</f>
        <v>GANCHO</v>
      </c>
    </row>
    <row r="244" spans="1:12" x14ac:dyDescent="0.25">
      <c r="A244" s="3" t="s">
        <v>994</v>
      </c>
      <c r="B244" s="3" t="s">
        <v>995</v>
      </c>
      <c r="C244" s="1">
        <v>20</v>
      </c>
      <c r="D244" s="1">
        <v>150</v>
      </c>
      <c r="E244" s="1" t="s">
        <v>148</v>
      </c>
      <c r="F244" s="1" t="s">
        <v>3191</v>
      </c>
      <c r="G244" s="3" t="s">
        <v>5821</v>
      </c>
      <c r="H244" s="11">
        <f>ROUND(
IF(L242="GANCHO",
   IF(I244&lt;=50,I244*1.1+4,IF(I244&lt;=120,I244*1.1+7,IF(I244&lt;=250,I244*1.1+11,I244*1.1+19))),
IF(L242="NORMAL",
   IF(I244&lt;=30,I244*1.15+2,IF(I244&lt;=80,I244*1.15+4,IF(I244&lt;=150,I244*1.15+6,I244*1.15+8))),
IF(L242="COMPLEMENTO",
   IF(I244&lt;=25,I244*1.25+1.5,IF(I244&lt;=60,I244*1.25+3,IF(I244&lt;=120,I244*1.25+4,I244*1.25+5))),
""))),2)</f>
        <v>696.56</v>
      </c>
      <c r="I244" s="9">
        <f>($K$2+0.02)*Tabla1[[#This Row],[PRECIO $]]*1.18</f>
        <v>615.95999999999992</v>
      </c>
      <c r="J244" s="7">
        <f>+Tabla1[[#This Row],[PRECIO EN SOLES]]-Tabla1[[#This Row],[PC]]</f>
        <v>80.600000000000023</v>
      </c>
      <c r="K244" s="15"/>
      <c r="L244" s="15" t="str">
        <f>IF(
OR(
ISNUMBER(SEARCH("BACKPACK",B246)),
ISNUMBER(SEARCH("MOCHILA",B246)),
ISNUMBER(SEARCH("FUNDA",B246)),
ISNUMBER(SEARCH("ESTUCHE",B246)),
ISNUMBER(SEARCH("BOOK COVER",B246)),
ISNUMBER(SEARCH("KEYBOARD PARA TABLET",B246)),
ISNUMBER(SEARCH("FLIP TABLET",B246)),
ISNUMBER(SEARCH("CASE FOR TABLET",B246)),
ISNUMBER(SEARCH("CABLE",B246)),
ISNUMBER(SEARCH("ADAPTADOR",B246)),
ISNUMBER(SEARCH("HUB",B246)),
ISNUMBER(SEARCH("DOCK",B246)),
ISNUMBER(SEARCH("MOUSE PAD",B246)),
ISNUMBER(SEARCH("MOUSEPAD",B246)),
ISNUMBER(SEARCH("SOPORTE",B246)),
ISNUMBER(SEARCH("STAND",B246)),
ISNUMBER(SEARCH("TRAVEL ADAPTER",B246)),
ISNUMBER(SEARCH("RJ45",B246)),
ISNUMBER(SEARCH("USB-C",B246)),
ISNUMBER(SEARCH("USB WIFI",B246)),
ISNUMBER(SEARCH("POWERBANK",B246)),
ISNUMBER(SEARCH("CARGADOR",B246)),
ISNUMBER(SEARCH("COOLER PARA NB",B246)),
ISNUMBER(SEARCH("SOPORTE PARA NB",B246)),
ISNUMBER(SEARCH("WEBCAM",B246)),
ISNUMBER(SEARCH("WEB CAM",B246)),
ISNUMBER(SEARCH("MOUSE",B246)),
ISNUMBER(SEARCH("TECLADO",B246))
),
"COMPLEMENTO",
IF(
OR(
LEFT(A246,2)="NB",
LEFT(A246,2)="PC",
LEFT(A246,2)="WS",
LEFT(A246,2)="TB",
LEFT(A246,3)="CEL",
LEFT(A246,3)="MON",
LEFT(A246,3)="PRE",
LEFT(A246,3)="PRH",
ISNUMBER(SEARCH("NOTEBOOK",B246)),
ISNUMBER(SEARCH("LAPTOP",B246)),
ISNUMBER(SEARCH("MONITOR",B246)),
ISNUMBER(SEARCH("TABLET",B246)),
ISNUMBER(SEARCH("SMARTPH",B246)),
ISNUMBER(SEARCH("IMPRESORA",B246)),
ISNUMBER(SEARCH("MULTIFUNCIONAL",B246)),
ISNUMBER(SEARCH("AIO",B246))
),
"GANCHO",
"NORMAL"
)
)</f>
        <v>GANCHO</v>
      </c>
    </row>
    <row r="245" spans="1:12" x14ac:dyDescent="0.25">
      <c r="A245" s="3" t="s">
        <v>4507</v>
      </c>
      <c r="B245" s="3" t="s">
        <v>4508</v>
      </c>
      <c r="C245" s="1">
        <v>20</v>
      </c>
      <c r="D245" s="1">
        <v>170</v>
      </c>
      <c r="E245" s="1" t="s">
        <v>148</v>
      </c>
      <c r="F245" s="1" t="s">
        <v>4509</v>
      </c>
      <c r="G245" s="3" t="s">
        <v>5822</v>
      </c>
      <c r="H245" s="11">
        <f>ROUND(
IF(L243="GANCHO",
   IF(I245&lt;=50,I245*1.1+4,IF(I245&lt;=120,I245*1.1+7,IF(I245&lt;=250,I245*1.1+11,I245*1.1+19))),
IF(L243="NORMAL",
   IF(I245&lt;=30,I245*1.15+2,IF(I245&lt;=80,I245*1.15+4,IF(I245&lt;=150,I245*1.15+6,I245*1.15+8))),
IF(L243="COMPLEMENTO",
   IF(I245&lt;=25,I245*1.25+1.5,IF(I245&lt;=60,I245*1.25+3,IF(I245&lt;=120,I245*1.25+4,I245*1.25+5))),
""))),2)</f>
        <v>786.9</v>
      </c>
      <c r="I245" s="9">
        <f>($K$2+0.02)*Tabla1[[#This Row],[PRECIO $]]*1.18</f>
        <v>698.08799999999997</v>
      </c>
      <c r="J245" s="7">
        <f>+Tabla1[[#This Row],[PRECIO EN SOLES]]-Tabla1[[#This Row],[PC]]</f>
        <v>88.812000000000012</v>
      </c>
      <c r="K245" s="15"/>
      <c r="L245" s="15" t="str">
        <f>IF(
OR(
ISNUMBER(SEARCH("BACKPACK",B247)),
ISNUMBER(SEARCH("MOCHILA",B247)),
ISNUMBER(SEARCH("FUNDA",B247)),
ISNUMBER(SEARCH("ESTUCHE",B247)),
ISNUMBER(SEARCH("BOOK COVER",B247)),
ISNUMBER(SEARCH("KEYBOARD PARA TABLET",B247)),
ISNUMBER(SEARCH("FLIP TABLET",B247)),
ISNUMBER(SEARCH("CASE FOR TABLET",B247)),
ISNUMBER(SEARCH("CABLE",B247)),
ISNUMBER(SEARCH("ADAPTADOR",B247)),
ISNUMBER(SEARCH("HUB",B247)),
ISNUMBER(SEARCH("DOCK",B247)),
ISNUMBER(SEARCH("MOUSE PAD",B247)),
ISNUMBER(SEARCH("MOUSEPAD",B247)),
ISNUMBER(SEARCH("SOPORTE",B247)),
ISNUMBER(SEARCH("STAND",B247)),
ISNUMBER(SEARCH("TRAVEL ADAPTER",B247)),
ISNUMBER(SEARCH("RJ45",B247)),
ISNUMBER(SEARCH("USB-C",B247)),
ISNUMBER(SEARCH("USB WIFI",B247)),
ISNUMBER(SEARCH("POWERBANK",B247)),
ISNUMBER(SEARCH("CARGADOR",B247)),
ISNUMBER(SEARCH("COOLER PARA NB",B247)),
ISNUMBER(SEARCH("SOPORTE PARA NB",B247)),
ISNUMBER(SEARCH("WEBCAM",B247)),
ISNUMBER(SEARCH("WEB CAM",B247)),
ISNUMBER(SEARCH("MOUSE",B247)),
ISNUMBER(SEARCH("TECLADO",B247))
),
"COMPLEMENTO",
IF(
OR(
LEFT(A247,2)="NB",
LEFT(A247,2)="PC",
LEFT(A247,2)="WS",
LEFT(A247,2)="TB",
LEFT(A247,3)="CEL",
LEFT(A247,3)="MON",
LEFT(A247,3)="PRE",
LEFT(A247,3)="PRH",
ISNUMBER(SEARCH("NOTEBOOK",B247)),
ISNUMBER(SEARCH("LAPTOP",B247)),
ISNUMBER(SEARCH("MONITOR",B247)),
ISNUMBER(SEARCH("TABLET",B247)),
ISNUMBER(SEARCH("SMARTPH",B247)),
ISNUMBER(SEARCH("IMPRESORA",B247)),
ISNUMBER(SEARCH("MULTIFUNCIONAL",B247)),
ISNUMBER(SEARCH("AIO",B247))
),
"GANCHO",
"NORMAL"
)
)</f>
        <v>GANCHO</v>
      </c>
    </row>
    <row r="246" spans="1:12" x14ac:dyDescent="0.25">
      <c r="A246" s="3" t="s">
        <v>4895</v>
      </c>
      <c r="B246" s="3" t="s">
        <v>4896</v>
      </c>
      <c r="C246" s="1">
        <v>7</v>
      </c>
      <c r="D246" s="1">
        <v>286</v>
      </c>
      <c r="E246" s="1" t="s">
        <v>148</v>
      </c>
      <c r="F246" s="1" t="s">
        <v>4897</v>
      </c>
      <c r="G246" s="3" t="s">
        <v>4898</v>
      </c>
      <c r="H246" s="11">
        <f>ROUND(
IF(L244="GANCHO",
   IF(I246&lt;=50,I246*1.1+4,IF(I246&lt;=120,I246*1.1+7,IF(I246&lt;=250,I246*1.1+11,I246*1.1+19))),
IF(L244="NORMAL",
   IF(I246&lt;=30,I246*1.15+2,IF(I246&lt;=80,I246*1.15+4,IF(I246&lt;=150,I246*1.15+6,I246*1.15+8))),
IF(L244="COMPLEMENTO",
   IF(I246&lt;=25,I246*1.25+1.5,IF(I246&lt;=60,I246*1.25+3,IF(I246&lt;=120,I246*1.25+4,I246*1.25+5))),
""))),2)</f>
        <v>1310.87</v>
      </c>
      <c r="I246" s="9">
        <f>($K$2+0.02)*Tabla1[[#This Row],[PRECIO $]]*1.18</f>
        <v>1174.4304</v>
      </c>
      <c r="J246" s="7">
        <f>+Tabla1[[#This Row],[PRECIO EN SOLES]]-Tabla1[[#This Row],[PC]]</f>
        <v>136.43959999999993</v>
      </c>
      <c r="K246" s="15"/>
      <c r="L246" s="15" t="str">
        <f>IF(
OR(
ISNUMBER(SEARCH("BACKPACK",B248)),
ISNUMBER(SEARCH("MOCHILA",B248)),
ISNUMBER(SEARCH("FUNDA",B248)),
ISNUMBER(SEARCH("ESTUCHE",B248)),
ISNUMBER(SEARCH("BOOK COVER",B248)),
ISNUMBER(SEARCH("KEYBOARD PARA TABLET",B248)),
ISNUMBER(SEARCH("FLIP TABLET",B248)),
ISNUMBER(SEARCH("CASE FOR TABLET",B248)),
ISNUMBER(SEARCH("CABLE",B248)),
ISNUMBER(SEARCH("ADAPTADOR",B248)),
ISNUMBER(SEARCH("HUB",B248)),
ISNUMBER(SEARCH("DOCK",B248)),
ISNUMBER(SEARCH("MOUSE PAD",B248)),
ISNUMBER(SEARCH("MOUSEPAD",B248)),
ISNUMBER(SEARCH("SOPORTE",B248)),
ISNUMBER(SEARCH("STAND",B248)),
ISNUMBER(SEARCH("TRAVEL ADAPTER",B248)),
ISNUMBER(SEARCH("RJ45",B248)),
ISNUMBER(SEARCH("USB-C",B248)),
ISNUMBER(SEARCH("USB WIFI",B248)),
ISNUMBER(SEARCH("POWERBANK",B248)),
ISNUMBER(SEARCH("CARGADOR",B248)),
ISNUMBER(SEARCH("COOLER PARA NB",B248)),
ISNUMBER(SEARCH("SOPORTE PARA NB",B248)),
ISNUMBER(SEARCH("WEBCAM",B248)),
ISNUMBER(SEARCH("WEB CAM",B248)),
ISNUMBER(SEARCH("MOUSE",B248)),
ISNUMBER(SEARCH("TECLADO",B248))
),
"COMPLEMENTO",
IF(
OR(
LEFT(A248,2)="NB",
LEFT(A248,2)="PC",
LEFT(A248,2)="WS",
LEFT(A248,2)="TB",
LEFT(A248,3)="CEL",
LEFT(A248,3)="MON",
LEFT(A248,3)="PRE",
LEFT(A248,3)="PRH",
ISNUMBER(SEARCH("NOTEBOOK",B248)),
ISNUMBER(SEARCH("LAPTOP",B248)),
ISNUMBER(SEARCH("MONITOR",B248)),
ISNUMBER(SEARCH("TABLET",B248)),
ISNUMBER(SEARCH("SMARTPH",B248)),
ISNUMBER(SEARCH("IMPRESORA",B248)),
ISNUMBER(SEARCH("MULTIFUNCIONAL",B248)),
ISNUMBER(SEARCH("AIO",B248))
),
"GANCHO",
"NORMAL"
)
)</f>
        <v>NORMAL</v>
      </c>
    </row>
    <row r="247" spans="1:12" x14ac:dyDescent="0.25">
      <c r="A247" s="3" t="s">
        <v>165</v>
      </c>
      <c r="B247" s="3" t="s">
        <v>166</v>
      </c>
      <c r="C247" s="1">
        <v>4</v>
      </c>
      <c r="D247" s="1">
        <v>150</v>
      </c>
      <c r="E247" s="1" t="s">
        <v>148</v>
      </c>
      <c r="F247" s="1" t="s">
        <v>3192</v>
      </c>
      <c r="G247" s="3" t="s">
        <v>167</v>
      </c>
      <c r="H247" s="11">
        <f>ROUND(
IF(L245="GANCHO",
   IF(I247&lt;=50,I247*1.1+4,IF(I247&lt;=120,I247*1.1+7,IF(I247&lt;=250,I247*1.1+11,I247*1.1+19))),
IF(L245="NORMAL",
   IF(I247&lt;=30,I247*1.15+2,IF(I247&lt;=80,I247*1.15+4,IF(I247&lt;=150,I247*1.15+6,I247*1.15+8))),
IF(L245="COMPLEMENTO",
   IF(I247&lt;=25,I247*1.25+1.5,IF(I247&lt;=60,I247*1.25+3,IF(I247&lt;=120,I247*1.25+4,I247*1.25+5))),
""))),2)</f>
        <v>696.56</v>
      </c>
      <c r="I247" s="9">
        <f>($K$2+0.02)*Tabla1[[#This Row],[PRECIO $]]*1.18</f>
        <v>615.95999999999992</v>
      </c>
      <c r="J247" s="7">
        <f>+Tabla1[[#This Row],[PRECIO EN SOLES]]-Tabla1[[#This Row],[PC]]</f>
        <v>80.600000000000023</v>
      </c>
      <c r="K247" s="15"/>
      <c r="L247" s="15" t="str">
        <f>IF(
OR(
ISNUMBER(SEARCH("BACKPACK",B249)),
ISNUMBER(SEARCH("MOCHILA",B249)),
ISNUMBER(SEARCH("FUNDA",B249)),
ISNUMBER(SEARCH("ESTUCHE",B249)),
ISNUMBER(SEARCH("BOOK COVER",B249)),
ISNUMBER(SEARCH("KEYBOARD PARA TABLET",B249)),
ISNUMBER(SEARCH("FLIP TABLET",B249)),
ISNUMBER(SEARCH("CASE FOR TABLET",B249)),
ISNUMBER(SEARCH("CABLE",B249)),
ISNUMBER(SEARCH("ADAPTADOR",B249)),
ISNUMBER(SEARCH("HUB",B249)),
ISNUMBER(SEARCH("DOCK",B249)),
ISNUMBER(SEARCH("MOUSE PAD",B249)),
ISNUMBER(SEARCH("MOUSEPAD",B249)),
ISNUMBER(SEARCH("SOPORTE",B249)),
ISNUMBER(SEARCH("STAND",B249)),
ISNUMBER(SEARCH("TRAVEL ADAPTER",B249)),
ISNUMBER(SEARCH("RJ45",B249)),
ISNUMBER(SEARCH("USB-C",B249)),
ISNUMBER(SEARCH("USB WIFI",B249)),
ISNUMBER(SEARCH("POWERBANK",B249)),
ISNUMBER(SEARCH("CARGADOR",B249)),
ISNUMBER(SEARCH("COOLER PARA NB",B249)),
ISNUMBER(SEARCH("SOPORTE PARA NB",B249)),
ISNUMBER(SEARCH("WEBCAM",B249)),
ISNUMBER(SEARCH("WEB CAM",B249)),
ISNUMBER(SEARCH("MOUSE",B249)),
ISNUMBER(SEARCH("TECLADO",B249))
),
"COMPLEMENTO",
IF(
OR(
LEFT(A249,2)="NB",
LEFT(A249,2)="PC",
LEFT(A249,2)="WS",
LEFT(A249,2)="TB",
LEFT(A249,3)="CEL",
LEFT(A249,3)="MON",
LEFT(A249,3)="PRE",
LEFT(A249,3)="PRH",
ISNUMBER(SEARCH("NOTEBOOK",B249)),
ISNUMBER(SEARCH("LAPTOP",B249)),
ISNUMBER(SEARCH("MONITOR",B249)),
ISNUMBER(SEARCH("TABLET",B249)),
ISNUMBER(SEARCH("SMARTPH",B249)),
ISNUMBER(SEARCH("IMPRESORA",B249)),
ISNUMBER(SEARCH("MULTIFUNCIONAL",B249)),
ISNUMBER(SEARCH("AIO",B249))
),
"GANCHO",
"NORMAL"
)
)</f>
        <v>GANCHO</v>
      </c>
    </row>
    <row r="248" spans="1:12" x14ac:dyDescent="0.25">
      <c r="A248" s="3" t="s">
        <v>6275</v>
      </c>
      <c r="B248" s="3" t="s">
        <v>6276</v>
      </c>
      <c r="C248" s="1">
        <v>20</v>
      </c>
      <c r="D248" s="1">
        <v>30.3</v>
      </c>
      <c r="E248" s="1" t="s">
        <v>52</v>
      </c>
      <c r="F248" s="1" t="s">
        <v>6277</v>
      </c>
      <c r="G248" s="3" t="s">
        <v>6278</v>
      </c>
      <c r="H248" s="11">
        <f>ROUND(
IF(L246="GANCHO",
   IF(I248&lt;=50,I248*1.1+4,IF(I248&lt;=120,I248*1.1+7,IF(I248&lt;=250,I248*1.1+11,I248*1.1+19))),
IF(L246="NORMAL",
   IF(I248&lt;=30,I248*1.15+2,IF(I248&lt;=80,I248*1.15+4,IF(I248&lt;=150,I248*1.15+6,I248*1.15+8))),
IF(L246="COMPLEMENTO",
   IF(I248&lt;=25,I248*1.25+1.5,IF(I248&lt;=60,I248*1.25+3,IF(I248&lt;=120,I248*1.25+4,I248*1.25+5))),
""))),2)</f>
        <v>149.09</v>
      </c>
      <c r="I248" s="9">
        <f>($K$2+0.02)*Tabla1[[#This Row],[PRECIO $]]*1.18</f>
        <v>124.42392</v>
      </c>
      <c r="J248" s="7">
        <f>+Tabla1[[#This Row],[PRECIO EN SOLES]]-Tabla1[[#This Row],[PC]]</f>
        <v>24.666080000000008</v>
      </c>
      <c r="K248" s="15"/>
      <c r="L248" s="15" t="str">
        <f>IF(
OR(
ISNUMBER(SEARCH("BACKPACK",B250)),
ISNUMBER(SEARCH("MOCHILA",B250)),
ISNUMBER(SEARCH("FUNDA",B250)),
ISNUMBER(SEARCH("ESTUCHE",B250)),
ISNUMBER(SEARCH("BOOK COVER",B250)),
ISNUMBER(SEARCH("KEYBOARD PARA TABLET",B250)),
ISNUMBER(SEARCH("FLIP TABLET",B250)),
ISNUMBER(SEARCH("CASE FOR TABLET",B250)),
ISNUMBER(SEARCH("CABLE",B250)),
ISNUMBER(SEARCH("ADAPTADOR",B250)),
ISNUMBER(SEARCH("HUB",B250)),
ISNUMBER(SEARCH("DOCK",B250)),
ISNUMBER(SEARCH("MOUSE PAD",B250)),
ISNUMBER(SEARCH("MOUSEPAD",B250)),
ISNUMBER(SEARCH("SOPORTE",B250)),
ISNUMBER(SEARCH("STAND",B250)),
ISNUMBER(SEARCH("TRAVEL ADAPTER",B250)),
ISNUMBER(SEARCH("RJ45",B250)),
ISNUMBER(SEARCH("USB-C",B250)),
ISNUMBER(SEARCH("USB WIFI",B250)),
ISNUMBER(SEARCH("POWERBANK",B250)),
ISNUMBER(SEARCH("CARGADOR",B250)),
ISNUMBER(SEARCH("COOLER PARA NB",B250)),
ISNUMBER(SEARCH("SOPORTE PARA NB",B250)),
ISNUMBER(SEARCH("WEBCAM",B250)),
ISNUMBER(SEARCH("WEB CAM",B250)),
ISNUMBER(SEARCH("MOUSE",B250)),
ISNUMBER(SEARCH("TECLADO",B250))
),
"COMPLEMENTO",
IF(
OR(
LEFT(A250,2)="NB",
LEFT(A250,2)="PC",
LEFT(A250,2)="WS",
LEFT(A250,2)="TB",
LEFT(A250,3)="CEL",
LEFT(A250,3)="MON",
LEFT(A250,3)="PRE",
LEFT(A250,3)="PRH",
ISNUMBER(SEARCH("NOTEBOOK",B250)),
ISNUMBER(SEARCH("LAPTOP",B250)),
ISNUMBER(SEARCH("MONITOR",B250)),
ISNUMBER(SEARCH("TABLET",B250)),
ISNUMBER(SEARCH("SMARTPH",B250)),
ISNUMBER(SEARCH("IMPRESORA",B250)),
ISNUMBER(SEARCH("MULTIFUNCIONAL",B250)),
ISNUMBER(SEARCH("AIO",B250))
),
"GANCHO",
"NORMAL"
)
)</f>
        <v>NORMAL</v>
      </c>
    </row>
    <row r="249" spans="1:12" x14ac:dyDescent="0.25">
      <c r="A249" s="3" t="s">
        <v>5823</v>
      </c>
      <c r="B249" s="3" t="s">
        <v>5824</v>
      </c>
      <c r="C249" s="1">
        <v>0</v>
      </c>
      <c r="D249" s="1">
        <v>81</v>
      </c>
      <c r="E249" s="1" t="s">
        <v>906</v>
      </c>
      <c r="F249" s="1" t="s">
        <v>5825</v>
      </c>
      <c r="G249" s="3"/>
      <c r="H249" s="11">
        <f>ROUND(
IF(L247="GANCHO",
   IF(I249&lt;=50,I249*1.1+4,IF(I249&lt;=120,I249*1.1+7,IF(I249&lt;=250,I249*1.1+11,I249*1.1+19))),
IF(L247="NORMAL",
   IF(I249&lt;=30,I249*1.15+2,IF(I249&lt;=80,I249*1.15+4,IF(I249&lt;=150,I249*1.15+6,I249*1.15+8))),
IF(L247="COMPLEMENTO",
   IF(I249&lt;=25,I249*1.25+1.5,IF(I249&lt;=60,I249*1.25+3,IF(I249&lt;=120,I249*1.25+4,I249*1.25+5))),
""))),2)</f>
        <v>384.88</v>
      </c>
      <c r="I249" s="9">
        <f>($K$2+0.02)*Tabla1[[#This Row],[PRECIO $]]*1.18</f>
        <v>332.61839999999995</v>
      </c>
      <c r="J249" s="7">
        <f>+Tabla1[[#This Row],[PRECIO EN SOLES]]-Tabla1[[#This Row],[PC]]</f>
        <v>52.261600000000044</v>
      </c>
      <c r="K249" s="15"/>
      <c r="L249" s="15" t="str">
        <f>IF(
OR(
ISNUMBER(SEARCH("BACKPACK",B251)),
ISNUMBER(SEARCH("MOCHILA",B251)),
ISNUMBER(SEARCH("FUNDA",B251)),
ISNUMBER(SEARCH("ESTUCHE",B251)),
ISNUMBER(SEARCH("BOOK COVER",B251)),
ISNUMBER(SEARCH("KEYBOARD PARA TABLET",B251)),
ISNUMBER(SEARCH("FLIP TABLET",B251)),
ISNUMBER(SEARCH("CASE FOR TABLET",B251)),
ISNUMBER(SEARCH("CABLE",B251)),
ISNUMBER(SEARCH("ADAPTADOR",B251)),
ISNUMBER(SEARCH("HUB",B251)),
ISNUMBER(SEARCH("DOCK",B251)),
ISNUMBER(SEARCH("MOUSE PAD",B251)),
ISNUMBER(SEARCH("MOUSEPAD",B251)),
ISNUMBER(SEARCH("SOPORTE",B251)),
ISNUMBER(SEARCH("STAND",B251)),
ISNUMBER(SEARCH("TRAVEL ADAPTER",B251)),
ISNUMBER(SEARCH("RJ45",B251)),
ISNUMBER(SEARCH("USB-C",B251)),
ISNUMBER(SEARCH("USB WIFI",B251)),
ISNUMBER(SEARCH("POWERBANK",B251)),
ISNUMBER(SEARCH("CARGADOR",B251)),
ISNUMBER(SEARCH("COOLER PARA NB",B251)),
ISNUMBER(SEARCH("SOPORTE PARA NB",B251)),
ISNUMBER(SEARCH("WEBCAM",B251)),
ISNUMBER(SEARCH("WEB CAM",B251)),
ISNUMBER(SEARCH("MOUSE",B251)),
ISNUMBER(SEARCH("TECLADO",B251))
),
"COMPLEMENTO",
IF(
OR(
LEFT(A251,2)="NB",
LEFT(A251,2)="PC",
LEFT(A251,2)="WS",
LEFT(A251,2)="TB",
LEFT(A251,3)="CEL",
LEFT(A251,3)="MON",
LEFT(A251,3)="PRE",
LEFT(A251,3)="PRH",
ISNUMBER(SEARCH("NOTEBOOK",B251)),
ISNUMBER(SEARCH("LAPTOP",B251)),
ISNUMBER(SEARCH("MONITOR",B251)),
ISNUMBER(SEARCH("TABLET",B251)),
ISNUMBER(SEARCH("SMARTPH",B251)),
ISNUMBER(SEARCH("IMPRESORA",B251)),
ISNUMBER(SEARCH("MULTIFUNCIONAL",B251)),
ISNUMBER(SEARCH("AIO",B251))
),
"GANCHO",
"NORMAL"
)
)</f>
        <v>GANCHO</v>
      </c>
    </row>
    <row r="250" spans="1:12" x14ac:dyDescent="0.25">
      <c r="A250" s="3" t="s">
        <v>996</v>
      </c>
      <c r="B250" s="3" t="s">
        <v>997</v>
      </c>
      <c r="C250" s="1">
        <v>20</v>
      </c>
      <c r="D250" s="1">
        <v>42.2</v>
      </c>
      <c r="E250" s="1" t="s">
        <v>52</v>
      </c>
      <c r="F250" s="1" t="s">
        <v>3193</v>
      </c>
      <c r="G250" s="3" t="s">
        <v>4776</v>
      </c>
      <c r="H250" s="11">
        <f>ROUND(
IF(L248="GANCHO",
   IF(I250&lt;=50,I250*1.1+4,IF(I250&lt;=120,I250*1.1+7,IF(I250&lt;=250,I250*1.1+11,I250*1.1+19))),
IF(L248="NORMAL",
   IF(I250&lt;=30,I250*1.15+2,IF(I250&lt;=80,I250*1.15+4,IF(I250&lt;=150,I250*1.15+6,I250*1.15+8))),
IF(L248="COMPLEMENTO",
   IF(I250&lt;=25,I250*1.25+1.5,IF(I250&lt;=60,I250*1.25+3,IF(I250&lt;=120,I250*1.25+4,I250*1.25+5))),
""))),2)</f>
        <v>207.28</v>
      </c>
      <c r="I250" s="9">
        <f>($K$2+0.02)*Tabla1[[#This Row],[PRECIO $]]*1.18</f>
        <v>173.29008000000002</v>
      </c>
      <c r="J250" s="7">
        <f>+Tabla1[[#This Row],[PRECIO EN SOLES]]-Tabla1[[#This Row],[PC]]</f>
        <v>33.989919999999984</v>
      </c>
      <c r="K250" s="15"/>
      <c r="L250" s="15" t="str">
        <f>IF(
OR(
ISNUMBER(SEARCH("BACKPACK",B252)),
ISNUMBER(SEARCH("MOCHILA",B252)),
ISNUMBER(SEARCH("FUNDA",B252)),
ISNUMBER(SEARCH("ESTUCHE",B252)),
ISNUMBER(SEARCH("BOOK COVER",B252)),
ISNUMBER(SEARCH("KEYBOARD PARA TABLET",B252)),
ISNUMBER(SEARCH("FLIP TABLET",B252)),
ISNUMBER(SEARCH("CASE FOR TABLET",B252)),
ISNUMBER(SEARCH("CABLE",B252)),
ISNUMBER(SEARCH("ADAPTADOR",B252)),
ISNUMBER(SEARCH("HUB",B252)),
ISNUMBER(SEARCH("DOCK",B252)),
ISNUMBER(SEARCH("MOUSE PAD",B252)),
ISNUMBER(SEARCH("MOUSEPAD",B252)),
ISNUMBER(SEARCH("SOPORTE",B252)),
ISNUMBER(SEARCH("STAND",B252)),
ISNUMBER(SEARCH("TRAVEL ADAPTER",B252)),
ISNUMBER(SEARCH("RJ45",B252)),
ISNUMBER(SEARCH("USB-C",B252)),
ISNUMBER(SEARCH("USB WIFI",B252)),
ISNUMBER(SEARCH("POWERBANK",B252)),
ISNUMBER(SEARCH("CARGADOR",B252)),
ISNUMBER(SEARCH("COOLER PARA NB",B252)),
ISNUMBER(SEARCH("SOPORTE PARA NB",B252)),
ISNUMBER(SEARCH("WEBCAM",B252)),
ISNUMBER(SEARCH("WEB CAM",B252)),
ISNUMBER(SEARCH("MOUSE",B252)),
ISNUMBER(SEARCH("TECLADO",B252))
),
"COMPLEMENTO",
IF(
OR(
LEFT(A252,2)="NB",
LEFT(A252,2)="PC",
LEFT(A252,2)="WS",
LEFT(A252,2)="TB",
LEFT(A252,3)="CEL",
LEFT(A252,3)="MON",
LEFT(A252,3)="PRE",
LEFT(A252,3)="PRH",
ISNUMBER(SEARCH("NOTEBOOK",B252)),
ISNUMBER(SEARCH("LAPTOP",B252)),
ISNUMBER(SEARCH("MONITOR",B252)),
ISNUMBER(SEARCH("TABLET",B252)),
ISNUMBER(SEARCH("SMARTPH",B252)),
ISNUMBER(SEARCH("IMPRESORA",B252)),
ISNUMBER(SEARCH("MULTIFUNCIONAL",B252)),
ISNUMBER(SEARCH("AIO",B252))
),
"GANCHO",
"NORMAL"
)
)</f>
        <v>NORMAL</v>
      </c>
    </row>
    <row r="251" spans="1:12" x14ac:dyDescent="0.25">
      <c r="A251" s="3" t="s">
        <v>4568</v>
      </c>
      <c r="B251" s="3" t="s">
        <v>4569</v>
      </c>
      <c r="C251" s="1">
        <v>4</v>
      </c>
      <c r="D251" s="1">
        <v>56.55</v>
      </c>
      <c r="E251" s="1" t="s">
        <v>226</v>
      </c>
      <c r="F251" s="1" t="s">
        <v>4570</v>
      </c>
      <c r="G251" s="3" t="s">
        <v>4571</v>
      </c>
      <c r="H251" s="11">
        <f>ROUND(
IF(L249="GANCHO",
   IF(I251&lt;=50,I251*1.1+4,IF(I251&lt;=120,I251*1.1+7,IF(I251&lt;=250,I251*1.1+11,I251*1.1+19))),
IF(L249="NORMAL",
   IF(I251&lt;=30,I251*1.15+2,IF(I251&lt;=80,I251*1.15+4,IF(I251&lt;=150,I251*1.15+6,I251*1.15+8))),
IF(L249="COMPLEMENTO",
   IF(I251&lt;=25,I251*1.25+1.5,IF(I251&lt;=60,I251*1.25+3,IF(I251&lt;=120,I251*1.25+4,I251*1.25+5))),
""))),2)</f>
        <v>266.44</v>
      </c>
      <c r="I251" s="9">
        <f>($K$2+0.02)*Tabla1[[#This Row],[PRECIO $]]*1.18</f>
        <v>232.21691999999996</v>
      </c>
      <c r="J251" s="7">
        <f>+Tabla1[[#This Row],[PRECIO EN SOLES]]-Tabla1[[#This Row],[PC]]</f>
        <v>34.223080000000039</v>
      </c>
      <c r="K251" s="15"/>
      <c r="L251" s="15" t="str">
        <f>IF(
OR(
ISNUMBER(SEARCH("BACKPACK",B253)),
ISNUMBER(SEARCH("MOCHILA",B253)),
ISNUMBER(SEARCH("FUNDA",B253)),
ISNUMBER(SEARCH("ESTUCHE",B253)),
ISNUMBER(SEARCH("BOOK COVER",B253)),
ISNUMBER(SEARCH("KEYBOARD PARA TABLET",B253)),
ISNUMBER(SEARCH("FLIP TABLET",B253)),
ISNUMBER(SEARCH("CASE FOR TABLET",B253)),
ISNUMBER(SEARCH("CABLE",B253)),
ISNUMBER(SEARCH("ADAPTADOR",B253)),
ISNUMBER(SEARCH("HUB",B253)),
ISNUMBER(SEARCH("DOCK",B253)),
ISNUMBER(SEARCH("MOUSE PAD",B253)),
ISNUMBER(SEARCH("MOUSEPAD",B253)),
ISNUMBER(SEARCH("SOPORTE",B253)),
ISNUMBER(SEARCH("STAND",B253)),
ISNUMBER(SEARCH("TRAVEL ADAPTER",B253)),
ISNUMBER(SEARCH("RJ45",B253)),
ISNUMBER(SEARCH("USB-C",B253)),
ISNUMBER(SEARCH("USB WIFI",B253)),
ISNUMBER(SEARCH("POWERBANK",B253)),
ISNUMBER(SEARCH("CARGADOR",B253)),
ISNUMBER(SEARCH("COOLER PARA NB",B253)),
ISNUMBER(SEARCH("SOPORTE PARA NB",B253)),
ISNUMBER(SEARCH("WEBCAM",B253)),
ISNUMBER(SEARCH("WEB CAM",B253)),
ISNUMBER(SEARCH("MOUSE",B253)),
ISNUMBER(SEARCH("TECLADO",B253))
),
"COMPLEMENTO",
IF(
OR(
LEFT(A253,2)="NB",
LEFT(A253,2)="PC",
LEFT(A253,2)="WS",
LEFT(A253,2)="TB",
LEFT(A253,3)="CEL",
LEFT(A253,3)="MON",
LEFT(A253,3)="PRE",
LEFT(A253,3)="PRH",
ISNUMBER(SEARCH("NOTEBOOK",B253)),
ISNUMBER(SEARCH("LAPTOP",B253)),
ISNUMBER(SEARCH("MONITOR",B253)),
ISNUMBER(SEARCH("TABLET",B253)),
ISNUMBER(SEARCH("SMARTPH",B253)),
ISNUMBER(SEARCH("IMPRESORA",B253)),
ISNUMBER(SEARCH("MULTIFUNCIONAL",B253)),
ISNUMBER(SEARCH("AIO",B253))
),
"GANCHO",
"NORMAL"
)
)</f>
        <v>NORMAL</v>
      </c>
    </row>
    <row r="252" spans="1:12" x14ac:dyDescent="0.25">
      <c r="A252" s="3" t="s">
        <v>5826</v>
      </c>
      <c r="B252" s="3" t="s">
        <v>5827</v>
      </c>
      <c r="C252" s="1">
        <v>20</v>
      </c>
      <c r="D252" s="1">
        <v>52.6</v>
      </c>
      <c r="E252" s="1" t="s">
        <v>121</v>
      </c>
      <c r="F252" s="1" t="s">
        <v>5828</v>
      </c>
      <c r="G252" s="3" t="s">
        <v>5829</v>
      </c>
      <c r="H252" s="11">
        <f>ROUND(
IF(L250="GANCHO",
   IF(I252&lt;=50,I252*1.1+4,IF(I252&lt;=120,I252*1.1+7,IF(I252&lt;=250,I252*1.1+11,I252*1.1+19))),
IF(L250="NORMAL",
   IF(I252&lt;=30,I252*1.15+2,IF(I252&lt;=80,I252*1.15+4,IF(I252&lt;=150,I252*1.15+6,I252*1.15+8))),
IF(L250="COMPLEMENTO",
   IF(I252&lt;=25,I252*1.25+1.5,IF(I252&lt;=60,I252*1.25+3,IF(I252&lt;=120,I252*1.25+4,I252*1.25+5))),
""))),2)</f>
        <v>256.39999999999998</v>
      </c>
      <c r="I252" s="9">
        <f>($K$2+0.02)*Tabla1[[#This Row],[PRECIO $]]*1.18</f>
        <v>215.99663999999999</v>
      </c>
      <c r="J252" s="7">
        <f>+Tabla1[[#This Row],[PRECIO EN SOLES]]-Tabla1[[#This Row],[PC]]</f>
        <v>40.403359999999992</v>
      </c>
      <c r="K252" s="15"/>
      <c r="L252" s="15" t="str">
        <f>IF(
OR(
ISNUMBER(SEARCH("BACKPACK",B254)),
ISNUMBER(SEARCH("MOCHILA",B254)),
ISNUMBER(SEARCH("FUNDA",B254)),
ISNUMBER(SEARCH("ESTUCHE",B254)),
ISNUMBER(SEARCH("BOOK COVER",B254)),
ISNUMBER(SEARCH("KEYBOARD PARA TABLET",B254)),
ISNUMBER(SEARCH("FLIP TABLET",B254)),
ISNUMBER(SEARCH("CASE FOR TABLET",B254)),
ISNUMBER(SEARCH("CABLE",B254)),
ISNUMBER(SEARCH("ADAPTADOR",B254)),
ISNUMBER(SEARCH("HUB",B254)),
ISNUMBER(SEARCH("DOCK",B254)),
ISNUMBER(SEARCH("MOUSE PAD",B254)),
ISNUMBER(SEARCH("MOUSEPAD",B254)),
ISNUMBER(SEARCH("SOPORTE",B254)),
ISNUMBER(SEARCH("STAND",B254)),
ISNUMBER(SEARCH("TRAVEL ADAPTER",B254)),
ISNUMBER(SEARCH("RJ45",B254)),
ISNUMBER(SEARCH("USB-C",B254)),
ISNUMBER(SEARCH("USB WIFI",B254)),
ISNUMBER(SEARCH("POWERBANK",B254)),
ISNUMBER(SEARCH("CARGADOR",B254)),
ISNUMBER(SEARCH("COOLER PARA NB",B254)),
ISNUMBER(SEARCH("SOPORTE PARA NB",B254)),
ISNUMBER(SEARCH("WEBCAM",B254)),
ISNUMBER(SEARCH("WEB CAM",B254)),
ISNUMBER(SEARCH("MOUSE",B254)),
ISNUMBER(SEARCH("TECLADO",B254))
),
"COMPLEMENTO",
IF(
OR(
LEFT(A254,2)="NB",
LEFT(A254,2)="PC",
LEFT(A254,2)="WS",
LEFT(A254,2)="TB",
LEFT(A254,3)="CEL",
LEFT(A254,3)="MON",
LEFT(A254,3)="PRE",
LEFT(A254,3)="PRH",
ISNUMBER(SEARCH("NOTEBOOK",B254)),
ISNUMBER(SEARCH("LAPTOP",B254)),
ISNUMBER(SEARCH("MONITOR",B254)),
ISNUMBER(SEARCH("TABLET",B254)),
ISNUMBER(SEARCH("SMARTPH",B254)),
ISNUMBER(SEARCH("IMPRESORA",B254)),
ISNUMBER(SEARCH("MULTIFUNCIONAL",B254)),
ISNUMBER(SEARCH("AIO",B254))
),
"GANCHO",
"NORMAL"
)
)</f>
        <v>NORMAL</v>
      </c>
    </row>
    <row r="253" spans="1:12" x14ac:dyDescent="0.25">
      <c r="A253" s="3" t="s">
        <v>5830</v>
      </c>
      <c r="B253" s="3" t="s">
        <v>5831</v>
      </c>
      <c r="C253" s="1">
        <v>20</v>
      </c>
      <c r="D253" s="1">
        <v>55.9</v>
      </c>
      <c r="E253" s="1" t="s">
        <v>121</v>
      </c>
      <c r="F253" s="1" t="s">
        <v>5832</v>
      </c>
      <c r="G253" s="3" t="s">
        <v>5833</v>
      </c>
      <c r="H253" s="11">
        <f>ROUND(
IF(L251="GANCHO",
   IF(I253&lt;=50,I253*1.1+4,IF(I253&lt;=120,I253*1.1+7,IF(I253&lt;=250,I253*1.1+11,I253*1.1+19))),
IF(L251="NORMAL",
   IF(I253&lt;=30,I253*1.15+2,IF(I253&lt;=80,I253*1.15+4,IF(I253&lt;=150,I253*1.15+6,I253*1.15+8))),
IF(L251="COMPLEMENTO",
   IF(I253&lt;=25,I253*1.25+1.5,IF(I253&lt;=60,I253*1.25+3,IF(I253&lt;=120,I253*1.25+4,I253*1.25+5))),
""))),2)</f>
        <v>271.98</v>
      </c>
      <c r="I253" s="9">
        <f>($K$2+0.02)*Tabla1[[#This Row],[PRECIO $]]*1.18</f>
        <v>229.54775999999995</v>
      </c>
      <c r="J253" s="7">
        <f>+Tabla1[[#This Row],[PRECIO EN SOLES]]-Tabla1[[#This Row],[PC]]</f>
        <v>42.432240000000064</v>
      </c>
      <c r="K253" s="15"/>
      <c r="L253" s="15" t="str">
        <f>IF(
OR(
ISNUMBER(SEARCH("BACKPACK",B255)),
ISNUMBER(SEARCH("MOCHILA",B255)),
ISNUMBER(SEARCH("FUNDA",B255)),
ISNUMBER(SEARCH("ESTUCHE",B255)),
ISNUMBER(SEARCH("BOOK COVER",B255)),
ISNUMBER(SEARCH("KEYBOARD PARA TABLET",B255)),
ISNUMBER(SEARCH("FLIP TABLET",B255)),
ISNUMBER(SEARCH("CASE FOR TABLET",B255)),
ISNUMBER(SEARCH("CABLE",B255)),
ISNUMBER(SEARCH("ADAPTADOR",B255)),
ISNUMBER(SEARCH("HUB",B255)),
ISNUMBER(SEARCH("DOCK",B255)),
ISNUMBER(SEARCH("MOUSE PAD",B255)),
ISNUMBER(SEARCH("MOUSEPAD",B255)),
ISNUMBER(SEARCH("SOPORTE",B255)),
ISNUMBER(SEARCH("STAND",B255)),
ISNUMBER(SEARCH("TRAVEL ADAPTER",B255)),
ISNUMBER(SEARCH("RJ45",B255)),
ISNUMBER(SEARCH("USB-C",B255)),
ISNUMBER(SEARCH("USB WIFI",B255)),
ISNUMBER(SEARCH("POWERBANK",B255)),
ISNUMBER(SEARCH("CARGADOR",B255)),
ISNUMBER(SEARCH("COOLER PARA NB",B255)),
ISNUMBER(SEARCH("SOPORTE PARA NB",B255)),
ISNUMBER(SEARCH("WEBCAM",B255)),
ISNUMBER(SEARCH("WEB CAM",B255)),
ISNUMBER(SEARCH("MOUSE",B255)),
ISNUMBER(SEARCH("TECLADO",B255))
),
"COMPLEMENTO",
IF(
OR(
LEFT(A255,2)="NB",
LEFT(A255,2)="PC",
LEFT(A255,2)="WS",
LEFT(A255,2)="TB",
LEFT(A255,3)="CEL",
LEFT(A255,3)="MON",
LEFT(A255,3)="PRE",
LEFT(A255,3)="PRH",
ISNUMBER(SEARCH("NOTEBOOK",B255)),
ISNUMBER(SEARCH("LAPTOP",B255)),
ISNUMBER(SEARCH("MONITOR",B255)),
ISNUMBER(SEARCH("TABLET",B255)),
ISNUMBER(SEARCH("SMARTPH",B255)),
ISNUMBER(SEARCH("IMPRESORA",B255)),
ISNUMBER(SEARCH("MULTIFUNCIONAL",B255)),
ISNUMBER(SEARCH("AIO",B255))
),
"GANCHO",
"NORMAL"
)
)</f>
        <v>GANCHO</v>
      </c>
    </row>
    <row r="254" spans="1:12" x14ac:dyDescent="0.25">
      <c r="A254" s="3" t="s">
        <v>3033</v>
      </c>
      <c r="B254" s="3" t="s">
        <v>3034</v>
      </c>
      <c r="C254" s="1">
        <v>20</v>
      </c>
      <c r="D254" s="1">
        <v>54</v>
      </c>
      <c r="E254" s="1" t="s">
        <v>3029</v>
      </c>
      <c r="F254" s="1" t="s">
        <v>3194</v>
      </c>
      <c r="G254" s="3" t="s">
        <v>4899</v>
      </c>
      <c r="H254" s="11">
        <f>ROUND(
IF(L252="GANCHO",
   IF(I254&lt;=50,I254*1.1+4,IF(I254&lt;=120,I254*1.1+7,IF(I254&lt;=250,I254*1.1+11,I254*1.1+19))),
IF(L252="NORMAL",
   IF(I254&lt;=30,I254*1.15+2,IF(I254&lt;=80,I254*1.15+4,IF(I254&lt;=150,I254*1.15+6,I254*1.15+8))),
IF(L252="COMPLEMENTO",
   IF(I254&lt;=25,I254*1.25+1.5,IF(I254&lt;=60,I254*1.25+3,IF(I254&lt;=120,I254*1.25+4,I254*1.25+5))),
""))),2)</f>
        <v>263.01</v>
      </c>
      <c r="I254" s="9">
        <f>($K$2+0.02)*Tabla1[[#This Row],[PRECIO $]]*1.18</f>
        <v>221.74559999999997</v>
      </c>
      <c r="J254" s="7">
        <f>+Tabla1[[#This Row],[PRECIO EN SOLES]]-Tabla1[[#This Row],[PC]]</f>
        <v>41.264400000000023</v>
      </c>
      <c r="K254" s="15"/>
      <c r="L254" s="15" t="str">
        <f>IF(
OR(
ISNUMBER(SEARCH("BACKPACK",B256)),
ISNUMBER(SEARCH("MOCHILA",B256)),
ISNUMBER(SEARCH("FUNDA",B256)),
ISNUMBER(SEARCH("ESTUCHE",B256)),
ISNUMBER(SEARCH("BOOK COVER",B256)),
ISNUMBER(SEARCH("KEYBOARD PARA TABLET",B256)),
ISNUMBER(SEARCH("FLIP TABLET",B256)),
ISNUMBER(SEARCH("CASE FOR TABLET",B256)),
ISNUMBER(SEARCH("CABLE",B256)),
ISNUMBER(SEARCH("ADAPTADOR",B256)),
ISNUMBER(SEARCH("HUB",B256)),
ISNUMBER(SEARCH("DOCK",B256)),
ISNUMBER(SEARCH("MOUSE PAD",B256)),
ISNUMBER(SEARCH("MOUSEPAD",B256)),
ISNUMBER(SEARCH("SOPORTE",B256)),
ISNUMBER(SEARCH("STAND",B256)),
ISNUMBER(SEARCH("TRAVEL ADAPTER",B256)),
ISNUMBER(SEARCH("RJ45",B256)),
ISNUMBER(SEARCH("USB-C",B256)),
ISNUMBER(SEARCH("USB WIFI",B256)),
ISNUMBER(SEARCH("POWERBANK",B256)),
ISNUMBER(SEARCH("CARGADOR",B256)),
ISNUMBER(SEARCH("COOLER PARA NB",B256)),
ISNUMBER(SEARCH("SOPORTE PARA NB",B256)),
ISNUMBER(SEARCH("WEBCAM",B256)),
ISNUMBER(SEARCH("WEB CAM",B256)),
ISNUMBER(SEARCH("MOUSE",B256)),
ISNUMBER(SEARCH("TECLADO",B256))
),
"COMPLEMENTO",
IF(
OR(
LEFT(A256,2)="NB",
LEFT(A256,2)="PC",
LEFT(A256,2)="WS",
LEFT(A256,2)="TB",
LEFT(A256,3)="CEL",
LEFT(A256,3)="MON",
LEFT(A256,3)="PRE",
LEFT(A256,3)="PRH",
ISNUMBER(SEARCH("NOTEBOOK",B256)),
ISNUMBER(SEARCH("LAPTOP",B256)),
ISNUMBER(SEARCH("MONITOR",B256)),
ISNUMBER(SEARCH("TABLET",B256)),
ISNUMBER(SEARCH("SMARTPH",B256)),
ISNUMBER(SEARCH("IMPRESORA",B256)),
ISNUMBER(SEARCH("MULTIFUNCIONAL",B256)),
ISNUMBER(SEARCH("AIO",B256))
),
"GANCHO",
"NORMAL"
)
)</f>
        <v>GANCHO</v>
      </c>
    </row>
    <row r="255" spans="1:12" x14ac:dyDescent="0.25">
      <c r="A255" s="3" t="s">
        <v>5834</v>
      </c>
      <c r="B255" s="3" t="s">
        <v>5835</v>
      </c>
      <c r="C255" s="1">
        <v>0</v>
      </c>
      <c r="D255" s="1">
        <v>92.5</v>
      </c>
      <c r="E255" s="1" t="s">
        <v>906</v>
      </c>
      <c r="F255" s="1" t="s">
        <v>5836</v>
      </c>
      <c r="G255" s="3"/>
      <c r="H255" s="11">
        <f>ROUND(
IF(L253="GANCHO",
   IF(I255&lt;=50,I255*1.1+4,IF(I255&lt;=120,I255*1.1+7,IF(I255&lt;=250,I255*1.1+11,I255*1.1+19))),
IF(L253="NORMAL",
   IF(I255&lt;=30,I255*1.15+2,IF(I255&lt;=80,I255*1.15+4,IF(I255&lt;=150,I255*1.15+6,I255*1.15+8))),
IF(L253="COMPLEMENTO",
   IF(I255&lt;=25,I255*1.25+1.5,IF(I255&lt;=60,I255*1.25+3,IF(I255&lt;=120,I255*1.25+4,I255*1.25+5))),
""))),2)</f>
        <v>436.83</v>
      </c>
      <c r="I255" s="9">
        <f>($K$2+0.02)*Tabla1[[#This Row],[PRECIO $]]*1.18</f>
        <v>379.84199999999993</v>
      </c>
      <c r="J255" s="7">
        <f>+Tabla1[[#This Row],[PRECIO EN SOLES]]-Tabla1[[#This Row],[PC]]</f>
        <v>56.988000000000056</v>
      </c>
      <c r="K255" s="15"/>
      <c r="L255" s="15" t="str">
        <f>IF(
OR(
ISNUMBER(SEARCH("BACKPACK",B257)),
ISNUMBER(SEARCH("MOCHILA",B257)),
ISNUMBER(SEARCH("FUNDA",B257)),
ISNUMBER(SEARCH("ESTUCHE",B257)),
ISNUMBER(SEARCH("BOOK COVER",B257)),
ISNUMBER(SEARCH("KEYBOARD PARA TABLET",B257)),
ISNUMBER(SEARCH("FLIP TABLET",B257)),
ISNUMBER(SEARCH("CASE FOR TABLET",B257)),
ISNUMBER(SEARCH("CABLE",B257)),
ISNUMBER(SEARCH("ADAPTADOR",B257)),
ISNUMBER(SEARCH("HUB",B257)),
ISNUMBER(SEARCH("DOCK",B257)),
ISNUMBER(SEARCH("MOUSE PAD",B257)),
ISNUMBER(SEARCH("MOUSEPAD",B257)),
ISNUMBER(SEARCH("SOPORTE",B257)),
ISNUMBER(SEARCH("STAND",B257)),
ISNUMBER(SEARCH("TRAVEL ADAPTER",B257)),
ISNUMBER(SEARCH("RJ45",B257)),
ISNUMBER(SEARCH("USB-C",B257)),
ISNUMBER(SEARCH("USB WIFI",B257)),
ISNUMBER(SEARCH("POWERBANK",B257)),
ISNUMBER(SEARCH("CARGADOR",B257)),
ISNUMBER(SEARCH("COOLER PARA NB",B257)),
ISNUMBER(SEARCH("SOPORTE PARA NB",B257)),
ISNUMBER(SEARCH("WEBCAM",B257)),
ISNUMBER(SEARCH("WEB CAM",B257)),
ISNUMBER(SEARCH("MOUSE",B257)),
ISNUMBER(SEARCH("TECLADO",B257))
),
"COMPLEMENTO",
IF(
OR(
LEFT(A257,2)="NB",
LEFT(A257,2)="PC",
LEFT(A257,2)="WS",
LEFT(A257,2)="TB",
LEFT(A257,3)="CEL",
LEFT(A257,3)="MON",
LEFT(A257,3)="PRE",
LEFT(A257,3)="PRH",
ISNUMBER(SEARCH("NOTEBOOK",B257)),
ISNUMBER(SEARCH("LAPTOP",B257)),
ISNUMBER(SEARCH("MONITOR",B257)),
ISNUMBER(SEARCH("TABLET",B257)),
ISNUMBER(SEARCH("SMARTPH",B257)),
ISNUMBER(SEARCH("IMPRESORA",B257)),
ISNUMBER(SEARCH("MULTIFUNCIONAL",B257)),
ISNUMBER(SEARCH("AIO",B257))
),
"GANCHO",
"NORMAL"
)
)</f>
        <v>NORMAL</v>
      </c>
    </row>
    <row r="256" spans="1:12" x14ac:dyDescent="0.25">
      <c r="A256" s="3" t="s">
        <v>5837</v>
      </c>
      <c r="B256" s="3" t="s">
        <v>5838</v>
      </c>
      <c r="C256" s="1">
        <v>0</v>
      </c>
      <c r="D256" s="1">
        <v>80.75</v>
      </c>
      <c r="E256" s="1" t="s">
        <v>906</v>
      </c>
      <c r="F256" s="1" t="s">
        <v>5839</v>
      </c>
      <c r="G256" s="3"/>
      <c r="H256" s="11">
        <f>ROUND(
IF(L254="GANCHO",
   IF(I256&lt;=50,I256*1.1+4,IF(I256&lt;=120,I256*1.1+7,IF(I256&lt;=250,I256*1.1+11,I256*1.1+19))),
IF(L254="NORMAL",
   IF(I256&lt;=30,I256*1.15+2,IF(I256&lt;=80,I256*1.15+4,IF(I256&lt;=150,I256*1.15+6,I256*1.15+8))),
IF(L254="COMPLEMENTO",
   IF(I256&lt;=25,I256*1.25+1.5,IF(I256&lt;=60,I256*1.25+3,IF(I256&lt;=120,I256*1.25+4,I256*1.25+5))),
""))),2)</f>
        <v>383.75</v>
      </c>
      <c r="I256" s="9">
        <f>($K$2+0.02)*Tabla1[[#This Row],[PRECIO $]]*1.18</f>
        <v>331.59179999999998</v>
      </c>
      <c r="J256" s="7">
        <f>+Tabla1[[#This Row],[PRECIO EN SOLES]]-Tabla1[[#This Row],[PC]]</f>
        <v>52.158200000000022</v>
      </c>
      <c r="K256" s="15"/>
      <c r="L256" s="15" t="str">
        <f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GANCHO</v>
      </c>
    </row>
    <row r="257" spans="1:12" x14ac:dyDescent="0.25">
      <c r="A257" s="3" t="s">
        <v>5840</v>
      </c>
      <c r="B257" s="3" t="s">
        <v>5841</v>
      </c>
      <c r="C257" s="1">
        <v>6</v>
      </c>
      <c r="D257" s="1">
        <v>188</v>
      </c>
      <c r="E257" s="1" t="s">
        <v>906</v>
      </c>
      <c r="F257" s="1" t="s">
        <v>5842</v>
      </c>
      <c r="G257" s="3"/>
      <c r="H257" s="11">
        <f>ROUND(
IF(L255="GANCHO",
   IF(I257&lt;=50,I257*1.1+4,IF(I257&lt;=120,I257*1.1+7,IF(I257&lt;=250,I257*1.1+11,I257*1.1+19))),
IF(L255="NORMAL",
   IF(I257&lt;=30,I257*1.15+2,IF(I257&lt;=80,I257*1.15+4,IF(I257&lt;=150,I257*1.15+6,I257*1.15+8))),
IF(L255="COMPLEMENTO",
   IF(I257&lt;=25,I257*1.25+1.5,IF(I257&lt;=60,I257*1.25+3,IF(I257&lt;=120,I257*1.25+4,I257*1.25+5))),
""))),2)</f>
        <v>895.8</v>
      </c>
      <c r="I257" s="9">
        <f>($K$2+0.02)*Tabla1[[#This Row],[PRECIO $]]*1.18</f>
        <v>772.00319999999999</v>
      </c>
      <c r="J257" s="7">
        <f>+Tabla1[[#This Row],[PRECIO EN SOLES]]-Tabla1[[#This Row],[PC]]</f>
        <v>123.79679999999996</v>
      </c>
      <c r="K257" s="15"/>
      <c r="L257" s="15" t="str">
        <f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58" spans="1:12" x14ac:dyDescent="0.25">
      <c r="A258" s="3" t="s">
        <v>5843</v>
      </c>
      <c r="B258" s="3" t="s">
        <v>5844</v>
      </c>
      <c r="C258" s="1">
        <v>0</v>
      </c>
      <c r="D258" s="1">
        <v>72.8</v>
      </c>
      <c r="E258" s="1" t="s">
        <v>906</v>
      </c>
      <c r="F258" s="1" t="s">
        <v>5845</v>
      </c>
      <c r="G258" s="3"/>
      <c r="H258" s="11">
        <f>ROUND(
IF(L256="GANCHO",
   IF(I258&lt;=50,I258*1.1+4,IF(I258&lt;=120,I258*1.1+7,IF(I258&lt;=250,I258*1.1+11,I258*1.1+19))),
IF(L256="NORMAL",
   IF(I258&lt;=30,I258*1.15+2,IF(I258&lt;=80,I258*1.15+4,IF(I258&lt;=150,I258*1.15+6,I258*1.15+8))),
IF(L256="COMPLEMENTO",
   IF(I258&lt;=25,I258*1.25+1.5,IF(I258&lt;=60,I258*1.25+3,IF(I258&lt;=120,I258*1.25+4,I258*1.25+5))),
""))),2)</f>
        <v>347.84</v>
      </c>
      <c r="I258" s="9">
        <f>($K$2+0.02)*Tabla1[[#This Row],[PRECIO $]]*1.18</f>
        <v>298.94592</v>
      </c>
      <c r="J258" s="7">
        <f>+Tabla1[[#This Row],[PRECIO EN SOLES]]-Tabla1[[#This Row],[PC]]</f>
        <v>48.894079999999974</v>
      </c>
      <c r="K258" s="15"/>
      <c r="L258" s="15" t="str">
        <f>IF(
OR(
ISNUMBER(SEARCH("BACKPACK",B260)),
ISNUMBER(SEARCH("MOCHILA",B260)),
ISNUMBER(SEARCH("FUNDA",B260)),
ISNUMBER(SEARCH("ESTUCHE",B260)),
ISNUMBER(SEARCH("BOOK COVER",B260)),
ISNUMBER(SEARCH("KEYBOARD PARA TABLET",B260)),
ISNUMBER(SEARCH("FLIP TABLET",B260)),
ISNUMBER(SEARCH("CASE FOR TABLET",B260)),
ISNUMBER(SEARCH("CABLE",B260)),
ISNUMBER(SEARCH("ADAPTADOR",B260)),
ISNUMBER(SEARCH("HUB",B260)),
ISNUMBER(SEARCH("DOCK",B260)),
ISNUMBER(SEARCH("MOUSE PAD",B260)),
ISNUMBER(SEARCH("MOUSEPAD",B260)),
ISNUMBER(SEARCH("SOPORTE",B260)),
ISNUMBER(SEARCH("STAND",B260)),
ISNUMBER(SEARCH("TRAVEL ADAPTER",B260)),
ISNUMBER(SEARCH("RJ45",B260)),
ISNUMBER(SEARCH("USB-C",B260)),
ISNUMBER(SEARCH("USB WIFI",B260)),
ISNUMBER(SEARCH("POWERBANK",B260)),
ISNUMBER(SEARCH("CARGADOR",B260)),
ISNUMBER(SEARCH("COOLER PARA NB",B260)),
ISNUMBER(SEARCH("SOPORTE PARA NB",B260)),
ISNUMBER(SEARCH("WEBCAM",B260)),
ISNUMBER(SEARCH("WEB CAM",B260)),
ISNUMBER(SEARCH("MOUSE",B260)),
ISNUMBER(SEARCH("TECLADO",B260))
),
"COMPLEMENTO",
IF(
OR(
LEFT(A260,2)="NB",
LEFT(A260,2)="PC",
LEFT(A260,2)="WS",
LEFT(A260,2)="TB",
LEFT(A260,3)="CEL",
LEFT(A260,3)="MON",
LEFT(A260,3)="PRE",
LEFT(A260,3)="PRH",
ISNUMBER(SEARCH("NOTEBOOK",B260)),
ISNUMBER(SEARCH("LAPTOP",B260)),
ISNUMBER(SEARCH("MONITOR",B260)),
ISNUMBER(SEARCH("TABLET",B260)),
ISNUMBER(SEARCH("SMARTPH",B260)),
ISNUMBER(SEARCH("IMPRESORA",B260)),
ISNUMBER(SEARCH("MULTIFUNCIONAL",B260)),
ISNUMBER(SEARCH("AIO",B260))
),
"GANCHO",
"NORMAL"
)
)</f>
        <v>NORMAL</v>
      </c>
    </row>
    <row r="259" spans="1:12" x14ac:dyDescent="0.25">
      <c r="A259" s="3" t="s">
        <v>5846</v>
      </c>
      <c r="B259" s="3" t="s">
        <v>5847</v>
      </c>
      <c r="C259" s="1">
        <v>0</v>
      </c>
      <c r="D259" s="1">
        <v>72.900000000000006</v>
      </c>
      <c r="E259" s="1" t="s">
        <v>906</v>
      </c>
      <c r="F259" s="1" t="s">
        <v>5848</v>
      </c>
      <c r="G259" s="3"/>
      <c r="H259" s="11">
        <f>ROUND(
IF(L257="GANCHO",
   IF(I259&lt;=50,I259*1.1+4,IF(I259&lt;=120,I259*1.1+7,IF(I259&lt;=250,I259*1.1+11,I259*1.1+19))),
IF(L257="NORMAL",
   IF(I259&lt;=30,I259*1.15+2,IF(I259&lt;=80,I259*1.15+4,IF(I259&lt;=150,I259*1.15+6,I259*1.15+8))),
IF(L257="COMPLEMENTO",
   IF(I259&lt;=25,I259*1.25+1.5,IF(I259&lt;=60,I259*1.25+3,IF(I259&lt;=120,I259*1.25+4,I259*1.25+5))),
""))),2)</f>
        <v>348.29</v>
      </c>
      <c r="I259" s="9">
        <f>($K$2+0.02)*Tabla1[[#This Row],[PRECIO $]]*1.18</f>
        <v>299.35656</v>
      </c>
      <c r="J259" s="7">
        <f>+Tabla1[[#This Row],[PRECIO EN SOLES]]-Tabla1[[#This Row],[PC]]</f>
        <v>48.933440000000019</v>
      </c>
      <c r="K259" s="15"/>
      <c r="L259" s="15" t="str">
        <f>IF(
OR(
ISNUMBER(SEARCH("BACKPACK",B261)),
ISNUMBER(SEARCH("MOCHILA",B261)),
ISNUMBER(SEARCH("FUNDA",B261)),
ISNUMBER(SEARCH("ESTUCHE",B261)),
ISNUMBER(SEARCH("BOOK COVER",B261)),
ISNUMBER(SEARCH("KEYBOARD PARA TABLET",B261)),
ISNUMBER(SEARCH("FLIP TABLET",B261)),
ISNUMBER(SEARCH("CASE FOR TABLET",B261)),
ISNUMBER(SEARCH("CABLE",B261)),
ISNUMBER(SEARCH("ADAPTADOR",B261)),
ISNUMBER(SEARCH("HUB",B261)),
ISNUMBER(SEARCH("DOCK",B261)),
ISNUMBER(SEARCH("MOUSE PAD",B261)),
ISNUMBER(SEARCH("MOUSEPAD",B261)),
ISNUMBER(SEARCH("SOPORTE",B261)),
ISNUMBER(SEARCH("STAND",B261)),
ISNUMBER(SEARCH("TRAVEL ADAPTER",B261)),
ISNUMBER(SEARCH("RJ45",B261)),
ISNUMBER(SEARCH("USB-C",B261)),
ISNUMBER(SEARCH("USB WIFI",B261)),
ISNUMBER(SEARCH("POWERBANK",B261)),
ISNUMBER(SEARCH("CARGADOR",B261)),
ISNUMBER(SEARCH("COOLER PARA NB",B261)),
ISNUMBER(SEARCH("SOPORTE PARA NB",B261)),
ISNUMBER(SEARCH("WEBCAM",B261)),
ISNUMBER(SEARCH("WEB CAM",B261)),
ISNUMBER(SEARCH("MOUSE",B261)),
ISNUMBER(SEARCH("TECLADO",B261))
),
"COMPLEMENTO",
IF(
OR(
LEFT(A261,2)="NB",
LEFT(A261,2)="PC",
LEFT(A261,2)="WS",
LEFT(A261,2)="TB",
LEFT(A261,3)="CEL",
LEFT(A261,3)="MON",
LEFT(A261,3)="PRE",
LEFT(A261,3)="PRH",
ISNUMBER(SEARCH("NOTEBOOK",B261)),
ISNUMBER(SEARCH("LAPTOP",B261)),
ISNUMBER(SEARCH("MONITOR",B261)),
ISNUMBER(SEARCH("TABLET",B261)),
ISNUMBER(SEARCH("SMARTPH",B261)),
ISNUMBER(SEARCH("IMPRESORA",B261)),
ISNUMBER(SEARCH("MULTIFUNCIONAL",B261)),
ISNUMBER(SEARCH("AIO",B261))
),
"GANCHO",
"NORMAL"
)
)</f>
        <v>NORMAL</v>
      </c>
    </row>
    <row r="260" spans="1:12" x14ac:dyDescent="0.25">
      <c r="A260" s="3" t="s">
        <v>2921</v>
      </c>
      <c r="B260" s="3" t="s">
        <v>2922</v>
      </c>
      <c r="C260" s="1">
        <v>2</v>
      </c>
      <c r="D260" s="1">
        <v>222.75</v>
      </c>
      <c r="E260" s="1" t="s">
        <v>115</v>
      </c>
      <c r="F260" s="1" t="s">
        <v>3195</v>
      </c>
      <c r="G260" s="3" t="s">
        <v>2923</v>
      </c>
      <c r="H260" s="11">
        <f>ROUND(
IF(L258="GANCHO",
   IF(I260&lt;=50,I260*1.1+4,IF(I260&lt;=120,I260*1.1+7,IF(I260&lt;=250,I260*1.1+11,I260*1.1+19))),
IF(L258="NORMAL",
   IF(I260&lt;=30,I260*1.15+2,IF(I260&lt;=80,I260*1.15+4,IF(I260&lt;=150,I260*1.15+6,I260*1.15+8))),
IF(L258="COMPLEMENTO",
   IF(I260&lt;=25,I260*1.25+1.5,IF(I260&lt;=60,I260*1.25+3,IF(I260&lt;=120,I260*1.25+4,I260*1.25+5))),
""))),2)</f>
        <v>1059.9100000000001</v>
      </c>
      <c r="I260" s="9">
        <f>($K$2+0.02)*Tabla1[[#This Row],[PRECIO $]]*1.18</f>
        <v>914.70059999999989</v>
      </c>
      <c r="J260" s="7">
        <f>+Tabla1[[#This Row],[PRECIO EN SOLES]]-Tabla1[[#This Row],[PC]]</f>
        <v>145.20940000000019</v>
      </c>
      <c r="K260" s="15"/>
      <c r="L260" s="15" t="str">
        <f>IF(
OR(
ISNUMBER(SEARCH("BACKPACK",B262)),
ISNUMBER(SEARCH("MOCHILA",B262)),
ISNUMBER(SEARCH("FUNDA",B262)),
ISNUMBER(SEARCH("ESTUCHE",B262)),
ISNUMBER(SEARCH("BOOK COVER",B262)),
ISNUMBER(SEARCH("KEYBOARD PARA TABLET",B262)),
ISNUMBER(SEARCH("FLIP TABLET",B262)),
ISNUMBER(SEARCH("CASE FOR TABLET",B262)),
ISNUMBER(SEARCH("CABLE",B262)),
ISNUMBER(SEARCH("ADAPTADOR",B262)),
ISNUMBER(SEARCH("HUB",B262)),
ISNUMBER(SEARCH("DOCK",B262)),
ISNUMBER(SEARCH("MOUSE PAD",B262)),
ISNUMBER(SEARCH("MOUSEPAD",B262)),
ISNUMBER(SEARCH("SOPORTE",B262)),
ISNUMBER(SEARCH("STAND",B262)),
ISNUMBER(SEARCH("TRAVEL ADAPTER",B262)),
ISNUMBER(SEARCH("RJ45",B262)),
ISNUMBER(SEARCH("USB-C",B262)),
ISNUMBER(SEARCH("USB WIFI",B262)),
ISNUMBER(SEARCH("POWERBANK",B262)),
ISNUMBER(SEARCH("CARGADOR",B262)),
ISNUMBER(SEARCH("COOLER PARA NB",B262)),
ISNUMBER(SEARCH("SOPORTE PARA NB",B262)),
ISNUMBER(SEARCH("WEBCAM",B262)),
ISNUMBER(SEARCH("WEB CAM",B262)),
ISNUMBER(SEARCH("MOUSE",B262)),
ISNUMBER(SEARCH("TECLADO",B262))
),
"COMPLEMENTO",
IF(
OR(
LEFT(A262,2)="NB",
LEFT(A262,2)="PC",
LEFT(A262,2)="WS",
LEFT(A262,2)="TB",
LEFT(A262,3)="CEL",
LEFT(A262,3)="MON",
LEFT(A262,3)="PRE",
LEFT(A262,3)="PRH",
ISNUMBER(SEARCH("NOTEBOOK",B262)),
ISNUMBER(SEARCH("LAPTOP",B262)),
ISNUMBER(SEARCH("MONITOR",B262)),
ISNUMBER(SEARCH("TABLET",B262)),
ISNUMBER(SEARCH("SMARTPH",B262)),
ISNUMBER(SEARCH("IMPRESORA",B262)),
ISNUMBER(SEARCH("MULTIFUNCIONAL",B262)),
ISNUMBER(SEARCH("AIO",B262))
),
"GANCHO",
"NORMAL"
)
)</f>
        <v>GANCHO</v>
      </c>
    </row>
    <row r="261" spans="1:12" x14ac:dyDescent="0.25">
      <c r="A261" s="3" t="s">
        <v>3035</v>
      </c>
      <c r="B261" s="3" t="s">
        <v>3036</v>
      </c>
      <c r="C261" s="1">
        <v>20</v>
      </c>
      <c r="D261" s="1">
        <v>78</v>
      </c>
      <c r="E261" s="1" t="s">
        <v>3029</v>
      </c>
      <c r="F261" s="1" t="s">
        <v>3196</v>
      </c>
      <c r="G261" s="3" t="s">
        <v>4900</v>
      </c>
      <c r="H261" s="11">
        <f>ROUND(
IF(L259="GANCHO",
   IF(I261&lt;=50,I261*1.1+4,IF(I261&lt;=120,I261*1.1+7,IF(I261&lt;=250,I261*1.1+11,I261*1.1+19))),
IF(L259="NORMAL",
   IF(I261&lt;=30,I261*1.15+2,IF(I261&lt;=80,I261*1.15+4,IF(I261&lt;=150,I261*1.15+6,I261*1.15+8))),
IF(L259="COMPLEMENTO",
   IF(I261&lt;=25,I261*1.25+1.5,IF(I261&lt;=60,I261*1.25+3,IF(I261&lt;=120,I261*1.25+4,I261*1.25+5))),
""))),2)</f>
        <v>376.34</v>
      </c>
      <c r="I261" s="9">
        <f>($K$2+0.02)*Tabla1[[#This Row],[PRECIO $]]*1.18</f>
        <v>320.29919999999998</v>
      </c>
      <c r="J261" s="7">
        <f>+Tabla1[[#This Row],[PRECIO EN SOLES]]-Tabla1[[#This Row],[PC]]</f>
        <v>56.04079999999999</v>
      </c>
      <c r="K261" s="15"/>
      <c r="L261" s="15" t="str">
        <f>IF(
OR(
ISNUMBER(SEARCH("BACKPACK",B263)),
ISNUMBER(SEARCH("MOCHILA",B263)),
ISNUMBER(SEARCH("FUNDA",B263)),
ISNUMBER(SEARCH("ESTUCHE",B263)),
ISNUMBER(SEARCH("BOOK COVER",B263)),
ISNUMBER(SEARCH("KEYBOARD PARA TABLET",B263)),
ISNUMBER(SEARCH("FLIP TABLET",B263)),
ISNUMBER(SEARCH("CASE FOR TABLET",B263)),
ISNUMBER(SEARCH("CABLE",B263)),
ISNUMBER(SEARCH("ADAPTADOR",B263)),
ISNUMBER(SEARCH("HUB",B263)),
ISNUMBER(SEARCH("DOCK",B263)),
ISNUMBER(SEARCH("MOUSE PAD",B263)),
ISNUMBER(SEARCH("MOUSEPAD",B263)),
ISNUMBER(SEARCH("SOPORTE",B263)),
ISNUMBER(SEARCH("STAND",B263)),
ISNUMBER(SEARCH("TRAVEL ADAPTER",B263)),
ISNUMBER(SEARCH("RJ45",B263)),
ISNUMBER(SEARCH("USB-C",B263)),
ISNUMBER(SEARCH("USB WIFI",B263)),
ISNUMBER(SEARCH("POWERBANK",B263)),
ISNUMBER(SEARCH("CARGADOR",B263)),
ISNUMBER(SEARCH("COOLER PARA NB",B263)),
ISNUMBER(SEARCH("SOPORTE PARA NB",B263)),
ISNUMBER(SEARCH("WEBCAM",B263)),
ISNUMBER(SEARCH("WEB CAM",B263)),
ISNUMBER(SEARCH("MOUSE",B263)),
ISNUMBER(SEARCH("TECLADO",B263))
),
"COMPLEMENTO",
IF(
OR(
LEFT(A263,2)="NB",
LEFT(A263,2)="PC",
LEFT(A263,2)="WS",
LEFT(A263,2)="TB",
LEFT(A263,3)="CEL",
LEFT(A263,3)="MON",
LEFT(A263,3)="PRE",
LEFT(A263,3)="PRH",
ISNUMBER(SEARCH("NOTEBOOK",B263)),
ISNUMBER(SEARCH("LAPTOP",B263)),
ISNUMBER(SEARCH("MONITOR",B263)),
ISNUMBER(SEARCH("TABLET",B263)),
ISNUMBER(SEARCH("SMARTPH",B263)),
ISNUMBER(SEARCH("IMPRESORA",B263)),
ISNUMBER(SEARCH("MULTIFUNCIONAL",B263)),
ISNUMBER(SEARCH("AIO",B263))
),
"GANCHO",
"NORMAL"
)
)</f>
        <v>NORMAL</v>
      </c>
    </row>
    <row r="262" spans="1:12" x14ac:dyDescent="0.25">
      <c r="A262" s="3" t="s">
        <v>4572</v>
      </c>
      <c r="B262" s="3" t="s">
        <v>4573</v>
      </c>
      <c r="C262" s="1">
        <v>0</v>
      </c>
      <c r="D262" s="1">
        <v>63.85</v>
      </c>
      <c r="E262" s="1" t="s">
        <v>226</v>
      </c>
      <c r="F262" s="1" t="s">
        <v>4574</v>
      </c>
      <c r="G262" s="3" t="s">
        <v>4575</v>
      </c>
      <c r="H262" s="11">
        <f>ROUND(
IF(L260="GANCHO",
   IF(I262&lt;=50,I262*1.1+4,IF(I262&lt;=120,I262*1.1+7,IF(I262&lt;=250,I262*1.1+11,I262*1.1+19))),
IF(L260="NORMAL",
   IF(I262&lt;=30,I262*1.15+2,IF(I262&lt;=80,I262*1.15+4,IF(I262&lt;=150,I262*1.15+6,I262*1.15+8))),
IF(L260="COMPLEMENTO",
   IF(I262&lt;=25,I262*1.25+1.5,IF(I262&lt;=60,I262*1.25+3,IF(I262&lt;=120,I262*1.25+4,I262*1.25+5))),
""))),2)</f>
        <v>307.41000000000003</v>
      </c>
      <c r="I262" s="9">
        <f>($K$2+0.02)*Tabla1[[#This Row],[PRECIO $]]*1.18</f>
        <v>262.19364000000002</v>
      </c>
      <c r="J262" s="7">
        <f>+Tabla1[[#This Row],[PRECIO EN SOLES]]-Tabla1[[#This Row],[PC]]</f>
        <v>45.216360000000009</v>
      </c>
      <c r="K262" s="15"/>
      <c r="L262" s="15" t="str">
        <f>IF(
OR(
ISNUMBER(SEARCH("BACKPACK",B264)),
ISNUMBER(SEARCH("MOCHILA",B264)),
ISNUMBER(SEARCH("FUNDA",B264)),
ISNUMBER(SEARCH("ESTUCHE",B264)),
ISNUMBER(SEARCH("BOOK COVER",B264)),
ISNUMBER(SEARCH("KEYBOARD PARA TABLET",B264)),
ISNUMBER(SEARCH("FLIP TABLET",B264)),
ISNUMBER(SEARCH("CASE FOR TABLET",B264)),
ISNUMBER(SEARCH("CABLE",B264)),
ISNUMBER(SEARCH("ADAPTADOR",B264)),
ISNUMBER(SEARCH("HUB",B264)),
ISNUMBER(SEARCH("DOCK",B264)),
ISNUMBER(SEARCH("MOUSE PAD",B264)),
ISNUMBER(SEARCH("MOUSEPAD",B264)),
ISNUMBER(SEARCH("SOPORTE",B264)),
ISNUMBER(SEARCH("STAND",B264)),
ISNUMBER(SEARCH("TRAVEL ADAPTER",B264)),
ISNUMBER(SEARCH("RJ45",B264)),
ISNUMBER(SEARCH("USB-C",B264)),
ISNUMBER(SEARCH("USB WIFI",B264)),
ISNUMBER(SEARCH("POWERBANK",B264)),
ISNUMBER(SEARCH("CARGADOR",B264)),
ISNUMBER(SEARCH("COOLER PARA NB",B264)),
ISNUMBER(SEARCH("SOPORTE PARA NB",B264)),
ISNUMBER(SEARCH("WEBCAM",B264)),
ISNUMBER(SEARCH("WEB CAM",B264)),
ISNUMBER(SEARCH("MOUSE",B264)),
ISNUMBER(SEARCH("TECLADO",B264))
),
"COMPLEMENTO",
IF(
OR(
LEFT(A264,2)="NB",
LEFT(A264,2)="PC",
LEFT(A264,2)="WS",
LEFT(A264,2)="TB",
LEFT(A264,3)="CEL",
LEFT(A264,3)="MON",
LEFT(A264,3)="PRE",
LEFT(A264,3)="PRH",
ISNUMBER(SEARCH("NOTEBOOK",B264)),
ISNUMBER(SEARCH("LAPTOP",B264)),
ISNUMBER(SEARCH("MONITOR",B264)),
ISNUMBER(SEARCH("TABLET",B264)),
ISNUMBER(SEARCH("SMARTPH",B264)),
ISNUMBER(SEARCH("IMPRESORA",B264)),
ISNUMBER(SEARCH("MULTIFUNCIONAL",B264)),
ISNUMBER(SEARCH("AIO",B264))
),
"GANCHO",
"NORMAL"
)
)</f>
        <v>NORMAL</v>
      </c>
    </row>
    <row r="263" spans="1:12" x14ac:dyDescent="0.25">
      <c r="A263" s="3" t="s">
        <v>2924</v>
      </c>
      <c r="B263" s="3" t="s">
        <v>2925</v>
      </c>
      <c r="C263" s="1">
        <v>2</v>
      </c>
      <c r="D263" s="1">
        <v>70</v>
      </c>
      <c r="E263" s="1" t="s">
        <v>121</v>
      </c>
      <c r="F263" s="1" t="s">
        <v>3197</v>
      </c>
      <c r="G263" s="3" t="s">
        <v>2926</v>
      </c>
      <c r="H263" s="11">
        <f>ROUND(
IF(L261="GANCHO",
   IF(I263&lt;=50,I263*1.1+4,IF(I263&lt;=120,I263*1.1+7,IF(I263&lt;=250,I263*1.1+11,I263*1.1+19))),
IF(L261="NORMAL",
   IF(I263&lt;=30,I263*1.15+2,IF(I263&lt;=80,I263*1.15+4,IF(I263&lt;=150,I263*1.15+6,I263*1.15+8))),
IF(L261="COMPLEMENTO",
   IF(I263&lt;=25,I263*1.25+1.5,IF(I263&lt;=60,I263*1.25+3,IF(I263&lt;=120,I263*1.25+4,I263*1.25+5))),
""))),2)</f>
        <v>338.57</v>
      </c>
      <c r="I263" s="9">
        <f>($K$2+0.02)*Tabla1[[#This Row],[PRECIO $]]*1.18</f>
        <v>287.44799999999998</v>
      </c>
      <c r="J263" s="7">
        <f>+Tabla1[[#This Row],[PRECIO EN SOLES]]-Tabla1[[#This Row],[PC]]</f>
        <v>51.122000000000014</v>
      </c>
      <c r="K263" s="15"/>
      <c r="L263" s="15" t="str">
        <f>IF(
OR(
ISNUMBER(SEARCH("BACKPACK",B265)),
ISNUMBER(SEARCH("MOCHILA",B265)),
ISNUMBER(SEARCH("FUNDA",B265)),
ISNUMBER(SEARCH("ESTUCHE",B265)),
ISNUMBER(SEARCH("BOOK COVER",B265)),
ISNUMBER(SEARCH("KEYBOARD PARA TABLET",B265)),
ISNUMBER(SEARCH("FLIP TABLET",B265)),
ISNUMBER(SEARCH("CASE FOR TABLET",B265)),
ISNUMBER(SEARCH("CABLE",B265)),
ISNUMBER(SEARCH("ADAPTADOR",B265)),
ISNUMBER(SEARCH("HUB",B265)),
ISNUMBER(SEARCH("DOCK",B265)),
ISNUMBER(SEARCH("MOUSE PAD",B265)),
ISNUMBER(SEARCH("MOUSEPAD",B265)),
ISNUMBER(SEARCH("SOPORTE",B265)),
ISNUMBER(SEARCH("STAND",B265)),
ISNUMBER(SEARCH("TRAVEL ADAPTER",B265)),
ISNUMBER(SEARCH("RJ45",B265)),
ISNUMBER(SEARCH("USB-C",B265)),
ISNUMBER(SEARCH("USB WIFI",B265)),
ISNUMBER(SEARCH("POWERBANK",B265)),
ISNUMBER(SEARCH("CARGADOR",B265)),
ISNUMBER(SEARCH("COOLER PARA NB",B265)),
ISNUMBER(SEARCH("SOPORTE PARA NB",B265)),
ISNUMBER(SEARCH("WEBCAM",B265)),
ISNUMBER(SEARCH("WEB CAM",B265)),
ISNUMBER(SEARCH("MOUSE",B265)),
ISNUMBER(SEARCH("TECLADO",B265))
),
"COMPLEMENTO",
IF(
OR(
LEFT(A265,2)="NB",
LEFT(A265,2)="PC",
LEFT(A265,2)="WS",
LEFT(A265,2)="TB",
LEFT(A265,3)="CEL",
LEFT(A265,3)="MON",
LEFT(A265,3)="PRE",
LEFT(A265,3)="PRH",
ISNUMBER(SEARCH("NOTEBOOK",B265)),
ISNUMBER(SEARCH("LAPTOP",B265)),
ISNUMBER(SEARCH("MONITOR",B265)),
ISNUMBER(SEARCH("TABLET",B265)),
ISNUMBER(SEARCH("SMARTPH",B265)),
ISNUMBER(SEARCH("IMPRESORA",B265)),
ISNUMBER(SEARCH("MULTIFUNCIONAL",B265)),
ISNUMBER(SEARCH("AIO",B265))
),
"GANCHO",
"NORMAL"
)
)</f>
        <v>NORMAL</v>
      </c>
    </row>
    <row r="264" spans="1:12" x14ac:dyDescent="0.25">
      <c r="A264" s="3" t="s">
        <v>5255</v>
      </c>
      <c r="B264" s="3" t="s">
        <v>5256</v>
      </c>
      <c r="C264" s="1">
        <v>20</v>
      </c>
      <c r="D264" s="1">
        <v>72.7</v>
      </c>
      <c r="E264" s="1" t="s">
        <v>121</v>
      </c>
      <c r="F264" s="1" t="s">
        <v>5257</v>
      </c>
      <c r="G264" s="3" t="s">
        <v>5258</v>
      </c>
      <c r="H264" s="11">
        <f>ROUND(
IF(L262="GANCHO",
   IF(I264&lt;=50,I264*1.1+4,IF(I264&lt;=120,I264*1.1+7,IF(I264&lt;=250,I264*1.1+11,I264*1.1+19))),
IF(L262="NORMAL",
   IF(I264&lt;=30,I264*1.15+2,IF(I264&lt;=80,I264*1.15+4,IF(I264&lt;=150,I264*1.15+6,I264*1.15+8))),
IF(L262="COMPLEMENTO",
   IF(I264&lt;=25,I264*1.25+1.5,IF(I264&lt;=60,I264*1.25+3,IF(I264&lt;=120,I264*1.25+4,I264*1.25+5))),
""))),2)</f>
        <v>351.32</v>
      </c>
      <c r="I264" s="9">
        <f>($K$2+0.02)*Tabla1[[#This Row],[PRECIO $]]*1.18</f>
        <v>298.53528</v>
      </c>
      <c r="J264" s="7">
        <f>+Tabla1[[#This Row],[PRECIO EN SOLES]]-Tabla1[[#This Row],[PC]]</f>
        <v>52.784719999999993</v>
      </c>
      <c r="K264" s="15"/>
      <c r="L264" s="15" t="str">
        <f>IF(
OR(
ISNUMBER(SEARCH("BACKPACK",B266)),
ISNUMBER(SEARCH("MOCHILA",B266)),
ISNUMBER(SEARCH("FUNDA",B266)),
ISNUMBER(SEARCH("ESTUCHE",B266)),
ISNUMBER(SEARCH("BOOK COVER",B266)),
ISNUMBER(SEARCH("KEYBOARD PARA TABLET",B266)),
ISNUMBER(SEARCH("FLIP TABLET",B266)),
ISNUMBER(SEARCH("CASE FOR TABLET",B266)),
ISNUMBER(SEARCH("CABLE",B266)),
ISNUMBER(SEARCH("ADAPTADOR",B266)),
ISNUMBER(SEARCH("HUB",B266)),
ISNUMBER(SEARCH("DOCK",B266)),
ISNUMBER(SEARCH("MOUSE PAD",B266)),
ISNUMBER(SEARCH("MOUSEPAD",B266)),
ISNUMBER(SEARCH("SOPORTE",B266)),
ISNUMBER(SEARCH("STAND",B266)),
ISNUMBER(SEARCH("TRAVEL ADAPTER",B266)),
ISNUMBER(SEARCH("RJ45",B266)),
ISNUMBER(SEARCH("USB-C",B266)),
ISNUMBER(SEARCH("USB WIFI",B266)),
ISNUMBER(SEARCH("POWERBANK",B266)),
ISNUMBER(SEARCH("CARGADOR",B266)),
ISNUMBER(SEARCH("COOLER PARA NB",B266)),
ISNUMBER(SEARCH("SOPORTE PARA NB",B266)),
ISNUMBER(SEARCH("WEBCAM",B266)),
ISNUMBER(SEARCH("WEB CAM",B266)),
ISNUMBER(SEARCH("MOUSE",B266)),
ISNUMBER(SEARCH("TECLADO",B266))
),
"COMPLEMENTO",
IF(
OR(
LEFT(A266,2)="NB",
LEFT(A266,2)="PC",
LEFT(A266,2)="WS",
LEFT(A266,2)="TB",
LEFT(A266,3)="CEL",
LEFT(A266,3)="MON",
LEFT(A266,3)="PRE",
LEFT(A266,3)="PRH",
ISNUMBER(SEARCH("NOTEBOOK",B266)),
ISNUMBER(SEARCH("LAPTOP",B266)),
ISNUMBER(SEARCH("MONITOR",B266)),
ISNUMBER(SEARCH("TABLET",B266)),
ISNUMBER(SEARCH("SMARTPH",B266)),
ISNUMBER(SEARCH("IMPRESORA",B266)),
ISNUMBER(SEARCH("MULTIFUNCIONAL",B266)),
ISNUMBER(SEARCH("AIO",B266))
),
"GANCHO",
"NORMAL"
)
)</f>
        <v>NORMAL</v>
      </c>
    </row>
    <row r="265" spans="1:12" x14ac:dyDescent="0.25">
      <c r="A265" s="3" t="s">
        <v>5259</v>
      </c>
      <c r="B265" s="3" t="s">
        <v>5260</v>
      </c>
      <c r="C265" s="1">
        <v>20</v>
      </c>
      <c r="D265" s="1">
        <v>73.3</v>
      </c>
      <c r="E265" s="1" t="s">
        <v>121</v>
      </c>
      <c r="F265" s="1" t="s">
        <v>5261</v>
      </c>
      <c r="G265" s="3" t="s">
        <v>5262</v>
      </c>
      <c r="H265" s="11">
        <f>ROUND(
IF(L263="GANCHO",
   IF(I265&lt;=50,I265*1.1+4,IF(I265&lt;=120,I265*1.1+7,IF(I265&lt;=250,I265*1.1+11,I265*1.1+19))),
IF(L263="NORMAL",
   IF(I265&lt;=30,I265*1.15+2,IF(I265&lt;=80,I265*1.15+4,IF(I265&lt;=150,I265*1.15+6,I265*1.15+8))),
IF(L263="COMPLEMENTO",
   IF(I265&lt;=25,I265*1.25+1.5,IF(I265&lt;=60,I265*1.25+3,IF(I265&lt;=120,I265*1.25+4,I265*1.25+5))),
""))),2)</f>
        <v>354.15</v>
      </c>
      <c r="I265" s="9">
        <f>($K$2+0.02)*Tabla1[[#This Row],[PRECIO $]]*1.18</f>
        <v>300.99911999999995</v>
      </c>
      <c r="J265" s="7">
        <f>+Tabla1[[#This Row],[PRECIO EN SOLES]]-Tabla1[[#This Row],[PC]]</f>
        <v>53.150880000000029</v>
      </c>
      <c r="K265" s="15"/>
      <c r="L265" s="15" t="str">
        <f>IF(
OR(
ISNUMBER(SEARCH("BACKPACK",B267)),
ISNUMBER(SEARCH("MOCHILA",B267)),
ISNUMBER(SEARCH("FUNDA",B267)),
ISNUMBER(SEARCH("ESTUCHE",B267)),
ISNUMBER(SEARCH("BOOK COVER",B267)),
ISNUMBER(SEARCH("KEYBOARD PARA TABLET",B267)),
ISNUMBER(SEARCH("FLIP TABLET",B267)),
ISNUMBER(SEARCH("CASE FOR TABLET",B267)),
ISNUMBER(SEARCH("CABLE",B267)),
ISNUMBER(SEARCH("ADAPTADOR",B267)),
ISNUMBER(SEARCH("HUB",B267)),
ISNUMBER(SEARCH("DOCK",B267)),
ISNUMBER(SEARCH("MOUSE PAD",B267)),
ISNUMBER(SEARCH("MOUSEPAD",B267)),
ISNUMBER(SEARCH("SOPORTE",B267)),
ISNUMBER(SEARCH("STAND",B267)),
ISNUMBER(SEARCH("TRAVEL ADAPTER",B267)),
ISNUMBER(SEARCH("RJ45",B267)),
ISNUMBER(SEARCH("USB-C",B267)),
ISNUMBER(SEARCH("USB WIFI",B267)),
ISNUMBER(SEARCH("POWERBANK",B267)),
ISNUMBER(SEARCH("CARGADOR",B267)),
ISNUMBER(SEARCH("COOLER PARA NB",B267)),
ISNUMBER(SEARCH("SOPORTE PARA NB",B267)),
ISNUMBER(SEARCH("WEBCAM",B267)),
ISNUMBER(SEARCH("WEB CAM",B267)),
ISNUMBER(SEARCH("MOUSE",B267)),
ISNUMBER(SEARCH("TECLADO",B267))
),
"COMPLEMENTO",
IF(
OR(
LEFT(A267,2)="NB",
LEFT(A267,2)="PC",
LEFT(A267,2)="WS",
LEFT(A267,2)="TB",
LEFT(A267,3)="CEL",
LEFT(A267,3)="MON",
LEFT(A267,3)="PRE",
LEFT(A267,3)="PRH",
ISNUMBER(SEARCH("NOTEBOOK",B267)),
ISNUMBER(SEARCH("LAPTOP",B267)),
ISNUMBER(SEARCH("MONITOR",B267)),
ISNUMBER(SEARCH("TABLET",B267)),
ISNUMBER(SEARCH("SMARTPH",B267)),
ISNUMBER(SEARCH("IMPRESORA",B267)),
ISNUMBER(SEARCH("MULTIFUNCIONAL",B267)),
ISNUMBER(SEARCH("AIO",B267))
),
"GANCHO",
"NORMAL"
)
)</f>
        <v>NORMAL</v>
      </c>
    </row>
    <row r="266" spans="1:12" x14ac:dyDescent="0.25">
      <c r="A266" s="3" t="s">
        <v>168</v>
      </c>
      <c r="B266" s="3" t="s">
        <v>169</v>
      </c>
      <c r="C266" s="1">
        <v>20</v>
      </c>
      <c r="D266" s="1">
        <v>32.75</v>
      </c>
      <c r="E266" s="1" t="s">
        <v>170</v>
      </c>
      <c r="F266" s="1" t="s">
        <v>3198</v>
      </c>
      <c r="G266" s="3" t="s">
        <v>171</v>
      </c>
      <c r="H266" s="11">
        <f>ROUND(
IF(L264="GANCHO",
   IF(I266&lt;=50,I266*1.1+4,IF(I266&lt;=120,I266*1.1+7,IF(I266&lt;=250,I266*1.1+11,I266*1.1+19))),
IF(L264="NORMAL",
   IF(I266&lt;=30,I266*1.15+2,IF(I266&lt;=80,I266*1.15+4,IF(I266&lt;=150,I266*1.15+6,I266*1.15+8))),
IF(L264="COMPLEMENTO",
   IF(I266&lt;=25,I266*1.25+1.5,IF(I266&lt;=60,I266*1.25+3,IF(I266&lt;=120,I266*1.25+4,I266*1.25+5))),
""))),2)</f>
        <v>160.66</v>
      </c>
      <c r="I266" s="9">
        <f>($K$2+0.02)*Tabla1[[#This Row],[PRECIO $]]*1.18</f>
        <v>134.4846</v>
      </c>
      <c r="J266" s="7">
        <f>+Tabla1[[#This Row],[PRECIO EN SOLES]]-Tabla1[[#This Row],[PC]]</f>
        <v>26.175399999999996</v>
      </c>
      <c r="K266" s="15"/>
      <c r="L266" s="15" t="str">
        <f>IF(
OR(
ISNUMBER(SEARCH("BACKPACK",B268)),
ISNUMBER(SEARCH("MOCHILA",B268)),
ISNUMBER(SEARCH("FUNDA",B268)),
ISNUMBER(SEARCH("ESTUCHE",B268)),
ISNUMBER(SEARCH("BOOK COVER",B268)),
ISNUMBER(SEARCH("KEYBOARD PARA TABLET",B268)),
ISNUMBER(SEARCH("FLIP TABLET",B268)),
ISNUMBER(SEARCH("CASE FOR TABLET",B268)),
ISNUMBER(SEARCH("CABLE",B268)),
ISNUMBER(SEARCH("ADAPTADOR",B268)),
ISNUMBER(SEARCH("HUB",B268)),
ISNUMBER(SEARCH("DOCK",B268)),
ISNUMBER(SEARCH("MOUSE PAD",B268)),
ISNUMBER(SEARCH("MOUSEPAD",B268)),
ISNUMBER(SEARCH("SOPORTE",B268)),
ISNUMBER(SEARCH("STAND",B268)),
ISNUMBER(SEARCH("TRAVEL ADAPTER",B268)),
ISNUMBER(SEARCH("RJ45",B268)),
ISNUMBER(SEARCH("USB-C",B268)),
ISNUMBER(SEARCH("USB WIFI",B268)),
ISNUMBER(SEARCH("POWERBANK",B268)),
ISNUMBER(SEARCH("CARGADOR",B268)),
ISNUMBER(SEARCH("COOLER PARA NB",B268)),
ISNUMBER(SEARCH("SOPORTE PARA NB",B268)),
ISNUMBER(SEARCH("WEBCAM",B268)),
ISNUMBER(SEARCH("WEB CAM",B268)),
ISNUMBER(SEARCH("MOUSE",B268)),
ISNUMBER(SEARCH("TECLADO",B268))
),
"COMPLEMENTO",
IF(
OR(
LEFT(A268,2)="NB",
LEFT(A268,2)="PC",
LEFT(A268,2)="WS",
LEFT(A268,2)="TB",
LEFT(A268,3)="CEL",
LEFT(A268,3)="MON",
LEFT(A268,3)="PRE",
LEFT(A268,3)="PRH",
ISNUMBER(SEARCH("NOTEBOOK",B268)),
ISNUMBER(SEARCH("LAPTOP",B268)),
ISNUMBER(SEARCH("MONITOR",B268)),
ISNUMBER(SEARCH("TABLET",B268)),
ISNUMBER(SEARCH("SMARTPH",B268)),
ISNUMBER(SEARCH("IMPRESORA",B268)),
ISNUMBER(SEARCH("MULTIFUNCIONAL",B268)),
ISNUMBER(SEARCH("AIO",B268))
),
"GANCHO",
"NORMAL"
)
)</f>
        <v>NORMAL</v>
      </c>
    </row>
    <row r="267" spans="1:12" x14ac:dyDescent="0.25">
      <c r="A267" s="3" t="s">
        <v>6417</v>
      </c>
      <c r="B267" s="3" t="s">
        <v>6418</v>
      </c>
      <c r="C267" s="1">
        <v>0</v>
      </c>
      <c r="D267" s="1">
        <v>56</v>
      </c>
      <c r="E267" s="1" t="s">
        <v>170</v>
      </c>
      <c r="F267" s="1" t="s">
        <v>6419</v>
      </c>
      <c r="G267" s="3" t="s">
        <v>6420</v>
      </c>
      <c r="H267" s="11">
        <f>ROUND(
IF(L265="GANCHO",
   IF(I267&lt;=50,I267*1.1+4,IF(I267&lt;=120,I267*1.1+7,IF(I267&lt;=250,I267*1.1+11,I267*1.1+19))),
IF(L265="NORMAL",
   IF(I267&lt;=30,I267*1.15+2,IF(I267&lt;=80,I267*1.15+4,IF(I267&lt;=150,I267*1.15+6,I267*1.15+8))),
IF(L265="COMPLEMENTO",
   IF(I267&lt;=25,I267*1.25+1.5,IF(I267&lt;=60,I267*1.25+3,IF(I267&lt;=120,I267*1.25+4,I267*1.25+5))),
""))),2)</f>
        <v>272.45</v>
      </c>
      <c r="I267" s="9">
        <f>($K$2+0.02)*Tabla1[[#This Row],[PRECIO $]]*1.18</f>
        <v>229.95839999999998</v>
      </c>
      <c r="J267" s="7">
        <f>+Tabla1[[#This Row],[PRECIO EN SOLES]]-Tabla1[[#This Row],[PC]]</f>
        <v>42.491600000000005</v>
      </c>
      <c r="K267" s="15"/>
      <c r="L267" s="15" t="str">
        <f>IF(
OR(
ISNUMBER(SEARCH("BACKPACK",B269)),
ISNUMBER(SEARCH("MOCHILA",B269)),
ISNUMBER(SEARCH("FUNDA",B269)),
ISNUMBER(SEARCH("ESTUCHE",B269)),
ISNUMBER(SEARCH("BOOK COVER",B269)),
ISNUMBER(SEARCH("KEYBOARD PARA TABLET",B269)),
ISNUMBER(SEARCH("FLIP TABLET",B269)),
ISNUMBER(SEARCH("CASE FOR TABLET",B269)),
ISNUMBER(SEARCH("CABLE",B269)),
ISNUMBER(SEARCH("ADAPTADOR",B269)),
ISNUMBER(SEARCH("HUB",B269)),
ISNUMBER(SEARCH("DOCK",B269)),
ISNUMBER(SEARCH("MOUSE PAD",B269)),
ISNUMBER(SEARCH("MOUSEPAD",B269)),
ISNUMBER(SEARCH("SOPORTE",B269)),
ISNUMBER(SEARCH("STAND",B269)),
ISNUMBER(SEARCH("TRAVEL ADAPTER",B269)),
ISNUMBER(SEARCH("RJ45",B269)),
ISNUMBER(SEARCH("USB-C",B269)),
ISNUMBER(SEARCH("USB WIFI",B269)),
ISNUMBER(SEARCH("POWERBANK",B269)),
ISNUMBER(SEARCH("CARGADOR",B269)),
ISNUMBER(SEARCH("COOLER PARA NB",B269)),
ISNUMBER(SEARCH("SOPORTE PARA NB",B269)),
ISNUMBER(SEARCH("WEBCAM",B269)),
ISNUMBER(SEARCH("WEB CAM",B269)),
ISNUMBER(SEARCH("MOUSE",B269)),
ISNUMBER(SEARCH("TECLADO",B269))
),
"COMPLEMENTO",
IF(
OR(
LEFT(A269,2)="NB",
LEFT(A269,2)="PC",
LEFT(A269,2)="WS",
LEFT(A269,2)="TB",
LEFT(A269,3)="CEL",
LEFT(A269,3)="MON",
LEFT(A269,3)="PRE",
LEFT(A269,3)="PRH",
ISNUMBER(SEARCH("NOTEBOOK",B269)),
ISNUMBER(SEARCH("LAPTOP",B269)),
ISNUMBER(SEARCH("MONITOR",B269)),
ISNUMBER(SEARCH("TABLET",B269)),
ISNUMBER(SEARCH("SMARTPH",B269)),
ISNUMBER(SEARCH("IMPRESORA",B269)),
ISNUMBER(SEARCH("MULTIFUNCIONAL",B269)),
ISNUMBER(SEARCH("AIO",B269))
),
"GANCHO",
"NORMAL"
)
)</f>
        <v>NORMAL</v>
      </c>
    </row>
    <row r="268" spans="1:12" x14ac:dyDescent="0.25">
      <c r="A268" s="3" t="s">
        <v>4396</v>
      </c>
      <c r="B268" s="3" t="s">
        <v>4397</v>
      </c>
      <c r="C268" s="1">
        <v>20</v>
      </c>
      <c r="D268" s="1">
        <v>89.5</v>
      </c>
      <c r="E268" s="1" t="s">
        <v>170</v>
      </c>
      <c r="F268" s="1" t="s">
        <v>4398</v>
      </c>
      <c r="G268" s="3" t="s">
        <v>4399</v>
      </c>
      <c r="H268" s="11">
        <f>ROUND(
IF(L266="GANCHO",
   IF(I268&lt;=50,I268*1.1+4,IF(I268&lt;=120,I268*1.1+7,IF(I268&lt;=250,I268*1.1+11,I268*1.1+19))),
IF(L266="NORMAL",
   IF(I268&lt;=30,I268*1.15+2,IF(I268&lt;=80,I268*1.15+4,IF(I268&lt;=150,I268*1.15+6,I268*1.15+8))),
IF(L266="COMPLEMENTO",
   IF(I268&lt;=25,I268*1.25+1.5,IF(I268&lt;=60,I268*1.25+3,IF(I268&lt;=120,I268*1.25+4,I268*1.25+5))),
""))),2)</f>
        <v>430.65</v>
      </c>
      <c r="I268" s="9">
        <f>($K$2+0.02)*Tabla1[[#This Row],[PRECIO $]]*1.18</f>
        <v>367.52279999999996</v>
      </c>
      <c r="J268" s="7">
        <f>+Tabla1[[#This Row],[PRECIO EN SOLES]]-Tabla1[[#This Row],[PC]]</f>
        <v>63.127200000000016</v>
      </c>
      <c r="K268" s="15"/>
      <c r="L268" s="15" t="str">
        <f>IF(
OR(
ISNUMBER(SEARCH("BACKPACK",B270)),
ISNUMBER(SEARCH("MOCHILA",B270)),
ISNUMBER(SEARCH("FUNDA",B270)),
ISNUMBER(SEARCH("ESTUCHE",B270)),
ISNUMBER(SEARCH("BOOK COVER",B270)),
ISNUMBER(SEARCH("KEYBOARD PARA TABLET",B270)),
ISNUMBER(SEARCH("FLIP TABLET",B270)),
ISNUMBER(SEARCH("CASE FOR TABLET",B270)),
ISNUMBER(SEARCH("CABLE",B270)),
ISNUMBER(SEARCH("ADAPTADOR",B270)),
ISNUMBER(SEARCH("HUB",B270)),
ISNUMBER(SEARCH("DOCK",B270)),
ISNUMBER(SEARCH("MOUSE PAD",B270)),
ISNUMBER(SEARCH("MOUSEPAD",B270)),
ISNUMBER(SEARCH("SOPORTE",B270)),
ISNUMBER(SEARCH("STAND",B270)),
ISNUMBER(SEARCH("TRAVEL ADAPTER",B270)),
ISNUMBER(SEARCH("RJ45",B270)),
ISNUMBER(SEARCH("USB-C",B270)),
ISNUMBER(SEARCH("USB WIFI",B270)),
ISNUMBER(SEARCH("POWERBANK",B270)),
ISNUMBER(SEARCH("CARGADOR",B270)),
ISNUMBER(SEARCH("COOLER PARA NB",B270)),
ISNUMBER(SEARCH("SOPORTE PARA NB",B270)),
ISNUMBER(SEARCH("WEBCAM",B270)),
ISNUMBER(SEARCH("WEB CAM",B270)),
ISNUMBER(SEARCH("MOUSE",B270)),
ISNUMBER(SEARCH("TECLADO",B270))
),
"COMPLEMENTO",
IF(
OR(
LEFT(A270,2)="NB",
LEFT(A270,2)="PC",
LEFT(A270,2)="WS",
LEFT(A270,2)="TB",
LEFT(A270,3)="CEL",
LEFT(A270,3)="MON",
LEFT(A270,3)="PRE",
LEFT(A270,3)="PRH",
ISNUMBER(SEARCH("NOTEBOOK",B270)),
ISNUMBER(SEARCH("LAPTOP",B270)),
ISNUMBER(SEARCH("MONITOR",B270)),
ISNUMBER(SEARCH("TABLET",B270)),
ISNUMBER(SEARCH("SMARTPH",B270)),
ISNUMBER(SEARCH("IMPRESORA",B270)),
ISNUMBER(SEARCH("MULTIFUNCIONAL",B270)),
ISNUMBER(SEARCH("AIO",B270))
),
"GANCHO",
"NORMAL"
)
)</f>
        <v>NORMAL</v>
      </c>
    </row>
    <row r="269" spans="1:12" x14ac:dyDescent="0.25">
      <c r="A269" s="3" t="s">
        <v>6421</v>
      </c>
      <c r="B269" s="3" t="s">
        <v>6422</v>
      </c>
      <c r="C269" s="1">
        <v>0</v>
      </c>
      <c r="D269" s="1">
        <v>239</v>
      </c>
      <c r="E269" s="1" t="s">
        <v>170</v>
      </c>
      <c r="F269" s="1" t="s">
        <v>6423</v>
      </c>
      <c r="G269" s="3" t="s">
        <v>6424</v>
      </c>
      <c r="H269" s="11">
        <f>ROUND(
IF(L267="GANCHO",
   IF(I269&lt;=50,I269*1.1+4,IF(I269&lt;=120,I269*1.1+7,IF(I269&lt;=250,I269*1.1+11,I269*1.1+19))),
IF(L267="NORMAL",
   IF(I269&lt;=30,I269*1.15+2,IF(I269&lt;=80,I269*1.15+4,IF(I269&lt;=150,I269*1.15+6,I269*1.15+8))),
IF(L267="COMPLEMENTO",
   IF(I269&lt;=25,I269*1.25+1.5,IF(I269&lt;=60,I269*1.25+3,IF(I269&lt;=120,I269*1.25+4,I269*1.25+5))),
""))),2)</f>
        <v>1136.6400000000001</v>
      </c>
      <c r="I269" s="9">
        <f>($K$2+0.02)*Tabla1[[#This Row],[PRECIO $]]*1.18</f>
        <v>981.42959999999994</v>
      </c>
      <c r="J269" s="7">
        <f>+Tabla1[[#This Row],[PRECIO EN SOLES]]-Tabla1[[#This Row],[PC]]</f>
        <v>155.21040000000016</v>
      </c>
      <c r="K269" s="15"/>
      <c r="L269" s="15" t="str">
        <f>IF(
OR(
ISNUMBER(SEARCH("BACKPACK",B271)),
ISNUMBER(SEARCH("MOCHILA",B271)),
ISNUMBER(SEARCH("FUNDA",B271)),
ISNUMBER(SEARCH("ESTUCHE",B271)),
ISNUMBER(SEARCH("BOOK COVER",B271)),
ISNUMBER(SEARCH("KEYBOARD PARA TABLET",B271)),
ISNUMBER(SEARCH("FLIP TABLET",B271)),
ISNUMBER(SEARCH("CASE FOR TABLET",B271)),
ISNUMBER(SEARCH("CABLE",B271)),
ISNUMBER(SEARCH("ADAPTADOR",B271)),
ISNUMBER(SEARCH("HUB",B271)),
ISNUMBER(SEARCH("DOCK",B271)),
ISNUMBER(SEARCH("MOUSE PAD",B271)),
ISNUMBER(SEARCH("MOUSEPAD",B271)),
ISNUMBER(SEARCH("SOPORTE",B271)),
ISNUMBER(SEARCH("STAND",B271)),
ISNUMBER(SEARCH("TRAVEL ADAPTER",B271)),
ISNUMBER(SEARCH("RJ45",B271)),
ISNUMBER(SEARCH("USB-C",B271)),
ISNUMBER(SEARCH("USB WIFI",B271)),
ISNUMBER(SEARCH("POWERBANK",B271)),
ISNUMBER(SEARCH("CARGADOR",B271)),
ISNUMBER(SEARCH("COOLER PARA NB",B271)),
ISNUMBER(SEARCH("SOPORTE PARA NB",B271)),
ISNUMBER(SEARCH("WEBCAM",B271)),
ISNUMBER(SEARCH("WEB CAM",B271)),
ISNUMBER(SEARCH("MOUSE",B271)),
ISNUMBER(SEARCH("TECLADO",B271))
),
"COMPLEMENTO",
IF(
OR(
LEFT(A271,2)="NB",
LEFT(A271,2)="PC",
LEFT(A271,2)="WS",
LEFT(A271,2)="TB",
LEFT(A271,3)="CEL",
LEFT(A271,3)="MON",
LEFT(A271,3)="PRE",
LEFT(A271,3)="PRH",
ISNUMBER(SEARCH("NOTEBOOK",B271)),
ISNUMBER(SEARCH("LAPTOP",B271)),
ISNUMBER(SEARCH("MONITOR",B271)),
ISNUMBER(SEARCH("TABLET",B271)),
ISNUMBER(SEARCH("SMARTPH",B271)),
ISNUMBER(SEARCH("IMPRESORA",B271)),
ISNUMBER(SEARCH("MULTIFUNCIONAL",B271)),
ISNUMBER(SEARCH("AIO",B271))
),
"GANCHO",
"NORMAL"
)
)</f>
        <v>NORMAL</v>
      </c>
    </row>
    <row r="270" spans="1:12" x14ac:dyDescent="0.25">
      <c r="A270" s="3" t="s">
        <v>6425</v>
      </c>
      <c r="B270" s="3" t="s">
        <v>6426</v>
      </c>
      <c r="C270" s="1">
        <v>20</v>
      </c>
      <c r="D270" s="1">
        <v>149.5</v>
      </c>
      <c r="E270" s="1" t="s">
        <v>170</v>
      </c>
      <c r="F270" s="1" t="s">
        <v>6427</v>
      </c>
      <c r="G270" s="3" t="s">
        <v>6428</v>
      </c>
      <c r="H270" s="11">
        <f>ROUND(
IF(L268="GANCHO",
   IF(I270&lt;=50,I270*1.1+4,IF(I270&lt;=120,I270*1.1+7,IF(I270&lt;=250,I270*1.1+11,I270*1.1+19))),
IF(L268="NORMAL",
   IF(I270&lt;=30,I270*1.15+2,IF(I270&lt;=80,I270*1.15+4,IF(I270&lt;=150,I270*1.15+6,I270*1.15+8))),
IF(L268="COMPLEMENTO",
   IF(I270&lt;=25,I270*1.25+1.5,IF(I270&lt;=60,I270*1.25+3,IF(I270&lt;=120,I270*1.25+4,I270*1.25+5))),
""))),2)</f>
        <v>713.99</v>
      </c>
      <c r="I270" s="9">
        <f>($K$2+0.02)*Tabla1[[#This Row],[PRECIO $]]*1.18</f>
        <v>613.90679999999998</v>
      </c>
      <c r="J270" s="7">
        <f>+Tabla1[[#This Row],[PRECIO EN SOLES]]-Tabla1[[#This Row],[PC]]</f>
        <v>100.08320000000003</v>
      </c>
      <c r="K270" s="15"/>
      <c r="L270" s="15" t="str">
        <f>IF(
OR(
ISNUMBER(SEARCH("BACKPACK",B272)),
ISNUMBER(SEARCH("MOCHILA",B272)),
ISNUMBER(SEARCH("FUNDA",B272)),
ISNUMBER(SEARCH("ESTUCHE",B272)),
ISNUMBER(SEARCH("BOOK COVER",B272)),
ISNUMBER(SEARCH("KEYBOARD PARA TABLET",B272)),
ISNUMBER(SEARCH("FLIP TABLET",B272)),
ISNUMBER(SEARCH("CASE FOR TABLET",B272)),
ISNUMBER(SEARCH("CABLE",B272)),
ISNUMBER(SEARCH("ADAPTADOR",B272)),
ISNUMBER(SEARCH("HUB",B272)),
ISNUMBER(SEARCH("DOCK",B272)),
ISNUMBER(SEARCH("MOUSE PAD",B272)),
ISNUMBER(SEARCH("MOUSEPAD",B272)),
ISNUMBER(SEARCH("SOPORTE",B272)),
ISNUMBER(SEARCH("STAND",B272)),
ISNUMBER(SEARCH("TRAVEL ADAPTER",B272)),
ISNUMBER(SEARCH("RJ45",B272)),
ISNUMBER(SEARCH("USB-C",B272)),
ISNUMBER(SEARCH("USB WIFI",B272)),
ISNUMBER(SEARCH("POWERBANK",B272)),
ISNUMBER(SEARCH("CARGADOR",B272)),
ISNUMBER(SEARCH("COOLER PARA NB",B272)),
ISNUMBER(SEARCH("SOPORTE PARA NB",B272)),
ISNUMBER(SEARCH("WEBCAM",B272)),
ISNUMBER(SEARCH("WEB CAM",B272)),
ISNUMBER(SEARCH("MOUSE",B272)),
ISNUMBER(SEARCH("TECLADO",B272))
),
"COMPLEMENTO",
IF(
OR(
LEFT(A272,2)="NB",
LEFT(A272,2)="PC",
LEFT(A272,2)="WS",
LEFT(A272,2)="TB",
LEFT(A272,3)="CEL",
LEFT(A272,3)="MON",
LEFT(A272,3)="PRE",
LEFT(A272,3)="PRH",
ISNUMBER(SEARCH("NOTEBOOK",B272)),
ISNUMBER(SEARCH("LAPTOP",B272)),
ISNUMBER(SEARCH("MONITOR",B272)),
ISNUMBER(SEARCH("TABLET",B272)),
ISNUMBER(SEARCH("SMARTPH",B272)),
ISNUMBER(SEARCH("IMPRESORA",B272)),
ISNUMBER(SEARCH("MULTIFUNCIONAL",B272)),
ISNUMBER(SEARCH("AIO",B272))
),
"GANCHO",
"NORMAL"
)
)</f>
        <v>NORMAL</v>
      </c>
    </row>
    <row r="271" spans="1:12" x14ac:dyDescent="0.25">
      <c r="A271" s="3" t="s">
        <v>998</v>
      </c>
      <c r="B271" s="3" t="s">
        <v>999</v>
      </c>
      <c r="C271" s="1">
        <v>20</v>
      </c>
      <c r="D271" s="1">
        <v>205.1</v>
      </c>
      <c r="E271" s="1" t="s">
        <v>170</v>
      </c>
      <c r="F271" s="1" t="s">
        <v>3199</v>
      </c>
      <c r="G271" s="3" t="s">
        <v>1000</v>
      </c>
      <c r="H271" s="11">
        <f>ROUND(
IF(L269="GANCHO",
   IF(I271&lt;=50,I271*1.1+4,IF(I271&lt;=120,I271*1.1+7,IF(I271&lt;=250,I271*1.1+11,I271*1.1+19))),
IF(L269="NORMAL",
   IF(I271&lt;=30,I271*1.15+2,IF(I271&lt;=80,I271*1.15+4,IF(I271&lt;=150,I271*1.15+6,I271*1.15+8))),
IF(L269="COMPLEMENTO",
   IF(I271&lt;=25,I271*1.25+1.5,IF(I271&lt;=60,I271*1.25+3,IF(I271&lt;=120,I271*1.25+4,I271*1.25+5))),
""))),2)</f>
        <v>976.56</v>
      </c>
      <c r="I271" s="9">
        <f>($K$2+0.02)*Tabla1[[#This Row],[PRECIO $]]*1.18</f>
        <v>842.22263999999984</v>
      </c>
      <c r="J271" s="7">
        <f>+Tabla1[[#This Row],[PRECIO EN SOLES]]-Tabla1[[#This Row],[PC]]</f>
        <v>134.3373600000001</v>
      </c>
      <c r="K271" s="15"/>
      <c r="L271" s="15" t="str">
        <f>IF(
OR(
ISNUMBER(SEARCH("BACKPACK",B273)),
ISNUMBER(SEARCH("MOCHILA",B273)),
ISNUMBER(SEARCH("FUNDA",B273)),
ISNUMBER(SEARCH("ESTUCHE",B273)),
ISNUMBER(SEARCH("BOOK COVER",B273)),
ISNUMBER(SEARCH("KEYBOARD PARA TABLET",B273)),
ISNUMBER(SEARCH("FLIP TABLET",B273)),
ISNUMBER(SEARCH("CASE FOR TABLET",B273)),
ISNUMBER(SEARCH("CABLE",B273)),
ISNUMBER(SEARCH("ADAPTADOR",B273)),
ISNUMBER(SEARCH("HUB",B273)),
ISNUMBER(SEARCH("DOCK",B273)),
ISNUMBER(SEARCH("MOUSE PAD",B273)),
ISNUMBER(SEARCH("MOUSEPAD",B273)),
ISNUMBER(SEARCH("SOPORTE",B273)),
ISNUMBER(SEARCH("STAND",B273)),
ISNUMBER(SEARCH("TRAVEL ADAPTER",B273)),
ISNUMBER(SEARCH("RJ45",B273)),
ISNUMBER(SEARCH("USB-C",B273)),
ISNUMBER(SEARCH("USB WIFI",B273)),
ISNUMBER(SEARCH("POWERBANK",B273)),
ISNUMBER(SEARCH("CARGADOR",B273)),
ISNUMBER(SEARCH("COOLER PARA NB",B273)),
ISNUMBER(SEARCH("SOPORTE PARA NB",B273)),
ISNUMBER(SEARCH("WEBCAM",B273)),
ISNUMBER(SEARCH("WEB CAM",B273)),
ISNUMBER(SEARCH("MOUSE",B273)),
ISNUMBER(SEARCH("TECLADO",B273))
),
"COMPLEMENTO",
IF(
OR(
LEFT(A273,2)="NB",
LEFT(A273,2)="PC",
LEFT(A273,2)="WS",
LEFT(A273,2)="TB",
LEFT(A273,3)="CEL",
LEFT(A273,3)="MON",
LEFT(A273,3)="PRE",
LEFT(A273,3)="PRH",
ISNUMBER(SEARCH("NOTEBOOK",B273)),
ISNUMBER(SEARCH("LAPTOP",B273)),
ISNUMBER(SEARCH("MONITOR",B273)),
ISNUMBER(SEARCH("TABLET",B273)),
ISNUMBER(SEARCH("SMARTPH",B273)),
ISNUMBER(SEARCH("IMPRESORA",B273)),
ISNUMBER(SEARCH("MULTIFUNCIONAL",B273)),
ISNUMBER(SEARCH("AIO",B273))
),
"GANCHO",
"NORMAL"
)
)</f>
        <v>NORMAL</v>
      </c>
    </row>
    <row r="272" spans="1:12" x14ac:dyDescent="0.25">
      <c r="A272" s="3" t="s">
        <v>6429</v>
      </c>
      <c r="B272" s="3" t="s">
        <v>6430</v>
      </c>
      <c r="C272" s="1">
        <v>20</v>
      </c>
      <c r="D272" s="1">
        <v>128.69999999999999</v>
      </c>
      <c r="E272" s="1" t="s">
        <v>170</v>
      </c>
      <c r="F272" s="1" t="s">
        <v>6431</v>
      </c>
      <c r="G272" s="3" t="s">
        <v>6432</v>
      </c>
      <c r="H272" s="11">
        <f>ROUND(
IF(L270="GANCHO",
   IF(I272&lt;=50,I272*1.1+4,IF(I272&lt;=120,I272*1.1+7,IF(I272&lt;=250,I272*1.1+11,I272*1.1+19))),
IF(L270="NORMAL",
   IF(I272&lt;=30,I272*1.15+2,IF(I272&lt;=80,I272*1.15+4,IF(I272&lt;=150,I272*1.15+6,I272*1.15+8))),
IF(L270="COMPLEMENTO",
   IF(I272&lt;=25,I272*1.25+1.5,IF(I272&lt;=60,I272*1.25+3,IF(I272&lt;=120,I272*1.25+4,I272*1.25+5))),
""))),2)</f>
        <v>615.77</v>
      </c>
      <c r="I272" s="9">
        <f>($K$2+0.02)*Tabla1[[#This Row],[PRECIO $]]*1.18</f>
        <v>528.49367999999993</v>
      </c>
      <c r="J272" s="7">
        <f>+Tabla1[[#This Row],[PRECIO EN SOLES]]-Tabla1[[#This Row],[PC]]</f>
        <v>87.276320000000055</v>
      </c>
      <c r="K272" s="15"/>
      <c r="L272" s="15" t="str">
        <f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NORMAL</v>
      </c>
    </row>
    <row r="273" spans="1:12" x14ac:dyDescent="0.25">
      <c r="A273" s="3" t="s">
        <v>1001</v>
      </c>
      <c r="B273" s="3" t="s">
        <v>1002</v>
      </c>
      <c r="C273" s="1">
        <v>20</v>
      </c>
      <c r="D273" s="1">
        <v>159</v>
      </c>
      <c r="E273" s="1" t="s">
        <v>170</v>
      </c>
      <c r="F273" s="1" t="s">
        <v>3200</v>
      </c>
      <c r="G273" s="3" t="s">
        <v>1003</v>
      </c>
      <c r="H273" s="11">
        <f>ROUND(
IF(L271="GANCHO",
   IF(I273&lt;=50,I273*1.1+4,IF(I273&lt;=120,I273*1.1+7,IF(I273&lt;=250,I273*1.1+11,I273*1.1+19))),
IF(L271="NORMAL",
   IF(I273&lt;=30,I273*1.15+2,IF(I273&lt;=80,I273*1.15+4,IF(I273&lt;=150,I273*1.15+6,I273*1.15+8))),
IF(L271="COMPLEMENTO",
   IF(I273&lt;=25,I273*1.25+1.5,IF(I273&lt;=60,I273*1.25+3,IF(I273&lt;=120,I273*1.25+4,I273*1.25+5))),
""))),2)</f>
        <v>758.86</v>
      </c>
      <c r="I273" s="9">
        <f>($K$2+0.02)*Tabla1[[#This Row],[PRECIO $]]*1.18</f>
        <v>652.91759999999999</v>
      </c>
      <c r="J273" s="7">
        <f>+Tabla1[[#This Row],[PRECIO EN SOLES]]-Tabla1[[#This Row],[PC]]</f>
        <v>105.94240000000002</v>
      </c>
      <c r="K273" s="15"/>
      <c r="L273" s="15" t="str">
        <f>IF(
OR(
ISNUMBER(SEARCH("BACKPACK",B275)),
ISNUMBER(SEARCH("MOCHILA",B275)),
ISNUMBER(SEARCH("FUNDA",B275)),
ISNUMBER(SEARCH("ESTUCHE",B275)),
ISNUMBER(SEARCH("BOOK COVER",B275)),
ISNUMBER(SEARCH("KEYBOARD PARA TABLET",B275)),
ISNUMBER(SEARCH("FLIP TABLET",B275)),
ISNUMBER(SEARCH("CASE FOR TABLET",B275)),
ISNUMBER(SEARCH("CABLE",B275)),
ISNUMBER(SEARCH("ADAPTADOR",B275)),
ISNUMBER(SEARCH("HUB",B275)),
ISNUMBER(SEARCH("DOCK",B275)),
ISNUMBER(SEARCH("MOUSE PAD",B275)),
ISNUMBER(SEARCH("MOUSEPAD",B275)),
ISNUMBER(SEARCH("SOPORTE",B275)),
ISNUMBER(SEARCH("STAND",B275)),
ISNUMBER(SEARCH("TRAVEL ADAPTER",B275)),
ISNUMBER(SEARCH("RJ45",B275)),
ISNUMBER(SEARCH("USB-C",B275)),
ISNUMBER(SEARCH("USB WIFI",B275)),
ISNUMBER(SEARCH("POWERBANK",B275)),
ISNUMBER(SEARCH("CARGADOR",B275)),
ISNUMBER(SEARCH("COOLER PARA NB",B275)),
ISNUMBER(SEARCH("SOPORTE PARA NB",B275)),
ISNUMBER(SEARCH("WEBCAM",B275)),
ISNUMBER(SEARCH("WEB CAM",B275)),
ISNUMBER(SEARCH("MOUSE",B275)),
ISNUMBER(SEARCH("TECLADO",B275))
),
"COMPLEMENTO",
IF(
OR(
LEFT(A275,2)="NB",
LEFT(A275,2)="PC",
LEFT(A275,2)="WS",
LEFT(A275,2)="TB",
LEFT(A275,3)="CEL",
LEFT(A275,3)="MON",
LEFT(A275,3)="PRE",
LEFT(A275,3)="PRH",
ISNUMBER(SEARCH("NOTEBOOK",B275)),
ISNUMBER(SEARCH("LAPTOP",B275)),
ISNUMBER(SEARCH("MONITOR",B275)),
ISNUMBER(SEARCH("TABLET",B275)),
ISNUMBER(SEARCH("SMARTPH",B275)),
ISNUMBER(SEARCH("IMPRESORA",B275)),
ISNUMBER(SEARCH("MULTIFUNCIONAL",B275)),
ISNUMBER(SEARCH("AIO",B275))
),
"GANCHO",
"NORMAL"
)
)</f>
        <v>NORMAL</v>
      </c>
    </row>
    <row r="274" spans="1:12" x14ac:dyDescent="0.25">
      <c r="A274" s="3" t="s">
        <v>1004</v>
      </c>
      <c r="B274" s="3" t="s">
        <v>1005</v>
      </c>
      <c r="C274" s="1">
        <v>20</v>
      </c>
      <c r="D274" s="1">
        <v>216.2</v>
      </c>
      <c r="E274" s="1" t="s">
        <v>170</v>
      </c>
      <c r="F274" s="1" t="s">
        <v>3201</v>
      </c>
      <c r="G274" s="3" t="s">
        <v>1006</v>
      </c>
      <c r="H274" s="11">
        <f>ROUND(
IF(L272="GANCHO",
   IF(I274&lt;=50,I274*1.1+4,IF(I274&lt;=120,I274*1.1+7,IF(I274&lt;=250,I274*1.1+11,I274*1.1+19))),
IF(L272="NORMAL",
   IF(I274&lt;=30,I274*1.15+2,IF(I274&lt;=80,I274*1.15+4,IF(I274&lt;=150,I274*1.15+6,I274*1.15+8))),
IF(L272="COMPLEMENTO",
   IF(I274&lt;=25,I274*1.25+1.5,IF(I274&lt;=60,I274*1.25+3,IF(I274&lt;=120,I274*1.25+4,I274*1.25+5))),
""))),2)</f>
        <v>1028.97</v>
      </c>
      <c r="I274" s="9">
        <f>($K$2+0.02)*Tabla1[[#This Row],[PRECIO $]]*1.18</f>
        <v>887.80367999999987</v>
      </c>
      <c r="J274" s="7">
        <f>+Tabla1[[#This Row],[PRECIO EN SOLES]]-Tabla1[[#This Row],[PC]]</f>
        <v>141.16632000000016</v>
      </c>
      <c r="K274" s="15"/>
      <c r="L274" s="15" t="str">
        <f>IF(
OR(
ISNUMBER(SEARCH("BACKPACK",B276)),
ISNUMBER(SEARCH("MOCHILA",B276)),
ISNUMBER(SEARCH("FUNDA",B276)),
ISNUMBER(SEARCH("ESTUCHE",B276)),
ISNUMBER(SEARCH("BOOK COVER",B276)),
ISNUMBER(SEARCH("KEYBOARD PARA TABLET",B276)),
ISNUMBER(SEARCH("FLIP TABLET",B276)),
ISNUMBER(SEARCH("CASE FOR TABLET",B276)),
ISNUMBER(SEARCH("CABLE",B276)),
ISNUMBER(SEARCH("ADAPTADOR",B276)),
ISNUMBER(SEARCH("HUB",B276)),
ISNUMBER(SEARCH("DOCK",B276)),
ISNUMBER(SEARCH("MOUSE PAD",B276)),
ISNUMBER(SEARCH("MOUSEPAD",B276)),
ISNUMBER(SEARCH("SOPORTE",B276)),
ISNUMBER(SEARCH("STAND",B276)),
ISNUMBER(SEARCH("TRAVEL ADAPTER",B276)),
ISNUMBER(SEARCH("RJ45",B276)),
ISNUMBER(SEARCH("USB-C",B276)),
ISNUMBER(SEARCH("USB WIFI",B276)),
ISNUMBER(SEARCH("POWERBANK",B276)),
ISNUMBER(SEARCH("CARGADOR",B276)),
ISNUMBER(SEARCH("COOLER PARA NB",B276)),
ISNUMBER(SEARCH("SOPORTE PARA NB",B276)),
ISNUMBER(SEARCH("WEBCAM",B276)),
ISNUMBER(SEARCH("WEB CAM",B276)),
ISNUMBER(SEARCH("MOUSE",B276)),
ISNUMBER(SEARCH("TECLADO",B276))
),
"COMPLEMENTO",
IF(
OR(
LEFT(A276,2)="NB",
LEFT(A276,2)="PC",
LEFT(A276,2)="WS",
LEFT(A276,2)="TB",
LEFT(A276,3)="CEL",
LEFT(A276,3)="MON",
LEFT(A276,3)="PRE",
LEFT(A276,3)="PRH",
ISNUMBER(SEARCH("NOTEBOOK",B276)),
ISNUMBER(SEARCH("LAPTOP",B276)),
ISNUMBER(SEARCH("MONITOR",B276)),
ISNUMBER(SEARCH("TABLET",B276)),
ISNUMBER(SEARCH("SMARTPH",B276)),
ISNUMBER(SEARCH("IMPRESORA",B276)),
ISNUMBER(SEARCH("MULTIFUNCIONAL",B276)),
ISNUMBER(SEARCH("AIO",B276))
),
"GANCHO",
"NORMAL"
)
)</f>
        <v>NORMAL</v>
      </c>
    </row>
    <row r="275" spans="1:12" x14ac:dyDescent="0.25">
      <c r="A275" s="3" t="s">
        <v>5849</v>
      </c>
      <c r="B275" s="3" t="s">
        <v>5850</v>
      </c>
      <c r="C275" s="1">
        <v>20</v>
      </c>
      <c r="D275" s="1">
        <v>134.19999999999999</v>
      </c>
      <c r="E275" s="1" t="s">
        <v>170</v>
      </c>
      <c r="F275" s="1" t="s">
        <v>5851</v>
      </c>
      <c r="G275" s="3" t="s">
        <v>5852</v>
      </c>
      <c r="H275" s="11">
        <f>ROUND(
IF(L273="GANCHO",
   IF(I275&lt;=50,I275*1.1+4,IF(I275&lt;=120,I275*1.1+7,IF(I275&lt;=250,I275*1.1+11,I275*1.1+19))),
IF(L273="NORMAL",
   IF(I275&lt;=30,I275*1.15+2,IF(I275&lt;=80,I275*1.15+4,IF(I275&lt;=150,I275*1.15+6,I275*1.15+8))),
IF(L273="COMPLEMENTO",
   IF(I275&lt;=25,I275*1.25+1.5,IF(I275&lt;=60,I275*1.25+3,IF(I275&lt;=120,I275*1.25+4,I275*1.25+5))),
""))),2)</f>
        <v>641.74</v>
      </c>
      <c r="I275" s="9">
        <f>($K$2+0.02)*Tabla1[[#This Row],[PRECIO $]]*1.18</f>
        <v>551.07887999999991</v>
      </c>
      <c r="J275" s="7">
        <f>+Tabla1[[#This Row],[PRECIO EN SOLES]]-Tabla1[[#This Row],[PC]]</f>
        <v>90.661120000000096</v>
      </c>
      <c r="K275" s="15"/>
      <c r="L275" s="15" t="str">
        <f>IF(
OR(
ISNUMBER(SEARCH("BACKPACK",B277)),
ISNUMBER(SEARCH("MOCHILA",B277)),
ISNUMBER(SEARCH("FUNDA",B277)),
ISNUMBER(SEARCH("ESTUCHE",B277)),
ISNUMBER(SEARCH("BOOK COVER",B277)),
ISNUMBER(SEARCH("KEYBOARD PARA TABLET",B277)),
ISNUMBER(SEARCH("FLIP TABLET",B277)),
ISNUMBER(SEARCH("CASE FOR TABLET",B277)),
ISNUMBER(SEARCH("CABLE",B277)),
ISNUMBER(SEARCH("ADAPTADOR",B277)),
ISNUMBER(SEARCH("HUB",B277)),
ISNUMBER(SEARCH("DOCK",B277)),
ISNUMBER(SEARCH("MOUSE PAD",B277)),
ISNUMBER(SEARCH("MOUSEPAD",B277)),
ISNUMBER(SEARCH("SOPORTE",B277)),
ISNUMBER(SEARCH("STAND",B277)),
ISNUMBER(SEARCH("TRAVEL ADAPTER",B277)),
ISNUMBER(SEARCH("RJ45",B277)),
ISNUMBER(SEARCH("USB-C",B277)),
ISNUMBER(SEARCH("USB WIFI",B277)),
ISNUMBER(SEARCH("POWERBANK",B277)),
ISNUMBER(SEARCH("CARGADOR",B277)),
ISNUMBER(SEARCH("COOLER PARA NB",B277)),
ISNUMBER(SEARCH("SOPORTE PARA NB",B277)),
ISNUMBER(SEARCH("WEBCAM",B277)),
ISNUMBER(SEARCH("WEB CAM",B277)),
ISNUMBER(SEARCH("MOUSE",B277)),
ISNUMBER(SEARCH("TECLADO",B277))
),
"COMPLEMENTO",
IF(
OR(
LEFT(A277,2)="NB",
LEFT(A277,2)="PC",
LEFT(A277,2)="WS",
LEFT(A277,2)="TB",
LEFT(A277,3)="CEL",
LEFT(A277,3)="MON",
LEFT(A277,3)="PRE",
LEFT(A277,3)="PRH",
ISNUMBER(SEARCH("NOTEBOOK",B277)),
ISNUMBER(SEARCH("LAPTOP",B277)),
ISNUMBER(SEARCH("MONITOR",B277)),
ISNUMBER(SEARCH("TABLET",B277)),
ISNUMBER(SEARCH("SMARTPH",B277)),
ISNUMBER(SEARCH("IMPRESORA",B277)),
ISNUMBER(SEARCH("MULTIFUNCIONAL",B277)),
ISNUMBER(SEARCH("AIO",B277))
),
"GANCHO",
"NORMAL"
)
)</f>
        <v>NORMAL</v>
      </c>
    </row>
    <row r="276" spans="1:12" x14ac:dyDescent="0.25">
      <c r="A276" s="3" t="s">
        <v>6433</v>
      </c>
      <c r="B276" s="3" t="s">
        <v>6434</v>
      </c>
      <c r="C276" s="1">
        <v>20</v>
      </c>
      <c r="D276" s="1">
        <v>181</v>
      </c>
      <c r="E276" s="1" t="s">
        <v>170</v>
      </c>
      <c r="F276" s="1" t="s">
        <v>6435</v>
      </c>
      <c r="G276" s="3" t="s">
        <v>6436</v>
      </c>
      <c r="H276" s="11">
        <f>ROUND(
IF(L274="GANCHO",
   IF(I276&lt;=50,I276*1.1+4,IF(I276&lt;=120,I276*1.1+7,IF(I276&lt;=250,I276*1.1+11,I276*1.1+19))),
IF(L274="NORMAL",
   IF(I276&lt;=30,I276*1.15+2,IF(I276&lt;=80,I276*1.15+4,IF(I276&lt;=150,I276*1.15+6,I276*1.15+8))),
IF(L274="COMPLEMENTO",
   IF(I276&lt;=25,I276*1.25+1.5,IF(I276&lt;=60,I276*1.25+3,IF(I276&lt;=120,I276*1.25+4,I276*1.25+5))),
""))),2)</f>
        <v>862.75</v>
      </c>
      <c r="I276" s="9">
        <f>($K$2+0.02)*Tabla1[[#This Row],[PRECIO $]]*1.18</f>
        <v>743.25839999999994</v>
      </c>
      <c r="J276" s="7">
        <f>+Tabla1[[#This Row],[PRECIO EN SOLES]]-Tabla1[[#This Row],[PC]]</f>
        <v>119.49160000000006</v>
      </c>
      <c r="K276" s="15"/>
      <c r="L276" s="15" t="str">
        <f>IF(
OR(
ISNUMBER(SEARCH("BACKPACK",B278)),
ISNUMBER(SEARCH("MOCHILA",B278)),
ISNUMBER(SEARCH("FUNDA",B278)),
ISNUMBER(SEARCH("ESTUCHE",B278)),
ISNUMBER(SEARCH("BOOK COVER",B278)),
ISNUMBER(SEARCH("KEYBOARD PARA TABLET",B278)),
ISNUMBER(SEARCH("FLIP TABLET",B278)),
ISNUMBER(SEARCH("CASE FOR TABLET",B278)),
ISNUMBER(SEARCH("CABLE",B278)),
ISNUMBER(SEARCH("ADAPTADOR",B278)),
ISNUMBER(SEARCH("HUB",B278)),
ISNUMBER(SEARCH("DOCK",B278)),
ISNUMBER(SEARCH("MOUSE PAD",B278)),
ISNUMBER(SEARCH("MOUSEPAD",B278)),
ISNUMBER(SEARCH("SOPORTE",B278)),
ISNUMBER(SEARCH("STAND",B278)),
ISNUMBER(SEARCH("TRAVEL ADAPTER",B278)),
ISNUMBER(SEARCH("RJ45",B278)),
ISNUMBER(SEARCH("USB-C",B278)),
ISNUMBER(SEARCH("USB WIFI",B278)),
ISNUMBER(SEARCH("POWERBANK",B278)),
ISNUMBER(SEARCH("CARGADOR",B278)),
ISNUMBER(SEARCH("COOLER PARA NB",B278)),
ISNUMBER(SEARCH("SOPORTE PARA NB",B278)),
ISNUMBER(SEARCH("WEBCAM",B278)),
ISNUMBER(SEARCH("WEB CAM",B278)),
ISNUMBER(SEARCH("MOUSE",B278)),
ISNUMBER(SEARCH("TECLADO",B278))
),
"COMPLEMENTO",
IF(
OR(
LEFT(A278,2)="NB",
LEFT(A278,2)="PC",
LEFT(A278,2)="WS",
LEFT(A278,2)="TB",
LEFT(A278,3)="CEL",
LEFT(A278,3)="MON",
LEFT(A278,3)="PRE",
LEFT(A278,3)="PRH",
ISNUMBER(SEARCH("NOTEBOOK",B278)),
ISNUMBER(SEARCH("LAPTOP",B278)),
ISNUMBER(SEARCH("MONITOR",B278)),
ISNUMBER(SEARCH("TABLET",B278)),
ISNUMBER(SEARCH("SMARTPH",B278)),
ISNUMBER(SEARCH("IMPRESORA",B278)),
ISNUMBER(SEARCH("MULTIFUNCIONAL",B278)),
ISNUMBER(SEARCH("AIO",B278))
),
"GANCHO",
"NORMAL"
)
)</f>
        <v>NORMAL</v>
      </c>
    </row>
    <row r="277" spans="1:12" x14ac:dyDescent="0.25">
      <c r="A277" s="3" t="s">
        <v>4901</v>
      </c>
      <c r="B277" s="3" t="s">
        <v>4902</v>
      </c>
      <c r="C277" s="1">
        <v>20</v>
      </c>
      <c r="D277" s="1">
        <v>189</v>
      </c>
      <c r="E277" s="1" t="s">
        <v>170</v>
      </c>
      <c r="F277" s="1" t="s">
        <v>4903</v>
      </c>
      <c r="G277" s="3" t="s">
        <v>4904</v>
      </c>
      <c r="H277" s="11">
        <f>ROUND(
IF(L275="GANCHO",
   IF(I277&lt;=50,I277*1.1+4,IF(I277&lt;=120,I277*1.1+7,IF(I277&lt;=250,I277*1.1+11,I277*1.1+19))),
IF(L275="NORMAL",
   IF(I277&lt;=30,I277*1.15+2,IF(I277&lt;=80,I277*1.15+4,IF(I277&lt;=150,I277*1.15+6,I277*1.15+8))),
IF(L275="COMPLEMENTO",
   IF(I277&lt;=25,I277*1.25+1.5,IF(I277&lt;=60,I277*1.25+3,IF(I277&lt;=120,I277*1.25+4,I277*1.25+5))),
""))),2)</f>
        <v>900.53</v>
      </c>
      <c r="I277" s="9">
        <f>($K$2+0.02)*Tabla1[[#This Row],[PRECIO $]]*1.18</f>
        <v>776.1096</v>
      </c>
      <c r="J277" s="7">
        <f>+Tabla1[[#This Row],[PRECIO EN SOLES]]-Tabla1[[#This Row],[PC]]</f>
        <v>124.42039999999997</v>
      </c>
      <c r="K277" s="15"/>
      <c r="L277" s="15" t="str">
        <f>IF(
OR(
ISNUMBER(SEARCH("BACKPACK",B279)),
ISNUMBER(SEARCH("MOCHILA",B279)),
ISNUMBER(SEARCH("FUNDA",B279)),
ISNUMBER(SEARCH("ESTUCHE",B279)),
ISNUMBER(SEARCH("BOOK COVER",B279)),
ISNUMBER(SEARCH("KEYBOARD PARA TABLET",B279)),
ISNUMBER(SEARCH("FLIP TABLET",B279)),
ISNUMBER(SEARCH("CASE FOR TABLET",B279)),
ISNUMBER(SEARCH("CABLE",B279)),
ISNUMBER(SEARCH("ADAPTADOR",B279)),
ISNUMBER(SEARCH("HUB",B279)),
ISNUMBER(SEARCH("DOCK",B279)),
ISNUMBER(SEARCH("MOUSE PAD",B279)),
ISNUMBER(SEARCH("MOUSEPAD",B279)),
ISNUMBER(SEARCH("SOPORTE",B279)),
ISNUMBER(SEARCH("STAND",B279)),
ISNUMBER(SEARCH("TRAVEL ADAPTER",B279)),
ISNUMBER(SEARCH("RJ45",B279)),
ISNUMBER(SEARCH("USB-C",B279)),
ISNUMBER(SEARCH("USB WIFI",B279)),
ISNUMBER(SEARCH("POWERBANK",B279)),
ISNUMBER(SEARCH("CARGADOR",B279)),
ISNUMBER(SEARCH("COOLER PARA NB",B279)),
ISNUMBER(SEARCH("SOPORTE PARA NB",B279)),
ISNUMBER(SEARCH("WEBCAM",B279)),
ISNUMBER(SEARCH("WEB CAM",B279)),
ISNUMBER(SEARCH("MOUSE",B279)),
ISNUMBER(SEARCH("TECLADO",B279))
),
"COMPLEMENTO",
IF(
OR(
LEFT(A279,2)="NB",
LEFT(A279,2)="PC",
LEFT(A279,2)="WS",
LEFT(A279,2)="TB",
LEFT(A279,3)="CEL",
LEFT(A279,3)="MON",
LEFT(A279,3)="PRE",
LEFT(A279,3)="PRH",
ISNUMBER(SEARCH("NOTEBOOK",B279)),
ISNUMBER(SEARCH("LAPTOP",B279)),
ISNUMBER(SEARCH("MONITOR",B279)),
ISNUMBER(SEARCH("TABLET",B279)),
ISNUMBER(SEARCH("SMARTPH",B279)),
ISNUMBER(SEARCH("IMPRESORA",B279)),
ISNUMBER(SEARCH("MULTIFUNCIONAL",B279)),
ISNUMBER(SEARCH("AIO",B279))
),
"GANCHO",
"NORMAL"
)
)</f>
        <v>NORMAL</v>
      </c>
    </row>
    <row r="278" spans="1:12" x14ac:dyDescent="0.25">
      <c r="A278" s="3" t="s">
        <v>1007</v>
      </c>
      <c r="B278" s="3" t="s">
        <v>1008</v>
      </c>
      <c r="C278" s="1">
        <v>20</v>
      </c>
      <c r="D278" s="1">
        <v>304</v>
      </c>
      <c r="E278" s="1" t="s">
        <v>170</v>
      </c>
      <c r="F278" s="1" t="s">
        <v>3202</v>
      </c>
      <c r="G278" s="3" t="s">
        <v>1009</v>
      </c>
      <c r="H278" s="11">
        <f>ROUND(
IF(L276="GANCHO",
   IF(I278&lt;=50,I278*1.1+4,IF(I278&lt;=120,I278*1.1+7,IF(I278&lt;=250,I278*1.1+11,I278*1.1+19))),
IF(L276="NORMAL",
   IF(I278&lt;=30,I278*1.15+2,IF(I278&lt;=80,I278*1.15+4,IF(I278&lt;=150,I278*1.15+6,I278*1.15+8))),
IF(L276="COMPLEMENTO",
   IF(I278&lt;=25,I278*1.25+1.5,IF(I278&lt;=60,I278*1.25+3,IF(I278&lt;=120,I278*1.25+4,I278*1.25+5))),
""))),2)</f>
        <v>1443.6</v>
      </c>
      <c r="I278" s="9">
        <f>($K$2+0.02)*Tabla1[[#This Row],[PRECIO $]]*1.18</f>
        <v>1248.3456000000001</v>
      </c>
      <c r="J278" s="7">
        <f>+Tabla1[[#This Row],[PRECIO EN SOLES]]-Tabla1[[#This Row],[PC]]</f>
        <v>195.25439999999981</v>
      </c>
      <c r="K278" s="15"/>
      <c r="L278" s="15" t="str">
        <f>IF(
OR(
ISNUMBER(SEARCH("BACKPACK",B280)),
ISNUMBER(SEARCH("MOCHILA",B280)),
ISNUMBER(SEARCH("FUNDA",B280)),
ISNUMBER(SEARCH("ESTUCHE",B280)),
ISNUMBER(SEARCH("BOOK COVER",B280)),
ISNUMBER(SEARCH("KEYBOARD PARA TABLET",B280)),
ISNUMBER(SEARCH("FLIP TABLET",B280)),
ISNUMBER(SEARCH("CASE FOR TABLET",B280)),
ISNUMBER(SEARCH("CABLE",B280)),
ISNUMBER(SEARCH("ADAPTADOR",B280)),
ISNUMBER(SEARCH("HUB",B280)),
ISNUMBER(SEARCH("DOCK",B280)),
ISNUMBER(SEARCH("MOUSE PAD",B280)),
ISNUMBER(SEARCH("MOUSEPAD",B280)),
ISNUMBER(SEARCH("SOPORTE",B280)),
ISNUMBER(SEARCH("STAND",B280)),
ISNUMBER(SEARCH("TRAVEL ADAPTER",B280)),
ISNUMBER(SEARCH("RJ45",B280)),
ISNUMBER(SEARCH("USB-C",B280)),
ISNUMBER(SEARCH("USB WIFI",B280)),
ISNUMBER(SEARCH("POWERBANK",B280)),
ISNUMBER(SEARCH("CARGADOR",B280)),
ISNUMBER(SEARCH("COOLER PARA NB",B280)),
ISNUMBER(SEARCH("SOPORTE PARA NB",B280)),
ISNUMBER(SEARCH("WEBCAM",B280)),
ISNUMBER(SEARCH("WEB CAM",B280)),
ISNUMBER(SEARCH("MOUSE",B280)),
ISNUMBER(SEARCH("TECLADO",B280))
),
"COMPLEMENTO",
IF(
OR(
LEFT(A280,2)="NB",
LEFT(A280,2)="PC",
LEFT(A280,2)="WS",
LEFT(A280,2)="TB",
LEFT(A280,3)="CEL",
LEFT(A280,3)="MON",
LEFT(A280,3)="PRE",
LEFT(A280,3)="PRH",
ISNUMBER(SEARCH("NOTEBOOK",B280)),
ISNUMBER(SEARCH("LAPTOP",B280)),
ISNUMBER(SEARCH("MONITOR",B280)),
ISNUMBER(SEARCH("TABLET",B280)),
ISNUMBER(SEARCH("SMARTPH",B280)),
ISNUMBER(SEARCH("IMPRESORA",B280)),
ISNUMBER(SEARCH("MULTIFUNCIONAL",B280)),
ISNUMBER(SEARCH("AIO",B280))
),
"GANCHO",
"NORMAL"
)
)</f>
        <v>NORMAL</v>
      </c>
    </row>
    <row r="279" spans="1:12" x14ac:dyDescent="0.25">
      <c r="A279" s="3" t="s">
        <v>4777</v>
      </c>
      <c r="B279" s="3" t="s">
        <v>4778</v>
      </c>
      <c r="C279" s="1">
        <v>20</v>
      </c>
      <c r="D279" s="1">
        <v>404.5</v>
      </c>
      <c r="E279" s="1" t="s">
        <v>170</v>
      </c>
      <c r="F279" s="1" t="s">
        <v>4779</v>
      </c>
      <c r="G279" s="3" t="s">
        <v>4780</v>
      </c>
      <c r="H279" s="11">
        <f>ROUND(
IF(L277="GANCHO",
   IF(I279&lt;=50,I279*1.1+4,IF(I279&lt;=120,I279*1.1+7,IF(I279&lt;=250,I279*1.1+11,I279*1.1+19))),
IF(L277="NORMAL",
   IF(I279&lt;=30,I279*1.15+2,IF(I279&lt;=80,I279*1.15+4,IF(I279&lt;=150,I279*1.15+6,I279*1.15+8))),
IF(L277="COMPLEMENTO",
   IF(I279&lt;=25,I279*1.25+1.5,IF(I279&lt;=60,I279*1.25+3,IF(I279&lt;=120,I279*1.25+4,I279*1.25+5))),
""))),2)</f>
        <v>1918.19</v>
      </c>
      <c r="I279" s="9">
        <f>($K$2+0.02)*Tabla1[[#This Row],[PRECIO $]]*1.18</f>
        <v>1661.0388</v>
      </c>
      <c r="J279" s="7">
        <f>+Tabla1[[#This Row],[PRECIO EN SOLES]]-Tabla1[[#This Row],[PC]]</f>
        <v>257.15120000000002</v>
      </c>
      <c r="K279" s="15"/>
      <c r="L279" s="15" t="str">
        <f>IF(
OR(
ISNUMBER(SEARCH("BACKPACK",B281)),
ISNUMBER(SEARCH("MOCHILA",B281)),
ISNUMBER(SEARCH("FUNDA",B281)),
ISNUMBER(SEARCH("ESTUCHE",B281)),
ISNUMBER(SEARCH("BOOK COVER",B281)),
ISNUMBER(SEARCH("KEYBOARD PARA TABLET",B281)),
ISNUMBER(SEARCH("FLIP TABLET",B281)),
ISNUMBER(SEARCH("CASE FOR TABLET",B281)),
ISNUMBER(SEARCH("CABLE",B281)),
ISNUMBER(SEARCH("ADAPTADOR",B281)),
ISNUMBER(SEARCH("HUB",B281)),
ISNUMBER(SEARCH("DOCK",B281)),
ISNUMBER(SEARCH("MOUSE PAD",B281)),
ISNUMBER(SEARCH("MOUSEPAD",B281)),
ISNUMBER(SEARCH("SOPORTE",B281)),
ISNUMBER(SEARCH("STAND",B281)),
ISNUMBER(SEARCH("TRAVEL ADAPTER",B281)),
ISNUMBER(SEARCH("RJ45",B281)),
ISNUMBER(SEARCH("USB-C",B281)),
ISNUMBER(SEARCH("USB WIFI",B281)),
ISNUMBER(SEARCH("POWERBANK",B281)),
ISNUMBER(SEARCH("CARGADOR",B281)),
ISNUMBER(SEARCH("COOLER PARA NB",B281)),
ISNUMBER(SEARCH("SOPORTE PARA NB",B281)),
ISNUMBER(SEARCH("WEBCAM",B281)),
ISNUMBER(SEARCH("WEB CAM",B281)),
ISNUMBER(SEARCH("MOUSE",B281)),
ISNUMBER(SEARCH("TECLADO",B281))
),
"COMPLEMENTO",
IF(
OR(
LEFT(A281,2)="NB",
LEFT(A281,2)="PC",
LEFT(A281,2)="WS",
LEFT(A281,2)="TB",
LEFT(A281,3)="CEL",
LEFT(A281,3)="MON",
LEFT(A281,3)="PRE",
LEFT(A281,3)="PRH",
ISNUMBER(SEARCH("NOTEBOOK",B281)),
ISNUMBER(SEARCH("LAPTOP",B281)),
ISNUMBER(SEARCH("MONITOR",B281)),
ISNUMBER(SEARCH("TABLET",B281)),
ISNUMBER(SEARCH("SMARTPH",B281)),
ISNUMBER(SEARCH("IMPRESORA",B281)),
ISNUMBER(SEARCH("MULTIFUNCIONAL",B281)),
ISNUMBER(SEARCH("AIO",B281))
),
"GANCHO",
"NORMAL"
)
)</f>
        <v>NORMAL</v>
      </c>
    </row>
    <row r="280" spans="1:12" x14ac:dyDescent="0.25">
      <c r="A280" s="3" t="s">
        <v>1010</v>
      </c>
      <c r="B280" s="3" t="s">
        <v>1011</v>
      </c>
      <c r="C280" s="1">
        <v>20</v>
      </c>
      <c r="D280" s="1">
        <v>210.6</v>
      </c>
      <c r="E280" s="1" t="s">
        <v>170</v>
      </c>
      <c r="F280" s="1" t="s">
        <v>3203</v>
      </c>
      <c r="G280" s="3" t="s">
        <v>1012</v>
      </c>
      <c r="H280" s="11">
        <f>ROUND(
IF(L278="GANCHO",
   IF(I280&lt;=50,I280*1.1+4,IF(I280&lt;=120,I280*1.1+7,IF(I280&lt;=250,I280*1.1+11,I280*1.1+19))),
IF(L278="NORMAL",
   IF(I280&lt;=30,I280*1.15+2,IF(I280&lt;=80,I280*1.15+4,IF(I280&lt;=150,I280*1.15+6,I280*1.15+8))),
IF(L278="COMPLEMENTO",
   IF(I280&lt;=25,I280*1.25+1.5,IF(I280&lt;=60,I280*1.25+3,IF(I280&lt;=120,I280*1.25+4,I280*1.25+5))),
""))),2)</f>
        <v>1002.53</v>
      </c>
      <c r="I280" s="9">
        <f>($K$2+0.02)*Tabla1[[#This Row],[PRECIO $]]*1.18</f>
        <v>864.80783999999983</v>
      </c>
      <c r="J280" s="7">
        <f>+Tabla1[[#This Row],[PRECIO EN SOLES]]-Tabla1[[#This Row],[PC]]</f>
        <v>137.72216000000014</v>
      </c>
      <c r="K280" s="15"/>
      <c r="L280" s="15" t="str">
        <f>IF(
OR(
ISNUMBER(SEARCH("BACKPACK",B282)),
ISNUMBER(SEARCH("MOCHILA",B282)),
ISNUMBER(SEARCH("FUNDA",B282)),
ISNUMBER(SEARCH("ESTUCHE",B282)),
ISNUMBER(SEARCH("BOOK COVER",B282)),
ISNUMBER(SEARCH("KEYBOARD PARA TABLET",B282)),
ISNUMBER(SEARCH("FLIP TABLET",B282)),
ISNUMBER(SEARCH("CASE FOR TABLET",B282)),
ISNUMBER(SEARCH("CABLE",B282)),
ISNUMBER(SEARCH("ADAPTADOR",B282)),
ISNUMBER(SEARCH("HUB",B282)),
ISNUMBER(SEARCH("DOCK",B282)),
ISNUMBER(SEARCH("MOUSE PAD",B282)),
ISNUMBER(SEARCH("MOUSEPAD",B282)),
ISNUMBER(SEARCH("SOPORTE",B282)),
ISNUMBER(SEARCH("STAND",B282)),
ISNUMBER(SEARCH("TRAVEL ADAPTER",B282)),
ISNUMBER(SEARCH("RJ45",B282)),
ISNUMBER(SEARCH("USB-C",B282)),
ISNUMBER(SEARCH("USB WIFI",B282)),
ISNUMBER(SEARCH("POWERBANK",B282)),
ISNUMBER(SEARCH("CARGADOR",B282)),
ISNUMBER(SEARCH("COOLER PARA NB",B282)),
ISNUMBER(SEARCH("SOPORTE PARA NB",B282)),
ISNUMBER(SEARCH("WEBCAM",B282)),
ISNUMBER(SEARCH("WEB CAM",B282)),
ISNUMBER(SEARCH("MOUSE",B282)),
ISNUMBER(SEARCH("TECLADO",B282))
),
"COMPLEMENTO",
IF(
OR(
LEFT(A282,2)="NB",
LEFT(A282,2)="PC",
LEFT(A282,2)="WS",
LEFT(A282,2)="TB",
LEFT(A282,3)="CEL",
LEFT(A282,3)="MON",
LEFT(A282,3)="PRE",
LEFT(A282,3)="PRH",
ISNUMBER(SEARCH("NOTEBOOK",B282)),
ISNUMBER(SEARCH("LAPTOP",B282)),
ISNUMBER(SEARCH("MONITOR",B282)),
ISNUMBER(SEARCH("TABLET",B282)),
ISNUMBER(SEARCH("SMARTPH",B282)),
ISNUMBER(SEARCH("IMPRESORA",B282)),
ISNUMBER(SEARCH("MULTIFUNCIONAL",B282)),
ISNUMBER(SEARCH("AIO",B282))
),
"GANCHO",
"NORMAL"
)
)</f>
        <v>NORMAL</v>
      </c>
    </row>
    <row r="281" spans="1:12" x14ac:dyDescent="0.25">
      <c r="A281" s="3" t="s">
        <v>1013</v>
      </c>
      <c r="B281" s="3" t="s">
        <v>1014</v>
      </c>
      <c r="C281" s="1">
        <v>20</v>
      </c>
      <c r="D281" s="1">
        <v>220.2</v>
      </c>
      <c r="E281" s="1" t="s">
        <v>170</v>
      </c>
      <c r="F281" s="1" t="s">
        <v>3204</v>
      </c>
      <c r="G281" s="3" t="s">
        <v>1015</v>
      </c>
      <c r="H281" s="11">
        <f>ROUND(
IF(L279="GANCHO",
   IF(I281&lt;=50,I281*1.1+4,IF(I281&lt;=120,I281*1.1+7,IF(I281&lt;=250,I281*1.1+11,I281*1.1+19))),
IF(L279="NORMAL",
   IF(I281&lt;=30,I281*1.15+2,IF(I281&lt;=80,I281*1.15+4,IF(I281&lt;=150,I281*1.15+6,I281*1.15+8))),
IF(L279="COMPLEMENTO",
   IF(I281&lt;=25,I281*1.25+1.5,IF(I281&lt;=60,I281*1.25+3,IF(I281&lt;=120,I281*1.25+4,I281*1.25+5))),
""))),2)</f>
        <v>1047.8599999999999</v>
      </c>
      <c r="I281" s="9">
        <f>($K$2+0.02)*Tabla1[[#This Row],[PRECIO $]]*1.18</f>
        <v>904.2292799999999</v>
      </c>
      <c r="J281" s="7">
        <f>+Tabla1[[#This Row],[PRECIO EN SOLES]]-Tabla1[[#This Row],[PC]]</f>
        <v>143.63072</v>
      </c>
      <c r="K281" s="15"/>
      <c r="L281" s="15" t="str">
        <f>IF(
OR(
ISNUMBER(SEARCH("BACKPACK",B283)),
ISNUMBER(SEARCH("MOCHILA",B283)),
ISNUMBER(SEARCH("FUNDA",B283)),
ISNUMBER(SEARCH("ESTUCHE",B283)),
ISNUMBER(SEARCH("BOOK COVER",B283)),
ISNUMBER(SEARCH("KEYBOARD PARA TABLET",B283)),
ISNUMBER(SEARCH("FLIP TABLET",B283)),
ISNUMBER(SEARCH("CASE FOR TABLET",B283)),
ISNUMBER(SEARCH("CABLE",B283)),
ISNUMBER(SEARCH("ADAPTADOR",B283)),
ISNUMBER(SEARCH("HUB",B283)),
ISNUMBER(SEARCH("DOCK",B283)),
ISNUMBER(SEARCH("MOUSE PAD",B283)),
ISNUMBER(SEARCH("MOUSEPAD",B283)),
ISNUMBER(SEARCH("SOPORTE",B283)),
ISNUMBER(SEARCH("STAND",B283)),
ISNUMBER(SEARCH("TRAVEL ADAPTER",B283)),
ISNUMBER(SEARCH("RJ45",B283)),
ISNUMBER(SEARCH("USB-C",B283)),
ISNUMBER(SEARCH("USB WIFI",B283)),
ISNUMBER(SEARCH("POWERBANK",B283)),
ISNUMBER(SEARCH("CARGADOR",B283)),
ISNUMBER(SEARCH("COOLER PARA NB",B283)),
ISNUMBER(SEARCH("SOPORTE PARA NB",B283)),
ISNUMBER(SEARCH("WEBCAM",B283)),
ISNUMBER(SEARCH("WEB CAM",B283)),
ISNUMBER(SEARCH("MOUSE",B283)),
ISNUMBER(SEARCH("TECLADO",B283))
),
"COMPLEMENTO",
IF(
OR(
LEFT(A283,2)="NB",
LEFT(A283,2)="PC",
LEFT(A283,2)="WS",
LEFT(A283,2)="TB",
LEFT(A283,3)="CEL",
LEFT(A283,3)="MON",
LEFT(A283,3)="PRE",
LEFT(A283,3)="PRH",
ISNUMBER(SEARCH("NOTEBOOK",B283)),
ISNUMBER(SEARCH("LAPTOP",B283)),
ISNUMBER(SEARCH("MONITOR",B283)),
ISNUMBER(SEARCH("TABLET",B283)),
ISNUMBER(SEARCH("SMARTPH",B283)),
ISNUMBER(SEARCH("IMPRESORA",B283)),
ISNUMBER(SEARCH("MULTIFUNCIONAL",B283)),
ISNUMBER(SEARCH("AIO",B283))
),
"GANCHO",
"NORMAL"
)
)</f>
        <v>NORMAL</v>
      </c>
    </row>
    <row r="282" spans="1:12" x14ac:dyDescent="0.25">
      <c r="A282" s="3" t="s">
        <v>1016</v>
      </c>
      <c r="B282" s="3" t="s">
        <v>1017</v>
      </c>
      <c r="C282" s="1">
        <v>20</v>
      </c>
      <c r="D282" s="1">
        <v>318.5</v>
      </c>
      <c r="E282" s="1" t="s">
        <v>170</v>
      </c>
      <c r="F282" s="1" t="s">
        <v>3205</v>
      </c>
      <c r="G282" s="3" t="s">
        <v>1018</v>
      </c>
      <c r="H282" s="11">
        <f>ROUND(
IF(L280="GANCHO",
   IF(I282&lt;=50,I282*1.1+4,IF(I282&lt;=120,I282*1.1+7,IF(I282&lt;=250,I282*1.1+11,I282*1.1+19))),
IF(L280="NORMAL",
   IF(I282&lt;=30,I282*1.15+2,IF(I282&lt;=80,I282*1.15+4,IF(I282&lt;=150,I282*1.15+6,I282*1.15+8))),
IF(L280="COMPLEMENTO",
   IF(I282&lt;=25,I282*1.25+1.5,IF(I282&lt;=60,I282*1.25+3,IF(I282&lt;=120,I282*1.25+4,I282*1.25+5))),
""))),2)</f>
        <v>1512.07</v>
      </c>
      <c r="I282" s="9">
        <f>($K$2+0.02)*Tabla1[[#This Row],[PRECIO $]]*1.18</f>
        <v>1307.8883999999998</v>
      </c>
      <c r="J282" s="7">
        <f>+Tabla1[[#This Row],[PRECIO EN SOLES]]-Tabla1[[#This Row],[PC]]</f>
        <v>204.18160000000012</v>
      </c>
      <c r="K282" s="15"/>
      <c r="L282" s="15" t="str">
        <f>IF(
OR(
ISNUMBER(SEARCH("BACKPACK",B284)),
ISNUMBER(SEARCH("MOCHILA",B284)),
ISNUMBER(SEARCH("FUNDA",B284)),
ISNUMBER(SEARCH("ESTUCHE",B284)),
ISNUMBER(SEARCH("BOOK COVER",B284)),
ISNUMBER(SEARCH("KEYBOARD PARA TABLET",B284)),
ISNUMBER(SEARCH("FLIP TABLET",B284)),
ISNUMBER(SEARCH("CASE FOR TABLET",B284)),
ISNUMBER(SEARCH("CABLE",B284)),
ISNUMBER(SEARCH("ADAPTADOR",B284)),
ISNUMBER(SEARCH("HUB",B284)),
ISNUMBER(SEARCH("DOCK",B284)),
ISNUMBER(SEARCH("MOUSE PAD",B284)),
ISNUMBER(SEARCH("MOUSEPAD",B284)),
ISNUMBER(SEARCH("SOPORTE",B284)),
ISNUMBER(SEARCH("STAND",B284)),
ISNUMBER(SEARCH("TRAVEL ADAPTER",B284)),
ISNUMBER(SEARCH("RJ45",B284)),
ISNUMBER(SEARCH("USB-C",B284)),
ISNUMBER(SEARCH("USB WIFI",B284)),
ISNUMBER(SEARCH("POWERBANK",B284)),
ISNUMBER(SEARCH("CARGADOR",B284)),
ISNUMBER(SEARCH("COOLER PARA NB",B284)),
ISNUMBER(SEARCH("SOPORTE PARA NB",B284)),
ISNUMBER(SEARCH("WEBCAM",B284)),
ISNUMBER(SEARCH("WEB CAM",B284)),
ISNUMBER(SEARCH("MOUSE",B284)),
ISNUMBER(SEARCH("TECLADO",B284))
),
"COMPLEMENTO",
IF(
OR(
LEFT(A284,2)="NB",
LEFT(A284,2)="PC",
LEFT(A284,2)="WS",
LEFT(A284,2)="TB",
LEFT(A284,3)="CEL",
LEFT(A284,3)="MON",
LEFT(A284,3)="PRE",
LEFT(A284,3)="PRH",
ISNUMBER(SEARCH("NOTEBOOK",B284)),
ISNUMBER(SEARCH("LAPTOP",B284)),
ISNUMBER(SEARCH("MONITOR",B284)),
ISNUMBER(SEARCH("TABLET",B284)),
ISNUMBER(SEARCH("SMARTPH",B284)),
ISNUMBER(SEARCH("IMPRESORA",B284)),
ISNUMBER(SEARCH("MULTIFUNCIONAL",B284)),
ISNUMBER(SEARCH("AIO",B284))
),
"GANCHO",
"NORMAL"
)
)</f>
        <v>NORMAL</v>
      </c>
    </row>
    <row r="283" spans="1:12" x14ac:dyDescent="0.25">
      <c r="A283" s="3" t="s">
        <v>4905</v>
      </c>
      <c r="B283" s="3" t="s">
        <v>4906</v>
      </c>
      <c r="C283" s="1">
        <v>20</v>
      </c>
      <c r="D283" s="1">
        <v>481</v>
      </c>
      <c r="E283" s="1" t="s">
        <v>170</v>
      </c>
      <c r="F283" s="1" t="s">
        <v>4907</v>
      </c>
      <c r="G283" s="3" t="s">
        <v>4908</v>
      </c>
      <c r="H283" s="11">
        <f>ROUND(
IF(L281="GANCHO",
   IF(I283&lt;=50,I283*1.1+4,IF(I283&lt;=120,I283*1.1+7,IF(I283&lt;=250,I283*1.1+11,I283*1.1+19))),
IF(L281="NORMAL",
   IF(I283&lt;=30,I283*1.15+2,IF(I283&lt;=80,I283*1.15+4,IF(I283&lt;=150,I283*1.15+6,I283*1.15+8))),
IF(L281="COMPLEMENTO",
   IF(I283&lt;=25,I283*1.25+1.5,IF(I283&lt;=60,I283*1.25+3,IF(I283&lt;=120,I283*1.25+4,I283*1.25+5))),
""))),2)</f>
        <v>2279.46</v>
      </c>
      <c r="I283" s="9">
        <f>($K$2+0.02)*Tabla1[[#This Row],[PRECIO $]]*1.18</f>
        <v>1975.1783999999998</v>
      </c>
      <c r="J283" s="7">
        <f>+Tabla1[[#This Row],[PRECIO EN SOLES]]-Tabla1[[#This Row],[PC]]</f>
        <v>304.28160000000025</v>
      </c>
      <c r="K283" s="15"/>
      <c r="L283" s="15" t="str">
        <f>IF(
OR(
ISNUMBER(SEARCH("BACKPACK",B285)),
ISNUMBER(SEARCH("MOCHILA",B285)),
ISNUMBER(SEARCH("FUNDA",B285)),
ISNUMBER(SEARCH("ESTUCHE",B285)),
ISNUMBER(SEARCH("BOOK COVER",B285)),
ISNUMBER(SEARCH("KEYBOARD PARA TABLET",B285)),
ISNUMBER(SEARCH("FLIP TABLET",B285)),
ISNUMBER(SEARCH("CASE FOR TABLET",B285)),
ISNUMBER(SEARCH("CABLE",B285)),
ISNUMBER(SEARCH("ADAPTADOR",B285)),
ISNUMBER(SEARCH("HUB",B285)),
ISNUMBER(SEARCH("DOCK",B285)),
ISNUMBER(SEARCH("MOUSE PAD",B285)),
ISNUMBER(SEARCH("MOUSEPAD",B285)),
ISNUMBER(SEARCH("SOPORTE",B285)),
ISNUMBER(SEARCH("STAND",B285)),
ISNUMBER(SEARCH("TRAVEL ADAPTER",B285)),
ISNUMBER(SEARCH("RJ45",B285)),
ISNUMBER(SEARCH("USB-C",B285)),
ISNUMBER(SEARCH("USB WIFI",B285)),
ISNUMBER(SEARCH("POWERBANK",B285)),
ISNUMBER(SEARCH("CARGADOR",B285)),
ISNUMBER(SEARCH("COOLER PARA NB",B285)),
ISNUMBER(SEARCH("SOPORTE PARA NB",B285)),
ISNUMBER(SEARCH("WEBCAM",B285)),
ISNUMBER(SEARCH("WEB CAM",B285)),
ISNUMBER(SEARCH("MOUSE",B285)),
ISNUMBER(SEARCH("TECLADO",B285))
),
"COMPLEMENTO",
IF(
OR(
LEFT(A285,2)="NB",
LEFT(A285,2)="PC",
LEFT(A285,2)="WS",
LEFT(A285,2)="TB",
LEFT(A285,3)="CEL",
LEFT(A285,3)="MON",
LEFT(A285,3)="PRE",
LEFT(A285,3)="PRH",
ISNUMBER(SEARCH("NOTEBOOK",B285)),
ISNUMBER(SEARCH("LAPTOP",B285)),
ISNUMBER(SEARCH("MONITOR",B285)),
ISNUMBER(SEARCH("TABLET",B285)),
ISNUMBER(SEARCH("SMARTPH",B285)),
ISNUMBER(SEARCH("IMPRESORA",B285)),
ISNUMBER(SEARCH("MULTIFUNCIONAL",B285)),
ISNUMBER(SEARCH("AIO",B285))
),
"GANCHO",
"NORMAL"
)
)</f>
        <v>NORMAL</v>
      </c>
    </row>
    <row r="284" spans="1:12" x14ac:dyDescent="0.25">
      <c r="A284" s="3" t="s">
        <v>1019</v>
      </c>
      <c r="B284" s="3" t="s">
        <v>1020</v>
      </c>
      <c r="C284" s="1">
        <v>13</v>
      </c>
      <c r="D284" s="1">
        <v>337</v>
      </c>
      <c r="E284" s="1" t="s">
        <v>170</v>
      </c>
      <c r="F284" s="1" t="s">
        <v>3206</v>
      </c>
      <c r="G284" s="3" t="s">
        <v>1021</v>
      </c>
      <c r="H284" s="11">
        <f>ROUND(
IF(L282="GANCHO",
   IF(I284&lt;=50,I284*1.1+4,IF(I284&lt;=120,I284*1.1+7,IF(I284&lt;=250,I284*1.1+11,I284*1.1+19))),
IF(L282="NORMAL",
   IF(I284&lt;=30,I284*1.15+2,IF(I284&lt;=80,I284*1.15+4,IF(I284&lt;=150,I284*1.15+6,I284*1.15+8))),
IF(L282="COMPLEMENTO",
   IF(I284&lt;=25,I284*1.25+1.5,IF(I284&lt;=60,I284*1.25+3,IF(I284&lt;=120,I284*1.25+4,I284*1.25+5))),
""))),2)</f>
        <v>1599.44</v>
      </c>
      <c r="I284" s="9">
        <f>($K$2+0.02)*Tabla1[[#This Row],[PRECIO $]]*1.18</f>
        <v>1383.8568</v>
      </c>
      <c r="J284" s="7">
        <f>+Tabla1[[#This Row],[PRECIO EN SOLES]]-Tabla1[[#This Row],[PC]]</f>
        <v>215.58320000000003</v>
      </c>
      <c r="K284" s="15"/>
      <c r="L284" s="15" t="str">
        <f>IF(
OR(
ISNUMBER(SEARCH("BACKPACK",B286)),
ISNUMBER(SEARCH("MOCHILA",B286)),
ISNUMBER(SEARCH("FUNDA",B286)),
ISNUMBER(SEARCH("ESTUCHE",B286)),
ISNUMBER(SEARCH("BOOK COVER",B286)),
ISNUMBER(SEARCH("KEYBOARD PARA TABLET",B286)),
ISNUMBER(SEARCH("FLIP TABLET",B286)),
ISNUMBER(SEARCH("CASE FOR TABLET",B286)),
ISNUMBER(SEARCH("CABLE",B286)),
ISNUMBER(SEARCH("ADAPTADOR",B286)),
ISNUMBER(SEARCH("HUB",B286)),
ISNUMBER(SEARCH("DOCK",B286)),
ISNUMBER(SEARCH("MOUSE PAD",B286)),
ISNUMBER(SEARCH("MOUSEPAD",B286)),
ISNUMBER(SEARCH("SOPORTE",B286)),
ISNUMBER(SEARCH("STAND",B286)),
ISNUMBER(SEARCH("TRAVEL ADAPTER",B286)),
ISNUMBER(SEARCH("RJ45",B286)),
ISNUMBER(SEARCH("USB-C",B286)),
ISNUMBER(SEARCH("USB WIFI",B286)),
ISNUMBER(SEARCH("POWERBANK",B286)),
ISNUMBER(SEARCH("CARGADOR",B286)),
ISNUMBER(SEARCH("COOLER PARA NB",B286)),
ISNUMBER(SEARCH("SOPORTE PARA NB",B286)),
ISNUMBER(SEARCH("WEBCAM",B286)),
ISNUMBER(SEARCH("WEB CAM",B286)),
ISNUMBER(SEARCH("MOUSE",B286)),
ISNUMBER(SEARCH("TECLADO",B286))
),
"COMPLEMENTO",
IF(
OR(
LEFT(A286,2)="NB",
LEFT(A286,2)="PC",
LEFT(A286,2)="WS",
LEFT(A286,2)="TB",
LEFT(A286,3)="CEL",
LEFT(A286,3)="MON",
LEFT(A286,3)="PRE",
LEFT(A286,3)="PRH",
ISNUMBER(SEARCH("NOTEBOOK",B286)),
ISNUMBER(SEARCH("LAPTOP",B286)),
ISNUMBER(SEARCH("MONITOR",B286)),
ISNUMBER(SEARCH("TABLET",B286)),
ISNUMBER(SEARCH("SMARTPH",B286)),
ISNUMBER(SEARCH("IMPRESORA",B286)),
ISNUMBER(SEARCH("MULTIFUNCIONAL",B286)),
ISNUMBER(SEARCH("AIO",B286))
),
"GANCHO",
"NORMAL"
)
)</f>
        <v>NORMAL</v>
      </c>
    </row>
    <row r="285" spans="1:12" x14ac:dyDescent="0.25">
      <c r="A285" s="3" t="s">
        <v>4909</v>
      </c>
      <c r="B285" s="3" t="s">
        <v>4910</v>
      </c>
      <c r="C285" s="1">
        <v>9</v>
      </c>
      <c r="D285" s="1">
        <v>576</v>
      </c>
      <c r="E285" s="1" t="s">
        <v>170</v>
      </c>
      <c r="F285" s="1" t="s">
        <v>4911</v>
      </c>
      <c r="G285" s="3" t="s">
        <v>4912</v>
      </c>
      <c r="H285" s="11">
        <f>ROUND(
IF(L283="GANCHO",
   IF(I285&lt;=50,I285*1.1+4,IF(I285&lt;=120,I285*1.1+7,IF(I285&lt;=250,I285*1.1+11,I285*1.1+19))),
IF(L283="NORMAL",
   IF(I285&lt;=30,I285*1.15+2,IF(I285&lt;=80,I285*1.15+4,IF(I285&lt;=150,I285*1.15+6,I285*1.15+8))),
IF(L283="COMPLEMENTO",
   IF(I285&lt;=25,I285*1.25+1.5,IF(I285&lt;=60,I285*1.25+3,IF(I285&lt;=120,I285*1.25+4,I285*1.25+5))),
""))),2)</f>
        <v>2728.08</v>
      </c>
      <c r="I285" s="9">
        <f>($K$2+0.02)*Tabla1[[#This Row],[PRECIO $]]*1.18</f>
        <v>2365.2864</v>
      </c>
      <c r="J285" s="7">
        <f>+Tabla1[[#This Row],[PRECIO EN SOLES]]-Tabla1[[#This Row],[PC]]</f>
        <v>362.79359999999997</v>
      </c>
      <c r="K285" s="15"/>
      <c r="L285" s="15" t="str">
        <f>IF(
OR(
ISNUMBER(SEARCH("BACKPACK",B287)),
ISNUMBER(SEARCH("MOCHILA",B287)),
ISNUMBER(SEARCH("FUNDA",B287)),
ISNUMBER(SEARCH("ESTUCHE",B287)),
ISNUMBER(SEARCH("BOOK COVER",B287)),
ISNUMBER(SEARCH("KEYBOARD PARA TABLET",B287)),
ISNUMBER(SEARCH("FLIP TABLET",B287)),
ISNUMBER(SEARCH("CASE FOR TABLET",B287)),
ISNUMBER(SEARCH("CABLE",B287)),
ISNUMBER(SEARCH("ADAPTADOR",B287)),
ISNUMBER(SEARCH("HUB",B287)),
ISNUMBER(SEARCH("DOCK",B287)),
ISNUMBER(SEARCH("MOUSE PAD",B287)),
ISNUMBER(SEARCH("MOUSEPAD",B287)),
ISNUMBER(SEARCH("SOPORTE",B287)),
ISNUMBER(SEARCH("STAND",B287)),
ISNUMBER(SEARCH("TRAVEL ADAPTER",B287)),
ISNUMBER(SEARCH("RJ45",B287)),
ISNUMBER(SEARCH("USB-C",B287)),
ISNUMBER(SEARCH("USB WIFI",B287)),
ISNUMBER(SEARCH("POWERBANK",B287)),
ISNUMBER(SEARCH("CARGADOR",B287)),
ISNUMBER(SEARCH("COOLER PARA NB",B287)),
ISNUMBER(SEARCH("SOPORTE PARA NB",B287)),
ISNUMBER(SEARCH("WEBCAM",B287)),
ISNUMBER(SEARCH("WEB CAM",B287)),
ISNUMBER(SEARCH("MOUSE",B287)),
ISNUMBER(SEARCH("TECLADO",B287))
),
"COMPLEMENTO",
IF(
OR(
LEFT(A287,2)="NB",
LEFT(A287,2)="PC",
LEFT(A287,2)="WS",
LEFT(A287,2)="TB",
LEFT(A287,3)="CEL",
LEFT(A287,3)="MON",
LEFT(A287,3)="PRE",
LEFT(A287,3)="PRH",
ISNUMBER(SEARCH("NOTEBOOK",B287)),
ISNUMBER(SEARCH("LAPTOP",B287)),
ISNUMBER(SEARCH("MONITOR",B287)),
ISNUMBER(SEARCH("TABLET",B287)),
ISNUMBER(SEARCH("SMARTPH",B287)),
ISNUMBER(SEARCH("IMPRESORA",B287)),
ISNUMBER(SEARCH("MULTIFUNCIONAL",B287)),
ISNUMBER(SEARCH("AIO",B287))
),
"GANCHO",
"NORMAL"
)
)</f>
        <v>NORMAL</v>
      </c>
    </row>
    <row r="286" spans="1:12" x14ac:dyDescent="0.25">
      <c r="A286" s="3" t="s">
        <v>172</v>
      </c>
      <c r="B286" s="3" t="s">
        <v>173</v>
      </c>
      <c r="C286" s="1">
        <v>20</v>
      </c>
      <c r="D286" s="1">
        <v>400</v>
      </c>
      <c r="E286" s="1" t="s">
        <v>170</v>
      </c>
      <c r="F286" s="1" t="s">
        <v>3207</v>
      </c>
      <c r="G286" s="3" t="s">
        <v>174</v>
      </c>
      <c r="H286" s="11">
        <f>ROUND(
IF(L284="GANCHO",
   IF(I286&lt;=50,I286*1.1+4,IF(I286&lt;=120,I286*1.1+7,IF(I286&lt;=250,I286*1.1+11,I286*1.1+19))),
IF(L284="NORMAL",
   IF(I286&lt;=30,I286*1.15+2,IF(I286&lt;=80,I286*1.15+4,IF(I286&lt;=150,I286*1.15+6,I286*1.15+8))),
IF(L284="COMPLEMENTO",
   IF(I286&lt;=25,I286*1.25+1.5,IF(I286&lt;=60,I286*1.25+3,IF(I286&lt;=120,I286*1.25+4,I286*1.25+5))),
""))),2)</f>
        <v>1896.94</v>
      </c>
      <c r="I286" s="9">
        <f>($K$2+0.02)*Tabla1[[#This Row],[PRECIO $]]*1.18</f>
        <v>1642.56</v>
      </c>
      <c r="J286" s="7">
        <f>+Tabla1[[#This Row],[PRECIO EN SOLES]]-Tabla1[[#This Row],[PC]]</f>
        <v>254.38000000000011</v>
      </c>
      <c r="K286" s="15"/>
      <c r="L286" s="15" t="str">
        <f>IF(
OR(
ISNUMBER(SEARCH("BACKPACK",B288)),
ISNUMBER(SEARCH("MOCHILA",B288)),
ISNUMBER(SEARCH("FUNDA",B288)),
ISNUMBER(SEARCH("ESTUCHE",B288)),
ISNUMBER(SEARCH("BOOK COVER",B288)),
ISNUMBER(SEARCH("KEYBOARD PARA TABLET",B288)),
ISNUMBER(SEARCH("FLIP TABLET",B288)),
ISNUMBER(SEARCH("CASE FOR TABLET",B288)),
ISNUMBER(SEARCH("CABLE",B288)),
ISNUMBER(SEARCH("ADAPTADOR",B288)),
ISNUMBER(SEARCH("HUB",B288)),
ISNUMBER(SEARCH("DOCK",B288)),
ISNUMBER(SEARCH("MOUSE PAD",B288)),
ISNUMBER(SEARCH("MOUSEPAD",B288)),
ISNUMBER(SEARCH("SOPORTE",B288)),
ISNUMBER(SEARCH("STAND",B288)),
ISNUMBER(SEARCH("TRAVEL ADAPTER",B288)),
ISNUMBER(SEARCH("RJ45",B288)),
ISNUMBER(SEARCH("USB-C",B288)),
ISNUMBER(SEARCH("USB WIFI",B288)),
ISNUMBER(SEARCH("POWERBANK",B288)),
ISNUMBER(SEARCH("CARGADOR",B288)),
ISNUMBER(SEARCH("COOLER PARA NB",B288)),
ISNUMBER(SEARCH("SOPORTE PARA NB",B288)),
ISNUMBER(SEARCH("WEBCAM",B288)),
ISNUMBER(SEARCH("WEB CAM",B288)),
ISNUMBER(SEARCH("MOUSE",B288)),
ISNUMBER(SEARCH("TECLADO",B288))
),
"COMPLEMENTO",
IF(
OR(
LEFT(A288,2)="NB",
LEFT(A288,2)="PC",
LEFT(A288,2)="WS",
LEFT(A288,2)="TB",
LEFT(A288,3)="CEL",
LEFT(A288,3)="MON",
LEFT(A288,3)="PRE",
LEFT(A288,3)="PRH",
ISNUMBER(SEARCH("NOTEBOOK",B288)),
ISNUMBER(SEARCH("LAPTOP",B288)),
ISNUMBER(SEARCH("MONITOR",B288)),
ISNUMBER(SEARCH("TABLET",B288)),
ISNUMBER(SEARCH("SMARTPH",B288)),
ISNUMBER(SEARCH("IMPRESORA",B288)),
ISNUMBER(SEARCH("MULTIFUNCIONAL",B288)),
ISNUMBER(SEARCH("AIO",B288))
),
"GANCHO",
"NORMAL"
)
)</f>
        <v>NORMAL</v>
      </c>
    </row>
    <row r="287" spans="1:12" x14ac:dyDescent="0.25">
      <c r="A287" s="3" t="s">
        <v>1022</v>
      </c>
      <c r="B287" s="3" t="s">
        <v>1023</v>
      </c>
      <c r="C287" s="1">
        <v>5</v>
      </c>
      <c r="D287" s="1">
        <v>559</v>
      </c>
      <c r="E287" s="1" t="s">
        <v>170</v>
      </c>
      <c r="F287" s="1" t="s">
        <v>3208</v>
      </c>
      <c r="G287" s="3" t="s">
        <v>1024</v>
      </c>
      <c r="H287" s="11">
        <f>ROUND(
IF(L285="GANCHO",
   IF(I287&lt;=50,I287*1.1+4,IF(I287&lt;=120,I287*1.1+7,IF(I287&lt;=250,I287*1.1+11,I287*1.1+19))),
IF(L285="NORMAL",
   IF(I287&lt;=30,I287*1.15+2,IF(I287&lt;=80,I287*1.15+4,IF(I287&lt;=150,I287*1.15+6,I287*1.15+8))),
IF(L285="COMPLEMENTO",
   IF(I287&lt;=25,I287*1.25+1.5,IF(I287&lt;=60,I287*1.25+3,IF(I287&lt;=120,I287*1.25+4,I287*1.25+5))),
""))),2)</f>
        <v>2647.8</v>
      </c>
      <c r="I287" s="9">
        <f>($K$2+0.02)*Tabla1[[#This Row],[PRECIO $]]*1.18</f>
        <v>2295.4775999999997</v>
      </c>
      <c r="J287" s="7">
        <f>+Tabla1[[#This Row],[PRECIO EN SOLES]]-Tabla1[[#This Row],[PC]]</f>
        <v>352.32240000000047</v>
      </c>
      <c r="K287" s="15"/>
      <c r="L287" s="15" t="str">
        <f>IF(
OR(
ISNUMBER(SEARCH("BACKPACK",B289)),
ISNUMBER(SEARCH("MOCHILA",B289)),
ISNUMBER(SEARCH("FUNDA",B289)),
ISNUMBER(SEARCH("ESTUCHE",B289)),
ISNUMBER(SEARCH("BOOK COVER",B289)),
ISNUMBER(SEARCH("KEYBOARD PARA TABLET",B289)),
ISNUMBER(SEARCH("FLIP TABLET",B289)),
ISNUMBER(SEARCH("CASE FOR TABLET",B289)),
ISNUMBER(SEARCH("CABLE",B289)),
ISNUMBER(SEARCH("ADAPTADOR",B289)),
ISNUMBER(SEARCH("HUB",B289)),
ISNUMBER(SEARCH("DOCK",B289)),
ISNUMBER(SEARCH("MOUSE PAD",B289)),
ISNUMBER(SEARCH("MOUSEPAD",B289)),
ISNUMBER(SEARCH("SOPORTE",B289)),
ISNUMBER(SEARCH("STAND",B289)),
ISNUMBER(SEARCH("TRAVEL ADAPTER",B289)),
ISNUMBER(SEARCH("RJ45",B289)),
ISNUMBER(SEARCH("USB-C",B289)),
ISNUMBER(SEARCH("USB WIFI",B289)),
ISNUMBER(SEARCH("POWERBANK",B289)),
ISNUMBER(SEARCH("CARGADOR",B289)),
ISNUMBER(SEARCH("COOLER PARA NB",B289)),
ISNUMBER(SEARCH("SOPORTE PARA NB",B289)),
ISNUMBER(SEARCH("WEBCAM",B289)),
ISNUMBER(SEARCH("WEB CAM",B289)),
ISNUMBER(SEARCH("MOUSE",B289)),
ISNUMBER(SEARCH("TECLADO",B289))
),
"COMPLEMENTO",
IF(
OR(
LEFT(A289,2)="NB",
LEFT(A289,2)="PC",
LEFT(A289,2)="WS",
LEFT(A289,2)="TB",
LEFT(A289,3)="CEL",
LEFT(A289,3)="MON",
LEFT(A289,3)="PRE",
LEFT(A289,3)="PRH",
ISNUMBER(SEARCH("NOTEBOOK",B289)),
ISNUMBER(SEARCH("LAPTOP",B289)),
ISNUMBER(SEARCH("MONITOR",B289)),
ISNUMBER(SEARCH("TABLET",B289)),
ISNUMBER(SEARCH("SMARTPH",B289)),
ISNUMBER(SEARCH("IMPRESORA",B289)),
ISNUMBER(SEARCH("MULTIFUNCIONAL",B289)),
ISNUMBER(SEARCH("AIO",B289))
),
"GANCHO",
"NORMAL"
)
)</f>
        <v>NORMAL</v>
      </c>
    </row>
    <row r="288" spans="1:12" x14ac:dyDescent="0.25">
      <c r="A288" s="3" t="s">
        <v>1025</v>
      </c>
      <c r="B288" s="3" t="s">
        <v>1026</v>
      </c>
      <c r="C288" s="1">
        <v>20</v>
      </c>
      <c r="D288" s="1">
        <v>674</v>
      </c>
      <c r="E288" s="1" t="s">
        <v>170</v>
      </c>
      <c r="F288" s="1" t="s">
        <v>3209</v>
      </c>
      <c r="G288" s="3" t="s">
        <v>1027</v>
      </c>
      <c r="H288" s="11">
        <f>ROUND(
IF(L286="GANCHO",
   IF(I288&lt;=50,I288*1.1+4,IF(I288&lt;=120,I288*1.1+7,IF(I288&lt;=250,I288*1.1+11,I288*1.1+19))),
IF(L286="NORMAL",
   IF(I288&lt;=30,I288*1.15+2,IF(I288&lt;=80,I288*1.15+4,IF(I288&lt;=150,I288*1.15+6,I288*1.15+8))),
IF(L286="COMPLEMENTO",
   IF(I288&lt;=25,I288*1.25+1.5,IF(I288&lt;=60,I288*1.25+3,IF(I288&lt;=120,I288*1.25+4,I288*1.25+5))),
""))),2)</f>
        <v>3190.87</v>
      </c>
      <c r="I288" s="9">
        <f>($K$2+0.02)*Tabla1[[#This Row],[PRECIO $]]*1.18</f>
        <v>2767.7136</v>
      </c>
      <c r="J288" s="7">
        <f>+Tabla1[[#This Row],[PRECIO EN SOLES]]-Tabla1[[#This Row],[PC]]</f>
        <v>423.15639999999985</v>
      </c>
      <c r="K288" s="15"/>
      <c r="L288" s="15" t="str">
        <f>IF(
OR(
ISNUMBER(SEARCH("BACKPACK",B290)),
ISNUMBER(SEARCH("MOCHILA",B290)),
ISNUMBER(SEARCH("FUNDA",B290)),
ISNUMBER(SEARCH("ESTUCHE",B290)),
ISNUMBER(SEARCH("BOOK COVER",B290)),
ISNUMBER(SEARCH("KEYBOARD PARA TABLET",B290)),
ISNUMBER(SEARCH("FLIP TABLET",B290)),
ISNUMBER(SEARCH("CASE FOR TABLET",B290)),
ISNUMBER(SEARCH("CABLE",B290)),
ISNUMBER(SEARCH("ADAPTADOR",B290)),
ISNUMBER(SEARCH("HUB",B290)),
ISNUMBER(SEARCH("DOCK",B290)),
ISNUMBER(SEARCH("MOUSE PAD",B290)),
ISNUMBER(SEARCH("MOUSEPAD",B290)),
ISNUMBER(SEARCH("SOPORTE",B290)),
ISNUMBER(SEARCH("STAND",B290)),
ISNUMBER(SEARCH("TRAVEL ADAPTER",B290)),
ISNUMBER(SEARCH("RJ45",B290)),
ISNUMBER(SEARCH("USB-C",B290)),
ISNUMBER(SEARCH("USB WIFI",B290)),
ISNUMBER(SEARCH("POWERBANK",B290)),
ISNUMBER(SEARCH("CARGADOR",B290)),
ISNUMBER(SEARCH("COOLER PARA NB",B290)),
ISNUMBER(SEARCH("SOPORTE PARA NB",B290)),
ISNUMBER(SEARCH("WEBCAM",B290)),
ISNUMBER(SEARCH("WEB CAM",B290)),
ISNUMBER(SEARCH("MOUSE",B290)),
ISNUMBER(SEARCH("TECLADO",B290))
),
"COMPLEMENTO",
IF(
OR(
LEFT(A290,2)="NB",
LEFT(A290,2)="PC",
LEFT(A290,2)="WS",
LEFT(A290,2)="TB",
LEFT(A290,3)="CEL",
LEFT(A290,3)="MON",
LEFT(A290,3)="PRE",
LEFT(A290,3)="PRH",
ISNUMBER(SEARCH("NOTEBOOK",B290)),
ISNUMBER(SEARCH("LAPTOP",B290)),
ISNUMBER(SEARCH("MONITOR",B290)),
ISNUMBER(SEARCH("TABLET",B290)),
ISNUMBER(SEARCH("SMARTPH",B290)),
ISNUMBER(SEARCH("IMPRESORA",B290)),
ISNUMBER(SEARCH("MULTIFUNCIONAL",B290)),
ISNUMBER(SEARCH("AIO",B290))
),
"GANCHO",
"NORMAL"
)
)</f>
        <v>NORMAL</v>
      </c>
    </row>
    <row r="289" spans="1:12" x14ac:dyDescent="0.25">
      <c r="A289" s="3" t="s">
        <v>6580</v>
      </c>
      <c r="B289" s="3" t="s">
        <v>6581</v>
      </c>
      <c r="C289" s="1">
        <v>20</v>
      </c>
      <c r="D289" s="1">
        <v>193</v>
      </c>
      <c r="E289" s="1" t="s">
        <v>175</v>
      </c>
      <c r="F289" s="1" t="s">
        <v>6582</v>
      </c>
      <c r="G289" s="3" t="s">
        <v>6583</v>
      </c>
      <c r="H289" s="11">
        <f>ROUND(
IF(L287="GANCHO",
   IF(I289&lt;=50,I289*1.1+4,IF(I289&lt;=120,I289*1.1+7,IF(I289&lt;=250,I289*1.1+11,I289*1.1+19))),
IF(L287="NORMAL",
   IF(I289&lt;=30,I289*1.15+2,IF(I289&lt;=80,I289*1.15+4,IF(I289&lt;=150,I289*1.15+6,I289*1.15+8))),
IF(L287="COMPLEMENTO",
   IF(I289&lt;=25,I289*1.25+1.5,IF(I289&lt;=60,I289*1.25+3,IF(I289&lt;=120,I289*1.25+4,I289*1.25+5))),
""))),2)</f>
        <v>919.42</v>
      </c>
      <c r="I289" s="9">
        <f>($K$2+0.02)*Tabla1[[#This Row],[PRECIO $]]*1.18</f>
        <v>792.53519999999992</v>
      </c>
      <c r="J289" s="7">
        <f>+Tabla1[[#This Row],[PRECIO EN SOLES]]-Tabla1[[#This Row],[PC]]</f>
        <v>126.88480000000004</v>
      </c>
      <c r="K289" s="15"/>
      <c r="L289" s="15" t="str">
        <f>IF(
OR(
ISNUMBER(SEARCH("BACKPACK",B291)),
ISNUMBER(SEARCH("MOCHILA",B291)),
ISNUMBER(SEARCH("FUNDA",B291)),
ISNUMBER(SEARCH("ESTUCHE",B291)),
ISNUMBER(SEARCH("BOOK COVER",B291)),
ISNUMBER(SEARCH("KEYBOARD PARA TABLET",B291)),
ISNUMBER(SEARCH("FLIP TABLET",B291)),
ISNUMBER(SEARCH("CASE FOR TABLET",B291)),
ISNUMBER(SEARCH("CABLE",B291)),
ISNUMBER(SEARCH("ADAPTADOR",B291)),
ISNUMBER(SEARCH("HUB",B291)),
ISNUMBER(SEARCH("DOCK",B291)),
ISNUMBER(SEARCH("MOUSE PAD",B291)),
ISNUMBER(SEARCH("MOUSEPAD",B291)),
ISNUMBER(SEARCH("SOPORTE",B291)),
ISNUMBER(SEARCH("STAND",B291)),
ISNUMBER(SEARCH("TRAVEL ADAPTER",B291)),
ISNUMBER(SEARCH("RJ45",B291)),
ISNUMBER(SEARCH("USB-C",B291)),
ISNUMBER(SEARCH("USB WIFI",B291)),
ISNUMBER(SEARCH("POWERBANK",B291)),
ISNUMBER(SEARCH("CARGADOR",B291)),
ISNUMBER(SEARCH("COOLER PARA NB",B291)),
ISNUMBER(SEARCH("SOPORTE PARA NB",B291)),
ISNUMBER(SEARCH("WEBCAM",B291)),
ISNUMBER(SEARCH("WEB CAM",B291)),
ISNUMBER(SEARCH("MOUSE",B291)),
ISNUMBER(SEARCH("TECLADO",B291))
),
"COMPLEMENTO",
IF(
OR(
LEFT(A291,2)="NB",
LEFT(A291,2)="PC",
LEFT(A291,2)="WS",
LEFT(A291,2)="TB",
LEFT(A291,3)="CEL",
LEFT(A291,3)="MON",
LEFT(A291,3)="PRE",
LEFT(A291,3)="PRH",
ISNUMBER(SEARCH("NOTEBOOK",B291)),
ISNUMBER(SEARCH("LAPTOP",B291)),
ISNUMBER(SEARCH("MONITOR",B291)),
ISNUMBER(SEARCH("TABLET",B291)),
ISNUMBER(SEARCH("SMARTPH",B291)),
ISNUMBER(SEARCH("IMPRESORA",B291)),
ISNUMBER(SEARCH("MULTIFUNCIONAL",B291)),
ISNUMBER(SEARCH("AIO",B291))
),
"GANCHO",
"NORMAL"
)
)</f>
        <v>NORMAL</v>
      </c>
    </row>
    <row r="290" spans="1:12" x14ac:dyDescent="0.25">
      <c r="A290" s="3" t="s">
        <v>6437</v>
      </c>
      <c r="B290" s="3" t="s">
        <v>6438</v>
      </c>
      <c r="C290" s="1">
        <v>0</v>
      </c>
      <c r="D290" s="1">
        <v>85.5</v>
      </c>
      <c r="E290" s="1" t="s">
        <v>175</v>
      </c>
      <c r="F290" s="1" t="s">
        <v>6439</v>
      </c>
      <c r="G290" s="3" t="s">
        <v>6440</v>
      </c>
      <c r="H290" s="11">
        <f>ROUND(
IF(L288="GANCHO",
   IF(I290&lt;=50,I290*1.1+4,IF(I290&lt;=120,I290*1.1+7,IF(I290&lt;=250,I290*1.1+11,I290*1.1+19))),
IF(L288="NORMAL",
   IF(I290&lt;=30,I290*1.15+2,IF(I290&lt;=80,I290*1.15+4,IF(I290&lt;=150,I290*1.15+6,I290*1.15+8))),
IF(L288="COMPLEMENTO",
   IF(I290&lt;=25,I290*1.25+1.5,IF(I290&lt;=60,I290*1.25+3,IF(I290&lt;=120,I290*1.25+4,I290*1.25+5))),
""))),2)</f>
        <v>411.76</v>
      </c>
      <c r="I290" s="9">
        <f>($K$2+0.02)*Tabla1[[#This Row],[PRECIO $]]*1.18</f>
        <v>351.09719999999999</v>
      </c>
      <c r="J290" s="7">
        <f>+Tabla1[[#This Row],[PRECIO EN SOLES]]-Tabla1[[#This Row],[PC]]</f>
        <v>60.662800000000004</v>
      </c>
      <c r="K290" s="15"/>
      <c r="L290" s="15" t="str">
        <f>IF(
OR(
ISNUMBER(SEARCH("BACKPACK",B292)),
ISNUMBER(SEARCH("MOCHILA",B292)),
ISNUMBER(SEARCH("FUNDA",B292)),
ISNUMBER(SEARCH("ESTUCHE",B292)),
ISNUMBER(SEARCH("BOOK COVER",B292)),
ISNUMBER(SEARCH("KEYBOARD PARA TABLET",B292)),
ISNUMBER(SEARCH("FLIP TABLET",B292)),
ISNUMBER(SEARCH("CASE FOR TABLET",B292)),
ISNUMBER(SEARCH("CABLE",B292)),
ISNUMBER(SEARCH("ADAPTADOR",B292)),
ISNUMBER(SEARCH("HUB",B292)),
ISNUMBER(SEARCH("DOCK",B292)),
ISNUMBER(SEARCH("MOUSE PAD",B292)),
ISNUMBER(SEARCH("MOUSEPAD",B292)),
ISNUMBER(SEARCH("SOPORTE",B292)),
ISNUMBER(SEARCH("STAND",B292)),
ISNUMBER(SEARCH("TRAVEL ADAPTER",B292)),
ISNUMBER(SEARCH("RJ45",B292)),
ISNUMBER(SEARCH("USB-C",B292)),
ISNUMBER(SEARCH("USB WIFI",B292)),
ISNUMBER(SEARCH("POWERBANK",B292)),
ISNUMBER(SEARCH("CARGADOR",B292)),
ISNUMBER(SEARCH("COOLER PARA NB",B292)),
ISNUMBER(SEARCH("SOPORTE PARA NB",B292)),
ISNUMBER(SEARCH("WEBCAM",B292)),
ISNUMBER(SEARCH("WEB CAM",B292)),
ISNUMBER(SEARCH("MOUSE",B292)),
ISNUMBER(SEARCH("TECLADO",B292))
),
"COMPLEMENTO",
IF(
OR(
LEFT(A292,2)="NB",
LEFT(A292,2)="PC",
LEFT(A292,2)="WS",
LEFT(A292,2)="TB",
LEFT(A292,3)="CEL",
LEFT(A292,3)="MON",
LEFT(A292,3)="PRE",
LEFT(A292,3)="PRH",
ISNUMBER(SEARCH("NOTEBOOK",B292)),
ISNUMBER(SEARCH("LAPTOP",B292)),
ISNUMBER(SEARCH("MONITOR",B292)),
ISNUMBER(SEARCH("TABLET",B292)),
ISNUMBER(SEARCH("SMARTPH",B292)),
ISNUMBER(SEARCH("IMPRESORA",B292)),
ISNUMBER(SEARCH("MULTIFUNCIONAL",B292)),
ISNUMBER(SEARCH("AIO",B292))
),
"GANCHO",
"NORMAL"
)
)</f>
        <v>NORMAL</v>
      </c>
    </row>
    <row r="291" spans="1:12" x14ac:dyDescent="0.25">
      <c r="A291" s="3" t="s">
        <v>5853</v>
      </c>
      <c r="B291" s="3" t="s">
        <v>5854</v>
      </c>
      <c r="C291" s="1">
        <v>20</v>
      </c>
      <c r="D291" s="1">
        <v>183</v>
      </c>
      <c r="E291" s="1" t="s">
        <v>5265</v>
      </c>
      <c r="F291" s="1" t="s">
        <v>5855</v>
      </c>
      <c r="G291" s="3" t="s">
        <v>5856</v>
      </c>
      <c r="H291" s="11">
        <f>ROUND(
IF(L289="GANCHO",
   IF(I291&lt;=50,I291*1.1+4,IF(I291&lt;=120,I291*1.1+7,IF(I291&lt;=250,I291*1.1+11,I291*1.1+19))),
IF(L289="NORMAL",
   IF(I291&lt;=30,I291*1.15+2,IF(I291&lt;=80,I291*1.15+4,IF(I291&lt;=150,I291*1.15+6,I291*1.15+8))),
IF(L289="COMPLEMENTO",
   IF(I291&lt;=25,I291*1.25+1.5,IF(I291&lt;=60,I291*1.25+3,IF(I291&lt;=120,I291*1.25+4,I291*1.25+5))),
""))),2)</f>
        <v>872.19</v>
      </c>
      <c r="I291" s="9">
        <f>($K$2+0.02)*Tabla1[[#This Row],[PRECIO $]]*1.18</f>
        <v>751.47119999999995</v>
      </c>
      <c r="J291" s="7">
        <f>+Tabla1[[#This Row],[PRECIO EN SOLES]]-Tabla1[[#This Row],[PC]]</f>
        <v>120.7188000000001</v>
      </c>
      <c r="K291" s="15"/>
      <c r="L291" s="15" t="str">
        <f>IF(
OR(
ISNUMBER(SEARCH("BACKPACK",B293)),
ISNUMBER(SEARCH("MOCHILA",B293)),
ISNUMBER(SEARCH("FUNDA",B293)),
ISNUMBER(SEARCH("ESTUCHE",B293)),
ISNUMBER(SEARCH("BOOK COVER",B293)),
ISNUMBER(SEARCH("KEYBOARD PARA TABLET",B293)),
ISNUMBER(SEARCH("FLIP TABLET",B293)),
ISNUMBER(SEARCH("CASE FOR TABLET",B293)),
ISNUMBER(SEARCH("CABLE",B293)),
ISNUMBER(SEARCH("ADAPTADOR",B293)),
ISNUMBER(SEARCH("HUB",B293)),
ISNUMBER(SEARCH("DOCK",B293)),
ISNUMBER(SEARCH("MOUSE PAD",B293)),
ISNUMBER(SEARCH("MOUSEPAD",B293)),
ISNUMBER(SEARCH("SOPORTE",B293)),
ISNUMBER(SEARCH("STAND",B293)),
ISNUMBER(SEARCH("TRAVEL ADAPTER",B293)),
ISNUMBER(SEARCH("RJ45",B293)),
ISNUMBER(SEARCH("USB-C",B293)),
ISNUMBER(SEARCH("USB WIFI",B293)),
ISNUMBER(SEARCH("POWERBANK",B293)),
ISNUMBER(SEARCH("CARGADOR",B293)),
ISNUMBER(SEARCH("COOLER PARA NB",B293)),
ISNUMBER(SEARCH("SOPORTE PARA NB",B293)),
ISNUMBER(SEARCH("WEBCAM",B293)),
ISNUMBER(SEARCH("WEB CAM",B293)),
ISNUMBER(SEARCH("MOUSE",B293)),
ISNUMBER(SEARCH("TECLADO",B293))
),
"COMPLEMENTO",
IF(
OR(
LEFT(A293,2)="NB",
LEFT(A293,2)="PC",
LEFT(A293,2)="WS",
LEFT(A293,2)="TB",
LEFT(A293,3)="CEL",
LEFT(A293,3)="MON",
LEFT(A293,3)="PRE",
LEFT(A293,3)="PRH",
ISNUMBER(SEARCH("NOTEBOOK",B293)),
ISNUMBER(SEARCH("LAPTOP",B293)),
ISNUMBER(SEARCH("MONITOR",B293)),
ISNUMBER(SEARCH("TABLET",B293)),
ISNUMBER(SEARCH("SMARTPH",B293)),
ISNUMBER(SEARCH("IMPRESORA",B293)),
ISNUMBER(SEARCH("MULTIFUNCIONAL",B293)),
ISNUMBER(SEARCH("AIO",B293))
),
"GANCHO",
"NORMAL"
)
)</f>
        <v>NORMAL</v>
      </c>
    </row>
    <row r="292" spans="1:12" x14ac:dyDescent="0.25">
      <c r="A292" s="3" t="s">
        <v>176</v>
      </c>
      <c r="B292" s="3" t="s">
        <v>177</v>
      </c>
      <c r="C292" s="1">
        <v>0</v>
      </c>
      <c r="D292" s="1">
        <v>173.5</v>
      </c>
      <c r="E292" s="1" t="s">
        <v>175</v>
      </c>
      <c r="F292" s="1" t="s">
        <v>3210</v>
      </c>
      <c r="G292" s="3" t="s">
        <v>178</v>
      </c>
      <c r="H292" s="11">
        <f>ROUND(
IF(L290="GANCHO",
   IF(I292&lt;=50,I292*1.1+4,IF(I292&lt;=120,I292*1.1+7,IF(I292&lt;=250,I292*1.1+11,I292*1.1+19))),
IF(L290="NORMAL",
   IF(I292&lt;=30,I292*1.15+2,IF(I292&lt;=80,I292*1.15+4,IF(I292&lt;=150,I292*1.15+6,I292*1.15+8))),
IF(L290="COMPLEMENTO",
   IF(I292&lt;=25,I292*1.25+1.5,IF(I292&lt;=60,I292*1.25+3,IF(I292&lt;=120,I292*1.25+4,I292*1.25+5))),
""))),2)</f>
        <v>827.33</v>
      </c>
      <c r="I292" s="9">
        <f>($K$2+0.02)*Tabla1[[#This Row],[PRECIO $]]*1.18</f>
        <v>712.46039999999994</v>
      </c>
      <c r="J292" s="7">
        <f>+Tabla1[[#This Row],[PRECIO EN SOLES]]-Tabla1[[#This Row],[PC]]</f>
        <v>114.8696000000001</v>
      </c>
      <c r="K292" s="15"/>
      <c r="L292" s="15" t="str">
        <f>IF(
OR(
ISNUMBER(SEARCH("BACKPACK",B294)),
ISNUMBER(SEARCH("MOCHILA",B294)),
ISNUMBER(SEARCH("FUNDA",B294)),
ISNUMBER(SEARCH("ESTUCHE",B294)),
ISNUMBER(SEARCH("BOOK COVER",B294)),
ISNUMBER(SEARCH("KEYBOARD PARA TABLET",B294)),
ISNUMBER(SEARCH("FLIP TABLET",B294)),
ISNUMBER(SEARCH("CASE FOR TABLET",B294)),
ISNUMBER(SEARCH("CABLE",B294)),
ISNUMBER(SEARCH("ADAPTADOR",B294)),
ISNUMBER(SEARCH("HUB",B294)),
ISNUMBER(SEARCH("DOCK",B294)),
ISNUMBER(SEARCH("MOUSE PAD",B294)),
ISNUMBER(SEARCH("MOUSEPAD",B294)),
ISNUMBER(SEARCH("SOPORTE",B294)),
ISNUMBER(SEARCH("STAND",B294)),
ISNUMBER(SEARCH("TRAVEL ADAPTER",B294)),
ISNUMBER(SEARCH("RJ45",B294)),
ISNUMBER(SEARCH("USB-C",B294)),
ISNUMBER(SEARCH("USB WIFI",B294)),
ISNUMBER(SEARCH("POWERBANK",B294)),
ISNUMBER(SEARCH("CARGADOR",B294)),
ISNUMBER(SEARCH("COOLER PARA NB",B294)),
ISNUMBER(SEARCH("SOPORTE PARA NB",B294)),
ISNUMBER(SEARCH("WEBCAM",B294)),
ISNUMBER(SEARCH("WEB CAM",B294)),
ISNUMBER(SEARCH("MOUSE",B294)),
ISNUMBER(SEARCH("TECLADO",B294))
),
"COMPLEMENTO",
IF(
OR(
LEFT(A294,2)="NB",
LEFT(A294,2)="PC",
LEFT(A294,2)="WS",
LEFT(A294,2)="TB",
LEFT(A294,3)="CEL",
LEFT(A294,3)="MON",
LEFT(A294,3)="PRE",
LEFT(A294,3)="PRH",
ISNUMBER(SEARCH("NOTEBOOK",B294)),
ISNUMBER(SEARCH("LAPTOP",B294)),
ISNUMBER(SEARCH("MONITOR",B294)),
ISNUMBER(SEARCH("TABLET",B294)),
ISNUMBER(SEARCH("SMARTPH",B294)),
ISNUMBER(SEARCH("IMPRESORA",B294)),
ISNUMBER(SEARCH("MULTIFUNCIONAL",B294)),
ISNUMBER(SEARCH("AIO",B294))
),
"GANCHO",
"NORMAL"
)
)</f>
        <v>NORMAL</v>
      </c>
    </row>
    <row r="293" spans="1:12" x14ac:dyDescent="0.25">
      <c r="A293" s="3" t="s">
        <v>6441</v>
      </c>
      <c r="B293" s="3" t="s">
        <v>6442</v>
      </c>
      <c r="C293" s="1">
        <v>4</v>
      </c>
      <c r="D293" s="1">
        <v>260.89999999999998</v>
      </c>
      <c r="E293" s="1" t="s">
        <v>175</v>
      </c>
      <c r="F293" s="1" t="s">
        <v>6443</v>
      </c>
      <c r="G293" s="3" t="s">
        <v>6444</v>
      </c>
      <c r="H293" s="11">
        <f>ROUND(
IF(L291="GANCHO",
   IF(I293&lt;=50,I293*1.1+4,IF(I293&lt;=120,I293*1.1+7,IF(I293&lt;=250,I293*1.1+11,I293*1.1+19))),
IF(L291="NORMAL",
   IF(I293&lt;=30,I293*1.15+2,IF(I293&lt;=80,I293*1.15+4,IF(I293&lt;=150,I293*1.15+6,I293*1.15+8))),
IF(L291="COMPLEMENTO",
   IF(I293&lt;=25,I293*1.25+1.5,IF(I293&lt;=60,I293*1.25+3,IF(I293&lt;=120,I293*1.25+4,I293*1.25+5))),
""))),2)</f>
        <v>1240.06</v>
      </c>
      <c r="I293" s="9">
        <f>($K$2+0.02)*Tabla1[[#This Row],[PRECIO $]]*1.18</f>
        <v>1071.3597599999998</v>
      </c>
      <c r="J293" s="7">
        <f>+Tabla1[[#This Row],[PRECIO EN SOLES]]-Tabla1[[#This Row],[PC]]</f>
        <v>168.70024000000012</v>
      </c>
      <c r="K293" s="15"/>
      <c r="L293" s="15" t="str">
        <f>IF(
OR(
ISNUMBER(SEARCH("BACKPACK",B295)),
ISNUMBER(SEARCH("MOCHILA",B295)),
ISNUMBER(SEARCH("FUNDA",B295)),
ISNUMBER(SEARCH("ESTUCHE",B295)),
ISNUMBER(SEARCH("BOOK COVER",B295)),
ISNUMBER(SEARCH("KEYBOARD PARA TABLET",B295)),
ISNUMBER(SEARCH("FLIP TABLET",B295)),
ISNUMBER(SEARCH("CASE FOR TABLET",B295)),
ISNUMBER(SEARCH("CABLE",B295)),
ISNUMBER(SEARCH("ADAPTADOR",B295)),
ISNUMBER(SEARCH("HUB",B295)),
ISNUMBER(SEARCH("DOCK",B295)),
ISNUMBER(SEARCH("MOUSE PAD",B295)),
ISNUMBER(SEARCH("MOUSEPAD",B295)),
ISNUMBER(SEARCH("SOPORTE",B295)),
ISNUMBER(SEARCH("STAND",B295)),
ISNUMBER(SEARCH("TRAVEL ADAPTER",B295)),
ISNUMBER(SEARCH("RJ45",B295)),
ISNUMBER(SEARCH("USB-C",B295)),
ISNUMBER(SEARCH("USB WIFI",B295)),
ISNUMBER(SEARCH("POWERBANK",B295)),
ISNUMBER(SEARCH("CARGADOR",B295)),
ISNUMBER(SEARCH("COOLER PARA NB",B295)),
ISNUMBER(SEARCH("SOPORTE PARA NB",B295)),
ISNUMBER(SEARCH("WEBCAM",B295)),
ISNUMBER(SEARCH("WEB CAM",B295)),
ISNUMBER(SEARCH("MOUSE",B295)),
ISNUMBER(SEARCH("TECLADO",B295))
),
"COMPLEMENTO",
IF(
OR(
LEFT(A295,2)="NB",
LEFT(A295,2)="PC",
LEFT(A295,2)="WS",
LEFT(A295,2)="TB",
LEFT(A295,3)="CEL",
LEFT(A295,3)="MON",
LEFT(A295,3)="PRE",
LEFT(A295,3)="PRH",
ISNUMBER(SEARCH("NOTEBOOK",B295)),
ISNUMBER(SEARCH("LAPTOP",B295)),
ISNUMBER(SEARCH("MONITOR",B295)),
ISNUMBER(SEARCH("TABLET",B295)),
ISNUMBER(SEARCH("SMARTPH",B295)),
ISNUMBER(SEARCH("IMPRESORA",B295)),
ISNUMBER(SEARCH("MULTIFUNCIONAL",B295)),
ISNUMBER(SEARCH("AIO",B295))
),
"GANCHO",
"NORMAL"
)
)</f>
        <v>NORMAL</v>
      </c>
    </row>
    <row r="294" spans="1:12" x14ac:dyDescent="0.25">
      <c r="A294" s="3" t="s">
        <v>5263</v>
      </c>
      <c r="B294" s="3" t="s">
        <v>5264</v>
      </c>
      <c r="C294" s="1">
        <v>3</v>
      </c>
      <c r="D294" s="1">
        <v>251</v>
      </c>
      <c r="E294" s="1" t="s">
        <v>5265</v>
      </c>
      <c r="F294" s="1" t="s">
        <v>5266</v>
      </c>
      <c r="G294" s="3" t="s">
        <v>5267</v>
      </c>
      <c r="H294" s="11">
        <f>ROUND(
IF(L292="GANCHO",
   IF(I294&lt;=50,I294*1.1+4,IF(I294&lt;=120,I294*1.1+7,IF(I294&lt;=250,I294*1.1+11,I294*1.1+19))),
IF(L292="NORMAL",
   IF(I294&lt;=30,I294*1.15+2,IF(I294&lt;=80,I294*1.15+4,IF(I294&lt;=150,I294*1.15+6,I294*1.15+8))),
IF(L292="COMPLEMENTO",
   IF(I294&lt;=25,I294*1.25+1.5,IF(I294&lt;=60,I294*1.25+3,IF(I294&lt;=120,I294*1.25+4,I294*1.25+5))),
""))),2)</f>
        <v>1193.31</v>
      </c>
      <c r="I294" s="9">
        <f>($K$2+0.02)*Tabla1[[#This Row],[PRECIO $]]*1.18</f>
        <v>1030.7064</v>
      </c>
      <c r="J294" s="7">
        <f>+Tabla1[[#This Row],[PRECIO EN SOLES]]-Tabla1[[#This Row],[PC]]</f>
        <v>162.60359999999991</v>
      </c>
      <c r="K294" s="15"/>
      <c r="L294" s="15" t="str">
        <f>IF(
OR(
ISNUMBER(SEARCH("BACKPACK",B296)),
ISNUMBER(SEARCH("MOCHILA",B296)),
ISNUMBER(SEARCH("FUNDA",B296)),
ISNUMBER(SEARCH("ESTUCHE",B296)),
ISNUMBER(SEARCH("BOOK COVER",B296)),
ISNUMBER(SEARCH("KEYBOARD PARA TABLET",B296)),
ISNUMBER(SEARCH("FLIP TABLET",B296)),
ISNUMBER(SEARCH("CASE FOR TABLET",B296)),
ISNUMBER(SEARCH("CABLE",B296)),
ISNUMBER(SEARCH("ADAPTADOR",B296)),
ISNUMBER(SEARCH("HUB",B296)),
ISNUMBER(SEARCH("DOCK",B296)),
ISNUMBER(SEARCH("MOUSE PAD",B296)),
ISNUMBER(SEARCH("MOUSEPAD",B296)),
ISNUMBER(SEARCH("SOPORTE",B296)),
ISNUMBER(SEARCH("STAND",B296)),
ISNUMBER(SEARCH("TRAVEL ADAPTER",B296)),
ISNUMBER(SEARCH("RJ45",B296)),
ISNUMBER(SEARCH("USB-C",B296)),
ISNUMBER(SEARCH("USB WIFI",B296)),
ISNUMBER(SEARCH("POWERBANK",B296)),
ISNUMBER(SEARCH("CARGADOR",B296)),
ISNUMBER(SEARCH("COOLER PARA NB",B296)),
ISNUMBER(SEARCH("SOPORTE PARA NB",B296)),
ISNUMBER(SEARCH("WEBCAM",B296)),
ISNUMBER(SEARCH("WEB CAM",B296)),
ISNUMBER(SEARCH("MOUSE",B296)),
ISNUMBER(SEARCH("TECLADO",B296))
),
"COMPLEMENTO",
IF(
OR(
LEFT(A296,2)="NB",
LEFT(A296,2)="PC",
LEFT(A296,2)="WS",
LEFT(A296,2)="TB",
LEFT(A296,3)="CEL",
LEFT(A296,3)="MON",
LEFT(A296,3)="PRE",
LEFT(A296,3)="PRH",
ISNUMBER(SEARCH("NOTEBOOK",B296)),
ISNUMBER(SEARCH("LAPTOP",B296)),
ISNUMBER(SEARCH("MONITOR",B296)),
ISNUMBER(SEARCH("TABLET",B296)),
ISNUMBER(SEARCH("SMARTPH",B296)),
ISNUMBER(SEARCH("IMPRESORA",B296)),
ISNUMBER(SEARCH("MULTIFUNCIONAL",B296)),
ISNUMBER(SEARCH("AIO",B296))
),
"GANCHO",
"NORMAL"
)
)</f>
        <v>NORMAL</v>
      </c>
    </row>
    <row r="295" spans="1:12" x14ac:dyDescent="0.25">
      <c r="A295" s="3" t="s">
        <v>5268</v>
      </c>
      <c r="B295" s="3" t="s">
        <v>5269</v>
      </c>
      <c r="C295" s="1">
        <v>7</v>
      </c>
      <c r="D295" s="1">
        <v>328</v>
      </c>
      <c r="E295" s="1" t="s">
        <v>5265</v>
      </c>
      <c r="F295" s="1" t="s">
        <v>5270</v>
      </c>
      <c r="G295" s="3" t="s">
        <v>5271</v>
      </c>
      <c r="H295" s="11">
        <f>ROUND(
IF(L293="GANCHO",
   IF(I295&lt;=50,I295*1.1+4,IF(I295&lt;=120,I295*1.1+7,IF(I295&lt;=250,I295*1.1+11,I295*1.1+19))),
IF(L293="NORMAL",
   IF(I295&lt;=30,I295*1.15+2,IF(I295&lt;=80,I295*1.15+4,IF(I295&lt;=150,I295*1.15+6,I295*1.15+8))),
IF(L293="COMPLEMENTO",
   IF(I295&lt;=25,I295*1.25+1.5,IF(I295&lt;=60,I295*1.25+3,IF(I295&lt;=120,I295*1.25+4,I295*1.25+5))),
""))),2)</f>
        <v>1556.93</v>
      </c>
      <c r="I295" s="9">
        <f>($K$2+0.02)*Tabla1[[#This Row],[PRECIO $]]*1.18</f>
        <v>1346.8992000000001</v>
      </c>
      <c r="J295" s="7">
        <f>+Tabla1[[#This Row],[PRECIO EN SOLES]]-Tabla1[[#This Row],[PC]]</f>
        <v>210.0308</v>
      </c>
      <c r="K295" s="15"/>
      <c r="L295" s="15" t="str">
        <f>IF(
OR(
ISNUMBER(SEARCH("BACKPACK",B297)),
ISNUMBER(SEARCH("MOCHILA",B297)),
ISNUMBER(SEARCH("FUNDA",B297)),
ISNUMBER(SEARCH("ESTUCHE",B297)),
ISNUMBER(SEARCH("BOOK COVER",B297)),
ISNUMBER(SEARCH("KEYBOARD PARA TABLET",B297)),
ISNUMBER(SEARCH("FLIP TABLET",B297)),
ISNUMBER(SEARCH("CASE FOR TABLET",B297)),
ISNUMBER(SEARCH("CABLE",B297)),
ISNUMBER(SEARCH("ADAPTADOR",B297)),
ISNUMBER(SEARCH("HUB",B297)),
ISNUMBER(SEARCH("DOCK",B297)),
ISNUMBER(SEARCH("MOUSE PAD",B297)),
ISNUMBER(SEARCH("MOUSEPAD",B297)),
ISNUMBER(SEARCH("SOPORTE",B297)),
ISNUMBER(SEARCH("STAND",B297)),
ISNUMBER(SEARCH("TRAVEL ADAPTER",B297)),
ISNUMBER(SEARCH("RJ45",B297)),
ISNUMBER(SEARCH("USB-C",B297)),
ISNUMBER(SEARCH("USB WIFI",B297)),
ISNUMBER(SEARCH("POWERBANK",B297)),
ISNUMBER(SEARCH("CARGADOR",B297)),
ISNUMBER(SEARCH("COOLER PARA NB",B297)),
ISNUMBER(SEARCH("SOPORTE PARA NB",B297)),
ISNUMBER(SEARCH("WEBCAM",B297)),
ISNUMBER(SEARCH("WEB CAM",B297)),
ISNUMBER(SEARCH("MOUSE",B297)),
ISNUMBER(SEARCH("TECLADO",B297))
),
"COMPLEMENTO",
IF(
OR(
LEFT(A297,2)="NB",
LEFT(A297,2)="PC",
LEFT(A297,2)="WS",
LEFT(A297,2)="TB",
LEFT(A297,3)="CEL",
LEFT(A297,3)="MON",
LEFT(A297,3)="PRE",
LEFT(A297,3)="PRH",
ISNUMBER(SEARCH("NOTEBOOK",B297)),
ISNUMBER(SEARCH("LAPTOP",B297)),
ISNUMBER(SEARCH("MONITOR",B297)),
ISNUMBER(SEARCH("TABLET",B297)),
ISNUMBER(SEARCH("SMARTPH",B297)),
ISNUMBER(SEARCH("IMPRESORA",B297)),
ISNUMBER(SEARCH("MULTIFUNCIONAL",B297)),
ISNUMBER(SEARCH("AIO",B297))
),
"GANCHO",
"NORMAL"
)
)</f>
        <v>NORMAL</v>
      </c>
    </row>
    <row r="296" spans="1:12" x14ac:dyDescent="0.25">
      <c r="A296" s="3" t="s">
        <v>6445</v>
      </c>
      <c r="B296" s="3" t="s">
        <v>6446</v>
      </c>
      <c r="C296" s="1">
        <v>0</v>
      </c>
      <c r="D296" s="1">
        <v>300.5</v>
      </c>
      <c r="E296" s="1" t="s">
        <v>175</v>
      </c>
      <c r="F296" s="1" t="s">
        <v>6447</v>
      </c>
      <c r="G296" s="3" t="s">
        <v>5860</v>
      </c>
      <c r="H296" s="11">
        <f>ROUND(
IF(L294="GANCHO",
   IF(I296&lt;=50,I296*1.1+4,IF(I296&lt;=120,I296*1.1+7,IF(I296&lt;=250,I296*1.1+11,I296*1.1+19))),
IF(L294="NORMAL",
   IF(I296&lt;=30,I296*1.15+2,IF(I296&lt;=80,I296*1.15+4,IF(I296&lt;=150,I296*1.15+6,I296*1.15+8))),
IF(L294="COMPLEMENTO",
   IF(I296&lt;=25,I296*1.25+1.5,IF(I296&lt;=60,I296*1.25+3,IF(I296&lt;=120,I296*1.25+4,I296*1.25+5))),
""))),2)</f>
        <v>1427.07</v>
      </c>
      <c r="I296" s="9">
        <f>($K$2+0.02)*Tabla1[[#This Row],[PRECIO $]]*1.18</f>
        <v>1233.9731999999999</v>
      </c>
      <c r="J296" s="7">
        <f>+Tabla1[[#This Row],[PRECIO EN SOLES]]-Tabla1[[#This Row],[PC]]</f>
        <v>193.09680000000003</v>
      </c>
      <c r="K296" s="15"/>
      <c r="L296" s="15" t="str">
        <f>IF(
OR(
ISNUMBER(SEARCH("BACKPACK",B298)),
ISNUMBER(SEARCH("MOCHILA",B298)),
ISNUMBER(SEARCH("FUNDA",B298)),
ISNUMBER(SEARCH("ESTUCHE",B298)),
ISNUMBER(SEARCH("BOOK COVER",B298)),
ISNUMBER(SEARCH("KEYBOARD PARA TABLET",B298)),
ISNUMBER(SEARCH("FLIP TABLET",B298)),
ISNUMBER(SEARCH("CASE FOR TABLET",B298)),
ISNUMBER(SEARCH("CABLE",B298)),
ISNUMBER(SEARCH("ADAPTADOR",B298)),
ISNUMBER(SEARCH("HUB",B298)),
ISNUMBER(SEARCH("DOCK",B298)),
ISNUMBER(SEARCH("MOUSE PAD",B298)),
ISNUMBER(SEARCH("MOUSEPAD",B298)),
ISNUMBER(SEARCH("SOPORTE",B298)),
ISNUMBER(SEARCH("STAND",B298)),
ISNUMBER(SEARCH("TRAVEL ADAPTER",B298)),
ISNUMBER(SEARCH("RJ45",B298)),
ISNUMBER(SEARCH("USB-C",B298)),
ISNUMBER(SEARCH("USB WIFI",B298)),
ISNUMBER(SEARCH("POWERBANK",B298)),
ISNUMBER(SEARCH("CARGADOR",B298)),
ISNUMBER(SEARCH("COOLER PARA NB",B298)),
ISNUMBER(SEARCH("SOPORTE PARA NB",B298)),
ISNUMBER(SEARCH("WEBCAM",B298)),
ISNUMBER(SEARCH("WEB CAM",B298)),
ISNUMBER(SEARCH("MOUSE",B298)),
ISNUMBER(SEARCH("TECLADO",B298))
),
"COMPLEMENTO",
IF(
OR(
LEFT(A298,2)="NB",
LEFT(A298,2)="PC",
LEFT(A298,2)="WS",
LEFT(A298,2)="TB",
LEFT(A298,3)="CEL",
LEFT(A298,3)="MON",
LEFT(A298,3)="PRE",
LEFT(A298,3)="PRH",
ISNUMBER(SEARCH("NOTEBOOK",B298)),
ISNUMBER(SEARCH("LAPTOP",B298)),
ISNUMBER(SEARCH("MONITOR",B298)),
ISNUMBER(SEARCH("TABLET",B298)),
ISNUMBER(SEARCH("SMARTPH",B298)),
ISNUMBER(SEARCH("IMPRESORA",B298)),
ISNUMBER(SEARCH("MULTIFUNCIONAL",B298)),
ISNUMBER(SEARCH("AIO",B298))
),
"GANCHO",
"NORMAL"
)
)</f>
        <v>NORMAL</v>
      </c>
    </row>
    <row r="297" spans="1:12" x14ac:dyDescent="0.25">
      <c r="A297" s="3" t="s">
        <v>6448</v>
      </c>
      <c r="B297" s="3" t="s">
        <v>6449</v>
      </c>
      <c r="C297" s="1">
        <v>1</v>
      </c>
      <c r="D297" s="1">
        <v>302.5</v>
      </c>
      <c r="E297" s="1" t="s">
        <v>175</v>
      </c>
      <c r="F297" s="1" t="s">
        <v>6450</v>
      </c>
      <c r="G297" s="3" t="s">
        <v>6451</v>
      </c>
      <c r="H297" s="11">
        <f>ROUND(
IF(L295="GANCHO",
   IF(I297&lt;=50,I297*1.1+4,IF(I297&lt;=120,I297*1.1+7,IF(I297&lt;=250,I297*1.1+11,I297*1.1+19))),
IF(L295="NORMAL",
   IF(I297&lt;=30,I297*1.15+2,IF(I297&lt;=80,I297*1.15+4,IF(I297&lt;=150,I297*1.15+6,I297*1.15+8))),
IF(L295="COMPLEMENTO",
   IF(I297&lt;=25,I297*1.25+1.5,IF(I297&lt;=60,I297*1.25+3,IF(I297&lt;=120,I297*1.25+4,I297*1.25+5))),
""))),2)</f>
        <v>1436.51</v>
      </c>
      <c r="I297" s="9">
        <f>($K$2+0.02)*Tabla1[[#This Row],[PRECIO $]]*1.18</f>
        <v>1242.1859999999999</v>
      </c>
      <c r="J297" s="7">
        <f>+Tabla1[[#This Row],[PRECIO EN SOLES]]-Tabla1[[#This Row],[PC]]</f>
        <v>194.32400000000007</v>
      </c>
      <c r="K297" s="15"/>
      <c r="L297" s="15" t="str">
        <f>IF(
OR(
ISNUMBER(SEARCH("BACKPACK",B299)),
ISNUMBER(SEARCH("MOCHILA",B299)),
ISNUMBER(SEARCH("FUNDA",B299)),
ISNUMBER(SEARCH("ESTUCHE",B299)),
ISNUMBER(SEARCH("BOOK COVER",B299)),
ISNUMBER(SEARCH("KEYBOARD PARA TABLET",B299)),
ISNUMBER(SEARCH("FLIP TABLET",B299)),
ISNUMBER(SEARCH("CASE FOR TABLET",B299)),
ISNUMBER(SEARCH("CABLE",B299)),
ISNUMBER(SEARCH("ADAPTADOR",B299)),
ISNUMBER(SEARCH("HUB",B299)),
ISNUMBER(SEARCH("DOCK",B299)),
ISNUMBER(SEARCH("MOUSE PAD",B299)),
ISNUMBER(SEARCH("MOUSEPAD",B299)),
ISNUMBER(SEARCH("SOPORTE",B299)),
ISNUMBER(SEARCH("STAND",B299)),
ISNUMBER(SEARCH("TRAVEL ADAPTER",B299)),
ISNUMBER(SEARCH("RJ45",B299)),
ISNUMBER(SEARCH("USB-C",B299)),
ISNUMBER(SEARCH("USB WIFI",B299)),
ISNUMBER(SEARCH("POWERBANK",B299)),
ISNUMBER(SEARCH("CARGADOR",B299)),
ISNUMBER(SEARCH("COOLER PARA NB",B299)),
ISNUMBER(SEARCH("SOPORTE PARA NB",B299)),
ISNUMBER(SEARCH("WEBCAM",B299)),
ISNUMBER(SEARCH("WEB CAM",B299)),
ISNUMBER(SEARCH("MOUSE",B299)),
ISNUMBER(SEARCH("TECLADO",B299))
),
"COMPLEMENTO",
IF(
OR(
LEFT(A299,2)="NB",
LEFT(A299,2)="PC",
LEFT(A299,2)="WS",
LEFT(A299,2)="TB",
LEFT(A299,3)="CEL",
LEFT(A299,3)="MON",
LEFT(A299,3)="PRE",
LEFT(A299,3)="PRH",
ISNUMBER(SEARCH("NOTEBOOK",B299)),
ISNUMBER(SEARCH("LAPTOP",B299)),
ISNUMBER(SEARCH("MONITOR",B299)),
ISNUMBER(SEARCH("TABLET",B299)),
ISNUMBER(SEARCH("SMARTPH",B299)),
ISNUMBER(SEARCH("IMPRESORA",B299)),
ISNUMBER(SEARCH("MULTIFUNCIONAL",B299)),
ISNUMBER(SEARCH("AIO",B299))
),
"GANCHO",
"NORMAL"
)
)</f>
        <v>NORMAL</v>
      </c>
    </row>
    <row r="298" spans="1:12" x14ac:dyDescent="0.25">
      <c r="A298" s="3" t="s">
        <v>6452</v>
      </c>
      <c r="B298" s="3" t="s">
        <v>6453</v>
      </c>
      <c r="C298" s="1">
        <v>3</v>
      </c>
      <c r="D298" s="1">
        <v>280.5</v>
      </c>
      <c r="E298" s="1" t="s">
        <v>175</v>
      </c>
      <c r="F298" s="1" t="s">
        <v>6454</v>
      </c>
      <c r="G298" s="3" t="s">
        <v>6455</v>
      </c>
      <c r="H298" s="11">
        <f>ROUND(
IF(L296="GANCHO",
   IF(I298&lt;=50,I298*1.1+4,IF(I298&lt;=120,I298*1.1+7,IF(I298&lt;=250,I298*1.1+11,I298*1.1+19))),
IF(L296="NORMAL",
   IF(I298&lt;=30,I298*1.15+2,IF(I298&lt;=80,I298*1.15+4,IF(I298&lt;=150,I298*1.15+6,I298*1.15+8))),
IF(L296="COMPLEMENTO",
   IF(I298&lt;=25,I298*1.25+1.5,IF(I298&lt;=60,I298*1.25+3,IF(I298&lt;=120,I298*1.25+4,I298*1.25+5))),
""))),2)</f>
        <v>1332.62</v>
      </c>
      <c r="I298" s="9">
        <f>($K$2+0.02)*Tabla1[[#This Row],[PRECIO $]]*1.18</f>
        <v>1151.8452</v>
      </c>
      <c r="J298" s="7">
        <f>+Tabla1[[#This Row],[PRECIO EN SOLES]]-Tabla1[[#This Row],[PC]]</f>
        <v>180.77479999999991</v>
      </c>
      <c r="K298" s="15"/>
      <c r="L298" s="15" t="str">
        <f>IF(
OR(
ISNUMBER(SEARCH("BACKPACK",B300)),
ISNUMBER(SEARCH("MOCHILA",B300)),
ISNUMBER(SEARCH("FUNDA",B300)),
ISNUMBER(SEARCH("ESTUCHE",B300)),
ISNUMBER(SEARCH("BOOK COVER",B300)),
ISNUMBER(SEARCH("KEYBOARD PARA TABLET",B300)),
ISNUMBER(SEARCH("FLIP TABLET",B300)),
ISNUMBER(SEARCH("CASE FOR TABLET",B300)),
ISNUMBER(SEARCH("CABLE",B300)),
ISNUMBER(SEARCH("ADAPTADOR",B300)),
ISNUMBER(SEARCH("HUB",B300)),
ISNUMBER(SEARCH("DOCK",B300)),
ISNUMBER(SEARCH("MOUSE PAD",B300)),
ISNUMBER(SEARCH("MOUSEPAD",B300)),
ISNUMBER(SEARCH("SOPORTE",B300)),
ISNUMBER(SEARCH("STAND",B300)),
ISNUMBER(SEARCH("TRAVEL ADAPTER",B300)),
ISNUMBER(SEARCH("RJ45",B300)),
ISNUMBER(SEARCH("USB-C",B300)),
ISNUMBER(SEARCH("USB WIFI",B300)),
ISNUMBER(SEARCH("POWERBANK",B300)),
ISNUMBER(SEARCH("CARGADOR",B300)),
ISNUMBER(SEARCH("COOLER PARA NB",B300)),
ISNUMBER(SEARCH("SOPORTE PARA NB",B300)),
ISNUMBER(SEARCH("WEBCAM",B300)),
ISNUMBER(SEARCH("WEB CAM",B300)),
ISNUMBER(SEARCH("MOUSE",B300)),
ISNUMBER(SEARCH("TECLADO",B300))
),
"COMPLEMENTO",
IF(
OR(
LEFT(A300,2)="NB",
LEFT(A300,2)="PC",
LEFT(A300,2)="WS",
LEFT(A300,2)="TB",
LEFT(A300,3)="CEL",
LEFT(A300,3)="MON",
LEFT(A300,3)="PRE",
LEFT(A300,3)="PRH",
ISNUMBER(SEARCH("NOTEBOOK",B300)),
ISNUMBER(SEARCH("LAPTOP",B300)),
ISNUMBER(SEARCH("MONITOR",B300)),
ISNUMBER(SEARCH("TABLET",B300)),
ISNUMBER(SEARCH("SMARTPH",B300)),
ISNUMBER(SEARCH("IMPRESORA",B300)),
ISNUMBER(SEARCH("MULTIFUNCIONAL",B300)),
ISNUMBER(SEARCH("AIO",B300))
),
"GANCHO",
"NORMAL"
)
)</f>
        <v>NORMAL</v>
      </c>
    </row>
    <row r="299" spans="1:12" x14ac:dyDescent="0.25">
      <c r="A299" s="3" t="s">
        <v>5857</v>
      </c>
      <c r="B299" s="3" t="s">
        <v>5858</v>
      </c>
      <c r="C299" s="1">
        <v>20</v>
      </c>
      <c r="D299" s="1">
        <v>358</v>
      </c>
      <c r="E299" s="1" t="s">
        <v>5265</v>
      </c>
      <c r="F299" s="1" t="s">
        <v>5859</v>
      </c>
      <c r="G299" s="3" t="s">
        <v>5860</v>
      </c>
      <c r="H299" s="11">
        <f>ROUND(
IF(L297="GANCHO",
   IF(I299&lt;=50,I299*1.1+4,IF(I299&lt;=120,I299*1.1+7,IF(I299&lt;=250,I299*1.1+11,I299*1.1+19))),
IF(L297="NORMAL",
   IF(I299&lt;=30,I299*1.15+2,IF(I299&lt;=80,I299*1.15+4,IF(I299&lt;=150,I299*1.15+6,I299*1.15+8))),
IF(L297="COMPLEMENTO",
   IF(I299&lt;=25,I299*1.25+1.5,IF(I299&lt;=60,I299*1.25+3,IF(I299&lt;=120,I299*1.25+4,I299*1.25+5))),
""))),2)</f>
        <v>1698.6</v>
      </c>
      <c r="I299" s="9">
        <f>($K$2+0.02)*Tabla1[[#This Row],[PRECIO $]]*1.18</f>
        <v>1470.0911999999998</v>
      </c>
      <c r="J299" s="7">
        <f>+Tabla1[[#This Row],[PRECIO EN SOLES]]-Tabla1[[#This Row],[PC]]</f>
        <v>228.50880000000006</v>
      </c>
      <c r="K299" s="15"/>
      <c r="L299" s="15" t="str">
        <f>IF(
OR(
ISNUMBER(SEARCH("BACKPACK",B301)),
ISNUMBER(SEARCH("MOCHILA",B301)),
ISNUMBER(SEARCH("FUNDA",B301)),
ISNUMBER(SEARCH("ESTUCHE",B301)),
ISNUMBER(SEARCH("BOOK COVER",B301)),
ISNUMBER(SEARCH("KEYBOARD PARA TABLET",B301)),
ISNUMBER(SEARCH("FLIP TABLET",B301)),
ISNUMBER(SEARCH("CASE FOR TABLET",B301)),
ISNUMBER(SEARCH("CABLE",B301)),
ISNUMBER(SEARCH("ADAPTADOR",B301)),
ISNUMBER(SEARCH("HUB",B301)),
ISNUMBER(SEARCH("DOCK",B301)),
ISNUMBER(SEARCH("MOUSE PAD",B301)),
ISNUMBER(SEARCH("MOUSEPAD",B301)),
ISNUMBER(SEARCH("SOPORTE",B301)),
ISNUMBER(SEARCH("STAND",B301)),
ISNUMBER(SEARCH("TRAVEL ADAPTER",B301)),
ISNUMBER(SEARCH("RJ45",B301)),
ISNUMBER(SEARCH("USB-C",B301)),
ISNUMBER(SEARCH("USB WIFI",B301)),
ISNUMBER(SEARCH("POWERBANK",B301)),
ISNUMBER(SEARCH("CARGADOR",B301)),
ISNUMBER(SEARCH("COOLER PARA NB",B301)),
ISNUMBER(SEARCH("SOPORTE PARA NB",B301)),
ISNUMBER(SEARCH("WEBCAM",B301)),
ISNUMBER(SEARCH("WEB CAM",B301)),
ISNUMBER(SEARCH("MOUSE",B301)),
ISNUMBER(SEARCH("TECLADO",B301))
),
"COMPLEMENTO",
IF(
OR(
LEFT(A301,2)="NB",
LEFT(A301,2)="PC",
LEFT(A301,2)="WS",
LEFT(A301,2)="TB",
LEFT(A301,3)="CEL",
LEFT(A301,3)="MON",
LEFT(A301,3)="PRE",
LEFT(A301,3)="PRH",
ISNUMBER(SEARCH("NOTEBOOK",B301)),
ISNUMBER(SEARCH("LAPTOP",B301)),
ISNUMBER(SEARCH("MONITOR",B301)),
ISNUMBER(SEARCH("TABLET",B301)),
ISNUMBER(SEARCH("SMARTPH",B301)),
ISNUMBER(SEARCH("IMPRESORA",B301)),
ISNUMBER(SEARCH("MULTIFUNCIONAL",B301)),
ISNUMBER(SEARCH("AIO",B301))
),
"GANCHO",
"NORMAL"
)
)</f>
        <v>NORMAL</v>
      </c>
    </row>
    <row r="300" spans="1:12" x14ac:dyDescent="0.25">
      <c r="A300" s="3" t="s">
        <v>4181</v>
      </c>
      <c r="B300" s="3" t="s">
        <v>4182</v>
      </c>
      <c r="C300" s="1">
        <v>20</v>
      </c>
      <c r="D300" s="1">
        <v>329</v>
      </c>
      <c r="E300" s="1" t="s">
        <v>175</v>
      </c>
      <c r="F300" s="1" t="s">
        <v>4230</v>
      </c>
      <c r="G300" s="3" t="s">
        <v>4183</v>
      </c>
      <c r="H300" s="11">
        <f>ROUND(
IF(L298="GANCHO",
   IF(I300&lt;=50,I300*1.1+4,IF(I300&lt;=120,I300*1.1+7,IF(I300&lt;=250,I300*1.1+11,I300*1.1+19))),
IF(L298="NORMAL",
   IF(I300&lt;=30,I300*1.15+2,IF(I300&lt;=80,I300*1.15+4,IF(I300&lt;=150,I300*1.15+6,I300*1.15+8))),
IF(L298="COMPLEMENTO",
   IF(I300&lt;=25,I300*1.25+1.5,IF(I300&lt;=60,I300*1.25+3,IF(I300&lt;=120,I300*1.25+4,I300*1.25+5))),
""))),2)</f>
        <v>1561.66</v>
      </c>
      <c r="I300" s="9">
        <f>($K$2+0.02)*Tabla1[[#This Row],[PRECIO $]]*1.18</f>
        <v>1351.0056</v>
      </c>
      <c r="J300" s="7">
        <f>+Tabla1[[#This Row],[PRECIO EN SOLES]]-Tabla1[[#This Row],[PC]]</f>
        <v>210.65440000000012</v>
      </c>
      <c r="K300" s="15"/>
      <c r="L300" s="15" t="str">
        <f>IF(
OR(
ISNUMBER(SEARCH("BACKPACK",B302)),
ISNUMBER(SEARCH("MOCHILA",B302)),
ISNUMBER(SEARCH("FUNDA",B302)),
ISNUMBER(SEARCH("ESTUCHE",B302)),
ISNUMBER(SEARCH("BOOK COVER",B302)),
ISNUMBER(SEARCH("KEYBOARD PARA TABLET",B302)),
ISNUMBER(SEARCH("FLIP TABLET",B302)),
ISNUMBER(SEARCH("CASE FOR TABLET",B302)),
ISNUMBER(SEARCH("CABLE",B302)),
ISNUMBER(SEARCH("ADAPTADOR",B302)),
ISNUMBER(SEARCH("HUB",B302)),
ISNUMBER(SEARCH("DOCK",B302)),
ISNUMBER(SEARCH("MOUSE PAD",B302)),
ISNUMBER(SEARCH("MOUSEPAD",B302)),
ISNUMBER(SEARCH("SOPORTE",B302)),
ISNUMBER(SEARCH("STAND",B302)),
ISNUMBER(SEARCH("TRAVEL ADAPTER",B302)),
ISNUMBER(SEARCH("RJ45",B302)),
ISNUMBER(SEARCH("USB-C",B302)),
ISNUMBER(SEARCH("USB WIFI",B302)),
ISNUMBER(SEARCH("POWERBANK",B302)),
ISNUMBER(SEARCH("CARGADOR",B302)),
ISNUMBER(SEARCH("COOLER PARA NB",B302)),
ISNUMBER(SEARCH("SOPORTE PARA NB",B302)),
ISNUMBER(SEARCH("WEBCAM",B302)),
ISNUMBER(SEARCH("WEB CAM",B302)),
ISNUMBER(SEARCH("MOUSE",B302)),
ISNUMBER(SEARCH("TECLADO",B302))
),
"COMPLEMENTO",
IF(
OR(
LEFT(A302,2)="NB",
LEFT(A302,2)="PC",
LEFT(A302,2)="WS",
LEFT(A302,2)="TB",
LEFT(A302,3)="CEL",
LEFT(A302,3)="MON",
LEFT(A302,3)="PRE",
LEFT(A302,3)="PRH",
ISNUMBER(SEARCH("NOTEBOOK",B302)),
ISNUMBER(SEARCH("LAPTOP",B302)),
ISNUMBER(SEARCH("MONITOR",B302)),
ISNUMBER(SEARCH("TABLET",B302)),
ISNUMBER(SEARCH("SMARTPH",B302)),
ISNUMBER(SEARCH("IMPRESORA",B302)),
ISNUMBER(SEARCH("MULTIFUNCIONAL",B302)),
ISNUMBER(SEARCH("AIO",B302))
),
"GANCHO",
"NORMAL"
)
)</f>
        <v>NORMAL</v>
      </c>
    </row>
    <row r="301" spans="1:12" x14ac:dyDescent="0.25">
      <c r="A301" s="3" t="s">
        <v>1028</v>
      </c>
      <c r="B301" s="3" t="s">
        <v>1029</v>
      </c>
      <c r="C301" s="1">
        <v>20</v>
      </c>
      <c r="D301" s="1">
        <v>374</v>
      </c>
      <c r="E301" s="1" t="s">
        <v>175</v>
      </c>
      <c r="F301" s="1" t="s">
        <v>3211</v>
      </c>
      <c r="G301" s="3" t="s">
        <v>1030</v>
      </c>
      <c r="H301" s="11">
        <f>ROUND(
IF(L299="GANCHO",
   IF(I301&lt;=50,I301*1.1+4,IF(I301&lt;=120,I301*1.1+7,IF(I301&lt;=250,I301*1.1+11,I301*1.1+19))),
IF(L299="NORMAL",
   IF(I301&lt;=30,I301*1.15+2,IF(I301&lt;=80,I301*1.15+4,IF(I301&lt;=150,I301*1.15+6,I301*1.15+8))),
IF(L299="COMPLEMENTO",
   IF(I301&lt;=25,I301*1.25+1.5,IF(I301&lt;=60,I301*1.25+3,IF(I301&lt;=120,I301*1.25+4,I301*1.25+5))),
""))),2)</f>
        <v>1774.16</v>
      </c>
      <c r="I301" s="9">
        <f>($K$2+0.02)*Tabla1[[#This Row],[PRECIO $]]*1.18</f>
        <v>1535.7936</v>
      </c>
      <c r="J301" s="7">
        <f>+Tabla1[[#This Row],[PRECIO EN SOLES]]-Tabla1[[#This Row],[PC]]</f>
        <v>238.36640000000011</v>
      </c>
      <c r="K301" s="15"/>
      <c r="L301" s="15" t="str">
        <f>IF(
OR(
ISNUMBER(SEARCH("BACKPACK",B303)),
ISNUMBER(SEARCH("MOCHILA",B303)),
ISNUMBER(SEARCH("FUNDA",B303)),
ISNUMBER(SEARCH("ESTUCHE",B303)),
ISNUMBER(SEARCH("BOOK COVER",B303)),
ISNUMBER(SEARCH("KEYBOARD PARA TABLET",B303)),
ISNUMBER(SEARCH("FLIP TABLET",B303)),
ISNUMBER(SEARCH("CASE FOR TABLET",B303)),
ISNUMBER(SEARCH("CABLE",B303)),
ISNUMBER(SEARCH("ADAPTADOR",B303)),
ISNUMBER(SEARCH("HUB",B303)),
ISNUMBER(SEARCH("DOCK",B303)),
ISNUMBER(SEARCH("MOUSE PAD",B303)),
ISNUMBER(SEARCH("MOUSEPAD",B303)),
ISNUMBER(SEARCH("SOPORTE",B303)),
ISNUMBER(SEARCH("STAND",B303)),
ISNUMBER(SEARCH("TRAVEL ADAPTER",B303)),
ISNUMBER(SEARCH("RJ45",B303)),
ISNUMBER(SEARCH("USB-C",B303)),
ISNUMBER(SEARCH("USB WIFI",B303)),
ISNUMBER(SEARCH("POWERBANK",B303)),
ISNUMBER(SEARCH("CARGADOR",B303)),
ISNUMBER(SEARCH("COOLER PARA NB",B303)),
ISNUMBER(SEARCH("SOPORTE PARA NB",B303)),
ISNUMBER(SEARCH("WEBCAM",B303)),
ISNUMBER(SEARCH("WEB CAM",B303)),
ISNUMBER(SEARCH("MOUSE",B303)),
ISNUMBER(SEARCH("TECLADO",B303))
),
"COMPLEMENTO",
IF(
OR(
LEFT(A303,2)="NB",
LEFT(A303,2)="PC",
LEFT(A303,2)="WS",
LEFT(A303,2)="TB",
LEFT(A303,3)="CEL",
LEFT(A303,3)="MON",
LEFT(A303,3)="PRE",
LEFT(A303,3)="PRH",
ISNUMBER(SEARCH("NOTEBOOK",B303)),
ISNUMBER(SEARCH("LAPTOP",B303)),
ISNUMBER(SEARCH("MONITOR",B303)),
ISNUMBER(SEARCH("TABLET",B303)),
ISNUMBER(SEARCH("SMARTPH",B303)),
ISNUMBER(SEARCH("IMPRESORA",B303)),
ISNUMBER(SEARCH("MULTIFUNCIONAL",B303)),
ISNUMBER(SEARCH("AIO",B303))
),
"GANCHO",
"NORMAL"
)
)</f>
        <v>NORMAL</v>
      </c>
    </row>
    <row r="302" spans="1:12" x14ac:dyDescent="0.25">
      <c r="A302" s="3" t="s">
        <v>179</v>
      </c>
      <c r="B302" s="3" t="s">
        <v>180</v>
      </c>
      <c r="C302" s="1">
        <v>20</v>
      </c>
      <c r="D302" s="1">
        <v>352</v>
      </c>
      <c r="E302" s="1" t="s">
        <v>175</v>
      </c>
      <c r="F302" s="1" t="s">
        <v>3212</v>
      </c>
      <c r="G302" s="3" t="s">
        <v>181</v>
      </c>
      <c r="H302" s="11">
        <f>ROUND(
IF(L300="GANCHO",
   IF(I302&lt;=50,I302*1.1+4,IF(I302&lt;=120,I302*1.1+7,IF(I302&lt;=250,I302*1.1+11,I302*1.1+19))),
IF(L300="NORMAL",
   IF(I302&lt;=30,I302*1.15+2,IF(I302&lt;=80,I302*1.15+4,IF(I302&lt;=150,I302*1.15+6,I302*1.15+8))),
IF(L300="COMPLEMENTO",
   IF(I302&lt;=25,I302*1.25+1.5,IF(I302&lt;=60,I302*1.25+3,IF(I302&lt;=120,I302*1.25+4,I302*1.25+5))),
""))),2)</f>
        <v>1670.27</v>
      </c>
      <c r="I302" s="9">
        <f>($K$2+0.02)*Tabla1[[#This Row],[PRECIO $]]*1.18</f>
        <v>1445.4528</v>
      </c>
      <c r="J302" s="7">
        <f>+Tabla1[[#This Row],[PRECIO EN SOLES]]-Tabla1[[#This Row],[PC]]</f>
        <v>224.81719999999996</v>
      </c>
      <c r="K302" s="15"/>
      <c r="L302" s="15" t="str">
        <f>IF(
OR(
ISNUMBER(SEARCH("BACKPACK",B304)),
ISNUMBER(SEARCH("MOCHILA",B304)),
ISNUMBER(SEARCH("FUNDA",B304)),
ISNUMBER(SEARCH("ESTUCHE",B304)),
ISNUMBER(SEARCH("BOOK COVER",B304)),
ISNUMBER(SEARCH("KEYBOARD PARA TABLET",B304)),
ISNUMBER(SEARCH("FLIP TABLET",B304)),
ISNUMBER(SEARCH("CASE FOR TABLET",B304)),
ISNUMBER(SEARCH("CABLE",B304)),
ISNUMBER(SEARCH("ADAPTADOR",B304)),
ISNUMBER(SEARCH("HUB",B304)),
ISNUMBER(SEARCH("DOCK",B304)),
ISNUMBER(SEARCH("MOUSE PAD",B304)),
ISNUMBER(SEARCH("MOUSEPAD",B304)),
ISNUMBER(SEARCH("SOPORTE",B304)),
ISNUMBER(SEARCH("STAND",B304)),
ISNUMBER(SEARCH("TRAVEL ADAPTER",B304)),
ISNUMBER(SEARCH("RJ45",B304)),
ISNUMBER(SEARCH("USB-C",B304)),
ISNUMBER(SEARCH("USB WIFI",B304)),
ISNUMBER(SEARCH("POWERBANK",B304)),
ISNUMBER(SEARCH("CARGADOR",B304)),
ISNUMBER(SEARCH("COOLER PARA NB",B304)),
ISNUMBER(SEARCH("SOPORTE PARA NB",B304)),
ISNUMBER(SEARCH("WEBCAM",B304)),
ISNUMBER(SEARCH("WEB CAM",B304)),
ISNUMBER(SEARCH("MOUSE",B304)),
ISNUMBER(SEARCH("TECLADO",B304))
),
"COMPLEMENTO",
IF(
OR(
LEFT(A304,2)="NB",
LEFT(A304,2)="PC",
LEFT(A304,2)="WS",
LEFT(A304,2)="TB",
LEFT(A304,3)="CEL",
LEFT(A304,3)="MON",
LEFT(A304,3)="PRE",
LEFT(A304,3)="PRH",
ISNUMBER(SEARCH("NOTEBOOK",B304)),
ISNUMBER(SEARCH("LAPTOP",B304)),
ISNUMBER(SEARCH("MONITOR",B304)),
ISNUMBER(SEARCH("TABLET",B304)),
ISNUMBER(SEARCH("SMARTPH",B304)),
ISNUMBER(SEARCH("IMPRESORA",B304)),
ISNUMBER(SEARCH("MULTIFUNCIONAL",B304)),
ISNUMBER(SEARCH("AIO",B304))
),
"GANCHO",
"NORMAL"
)
)</f>
        <v>NORMAL</v>
      </c>
    </row>
    <row r="303" spans="1:12" x14ac:dyDescent="0.25">
      <c r="A303" s="3" t="s">
        <v>4486</v>
      </c>
      <c r="B303" s="3" t="s">
        <v>4487</v>
      </c>
      <c r="C303" s="1">
        <v>4</v>
      </c>
      <c r="D303" s="1">
        <v>420</v>
      </c>
      <c r="E303" s="1" t="s">
        <v>175</v>
      </c>
      <c r="F303" s="1" t="s">
        <v>4488</v>
      </c>
      <c r="G303" s="3" t="s">
        <v>4489</v>
      </c>
      <c r="H303" s="11">
        <f>ROUND(
IF(L301="GANCHO",
   IF(I303&lt;=50,I303*1.1+4,IF(I303&lt;=120,I303*1.1+7,IF(I303&lt;=250,I303*1.1+11,I303*1.1+19))),
IF(L301="NORMAL",
   IF(I303&lt;=30,I303*1.15+2,IF(I303&lt;=80,I303*1.15+4,IF(I303&lt;=150,I303*1.15+6,I303*1.15+8))),
IF(L301="COMPLEMENTO",
   IF(I303&lt;=25,I303*1.25+1.5,IF(I303&lt;=60,I303*1.25+3,IF(I303&lt;=120,I303*1.25+4,I303*1.25+5))),
""))),2)</f>
        <v>1991.39</v>
      </c>
      <c r="I303" s="9">
        <f>($K$2+0.02)*Tabla1[[#This Row],[PRECIO $]]*1.18</f>
        <v>1724.6879999999999</v>
      </c>
      <c r="J303" s="7">
        <f>+Tabla1[[#This Row],[PRECIO EN SOLES]]-Tabla1[[#This Row],[PC]]</f>
        <v>266.70200000000023</v>
      </c>
      <c r="K303" s="15"/>
      <c r="L303" s="15" t="str">
        <f>IF(
OR(
ISNUMBER(SEARCH("BACKPACK",B305)),
ISNUMBER(SEARCH("MOCHILA",B305)),
ISNUMBER(SEARCH("FUNDA",B305)),
ISNUMBER(SEARCH("ESTUCHE",B305)),
ISNUMBER(SEARCH("BOOK COVER",B305)),
ISNUMBER(SEARCH("KEYBOARD PARA TABLET",B305)),
ISNUMBER(SEARCH("FLIP TABLET",B305)),
ISNUMBER(SEARCH("CASE FOR TABLET",B305)),
ISNUMBER(SEARCH("CABLE",B305)),
ISNUMBER(SEARCH("ADAPTADOR",B305)),
ISNUMBER(SEARCH("HUB",B305)),
ISNUMBER(SEARCH("DOCK",B305)),
ISNUMBER(SEARCH("MOUSE PAD",B305)),
ISNUMBER(SEARCH("MOUSEPAD",B305)),
ISNUMBER(SEARCH("SOPORTE",B305)),
ISNUMBER(SEARCH("STAND",B305)),
ISNUMBER(SEARCH("TRAVEL ADAPTER",B305)),
ISNUMBER(SEARCH("RJ45",B305)),
ISNUMBER(SEARCH("USB-C",B305)),
ISNUMBER(SEARCH("USB WIFI",B305)),
ISNUMBER(SEARCH("POWERBANK",B305)),
ISNUMBER(SEARCH("CARGADOR",B305)),
ISNUMBER(SEARCH("COOLER PARA NB",B305)),
ISNUMBER(SEARCH("SOPORTE PARA NB",B305)),
ISNUMBER(SEARCH("WEBCAM",B305)),
ISNUMBER(SEARCH("WEB CAM",B305)),
ISNUMBER(SEARCH("MOUSE",B305)),
ISNUMBER(SEARCH("TECLADO",B305))
),
"COMPLEMENTO",
IF(
OR(
LEFT(A305,2)="NB",
LEFT(A305,2)="PC",
LEFT(A305,2)="WS",
LEFT(A305,2)="TB",
LEFT(A305,3)="CEL",
LEFT(A305,3)="MON",
LEFT(A305,3)="PRE",
LEFT(A305,3)="PRH",
ISNUMBER(SEARCH("NOTEBOOK",B305)),
ISNUMBER(SEARCH("LAPTOP",B305)),
ISNUMBER(SEARCH("MONITOR",B305)),
ISNUMBER(SEARCH("TABLET",B305)),
ISNUMBER(SEARCH("SMARTPH",B305)),
ISNUMBER(SEARCH("IMPRESORA",B305)),
ISNUMBER(SEARCH("MULTIFUNCIONAL",B305)),
ISNUMBER(SEARCH("AIO",B305))
),
"GANCHO",
"NORMAL"
)
)</f>
        <v>NORMAL</v>
      </c>
    </row>
    <row r="304" spans="1:12" x14ac:dyDescent="0.25">
      <c r="A304" s="3" t="s">
        <v>4913</v>
      </c>
      <c r="B304" s="3" t="s">
        <v>4914</v>
      </c>
      <c r="C304" s="1">
        <v>15</v>
      </c>
      <c r="D304" s="1">
        <v>391</v>
      </c>
      <c r="E304" s="1" t="s">
        <v>175</v>
      </c>
      <c r="F304" s="1" t="s">
        <v>4915</v>
      </c>
      <c r="G304" s="3" t="s">
        <v>4916</v>
      </c>
      <c r="H304" s="11">
        <f>ROUND(
IF(L302="GANCHO",
   IF(I304&lt;=50,I304*1.1+4,IF(I304&lt;=120,I304*1.1+7,IF(I304&lt;=250,I304*1.1+11,I304*1.1+19))),
IF(L302="NORMAL",
   IF(I304&lt;=30,I304*1.15+2,IF(I304&lt;=80,I304*1.15+4,IF(I304&lt;=150,I304*1.15+6,I304*1.15+8))),
IF(L302="COMPLEMENTO",
   IF(I304&lt;=25,I304*1.25+1.5,IF(I304&lt;=60,I304*1.25+3,IF(I304&lt;=120,I304*1.25+4,I304*1.25+5))),
""))),2)</f>
        <v>1854.44</v>
      </c>
      <c r="I304" s="9">
        <f>($K$2+0.02)*Tabla1[[#This Row],[PRECIO $]]*1.18</f>
        <v>1605.6024</v>
      </c>
      <c r="J304" s="7">
        <f>+Tabla1[[#This Row],[PRECIO EN SOLES]]-Tabla1[[#This Row],[PC]]</f>
        <v>248.83760000000007</v>
      </c>
      <c r="K304" s="15"/>
      <c r="L304" s="15" t="str">
        <f>IF(
OR(
ISNUMBER(SEARCH("BACKPACK",B306)),
ISNUMBER(SEARCH("MOCHILA",B306)),
ISNUMBER(SEARCH("FUNDA",B306)),
ISNUMBER(SEARCH("ESTUCHE",B306)),
ISNUMBER(SEARCH("BOOK COVER",B306)),
ISNUMBER(SEARCH("KEYBOARD PARA TABLET",B306)),
ISNUMBER(SEARCH("FLIP TABLET",B306)),
ISNUMBER(SEARCH("CASE FOR TABLET",B306)),
ISNUMBER(SEARCH("CABLE",B306)),
ISNUMBER(SEARCH("ADAPTADOR",B306)),
ISNUMBER(SEARCH("HUB",B306)),
ISNUMBER(SEARCH("DOCK",B306)),
ISNUMBER(SEARCH("MOUSE PAD",B306)),
ISNUMBER(SEARCH("MOUSEPAD",B306)),
ISNUMBER(SEARCH("SOPORTE",B306)),
ISNUMBER(SEARCH("STAND",B306)),
ISNUMBER(SEARCH("TRAVEL ADAPTER",B306)),
ISNUMBER(SEARCH("RJ45",B306)),
ISNUMBER(SEARCH("USB-C",B306)),
ISNUMBER(SEARCH("USB WIFI",B306)),
ISNUMBER(SEARCH("POWERBANK",B306)),
ISNUMBER(SEARCH("CARGADOR",B306)),
ISNUMBER(SEARCH("COOLER PARA NB",B306)),
ISNUMBER(SEARCH("SOPORTE PARA NB",B306)),
ISNUMBER(SEARCH("WEBCAM",B306)),
ISNUMBER(SEARCH("WEB CAM",B306)),
ISNUMBER(SEARCH("MOUSE",B306)),
ISNUMBER(SEARCH("TECLADO",B306))
),
"COMPLEMENTO",
IF(
OR(
LEFT(A306,2)="NB",
LEFT(A306,2)="PC",
LEFT(A306,2)="WS",
LEFT(A306,2)="TB",
LEFT(A306,3)="CEL",
LEFT(A306,3)="MON",
LEFT(A306,3)="PRE",
LEFT(A306,3)="PRH",
ISNUMBER(SEARCH("NOTEBOOK",B306)),
ISNUMBER(SEARCH("LAPTOP",B306)),
ISNUMBER(SEARCH("MONITOR",B306)),
ISNUMBER(SEARCH("TABLET",B306)),
ISNUMBER(SEARCH("SMARTPH",B306)),
ISNUMBER(SEARCH("IMPRESORA",B306)),
ISNUMBER(SEARCH("MULTIFUNCIONAL",B306)),
ISNUMBER(SEARCH("AIO",B306))
),
"GANCHO",
"NORMAL"
)
)</f>
        <v>NORMAL</v>
      </c>
    </row>
    <row r="305" spans="1:12" x14ac:dyDescent="0.25">
      <c r="A305" s="3" t="s">
        <v>4490</v>
      </c>
      <c r="B305" s="3" t="s">
        <v>4491</v>
      </c>
      <c r="C305" s="1">
        <v>20</v>
      </c>
      <c r="D305" s="1">
        <v>611</v>
      </c>
      <c r="E305" s="1" t="s">
        <v>175</v>
      </c>
      <c r="F305" s="1" t="s">
        <v>4492</v>
      </c>
      <c r="G305" s="3" t="s">
        <v>4493</v>
      </c>
      <c r="H305" s="11">
        <f>ROUND(
IF(L303="GANCHO",
   IF(I305&lt;=50,I305*1.1+4,IF(I305&lt;=120,I305*1.1+7,IF(I305&lt;=250,I305*1.1+11,I305*1.1+19))),
IF(L303="NORMAL",
   IF(I305&lt;=30,I305*1.15+2,IF(I305&lt;=80,I305*1.15+4,IF(I305&lt;=150,I305*1.15+6,I305*1.15+8))),
IF(L303="COMPLEMENTO",
   IF(I305&lt;=25,I305*1.25+1.5,IF(I305&lt;=60,I305*1.25+3,IF(I305&lt;=120,I305*1.25+4,I305*1.25+5))),
""))),2)</f>
        <v>2893.36</v>
      </c>
      <c r="I305" s="9">
        <f>($K$2+0.02)*Tabla1[[#This Row],[PRECIO $]]*1.18</f>
        <v>2509.0104000000001</v>
      </c>
      <c r="J305" s="7">
        <f>+Tabla1[[#This Row],[PRECIO EN SOLES]]-Tabla1[[#This Row],[PC]]</f>
        <v>384.34960000000001</v>
      </c>
      <c r="K305" s="15"/>
      <c r="L305" s="15" t="str">
        <f>IF(
OR(
ISNUMBER(SEARCH("BACKPACK",B307)),
ISNUMBER(SEARCH("MOCHILA",B307)),
ISNUMBER(SEARCH("FUNDA",B307)),
ISNUMBER(SEARCH("ESTUCHE",B307)),
ISNUMBER(SEARCH("BOOK COVER",B307)),
ISNUMBER(SEARCH("KEYBOARD PARA TABLET",B307)),
ISNUMBER(SEARCH("FLIP TABLET",B307)),
ISNUMBER(SEARCH("CASE FOR TABLET",B307)),
ISNUMBER(SEARCH("CABLE",B307)),
ISNUMBER(SEARCH("ADAPTADOR",B307)),
ISNUMBER(SEARCH("HUB",B307)),
ISNUMBER(SEARCH("DOCK",B307)),
ISNUMBER(SEARCH("MOUSE PAD",B307)),
ISNUMBER(SEARCH("MOUSEPAD",B307)),
ISNUMBER(SEARCH("SOPORTE",B307)),
ISNUMBER(SEARCH("STAND",B307)),
ISNUMBER(SEARCH("TRAVEL ADAPTER",B307)),
ISNUMBER(SEARCH("RJ45",B307)),
ISNUMBER(SEARCH("USB-C",B307)),
ISNUMBER(SEARCH("USB WIFI",B307)),
ISNUMBER(SEARCH("POWERBANK",B307)),
ISNUMBER(SEARCH("CARGADOR",B307)),
ISNUMBER(SEARCH("COOLER PARA NB",B307)),
ISNUMBER(SEARCH("SOPORTE PARA NB",B307)),
ISNUMBER(SEARCH("WEBCAM",B307)),
ISNUMBER(SEARCH("WEB CAM",B307)),
ISNUMBER(SEARCH("MOUSE",B307)),
ISNUMBER(SEARCH("TECLADO",B307))
),
"COMPLEMENTO",
IF(
OR(
LEFT(A307,2)="NB",
LEFT(A307,2)="PC",
LEFT(A307,2)="WS",
LEFT(A307,2)="TB",
LEFT(A307,3)="CEL",
LEFT(A307,3)="MON",
LEFT(A307,3)="PRE",
LEFT(A307,3)="PRH",
ISNUMBER(SEARCH("NOTEBOOK",B307)),
ISNUMBER(SEARCH("LAPTOP",B307)),
ISNUMBER(SEARCH("MONITOR",B307)),
ISNUMBER(SEARCH("TABLET",B307)),
ISNUMBER(SEARCH("SMARTPH",B307)),
ISNUMBER(SEARCH("IMPRESORA",B307)),
ISNUMBER(SEARCH("MULTIFUNCIONAL",B307)),
ISNUMBER(SEARCH("AIO",B307))
),
"GANCHO",
"NORMAL"
)
)</f>
        <v>NORMAL</v>
      </c>
    </row>
    <row r="306" spans="1:12" x14ac:dyDescent="0.25">
      <c r="A306" s="3" t="s">
        <v>1031</v>
      </c>
      <c r="B306" s="3" t="s">
        <v>1032</v>
      </c>
      <c r="C306" s="1">
        <v>20</v>
      </c>
      <c r="D306" s="1">
        <v>568.86</v>
      </c>
      <c r="E306" s="1" t="s">
        <v>175</v>
      </c>
      <c r="F306" s="1" t="s">
        <v>3213</v>
      </c>
      <c r="G306" s="3" t="s">
        <v>1033</v>
      </c>
      <c r="H306" s="11">
        <f>ROUND(
IF(L304="GANCHO",
   IF(I306&lt;=50,I306*1.1+4,IF(I306&lt;=120,I306*1.1+7,IF(I306&lt;=250,I306*1.1+11,I306*1.1+19))),
IF(L304="NORMAL",
   IF(I306&lt;=30,I306*1.15+2,IF(I306&lt;=80,I306*1.15+4,IF(I306&lt;=150,I306*1.15+6,I306*1.15+8))),
IF(L304="COMPLEMENTO",
   IF(I306&lt;=25,I306*1.25+1.5,IF(I306&lt;=60,I306*1.25+3,IF(I306&lt;=120,I306*1.25+4,I306*1.25+5))),
""))),2)</f>
        <v>2694.36</v>
      </c>
      <c r="I306" s="9">
        <f>($K$2+0.02)*Tabla1[[#This Row],[PRECIO $]]*1.18</f>
        <v>2335.9667039999999</v>
      </c>
      <c r="J306" s="7">
        <f>+Tabla1[[#This Row],[PRECIO EN SOLES]]-Tabla1[[#This Row],[PC]]</f>
        <v>358.39329600000019</v>
      </c>
      <c r="K306" s="15"/>
      <c r="L306" s="15" t="str">
        <f>IF(
OR(
ISNUMBER(SEARCH("BACKPACK",B308)),
ISNUMBER(SEARCH("MOCHILA",B308)),
ISNUMBER(SEARCH("FUNDA",B308)),
ISNUMBER(SEARCH("ESTUCHE",B308)),
ISNUMBER(SEARCH("BOOK COVER",B308)),
ISNUMBER(SEARCH("KEYBOARD PARA TABLET",B308)),
ISNUMBER(SEARCH("FLIP TABLET",B308)),
ISNUMBER(SEARCH("CASE FOR TABLET",B308)),
ISNUMBER(SEARCH("CABLE",B308)),
ISNUMBER(SEARCH("ADAPTADOR",B308)),
ISNUMBER(SEARCH("HUB",B308)),
ISNUMBER(SEARCH("DOCK",B308)),
ISNUMBER(SEARCH("MOUSE PAD",B308)),
ISNUMBER(SEARCH("MOUSEPAD",B308)),
ISNUMBER(SEARCH("SOPORTE",B308)),
ISNUMBER(SEARCH("STAND",B308)),
ISNUMBER(SEARCH("TRAVEL ADAPTER",B308)),
ISNUMBER(SEARCH("RJ45",B308)),
ISNUMBER(SEARCH("USB-C",B308)),
ISNUMBER(SEARCH("USB WIFI",B308)),
ISNUMBER(SEARCH("POWERBANK",B308)),
ISNUMBER(SEARCH("CARGADOR",B308)),
ISNUMBER(SEARCH("COOLER PARA NB",B308)),
ISNUMBER(SEARCH("SOPORTE PARA NB",B308)),
ISNUMBER(SEARCH("WEBCAM",B308)),
ISNUMBER(SEARCH("WEB CAM",B308)),
ISNUMBER(SEARCH("MOUSE",B308)),
ISNUMBER(SEARCH("TECLADO",B308))
),
"COMPLEMENTO",
IF(
OR(
LEFT(A308,2)="NB",
LEFT(A308,2)="PC",
LEFT(A308,2)="WS",
LEFT(A308,2)="TB",
LEFT(A308,3)="CEL",
LEFT(A308,3)="MON",
LEFT(A308,3)="PRE",
LEFT(A308,3)="PRH",
ISNUMBER(SEARCH("NOTEBOOK",B308)),
ISNUMBER(SEARCH("LAPTOP",B308)),
ISNUMBER(SEARCH("MONITOR",B308)),
ISNUMBER(SEARCH("TABLET",B308)),
ISNUMBER(SEARCH("SMARTPH",B308)),
ISNUMBER(SEARCH("IMPRESORA",B308)),
ISNUMBER(SEARCH("MULTIFUNCIONAL",B308)),
ISNUMBER(SEARCH("AIO",B308))
),
"GANCHO",
"NORMAL"
)
)</f>
        <v>NORMAL</v>
      </c>
    </row>
    <row r="307" spans="1:12" x14ac:dyDescent="0.25">
      <c r="A307" s="3" t="s">
        <v>1034</v>
      </c>
      <c r="B307" s="3" t="s">
        <v>1035</v>
      </c>
      <c r="C307" s="1">
        <v>20</v>
      </c>
      <c r="D307" s="1">
        <v>508</v>
      </c>
      <c r="E307" s="1" t="s">
        <v>175</v>
      </c>
      <c r="F307" s="1" t="s">
        <v>3214</v>
      </c>
      <c r="G307" s="3" t="s">
        <v>1036</v>
      </c>
      <c r="H307" s="11">
        <f>ROUND(
IF(L305="GANCHO",
   IF(I307&lt;=50,I307*1.1+4,IF(I307&lt;=120,I307*1.1+7,IF(I307&lt;=250,I307*1.1+11,I307*1.1+19))),
IF(L305="NORMAL",
   IF(I307&lt;=30,I307*1.15+2,IF(I307&lt;=80,I307*1.15+4,IF(I307&lt;=150,I307*1.15+6,I307*1.15+8))),
IF(L305="COMPLEMENTO",
   IF(I307&lt;=25,I307*1.25+1.5,IF(I307&lt;=60,I307*1.25+3,IF(I307&lt;=120,I307*1.25+4,I307*1.25+5))),
""))),2)</f>
        <v>2406.96</v>
      </c>
      <c r="I307" s="9">
        <f>($K$2+0.02)*Tabla1[[#This Row],[PRECIO $]]*1.18</f>
        <v>2086.0511999999999</v>
      </c>
      <c r="J307" s="7">
        <f>+Tabla1[[#This Row],[PRECIO EN SOLES]]-Tabla1[[#This Row],[PC]]</f>
        <v>320.90880000000016</v>
      </c>
      <c r="K307" s="15"/>
      <c r="L307" s="15" t="str">
        <f>IF(
OR(
ISNUMBER(SEARCH("BACKPACK",B309)),
ISNUMBER(SEARCH("MOCHILA",B309)),
ISNUMBER(SEARCH("FUNDA",B309)),
ISNUMBER(SEARCH("ESTUCHE",B309)),
ISNUMBER(SEARCH("BOOK COVER",B309)),
ISNUMBER(SEARCH("KEYBOARD PARA TABLET",B309)),
ISNUMBER(SEARCH("FLIP TABLET",B309)),
ISNUMBER(SEARCH("CASE FOR TABLET",B309)),
ISNUMBER(SEARCH("CABLE",B309)),
ISNUMBER(SEARCH("ADAPTADOR",B309)),
ISNUMBER(SEARCH("HUB",B309)),
ISNUMBER(SEARCH("DOCK",B309)),
ISNUMBER(SEARCH("MOUSE PAD",B309)),
ISNUMBER(SEARCH("MOUSEPAD",B309)),
ISNUMBER(SEARCH("SOPORTE",B309)),
ISNUMBER(SEARCH("STAND",B309)),
ISNUMBER(SEARCH("TRAVEL ADAPTER",B309)),
ISNUMBER(SEARCH("RJ45",B309)),
ISNUMBER(SEARCH("USB-C",B309)),
ISNUMBER(SEARCH("USB WIFI",B309)),
ISNUMBER(SEARCH("POWERBANK",B309)),
ISNUMBER(SEARCH("CARGADOR",B309)),
ISNUMBER(SEARCH("COOLER PARA NB",B309)),
ISNUMBER(SEARCH("SOPORTE PARA NB",B309)),
ISNUMBER(SEARCH("WEBCAM",B309)),
ISNUMBER(SEARCH("WEB CAM",B309)),
ISNUMBER(SEARCH("MOUSE",B309)),
ISNUMBER(SEARCH("TECLADO",B309))
),
"COMPLEMENTO",
IF(
OR(
LEFT(A309,2)="NB",
LEFT(A309,2)="PC",
LEFT(A309,2)="WS",
LEFT(A309,2)="TB",
LEFT(A309,3)="CEL",
LEFT(A309,3)="MON",
LEFT(A309,3)="PRE",
LEFT(A309,3)="PRH",
ISNUMBER(SEARCH("NOTEBOOK",B309)),
ISNUMBER(SEARCH("LAPTOP",B309)),
ISNUMBER(SEARCH("MONITOR",B309)),
ISNUMBER(SEARCH("TABLET",B309)),
ISNUMBER(SEARCH("SMARTPH",B309)),
ISNUMBER(SEARCH("IMPRESORA",B309)),
ISNUMBER(SEARCH("MULTIFUNCIONAL",B309)),
ISNUMBER(SEARCH("AIO",B309))
),
"GANCHO",
"NORMAL"
)
)</f>
        <v>NORMAL</v>
      </c>
    </row>
    <row r="308" spans="1:12" x14ac:dyDescent="0.25">
      <c r="A308" s="3" t="s">
        <v>182</v>
      </c>
      <c r="B308" s="3" t="s">
        <v>183</v>
      </c>
      <c r="C308" s="1">
        <v>20</v>
      </c>
      <c r="D308" s="1">
        <v>493</v>
      </c>
      <c r="E308" s="1" t="s">
        <v>175</v>
      </c>
      <c r="F308" s="1" t="s">
        <v>3215</v>
      </c>
      <c r="G308" s="3" t="s">
        <v>184</v>
      </c>
      <c r="H308" s="11">
        <f>ROUND(
IF(L306="GANCHO",
   IF(I308&lt;=50,I308*1.1+4,IF(I308&lt;=120,I308*1.1+7,IF(I308&lt;=250,I308*1.1+11,I308*1.1+19))),
IF(L306="NORMAL",
   IF(I308&lt;=30,I308*1.15+2,IF(I308&lt;=80,I308*1.15+4,IF(I308&lt;=150,I308*1.15+6,I308*1.15+8))),
IF(L306="COMPLEMENTO",
   IF(I308&lt;=25,I308*1.25+1.5,IF(I308&lt;=60,I308*1.25+3,IF(I308&lt;=120,I308*1.25+4,I308*1.25+5))),
""))),2)</f>
        <v>2336.12</v>
      </c>
      <c r="I308" s="9">
        <f>($K$2+0.02)*Tabla1[[#This Row],[PRECIO $]]*1.18</f>
        <v>2024.4552000000001</v>
      </c>
      <c r="J308" s="7">
        <f>+Tabla1[[#This Row],[PRECIO EN SOLES]]-Tabla1[[#This Row],[PC]]</f>
        <v>311.66479999999979</v>
      </c>
      <c r="K308" s="15"/>
      <c r="L308" s="15" t="str">
        <f>IF(
OR(
ISNUMBER(SEARCH("BACKPACK",B310)),
ISNUMBER(SEARCH("MOCHILA",B310)),
ISNUMBER(SEARCH("FUNDA",B310)),
ISNUMBER(SEARCH("ESTUCHE",B310)),
ISNUMBER(SEARCH("BOOK COVER",B310)),
ISNUMBER(SEARCH("KEYBOARD PARA TABLET",B310)),
ISNUMBER(SEARCH("FLIP TABLET",B310)),
ISNUMBER(SEARCH("CASE FOR TABLET",B310)),
ISNUMBER(SEARCH("CABLE",B310)),
ISNUMBER(SEARCH("ADAPTADOR",B310)),
ISNUMBER(SEARCH("HUB",B310)),
ISNUMBER(SEARCH("DOCK",B310)),
ISNUMBER(SEARCH("MOUSE PAD",B310)),
ISNUMBER(SEARCH("MOUSEPAD",B310)),
ISNUMBER(SEARCH("SOPORTE",B310)),
ISNUMBER(SEARCH("STAND",B310)),
ISNUMBER(SEARCH("TRAVEL ADAPTER",B310)),
ISNUMBER(SEARCH("RJ45",B310)),
ISNUMBER(SEARCH("USB-C",B310)),
ISNUMBER(SEARCH("USB WIFI",B310)),
ISNUMBER(SEARCH("POWERBANK",B310)),
ISNUMBER(SEARCH("CARGADOR",B310)),
ISNUMBER(SEARCH("COOLER PARA NB",B310)),
ISNUMBER(SEARCH("SOPORTE PARA NB",B310)),
ISNUMBER(SEARCH("WEBCAM",B310)),
ISNUMBER(SEARCH("WEB CAM",B310)),
ISNUMBER(SEARCH("MOUSE",B310)),
ISNUMBER(SEARCH("TECLADO",B310))
),
"COMPLEMENTO",
IF(
OR(
LEFT(A310,2)="NB",
LEFT(A310,2)="PC",
LEFT(A310,2)="WS",
LEFT(A310,2)="TB",
LEFT(A310,3)="CEL",
LEFT(A310,3)="MON",
LEFT(A310,3)="PRE",
LEFT(A310,3)="PRH",
ISNUMBER(SEARCH("NOTEBOOK",B310)),
ISNUMBER(SEARCH("LAPTOP",B310)),
ISNUMBER(SEARCH("MONITOR",B310)),
ISNUMBER(SEARCH("TABLET",B310)),
ISNUMBER(SEARCH("SMARTPH",B310)),
ISNUMBER(SEARCH("IMPRESORA",B310)),
ISNUMBER(SEARCH("MULTIFUNCIONAL",B310)),
ISNUMBER(SEARCH("AIO",B310))
),
"GANCHO",
"NORMAL"
)
)</f>
        <v>NORMAL</v>
      </c>
    </row>
    <row r="309" spans="1:12" x14ac:dyDescent="0.25">
      <c r="A309" s="3" t="s">
        <v>4494</v>
      </c>
      <c r="B309" s="3" t="s">
        <v>4495</v>
      </c>
      <c r="C309" s="1">
        <v>4</v>
      </c>
      <c r="D309" s="1">
        <v>710.63</v>
      </c>
      <c r="E309" s="1" t="s">
        <v>175</v>
      </c>
      <c r="F309" s="1" t="s">
        <v>4496</v>
      </c>
      <c r="G309" s="3" t="s">
        <v>4497</v>
      </c>
      <c r="H309" s="11">
        <f>ROUND(
IF(L307="GANCHO",
   IF(I309&lt;=50,I309*1.1+4,IF(I309&lt;=120,I309*1.1+7,IF(I309&lt;=250,I309*1.1+11,I309*1.1+19))),
IF(L307="NORMAL",
   IF(I309&lt;=30,I309*1.15+2,IF(I309&lt;=80,I309*1.15+4,IF(I309&lt;=150,I309*1.15+6,I309*1.15+8))),
IF(L307="COMPLEMENTO",
   IF(I309&lt;=25,I309*1.25+1.5,IF(I309&lt;=60,I309*1.25+3,IF(I309&lt;=120,I309*1.25+4,I309*1.25+5))),
""))),2)</f>
        <v>3363.85</v>
      </c>
      <c r="I309" s="9">
        <f>($K$2+0.02)*Tabla1[[#This Row],[PRECIO $]]*1.18</f>
        <v>2918.1310319999998</v>
      </c>
      <c r="J309" s="7">
        <f>+Tabla1[[#This Row],[PRECIO EN SOLES]]-Tabla1[[#This Row],[PC]]</f>
        <v>445.71896800000013</v>
      </c>
      <c r="K309" s="15"/>
      <c r="L309" s="15" t="str">
        <f>IF(
OR(
ISNUMBER(SEARCH("BACKPACK",B311)),
ISNUMBER(SEARCH("MOCHILA",B311)),
ISNUMBER(SEARCH("FUNDA",B311)),
ISNUMBER(SEARCH("ESTUCHE",B311)),
ISNUMBER(SEARCH("BOOK COVER",B311)),
ISNUMBER(SEARCH("KEYBOARD PARA TABLET",B311)),
ISNUMBER(SEARCH("FLIP TABLET",B311)),
ISNUMBER(SEARCH("CASE FOR TABLET",B311)),
ISNUMBER(SEARCH("CABLE",B311)),
ISNUMBER(SEARCH("ADAPTADOR",B311)),
ISNUMBER(SEARCH("HUB",B311)),
ISNUMBER(SEARCH("DOCK",B311)),
ISNUMBER(SEARCH("MOUSE PAD",B311)),
ISNUMBER(SEARCH("MOUSEPAD",B311)),
ISNUMBER(SEARCH("SOPORTE",B311)),
ISNUMBER(SEARCH("STAND",B311)),
ISNUMBER(SEARCH("TRAVEL ADAPTER",B311)),
ISNUMBER(SEARCH("RJ45",B311)),
ISNUMBER(SEARCH("USB-C",B311)),
ISNUMBER(SEARCH("USB WIFI",B311)),
ISNUMBER(SEARCH("POWERBANK",B311)),
ISNUMBER(SEARCH("CARGADOR",B311)),
ISNUMBER(SEARCH("COOLER PARA NB",B311)),
ISNUMBER(SEARCH("SOPORTE PARA NB",B311)),
ISNUMBER(SEARCH("WEBCAM",B311)),
ISNUMBER(SEARCH("WEB CAM",B311)),
ISNUMBER(SEARCH("MOUSE",B311)),
ISNUMBER(SEARCH("TECLADO",B311))
),
"COMPLEMENTO",
IF(
OR(
LEFT(A311,2)="NB",
LEFT(A311,2)="PC",
LEFT(A311,2)="WS",
LEFT(A311,2)="TB",
LEFT(A311,3)="CEL",
LEFT(A311,3)="MON",
LEFT(A311,3)="PRE",
LEFT(A311,3)="PRH",
ISNUMBER(SEARCH("NOTEBOOK",B311)),
ISNUMBER(SEARCH("LAPTOP",B311)),
ISNUMBER(SEARCH("MONITOR",B311)),
ISNUMBER(SEARCH("TABLET",B311)),
ISNUMBER(SEARCH("SMARTPH",B311)),
ISNUMBER(SEARCH("IMPRESORA",B311)),
ISNUMBER(SEARCH("MULTIFUNCIONAL",B311)),
ISNUMBER(SEARCH("AIO",B311))
),
"GANCHO",
"NORMAL"
)
)</f>
        <v>NORMAL</v>
      </c>
    </row>
    <row r="310" spans="1:12" x14ac:dyDescent="0.25">
      <c r="A310" s="3" t="s">
        <v>4498</v>
      </c>
      <c r="B310" s="3" t="s">
        <v>4499</v>
      </c>
      <c r="C310" s="1">
        <v>20</v>
      </c>
      <c r="D310" s="1">
        <v>179</v>
      </c>
      <c r="E310" s="1" t="s">
        <v>175</v>
      </c>
      <c r="F310" s="1" t="s">
        <v>4500</v>
      </c>
      <c r="G310" s="3" t="s">
        <v>4501</v>
      </c>
      <c r="H310" s="11">
        <f>ROUND(
IF(L308="GANCHO",
   IF(I310&lt;=50,I310*1.1+4,IF(I310&lt;=120,I310*1.1+7,IF(I310&lt;=250,I310*1.1+11,I310*1.1+19))),
IF(L308="NORMAL",
   IF(I310&lt;=30,I310*1.15+2,IF(I310&lt;=80,I310*1.15+4,IF(I310&lt;=150,I310*1.15+6,I310*1.15+8))),
IF(L308="COMPLEMENTO",
   IF(I310&lt;=25,I310*1.25+1.5,IF(I310&lt;=60,I310*1.25+3,IF(I310&lt;=120,I310*1.25+4,I310*1.25+5))),
""))),2)</f>
        <v>853.3</v>
      </c>
      <c r="I310" s="9">
        <f>($K$2+0.02)*Tabla1[[#This Row],[PRECIO $]]*1.18</f>
        <v>735.04559999999992</v>
      </c>
      <c r="J310" s="7">
        <f>+Tabla1[[#This Row],[PRECIO EN SOLES]]-Tabla1[[#This Row],[PC]]</f>
        <v>118.25440000000003</v>
      </c>
      <c r="K310" s="15"/>
      <c r="L310" s="15" t="str">
        <f>IF(
OR(
ISNUMBER(SEARCH("BACKPACK",B312)),
ISNUMBER(SEARCH("MOCHILA",B312)),
ISNUMBER(SEARCH("FUNDA",B312)),
ISNUMBER(SEARCH("ESTUCHE",B312)),
ISNUMBER(SEARCH("BOOK COVER",B312)),
ISNUMBER(SEARCH("KEYBOARD PARA TABLET",B312)),
ISNUMBER(SEARCH("FLIP TABLET",B312)),
ISNUMBER(SEARCH("CASE FOR TABLET",B312)),
ISNUMBER(SEARCH("CABLE",B312)),
ISNUMBER(SEARCH("ADAPTADOR",B312)),
ISNUMBER(SEARCH("HUB",B312)),
ISNUMBER(SEARCH("DOCK",B312)),
ISNUMBER(SEARCH("MOUSE PAD",B312)),
ISNUMBER(SEARCH("MOUSEPAD",B312)),
ISNUMBER(SEARCH("SOPORTE",B312)),
ISNUMBER(SEARCH("STAND",B312)),
ISNUMBER(SEARCH("TRAVEL ADAPTER",B312)),
ISNUMBER(SEARCH("RJ45",B312)),
ISNUMBER(SEARCH("USB-C",B312)),
ISNUMBER(SEARCH("USB WIFI",B312)),
ISNUMBER(SEARCH("POWERBANK",B312)),
ISNUMBER(SEARCH("CARGADOR",B312)),
ISNUMBER(SEARCH("COOLER PARA NB",B312)),
ISNUMBER(SEARCH("SOPORTE PARA NB",B312)),
ISNUMBER(SEARCH("WEBCAM",B312)),
ISNUMBER(SEARCH("WEB CAM",B312)),
ISNUMBER(SEARCH("MOUSE",B312)),
ISNUMBER(SEARCH("TECLADO",B312))
),
"COMPLEMENTO",
IF(
OR(
LEFT(A312,2)="NB",
LEFT(A312,2)="PC",
LEFT(A312,2)="WS",
LEFT(A312,2)="TB",
LEFT(A312,3)="CEL",
LEFT(A312,3)="MON",
LEFT(A312,3)="PRE",
LEFT(A312,3)="PRH",
ISNUMBER(SEARCH("NOTEBOOK",B312)),
ISNUMBER(SEARCH("LAPTOP",B312)),
ISNUMBER(SEARCH("MONITOR",B312)),
ISNUMBER(SEARCH("TABLET",B312)),
ISNUMBER(SEARCH("SMARTPH",B312)),
ISNUMBER(SEARCH("IMPRESORA",B312)),
ISNUMBER(SEARCH("MULTIFUNCIONAL",B312)),
ISNUMBER(SEARCH("AIO",B312))
),
"GANCHO",
"NORMAL"
)
)</f>
        <v>NORMAL</v>
      </c>
    </row>
    <row r="311" spans="1:12" x14ac:dyDescent="0.25">
      <c r="A311" s="3" t="s">
        <v>4917</v>
      </c>
      <c r="B311" s="3" t="s">
        <v>4918</v>
      </c>
      <c r="C311" s="1">
        <v>20</v>
      </c>
      <c r="D311" s="1">
        <v>158</v>
      </c>
      <c r="E311" s="1" t="s">
        <v>175</v>
      </c>
      <c r="F311" s="1" t="s">
        <v>4919</v>
      </c>
      <c r="G311" s="3" t="s">
        <v>4920</v>
      </c>
      <c r="H311" s="11">
        <f>ROUND(
IF(L309="GANCHO",
   IF(I311&lt;=50,I311*1.1+4,IF(I311&lt;=120,I311*1.1+7,IF(I311&lt;=250,I311*1.1+11,I311*1.1+19))),
IF(L309="NORMAL",
   IF(I311&lt;=30,I311*1.15+2,IF(I311&lt;=80,I311*1.15+4,IF(I311&lt;=150,I311*1.15+6,I311*1.15+8))),
IF(L309="COMPLEMENTO",
   IF(I311&lt;=25,I311*1.25+1.5,IF(I311&lt;=60,I311*1.25+3,IF(I311&lt;=120,I311*1.25+4,I311*1.25+5))),
""))),2)</f>
        <v>754.13</v>
      </c>
      <c r="I311" s="9">
        <f>($K$2+0.02)*Tabla1[[#This Row],[PRECIO $]]*1.18</f>
        <v>648.81119999999999</v>
      </c>
      <c r="J311" s="7">
        <f>+Tabla1[[#This Row],[PRECIO EN SOLES]]-Tabla1[[#This Row],[PC]]</f>
        <v>105.31880000000001</v>
      </c>
      <c r="K311" s="15"/>
      <c r="L311" s="15" t="str">
        <f>IF(
OR(
ISNUMBER(SEARCH("BACKPACK",B313)),
ISNUMBER(SEARCH("MOCHILA",B313)),
ISNUMBER(SEARCH("FUNDA",B313)),
ISNUMBER(SEARCH("ESTUCHE",B313)),
ISNUMBER(SEARCH("BOOK COVER",B313)),
ISNUMBER(SEARCH("KEYBOARD PARA TABLET",B313)),
ISNUMBER(SEARCH("FLIP TABLET",B313)),
ISNUMBER(SEARCH("CASE FOR TABLET",B313)),
ISNUMBER(SEARCH("CABLE",B313)),
ISNUMBER(SEARCH("ADAPTADOR",B313)),
ISNUMBER(SEARCH("HUB",B313)),
ISNUMBER(SEARCH("DOCK",B313)),
ISNUMBER(SEARCH("MOUSE PAD",B313)),
ISNUMBER(SEARCH("MOUSEPAD",B313)),
ISNUMBER(SEARCH("SOPORTE",B313)),
ISNUMBER(SEARCH("STAND",B313)),
ISNUMBER(SEARCH("TRAVEL ADAPTER",B313)),
ISNUMBER(SEARCH("RJ45",B313)),
ISNUMBER(SEARCH("USB-C",B313)),
ISNUMBER(SEARCH("USB WIFI",B313)),
ISNUMBER(SEARCH("POWERBANK",B313)),
ISNUMBER(SEARCH("CARGADOR",B313)),
ISNUMBER(SEARCH("COOLER PARA NB",B313)),
ISNUMBER(SEARCH("SOPORTE PARA NB",B313)),
ISNUMBER(SEARCH("WEBCAM",B313)),
ISNUMBER(SEARCH("WEB CAM",B313)),
ISNUMBER(SEARCH("MOUSE",B313)),
ISNUMBER(SEARCH("TECLADO",B313))
),
"COMPLEMENTO",
IF(
OR(
LEFT(A313,2)="NB",
LEFT(A313,2)="PC",
LEFT(A313,2)="WS",
LEFT(A313,2)="TB",
LEFT(A313,3)="CEL",
LEFT(A313,3)="MON",
LEFT(A313,3)="PRE",
LEFT(A313,3)="PRH",
ISNUMBER(SEARCH("NOTEBOOK",B313)),
ISNUMBER(SEARCH("LAPTOP",B313)),
ISNUMBER(SEARCH("MONITOR",B313)),
ISNUMBER(SEARCH("TABLET",B313)),
ISNUMBER(SEARCH("SMARTPH",B313)),
ISNUMBER(SEARCH("IMPRESORA",B313)),
ISNUMBER(SEARCH("MULTIFUNCIONAL",B313)),
ISNUMBER(SEARCH("AIO",B313))
),
"GANCHO",
"NORMAL"
)
)</f>
        <v>NORMAL</v>
      </c>
    </row>
    <row r="312" spans="1:12" x14ac:dyDescent="0.25">
      <c r="A312" s="3" t="s">
        <v>4268</v>
      </c>
      <c r="B312" s="3" t="s">
        <v>4269</v>
      </c>
      <c r="C312" s="1">
        <v>20</v>
      </c>
      <c r="D312" s="1">
        <v>219.89</v>
      </c>
      <c r="E312" s="1" t="s">
        <v>175</v>
      </c>
      <c r="F312" s="1" t="s">
        <v>4270</v>
      </c>
      <c r="G312" s="3" t="s">
        <v>4271</v>
      </c>
      <c r="H312" s="11">
        <f>ROUND(
IF(L310="GANCHO",
   IF(I312&lt;=50,I312*1.1+4,IF(I312&lt;=120,I312*1.1+7,IF(I312&lt;=250,I312*1.1+11,I312*1.1+19))),
IF(L310="NORMAL",
   IF(I312&lt;=30,I312*1.15+2,IF(I312&lt;=80,I312*1.15+4,IF(I312&lt;=150,I312*1.15+6,I312*1.15+8))),
IF(L310="COMPLEMENTO",
   IF(I312&lt;=25,I312*1.25+1.5,IF(I312&lt;=60,I312*1.25+3,IF(I312&lt;=120,I312*1.25+4,I312*1.25+5))),
""))),2)</f>
        <v>1046.4000000000001</v>
      </c>
      <c r="I312" s="9">
        <f>($K$2+0.02)*Tabla1[[#This Row],[PRECIO $]]*1.18</f>
        <v>902.95629599999984</v>
      </c>
      <c r="J312" s="7">
        <f>+Tabla1[[#This Row],[PRECIO EN SOLES]]-Tabla1[[#This Row],[PC]]</f>
        <v>143.44370400000025</v>
      </c>
      <c r="K312" s="15"/>
      <c r="L312" s="15" t="str">
        <f>IF(
OR(
ISNUMBER(SEARCH("BACKPACK",B314)),
ISNUMBER(SEARCH("MOCHILA",B314)),
ISNUMBER(SEARCH("FUNDA",B314)),
ISNUMBER(SEARCH("ESTUCHE",B314)),
ISNUMBER(SEARCH("BOOK COVER",B314)),
ISNUMBER(SEARCH("KEYBOARD PARA TABLET",B314)),
ISNUMBER(SEARCH("FLIP TABLET",B314)),
ISNUMBER(SEARCH("CASE FOR TABLET",B314)),
ISNUMBER(SEARCH("CABLE",B314)),
ISNUMBER(SEARCH("ADAPTADOR",B314)),
ISNUMBER(SEARCH("HUB",B314)),
ISNUMBER(SEARCH("DOCK",B314)),
ISNUMBER(SEARCH("MOUSE PAD",B314)),
ISNUMBER(SEARCH("MOUSEPAD",B314)),
ISNUMBER(SEARCH("SOPORTE",B314)),
ISNUMBER(SEARCH("STAND",B314)),
ISNUMBER(SEARCH("TRAVEL ADAPTER",B314)),
ISNUMBER(SEARCH("RJ45",B314)),
ISNUMBER(SEARCH("USB-C",B314)),
ISNUMBER(SEARCH("USB WIFI",B314)),
ISNUMBER(SEARCH("POWERBANK",B314)),
ISNUMBER(SEARCH("CARGADOR",B314)),
ISNUMBER(SEARCH("COOLER PARA NB",B314)),
ISNUMBER(SEARCH("SOPORTE PARA NB",B314)),
ISNUMBER(SEARCH("WEBCAM",B314)),
ISNUMBER(SEARCH("WEB CAM",B314)),
ISNUMBER(SEARCH("MOUSE",B314)),
ISNUMBER(SEARCH("TECLADO",B314))
),
"COMPLEMENTO",
IF(
OR(
LEFT(A314,2)="NB",
LEFT(A314,2)="PC",
LEFT(A314,2)="WS",
LEFT(A314,2)="TB",
LEFT(A314,3)="CEL",
LEFT(A314,3)="MON",
LEFT(A314,3)="PRE",
LEFT(A314,3)="PRH",
ISNUMBER(SEARCH("NOTEBOOK",B314)),
ISNUMBER(SEARCH("LAPTOP",B314)),
ISNUMBER(SEARCH("MONITOR",B314)),
ISNUMBER(SEARCH("TABLET",B314)),
ISNUMBER(SEARCH("SMARTPH",B314)),
ISNUMBER(SEARCH("IMPRESORA",B314)),
ISNUMBER(SEARCH("MULTIFUNCIONAL",B314)),
ISNUMBER(SEARCH("AIO",B314))
),
"GANCHO",
"NORMAL"
)
)</f>
        <v>NORMAL</v>
      </c>
    </row>
    <row r="313" spans="1:12" x14ac:dyDescent="0.25">
      <c r="A313" s="3" t="s">
        <v>4272</v>
      </c>
      <c r="B313" s="3" t="s">
        <v>4273</v>
      </c>
      <c r="C313" s="1">
        <v>20</v>
      </c>
      <c r="D313" s="1">
        <v>207.5</v>
      </c>
      <c r="E313" s="1" t="s">
        <v>175</v>
      </c>
      <c r="F313" s="1" t="s">
        <v>4274</v>
      </c>
      <c r="G313" s="3" t="s">
        <v>4275</v>
      </c>
      <c r="H313" s="11">
        <f>ROUND(
IF(L311="GANCHO",
   IF(I313&lt;=50,I313*1.1+4,IF(I313&lt;=120,I313*1.1+7,IF(I313&lt;=250,I313*1.1+11,I313*1.1+19))),
IF(L311="NORMAL",
   IF(I313&lt;=30,I313*1.15+2,IF(I313&lt;=80,I313*1.15+4,IF(I313&lt;=150,I313*1.15+6,I313*1.15+8))),
IF(L311="COMPLEMENTO",
   IF(I313&lt;=25,I313*1.25+1.5,IF(I313&lt;=60,I313*1.25+3,IF(I313&lt;=120,I313*1.25+4,I313*1.25+5))),
""))),2)</f>
        <v>987.89</v>
      </c>
      <c r="I313" s="9">
        <f>($K$2+0.02)*Tabla1[[#This Row],[PRECIO $]]*1.18</f>
        <v>852.07799999999997</v>
      </c>
      <c r="J313" s="7">
        <f>+Tabla1[[#This Row],[PRECIO EN SOLES]]-Tabla1[[#This Row],[PC]]</f>
        <v>135.81200000000001</v>
      </c>
      <c r="K313" s="15"/>
      <c r="L313" s="15" t="str">
        <f>IF(
OR(
ISNUMBER(SEARCH("BACKPACK",B315)),
ISNUMBER(SEARCH("MOCHILA",B315)),
ISNUMBER(SEARCH("FUNDA",B315)),
ISNUMBER(SEARCH("ESTUCHE",B315)),
ISNUMBER(SEARCH("BOOK COVER",B315)),
ISNUMBER(SEARCH("KEYBOARD PARA TABLET",B315)),
ISNUMBER(SEARCH("FLIP TABLET",B315)),
ISNUMBER(SEARCH("CASE FOR TABLET",B315)),
ISNUMBER(SEARCH("CABLE",B315)),
ISNUMBER(SEARCH("ADAPTADOR",B315)),
ISNUMBER(SEARCH("HUB",B315)),
ISNUMBER(SEARCH("DOCK",B315)),
ISNUMBER(SEARCH("MOUSE PAD",B315)),
ISNUMBER(SEARCH("MOUSEPAD",B315)),
ISNUMBER(SEARCH("SOPORTE",B315)),
ISNUMBER(SEARCH("STAND",B315)),
ISNUMBER(SEARCH("TRAVEL ADAPTER",B315)),
ISNUMBER(SEARCH("RJ45",B315)),
ISNUMBER(SEARCH("USB-C",B315)),
ISNUMBER(SEARCH("USB WIFI",B315)),
ISNUMBER(SEARCH("POWERBANK",B315)),
ISNUMBER(SEARCH("CARGADOR",B315)),
ISNUMBER(SEARCH("COOLER PARA NB",B315)),
ISNUMBER(SEARCH("SOPORTE PARA NB",B315)),
ISNUMBER(SEARCH("WEBCAM",B315)),
ISNUMBER(SEARCH("WEB CAM",B315)),
ISNUMBER(SEARCH("MOUSE",B315)),
ISNUMBER(SEARCH("TECLADO",B315))
),
"COMPLEMENTO",
IF(
OR(
LEFT(A315,2)="NB",
LEFT(A315,2)="PC",
LEFT(A315,2)="WS",
LEFT(A315,2)="TB",
LEFT(A315,3)="CEL",
LEFT(A315,3)="MON",
LEFT(A315,3)="PRE",
LEFT(A315,3)="PRH",
ISNUMBER(SEARCH("NOTEBOOK",B315)),
ISNUMBER(SEARCH("LAPTOP",B315)),
ISNUMBER(SEARCH("MONITOR",B315)),
ISNUMBER(SEARCH("TABLET",B315)),
ISNUMBER(SEARCH("SMARTPH",B315)),
ISNUMBER(SEARCH("IMPRESORA",B315)),
ISNUMBER(SEARCH("MULTIFUNCIONAL",B315)),
ISNUMBER(SEARCH("AIO",B315))
),
"GANCHO",
"NORMAL"
)
)</f>
        <v>NORMAL</v>
      </c>
    </row>
    <row r="314" spans="1:12" x14ac:dyDescent="0.25">
      <c r="A314" s="3" t="s">
        <v>4921</v>
      </c>
      <c r="B314" s="3" t="s">
        <v>4922</v>
      </c>
      <c r="C314" s="1">
        <v>20</v>
      </c>
      <c r="D314" s="1">
        <v>361</v>
      </c>
      <c r="E314" s="1" t="s">
        <v>175</v>
      </c>
      <c r="F314" s="1" t="s">
        <v>4923</v>
      </c>
      <c r="G314" s="3" t="s">
        <v>4924</v>
      </c>
      <c r="H314" s="11">
        <f>ROUND(
IF(L312="GANCHO",
   IF(I314&lt;=50,I314*1.1+4,IF(I314&lt;=120,I314*1.1+7,IF(I314&lt;=250,I314*1.1+11,I314*1.1+19))),
IF(L312="NORMAL",
   IF(I314&lt;=30,I314*1.15+2,IF(I314&lt;=80,I314*1.15+4,IF(I314&lt;=150,I314*1.15+6,I314*1.15+8))),
IF(L312="COMPLEMENTO",
   IF(I314&lt;=25,I314*1.25+1.5,IF(I314&lt;=60,I314*1.25+3,IF(I314&lt;=120,I314*1.25+4,I314*1.25+5))),
""))),2)</f>
        <v>1712.77</v>
      </c>
      <c r="I314" s="9">
        <f>($K$2+0.02)*Tabla1[[#This Row],[PRECIO $]]*1.18</f>
        <v>1482.4104</v>
      </c>
      <c r="J314" s="7">
        <f>+Tabla1[[#This Row],[PRECIO EN SOLES]]-Tabla1[[#This Row],[PC]]</f>
        <v>230.3596</v>
      </c>
      <c r="K314" s="15"/>
      <c r="L314" s="15" t="str">
        <f>IF(
OR(
ISNUMBER(SEARCH("BACKPACK",B316)),
ISNUMBER(SEARCH("MOCHILA",B316)),
ISNUMBER(SEARCH("FUNDA",B316)),
ISNUMBER(SEARCH("ESTUCHE",B316)),
ISNUMBER(SEARCH("BOOK COVER",B316)),
ISNUMBER(SEARCH("KEYBOARD PARA TABLET",B316)),
ISNUMBER(SEARCH("FLIP TABLET",B316)),
ISNUMBER(SEARCH("CASE FOR TABLET",B316)),
ISNUMBER(SEARCH("CABLE",B316)),
ISNUMBER(SEARCH("ADAPTADOR",B316)),
ISNUMBER(SEARCH("HUB",B316)),
ISNUMBER(SEARCH("DOCK",B316)),
ISNUMBER(SEARCH("MOUSE PAD",B316)),
ISNUMBER(SEARCH("MOUSEPAD",B316)),
ISNUMBER(SEARCH("SOPORTE",B316)),
ISNUMBER(SEARCH("STAND",B316)),
ISNUMBER(SEARCH("TRAVEL ADAPTER",B316)),
ISNUMBER(SEARCH("RJ45",B316)),
ISNUMBER(SEARCH("USB-C",B316)),
ISNUMBER(SEARCH("USB WIFI",B316)),
ISNUMBER(SEARCH("POWERBANK",B316)),
ISNUMBER(SEARCH("CARGADOR",B316)),
ISNUMBER(SEARCH("COOLER PARA NB",B316)),
ISNUMBER(SEARCH("SOPORTE PARA NB",B316)),
ISNUMBER(SEARCH("WEBCAM",B316)),
ISNUMBER(SEARCH("WEB CAM",B316)),
ISNUMBER(SEARCH("MOUSE",B316)),
ISNUMBER(SEARCH("TECLADO",B316))
),
"COMPLEMENTO",
IF(
OR(
LEFT(A316,2)="NB",
LEFT(A316,2)="PC",
LEFT(A316,2)="WS",
LEFT(A316,2)="TB",
LEFT(A316,3)="CEL",
LEFT(A316,3)="MON",
LEFT(A316,3)="PRE",
LEFT(A316,3)="PRH",
ISNUMBER(SEARCH("NOTEBOOK",B316)),
ISNUMBER(SEARCH("LAPTOP",B316)),
ISNUMBER(SEARCH("MONITOR",B316)),
ISNUMBER(SEARCH("TABLET",B316)),
ISNUMBER(SEARCH("SMARTPH",B316)),
ISNUMBER(SEARCH("IMPRESORA",B316)),
ISNUMBER(SEARCH("MULTIFUNCIONAL",B316)),
ISNUMBER(SEARCH("AIO",B316))
),
"GANCHO",
"NORMAL"
)
)</f>
        <v>NORMAL</v>
      </c>
    </row>
    <row r="315" spans="1:12" x14ac:dyDescent="0.25">
      <c r="A315" s="3" t="s">
        <v>4925</v>
      </c>
      <c r="B315" s="3" t="s">
        <v>4926</v>
      </c>
      <c r="C315" s="1">
        <v>20</v>
      </c>
      <c r="D315" s="1">
        <v>345</v>
      </c>
      <c r="E315" s="1" t="s">
        <v>175</v>
      </c>
      <c r="F315" s="1" t="s">
        <v>4927</v>
      </c>
      <c r="G315" s="3" t="s">
        <v>4928</v>
      </c>
      <c r="H315" s="11">
        <f>ROUND(
IF(L313="GANCHO",
   IF(I315&lt;=50,I315*1.1+4,IF(I315&lt;=120,I315*1.1+7,IF(I315&lt;=250,I315*1.1+11,I315*1.1+19))),
IF(L313="NORMAL",
   IF(I315&lt;=30,I315*1.15+2,IF(I315&lt;=80,I315*1.15+4,IF(I315&lt;=150,I315*1.15+6,I315*1.15+8))),
IF(L313="COMPLEMENTO",
   IF(I315&lt;=25,I315*1.25+1.5,IF(I315&lt;=60,I315*1.25+3,IF(I315&lt;=120,I315*1.25+4,I315*1.25+5))),
""))),2)</f>
        <v>1637.21</v>
      </c>
      <c r="I315" s="9">
        <f>($K$2+0.02)*Tabla1[[#This Row],[PRECIO $]]*1.18</f>
        <v>1416.7079999999999</v>
      </c>
      <c r="J315" s="7">
        <f>+Tabla1[[#This Row],[PRECIO EN SOLES]]-Tabla1[[#This Row],[PC]]</f>
        <v>220.50200000000018</v>
      </c>
      <c r="K315" s="15"/>
      <c r="L315" s="15" t="str">
        <f>IF(
OR(
ISNUMBER(SEARCH("BACKPACK",B317)),
ISNUMBER(SEARCH("MOCHILA",B317)),
ISNUMBER(SEARCH("FUNDA",B317)),
ISNUMBER(SEARCH("ESTUCHE",B317)),
ISNUMBER(SEARCH("BOOK COVER",B317)),
ISNUMBER(SEARCH("KEYBOARD PARA TABLET",B317)),
ISNUMBER(SEARCH("FLIP TABLET",B317)),
ISNUMBER(SEARCH("CASE FOR TABLET",B317)),
ISNUMBER(SEARCH("CABLE",B317)),
ISNUMBER(SEARCH("ADAPTADOR",B317)),
ISNUMBER(SEARCH("HUB",B317)),
ISNUMBER(SEARCH("DOCK",B317)),
ISNUMBER(SEARCH("MOUSE PAD",B317)),
ISNUMBER(SEARCH("MOUSEPAD",B317)),
ISNUMBER(SEARCH("SOPORTE",B317)),
ISNUMBER(SEARCH("STAND",B317)),
ISNUMBER(SEARCH("TRAVEL ADAPTER",B317)),
ISNUMBER(SEARCH("RJ45",B317)),
ISNUMBER(SEARCH("USB-C",B317)),
ISNUMBER(SEARCH("USB WIFI",B317)),
ISNUMBER(SEARCH("POWERBANK",B317)),
ISNUMBER(SEARCH("CARGADOR",B317)),
ISNUMBER(SEARCH("COOLER PARA NB",B317)),
ISNUMBER(SEARCH("SOPORTE PARA NB",B317)),
ISNUMBER(SEARCH("WEBCAM",B317)),
ISNUMBER(SEARCH("WEB CAM",B317)),
ISNUMBER(SEARCH("MOUSE",B317)),
ISNUMBER(SEARCH("TECLADO",B317))
),
"COMPLEMENTO",
IF(
OR(
LEFT(A317,2)="NB",
LEFT(A317,2)="PC",
LEFT(A317,2)="WS",
LEFT(A317,2)="TB",
LEFT(A317,3)="CEL",
LEFT(A317,3)="MON",
LEFT(A317,3)="PRE",
LEFT(A317,3)="PRH",
ISNUMBER(SEARCH("NOTEBOOK",B317)),
ISNUMBER(SEARCH("LAPTOP",B317)),
ISNUMBER(SEARCH("MONITOR",B317)),
ISNUMBER(SEARCH("TABLET",B317)),
ISNUMBER(SEARCH("SMARTPH",B317)),
ISNUMBER(SEARCH("IMPRESORA",B317)),
ISNUMBER(SEARCH("MULTIFUNCIONAL",B317)),
ISNUMBER(SEARCH("AIO",B317))
),
"GANCHO",
"NORMAL"
)
)</f>
        <v>NORMAL</v>
      </c>
    </row>
    <row r="316" spans="1:12" x14ac:dyDescent="0.25">
      <c r="A316" s="3" t="s">
        <v>4276</v>
      </c>
      <c r="B316" s="3" t="s">
        <v>4277</v>
      </c>
      <c r="C316" s="1">
        <v>20</v>
      </c>
      <c r="D316" s="1">
        <v>308.5</v>
      </c>
      <c r="E316" s="1" t="s">
        <v>175</v>
      </c>
      <c r="F316" s="1" t="s">
        <v>4278</v>
      </c>
      <c r="G316" s="3" t="s">
        <v>4279</v>
      </c>
      <c r="H316" s="11">
        <f>ROUND(
IF(L314="GANCHO",
   IF(I316&lt;=50,I316*1.1+4,IF(I316&lt;=120,I316*1.1+7,IF(I316&lt;=250,I316*1.1+11,I316*1.1+19))),
IF(L314="NORMAL",
   IF(I316&lt;=30,I316*1.15+2,IF(I316&lt;=80,I316*1.15+4,IF(I316&lt;=150,I316*1.15+6,I316*1.15+8))),
IF(L314="COMPLEMENTO",
   IF(I316&lt;=25,I316*1.25+1.5,IF(I316&lt;=60,I316*1.25+3,IF(I316&lt;=120,I316*1.25+4,I316*1.25+5))),
""))),2)</f>
        <v>1464.85</v>
      </c>
      <c r="I316" s="9">
        <f>($K$2+0.02)*Tabla1[[#This Row],[PRECIO $]]*1.18</f>
        <v>1266.8243999999997</v>
      </c>
      <c r="J316" s="7">
        <f>+Tabla1[[#This Row],[PRECIO EN SOLES]]-Tabla1[[#This Row],[PC]]</f>
        <v>198.02560000000017</v>
      </c>
      <c r="K316" s="15"/>
      <c r="L316" s="15" t="str">
        <f>IF(
OR(
ISNUMBER(SEARCH("BACKPACK",B318)),
ISNUMBER(SEARCH("MOCHILA",B318)),
ISNUMBER(SEARCH("FUNDA",B318)),
ISNUMBER(SEARCH("ESTUCHE",B318)),
ISNUMBER(SEARCH("BOOK COVER",B318)),
ISNUMBER(SEARCH("KEYBOARD PARA TABLET",B318)),
ISNUMBER(SEARCH("FLIP TABLET",B318)),
ISNUMBER(SEARCH("CASE FOR TABLET",B318)),
ISNUMBER(SEARCH("CABLE",B318)),
ISNUMBER(SEARCH("ADAPTADOR",B318)),
ISNUMBER(SEARCH("HUB",B318)),
ISNUMBER(SEARCH("DOCK",B318)),
ISNUMBER(SEARCH("MOUSE PAD",B318)),
ISNUMBER(SEARCH("MOUSEPAD",B318)),
ISNUMBER(SEARCH("SOPORTE",B318)),
ISNUMBER(SEARCH("STAND",B318)),
ISNUMBER(SEARCH("TRAVEL ADAPTER",B318)),
ISNUMBER(SEARCH("RJ45",B318)),
ISNUMBER(SEARCH("USB-C",B318)),
ISNUMBER(SEARCH("USB WIFI",B318)),
ISNUMBER(SEARCH("POWERBANK",B318)),
ISNUMBER(SEARCH("CARGADOR",B318)),
ISNUMBER(SEARCH("COOLER PARA NB",B318)),
ISNUMBER(SEARCH("SOPORTE PARA NB",B318)),
ISNUMBER(SEARCH("WEBCAM",B318)),
ISNUMBER(SEARCH("WEB CAM",B318)),
ISNUMBER(SEARCH("MOUSE",B318)),
ISNUMBER(SEARCH("TECLADO",B318))
),
"COMPLEMENTO",
IF(
OR(
LEFT(A318,2)="NB",
LEFT(A318,2)="PC",
LEFT(A318,2)="WS",
LEFT(A318,2)="TB",
LEFT(A318,3)="CEL",
LEFT(A318,3)="MON",
LEFT(A318,3)="PRE",
LEFT(A318,3)="PRH",
ISNUMBER(SEARCH("NOTEBOOK",B318)),
ISNUMBER(SEARCH("LAPTOP",B318)),
ISNUMBER(SEARCH("MONITOR",B318)),
ISNUMBER(SEARCH("TABLET",B318)),
ISNUMBER(SEARCH("SMARTPH",B318)),
ISNUMBER(SEARCH("IMPRESORA",B318)),
ISNUMBER(SEARCH("MULTIFUNCIONAL",B318)),
ISNUMBER(SEARCH("AIO",B318))
),
"GANCHO",
"NORMAL"
)
)</f>
        <v>NORMAL</v>
      </c>
    </row>
    <row r="317" spans="1:12" x14ac:dyDescent="0.25">
      <c r="A317" s="3" t="s">
        <v>5861</v>
      </c>
      <c r="B317" s="3" t="s">
        <v>5862</v>
      </c>
      <c r="C317" s="1">
        <v>20</v>
      </c>
      <c r="D317" s="1">
        <v>331</v>
      </c>
      <c r="E317" s="1" t="s">
        <v>5863</v>
      </c>
      <c r="F317" s="1" t="s">
        <v>5864</v>
      </c>
      <c r="G317" s="3" t="s">
        <v>5865</v>
      </c>
      <c r="H317" s="11">
        <f>ROUND(
IF(L315="GANCHO",
   IF(I317&lt;=50,I317*1.1+4,IF(I317&lt;=120,I317*1.1+7,IF(I317&lt;=250,I317*1.1+11,I317*1.1+19))),
IF(L315="NORMAL",
   IF(I317&lt;=30,I317*1.15+2,IF(I317&lt;=80,I317*1.15+4,IF(I317&lt;=150,I317*1.15+6,I317*1.15+8))),
IF(L315="COMPLEMENTO",
   IF(I317&lt;=25,I317*1.25+1.5,IF(I317&lt;=60,I317*1.25+3,IF(I317&lt;=120,I317*1.25+4,I317*1.25+5))),
""))),2)</f>
        <v>1571.1</v>
      </c>
      <c r="I317" s="9">
        <f>($K$2+0.02)*Tabla1[[#This Row],[PRECIO $]]*1.18</f>
        <v>1359.2183999999997</v>
      </c>
      <c r="J317" s="7">
        <f>+Tabla1[[#This Row],[PRECIO EN SOLES]]-Tabla1[[#This Row],[PC]]</f>
        <v>211.88160000000016</v>
      </c>
      <c r="K317" s="15"/>
      <c r="L317" s="15" t="str">
        <f>IF(
OR(
ISNUMBER(SEARCH("BACKPACK",B319)),
ISNUMBER(SEARCH("MOCHILA",B319)),
ISNUMBER(SEARCH("FUNDA",B319)),
ISNUMBER(SEARCH("ESTUCHE",B319)),
ISNUMBER(SEARCH("BOOK COVER",B319)),
ISNUMBER(SEARCH("KEYBOARD PARA TABLET",B319)),
ISNUMBER(SEARCH("FLIP TABLET",B319)),
ISNUMBER(SEARCH("CASE FOR TABLET",B319)),
ISNUMBER(SEARCH("CABLE",B319)),
ISNUMBER(SEARCH("ADAPTADOR",B319)),
ISNUMBER(SEARCH("HUB",B319)),
ISNUMBER(SEARCH("DOCK",B319)),
ISNUMBER(SEARCH("MOUSE PAD",B319)),
ISNUMBER(SEARCH("MOUSEPAD",B319)),
ISNUMBER(SEARCH("SOPORTE",B319)),
ISNUMBER(SEARCH("STAND",B319)),
ISNUMBER(SEARCH("TRAVEL ADAPTER",B319)),
ISNUMBER(SEARCH("RJ45",B319)),
ISNUMBER(SEARCH("USB-C",B319)),
ISNUMBER(SEARCH("USB WIFI",B319)),
ISNUMBER(SEARCH("POWERBANK",B319)),
ISNUMBER(SEARCH("CARGADOR",B319)),
ISNUMBER(SEARCH("COOLER PARA NB",B319)),
ISNUMBER(SEARCH("SOPORTE PARA NB",B319)),
ISNUMBER(SEARCH("WEBCAM",B319)),
ISNUMBER(SEARCH("WEB CAM",B319)),
ISNUMBER(SEARCH("MOUSE",B319)),
ISNUMBER(SEARCH("TECLADO",B319))
),
"COMPLEMENTO",
IF(
OR(
LEFT(A319,2)="NB",
LEFT(A319,2)="PC",
LEFT(A319,2)="WS",
LEFT(A319,2)="TB",
LEFT(A319,3)="CEL",
LEFT(A319,3)="MON",
LEFT(A319,3)="PRE",
LEFT(A319,3)="PRH",
ISNUMBER(SEARCH("NOTEBOOK",B319)),
ISNUMBER(SEARCH("LAPTOP",B319)),
ISNUMBER(SEARCH("MONITOR",B319)),
ISNUMBER(SEARCH("TABLET",B319)),
ISNUMBER(SEARCH("SMARTPH",B319)),
ISNUMBER(SEARCH("IMPRESORA",B319)),
ISNUMBER(SEARCH("MULTIFUNCIONAL",B319)),
ISNUMBER(SEARCH("AIO",B319))
),
"GANCHO",
"NORMAL"
)
)</f>
        <v>NORMAL</v>
      </c>
    </row>
    <row r="318" spans="1:12" x14ac:dyDescent="0.25">
      <c r="A318" s="3" t="s">
        <v>1037</v>
      </c>
      <c r="B318" s="3" t="s">
        <v>1038</v>
      </c>
      <c r="C318" s="1">
        <v>20</v>
      </c>
      <c r="D318" s="1">
        <v>591.80999999999995</v>
      </c>
      <c r="E318" s="1" t="s">
        <v>175</v>
      </c>
      <c r="F318" s="1" t="s">
        <v>3216</v>
      </c>
      <c r="G318" s="3" t="s">
        <v>1039</v>
      </c>
      <c r="H318" s="11">
        <f>ROUND(
IF(L316="GANCHO",
   IF(I318&lt;=50,I318*1.1+4,IF(I318&lt;=120,I318*1.1+7,IF(I318&lt;=250,I318*1.1+11,I318*1.1+19))),
IF(L316="NORMAL",
   IF(I318&lt;=30,I318*1.15+2,IF(I318&lt;=80,I318*1.15+4,IF(I318&lt;=150,I318*1.15+6,I318*1.15+8))),
IF(L316="COMPLEMENTO",
   IF(I318&lt;=25,I318*1.25+1.5,IF(I318&lt;=60,I318*1.25+3,IF(I318&lt;=120,I318*1.25+4,I318*1.25+5))),
""))),2)</f>
        <v>2802.74</v>
      </c>
      <c r="I318" s="9">
        <f>($K$2+0.02)*Tabla1[[#This Row],[PRECIO $]]*1.18</f>
        <v>2430.2085839999995</v>
      </c>
      <c r="J318" s="7">
        <f>+Tabla1[[#This Row],[PRECIO EN SOLES]]-Tabla1[[#This Row],[PC]]</f>
        <v>372.53141600000026</v>
      </c>
      <c r="K318" s="15"/>
      <c r="L318" s="15" t="str">
        <f>IF(
OR(
ISNUMBER(SEARCH("BACKPACK",B320)),
ISNUMBER(SEARCH("MOCHILA",B320)),
ISNUMBER(SEARCH("FUNDA",B320)),
ISNUMBER(SEARCH("ESTUCHE",B320)),
ISNUMBER(SEARCH("BOOK COVER",B320)),
ISNUMBER(SEARCH("KEYBOARD PARA TABLET",B320)),
ISNUMBER(SEARCH("FLIP TABLET",B320)),
ISNUMBER(SEARCH("CASE FOR TABLET",B320)),
ISNUMBER(SEARCH("CABLE",B320)),
ISNUMBER(SEARCH("ADAPTADOR",B320)),
ISNUMBER(SEARCH("HUB",B320)),
ISNUMBER(SEARCH("DOCK",B320)),
ISNUMBER(SEARCH("MOUSE PAD",B320)),
ISNUMBER(SEARCH("MOUSEPAD",B320)),
ISNUMBER(SEARCH("SOPORTE",B320)),
ISNUMBER(SEARCH("STAND",B320)),
ISNUMBER(SEARCH("TRAVEL ADAPTER",B320)),
ISNUMBER(SEARCH("RJ45",B320)),
ISNUMBER(SEARCH("USB-C",B320)),
ISNUMBER(SEARCH("USB WIFI",B320)),
ISNUMBER(SEARCH("POWERBANK",B320)),
ISNUMBER(SEARCH("CARGADOR",B320)),
ISNUMBER(SEARCH("COOLER PARA NB",B320)),
ISNUMBER(SEARCH("SOPORTE PARA NB",B320)),
ISNUMBER(SEARCH("WEBCAM",B320)),
ISNUMBER(SEARCH("WEB CAM",B320)),
ISNUMBER(SEARCH("MOUSE",B320)),
ISNUMBER(SEARCH("TECLADO",B320))
),
"COMPLEMENTO",
IF(
OR(
LEFT(A320,2)="NB",
LEFT(A320,2)="PC",
LEFT(A320,2)="WS",
LEFT(A320,2)="TB",
LEFT(A320,3)="CEL",
LEFT(A320,3)="MON",
LEFT(A320,3)="PRE",
LEFT(A320,3)="PRH",
ISNUMBER(SEARCH("NOTEBOOK",B320)),
ISNUMBER(SEARCH("LAPTOP",B320)),
ISNUMBER(SEARCH("MONITOR",B320)),
ISNUMBER(SEARCH("TABLET",B320)),
ISNUMBER(SEARCH("SMARTPH",B320)),
ISNUMBER(SEARCH("IMPRESORA",B320)),
ISNUMBER(SEARCH("MULTIFUNCIONAL",B320)),
ISNUMBER(SEARCH("AIO",B320))
),
"GANCHO",
"NORMAL"
)
)</f>
        <v>NORMAL</v>
      </c>
    </row>
    <row r="319" spans="1:12" x14ac:dyDescent="0.25">
      <c r="A319" s="3" t="s">
        <v>1040</v>
      </c>
      <c r="B319" s="3" t="s">
        <v>1041</v>
      </c>
      <c r="C319" s="1">
        <v>20</v>
      </c>
      <c r="D319" s="1">
        <v>602.45000000000005</v>
      </c>
      <c r="E319" s="1" t="s">
        <v>175</v>
      </c>
      <c r="F319" s="1" t="s">
        <v>3217</v>
      </c>
      <c r="G319" s="3" t="s">
        <v>1042</v>
      </c>
      <c r="H319" s="11">
        <f>ROUND(
IF(L317="GANCHO",
   IF(I319&lt;=50,I319*1.1+4,IF(I319&lt;=120,I319*1.1+7,IF(I319&lt;=250,I319*1.1+11,I319*1.1+19))),
IF(L317="NORMAL",
   IF(I319&lt;=30,I319*1.15+2,IF(I319&lt;=80,I319*1.15+4,IF(I319&lt;=150,I319*1.15+6,I319*1.15+8))),
IF(L317="COMPLEMENTO",
   IF(I319&lt;=25,I319*1.25+1.5,IF(I319&lt;=60,I319*1.25+3,IF(I319&lt;=120,I319*1.25+4,I319*1.25+5))),
""))),2)</f>
        <v>2852.99</v>
      </c>
      <c r="I319" s="9">
        <f>($K$2+0.02)*Tabla1[[#This Row],[PRECIO $]]*1.18</f>
        <v>2473.9006800000002</v>
      </c>
      <c r="J319" s="7">
        <f>+Tabla1[[#This Row],[PRECIO EN SOLES]]-Tabla1[[#This Row],[PC]]</f>
        <v>379.08931999999959</v>
      </c>
      <c r="K319" s="15"/>
      <c r="L319" s="15" t="str">
        <f>IF(
OR(
ISNUMBER(SEARCH("BACKPACK",B321)),
ISNUMBER(SEARCH("MOCHILA",B321)),
ISNUMBER(SEARCH("FUNDA",B321)),
ISNUMBER(SEARCH("ESTUCHE",B321)),
ISNUMBER(SEARCH("BOOK COVER",B321)),
ISNUMBER(SEARCH("KEYBOARD PARA TABLET",B321)),
ISNUMBER(SEARCH("FLIP TABLET",B321)),
ISNUMBER(SEARCH("CASE FOR TABLET",B321)),
ISNUMBER(SEARCH("CABLE",B321)),
ISNUMBER(SEARCH("ADAPTADOR",B321)),
ISNUMBER(SEARCH("HUB",B321)),
ISNUMBER(SEARCH("DOCK",B321)),
ISNUMBER(SEARCH("MOUSE PAD",B321)),
ISNUMBER(SEARCH("MOUSEPAD",B321)),
ISNUMBER(SEARCH("SOPORTE",B321)),
ISNUMBER(SEARCH("STAND",B321)),
ISNUMBER(SEARCH("TRAVEL ADAPTER",B321)),
ISNUMBER(SEARCH("RJ45",B321)),
ISNUMBER(SEARCH("USB-C",B321)),
ISNUMBER(SEARCH("USB WIFI",B321)),
ISNUMBER(SEARCH("POWERBANK",B321)),
ISNUMBER(SEARCH("CARGADOR",B321)),
ISNUMBER(SEARCH("COOLER PARA NB",B321)),
ISNUMBER(SEARCH("SOPORTE PARA NB",B321)),
ISNUMBER(SEARCH("WEBCAM",B321)),
ISNUMBER(SEARCH("WEB CAM",B321)),
ISNUMBER(SEARCH("MOUSE",B321)),
ISNUMBER(SEARCH("TECLADO",B321))
),
"COMPLEMENTO",
IF(
OR(
LEFT(A321,2)="NB",
LEFT(A321,2)="PC",
LEFT(A321,2)="WS",
LEFT(A321,2)="TB",
LEFT(A321,3)="CEL",
LEFT(A321,3)="MON",
LEFT(A321,3)="PRE",
LEFT(A321,3)="PRH",
ISNUMBER(SEARCH("NOTEBOOK",B321)),
ISNUMBER(SEARCH("LAPTOP",B321)),
ISNUMBER(SEARCH("MONITOR",B321)),
ISNUMBER(SEARCH("TABLET",B321)),
ISNUMBER(SEARCH("SMARTPH",B321)),
ISNUMBER(SEARCH("IMPRESORA",B321)),
ISNUMBER(SEARCH("MULTIFUNCIONAL",B321)),
ISNUMBER(SEARCH("AIO",B321))
),
"GANCHO",
"NORMAL"
)
)</f>
        <v>NORMAL</v>
      </c>
    </row>
    <row r="320" spans="1:12" x14ac:dyDescent="0.25">
      <c r="A320" s="3" t="s">
        <v>5866</v>
      </c>
      <c r="B320" s="3" t="s">
        <v>5867</v>
      </c>
      <c r="C320" s="1">
        <v>7</v>
      </c>
      <c r="D320" s="1">
        <v>208.5</v>
      </c>
      <c r="E320" s="1" t="s">
        <v>185</v>
      </c>
      <c r="F320" s="1" t="s">
        <v>5868</v>
      </c>
      <c r="G320" s="3" t="s">
        <v>5869</v>
      </c>
      <c r="H320" s="11">
        <f>ROUND(
IF(L318="GANCHO",
   IF(I320&lt;=50,I320*1.1+4,IF(I320&lt;=120,I320*1.1+7,IF(I320&lt;=250,I320*1.1+11,I320*1.1+19))),
IF(L318="NORMAL",
   IF(I320&lt;=30,I320*1.15+2,IF(I320&lt;=80,I320*1.15+4,IF(I320&lt;=150,I320*1.15+6,I320*1.15+8))),
IF(L318="COMPLEMENTO",
   IF(I320&lt;=25,I320*1.25+1.5,IF(I320&lt;=60,I320*1.25+3,IF(I320&lt;=120,I320*1.25+4,I320*1.25+5))),
""))),2)</f>
        <v>992.61</v>
      </c>
      <c r="I320" s="9">
        <f>($K$2+0.02)*Tabla1[[#This Row],[PRECIO $]]*1.18</f>
        <v>856.18439999999998</v>
      </c>
      <c r="J320" s="7">
        <f>+Tabla1[[#This Row],[PRECIO EN SOLES]]-Tabla1[[#This Row],[PC]]</f>
        <v>136.42560000000003</v>
      </c>
      <c r="K320" s="15"/>
      <c r="L320" s="15" t="str">
        <f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21" spans="1:12" x14ac:dyDescent="0.25">
      <c r="A321" s="3" t="s">
        <v>5870</v>
      </c>
      <c r="B321" s="3" t="s">
        <v>5871</v>
      </c>
      <c r="C321" s="1">
        <v>0</v>
      </c>
      <c r="D321" s="1">
        <v>309.5</v>
      </c>
      <c r="E321" s="1" t="s">
        <v>185</v>
      </c>
      <c r="F321" s="1" t="s">
        <v>5872</v>
      </c>
      <c r="G321" s="3" t="s">
        <v>5873</v>
      </c>
      <c r="H321" s="11">
        <f>ROUND(
IF(L319="GANCHO",
   IF(I321&lt;=50,I321*1.1+4,IF(I321&lt;=120,I321*1.1+7,IF(I321&lt;=250,I321*1.1+11,I321*1.1+19))),
IF(L319="NORMAL",
   IF(I321&lt;=30,I321*1.15+2,IF(I321&lt;=80,I321*1.15+4,IF(I321&lt;=150,I321*1.15+6,I321*1.15+8))),
IF(L319="COMPLEMENTO",
   IF(I321&lt;=25,I321*1.25+1.5,IF(I321&lt;=60,I321*1.25+3,IF(I321&lt;=120,I321*1.25+4,I321*1.25+5))),
""))),2)</f>
        <v>1469.57</v>
      </c>
      <c r="I321" s="9">
        <f>($K$2+0.02)*Tabla1[[#This Row],[PRECIO $]]*1.18</f>
        <v>1270.9307999999999</v>
      </c>
      <c r="J321" s="7">
        <f>+Tabla1[[#This Row],[PRECIO EN SOLES]]-Tabla1[[#This Row],[PC]]</f>
        <v>198.63920000000007</v>
      </c>
      <c r="K321" s="15"/>
      <c r="L321" s="15" t="str">
        <f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2" spans="1:12" x14ac:dyDescent="0.25">
      <c r="A322" s="3" t="s">
        <v>5874</v>
      </c>
      <c r="B322" s="3" t="s">
        <v>5875</v>
      </c>
      <c r="C322" s="1">
        <v>3</v>
      </c>
      <c r="D322" s="1">
        <v>164.5</v>
      </c>
      <c r="E322" s="1" t="s">
        <v>185</v>
      </c>
      <c r="F322" s="1" t="s">
        <v>5876</v>
      </c>
      <c r="G322" s="3" t="s">
        <v>5877</v>
      </c>
      <c r="H322" s="11">
        <f>ROUND(
IF(L320="GANCHO",
   IF(I322&lt;=50,I322*1.1+4,IF(I322&lt;=120,I322*1.1+7,IF(I322&lt;=250,I322*1.1+11,I322*1.1+19))),
IF(L320="NORMAL",
   IF(I322&lt;=30,I322*1.15+2,IF(I322&lt;=80,I322*1.15+4,IF(I322&lt;=150,I322*1.15+6,I322*1.15+8))),
IF(L320="COMPLEMENTO",
   IF(I322&lt;=25,I322*1.25+1.5,IF(I322&lt;=60,I322*1.25+3,IF(I322&lt;=120,I322*1.25+4,I322*1.25+5))),
""))),2)</f>
        <v>784.83</v>
      </c>
      <c r="I322" s="9">
        <f>($K$2+0.02)*Tabla1[[#This Row],[PRECIO $]]*1.18</f>
        <v>675.50279999999998</v>
      </c>
      <c r="J322" s="7">
        <f>+Tabla1[[#This Row],[PRECIO EN SOLES]]-Tabla1[[#This Row],[PC]]</f>
        <v>109.32720000000006</v>
      </c>
      <c r="K322" s="15"/>
      <c r="L322" s="15" t="str">
        <f>IF(
OR(
ISNUMBER(SEARCH("BACKPACK",B324)),
ISNUMBER(SEARCH("MOCHILA",B324)),
ISNUMBER(SEARCH("FUNDA",B324)),
ISNUMBER(SEARCH("ESTUCHE",B324)),
ISNUMBER(SEARCH("BOOK COVER",B324)),
ISNUMBER(SEARCH("KEYBOARD PARA TABLET",B324)),
ISNUMBER(SEARCH("FLIP TABLET",B324)),
ISNUMBER(SEARCH("CASE FOR TABLET",B324)),
ISNUMBER(SEARCH("CABLE",B324)),
ISNUMBER(SEARCH("ADAPTADOR",B324)),
ISNUMBER(SEARCH("HUB",B324)),
ISNUMBER(SEARCH("DOCK",B324)),
ISNUMBER(SEARCH("MOUSE PAD",B324)),
ISNUMBER(SEARCH("MOUSEPAD",B324)),
ISNUMBER(SEARCH("SOPORTE",B324)),
ISNUMBER(SEARCH("STAND",B324)),
ISNUMBER(SEARCH("TRAVEL ADAPTER",B324)),
ISNUMBER(SEARCH("RJ45",B324)),
ISNUMBER(SEARCH("USB-C",B324)),
ISNUMBER(SEARCH("USB WIFI",B324)),
ISNUMBER(SEARCH("POWERBANK",B324)),
ISNUMBER(SEARCH("CARGADOR",B324)),
ISNUMBER(SEARCH("COOLER PARA NB",B324)),
ISNUMBER(SEARCH("SOPORTE PARA NB",B324)),
ISNUMBER(SEARCH("WEBCAM",B324)),
ISNUMBER(SEARCH("WEB CAM",B324)),
ISNUMBER(SEARCH("MOUSE",B324)),
ISNUMBER(SEARCH("TECLADO",B324))
),
"COMPLEMENTO",
IF(
OR(
LEFT(A324,2)="NB",
LEFT(A324,2)="PC",
LEFT(A324,2)="WS",
LEFT(A324,2)="TB",
LEFT(A324,3)="CEL",
LEFT(A324,3)="MON",
LEFT(A324,3)="PRE",
LEFT(A324,3)="PRH",
ISNUMBER(SEARCH("NOTEBOOK",B324)),
ISNUMBER(SEARCH("LAPTOP",B324)),
ISNUMBER(SEARCH("MONITOR",B324)),
ISNUMBER(SEARCH("TABLET",B324)),
ISNUMBER(SEARCH("SMARTPH",B324)),
ISNUMBER(SEARCH("IMPRESORA",B324)),
ISNUMBER(SEARCH("MULTIFUNCIONAL",B324)),
ISNUMBER(SEARCH("AIO",B324))
),
"GANCHO",
"NORMAL"
)
)</f>
        <v>NORMAL</v>
      </c>
    </row>
    <row r="323" spans="1:12" x14ac:dyDescent="0.25">
      <c r="A323" s="3" t="s">
        <v>4280</v>
      </c>
      <c r="B323" s="3" t="s">
        <v>4281</v>
      </c>
      <c r="C323" s="1">
        <v>9</v>
      </c>
      <c r="D323" s="1">
        <v>299.5</v>
      </c>
      <c r="E323" s="1" t="s">
        <v>186</v>
      </c>
      <c r="F323" s="1" t="s">
        <v>4282</v>
      </c>
      <c r="G323" s="3" t="s">
        <v>4283</v>
      </c>
      <c r="H323" s="11">
        <f>ROUND(
IF(L321="GANCHO",
   IF(I323&lt;=50,I323*1.1+4,IF(I323&lt;=120,I323*1.1+7,IF(I323&lt;=250,I323*1.1+11,I323*1.1+19))),
IF(L321="NORMAL",
   IF(I323&lt;=30,I323*1.15+2,IF(I323&lt;=80,I323*1.15+4,IF(I323&lt;=150,I323*1.15+6,I323*1.15+8))),
IF(L321="COMPLEMENTO",
   IF(I323&lt;=25,I323*1.25+1.5,IF(I323&lt;=60,I323*1.25+3,IF(I323&lt;=120,I323*1.25+4,I323*1.25+5))),
""))),2)</f>
        <v>1422.35</v>
      </c>
      <c r="I323" s="9">
        <f>($K$2+0.02)*Tabla1[[#This Row],[PRECIO $]]*1.18</f>
        <v>1229.8668</v>
      </c>
      <c r="J323" s="7">
        <f>+Tabla1[[#This Row],[PRECIO EN SOLES]]-Tabla1[[#This Row],[PC]]</f>
        <v>192.4831999999999</v>
      </c>
      <c r="K323" s="15"/>
      <c r="L323" s="15" t="str">
        <f>IF(
OR(
ISNUMBER(SEARCH("BACKPACK",B325)),
ISNUMBER(SEARCH("MOCHILA",B325)),
ISNUMBER(SEARCH("FUNDA",B325)),
ISNUMBER(SEARCH("ESTUCHE",B325)),
ISNUMBER(SEARCH("BOOK COVER",B325)),
ISNUMBER(SEARCH("KEYBOARD PARA TABLET",B325)),
ISNUMBER(SEARCH("FLIP TABLET",B325)),
ISNUMBER(SEARCH("CASE FOR TABLET",B325)),
ISNUMBER(SEARCH("CABLE",B325)),
ISNUMBER(SEARCH("ADAPTADOR",B325)),
ISNUMBER(SEARCH("HUB",B325)),
ISNUMBER(SEARCH("DOCK",B325)),
ISNUMBER(SEARCH("MOUSE PAD",B325)),
ISNUMBER(SEARCH("MOUSEPAD",B325)),
ISNUMBER(SEARCH("SOPORTE",B325)),
ISNUMBER(SEARCH("STAND",B325)),
ISNUMBER(SEARCH("TRAVEL ADAPTER",B325)),
ISNUMBER(SEARCH("RJ45",B325)),
ISNUMBER(SEARCH("USB-C",B325)),
ISNUMBER(SEARCH("USB WIFI",B325)),
ISNUMBER(SEARCH("POWERBANK",B325)),
ISNUMBER(SEARCH("CARGADOR",B325)),
ISNUMBER(SEARCH("COOLER PARA NB",B325)),
ISNUMBER(SEARCH("SOPORTE PARA NB",B325)),
ISNUMBER(SEARCH("WEBCAM",B325)),
ISNUMBER(SEARCH("WEB CAM",B325)),
ISNUMBER(SEARCH("MOUSE",B325)),
ISNUMBER(SEARCH("TECLADO",B325))
),
"COMPLEMENTO",
IF(
OR(
LEFT(A325,2)="NB",
LEFT(A325,2)="PC",
LEFT(A325,2)="WS",
LEFT(A325,2)="TB",
LEFT(A325,3)="CEL",
LEFT(A325,3)="MON",
LEFT(A325,3)="PRE",
LEFT(A325,3)="PRH",
ISNUMBER(SEARCH("NOTEBOOK",B325)),
ISNUMBER(SEARCH("LAPTOP",B325)),
ISNUMBER(SEARCH("MONITOR",B325)),
ISNUMBER(SEARCH("TABLET",B325)),
ISNUMBER(SEARCH("SMARTPH",B325)),
ISNUMBER(SEARCH("IMPRESORA",B325)),
ISNUMBER(SEARCH("MULTIFUNCIONAL",B325)),
ISNUMBER(SEARCH("AIO",B325))
),
"GANCHO",
"NORMAL"
)
)</f>
        <v>NORMAL</v>
      </c>
    </row>
    <row r="324" spans="1:12" x14ac:dyDescent="0.25">
      <c r="A324" s="3" t="s">
        <v>1043</v>
      </c>
      <c r="B324" s="3" t="s">
        <v>1044</v>
      </c>
      <c r="C324" s="1">
        <v>9</v>
      </c>
      <c r="D324" s="1">
        <v>305.3</v>
      </c>
      <c r="E324" s="1" t="s">
        <v>186</v>
      </c>
      <c r="F324" s="1" t="s">
        <v>3218</v>
      </c>
      <c r="G324" s="3" t="s">
        <v>1045</v>
      </c>
      <c r="H324" s="11">
        <f>ROUND(
IF(L322="GANCHO",
   IF(I324&lt;=50,I324*1.1+4,IF(I324&lt;=120,I324*1.1+7,IF(I324&lt;=250,I324*1.1+11,I324*1.1+19))),
IF(L322="NORMAL",
   IF(I324&lt;=30,I324*1.15+2,IF(I324&lt;=80,I324*1.15+4,IF(I324&lt;=150,I324*1.15+6,I324*1.15+8))),
IF(L322="COMPLEMENTO",
   IF(I324&lt;=25,I324*1.25+1.5,IF(I324&lt;=60,I324*1.25+3,IF(I324&lt;=120,I324*1.25+4,I324*1.25+5))),
""))),2)</f>
        <v>1449.74</v>
      </c>
      <c r="I324" s="9">
        <f>($K$2+0.02)*Tabla1[[#This Row],[PRECIO $]]*1.18</f>
        <v>1253.6839199999999</v>
      </c>
      <c r="J324" s="7">
        <f>+Tabla1[[#This Row],[PRECIO EN SOLES]]-Tabla1[[#This Row],[PC]]</f>
        <v>196.05608000000007</v>
      </c>
      <c r="K324" s="15"/>
      <c r="L324" s="15" t="str">
        <f>IF(
OR(
ISNUMBER(SEARCH("BACKPACK",B326)),
ISNUMBER(SEARCH("MOCHILA",B326)),
ISNUMBER(SEARCH("FUNDA",B326)),
ISNUMBER(SEARCH("ESTUCHE",B326)),
ISNUMBER(SEARCH("BOOK COVER",B326)),
ISNUMBER(SEARCH("KEYBOARD PARA TABLET",B326)),
ISNUMBER(SEARCH("FLIP TABLET",B326)),
ISNUMBER(SEARCH("CASE FOR TABLET",B326)),
ISNUMBER(SEARCH("CABLE",B326)),
ISNUMBER(SEARCH("ADAPTADOR",B326)),
ISNUMBER(SEARCH("HUB",B326)),
ISNUMBER(SEARCH("DOCK",B326)),
ISNUMBER(SEARCH("MOUSE PAD",B326)),
ISNUMBER(SEARCH("MOUSEPAD",B326)),
ISNUMBER(SEARCH("SOPORTE",B326)),
ISNUMBER(SEARCH("STAND",B326)),
ISNUMBER(SEARCH("TRAVEL ADAPTER",B326)),
ISNUMBER(SEARCH("RJ45",B326)),
ISNUMBER(SEARCH("USB-C",B326)),
ISNUMBER(SEARCH("USB WIFI",B326)),
ISNUMBER(SEARCH("POWERBANK",B326)),
ISNUMBER(SEARCH("CARGADOR",B326)),
ISNUMBER(SEARCH("COOLER PARA NB",B326)),
ISNUMBER(SEARCH("SOPORTE PARA NB",B326)),
ISNUMBER(SEARCH("WEBCAM",B326)),
ISNUMBER(SEARCH("WEB CAM",B326)),
ISNUMBER(SEARCH("MOUSE",B326)),
ISNUMBER(SEARCH("TECLADO",B326))
),
"COMPLEMENTO",
IF(
OR(
LEFT(A326,2)="NB",
LEFT(A326,2)="PC",
LEFT(A326,2)="WS",
LEFT(A326,2)="TB",
LEFT(A326,3)="CEL",
LEFT(A326,3)="MON",
LEFT(A326,3)="PRE",
LEFT(A326,3)="PRH",
ISNUMBER(SEARCH("NOTEBOOK",B326)),
ISNUMBER(SEARCH("LAPTOP",B326)),
ISNUMBER(SEARCH("MONITOR",B326)),
ISNUMBER(SEARCH("TABLET",B326)),
ISNUMBER(SEARCH("SMARTPH",B326)),
ISNUMBER(SEARCH("IMPRESORA",B326)),
ISNUMBER(SEARCH("MULTIFUNCIONAL",B326)),
ISNUMBER(SEARCH("AIO",B326))
),
"GANCHO",
"NORMAL"
)
)</f>
        <v>NORMAL</v>
      </c>
    </row>
    <row r="325" spans="1:12" x14ac:dyDescent="0.25">
      <c r="A325" s="3" t="s">
        <v>6279</v>
      </c>
      <c r="B325" s="3" t="s">
        <v>6280</v>
      </c>
      <c r="C325" s="1">
        <v>0</v>
      </c>
      <c r="D325" s="1">
        <v>370.5</v>
      </c>
      <c r="E325" s="1" t="s">
        <v>186</v>
      </c>
      <c r="F325" s="1" t="s">
        <v>6281</v>
      </c>
      <c r="G325" s="3" t="s">
        <v>6282</v>
      </c>
      <c r="H325" s="11">
        <f>ROUND(
IF(L323="GANCHO",
   IF(I325&lt;=50,I325*1.1+4,IF(I325&lt;=120,I325*1.1+7,IF(I325&lt;=250,I325*1.1+11,I325*1.1+19))),
IF(L323="NORMAL",
   IF(I325&lt;=30,I325*1.15+2,IF(I325&lt;=80,I325*1.15+4,IF(I325&lt;=150,I325*1.15+6,I325*1.15+8))),
IF(L323="COMPLEMENTO",
   IF(I325&lt;=25,I325*1.25+1.5,IF(I325&lt;=60,I325*1.25+3,IF(I325&lt;=120,I325*1.25+4,I325*1.25+5))),
""))),2)</f>
        <v>1757.63</v>
      </c>
      <c r="I325" s="9">
        <f>($K$2+0.02)*Tabla1[[#This Row],[PRECIO $]]*1.18</f>
        <v>1521.4211999999998</v>
      </c>
      <c r="J325" s="7">
        <f>+Tabla1[[#This Row],[PRECIO EN SOLES]]-Tabla1[[#This Row],[PC]]</f>
        <v>236.20880000000034</v>
      </c>
      <c r="K325" s="15"/>
      <c r="L325" s="15" t="str">
        <f>IF(
OR(
ISNUMBER(SEARCH("BACKPACK",B327)),
ISNUMBER(SEARCH("MOCHILA",B327)),
ISNUMBER(SEARCH("FUNDA",B327)),
ISNUMBER(SEARCH("ESTUCHE",B327)),
ISNUMBER(SEARCH("BOOK COVER",B327)),
ISNUMBER(SEARCH("KEYBOARD PARA TABLET",B327)),
ISNUMBER(SEARCH("FLIP TABLET",B327)),
ISNUMBER(SEARCH("CASE FOR TABLET",B327)),
ISNUMBER(SEARCH("CABLE",B327)),
ISNUMBER(SEARCH("ADAPTADOR",B327)),
ISNUMBER(SEARCH("HUB",B327)),
ISNUMBER(SEARCH("DOCK",B327)),
ISNUMBER(SEARCH("MOUSE PAD",B327)),
ISNUMBER(SEARCH("MOUSEPAD",B327)),
ISNUMBER(SEARCH("SOPORTE",B327)),
ISNUMBER(SEARCH("STAND",B327)),
ISNUMBER(SEARCH("TRAVEL ADAPTER",B327)),
ISNUMBER(SEARCH("RJ45",B327)),
ISNUMBER(SEARCH("USB-C",B327)),
ISNUMBER(SEARCH("USB WIFI",B327)),
ISNUMBER(SEARCH("POWERBANK",B327)),
ISNUMBER(SEARCH("CARGADOR",B327)),
ISNUMBER(SEARCH("COOLER PARA NB",B327)),
ISNUMBER(SEARCH("SOPORTE PARA NB",B327)),
ISNUMBER(SEARCH("WEBCAM",B327)),
ISNUMBER(SEARCH("WEB CAM",B327)),
ISNUMBER(SEARCH("MOUSE",B327)),
ISNUMBER(SEARCH("TECLADO",B327))
),
"COMPLEMENTO",
IF(
OR(
LEFT(A327,2)="NB",
LEFT(A327,2)="PC",
LEFT(A327,2)="WS",
LEFT(A327,2)="TB",
LEFT(A327,3)="CEL",
LEFT(A327,3)="MON",
LEFT(A327,3)="PRE",
LEFT(A327,3)="PRH",
ISNUMBER(SEARCH("NOTEBOOK",B327)),
ISNUMBER(SEARCH("LAPTOP",B327)),
ISNUMBER(SEARCH("MONITOR",B327)),
ISNUMBER(SEARCH("TABLET",B327)),
ISNUMBER(SEARCH("SMARTPH",B327)),
ISNUMBER(SEARCH("IMPRESORA",B327)),
ISNUMBER(SEARCH("MULTIFUNCIONAL",B327)),
ISNUMBER(SEARCH("AIO",B327))
),
"GANCHO",
"NORMAL"
)
)</f>
        <v>NORMAL</v>
      </c>
    </row>
    <row r="326" spans="1:12" x14ac:dyDescent="0.25">
      <c r="A326" s="3" t="s">
        <v>6679</v>
      </c>
      <c r="B326" s="3" t="s">
        <v>6680</v>
      </c>
      <c r="C326" s="1">
        <v>20</v>
      </c>
      <c r="D326" s="1">
        <v>278.3</v>
      </c>
      <c r="E326" s="1" t="s">
        <v>187</v>
      </c>
      <c r="F326" s="1" t="s">
        <v>6681</v>
      </c>
      <c r="G326" s="3" t="s">
        <v>6682</v>
      </c>
      <c r="H326" s="11">
        <f>ROUND(
IF(L324="GANCHO",
   IF(I326&lt;=50,I326*1.1+4,IF(I326&lt;=120,I326*1.1+7,IF(I326&lt;=250,I326*1.1+11,I326*1.1+19))),
IF(L324="NORMAL",
   IF(I326&lt;=30,I326*1.15+2,IF(I326&lt;=80,I326*1.15+4,IF(I326&lt;=150,I326*1.15+6,I326*1.15+8))),
IF(L324="COMPLEMENTO",
   IF(I326&lt;=25,I326*1.25+1.5,IF(I326&lt;=60,I326*1.25+3,IF(I326&lt;=120,I326*1.25+4,I326*1.25+5))),
""))),2)</f>
        <v>1322.23</v>
      </c>
      <c r="I326" s="9">
        <f>($K$2+0.02)*Tabla1[[#This Row],[PRECIO $]]*1.18</f>
        <v>1142.8111200000001</v>
      </c>
      <c r="J326" s="7">
        <f>+Tabla1[[#This Row],[PRECIO EN SOLES]]-Tabla1[[#This Row],[PC]]</f>
        <v>179.41887999999994</v>
      </c>
      <c r="K326" s="15"/>
      <c r="L326" s="15" t="str">
        <f>IF(
OR(
ISNUMBER(SEARCH("BACKPACK",B328)),
ISNUMBER(SEARCH("MOCHILA",B328)),
ISNUMBER(SEARCH("FUNDA",B328)),
ISNUMBER(SEARCH("ESTUCHE",B328)),
ISNUMBER(SEARCH("BOOK COVER",B328)),
ISNUMBER(SEARCH("KEYBOARD PARA TABLET",B328)),
ISNUMBER(SEARCH("FLIP TABLET",B328)),
ISNUMBER(SEARCH("CASE FOR TABLET",B328)),
ISNUMBER(SEARCH("CABLE",B328)),
ISNUMBER(SEARCH("ADAPTADOR",B328)),
ISNUMBER(SEARCH("HUB",B328)),
ISNUMBER(SEARCH("DOCK",B328)),
ISNUMBER(SEARCH("MOUSE PAD",B328)),
ISNUMBER(SEARCH("MOUSEPAD",B328)),
ISNUMBER(SEARCH("SOPORTE",B328)),
ISNUMBER(SEARCH("STAND",B328)),
ISNUMBER(SEARCH("TRAVEL ADAPTER",B328)),
ISNUMBER(SEARCH("RJ45",B328)),
ISNUMBER(SEARCH("USB-C",B328)),
ISNUMBER(SEARCH("USB WIFI",B328)),
ISNUMBER(SEARCH("POWERBANK",B328)),
ISNUMBER(SEARCH("CARGADOR",B328)),
ISNUMBER(SEARCH("COOLER PARA NB",B328)),
ISNUMBER(SEARCH("SOPORTE PARA NB",B328)),
ISNUMBER(SEARCH("WEBCAM",B328)),
ISNUMBER(SEARCH("WEB CAM",B328)),
ISNUMBER(SEARCH("MOUSE",B328)),
ISNUMBER(SEARCH("TECLADO",B328))
),
"COMPLEMENTO",
IF(
OR(
LEFT(A328,2)="NB",
LEFT(A328,2)="PC",
LEFT(A328,2)="WS",
LEFT(A328,2)="TB",
LEFT(A328,3)="CEL",
LEFT(A328,3)="MON",
LEFT(A328,3)="PRE",
LEFT(A328,3)="PRH",
ISNUMBER(SEARCH("NOTEBOOK",B328)),
ISNUMBER(SEARCH("LAPTOP",B328)),
ISNUMBER(SEARCH("MONITOR",B328)),
ISNUMBER(SEARCH("TABLET",B328)),
ISNUMBER(SEARCH("SMARTPH",B328)),
ISNUMBER(SEARCH("IMPRESORA",B328)),
ISNUMBER(SEARCH("MULTIFUNCIONAL",B328)),
ISNUMBER(SEARCH("AIO",B328))
),
"GANCHO",
"NORMAL"
)
)</f>
        <v>NORMAL</v>
      </c>
    </row>
    <row r="327" spans="1:12" x14ac:dyDescent="0.25">
      <c r="A327" s="3" t="s">
        <v>6683</v>
      </c>
      <c r="B327" s="3" t="s">
        <v>6684</v>
      </c>
      <c r="C327" s="1">
        <v>0</v>
      </c>
      <c r="D327" s="1">
        <v>316.5</v>
      </c>
      <c r="E327" s="1" t="s">
        <v>187</v>
      </c>
      <c r="F327" s="1" t="s">
        <v>6685</v>
      </c>
      <c r="G327" s="3" t="s">
        <v>6686</v>
      </c>
      <c r="H327" s="11">
        <f>ROUND(
IF(L325="GANCHO",
   IF(I327&lt;=50,I327*1.1+4,IF(I327&lt;=120,I327*1.1+7,IF(I327&lt;=250,I327*1.1+11,I327*1.1+19))),
IF(L325="NORMAL",
   IF(I327&lt;=30,I327*1.15+2,IF(I327&lt;=80,I327*1.15+4,IF(I327&lt;=150,I327*1.15+6,I327*1.15+8))),
IF(L325="COMPLEMENTO",
   IF(I327&lt;=25,I327*1.25+1.5,IF(I327&lt;=60,I327*1.25+3,IF(I327&lt;=120,I327*1.25+4,I327*1.25+5))),
""))),2)</f>
        <v>1502.63</v>
      </c>
      <c r="I327" s="9">
        <f>($K$2+0.02)*Tabla1[[#This Row],[PRECIO $]]*1.18</f>
        <v>1299.6756</v>
      </c>
      <c r="J327" s="7">
        <f>+Tabla1[[#This Row],[PRECIO EN SOLES]]-Tabla1[[#This Row],[PC]]</f>
        <v>202.95440000000008</v>
      </c>
      <c r="K327" s="15"/>
      <c r="L327" s="15" t="str">
        <f>IF(
OR(
ISNUMBER(SEARCH("BACKPACK",B329)),
ISNUMBER(SEARCH("MOCHILA",B329)),
ISNUMBER(SEARCH("FUNDA",B329)),
ISNUMBER(SEARCH("ESTUCHE",B329)),
ISNUMBER(SEARCH("BOOK COVER",B329)),
ISNUMBER(SEARCH("KEYBOARD PARA TABLET",B329)),
ISNUMBER(SEARCH("FLIP TABLET",B329)),
ISNUMBER(SEARCH("CASE FOR TABLET",B329)),
ISNUMBER(SEARCH("CABLE",B329)),
ISNUMBER(SEARCH("ADAPTADOR",B329)),
ISNUMBER(SEARCH("HUB",B329)),
ISNUMBER(SEARCH("DOCK",B329)),
ISNUMBER(SEARCH("MOUSE PAD",B329)),
ISNUMBER(SEARCH("MOUSEPAD",B329)),
ISNUMBER(SEARCH("SOPORTE",B329)),
ISNUMBER(SEARCH("STAND",B329)),
ISNUMBER(SEARCH("TRAVEL ADAPTER",B329)),
ISNUMBER(SEARCH("RJ45",B329)),
ISNUMBER(SEARCH("USB-C",B329)),
ISNUMBER(SEARCH("USB WIFI",B329)),
ISNUMBER(SEARCH("POWERBANK",B329)),
ISNUMBER(SEARCH("CARGADOR",B329)),
ISNUMBER(SEARCH("COOLER PARA NB",B329)),
ISNUMBER(SEARCH("SOPORTE PARA NB",B329)),
ISNUMBER(SEARCH("WEBCAM",B329)),
ISNUMBER(SEARCH("WEB CAM",B329)),
ISNUMBER(SEARCH("MOUSE",B329)),
ISNUMBER(SEARCH("TECLADO",B329))
),
"COMPLEMENTO",
IF(
OR(
LEFT(A329,2)="NB",
LEFT(A329,2)="PC",
LEFT(A329,2)="WS",
LEFT(A329,2)="TB",
LEFT(A329,3)="CEL",
LEFT(A329,3)="MON",
LEFT(A329,3)="PRE",
LEFT(A329,3)="PRH",
ISNUMBER(SEARCH("NOTEBOOK",B329)),
ISNUMBER(SEARCH("LAPTOP",B329)),
ISNUMBER(SEARCH("MONITOR",B329)),
ISNUMBER(SEARCH("TABLET",B329)),
ISNUMBER(SEARCH("SMARTPH",B329)),
ISNUMBER(SEARCH("IMPRESORA",B329)),
ISNUMBER(SEARCH("MULTIFUNCIONAL",B329)),
ISNUMBER(SEARCH("AIO",B329))
),
"GANCHO",
"NORMAL"
)
)</f>
        <v>NORMAL</v>
      </c>
    </row>
    <row r="328" spans="1:12" x14ac:dyDescent="0.25">
      <c r="A328" s="3" t="s">
        <v>5878</v>
      </c>
      <c r="B328" s="3" t="s">
        <v>5879</v>
      </c>
      <c r="C328" s="1">
        <v>0</v>
      </c>
      <c r="D328" s="1">
        <v>78.2</v>
      </c>
      <c r="E328" s="1" t="s">
        <v>187</v>
      </c>
      <c r="F328" s="1" t="s">
        <v>5880</v>
      </c>
      <c r="G328" s="3" t="s">
        <v>5881</v>
      </c>
      <c r="H328" s="11">
        <f>ROUND(
IF(L326="GANCHO",
   IF(I328&lt;=50,I328*1.1+4,IF(I328&lt;=120,I328*1.1+7,IF(I328&lt;=250,I328*1.1+11,I328*1.1+19))),
IF(L326="NORMAL",
   IF(I328&lt;=30,I328*1.15+2,IF(I328&lt;=80,I328*1.15+4,IF(I328&lt;=150,I328*1.15+6,I328*1.15+8))),
IF(L326="COMPLEMENTO",
   IF(I328&lt;=25,I328*1.25+1.5,IF(I328&lt;=60,I328*1.25+3,IF(I328&lt;=120,I328*1.25+4,I328*1.25+5))),
""))),2)</f>
        <v>377.29</v>
      </c>
      <c r="I328" s="9">
        <f>($K$2+0.02)*Tabla1[[#This Row],[PRECIO $]]*1.18</f>
        <v>321.12047999999999</v>
      </c>
      <c r="J328" s="7">
        <f>+Tabla1[[#This Row],[PRECIO EN SOLES]]-Tabla1[[#This Row],[PC]]</f>
        <v>56.169520000000034</v>
      </c>
      <c r="K328" s="15"/>
      <c r="L328" s="15" t="str">
        <f>IF(
OR(
ISNUMBER(SEARCH("BACKPACK",B330)),
ISNUMBER(SEARCH("MOCHILA",B330)),
ISNUMBER(SEARCH("FUNDA",B330)),
ISNUMBER(SEARCH("ESTUCHE",B330)),
ISNUMBER(SEARCH("BOOK COVER",B330)),
ISNUMBER(SEARCH("KEYBOARD PARA TABLET",B330)),
ISNUMBER(SEARCH("FLIP TABLET",B330)),
ISNUMBER(SEARCH("CASE FOR TABLET",B330)),
ISNUMBER(SEARCH("CABLE",B330)),
ISNUMBER(SEARCH("ADAPTADOR",B330)),
ISNUMBER(SEARCH("HUB",B330)),
ISNUMBER(SEARCH("DOCK",B330)),
ISNUMBER(SEARCH("MOUSE PAD",B330)),
ISNUMBER(SEARCH("MOUSEPAD",B330)),
ISNUMBER(SEARCH("SOPORTE",B330)),
ISNUMBER(SEARCH("STAND",B330)),
ISNUMBER(SEARCH("TRAVEL ADAPTER",B330)),
ISNUMBER(SEARCH("RJ45",B330)),
ISNUMBER(SEARCH("USB-C",B330)),
ISNUMBER(SEARCH("USB WIFI",B330)),
ISNUMBER(SEARCH("POWERBANK",B330)),
ISNUMBER(SEARCH("CARGADOR",B330)),
ISNUMBER(SEARCH("COOLER PARA NB",B330)),
ISNUMBER(SEARCH("SOPORTE PARA NB",B330)),
ISNUMBER(SEARCH("WEBCAM",B330)),
ISNUMBER(SEARCH("WEB CAM",B330)),
ISNUMBER(SEARCH("MOUSE",B330)),
ISNUMBER(SEARCH("TECLADO",B330))
),
"COMPLEMENTO",
IF(
OR(
LEFT(A330,2)="NB",
LEFT(A330,2)="PC",
LEFT(A330,2)="WS",
LEFT(A330,2)="TB",
LEFT(A330,3)="CEL",
LEFT(A330,3)="MON",
LEFT(A330,3)="PRE",
LEFT(A330,3)="PRH",
ISNUMBER(SEARCH("NOTEBOOK",B330)),
ISNUMBER(SEARCH("LAPTOP",B330)),
ISNUMBER(SEARCH("MONITOR",B330)),
ISNUMBER(SEARCH("TABLET",B330)),
ISNUMBER(SEARCH("SMARTPH",B330)),
ISNUMBER(SEARCH("IMPRESORA",B330)),
ISNUMBER(SEARCH("MULTIFUNCIONAL",B330)),
ISNUMBER(SEARCH("AIO",B330))
),
"GANCHO",
"NORMAL"
)
)</f>
        <v>NORMAL</v>
      </c>
    </row>
    <row r="329" spans="1:12" x14ac:dyDescent="0.25">
      <c r="A329" s="3" t="s">
        <v>5882</v>
      </c>
      <c r="B329" s="3" t="s">
        <v>5883</v>
      </c>
      <c r="C329" s="1">
        <v>20</v>
      </c>
      <c r="D329" s="1">
        <v>294.3</v>
      </c>
      <c r="E329" s="1" t="s">
        <v>187</v>
      </c>
      <c r="F329" s="1" t="s">
        <v>5884</v>
      </c>
      <c r="G329" s="3" t="s">
        <v>5885</v>
      </c>
      <c r="H329" s="11">
        <f>ROUND(
IF(L327="GANCHO",
   IF(I329&lt;=50,I329*1.1+4,IF(I329&lt;=120,I329*1.1+7,IF(I329&lt;=250,I329*1.1+11,I329*1.1+19))),
IF(L327="NORMAL",
   IF(I329&lt;=30,I329*1.15+2,IF(I329&lt;=80,I329*1.15+4,IF(I329&lt;=150,I329*1.15+6,I329*1.15+8))),
IF(L327="COMPLEMENTO",
   IF(I329&lt;=25,I329*1.25+1.5,IF(I329&lt;=60,I329*1.25+3,IF(I329&lt;=120,I329*1.25+4,I329*1.25+5))),
""))),2)</f>
        <v>1397.79</v>
      </c>
      <c r="I329" s="9">
        <f>($K$2+0.02)*Tabla1[[#This Row],[PRECIO $]]*1.18</f>
        <v>1208.51352</v>
      </c>
      <c r="J329" s="7">
        <f>+Tabla1[[#This Row],[PRECIO EN SOLES]]-Tabla1[[#This Row],[PC]]</f>
        <v>189.27647999999999</v>
      </c>
      <c r="K329" s="15"/>
      <c r="L329" s="15" t="str">
        <f>IF(
OR(
ISNUMBER(SEARCH("BACKPACK",B331)),
ISNUMBER(SEARCH("MOCHILA",B331)),
ISNUMBER(SEARCH("FUNDA",B331)),
ISNUMBER(SEARCH("ESTUCHE",B331)),
ISNUMBER(SEARCH("BOOK COVER",B331)),
ISNUMBER(SEARCH("KEYBOARD PARA TABLET",B331)),
ISNUMBER(SEARCH("FLIP TABLET",B331)),
ISNUMBER(SEARCH("CASE FOR TABLET",B331)),
ISNUMBER(SEARCH("CABLE",B331)),
ISNUMBER(SEARCH("ADAPTADOR",B331)),
ISNUMBER(SEARCH("HUB",B331)),
ISNUMBER(SEARCH("DOCK",B331)),
ISNUMBER(SEARCH("MOUSE PAD",B331)),
ISNUMBER(SEARCH("MOUSEPAD",B331)),
ISNUMBER(SEARCH("SOPORTE",B331)),
ISNUMBER(SEARCH("STAND",B331)),
ISNUMBER(SEARCH("TRAVEL ADAPTER",B331)),
ISNUMBER(SEARCH("RJ45",B331)),
ISNUMBER(SEARCH("USB-C",B331)),
ISNUMBER(SEARCH("USB WIFI",B331)),
ISNUMBER(SEARCH("POWERBANK",B331)),
ISNUMBER(SEARCH("CARGADOR",B331)),
ISNUMBER(SEARCH("COOLER PARA NB",B331)),
ISNUMBER(SEARCH("SOPORTE PARA NB",B331)),
ISNUMBER(SEARCH("WEBCAM",B331)),
ISNUMBER(SEARCH("WEB CAM",B331)),
ISNUMBER(SEARCH("MOUSE",B331)),
ISNUMBER(SEARCH("TECLADO",B331))
),
"COMPLEMENTO",
IF(
OR(
LEFT(A331,2)="NB",
LEFT(A331,2)="PC",
LEFT(A331,2)="WS",
LEFT(A331,2)="TB",
LEFT(A331,3)="CEL",
LEFT(A331,3)="MON",
LEFT(A331,3)="PRE",
LEFT(A331,3)="PRH",
ISNUMBER(SEARCH("NOTEBOOK",B331)),
ISNUMBER(SEARCH("LAPTOP",B331)),
ISNUMBER(SEARCH("MONITOR",B331)),
ISNUMBER(SEARCH("TABLET",B331)),
ISNUMBER(SEARCH("SMARTPH",B331)),
ISNUMBER(SEARCH("IMPRESORA",B331)),
ISNUMBER(SEARCH("MULTIFUNCIONAL",B331)),
ISNUMBER(SEARCH("AIO",B331))
),
"GANCHO",
"NORMAL"
)
)</f>
        <v>NORMAL</v>
      </c>
    </row>
    <row r="330" spans="1:12" x14ac:dyDescent="0.25">
      <c r="A330" s="3" t="s">
        <v>6456</v>
      </c>
      <c r="B330" s="3" t="s">
        <v>6457</v>
      </c>
      <c r="C330" s="1">
        <v>20</v>
      </c>
      <c r="D330" s="1">
        <v>326.5</v>
      </c>
      <c r="E330" s="1" t="s">
        <v>187</v>
      </c>
      <c r="F330" s="1" t="s">
        <v>6458</v>
      </c>
      <c r="G330" s="3" t="s">
        <v>6459</v>
      </c>
      <c r="H330" s="11">
        <f>ROUND(
IF(L328="GANCHO",
   IF(I330&lt;=50,I330*1.1+4,IF(I330&lt;=120,I330*1.1+7,IF(I330&lt;=250,I330*1.1+11,I330*1.1+19))),
IF(L328="NORMAL",
   IF(I330&lt;=30,I330*1.15+2,IF(I330&lt;=80,I330*1.15+4,IF(I330&lt;=150,I330*1.15+6,I330*1.15+8))),
IF(L328="COMPLEMENTO",
   IF(I330&lt;=25,I330*1.25+1.5,IF(I330&lt;=60,I330*1.25+3,IF(I330&lt;=120,I330*1.25+4,I330*1.25+5))),
""))),2)</f>
        <v>1549.85</v>
      </c>
      <c r="I330" s="9">
        <f>($K$2+0.02)*Tabla1[[#This Row],[PRECIO $]]*1.18</f>
        <v>1340.7395999999999</v>
      </c>
      <c r="J330" s="7">
        <f>+Tabla1[[#This Row],[PRECIO EN SOLES]]-Tabla1[[#This Row],[PC]]</f>
        <v>209.11040000000003</v>
      </c>
      <c r="K330" s="15"/>
      <c r="L330" s="15" t="str">
        <f>IF(
OR(
ISNUMBER(SEARCH("BACKPACK",B332)),
ISNUMBER(SEARCH("MOCHILA",B332)),
ISNUMBER(SEARCH("FUNDA",B332)),
ISNUMBER(SEARCH("ESTUCHE",B332)),
ISNUMBER(SEARCH("BOOK COVER",B332)),
ISNUMBER(SEARCH("KEYBOARD PARA TABLET",B332)),
ISNUMBER(SEARCH("FLIP TABLET",B332)),
ISNUMBER(SEARCH("CASE FOR TABLET",B332)),
ISNUMBER(SEARCH("CABLE",B332)),
ISNUMBER(SEARCH("ADAPTADOR",B332)),
ISNUMBER(SEARCH("HUB",B332)),
ISNUMBER(SEARCH("DOCK",B332)),
ISNUMBER(SEARCH("MOUSE PAD",B332)),
ISNUMBER(SEARCH("MOUSEPAD",B332)),
ISNUMBER(SEARCH("SOPORTE",B332)),
ISNUMBER(SEARCH("STAND",B332)),
ISNUMBER(SEARCH("TRAVEL ADAPTER",B332)),
ISNUMBER(SEARCH("RJ45",B332)),
ISNUMBER(SEARCH("USB-C",B332)),
ISNUMBER(SEARCH("USB WIFI",B332)),
ISNUMBER(SEARCH("POWERBANK",B332)),
ISNUMBER(SEARCH("CARGADOR",B332)),
ISNUMBER(SEARCH("COOLER PARA NB",B332)),
ISNUMBER(SEARCH("SOPORTE PARA NB",B332)),
ISNUMBER(SEARCH("WEBCAM",B332)),
ISNUMBER(SEARCH("WEB CAM",B332)),
ISNUMBER(SEARCH("MOUSE",B332)),
ISNUMBER(SEARCH("TECLADO",B332))
),
"COMPLEMENTO",
IF(
OR(
LEFT(A332,2)="NB",
LEFT(A332,2)="PC",
LEFT(A332,2)="WS",
LEFT(A332,2)="TB",
LEFT(A332,3)="CEL",
LEFT(A332,3)="MON",
LEFT(A332,3)="PRE",
LEFT(A332,3)="PRH",
ISNUMBER(SEARCH("NOTEBOOK",B332)),
ISNUMBER(SEARCH("LAPTOP",B332)),
ISNUMBER(SEARCH("MONITOR",B332)),
ISNUMBER(SEARCH("TABLET",B332)),
ISNUMBER(SEARCH("SMARTPH",B332)),
ISNUMBER(SEARCH("IMPRESORA",B332)),
ISNUMBER(SEARCH("MULTIFUNCIONAL",B332)),
ISNUMBER(SEARCH("AIO",B332))
),
"GANCHO",
"NORMAL"
)
)</f>
        <v>NORMAL</v>
      </c>
    </row>
    <row r="331" spans="1:12" x14ac:dyDescent="0.25">
      <c r="A331" s="3" t="s">
        <v>5886</v>
      </c>
      <c r="B331" s="3" t="s">
        <v>5887</v>
      </c>
      <c r="C331" s="1">
        <v>20</v>
      </c>
      <c r="D331" s="1">
        <v>348.5</v>
      </c>
      <c r="E331" s="1" t="s">
        <v>187</v>
      </c>
      <c r="F331" s="1" t="s">
        <v>5888</v>
      </c>
      <c r="G331" s="3" t="s">
        <v>5889</v>
      </c>
      <c r="H331" s="11">
        <f>ROUND(
IF(L329="GANCHO",
   IF(I331&lt;=50,I331*1.1+4,IF(I331&lt;=120,I331*1.1+7,IF(I331&lt;=250,I331*1.1+11,I331*1.1+19))),
IF(L329="NORMAL",
   IF(I331&lt;=30,I331*1.15+2,IF(I331&lt;=80,I331*1.15+4,IF(I331&lt;=150,I331*1.15+6,I331*1.15+8))),
IF(L329="COMPLEMENTO",
   IF(I331&lt;=25,I331*1.25+1.5,IF(I331&lt;=60,I331*1.25+3,IF(I331&lt;=120,I331*1.25+4,I331*1.25+5))),
""))),2)</f>
        <v>1653.74</v>
      </c>
      <c r="I331" s="9">
        <f>($K$2+0.02)*Tabla1[[#This Row],[PRECIO $]]*1.18</f>
        <v>1431.0803999999998</v>
      </c>
      <c r="J331" s="7">
        <f>+Tabla1[[#This Row],[PRECIO EN SOLES]]-Tabla1[[#This Row],[PC]]</f>
        <v>222.65960000000018</v>
      </c>
      <c r="K331" s="15"/>
      <c r="L331" s="15" t="str">
        <f>IF(
OR(
ISNUMBER(SEARCH("BACKPACK",B333)),
ISNUMBER(SEARCH("MOCHILA",B333)),
ISNUMBER(SEARCH("FUNDA",B333)),
ISNUMBER(SEARCH("ESTUCHE",B333)),
ISNUMBER(SEARCH("BOOK COVER",B333)),
ISNUMBER(SEARCH("KEYBOARD PARA TABLET",B333)),
ISNUMBER(SEARCH("FLIP TABLET",B333)),
ISNUMBER(SEARCH("CASE FOR TABLET",B333)),
ISNUMBER(SEARCH("CABLE",B333)),
ISNUMBER(SEARCH("ADAPTADOR",B333)),
ISNUMBER(SEARCH("HUB",B333)),
ISNUMBER(SEARCH("DOCK",B333)),
ISNUMBER(SEARCH("MOUSE PAD",B333)),
ISNUMBER(SEARCH("MOUSEPAD",B333)),
ISNUMBER(SEARCH("SOPORTE",B333)),
ISNUMBER(SEARCH("STAND",B333)),
ISNUMBER(SEARCH("TRAVEL ADAPTER",B333)),
ISNUMBER(SEARCH("RJ45",B333)),
ISNUMBER(SEARCH("USB-C",B333)),
ISNUMBER(SEARCH("USB WIFI",B333)),
ISNUMBER(SEARCH("POWERBANK",B333)),
ISNUMBER(SEARCH("CARGADOR",B333)),
ISNUMBER(SEARCH("COOLER PARA NB",B333)),
ISNUMBER(SEARCH("SOPORTE PARA NB",B333)),
ISNUMBER(SEARCH("WEBCAM",B333)),
ISNUMBER(SEARCH("WEB CAM",B333)),
ISNUMBER(SEARCH("MOUSE",B333)),
ISNUMBER(SEARCH("TECLADO",B333))
),
"COMPLEMENTO",
IF(
OR(
LEFT(A333,2)="NB",
LEFT(A333,2)="PC",
LEFT(A333,2)="WS",
LEFT(A333,2)="TB",
LEFT(A333,3)="CEL",
LEFT(A333,3)="MON",
LEFT(A333,3)="PRE",
LEFT(A333,3)="PRH",
ISNUMBER(SEARCH("NOTEBOOK",B333)),
ISNUMBER(SEARCH("LAPTOP",B333)),
ISNUMBER(SEARCH("MONITOR",B333)),
ISNUMBER(SEARCH("TABLET",B333)),
ISNUMBER(SEARCH("SMARTPH",B333)),
ISNUMBER(SEARCH("IMPRESORA",B333)),
ISNUMBER(SEARCH("MULTIFUNCIONAL",B333)),
ISNUMBER(SEARCH("AIO",B333))
),
"GANCHO",
"NORMAL"
)
)</f>
        <v>NORMAL</v>
      </c>
    </row>
    <row r="332" spans="1:12" x14ac:dyDescent="0.25">
      <c r="A332" s="3" t="s">
        <v>4400</v>
      </c>
      <c r="B332" s="3" t="s">
        <v>4401</v>
      </c>
      <c r="C332" s="1">
        <v>20</v>
      </c>
      <c r="D332" s="1">
        <v>460.5</v>
      </c>
      <c r="E332" s="1" t="s">
        <v>187</v>
      </c>
      <c r="F332" s="1" t="s">
        <v>4402</v>
      </c>
      <c r="G332" s="3" t="s">
        <v>4403</v>
      </c>
      <c r="H332" s="11">
        <f>ROUND(
IF(L330="GANCHO",
   IF(I332&lt;=50,I332*1.1+4,IF(I332&lt;=120,I332*1.1+7,IF(I332&lt;=250,I332*1.1+11,I332*1.1+19))),
IF(L330="NORMAL",
   IF(I332&lt;=30,I332*1.15+2,IF(I332&lt;=80,I332*1.15+4,IF(I332&lt;=150,I332*1.15+6,I332*1.15+8))),
IF(L330="COMPLEMENTO",
   IF(I332&lt;=25,I332*1.25+1.5,IF(I332&lt;=60,I332*1.25+3,IF(I332&lt;=120,I332*1.25+4,I332*1.25+5))),
""))),2)</f>
        <v>2182.65</v>
      </c>
      <c r="I332" s="9">
        <f>($K$2+0.02)*Tabla1[[#This Row],[PRECIO $]]*1.18</f>
        <v>1890.9971999999998</v>
      </c>
      <c r="J332" s="7">
        <f>+Tabla1[[#This Row],[PRECIO EN SOLES]]-Tabla1[[#This Row],[PC]]</f>
        <v>291.6528000000003</v>
      </c>
      <c r="K332" s="15"/>
      <c r="L332" s="15" t="str">
        <f>IF(
OR(
ISNUMBER(SEARCH("BACKPACK",B334)),
ISNUMBER(SEARCH("MOCHILA",B334)),
ISNUMBER(SEARCH("FUNDA",B334)),
ISNUMBER(SEARCH("ESTUCHE",B334)),
ISNUMBER(SEARCH("BOOK COVER",B334)),
ISNUMBER(SEARCH("KEYBOARD PARA TABLET",B334)),
ISNUMBER(SEARCH("FLIP TABLET",B334)),
ISNUMBER(SEARCH("CASE FOR TABLET",B334)),
ISNUMBER(SEARCH("CABLE",B334)),
ISNUMBER(SEARCH("ADAPTADOR",B334)),
ISNUMBER(SEARCH("HUB",B334)),
ISNUMBER(SEARCH("DOCK",B334)),
ISNUMBER(SEARCH("MOUSE PAD",B334)),
ISNUMBER(SEARCH("MOUSEPAD",B334)),
ISNUMBER(SEARCH("SOPORTE",B334)),
ISNUMBER(SEARCH("STAND",B334)),
ISNUMBER(SEARCH("TRAVEL ADAPTER",B334)),
ISNUMBER(SEARCH("RJ45",B334)),
ISNUMBER(SEARCH("USB-C",B334)),
ISNUMBER(SEARCH("USB WIFI",B334)),
ISNUMBER(SEARCH("POWERBANK",B334)),
ISNUMBER(SEARCH("CARGADOR",B334)),
ISNUMBER(SEARCH("COOLER PARA NB",B334)),
ISNUMBER(SEARCH("SOPORTE PARA NB",B334)),
ISNUMBER(SEARCH("WEBCAM",B334)),
ISNUMBER(SEARCH("WEB CAM",B334)),
ISNUMBER(SEARCH("MOUSE",B334)),
ISNUMBER(SEARCH("TECLADO",B334))
),
"COMPLEMENTO",
IF(
OR(
LEFT(A334,2)="NB",
LEFT(A334,2)="PC",
LEFT(A334,2)="WS",
LEFT(A334,2)="TB",
LEFT(A334,3)="CEL",
LEFT(A334,3)="MON",
LEFT(A334,3)="PRE",
LEFT(A334,3)="PRH",
ISNUMBER(SEARCH("NOTEBOOK",B334)),
ISNUMBER(SEARCH("LAPTOP",B334)),
ISNUMBER(SEARCH("MONITOR",B334)),
ISNUMBER(SEARCH("TABLET",B334)),
ISNUMBER(SEARCH("SMARTPH",B334)),
ISNUMBER(SEARCH("IMPRESORA",B334)),
ISNUMBER(SEARCH("MULTIFUNCIONAL",B334)),
ISNUMBER(SEARCH("AIO",B334))
),
"GANCHO",
"NORMAL"
)
)</f>
        <v>NORMAL</v>
      </c>
    </row>
    <row r="333" spans="1:12" x14ac:dyDescent="0.25">
      <c r="A333" s="3" t="s">
        <v>6460</v>
      </c>
      <c r="B333" s="3" t="s">
        <v>6461</v>
      </c>
      <c r="C333" s="1">
        <v>0</v>
      </c>
      <c r="D333" s="1">
        <v>477</v>
      </c>
      <c r="E333" s="1" t="s">
        <v>187</v>
      </c>
      <c r="F333" s="1" t="s">
        <v>6462</v>
      </c>
      <c r="G333" s="3" t="s">
        <v>6463</v>
      </c>
      <c r="H333" s="11">
        <f>ROUND(
IF(L331="GANCHO",
   IF(I333&lt;=50,I333*1.1+4,IF(I333&lt;=120,I333*1.1+7,IF(I333&lt;=250,I333*1.1+11,I333*1.1+19))),
IF(L331="NORMAL",
   IF(I333&lt;=30,I333*1.15+2,IF(I333&lt;=80,I333*1.15+4,IF(I333&lt;=150,I333*1.15+6,I333*1.15+8))),
IF(L331="COMPLEMENTO",
   IF(I333&lt;=25,I333*1.25+1.5,IF(I333&lt;=60,I333*1.25+3,IF(I333&lt;=120,I333*1.25+4,I333*1.25+5))),
""))),2)</f>
        <v>2260.5700000000002</v>
      </c>
      <c r="I333" s="9">
        <f>($K$2+0.02)*Tabla1[[#This Row],[PRECIO $]]*1.18</f>
        <v>1958.7528</v>
      </c>
      <c r="J333" s="7">
        <f>+Tabla1[[#This Row],[PRECIO EN SOLES]]-Tabla1[[#This Row],[PC]]</f>
        <v>301.81720000000018</v>
      </c>
      <c r="K333" s="15"/>
      <c r="L333" s="15" t="str">
        <f>IF(
OR(
ISNUMBER(SEARCH("BACKPACK",B335)),
ISNUMBER(SEARCH("MOCHILA",B335)),
ISNUMBER(SEARCH("FUNDA",B335)),
ISNUMBER(SEARCH("ESTUCHE",B335)),
ISNUMBER(SEARCH("BOOK COVER",B335)),
ISNUMBER(SEARCH("KEYBOARD PARA TABLET",B335)),
ISNUMBER(SEARCH("FLIP TABLET",B335)),
ISNUMBER(SEARCH("CASE FOR TABLET",B335)),
ISNUMBER(SEARCH("CABLE",B335)),
ISNUMBER(SEARCH("ADAPTADOR",B335)),
ISNUMBER(SEARCH("HUB",B335)),
ISNUMBER(SEARCH("DOCK",B335)),
ISNUMBER(SEARCH("MOUSE PAD",B335)),
ISNUMBER(SEARCH("MOUSEPAD",B335)),
ISNUMBER(SEARCH("SOPORTE",B335)),
ISNUMBER(SEARCH("STAND",B335)),
ISNUMBER(SEARCH("TRAVEL ADAPTER",B335)),
ISNUMBER(SEARCH("RJ45",B335)),
ISNUMBER(SEARCH("USB-C",B335)),
ISNUMBER(SEARCH("USB WIFI",B335)),
ISNUMBER(SEARCH("POWERBANK",B335)),
ISNUMBER(SEARCH("CARGADOR",B335)),
ISNUMBER(SEARCH("COOLER PARA NB",B335)),
ISNUMBER(SEARCH("SOPORTE PARA NB",B335)),
ISNUMBER(SEARCH("WEBCAM",B335)),
ISNUMBER(SEARCH("WEB CAM",B335)),
ISNUMBER(SEARCH("MOUSE",B335)),
ISNUMBER(SEARCH("TECLADO",B335))
),
"COMPLEMENTO",
IF(
OR(
LEFT(A335,2)="NB",
LEFT(A335,2)="PC",
LEFT(A335,2)="WS",
LEFT(A335,2)="TB",
LEFT(A335,3)="CEL",
LEFT(A335,3)="MON",
LEFT(A335,3)="PRE",
LEFT(A335,3)="PRH",
ISNUMBER(SEARCH("NOTEBOOK",B335)),
ISNUMBER(SEARCH("LAPTOP",B335)),
ISNUMBER(SEARCH("MONITOR",B335)),
ISNUMBER(SEARCH("TABLET",B335)),
ISNUMBER(SEARCH("SMARTPH",B335)),
ISNUMBER(SEARCH("IMPRESORA",B335)),
ISNUMBER(SEARCH("MULTIFUNCIONAL",B335)),
ISNUMBER(SEARCH("AIO",B335))
),
"GANCHO",
"NORMAL"
)
)</f>
        <v>NORMAL</v>
      </c>
    </row>
    <row r="334" spans="1:12" x14ac:dyDescent="0.25">
      <c r="A334" s="3" t="s">
        <v>5890</v>
      </c>
      <c r="B334" s="3" t="s">
        <v>5891</v>
      </c>
      <c r="C334" s="1">
        <v>20</v>
      </c>
      <c r="D334" s="1">
        <v>76.7</v>
      </c>
      <c r="E334" s="1" t="s">
        <v>187</v>
      </c>
      <c r="F334" s="1" t="s">
        <v>5892</v>
      </c>
      <c r="G334" s="3" t="s">
        <v>5893</v>
      </c>
      <c r="H334" s="11">
        <f>ROUND(
IF(L332="GANCHO",
   IF(I334&lt;=50,I334*1.1+4,IF(I334&lt;=120,I334*1.1+7,IF(I334&lt;=250,I334*1.1+11,I334*1.1+19))),
IF(L332="NORMAL",
   IF(I334&lt;=30,I334*1.15+2,IF(I334&lt;=80,I334*1.15+4,IF(I334&lt;=150,I334*1.15+6,I334*1.15+8))),
IF(L332="COMPLEMENTO",
   IF(I334&lt;=25,I334*1.25+1.5,IF(I334&lt;=60,I334*1.25+3,IF(I334&lt;=120,I334*1.25+4,I334*1.25+5))),
""))),2)</f>
        <v>370.21</v>
      </c>
      <c r="I334" s="9">
        <f>($K$2+0.02)*Tabla1[[#This Row],[PRECIO $]]*1.18</f>
        <v>314.96087999999997</v>
      </c>
      <c r="J334" s="7">
        <f>+Tabla1[[#This Row],[PRECIO EN SOLES]]-Tabla1[[#This Row],[PC]]</f>
        <v>55.249120000000005</v>
      </c>
      <c r="K334" s="15"/>
      <c r="L334" s="15" t="str">
        <f>IF(
OR(
ISNUMBER(SEARCH("BACKPACK",B336)),
ISNUMBER(SEARCH("MOCHILA",B336)),
ISNUMBER(SEARCH("FUNDA",B336)),
ISNUMBER(SEARCH("ESTUCHE",B336)),
ISNUMBER(SEARCH("BOOK COVER",B336)),
ISNUMBER(SEARCH("KEYBOARD PARA TABLET",B336)),
ISNUMBER(SEARCH("FLIP TABLET",B336)),
ISNUMBER(SEARCH("CASE FOR TABLET",B336)),
ISNUMBER(SEARCH("CABLE",B336)),
ISNUMBER(SEARCH("ADAPTADOR",B336)),
ISNUMBER(SEARCH("HUB",B336)),
ISNUMBER(SEARCH("DOCK",B336)),
ISNUMBER(SEARCH("MOUSE PAD",B336)),
ISNUMBER(SEARCH("MOUSEPAD",B336)),
ISNUMBER(SEARCH("SOPORTE",B336)),
ISNUMBER(SEARCH("STAND",B336)),
ISNUMBER(SEARCH("TRAVEL ADAPTER",B336)),
ISNUMBER(SEARCH("RJ45",B336)),
ISNUMBER(SEARCH("USB-C",B336)),
ISNUMBER(SEARCH("USB WIFI",B336)),
ISNUMBER(SEARCH("POWERBANK",B336)),
ISNUMBER(SEARCH("CARGADOR",B336)),
ISNUMBER(SEARCH("COOLER PARA NB",B336)),
ISNUMBER(SEARCH("SOPORTE PARA NB",B336)),
ISNUMBER(SEARCH("WEBCAM",B336)),
ISNUMBER(SEARCH("WEB CAM",B336)),
ISNUMBER(SEARCH("MOUSE",B336)),
ISNUMBER(SEARCH("TECLADO",B336))
),
"COMPLEMENTO",
IF(
OR(
LEFT(A336,2)="NB",
LEFT(A336,2)="PC",
LEFT(A336,2)="WS",
LEFT(A336,2)="TB",
LEFT(A336,3)="CEL",
LEFT(A336,3)="MON",
LEFT(A336,3)="PRE",
LEFT(A336,3)="PRH",
ISNUMBER(SEARCH("NOTEBOOK",B336)),
ISNUMBER(SEARCH("LAPTOP",B336)),
ISNUMBER(SEARCH("MONITOR",B336)),
ISNUMBER(SEARCH("TABLET",B336)),
ISNUMBER(SEARCH("SMARTPH",B336)),
ISNUMBER(SEARCH("IMPRESORA",B336)),
ISNUMBER(SEARCH("MULTIFUNCIONAL",B336)),
ISNUMBER(SEARCH("AIO",B336))
),
"GANCHO",
"NORMAL"
)
)</f>
        <v>NORMAL</v>
      </c>
    </row>
    <row r="335" spans="1:12" x14ac:dyDescent="0.25">
      <c r="A335" s="3" t="s">
        <v>5643</v>
      </c>
      <c r="B335" s="3" t="s">
        <v>5644</v>
      </c>
      <c r="C335" s="1">
        <v>0</v>
      </c>
      <c r="D335" s="1">
        <v>89.3</v>
      </c>
      <c r="E335" s="1" t="s">
        <v>187</v>
      </c>
      <c r="F335" s="1" t="s">
        <v>5645</v>
      </c>
      <c r="G335" s="3" t="s">
        <v>5646</v>
      </c>
      <c r="H335" s="11">
        <f>ROUND(
IF(L333="GANCHO",
   IF(I335&lt;=50,I335*1.1+4,IF(I335&lt;=120,I335*1.1+7,IF(I335&lt;=250,I335*1.1+11,I335*1.1+19))),
IF(L333="NORMAL",
   IF(I335&lt;=30,I335*1.15+2,IF(I335&lt;=80,I335*1.15+4,IF(I335&lt;=150,I335*1.15+6,I335*1.15+8))),
IF(L333="COMPLEMENTO",
   IF(I335&lt;=25,I335*1.25+1.5,IF(I335&lt;=60,I335*1.25+3,IF(I335&lt;=120,I335*1.25+4,I335*1.25+5))),
""))),2)</f>
        <v>429.71</v>
      </c>
      <c r="I335" s="9">
        <f>($K$2+0.02)*Tabla1[[#This Row],[PRECIO $]]*1.18</f>
        <v>366.70152000000002</v>
      </c>
      <c r="J335" s="7">
        <f>+Tabla1[[#This Row],[PRECIO EN SOLES]]-Tabla1[[#This Row],[PC]]</f>
        <v>63.008479999999963</v>
      </c>
      <c r="K335" s="15"/>
      <c r="L335" s="15" t="str">
        <f>IF(
OR(
ISNUMBER(SEARCH("BACKPACK",B337)),
ISNUMBER(SEARCH("MOCHILA",B337)),
ISNUMBER(SEARCH("FUNDA",B337)),
ISNUMBER(SEARCH("ESTUCHE",B337)),
ISNUMBER(SEARCH("BOOK COVER",B337)),
ISNUMBER(SEARCH("KEYBOARD PARA TABLET",B337)),
ISNUMBER(SEARCH("FLIP TABLET",B337)),
ISNUMBER(SEARCH("CASE FOR TABLET",B337)),
ISNUMBER(SEARCH("CABLE",B337)),
ISNUMBER(SEARCH("ADAPTADOR",B337)),
ISNUMBER(SEARCH("HUB",B337)),
ISNUMBER(SEARCH("DOCK",B337)),
ISNUMBER(SEARCH("MOUSE PAD",B337)),
ISNUMBER(SEARCH("MOUSEPAD",B337)),
ISNUMBER(SEARCH("SOPORTE",B337)),
ISNUMBER(SEARCH("STAND",B337)),
ISNUMBER(SEARCH("TRAVEL ADAPTER",B337)),
ISNUMBER(SEARCH("RJ45",B337)),
ISNUMBER(SEARCH("USB-C",B337)),
ISNUMBER(SEARCH("USB WIFI",B337)),
ISNUMBER(SEARCH("POWERBANK",B337)),
ISNUMBER(SEARCH("CARGADOR",B337)),
ISNUMBER(SEARCH("COOLER PARA NB",B337)),
ISNUMBER(SEARCH("SOPORTE PARA NB",B337)),
ISNUMBER(SEARCH("WEBCAM",B337)),
ISNUMBER(SEARCH("WEB CAM",B337)),
ISNUMBER(SEARCH("MOUSE",B337)),
ISNUMBER(SEARCH("TECLADO",B337))
),
"COMPLEMENTO",
IF(
OR(
LEFT(A337,2)="NB",
LEFT(A337,2)="PC",
LEFT(A337,2)="WS",
LEFT(A337,2)="TB",
LEFT(A337,3)="CEL",
LEFT(A337,3)="MON",
LEFT(A337,3)="PRE",
LEFT(A337,3)="PRH",
ISNUMBER(SEARCH("NOTEBOOK",B337)),
ISNUMBER(SEARCH("LAPTOP",B337)),
ISNUMBER(SEARCH("MONITOR",B337)),
ISNUMBER(SEARCH("TABLET",B337)),
ISNUMBER(SEARCH("SMARTPH",B337)),
ISNUMBER(SEARCH("IMPRESORA",B337)),
ISNUMBER(SEARCH("MULTIFUNCIONAL",B337)),
ISNUMBER(SEARCH("AIO",B337))
),
"GANCHO",
"NORMAL"
)
)</f>
        <v>NORMAL</v>
      </c>
    </row>
    <row r="336" spans="1:12" x14ac:dyDescent="0.25">
      <c r="A336" s="3" t="s">
        <v>1046</v>
      </c>
      <c r="B336" s="3" t="s">
        <v>1047</v>
      </c>
      <c r="C336" s="1">
        <v>5</v>
      </c>
      <c r="D336" s="1">
        <v>119.3</v>
      </c>
      <c r="E336" s="1" t="s">
        <v>187</v>
      </c>
      <c r="F336" s="1" t="s">
        <v>3219</v>
      </c>
      <c r="G336" s="3" t="s">
        <v>2775</v>
      </c>
      <c r="H336" s="11">
        <f>ROUND(
IF(L334="GANCHO",
   IF(I336&lt;=50,I336*1.1+4,IF(I336&lt;=120,I336*1.1+7,IF(I336&lt;=250,I336*1.1+11,I336*1.1+19))),
IF(L334="NORMAL",
   IF(I336&lt;=30,I336*1.15+2,IF(I336&lt;=80,I336*1.15+4,IF(I336&lt;=150,I336*1.15+6,I336*1.15+8))),
IF(L334="COMPLEMENTO",
   IF(I336&lt;=25,I336*1.25+1.5,IF(I336&lt;=60,I336*1.25+3,IF(I336&lt;=120,I336*1.25+4,I336*1.25+5))),
""))),2)</f>
        <v>571.38</v>
      </c>
      <c r="I336" s="9">
        <f>($K$2+0.02)*Tabla1[[#This Row],[PRECIO $]]*1.18</f>
        <v>489.89351999999997</v>
      </c>
      <c r="J336" s="7">
        <f>+Tabla1[[#This Row],[PRECIO EN SOLES]]-Tabla1[[#This Row],[PC]]</f>
        <v>81.486480000000029</v>
      </c>
      <c r="K336" s="15"/>
      <c r="L336" s="15" t="str">
        <f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7" spans="1:12" x14ac:dyDescent="0.25">
      <c r="A337" s="3" t="s">
        <v>6464</v>
      </c>
      <c r="B337" s="3" t="s">
        <v>6465</v>
      </c>
      <c r="C337" s="1">
        <v>17</v>
      </c>
      <c r="D337" s="1">
        <v>173.5</v>
      </c>
      <c r="E337" s="1" t="s">
        <v>187</v>
      </c>
      <c r="F337" s="1" t="s">
        <v>6466</v>
      </c>
      <c r="G337" s="3" t="s">
        <v>6467</v>
      </c>
      <c r="H337" s="11">
        <f>ROUND(
IF(L335="GANCHO",
   IF(I337&lt;=50,I337*1.1+4,IF(I337&lt;=120,I337*1.1+7,IF(I337&lt;=250,I337*1.1+11,I337*1.1+19))),
IF(L335="NORMAL",
   IF(I337&lt;=30,I337*1.15+2,IF(I337&lt;=80,I337*1.15+4,IF(I337&lt;=150,I337*1.15+6,I337*1.15+8))),
IF(L335="COMPLEMENTO",
   IF(I337&lt;=25,I337*1.25+1.5,IF(I337&lt;=60,I337*1.25+3,IF(I337&lt;=120,I337*1.25+4,I337*1.25+5))),
""))),2)</f>
        <v>827.33</v>
      </c>
      <c r="I337" s="9">
        <f>($K$2+0.02)*Tabla1[[#This Row],[PRECIO $]]*1.18</f>
        <v>712.46039999999994</v>
      </c>
      <c r="J337" s="7">
        <f>+Tabla1[[#This Row],[PRECIO EN SOLES]]-Tabla1[[#This Row],[PC]]</f>
        <v>114.8696000000001</v>
      </c>
      <c r="K337" s="15"/>
      <c r="L337" s="15" t="str">
        <f>IF(
OR(
ISNUMBER(SEARCH("BACKPACK",B339)),
ISNUMBER(SEARCH("MOCHILA",B339)),
ISNUMBER(SEARCH("FUNDA",B339)),
ISNUMBER(SEARCH("ESTUCHE",B339)),
ISNUMBER(SEARCH("BOOK COVER",B339)),
ISNUMBER(SEARCH("KEYBOARD PARA TABLET",B339)),
ISNUMBER(SEARCH("FLIP TABLET",B339)),
ISNUMBER(SEARCH("CASE FOR TABLET",B339)),
ISNUMBER(SEARCH("CABLE",B339)),
ISNUMBER(SEARCH("ADAPTADOR",B339)),
ISNUMBER(SEARCH("HUB",B339)),
ISNUMBER(SEARCH("DOCK",B339)),
ISNUMBER(SEARCH("MOUSE PAD",B339)),
ISNUMBER(SEARCH("MOUSEPAD",B339)),
ISNUMBER(SEARCH("SOPORTE",B339)),
ISNUMBER(SEARCH("STAND",B339)),
ISNUMBER(SEARCH("TRAVEL ADAPTER",B339)),
ISNUMBER(SEARCH("RJ45",B339)),
ISNUMBER(SEARCH("USB-C",B339)),
ISNUMBER(SEARCH("USB WIFI",B339)),
ISNUMBER(SEARCH("POWERBANK",B339)),
ISNUMBER(SEARCH("CARGADOR",B339)),
ISNUMBER(SEARCH("COOLER PARA NB",B339)),
ISNUMBER(SEARCH("SOPORTE PARA NB",B339)),
ISNUMBER(SEARCH("WEBCAM",B339)),
ISNUMBER(SEARCH("WEB CAM",B339)),
ISNUMBER(SEARCH("MOUSE",B339)),
ISNUMBER(SEARCH("TECLADO",B339))
),
"COMPLEMENTO",
IF(
OR(
LEFT(A339,2)="NB",
LEFT(A339,2)="PC",
LEFT(A339,2)="WS",
LEFT(A339,2)="TB",
LEFT(A339,3)="CEL",
LEFT(A339,3)="MON",
LEFT(A339,3)="PRE",
LEFT(A339,3)="PRH",
ISNUMBER(SEARCH("NOTEBOOK",B339)),
ISNUMBER(SEARCH("LAPTOP",B339)),
ISNUMBER(SEARCH("MONITOR",B339)),
ISNUMBER(SEARCH("TABLET",B339)),
ISNUMBER(SEARCH("SMARTPH",B339)),
ISNUMBER(SEARCH("IMPRESORA",B339)),
ISNUMBER(SEARCH("MULTIFUNCIONAL",B339)),
ISNUMBER(SEARCH("AIO",B339))
),
"GANCHO",
"NORMAL"
)
)</f>
        <v>NORMAL</v>
      </c>
    </row>
    <row r="338" spans="1:12" x14ac:dyDescent="0.25">
      <c r="A338" s="3" t="s">
        <v>188</v>
      </c>
      <c r="B338" s="3" t="s">
        <v>189</v>
      </c>
      <c r="C338" s="1">
        <v>20</v>
      </c>
      <c r="D338" s="1">
        <v>175.3</v>
      </c>
      <c r="E338" s="1" t="s">
        <v>187</v>
      </c>
      <c r="F338" s="1" t="s">
        <v>3220</v>
      </c>
      <c r="G338" s="3" t="s">
        <v>190</v>
      </c>
      <c r="H338" s="11">
        <f>ROUND(
IF(L336="GANCHO",
   IF(I338&lt;=50,I338*1.1+4,IF(I338&lt;=120,I338*1.1+7,IF(I338&lt;=250,I338*1.1+11,I338*1.1+19))),
IF(L336="NORMAL",
   IF(I338&lt;=30,I338*1.15+2,IF(I338&lt;=80,I338*1.15+4,IF(I338&lt;=150,I338*1.15+6,I338*1.15+8))),
IF(L336="COMPLEMENTO",
   IF(I338&lt;=25,I338*1.25+1.5,IF(I338&lt;=60,I338*1.25+3,IF(I338&lt;=120,I338*1.25+4,I338*1.25+5))),
""))),2)</f>
        <v>835.83</v>
      </c>
      <c r="I338" s="9">
        <f>($K$2+0.02)*Tabla1[[#This Row],[PRECIO $]]*1.18</f>
        <v>719.85191999999995</v>
      </c>
      <c r="J338" s="7">
        <f>+Tabla1[[#This Row],[PRECIO EN SOLES]]-Tabla1[[#This Row],[PC]]</f>
        <v>115.97808000000009</v>
      </c>
      <c r="K338" s="15"/>
      <c r="L338" s="15" t="str">
        <f>IF(
OR(
ISNUMBER(SEARCH("BACKPACK",B340)),
ISNUMBER(SEARCH("MOCHILA",B340)),
ISNUMBER(SEARCH("FUNDA",B340)),
ISNUMBER(SEARCH("ESTUCHE",B340)),
ISNUMBER(SEARCH("BOOK COVER",B340)),
ISNUMBER(SEARCH("KEYBOARD PARA TABLET",B340)),
ISNUMBER(SEARCH("FLIP TABLET",B340)),
ISNUMBER(SEARCH("CASE FOR TABLET",B340)),
ISNUMBER(SEARCH("CABLE",B340)),
ISNUMBER(SEARCH("ADAPTADOR",B340)),
ISNUMBER(SEARCH("HUB",B340)),
ISNUMBER(SEARCH("DOCK",B340)),
ISNUMBER(SEARCH("MOUSE PAD",B340)),
ISNUMBER(SEARCH("MOUSEPAD",B340)),
ISNUMBER(SEARCH("SOPORTE",B340)),
ISNUMBER(SEARCH("STAND",B340)),
ISNUMBER(SEARCH("TRAVEL ADAPTER",B340)),
ISNUMBER(SEARCH("RJ45",B340)),
ISNUMBER(SEARCH("USB-C",B340)),
ISNUMBER(SEARCH("USB WIFI",B340)),
ISNUMBER(SEARCH("POWERBANK",B340)),
ISNUMBER(SEARCH("CARGADOR",B340)),
ISNUMBER(SEARCH("COOLER PARA NB",B340)),
ISNUMBER(SEARCH("SOPORTE PARA NB",B340)),
ISNUMBER(SEARCH("WEBCAM",B340)),
ISNUMBER(SEARCH("WEB CAM",B340)),
ISNUMBER(SEARCH("MOUSE",B340)),
ISNUMBER(SEARCH("TECLADO",B340))
),
"COMPLEMENTO",
IF(
OR(
LEFT(A340,2)="NB",
LEFT(A340,2)="PC",
LEFT(A340,2)="WS",
LEFT(A340,2)="TB",
LEFT(A340,3)="CEL",
LEFT(A340,3)="MON",
LEFT(A340,3)="PRE",
LEFT(A340,3)="PRH",
ISNUMBER(SEARCH("NOTEBOOK",B340)),
ISNUMBER(SEARCH("LAPTOP",B340)),
ISNUMBER(SEARCH("MONITOR",B340)),
ISNUMBER(SEARCH("TABLET",B340)),
ISNUMBER(SEARCH("SMARTPH",B340)),
ISNUMBER(SEARCH("IMPRESORA",B340)),
ISNUMBER(SEARCH("MULTIFUNCIONAL",B340)),
ISNUMBER(SEARCH("AIO",B340))
),
"GANCHO",
"NORMAL"
)
)</f>
        <v>NORMAL</v>
      </c>
    </row>
    <row r="339" spans="1:12" x14ac:dyDescent="0.25">
      <c r="A339" s="3" t="s">
        <v>6687</v>
      </c>
      <c r="B339" s="3" t="s">
        <v>6688</v>
      </c>
      <c r="C339" s="1">
        <v>0</v>
      </c>
      <c r="D339" s="1">
        <v>244.5</v>
      </c>
      <c r="E339" s="1" t="s">
        <v>187</v>
      </c>
      <c r="F339" s="1" t="s">
        <v>6689</v>
      </c>
      <c r="G339" s="3" t="s">
        <v>6690</v>
      </c>
      <c r="H339" s="11">
        <f>ROUND(
IF(L337="GANCHO",
   IF(I339&lt;=50,I339*1.1+4,IF(I339&lt;=120,I339*1.1+7,IF(I339&lt;=250,I339*1.1+11,I339*1.1+19))),
IF(L337="NORMAL",
   IF(I339&lt;=30,I339*1.15+2,IF(I339&lt;=80,I339*1.15+4,IF(I339&lt;=150,I339*1.15+6,I339*1.15+8))),
IF(L337="COMPLEMENTO",
   IF(I339&lt;=25,I339*1.25+1.5,IF(I339&lt;=60,I339*1.25+3,IF(I339&lt;=120,I339*1.25+4,I339*1.25+5))),
""))),2)</f>
        <v>1162.6199999999999</v>
      </c>
      <c r="I339" s="9">
        <f>($K$2+0.02)*Tabla1[[#This Row],[PRECIO $]]*1.18</f>
        <v>1004.0147999999999</v>
      </c>
      <c r="J339" s="7">
        <f>+Tabla1[[#This Row],[PRECIO EN SOLES]]-Tabla1[[#This Row],[PC]]</f>
        <v>158.60519999999997</v>
      </c>
      <c r="K339" s="15"/>
      <c r="L339" s="15" t="str">
        <f>IF(
OR(
ISNUMBER(SEARCH("BACKPACK",B341)),
ISNUMBER(SEARCH("MOCHILA",B341)),
ISNUMBER(SEARCH("FUNDA",B341)),
ISNUMBER(SEARCH("ESTUCHE",B341)),
ISNUMBER(SEARCH("BOOK COVER",B341)),
ISNUMBER(SEARCH("KEYBOARD PARA TABLET",B341)),
ISNUMBER(SEARCH("FLIP TABLET",B341)),
ISNUMBER(SEARCH("CASE FOR TABLET",B341)),
ISNUMBER(SEARCH("CABLE",B341)),
ISNUMBER(SEARCH("ADAPTADOR",B341)),
ISNUMBER(SEARCH("HUB",B341)),
ISNUMBER(SEARCH("DOCK",B341)),
ISNUMBER(SEARCH("MOUSE PAD",B341)),
ISNUMBER(SEARCH("MOUSEPAD",B341)),
ISNUMBER(SEARCH("SOPORTE",B341)),
ISNUMBER(SEARCH("STAND",B341)),
ISNUMBER(SEARCH("TRAVEL ADAPTER",B341)),
ISNUMBER(SEARCH("RJ45",B341)),
ISNUMBER(SEARCH("USB-C",B341)),
ISNUMBER(SEARCH("USB WIFI",B341)),
ISNUMBER(SEARCH("POWERBANK",B341)),
ISNUMBER(SEARCH("CARGADOR",B341)),
ISNUMBER(SEARCH("COOLER PARA NB",B341)),
ISNUMBER(SEARCH("SOPORTE PARA NB",B341)),
ISNUMBER(SEARCH("WEBCAM",B341)),
ISNUMBER(SEARCH("WEB CAM",B341)),
ISNUMBER(SEARCH("MOUSE",B341)),
ISNUMBER(SEARCH("TECLADO",B341))
),
"COMPLEMENTO",
IF(
OR(
LEFT(A341,2)="NB",
LEFT(A341,2)="PC",
LEFT(A341,2)="WS",
LEFT(A341,2)="TB",
LEFT(A341,3)="CEL",
LEFT(A341,3)="MON",
LEFT(A341,3)="PRE",
LEFT(A341,3)="PRH",
ISNUMBER(SEARCH("NOTEBOOK",B341)),
ISNUMBER(SEARCH("LAPTOP",B341)),
ISNUMBER(SEARCH("MONITOR",B341)),
ISNUMBER(SEARCH("TABLET",B341)),
ISNUMBER(SEARCH("SMARTPH",B341)),
ISNUMBER(SEARCH("IMPRESORA",B341)),
ISNUMBER(SEARCH("MULTIFUNCIONAL",B341)),
ISNUMBER(SEARCH("AIO",B341))
),
"GANCHO",
"NORMAL"
)
)</f>
        <v>NORMAL</v>
      </c>
    </row>
    <row r="340" spans="1:12" x14ac:dyDescent="0.25">
      <c r="A340" s="3" t="s">
        <v>6691</v>
      </c>
      <c r="B340" s="3" t="s">
        <v>6692</v>
      </c>
      <c r="C340" s="1">
        <v>20</v>
      </c>
      <c r="D340" s="1">
        <v>232.5</v>
      </c>
      <c r="E340" s="1" t="s">
        <v>187</v>
      </c>
      <c r="F340" s="1" t="s">
        <v>6693</v>
      </c>
      <c r="G340" s="3" t="s">
        <v>6694</v>
      </c>
      <c r="H340" s="11">
        <f>ROUND(
IF(L338="GANCHO",
   IF(I340&lt;=50,I340*1.1+4,IF(I340&lt;=120,I340*1.1+7,IF(I340&lt;=250,I340*1.1+11,I340*1.1+19))),
IF(L338="NORMAL",
   IF(I340&lt;=30,I340*1.15+2,IF(I340&lt;=80,I340*1.15+4,IF(I340&lt;=150,I340*1.15+6,I340*1.15+8))),
IF(L338="COMPLEMENTO",
   IF(I340&lt;=25,I340*1.25+1.5,IF(I340&lt;=60,I340*1.25+3,IF(I340&lt;=120,I340*1.25+4,I340*1.25+5))),
""))),2)</f>
        <v>1105.95</v>
      </c>
      <c r="I340" s="9">
        <f>($K$2+0.02)*Tabla1[[#This Row],[PRECIO $]]*1.18</f>
        <v>954.73799999999994</v>
      </c>
      <c r="J340" s="7">
        <f>+Tabla1[[#This Row],[PRECIO EN SOLES]]-Tabla1[[#This Row],[PC]]</f>
        <v>151.2120000000001</v>
      </c>
      <c r="K340" s="15"/>
      <c r="L340" s="15" t="str">
        <f>IF(
OR(
ISNUMBER(SEARCH("BACKPACK",B342)),
ISNUMBER(SEARCH("MOCHILA",B342)),
ISNUMBER(SEARCH("FUNDA",B342)),
ISNUMBER(SEARCH("ESTUCHE",B342)),
ISNUMBER(SEARCH("BOOK COVER",B342)),
ISNUMBER(SEARCH("KEYBOARD PARA TABLET",B342)),
ISNUMBER(SEARCH("FLIP TABLET",B342)),
ISNUMBER(SEARCH("CASE FOR TABLET",B342)),
ISNUMBER(SEARCH("CABLE",B342)),
ISNUMBER(SEARCH("ADAPTADOR",B342)),
ISNUMBER(SEARCH("HUB",B342)),
ISNUMBER(SEARCH("DOCK",B342)),
ISNUMBER(SEARCH("MOUSE PAD",B342)),
ISNUMBER(SEARCH("MOUSEPAD",B342)),
ISNUMBER(SEARCH("SOPORTE",B342)),
ISNUMBER(SEARCH("STAND",B342)),
ISNUMBER(SEARCH("TRAVEL ADAPTER",B342)),
ISNUMBER(SEARCH("RJ45",B342)),
ISNUMBER(SEARCH("USB-C",B342)),
ISNUMBER(SEARCH("USB WIFI",B342)),
ISNUMBER(SEARCH("POWERBANK",B342)),
ISNUMBER(SEARCH("CARGADOR",B342)),
ISNUMBER(SEARCH("COOLER PARA NB",B342)),
ISNUMBER(SEARCH("SOPORTE PARA NB",B342)),
ISNUMBER(SEARCH("WEBCAM",B342)),
ISNUMBER(SEARCH("WEB CAM",B342)),
ISNUMBER(SEARCH("MOUSE",B342)),
ISNUMBER(SEARCH("TECLADO",B342))
),
"COMPLEMENTO",
IF(
OR(
LEFT(A342,2)="NB",
LEFT(A342,2)="PC",
LEFT(A342,2)="WS",
LEFT(A342,2)="TB",
LEFT(A342,3)="CEL",
LEFT(A342,3)="MON",
LEFT(A342,3)="PRE",
LEFT(A342,3)="PRH",
ISNUMBER(SEARCH("NOTEBOOK",B342)),
ISNUMBER(SEARCH("LAPTOP",B342)),
ISNUMBER(SEARCH("MONITOR",B342)),
ISNUMBER(SEARCH("TABLET",B342)),
ISNUMBER(SEARCH("SMARTPH",B342)),
ISNUMBER(SEARCH("IMPRESORA",B342)),
ISNUMBER(SEARCH("MULTIFUNCIONAL",B342)),
ISNUMBER(SEARCH("AIO",B342))
),
"GANCHO",
"NORMAL"
)
)</f>
        <v>NORMAL</v>
      </c>
    </row>
    <row r="341" spans="1:12" x14ac:dyDescent="0.25">
      <c r="A341" s="3" t="s">
        <v>1048</v>
      </c>
      <c r="B341" s="3" t="s">
        <v>1049</v>
      </c>
      <c r="C341" s="1">
        <v>20</v>
      </c>
      <c r="D341" s="1">
        <v>225.5</v>
      </c>
      <c r="E341" s="1" t="s">
        <v>186</v>
      </c>
      <c r="F341" s="1" t="s">
        <v>3221</v>
      </c>
      <c r="G341" s="3" t="s">
        <v>1050</v>
      </c>
      <c r="H341" s="11">
        <f>ROUND(
IF(L339="GANCHO",
   IF(I341&lt;=50,I341*1.1+4,IF(I341&lt;=120,I341*1.1+7,IF(I341&lt;=250,I341*1.1+11,I341*1.1+19))),
IF(L339="NORMAL",
   IF(I341&lt;=30,I341*1.15+2,IF(I341&lt;=80,I341*1.15+4,IF(I341&lt;=150,I341*1.15+6,I341*1.15+8))),
IF(L339="COMPLEMENTO",
   IF(I341&lt;=25,I341*1.25+1.5,IF(I341&lt;=60,I341*1.25+3,IF(I341&lt;=120,I341*1.25+4,I341*1.25+5))),
""))),2)</f>
        <v>1072.8900000000001</v>
      </c>
      <c r="I341" s="9">
        <f>($K$2+0.02)*Tabla1[[#This Row],[PRECIO $]]*1.18</f>
        <v>925.9932</v>
      </c>
      <c r="J341" s="7">
        <f>+Tabla1[[#This Row],[PRECIO EN SOLES]]-Tabla1[[#This Row],[PC]]</f>
        <v>146.8968000000001</v>
      </c>
      <c r="K341" s="15"/>
      <c r="L341" s="15" t="str">
        <f>IF(
OR(
ISNUMBER(SEARCH("BACKPACK",B343)),
ISNUMBER(SEARCH("MOCHILA",B343)),
ISNUMBER(SEARCH("FUNDA",B343)),
ISNUMBER(SEARCH("ESTUCHE",B343)),
ISNUMBER(SEARCH("BOOK COVER",B343)),
ISNUMBER(SEARCH("KEYBOARD PARA TABLET",B343)),
ISNUMBER(SEARCH("FLIP TABLET",B343)),
ISNUMBER(SEARCH("CASE FOR TABLET",B343)),
ISNUMBER(SEARCH("CABLE",B343)),
ISNUMBER(SEARCH("ADAPTADOR",B343)),
ISNUMBER(SEARCH("HUB",B343)),
ISNUMBER(SEARCH("DOCK",B343)),
ISNUMBER(SEARCH("MOUSE PAD",B343)),
ISNUMBER(SEARCH("MOUSEPAD",B343)),
ISNUMBER(SEARCH("SOPORTE",B343)),
ISNUMBER(SEARCH("STAND",B343)),
ISNUMBER(SEARCH("TRAVEL ADAPTER",B343)),
ISNUMBER(SEARCH("RJ45",B343)),
ISNUMBER(SEARCH("USB-C",B343)),
ISNUMBER(SEARCH("USB WIFI",B343)),
ISNUMBER(SEARCH("POWERBANK",B343)),
ISNUMBER(SEARCH("CARGADOR",B343)),
ISNUMBER(SEARCH("COOLER PARA NB",B343)),
ISNUMBER(SEARCH("SOPORTE PARA NB",B343)),
ISNUMBER(SEARCH("WEBCAM",B343)),
ISNUMBER(SEARCH("WEB CAM",B343)),
ISNUMBER(SEARCH("MOUSE",B343)),
ISNUMBER(SEARCH("TECLADO",B343))
),
"COMPLEMENTO",
IF(
OR(
LEFT(A343,2)="NB",
LEFT(A343,2)="PC",
LEFT(A343,2)="WS",
LEFT(A343,2)="TB",
LEFT(A343,3)="CEL",
LEFT(A343,3)="MON",
LEFT(A343,3)="PRE",
LEFT(A343,3)="PRH",
ISNUMBER(SEARCH("NOTEBOOK",B343)),
ISNUMBER(SEARCH("LAPTOP",B343)),
ISNUMBER(SEARCH("MONITOR",B343)),
ISNUMBER(SEARCH("TABLET",B343)),
ISNUMBER(SEARCH("SMARTPH",B343)),
ISNUMBER(SEARCH("IMPRESORA",B343)),
ISNUMBER(SEARCH("MULTIFUNCIONAL",B343)),
ISNUMBER(SEARCH("AIO",B343))
),
"GANCHO",
"NORMAL"
)
)</f>
        <v>NORMAL</v>
      </c>
    </row>
    <row r="342" spans="1:12" x14ac:dyDescent="0.25">
      <c r="A342" s="3" t="s">
        <v>5894</v>
      </c>
      <c r="B342" s="3" t="s">
        <v>5895</v>
      </c>
      <c r="C342" s="1">
        <v>20</v>
      </c>
      <c r="D342" s="1">
        <v>268.39999999999998</v>
      </c>
      <c r="E342" s="1" t="s">
        <v>186</v>
      </c>
      <c r="F342" s="1" t="s">
        <v>5896</v>
      </c>
      <c r="G342" s="3" t="s">
        <v>5897</v>
      </c>
      <c r="H342" s="11">
        <f>ROUND(
IF(L340="GANCHO",
   IF(I342&lt;=50,I342*1.1+4,IF(I342&lt;=120,I342*1.1+7,IF(I342&lt;=250,I342*1.1+11,I342*1.1+19))),
IF(L340="NORMAL",
   IF(I342&lt;=30,I342*1.15+2,IF(I342&lt;=80,I342*1.15+4,IF(I342&lt;=150,I342*1.15+6,I342*1.15+8))),
IF(L340="COMPLEMENTO",
   IF(I342&lt;=25,I342*1.25+1.5,IF(I342&lt;=60,I342*1.25+3,IF(I342&lt;=120,I342*1.25+4,I342*1.25+5))),
""))),2)</f>
        <v>1275.48</v>
      </c>
      <c r="I342" s="9">
        <f>($K$2+0.02)*Tabla1[[#This Row],[PRECIO $]]*1.18</f>
        <v>1102.1577599999998</v>
      </c>
      <c r="J342" s="7">
        <f>+Tabla1[[#This Row],[PRECIO EN SOLES]]-Tabla1[[#This Row],[PC]]</f>
        <v>173.32224000000019</v>
      </c>
      <c r="K342" s="15"/>
      <c r="L342" s="15" t="str">
        <f>IF(
OR(
ISNUMBER(SEARCH("BACKPACK",B344)),
ISNUMBER(SEARCH("MOCHILA",B344)),
ISNUMBER(SEARCH("FUNDA",B344)),
ISNUMBER(SEARCH("ESTUCHE",B344)),
ISNUMBER(SEARCH("BOOK COVER",B344)),
ISNUMBER(SEARCH("KEYBOARD PARA TABLET",B344)),
ISNUMBER(SEARCH("FLIP TABLET",B344)),
ISNUMBER(SEARCH("CASE FOR TABLET",B344)),
ISNUMBER(SEARCH("CABLE",B344)),
ISNUMBER(SEARCH("ADAPTADOR",B344)),
ISNUMBER(SEARCH("HUB",B344)),
ISNUMBER(SEARCH("DOCK",B344)),
ISNUMBER(SEARCH("MOUSE PAD",B344)),
ISNUMBER(SEARCH("MOUSEPAD",B344)),
ISNUMBER(SEARCH("SOPORTE",B344)),
ISNUMBER(SEARCH("STAND",B344)),
ISNUMBER(SEARCH("TRAVEL ADAPTER",B344)),
ISNUMBER(SEARCH("RJ45",B344)),
ISNUMBER(SEARCH("USB-C",B344)),
ISNUMBER(SEARCH("USB WIFI",B344)),
ISNUMBER(SEARCH("POWERBANK",B344)),
ISNUMBER(SEARCH("CARGADOR",B344)),
ISNUMBER(SEARCH("COOLER PARA NB",B344)),
ISNUMBER(SEARCH("SOPORTE PARA NB",B344)),
ISNUMBER(SEARCH("WEBCAM",B344)),
ISNUMBER(SEARCH("WEB CAM",B344)),
ISNUMBER(SEARCH("MOUSE",B344)),
ISNUMBER(SEARCH("TECLADO",B344))
),
"COMPLEMENTO",
IF(
OR(
LEFT(A344,2)="NB",
LEFT(A344,2)="PC",
LEFT(A344,2)="WS",
LEFT(A344,2)="TB",
LEFT(A344,3)="CEL",
LEFT(A344,3)="MON",
LEFT(A344,3)="PRE",
LEFT(A344,3)="PRH",
ISNUMBER(SEARCH("NOTEBOOK",B344)),
ISNUMBER(SEARCH("LAPTOP",B344)),
ISNUMBER(SEARCH("MONITOR",B344)),
ISNUMBER(SEARCH("TABLET",B344)),
ISNUMBER(SEARCH("SMARTPH",B344)),
ISNUMBER(SEARCH("IMPRESORA",B344)),
ISNUMBER(SEARCH("MULTIFUNCIONAL",B344)),
ISNUMBER(SEARCH("AIO",B344))
),
"GANCHO",
"NORMAL"
)
)</f>
        <v>NORMAL</v>
      </c>
    </row>
    <row r="343" spans="1:12" x14ac:dyDescent="0.25">
      <c r="A343" s="3" t="s">
        <v>1051</v>
      </c>
      <c r="B343" s="3" t="s">
        <v>1052</v>
      </c>
      <c r="C343" s="1">
        <v>20</v>
      </c>
      <c r="D343" s="1">
        <v>254.3</v>
      </c>
      <c r="E343" s="1" t="s">
        <v>186</v>
      </c>
      <c r="F343" s="1" t="s">
        <v>3222</v>
      </c>
      <c r="G343" s="3" t="s">
        <v>1053</v>
      </c>
      <c r="H343" s="11">
        <f>ROUND(
IF(L341="GANCHO",
   IF(I343&lt;=50,I343*1.1+4,IF(I343&lt;=120,I343*1.1+7,IF(I343&lt;=250,I343*1.1+11,I343*1.1+19))),
IF(L341="NORMAL",
   IF(I343&lt;=30,I343*1.15+2,IF(I343&lt;=80,I343*1.15+4,IF(I343&lt;=150,I343*1.15+6,I343*1.15+8))),
IF(L341="COMPLEMENTO",
   IF(I343&lt;=25,I343*1.25+1.5,IF(I343&lt;=60,I343*1.25+3,IF(I343&lt;=120,I343*1.25+4,I343*1.25+5))),
""))),2)</f>
        <v>1208.9000000000001</v>
      </c>
      <c r="I343" s="9">
        <f>($K$2+0.02)*Tabla1[[#This Row],[PRECIO $]]*1.18</f>
        <v>1044.2575200000001</v>
      </c>
      <c r="J343" s="7">
        <f>+Tabla1[[#This Row],[PRECIO EN SOLES]]-Tabla1[[#This Row],[PC]]</f>
        <v>164.64247999999998</v>
      </c>
      <c r="K343" s="15"/>
      <c r="L343" s="15" t="str">
        <f>IF(
OR(
ISNUMBER(SEARCH("BACKPACK",B345)),
ISNUMBER(SEARCH("MOCHILA",B345)),
ISNUMBER(SEARCH("FUNDA",B345)),
ISNUMBER(SEARCH("ESTUCHE",B345)),
ISNUMBER(SEARCH("BOOK COVER",B345)),
ISNUMBER(SEARCH("KEYBOARD PARA TABLET",B345)),
ISNUMBER(SEARCH("FLIP TABLET",B345)),
ISNUMBER(SEARCH("CASE FOR TABLET",B345)),
ISNUMBER(SEARCH("CABLE",B345)),
ISNUMBER(SEARCH("ADAPTADOR",B345)),
ISNUMBER(SEARCH("HUB",B345)),
ISNUMBER(SEARCH("DOCK",B345)),
ISNUMBER(SEARCH("MOUSE PAD",B345)),
ISNUMBER(SEARCH("MOUSEPAD",B345)),
ISNUMBER(SEARCH("SOPORTE",B345)),
ISNUMBER(SEARCH("STAND",B345)),
ISNUMBER(SEARCH("TRAVEL ADAPTER",B345)),
ISNUMBER(SEARCH("RJ45",B345)),
ISNUMBER(SEARCH("USB-C",B345)),
ISNUMBER(SEARCH("USB WIFI",B345)),
ISNUMBER(SEARCH("POWERBANK",B345)),
ISNUMBER(SEARCH("CARGADOR",B345)),
ISNUMBER(SEARCH("COOLER PARA NB",B345)),
ISNUMBER(SEARCH("SOPORTE PARA NB",B345)),
ISNUMBER(SEARCH("WEBCAM",B345)),
ISNUMBER(SEARCH("WEB CAM",B345)),
ISNUMBER(SEARCH("MOUSE",B345)),
ISNUMBER(SEARCH("TECLADO",B345))
),
"COMPLEMENTO",
IF(
OR(
LEFT(A345,2)="NB",
LEFT(A345,2)="PC",
LEFT(A345,2)="WS",
LEFT(A345,2)="TB",
LEFT(A345,3)="CEL",
LEFT(A345,3)="MON",
LEFT(A345,3)="PRE",
LEFT(A345,3)="PRH",
ISNUMBER(SEARCH("NOTEBOOK",B345)),
ISNUMBER(SEARCH("LAPTOP",B345)),
ISNUMBER(SEARCH("MONITOR",B345)),
ISNUMBER(SEARCH("TABLET",B345)),
ISNUMBER(SEARCH("SMARTPH",B345)),
ISNUMBER(SEARCH("IMPRESORA",B345)),
ISNUMBER(SEARCH("MULTIFUNCIONAL",B345)),
ISNUMBER(SEARCH("AIO",B345))
),
"GANCHO",
"NORMAL"
)
)</f>
        <v>NORMAL</v>
      </c>
    </row>
    <row r="344" spans="1:12" x14ac:dyDescent="0.25">
      <c r="A344" s="3" t="s">
        <v>1054</v>
      </c>
      <c r="B344" s="3" t="s">
        <v>1055</v>
      </c>
      <c r="C344" s="1">
        <v>7</v>
      </c>
      <c r="D344" s="1">
        <v>283.3</v>
      </c>
      <c r="E344" s="1" t="s">
        <v>186</v>
      </c>
      <c r="F344" s="1" t="s">
        <v>3223</v>
      </c>
      <c r="G344" s="3" t="s">
        <v>1056</v>
      </c>
      <c r="H344" s="11">
        <f>ROUND(
IF(L342="GANCHO",
   IF(I344&lt;=50,I344*1.1+4,IF(I344&lt;=120,I344*1.1+7,IF(I344&lt;=250,I344*1.1+11,I344*1.1+19))),
IF(L342="NORMAL",
   IF(I344&lt;=30,I344*1.15+2,IF(I344&lt;=80,I344*1.15+4,IF(I344&lt;=150,I344*1.15+6,I344*1.15+8))),
IF(L342="COMPLEMENTO",
   IF(I344&lt;=25,I344*1.25+1.5,IF(I344&lt;=60,I344*1.25+3,IF(I344&lt;=120,I344*1.25+4,I344*1.25+5))),
""))),2)</f>
        <v>1345.84</v>
      </c>
      <c r="I344" s="9">
        <f>($K$2+0.02)*Tabla1[[#This Row],[PRECIO $]]*1.18</f>
        <v>1163.34312</v>
      </c>
      <c r="J344" s="7">
        <f>+Tabla1[[#This Row],[PRECIO EN SOLES]]-Tabla1[[#This Row],[PC]]</f>
        <v>182.49687999999992</v>
      </c>
      <c r="K344" s="15"/>
      <c r="L344" s="15" t="str">
        <f>IF(
OR(
ISNUMBER(SEARCH("BACKPACK",B346)),
ISNUMBER(SEARCH("MOCHILA",B346)),
ISNUMBER(SEARCH("FUNDA",B346)),
ISNUMBER(SEARCH("ESTUCHE",B346)),
ISNUMBER(SEARCH("BOOK COVER",B346)),
ISNUMBER(SEARCH("KEYBOARD PARA TABLET",B346)),
ISNUMBER(SEARCH("FLIP TABLET",B346)),
ISNUMBER(SEARCH("CASE FOR TABLET",B346)),
ISNUMBER(SEARCH("CABLE",B346)),
ISNUMBER(SEARCH("ADAPTADOR",B346)),
ISNUMBER(SEARCH("HUB",B346)),
ISNUMBER(SEARCH("DOCK",B346)),
ISNUMBER(SEARCH("MOUSE PAD",B346)),
ISNUMBER(SEARCH("MOUSEPAD",B346)),
ISNUMBER(SEARCH("SOPORTE",B346)),
ISNUMBER(SEARCH("STAND",B346)),
ISNUMBER(SEARCH("TRAVEL ADAPTER",B346)),
ISNUMBER(SEARCH("RJ45",B346)),
ISNUMBER(SEARCH("USB-C",B346)),
ISNUMBER(SEARCH("USB WIFI",B346)),
ISNUMBER(SEARCH("POWERBANK",B346)),
ISNUMBER(SEARCH("CARGADOR",B346)),
ISNUMBER(SEARCH("COOLER PARA NB",B346)),
ISNUMBER(SEARCH("SOPORTE PARA NB",B346)),
ISNUMBER(SEARCH("WEBCAM",B346)),
ISNUMBER(SEARCH("WEB CAM",B346)),
ISNUMBER(SEARCH("MOUSE",B346)),
ISNUMBER(SEARCH("TECLADO",B346))
),
"COMPLEMENTO",
IF(
OR(
LEFT(A346,2)="NB",
LEFT(A346,2)="PC",
LEFT(A346,2)="WS",
LEFT(A346,2)="TB",
LEFT(A346,3)="CEL",
LEFT(A346,3)="MON",
LEFT(A346,3)="PRE",
LEFT(A346,3)="PRH",
ISNUMBER(SEARCH("NOTEBOOK",B346)),
ISNUMBER(SEARCH("LAPTOP",B346)),
ISNUMBER(SEARCH("MONITOR",B346)),
ISNUMBER(SEARCH("TABLET",B346)),
ISNUMBER(SEARCH("SMARTPH",B346)),
ISNUMBER(SEARCH("IMPRESORA",B346)),
ISNUMBER(SEARCH("MULTIFUNCIONAL",B346)),
ISNUMBER(SEARCH("AIO",B346))
),
"GANCHO",
"NORMAL"
)
)</f>
        <v>NORMAL</v>
      </c>
    </row>
    <row r="345" spans="1:12" x14ac:dyDescent="0.25">
      <c r="A345" s="3" t="s">
        <v>5647</v>
      </c>
      <c r="B345" s="3" t="s">
        <v>5648</v>
      </c>
      <c r="C345" s="1">
        <v>20</v>
      </c>
      <c r="D345" s="1">
        <v>324</v>
      </c>
      <c r="E345" s="1" t="s">
        <v>186</v>
      </c>
      <c r="F345" s="1" t="s">
        <v>5649</v>
      </c>
      <c r="G345" s="3" t="s">
        <v>5650</v>
      </c>
      <c r="H345" s="11">
        <f>ROUND(
IF(L343="GANCHO",
   IF(I345&lt;=50,I345*1.1+4,IF(I345&lt;=120,I345*1.1+7,IF(I345&lt;=250,I345*1.1+11,I345*1.1+19))),
IF(L343="NORMAL",
   IF(I345&lt;=30,I345*1.15+2,IF(I345&lt;=80,I345*1.15+4,IF(I345&lt;=150,I345*1.15+6,I345*1.15+8))),
IF(L343="COMPLEMENTO",
   IF(I345&lt;=25,I345*1.25+1.5,IF(I345&lt;=60,I345*1.25+3,IF(I345&lt;=120,I345*1.25+4,I345*1.25+5))),
""))),2)</f>
        <v>1538.04</v>
      </c>
      <c r="I345" s="9">
        <f>($K$2+0.02)*Tabla1[[#This Row],[PRECIO $]]*1.18</f>
        <v>1330.4735999999998</v>
      </c>
      <c r="J345" s="7">
        <f>+Tabla1[[#This Row],[PRECIO EN SOLES]]-Tabla1[[#This Row],[PC]]</f>
        <v>207.56640000000016</v>
      </c>
      <c r="K345" s="15"/>
      <c r="L345" s="15" t="str">
        <f>IF(
OR(
ISNUMBER(SEARCH("BACKPACK",B347)),
ISNUMBER(SEARCH("MOCHILA",B347)),
ISNUMBER(SEARCH("FUNDA",B347)),
ISNUMBER(SEARCH("ESTUCHE",B347)),
ISNUMBER(SEARCH("BOOK COVER",B347)),
ISNUMBER(SEARCH("KEYBOARD PARA TABLET",B347)),
ISNUMBER(SEARCH("FLIP TABLET",B347)),
ISNUMBER(SEARCH("CASE FOR TABLET",B347)),
ISNUMBER(SEARCH("CABLE",B347)),
ISNUMBER(SEARCH("ADAPTADOR",B347)),
ISNUMBER(SEARCH("HUB",B347)),
ISNUMBER(SEARCH("DOCK",B347)),
ISNUMBER(SEARCH("MOUSE PAD",B347)),
ISNUMBER(SEARCH("MOUSEPAD",B347)),
ISNUMBER(SEARCH("SOPORTE",B347)),
ISNUMBER(SEARCH("STAND",B347)),
ISNUMBER(SEARCH("TRAVEL ADAPTER",B347)),
ISNUMBER(SEARCH("RJ45",B347)),
ISNUMBER(SEARCH("USB-C",B347)),
ISNUMBER(SEARCH("USB WIFI",B347)),
ISNUMBER(SEARCH("POWERBANK",B347)),
ISNUMBER(SEARCH("CARGADOR",B347)),
ISNUMBER(SEARCH("COOLER PARA NB",B347)),
ISNUMBER(SEARCH("SOPORTE PARA NB",B347)),
ISNUMBER(SEARCH("WEBCAM",B347)),
ISNUMBER(SEARCH("WEB CAM",B347)),
ISNUMBER(SEARCH("MOUSE",B347)),
ISNUMBER(SEARCH("TECLADO",B347))
),
"COMPLEMENTO",
IF(
OR(
LEFT(A347,2)="NB",
LEFT(A347,2)="PC",
LEFT(A347,2)="WS",
LEFT(A347,2)="TB",
LEFT(A347,3)="CEL",
LEFT(A347,3)="MON",
LEFT(A347,3)="PRE",
LEFT(A347,3)="PRH",
ISNUMBER(SEARCH("NOTEBOOK",B347)),
ISNUMBER(SEARCH("LAPTOP",B347)),
ISNUMBER(SEARCH("MONITOR",B347)),
ISNUMBER(SEARCH("TABLET",B347)),
ISNUMBER(SEARCH("SMARTPH",B347)),
ISNUMBER(SEARCH("IMPRESORA",B347)),
ISNUMBER(SEARCH("MULTIFUNCIONAL",B347)),
ISNUMBER(SEARCH("AIO",B347))
),
"GANCHO",
"NORMAL"
)
)</f>
        <v>NORMAL</v>
      </c>
    </row>
    <row r="346" spans="1:12" x14ac:dyDescent="0.25">
      <c r="A346" s="3" t="s">
        <v>1057</v>
      </c>
      <c r="B346" s="3" t="s">
        <v>1058</v>
      </c>
      <c r="C346" s="1">
        <v>20</v>
      </c>
      <c r="D346" s="1">
        <v>420.5</v>
      </c>
      <c r="E346" s="1" t="s">
        <v>186</v>
      </c>
      <c r="F346" s="1" t="s">
        <v>3224</v>
      </c>
      <c r="G346" s="3" t="s">
        <v>1059</v>
      </c>
      <c r="H346" s="11">
        <f>ROUND(
IF(L344="GANCHO",
   IF(I346&lt;=50,I346*1.1+4,IF(I346&lt;=120,I346*1.1+7,IF(I346&lt;=250,I346*1.1+11,I346*1.1+19))),
IF(L344="NORMAL",
   IF(I346&lt;=30,I346*1.15+2,IF(I346&lt;=80,I346*1.15+4,IF(I346&lt;=150,I346*1.15+6,I346*1.15+8))),
IF(L344="COMPLEMENTO",
   IF(I346&lt;=25,I346*1.25+1.5,IF(I346&lt;=60,I346*1.25+3,IF(I346&lt;=120,I346*1.25+4,I346*1.25+5))),
""))),2)</f>
        <v>1993.75</v>
      </c>
      <c r="I346" s="9">
        <f>($K$2+0.02)*Tabla1[[#This Row],[PRECIO $]]*1.18</f>
        <v>1726.7411999999997</v>
      </c>
      <c r="J346" s="7">
        <f>+Tabla1[[#This Row],[PRECIO EN SOLES]]-Tabla1[[#This Row],[PC]]</f>
        <v>267.00880000000029</v>
      </c>
      <c r="K346" s="15"/>
      <c r="L346" s="15" t="str">
        <f>IF(
OR(
ISNUMBER(SEARCH("BACKPACK",B348)),
ISNUMBER(SEARCH("MOCHILA",B348)),
ISNUMBER(SEARCH("FUNDA",B348)),
ISNUMBER(SEARCH("ESTUCHE",B348)),
ISNUMBER(SEARCH("BOOK COVER",B348)),
ISNUMBER(SEARCH("KEYBOARD PARA TABLET",B348)),
ISNUMBER(SEARCH("FLIP TABLET",B348)),
ISNUMBER(SEARCH("CASE FOR TABLET",B348)),
ISNUMBER(SEARCH("CABLE",B348)),
ISNUMBER(SEARCH("ADAPTADOR",B348)),
ISNUMBER(SEARCH("HUB",B348)),
ISNUMBER(SEARCH("DOCK",B348)),
ISNUMBER(SEARCH("MOUSE PAD",B348)),
ISNUMBER(SEARCH("MOUSEPAD",B348)),
ISNUMBER(SEARCH("SOPORTE",B348)),
ISNUMBER(SEARCH("STAND",B348)),
ISNUMBER(SEARCH("TRAVEL ADAPTER",B348)),
ISNUMBER(SEARCH("RJ45",B348)),
ISNUMBER(SEARCH("USB-C",B348)),
ISNUMBER(SEARCH("USB WIFI",B348)),
ISNUMBER(SEARCH("POWERBANK",B348)),
ISNUMBER(SEARCH("CARGADOR",B348)),
ISNUMBER(SEARCH("COOLER PARA NB",B348)),
ISNUMBER(SEARCH("SOPORTE PARA NB",B348)),
ISNUMBER(SEARCH("WEBCAM",B348)),
ISNUMBER(SEARCH("WEB CAM",B348)),
ISNUMBER(SEARCH("MOUSE",B348)),
ISNUMBER(SEARCH("TECLADO",B348))
),
"COMPLEMENTO",
IF(
OR(
LEFT(A348,2)="NB",
LEFT(A348,2)="PC",
LEFT(A348,2)="WS",
LEFT(A348,2)="TB",
LEFT(A348,3)="CEL",
LEFT(A348,3)="MON",
LEFT(A348,3)="PRE",
LEFT(A348,3)="PRH",
ISNUMBER(SEARCH("NOTEBOOK",B348)),
ISNUMBER(SEARCH("LAPTOP",B348)),
ISNUMBER(SEARCH("MONITOR",B348)),
ISNUMBER(SEARCH("TABLET",B348)),
ISNUMBER(SEARCH("SMARTPH",B348)),
ISNUMBER(SEARCH("IMPRESORA",B348)),
ISNUMBER(SEARCH("MULTIFUNCIONAL",B348)),
ISNUMBER(SEARCH("AIO",B348))
),
"GANCHO",
"NORMAL"
)
)</f>
        <v>NORMAL</v>
      </c>
    </row>
    <row r="347" spans="1:12" x14ac:dyDescent="0.25">
      <c r="A347" s="3" t="s">
        <v>1060</v>
      </c>
      <c r="B347" s="3" t="s">
        <v>1061</v>
      </c>
      <c r="C347" s="1">
        <v>4</v>
      </c>
      <c r="D347" s="1">
        <v>216.4</v>
      </c>
      <c r="E347" s="1" t="s">
        <v>186</v>
      </c>
      <c r="F347" s="1" t="s">
        <v>3225</v>
      </c>
      <c r="G347" s="3" t="s">
        <v>1062</v>
      </c>
      <c r="H347" s="11">
        <f>ROUND(
IF(L345="GANCHO",
   IF(I347&lt;=50,I347*1.1+4,IF(I347&lt;=120,I347*1.1+7,IF(I347&lt;=250,I347*1.1+11,I347*1.1+19))),
IF(L345="NORMAL",
   IF(I347&lt;=30,I347*1.15+2,IF(I347&lt;=80,I347*1.15+4,IF(I347&lt;=150,I347*1.15+6,I347*1.15+8))),
IF(L345="COMPLEMENTO",
   IF(I347&lt;=25,I347*1.25+1.5,IF(I347&lt;=60,I347*1.25+3,IF(I347&lt;=120,I347*1.25+4,I347*1.25+5))),
""))),2)</f>
        <v>1029.92</v>
      </c>
      <c r="I347" s="9">
        <f>($K$2+0.02)*Tabla1[[#This Row],[PRECIO $]]*1.18</f>
        <v>888.62495999999999</v>
      </c>
      <c r="J347" s="7">
        <f>+Tabla1[[#This Row],[PRECIO EN SOLES]]-Tabla1[[#This Row],[PC]]</f>
        <v>141.29504000000009</v>
      </c>
      <c r="K347" s="15"/>
      <c r="L347" s="15" t="str">
        <f>IF(
OR(
ISNUMBER(SEARCH("BACKPACK",B349)),
ISNUMBER(SEARCH("MOCHILA",B349)),
ISNUMBER(SEARCH("FUNDA",B349)),
ISNUMBER(SEARCH("ESTUCHE",B349)),
ISNUMBER(SEARCH("BOOK COVER",B349)),
ISNUMBER(SEARCH("KEYBOARD PARA TABLET",B349)),
ISNUMBER(SEARCH("FLIP TABLET",B349)),
ISNUMBER(SEARCH("CASE FOR TABLET",B349)),
ISNUMBER(SEARCH("CABLE",B349)),
ISNUMBER(SEARCH("ADAPTADOR",B349)),
ISNUMBER(SEARCH("HUB",B349)),
ISNUMBER(SEARCH("DOCK",B349)),
ISNUMBER(SEARCH("MOUSE PAD",B349)),
ISNUMBER(SEARCH("MOUSEPAD",B349)),
ISNUMBER(SEARCH("SOPORTE",B349)),
ISNUMBER(SEARCH("STAND",B349)),
ISNUMBER(SEARCH("TRAVEL ADAPTER",B349)),
ISNUMBER(SEARCH("RJ45",B349)),
ISNUMBER(SEARCH("USB-C",B349)),
ISNUMBER(SEARCH("USB WIFI",B349)),
ISNUMBER(SEARCH("POWERBANK",B349)),
ISNUMBER(SEARCH("CARGADOR",B349)),
ISNUMBER(SEARCH("COOLER PARA NB",B349)),
ISNUMBER(SEARCH("SOPORTE PARA NB",B349)),
ISNUMBER(SEARCH("WEBCAM",B349)),
ISNUMBER(SEARCH("WEB CAM",B349)),
ISNUMBER(SEARCH("MOUSE",B349)),
ISNUMBER(SEARCH("TECLADO",B349))
),
"COMPLEMENTO",
IF(
OR(
LEFT(A349,2)="NB",
LEFT(A349,2)="PC",
LEFT(A349,2)="WS",
LEFT(A349,2)="TB",
LEFT(A349,3)="CEL",
LEFT(A349,3)="MON",
LEFT(A349,3)="PRE",
LEFT(A349,3)="PRH",
ISNUMBER(SEARCH("NOTEBOOK",B349)),
ISNUMBER(SEARCH("LAPTOP",B349)),
ISNUMBER(SEARCH("MONITOR",B349)),
ISNUMBER(SEARCH("TABLET",B349)),
ISNUMBER(SEARCH("SMARTPH",B349)),
ISNUMBER(SEARCH("IMPRESORA",B349)),
ISNUMBER(SEARCH("MULTIFUNCIONAL",B349)),
ISNUMBER(SEARCH("AIO",B349))
),
"GANCHO",
"NORMAL"
)
)</f>
        <v>NORMAL</v>
      </c>
    </row>
    <row r="348" spans="1:12" x14ac:dyDescent="0.25">
      <c r="A348" s="3" t="s">
        <v>1063</v>
      </c>
      <c r="B348" s="3" t="s">
        <v>1064</v>
      </c>
      <c r="C348" s="1">
        <v>9</v>
      </c>
      <c r="D348" s="1">
        <v>232.5</v>
      </c>
      <c r="E348" s="1" t="s">
        <v>186</v>
      </c>
      <c r="F348" s="1" t="s">
        <v>3226</v>
      </c>
      <c r="G348" s="3" t="s">
        <v>1065</v>
      </c>
      <c r="H348" s="11">
        <f>ROUND(
IF(L346="GANCHO",
   IF(I348&lt;=50,I348*1.1+4,IF(I348&lt;=120,I348*1.1+7,IF(I348&lt;=250,I348*1.1+11,I348*1.1+19))),
IF(L346="NORMAL",
   IF(I348&lt;=30,I348*1.15+2,IF(I348&lt;=80,I348*1.15+4,IF(I348&lt;=150,I348*1.15+6,I348*1.15+8))),
IF(L346="COMPLEMENTO",
   IF(I348&lt;=25,I348*1.25+1.5,IF(I348&lt;=60,I348*1.25+3,IF(I348&lt;=120,I348*1.25+4,I348*1.25+5))),
""))),2)</f>
        <v>1105.95</v>
      </c>
      <c r="I348" s="9">
        <f>($K$2+0.02)*Tabla1[[#This Row],[PRECIO $]]*1.18</f>
        <v>954.73799999999994</v>
      </c>
      <c r="J348" s="7">
        <f>+Tabla1[[#This Row],[PRECIO EN SOLES]]-Tabla1[[#This Row],[PC]]</f>
        <v>151.2120000000001</v>
      </c>
      <c r="K348" s="15"/>
      <c r="L348" s="15" t="str">
        <f>IF(
OR(
ISNUMBER(SEARCH("BACKPACK",B350)),
ISNUMBER(SEARCH("MOCHILA",B350)),
ISNUMBER(SEARCH("FUNDA",B350)),
ISNUMBER(SEARCH("ESTUCHE",B350)),
ISNUMBER(SEARCH("BOOK COVER",B350)),
ISNUMBER(SEARCH("KEYBOARD PARA TABLET",B350)),
ISNUMBER(SEARCH("FLIP TABLET",B350)),
ISNUMBER(SEARCH("CASE FOR TABLET",B350)),
ISNUMBER(SEARCH("CABLE",B350)),
ISNUMBER(SEARCH("ADAPTADOR",B350)),
ISNUMBER(SEARCH("HUB",B350)),
ISNUMBER(SEARCH("DOCK",B350)),
ISNUMBER(SEARCH("MOUSE PAD",B350)),
ISNUMBER(SEARCH("MOUSEPAD",B350)),
ISNUMBER(SEARCH("SOPORTE",B350)),
ISNUMBER(SEARCH("STAND",B350)),
ISNUMBER(SEARCH("TRAVEL ADAPTER",B350)),
ISNUMBER(SEARCH("RJ45",B350)),
ISNUMBER(SEARCH("USB-C",B350)),
ISNUMBER(SEARCH("USB WIFI",B350)),
ISNUMBER(SEARCH("POWERBANK",B350)),
ISNUMBER(SEARCH("CARGADOR",B350)),
ISNUMBER(SEARCH("COOLER PARA NB",B350)),
ISNUMBER(SEARCH("SOPORTE PARA NB",B350)),
ISNUMBER(SEARCH("WEBCAM",B350)),
ISNUMBER(SEARCH("WEB CAM",B350)),
ISNUMBER(SEARCH("MOUSE",B350)),
ISNUMBER(SEARCH("TECLADO",B350))
),
"COMPLEMENTO",
IF(
OR(
LEFT(A350,2)="NB",
LEFT(A350,2)="PC",
LEFT(A350,2)="WS",
LEFT(A350,2)="TB",
LEFT(A350,3)="CEL",
LEFT(A350,3)="MON",
LEFT(A350,3)="PRE",
LEFT(A350,3)="PRH",
ISNUMBER(SEARCH("NOTEBOOK",B350)),
ISNUMBER(SEARCH("LAPTOP",B350)),
ISNUMBER(SEARCH("MONITOR",B350)),
ISNUMBER(SEARCH("TABLET",B350)),
ISNUMBER(SEARCH("SMARTPH",B350)),
ISNUMBER(SEARCH("IMPRESORA",B350)),
ISNUMBER(SEARCH("MULTIFUNCIONAL",B350)),
ISNUMBER(SEARCH("AIO",B350))
),
"GANCHO",
"NORMAL"
)
)</f>
        <v>NORMAL</v>
      </c>
    </row>
    <row r="349" spans="1:12" x14ac:dyDescent="0.25">
      <c r="A349" s="3" t="s">
        <v>5651</v>
      </c>
      <c r="B349" s="3" t="s">
        <v>5652</v>
      </c>
      <c r="C349" s="1">
        <v>0</v>
      </c>
      <c r="D349" s="1">
        <v>120.3</v>
      </c>
      <c r="E349" s="1" t="s">
        <v>186</v>
      </c>
      <c r="F349" s="1" t="s">
        <v>5653</v>
      </c>
      <c r="G349" s="3" t="s">
        <v>5654</v>
      </c>
      <c r="H349" s="11">
        <f>ROUND(
IF(L347="GANCHO",
   IF(I349&lt;=50,I349*1.1+4,IF(I349&lt;=120,I349*1.1+7,IF(I349&lt;=250,I349*1.1+11,I349*1.1+19))),
IF(L347="NORMAL",
   IF(I349&lt;=30,I349*1.15+2,IF(I349&lt;=80,I349*1.15+4,IF(I349&lt;=150,I349*1.15+6,I349*1.15+8))),
IF(L347="COMPLEMENTO",
   IF(I349&lt;=25,I349*1.25+1.5,IF(I349&lt;=60,I349*1.25+3,IF(I349&lt;=120,I349*1.25+4,I349*1.25+5))),
""))),2)</f>
        <v>576.1</v>
      </c>
      <c r="I349" s="9">
        <f>($K$2+0.02)*Tabla1[[#This Row],[PRECIO $]]*1.18</f>
        <v>493.99991999999997</v>
      </c>
      <c r="J349" s="7">
        <f>+Tabla1[[#This Row],[PRECIO EN SOLES]]-Tabla1[[#This Row],[PC]]</f>
        <v>82.100080000000048</v>
      </c>
      <c r="K349" s="15"/>
      <c r="L349" s="15" t="str">
        <f>IF(
OR(
ISNUMBER(SEARCH("BACKPACK",B351)),
ISNUMBER(SEARCH("MOCHILA",B351)),
ISNUMBER(SEARCH("FUNDA",B351)),
ISNUMBER(SEARCH("ESTUCHE",B351)),
ISNUMBER(SEARCH("BOOK COVER",B351)),
ISNUMBER(SEARCH("KEYBOARD PARA TABLET",B351)),
ISNUMBER(SEARCH("FLIP TABLET",B351)),
ISNUMBER(SEARCH("CASE FOR TABLET",B351)),
ISNUMBER(SEARCH("CABLE",B351)),
ISNUMBER(SEARCH("ADAPTADOR",B351)),
ISNUMBER(SEARCH("HUB",B351)),
ISNUMBER(SEARCH("DOCK",B351)),
ISNUMBER(SEARCH("MOUSE PAD",B351)),
ISNUMBER(SEARCH("MOUSEPAD",B351)),
ISNUMBER(SEARCH("SOPORTE",B351)),
ISNUMBER(SEARCH("STAND",B351)),
ISNUMBER(SEARCH("TRAVEL ADAPTER",B351)),
ISNUMBER(SEARCH("RJ45",B351)),
ISNUMBER(SEARCH("USB-C",B351)),
ISNUMBER(SEARCH("USB WIFI",B351)),
ISNUMBER(SEARCH("POWERBANK",B351)),
ISNUMBER(SEARCH("CARGADOR",B351)),
ISNUMBER(SEARCH("COOLER PARA NB",B351)),
ISNUMBER(SEARCH("SOPORTE PARA NB",B351)),
ISNUMBER(SEARCH("WEBCAM",B351)),
ISNUMBER(SEARCH("WEB CAM",B351)),
ISNUMBER(SEARCH("MOUSE",B351)),
ISNUMBER(SEARCH("TECLADO",B351))
),
"COMPLEMENTO",
IF(
OR(
LEFT(A351,2)="NB",
LEFT(A351,2)="PC",
LEFT(A351,2)="WS",
LEFT(A351,2)="TB",
LEFT(A351,3)="CEL",
LEFT(A351,3)="MON",
LEFT(A351,3)="PRE",
LEFT(A351,3)="PRH",
ISNUMBER(SEARCH("NOTEBOOK",B351)),
ISNUMBER(SEARCH("LAPTOP",B351)),
ISNUMBER(SEARCH("MONITOR",B351)),
ISNUMBER(SEARCH("TABLET",B351)),
ISNUMBER(SEARCH("SMARTPH",B351)),
ISNUMBER(SEARCH("IMPRESORA",B351)),
ISNUMBER(SEARCH("MULTIFUNCIONAL",B351)),
ISNUMBER(SEARCH("AIO",B351))
),
"GANCHO",
"NORMAL"
)
)</f>
        <v>NORMAL</v>
      </c>
    </row>
    <row r="350" spans="1:12" x14ac:dyDescent="0.25">
      <c r="A350" s="3" t="s">
        <v>1067</v>
      </c>
      <c r="B350" s="3" t="s">
        <v>1066</v>
      </c>
      <c r="C350" s="1">
        <v>2</v>
      </c>
      <c r="D350" s="1">
        <v>174.4</v>
      </c>
      <c r="E350" s="1" t="s">
        <v>186</v>
      </c>
      <c r="F350" s="1" t="s">
        <v>3227</v>
      </c>
      <c r="G350" s="3" t="s">
        <v>1068</v>
      </c>
      <c r="H350" s="11">
        <f>ROUND(
IF(L348="GANCHO",
   IF(I350&lt;=50,I350*1.1+4,IF(I350&lt;=120,I350*1.1+7,IF(I350&lt;=250,I350*1.1+11,I350*1.1+19))),
IF(L348="NORMAL",
   IF(I350&lt;=30,I350*1.15+2,IF(I350&lt;=80,I350*1.15+4,IF(I350&lt;=150,I350*1.15+6,I350*1.15+8))),
IF(L348="COMPLEMENTO",
   IF(I350&lt;=25,I350*1.25+1.5,IF(I350&lt;=60,I350*1.25+3,IF(I350&lt;=120,I350*1.25+4,I350*1.25+5))),
""))),2)</f>
        <v>831.58</v>
      </c>
      <c r="I350" s="9">
        <f>($K$2+0.02)*Tabla1[[#This Row],[PRECIO $]]*1.18</f>
        <v>716.15616</v>
      </c>
      <c r="J350" s="7">
        <f>+Tabla1[[#This Row],[PRECIO EN SOLES]]-Tabla1[[#This Row],[PC]]</f>
        <v>115.42384000000004</v>
      </c>
      <c r="K350" s="15"/>
      <c r="L350" s="15" t="str">
        <f>IF(
OR(
ISNUMBER(SEARCH("BACKPACK",B352)),
ISNUMBER(SEARCH("MOCHILA",B352)),
ISNUMBER(SEARCH("FUNDA",B352)),
ISNUMBER(SEARCH("ESTUCHE",B352)),
ISNUMBER(SEARCH("BOOK COVER",B352)),
ISNUMBER(SEARCH("KEYBOARD PARA TABLET",B352)),
ISNUMBER(SEARCH("FLIP TABLET",B352)),
ISNUMBER(SEARCH("CASE FOR TABLET",B352)),
ISNUMBER(SEARCH("CABLE",B352)),
ISNUMBER(SEARCH("ADAPTADOR",B352)),
ISNUMBER(SEARCH("HUB",B352)),
ISNUMBER(SEARCH("DOCK",B352)),
ISNUMBER(SEARCH("MOUSE PAD",B352)),
ISNUMBER(SEARCH("MOUSEPAD",B352)),
ISNUMBER(SEARCH("SOPORTE",B352)),
ISNUMBER(SEARCH("STAND",B352)),
ISNUMBER(SEARCH("TRAVEL ADAPTER",B352)),
ISNUMBER(SEARCH("RJ45",B352)),
ISNUMBER(SEARCH("USB-C",B352)),
ISNUMBER(SEARCH("USB WIFI",B352)),
ISNUMBER(SEARCH("POWERBANK",B352)),
ISNUMBER(SEARCH("CARGADOR",B352)),
ISNUMBER(SEARCH("COOLER PARA NB",B352)),
ISNUMBER(SEARCH("SOPORTE PARA NB",B352)),
ISNUMBER(SEARCH("WEBCAM",B352)),
ISNUMBER(SEARCH("WEB CAM",B352)),
ISNUMBER(SEARCH("MOUSE",B352)),
ISNUMBER(SEARCH("TECLADO",B352))
),
"COMPLEMENTO",
IF(
OR(
LEFT(A352,2)="NB",
LEFT(A352,2)="PC",
LEFT(A352,2)="WS",
LEFT(A352,2)="TB",
LEFT(A352,3)="CEL",
LEFT(A352,3)="MON",
LEFT(A352,3)="PRE",
LEFT(A352,3)="PRH",
ISNUMBER(SEARCH("NOTEBOOK",B352)),
ISNUMBER(SEARCH("LAPTOP",B352)),
ISNUMBER(SEARCH("MONITOR",B352)),
ISNUMBER(SEARCH("TABLET",B352)),
ISNUMBER(SEARCH("SMARTPH",B352)),
ISNUMBER(SEARCH("IMPRESORA",B352)),
ISNUMBER(SEARCH("MULTIFUNCIONAL",B352)),
ISNUMBER(SEARCH("AIO",B352))
),
"GANCHO",
"NORMAL"
)
)</f>
        <v>NORMAL</v>
      </c>
    </row>
    <row r="351" spans="1:12" x14ac:dyDescent="0.25">
      <c r="A351" s="3" t="s">
        <v>191</v>
      </c>
      <c r="B351" s="3" t="s">
        <v>192</v>
      </c>
      <c r="C351" s="1">
        <v>20</v>
      </c>
      <c r="D351" s="1">
        <v>60.5</v>
      </c>
      <c r="E351" s="1" t="s">
        <v>186</v>
      </c>
      <c r="F351" s="1" t="s">
        <v>3228</v>
      </c>
      <c r="G351" s="3" t="s">
        <v>193</v>
      </c>
      <c r="H351" s="11">
        <f>ROUND(
IF(L349="GANCHO",
   IF(I351&lt;=50,I351*1.1+4,IF(I351&lt;=120,I351*1.1+7,IF(I351&lt;=250,I351*1.1+11,I351*1.1+19))),
IF(L349="NORMAL",
   IF(I351&lt;=30,I351*1.15+2,IF(I351&lt;=80,I351*1.15+4,IF(I351&lt;=150,I351*1.15+6,I351*1.15+8))),
IF(L349="COMPLEMENTO",
   IF(I351&lt;=25,I351*1.25+1.5,IF(I351&lt;=60,I351*1.25+3,IF(I351&lt;=120,I351*1.25+4,I351*1.25+5))),
""))),2)</f>
        <v>293.7</v>
      </c>
      <c r="I351" s="9">
        <f>($K$2+0.02)*Tabla1[[#This Row],[PRECIO $]]*1.18</f>
        <v>248.43719999999999</v>
      </c>
      <c r="J351" s="7">
        <f>+Tabla1[[#This Row],[PRECIO EN SOLES]]-Tabla1[[#This Row],[PC]]</f>
        <v>45.262799999999999</v>
      </c>
      <c r="K351" s="15"/>
      <c r="L351" s="15" t="str">
        <f>IF(
OR(
ISNUMBER(SEARCH("BACKPACK",B353)),
ISNUMBER(SEARCH("MOCHILA",B353)),
ISNUMBER(SEARCH("FUNDA",B353)),
ISNUMBER(SEARCH("ESTUCHE",B353)),
ISNUMBER(SEARCH("BOOK COVER",B353)),
ISNUMBER(SEARCH("KEYBOARD PARA TABLET",B353)),
ISNUMBER(SEARCH("FLIP TABLET",B353)),
ISNUMBER(SEARCH("CASE FOR TABLET",B353)),
ISNUMBER(SEARCH("CABLE",B353)),
ISNUMBER(SEARCH("ADAPTADOR",B353)),
ISNUMBER(SEARCH("HUB",B353)),
ISNUMBER(SEARCH("DOCK",B353)),
ISNUMBER(SEARCH("MOUSE PAD",B353)),
ISNUMBER(SEARCH("MOUSEPAD",B353)),
ISNUMBER(SEARCH("SOPORTE",B353)),
ISNUMBER(SEARCH("STAND",B353)),
ISNUMBER(SEARCH("TRAVEL ADAPTER",B353)),
ISNUMBER(SEARCH("RJ45",B353)),
ISNUMBER(SEARCH("USB-C",B353)),
ISNUMBER(SEARCH("USB WIFI",B353)),
ISNUMBER(SEARCH("POWERBANK",B353)),
ISNUMBER(SEARCH("CARGADOR",B353)),
ISNUMBER(SEARCH("COOLER PARA NB",B353)),
ISNUMBER(SEARCH("SOPORTE PARA NB",B353)),
ISNUMBER(SEARCH("WEBCAM",B353)),
ISNUMBER(SEARCH("WEB CAM",B353)),
ISNUMBER(SEARCH("MOUSE",B353)),
ISNUMBER(SEARCH("TECLADO",B353))
),
"COMPLEMENTO",
IF(
OR(
LEFT(A353,2)="NB",
LEFT(A353,2)="PC",
LEFT(A353,2)="WS",
LEFT(A353,2)="TB",
LEFT(A353,3)="CEL",
LEFT(A353,3)="MON",
LEFT(A353,3)="PRE",
LEFT(A353,3)="PRH",
ISNUMBER(SEARCH("NOTEBOOK",B353)),
ISNUMBER(SEARCH("LAPTOP",B353)),
ISNUMBER(SEARCH("MONITOR",B353)),
ISNUMBER(SEARCH("TABLET",B353)),
ISNUMBER(SEARCH("SMARTPH",B353)),
ISNUMBER(SEARCH("IMPRESORA",B353)),
ISNUMBER(SEARCH("MULTIFUNCIONAL",B353)),
ISNUMBER(SEARCH("AIO",B353))
),
"GANCHO",
"NORMAL"
)
)</f>
        <v>NORMAL</v>
      </c>
    </row>
    <row r="352" spans="1:12" x14ac:dyDescent="0.25">
      <c r="A352" s="3" t="s">
        <v>5655</v>
      </c>
      <c r="B352" s="3" t="s">
        <v>5656</v>
      </c>
      <c r="C352" s="1">
        <v>20</v>
      </c>
      <c r="D352" s="1">
        <v>120.3</v>
      </c>
      <c r="E352" s="1" t="s">
        <v>186</v>
      </c>
      <c r="F352" s="1" t="s">
        <v>5657</v>
      </c>
      <c r="G352" s="3" t="s">
        <v>5658</v>
      </c>
      <c r="H352" s="11">
        <f>ROUND(
IF(L350="GANCHO",
   IF(I352&lt;=50,I352*1.1+4,IF(I352&lt;=120,I352*1.1+7,IF(I352&lt;=250,I352*1.1+11,I352*1.1+19))),
IF(L350="NORMAL",
   IF(I352&lt;=30,I352*1.15+2,IF(I352&lt;=80,I352*1.15+4,IF(I352&lt;=150,I352*1.15+6,I352*1.15+8))),
IF(L350="COMPLEMENTO",
   IF(I352&lt;=25,I352*1.25+1.5,IF(I352&lt;=60,I352*1.25+3,IF(I352&lt;=120,I352*1.25+4,I352*1.25+5))),
""))),2)</f>
        <v>576.1</v>
      </c>
      <c r="I352" s="9">
        <f>($K$2+0.02)*Tabla1[[#This Row],[PRECIO $]]*1.18</f>
        <v>493.99991999999997</v>
      </c>
      <c r="J352" s="7">
        <f>+Tabla1[[#This Row],[PRECIO EN SOLES]]-Tabla1[[#This Row],[PC]]</f>
        <v>82.100080000000048</v>
      </c>
      <c r="K352" s="15"/>
      <c r="L352" s="15" t="str">
        <f>IF(
OR(
ISNUMBER(SEARCH("BACKPACK",B354)),
ISNUMBER(SEARCH("MOCHILA",B354)),
ISNUMBER(SEARCH("FUNDA",B354)),
ISNUMBER(SEARCH("ESTUCHE",B354)),
ISNUMBER(SEARCH("BOOK COVER",B354)),
ISNUMBER(SEARCH("KEYBOARD PARA TABLET",B354)),
ISNUMBER(SEARCH("FLIP TABLET",B354)),
ISNUMBER(SEARCH("CASE FOR TABLET",B354)),
ISNUMBER(SEARCH("CABLE",B354)),
ISNUMBER(SEARCH("ADAPTADOR",B354)),
ISNUMBER(SEARCH("HUB",B354)),
ISNUMBER(SEARCH("DOCK",B354)),
ISNUMBER(SEARCH("MOUSE PAD",B354)),
ISNUMBER(SEARCH("MOUSEPAD",B354)),
ISNUMBER(SEARCH("SOPORTE",B354)),
ISNUMBER(SEARCH("STAND",B354)),
ISNUMBER(SEARCH("TRAVEL ADAPTER",B354)),
ISNUMBER(SEARCH("RJ45",B354)),
ISNUMBER(SEARCH("USB-C",B354)),
ISNUMBER(SEARCH("USB WIFI",B354)),
ISNUMBER(SEARCH("POWERBANK",B354)),
ISNUMBER(SEARCH("CARGADOR",B354)),
ISNUMBER(SEARCH("COOLER PARA NB",B354)),
ISNUMBER(SEARCH("SOPORTE PARA NB",B354)),
ISNUMBER(SEARCH("WEBCAM",B354)),
ISNUMBER(SEARCH("WEB CAM",B354)),
ISNUMBER(SEARCH("MOUSE",B354)),
ISNUMBER(SEARCH("TECLADO",B354))
),
"COMPLEMENTO",
IF(
OR(
LEFT(A354,2)="NB",
LEFT(A354,2)="PC",
LEFT(A354,2)="WS",
LEFT(A354,2)="TB",
LEFT(A354,3)="CEL",
LEFT(A354,3)="MON",
LEFT(A354,3)="PRE",
LEFT(A354,3)="PRH",
ISNUMBER(SEARCH("NOTEBOOK",B354)),
ISNUMBER(SEARCH("LAPTOP",B354)),
ISNUMBER(SEARCH("MONITOR",B354)),
ISNUMBER(SEARCH("TABLET",B354)),
ISNUMBER(SEARCH("SMARTPH",B354)),
ISNUMBER(SEARCH("IMPRESORA",B354)),
ISNUMBER(SEARCH("MULTIFUNCIONAL",B354)),
ISNUMBER(SEARCH("AIO",B354))
),
"GANCHO",
"NORMAL"
)
)</f>
        <v>NORMAL</v>
      </c>
    </row>
    <row r="353" spans="1:12" x14ac:dyDescent="0.25">
      <c r="A353" s="3" t="s">
        <v>2776</v>
      </c>
      <c r="B353" s="3" t="s">
        <v>2777</v>
      </c>
      <c r="C353" s="1">
        <v>20</v>
      </c>
      <c r="D353" s="1">
        <v>76.2</v>
      </c>
      <c r="E353" s="1" t="s">
        <v>186</v>
      </c>
      <c r="F353" s="1" t="s">
        <v>3229</v>
      </c>
      <c r="G353" s="3" t="s">
        <v>2778</v>
      </c>
      <c r="H353" s="11">
        <f>ROUND(
IF(L351="GANCHO",
   IF(I353&lt;=50,I353*1.1+4,IF(I353&lt;=120,I353*1.1+7,IF(I353&lt;=250,I353*1.1+11,I353*1.1+19))),
IF(L351="NORMAL",
   IF(I353&lt;=30,I353*1.15+2,IF(I353&lt;=80,I353*1.15+4,IF(I353&lt;=150,I353*1.15+6,I353*1.15+8))),
IF(L351="COMPLEMENTO",
   IF(I353&lt;=25,I353*1.25+1.5,IF(I353&lt;=60,I353*1.25+3,IF(I353&lt;=120,I353*1.25+4,I353*1.25+5))),
""))),2)</f>
        <v>367.84</v>
      </c>
      <c r="I353" s="9">
        <f>($K$2+0.02)*Tabla1[[#This Row],[PRECIO $]]*1.18</f>
        <v>312.90767999999997</v>
      </c>
      <c r="J353" s="7">
        <f>+Tabla1[[#This Row],[PRECIO EN SOLES]]-Tabla1[[#This Row],[PC]]</f>
        <v>54.932320000000004</v>
      </c>
      <c r="K353" s="15"/>
      <c r="L353" s="15" t="str">
        <f>IF(
OR(
ISNUMBER(SEARCH("BACKPACK",B355)),
ISNUMBER(SEARCH("MOCHILA",B355)),
ISNUMBER(SEARCH("FUNDA",B355)),
ISNUMBER(SEARCH("ESTUCHE",B355)),
ISNUMBER(SEARCH("BOOK COVER",B355)),
ISNUMBER(SEARCH("KEYBOARD PARA TABLET",B355)),
ISNUMBER(SEARCH("FLIP TABLET",B355)),
ISNUMBER(SEARCH("CASE FOR TABLET",B355)),
ISNUMBER(SEARCH("CABLE",B355)),
ISNUMBER(SEARCH("ADAPTADOR",B355)),
ISNUMBER(SEARCH("HUB",B355)),
ISNUMBER(SEARCH("DOCK",B355)),
ISNUMBER(SEARCH("MOUSE PAD",B355)),
ISNUMBER(SEARCH("MOUSEPAD",B355)),
ISNUMBER(SEARCH("SOPORTE",B355)),
ISNUMBER(SEARCH("STAND",B355)),
ISNUMBER(SEARCH("TRAVEL ADAPTER",B355)),
ISNUMBER(SEARCH("RJ45",B355)),
ISNUMBER(SEARCH("USB-C",B355)),
ISNUMBER(SEARCH("USB WIFI",B355)),
ISNUMBER(SEARCH("POWERBANK",B355)),
ISNUMBER(SEARCH("CARGADOR",B355)),
ISNUMBER(SEARCH("COOLER PARA NB",B355)),
ISNUMBER(SEARCH("SOPORTE PARA NB",B355)),
ISNUMBER(SEARCH("WEBCAM",B355)),
ISNUMBER(SEARCH("WEB CAM",B355)),
ISNUMBER(SEARCH("MOUSE",B355)),
ISNUMBER(SEARCH("TECLADO",B355))
),
"COMPLEMENTO",
IF(
OR(
LEFT(A355,2)="NB",
LEFT(A355,2)="PC",
LEFT(A355,2)="WS",
LEFT(A355,2)="TB",
LEFT(A355,3)="CEL",
LEFT(A355,3)="MON",
LEFT(A355,3)="PRE",
LEFT(A355,3)="PRH",
ISNUMBER(SEARCH("NOTEBOOK",B355)),
ISNUMBER(SEARCH("LAPTOP",B355)),
ISNUMBER(SEARCH("MONITOR",B355)),
ISNUMBER(SEARCH("TABLET",B355)),
ISNUMBER(SEARCH("SMARTPH",B355)),
ISNUMBER(SEARCH("IMPRESORA",B355)),
ISNUMBER(SEARCH("MULTIFUNCIONAL",B355)),
ISNUMBER(SEARCH("AIO",B355))
),
"GANCHO",
"NORMAL"
)
)</f>
        <v>NORMAL</v>
      </c>
    </row>
    <row r="354" spans="1:12" x14ac:dyDescent="0.25">
      <c r="A354" s="3" t="s">
        <v>5659</v>
      </c>
      <c r="B354" s="3" t="s">
        <v>5660</v>
      </c>
      <c r="C354" s="1">
        <v>20</v>
      </c>
      <c r="D354" s="1">
        <v>70</v>
      </c>
      <c r="E354" s="1" t="s">
        <v>185</v>
      </c>
      <c r="F354" s="1" t="s">
        <v>5661</v>
      </c>
      <c r="G354" s="3" t="s">
        <v>6283</v>
      </c>
      <c r="H354" s="11">
        <f>ROUND(
IF(L352="GANCHO",
   IF(I354&lt;=50,I354*1.1+4,IF(I354&lt;=120,I354*1.1+7,IF(I354&lt;=250,I354*1.1+11,I354*1.1+19))),
IF(L352="NORMAL",
   IF(I354&lt;=30,I354*1.15+2,IF(I354&lt;=80,I354*1.15+4,IF(I354&lt;=150,I354*1.15+6,I354*1.15+8))),
IF(L352="COMPLEMENTO",
   IF(I354&lt;=25,I354*1.25+1.5,IF(I354&lt;=60,I354*1.25+3,IF(I354&lt;=120,I354*1.25+4,I354*1.25+5))),
""))),2)</f>
        <v>338.57</v>
      </c>
      <c r="I354" s="9">
        <f>($K$2+0.02)*Tabla1[[#This Row],[PRECIO $]]*1.18</f>
        <v>287.44799999999998</v>
      </c>
      <c r="J354" s="7">
        <f>+Tabla1[[#This Row],[PRECIO EN SOLES]]-Tabla1[[#This Row],[PC]]</f>
        <v>51.122000000000014</v>
      </c>
      <c r="K354" s="15"/>
      <c r="L354" s="15" t="str">
        <f>IF(
OR(
ISNUMBER(SEARCH("BACKPACK",B356)),
ISNUMBER(SEARCH("MOCHILA",B356)),
ISNUMBER(SEARCH("FUNDA",B356)),
ISNUMBER(SEARCH("ESTUCHE",B356)),
ISNUMBER(SEARCH("BOOK COVER",B356)),
ISNUMBER(SEARCH("KEYBOARD PARA TABLET",B356)),
ISNUMBER(SEARCH("FLIP TABLET",B356)),
ISNUMBER(SEARCH("CASE FOR TABLET",B356)),
ISNUMBER(SEARCH("CABLE",B356)),
ISNUMBER(SEARCH("ADAPTADOR",B356)),
ISNUMBER(SEARCH("HUB",B356)),
ISNUMBER(SEARCH("DOCK",B356)),
ISNUMBER(SEARCH("MOUSE PAD",B356)),
ISNUMBER(SEARCH("MOUSEPAD",B356)),
ISNUMBER(SEARCH("SOPORTE",B356)),
ISNUMBER(SEARCH("STAND",B356)),
ISNUMBER(SEARCH("TRAVEL ADAPTER",B356)),
ISNUMBER(SEARCH("RJ45",B356)),
ISNUMBER(SEARCH("USB-C",B356)),
ISNUMBER(SEARCH("USB WIFI",B356)),
ISNUMBER(SEARCH("POWERBANK",B356)),
ISNUMBER(SEARCH("CARGADOR",B356)),
ISNUMBER(SEARCH("COOLER PARA NB",B356)),
ISNUMBER(SEARCH("SOPORTE PARA NB",B356)),
ISNUMBER(SEARCH("WEBCAM",B356)),
ISNUMBER(SEARCH("WEB CAM",B356)),
ISNUMBER(SEARCH("MOUSE",B356)),
ISNUMBER(SEARCH("TECLADO",B356))
),
"COMPLEMENTO",
IF(
OR(
LEFT(A356,2)="NB",
LEFT(A356,2)="PC",
LEFT(A356,2)="WS",
LEFT(A356,2)="TB",
LEFT(A356,3)="CEL",
LEFT(A356,3)="MON",
LEFT(A356,3)="PRE",
LEFT(A356,3)="PRH",
ISNUMBER(SEARCH("NOTEBOOK",B356)),
ISNUMBER(SEARCH("LAPTOP",B356)),
ISNUMBER(SEARCH("MONITOR",B356)),
ISNUMBER(SEARCH("TABLET",B356)),
ISNUMBER(SEARCH("SMARTPH",B356)),
ISNUMBER(SEARCH("IMPRESORA",B356)),
ISNUMBER(SEARCH("MULTIFUNCIONAL",B356)),
ISNUMBER(SEARCH("AIO",B356))
),
"GANCHO",
"NORMAL"
)
)</f>
        <v>NORMAL</v>
      </c>
    </row>
    <row r="355" spans="1:12" x14ac:dyDescent="0.25">
      <c r="A355" s="3" t="s">
        <v>2779</v>
      </c>
      <c r="B355" s="3" t="s">
        <v>2780</v>
      </c>
      <c r="C355" s="1">
        <v>9</v>
      </c>
      <c r="D355" s="1">
        <v>120.5</v>
      </c>
      <c r="E355" s="1" t="s">
        <v>185</v>
      </c>
      <c r="F355" s="1" t="s">
        <v>3230</v>
      </c>
      <c r="G355" s="3" t="s">
        <v>2781</v>
      </c>
      <c r="H355" s="11">
        <f>ROUND(
IF(L353="GANCHO",
   IF(I355&lt;=50,I355*1.1+4,IF(I355&lt;=120,I355*1.1+7,IF(I355&lt;=250,I355*1.1+11,I355*1.1+19))),
IF(L353="NORMAL",
   IF(I355&lt;=30,I355*1.15+2,IF(I355&lt;=80,I355*1.15+4,IF(I355&lt;=150,I355*1.15+6,I355*1.15+8))),
IF(L353="COMPLEMENTO",
   IF(I355&lt;=25,I355*1.25+1.5,IF(I355&lt;=60,I355*1.25+3,IF(I355&lt;=120,I355*1.25+4,I355*1.25+5))),
""))),2)</f>
        <v>577.04</v>
      </c>
      <c r="I355" s="9">
        <f>($K$2+0.02)*Tabla1[[#This Row],[PRECIO $]]*1.18</f>
        <v>494.82119999999992</v>
      </c>
      <c r="J355" s="7">
        <f>+Tabla1[[#This Row],[PRECIO EN SOLES]]-Tabla1[[#This Row],[PC]]</f>
        <v>82.218800000000044</v>
      </c>
      <c r="K355" s="15"/>
      <c r="L355" s="15" t="str">
        <f>IF(
OR(
ISNUMBER(SEARCH("BACKPACK",B357)),
ISNUMBER(SEARCH("MOCHILA",B357)),
ISNUMBER(SEARCH("FUNDA",B357)),
ISNUMBER(SEARCH("ESTUCHE",B357)),
ISNUMBER(SEARCH("BOOK COVER",B357)),
ISNUMBER(SEARCH("KEYBOARD PARA TABLET",B357)),
ISNUMBER(SEARCH("FLIP TABLET",B357)),
ISNUMBER(SEARCH("CASE FOR TABLET",B357)),
ISNUMBER(SEARCH("CABLE",B357)),
ISNUMBER(SEARCH("ADAPTADOR",B357)),
ISNUMBER(SEARCH("HUB",B357)),
ISNUMBER(SEARCH("DOCK",B357)),
ISNUMBER(SEARCH("MOUSE PAD",B357)),
ISNUMBER(SEARCH("MOUSEPAD",B357)),
ISNUMBER(SEARCH("SOPORTE",B357)),
ISNUMBER(SEARCH("STAND",B357)),
ISNUMBER(SEARCH("TRAVEL ADAPTER",B357)),
ISNUMBER(SEARCH("RJ45",B357)),
ISNUMBER(SEARCH("USB-C",B357)),
ISNUMBER(SEARCH("USB WIFI",B357)),
ISNUMBER(SEARCH("POWERBANK",B357)),
ISNUMBER(SEARCH("CARGADOR",B357)),
ISNUMBER(SEARCH("COOLER PARA NB",B357)),
ISNUMBER(SEARCH("SOPORTE PARA NB",B357)),
ISNUMBER(SEARCH("WEBCAM",B357)),
ISNUMBER(SEARCH("WEB CAM",B357)),
ISNUMBER(SEARCH("MOUSE",B357)),
ISNUMBER(SEARCH("TECLADO",B357))
),
"COMPLEMENTO",
IF(
OR(
LEFT(A357,2)="NB",
LEFT(A357,2)="PC",
LEFT(A357,2)="WS",
LEFT(A357,2)="TB",
LEFT(A357,3)="CEL",
LEFT(A357,3)="MON",
LEFT(A357,3)="PRE",
LEFT(A357,3)="PRH",
ISNUMBER(SEARCH("NOTEBOOK",B357)),
ISNUMBER(SEARCH("LAPTOP",B357)),
ISNUMBER(SEARCH("MONITOR",B357)),
ISNUMBER(SEARCH("TABLET",B357)),
ISNUMBER(SEARCH("SMARTPH",B357)),
ISNUMBER(SEARCH("IMPRESORA",B357)),
ISNUMBER(SEARCH("MULTIFUNCIONAL",B357)),
ISNUMBER(SEARCH("AIO",B357))
),
"GANCHO",
"NORMAL"
)
)</f>
        <v>NORMAL</v>
      </c>
    </row>
    <row r="356" spans="1:12" x14ac:dyDescent="0.25">
      <c r="A356" s="3" t="s">
        <v>194</v>
      </c>
      <c r="B356" s="3" t="s">
        <v>195</v>
      </c>
      <c r="C356" s="1">
        <v>7</v>
      </c>
      <c r="D356" s="1">
        <v>2.0099999999999998</v>
      </c>
      <c r="E356" s="1" t="s">
        <v>196</v>
      </c>
      <c r="F356" s="1" t="s">
        <v>3231</v>
      </c>
      <c r="G356" s="3" t="s">
        <v>197</v>
      </c>
      <c r="H356" s="11">
        <f>ROUND(
IF(L354="GANCHO",
   IF(I356&lt;=50,I356*1.1+4,IF(I356&lt;=120,I356*1.1+7,IF(I356&lt;=250,I356*1.1+11,I356*1.1+19))),
IF(L354="NORMAL",
   IF(I356&lt;=30,I356*1.15+2,IF(I356&lt;=80,I356*1.15+4,IF(I356&lt;=150,I356*1.15+6,I356*1.15+8))),
IF(L354="COMPLEMENTO",
   IF(I356&lt;=25,I356*1.25+1.5,IF(I356&lt;=60,I356*1.25+3,IF(I356&lt;=120,I356*1.25+4,I356*1.25+5))),
""))),2)</f>
        <v>11.49</v>
      </c>
      <c r="I356" s="9">
        <f>($K$2+0.02)*Tabla1[[#This Row],[PRECIO $]]*1.18</f>
        <v>8.2538639999999983</v>
      </c>
      <c r="J356" s="7">
        <f>+Tabla1[[#This Row],[PRECIO EN SOLES]]-Tabla1[[#This Row],[PC]]</f>
        <v>3.2361360000000019</v>
      </c>
      <c r="K356" s="15"/>
      <c r="L356" s="15" t="str">
        <f>IF(
OR(
ISNUMBER(SEARCH("BACKPACK",B358)),
ISNUMBER(SEARCH("MOCHILA",B358)),
ISNUMBER(SEARCH("FUNDA",B358)),
ISNUMBER(SEARCH("ESTUCHE",B358)),
ISNUMBER(SEARCH("BOOK COVER",B358)),
ISNUMBER(SEARCH("KEYBOARD PARA TABLET",B358)),
ISNUMBER(SEARCH("FLIP TABLET",B358)),
ISNUMBER(SEARCH("CASE FOR TABLET",B358)),
ISNUMBER(SEARCH("CABLE",B358)),
ISNUMBER(SEARCH("ADAPTADOR",B358)),
ISNUMBER(SEARCH("HUB",B358)),
ISNUMBER(SEARCH("DOCK",B358)),
ISNUMBER(SEARCH("MOUSE PAD",B358)),
ISNUMBER(SEARCH("MOUSEPAD",B358)),
ISNUMBER(SEARCH("SOPORTE",B358)),
ISNUMBER(SEARCH("STAND",B358)),
ISNUMBER(SEARCH("TRAVEL ADAPTER",B358)),
ISNUMBER(SEARCH("RJ45",B358)),
ISNUMBER(SEARCH("USB-C",B358)),
ISNUMBER(SEARCH("USB WIFI",B358)),
ISNUMBER(SEARCH("POWERBANK",B358)),
ISNUMBER(SEARCH("CARGADOR",B358)),
ISNUMBER(SEARCH("COOLER PARA NB",B358)),
ISNUMBER(SEARCH("SOPORTE PARA NB",B358)),
ISNUMBER(SEARCH("WEBCAM",B358)),
ISNUMBER(SEARCH("WEB CAM",B358)),
ISNUMBER(SEARCH("MOUSE",B358)),
ISNUMBER(SEARCH("TECLADO",B358))
),
"COMPLEMENTO",
IF(
OR(
LEFT(A358,2)="NB",
LEFT(A358,2)="PC",
LEFT(A358,2)="WS",
LEFT(A358,2)="TB",
LEFT(A358,3)="CEL",
LEFT(A358,3)="MON",
LEFT(A358,3)="PRE",
LEFT(A358,3)="PRH",
ISNUMBER(SEARCH("NOTEBOOK",B358)),
ISNUMBER(SEARCH("LAPTOP",B358)),
ISNUMBER(SEARCH("MONITOR",B358)),
ISNUMBER(SEARCH("TABLET",B358)),
ISNUMBER(SEARCH("SMARTPH",B358)),
ISNUMBER(SEARCH("IMPRESORA",B358)),
ISNUMBER(SEARCH("MULTIFUNCIONAL",B358)),
ISNUMBER(SEARCH("AIO",B358))
),
"GANCHO",
"NORMAL"
)
)</f>
        <v>NORMAL</v>
      </c>
    </row>
    <row r="357" spans="1:12" x14ac:dyDescent="0.25">
      <c r="A357" s="3" t="s">
        <v>1069</v>
      </c>
      <c r="B357" s="3" t="s">
        <v>1070</v>
      </c>
      <c r="C357" s="1">
        <v>2</v>
      </c>
      <c r="D357" s="1">
        <v>140.30000000000001</v>
      </c>
      <c r="E357" s="1" t="s">
        <v>196</v>
      </c>
      <c r="F357" s="1" t="s">
        <v>3232</v>
      </c>
      <c r="G357" s="3" t="s">
        <v>1071</v>
      </c>
      <c r="H357" s="11">
        <f>ROUND(
IF(L355="GANCHO",
   IF(I357&lt;=50,I357*1.1+4,IF(I357&lt;=120,I357*1.1+7,IF(I357&lt;=250,I357*1.1+11,I357*1.1+19))),
IF(L355="NORMAL",
   IF(I357&lt;=30,I357*1.15+2,IF(I357&lt;=80,I357*1.15+4,IF(I357&lt;=150,I357*1.15+6,I357*1.15+8))),
IF(L355="COMPLEMENTO",
   IF(I357&lt;=25,I357*1.25+1.5,IF(I357&lt;=60,I357*1.25+3,IF(I357&lt;=120,I357*1.25+4,I357*1.25+5))),
""))),2)</f>
        <v>670.55</v>
      </c>
      <c r="I357" s="9">
        <f>($K$2+0.02)*Tabla1[[#This Row],[PRECIO $]]*1.18</f>
        <v>576.12792000000002</v>
      </c>
      <c r="J357" s="7">
        <f>+Tabla1[[#This Row],[PRECIO EN SOLES]]-Tabla1[[#This Row],[PC]]</f>
        <v>94.422079999999937</v>
      </c>
      <c r="K357" s="15"/>
      <c r="L357" s="15" t="str">
        <f>IF(
OR(
ISNUMBER(SEARCH("BACKPACK",B359)),
ISNUMBER(SEARCH("MOCHILA",B359)),
ISNUMBER(SEARCH("FUNDA",B359)),
ISNUMBER(SEARCH("ESTUCHE",B359)),
ISNUMBER(SEARCH("BOOK COVER",B359)),
ISNUMBER(SEARCH("KEYBOARD PARA TABLET",B359)),
ISNUMBER(SEARCH("FLIP TABLET",B359)),
ISNUMBER(SEARCH("CASE FOR TABLET",B359)),
ISNUMBER(SEARCH("CABLE",B359)),
ISNUMBER(SEARCH("ADAPTADOR",B359)),
ISNUMBER(SEARCH("HUB",B359)),
ISNUMBER(SEARCH("DOCK",B359)),
ISNUMBER(SEARCH("MOUSE PAD",B359)),
ISNUMBER(SEARCH("MOUSEPAD",B359)),
ISNUMBER(SEARCH("SOPORTE",B359)),
ISNUMBER(SEARCH("STAND",B359)),
ISNUMBER(SEARCH("TRAVEL ADAPTER",B359)),
ISNUMBER(SEARCH("RJ45",B359)),
ISNUMBER(SEARCH("USB-C",B359)),
ISNUMBER(SEARCH("USB WIFI",B359)),
ISNUMBER(SEARCH("POWERBANK",B359)),
ISNUMBER(SEARCH("CARGADOR",B359)),
ISNUMBER(SEARCH("COOLER PARA NB",B359)),
ISNUMBER(SEARCH("SOPORTE PARA NB",B359)),
ISNUMBER(SEARCH("WEBCAM",B359)),
ISNUMBER(SEARCH("WEB CAM",B359)),
ISNUMBER(SEARCH("MOUSE",B359)),
ISNUMBER(SEARCH("TECLADO",B359))
),
"COMPLEMENTO",
IF(
OR(
LEFT(A359,2)="NB",
LEFT(A359,2)="PC",
LEFT(A359,2)="WS",
LEFT(A359,2)="TB",
LEFT(A359,3)="CEL",
LEFT(A359,3)="MON",
LEFT(A359,3)="PRE",
LEFT(A359,3)="PRH",
ISNUMBER(SEARCH("NOTEBOOK",B359)),
ISNUMBER(SEARCH("LAPTOP",B359)),
ISNUMBER(SEARCH("MONITOR",B359)),
ISNUMBER(SEARCH("TABLET",B359)),
ISNUMBER(SEARCH("SMARTPH",B359)),
ISNUMBER(SEARCH("IMPRESORA",B359)),
ISNUMBER(SEARCH("MULTIFUNCIONAL",B359)),
ISNUMBER(SEARCH("AIO",B359))
),
"GANCHO",
"NORMAL"
)
)</f>
        <v>NORMAL</v>
      </c>
    </row>
    <row r="358" spans="1:12" x14ac:dyDescent="0.25">
      <c r="A358" s="3" t="s">
        <v>200</v>
      </c>
      <c r="B358" s="3" t="s">
        <v>201</v>
      </c>
      <c r="C358" s="1">
        <v>20</v>
      </c>
      <c r="D358" s="1">
        <v>134.30000000000001</v>
      </c>
      <c r="E358" s="1" t="s">
        <v>196</v>
      </c>
      <c r="F358" s="1" t="s">
        <v>3233</v>
      </c>
      <c r="G358" s="3" t="s">
        <v>202</v>
      </c>
      <c r="H358" s="11">
        <f>ROUND(
IF(L356="GANCHO",
   IF(I358&lt;=50,I358*1.1+4,IF(I358&lt;=120,I358*1.1+7,IF(I358&lt;=250,I358*1.1+11,I358*1.1+19))),
IF(L356="NORMAL",
   IF(I358&lt;=30,I358*1.15+2,IF(I358&lt;=80,I358*1.15+4,IF(I358&lt;=150,I358*1.15+6,I358*1.15+8))),
IF(L356="COMPLEMENTO",
   IF(I358&lt;=25,I358*1.25+1.5,IF(I358&lt;=60,I358*1.25+3,IF(I358&lt;=120,I358*1.25+4,I358*1.25+5))),
""))),2)</f>
        <v>642.21</v>
      </c>
      <c r="I358" s="9">
        <f>($K$2+0.02)*Tabla1[[#This Row],[PRECIO $]]*1.18</f>
        <v>551.48951999999997</v>
      </c>
      <c r="J358" s="7">
        <f>+Tabla1[[#This Row],[PRECIO EN SOLES]]-Tabla1[[#This Row],[PC]]</f>
        <v>90.720480000000066</v>
      </c>
      <c r="K358" s="15"/>
      <c r="L358" s="15" t="str">
        <f>IF(
OR(
ISNUMBER(SEARCH("BACKPACK",B360)),
ISNUMBER(SEARCH("MOCHILA",B360)),
ISNUMBER(SEARCH("FUNDA",B360)),
ISNUMBER(SEARCH("ESTUCHE",B360)),
ISNUMBER(SEARCH("BOOK COVER",B360)),
ISNUMBER(SEARCH("KEYBOARD PARA TABLET",B360)),
ISNUMBER(SEARCH("FLIP TABLET",B360)),
ISNUMBER(SEARCH("CASE FOR TABLET",B360)),
ISNUMBER(SEARCH("CABLE",B360)),
ISNUMBER(SEARCH("ADAPTADOR",B360)),
ISNUMBER(SEARCH("HUB",B360)),
ISNUMBER(SEARCH("DOCK",B360)),
ISNUMBER(SEARCH("MOUSE PAD",B360)),
ISNUMBER(SEARCH("MOUSEPAD",B360)),
ISNUMBER(SEARCH("SOPORTE",B360)),
ISNUMBER(SEARCH("STAND",B360)),
ISNUMBER(SEARCH("TRAVEL ADAPTER",B360)),
ISNUMBER(SEARCH("RJ45",B360)),
ISNUMBER(SEARCH("USB-C",B360)),
ISNUMBER(SEARCH("USB WIFI",B360)),
ISNUMBER(SEARCH("POWERBANK",B360)),
ISNUMBER(SEARCH("CARGADOR",B360)),
ISNUMBER(SEARCH("COOLER PARA NB",B360)),
ISNUMBER(SEARCH("SOPORTE PARA NB",B360)),
ISNUMBER(SEARCH("WEBCAM",B360)),
ISNUMBER(SEARCH("WEB CAM",B360)),
ISNUMBER(SEARCH("MOUSE",B360)),
ISNUMBER(SEARCH("TECLADO",B360))
),
"COMPLEMENTO",
IF(
OR(
LEFT(A360,2)="NB",
LEFT(A360,2)="PC",
LEFT(A360,2)="WS",
LEFT(A360,2)="TB",
LEFT(A360,3)="CEL",
LEFT(A360,3)="MON",
LEFT(A360,3)="PRE",
LEFT(A360,3)="PRH",
ISNUMBER(SEARCH("NOTEBOOK",B360)),
ISNUMBER(SEARCH("LAPTOP",B360)),
ISNUMBER(SEARCH("MONITOR",B360)),
ISNUMBER(SEARCH("TABLET",B360)),
ISNUMBER(SEARCH("SMARTPH",B360)),
ISNUMBER(SEARCH("IMPRESORA",B360)),
ISNUMBER(SEARCH("MULTIFUNCIONAL",B360)),
ISNUMBER(SEARCH("AIO",B360))
),
"GANCHO",
"NORMAL"
)
)</f>
        <v>NORMAL</v>
      </c>
    </row>
    <row r="359" spans="1:12" x14ac:dyDescent="0.25">
      <c r="A359" s="3" t="s">
        <v>203</v>
      </c>
      <c r="B359" s="3" t="s">
        <v>204</v>
      </c>
      <c r="C359" s="1">
        <v>20</v>
      </c>
      <c r="D359" s="1">
        <v>232</v>
      </c>
      <c r="E359" s="1" t="s">
        <v>196</v>
      </c>
      <c r="F359" s="1" t="s">
        <v>3234</v>
      </c>
      <c r="G359" s="3" t="s">
        <v>205</v>
      </c>
      <c r="H359" s="11">
        <f>ROUND(
IF(L357="GANCHO",
   IF(I359&lt;=50,I359*1.1+4,IF(I359&lt;=120,I359*1.1+7,IF(I359&lt;=250,I359*1.1+11,I359*1.1+19))),
IF(L357="NORMAL",
   IF(I359&lt;=30,I359*1.15+2,IF(I359&lt;=80,I359*1.15+4,IF(I359&lt;=150,I359*1.15+6,I359*1.15+8))),
IF(L357="COMPLEMENTO",
   IF(I359&lt;=25,I359*1.25+1.5,IF(I359&lt;=60,I359*1.25+3,IF(I359&lt;=120,I359*1.25+4,I359*1.25+5))),
""))),2)</f>
        <v>1103.5899999999999</v>
      </c>
      <c r="I359" s="9">
        <f>($K$2+0.02)*Tabla1[[#This Row],[PRECIO $]]*1.18</f>
        <v>952.6848</v>
      </c>
      <c r="J359" s="7">
        <f>+Tabla1[[#This Row],[PRECIO EN SOLES]]-Tabla1[[#This Row],[PC]]</f>
        <v>150.90519999999992</v>
      </c>
      <c r="K359" s="15"/>
      <c r="L359" s="15" t="str">
        <f>IF(
OR(
ISNUMBER(SEARCH("BACKPACK",B361)),
ISNUMBER(SEARCH("MOCHILA",B361)),
ISNUMBER(SEARCH("FUNDA",B361)),
ISNUMBER(SEARCH("ESTUCHE",B361)),
ISNUMBER(SEARCH("BOOK COVER",B361)),
ISNUMBER(SEARCH("KEYBOARD PARA TABLET",B361)),
ISNUMBER(SEARCH("FLIP TABLET",B361)),
ISNUMBER(SEARCH("CASE FOR TABLET",B361)),
ISNUMBER(SEARCH("CABLE",B361)),
ISNUMBER(SEARCH("ADAPTADOR",B361)),
ISNUMBER(SEARCH("HUB",B361)),
ISNUMBER(SEARCH("DOCK",B361)),
ISNUMBER(SEARCH("MOUSE PAD",B361)),
ISNUMBER(SEARCH("MOUSEPAD",B361)),
ISNUMBER(SEARCH("SOPORTE",B361)),
ISNUMBER(SEARCH("STAND",B361)),
ISNUMBER(SEARCH("TRAVEL ADAPTER",B361)),
ISNUMBER(SEARCH("RJ45",B361)),
ISNUMBER(SEARCH("USB-C",B361)),
ISNUMBER(SEARCH("USB WIFI",B361)),
ISNUMBER(SEARCH("POWERBANK",B361)),
ISNUMBER(SEARCH("CARGADOR",B361)),
ISNUMBER(SEARCH("COOLER PARA NB",B361)),
ISNUMBER(SEARCH("SOPORTE PARA NB",B361)),
ISNUMBER(SEARCH("WEBCAM",B361)),
ISNUMBER(SEARCH("WEB CAM",B361)),
ISNUMBER(SEARCH("MOUSE",B361)),
ISNUMBER(SEARCH("TECLADO",B361))
),
"COMPLEMENTO",
IF(
OR(
LEFT(A361,2)="NB",
LEFT(A361,2)="PC",
LEFT(A361,2)="WS",
LEFT(A361,2)="TB",
LEFT(A361,3)="CEL",
LEFT(A361,3)="MON",
LEFT(A361,3)="PRE",
LEFT(A361,3)="PRH",
ISNUMBER(SEARCH("NOTEBOOK",B361)),
ISNUMBER(SEARCH("LAPTOP",B361)),
ISNUMBER(SEARCH("MONITOR",B361)),
ISNUMBER(SEARCH("TABLET",B361)),
ISNUMBER(SEARCH("SMARTPH",B361)),
ISNUMBER(SEARCH("IMPRESORA",B361)),
ISNUMBER(SEARCH("MULTIFUNCIONAL",B361)),
ISNUMBER(SEARCH("AIO",B361))
),
"GANCHO",
"NORMAL"
)
)</f>
        <v>NORMAL</v>
      </c>
    </row>
    <row r="360" spans="1:12" x14ac:dyDescent="0.25">
      <c r="A360" s="3" t="s">
        <v>206</v>
      </c>
      <c r="B360" s="3" t="s">
        <v>207</v>
      </c>
      <c r="C360" s="1">
        <v>20</v>
      </c>
      <c r="D360" s="1">
        <v>134.30000000000001</v>
      </c>
      <c r="E360" s="1" t="s">
        <v>196</v>
      </c>
      <c r="F360" s="1" t="s">
        <v>3235</v>
      </c>
      <c r="G360" s="3" t="s">
        <v>208</v>
      </c>
      <c r="H360" s="11">
        <f>ROUND(
IF(L358="GANCHO",
   IF(I360&lt;=50,I360*1.1+4,IF(I360&lt;=120,I360*1.1+7,IF(I360&lt;=250,I360*1.1+11,I360*1.1+19))),
IF(L358="NORMAL",
   IF(I360&lt;=30,I360*1.15+2,IF(I360&lt;=80,I360*1.15+4,IF(I360&lt;=150,I360*1.15+6,I360*1.15+8))),
IF(L358="COMPLEMENTO",
   IF(I360&lt;=25,I360*1.25+1.5,IF(I360&lt;=60,I360*1.25+3,IF(I360&lt;=120,I360*1.25+4,I360*1.25+5))),
""))),2)</f>
        <v>642.21</v>
      </c>
      <c r="I360" s="9">
        <f>($K$2+0.02)*Tabla1[[#This Row],[PRECIO $]]*1.18</f>
        <v>551.48951999999997</v>
      </c>
      <c r="J360" s="7">
        <f>+Tabla1[[#This Row],[PRECIO EN SOLES]]-Tabla1[[#This Row],[PC]]</f>
        <v>90.720480000000066</v>
      </c>
      <c r="K360" s="15"/>
      <c r="L360" s="15" t="str">
        <f>IF(
OR(
ISNUMBER(SEARCH("BACKPACK",B362)),
ISNUMBER(SEARCH("MOCHILA",B362)),
ISNUMBER(SEARCH("FUNDA",B362)),
ISNUMBER(SEARCH("ESTUCHE",B362)),
ISNUMBER(SEARCH("BOOK COVER",B362)),
ISNUMBER(SEARCH("KEYBOARD PARA TABLET",B362)),
ISNUMBER(SEARCH("FLIP TABLET",B362)),
ISNUMBER(SEARCH("CASE FOR TABLET",B362)),
ISNUMBER(SEARCH("CABLE",B362)),
ISNUMBER(SEARCH("ADAPTADOR",B362)),
ISNUMBER(SEARCH("HUB",B362)),
ISNUMBER(SEARCH("DOCK",B362)),
ISNUMBER(SEARCH("MOUSE PAD",B362)),
ISNUMBER(SEARCH("MOUSEPAD",B362)),
ISNUMBER(SEARCH("SOPORTE",B362)),
ISNUMBER(SEARCH("STAND",B362)),
ISNUMBER(SEARCH("TRAVEL ADAPTER",B362)),
ISNUMBER(SEARCH("RJ45",B362)),
ISNUMBER(SEARCH("USB-C",B362)),
ISNUMBER(SEARCH("USB WIFI",B362)),
ISNUMBER(SEARCH("POWERBANK",B362)),
ISNUMBER(SEARCH("CARGADOR",B362)),
ISNUMBER(SEARCH("COOLER PARA NB",B362)),
ISNUMBER(SEARCH("SOPORTE PARA NB",B362)),
ISNUMBER(SEARCH("WEBCAM",B362)),
ISNUMBER(SEARCH("WEB CAM",B362)),
ISNUMBER(SEARCH("MOUSE",B362)),
ISNUMBER(SEARCH("TECLADO",B362))
),
"COMPLEMENTO",
IF(
OR(
LEFT(A362,2)="NB",
LEFT(A362,2)="PC",
LEFT(A362,2)="WS",
LEFT(A362,2)="TB",
LEFT(A362,3)="CEL",
LEFT(A362,3)="MON",
LEFT(A362,3)="PRE",
LEFT(A362,3)="PRH",
ISNUMBER(SEARCH("NOTEBOOK",B362)),
ISNUMBER(SEARCH("LAPTOP",B362)),
ISNUMBER(SEARCH("MONITOR",B362)),
ISNUMBER(SEARCH("TABLET",B362)),
ISNUMBER(SEARCH("SMARTPH",B362)),
ISNUMBER(SEARCH("IMPRESORA",B362)),
ISNUMBER(SEARCH("MULTIFUNCIONAL",B362)),
ISNUMBER(SEARCH("AIO",B362))
),
"GANCHO",
"NORMAL"
)
)</f>
        <v>NORMAL</v>
      </c>
    </row>
    <row r="361" spans="1:12" x14ac:dyDescent="0.25">
      <c r="A361" s="3" t="s">
        <v>209</v>
      </c>
      <c r="B361" s="3" t="s">
        <v>210</v>
      </c>
      <c r="C361" s="1">
        <v>20</v>
      </c>
      <c r="D361" s="1">
        <v>232</v>
      </c>
      <c r="E361" s="1" t="s">
        <v>196</v>
      </c>
      <c r="F361" s="1" t="s">
        <v>3236</v>
      </c>
      <c r="G361" s="3" t="s">
        <v>211</v>
      </c>
      <c r="H361" s="11">
        <f>ROUND(
IF(L359="GANCHO",
   IF(I361&lt;=50,I361*1.1+4,IF(I361&lt;=120,I361*1.1+7,IF(I361&lt;=250,I361*1.1+11,I361*1.1+19))),
IF(L359="NORMAL",
   IF(I361&lt;=30,I361*1.15+2,IF(I361&lt;=80,I361*1.15+4,IF(I361&lt;=150,I361*1.15+6,I361*1.15+8))),
IF(L359="COMPLEMENTO",
   IF(I361&lt;=25,I361*1.25+1.5,IF(I361&lt;=60,I361*1.25+3,IF(I361&lt;=120,I361*1.25+4,I361*1.25+5))),
""))),2)</f>
        <v>1103.5899999999999</v>
      </c>
      <c r="I361" s="9">
        <f>($K$2+0.02)*Tabla1[[#This Row],[PRECIO $]]*1.18</f>
        <v>952.6848</v>
      </c>
      <c r="J361" s="7">
        <f>+Tabla1[[#This Row],[PRECIO EN SOLES]]-Tabla1[[#This Row],[PC]]</f>
        <v>150.90519999999992</v>
      </c>
      <c r="K361" s="15"/>
      <c r="L361" s="15" t="str">
        <f>IF(
OR(
ISNUMBER(SEARCH("BACKPACK",B363)),
ISNUMBER(SEARCH("MOCHILA",B363)),
ISNUMBER(SEARCH("FUNDA",B363)),
ISNUMBER(SEARCH("ESTUCHE",B363)),
ISNUMBER(SEARCH("BOOK COVER",B363)),
ISNUMBER(SEARCH("KEYBOARD PARA TABLET",B363)),
ISNUMBER(SEARCH("FLIP TABLET",B363)),
ISNUMBER(SEARCH("CASE FOR TABLET",B363)),
ISNUMBER(SEARCH("CABLE",B363)),
ISNUMBER(SEARCH("ADAPTADOR",B363)),
ISNUMBER(SEARCH("HUB",B363)),
ISNUMBER(SEARCH("DOCK",B363)),
ISNUMBER(SEARCH("MOUSE PAD",B363)),
ISNUMBER(SEARCH("MOUSEPAD",B363)),
ISNUMBER(SEARCH("SOPORTE",B363)),
ISNUMBER(SEARCH("STAND",B363)),
ISNUMBER(SEARCH("TRAVEL ADAPTER",B363)),
ISNUMBER(SEARCH("RJ45",B363)),
ISNUMBER(SEARCH("USB-C",B363)),
ISNUMBER(SEARCH("USB WIFI",B363)),
ISNUMBER(SEARCH("POWERBANK",B363)),
ISNUMBER(SEARCH("CARGADOR",B363)),
ISNUMBER(SEARCH("COOLER PARA NB",B363)),
ISNUMBER(SEARCH("SOPORTE PARA NB",B363)),
ISNUMBER(SEARCH("WEBCAM",B363)),
ISNUMBER(SEARCH("WEB CAM",B363)),
ISNUMBER(SEARCH("MOUSE",B363)),
ISNUMBER(SEARCH("TECLADO",B363))
),
"COMPLEMENTO",
IF(
OR(
LEFT(A363,2)="NB",
LEFT(A363,2)="PC",
LEFT(A363,2)="WS",
LEFT(A363,2)="TB",
LEFT(A363,3)="CEL",
LEFT(A363,3)="MON",
LEFT(A363,3)="PRE",
LEFT(A363,3)="PRH",
ISNUMBER(SEARCH("NOTEBOOK",B363)),
ISNUMBER(SEARCH("LAPTOP",B363)),
ISNUMBER(SEARCH("MONITOR",B363)),
ISNUMBER(SEARCH("TABLET",B363)),
ISNUMBER(SEARCH("SMARTPH",B363)),
ISNUMBER(SEARCH("IMPRESORA",B363)),
ISNUMBER(SEARCH("MULTIFUNCIONAL",B363)),
ISNUMBER(SEARCH("AIO",B363))
),
"GANCHO",
"NORMAL"
)
)</f>
        <v>NORMAL</v>
      </c>
    </row>
    <row r="362" spans="1:12" x14ac:dyDescent="0.25">
      <c r="A362" s="3" t="s">
        <v>212</v>
      </c>
      <c r="B362" s="3" t="s">
        <v>213</v>
      </c>
      <c r="C362" s="1">
        <v>20</v>
      </c>
      <c r="D362" s="1">
        <v>162.30000000000001</v>
      </c>
      <c r="E362" s="1" t="s">
        <v>196</v>
      </c>
      <c r="F362" s="1" t="s">
        <v>3237</v>
      </c>
      <c r="G362" s="3" t="s">
        <v>214</v>
      </c>
      <c r="H362" s="11">
        <f>ROUND(
IF(L360="GANCHO",
   IF(I362&lt;=50,I362*1.1+4,IF(I362&lt;=120,I362*1.1+7,IF(I362&lt;=250,I362*1.1+11,I362*1.1+19))),
IF(L360="NORMAL",
   IF(I362&lt;=30,I362*1.15+2,IF(I362&lt;=80,I362*1.15+4,IF(I362&lt;=150,I362*1.15+6,I362*1.15+8))),
IF(L360="COMPLEMENTO",
   IF(I362&lt;=25,I362*1.25+1.5,IF(I362&lt;=60,I362*1.25+3,IF(I362&lt;=120,I362*1.25+4,I362*1.25+5))),
""))),2)</f>
        <v>774.44</v>
      </c>
      <c r="I362" s="9">
        <f>($K$2+0.02)*Tabla1[[#This Row],[PRECIO $]]*1.18</f>
        <v>666.46872000000008</v>
      </c>
      <c r="J362" s="7">
        <f>+Tabla1[[#This Row],[PRECIO EN SOLES]]-Tabla1[[#This Row],[PC]]</f>
        <v>107.97127999999998</v>
      </c>
      <c r="K362" s="15"/>
      <c r="L362" s="15" t="str">
        <f>IF(
OR(
ISNUMBER(SEARCH("BACKPACK",B364)),
ISNUMBER(SEARCH("MOCHILA",B364)),
ISNUMBER(SEARCH("FUNDA",B364)),
ISNUMBER(SEARCH("ESTUCHE",B364)),
ISNUMBER(SEARCH("BOOK COVER",B364)),
ISNUMBER(SEARCH("KEYBOARD PARA TABLET",B364)),
ISNUMBER(SEARCH("FLIP TABLET",B364)),
ISNUMBER(SEARCH("CASE FOR TABLET",B364)),
ISNUMBER(SEARCH("CABLE",B364)),
ISNUMBER(SEARCH("ADAPTADOR",B364)),
ISNUMBER(SEARCH("HUB",B364)),
ISNUMBER(SEARCH("DOCK",B364)),
ISNUMBER(SEARCH("MOUSE PAD",B364)),
ISNUMBER(SEARCH("MOUSEPAD",B364)),
ISNUMBER(SEARCH("SOPORTE",B364)),
ISNUMBER(SEARCH("STAND",B364)),
ISNUMBER(SEARCH("TRAVEL ADAPTER",B364)),
ISNUMBER(SEARCH("RJ45",B364)),
ISNUMBER(SEARCH("USB-C",B364)),
ISNUMBER(SEARCH("USB WIFI",B364)),
ISNUMBER(SEARCH("POWERBANK",B364)),
ISNUMBER(SEARCH("CARGADOR",B364)),
ISNUMBER(SEARCH("COOLER PARA NB",B364)),
ISNUMBER(SEARCH("SOPORTE PARA NB",B364)),
ISNUMBER(SEARCH("WEBCAM",B364)),
ISNUMBER(SEARCH("WEB CAM",B364)),
ISNUMBER(SEARCH("MOUSE",B364)),
ISNUMBER(SEARCH("TECLADO",B364))
),
"COMPLEMENTO",
IF(
OR(
LEFT(A364,2)="NB",
LEFT(A364,2)="PC",
LEFT(A364,2)="WS",
LEFT(A364,2)="TB",
LEFT(A364,3)="CEL",
LEFT(A364,3)="MON",
LEFT(A364,3)="PRE",
LEFT(A364,3)="PRH",
ISNUMBER(SEARCH("NOTEBOOK",B364)),
ISNUMBER(SEARCH("LAPTOP",B364)),
ISNUMBER(SEARCH("MONITOR",B364)),
ISNUMBER(SEARCH("TABLET",B364)),
ISNUMBER(SEARCH("SMARTPH",B364)),
ISNUMBER(SEARCH("IMPRESORA",B364)),
ISNUMBER(SEARCH("MULTIFUNCIONAL",B364)),
ISNUMBER(SEARCH("AIO",B364))
),
"GANCHO",
"NORMAL"
)
)</f>
        <v>NORMAL</v>
      </c>
    </row>
    <row r="363" spans="1:12" x14ac:dyDescent="0.25">
      <c r="A363" s="3" t="s">
        <v>636</v>
      </c>
      <c r="B363" s="3" t="s">
        <v>637</v>
      </c>
      <c r="C363" s="1">
        <v>20</v>
      </c>
      <c r="D363" s="1">
        <v>275.5</v>
      </c>
      <c r="E363" s="1" t="s">
        <v>196</v>
      </c>
      <c r="F363" s="1" t="s">
        <v>3238</v>
      </c>
      <c r="G363" s="3" t="s">
        <v>638</v>
      </c>
      <c r="H363" s="11">
        <f>ROUND(
IF(L361="GANCHO",
   IF(I363&lt;=50,I363*1.1+4,IF(I363&lt;=120,I363*1.1+7,IF(I363&lt;=250,I363*1.1+11,I363*1.1+19))),
IF(L361="NORMAL",
   IF(I363&lt;=30,I363*1.15+2,IF(I363&lt;=80,I363*1.15+4,IF(I363&lt;=150,I363*1.15+6,I363*1.15+8))),
IF(L361="COMPLEMENTO",
   IF(I363&lt;=25,I363*1.25+1.5,IF(I363&lt;=60,I363*1.25+3,IF(I363&lt;=120,I363*1.25+4,I363*1.25+5))),
""))),2)</f>
        <v>1309.01</v>
      </c>
      <c r="I363" s="9">
        <f>($K$2+0.02)*Tabla1[[#This Row],[PRECIO $]]*1.18</f>
        <v>1131.3132000000001</v>
      </c>
      <c r="J363" s="7">
        <f>+Tabla1[[#This Row],[PRECIO EN SOLES]]-Tabla1[[#This Row],[PC]]</f>
        <v>177.69679999999994</v>
      </c>
      <c r="K363" s="15"/>
      <c r="L363" s="15" t="str">
        <f>IF(
OR(
ISNUMBER(SEARCH("BACKPACK",B365)),
ISNUMBER(SEARCH("MOCHILA",B365)),
ISNUMBER(SEARCH("FUNDA",B365)),
ISNUMBER(SEARCH("ESTUCHE",B365)),
ISNUMBER(SEARCH("BOOK COVER",B365)),
ISNUMBER(SEARCH("KEYBOARD PARA TABLET",B365)),
ISNUMBER(SEARCH("FLIP TABLET",B365)),
ISNUMBER(SEARCH("CASE FOR TABLET",B365)),
ISNUMBER(SEARCH("CABLE",B365)),
ISNUMBER(SEARCH("ADAPTADOR",B365)),
ISNUMBER(SEARCH("HUB",B365)),
ISNUMBER(SEARCH("DOCK",B365)),
ISNUMBER(SEARCH("MOUSE PAD",B365)),
ISNUMBER(SEARCH("MOUSEPAD",B365)),
ISNUMBER(SEARCH("SOPORTE",B365)),
ISNUMBER(SEARCH("STAND",B365)),
ISNUMBER(SEARCH("TRAVEL ADAPTER",B365)),
ISNUMBER(SEARCH("RJ45",B365)),
ISNUMBER(SEARCH("USB-C",B365)),
ISNUMBER(SEARCH("USB WIFI",B365)),
ISNUMBER(SEARCH("POWERBANK",B365)),
ISNUMBER(SEARCH("CARGADOR",B365)),
ISNUMBER(SEARCH("COOLER PARA NB",B365)),
ISNUMBER(SEARCH("SOPORTE PARA NB",B365)),
ISNUMBER(SEARCH("WEBCAM",B365)),
ISNUMBER(SEARCH("WEB CAM",B365)),
ISNUMBER(SEARCH("MOUSE",B365)),
ISNUMBER(SEARCH("TECLADO",B365))
),
"COMPLEMENTO",
IF(
OR(
LEFT(A365,2)="NB",
LEFT(A365,2)="PC",
LEFT(A365,2)="WS",
LEFT(A365,2)="TB",
LEFT(A365,3)="CEL",
LEFT(A365,3)="MON",
LEFT(A365,3)="PRE",
LEFT(A365,3)="PRH",
ISNUMBER(SEARCH("NOTEBOOK",B365)),
ISNUMBER(SEARCH("LAPTOP",B365)),
ISNUMBER(SEARCH("MONITOR",B365)),
ISNUMBER(SEARCH("TABLET",B365)),
ISNUMBER(SEARCH("SMARTPH",B365)),
ISNUMBER(SEARCH("IMPRESORA",B365)),
ISNUMBER(SEARCH("MULTIFUNCIONAL",B365)),
ISNUMBER(SEARCH("AIO",B365))
),
"GANCHO",
"NORMAL"
)
)</f>
        <v>NORMAL</v>
      </c>
    </row>
    <row r="364" spans="1:12" x14ac:dyDescent="0.25">
      <c r="A364" s="3" t="s">
        <v>215</v>
      </c>
      <c r="B364" s="3" t="s">
        <v>216</v>
      </c>
      <c r="C364" s="1">
        <v>20</v>
      </c>
      <c r="D364" s="1">
        <v>476.5</v>
      </c>
      <c r="E364" s="1" t="s">
        <v>196</v>
      </c>
      <c r="F364" s="1" t="s">
        <v>3239</v>
      </c>
      <c r="G364" s="3" t="s">
        <v>217</v>
      </c>
      <c r="H364" s="11">
        <f>ROUND(
IF(L362="GANCHO",
   IF(I364&lt;=50,I364*1.1+4,IF(I364&lt;=120,I364*1.1+7,IF(I364&lt;=250,I364*1.1+11,I364*1.1+19))),
IF(L362="NORMAL",
   IF(I364&lt;=30,I364*1.15+2,IF(I364&lt;=80,I364*1.15+4,IF(I364&lt;=150,I364*1.15+6,I364*1.15+8))),
IF(L362="COMPLEMENTO",
   IF(I364&lt;=25,I364*1.25+1.5,IF(I364&lt;=60,I364*1.25+3,IF(I364&lt;=120,I364*1.25+4,I364*1.25+5))),
""))),2)</f>
        <v>2258.1999999999998</v>
      </c>
      <c r="I364" s="9">
        <f>($K$2+0.02)*Tabla1[[#This Row],[PRECIO $]]*1.18</f>
        <v>1956.6995999999999</v>
      </c>
      <c r="J364" s="7">
        <f>+Tabla1[[#This Row],[PRECIO EN SOLES]]-Tabla1[[#This Row],[PC]]</f>
        <v>301.5003999999999</v>
      </c>
      <c r="K364" s="15"/>
      <c r="L364" s="15" t="str">
        <f>IF(
OR(
ISNUMBER(SEARCH("BACKPACK",B366)),
ISNUMBER(SEARCH("MOCHILA",B366)),
ISNUMBER(SEARCH("FUNDA",B366)),
ISNUMBER(SEARCH("ESTUCHE",B366)),
ISNUMBER(SEARCH("BOOK COVER",B366)),
ISNUMBER(SEARCH("KEYBOARD PARA TABLET",B366)),
ISNUMBER(SEARCH("FLIP TABLET",B366)),
ISNUMBER(SEARCH("CASE FOR TABLET",B366)),
ISNUMBER(SEARCH("CABLE",B366)),
ISNUMBER(SEARCH("ADAPTADOR",B366)),
ISNUMBER(SEARCH("HUB",B366)),
ISNUMBER(SEARCH("DOCK",B366)),
ISNUMBER(SEARCH("MOUSE PAD",B366)),
ISNUMBER(SEARCH("MOUSEPAD",B366)),
ISNUMBER(SEARCH("SOPORTE",B366)),
ISNUMBER(SEARCH("STAND",B366)),
ISNUMBER(SEARCH("TRAVEL ADAPTER",B366)),
ISNUMBER(SEARCH("RJ45",B366)),
ISNUMBER(SEARCH("USB-C",B366)),
ISNUMBER(SEARCH("USB WIFI",B366)),
ISNUMBER(SEARCH("POWERBANK",B366)),
ISNUMBER(SEARCH("CARGADOR",B366)),
ISNUMBER(SEARCH("COOLER PARA NB",B366)),
ISNUMBER(SEARCH("SOPORTE PARA NB",B366)),
ISNUMBER(SEARCH("WEBCAM",B366)),
ISNUMBER(SEARCH("WEB CAM",B366)),
ISNUMBER(SEARCH("MOUSE",B366)),
ISNUMBER(SEARCH("TECLADO",B366))
),
"COMPLEMENTO",
IF(
OR(
LEFT(A366,2)="NB",
LEFT(A366,2)="PC",
LEFT(A366,2)="WS",
LEFT(A366,2)="TB",
LEFT(A366,3)="CEL",
LEFT(A366,3)="MON",
LEFT(A366,3)="PRE",
LEFT(A366,3)="PRH",
ISNUMBER(SEARCH("NOTEBOOK",B366)),
ISNUMBER(SEARCH("LAPTOP",B366)),
ISNUMBER(SEARCH("MONITOR",B366)),
ISNUMBER(SEARCH("TABLET",B366)),
ISNUMBER(SEARCH("SMARTPH",B366)),
ISNUMBER(SEARCH("IMPRESORA",B366)),
ISNUMBER(SEARCH("MULTIFUNCIONAL",B366)),
ISNUMBER(SEARCH("AIO",B366))
),
"GANCHO",
"NORMAL"
)
)</f>
        <v>NORMAL</v>
      </c>
    </row>
    <row r="365" spans="1:12" x14ac:dyDescent="0.25">
      <c r="A365" s="3" t="s">
        <v>6284</v>
      </c>
      <c r="B365" s="3" t="s">
        <v>6285</v>
      </c>
      <c r="C365" s="1">
        <v>20</v>
      </c>
      <c r="D365" s="1">
        <v>221</v>
      </c>
      <c r="E365" s="1" t="s">
        <v>218</v>
      </c>
      <c r="F365" s="1" t="s">
        <v>6286</v>
      </c>
      <c r="G365" s="3" t="s">
        <v>6287</v>
      </c>
      <c r="H365" s="11">
        <f>ROUND(
IF(L363="GANCHO",
   IF(I365&lt;=50,I365*1.1+4,IF(I365&lt;=120,I365*1.1+7,IF(I365&lt;=250,I365*1.1+11,I365*1.1+19))),
IF(L363="NORMAL",
   IF(I365&lt;=30,I365*1.15+2,IF(I365&lt;=80,I365*1.15+4,IF(I365&lt;=150,I365*1.15+6,I365*1.15+8))),
IF(L363="COMPLEMENTO",
   IF(I365&lt;=25,I365*1.25+1.5,IF(I365&lt;=60,I365*1.25+3,IF(I365&lt;=120,I365*1.25+4,I365*1.25+5))),
""))),2)</f>
        <v>1051.6400000000001</v>
      </c>
      <c r="I365" s="9">
        <f>($K$2+0.02)*Tabla1[[#This Row],[PRECIO $]]*1.18</f>
        <v>907.51440000000002</v>
      </c>
      <c r="J365" s="7">
        <f>+Tabla1[[#This Row],[PRECIO EN SOLES]]-Tabla1[[#This Row],[PC]]</f>
        <v>144.12560000000008</v>
      </c>
      <c r="K365" s="15"/>
      <c r="L365" s="15" t="str">
        <f>IF(
OR(
ISNUMBER(SEARCH("BACKPACK",B367)),
ISNUMBER(SEARCH("MOCHILA",B367)),
ISNUMBER(SEARCH("FUNDA",B367)),
ISNUMBER(SEARCH("ESTUCHE",B367)),
ISNUMBER(SEARCH("BOOK COVER",B367)),
ISNUMBER(SEARCH("KEYBOARD PARA TABLET",B367)),
ISNUMBER(SEARCH("FLIP TABLET",B367)),
ISNUMBER(SEARCH("CASE FOR TABLET",B367)),
ISNUMBER(SEARCH("CABLE",B367)),
ISNUMBER(SEARCH("ADAPTADOR",B367)),
ISNUMBER(SEARCH("HUB",B367)),
ISNUMBER(SEARCH("DOCK",B367)),
ISNUMBER(SEARCH("MOUSE PAD",B367)),
ISNUMBER(SEARCH("MOUSEPAD",B367)),
ISNUMBER(SEARCH("SOPORTE",B367)),
ISNUMBER(SEARCH("STAND",B367)),
ISNUMBER(SEARCH("TRAVEL ADAPTER",B367)),
ISNUMBER(SEARCH("RJ45",B367)),
ISNUMBER(SEARCH("USB-C",B367)),
ISNUMBER(SEARCH("USB WIFI",B367)),
ISNUMBER(SEARCH("POWERBANK",B367)),
ISNUMBER(SEARCH("CARGADOR",B367)),
ISNUMBER(SEARCH("COOLER PARA NB",B367)),
ISNUMBER(SEARCH("SOPORTE PARA NB",B367)),
ISNUMBER(SEARCH("WEBCAM",B367)),
ISNUMBER(SEARCH("WEB CAM",B367)),
ISNUMBER(SEARCH("MOUSE",B367)),
ISNUMBER(SEARCH("TECLADO",B367))
),
"COMPLEMENTO",
IF(
OR(
LEFT(A367,2)="NB",
LEFT(A367,2)="PC",
LEFT(A367,2)="WS",
LEFT(A367,2)="TB",
LEFT(A367,3)="CEL",
LEFT(A367,3)="MON",
LEFT(A367,3)="PRE",
LEFT(A367,3)="PRH",
ISNUMBER(SEARCH("NOTEBOOK",B367)),
ISNUMBER(SEARCH("LAPTOP",B367)),
ISNUMBER(SEARCH("MONITOR",B367)),
ISNUMBER(SEARCH("TABLET",B367)),
ISNUMBER(SEARCH("SMARTPH",B367)),
ISNUMBER(SEARCH("IMPRESORA",B367)),
ISNUMBER(SEARCH("MULTIFUNCIONAL",B367)),
ISNUMBER(SEARCH("AIO",B367))
),
"GANCHO",
"NORMAL"
)
)</f>
        <v>NORMAL</v>
      </c>
    </row>
    <row r="366" spans="1:12" x14ac:dyDescent="0.25">
      <c r="A366" s="3" t="s">
        <v>1072</v>
      </c>
      <c r="B366" s="3" t="s">
        <v>1073</v>
      </c>
      <c r="C366" s="1">
        <v>20</v>
      </c>
      <c r="D366" s="1">
        <v>22.6</v>
      </c>
      <c r="E366" s="1" t="s">
        <v>219</v>
      </c>
      <c r="F366" s="1" t="s">
        <v>3240</v>
      </c>
      <c r="G366" s="3" t="s">
        <v>1074</v>
      </c>
      <c r="H366" s="11">
        <f>ROUND(
IF(L364="GANCHO",
   IF(I366&lt;=50,I366*1.1+4,IF(I366&lt;=120,I366*1.1+7,IF(I366&lt;=250,I366*1.1+11,I366*1.1+19))),
IF(L364="NORMAL",
   IF(I366&lt;=30,I366*1.15+2,IF(I366&lt;=80,I366*1.15+4,IF(I366&lt;=150,I366*1.15+6,I366*1.15+8))),
IF(L364="COMPLEMENTO",
   IF(I366&lt;=25,I366*1.25+1.5,IF(I366&lt;=60,I366*1.25+3,IF(I366&lt;=120,I366*1.25+4,I366*1.25+5))),
""))),2)</f>
        <v>112.73</v>
      </c>
      <c r="I366" s="9">
        <f>($K$2+0.02)*Tabla1[[#This Row],[PRECIO $]]*1.18</f>
        <v>92.804640000000006</v>
      </c>
      <c r="J366" s="7">
        <f>+Tabla1[[#This Row],[PRECIO EN SOLES]]-Tabla1[[#This Row],[PC]]</f>
        <v>19.925359999999998</v>
      </c>
      <c r="K366" s="15"/>
      <c r="L366" s="15" t="str">
        <f>IF(
OR(
ISNUMBER(SEARCH("BACKPACK",B368)),
ISNUMBER(SEARCH("MOCHILA",B368)),
ISNUMBER(SEARCH("FUNDA",B368)),
ISNUMBER(SEARCH("ESTUCHE",B368)),
ISNUMBER(SEARCH("BOOK COVER",B368)),
ISNUMBER(SEARCH("KEYBOARD PARA TABLET",B368)),
ISNUMBER(SEARCH("FLIP TABLET",B368)),
ISNUMBER(SEARCH("CASE FOR TABLET",B368)),
ISNUMBER(SEARCH("CABLE",B368)),
ISNUMBER(SEARCH("ADAPTADOR",B368)),
ISNUMBER(SEARCH("HUB",B368)),
ISNUMBER(SEARCH("DOCK",B368)),
ISNUMBER(SEARCH("MOUSE PAD",B368)),
ISNUMBER(SEARCH("MOUSEPAD",B368)),
ISNUMBER(SEARCH("SOPORTE",B368)),
ISNUMBER(SEARCH("STAND",B368)),
ISNUMBER(SEARCH("TRAVEL ADAPTER",B368)),
ISNUMBER(SEARCH("RJ45",B368)),
ISNUMBER(SEARCH("USB-C",B368)),
ISNUMBER(SEARCH("USB WIFI",B368)),
ISNUMBER(SEARCH("POWERBANK",B368)),
ISNUMBER(SEARCH("CARGADOR",B368)),
ISNUMBER(SEARCH("COOLER PARA NB",B368)),
ISNUMBER(SEARCH("SOPORTE PARA NB",B368)),
ISNUMBER(SEARCH("WEBCAM",B368)),
ISNUMBER(SEARCH("WEB CAM",B368)),
ISNUMBER(SEARCH("MOUSE",B368)),
ISNUMBER(SEARCH("TECLADO",B368))
),
"COMPLEMENTO",
IF(
OR(
LEFT(A368,2)="NB",
LEFT(A368,2)="PC",
LEFT(A368,2)="WS",
LEFT(A368,2)="TB",
LEFT(A368,3)="CEL",
LEFT(A368,3)="MON",
LEFT(A368,3)="PRE",
LEFT(A368,3)="PRH",
ISNUMBER(SEARCH("NOTEBOOK",B368)),
ISNUMBER(SEARCH("LAPTOP",B368)),
ISNUMBER(SEARCH("MONITOR",B368)),
ISNUMBER(SEARCH("TABLET",B368)),
ISNUMBER(SEARCH("SMARTPH",B368)),
ISNUMBER(SEARCH("IMPRESORA",B368)),
ISNUMBER(SEARCH("MULTIFUNCIONAL",B368)),
ISNUMBER(SEARCH("AIO",B368))
),
"GANCHO",
"NORMAL"
)
)</f>
        <v>NORMAL</v>
      </c>
    </row>
    <row r="367" spans="1:12" x14ac:dyDescent="0.25">
      <c r="A367" s="3" t="s">
        <v>1075</v>
      </c>
      <c r="B367" s="3" t="s">
        <v>1076</v>
      </c>
      <c r="C367" s="1">
        <v>7</v>
      </c>
      <c r="D367" s="1">
        <v>217</v>
      </c>
      <c r="E367" s="1" t="s">
        <v>1077</v>
      </c>
      <c r="F367" s="1" t="s">
        <v>3241</v>
      </c>
      <c r="G367" s="3" t="s">
        <v>1078</v>
      </c>
      <c r="H367" s="11">
        <f>ROUND(
IF(L365="GANCHO",
   IF(I367&lt;=50,I367*1.1+4,IF(I367&lt;=120,I367*1.1+7,IF(I367&lt;=250,I367*1.1+11,I367*1.1+19))),
IF(L365="NORMAL",
   IF(I367&lt;=30,I367*1.15+2,IF(I367&lt;=80,I367*1.15+4,IF(I367&lt;=150,I367*1.15+6,I367*1.15+8))),
IF(L365="COMPLEMENTO",
   IF(I367&lt;=25,I367*1.25+1.5,IF(I367&lt;=60,I367*1.25+3,IF(I367&lt;=120,I367*1.25+4,I367*1.25+5))),
""))),2)</f>
        <v>1032.75</v>
      </c>
      <c r="I367" s="9">
        <f>($K$2+0.02)*Tabla1[[#This Row],[PRECIO $]]*1.18</f>
        <v>891.08879999999988</v>
      </c>
      <c r="J367" s="7">
        <f>+Tabla1[[#This Row],[PRECIO EN SOLES]]-Tabla1[[#This Row],[PC]]</f>
        <v>141.66120000000012</v>
      </c>
      <c r="K367" s="15"/>
      <c r="L367" s="15" t="str">
        <f>IF(
OR(
ISNUMBER(SEARCH("BACKPACK",B369)),
ISNUMBER(SEARCH("MOCHILA",B369)),
ISNUMBER(SEARCH("FUNDA",B369)),
ISNUMBER(SEARCH("ESTUCHE",B369)),
ISNUMBER(SEARCH("BOOK COVER",B369)),
ISNUMBER(SEARCH("KEYBOARD PARA TABLET",B369)),
ISNUMBER(SEARCH("FLIP TABLET",B369)),
ISNUMBER(SEARCH("CASE FOR TABLET",B369)),
ISNUMBER(SEARCH("CABLE",B369)),
ISNUMBER(SEARCH("ADAPTADOR",B369)),
ISNUMBER(SEARCH("HUB",B369)),
ISNUMBER(SEARCH("DOCK",B369)),
ISNUMBER(SEARCH("MOUSE PAD",B369)),
ISNUMBER(SEARCH("MOUSEPAD",B369)),
ISNUMBER(SEARCH("SOPORTE",B369)),
ISNUMBER(SEARCH("STAND",B369)),
ISNUMBER(SEARCH("TRAVEL ADAPTER",B369)),
ISNUMBER(SEARCH("RJ45",B369)),
ISNUMBER(SEARCH("USB-C",B369)),
ISNUMBER(SEARCH("USB WIFI",B369)),
ISNUMBER(SEARCH("POWERBANK",B369)),
ISNUMBER(SEARCH("CARGADOR",B369)),
ISNUMBER(SEARCH("COOLER PARA NB",B369)),
ISNUMBER(SEARCH("SOPORTE PARA NB",B369)),
ISNUMBER(SEARCH("WEBCAM",B369)),
ISNUMBER(SEARCH("WEB CAM",B369)),
ISNUMBER(SEARCH("MOUSE",B369)),
ISNUMBER(SEARCH("TECLADO",B369))
),
"COMPLEMENTO",
IF(
OR(
LEFT(A369,2)="NB",
LEFT(A369,2)="PC",
LEFT(A369,2)="WS",
LEFT(A369,2)="TB",
LEFT(A369,3)="CEL",
LEFT(A369,3)="MON",
LEFT(A369,3)="PRE",
LEFT(A369,3)="PRH",
ISNUMBER(SEARCH("NOTEBOOK",B369)),
ISNUMBER(SEARCH("LAPTOP",B369)),
ISNUMBER(SEARCH("MONITOR",B369)),
ISNUMBER(SEARCH("TABLET",B369)),
ISNUMBER(SEARCH("SMARTPH",B369)),
ISNUMBER(SEARCH("IMPRESORA",B369)),
ISNUMBER(SEARCH("MULTIFUNCIONAL",B369)),
ISNUMBER(SEARCH("AIO",B369))
),
"GANCHO",
"NORMAL"
)
)</f>
        <v>NORMAL</v>
      </c>
    </row>
    <row r="368" spans="1:12" x14ac:dyDescent="0.25">
      <c r="A368" s="3" t="s">
        <v>1079</v>
      </c>
      <c r="B368" s="3" t="s">
        <v>1080</v>
      </c>
      <c r="C368" s="1">
        <v>5</v>
      </c>
      <c r="D368" s="1">
        <v>48</v>
      </c>
      <c r="E368" s="1" t="s">
        <v>52</v>
      </c>
      <c r="F368" s="1" t="s">
        <v>3242</v>
      </c>
      <c r="G368" s="3" t="s">
        <v>1081</v>
      </c>
      <c r="H368" s="11">
        <f>ROUND(
IF(L366="GANCHO",
   IF(I368&lt;=50,I368*1.1+4,IF(I368&lt;=120,I368*1.1+7,IF(I368&lt;=250,I368*1.1+11,I368*1.1+19))),
IF(L366="NORMAL",
   IF(I368&lt;=30,I368*1.15+2,IF(I368&lt;=80,I368*1.15+4,IF(I368&lt;=150,I368*1.15+6,I368*1.15+8))),
IF(L366="COMPLEMENTO",
   IF(I368&lt;=25,I368*1.25+1.5,IF(I368&lt;=60,I368*1.25+3,IF(I368&lt;=120,I368*1.25+4,I368*1.25+5))),
""))),2)</f>
        <v>234.67</v>
      </c>
      <c r="I368" s="9">
        <f>($K$2+0.02)*Tabla1[[#This Row],[PRECIO $]]*1.18</f>
        <v>197.10719999999998</v>
      </c>
      <c r="J368" s="7">
        <f>+Tabla1[[#This Row],[PRECIO EN SOLES]]-Tabla1[[#This Row],[PC]]</f>
        <v>37.56280000000001</v>
      </c>
      <c r="K368" s="15"/>
      <c r="L368" s="15" t="str">
        <f>IF(
OR(
ISNUMBER(SEARCH("BACKPACK",B370)),
ISNUMBER(SEARCH("MOCHILA",B370)),
ISNUMBER(SEARCH("FUNDA",B370)),
ISNUMBER(SEARCH("ESTUCHE",B370)),
ISNUMBER(SEARCH("BOOK COVER",B370)),
ISNUMBER(SEARCH("KEYBOARD PARA TABLET",B370)),
ISNUMBER(SEARCH("FLIP TABLET",B370)),
ISNUMBER(SEARCH("CASE FOR TABLET",B370)),
ISNUMBER(SEARCH("CABLE",B370)),
ISNUMBER(SEARCH("ADAPTADOR",B370)),
ISNUMBER(SEARCH("HUB",B370)),
ISNUMBER(SEARCH("DOCK",B370)),
ISNUMBER(SEARCH("MOUSE PAD",B370)),
ISNUMBER(SEARCH("MOUSEPAD",B370)),
ISNUMBER(SEARCH("SOPORTE",B370)),
ISNUMBER(SEARCH("STAND",B370)),
ISNUMBER(SEARCH("TRAVEL ADAPTER",B370)),
ISNUMBER(SEARCH("RJ45",B370)),
ISNUMBER(SEARCH("USB-C",B370)),
ISNUMBER(SEARCH("USB WIFI",B370)),
ISNUMBER(SEARCH("POWERBANK",B370)),
ISNUMBER(SEARCH("CARGADOR",B370)),
ISNUMBER(SEARCH("COOLER PARA NB",B370)),
ISNUMBER(SEARCH("SOPORTE PARA NB",B370)),
ISNUMBER(SEARCH("WEBCAM",B370)),
ISNUMBER(SEARCH("WEB CAM",B370)),
ISNUMBER(SEARCH("MOUSE",B370)),
ISNUMBER(SEARCH("TECLADO",B370))
),
"COMPLEMENTO",
IF(
OR(
LEFT(A370,2)="NB",
LEFT(A370,2)="PC",
LEFT(A370,2)="WS",
LEFT(A370,2)="TB",
LEFT(A370,3)="CEL",
LEFT(A370,3)="MON",
LEFT(A370,3)="PRE",
LEFT(A370,3)="PRH",
ISNUMBER(SEARCH("NOTEBOOK",B370)),
ISNUMBER(SEARCH("LAPTOP",B370)),
ISNUMBER(SEARCH("MONITOR",B370)),
ISNUMBER(SEARCH("TABLET",B370)),
ISNUMBER(SEARCH("SMARTPH",B370)),
ISNUMBER(SEARCH("IMPRESORA",B370)),
ISNUMBER(SEARCH("MULTIFUNCIONAL",B370)),
ISNUMBER(SEARCH("AIO",B370))
),
"GANCHO",
"NORMAL"
)
)</f>
        <v>NORMAL</v>
      </c>
    </row>
    <row r="369" spans="1:12" x14ac:dyDescent="0.25">
      <c r="A369" s="3" t="s">
        <v>2927</v>
      </c>
      <c r="B369" s="3" t="s">
        <v>2928</v>
      </c>
      <c r="C369" s="1">
        <v>20</v>
      </c>
      <c r="D369" s="1">
        <v>8.8000000000000007</v>
      </c>
      <c r="E369" s="1" t="s">
        <v>224</v>
      </c>
      <c r="F369" s="1" t="s">
        <v>3243</v>
      </c>
      <c r="G369" s="3" t="s">
        <v>2929</v>
      </c>
      <c r="H369" s="11">
        <f>ROUND(
IF(L367="GANCHO",
   IF(I369&lt;=50,I369*1.1+4,IF(I369&lt;=120,I369*1.1+7,IF(I369&lt;=250,I369*1.1+11,I369*1.1+19))),
IF(L367="NORMAL",
   IF(I369&lt;=30,I369*1.15+2,IF(I369&lt;=80,I369*1.15+4,IF(I369&lt;=150,I369*1.15+6,I369*1.15+8))),
IF(L367="COMPLEMENTO",
   IF(I369&lt;=25,I369*1.25+1.5,IF(I369&lt;=60,I369*1.25+3,IF(I369&lt;=120,I369*1.25+4,I369*1.25+5))),
""))),2)</f>
        <v>45.56</v>
      </c>
      <c r="I369" s="9">
        <f>($K$2+0.02)*Tabla1[[#This Row],[PRECIO $]]*1.18</f>
        <v>36.136319999999998</v>
      </c>
      <c r="J369" s="7">
        <f>+Tabla1[[#This Row],[PRECIO EN SOLES]]-Tabla1[[#This Row],[PC]]</f>
        <v>9.4236800000000045</v>
      </c>
      <c r="K369" s="15"/>
      <c r="L369" s="15" t="str">
        <f>IF(
OR(
ISNUMBER(SEARCH("BACKPACK",B371)),
ISNUMBER(SEARCH("MOCHILA",B371)),
ISNUMBER(SEARCH("FUNDA",B371)),
ISNUMBER(SEARCH("ESTUCHE",B371)),
ISNUMBER(SEARCH("BOOK COVER",B371)),
ISNUMBER(SEARCH("KEYBOARD PARA TABLET",B371)),
ISNUMBER(SEARCH("FLIP TABLET",B371)),
ISNUMBER(SEARCH("CASE FOR TABLET",B371)),
ISNUMBER(SEARCH("CABLE",B371)),
ISNUMBER(SEARCH("ADAPTADOR",B371)),
ISNUMBER(SEARCH("HUB",B371)),
ISNUMBER(SEARCH("DOCK",B371)),
ISNUMBER(SEARCH("MOUSE PAD",B371)),
ISNUMBER(SEARCH("MOUSEPAD",B371)),
ISNUMBER(SEARCH("SOPORTE",B371)),
ISNUMBER(SEARCH("STAND",B371)),
ISNUMBER(SEARCH("TRAVEL ADAPTER",B371)),
ISNUMBER(SEARCH("RJ45",B371)),
ISNUMBER(SEARCH("USB-C",B371)),
ISNUMBER(SEARCH("USB WIFI",B371)),
ISNUMBER(SEARCH("POWERBANK",B371)),
ISNUMBER(SEARCH("CARGADOR",B371)),
ISNUMBER(SEARCH("COOLER PARA NB",B371)),
ISNUMBER(SEARCH("SOPORTE PARA NB",B371)),
ISNUMBER(SEARCH("WEBCAM",B371)),
ISNUMBER(SEARCH("WEB CAM",B371)),
ISNUMBER(SEARCH("MOUSE",B371)),
ISNUMBER(SEARCH("TECLADO",B371))
),
"COMPLEMENTO",
IF(
OR(
LEFT(A371,2)="NB",
LEFT(A371,2)="PC",
LEFT(A371,2)="WS",
LEFT(A371,2)="TB",
LEFT(A371,3)="CEL",
LEFT(A371,3)="MON",
LEFT(A371,3)="PRE",
LEFT(A371,3)="PRH",
ISNUMBER(SEARCH("NOTEBOOK",B371)),
ISNUMBER(SEARCH("LAPTOP",B371)),
ISNUMBER(SEARCH("MONITOR",B371)),
ISNUMBER(SEARCH("TABLET",B371)),
ISNUMBER(SEARCH("SMARTPH",B371)),
ISNUMBER(SEARCH("IMPRESORA",B371)),
ISNUMBER(SEARCH("MULTIFUNCIONAL",B371)),
ISNUMBER(SEARCH("AIO",B371))
),
"GANCHO",
"NORMAL"
)
)</f>
        <v>NORMAL</v>
      </c>
    </row>
    <row r="370" spans="1:12" x14ac:dyDescent="0.25">
      <c r="A370" s="3" t="s">
        <v>221</v>
      </c>
      <c r="B370" s="3" t="s">
        <v>222</v>
      </c>
      <c r="C370" s="1">
        <v>20</v>
      </c>
      <c r="D370" s="1">
        <v>30.5</v>
      </c>
      <c r="E370" s="1" t="s">
        <v>220</v>
      </c>
      <c r="F370" s="1" t="s">
        <v>3244</v>
      </c>
      <c r="G370" s="3" t="s">
        <v>223</v>
      </c>
      <c r="H370" s="11">
        <f>ROUND(
IF(L368="GANCHO",
   IF(I370&lt;=50,I370*1.1+4,IF(I370&lt;=120,I370*1.1+7,IF(I370&lt;=250,I370*1.1+11,I370*1.1+19))),
IF(L368="NORMAL",
   IF(I370&lt;=30,I370*1.15+2,IF(I370&lt;=80,I370*1.15+4,IF(I370&lt;=150,I370*1.15+6,I370*1.15+8))),
IF(L368="COMPLEMENTO",
   IF(I370&lt;=25,I370*1.25+1.5,IF(I370&lt;=60,I370*1.25+3,IF(I370&lt;=120,I370*1.25+4,I370*1.25+5))),
""))),2)</f>
        <v>150.03</v>
      </c>
      <c r="I370" s="9">
        <f>($K$2+0.02)*Tabla1[[#This Row],[PRECIO $]]*1.18</f>
        <v>125.2452</v>
      </c>
      <c r="J370" s="7">
        <f>+Tabla1[[#This Row],[PRECIO EN SOLES]]-Tabla1[[#This Row],[PC]]</f>
        <v>24.784800000000004</v>
      </c>
      <c r="K370" s="15"/>
      <c r="L370" s="15" t="str">
        <f>IF(
OR(
ISNUMBER(SEARCH("BACKPACK",B372)),
ISNUMBER(SEARCH("MOCHILA",B372)),
ISNUMBER(SEARCH("FUNDA",B372)),
ISNUMBER(SEARCH("ESTUCHE",B372)),
ISNUMBER(SEARCH("BOOK COVER",B372)),
ISNUMBER(SEARCH("KEYBOARD PARA TABLET",B372)),
ISNUMBER(SEARCH("FLIP TABLET",B372)),
ISNUMBER(SEARCH("CASE FOR TABLET",B372)),
ISNUMBER(SEARCH("CABLE",B372)),
ISNUMBER(SEARCH("ADAPTADOR",B372)),
ISNUMBER(SEARCH("HUB",B372)),
ISNUMBER(SEARCH("DOCK",B372)),
ISNUMBER(SEARCH("MOUSE PAD",B372)),
ISNUMBER(SEARCH("MOUSEPAD",B372)),
ISNUMBER(SEARCH("SOPORTE",B372)),
ISNUMBER(SEARCH("STAND",B372)),
ISNUMBER(SEARCH("TRAVEL ADAPTER",B372)),
ISNUMBER(SEARCH("RJ45",B372)),
ISNUMBER(SEARCH("USB-C",B372)),
ISNUMBER(SEARCH("USB WIFI",B372)),
ISNUMBER(SEARCH("POWERBANK",B372)),
ISNUMBER(SEARCH("CARGADOR",B372)),
ISNUMBER(SEARCH("COOLER PARA NB",B372)),
ISNUMBER(SEARCH("SOPORTE PARA NB",B372)),
ISNUMBER(SEARCH("WEBCAM",B372)),
ISNUMBER(SEARCH("WEB CAM",B372)),
ISNUMBER(SEARCH("MOUSE",B372)),
ISNUMBER(SEARCH("TECLADO",B372))
),
"COMPLEMENTO",
IF(
OR(
LEFT(A372,2)="NB",
LEFT(A372,2)="PC",
LEFT(A372,2)="WS",
LEFT(A372,2)="TB",
LEFT(A372,3)="CEL",
LEFT(A372,3)="MON",
LEFT(A372,3)="PRE",
LEFT(A372,3)="PRH",
ISNUMBER(SEARCH("NOTEBOOK",B372)),
ISNUMBER(SEARCH("LAPTOP",B372)),
ISNUMBER(SEARCH("MONITOR",B372)),
ISNUMBER(SEARCH("TABLET",B372)),
ISNUMBER(SEARCH("SMARTPH",B372)),
ISNUMBER(SEARCH("IMPRESORA",B372)),
ISNUMBER(SEARCH("MULTIFUNCIONAL",B372)),
ISNUMBER(SEARCH("AIO",B372))
),
"GANCHO",
"NORMAL"
)
)</f>
        <v>NORMAL</v>
      </c>
    </row>
    <row r="371" spans="1:12" x14ac:dyDescent="0.25">
      <c r="A371" s="3" t="s">
        <v>1082</v>
      </c>
      <c r="B371" s="3" t="s">
        <v>1083</v>
      </c>
      <c r="C371" s="1">
        <v>20</v>
      </c>
      <c r="D371" s="1">
        <v>30</v>
      </c>
      <c r="E371" s="1" t="s">
        <v>220</v>
      </c>
      <c r="F371" s="1" t="s">
        <v>3245</v>
      </c>
      <c r="G371" s="3" t="s">
        <v>1084</v>
      </c>
      <c r="H371" s="11">
        <f>ROUND(
IF(L369="GANCHO",
   IF(I371&lt;=50,I371*1.1+4,IF(I371&lt;=120,I371*1.1+7,IF(I371&lt;=250,I371*1.1+11,I371*1.1+19))),
IF(L369="NORMAL",
   IF(I371&lt;=30,I371*1.15+2,IF(I371&lt;=80,I371*1.15+4,IF(I371&lt;=150,I371*1.15+6,I371*1.15+8))),
IF(L369="COMPLEMENTO",
   IF(I371&lt;=25,I371*1.25+1.5,IF(I371&lt;=60,I371*1.25+3,IF(I371&lt;=120,I371*1.25+4,I371*1.25+5))),
""))),2)</f>
        <v>147.66999999999999</v>
      </c>
      <c r="I371" s="9">
        <f>($K$2+0.02)*Tabla1[[#This Row],[PRECIO $]]*1.18</f>
        <v>123.19200000000001</v>
      </c>
      <c r="J371" s="7">
        <f>+Tabla1[[#This Row],[PRECIO EN SOLES]]-Tabla1[[#This Row],[PC]]</f>
        <v>24.47799999999998</v>
      </c>
      <c r="K371" s="15"/>
      <c r="L371" s="15" t="str">
        <f>IF(
OR(
ISNUMBER(SEARCH("BACKPACK",B373)),
ISNUMBER(SEARCH("MOCHILA",B373)),
ISNUMBER(SEARCH("FUNDA",B373)),
ISNUMBER(SEARCH("ESTUCHE",B373)),
ISNUMBER(SEARCH("BOOK COVER",B373)),
ISNUMBER(SEARCH("KEYBOARD PARA TABLET",B373)),
ISNUMBER(SEARCH("FLIP TABLET",B373)),
ISNUMBER(SEARCH("CASE FOR TABLET",B373)),
ISNUMBER(SEARCH("CABLE",B373)),
ISNUMBER(SEARCH("ADAPTADOR",B373)),
ISNUMBER(SEARCH("HUB",B373)),
ISNUMBER(SEARCH("DOCK",B373)),
ISNUMBER(SEARCH("MOUSE PAD",B373)),
ISNUMBER(SEARCH("MOUSEPAD",B373)),
ISNUMBER(SEARCH("SOPORTE",B373)),
ISNUMBER(SEARCH("STAND",B373)),
ISNUMBER(SEARCH("TRAVEL ADAPTER",B373)),
ISNUMBER(SEARCH("RJ45",B373)),
ISNUMBER(SEARCH("USB-C",B373)),
ISNUMBER(SEARCH("USB WIFI",B373)),
ISNUMBER(SEARCH("POWERBANK",B373)),
ISNUMBER(SEARCH("CARGADOR",B373)),
ISNUMBER(SEARCH("COOLER PARA NB",B373)),
ISNUMBER(SEARCH("SOPORTE PARA NB",B373)),
ISNUMBER(SEARCH("WEBCAM",B373)),
ISNUMBER(SEARCH("WEB CAM",B373)),
ISNUMBER(SEARCH("MOUSE",B373)),
ISNUMBER(SEARCH("TECLADO",B373))
),
"COMPLEMENTO",
IF(
OR(
LEFT(A373,2)="NB",
LEFT(A373,2)="PC",
LEFT(A373,2)="WS",
LEFT(A373,2)="TB",
LEFT(A373,3)="CEL",
LEFT(A373,3)="MON",
LEFT(A373,3)="PRE",
LEFT(A373,3)="PRH",
ISNUMBER(SEARCH("NOTEBOOK",B373)),
ISNUMBER(SEARCH("LAPTOP",B373)),
ISNUMBER(SEARCH("MONITOR",B373)),
ISNUMBER(SEARCH("TABLET",B373)),
ISNUMBER(SEARCH("SMARTPH",B373)),
ISNUMBER(SEARCH("IMPRESORA",B373)),
ISNUMBER(SEARCH("MULTIFUNCIONAL",B373)),
ISNUMBER(SEARCH("AIO",B373))
),
"GANCHO",
"NORMAL"
)
)</f>
        <v>NORMAL</v>
      </c>
    </row>
    <row r="372" spans="1:12" x14ac:dyDescent="0.25">
      <c r="A372" s="3" t="s">
        <v>639</v>
      </c>
      <c r="B372" s="3" t="s">
        <v>640</v>
      </c>
      <c r="C372" s="1">
        <v>9</v>
      </c>
      <c r="D372" s="1">
        <v>125</v>
      </c>
      <c r="E372" s="1" t="s">
        <v>220</v>
      </c>
      <c r="F372" s="1" t="s">
        <v>3246</v>
      </c>
      <c r="G372" s="3" t="s">
        <v>4576</v>
      </c>
      <c r="H372" s="11">
        <f>ROUND(
IF(L370="GANCHO",
   IF(I372&lt;=50,I372*1.1+4,IF(I372&lt;=120,I372*1.1+7,IF(I372&lt;=250,I372*1.1+11,I372*1.1+19))),
IF(L370="NORMAL",
   IF(I372&lt;=30,I372*1.15+2,IF(I372&lt;=80,I372*1.15+4,IF(I372&lt;=150,I372*1.15+6,I372*1.15+8))),
IF(L370="COMPLEMENTO",
   IF(I372&lt;=25,I372*1.25+1.5,IF(I372&lt;=60,I372*1.25+3,IF(I372&lt;=120,I372*1.25+4,I372*1.25+5))),
""))),2)</f>
        <v>598.29999999999995</v>
      </c>
      <c r="I372" s="9">
        <f>($K$2+0.02)*Tabla1[[#This Row],[PRECIO $]]*1.18</f>
        <v>513.29999999999995</v>
      </c>
      <c r="J372" s="7">
        <f>+Tabla1[[#This Row],[PRECIO EN SOLES]]-Tabla1[[#This Row],[PC]]</f>
        <v>85</v>
      </c>
      <c r="K372" s="15"/>
      <c r="L372" s="15" t="str">
        <f>IF(
OR(
ISNUMBER(SEARCH("BACKPACK",B374)),
ISNUMBER(SEARCH("MOCHILA",B374)),
ISNUMBER(SEARCH("FUNDA",B374)),
ISNUMBER(SEARCH("ESTUCHE",B374)),
ISNUMBER(SEARCH("BOOK COVER",B374)),
ISNUMBER(SEARCH("KEYBOARD PARA TABLET",B374)),
ISNUMBER(SEARCH("FLIP TABLET",B374)),
ISNUMBER(SEARCH("CASE FOR TABLET",B374)),
ISNUMBER(SEARCH("CABLE",B374)),
ISNUMBER(SEARCH("ADAPTADOR",B374)),
ISNUMBER(SEARCH("HUB",B374)),
ISNUMBER(SEARCH("DOCK",B374)),
ISNUMBER(SEARCH("MOUSE PAD",B374)),
ISNUMBER(SEARCH("MOUSEPAD",B374)),
ISNUMBER(SEARCH("SOPORTE",B374)),
ISNUMBER(SEARCH("STAND",B374)),
ISNUMBER(SEARCH("TRAVEL ADAPTER",B374)),
ISNUMBER(SEARCH("RJ45",B374)),
ISNUMBER(SEARCH("USB-C",B374)),
ISNUMBER(SEARCH("USB WIFI",B374)),
ISNUMBER(SEARCH("POWERBANK",B374)),
ISNUMBER(SEARCH("CARGADOR",B374)),
ISNUMBER(SEARCH("COOLER PARA NB",B374)),
ISNUMBER(SEARCH("SOPORTE PARA NB",B374)),
ISNUMBER(SEARCH("WEBCAM",B374)),
ISNUMBER(SEARCH("WEB CAM",B374)),
ISNUMBER(SEARCH("MOUSE",B374)),
ISNUMBER(SEARCH("TECLADO",B374))
),
"COMPLEMENTO",
IF(
OR(
LEFT(A374,2)="NB",
LEFT(A374,2)="PC",
LEFT(A374,2)="WS",
LEFT(A374,2)="TB",
LEFT(A374,3)="CEL",
LEFT(A374,3)="MON",
LEFT(A374,3)="PRE",
LEFT(A374,3)="PRH",
ISNUMBER(SEARCH("NOTEBOOK",B374)),
ISNUMBER(SEARCH("LAPTOP",B374)),
ISNUMBER(SEARCH("MONITOR",B374)),
ISNUMBER(SEARCH("TABLET",B374)),
ISNUMBER(SEARCH("SMARTPH",B374)),
ISNUMBER(SEARCH("IMPRESORA",B374)),
ISNUMBER(SEARCH("MULTIFUNCIONAL",B374)),
ISNUMBER(SEARCH("AIO",B374))
),
"GANCHO",
"NORMAL"
)
)</f>
        <v>NORMAL</v>
      </c>
    </row>
    <row r="373" spans="1:12" x14ac:dyDescent="0.25">
      <c r="A373" s="3" t="s">
        <v>6584</v>
      </c>
      <c r="B373" s="3" t="s">
        <v>6585</v>
      </c>
      <c r="C373" s="1">
        <v>12</v>
      </c>
      <c r="D373" s="1">
        <v>135</v>
      </c>
      <c r="E373" s="1" t="s">
        <v>220</v>
      </c>
      <c r="F373" s="1" t="s">
        <v>6586</v>
      </c>
      <c r="G373" s="3" t="s">
        <v>6587</v>
      </c>
      <c r="H373" s="11">
        <f>ROUND(
IF(L371="GANCHO",
   IF(I373&lt;=50,I373*1.1+4,IF(I373&lt;=120,I373*1.1+7,IF(I373&lt;=250,I373*1.1+11,I373*1.1+19))),
IF(L371="NORMAL",
   IF(I373&lt;=30,I373*1.15+2,IF(I373&lt;=80,I373*1.15+4,IF(I373&lt;=150,I373*1.15+6,I373*1.15+8))),
IF(L371="COMPLEMENTO",
   IF(I373&lt;=25,I373*1.25+1.5,IF(I373&lt;=60,I373*1.25+3,IF(I373&lt;=120,I373*1.25+4,I373*1.25+5))),
""))),2)</f>
        <v>645.52</v>
      </c>
      <c r="I373" s="9">
        <f>($K$2+0.02)*Tabla1[[#This Row],[PRECIO $]]*1.18</f>
        <v>554.36400000000003</v>
      </c>
      <c r="J373" s="7">
        <f>+Tabla1[[#This Row],[PRECIO EN SOLES]]-Tabla1[[#This Row],[PC]]</f>
        <v>91.155999999999949</v>
      </c>
      <c r="K373" s="15"/>
      <c r="L373" s="15" t="str">
        <f>IF(
OR(
ISNUMBER(SEARCH("BACKPACK",B375)),
ISNUMBER(SEARCH("MOCHILA",B375)),
ISNUMBER(SEARCH("FUNDA",B375)),
ISNUMBER(SEARCH("ESTUCHE",B375)),
ISNUMBER(SEARCH("BOOK COVER",B375)),
ISNUMBER(SEARCH("KEYBOARD PARA TABLET",B375)),
ISNUMBER(SEARCH("FLIP TABLET",B375)),
ISNUMBER(SEARCH("CASE FOR TABLET",B375)),
ISNUMBER(SEARCH("CABLE",B375)),
ISNUMBER(SEARCH("ADAPTADOR",B375)),
ISNUMBER(SEARCH("HUB",B375)),
ISNUMBER(SEARCH("DOCK",B375)),
ISNUMBER(SEARCH("MOUSE PAD",B375)),
ISNUMBER(SEARCH("MOUSEPAD",B375)),
ISNUMBER(SEARCH("SOPORTE",B375)),
ISNUMBER(SEARCH("STAND",B375)),
ISNUMBER(SEARCH("TRAVEL ADAPTER",B375)),
ISNUMBER(SEARCH("RJ45",B375)),
ISNUMBER(SEARCH("USB-C",B375)),
ISNUMBER(SEARCH("USB WIFI",B375)),
ISNUMBER(SEARCH("POWERBANK",B375)),
ISNUMBER(SEARCH("CARGADOR",B375)),
ISNUMBER(SEARCH("COOLER PARA NB",B375)),
ISNUMBER(SEARCH("SOPORTE PARA NB",B375)),
ISNUMBER(SEARCH("WEBCAM",B375)),
ISNUMBER(SEARCH("WEB CAM",B375)),
ISNUMBER(SEARCH("MOUSE",B375)),
ISNUMBER(SEARCH("TECLADO",B375))
),
"COMPLEMENTO",
IF(
OR(
LEFT(A375,2)="NB",
LEFT(A375,2)="PC",
LEFT(A375,2)="WS",
LEFT(A375,2)="TB",
LEFT(A375,3)="CEL",
LEFT(A375,3)="MON",
LEFT(A375,3)="PRE",
LEFT(A375,3)="PRH",
ISNUMBER(SEARCH("NOTEBOOK",B375)),
ISNUMBER(SEARCH("LAPTOP",B375)),
ISNUMBER(SEARCH("MONITOR",B375)),
ISNUMBER(SEARCH("TABLET",B375)),
ISNUMBER(SEARCH("SMARTPH",B375)),
ISNUMBER(SEARCH("IMPRESORA",B375)),
ISNUMBER(SEARCH("MULTIFUNCIONAL",B375)),
ISNUMBER(SEARCH("AIO",B375))
),
"GANCHO",
"NORMAL"
)
)</f>
        <v>NORMAL</v>
      </c>
    </row>
    <row r="374" spans="1:12" x14ac:dyDescent="0.25">
      <c r="A374" s="3" t="s">
        <v>4929</v>
      </c>
      <c r="B374" s="3" t="s">
        <v>4930</v>
      </c>
      <c r="C374" s="1">
        <v>8</v>
      </c>
      <c r="D374" s="1">
        <v>343</v>
      </c>
      <c r="E374" s="1" t="s">
        <v>220</v>
      </c>
      <c r="F374" s="1" t="s">
        <v>4931</v>
      </c>
      <c r="G374" s="3" t="s">
        <v>4932</v>
      </c>
      <c r="H374" s="11">
        <f>ROUND(
IF(L372="GANCHO",
   IF(I374&lt;=50,I374*1.1+4,IF(I374&lt;=120,I374*1.1+7,IF(I374&lt;=250,I374*1.1+11,I374*1.1+19))),
IF(L372="NORMAL",
   IF(I374&lt;=30,I374*1.15+2,IF(I374&lt;=80,I374*1.15+4,IF(I374&lt;=150,I374*1.15+6,I374*1.15+8))),
IF(L372="COMPLEMENTO",
   IF(I374&lt;=25,I374*1.25+1.5,IF(I374&lt;=60,I374*1.25+3,IF(I374&lt;=120,I374*1.25+4,I374*1.25+5))),
""))),2)</f>
        <v>1627.77</v>
      </c>
      <c r="I374" s="9">
        <f>($K$2+0.02)*Tabla1[[#This Row],[PRECIO $]]*1.18</f>
        <v>1408.4952000000001</v>
      </c>
      <c r="J374" s="7">
        <f>+Tabla1[[#This Row],[PRECIO EN SOLES]]-Tabla1[[#This Row],[PC]]</f>
        <v>219.27479999999991</v>
      </c>
      <c r="K374" s="15"/>
      <c r="L374" s="15" t="str">
        <f>IF(
OR(
ISNUMBER(SEARCH("BACKPACK",B376)),
ISNUMBER(SEARCH("MOCHILA",B376)),
ISNUMBER(SEARCH("FUNDA",B376)),
ISNUMBER(SEARCH("ESTUCHE",B376)),
ISNUMBER(SEARCH("BOOK COVER",B376)),
ISNUMBER(SEARCH("KEYBOARD PARA TABLET",B376)),
ISNUMBER(SEARCH("FLIP TABLET",B376)),
ISNUMBER(SEARCH("CASE FOR TABLET",B376)),
ISNUMBER(SEARCH("CABLE",B376)),
ISNUMBER(SEARCH("ADAPTADOR",B376)),
ISNUMBER(SEARCH("HUB",B376)),
ISNUMBER(SEARCH("DOCK",B376)),
ISNUMBER(SEARCH("MOUSE PAD",B376)),
ISNUMBER(SEARCH("MOUSEPAD",B376)),
ISNUMBER(SEARCH("SOPORTE",B376)),
ISNUMBER(SEARCH("STAND",B376)),
ISNUMBER(SEARCH("TRAVEL ADAPTER",B376)),
ISNUMBER(SEARCH("RJ45",B376)),
ISNUMBER(SEARCH("USB-C",B376)),
ISNUMBER(SEARCH("USB WIFI",B376)),
ISNUMBER(SEARCH("POWERBANK",B376)),
ISNUMBER(SEARCH("CARGADOR",B376)),
ISNUMBER(SEARCH("COOLER PARA NB",B376)),
ISNUMBER(SEARCH("SOPORTE PARA NB",B376)),
ISNUMBER(SEARCH("WEBCAM",B376)),
ISNUMBER(SEARCH("WEB CAM",B376)),
ISNUMBER(SEARCH("MOUSE",B376)),
ISNUMBER(SEARCH("TECLADO",B376))
),
"COMPLEMENTO",
IF(
OR(
LEFT(A376,2)="NB",
LEFT(A376,2)="PC",
LEFT(A376,2)="WS",
LEFT(A376,2)="TB",
LEFT(A376,3)="CEL",
LEFT(A376,3)="MON",
LEFT(A376,3)="PRE",
LEFT(A376,3)="PRH",
ISNUMBER(SEARCH("NOTEBOOK",B376)),
ISNUMBER(SEARCH("LAPTOP",B376)),
ISNUMBER(SEARCH("MONITOR",B376)),
ISNUMBER(SEARCH("TABLET",B376)),
ISNUMBER(SEARCH("SMARTPH",B376)),
ISNUMBER(SEARCH("IMPRESORA",B376)),
ISNUMBER(SEARCH("MULTIFUNCIONAL",B376)),
ISNUMBER(SEARCH("AIO",B376))
),
"GANCHO",
"NORMAL"
)
)</f>
        <v>NORMAL</v>
      </c>
    </row>
    <row r="375" spans="1:12" x14ac:dyDescent="0.25">
      <c r="A375" s="3" t="s">
        <v>1085</v>
      </c>
      <c r="B375" s="3" t="s">
        <v>1086</v>
      </c>
      <c r="C375" s="1">
        <v>6</v>
      </c>
      <c r="D375" s="1">
        <v>875</v>
      </c>
      <c r="E375" s="1" t="s">
        <v>220</v>
      </c>
      <c r="F375" s="1" t="s">
        <v>3247</v>
      </c>
      <c r="G375" s="3" t="s">
        <v>1087</v>
      </c>
      <c r="H375" s="11">
        <f>ROUND(
IF(L373="GANCHO",
   IF(I375&lt;=50,I375*1.1+4,IF(I375&lt;=120,I375*1.1+7,IF(I375&lt;=250,I375*1.1+11,I375*1.1+19))),
IF(L373="NORMAL",
   IF(I375&lt;=30,I375*1.15+2,IF(I375&lt;=80,I375*1.15+4,IF(I375&lt;=150,I375*1.15+6,I375*1.15+8))),
IF(L373="COMPLEMENTO",
   IF(I375&lt;=25,I375*1.25+1.5,IF(I375&lt;=60,I375*1.25+3,IF(I375&lt;=120,I375*1.25+4,I375*1.25+5))),
""))),2)</f>
        <v>4140.07</v>
      </c>
      <c r="I375" s="9">
        <f>($K$2+0.02)*Tabla1[[#This Row],[PRECIO $]]*1.18</f>
        <v>3593.1</v>
      </c>
      <c r="J375" s="7">
        <f>+Tabla1[[#This Row],[PRECIO EN SOLES]]-Tabla1[[#This Row],[PC]]</f>
        <v>546.9699999999998</v>
      </c>
      <c r="K375" s="15"/>
      <c r="L375" s="15" t="str">
        <f>IF(
OR(
ISNUMBER(SEARCH("BACKPACK",B377)),
ISNUMBER(SEARCH("MOCHILA",B377)),
ISNUMBER(SEARCH("FUNDA",B377)),
ISNUMBER(SEARCH("ESTUCHE",B377)),
ISNUMBER(SEARCH("BOOK COVER",B377)),
ISNUMBER(SEARCH("KEYBOARD PARA TABLET",B377)),
ISNUMBER(SEARCH("FLIP TABLET",B377)),
ISNUMBER(SEARCH("CASE FOR TABLET",B377)),
ISNUMBER(SEARCH("CABLE",B377)),
ISNUMBER(SEARCH("ADAPTADOR",B377)),
ISNUMBER(SEARCH("HUB",B377)),
ISNUMBER(SEARCH("DOCK",B377)),
ISNUMBER(SEARCH("MOUSE PAD",B377)),
ISNUMBER(SEARCH("MOUSEPAD",B377)),
ISNUMBER(SEARCH("SOPORTE",B377)),
ISNUMBER(SEARCH("STAND",B377)),
ISNUMBER(SEARCH("TRAVEL ADAPTER",B377)),
ISNUMBER(SEARCH("RJ45",B377)),
ISNUMBER(SEARCH("USB-C",B377)),
ISNUMBER(SEARCH("USB WIFI",B377)),
ISNUMBER(SEARCH("POWERBANK",B377)),
ISNUMBER(SEARCH("CARGADOR",B377)),
ISNUMBER(SEARCH("COOLER PARA NB",B377)),
ISNUMBER(SEARCH("SOPORTE PARA NB",B377)),
ISNUMBER(SEARCH("WEBCAM",B377)),
ISNUMBER(SEARCH("WEB CAM",B377)),
ISNUMBER(SEARCH("MOUSE",B377)),
ISNUMBER(SEARCH("TECLADO",B377))
),
"COMPLEMENTO",
IF(
OR(
LEFT(A377,2)="NB",
LEFT(A377,2)="PC",
LEFT(A377,2)="WS",
LEFT(A377,2)="TB",
LEFT(A377,3)="CEL",
LEFT(A377,3)="MON",
LEFT(A377,3)="PRE",
LEFT(A377,3)="PRH",
ISNUMBER(SEARCH("NOTEBOOK",B377)),
ISNUMBER(SEARCH("LAPTOP",B377)),
ISNUMBER(SEARCH("MONITOR",B377)),
ISNUMBER(SEARCH("TABLET",B377)),
ISNUMBER(SEARCH("SMARTPH",B377)),
ISNUMBER(SEARCH("IMPRESORA",B377)),
ISNUMBER(SEARCH("MULTIFUNCIONAL",B377)),
ISNUMBER(SEARCH("AIO",B377))
),
"GANCHO",
"NORMAL"
)
)</f>
        <v>NORMAL</v>
      </c>
    </row>
    <row r="376" spans="1:12" x14ac:dyDescent="0.25">
      <c r="A376" s="3" t="s">
        <v>6695</v>
      </c>
      <c r="B376" s="3" t="s">
        <v>6696</v>
      </c>
      <c r="C376" s="1">
        <v>17</v>
      </c>
      <c r="D376" s="1">
        <v>44</v>
      </c>
      <c r="E376" s="1" t="s">
        <v>224</v>
      </c>
      <c r="F376" s="1" t="s">
        <v>6697</v>
      </c>
      <c r="G376" s="3" t="s">
        <v>6698</v>
      </c>
      <c r="H376" s="11">
        <f>ROUND(
IF(L374="GANCHO",
   IF(I376&lt;=50,I376*1.1+4,IF(I376&lt;=120,I376*1.1+7,IF(I376&lt;=250,I376*1.1+11,I376*1.1+19))),
IF(L374="NORMAL",
   IF(I376&lt;=30,I376*1.15+2,IF(I376&lt;=80,I376*1.15+4,IF(I376&lt;=150,I376*1.15+6,I376*1.15+8))),
IF(L374="COMPLEMENTO",
   IF(I376&lt;=25,I376*1.25+1.5,IF(I376&lt;=60,I376*1.25+3,IF(I376&lt;=120,I376*1.25+4,I376*1.25+5))),
""))),2)</f>
        <v>215.78</v>
      </c>
      <c r="I376" s="9">
        <f>($K$2+0.02)*Tabla1[[#This Row],[PRECIO $]]*1.18</f>
        <v>180.6816</v>
      </c>
      <c r="J376" s="7">
        <f>+Tabla1[[#This Row],[PRECIO EN SOLES]]-Tabla1[[#This Row],[PC]]</f>
        <v>35.098399999999998</v>
      </c>
      <c r="K376" s="15"/>
      <c r="L376" s="15" t="str">
        <f>IF(
OR(
ISNUMBER(SEARCH("BACKPACK",B378)),
ISNUMBER(SEARCH("MOCHILA",B378)),
ISNUMBER(SEARCH("FUNDA",B378)),
ISNUMBER(SEARCH("ESTUCHE",B378)),
ISNUMBER(SEARCH("BOOK COVER",B378)),
ISNUMBER(SEARCH("KEYBOARD PARA TABLET",B378)),
ISNUMBER(SEARCH("FLIP TABLET",B378)),
ISNUMBER(SEARCH("CASE FOR TABLET",B378)),
ISNUMBER(SEARCH("CABLE",B378)),
ISNUMBER(SEARCH("ADAPTADOR",B378)),
ISNUMBER(SEARCH("HUB",B378)),
ISNUMBER(SEARCH("DOCK",B378)),
ISNUMBER(SEARCH("MOUSE PAD",B378)),
ISNUMBER(SEARCH("MOUSEPAD",B378)),
ISNUMBER(SEARCH("SOPORTE",B378)),
ISNUMBER(SEARCH("STAND",B378)),
ISNUMBER(SEARCH("TRAVEL ADAPTER",B378)),
ISNUMBER(SEARCH("RJ45",B378)),
ISNUMBER(SEARCH("USB-C",B378)),
ISNUMBER(SEARCH("USB WIFI",B378)),
ISNUMBER(SEARCH("POWERBANK",B378)),
ISNUMBER(SEARCH("CARGADOR",B378)),
ISNUMBER(SEARCH("COOLER PARA NB",B378)),
ISNUMBER(SEARCH("SOPORTE PARA NB",B378)),
ISNUMBER(SEARCH("WEBCAM",B378)),
ISNUMBER(SEARCH("WEB CAM",B378)),
ISNUMBER(SEARCH("MOUSE",B378)),
ISNUMBER(SEARCH("TECLADO",B378))
),
"COMPLEMENTO",
IF(
OR(
LEFT(A378,2)="NB",
LEFT(A378,2)="PC",
LEFT(A378,2)="WS",
LEFT(A378,2)="TB",
LEFT(A378,3)="CEL",
LEFT(A378,3)="MON",
LEFT(A378,3)="PRE",
LEFT(A378,3)="PRH",
ISNUMBER(SEARCH("NOTEBOOK",B378)),
ISNUMBER(SEARCH("LAPTOP",B378)),
ISNUMBER(SEARCH("MONITOR",B378)),
ISNUMBER(SEARCH("TABLET",B378)),
ISNUMBER(SEARCH("SMARTPH",B378)),
ISNUMBER(SEARCH("IMPRESORA",B378)),
ISNUMBER(SEARCH("MULTIFUNCIONAL",B378)),
ISNUMBER(SEARCH("AIO",B378))
),
"GANCHO",
"NORMAL"
)
)</f>
        <v>NORMAL</v>
      </c>
    </row>
    <row r="377" spans="1:12" x14ac:dyDescent="0.25">
      <c r="A377" s="3" t="s">
        <v>5898</v>
      </c>
      <c r="B377" s="3" t="s">
        <v>5899</v>
      </c>
      <c r="C377" s="1">
        <v>20</v>
      </c>
      <c r="D377" s="1">
        <v>19</v>
      </c>
      <c r="E377" s="1" t="s">
        <v>224</v>
      </c>
      <c r="F377" s="1" t="s">
        <v>5900</v>
      </c>
      <c r="G377" s="3" t="s">
        <v>5901</v>
      </c>
      <c r="H377" s="11">
        <f>ROUND(
IF(L375="GANCHO",
   IF(I377&lt;=50,I377*1.1+4,IF(I377&lt;=120,I377*1.1+7,IF(I377&lt;=250,I377*1.1+11,I377*1.1+19))),
IF(L375="NORMAL",
   IF(I377&lt;=30,I377*1.15+2,IF(I377&lt;=80,I377*1.15+4,IF(I377&lt;=150,I377*1.15+6,I377*1.15+8))),
IF(L375="COMPLEMENTO",
   IF(I377&lt;=25,I377*1.25+1.5,IF(I377&lt;=60,I377*1.25+3,IF(I377&lt;=120,I377*1.25+4,I377*1.25+5))),
""))),2)</f>
        <v>93.72</v>
      </c>
      <c r="I377" s="9">
        <f>($K$2+0.02)*Tabla1[[#This Row],[PRECIO $]]*1.18</f>
        <v>78.021600000000007</v>
      </c>
      <c r="J377" s="7">
        <f>+Tabla1[[#This Row],[PRECIO EN SOLES]]-Tabla1[[#This Row],[PC]]</f>
        <v>15.698399999999992</v>
      </c>
      <c r="K377" s="15"/>
      <c r="L377" s="15" t="str">
        <f>IF(
OR(
ISNUMBER(SEARCH("BACKPACK",B379)),
ISNUMBER(SEARCH("MOCHILA",B379)),
ISNUMBER(SEARCH("FUNDA",B379)),
ISNUMBER(SEARCH("ESTUCHE",B379)),
ISNUMBER(SEARCH("BOOK COVER",B379)),
ISNUMBER(SEARCH("KEYBOARD PARA TABLET",B379)),
ISNUMBER(SEARCH("FLIP TABLET",B379)),
ISNUMBER(SEARCH("CASE FOR TABLET",B379)),
ISNUMBER(SEARCH("CABLE",B379)),
ISNUMBER(SEARCH("ADAPTADOR",B379)),
ISNUMBER(SEARCH("HUB",B379)),
ISNUMBER(SEARCH("DOCK",B379)),
ISNUMBER(SEARCH("MOUSE PAD",B379)),
ISNUMBER(SEARCH("MOUSEPAD",B379)),
ISNUMBER(SEARCH("SOPORTE",B379)),
ISNUMBER(SEARCH("STAND",B379)),
ISNUMBER(SEARCH("TRAVEL ADAPTER",B379)),
ISNUMBER(SEARCH("RJ45",B379)),
ISNUMBER(SEARCH("USB-C",B379)),
ISNUMBER(SEARCH("USB WIFI",B379)),
ISNUMBER(SEARCH("POWERBANK",B379)),
ISNUMBER(SEARCH("CARGADOR",B379)),
ISNUMBER(SEARCH("COOLER PARA NB",B379)),
ISNUMBER(SEARCH("SOPORTE PARA NB",B379)),
ISNUMBER(SEARCH("WEBCAM",B379)),
ISNUMBER(SEARCH("WEB CAM",B379)),
ISNUMBER(SEARCH("MOUSE",B379)),
ISNUMBER(SEARCH("TECLADO",B379))
),
"COMPLEMENTO",
IF(
OR(
LEFT(A379,2)="NB",
LEFT(A379,2)="PC",
LEFT(A379,2)="WS",
LEFT(A379,2)="TB",
LEFT(A379,3)="CEL",
LEFT(A379,3)="MON",
LEFT(A379,3)="PRE",
LEFT(A379,3)="PRH",
ISNUMBER(SEARCH("NOTEBOOK",B379)),
ISNUMBER(SEARCH("LAPTOP",B379)),
ISNUMBER(SEARCH("MONITOR",B379)),
ISNUMBER(SEARCH("TABLET",B379)),
ISNUMBER(SEARCH("SMARTPH",B379)),
ISNUMBER(SEARCH("IMPRESORA",B379)),
ISNUMBER(SEARCH("MULTIFUNCIONAL",B379)),
ISNUMBER(SEARCH("AIO",B379))
),
"GANCHO",
"NORMAL"
)
)</f>
        <v>NORMAL</v>
      </c>
    </row>
    <row r="378" spans="1:12" x14ac:dyDescent="0.25">
      <c r="A378" s="3" t="s">
        <v>6468</v>
      </c>
      <c r="B378" s="3" t="s">
        <v>225</v>
      </c>
      <c r="C378" s="1">
        <v>20</v>
      </c>
      <c r="D378" s="1">
        <v>12.8</v>
      </c>
      <c r="E378" s="1" t="s">
        <v>52</v>
      </c>
      <c r="F378" s="1" t="s">
        <v>6469</v>
      </c>
      <c r="G378" s="3" t="s">
        <v>6470</v>
      </c>
      <c r="H378" s="11">
        <f>ROUND(
IF(L376="GANCHO",
   IF(I378&lt;=50,I378*1.1+4,IF(I378&lt;=120,I378*1.1+7,IF(I378&lt;=250,I378*1.1+11,I378*1.1+19))),
IF(L376="NORMAL",
   IF(I378&lt;=30,I378*1.15+2,IF(I378&lt;=80,I378*1.15+4,IF(I378&lt;=150,I378*1.15+6,I378*1.15+8))),
IF(L376="COMPLEMENTO",
   IF(I378&lt;=25,I378*1.25+1.5,IF(I378&lt;=60,I378*1.25+3,IF(I378&lt;=120,I378*1.25+4,I378*1.25+5))),
""))),2)</f>
        <v>64.45</v>
      </c>
      <c r="I378" s="9">
        <f>($K$2+0.02)*Tabla1[[#This Row],[PRECIO $]]*1.18</f>
        <v>52.561920000000001</v>
      </c>
      <c r="J378" s="7">
        <f>+Tabla1[[#This Row],[PRECIO EN SOLES]]-Tabla1[[#This Row],[PC]]</f>
        <v>11.888080000000002</v>
      </c>
      <c r="K378" s="15"/>
      <c r="L378" s="15" t="str">
        <f>IF(
OR(
ISNUMBER(SEARCH("BACKPACK",B380)),
ISNUMBER(SEARCH("MOCHILA",B380)),
ISNUMBER(SEARCH("FUNDA",B380)),
ISNUMBER(SEARCH("ESTUCHE",B380)),
ISNUMBER(SEARCH("BOOK COVER",B380)),
ISNUMBER(SEARCH("KEYBOARD PARA TABLET",B380)),
ISNUMBER(SEARCH("FLIP TABLET",B380)),
ISNUMBER(SEARCH("CASE FOR TABLET",B380)),
ISNUMBER(SEARCH("CABLE",B380)),
ISNUMBER(SEARCH("ADAPTADOR",B380)),
ISNUMBER(SEARCH("HUB",B380)),
ISNUMBER(SEARCH("DOCK",B380)),
ISNUMBER(SEARCH("MOUSE PAD",B380)),
ISNUMBER(SEARCH("MOUSEPAD",B380)),
ISNUMBER(SEARCH("SOPORTE",B380)),
ISNUMBER(SEARCH("STAND",B380)),
ISNUMBER(SEARCH("TRAVEL ADAPTER",B380)),
ISNUMBER(SEARCH("RJ45",B380)),
ISNUMBER(SEARCH("USB-C",B380)),
ISNUMBER(SEARCH("USB WIFI",B380)),
ISNUMBER(SEARCH("POWERBANK",B380)),
ISNUMBER(SEARCH("CARGADOR",B380)),
ISNUMBER(SEARCH("COOLER PARA NB",B380)),
ISNUMBER(SEARCH("SOPORTE PARA NB",B380)),
ISNUMBER(SEARCH("WEBCAM",B380)),
ISNUMBER(SEARCH("WEB CAM",B380)),
ISNUMBER(SEARCH("MOUSE",B380)),
ISNUMBER(SEARCH("TECLADO",B380))
),
"COMPLEMENTO",
IF(
OR(
LEFT(A380,2)="NB",
LEFT(A380,2)="PC",
LEFT(A380,2)="WS",
LEFT(A380,2)="TB",
LEFT(A380,3)="CEL",
LEFT(A380,3)="MON",
LEFT(A380,3)="PRE",
LEFT(A380,3)="PRH",
ISNUMBER(SEARCH("NOTEBOOK",B380)),
ISNUMBER(SEARCH("LAPTOP",B380)),
ISNUMBER(SEARCH("MONITOR",B380)),
ISNUMBER(SEARCH("TABLET",B380)),
ISNUMBER(SEARCH("SMARTPH",B380)),
ISNUMBER(SEARCH("IMPRESORA",B380)),
ISNUMBER(SEARCH("MULTIFUNCIONAL",B380)),
ISNUMBER(SEARCH("AIO",B380))
),
"GANCHO",
"NORMAL"
)
)</f>
        <v>NORMAL</v>
      </c>
    </row>
    <row r="379" spans="1:12" x14ac:dyDescent="0.25">
      <c r="A379" s="3" t="s">
        <v>4933</v>
      </c>
      <c r="B379" s="3" t="s">
        <v>4934</v>
      </c>
      <c r="C379" s="1">
        <v>3</v>
      </c>
      <c r="D379" s="1">
        <v>225</v>
      </c>
      <c r="E379" s="1" t="s">
        <v>220</v>
      </c>
      <c r="F379" s="1" t="s">
        <v>4935</v>
      </c>
      <c r="G379" s="3" t="s">
        <v>4936</v>
      </c>
      <c r="H379" s="11">
        <f>ROUND(
IF(L377="GANCHO",
   IF(I379&lt;=50,I379*1.1+4,IF(I379&lt;=120,I379*1.1+7,IF(I379&lt;=250,I379*1.1+11,I379*1.1+19))),
IF(L377="NORMAL",
   IF(I379&lt;=30,I379*1.15+2,IF(I379&lt;=80,I379*1.15+4,IF(I379&lt;=150,I379*1.15+6,I379*1.15+8))),
IF(L377="COMPLEMENTO",
   IF(I379&lt;=25,I379*1.25+1.5,IF(I379&lt;=60,I379*1.25+3,IF(I379&lt;=120,I379*1.25+4,I379*1.25+5))),
""))),2)</f>
        <v>1070.53</v>
      </c>
      <c r="I379" s="9">
        <f>($K$2+0.02)*Tabla1[[#This Row],[PRECIO $]]*1.18</f>
        <v>923.93999999999994</v>
      </c>
      <c r="J379" s="7">
        <f>+Tabla1[[#This Row],[PRECIO EN SOLES]]-Tabla1[[#This Row],[PC]]</f>
        <v>146.59000000000003</v>
      </c>
      <c r="K379" s="15"/>
      <c r="L379" s="15" t="str">
        <f>IF(
OR(
ISNUMBER(SEARCH("BACKPACK",B381)),
ISNUMBER(SEARCH("MOCHILA",B381)),
ISNUMBER(SEARCH("FUNDA",B381)),
ISNUMBER(SEARCH("ESTUCHE",B381)),
ISNUMBER(SEARCH("BOOK COVER",B381)),
ISNUMBER(SEARCH("KEYBOARD PARA TABLET",B381)),
ISNUMBER(SEARCH("FLIP TABLET",B381)),
ISNUMBER(SEARCH("CASE FOR TABLET",B381)),
ISNUMBER(SEARCH("CABLE",B381)),
ISNUMBER(SEARCH("ADAPTADOR",B381)),
ISNUMBER(SEARCH("HUB",B381)),
ISNUMBER(SEARCH("DOCK",B381)),
ISNUMBER(SEARCH("MOUSE PAD",B381)),
ISNUMBER(SEARCH("MOUSEPAD",B381)),
ISNUMBER(SEARCH("SOPORTE",B381)),
ISNUMBER(SEARCH("STAND",B381)),
ISNUMBER(SEARCH("TRAVEL ADAPTER",B381)),
ISNUMBER(SEARCH("RJ45",B381)),
ISNUMBER(SEARCH("USB-C",B381)),
ISNUMBER(SEARCH("USB WIFI",B381)),
ISNUMBER(SEARCH("POWERBANK",B381)),
ISNUMBER(SEARCH("CARGADOR",B381)),
ISNUMBER(SEARCH("COOLER PARA NB",B381)),
ISNUMBER(SEARCH("SOPORTE PARA NB",B381)),
ISNUMBER(SEARCH("WEBCAM",B381)),
ISNUMBER(SEARCH("WEB CAM",B381)),
ISNUMBER(SEARCH("MOUSE",B381)),
ISNUMBER(SEARCH("TECLADO",B381))
),
"COMPLEMENTO",
IF(
OR(
LEFT(A381,2)="NB",
LEFT(A381,2)="PC",
LEFT(A381,2)="WS",
LEFT(A381,2)="TB",
LEFT(A381,3)="CEL",
LEFT(A381,3)="MON",
LEFT(A381,3)="PRE",
LEFT(A381,3)="PRH",
ISNUMBER(SEARCH("NOTEBOOK",B381)),
ISNUMBER(SEARCH("LAPTOP",B381)),
ISNUMBER(SEARCH("MONITOR",B381)),
ISNUMBER(SEARCH("TABLET",B381)),
ISNUMBER(SEARCH("SMARTPH",B381)),
ISNUMBER(SEARCH("IMPRESORA",B381)),
ISNUMBER(SEARCH("MULTIFUNCIONAL",B381)),
ISNUMBER(SEARCH("AIO",B381))
),
"GANCHO",
"NORMAL"
)
)</f>
        <v>NORMAL</v>
      </c>
    </row>
    <row r="380" spans="1:12" x14ac:dyDescent="0.25">
      <c r="A380" s="3" t="s">
        <v>1088</v>
      </c>
      <c r="B380" s="3" t="s">
        <v>1089</v>
      </c>
      <c r="C380" s="1">
        <v>7</v>
      </c>
      <c r="D380" s="1">
        <v>150</v>
      </c>
      <c r="E380" s="1" t="s">
        <v>220</v>
      </c>
      <c r="F380" s="1" t="s">
        <v>3248</v>
      </c>
      <c r="G380" s="3" t="s">
        <v>1090</v>
      </c>
      <c r="H380" s="11">
        <f>ROUND(
IF(L378="GANCHO",
   IF(I380&lt;=50,I380*1.1+4,IF(I380&lt;=120,I380*1.1+7,IF(I380&lt;=250,I380*1.1+11,I380*1.1+19))),
IF(L378="NORMAL",
   IF(I380&lt;=30,I380*1.15+2,IF(I380&lt;=80,I380*1.15+4,IF(I380&lt;=150,I380*1.15+6,I380*1.15+8))),
IF(L378="COMPLEMENTO",
   IF(I380&lt;=25,I380*1.25+1.5,IF(I380&lt;=60,I380*1.25+3,IF(I380&lt;=120,I380*1.25+4,I380*1.25+5))),
""))),2)</f>
        <v>716.35</v>
      </c>
      <c r="I380" s="9">
        <f>($K$2+0.02)*Tabla1[[#This Row],[PRECIO $]]*1.18</f>
        <v>615.95999999999992</v>
      </c>
      <c r="J380" s="7">
        <f>+Tabla1[[#This Row],[PRECIO EN SOLES]]-Tabla1[[#This Row],[PC]]</f>
        <v>100.3900000000001</v>
      </c>
      <c r="K380" s="15"/>
      <c r="L380" s="15" t="str">
        <f>IF(
OR(
ISNUMBER(SEARCH("BACKPACK",B382)),
ISNUMBER(SEARCH("MOCHILA",B382)),
ISNUMBER(SEARCH("FUNDA",B382)),
ISNUMBER(SEARCH("ESTUCHE",B382)),
ISNUMBER(SEARCH("BOOK COVER",B382)),
ISNUMBER(SEARCH("KEYBOARD PARA TABLET",B382)),
ISNUMBER(SEARCH("FLIP TABLET",B382)),
ISNUMBER(SEARCH("CASE FOR TABLET",B382)),
ISNUMBER(SEARCH("CABLE",B382)),
ISNUMBER(SEARCH("ADAPTADOR",B382)),
ISNUMBER(SEARCH("HUB",B382)),
ISNUMBER(SEARCH("DOCK",B382)),
ISNUMBER(SEARCH("MOUSE PAD",B382)),
ISNUMBER(SEARCH("MOUSEPAD",B382)),
ISNUMBER(SEARCH("SOPORTE",B382)),
ISNUMBER(SEARCH("STAND",B382)),
ISNUMBER(SEARCH("TRAVEL ADAPTER",B382)),
ISNUMBER(SEARCH("RJ45",B382)),
ISNUMBER(SEARCH("USB-C",B382)),
ISNUMBER(SEARCH("USB WIFI",B382)),
ISNUMBER(SEARCH("POWERBANK",B382)),
ISNUMBER(SEARCH("CARGADOR",B382)),
ISNUMBER(SEARCH("COOLER PARA NB",B382)),
ISNUMBER(SEARCH("SOPORTE PARA NB",B382)),
ISNUMBER(SEARCH("WEBCAM",B382)),
ISNUMBER(SEARCH("WEB CAM",B382)),
ISNUMBER(SEARCH("MOUSE",B382)),
ISNUMBER(SEARCH("TECLADO",B382))
),
"COMPLEMENTO",
IF(
OR(
LEFT(A382,2)="NB",
LEFT(A382,2)="PC",
LEFT(A382,2)="WS",
LEFT(A382,2)="TB",
LEFT(A382,3)="CEL",
LEFT(A382,3)="MON",
LEFT(A382,3)="PRE",
LEFT(A382,3)="PRH",
ISNUMBER(SEARCH("NOTEBOOK",B382)),
ISNUMBER(SEARCH("LAPTOP",B382)),
ISNUMBER(SEARCH("MONITOR",B382)),
ISNUMBER(SEARCH("TABLET",B382)),
ISNUMBER(SEARCH("SMARTPH",B382)),
ISNUMBER(SEARCH("IMPRESORA",B382)),
ISNUMBER(SEARCH("MULTIFUNCIONAL",B382)),
ISNUMBER(SEARCH("AIO",B382))
),
"GANCHO",
"NORMAL"
)
)</f>
        <v>NORMAL</v>
      </c>
    </row>
    <row r="381" spans="1:12" x14ac:dyDescent="0.25">
      <c r="A381" s="3" t="s">
        <v>1091</v>
      </c>
      <c r="B381" s="3" t="s">
        <v>1092</v>
      </c>
      <c r="C381" s="1">
        <v>4</v>
      </c>
      <c r="D381" s="1">
        <v>158</v>
      </c>
      <c r="E381" s="1" t="s">
        <v>220</v>
      </c>
      <c r="F381" s="1" t="s">
        <v>3249</v>
      </c>
      <c r="G381" s="3" t="s">
        <v>1093</v>
      </c>
      <c r="H381" s="11">
        <f>ROUND(
IF(L379="GANCHO",
   IF(I381&lt;=50,I381*1.1+4,IF(I381&lt;=120,I381*1.1+7,IF(I381&lt;=250,I381*1.1+11,I381*1.1+19))),
IF(L379="NORMAL",
   IF(I381&lt;=30,I381*1.15+2,IF(I381&lt;=80,I381*1.15+4,IF(I381&lt;=150,I381*1.15+6,I381*1.15+8))),
IF(L379="COMPLEMENTO",
   IF(I381&lt;=25,I381*1.25+1.5,IF(I381&lt;=60,I381*1.25+3,IF(I381&lt;=120,I381*1.25+4,I381*1.25+5))),
""))),2)</f>
        <v>754.13</v>
      </c>
      <c r="I381" s="9">
        <f>($K$2+0.02)*Tabla1[[#This Row],[PRECIO $]]*1.18</f>
        <v>648.81119999999999</v>
      </c>
      <c r="J381" s="7">
        <f>+Tabla1[[#This Row],[PRECIO EN SOLES]]-Tabla1[[#This Row],[PC]]</f>
        <v>105.31880000000001</v>
      </c>
      <c r="K381" s="15"/>
      <c r="L381" s="15" t="str">
        <f>IF(
OR(
ISNUMBER(SEARCH("BACKPACK",B383)),
ISNUMBER(SEARCH("MOCHILA",B383)),
ISNUMBER(SEARCH("FUNDA",B383)),
ISNUMBER(SEARCH("ESTUCHE",B383)),
ISNUMBER(SEARCH("BOOK COVER",B383)),
ISNUMBER(SEARCH("KEYBOARD PARA TABLET",B383)),
ISNUMBER(SEARCH("FLIP TABLET",B383)),
ISNUMBER(SEARCH("CASE FOR TABLET",B383)),
ISNUMBER(SEARCH("CABLE",B383)),
ISNUMBER(SEARCH("ADAPTADOR",B383)),
ISNUMBER(SEARCH("HUB",B383)),
ISNUMBER(SEARCH("DOCK",B383)),
ISNUMBER(SEARCH("MOUSE PAD",B383)),
ISNUMBER(SEARCH("MOUSEPAD",B383)),
ISNUMBER(SEARCH("SOPORTE",B383)),
ISNUMBER(SEARCH("STAND",B383)),
ISNUMBER(SEARCH("TRAVEL ADAPTER",B383)),
ISNUMBER(SEARCH("RJ45",B383)),
ISNUMBER(SEARCH("USB-C",B383)),
ISNUMBER(SEARCH("USB WIFI",B383)),
ISNUMBER(SEARCH("POWERBANK",B383)),
ISNUMBER(SEARCH("CARGADOR",B383)),
ISNUMBER(SEARCH("COOLER PARA NB",B383)),
ISNUMBER(SEARCH("SOPORTE PARA NB",B383)),
ISNUMBER(SEARCH("WEBCAM",B383)),
ISNUMBER(SEARCH("WEB CAM",B383)),
ISNUMBER(SEARCH("MOUSE",B383)),
ISNUMBER(SEARCH("TECLADO",B383))
),
"COMPLEMENTO",
IF(
OR(
LEFT(A383,2)="NB",
LEFT(A383,2)="PC",
LEFT(A383,2)="WS",
LEFT(A383,2)="TB",
LEFT(A383,3)="CEL",
LEFT(A383,3)="MON",
LEFT(A383,3)="PRE",
LEFT(A383,3)="PRH",
ISNUMBER(SEARCH("NOTEBOOK",B383)),
ISNUMBER(SEARCH("LAPTOP",B383)),
ISNUMBER(SEARCH("MONITOR",B383)),
ISNUMBER(SEARCH("TABLET",B383)),
ISNUMBER(SEARCH("SMARTPH",B383)),
ISNUMBER(SEARCH("IMPRESORA",B383)),
ISNUMBER(SEARCH("MULTIFUNCIONAL",B383)),
ISNUMBER(SEARCH("AIO",B383))
),
"GANCHO",
"NORMAL"
)
)</f>
        <v>NORMAL</v>
      </c>
    </row>
    <row r="382" spans="1:12" x14ac:dyDescent="0.25">
      <c r="A382" s="3" t="s">
        <v>1094</v>
      </c>
      <c r="B382" s="3" t="s">
        <v>1095</v>
      </c>
      <c r="C382" s="1">
        <v>1</v>
      </c>
      <c r="D382" s="1">
        <v>163</v>
      </c>
      <c r="E382" s="1" t="s">
        <v>220</v>
      </c>
      <c r="F382" s="1" t="s">
        <v>3250</v>
      </c>
      <c r="G382" s="3" t="s">
        <v>1096</v>
      </c>
      <c r="H382" s="11">
        <f>ROUND(
IF(L380="GANCHO",
   IF(I382&lt;=50,I382*1.1+4,IF(I382&lt;=120,I382*1.1+7,IF(I382&lt;=250,I382*1.1+11,I382*1.1+19))),
IF(L380="NORMAL",
   IF(I382&lt;=30,I382*1.15+2,IF(I382&lt;=80,I382*1.15+4,IF(I382&lt;=150,I382*1.15+6,I382*1.15+8))),
IF(L380="COMPLEMENTO",
   IF(I382&lt;=25,I382*1.25+1.5,IF(I382&lt;=60,I382*1.25+3,IF(I382&lt;=120,I382*1.25+4,I382*1.25+5))),
""))),2)</f>
        <v>777.74</v>
      </c>
      <c r="I382" s="9">
        <f>($K$2+0.02)*Tabla1[[#This Row],[PRECIO $]]*1.18</f>
        <v>669.34320000000002</v>
      </c>
      <c r="J382" s="7">
        <f>+Tabla1[[#This Row],[PRECIO EN SOLES]]-Tabla1[[#This Row],[PC]]</f>
        <v>108.39679999999998</v>
      </c>
      <c r="K382" s="15"/>
      <c r="L382" s="15" t="str">
        <f>IF(
OR(
ISNUMBER(SEARCH("BACKPACK",B384)),
ISNUMBER(SEARCH("MOCHILA",B384)),
ISNUMBER(SEARCH("FUNDA",B384)),
ISNUMBER(SEARCH("ESTUCHE",B384)),
ISNUMBER(SEARCH("BOOK COVER",B384)),
ISNUMBER(SEARCH("KEYBOARD PARA TABLET",B384)),
ISNUMBER(SEARCH("FLIP TABLET",B384)),
ISNUMBER(SEARCH("CASE FOR TABLET",B384)),
ISNUMBER(SEARCH("CABLE",B384)),
ISNUMBER(SEARCH("ADAPTADOR",B384)),
ISNUMBER(SEARCH("HUB",B384)),
ISNUMBER(SEARCH("DOCK",B384)),
ISNUMBER(SEARCH("MOUSE PAD",B384)),
ISNUMBER(SEARCH("MOUSEPAD",B384)),
ISNUMBER(SEARCH("SOPORTE",B384)),
ISNUMBER(SEARCH("STAND",B384)),
ISNUMBER(SEARCH("TRAVEL ADAPTER",B384)),
ISNUMBER(SEARCH("RJ45",B384)),
ISNUMBER(SEARCH("USB-C",B384)),
ISNUMBER(SEARCH("USB WIFI",B384)),
ISNUMBER(SEARCH("POWERBANK",B384)),
ISNUMBER(SEARCH("CARGADOR",B384)),
ISNUMBER(SEARCH("COOLER PARA NB",B384)),
ISNUMBER(SEARCH("SOPORTE PARA NB",B384)),
ISNUMBER(SEARCH("WEBCAM",B384)),
ISNUMBER(SEARCH("WEB CAM",B384)),
ISNUMBER(SEARCH("MOUSE",B384)),
ISNUMBER(SEARCH("TECLADO",B384))
),
"COMPLEMENTO",
IF(
OR(
LEFT(A384,2)="NB",
LEFT(A384,2)="PC",
LEFT(A384,2)="WS",
LEFT(A384,2)="TB",
LEFT(A384,3)="CEL",
LEFT(A384,3)="MON",
LEFT(A384,3)="PRE",
LEFT(A384,3)="PRH",
ISNUMBER(SEARCH("NOTEBOOK",B384)),
ISNUMBER(SEARCH("LAPTOP",B384)),
ISNUMBER(SEARCH("MONITOR",B384)),
ISNUMBER(SEARCH("TABLET",B384)),
ISNUMBER(SEARCH("SMARTPH",B384)),
ISNUMBER(SEARCH("IMPRESORA",B384)),
ISNUMBER(SEARCH("MULTIFUNCIONAL",B384)),
ISNUMBER(SEARCH("AIO",B384))
),
"GANCHO",
"NORMAL"
)
)</f>
        <v>NORMAL</v>
      </c>
    </row>
    <row r="383" spans="1:12" x14ac:dyDescent="0.25">
      <c r="A383" s="3" t="s">
        <v>1097</v>
      </c>
      <c r="B383" s="3" t="s">
        <v>225</v>
      </c>
      <c r="C383" s="1">
        <v>0</v>
      </c>
      <c r="D383" s="1">
        <v>999</v>
      </c>
      <c r="E383" s="1" t="s">
        <v>187</v>
      </c>
      <c r="F383" s="1" t="s">
        <v>3251</v>
      </c>
      <c r="G383" s="3"/>
      <c r="H383" s="11">
        <f>ROUND(
IF(L381="GANCHO",
   IF(I383&lt;=50,I383*1.1+4,IF(I383&lt;=120,I383*1.1+7,IF(I383&lt;=250,I383*1.1+11,I383*1.1+19))),
IF(L381="NORMAL",
   IF(I383&lt;=30,I383*1.15+2,IF(I383&lt;=80,I383*1.15+4,IF(I383&lt;=150,I383*1.15+6,I383*1.15+8))),
IF(L381="COMPLEMENTO",
   IF(I383&lt;=25,I383*1.25+1.5,IF(I383&lt;=60,I383*1.25+3,IF(I383&lt;=120,I383*1.25+4,I383*1.25+5))),
""))),2)</f>
        <v>4725.6400000000003</v>
      </c>
      <c r="I383" s="9">
        <f>($K$2+0.02)*Tabla1[[#This Row],[PRECIO $]]*1.18</f>
        <v>4102.2936</v>
      </c>
      <c r="J383" s="7">
        <f>+Tabla1[[#This Row],[PRECIO EN SOLES]]-Tabla1[[#This Row],[PC]]</f>
        <v>623.34640000000036</v>
      </c>
      <c r="K383" s="15"/>
      <c r="L383" s="15" t="str">
        <f>IF(
OR(
ISNUMBER(SEARCH("BACKPACK",B385)),
ISNUMBER(SEARCH("MOCHILA",B385)),
ISNUMBER(SEARCH("FUNDA",B385)),
ISNUMBER(SEARCH("ESTUCHE",B385)),
ISNUMBER(SEARCH("BOOK COVER",B385)),
ISNUMBER(SEARCH("KEYBOARD PARA TABLET",B385)),
ISNUMBER(SEARCH("FLIP TABLET",B385)),
ISNUMBER(SEARCH("CASE FOR TABLET",B385)),
ISNUMBER(SEARCH("CABLE",B385)),
ISNUMBER(SEARCH("ADAPTADOR",B385)),
ISNUMBER(SEARCH("HUB",B385)),
ISNUMBER(SEARCH("DOCK",B385)),
ISNUMBER(SEARCH("MOUSE PAD",B385)),
ISNUMBER(SEARCH("MOUSEPAD",B385)),
ISNUMBER(SEARCH("SOPORTE",B385)),
ISNUMBER(SEARCH("STAND",B385)),
ISNUMBER(SEARCH("TRAVEL ADAPTER",B385)),
ISNUMBER(SEARCH("RJ45",B385)),
ISNUMBER(SEARCH("USB-C",B385)),
ISNUMBER(SEARCH("USB WIFI",B385)),
ISNUMBER(SEARCH("POWERBANK",B385)),
ISNUMBER(SEARCH("CARGADOR",B385)),
ISNUMBER(SEARCH("COOLER PARA NB",B385)),
ISNUMBER(SEARCH("SOPORTE PARA NB",B385)),
ISNUMBER(SEARCH("WEBCAM",B385)),
ISNUMBER(SEARCH("WEB CAM",B385)),
ISNUMBER(SEARCH("MOUSE",B385)),
ISNUMBER(SEARCH("TECLADO",B385))
),
"COMPLEMENTO",
IF(
OR(
LEFT(A385,2)="NB",
LEFT(A385,2)="PC",
LEFT(A385,2)="WS",
LEFT(A385,2)="TB",
LEFT(A385,3)="CEL",
LEFT(A385,3)="MON",
LEFT(A385,3)="PRE",
LEFT(A385,3)="PRH",
ISNUMBER(SEARCH("NOTEBOOK",B385)),
ISNUMBER(SEARCH("LAPTOP",B385)),
ISNUMBER(SEARCH("MONITOR",B385)),
ISNUMBER(SEARCH("TABLET",B385)),
ISNUMBER(SEARCH("SMARTPH",B385)),
ISNUMBER(SEARCH("IMPRESORA",B385)),
ISNUMBER(SEARCH("MULTIFUNCIONAL",B385)),
ISNUMBER(SEARCH("AIO",B385))
),
"GANCHO",
"NORMAL"
)
)</f>
        <v>NORMAL</v>
      </c>
    </row>
    <row r="384" spans="1:12" x14ac:dyDescent="0.25">
      <c r="A384" s="3" t="s">
        <v>5272</v>
      </c>
      <c r="B384" s="3" t="s">
        <v>5273</v>
      </c>
      <c r="C384" s="1">
        <v>1</v>
      </c>
      <c r="D384" s="1">
        <v>28</v>
      </c>
      <c r="E384" s="1" t="s">
        <v>54</v>
      </c>
      <c r="F384" s="1" t="s">
        <v>5274</v>
      </c>
      <c r="G384" s="3"/>
      <c r="H384" s="11">
        <f>ROUND(
IF(L382="GANCHO",
   IF(I384&lt;=50,I384*1.1+4,IF(I384&lt;=120,I384*1.1+7,IF(I384&lt;=250,I384*1.1+11,I384*1.1+19))),
IF(L382="NORMAL",
   IF(I384&lt;=30,I384*1.15+2,IF(I384&lt;=80,I384*1.15+4,IF(I384&lt;=150,I384*1.15+6,I384*1.15+8))),
IF(L382="COMPLEMENTO",
   IF(I384&lt;=25,I384*1.25+1.5,IF(I384&lt;=60,I384*1.25+3,IF(I384&lt;=120,I384*1.25+4,I384*1.25+5))),
""))),2)</f>
        <v>138.22999999999999</v>
      </c>
      <c r="I384" s="9">
        <f>($K$2+0.02)*Tabla1[[#This Row],[PRECIO $]]*1.18</f>
        <v>114.97919999999999</v>
      </c>
      <c r="J384" s="7">
        <f>+Tabla1[[#This Row],[PRECIO EN SOLES]]-Tabla1[[#This Row],[PC]]</f>
        <v>23.250799999999998</v>
      </c>
      <c r="K384" s="15"/>
      <c r="L384" s="15" t="str">
        <f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5" spans="1:12" x14ac:dyDescent="0.25">
      <c r="A385" s="3" t="s">
        <v>5275</v>
      </c>
      <c r="B385" s="3" t="s">
        <v>5276</v>
      </c>
      <c r="C385" s="1">
        <v>0</v>
      </c>
      <c r="D385" s="1">
        <v>23.6</v>
      </c>
      <c r="E385" s="1" t="s">
        <v>4502</v>
      </c>
      <c r="F385" s="1" t="s">
        <v>5277</v>
      </c>
      <c r="G385" s="3" t="s">
        <v>5278</v>
      </c>
      <c r="H385" s="11">
        <f>ROUND(
IF(L383="GANCHO",
   IF(I385&lt;=50,I385*1.1+4,IF(I385&lt;=120,I385*1.1+7,IF(I385&lt;=250,I385*1.1+11,I385*1.1+19))),
IF(L383="NORMAL",
   IF(I385&lt;=30,I385*1.15+2,IF(I385&lt;=80,I385*1.15+4,IF(I385&lt;=150,I385*1.15+6,I385*1.15+8))),
IF(L383="COMPLEMENTO",
   IF(I385&lt;=25,I385*1.25+1.5,IF(I385&lt;=60,I385*1.25+3,IF(I385&lt;=120,I385*1.25+4,I385*1.25+5))),
""))),2)</f>
        <v>117.45</v>
      </c>
      <c r="I385" s="9">
        <f>($K$2+0.02)*Tabla1[[#This Row],[PRECIO $]]*1.18</f>
        <v>96.91104</v>
      </c>
      <c r="J385" s="7">
        <f>+Tabla1[[#This Row],[PRECIO EN SOLES]]-Tabla1[[#This Row],[PC]]</f>
        <v>20.538960000000003</v>
      </c>
      <c r="K385" s="15"/>
      <c r="L385" s="15" t="str">
        <f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6" spans="1:12" x14ac:dyDescent="0.25">
      <c r="A386" s="3" t="s">
        <v>4503</v>
      </c>
      <c r="B386" s="3" t="s">
        <v>4504</v>
      </c>
      <c r="C386" s="1">
        <v>20</v>
      </c>
      <c r="D386" s="1">
        <v>21.6</v>
      </c>
      <c r="E386" s="1" t="s">
        <v>4502</v>
      </c>
      <c r="F386" s="1" t="s">
        <v>4505</v>
      </c>
      <c r="G386" s="3" t="s">
        <v>4506</v>
      </c>
      <c r="H386" s="11">
        <f>ROUND(
IF(L384="GANCHO",
   IF(I386&lt;=50,I386*1.1+4,IF(I386&lt;=120,I386*1.1+7,IF(I386&lt;=250,I386*1.1+11,I386*1.1+19))),
IF(L384="NORMAL",
   IF(I386&lt;=30,I386*1.15+2,IF(I386&lt;=80,I386*1.15+4,IF(I386&lt;=150,I386*1.15+6,I386*1.15+8))),
IF(L384="COMPLEMENTO",
   IF(I386&lt;=25,I386*1.25+1.5,IF(I386&lt;=60,I386*1.25+3,IF(I386&lt;=120,I386*1.25+4,I386*1.25+5))),
""))),2)</f>
        <v>108</v>
      </c>
      <c r="I386" s="9">
        <f>($K$2+0.02)*Tabla1[[#This Row],[PRECIO $]]*1.18</f>
        <v>88.698239999999998</v>
      </c>
      <c r="J386" s="7">
        <f>+Tabla1[[#This Row],[PRECIO EN SOLES]]-Tabla1[[#This Row],[PC]]</f>
        <v>19.301760000000002</v>
      </c>
      <c r="K386" s="15"/>
      <c r="L386" s="15" t="str">
        <f>IF(
OR(
ISNUMBER(SEARCH("BACKPACK",B388)),
ISNUMBER(SEARCH("MOCHILA",B388)),
ISNUMBER(SEARCH("FUNDA",B388)),
ISNUMBER(SEARCH("ESTUCHE",B388)),
ISNUMBER(SEARCH("BOOK COVER",B388)),
ISNUMBER(SEARCH("KEYBOARD PARA TABLET",B388)),
ISNUMBER(SEARCH("FLIP TABLET",B388)),
ISNUMBER(SEARCH("CASE FOR TABLET",B388)),
ISNUMBER(SEARCH("CABLE",B388)),
ISNUMBER(SEARCH("ADAPTADOR",B388)),
ISNUMBER(SEARCH("HUB",B388)),
ISNUMBER(SEARCH("DOCK",B388)),
ISNUMBER(SEARCH("MOUSE PAD",B388)),
ISNUMBER(SEARCH("MOUSEPAD",B388)),
ISNUMBER(SEARCH("SOPORTE",B388)),
ISNUMBER(SEARCH("STAND",B388)),
ISNUMBER(SEARCH("TRAVEL ADAPTER",B388)),
ISNUMBER(SEARCH("RJ45",B388)),
ISNUMBER(SEARCH("USB-C",B388)),
ISNUMBER(SEARCH("USB WIFI",B388)),
ISNUMBER(SEARCH("POWERBANK",B388)),
ISNUMBER(SEARCH("CARGADOR",B388)),
ISNUMBER(SEARCH("COOLER PARA NB",B388)),
ISNUMBER(SEARCH("SOPORTE PARA NB",B388)),
ISNUMBER(SEARCH("WEBCAM",B388)),
ISNUMBER(SEARCH("WEB CAM",B388)),
ISNUMBER(SEARCH("MOUSE",B388)),
ISNUMBER(SEARCH("TECLADO",B388))
),
"COMPLEMENTO",
IF(
OR(
LEFT(A388,2)="NB",
LEFT(A388,2)="PC",
LEFT(A388,2)="WS",
LEFT(A388,2)="TB",
LEFT(A388,3)="CEL",
LEFT(A388,3)="MON",
LEFT(A388,3)="PRE",
LEFT(A388,3)="PRH",
ISNUMBER(SEARCH("NOTEBOOK",B388)),
ISNUMBER(SEARCH("LAPTOP",B388)),
ISNUMBER(SEARCH("MONITOR",B388)),
ISNUMBER(SEARCH("TABLET",B388)),
ISNUMBER(SEARCH("SMARTPH",B388)),
ISNUMBER(SEARCH("IMPRESORA",B388)),
ISNUMBER(SEARCH("MULTIFUNCIONAL",B388)),
ISNUMBER(SEARCH("AIO",B388))
),
"GANCHO",
"NORMAL"
)
)</f>
        <v>NORMAL</v>
      </c>
    </row>
    <row r="387" spans="1:12" x14ac:dyDescent="0.25">
      <c r="A387" s="3" t="s">
        <v>641</v>
      </c>
      <c r="B387" s="3" t="s">
        <v>642</v>
      </c>
      <c r="C387" s="1">
        <v>20</v>
      </c>
      <c r="D387" s="1">
        <v>4.75</v>
      </c>
      <c r="E387" s="1" t="s">
        <v>52</v>
      </c>
      <c r="F387" s="1" t="s">
        <v>3252</v>
      </c>
      <c r="G387" s="3" t="s">
        <v>4831</v>
      </c>
      <c r="H387" s="11">
        <f>ROUND(
IF(L385="GANCHO",
   IF(I387&lt;=50,I387*1.1+4,IF(I387&lt;=120,I387*1.1+7,IF(I387&lt;=250,I387*1.1+11,I387*1.1+19))),
IF(L385="NORMAL",
   IF(I387&lt;=30,I387*1.15+2,IF(I387&lt;=80,I387*1.15+4,IF(I387&lt;=150,I387*1.15+6,I387*1.15+8))),
IF(L385="COMPLEMENTO",
   IF(I387&lt;=25,I387*1.25+1.5,IF(I387&lt;=60,I387*1.25+3,IF(I387&lt;=120,I387*1.25+4,I387*1.25+5))),
""))),2)</f>
        <v>24.43</v>
      </c>
      <c r="I387" s="9">
        <f>($K$2+0.02)*Tabla1[[#This Row],[PRECIO $]]*1.18</f>
        <v>19.505400000000002</v>
      </c>
      <c r="J387" s="7">
        <f>+Tabla1[[#This Row],[PRECIO EN SOLES]]-Tabla1[[#This Row],[PC]]</f>
        <v>4.9245999999999981</v>
      </c>
      <c r="K387" s="15"/>
      <c r="L387" s="15" t="str">
        <f>IF(
OR(
ISNUMBER(SEARCH("BACKPACK",B389)),
ISNUMBER(SEARCH("MOCHILA",B389)),
ISNUMBER(SEARCH("FUNDA",B389)),
ISNUMBER(SEARCH("ESTUCHE",B389)),
ISNUMBER(SEARCH("BOOK COVER",B389)),
ISNUMBER(SEARCH("KEYBOARD PARA TABLET",B389)),
ISNUMBER(SEARCH("FLIP TABLET",B389)),
ISNUMBER(SEARCH("CASE FOR TABLET",B389)),
ISNUMBER(SEARCH("CABLE",B389)),
ISNUMBER(SEARCH("ADAPTADOR",B389)),
ISNUMBER(SEARCH("HUB",B389)),
ISNUMBER(SEARCH("DOCK",B389)),
ISNUMBER(SEARCH("MOUSE PAD",B389)),
ISNUMBER(SEARCH("MOUSEPAD",B389)),
ISNUMBER(SEARCH("SOPORTE",B389)),
ISNUMBER(SEARCH("STAND",B389)),
ISNUMBER(SEARCH("TRAVEL ADAPTER",B389)),
ISNUMBER(SEARCH("RJ45",B389)),
ISNUMBER(SEARCH("USB-C",B389)),
ISNUMBER(SEARCH("USB WIFI",B389)),
ISNUMBER(SEARCH("POWERBANK",B389)),
ISNUMBER(SEARCH("CARGADOR",B389)),
ISNUMBER(SEARCH("COOLER PARA NB",B389)),
ISNUMBER(SEARCH("SOPORTE PARA NB",B389)),
ISNUMBER(SEARCH("WEBCAM",B389)),
ISNUMBER(SEARCH("WEB CAM",B389)),
ISNUMBER(SEARCH("MOUSE",B389)),
ISNUMBER(SEARCH("TECLADO",B389))
),
"COMPLEMENTO",
IF(
OR(
LEFT(A389,2)="NB",
LEFT(A389,2)="PC",
LEFT(A389,2)="WS",
LEFT(A389,2)="TB",
LEFT(A389,3)="CEL",
LEFT(A389,3)="MON",
LEFT(A389,3)="PRE",
LEFT(A389,3)="PRH",
ISNUMBER(SEARCH("NOTEBOOK",B389)),
ISNUMBER(SEARCH("LAPTOP",B389)),
ISNUMBER(SEARCH("MONITOR",B389)),
ISNUMBER(SEARCH("TABLET",B389)),
ISNUMBER(SEARCH("SMARTPH",B389)),
ISNUMBER(SEARCH("IMPRESORA",B389)),
ISNUMBER(SEARCH("MULTIFUNCIONAL",B389)),
ISNUMBER(SEARCH("AIO",B389))
),
"GANCHO",
"NORMAL"
)
)</f>
        <v>NORMAL</v>
      </c>
    </row>
    <row r="388" spans="1:12" x14ac:dyDescent="0.25">
      <c r="A388" s="3" t="s">
        <v>227</v>
      </c>
      <c r="B388" s="3" t="s">
        <v>228</v>
      </c>
      <c r="C388" s="1">
        <v>20</v>
      </c>
      <c r="D388" s="1">
        <v>15.8</v>
      </c>
      <c r="E388" s="1" t="s">
        <v>52</v>
      </c>
      <c r="F388" s="1" t="s">
        <v>3253</v>
      </c>
      <c r="G388" s="3" t="s">
        <v>4832</v>
      </c>
      <c r="H388" s="11">
        <f>ROUND(
IF(L386="GANCHO",
   IF(I388&lt;=50,I388*1.1+4,IF(I388&lt;=120,I388*1.1+7,IF(I388&lt;=250,I388*1.1+11,I388*1.1+19))),
IF(L386="NORMAL",
   IF(I388&lt;=30,I388*1.15+2,IF(I388&lt;=80,I388*1.15+4,IF(I388&lt;=150,I388*1.15+6,I388*1.15+8))),
IF(L386="COMPLEMENTO",
   IF(I388&lt;=25,I388*1.25+1.5,IF(I388&lt;=60,I388*1.25+3,IF(I388&lt;=120,I388*1.25+4,I388*1.25+5))),
""))),2)</f>
        <v>78.61</v>
      </c>
      <c r="I388" s="9">
        <f>($K$2+0.02)*Tabla1[[#This Row],[PRECIO $]]*1.18</f>
        <v>64.881119999999996</v>
      </c>
      <c r="J388" s="7">
        <f>+Tabla1[[#This Row],[PRECIO EN SOLES]]-Tabla1[[#This Row],[PC]]</f>
        <v>13.728880000000004</v>
      </c>
      <c r="K388" s="15"/>
      <c r="L388" s="15" t="str">
        <f>IF(
OR(
ISNUMBER(SEARCH("BACKPACK",B390)),
ISNUMBER(SEARCH("MOCHILA",B390)),
ISNUMBER(SEARCH("FUNDA",B390)),
ISNUMBER(SEARCH("ESTUCHE",B390)),
ISNUMBER(SEARCH("BOOK COVER",B390)),
ISNUMBER(SEARCH("KEYBOARD PARA TABLET",B390)),
ISNUMBER(SEARCH("FLIP TABLET",B390)),
ISNUMBER(SEARCH("CASE FOR TABLET",B390)),
ISNUMBER(SEARCH("CABLE",B390)),
ISNUMBER(SEARCH("ADAPTADOR",B390)),
ISNUMBER(SEARCH("HUB",B390)),
ISNUMBER(SEARCH("DOCK",B390)),
ISNUMBER(SEARCH("MOUSE PAD",B390)),
ISNUMBER(SEARCH("MOUSEPAD",B390)),
ISNUMBER(SEARCH("SOPORTE",B390)),
ISNUMBER(SEARCH("STAND",B390)),
ISNUMBER(SEARCH("TRAVEL ADAPTER",B390)),
ISNUMBER(SEARCH("RJ45",B390)),
ISNUMBER(SEARCH("USB-C",B390)),
ISNUMBER(SEARCH("USB WIFI",B390)),
ISNUMBER(SEARCH("POWERBANK",B390)),
ISNUMBER(SEARCH("CARGADOR",B390)),
ISNUMBER(SEARCH("COOLER PARA NB",B390)),
ISNUMBER(SEARCH("SOPORTE PARA NB",B390)),
ISNUMBER(SEARCH("WEBCAM",B390)),
ISNUMBER(SEARCH("WEB CAM",B390)),
ISNUMBER(SEARCH("MOUSE",B390)),
ISNUMBER(SEARCH("TECLADO",B390))
),
"COMPLEMENTO",
IF(
OR(
LEFT(A390,2)="NB",
LEFT(A390,2)="PC",
LEFT(A390,2)="WS",
LEFT(A390,2)="TB",
LEFT(A390,3)="CEL",
LEFT(A390,3)="MON",
LEFT(A390,3)="PRE",
LEFT(A390,3)="PRH",
ISNUMBER(SEARCH("NOTEBOOK",B390)),
ISNUMBER(SEARCH("LAPTOP",B390)),
ISNUMBER(SEARCH("MONITOR",B390)),
ISNUMBER(SEARCH("TABLET",B390)),
ISNUMBER(SEARCH("SMARTPH",B390)),
ISNUMBER(SEARCH("IMPRESORA",B390)),
ISNUMBER(SEARCH("MULTIFUNCIONAL",B390)),
ISNUMBER(SEARCH("AIO",B390))
),
"GANCHO",
"NORMAL"
)
)</f>
        <v>NORMAL</v>
      </c>
    </row>
    <row r="389" spans="1:12" x14ac:dyDescent="0.25">
      <c r="A389" s="3" t="s">
        <v>229</v>
      </c>
      <c r="B389" s="3" t="s">
        <v>230</v>
      </c>
      <c r="C389" s="1">
        <v>20</v>
      </c>
      <c r="D389" s="1">
        <v>10.5</v>
      </c>
      <c r="E389" s="1" t="s">
        <v>52</v>
      </c>
      <c r="F389" s="1" t="s">
        <v>3254</v>
      </c>
      <c r="G389" s="3" t="s">
        <v>231</v>
      </c>
      <c r="H389" s="11">
        <f>ROUND(
IF(L387="GANCHO",
   IF(I389&lt;=50,I389*1.1+4,IF(I389&lt;=120,I389*1.1+7,IF(I389&lt;=250,I389*1.1+11,I389*1.1+19))),
IF(L387="NORMAL",
   IF(I389&lt;=30,I389*1.15+2,IF(I389&lt;=80,I389*1.15+4,IF(I389&lt;=150,I389*1.15+6,I389*1.15+8))),
IF(L387="COMPLEMENTO",
   IF(I389&lt;=25,I389*1.25+1.5,IF(I389&lt;=60,I389*1.25+3,IF(I389&lt;=120,I389*1.25+4,I389*1.25+5))),
""))),2)</f>
        <v>53.58</v>
      </c>
      <c r="I389" s="9">
        <f>($K$2+0.02)*Tabla1[[#This Row],[PRECIO $]]*1.18</f>
        <v>43.117199999999997</v>
      </c>
      <c r="J389" s="7">
        <f>+Tabla1[[#This Row],[PRECIO EN SOLES]]-Tabla1[[#This Row],[PC]]</f>
        <v>10.462800000000001</v>
      </c>
      <c r="K389" s="15"/>
      <c r="L389" s="15" t="str">
        <f>IF(
OR(
ISNUMBER(SEARCH("BACKPACK",B391)),
ISNUMBER(SEARCH("MOCHILA",B391)),
ISNUMBER(SEARCH("FUNDA",B391)),
ISNUMBER(SEARCH("ESTUCHE",B391)),
ISNUMBER(SEARCH("BOOK COVER",B391)),
ISNUMBER(SEARCH("KEYBOARD PARA TABLET",B391)),
ISNUMBER(SEARCH("FLIP TABLET",B391)),
ISNUMBER(SEARCH("CASE FOR TABLET",B391)),
ISNUMBER(SEARCH("CABLE",B391)),
ISNUMBER(SEARCH("ADAPTADOR",B391)),
ISNUMBER(SEARCH("HUB",B391)),
ISNUMBER(SEARCH("DOCK",B391)),
ISNUMBER(SEARCH("MOUSE PAD",B391)),
ISNUMBER(SEARCH("MOUSEPAD",B391)),
ISNUMBER(SEARCH("SOPORTE",B391)),
ISNUMBER(SEARCH("STAND",B391)),
ISNUMBER(SEARCH("TRAVEL ADAPTER",B391)),
ISNUMBER(SEARCH("RJ45",B391)),
ISNUMBER(SEARCH("USB-C",B391)),
ISNUMBER(SEARCH("USB WIFI",B391)),
ISNUMBER(SEARCH("POWERBANK",B391)),
ISNUMBER(SEARCH("CARGADOR",B391)),
ISNUMBER(SEARCH("COOLER PARA NB",B391)),
ISNUMBER(SEARCH("SOPORTE PARA NB",B391)),
ISNUMBER(SEARCH("WEBCAM",B391)),
ISNUMBER(SEARCH("WEB CAM",B391)),
ISNUMBER(SEARCH("MOUSE",B391)),
ISNUMBER(SEARCH("TECLADO",B391))
),
"COMPLEMENTO",
IF(
OR(
LEFT(A391,2)="NB",
LEFT(A391,2)="PC",
LEFT(A391,2)="WS",
LEFT(A391,2)="TB",
LEFT(A391,3)="CEL",
LEFT(A391,3)="MON",
LEFT(A391,3)="PRE",
LEFT(A391,3)="PRH",
ISNUMBER(SEARCH("NOTEBOOK",B391)),
ISNUMBER(SEARCH("LAPTOP",B391)),
ISNUMBER(SEARCH("MONITOR",B391)),
ISNUMBER(SEARCH("TABLET",B391)),
ISNUMBER(SEARCH("SMARTPH",B391)),
ISNUMBER(SEARCH("IMPRESORA",B391)),
ISNUMBER(SEARCH("MULTIFUNCIONAL",B391)),
ISNUMBER(SEARCH("AIO",B391))
),
"GANCHO",
"NORMAL"
)
)</f>
        <v>NORMAL</v>
      </c>
    </row>
    <row r="390" spans="1:12" x14ac:dyDescent="0.25">
      <c r="A390" s="3" t="s">
        <v>232</v>
      </c>
      <c r="B390" s="3" t="s">
        <v>233</v>
      </c>
      <c r="C390" s="1">
        <v>20</v>
      </c>
      <c r="D390" s="1">
        <v>24.3</v>
      </c>
      <c r="E390" s="1" t="s">
        <v>52</v>
      </c>
      <c r="F390" s="1" t="s">
        <v>3255</v>
      </c>
      <c r="G390" s="3" t="s">
        <v>234</v>
      </c>
      <c r="H390" s="11">
        <f>ROUND(
IF(L388="GANCHO",
   IF(I390&lt;=50,I390*1.1+4,IF(I390&lt;=120,I390*1.1+7,IF(I390&lt;=250,I390*1.1+11,I390*1.1+19))),
IF(L388="NORMAL",
   IF(I390&lt;=30,I390*1.15+2,IF(I390&lt;=80,I390*1.15+4,IF(I390&lt;=150,I390*1.15+6,I390*1.15+8))),
IF(L388="COMPLEMENTO",
   IF(I390&lt;=25,I390*1.25+1.5,IF(I390&lt;=60,I390*1.25+3,IF(I390&lt;=120,I390*1.25+4,I390*1.25+5))),
""))),2)</f>
        <v>120.75</v>
      </c>
      <c r="I390" s="9">
        <f>($K$2+0.02)*Tabla1[[#This Row],[PRECIO $]]*1.18</f>
        <v>99.785520000000005</v>
      </c>
      <c r="J390" s="7">
        <f>+Tabla1[[#This Row],[PRECIO EN SOLES]]-Tabla1[[#This Row],[PC]]</f>
        <v>20.964479999999995</v>
      </c>
      <c r="K390" s="15"/>
      <c r="L390" s="15" t="str">
        <f>IF(
OR(
ISNUMBER(SEARCH("BACKPACK",B392)),
ISNUMBER(SEARCH("MOCHILA",B392)),
ISNUMBER(SEARCH("FUNDA",B392)),
ISNUMBER(SEARCH("ESTUCHE",B392)),
ISNUMBER(SEARCH("BOOK COVER",B392)),
ISNUMBER(SEARCH("KEYBOARD PARA TABLET",B392)),
ISNUMBER(SEARCH("FLIP TABLET",B392)),
ISNUMBER(SEARCH("CASE FOR TABLET",B392)),
ISNUMBER(SEARCH("CABLE",B392)),
ISNUMBER(SEARCH("ADAPTADOR",B392)),
ISNUMBER(SEARCH("HUB",B392)),
ISNUMBER(SEARCH("DOCK",B392)),
ISNUMBER(SEARCH("MOUSE PAD",B392)),
ISNUMBER(SEARCH("MOUSEPAD",B392)),
ISNUMBER(SEARCH("SOPORTE",B392)),
ISNUMBER(SEARCH("STAND",B392)),
ISNUMBER(SEARCH("TRAVEL ADAPTER",B392)),
ISNUMBER(SEARCH("RJ45",B392)),
ISNUMBER(SEARCH("USB-C",B392)),
ISNUMBER(SEARCH("USB WIFI",B392)),
ISNUMBER(SEARCH("POWERBANK",B392)),
ISNUMBER(SEARCH("CARGADOR",B392)),
ISNUMBER(SEARCH("COOLER PARA NB",B392)),
ISNUMBER(SEARCH("SOPORTE PARA NB",B392)),
ISNUMBER(SEARCH("WEBCAM",B392)),
ISNUMBER(SEARCH("WEB CAM",B392)),
ISNUMBER(SEARCH("MOUSE",B392)),
ISNUMBER(SEARCH("TECLADO",B392))
),
"COMPLEMENTO",
IF(
OR(
LEFT(A392,2)="NB",
LEFT(A392,2)="PC",
LEFT(A392,2)="WS",
LEFT(A392,2)="TB",
LEFT(A392,3)="CEL",
LEFT(A392,3)="MON",
LEFT(A392,3)="PRE",
LEFT(A392,3)="PRH",
ISNUMBER(SEARCH("NOTEBOOK",B392)),
ISNUMBER(SEARCH("LAPTOP",B392)),
ISNUMBER(SEARCH("MONITOR",B392)),
ISNUMBER(SEARCH("TABLET",B392)),
ISNUMBER(SEARCH("SMARTPH",B392)),
ISNUMBER(SEARCH("IMPRESORA",B392)),
ISNUMBER(SEARCH("MULTIFUNCIONAL",B392)),
ISNUMBER(SEARCH("AIO",B392))
),
"GANCHO",
"NORMAL"
)
)</f>
        <v>NORMAL</v>
      </c>
    </row>
    <row r="391" spans="1:12" x14ac:dyDescent="0.25">
      <c r="A391" s="3" t="s">
        <v>5279</v>
      </c>
      <c r="B391" s="3" t="s">
        <v>5280</v>
      </c>
      <c r="C391" s="1">
        <v>20</v>
      </c>
      <c r="D391" s="1">
        <v>14.75</v>
      </c>
      <c r="E391" s="1" t="s">
        <v>121</v>
      </c>
      <c r="F391" s="1" t="s">
        <v>5281</v>
      </c>
      <c r="G391" s="3"/>
      <c r="H391" s="11">
        <f>ROUND(
IF(L389="GANCHO",
   IF(I391&lt;=50,I391*1.1+4,IF(I391&lt;=120,I391*1.1+7,IF(I391&lt;=250,I391*1.1+11,I391*1.1+19))),
IF(L389="NORMAL",
   IF(I391&lt;=30,I391*1.15+2,IF(I391&lt;=80,I391*1.15+4,IF(I391&lt;=150,I391*1.15+6,I391*1.15+8))),
IF(L389="COMPLEMENTO",
   IF(I391&lt;=25,I391*1.25+1.5,IF(I391&lt;=60,I391*1.25+3,IF(I391&lt;=120,I391*1.25+4,I391*1.25+5))),
""))),2)</f>
        <v>73.650000000000006</v>
      </c>
      <c r="I391" s="9">
        <f>($K$2+0.02)*Tabla1[[#This Row],[PRECIO $]]*1.18</f>
        <v>60.569399999999995</v>
      </c>
      <c r="J391" s="7">
        <f>+Tabla1[[#This Row],[PRECIO EN SOLES]]-Tabla1[[#This Row],[PC]]</f>
        <v>13.080600000000011</v>
      </c>
      <c r="K391" s="15"/>
      <c r="L391" s="15" t="str">
        <f>IF(
OR(
ISNUMBER(SEARCH("BACKPACK",B393)),
ISNUMBER(SEARCH("MOCHILA",B393)),
ISNUMBER(SEARCH("FUNDA",B393)),
ISNUMBER(SEARCH("ESTUCHE",B393)),
ISNUMBER(SEARCH("BOOK COVER",B393)),
ISNUMBER(SEARCH("KEYBOARD PARA TABLET",B393)),
ISNUMBER(SEARCH("FLIP TABLET",B393)),
ISNUMBER(SEARCH("CASE FOR TABLET",B393)),
ISNUMBER(SEARCH("CABLE",B393)),
ISNUMBER(SEARCH("ADAPTADOR",B393)),
ISNUMBER(SEARCH("HUB",B393)),
ISNUMBER(SEARCH("DOCK",B393)),
ISNUMBER(SEARCH("MOUSE PAD",B393)),
ISNUMBER(SEARCH("MOUSEPAD",B393)),
ISNUMBER(SEARCH("SOPORTE",B393)),
ISNUMBER(SEARCH("STAND",B393)),
ISNUMBER(SEARCH("TRAVEL ADAPTER",B393)),
ISNUMBER(SEARCH("RJ45",B393)),
ISNUMBER(SEARCH("USB-C",B393)),
ISNUMBER(SEARCH("USB WIFI",B393)),
ISNUMBER(SEARCH("POWERBANK",B393)),
ISNUMBER(SEARCH("CARGADOR",B393)),
ISNUMBER(SEARCH("COOLER PARA NB",B393)),
ISNUMBER(SEARCH("SOPORTE PARA NB",B393)),
ISNUMBER(SEARCH("WEBCAM",B393)),
ISNUMBER(SEARCH("WEB CAM",B393)),
ISNUMBER(SEARCH("MOUSE",B393)),
ISNUMBER(SEARCH("TECLADO",B393))
),
"COMPLEMENTO",
IF(
OR(
LEFT(A393,2)="NB",
LEFT(A393,2)="PC",
LEFT(A393,2)="WS",
LEFT(A393,2)="TB",
LEFT(A393,3)="CEL",
LEFT(A393,3)="MON",
LEFT(A393,3)="PRE",
LEFT(A393,3)="PRH",
ISNUMBER(SEARCH("NOTEBOOK",B393)),
ISNUMBER(SEARCH("LAPTOP",B393)),
ISNUMBER(SEARCH("MONITOR",B393)),
ISNUMBER(SEARCH("TABLET",B393)),
ISNUMBER(SEARCH("SMARTPH",B393)),
ISNUMBER(SEARCH("IMPRESORA",B393)),
ISNUMBER(SEARCH("MULTIFUNCIONAL",B393)),
ISNUMBER(SEARCH("AIO",B393))
),
"GANCHO",
"NORMAL"
)
)</f>
        <v>NORMAL</v>
      </c>
    </row>
    <row r="392" spans="1:12" x14ac:dyDescent="0.25">
      <c r="A392" s="3" t="s">
        <v>1098</v>
      </c>
      <c r="B392" s="3" t="s">
        <v>1099</v>
      </c>
      <c r="C392" s="1">
        <v>1</v>
      </c>
      <c r="D392" s="1">
        <v>54</v>
      </c>
      <c r="E392" s="1" t="s">
        <v>154</v>
      </c>
      <c r="F392" s="1" t="s">
        <v>3256</v>
      </c>
      <c r="G392" s="3"/>
      <c r="H392" s="11">
        <f>ROUND(
IF(L390="GANCHO",
   IF(I392&lt;=50,I392*1.1+4,IF(I392&lt;=120,I392*1.1+7,IF(I392&lt;=250,I392*1.1+11,I392*1.1+19))),
IF(L390="NORMAL",
   IF(I392&lt;=30,I392*1.15+2,IF(I392&lt;=80,I392*1.15+4,IF(I392&lt;=150,I392*1.15+6,I392*1.15+8))),
IF(L390="COMPLEMENTO",
   IF(I392&lt;=25,I392*1.25+1.5,IF(I392&lt;=60,I392*1.25+3,IF(I392&lt;=120,I392*1.25+4,I392*1.25+5))),
""))),2)</f>
        <v>263.01</v>
      </c>
      <c r="I392" s="9">
        <f>($K$2+0.02)*Tabla1[[#This Row],[PRECIO $]]*1.18</f>
        <v>221.74559999999997</v>
      </c>
      <c r="J392" s="7">
        <f>+Tabla1[[#This Row],[PRECIO EN SOLES]]-Tabla1[[#This Row],[PC]]</f>
        <v>41.264400000000023</v>
      </c>
      <c r="K392" s="15"/>
      <c r="L392" s="15" t="str">
        <f>IF(
OR(
ISNUMBER(SEARCH("BACKPACK",B394)),
ISNUMBER(SEARCH("MOCHILA",B394)),
ISNUMBER(SEARCH("FUNDA",B394)),
ISNUMBER(SEARCH("ESTUCHE",B394)),
ISNUMBER(SEARCH("BOOK COVER",B394)),
ISNUMBER(SEARCH("KEYBOARD PARA TABLET",B394)),
ISNUMBER(SEARCH("FLIP TABLET",B394)),
ISNUMBER(SEARCH("CASE FOR TABLET",B394)),
ISNUMBER(SEARCH("CABLE",B394)),
ISNUMBER(SEARCH("ADAPTADOR",B394)),
ISNUMBER(SEARCH("HUB",B394)),
ISNUMBER(SEARCH("DOCK",B394)),
ISNUMBER(SEARCH("MOUSE PAD",B394)),
ISNUMBER(SEARCH("MOUSEPAD",B394)),
ISNUMBER(SEARCH("SOPORTE",B394)),
ISNUMBER(SEARCH("STAND",B394)),
ISNUMBER(SEARCH("TRAVEL ADAPTER",B394)),
ISNUMBER(SEARCH("RJ45",B394)),
ISNUMBER(SEARCH("USB-C",B394)),
ISNUMBER(SEARCH("USB WIFI",B394)),
ISNUMBER(SEARCH("POWERBANK",B394)),
ISNUMBER(SEARCH("CARGADOR",B394)),
ISNUMBER(SEARCH("COOLER PARA NB",B394)),
ISNUMBER(SEARCH("SOPORTE PARA NB",B394)),
ISNUMBER(SEARCH("WEBCAM",B394)),
ISNUMBER(SEARCH("WEB CAM",B394)),
ISNUMBER(SEARCH("MOUSE",B394)),
ISNUMBER(SEARCH("TECLADO",B394))
),
"COMPLEMENTO",
IF(
OR(
LEFT(A394,2)="NB",
LEFT(A394,2)="PC",
LEFT(A394,2)="WS",
LEFT(A394,2)="TB",
LEFT(A394,3)="CEL",
LEFT(A394,3)="MON",
LEFT(A394,3)="PRE",
LEFT(A394,3)="PRH",
ISNUMBER(SEARCH("NOTEBOOK",B394)),
ISNUMBER(SEARCH("LAPTOP",B394)),
ISNUMBER(SEARCH("MONITOR",B394)),
ISNUMBER(SEARCH("TABLET",B394)),
ISNUMBER(SEARCH("SMARTPH",B394)),
ISNUMBER(SEARCH("IMPRESORA",B394)),
ISNUMBER(SEARCH("MULTIFUNCIONAL",B394)),
ISNUMBER(SEARCH("AIO",B394))
),
"GANCHO",
"NORMAL"
)
)</f>
        <v>NORMAL</v>
      </c>
    </row>
    <row r="393" spans="1:12" x14ac:dyDescent="0.25">
      <c r="A393" s="3" t="s">
        <v>1100</v>
      </c>
      <c r="B393" s="3" t="s">
        <v>1101</v>
      </c>
      <c r="C393" s="1">
        <v>13</v>
      </c>
      <c r="D393" s="1">
        <v>67.91</v>
      </c>
      <c r="E393" s="1" t="s">
        <v>154</v>
      </c>
      <c r="F393" s="1" t="s">
        <v>3257</v>
      </c>
      <c r="G393" s="3"/>
      <c r="H393" s="11">
        <f>ROUND(
IF(L391="GANCHO",
   IF(I393&lt;=50,I393*1.1+4,IF(I393&lt;=120,I393*1.1+7,IF(I393&lt;=250,I393*1.1+11,I393*1.1+19))),
IF(L391="NORMAL",
   IF(I393&lt;=30,I393*1.15+2,IF(I393&lt;=80,I393*1.15+4,IF(I393&lt;=150,I393*1.15+6,I393*1.15+8))),
IF(L391="COMPLEMENTO",
   IF(I393&lt;=25,I393*1.25+1.5,IF(I393&lt;=60,I393*1.25+3,IF(I393&lt;=120,I393*1.25+4,I393*1.25+5))),
""))),2)</f>
        <v>328.7</v>
      </c>
      <c r="I393" s="9">
        <f>($K$2+0.02)*Tabla1[[#This Row],[PRECIO $]]*1.18</f>
        <v>278.86562399999997</v>
      </c>
      <c r="J393" s="7">
        <f>+Tabla1[[#This Row],[PRECIO EN SOLES]]-Tabla1[[#This Row],[PC]]</f>
        <v>49.83437600000002</v>
      </c>
      <c r="K393" s="15"/>
      <c r="L393" s="15" t="str">
        <f>IF(
OR(
ISNUMBER(SEARCH("BACKPACK",B395)),
ISNUMBER(SEARCH("MOCHILA",B395)),
ISNUMBER(SEARCH("FUNDA",B395)),
ISNUMBER(SEARCH("ESTUCHE",B395)),
ISNUMBER(SEARCH("BOOK COVER",B395)),
ISNUMBER(SEARCH("KEYBOARD PARA TABLET",B395)),
ISNUMBER(SEARCH("FLIP TABLET",B395)),
ISNUMBER(SEARCH("CASE FOR TABLET",B395)),
ISNUMBER(SEARCH("CABLE",B395)),
ISNUMBER(SEARCH("ADAPTADOR",B395)),
ISNUMBER(SEARCH("HUB",B395)),
ISNUMBER(SEARCH("DOCK",B395)),
ISNUMBER(SEARCH("MOUSE PAD",B395)),
ISNUMBER(SEARCH("MOUSEPAD",B395)),
ISNUMBER(SEARCH("SOPORTE",B395)),
ISNUMBER(SEARCH("STAND",B395)),
ISNUMBER(SEARCH("TRAVEL ADAPTER",B395)),
ISNUMBER(SEARCH("RJ45",B395)),
ISNUMBER(SEARCH("USB-C",B395)),
ISNUMBER(SEARCH("USB WIFI",B395)),
ISNUMBER(SEARCH("POWERBANK",B395)),
ISNUMBER(SEARCH("CARGADOR",B395)),
ISNUMBER(SEARCH("COOLER PARA NB",B395)),
ISNUMBER(SEARCH("SOPORTE PARA NB",B395)),
ISNUMBER(SEARCH("WEBCAM",B395)),
ISNUMBER(SEARCH("WEB CAM",B395)),
ISNUMBER(SEARCH("MOUSE",B395)),
ISNUMBER(SEARCH("TECLADO",B395))
),
"COMPLEMENTO",
IF(
OR(
LEFT(A395,2)="NB",
LEFT(A395,2)="PC",
LEFT(A395,2)="WS",
LEFT(A395,2)="TB",
LEFT(A395,3)="CEL",
LEFT(A395,3)="MON",
LEFT(A395,3)="PRE",
LEFT(A395,3)="PRH",
ISNUMBER(SEARCH("NOTEBOOK",B395)),
ISNUMBER(SEARCH("LAPTOP",B395)),
ISNUMBER(SEARCH("MONITOR",B395)),
ISNUMBER(SEARCH("TABLET",B395)),
ISNUMBER(SEARCH("SMARTPH",B395)),
ISNUMBER(SEARCH("IMPRESORA",B395)),
ISNUMBER(SEARCH("MULTIFUNCIONAL",B395)),
ISNUMBER(SEARCH("AIO",B395))
),
"GANCHO",
"NORMAL"
)
)</f>
        <v>NORMAL</v>
      </c>
    </row>
    <row r="394" spans="1:12" x14ac:dyDescent="0.25">
      <c r="A394" s="3" t="s">
        <v>1103</v>
      </c>
      <c r="B394" s="3" t="s">
        <v>1104</v>
      </c>
      <c r="C394" s="1">
        <v>1</v>
      </c>
      <c r="D394" s="1">
        <v>908</v>
      </c>
      <c r="E394" s="1" t="s">
        <v>56</v>
      </c>
      <c r="F394" s="1" t="s">
        <v>3258</v>
      </c>
      <c r="G394" s="3" t="s">
        <v>1105</v>
      </c>
      <c r="H394" s="11">
        <f>ROUND(
IF(L392="GANCHO",
   IF(I394&lt;=50,I394*1.1+4,IF(I394&lt;=120,I394*1.1+7,IF(I394&lt;=250,I394*1.1+11,I394*1.1+19))),
IF(L392="NORMAL",
   IF(I394&lt;=30,I394*1.15+2,IF(I394&lt;=80,I394*1.15+4,IF(I394&lt;=150,I394*1.15+6,I394*1.15+8))),
IF(L392="COMPLEMENTO",
   IF(I394&lt;=25,I394*1.25+1.5,IF(I394&lt;=60,I394*1.25+3,IF(I394&lt;=120,I394*1.25+4,I394*1.25+5))),
""))),2)</f>
        <v>4295.8999999999996</v>
      </c>
      <c r="I394" s="9">
        <f>($K$2+0.02)*Tabla1[[#This Row],[PRECIO $]]*1.18</f>
        <v>3728.6111999999998</v>
      </c>
      <c r="J394" s="7">
        <f>+Tabla1[[#This Row],[PRECIO EN SOLES]]-Tabla1[[#This Row],[PC]]</f>
        <v>567.28879999999981</v>
      </c>
      <c r="K394" s="15"/>
      <c r="L394" s="15" t="str">
        <f>IF(
OR(
ISNUMBER(SEARCH("BACKPACK",B396)),
ISNUMBER(SEARCH("MOCHILA",B396)),
ISNUMBER(SEARCH("FUNDA",B396)),
ISNUMBER(SEARCH("ESTUCHE",B396)),
ISNUMBER(SEARCH("BOOK COVER",B396)),
ISNUMBER(SEARCH("KEYBOARD PARA TABLET",B396)),
ISNUMBER(SEARCH("FLIP TABLET",B396)),
ISNUMBER(SEARCH("CASE FOR TABLET",B396)),
ISNUMBER(SEARCH("CABLE",B396)),
ISNUMBER(SEARCH("ADAPTADOR",B396)),
ISNUMBER(SEARCH("HUB",B396)),
ISNUMBER(SEARCH("DOCK",B396)),
ISNUMBER(SEARCH("MOUSE PAD",B396)),
ISNUMBER(SEARCH("MOUSEPAD",B396)),
ISNUMBER(SEARCH("SOPORTE",B396)),
ISNUMBER(SEARCH("STAND",B396)),
ISNUMBER(SEARCH("TRAVEL ADAPTER",B396)),
ISNUMBER(SEARCH("RJ45",B396)),
ISNUMBER(SEARCH("USB-C",B396)),
ISNUMBER(SEARCH("USB WIFI",B396)),
ISNUMBER(SEARCH("POWERBANK",B396)),
ISNUMBER(SEARCH("CARGADOR",B396)),
ISNUMBER(SEARCH("COOLER PARA NB",B396)),
ISNUMBER(SEARCH("SOPORTE PARA NB",B396)),
ISNUMBER(SEARCH("WEBCAM",B396)),
ISNUMBER(SEARCH("WEB CAM",B396)),
ISNUMBER(SEARCH("MOUSE",B396)),
ISNUMBER(SEARCH("TECLADO",B396))
),
"COMPLEMENTO",
IF(
OR(
LEFT(A396,2)="NB",
LEFT(A396,2)="PC",
LEFT(A396,2)="WS",
LEFT(A396,2)="TB",
LEFT(A396,3)="CEL",
LEFT(A396,3)="MON",
LEFT(A396,3)="PRE",
LEFT(A396,3)="PRH",
ISNUMBER(SEARCH("NOTEBOOK",B396)),
ISNUMBER(SEARCH("LAPTOP",B396)),
ISNUMBER(SEARCH("MONITOR",B396)),
ISNUMBER(SEARCH("TABLET",B396)),
ISNUMBER(SEARCH("SMARTPH",B396)),
ISNUMBER(SEARCH("IMPRESORA",B396)),
ISNUMBER(SEARCH("MULTIFUNCIONAL",B396)),
ISNUMBER(SEARCH("AIO",B396))
),
"GANCHO",
"NORMAL"
)
)</f>
        <v>NORMAL</v>
      </c>
    </row>
    <row r="395" spans="1:12" x14ac:dyDescent="0.25">
      <c r="A395" s="3" t="s">
        <v>1106</v>
      </c>
      <c r="B395" s="3" t="s">
        <v>1107</v>
      </c>
      <c r="C395" s="1">
        <v>1</v>
      </c>
      <c r="D395" s="1">
        <v>2000</v>
      </c>
      <c r="E395" s="1" t="s">
        <v>56</v>
      </c>
      <c r="F395" s="1" t="s">
        <v>3259</v>
      </c>
      <c r="G395" s="3"/>
      <c r="H395" s="11">
        <f>ROUND(
IF(L393="GANCHO",
   IF(I395&lt;=50,I395*1.1+4,IF(I395&lt;=120,I395*1.1+7,IF(I395&lt;=250,I395*1.1+11,I395*1.1+19))),
IF(L393="NORMAL",
   IF(I395&lt;=30,I395*1.15+2,IF(I395&lt;=80,I395*1.15+4,IF(I395&lt;=150,I395*1.15+6,I395*1.15+8))),
IF(L393="COMPLEMENTO",
   IF(I395&lt;=25,I395*1.25+1.5,IF(I395&lt;=60,I395*1.25+3,IF(I395&lt;=120,I395*1.25+4,I395*1.25+5))),
""))),2)</f>
        <v>9452.7199999999993</v>
      </c>
      <c r="I395" s="9">
        <f>($K$2+0.02)*Tabla1[[#This Row],[PRECIO $]]*1.18</f>
        <v>8212.7999999999993</v>
      </c>
      <c r="J395" s="7">
        <f>+Tabla1[[#This Row],[PRECIO EN SOLES]]-Tabla1[[#This Row],[PC]]</f>
        <v>1239.92</v>
      </c>
      <c r="K395" s="15"/>
      <c r="L395" s="15" t="str">
        <f>IF(
OR(
ISNUMBER(SEARCH("BACKPACK",B397)),
ISNUMBER(SEARCH("MOCHILA",B397)),
ISNUMBER(SEARCH("FUNDA",B397)),
ISNUMBER(SEARCH("ESTUCHE",B397)),
ISNUMBER(SEARCH("BOOK COVER",B397)),
ISNUMBER(SEARCH("KEYBOARD PARA TABLET",B397)),
ISNUMBER(SEARCH("FLIP TABLET",B397)),
ISNUMBER(SEARCH("CASE FOR TABLET",B397)),
ISNUMBER(SEARCH("CABLE",B397)),
ISNUMBER(SEARCH("ADAPTADOR",B397)),
ISNUMBER(SEARCH("HUB",B397)),
ISNUMBER(SEARCH("DOCK",B397)),
ISNUMBER(SEARCH("MOUSE PAD",B397)),
ISNUMBER(SEARCH("MOUSEPAD",B397)),
ISNUMBER(SEARCH("SOPORTE",B397)),
ISNUMBER(SEARCH("STAND",B397)),
ISNUMBER(SEARCH("TRAVEL ADAPTER",B397)),
ISNUMBER(SEARCH("RJ45",B397)),
ISNUMBER(SEARCH("USB-C",B397)),
ISNUMBER(SEARCH("USB WIFI",B397)),
ISNUMBER(SEARCH("POWERBANK",B397)),
ISNUMBER(SEARCH("CARGADOR",B397)),
ISNUMBER(SEARCH("COOLER PARA NB",B397)),
ISNUMBER(SEARCH("SOPORTE PARA NB",B397)),
ISNUMBER(SEARCH("WEBCAM",B397)),
ISNUMBER(SEARCH("WEB CAM",B397)),
ISNUMBER(SEARCH("MOUSE",B397)),
ISNUMBER(SEARCH("TECLADO",B397))
),
"COMPLEMENTO",
IF(
OR(
LEFT(A397,2)="NB",
LEFT(A397,2)="PC",
LEFT(A397,2)="WS",
LEFT(A397,2)="TB",
LEFT(A397,3)="CEL",
LEFT(A397,3)="MON",
LEFT(A397,3)="PRE",
LEFT(A397,3)="PRH",
ISNUMBER(SEARCH("NOTEBOOK",B397)),
ISNUMBER(SEARCH("LAPTOP",B397)),
ISNUMBER(SEARCH("MONITOR",B397)),
ISNUMBER(SEARCH("TABLET",B397)),
ISNUMBER(SEARCH("SMARTPH",B397)),
ISNUMBER(SEARCH("IMPRESORA",B397)),
ISNUMBER(SEARCH("MULTIFUNCIONAL",B397)),
ISNUMBER(SEARCH("AIO",B397))
),
"GANCHO",
"NORMAL"
)
)</f>
        <v>NORMAL</v>
      </c>
    </row>
    <row r="396" spans="1:12" x14ac:dyDescent="0.25">
      <c r="A396" s="3" t="s">
        <v>1108</v>
      </c>
      <c r="B396" s="3" t="s">
        <v>1109</v>
      </c>
      <c r="C396" s="1">
        <v>5</v>
      </c>
      <c r="D396" s="1">
        <v>42</v>
      </c>
      <c r="E396" s="1" t="s">
        <v>148</v>
      </c>
      <c r="F396" s="1" t="s">
        <v>3260</v>
      </c>
      <c r="G396" s="3"/>
      <c r="H396" s="11">
        <f>ROUND(
IF(L394="GANCHO",
   IF(I396&lt;=50,I396*1.1+4,IF(I396&lt;=120,I396*1.1+7,IF(I396&lt;=250,I396*1.1+11,I396*1.1+19))),
IF(L394="NORMAL",
   IF(I396&lt;=30,I396*1.15+2,IF(I396&lt;=80,I396*1.15+4,IF(I396&lt;=150,I396*1.15+6,I396*1.15+8))),
IF(L394="COMPLEMENTO",
   IF(I396&lt;=25,I396*1.25+1.5,IF(I396&lt;=60,I396*1.25+3,IF(I396&lt;=120,I396*1.25+4,I396*1.25+5))),
""))),2)</f>
        <v>206.34</v>
      </c>
      <c r="I396" s="9">
        <f>($K$2+0.02)*Tabla1[[#This Row],[PRECIO $]]*1.18</f>
        <v>172.46879999999999</v>
      </c>
      <c r="J396" s="7">
        <f>+Tabla1[[#This Row],[PRECIO EN SOLES]]-Tabla1[[#This Row],[PC]]</f>
        <v>33.871200000000016</v>
      </c>
      <c r="K396" s="15"/>
      <c r="L396" s="15" t="str">
        <f>IF(
OR(
ISNUMBER(SEARCH("BACKPACK",B398)),
ISNUMBER(SEARCH("MOCHILA",B398)),
ISNUMBER(SEARCH("FUNDA",B398)),
ISNUMBER(SEARCH("ESTUCHE",B398)),
ISNUMBER(SEARCH("BOOK COVER",B398)),
ISNUMBER(SEARCH("KEYBOARD PARA TABLET",B398)),
ISNUMBER(SEARCH("FLIP TABLET",B398)),
ISNUMBER(SEARCH("CASE FOR TABLET",B398)),
ISNUMBER(SEARCH("CABLE",B398)),
ISNUMBER(SEARCH("ADAPTADOR",B398)),
ISNUMBER(SEARCH("HUB",B398)),
ISNUMBER(SEARCH("DOCK",B398)),
ISNUMBER(SEARCH("MOUSE PAD",B398)),
ISNUMBER(SEARCH("MOUSEPAD",B398)),
ISNUMBER(SEARCH("SOPORTE",B398)),
ISNUMBER(SEARCH("STAND",B398)),
ISNUMBER(SEARCH("TRAVEL ADAPTER",B398)),
ISNUMBER(SEARCH("RJ45",B398)),
ISNUMBER(SEARCH("USB-C",B398)),
ISNUMBER(SEARCH("USB WIFI",B398)),
ISNUMBER(SEARCH("POWERBANK",B398)),
ISNUMBER(SEARCH("CARGADOR",B398)),
ISNUMBER(SEARCH("COOLER PARA NB",B398)),
ISNUMBER(SEARCH("SOPORTE PARA NB",B398)),
ISNUMBER(SEARCH("WEBCAM",B398)),
ISNUMBER(SEARCH("WEB CAM",B398)),
ISNUMBER(SEARCH("MOUSE",B398)),
ISNUMBER(SEARCH("TECLADO",B398))
),
"COMPLEMENTO",
IF(
OR(
LEFT(A398,2)="NB",
LEFT(A398,2)="PC",
LEFT(A398,2)="WS",
LEFT(A398,2)="TB",
LEFT(A398,3)="CEL",
LEFT(A398,3)="MON",
LEFT(A398,3)="PRE",
LEFT(A398,3)="PRH",
ISNUMBER(SEARCH("NOTEBOOK",B398)),
ISNUMBER(SEARCH("LAPTOP",B398)),
ISNUMBER(SEARCH("MONITOR",B398)),
ISNUMBER(SEARCH("TABLET",B398)),
ISNUMBER(SEARCH("SMARTPH",B398)),
ISNUMBER(SEARCH("IMPRESORA",B398)),
ISNUMBER(SEARCH("MULTIFUNCIONAL",B398)),
ISNUMBER(SEARCH("AIO",B398))
),
"GANCHO",
"NORMAL"
)
)</f>
        <v>NORMAL</v>
      </c>
    </row>
    <row r="397" spans="1:12" x14ac:dyDescent="0.25">
      <c r="A397" s="3" t="s">
        <v>1110</v>
      </c>
      <c r="B397" s="3" t="s">
        <v>1111</v>
      </c>
      <c r="C397" s="1">
        <v>3</v>
      </c>
      <c r="D397" s="1">
        <v>100</v>
      </c>
      <c r="E397" s="1" t="s">
        <v>148</v>
      </c>
      <c r="F397" s="1" t="s">
        <v>3261</v>
      </c>
      <c r="G397" s="3" t="s">
        <v>1112</v>
      </c>
      <c r="H397" s="11">
        <f>ROUND(
IF(L395="GANCHO",
   IF(I397&lt;=50,I397*1.1+4,IF(I397&lt;=120,I397*1.1+7,IF(I397&lt;=250,I397*1.1+11,I397*1.1+19))),
IF(L395="NORMAL",
   IF(I397&lt;=30,I397*1.15+2,IF(I397&lt;=80,I397*1.15+4,IF(I397&lt;=150,I397*1.15+6,I397*1.15+8))),
IF(L395="COMPLEMENTO",
   IF(I397&lt;=25,I397*1.25+1.5,IF(I397&lt;=60,I397*1.25+3,IF(I397&lt;=120,I397*1.25+4,I397*1.25+5))),
""))),2)</f>
        <v>480.24</v>
      </c>
      <c r="I397" s="9">
        <f>($K$2+0.02)*Tabla1[[#This Row],[PRECIO $]]*1.18</f>
        <v>410.64</v>
      </c>
      <c r="J397" s="7">
        <f>+Tabla1[[#This Row],[PRECIO EN SOLES]]-Tabla1[[#This Row],[PC]]</f>
        <v>69.600000000000023</v>
      </c>
      <c r="K397" s="15"/>
      <c r="L397" s="15" t="str">
        <f>IF(
OR(
ISNUMBER(SEARCH("BACKPACK",B399)),
ISNUMBER(SEARCH("MOCHILA",B399)),
ISNUMBER(SEARCH("FUNDA",B399)),
ISNUMBER(SEARCH("ESTUCHE",B399)),
ISNUMBER(SEARCH("BOOK COVER",B399)),
ISNUMBER(SEARCH("KEYBOARD PARA TABLET",B399)),
ISNUMBER(SEARCH("FLIP TABLET",B399)),
ISNUMBER(SEARCH("CASE FOR TABLET",B399)),
ISNUMBER(SEARCH("CABLE",B399)),
ISNUMBER(SEARCH("ADAPTADOR",B399)),
ISNUMBER(SEARCH("HUB",B399)),
ISNUMBER(SEARCH("DOCK",B399)),
ISNUMBER(SEARCH("MOUSE PAD",B399)),
ISNUMBER(SEARCH("MOUSEPAD",B399)),
ISNUMBER(SEARCH("SOPORTE",B399)),
ISNUMBER(SEARCH("STAND",B399)),
ISNUMBER(SEARCH("TRAVEL ADAPTER",B399)),
ISNUMBER(SEARCH("RJ45",B399)),
ISNUMBER(SEARCH("USB-C",B399)),
ISNUMBER(SEARCH("USB WIFI",B399)),
ISNUMBER(SEARCH("POWERBANK",B399)),
ISNUMBER(SEARCH("CARGADOR",B399)),
ISNUMBER(SEARCH("COOLER PARA NB",B399)),
ISNUMBER(SEARCH("SOPORTE PARA NB",B399)),
ISNUMBER(SEARCH("WEBCAM",B399)),
ISNUMBER(SEARCH("WEB CAM",B399)),
ISNUMBER(SEARCH("MOUSE",B399)),
ISNUMBER(SEARCH("TECLADO",B399))
),
"COMPLEMENTO",
IF(
OR(
LEFT(A399,2)="NB",
LEFT(A399,2)="PC",
LEFT(A399,2)="WS",
LEFT(A399,2)="TB",
LEFT(A399,3)="CEL",
LEFT(A399,3)="MON",
LEFT(A399,3)="PRE",
LEFT(A399,3)="PRH",
ISNUMBER(SEARCH("NOTEBOOK",B399)),
ISNUMBER(SEARCH("LAPTOP",B399)),
ISNUMBER(SEARCH("MONITOR",B399)),
ISNUMBER(SEARCH("TABLET",B399)),
ISNUMBER(SEARCH("SMARTPH",B399)),
ISNUMBER(SEARCH("IMPRESORA",B399)),
ISNUMBER(SEARCH("MULTIFUNCIONAL",B399)),
ISNUMBER(SEARCH("AIO",B399))
),
"GANCHO",
"NORMAL"
)
)</f>
        <v>NORMAL</v>
      </c>
    </row>
    <row r="398" spans="1:12" x14ac:dyDescent="0.25">
      <c r="A398" s="3" t="s">
        <v>1113</v>
      </c>
      <c r="B398" s="3" t="s">
        <v>1114</v>
      </c>
      <c r="C398" s="1">
        <v>20</v>
      </c>
      <c r="D398" s="1">
        <v>100</v>
      </c>
      <c r="E398" s="1" t="s">
        <v>837</v>
      </c>
      <c r="F398" s="1" t="s">
        <v>3262</v>
      </c>
      <c r="G398" s="3"/>
      <c r="H398" s="11">
        <f>ROUND(
IF(L396="GANCHO",
   IF(I398&lt;=50,I398*1.1+4,IF(I398&lt;=120,I398*1.1+7,IF(I398&lt;=250,I398*1.1+11,I398*1.1+19))),
IF(L396="NORMAL",
   IF(I398&lt;=30,I398*1.15+2,IF(I398&lt;=80,I398*1.15+4,IF(I398&lt;=150,I398*1.15+6,I398*1.15+8))),
IF(L396="COMPLEMENTO",
   IF(I398&lt;=25,I398*1.25+1.5,IF(I398&lt;=60,I398*1.25+3,IF(I398&lt;=120,I398*1.25+4,I398*1.25+5))),
""))),2)</f>
        <v>480.24</v>
      </c>
      <c r="I398" s="9">
        <f>($K$2+0.02)*Tabla1[[#This Row],[PRECIO $]]*1.18</f>
        <v>410.64</v>
      </c>
      <c r="J398" s="7">
        <f>+Tabla1[[#This Row],[PRECIO EN SOLES]]-Tabla1[[#This Row],[PC]]</f>
        <v>69.600000000000023</v>
      </c>
      <c r="K398" s="15"/>
      <c r="L398" s="15" t="str">
        <f>IF(
OR(
ISNUMBER(SEARCH("BACKPACK",B400)),
ISNUMBER(SEARCH("MOCHILA",B400)),
ISNUMBER(SEARCH("FUNDA",B400)),
ISNUMBER(SEARCH("ESTUCHE",B400)),
ISNUMBER(SEARCH("BOOK COVER",B400)),
ISNUMBER(SEARCH("KEYBOARD PARA TABLET",B400)),
ISNUMBER(SEARCH("FLIP TABLET",B400)),
ISNUMBER(SEARCH("CASE FOR TABLET",B400)),
ISNUMBER(SEARCH("CABLE",B400)),
ISNUMBER(SEARCH("ADAPTADOR",B400)),
ISNUMBER(SEARCH("HUB",B400)),
ISNUMBER(SEARCH("DOCK",B400)),
ISNUMBER(SEARCH("MOUSE PAD",B400)),
ISNUMBER(SEARCH("MOUSEPAD",B400)),
ISNUMBER(SEARCH("SOPORTE",B400)),
ISNUMBER(SEARCH("STAND",B400)),
ISNUMBER(SEARCH("TRAVEL ADAPTER",B400)),
ISNUMBER(SEARCH("RJ45",B400)),
ISNUMBER(SEARCH("USB-C",B400)),
ISNUMBER(SEARCH("USB WIFI",B400)),
ISNUMBER(SEARCH("POWERBANK",B400)),
ISNUMBER(SEARCH("CARGADOR",B400)),
ISNUMBER(SEARCH("COOLER PARA NB",B400)),
ISNUMBER(SEARCH("SOPORTE PARA NB",B400)),
ISNUMBER(SEARCH("WEBCAM",B400)),
ISNUMBER(SEARCH("WEB CAM",B400)),
ISNUMBER(SEARCH("MOUSE",B400)),
ISNUMBER(SEARCH("TECLADO",B400))
),
"COMPLEMENTO",
IF(
OR(
LEFT(A400,2)="NB",
LEFT(A400,2)="PC",
LEFT(A400,2)="WS",
LEFT(A400,2)="TB",
LEFT(A400,3)="CEL",
LEFT(A400,3)="MON",
LEFT(A400,3)="PRE",
LEFT(A400,3)="PRH",
ISNUMBER(SEARCH("NOTEBOOK",B400)),
ISNUMBER(SEARCH("LAPTOP",B400)),
ISNUMBER(SEARCH("MONITOR",B400)),
ISNUMBER(SEARCH("TABLET",B400)),
ISNUMBER(SEARCH("SMARTPH",B400)),
ISNUMBER(SEARCH("IMPRESORA",B400)),
ISNUMBER(SEARCH("MULTIFUNCIONAL",B400)),
ISNUMBER(SEARCH("AIO",B400))
),
"GANCHO",
"NORMAL"
)
)</f>
        <v>NORMAL</v>
      </c>
    </row>
    <row r="399" spans="1:12" x14ac:dyDescent="0.25">
      <c r="A399" s="3" t="s">
        <v>1115</v>
      </c>
      <c r="B399" s="3" t="s">
        <v>1116</v>
      </c>
      <c r="C399" s="1">
        <v>0</v>
      </c>
      <c r="D399" s="1">
        <v>9999999.9900000002</v>
      </c>
      <c r="E399" s="1" t="s">
        <v>837</v>
      </c>
      <c r="F399" s="1" t="s">
        <v>3263</v>
      </c>
      <c r="G399" s="3"/>
      <c r="H399" s="11">
        <f>ROUND(
IF(L397="GANCHO",
   IF(I399&lt;=50,I399*1.1+4,IF(I399&lt;=120,I399*1.1+7,IF(I399&lt;=250,I399*1.1+11,I399*1.1+19))),
IF(L397="NORMAL",
   IF(I399&lt;=30,I399*1.15+2,IF(I399&lt;=80,I399*1.15+4,IF(I399&lt;=150,I399*1.15+6,I399*1.15+8))),
IF(L397="COMPLEMENTO",
   IF(I399&lt;=25,I399*1.25+1.5,IF(I399&lt;=60,I399*1.25+3,IF(I399&lt;=120,I399*1.25+4,I399*1.25+5))),
""))),2)</f>
        <v>47223607.950000003</v>
      </c>
      <c r="I399" s="9">
        <f>($K$2+0.02)*Tabla1[[#This Row],[PRECIO $]]*1.18</f>
        <v>41063999.958935998</v>
      </c>
      <c r="J399" s="7">
        <f>+Tabla1[[#This Row],[PRECIO EN SOLES]]-Tabla1[[#This Row],[PC]]</f>
        <v>6159607.9910640046</v>
      </c>
      <c r="K399" s="15"/>
      <c r="L399" s="15" t="str">
        <f>IF(
OR(
ISNUMBER(SEARCH("BACKPACK",B401)),
ISNUMBER(SEARCH("MOCHILA",B401)),
ISNUMBER(SEARCH("FUNDA",B401)),
ISNUMBER(SEARCH("ESTUCHE",B401)),
ISNUMBER(SEARCH("BOOK COVER",B401)),
ISNUMBER(SEARCH("KEYBOARD PARA TABLET",B401)),
ISNUMBER(SEARCH("FLIP TABLET",B401)),
ISNUMBER(SEARCH("CASE FOR TABLET",B401)),
ISNUMBER(SEARCH("CABLE",B401)),
ISNUMBER(SEARCH("ADAPTADOR",B401)),
ISNUMBER(SEARCH("HUB",B401)),
ISNUMBER(SEARCH("DOCK",B401)),
ISNUMBER(SEARCH("MOUSE PAD",B401)),
ISNUMBER(SEARCH("MOUSEPAD",B401)),
ISNUMBER(SEARCH("SOPORTE",B401)),
ISNUMBER(SEARCH("STAND",B401)),
ISNUMBER(SEARCH("TRAVEL ADAPTER",B401)),
ISNUMBER(SEARCH("RJ45",B401)),
ISNUMBER(SEARCH("USB-C",B401)),
ISNUMBER(SEARCH("USB WIFI",B401)),
ISNUMBER(SEARCH("POWERBANK",B401)),
ISNUMBER(SEARCH("CARGADOR",B401)),
ISNUMBER(SEARCH("COOLER PARA NB",B401)),
ISNUMBER(SEARCH("SOPORTE PARA NB",B401)),
ISNUMBER(SEARCH("WEBCAM",B401)),
ISNUMBER(SEARCH("WEB CAM",B401)),
ISNUMBER(SEARCH("MOUSE",B401)),
ISNUMBER(SEARCH("TECLADO",B401))
),
"COMPLEMENTO",
IF(
OR(
LEFT(A401,2)="NB",
LEFT(A401,2)="PC",
LEFT(A401,2)="WS",
LEFT(A401,2)="TB",
LEFT(A401,3)="CEL",
LEFT(A401,3)="MON",
LEFT(A401,3)="PRE",
LEFT(A401,3)="PRH",
ISNUMBER(SEARCH("NOTEBOOK",B401)),
ISNUMBER(SEARCH("LAPTOP",B401)),
ISNUMBER(SEARCH("MONITOR",B401)),
ISNUMBER(SEARCH("TABLET",B401)),
ISNUMBER(SEARCH("SMARTPH",B401)),
ISNUMBER(SEARCH("IMPRESORA",B401)),
ISNUMBER(SEARCH("MULTIFUNCIONAL",B401)),
ISNUMBER(SEARCH("AIO",B401))
),
"GANCHO",
"NORMAL"
)
)</f>
        <v>NORMAL</v>
      </c>
    </row>
    <row r="400" spans="1:12" x14ac:dyDescent="0.25">
      <c r="A400" s="3" t="s">
        <v>1117</v>
      </c>
      <c r="B400" s="3" t="s">
        <v>1118</v>
      </c>
      <c r="C400" s="1">
        <v>1</v>
      </c>
      <c r="D400" s="1">
        <v>2000</v>
      </c>
      <c r="E400" s="1" t="s">
        <v>1102</v>
      </c>
      <c r="F400" s="1" t="s">
        <v>3264</v>
      </c>
      <c r="G400" s="3"/>
      <c r="H400" s="11">
        <f>ROUND(
IF(L398="GANCHO",
   IF(I400&lt;=50,I400*1.1+4,IF(I400&lt;=120,I400*1.1+7,IF(I400&lt;=250,I400*1.1+11,I400*1.1+19))),
IF(L398="NORMAL",
   IF(I400&lt;=30,I400*1.15+2,IF(I400&lt;=80,I400*1.15+4,IF(I400&lt;=150,I400*1.15+6,I400*1.15+8))),
IF(L398="COMPLEMENTO",
   IF(I400&lt;=25,I400*1.25+1.5,IF(I400&lt;=60,I400*1.25+3,IF(I400&lt;=120,I400*1.25+4,I400*1.25+5))),
""))),2)</f>
        <v>9452.7199999999993</v>
      </c>
      <c r="I400" s="9">
        <f>($K$2+0.02)*Tabla1[[#This Row],[PRECIO $]]*1.18</f>
        <v>8212.7999999999993</v>
      </c>
      <c r="J400" s="7">
        <f>+Tabla1[[#This Row],[PRECIO EN SOLES]]-Tabla1[[#This Row],[PC]]</f>
        <v>1239.92</v>
      </c>
      <c r="K400" s="15"/>
      <c r="L400" s="15" t="str">
        <f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401" spans="1:12" x14ac:dyDescent="0.25">
      <c r="A401" s="3" t="s">
        <v>1119</v>
      </c>
      <c r="B401" s="3" t="s">
        <v>1120</v>
      </c>
      <c r="C401" s="1">
        <v>1</v>
      </c>
      <c r="D401" s="1">
        <v>65.27</v>
      </c>
      <c r="E401" s="1" t="s">
        <v>1102</v>
      </c>
      <c r="F401" s="1" t="s">
        <v>3265</v>
      </c>
      <c r="G401" s="3"/>
      <c r="H401" s="11">
        <f>ROUND(
IF(L399="GANCHO",
   IF(I401&lt;=50,I401*1.1+4,IF(I401&lt;=120,I401*1.1+7,IF(I401&lt;=250,I401*1.1+11,I401*1.1+19))),
IF(L399="NORMAL",
   IF(I401&lt;=30,I401*1.15+2,IF(I401&lt;=80,I401*1.15+4,IF(I401&lt;=150,I401*1.15+6,I401*1.15+8))),
IF(L399="COMPLEMENTO",
   IF(I401&lt;=25,I401*1.25+1.5,IF(I401&lt;=60,I401*1.25+3,IF(I401&lt;=120,I401*1.25+4,I401*1.25+5))),
""))),2)</f>
        <v>316.23</v>
      </c>
      <c r="I401" s="9">
        <f>($K$2+0.02)*Tabla1[[#This Row],[PRECIO $]]*1.18</f>
        <v>268.02472799999998</v>
      </c>
      <c r="J401" s="7">
        <f>+Tabla1[[#This Row],[PRECIO EN SOLES]]-Tabla1[[#This Row],[PC]]</f>
        <v>48.205272000000036</v>
      </c>
      <c r="K401" s="15"/>
      <c r="L401" s="15" t="str">
        <f>IF(
OR(
ISNUMBER(SEARCH("BACKPACK",B403)),
ISNUMBER(SEARCH("MOCHILA",B403)),
ISNUMBER(SEARCH("FUNDA",B403)),
ISNUMBER(SEARCH("ESTUCHE",B403)),
ISNUMBER(SEARCH("BOOK COVER",B403)),
ISNUMBER(SEARCH("KEYBOARD PARA TABLET",B403)),
ISNUMBER(SEARCH("FLIP TABLET",B403)),
ISNUMBER(SEARCH("CASE FOR TABLET",B403)),
ISNUMBER(SEARCH("CABLE",B403)),
ISNUMBER(SEARCH("ADAPTADOR",B403)),
ISNUMBER(SEARCH("HUB",B403)),
ISNUMBER(SEARCH("DOCK",B403)),
ISNUMBER(SEARCH("MOUSE PAD",B403)),
ISNUMBER(SEARCH("MOUSEPAD",B403)),
ISNUMBER(SEARCH("SOPORTE",B403)),
ISNUMBER(SEARCH("STAND",B403)),
ISNUMBER(SEARCH("TRAVEL ADAPTER",B403)),
ISNUMBER(SEARCH("RJ45",B403)),
ISNUMBER(SEARCH("USB-C",B403)),
ISNUMBER(SEARCH("USB WIFI",B403)),
ISNUMBER(SEARCH("POWERBANK",B403)),
ISNUMBER(SEARCH("CARGADOR",B403)),
ISNUMBER(SEARCH("COOLER PARA NB",B403)),
ISNUMBER(SEARCH("SOPORTE PARA NB",B403)),
ISNUMBER(SEARCH("WEBCAM",B403)),
ISNUMBER(SEARCH("WEB CAM",B403)),
ISNUMBER(SEARCH("MOUSE",B403)),
ISNUMBER(SEARCH("TECLADO",B403))
),
"COMPLEMENTO",
IF(
OR(
LEFT(A403,2)="NB",
LEFT(A403,2)="PC",
LEFT(A403,2)="WS",
LEFT(A403,2)="TB",
LEFT(A403,3)="CEL",
LEFT(A403,3)="MON",
LEFT(A403,3)="PRE",
LEFT(A403,3)="PRH",
ISNUMBER(SEARCH("NOTEBOOK",B403)),
ISNUMBER(SEARCH("LAPTOP",B403)),
ISNUMBER(SEARCH("MONITOR",B403)),
ISNUMBER(SEARCH("TABLET",B403)),
ISNUMBER(SEARCH("SMARTPH",B403)),
ISNUMBER(SEARCH("IMPRESORA",B403)),
ISNUMBER(SEARCH("MULTIFUNCIONAL",B403)),
ISNUMBER(SEARCH("AIO",B403))
),
"GANCHO",
"NORMAL"
)
)</f>
        <v>NORMAL</v>
      </c>
    </row>
    <row r="402" spans="1:12" x14ac:dyDescent="0.25">
      <c r="A402" s="3" t="s">
        <v>1121</v>
      </c>
      <c r="B402" s="3" t="s">
        <v>1122</v>
      </c>
      <c r="C402" s="1">
        <v>1</v>
      </c>
      <c r="D402" s="1">
        <v>300</v>
      </c>
      <c r="E402" s="1" t="s">
        <v>1123</v>
      </c>
      <c r="F402" s="1" t="s">
        <v>3266</v>
      </c>
      <c r="G402" s="3" t="s">
        <v>1124</v>
      </c>
      <c r="H402" s="11">
        <f>ROUND(
IF(L400="GANCHO",
   IF(I402&lt;=50,I402*1.1+4,IF(I402&lt;=120,I402*1.1+7,IF(I402&lt;=250,I402*1.1+11,I402*1.1+19))),
IF(L400="NORMAL",
   IF(I402&lt;=30,I402*1.15+2,IF(I402&lt;=80,I402*1.15+4,IF(I402&lt;=150,I402*1.15+6,I402*1.15+8))),
IF(L400="COMPLEMENTO",
   IF(I402&lt;=25,I402*1.25+1.5,IF(I402&lt;=60,I402*1.25+3,IF(I402&lt;=120,I402*1.25+4,I402*1.25+5))),
""))),2)</f>
        <v>1424.71</v>
      </c>
      <c r="I402" s="9">
        <f>($K$2+0.02)*Tabla1[[#This Row],[PRECIO $]]*1.18</f>
        <v>1231.9199999999998</v>
      </c>
      <c r="J402" s="7">
        <f>+Tabla1[[#This Row],[PRECIO EN SOLES]]-Tabla1[[#This Row],[PC]]</f>
        <v>192.79000000000019</v>
      </c>
      <c r="K402" s="15"/>
      <c r="L402" s="15" t="str">
        <f>IF(
OR(
ISNUMBER(SEARCH("BACKPACK",B404)),
ISNUMBER(SEARCH("MOCHILA",B404)),
ISNUMBER(SEARCH("FUNDA",B404)),
ISNUMBER(SEARCH("ESTUCHE",B404)),
ISNUMBER(SEARCH("BOOK COVER",B404)),
ISNUMBER(SEARCH("KEYBOARD PARA TABLET",B404)),
ISNUMBER(SEARCH("FLIP TABLET",B404)),
ISNUMBER(SEARCH("CASE FOR TABLET",B404)),
ISNUMBER(SEARCH("CABLE",B404)),
ISNUMBER(SEARCH("ADAPTADOR",B404)),
ISNUMBER(SEARCH("HUB",B404)),
ISNUMBER(SEARCH("DOCK",B404)),
ISNUMBER(SEARCH("MOUSE PAD",B404)),
ISNUMBER(SEARCH("MOUSEPAD",B404)),
ISNUMBER(SEARCH("SOPORTE",B404)),
ISNUMBER(SEARCH("STAND",B404)),
ISNUMBER(SEARCH("TRAVEL ADAPTER",B404)),
ISNUMBER(SEARCH("RJ45",B404)),
ISNUMBER(SEARCH("USB-C",B404)),
ISNUMBER(SEARCH("USB WIFI",B404)),
ISNUMBER(SEARCH("POWERBANK",B404)),
ISNUMBER(SEARCH("CARGADOR",B404)),
ISNUMBER(SEARCH("COOLER PARA NB",B404)),
ISNUMBER(SEARCH("SOPORTE PARA NB",B404)),
ISNUMBER(SEARCH("WEBCAM",B404)),
ISNUMBER(SEARCH("WEB CAM",B404)),
ISNUMBER(SEARCH("MOUSE",B404)),
ISNUMBER(SEARCH("TECLADO",B404))
),
"COMPLEMENTO",
IF(
OR(
LEFT(A404,2)="NB",
LEFT(A404,2)="PC",
LEFT(A404,2)="WS",
LEFT(A404,2)="TB",
LEFT(A404,3)="CEL",
LEFT(A404,3)="MON",
LEFT(A404,3)="PRE",
LEFT(A404,3)="PRH",
ISNUMBER(SEARCH("NOTEBOOK",B404)),
ISNUMBER(SEARCH("LAPTOP",B404)),
ISNUMBER(SEARCH("MONITOR",B404)),
ISNUMBER(SEARCH("TABLET",B404)),
ISNUMBER(SEARCH("SMARTPH",B404)),
ISNUMBER(SEARCH("IMPRESORA",B404)),
ISNUMBER(SEARCH("MULTIFUNCIONAL",B404)),
ISNUMBER(SEARCH("AIO",B404))
),
"GANCHO",
"NORMAL"
)
)</f>
        <v>NORMAL</v>
      </c>
    </row>
    <row r="403" spans="1:12" x14ac:dyDescent="0.25">
      <c r="A403" s="3" t="s">
        <v>1125</v>
      </c>
      <c r="B403" s="3" t="s">
        <v>1126</v>
      </c>
      <c r="C403" s="1">
        <v>2</v>
      </c>
      <c r="D403" s="1">
        <v>522</v>
      </c>
      <c r="E403" s="1" t="s">
        <v>1102</v>
      </c>
      <c r="F403" s="1" t="s">
        <v>3267</v>
      </c>
      <c r="G403" s="3"/>
      <c r="H403" s="11">
        <f>ROUND(
IF(L401="GANCHO",
   IF(I403&lt;=50,I403*1.1+4,IF(I403&lt;=120,I403*1.1+7,IF(I403&lt;=250,I403*1.1+11,I403*1.1+19))),
IF(L401="NORMAL",
   IF(I403&lt;=30,I403*1.15+2,IF(I403&lt;=80,I403*1.15+4,IF(I403&lt;=150,I403*1.15+6,I403*1.15+8))),
IF(L401="COMPLEMENTO",
   IF(I403&lt;=25,I403*1.25+1.5,IF(I403&lt;=60,I403*1.25+3,IF(I403&lt;=120,I403*1.25+4,I403*1.25+5))),
""))),2)</f>
        <v>2473.0700000000002</v>
      </c>
      <c r="I403" s="9">
        <f>($K$2+0.02)*Tabla1[[#This Row],[PRECIO $]]*1.18</f>
        <v>2143.5407999999998</v>
      </c>
      <c r="J403" s="7">
        <f>+Tabla1[[#This Row],[PRECIO EN SOLES]]-Tabla1[[#This Row],[PC]]</f>
        <v>329.5292000000004</v>
      </c>
      <c r="K403" s="15"/>
      <c r="L403" s="15" t="str">
        <f>IF(
OR(
ISNUMBER(SEARCH("BACKPACK",B405)),
ISNUMBER(SEARCH("MOCHILA",B405)),
ISNUMBER(SEARCH("FUNDA",B405)),
ISNUMBER(SEARCH("ESTUCHE",B405)),
ISNUMBER(SEARCH("BOOK COVER",B405)),
ISNUMBER(SEARCH("KEYBOARD PARA TABLET",B405)),
ISNUMBER(SEARCH("FLIP TABLET",B405)),
ISNUMBER(SEARCH("CASE FOR TABLET",B405)),
ISNUMBER(SEARCH("CABLE",B405)),
ISNUMBER(SEARCH("ADAPTADOR",B405)),
ISNUMBER(SEARCH("HUB",B405)),
ISNUMBER(SEARCH("DOCK",B405)),
ISNUMBER(SEARCH("MOUSE PAD",B405)),
ISNUMBER(SEARCH("MOUSEPAD",B405)),
ISNUMBER(SEARCH("SOPORTE",B405)),
ISNUMBER(SEARCH("STAND",B405)),
ISNUMBER(SEARCH("TRAVEL ADAPTER",B405)),
ISNUMBER(SEARCH("RJ45",B405)),
ISNUMBER(SEARCH("USB-C",B405)),
ISNUMBER(SEARCH("USB WIFI",B405)),
ISNUMBER(SEARCH("POWERBANK",B405)),
ISNUMBER(SEARCH("CARGADOR",B405)),
ISNUMBER(SEARCH("COOLER PARA NB",B405)),
ISNUMBER(SEARCH("SOPORTE PARA NB",B405)),
ISNUMBER(SEARCH("WEBCAM",B405)),
ISNUMBER(SEARCH("WEB CAM",B405)),
ISNUMBER(SEARCH("MOUSE",B405)),
ISNUMBER(SEARCH("TECLADO",B405))
),
"COMPLEMENTO",
IF(
OR(
LEFT(A405,2)="NB",
LEFT(A405,2)="PC",
LEFT(A405,2)="WS",
LEFT(A405,2)="TB",
LEFT(A405,3)="CEL",
LEFT(A405,3)="MON",
LEFT(A405,3)="PRE",
LEFT(A405,3)="PRH",
ISNUMBER(SEARCH("NOTEBOOK",B405)),
ISNUMBER(SEARCH("LAPTOP",B405)),
ISNUMBER(SEARCH("MONITOR",B405)),
ISNUMBER(SEARCH("TABLET",B405)),
ISNUMBER(SEARCH("SMARTPH",B405)),
ISNUMBER(SEARCH("IMPRESORA",B405)),
ISNUMBER(SEARCH("MULTIFUNCIONAL",B405)),
ISNUMBER(SEARCH("AIO",B405))
),
"GANCHO",
"NORMAL"
)
)</f>
        <v>NORMAL</v>
      </c>
    </row>
    <row r="404" spans="1:12" x14ac:dyDescent="0.25">
      <c r="A404" s="3" t="s">
        <v>1127</v>
      </c>
      <c r="B404" s="3" t="s">
        <v>1128</v>
      </c>
      <c r="C404" s="1">
        <v>0</v>
      </c>
      <c r="D404" s="1">
        <v>350</v>
      </c>
      <c r="E404" s="1" t="s">
        <v>1102</v>
      </c>
      <c r="F404" s="1" t="s">
        <v>3268</v>
      </c>
      <c r="G404" s="3"/>
      <c r="H404" s="11">
        <f>ROUND(
IF(L402="GANCHO",
   IF(I404&lt;=50,I404*1.1+4,IF(I404&lt;=120,I404*1.1+7,IF(I404&lt;=250,I404*1.1+11,I404*1.1+19))),
IF(L402="NORMAL",
   IF(I404&lt;=30,I404*1.15+2,IF(I404&lt;=80,I404*1.15+4,IF(I404&lt;=150,I404*1.15+6,I404*1.15+8))),
IF(L402="COMPLEMENTO",
   IF(I404&lt;=25,I404*1.25+1.5,IF(I404&lt;=60,I404*1.25+3,IF(I404&lt;=120,I404*1.25+4,I404*1.25+5))),
""))),2)</f>
        <v>1660.83</v>
      </c>
      <c r="I404" s="9">
        <f>($K$2+0.02)*Tabla1[[#This Row],[PRECIO $]]*1.18</f>
        <v>1437.24</v>
      </c>
      <c r="J404" s="7">
        <f>+Tabla1[[#This Row],[PRECIO EN SOLES]]-Tabla1[[#This Row],[PC]]</f>
        <v>223.58999999999992</v>
      </c>
      <c r="K404" s="15"/>
      <c r="L404" s="15" t="str">
        <f>IF(
OR(
ISNUMBER(SEARCH("BACKPACK",B406)),
ISNUMBER(SEARCH("MOCHILA",B406)),
ISNUMBER(SEARCH("FUNDA",B406)),
ISNUMBER(SEARCH("ESTUCHE",B406)),
ISNUMBER(SEARCH("BOOK COVER",B406)),
ISNUMBER(SEARCH("KEYBOARD PARA TABLET",B406)),
ISNUMBER(SEARCH("FLIP TABLET",B406)),
ISNUMBER(SEARCH("CASE FOR TABLET",B406)),
ISNUMBER(SEARCH("CABLE",B406)),
ISNUMBER(SEARCH("ADAPTADOR",B406)),
ISNUMBER(SEARCH("HUB",B406)),
ISNUMBER(SEARCH("DOCK",B406)),
ISNUMBER(SEARCH("MOUSE PAD",B406)),
ISNUMBER(SEARCH("MOUSEPAD",B406)),
ISNUMBER(SEARCH("SOPORTE",B406)),
ISNUMBER(SEARCH("STAND",B406)),
ISNUMBER(SEARCH("TRAVEL ADAPTER",B406)),
ISNUMBER(SEARCH("RJ45",B406)),
ISNUMBER(SEARCH("USB-C",B406)),
ISNUMBER(SEARCH("USB WIFI",B406)),
ISNUMBER(SEARCH("POWERBANK",B406)),
ISNUMBER(SEARCH("CARGADOR",B406)),
ISNUMBER(SEARCH("COOLER PARA NB",B406)),
ISNUMBER(SEARCH("SOPORTE PARA NB",B406)),
ISNUMBER(SEARCH("WEBCAM",B406)),
ISNUMBER(SEARCH("WEB CAM",B406)),
ISNUMBER(SEARCH("MOUSE",B406)),
ISNUMBER(SEARCH("TECLADO",B406))
),
"COMPLEMENTO",
IF(
OR(
LEFT(A406,2)="NB",
LEFT(A406,2)="PC",
LEFT(A406,2)="WS",
LEFT(A406,2)="TB",
LEFT(A406,3)="CEL",
LEFT(A406,3)="MON",
LEFT(A406,3)="PRE",
LEFT(A406,3)="PRH",
ISNUMBER(SEARCH("NOTEBOOK",B406)),
ISNUMBER(SEARCH("LAPTOP",B406)),
ISNUMBER(SEARCH("MONITOR",B406)),
ISNUMBER(SEARCH("TABLET",B406)),
ISNUMBER(SEARCH("SMARTPH",B406)),
ISNUMBER(SEARCH("IMPRESORA",B406)),
ISNUMBER(SEARCH("MULTIFUNCIONAL",B406)),
ISNUMBER(SEARCH("AIO",B406))
),
"GANCHO",
"NORMAL"
)
)</f>
        <v>NORMAL</v>
      </c>
    </row>
    <row r="405" spans="1:12" x14ac:dyDescent="0.25">
      <c r="A405" s="3" t="s">
        <v>1129</v>
      </c>
      <c r="B405" s="3" t="s">
        <v>1130</v>
      </c>
      <c r="C405" s="1">
        <v>7</v>
      </c>
      <c r="D405" s="1">
        <v>60</v>
      </c>
      <c r="E405" s="1" t="s">
        <v>1102</v>
      </c>
      <c r="F405" s="1" t="s">
        <v>3269</v>
      </c>
      <c r="G405" s="3"/>
      <c r="H405" s="11">
        <f>ROUND(
IF(L403="GANCHO",
   IF(I405&lt;=50,I405*1.1+4,IF(I405&lt;=120,I405*1.1+7,IF(I405&lt;=250,I405*1.1+11,I405*1.1+19))),
IF(L403="NORMAL",
   IF(I405&lt;=30,I405*1.15+2,IF(I405&lt;=80,I405*1.15+4,IF(I405&lt;=150,I405*1.15+6,I405*1.15+8))),
IF(L403="COMPLEMENTO",
   IF(I405&lt;=25,I405*1.25+1.5,IF(I405&lt;=60,I405*1.25+3,IF(I405&lt;=120,I405*1.25+4,I405*1.25+5))),
""))),2)</f>
        <v>291.33999999999997</v>
      </c>
      <c r="I405" s="9">
        <f>($K$2+0.02)*Tabla1[[#This Row],[PRECIO $]]*1.18</f>
        <v>246.38400000000001</v>
      </c>
      <c r="J405" s="7">
        <f>+Tabla1[[#This Row],[PRECIO EN SOLES]]-Tabla1[[#This Row],[PC]]</f>
        <v>44.95599999999996</v>
      </c>
      <c r="K405" s="15"/>
      <c r="L405" s="15" t="str">
        <f>IF(
OR(
ISNUMBER(SEARCH("BACKPACK",B407)),
ISNUMBER(SEARCH("MOCHILA",B407)),
ISNUMBER(SEARCH("FUNDA",B407)),
ISNUMBER(SEARCH("ESTUCHE",B407)),
ISNUMBER(SEARCH("BOOK COVER",B407)),
ISNUMBER(SEARCH("KEYBOARD PARA TABLET",B407)),
ISNUMBER(SEARCH("FLIP TABLET",B407)),
ISNUMBER(SEARCH("CASE FOR TABLET",B407)),
ISNUMBER(SEARCH("CABLE",B407)),
ISNUMBER(SEARCH("ADAPTADOR",B407)),
ISNUMBER(SEARCH("HUB",B407)),
ISNUMBER(SEARCH("DOCK",B407)),
ISNUMBER(SEARCH("MOUSE PAD",B407)),
ISNUMBER(SEARCH("MOUSEPAD",B407)),
ISNUMBER(SEARCH("SOPORTE",B407)),
ISNUMBER(SEARCH("STAND",B407)),
ISNUMBER(SEARCH("TRAVEL ADAPTER",B407)),
ISNUMBER(SEARCH("RJ45",B407)),
ISNUMBER(SEARCH("USB-C",B407)),
ISNUMBER(SEARCH("USB WIFI",B407)),
ISNUMBER(SEARCH("POWERBANK",B407)),
ISNUMBER(SEARCH("CARGADOR",B407)),
ISNUMBER(SEARCH("COOLER PARA NB",B407)),
ISNUMBER(SEARCH("SOPORTE PARA NB",B407)),
ISNUMBER(SEARCH("WEBCAM",B407)),
ISNUMBER(SEARCH("WEB CAM",B407)),
ISNUMBER(SEARCH("MOUSE",B407)),
ISNUMBER(SEARCH("TECLADO",B407))
),
"COMPLEMENTO",
IF(
OR(
LEFT(A407,2)="NB",
LEFT(A407,2)="PC",
LEFT(A407,2)="WS",
LEFT(A407,2)="TB",
LEFT(A407,3)="CEL",
LEFT(A407,3)="MON",
LEFT(A407,3)="PRE",
LEFT(A407,3)="PRH",
ISNUMBER(SEARCH("NOTEBOOK",B407)),
ISNUMBER(SEARCH("LAPTOP",B407)),
ISNUMBER(SEARCH("MONITOR",B407)),
ISNUMBER(SEARCH("TABLET",B407)),
ISNUMBER(SEARCH("SMARTPH",B407)),
ISNUMBER(SEARCH("IMPRESORA",B407)),
ISNUMBER(SEARCH("MULTIFUNCIONAL",B407)),
ISNUMBER(SEARCH("AIO",B407))
),
"GANCHO",
"NORMAL"
)
)</f>
        <v>NORMAL</v>
      </c>
    </row>
    <row r="406" spans="1:12" x14ac:dyDescent="0.25">
      <c r="A406" s="3" t="s">
        <v>1131</v>
      </c>
      <c r="B406" s="3" t="s">
        <v>1132</v>
      </c>
      <c r="C406" s="1">
        <v>1</v>
      </c>
      <c r="D406" s="1">
        <v>15.3</v>
      </c>
      <c r="E406" s="1" t="s">
        <v>56</v>
      </c>
      <c r="F406" s="1" t="s">
        <v>3270</v>
      </c>
      <c r="G406" s="3"/>
      <c r="H406" s="11">
        <f>ROUND(
IF(L404="GANCHO",
   IF(I406&lt;=50,I406*1.1+4,IF(I406&lt;=120,I406*1.1+7,IF(I406&lt;=250,I406*1.1+11,I406*1.1+19))),
IF(L404="NORMAL",
   IF(I406&lt;=30,I406*1.15+2,IF(I406&lt;=80,I406*1.15+4,IF(I406&lt;=150,I406*1.15+6,I406*1.15+8))),
IF(L404="COMPLEMENTO",
   IF(I406&lt;=25,I406*1.25+1.5,IF(I406&lt;=60,I406*1.25+3,IF(I406&lt;=120,I406*1.25+4,I406*1.25+5))),
""))),2)</f>
        <v>76.25</v>
      </c>
      <c r="I406" s="9">
        <f>($K$2+0.02)*Tabla1[[#This Row],[PRECIO $]]*1.18</f>
        <v>62.827919999999999</v>
      </c>
      <c r="J406" s="7">
        <f>+Tabla1[[#This Row],[PRECIO EN SOLES]]-Tabla1[[#This Row],[PC]]</f>
        <v>13.422080000000001</v>
      </c>
      <c r="K406" s="15"/>
      <c r="L406" s="15" t="str">
        <f>IF(
OR(
ISNUMBER(SEARCH("BACKPACK",B408)),
ISNUMBER(SEARCH("MOCHILA",B408)),
ISNUMBER(SEARCH("FUNDA",B408)),
ISNUMBER(SEARCH("ESTUCHE",B408)),
ISNUMBER(SEARCH("BOOK COVER",B408)),
ISNUMBER(SEARCH("KEYBOARD PARA TABLET",B408)),
ISNUMBER(SEARCH("FLIP TABLET",B408)),
ISNUMBER(SEARCH("CASE FOR TABLET",B408)),
ISNUMBER(SEARCH("CABLE",B408)),
ISNUMBER(SEARCH("ADAPTADOR",B408)),
ISNUMBER(SEARCH("HUB",B408)),
ISNUMBER(SEARCH("DOCK",B408)),
ISNUMBER(SEARCH("MOUSE PAD",B408)),
ISNUMBER(SEARCH("MOUSEPAD",B408)),
ISNUMBER(SEARCH("SOPORTE",B408)),
ISNUMBER(SEARCH("STAND",B408)),
ISNUMBER(SEARCH("TRAVEL ADAPTER",B408)),
ISNUMBER(SEARCH("RJ45",B408)),
ISNUMBER(SEARCH("USB-C",B408)),
ISNUMBER(SEARCH("USB WIFI",B408)),
ISNUMBER(SEARCH("POWERBANK",B408)),
ISNUMBER(SEARCH("CARGADOR",B408)),
ISNUMBER(SEARCH("COOLER PARA NB",B408)),
ISNUMBER(SEARCH("SOPORTE PARA NB",B408)),
ISNUMBER(SEARCH("WEBCAM",B408)),
ISNUMBER(SEARCH("WEB CAM",B408)),
ISNUMBER(SEARCH("MOUSE",B408)),
ISNUMBER(SEARCH("TECLADO",B408))
),
"COMPLEMENTO",
IF(
OR(
LEFT(A408,2)="NB",
LEFT(A408,2)="PC",
LEFT(A408,2)="WS",
LEFT(A408,2)="TB",
LEFT(A408,3)="CEL",
LEFT(A408,3)="MON",
LEFT(A408,3)="PRE",
LEFT(A408,3)="PRH",
ISNUMBER(SEARCH("NOTEBOOK",B408)),
ISNUMBER(SEARCH("LAPTOP",B408)),
ISNUMBER(SEARCH("MONITOR",B408)),
ISNUMBER(SEARCH("TABLET",B408)),
ISNUMBER(SEARCH("SMARTPH",B408)),
ISNUMBER(SEARCH("IMPRESORA",B408)),
ISNUMBER(SEARCH("MULTIFUNCIONAL",B408)),
ISNUMBER(SEARCH("AIO",B408))
),
"GANCHO",
"NORMAL"
)
)</f>
        <v>NORMAL</v>
      </c>
    </row>
    <row r="407" spans="1:12" x14ac:dyDescent="0.25">
      <c r="A407" s="3" t="s">
        <v>1133</v>
      </c>
      <c r="B407" s="3" t="s">
        <v>1134</v>
      </c>
      <c r="C407" s="1">
        <v>1</v>
      </c>
      <c r="D407" s="1">
        <v>52</v>
      </c>
      <c r="E407" s="1" t="s">
        <v>154</v>
      </c>
      <c r="F407" s="1" t="s">
        <v>3271</v>
      </c>
      <c r="G407" s="3" t="s">
        <v>1135</v>
      </c>
      <c r="H407" s="11">
        <f>ROUND(
IF(L405="GANCHO",
   IF(I407&lt;=50,I407*1.1+4,IF(I407&lt;=120,I407*1.1+7,IF(I407&lt;=250,I407*1.1+11,I407*1.1+19))),
IF(L405="NORMAL",
   IF(I407&lt;=30,I407*1.15+2,IF(I407&lt;=80,I407*1.15+4,IF(I407&lt;=150,I407*1.15+6,I407*1.15+8))),
IF(L405="COMPLEMENTO",
   IF(I407&lt;=25,I407*1.25+1.5,IF(I407&lt;=60,I407*1.25+3,IF(I407&lt;=120,I407*1.25+4,I407*1.25+5))),
""))),2)</f>
        <v>253.56</v>
      </c>
      <c r="I407" s="9">
        <f>($K$2+0.02)*Tabla1[[#This Row],[PRECIO $]]*1.18</f>
        <v>213.53280000000001</v>
      </c>
      <c r="J407" s="7">
        <f>+Tabla1[[#This Row],[PRECIO EN SOLES]]-Tabla1[[#This Row],[PC]]</f>
        <v>40.027199999999993</v>
      </c>
      <c r="K407" s="15"/>
      <c r="L407" s="15" t="str">
        <f>IF(
OR(
ISNUMBER(SEARCH("BACKPACK",B409)),
ISNUMBER(SEARCH("MOCHILA",B409)),
ISNUMBER(SEARCH("FUNDA",B409)),
ISNUMBER(SEARCH("ESTUCHE",B409)),
ISNUMBER(SEARCH("BOOK COVER",B409)),
ISNUMBER(SEARCH("KEYBOARD PARA TABLET",B409)),
ISNUMBER(SEARCH("FLIP TABLET",B409)),
ISNUMBER(SEARCH("CASE FOR TABLET",B409)),
ISNUMBER(SEARCH("CABLE",B409)),
ISNUMBER(SEARCH("ADAPTADOR",B409)),
ISNUMBER(SEARCH("HUB",B409)),
ISNUMBER(SEARCH("DOCK",B409)),
ISNUMBER(SEARCH("MOUSE PAD",B409)),
ISNUMBER(SEARCH("MOUSEPAD",B409)),
ISNUMBER(SEARCH("SOPORTE",B409)),
ISNUMBER(SEARCH("STAND",B409)),
ISNUMBER(SEARCH("TRAVEL ADAPTER",B409)),
ISNUMBER(SEARCH("RJ45",B409)),
ISNUMBER(SEARCH("USB-C",B409)),
ISNUMBER(SEARCH("USB WIFI",B409)),
ISNUMBER(SEARCH("POWERBANK",B409)),
ISNUMBER(SEARCH("CARGADOR",B409)),
ISNUMBER(SEARCH("COOLER PARA NB",B409)),
ISNUMBER(SEARCH("SOPORTE PARA NB",B409)),
ISNUMBER(SEARCH("WEBCAM",B409)),
ISNUMBER(SEARCH("WEB CAM",B409)),
ISNUMBER(SEARCH("MOUSE",B409)),
ISNUMBER(SEARCH("TECLADO",B409))
),
"COMPLEMENTO",
IF(
OR(
LEFT(A409,2)="NB",
LEFT(A409,2)="PC",
LEFT(A409,2)="WS",
LEFT(A409,2)="TB",
LEFT(A409,3)="CEL",
LEFT(A409,3)="MON",
LEFT(A409,3)="PRE",
LEFT(A409,3)="PRH",
ISNUMBER(SEARCH("NOTEBOOK",B409)),
ISNUMBER(SEARCH("LAPTOP",B409)),
ISNUMBER(SEARCH("MONITOR",B409)),
ISNUMBER(SEARCH("TABLET",B409)),
ISNUMBER(SEARCH("SMARTPH",B409)),
ISNUMBER(SEARCH("IMPRESORA",B409)),
ISNUMBER(SEARCH("MULTIFUNCIONAL",B409)),
ISNUMBER(SEARCH("AIO",B409))
),
"GANCHO",
"NORMAL"
)
)</f>
        <v>NORMAL</v>
      </c>
    </row>
    <row r="408" spans="1:12" x14ac:dyDescent="0.25">
      <c r="A408" s="3" t="s">
        <v>1136</v>
      </c>
      <c r="B408" s="3" t="s">
        <v>1137</v>
      </c>
      <c r="C408" s="1">
        <v>1</v>
      </c>
      <c r="D408" s="1">
        <v>67</v>
      </c>
      <c r="E408" s="1" t="s">
        <v>154</v>
      </c>
      <c r="F408" s="1" t="s">
        <v>3272</v>
      </c>
      <c r="G408" s="3" t="s">
        <v>1138</v>
      </c>
      <c r="H408" s="11">
        <f>ROUND(
IF(L406="GANCHO",
   IF(I408&lt;=50,I408*1.1+4,IF(I408&lt;=120,I408*1.1+7,IF(I408&lt;=250,I408*1.1+11,I408*1.1+19))),
IF(L406="NORMAL",
   IF(I408&lt;=30,I408*1.15+2,IF(I408&lt;=80,I408*1.15+4,IF(I408&lt;=150,I408*1.15+6,I408*1.15+8))),
IF(L406="COMPLEMENTO",
   IF(I408&lt;=25,I408*1.25+1.5,IF(I408&lt;=60,I408*1.25+3,IF(I408&lt;=120,I408*1.25+4,I408*1.25+5))),
""))),2)</f>
        <v>324.39999999999998</v>
      </c>
      <c r="I408" s="9">
        <f>($K$2+0.02)*Tabla1[[#This Row],[PRECIO $]]*1.18</f>
        <v>275.12879999999996</v>
      </c>
      <c r="J408" s="7">
        <f>+Tabla1[[#This Row],[PRECIO EN SOLES]]-Tabla1[[#This Row],[PC]]</f>
        <v>49.271200000000022</v>
      </c>
      <c r="K408" s="15"/>
      <c r="L408" s="15" t="str">
        <f>IF(
OR(
ISNUMBER(SEARCH("BACKPACK",B410)),
ISNUMBER(SEARCH("MOCHILA",B410)),
ISNUMBER(SEARCH("FUNDA",B410)),
ISNUMBER(SEARCH("ESTUCHE",B410)),
ISNUMBER(SEARCH("BOOK COVER",B410)),
ISNUMBER(SEARCH("KEYBOARD PARA TABLET",B410)),
ISNUMBER(SEARCH("FLIP TABLET",B410)),
ISNUMBER(SEARCH("CASE FOR TABLET",B410)),
ISNUMBER(SEARCH("CABLE",B410)),
ISNUMBER(SEARCH("ADAPTADOR",B410)),
ISNUMBER(SEARCH("HUB",B410)),
ISNUMBER(SEARCH("DOCK",B410)),
ISNUMBER(SEARCH("MOUSE PAD",B410)),
ISNUMBER(SEARCH("MOUSEPAD",B410)),
ISNUMBER(SEARCH("SOPORTE",B410)),
ISNUMBER(SEARCH("STAND",B410)),
ISNUMBER(SEARCH("TRAVEL ADAPTER",B410)),
ISNUMBER(SEARCH("RJ45",B410)),
ISNUMBER(SEARCH("USB-C",B410)),
ISNUMBER(SEARCH("USB WIFI",B410)),
ISNUMBER(SEARCH("POWERBANK",B410)),
ISNUMBER(SEARCH("CARGADOR",B410)),
ISNUMBER(SEARCH("COOLER PARA NB",B410)),
ISNUMBER(SEARCH("SOPORTE PARA NB",B410)),
ISNUMBER(SEARCH("WEBCAM",B410)),
ISNUMBER(SEARCH("WEB CAM",B410)),
ISNUMBER(SEARCH("MOUSE",B410)),
ISNUMBER(SEARCH("TECLADO",B410))
),
"COMPLEMENTO",
IF(
OR(
LEFT(A410,2)="NB",
LEFT(A410,2)="PC",
LEFT(A410,2)="WS",
LEFT(A410,2)="TB",
LEFT(A410,3)="CEL",
LEFT(A410,3)="MON",
LEFT(A410,3)="PRE",
LEFT(A410,3)="PRH",
ISNUMBER(SEARCH("NOTEBOOK",B410)),
ISNUMBER(SEARCH("LAPTOP",B410)),
ISNUMBER(SEARCH("MONITOR",B410)),
ISNUMBER(SEARCH("TABLET",B410)),
ISNUMBER(SEARCH("SMARTPH",B410)),
ISNUMBER(SEARCH("IMPRESORA",B410)),
ISNUMBER(SEARCH("MULTIFUNCIONAL",B410)),
ISNUMBER(SEARCH("AIO",B410))
),
"GANCHO",
"NORMAL"
)
)</f>
        <v>NORMAL</v>
      </c>
    </row>
    <row r="409" spans="1:12" x14ac:dyDescent="0.25">
      <c r="A409" s="3" t="s">
        <v>1139</v>
      </c>
      <c r="B409" s="3" t="s">
        <v>1140</v>
      </c>
      <c r="C409" s="1">
        <v>1</v>
      </c>
      <c r="D409" s="1">
        <v>520</v>
      </c>
      <c r="E409" s="1" t="s">
        <v>1102</v>
      </c>
      <c r="F409" s="1" t="s">
        <v>3273</v>
      </c>
      <c r="G409" s="3"/>
      <c r="H409" s="11">
        <f>ROUND(
IF(L407="GANCHO",
   IF(I409&lt;=50,I409*1.1+4,IF(I409&lt;=120,I409*1.1+7,IF(I409&lt;=250,I409*1.1+11,I409*1.1+19))),
IF(L407="NORMAL",
   IF(I409&lt;=30,I409*1.15+2,IF(I409&lt;=80,I409*1.15+4,IF(I409&lt;=150,I409*1.15+6,I409*1.15+8))),
IF(L407="COMPLEMENTO",
   IF(I409&lt;=25,I409*1.25+1.5,IF(I409&lt;=60,I409*1.25+3,IF(I409&lt;=120,I409*1.25+4,I409*1.25+5))),
""))),2)</f>
        <v>2463.63</v>
      </c>
      <c r="I409" s="9">
        <f>($K$2+0.02)*Tabla1[[#This Row],[PRECIO $]]*1.18</f>
        <v>2135.328</v>
      </c>
      <c r="J409" s="7">
        <f>+Tabla1[[#This Row],[PRECIO EN SOLES]]-Tabla1[[#This Row],[PC]]</f>
        <v>328.30200000000013</v>
      </c>
      <c r="K409" s="15"/>
      <c r="L409" s="15" t="str">
        <f>IF(
OR(
ISNUMBER(SEARCH("BACKPACK",B411)),
ISNUMBER(SEARCH("MOCHILA",B411)),
ISNUMBER(SEARCH("FUNDA",B411)),
ISNUMBER(SEARCH("ESTUCHE",B411)),
ISNUMBER(SEARCH("BOOK COVER",B411)),
ISNUMBER(SEARCH("KEYBOARD PARA TABLET",B411)),
ISNUMBER(SEARCH("FLIP TABLET",B411)),
ISNUMBER(SEARCH("CASE FOR TABLET",B411)),
ISNUMBER(SEARCH("CABLE",B411)),
ISNUMBER(SEARCH("ADAPTADOR",B411)),
ISNUMBER(SEARCH("HUB",B411)),
ISNUMBER(SEARCH("DOCK",B411)),
ISNUMBER(SEARCH("MOUSE PAD",B411)),
ISNUMBER(SEARCH("MOUSEPAD",B411)),
ISNUMBER(SEARCH("SOPORTE",B411)),
ISNUMBER(SEARCH("STAND",B411)),
ISNUMBER(SEARCH("TRAVEL ADAPTER",B411)),
ISNUMBER(SEARCH("RJ45",B411)),
ISNUMBER(SEARCH("USB-C",B411)),
ISNUMBER(SEARCH("USB WIFI",B411)),
ISNUMBER(SEARCH("POWERBANK",B411)),
ISNUMBER(SEARCH("CARGADOR",B411)),
ISNUMBER(SEARCH("COOLER PARA NB",B411)),
ISNUMBER(SEARCH("SOPORTE PARA NB",B411)),
ISNUMBER(SEARCH("WEBCAM",B411)),
ISNUMBER(SEARCH("WEB CAM",B411)),
ISNUMBER(SEARCH("MOUSE",B411)),
ISNUMBER(SEARCH("TECLADO",B411))
),
"COMPLEMENTO",
IF(
OR(
LEFT(A411,2)="NB",
LEFT(A411,2)="PC",
LEFT(A411,2)="WS",
LEFT(A411,2)="TB",
LEFT(A411,3)="CEL",
LEFT(A411,3)="MON",
LEFT(A411,3)="PRE",
LEFT(A411,3)="PRH",
ISNUMBER(SEARCH("NOTEBOOK",B411)),
ISNUMBER(SEARCH("LAPTOP",B411)),
ISNUMBER(SEARCH("MONITOR",B411)),
ISNUMBER(SEARCH("TABLET",B411)),
ISNUMBER(SEARCH("SMARTPH",B411)),
ISNUMBER(SEARCH("IMPRESORA",B411)),
ISNUMBER(SEARCH("MULTIFUNCIONAL",B411)),
ISNUMBER(SEARCH("AIO",B411))
),
"GANCHO",
"NORMAL"
)
)</f>
        <v>GANCHO</v>
      </c>
    </row>
    <row r="410" spans="1:12" x14ac:dyDescent="0.25">
      <c r="A410" s="3" t="s">
        <v>1141</v>
      </c>
      <c r="B410" s="3" t="s">
        <v>1142</v>
      </c>
      <c r="C410" s="1">
        <v>0</v>
      </c>
      <c r="D410" s="1">
        <v>99</v>
      </c>
      <c r="E410" s="1" t="s">
        <v>56</v>
      </c>
      <c r="F410" s="1" t="s">
        <v>3274</v>
      </c>
      <c r="G410" s="3" t="s">
        <v>1143</v>
      </c>
      <c r="H410" s="11">
        <f>ROUND(
IF(L408="GANCHO",
   IF(I410&lt;=50,I410*1.1+4,IF(I410&lt;=120,I410*1.1+7,IF(I410&lt;=250,I410*1.1+11,I410*1.1+19))),
IF(L408="NORMAL",
   IF(I410&lt;=30,I410*1.15+2,IF(I410&lt;=80,I410*1.15+4,IF(I410&lt;=150,I410*1.15+6,I410*1.15+8))),
IF(L408="COMPLEMENTO",
   IF(I410&lt;=25,I410*1.25+1.5,IF(I410&lt;=60,I410*1.25+3,IF(I410&lt;=120,I410*1.25+4,I410*1.25+5))),
""))),2)</f>
        <v>475.51</v>
      </c>
      <c r="I410" s="9">
        <f>($K$2+0.02)*Tabla1[[#This Row],[PRECIO $]]*1.18</f>
        <v>406.53359999999998</v>
      </c>
      <c r="J410" s="7">
        <f>+Tabla1[[#This Row],[PRECIO EN SOLES]]-Tabla1[[#This Row],[PC]]</f>
        <v>68.976400000000012</v>
      </c>
      <c r="K410" s="15"/>
      <c r="L410" s="15" t="str">
        <f>IF(
OR(
ISNUMBER(SEARCH("BACKPACK",B412)),
ISNUMBER(SEARCH("MOCHILA",B412)),
ISNUMBER(SEARCH("FUNDA",B412)),
ISNUMBER(SEARCH("ESTUCHE",B412)),
ISNUMBER(SEARCH("BOOK COVER",B412)),
ISNUMBER(SEARCH("KEYBOARD PARA TABLET",B412)),
ISNUMBER(SEARCH("FLIP TABLET",B412)),
ISNUMBER(SEARCH("CASE FOR TABLET",B412)),
ISNUMBER(SEARCH("CABLE",B412)),
ISNUMBER(SEARCH("ADAPTADOR",B412)),
ISNUMBER(SEARCH("HUB",B412)),
ISNUMBER(SEARCH("DOCK",B412)),
ISNUMBER(SEARCH("MOUSE PAD",B412)),
ISNUMBER(SEARCH("MOUSEPAD",B412)),
ISNUMBER(SEARCH("SOPORTE",B412)),
ISNUMBER(SEARCH("STAND",B412)),
ISNUMBER(SEARCH("TRAVEL ADAPTER",B412)),
ISNUMBER(SEARCH("RJ45",B412)),
ISNUMBER(SEARCH("USB-C",B412)),
ISNUMBER(SEARCH("USB WIFI",B412)),
ISNUMBER(SEARCH("POWERBANK",B412)),
ISNUMBER(SEARCH("CARGADOR",B412)),
ISNUMBER(SEARCH("COOLER PARA NB",B412)),
ISNUMBER(SEARCH("SOPORTE PARA NB",B412)),
ISNUMBER(SEARCH("WEBCAM",B412)),
ISNUMBER(SEARCH("WEB CAM",B412)),
ISNUMBER(SEARCH("MOUSE",B412)),
ISNUMBER(SEARCH("TECLADO",B412))
),
"COMPLEMENTO",
IF(
OR(
LEFT(A412,2)="NB",
LEFT(A412,2)="PC",
LEFT(A412,2)="WS",
LEFT(A412,2)="TB",
LEFT(A412,3)="CEL",
LEFT(A412,3)="MON",
LEFT(A412,3)="PRE",
LEFT(A412,3)="PRH",
ISNUMBER(SEARCH("NOTEBOOK",B412)),
ISNUMBER(SEARCH("LAPTOP",B412)),
ISNUMBER(SEARCH("MONITOR",B412)),
ISNUMBER(SEARCH("TABLET",B412)),
ISNUMBER(SEARCH("SMARTPH",B412)),
ISNUMBER(SEARCH("IMPRESORA",B412)),
ISNUMBER(SEARCH("MULTIFUNCIONAL",B412)),
ISNUMBER(SEARCH("AIO",B412))
),
"GANCHO",
"NORMAL"
)
)</f>
        <v>NORMAL</v>
      </c>
    </row>
    <row r="411" spans="1:12" x14ac:dyDescent="0.25">
      <c r="A411" s="3" t="s">
        <v>1144</v>
      </c>
      <c r="B411" s="3" t="s">
        <v>1145</v>
      </c>
      <c r="C411" s="1">
        <v>1</v>
      </c>
      <c r="D411" s="1">
        <v>38.6</v>
      </c>
      <c r="E411" s="1" t="s">
        <v>148</v>
      </c>
      <c r="F411" s="1" t="s">
        <v>3275</v>
      </c>
      <c r="G411" s="3" t="s">
        <v>1146</v>
      </c>
      <c r="H411" s="11">
        <f>ROUND(
IF(L409="GANCHO",
   IF(I411&lt;=50,I411*1.1+4,IF(I411&lt;=120,I411*1.1+7,IF(I411&lt;=250,I411*1.1+11,I411*1.1+19))),
IF(L409="NORMAL",
   IF(I411&lt;=30,I411*1.15+2,IF(I411&lt;=80,I411*1.15+4,IF(I411&lt;=150,I411*1.15+6,I411*1.15+8))),
IF(L409="COMPLEMENTO",
   IF(I411&lt;=25,I411*1.25+1.5,IF(I411&lt;=60,I411*1.25+3,IF(I411&lt;=120,I411*1.25+4,I411*1.25+5))),
""))),2)</f>
        <v>185.36</v>
      </c>
      <c r="I411" s="9">
        <f>($K$2+0.02)*Tabla1[[#This Row],[PRECIO $]]*1.18</f>
        <v>158.50703999999999</v>
      </c>
      <c r="J411" s="7">
        <f>+Tabla1[[#This Row],[PRECIO EN SOLES]]-Tabla1[[#This Row],[PC]]</f>
        <v>26.852960000000024</v>
      </c>
      <c r="K411" s="15"/>
      <c r="L411" s="15" t="str">
        <f>IF(
OR(
ISNUMBER(SEARCH("BACKPACK",B413)),
ISNUMBER(SEARCH("MOCHILA",B413)),
ISNUMBER(SEARCH("FUNDA",B413)),
ISNUMBER(SEARCH("ESTUCHE",B413)),
ISNUMBER(SEARCH("BOOK COVER",B413)),
ISNUMBER(SEARCH("KEYBOARD PARA TABLET",B413)),
ISNUMBER(SEARCH("FLIP TABLET",B413)),
ISNUMBER(SEARCH("CASE FOR TABLET",B413)),
ISNUMBER(SEARCH("CABLE",B413)),
ISNUMBER(SEARCH("ADAPTADOR",B413)),
ISNUMBER(SEARCH("HUB",B413)),
ISNUMBER(SEARCH("DOCK",B413)),
ISNUMBER(SEARCH("MOUSE PAD",B413)),
ISNUMBER(SEARCH("MOUSEPAD",B413)),
ISNUMBER(SEARCH("SOPORTE",B413)),
ISNUMBER(SEARCH("STAND",B413)),
ISNUMBER(SEARCH("TRAVEL ADAPTER",B413)),
ISNUMBER(SEARCH("RJ45",B413)),
ISNUMBER(SEARCH("USB-C",B413)),
ISNUMBER(SEARCH("USB WIFI",B413)),
ISNUMBER(SEARCH("POWERBANK",B413)),
ISNUMBER(SEARCH("CARGADOR",B413)),
ISNUMBER(SEARCH("COOLER PARA NB",B413)),
ISNUMBER(SEARCH("SOPORTE PARA NB",B413)),
ISNUMBER(SEARCH("WEBCAM",B413)),
ISNUMBER(SEARCH("WEB CAM",B413)),
ISNUMBER(SEARCH("MOUSE",B413)),
ISNUMBER(SEARCH("TECLADO",B413))
),
"COMPLEMENTO",
IF(
OR(
LEFT(A413,2)="NB",
LEFT(A413,2)="PC",
LEFT(A413,2)="WS",
LEFT(A413,2)="TB",
LEFT(A413,3)="CEL",
LEFT(A413,3)="MON",
LEFT(A413,3)="PRE",
LEFT(A413,3)="PRH",
ISNUMBER(SEARCH("NOTEBOOK",B413)),
ISNUMBER(SEARCH("LAPTOP",B413)),
ISNUMBER(SEARCH("MONITOR",B413)),
ISNUMBER(SEARCH("TABLET",B413)),
ISNUMBER(SEARCH("SMARTPH",B413)),
ISNUMBER(SEARCH("IMPRESORA",B413)),
ISNUMBER(SEARCH("MULTIFUNCIONAL",B413)),
ISNUMBER(SEARCH("AIO",B413))
),
"GANCHO",
"NORMAL"
)
)</f>
        <v>NORMAL</v>
      </c>
    </row>
    <row r="412" spans="1:12" x14ac:dyDescent="0.25">
      <c r="A412" s="3" t="s">
        <v>1147</v>
      </c>
      <c r="B412" s="3" t="s">
        <v>1148</v>
      </c>
      <c r="C412" s="1">
        <v>1</v>
      </c>
      <c r="D412" s="1">
        <v>278.89999999999998</v>
      </c>
      <c r="E412" s="1" t="s">
        <v>1102</v>
      </c>
      <c r="F412" s="1" t="s">
        <v>3276</v>
      </c>
      <c r="G412" s="3" t="s">
        <v>1149</v>
      </c>
      <c r="H412" s="11">
        <f>ROUND(
IF(L410="GANCHO",
   IF(I412&lt;=50,I412*1.1+4,IF(I412&lt;=120,I412*1.1+7,IF(I412&lt;=250,I412*1.1+11,I412*1.1+19))),
IF(L410="NORMAL",
   IF(I412&lt;=30,I412*1.15+2,IF(I412&lt;=80,I412*1.15+4,IF(I412&lt;=150,I412*1.15+6,I412*1.15+8))),
IF(L410="COMPLEMENTO",
   IF(I412&lt;=25,I412*1.25+1.5,IF(I412&lt;=60,I412*1.25+3,IF(I412&lt;=120,I412*1.25+4,I412*1.25+5))),
""))),2)</f>
        <v>1325.07</v>
      </c>
      <c r="I412" s="9">
        <f>($K$2+0.02)*Tabla1[[#This Row],[PRECIO $]]*1.18</f>
        <v>1145.2749599999997</v>
      </c>
      <c r="J412" s="7">
        <f>+Tabla1[[#This Row],[PRECIO EN SOLES]]-Tabla1[[#This Row],[PC]]</f>
        <v>179.7950400000002</v>
      </c>
      <c r="K412" s="15"/>
      <c r="L412" s="15" t="str">
        <f>IF(
OR(
ISNUMBER(SEARCH("BACKPACK",B414)),
ISNUMBER(SEARCH("MOCHILA",B414)),
ISNUMBER(SEARCH("FUNDA",B414)),
ISNUMBER(SEARCH("ESTUCHE",B414)),
ISNUMBER(SEARCH("BOOK COVER",B414)),
ISNUMBER(SEARCH("KEYBOARD PARA TABLET",B414)),
ISNUMBER(SEARCH("FLIP TABLET",B414)),
ISNUMBER(SEARCH("CASE FOR TABLET",B414)),
ISNUMBER(SEARCH("CABLE",B414)),
ISNUMBER(SEARCH("ADAPTADOR",B414)),
ISNUMBER(SEARCH("HUB",B414)),
ISNUMBER(SEARCH("DOCK",B414)),
ISNUMBER(SEARCH("MOUSE PAD",B414)),
ISNUMBER(SEARCH("MOUSEPAD",B414)),
ISNUMBER(SEARCH("SOPORTE",B414)),
ISNUMBER(SEARCH("STAND",B414)),
ISNUMBER(SEARCH("TRAVEL ADAPTER",B414)),
ISNUMBER(SEARCH("RJ45",B414)),
ISNUMBER(SEARCH("USB-C",B414)),
ISNUMBER(SEARCH("USB WIFI",B414)),
ISNUMBER(SEARCH("POWERBANK",B414)),
ISNUMBER(SEARCH("CARGADOR",B414)),
ISNUMBER(SEARCH("COOLER PARA NB",B414)),
ISNUMBER(SEARCH("SOPORTE PARA NB",B414)),
ISNUMBER(SEARCH("WEBCAM",B414)),
ISNUMBER(SEARCH("WEB CAM",B414)),
ISNUMBER(SEARCH("MOUSE",B414)),
ISNUMBER(SEARCH("TECLADO",B414))
),
"COMPLEMENTO",
IF(
OR(
LEFT(A414,2)="NB",
LEFT(A414,2)="PC",
LEFT(A414,2)="WS",
LEFT(A414,2)="TB",
LEFT(A414,3)="CEL",
LEFT(A414,3)="MON",
LEFT(A414,3)="PRE",
LEFT(A414,3)="PRH",
ISNUMBER(SEARCH("NOTEBOOK",B414)),
ISNUMBER(SEARCH("LAPTOP",B414)),
ISNUMBER(SEARCH("MONITOR",B414)),
ISNUMBER(SEARCH("TABLET",B414)),
ISNUMBER(SEARCH("SMARTPH",B414)),
ISNUMBER(SEARCH("IMPRESORA",B414)),
ISNUMBER(SEARCH("MULTIFUNCIONAL",B414)),
ISNUMBER(SEARCH("AIO",B414))
),
"GANCHO",
"NORMAL"
)
)</f>
        <v>NORMAL</v>
      </c>
    </row>
    <row r="413" spans="1:12" x14ac:dyDescent="0.25">
      <c r="A413" s="3" t="s">
        <v>1150</v>
      </c>
      <c r="B413" s="3" t="s">
        <v>1151</v>
      </c>
      <c r="C413" s="1">
        <v>0</v>
      </c>
      <c r="D413" s="1">
        <v>9999999.9900000002</v>
      </c>
      <c r="E413" s="1" t="s">
        <v>56</v>
      </c>
      <c r="F413" s="1" t="s">
        <v>3277</v>
      </c>
      <c r="G413" s="3" t="s">
        <v>1152</v>
      </c>
      <c r="H413" s="11">
        <f>ROUND(
IF(L411="GANCHO",
   IF(I413&lt;=50,I413*1.1+4,IF(I413&lt;=120,I413*1.1+7,IF(I413&lt;=250,I413*1.1+11,I413*1.1+19))),
IF(L411="NORMAL",
   IF(I413&lt;=30,I413*1.15+2,IF(I413&lt;=80,I413*1.15+4,IF(I413&lt;=150,I413*1.15+6,I413*1.15+8))),
IF(L411="COMPLEMENTO",
   IF(I413&lt;=25,I413*1.25+1.5,IF(I413&lt;=60,I413*1.25+3,IF(I413&lt;=120,I413*1.25+4,I413*1.25+5))),
""))),2)</f>
        <v>47223607.950000003</v>
      </c>
      <c r="I413" s="9">
        <f>($K$2+0.02)*Tabla1[[#This Row],[PRECIO $]]*1.18</f>
        <v>41063999.958935998</v>
      </c>
      <c r="J413" s="7">
        <f>+Tabla1[[#This Row],[PRECIO EN SOLES]]-Tabla1[[#This Row],[PC]]</f>
        <v>6159607.9910640046</v>
      </c>
      <c r="K413" s="15"/>
      <c r="L413" s="15" t="str">
        <f>IF(
OR(
ISNUMBER(SEARCH("BACKPACK",B415)),
ISNUMBER(SEARCH("MOCHILA",B415)),
ISNUMBER(SEARCH("FUNDA",B415)),
ISNUMBER(SEARCH("ESTUCHE",B415)),
ISNUMBER(SEARCH("BOOK COVER",B415)),
ISNUMBER(SEARCH("KEYBOARD PARA TABLET",B415)),
ISNUMBER(SEARCH("FLIP TABLET",B415)),
ISNUMBER(SEARCH("CASE FOR TABLET",B415)),
ISNUMBER(SEARCH("CABLE",B415)),
ISNUMBER(SEARCH("ADAPTADOR",B415)),
ISNUMBER(SEARCH("HUB",B415)),
ISNUMBER(SEARCH("DOCK",B415)),
ISNUMBER(SEARCH("MOUSE PAD",B415)),
ISNUMBER(SEARCH("MOUSEPAD",B415)),
ISNUMBER(SEARCH("SOPORTE",B415)),
ISNUMBER(SEARCH("STAND",B415)),
ISNUMBER(SEARCH("TRAVEL ADAPTER",B415)),
ISNUMBER(SEARCH("RJ45",B415)),
ISNUMBER(SEARCH("USB-C",B415)),
ISNUMBER(SEARCH("USB WIFI",B415)),
ISNUMBER(SEARCH("POWERBANK",B415)),
ISNUMBER(SEARCH("CARGADOR",B415)),
ISNUMBER(SEARCH("COOLER PARA NB",B415)),
ISNUMBER(SEARCH("SOPORTE PARA NB",B415)),
ISNUMBER(SEARCH("WEBCAM",B415)),
ISNUMBER(SEARCH("WEB CAM",B415)),
ISNUMBER(SEARCH("MOUSE",B415)),
ISNUMBER(SEARCH("TECLADO",B415))
),
"COMPLEMENTO",
IF(
OR(
LEFT(A415,2)="NB",
LEFT(A415,2)="PC",
LEFT(A415,2)="WS",
LEFT(A415,2)="TB",
LEFT(A415,3)="CEL",
LEFT(A415,3)="MON",
LEFT(A415,3)="PRE",
LEFT(A415,3)="PRH",
ISNUMBER(SEARCH("NOTEBOOK",B415)),
ISNUMBER(SEARCH("LAPTOP",B415)),
ISNUMBER(SEARCH("MONITOR",B415)),
ISNUMBER(SEARCH("TABLET",B415)),
ISNUMBER(SEARCH("SMARTPH",B415)),
ISNUMBER(SEARCH("IMPRESORA",B415)),
ISNUMBER(SEARCH("MULTIFUNCIONAL",B415)),
ISNUMBER(SEARCH("AIO",B415))
),
"GANCHO",
"NORMAL"
)
)</f>
        <v>NORMAL</v>
      </c>
    </row>
    <row r="414" spans="1:12" x14ac:dyDescent="0.25">
      <c r="A414" s="3" t="s">
        <v>1153</v>
      </c>
      <c r="B414" s="3" t="s">
        <v>1154</v>
      </c>
      <c r="C414" s="1">
        <v>1</v>
      </c>
      <c r="D414" s="1">
        <v>218</v>
      </c>
      <c r="E414" s="1" t="s">
        <v>1102</v>
      </c>
      <c r="F414" s="1" t="s">
        <v>3278</v>
      </c>
      <c r="G414" s="3"/>
      <c r="H414" s="11">
        <f>ROUND(
IF(L412="GANCHO",
   IF(I414&lt;=50,I414*1.1+4,IF(I414&lt;=120,I414*1.1+7,IF(I414&lt;=250,I414*1.1+11,I414*1.1+19))),
IF(L412="NORMAL",
   IF(I414&lt;=30,I414*1.15+2,IF(I414&lt;=80,I414*1.15+4,IF(I414&lt;=150,I414*1.15+6,I414*1.15+8))),
IF(L412="COMPLEMENTO",
   IF(I414&lt;=25,I414*1.25+1.5,IF(I414&lt;=60,I414*1.25+3,IF(I414&lt;=120,I414*1.25+4,I414*1.25+5))),
""))),2)</f>
        <v>1037.47</v>
      </c>
      <c r="I414" s="9">
        <f>($K$2+0.02)*Tabla1[[#This Row],[PRECIO $]]*1.18</f>
        <v>895.19519999999989</v>
      </c>
      <c r="J414" s="7">
        <f>+Tabla1[[#This Row],[PRECIO EN SOLES]]-Tabla1[[#This Row],[PC]]</f>
        <v>142.27480000000014</v>
      </c>
      <c r="K414" s="15"/>
      <c r="L414" s="15" t="str">
        <f>IF(
OR(
ISNUMBER(SEARCH("BACKPACK",B416)),
ISNUMBER(SEARCH("MOCHILA",B416)),
ISNUMBER(SEARCH("FUNDA",B416)),
ISNUMBER(SEARCH("ESTUCHE",B416)),
ISNUMBER(SEARCH("BOOK COVER",B416)),
ISNUMBER(SEARCH("KEYBOARD PARA TABLET",B416)),
ISNUMBER(SEARCH("FLIP TABLET",B416)),
ISNUMBER(SEARCH("CASE FOR TABLET",B416)),
ISNUMBER(SEARCH("CABLE",B416)),
ISNUMBER(SEARCH("ADAPTADOR",B416)),
ISNUMBER(SEARCH("HUB",B416)),
ISNUMBER(SEARCH("DOCK",B416)),
ISNUMBER(SEARCH("MOUSE PAD",B416)),
ISNUMBER(SEARCH("MOUSEPAD",B416)),
ISNUMBER(SEARCH("SOPORTE",B416)),
ISNUMBER(SEARCH("STAND",B416)),
ISNUMBER(SEARCH("TRAVEL ADAPTER",B416)),
ISNUMBER(SEARCH("RJ45",B416)),
ISNUMBER(SEARCH("USB-C",B416)),
ISNUMBER(SEARCH("USB WIFI",B416)),
ISNUMBER(SEARCH("POWERBANK",B416)),
ISNUMBER(SEARCH("CARGADOR",B416)),
ISNUMBER(SEARCH("COOLER PARA NB",B416)),
ISNUMBER(SEARCH("SOPORTE PARA NB",B416)),
ISNUMBER(SEARCH("WEBCAM",B416)),
ISNUMBER(SEARCH("WEB CAM",B416)),
ISNUMBER(SEARCH("MOUSE",B416)),
ISNUMBER(SEARCH("TECLADO",B416))
),
"COMPLEMENTO",
IF(
OR(
LEFT(A416,2)="NB",
LEFT(A416,2)="PC",
LEFT(A416,2)="WS",
LEFT(A416,2)="TB",
LEFT(A416,3)="CEL",
LEFT(A416,3)="MON",
LEFT(A416,3)="PRE",
LEFT(A416,3)="PRH",
ISNUMBER(SEARCH("NOTEBOOK",B416)),
ISNUMBER(SEARCH("LAPTOP",B416)),
ISNUMBER(SEARCH("MONITOR",B416)),
ISNUMBER(SEARCH("TABLET",B416)),
ISNUMBER(SEARCH("SMARTPH",B416)),
ISNUMBER(SEARCH("IMPRESORA",B416)),
ISNUMBER(SEARCH("MULTIFUNCIONAL",B416)),
ISNUMBER(SEARCH("AIO",B416))
),
"GANCHO",
"NORMAL"
)
)</f>
        <v>NORMAL</v>
      </c>
    </row>
    <row r="415" spans="1:12" x14ac:dyDescent="0.25">
      <c r="A415" s="3" t="s">
        <v>1155</v>
      </c>
      <c r="B415" s="3" t="s">
        <v>1156</v>
      </c>
      <c r="C415" s="1">
        <v>2</v>
      </c>
      <c r="D415" s="1">
        <v>1000</v>
      </c>
      <c r="E415" s="1" t="s">
        <v>1102</v>
      </c>
      <c r="F415" s="1" t="s">
        <v>3279</v>
      </c>
      <c r="G415" s="3" t="s">
        <v>1157</v>
      </c>
      <c r="H415" s="11">
        <f>ROUND(
IF(L413="GANCHO",
   IF(I415&lt;=50,I415*1.1+4,IF(I415&lt;=120,I415*1.1+7,IF(I415&lt;=250,I415*1.1+11,I415*1.1+19))),
IF(L413="NORMAL",
   IF(I415&lt;=30,I415*1.15+2,IF(I415&lt;=80,I415*1.15+4,IF(I415&lt;=150,I415*1.15+6,I415*1.15+8))),
IF(L413="COMPLEMENTO",
   IF(I415&lt;=25,I415*1.25+1.5,IF(I415&lt;=60,I415*1.25+3,IF(I415&lt;=120,I415*1.25+4,I415*1.25+5))),
""))),2)</f>
        <v>4730.3599999999997</v>
      </c>
      <c r="I415" s="9">
        <f>($K$2+0.02)*Tabla1[[#This Row],[PRECIO $]]*1.18</f>
        <v>4106.3999999999996</v>
      </c>
      <c r="J415" s="7">
        <f>+Tabla1[[#This Row],[PRECIO EN SOLES]]-Tabla1[[#This Row],[PC]]</f>
        <v>623.96</v>
      </c>
      <c r="K415" s="15"/>
      <c r="L415" s="15" t="str">
        <f>IF(
OR(
ISNUMBER(SEARCH("BACKPACK",B417)),
ISNUMBER(SEARCH("MOCHILA",B417)),
ISNUMBER(SEARCH("FUNDA",B417)),
ISNUMBER(SEARCH("ESTUCHE",B417)),
ISNUMBER(SEARCH("BOOK COVER",B417)),
ISNUMBER(SEARCH("KEYBOARD PARA TABLET",B417)),
ISNUMBER(SEARCH("FLIP TABLET",B417)),
ISNUMBER(SEARCH("CASE FOR TABLET",B417)),
ISNUMBER(SEARCH("CABLE",B417)),
ISNUMBER(SEARCH("ADAPTADOR",B417)),
ISNUMBER(SEARCH("HUB",B417)),
ISNUMBER(SEARCH("DOCK",B417)),
ISNUMBER(SEARCH("MOUSE PAD",B417)),
ISNUMBER(SEARCH("MOUSEPAD",B417)),
ISNUMBER(SEARCH("SOPORTE",B417)),
ISNUMBER(SEARCH("STAND",B417)),
ISNUMBER(SEARCH("TRAVEL ADAPTER",B417)),
ISNUMBER(SEARCH("RJ45",B417)),
ISNUMBER(SEARCH("USB-C",B417)),
ISNUMBER(SEARCH("USB WIFI",B417)),
ISNUMBER(SEARCH("POWERBANK",B417)),
ISNUMBER(SEARCH("CARGADOR",B417)),
ISNUMBER(SEARCH("COOLER PARA NB",B417)),
ISNUMBER(SEARCH("SOPORTE PARA NB",B417)),
ISNUMBER(SEARCH("WEBCAM",B417)),
ISNUMBER(SEARCH("WEB CAM",B417)),
ISNUMBER(SEARCH("MOUSE",B417)),
ISNUMBER(SEARCH("TECLADO",B417))
),
"COMPLEMENTO",
IF(
OR(
LEFT(A417,2)="NB",
LEFT(A417,2)="PC",
LEFT(A417,2)="WS",
LEFT(A417,2)="TB",
LEFT(A417,3)="CEL",
LEFT(A417,3)="MON",
LEFT(A417,3)="PRE",
LEFT(A417,3)="PRH",
ISNUMBER(SEARCH("NOTEBOOK",B417)),
ISNUMBER(SEARCH("LAPTOP",B417)),
ISNUMBER(SEARCH("MONITOR",B417)),
ISNUMBER(SEARCH("TABLET",B417)),
ISNUMBER(SEARCH("SMARTPH",B417)),
ISNUMBER(SEARCH("IMPRESORA",B417)),
ISNUMBER(SEARCH("MULTIFUNCIONAL",B417)),
ISNUMBER(SEARCH("AIO",B417))
),
"GANCHO",
"NORMAL"
)
)</f>
        <v>NORMAL</v>
      </c>
    </row>
    <row r="416" spans="1:12" x14ac:dyDescent="0.25">
      <c r="A416" s="3" t="s">
        <v>1158</v>
      </c>
      <c r="B416" s="3" t="s">
        <v>1159</v>
      </c>
      <c r="C416" s="1">
        <v>1</v>
      </c>
      <c r="D416" s="1">
        <v>1000</v>
      </c>
      <c r="E416" s="1" t="s">
        <v>1102</v>
      </c>
      <c r="F416" s="1" t="s">
        <v>3280</v>
      </c>
      <c r="G416" s="3" t="s">
        <v>1160</v>
      </c>
      <c r="H416" s="11">
        <f>ROUND(
IF(L414="GANCHO",
   IF(I416&lt;=50,I416*1.1+4,IF(I416&lt;=120,I416*1.1+7,IF(I416&lt;=250,I416*1.1+11,I416*1.1+19))),
IF(L414="NORMAL",
   IF(I416&lt;=30,I416*1.15+2,IF(I416&lt;=80,I416*1.15+4,IF(I416&lt;=150,I416*1.15+6,I416*1.15+8))),
IF(L414="COMPLEMENTO",
   IF(I416&lt;=25,I416*1.25+1.5,IF(I416&lt;=60,I416*1.25+3,IF(I416&lt;=120,I416*1.25+4,I416*1.25+5))),
""))),2)</f>
        <v>4730.3599999999997</v>
      </c>
      <c r="I416" s="9">
        <f>($K$2+0.02)*Tabla1[[#This Row],[PRECIO $]]*1.18</f>
        <v>4106.3999999999996</v>
      </c>
      <c r="J416" s="7">
        <f>+Tabla1[[#This Row],[PRECIO EN SOLES]]-Tabla1[[#This Row],[PC]]</f>
        <v>623.96</v>
      </c>
      <c r="K416" s="15"/>
      <c r="L416" s="15" t="str">
        <f>IF(
OR(
ISNUMBER(SEARCH("BACKPACK",B418)),
ISNUMBER(SEARCH("MOCHILA",B418)),
ISNUMBER(SEARCH("FUNDA",B418)),
ISNUMBER(SEARCH("ESTUCHE",B418)),
ISNUMBER(SEARCH("BOOK COVER",B418)),
ISNUMBER(SEARCH("KEYBOARD PARA TABLET",B418)),
ISNUMBER(SEARCH("FLIP TABLET",B418)),
ISNUMBER(SEARCH("CASE FOR TABLET",B418)),
ISNUMBER(SEARCH("CABLE",B418)),
ISNUMBER(SEARCH("ADAPTADOR",B418)),
ISNUMBER(SEARCH("HUB",B418)),
ISNUMBER(SEARCH("DOCK",B418)),
ISNUMBER(SEARCH("MOUSE PAD",B418)),
ISNUMBER(SEARCH("MOUSEPAD",B418)),
ISNUMBER(SEARCH("SOPORTE",B418)),
ISNUMBER(SEARCH("STAND",B418)),
ISNUMBER(SEARCH("TRAVEL ADAPTER",B418)),
ISNUMBER(SEARCH("RJ45",B418)),
ISNUMBER(SEARCH("USB-C",B418)),
ISNUMBER(SEARCH("USB WIFI",B418)),
ISNUMBER(SEARCH("POWERBANK",B418)),
ISNUMBER(SEARCH("CARGADOR",B418)),
ISNUMBER(SEARCH("COOLER PARA NB",B418)),
ISNUMBER(SEARCH("SOPORTE PARA NB",B418)),
ISNUMBER(SEARCH("WEBCAM",B418)),
ISNUMBER(SEARCH("WEB CAM",B418)),
ISNUMBER(SEARCH("MOUSE",B418)),
ISNUMBER(SEARCH("TECLADO",B418))
),
"COMPLEMENTO",
IF(
OR(
LEFT(A418,2)="NB",
LEFT(A418,2)="PC",
LEFT(A418,2)="WS",
LEFT(A418,2)="TB",
LEFT(A418,3)="CEL",
LEFT(A418,3)="MON",
LEFT(A418,3)="PRE",
LEFT(A418,3)="PRH",
ISNUMBER(SEARCH("NOTEBOOK",B418)),
ISNUMBER(SEARCH("LAPTOP",B418)),
ISNUMBER(SEARCH("MONITOR",B418)),
ISNUMBER(SEARCH("TABLET",B418)),
ISNUMBER(SEARCH("SMARTPH",B418)),
ISNUMBER(SEARCH("IMPRESORA",B418)),
ISNUMBER(SEARCH("MULTIFUNCIONAL",B418)),
ISNUMBER(SEARCH("AIO",B418))
),
"GANCHO",
"NORMAL"
)
)</f>
        <v>NORMAL</v>
      </c>
    </row>
    <row r="417" spans="1:12" x14ac:dyDescent="0.25">
      <c r="A417" s="3" t="s">
        <v>1161</v>
      </c>
      <c r="B417" s="3" t="s">
        <v>1162</v>
      </c>
      <c r="C417" s="1">
        <v>20</v>
      </c>
      <c r="D417" s="1">
        <v>113</v>
      </c>
      <c r="E417" s="1" t="s">
        <v>56</v>
      </c>
      <c r="F417" s="1" t="s">
        <v>3281</v>
      </c>
      <c r="G417" s="3" t="s">
        <v>1163</v>
      </c>
      <c r="H417" s="11">
        <f>ROUND(
IF(L415="GANCHO",
   IF(I417&lt;=50,I417*1.1+4,IF(I417&lt;=120,I417*1.1+7,IF(I417&lt;=250,I417*1.1+11,I417*1.1+19))),
IF(L415="NORMAL",
   IF(I417&lt;=30,I417*1.15+2,IF(I417&lt;=80,I417*1.15+4,IF(I417&lt;=150,I417*1.15+6,I417*1.15+8))),
IF(L415="COMPLEMENTO",
   IF(I417&lt;=25,I417*1.25+1.5,IF(I417&lt;=60,I417*1.25+3,IF(I417&lt;=120,I417*1.25+4,I417*1.25+5))),
""))),2)</f>
        <v>541.63</v>
      </c>
      <c r="I417" s="9">
        <f>($K$2+0.02)*Tabla1[[#This Row],[PRECIO $]]*1.18</f>
        <v>464.02319999999997</v>
      </c>
      <c r="J417" s="7">
        <f>+Tabla1[[#This Row],[PRECIO EN SOLES]]-Tabla1[[#This Row],[PC]]</f>
        <v>77.606800000000021</v>
      </c>
      <c r="K417" s="15"/>
      <c r="L417" s="15" t="str">
        <f>IF(
OR(
ISNUMBER(SEARCH("BACKPACK",B419)),
ISNUMBER(SEARCH("MOCHILA",B419)),
ISNUMBER(SEARCH("FUNDA",B419)),
ISNUMBER(SEARCH("ESTUCHE",B419)),
ISNUMBER(SEARCH("BOOK COVER",B419)),
ISNUMBER(SEARCH("KEYBOARD PARA TABLET",B419)),
ISNUMBER(SEARCH("FLIP TABLET",B419)),
ISNUMBER(SEARCH("CASE FOR TABLET",B419)),
ISNUMBER(SEARCH("CABLE",B419)),
ISNUMBER(SEARCH("ADAPTADOR",B419)),
ISNUMBER(SEARCH("HUB",B419)),
ISNUMBER(SEARCH("DOCK",B419)),
ISNUMBER(SEARCH("MOUSE PAD",B419)),
ISNUMBER(SEARCH("MOUSEPAD",B419)),
ISNUMBER(SEARCH("SOPORTE",B419)),
ISNUMBER(SEARCH("STAND",B419)),
ISNUMBER(SEARCH("TRAVEL ADAPTER",B419)),
ISNUMBER(SEARCH("RJ45",B419)),
ISNUMBER(SEARCH("USB-C",B419)),
ISNUMBER(SEARCH("USB WIFI",B419)),
ISNUMBER(SEARCH("POWERBANK",B419)),
ISNUMBER(SEARCH("CARGADOR",B419)),
ISNUMBER(SEARCH("COOLER PARA NB",B419)),
ISNUMBER(SEARCH("SOPORTE PARA NB",B419)),
ISNUMBER(SEARCH("WEBCAM",B419)),
ISNUMBER(SEARCH("WEB CAM",B419)),
ISNUMBER(SEARCH("MOUSE",B419)),
ISNUMBER(SEARCH("TECLADO",B419))
),
"COMPLEMENTO",
IF(
OR(
LEFT(A419,2)="NB",
LEFT(A419,2)="PC",
LEFT(A419,2)="WS",
LEFT(A419,2)="TB",
LEFT(A419,3)="CEL",
LEFT(A419,3)="MON",
LEFT(A419,3)="PRE",
LEFT(A419,3)="PRH",
ISNUMBER(SEARCH("NOTEBOOK",B419)),
ISNUMBER(SEARCH("LAPTOP",B419)),
ISNUMBER(SEARCH("MONITOR",B419)),
ISNUMBER(SEARCH("TABLET",B419)),
ISNUMBER(SEARCH("SMARTPH",B419)),
ISNUMBER(SEARCH("IMPRESORA",B419)),
ISNUMBER(SEARCH("MULTIFUNCIONAL",B419)),
ISNUMBER(SEARCH("AIO",B419))
),
"GANCHO",
"NORMAL"
)
)</f>
        <v>NORMAL</v>
      </c>
    </row>
    <row r="418" spans="1:12" x14ac:dyDescent="0.25">
      <c r="A418" s="3" t="s">
        <v>1164</v>
      </c>
      <c r="B418" s="3" t="s">
        <v>1165</v>
      </c>
      <c r="C418" s="1">
        <v>2</v>
      </c>
      <c r="D418" s="1">
        <v>150</v>
      </c>
      <c r="E418" s="1" t="s">
        <v>1166</v>
      </c>
      <c r="F418" s="1" t="s">
        <v>3282</v>
      </c>
      <c r="G418" s="3"/>
      <c r="H418" s="11">
        <f>ROUND(
IF(L416="GANCHO",
   IF(I418&lt;=50,I418*1.1+4,IF(I418&lt;=120,I418*1.1+7,IF(I418&lt;=250,I418*1.1+11,I418*1.1+19))),
IF(L416="NORMAL",
   IF(I418&lt;=30,I418*1.15+2,IF(I418&lt;=80,I418*1.15+4,IF(I418&lt;=150,I418*1.15+6,I418*1.15+8))),
IF(L416="COMPLEMENTO",
   IF(I418&lt;=25,I418*1.25+1.5,IF(I418&lt;=60,I418*1.25+3,IF(I418&lt;=120,I418*1.25+4,I418*1.25+5))),
""))),2)</f>
        <v>716.35</v>
      </c>
      <c r="I418" s="9">
        <f>($K$2+0.02)*Tabla1[[#This Row],[PRECIO $]]*1.18</f>
        <v>615.95999999999992</v>
      </c>
      <c r="J418" s="7">
        <f>+Tabla1[[#This Row],[PRECIO EN SOLES]]-Tabla1[[#This Row],[PC]]</f>
        <v>100.3900000000001</v>
      </c>
      <c r="K418" s="15"/>
      <c r="L418" s="15" t="str">
        <f>IF(
OR(
ISNUMBER(SEARCH("BACKPACK",B420)),
ISNUMBER(SEARCH("MOCHILA",B420)),
ISNUMBER(SEARCH("FUNDA",B420)),
ISNUMBER(SEARCH("ESTUCHE",B420)),
ISNUMBER(SEARCH("BOOK COVER",B420)),
ISNUMBER(SEARCH("KEYBOARD PARA TABLET",B420)),
ISNUMBER(SEARCH("FLIP TABLET",B420)),
ISNUMBER(SEARCH("CASE FOR TABLET",B420)),
ISNUMBER(SEARCH("CABLE",B420)),
ISNUMBER(SEARCH("ADAPTADOR",B420)),
ISNUMBER(SEARCH("HUB",B420)),
ISNUMBER(SEARCH("DOCK",B420)),
ISNUMBER(SEARCH("MOUSE PAD",B420)),
ISNUMBER(SEARCH("MOUSEPAD",B420)),
ISNUMBER(SEARCH("SOPORTE",B420)),
ISNUMBER(SEARCH("STAND",B420)),
ISNUMBER(SEARCH("TRAVEL ADAPTER",B420)),
ISNUMBER(SEARCH("RJ45",B420)),
ISNUMBER(SEARCH("USB-C",B420)),
ISNUMBER(SEARCH("USB WIFI",B420)),
ISNUMBER(SEARCH("POWERBANK",B420)),
ISNUMBER(SEARCH("CARGADOR",B420)),
ISNUMBER(SEARCH("COOLER PARA NB",B420)),
ISNUMBER(SEARCH("SOPORTE PARA NB",B420)),
ISNUMBER(SEARCH("WEBCAM",B420)),
ISNUMBER(SEARCH("WEB CAM",B420)),
ISNUMBER(SEARCH("MOUSE",B420)),
ISNUMBER(SEARCH("TECLADO",B420))
),
"COMPLEMENTO",
IF(
OR(
LEFT(A420,2)="NB",
LEFT(A420,2)="PC",
LEFT(A420,2)="WS",
LEFT(A420,2)="TB",
LEFT(A420,3)="CEL",
LEFT(A420,3)="MON",
LEFT(A420,3)="PRE",
LEFT(A420,3)="PRH",
ISNUMBER(SEARCH("NOTEBOOK",B420)),
ISNUMBER(SEARCH("LAPTOP",B420)),
ISNUMBER(SEARCH("MONITOR",B420)),
ISNUMBER(SEARCH("TABLET",B420)),
ISNUMBER(SEARCH("SMARTPH",B420)),
ISNUMBER(SEARCH("IMPRESORA",B420)),
ISNUMBER(SEARCH("MULTIFUNCIONAL",B420)),
ISNUMBER(SEARCH("AIO",B420))
),
"GANCHO",
"NORMAL"
)
)</f>
        <v>NORMAL</v>
      </c>
    </row>
    <row r="419" spans="1:12" x14ac:dyDescent="0.25">
      <c r="A419" s="3" t="s">
        <v>6699</v>
      </c>
      <c r="B419" s="3" t="s">
        <v>6700</v>
      </c>
      <c r="C419" s="1">
        <v>10</v>
      </c>
      <c r="D419" s="1">
        <v>177.2</v>
      </c>
      <c r="E419" s="1" t="s">
        <v>141</v>
      </c>
      <c r="F419" s="1" t="s">
        <v>6701</v>
      </c>
      <c r="G419" s="3"/>
      <c r="H419" s="11">
        <f>ROUND(
IF(L417="GANCHO",
   IF(I419&lt;=50,I419*1.1+4,IF(I419&lt;=120,I419*1.1+7,IF(I419&lt;=250,I419*1.1+11,I419*1.1+19))),
IF(L417="NORMAL",
   IF(I419&lt;=30,I419*1.15+2,IF(I419&lt;=80,I419*1.15+4,IF(I419&lt;=150,I419*1.15+6,I419*1.15+8))),
IF(L417="COMPLEMENTO",
   IF(I419&lt;=25,I419*1.25+1.5,IF(I419&lt;=60,I419*1.25+3,IF(I419&lt;=120,I419*1.25+4,I419*1.25+5))),
""))),2)</f>
        <v>844.8</v>
      </c>
      <c r="I419" s="9">
        <f>($K$2+0.02)*Tabla1[[#This Row],[PRECIO $]]*1.18</f>
        <v>727.65407999999991</v>
      </c>
      <c r="J419" s="7">
        <f>+Tabla1[[#This Row],[PRECIO EN SOLES]]-Tabla1[[#This Row],[PC]]</f>
        <v>117.14592000000005</v>
      </c>
      <c r="K419" s="15"/>
      <c r="L419" s="15" t="str">
        <f>IF(
OR(
ISNUMBER(SEARCH("BACKPACK",B421)),
ISNUMBER(SEARCH("MOCHILA",B421)),
ISNUMBER(SEARCH("FUNDA",B421)),
ISNUMBER(SEARCH("ESTUCHE",B421)),
ISNUMBER(SEARCH("BOOK COVER",B421)),
ISNUMBER(SEARCH("KEYBOARD PARA TABLET",B421)),
ISNUMBER(SEARCH("FLIP TABLET",B421)),
ISNUMBER(SEARCH("CASE FOR TABLET",B421)),
ISNUMBER(SEARCH("CABLE",B421)),
ISNUMBER(SEARCH("ADAPTADOR",B421)),
ISNUMBER(SEARCH("HUB",B421)),
ISNUMBER(SEARCH("DOCK",B421)),
ISNUMBER(SEARCH("MOUSE PAD",B421)),
ISNUMBER(SEARCH("MOUSEPAD",B421)),
ISNUMBER(SEARCH("SOPORTE",B421)),
ISNUMBER(SEARCH("STAND",B421)),
ISNUMBER(SEARCH("TRAVEL ADAPTER",B421)),
ISNUMBER(SEARCH("RJ45",B421)),
ISNUMBER(SEARCH("USB-C",B421)),
ISNUMBER(SEARCH("USB WIFI",B421)),
ISNUMBER(SEARCH("POWERBANK",B421)),
ISNUMBER(SEARCH("CARGADOR",B421)),
ISNUMBER(SEARCH("COOLER PARA NB",B421)),
ISNUMBER(SEARCH("SOPORTE PARA NB",B421)),
ISNUMBER(SEARCH("WEBCAM",B421)),
ISNUMBER(SEARCH("WEB CAM",B421)),
ISNUMBER(SEARCH("MOUSE",B421)),
ISNUMBER(SEARCH("TECLADO",B421))
),
"COMPLEMENTO",
IF(
OR(
LEFT(A421,2)="NB",
LEFT(A421,2)="PC",
LEFT(A421,2)="WS",
LEFT(A421,2)="TB",
LEFT(A421,3)="CEL",
LEFT(A421,3)="MON",
LEFT(A421,3)="PRE",
LEFT(A421,3)="PRH",
ISNUMBER(SEARCH("NOTEBOOK",B421)),
ISNUMBER(SEARCH("LAPTOP",B421)),
ISNUMBER(SEARCH("MONITOR",B421)),
ISNUMBER(SEARCH("TABLET",B421)),
ISNUMBER(SEARCH("SMARTPH",B421)),
ISNUMBER(SEARCH("IMPRESORA",B421)),
ISNUMBER(SEARCH("MULTIFUNCIONAL",B421)),
ISNUMBER(SEARCH("AIO",B421))
),
"GANCHO",
"NORMAL"
)
)</f>
        <v>NORMAL</v>
      </c>
    </row>
    <row r="420" spans="1:12" x14ac:dyDescent="0.25">
      <c r="A420" s="3" t="s">
        <v>1167</v>
      </c>
      <c r="B420" s="3" t="s">
        <v>1168</v>
      </c>
      <c r="C420" s="1">
        <v>2</v>
      </c>
      <c r="D420" s="1">
        <v>170.15</v>
      </c>
      <c r="E420" s="1" t="s">
        <v>154</v>
      </c>
      <c r="F420" s="1" t="s">
        <v>3283</v>
      </c>
      <c r="G420" s="3" t="s">
        <v>1169</v>
      </c>
      <c r="H420" s="11">
        <f>ROUND(
IF(L418="GANCHO",
   IF(I420&lt;=50,I420*1.1+4,IF(I420&lt;=120,I420*1.1+7,IF(I420&lt;=250,I420*1.1+11,I420*1.1+19))),
IF(L418="NORMAL",
   IF(I420&lt;=30,I420*1.15+2,IF(I420&lt;=80,I420*1.15+4,IF(I420&lt;=150,I420*1.15+6,I420*1.15+8))),
IF(L418="COMPLEMENTO",
   IF(I420&lt;=25,I420*1.25+1.5,IF(I420&lt;=60,I420*1.25+3,IF(I420&lt;=120,I420*1.25+4,I420*1.25+5))),
""))),2)</f>
        <v>811.51</v>
      </c>
      <c r="I420" s="9">
        <f>($K$2+0.02)*Tabla1[[#This Row],[PRECIO $]]*1.18</f>
        <v>698.70396000000005</v>
      </c>
      <c r="J420" s="7">
        <f>+Tabla1[[#This Row],[PRECIO EN SOLES]]-Tabla1[[#This Row],[PC]]</f>
        <v>112.80603999999994</v>
      </c>
      <c r="K420" s="15"/>
      <c r="L420" s="15" t="str">
        <f>IF(
OR(
ISNUMBER(SEARCH("BACKPACK",B422)),
ISNUMBER(SEARCH("MOCHILA",B422)),
ISNUMBER(SEARCH("FUNDA",B422)),
ISNUMBER(SEARCH("ESTUCHE",B422)),
ISNUMBER(SEARCH("BOOK COVER",B422)),
ISNUMBER(SEARCH("KEYBOARD PARA TABLET",B422)),
ISNUMBER(SEARCH("FLIP TABLET",B422)),
ISNUMBER(SEARCH("CASE FOR TABLET",B422)),
ISNUMBER(SEARCH("CABLE",B422)),
ISNUMBER(SEARCH("ADAPTADOR",B422)),
ISNUMBER(SEARCH("HUB",B422)),
ISNUMBER(SEARCH("DOCK",B422)),
ISNUMBER(SEARCH("MOUSE PAD",B422)),
ISNUMBER(SEARCH("MOUSEPAD",B422)),
ISNUMBER(SEARCH("SOPORTE",B422)),
ISNUMBER(SEARCH("STAND",B422)),
ISNUMBER(SEARCH("TRAVEL ADAPTER",B422)),
ISNUMBER(SEARCH("RJ45",B422)),
ISNUMBER(SEARCH("USB-C",B422)),
ISNUMBER(SEARCH("USB WIFI",B422)),
ISNUMBER(SEARCH("POWERBANK",B422)),
ISNUMBER(SEARCH("CARGADOR",B422)),
ISNUMBER(SEARCH("COOLER PARA NB",B422)),
ISNUMBER(SEARCH("SOPORTE PARA NB",B422)),
ISNUMBER(SEARCH("WEBCAM",B422)),
ISNUMBER(SEARCH("WEB CAM",B422)),
ISNUMBER(SEARCH("MOUSE",B422)),
ISNUMBER(SEARCH("TECLADO",B422))
),
"COMPLEMENTO",
IF(
OR(
LEFT(A422,2)="NB",
LEFT(A422,2)="PC",
LEFT(A422,2)="WS",
LEFT(A422,2)="TB",
LEFT(A422,3)="CEL",
LEFT(A422,3)="MON",
LEFT(A422,3)="PRE",
LEFT(A422,3)="PRH",
ISNUMBER(SEARCH("NOTEBOOK",B422)),
ISNUMBER(SEARCH("LAPTOP",B422)),
ISNUMBER(SEARCH("MONITOR",B422)),
ISNUMBER(SEARCH("TABLET",B422)),
ISNUMBER(SEARCH("SMARTPH",B422)),
ISNUMBER(SEARCH("IMPRESORA",B422)),
ISNUMBER(SEARCH("MULTIFUNCIONAL",B422)),
ISNUMBER(SEARCH("AIO",B422))
),
"GANCHO",
"NORMAL"
)
)</f>
        <v>NORMAL</v>
      </c>
    </row>
    <row r="421" spans="1:12" x14ac:dyDescent="0.25">
      <c r="A421" s="3" t="s">
        <v>235</v>
      </c>
      <c r="B421" s="3" t="s">
        <v>236</v>
      </c>
      <c r="C421" s="1">
        <v>20</v>
      </c>
      <c r="D421" s="1">
        <v>29</v>
      </c>
      <c r="E421" s="1" t="s">
        <v>52</v>
      </c>
      <c r="F421" s="1" t="s">
        <v>3284</v>
      </c>
      <c r="G421" s="3" t="s">
        <v>237</v>
      </c>
      <c r="H421" s="11">
        <f>ROUND(
IF(L419="GANCHO",
   IF(I421&lt;=50,I421*1.1+4,IF(I421&lt;=120,I421*1.1+7,IF(I421&lt;=250,I421*1.1+11,I421*1.1+19))),
IF(L419="NORMAL",
   IF(I421&lt;=30,I421*1.15+2,IF(I421&lt;=80,I421*1.15+4,IF(I421&lt;=150,I421*1.15+6,I421*1.15+8))),
IF(L419="COMPLEMENTO",
   IF(I421&lt;=25,I421*1.25+1.5,IF(I421&lt;=60,I421*1.25+3,IF(I421&lt;=120,I421*1.25+4,I421*1.25+5))),
""))),2)</f>
        <v>142.94999999999999</v>
      </c>
      <c r="I421" s="9">
        <f>($K$2+0.02)*Tabla1[[#This Row],[PRECIO $]]*1.18</f>
        <v>119.0856</v>
      </c>
      <c r="J421" s="7">
        <f>+Tabla1[[#This Row],[PRECIO EN SOLES]]-Tabla1[[#This Row],[PC]]</f>
        <v>23.864399999999989</v>
      </c>
      <c r="K421" s="15"/>
      <c r="L421" s="15" t="str">
        <f>IF(
OR(
ISNUMBER(SEARCH("BACKPACK",B423)),
ISNUMBER(SEARCH("MOCHILA",B423)),
ISNUMBER(SEARCH("FUNDA",B423)),
ISNUMBER(SEARCH("ESTUCHE",B423)),
ISNUMBER(SEARCH("BOOK COVER",B423)),
ISNUMBER(SEARCH("KEYBOARD PARA TABLET",B423)),
ISNUMBER(SEARCH("FLIP TABLET",B423)),
ISNUMBER(SEARCH("CASE FOR TABLET",B423)),
ISNUMBER(SEARCH("CABLE",B423)),
ISNUMBER(SEARCH("ADAPTADOR",B423)),
ISNUMBER(SEARCH("HUB",B423)),
ISNUMBER(SEARCH("DOCK",B423)),
ISNUMBER(SEARCH("MOUSE PAD",B423)),
ISNUMBER(SEARCH("MOUSEPAD",B423)),
ISNUMBER(SEARCH("SOPORTE",B423)),
ISNUMBER(SEARCH("STAND",B423)),
ISNUMBER(SEARCH("TRAVEL ADAPTER",B423)),
ISNUMBER(SEARCH("RJ45",B423)),
ISNUMBER(SEARCH("USB-C",B423)),
ISNUMBER(SEARCH("USB WIFI",B423)),
ISNUMBER(SEARCH("POWERBANK",B423)),
ISNUMBER(SEARCH("CARGADOR",B423)),
ISNUMBER(SEARCH("COOLER PARA NB",B423)),
ISNUMBER(SEARCH("SOPORTE PARA NB",B423)),
ISNUMBER(SEARCH("WEBCAM",B423)),
ISNUMBER(SEARCH("WEB CAM",B423)),
ISNUMBER(SEARCH("MOUSE",B423)),
ISNUMBER(SEARCH("TECLADO",B423))
),
"COMPLEMENTO",
IF(
OR(
LEFT(A423,2)="NB",
LEFT(A423,2)="PC",
LEFT(A423,2)="WS",
LEFT(A423,2)="TB",
LEFT(A423,3)="CEL",
LEFT(A423,3)="MON",
LEFT(A423,3)="PRE",
LEFT(A423,3)="PRH",
ISNUMBER(SEARCH("NOTEBOOK",B423)),
ISNUMBER(SEARCH("LAPTOP",B423)),
ISNUMBER(SEARCH("MONITOR",B423)),
ISNUMBER(SEARCH("TABLET",B423)),
ISNUMBER(SEARCH("SMARTPH",B423)),
ISNUMBER(SEARCH("IMPRESORA",B423)),
ISNUMBER(SEARCH("MULTIFUNCIONAL",B423)),
ISNUMBER(SEARCH("AIO",B423))
),
"GANCHO",
"NORMAL"
)
)</f>
        <v>NORMAL</v>
      </c>
    </row>
    <row r="422" spans="1:12" x14ac:dyDescent="0.25">
      <c r="A422" s="3" t="s">
        <v>1170</v>
      </c>
      <c r="B422" s="3" t="s">
        <v>1171</v>
      </c>
      <c r="C422" s="1">
        <v>0</v>
      </c>
      <c r="D422" s="1">
        <v>350</v>
      </c>
      <c r="E422" s="1" t="s">
        <v>52</v>
      </c>
      <c r="F422" s="1" t="s">
        <v>3285</v>
      </c>
      <c r="G422" s="3"/>
      <c r="H422" s="11">
        <f>ROUND(
IF(L420="GANCHO",
   IF(I422&lt;=50,I422*1.1+4,IF(I422&lt;=120,I422*1.1+7,IF(I422&lt;=250,I422*1.1+11,I422*1.1+19))),
IF(L420="NORMAL",
   IF(I422&lt;=30,I422*1.15+2,IF(I422&lt;=80,I422*1.15+4,IF(I422&lt;=150,I422*1.15+6,I422*1.15+8))),
IF(L420="COMPLEMENTO",
   IF(I422&lt;=25,I422*1.25+1.5,IF(I422&lt;=60,I422*1.25+3,IF(I422&lt;=120,I422*1.25+4,I422*1.25+5))),
""))),2)</f>
        <v>1660.83</v>
      </c>
      <c r="I422" s="9">
        <f>($K$2+0.02)*Tabla1[[#This Row],[PRECIO $]]*1.18</f>
        <v>1437.24</v>
      </c>
      <c r="J422" s="7">
        <f>+Tabla1[[#This Row],[PRECIO EN SOLES]]-Tabla1[[#This Row],[PC]]</f>
        <v>223.58999999999992</v>
      </c>
      <c r="K422" s="15"/>
      <c r="L422" s="15" t="str">
        <f>IF(
OR(
ISNUMBER(SEARCH("BACKPACK",B424)),
ISNUMBER(SEARCH("MOCHILA",B424)),
ISNUMBER(SEARCH("FUNDA",B424)),
ISNUMBER(SEARCH("ESTUCHE",B424)),
ISNUMBER(SEARCH("BOOK COVER",B424)),
ISNUMBER(SEARCH("KEYBOARD PARA TABLET",B424)),
ISNUMBER(SEARCH("FLIP TABLET",B424)),
ISNUMBER(SEARCH("CASE FOR TABLET",B424)),
ISNUMBER(SEARCH("CABLE",B424)),
ISNUMBER(SEARCH("ADAPTADOR",B424)),
ISNUMBER(SEARCH("HUB",B424)),
ISNUMBER(SEARCH("DOCK",B424)),
ISNUMBER(SEARCH("MOUSE PAD",B424)),
ISNUMBER(SEARCH("MOUSEPAD",B424)),
ISNUMBER(SEARCH("SOPORTE",B424)),
ISNUMBER(SEARCH("STAND",B424)),
ISNUMBER(SEARCH("TRAVEL ADAPTER",B424)),
ISNUMBER(SEARCH("RJ45",B424)),
ISNUMBER(SEARCH("USB-C",B424)),
ISNUMBER(SEARCH("USB WIFI",B424)),
ISNUMBER(SEARCH("POWERBANK",B424)),
ISNUMBER(SEARCH("CARGADOR",B424)),
ISNUMBER(SEARCH("COOLER PARA NB",B424)),
ISNUMBER(SEARCH("SOPORTE PARA NB",B424)),
ISNUMBER(SEARCH("WEBCAM",B424)),
ISNUMBER(SEARCH("WEB CAM",B424)),
ISNUMBER(SEARCH("MOUSE",B424)),
ISNUMBER(SEARCH("TECLADO",B424))
),
"COMPLEMENTO",
IF(
OR(
LEFT(A424,2)="NB",
LEFT(A424,2)="PC",
LEFT(A424,2)="WS",
LEFT(A424,2)="TB",
LEFT(A424,3)="CEL",
LEFT(A424,3)="MON",
LEFT(A424,3)="PRE",
LEFT(A424,3)="PRH",
ISNUMBER(SEARCH("NOTEBOOK",B424)),
ISNUMBER(SEARCH("LAPTOP",B424)),
ISNUMBER(SEARCH("MONITOR",B424)),
ISNUMBER(SEARCH("TABLET",B424)),
ISNUMBER(SEARCH("SMARTPH",B424)),
ISNUMBER(SEARCH("IMPRESORA",B424)),
ISNUMBER(SEARCH("MULTIFUNCIONAL",B424)),
ISNUMBER(SEARCH("AIO",B424))
),
"GANCHO",
"NORMAL"
)
)</f>
        <v>NORMAL</v>
      </c>
    </row>
    <row r="423" spans="1:12" x14ac:dyDescent="0.25">
      <c r="A423" s="3" t="s">
        <v>1172</v>
      </c>
      <c r="B423" s="3" t="s">
        <v>1173</v>
      </c>
      <c r="C423" s="1">
        <v>14</v>
      </c>
      <c r="D423" s="1">
        <v>44</v>
      </c>
      <c r="E423" s="1" t="s">
        <v>141</v>
      </c>
      <c r="F423" s="1" t="s">
        <v>3286</v>
      </c>
      <c r="G423" s="3"/>
      <c r="H423" s="11">
        <f>ROUND(
IF(L421="GANCHO",
   IF(I423&lt;=50,I423*1.1+4,IF(I423&lt;=120,I423*1.1+7,IF(I423&lt;=250,I423*1.1+11,I423*1.1+19))),
IF(L421="NORMAL",
   IF(I423&lt;=30,I423*1.15+2,IF(I423&lt;=80,I423*1.15+4,IF(I423&lt;=150,I423*1.15+6,I423*1.15+8))),
IF(L421="COMPLEMENTO",
   IF(I423&lt;=25,I423*1.25+1.5,IF(I423&lt;=60,I423*1.25+3,IF(I423&lt;=120,I423*1.25+4,I423*1.25+5))),
""))),2)</f>
        <v>215.78</v>
      </c>
      <c r="I423" s="9">
        <f>($K$2+0.02)*Tabla1[[#This Row],[PRECIO $]]*1.18</f>
        <v>180.6816</v>
      </c>
      <c r="J423" s="7">
        <f>+Tabla1[[#This Row],[PRECIO EN SOLES]]-Tabla1[[#This Row],[PC]]</f>
        <v>35.098399999999998</v>
      </c>
      <c r="K423" s="15"/>
      <c r="L423" s="15" t="str">
        <f>IF(
OR(
ISNUMBER(SEARCH("BACKPACK",B425)),
ISNUMBER(SEARCH("MOCHILA",B425)),
ISNUMBER(SEARCH("FUNDA",B425)),
ISNUMBER(SEARCH("ESTUCHE",B425)),
ISNUMBER(SEARCH("BOOK COVER",B425)),
ISNUMBER(SEARCH("KEYBOARD PARA TABLET",B425)),
ISNUMBER(SEARCH("FLIP TABLET",B425)),
ISNUMBER(SEARCH("CASE FOR TABLET",B425)),
ISNUMBER(SEARCH("CABLE",B425)),
ISNUMBER(SEARCH("ADAPTADOR",B425)),
ISNUMBER(SEARCH("HUB",B425)),
ISNUMBER(SEARCH("DOCK",B425)),
ISNUMBER(SEARCH("MOUSE PAD",B425)),
ISNUMBER(SEARCH("MOUSEPAD",B425)),
ISNUMBER(SEARCH("SOPORTE",B425)),
ISNUMBER(SEARCH("STAND",B425)),
ISNUMBER(SEARCH("TRAVEL ADAPTER",B425)),
ISNUMBER(SEARCH("RJ45",B425)),
ISNUMBER(SEARCH("USB-C",B425)),
ISNUMBER(SEARCH("USB WIFI",B425)),
ISNUMBER(SEARCH("POWERBANK",B425)),
ISNUMBER(SEARCH("CARGADOR",B425)),
ISNUMBER(SEARCH("COOLER PARA NB",B425)),
ISNUMBER(SEARCH("SOPORTE PARA NB",B425)),
ISNUMBER(SEARCH("WEBCAM",B425)),
ISNUMBER(SEARCH("WEB CAM",B425)),
ISNUMBER(SEARCH("MOUSE",B425)),
ISNUMBER(SEARCH("TECLADO",B425))
),
"COMPLEMENTO",
IF(
OR(
LEFT(A425,2)="NB",
LEFT(A425,2)="PC",
LEFT(A425,2)="WS",
LEFT(A425,2)="TB",
LEFT(A425,3)="CEL",
LEFT(A425,3)="MON",
LEFT(A425,3)="PRE",
LEFT(A425,3)="PRH",
ISNUMBER(SEARCH("NOTEBOOK",B425)),
ISNUMBER(SEARCH("LAPTOP",B425)),
ISNUMBER(SEARCH("MONITOR",B425)),
ISNUMBER(SEARCH("TABLET",B425)),
ISNUMBER(SEARCH("SMARTPH",B425)),
ISNUMBER(SEARCH("IMPRESORA",B425)),
ISNUMBER(SEARCH("MULTIFUNCIONAL",B425)),
ISNUMBER(SEARCH("AIO",B425))
),
"GANCHO",
"NORMAL"
)
)</f>
        <v>NORMAL</v>
      </c>
    </row>
    <row r="424" spans="1:12" x14ac:dyDescent="0.25">
      <c r="A424" s="3" t="s">
        <v>1174</v>
      </c>
      <c r="B424" s="3" t="s">
        <v>1175</v>
      </c>
      <c r="C424" s="1">
        <v>3</v>
      </c>
      <c r="D424" s="1">
        <v>300</v>
      </c>
      <c r="E424" s="1" t="s">
        <v>154</v>
      </c>
      <c r="F424" s="1" t="s">
        <v>3287</v>
      </c>
      <c r="G424" s="3" t="s">
        <v>1176</v>
      </c>
      <c r="H424" s="11">
        <f>ROUND(
IF(L422="GANCHO",
   IF(I424&lt;=50,I424*1.1+4,IF(I424&lt;=120,I424*1.1+7,IF(I424&lt;=250,I424*1.1+11,I424*1.1+19))),
IF(L422="NORMAL",
   IF(I424&lt;=30,I424*1.15+2,IF(I424&lt;=80,I424*1.15+4,IF(I424&lt;=150,I424*1.15+6,I424*1.15+8))),
IF(L422="COMPLEMENTO",
   IF(I424&lt;=25,I424*1.25+1.5,IF(I424&lt;=60,I424*1.25+3,IF(I424&lt;=120,I424*1.25+4,I424*1.25+5))),
""))),2)</f>
        <v>1424.71</v>
      </c>
      <c r="I424" s="9">
        <f>($K$2+0.02)*Tabla1[[#This Row],[PRECIO $]]*1.18</f>
        <v>1231.9199999999998</v>
      </c>
      <c r="J424" s="7">
        <f>+Tabla1[[#This Row],[PRECIO EN SOLES]]-Tabla1[[#This Row],[PC]]</f>
        <v>192.79000000000019</v>
      </c>
      <c r="K424" s="15"/>
      <c r="L424" s="15" t="str">
        <f>IF(
OR(
ISNUMBER(SEARCH("BACKPACK",B426)),
ISNUMBER(SEARCH("MOCHILA",B426)),
ISNUMBER(SEARCH("FUNDA",B426)),
ISNUMBER(SEARCH("ESTUCHE",B426)),
ISNUMBER(SEARCH("BOOK COVER",B426)),
ISNUMBER(SEARCH("KEYBOARD PARA TABLET",B426)),
ISNUMBER(SEARCH("FLIP TABLET",B426)),
ISNUMBER(SEARCH("CASE FOR TABLET",B426)),
ISNUMBER(SEARCH("CABLE",B426)),
ISNUMBER(SEARCH("ADAPTADOR",B426)),
ISNUMBER(SEARCH("HUB",B426)),
ISNUMBER(SEARCH("DOCK",B426)),
ISNUMBER(SEARCH("MOUSE PAD",B426)),
ISNUMBER(SEARCH("MOUSEPAD",B426)),
ISNUMBER(SEARCH("SOPORTE",B426)),
ISNUMBER(SEARCH("STAND",B426)),
ISNUMBER(SEARCH("TRAVEL ADAPTER",B426)),
ISNUMBER(SEARCH("RJ45",B426)),
ISNUMBER(SEARCH("USB-C",B426)),
ISNUMBER(SEARCH("USB WIFI",B426)),
ISNUMBER(SEARCH("POWERBANK",B426)),
ISNUMBER(SEARCH("CARGADOR",B426)),
ISNUMBER(SEARCH("COOLER PARA NB",B426)),
ISNUMBER(SEARCH("SOPORTE PARA NB",B426)),
ISNUMBER(SEARCH("WEBCAM",B426)),
ISNUMBER(SEARCH("WEB CAM",B426)),
ISNUMBER(SEARCH("MOUSE",B426)),
ISNUMBER(SEARCH("TECLADO",B426))
),
"COMPLEMENTO",
IF(
OR(
LEFT(A426,2)="NB",
LEFT(A426,2)="PC",
LEFT(A426,2)="WS",
LEFT(A426,2)="TB",
LEFT(A426,3)="CEL",
LEFT(A426,3)="MON",
LEFT(A426,3)="PRE",
LEFT(A426,3)="PRH",
ISNUMBER(SEARCH("NOTEBOOK",B426)),
ISNUMBER(SEARCH("LAPTOP",B426)),
ISNUMBER(SEARCH("MONITOR",B426)),
ISNUMBER(SEARCH("TABLET",B426)),
ISNUMBER(SEARCH("SMARTPH",B426)),
ISNUMBER(SEARCH("IMPRESORA",B426)),
ISNUMBER(SEARCH("MULTIFUNCIONAL",B426)),
ISNUMBER(SEARCH("AIO",B426))
),
"GANCHO",
"NORMAL"
)
)</f>
        <v>NORMAL</v>
      </c>
    </row>
    <row r="425" spans="1:12" x14ac:dyDescent="0.25">
      <c r="A425" s="3" t="s">
        <v>1177</v>
      </c>
      <c r="B425" s="3" t="s">
        <v>1178</v>
      </c>
      <c r="C425" s="1">
        <v>2</v>
      </c>
      <c r="D425" s="1">
        <v>77.7</v>
      </c>
      <c r="E425" s="1" t="s">
        <v>141</v>
      </c>
      <c r="F425" s="1" t="s">
        <v>3288</v>
      </c>
      <c r="G425" s="3" t="s">
        <v>1179</v>
      </c>
      <c r="H425" s="11">
        <f>ROUND(
IF(L423="GANCHO",
   IF(I425&lt;=50,I425*1.1+4,IF(I425&lt;=120,I425*1.1+7,IF(I425&lt;=250,I425*1.1+11,I425*1.1+19))),
IF(L423="NORMAL",
   IF(I425&lt;=30,I425*1.15+2,IF(I425&lt;=80,I425*1.15+4,IF(I425&lt;=150,I425*1.15+6,I425*1.15+8))),
IF(L423="COMPLEMENTO",
   IF(I425&lt;=25,I425*1.25+1.5,IF(I425&lt;=60,I425*1.25+3,IF(I425&lt;=120,I425*1.25+4,I425*1.25+5))),
""))),2)</f>
        <v>374.93</v>
      </c>
      <c r="I425" s="9">
        <f>($K$2+0.02)*Tabla1[[#This Row],[PRECIO $]]*1.18</f>
        <v>319.06727999999998</v>
      </c>
      <c r="J425" s="7">
        <f>+Tabla1[[#This Row],[PRECIO EN SOLES]]-Tabla1[[#This Row],[PC]]</f>
        <v>55.862720000000024</v>
      </c>
      <c r="K425" s="15"/>
      <c r="L425" s="15" t="str">
        <f>IF(
OR(
ISNUMBER(SEARCH("BACKPACK",B427)),
ISNUMBER(SEARCH("MOCHILA",B427)),
ISNUMBER(SEARCH("FUNDA",B427)),
ISNUMBER(SEARCH("ESTUCHE",B427)),
ISNUMBER(SEARCH("BOOK COVER",B427)),
ISNUMBER(SEARCH("KEYBOARD PARA TABLET",B427)),
ISNUMBER(SEARCH("FLIP TABLET",B427)),
ISNUMBER(SEARCH("CASE FOR TABLET",B427)),
ISNUMBER(SEARCH("CABLE",B427)),
ISNUMBER(SEARCH("ADAPTADOR",B427)),
ISNUMBER(SEARCH("HUB",B427)),
ISNUMBER(SEARCH("DOCK",B427)),
ISNUMBER(SEARCH("MOUSE PAD",B427)),
ISNUMBER(SEARCH("MOUSEPAD",B427)),
ISNUMBER(SEARCH("SOPORTE",B427)),
ISNUMBER(SEARCH("STAND",B427)),
ISNUMBER(SEARCH("TRAVEL ADAPTER",B427)),
ISNUMBER(SEARCH("RJ45",B427)),
ISNUMBER(SEARCH("USB-C",B427)),
ISNUMBER(SEARCH("USB WIFI",B427)),
ISNUMBER(SEARCH("POWERBANK",B427)),
ISNUMBER(SEARCH("CARGADOR",B427)),
ISNUMBER(SEARCH("COOLER PARA NB",B427)),
ISNUMBER(SEARCH("SOPORTE PARA NB",B427)),
ISNUMBER(SEARCH("WEBCAM",B427)),
ISNUMBER(SEARCH("WEB CAM",B427)),
ISNUMBER(SEARCH("MOUSE",B427)),
ISNUMBER(SEARCH("TECLADO",B427))
),
"COMPLEMENTO",
IF(
OR(
LEFT(A427,2)="NB",
LEFT(A427,2)="PC",
LEFT(A427,2)="WS",
LEFT(A427,2)="TB",
LEFT(A427,3)="CEL",
LEFT(A427,3)="MON",
LEFT(A427,3)="PRE",
LEFT(A427,3)="PRH",
ISNUMBER(SEARCH("NOTEBOOK",B427)),
ISNUMBER(SEARCH("LAPTOP",B427)),
ISNUMBER(SEARCH("MONITOR",B427)),
ISNUMBER(SEARCH("TABLET",B427)),
ISNUMBER(SEARCH("SMARTPH",B427)),
ISNUMBER(SEARCH("IMPRESORA",B427)),
ISNUMBER(SEARCH("MULTIFUNCIONAL",B427)),
ISNUMBER(SEARCH("AIO",B427))
),
"GANCHO",
"NORMAL"
)
)</f>
        <v>NORMAL</v>
      </c>
    </row>
    <row r="426" spans="1:12" x14ac:dyDescent="0.25">
      <c r="A426" s="3" t="s">
        <v>6702</v>
      </c>
      <c r="B426" s="3" t="s">
        <v>6703</v>
      </c>
      <c r="C426" s="1">
        <v>5</v>
      </c>
      <c r="D426" s="1">
        <v>920</v>
      </c>
      <c r="E426" s="1" t="s">
        <v>141</v>
      </c>
      <c r="F426" s="1" t="s">
        <v>6704</v>
      </c>
      <c r="G426" s="3" t="s">
        <v>6705</v>
      </c>
      <c r="H426" s="11">
        <f>ROUND(
IF(L424="GANCHO",
   IF(I426&lt;=50,I426*1.1+4,IF(I426&lt;=120,I426*1.1+7,IF(I426&lt;=250,I426*1.1+11,I426*1.1+19))),
IF(L424="NORMAL",
   IF(I426&lt;=30,I426*1.15+2,IF(I426&lt;=80,I426*1.15+4,IF(I426&lt;=150,I426*1.15+6,I426*1.15+8))),
IF(L424="COMPLEMENTO",
   IF(I426&lt;=25,I426*1.25+1.5,IF(I426&lt;=60,I426*1.25+3,IF(I426&lt;=120,I426*1.25+4,I426*1.25+5))),
""))),2)</f>
        <v>4352.57</v>
      </c>
      <c r="I426" s="9">
        <f>($K$2+0.02)*Tabla1[[#This Row],[PRECIO $]]*1.18</f>
        <v>3777.8879999999999</v>
      </c>
      <c r="J426" s="7">
        <f>+Tabla1[[#This Row],[PRECIO EN SOLES]]-Tabla1[[#This Row],[PC]]</f>
        <v>574.68199999999979</v>
      </c>
      <c r="K426" s="15"/>
      <c r="L426" s="15" t="str">
        <f>IF(
OR(
ISNUMBER(SEARCH("BACKPACK",B428)),
ISNUMBER(SEARCH("MOCHILA",B428)),
ISNUMBER(SEARCH("FUNDA",B428)),
ISNUMBER(SEARCH("ESTUCHE",B428)),
ISNUMBER(SEARCH("BOOK COVER",B428)),
ISNUMBER(SEARCH("KEYBOARD PARA TABLET",B428)),
ISNUMBER(SEARCH("FLIP TABLET",B428)),
ISNUMBER(SEARCH("CASE FOR TABLET",B428)),
ISNUMBER(SEARCH("CABLE",B428)),
ISNUMBER(SEARCH("ADAPTADOR",B428)),
ISNUMBER(SEARCH("HUB",B428)),
ISNUMBER(SEARCH("DOCK",B428)),
ISNUMBER(SEARCH("MOUSE PAD",B428)),
ISNUMBER(SEARCH("MOUSEPAD",B428)),
ISNUMBER(SEARCH("SOPORTE",B428)),
ISNUMBER(SEARCH("STAND",B428)),
ISNUMBER(SEARCH("TRAVEL ADAPTER",B428)),
ISNUMBER(SEARCH("RJ45",B428)),
ISNUMBER(SEARCH("USB-C",B428)),
ISNUMBER(SEARCH("USB WIFI",B428)),
ISNUMBER(SEARCH("POWERBANK",B428)),
ISNUMBER(SEARCH("CARGADOR",B428)),
ISNUMBER(SEARCH("COOLER PARA NB",B428)),
ISNUMBER(SEARCH("SOPORTE PARA NB",B428)),
ISNUMBER(SEARCH("WEBCAM",B428)),
ISNUMBER(SEARCH("WEB CAM",B428)),
ISNUMBER(SEARCH("MOUSE",B428)),
ISNUMBER(SEARCH("TECLADO",B428))
),
"COMPLEMENTO",
IF(
OR(
LEFT(A428,2)="NB",
LEFT(A428,2)="PC",
LEFT(A428,2)="WS",
LEFT(A428,2)="TB",
LEFT(A428,3)="CEL",
LEFT(A428,3)="MON",
LEFT(A428,3)="PRE",
LEFT(A428,3)="PRH",
ISNUMBER(SEARCH("NOTEBOOK",B428)),
ISNUMBER(SEARCH("LAPTOP",B428)),
ISNUMBER(SEARCH("MONITOR",B428)),
ISNUMBER(SEARCH("TABLET",B428)),
ISNUMBER(SEARCH("SMARTPH",B428)),
ISNUMBER(SEARCH("IMPRESORA",B428)),
ISNUMBER(SEARCH("MULTIFUNCIONAL",B428)),
ISNUMBER(SEARCH("AIO",B428))
),
"GANCHO",
"NORMAL"
)
)</f>
        <v>NORMAL</v>
      </c>
    </row>
    <row r="427" spans="1:12" x14ac:dyDescent="0.25">
      <c r="A427" s="3" t="s">
        <v>4937</v>
      </c>
      <c r="B427" s="3" t="s">
        <v>4938</v>
      </c>
      <c r="C427" s="1">
        <v>12</v>
      </c>
      <c r="D427" s="1">
        <v>433</v>
      </c>
      <c r="E427" s="1" t="s">
        <v>141</v>
      </c>
      <c r="F427" s="1" t="s">
        <v>4939</v>
      </c>
      <c r="G427" s="3" t="s">
        <v>4940</v>
      </c>
      <c r="H427" s="11">
        <f>ROUND(
IF(L425="GANCHO",
   IF(I427&lt;=50,I427*1.1+4,IF(I427&lt;=120,I427*1.1+7,IF(I427&lt;=250,I427*1.1+11,I427*1.1+19))),
IF(L425="NORMAL",
   IF(I427&lt;=30,I427*1.15+2,IF(I427&lt;=80,I427*1.15+4,IF(I427&lt;=150,I427*1.15+6,I427*1.15+8))),
IF(L425="COMPLEMENTO",
   IF(I427&lt;=25,I427*1.25+1.5,IF(I427&lt;=60,I427*1.25+3,IF(I427&lt;=120,I427*1.25+4,I427*1.25+5))),
""))),2)</f>
        <v>2052.7800000000002</v>
      </c>
      <c r="I427" s="9">
        <f>($K$2+0.02)*Tabla1[[#This Row],[PRECIO $]]*1.18</f>
        <v>1778.0711999999999</v>
      </c>
      <c r="J427" s="7">
        <f>+Tabla1[[#This Row],[PRECIO EN SOLES]]-Tabla1[[#This Row],[PC]]</f>
        <v>274.70880000000034</v>
      </c>
      <c r="K427" s="15"/>
      <c r="L427" s="15" t="str">
        <f>IF(
OR(
ISNUMBER(SEARCH("BACKPACK",B429)),
ISNUMBER(SEARCH("MOCHILA",B429)),
ISNUMBER(SEARCH("FUNDA",B429)),
ISNUMBER(SEARCH("ESTUCHE",B429)),
ISNUMBER(SEARCH("BOOK COVER",B429)),
ISNUMBER(SEARCH("KEYBOARD PARA TABLET",B429)),
ISNUMBER(SEARCH("FLIP TABLET",B429)),
ISNUMBER(SEARCH("CASE FOR TABLET",B429)),
ISNUMBER(SEARCH("CABLE",B429)),
ISNUMBER(SEARCH("ADAPTADOR",B429)),
ISNUMBER(SEARCH("HUB",B429)),
ISNUMBER(SEARCH("DOCK",B429)),
ISNUMBER(SEARCH("MOUSE PAD",B429)),
ISNUMBER(SEARCH("MOUSEPAD",B429)),
ISNUMBER(SEARCH("SOPORTE",B429)),
ISNUMBER(SEARCH("STAND",B429)),
ISNUMBER(SEARCH("TRAVEL ADAPTER",B429)),
ISNUMBER(SEARCH("RJ45",B429)),
ISNUMBER(SEARCH("USB-C",B429)),
ISNUMBER(SEARCH("USB WIFI",B429)),
ISNUMBER(SEARCH("POWERBANK",B429)),
ISNUMBER(SEARCH("CARGADOR",B429)),
ISNUMBER(SEARCH("COOLER PARA NB",B429)),
ISNUMBER(SEARCH("SOPORTE PARA NB",B429)),
ISNUMBER(SEARCH("WEBCAM",B429)),
ISNUMBER(SEARCH("WEB CAM",B429)),
ISNUMBER(SEARCH("MOUSE",B429)),
ISNUMBER(SEARCH("TECLADO",B429))
),
"COMPLEMENTO",
IF(
OR(
LEFT(A429,2)="NB",
LEFT(A429,2)="PC",
LEFT(A429,2)="WS",
LEFT(A429,2)="TB",
LEFT(A429,3)="CEL",
LEFT(A429,3)="MON",
LEFT(A429,3)="PRE",
LEFT(A429,3)="PRH",
ISNUMBER(SEARCH("NOTEBOOK",B429)),
ISNUMBER(SEARCH("LAPTOP",B429)),
ISNUMBER(SEARCH("MONITOR",B429)),
ISNUMBER(SEARCH("TABLET",B429)),
ISNUMBER(SEARCH("SMARTPH",B429)),
ISNUMBER(SEARCH("IMPRESORA",B429)),
ISNUMBER(SEARCH("MULTIFUNCIONAL",B429)),
ISNUMBER(SEARCH("AIO",B429))
),
"GANCHO",
"NORMAL"
)
)</f>
        <v>NORMAL</v>
      </c>
    </row>
    <row r="428" spans="1:12" x14ac:dyDescent="0.25">
      <c r="A428" s="3" t="s">
        <v>2930</v>
      </c>
      <c r="B428" s="3" t="s">
        <v>2931</v>
      </c>
      <c r="C428" s="1">
        <v>10</v>
      </c>
      <c r="D428" s="1">
        <v>250</v>
      </c>
      <c r="E428" s="1" t="s">
        <v>56</v>
      </c>
      <c r="F428" s="1" t="s">
        <v>3289</v>
      </c>
      <c r="G428" s="3"/>
      <c r="H428" s="11">
        <f>ROUND(
IF(L426="GANCHO",
   IF(I428&lt;=50,I428*1.1+4,IF(I428&lt;=120,I428*1.1+7,IF(I428&lt;=250,I428*1.1+11,I428*1.1+19))),
IF(L426="NORMAL",
   IF(I428&lt;=30,I428*1.15+2,IF(I428&lt;=80,I428*1.15+4,IF(I428&lt;=150,I428*1.15+6,I428*1.15+8))),
IF(L426="COMPLEMENTO",
   IF(I428&lt;=25,I428*1.25+1.5,IF(I428&lt;=60,I428*1.25+3,IF(I428&lt;=120,I428*1.25+4,I428*1.25+5))),
""))),2)</f>
        <v>1188.5899999999999</v>
      </c>
      <c r="I428" s="9">
        <f>($K$2+0.02)*Tabla1[[#This Row],[PRECIO $]]*1.18</f>
        <v>1026.5999999999999</v>
      </c>
      <c r="J428" s="7">
        <f>+Tabla1[[#This Row],[PRECIO EN SOLES]]-Tabla1[[#This Row],[PC]]</f>
        <v>161.99</v>
      </c>
      <c r="K428" s="15"/>
      <c r="L428" s="15" t="str">
        <f>IF(
OR(
ISNUMBER(SEARCH("BACKPACK",B430)),
ISNUMBER(SEARCH("MOCHILA",B430)),
ISNUMBER(SEARCH("FUNDA",B430)),
ISNUMBER(SEARCH("ESTUCHE",B430)),
ISNUMBER(SEARCH("BOOK COVER",B430)),
ISNUMBER(SEARCH("KEYBOARD PARA TABLET",B430)),
ISNUMBER(SEARCH("FLIP TABLET",B430)),
ISNUMBER(SEARCH("CASE FOR TABLET",B430)),
ISNUMBER(SEARCH("CABLE",B430)),
ISNUMBER(SEARCH("ADAPTADOR",B430)),
ISNUMBER(SEARCH("HUB",B430)),
ISNUMBER(SEARCH("DOCK",B430)),
ISNUMBER(SEARCH("MOUSE PAD",B430)),
ISNUMBER(SEARCH("MOUSEPAD",B430)),
ISNUMBER(SEARCH("SOPORTE",B430)),
ISNUMBER(SEARCH("STAND",B430)),
ISNUMBER(SEARCH("TRAVEL ADAPTER",B430)),
ISNUMBER(SEARCH("RJ45",B430)),
ISNUMBER(SEARCH("USB-C",B430)),
ISNUMBER(SEARCH("USB WIFI",B430)),
ISNUMBER(SEARCH("POWERBANK",B430)),
ISNUMBER(SEARCH("CARGADOR",B430)),
ISNUMBER(SEARCH("COOLER PARA NB",B430)),
ISNUMBER(SEARCH("SOPORTE PARA NB",B430)),
ISNUMBER(SEARCH("WEBCAM",B430)),
ISNUMBER(SEARCH("WEB CAM",B430)),
ISNUMBER(SEARCH("MOUSE",B430)),
ISNUMBER(SEARCH("TECLADO",B430))
),
"COMPLEMENTO",
IF(
OR(
LEFT(A430,2)="NB",
LEFT(A430,2)="PC",
LEFT(A430,2)="WS",
LEFT(A430,2)="TB",
LEFT(A430,3)="CEL",
LEFT(A430,3)="MON",
LEFT(A430,3)="PRE",
LEFT(A430,3)="PRH",
ISNUMBER(SEARCH("NOTEBOOK",B430)),
ISNUMBER(SEARCH("LAPTOP",B430)),
ISNUMBER(SEARCH("MONITOR",B430)),
ISNUMBER(SEARCH("TABLET",B430)),
ISNUMBER(SEARCH("SMARTPH",B430)),
ISNUMBER(SEARCH("IMPRESORA",B430)),
ISNUMBER(SEARCH("MULTIFUNCIONAL",B430)),
ISNUMBER(SEARCH("AIO",B430))
),
"GANCHO",
"NORMAL"
)
)</f>
        <v>NORMAL</v>
      </c>
    </row>
    <row r="429" spans="1:12" x14ac:dyDescent="0.25">
      <c r="A429" s="3" t="s">
        <v>2932</v>
      </c>
      <c r="B429" s="3" t="s">
        <v>2933</v>
      </c>
      <c r="C429" s="1">
        <v>2</v>
      </c>
      <c r="D429" s="1">
        <v>356</v>
      </c>
      <c r="E429" s="1" t="s">
        <v>56</v>
      </c>
      <c r="F429" s="1" t="s">
        <v>3290</v>
      </c>
      <c r="G429" s="3"/>
      <c r="H429" s="11">
        <f>ROUND(
IF(L427="GANCHO",
   IF(I429&lt;=50,I429*1.1+4,IF(I429&lt;=120,I429*1.1+7,IF(I429&lt;=250,I429*1.1+11,I429*1.1+19))),
IF(L427="NORMAL",
   IF(I429&lt;=30,I429*1.15+2,IF(I429&lt;=80,I429*1.15+4,IF(I429&lt;=150,I429*1.15+6,I429*1.15+8))),
IF(L427="COMPLEMENTO",
   IF(I429&lt;=25,I429*1.25+1.5,IF(I429&lt;=60,I429*1.25+3,IF(I429&lt;=120,I429*1.25+4,I429*1.25+5))),
""))),2)</f>
        <v>1689.16</v>
      </c>
      <c r="I429" s="9">
        <f>($K$2+0.02)*Tabla1[[#This Row],[PRECIO $]]*1.18</f>
        <v>1461.8783999999998</v>
      </c>
      <c r="J429" s="7">
        <f>+Tabla1[[#This Row],[PRECIO EN SOLES]]-Tabla1[[#This Row],[PC]]</f>
        <v>227.28160000000025</v>
      </c>
      <c r="K429" s="15"/>
      <c r="L429" s="15" t="str">
        <f>IF(
OR(
ISNUMBER(SEARCH("BACKPACK",B431)),
ISNUMBER(SEARCH("MOCHILA",B431)),
ISNUMBER(SEARCH("FUNDA",B431)),
ISNUMBER(SEARCH("ESTUCHE",B431)),
ISNUMBER(SEARCH("BOOK COVER",B431)),
ISNUMBER(SEARCH("KEYBOARD PARA TABLET",B431)),
ISNUMBER(SEARCH("FLIP TABLET",B431)),
ISNUMBER(SEARCH("CASE FOR TABLET",B431)),
ISNUMBER(SEARCH("CABLE",B431)),
ISNUMBER(SEARCH("ADAPTADOR",B431)),
ISNUMBER(SEARCH("HUB",B431)),
ISNUMBER(SEARCH("DOCK",B431)),
ISNUMBER(SEARCH("MOUSE PAD",B431)),
ISNUMBER(SEARCH("MOUSEPAD",B431)),
ISNUMBER(SEARCH("SOPORTE",B431)),
ISNUMBER(SEARCH("STAND",B431)),
ISNUMBER(SEARCH("TRAVEL ADAPTER",B431)),
ISNUMBER(SEARCH("RJ45",B431)),
ISNUMBER(SEARCH("USB-C",B431)),
ISNUMBER(SEARCH("USB WIFI",B431)),
ISNUMBER(SEARCH("POWERBANK",B431)),
ISNUMBER(SEARCH("CARGADOR",B431)),
ISNUMBER(SEARCH("COOLER PARA NB",B431)),
ISNUMBER(SEARCH("SOPORTE PARA NB",B431)),
ISNUMBER(SEARCH("WEBCAM",B431)),
ISNUMBER(SEARCH("WEB CAM",B431)),
ISNUMBER(SEARCH("MOUSE",B431)),
ISNUMBER(SEARCH("TECLADO",B431))
),
"COMPLEMENTO",
IF(
OR(
LEFT(A431,2)="NB",
LEFT(A431,2)="PC",
LEFT(A431,2)="WS",
LEFT(A431,2)="TB",
LEFT(A431,3)="CEL",
LEFT(A431,3)="MON",
LEFT(A431,3)="PRE",
LEFT(A431,3)="PRH",
ISNUMBER(SEARCH("NOTEBOOK",B431)),
ISNUMBER(SEARCH("LAPTOP",B431)),
ISNUMBER(SEARCH("MONITOR",B431)),
ISNUMBER(SEARCH("TABLET",B431)),
ISNUMBER(SEARCH("SMARTPH",B431)),
ISNUMBER(SEARCH("IMPRESORA",B431)),
ISNUMBER(SEARCH("MULTIFUNCIONAL",B431)),
ISNUMBER(SEARCH("AIO",B431))
),
"GANCHO",
"NORMAL"
)
)</f>
        <v>NORMAL</v>
      </c>
    </row>
    <row r="430" spans="1:12" x14ac:dyDescent="0.25">
      <c r="A430" s="3" t="s">
        <v>2934</v>
      </c>
      <c r="B430" s="3" t="s">
        <v>2935</v>
      </c>
      <c r="C430" s="1">
        <v>7</v>
      </c>
      <c r="D430" s="1">
        <v>493</v>
      </c>
      <c r="E430" s="1" t="s">
        <v>56</v>
      </c>
      <c r="F430" s="1" t="s">
        <v>3291</v>
      </c>
      <c r="G430" s="3"/>
      <c r="H430" s="11">
        <f>ROUND(
IF(L428="GANCHO",
   IF(I430&lt;=50,I430*1.1+4,IF(I430&lt;=120,I430*1.1+7,IF(I430&lt;=250,I430*1.1+11,I430*1.1+19))),
IF(L428="NORMAL",
   IF(I430&lt;=30,I430*1.15+2,IF(I430&lt;=80,I430*1.15+4,IF(I430&lt;=150,I430*1.15+6,I430*1.15+8))),
IF(L428="COMPLEMENTO",
   IF(I430&lt;=25,I430*1.25+1.5,IF(I430&lt;=60,I430*1.25+3,IF(I430&lt;=120,I430*1.25+4,I430*1.25+5))),
""))),2)</f>
        <v>2336.12</v>
      </c>
      <c r="I430" s="9">
        <f>($K$2+0.02)*Tabla1[[#This Row],[PRECIO $]]*1.18</f>
        <v>2024.4552000000001</v>
      </c>
      <c r="J430" s="7">
        <f>+Tabla1[[#This Row],[PRECIO EN SOLES]]-Tabla1[[#This Row],[PC]]</f>
        <v>311.66479999999979</v>
      </c>
      <c r="K430" s="15"/>
      <c r="L430" s="15" t="str">
        <f>IF(
OR(
ISNUMBER(SEARCH("BACKPACK",B432)),
ISNUMBER(SEARCH("MOCHILA",B432)),
ISNUMBER(SEARCH("FUNDA",B432)),
ISNUMBER(SEARCH("ESTUCHE",B432)),
ISNUMBER(SEARCH("BOOK COVER",B432)),
ISNUMBER(SEARCH("KEYBOARD PARA TABLET",B432)),
ISNUMBER(SEARCH("FLIP TABLET",B432)),
ISNUMBER(SEARCH("CASE FOR TABLET",B432)),
ISNUMBER(SEARCH("CABLE",B432)),
ISNUMBER(SEARCH("ADAPTADOR",B432)),
ISNUMBER(SEARCH("HUB",B432)),
ISNUMBER(SEARCH("DOCK",B432)),
ISNUMBER(SEARCH("MOUSE PAD",B432)),
ISNUMBER(SEARCH("MOUSEPAD",B432)),
ISNUMBER(SEARCH("SOPORTE",B432)),
ISNUMBER(SEARCH("STAND",B432)),
ISNUMBER(SEARCH("TRAVEL ADAPTER",B432)),
ISNUMBER(SEARCH("RJ45",B432)),
ISNUMBER(SEARCH("USB-C",B432)),
ISNUMBER(SEARCH("USB WIFI",B432)),
ISNUMBER(SEARCH("POWERBANK",B432)),
ISNUMBER(SEARCH("CARGADOR",B432)),
ISNUMBER(SEARCH("COOLER PARA NB",B432)),
ISNUMBER(SEARCH("SOPORTE PARA NB",B432)),
ISNUMBER(SEARCH("WEBCAM",B432)),
ISNUMBER(SEARCH("WEB CAM",B432)),
ISNUMBER(SEARCH("MOUSE",B432)),
ISNUMBER(SEARCH("TECLADO",B432))
),
"COMPLEMENTO",
IF(
OR(
LEFT(A432,2)="NB",
LEFT(A432,2)="PC",
LEFT(A432,2)="WS",
LEFT(A432,2)="TB",
LEFT(A432,3)="CEL",
LEFT(A432,3)="MON",
LEFT(A432,3)="PRE",
LEFT(A432,3)="PRH",
ISNUMBER(SEARCH("NOTEBOOK",B432)),
ISNUMBER(SEARCH("LAPTOP",B432)),
ISNUMBER(SEARCH("MONITOR",B432)),
ISNUMBER(SEARCH("TABLET",B432)),
ISNUMBER(SEARCH("SMARTPH",B432)),
ISNUMBER(SEARCH("IMPRESORA",B432)),
ISNUMBER(SEARCH("MULTIFUNCIONAL",B432)),
ISNUMBER(SEARCH("AIO",B432))
),
"GANCHO",
"NORMAL"
)
)</f>
        <v>NORMAL</v>
      </c>
    </row>
    <row r="431" spans="1:12" x14ac:dyDescent="0.25">
      <c r="A431" s="3" t="s">
        <v>1180</v>
      </c>
      <c r="B431" s="3" t="s">
        <v>1181</v>
      </c>
      <c r="C431" s="1">
        <v>1</v>
      </c>
      <c r="D431" s="1">
        <v>1612</v>
      </c>
      <c r="E431" s="1" t="s">
        <v>141</v>
      </c>
      <c r="F431" s="1" t="s">
        <v>3292</v>
      </c>
      <c r="G431" s="3"/>
      <c r="H431" s="11">
        <f>ROUND(
IF(L429="GANCHO",
   IF(I431&lt;=50,I431*1.1+4,IF(I431&lt;=120,I431*1.1+7,IF(I431&lt;=250,I431*1.1+11,I431*1.1+19))),
IF(L429="NORMAL",
   IF(I431&lt;=30,I431*1.15+2,IF(I431&lt;=80,I431*1.15+4,IF(I431&lt;=150,I431*1.15+6,I431*1.15+8))),
IF(L429="COMPLEMENTO",
   IF(I431&lt;=25,I431*1.25+1.5,IF(I431&lt;=60,I431*1.25+3,IF(I431&lt;=120,I431*1.25+4,I431*1.25+5))),
""))),2)</f>
        <v>7620.44</v>
      </c>
      <c r="I431" s="9">
        <f>($K$2+0.02)*Tabla1[[#This Row],[PRECIO $]]*1.18</f>
        <v>6619.5168000000003</v>
      </c>
      <c r="J431" s="7">
        <f>+Tabla1[[#This Row],[PRECIO EN SOLES]]-Tabla1[[#This Row],[PC]]</f>
        <v>1000.9231999999993</v>
      </c>
      <c r="K431" s="15"/>
      <c r="L431" s="15" t="str">
        <f>IF(
OR(
ISNUMBER(SEARCH("BACKPACK",B433)),
ISNUMBER(SEARCH("MOCHILA",B433)),
ISNUMBER(SEARCH("FUNDA",B433)),
ISNUMBER(SEARCH("ESTUCHE",B433)),
ISNUMBER(SEARCH("BOOK COVER",B433)),
ISNUMBER(SEARCH("KEYBOARD PARA TABLET",B433)),
ISNUMBER(SEARCH("FLIP TABLET",B433)),
ISNUMBER(SEARCH("CASE FOR TABLET",B433)),
ISNUMBER(SEARCH("CABLE",B433)),
ISNUMBER(SEARCH("ADAPTADOR",B433)),
ISNUMBER(SEARCH("HUB",B433)),
ISNUMBER(SEARCH("DOCK",B433)),
ISNUMBER(SEARCH("MOUSE PAD",B433)),
ISNUMBER(SEARCH("MOUSEPAD",B433)),
ISNUMBER(SEARCH("SOPORTE",B433)),
ISNUMBER(SEARCH("STAND",B433)),
ISNUMBER(SEARCH("TRAVEL ADAPTER",B433)),
ISNUMBER(SEARCH("RJ45",B433)),
ISNUMBER(SEARCH("USB-C",B433)),
ISNUMBER(SEARCH("USB WIFI",B433)),
ISNUMBER(SEARCH("POWERBANK",B433)),
ISNUMBER(SEARCH("CARGADOR",B433)),
ISNUMBER(SEARCH("COOLER PARA NB",B433)),
ISNUMBER(SEARCH("SOPORTE PARA NB",B433)),
ISNUMBER(SEARCH("WEBCAM",B433)),
ISNUMBER(SEARCH("WEB CAM",B433)),
ISNUMBER(SEARCH("MOUSE",B433)),
ISNUMBER(SEARCH("TECLADO",B433))
),
"COMPLEMENTO",
IF(
OR(
LEFT(A433,2)="NB",
LEFT(A433,2)="PC",
LEFT(A433,2)="WS",
LEFT(A433,2)="TB",
LEFT(A433,3)="CEL",
LEFT(A433,3)="MON",
LEFT(A433,3)="PRE",
LEFT(A433,3)="PRH",
ISNUMBER(SEARCH("NOTEBOOK",B433)),
ISNUMBER(SEARCH("LAPTOP",B433)),
ISNUMBER(SEARCH("MONITOR",B433)),
ISNUMBER(SEARCH("TABLET",B433)),
ISNUMBER(SEARCH("SMARTPH",B433)),
ISNUMBER(SEARCH("IMPRESORA",B433)),
ISNUMBER(SEARCH("MULTIFUNCIONAL",B433)),
ISNUMBER(SEARCH("AIO",B433))
),
"GANCHO",
"NORMAL"
)
)</f>
        <v>NORMAL</v>
      </c>
    </row>
    <row r="432" spans="1:12" x14ac:dyDescent="0.25">
      <c r="A432" s="3" t="s">
        <v>1182</v>
      </c>
      <c r="B432" s="3" t="s">
        <v>1183</v>
      </c>
      <c r="C432" s="1">
        <v>3</v>
      </c>
      <c r="D432" s="1">
        <v>612</v>
      </c>
      <c r="E432" s="1" t="s">
        <v>154</v>
      </c>
      <c r="F432" s="1" t="s">
        <v>3293</v>
      </c>
      <c r="G432" s="3" t="s">
        <v>4781</v>
      </c>
      <c r="H432" s="11">
        <f>ROUND(
IF(L430="GANCHO",
   IF(I432&lt;=50,I432*1.1+4,IF(I432&lt;=120,I432*1.1+7,IF(I432&lt;=250,I432*1.1+11,I432*1.1+19))),
IF(L430="NORMAL",
   IF(I432&lt;=30,I432*1.15+2,IF(I432&lt;=80,I432*1.15+4,IF(I432&lt;=150,I432*1.15+6,I432*1.15+8))),
IF(L430="COMPLEMENTO",
   IF(I432&lt;=25,I432*1.25+1.5,IF(I432&lt;=60,I432*1.25+3,IF(I432&lt;=120,I432*1.25+4,I432*1.25+5))),
""))),2)</f>
        <v>2898.08</v>
      </c>
      <c r="I432" s="9">
        <f>($K$2+0.02)*Tabla1[[#This Row],[PRECIO $]]*1.18</f>
        <v>2513.1167999999998</v>
      </c>
      <c r="J432" s="7">
        <f>+Tabla1[[#This Row],[PRECIO EN SOLES]]-Tabla1[[#This Row],[PC]]</f>
        <v>384.96320000000014</v>
      </c>
      <c r="K432" s="15"/>
      <c r="L432" s="15" t="str">
        <f>IF(
OR(
ISNUMBER(SEARCH("BACKPACK",B434)),
ISNUMBER(SEARCH("MOCHILA",B434)),
ISNUMBER(SEARCH("FUNDA",B434)),
ISNUMBER(SEARCH("ESTUCHE",B434)),
ISNUMBER(SEARCH("BOOK COVER",B434)),
ISNUMBER(SEARCH("KEYBOARD PARA TABLET",B434)),
ISNUMBER(SEARCH("FLIP TABLET",B434)),
ISNUMBER(SEARCH("CASE FOR TABLET",B434)),
ISNUMBER(SEARCH("CABLE",B434)),
ISNUMBER(SEARCH("ADAPTADOR",B434)),
ISNUMBER(SEARCH("HUB",B434)),
ISNUMBER(SEARCH("DOCK",B434)),
ISNUMBER(SEARCH("MOUSE PAD",B434)),
ISNUMBER(SEARCH("MOUSEPAD",B434)),
ISNUMBER(SEARCH("SOPORTE",B434)),
ISNUMBER(SEARCH("STAND",B434)),
ISNUMBER(SEARCH("TRAVEL ADAPTER",B434)),
ISNUMBER(SEARCH("RJ45",B434)),
ISNUMBER(SEARCH("USB-C",B434)),
ISNUMBER(SEARCH("USB WIFI",B434)),
ISNUMBER(SEARCH("POWERBANK",B434)),
ISNUMBER(SEARCH("CARGADOR",B434)),
ISNUMBER(SEARCH("COOLER PARA NB",B434)),
ISNUMBER(SEARCH("SOPORTE PARA NB",B434)),
ISNUMBER(SEARCH("WEBCAM",B434)),
ISNUMBER(SEARCH("WEB CAM",B434)),
ISNUMBER(SEARCH("MOUSE",B434)),
ISNUMBER(SEARCH("TECLADO",B434))
),
"COMPLEMENTO",
IF(
OR(
LEFT(A434,2)="NB",
LEFT(A434,2)="PC",
LEFT(A434,2)="WS",
LEFT(A434,2)="TB",
LEFT(A434,3)="CEL",
LEFT(A434,3)="MON",
LEFT(A434,3)="PRE",
LEFT(A434,3)="PRH",
ISNUMBER(SEARCH("NOTEBOOK",B434)),
ISNUMBER(SEARCH("LAPTOP",B434)),
ISNUMBER(SEARCH("MONITOR",B434)),
ISNUMBER(SEARCH("TABLET",B434)),
ISNUMBER(SEARCH("SMARTPH",B434)),
ISNUMBER(SEARCH("IMPRESORA",B434)),
ISNUMBER(SEARCH("MULTIFUNCIONAL",B434)),
ISNUMBER(SEARCH("AIO",B434))
),
"GANCHO",
"NORMAL"
)
)</f>
        <v>NORMAL</v>
      </c>
    </row>
    <row r="433" spans="1:12" x14ac:dyDescent="0.25">
      <c r="A433" s="3" t="s">
        <v>1184</v>
      </c>
      <c r="B433" s="3" t="s">
        <v>1185</v>
      </c>
      <c r="C433" s="1">
        <v>4</v>
      </c>
      <c r="D433" s="1">
        <v>4235</v>
      </c>
      <c r="E433" s="1" t="s">
        <v>141</v>
      </c>
      <c r="F433" s="1" t="s">
        <v>3294</v>
      </c>
      <c r="G433" s="3" t="s">
        <v>1186</v>
      </c>
      <c r="H433" s="11">
        <f>ROUND(
IF(L431="GANCHO",
   IF(I433&lt;=50,I433*1.1+4,IF(I433&lt;=120,I433*1.1+7,IF(I433&lt;=250,I433*1.1+11,I433*1.1+19))),
IF(L431="NORMAL",
   IF(I433&lt;=30,I433*1.15+2,IF(I433&lt;=80,I433*1.15+4,IF(I433&lt;=150,I433*1.15+6,I433*1.15+8))),
IF(L431="COMPLEMENTO",
   IF(I433&lt;=25,I433*1.25+1.5,IF(I433&lt;=60,I433*1.25+3,IF(I433&lt;=120,I433*1.25+4,I433*1.25+5))),
""))),2)</f>
        <v>20007.189999999999</v>
      </c>
      <c r="I433" s="9">
        <f>($K$2+0.02)*Tabla1[[#This Row],[PRECIO $]]*1.18</f>
        <v>17390.603999999999</v>
      </c>
      <c r="J433" s="7">
        <f>+Tabla1[[#This Row],[PRECIO EN SOLES]]-Tabla1[[#This Row],[PC]]</f>
        <v>2616.5859999999993</v>
      </c>
      <c r="K433" s="15"/>
      <c r="L433" s="15" t="str">
        <f>IF(
OR(
ISNUMBER(SEARCH("BACKPACK",B435)),
ISNUMBER(SEARCH("MOCHILA",B435)),
ISNUMBER(SEARCH("FUNDA",B435)),
ISNUMBER(SEARCH("ESTUCHE",B435)),
ISNUMBER(SEARCH("BOOK COVER",B435)),
ISNUMBER(SEARCH("KEYBOARD PARA TABLET",B435)),
ISNUMBER(SEARCH("FLIP TABLET",B435)),
ISNUMBER(SEARCH("CASE FOR TABLET",B435)),
ISNUMBER(SEARCH("CABLE",B435)),
ISNUMBER(SEARCH("ADAPTADOR",B435)),
ISNUMBER(SEARCH("HUB",B435)),
ISNUMBER(SEARCH("DOCK",B435)),
ISNUMBER(SEARCH("MOUSE PAD",B435)),
ISNUMBER(SEARCH("MOUSEPAD",B435)),
ISNUMBER(SEARCH("SOPORTE",B435)),
ISNUMBER(SEARCH("STAND",B435)),
ISNUMBER(SEARCH("TRAVEL ADAPTER",B435)),
ISNUMBER(SEARCH("RJ45",B435)),
ISNUMBER(SEARCH("USB-C",B435)),
ISNUMBER(SEARCH("USB WIFI",B435)),
ISNUMBER(SEARCH("POWERBANK",B435)),
ISNUMBER(SEARCH("CARGADOR",B435)),
ISNUMBER(SEARCH("COOLER PARA NB",B435)),
ISNUMBER(SEARCH("SOPORTE PARA NB",B435)),
ISNUMBER(SEARCH("WEBCAM",B435)),
ISNUMBER(SEARCH("WEB CAM",B435)),
ISNUMBER(SEARCH("MOUSE",B435)),
ISNUMBER(SEARCH("TECLADO",B435))
),
"COMPLEMENTO",
IF(
OR(
LEFT(A435,2)="NB",
LEFT(A435,2)="PC",
LEFT(A435,2)="WS",
LEFT(A435,2)="TB",
LEFT(A435,3)="CEL",
LEFT(A435,3)="MON",
LEFT(A435,3)="PRE",
LEFT(A435,3)="PRH",
ISNUMBER(SEARCH("NOTEBOOK",B435)),
ISNUMBER(SEARCH("LAPTOP",B435)),
ISNUMBER(SEARCH("MONITOR",B435)),
ISNUMBER(SEARCH("TABLET",B435)),
ISNUMBER(SEARCH("SMARTPH",B435)),
ISNUMBER(SEARCH("IMPRESORA",B435)),
ISNUMBER(SEARCH("MULTIFUNCIONAL",B435)),
ISNUMBER(SEARCH("AIO",B435))
),
"GANCHO",
"NORMAL"
)
)</f>
        <v>NORMAL</v>
      </c>
    </row>
    <row r="434" spans="1:12" x14ac:dyDescent="0.25">
      <c r="A434" s="3" t="s">
        <v>1187</v>
      </c>
      <c r="B434" s="3" t="s">
        <v>1188</v>
      </c>
      <c r="C434" s="1">
        <v>4</v>
      </c>
      <c r="D434" s="1">
        <v>373</v>
      </c>
      <c r="E434" s="1" t="s">
        <v>154</v>
      </c>
      <c r="F434" s="1" t="s">
        <v>3295</v>
      </c>
      <c r="G434" s="3" t="s">
        <v>1189</v>
      </c>
      <c r="H434" s="11">
        <f>ROUND(
IF(L432="GANCHO",
   IF(I434&lt;=50,I434*1.1+4,IF(I434&lt;=120,I434*1.1+7,IF(I434&lt;=250,I434*1.1+11,I434*1.1+19))),
IF(L432="NORMAL",
   IF(I434&lt;=30,I434*1.15+2,IF(I434&lt;=80,I434*1.15+4,IF(I434&lt;=150,I434*1.15+6,I434*1.15+8))),
IF(L432="COMPLEMENTO",
   IF(I434&lt;=25,I434*1.25+1.5,IF(I434&lt;=60,I434*1.25+3,IF(I434&lt;=120,I434*1.25+4,I434*1.25+5))),
""))),2)</f>
        <v>1769.44</v>
      </c>
      <c r="I434" s="9">
        <f>($K$2+0.02)*Tabla1[[#This Row],[PRECIO $]]*1.18</f>
        <v>1531.6871999999998</v>
      </c>
      <c r="J434" s="7">
        <f>+Tabla1[[#This Row],[PRECIO EN SOLES]]-Tabla1[[#This Row],[PC]]</f>
        <v>237.75280000000021</v>
      </c>
      <c r="K434" s="15"/>
      <c r="L434" s="15" t="str">
        <f>IF(
OR(
ISNUMBER(SEARCH("BACKPACK",B436)),
ISNUMBER(SEARCH("MOCHILA",B436)),
ISNUMBER(SEARCH("FUNDA",B436)),
ISNUMBER(SEARCH("ESTUCHE",B436)),
ISNUMBER(SEARCH("BOOK COVER",B436)),
ISNUMBER(SEARCH("KEYBOARD PARA TABLET",B436)),
ISNUMBER(SEARCH("FLIP TABLET",B436)),
ISNUMBER(SEARCH("CASE FOR TABLET",B436)),
ISNUMBER(SEARCH("CABLE",B436)),
ISNUMBER(SEARCH("ADAPTADOR",B436)),
ISNUMBER(SEARCH("HUB",B436)),
ISNUMBER(SEARCH("DOCK",B436)),
ISNUMBER(SEARCH("MOUSE PAD",B436)),
ISNUMBER(SEARCH("MOUSEPAD",B436)),
ISNUMBER(SEARCH("SOPORTE",B436)),
ISNUMBER(SEARCH("STAND",B436)),
ISNUMBER(SEARCH("TRAVEL ADAPTER",B436)),
ISNUMBER(SEARCH("RJ45",B436)),
ISNUMBER(SEARCH("USB-C",B436)),
ISNUMBER(SEARCH("USB WIFI",B436)),
ISNUMBER(SEARCH("POWERBANK",B436)),
ISNUMBER(SEARCH("CARGADOR",B436)),
ISNUMBER(SEARCH("COOLER PARA NB",B436)),
ISNUMBER(SEARCH("SOPORTE PARA NB",B436)),
ISNUMBER(SEARCH("WEBCAM",B436)),
ISNUMBER(SEARCH("WEB CAM",B436)),
ISNUMBER(SEARCH("MOUSE",B436)),
ISNUMBER(SEARCH("TECLADO",B436))
),
"COMPLEMENTO",
IF(
OR(
LEFT(A436,2)="NB",
LEFT(A436,2)="PC",
LEFT(A436,2)="WS",
LEFT(A436,2)="TB",
LEFT(A436,3)="CEL",
LEFT(A436,3)="MON",
LEFT(A436,3)="PRE",
LEFT(A436,3)="PRH",
ISNUMBER(SEARCH("NOTEBOOK",B436)),
ISNUMBER(SEARCH("LAPTOP",B436)),
ISNUMBER(SEARCH("MONITOR",B436)),
ISNUMBER(SEARCH("TABLET",B436)),
ISNUMBER(SEARCH("SMARTPH",B436)),
ISNUMBER(SEARCH("IMPRESORA",B436)),
ISNUMBER(SEARCH("MULTIFUNCIONAL",B436)),
ISNUMBER(SEARCH("AIO",B436))
),
"GANCHO",
"NORMAL"
)
)</f>
        <v>NORMAL</v>
      </c>
    </row>
    <row r="435" spans="1:12" x14ac:dyDescent="0.25">
      <c r="A435" s="3" t="s">
        <v>4941</v>
      </c>
      <c r="B435" s="3" t="s">
        <v>4942</v>
      </c>
      <c r="C435" s="1">
        <v>8</v>
      </c>
      <c r="D435" s="1">
        <v>919</v>
      </c>
      <c r="E435" s="1" t="s">
        <v>154</v>
      </c>
      <c r="F435" s="1" t="s">
        <v>4943</v>
      </c>
      <c r="G435" s="3"/>
      <c r="H435" s="11">
        <f>ROUND(
IF(L433="GANCHO",
   IF(I435&lt;=50,I435*1.1+4,IF(I435&lt;=120,I435*1.1+7,IF(I435&lt;=250,I435*1.1+11,I435*1.1+19))),
IF(L433="NORMAL",
   IF(I435&lt;=30,I435*1.15+2,IF(I435&lt;=80,I435*1.15+4,IF(I435&lt;=150,I435*1.15+6,I435*1.15+8))),
IF(L433="COMPLEMENTO",
   IF(I435&lt;=25,I435*1.25+1.5,IF(I435&lt;=60,I435*1.25+3,IF(I435&lt;=120,I435*1.25+4,I435*1.25+5))),
""))),2)</f>
        <v>4347.8500000000004</v>
      </c>
      <c r="I435" s="9">
        <f>($K$2+0.02)*Tabla1[[#This Row],[PRECIO $]]*1.18</f>
        <v>3773.7815999999998</v>
      </c>
      <c r="J435" s="7">
        <f>+Tabla1[[#This Row],[PRECIO EN SOLES]]-Tabla1[[#This Row],[PC]]</f>
        <v>574.06840000000057</v>
      </c>
      <c r="K435" s="15"/>
      <c r="L435" s="15" t="str">
        <f>IF(
OR(
ISNUMBER(SEARCH("BACKPACK",B437)),
ISNUMBER(SEARCH("MOCHILA",B437)),
ISNUMBER(SEARCH("FUNDA",B437)),
ISNUMBER(SEARCH("ESTUCHE",B437)),
ISNUMBER(SEARCH("BOOK COVER",B437)),
ISNUMBER(SEARCH("KEYBOARD PARA TABLET",B437)),
ISNUMBER(SEARCH("FLIP TABLET",B437)),
ISNUMBER(SEARCH("CASE FOR TABLET",B437)),
ISNUMBER(SEARCH("CABLE",B437)),
ISNUMBER(SEARCH("ADAPTADOR",B437)),
ISNUMBER(SEARCH("HUB",B437)),
ISNUMBER(SEARCH("DOCK",B437)),
ISNUMBER(SEARCH("MOUSE PAD",B437)),
ISNUMBER(SEARCH("MOUSEPAD",B437)),
ISNUMBER(SEARCH("SOPORTE",B437)),
ISNUMBER(SEARCH("STAND",B437)),
ISNUMBER(SEARCH("TRAVEL ADAPTER",B437)),
ISNUMBER(SEARCH("RJ45",B437)),
ISNUMBER(SEARCH("USB-C",B437)),
ISNUMBER(SEARCH("USB WIFI",B437)),
ISNUMBER(SEARCH("POWERBANK",B437)),
ISNUMBER(SEARCH("CARGADOR",B437)),
ISNUMBER(SEARCH("COOLER PARA NB",B437)),
ISNUMBER(SEARCH("SOPORTE PARA NB",B437)),
ISNUMBER(SEARCH("WEBCAM",B437)),
ISNUMBER(SEARCH("WEB CAM",B437)),
ISNUMBER(SEARCH("MOUSE",B437)),
ISNUMBER(SEARCH("TECLADO",B437))
),
"COMPLEMENTO",
IF(
OR(
LEFT(A437,2)="NB",
LEFT(A437,2)="PC",
LEFT(A437,2)="WS",
LEFT(A437,2)="TB",
LEFT(A437,3)="CEL",
LEFT(A437,3)="MON",
LEFT(A437,3)="PRE",
LEFT(A437,3)="PRH",
ISNUMBER(SEARCH("NOTEBOOK",B437)),
ISNUMBER(SEARCH("LAPTOP",B437)),
ISNUMBER(SEARCH("MONITOR",B437)),
ISNUMBER(SEARCH("TABLET",B437)),
ISNUMBER(SEARCH("SMARTPH",B437)),
ISNUMBER(SEARCH("IMPRESORA",B437)),
ISNUMBER(SEARCH("MULTIFUNCIONAL",B437)),
ISNUMBER(SEARCH("AIO",B437))
),
"GANCHO",
"NORMAL"
)
)</f>
        <v>NORMAL</v>
      </c>
    </row>
    <row r="436" spans="1:12" x14ac:dyDescent="0.25">
      <c r="A436" s="3" t="s">
        <v>1190</v>
      </c>
      <c r="B436" s="3" t="s">
        <v>1191</v>
      </c>
      <c r="C436" s="1">
        <v>20</v>
      </c>
      <c r="D436" s="1">
        <v>1496</v>
      </c>
      <c r="E436" s="1" t="s">
        <v>141</v>
      </c>
      <c r="F436" s="1" t="s">
        <v>3296</v>
      </c>
      <c r="G436" s="3" t="s">
        <v>1192</v>
      </c>
      <c r="H436" s="11">
        <f>ROUND(
IF(L434="GANCHO",
   IF(I436&lt;=50,I436*1.1+4,IF(I436&lt;=120,I436*1.1+7,IF(I436&lt;=250,I436*1.1+11,I436*1.1+19))),
IF(L434="NORMAL",
   IF(I436&lt;=30,I436*1.15+2,IF(I436&lt;=80,I436*1.15+4,IF(I436&lt;=150,I436*1.15+6,I436*1.15+8))),
IF(L434="COMPLEMENTO",
   IF(I436&lt;=25,I436*1.25+1.5,IF(I436&lt;=60,I436*1.25+3,IF(I436&lt;=120,I436*1.25+4,I436*1.25+5))),
""))),2)</f>
        <v>7072.65</v>
      </c>
      <c r="I436" s="9">
        <f>($K$2+0.02)*Tabla1[[#This Row],[PRECIO $]]*1.18</f>
        <v>6143.1743999999999</v>
      </c>
      <c r="J436" s="7">
        <f>+Tabla1[[#This Row],[PRECIO EN SOLES]]-Tabla1[[#This Row],[PC]]</f>
        <v>929.47559999999976</v>
      </c>
      <c r="K436" s="15"/>
      <c r="L436" s="15" t="str">
        <f>IF(
OR(
ISNUMBER(SEARCH("BACKPACK",B438)),
ISNUMBER(SEARCH("MOCHILA",B438)),
ISNUMBER(SEARCH("FUNDA",B438)),
ISNUMBER(SEARCH("ESTUCHE",B438)),
ISNUMBER(SEARCH("BOOK COVER",B438)),
ISNUMBER(SEARCH("KEYBOARD PARA TABLET",B438)),
ISNUMBER(SEARCH("FLIP TABLET",B438)),
ISNUMBER(SEARCH("CASE FOR TABLET",B438)),
ISNUMBER(SEARCH("CABLE",B438)),
ISNUMBER(SEARCH("ADAPTADOR",B438)),
ISNUMBER(SEARCH("HUB",B438)),
ISNUMBER(SEARCH("DOCK",B438)),
ISNUMBER(SEARCH("MOUSE PAD",B438)),
ISNUMBER(SEARCH("MOUSEPAD",B438)),
ISNUMBER(SEARCH("SOPORTE",B438)),
ISNUMBER(SEARCH("STAND",B438)),
ISNUMBER(SEARCH("TRAVEL ADAPTER",B438)),
ISNUMBER(SEARCH("RJ45",B438)),
ISNUMBER(SEARCH("USB-C",B438)),
ISNUMBER(SEARCH("USB WIFI",B438)),
ISNUMBER(SEARCH("POWERBANK",B438)),
ISNUMBER(SEARCH("CARGADOR",B438)),
ISNUMBER(SEARCH("COOLER PARA NB",B438)),
ISNUMBER(SEARCH("SOPORTE PARA NB",B438)),
ISNUMBER(SEARCH("WEBCAM",B438)),
ISNUMBER(SEARCH("WEB CAM",B438)),
ISNUMBER(SEARCH("MOUSE",B438)),
ISNUMBER(SEARCH("TECLADO",B438))
),
"COMPLEMENTO",
IF(
OR(
LEFT(A438,2)="NB",
LEFT(A438,2)="PC",
LEFT(A438,2)="WS",
LEFT(A438,2)="TB",
LEFT(A438,3)="CEL",
LEFT(A438,3)="MON",
LEFT(A438,3)="PRE",
LEFT(A438,3)="PRH",
ISNUMBER(SEARCH("NOTEBOOK",B438)),
ISNUMBER(SEARCH("LAPTOP",B438)),
ISNUMBER(SEARCH("MONITOR",B438)),
ISNUMBER(SEARCH("TABLET",B438)),
ISNUMBER(SEARCH("SMARTPH",B438)),
ISNUMBER(SEARCH("IMPRESORA",B438)),
ISNUMBER(SEARCH("MULTIFUNCIONAL",B438)),
ISNUMBER(SEARCH("AIO",B438))
),
"GANCHO",
"NORMAL"
)
)</f>
        <v>NORMAL</v>
      </c>
    </row>
    <row r="437" spans="1:12" x14ac:dyDescent="0.25">
      <c r="A437" s="3" t="s">
        <v>1193</v>
      </c>
      <c r="B437" s="3" t="s">
        <v>1194</v>
      </c>
      <c r="C437" s="1">
        <v>11</v>
      </c>
      <c r="D437" s="1">
        <v>1716</v>
      </c>
      <c r="E437" s="1" t="s">
        <v>141</v>
      </c>
      <c r="F437" s="1" t="s">
        <v>3297</v>
      </c>
      <c r="G437" s="3" t="s">
        <v>1195</v>
      </c>
      <c r="H437" s="11">
        <f>ROUND(
IF(L435="GANCHO",
   IF(I437&lt;=50,I437*1.1+4,IF(I437&lt;=120,I437*1.1+7,IF(I437&lt;=250,I437*1.1+11,I437*1.1+19))),
IF(L435="NORMAL",
   IF(I437&lt;=30,I437*1.15+2,IF(I437&lt;=80,I437*1.15+4,IF(I437&lt;=150,I437*1.15+6,I437*1.15+8))),
IF(L435="COMPLEMENTO",
   IF(I437&lt;=25,I437*1.25+1.5,IF(I437&lt;=60,I437*1.25+3,IF(I437&lt;=120,I437*1.25+4,I437*1.25+5))),
""))),2)</f>
        <v>8111.57</v>
      </c>
      <c r="I437" s="9">
        <f>($K$2+0.02)*Tabla1[[#This Row],[PRECIO $]]*1.18</f>
        <v>7046.5824000000002</v>
      </c>
      <c r="J437" s="7">
        <f>+Tabla1[[#This Row],[PRECIO EN SOLES]]-Tabla1[[#This Row],[PC]]</f>
        <v>1064.9875999999995</v>
      </c>
      <c r="K437" s="15"/>
      <c r="L437" s="15" t="str">
        <f>IF(
OR(
ISNUMBER(SEARCH("BACKPACK",B439)),
ISNUMBER(SEARCH("MOCHILA",B439)),
ISNUMBER(SEARCH("FUNDA",B439)),
ISNUMBER(SEARCH("ESTUCHE",B439)),
ISNUMBER(SEARCH("BOOK COVER",B439)),
ISNUMBER(SEARCH("KEYBOARD PARA TABLET",B439)),
ISNUMBER(SEARCH("FLIP TABLET",B439)),
ISNUMBER(SEARCH("CASE FOR TABLET",B439)),
ISNUMBER(SEARCH("CABLE",B439)),
ISNUMBER(SEARCH("ADAPTADOR",B439)),
ISNUMBER(SEARCH("HUB",B439)),
ISNUMBER(SEARCH("DOCK",B439)),
ISNUMBER(SEARCH("MOUSE PAD",B439)),
ISNUMBER(SEARCH("MOUSEPAD",B439)),
ISNUMBER(SEARCH("SOPORTE",B439)),
ISNUMBER(SEARCH("STAND",B439)),
ISNUMBER(SEARCH("TRAVEL ADAPTER",B439)),
ISNUMBER(SEARCH("RJ45",B439)),
ISNUMBER(SEARCH("USB-C",B439)),
ISNUMBER(SEARCH("USB WIFI",B439)),
ISNUMBER(SEARCH("POWERBANK",B439)),
ISNUMBER(SEARCH("CARGADOR",B439)),
ISNUMBER(SEARCH("COOLER PARA NB",B439)),
ISNUMBER(SEARCH("SOPORTE PARA NB",B439)),
ISNUMBER(SEARCH("WEBCAM",B439)),
ISNUMBER(SEARCH("WEB CAM",B439)),
ISNUMBER(SEARCH("MOUSE",B439)),
ISNUMBER(SEARCH("TECLADO",B439))
),
"COMPLEMENTO",
IF(
OR(
LEFT(A439,2)="NB",
LEFT(A439,2)="PC",
LEFT(A439,2)="WS",
LEFT(A439,2)="TB",
LEFT(A439,3)="CEL",
LEFT(A439,3)="MON",
LEFT(A439,3)="PRE",
LEFT(A439,3)="PRH",
ISNUMBER(SEARCH("NOTEBOOK",B439)),
ISNUMBER(SEARCH("LAPTOP",B439)),
ISNUMBER(SEARCH("MONITOR",B439)),
ISNUMBER(SEARCH("TABLET",B439)),
ISNUMBER(SEARCH("SMARTPH",B439)),
ISNUMBER(SEARCH("IMPRESORA",B439)),
ISNUMBER(SEARCH("MULTIFUNCIONAL",B439)),
ISNUMBER(SEARCH("AIO",B439))
),
"GANCHO",
"NORMAL"
)
)</f>
        <v>NORMAL</v>
      </c>
    </row>
    <row r="438" spans="1:12" x14ac:dyDescent="0.25">
      <c r="A438" s="3" t="s">
        <v>1196</v>
      </c>
      <c r="B438" s="3" t="s">
        <v>1197</v>
      </c>
      <c r="C438" s="1">
        <v>6</v>
      </c>
      <c r="D438" s="1">
        <v>572</v>
      </c>
      <c r="E438" s="1" t="s">
        <v>154</v>
      </c>
      <c r="F438" s="1" t="s">
        <v>3298</v>
      </c>
      <c r="G438" s="3" t="s">
        <v>1198</v>
      </c>
      <c r="H438" s="11">
        <f>ROUND(
IF(L436="GANCHO",
   IF(I438&lt;=50,I438*1.1+4,IF(I438&lt;=120,I438*1.1+7,IF(I438&lt;=250,I438*1.1+11,I438*1.1+19))),
IF(L436="NORMAL",
   IF(I438&lt;=30,I438*1.15+2,IF(I438&lt;=80,I438*1.15+4,IF(I438&lt;=150,I438*1.15+6,I438*1.15+8))),
IF(L436="COMPLEMENTO",
   IF(I438&lt;=25,I438*1.25+1.5,IF(I438&lt;=60,I438*1.25+3,IF(I438&lt;=120,I438*1.25+4,I438*1.25+5))),
""))),2)</f>
        <v>2709.19</v>
      </c>
      <c r="I438" s="9">
        <f>($K$2+0.02)*Tabla1[[#This Row],[PRECIO $]]*1.18</f>
        <v>2348.8607999999999</v>
      </c>
      <c r="J438" s="7">
        <f>+Tabla1[[#This Row],[PRECIO EN SOLES]]-Tabla1[[#This Row],[PC]]</f>
        <v>360.32920000000013</v>
      </c>
      <c r="K438" s="15"/>
      <c r="L438" s="15" t="str">
        <f>IF(
OR(
ISNUMBER(SEARCH("BACKPACK",B440)),
ISNUMBER(SEARCH("MOCHILA",B440)),
ISNUMBER(SEARCH("FUNDA",B440)),
ISNUMBER(SEARCH("ESTUCHE",B440)),
ISNUMBER(SEARCH("BOOK COVER",B440)),
ISNUMBER(SEARCH("KEYBOARD PARA TABLET",B440)),
ISNUMBER(SEARCH("FLIP TABLET",B440)),
ISNUMBER(SEARCH("CASE FOR TABLET",B440)),
ISNUMBER(SEARCH("CABLE",B440)),
ISNUMBER(SEARCH("ADAPTADOR",B440)),
ISNUMBER(SEARCH("HUB",B440)),
ISNUMBER(SEARCH("DOCK",B440)),
ISNUMBER(SEARCH("MOUSE PAD",B440)),
ISNUMBER(SEARCH("MOUSEPAD",B440)),
ISNUMBER(SEARCH("SOPORTE",B440)),
ISNUMBER(SEARCH("STAND",B440)),
ISNUMBER(SEARCH("TRAVEL ADAPTER",B440)),
ISNUMBER(SEARCH("RJ45",B440)),
ISNUMBER(SEARCH("USB-C",B440)),
ISNUMBER(SEARCH("USB WIFI",B440)),
ISNUMBER(SEARCH("POWERBANK",B440)),
ISNUMBER(SEARCH("CARGADOR",B440)),
ISNUMBER(SEARCH("COOLER PARA NB",B440)),
ISNUMBER(SEARCH("SOPORTE PARA NB",B440)),
ISNUMBER(SEARCH("WEBCAM",B440)),
ISNUMBER(SEARCH("WEB CAM",B440)),
ISNUMBER(SEARCH("MOUSE",B440)),
ISNUMBER(SEARCH("TECLADO",B440))
),
"COMPLEMENTO",
IF(
OR(
LEFT(A440,2)="NB",
LEFT(A440,2)="PC",
LEFT(A440,2)="WS",
LEFT(A440,2)="TB",
LEFT(A440,3)="CEL",
LEFT(A440,3)="MON",
LEFT(A440,3)="PRE",
LEFT(A440,3)="PRH",
ISNUMBER(SEARCH("NOTEBOOK",B440)),
ISNUMBER(SEARCH("LAPTOP",B440)),
ISNUMBER(SEARCH("MONITOR",B440)),
ISNUMBER(SEARCH("TABLET",B440)),
ISNUMBER(SEARCH("SMARTPH",B440)),
ISNUMBER(SEARCH("IMPRESORA",B440)),
ISNUMBER(SEARCH("MULTIFUNCIONAL",B440)),
ISNUMBER(SEARCH("AIO",B440))
),
"GANCHO",
"NORMAL"
)
)</f>
        <v>NORMAL</v>
      </c>
    </row>
    <row r="439" spans="1:12" x14ac:dyDescent="0.25">
      <c r="A439" s="3" t="s">
        <v>1199</v>
      </c>
      <c r="B439" s="3" t="s">
        <v>1197</v>
      </c>
      <c r="C439" s="1">
        <v>4</v>
      </c>
      <c r="D439" s="1">
        <v>580</v>
      </c>
      <c r="E439" s="1" t="s">
        <v>154</v>
      </c>
      <c r="F439" s="1" t="s">
        <v>3299</v>
      </c>
      <c r="G439" s="3" t="s">
        <v>1198</v>
      </c>
      <c r="H439" s="11">
        <f>ROUND(
IF(L437="GANCHO",
   IF(I439&lt;=50,I439*1.1+4,IF(I439&lt;=120,I439*1.1+7,IF(I439&lt;=250,I439*1.1+11,I439*1.1+19))),
IF(L437="NORMAL",
   IF(I439&lt;=30,I439*1.15+2,IF(I439&lt;=80,I439*1.15+4,IF(I439&lt;=150,I439*1.15+6,I439*1.15+8))),
IF(L437="COMPLEMENTO",
   IF(I439&lt;=25,I439*1.25+1.5,IF(I439&lt;=60,I439*1.25+3,IF(I439&lt;=120,I439*1.25+4,I439*1.25+5))),
""))),2)</f>
        <v>2746.97</v>
      </c>
      <c r="I439" s="9">
        <f>($K$2+0.02)*Tabla1[[#This Row],[PRECIO $]]*1.18</f>
        <v>2381.712</v>
      </c>
      <c r="J439" s="7">
        <f>+Tabla1[[#This Row],[PRECIO EN SOLES]]-Tabla1[[#This Row],[PC]]</f>
        <v>365.25799999999981</v>
      </c>
      <c r="K439" s="15"/>
      <c r="L439" s="15" t="str">
        <f>IF(
OR(
ISNUMBER(SEARCH("BACKPACK",B441)),
ISNUMBER(SEARCH("MOCHILA",B441)),
ISNUMBER(SEARCH("FUNDA",B441)),
ISNUMBER(SEARCH("ESTUCHE",B441)),
ISNUMBER(SEARCH("BOOK COVER",B441)),
ISNUMBER(SEARCH("KEYBOARD PARA TABLET",B441)),
ISNUMBER(SEARCH("FLIP TABLET",B441)),
ISNUMBER(SEARCH("CASE FOR TABLET",B441)),
ISNUMBER(SEARCH("CABLE",B441)),
ISNUMBER(SEARCH("ADAPTADOR",B441)),
ISNUMBER(SEARCH("HUB",B441)),
ISNUMBER(SEARCH("DOCK",B441)),
ISNUMBER(SEARCH("MOUSE PAD",B441)),
ISNUMBER(SEARCH("MOUSEPAD",B441)),
ISNUMBER(SEARCH("SOPORTE",B441)),
ISNUMBER(SEARCH("STAND",B441)),
ISNUMBER(SEARCH("TRAVEL ADAPTER",B441)),
ISNUMBER(SEARCH("RJ45",B441)),
ISNUMBER(SEARCH("USB-C",B441)),
ISNUMBER(SEARCH("USB WIFI",B441)),
ISNUMBER(SEARCH("POWERBANK",B441)),
ISNUMBER(SEARCH("CARGADOR",B441)),
ISNUMBER(SEARCH("COOLER PARA NB",B441)),
ISNUMBER(SEARCH("SOPORTE PARA NB",B441)),
ISNUMBER(SEARCH("WEBCAM",B441)),
ISNUMBER(SEARCH("WEB CAM",B441)),
ISNUMBER(SEARCH("MOUSE",B441)),
ISNUMBER(SEARCH("TECLADO",B441))
),
"COMPLEMENTO",
IF(
OR(
LEFT(A441,2)="NB",
LEFT(A441,2)="PC",
LEFT(A441,2)="WS",
LEFT(A441,2)="TB",
LEFT(A441,3)="CEL",
LEFT(A441,3)="MON",
LEFT(A441,3)="PRE",
LEFT(A441,3)="PRH",
ISNUMBER(SEARCH("NOTEBOOK",B441)),
ISNUMBER(SEARCH("LAPTOP",B441)),
ISNUMBER(SEARCH("MONITOR",B441)),
ISNUMBER(SEARCH("TABLET",B441)),
ISNUMBER(SEARCH("SMARTPH",B441)),
ISNUMBER(SEARCH("IMPRESORA",B441)),
ISNUMBER(SEARCH("MULTIFUNCIONAL",B441)),
ISNUMBER(SEARCH("AIO",B441))
),
"GANCHO",
"NORMAL"
)
)</f>
        <v>NORMAL</v>
      </c>
    </row>
    <row r="440" spans="1:12" x14ac:dyDescent="0.25">
      <c r="A440" s="3" t="s">
        <v>4782</v>
      </c>
      <c r="B440" s="3" t="s">
        <v>4783</v>
      </c>
      <c r="C440" s="1">
        <v>3</v>
      </c>
      <c r="D440" s="1">
        <v>572</v>
      </c>
      <c r="E440" s="1" t="s">
        <v>154</v>
      </c>
      <c r="F440" s="1" t="s">
        <v>4784</v>
      </c>
      <c r="G440" s="3" t="s">
        <v>4785</v>
      </c>
      <c r="H440" s="11">
        <f>ROUND(
IF(L438="GANCHO",
   IF(I440&lt;=50,I440*1.1+4,IF(I440&lt;=120,I440*1.1+7,IF(I440&lt;=250,I440*1.1+11,I440*1.1+19))),
IF(L438="NORMAL",
   IF(I440&lt;=30,I440*1.15+2,IF(I440&lt;=80,I440*1.15+4,IF(I440&lt;=150,I440*1.15+6,I440*1.15+8))),
IF(L438="COMPLEMENTO",
   IF(I440&lt;=25,I440*1.25+1.5,IF(I440&lt;=60,I440*1.25+3,IF(I440&lt;=120,I440*1.25+4,I440*1.25+5))),
""))),2)</f>
        <v>2709.19</v>
      </c>
      <c r="I440" s="9">
        <f>($K$2+0.02)*Tabla1[[#This Row],[PRECIO $]]*1.18</f>
        <v>2348.8607999999999</v>
      </c>
      <c r="J440" s="7">
        <f>+Tabla1[[#This Row],[PRECIO EN SOLES]]-Tabla1[[#This Row],[PC]]</f>
        <v>360.32920000000013</v>
      </c>
      <c r="K440" s="15"/>
      <c r="L440" s="15" t="str">
        <f>IF(
OR(
ISNUMBER(SEARCH("BACKPACK",B442)),
ISNUMBER(SEARCH("MOCHILA",B442)),
ISNUMBER(SEARCH("FUNDA",B442)),
ISNUMBER(SEARCH("ESTUCHE",B442)),
ISNUMBER(SEARCH("BOOK COVER",B442)),
ISNUMBER(SEARCH("KEYBOARD PARA TABLET",B442)),
ISNUMBER(SEARCH("FLIP TABLET",B442)),
ISNUMBER(SEARCH("CASE FOR TABLET",B442)),
ISNUMBER(SEARCH("CABLE",B442)),
ISNUMBER(SEARCH("ADAPTADOR",B442)),
ISNUMBER(SEARCH("HUB",B442)),
ISNUMBER(SEARCH("DOCK",B442)),
ISNUMBER(SEARCH("MOUSE PAD",B442)),
ISNUMBER(SEARCH("MOUSEPAD",B442)),
ISNUMBER(SEARCH("SOPORTE",B442)),
ISNUMBER(SEARCH("STAND",B442)),
ISNUMBER(SEARCH("TRAVEL ADAPTER",B442)),
ISNUMBER(SEARCH("RJ45",B442)),
ISNUMBER(SEARCH("USB-C",B442)),
ISNUMBER(SEARCH("USB WIFI",B442)),
ISNUMBER(SEARCH("POWERBANK",B442)),
ISNUMBER(SEARCH("CARGADOR",B442)),
ISNUMBER(SEARCH("COOLER PARA NB",B442)),
ISNUMBER(SEARCH("SOPORTE PARA NB",B442)),
ISNUMBER(SEARCH("WEBCAM",B442)),
ISNUMBER(SEARCH("WEB CAM",B442)),
ISNUMBER(SEARCH("MOUSE",B442)),
ISNUMBER(SEARCH("TECLADO",B442))
),
"COMPLEMENTO",
IF(
OR(
LEFT(A442,2)="NB",
LEFT(A442,2)="PC",
LEFT(A442,2)="WS",
LEFT(A442,2)="TB",
LEFT(A442,3)="CEL",
LEFT(A442,3)="MON",
LEFT(A442,3)="PRE",
LEFT(A442,3)="PRH",
ISNUMBER(SEARCH("NOTEBOOK",B442)),
ISNUMBER(SEARCH("LAPTOP",B442)),
ISNUMBER(SEARCH("MONITOR",B442)),
ISNUMBER(SEARCH("TABLET",B442)),
ISNUMBER(SEARCH("SMARTPH",B442)),
ISNUMBER(SEARCH("IMPRESORA",B442)),
ISNUMBER(SEARCH("MULTIFUNCIONAL",B442)),
ISNUMBER(SEARCH("AIO",B442))
),
"GANCHO",
"NORMAL"
)
)</f>
        <v>NORMAL</v>
      </c>
    </row>
    <row r="441" spans="1:12" x14ac:dyDescent="0.25">
      <c r="A441" s="3" t="s">
        <v>1200</v>
      </c>
      <c r="B441" s="3" t="s">
        <v>1201</v>
      </c>
      <c r="C441" s="1">
        <v>1</v>
      </c>
      <c r="D441" s="1">
        <v>471</v>
      </c>
      <c r="E441" s="1" t="s">
        <v>154</v>
      </c>
      <c r="F441" s="1" t="s">
        <v>3300</v>
      </c>
      <c r="G441" s="3" t="s">
        <v>4785</v>
      </c>
      <c r="H441" s="11">
        <f>ROUND(
IF(L439="GANCHO",
   IF(I441&lt;=50,I441*1.1+4,IF(I441&lt;=120,I441*1.1+7,IF(I441&lt;=250,I441*1.1+11,I441*1.1+19))),
IF(L439="NORMAL",
   IF(I441&lt;=30,I441*1.15+2,IF(I441&lt;=80,I441*1.15+4,IF(I441&lt;=150,I441*1.15+6,I441*1.15+8))),
IF(L439="COMPLEMENTO",
   IF(I441&lt;=25,I441*1.25+1.5,IF(I441&lt;=60,I441*1.25+3,IF(I441&lt;=120,I441*1.25+4,I441*1.25+5))),
""))),2)</f>
        <v>2232.23</v>
      </c>
      <c r="I441" s="9">
        <f>($K$2+0.02)*Tabla1[[#This Row],[PRECIO $]]*1.18</f>
        <v>1934.1143999999997</v>
      </c>
      <c r="J441" s="7">
        <f>+Tabla1[[#This Row],[PRECIO EN SOLES]]-Tabla1[[#This Row],[PC]]</f>
        <v>298.11560000000031</v>
      </c>
      <c r="K441" s="15"/>
      <c r="L441" s="15" t="str">
        <f>IF(
OR(
ISNUMBER(SEARCH("BACKPACK",B443)),
ISNUMBER(SEARCH("MOCHILA",B443)),
ISNUMBER(SEARCH("FUNDA",B443)),
ISNUMBER(SEARCH("ESTUCHE",B443)),
ISNUMBER(SEARCH("BOOK COVER",B443)),
ISNUMBER(SEARCH("KEYBOARD PARA TABLET",B443)),
ISNUMBER(SEARCH("FLIP TABLET",B443)),
ISNUMBER(SEARCH("CASE FOR TABLET",B443)),
ISNUMBER(SEARCH("CABLE",B443)),
ISNUMBER(SEARCH("ADAPTADOR",B443)),
ISNUMBER(SEARCH("HUB",B443)),
ISNUMBER(SEARCH("DOCK",B443)),
ISNUMBER(SEARCH("MOUSE PAD",B443)),
ISNUMBER(SEARCH("MOUSEPAD",B443)),
ISNUMBER(SEARCH("SOPORTE",B443)),
ISNUMBER(SEARCH("STAND",B443)),
ISNUMBER(SEARCH("TRAVEL ADAPTER",B443)),
ISNUMBER(SEARCH("RJ45",B443)),
ISNUMBER(SEARCH("USB-C",B443)),
ISNUMBER(SEARCH("USB WIFI",B443)),
ISNUMBER(SEARCH("POWERBANK",B443)),
ISNUMBER(SEARCH("CARGADOR",B443)),
ISNUMBER(SEARCH("COOLER PARA NB",B443)),
ISNUMBER(SEARCH("SOPORTE PARA NB",B443)),
ISNUMBER(SEARCH("WEBCAM",B443)),
ISNUMBER(SEARCH("WEB CAM",B443)),
ISNUMBER(SEARCH("MOUSE",B443)),
ISNUMBER(SEARCH("TECLADO",B443))
),
"COMPLEMENTO",
IF(
OR(
LEFT(A443,2)="NB",
LEFT(A443,2)="PC",
LEFT(A443,2)="WS",
LEFT(A443,2)="TB",
LEFT(A443,3)="CEL",
LEFT(A443,3)="MON",
LEFT(A443,3)="PRE",
LEFT(A443,3)="PRH",
ISNUMBER(SEARCH("NOTEBOOK",B443)),
ISNUMBER(SEARCH("LAPTOP",B443)),
ISNUMBER(SEARCH("MONITOR",B443)),
ISNUMBER(SEARCH("TABLET",B443)),
ISNUMBER(SEARCH("SMARTPH",B443)),
ISNUMBER(SEARCH("IMPRESORA",B443)),
ISNUMBER(SEARCH("MULTIFUNCIONAL",B443)),
ISNUMBER(SEARCH("AIO",B443))
),
"GANCHO",
"NORMAL"
)
)</f>
        <v>NORMAL</v>
      </c>
    </row>
    <row r="442" spans="1:12" x14ac:dyDescent="0.25">
      <c r="A442" s="3" t="s">
        <v>1202</v>
      </c>
      <c r="B442" s="3" t="s">
        <v>1203</v>
      </c>
      <c r="C442" s="1">
        <v>20</v>
      </c>
      <c r="D442" s="1">
        <v>572</v>
      </c>
      <c r="E442" s="1" t="s">
        <v>154</v>
      </c>
      <c r="F442" s="1" t="s">
        <v>3301</v>
      </c>
      <c r="G442" s="3" t="s">
        <v>1204</v>
      </c>
      <c r="H442" s="11">
        <f>ROUND(
IF(L440="GANCHO",
   IF(I442&lt;=50,I442*1.1+4,IF(I442&lt;=120,I442*1.1+7,IF(I442&lt;=250,I442*1.1+11,I442*1.1+19))),
IF(L440="NORMAL",
   IF(I442&lt;=30,I442*1.15+2,IF(I442&lt;=80,I442*1.15+4,IF(I442&lt;=150,I442*1.15+6,I442*1.15+8))),
IF(L440="COMPLEMENTO",
   IF(I442&lt;=25,I442*1.25+1.5,IF(I442&lt;=60,I442*1.25+3,IF(I442&lt;=120,I442*1.25+4,I442*1.25+5))),
""))),2)</f>
        <v>2709.19</v>
      </c>
      <c r="I442" s="9">
        <f>($K$2+0.02)*Tabla1[[#This Row],[PRECIO $]]*1.18</f>
        <v>2348.8607999999999</v>
      </c>
      <c r="J442" s="7">
        <f>+Tabla1[[#This Row],[PRECIO EN SOLES]]-Tabla1[[#This Row],[PC]]</f>
        <v>360.32920000000013</v>
      </c>
      <c r="K442" s="15"/>
      <c r="L442" s="15" t="str">
        <f>IF(
OR(
ISNUMBER(SEARCH("BACKPACK",B444)),
ISNUMBER(SEARCH("MOCHILA",B444)),
ISNUMBER(SEARCH("FUNDA",B444)),
ISNUMBER(SEARCH("ESTUCHE",B444)),
ISNUMBER(SEARCH("BOOK COVER",B444)),
ISNUMBER(SEARCH("KEYBOARD PARA TABLET",B444)),
ISNUMBER(SEARCH("FLIP TABLET",B444)),
ISNUMBER(SEARCH("CASE FOR TABLET",B444)),
ISNUMBER(SEARCH("CABLE",B444)),
ISNUMBER(SEARCH("ADAPTADOR",B444)),
ISNUMBER(SEARCH("HUB",B444)),
ISNUMBER(SEARCH("DOCK",B444)),
ISNUMBER(SEARCH("MOUSE PAD",B444)),
ISNUMBER(SEARCH("MOUSEPAD",B444)),
ISNUMBER(SEARCH("SOPORTE",B444)),
ISNUMBER(SEARCH("STAND",B444)),
ISNUMBER(SEARCH("TRAVEL ADAPTER",B444)),
ISNUMBER(SEARCH("RJ45",B444)),
ISNUMBER(SEARCH("USB-C",B444)),
ISNUMBER(SEARCH("USB WIFI",B444)),
ISNUMBER(SEARCH("POWERBANK",B444)),
ISNUMBER(SEARCH("CARGADOR",B444)),
ISNUMBER(SEARCH("COOLER PARA NB",B444)),
ISNUMBER(SEARCH("SOPORTE PARA NB",B444)),
ISNUMBER(SEARCH("WEBCAM",B444)),
ISNUMBER(SEARCH("WEB CAM",B444)),
ISNUMBER(SEARCH("MOUSE",B444)),
ISNUMBER(SEARCH("TECLADO",B444))
),
"COMPLEMENTO",
IF(
OR(
LEFT(A444,2)="NB",
LEFT(A444,2)="PC",
LEFT(A444,2)="WS",
LEFT(A444,2)="TB",
LEFT(A444,3)="CEL",
LEFT(A444,3)="MON",
LEFT(A444,3)="PRE",
LEFT(A444,3)="PRH",
ISNUMBER(SEARCH("NOTEBOOK",B444)),
ISNUMBER(SEARCH("LAPTOP",B444)),
ISNUMBER(SEARCH("MONITOR",B444)),
ISNUMBER(SEARCH("TABLET",B444)),
ISNUMBER(SEARCH("SMARTPH",B444)),
ISNUMBER(SEARCH("IMPRESORA",B444)),
ISNUMBER(SEARCH("MULTIFUNCIONAL",B444)),
ISNUMBER(SEARCH("AIO",B444))
),
"GANCHO",
"NORMAL"
)
)</f>
        <v>NORMAL</v>
      </c>
    </row>
    <row r="443" spans="1:12" x14ac:dyDescent="0.25">
      <c r="A443" s="3" t="s">
        <v>238</v>
      </c>
      <c r="B443" s="3" t="s">
        <v>239</v>
      </c>
      <c r="C443" s="1">
        <v>0</v>
      </c>
      <c r="D443" s="1">
        <v>525</v>
      </c>
      <c r="E443" s="1" t="s">
        <v>154</v>
      </c>
      <c r="F443" s="1" t="s">
        <v>3302</v>
      </c>
      <c r="G443" s="3" t="s">
        <v>240</v>
      </c>
      <c r="H443" s="11">
        <f>ROUND(
IF(L441="GANCHO",
   IF(I443&lt;=50,I443*1.1+4,IF(I443&lt;=120,I443*1.1+7,IF(I443&lt;=250,I443*1.1+11,I443*1.1+19))),
IF(L441="NORMAL",
   IF(I443&lt;=30,I443*1.15+2,IF(I443&lt;=80,I443*1.15+4,IF(I443&lt;=150,I443*1.15+6,I443*1.15+8))),
IF(L441="COMPLEMENTO",
   IF(I443&lt;=25,I443*1.25+1.5,IF(I443&lt;=60,I443*1.25+3,IF(I443&lt;=120,I443*1.25+4,I443*1.25+5))),
""))),2)</f>
        <v>2487.2399999999998</v>
      </c>
      <c r="I443" s="9">
        <f>($K$2+0.02)*Tabla1[[#This Row],[PRECIO $]]*1.18</f>
        <v>2155.8599999999997</v>
      </c>
      <c r="J443" s="7">
        <f>+Tabla1[[#This Row],[PRECIO EN SOLES]]-Tabla1[[#This Row],[PC]]</f>
        <v>331.38000000000011</v>
      </c>
      <c r="K443" s="15"/>
      <c r="L443" s="15" t="str">
        <f>IF(
OR(
ISNUMBER(SEARCH("BACKPACK",B445)),
ISNUMBER(SEARCH("MOCHILA",B445)),
ISNUMBER(SEARCH("FUNDA",B445)),
ISNUMBER(SEARCH("ESTUCHE",B445)),
ISNUMBER(SEARCH("BOOK COVER",B445)),
ISNUMBER(SEARCH("KEYBOARD PARA TABLET",B445)),
ISNUMBER(SEARCH("FLIP TABLET",B445)),
ISNUMBER(SEARCH("CASE FOR TABLET",B445)),
ISNUMBER(SEARCH("CABLE",B445)),
ISNUMBER(SEARCH("ADAPTADOR",B445)),
ISNUMBER(SEARCH("HUB",B445)),
ISNUMBER(SEARCH("DOCK",B445)),
ISNUMBER(SEARCH("MOUSE PAD",B445)),
ISNUMBER(SEARCH("MOUSEPAD",B445)),
ISNUMBER(SEARCH("SOPORTE",B445)),
ISNUMBER(SEARCH("STAND",B445)),
ISNUMBER(SEARCH("TRAVEL ADAPTER",B445)),
ISNUMBER(SEARCH("RJ45",B445)),
ISNUMBER(SEARCH("USB-C",B445)),
ISNUMBER(SEARCH("USB WIFI",B445)),
ISNUMBER(SEARCH("POWERBANK",B445)),
ISNUMBER(SEARCH("CARGADOR",B445)),
ISNUMBER(SEARCH("COOLER PARA NB",B445)),
ISNUMBER(SEARCH("SOPORTE PARA NB",B445)),
ISNUMBER(SEARCH("WEBCAM",B445)),
ISNUMBER(SEARCH("WEB CAM",B445)),
ISNUMBER(SEARCH("MOUSE",B445)),
ISNUMBER(SEARCH("TECLADO",B445))
),
"COMPLEMENTO",
IF(
OR(
LEFT(A445,2)="NB",
LEFT(A445,2)="PC",
LEFT(A445,2)="WS",
LEFT(A445,2)="TB",
LEFT(A445,3)="CEL",
LEFT(A445,3)="MON",
LEFT(A445,3)="PRE",
LEFT(A445,3)="PRH",
ISNUMBER(SEARCH("NOTEBOOK",B445)),
ISNUMBER(SEARCH("LAPTOP",B445)),
ISNUMBER(SEARCH("MONITOR",B445)),
ISNUMBER(SEARCH("TABLET",B445)),
ISNUMBER(SEARCH("SMARTPH",B445)),
ISNUMBER(SEARCH("IMPRESORA",B445)),
ISNUMBER(SEARCH("MULTIFUNCIONAL",B445)),
ISNUMBER(SEARCH("AIO",B445))
),
"GANCHO",
"NORMAL"
)
)</f>
        <v>NORMAL</v>
      </c>
    </row>
    <row r="444" spans="1:12" x14ac:dyDescent="0.25">
      <c r="A444" s="3" t="s">
        <v>643</v>
      </c>
      <c r="B444" s="3" t="s">
        <v>644</v>
      </c>
      <c r="C444" s="1">
        <v>20</v>
      </c>
      <c r="D444" s="1">
        <v>376</v>
      </c>
      <c r="E444" s="1" t="s">
        <v>154</v>
      </c>
      <c r="F444" s="1" t="s">
        <v>3303</v>
      </c>
      <c r="G444" s="3"/>
      <c r="H444" s="11">
        <f>ROUND(
IF(L442="GANCHO",
   IF(I444&lt;=50,I444*1.1+4,IF(I444&lt;=120,I444*1.1+7,IF(I444&lt;=250,I444*1.1+11,I444*1.1+19))),
IF(L442="NORMAL",
   IF(I444&lt;=30,I444*1.15+2,IF(I444&lt;=80,I444*1.15+4,IF(I444&lt;=150,I444*1.15+6,I444*1.15+8))),
IF(L442="COMPLEMENTO",
   IF(I444&lt;=25,I444*1.25+1.5,IF(I444&lt;=60,I444*1.25+3,IF(I444&lt;=120,I444*1.25+4,I444*1.25+5))),
""))),2)</f>
        <v>1783.61</v>
      </c>
      <c r="I444" s="9">
        <f>($K$2+0.02)*Tabla1[[#This Row],[PRECIO $]]*1.18</f>
        <v>1544.0064</v>
      </c>
      <c r="J444" s="7">
        <f>+Tabla1[[#This Row],[PRECIO EN SOLES]]-Tabla1[[#This Row],[PC]]</f>
        <v>239.60359999999991</v>
      </c>
      <c r="K444" s="15"/>
      <c r="L444" s="15" t="str">
        <f>IF(
OR(
ISNUMBER(SEARCH("BACKPACK",B446)),
ISNUMBER(SEARCH("MOCHILA",B446)),
ISNUMBER(SEARCH("FUNDA",B446)),
ISNUMBER(SEARCH("ESTUCHE",B446)),
ISNUMBER(SEARCH("BOOK COVER",B446)),
ISNUMBER(SEARCH("KEYBOARD PARA TABLET",B446)),
ISNUMBER(SEARCH("FLIP TABLET",B446)),
ISNUMBER(SEARCH("CASE FOR TABLET",B446)),
ISNUMBER(SEARCH("CABLE",B446)),
ISNUMBER(SEARCH("ADAPTADOR",B446)),
ISNUMBER(SEARCH("HUB",B446)),
ISNUMBER(SEARCH("DOCK",B446)),
ISNUMBER(SEARCH("MOUSE PAD",B446)),
ISNUMBER(SEARCH("MOUSEPAD",B446)),
ISNUMBER(SEARCH("SOPORTE",B446)),
ISNUMBER(SEARCH("STAND",B446)),
ISNUMBER(SEARCH("TRAVEL ADAPTER",B446)),
ISNUMBER(SEARCH("RJ45",B446)),
ISNUMBER(SEARCH("USB-C",B446)),
ISNUMBER(SEARCH("USB WIFI",B446)),
ISNUMBER(SEARCH("POWERBANK",B446)),
ISNUMBER(SEARCH("CARGADOR",B446)),
ISNUMBER(SEARCH("COOLER PARA NB",B446)),
ISNUMBER(SEARCH("SOPORTE PARA NB",B446)),
ISNUMBER(SEARCH("WEBCAM",B446)),
ISNUMBER(SEARCH("WEB CAM",B446)),
ISNUMBER(SEARCH("MOUSE",B446)),
ISNUMBER(SEARCH("TECLADO",B446))
),
"COMPLEMENTO",
IF(
OR(
LEFT(A446,2)="NB",
LEFT(A446,2)="PC",
LEFT(A446,2)="WS",
LEFT(A446,2)="TB",
LEFT(A446,3)="CEL",
LEFT(A446,3)="MON",
LEFT(A446,3)="PRE",
LEFT(A446,3)="PRH",
ISNUMBER(SEARCH("NOTEBOOK",B446)),
ISNUMBER(SEARCH("LAPTOP",B446)),
ISNUMBER(SEARCH("MONITOR",B446)),
ISNUMBER(SEARCH("TABLET",B446)),
ISNUMBER(SEARCH("SMARTPH",B446)),
ISNUMBER(SEARCH("IMPRESORA",B446)),
ISNUMBER(SEARCH("MULTIFUNCIONAL",B446)),
ISNUMBER(SEARCH("AIO",B446))
),
"GANCHO",
"NORMAL"
)
)</f>
        <v>NORMAL</v>
      </c>
    </row>
    <row r="445" spans="1:12" x14ac:dyDescent="0.25">
      <c r="A445" s="3" t="s">
        <v>1205</v>
      </c>
      <c r="B445" s="3" t="s">
        <v>1206</v>
      </c>
      <c r="C445" s="1">
        <v>16</v>
      </c>
      <c r="D445" s="1">
        <v>734</v>
      </c>
      <c r="E445" s="1" t="s">
        <v>154</v>
      </c>
      <c r="F445" s="1" t="s">
        <v>3304</v>
      </c>
      <c r="G445" s="3"/>
      <c r="H445" s="11">
        <f>ROUND(
IF(L443="GANCHO",
   IF(I445&lt;=50,I445*1.1+4,IF(I445&lt;=120,I445*1.1+7,IF(I445&lt;=250,I445*1.1+11,I445*1.1+19))),
IF(L443="NORMAL",
   IF(I445&lt;=30,I445*1.15+2,IF(I445&lt;=80,I445*1.15+4,IF(I445&lt;=150,I445*1.15+6,I445*1.15+8))),
IF(L443="COMPLEMENTO",
   IF(I445&lt;=25,I445*1.25+1.5,IF(I445&lt;=60,I445*1.25+3,IF(I445&lt;=120,I445*1.25+4,I445*1.25+5))),
""))),2)</f>
        <v>3474.21</v>
      </c>
      <c r="I445" s="9">
        <f>($K$2+0.02)*Tabla1[[#This Row],[PRECIO $]]*1.18</f>
        <v>3014.0976000000001</v>
      </c>
      <c r="J445" s="7">
        <f>+Tabla1[[#This Row],[PRECIO EN SOLES]]-Tabla1[[#This Row],[PC]]</f>
        <v>460.11239999999998</v>
      </c>
      <c r="K445" s="15"/>
      <c r="L445" s="15" t="str">
        <f>IF(
OR(
ISNUMBER(SEARCH("BACKPACK",B447)),
ISNUMBER(SEARCH("MOCHILA",B447)),
ISNUMBER(SEARCH("FUNDA",B447)),
ISNUMBER(SEARCH("ESTUCHE",B447)),
ISNUMBER(SEARCH("BOOK COVER",B447)),
ISNUMBER(SEARCH("KEYBOARD PARA TABLET",B447)),
ISNUMBER(SEARCH("FLIP TABLET",B447)),
ISNUMBER(SEARCH("CASE FOR TABLET",B447)),
ISNUMBER(SEARCH("CABLE",B447)),
ISNUMBER(SEARCH("ADAPTADOR",B447)),
ISNUMBER(SEARCH("HUB",B447)),
ISNUMBER(SEARCH("DOCK",B447)),
ISNUMBER(SEARCH("MOUSE PAD",B447)),
ISNUMBER(SEARCH("MOUSEPAD",B447)),
ISNUMBER(SEARCH("SOPORTE",B447)),
ISNUMBER(SEARCH("STAND",B447)),
ISNUMBER(SEARCH("TRAVEL ADAPTER",B447)),
ISNUMBER(SEARCH("RJ45",B447)),
ISNUMBER(SEARCH("USB-C",B447)),
ISNUMBER(SEARCH("USB WIFI",B447)),
ISNUMBER(SEARCH("POWERBANK",B447)),
ISNUMBER(SEARCH("CARGADOR",B447)),
ISNUMBER(SEARCH("COOLER PARA NB",B447)),
ISNUMBER(SEARCH("SOPORTE PARA NB",B447)),
ISNUMBER(SEARCH("WEBCAM",B447)),
ISNUMBER(SEARCH("WEB CAM",B447)),
ISNUMBER(SEARCH("MOUSE",B447)),
ISNUMBER(SEARCH("TECLADO",B447))
),
"COMPLEMENTO",
IF(
OR(
LEFT(A447,2)="NB",
LEFT(A447,2)="PC",
LEFT(A447,2)="WS",
LEFT(A447,2)="TB",
LEFT(A447,3)="CEL",
LEFT(A447,3)="MON",
LEFT(A447,3)="PRE",
LEFT(A447,3)="PRH",
ISNUMBER(SEARCH("NOTEBOOK",B447)),
ISNUMBER(SEARCH("LAPTOP",B447)),
ISNUMBER(SEARCH("MONITOR",B447)),
ISNUMBER(SEARCH("TABLET",B447)),
ISNUMBER(SEARCH("SMARTPH",B447)),
ISNUMBER(SEARCH("IMPRESORA",B447)),
ISNUMBER(SEARCH("MULTIFUNCIONAL",B447)),
ISNUMBER(SEARCH("AIO",B447))
),
"GANCHO",
"NORMAL"
)
)</f>
        <v>NORMAL</v>
      </c>
    </row>
    <row r="446" spans="1:12" x14ac:dyDescent="0.25">
      <c r="A446" s="3" t="s">
        <v>241</v>
      </c>
      <c r="B446" s="3" t="s">
        <v>242</v>
      </c>
      <c r="C446" s="1">
        <v>20</v>
      </c>
      <c r="D446" s="1">
        <v>503</v>
      </c>
      <c r="E446" s="1" t="s">
        <v>154</v>
      </c>
      <c r="F446" s="1" t="s">
        <v>3305</v>
      </c>
      <c r="G446" s="3" t="s">
        <v>243</v>
      </c>
      <c r="H446" s="11">
        <f>ROUND(
IF(L444="GANCHO",
   IF(I446&lt;=50,I446*1.1+4,IF(I446&lt;=120,I446*1.1+7,IF(I446&lt;=250,I446*1.1+11,I446*1.1+19))),
IF(L444="NORMAL",
   IF(I446&lt;=30,I446*1.15+2,IF(I446&lt;=80,I446*1.15+4,IF(I446&lt;=150,I446*1.15+6,I446*1.15+8))),
IF(L444="COMPLEMENTO",
   IF(I446&lt;=25,I446*1.25+1.5,IF(I446&lt;=60,I446*1.25+3,IF(I446&lt;=120,I446*1.25+4,I446*1.25+5))),
""))),2)</f>
        <v>2383.35</v>
      </c>
      <c r="I446" s="9">
        <f>($K$2+0.02)*Tabla1[[#This Row],[PRECIO $]]*1.18</f>
        <v>2065.5192000000002</v>
      </c>
      <c r="J446" s="7">
        <f>+Tabla1[[#This Row],[PRECIO EN SOLES]]-Tabla1[[#This Row],[PC]]</f>
        <v>317.83079999999973</v>
      </c>
      <c r="K446" s="15"/>
      <c r="L446" s="15" t="str">
        <f>IF(
OR(
ISNUMBER(SEARCH("BACKPACK",B448)),
ISNUMBER(SEARCH("MOCHILA",B448)),
ISNUMBER(SEARCH("FUNDA",B448)),
ISNUMBER(SEARCH("ESTUCHE",B448)),
ISNUMBER(SEARCH("BOOK COVER",B448)),
ISNUMBER(SEARCH("KEYBOARD PARA TABLET",B448)),
ISNUMBER(SEARCH("FLIP TABLET",B448)),
ISNUMBER(SEARCH("CASE FOR TABLET",B448)),
ISNUMBER(SEARCH("CABLE",B448)),
ISNUMBER(SEARCH("ADAPTADOR",B448)),
ISNUMBER(SEARCH("HUB",B448)),
ISNUMBER(SEARCH("DOCK",B448)),
ISNUMBER(SEARCH("MOUSE PAD",B448)),
ISNUMBER(SEARCH("MOUSEPAD",B448)),
ISNUMBER(SEARCH("SOPORTE",B448)),
ISNUMBER(SEARCH("STAND",B448)),
ISNUMBER(SEARCH("TRAVEL ADAPTER",B448)),
ISNUMBER(SEARCH("RJ45",B448)),
ISNUMBER(SEARCH("USB-C",B448)),
ISNUMBER(SEARCH("USB WIFI",B448)),
ISNUMBER(SEARCH("POWERBANK",B448)),
ISNUMBER(SEARCH("CARGADOR",B448)),
ISNUMBER(SEARCH("COOLER PARA NB",B448)),
ISNUMBER(SEARCH("SOPORTE PARA NB",B448)),
ISNUMBER(SEARCH("WEBCAM",B448)),
ISNUMBER(SEARCH("WEB CAM",B448)),
ISNUMBER(SEARCH("MOUSE",B448)),
ISNUMBER(SEARCH("TECLADO",B448))
),
"COMPLEMENTO",
IF(
OR(
LEFT(A448,2)="NB",
LEFT(A448,2)="PC",
LEFT(A448,2)="WS",
LEFT(A448,2)="TB",
LEFT(A448,3)="CEL",
LEFT(A448,3)="MON",
LEFT(A448,3)="PRE",
LEFT(A448,3)="PRH",
ISNUMBER(SEARCH("NOTEBOOK",B448)),
ISNUMBER(SEARCH("LAPTOP",B448)),
ISNUMBER(SEARCH("MONITOR",B448)),
ISNUMBER(SEARCH("TABLET",B448)),
ISNUMBER(SEARCH("SMARTPH",B448)),
ISNUMBER(SEARCH("IMPRESORA",B448)),
ISNUMBER(SEARCH("MULTIFUNCIONAL",B448)),
ISNUMBER(SEARCH("AIO",B448))
),
"GANCHO",
"NORMAL"
)
)</f>
        <v>GANCHO</v>
      </c>
    </row>
    <row r="447" spans="1:12" x14ac:dyDescent="0.25">
      <c r="A447" s="3" t="s">
        <v>6471</v>
      </c>
      <c r="B447" s="3" t="s">
        <v>6472</v>
      </c>
      <c r="C447" s="1">
        <v>20</v>
      </c>
      <c r="D447" s="1">
        <v>44</v>
      </c>
      <c r="E447" s="1" t="s">
        <v>54</v>
      </c>
      <c r="F447" s="1" t="s">
        <v>6473</v>
      </c>
      <c r="G447" s="3" t="s">
        <v>6474</v>
      </c>
      <c r="H447" s="11">
        <f>ROUND(
IF(L445="GANCHO",
   IF(I447&lt;=50,I447*1.1+4,IF(I447&lt;=120,I447*1.1+7,IF(I447&lt;=250,I447*1.1+11,I447*1.1+19))),
IF(L445="NORMAL",
   IF(I447&lt;=30,I447*1.15+2,IF(I447&lt;=80,I447*1.15+4,IF(I447&lt;=150,I447*1.15+6,I447*1.15+8))),
IF(L445="COMPLEMENTO",
   IF(I447&lt;=25,I447*1.25+1.5,IF(I447&lt;=60,I447*1.25+3,IF(I447&lt;=120,I447*1.25+4,I447*1.25+5))),
""))),2)</f>
        <v>215.78</v>
      </c>
      <c r="I447" s="9">
        <f>($K$2+0.02)*Tabla1[[#This Row],[PRECIO $]]*1.18</f>
        <v>180.6816</v>
      </c>
      <c r="J447" s="7">
        <f>+Tabla1[[#This Row],[PRECIO EN SOLES]]-Tabla1[[#This Row],[PC]]</f>
        <v>35.098399999999998</v>
      </c>
      <c r="K447" s="15"/>
      <c r="L447" s="15" t="str">
        <f>IF(
OR(
ISNUMBER(SEARCH("BACKPACK",B449)),
ISNUMBER(SEARCH("MOCHILA",B449)),
ISNUMBER(SEARCH("FUNDA",B449)),
ISNUMBER(SEARCH("ESTUCHE",B449)),
ISNUMBER(SEARCH("BOOK COVER",B449)),
ISNUMBER(SEARCH("KEYBOARD PARA TABLET",B449)),
ISNUMBER(SEARCH("FLIP TABLET",B449)),
ISNUMBER(SEARCH("CASE FOR TABLET",B449)),
ISNUMBER(SEARCH("CABLE",B449)),
ISNUMBER(SEARCH("ADAPTADOR",B449)),
ISNUMBER(SEARCH("HUB",B449)),
ISNUMBER(SEARCH("DOCK",B449)),
ISNUMBER(SEARCH("MOUSE PAD",B449)),
ISNUMBER(SEARCH("MOUSEPAD",B449)),
ISNUMBER(SEARCH("SOPORTE",B449)),
ISNUMBER(SEARCH("STAND",B449)),
ISNUMBER(SEARCH("TRAVEL ADAPTER",B449)),
ISNUMBER(SEARCH("RJ45",B449)),
ISNUMBER(SEARCH("USB-C",B449)),
ISNUMBER(SEARCH("USB WIFI",B449)),
ISNUMBER(SEARCH("POWERBANK",B449)),
ISNUMBER(SEARCH("CARGADOR",B449)),
ISNUMBER(SEARCH("COOLER PARA NB",B449)),
ISNUMBER(SEARCH("SOPORTE PARA NB",B449)),
ISNUMBER(SEARCH("WEBCAM",B449)),
ISNUMBER(SEARCH("WEB CAM",B449)),
ISNUMBER(SEARCH("MOUSE",B449)),
ISNUMBER(SEARCH("TECLADO",B449))
),
"COMPLEMENTO",
IF(
OR(
LEFT(A449,2)="NB",
LEFT(A449,2)="PC",
LEFT(A449,2)="WS",
LEFT(A449,2)="TB",
LEFT(A449,3)="CEL",
LEFT(A449,3)="MON",
LEFT(A449,3)="PRE",
LEFT(A449,3)="PRH",
ISNUMBER(SEARCH("NOTEBOOK",B449)),
ISNUMBER(SEARCH("LAPTOP",B449)),
ISNUMBER(SEARCH("MONITOR",B449)),
ISNUMBER(SEARCH("TABLET",B449)),
ISNUMBER(SEARCH("SMARTPH",B449)),
ISNUMBER(SEARCH("IMPRESORA",B449)),
ISNUMBER(SEARCH("MULTIFUNCIONAL",B449)),
ISNUMBER(SEARCH("AIO",B449))
),
"GANCHO",
"NORMAL"
)
)</f>
        <v>NORMAL</v>
      </c>
    </row>
    <row r="448" spans="1:12" x14ac:dyDescent="0.25">
      <c r="A448" s="3" t="s">
        <v>1207</v>
      </c>
      <c r="B448" s="3" t="s">
        <v>1208</v>
      </c>
      <c r="C448" s="1">
        <v>1</v>
      </c>
      <c r="D448" s="1">
        <v>2420</v>
      </c>
      <c r="E448" s="1" t="s">
        <v>141</v>
      </c>
      <c r="F448" s="1" t="s">
        <v>3306</v>
      </c>
      <c r="G448" s="3"/>
      <c r="H448" s="11">
        <f>ROUND(
IF(L446="GANCHO",
   IF(I448&lt;=50,I448*1.1+4,IF(I448&lt;=120,I448*1.1+7,IF(I448&lt;=250,I448*1.1+11,I448*1.1+19))),
IF(L446="NORMAL",
   IF(I448&lt;=30,I448*1.15+2,IF(I448&lt;=80,I448*1.15+4,IF(I448&lt;=150,I448*1.15+6,I448*1.15+8))),
IF(L446="COMPLEMENTO",
   IF(I448&lt;=25,I448*1.25+1.5,IF(I448&lt;=60,I448*1.25+3,IF(I448&lt;=120,I448*1.25+4,I448*1.25+5))),
""))),2)</f>
        <v>10950.24</v>
      </c>
      <c r="I448" s="9">
        <f>($K$2+0.02)*Tabla1[[#This Row],[PRECIO $]]*1.18</f>
        <v>9937.4879999999994</v>
      </c>
      <c r="J448" s="7">
        <f>+Tabla1[[#This Row],[PRECIO EN SOLES]]-Tabla1[[#This Row],[PC]]</f>
        <v>1012.7520000000004</v>
      </c>
      <c r="K448" s="15"/>
      <c r="L448" s="15" t="str">
        <f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GANCHO</v>
      </c>
    </row>
    <row r="449" spans="1:12" x14ac:dyDescent="0.25">
      <c r="A449" s="3" t="s">
        <v>1209</v>
      </c>
      <c r="B449" s="3" t="s">
        <v>1210</v>
      </c>
      <c r="C449" s="1">
        <v>7</v>
      </c>
      <c r="D449" s="1">
        <v>85</v>
      </c>
      <c r="E449" s="1" t="s">
        <v>1211</v>
      </c>
      <c r="F449" s="1" t="s">
        <v>3307</v>
      </c>
      <c r="G449" s="3" t="s">
        <v>1212</v>
      </c>
      <c r="H449" s="11">
        <f>ROUND(
IF(L447="GANCHO",
   IF(I449&lt;=50,I449*1.1+4,IF(I449&lt;=120,I449*1.1+7,IF(I449&lt;=250,I449*1.1+11,I449*1.1+19))),
IF(L447="NORMAL",
   IF(I449&lt;=30,I449*1.15+2,IF(I449&lt;=80,I449*1.15+4,IF(I449&lt;=150,I449*1.15+6,I449*1.15+8))),
IF(L447="COMPLEMENTO",
   IF(I449&lt;=25,I449*1.25+1.5,IF(I449&lt;=60,I449*1.25+3,IF(I449&lt;=120,I449*1.25+4,I449*1.25+5))),
""))),2)</f>
        <v>409.4</v>
      </c>
      <c r="I449" s="9">
        <f>($K$2+0.02)*Tabla1[[#This Row],[PRECIO $]]*1.18</f>
        <v>349.04399999999998</v>
      </c>
      <c r="J449" s="7">
        <f>+Tabla1[[#This Row],[PRECIO EN SOLES]]-Tabla1[[#This Row],[PC]]</f>
        <v>60.355999999999995</v>
      </c>
      <c r="K449" s="15"/>
      <c r="L449" s="15" t="str">
        <f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GANCHO</v>
      </c>
    </row>
    <row r="450" spans="1:12" x14ac:dyDescent="0.25">
      <c r="A450" s="3" t="s">
        <v>4284</v>
      </c>
      <c r="B450" s="3" t="s">
        <v>4285</v>
      </c>
      <c r="C450" s="1">
        <v>1</v>
      </c>
      <c r="D450" s="1">
        <v>726</v>
      </c>
      <c r="E450" s="1" t="s">
        <v>141</v>
      </c>
      <c r="F450" s="1" t="s">
        <v>4286</v>
      </c>
      <c r="G450" s="3" t="s">
        <v>4287</v>
      </c>
      <c r="H450" s="11">
        <f>ROUND(
IF(L448="GANCHO",
   IF(I450&lt;=50,I450*1.1+4,IF(I450&lt;=120,I450*1.1+7,IF(I450&lt;=250,I450*1.1+11,I450*1.1+19))),
IF(L448="NORMAL",
   IF(I450&lt;=30,I450*1.15+2,IF(I450&lt;=80,I450*1.15+4,IF(I450&lt;=150,I450*1.15+6,I450*1.15+8))),
IF(L448="COMPLEMENTO",
   IF(I450&lt;=25,I450*1.25+1.5,IF(I450&lt;=60,I450*1.25+3,IF(I450&lt;=120,I450*1.25+4,I450*1.25+5))),
""))),2)</f>
        <v>3298.37</v>
      </c>
      <c r="I450" s="9">
        <f>($K$2+0.02)*Tabla1[[#This Row],[PRECIO $]]*1.18</f>
        <v>2981.2464</v>
      </c>
      <c r="J450" s="7">
        <f>+Tabla1[[#This Row],[PRECIO EN SOLES]]-Tabla1[[#This Row],[PC]]</f>
        <v>317.1235999999999</v>
      </c>
      <c r="K450" s="15"/>
      <c r="L450" s="15" t="str">
        <f>IF(
OR(
ISNUMBER(SEARCH("BACKPACK",B452)),
ISNUMBER(SEARCH("MOCHILA",B452)),
ISNUMBER(SEARCH("FUNDA",B452)),
ISNUMBER(SEARCH("ESTUCHE",B452)),
ISNUMBER(SEARCH("BOOK COVER",B452)),
ISNUMBER(SEARCH("KEYBOARD PARA TABLET",B452)),
ISNUMBER(SEARCH("FLIP TABLET",B452)),
ISNUMBER(SEARCH("CASE FOR TABLET",B452)),
ISNUMBER(SEARCH("CABLE",B452)),
ISNUMBER(SEARCH("ADAPTADOR",B452)),
ISNUMBER(SEARCH("HUB",B452)),
ISNUMBER(SEARCH("DOCK",B452)),
ISNUMBER(SEARCH("MOUSE PAD",B452)),
ISNUMBER(SEARCH("MOUSEPAD",B452)),
ISNUMBER(SEARCH("SOPORTE",B452)),
ISNUMBER(SEARCH("STAND",B452)),
ISNUMBER(SEARCH("TRAVEL ADAPTER",B452)),
ISNUMBER(SEARCH("RJ45",B452)),
ISNUMBER(SEARCH("USB-C",B452)),
ISNUMBER(SEARCH("USB WIFI",B452)),
ISNUMBER(SEARCH("POWERBANK",B452)),
ISNUMBER(SEARCH("CARGADOR",B452)),
ISNUMBER(SEARCH("COOLER PARA NB",B452)),
ISNUMBER(SEARCH("SOPORTE PARA NB",B452)),
ISNUMBER(SEARCH("WEBCAM",B452)),
ISNUMBER(SEARCH("WEB CAM",B452)),
ISNUMBER(SEARCH("MOUSE",B452)),
ISNUMBER(SEARCH("TECLADO",B452))
),
"COMPLEMENTO",
IF(
OR(
LEFT(A452,2)="NB",
LEFT(A452,2)="PC",
LEFT(A452,2)="WS",
LEFT(A452,2)="TB",
LEFT(A452,3)="CEL",
LEFT(A452,3)="MON",
LEFT(A452,3)="PRE",
LEFT(A452,3)="PRH",
ISNUMBER(SEARCH("NOTEBOOK",B452)),
ISNUMBER(SEARCH("LAPTOP",B452)),
ISNUMBER(SEARCH("MONITOR",B452)),
ISNUMBER(SEARCH("TABLET",B452)),
ISNUMBER(SEARCH("SMARTPH",B452)),
ISNUMBER(SEARCH("IMPRESORA",B452)),
ISNUMBER(SEARCH("MULTIFUNCIONAL",B452)),
ISNUMBER(SEARCH("AIO",B452))
),
"GANCHO",
"NORMAL"
)
)</f>
        <v>GANCHO</v>
      </c>
    </row>
    <row r="451" spans="1:12" x14ac:dyDescent="0.25">
      <c r="A451" s="3" t="s">
        <v>1214</v>
      </c>
      <c r="B451" s="3" t="s">
        <v>1213</v>
      </c>
      <c r="C451" s="1">
        <v>7</v>
      </c>
      <c r="D451" s="1">
        <v>558</v>
      </c>
      <c r="E451" s="1" t="s">
        <v>56</v>
      </c>
      <c r="F451" s="1" t="s">
        <v>3308</v>
      </c>
      <c r="G451" s="3" t="s">
        <v>1215</v>
      </c>
      <c r="H451" s="11">
        <f>ROUND(
IF(L449="GANCHO",
   IF(I451&lt;=50,I451*1.1+4,IF(I451&lt;=120,I451*1.1+7,IF(I451&lt;=250,I451*1.1+11,I451*1.1+19))),
IF(L449="NORMAL",
   IF(I451&lt;=30,I451*1.15+2,IF(I451&lt;=80,I451*1.15+4,IF(I451&lt;=150,I451*1.15+6,I451*1.15+8))),
IF(L449="COMPLEMENTO",
   IF(I451&lt;=25,I451*1.25+1.5,IF(I451&lt;=60,I451*1.25+3,IF(I451&lt;=120,I451*1.25+4,I451*1.25+5))),
""))),2)</f>
        <v>2539.5100000000002</v>
      </c>
      <c r="I451" s="9">
        <f>($K$2+0.02)*Tabla1[[#This Row],[PRECIO $]]*1.18</f>
        <v>2291.3711999999996</v>
      </c>
      <c r="J451" s="7">
        <f>+Tabla1[[#This Row],[PRECIO EN SOLES]]-Tabla1[[#This Row],[PC]]</f>
        <v>248.13880000000063</v>
      </c>
      <c r="K451" s="15"/>
      <c r="L451" s="15" t="str">
        <f>IF(
OR(
ISNUMBER(SEARCH("BACKPACK",B453)),
ISNUMBER(SEARCH("MOCHILA",B453)),
ISNUMBER(SEARCH("FUNDA",B453)),
ISNUMBER(SEARCH("ESTUCHE",B453)),
ISNUMBER(SEARCH("BOOK COVER",B453)),
ISNUMBER(SEARCH("KEYBOARD PARA TABLET",B453)),
ISNUMBER(SEARCH("FLIP TABLET",B453)),
ISNUMBER(SEARCH("CASE FOR TABLET",B453)),
ISNUMBER(SEARCH("CABLE",B453)),
ISNUMBER(SEARCH("ADAPTADOR",B453)),
ISNUMBER(SEARCH("HUB",B453)),
ISNUMBER(SEARCH("DOCK",B453)),
ISNUMBER(SEARCH("MOUSE PAD",B453)),
ISNUMBER(SEARCH("MOUSEPAD",B453)),
ISNUMBER(SEARCH("SOPORTE",B453)),
ISNUMBER(SEARCH("STAND",B453)),
ISNUMBER(SEARCH("TRAVEL ADAPTER",B453)),
ISNUMBER(SEARCH("RJ45",B453)),
ISNUMBER(SEARCH("USB-C",B453)),
ISNUMBER(SEARCH("USB WIFI",B453)),
ISNUMBER(SEARCH("POWERBANK",B453)),
ISNUMBER(SEARCH("CARGADOR",B453)),
ISNUMBER(SEARCH("COOLER PARA NB",B453)),
ISNUMBER(SEARCH("SOPORTE PARA NB",B453)),
ISNUMBER(SEARCH("WEBCAM",B453)),
ISNUMBER(SEARCH("WEB CAM",B453)),
ISNUMBER(SEARCH("MOUSE",B453)),
ISNUMBER(SEARCH("TECLADO",B453))
),
"COMPLEMENTO",
IF(
OR(
LEFT(A453,2)="NB",
LEFT(A453,2)="PC",
LEFT(A453,2)="WS",
LEFT(A453,2)="TB",
LEFT(A453,3)="CEL",
LEFT(A453,3)="MON",
LEFT(A453,3)="PRE",
LEFT(A453,3)="PRH",
ISNUMBER(SEARCH("NOTEBOOK",B453)),
ISNUMBER(SEARCH("LAPTOP",B453)),
ISNUMBER(SEARCH("MONITOR",B453)),
ISNUMBER(SEARCH("TABLET",B453)),
ISNUMBER(SEARCH("SMARTPH",B453)),
ISNUMBER(SEARCH("IMPRESORA",B453)),
ISNUMBER(SEARCH("MULTIFUNCIONAL",B453)),
ISNUMBER(SEARCH("AIO",B453))
),
"GANCHO",
"NORMAL"
)
)</f>
        <v>GANCHO</v>
      </c>
    </row>
    <row r="452" spans="1:12" x14ac:dyDescent="0.25">
      <c r="A452" s="3" t="s">
        <v>4786</v>
      </c>
      <c r="B452" s="3" t="s">
        <v>4787</v>
      </c>
      <c r="C452" s="1">
        <v>20</v>
      </c>
      <c r="D452" s="1">
        <v>108</v>
      </c>
      <c r="E452" s="1" t="s">
        <v>56</v>
      </c>
      <c r="F452" s="1" t="s">
        <v>4788</v>
      </c>
      <c r="G452" s="3" t="s">
        <v>4789</v>
      </c>
      <c r="H452" s="11">
        <f>ROUND(
IF(L450="GANCHO",
   IF(I452&lt;=50,I452*1.1+4,IF(I452&lt;=120,I452*1.1+7,IF(I452&lt;=250,I452*1.1+11,I452*1.1+19))),
IF(L450="NORMAL",
   IF(I452&lt;=30,I452*1.15+2,IF(I452&lt;=80,I452*1.15+4,IF(I452&lt;=150,I452*1.15+6,I452*1.15+8))),
IF(L450="COMPLEMENTO",
   IF(I452&lt;=25,I452*1.25+1.5,IF(I452&lt;=60,I452*1.25+3,IF(I452&lt;=120,I452*1.25+4,I452*1.25+5))),
""))),2)</f>
        <v>506.84</v>
      </c>
      <c r="I452" s="9">
        <f>($K$2+0.02)*Tabla1[[#This Row],[PRECIO $]]*1.18</f>
        <v>443.49119999999994</v>
      </c>
      <c r="J452" s="7">
        <f>+Tabla1[[#This Row],[PRECIO EN SOLES]]-Tabla1[[#This Row],[PC]]</f>
        <v>63.34880000000004</v>
      </c>
      <c r="K452" s="15"/>
      <c r="L452" s="15" t="str">
        <f>IF(
OR(
ISNUMBER(SEARCH("BACKPACK",B454)),
ISNUMBER(SEARCH("MOCHILA",B454)),
ISNUMBER(SEARCH("FUNDA",B454)),
ISNUMBER(SEARCH("ESTUCHE",B454)),
ISNUMBER(SEARCH("BOOK COVER",B454)),
ISNUMBER(SEARCH("KEYBOARD PARA TABLET",B454)),
ISNUMBER(SEARCH("FLIP TABLET",B454)),
ISNUMBER(SEARCH("CASE FOR TABLET",B454)),
ISNUMBER(SEARCH("CABLE",B454)),
ISNUMBER(SEARCH("ADAPTADOR",B454)),
ISNUMBER(SEARCH("HUB",B454)),
ISNUMBER(SEARCH("DOCK",B454)),
ISNUMBER(SEARCH("MOUSE PAD",B454)),
ISNUMBER(SEARCH("MOUSEPAD",B454)),
ISNUMBER(SEARCH("SOPORTE",B454)),
ISNUMBER(SEARCH("STAND",B454)),
ISNUMBER(SEARCH("TRAVEL ADAPTER",B454)),
ISNUMBER(SEARCH("RJ45",B454)),
ISNUMBER(SEARCH("USB-C",B454)),
ISNUMBER(SEARCH("USB WIFI",B454)),
ISNUMBER(SEARCH("POWERBANK",B454)),
ISNUMBER(SEARCH("CARGADOR",B454)),
ISNUMBER(SEARCH("COOLER PARA NB",B454)),
ISNUMBER(SEARCH("SOPORTE PARA NB",B454)),
ISNUMBER(SEARCH("WEBCAM",B454)),
ISNUMBER(SEARCH("WEB CAM",B454)),
ISNUMBER(SEARCH("MOUSE",B454)),
ISNUMBER(SEARCH("TECLADO",B454))
),
"COMPLEMENTO",
IF(
OR(
LEFT(A454,2)="NB",
LEFT(A454,2)="PC",
LEFT(A454,2)="WS",
LEFT(A454,2)="TB",
LEFT(A454,3)="CEL",
LEFT(A454,3)="MON",
LEFT(A454,3)="PRE",
LEFT(A454,3)="PRH",
ISNUMBER(SEARCH("NOTEBOOK",B454)),
ISNUMBER(SEARCH("LAPTOP",B454)),
ISNUMBER(SEARCH("MONITOR",B454)),
ISNUMBER(SEARCH("TABLET",B454)),
ISNUMBER(SEARCH("SMARTPH",B454)),
ISNUMBER(SEARCH("IMPRESORA",B454)),
ISNUMBER(SEARCH("MULTIFUNCIONAL",B454)),
ISNUMBER(SEARCH("AIO",B454))
),
"GANCHO",
"NORMAL"
)
)</f>
        <v>GANCHO</v>
      </c>
    </row>
    <row r="453" spans="1:12" x14ac:dyDescent="0.25">
      <c r="A453" s="3" t="s">
        <v>4944</v>
      </c>
      <c r="B453" s="3" t="s">
        <v>4945</v>
      </c>
      <c r="C453" s="1">
        <v>20</v>
      </c>
      <c r="D453" s="1">
        <v>268</v>
      </c>
      <c r="E453" s="1" t="s">
        <v>56</v>
      </c>
      <c r="F453" s="1" t="s">
        <v>4946</v>
      </c>
      <c r="G453" s="3" t="s">
        <v>4947</v>
      </c>
      <c r="H453" s="11">
        <f>ROUND(
IF(L451="GANCHO",
   IF(I453&lt;=50,I453*1.1+4,IF(I453&lt;=120,I453*1.1+7,IF(I453&lt;=250,I453*1.1+11,I453*1.1+19))),
IF(L451="NORMAL",
   IF(I453&lt;=30,I453*1.15+2,IF(I453&lt;=80,I453*1.15+4,IF(I453&lt;=150,I453*1.15+6,I453*1.15+8))),
IF(L451="COMPLEMENTO",
   IF(I453&lt;=25,I453*1.25+1.5,IF(I453&lt;=60,I453*1.25+3,IF(I453&lt;=120,I453*1.25+4,I453*1.25+5))),
""))),2)</f>
        <v>1229.57</v>
      </c>
      <c r="I453" s="9">
        <f>($K$2+0.02)*Tabla1[[#This Row],[PRECIO $]]*1.18</f>
        <v>1100.5151999999998</v>
      </c>
      <c r="J453" s="7">
        <f>+Tabla1[[#This Row],[PRECIO EN SOLES]]-Tabla1[[#This Row],[PC]]</f>
        <v>129.05480000000011</v>
      </c>
      <c r="K453" s="15"/>
      <c r="L453" s="15" t="str">
        <f>IF(
OR(
ISNUMBER(SEARCH("BACKPACK",B455)),
ISNUMBER(SEARCH("MOCHILA",B455)),
ISNUMBER(SEARCH("FUNDA",B455)),
ISNUMBER(SEARCH("ESTUCHE",B455)),
ISNUMBER(SEARCH("BOOK COVER",B455)),
ISNUMBER(SEARCH("KEYBOARD PARA TABLET",B455)),
ISNUMBER(SEARCH("FLIP TABLET",B455)),
ISNUMBER(SEARCH("CASE FOR TABLET",B455)),
ISNUMBER(SEARCH("CABLE",B455)),
ISNUMBER(SEARCH("ADAPTADOR",B455)),
ISNUMBER(SEARCH("HUB",B455)),
ISNUMBER(SEARCH("DOCK",B455)),
ISNUMBER(SEARCH("MOUSE PAD",B455)),
ISNUMBER(SEARCH("MOUSEPAD",B455)),
ISNUMBER(SEARCH("SOPORTE",B455)),
ISNUMBER(SEARCH("STAND",B455)),
ISNUMBER(SEARCH("TRAVEL ADAPTER",B455)),
ISNUMBER(SEARCH("RJ45",B455)),
ISNUMBER(SEARCH("USB-C",B455)),
ISNUMBER(SEARCH("USB WIFI",B455)),
ISNUMBER(SEARCH("POWERBANK",B455)),
ISNUMBER(SEARCH("CARGADOR",B455)),
ISNUMBER(SEARCH("COOLER PARA NB",B455)),
ISNUMBER(SEARCH("SOPORTE PARA NB",B455)),
ISNUMBER(SEARCH("WEBCAM",B455)),
ISNUMBER(SEARCH("WEB CAM",B455)),
ISNUMBER(SEARCH("MOUSE",B455)),
ISNUMBER(SEARCH("TECLADO",B455))
),
"COMPLEMENTO",
IF(
OR(
LEFT(A455,2)="NB",
LEFT(A455,2)="PC",
LEFT(A455,2)="WS",
LEFT(A455,2)="TB",
LEFT(A455,3)="CEL",
LEFT(A455,3)="MON",
LEFT(A455,3)="PRE",
LEFT(A455,3)="PRH",
ISNUMBER(SEARCH("NOTEBOOK",B455)),
ISNUMBER(SEARCH("LAPTOP",B455)),
ISNUMBER(SEARCH("MONITOR",B455)),
ISNUMBER(SEARCH("TABLET",B455)),
ISNUMBER(SEARCH("SMARTPH",B455)),
ISNUMBER(SEARCH("IMPRESORA",B455)),
ISNUMBER(SEARCH("MULTIFUNCIONAL",B455)),
ISNUMBER(SEARCH("AIO",B455))
),
"GANCHO",
"NORMAL"
)
)</f>
        <v>GANCHO</v>
      </c>
    </row>
    <row r="454" spans="1:12" x14ac:dyDescent="0.25">
      <c r="A454" s="3" t="s">
        <v>1216</v>
      </c>
      <c r="B454" s="3" t="s">
        <v>1217</v>
      </c>
      <c r="C454" s="1">
        <v>20</v>
      </c>
      <c r="D454" s="1">
        <v>426</v>
      </c>
      <c r="E454" s="1" t="s">
        <v>56</v>
      </c>
      <c r="F454" s="1" t="s">
        <v>3309</v>
      </c>
      <c r="G454" s="3" t="s">
        <v>1218</v>
      </c>
      <c r="H454" s="11">
        <f>ROUND(
IF(L452="GANCHO",
   IF(I454&lt;=50,I454*1.1+4,IF(I454&lt;=120,I454*1.1+7,IF(I454&lt;=250,I454*1.1+11,I454*1.1+19))),
IF(L452="NORMAL",
   IF(I454&lt;=30,I454*1.15+2,IF(I454&lt;=80,I454*1.15+4,IF(I454&lt;=150,I454*1.15+6,I454*1.15+8))),
IF(L452="COMPLEMENTO",
   IF(I454&lt;=25,I454*1.25+1.5,IF(I454&lt;=60,I454*1.25+3,IF(I454&lt;=120,I454*1.25+4,I454*1.25+5))),
""))),2)</f>
        <v>1943.26</v>
      </c>
      <c r="I454" s="9">
        <f>($K$2+0.02)*Tabla1[[#This Row],[PRECIO $]]*1.18</f>
        <v>1749.3263999999999</v>
      </c>
      <c r="J454" s="7">
        <f>+Tabla1[[#This Row],[PRECIO EN SOLES]]-Tabla1[[#This Row],[PC]]</f>
        <v>193.93360000000007</v>
      </c>
      <c r="K454" s="15"/>
      <c r="L454" s="15" t="str">
        <f>IF(
OR(
ISNUMBER(SEARCH("BACKPACK",B456)),
ISNUMBER(SEARCH("MOCHILA",B456)),
ISNUMBER(SEARCH("FUNDA",B456)),
ISNUMBER(SEARCH("ESTUCHE",B456)),
ISNUMBER(SEARCH("BOOK COVER",B456)),
ISNUMBER(SEARCH("KEYBOARD PARA TABLET",B456)),
ISNUMBER(SEARCH("FLIP TABLET",B456)),
ISNUMBER(SEARCH("CASE FOR TABLET",B456)),
ISNUMBER(SEARCH("CABLE",B456)),
ISNUMBER(SEARCH("ADAPTADOR",B456)),
ISNUMBER(SEARCH("HUB",B456)),
ISNUMBER(SEARCH("DOCK",B456)),
ISNUMBER(SEARCH("MOUSE PAD",B456)),
ISNUMBER(SEARCH("MOUSEPAD",B456)),
ISNUMBER(SEARCH("SOPORTE",B456)),
ISNUMBER(SEARCH("STAND",B456)),
ISNUMBER(SEARCH("TRAVEL ADAPTER",B456)),
ISNUMBER(SEARCH("RJ45",B456)),
ISNUMBER(SEARCH("USB-C",B456)),
ISNUMBER(SEARCH("USB WIFI",B456)),
ISNUMBER(SEARCH("POWERBANK",B456)),
ISNUMBER(SEARCH("CARGADOR",B456)),
ISNUMBER(SEARCH("COOLER PARA NB",B456)),
ISNUMBER(SEARCH("SOPORTE PARA NB",B456)),
ISNUMBER(SEARCH("WEBCAM",B456)),
ISNUMBER(SEARCH("WEB CAM",B456)),
ISNUMBER(SEARCH("MOUSE",B456)),
ISNUMBER(SEARCH("TECLADO",B456))
),
"COMPLEMENTO",
IF(
OR(
LEFT(A456,2)="NB",
LEFT(A456,2)="PC",
LEFT(A456,2)="WS",
LEFT(A456,2)="TB",
LEFT(A456,3)="CEL",
LEFT(A456,3)="MON",
LEFT(A456,3)="PRE",
LEFT(A456,3)="PRH",
ISNUMBER(SEARCH("NOTEBOOK",B456)),
ISNUMBER(SEARCH("LAPTOP",B456)),
ISNUMBER(SEARCH("MONITOR",B456)),
ISNUMBER(SEARCH("TABLET",B456)),
ISNUMBER(SEARCH("SMARTPH",B456)),
ISNUMBER(SEARCH("IMPRESORA",B456)),
ISNUMBER(SEARCH("MULTIFUNCIONAL",B456)),
ISNUMBER(SEARCH("AIO",B456))
),
"GANCHO",
"NORMAL"
)
)</f>
        <v>GANCHO</v>
      </c>
    </row>
    <row r="455" spans="1:12" x14ac:dyDescent="0.25">
      <c r="A455" s="3" t="s">
        <v>1219</v>
      </c>
      <c r="B455" s="3" t="s">
        <v>1220</v>
      </c>
      <c r="C455" s="1">
        <v>2</v>
      </c>
      <c r="D455" s="1">
        <v>417</v>
      </c>
      <c r="E455" s="1" t="s">
        <v>56</v>
      </c>
      <c r="F455" s="1" t="s">
        <v>3310</v>
      </c>
      <c r="G455" s="3"/>
      <c r="H455" s="11">
        <f>ROUND(
IF(L453="GANCHO",
   IF(I455&lt;=50,I455*1.1+4,IF(I455&lt;=120,I455*1.1+7,IF(I455&lt;=250,I455*1.1+11,I455*1.1+19))),
IF(L453="NORMAL",
   IF(I455&lt;=30,I455*1.15+2,IF(I455&lt;=80,I455*1.15+4,IF(I455&lt;=150,I455*1.15+6,I455*1.15+8))),
IF(L453="COMPLEMENTO",
   IF(I455&lt;=25,I455*1.25+1.5,IF(I455&lt;=60,I455*1.25+3,IF(I455&lt;=120,I455*1.25+4,I455*1.25+5))),
""))),2)</f>
        <v>1902.61</v>
      </c>
      <c r="I455" s="9">
        <f>($K$2+0.02)*Tabla1[[#This Row],[PRECIO $]]*1.18</f>
        <v>1712.3688</v>
      </c>
      <c r="J455" s="7">
        <f>+Tabla1[[#This Row],[PRECIO EN SOLES]]-Tabla1[[#This Row],[PC]]</f>
        <v>190.24119999999994</v>
      </c>
      <c r="K455" s="15"/>
      <c r="L455" s="15" t="str">
        <f>IF(
OR(
ISNUMBER(SEARCH("BACKPACK",B457)),
ISNUMBER(SEARCH("MOCHILA",B457)),
ISNUMBER(SEARCH("FUNDA",B457)),
ISNUMBER(SEARCH("ESTUCHE",B457)),
ISNUMBER(SEARCH("BOOK COVER",B457)),
ISNUMBER(SEARCH("KEYBOARD PARA TABLET",B457)),
ISNUMBER(SEARCH("FLIP TABLET",B457)),
ISNUMBER(SEARCH("CASE FOR TABLET",B457)),
ISNUMBER(SEARCH("CABLE",B457)),
ISNUMBER(SEARCH("ADAPTADOR",B457)),
ISNUMBER(SEARCH("HUB",B457)),
ISNUMBER(SEARCH("DOCK",B457)),
ISNUMBER(SEARCH("MOUSE PAD",B457)),
ISNUMBER(SEARCH("MOUSEPAD",B457)),
ISNUMBER(SEARCH("SOPORTE",B457)),
ISNUMBER(SEARCH("STAND",B457)),
ISNUMBER(SEARCH("TRAVEL ADAPTER",B457)),
ISNUMBER(SEARCH("RJ45",B457)),
ISNUMBER(SEARCH("USB-C",B457)),
ISNUMBER(SEARCH("USB WIFI",B457)),
ISNUMBER(SEARCH("POWERBANK",B457)),
ISNUMBER(SEARCH("CARGADOR",B457)),
ISNUMBER(SEARCH("COOLER PARA NB",B457)),
ISNUMBER(SEARCH("SOPORTE PARA NB",B457)),
ISNUMBER(SEARCH("WEBCAM",B457)),
ISNUMBER(SEARCH("WEB CAM",B457)),
ISNUMBER(SEARCH("MOUSE",B457)),
ISNUMBER(SEARCH("TECLADO",B457))
),
"COMPLEMENTO",
IF(
OR(
LEFT(A457,2)="NB",
LEFT(A457,2)="PC",
LEFT(A457,2)="WS",
LEFT(A457,2)="TB",
LEFT(A457,3)="CEL",
LEFT(A457,3)="MON",
LEFT(A457,3)="PRE",
LEFT(A457,3)="PRH",
ISNUMBER(SEARCH("NOTEBOOK",B457)),
ISNUMBER(SEARCH("LAPTOP",B457)),
ISNUMBER(SEARCH("MONITOR",B457)),
ISNUMBER(SEARCH("TABLET",B457)),
ISNUMBER(SEARCH("SMARTPH",B457)),
ISNUMBER(SEARCH("IMPRESORA",B457)),
ISNUMBER(SEARCH("MULTIFUNCIONAL",B457)),
ISNUMBER(SEARCH("AIO",B457))
),
"GANCHO",
"NORMAL"
)
)</f>
        <v>GANCHO</v>
      </c>
    </row>
    <row r="456" spans="1:12" x14ac:dyDescent="0.25">
      <c r="A456" s="3" t="s">
        <v>6706</v>
      </c>
      <c r="B456" s="3" t="s">
        <v>6707</v>
      </c>
      <c r="C456" s="1">
        <v>0</v>
      </c>
      <c r="D456" s="1">
        <v>1495</v>
      </c>
      <c r="E456" s="1" t="s">
        <v>141</v>
      </c>
      <c r="F456" s="1" t="s">
        <v>6708</v>
      </c>
      <c r="G456" s="3" t="s">
        <v>6709</v>
      </c>
      <c r="H456" s="11">
        <f>ROUND(
IF(L454="GANCHO",
   IF(I456&lt;=50,I456*1.1+4,IF(I456&lt;=120,I456*1.1+7,IF(I456&lt;=250,I456*1.1+11,I456*1.1+19))),
IF(L454="NORMAL",
   IF(I456&lt;=30,I456*1.15+2,IF(I456&lt;=80,I456*1.15+4,IF(I456&lt;=150,I456*1.15+6,I456*1.15+8))),
IF(L454="COMPLEMENTO",
   IF(I456&lt;=25,I456*1.25+1.5,IF(I456&lt;=60,I456*1.25+3,IF(I456&lt;=120,I456*1.25+4,I456*1.25+5))),
""))),2)</f>
        <v>6771.97</v>
      </c>
      <c r="I456" s="9">
        <f>($K$2+0.02)*Tabla1[[#This Row],[PRECIO $]]*1.18</f>
        <v>6139.0680000000002</v>
      </c>
      <c r="J456" s="7">
        <f>+Tabla1[[#This Row],[PRECIO EN SOLES]]-Tabla1[[#This Row],[PC]]</f>
        <v>632.90200000000004</v>
      </c>
      <c r="K456" s="15"/>
      <c r="L456" s="15" t="str">
        <f>IF(
OR(
ISNUMBER(SEARCH("BACKPACK",B458)),
ISNUMBER(SEARCH("MOCHILA",B458)),
ISNUMBER(SEARCH("FUNDA",B458)),
ISNUMBER(SEARCH("ESTUCHE",B458)),
ISNUMBER(SEARCH("BOOK COVER",B458)),
ISNUMBER(SEARCH("KEYBOARD PARA TABLET",B458)),
ISNUMBER(SEARCH("FLIP TABLET",B458)),
ISNUMBER(SEARCH("CASE FOR TABLET",B458)),
ISNUMBER(SEARCH("CABLE",B458)),
ISNUMBER(SEARCH("ADAPTADOR",B458)),
ISNUMBER(SEARCH("HUB",B458)),
ISNUMBER(SEARCH("DOCK",B458)),
ISNUMBER(SEARCH("MOUSE PAD",B458)),
ISNUMBER(SEARCH("MOUSEPAD",B458)),
ISNUMBER(SEARCH("SOPORTE",B458)),
ISNUMBER(SEARCH("STAND",B458)),
ISNUMBER(SEARCH("TRAVEL ADAPTER",B458)),
ISNUMBER(SEARCH("RJ45",B458)),
ISNUMBER(SEARCH("USB-C",B458)),
ISNUMBER(SEARCH("USB WIFI",B458)),
ISNUMBER(SEARCH("POWERBANK",B458)),
ISNUMBER(SEARCH("CARGADOR",B458)),
ISNUMBER(SEARCH("COOLER PARA NB",B458)),
ISNUMBER(SEARCH("SOPORTE PARA NB",B458)),
ISNUMBER(SEARCH("WEBCAM",B458)),
ISNUMBER(SEARCH("WEB CAM",B458)),
ISNUMBER(SEARCH("MOUSE",B458)),
ISNUMBER(SEARCH("TECLADO",B458))
),
"COMPLEMENTO",
IF(
OR(
LEFT(A458,2)="NB",
LEFT(A458,2)="PC",
LEFT(A458,2)="WS",
LEFT(A458,2)="TB",
LEFT(A458,3)="CEL",
LEFT(A458,3)="MON",
LEFT(A458,3)="PRE",
LEFT(A458,3)="PRH",
ISNUMBER(SEARCH("NOTEBOOK",B458)),
ISNUMBER(SEARCH("LAPTOP",B458)),
ISNUMBER(SEARCH("MONITOR",B458)),
ISNUMBER(SEARCH("TABLET",B458)),
ISNUMBER(SEARCH("SMARTPH",B458)),
ISNUMBER(SEARCH("IMPRESORA",B458)),
ISNUMBER(SEARCH("MULTIFUNCIONAL",B458)),
ISNUMBER(SEARCH("AIO",B458))
),
"GANCHO",
"NORMAL"
)
)</f>
        <v>NORMAL</v>
      </c>
    </row>
    <row r="457" spans="1:12" x14ac:dyDescent="0.25">
      <c r="A457" s="3" t="s">
        <v>4474</v>
      </c>
      <c r="B457" s="3" t="s">
        <v>4475</v>
      </c>
      <c r="C457" s="1">
        <v>1</v>
      </c>
      <c r="D457" s="1">
        <v>9</v>
      </c>
      <c r="E457" s="1" t="s">
        <v>148</v>
      </c>
      <c r="F457" s="1" t="s">
        <v>4476</v>
      </c>
      <c r="G457" s="3"/>
      <c r="H457" s="11">
        <f>ROUND(
IF(L455="GANCHO",
   IF(I457&lt;=50,I457*1.1+4,IF(I457&lt;=120,I457*1.1+7,IF(I457&lt;=250,I457*1.1+11,I457*1.1+19))),
IF(L455="NORMAL",
   IF(I457&lt;=30,I457*1.15+2,IF(I457&lt;=80,I457*1.15+4,IF(I457&lt;=150,I457*1.15+6,I457*1.15+8))),
IF(L455="COMPLEMENTO",
   IF(I457&lt;=25,I457*1.25+1.5,IF(I457&lt;=60,I457*1.25+3,IF(I457&lt;=120,I457*1.25+4,I457*1.25+5))),
""))),2)</f>
        <v>44.65</v>
      </c>
      <c r="I457" s="9">
        <f>($K$2+0.02)*Tabla1[[#This Row],[PRECIO $]]*1.18</f>
        <v>36.957599999999999</v>
      </c>
      <c r="J457" s="7">
        <f>+Tabla1[[#This Row],[PRECIO EN SOLES]]-Tabla1[[#This Row],[PC]]</f>
        <v>7.6923999999999992</v>
      </c>
      <c r="K457" s="15"/>
      <c r="L457" s="15" t="str">
        <f>IF(
OR(
ISNUMBER(SEARCH("BACKPACK",B459)),
ISNUMBER(SEARCH("MOCHILA",B459)),
ISNUMBER(SEARCH("FUNDA",B459)),
ISNUMBER(SEARCH("ESTUCHE",B459)),
ISNUMBER(SEARCH("BOOK COVER",B459)),
ISNUMBER(SEARCH("KEYBOARD PARA TABLET",B459)),
ISNUMBER(SEARCH("FLIP TABLET",B459)),
ISNUMBER(SEARCH("CASE FOR TABLET",B459)),
ISNUMBER(SEARCH("CABLE",B459)),
ISNUMBER(SEARCH("ADAPTADOR",B459)),
ISNUMBER(SEARCH("HUB",B459)),
ISNUMBER(SEARCH("DOCK",B459)),
ISNUMBER(SEARCH("MOUSE PAD",B459)),
ISNUMBER(SEARCH("MOUSEPAD",B459)),
ISNUMBER(SEARCH("SOPORTE",B459)),
ISNUMBER(SEARCH("STAND",B459)),
ISNUMBER(SEARCH("TRAVEL ADAPTER",B459)),
ISNUMBER(SEARCH("RJ45",B459)),
ISNUMBER(SEARCH("USB-C",B459)),
ISNUMBER(SEARCH("USB WIFI",B459)),
ISNUMBER(SEARCH("POWERBANK",B459)),
ISNUMBER(SEARCH("CARGADOR",B459)),
ISNUMBER(SEARCH("COOLER PARA NB",B459)),
ISNUMBER(SEARCH("SOPORTE PARA NB",B459)),
ISNUMBER(SEARCH("WEBCAM",B459)),
ISNUMBER(SEARCH("WEB CAM",B459)),
ISNUMBER(SEARCH("MOUSE",B459)),
ISNUMBER(SEARCH("TECLADO",B459))
),
"COMPLEMENTO",
IF(
OR(
LEFT(A459,2)="NB",
LEFT(A459,2)="PC",
LEFT(A459,2)="WS",
LEFT(A459,2)="TB",
LEFT(A459,3)="CEL",
LEFT(A459,3)="MON",
LEFT(A459,3)="PRE",
LEFT(A459,3)="PRH",
ISNUMBER(SEARCH("NOTEBOOK",B459)),
ISNUMBER(SEARCH("LAPTOP",B459)),
ISNUMBER(SEARCH("MONITOR",B459)),
ISNUMBER(SEARCH("TABLET",B459)),
ISNUMBER(SEARCH("SMARTPH",B459)),
ISNUMBER(SEARCH("IMPRESORA",B459)),
ISNUMBER(SEARCH("MULTIFUNCIONAL",B459)),
ISNUMBER(SEARCH("AIO",B459))
),
"GANCHO",
"NORMAL"
)
)</f>
        <v>NORMAL</v>
      </c>
    </row>
    <row r="458" spans="1:12" x14ac:dyDescent="0.25">
      <c r="A458" s="3" t="s">
        <v>1221</v>
      </c>
      <c r="B458" s="3" t="s">
        <v>1222</v>
      </c>
      <c r="C458" s="1">
        <v>2</v>
      </c>
      <c r="D458" s="1">
        <v>42</v>
      </c>
      <c r="E458" s="1" t="s">
        <v>141</v>
      </c>
      <c r="F458" s="1" t="s">
        <v>3311</v>
      </c>
      <c r="G458" s="3"/>
      <c r="H458" s="11">
        <f>ROUND(
IF(L456="GANCHO",
   IF(I458&lt;=50,I458*1.1+4,IF(I458&lt;=120,I458*1.1+7,IF(I458&lt;=250,I458*1.1+11,I458*1.1+19))),
IF(L456="NORMAL",
   IF(I458&lt;=30,I458*1.15+2,IF(I458&lt;=80,I458*1.15+4,IF(I458&lt;=150,I458*1.15+6,I458*1.15+8))),
IF(L456="COMPLEMENTO",
   IF(I458&lt;=25,I458*1.25+1.5,IF(I458&lt;=60,I458*1.25+3,IF(I458&lt;=120,I458*1.25+4,I458*1.25+5))),
""))),2)</f>
        <v>206.34</v>
      </c>
      <c r="I458" s="9">
        <f>($K$2+0.02)*Tabla1[[#This Row],[PRECIO $]]*1.18</f>
        <v>172.46879999999999</v>
      </c>
      <c r="J458" s="7">
        <f>+Tabla1[[#This Row],[PRECIO EN SOLES]]-Tabla1[[#This Row],[PC]]</f>
        <v>33.871200000000016</v>
      </c>
      <c r="K458" s="15"/>
      <c r="L458" s="15" t="str">
        <f>IF(
OR(
ISNUMBER(SEARCH("BACKPACK",B460)),
ISNUMBER(SEARCH("MOCHILA",B460)),
ISNUMBER(SEARCH("FUNDA",B460)),
ISNUMBER(SEARCH("ESTUCHE",B460)),
ISNUMBER(SEARCH("BOOK COVER",B460)),
ISNUMBER(SEARCH("KEYBOARD PARA TABLET",B460)),
ISNUMBER(SEARCH("FLIP TABLET",B460)),
ISNUMBER(SEARCH("CASE FOR TABLET",B460)),
ISNUMBER(SEARCH("CABLE",B460)),
ISNUMBER(SEARCH("ADAPTADOR",B460)),
ISNUMBER(SEARCH("HUB",B460)),
ISNUMBER(SEARCH("DOCK",B460)),
ISNUMBER(SEARCH("MOUSE PAD",B460)),
ISNUMBER(SEARCH("MOUSEPAD",B460)),
ISNUMBER(SEARCH("SOPORTE",B460)),
ISNUMBER(SEARCH("STAND",B460)),
ISNUMBER(SEARCH("TRAVEL ADAPTER",B460)),
ISNUMBER(SEARCH("RJ45",B460)),
ISNUMBER(SEARCH("USB-C",B460)),
ISNUMBER(SEARCH("USB WIFI",B460)),
ISNUMBER(SEARCH("POWERBANK",B460)),
ISNUMBER(SEARCH("CARGADOR",B460)),
ISNUMBER(SEARCH("COOLER PARA NB",B460)),
ISNUMBER(SEARCH("SOPORTE PARA NB",B460)),
ISNUMBER(SEARCH("WEBCAM",B460)),
ISNUMBER(SEARCH("WEB CAM",B460)),
ISNUMBER(SEARCH("MOUSE",B460)),
ISNUMBER(SEARCH("TECLADO",B460))
),
"COMPLEMENTO",
IF(
OR(
LEFT(A460,2)="NB",
LEFT(A460,2)="PC",
LEFT(A460,2)="WS",
LEFT(A460,2)="TB",
LEFT(A460,3)="CEL",
LEFT(A460,3)="MON",
LEFT(A460,3)="PRE",
LEFT(A460,3)="PRH",
ISNUMBER(SEARCH("NOTEBOOK",B460)),
ISNUMBER(SEARCH("LAPTOP",B460)),
ISNUMBER(SEARCH("MONITOR",B460)),
ISNUMBER(SEARCH("TABLET",B460)),
ISNUMBER(SEARCH("SMARTPH",B460)),
ISNUMBER(SEARCH("IMPRESORA",B460)),
ISNUMBER(SEARCH("MULTIFUNCIONAL",B460)),
ISNUMBER(SEARCH("AIO",B460))
),
"GANCHO",
"NORMAL"
)
)</f>
        <v>NORMAL</v>
      </c>
    </row>
    <row r="459" spans="1:12" x14ac:dyDescent="0.25">
      <c r="A459" s="3" t="s">
        <v>5902</v>
      </c>
      <c r="B459" s="3" t="s">
        <v>5903</v>
      </c>
      <c r="C459" s="1">
        <v>20</v>
      </c>
      <c r="D459" s="1">
        <v>730</v>
      </c>
      <c r="E459" s="1" t="s">
        <v>141</v>
      </c>
      <c r="F459" s="1" t="s">
        <v>5904</v>
      </c>
      <c r="G459" s="3" t="s">
        <v>6588</v>
      </c>
      <c r="H459" s="11">
        <f>ROUND(
IF(L457="GANCHO",
   IF(I459&lt;=50,I459*1.1+4,IF(I459&lt;=120,I459*1.1+7,IF(I459&lt;=250,I459*1.1+11,I459*1.1+19))),
IF(L457="NORMAL",
   IF(I459&lt;=30,I459*1.15+2,IF(I459&lt;=80,I459*1.15+4,IF(I459&lt;=150,I459*1.15+6,I459*1.15+8))),
IF(L457="COMPLEMENTO",
   IF(I459&lt;=25,I459*1.25+1.5,IF(I459&lt;=60,I459*1.25+3,IF(I459&lt;=120,I459*1.25+4,I459*1.25+5))),
""))),2)</f>
        <v>3455.32</v>
      </c>
      <c r="I459" s="9">
        <f>($K$2+0.02)*Tabla1[[#This Row],[PRECIO $]]*1.18</f>
        <v>2997.672</v>
      </c>
      <c r="J459" s="7">
        <f>+Tabla1[[#This Row],[PRECIO EN SOLES]]-Tabla1[[#This Row],[PC]]</f>
        <v>457.64800000000014</v>
      </c>
      <c r="K459" s="15"/>
      <c r="L459" s="15" t="str">
        <f>IF(
OR(
ISNUMBER(SEARCH("BACKPACK",B461)),
ISNUMBER(SEARCH("MOCHILA",B461)),
ISNUMBER(SEARCH("FUNDA",B461)),
ISNUMBER(SEARCH("ESTUCHE",B461)),
ISNUMBER(SEARCH("BOOK COVER",B461)),
ISNUMBER(SEARCH("KEYBOARD PARA TABLET",B461)),
ISNUMBER(SEARCH("FLIP TABLET",B461)),
ISNUMBER(SEARCH("CASE FOR TABLET",B461)),
ISNUMBER(SEARCH("CABLE",B461)),
ISNUMBER(SEARCH("ADAPTADOR",B461)),
ISNUMBER(SEARCH("HUB",B461)),
ISNUMBER(SEARCH("DOCK",B461)),
ISNUMBER(SEARCH("MOUSE PAD",B461)),
ISNUMBER(SEARCH("MOUSEPAD",B461)),
ISNUMBER(SEARCH("SOPORTE",B461)),
ISNUMBER(SEARCH("STAND",B461)),
ISNUMBER(SEARCH("TRAVEL ADAPTER",B461)),
ISNUMBER(SEARCH("RJ45",B461)),
ISNUMBER(SEARCH("USB-C",B461)),
ISNUMBER(SEARCH("USB WIFI",B461)),
ISNUMBER(SEARCH("POWERBANK",B461)),
ISNUMBER(SEARCH("CARGADOR",B461)),
ISNUMBER(SEARCH("COOLER PARA NB",B461)),
ISNUMBER(SEARCH("SOPORTE PARA NB",B461)),
ISNUMBER(SEARCH("WEBCAM",B461)),
ISNUMBER(SEARCH("WEB CAM",B461)),
ISNUMBER(SEARCH("MOUSE",B461)),
ISNUMBER(SEARCH("TECLADO",B461))
),
"COMPLEMENTO",
IF(
OR(
LEFT(A461,2)="NB",
LEFT(A461,2)="PC",
LEFT(A461,2)="WS",
LEFT(A461,2)="TB",
LEFT(A461,3)="CEL",
LEFT(A461,3)="MON",
LEFT(A461,3)="PRE",
LEFT(A461,3)="PRH",
ISNUMBER(SEARCH("NOTEBOOK",B461)),
ISNUMBER(SEARCH("LAPTOP",B461)),
ISNUMBER(SEARCH("MONITOR",B461)),
ISNUMBER(SEARCH("TABLET",B461)),
ISNUMBER(SEARCH("SMARTPH",B461)),
ISNUMBER(SEARCH("IMPRESORA",B461)),
ISNUMBER(SEARCH("MULTIFUNCIONAL",B461)),
ISNUMBER(SEARCH("AIO",B461))
),
"GANCHO",
"NORMAL"
)
)</f>
        <v>GANCHO</v>
      </c>
    </row>
    <row r="460" spans="1:12" x14ac:dyDescent="0.25">
      <c r="A460" s="3" t="s">
        <v>6288</v>
      </c>
      <c r="B460" s="3" t="s">
        <v>6289</v>
      </c>
      <c r="C460" s="1">
        <v>20</v>
      </c>
      <c r="D460" s="1">
        <v>38.700000000000003</v>
      </c>
      <c r="E460" s="1" t="s">
        <v>54</v>
      </c>
      <c r="F460" s="1" t="s">
        <v>6290</v>
      </c>
      <c r="G460" s="3" t="s">
        <v>6291</v>
      </c>
      <c r="H460" s="11">
        <f>ROUND(
IF(L458="GANCHO",
   IF(I460&lt;=50,I460*1.1+4,IF(I460&lt;=120,I460*1.1+7,IF(I460&lt;=250,I460*1.1+11,I460*1.1+19))),
IF(L458="NORMAL",
   IF(I460&lt;=30,I460*1.15+2,IF(I460&lt;=80,I460*1.15+4,IF(I460&lt;=150,I460*1.15+6,I460*1.15+8))),
IF(L458="COMPLEMENTO",
   IF(I460&lt;=25,I460*1.25+1.5,IF(I460&lt;=60,I460*1.25+3,IF(I460&lt;=120,I460*1.25+4,I460*1.25+5))),
""))),2)</f>
        <v>190.76</v>
      </c>
      <c r="I460" s="9">
        <f>($K$2+0.02)*Tabla1[[#This Row],[PRECIO $]]*1.18</f>
        <v>158.91768000000002</v>
      </c>
      <c r="J460" s="7">
        <f>+Tabla1[[#This Row],[PRECIO EN SOLES]]-Tabla1[[#This Row],[PC]]</f>
        <v>31.842319999999972</v>
      </c>
      <c r="K460" s="15"/>
      <c r="L460" s="15" t="str">
        <f>IF(
OR(
ISNUMBER(SEARCH("BACKPACK",B462)),
ISNUMBER(SEARCH("MOCHILA",B462)),
ISNUMBER(SEARCH("FUNDA",B462)),
ISNUMBER(SEARCH("ESTUCHE",B462)),
ISNUMBER(SEARCH("BOOK COVER",B462)),
ISNUMBER(SEARCH("KEYBOARD PARA TABLET",B462)),
ISNUMBER(SEARCH("FLIP TABLET",B462)),
ISNUMBER(SEARCH("CASE FOR TABLET",B462)),
ISNUMBER(SEARCH("CABLE",B462)),
ISNUMBER(SEARCH("ADAPTADOR",B462)),
ISNUMBER(SEARCH("HUB",B462)),
ISNUMBER(SEARCH("DOCK",B462)),
ISNUMBER(SEARCH("MOUSE PAD",B462)),
ISNUMBER(SEARCH("MOUSEPAD",B462)),
ISNUMBER(SEARCH("SOPORTE",B462)),
ISNUMBER(SEARCH("STAND",B462)),
ISNUMBER(SEARCH("TRAVEL ADAPTER",B462)),
ISNUMBER(SEARCH("RJ45",B462)),
ISNUMBER(SEARCH("USB-C",B462)),
ISNUMBER(SEARCH("USB WIFI",B462)),
ISNUMBER(SEARCH("POWERBANK",B462)),
ISNUMBER(SEARCH("CARGADOR",B462)),
ISNUMBER(SEARCH("COOLER PARA NB",B462)),
ISNUMBER(SEARCH("SOPORTE PARA NB",B462)),
ISNUMBER(SEARCH("WEBCAM",B462)),
ISNUMBER(SEARCH("WEB CAM",B462)),
ISNUMBER(SEARCH("MOUSE",B462)),
ISNUMBER(SEARCH("TECLADO",B462))
),
"COMPLEMENTO",
IF(
OR(
LEFT(A462,2)="NB",
LEFT(A462,2)="PC",
LEFT(A462,2)="WS",
LEFT(A462,2)="TB",
LEFT(A462,3)="CEL",
LEFT(A462,3)="MON",
LEFT(A462,3)="PRE",
LEFT(A462,3)="PRH",
ISNUMBER(SEARCH("NOTEBOOK",B462)),
ISNUMBER(SEARCH("LAPTOP",B462)),
ISNUMBER(SEARCH("MONITOR",B462)),
ISNUMBER(SEARCH("TABLET",B462)),
ISNUMBER(SEARCH("SMARTPH",B462)),
ISNUMBER(SEARCH("IMPRESORA",B462)),
ISNUMBER(SEARCH("MULTIFUNCIONAL",B462)),
ISNUMBER(SEARCH("AIO",B462))
),
"GANCHO",
"NORMAL"
)
)</f>
        <v>GANCHO</v>
      </c>
    </row>
    <row r="461" spans="1:12" x14ac:dyDescent="0.25">
      <c r="A461" s="3" t="s">
        <v>1224</v>
      </c>
      <c r="B461" s="3" t="s">
        <v>1223</v>
      </c>
      <c r="C461" s="1">
        <v>20</v>
      </c>
      <c r="D461" s="1">
        <v>87</v>
      </c>
      <c r="E461" s="1" t="s">
        <v>54</v>
      </c>
      <c r="F461" s="1" t="s">
        <v>3312</v>
      </c>
      <c r="G461" s="3" t="s">
        <v>1225</v>
      </c>
      <c r="H461" s="11">
        <f>ROUND(
IF(L459="GANCHO",
   IF(I461&lt;=50,I461*1.1+4,IF(I461&lt;=120,I461*1.1+7,IF(I461&lt;=250,I461*1.1+11,I461*1.1+19))),
IF(L459="NORMAL",
   IF(I461&lt;=30,I461*1.15+2,IF(I461&lt;=80,I461*1.15+4,IF(I461&lt;=150,I461*1.15+6,I461*1.15+8))),
IF(L459="COMPLEMENTO",
   IF(I461&lt;=25,I461*1.25+1.5,IF(I461&lt;=60,I461*1.25+3,IF(I461&lt;=120,I461*1.25+4,I461*1.25+5))),
""))),2)</f>
        <v>411.98</v>
      </c>
      <c r="I461" s="9">
        <f>($K$2+0.02)*Tabla1[[#This Row],[PRECIO $]]*1.18</f>
        <v>357.2568</v>
      </c>
      <c r="J461" s="7">
        <f>+Tabla1[[#This Row],[PRECIO EN SOLES]]-Tabla1[[#This Row],[PC]]</f>
        <v>54.72320000000002</v>
      </c>
      <c r="K461" s="15"/>
      <c r="L461" s="15" t="str">
        <f>IF(
OR(
ISNUMBER(SEARCH("BACKPACK",B463)),
ISNUMBER(SEARCH("MOCHILA",B463)),
ISNUMBER(SEARCH("FUNDA",B463)),
ISNUMBER(SEARCH("ESTUCHE",B463)),
ISNUMBER(SEARCH("BOOK COVER",B463)),
ISNUMBER(SEARCH("KEYBOARD PARA TABLET",B463)),
ISNUMBER(SEARCH("FLIP TABLET",B463)),
ISNUMBER(SEARCH("CASE FOR TABLET",B463)),
ISNUMBER(SEARCH("CABLE",B463)),
ISNUMBER(SEARCH("ADAPTADOR",B463)),
ISNUMBER(SEARCH("HUB",B463)),
ISNUMBER(SEARCH("DOCK",B463)),
ISNUMBER(SEARCH("MOUSE PAD",B463)),
ISNUMBER(SEARCH("MOUSEPAD",B463)),
ISNUMBER(SEARCH("SOPORTE",B463)),
ISNUMBER(SEARCH("STAND",B463)),
ISNUMBER(SEARCH("TRAVEL ADAPTER",B463)),
ISNUMBER(SEARCH("RJ45",B463)),
ISNUMBER(SEARCH("USB-C",B463)),
ISNUMBER(SEARCH("USB WIFI",B463)),
ISNUMBER(SEARCH("POWERBANK",B463)),
ISNUMBER(SEARCH("CARGADOR",B463)),
ISNUMBER(SEARCH("COOLER PARA NB",B463)),
ISNUMBER(SEARCH("SOPORTE PARA NB",B463)),
ISNUMBER(SEARCH("WEBCAM",B463)),
ISNUMBER(SEARCH("WEB CAM",B463)),
ISNUMBER(SEARCH("MOUSE",B463)),
ISNUMBER(SEARCH("TECLADO",B463))
),
"COMPLEMENTO",
IF(
OR(
LEFT(A463,2)="NB",
LEFT(A463,2)="PC",
LEFT(A463,2)="WS",
LEFT(A463,2)="TB",
LEFT(A463,3)="CEL",
LEFT(A463,3)="MON",
LEFT(A463,3)="PRE",
LEFT(A463,3)="PRH",
ISNUMBER(SEARCH("NOTEBOOK",B463)),
ISNUMBER(SEARCH("LAPTOP",B463)),
ISNUMBER(SEARCH("MONITOR",B463)),
ISNUMBER(SEARCH("TABLET",B463)),
ISNUMBER(SEARCH("SMARTPH",B463)),
ISNUMBER(SEARCH("IMPRESORA",B463)),
ISNUMBER(SEARCH("MULTIFUNCIONAL",B463)),
ISNUMBER(SEARCH("AIO",B463))
),
"GANCHO",
"NORMAL"
)
)</f>
        <v>GANCHO</v>
      </c>
    </row>
    <row r="462" spans="1:12" x14ac:dyDescent="0.25">
      <c r="A462" s="3" t="s">
        <v>244</v>
      </c>
      <c r="B462" s="3" t="s">
        <v>245</v>
      </c>
      <c r="C462" s="1">
        <v>3</v>
      </c>
      <c r="D462" s="1">
        <v>89.3</v>
      </c>
      <c r="E462" s="1" t="s">
        <v>54</v>
      </c>
      <c r="F462" s="1" t="s">
        <v>3313</v>
      </c>
      <c r="G462" s="3" t="s">
        <v>246</v>
      </c>
      <c r="H462" s="11">
        <f>ROUND(
IF(L460="GANCHO",
   IF(I462&lt;=50,I462*1.1+4,IF(I462&lt;=120,I462*1.1+7,IF(I462&lt;=250,I462*1.1+11,I462*1.1+19))),
IF(L460="NORMAL",
   IF(I462&lt;=30,I462*1.15+2,IF(I462&lt;=80,I462*1.15+4,IF(I462&lt;=150,I462*1.15+6,I462*1.15+8))),
IF(L460="COMPLEMENTO",
   IF(I462&lt;=25,I462*1.25+1.5,IF(I462&lt;=60,I462*1.25+3,IF(I462&lt;=120,I462*1.25+4,I462*1.25+5))),
""))),2)</f>
        <v>422.37</v>
      </c>
      <c r="I462" s="9">
        <f>($K$2+0.02)*Tabla1[[#This Row],[PRECIO $]]*1.18</f>
        <v>366.70152000000002</v>
      </c>
      <c r="J462" s="7">
        <f>+Tabla1[[#This Row],[PRECIO EN SOLES]]-Tabla1[[#This Row],[PC]]</f>
        <v>55.668479999999988</v>
      </c>
      <c r="K462" s="15"/>
      <c r="L462" s="15" t="str">
        <f>IF(
OR(
ISNUMBER(SEARCH("BACKPACK",B464)),
ISNUMBER(SEARCH("MOCHILA",B464)),
ISNUMBER(SEARCH("FUNDA",B464)),
ISNUMBER(SEARCH("ESTUCHE",B464)),
ISNUMBER(SEARCH("BOOK COVER",B464)),
ISNUMBER(SEARCH("KEYBOARD PARA TABLET",B464)),
ISNUMBER(SEARCH("FLIP TABLET",B464)),
ISNUMBER(SEARCH("CASE FOR TABLET",B464)),
ISNUMBER(SEARCH("CABLE",B464)),
ISNUMBER(SEARCH("ADAPTADOR",B464)),
ISNUMBER(SEARCH("HUB",B464)),
ISNUMBER(SEARCH("DOCK",B464)),
ISNUMBER(SEARCH("MOUSE PAD",B464)),
ISNUMBER(SEARCH("MOUSEPAD",B464)),
ISNUMBER(SEARCH("SOPORTE",B464)),
ISNUMBER(SEARCH("STAND",B464)),
ISNUMBER(SEARCH("TRAVEL ADAPTER",B464)),
ISNUMBER(SEARCH("RJ45",B464)),
ISNUMBER(SEARCH("USB-C",B464)),
ISNUMBER(SEARCH("USB WIFI",B464)),
ISNUMBER(SEARCH("POWERBANK",B464)),
ISNUMBER(SEARCH("CARGADOR",B464)),
ISNUMBER(SEARCH("COOLER PARA NB",B464)),
ISNUMBER(SEARCH("SOPORTE PARA NB",B464)),
ISNUMBER(SEARCH("WEBCAM",B464)),
ISNUMBER(SEARCH("WEB CAM",B464)),
ISNUMBER(SEARCH("MOUSE",B464)),
ISNUMBER(SEARCH("TECLADO",B464))
),
"COMPLEMENTO",
IF(
OR(
LEFT(A464,2)="NB",
LEFT(A464,2)="PC",
LEFT(A464,2)="WS",
LEFT(A464,2)="TB",
LEFT(A464,3)="CEL",
LEFT(A464,3)="MON",
LEFT(A464,3)="PRE",
LEFT(A464,3)="PRH",
ISNUMBER(SEARCH("NOTEBOOK",B464)),
ISNUMBER(SEARCH("LAPTOP",B464)),
ISNUMBER(SEARCH("MONITOR",B464)),
ISNUMBER(SEARCH("TABLET",B464)),
ISNUMBER(SEARCH("SMARTPH",B464)),
ISNUMBER(SEARCH("IMPRESORA",B464)),
ISNUMBER(SEARCH("MULTIFUNCIONAL",B464)),
ISNUMBER(SEARCH("AIO",B464))
),
"GANCHO",
"NORMAL"
)
)</f>
        <v>GANCHO</v>
      </c>
    </row>
    <row r="463" spans="1:12" x14ac:dyDescent="0.25">
      <c r="A463" s="3" t="s">
        <v>6710</v>
      </c>
      <c r="B463" s="3" t="s">
        <v>6711</v>
      </c>
      <c r="C463" s="1">
        <v>1</v>
      </c>
      <c r="D463" s="1">
        <v>1816</v>
      </c>
      <c r="E463" s="1" t="s">
        <v>141</v>
      </c>
      <c r="F463" s="1" t="s">
        <v>6712</v>
      </c>
      <c r="G463" s="3"/>
      <c r="H463" s="11">
        <f>ROUND(
IF(L461="GANCHO",
   IF(I463&lt;=50,I463*1.1+4,IF(I463&lt;=120,I463*1.1+7,IF(I463&lt;=250,I463*1.1+11,I463*1.1+19))),
IF(L461="NORMAL",
   IF(I463&lt;=30,I463*1.15+2,IF(I463&lt;=80,I463*1.15+4,IF(I463&lt;=150,I463*1.15+6,I463*1.15+8))),
IF(L461="COMPLEMENTO",
   IF(I463&lt;=25,I463*1.25+1.5,IF(I463&lt;=60,I463*1.25+3,IF(I463&lt;=120,I463*1.25+4,I463*1.25+5))),
""))),2)</f>
        <v>8221.94</v>
      </c>
      <c r="I463" s="9">
        <f>($K$2+0.02)*Tabla1[[#This Row],[PRECIO $]]*1.18</f>
        <v>7457.2223999999997</v>
      </c>
      <c r="J463" s="7">
        <f>+Tabla1[[#This Row],[PRECIO EN SOLES]]-Tabla1[[#This Row],[PC]]</f>
        <v>764.71760000000086</v>
      </c>
      <c r="K463" s="15"/>
      <c r="L463" s="15" t="str">
        <f>IF(
OR(
ISNUMBER(SEARCH("BACKPACK",B465)),
ISNUMBER(SEARCH("MOCHILA",B465)),
ISNUMBER(SEARCH("FUNDA",B465)),
ISNUMBER(SEARCH("ESTUCHE",B465)),
ISNUMBER(SEARCH("BOOK COVER",B465)),
ISNUMBER(SEARCH("KEYBOARD PARA TABLET",B465)),
ISNUMBER(SEARCH("FLIP TABLET",B465)),
ISNUMBER(SEARCH("CASE FOR TABLET",B465)),
ISNUMBER(SEARCH("CABLE",B465)),
ISNUMBER(SEARCH("ADAPTADOR",B465)),
ISNUMBER(SEARCH("HUB",B465)),
ISNUMBER(SEARCH("DOCK",B465)),
ISNUMBER(SEARCH("MOUSE PAD",B465)),
ISNUMBER(SEARCH("MOUSEPAD",B465)),
ISNUMBER(SEARCH("SOPORTE",B465)),
ISNUMBER(SEARCH("STAND",B465)),
ISNUMBER(SEARCH("TRAVEL ADAPTER",B465)),
ISNUMBER(SEARCH("RJ45",B465)),
ISNUMBER(SEARCH("USB-C",B465)),
ISNUMBER(SEARCH("USB WIFI",B465)),
ISNUMBER(SEARCH("POWERBANK",B465)),
ISNUMBER(SEARCH("CARGADOR",B465)),
ISNUMBER(SEARCH("COOLER PARA NB",B465)),
ISNUMBER(SEARCH("SOPORTE PARA NB",B465)),
ISNUMBER(SEARCH("WEBCAM",B465)),
ISNUMBER(SEARCH("WEB CAM",B465)),
ISNUMBER(SEARCH("MOUSE",B465)),
ISNUMBER(SEARCH("TECLADO",B465))
),
"COMPLEMENTO",
IF(
OR(
LEFT(A465,2)="NB",
LEFT(A465,2)="PC",
LEFT(A465,2)="WS",
LEFT(A465,2)="TB",
LEFT(A465,3)="CEL",
LEFT(A465,3)="MON",
LEFT(A465,3)="PRE",
LEFT(A465,3)="PRH",
ISNUMBER(SEARCH("NOTEBOOK",B465)),
ISNUMBER(SEARCH("LAPTOP",B465)),
ISNUMBER(SEARCH("MONITOR",B465)),
ISNUMBER(SEARCH("TABLET",B465)),
ISNUMBER(SEARCH("SMARTPH",B465)),
ISNUMBER(SEARCH("IMPRESORA",B465)),
ISNUMBER(SEARCH("MULTIFUNCIONAL",B465)),
ISNUMBER(SEARCH("AIO",B465))
),
"GANCHO",
"NORMAL"
)
)</f>
        <v>GANCHO</v>
      </c>
    </row>
    <row r="464" spans="1:12" x14ac:dyDescent="0.25">
      <c r="A464" s="3" t="s">
        <v>1226</v>
      </c>
      <c r="B464" s="3" t="s">
        <v>1227</v>
      </c>
      <c r="C464" s="1">
        <v>1</v>
      </c>
      <c r="D464" s="1">
        <v>2368</v>
      </c>
      <c r="E464" s="1" t="s">
        <v>141</v>
      </c>
      <c r="F464" s="1" t="s">
        <v>3314</v>
      </c>
      <c r="G464" s="3" t="s">
        <v>1228</v>
      </c>
      <c r="H464" s="11">
        <f>ROUND(
IF(L462="GANCHO",
   IF(I464&lt;=50,I464*1.1+4,IF(I464&lt;=120,I464*1.1+7,IF(I464&lt;=250,I464*1.1+11,I464*1.1+19))),
IF(L462="NORMAL",
   IF(I464&lt;=30,I464*1.15+2,IF(I464&lt;=80,I464*1.15+4,IF(I464&lt;=150,I464*1.15+6,I464*1.15+8))),
IF(L462="COMPLEMENTO",
   IF(I464&lt;=25,I464*1.25+1.5,IF(I464&lt;=60,I464*1.25+3,IF(I464&lt;=120,I464*1.25+4,I464*1.25+5))),
""))),2)</f>
        <v>10715.35</v>
      </c>
      <c r="I464" s="9">
        <f>($K$2+0.02)*Tabla1[[#This Row],[PRECIO $]]*1.18</f>
        <v>9723.9551999999985</v>
      </c>
      <c r="J464" s="7">
        <f>+Tabla1[[#This Row],[PRECIO EN SOLES]]-Tabla1[[#This Row],[PC]]</f>
        <v>991.39480000000185</v>
      </c>
      <c r="K464" s="15"/>
      <c r="L464" s="15" t="str">
        <f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GANCHO</v>
      </c>
    </row>
    <row r="465" spans="1:12" x14ac:dyDescent="0.25">
      <c r="A465" s="3" t="s">
        <v>604</v>
      </c>
      <c r="B465" s="3" t="s">
        <v>605</v>
      </c>
      <c r="C465" s="1">
        <v>20</v>
      </c>
      <c r="D465" s="1">
        <v>119</v>
      </c>
      <c r="E465" s="1" t="s">
        <v>141</v>
      </c>
      <c r="F465" s="1" t="s">
        <v>3315</v>
      </c>
      <c r="G465" s="3" t="s">
        <v>606</v>
      </c>
      <c r="H465" s="11">
        <f>ROUND(
IF(L463="GANCHO",
   IF(I465&lt;=50,I465*1.1+4,IF(I465&lt;=120,I465*1.1+7,IF(I465&lt;=250,I465*1.1+11,I465*1.1+19))),
IF(L463="NORMAL",
   IF(I465&lt;=30,I465*1.15+2,IF(I465&lt;=80,I465*1.15+4,IF(I465&lt;=150,I465*1.15+6,I465*1.15+8))),
IF(L463="COMPLEMENTO",
   IF(I465&lt;=25,I465*1.25+1.5,IF(I465&lt;=60,I465*1.25+3,IF(I465&lt;=120,I465*1.25+4,I465*1.25+5))),
""))),2)</f>
        <v>556.53</v>
      </c>
      <c r="I465" s="9">
        <f>($K$2+0.02)*Tabla1[[#This Row],[PRECIO $]]*1.18</f>
        <v>488.66159999999996</v>
      </c>
      <c r="J465" s="7">
        <f>+Tabla1[[#This Row],[PRECIO EN SOLES]]-Tabla1[[#This Row],[PC]]</f>
        <v>67.868400000000008</v>
      </c>
      <c r="K465" s="15"/>
      <c r="L465" s="15" t="str">
        <f>IF(
OR(
ISNUMBER(SEARCH("BACKPACK",B467)),
ISNUMBER(SEARCH("MOCHILA",B467)),
ISNUMBER(SEARCH("FUNDA",B467)),
ISNUMBER(SEARCH("ESTUCHE",B467)),
ISNUMBER(SEARCH("BOOK COVER",B467)),
ISNUMBER(SEARCH("KEYBOARD PARA TABLET",B467)),
ISNUMBER(SEARCH("FLIP TABLET",B467)),
ISNUMBER(SEARCH("CASE FOR TABLET",B467)),
ISNUMBER(SEARCH("CABLE",B467)),
ISNUMBER(SEARCH("ADAPTADOR",B467)),
ISNUMBER(SEARCH("HUB",B467)),
ISNUMBER(SEARCH("DOCK",B467)),
ISNUMBER(SEARCH("MOUSE PAD",B467)),
ISNUMBER(SEARCH("MOUSEPAD",B467)),
ISNUMBER(SEARCH("SOPORTE",B467)),
ISNUMBER(SEARCH("STAND",B467)),
ISNUMBER(SEARCH("TRAVEL ADAPTER",B467)),
ISNUMBER(SEARCH("RJ45",B467)),
ISNUMBER(SEARCH("USB-C",B467)),
ISNUMBER(SEARCH("USB WIFI",B467)),
ISNUMBER(SEARCH("POWERBANK",B467)),
ISNUMBER(SEARCH("CARGADOR",B467)),
ISNUMBER(SEARCH("COOLER PARA NB",B467)),
ISNUMBER(SEARCH("SOPORTE PARA NB",B467)),
ISNUMBER(SEARCH("WEBCAM",B467)),
ISNUMBER(SEARCH("WEB CAM",B467)),
ISNUMBER(SEARCH("MOUSE",B467)),
ISNUMBER(SEARCH("TECLADO",B467))
),
"COMPLEMENTO",
IF(
OR(
LEFT(A467,2)="NB",
LEFT(A467,2)="PC",
LEFT(A467,2)="WS",
LEFT(A467,2)="TB",
LEFT(A467,3)="CEL",
LEFT(A467,3)="MON",
LEFT(A467,3)="PRE",
LEFT(A467,3)="PRH",
ISNUMBER(SEARCH("NOTEBOOK",B467)),
ISNUMBER(SEARCH("LAPTOP",B467)),
ISNUMBER(SEARCH("MONITOR",B467)),
ISNUMBER(SEARCH("TABLET",B467)),
ISNUMBER(SEARCH("SMARTPH",B467)),
ISNUMBER(SEARCH("IMPRESORA",B467)),
ISNUMBER(SEARCH("MULTIFUNCIONAL",B467)),
ISNUMBER(SEARCH("AIO",B467))
),
"GANCHO",
"NORMAL"
)
)</f>
        <v>GANCHO</v>
      </c>
    </row>
    <row r="466" spans="1:12" x14ac:dyDescent="0.25">
      <c r="A466" s="3" t="s">
        <v>1229</v>
      </c>
      <c r="B466" s="3" t="s">
        <v>1230</v>
      </c>
      <c r="C466" s="1">
        <v>20</v>
      </c>
      <c r="D466" s="1">
        <v>157</v>
      </c>
      <c r="E466" s="1" t="s">
        <v>141</v>
      </c>
      <c r="F466" s="1" t="s">
        <v>3316</v>
      </c>
      <c r="G466" s="3" t="s">
        <v>1231</v>
      </c>
      <c r="H466" s="11">
        <f>ROUND(
IF(L464="GANCHO",
   IF(I466&lt;=50,I466*1.1+4,IF(I466&lt;=120,I466*1.1+7,IF(I466&lt;=250,I466*1.1+11,I466*1.1+19))),
IF(L464="NORMAL",
   IF(I466&lt;=30,I466*1.15+2,IF(I466&lt;=80,I466*1.15+4,IF(I466&lt;=150,I466*1.15+6,I466*1.15+8))),
IF(L464="COMPLEMENTO",
   IF(I466&lt;=25,I466*1.25+1.5,IF(I466&lt;=60,I466*1.25+3,IF(I466&lt;=120,I466*1.25+4,I466*1.25+5))),
""))),2)</f>
        <v>728.18</v>
      </c>
      <c r="I466" s="9">
        <f>($K$2+0.02)*Tabla1[[#This Row],[PRECIO $]]*1.18</f>
        <v>644.70479999999998</v>
      </c>
      <c r="J466" s="7">
        <f>+Tabla1[[#This Row],[PRECIO EN SOLES]]-Tabla1[[#This Row],[PC]]</f>
        <v>83.475199999999973</v>
      </c>
      <c r="K466" s="15"/>
      <c r="L466" s="15" t="str">
        <f>IF(
OR(
ISNUMBER(SEARCH("BACKPACK",B468)),
ISNUMBER(SEARCH("MOCHILA",B468)),
ISNUMBER(SEARCH("FUNDA",B468)),
ISNUMBER(SEARCH("ESTUCHE",B468)),
ISNUMBER(SEARCH("BOOK COVER",B468)),
ISNUMBER(SEARCH("KEYBOARD PARA TABLET",B468)),
ISNUMBER(SEARCH("FLIP TABLET",B468)),
ISNUMBER(SEARCH("CASE FOR TABLET",B468)),
ISNUMBER(SEARCH("CABLE",B468)),
ISNUMBER(SEARCH("ADAPTADOR",B468)),
ISNUMBER(SEARCH("HUB",B468)),
ISNUMBER(SEARCH("DOCK",B468)),
ISNUMBER(SEARCH("MOUSE PAD",B468)),
ISNUMBER(SEARCH("MOUSEPAD",B468)),
ISNUMBER(SEARCH("SOPORTE",B468)),
ISNUMBER(SEARCH("STAND",B468)),
ISNUMBER(SEARCH("TRAVEL ADAPTER",B468)),
ISNUMBER(SEARCH("RJ45",B468)),
ISNUMBER(SEARCH("USB-C",B468)),
ISNUMBER(SEARCH("USB WIFI",B468)),
ISNUMBER(SEARCH("POWERBANK",B468)),
ISNUMBER(SEARCH("CARGADOR",B468)),
ISNUMBER(SEARCH("COOLER PARA NB",B468)),
ISNUMBER(SEARCH("SOPORTE PARA NB",B468)),
ISNUMBER(SEARCH("WEBCAM",B468)),
ISNUMBER(SEARCH("WEB CAM",B468)),
ISNUMBER(SEARCH("MOUSE",B468)),
ISNUMBER(SEARCH("TECLADO",B468))
),
"COMPLEMENTO",
IF(
OR(
LEFT(A468,2)="NB",
LEFT(A468,2)="PC",
LEFT(A468,2)="WS",
LEFT(A468,2)="TB",
LEFT(A468,3)="CEL",
LEFT(A468,3)="MON",
LEFT(A468,3)="PRE",
LEFT(A468,3)="PRH",
ISNUMBER(SEARCH("NOTEBOOK",B468)),
ISNUMBER(SEARCH("LAPTOP",B468)),
ISNUMBER(SEARCH("MONITOR",B468)),
ISNUMBER(SEARCH("TABLET",B468)),
ISNUMBER(SEARCH("SMARTPH",B468)),
ISNUMBER(SEARCH("IMPRESORA",B468)),
ISNUMBER(SEARCH("MULTIFUNCIONAL",B468)),
ISNUMBER(SEARCH("AIO",B468))
),
"GANCHO",
"NORMAL"
)
)</f>
        <v>GANCHO</v>
      </c>
    </row>
    <row r="467" spans="1:12" x14ac:dyDescent="0.25">
      <c r="A467" s="3" t="s">
        <v>1232</v>
      </c>
      <c r="B467" s="3" t="s">
        <v>1233</v>
      </c>
      <c r="C467" s="1">
        <v>20</v>
      </c>
      <c r="D467" s="1">
        <v>318</v>
      </c>
      <c r="E467" s="1" t="s">
        <v>141</v>
      </c>
      <c r="F467" s="1" t="s">
        <v>3317</v>
      </c>
      <c r="G467" s="3" t="s">
        <v>1234</v>
      </c>
      <c r="H467" s="11">
        <f>ROUND(
IF(L465="GANCHO",
   IF(I467&lt;=50,I467*1.1+4,IF(I467&lt;=120,I467*1.1+7,IF(I467&lt;=250,I467*1.1+11,I467*1.1+19))),
IF(L465="NORMAL",
   IF(I467&lt;=30,I467*1.15+2,IF(I467&lt;=80,I467*1.15+4,IF(I467&lt;=150,I467*1.15+6,I467*1.15+8))),
IF(L465="COMPLEMENTO",
   IF(I467&lt;=25,I467*1.25+1.5,IF(I467&lt;=60,I467*1.25+3,IF(I467&lt;=120,I467*1.25+4,I467*1.25+5))),
""))),2)</f>
        <v>1455.42</v>
      </c>
      <c r="I467" s="9">
        <f>($K$2+0.02)*Tabla1[[#This Row],[PRECIO $]]*1.18</f>
        <v>1305.8352</v>
      </c>
      <c r="J467" s="7">
        <f>+Tabla1[[#This Row],[PRECIO EN SOLES]]-Tabla1[[#This Row],[PC]]</f>
        <v>149.58480000000009</v>
      </c>
      <c r="K467" s="15"/>
      <c r="L467" s="15" t="str">
        <f>IF(
OR(
ISNUMBER(SEARCH("BACKPACK",B469)),
ISNUMBER(SEARCH("MOCHILA",B469)),
ISNUMBER(SEARCH("FUNDA",B469)),
ISNUMBER(SEARCH("ESTUCHE",B469)),
ISNUMBER(SEARCH("BOOK COVER",B469)),
ISNUMBER(SEARCH("KEYBOARD PARA TABLET",B469)),
ISNUMBER(SEARCH("FLIP TABLET",B469)),
ISNUMBER(SEARCH("CASE FOR TABLET",B469)),
ISNUMBER(SEARCH("CABLE",B469)),
ISNUMBER(SEARCH("ADAPTADOR",B469)),
ISNUMBER(SEARCH("HUB",B469)),
ISNUMBER(SEARCH("DOCK",B469)),
ISNUMBER(SEARCH("MOUSE PAD",B469)),
ISNUMBER(SEARCH("MOUSEPAD",B469)),
ISNUMBER(SEARCH("SOPORTE",B469)),
ISNUMBER(SEARCH("STAND",B469)),
ISNUMBER(SEARCH("TRAVEL ADAPTER",B469)),
ISNUMBER(SEARCH("RJ45",B469)),
ISNUMBER(SEARCH("USB-C",B469)),
ISNUMBER(SEARCH("USB WIFI",B469)),
ISNUMBER(SEARCH("POWERBANK",B469)),
ISNUMBER(SEARCH("CARGADOR",B469)),
ISNUMBER(SEARCH("COOLER PARA NB",B469)),
ISNUMBER(SEARCH("SOPORTE PARA NB",B469)),
ISNUMBER(SEARCH("WEBCAM",B469)),
ISNUMBER(SEARCH("WEB CAM",B469)),
ISNUMBER(SEARCH("MOUSE",B469)),
ISNUMBER(SEARCH("TECLADO",B469))
),
"COMPLEMENTO",
IF(
OR(
LEFT(A469,2)="NB",
LEFT(A469,2)="PC",
LEFT(A469,2)="WS",
LEFT(A469,2)="TB",
LEFT(A469,3)="CEL",
LEFT(A469,3)="MON",
LEFT(A469,3)="PRE",
LEFT(A469,3)="PRH",
ISNUMBER(SEARCH("NOTEBOOK",B469)),
ISNUMBER(SEARCH("LAPTOP",B469)),
ISNUMBER(SEARCH("MONITOR",B469)),
ISNUMBER(SEARCH("TABLET",B469)),
ISNUMBER(SEARCH("SMARTPH",B469)),
ISNUMBER(SEARCH("IMPRESORA",B469)),
ISNUMBER(SEARCH("MULTIFUNCIONAL",B469)),
ISNUMBER(SEARCH("AIO",B469))
),
"GANCHO",
"NORMAL"
)
)</f>
        <v>NORMAL</v>
      </c>
    </row>
    <row r="468" spans="1:12" x14ac:dyDescent="0.25">
      <c r="A468" s="3" t="s">
        <v>1235</v>
      </c>
      <c r="B468" s="3" t="s">
        <v>1236</v>
      </c>
      <c r="C468" s="1">
        <v>2</v>
      </c>
      <c r="D468" s="1">
        <v>345</v>
      </c>
      <c r="E468" s="1" t="s">
        <v>141</v>
      </c>
      <c r="F468" s="1" t="s">
        <v>3318</v>
      </c>
      <c r="G468" s="3" t="s">
        <v>1237</v>
      </c>
      <c r="H468" s="11">
        <f>ROUND(
IF(L466="GANCHO",
   IF(I468&lt;=50,I468*1.1+4,IF(I468&lt;=120,I468*1.1+7,IF(I468&lt;=250,I468*1.1+11,I468*1.1+19))),
IF(L466="NORMAL",
   IF(I468&lt;=30,I468*1.15+2,IF(I468&lt;=80,I468*1.15+4,IF(I468&lt;=150,I468*1.15+6,I468*1.15+8))),
IF(L466="COMPLEMENTO",
   IF(I468&lt;=25,I468*1.25+1.5,IF(I468&lt;=60,I468*1.25+3,IF(I468&lt;=120,I468*1.25+4,I468*1.25+5))),
""))),2)</f>
        <v>1577.38</v>
      </c>
      <c r="I468" s="9">
        <f>($K$2+0.02)*Tabla1[[#This Row],[PRECIO $]]*1.18</f>
        <v>1416.7079999999999</v>
      </c>
      <c r="J468" s="7">
        <f>+Tabla1[[#This Row],[PRECIO EN SOLES]]-Tabla1[[#This Row],[PC]]</f>
        <v>160.67200000000025</v>
      </c>
      <c r="K468" s="15"/>
      <c r="L468" s="15" t="str">
        <f>IF(
OR(
ISNUMBER(SEARCH("BACKPACK",B470)),
ISNUMBER(SEARCH("MOCHILA",B470)),
ISNUMBER(SEARCH("FUNDA",B470)),
ISNUMBER(SEARCH("ESTUCHE",B470)),
ISNUMBER(SEARCH("BOOK COVER",B470)),
ISNUMBER(SEARCH("KEYBOARD PARA TABLET",B470)),
ISNUMBER(SEARCH("FLIP TABLET",B470)),
ISNUMBER(SEARCH("CASE FOR TABLET",B470)),
ISNUMBER(SEARCH("CABLE",B470)),
ISNUMBER(SEARCH("ADAPTADOR",B470)),
ISNUMBER(SEARCH("HUB",B470)),
ISNUMBER(SEARCH("DOCK",B470)),
ISNUMBER(SEARCH("MOUSE PAD",B470)),
ISNUMBER(SEARCH("MOUSEPAD",B470)),
ISNUMBER(SEARCH("SOPORTE",B470)),
ISNUMBER(SEARCH("STAND",B470)),
ISNUMBER(SEARCH("TRAVEL ADAPTER",B470)),
ISNUMBER(SEARCH("RJ45",B470)),
ISNUMBER(SEARCH("USB-C",B470)),
ISNUMBER(SEARCH("USB WIFI",B470)),
ISNUMBER(SEARCH("POWERBANK",B470)),
ISNUMBER(SEARCH("CARGADOR",B470)),
ISNUMBER(SEARCH("COOLER PARA NB",B470)),
ISNUMBER(SEARCH("SOPORTE PARA NB",B470)),
ISNUMBER(SEARCH("WEBCAM",B470)),
ISNUMBER(SEARCH("WEB CAM",B470)),
ISNUMBER(SEARCH("MOUSE",B470)),
ISNUMBER(SEARCH("TECLADO",B470))
),
"COMPLEMENTO",
IF(
OR(
LEFT(A470,2)="NB",
LEFT(A470,2)="PC",
LEFT(A470,2)="WS",
LEFT(A470,2)="TB",
LEFT(A470,3)="CEL",
LEFT(A470,3)="MON",
LEFT(A470,3)="PRE",
LEFT(A470,3)="PRH",
ISNUMBER(SEARCH("NOTEBOOK",B470)),
ISNUMBER(SEARCH("LAPTOP",B470)),
ISNUMBER(SEARCH("MONITOR",B470)),
ISNUMBER(SEARCH("TABLET",B470)),
ISNUMBER(SEARCH("SMARTPH",B470)),
ISNUMBER(SEARCH("IMPRESORA",B470)),
ISNUMBER(SEARCH("MULTIFUNCIONAL",B470)),
ISNUMBER(SEARCH("AIO",B470))
),
"GANCHO",
"NORMAL"
)
)</f>
        <v>NORMAL</v>
      </c>
    </row>
    <row r="469" spans="1:12" x14ac:dyDescent="0.25">
      <c r="A469" s="3" t="s">
        <v>1238</v>
      </c>
      <c r="B469" s="3" t="s">
        <v>1239</v>
      </c>
      <c r="C469" s="1">
        <v>20</v>
      </c>
      <c r="D469" s="1">
        <v>138</v>
      </c>
      <c r="E469" s="1" t="s">
        <v>141</v>
      </c>
      <c r="F469" s="1" t="s">
        <v>3319</v>
      </c>
      <c r="G469" s="3"/>
      <c r="H469" s="11">
        <f>ROUND(
IF(L467="GANCHO",
   IF(I469&lt;=50,I469*1.1+4,IF(I469&lt;=120,I469*1.1+7,IF(I469&lt;=250,I469*1.1+11,I469*1.1+19))),
IF(L467="NORMAL",
   IF(I469&lt;=30,I469*1.15+2,IF(I469&lt;=80,I469*1.15+4,IF(I469&lt;=150,I469*1.15+6,I469*1.15+8))),
IF(L467="COMPLEMENTO",
   IF(I469&lt;=25,I469*1.25+1.5,IF(I469&lt;=60,I469*1.25+3,IF(I469&lt;=120,I469*1.25+4,I469*1.25+5))),
""))),2)</f>
        <v>659.69</v>
      </c>
      <c r="I469" s="9">
        <f>($K$2+0.02)*Tabla1[[#This Row],[PRECIO $]]*1.18</f>
        <v>566.68319999999994</v>
      </c>
      <c r="J469" s="7">
        <f>+Tabla1[[#This Row],[PRECIO EN SOLES]]-Tabla1[[#This Row],[PC]]</f>
        <v>93.006800000000112</v>
      </c>
      <c r="K469" s="15"/>
      <c r="L469" s="15" t="str">
        <f>IF(
OR(
ISNUMBER(SEARCH("BACKPACK",B471)),
ISNUMBER(SEARCH("MOCHILA",B471)),
ISNUMBER(SEARCH("FUNDA",B471)),
ISNUMBER(SEARCH("ESTUCHE",B471)),
ISNUMBER(SEARCH("BOOK COVER",B471)),
ISNUMBER(SEARCH("KEYBOARD PARA TABLET",B471)),
ISNUMBER(SEARCH("FLIP TABLET",B471)),
ISNUMBER(SEARCH("CASE FOR TABLET",B471)),
ISNUMBER(SEARCH("CABLE",B471)),
ISNUMBER(SEARCH("ADAPTADOR",B471)),
ISNUMBER(SEARCH("HUB",B471)),
ISNUMBER(SEARCH("DOCK",B471)),
ISNUMBER(SEARCH("MOUSE PAD",B471)),
ISNUMBER(SEARCH("MOUSEPAD",B471)),
ISNUMBER(SEARCH("SOPORTE",B471)),
ISNUMBER(SEARCH("STAND",B471)),
ISNUMBER(SEARCH("TRAVEL ADAPTER",B471)),
ISNUMBER(SEARCH("RJ45",B471)),
ISNUMBER(SEARCH("USB-C",B471)),
ISNUMBER(SEARCH("USB WIFI",B471)),
ISNUMBER(SEARCH("POWERBANK",B471)),
ISNUMBER(SEARCH("CARGADOR",B471)),
ISNUMBER(SEARCH("COOLER PARA NB",B471)),
ISNUMBER(SEARCH("SOPORTE PARA NB",B471)),
ISNUMBER(SEARCH("WEBCAM",B471)),
ISNUMBER(SEARCH("WEB CAM",B471)),
ISNUMBER(SEARCH("MOUSE",B471)),
ISNUMBER(SEARCH("TECLADO",B471))
),
"COMPLEMENTO",
IF(
OR(
LEFT(A471,2)="NB",
LEFT(A471,2)="PC",
LEFT(A471,2)="WS",
LEFT(A471,2)="TB",
LEFT(A471,3)="CEL",
LEFT(A471,3)="MON",
LEFT(A471,3)="PRE",
LEFT(A471,3)="PRH",
ISNUMBER(SEARCH("NOTEBOOK",B471)),
ISNUMBER(SEARCH("LAPTOP",B471)),
ISNUMBER(SEARCH("MONITOR",B471)),
ISNUMBER(SEARCH("TABLET",B471)),
ISNUMBER(SEARCH("SMARTPH",B471)),
ISNUMBER(SEARCH("IMPRESORA",B471)),
ISNUMBER(SEARCH("MULTIFUNCIONAL",B471)),
ISNUMBER(SEARCH("AIO",B471))
),
"GANCHO",
"NORMAL"
)
)</f>
        <v>NORMAL</v>
      </c>
    </row>
    <row r="470" spans="1:12" x14ac:dyDescent="0.25">
      <c r="A470" s="3" t="s">
        <v>2750</v>
      </c>
      <c r="B470" s="3" t="s">
        <v>2751</v>
      </c>
      <c r="C470" s="1">
        <v>20</v>
      </c>
      <c r="D470" s="1">
        <v>34.799999999999997</v>
      </c>
      <c r="E470" s="1" t="s">
        <v>54</v>
      </c>
      <c r="F470" s="1" t="s">
        <v>3320</v>
      </c>
      <c r="G470" s="3" t="s">
        <v>2763</v>
      </c>
      <c r="H470" s="11">
        <f>ROUND(
IF(L468="GANCHO",
   IF(I470&lt;=50,I470*1.1+4,IF(I470&lt;=120,I470*1.1+7,IF(I470&lt;=250,I470*1.1+11,I470*1.1+19))),
IF(L468="NORMAL",
   IF(I470&lt;=30,I470*1.15+2,IF(I470&lt;=80,I470*1.15+4,IF(I470&lt;=150,I470*1.15+6,I470*1.15+8))),
IF(L468="COMPLEMENTO",
   IF(I470&lt;=25,I470*1.25+1.5,IF(I470&lt;=60,I470*1.25+3,IF(I470&lt;=120,I470*1.25+4,I470*1.25+5))),
""))),2)</f>
        <v>170.34</v>
      </c>
      <c r="I470" s="9">
        <f>($K$2+0.02)*Tabla1[[#This Row],[PRECIO $]]*1.18</f>
        <v>142.90271999999999</v>
      </c>
      <c r="J470" s="7">
        <f>+Tabla1[[#This Row],[PRECIO EN SOLES]]-Tabla1[[#This Row],[PC]]</f>
        <v>27.437280000000015</v>
      </c>
      <c r="K470" s="15"/>
      <c r="L470" s="15" t="str">
        <f>IF(
OR(
ISNUMBER(SEARCH("BACKPACK",B472)),
ISNUMBER(SEARCH("MOCHILA",B472)),
ISNUMBER(SEARCH("FUNDA",B472)),
ISNUMBER(SEARCH("ESTUCHE",B472)),
ISNUMBER(SEARCH("BOOK COVER",B472)),
ISNUMBER(SEARCH("KEYBOARD PARA TABLET",B472)),
ISNUMBER(SEARCH("FLIP TABLET",B472)),
ISNUMBER(SEARCH("CASE FOR TABLET",B472)),
ISNUMBER(SEARCH("CABLE",B472)),
ISNUMBER(SEARCH("ADAPTADOR",B472)),
ISNUMBER(SEARCH("HUB",B472)),
ISNUMBER(SEARCH("DOCK",B472)),
ISNUMBER(SEARCH("MOUSE PAD",B472)),
ISNUMBER(SEARCH("MOUSEPAD",B472)),
ISNUMBER(SEARCH("SOPORTE",B472)),
ISNUMBER(SEARCH("STAND",B472)),
ISNUMBER(SEARCH("TRAVEL ADAPTER",B472)),
ISNUMBER(SEARCH("RJ45",B472)),
ISNUMBER(SEARCH("USB-C",B472)),
ISNUMBER(SEARCH("USB WIFI",B472)),
ISNUMBER(SEARCH("POWERBANK",B472)),
ISNUMBER(SEARCH("CARGADOR",B472)),
ISNUMBER(SEARCH("COOLER PARA NB",B472)),
ISNUMBER(SEARCH("SOPORTE PARA NB",B472)),
ISNUMBER(SEARCH("WEBCAM",B472)),
ISNUMBER(SEARCH("WEB CAM",B472)),
ISNUMBER(SEARCH("MOUSE",B472)),
ISNUMBER(SEARCH("TECLADO",B472))
),
"COMPLEMENTO",
IF(
OR(
LEFT(A472,2)="NB",
LEFT(A472,2)="PC",
LEFT(A472,2)="WS",
LEFT(A472,2)="TB",
LEFT(A472,3)="CEL",
LEFT(A472,3)="MON",
LEFT(A472,3)="PRE",
LEFT(A472,3)="PRH",
ISNUMBER(SEARCH("NOTEBOOK",B472)),
ISNUMBER(SEARCH("LAPTOP",B472)),
ISNUMBER(SEARCH("MONITOR",B472)),
ISNUMBER(SEARCH("TABLET",B472)),
ISNUMBER(SEARCH("SMARTPH",B472)),
ISNUMBER(SEARCH("IMPRESORA",B472)),
ISNUMBER(SEARCH("MULTIFUNCIONAL",B472)),
ISNUMBER(SEARCH("AIO",B472))
),
"GANCHO",
"NORMAL"
)
)</f>
        <v>NORMAL</v>
      </c>
    </row>
    <row r="471" spans="1:12" x14ac:dyDescent="0.25">
      <c r="A471" s="3" t="s">
        <v>1240</v>
      </c>
      <c r="B471" s="3" t="s">
        <v>1241</v>
      </c>
      <c r="C471" s="1">
        <v>20</v>
      </c>
      <c r="D471" s="1">
        <v>19.600000000000001</v>
      </c>
      <c r="E471" s="1" t="s">
        <v>141</v>
      </c>
      <c r="F471" s="1" t="s">
        <v>3321</v>
      </c>
      <c r="G471" s="3"/>
      <c r="H471" s="11">
        <f>ROUND(
IF(L469="GANCHO",
   IF(I471&lt;=50,I471*1.1+4,IF(I471&lt;=120,I471*1.1+7,IF(I471&lt;=250,I471*1.1+11,I471*1.1+19))),
IF(L469="NORMAL",
   IF(I471&lt;=30,I471*1.15+2,IF(I471&lt;=80,I471*1.15+4,IF(I471&lt;=150,I471*1.15+6,I471*1.15+8))),
IF(L469="COMPLEMENTO",
   IF(I471&lt;=25,I471*1.25+1.5,IF(I471&lt;=60,I471*1.25+3,IF(I471&lt;=120,I471*1.25+4,I471*1.25+5))),
""))),2)</f>
        <v>98.56</v>
      </c>
      <c r="I471" s="9">
        <f>($K$2+0.02)*Tabla1[[#This Row],[PRECIO $]]*1.18</f>
        <v>80.485439999999997</v>
      </c>
      <c r="J471" s="7">
        <f>+Tabla1[[#This Row],[PRECIO EN SOLES]]-Tabla1[[#This Row],[PC]]</f>
        <v>18.074560000000005</v>
      </c>
      <c r="K471" s="15"/>
      <c r="L471" s="15" t="str">
        <f>IF(
OR(
ISNUMBER(SEARCH("BACKPACK",B473)),
ISNUMBER(SEARCH("MOCHILA",B473)),
ISNUMBER(SEARCH("FUNDA",B473)),
ISNUMBER(SEARCH("ESTUCHE",B473)),
ISNUMBER(SEARCH("BOOK COVER",B473)),
ISNUMBER(SEARCH("KEYBOARD PARA TABLET",B473)),
ISNUMBER(SEARCH("FLIP TABLET",B473)),
ISNUMBER(SEARCH("CASE FOR TABLET",B473)),
ISNUMBER(SEARCH("CABLE",B473)),
ISNUMBER(SEARCH("ADAPTADOR",B473)),
ISNUMBER(SEARCH("HUB",B473)),
ISNUMBER(SEARCH("DOCK",B473)),
ISNUMBER(SEARCH("MOUSE PAD",B473)),
ISNUMBER(SEARCH("MOUSEPAD",B473)),
ISNUMBER(SEARCH("SOPORTE",B473)),
ISNUMBER(SEARCH("STAND",B473)),
ISNUMBER(SEARCH("TRAVEL ADAPTER",B473)),
ISNUMBER(SEARCH("RJ45",B473)),
ISNUMBER(SEARCH("USB-C",B473)),
ISNUMBER(SEARCH("USB WIFI",B473)),
ISNUMBER(SEARCH("POWERBANK",B473)),
ISNUMBER(SEARCH("CARGADOR",B473)),
ISNUMBER(SEARCH("COOLER PARA NB",B473)),
ISNUMBER(SEARCH("SOPORTE PARA NB",B473)),
ISNUMBER(SEARCH("WEBCAM",B473)),
ISNUMBER(SEARCH("WEB CAM",B473)),
ISNUMBER(SEARCH("MOUSE",B473)),
ISNUMBER(SEARCH("TECLADO",B473))
),
"COMPLEMENTO",
IF(
OR(
LEFT(A473,2)="NB",
LEFT(A473,2)="PC",
LEFT(A473,2)="WS",
LEFT(A473,2)="TB",
LEFT(A473,3)="CEL",
LEFT(A473,3)="MON",
LEFT(A473,3)="PRE",
LEFT(A473,3)="PRH",
ISNUMBER(SEARCH("NOTEBOOK",B473)),
ISNUMBER(SEARCH("LAPTOP",B473)),
ISNUMBER(SEARCH("MONITOR",B473)),
ISNUMBER(SEARCH("TABLET",B473)),
ISNUMBER(SEARCH("SMARTPH",B473)),
ISNUMBER(SEARCH("IMPRESORA",B473)),
ISNUMBER(SEARCH("MULTIFUNCIONAL",B473)),
ISNUMBER(SEARCH("AIO",B473))
),
"GANCHO",
"NORMAL"
)
)</f>
        <v>NORMAL</v>
      </c>
    </row>
    <row r="472" spans="1:12" x14ac:dyDescent="0.25">
      <c r="A472" s="3" t="s">
        <v>1242</v>
      </c>
      <c r="B472" s="3" t="s">
        <v>1243</v>
      </c>
      <c r="C472" s="1">
        <v>1</v>
      </c>
      <c r="D472" s="1">
        <v>373</v>
      </c>
      <c r="E472" s="1" t="s">
        <v>56</v>
      </c>
      <c r="F472" s="1" t="s">
        <v>3322</v>
      </c>
      <c r="G472" s="3" t="s">
        <v>1244</v>
      </c>
      <c r="H472" s="11">
        <f>ROUND(
IF(L470="GANCHO",
   IF(I472&lt;=50,I472*1.1+4,IF(I472&lt;=120,I472*1.1+7,IF(I472&lt;=250,I472*1.1+11,I472*1.1+19))),
IF(L470="NORMAL",
   IF(I472&lt;=30,I472*1.15+2,IF(I472&lt;=80,I472*1.15+4,IF(I472&lt;=150,I472*1.15+6,I472*1.15+8))),
IF(L470="COMPLEMENTO",
   IF(I472&lt;=25,I472*1.25+1.5,IF(I472&lt;=60,I472*1.25+3,IF(I472&lt;=120,I472*1.25+4,I472*1.25+5))),
""))),2)</f>
        <v>1769.44</v>
      </c>
      <c r="I472" s="9">
        <f>($K$2+0.02)*Tabla1[[#This Row],[PRECIO $]]*1.18</f>
        <v>1531.6871999999998</v>
      </c>
      <c r="J472" s="7">
        <f>+Tabla1[[#This Row],[PRECIO EN SOLES]]-Tabla1[[#This Row],[PC]]</f>
        <v>237.75280000000021</v>
      </c>
      <c r="K472" s="15"/>
      <c r="L472" s="15" t="str">
        <f>IF(
OR(
ISNUMBER(SEARCH("BACKPACK",B474)),
ISNUMBER(SEARCH("MOCHILA",B474)),
ISNUMBER(SEARCH("FUNDA",B474)),
ISNUMBER(SEARCH("ESTUCHE",B474)),
ISNUMBER(SEARCH("BOOK COVER",B474)),
ISNUMBER(SEARCH("KEYBOARD PARA TABLET",B474)),
ISNUMBER(SEARCH("FLIP TABLET",B474)),
ISNUMBER(SEARCH("CASE FOR TABLET",B474)),
ISNUMBER(SEARCH("CABLE",B474)),
ISNUMBER(SEARCH("ADAPTADOR",B474)),
ISNUMBER(SEARCH("HUB",B474)),
ISNUMBER(SEARCH("DOCK",B474)),
ISNUMBER(SEARCH("MOUSE PAD",B474)),
ISNUMBER(SEARCH("MOUSEPAD",B474)),
ISNUMBER(SEARCH("SOPORTE",B474)),
ISNUMBER(SEARCH("STAND",B474)),
ISNUMBER(SEARCH("TRAVEL ADAPTER",B474)),
ISNUMBER(SEARCH("RJ45",B474)),
ISNUMBER(SEARCH("USB-C",B474)),
ISNUMBER(SEARCH("USB WIFI",B474)),
ISNUMBER(SEARCH("POWERBANK",B474)),
ISNUMBER(SEARCH("CARGADOR",B474)),
ISNUMBER(SEARCH("COOLER PARA NB",B474)),
ISNUMBER(SEARCH("SOPORTE PARA NB",B474)),
ISNUMBER(SEARCH("WEBCAM",B474)),
ISNUMBER(SEARCH("WEB CAM",B474)),
ISNUMBER(SEARCH("MOUSE",B474)),
ISNUMBER(SEARCH("TECLADO",B474))
),
"COMPLEMENTO",
IF(
OR(
LEFT(A474,2)="NB",
LEFT(A474,2)="PC",
LEFT(A474,2)="WS",
LEFT(A474,2)="TB",
LEFT(A474,3)="CEL",
LEFT(A474,3)="MON",
LEFT(A474,3)="PRE",
LEFT(A474,3)="PRH",
ISNUMBER(SEARCH("NOTEBOOK",B474)),
ISNUMBER(SEARCH("LAPTOP",B474)),
ISNUMBER(SEARCH("MONITOR",B474)),
ISNUMBER(SEARCH("TABLET",B474)),
ISNUMBER(SEARCH("SMARTPH",B474)),
ISNUMBER(SEARCH("IMPRESORA",B474)),
ISNUMBER(SEARCH("MULTIFUNCIONAL",B474)),
ISNUMBER(SEARCH("AIO",B474))
),
"GANCHO",
"NORMAL"
)
)</f>
        <v>NORMAL</v>
      </c>
    </row>
    <row r="473" spans="1:12" x14ac:dyDescent="0.25">
      <c r="A473" s="3" t="s">
        <v>1245</v>
      </c>
      <c r="B473" s="3" t="s">
        <v>1246</v>
      </c>
      <c r="C473" s="1">
        <v>3</v>
      </c>
      <c r="D473" s="1">
        <v>363</v>
      </c>
      <c r="E473" s="1" t="s">
        <v>56</v>
      </c>
      <c r="F473" s="1" t="s">
        <v>3323</v>
      </c>
      <c r="G473" s="3" t="s">
        <v>1247</v>
      </c>
      <c r="H473" s="11">
        <f>ROUND(
IF(L471="GANCHO",
   IF(I473&lt;=50,I473*1.1+4,IF(I473&lt;=120,I473*1.1+7,IF(I473&lt;=250,I473*1.1+11,I473*1.1+19))),
IF(L471="NORMAL",
   IF(I473&lt;=30,I473*1.15+2,IF(I473&lt;=80,I473*1.15+4,IF(I473&lt;=150,I473*1.15+6,I473*1.15+8))),
IF(L471="COMPLEMENTO",
   IF(I473&lt;=25,I473*1.25+1.5,IF(I473&lt;=60,I473*1.25+3,IF(I473&lt;=120,I473*1.25+4,I473*1.25+5))),
""))),2)</f>
        <v>1722.22</v>
      </c>
      <c r="I473" s="9">
        <f>($K$2+0.02)*Tabla1[[#This Row],[PRECIO $]]*1.18</f>
        <v>1490.6232</v>
      </c>
      <c r="J473" s="7">
        <f>+Tabla1[[#This Row],[PRECIO EN SOLES]]-Tabla1[[#This Row],[PC]]</f>
        <v>231.59680000000003</v>
      </c>
      <c r="K473" s="15"/>
      <c r="L473" s="15" t="str">
        <f>IF(
OR(
ISNUMBER(SEARCH("BACKPACK",B475)),
ISNUMBER(SEARCH("MOCHILA",B475)),
ISNUMBER(SEARCH("FUNDA",B475)),
ISNUMBER(SEARCH("ESTUCHE",B475)),
ISNUMBER(SEARCH("BOOK COVER",B475)),
ISNUMBER(SEARCH("KEYBOARD PARA TABLET",B475)),
ISNUMBER(SEARCH("FLIP TABLET",B475)),
ISNUMBER(SEARCH("CASE FOR TABLET",B475)),
ISNUMBER(SEARCH("CABLE",B475)),
ISNUMBER(SEARCH("ADAPTADOR",B475)),
ISNUMBER(SEARCH("HUB",B475)),
ISNUMBER(SEARCH("DOCK",B475)),
ISNUMBER(SEARCH("MOUSE PAD",B475)),
ISNUMBER(SEARCH("MOUSEPAD",B475)),
ISNUMBER(SEARCH("SOPORTE",B475)),
ISNUMBER(SEARCH("STAND",B475)),
ISNUMBER(SEARCH("TRAVEL ADAPTER",B475)),
ISNUMBER(SEARCH("RJ45",B475)),
ISNUMBER(SEARCH("USB-C",B475)),
ISNUMBER(SEARCH("USB WIFI",B475)),
ISNUMBER(SEARCH("POWERBANK",B475)),
ISNUMBER(SEARCH("CARGADOR",B475)),
ISNUMBER(SEARCH("COOLER PARA NB",B475)),
ISNUMBER(SEARCH("SOPORTE PARA NB",B475)),
ISNUMBER(SEARCH("WEBCAM",B475)),
ISNUMBER(SEARCH("WEB CAM",B475)),
ISNUMBER(SEARCH("MOUSE",B475)),
ISNUMBER(SEARCH("TECLADO",B475))
),
"COMPLEMENTO",
IF(
OR(
LEFT(A475,2)="NB",
LEFT(A475,2)="PC",
LEFT(A475,2)="WS",
LEFT(A475,2)="TB",
LEFT(A475,3)="CEL",
LEFT(A475,3)="MON",
LEFT(A475,3)="PRE",
LEFT(A475,3)="PRH",
ISNUMBER(SEARCH("NOTEBOOK",B475)),
ISNUMBER(SEARCH("LAPTOP",B475)),
ISNUMBER(SEARCH("MONITOR",B475)),
ISNUMBER(SEARCH("TABLET",B475)),
ISNUMBER(SEARCH("SMARTPH",B475)),
ISNUMBER(SEARCH("IMPRESORA",B475)),
ISNUMBER(SEARCH("MULTIFUNCIONAL",B475)),
ISNUMBER(SEARCH("AIO",B475))
),
"GANCHO",
"NORMAL"
)
)</f>
        <v>NORMAL</v>
      </c>
    </row>
    <row r="474" spans="1:12" x14ac:dyDescent="0.25">
      <c r="A474" s="3" t="s">
        <v>6589</v>
      </c>
      <c r="B474" s="3" t="s">
        <v>6590</v>
      </c>
      <c r="C474" s="1">
        <v>2</v>
      </c>
      <c r="D474" s="1">
        <v>23.8</v>
      </c>
      <c r="E474" s="1" t="s">
        <v>141</v>
      </c>
      <c r="F474" s="1" t="s">
        <v>6591</v>
      </c>
      <c r="G474" s="3"/>
      <c r="H474" s="11">
        <f>ROUND(
IF(L472="GANCHO",
   IF(I474&lt;=50,I474*1.1+4,IF(I474&lt;=120,I474*1.1+7,IF(I474&lt;=250,I474*1.1+11,I474*1.1+19))),
IF(L472="NORMAL",
   IF(I474&lt;=30,I474*1.15+2,IF(I474&lt;=80,I474*1.15+4,IF(I474&lt;=150,I474*1.15+6,I474*1.15+8))),
IF(L472="COMPLEMENTO",
   IF(I474&lt;=25,I474*1.25+1.5,IF(I474&lt;=60,I474*1.25+3,IF(I474&lt;=120,I474*1.25+4,I474*1.25+5))),
""))),2)</f>
        <v>118.39</v>
      </c>
      <c r="I474" s="9">
        <f>($K$2+0.02)*Tabla1[[#This Row],[PRECIO $]]*1.18</f>
        <v>97.732319999999987</v>
      </c>
      <c r="J474" s="7">
        <f>+Tabla1[[#This Row],[PRECIO EN SOLES]]-Tabla1[[#This Row],[PC]]</f>
        <v>20.657680000000013</v>
      </c>
      <c r="K474" s="15"/>
      <c r="L474" s="15" t="str">
        <f>IF(
OR(
ISNUMBER(SEARCH("BACKPACK",B476)),
ISNUMBER(SEARCH("MOCHILA",B476)),
ISNUMBER(SEARCH("FUNDA",B476)),
ISNUMBER(SEARCH("ESTUCHE",B476)),
ISNUMBER(SEARCH("BOOK COVER",B476)),
ISNUMBER(SEARCH("KEYBOARD PARA TABLET",B476)),
ISNUMBER(SEARCH("FLIP TABLET",B476)),
ISNUMBER(SEARCH("CASE FOR TABLET",B476)),
ISNUMBER(SEARCH("CABLE",B476)),
ISNUMBER(SEARCH("ADAPTADOR",B476)),
ISNUMBER(SEARCH("HUB",B476)),
ISNUMBER(SEARCH("DOCK",B476)),
ISNUMBER(SEARCH("MOUSE PAD",B476)),
ISNUMBER(SEARCH("MOUSEPAD",B476)),
ISNUMBER(SEARCH("SOPORTE",B476)),
ISNUMBER(SEARCH("STAND",B476)),
ISNUMBER(SEARCH("TRAVEL ADAPTER",B476)),
ISNUMBER(SEARCH("RJ45",B476)),
ISNUMBER(SEARCH("USB-C",B476)),
ISNUMBER(SEARCH("USB WIFI",B476)),
ISNUMBER(SEARCH("POWERBANK",B476)),
ISNUMBER(SEARCH("CARGADOR",B476)),
ISNUMBER(SEARCH("COOLER PARA NB",B476)),
ISNUMBER(SEARCH("SOPORTE PARA NB",B476)),
ISNUMBER(SEARCH("WEBCAM",B476)),
ISNUMBER(SEARCH("WEB CAM",B476)),
ISNUMBER(SEARCH("MOUSE",B476)),
ISNUMBER(SEARCH("TECLADO",B476))
),
"COMPLEMENTO",
IF(
OR(
LEFT(A476,2)="NB",
LEFT(A476,2)="PC",
LEFT(A476,2)="WS",
LEFT(A476,2)="TB",
LEFT(A476,3)="CEL",
LEFT(A476,3)="MON",
LEFT(A476,3)="PRE",
LEFT(A476,3)="PRH",
ISNUMBER(SEARCH("NOTEBOOK",B476)),
ISNUMBER(SEARCH("LAPTOP",B476)),
ISNUMBER(SEARCH("MONITOR",B476)),
ISNUMBER(SEARCH("TABLET",B476)),
ISNUMBER(SEARCH("SMARTPH",B476)),
ISNUMBER(SEARCH("IMPRESORA",B476)),
ISNUMBER(SEARCH("MULTIFUNCIONAL",B476)),
ISNUMBER(SEARCH("AIO",B476))
),
"GANCHO",
"NORMAL"
)
)</f>
        <v>NORMAL</v>
      </c>
    </row>
    <row r="475" spans="1:12" x14ac:dyDescent="0.25">
      <c r="A475" s="3" t="s">
        <v>1248</v>
      </c>
      <c r="B475" s="3" t="s">
        <v>1249</v>
      </c>
      <c r="C475" s="1">
        <v>0</v>
      </c>
      <c r="D475" s="1">
        <v>9999999.9900000002</v>
      </c>
      <c r="E475" s="1" t="s">
        <v>1250</v>
      </c>
      <c r="F475" s="1" t="s">
        <v>3324</v>
      </c>
      <c r="G475" s="3"/>
      <c r="H475" s="11">
        <f>ROUND(
IF(L473="GANCHO",
   IF(I475&lt;=50,I475*1.1+4,IF(I475&lt;=120,I475*1.1+7,IF(I475&lt;=250,I475*1.1+11,I475*1.1+19))),
IF(L473="NORMAL",
   IF(I475&lt;=30,I475*1.15+2,IF(I475&lt;=80,I475*1.15+4,IF(I475&lt;=150,I475*1.15+6,I475*1.15+8))),
IF(L473="COMPLEMENTO",
   IF(I475&lt;=25,I475*1.25+1.5,IF(I475&lt;=60,I475*1.25+3,IF(I475&lt;=120,I475*1.25+4,I475*1.25+5))),
""))),2)</f>
        <v>47223607.950000003</v>
      </c>
      <c r="I475" s="9">
        <f>($K$2+0.02)*Tabla1[[#This Row],[PRECIO $]]*1.18</f>
        <v>41063999.958935998</v>
      </c>
      <c r="J475" s="7">
        <f>+Tabla1[[#This Row],[PRECIO EN SOLES]]-Tabla1[[#This Row],[PC]]</f>
        <v>6159607.9910640046</v>
      </c>
      <c r="K475" s="15"/>
      <c r="L475" s="15" t="str">
        <f>IF(
OR(
ISNUMBER(SEARCH("BACKPACK",B477)),
ISNUMBER(SEARCH("MOCHILA",B477)),
ISNUMBER(SEARCH("FUNDA",B477)),
ISNUMBER(SEARCH("ESTUCHE",B477)),
ISNUMBER(SEARCH("BOOK COVER",B477)),
ISNUMBER(SEARCH("KEYBOARD PARA TABLET",B477)),
ISNUMBER(SEARCH("FLIP TABLET",B477)),
ISNUMBER(SEARCH("CASE FOR TABLET",B477)),
ISNUMBER(SEARCH("CABLE",B477)),
ISNUMBER(SEARCH("ADAPTADOR",B477)),
ISNUMBER(SEARCH("HUB",B477)),
ISNUMBER(SEARCH("DOCK",B477)),
ISNUMBER(SEARCH("MOUSE PAD",B477)),
ISNUMBER(SEARCH("MOUSEPAD",B477)),
ISNUMBER(SEARCH("SOPORTE",B477)),
ISNUMBER(SEARCH("STAND",B477)),
ISNUMBER(SEARCH("TRAVEL ADAPTER",B477)),
ISNUMBER(SEARCH("RJ45",B477)),
ISNUMBER(SEARCH("USB-C",B477)),
ISNUMBER(SEARCH("USB WIFI",B477)),
ISNUMBER(SEARCH("POWERBANK",B477)),
ISNUMBER(SEARCH("CARGADOR",B477)),
ISNUMBER(SEARCH("COOLER PARA NB",B477)),
ISNUMBER(SEARCH("SOPORTE PARA NB",B477)),
ISNUMBER(SEARCH("WEBCAM",B477)),
ISNUMBER(SEARCH("WEB CAM",B477)),
ISNUMBER(SEARCH("MOUSE",B477)),
ISNUMBER(SEARCH("TECLADO",B477))
),
"COMPLEMENTO",
IF(
OR(
LEFT(A477,2)="NB",
LEFT(A477,2)="PC",
LEFT(A477,2)="WS",
LEFT(A477,2)="TB",
LEFT(A477,3)="CEL",
LEFT(A477,3)="MON",
LEFT(A477,3)="PRE",
LEFT(A477,3)="PRH",
ISNUMBER(SEARCH("NOTEBOOK",B477)),
ISNUMBER(SEARCH("LAPTOP",B477)),
ISNUMBER(SEARCH("MONITOR",B477)),
ISNUMBER(SEARCH("TABLET",B477)),
ISNUMBER(SEARCH("SMARTPH",B477)),
ISNUMBER(SEARCH("IMPRESORA",B477)),
ISNUMBER(SEARCH("MULTIFUNCIONAL",B477)),
ISNUMBER(SEARCH("AIO",B477))
),
"GANCHO",
"NORMAL"
)
)</f>
        <v>NORMAL</v>
      </c>
    </row>
    <row r="476" spans="1:12" x14ac:dyDescent="0.25">
      <c r="A476" s="3" t="s">
        <v>701</v>
      </c>
      <c r="B476" s="3" t="s">
        <v>702</v>
      </c>
      <c r="C476" s="1">
        <v>20</v>
      </c>
      <c r="D476" s="1">
        <v>65</v>
      </c>
      <c r="E476" s="1" t="s">
        <v>247</v>
      </c>
      <c r="F476" s="1" t="s">
        <v>3325</v>
      </c>
      <c r="G476" s="3" t="s">
        <v>703</v>
      </c>
      <c r="H476" s="11">
        <f>ROUND(
IF(L474="GANCHO",
   IF(I476&lt;=50,I476*1.1+4,IF(I476&lt;=120,I476*1.1+7,IF(I476&lt;=250,I476*1.1+11,I476*1.1+19))),
IF(L474="NORMAL",
   IF(I476&lt;=30,I476*1.15+2,IF(I476&lt;=80,I476*1.15+4,IF(I476&lt;=150,I476*1.15+6,I476*1.15+8))),
IF(L474="COMPLEMENTO",
   IF(I476&lt;=25,I476*1.25+1.5,IF(I476&lt;=60,I476*1.25+3,IF(I476&lt;=120,I476*1.25+4,I476*1.25+5))),
""))),2)</f>
        <v>314.95</v>
      </c>
      <c r="I476" s="9">
        <f>($K$2+0.02)*Tabla1[[#This Row],[PRECIO $]]*1.18</f>
        <v>266.916</v>
      </c>
      <c r="J476" s="7">
        <f>+Tabla1[[#This Row],[PRECIO EN SOLES]]-Tabla1[[#This Row],[PC]]</f>
        <v>48.033999999999992</v>
      </c>
      <c r="K476" s="15"/>
      <c r="L476" s="15" t="str">
        <f>IF(
OR(
ISNUMBER(SEARCH("BACKPACK",B478)),
ISNUMBER(SEARCH("MOCHILA",B478)),
ISNUMBER(SEARCH("FUNDA",B478)),
ISNUMBER(SEARCH("ESTUCHE",B478)),
ISNUMBER(SEARCH("BOOK COVER",B478)),
ISNUMBER(SEARCH("KEYBOARD PARA TABLET",B478)),
ISNUMBER(SEARCH("FLIP TABLET",B478)),
ISNUMBER(SEARCH("CASE FOR TABLET",B478)),
ISNUMBER(SEARCH("CABLE",B478)),
ISNUMBER(SEARCH("ADAPTADOR",B478)),
ISNUMBER(SEARCH("HUB",B478)),
ISNUMBER(SEARCH("DOCK",B478)),
ISNUMBER(SEARCH("MOUSE PAD",B478)),
ISNUMBER(SEARCH("MOUSEPAD",B478)),
ISNUMBER(SEARCH("SOPORTE",B478)),
ISNUMBER(SEARCH("STAND",B478)),
ISNUMBER(SEARCH("TRAVEL ADAPTER",B478)),
ISNUMBER(SEARCH("RJ45",B478)),
ISNUMBER(SEARCH("USB-C",B478)),
ISNUMBER(SEARCH("USB WIFI",B478)),
ISNUMBER(SEARCH("POWERBANK",B478)),
ISNUMBER(SEARCH("CARGADOR",B478)),
ISNUMBER(SEARCH("COOLER PARA NB",B478)),
ISNUMBER(SEARCH("SOPORTE PARA NB",B478)),
ISNUMBER(SEARCH("WEBCAM",B478)),
ISNUMBER(SEARCH("WEB CAM",B478)),
ISNUMBER(SEARCH("MOUSE",B478)),
ISNUMBER(SEARCH("TECLADO",B478))
),
"COMPLEMENTO",
IF(
OR(
LEFT(A478,2)="NB",
LEFT(A478,2)="PC",
LEFT(A478,2)="WS",
LEFT(A478,2)="TB",
LEFT(A478,3)="CEL",
LEFT(A478,3)="MON",
LEFT(A478,3)="PRE",
LEFT(A478,3)="PRH",
ISNUMBER(SEARCH("NOTEBOOK",B478)),
ISNUMBER(SEARCH("LAPTOP",B478)),
ISNUMBER(SEARCH("MONITOR",B478)),
ISNUMBER(SEARCH("TABLET",B478)),
ISNUMBER(SEARCH("SMARTPH",B478)),
ISNUMBER(SEARCH("IMPRESORA",B478)),
ISNUMBER(SEARCH("MULTIFUNCIONAL",B478)),
ISNUMBER(SEARCH("AIO",B478))
),
"GANCHO",
"NORMAL"
)
)</f>
        <v>NORMAL</v>
      </c>
    </row>
    <row r="477" spans="1:12" x14ac:dyDescent="0.25">
      <c r="A477" s="3" t="s">
        <v>704</v>
      </c>
      <c r="B477" s="3" t="s">
        <v>705</v>
      </c>
      <c r="C477" s="1">
        <v>20</v>
      </c>
      <c r="D477" s="1">
        <v>148.94</v>
      </c>
      <c r="E477" s="1" t="s">
        <v>247</v>
      </c>
      <c r="F477" s="1" t="s">
        <v>3326</v>
      </c>
      <c r="G477" s="3" t="s">
        <v>706</v>
      </c>
      <c r="H477" s="11">
        <f>ROUND(
IF(L475="GANCHO",
   IF(I477&lt;=50,I477*1.1+4,IF(I477&lt;=120,I477*1.1+7,IF(I477&lt;=250,I477*1.1+11,I477*1.1+19))),
IF(L475="NORMAL",
   IF(I477&lt;=30,I477*1.15+2,IF(I477&lt;=80,I477*1.15+4,IF(I477&lt;=150,I477*1.15+6,I477*1.15+8))),
IF(L475="COMPLEMENTO",
   IF(I477&lt;=25,I477*1.25+1.5,IF(I477&lt;=60,I477*1.25+3,IF(I477&lt;=120,I477*1.25+4,I477*1.25+5))),
""))),2)</f>
        <v>711.35</v>
      </c>
      <c r="I477" s="9">
        <f>($K$2+0.02)*Tabla1[[#This Row],[PRECIO $]]*1.18</f>
        <v>611.60721599999999</v>
      </c>
      <c r="J477" s="7">
        <f>+Tabla1[[#This Row],[PRECIO EN SOLES]]-Tabla1[[#This Row],[PC]]</f>
        <v>99.742784000000029</v>
      </c>
      <c r="K477" s="15"/>
      <c r="L477" s="15" t="str">
        <f>IF(
OR(
ISNUMBER(SEARCH("BACKPACK",B479)),
ISNUMBER(SEARCH("MOCHILA",B479)),
ISNUMBER(SEARCH("FUNDA",B479)),
ISNUMBER(SEARCH("ESTUCHE",B479)),
ISNUMBER(SEARCH("BOOK COVER",B479)),
ISNUMBER(SEARCH("KEYBOARD PARA TABLET",B479)),
ISNUMBER(SEARCH("FLIP TABLET",B479)),
ISNUMBER(SEARCH("CASE FOR TABLET",B479)),
ISNUMBER(SEARCH("CABLE",B479)),
ISNUMBER(SEARCH("ADAPTADOR",B479)),
ISNUMBER(SEARCH("HUB",B479)),
ISNUMBER(SEARCH("DOCK",B479)),
ISNUMBER(SEARCH("MOUSE PAD",B479)),
ISNUMBER(SEARCH("MOUSEPAD",B479)),
ISNUMBER(SEARCH("SOPORTE",B479)),
ISNUMBER(SEARCH("STAND",B479)),
ISNUMBER(SEARCH("TRAVEL ADAPTER",B479)),
ISNUMBER(SEARCH("RJ45",B479)),
ISNUMBER(SEARCH("USB-C",B479)),
ISNUMBER(SEARCH("USB WIFI",B479)),
ISNUMBER(SEARCH("POWERBANK",B479)),
ISNUMBER(SEARCH("CARGADOR",B479)),
ISNUMBER(SEARCH("COOLER PARA NB",B479)),
ISNUMBER(SEARCH("SOPORTE PARA NB",B479)),
ISNUMBER(SEARCH("WEBCAM",B479)),
ISNUMBER(SEARCH("WEB CAM",B479)),
ISNUMBER(SEARCH("MOUSE",B479)),
ISNUMBER(SEARCH("TECLADO",B479))
),
"COMPLEMENTO",
IF(
OR(
LEFT(A479,2)="NB",
LEFT(A479,2)="PC",
LEFT(A479,2)="WS",
LEFT(A479,2)="TB",
LEFT(A479,3)="CEL",
LEFT(A479,3)="MON",
LEFT(A479,3)="PRE",
LEFT(A479,3)="PRH",
ISNUMBER(SEARCH("NOTEBOOK",B479)),
ISNUMBER(SEARCH("LAPTOP",B479)),
ISNUMBER(SEARCH("MONITOR",B479)),
ISNUMBER(SEARCH("TABLET",B479)),
ISNUMBER(SEARCH("SMARTPH",B479)),
ISNUMBER(SEARCH("IMPRESORA",B479)),
ISNUMBER(SEARCH("MULTIFUNCIONAL",B479)),
ISNUMBER(SEARCH("AIO",B479))
),
"GANCHO",
"NORMAL"
)
)</f>
        <v>NORMAL</v>
      </c>
    </row>
    <row r="478" spans="1:12" x14ac:dyDescent="0.25">
      <c r="A478" s="3" t="s">
        <v>707</v>
      </c>
      <c r="B478" s="3" t="s">
        <v>708</v>
      </c>
      <c r="C478" s="1">
        <v>20</v>
      </c>
      <c r="D478" s="1">
        <v>185</v>
      </c>
      <c r="E478" s="1" t="s">
        <v>247</v>
      </c>
      <c r="F478" s="1" t="s">
        <v>3327</v>
      </c>
      <c r="G478" s="3" t="s">
        <v>709</v>
      </c>
      <c r="H478" s="11">
        <f>ROUND(
IF(L476="GANCHO",
   IF(I478&lt;=50,I478*1.1+4,IF(I478&lt;=120,I478*1.1+7,IF(I478&lt;=250,I478*1.1+11,I478*1.1+19))),
IF(L476="NORMAL",
   IF(I478&lt;=30,I478*1.15+2,IF(I478&lt;=80,I478*1.15+4,IF(I478&lt;=150,I478*1.15+6,I478*1.15+8))),
IF(L476="COMPLEMENTO",
   IF(I478&lt;=25,I478*1.25+1.5,IF(I478&lt;=60,I478*1.25+3,IF(I478&lt;=120,I478*1.25+4,I478*1.25+5))),
""))),2)</f>
        <v>881.64</v>
      </c>
      <c r="I478" s="9">
        <f>($K$2+0.02)*Tabla1[[#This Row],[PRECIO $]]*1.18</f>
        <v>759.68399999999986</v>
      </c>
      <c r="J478" s="7">
        <f>+Tabla1[[#This Row],[PRECIO EN SOLES]]-Tabla1[[#This Row],[PC]]</f>
        <v>121.95600000000013</v>
      </c>
      <c r="K478" s="15"/>
      <c r="L478" s="15" t="str">
        <f>IF(
OR(
ISNUMBER(SEARCH("BACKPACK",B480)),
ISNUMBER(SEARCH("MOCHILA",B480)),
ISNUMBER(SEARCH("FUNDA",B480)),
ISNUMBER(SEARCH("ESTUCHE",B480)),
ISNUMBER(SEARCH("BOOK COVER",B480)),
ISNUMBER(SEARCH("KEYBOARD PARA TABLET",B480)),
ISNUMBER(SEARCH("FLIP TABLET",B480)),
ISNUMBER(SEARCH("CASE FOR TABLET",B480)),
ISNUMBER(SEARCH("CABLE",B480)),
ISNUMBER(SEARCH("ADAPTADOR",B480)),
ISNUMBER(SEARCH("HUB",B480)),
ISNUMBER(SEARCH("DOCK",B480)),
ISNUMBER(SEARCH("MOUSE PAD",B480)),
ISNUMBER(SEARCH("MOUSEPAD",B480)),
ISNUMBER(SEARCH("SOPORTE",B480)),
ISNUMBER(SEARCH("STAND",B480)),
ISNUMBER(SEARCH("TRAVEL ADAPTER",B480)),
ISNUMBER(SEARCH("RJ45",B480)),
ISNUMBER(SEARCH("USB-C",B480)),
ISNUMBER(SEARCH("USB WIFI",B480)),
ISNUMBER(SEARCH("POWERBANK",B480)),
ISNUMBER(SEARCH("CARGADOR",B480)),
ISNUMBER(SEARCH("COOLER PARA NB",B480)),
ISNUMBER(SEARCH("SOPORTE PARA NB",B480)),
ISNUMBER(SEARCH("WEBCAM",B480)),
ISNUMBER(SEARCH("WEB CAM",B480)),
ISNUMBER(SEARCH("MOUSE",B480)),
ISNUMBER(SEARCH("TECLADO",B480))
),
"COMPLEMENTO",
IF(
OR(
LEFT(A480,2)="NB",
LEFT(A480,2)="PC",
LEFT(A480,2)="WS",
LEFT(A480,2)="TB",
LEFT(A480,3)="CEL",
LEFT(A480,3)="MON",
LEFT(A480,3)="PRE",
LEFT(A480,3)="PRH",
ISNUMBER(SEARCH("NOTEBOOK",B480)),
ISNUMBER(SEARCH("LAPTOP",B480)),
ISNUMBER(SEARCH("MONITOR",B480)),
ISNUMBER(SEARCH("TABLET",B480)),
ISNUMBER(SEARCH("SMARTPH",B480)),
ISNUMBER(SEARCH("IMPRESORA",B480)),
ISNUMBER(SEARCH("MULTIFUNCIONAL",B480)),
ISNUMBER(SEARCH("AIO",B480))
),
"GANCHO",
"NORMAL"
)
)</f>
        <v>NORMAL</v>
      </c>
    </row>
    <row r="479" spans="1:12" x14ac:dyDescent="0.25">
      <c r="A479" s="3" t="s">
        <v>710</v>
      </c>
      <c r="B479" s="3" t="s">
        <v>711</v>
      </c>
      <c r="C479" s="1">
        <v>20</v>
      </c>
      <c r="D479" s="1">
        <v>232.47</v>
      </c>
      <c r="E479" s="1" t="s">
        <v>247</v>
      </c>
      <c r="F479" s="1" t="s">
        <v>3328</v>
      </c>
      <c r="G479" s="3" t="s">
        <v>712</v>
      </c>
      <c r="H479" s="11">
        <f>ROUND(
IF(L477="GANCHO",
   IF(I479&lt;=50,I479*1.1+4,IF(I479&lt;=120,I479*1.1+7,IF(I479&lt;=250,I479*1.1+11,I479*1.1+19))),
IF(L477="NORMAL",
   IF(I479&lt;=30,I479*1.15+2,IF(I479&lt;=80,I479*1.15+4,IF(I479&lt;=150,I479*1.15+6,I479*1.15+8))),
IF(L477="COMPLEMENTO",
   IF(I479&lt;=25,I479*1.25+1.5,IF(I479&lt;=60,I479*1.25+3,IF(I479&lt;=120,I479*1.25+4,I479*1.25+5))),
""))),2)</f>
        <v>1105.81</v>
      </c>
      <c r="I479" s="9">
        <f>($K$2+0.02)*Tabla1[[#This Row],[PRECIO $]]*1.18</f>
        <v>954.61480799999993</v>
      </c>
      <c r="J479" s="7">
        <f>+Tabla1[[#This Row],[PRECIO EN SOLES]]-Tabla1[[#This Row],[PC]]</f>
        <v>151.19519200000002</v>
      </c>
      <c r="K479" s="15"/>
      <c r="L479" s="15" t="str">
        <f>IF(
OR(
ISNUMBER(SEARCH("BACKPACK",B481)),
ISNUMBER(SEARCH("MOCHILA",B481)),
ISNUMBER(SEARCH("FUNDA",B481)),
ISNUMBER(SEARCH("ESTUCHE",B481)),
ISNUMBER(SEARCH("BOOK COVER",B481)),
ISNUMBER(SEARCH("KEYBOARD PARA TABLET",B481)),
ISNUMBER(SEARCH("FLIP TABLET",B481)),
ISNUMBER(SEARCH("CASE FOR TABLET",B481)),
ISNUMBER(SEARCH("CABLE",B481)),
ISNUMBER(SEARCH("ADAPTADOR",B481)),
ISNUMBER(SEARCH("HUB",B481)),
ISNUMBER(SEARCH("DOCK",B481)),
ISNUMBER(SEARCH("MOUSE PAD",B481)),
ISNUMBER(SEARCH("MOUSEPAD",B481)),
ISNUMBER(SEARCH("SOPORTE",B481)),
ISNUMBER(SEARCH("STAND",B481)),
ISNUMBER(SEARCH("TRAVEL ADAPTER",B481)),
ISNUMBER(SEARCH("RJ45",B481)),
ISNUMBER(SEARCH("USB-C",B481)),
ISNUMBER(SEARCH("USB WIFI",B481)),
ISNUMBER(SEARCH("POWERBANK",B481)),
ISNUMBER(SEARCH("CARGADOR",B481)),
ISNUMBER(SEARCH("COOLER PARA NB",B481)),
ISNUMBER(SEARCH("SOPORTE PARA NB",B481)),
ISNUMBER(SEARCH("WEBCAM",B481)),
ISNUMBER(SEARCH("WEB CAM",B481)),
ISNUMBER(SEARCH("MOUSE",B481)),
ISNUMBER(SEARCH("TECLADO",B481))
),
"COMPLEMENTO",
IF(
OR(
LEFT(A481,2)="NB",
LEFT(A481,2)="PC",
LEFT(A481,2)="WS",
LEFT(A481,2)="TB",
LEFT(A481,3)="CEL",
LEFT(A481,3)="MON",
LEFT(A481,3)="PRE",
LEFT(A481,3)="PRH",
ISNUMBER(SEARCH("NOTEBOOK",B481)),
ISNUMBER(SEARCH("LAPTOP",B481)),
ISNUMBER(SEARCH("MONITOR",B481)),
ISNUMBER(SEARCH("TABLET",B481)),
ISNUMBER(SEARCH("SMARTPH",B481)),
ISNUMBER(SEARCH("IMPRESORA",B481)),
ISNUMBER(SEARCH("MULTIFUNCIONAL",B481)),
ISNUMBER(SEARCH("AIO",B481))
),
"GANCHO",
"NORMAL"
)
)</f>
        <v>NORMAL</v>
      </c>
    </row>
    <row r="480" spans="1:12" x14ac:dyDescent="0.25">
      <c r="A480" s="3" t="s">
        <v>713</v>
      </c>
      <c r="B480" s="3" t="s">
        <v>714</v>
      </c>
      <c r="C480" s="1">
        <v>20</v>
      </c>
      <c r="D480" s="1">
        <v>223</v>
      </c>
      <c r="E480" s="1" t="s">
        <v>247</v>
      </c>
      <c r="F480" s="1" t="s">
        <v>3329</v>
      </c>
      <c r="G480" s="3" t="s">
        <v>715</v>
      </c>
      <c r="H480" s="11">
        <f>ROUND(
IF(L478="GANCHO",
   IF(I480&lt;=50,I480*1.1+4,IF(I480&lt;=120,I480*1.1+7,IF(I480&lt;=250,I480*1.1+11,I480*1.1+19))),
IF(L478="NORMAL",
   IF(I480&lt;=30,I480*1.15+2,IF(I480&lt;=80,I480*1.15+4,IF(I480&lt;=150,I480*1.15+6,I480*1.15+8))),
IF(L478="COMPLEMENTO",
   IF(I480&lt;=25,I480*1.25+1.5,IF(I480&lt;=60,I480*1.25+3,IF(I480&lt;=120,I480*1.25+4,I480*1.25+5))),
""))),2)</f>
        <v>1061.0899999999999</v>
      </c>
      <c r="I480" s="9">
        <f>($K$2+0.02)*Tabla1[[#This Row],[PRECIO $]]*1.18</f>
        <v>915.72719999999993</v>
      </c>
      <c r="J480" s="7">
        <f>+Tabla1[[#This Row],[PRECIO EN SOLES]]-Tabla1[[#This Row],[PC]]</f>
        <v>145.36279999999999</v>
      </c>
      <c r="K480" s="15"/>
      <c r="L480" s="15" t="str">
        <f>IF(
OR(
ISNUMBER(SEARCH("BACKPACK",B482)),
ISNUMBER(SEARCH("MOCHILA",B482)),
ISNUMBER(SEARCH("FUNDA",B482)),
ISNUMBER(SEARCH("ESTUCHE",B482)),
ISNUMBER(SEARCH("BOOK COVER",B482)),
ISNUMBER(SEARCH("KEYBOARD PARA TABLET",B482)),
ISNUMBER(SEARCH("FLIP TABLET",B482)),
ISNUMBER(SEARCH("CASE FOR TABLET",B482)),
ISNUMBER(SEARCH("CABLE",B482)),
ISNUMBER(SEARCH("ADAPTADOR",B482)),
ISNUMBER(SEARCH("HUB",B482)),
ISNUMBER(SEARCH("DOCK",B482)),
ISNUMBER(SEARCH("MOUSE PAD",B482)),
ISNUMBER(SEARCH("MOUSEPAD",B482)),
ISNUMBER(SEARCH("SOPORTE",B482)),
ISNUMBER(SEARCH("STAND",B482)),
ISNUMBER(SEARCH("TRAVEL ADAPTER",B482)),
ISNUMBER(SEARCH("RJ45",B482)),
ISNUMBER(SEARCH("USB-C",B482)),
ISNUMBER(SEARCH("USB WIFI",B482)),
ISNUMBER(SEARCH("POWERBANK",B482)),
ISNUMBER(SEARCH("CARGADOR",B482)),
ISNUMBER(SEARCH("COOLER PARA NB",B482)),
ISNUMBER(SEARCH("SOPORTE PARA NB",B482)),
ISNUMBER(SEARCH("WEBCAM",B482)),
ISNUMBER(SEARCH("WEB CAM",B482)),
ISNUMBER(SEARCH("MOUSE",B482)),
ISNUMBER(SEARCH("TECLADO",B482))
),
"COMPLEMENTO",
IF(
OR(
LEFT(A482,2)="NB",
LEFT(A482,2)="PC",
LEFT(A482,2)="WS",
LEFT(A482,2)="TB",
LEFT(A482,3)="CEL",
LEFT(A482,3)="MON",
LEFT(A482,3)="PRE",
LEFT(A482,3)="PRH",
ISNUMBER(SEARCH("NOTEBOOK",B482)),
ISNUMBER(SEARCH("LAPTOP",B482)),
ISNUMBER(SEARCH("MONITOR",B482)),
ISNUMBER(SEARCH("TABLET",B482)),
ISNUMBER(SEARCH("SMARTPH",B482)),
ISNUMBER(SEARCH("IMPRESORA",B482)),
ISNUMBER(SEARCH("MULTIFUNCIONAL",B482)),
ISNUMBER(SEARCH("AIO",B482))
),
"GANCHO",
"NORMAL"
)
)</f>
        <v>COMPLEMENTO</v>
      </c>
    </row>
    <row r="481" spans="1:12" x14ac:dyDescent="0.25">
      <c r="A481" s="3" t="s">
        <v>716</v>
      </c>
      <c r="B481" s="3" t="s">
        <v>717</v>
      </c>
      <c r="C481" s="1">
        <v>20</v>
      </c>
      <c r="D481" s="1">
        <v>430</v>
      </c>
      <c r="E481" s="1" t="s">
        <v>247</v>
      </c>
      <c r="F481" s="1" t="s">
        <v>3330</v>
      </c>
      <c r="G481" s="3" t="s">
        <v>718</v>
      </c>
      <c r="H481" s="11">
        <f>ROUND(
IF(L479="GANCHO",
   IF(I481&lt;=50,I481*1.1+4,IF(I481&lt;=120,I481*1.1+7,IF(I481&lt;=250,I481*1.1+11,I481*1.1+19))),
IF(L479="NORMAL",
   IF(I481&lt;=30,I481*1.15+2,IF(I481&lt;=80,I481*1.15+4,IF(I481&lt;=150,I481*1.15+6,I481*1.15+8))),
IF(L479="COMPLEMENTO",
   IF(I481&lt;=25,I481*1.25+1.5,IF(I481&lt;=60,I481*1.25+3,IF(I481&lt;=120,I481*1.25+4,I481*1.25+5))),
""))),2)</f>
        <v>2038.61</v>
      </c>
      <c r="I481" s="9">
        <f>($K$2+0.02)*Tabla1[[#This Row],[PRECIO $]]*1.18</f>
        <v>1765.752</v>
      </c>
      <c r="J481" s="7">
        <f>+Tabla1[[#This Row],[PRECIO EN SOLES]]-Tabla1[[#This Row],[PC]]</f>
        <v>272.85799999999995</v>
      </c>
      <c r="K481" s="15"/>
      <c r="L481" s="15" t="str">
        <f>IF(
OR(
ISNUMBER(SEARCH("BACKPACK",B483)),
ISNUMBER(SEARCH("MOCHILA",B483)),
ISNUMBER(SEARCH("FUNDA",B483)),
ISNUMBER(SEARCH("ESTUCHE",B483)),
ISNUMBER(SEARCH("BOOK COVER",B483)),
ISNUMBER(SEARCH("KEYBOARD PARA TABLET",B483)),
ISNUMBER(SEARCH("FLIP TABLET",B483)),
ISNUMBER(SEARCH("CASE FOR TABLET",B483)),
ISNUMBER(SEARCH("CABLE",B483)),
ISNUMBER(SEARCH("ADAPTADOR",B483)),
ISNUMBER(SEARCH("HUB",B483)),
ISNUMBER(SEARCH("DOCK",B483)),
ISNUMBER(SEARCH("MOUSE PAD",B483)),
ISNUMBER(SEARCH("MOUSEPAD",B483)),
ISNUMBER(SEARCH("SOPORTE",B483)),
ISNUMBER(SEARCH("STAND",B483)),
ISNUMBER(SEARCH("TRAVEL ADAPTER",B483)),
ISNUMBER(SEARCH("RJ45",B483)),
ISNUMBER(SEARCH("USB-C",B483)),
ISNUMBER(SEARCH("USB WIFI",B483)),
ISNUMBER(SEARCH("POWERBANK",B483)),
ISNUMBER(SEARCH("CARGADOR",B483)),
ISNUMBER(SEARCH("COOLER PARA NB",B483)),
ISNUMBER(SEARCH("SOPORTE PARA NB",B483)),
ISNUMBER(SEARCH("WEBCAM",B483)),
ISNUMBER(SEARCH("WEB CAM",B483)),
ISNUMBER(SEARCH("MOUSE",B483)),
ISNUMBER(SEARCH("TECLADO",B483))
),
"COMPLEMENTO",
IF(
OR(
LEFT(A483,2)="NB",
LEFT(A483,2)="PC",
LEFT(A483,2)="WS",
LEFT(A483,2)="TB",
LEFT(A483,3)="CEL",
LEFT(A483,3)="MON",
LEFT(A483,3)="PRE",
LEFT(A483,3)="PRH",
ISNUMBER(SEARCH("NOTEBOOK",B483)),
ISNUMBER(SEARCH("LAPTOP",B483)),
ISNUMBER(SEARCH("MONITOR",B483)),
ISNUMBER(SEARCH("TABLET",B483)),
ISNUMBER(SEARCH("SMARTPH",B483)),
ISNUMBER(SEARCH("IMPRESORA",B483)),
ISNUMBER(SEARCH("MULTIFUNCIONAL",B483)),
ISNUMBER(SEARCH("AIO",B483))
),
"GANCHO",
"NORMAL"
)
)</f>
        <v>COMPLEMENTO</v>
      </c>
    </row>
    <row r="482" spans="1:12" x14ac:dyDescent="0.25">
      <c r="A482" s="3" t="s">
        <v>719</v>
      </c>
      <c r="B482" s="3" t="s">
        <v>248</v>
      </c>
      <c r="C482" s="1">
        <v>20</v>
      </c>
      <c r="D482" s="1">
        <v>19.149999999999999</v>
      </c>
      <c r="E482" s="1" t="s">
        <v>247</v>
      </c>
      <c r="F482" s="1" t="s">
        <v>3331</v>
      </c>
      <c r="G482" s="3" t="s">
        <v>3037</v>
      </c>
      <c r="H482" s="11">
        <f>ROUND(
IF(L480="GANCHO",
   IF(I482&lt;=50,I482*1.1+4,IF(I482&lt;=120,I482*1.1+7,IF(I482&lt;=250,I482*1.1+11,I482*1.1+19))),
IF(L480="NORMAL",
   IF(I482&lt;=30,I482*1.15+2,IF(I482&lt;=80,I482*1.15+4,IF(I482&lt;=150,I482*1.15+6,I482*1.15+8))),
IF(L480="COMPLEMENTO",
   IF(I482&lt;=25,I482*1.25+1.5,IF(I482&lt;=60,I482*1.25+3,IF(I482&lt;=120,I482*1.25+4,I482*1.25+5))),
""))),2)</f>
        <v>102.3</v>
      </c>
      <c r="I482" s="9">
        <f>($K$2+0.02)*Tabla1[[#This Row],[PRECIO $]]*1.18</f>
        <v>78.637559999999993</v>
      </c>
      <c r="J482" s="7">
        <f>+Tabla1[[#This Row],[PRECIO EN SOLES]]-Tabla1[[#This Row],[PC]]</f>
        <v>23.662440000000004</v>
      </c>
      <c r="K482" s="15"/>
      <c r="L482" s="15" t="str">
        <f>IF(
OR(
ISNUMBER(SEARCH("BACKPACK",B484)),
ISNUMBER(SEARCH("MOCHILA",B484)),
ISNUMBER(SEARCH("FUNDA",B484)),
ISNUMBER(SEARCH("ESTUCHE",B484)),
ISNUMBER(SEARCH("BOOK COVER",B484)),
ISNUMBER(SEARCH("KEYBOARD PARA TABLET",B484)),
ISNUMBER(SEARCH("FLIP TABLET",B484)),
ISNUMBER(SEARCH("CASE FOR TABLET",B484)),
ISNUMBER(SEARCH("CABLE",B484)),
ISNUMBER(SEARCH("ADAPTADOR",B484)),
ISNUMBER(SEARCH("HUB",B484)),
ISNUMBER(SEARCH("DOCK",B484)),
ISNUMBER(SEARCH("MOUSE PAD",B484)),
ISNUMBER(SEARCH("MOUSEPAD",B484)),
ISNUMBER(SEARCH("SOPORTE",B484)),
ISNUMBER(SEARCH("STAND",B484)),
ISNUMBER(SEARCH("TRAVEL ADAPTER",B484)),
ISNUMBER(SEARCH("RJ45",B484)),
ISNUMBER(SEARCH("USB-C",B484)),
ISNUMBER(SEARCH("USB WIFI",B484)),
ISNUMBER(SEARCH("POWERBANK",B484)),
ISNUMBER(SEARCH("CARGADOR",B484)),
ISNUMBER(SEARCH("COOLER PARA NB",B484)),
ISNUMBER(SEARCH("SOPORTE PARA NB",B484)),
ISNUMBER(SEARCH("WEBCAM",B484)),
ISNUMBER(SEARCH("WEB CAM",B484)),
ISNUMBER(SEARCH("MOUSE",B484)),
ISNUMBER(SEARCH("TECLADO",B484))
),
"COMPLEMENTO",
IF(
OR(
LEFT(A484,2)="NB",
LEFT(A484,2)="PC",
LEFT(A484,2)="WS",
LEFT(A484,2)="TB",
LEFT(A484,3)="CEL",
LEFT(A484,3)="MON",
LEFT(A484,3)="PRE",
LEFT(A484,3)="PRH",
ISNUMBER(SEARCH("NOTEBOOK",B484)),
ISNUMBER(SEARCH("LAPTOP",B484)),
ISNUMBER(SEARCH("MONITOR",B484)),
ISNUMBER(SEARCH("TABLET",B484)),
ISNUMBER(SEARCH("SMARTPH",B484)),
ISNUMBER(SEARCH("IMPRESORA",B484)),
ISNUMBER(SEARCH("MULTIFUNCIONAL",B484)),
ISNUMBER(SEARCH("AIO",B484))
),
"GANCHO",
"NORMAL"
)
)</f>
        <v>COMPLEMENTO</v>
      </c>
    </row>
    <row r="483" spans="1:12" x14ac:dyDescent="0.25">
      <c r="A483" s="3" t="s">
        <v>1251</v>
      </c>
      <c r="B483" s="3" t="s">
        <v>248</v>
      </c>
      <c r="C483" s="1">
        <v>0</v>
      </c>
      <c r="D483" s="1">
        <v>999</v>
      </c>
      <c r="E483" s="1" t="s">
        <v>247</v>
      </c>
      <c r="F483" s="1" t="s">
        <v>3332</v>
      </c>
      <c r="G483" s="3"/>
      <c r="H483" s="11">
        <f>ROUND(
IF(L481="GANCHO",
   IF(I483&lt;=50,I483*1.1+4,IF(I483&lt;=120,I483*1.1+7,IF(I483&lt;=250,I483*1.1+11,I483*1.1+19))),
IF(L481="NORMAL",
   IF(I483&lt;=30,I483*1.15+2,IF(I483&lt;=80,I483*1.15+4,IF(I483&lt;=150,I483*1.15+6,I483*1.15+8))),
IF(L481="COMPLEMENTO",
   IF(I483&lt;=25,I483*1.25+1.5,IF(I483&lt;=60,I483*1.25+3,IF(I483&lt;=120,I483*1.25+4,I483*1.25+5))),
""))),2)</f>
        <v>5132.87</v>
      </c>
      <c r="I483" s="9">
        <f>($K$2+0.02)*Tabla1[[#This Row],[PRECIO $]]*1.18</f>
        <v>4102.2936</v>
      </c>
      <c r="J483" s="7">
        <f>+Tabla1[[#This Row],[PRECIO EN SOLES]]-Tabla1[[#This Row],[PC]]</f>
        <v>1030.5763999999999</v>
      </c>
      <c r="K483" s="15"/>
      <c r="L483" s="15" t="str">
        <f>IF(
OR(
ISNUMBER(SEARCH("BACKPACK",B485)),
ISNUMBER(SEARCH("MOCHILA",B485)),
ISNUMBER(SEARCH("FUNDA",B485)),
ISNUMBER(SEARCH("ESTUCHE",B485)),
ISNUMBER(SEARCH("BOOK COVER",B485)),
ISNUMBER(SEARCH("KEYBOARD PARA TABLET",B485)),
ISNUMBER(SEARCH("FLIP TABLET",B485)),
ISNUMBER(SEARCH("CASE FOR TABLET",B485)),
ISNUMBER(SEARCH("CABLE",B485)),
ISNUMBER(SEARCH("ADAPTADOR",B485)),
ISNUMBER(SEARCH("HUB",B485)),
ISNUMBER(SEARCH("DOCK",B485)),
ISNUMBER(SEARCH("MOUSE PAD",B485)),
ISNUMBER(SEARCH("MOUSEPAD",B485)),
ISNUMBER(SEARCH("SOPORTE",B485)),
ISNUMBER(SEARCH("STAND",B485)),
ISNUMBER(SEARCH("TRAVEL ADAPTER",B485)),
ISNUMBER(SEARCH("RJ45",B485)),
ISNUMBER(SEARCH("USB-C",B485)),
ISNUMBER(SEARCH("USB WIFI",B485)),
ISNUMBER(SEARCH("POWERBANK",B485)),
ISNUMBER(SEARCH("CARGADOR",B485)),
ISNUMBER(SEARCH("COOLER PARA NB",B485)),
ISNUMBER(SEARCH("SOPORTE PARA NB",B485)),
ISNUMBER(SEARCH("WEBCAM",B485)),
ISNUMBER(SEARCH("WEB CAM",B485)),
ISNUMBER(SEARCH("MOUSE",B485)),
ISNUMBER(SEARCH("TECLADO",B485))
),
"COMPLEMENTO",
IF(
OR(
LEFT(A485,2)="NB",
LEFT(A485,2)="PC",
LEFT(A485,2)="WS",
LEFT(A485,2)="TB",
LEFT(A485,3)="CEL",
LEFT(A485,3)="MON",
LEFT(A485,3)="PRE",
LEFT(A485,3)="PRH",
ISNUMBER(SEARCH("NOTEBOOK",B485)),
ISNUMBER(SEARCH("LAPTOP",B485)),
ISNUMBER(SEARCH("MONITOR",B485)),
ISNUMBER(SEARCH("TABLET",B485)),
ISNUMBER(SEARCH("SMARTPH",B485)),
ISNUMBER(SEARCH("IMPRESORA",B485)),
ISNUMBER(SEARCH("MULTIFUNCIONAL",B485)),
ISNUMBER(SEARCH("AIO",B485))
),
"GANCHO",
"NORMAL"
)
)</f>
        <v>COMPLEMENTO</v>
      </c>
    </row>
    <row r="484" spans="1:12" x14ac:dyDescent="0.25">
      <c r="A484" s="3" t="s">
        <v>720</v>
      </c>
      <c r="B484" s="3" t="s">
        <v>721</v>
      </c>
      <c r="C484" s="1">
        <v>20</v>
      </c>
      <c r="D484" s="1">
        <v>26.81</v>
      </c>
      <c r="E484" s="1" t="s">
        <v>247</v>
      </c>
      <c r="F484" s="1" t="s">
        <v>3333</v>
      </c>
      <c r="G484" s="3" t="s">
        <v>3038</v>
      </c>
      <c r="H484" s="11">
        <f>ROUND(
IF(L482="GANCHO",
   IF(I484&lt;=50,I484*1.1+4,IF(I484&lt;=120,I484*1.1+7,IF(I484&lt;=250,I484*1.1+11,I484*1.1+19))),
IF(L482="NORMAL",
   IF(I484&lt;=30,I484*1.15+2,IF(I484&lt;=80,I484*1.15+4,IF(I484&lt;=150,I484*1.15+6,I484*1.15+8))),
IF(L482="COMPLEMENTO",
   IF(I484&lt;=25,I484*1.25+1.5,IF(I484&lt;=60,I484*1.25+3,IF(I484&lt;=120,I484*1.25+4,I484*1.25+5))),
""))),2)</f>
        <v>141.62</v>
      </c>
      <c r="I484" s="9">
        <f>($K$2+0.02)*Tabla1[[#This Row],[PRECIO $]]*1.18</f>
        <v>110.09258399999999</v>
      </c>
      <c r="J484" s="7">
        <f>+Tabla1[[#This Row],[PRECIO EN SOLES]]-Tabla1[[#This Row],[PC]]</f>
        <v>31.527416000000017</v>
      </c>
      <c r="K484" s="15"/>
      <c r="L484" s="15" t="str">
        <f>IF(
OR(
ISNUMBER(SEARCH("BACKPACK",B486)),
ISNUMBER(SEARCH("MOCHILA",B486)),
ISNUMBER(SEARCH("FUNDA",B486)),
ISNUMBER(SEARCH("ESTUCHE",B486)),
ISNUMBER(SEARCH("BOOK COVER",B486)),
ISNUMBER(SEARCH("KEYBOARD PARA TABLET",B486)),
ISNUMBER(SEARCH("FLIP TABLET",B486)),
ISNUMBER(SEARCH("CASE FOR TABLET",B486)),
ISNUMBER(SEARCH("CABLE",B486)),
ISNUMBER(SEARCH("ADAPTADOR",B486)),
ISNUMBER(SEARCH("HUB",B486)),
ISNUMBER(SEARCH("DOCK",B486)),
ISNUMBER(SEARCH("MOUSE PAD",B486)),
ISNUMBER(SEARCH("MOUSEPAD",B486)),
ISNUMBER(SEARCH("SOPORTE",B486)),
ISNUMBER(SEARCH("STAND",B486)),
ISNUMBER(SEARCH("TRAVEL ADAPTER",B486)),
ISNUMBER(SEARCH("RJ45",B486)),
ISNUMBER(SEARCH("USB-C",B486)),
ISNUMBER(SEARCH("USB WIFI",B486)),
ISNUMBER(SEARCH("POWERBANK",B486)),
ISNUMBER(SEARCH("CARGADOR",B486)),
ISNUMBER(SEARCH("COOLER PARA NB",B486)),
ISNUMBER(SEARCH("SOPORTE PARA NB",B486)),
ISNUMBER(SEARCH("WEBCAM",B486)),
ISNUMBER(SEARCH("WEB CAM",B486)),
ISNUMBER(SEARCH("MOUSE",B486)),
ISNUMBER(SEARCH("TECLADO",B486))
),
"COMPLEMENTO",
IF(
OR(
LEFT(A486,2)="NB",
LEFT(A486,2)="PC",
LEFT(A486,2)="WS",
LEFT(A486,2)="TB",
LEFT(A486,3)="CEL",
LEFT(A486,3)="MON",
LEFT(A486,3)="PRE",
LEFT(A486,3)="PRH",
ISNUMBER(SEARCH("NOTEBOOK",B486)),
ISNUMBER(SEARCH("LAPTOP",B486)),
ISNUMBER(SEARCH("MONITOR",B486)),
ISNUMBER(SEARCH("TABLET",B486)),
ISNUMBER(SEARCH("SMARTPH",B486)),
ISNUMBER(SEARCH("IMPRESORA",B486)),
ISNUMBER(SEARCH("MULTIFUNCIONAL",B486)),
ISNUMBER(SEARCH("AIO",B486))
),
"GANCHO",
"NORMAL"
)
)</f>
        <v>COMPLEMENTO</v>
      </c>
    </row>
    <row r="485" spans="1:12" x14ac:dyDescent="0.25">
      <c r="A485" s="3" t="s">
        <v>722</v>
      </c>
      <c r="B485" s="3" t="s">
        <v>723</v>
      </c>
      <c r="C485" s="1">
        <v>20</v>
      </c>
      <c r="D485" s="1">
        <v>34.47</v>
      </c>
      <c r="E485" s="1" t="s">
        <v>247</v>
      </c>
      <c r="F485" s="1" t="s">
        <v>3334</v>
      </c>
      <c r="G485" s="3" t="s">
        <v>3039</v>
      </c>
      <c r="H485" s="11">
        <f>ROUND(
IF(L483="GANCHO",
   IF(I485&lt;=50,I485*1.1+4,IF(I485&lt;=120,I485*1.1+7,IF(I485&lt;=250,I485*1.1+11,I485*1.1+19))),
IF(L483="NORMAL",
   IF(I485&lt;=30,I485*1.15+2,IF(I485&lt;=80,I485*1.15+4,IF(I485&lt;=150,I485*1.15+6,I485*1.15+8))),
IF(L483="COMPLEMENTO",
   IF(I485&lt;=25,I485*1.25+1.5,IF(I485&lt;=60,I485*1.25+3,IF(I485&lt;=120,I485*1.25+4,I485*1.25+5))),
""))),2)</f>
        <v>181.93</v>
      </c>
      <c r="I485" s="9">
        <f>($K$2+0.02)*Tabla1[[#This Row],[PRECIO $]]*1.18</f>
        <v>141.54760799999997</v>
      </c>
      <c r="J485" s="7">
        <f>+Tabla1[[#This Row],[PRECIO EN SOLES]]-Tabla1[[#This Row],[PC]]</f>
        <v>40.382392000000038</v>
      </c>
      <c r="K485" s="15"/>
      <c r="L485" s="15" t="str">
        <f>IF(
OR(
ISNUMBER(SEARCH("BACKPACK",B487)),
ISNUMBER(SEARCH("MOCHILA",B487)),
ISNUMBER(SEARCH("FUNDA",B487)),
ISNUMBER(SEARCH("ESTUCHE",B487)),
ISNUMBER(SEARCH("BOOK COVER",B487)),
ISNUMBER(SEARCH("KEYBOARD PARA TABLET",B487)),
ISNUMBER(SEARCH("FLIP TABLET",B487)),
ISNUMBER(SEARCH("CASE FOR TABLET",B487)),
ISNUMBER(SEARCH("CABLE",B487)),
ISNUMBER(SEARCH("ADAPTADOR",B487)),
ISNUMBER(SEARCH("HUB",B487)),
ISNUMBER(SEARCH("DOCK",B487)),
ISNUMBER(SEARCH("MOUSE PAD",B487)),
ISNUMBER(SEARCH("MOUSEPAD",B487)),
ISNUMBER(SEARCH("SOPORTE",B487)),
ISNUMBER(SEARCH("STAND",B487)),
ISNUMBER(SEARCH("TRAVEL ADAPTER",B487)),
ISNUMBER(SEARCH("RJ45",B487)),
ISNUMBER(SEARCH("USB-C",B487)),
ISNUMBER(SEARCH("USB WIFI",B487)),
ISNUMBER(SEARCH("POWERBANK",B487)),
ISNUMBER(SEARCH("CARGADOR",B487)),
ISNUMBER(SEARCH("COOLER PARA NB",B487)),
ISNUMBER(SEARCH("SOPORTE PARA NB",B487)),
ISNUMBER(SEARCH("WEBCAM",B487)),
ISNUMBER(SEARCH("WEB CAM",B487)),
ISNUMBER(SEARCH("MOUSE",B487)),
ISNUMBER(SEARCH("TECLADO",B487))
),
"COMPLEMENTO",
IF(
OR(
LEFT(A487,2)="NB",
LEFT(A487,2)="PC",
LEFT(A487,2)="WS",
LEFT(A487,2)="TB",
LEFT(A487,3)="CEL",
LEFT(A487,3)="MON",
LEFT(A487,3)="PRE",
LEFT(A487,3)="PRH",
ISNUMBER(SEARCH("NOTEBOOK",B487)),
ISNUMBER(SEARCH("LAPTOP",B487)),
ISNUMBER(SEARCH("MONITOR",B487)),
ISNUMBER(SEARCH("TABLET",B487)),
ISNUMBER(SEARCH("SMARTPH",B487)),
ISNUMBER(SEARCH("IMPRESORA",B487)),
ISNUMBER(SEARCH("MULTIFUNCIONAL",B487)),
ISNUMBER(SEARCH("AIO",B487))
),
"GANCHO",
"NORMAL"
)
)</f>
        <v>NORMAL</v>
      </c>
    </row>
    <row r="486" spans="1:12" x14ac:dyDescent="0.25">
      <c r="A486" s="3" t="s">
        <v>724</v>
      </c>
      <c r="B486" s="3" t="s">
        <v>725</v>
      </c>
      <c r="C486" s="1">
        <v>20</v>
      </c>
      <c r="D486" s="1">
        <v>48.52</v>
      </c>
      <c r="E486" s="1" t="s">
        <v>247</v>
      </c>
      <c r="F486" s="1" t="s">
        <v>3335</v>
      </c>
      <c r="G486" s="3" t="s">
        <v>3040</v>
      </c>
      <c r="H486" s="11">
        <f>ROUND(
IF(L484="GANCHO",
   IF(I486&lt;=50,I486*1.1+4,IF(I486&lt;=120,I486*1.1+7,IF(I486&lt;=250,I486*1.1+11,I486*1.1+19))),
IF(L484="NORMAL",
   IF(I486&lt;=30,I486*1.15+2,IF(I486&lt;=80,I486*1.15+4,IF(I486&lt;=150,I486*1.15+6,I486*1.15+8))),
IF(L484="COMPLEMENTO",
   IF(I486&lt;=25,I486*1.25+1.5,IF(I486&lt;=60,I486*1.25+3,IF(I486&lt;=120,I486*1.25+4,I486*1.25+5))),
""))),2)</f>
        <v>254.05</v>
      </c>
      <c r="I486" s="9">
        <f>($K$2+0.02)*Tabla1[[#This Row],[PRECIO $]]*1.18</f>
        <v>199.24252799999999</v>
      </c>
      <c r="J486" s="7">
        <f>+Tabla1[[#This Row],[PRECIO EN SOLES]]-Tabla1[[#This Row],[PC]]</f>
        <v>54.807472000000018</v>
      </c>
      <c r="K486" s="15"/>
      <c r="L486" s="15" t="str">
        <f>IF(
OR(
ISNUMBER(SEARCH("BACKPACK",B488)),
ISNUMBER(SEARCH("MOCHILA",B488)),
ISNUMBER(SEARCH("FUNDA",B488)),
ISNUMBER(SEARCH("ESTUCHE",B488)),
ISNUMBER(SEARCH("BOOK COVER",B488)),
ISNUMBER(SEARCH("KEYBOARD PARA TABLET",B488)),
ISNUMBER(SEARCH("FLIP TABLET",B488)),
ISNUMBER(SEARCH("CASE FOR TABLET",B488)),
ISNUMBER(SEARCH("CABLE",B488)),
ISNUMBER(SEARCH("ADAPTADOR",B488)),
ISNUMBER(SEARCH("HUB",B488)),
ISNUMBER(SEARCH("DOCK",B488)),
ISNUMBER(SEARCH("MOUSE PAD",B488)),
ISNUMBER(SEARCH("MOUSEPAD",B488)),
ISNUMBER(SEARCH("SOPORTE",B488)),
ISNUMBER(SEARCH("STAND",B488)),
ISNUMBER(SEARCH("TRAVEL ADAPTER",B488)),
ISNUMBER(SEARCH("RJ45",B488)),
ISNUMBER(SEARCH("USB-C",B488)),
ISNUMBER(SEARCH("USB WIFI",B488)),
ISNUMBER(SEARCH("POWERBANK",B488)),
ISNUMBER(SEARCH("CARGADOR",B488)),
ISNUMBER(SEARCH("COOLER PARA NB",B488)),
ISNUMBER(SEARCH("SOPORTE PARA NB",B488)),
ISNUMBER(SEARCH("WEBCAM",B488)),
ISNUMBER(SEARCH("WEB CAM",B488)),
ISNUMBER(SEARCH("MOUSE",B488)),
ISNUMBER(SEARCH("TECLADO",B488))
),
"COMPLEMENTO",
IF(
OR(
LEFT(A488,2)="NB",
LEFT(A488,2)="PC",
LEFT(A488,2)="WS",
LEFT(A488,2)="TB",
LEFT(A488,3)="CEL",
LEFT(A488,3)="MON",
LEFT(A488,3)="PRE",
LEFT(A488,3)="PRH",
ISNUMBER(SEARCH("NOTEBOOK",B488)),
ISNUMBER(SEARCH("LAPTOP",B488)),
ISNUMBER(SEARCH("MONITOR",B488)),
ISNUMBER(SEARCH("TABLET",B488)),
ISNUMBER(SEARCH("SMARTPH",B488)),
ISNUMBER(SEARCH("IMPRESORA",B488)),
ISNUMBER(SEARCH("MULTIFUNCIONAL",B488)),
ISNUMBER(SEARCH("AIO",B488))
),
"GANCHO",
"NORMAL"
)
)</f>
        <v>NORMAL</v>
      </c>
    </row>
    <row r="487" spans="1:12" x14ac:dyDescent="0.25">
      <c r="A487" s="3" t="s">
        <v>726</v>
      </c>
      <c r="B487" s="3" t="s">
        <v>727</v>
      </c>
      <c r="C487" s="1">
        <v>20</v>
      </c>
      <c r="D487" s="1">
        <v>26.81</v>
      </c>
      <c r="E487" s="1" t="s">
        <v>247</v>
      </c>
      <c r="F487" s="1" t="s">
        <v>3336</v>
      </c>
      <c r="G487" s="3" t="s">
        <v>3041</v>
      </c>
      <c r="H487" s="11">
        <f>ROUND(
IF(L485="GANCHO",
   IF(I487&lt;=50,I487*1.1+4,IF(I487&lt;=120,I487*1.1+7,IF(I487&lt;=250,I487*1.1+11,I487*1.1+19))),
IF(L485="NORMAL",
   IF(I487&lt;=30,I487*1.15+2,IF(I487&lt;=80,I487*1.15+4,IF(I487&lt;=150,I487*1.15+6,I487*1.15+8))),
IF(L485="COMPLEMENTO",
   IF(I487&lt;=25,I487*1.25+1.5,IF(I487&lt;=60,I487*1.25+3,IF(I487&lt;=120,I487*1.25+4,I487*1.25+5))),
""))),2)</f>
        <v>132.61000000000001</v>
      </c>
      <c r="I487" s="9">
        <f>($K$2+0.02)*Tabla1[[#This Row],[PRECIO $]]*1.18</f>
        <v>110.09258399999999</v>
      </c>
      <c r="J487" s="7">
        <f>+Tabla1[[#This Row],[PRECIO EN SOLES]]-Tabla1[[#This Row],[PC]]</f>
        <v>22.517416000000026</v>
      </c>
      <c r="K487" s="15"/>
      <c r="L487" s="15" t="str">
        <f>IF(
OR(
ISNUMBER(SEARCH("BACKPACK",B489)),
ISNUMBER(SEARCH("MOCHILA",B489)),
ISNUMBER(SEARCH("FUNDA",B489)),
ISNUMBER(SEARCH("ESTUCHE",B489)),
ISNUMBER(SEARCH("BOOK COVER",B489)),
ISNUMBER(SEARCH("KEYBOARD PARA TABLET",B489)),
ISNUMBER(SEARCH("FLIP TABLET",B489)),
ISNUMBER(SEARCH("CASE FOR TABLET",B489)),
ISNUMBER(SEARCH("CABLE",B489)),
ISNUMBER(SEARCH("ADAPTADOR",B489)),
ISNUMBER(SEARCH("HUB",B489)),
ISNUMBER(SEARCH("DOCK",B489)),
ISNUMBER(SEARCH("MOUSE PAD",B489)),
ISNUMBER(SEARCH("MOUSEPAD",B489)),
ISNUMBER(SEARCH("SOPORTE",B489)),
ISNUMBER(SEARCH("STAND",B489)),
ISNUMBER(SEARCH("TRAVEL ADAPTER",B489)),
ISNUMBER(SEARCH("RJ45",B489)),
ISNUMBER(SEARCH("USB-C",B489)),
ISNUMBER(SEARCH("USB WIFI",B489)),
ISNUMBER(SEARCH("POWERBANK",B489)),
ISNUMBER(SEARCH("CARGADOR",B489)),
ISNUMBER(SEARCH("COOLER PARA NB",B489)),
ISNUMBER(SEARCH("SOPORTE PARA NB",B489)),
ISNUMBER(SEARCH("WEBCAM",B489)),
ISNUMBER(SEARCH("WEB CAM",B489)),
ISNUMBER(SEARCH("MOUSE",B489)),
ISNUMBER(SEARCH("TECLADO",B489))
),
"COMPLEMENTO",
IF(
OR(
LEFT(A489,2)="NB",
LEFT(A489,2)="PC",
LEFT(A489,2)="WS",
LEFT(A489,2)="TB",
LEFT(A489,3)="CEL",
LEFT(A489,3)="MON",
LEFT(A489,3)="PRE",
LEFT(A489,3)="PRH",
ISNUMBER(SEARCH("NOTEBOOK",B489)),
ISNUMBER(SEARCH("LAPTOP",B489)),
ISNUMBER(SEARCH("MONITOR",B489)),
ISNUMBER(SEARCH("TABLET",B489)),
ISNUMBER(SEARCH("SMARTPH",B489)),
ISNUMBER(SEARCH("IMPRESORA",B489)),
ISNUMBER(SEARCH("MULTIFUNCIONAL",B489)),
ISNUMBER(SEARCH("AIO",B489))
),
"GANCHO",
"NORMAL"
)
)</f>
        <v>NORMAL</v>
      </c>
    </row>
    <row r="488" spans="1:12" x14ac:dyDescent="0.25">
      <c r="A488" s="3" t="s">
        <v>728</v>
      </c>
      <c r="B488" s="3" t="s">
        <v>729</v>
      </c>
      <c r="C488" s="1">
        <v>20</v>
      </c>
      <c r="D488" s="1">
        <v>34.47</v>
      </c>
      <c r="E488" s="1" t="s">
        <v>247</v>
      </c>
      <c r="F488" s="1" t="s">
        <v>3337</v>
      </c>
      <c r="G488" s="3" t="s">
        <v>3042</v>
      </c>
      <c r="H488" s="11">
        <f>ROUND(
IF(L486="GANCHO",
   IF(I488&lt;=50,I488*1.1+4,IF(I488&lt;=120,I488*1.1+7,IF(I488&lt;=250,I488*1.1+11,I488*1.1+19))),
IF(L486="NORMAL",
   IF(I488&lt;=30,I488*1.15+2,IF(I488&lt;=80,I488*1.15+4,IF(I488&lt;=150,I488*1.15+6,I488*1.15+8))),
IF(L486="COMPLEMENTO",
   IF(I488&lt;=25,I488*1.25+1.5,IF(I488&lt;=60,I488*1.25+3,IF(I488&lt;=120,I488*1.25+4,I488*1.25+5))),
""))),2)</f>
        <v>168.78</v>
      </c>
      <c r="I488" s="9">
        <f>($K$2+0.02)*Tabla1[[#This Row],[PRECIO $]]*1.18</f>
        <v>141.54760799999997</v>
      </c>
      <c r="J488" s="7">
        <f>+Tabla1[[#This Row],[PRECIO EN SOLES]]-Tabla1[[#This Row],[PC]]</f>
        <v>27.232392000000033</v>
      </c>
      <c r="K488" s="15"/>
      <c r="L488" s="15" t="str">
        <f>IF(
OR(
ISNUMBER(SEARCH("BACKPACK",B490)),
ISNUMBER(SEARCH("MOCHILA",B490)),
ISNUMBER(SEARCH("FUNDA",B490)),
ISNUMBER(SEARCH("ESTUCHE",B490)),
ISNUMBER(SEARCH("BOOK COVER",B490)),
ISNUMBER(SEARCH("KEYBOARD PARA TABLET",B490)),
ISNUMBER(SEARCH("FLIP TABLET",B490)),
ISNUMBER(SEARCH("CASE FOR TABLET",B490)),
ISNUMBER(SEARCH("CABLE",B490)),
ISNUMBER(SEARCH("ADAPTADOR",B490)),
ISNUMBER(SEARCH("HUB",B490)),
ISNUMBER(SEARCH("DOCK",B490)),
ISNUMBER(SEARCH("MOUSE PAD",B490)),
ISNUMBER(SEARCH("MOUSEPAD",B490)),
ISNUMBER(SEARCH("SOPORTE",B490)),
ISNUMBER(SEARCH("STAND",B490)),
ISNUMBER(SEARCH("TRAVEL ADAPTER",B490)),
ISNUMBER(SEARCH("RJ45",B490)),
ISNUMBER(SEARCH("USB-C",B490)),
ISNUMBER(SEARCH("USB WIFI",B490)),
ISNUMBER(SEARCH("POWERBANK",B490)),
ISNUMBER(SEARCH("CARGADOR",B490)),
ISNUMBER(SEARCH("COOLER PARA NB",B490)),
ISNUMBER(SEARCH("SOPORTE PARA NB",B490)),
ISNUMBER(SEARCH("WEBCAM",B490)),
ISNUMBER(SEARCH("WEB CAM",B490)),
ISNUMBER(SEARCH("MOUSE",B490)),
ISNUMBER(SEARCH("TECLADO",B490))
),
"COMPLEMENTO",
IF(
OR(
LEFT(A490,2)="NB",
LEFT(A490,2)="PC",
LEFT(A490,2)="WS",
LEFT(A490,2)="TB",
LEFT(A490,3)="CEL",
LEFT(A490,3)="MON",
LEFT(A490,3)="PRE",
LEFT(A490,3)="PRH",
ISNUMBER(SEARCH("NOTEBOOK",B490)),
ISNUMBER(SEARCH("LAPTOP",B490)),
ISNUMBER(SEARCH("MONITOR",B490)),
ISNUMBER(SEARCH("TABLET",B490)),
ISNUMBER(SEARCH("SMARTPH",B490)),
ISNUMBER(SEARCH("IMPRESORA",B490)),
ISNUMBER(SEARCH("MULTIFUNCIONAL",B490)),
ISNUMBER(SEARCH("AIO",B490))
),
"GANCHO",
"NORMAL"
)
)</f>
        <v>NORMAL</v>
      </c>
    </row>
    <row r="489" spans="1:12" x14ac:dyDescent="0.25">
      <c r="A489" s="3" t="s">
        <v>730</v>
      </c>
      <c r="B489" s="3" t="s">
        <v>731</v>
      </c>
      <c r="C489" s="1">
        <v>20</v>
      </c>
      <c r="D489" s="1">
        <v>42.14</v>
      </c>
      <c r="E489" s="1" t="s">
        <v>247</v>
      </c>
      <c r="F489" s="1" t="s">
        <v>3338</v>
      </c>
      <c r="G489" s="3" t="s">
        <v>3043</v>
      </c>
      <c r="H489" s="11">
        <f>ROUND(
IF(L487="GANCHO",
   IF(I489&lt;=50,I489*1.1+4,IF(I489&lt;=120,I489*1.1+7,IF(I489&lt;=250,I489*1.1+11,I489*1.1+19))),
IF(L487="NORMAL",
   IF(I489&lt;=30,I489*1.15+2,IF(I489&lt;=80,I489*1.15+4,IF(I489&lt;=150,I489*1.15+6,I489*1.15+8))),
IF(L487="COMPLEMENTO",
   IF(I489&lt;=25,I489*1.25+1.5,IF(I489&lt;=60,I489*1.25+3,IF(I489&lt;=120,I489*1.25+4,I489*1.25+5))),
""))),2)</f>
        <v>207</v>
      </c>
      <c r="I489" s="9">
        <f>($K$2+0.02)*Tabla1[[#This Row],[PRECIO $]]*1.18</f>
        <v>173.04369599999998</v>
      </c>
      <c r="J489" s="7">
        <f>+Tabla1[[#This Row],[PRECIO EN SOLES]]-Tabla1[[#This Row],[PC]]</f>
        <v>33.956304000000017</v>
      </c>
      <c r="K489" s="15"/>
      <c r="L489" s="15" t="str">
        <f>IF(
OR(
ISNUMBER(SEARCH("BACKPACK",B491)),
ISNUMBER(SEARCH("MOCHILA",B491)),
ISNUMBER(SEARCH("FUNDA",B491)),
ISNUMBER(SEARCH("ESTUCHE",B491)),
ISNUMBER(SEARCH("BOOK COVER",B491)),
ISNUMBER(SEARCH("KEYBOARD PARA TABLET",B491)),
ISNUMBER(SEARCH("FLIP TABLET",B491)),
ISNUMBER(SEARCH("CASE FOR TABLET",B491)),
ISNUMBER(SEARCH("CABLE",B491)),
ISNUMBER(SEARCH("ADAPTADOR",B491)),
ISNUMBER(SEARCH("HUB",B491)),
ISNUMBER(SEARCH("DOCK",B491)),
ISNUMBER(SEARCH("MOUSE PAD",B491)),
ISNUMBER(SEARCH("MOUSEPAD",B491)),
ISNUMBER(SEARCH("SOPORTE",B491)),
ISNUMBER(SEARCH("STAND",B491)),
ISNUMBER(SEARCH("TRAVEL ADAPTER",B491)),
ISNUMBER(SEARCH("RJ45",B491)),
ISNUMBER(SEARCH("USB-C",B491)),
ISNUMBER(SEARCH("USB WIFI",B491)),
ISNUMBER(SEARCH("POWERBANK",B491)),
ISNUMBER(SEARCH("CARGADOR",B491)),
ISNUMBER(SEARCH("COOLER PARA NB",B491)),
ISNUMBER(SEARCH("SOPORTE PARA NB",B491)),
ISNUMBER(SEARCH("WEBCAM",B491)),
ISNUMBER(SEARCH("WEB CAM",B491)),
ISNUMBER(SEARCH("MOUSE",B491)),
ISNUMBER(SEARCH("TECLADO",B491))
),
"COMPLEMENTO",
IF(
OR(
LEFT(A491,2)="NB",
LEFT(A491,2)="PC",
LEFT(A491,2)="WS",
LEFT(A491,2)="TB",
LEFT(A491,3)="CEL",
LEFT(A491,3)="MON",
LEFT(A491,3)="PRE",
LEFT(A491,3)="PRH",
ISNUMBER(SEARCH("NOTEBOOK",B491)),
ISNUMBER(SEARCH("LAPTOP",B491)),
ISNUMBER(SEARCH("MONITOR",B491)),
ISNUMBER(SEARCH("TABLET",B491)),
ISNUMBER(SEARCH("SMARTPH",B491)),
ISNUMBER(SEARCH("IMPRESORA",B491)),
ISNUMBER(SEARCH("MULTIFUNCIONAL",B491)),
ISNUMBER(SEARCH("AIO",B491))
),
"GANCHO",
"NORMAL"
)
)</f>
        <v>NORMAL</v>
      </c>
    </row>
    <row r="490" spans="1:12" x14ac:dyDescent="0.25">
      <c r="A490" s="3" t="s">
        <v>732</v>
      </c>
      <c r="B490" s="3" t="s">
        <v>733</v>
      </c>
      <c r="C490" s="1">
        <v>20</v>
      </c>
      <c r="D490" s="1">
        <v>54.9</v>
      </c>
      <c r="E490" s="1" t="s">
        <v>247</v>
      </c>
      <c r="F490" s="1" t="s">
        <v>3339</v>
      </c>
      <c r="G490" s="3" t="s">
        <v>3044</v>
      </c>
      <c r="H490" s="11">
        <f>ROUND(
IF(L488="GANCHO",
   IF(I490&lt;=50,I490*1.1+4,IF(I490&lt;=120,I490*1.1+7,IF(I490&lt;=250,I490*1.1+11,I490*1.1+19))),
IF(L488="NORMAL",
   IF(I490&lt;=30,I490*1.15+2,IF(I490&lt;=80,I490*1.15+4,IF(I490&lt;=150,I490*1.15+6,I490*1.15+8))),
IF(L488="COMPLEMENTO",
   IF(I490&lt;=25,I490*1.25+1.5,IF(I490&lt;=60,I490*1.25+3,IF(I490&lt;=120,I490*1.25+4,I490*1.25+5))),
""))),2)</f>
        <v>267.26</v>
      </c>
      <c r="I490" s="9">
        <f>($K$2+0.02)*Tabla1[[#This Row],[PRECIO $]]*1.18</f>
        <v>225.44135999999997</v>
      </c>
      <c r="J490" s="7">
        <f>+Tabla1[[#This Row],[PRECIO EN SOLES]]-Tabla1[[#This Row],[PC]]</f>
        <v>41.818640000000016</v>
      </c>
      <c r="K490" s="15"/>
      <c r="L490" s="15" t="str">
        <f>IF(
OR(
ISNUMBER(SEARCH("BACKPACK",B492)),
ISNUMBER(SEARCH("MOCHILA",B492)),
ISNUMBER(SEARCH("FUNDA",B492)),
ISNUMBER(SEARCH("ESTUCHE",B492)),
ISNUMBER(SEARCH("BOOK COVER",B492)),
ISNUMBER(SEARCH("KEYBOARD PARA TABLET",B492)),
ISNUMBER(SEARCH("FLIP TABLET",B492)),
ISNUMBER(SEARCH("CASE FOR TABLET",B492)),
ISNUMBER(SEARCH("CABLE",B492)),
ISNUMBER(SEARCH("ADAPTADOR",B492)),
ISNUMBER(SEARCH("HUB",B492)),
ISNUMBER(SEARCH("DOCK",B492)),
ISNUMBER(SEARCH("MOUSE PAD",B492)),
ISNUMBER(SEARCH("MOUSEPAD",B492)),
ISNUMBER(SEARCH("SOPORTE",B492)),
ISNUMBER(SEARCH("STAND",B492)),
ISNUMBER(SEARCH("TRAVEL ADAPTER",B492)),
ISNUMBER(SEARCH("RJ45",B492)),
ISNUMBER(SEARCH("USB-C",B492)),
ISNUMBER(SEARCH("USB WIFI",B492)),
ISNUMBER(SEARCH("POWERBANK",B492)),
ISNUMBER(SEARCH("CARGADOR",B492)),
ISNUMBER(SEARCH("COOLER PARA NB",B492)),
ISNUMBER(SEARCH("SOPORTE PARA NB",B492)),
ISNUMBER(SEARCH("WEBCAM",B492)),
ISNUMBER(SEARCH("WEB CAM",B492)),
ISNUMBER(SEARCH("MOUSE",B492)),
ISNUMBER(SEARCH("TECLADO",B492))
),
"COMPLEMENTO",
IF(
OR(
LEFT(A492,2)="NB",
LEFT(A492,2)="PC",
LEFT(A492,2)="WS",
LEFT(A492,2)="TB",
LEFT(A492,3)="CEL",
LEFT(A492,3)="MON",
LEFT(A492,3)="PRE",
LEFT(A492,3)="PRH",
ISNUMBER(SEARCH("NOTEBOOK",B492)),
ISNUMBER(SEARCH("LAPTOP",B492)),
ISNUMBER(SEARCH("MONITOR",B492)),
ISNUMBER(SEARCH("TABLET",B492)),
ISNUMBER(SEARCH("SMARTPH",B492)),
ISNUMBER(SEARCH("IMPRESORA",B492)),
ISNUMBER(SEARCH("MULTIFUNCIONAL",B492)),
ISNUMBER(SEARCH("AIO",B492))
),
"GANCHO",
"NORMAL"
)
)</f>
        <v>NORMAL</v>
      </c>
    </row>
    <row r="491" spans="1:12" x14ac:dyDescent="0.25">
      <c r="A491" s="3" t="s">
        <v>734</v>
      </c>
      <c r="B491" s="3" t="s">
        <v>735</v>
      </c>
      <c r="C491" s="1">
        <v>20</v>
      </c>
      <c r="D491" s="1">
        <v>38.31</v>
      </c>
      <c r="E491" s="1" t="s">
        <v>247</v>
      </c>
      <c r="F491" s="1" t="s">
        <v>3340</v>
      </c>
      <c r="G491" s="3" t="s">
        <v>3045</v>
      </c>
      <c r="H491" s="11">
        <f>ROUND(
IF(L489="GANCHO",
   IF(I491&lt;=50,I491*1.1+4,IF(I491&lt;=120,I491*1.1+7,IF(I491&lt;=250,I491*1.1+11,I491*1.1+19))),
IF(L489="NORMAL",
   IF(I491&lt;=30,I491*1.15+2,IF(I491&lt;=80,I491*1.15+4,IF(I491&lt;=150,I491*1.15+6,I491*1.15+8))),
IF(L489="COMPLEMENTO",
   IF(I491&lt;=25,I491*1.25+1.5,IF(I491&lt;=60,I491*1.25+3,IF(I491&lt;=120,I491*1.25+4,I491*1.25+5))),
""))),2)</f>
        <v>188.91</v>
      </c>
      <c r="I491" s="9">
        <f>($K$2+0.02)*Tabla1[[#This Row],[PRECIO $]]*1.18</f>
        <v>157.31618399999999</v>
      </c>
      <c r="J491" s="7">
        <f>+Tabla1[[#This Row],[PRECIO EN SOLES]]-Tabla1[[#This Row],[PC]]</f>
        <v>31.593816000000004</v>
      </c>
      <c r="K491" s="15"/>
      <c r="L491" s="15" t="str">
        <f>IF(
OR(
ISNUMBER(SEARCH("BACKPACK",B493)),
ISNUMBER(SEARCH("MOCHILA",B493)),
ISNUMBER(SEARCH("FUNDA",B493)),
ISNUMBER(SEARCH("ESTUCHE",B493)),
ISNUMBER(SEARCH("BOOK COVER",B493)),
ISNUMBER(SEARCH("KEYBOARD PARA TABLET",B493)),
ISNUMBER(SEARCH("FLIP TABLET",B493)),
ISNUMBER(SEARCH("CASE FOR TABLET",B493)),
ISNUMBER(SEARCH("CABLE",B493)),
ISNUMBER(SEARCH("ADAPTADOR",B493)),
ISNUMBER(SEARCH("HUB",B493)),
ISNUMBER(SEARCH("DOCK",B493)),
ISNUMBER(SEARCH("MOUSE PAD",B493)),
ISNUMBER(SEARCH("MOUSEPAD",B493)),
ISNUMBER(SEARCH("SOPORTE",B493)),
ISNUMBER(SEARCH("STAND",B493)),
ISNUMBER(SEARCH("TRAVEL ADAPTER",B493)),
ISNUMBER(SEARCH("RJ45",B493)),
ISNUMBER(SEARCH("USB-C",B493)),
ISNUMBER(SEARCH("USB WIFI",B493)),
ISNUMBER(SEARCH("POWERBANK",B493)),
ISNUMBER(SEARCH("CARGADOR",B493)),
ISNUMBER(SEARCH("COOLER PARA NB",B493)),
ISNUMBER(SEARCH("SOPORTE PARA NB",B493)),
ISNUMBER(SEARCH("WEBCAM",B493)),
ISNUMBER(SEARCH("WEB CAM",B493)),
ISNUMBER(SEARCH("MOUSE",B493)),
ISNUMBER(SEARCH("TECLADO",B493))
),
"COMPLEMENTO",
IF(
OR(
LEFT(A493,2)="NB",
LEFT(A493,2)="PC",
LEFT(A493,2)="WS",
LEFT(A493,2)="TB",
LEFT(A493,3)="CEL",
LEFT(A493,3)="MON",
LEFT(A493,3)="PRE",
LEFT(A493,3)="PRH",
ISNUMBER(SEARCH("NOTEBOOK",B493)),
ISNUMBER(SEARCH("LAPTOP",B493)),
ISNUMBER(SEARCH("MONITOR",B493)),
ISNUMBER(SEARCH("TABLET",B493)),
ISNUMBER(SEARCH("SMARTPH",B493)),
ISNUMBER(SEARCH("IMPRESORA",B493)),
ISNUMBER(SEARCH("MULTIFUNCIONAL",B493)),
ISNUMBER(SEARCH("AIO",B493))
),
"GANCHO",
"NORMAL"
)
)</f>
        <v>NORMAL</v>
      </c>
    </row>
    <row r="492" spans="1:12" x14ac:dyDescent="0.25">
      <c r="A492" s="3" t="s">
        <v>736</v>
      </c>
      <c r="B492" s="3" t="s">
        <v>737</v>
      </c>
      <c r="C492" s="1">
        <v>20</v>
      </c>
      <c r="D492" s="1">
        <v>54</v>
      </c>
      <c r="E492" s="1" t="s">
        <v>247</v>
      </c>
      <c r="F492" s="1" t="s">
        <v>3341</v>
      </c>
      <c r="G492" s="3" t="s">
        <v>3046</v>
      </c>
      <c r="H492" s="11">
        <f>ROUND(
IF(L490="GANCHO",
   IF(I492&lt;=50,I492*1.1+4,IF(I492&lt;=120,I492*1.1+7,IF(I492&lt;=250,I492*1.1+11,I492*1.1+19))),
IF(L490="NORMAL",
   IF(I492&lt;=30,I492*1.15+2,IF(I492&lt;=80,I492*1.15+4,IF(I492&lt;=150,I492*1.15+6,I492*1.15+8))),
IF(L490="COMPLEMENTO",
   IF(I492&lt;=25,I492*1.25+1.5,IF(I492&lt;=60,I492*1.25+3,IF(I492&lt;=120,I492*1.25+4,I492*1.25+5))),
""))),2)</f>
        <v>263.01</v>
      </c>
      <c r="I492" s="9">
        <f>($K$2+0.02)*Tabla1[[#This Row],[PRECIO $]]*1.18</f>
        <v>221.74559999999997</v>
      </c>
      <c r="J492" s="7">
        <f>+Tabla1[[#This Row],[PRECIO EN SOLES]]-Tabla1[[#This Row],[PC]]</f>
        <v>41.264400000000023</v>
      </c>
      <c r="K492" s="15"/>
      <c r="L492" s="15" t="str">
        <f>IF(
OR(
ISNUMBER(SEARCH("BACKPACK",B494)),
ISNUMBER(SEARCH("MOCHILA",B494)),
ISNUMBER(SEARCH("FUNDA",B494)),
ISNUMBER(SEARCH("ESTUCHE",B494)),
ISNUMBER(SEARCH("BOOK COVER",B494)),
ISNUMBER(SEARCH("KEYBOARD PARA TABLET",B494)),
ISNUMBER(SEARCH("FLIP TABLET",B494)),
ISNUMBER(SEARCH("CASE FOR TABLET",B494)),
ISNUMBER(SEARCH("CABLE",B494)),
ISNUMBER(SEARCH("ADAPTADOR",B494)),
ISNUMBER(SEARCH("HUB",B494)),
ISNUMBER(SEARCH("DOCK",B494)),
ISNUMBER(SEARCH("MOUSE PAD",B494)),
ISNUMBER(SEARCH("MOUSEPAD",B494)),
ISNUMBER(SEARCH("SOPORTE",B494)),
ISNUMBER(SEARCH("STAND",B494)),
ISNUMBER(SEARCH("TRAVEL ADAPTER",B494)),
ISNUMBER(SEARCH("RJ45",B494)),
ISNUMBER(SEARCH("USB-C",B494)),
ISNUMBER(SEARCH("USB WIFI",B494)),
ISNUMBER(SEARCH("POWERBANK",B494)),
ISNUMBER(SEARCH("CARGADOR",B494)),
ISNUMBER(SEARCH("COOLER PARA NB",B494)),
ISNUMBER(SEARCH("SOPORTE PARA NB",B494)),
ISNUMBER(SEARCH("WEBCAM",B494)),
ISNUMBER(SEARCH("WEB CAM",B494)),
ISNUMBER(SEARCH("MOUSE",B494)),
ISNUMBER(SEARCH("TECLADO",B494))
),
"COMPLEMENTO",
IF(
OR(
LEFT(A494,2)="NB",
LEFT(A494,2)="PC",
LEFT(A494,2)="WS",
LEFT(A494,2)="TB",
LEFT(A494,3)="CEL",
LEFT(A494,3)="MON",
LEFT(A494,3)="PRE",
LEFT(A494,3)="PRH",
ISNUMBER(SEARCH("NOTEBOOK",B494)),
ISNUMBER(SEARCH("LAPTOP",B494)),
ISNUMBER(SEARCH("MONITOR",B494)),
ISNUMBER(SEARCH("TABLET",B494)),
ISNUMBER(SEARCH("SMARTPH",B494)),
ISNUMBER(SEARCH("IMPRESORA",B494)),
ISNUMBER(SEARCH("MULTIFUNCIONAL",B494)),
ISNUMBER(SEARCH("AIO",B494))
),
"GANCHO",
"NORMAL"
)
)</f>
        <v>NORMAL</v>
      </c>
    </row>
    <row r="493" spans="1:12" x14ac:dyDescent="0.25">
      <c r="A493" s="3" t="s">
        <v>738</v>
      </c>
      <c r="B493" s="3" t="s">
        <v>739</v>
      </c>
      <c r="C493" s="1">
        <v>20</v>
      </c>
      <c r="D493" s="1">
        <v>18.829999999999998</v>
      </c>
      <c r="E493" s="1" t="s">
        <v>247</v>
      </c>
      <c r="F493" s="1" t="s">
        <v>3342</v>
      </c>
      <c r="G493" s="3"/>
      <c r="H493" s="11">
        <f>ROUND(
IF(L491="GANCHO",
   IF(I493&lt;=50,I493*1.1+4,IF(I493&lt;=120,I493*1.1+7,IF(I493&lt;=250,I493*1.1+11,I493*1.1+19))),
IF(L491="NORMAL",
   IF(I493&lt;=30,I493*1.15+2,IF(I493&lt;=80,I493*1.15+4,IF(I493&lt;=150,I493*1.15+6,I493*1.15+8))),
IF(L491="COMPLEMENTO",
   IF(I493&lt;=25,I493*1.25+1.5,IF(I493&lt;=60,I493*1.25+3,IF(I493&lt;=120,I493*1.25+4,I493*1.25+5))),
""))),2)</f>
        <v>92.92</v>
      </c>
      <c r="I493" s="9">
        <f>($K$2+0.02)*Tabla1[[#This Row],[PRECIO $]]*1.18</f>
        <v>77.32351199999998</v>
      </c>
      <c r="J493" s="7">
        <f>+Tabla1[[#This Row],[PRECIO EN SOLES]]-Tabla1[[#This Row],[PC]]</f>
        <v>15.596488000000022</v>
      </c>
      <c r="K493" s="15"/>
      <c r="L493" s="15" t="str">
        <f>IF(
OR(
ISNUMBER(SEARCH("BACKPACK",B495)),
ISNUMBER(SEARCH("MOCHILA",B495)),
ISNUMBER(SEARCH("FUNDA",B495)),
ISNUMBER(SEARCH("ESTUCHE",B495)),
ISNUMBER(SEARCH("BOOK COVER",B495)),
ISNUMBER(SEARCH("KEYBOARD PARA TABLET",B495)),
ISNUMBER(SEARCH("FLIP TABLET",B495)),
ISNUMBER(SEARCH("CASE FOR TABLET",B495)),
ISNUMBER(SEARCH("CABLE",B495)),
ISNUMBER(SEARCH("ADAPTADOR",B495)),
ISNUMBER(SEARCH("HUB",B495)),
ISNUMBER(SEARCH("DOCK",B495)),
ISNUMBER(SEARCH("MOUSE PAD",B495)),
ISNUMBER(SEARCH("MOUSEPAD",B495)),
ISNUMBER(SEARCH("SOPORTE",B495)),
ISNUMBER(SEARCH("STAND",B495)),
ISNUMBER(SEARCH("TRAVEL ADAPTER",B495)),
ISNUMBER(SEARCH("RJ45",B495)),
ISNUMBER(SEARCH("USB-C",B495)),
ISNUMBER(SEARCH("USB WIFI",B495)),
ISNUMBER(SEARCH("POWERBANK",B495)),
ISNUMBER(SEARCH("CARGADOR",B495)),
ISNUMBER(SEARCH("COOLER PARA NB",B495)),
ISNUMBER(SEARCH("SOPORTE PARA NB",B495)),
ISNUMBER(SEARCH("WEBCAM",B495)),
ISNUMBER(SEARCH("WEB CAM",B495)),
ISNUMBER(SEARCH("MOUSE",B495)),
ISNUMBER(SEARCH("TECLADO",B495))
),
"COMPLEMENTO",
IF(
OR(
LEFT(A495,2)="NB",
LEFT(A495,2)="PC",
LEFT(A495,2)="WS",
LEFT(A495,2)="TB",
LEFT(A495,3)="CEL",
LEFT(A495,3)="MON",
LEFT(A495,3)="PRE",
LEFT(A495,3)="PRH",
ISNUMBER(SEARCH("NOTEBOOK",B495)),
ISNUMBER(SEARCH("LAPTOP",B495)),
ISNUMBER(SEARCH("MONITOR",B495)),
ISNUMBER(SEARCH("TABLET",B495)),
ISNUMBER(SEARCH("SMARTPH",B495)),
ISNUMBER(SEARCH("IMPRESORA",B495)),
ISNUMBER(SEARCH("MULTIFUNCIONAL",B495)),
ISNUMBER(SEARCH("AIO",B495))
),
"GANCHO",
"NORMAL"
)
)</f>
        <v>NORMAL</v>
      </c>
    </row>
    <row r="494" spans="1:12" x14ac:dyDescent="0.25">
      <c r="A494" s="3" t="s">
        <v>740</v>
      </c>
      <c r="B494" s="3" t="s">
        <v>741</v>
      </c>
      <c r="C494" s="1">
        <v>20</v>
      </c>
      <c r="D494" s="1">
        <v>300</v>
      </c>
      <c r="E494" s="1" t="s">
        <v>247</v>
      </c>
      <c r="F494" s="1" t="s">
        <v>3343</v>
      </c>
      <c r="G494" s="3"/>
      <c r="H494" s="11">
        <f>ROUND(
IF(L492="GANCHO",
   IF(I494&lt;=50,I494*1.1+4,IF(I494&lt;=120,I494*1.1+7,IF(I494&lt;=250,I494*1.1+11,I494*1.1+19))),
IF(L492="NORMAL",
   IF(I494&lt;=30,I494*1.15+2,IF(I494&lt;=80,I494*1.15+4,IF(I494&lt;=150,I494*1.15+6,I494*1.15+8))),
IF(L492="COMPLEMENTO",
   IF(I494&lt;=25,I494*1.25+1.5,IF(I494&lt;=60,I494*1.25+3,IF(I494&lt;=120,I494*1.25+4,I494*1.25+5))),
""))),2)</f>
        <v>1424.71</v>
      </c>
      <c r="I494" s="9">
        <f>($K$2+0.02)*Tabla1[[#This Row],[PRECIO $]]*1.18</f>
        <v>1231.9199999999998</v>
      </c>
      <c r="J494" s="7">
        <f>+Tabla1[[#This Row],[PRECIO EN SOLES]]-Tabla1[[#This Row],[PC]]</f>
        <v>192.79000000000019</v>
      </c>
      <c r="K494" s="15"/>
      <c r="L494" s="15" t="str">
        <f>IF(
OR(
ISNUMBER(SEARCH("BACKPACK",B496)),
ISNUMBER(SEARCH("MOCHILA",B496)),
ISNUMBER(SEARCH("FUNDA",B496)),
ISNUMBER(SEARCH("ESTUCHE",B496)),
ISNUMBER(SEARCH("BOOK COVER",B496)),
ISNUMBER(SEARCH("KEYBOARD PARA TABLET",B496)),
ISNUMBER(SEARCH("FLIP TABLET",B496)),
ISNUMBER(SEARCH("CASE FOR TABLET",B496)),
ISNUMBER(SEARCH("CABLE",B496)),
ISNUMBER(SEARCH("ADAPTADOR",B496)),
ISNUMBER(SEARCH("HUB",B496)),
ISNUMBER(SEARCH("DOCK",B496)),
ISNUMBER(SEARCH("MOUSE PAD",B496)),
ISNUMBER(SEARCH("MOUSEPAD",B496)),
ISNUMBER(SEARCH("SOPORTE",B496)),
ISNUMBER(SEARCH("STAND",B496)),
ISNUMBER(SEARCH("TRAVEL ADAPTER",B496)),
ISNUMBER(SEARCH("RJ45",B496)),
ISNUMBER(SEARCH("USB-C",B496)),
ISNUMBER(SEARCH("USB WIFI",B496)),
ISNUMBER(SEARCH("POWERBANK",B496)),
ISNUMBER(SEARCH("CARGADOR",B496)),
ISNUMBER(SEARCH("COOLER PARA NB",B496)),
ISNUMBER(SEARCH("SOPORTE PARA NB",B496)),
ISNUMBER(SEARCH("WEBCAM",B496)),
ISNUMBER(SEARCH("WEB CAM",B496)),
ISNUMBER(SEARCH("MOUSE",B496)),
ISNUMBER(SEARCH("TECLADO",B496))
),
"COMPLEMENTO",
IF(
OR(
LEFT(A496,2)="NB",
LEFT(A496,2)="PC",
LEFT(A496,2)="WS",
LEFT(A496,2)="TB",
LEFT(A496,3)="CEL",
LEFT(A496,3)="MON",
LEFT(A496,3)="PRE",
LEFT(A496,3)="PRH",
ISNUMBER(SEARCH("NOTEBOOK",B496)),
ISNUMBER(SEARCH("LAPTOP",B496)),
ISNUMBER(SEARCH("MONITOR",B496)),
ISNUMBER(SEARCH("TABLET",B496)),
ISNUMBER(SEARCH("SMARTPH",B496)),
ISNUMBER(SEARCH("IMPRESORA",B496)),
ISNUMBER(SEARCH("MULTIFUNCIONAL",B496)),
ISNUMBER(SEARCH("AIO",B496))
),
"GANCHO",
"NORMAL"
)
)</f>
        <v>COMPLEMENTO</v>
      </c>
    </row>
    <row r="495" spans="1:12" x14ac:dyDescent="0.25">
      <c r="A495" s="3" t="s">
        <v>1252</v>
      </c>
      <c r="B495" s="3" t="s">
        <v>1253</v>
      </c>
      <c r="C495" s="1">
        <v>20</v>
      </c>
      <c r="D495" s="1">
        <v>666</v>
      </c>
      <c r="E495" s="1" t="s">
        <v>247</v>
      </c>
      <c r="F495" s="1" t="s">
        <v>3344</v>
      </c>
      <c r="G495" s="3"/>
      <c r="H495" s="11">
        <f>ROUND(
IF(L493="GANCHO",
   IF(I495&lt;=50,I495*1.1+4,IF(I495&lt;=120,I495*1.1+7,IF(I495&lt;=250,I495*1.1+11,I495*1.1+19))),
IF(L493="NORMAL",
   IF(I495&lt;=30,I495*1.15+2,IF(I495&lt;=80,I495*1.15+4,IF(I495&lt;=150,I495*1.15+6,I495*1.15+8))),
IF(L493="COMPLEMENTO",
   IF(I495&lt;=25,I495*1.25+1.5,IF(I495&lt;=60,I495*1.25+3,IF(I495&lt;=120,I495*1.25+4,I495*1.25+5))),
""))),2)</f>
        <v>3153.09</v>
      </c>
      <c r="I495" s="9">
        <f>($K$2+0.02)*Tabla1[[#This Row],[PRECIO $]]*1.18</f>
        <v>2734.8623999999995</v>
      </c>
      <c r="J495" s="7">
        <f>+Tabla1[[#This Row],[PRECIO EN SOLES]]-Tabla1[[#This Row],[PC]]</f>
        <v>418.22760000000062</v>
      </c>
      <c r="K495" s="15"/>
      <c r="L495" s="15" t="str">
        <f>IF(
OR(
ISNUMBER(SEARCH("BACKPACK",B497)),
ISNUMBER(SEARCH("MOCHILA",B497)),
ISNUMBER(SEARCH("FUNDA",B497)),
ISNUMBER(SEARCH("ESTUCHE",B497)),
ISNUMBER(SEARCH("BOOK COVER",B497)),
ISNUMBER(SEARCH("KEYBOARD PARA TABLET",B497)),
ISNUMBER(SEARCH("FLIP TABLET",B497)),
ISNUMBER(SEARCH("CASE FOR TABLET",B497)),
ISNUMBER(SEARCH("CABLE",B497)),
ISNUMBER(SEARCH("ADAPTADOR",B497)),
ISNUMBER(SEARCH("HUB",B497)),
ISNUMBER(SEARCH("DOCK",B497)),
ISNUMBER(SEARCH("MOUSE PAD",B497)),
ISNUMBER(SEARCH("MOUSEPAD",B497)),
ISNUMBER(SEARCH("SOPORTE",B497)),
ISNUMBER(SEARCH("STAND",B497)),
ISNUMBER(SEARCH("TRAVEL ADAPTER",B497)),
ISNUMBER(SEARCH("RJ45",B497)),
ISNUMBER(SEARCH("USB-C",B497)),
ISNUMBER(SEARCH("USB WIFI",B497)),
ISNUMBER(SEARCH("POWERBANK",B497)),
ISNUMBER(SEARCH("CARGADOR",B497)),
ISNUMBER(SEARCH("COOLER PARA NB",B497)),
ISNUMBER(SEARCH("SOPORTE PARA NB",B497)),
ISNUMBER(SEARCH("WEBCAM",B497)),
ISNUMBER(SEARCH("WEB CAM",B497)),
ISNUMBER(SEARCH("MOUSE",B497)),
ISNUMBER(SEARCH("TECLADO",B497))
),
"COMPLEMENTO",
IF(
OR(
LEFT(A497,2)="NB",
LEFT(A497,2)="PC",
LEFT(A497,2)="WS",
LEFT(A497,2)="TB",
LEFT(A497,3)="CEL",
LEFT(A497,3)="MON",
LEFT(A497,3)="PRE",
LEFT(A497,3)="PRH",
ISNUMBER(SEARCH("NOTEBOOK",B497)),
ISNUMBER(SEARCH("LAPTOP",B497)),
ISNUMBER(SEARCH("MONITOR",B497)),
ISNUMBER(SEARCH("TABLET",B497)),
ISNUMBER(SEARCH("SMARTPH",B497)),
ISNUMBER(SEARCH("IMPRESORA",B497)),
ISNUMBER(SEARCH("MULTIFUNCIONAL",B497)),
ISNUMBER(SEARCH("AIO",B497))
),
"GANCHO",
"NORMAL"
)
)</f>
        <v>NORMAL</v>
      </c>
    </row>
    <row r="496" spans="1:12" x14ac:dyDescent="0.25">
      <c r="A496" s="3" t="s">
        <v>6713</v>
      </c>
      <c r="B496" s="3" t="s">
        <v>6714</v>
      </c>
      <c r="C496" s="1">
        <v>20</v>
      </c>
      <c r="D496" s="1">
        <v>666</v>
      </c>
      <c r="E496" s="1" t="s">
        <v>247</v>
      </c>
      <c r="F496" s="1" t="s">
        <v>6715</v>
      </c>
      <c r="G496" s="3"/>
      <c r="H496" s="11">
        <f>ROUND(
IF(L494="GANCHO",
   IF(I496&lt;=50,I496*1.1+4,IF(I496&lt;=120,I496*1.1+7,IF(I496&lt;=250,I496*1.1+11,I496*1.1+19))),
IF(L494="NORMAL",
   IF(I496&lt;=30,I496*1.15+2,IF(I496&lt;=80,I496*1.15+4,IF(I496&lt;=150,I496*1.15+6,I496*1.15+8))),
IF(L494="COMPLEMENTO",
   IF(I496&lt;=25,I496*1.25+1.5,IF(I496&lt;=60,I496*1.25+3,IF(I496&lt;=120,I496*1.25+4,I496*1.25+5))),
""))),2)</f>
        <v>3423.58</v>
      </c>
      <c r="I496" s="9">
        <f>($K$2+0.02)*Tabla1[[#This Row],[PRECIO $]]*1.18</f>
        <v>2734.8623999999995</v>
      </c>
      <c r="J496" s="7">
        <f>+Tabla1[[#This Row],[PRECIO EN SOLES]]-Tabla1[[#This Row],[PC]]</f>
        <v>688.7176000000004</v>
      </c>
      <c r="K496" s="15"/>
      <c r="L496" s="15" t="str">
        <f>IF(
OR(
ISNUMBER(SEARCH("BACKPACK",B498)),
ISNUMBER(SEARCH("MOCHILA",B498)),
ISNUMBER(SEARCH("FUNDA",B498)),
ISNUMBER(SEARCH("ESTUCHE",B498)),
ISNUMBER(SEARCH("BOOK COVER",B498)),
ISNUMBER(SEARCH("KEYBOARD PARA TABLET",B498)),
ISNUMBER(SEARCH("FLIP TABLET",B498)),
ISNUMBER(SEARCH("CASE FOR TABLET",B498)),
ISNUMBER(SEARCH("CABLE",B498)),
ISNUMBER(SEARCH("ADAPTADOR",B498)),
ISNUMBER(SEARCH("HUB",B498)),
ISNUMBER(SEARCH("DOCK",B498)),
ISNUMBER(SEARCH("MOUSE PAD",B498)),
ISNUMBER(SEARCH("MOUSEPAD",B498)),
ISNUMBER(SEARCH("SOPORTE",B498)),
ISNUMBER(SEARCH("STAND",B498)),
ISNUMBER(SEARCH("TRAVEL ADAPTER",B498)),
ISNUMBER(SEARCH("RJ45",B498)),
ISNUMBER(SEARCH("USB-C",B498)),
ISNUMBER(SEARCH("USB WIFI",B498)),
ISNUMBER(SEARCH("POWERBANK",B498)),
ISNUMBER(SEARCH("CARGADOR",B498)),
ISNUMBER(SEARCH("COOLER PARA NB",B498)),
ISNUMBER(SEARCH("SOPORTE PARA NB",B498)),
ISNUMBER(SEARCH("WEBCAM",B498)),
ISNUMBER(SEARCH("WEB CAM",B498)),
ISNUMBER(SEARCH("MOUSE",B498)),
ISNUMBER(SEARCH("TECLADO",B498))
),
"COMPLEMENTO",
IF(
OR(
LEFT(A498,2)="NB",
LEFT(A498,2)="PC",
LEFT(A498,2)="WS",
LEFT(A498,2)="TB",
LEFT(A498,3)="CEL",
LEFT(A498,3)="MON",
LEFT(A498,3)="PRE",
LEFT(A498,3)="PRH",
ISNUMBER(SEARCH("NOTEBOOK",B498)),
ISNUMBER(SEARCH("LAPTOP",B498)),
ISNUMBER(SEARCH("MONITOR",B498)),
ISNUMBER(SEARCH("TABLET",B498)),
ISNUMBER(SEARCH("SMARTPH",B498)),
ISNUMBER(SEARCH("IMPRESORA",B498)),
ISNUMBER(SEARCH("MULTIFUNCIONAL",B498)),
ISNUMBER(SEARCH("AIO",B498))
),
"GANCHO",
"NORMAL"
)
)</f>
        <v>NORMAL</v>
      </c>
    </row>
    <row r="497" spans="1:12" x14ac:dyDescent="0.25">
      <c r="A497" s="3" t="s">
        <v>1254</v>
      </c>
      <c r="B497" s="3" t="s">
        <v>1255</v>
      </c>
      <c r="C497" s="1">
        <v>0</v>
      </c>
      <c r="D497" s="1">
        <v>999</v>
      </c>
      <c r="E497" s="1" t="s">
        <v>249</v>
      </c>
      <c r="F497" s="1" t="s">
        <v>3345</v>
      </c>
      <c r="G497" s="3"/>
      <c r="H497" s="11">
        <f>ROUND(
IF(L495="GANCHO",
   IF(I497&lt;=50,I497*1.1+4,IF(I497&lt;=120,I497*1.1+7,IF(I497&lt;=250,I497*1.1+11,I497*1.1+19))),
IF(L495="NORMAL",
   IF(I497&lt;=30,I497*1.15+2,IF(I497&lt;=80,I497*1.15+4,IF(I497&lt;=150,I497*1.15+6,I497*1.15+8))),
IF(L495="COMPLEMENTO",
   IF(I497&lt;=25,I497*1.25+1.5,IF(I497&lt;=60,I497*1.25+3,IF(I497&lt;=120,I497*1.25+4,I497*1.25+5))),
""))),2)</f>
        <v>4725.6400000000003</v>
      </c>
      <c r="I497" s="9">
        <f>($K$2+0.02)*Tabla1[[#This Row],[PRECIO $]]*1.18</f>
        <v>4102.2936</v>
      </c>
      <c r="J497" s="7">
        <f>+Tabla1[[#This Row],[PRECIO EN SOLES]]-Tabla1[[#This Row],[PC]]</f>
        <v>623.34640000000036</v>
      </c>
      <c r="K497" s="15"/>
      <c r="L497" s="15" t="str">
        <f>IF(
OR(
ISNUMBER(SEARCH("BACKPACK",B499)),
ISNUMBER(SEARCH("MOCHILA",B499)),
ISNUMBER(SEARCH("FUNDA",B499)),
ISNUMBER(SEARCH("ESTUCHE",B499)),
ISNUMBER(SEARCH("BOOK COVER",B499)),
ISNUMBER(SEARCH("KEYBOARD PARA TABLET",B499)),
ISNUMBER(SEARCH("FLIP TABLET",B499)),
ISNUMBER(SEARCH("CASE FOR TABLET",B499)),
ISNUMBER(SEARCH("CABLE",B499)),
ISNUMBER(SEARCH("ADAPTADOR",B499)),
ISNUMBER(SEARCH("HUB",B499)),
ISNUMBER(SEARCH("DOCK",B499)),
ISNUMBER(SEARCH("MOUSE PAD",B499)),
ISNUMBER(SEARCH("MOUSEPAD",B499)),
ISNUMBER(SEARCH("SOPORTE",B499)),
ISNUMBER(SEARCH("STAND",B499)),
ISNUMBER(SEARCH("TRAVEL ADAPTER",B499)),
ISNUMBER(SEARCH("RJ45",B499)),
ISNUMBER(SEARCH("USB-C",B499)),
ISNUMBER(SEARCH("USB WIFI",B499)),
ISNUMBER(SEARCH("POWERBANK",B499)),
ISNUMBER(SEARCH("CARGADOR",B499)),
ISNUMBER(SEARCH("COOLER PARA NB",B499)),
ISNUMBER(SEARCH("SOPORTE PARA NB",B499)),
ISNUMBER(SEARCH("WEBCAM",B499)),
ISNUMBER(SEARCH("WEB CAM",B499)),
ISNUMBER(SEARCH("MOUSE",B499)),
ISNUMBER(SEARCH("TECLADO",B499))
),
"COMPLEMENTO",
IF(
OR(
LEFT(A499,2)="NB",
LEFT(A499,2)="PC",
LEFT(A499,2)="WS",
LEFT(A499,2)="TB",
LEFT(A499,3)="CEL",
LEFT(A499,3)="MON",
LEFT(A499,3)="PRE",
LEFT(A499,3)="PRH",
ISNUMBER(SEARCH("NOTEBOOK",B499)),
ISNUMBER(SEARCH("LAPTOP",B499)),
ISNUMBER(SEARCH("MONITOR",B499)),
ISNUMBER(SEARCH("TABLET",B499)),
ISNUMBER(SEARCH("SMARTPH",B499)),
ISNUMBER(SEARCH("IMPRESORA",B499)),
ISNUMBER(SEARCH("MULTIFUNCIONAL",B499)),
ISNUMBER(SEARCH("AIO",B499))
),
"GANCHO",
"NORMAL"
)
)</f>
        <v>NORMAL</v>
      </c>
    </row>
    <row r="498" spans="1:12" x14ac:dyDescent="0.25">
      <c r="A498" s="3" t="s">
        <v>4577</v>
      </c>
      <c r="B498" s="3" t="s">
        <v>4578</v>
      </c>
      <c r="C498" s="1">
        <v>0</v>
      </c>
      <c r="D498" s="1">
        <v>9999999.9900000002</v>
      </c>
      <c r="E498" s="1" t="s">
        <v>1211</v>
      </c>
      <c r="F498" s="1" t="s">
        <v>4579</v>
      </c>
      <c r="G498" s="3"/>
      <c r="H498" s="11">
        <f>ROUND(
IF(L496="GANCHO",
   IF(I498&lt;=50,I498*1.1+4,IF(I498&lt;=120,I498*1.1+7,IF(I498&lt;=250,I498*1.1+11,I498*1.1+19))),
IF(L496="NORMAL",
   IF(I498&lt;=30,I498*1.15+2,IF(I498&lt;=80,I498*1.15+4,IF(I498&lt;=150,I498*1.15+6,I498*1.15+8))),
IF(L496="COMPLEMENTO",
   IF(I498&lt;=25,I498*1.25+1.5,IF(I498&lt;=60,I498*1.25+3,IF(I498&lt;=120,I498*1.25+4,I498*1.25+5))),
""))),2)</f>
        <v>47223607.950000003</v>
      </c>
      <c r="I498" s="9">
        <f>($K$2+0.02)*Tabla1[[#This Row],[PRECIO $]]*1.18</f>
        <v>41063999.958935998</v>
      </c>
      <c r="J498" s="7">
        <f>+Tabla1[[#This Row],[PRECIO EN SOLES]]-Tabla1[[#This Row],[PC]]</f>
        <v>6159607.9910640046</v>
      </c>
      <c r="K498" s="15"/>
      <c r="L498" s="15" t="str">
        <f>IF(
OR(
ISNUMBER(SEARCH("BACKPACK",B500)),
ISNUMBER(SEARCH("MOCHILA",B500)),
ISNUMBER(SEARCH("FUNDA",B500)),
ISNUMBER(SEARCH("ESTUCHE",B500)),
ISNUMBER(SEARCH("BOOK COVER",B500)),
ISNUMBER(SEARCH("KEYBOARD PARA TABLET",B500)),
ISNUMBER(SEARCH("FLIP TABLET",B500)),
ISNUMBER(SEARCH("CASE FOR TABLET",B500)),
ISNUMBER(SEARCH("CABLE",B500)),
ISNUMBER(SEARCH("ADAPTADOR",B500)),
ISNUMBER(SEARCH("HUB",B500)),
ISNUMBER(SEARCH("DOCK",B500)),
ISNUMBER(SEARCH("MOUSE PAD",B500)),
ISNUMBER(SEARCH("MOUSEPAD",B500)),
ISNUMBER(SEARCH("SOPORTE",B500)),
ISNUMBER(SEARCH("STAND",B500)),
ISNUMBER(SEARCH("TRAVEL ADAPTER",B500)),
ISNUMBER(SEARCH("RJ45",B500)),
ISNUMBER(SEARCH("USB-C",B500)),
ISNUMBER(SEARCH("USB WIFI",B500)),
ISNUMBER(SEARCH("POWERBANK",B500)),
ISNUMBER(SEARCH("CARGADOR",B500)),
ISNUMBER(SEARCH("COOLER PARA NB",B500)),
ISNUMBER(SEARCH("SOPORTE PARA NB",B500)),
ISNUMBER(SEARCH("WEBCAM",B500)),
ISNUMBER(SEARCH("WEB CAM",B500)),
ISNUMBER(SEARCH("MOUSE",B500)),
ISNUMBER(SEARCH("TECLADO",B500))
),
"COMPLEMENTO",
IF(
OR(
LEFT(A500,2)="NB",
LEFT(A500,2)="PC",
LEFT(A500,2)="WS",
LEFT(A500,2)="TB",
LEFT(A500,3)="CEL",
LEFT(A500,3)="MON",
LEFT(A500,3)="PRE",
LEFT(A500,3)="PRH",
ISNUMBER(SEARCH("NOTEBOOK",B500)),
ISNUMBER(SEARCH("LAPTOP",B500)),
ISNUMBER(SEARCH("MONITOR",B500)),
ISNUMBER(SEARCH("TABLET",B500)),
ISNUMBER(SEARCH("SMARTPH",B500)),
ISNUMBER(SEARCH("IMPRESORA",B500)),
ISNUMBER(SEARCH("MULTIFUNCIONAL",B500)),
ISNUMBER(SEARCH("AIO",B500))
),
"GANCHO",
"NORMAL"
)
)</f>
        <v>NORMAL</v>
      </c>
    </row>
    <row r="499" spans="1:12" x14ac:dyDescent="0.25">
      <c r="A499" s="3" t="s">
        <v>1256</v>
      </c>
      <c r="B499" s="3" t="s">
        <v>1257</v>
      </c>
      <c r="C499" s="1">
        <v>2</v>
      </c>
      <c r="D499" s="1">
        <v>8.5</v>
      </c>
      <c r="E499" s="1" t="s">
        <v>1211</v>
      </c>
      <c r="F499" s="1" t="s">
        <v>3346</v>
      </c>
      <c r="G499" s="3"/>
      <c r="H499" s="11">
        <f>ROUND(
IF(L497="GANCHO",
   IF(I499&lt;=50,I499*1.1+4,IF(I499&lt;=120,I499*1.1+7,IF(I499&lt;=250,I499*1.1+11,I499*1.1+19))),
IF(L497="NORMAL",
   IF(I499&lt;=30,I499*1.15+2,IF(I499&lt;=80,I499*1.15+4,IF(I499&lt;=150,I499*1.15+6,I499*1.15+8))),
IF(L497="COMPLEMENTO",
   IF(I499&lt;=25,I499*1.25+1.5,IF(I499&lt;=60,I499*1.25+3,IF(I499&lt;=120,I499*1.25+4,I499*1.25+5))),
""))),2)</f>
        <v>44.14</v>
      </c>
      <c r="I499" s="9">
        <f>($K$2+0.02)*Tabla1[[#This Row],[PRECIO $]]*1.18</f>
        <v>34.904399999999995</v>
      </c>
      <c r="J499" s="7">
        <f>+Tabla1[[#This Row],[PRECIO EN SOLES]]-Tabla1[[#This Row],[PC]]</f>
        <v>9.2356000000000051</v>
      </c>
      <c r="K499" s="15"/>
      <c r="L499" s="15" t="str">
        <f>IF(
OR(
ISNUMBER(SEARCH("BACKPACK",B501)),
ISNUMBER(SEARCH("MOCHILA",B501)),
ISNUMBER(SEARCH("FUNDA",B501)),
ISNUMBER(SEARCH("ESTUCHE",B501)),
ISNUMBER(SEARCH("BOOK COVER",B501)),
ISNUMBER(SEARCH("KEYBOARD PARA TABLET",B501)),
ISNUMBER(SEARCH("FLIP TABLET",B501)),
ISNUMBER(SEARCH("CASE FOR TABLET",B501)),
ISNUMBER(SEARCH("CABLE",B501)),
ISNUMBER(SEARCH("ADAPTADOR",B501)),
ISNUMBER(SEARCH("HUB",B501)),
ISNUMBER(SEARCH("DOCK",B501)),
ISNUMBER(SEARCH("MOUSE PAD",B501)),
ISNUMBER(SEARCH("MOUSEPAD",B501)),
ISNUMBER(SEARCH("SOPORTE",B501)),
ISNUMBER(SEARCH("STAND",B501)),
ISNUMBER(SEARCH("TRAVEL ADAPTER",B501)),
ISNUMBER(SEARCH("RJ45",B501)),
ISNUMBER(SEARCH("USB-C",B501)),
ISNUMBER(SEARCH("USB WIFI",B501)),
ISNUMBER(SEARCH("POWERBANK",B501)),
ISNUMBER(SEARCH("CARGADOR",B501)),
ISNUMBER(SEARCH("COOLER PARA NB",B501)),
ISNUMBER(SEARCH("SOPORTE PARA NB",B501)),
ISNUMBER(SEARCH("WEBCAM",B501)),
ISNUMBER(SEARCH("WEB CAM",B501)),
ISNUMBER(SEARCH("MOUSE",B501)),
ISNUMBER(SEARCH("TECLADO",B501))
),
"COMPLEMENTO",
IF(
OR(
LEFT(A501,2)="NB",
LEFT(A501,2)="PC",
LEFT(A501,2)="WS",
LEFT(A501,2)="TB",
LEFT(A501,3)="CEL",
LEFT(A501,3)="MON",
LEFT(A501,3)="PRE",
LEFT(A501,3)="PRH",
ISNUMBER(SEARCH("NOTEBOOK",B501)),
ISNUMBER(SEARCH("LAPTOP",B501)),
ISNUMBER(SEARCH("MONITOR",B501)),
ISNUMBER(SEARCH("TABLET",B501)),
ISNUMBER(SEARCH("SMARTPH",B501)),
ISNUMBER(SEARCH("IMPRESORA",B501)),
ISNUMBER(SEARCH("MULTIFUNCIONAL",B501)),
ISNUMBER(SEARCH("AIO",B501))
),
"GANCHO",
"NORMAL"
)
)</f>
        <v>NORMAL</v>
      </c>
    </row>
    <row r="500" spans="1:12" x14ac:dyDescent="0.25">
      <c r="A500" s="3" t="s">
        <v>1258</v>
      </c>
      <c r="B500" s="3" t="s">
        <v>1259</v>
      </c>
      <c r="C500" s="1">
        <v>4</v>
      </c>
      <c r="D500" s="1">
        <v>21.8</v>
      </c>
      <c r="E500" s="1" t="s">
        <v>1211</v>
      </c>
      <c r="F500" s="1" t="s">
        <v>3347</v>
      </c>
      <c r="G500" s="3" t="s">
        <v>1260</v>
      </c>
      <c r="H500" s="11">
        <f>ROUND(
IF(L498="GANCHO",
   IF(I500&lt;=50,I500*1.1+4,IF(I500&lt;=120,I500*1.1+7,IF(I500&lt;=250,I500*1.1+11,I500*1.1+19))),
IF(L498="NORMAL",
   IF(I500&lt;=30,I500*1.15+2,IF(I500&lt;=80,I500*1.15+4,IF(I500&lt;=150,I500*1.15+6,I500*1.15+8))),
IF(L498="COMPLEMENTO",
   IF(I500&lt;=25,I500*1.25+1.5,IF(I500&lt;=60,I500*1.25+3,IF(I500&lt;=120,I500*1.25+4,I500*1.25+5))),
""))),2)</f>
        <v>108.95</v>
      </c>
      <c r="I500" s="9">
        <f>($K$2+0.02)*Tabla1[[#This Row],[PRECIO $]]*1.18</f>
        <v>89.51952</v>
      </c>
      <c r="J500" s="7">
        <f>+Tabla1[[#This Row],[PRECIO EN SOLES]]-Tabla1[[#This Row],[PC]]</f>
        <v>19.430480000000003</v>
      </c>
      <c r="K500" s="15"/>
      <c r="L500" s="15" t="str">
        <f>IF(
OR(
ISNUMBER(SEARCH("BACKPACK",B502)),
ISNUMBER(SEARCH("MOCHILA",B502)),
ISNUMBER(SEARCH("FUNDA",B502)),
ISNUMBER(SEARCH("ESTUCHE",B502)),
ISNUMBER(SEARCH("BOOK COVER",B502)),
ISNUMBER(SEARCH("KEYBOARD PARA TABLET",B502)),
ISNUMBER(SEARCH("FLIP TABLET",B502)),
ISNUMBER(SEARCH("CASE FOR TABLET",B502)),
ISNUMBER(SEARCH("CABLE",B502)),
ISNUMBER(SEARCH("ADAPTADOR",B502)),
ISNUMBER(SEARCH("HUB",B502)),
ISNUMBER(SEARCH("DOCK",B502)),
ISNUMBER(SEARCH("MOUSE PAD",B502)),
ISNUMBER(SEARCH("MOUSEPAD",B502)),
ISNUMBER(SEARCH("SOPORTE",B502)),
ISNUMBER(SEARCH("STAND",B502)),
ISNUMBER(SEARCH("TRAVEL ADAPTER",B502)),
ISNUMBER(SEARCH("RJ45",B502)),
ISNUMBER(SEARCH("USB-C",B502)),
ISNUMBER(SEARCH("USB WIFI",B502)),
ISNUMBER(SEARCH("POWERBANK",B502)),
ISNUMBER(SEARCH("CARGADOR",B502)),
ISNUMBER(SEARCH("COOLER PARA NB",B502)),
ISNUMBER(SEARCH("SOPORTE PARA NB",B502)),
ISNUMBER(SEARCH("WEBCAM",B502)),
ISNUMBER(SEARCH("WEB CAM",B502)),
ISNUMBER(SEARCH("MOUSE",B502)),
ISNUMBER(SEARCH("TECLADO",B502))
),
"COMPLEMENTO",
IF(
OR(
LEFT(A502,2)="NB",
LEFT(A502,2)="PC",
LEFT(A502,2)="WS",
LEFT(A502,2)="TB",
LEFT(A502,3)="CEL",
LEFT(A502,3)="MON",
LEFT(A502,3)="PRE",
LEFT(A502,3)="PRH",
ISNUMBER(SEARCH("NOTEBOOK",B502)),
ISNUMBER(SEARCH("LAPTOP",B502)),
ISNUMBER(SEARCH("MONITOR",B502)),
ISNUMBER(SEARCH("TABLET",B502)),
ISNUMBER(SEARCH("SMARTPH",B502)),
ISNUMBER(SEARCH("IMPRESORA",B502)),
ISNUMBER(SEARCH("MULTIFUNCIONAL",B502)),
ISNUMBER(SEARCH("AIO",B502))
),
"GANCHO",
"NORMAL"
)
)</f>
        <v>NORMAL</v>
      </c>
    </row>
    <row r="501" spans="1:12" x14ac:dyDescent="0.25">
      <c r="A501" s="3" t="s">
        <v>1261</v>
      </c>
      <c r="B501" s="3" t="s">
        <v>1262</v>
      </c>
      <c r="C501" s="1">
        <v>20</v>
      </c>
      <c r="D501" s="1">
        <v>4.2</v>
      </c>
      <c r="E501" s="1" t="s">
        <v>1211</v>
      </c>
      <c r="F501" s="1" t="s">
        <v>3348</v>
      </c>
      <c r="G501" s="3" t="s">
        <v>1263</v>
      </c>
      <c r="H501" s="11">
        <f>ROUND(
IF(L499="GANCHO",
   IF(I501&lt;=50,I501*1.1+4,IF(I501&lt;=120,I501*1.1+7,IF(I501&lt;=250,I501*1.1+11,I501*1.1+19))),
IF(L499="NORMAL",
   IF(I501&lt;=30,I501*1.15+2,IF(I501&lt;=80,I501*1.15+4,IF(I501&lt;=150,I501*1.15+6,I501*1.15+8))),
IF(L499="COMPLEMENTO",
   IF(I501&lt;=25,I501*1.25+1.5,IF(I501&lt;=60,I501*1.25+3,IF(I501&lt;=120,I501*1.25+4,I501*1.25+5))),
""))),2)</f>
        <v>21.83</v>
      </c>
      <c r="I501" s="9">
        <f>($K$2+0.02)*Tabla1[[#This Row],[PRECIO $]]*1.18</f>
        <v>17.246879999999997</v>
      </c>
      <c r="J501" s="7">
        <f>+Tabla1[[#This Row],[PRECIO EN SOLES]]-Tabla1[[#This Row],[PC]]</f>
        <v>4.583120000000001</v>
      </c>
      <c r="K501" s="15"/>
      <c r="L501" s="15" t="str">
        <f>IF(
OR(
ISNUMBER(SEARCH("BACKPACK",B503)),
ISNUMBER(SEARCH("MOCHILA",B503)),
ISNUMBER(SEARCH("FUNDA",B503)),
ISNUMBER(SEARCH("ESTUCHE",B503)),
ISNUMBER(SEARCH("BOOK COVER",B503)),
ISNUMBER(SEARCH("KEYBOARD PARA TABLET",B503)),
ISNUMBER(SEARCH("FLIP TABLET",B503)),
ISNUMBER(SEARCH("CASE FOR TABLET",B503)),
ISNUMBER(SEARCH("CABLE",B503)),
ISNUMBER(SEARCH("ADAPTADOR",B503)),
ISNUMBER(SEARCH("HUB",B503)),
ISNUMBER(SEARCH("DOCK",B503)),
ISNUMBER(SEARCH("MOUSE PAD",B503)),
ISNUMBER(SEARCH("MOUSEPAD",B503)),
ISNUMBER(SEARCH("SOPORTE",B503)),
ISNUMBER(SEARCH("STAND",B503)),
ISNUMBER(SEARCH("TRAVEL ADAPTER",B503)),
ISNUMBER(SEARCH("RJ45",B503)),
ISNUMBER(SEARCH("USB-C",B503)),
ISNUMBER(SEARCH("USB WIFI",B503)),
ISNUMBER(SEARCH("POWERBANK",B503)),
ISNUMBER(SEARCH("CARGADOR",B503)),
ISNUMBER(SEARCH("COOLER PARA NB",B503)),
ISNUMBER(SEARCH("SOPORTE PARA NB",B503)),
ISNUMBER(SEARCH("WEBCAM",B503)),
ISNUMBER(SEARCH("WEB CAM",B503)),
ISNUMBER(SEARCH("MOUSE",B503)),
ISNUMBER(SEARCH("TECLADO",B503))
),
"COMPLEMENTO",
IF(
OR(
LEFT(A503,2)="NB",
LEFT(A503,2)="PC",
LEFT(A503,2)="WS",
LEFT(A503,2)="TB",
LEFT(A503,3)="CEL",
LEFT(A503,3)="MON",
LEFT(A503,3)="PRE",
LEFT(A503,3)="PRH",
ISNUMBER(SEARCH("NOTEBOOK",B503)),
ISNUMBER(SEARCH("LAPTOP",B503)),
ISNUMBER(SEARCH("MONITOR",B503)),
ISNUMBER(SEARCH("TABLET",B503)),
ISNUMBER(SEARCH("SMARTPH",B503)),
ISNUMBER(SEARCH("IMPRESORA",B503)),
ISNUMBER(SEARCH("MULTIFUNCIONAL",B503)),
ISNUMBER(SEARCH("AIO",B503))
),
"GANCHO",
"NORMAL"
)
)</f>
        <v>NORMAL</v>
      </c>
    </row>
    <row r="502" spans="1:12" x14ac:dyDescent="0.25">
      <c r="A502" s="3" t="s">
        <v>1264</v>
      </c>
      <c r="B502" s="3" t="s">
        <v>1265</v>
      </c>
      <c r="C502" s="1">
        <v>18</v>
      </c>
      <c r="D502" s="1">
        <v>4.5999999999999996</v>
      </c>
      <c r="E502" s="1" t="s">
        <v>1211</v>
      </c>
      <c r="F502" s="1" t="s">
        <v>3349</v>
      </c>
      <c r="G502" s="3" t="s">
        <v>1266</v>
      </c>
      <c r="H502" s="11">
        <f>ROUND(
IF(L500="GANCHO",
   IF(I502&lt;=50,I502*1.1+4,IF(I502&lt;=120,I502*1.1+7,IF(I502&lt;=250,I502*1.1+11,I502*1.1+19))),
IF(L500="NORMAL",
   IF(I502&lt;=30,I502*1.15+2,IF(I502&lt;=80,I502*1.15+4,IF(I502&lt;=150,I502*1.15+6,I502*1.15+8))),
IF(L500="COMPLEMENTO",
   IF(I502&lt;=25,I502*1.25+1.5,IF(I502&lt;=60,I502*1.25+3,IF(I502&lt;=120,I502*1.25+4,I502*1.25+5))),
""))),2)</f>
        <v>23.72</v>
      </c>
      <c r="I502" s="9">
        <f>($K$2+0.02)*Tabla1[[#This Row],[PRECIO $]]*1.18</f>
        <v>18.889439999999997</v>
      </c>
      <c r="J502" s="7">
        <f>+Tabla1[[#This Row],[PRECIO EN SOLES]]-Tabla1[[#This Row],[PC]]</f>
        <v>4.830560000000002</v>
      </c>
      <c r="K502" s="15"/>
      <c r="L502" s="15" t="str">
        <f>IF(
OR(
ISNUMBER(SEARCH("BACKPACK",B504)),
ISNUMBER(SEARCH("MOCHILA",B504)),
ISNUMBER(SEARCH("FUNDA",B504)),
ISNUMBER(SEARCH("ESTUCHE",B504)),
ISNUMBER(SEARCH("BOOK COVER",B504)),
ISNUMBER(SEARCH("KEYBOARD PARA TABLET",B504)),
ISNUMBER(SEARCH("FLIP TABLET",B504)),
ISNUMBER(SEARCH("CASE FOR TABLET",B504)),
ISNUMBER(SEARCH("CABLE",B504)),
ISNUMBER(SEARCH("ADAPTADOR",B504)),
ISNUMBER(SEARCH("HUB",B504)),
ISNUMBER(SEARCH("DOCK",B504)),
ISNUMBER(SEARCH("MOUSE PAD",B504)),
ISNUMBER(SEARCH("MOUSEPAD",B504)),
ISNUMBER(SEARCH("SOPORTE",B504)),
ISNUMBER(SEARCH("STAND",B504)),
ISNUMBER(SEARCH("TRAVEL ADAPTER",B504)),
ISNUMBER(SEARCH("RJ45",B504)),
ISNUMBER(SEARCH("USB-C",B504)),
ISNUMBER(SEARCH("USB WIFI",B504)),
ISNUMBER(SEARCH("POWERBANK",B504)),
ISNUMBER(SEARCH("CARGADOR",B504)),
ISNUMBER(SEARCH("COOLER PARA NB",B504)),
ISNUMBER(SEARCH("SOPORTE PARA NB",B504)),
ISNUMBER(SEARCH("WEBCAM",B504)),
ISNUMBER(SEARCH("WEB CAM",B504)),
ISNUMBER(SEARCH("MOUSE",B504)),
ISNUMBER(SEARCH("TECLADO",B504))
),
"COMPLEMENTO",
IF(
OR(
LEFT(A504,2)="NB",
LEFT(A504,2)="PC",
LEFT(A504,2)="WS",
LEFT(A504,2)="TB",
LEFT(A504,3)="CEL",
LEFT(A504,3)="MON",
LEFT(A504,3)="PRE",
LEFT(A504,3)="PRH",
ISNUMBER(SEARCH("NOTEBOOK",B504)),
ISNUMBER(SEARCH("LAPTOP",B504)),
ISNUMBER(SEARCH("MONITOR",B504)),
ISNUMBER(SEARCH("TABLET",B504)),
ISNUMBER(SEARCH("SMARTPH",B504)),
ISNUMBER(SEARCH("IMPRESORA",B504)),
ISNUMBER(SEARCH("MULTIFUNCIONAL",B504)),
ISNUMBER(SEARCH("AIO",B504))
),
"GANCHO",
"NORMAL"
)
)</f>
        <v>NORMAL</v>
      </c>
    </row>
    <row r="503" spans="1:12" x14ac:dyDescent="0.25">
      <c r="A503" s="3" t="s">
        <v>1267</v>
      </c>
      <c r="B503" s="3" t="s">
        <v>1262</v>
      </c>
      <c r="C503" s="1">
        <v>2</v>
      </c>
      <c r="D503" s="1">
        <v>8</v>
      </c>
      <c r="E503" s="1" t="s">
        <v>1211</v>
      </c>
      <c r="F503" s="1" t="s">
        <v>3350</v>
      </c>
      <c r="G503" s="3" t="s">
        <v>1268</v>
      </c>
      <c r="H503" s="11">
        <f>ROUND(
IF(L501="GANCHO",
   IF(I503&lt;=50,I503*1.1+4,IF(I503&lt;=120,I503*1.1+7,IF(I503&lt;=250,I503*1.1+11,I503*1.1+19))),
IF(L501="NORMAL",
   IF(I503&lt;=30,I503*1.15+2,IF(I503&lt;=80,I503*1.15+4,IF(I503&lt;=150,I503*1.15+6,I503*1.15+8))),
IF(L501="COMPLEMENTO",
   IF(I503&lt;=25,I503*1.25+1.5,IF(I503&lt;=60,I503*1.25+3,IF(I503&lt;=120,I503*1.25+4,I503*1.25+5))),
""))),2)</f>
        <v>41.78</v>
      </c>
      <c r="I503" s="9">
        <f>($K$2+0.02)*Tabla1[[#This Row],[PRECIO $]]*1.18</f>
        <v>32.851199999999999</v>
      </c>
      <c r="J503" s="7">
        <f>+Tabla1[[#This Row],[PRECIO EN SOLES]]-Tabla1[[#This Row],[PC]]</f>
        <v>8.9288000000000025</v>
      </c>
      <c r="K503" s="15"/>
      <c r="L503" s="15" t="str">
        <f>IF(
OR(
ISNUMBER(SEARCH("BACKPACK",B505)),
ISNUMBER(SEARCH("MOCHILA",B505)),
ISNUMBER(SEARCH("FUNDA",B505)),
ISNUMBER(SEARCH("ESTUCHE",B505)),
ISNUMBER(SEARCH("BOOK COVER",B505)),
ISNUMBER(SEARCH("KEYBOARD PARA TABLET",B505)),
ISNUMBER(SEARCH("FLIP TABLET",B505)),
ISNUMBER(SEARCH("CASE FOR TABLET",B505)),
ISNUMBER(SEARCH("CABLE",B505)),
ISNUMBER(SEARCH("ADAPTADOR",B505)),
ISNUMBER(SEARCH("HUB",B505)),
ISNUMBER(SEARCH("DOCK",B505)),
ISNUMBER(SEARCH("MOUSE PAD",B505)),
ISNUMBER(SEARCH("MOUSEPAD",B505)),
ISNUMBER(SEARCH("SOPORTE",B505)),
ISNUMBER(SEARCH("STAND",B505)),
ISNUMBER(SEARCH("TRAVEL ADAPTER",B505)),
ISNUMBER(SEARCH("RJ45",B505)),
ISNUMBER(SEARCH("USB-C",B505)),
ISNUMBER(SEARCH("USB WIFI",B505)),
ISNUMBER(SEARCH("POWERBANK",B505)),
ISNUMBER(SEARCH("CARGADOR",B505)),
ISNUMBER(SEARCH("COOLER PARA NB",B505)),
ISNUMBER(SEARCH("SOPORTE PARA NB",B505)),
ISNUMBER(SEARCH("WEBCAM",B505)),
ISNUMBER(SEARCH("WEB CAM",B505)),
ISNUMBER(SEARCH("MOUSE",B505)),
ISNUMBER(SEARCH("TECLADO",B505))
),
"COMPLEMENTO",
IF(
OR(
LEFT(A505,2)="NB",
LEFT(A505,2)="PC",
LEFT(A505,2)="WS",
LEFT(A505,2)="TB",
LEFT(A505,3)="CEL",
LEFT(A505,3)="MON",
LEFT(A505,3)="PRE",
LEFT(A505,3)="PRH",
ISNUMBER(SEARCH("NOTEBOOK",B505)),
ISNUMBER(SEARCH("LAPTOP",B505)),
ISNUMBER(SEARCH("MONITOR",B505)),
ISNUMBER(SEARCH("TABLET",B505)),
ISNUMBER(SEARCH("SMARTPH",B505)),
ISNUMBER(SEARCH("IMPRESORA",B505)),
ISNUMBER(SEARCH("MULTIFUNCIONAL",B505)),
ISNUMBER(SEARCH("AIO",B505))
),
"GANCHO",
"NORMAL"
)
)</f>
        <v>NORMAL</v>
      </c>
    </row>
    <row r="504" spans="1:12" x14ac:dyDescent="0.25">
      <c r="A504" s="3" t="s">
        <v>1269</v>
      </c>
      <c r="B504" s="3" t="s">
        <v>1262</v>
      </c>
      <c r="C504" s="1">
        <v>9</v>
      </c>
      <c r="D504" s="1">
        <v>8</v>
      </c>
      <c r="E504" s="1" t="s">
        <v>1211</v>
      </c>
      <c r="F504" s="1" t="s">
        <v>3351</v>
      </c>
      <c r="G504" s="3" t="s">
        <v>1270</v>
      </c>
      <c r="H504" s="11">
        <f>ROUND(
IF(L502="GANCHO",
   IF(I504&lt;=50,I504*1.1+4,IF(I504&lt;=120,I504*1.1+7,IF(I504&lt;=250,I504*1.1+11,I504*1.1+19))),
IF(L502="NORMAL",
   IF(I504&lt;=30,I504*1.15+2,IF(I504&lt;=80,I504*1.15+4,IF(I504&lt;=150,I504*1.15+6,I504*1.15+8))),
IF(L502="COMPLEMENTO",
   IF(I504&lt;=25,I504*1.25+1.5,IF(I504&lt;=60,I504*1.25+3,IF(I504&lt;=120,I504*1.25+4,I504*1.25+5))),
""))),2)</f>
        <v>41.78</v>
      </c>
      <c r="I504" s="9">
        <f>($K$2+0.02)*Tabla1[[#This Row],[PRECIO $]]*1.18</f>
        <v>32.851199999999999</v>
      </c>
      <c r="J504" s="7">
        <f>+Tabla1[[#This Row],[PRECIO EN SOLES]]-Tabla1[[#This Row],[PC]]</f>
        <v>8.9288000000000025</v>
      </c>
      <c r="K504" s="15"/>
      <c r="L504" s="15" t="str">
        <f>IF(
OR(
ISNUMBER(SEARCH("BACKPACK",B506)),
ISNUMBER(SEARCH("MOCHILA",B506)),
ISNUMBER(SEARCH("FUNDA",B506)),
ISNUMBER(SEARCH("ESTUCHE",B506)),
ISNUMBER(SEARCH("BOOK COVER",B506)),
ISNUMBER(SEARCH("KEYBOARD PARA TABLET",B506)),
ISNUMBER(SEARCH("FLIP TABLET",B506)),
ISNUMBER(SEARCH("CASE FOR TABLET",B506)),
ISNUMBER(SEARCH("CABLE",B506)),
ISNUMBER(SEARCH("ADAPTADOR",B506)),
ISNUMBER(SEARCH("HUB",B506)),
ISNUMBER(SEARCH("DOCK",B506)),
ISNUMBER(SEARCH("MOUSE PAD",B506)),
ISNUMBER(SEARCH("MOUSEPAD",B506)),
ISNUMBER(SEARCH("SOPORTE",B506)),
ISNUMBER(SEARCH("STAND",B506)),
ISNUMBER(SEARCH("TRAVEL ADAPTER",B506)),
ISNUMBER(SEARCH("RJ45",B506)),
ISNUMBER(SEARCH("USB-C",B506)),
ISNUMBER(SEARCH("USB WIFI",B506)),
ISNUMBER(SEARCH("POWERBANK",B506)),
ISNUMBER(SEARCH("CARGADOR",B506)),
ISNUMBER(SEARCH("COOLER PARA NB",B506)),
ISNUMBER(SEARCH("SOPORTE PARA NB",B506)),
ISNUMBER(SEARCH("WEBCAM",B506)),
ISNUMBER(SEARCH("WEB CAM",B506)),
ISNUMBER(SEARCH("MOUSE",B506)),
ISNUMBER(SEARCH("TECLADO",B506))
),
"COMPLEMENTO",
IF(
OR(
LEFT(A506,2)="NB",
LEFT(A506,2)="PC",
LEFT(A506,2)="WS",
LEFT(A506,2)="TB",
LEFT(A506,3)="CEL",
LEFT(A506,3)="MON",
LEFT(A506,3)="PRE",
LEFT(A506,3)="PRH",
ISNUMBER(SEARCH("NOTEBOOK",B506)),
ISNUMBER(SEARCH("LAPTOP",B506)),
ISNUMBER(SEARCH("MONITOR",B506)),
ISNUMBER(SEARCH("TABLET",B506)),
ISNUMBER(SEARCH("SMARTPH",B506)),
ISNUMBER(SEARCH("IMPRESORA",B506)),
ISNUMBER(SEARCH("MULTIFUNCIONAL",B506)),
ISNUMBER(SEARCH("AIO",B506))
),
"GANCHO",
"NORMAL"
)
)</f>
        <v>NORMAL</v>
      </c>
    </row>
    <row r="505" spans="1:12" x14ac:dyDescent="0.25">
      <c r="A505" s="3" t="s">
        <v>1271</v>
      </c>
      <c r="B505" s="3" t="s">
        <v>1272</v>
      </c>
      <c r="C505" s="1">
        <v>4</v>
      </c>
      <c r="D505" s="1">
        <v>3.1</v>
      </c>
      <c r="E505" s="1" t="s">
        <v>1211</v>
      </c>
      <c r="F505" s="1" t="s">
        <v>3352</v>
      </c>
      <c r="G505" s="3" t="s">
        <v>1273</v>
      </c>
      <c r="H505" s="11">
        <f>ROUND(
IF(L503="GANCHO",
   IF(I505&lt;=50,I505*1.1+4,IF(I505&lt;=120,I505*1.1+7,IF(I505&lt;=250,I505*1.1+11,I505*1.1+19))),
IF(L503="NORMAL",
   IF(I505&lt;=30,I505*1.15+2,IF(I505&lt;=80,I505*1.15+4,IF(I505&lt;=150,I505*1.15+6,I505*1.15+8))),
IF(L503="COMPLEMENTO",
   IF(I505&lt;=25,I505*1.25+1.5,IF(I505&lt;=60,I505*1.25+3,IF(I505&lt;=120,I505*1.25+4,I505*1.25+5))),
""))),2)</f>
        <v>16.64</v>
      </c>
      <c r="I505" s="9">
        <f>($K$2+0.02)*Tabla1[[#This Row],[PRECIO $]]*1.18</f>
        <v>12.729839999999999</v>
      </c>
      <c r="J505" s="7">
        <f>+Tabla1[[#This Row],[PRECIO EN SOLES]]-Tabla1[[#This Row],[PC]]</f>
        <v>3.9101600000000012</v>
      </c>
      <c r="K505" s="15"/>
      <c r="L505" s="15" t="str">
        <f>IF(
OR(
ISNUMBER(SEARCH("BACKPACK",B507)),
ISNUMBER(SEARCH("MOCHILA",B507)),
ISNUMBER(SEARCH("FUNDA",B507)),
ISNUMBER(SEARCH("ESTUCHE",B507)),
ISNUMBER(SEARCH("BOOK COVER",B507)),
ISNUMBER(SEARCH("KEYBOARD PARA TABLET",B507)),
ISNUMBER(SEARCH("FLIP TABLET",B507)),
ISNUMBER(SEARCH("CASE FOR TABLET",B507)),
ISNUMBER(SEARCH("CABLE",B507)),
ISNUMBER(SEARCH("ADAPTADOR",B507)),
ISNUMBER(SEARCH("HUB",B507)),
ISNUMBER(SEARCH("DOCK",B507)),
ISNUMBER(SEARCH("MOUSE PAD",B507)),
ISNUMBER(SEARCH("MOUSEPAD",B507)),
ISNUMBER(SEARCH("SOPORTE",B507)),
ISNUMBER(SEARCH("STAND",B507)),
ISNUMBER(SEARCH("TRAVEL ADAPTER",B507)),
ISNUMBER(SEARCH("RJ45",B507)),
ISNUMBER(SEARCH("USB-C",B507)),
ISNUMBER(SEARCH("USB WIFI",B507)),
ISNUMBER(SEARCH("POWERBANK",B507)),
ISNUMBER(SEARCH("CARGADOR",B507)),
ISNUMBER(SEARCH("COOLER PARA NB",B507)),
ISNUMBER(SEARCH("SOPORTE PARA NB",B507)),
ISNUMBER(SEARCH("WEBCAM",B507)),
ISNUMBER(SEARCH("WEB CAM",B507)),
ISNUMBER(SEARCH("MOUSE",B507)),
ISNUMBER(SEARCH("TECLADO",B507))
),
"COMPLEMENTO",
IF(
OR(
LEFT(A507,2)="NB",
LEFT(A507,2)="PC",
LEFT(A507,2)="WS",
LEFT(A507,2)="TB",
LEFT(A507,3)="CEL",
LEFT(A507,3)="MON",
LEFT(A507,3)="PRE",
LEFT(A507,3)="PRH",
ISNUMBER(SEARCH("NOTEBOOK",B507)),
ISNUMBER(SEARCH("LAPTOP",B507)),
ISNUMBER(SEARCH("MONITOR",B507)),
ISNUMBER(SEARCH("TABLET",B507)),
ISNUMBER(SEARCH("SMARTPH",B507)),
ISNUMBER(SEARCH("IMPRESORA",B507)),
ISNUMBER(SEARCH("MULTIFUNCIONAL",B507)),
ISNUMBER(SEARCH("AIO",B507))
),
"GANCHO",
"NORMAL"
)
)</f>
        <v>NORMAL</v>
      </c>
    </row>
    <row r="506" spans="1:12" x14ac:dyDescent="0.25">
      <c r="A506" s="3" t="s">
        <v>1274</v>
      </c>
      <c r="B506" s="3" t="s">
        <v>1275</v>
      </c>
      <c r="C506" s="1">
        <v>16</v>
      </c>
      <c r="D506" s="1">
        <v>54.5</v>
      </c>
      <c r="E506" s="1" t="s">
        <v>1211</v>
      </c>
      <c r="F506" s="1" t="s">
        <v>3353</v>
      </c>
      <c r="G506" s="3" t="s">
        <v>1276</v>
      </c>
      <c r="H506" s="11">
        <f>ROUND(
IF(L504="GANCHO",
   IF(I506&lt;=50,I506*1.1+4,IF(I506&lt;=120,I506*1.1+7,IF(I506&lt;=250,I506*1.1+11,I506*1.1+19))),
IF(L504="NORMAL",
   IF(I506&lt;=30,I506*1.15+2,IF(I506&lt;=80,I506*1.15+4,IF(I506&lt;=150,I506*1.15+6,I506*1.15+8))),
IF(L504="COMPLEMENTO",
   IF(I506&lt;=25,I506*1.25+1.5,IF(I506&lt;=60,I506*1.25+3,IF(I506&lt;=120,I506*1.25+4,I506*1.25+5))),
""))),2)</f>
        <v>265.37</v>
      </c>
      <c r="I506" s="9">
        <f>($K$2+0.02)*Tabla1[[#This Row],[PRECIO $]]*1.18</f>
        <v>223.79879999999997</v>
      </c>
      <c r="J506" s="7">
        <f>+Tabla1[[#This Row],[PRECIO EN SOLES]]-Tabla1[[#This Row],[PC]]</f>
        <v>41.571200000000033</v>
      </c>
      <c r="K506" s="15"/>
      <c r="L506" s="15" t="str">
        <f>IF(
OR(
ISNUMBER(SEARCH("BACKPACK",B508)),
ISNUMBER(SEARCH("MOCHILA",B508)),
ISNUMBER(SEARCH("FUNDA",B508)),
ISNUMBER(SEARCH("ESTUCHE",B508)),
ISNUMBER(SEARCH("BOOK COVER",B508)),
ISNUMBER(SEARCH("KEYBOARD PARA TABLET",B508)),
ISNUMBER(SEARCH("FLIP TABLET",B508)),
ISNUMBER(SEARCH("CASE FOR TABLET",B508)),
ISNUMBER(SEARCH("CABLE",B508)),
ISNUMBER(SEARCH("ADAPTADOR",B508)),
ISNUMBER(SEARCH("HUB",B508)),
ISNUMBER(SEARCH("DOCK",B508)),
ISNUMBER(SEARCH("MOUSE PAD",B508)),
ISNUMBER(SEARCH("MOUSEPAD",B508)),
ISNUMBER(SEARCH("SOPORTE",B508)),
ISNUMBER(SEARCH("STAND",B508)),
ISNUMBER(SEARCH("TRAVEL ADAPTER",B508)),
ISNUMBER(SEARCH("RJ45",B508)),
ISNUMBER(SEARCH("USB-C",B508)),
ISNUMBER(SEARCH("USB WIFI",B508)),
ISNUMBER(SEARCH("POWERBANK",B508)),
ISNUMBER(SEARCH("CARGADOR",B508)),
ISNUMBER(SEARCH("COOLER PARA NB",B508)),
ISNUMBER(SEARCH("SOPORTE PARA NB",B508)),
ISNUMBER(SEARCH("WEBCAM",B508)),
ISNUMBER(SEARCH("WEB CAM",B508)),
ISNUMBER(SEARCH("MOUSE",B508)),
ISNUMBER(SEARCH("TECLADO",B508))
),
"COMPLEMENTO",
IF(
OR(
LEFT(A508,2)="NB",
LEFT(A508,2)="PC",
LEFT(A508,2)="WS",
LEFT(A508,2)="TB",
LEFT(A508,3)="CEL",
LEFT(A508,3)="MON",
LEFT(A508,3)="PRE",
LEFT(A508,3)="PRH",
ISNUMBER(SEARCH("NOTEBOOK",B508)),
ISNUMBER(SEARCH("LAPTOP",B508)),
ISNUMBER(SEARCH("MONITOR",B508)),
ISNUMBER(SEARCH("TABLET",B508)),
ISNUMBER(SEARCH("SMARTPH",B508)),
ISNUMBER(SEARCH("IMPRESORA",B508)),
ISNUMBER(SEARCH("MULTIFUNCIONAL",B508)),
ISNUMBER(SEARCH("AIO",B508))
),
"GANCHO",
"NORMAL"
)
)</f>
        <v>NORMAL</v>
      </c>
    </row>
    <row r="507" spans="1:12" x14ac:dyDescent="0.25">
      <c r="A507" s="3" t="s">
        <v>1277</v>
      </c>
      <c r="B507" s="3" t="s">
        <v>1278</v>
      </c>
      <c r="C507" s="1">
        <v>6</v>
      </c>
      <c r="D507" s="1">
        <v>17.5</v>
      </c>
      <c r="E507" s="1" t="s">
        <v>1211</v>
      </c>
      <c r="F507" s="1" t="s">
        <v>3354</v>
      </c>
      <c r="G507" s="3" t="s">
        <v>1279</v>
      </c>
      <c r="H507" s="11">
        <f>ROUND(
IF(L505="GANCHO",
   IF(I507&lt;=50,I507*1.1+4,IF(I507&lt;=120,I507*1.1+7,IF(I507&lt;=250,I507*1.1+11,I507*1.1+19))),
IF(L505="NORMAL",
   IF(I507&lt;=30,I507*1.15+2,IF(I507&lt;=80,I507*1.15+4,IF(I507&lt;=150,I507*1.15+6,I507*1.15+8))),
IF(L505="COMPLEMENTO",
   IF(I507&lt;=25,I507*1.25+1.5,IF(I507&lt;=60,I507*1.25+3,IF(I507&lt;=120,I507*1.25+4,I507*1.25+5))),
""))),2)</f>
        <v>86.64</v>
      </c>
      <c r="I507" s="9">
        <f>($K$2+0.02)*Tabla1[[#This Row],[PRECIO $]]*1.18</f>
        <v>71.861999999999995</v>
      </c>
      <c r="J507" s="7">
        <f>+Tabla1[[#This Row],[PRECIO EN SOLES]]-Tabla1[[#This Row],[PC]]</f>
        <v>14.778000000000006</v>
      </c>
      <c r="K507" s="15"/>
      <c r="L507" s="15" t="str">
        <f>IF(
OR(
ISNUMBER(SEARCH("BACKPACK",B509)),
ISNUMBER(SEARCH("MOCHILA",B509)),
ISNUMBER(SEARCH("FUNDA",B509)),
ISNUMBER(SEARCH("ESTUCHE",B509)),
ISNUMBER(SEARCH("BOOK COVER",B509)),
ISNUMBER(SEARCH("KEYBOARD PARA TABLET",B509)),
ISNUMBER(SEARCH("FLIP TABLET",B509)),
ISNUMBER(SEARCH("CASE FOR TABLET",B509)),
ISNUMBER(SEARCH("CABLE",B509)),
ISNUMBER(SEARCH("ADAPTADOR",B509)),
ISNUMBER(SEARCH("HUB",B509)),
ISNUMBER(SEARCH("DOCK",B509)),
ISNUMBER(SEARCH("MOUSE PAD",B509)),
ISNUMBER(SEARCH("MOUSEPAD",B509)),
ISNUMBER(SEARCH("SOPORTE",B509)),
ISNUMBER(SEARCH("STAND",B509)),
ISNUMBER(SEARCH("TRAVEL ADAPTER",B509)),
ISNUMBER(SEARCH("RJ45",B509)),
ISNUMBER(SEARCH("USB-C",B509)),
ISNUMBER(SEARCH("USB WIFI",B509)),
ISNUMBER(SEARCH("POWERBANK",B509)),
ISNUMBER(SEARCH("CARGADOR",B509)),
ISNUMBER(SEARCH("COOLER PARA NB",B509)),
ISNUMBER(SEARCH("SOPORTE PARA NB",B509)),
ISNUMBER(SEARCH("WEBCAM",B509)),
ISNUMBER(SEARCH("WEB CAM",B509)),
ISNUMBER(SEARCH("MOUSE",B509)),
ISNUMBER(SEARCH("TECLADO",B509))
),
"COMPLEMENTO",
IF(
OR(
LEFT(A509,2)="NB",
LEFT(A509,2)="PC",
LEFT(A509,2)="WS",
LEFT(A509,2)="TB",
LEFT(A509,3)="CEL",
LEFT(A509,3)="MON",
LEFT(A509,3)="PRE",
LEFT(A509,3)="PRH",
ISNUMBER(SEARCH("NOTEBOOK",B509)),
ISNUMBER(SEARCH("LAPTOP",B509)),
ISNUMBER(SEARCH("MONITOR",B509)),
ISNUMBER(SEARCH("TABLET",B509)),
ISNUMBER(SEARCH("SMARTPH",B509)),
ISNUMBER(SEARCH("IMPRESORA",B509)),
ISNUMBER(SEARCH("MULTIFUNCIONAL",B509)),
ISNUMBER(SEARCH("AIO",B509))
),
"GANCHO",
"NORMAL"
)
)</f>
        <v>NORMAL</v>
      </c>
    </row>
    <row r="508" spans="1:12" x14ac:dyDescent="0.25">
      <c r="A508" s="3" t="s">
        <v>1280</v>
      </c>
      <c r="B508" s="3" t="s">
        <v>1281</v>
      </c>
      <c r="C508" s="1">
        <v>18</v>
      </c>
      <c r="D508" s="1">
        <v>5.0999999999999996</v>
      </c>
      <c r="E508" s="1" t="s">
        <v>1211</v>
      </c>
      <c r="F508" s="1" t="s">
        <v>3355</v>
      </c>
      <c r="G508" s="3" t="s">
        <v>1282</v>
      </c>
      <c r="H508" s="11">
        <f>ROUND(
IF(L506="GANCHO",
   IF(I508&lt;=50,I508*1.1+4,IF(I508&lt;=120,I508*1.1+7,IF(I508&lt;=250,I508*1.1+11,I508*1.1+19))),
IF(L506="NORMAL",
   IF(I508&lt;=30,I508*1.15+2,IF(I508&lt;=80,I508*1.15+4,IF(I508&lt;=150,I508*1.15+6,I508*1.15+8))),
IF(L506="COMPLEMENTO",
   IF(I508&lt;=25,I508*1.25+1.5,IF(I508&lt;=60,I508*1.25+3,IF(I508&lt;=120,I508*1.25+4,I508*1.25+5))),
""))),2)</f>
        <v>26.08</v>
      </c>
      <c r="I508" s="9">
        <f>($K$2+0.02)*Tabla1[[#This Row],[PRECIO $]]*1.18</f>
        <v>20.942639999999997</v>
      </c>
      <c r="J508" s="7">
        <f>+Tabla1[[#This Row],[PRECIO EN SOLES]]-Tabla1[[#This Row],[PC]]</f>
        <v>5.137360000000001</v>
      </c>
      <c r="K508" s="15"/>
      <c r="L508" s="15" t="str">
        <f>IF(
OR(
ISNUMBER(SEARCH("BACKPACK",B510)),
ISNUMBER(SEARCH("MOCHILA",B510)),
ISNUMBER(SEARCH("FUNDA",B510)),
ISNUMBER(SEARCH("ESTUCHE",B510)),
ISNUMBER(SEARCH("BOOK COVER",B510)),
ISNUMBER(SEARCH("KEYBOARD PARA TABLET",B510)),
ISNUMBER(SEARCH("FLIP TABLET",B510)),
ISNUMBER(SEARCH("CASE FOR TABLET",B510)),
ISNUMBER(SEARCH("CABLE",B510)),
ISNUMBER(SEARCH("ADAPTADOR",B510)),
ISNUMBER(SEARCH("HUB",B510)),
ISNUMBER(SEARCH("DOCK",B510)),
ISNUMBER(SEARCH("MOUSE PAD",B510)),
ISNUMBER(SEARCH("MOUSEPAD",B510)),
ISNUMBER(SEARCH("SOPORTE",B510)),
ISNUMBER(SEARCH("STAND",B510)),
ISNUMBER(SEARCH("TRAVEL ADAPTER",B510)),
ISNUMBER(SEARCH("RJ45",B510)),
ISNUMBER(SEARCH("USB-C",B510)),
ISNUMBER(SEARCH("USB WIFI",B510)),
ISNUMBER(SEARCH("POWERBANK",B510)),
ISNUMBER(SEARCH("CARGADOR",B510)),
ISNUMBER(SEARCH("COOLER PARA NB",B510)),
ISNUMBER(SEARCH("SOPORTE PARA NB",B510)),
ISNUMBER(SEARCH("WEBCAM",B510)),
ISNUMBER(SEARCH("WEB CAM",B510)),
ISNUMBER(SEARCH("MOUSE",B510)),
ISNUMBER(SEARCH("TECLADO",B510))
),
"COMPLEMENTO",
IF(
OR(
LEFT(A510,2)="NB",
LEFT(A510,2)="PC",
LEFT(A510,2)="WS",
LEFT(A510,2)="TB",
LEFT(A510,3)="CEL",
LEFT(A510,3)="MON",
LEFT(A510,3)="PRE",
LEFT(A510,3)="PRH",
ISNUMBER(SEARCH("NOTEBOOK",B510)),
ISNUMBER(SEARCH("LAPTOP",B510)),
ISNUMBER(SEARCH("MONITOR",B510)),
ISNUMBER(SEARCH("TABLET",B510)),
ISNUMBER(SEARCH("SMARTPH",B510)),
ISNUMBER(SEARCH("IMPRESORA",B510)),
ISNUMBER(SEARCH("MULTIFUNCIONAL",B510)),
ISNUMBER(SEARCH("AIO",B510))
),
"GANCHO",
"NORMAL"
)
)</f>
        <v>NORMAL</v>
      </c>
    </row>
    <row r="509" spans="1:12" x14ac:dyDescent="0.25">
      <c r="A509" s="3" t="s">
        <v>5905</v>
      </c>
      <c r="B509" s="3" t="s">
        <v>5906</v>
      </c>
      <c r="C509" s="1">
        <v>20</v>
      </c>
      <c r="D509" s="1">
        <v>1870</v>
      </c>
      <c r="E509" s="1" t="s">
        <v>906</v>
      </c>
      <c r="F509" s="1" t="s">
        <v>5907</v>
      </c>
      <c r="G509" s="3" t="s">
        <v>5908</v>
      </c>
      <c r="H509" s="11">
        <f>ROUND(
IF(L507="GANCHO",
   IF(I509&lt;=50,I509*1.1+4,IF(I509&lt;=120,I509*1.1+7,IF(I509&lt;=250,I509*1.1+11,I509*1.1+19))),
IF(L507="NORMAL",
   IF(I509&lt;=30,I509*1.15+2,IF(I509&lt;=80,I509*1.15+4,IF(I509&lt;=150,I509*1.15+6,I509*1.15+8))),
IF(L507="COMPLEMENTO",
   IF(I509&lt;=25,I509*1.25+1.5,IF(I509&lt;=60,I509*1.25+3,IF(I509&lt;=120,I509*1.25+4,I509*1.25+5))),
""))),2)</f>
        <v>8838.81</v>
      </c>
      <c r="I509" s="9">
        <f>($K$2+0.02)*Tabla1[[#This Row],[PRECIO $]]*1.18</f>
        <v>7678.9679999999998</v>
      </c>
      <c r="J509" s="7">
        <f>+Tabla1[[#This Row],[PRECIO EN SOLES]]-Tabla1[[#This Row],[PC]]</f>
        <v>1159.8419999999996</v>
      </c>
      <c r="K509" s="15"/>
      <c r="L509" s="15" t="str">
        <f>IF(
OR(
ISNUMBER(SEARCH("BACKPACK",B511)),
ISNUMBER(SEARCH("MOCHILA",B511)),
ISNUMBER(SEARCH("FUNDA",B511)),
ISNUMBER(SEARCH("ESTUCHE",B511)),
ISNUMBER(SEARCH("BOOK COVER",B511)),
ISNUMBER(SEARCH("KEYBOARD PARA TABLET",B511)),
ISNUMBER(SEARCH("FLIP TABLET",B511)),
ISNUMBER(SEARCH("CASE FOR TABLET",B511)),
ISNUMBER(SEARCH("CABLE",B511)),
ISNUMBER(SEARCH("ADAPTADOR",B511)),
ISNUMBER(SEARCH("HUB",B511)),
ISNUMBER(SEARCH("DOCK",B511)),
ISNUMBER(SEARCH("MOUSE PAD",B511)),
ISNUMBER(SEARCH("MOUSEPAD",B511)),
ISNUMBER(SEARCH("SOPORTE",B511)),
ISNUMBER(SEARCH("STAND",B511)),
ISNUMBER(SEARCH("TRAVEL ADAPTER",B511)),
ISNUMBER(SEARCH("RJ45",B511)),
ISNUMBER(SEARCH("USB-C",B511)),
ISNUMBER(SEARCH("USB WIFI",B511)),
ISNUMBER(SEARCH("POWERBANK",B511)),
ISNUMBER(SEARCH("CARGADOR",B511)),
ISNUMBER(SEARCH("COOLER PARA NB",B511)),
ISNUMBER(SEARCH("SOPORTE PARA NB",B511)),
ISNUMBER(SEARCH("WEBCAM",B511)),
ISNUMBER(SEARCH("WEB CAM",B511)),
ISNUMBER(SEARCH("MOUSE",B511)),
ISNUMBER(SEARCH("TECLADO",B511))
),
"COMPLEMENTO",
IF(
OR(
LEFT(A511,2)="NB",
LEFT(A511,2)="PC",
LEFT(A511,2)="WS",
LEFT(A511,2)="TB",
LEFT(A511,3)="CEL",
LEFT(A511,3)="MON",
LEFT(A511,3)="PRE",
LEFT(A511,3)="PRH",
ISNUMBER(SEARCH("NOTEBOOK",B511)),
ISNUMBER(SEARCH("LAPTOP",B511)),
ISNUMBER(SEARCH("MONITOR",B511)),
ISNUMBER(SEARCH("TABLET",B511)),
ISNUMBER(SEARCH("SMARTPH",B511)),
ISNUMBER(SEARCH("IMPRESORA",B511)),
ISNUMBER(SEARCH("MULTIFUNCIONAL",B511)),
ISNUMBER(SEARCH("AIO",B511))
),
"GANCHO",
"NORMAL"
)
)</f>
        <v>NORMAL</v>
      </c>
    </row>
    <row r="510" spans="1:12" x14ac:dyDescent="0.25">
      <c r="A510" s="3" t="s">
        <v>5282</v>
      </c>
      <c r="B510" s="3" t="s">
        <v>5283</v>
      </c>
      <c r="C510" s="1">
        <v>20</v>
      </c>
      <c r="D510" s="1">
        <v>77.650000000000006</v>
      </c>
      <c r="E510" s="1" t="s">
        <v>115</v>
      </c>
      <c r="F510" s="1" t="s">
        <v>5284</v>
      </c>
      <c r="G510" s="3" t="s">
        <v>5285</v>
      </c>
      <c r="H510" s="11">
        <f>ROUND(
IF(L508="GANCHO",
   IF(I510&lt;=50,I510*1.1+4,IF(I510&lt;=120,I510*1.1+7,IF(I510&lt;=250,I510*1.1+11,I510*1.1+19))),
IF(L508="NORMAL",
   IF(I510&lt;=30,I510*1.15+2,IF(I510&lt;=80,I510*1.15+4,IF(I510&lt;=150,I510*1.15+6,I510*1.15+8))),
IF(L508="COMPLEMENTO",
   IF(I510&lt;=25,I510*1.25+1.5,IF(I510&lt;=60,I510*1.25+3,IF(I510&lt;=120,I510*1.25+4,I510*1.25+5))),
""))),2)</f>
        <v>374.69</v>
      </c>
      <c r="I510" s="9">
        <f>($K$2+0.02)*Tabla1[[#This Row],[PRECIO $]]*1.18</f>
        <v>318.86196000000001</v>
      </c>
      <c r="J510" s="7">
        <f>+Tabla1[[#This Row],[PRECIO EN SOLES]]-Tabla1[[#This Row],[PC]]</f>
        <v>55.828039999999987</v>
      </c>
      <c r="K510" s="15"/>
      <c r="L510" s="15" t="str">
        <f>IF(
OR(
ISNUMBER(SEARCH("BACKPACK",B512)),
ISNUMBER(SEARCH("MOCHILA",B512)),
ISNUMBER(SEARCH("FUNDA",B512)),
ISNUMBER(SEARCH("ESTUCHE",B512)),
ISNUMBER(SEARCH("BOOK COVER",B512)),
ISNUMBER(SEARCH("KEYBOARD PARA TABLET",B512)),
ISNUMBER(SEARCH("FLIP TABLET",B512)),
ISNUMBER(SEARCH("CASE FOR TABLET",B512)),
ISNUMBER(SEARCH("CABLE",B512)),
ISNUMBER(SEARCH("ADAPTADOR",B512)),
ISNUMBER(SEARCH("HUB",B512)),
ISNUMBER(SEARCH("DOCK",B512)),
ISNUMBER(SEARCH("MOUSE PAD",B512)),
ISNUMBER(SEARCH("MOUSEPAD",B512)),
ISNUMBER(SEARCH("SOPORTE",B512)),
ISNUMBER(SEARCH("STAND",B512)),
ISNUMBER(SEARCH("TRAVEL ADAPTER",B512)),
ISNUMBER(SEARCH("RJ45",B512)),
ISNUMBER(SEARCH("USB-C",B512)),
ISNUMBER(SEARCH("USB WIFI",B512)),
ISNUMBER(SEARCH("POWERBANK",B512)),
ISNUMBER(SEARCH("CARGADOR",B512)),
ISNUMBER(SEARCH("COOLER PARA NB",B512)),
ISNUMBER(SEARCH("SOPORTE PARA NB",B512)),
ISNUMBER(SEARCH("WEBCAM",B512)),
ISNUMBER(SEARCH("WEB CAM",B512)),
ISNUMBER(SEARCH("MOUSE",B512)),
ISNUMBER(SEARCH("TECLADO",B512))
),
"COMPLEMENTO",
IF(
OR(
LEFT(A512,2)="NB",
LEFT(A512,2)="PC",
LEFT(A512,2)="WS",
LEFT(A512,2)="TB",
LEFT(A512,3)="CEL",
LEFT(A512,3)="MON",
LEFT(A512,3)="PRE",
LEFT(A512,3)="PRH",
ISNUMBER(SEARCH("NOTEBOOK",B512)),
ISNUMBER(SEARCH("LAPTOP",B512)),
ISNUMBER(SEARCH("MONITOR",B512)),
ISNUMBER(SEARCH("TABLET",B512)),
ISNUMBER(SEARCH("SMARTPH",B512)),
ISNUMBER(SEARCH("IMPRESORA",B512)),
ISNUMBER(SEARCH("MULTIFUNCIONAL",B512)),
ISNUMBER(SEARCH("AIO",B512))
),
"GANCHO",
"NORMAL"
)
)</f>
        <v>NORMAL</v>
      </c>
    </row>
    <row r="511" spans="1:12" x14ac:dyDescent="0.25">
      <c r="A511" s="3" t="s">
        <v>4545</v>
      </c>
      <c r="B511" s="3" t="s">
        <v>4546</v>
      </c>
      <c r="C511" s="1">
        <v>0</v>
      </c>
      <c r="D511" s="1">
        <v>66.400000000000006</v>
      </c>
      <c r="E511" s="1" t="s">
        <v>115</v>
      </c>
      <c r="F511" s="1" t="s">
        <v>4547</v>
      </c>
      <c r="G511" s="3" t="s">
        <v>4548</v>
      </c>
      <c r="H511" s="11">
        <f>ROUND(
IF(L509="GANCHO",
   IF(I511&lt;=50,I511*1.1+4,IF(I511&lt;=120,I511*1.1+7,IF(I511&lt;=250,I511*1.1+11,I511*1.1+19))),
IF(L509="NORMAL",
   IF(I511&lt;=30,I511*1.15+2,IF(I511&lt;=80,I511*1.15+4,IF(I511&lt;=150,I511*1.15+6,I511*1.15+8))),
IF(L509="COMPLEMENTO",
   IF(I511&lt;=25,I511*1.25+1.5,IF(I511&lt;=60,I511*1.25+3,IF(I511&lt;=120,I511*1.25+4,I511*1.25+5))),
""))),2)</f>
        <v>321.56</v>
      </c>
      <c r="I511" s="9">
        <f>($K$2+0.02)*Tabla1[[#This Row],[PRECIO $]]*1.18</f>
        <v>272.66496000000001</v>
      </c>
      <c r="J511" s="7">
        <f>+Tabla1[[#This Row],[PRECIO EN SOLES]]-Tabla1[[#This Row],[PC]]</f>
        <v>48.895039999999995</v>
      </c>
      <c r="K511" s="15"/>
      <c r="L511" s="15" t="str">
        <f>IF(
OR(
ISNUMBER(SEARCH("BACKPACK",B513)),
ISNUMBER(SEARCH("MOCHILA",B513)),
ISNUMBER(SEARCH("FUNDA",B513)),
ISNUMBER(SEARCH("ESTUCHE",B513)),
ISNUMBER(SEARCH("BOOK COVER",B513)),
ISNUMBER(SEARCH("KEYBOARD PARA TABLET",B513)),
ISNUMBER(SEARCH("FLIP TABLET",B513)),
ISNUMBER(SEARCH("CASE FOR TABLET",B513)),
ISNUMBER(SEARCH("CABLE",B513)),
ISNUMBER(SEARCH("ADAPTADOR",B513)),
ISNUMBER(SEARCH("HUB",B513)),
ISNUMBER(SEARCH("DOCK",B513)),
ISNUMBER(SEARCH("MOUSE PAD",B513)),
ISNUMBER(SEARCH("MOUSEPAD",B513)),
ISNUMBER(SEARCH("SOPORTE",B513)),
ISNUMBER(SEARCH("STAND",B513)),
ISNUMBER(SEARCH("TRAVEL ADAPTER",B513)),
ISNUMBER(SEARCH("RJ45",B513)),
ISNUMBER(SEARCH("USB-C",B513)),
ISNUMBER(SEARCH("USB WIFI",B513)),
ISNUMBER(SEARCH("POWERBANK",B513)),
ISNUMBER(SEARCH("CARGADOR",B513)),
ISNUMBER(SEARCH("COOLER PARA NB",B513)),
ISNUMBER(SEARCH("SOPORTE PARA NB",B513)),
ISNUMBER(SEARCH("WEBCAM",B513)),
ISNUMBER(SEARCH("WEB CAM",B513)),
ISNUMBER(SEARCH("MOUSE",B513)),
ISNUMBER(SEARCH("TECLADO",B513))
),
"COMPLEMENTO",
IF(
OR(
LEFT(A513,2)="NB",
LEFT(A513,2)="PC",
LEFT(A513,2)="WS",
LEFT(A513,2)="TB",
LEFT(A513,3)="CEL",
LEFT(A513,3)="MON",
LEFT(A513,3)="PRE",
LEFT(A513,3)="PRH",
ISNUMBER(SEARCH("NOTEBOOK",B513)),
ISNUMBER(SEARCH("LAPTOP",B513)),
ISNUMBER(SEARCH("MONITOR",B513)),
ISNUMBER(SEARCH("TABLET",B513)),
ISNUMBER(SEARCH("SMARTPH",B513)),
ISNUMBER(SEARCH("IMPRESORA",B513)),
ISNUMBER(SEARCH("MULTIFUNCIONAL",B513)),
ISNUMBER(SEARCH("AIO",B513))
),
"GANCHO",
"NORMAL"
)
)</f>
        <v>NORMAL</v>
      </c>
    </row>
    <row r="512" spans="1:12" x14ac:dyDescent="0.25">
      <c r="A512" s="3" t="s">
        <v>5286</v>
      </c>
      <c r="B512" s="3" t="s">
        <v>5287</v>
      </c>
      <c r="C512" s="1">
        <v>0</v>
      </c>
      <c r="D512" s="1">
        <v>114</v>
      </c>
      <c r="E512" s="1" t="s">
        <v>226</v>
      </c>
      <c r="F512" s="1" t="s">
        <v>5288</v>
      </c>
      <c r="G512" s="3" t="s">
        <v>5289</v>
      </c>
      <c r="H512" s="11">
        <f>ROUND(
IF(L510="GANCHO",
   IF(I512&lt;=50,I512*1.1+4,IF(I512&lt;=120,I512*1.1+7,IF(I512&lt;=250,I512*1.1+11,I512*1.1+19))),
IF(L510="NORMAL",
   IF(I512&lt;=30,I512*1.15+2,IF(I512&lt;=80,I512*1.15+4,IF(I512&lt;=150,I512*1.15+6,I512*1.15+8))),
IF(L510="COMPLEMENTO",
   IF(I512&lt;=25,I512*1.25+1.5,IF(I512&lt;=60,I512*1.25+3,IF(I512&lt;=120,I512*1.25+4,I512*1.25+5))),
""))),2)</f>
        <v>546.35</v>
      </c>
      <c r="I512" s="9">
        <f>($K$2+0.02)*Tabla1[[#This Row],[PRECIO $]]*1.18</f>
        <v>468.12959999999993</v>
      </c>
      <c r="J512" s="7">
        <f>+Tabla1[[#This Row],[PRECIO EN SOLES]]-Tabla1[[#This Row],[PC]]</f>
        <v>78.220400000000097</v>
      </c>
      <c r="K512" s="15"/>
      <c r="L512" s="15" t="str">
        <f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NORMAL</v>
      </c>
    </row>
    <row r="513" spans="1:12" x14ac:dyDescent="0.25">
      <c r="A513" s="3" t="s">
        <v>5290</v>
      </c>
      <c r="B513" s="3" t="s">
        <v>5291</v>
      </c>
      <c r="C513" s="1">
        <v>20</v>
      </c>
      <c r="D513" s="1">
        <v>74.400000000000006</v>
      </c>
      <c r="E513" s="1" t="s">
        <v>226</v>
      </c>
      <c r="F513" s="1" t="s">
        <v>5292</v>
      </c>
      <c r="G513" s="3" t="s">
        <v>5293</v>
      </c>
      <c r="H513" s="11">
        <f>ROUND(
IF(L511="GANCHO",
   IF(I513&lt;=50,I513*1.1+4,IF(I513&lt;=120,I513*1.1+7,IF(I513&lt;=250,I513*1.1+11,I513*1.1+19))),
IF(L511="NORMAL",
   IF(I513&lt;=30,I513*1.15+2,IF(I513&lt;=80,I513*1.15+4,IF(I513&lt;=150,I513*1.15+6,I513*1.15+8))),
IF(L511="COMPLEMENTO",
   IF(I513&lt;=25,I513*1.25+1.5,IF(I513&lt;=60,I513*1.25+3,IF(I513&lt;=120,I513*1.25+4,I513*1.25+5))),
""))),2)</f>
        <v>359.34</v>
      </c>
      <c r="I513" s="9">
        <f>($K$2+0.02)*Tabla1[[#This Row],[PRECIO $]]*1.18</f>
        <v>305.51616000000001</v>
      </c>
      <c r="J513" s="7">
        <f>+Tabla1[[#This Row],[PRECIO EN SOLES]]-Tabla1[[#This Row],[PC]]</f>
        <v>53.823839999999961</v>
      </c>
      <c r="K513" s="15"/>
      <c r="L513" s="15" t="str">
        <f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4" spans="1:12" x14ac:dyDescent="0.25">
      <c r="A514" s="3" t="s">
        <v>5294</v>
      </c>
      <c r="B514" s="3" t="s">
        <v>5295</v>
      </c>
      <c r="C514" s="1">
        <v>20</v>
      </c>
      <c r="D514" s="1">
        <v>71.099999999999994</v>
      </c>
      <c r="E514" s="1" t="s">
        <v>226</v>
      </c>
      <c r="F514" s="1" t="s">
        <v>5296</v>
      </c>
      <c r="G514" s="3" t="s">
        <v>5297</v>
      </c>
      <c r="H514" s="11">
        <f>ROUND(
IF(L512="GANCHO",
   IF(I514&lt;=50,I514*1.1+4,IF(I514&lt;=120,I514*1.1+7,IF(I514&lt;=250,I514*1.1+11,I514*1.1+19))),
IF(L512="NORMAL",
   IF(I514&lt;=30,I514*1.15+2,IF(I514&lt;=80,I514*1.15+4,IF(I514&lt;=150,I514*1.15+6,I514*1.15+8))),
IF(L512="COMPLEMENTO",
   IF(I514&lt;=25,I514*1.25+1.5,IF(I514&lt;=60,I514*1.25+3,IF(I514&lt;=120,I514*1.25+4,I514*1.25+5))),
""))),2)</f>
        <v>343.76</v>
      </c>
      <c r="I514" s="9">
        <f>($K$2+0.02)*Tabla1[[#This Row],[PRECIO $]]*1.18</f>
        <v>291.96503999999993</v>
      </c>
      <c r="J514" s="7">
        <f>+Tabla1[[#This Row],[PRECIO EN SOLES]]-Tabla1[[#This Row],[PC]]</f>
        <v>51.79496000000006</v>
      </c>
      <c r="K514" s="15"/>
      <c r="L514" s="15" t="str">
        <f>IF(
OR(
ISNUMBER(SEARCH("BACKPACK",B516)),
ISNUMBER(SEARCH("MOCHILA",B516)),
ISNUMBER(SEARCH("FUNDA",B516)),
ISNUMBER(SEARCH("ESTUCHE",B516)),
ISNUMBER(SEARCH("BOOK COVER",B516)),
ISNUMBER(SEARCH("KEYBOARD PARA TABLET",B516)),
ISNUMBER(SEARCH("FLIP TABLET",B516)),
ISNUMBER(SEARCH("CASE FOR TABLET",B516)),
ISNUMBER(SEARCH("CABLE",B516)),
ISNUMBER(SEARCH("ADAPTADOR",B516)),
ISNUMBER(SEARCH("HUB",B516)),
ISNUMBER(SEARCH("DOCK",B516)),
ISNUMBER(SEARCH("MOUSE PAD",B516)),
ISNUMBER(SEARCH("MOUSEPAD",B516)),
ISNUMBER(SEARCH("SOPORTE",B516)),
ISNUMBER(SEARCH("STAND",B516)),
ISNUMBER(SEARCH("TRAVEL ADAPTER",B516)),
ISNUMBER(SEARCH("RJ45",B516)),
ISNUMBER(SEARCH("USB-C",B516)),
ISNUMBER(SEARCH("USB WIFI",B516)),
ISNUMBER(SEARCH("POWERBANK",B516)),
ISNUMBER(SEARCH("CARGADOR",B516)),
ISNUMBER(SEARCH("COOLER PARA NB",B516)),
ISNUMBER(SEARCH("SOPORTE PARA NB",B516)),
ISNUMBER(SEARCH("WEBCAM",B516)),
ISNUMBER(SEARCH("WEB CAM",B516)),
ISNUMBER(SEARCH("MOUSE",B516)),
ISNUMBER(SEARCH("TECLADO",B516))
),
"COMPLEMENTO",
IF(
OR(
LEFT(A516,2)="NB",
LEFT(A516,2)="PC",
LEFT(A516,2)="WS",
LEFT(A516,2)="TB",
LEFT(A516,3)="CEL",
LEFT(A516,3)="MON",
LEFT(A516,3)="PRE",
LEFT(A516,3)="PRH",
ISNUMBER(SEARCH("NOTEBOOK",B516)),
ISNUMBER(SEARCH("LAPTOP",B516)),
ISNUMBER(SEARCH("MONITOR",B516)),
ISNUMBER(SEARCH("TABLET",B516)),
ISNUMBER(SEARCH("SMARTPH",B516)),
ISNUMBER(SEARCH("IMPRESORA",B516)),
ISNUMBER(SEARCH("MULTIFUNCIONAL",B516)),
ISNUMBER(SEARCH("AIO",B516))
),
"GANCHO",
"NORMAL"
)
)</f>
        <v>NORMAL</v>
      </c>
    </row>
    <row r="515" spans="1:12" x14ac:dyDescent="0.25">
      <c r="A515" s="3" t="s">
        <v>1283</v>
      </c>
      <c r="B515" s="3" t="s">
        <v>1284</v>
      </c>
      <c r="C515" s="1">
        <v>0</v>
      </c>
      <c r="D515" s="1">
        <v>59.3</v>
      </c>
      <c r="E515" s="1" t="s">
        <v>226</v>
      </c>
      <c r="F515" s="1" t="s">
        <v>3356</v>
      </c>
      <c r="G515" s="3" t="s">
        <v>1285</v>
      </c>
      <c r="H515" s="11">
        <f>ROUND(
IF(L513="GANCHO",
   IF(I515&lt;=50,I515*1.1+4,IF(I515&lt;=120,I515*1.1+7,IF(I515&lt;=250,I515*1.1+11,I515*1.1+19))),
IF(L513="NORMAL",
   IF(I515&lt;=30,I515*1.15+2,IF(I515&lt;=80,I515*1.15+4,IF(I515&lt;=150,I515*1.15+6,I515*1.15+8))),
IF(L513="COMPLEMENTO",
   IF(I515&lt;=25,I515*1.25+1.5,IF(I515&lt;=60,I515*1.25+3,IF(I515&lt;=120,I515*1.25+4,I515*1.25+5))),
""))),2)</f>
        <v>288.04000000000002</v>
      </c>
      <c r="I515" s="9">
        <f>($K$2+0.02)*Tabla1[[#This Row],[PRECIO $]]*1.18</f>
        <v>243.50951999999995</v>
      </c>
      <c r="J515" s="7">
        <f>+Tabla1[[#This Row],[PRECIO EN SOLES]]-Tabla1[[#This Row],[PC]]</f>
        <v>44.530480000000068</v>
      </c>
      <c r="K515" s="15"/>
      <c r="L515" s="15" t="str">
        <f>IF(
OR(
ISNUMBER(SEARCH("BACKPACK",B517)),
ISNUMBER(SEARCH("MOCHILA",B517)),
ISNUMBER(SEARCH("FUNDA",B517)),
ISNUMBER(SEARCH("ESTUCHE",B517)),
ISNUMBER(SEARCH("BOOK COVER",B517)),
ISNUMBER(SEARCH("KEYBOARD PARA TABLET",B517)),
ISNUMBER(SEARCH("FLIP TABLET",B517)),
ISNUMBER(SEARCH("CASE FOR TABLET",B517)),
ISNUMBER(SEARCH("CABLE",B517)),
ISNUMBER(SEARCH("ADAPTADOR",B517)),
ISNUMBER(SEARCH("HUB",B517)),
ISNUMBER(SEARCH("DOCK",B517)),
ISNUMBER(SEARCH("MOUSE PAD",B517)),
ISNUMBER(SEARCH("MOUSEPAD",B517)),
ISNUMBER(SEARCH("SOPORTE",B517)),
ISNUMBER(SEARCH("STAND",B517)),
ISNUMBER(SEARCH("TRAVEL ADAPTER",B517)),
ISNUMBER(SEARCH("RJ45",B517)),
ISNUMBER(SEARCH("USB-C",B517)),
ISNUMBER(SEARCH("USB WIFI",B517)),
ISNUMBER(SEARCH("POWERBANK",B517)),
ISNUMBER(SEARCH("CARGADOR",B517)),
ISNUMBER(SEARCH("COOLER PARA NB",B517)),
ISNUMBER(SEARCH("SOPORTE PARA NB",B517)),
ISNUMBER(SEARCH("WEBCAM",B517)),
ISNUMBER(SEARCH("WEB CAM",B517)),
ISNUMBER(SEARCH("MOUSE",B517)),
ISNUMBER(SEARCH("TECLADO",B517))
),
"COMPLEMENTO",
IF(
OR(
LEFT(A517,2)="NB",
LEFT(A517,2)="PC",
LEFT(A517,2)="WS",
LEFT(A517,2)="TB",
LEFT(A517,3)="CEL",
LEFT(A517,3)="MON",
LEFT(A517,3)="PRE",
LEFT(A517,3)="PRH",
ISNUMBER(SEARCH("NOTEBOOK",B517)),
ISNUMBER(SEARCH("LAPTOP",B517)),
ISNUMBER(SEARCH("MONITOR",B517)),
ISNUMBER(SEARCH("TABLET",B517)),
ISNUMBER(SEARCH("SMARTPH",B517)),
ISNUMBER(SEARCH("IMPRESORA",B517)),
ISNUMBER(SEARCH("MULTIFUNCIONAL",B517)),
ISNUMBER(SEARCH("AIO",B517))
),
"GANCHO",
"NORMAL"
)
)</f>
        <v>NORMAL</v>
      </c>
    </row>
    <row r="516" spans="1:12" x14ac:dyDescent="0.25">
      <c r="A516" s="3" t="s">
        <v>5909</v>
      </c>
      <c r="B516" s="3" t="s">
        <v>5910</v>
      </c>
      <c r="C516" s="1">
        <v>20</v>
      </c>
      <c r="D516" s="1">
        <v>74.2</v>
      </c>
      <c r="E516" s="1" t="s">
        <v>121</v>
      </c>
      <c r="F516" s="1" t="s">
        <v>5911</v>
      </c>
      <c r="G516" s="3" t="s">
        <v>5912</v>
      </c>
      <c r="H516" s="11">
        <f>ROUND(
IF(L514="GANCHO",
   IF(I516&lt;=50,I516*1.1+4,IF(I516&lt;=120,I516*1.1+7,IF(I516&lt;=250,I516*1.1+11,I516*1.1+19))),
IF(L514="NORMAL",
   IF(I516&lt;=30,I516*1.15+2,IF(I516&lt;=80,I516*1.15+4,IF(I516&lt;=150,I516*1.15+6,I516*1.15+8))),
IF(L514="COMPLEMENTO",
   IF(I516&lt;=25,I516*1.25+1.5,IF(I516&lt;=60,I516*1.25+3,IF(I516&lt;=120,I516*1.25+4,I516*1.25+5))),
""))),2)</f>
        <v>358.4</v>
      </c>
      <c r="I516" s="9">
        <f>($K$2+0.02)*Tabla1[[#This Row],[PRECIO $]]*1.18</f>
        <v>304.69488000000001</v>
      </c>
      <c r="J516" s="7">
        <f>+Tabla1[[#This Row],[PRECIO EN SOLES]]-Tabla1[[#This Row],[PC]]</f>
        <v>53.705119999999965</v>
      </c>
      <c r="K516" s="15"/>
      <c r="L516" s="15" t="str">
        <f>IF(
OR(
ISNUMBER(SEARCH("BACKPACK",B518)),
ISNUMBER(SEARCH("MOCHILA",B518)),
ISNUMBER(SEARCH("FUNDA",B518)),
ISNUMBER(SEARCH("ESTUCHE",B518)),
ISNUMBER(SEARCH("BOOK COVER",B518)),
ISNUMBER(SEARCH("KEYBOARD PARA TABLET",B518)),
ISNUMBER(SEARCH("FLIP TABLET",B518)),
ISNUMBER(SEARCH("CASE FOR TABLET",B518)),
ISNUMBER(SEARCH("CABLE",B518)),
ISNUMBER(SEARCH("ADAPTADOR",B518)),
ISNUMBER(SEARCH("HUB",B518)),
ISNUMBER(SEARCH("DOCK",B518)),
ISNUMBER(SEARCH("MOUSE PAD",B518)),
ISNUMBER(SEARCH("MOUSEPAD",B518)),
ISNUMBER(SEARCH("SOPORTE",B518)),
ISNUMBER(SEARCH("STAND",B518)),
ISNUMBER(SEARCH("TRAVEL ADAPTER",B518)),
ISNUMBER(SEARCH("RJ45",B518)),
ISNUMBER(SEARCH("USB-C",B518)),
ISNUMBER(SEARCH("USB WIFI",B518)),
ISNUMBER(SEARCH("POWERBANK",B518)),
ISNUMBER(SEARCH("CARGADOR",B518)),
ISNUMBER(SEARCH("COOLER PARA NB",B518)),
ISNUMBER(SEARCH("SOPORTE PARA NB",B518)),
ISNUMBER(SEARCH("WEBCAM",B518)),
ISNUMBER(SEARCH("WEB CAM",B518)),
ISNUMBER(SEARCH("MOUSE",B518)),
ISNUMBER(SEARCH("TECLADO",B518))
),
"COMPLEMENTO",
IF(
OR(
LEFT(A518,2)="NB",
LEFT(A518,2)="PC",
LEFT(A518,2)="WS",
LEFT(A518,2)="TB",
LEFT(A518,3)="CEL",
LEFT(A518,3)="MON",
LEFT(A518,3)="PRE",
LEFT(A518,3)="PRH",
ISNUMBER(SEARCH("NOTEBOOK",B518)),
ISNUMBER(SEARCH("LAPTOP",B518)),
ISNUMBER(SEARCH("MONITOR",B518)),
ISNUMBER(SEARCH("TABLET",B518)),
ISNUMBER(SEARCH("SMARTPH",B518)),
ISNUMBER(SEARCH("IMPRESORA",B518)),
ISNUMBER(SEARCH("MULTIFUNCIONAL",B518)),
ISNUMBER(SEARCH("AIO",B518))
),
"GANCHO",
"NORMAL"
)
)</f>
        <v>NORMAL</v>
      </c>
    </row>
    <row r="517" spans="1:12" x14ac:dyDescent="0.25">
      <c r="A517" s="3" t="s">
        <v>5913</v>
      </c>
      <c r="B517" s="3" t="s">
        <v>5914</v>
      </c>
      <c r="C517" s="1">
        <v>20</v>
      </c>
      <c r="D517" s="1">
        <v>59.95</v>
      </c>
      <c r="E517" s="1" t="s">
        <v>121</v>
      </c>
      <c r="F517" s="1" t="s">
        <v>5915</v>
      </c>
      <c r="G517" s="3" t="s">
        <v>5916</v>
      </c>
      <c r="H517" s="11">
        <f>ROUND(
IF(L515="GANCHO",
   IF(I517&lt;=50,I517*1.1+4,IF(I517&lt;=120,I517*1.1+7,IF(I517&lt;=250,I517*1.1+11,I517*1.1+19))),
IF(L515="NORMAL",
   IF(I517&lt;=30,I517*1.15+2,IF(I517&lt;=80,I517*1.15+4,IF(I517&lt;=150,I517*1.15+6,I517*1.15+8))),
IF(L515="COMPLEMENTO",
   IF(I517&lt;=25,I517*1.25+1.5,IF(I517&lt;=60,I517*1.25+3,IF(I517&lt;=120,I517*1.25+4,I517*1.25+5))),
""))),2)</f>
        <v>291.11</v>
      </c>
      <c r="I517" s="9">
        <f>($K$2+0.02)*Tabla1[[#This Row],[PRECIO $]]*1.18</f>
        <v>246.17867999999999</v>
      </c>
      <c r="J517" s="7">
        <f>+Tabla1[[#This Row],[PRECIO EN SOLES]]-Tabla1[[#This Row],[PC]]</f>
        <v>44.931320000000028</v>
      </c>
      <c r="K517" s="15"/>
      <c r="L517" s="15" t="str">
        <f>IF(
OR(
ISNUMBER(SEARCH("BACKPACK",B519)),
ISNUMBER(SEARCH("MOCHILA",B519)),
ISNUMBER(SEARCH("FUNDA",B519)),
ISNUMBER(SEARCH("ESTUCHE",B519)),
ISNUMBER(SEARCH("BOOK COVER",B519)),
ISNUMBER(SEARCH("KEYBOARD PARA TABLET",B519)),
ISNUMBER(SEARCH("FLIP TABLET",B519)),
ISNUMBER(SEARCH("CASE FOR TABLET",B519)),
ISNUMBER(SEARCH("CABLE",B519)),
ISNUMBER(SEARCH("ADAPTADOR",B519)),
ISNUMBER(SEARCH("HUB",B519)),
ISNUMBER(SEARCH("DOCK",B519)),
ISNUMBER(SEARCH("MOUSE PAD",B519)),
ISNUMBER(SEARCH("MOUSEPAD",B519)),
ISNUMBER(SEARCH("SOPORTE",B519)),
ISNUMBER(SEARCH("STAND",B519)),
ISNUMBER(SEARCH("TRAVEL ADAPTER",B519)),
ISNUMBER(SEARCH("RJ45",B519)),
ISNUMBER(SEARCH("USB-C",B519)),
ISNUMBER(SEARCH("USB WIFI",B519)),
ISNUMBER(SEARCH("POWERBANK",B519)),
ISNUMBER(SEARCH("CARGADOR",B519)),
ISNUMBER(SEARCH("COOLER PARA NB",B519)),
ISNUMBER(SEARCH("SOPORTE PARA NB",B519)),
ISNUMBER(SEARCH("WEBCAM",B519)),
ISNUMBER(SEARCH("WEB CAM",B519)),
ISNUMBER(SEARCH("MOUSE",B519)),
ISNUMBER(SEARCH("TECLADO",B519))
),
"COMPLEMENTO",
IF(
OR(
LEFT(A519,2)="NB",
LEFT(A519,2)="PC",
LEFT(A519,2)="WS",
LEFT(A519,2)="TB",
LEFT(A519,3)="CEL",
LEFT(A519,3)="MON",
LEFT(A519,3)="PRE",
LEFT(A519,3)="PRH",
ISNUMBER(SEARCH("NOTEBOOK",B519)),
ISNUMBER(SEARCH("LAPTOP",B519)),
ISNUMBER(SEARCH("MONITOR",B519)),
ISNUMBER(SEARCH("TABLET",B519)),
ISNUMBER(SEARCH("SMARTPH",B519)),
ISNUMBER(SEARCH("IMPRESORA",B519)),
ISNUMBER(SEARCH("MULTIFUNCIONAL",B519)),
ISNUMBER(SEARCH("AIO",B519))
),
"GANCHO",
"NORMAL"
)
)</f>
        <v>NORMAL</v>
      </c>
    </row>
    <row r="518" spans="1:12" x14ac:dyDescent="0.25">
      <c r="A518" s="3" t="s">
        <v>5917</v>
      </c>
      <c r="B518" s="3" t="s">
        <v>5918</v>
      </c>
      <c r="C518" s="1">
        <v>20</v>
      </c>
      <c r="D518" s="1">
        <v>57.85</v>
      </c>
      <c r="E518" s="1" t="s">
        <v>121</v>
      </c>
      <c r="F518" s="1" t="s">
        <v>5919</v>
      </c>
      <c r="G518" s="3" t="s">
        <v>5920</v>
      </c>
      <c r="H518" s="11">
        <f>ROUND(
IF(L516="GANCHO",
   IF(I518&lt;=50,I518*1.1+4,IF(I518&lt;=120,I518*1.1+7,IF(I518&lt;=250,I518*1.1+11,I518*1.1+19))),
IF(L516="NORMAL",
   IF(I518&lt;=30,I518*1.15+2,IF(I518&lt;=80,I518*1.15+4,IF(I518&lt;=150,I518*1.15+6,I518*1.15+8))),
IF(L516="COMPLEMENTO",
   IF(I518&lt;=25,I518*1.25+1.5,IF(I518&lt;=60,I518*1.25+3,IF(I518&lt;=120,I518*1.25+4,I518*1.25+5))),
""))),2)</f>
        <v>281.19</v>
      </c>
      <c r="I518" s="9">
        <f>($K$2+0.02)*Tabla1[[#This Row],[PRECIO $]]*1.18</f>
        <v>237.55524</v>
      </c>
      <c r="J518" s="7">
        <f>+Tabla1[[#This Row],[PRECIO EN SOLES]]-Tabla1[[#This Row],[PC]]</f>
        <v>43.63476</v>
      </c>
      <c r="K518" s="15"/>
      <c r="L518" s="15" t="str">
        <f>IF(
OR(
ISNUMBER(SEARCH("BACKPACK",B520)),
ISNUMBER(SEARCH("MOCHILA",B520)),
ISNUMBER(SEARCH("FUNDA",B520)),
ISNUMBER(SEARCH("ESTUCHE",B520)),
ISNUMBER(SEARCH("BOOK COVER",B520)),
ISNUMBER(SEARCH("KEYBOARD PARA TABLET",B520)),
ISNUMBER(SEARCH("FLIP TABLET",B520)),
ISNUMBER(SEARCH("CASE FOR TABLET",B520)),
ISNUMBER(SEARCH("CABLE",B520)),
ISNUMBER(SEARCH("ADAPTADOR",B520)),
ISNUMBER(SEARCH("HUB",B520)),
ISNUMBER(SEARCH("DOCK",B520)),
ISNUMBER(SEARCH("MOUSE PAD",B520)),
ISNUMBER(SEARCH("MOUSEPAD",B520)),
ISNUMBER(SEARCH("SOPORTE",B520)),
ISNUMBER(SEARCH("STAND",B520)),
ISNUMBER(SEARCH("TRAVEL ADAPTER",B520)),
ISNUMBER(SEARCH("RJ45",B520)),
ISNUMBER(SEARCH("USB-C",B520)),
ISNUMBER(SEARCH("USB WIFI",B520)),
ISNUMBER(SEARCH("POWERBANK",B520)),
ISNUMBER(SEARCH("CARGADOR",B520)),
ISNUMBER(SEARCH("COOLER PARA NB",B520)),
ISNUMBER(SEARCH("SOPORTE PARA NB",B520)),
ISNUMBER(SEARCH("WEBCAM",B520)),
ISNUMBER(SEARCH("WEB CAM",B520)),
ISNUMBER(SEARCH("MOUSE",B520)),
ISNUMBER(SEARCH("TECLADO",B520))
),
"COMPLEMENTO",
IF(
OR(
LEFT(A520,2)="NB",
LEFT(A520,2)="PC",
LEFT(A520,2)="WS",
LEFT(A520,2)="TB",
LEFT(A520,3)="CEL",
LEFT(A520,3)="MON",
LEFT(A520,3)="PRE",
LEFT(A520,3)="PRH",
ISNUMBER(SEARCH("NOTEBOOK",B520)),
ISNUMBER(SEARCH("LAPTOP",B520)),
ISNUMBER(SEARCH("MONITOR",B520)),
ISNUMBER(SEARCH("TABLET",B520)),
ISNUMBER(SEARCH("SMARTPH",B520)),
ISNUMBER(SEARCH("IMPRESORA",B520)),
ISNUMBER(SEARCH("MULTIFUNCIONAL",B520)),
ISNUMBER(SEARCH("AIO",B520))
),
"GANCHO",
"NORMAL"
)
)</f>
        <v>NORMAL</v>
      </c>
    </row>
    <row r="519" spans="1:12" x14ac:dyDescent="0.25">
      <c r="A519" s="3" t="s">
        <v>1286</v>
      </c>
      <c r="B519" s="3" t="s">
        <v>1287</v>
      </c>
      <c r="C519" s="1">
        <v>12</v>
      </c>
      <c r="D519" s="1">
        <v>60.35</v>
      </c>
      <c r="E519" s="1" t="s">
        <v>906</v>
      </c>
      <c r="F519" s="1" t="s">
        <v>3357</v>
      </c>
      <c r="G519" s="3" t="s">
        <v>1288</v>
      </c>
      <c r="H519" s="11">
        <f>ROUND(
IF(L517="GANCHO",
   IF(I519&lt;=50,I519*1.1+4,IF(I519&lt;=120,I519*1.1+7,IF(I519&lt;=250,I519*1.1+11,I519*1.1+19))),
IF(L517="NORMAL",
   IF(I519&lt;=30,I519*1.15+2,IF(I519&lt;=80,I519*1.15+4,IF(I519&lt;=150,I519*1.15+6,I519*1.15+8))),
IF(L517="COMPLEMENTO",
   IF(I519&lt;=25,I519*1.25+1.5,IF(I519&lt;=60,I519*1.25+3,IF(I519&lt;=120,I519*1.25+4,I519*1.25+5))),
""))),2)</f>
        <v>292.99</v>
      </c>
      <c r="I519" s="9">
        <f>($K$2+0.02)*Tabla1[[#This Row],[PRECIO $]]*1.18</f>
        <v>247.82123999999999</v>
      </c>
      <c r="J519" s="7">
        <f>+Tabla1[[#This Row],[PRECIO EN SOLES]]-Tabla1[[#This Row],[PC]]</f>
        <v>45.16876000000002</v>
      </c>
      <c r="K519" s="15"/>
      <c r="L519" s="15" t="str">
        <f>IF(
OR(
ISNUMBER(SEARCH("BACKPACK",B521)),
ISNUMBER(SEARCH("MOCHILA",B521)),
ISNUMBER(SEARCH("FUNDA",B521)),
ISNUMBER(SEARCH("ESTUCHE",B521)),
ISNUMBER(SEARCH("BOOK COVER",B521)),
ISNUMBER(SEARCH("KEYBOARD PARA TABLET",B521)),
ISNUMBER(SEARCH("FLIP TABLET",B521)),
ISNUMBER(SEARCH("CASE FOR TABLET",B521)),
ISNUMBER(SEARCH("CABLE",B521)),
ISNUMBER(SEARCH("ADAPTADOR",B521)),
ISNUMBER(SEARCH("HUB",B521)),
ISNUMBER(SEARCH("DOCK",B521)),
ISNUMBER(SEARCH("MOUSE PAD",B521)),
ISNUMBER(SEARCH("MOUSEPAD",B521)),
ISNUMBER(SEARCH("SOPORTE",B521)),
ISNUMBER(SEARCH("STAND",B521)),
ISNUMBER(SEARCH("TRAVEL ADAPTER",B521)),
ISNUMBER(SEARCH("RJ45",B521)),
ISNUMBER(SEARCH("USB-C",B521)),
ISNUMBER(SEARCH("USB WIFI",B521)),
ISNUMBER(SEARCH("POWERBANK",B521)),
ISNUMBER(SEARCH("CARGADOR",B521)),
ISNUMBER(SEARCH("COOLER PARA NB",B521)),
ISNUMBER(SEARCH("SOPORTE PARA NB",B521)),
ISNUMBER(SEARCH("WEBCAM",B521)),
ISNUMBER(SEARCH("WEB CAM",B521)),
ISNUMBER(SEARCH("MOUSE",B521)),
ISNUMBER(SEARCH("TECLADO",B521))
),
"COMPLEMENTO",
IF(
OR(
LEFT(A521,2)="NB",
LEFT(A521,2)="PC",
LEFT(A521,2)="WS",
LEFT(A521,2)="TB",
LEFT(A521,3)="CEL",
LEFT(A521,3)="MON",
LEFT(A521,3)="PRE",
LEFT(A521,3)="PRH",
ISNUMBER(SEARCH("NOTEBOOK",B521)),
ISNUMBER(SEARCH("LAPTOP",B521)),
ISNUMBER(SEARCH("MONITOR",B521)),
ISNUMBER(SEARCH("TABLET",B521)),
ISNUMBER(SEARCH("SMARTPH",B521)),
ISNUMBER(SEARCH("IMPRESORA",B521)),
ISNUMBER(SEARCH("MULTIFUNCIONAL",B521)),
ISNUMBER(SEARCH("AIO",B521))
),
"GANCHO",
"NORMAL"
)
)</f>
        <v>NORMAL</v>
      </c>
    </row>
    <row r="520" spans="1:12" x14ac:dyDescent="0.25">
      <c r="A520" s="3" t="s">
        <v>5298</v>
      </c>
      <c r="B520" s="3" t="s">
        <v>5299</v>
      </c>
      <c r="C520" s="1">
        <v>20</v>
      </c>
      <c r="D520" s="1">
        <v>127.7</v>
      </c>
      <c r="E520" s="1" t="s">
        <v>115</v>
      </c>
      <c r="F520" s="1" t="s">
        <v>5300</v>
      </c>
      <c r="G520" s="3" t="s">
        <v>5301</v>
      </c>
      <c r="H520" s="11">
        <f>ROUND(
IF(L518="GANCHO",
   IF(I520&lt;=50,I520*1.1+4,IF(I520&lt;=120,I520*1.1+7,IF(I520&lt;=250,I520*1.1+11,I520*1.1+19))),
IF(L518="NORMAL",
   IF(I520&lt;=30,I520*1.15+2,IF(I520&lt;=80,I520*1.15+4,IF(I520&lt;=150,I520*1.15+6,I520*1.15+8))),
IF(L518="COMPLEMENTO",
   IF(I520&lt;=25,I520*1.25+1.5,IF(I520&lt;=60,I520*1.25+3,IF(I520&lt;=120,I520*1.25+4,I520*1.25+5))),
""))),2)</f>
        <v>611.04999999999995</v>
      </c>
      <c r="I520" s="9">
        <f>($K$2+0.02)*Tabla1[[#This Row],[PRECIO $]]*1.18</f>
        <v>524.38728000000003</v>
      </c>
      <c r="J520" s="7">
        <f>+Tabla1[[#This Row],[PRECIO EN SOLES]]-Tabla1[[#This Row],[PC]]</f>
        <v>86.662719999999922</v>
      </c>
      <c r="K520" s="15"/>
      <c r="L520" s="15" t="str">
        <f>IF(
OR(
ISNUMBER(SEARCH("BACKPACK",B522)),
ISNUMBER(SEARCH("MOCHILA",B522)),
ISNUMBER(SEARCH("FUNDA",B522)),
ISNUMBER(SEARCH("ESTUCHE",B522)),
ISNUMBER(SEARCH("BOOK COVER",B522)),
ISNUMBER(SEARCH("KEYBOARD PARA TABLET",B522)),
ISNUMBER(SEARCH("FLIP TABLET",B522)),
ISNUMBER(SEARCH("CASE FOR TABLET",B522)),
ISNUMBER(SEARCH("CABLE",B522)),
ISNUMBER(SEARCH("ADAPTADOR",B522)),
ISNUMBER(SEARCH("HUB",B522)),
ISNUMBER(SEARCH("DOCK",B522)),
ISNUMBER(SEARCH("MOUSE PAD",B522)),
ISNUMBER(SEARCH("MOUSEPAD",B522)),
ISNUMBER(SEARCH("SOPORTE",B522)),
ISNUMBER(SEARCH("STAND",B522)),
ISNUMBER(SEARCH("TRAVEL ADAPTER",B522)),
ISNUMBER(SEARCH("RJ45",B522)),
ISNUMBER(SEARCH("USB-C",B522)),
ISNUMBER(SEARCH("USB WIFI",B522)),
ISNUMBER(SEARCH("POWERBANK",B522)),
ISNUMBER(SEARCH("CARGADOR",B522)),
ISNUMBER(SEARCH("COOLER PARA NB",B522)),
ISNUMBER(SEARCH("SOPORTE PARA NB",B522)),
ISNUMBER(SEARCH("WEBCAM",B522)),
ISNUMBER(SEARCH("WEB CAM",B522)),
ISNUMBER(SEARCH("MOUSE",B522)),
ISNUMBER(SEARCH("TECLADO",B522))
),
"COMPLEMENTO",
IF(
OR(
LEFT(A522,2)="NB",
LEFT(A522,2)="PC",
LEFT(A522,2)="WS",
LEFT(A522,2)="TB",
LEFT(A522,3)="CEL",
LEFT(A522,3)="MON",
LEFT(A522,3)="PRE",
LEFT(A522,3)="PRH",
ISNUMBER(SEARCH("NOTEBOOK",B522)),
ISNUMBER(SEARCH("LAPTOP",B522)),
ISNUMBER(SEARCH("MONITOR",B522)),
ISNUMBER(SEARCH("TABLET",B522)),
ISNUMBER(SEARCH("SMARTPH",B522)),
ISNUMBER(SEARCH("IMPRESORA",B522)),
ISNUMBER(SEARCH("MULTIFUNCIONAL",B522)),
ISNUMBER(SEARCH("AIO",B522))
),
"GANCHO",
"NORMAL"
)
)</f>
        <v>NORMAL</v>
      </c>
    </row>
    <row r="521" spans="1:12" x14ac:dyDescent="0.25">
      <c r="A521" s="3" t="s">
        <v>4288</v>
      </c>
      <c r="B521" s="3" t="s">
        <v>4289</v>
      </c>
      <c r="C521" s="1">
        <v>20</v>
      </c>
      <c r="D521" s="1">
        <v>98.5</v>
      </c>
      <c r="E521" s="1" t="s">
        <v>115</v>
      </c>
      <c r="F521" s="1" t="s">
        <v>4290</v>
      </c>
      <c r="G521" s="3" t="s">
        <v>4291</v>
      </c>
      <c r="H521" s="11">
        <f>ROUND(
IF(L519="GANCHO",
   IF(I521&lt;=50,I521*1.1+4,IF(I521&lt;=120,I521*1.1+7,IF(I521&lt;=250,I521*1.1+11,I521*1.1+19))),
IF(L519="NORMAL",
   IF(I521&lt;=30,I521*1.15+2,IF(I521&lt;=80,I521*1.15+4,IF(I521&lt;=150,I521*1.15+6,I521*1.15+8))),
IF(L519="COMPLEMENTO",
   IF(I521&lt;=25,I521*1.25+1.5,IF(I521&lt;=60,I521*1.25+3,IF(I521&lt;=120,I521*1.25+4,I521*1.25+5))),
""))),2)</f>
        <v>473.15</v>
      </c>
      <c r="I521" s="9">
        <f>($K$2+0.02)*Tabla1[[#This Row],[PRECIO $]]*1.18</f>
        <v>404.48039999999997</v>
      </c>
      <c r="J521" s="7">
        <f>+Tabla1[[#This Row],[PRECIO EN SOLES]]-Tabla1[[#This Row],[PC]]</f>
        <v>68.669600000000003</v>
      </c>
      <c r="K521" s="15"/>
      <c r="L521" s="15" t="str">
        <f>IF(
OR(
ISNUMBER(SEARCH("BACKPACK",B523)),
ISNUMBER(SEARCH("MOCHILA",B523)),
ISNUMBER(SEARCH("FUNDA",B523)),
ISNUMBER(SEARCH("ESTUCHE",B523)),
ISNUMBER(SEARCH("BOOK COVER",B523)),
ISNUMBER(SEARCH("KEYBOARD PARA TABLET",B523)),
ISNUMBER(SEARCH("FLIP TABLET",B523)),
ISNUMBER(SEARCH("CASE FOR TABLET",B523)),
ISNUMBER(SEARCH("CABLE",B523)),
ISNUMBER(SEARCH("ADAPTADOR",B523)),
ISNUMBER(SEARCH("HUB",B523)),
ISNUMBER(SEARCH("DOCK",B523)),
ISNUMBER(SEARCH("MOUSE PAD",B523)),
ISNUMBER(SEARCH("MOUSEPAD",B523)),
ISNUMBER(SEARCH("SOPORTE",B523)),
ISNUMBER(SEARCH("STAND",B523)),
ISNUMBER(SEARCH("TRAVEL ADAPTER",B523)),
ISNUMBER(SEARCH("RJ45",B523)),
ISNUMBER(SEARCH("USB-C",B523)),
ISNUMBER(SEARCH("USB WIFI",B523)),
ISNUMBER(SEARCH("POWERBANK",B523)),
ISNUMBER(SEARCH("CARGADOR",B523)),
ISNUMBER(SEARCH("COOLER PARA NB",B523)),
ISNUMBER(SEARCH("SOPORTE PARA NB",B523)),
ISNUMBER(SEARCH("WEBCAM",B523)),
ISNUMBER(SEARCH("WEB CAM",B523)),
ISNUMBER(SEARCH("MOUSE",B523)),
ISNUMBER(SEARCH("TECLADO",B523))
),
"COMPLEMENTO",
IF(
OR(
LEFT(A523,2)="NB",
LEFT(A523,2)="PC",
LEFT(A523,2)="WS",
LEFT(A523,2)="TB",
LEFT(A523,3)="CEL",
LEFT(A523,3)="MON",
LEFT(A523,3)="PRE",
LEFT(A523,3)="PRH",
ISNUMBER(SEARCH("NOTEBOOK",B523)),
ISNUMBER(SEARCH("LAPTOP",B523)),
ISNUMBER(SEARCH("MONITOR",B523)),
ISNUMBER(SEARCH("TABLET",B523)),
ISNUMBER(SEARCH("SMARTPH",B523)),
ISNUMBER(SEARCH("IMPRESORA",B523)),
ISNUMBER(SEARCH("MULTIFUNCIONAL",B523)),
ISNUMBER(SEARCH("AIO",B523))
),
"GANCHO",
"NORMAL"
)
)</f>
        <v>NORMAL</v>
      </c>
    </row>
    <row r="522" spans="1:12" x14ac:dyDescent="0.25">
      <c r="A522" s="3" t="s">
        <v>6292</v>
      </c>
      <c r="B522" s="3" t="s">
        <v>6293</v>
      </c>
      <c r="C522" s="1">
        <v>3</v>
      </c>
      <c r="D522" s="1">
        <v>89.4</v>
      </c>
      <c r="E522" s="1" t="s">
        <v>115</v>
      </c>
      <c r="F522" s="1" t="s">
        <v>6294</v>
      </c>
      <c r="G522" s="3" t="s">
        <v>6295</v>
      </c>
      <c r="H522" s="11">
        <f>ROUND(
IF(L520="GANCHO",
   IF(I522&lt;=50,I522*1.1+4,IF(I522&lt;=120,I522*1.1+7,IF(I522&lt;=250,I522*1.1+11,I522*1.1+19))),
IF(L520="NORMAL",
   IF(I522&lt;=30,I522*1.15+2,IF(I522&lt;=80,I522*1.15+4,IF(I522&lt;=150,I522*1.15+6,I522*1.15+8))),
IF(L520="COMPLEMENTO",
   IF(I522&lt;=25,I522*1.25+1.5,IF(I522&lt;=60,I522*1.25+3,IF(I522&lt;=120,I522*1.25+4,I522*1.25+5))),
""))),2)</f>
        <v>430.18</v>
      </c>
      <c r="I522" s="9">
        <f>($K$2+0.02)*Tabla1[[#This Row],[PRECIO $]]*1.18</f>
        <v>367.11216000000002</v>
      </c>
      <c r="J522" s="7">
        <f>+Tabla1[[#This Row],[PRECIO EN SOLES]]-Tabla1[[#This Row],[PC]]</f>
        <v>63.06783999999999</v>
      </c>
      <c r="K522" s="15"/>
      <c r="L522" s="15" t="str">
        <f>IF(
OR(
ISNUMBER(SEARCH("BACKPACK",B524)),
ISNUMBER(SEARCH("MOCHILA",B524)),
ISNUMBER(SEARCH("FUNDA",B524)),
ISNUMBER(SEARCH("ESTUCHE",B524)),
ISNUMBER(SEARCH("BOOK COVER",B524)),
ISNUMBER(SEARCH("KEYBOARD PARA TABLET",B524)),
ISNUMBER(SEARCH("FLIP TABLET",B524)),
ISNUMBER(SEARCH("CASE FOR TABLET",B524)),
ISNUMBER(SEARCH("CABLE",B524)),
ISNUMBER(SEARCH("ADAPTADOR",B524)),
ISNUMBER(SEARCH("HUB",B524)),
ISNUMBER(SEARCH("DOCK",B524)),
ISNUMBER(SEARCH("MOUSE PAD",B524)),
ISNUMBER(SEARCH("MOUSEPAD",B524)),
ISNUMBER(SEARCH("SOPORTE",B524)),
ISNUMBER(SEARCH("STAND",B524)),
ISNUMBER(SEARCH("TRAVEL ADAPTER",B524)),
ISNUMBER(SEARCH("RJ45",B524)),
ISNUMBER(SEARCH("USB-C",B524)),
ISNUMBER(SEARCH("USB WIFI",B524)),
ISNUMBER(SEARCH("POWERBANK",B524)),
ISNUMBER(SEARCH("CARGADOR",B524)),
ISNUMBER(SEARCH("COOLER PARA NB",B524)),
ISNUMBER(SEARCH("SOPORTE PARA NB",B524)),
ISNUMBER(SEARCH("WEBCAM",B524)),
ISNUMBER(SEARCH("WEB CAM",B524)),
ISNUMBER(SEARCH("MOUSE",B524)),
ISNUMBER(SEARCH("TECLADO",B524))
),
"COMPLEMENTO",
IF(
OR(
LEFT(A524,2)="NB",
LEFT(A524,2)="PC",
LEFT(A524,2)="WS",
LEFT(A524,2)="TB",
LEFT(A524,3)="CEL",
LEFT(A524,3)="MON",
LEFT(A524,3)="PRE",
LEFT(A524,3)="PRH",
ISNUMBER(SEARCH("NOTEBOOK",B524)),
ISNUMBER(SEARCH("LAPTOP",B524)),
ISNUMBER(SEARCH("MONITOR",B524)),
ISNUMBER(SEARCH("TABLET",B524)),
ISNUMBER(SEARCH("SMARTPH",B524)),
ISNUMBER(SEARCH("IMPRESORA",B524)),
ISNUMBER(SEARCH("MULTIFUNCIONAL",B524)),
ISNUMBER(SEARCH("AIO",B524))
),
"GANCHO",
"NORMAL"
)
)</f>
        <v>NORMAL</v>
      </c>
    </row>
    <row r="523" spans="1:12" x14ac:dyDescent="0.25">
      <c r="A523" s="3" t="s">
        <v>1289</v>
      </c>
      <c r="B523" s="3" t="s">
        <v>1290</v>
      </c>
      <c r="C523" s="1">
        <v>20</v>
      </c>
      <c r="D523" s="1">
        <v>63.8</v>
      </c>
      <c r="E523" s="1" t="s">
        <v>115</v>
      </c>
      <c r="F523" s="1" t="s">
        <v>3358</v>
      </c>
      <c r="G523" s="3" t="s">
        <v>1291</v>
      </c>
      <c r="H523" s="11">
        <f>ROUND(
IF(L521="GANCHO",
   IF(I523&lt;=50,I523*1.1+4,IF(I523&lt;=120,I523*1.1+7,IF(I523&lt;=250,I523*1.1+11,I523*1.1+19))),
IF(L521="NORMAL",
   IF(I523&lt;=30,I523*1.15+2,IF(I523&lt;=80,I523*1.15+4,IF(I523&lt;=150,I523*1.15+6,I523*1.15+8))),
IF(L521="COMPLEMENTO",
   IF(I523&lt;=25,I523*1.25+1.5,IF(I523&lt;=60,I523*1.25+3,IF(I523&lt;=120,I523*1.25+4,I523*1.25+5))),
""))),2)</f>
        <v>309.29000000000002</v>
      </c>
      <c r="I523" s="9">
        <f>($K$2+0.02)*Tabla1[[#This Row],[PRECIO $]]*1.18</f>
        <v>261.98831999999999</v>
      </c>
      <c r="J523" s="7">
        <f>+Tabla1[[#This Row],[PRECIO EN SOLES]]-Tabla1[[#This Row],[PC]]</f>
        <v>47.301680000000033</v>
      </c>
      <c r="K523" s="15"/>
      <c r="L523" s="15" t="str">
        <f>IF(
OR(
ISNUMBER(SEARCH("BACKPACK",B525)),
ISNUMBER(SEARCH("MOCHILA",B525)),
ISNUMBER(SEARCH("FUNDA",B525)),
ISNUMBER(SEARCH("ESTUCHE",B525)),
ISNUMBER(SEARCH("BOOK COVER",B525)),
ISNUMBER(SEARCH("KEYBOARD PARA TABLET",B525)),
ISNUMBER(SEARCH("FLIP TABLET",B525)),
ISNUMBER(SEARCH("CASE FOR TABLET",B525)),
ISNUMBER(SEARCH("CABLE",B525)),
ISNUMBER(SEARCH("ADAPTADOR",B525)),
ISNUMBER(SEARCH("HUB",B525)),
ISNUMBER(SEARCH("DOCK",B525)),
ISNUMBER(SEARCH("MOUSE PAD",B525)),
ISNUMBER(SEARCH("MOUSEPAD",B525)),
ISNUMBER(SEARCH("SOPORTE",B525)),
ISNUMBER(SEARCH("STAND",B525)),
ISNUMBER(SEARCH("TRAVEL ADAPTER",B525)),
ISNUMBER(SEARCH("RJ45",B525)),
ISNUMBER(SEARCH("USB-C",B525)),
ISNUMBER(SEARCH("USB WIFI",B525)),
ISNUMBER(SEARCH("POWERBANK",B525)),
ISNUMBER(SEARCH("CARGADOR",B525)),
ISNUMBER(SEARCH("COOLER PARA NB",B525)),
ISNUMBER(SEARCH("SOPORTE PARA NB",B525)),
ISNUMBER(SEARCH("WEBCAM",B525)),
ISNUMBER(SEARCH("WEB CAM",B525)),
ISNUMBER(SEARCH("MOUSE",B525)),
ISNUMBER(SEARCH("TECLADO",B525))
),
"COMPLEMENTO",
IF(
OR(
LEFT(A525,2)="NB",
LEFT(A525,2)="PC",
LEFT(A525,2)="WS",
LEFT(A525,2)="TB",
LEFT(A525,3)="CEL",
LEFT(A525,3)="MON",
LEFT(A525,3)="PRE",
LEFT(A525,3)="PRH",
ISNUMBER(SEARCH("NOTEBOOK",B525)),
ISNUMBER(SEARCH("LAPTOP",B525)),
ISNUMBER(SEARCH("MONITOR",B525)),
ISNUMBER(SEARCH("TABLET",B525)),
ISNUMBER(SEARCH("SMARTPH",B525)),
ISNUMBER(SEARCH("IMPRESORA",B525)),
ISNUMBER(SEARCH("MULTIFUNCIONAL",B525)),
ISNUMBER(SEARCH("AIO",B525))
),
"GANCHO",
"NORMAL"
)
)</f>
        <v>NORMAL</v>
      </c>
    </row>
    <row r="524" spans="1:12" x14ac:dyDescent="0.25">
      <c r="A524" s="3" t="s">
        <v>1292</v>
      </c>
      <c r="B524" s="3" t="s">
        <v>1293</v>
      </c>
      <c r="C524" s="1">
        <v>0</v>
      </c>
      <c r="D524" s="1">
        <v>178</v>
      </c>
      <c r="E524" s="1" t="s">
        <v>115</v>
      </c>
      <c r="F524" s="1" t="s">
        <v>3359</v>
      </c>
      <c r="G524" s="3" t="s">
        <v>1294</v>
      </c>
      <c r="H524" s="11">
        <f>ROUND(
IF(L522="GANCHO",
   IF(I524&lt;=50,I524*1.1+4,IF(I524&lt;=120,I524*1.1+7,IF(I524&lt;=250,I524*1.1+11,I524*1.1+19))),
IF(L522="NORMAL",
   IF(I524&lt;=30,I524*1.15+2,IF(I524&lt;=80,I524*1.15+4,IF(I524&lt;=150,I524*1.15+6,I524*1.15+8))),
IF(L522="COMPLEMENTO",
   IF(I524&lt;=25,I524*1.25+1.5,IF(I524&lt;=60,I524*1.25+3,IF(I524&lt;=120,I524*1.25+4,I524*1.25+5))),
""))),2)</f>
        <v>848.58</v>
      </c>
      <c r="I524" s="9">
        <f>($K$2+0.02)*Tabla1[[#This Row],[PRECIO $]]*1.18</f>
        <v>730.93919999999991</v>
      </c>
      <c r="J524" s="7">
        <f>+Tabla1[[#This Row],[PRECIO EN SOLES]]-Tabla1[[#This Row],[PC]]</f>
        <v>117.64080000000013</v>
      </c>
      <c r="K524" s="15"/>
      <c r="L524" s="15" t="str">
        <f>IF(
OR(
ISNUMBER(SEARCH("BACKPACK",B526)),
ISNUMBER(SEARCH("MOCHILA",B526)),
ISNUMBER(SEARCH("FUNDA",B526)),
ISNUMBER(SEARCH("ESTUCHE",B526)),
ISNUMBER(SEARCH("BOOK COVER",B526)),
ISNUMBER(SEARCH("KEYBOARD PARA TABLET",B526)),
ISNUMBER(SEARCH("FLIP TABLET",B526)),
ISNUMBER(SEARCH("CASE FOR TABLET",B526)),
ISNUMBER(SEARCH("CABLE",B526)),
ISNUMBER(SEARCH("ADAPTADOR",B526)),
ISNUMBER(SEARCH("HUB",B526)),
ISNUMBER(SEARCH("DOCK",B526)),
ISNUMBER(SEARCH("MOUSE PAD",B526)),
ISNUMBER(SEARCH("MOUSEPAD",B526)),
ISNUMBER(SEARCH("SOPORTE",B526)),
ISNUMBER(SEARCH("STAND",B526)),
ISNUMBER(SEARCH("TRAVEL ADAPTER",B526)),
ISNUMBER(SEARCH("RJ45",B526)),
ISNUMBER(SEARCH("USB-C",B526)),
ISNUMBER(SEARCH("USB WIFI",B526)),
ISNUMBER(SEARCH("POWERBANK",B526)),
ISNUMBER(SEARCH("CARGADOR",B526)),
ISNUMBER(SEARCH("COOLER PARA NB",B526)),
ISNUMBER(SEARCH("SOPORTE PARA NB",B526)),
ISNUMBER(SEARCH("WEBCAM",B526)),
ISNUMBER(SEARCH("WEB CAM",B526)),
ISNUMBER(SEARCH("MOUSE",B526)),
ISNUMBER(SEARCH("TECLADO",B526))
),
"COMPLEMENTO",
IF(
OR(
LEFT(A526,2)="NB",
LEFT(A526,2)="PC",
LEFT(A526,2)="WS",
LEFT(A526,2)="TB",
LEFT(A526,3)="CEL",
LEFT(A526,3)="MON",
LEFT(A526,3)="PRE",
LEFT(A526,3)="PRH",
ISNUMBER(SEARCH("NOTEBOOK",B526)),
ISNUMBER(SEARCH("LAPTOP",B526)),
ISNUMBER(SEARCH("MONITOR",B526)),
ISNUMBER(SEARCH("TABLET",B526)),
ISNUMBER(SEARCH("SMARTPH",B526)),
ISNUMBER(SEARCH("IMPRESORA",B526)),
ISNUMBER(SEARCH("MULTIFUNCIONAL",B526)),
ISNUMBER(SEARCH("AIO",B526))
),
"GANCHO",
"NORMAL"
)
)</f>
        <v>NORMAL</v>
      </c>
    </row>
    <row r="525" spans="1:12" x14ac:dyDescent="0.25">
      <c r="A525" s="3" t="s">
        <v>1295</v>
      </c>
      <c r="B525" s="3" t="s">
        <v>1296</v>
      </c>
      <c r="C525" s="1">
        <v>3</v>
      </c>
      <c r="D525" s="1">
        <v>115.7</v>
      </c>
      <c r="E525" s="1" t="s">
        <v>226</v>
      </c>
      <c r="F525" s="1" t="s">
        <v>3360</v>
      </c>
      <c r="G525" s="3" t="s">
        <v>1297</v>
      </c>
      <c r="H525" s="11">
        <f>ROUND(
IF(L523="GANCHO",
   IF(I525&lt;=50,I525*1.1+4,IF(I525&lt;=120,I525*1.1+7,IF(I525&lt;=250,I525*1.1+11,I525*1.1+19))),
IF(L523="NORMAL",
   IF(I525&lt;=30,I525*1.15+2,IF(I525&lt;=80,I525*1.15+4,IF(I525&lt;=150,I525*1.15+6,I525*1.15+8))),
IF(L523="COMPLEMENTO",
   IF(I525&lt;=25,I525*1.25+1.5,IF(I525&lt;=60,I525*1.25+3,IF(I525&lt;=120,I525*1.25+4,I525*1.25+5))),
""))),2)</f>
        <v>554.38</v>
      </c>
      <c r="I525" s="9">
        <f>($K$2+0.02)*Tabla1[[#This Row],[PRECIO $]]*1.18</f>
        <v>475.11048</v>
      </c>
      <c r="J525" s="7">
        <f>+Tabla1[[#This Row],[PRECIO EN SOLES]]-Tabla1[[#This Row],[PC]]</f>
        <v>79.26952</v>
      </c>
      <c r="K525" s="15"/>
      <c r="L525" s="15" t="str">
        <f>IF(
OR(
ISNUMBER(SEARCH("BACKPACK",B527)),
ISNUMBER(SEARCH("MOCHILA",B527)),
ISNUMBER(SEARCH("FUNDA",B527)),
ISNUMBER(SEARCH("ESTUCHE",B527)),
ISNUMBER(SEARCH("BOOK COVER",B527)),
ISNUMBER(SEARCH("KEYBOARD PARA TABLET",B527)),
ISNUMBER(SEARCH("FLIP TABLET",B527)),
ISNUMBER(SEARCH("CASE FOR TABLET",B527)),
ISNUMBER(SEARCH("CABLE",B527)),
ISNUMBER(SEARCH("ADAPTADOR",B527)),
ISNUMBER(SEARCH("HUB",B527)),
ISNUMBER(SEARCH("DOCK",B527)),
ISNUMBER(SEARCH("MOUSE PAD",B527)),
ISNUMBER(SEARCH("MOUSEPAD",B527)),
ISNUMBER(SEARCH("SOPORTE",B527)),
ISNUMBER(SEARCH("STAND",B527)),
ISNUMBER(SEARCH("TRAVEL ADAPTER",B527)),
ISNUMBER(SEARCH("RJ45",B527)),
ISNUMBER(SEARCH("USB-C",B527)),
ISNUMBER(SEARCH("USB WIFI",B527)),
ISNUMBER(SEARCH("POWERBANK",B527)),
ISNUMBER(SEARCH("CARGADOR",B527)),
ISNUMBER(SEARCH("COOLER PARA NB",B527)),
ISNUMBER(SEARCH("SOPORTE PARA NB",B527)),
ISNUMBER(SEARCH("WEBCAM",B527)),
ISNUMBER(SEARCH("WEB CAM",B527)),
ISNUMBER(SEARCH("MOUSE",B527)),
ISNUMBER(SEARCH("TECLADO",B527))
),
"COMPLEMENTO",
IF(
OR(
LEFT(A527,2)="NB",
LEFT(A527,2)="PC",
LEFT(A527,2)="WS",
LEFT(A527,2)="TB",
LEFT(A527,3)="CEL",
LEFT(A527,3)="MON",
LEFT(A527,3)="PRE",
LEFT(A527,3)="PRH",
ISNUMBER(SEARCH("NOTEBOOK",B527)),
ISNUMBER(SEARCH("LAPTOP",B527)),
ISNUMBER(SEARCH("MONITOR",B527)),
ISNUMBER(SEARCH("TABLET",B527)),
ISNUMBER(SEARCH("SMARTPH",B527)),
ISNUMBER(SEARCH("IMPRESORA",B527)),
ISNUMBER(SEARCH("MULTIFUNCIONAL",B527)),
ISNUMBER(SEARCH("AIO",B527))
),
"GANCHO",
"NORMAL"
)
)</f>
        <v>NORMAL</v>
      </c>
    </row>
    <row r="526" spans="1:12" x14ac:dyDescent="0.25">
      <c r="A526" s="3" t="s">
        <v>1298</v>
      </c>
      <c r="B526" s="3" t="s">
        <v>1299</v>
      </c>
      <c r="C526" s="1">
        <v>0</v>
      </c>
      <c r="D526" s="1">
        <v>102.5</v>
      </c>
      <c r="E526" s="1" t="s">
        <v>226</v>
      </c>
      <c r="F526" s="1" t="s">
        <v>3361</v>
      </c>
      <c r="G526" s="3" t="s">
        <v>1300</v>
      </c>
      <c r="H526" s="11">
        <f>ROUND(
IF(L524="GANCHO",
   IF(I526&lt;=50,I526*1.1+4,IF(I526&lt;=120,I526*1.1+7,IF(I526&lt;=250,I526*1.1+11,I526*1.1+19))),
IF(L524="NORMAL",
   IF(I526&lt;=30,I526*1.15+2,IF(I526&lt;=80,I526*1.15+4,IF(I526&lt;=150,I526*1.15+6,I526*1.15+8))),
IF(L524="COMPLEMENTO",
   IF(I526&lt;=25,I526*1.25+1.5,IF(I526&lt;=60,I526*1.25+3,IF(I526&lt;=120,I526*1.25+4,I526*1.25+5))),
""))),2)</f>
        <v>492.04</v>
      </c>
      <c r="I526" s="9">
        <f>($K$2+0.02)*Tabla1[[#This Row],[PRECIO $]]*1.18</f>
        <v>420.90599999999995</v>
      </c>
      <c r="J526" s="7">
        <f>+Tabla1[[#This Row],[PRECIO EN SOLES]]-Tabla1[[#This Row],[PC]]</f>
        <v>71.134000000000071</v>
      </c>
      <c r="K526" s="15"/>
      <c r="L526" s="15" t="str">
        <f>IF(
OR(
ISNUMBER(SEARCH("BACKPACK",B528)),
ISNUMBER(SEARCH("MOCHILA",B528)),
ISNUMBER(SEARCH("FUNDA",B528)),
ISNUMBER(SEARCH("ESTUCHE",B528)),
ISNUMBER(SEARCH("BOOK COVER",B528)),
ISNUMBER(SEARCH("KEYBOARD PARA TABLET",B528)),
ISNUMBER(SEARCH("FLIP TABLET",B528)),
ISNUMBER(SEARCH("CASE FOR TABLET",B528)),
ISNUMBER(SEARCH("CABLE",B528)),
ISNUMBER(SEARCH("ADAPTADOR",B528)),
ISNUMBER(SEARCH("HUB",B528)),
ISNUMBER(SEARCH("DOCK",B528)),
ISNUMBER(SEARCH("MOUSE PAD",B528)),
ISNUMBER(SEARCH("MOUSEPAD",B528)),
ISNUMBER(SEARCH("SOPORTE",B528)),
ISNUMBER(SEARCH("STAND",B528)),
ISNUMBER(SEARCH("TRAVEL ADAPTER",B528)),
ISNUMBER(SEARCH("RJ45",B528)),
ISNUMBER(SEARCH("USB-C",B528)),
ISNUMBER(SEARCH("USB WIFI",B528)),
ISNUMBER(SEARCH("POWERBANK",B528)),
ISNUMBER(SEARCH("CARGADOR",B528)),
ISNUMBER(SEARCH("COOLER PARA NB",B528)),
ISNUMBER(SEARCH("SOPORTE PARA NB",B528)),
ISNUMBER(SEARCH("WEBCAM",B528)),
ISNUMBER(SEARCH("WEB CAM",B528)),
ISNUMBER(SEARCH("MOUSE",B528)),
ISNUMBER(SEARCH("TECLADO",B528))
),
"COMPLEMENTO",
IF(
OR(
LEFT(A528,2)="NB",
LEFT(A528,2)="PC",
LEFT(A528,2)="WS",
LEFT(A528,2)="TB",
LEFT(A528,3)="CEL",
LEFT(A528,3)="MON",
LEFT(A528,3)="PRE",
LEFT(A528,3)="PRH",
ISNUMBER(SEARCH("NOTEBOOK",B528)),
ISNUMBER(SEARCH("LAPTOP",B528)),
ISNUMBER(SEARCH("MONITOR",B528)),
ISNUMBER(SEARCH("TABLET",B528)),
ISNUMBER(SEARCH("SMARTPH",B528)),
ISNUMBER(SEARCH("IMPRESORA",B528)),
ISNUMBER(SEARCH("MULTIFUNCIONAL",B528)),
ISNUMBER(SEARCH("AIO",B528))
),
"GANCHO",
"NORMAL"
)
)</f>
        <v>NORMAL</v>
      </c>
    </row>
    <row r="527" spans="1:12" x14ac:dyDescent="0.25">
      <c r="A527" s="3" t="s">
        <v>1301</v>
      </c>
      <c r="B527" s="3" t="s">
        <v>1302</v>
      </c>
      <c r="C527" s="1">
        <v>0</v>
      </c>
      <c r="D527" s="1">
        <v>110.6</v>
      </c>
      <c r="E527" s="1" t="s">
        <v>226</v>
      </c>
      <c r="F527" s="1" t="s">
        <v>3362</v>
      </c>
      <c r="G527" s="3" t="s">
        <v>1303</v>
      </c>
      <c r="H527" s="11">
        <f>ROUND(
IF(L525="GANCHO",
   IF(I527&lt;=50,I527*1.1+4,IF(I527&lt;=120,I527*1.1+7,IF(I527&lt;=250,I527*1.1+11,I527*1.1+19))),
IF(L525="NORMAL",
   IF(I527&lt;=30,I527*1.15+2,IF(I527&lt;=80,I527*1.15+4,IF(I527&lt;=150,I527*1.15+6,I527*1.15+8))),
IF(L525="COMPLEMENTO",
   IF(I527&lt;=25,I527*1.25+1.5,IF(I527&lt;=60,I527*1.25+3,IF(I527&lt;=120,I527*1.25+4,I527*1.25+5))),
""))),2)</f>
        <v>530.29</v>
      </c>
      <c r="I527" s="9">
        <f>($K$2+0.02)*Tabla1[[#This Row],[PRECIO $]]*1.18</f>
        <v>454.16783999999996</v>
      </c>
      <c r="J527" s="7">
        <f>+Tabla1[[#This Row],[PRECIO EN SOLES]]-Tabla1[[#This Row],[PC]]</f>
        <v>76.122160000000008</v>
      </c>
      <c r="K527" s="15"/>
      <c r="L527" s="15" t="str">
        <f>IF(
OR(
ISNUMBER(SEARCH("BACKPACK",B529)),
ISNUMBER(SEARCH("MOCHILA",B529)),
ISNUMBER(SEARCH("FUNDA",B529)),
ISNUMBER(SEARCH("ESTUCHE",B529)),
ISNUMBER(SEARCH("BOOK COVER",B529)),
ISNUMBER(SEARCH("KEYBOARD PARA TABLET",B529)),
ISNUMBER(SEARCH("FLIP TABLET",B529)),
ISNUMBER(SEARCH("CASE FOR TABLET",B529)),
ISNUMBER(SEARCH("CABLE",B529)),
ISNUMBER(SEARCH("ADAPTADOR",B529)),
ISNUMBER(SEARCH("HUB",B529)),
ISNUMBER(SEARCH("DOCK",B529)),
ISNUMBER(SEARCH("MOUSE PAD",B529)),
ISNUMBER(SEARCH("MOUSEPAD",B529)),
ISNUMBER(SEARCH("SOPORTE",B529)),
ISNUMBER(SEARCH("STAND",B529)),
ISNUMBER(SEARCH("TRAVEL ADAPTER",B529)),
ISNUMBER(SEARCH("RJ45",B529)),
ISNUMBER(SEARCH("USB-C",B529)),
ISNUMBER(SEARCH("USB WIFI",B529)),
ISNUMBER(SEARCH("POWERBANK",B529)),
ISNUMBER(SEARCH("CARGADOR",B529)),
ISNUMBER(SEARCH("COOLER PARA NB",B529)),
ISNUMBER(SEARCH("SOPORTE PARA NB",B529)),
ISNUMBER(SEARCH("WEBCAM",B529)),
ISNUMBER(SEARCH("WEB CAM",B529)),
ISNUMBER(SEARCH("MOUSE",B529)),
ISNUMBER(SEARCH("TECLADO",B529))
),
"COMPLEMENTO",
IF(
OR(
LEFT(A529,2)="NB",
LEFT(A529,2)="PC",
LEFT(A529,2)="WS",
LEFT(A529,2)="TB",
LEFT(A529,3)="CEL",
LEFT(A529,3)="MON",
LEFT(A529,3)="PRE",
LEFT(A529,3)="PRH",
ISNUMBER(SEARCH("NOTEBOOK",B529)),
ISNUMBER(SEARCH("LAPTOP",B529)),
ISNUMBER(SEARCH("MONITOR",B529)),
ISNUMBER(SEARCH("TABLET",B529)),
ISNUMBER(SEARCH("SMARTPH",B529)),
ISNUMBER(SEARCH("IMPRESORA",B529)),
ISNUMBER(SEARCH("MULTIFUNCIONAL",B529)),
ISNUMBER(SEARCH("AIO",B529))
),
"GANCHO",
"NORMAL"
)
)</f>
        <v>NORMAL</v>
      </c>
    </row>
    <row r="528" spans="1:12" x14ac:dyDescent="0.25">
      <c r="A528" s="3" t="s">
        <v>645</v>
      </c>
      <c r="B528" s="3" t="s">
        <v>646</v>
      </c>
      <c r="C528" s="1">
        <v>11</v>
      </c>
      <c r="D528" s="1">
        <v>84.1</v>
      </c>
      <c r="E528" s="1" t="s">
        <v>226</v>
      </c>
      <c r="F528" s="1" t="s">
        <v>3363</v>
      </c>
      <c r="G528" s="3" t="s">
        <v>647</v>
      </c>
      <c r="H528" s="11">
        <f>ROUND(
IF(L526="GANCHO",
   IF(I528&lt;=50,I528*1.1+4,IF(I528&lt;=120,I528*1.1+7,IF(I528&lt;=250,I528*1.1+11,I528*1.1+19))),
IF(L526="NORMAL",
   IF(I528&lt;=30,I528*1.15+2,IF(I528&lt;=80,I528*1.15+4,IF(I528&lt;=150,I528*1.15+6,I528*1.15+8))),
IF(L526="COMPLEMENTO",
   IF(I528&lt;=25,I528*1.25+1.5,IF(I528&lt;=60,I528*1.25+3,IF(I528&lt;=120,I528*1.25+4,I528*1.25+5))),
""))),2)</f>
        <v>405.15</v>
      </c>
      <c r="I528" s="9">
        <f>($K$2+0.02)*Tabla1[[#This Row],[PRECIO $]]*1.18</f>
        <v>345.34823999999998</v>
      </c>
      <c r="J528" s="7">
        <f>+Tabla1[[#This Row],[PRECIO EN SOLES]]-Tabla1[[#This Row],[PC]]</f>
        <v>59.801760000000002</v>
      </c>
      <c r="K528" s="15"/>
      <c r="L528" s="15" t="str">
        <f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29" spans="1:12" x14ac:dyDescent="0.25">
      <c r="A529" s="3" t="s">
        <v>1304</v>
      </c>
      <c r="B529" s="3" t="s">
        <v>1305</v>
      </c>
      <c r="C529" s="1">
        <v>20</v>
      </c>
      <c r="D529" s="1">
        <v>59.9</v>
      </c>
      <c r="E529" s="1" t="s">
        <v>226</v>
      </c>
      <c r="F529" s="1" t="s">
        <v>3364</v>
      </c>
      <c r="G529" s="3" t="s">
        <v>1306</v>
      </c>
      <c r="H529" s="11">
        <f>ROUND(
IF(L527="GANCHO",
   IF(I529&lt;=50,I529*1.1+4,IF(I529&lt;=120,I529*1.1+7,IF(I529&lt;=250,I529*1.1+11,I529*1.1+19))),
IF(L527="NORMAL",
   IF(I529&lt;=30,I529*1.15+2,IF(I529&lt;=80,I529*1.15+4,IF(I529&lt;=150,I529*1.15+6,I529*1.15+8))),
IF(L527="COMPLEMENTO",
   IF(I529&lt;=25,I529*1.25+1.5,IF(I529&lt;=60,I529*1.25+3,IF(I529&lt;=120,I529*1.25+4,I529*1.25+5))),
""))),2)</f>
        <v>290.87</v>
      </c>
      <c r="I529" s="9">
        <f>($K$2+0.02)*Tabla1[[#This Row],[PRECIO $]]*1.18</f>
        <v>245.97335999999999</v>
      </c>
      <c r="J529" s="7">
        <f>+Tabla1[[#This Row],[PRECIO EN SOLES]]-Tabla1[[#This Row],[PC]]</f>
        <v>44.896640000000019</v>
      </c>
      <c r="K529" s="15"/>
      <c r="L529" s="15" t="str">
        <f>IF(
OR(
ISNUMBER(SEARCH("BACKPACK",B531)),
ISNUMBER(SEARCH("MOCHILA",B531)),
ISNUMBER(SEARCH("FUNDA",B531)),
ISNUMBER(SEARCH("ESTUCHE",B531)),
ISNUMBER(SEARCH("BOOK COVER",B531)),
ISNUMBER(SEARCH("KEYBOARD PARA TABLET",B531)),
ISNUMBER(SEARCH("FLIP TABLET",B531)),
ISNUMBER(SEARCH("CASE FOR TABLET",B531)),
ISNUMBER(SEARCH("CABLE",B531)),
ISNUMBER(SEARCH("ADAPTADOR",B531)),
ISNUMBER(SEARCH("HUB",B531)),
ISNUMBER(SEARCH("DOCK",B531)),
ISNUMBER(SEARCH("MOUSE PAD",B531)),
ISNUMBER(SEARCH("MOUSEPAD",B531)),
ISNUMBER(SEARCH("SOPORTE",B531)),
ISNUMBER(SEARCH("STAND",B531)),
ISNUMBER(SEARCH("TRAVEL ADAPTER",B531)),
ISNUMBER(SEARCH("RJ45",B531)),
ISNUMBER(SEARCH("USB-C",B531)),
ISNUMBER(SEARCH("USB WIFI",B531)),
ISNUMBER(SEARCH("POWERBANK",B531)),
ISNUMBER(SEARCH("CARGADOR",B531)),
ISNUMBER(SEARCH("COOLER PARA NB",B531)),
ISNUMBER(SEARCH("SOPORTE PARA NB",B531)),
ISNUMBER(SEARCH("WEBCAM",B531)),
ISNUMBER(SEARCH("WEB CAM",B531)),
ISNUMBER(SEARCH("MOUSE",B531)),
ISNUMBER(SEARCH("TECLADO",B531))
),
"COMPLEMENTO",
IF(
OR(
LEFT(A531,2)="NB",
LEFT(A531,2)="PC",
LEFT(A531,2)="WS",
LEFT(A531,2)="TB",
LEFT(A531,3)="CEL",
LEFT(A531,3)="MON",
LEFT(A531,3)="PRE",
LEFT(A531,3)="PRH",
ISNUMBER(SEARCH("NOTEBOOK",B531)),
ISNUMBER(SEARCH("LAPTOP",B531)),
ISNUMBER(SEARCH("MONITOR",B531)),
ISNUMBER(SEARCH("TABLET",B531)),
ISNUMBER(SEARCH("SMARTPH",B531)),
ISNUMBER(SEARCH("IMPRESORA",B531)),
ISNUMBER(SEARCH("MULTIFUNCIONAL",B531)),
ISNUMBER(SEARCH("AIO",B531))
),
"GANCHO",
"NORMAL"
)
)</f>
        <v>NORMAL</v>
      </c>
    </row>
    <row r="530" spans="1:12" x14ac:dyDescent="0.25">
      <c r="A530" s="3" t="s">
        <v>5921</v>
      </c>
      <c r="B530" s="3" t="s">
        <v>5922</v>
      </c>
      <c r="C530" s="1">
        <v>20</v>
      </c>
      <c r="D530" s="1">
        <v>101.6</v>
      </c>
      <c r="E530" s="1" t="s">
        <v>121</v>
      </c>
      <c r="F530" s="1" t="s">
        <v>5923</v>
      </c>
      <c r="G530" s="3" t="s">
        <v>5924</v>
      </c>
      <c r="H530" s="11">
        <f>ROUND(
IF(L528="GANCHO",
   IF(I530&lt;=50,I530*1.1+4,IF(I530&lt;=120,I530*1.1+7,IF(I530&lt;=250,I530*1.1+11,I530*1.1+19))),
IF(L528="NORMAL",
   IF(I530&lt;=30,I530*1.15+2,IF(I530&lt;=80,I530*1.15+4,IF(I530&lt;=150,I530*1.15+6,I530*1.15+8))),
IF(L528="COMPLEMENTO",
   IF(I530&lt;=25,I530*1.25+1.5,IF(I530&lt;=60,I530*1.25+3,IF(I530&lt;=120,I530*1.25+4,I530*1.25+5))),
""))),2)</f>
        <v>487.79</v>
      </c>
      <c r="I530" s="9">
        <f>($K$2+0.02)*Tabla1[[#This Row],[PRECIO $]]*1.18</f>
        <v>417.21023999999994</v>
      </c>
      <c r="J530" s="7">
        <f>+Tabla1[[#This Row],[PRECIO EN SOLES]]-Tabla1[[#This Row],[PC]]</f>
        <v>70.579760000000078</v>
      </c>
      <c r="K530" s="15"/>
      <c r="L530" s="15" t="str">
        <f>IF(
OR(
ISNUMBER(SEARCH("BACKPACK",B532)),
ISNUMBER(SEARCH("MOCHILA",B532)),
ISNUMBER(SEARCH("FUNDA",B532)),
ISNUMBER(SEARCH("ESTUCHE",B532)),
ISNUMBER(SEARCH("BOOK COVER",B532)),
ISNUMBER(SEARCH("KEYBOARD PARA TABLET",B532)),
ISNUMBER(SEARCH("FLIP TABLET",B532)),
ISNUMBER(SEARCH("CASE FOR TABLET",B532)),
ISNUMBER(SEARCH("CABLE",B532)),
ISNUMBER(SEARCH("ADAPTADOR",B532)),
ISNUMBER(SEARCH("HUB",B532)),
ISNUMBER(SEARCH("DOCK",B532)),
ISNUMBER(SEARCH("MOUSE PAD",B532)),
ISNUMBER(SEARCH("MOUSEPAD",B532)),
ISNUMBER(SEARCH("SOPORTE",B532)),
ISNUMBER(SEARCH("STAND",B532)),
ISNUMBER(SEARCH("TRAVEL ADAPTER",B532)),
ISNUMBER(SEARCH("RJ45",B532)),
ISNUMBER(SEARCH("USB-C",B532)),
ISNUMBER(SEARCH("USB WIFI",B532)),
ISNUMBER(SEARCH("POWERBANK",B532)),
ISNUMBER(SEARCH("CARGADOR",B532)),
ISNUMBER(SEARCH("COOLER PARA NB",B532)),
ISNUMBER(SEARCH("SOPORTE PARA NB",B532)),
ISNUMBER(SEARCH("WEBCAM",B532)),
ISNUMBER(SEARCH("WEB CAM",B532)),
ISNUMBER(SEARCH("MOUSE",B532)),
ISNUMBER(SEARCH("TECLADO",B532))
),
"COMPLEMENTO",
IF(
OR(
LEFT(A532,2)="NB",
LEFT(A532,2)="PC",
LEFT(A532,2)="WS",
LEFT(A532,2)="TB",
LEFT(A532,3)="CEL",
LEFT(A532,3)="MON",
LEFT(A532,3)="PRE",
LEFT(A532,3)="PRH",
ISNUMBER(SEARCH("NOTEBOOK",B532)),
ISNUMBER(SEARCH("LAPTOP",B532)),
ISNUMBER(SEARCH("MONITOR",B532)),
ISNUMBER(SEARCH("TABLET",B532)),
ISNUMBER(SEARCH("SMARTPH",B532)),
ISNUMBER(SEARCH("IMPRESORA",B532)),
ISNUMBER(SEARCH("MULTIFUNCIONAL",B532)),
ISNUMBER(SEARCH("AIO",B532))
),
"GANCHO",
"NORMAL"
)
)</f>
        <v>NORMAL</v>
      </c>
    </row>
    <row r="531" spans="1:12" x14ac:dyDescent="0.25">
      <c r="A531" s="3" t="s">
        <v>5925</v>
      </c>
      <c r="B531" s="3" t="s">
        <v>5926</v>
      </c>
      <c r="C531" s="1">
        <v>20</v>
      </c>
      <c r="D531" s="1">
        <v>86.5</v>
      </c>
      <c r="E531" s="1" t="s">
        <v>121</v>
      </c>
      <c r="F531" s="1" t="s">
        <v>5927</v>
      </c>
      <c r="G531" s="3" t="s">
        <v>5928</v>
      </c>
      <c r="H531" s="11">
        <f>ROUND(
IF(L529="GANCHO",
   IF(I531&lt;=50,I531*1.1+4,IF(I531&lt;=120,I531*1.1+7,IF(I531&lt;=250,I531*1.1+11,I531*1.1+19))),
IF(L529="NORMAL",
   IF(I531&lt;=30,I531*1.15+2,IF(I531&lt;=80,I531*1.15+4,IF(I531&lt;=150,I531*1.15+6,I531*1.15+8))),
IF(L529="COMPLEMENTO",
   IF(I531&lt;=25,I531*1.25+1.5,IF(I531&lt;=60,I531*1.25+3,IF(I531&lt;=120,I531*1.25+4,I531*1.25+5))),
""))),2)</f>
        <v>416.48</v>
      </c>
      <c r="I531" s="9">
        <f>($K$2+0.02)*Tabla1[[#This Row],[PRECIO $]]*1.18</f>
        <v>355.20359999999994</v>
      </c>
      <c r="J531" s="7">
        <f>+Tabla1[[#This Row],[PRECIO EN SOLES]]-Tabla1[[#This Row],[PC]]</f>
        <v>61.276400000000081</v>
      </c>
      <c r="K531" s="15"/>
      <c r="L531" s="15" t="str">
        <f>IF(
OR(
ISNUMBER(SEARCH("BACKPACK",B533)),
ISNUMBER(SEARCH("MOCHILA",B533)),
ISNUMBER(SEARCH("FUNDA",B533)),
ISNUMBER(SEARCH("ESTUCHE",B533)),
ISNUMBER(SEARCH("BOOK COVER",B533)),
ISNUMBER(SEARCH("KEYBOARD PARA TABLET",B533)),
ISNUMBER(SEARCH("FLIP TABLET",B533)),
ISNUMBER(SEARCH("CASE FOR TABLET",B533)),
ISNUMBER(SEARCH("CABLE",B533)),
ISNUMBER(SEARCH("ADAPTADOR",B533)),
ISNUMBER(SEARCH("HUB",B533)),
ISNUMBER(SEARCH("DOCK",B533)),
ISNUMBER(SEARCH("MOUSE PAD",B533)),
ISNUMBER(SEARCH("MOUSEPAD",B533)),
ISNUMBER(SEARCH("SOPORTE",B533)),
ISNUMBER(SEARCH("STAND",B533)),
ISNUMBER(SEARCH("TRAVEL ADAPTER",B533)),
ISNUMBER(SEARCH("RJ45",B533)),
ISNUMBER(SEARCH("USB-C",B533)),
ISNUMBER(SEARCH("USB WIFI",B533)),
ISNUMBER(SEARCH("POWERBANK",B533)),
ISNUMBER(SEARCH("CARGADOR",B533)),
ISNUMBER(SEARCH("COOLER PARA NB",B533)),
ISNUMBER(SEARCH("SOPORTE PARA NB",B533)),
ISNUMBER(SEARCH("WEBCAM",B533)),
ISNUMBER(SEARCH("WEB CAM",B533)),
ISNUMBER(SEARCH("MOUSE",B533)),
ISNUMBER(SEARCH("TECLADO",B533))
),
"COMPLEMENTO",
IF(
OR(
LEFT(A533,2)="NB",
LEFT(A533,2)="PC",
LEFT(A533,2)="WS",
LEFT(A533,2)="TB",
LEFT(A533,3)="CEL",
LEFT(A533,3)="MON",
LEFT(A533,3)="PRE",
LEFT(A533,3)="PRH",
ISNUMBER(SEARCH("NOTEBOOK",B533)),
ISNUMBER(SEARCH("LAPTOP",B533)),
ISNUMBER(SEARCH("MONITOR",B533)),
ISNUMBER(SEARCH("TABLET",B533)),
ISNUMBER(SEARCH("SMARTPH",B533)),
ISNUMBER(SEARCH("IMPRESORA",B533)),
ISNUMBER(SEARCH("MULTIFUNCIONAL",B533)),
ISNUMBER(SEARCH("AIO",B533))
),
"GANCHO",
"NORMAL"
)
)</f>
        <v>NORMAL</v>
      </c>
    </row>
    <row r="532" spans="1:12" x14ac:dyDescent="0.25">
      <c r="A532" s="3" t="s">
        <v>6296</v>
      </c>
      <c r="B532" s="3" t="s">
        <v>6297</v>
      </c>
      <c r="C532" s="1">
        <v>6</v>
      </c>
      <c r="D532" s="1">
        <v>76.099999999999994</v>
      </c>
      <c r="E532" s="1" t="s">
        <v>121</v>
      </c>
      <c r="F532" s="1" t="s">
        <v>6298</v>
      </c>
      <c r="G532" s="3" t="s">
        <v>6299</v>
      </c>
      <c r="H532" s="11">
        <f>ROUND(
IF(L530="GANCHO",
   IF(I532&lt;=50,I532*1.1+4,IF(I532&lt;=120,I532*1.1+7,IF(I532&lt;=250,I532*1.1+11,I532*1.1+19))),
IF(L530="NORMAL",
   IF(I532&lt;=30,I532*1.15+2,IF(I532&lt;=80,I532*1.15+4,IF(I532&lt;=150,I532*1.15+6,I532*1.15+8))),
IF(L530="COMPLEMENTO",
   IF(I532&lt;=25,I532*1.25+1.5,IF(I532&lt;=60,I532*1.25+3,IF(I532&lt;=120,I532*1.25+4,I532*1.25+5))),
""))),2)</f>
        <v>367.37</v>
      </c>
      <c r="I532" s="9">
        <f>($K$2+0.02)*Tabla1[[#This Row],[PRECIO $]]*1.18</f>
        <v>312.49703999999997</v>
      </c>
      <c r="J532" s="7">
        <f>+Tabla1[[#This Row],[PRECIO EN SOLES]]-Tabla1[[#This Row],[PC]]</f>
        <v>54.872960000000035</v>
      </c>
      <c r="K532" s="15"/>
      <c r="L532" s="15" t="str">
        <f>IF(
OR(
ISNUMBER(SEARCH("BACKPACK",B534)),
ISNUMBER(SEARCH("MOCHILA",B534)),
ISNUMBER(SEARCH("FUNDA",B534)),
ISNUMBER(SEARCH("ESTUCHE",B534)),
ISNUMBER(SEARCH("BOOK COVER",B534)),
ISNUMBER(SEARCH("KEYBOARD PARA TABLET",B534)),
ISNUMBER(SEARCH("FLIP TABLET",B534)),
ISNUMBER(SEARCH("CASE FOR TABLET",B534)),
ISNUMBER(SEARCH("CABLE",B534)),
ISNUMBER(SEARCH("ADAPTADOR",B534)),
ISNUMBER(SEARCH("HUB",B534)),
ISNUMBER(SEARCH("DOCK",B534)),
ISNUMBER(SEARCH("MOUSE PAD",B534)),
ISNUMBER(SEARCH("MOUSEPAD",B534)),
ISNUMBER(SEARCH("SOPORTE",B534)),
ISNUMBER(SEARCH("STAND",B534)),
ISNUMBER(SEARCH("TRAVEL ADAPTER",B534)),
ISNUMBER(SEARCH("RJ45",B534)),
ISNUMBER(SEARCH("USB-C",B534)),
ISNUMBER(SEARCH("USB WIFI",B534)),
ISNUMBER(SEARCH("POWERBANK",B534)),
ISNUMBER(SEARCH("CARGADOR",B534)),
ISNUMBER(SEARCH("COOLER PARA NB",B534)),
ISNUMBER(SEARCH("SOPORTE PARA NB",B534)),
ISNUMBER(SEARCH("WEBCAM",B534)),
ISNUMBER(SEARCH("WEB CAM",B534)),
ISNUMBER(SEARCH("MOUSE",B534)),
ISNUMBER(SEARCH("TECLADO",B534))
),
"COMPLEMENTO",
IF(
OR(
LEFT(A534,2)="NB",
LEFT(A534,2)="PC",
LEFT(A534,2)="WS",
LEFT(A534,2)="TB",
LEFT(A534,3)="CEL",
LEFT(A534,3)="MON",
LEFT(A534,3)="PRE",
LEFT(A534,3)="PRH",
ISNUMBER(SEARCH("NOTEBOOK",B534)),
ISNUMBER(SEARCH("LAPTOP",B534)),
ISNUMBER(SEARCH("MONITOR",B534)),
ISNUMBER(SEARCH("TABLET",B534)),
ISNUMBER(SEARCH("SMARTPH",B534)),
ISNUMBER(SEARCH("IMPRESORA",B534)),
ISNUMBER(SEARCH("MULTIFUNCIONAL",B534)),
ISNUMBER(SEARCH("AIO",B534))
),
"GANCHO",
"NORMAL"
)
)</f>
        <v>NORMAL</v>
      </c>
    </row>
    <row r="533" spans="1:12" x14ac:dyDescent="0.25">
      <c r="A533" s="3" t="s">
        <v>5929</v>
      </c>
      <c r="B533" s="3" t="s">
        <v>5930</v>
      </c>
      <c r="C533" s="1">
        <v>20</v>
      </c>
      <c r="D533" s="1">
        <v>91</v>
      </c>
      <c r="E533" s="1" t="s">
        <v>121</v>
      </c>
      <c r="F533" s="1" t="s">
        <v>5931</v>
      </c>
      <c r="G533" s="3" t="s">
        <v>5932</v>
      </c>
      <c r="H533" s="11">
        <f>ROUND(
IF(L531="GANCHO",
   IF(I533&lt;=50,I533*1.1+4,IF(I533&lt;=120,I533*1.1+7,IF(I533&lt;=250,I533*1.1+11,I533*1.1+19))),
IF(L531="NORMAL",
   IF(I533&lt;=30,I533*1.15+2,IF(I533&lt;=80,I533*1.15+4,IF(I533&lt;=150,I533*1.15+6,I533*1.15+8))),
IF(L531="COMPLEMENTO",
   IF(I533&lt;=25,I533*1.25+1.5,IF(I533&lt;=60,I533*1.25+3,IF(I533&lt;=120,I533*1.25+4,I533*1.25+5))),
""))),2)</f>
        <v>437.73</v>
      </c>
      <c r="I533" s="9">
        <f>($K$2+0.02)*Tabla1[[#This Row],[PRECIO $]]*1.18</f>
        <v>373.68239999999997</v>
      </c>
      <c r="J533" s="7">
        <f>+Tabla1[[#This Row],[PRECIO EN SOLES]]-Tabla1[[#This Row],[PC]]</f>
        <v>64.047600000000045</v>
      </c>
      <c r="K533" s="15"/>
      <c r="L533" s="15" t="str">
        <f>IF(
OR(
ISNUMBER(SEARCH("BACKPACK",B535)),
ISNUMBER(SEARCH("MOCHILA",B535)),
ISNUMBER(SEARCH("FUNDA",B535)),
ISNUMBER(SEARCH("ESTUCHE",B535)),
ISNUMBER(SEARCH("BOOK COVER",B535)),
ISNUMBER(SEARCH("KEYBOARD PARA TABLET",B535)),
ISNUMBER(SEARCH("FLIP TABLET",B535)),
ISNUMBER(SEARCH("CASE FOR TABLET",B535)),
ISNUMBER(SEARCH("CABLE",B535)),
ISNUMBER(SEARCH("ADAPTADOR",B535)),
ISNUMBER(SEARCH("HUB",B535)),
ISNUMBER(SEARCH("DOCK",B535)),
ISNUMBER(SEARCH("MOUSE PAD",B535)),
ISNUMBER(SEARCH("MOUSEPAD",B535)),
ISNUMBER(SEARCH("SOPORTE",B535)),
ISNUMBER(SEARCH("STAND",B535)),
ISNUMBER(SEARCH("TRAVEL ADAPTER",B535)),
ISNUMBER(SEARCH("RJ45",B535)),
ISNUMBER(SEARCH("USB-C",B535)),
ISNUMBER(SEARCH("USB WIFI",B535)),
ISNUMBER(SEARCH("POWERBANK",B535)),
ISNUMBER(SEARCH("CARGADOR",B535)),
ISNUMBER(SEARCH("COOLER PARA NB",B535)),
ISNUMBER(SEARCH("SOPORTE PARA NB",B535)),
ISNUMBER(SEARCH("WEBCAM",B535)),
ISNUMBER(SEARCH("WEB CAM",B535)),
ISNUMBER(SEARCH("MOUSE",B535)),
ISNUMBER(SEARCH("TECLADO",B535))
),
"COMPLEMENTO",
IF(
OR(
LEFT(A535,2)="NB",
LEFT(A535,2)="PC",
LEFT(A535,2)="WS",
LEFT(A535,2)="TB",
LEFT(A535,3)="CEL",
LEFT(A535,3)="MON",
LEFT(A535,3)="PRE",
LEFT(A535,3)="PRH",
ISNUMBER(SEARCH("NOTEBOOK",B535)),
ISNUMBER(SEARCH("LAPTOP",B535)),
ISNUMBER(SEARCH("MONITOR",B535)),
ISNUMBER(SEARCH("TABLET",B535)),
ISNUMBER(SEARCH("SMARTPH",B535)),
ISNUMBER(SEARCH("IMPRESORA",B535)),
ISNUMBER(SEARCH("MULTIFUNCIONAL",B535)),
ISNUMBER(SEARCH("AIO",B535))
),
"GANCHO",
"NORMAL"
)
)</f>
        <v>NORMAL</v>
      </c>
    </row>
    <row r="534" spans="1:12" x14ac:dyDescent="0.25">
      <c r="A534" s="3" t="s">
        <v>250</v>
      </c>
      <c r="B534" s="3" t="s">
        <v>251</v>
      </c>
      <c r="C534" s="1">
        <v>8</v>
      </c>
      <c r="D534" s="1">
        <v>60.65</v>
      </c>
      <c r="E534" s="1" t="s">
        <v>121</v>
      </c>
      <c r="F534" s="1" t="s">
        <v>3365</v>
      </c>
      <c r="G534" s="3" t="s">
        <v>252</v>
      </c>
      <c r="H534" s="11">
        <f>ROUND(
IF(L532="GANCHO",
   IF(I534&lt;=50,I534*1.1+4,IF(I534&lt;=120,I534*1.1+7,IF(I534&lt;=250,I534*1.1+11,I534*1.1+19))),
IF(L532="NORMAL",
   IF(I534&lt;=30,I534*1.15+2,IF(I534&lt;=80,I534*1.15+4,IF(I534&lt;=150,I534*1.15+6,I534*1.15+8))),
IF(L532="COMPLEMENTO",
   IF(I534&lt;=25,I534*1.25+1.5,IF(I534&lt;=60,I534*1.25+3,IF(I534&lt;=120,I534*1.25+4,I534*1.25+5))),
""))),2)</f>
        <v>294.41000000000003</v>
      </c>
      <c r="I534" s="9">
        <f>($K$2+0.02)*Tabla1[[#This Row],[PRECIO $]]*1.18</f>
        <v>249.05315999999996</v>
      </c>
      <c r="J534" s="7">
        <f>+Tabla1[[#This Row],[PRECIO EN SOLES]]-Tabla1[[#This Row],[PC]]</f>
        <v>45.356840000000062</v>
      </c>
      <c r="K534" s="15"/>
      <c r="L534" s="15" t="str">
        <f>IF(
OR(
ISNUMBER(SEARCH("BACKPACK",B536)),
ISNUMBER(SEARCH("MOCHILA",B536)),
ISNUMBER(SEARCH("FUNDA",B536)),
ISNUMBER(SEARCH("ESTUCHE",B536)),
ISNUMBER(SEARCH("BOOK COVER",B536)),
ISNUMBER(SEARCH("KEYBOARD PARA TABLET",B536)),
ISNUMBER(SEARCH("FLIP TABLET",B536)),
ISNUMBER(SEARCH("CASE FOR TABLET",B536)),
ISNUMBER(SEARCH("CABLE",B536)),
ISNUMBER(SEARCH("ADAPTADOR",B536)),
ISNUMBER(SEARCH("HUB",B536)),
ISNUMBER(SEARCH("DOCK",B536)),
ISNUMBER(SEARCH("MOUSE PAD",B536)),
ISNUMBER(SEARCH("MOUSEPAD",B536)),
ISNUMBER(SEARCH("SOPORTE",B536)),
ISNUMBER(SEARCH("STAND",B536)),
ISNUMBER(SEARCH("TRAVEL ADAPTER",B536)),
ISNUMBER(SEARCH("RJ45",B536)),
ISNUMBER(SEARCH("USB-C",B536)),
ISNUMBER(SEARCH("USB WIFI",B536)),
ISNUMBER(SEARCH("POWERBANK",B536)),
ISNUMBER(SEARCH("CARGADOR",B536)),
ISNUMBER(SEARCH("COOLER PARA NB",B536)),
ISNUMBER(SEARCH("SOPORTE PARA NB",B536)),
ISNUMBER(SEARCH("WEBCAM",B536)),
ISNUMBER(SEARCH("WEB CAM",B536)),
ISNUMBER(SEARCH("MOUSE",B536)),
ISNUMBER(SEARCH("TECLADO",B536))
),
"COMPLEMENTO",
IF(
OR(
LEFT(A536,2)="NB",
LEFT(A536,2)="PC",
LEFT(A536,2)="WS",
LEFT(A536,2)="TB",
LEFT(A536,3)="CEL",
LEFT(A536,3)="MON",
LEFT(A536,3)="PRE",
LEFT(A536,3)="PRH",
ISNUMBER(SEARCH("NOTEBOOK",B536)),
ISNUMBER(SEARCH("LAPTOP",B536)),
ISNUMBER(SEARCH("MONITOR",B536)),
ISNUMBER(SEARCH("TABLET",B536)),
ISNUMBER(SEARCH("SMARTPH",B536)),
ISNUMBER(SEARCH("IMPRESORA",B536)),
ISNUMBER(SEARCH("MULTIFUNCIONAL",B536)),
ISNUMBER(SEARCH("AIO",B536))
),
"GANCHO",
"NORMAL"
)
)</f>
        <v>NORMAL</v>
      </c>
    </row>
    <row r="535" spans="1:12" x14ac:dyDescent="0.25">
      <c r="A535" s="3" t="s">
        <v>1307</v>
      </c>
      <c r="B535" s="3" t="s">
        <v>1308</v>
      </c>
      <c r="C535" s="1">
        <v>0</v>
      </c>
      <c r="D535" s="1">
        <v>105.5</v>
      </c>
      <c r="E535" s="1" t="s">
        <v>906</v>
      </c>
      <c r="F535" s="1" t="s">
        <v>3366</v>
      </c>
      <c r="G535" s="3" t="s">
        <v>1309</v>
      </c>
      <c r="H535" s="11">
        <f>ROUND(
IF(L533="GANCHO",
   IF(I535&lt;=50,I535*1.1+4,IF(I535&lt;=120,I535*1.1+7,IF(I535&lt;=250,I535*1.1+11,I535*1.1+19))),
IF(L533="NORMAL",
   IF(I535&lt;=30,I535*1.15+2,IF(I535&lt;=80,I535*1.15+4,IF(I535&lt;=150,I535*1.15+6,I535*1.15+8))),
IF(L533="COMPLEMENTO",
   IF(I535&lt;=25,I535*1.25+1.5,IF(I535&lt;=60,I535*1.25+3,IF(I535&lt;=120,I535*1.25+4,I535*1.25+5))),
""))),2)</f>
        <v>506.21</v>
      </c>
      <c r="I535" s="9">
        <f>($K$2+0.02)*Tabla1[[#This Row],[PRECIO $]]*1.18</f>
        <v>433.22519999999997</v>
      </c>
      <c r="J535" s="7">
        <f>+Tabla1[[#This Row],[PRECIO EN SOLES]]-Tabla1[[#This Row],[PC]]</f>
        <v>72.984800000000007</v>
      </c>
      <c r="K535" s="15"/>
      <c r="L535" s="15" t="str">
        <f>IF(
OR(
ISNUMBER(SEARCH("BACKPACK",B537)),
ISNUMBER(SEARCH("MOCHILA",B537)),
ISNUMBER(SEARCH("FUNDA",B537)),
ISNUMBER(SEARCH("ESTUCHE",B537)),
ISNUMBER(SEARCH("BOOK COVER",B537)),
ISNUMBER(SEARCH("KEYBOARD PARA TABLET",B537)),
ISNUMBER(SEARCH("FLIP TABLET",B537)),
ISNUMBER(SEARCH("CASE FOR TABLET",B537)),
ISNUMBER(SEARCH("CABLE",B537)),
ISNUMBER(SEARCH("ADAPTADOR",B537)),
ISNUMBER(SEARCH("HUB",B537)),
ISNUMBER(SEARCH("DOCK",B537)),
ISNUMBER(SEARCH("MOUSE PAD",B537)),
ISNUMBER(SEARCH("MOUSEPAD",B537)),
ISNUMBER(SEARCH("SOPORTE",B537)),
ISNUMBER(SEARCH("STAND",B537)),
ISNUMBER(SEARCH("TRAVEL ADAPTER",B537)),
ISNUMBER(SEARCH("RJ45",B537)),
ISNUMBER(SEARCH("USB-C",B537)),
ISNUMBER(SEARCH("USB WIFI",B537)),
ISNUMBER(SEARCH("POWERBANK",B537)),
ISNUMBER(SEARCH("CARGADOR",B537)),
ISNUMBER(SEARCH("COOLER PARA NB",B537)),
ISNUMBER(SEARCH("SOPORTE PARA NB",B537)),
ISNUMBER(SEARCH("WEBCAM",B537)),
ISNUMBER(SEARCH("WEB CAM",B537)),
ISNUMBER(SEARCH("MOUSE",B537)),
ISNUMBER(SEARCH("TECLADO",B537))
),
"COMPLEMENTO",
IF(
OR(
LEFT(A537,2)="NB",
LEFT(A537,2)="PC",
LEFT(A537,2)="WS",
LEFT(A537,2)="TB",
LEFT(A537,3)="CEL",
LEFT(A537,3)="MON",
LEFT(A537,3)="PRE",
LEFT(A537,3)="PRH",
ISNUMBER(SEARCH("NOTEBOOK",B537)),
ISNUMBER(SEARCH("LAPTOP",B537)),
ISNUMBER(SEARCH("MONITOR",B537)),
ISNUMBER(SEARCH("TABLET",B537)),
ISNUMBER(SEARCH("SMARTPH",B537)),
ISNUMBER(SEARCH("IMPRESORA",B537)),
ISNUMBER(SEARCH("MULTIFUNCIONAL",B537)),
ISNUMBER(SEARCH("AIO",B537))
),
"GANCHO",
"NORMAL"
)
)</f>
        <v>NORMAL</v>
      </c>
    </row>
    <row r="536" spans="1:12" x14ac:dyDescent="0.25">
      <c r="A536" s="3" t="s">
        <v>1310</v>
      </c>
      <c r="B536" s="3" t="s">
        <v>1311</v>
      </c>
      <c r="C536" s="1">
        <v>20</v>
      </c>
      <c r="D536" s="1">
        <v>114.5</v>
      </c>
      <c r="E536" s="1" t="s">
        <v>906</v>
      </c>
      <c r="F536" s="1" t="s">
        <v>3367</v>
      </c>
      <c r="G536" s="3" t="s">
        <v>1312</v>
      </c>
      <c r="H536" s="11">
        <f>ROUND(
IF(L534="GANCHO",
   IF(I536&lt;=50,I536*1.1+4,IF(I536&lt;=120,I536*1.1+7,IF(I536&lt;=250,I536*1.1+11,I536*1.1+19))),
IF(L534="NORMAL",
   IF(I536&lt;=30,I536*1.15+2,IF(I536&lt;=80,I536*1.15+4,IF(I536&lt;=150,I536*1.15+6,I536*1.15+8))),
IF(L534="COMPLEMENTO",
   IF(I536&lt;=25,I536*1.25+1.5,IF(I536&lt;=60,I536*1.25+3,IF(I536&lt;=120,I536*1.25+4,I536*1.25+5))),
""))),2)</f>
        <v>548.71</v>
      </c>
      <c r="I536" s="9">
        <f>($K$2+0.02)*Tabla1[[#This Row],[PRECIO $]]*1.18</f>
        <v>470.18279999999993</v>
      </c>
      <c r="J536" s="7">
        <f>+Tabla1[[#This Row],[PRECIO EN SOLES]]-Tabla1[[#This Row],[PC]]</f>
        <v>78.527200000000107</v>
      </c>
      <c r="K536" s="15"/>
      <c r="L536" s="15" t="str">
        <f>IF(
OR(
ISNUMBER(SEARCH("BACKPACK",B538)),
ISNUMBER(SEARCH("MOCHILA",B538)),
ISNUMBER(SEARCH("FUNDA",B538)),
ISNUMBER(SEARCH("ESTUCHE",B538)),
ISNUMBER(SEARCH("BOOK COVER",B538)),
ISNUMBER(SEARCH("KEYBOARD PARA TABLET",B538)),
ISNUMBER(SEARCH("FLIP TABLET",B538)),
ISNUMBER(SEARCH("CASE FOR TABLET",B538)),
ISNUMBER(SEARCH("CABLE",B538)),
ISNUMBER(SEARCH("ADAPTADOR",B538)),
ISNUMBER(SEARCH("HUB",B538)),
ISNUMBER(SEARCH("DOCK",B538)),
ISNUMBER(SEARCH("MOUSE PAD",B538)),
ISNUMBER(SEARCH("MOUSEPAD",B538)),
ISNUMBER(SEARCH("SOPORTE",B538)),
ISNUMBER(SEARCH("STAND",B538)),
ISNUMBER(SEARCH("TRAVEL ADAPTER",B538)),
ISNUMBER(SEARCH("RJ45",B538)),
ISNUMBER(SEARCH("USB-C",B538)),
ISNUMBER(SEARCH("USB WIFI",B538)),
ISNUMBER(SEARCH("POWERBANK",B538)),
ISNUMBER(SEARCH("CARGADOR",B538)),
ISNUMBER(SEARCH("COOLER PARA NB",B538)),
ISNUMBER(SEARCH("SOPORTE PARA NB",B538)),
ISNUMBER(SEARCH("WEBCAM",B538)),
ISNUMBER(SEARCH("WEB CAM",B538)),
ISNUMBER(SEARCH("MOUSE",B538)),
ISNUMBER(SEARCH("TECLADO",B538))
),
"COMPLEMENTO",
IF(
OR(
LEFT(A538,2)="NB",
LEFT(A538,2)="PC",
LEFT(A538,2)="WS",
LEFT(A538,2)="TB",
LEFT(A538,3)="CEL",
LEFT(A538,3)="MON",
LEFT(A538,3)="PRE",
LEFT(A538,3)="PRH",
ISNUMBER(SEARCH("NOTEBOOK",B538)),
ISNUMBER(SEARCH("LAPTOP",B538)),
ISNUMBER(SEARCH("MONITOR",B538)),
ISNUMBER(SEARCH("TABLET",B538)),
ISNUMBER(SEARCH("SMARTPH",B538)),
ISNUMBER(SEARCH("IMPRESORA",B538)),
ISNUMBER(SEARCH("MULTIFUNCIONAL",B538)),
ISNUMBER(SEARCH("AIO",B538))
),
"GANCHO",
"NORMAL"
)
)</f>
        <v>NORMAL</v>
      </c>
    </row>
    <row r="537" spans="1:12" x14ac:dyDescent="0.25">
      <c r="A537" s="3" t="s">
        <v>5302</v>
      </c>
      <c r="B537" s="3" t="s">
        <v>5303</v>
      </c>
      <c r="C537" s="1">
        <v>20</v>
      </c>
      <c r="D537" s="1">
        <v>174.5</v>
      </c>
      <c r="E537" s="1" t="s">
        <v>115</v>
      </c>
      <c r="F537" s="1" t="s">
        <v>5304</v>
      </c>
      <c r="G537" s="3" t="s">
        <v>5305</v>
      </c>
      <c r="H537" s="11">
        <f>ROUND(
IF(L535="GANCHO",
   IF(I537&lt;=50,I537*1.1+4,IF(I537&lt;=120,I537*1.1+7,IF(I537&lt;=250,I537*1.1+11,I537*1.1+19))),
IF(L535="NORMAL",
   IF(I537&lt;=30,I537*1.15+2,IF(I537&lt;=80,I537*1.15+4,IF(I537&lt;=150,I537*1.15+6,I537*1.15+8))),
IF(L535="COMPLEMENTO",
   IF(I537&lt;=25,I537*1.25+1.5,IF(I537&lt;=60,I537*1.25+3,IF(I537&lt;=120,I537*1.25+4,I537*1.25+5))),
""))),2)</f>
        <v>832.05</v>
      </c>
      <c r="I537" s="9">
        <f>($K$2+0.02)*Tabla1[[#This Row],[PRECIO $]]*1.18</f>
        <v>716.56679999999994</v>
      </c>
      <c r="J537" s="7">
        <f>+Tabla1[[#This Row],[PRECIO EN SOLES]]-Tabla1[[#This Row],[PC]]</f>
        <v>115.48320000000001</v>
      </c>
      <c r="K537" s="15"/>
      <c r="L537" s="15" t="str">
        <f>IF(
OR(
ISNUMBER(SEARCH("BACKPACK",B539)),
ISNUMBER(SEARCH("MOCHILA",B539)),
ISNUMBER(SEARCH("FUNDA",B539)),
ISNUMBER(SEARCH("ESTUCHE",B539)),
ISNUMBER(SEARCH("BOOK COVER",B539)),
ISNUMBER(SEARCH("KEYBOARD PARA TABLET",B539)),
ISNUMBER(SEARCH("FLIP TABLET",B539)),
ISNUMBER(SEARCH("CASE FOR TABLET",B539)),
ISNUMBER(SEARCH("CABLE",B539)),
ISNUMBER(SEARCH("ADAPTADOR",B539)),
ISNUMBER(SEARCH("HUB",B539)),
ISNUMBER(SEARCH("DOCK",B539)),
ISNUMBER(SEARCH("MOUSE PAD",B539)),
ISNUMBER(SEARCH("MOUSEPAD",B539)),
ISNUMBER(SEARCH("SOPORTE",B539)),
ISNUMBER(SEARCH("STAND",B539)),
ISNUMBER(SEARCH("TRAVEL ADAPTER",B539)),
ISNUMBER(SEARCH("RJ45",B539)),
ISNUMBER(SEARCH("USB-C",B539)),
ISNUMBER(SEARCH("USB WIFI",B539)),
ISNUMBER(SEARCH("POWERBANK",B539)),
ISNUMBER(SEARCH("CARGADOR",B539)),
ISNUMBER(SEARCH("COOLER PARA NB",B539)),
ISNUMBER(SEARCH("SOPORTE PARA NB",B539)),
ISNUMBER(SEARCH("WEBCAM",B539)),
ISNUMBER(SEARCH("WEB CAM",B539)),
ISNUMBER(SEARCH("MOUSE",B539)),
ISNUMBER(SEARCH("TECLADO",B539))
),
"COMPLEMENTO",
IF(
OR(
LEFT(A539,2)="NB",
LEFT(A539,2)="PC",
LEFT(A539,2)="WS",
LEFT(A539,2)="TB",
LEFT(A539,3)="CEL",
LEFT(A539,3)="MON",
LEFT(A539,3)="PRE",
LEFT(A539,3)="PRH",
ISNUMBER(SEARCH("NOTEBOOK",B539)),
ISNUMBER(SEARCH("LAPTOP",B539)),
ISNUMBER(SEARCH("MONITOR",B539)),
ISNUMBER(SEARCH("TABLET",B539)),
ISNUMBER(SEARCH("SMARTPH",B539)),
ISNUMBER(SEARCH("IMPRESORA",B539)),
ISNUMBER(SEARCH("MULTIFUNCIONAL",B539)),
ISNUMBER(SEARCH("AIO",B539))
),
"GANCHO",
"NORMAL"
)
)</f>
        <v>NORMAL</v>
      </c>
    </row>
    <row r="538" spans="1:12" x14ac:dyDescent="0.25">
      <c r="A538" s="3" t="s">
        <v>4404</v>
      </c>
      <c r="B538" s="3" t="s">
        <v>4405</v>
      </c>
      <c r="C538" s="1">
        <v>20</v>
      </c>
      <c r="D538" s="1">
        <v>161.9</v>
      </c>
      <c r="E538" s="1" t="s">
        <v>115</v>
      </c>
      <c r="F538" s="1" t="s">
        <v>4406</v>
      </c>
      <c r="G538" s="3" t="s">
        <v>4407</v>
      </c>
      <c r="H538" s="11">
        <f>ROUND(
IF(L536="GANCHO",
   IF(I538&lt;=50,I538*1.1+4,IF(I538&lt;=120,I538*1.1+7,IF(I538&lt;=250,I538*1.1+11,I538*1.1+19))),
IF(L536="NORMAL",
   IF(I538&lt;=30,I538*1.15+2,IF(I538&lt;=80,I538*1.15+4,IF(I538&lt;=150,I538*1.15+6,I538*1.15+8))),
IF(L536="COMPLEMENTO",
   IF(I538&lt;=25,I538*1.25+1.5,IF(I538&lt;=60,I538*1.25+3,IF(I538&lt;=120,I538*1.25+4,I538*1.25+5))),
""))),2)</f>
        <v>772.55</v>
      </c>
      <c r="I538" s="9">
        <f>($K$2+0.02)*Tabla1[[#This Row],[PRECIO $]]*1.18</f>
        <v>664.82615999999996</v>
      </c>
      <c r="J538" s="7">
        <f>+Tabla1[[#This Row],[PRECIO EN SOLES]]-Tabla1[[#This Row],[PC]]</f>
        <v>107.72384</v>
      </c>
      <c r="K538" s="15"/>
      <c r="L538" s="15" t="str">
        <f>IF(
OR(
ISNUMBER(SEARCH("BACKPACK",B540)),
ISNUMBER(SEARCH("MOCHILA",B540)),
ISNUMBER(SEARCH("FUNDA",B540)),
ISNUMBER(SEARCH("ESTUCHE",B540)),
ISNUMBER(SEARCH("BOOK COVER",B540)),
ISNUMBER(SEARCH("KEYBOARD PARA TABLET",B540)),
ISNUMBER(SEARCH("FLIP TABLET",B540)),
ISNUMBER(SEARCH("CASE FOR TABLET",B540)),
ISNUMBER(SEARCH("CABLE",B540)),
ISNUMBER(SEARCH("ADAPTADOR",B540)),
ISNUMBER(SEARCH("HUB",B540)),
ISNUMBER(SEARCH("DOCK",B540)),
ISNUMBER(SEARCH("MOUSE PAD",B540)),
ISNUMBER(SEARCH("MOUSEPAD",B540)),
ISNUMBER(SEARCH("SOPORTE",B540)),
ISNUMBER(SEARCH("STAND",B540)),
ISNUMBER(SEARCH("TRAVEL ADAPTER",B540)),
ISNUMBER(SEARCH("RJ45",B540)),
ISNUMBER(SEARCH("USB-C",B540)),
ISNUMBER(SEARCH("USB WIFI",B540)),
ISNUMBER(SEARCH("POWERBANK",B540)),
ISNUMBER(SEARCH("CARGADOR",B540)),
ISNUMBER(SEARCH("COOLER PARA NB",B540)),
ISNUMBER(SEARCH("SOPORTE PARA NB",B540)),
ISNUMBER(SEARCH("WEBCAM",B540)),
ISNUMBER(SEARCH("WEB CAM",B540)),
ISNUMBER(SEARCH("MOUSE",B540)),
ISNUMBER(SEARCH("TECLADO",B540))
),
"COMPLEMENTO",
IF(
OR(
LEFT(A540,2)="NB",
LEFT(A540,2)="PC",
LEFT(A540,2)="WS",
LEFT(A540,2)="TB",
LEFT(A540,3)="CEL",
LEFT(A540,3)="MON",
LEFT(A540,3)="PRE",
LEFT(A540,3)="PRH",
ISNUMBER(SEARCH("NOTEBOOK",B540)),
ISNUMBER(SEARCH("LAPTOP",B540)),
ISNUMBER(SEARCH("MONITOR",B540)),
ISNUMBER(SEARCH("TABLET",B540)),
ISNUMBER(SEARCH("SMARTPH",B540)),
ISNUMBER(SEARCH("IMPRESORA",B540)),
ISNUMBER(SEARCH("MULTIFUNCIONAL",B540)),
ISNUMBER(SEARCH("AIO",B540))
),
"GANCHO",
"NORMAL"
)
)</f>
        <v>NORMAL</v>
      </c>
    </row>
    <row r="539" spans="1:12" x14ac:dyDescent="0.25">
      <c r="A539" s="3" t="s">
        <v>5933</v>
      </c>
      <c r="B539" s="3" t="s">
        <v>5934</v>
      </c>
      <c r="C539" s="1">
        <v>0</v>
      </c>
      <c r="D539" s="1">
        <v>135.19999999999999</v>
      </c>
      <c r="E539" s="1" t="s">
        <v>121</v>
      </c>
      <c r="F539" s="1" t="s">
        <v>5935</v>
      </c>
      <c r="G539" s="3" t="s">
        <v>5936</v>
      </c>
      <c r="H539" s="11">
        <f>ROUND(
IF(L537="GANCHO",
   IF(I539&lt;=50,I539*1.1+4,IF(I539&lt;=120,I539*1.1+7,IF(I539&lt;=250,I539*1.1+11,I539*1.1+19))),
IF(L537="NORMAL",
   IF(I539&lt;=30,I539*1.15+2,IF(I539&lt;=80,I539*1.15+4,IF(I539&lt;=150,I539*1.15+6,I539*1.15+8))),
IF(L537="COMPLEMENTO",
   IF(I539&lt;=25,I539*1.25+1.5,IF(I539&lt;=60,I539*1.25+3,IF(I539&lt;=120,I539*1.25+4,I539*1.25+5))),
""))),2)</f>
        <v>646.46</v>
      </c>
      <c r="I539" s="9">
        <f>($K$2+0.02)*Tabla1[[#This Row],[PRECIO $]]*1.18</f>
        <v>555.18527999999992</v>
      </c>
      <c r="J539" s="7">
        <f>+Tabla1[[#This Row],[PRECIO EN SOLES]]-Tabla1[[#This Row],[PC]]</f>
        <v>91.274720000000116</v>
      </c>
      <c r="K539" s="15"/>
      <c r="L539" s="15" t="str">
        <f>IF(
OR(
ISNUMBER(SEARCH("BACKPACK",B541)),
ISNUMBER(SEARCH("MOCHILA",B541)),
ISNUMBER(SEARCH("FUNDA",B541)),
ISNUMBER(SEARCH("ESTUCHE",B541)),
ISNUMBER(SEARCH("BOOK COVER",B541)),
ISNUMBER(SEARCH("KEYBOARD PARA TABLET",B541)),
ISNUMBER(SEARCH("FLIP TABLET",B541)),
ISNUMBER(SEARCH("CASE FOR TABLET",B541)),
ISNUMBER(SEARCH("CABLE",B541)),
ISNUMBER(SEARCH("ADAPTADOR",B541)),
ISNUMBER(SEARCH("HUB",B541)),
ISNUMBER(SEARCH("DOCK",B541)),
ISNUMBER(SEARCH("MOUSE PAD",B541)),
ISNUMBER(SEARCH("MOUSEPAD",B541)),
ISNUMBER(SEARCH("SOPORTE",B541)),
ISNUMBER(SEARCH("STAND",B541)),
ISNUMBER(SEARCH("TRAVEL ADAPTER",B541)),
ISNUMBER(SEARCH("RJ45",B541)),
ISNUMBER(SEARCH("USB-C",B541)),
ISNUMBER(SEARCH("USB WIFI",B541)),
ISNUMBER(SEARCH("POWERBANK",B541)),
ISNUMBER(SEARCH("CARGADOR",B541)),
ISNUMBER(SEARCH("COOLER PARA NB",B541)),
ISNUMBER(SEARCH("SOPORTE PARA NB",B541)),
ISNUMBER(SEARCH("WEBCAM",B541)),
ISNUMBER(SEARCH("WEB CAM",B541)),
ISNUMBER(SEARCH("MOUSE",B541)),
ISNUMBER(SEARCH("TECLADO",B541))
),
"COMPLEMENTO",
IF(
OR(
LEFT(A541,2)="NB",
LEFT(A541,2)="PC",
LEFT(A541,2)="WS",
LEFT(A541,2)="TB",
LEFT(A541,3)="CEL",
LEFT(A541,3)="MON",
LEFT(A541,3)="PRE",
LEFT(A541,3)="PRH",
ISNUMBER(SEARCH("NOTEBOOK",B541)),
ISNUMBER(SEARCH("LAPTOP",B541)),
ISNUMBER(SEARCH("MONITOR",B541)),
ISNUMBER(SEARCH("TABLET",B541)),
ISNUMBER(SEARCH("SMARTPH",B541)),
ISNUMBER(SEARCH("IMPRESORA",B541)),
ISNUMBER(SEARCH("MULTIFUNCIONAL",B541)),
ISNUMBER(SEARCH("AIO",B541))
),
"GANCHO",
"NORMAL"
)
)</f>
        <v>NORMAL</v>
      </c>
    </row>
    <row r="540" spans="1:12" x14ac:dyDescent="0.25">
      <c r="A540" s="3" t="s">
        <v>5937</v>
      </c>
      <c r="B540" s="3" t="s">
        <v>5938</v>
      </c>
      <c r="C540" s="1">
        <v>0</v>
      </c>
      <c r="D540" s="1">
        <v>91.5</v>
      </c>
      <c r="E540" s="1" t="s">
        <v>906</v>
      </c>
      <c r="F540" s="1" t="s">
        <v>5939</v>
      </c>
      <c r="G540" s="3" t="s">
        <v>5940</v>
      </c>
      <c r="H540" s="11">
        <f>ROUND(
IF(L538="GANCHO",
   IF(I540&lt;=50,I540*1.1+4,IF(I540&lt;=120,I540*1.1+7,IF(I540&lt;=250,I540*1.1+11,I540*1.1+19))),
IF(L538="NORMAL",
   IF(I540&lt;=30,I540*1.15+2,IF(I540&lt;=80,I540*1.15+4,IF(I540&lt;=150,I540*1.15+6,I540*1.15+8))),
IF(L538="COMPLEMENTO",
   IF(I540&lt;=25,I540*1.25+1.5,IF(I540&lt;=60,I540*1.25+3,IF(I540&lt;=120,I540*1.25+4,I540*1.25+5))),
""))),2)</f>
        <v>440.1</v>
      </c>
      <c r="I540" s="9">
        <f>($K$2+0.02)*Tabla1[[#This Row],[PRECIO $]]*1.18</f>
        <v>375.73559999999998</v>
      </c>
      <c r="J540" s="7">
        <f>+Tabla1[[#This Row],[PRECIO EN SOLES]]-Tabla1[[#This Row],[PC]]</f>
        <v>64.364400000000046</v>
      </c>
      <c r="K540" s="15"/>
      <c r="L540" s="15" t="str">
        <f>IF(
OR(
ISNUMBER(SEARCH("BACKPACK",B542)),
ISNUMBER(SEARCH("MOCHILA",B542)),
ISNUMBER(SEARCH("FUNDA",B542)),
ISNUMBER(SEARCH("ESTUCHE",B542)),
ISNUMBER(SEARCH("BOOK COVER",B542)),
ISNUMBER(SEARCH("KEYBOARD PARA TABLET",B542)),
ISNUMBER(SEARCH("FLIP TABLET",B542)),
ISNUMBER(SEARCH("CASE FOR TABLET",B542)),
ISNUMBER(SEARCH("CABLE",B542)),
ISNUMBER(SEARCH("ADAPTADOR",B542)),
ISNUMBER(SEARCH("HUB",B542)),
ISNUMBER(SEARCH("DOCK",B542)),
ISNUMBER(SEARCH("MOUSE PAD",B542)),
ISNUMBER(SEARCH("MOUSEPAD",B542)),
ISNUMBER(SEARCH("SOPORTE",B542)),
ISNUMBER(SEARCH("STAND",B542)),
ISNUMBER(SEARCH("TRAVEL ADAPTER",B542)),
ISNUMBER(SEARCH("RJ45",B542)),
ISNUMBER(SEARCH("USB-C",B542)),
ISNUMBER(SEARCH("USB WIFI",B542)),
ISNUMBER(SEARCH("POWERBANK",B542)),
ISNUMBER(SEARCH("CARGADOR",B542)),
ISNUMBER(SEARCH("COOLER PARA NB",B542)),
ISNUMBER(SEARCH("SOPORTE PARA NB",B542)),
ISNUMBER(SEARCH("WEBCAM",B542)),
ISNUMBER(SEARCH("WEB CAM",B542)),
ISNUMBER(SEARCH("MOUSE",B542)),
ISNUMBER(SEARCH("TECLADO",B542))
),
"COMPLEMENTO",
IF(
OR(
LEFT(A542,2)="NB",
LEFT(A542,2)="PC",
LEFT(A542,2)="WS",
LEFT(A542,2)="TB",
LEFT(A542,3)="CEL",
LEFT(A542,3)="MON",
LEFT(A542,3)="PRE",
LEFT(A542,3)="PRH",
ISNUMBER(SEARCH("NOTEBOOK",B542)),
ISNUMBER(SEARCH("LAPTOP",B542)),
ISNUMBER(SEARCH("MONITOR",B542)),
ISNUMBER(SEARCH("TABLET",B542)),
ISNUMBER(SEARCH("SMARTPH",B542)),
ISNUMBER(SEARCH("IMPRESORA",B542)),
ISNUMBER(SEARCH("MULTIFUNCIONAL",B542)),
ISNUMBER(SEARCH("AIO",B542))
),
"GANCHO",
"NORMAL"
)
)</f>
        <v>NORMAL</v>
      </c>
    </row>
    <row r="541" spans="1:12" x14ac:dyDescent="0.25">
      <c r="A541" s="3" t="s">
        <v>5941</v>
      </c>
      <c r="B541" s="3" t="s">
        <v>5942</v>
      </c>
      <c r="C541" s="1">
        <v>1</v>
      </c>
      <c r="D541" s="1">
        <v>71.650000000000006</v>
      </c>
      <c r="E541" s="1" t="s">
        <v>906</v>
      </c>
      <c r="F541" s="1" t="s">
        <v>5943</v>
      </c>
      <c r="G541" s="3" t="s">
        <v>5944</v>
      </c>
      <c r="H541" s="11">
        <f>ROUND(
IF(L539="GANCHO",
   IF(I541&lt;=50,I541*1.1+4,IF(I541&lt;=120,I541*1.1+7,IF(I541&lt;=250,I541*1.1+11,I541*1.1+19))),
IF(L539="NORMAL",
   IF(I541&lt;=30,I541*1.15+2,IF(I541&lt;=80,I541*1.15+4,IF(I541&lt;=150,I541*1.15+6,I541*1.15+8))),
IF(L539="COMPLEMENTO",
   IF(I541&lt;=25,I541*1.25+1.5,IF(I541&lt;=60,I541*1.25+3,IF(I541&lt;=120,I541*1.25+4,I541*1.25+5))),
""))),2)</f>
        <v>346.36</v>
      </c>
      <c r="I541" s="9">
        <f>($K$2+0.02)*Tabla1[[#This Row],[PRECIO $]]*1.18</f>
        <v>294.22356000000002</v>
      </c>
      <c r="J541" s="7">
        <f>+Tabla1[[#This Row],[PRECIO EN SOLES]]-Tabla1[[#This Row],[PC]]</f>
        <v>52.136439999999993</v>
      </c>
      <c r="K541" s="15"/>
      <c r="L541" s="15" t="str">
        <f>IF(
OR(
ISNUMBER(SEARCH("BACKPACK",B543)),
ISNUMBER(SEARCH("MOCHILA",B543)),
ISNUMBER(SEARCH("FUNDA",B543)),
ISNUMBER(SEARCH("ESTUCHE",B543)),
ISNUMBER(SEARCH("BOOK COVER",B543)),
ISNUMBER(SEARCH("KEYBOARD PARA TABLET",B543)),
ISNUMBER(SEARCH("FLIP TABLET",B543)),
ISNUMBER(SEARCH("CASE FOR TABLET",B543)),
ISNUMBER(SEARCH("CABLE",B543)),
ISNUMBER(SEARCH("ADAPTADOR",B543)),
ISNUMBER(SEARCH("HUB",B543)),
ISNUMBER(SEARCH("DOCK",B543)),
ISNUMBER(SEARCH("MOUSE PAD",B543)),
ISNUMBER(SEARCH("MOUSEPAD",B543)),
ISNUMBER(SEARCH("SOPORTE",B543)),
ISNUMBER(SEARCH("STAND",B543)),
ISNUMBER(SEARCH("TRAVEL ADAPTER",B543)),
ISNUMBER(SEARCH("RJ45",B543)),
ISNUMBER(SEARCH("USB-C",B543)),
ISNUMBER(SEARCH("USB WIFI",B543)),
ISNUMBER(SEARCH("POWERBANK",B543)),
ISNUMBER(SEARCH("CARGADOR",B543)),
ISNUMBER(SEARCH("COOLER PARA NB",B543)),
ISNUMBER(SEARCH("SOPORTE PARA NB",B543)),
ISNUMBER(SEARCH("WEBCAM",B543)),
ISNUMBER(SEARCH("WEB CAM",B543)),
ISNUMBER(SEARCH("MOUSE",B543)),
ISNUMBER(SEARCH("TECLADO",B543))
),
"COMPLEMENTO",
IF(
OR(
LEFT(A543,2)="NB",
LEFT(A543,2)="PC",
LEFT(A543,2)="WS",
LEFT(A543,2)="TB",
LEFT(A543,3)="CEL",
LEFT(A543,3)="MON",
LEFT(A543,3)="PRE",
LEFT(A543,3)="PRH",
ISNUMBER(SEARCH("NOTEBOOK",B543)),
ISNUMBER(SEARCH("LAPTOP",B543)),
ISNUMBER(SEARCH("MONITOR",B543)),
ISNUMBER(SEARCH("TABLET",B543)),
ISNUMBER(SEARCH("SMARTPH",B543)),
ISNUMBER(SEARCH("IMPRESORA",B543)),
ISNUMBER(SEARCH("MULTIFUNCIONAL",B543)),
ISNUMBER(SEARCH("AIO",B543))
),
"GANCHO",
"NORMAL"
)
)</f>
        <v>NORMAL</v>
      </c>
    </row>
    <row r="542" spans="1:12" x14ac:dyDescent="0.25">
      <c r="A542" s="3" t="s">
        <v>5945</v>
      </c>
      <c r="B542" s="3" t="s">
        <v>5946</v>
      </c>
      <c r="C542" s="1">
        <v>20</v>
      </c>
      <c r="D542" s="1">
        <v>85.25</v>
      </c>
      <c r="E542" s="1" t="s">
        <v>906</v>
      </c>
      <c r="F542" s="1" t="s">
        <v>5947</v>
      </c>
      <c r="G542" s="3" t="s">
        <v>5948</v>
      </c>
      <c r="H542" s="11">
        <f>ROUND(
IF(L540="GANCHO",
   IF(I542&lt;=50,I542*1.1+4,IF(I542&lt;=120,I542*1.1+7,IF(I542&lt;=250,I542*1.1+11,I542*1.1+19))),
IF(L540="NORMAL",
   IF(I542&lt;=30,I542*1.15+2,IF(I542&lt;=80,I542*1.15+4,IF(I542&lt;=150,I542*1.15+6,I542*1.15+8))),
IF(L540="COMPLEMENTO",
   IF(I542&lt;=25,I542*1.25+1.5,IF(I542&lt;=60,I542*1.25+3,IF(I542&lt;=120,I542*1.25+4,I542*1.25+5))),
""))),2)</f>
        <v>410.58</v>
      </c>
      <c r="I542" s="9">
        <f>($K$2+0.02)*Tabla1[[#This Row],[PRECIO $]]*1.18</f>
        <v>350.07060000000001</v>
      </c>
      <c r="J542" s="7">
        <f>+Tabla1[[#This Row],[PRECIO EN SOLES]]-Tabla1[[#This Row],[PC]]</f>
        <v>60.509399999999971</v>
      </c>
      <c r="K542" s="15"/>
      <c r="L542" s="15" t="str">
        <f>IF(
OR(
ISNUMBER(SEARCH("BACKPACK",B544)),
ISNUMBER(SEARCH("MOCHILA",B544)),
ISNUMBER(SEARCH("FUNDA",B544)),
ISNUMBER(SEARCH("ESTUCHE",B544)),
ISNUMBER(SEARCH("BOOK COVER",B544)),
ISNUMBER(SEARCH("KEYBOARD PARA TABLET",B544)),
ISNUMBER(SEARCH("FLIP TABLET",B544)),
ISNUMBER(SEARCH("CASE FOR TABLET",B544)),
ISNUMBER(SEARCH("CABLE",B544)),
ISNUMBER(SEARCH("ADAPTADOR",B544)),
ISNUMBER(SEARCH("HUB",B544)),
ISNUMBER(SEARCH("DOCK",B544)),
ISNUMBER(SEARCH("MOUSE PAD",B544)),
ISNUMBER(SEARCH("MOUSEPAD",B544)),
ISNUMBER(SEARCH("SOPORTE",B544)),
ISNUMBER(SEARCH("STAND",B544)),
ISNUMBER(SEARCH("TRAVEL ADAPTER",B544)),
ISNUMBER(SEARCH("RJ45",B544)),
ISNUMBER(SEARCH("USB-C",B544)),
ISNUMBER(SEARCH("USB WIFI",B544)),
ISNUMBER(SEARCH("POWERBANK",B544)),
ISNUMBER(SEARCH("CARGADOR",B544)),
ISNUMBER(SEARCH("COOLER PARA NB",B544)),
ISNUMBER(SEARCH("SOPORTE PARA NB",B544)),
ISNUMBER(SEARCH("WEBCAM",B544)),
ISNUMBER(SEARCH("WEB CAM",B544)),
ISNUMBER(SEARCH("MOUSE",B544)),
ISNUMBER(SEARCH("TECLADO",B544))
),
"COMPLEMENTO",
IF(
OR(
LEFT(A544,2)="NB",
LEFT(A544,2)="PC",
LEFT(A544,2)="WS",
LEFT(A544,2)="TB",
LEFT(A544,3)="CEL",
LEFT(A544,3)="MON",
LEFT(A544,3)="PRE",
LEFT(A544,3)="PRH",
ISNUMBER(SEARCH("NOTEBOOK",B544)),
ISNUMBER(SEARCH("LAPTOP",B544)),
ISNUMBER(SEARCH("MONITOR",B544)),
ISNUMBER(SEARCH("TABLET",B544)),
ISNUMBER(SEARCH("SMARTPH",B544)),
ISNUMBER(SEARCH("IMPRESORA",B544)),
ISNUMBER(SEARCH("MULTIFUNCIONAL",B544)),
ISNUMBER(SEARCH("AIO",B544))
),
"GANCHO",
"NORMAL"
)
)</f>
        <v>NORMAL</v>
      </c>
    </row>
    <row r="543" spans="1:12" x14ac:dyDescent="0.25">
      <c r="A543" s="3" t="s">
        <v>5949</v>
      </c>
      <c r="B543" s="3" t="s">
        <v>5950</v>
      </c>
      <c r="C543" s="1">
        <v>0</v>
      </c>
      <c r="D543" s="1">
        <v>93.5</v>
      </c>
      <c r="E543" s="1" t="s">
        <v>906</v>
      </c>
      <c r="F543" s="1" t="s">
        <v>5951</v>
      </c>
      <c r="G543" s="3" t="s">
        <v>5952</v>
      </c>
      <c r="H543" s="11">
        <f>ROUND(
IF(L541="GANCHO",
   IF(I543&lt;=50,I543*1.1+4,IF(I543&lt;=120,I543*1.1+7,IF(I543&lt;=250,I543*1.1+11,I543*1.1+19))),
IF(L541="NORMAL",
   IF(I543&lt;=30,I543*1.15+2,IF(I543&lt;=80,I543*1.15+4,IF(I543&lt;=150,I543*1.15+6,I543*1.15+8))),
IF(L541="COMPLEMENTO",
   IF(I543&lt;=25,I543*1.25+1.5,IF(I543&lt;=60,I543*1.25+3,IF(I543&lt;=120,I543*1.25+4,I543*1.25+5))),
""))),2)</f>
        <v>449.54</v>
      </c>
      <c r="I543" s="9">
        <f>($K$2+0.02)*Tabla1[[#This Row],[PRECIO $]]*1.18</f>
        <v>383.94839999999999</v>
      </c>
      <c r="J543" s="7">
        <f>+Tabla1[[#This Row],[PRECIO EN SOLES]]-Tabla1[[#This Row],[PC]]</f>
        <v>65.591600000000028</v>
      </c>
      <c r="K543" s="15"/>
      <c r="L543" s="15" t="str">
        <f>IF(
OR(
ISNUMBER(SEARCH("BACKPACK",B545)),
ISNUMBER(SEARCH("MOCHILA",B545)),
ISNUMBER(SEARCH("FUNDA",B545)),
ISNUMBER(SEARCH("ESTUCHE",B545)),
ISNUMBER(SEARCH("BOOK COVER",B545)),
ISNUMBER(SEARCH("KEYBOARD PARA TABLET",B545)),
ISNUMBER(SEARCH("FLIP TABLET",B545)),
ISNUMBER(SEARCH("CASE FOR TABLET",B545)),
ISNUMBER(SEARCH("CABLE",B545)),
ISNUMBER(SEARCH("ADAPTADOR",B545)),
ISNUMBER(SEARCH("HUB",B545)),
ISNUMBER(SEARCH("DOCK",B545)),
ISNUMBER(SEARCH("MOUSE PAD",B545)),
ISNUMBER(SEARCH("MOUSEPAD",B545)),
ISNUMBER(SEARCH("SOPORTE",B545)),
ISNUMBER(SEARCH("STAND",B545)),
ISNUMBER(SEARCH("TRAVEL ADAPTER",B545)),
ISNUMBER(SEARCH("RJ45",B545)),
ISNUMBER(SEARCH("USB-C",B545)),
ISNUMBER(SEARCH("USB WIFI",B545)),
ISNUMBER(SEARCH("POWERBANK",B545)),
ISNUMBER(SEARCH("CARGADOR",B545)),
ISNUMBER(SEARCH("COOLER PARA NB",B545)),
ISNUMBER(SEARCH("SOPORTE PARA NB",B545)),
ISNUMBER(SEARCH("WEBCAM",B545)),
ISNUMBER(SEARCH("WEB CAM",B545)),
ISNUMBER(SEARCH("MOUSE",B545)),
ISNUMBER(SEARCH("TECLADO",B545))
),
"COMPLEMENTO",
IF(
OR(
LEFT(A545,2)="NB",
LEFT(A545,2)="PC",
LEFT(A545,2)="WS",
LEFT(A545,2)="TB",
LEFT(A545,3)="CEL",
LEFT(A545,3)="MON",
LEFT(A545,3)="PRE",
LEFT(A545,3)="PRH",
ISNUMBER(SEARCH("NOTEBOOK",B545)),
ISNUMBER(SEARCH("LAPTOP",B545)),
ISNUMBER(SEARCH("MONITOR",B545)),
ISNUMBER(SEARCH("TABLET",B545)),
ISNUMBER(SEARCH("SMARTPH",B545)),
ISNUMBER(SEARCH("IMPRESORA",B545)),
ISNUMBER(SEARCH("MULTIFUNCIONAL",B545)),
ISNUMBER(SEARCH("AIO",B545))
),
"GANCHO",
"NORMAL"
)
)</f>
        <v>NORMAL</v>
      </c>
    </row>
    <row r="544" spans="1:12" x14ac:dyDescent="0.25">
      <c r="A544" s="3" t="s">
        <v>5306</v>
      </c>
      <c r="B544" s="3" t="s">
        <v>5307</v>
      </c>
      <c r="C544" s="1">
        <v>20</v>
      </c>
      <c r="D544" s="1">
        <v>237.5</v>
      </c>
      <c r="E544" s="1" t="s">
        <v>115</v>
      </c>
      <c r="F544" s="1" t="s">
        <v>5308</v>
      </c>
      <c r="G544" s="3" t="s">
        <v>5309</v>
      </c>
      <c r="H544" s="11">
        <f>ROUND(
IF(L542="GANCHO",
   IF(I544&lt;=50,I544*1.1+4,IF(I544&lt;=120,I544*1.1+7,IF(I544&lt;=250,I544*1.1+11,I544*1.1+19))),
IF(L542="NORMAL",
   IF(I544&lt;=30,I544*1.15+2,IF(I544&lt;=80,I544*1.15+4,IF(I544&lt;=150,I544*1.15+6,I544*1.15+8))),
IF(L542="COMPLEMENTO",
   IF(I544&lt;=25,I544*1.25+1.5,IF(I544&lt;=60,I544*1.25+3,IF(I544&lt;=120,I544*1.25+4,I544*1.25+5))),
""))),2)</f>
        <v>1129.56</v>
      </c>
      <c r="I544" s="9">
        <f>($K$2+0.02)*Tabla1[[#This Row],[PRECIO $]]*1.18</f>
        <v>975.27</v>
      </c>
      <c r="J544" s="7">
        <f>+Tabla1[[#This Row],[PRECIO EN SOLES]]-Tabla1[[#This Row],[PC]]</f>
        <v>154.28999999999996</v>
      </c>
      <c r="K544" s="15"/>
      <c r="L544" s="15" t="str">
        <f>IF(
OR(
ISNUMBER(SEARCH("BACKPACK",B546)),
ISNUMBER(SEARCH("MOCHILA",B546)),
ISNUMBER(SEARCH("FUNDA",B546)),
ISNUMBER(SEARCH("ESTUCHE",B546)),
ISNUMBER(SEARCH("BOOK COVER",B546)),
ISNUMBER(SEARCH("KEYBOARD PARA TABLET",B546)),
ISNUMBER(SEARCH("FLIP TABLET",B546)),
ISNUMBER(SEARCH("CASE FOR TABLET",B546)),
ISNUMBER(SEARCH("CABLE",B546)),
ISNUMBER(SEARCH("ADAPTADOR",B546)),
ISNUMBER(SEARCH("HUB",B546)),
ISNUMBER(SEARCH("DOCK",B546)),
ISNUMBER(SEARCH("MOUSE PAD",B546)),
ISNUMBER(SEARCH("MOUSEPAD",B546)),
ISNUMBER(SEARCH("SOPORTE",B546)),
ISNUMBER(SEARCH("STAND",B546)),
ISNUMBER(SEARCH("TRAVEL ADAPTER",B546)),
ISNUMBER(SEARCH("RJ45",B546)),
ISNUMBER(SEARCH("USB-C",B546)),
ISNUMBER(SEARCH("USB WIFI",B546)),
ISNUMBER(SEARCH("POWERBANK",B546)),
ISNUMBER(SEARCH("CARGADOR",B546)),
ISNUMBER(SEARCH("COOLER PARA NB",B546)),
ISNUMBER(SEARCH("SOPORTE PARA NB",B546)),
ISNUMBER(SEARCH("WEBCAM",B546)),
ISNUMBER(SEARCH("WEB CAM",B546)),
ISNUMBER(SEARCH("MOUSE",B546)),
ISNUMBER(SEARCH("TECLADO",B546))
),
"COMPLEMENTO",
IF(
OR(
LEFT(A546,2)="NB",
LEFT(A546,2)="PC",
LEFT(A546,2)="WS",
LEFT(A546,2)="TB",
LEFT(A546,3)="CEL",
LEFT(A546,3)="MON",
LEFT(A546,3)="PRE",
LEFT(A546,3)="PRH",
ISNUMBER(SEARCH("NOTEBOOK",B546)),
ISNUMBER(SEARCH("LAPTOP",B546)),
ISNUMBER(SEARCH("MONITOR",B546)),
ISNUMBER(SEARCH("TABLET",B546)),
ISNUMBER(SEARCH("SMARTPH",B546)),
ISNUMBER(SEARCH("IMPRESORA",B546)),
ISNUMBER(SEARCH("MULTIFUNCIONAL",B546)),
ISNUMBER(SEARCH("AIO",B546))
),
"GANCHO",
"NORMAL"
)
)</f>
        <v>NORMAL</v>
      </c>
    </row>
    <row r="545" spans="1:12" x14ac:dyDescent="0.25">
      <c r="A545" s="3" t="s">
        <v>4580</v>
      </c>
      <c r="B545" s="3" t="s">
        <v>4581</v>
      </c>
      <c r="C545" s="1">
        <v>0</v>
      </c>
      <c r="D545" s="1">
        <v>103.2</v>
      </c>
      <c r="E545" s="1" t="s">
        <v>226</v>
      </c>
      <c r="F545" s="1" t="s">
        <v>4582</v>
      </c>
      <c r="G545" s="3" t="s">
        <v>4583</v>
      </c>
      <c r="H545" s="11">
        <f>ROUND(
IF(L543="GANCHO",
   IF(I545&lt;=50,I545*1.1+4,IF(I545&lt;=120,I545*1.1+7,IF(I545&lt;=250,I545*1.1+11,I545*1.1+19))),
IF(L543="NORMAL",
   IF(I545&lt;=30,I545*1.15+2,IF(I545&lt;=80,I545*1.15+4,IF(I545&lt;=150,I545*1.15+6,I545*1.15+8))),
IF(L543="COMPLEMENTO",
   IF(I545&lt;=25,I545*1.25+1.5,IF(I545&lt;=60,I545*1.25+3,IF(I545&lt;=120,I545*1.25+4,I545*1.25+5))),
""))),2)</f>
        <v>495.35</v>
      </c>
      <c r="I545" s="9">
        <f>($K$2+0.02)*Tabla1[[#This Row],[PRECIO $]]*1.18</f>
        <v>423.78048000000001</v>
      </c>
      <c r="J545" s="7">
        <f>+Tabla1[[#This Row],[PRECIO EN SOLES]]-Tabla1[[#This Row],[PC]]</f>
        <v>71.569520000000011</v>
      </c>
      <c r="K545" s="15"/>
      <c r="L545" s="15" t="str">
        <f>IF(
OR(
ISNUMBER(SEARCH("BACKPACK",B547)),
ISNUMBER(SEARCH("MOCHILA",B547)),
ISNUMBER(SEARCH("FUNDA",B547)),
ISNUMBER(SEARCH("ESTUCHE",B547)),
ISNUMBER(SEARCH("BOOK COVER",B547)),
ISNUMBER(SEARCH("KEYBOARD PARA TABLET",B547)),
ISNUMBER(SEARCH("FLIP TABLET",B547)),
ISNUMBER(SEARCH("CASE FOR TABLET",B547)),
ISNUMBER(SEARCH("CABLE",B547)),
ISNUMBER(SEARCH("ADAPTADOR",B547)),
ISNUMBER(SEARCH("HUB",B547)),
ISNUMBER(SEARCH("DOCK",B547)),
ISNUMBER(SEARCH("MOUSE PAD",B547)),
ISNUMBER(SEARCH("MOUSEPAD",B547)),
ISNUMBER(SEARCH("SOPORTE",B547)),
ISNUMBER(SEARCH("STAND",B547)),
ISNUMBER(SEARCH("TRAVEL ADAPTER",B547)),
ISNUMBER(SEARCH("RJ45",B547)),
ISNUMBER(SEARCH("USB-C",B547)),
ISNUMBER(SEARCH("USB WIFI",B547)),
ISNUMBER(SEARCH("POWERBANK",B547)),
ISNUMBER(SEARCH("CARGADOR",B547)),
ISNUMBER(SEARCH("COOLER PARA NB",B547)),
ISNUMBER(SEARCH("SOPORTE PARA NB",B547)),
ISNUMBER(SEARCH("WEBCAM",B547)),
ISNUMBER(SEARCH("WEB CAM",B547)),
ISNUMBER(SEARCH("MOUSE",B547)),
ISNUMBER(SEARCH("TECLADO",B547))
),
"COMPLEMENTO",
IF(
OR(
LEFT(A547,2)="NB",
LEFT(A547,2)="PC",
LEFT(A547,2)="WS",
LEFT(A547,2)="TB",
LEFT(A547,3)="CEL",
LEFT(A547,3)="MON",
LEFT(A547,3)="PRE",
LEFT(A547,3)="PRH",
ISNUMBER(SEARCH("NOTEBOOK",B547)),
ISNUMBER(SEARCH("LAPTOP",B547)),
ISNUMBER(SEARCH("MONITOR",B547)),
ISNUMBER(SEARCH("TABLET",B547)),
ISNUMBER(SEARCH("SMARTPH",B547)),
ISNUMBER(SEARCH("IMPRESORA",B547)),
ISNUMBER(SEARCH("MULTIFUNCIONAL",B547)),
ISNUMBER(SEARCH("AIO",B547))
),
"GANCHO",
"NORMAL"
)
)</f>
        <v>NORMAL</v>
      </c>
    </row>
    <row r="546" spans="1:12" x14ac:dyDescent="0.25">
      <c r="A546" s="3" t="s">
        <v>5310</v>
      </c>
      <c r="B546" s="3" t="s">
        <v>5311</v>
      </c>
      <c r="C546" s="1">
        <v>0</v>
      </c>
      <c r="D546" s="1">
        <v>94</v>
      </c>
      <c r="E546" s="1" t="s">
        <v>226</v>
      </c>
      <c r="F546" s="1" t="s">
        <v>5312</v>
      </c>
      <c r="G546" s="3" t="s">
        <v>5313</v>
      </c>
      <c r="H546" s="11">
        <f>ROUND(
IF(L544="GANCHO",
   IF(I546&lt;=50,I546*1.1+4,IF(I546&lt;=120,I546*1.1+7,IF(I546&lt;=250,I546*1.1+11,I546*1.1+19))),
IF(L544="NORMAL",
   IF(I546&lt;=30,I546*1.15+2,IF(I546&lt;=80,I546*1.15+4,IF(I546&lt;=150,I546*1.15+6,I546*1.15+8))),
IF(L544="COMPLEMENTO",
   IF(I546&lt;=25,I546*1.25+1.5,IF(I546&lt;=60,I546*1.25+3,IF(I546&lt;=120,I546*1.25+4,I546*1.25+5))),
""))),2)</f>
        <v>451.9</v>
      </c>
      <c r="I546" s="9">
        <f>($K$2+0.02)*Tabla1[[#This Row],[PRECIO $]]*1.18</f>
        <v>386.0016</v>
      </c>
      <c r="J546" s="7">
        <f>+Tabla1[[#This Row],[PRECIO EN SOLES]]-Tabla1[[#This Row],[PC]]</f>
        <v>65.898399999999981</v>
      </c>
      <c r="K546" s="15"/>
      <c r="L546" s="15" t="str">
        <f>IF(
OR(
ISNUMBER(SEARCH("BACKPACK",B548)),
ISNUMBER(SEARCH("MOCHILA",B548)),
ISNUMBER(SEARCH("FUNDA",B548)),
ISNUMBER(SEARCH("ESTUCHE",B548)),
ISNUMBER(SEARCH("BOOK COVER",B548)),
ISNUMBER(SEARCH("KEYBOARD PARA TABLET",B548)),
ISNUMBER(SEARCH("FLIP TABLET",B548)),
ISNUMBER(SEARCH("CASE FOR TABLET",B548)),
ISNUMBER(SEARCH("CABLE",B548)),
ISNUMBER(SEARCH("ADAPTADOR",B548)),
ISNUMBER(SEARCH("HUB",B548)),
ISNUMBER(SEARCH("DOCK",B548)),
ISNUMBER(SEARCH("MOUSE PAD",B548)),
ISNUMBER(SEARCH("MOUSEPAD",B548)),
ISNUMBER(SEARCH("SOPORTE",B548)),
ISNUMBER(SEARCH("STAND",B548)),
ISNUMBER(SEARCH("TRAVEL ADAPTER",B548)),
ISNUMBER(SEARCH("RJ45",B548)),
ISNUMBER(SEARCH("USB-C",B548)),
ISNUMBER(SEARCH("USB WIFI",B548)),
ISNUMBER(SEARCH("POWERBANK",B548)),
ISNUMBER(SEARCH("CARGADOR",B548)),
ISNUMBER(SEARCH("COOLER PARA NB",B548)),
ISNUMBER(SEARCH("SOPORTE PARA NB",B548)),
ISNUMBER(SEARCH("WEBCAM",B548)),
ISNUMBER(SEARCH("WEB CAM",B548)),
ISNUMBER(SEARCH("MOUSE",B548)),
ISNUMBER(SEARCH("TECLADO",B548))
),
"COMPLEMENTO",
IF(
OR(
LEFT(A548,2)="NB",
LEFT(A548,2)="PC",
LEFT(A548,2)="WS",
LEFT(A548,2)="TB",
LEFT(A548,3)="CEL",
LEFT(A548,3)="MON",
LEFT(A548,3)="PRE",
LEFT(A548,3)="PRH",
ISNUMBER(SEARCH("NOTEBOOK",B548)),
ISNUMBER(SEARCH("LAPTOP",B548)),
ISNUMBER(SEARCH("MONITOR",B548)),
ISNUMBER(SEARCH("TABLET",B548)),
ISNUMBER(SEARCH("SMARTPH",B548)),
ISNUMBER(SEARCH("IMPRESORA",B548)),
ISNUMBER(SEARCH("MULTIFUNCIONAL",B548)),
ISNUMBER(SEARCH("AIO",B548))
),
"GANCHO",
"NORMAL"
)
)</f>
        <v>NORMAL</v>
      </c>
    </row>
    <row r="547" spans="1:12" x14ac:dyDescent="0.25">
      <c r="A547" s="3" t="s">
        <v>5953</v>
      </c>
      <c r="B547" s="3" t="s">
        <v>5954</v>
      </c>
      <c r="C547" s="1">
        <v>20</v>
      </c>
      <c r="D547" s="1">
        <v>80.150000000000006</v>
      </c>
      <c r="E547" s="1" t="s">
        <v>121</v>
      </c>
      <c r="F547" s="1" t="s">
        <v>5955</v>
      </c>
      <c r="G547" s="3" t="s">
        <v>5956</v>
      </c>
      <c r="H547" s="11">
        <f>ROUND(
IF(L545="GANCHO",
   IF(I547&lt;=50,I547*1.1+4,IF(I547&lt;=120,I547*1.1+7,IF(I547&lt;=250,I547*1.1+11,I547*1.1+19))),
IF(L545="NORMAL",
   IF(I547&lt;=30,I547*1.15+2,IF(I547&lt;=80,I547*1.15+4,IF(I547&lt;=150,I547*1.15+6,I547*1.15+8))),
IF(L545="COMPLEMENTO",
   IF(I547&lt;=25,I547*1.25+1.5,IF(I547&lt;=60,I547*1.25+3,IF(I547&lt;=120,I547*1.25+4,I547*1.25+5))),
""))),2)</f>
        <v>386.5</v>
      </c>
      <c r="I547" s="9">
        <f>($K$2+0.02)*Tabla1[[#This Row],[PRECIO $]]*1.18</f>
        <v>329.12796000000003</v>
      </c>
      <c r="J547" s="7">
        <f>+Tabla1[[#This Row],[PRECIO EN SOLES]]-Tabla1[[#This Row],[PC]]</f>
        <v>57.37203999999997</v>
      </c>
      <c r="K547" s="15"/>
      <c r="L547" s="15" t="str">
        <f>IF(
OR(
ISNUMBER(SEARCH("BACKPACK",B549)),
ISNUMBER(SEARCH("MOCHILA",B549)),
ISNUMBER(SEARCH("FUNDA",B549)),
ISNUMBER(SEARCH("ESTUCHE",B549)),
ISNUMBER(SEARCH("BOOK COVER",B549)),
ISNUMBER(SEARCH("KEYBOARD PARA TABLET",B549)),
ISNUMBER(SEARCH("FLIP TABLET",B549)),
ISNUMBER(SEARCH("CASE FOR TABLET",B549)),
ISNUMBER(SEARCH("CABLE",B549)),
ISNUMBER(SEARCH("ADAPTADOR",B549)),
ISNUMBER(SEARCH("HUB",B549)),
ISNUMBER(SEARCH("DOCK",B549)),
ISNUMBER(SEARCH("MOUSE PAD",B549)),
ISNUMBER(SEARCH("MOUSEPAD",B549)),
ISNUMBER(SEARCH("SOPORTE",B549)),
ISNUMBER(SEARCH("STAND",B549)),
ISNUMBER(SEARCH("TRAVEL ADAPTER",B549)),
ISNUMBER(SEARCH("RJ45",B549)),
ISNUMBER(SEARCH("USB-C",B549)),
ISNUMBER(SEARCH("USB WIFI",B549)),
ISNUMBER(SEARCH("POWERBANK",B549)),
ISNUMBER(SEARCH("CARGADOR",B549)),
ISNUMBER(SEARCH("COOLER PARA NB",B549)),
ISNUMBER(SEARCH("SOPORTE PARA NB",B549)),
ISNUMBER(SEARCH("WEBCAM",B549)),
ISNUMBER(SEARCH("WEB CAM",B549)),
ISNUMBER(SEARCH("MOUSE",B549)),
ISNUMBER(SEARCH("TECLADO",B549))
),
"COMPLEMENTO",
IF(
OR(
LEFT(A549,2)="NB",
LEFT(A549,2)="PC",
LEFT(A549,2)="WS",
LEFT(A549,2)="TB",
LEFT(A549,3)="CEL",
LEFT(A549,3)="MON",
LEFT(A549,3)="PRE",
LEFT(A549,3)="PRH",
ISNUMBER(SEARCH("NOTEBOOK",B549)),
ISNUMBER(SEARCH("LAPTOP",B549)),
ISNUMBER(SEARCH("MONITOR",B549)),
ISNUMBER(SEARCH("TABLET",B549)),
ISNUMBER(SEARCH("SMARTPH",B549)),
ISNUMBER(SEARCH("IMPRESORA",B549)),
ISNUMBER(SEARCH("MULTIFUNCIONAL",B549)),
ISNUMBER(SEARCH("AIO",B549))
),
"GANCHO",
"NORMAL"
)
)</f>
        <v>NORMAL</v>
      </c>
    </row>
    <row r="548" spans="1:12" x14ac:dyDescent="0.25">
      <c r="A548" s="3" t="s">
        <v>5957</v>
      </c>
      <c r="B548" s="3" t="s">
        <v>5958</v>
      </c>
      <c r="C548" s="1">
        <v>20</v>
      </c>
      <c r="D548" s="1">
        <v>201</v>
      </c>
      <c r="E548" s="1" t="s">
        <v>121</v>
      </c>
      <c r="F548" s="1" t="s">
        <v>5959</v>
      </c>
      <c r="G548" s="3" t="s">
        <v>5960</v>
      </c>
      <c r="H548" s="11">
        <f>ROUND(
IF(L546="GANCHO",
   IF(I548&lt;=50,I548*1.1+4,IF(I548&lt;=120,I548*1.1+7,IF(I548&lt;=250,I548*1.1+11,I548*1.1+19))),
IF(L546="NORMAL",
   IF(I548&lt;=30,I548*1.15+2,IF(I548&lt;=80,I548*1.15+4,IF(I548&lt;=150,I548*1.15+6,I548*1.15+8))),
IF(L546="COMPLEMENTO",
   IF(I548&lt;=25,I548*1.25+1.5,IF(I548&lt;=60,I548*1.25+3,IF(I548&lt;=120,I548*1.25+4,I548*1.25+5))),
""))),2)</f>
        <v>957.19</v>
      </c>
      <c r="I548" s="9">
        <f>($K$2+0.02)*Tabla1[[#This Row],[PRECIO $]]*1.18</f>
        <v>825.38639999999998</v>
      </c>
      <c r="J548" s="7">
        <f>+Tabla1[[#This Row],[PRECIO EN SOLES]]-Tabla1[[#This Row],[PC]]</f>
        <v>131.80360000000007</v>
      </c>
      <c r="K548" s="15"/>
      <c r="L548" s="15" t="str">
        <f>IF(
OR(
ISNUMBER(SEARCH("BACKPACK",B550)),
ISNUMBER(SEARCH("MOCHILA",B550)),
ISNUMBER(SEARCH("FUNDA",B550)),
ISNUMBER(SEARCH("ESTUCHE",B550)),
ISNUMBER(SEARCH("BOOK COVER",B550)),
ISNUMBER(SEARCH("KEYBOARD PARA TABLET",B550)),
ISNUMBER(SEARCH("FLIP TABLET",B550)),
ISNUMBER(SEARCH("CASE FOR TABLET",B550)),
ISNUMBER(SEARCH("CABLE",B550)),
ISNUMBER(SEARCH("ADAPTADOR",B550)),
ISNUMBER(SEARCH("HUB",B550)),
ISNUMBER(SEARCH("DOCK",B550)),
ISNUMBER(SEARCH("MOUSE PAD",B550)),
ISNUMBER(SEARCH("MOUSEPAD",B550)),
ISNUMBER(SEARCH("SOPORTE",B550)),
ISNUMBER(SEARCH("STAND",B550)),
ISNUMBER(SEARCH("TRAVEL ADAPTER",B550)),
ISNUMBER(SEARCH("RJ45",B550)),
ISNUMBER(SEARCH("USB-C",B550)),
ISNUMBER(SEARCH("USB WIFI",B550)),
ISNUMBER(SEARCH("POWERBANK",B550)),
ISNUMBER(SEARCH("CARGADOR",B550)),
ISNUMBER(SEARCH("COOLER PARA NB",B550)),
ISNUMBER(SEARCH("SOPORTE PARA NB",B550)),
ISNUMBER(SEARCH("WEBCAM",B550)),
ISNUMBER(SEARCH("WEB CAM",B550)),
ISNUMBER(SEARCH("MOUSE",B550)),
ISNUMBER(SEARCH("TECLADO",B550))
),
"COMPLEMENTO",
IF(
OR(
LEFT(A550,2)="NB",
LEFT(A550,2)="PC",
LEFT(A550,2)="WS",
LEFT(A550,2)="TB",
LEFT(A550,3)="CEL",
LEFT(A550,3)="MON",
LEFT(A550,3)="PRE",
LEFT(A550,3)="PRH",
ISNUMBER(SEARCH("NOTEBOOK",B550)),
ISNUMBER(SEARCH("LAPTOP",B550)),
ISNUMBER(SEARCH("MONITOR",B550)),
ISNUMBER(SEARCH("TABLET",B550)),
ISNUMBER(SEARCH("SMARTPH",B550)),
ISNUMBER(SEARCH("IMPRESORA",B550)),
ISNUMBER(SEARCH("MULTIFUNCIONAL",B550)),
ISNUMBER(SEARCH("AIO",B550))
),
"GANCHO",
"NORMAL"
)
)</f>
        <v>NORMAL</v>
      </c>
    </row>
    <row r="549" spans="1:12" x14ac:dyDescent="0.25">
      <c r="A549" s="3" t="s">
        <v>5961</v>
      </c>
      <c r="B549" s="3" t="s">
        <v>5962</v>
      </c>
      <c r="C549" s="1">
        <v>18</v>
      </c>
      <c r="D549" s="1">
        <v>214.2</v>
      </c>
      <c r="E549" s="1" t="s">
        <v>906</v>
      </c>
      <c r="F549" s="1" t="s">
        <v>5963</v>
      </c>
      <c r="G549" s="3" t="s">
        <v>5964</v>
      </c>
      <c r="H549" s="11">
        <f>ROUND(
IF(L547="GANCHO",
   IF(I549&lt;=50,I549*1.1+4,IF(I549&lt;=120,I549*1.1+7,IF(I549&lt;=250,I549*1.1+11,I549*1.1+19))),
IF(L547="NORMAL",
   IF(I549&lt;=30,I549*1.15+2,IF(I549&lt;=80,I549*1.15+4,IF(I549&lt;=150,I549*1.15+6,I549*1.15+8))),
IF(L547="COMPLEMENTO",
   IF(I549&lt;=25,I549*1.25+1.5,IF(I549&lt;=60,I549*1.25+3,IF(I549&lt;=120,I549*1.25+4,I549*1.25+5))),
""))),2)</f>
        <v>1019.53</v>
      </c>
      <c r="I549" s="9">
        <f>($K$2+0.02)*Tabla1[[#This Row],[PRECIO $]]*1.18</f>
        <v>879.59087999999986</v>
      </c>
      <c r="J549" s="7">
        <f>+Tabla1[[#This Row],[PRECIO EN SOLES]]-Tabla1[[#This Row],[PC]]</f>
        <v>139.93912000000012</v>
      </c>
      <c r="K549" s="15"/>
      <c r="L549" s="15" t="str">
        <f>IF(
OR(
ISNUMBER(SEARCH("BACKPACK",B551)),
ISNUMBER(SEARCH("MOCHILA",B551)),
ISNUMBER(SEARCH("FUNDA",B551)),
ISNUMBER(SEARCH("ESTUCHE",B551)),
ISNUMBER(SEARCH("BOOK COVER",B551)),
ISNUMBER(SEARCH("KEYBOARD PARA TABLET",B551)),
ISNUMBER(SEARCH("FLIP TABLET",B551)),
ISNUMBER(SEARCH("CASE FOR TABLET",B551)),
ISNUMBER(SEARCH("CABLE",B551)),
ISNUMBER(SEARCH("ADAPTADOR",B551)),
ISNUMBER(SEARCH("HUB",B551)),
ISNUMBER(SEARCH("DOCK",B551)),
ISNUMBER(SEARCH("MOUSE PAD",B551)),
ISNUMBER(SEARCH("MOUSEPAD",B551)),
ISNUMBER(SEARCH("SOPORTE",B551)),
ISNUMBER(SEARCH("STAND",B551)),
ISNUMBER(SEARCH("TRAVEL ADAPTER",B551)),
ISNUMBER(SEARCH("RJ45",B551)),
ISNUMBER(SEARCH("USB-C",B551)),
ISNUMBER(SEARCH("USB WIFI",B551)),
ISNUMBER(SEARCH("POWERBANK",B551)),
ISNUMBER(SEARCH("CARGADOR",B551)),
ISNUMBER(SEARCH("COOLER PARA NB",B551)),
ISNUMBER(SEARCH("SOPORTE PARA NB",B551)),
ISNUMBER(SEARCH("WEBCAM",B551)),
ISNUMBER(SEARCH("WEB CAM",B551)),
ISNUMBER(SEARCH("MOUSE",B551)),
ISNUMBER(SEARCH("TECLADO",B551))
),
"COMPLEMENTO",
IF(
OR(
LEFT(A551,2)="NB",
LEFT(A551,2)="PC",
LEFT(A551,2)="WS",
LEFT(A551,2)="TB",
LEFT(A551,3)="CEL",
LEFT(A551,3)="MON",
LEFT(A551,3)="PRE",
LEFT(A551,3)="PRH",
ISNUMBER(SEARCH("NOTEBOOK",B551)),
ISNUMBER(SEARCH("LAPTOP",B551)),
ISNUMBER(SEARCH("MONITOR",B551)),
ISNUMBER(SEARCH("TABLET",B551)),
ISNUMBER(SEARCH("SMARTPH",B551)),
ISNUMBER(SEARCH("IMPRESORA",B551)),
ISNUMBER(SEARCH("MULTIFUNCIONAL",B551)),
ISNUMBER(SEARCH("AIO",B551))
),
"GANCHO",
"NORMAL"
)
)</f>
        <v>NORMAL</v>
      </c>
    </row>
    <row r="550" spans="1:12" x14ac:dyDescent="0.25">
      <c r="A550" s="3" t="s">
        <v>1313</v>
      </c>
      <c r="B550" s="3" t="s">
        <v>1314</v>
      </c>
      <c r="C550" s="1">
        <v>7</v>
      </c>
      <c r="D550" s="1">
        <v>245.5</v>
      </c>
      <c r="E550" s="1" t="s">
        <v>115</v>
      </c>
      <c r="F550" s="1" t="s">
        <v>3368</v>
      </c>
      <c r="G550" s="3" t="s">
        <v>1315</v>
      </c>
      <c r="H550" s="11">
        <f>ROUND(
IF(L548="GANCHO",
   IF(I550&lt;=50,I550*1.1+4,IF(I550&lt;=120,I550*1.1+7,IF(I550&lt;=250,I550*1.1+11,I550*1.1+19))),
IF(L548="NORMAL",
   IF(I550&lt;=30,I550*1.15+2,IF(I550&lt;=80,I550*1.15+4,IF(I550&lt;=150,I550*1.15+6,I550*1.15+8))),
IF(L548="COMPLEMENTO",
   IF(I550&lt;=25,I550*1.25+1.5,IF(I550&lt;=60,I550*1.25+3,IF(I550&lt;=120,I550*1.25+4,I550*1.25+5))),
""))),2)</f>
        <v>1167.3399999999999</v>
      </c>
      <c r="I550" s="9">
        <f>($K$2+0.02)*Tabla1[[#This Row],[PRECIO $]]*1.18</f>
        <v>1008.1211999999999</v>
      </c>
      <c r="J550" s="7">
        <f>+Tabla1[[#This Row],[PRECIO EN SOLES]]-Tabla1[[#This Row],[PC]]</f>
        <v>159.21879999999999</v>
      </c>
      <c r="K550" s="15"/>
      <c r="L550" s="15" t="str">
        <f>IF(
OR(
ISNUMBER(SEARCH("BACKPACK",B552)),
ISNUMBER(SEARCH("MOCHILA",B552)),
ISNUMBER(SEARCH("FUNDA",B552)),
ISNUMBER(SEARCH("ESTUCHE",B552)),
ISNUMBER(SEARCH("BOOK COVER",B552)),
ISNUMBER(SEARCH("KEYBOARD PARA TABLET",B552)),
ISNUMBER(SEARCH("FLIP TABLET",B552)),
ISNUMBER(SEARCH("CASE FOR TABLET",B552)),
ISNUMBER(SEARCH("CABLE",B552)),
ISNUMBER(SEARCH("ADAPTADOR",B552)),
ISNUMBER(SEARCH("HUB",B552)),
ISNUMBER(SEARCH("DOCK",B552)),
ISNUMBER(SEARCH("MOUSE PAD",B552)),
ISNUMBER(SEARCH("MOUSEPAD",B552)),
ISNUMBER(SEARCH("SOPORTE",B552)),
ISNUMBER(SEARCH("STAND",B552)),
ISNUMBER(SEARCH("TRAVEL ADAPTER",B552)),
ISNUMBER(SEARCH("RJ45",B552)),
ISNUMBER(SEARCH("USB-C",B552)),
ISNUMBER(SEARCH("USB WIFI",B552)),
ISNUMBER(SEARCH("POWERBANK",B552)),
ISNUMBER(SEARCH("CARGADOR",B552)),
ISNUMBER(SEARCH("COOLER PARA NB",B552)),
ISNUMBER(SEARCH("SOPORTE PARA NB",B552)),
ISNUMBER(SEARCH("WEBCAM",B552)),
ISNUMBER(SEARCH("WEB CAM",B552)),
ISNUMBER(SEARCH("MOUSE",B552)),
ISNUMBER(SEARCH("TECLADO",B552))
),
"COMPLEMENTO",
IF(
OR(
LEFT(A552,2)="NB",
LEFT(A552,2)="PC",
LEFT(A552,2)="WS",
LEFT(A552,2)="TB",
LEFT(A552,3)="CEL",
LEFT(A552,3)="MON",
LEFT(A552,3)="PRE",
LEFT(A552,3)="PRH",
ISNUMBER(SEARCH("NOTEBOOK",B552)),
ISNUMBER(SEARCH("LAPTOP",B552)),
ISNUMBER(SEARCH("MONITOR",B552)),
ISNUMBER(SEARCH("TABLET",B552)),
ISNUMBER(SEARCH("SMARTPH",B552)),
ISNUMBER(SEARCH("IMPRESORA",B552)),
ISNUMBER(SEARCH("MULTIFUNCIONAL",B552)),
ISNUMBER(SEARCH("AIO",B552))
),
"GANCHO",
"NORMAL"
)
)</f>
        <v>NORMAL</v>
      </c>
    </row>
    <row r="551" spans="1:12" x14ac:dyDescent="0.25">
      <c r="A551" s="3" t="s">
        <v>5314</v>
      </c>
      <c r="B551" s="3" t="s">
        <v>5315</v>
      </c>
      <c r="C551" s="1">
        <v>15</v>
      </c>
      <c r="D551" s="1">
        <v>274</v>
      </c>
      <c r="E551" s="1" t="s">
        <v>115</v>
      </c>
      <c r="F551" s="1" t="s">
        <v>5316</v>
      </c>
      <c r="G551" s="3" t="s">
        <v>5317</v>
      </c>
      <c r="H551" s="11">
        <f>ROUND(
IF(L549="GANCHO",
   IF(I551&lt;=50,I551*1.1+4,IF(I551&lt;=120,I551*1.1+7,IF(I551&lt;=250,I551*1.1+11,I551*1.1+19))),
IF(L549="NORMAL",
   IF(I551&lt;=30,I551*1.15+2,IF(I551&lt;=80,I551*1.15+4,IF(I551&lt;=150,I551*1.15+6,I551*1.15+8))),
IF(L549="COMPLEMENTO",
   IF(I551&lt;=25,I551*1.25+1.5,IF(I551&lt;=60,I551*1.25+3,IF(I551&lt;=120,I551*1.25+4,I551*1.25+5))),
""))),2)</f>
        <v>1301.93</v>
      </c>
      <c r="I551" s="9">
        <f>($K$2+0.02)*Tabla1[[#This Row],[PRECIO $]]*1.18</f>
        <v>1125.1535999999999</v>
      </c>
      <c r="J551" s="7">
        <f>+Tabla1[[#This Row],[PRECIO EN SOLES]]-Tabla1[[#This Row],[PC]]</f>
        <v>176.77640000000019</v>
      </c>
      <c r="K551" s="15"/>
      <c r="L551" s="15" t="str">
        <f>IF(
OR(
ISNUMBER(SEARCH("BACKPACK",B553)),
ISNUMBER(SEARCH("MOCHILA",B553)),
ISNUMBER(SEARCH("FUNDA",B553)),
ISNUMBER(SEARCH("ESTUCHE",B553)),
ISNUMBER(SEARCH("BOOK COVER",B553)),
ISNUMBER(SEARCH("KEYBOARD PARA TABLET",B553)),
ISNUMBER(SEARCH("FLIP TABLET",B553)),
ISNUMBER(SEARCH("CASE FOR TABLET",B553)),
ISNUMBER(SEARCH("CABLE",B553)),
ISNUMBER(SEARCH("ADAPTADOR",B553)),
ISNUMBER(SEARCH("HUB",B553)),
ISNUMBER(SEARCH("DOCK",B553)),
ISNUMBER(SEARCH("MOUSE PAD",B553)),
ISNUMBER(SEARCH("MOUSEPAD",B553)),
ISNUMBER(SEARCH("SOPORTE",B553)),
ISNUMBER(SEARCH("STAND",B553)),
ISNUMBER(SEARCH("TRAVEL ADAPTER",B553)),
ISNUMBER(SEARCH("RJ45",B553)),
ISNUMBER(SEARCH("USB-C",B553)),
ISNUMBER(SEARCH("USB WIFI",B553)),
ISNUMBER(SEARCH("POWERBANK",B553)),
ISNUMBER(SEARCH("CARGADOR",B553)),
ISNUMBER(SEARCH("COOLER PARA NB",B553)),
ISNUMBER(SEARCH("SOPORTE PARA NB",B553)),
ISNUMBER(SEARCH("WEBCAM",B553)),
ISNUMBER(SEARCH("WEB CAM",B553)),
ISNUMBER(SEARCH("MOUSE",B553)),
ISNUMBER(SEARCH("TECLADO",B553))
),
"COMPLEMENTO",
IF(
OR(
LEFT(A553,2)="NB",
LEFT(A553,2)="PC",
LEFT(A553,2)="WS",
LEFT(A553,2)="TB",
LEFT(A553,3)="CEL",
LEFT(A553,3)="MON",
LEFT(A553,3)="PRE",
LEFT(A553,3)="PRH",
ISNUMBER(SEARCH("NOTEBOOK",B553)),
ISNUMBER(SEARCH("LAPTOP",B553)),
ISNUMBER(SEARCH("MONITOR",B553)),
ISNUMBER(SEARCH("TABLET",B553)),
ISNUMBER(SEARCH("SMARTPH",B553)),
ISNUMBER(SEARCH("IMPRESORA",B553)),
ISNUMBER(SEARCH("MULTIFUNCIONAL",B553)),
ISNUMBER(SEARCH("AIO",B553))
),
"GANCHO",
"NORMAL"
)
)</f>
        <v>NORMAL</v>
      </c>
    </row>
    <row r="552" spans="1:12" x14ac:dyDescent="0.25">
      <c r="A552" s="3" t="s">
        <v>5318</v>
      </c>
      <c r="B552" s="3" t="s">
        <v>5319</v>
      </c>
      <c r="C552" s="1">
        <v>17</v>
      </c>
      <c r="D552" s="1">
        <v>197</v>
      </c>
      <c r="E552" s="1" t="s">
        <v>115</v>
      </c>
      <c r="F552" s="1" t="s">
        <v>5320</v>
      </c>
      <c r="G552" s="3" t="s">
        <v>5321</v>
      </c>
      <c r="H552" s="11">
        <f>ROUND(
IF(L550="GANCHO",
   IF(I552&lt;=50,I552*1.1+4,IF(I552&lt;=120,I552*1.1+7,IF(I552&lt;=250,I552*1.1+11,I552*1.1+19))),
IF(L550="NORMAL",
   IF(I552&lt;=30,I552*1.15+2,IF(I552&lt;=80,I552*1.15+4,IF(I552&lt;=150,I552*1.15+6,I552*1.15+8))),
IF(L550="COMPLEMENTO",
   IF(I552&lt;=25,I552*1.25+1.5,IF(I552&lt;=60,I552*1.25+3,IF(I552&lt;=120,I552*1.25+4,I552*1.25+5))),
""))),2)</f>
        <v>938.3</v>
      </c>
      <c r="I552" s="9">
        <f>($K$2+0.02)*Tabla1[[#This Row],[PRECIO $]]*1.18</f>
        <v>808.96079999999995</v>
      </c>
      <c r="J552" s="7">
        <f>+Tabla1[[#This Row],[PRECIO EN SOLES]]-Tabla1[[#This Row],[PC]]</f>
        <v>129.33920000000001</v>
      </c>
      <c r="K552" s="15"/>
      <c r="L552" s="15" t="str">
        <f>IF(
OR(
ISNUMBER(SEARCH("BACKPACK",B554)),
ISNUMBER(SEARCH("MOCHILA",B554)),
ISNUMBER(SEARCH("FUNDA",B554)),
ISNUMBER(SEARCH("ESTUCHE",B554)),
ISNUMBER(SEARCH("BOOK COVER",B554)),
ISNUMBER(SEARCH("KEYBOARD PARA TABLET",B554)),
ISNUMBER(SEARCH("FLIP TABLET",B554)),
ISNUMBER(SEARCH("CASE FOR TABLET",B554)),
ISNUMBER(SEARCH("CABLE",B554)),
ISNUMBER(SEARCH("ADAPTADOR",B554)),
ISNUMBER(SEARCH("HUB",B554)),
ISNUMBER(SEARCH("DOCK",B554)),
ISNUMBER(SEARCH("MOUSE PAD",B554)),
ISNUMBER(SEARCH("MOUSEPAD",B554)),
ISNUMBER(SEARCH("SOPORTE",B554)),
ISNUMBER(SEARCH("STAND",B554)),
ISNUMBER(SEARCH("TRAVEL ADAPTER",B554)),
ISNUMBER(SEARCH("RJ45",B554)),
ISNUMBER(SEARCH("USB-C",B554)),
ISNUMBER(SEARCH("USB WIFI",B554)),
ISNUMBER(SEARCH("POWERBANK",B554)),
ISNUMBER(SEARCH("CARGADOR",B554)),
ISNUMBER(SEARCH("COOLER PARA NB",B554)),
ISNUMBER(SEARCH("SOPORTE PARA NB",B554)),
ISNUMBER(SEARCH("WEBCAM",B554)),
ISNUMBER(SEARCH("WEB CAM",B554)),
ISNUMBER(SEARCH("MOUSE",B554)),
ISNUMBER(SEARCH("TECLADO",B554))
),
"COMPLEMENTO",
IF(
OR(
LEFT(A554,2)="NB",
LEFT(A554,2)="PC",
LEFT(A554,2)="WS",
LEFT(A554,2)="TB",
LEFT(A554,3)="CEL",
LEFT(A554,3)="MON",
LEFT(A554,3)="PRE",
LEFT(A554,3)="PRH",
ISNUMBER(SEARCH("NOTEBOOK",B554)),
ISNUMBER(SEARCH("LAPTOP",B554)),
ISNUMBER(SEARCH("MONITOR",B554)),
ISNUMBER(SEARCH("TABLET",B554)),
ISNUMBER(SEARCH("SMARTPH",B554)),
ISNUMBER(SEARCH("IMPRESORA",B554)),
ISNUMBER(SEARCH("MULTIFUNCIONAL",B554)),
ISNUMBER(SEARCH("AIO",B554))
),
"GANCHO",
"NORMAL"
)
)</f>
        <v>NORMAL</v>
      </c>
    </row>
    <row r="553" spans="1:12" x14ac:dyDescent="0.25">
      <c r="A553" s="3" t="s">
        <v>5322</v>
      </c>
      <c r="B553" s="3" t="s">
        <v>5323</v>
      </c>
      <c r="C553" s="1">
        <v>6</v>
      </c>
      <c r="D553" s="1">
        <v>659</v>
      </c>
      <c r="E553" s="1" t="s">
        <v>115</v>
      </c>
      <c r="F553" s="1" t="s">
        <v>5324</v>
      </c>
      <c r="G553" s="3" t="s">
        <v>5325</v>
      </c>
      <c r="H553" s="11">
        <f>ROUND(
IF(L551="GANCHO",
   IF(I553&lt;=50,I553*1.1+4,IF(I553&lt;=120,I553*1.1+7,IF(I553&lt;=250,I553*1.1+11,I553*1.1+19))),
IF(L551="NORMAL",
   IF(I553&lt;=30,I553*1.15+2,IF(I553&lt;=80,I553*1.15+4,IF(I553&lt;=150,I553*1.15+6,I553*1.15+8))),
IF(L551="COMPLEMENTO",
   IF(I553&lt;=25,I553*1.25+1.5,IF(I553&lt;=60,I553*1.25+3,IF(I553&lt;=120,I553*1.25+4,I553*1.25+5))),
""))),2)</f>
        <v>3120.04</v>
      </c>
      <c r="I553" s="9">
        <f>($K$2+0.02)*Tabla1[[#This Row],[PRECIO $]]*1.18</f>
        <v>2706.1176</v>
      </c>
      <c r="J553" s="7">
        <f>+Tabla1[[#This Row],[PRECIO EN SOLES]]-Tabla1[[#This Row],[PC]]</f>
        <v>413.92239999999993</v>
      </c>
      <c r="K553" s="15"/>
      <c r="L553" s="15" t="str">
        <f>IF(
OR(
ISNUMBER(SEARCH("BACKPACK",B555)),
ISNUMBER(SEARCH("MOCHILA",B555)),
ISNUMBER(SEARCH("FUNDA",B555)),
ISNUMBER(SEARCH("ESTUCHE",B555)),
ISNUMBER(SEARCH("BOOK COVER",B555)),
ISNUMBER(SEARCH("KEYBOARD PARA TABLET",B555)),
ISNUMBER(SEARCH("FLIP TABLET",B555)),
ISNUMBER(SEARCH("CASE FOR TABLET",B555)),
ISNUMBER(SEARCH("CABLE",B555)),
ISNUMBER(SEARCH("ADAPTADOR",B555)),
ISNUMBER(SEARCH("HUB",B555)),
ISNUMBER(SEARCH("DOCK",B555)),
ISNUMBER(SEARCH("MOUSE PAD",B555)),
ISNUMBER(SEARCH("MOUSEPAD",B555)),
ISNUMBER(SEARCH("SOPORTE",B555)),
ISNUMBER(SEARCH("STAND",B555)),
ISNUMBER(SEARCH("TRAVEL ADAPTER",B555)),
ISNUMBER(SEARCH("RJ45",B555)),
ISNUMBER(SEARCH("USB-C",B555)),
ISNUMBER(SEARCH("USB WIFI",B555)),
ISNUMBER(SEARCH("POWERBANK",B555)),
ISNUMBER(SEARCH("CARGADOR",B555)),
ISNUMBER(SEARCH("COOLER PARA NB",B555)),
ISNUMBER(SEARCH("SOPORTE PARA NB",B555)),
ISNUMBER(SEARCH("WEBCAM",B555)),
ISNUMBER(SEARCH("WEB CAM",B555)),
ISNUMBER(SEARCH("MOUSE",B555)),
ISNUMBER(SEARCH("TECLADO",B555))
),
"COMPLEMENTO",
IF(
OR(
LEFT(A555,2)="NB",
LEFT(A555,2)="PC",
LEFT(A555,2)="WS",
LEFT(A555,2)="TB",
LEFT(A555,3)="CEL",
LEFT(A555,3)="MON",
LEFT(A555,3)="PRE",
LEFT(A555,3)="PRH",
ISNUMBER(SEARCH("NOTEBOOK",B555)),
ISNUMBER(SEARCH("LAPTOP",B555)),
ISNUMBER(SEARCH("MONITOR",B555)),
ISNUMBER(SEARCH("TABLET",B555)),
ISNUMBER(SEARCH("SMARTPH",B555)),
ISNUMBER(SEARCH("IMPRESORA",B555)),
ISNUMBER(SEARCH("MULTIFUNCIONAL",B555)),
ISNUMBER(SEARCH("AIO",B555))
),
"GANCHO",
"NORMAL"
)
)</f>
        <v>NORMAL</v>
      </c>
    </row>
    <row r="554" spans="1:12" x14ac:dyDescent="0.25">
      <c r="A554" s="3" t="s">
        <v>5326</v>
      </c>
      <c r="B554" s="3" t="s">
        <v>5327</v>
      </c>
      <c r="C554" s="1">
        <v>14</v>
      </c>
      <c r="D554" s="1">
        <v>482</v>
      </c>
      <c r="E554" s="1" t="s">
        <v>115</v>
      </c>
      <c r="F554" s="1" t="s">
        <v>5328</v>
      </c>
      <c r="G554" s="3" t="s">
        <v>5329</v>
      </c>
      <c r="H554" s="11">
        <f>ROUND(
IF(L552="GANCHO",
   IF(I554&lt;=50,I554*1.1+4,IF(I554&lt;=120,I554*1.1+7,IF(I554&lt;=250,I554*1.1+11,I554*1.1+19))),
IF(L552="NORMAL",
   IF(I554&lt;=30,I554*1.15+2,IF(I554&lt;=80,I554*1.15+4,IF(I554&lt;=150,I554*1.15+6,I554*1.15+8))),
IF(L552="COMPLEMENTO",
   IF(I554&lt;=25,I554*1.25+1.5,IF(I554&lt;=60,I554*1.25+3,IF(I554&lt;=120,I554*1.25+4,I554*1.25+5))),
""))),2)</f>
        <v>2284.1799999999998</v>
      </c>
      <c r="I554" s="9">
        <f>($K$2+0.02)*Tabla1[[#This Row],[PRECIO $]]*1.18</f>
        <v>1979.2847999999997</v>
      </c>
      <c r="J554" s="7">
        <f>+Tabla1[[#This Row],[PRECIO EN SOLES]]-Tabla1[[#This Row],[PC]]</f>
        <v>304.89520000000016</v>
      </c>
      <c r="K554" s="15"/>
      <c r="L554" s="15" t="str">
        <f>IF(
OR(
ISNUMBER(SEARCH("BACKPACK",B556)),
ISNUMBER(SEARCH("MOCHILA",B556)),
ISNUMBER(SEARCH("FUNDA",B556)),
ISNUMBER(SEARCH("ESTUCHE",B556)),
ISNUMBER(SEARCH("BOOK COVER",B556)),
ISNUMBER(SEARCH("KEYBOARD PARA TABLET",B556)),
ISNUMBER(SEARCH("FLIP TABLET",B556)),
ISNUMBER(SEARCH("CASE FOR TABLET",B556)),
ISNUMBER(SEARCH("CABLE",B556)),
ISNUMBER(SEARCH("ADAPTADOR",B556)),
ISNUMBER(SEARCH("HUB",B556)),
ISNUMBER(SEARCH("DOCK",B556)),
ISNUMBER(SEARCH("MOUSE PAD",B556)),
ISNUMBER(SEARCH("MOUSEPAD",B556)),
ISNUMBER(SEARCH("SOPORTE",B556)),
ISNUMBER(SEARCH("STAND",B556)),
ISNUMBER(SEARCH("TRAVEL ADAPTER",B556)),
ISNUMBER(SEARCH("RJ45",B556)),
ISNUMBER(SEARCH("USB-C",B556)),
ISNUMBER(SEARCH("USB WIFI",B556)),
ISNUMBER(SEARCH("POWERBANK",B556)),
ISNUMBER(SEARCH("CARGADOR",B556)),
ISNUMBER(SEARCH("COOLER PARA NB",B556)),
ISNUMBER(SEARCH("SOPORTE PARA NB",B556)),
ISNUMBER(SEARCH("WEBCAM",B556)),
ISNUMBER(SEARCH("WEB CAM",B556)),
ISNUMBER(SEARCH("MOUSE",B556)),
ISNUMBER(SEARCH("TECLADO",B556))
),
"COMPLEMENTO",
IF(
OR(
LEFT(A556,2)="NB",
LEFT(A556,2)="PC",
LEFT(A556,2)="WS",
LEFT(A556,2)="TB",
LEFT(A556,3)="CEL",
LEFT(A556,3)="MON",
LEFT(A556,3)="PRE",
LEFT(A556,3)="PRH",
ISNUMBER(SEARCH("NOTEBOOK",B556)),
ISNUMBER(SEARCH("LAPTOP",B556)),
ISNUMBER(SEARCH("MONITOR",B556)),
ISNUMBER(SEARCH("TABLET",B556)),
ISNUMBER(SEARCH("SMARTPH",B556)),
ISNUMBER(SEARCH("IMPRESORA",B556)),
ISNUMBER(SEARCH("MULTIFUNCIONAL",B556)),
ISNUMBER(SEARCH("AIO",B556))
),
"GANCHO",
"NORMAL"
)
)</f>
        <v>NORMAL</v>
      </c>
    </row>
    <row r="555" spans="1:12" x14ac:dyDescent="0.25">
      <c r="A555" s="3" t="s">
        <v>6475</v>
      </c>
      <c r="B555" s="3" t="s">
        <v>5331</v>
      </c>
      <c r="C555" s="1">
        <v>1</v>
      </c>
      <c r="D555" s="1">
        <v>381</v>
      </c>
      <c r="E555" s="1" t="s">
        <v>115</v>
      </c>
      <c r="F555" s="1" t="s">
        <v>6476</v>
      </c>
      <c r="G555" s="3" t="s">
        <v>5333</v>
      </c>
      <c r="H555" s="11">
        <f>ROUND(
IF(L553="GANCHO",
   IF(I555&lt;=50,I555*1.1+4,IF(I555&lt;=120,I555*1.1+7,IF(I555&lt;=250,I555*1.1+11,I555*1.1+19))),
IF(L553="NORMAL",
   IF(I555&lt;=30,I555*1.15+2,IF(I555&lt;=80,I555*1.15+4,IF(I555&lt;=150,I555*1.15+6,I555*1.15+8))),
IF(L553="COMPLEMENTO",
   IF(I555&lt;=25,I555*1.25+1.5,IF(I555&lt;=60,I555*1.25+3,IF(I555&lt;=120,I555*1.25+4,I555*1.25+5))),
""))),2)</f>
        <v>1807.22</v>
      </c>
      <c r="I555" s="9">
        <f>($K$2+0.02)*Tabla1[[#This Row],[PRECIO $]]*1.18</f>
        <v>1564.5383999999997</v>
      </c>
      <c r="J555" s="7">
        <f>+Tabla1[[#This Row],[PRECIO EN SOLES]]-Tabla1[[#This Row],[PC]]</f>
        <v>242.68160000000034</v>
      </c>
      <c r="K555" s="15"/>
      <c r="L555" s="15" t="str">
        <f>IF(
OR(
ISNUMBER(SEARCH("BACKPACK",B557)),
ISNUMBER(SEARCH("MOCHILA",B557)),
ISNUMBER(SEARCH("FUNDA",B557)),
ISNUMBER(SEARCH("ESTUCHE",B557)),
ISNUMBER(SEARCH("BOOK COVER",B557)),
ISNUMBER(SEARCH("KEYBOARD PARA TABLET",B557)),
ISNUMBER(SEARCH("FLIP TABLET",B557)),
ISNUMBER(SEARCH("CASE FOR TABLET",B557)),
ISNUMBER(SEARCH("CABLE",B557)),
ISNUMBER(SEARCH("ADAPTADOR",B557)),
ISNUMBER(SEARCH("HUB",B557)),
ISNUMBER(SEARCH("DOCK",B557)),
ISNUMBER(SEARCH("MOUSE PAD",B557)),
ISNUMBER(SEARCH("MOUSEPAD",B557)),
ISNUMBER(SEARCH("SOPORTE",B557)),
ISNUMBER(SEARCH("STAND",B557)),
ISNUMBER(SEARCH("TRAVEL ADAPTER",B557)),
ISNUMBER(SEARCH("RJ45",B557)),
ISNUMBER(SEARCH("USB-C",B557)),
ISNUMBER(SEARCH("USB WIFI",B557)),
ISNUMBER(SEARCH("POWERBANK",B557)),
ISNUMBER(SEARCH("CARGADOR",B557)),
ISNUMBER(SEARCH("COOLER PARA NB",B557)),
ISNUMBER(SEARCH("SOPORTE PARA NB",B557)),
ISNUMBER(SEARCH("WEBCAM",B557)),
ISNUMBER(SEARCH("WEB CAM",B557)),
ISNUMBER(SEARCH("MOUSE",B557)),
ISNUMBER(SEARCH("TECLADO",B557))
),
"COMPLEMENTO",
IF(
OR(
LEFT(A557,2)="NB",
LEFT(A557,2)="PC",
LEFT(A557,2)="WS",
LEFT(A557,2)="TB",
LEFT(A557,3)="CEL",
LEFT(A557,3)="MON",
LEFT(A557,3)="PRE",
LEFT(A557,3)="PRH",
ISNUMBER(SEARCH("NOTEBOOK",B557)),
ISNUMBER(SEARCH("LAPTOP",B557)),
ISNUMBER(SEARCH("MONITOR",B557)),
ISNUMBER(SEARCH("TABLET",B557)),
ISNUMBER(SEARCH("SMARTPH",B557)),
ISNUMBER(SEARCH("IMPRESORA",B557)),
ISNUMBER(SEARCH("MULTIFUNCIONAL",B557)),
ISNUMBER(SEARCH("AIO",B557))
),
"GANCHO",
"NORMAL"
)
)</f>
        <v>NORMAL</v>
      </c>
    </row>
    <row r="556" spans="1:12" x14ac:dyDescent="0.25">
      <c r="A556" s="3" t="s">
        <v>5330</v>
      </c>
      <c r="B556" s="3" t="s">
        <v>5331</v>
      </c>
      <c r="C556" s="1">
        <v>9</v>
      </c>
      <c r="D556" s="1">
        <v>402</v>
      </c>
      <c r="E556" s="1" t="s">
        <v>115</v>
      </c>
      <c r="F556" s="1" t="s">
        <v>5332</v>
      </c>
      <c r="G556" s="3" t="s">
        <v>5333</v>
      </c>
      <c r="H556" s="11">
        <f>ROUND(
IF(L554="GANCHO",
   IF(I556&lt;=50,I556*1.1+4,IF(I556&lt;=120,I556*1.1+7,IF(I556&lt;=250,I556*1.1+11,I556*1.1+19))),
IF(L554="NORMAL",
   IF(I556&lt;=30,I556*1.15+2,IF(I556&lt;=80,I556*1.15+4,IF(I556&lt;=150,I556*1.15+6,I556*1.15+8))),
IF(L554="COMPLEMENTO",
   IF(I556&lt;=25,I556*1.25+1.5,IF(I556&lt;=60,I556*1.25+3,IF(I556&lt;=120,I556*1.25+4,I556*1.25+5))),
""))),2)</f>
        <v>1906.39</v>
      </c>
      <c r="I556" s="9">
        <f>($K$2+0.02)*Tabla1[[#This Row],[PRECIO $]]*1.18</f>
        <v>1650.7728</v>
      </c>
      <c r="J556" s="7">
        <f>+Tabla1[[#This Row],[PRECIO EN SOLES]]-Tabla1[[#This Row],[PC]]</f>
        <v>255.61720000000014</v>
      </c>
      <c r="K556" s="15"/>
      <c r="L556" s="15" t="str">
        <f>IF(
OR(
ISNUMBER(SEARCH("BACKPACK",B558)),
ISNUMBER(SEARCH("MOCHILA",B558)),
ISNUMBER(SEARCH("FUNDA",B558)),
ISNUMBER(SEARCH("ESTUCHE",B558)),
ISNUMBER(SEARCH("BOOK COVER",B558)),
ISNUMBER(SEARCH("KEYBOARD PARA TABLET",B558)),
ISNUMBER(SEARCH("FLIP TABLET",B558)),
ISNUMBER(SEARCH("CASE FOR TABLET",B558)),
ISNUMBER(SEARCH("CABLE",B558)),
ISNUMBER(SEARCH("ADAPTADOR",B558)),
ISNUMBER(SEARCH("HUB",B558)),
ISNUMBER(SEARCH("DOCK",B558)),
ISNUMBER(SEARCH("MOUSE PAD",B558)),
ISNUMBER(SEARCH("MOUSEPAD",B558)),
ISNUMBER(SEARCH("SOPORTE",B558)),
ISNUMBER(SEARCH("STAND",B558)),
ISNUMBER(SEARCH("TRAVEL ADAPTER",B558)),
ISNUMBER(SEARCH("RJ45",B558)),
ISNUMBER(SEARCH("USB-C",B558)),
ISNUMBER(SEARCH("USB WIFI",B558)),
ISNUMBER(SEARCH("POWERBANK",B558)),
ISNUMBER(SEARCH("CARGADOR",B558)),
ISNUMBER(SEARCH("COOLER PARA NB",B558)),
ISNUMBER(SEARCH("SOPORTE PARA NB",B558)),
ISNUMBER(SEARCH("WEBCAM",B558)),
ISNUMBER(SEARCH("WEB CAM",B558)),
ISNUMBER(SEARCH("MOUSE",B558)),
ISNUMBER(SEARCH("TECLADO",B558))
),
"COMPLEMENTO",
IF(
OR(
LEFT(A558,2)="NB",
LEFT(A558,2)="PC",
LEFT(A558,2)="WS",
LEFT(A558,2)="TB",
LEFT(A558,3)="CEL",
LEFT(A558,3)="MON",
LEFT(A558,3)="PRE",
LEFT(A558,3)="PRH",
ISNUMBER(SEARCH("NOTEBOOK",B558)),
ISNUMBER(SEARCH("LAPTOP",B558)),
ISNUMBER(SEARCH("MONITOR",B558)),
ISNUMBER(SEARCH("TABLET",B558)),
ISNUMBER(SEARCH("SMARTPH",B558)),
ISNUMBER(SEARCH("IMPRESORA",B558)),
ISNUMBER(SEARCH("MULTIFUNCIONAL",B558)),
ISNUMBER(SEARCH("AIO",B558))
),
"GANCHO",
"NORMAL"
)
)</f>
        <v>NORMAL</v>
      </c>
    </row>
    <row r="557" spans="1:12" x14ac:dyDescent="0.25">
      <c r="A557" s="3" t="s">
        <v>5334</v>
      </c>
      <c r="B557" s="3" t="s">
        <v>5335</v>
      </c>
      <c r="C557" s="1">
        <v>20</v>
      </c>
      <c r="D557" s="1">
        <v>309</v>
      </c>
      <c r="E557" s="1" t="s">
        <v>115</v>
      </c>
      <c r="F557" s="1" t="s">
        <v>5336</v>
      </c>
      <c r="G557" s="3" t="s">
        <v>5337</v>
      </c>
      <c r="H557" s="11">
        <f>ROUND(
IF(L555="GANCHO",
   IF(I557&lt;=50,I557*1.1+4,IF(I557&lt;=120,I557*1.1+7,IF(I557&lt;=250,I557*1.1+11,I557*1.1+19))),
IF(L555="NORMAL",
   IF(I557&lt;=30,I557*1.15+2,IF(I557&lt;=80,I557*1.15+4,IF(I557&lt;=150,I557*1.15+6,I557*1.15+8))),
IF(L555="COMPLEMENTO",
   IF(I557&lt;=25,I557*1.25+1.5,IF(I557&lt;=60,I557*1.25+3,IF(I557&lt;=120,I557*1.25+4,I557*1.25+5))),
""))),2)</f>
        <v>1467.21</v>
      </c>
      <c r="I557" s="9">
        <f>($K$2+0.02)*Tabla1[[#This Row],[PRECIO $]]*1.18</f>
        <v>1268.8775999999998</v>
      </c>
      <c r="J557" s="7">
        <f>+Tabla1[[#This Row],[PRECIO EN SOLES]]-Tabla1[[#This Row],[PC]]</f>
        <v>198.33240000000023</v>
      </c>
      <c r="K557" s="15"/>
      <c r="L557" s="15" t="str">
        <f>IF(
OR(
ISNUMBER(SEARCH("BACKPACK",B559)),
ISNUMBER(SEARCH("MOCHILA",B559)),
ISNUMBER(SEARCH("FUNDA",B559)),
ISNUMBER(SEARCH("ESTUCHE",B559)),
ISNUMBER(SEARCH("BOOK COVER",B559)),
ISNUMBER(SEARCH("KEYBOARD PARA TABLET",B559)),
ISNUMBER(SEARCH("FLIP TABLET",B559)),
ISNUMBER(SEARCH("CASE FOR TABLET",B559)),
ISNUMBER(SEARCH("CABLE",B559)),
ISNUMBER(SEARCH("ADAPTADOR",B559)),
ISNUMBER(SEARCH("HUB",B559)),
ISNUMBER(SEARCH("DOCK",B559)),
ISNUMBER(SEARCH("MOUSE PAD",B559)),
ISNUMBER(SEARCH("MOUSEPAD",B559)),
ISNUMBER(SEARCH("SOPORTE",B559)),
ISNUMBER(SEARCH("STAND",B559)),
ISNUMBER(SEARCH("TRAVEL ADAPTER",B559)),
ISNUMBER(SEARCH("RJ45",B559)),
ISNUMBER(SEARCH("USB-C",B559)),
ISNUMBER(SEARCH("USB WIFI",B559)),
ISNUMBER(SEARCH("POWERBANK",B559)),
ISNUMBER(SEARCH("CARGADOR",B559)),
ISNUMBER(SEARCH("COOLER PARA NB",B559)),
ISNUMBER(SEARCH("SOPORTE PARA NB",B559)),
ISNUMBER(SEARCH("WEBCAM",B559)),
ISNUMBER(SEARCH("WEB CAM",B559)),
ISNUMBER(SEARCH("MOUSE",B559)),
ISNUMBER(SEARCH("TECLADO",B559))
),
"COMPLEMENTO",
IF(
OR(
LEFT(A559,2)="NB",
LEFT(A559,2)="PC",
LEFT(A559,2)="WS",
LEFT(A559,2)="TB",
LEFT(A559,3)="CEL",
LEFT(A559,3)="MON",
LEFT(A559,3)="PRE",
LEFT(A559,3)="PRH",
ISNUMBER(SEARCH("NOTEBOOK",B559)),
ISNUMBER(SEARCH("LAPTOP",B559)),
ISNUMBER(SEARCH("MONITOR",B559)),
ISNUMBER(SEARCH("TABLET",B559)),
ISNUMBER(SEARCH("SMARTPH",B559)),
ISNUMBER(SEARCH("IMPRESORA",B559)),
ISNUMBER(SEARCH("MULTIFUNCIONAL",B559)),
ISNUMBER(SEARCH("AIO",B559))
),
"GANCHO",
"NORMAL"
)
)</f>
        <v>NORMAL</v>
      </c>
    </row>
    <row r="558" spans="1:12" x14ac:dyDescent="0.25">
      <c r="A558" s="3" t="s">
        <v>5338</v>
      </c>
      <c r="B558" s="3" t="s">
        <v>5339</v>
      </c>
      <c r="C558" s="1">
        <v>9</v>
      </c>
      <c r="D558" s="1">
        <v>260.5</v>
      </c>
      <c r="E558" s="1" t="s">
        <v>226</v>
      </c>
      <c r="F558" s="1" t="s">
        <v>5340</v>
      </c>
      <c r="G558" s="3" t="s">
        <v>5341</v>
      </c>
      <c r="H558" s="11">
        <f>ROUND(
IF(L556="GANCHO",
   IF(I558&lt;=50,I558*1.1+4,IF(I558&lt;=120,I558*1.1+7,IF(I558&lt;=250,I558*1.1+11,I558*1.1+19))),
IF(L556="NORMAL",
   IF(I558&lt;=30,I558*1.15+2,IF(I558&lt;=80,I558*1.15+4,IF(I558&lt;=150,I558*1.15+6,I558*1.15+8))),
IF(L556="COMPLEMENTO",
   IF(I558&lt;=25,I558*1.25+1.5,IF(I558&lt;=60,I558*1.25+3,IF(I558&lt;=120,I558*1.25+4,I558*1.25+5))),
""))),2)</f>
        <v>1238.17</v>
      </c>
      <c r="I558" s="9">
        <f>($K$2+0.02)*Tabla1[[#This Row],[PRECIO $]]*1.18</f>
        <v>1069.7171999999998</v>
      </c>
      <c r="J558" s="7">
        <f>+Tabla1[[#This Row],[PRECIO EN SOLES]]-Tabla1[[#This Row],[PC]]</f>
        <v>168.45280000000025</v>
      </c>
      <c r="K558" s="15"/>
      <c r="L558" s="15" t="str">
        <f>IF(
OR(
ISNUMBER(SEARCH("BACKPACK",B560)),
ISNUMBER(SEARCH("MOCHILA",B560)),
ISNUMBER(SEARCH("FUNDA",B560)),
ISNUMBER(SEARCH("ESTUCHE",B560)),
ISNUMBER(SEARCH("BOOK COVER",B560)),
ISNUMBER(SEARCH("KEYBOARD PARA TABLET",B560)),
ISNUMBER(SEARCH("FLIP TABLET",B560)),
ISNUMBER(SEARCH("CASE FOR TABLET",B560)),
ISNUMBER(SEARCH("CABLE",B560)),
ISNUMBER(SEARCH("ADAPTADOR",B560)),
ISNUMBER(SEARCH("HUB",B560)),
ISNUMBER(SEARCH("DOCK",B560)),
ISNUMBER(SEARCH("MOUSE PAD",B560)),
ISNUMBER(SEARCH("MOUSEPAD",B560)),
ISNUMBER(SEARCH("SOPORTE",B560)),
ISNUMBER(SEARCH("STAND",B560)),
ISNUMBER(SEARCH("TRAVEL ADAPTER",B560)),
ISNUMBER(SEARCH("RJ45",B560)),
ISNUMBER(SEARCH("USB-C",B560)),
ISNUMBER(SEARCH("USB WIFI",B560)),
ISNUMBER(SEARCH("POWERBANK",B560)),
ISNUMBER(SEARCH("CARGADOR",B560)),
ISNUMBER(SEARCH("COOLER PARA NB",B560)),
ISNUMBER(SEARCH("SOPORTE PARA NB",B560)),
ISNUMBER(SEARCH("WEBCAM",B560)),
ISNUMBER(SEARCH("WEB CAM",B560)),
ISNUMBER(SEARCH("MOUSE",B560)),
ISNUMBER(SEARCH("TECLADO",B560))
),
"COMPLEMENTO",
IF(
OR(
LEFT(A560,2)="NB",
LEFT(A560,2)="PC",
LEFT(A560,2)="WS",
LEFT(A560,2)="TB",
LEFT(A560,3)="CEL",
LEFT(A560,3)="MON",
LEFT(A560,3)="PRE",
LEFT(A560,3)="PRH",
ISNUMBER(SEARCH("NOTEBOOK",B560)),
ISNUMBER(SEARCH("LAPTOP",B560)),
ISNUMBER(SEARCH("MONITOR",B560)),
ISNUMBER(SEARCH("TABLET",B560)),
ISNUMBER(SEARCH("SMARTPH",B560)),
ISNUMBER(SEARCH("IMPRESORA",B560)),
ISNUMBER(SEARCH("MULTIFUNCIONAL",B560)),
ISNUMBER(SEARCH("AIO",B560))
),
"GANCHO",
"NORMAL"
)
)</f>
        <v>NORMAL</v>
      </c>
    </row>
    <row r="559" spans="1:12" x14ac:dyDescent="0.25">
      <c r="A559" s="3" t="s">
        <v>5342</v>
      </c>
      <c r="B559" s="3" t="s">
        <v>5343</v>
      </c>
      <c r="C559" s="1">
        <v>9</v>
      </c>
      <c r="D559" s="1">
        <v>295.5</v>
      </c>
      <c r="E559" s="1" t="s">
        <v>226</v>
      </c>
      <c r="F559" s="1" t="s">
        <v>5344</v>
      </c>
      <c r="G559" s="3" t="s">
        <v>5345</v>
      </c>
      <c r="H559" s="11">
        <f>ROUND(
IF(L557="GANCHO",
   IF(I559&lt;=50,I559*1.1+4,IF(I559&lt;=120,I559*1.1+7,IF(I559&lt;=250,I559*1.1+11,I559*1.1+19))),
IF(L557="NORMAL",
   IF(I559&lt;=30,I559*1.15+2,IF(I559&lt;=80,I559*1.15+4,IF(I559&lt;=150,I559*1.15+6,I559*1.15+8))),
IF(L557="COMPLEMENTO",
   IF(I559&lt;=25,I559*1.25+1.5,IF(I559&lt;=60,I559*1.25+3,IF(I559&lt;=120,I559*1.25+4,I559*1.25+5))),
""))),2)</f>
        <v>1403.46</v>
      </c>
      <c r="I559" s="9">
        <f>($K$2+0.02)*Tabla1[[#This Row],[PRECIO $]]*1.18</f>
        <v>1213.4411999999998</v>
      </c>
      <c r="J559" s="7">
        <f>+Tabla1[[#This Row],[PRECIO EN SOLES]]-Tabla1[[#This Row],[PC]]</f>
        <v>190.01880000000028</v>
      </c>
      <c r="K559" s="15"/>
      <c r="L559" s="15" t="str">
        <f>IF(
OR(
ISNUMBER(SEARCH("BACKPACK",B561)),
ISNUMBER(SEARCH("MOCHILA",B561)),
ISNUMBER(SEARCH("FUNDA",B561)),
ISNUMBER(SEARCH("ESTUCHE",B561)),
ISNUMBER(SEARCH("BOOK COVER",B561)),
ISNUMBER(SEARCH("KEYBOARD PARA TABLET",B561)),
ISNUMBER(SEARCH("FLIP TABLET",B561)),
ISNUMBER(SEARCH("CASE FOR TABLET",B561)),
ISNUMBER(SEARCH("CABLE",B561)),
ISNUMBER(SEARCH("ADAPTADOR",B561)),
ISNUMBER(SEARCH("HUB",B561)),
ISNUMBER(SEARCH("DOCK",B561)),
ISNUMBER(SEARCH("MOUSE PAD",B561)),
ISNUMBER(SEARCH("MOUSEPAD",B561)),
ISNUMBER(SEARCH("SOPORTE",B561)),
ISNUMBER(SEARCH("STAND",B561)),
ISNUMBER(SEARCH("TRAVEL ADAPTER",B561)),
ISNUMBER(SEARCH("RJ45",B561)),
ISNUMBER(SEARCH("USB-C",B561)),
ISNUMBER(SEARCH("USB WIFI",B561)),
ISNUMBER(SEARCH("POWERBANK",B561)),
ISNUMBER(SEARCH("CARGADOR",B561)),
ISNUMBER(SEARCH("COOLER PARA NB",B561)),
ISNUMBER(SEARCH("SOPORTE PARA NB",B561)),
ISNUMBER(SEARCH("WEBCAM",B561)),
ISNUMBER(SEARCH("WEB CAM",B561)),
ISNUMBER(SEARCH("MOUSE",B561)),
ISNUMBER(SEARCH("TECLADO",B561))
),
"COMPLEMENTO",
IF(
OR(
LEFT(A561,2)="NB",
LEFT(A561,2)="PC",
LEFT(A561,2)="WS",
LEFT(A561,2)="TB",
LEFT(A561,3)="CEL",
LEFT(A561,3)="MON",
LEFT(A561,3)="PRE",
LEFT(A561,3)="PRH",
ISNUMBER(SEARCH("NOTEBOOK",B561)),
ISNUMBER(SEARCH("LAPTOP",B561)),
ISNUMBER(SEARCH("MONITOR",B561)),
ISNUMBER(SEARCH("TABLET",B561)),
ISNUMBER(SEARCH("SMARTPH",B561)),
ISNUMBER(SEARCH("IMPRESORA",B561)),
ISNUMBER(SEARCH("MULTIFUNCIONAL",B561)),
ISNUMBER(SEARCH("AIO",B561))
),
"GANCHO",
"NORMAL"
)
)</f>
        <v>NORMAL</v>
      </c>
    </row>
    <row r="560" spans="1:12" x14ac:dyDescent="0.25">
      <c r="A560" s="3" t="s">
        <v>5346</v>
      </c>
      <c r="B560" s="3" t="s">
        <v>5347</v>
      </c>
      <c r="C560" s="1">
        <v>4</v>
      </c>
      <c r="D560" s="1">
        <v>482</v>
      </c>
      <c r="E560" s="1" t="s">
        <v>226</v>
      </c>
      <c r="F560" s="1" t="s">
        <v>5348</v>
      </c>
      <c r="G560" s="3" t="s">
        <v>5349</v>
      </c>
      <c r="H560" s="11">
        <f>ROUND(
IF(L558="GANCHO",
   IF(I560&lt;=50,I560*1.1+4,IF(I560&lt;=120,I560*1.1+7,IF(I560&lt;=250,I560*1.1+11,I560*1.1+19))),
IF(L558="NORMAL",
   IF(I560&lt;=30,I560*1.15+2,IF(I560&lt;=80,I560*1.15+4,IF(I560&lt;=150,I560*1.15+6,I560*1.15+8))),
IF(L558="COMPLEMENTO",
   IF(I560&lt;=25,I560*1.25+1.5,IF(I560&lt;=60,I560*1.25+3,IF(I560&lt;=120,I560*1.25+4,I560*1.25+5))),
""))),2)</f>
        <v>2284.1799999999998</v>
      </c>
      <c r="I560" s="9">
        <f>($K$2+0.02)*Tabla1[[#This Row],[PRECIO $]]*1.18</f>
        <v>1979.2847999999997</v>
      </c>
      <c r="J560" s="7">
        <f>+Tabla1[[#This Row],[PRECIO EN SOLES]]-Tabla1[[#This Row],[PC]]</f>
        <v>304.89520000000016</v>
      </c>
      <c r="K560" s="15"/>
      <c r="L560" s="15" t="str">
        <f>IF(
OR(
ISNUMBER(SEARCH("BACKPACK",B562)),
ISNUMBER(SEARCH("MOCHILA",B562)),
ISNUMBER(SEARCH("FUNDA",B562)),
ISNUMBER(SEARCH("ESTUCHE",B562)),
ISNUMBER(SEARCH("BOOK COVER",B562)),
ISNUMBER(SEARCH("KEYBOARD PARA TABLET",B562)),
ISNUMBER(SEARCH("FLIP TABLET",B562)),
ISNUMBER(SEARCH("CASE FOR TABLET",B562)),
ISNUMBER(SEARCH("CABLE",B562)),
ISNUMBER(SEARCH("ADAPTADOR",B562)),
ISNUMBER(SEARCH("HUB",B562)),
ISNUMBER(SEARCH("DOCK",B562)),
ISNUMBER(SEARCH("MOUSE PAD",B562)),
ISNUMBER(SEARCH("MOUSEPAD",B562)),
ISNUMBER(SEARCH("SOPORTE",B562)),
ISNUMBER(SEARCH("STAND",B562)),
ISNUMBER(SEARCH("TRAVEL ADAPTER",B562)),
ISNUMBER(SEARCH("RJ45",B562)),
ISNUMBER(SEARCH("USB-C",B562)),
ISNUMBER(SEARCH("USB WIFI",B562)),
ISNUMBER(SEARCH("POWERBANK",B562)),
ISNUMBER(SEARCH("CARGADOR",B562)),
ISNUMBER(SEARCH("COOLER PARA NB",B562)),
ISNUMBER(SEARCH("SOPORTE PARA NB",B562)),
ISNUMBER(SEARCH("WEBCAM",B562)),
ISNUMBER(SEARCH("WEB CAM",B562)),
ISNUMBER(SEARCH("MOUSE",B562)),
ISNUMBER(SEARCH("TECLADO",B562))
),
"COMPLEMENTO",
IF(
OR(
LEFT(A562,2)="NB",
LEFT(A562,2)="PC",
LEFT(A562,2)="WS",
LEFT(A562,2)="TB",
LEFT(A562,3)="CEL",
LEFT(A562,3)="MON",
LEFT(A562,3)="PRE",
LEFT(A562,3)="PRH",
ISNUMBER(SEARCH("NOTEBOOK",B562)),
ISNUMBER(SEARCH("LAPTOP",B562)),
ISNUMBER(SEARCH("MONITOR",B562)),
ISNUMBER(SEARCH("TABLET",B562)),
ISNUMBER(SEARCH("SMARTPH",B562)),
ISNUMBER(SEARCH("IMPRESORA",B562)),
ISNUMBER(SEARCH("MULTIFUNCIONAL",B562)),
ISNUMBER(SEARCH("AIO",B562))
),
"GANCHO",
"NORMAL"
)
)</f>
        <v>NORMAL</v>
      </c>
    </row>
    <row r="561" spans="1:12" x14ac:dyDescent="0.25">
      <c r="A561" s="3" t="s">
        <v>5350</v>
      </c>
      <c r="B561" s="3" t="s">
        <v>5351</v>
      </c>
      <c r="C561" s="1">
        <v>5</v>
      </c>
      <c r="D561" s="1">
        <v>220.5</v>
      </c>
      <c r="E561" s="1" t="s">
        <v>226</v>
      </c>
      <c r="F561" s="1" t="s">
        <v>5352</v>
      </c>
      <c r="G561" s="3" t="s">
        <v>5353</v>
      </c>
      <c r="H561" s="11">
        <f>ROUND(
IF(L559="GANCHO",
   IF(I561&lt;=50,I561*1.1+4,IF(I561&lt;=120,I561*1.1+7,IF(I561&lt;=250,I561*1.1+11,I561*1.1+19))),
IF(L559="NORMAL",
   IF(I561&lt;=30,I561*1.15+2,IF(I561&lt;=80,I561*1.15+4,IF(I561&lt;=150,I561*1.15+6,I561*1.15+8))),
IF(L559="COMPLEMENTO",
   IF(I561&lt;=25,I561*1.25+1.5,IF(I561&lt;=60,I561*1.25+3,IF(I561&lt;=120,I561*1.25+4,I561*1.25+5))),
""))),2)</f>
        <v>1049.28</v>
      </c>
      <c r="I561" s="9">
        <f>($K$2+0.02)*Tabla1[[#This Row],[PRECIO $]]*1.18</f>
        <v>905.46119999999996</v>
      </c>
      <c r="J561" s="7">
        <f>+Tabla1[[#This Row],[PRECIO EN SOLES]]-Tabla1[[#This Row],[PC]]</f>
        <v>143.81880000000001</v>
      </c>
      <c r="K561" s="15"/>
      <c r="L561" s="15" t="str">
        <f>IF(
OR(
ISNUMBER(SEARCH("BACKPACK",B563)),
ISNUMBER(SEARCH("MOCHILA",B563)),
ISNUMBER(SEARCH("FUNDA",B563)),
ISNUMBER(SEARCH("ESTUCHE",B563)),
ISNUMBER(SEARCH("BOOK COVER",B563)),
ISNUMBER(SEARCH("KEYBOARD PARA TABLET",B563)),
ISNUMBER(SEARCH("FLIP TABLET",B563)),
ISNUMBER(SEARCH("CASE FOR TABLET",B563)),
ISNUMBER(SEARCH("CABLE",B563)),
ISNUMBER(SEARCH("ADAPTADOR",B563)),
ISNUMBER(SEARCH("HUB",B563)),
ISNUMBER(SEARCH("DOCK",B563)),
ISNUMBER(SEARCH("MOUSE PAD",B563)),
ISNUMBER(SEARCH("MOUSEPAD",B563)),
ISNUMBER(SEARCH("SOPORTE",B563)),
ISNUMBER(SEARCH("STAND",B563)),
ISNUMBER(SEARCH("TRAVEL ADAPTER",B563)),
ISNUMBER(SEARCH("RJ45",B563)),
ISNUMBER(SEARCH("USB-C",B563)),
ISNUMBER(SEARCH("USB WIFI",B563)),
ISNUMBER(SEARCH("POWERBANK",B563)),
ISNUMBER(SEARCH("CARGADOR",B563)),
ISNUMBER(SEARCH("COOLER PARA NB",B563)),
ISNUMBER(SEARCH("SOPORTE PARA NB",B563)),
ISNUMBER(SEARCH("WEBCAM",B563)),
ISNUMBER(SEARCH("WEB CAM",B563)),
ISNUMBER(SEARCH("MOUSE",B563)),
ISNUMBER(SEARCH("TECLADO",B563))
),
"COMPLEMENTO",
IF(
OR(
LEFT(A563,2)="NB",
LEFT(A563,2)="PC",
LEFT(A563,2)="WS",
LEFT(A563,2)="TB",
LEFT(A563,3)="CEL",
LEFT(A563,3)="MON",
LEFT(A563,3)="PRE",
LEFT(A563,3)="PRH",
ISNUMBER(SEARCH("NOTEBOOK",B563)),
ISNUMBER(SEARCH("LAPTOP",B563)),
ISNUMBER(SEARCH("MONITOR",B563)),
ISNUMBER(SEARCH("TABLET",B563)),
ISNUMBER(SEARCH("SMARTPH",B563)),
ISNUMBER(SEARCH("IMPRESORA",B563)),
ISNUMBER(SEARCH("MULTIFUNCIONAL",B563)),
ISNUMBER(SEARCH("AIO",B563))
),
"GANCHO",
"NORMAL"
)
)</f>
        <v>NORMAL</v>
      </c>
    </row>
    <row r="562" spans="1:12" x14ac:dyDescent="0.25">
      <c r="A562" s="3" t="s">
        <v>1316</v>
      </c>
      <c r="B562" s="3" t="s">
        <v>1317</v>
      </c>
      <c r="C562" s="1">
        <v>6</v>
      </c>
      <c r="D562" s="1">
        <v>224.5</v>
      </c>
      <c r="E562" s="1" t="s">
        <v>226</v>
      </c>
      <c r="F562" s="1" t="s">
        <v>3369</v>
      </c>
      <c r="G562" s="3" t="s">
        <v>1318</v>
      </c>
      <c r="H562" s="11">
        <f>ROUND(
IF(L560="GANCHO",
   IF(I562&lt;=50,I562*1.1+4,IF(I562&lt;=120,I562*1.1+7,IF(I562&lt;=250,I562*1.1+11,I562*1.1+19))),
IF(L560="NORMAL",
   IF(I562&lt;=30,I562*1.15+2,IF(I562&lt;=80,I562*1.15+4,IF(I562&lt;=150,I562*1.15+6,I562*1.15+8))),
IF(L560="COMPLEMENTO",
   IF(I562&lt;=25,I562*1.25+1.5,IF(I562&lt;=60,I562*1.25+3,IF(I562&lt;=120,I562*1.25+4,I562*1.25+5))),
""))),2)</f>
        <v>1068.17</v>
      </c>
      <c r="I562" s="9">
        <f>($K$2+0.02)*Tabla1[[#This Row],[PRECIO $]]*1.18</f>
        <v>921.88679999999999</v>
      </c>
      <c r="J562" s="7">
        <f>+Tabla1[[#This Row],[PRECIO EN SOLES]]-Tabla1[[#This Row],[PC]]</f>
        <v>146.28320000000008</v>
      </c>
      <c r="K562" s="15"/>
      <c r="L562" s="15" t="str">
        <f>IF(
OR(
ISNUMBER(SEARCH("BACKPACK",B564)),
ISNUMBER(SEARCH("MOCHILA",B564)),
ISNUMBER(SEARCH("FUNDA",B564)),
ISNUMBER(SEARCH("ESTUCHE",B564)),
ISNUMBER(SEARCH("BOOK COVER",B564)),
ISNUMBER(SEARCH("KEYBOARD PARA TABLET",B564)),
ISNUMBER(SEARCH("FLIP TABLET",B564)),
ISNUMBER(SEARCH("CASE FOR TABLET",B564)),
ISNUMBER(SEARCH("CABLE",B564)),
ISNUMBER(SEARCH("ADAPTADOR",B564)),
ISNUMBER(SEARCH("HUB",B564)),
ISNUMBER(SEARCH("DOCK",B564)),
ISNUMBER(SEARCH("MOUSE PAD",B564)),
ISNUMBER(SEARCH("MOUSEPAD",B564)),
ISNUMBER(SEARCH("SOPORTE",B564)),
ISNUMBER(SEARCH("STAND",B564)),
ISNUMBER(SEARCH("TRAVEL ADAPTER",B564)),
ISNUMBER(SEARCH("RJ45",B564)),
ISNUMBER(SEARCH("USB-C",B564)),
ISNUMBER(SEARCH("USB WIFI",B564)),
ISNUMBER(SEARCH("POWERBANK",B564)),
ISNUMBER(SEARCH("CARGADOR",B564)),
ISNUMBER(SEARCH("COOLER PARA NB",B564)),
ISNUMBER(SEARCH("SOPORTE PARA NB",B564)),
ISNUMBER(SEARCH("WEBCAM",B564)),
ISNUMBER(SEARCH("WEB CAM",B564)),
ISNUMBER(SEARCH("MOUSE",B564)),
ISNUMBER(SEARCH("TECLADO",B564))
),
"COMPLEMENTO",
IF(
OR(
LEFT(A564,2)="NB",
LEFT(A564,2)="PC",
LEFT(A564,2)="WS",
LEFT(A564,2)="TB",
LEFT(A564,3)="CEL",
LEFT(A564,3)="MON",
LEFT(A564,3)="PRE",
LEFT(A564,3)="PRH",
ISNUMBER(SEARCH("NOTEBOOK",B564)),
ISNUMBER(SEARCH("LAPTOP",B564)),
ISNUMBER(SEARCH("MONITOR",B564)),
ISNUMBER(SEARCH("TABLET",B564)),
ISNUMBER(SEARCH("SMARTPH",B564)),
ISNUMBER(SEARCH("IMPRESORA",B564)),
ISNUMBER(SEARCH("MULTIFUNCIONAL",B564)),
ISNUMBER(SEARCH("AIO",B564))
),
"GANCHO",
"NORMAL"
)
)</f>
        <v>NORMAL</v>
      </c>
    </row>
    <row r="563" spans="1:12" x14ac:dyDescent="0.25">
      <c r="A563" s="3" t="s">
        <v>5965</v>
      </c>
      <c r="B563" s="3" t="s">
        <v>5966</v>
      </c>
      <c r="C563" s="1">
        <v>20</v>
      </c>
      <c r="D563" s="1">
        <v>181</v>
      </c>
      <c r="E563" s="1" t="s">
        <v>121</v>
      </c>
      <c r="F563" s="1" t="s">
        <v>5967</v>
      </c>
      <c r="G563" s="3" t="s">
        <v>5968</v>
      </c>
      <c r="H563" s="11">
        <f>ROUND(
IF(L561="GANCHO",
   IF(I563&lt;=50,I563*1.1+4,IF(I563&lt;=120,I563*1.1+7,IF(I563&lt;=250,I563*1.1+11,I563*1.1+19))),
IF(L561="NORMAL",
   IF(I563&lt;=30,I563*1.15+2,IF(I563&lt;=80,I563*1.15+4,IF(I563&lt;=150,I563*1.15+6,I563*1.15+8))),
IF(L561="COMPLEMENTO",
   IF(I563&lt;=25,I563*1.25+1.5,IF(I563&lt;=60,I563*1.25+3,IF(I563&lt;=120,I563*1.25+4,I563*1.25+5))),
""))),2)</f>
        <v>862.75</v>
      </c>
      <c r="I563" s="9">
        <f>($K$2+0.02)*Tabla1[[#This Row],[PRECIO $]]*1.18</f>
        <v>743.25839999999994</v>
      </c>
      <c r="J563" s="7">
        <f>+Tabla1[[#This Row],[PRECIO EN SOLES]]-Tabla1[[#This Row],[PC]]</f>
        <v>119.49160000000006</v>
      </c>
      <c r="K563" s="15"/>
      <c r="L563" s="15" t="str">
        <f>IF(
OR(
ISNUMBER(SEARCH("BACKPACK",B565)),
ISNUMBER(SEARCH("MOCHILA",B565)),
ISNUMBER(SEARCH("FUNDA",B565)),
ISNUMBER(SEARCH("ESTUCHE",B565)),
ISNUMBER(SEARCH("BOOK COVER",B565)),
ISNUMBER(SEARCH("KEYBOARD PARA TABLET",B565)),
ISNUMBER(SEARCH("FLIP TABLET",B565)),
ISNUMBER(SEARCH("CASE FOR TABLET",B565)),
ISNUMBER(SEARCH("CABLE",B565)),
ISNUMBER(SEARCH("ADAPTADOR",B565)),
ISNUMBER(SEARCH("HUB",B565)),
ISNUMBER(SEARCH("DOCK",B565)),
ISNUMBER(SEARCH("MOUSE PAD",B565)),
ISNUMBER(SEARCH("MOUSEPAD",B565)),
ISNUMBER(SEARCH("SOPORTE",B565)),
ISNUMBER(SEARCH("STAND",B565)),
ISNUMBER(SEARCH("TRAVEL ADAPTER",B565)),
ISNUMBER(SEARCH("RJ45",B565)),
ISNUMBER(SEARCH("USB-C",B565)),
ISNUMBER(SEARCH("USB WIFI",B565)),
ISNUMBER(SEARCH("POWERBANK",B565)),
ISNUMBER(SEARCH("CARGADOR",B565)),
ISNUMBER(SEARCH("COOLER PARA NB",B565)),
ISNUMBER(SEARCH("SOPORTE PARA NB",B565)),
ISNUMBER(SEARCH("WEBCAM",B565)),
ISNUMBER(SEARCH("WEB CAM",B565)),
ISNUMBER(SEARCH("MOUSE",B565)),
ISNUMBER(SEARCH("TECLADO",B565))
),
"COMPLEMENTO",
IF(
OR(
LEFT(A565,2)="NB",
LEFT(A565,2)="PC",
LEFT(A565,2)="WS",
LEFT(A565,2)="TB",
LEFT(A565,3)="CEL",
LEFT(A565,3)="MON",
LEFT(A565,3)="PRE",
LEFT(A565,3)="PRH",
ISNUMBER(SEARCH("NOTEBOOK",B565)),
ISNUMBER(SEARCH("LAPTOP",B565)),
ISNUMBER(SEARCH("MONITOR",B565)),
ISNUMBER(SEARCH("TABLET",B565)),
ISNUMBER(SEARCH("SMARTPH",B565)),
ISNUMBER(SEARCH("IMPRESORA",B565)),
ISNUMBER(SEARCH("MULTIFUNCIONAL",B565)),
ISNUMBER(SEARCH("AIO",B565))
),
"GANCHO",
"NORMAL"
)
)</f>
        <v>NORMAL</v>
      </c>
    </row>
    <row r="564" spans="1:12" x14ac:dyDescent="0.25">
      <c r="A564" s="3" t="s">
        <v>5969</v>
      </c>
      <c r="B564" s="3" t="s">
        <v>5970</v>
      </c>
      <c r="C564" s="1">
        <v>2</v>
      </c>
      <c r="D564" s="1">
        <v>169</v>
      </c>
      <c r="E564" s="1" t="s">
        <v>121</v>
      </c>
      <c r="F564" s="1" t="s">
        <v>5971</v>
      </c>
      <c r="G564" s="3" t="s">
        <v>5972</v>
      </c>
      <c r="H564" s="11">
        <f>ROUND(
IF(L562="GANCHO",
   IF(I564&lt;=50,I564*1.1+4,IF(I564&lt;=120,I564*1.1+7,IF(I564&lt;=250,I564*1.1+11,I564*1.1+19))),
IF(L562="NORMAL",
   IF(I564&lt;=30,I564*1.15+2,IF(I564&lt;=80,I564*1.15+4,IF(I564&lt;=150,I564*1.15+6,I564*1.15+8))),
IF(L562="COMPLEMENTO",
   IF(I564&lt;=25,I564*1.25+1.5,IF(I564&lt;=60,I564*1.25+3,IF(I564&lt;=120,I564*1.25+4,I564*1.25+5))),
""))),2)</f>
        <v>806.08</v>
      </c>
      <c r="I564" s="9">
        <f>($K$2+0.02)*Tabla1[[#This Row],[PRECIO $]]*1.18</f>
        <v>693.98159999999996</v>
      </c>
      <c r="J564" s="7">
        <f>+Tabla1[[#This Row],[PRECIO EN SOLES]]-Tabla1[[#This Row],[PC]]</f>
        <v>112.09840000000008</v>
      </c>
      <c r="K564" s="15"/>
      <c r="L564" s="15" t="str">
        <f>IF(
OR(
ISNUMBER(SEARCH("BACKPACK",B566)),
ISNUMBER(SEARCH("MOCHILA",B566)),
ISNUMBER(SEARCH("FUNDA",B566)),
ISNUMBER(SEARCH("ESTUCHE",B566)),
ISNUMBER(SEARCH("BOOK COVER",B566)),
ISNUMBER(SEARCH("KEYBOARD PARA TABLET",B566)),
ISNUMBER(SEARCH("FLIP TABLET",B566)),
ISNUMBER(SEARCH("CASE FOR TABLET",B566)),
ISNUMBER(SEARCH("CABLE",B566)),
ISNUMBER(SEARCH("ADAPTADOR",B566)),
ISNUMBER(SEARCH("HUB",B566)),
ISNUMBER(SEARCH("DOCK",B566)),
ISNUMBER(SEARCH("MOUSE PAD",B566)),
ISNUMBER(SEARCH("MOUSEPAD",B566)),
ISNUMBER(SEARCH("SOPORTE",B566)),
ISNUMBER(SEARCH("STAND",B566)),
ISNUMBER(SEARCH("TRAVEL ADAPTER",B566)),
ISNUMBER(SEARCH("RJ45",B566)),
ISNUMBER(SEARCH("USB-C",B566)),
ISNUMBER(SEARCH("USB WIFI",B566)),
ISNUMBER(SEARCH("POWERBANK",B566)),
ISNUMBER(SEARCH("CARGADOR",B566)),
ISNUMBER(SEARCH("COOLER PARA NB",B566)),
ISNUMBER(SEARCH("SOPORTE PARA NB",B566)),
ISNUMBER(SEARCH("WEBCAM",B566)),
ISNUMBER(SEARCH("WEB CAM",B566)),
ISNUMBER(SEARCH("MOUSE",B566)),
ISNUMBER(SEARCH("TECLADO",B566))
),
"COMPLEMENTO",
IF(
OR(
LEFT(A566,2)="NB",
LEFT(A566,2)="PC",
LEFT(A566,2)="WS",
LEFT(A566,2)="TB",
LEFT(A566,3)="CEL",
LEFT(A566,3)="MON",
LEFT(A566,3)="PRE",
LEFT(A566,3)="PRH",
ISNUMBER(SEARCH("NOTEBOOK",B566)),
ISNUMBER(SEARCH("LAPTOP",B566)),
ISNUMBER(SEARCH("MONITOR",B566)),
ISNUMBER(SEARCH("TABLET",B566)),
ISNUMBER(SEARCH("SMARTPH",B566)),
ISNUMBER(SEARCH("IMPRESORA",B566)),
ISNUMBER(SEARCH("MULTIFUNCIONAL",B566)),
ISNUMBER(SEARCH("AIO",B566))
),
"GANCHO",
"NORMAL"
)
)</f>
        <v>NORMAL</v>
      </c>
    </row>
    <row r="565" spans="1:12" x14ac:dyDescent="0.25">
      <c r="A565" s="3" t="s">
        <v>5973</v>
      </c>
      <c r="B565" s="3" t="s">
        <v>5974</v>
      </c>
      <c r="C565" s="1">
        <v>20</v>
      </c>
      <c r="D565" s="1">
        <v>46.9</v>
      </c>
      <c r="E565" s="1" t="s">
        <v>906</v>
      </c>
      <c r="F565" s="1" t="s">
        <v>5975</v>
      </c>
      <c r="G565" s="3" t="s">
        <v>5976</v>
      </c>
      <c r="H565" s="11">
        <f>ROUND(
IF(L563="GANCHO",
   IF(I565&lt;=50,I565*1.1+4,IF(I565&lt;=120,I565*1.1+7,IF(I565&lt;=250,I565*1.1+11,I565*1.1+19))),
IF(L563="NORMAL",
   IF(I565&lt;=30,I565*1.15+2,IF(I565&lt;=80,I565*1.15+4,IF(I565&lt;=150,I565*1.15+6,I565*1.15+8))),
IF(L563="COMPLEMENTO",
   IF(I565&lt;=25,I565*1.25+1.5,IF(I565&lt;=60,I565*1.25+3,IF(I565&lt;=120,I565*1.25+4,I565*1.25+5))),
""))),2)</f>
        <v>229.48</v>
      </c>
      <c r="I565" s="9">
        <f>($K$2+0.02)*Tabla1[[#This Row],[PRECIO $]]*1.18</f>
        <v>192.59015999999997</v>
      </c>
      <c r="J565" s="7">
        <f>+Tabla1[[#This Row],[PRECIO EN SOLES]]-Tabla1[[#This Row],[PC]]</f>
        <v>36.889840000000021</v>
      </c>
      <c r="K565" s="15"/>
      <c r="L565" s="15" t="str">
        <f>IF(
OR(
ISNUMBER(SEARCH("BACKPACK",B567)),
ISNUMBER(SEARCH("MOCHILA",B567)),
ISNUMBER(SEARCH("FUNDA",B567)),
ISNUMBER(SEARCH("ESTUCHE",B567)),
ISNUMBER(SEARCH("BOOK COVER",B567)),
ISNUMBER(SEARCH("KEYBOARD PARA TABLET",B567)),
ISNUMBER(SEARCH("FLIP TABLET",B567)),
ISNUMBER(SEARCH("CASE FOR TABLET",B567)),
ISNUMBER(SEARCH("CABLE",B567)),
ISNUMBER(SEARCH("ADAPTADOR",B567)),
ISNUMBER(SEARCH("HUB",B567)),
ISNUMBER(SEARCH("DOCK",B567)),
ISNUMBER(SEARCH("MOUSE PAD",B567)),
ISNUMBER(SEARCH("MOUSEPAD",B567)),
ISNUMBER(SEARCH("SOPORTE",B567)),
ISNUMBER(SEARCH("STAND",B567)),
ISNUMBER(SEARCH("TRAVEL ADAPTER",B567)),
ISNUMBER(SEARCH("RJ45",B567)),
ISNUMBER(SEARCH("USB-C",B567)),
ISNUMBER(SEARCH("USB WIFI",B567)),
ISNUMBER(SEARCH("POWERBANK",B567)),
ISNUMBER(SEARCH("CARGADOR",B567)),
ISNUMBER(SEARCH("COOLER PARA NB",B567)),
ISNUMBER(SEARCH("SOPORTE PARA NB",B567)),
ISNUMBER(SEARCH("WEBCAM",B567)),
ISNUMBER(SEARCH("WEB CAM",B567)),
ISNUMBER(SEARCH("MOUSE",B567)),
ISNUMBER(SEARCH("TECLADO",B567))
),
"COMPLEMENTO",
IF(
OR(
LEFT(A567,2)="NB",
LEFT(A567,2)="PC",
LEFT(A567,2)="WS",
LEFT(A567,2)="TB",
LEFT(A567,3)="CEL",
LEFT(A567,3)="MON",
LEFT(A567,3)="PRE",
LEFT(A567,3)="PRH",
ISNUMBER(SEARCH("NOTEBOOK",B567)),
ISNUMBER(SEARCH("LAPTOP",B567)),
ISNUMBER(SEARCH("MONITOR",B567)),
ISNUMBER(SEARCH("TABLET",B567)),
ISNUMBER(SEARCH("SMARTPH",B567)),
ISNUMBER(SEARCH("IMPRESORA",B567)),
ISNUMBER(SEARCH("MULTIFUNCIONAL",B567)),
ISNUMBER(SEARCH("AIO",B567))
),
"GANCHO",
"NORMAL"
)
)</f>
        <v>NORMAL</v>
      </c>
    </row>
    <row r="566" spans="1:12" x14ac:dyDescent="0.25">
      <c r="A566" s="3" t="s">
        <v>5977</v>
      </c>
      <c r="B566" s="3" t="s">
        <v>5978</v>
      </c>
      <c r="C566" s="1">
        <v>0</v>
      </c>
      <c r="D566" s="1">
        <v>48.3</v>
      </c>
      <c r="E566" s="1" t="s">
        <v>906</v>
      </c>
      <c r="F566" s="1" t="s">
        <v>5979</v>
      </c>
      <c r="G566" s="3" t="s">
        <v>5980</v>
      </c>
      <c r="H566" s="11">
        <f>ROUND(
IF(L564="GANCHO",
   IF(I566&lt;=50,I566*1.1+4,IF(I566&lt;=120,I566*1.1+7,IF(I566&lt;=250,I566*1.1+11,I566*1.1+19))),
IF(L564="NORMAL",
   IF(I566&lt;=30,I566*1.15+2,IF(I566&lt;=80,I566*1.15+4,IF(I566&lt;=150,I566*1.15+6,I566*1.15+8))),
IF(L564="COMPLEMENTO",
   IF(I566&lt;=25,I566*1.25+1.5,IF(I566&lt;=60,I566*1.25+3,IF(I566&lt;=120,I566*1.25+4,I566*1.25+5))),
""))),2)</f>
        <v>236.09</v>
      </c>
      <c r="I566" s="9">
        <f>($K$2+0.02)*Tabla1[[#This Row],[PRECIO $]]*1.18</f>
        <v>198.33911999999998</v>
      </c>
      <c r="J566" s="7">
        <f>+Tabla1[[#This Row],[PRECIO EN SOLES]]-Tabla1[[#This Row],[PC]]</f>
        <v>37.750880000000024</v>
      </c>
      <c r="K566" s="15"/>
      <c r="L566" s="15" t="str">
        <f>IF(
OR(
ISNUMBER(SEARCH("BACKPACK",B568)),
ISNUMBER(SEARCH("MOCHILA",B568)),
ISNUMBER(SEARCH("FUNDA",B568)),
ISNUMBER(SEARCH("ESTUCHE",B568)),
ISNUMBER(SEARCH("BOOK COVER",B568)),
ISNUMBER(SEARCH("KEYBOARD PARA TABLET",B568)),
ISNUMBER(SEARCH("FLIP TABLET",B568)),
ISNUMBER(SEARCH("CASE FOR TABLET",B568)),
ISNUMBER(SEARCH("CABLE",B568)),
ISNUMBER(SEARCH("ADAPTADOR",B568)),
ISNUMBER(SEARCH("HUB",B568)),
ISNUMBER(SEARCH("DOCK",B568)),
ISNUMBER(SEARCH("MOUSE PAD",B568)),
ISNUMBER(SEARCH("MOUSEPAD",B568)),
ISNUMBER(SEARCH("SOPORTE",B568)),
ISNUMBER(SEARCH("STAND",B568)),
ISNUMBER(SEARCH("TRAVEL ADAPTER",B568)),
ISNUMBER(SEARCH("RJ45",B568)),
ISNUMBER(SEARCH("USB-C",B568)),
ISNUMBER(SEARCH("USB WIFI",B568)),
ISNUMBER(SEARCH("POWERBANK",B568)),
ISNUMBER(SEARCH("CARGADOR",B568)),
ISNUMBER(SEARCH("COOLER PARA NB",B568)),
ISNUMBER(SEARCH("SOPORTE PARA NB",B568)),
ISNUMBER(SEARCH("WEBCAM",B568)),
ISNUMBER(SEARCH("WEB CAM",B568)),
ISNUMBER(SEARCH("MOUSE",B568)),
ISNUMBER(SEARCH("TECLADO",B568))
),
"COMPLEMENTO",
IF(
OR(
LEFT(A568,2)="NB",
LEFT(A568,2)="PC",
LEFT(A568,2)="WS",
LEFT(A568,2)="TB",
LEFT(A568,3)="CEL",
LEFT(A568,3)="MON",
LEFT(A568,3)="PRE",
LEFT(A568,3)="PRH",
ISNUMBER(SEARCH("NOTEBOOK",B568)),
ISNUMBER(SEARCH("LAPTOP",B568)),
ISNUMBER(SEARCH("MONITOR",B568)),
ISNUMBER(SEARCH("TABLET",B568)),
ISNUMBER(SEARCH("SMARTPH",B568)),
ISNUMBER(SEARCH("IMPRESORA",B568)),
ISNUMBER(SEARCH("MULTIFUNCIONAL",B568)),
ISNUMBER(SEARCH("AIO",B568))
),
"GANCHO",
"NORMAL"
)
)</f>
        <v>NORMAL</v>
      </c>
    </row>
    <row r="567" spans="1:12" x14ac:dyDescent="0.25">
      <c r="A567" s="3" t="s">
        <v>5354</v>
      </c>
      <c r="B567" s="3" t="s">
        <v>5355</v>
      </c>
      <c r="C567" s="1">
        <v>0</v>
      </c>
      <c r="D567" s="1">
        <v>86.5</v>
      </c>
      <c r="E567" s="1" t="s">
        <v>115</v>
      </c>
      <c r="F567" s="1" t="s">
        <v>5356</v>
      </c>
      <c r="G567" s="3" t="s">
        <v>5357</v>
      </c>
      <c r="H567" s="11">
        <f>ROUND(
IF(L565="GANCHO",
   IF(I567&lt;=50,I567*1.1+4,IF(I567&lt;=120,I567*1.1+7,IF(I567&lt;=250,I567*1.1+11,I567*1.1+19))),
IF(L565="NORMAL",
   IF(I567&lt;=30,I567*1.15+2,IF(I567&lt;=80,I567*1.15+4,IF(I567&lt;=150,I567*1.15+6,I567*1.15+8))),
IF(L565="COMPLEMENTO",
   IF(I567&lt;=25,I567*1.25+1.5,IF(I567&lt;=60,I567*1.25+3,IF(I567&lt;=120,I567*1.25+4,I567*1.25+5))),
""))),2)</f>
        <v>416.48</v>
      </c>
      <c r="I567" s="9">
        <f>($K$2+0.02)*Tabla1[[#This Row],[PRECIO $]]*1.18</f>
        <v>355.20359999999994</v>
      </c>
      <c r="J567" s="7">
        <f>+Tabla1[[#This Row],[PRECIO EN SOLES]]-Tabla1[[#This Row],[PC]]</f>
        <v>61.276400000000081</v>
      </c>
      <c r="K567" s="15"/>
      <c r="L567" s="15" t="str">
        <f>IF(
OR(
ISNUMBER(SEARCH("BACKPACK",B569)),
ISNUMBER(SEARCH("MOCHILA",B569)),
ISNUMBER(SEARCH("FUNDA",B569)),
ISNUMBER(SEARCH("ESTUCHE",B569)),
ISNUMBER(SEARCH("BOOK COVER",B569)),
ISNUMBER(SEARCH("KEYBOARD PARA TABLET",B569)),
ISNUMBER(SEARCH("FLIP TABLET",B569)),
ISNUMBER(SEARCH("CASE FOR TABLET",B569)),
ISNUMBER(SEARCH("CABLE",B569)),
ISNUMBER(SEARCH("ADAPTADOR",B569)),
ISNUMBER(SEARCH("HUB",B569)),
ISNUMBER(SEARCH("DOCK",B569)),
ISNUMBER(SEARCH("MOUSE PAD",B569)),
ISNUMBER(SEARCH("MOUSEPAD",B569)),
ISNUMBER(SEARCH("SOPORTE",B569)),
ISNUMBER(SEARCH("STAND",B569)),
ISNUMBER(SEARCH("TRAVEL ADAPTER",B569)),
ISNUMBER(SEARCH("RJ45",B569)),
ISNUMBER(SEARCH("USB-C",B569)),
ISNUMBER(SEARCH("USB WIFI",B569)),
ISNUMBER(SEARCH("POWERBANK",B569)),
ISNUMBER(SEARCH("CARGADOR",B569)),
ISNUMBER(SEARCH("COOLER PARA NB",B569)),
ISNUMBER(SEARCH("SOPORTE PARA NB",B569)),
ISNUMBER(SEARCH("WEBCAM",B569)),
ISNUMBER(SEARCH("WEB CAM",B569)),
ISNUMBER(SEARCH("MOUSE",B569)),
ISNUMBER(SEARCH("TECLADO",B569))
),
"COMPLEMENTO",
IF(
OR(
LEFT(A569,2)="NB",
LEFT(A569,2)="PC",
LEFT(A569,2)="WS",
LEFT(A569,2)="TB",
LEFT(A569,3)="CEL",
LEFT(A569,3)="MON",
LEFT(A569,3)="PRE",
LEFT(A569,3)="PRH",
ISNUMBER(SEARCH("NOTEBOOK",B569)),
ISNUMBER(SEARCH("LAPTOP",B569)),
ISNUMBER(SEARCH("MONITOR",B569)),
ISNUMBER(SEARCH("TABLET",B569)),
ISNUMBER(SEARCH("SMARTPH",B569)),
ISNUMBER(SEARCH("IMPRESORA",B569)),
ISNUMBER(SEARCH("MULTIFUNCIONAL",B569)),
ISNUMBER(SEARCH("AIO",B569))
),
"GANCHO",
"NORMAL"
)
)</f>
        <v>NORMAL</v>
      </c>
    </row>
    <row r="568" spans="1:12" x14ac:dyDescent="0.25">
      <c r="A568" s="3" t="s">
        <v>5358</v>
      </c>
      <c r="B568" s="3" t="s">
        <v>5359</v>
      </c>
      <c r="C568" s="1">
        <v>2</v>
      </c>
      <c r="D568" s="1">
        <v>79</v>
      </c>
      <c r="E568" s="1" t="s">
        <v>226</v>
      </c>
      <c r="F568" s="1" t="s">
        <v>5360</v>
      </c>
      <c r="G568" s="3" t="s">
        <v>5361</v>
      </c>
      <c r="H568" s="11">
        <f>ROUND(
IF(L566="GANCHO",
   IF(I568&lt;=50,I568*1.1+4,IF(I568&lt;=120,I568*1.1+7,IF(I568&lt;=250,I568*1.1+11,I568*1.1+19))),
IF(L566="NORMAL",
   IF(I568&lt;=30,I568*1.15+2,IF(I568&lt;=80,I568*1.15+4,IF(I568&lt;=150,I568*1.15+6,I568*1.15+8))),
IF(L566="COMPLEMENTO",
   IF(I568&lt;=25,I568*1.25+1.5,IF(I568&lt;=60,I568*1.25+3,IF(I568&lt;=120,I568*1.25+4,I568*1.25+5))),
""))),2)</f>
        <v>381.07</v>
      </c>
      <c r="I568" s="9">
        <f>($K$2+0.02)*Tabla1[[#This Row],[PRECIO $]]*1.18</f>
        <v>324.40559999999999</v>
      </c>
      <c r="J568" s="7">
        <f>+Tabla1[[#This Row],[PRECIO EN SOLES]]-Tabla1[[#This Row],[PC]]</f>
        <v>56.664400000000001</v>
      </c>
      <c r="K568" s="15"/>
      <c r="L568" s="15" t="str">
        <f>IF(
OR(
ISNUMBER(SEARCH("BACKPACK",B570)),
ISNUMBER(SEARCH("MOCHILA",B570)),
ISNUMBER(SEARCH("FUNDA",B570)),
ISNUMBER(SEARCH("ESTUCHE",B570)),
ISNUMBER(SEARCH("BOOK COVER",B570)),
ISNUMBER(SEARCH("KEYBOARD PARA TABLET",B570)),
ISNUMBER(SEARCH("FLIP TABLET",B570)),
ISNUMBER(SEARCH("CASE FOR TABLET",B570)),
ISNUMBER(SEARCH("CABLE",B570)),
ISNUMBER(SEARCH("ADAPTADOR",B570)),
ISNUMBER(SEARCH("HUB",B570)),
ISNUMBER(SEARCH("DOCK",B570)),
ISNUMBER(SEARCH("MOUSE PAD",B570)),
ISNUMBER(SEARCH("MOUSEPAD",B570)),
ISNUMBER(SEARCH("SOPORTE",B570)),
ISNUMBER(SEARCH("STAND",B570)),
ISNUMBER(SEARCH("TRAVEL ADAPTER",B570)),
ISNUMBER(SEARCH("RJ45",B570)),
ISNUMBER(SEARCH("USB-C",B570)),
ISNUMBER(SEARCH("USB WIFI",B570)),
ISNUMBER(SEARCH("POWERBANK",B570)),
ISNUMBER(SEARCH("CARGADOR",B570)),
ISNUMBER(SEARCH("COOLER PARA NB",B570)),
ISNUMBER(SEARCH("SOPORTE PARA NB",B570)),
ISNUMBER(SEARCH("WEBCAM",B570)),
ISNUMBER(SEARCH("WEB CAM",B570)),
ISNUMBER(SEARCH("MOUSE",B570)),
ISNUMBER(SEARCH("TECLADO",B570))
),
"COMPLEMENTO",
IF(
OR(
LEFT(A570,2)="NB",
LEFT(A570,2)="PC",
LEFT(A570,2)="WS",
LEFT(A570,2)="TB",
LEFT(A570,3)="CEL",
LEFT(A570,3)="MON",
LEFT(A570,3)="PRE",
LEFT(A570,3)="PRH",
ISNUMBER(SEARCH("NOTEBOOK",B570)),
ISNUMBER(SEARCH("LAPTOP",B570)),
ISNUMBER(SEARCH("MONITOR",B570)),
ISNUMBER(SEARCH("TABLET",B570)),
ISNUMBER(SEARCH("SMARTPH",B570)),
ISNUMBER(SEARCH("IMPRESORA",B570)),
ISNUMBER(SEARCH("MULTIFUNCIONAL",B570)),
ISNUMBER(SEARCH("AIO",B570))
),
"GANCHO",
"NORMAL"
)
)</f>
        <v>NORMAL</v>
      </c>
    </row>
    <row r="569" spans="1:12" x14ac:dyDescent="0.25">
      <c r="A569" s="3" t="s">
        <v>2811</v>
      </c>
      <c r="B569" s="3" t="s">
        <v>2812</v>
      </c>
      <c r="C569" s="1">
        <v>20</v>
      </c>
      <c r="D569" s="1">
        <v>64.8</v>
      </c>
      <c r="E569" s="1" t="s">
        <v>121</v>
      </c>
      <c r="F569" s="1" t="s">
        <v>3370</v>
      </c>
      <c r="G569" s="3" t="s">
        <v>2813</v>
      </c>
      <c r="H569" s="11">
        <f>ROUND(
IF(L567="GANCHO",
   IF(I569&lt;=50,I569*1.1+4,IF(I569&lt;=120,I569*1.1+7,IF(I569&lt;=250,I569*1.1+11,I569*1.1+19))),
IF(L567="NORMAL",
   IF(I569&lt;=30,I569*1.15+2,IF(I569&lt;=80,I569*1.15+4,IF(I569&lt;=150,I569*1.15+6,I569*1.15+8))),
IF(L567="COMPLEMENTO",
   IF(I569&lt;=25,I569*1.25+1.5,IF(I569&lt;=60,I569*1.25+3,IF(I569&lt;=120,I569*1.25+4,I569*1.25+5))),
""))),2)</f>
        <v>314.01</v>
      </c>
      <c r="I569" s="9">
        <f>($K$2+0.02)*Tabla1[[#This Row],[PRECIO $]]*1.18</f>
        <v>266.09472</v>
      </c>
      <c r="J569" s="7">
        <f>+Tabla1[[#This Row],[PRECIO EN SOLES]]-Tabla1[[#This Row],[PC]]</f>
        <v>47.915279999999996</v>
      </c>
      <c r="K569" s="15"/>
      <c r="L569" s="15" t="str">
        <f>IF(
OR(
ISNUMBER(SEARCH("BACKPACK",B571)),
ISNUMBER(SEARCH("MOCHILA",B571)),
ISNUMBER(SEARCH("FUNDA",B571)),
ISNUMBER(SEARCH("ESTUCHE",B571)),
ISNUMBER(SEARCH("BOOK COVER",B571)),
ISNUMBER(SEARCH("KEYBOARD PARA TABLET",B571)),
ISNUMBER(SEARCH("FLIP TABLET",B571)),
ISNUMBER(SEARCH("CASE FOR TABLET",B571)),
ISNUMBER(SEARCH("CABLE",B571)),
ISNUMBER(SEARCH("ADAPTADOR",B571)),
ISNUMBER(SEARCH("HUB",B571)),
ISNUMBER(SEARCH("DOCK",B571)),
ISNUMBER(SEARCH("MOUSE PAD",B571)),
ISNUMBER(SEARCH("MOUSEPAD",B571)),
ISNUMBER(SEARCH("SOPORTE",B571)),
ISNUMBER(SEARCH("STAND",B571)),
ISNUMBER(SEARCH("TRAVEL ADAPTER",B571)),
ISNUMBER(SEARCH("RJ45",B571)),
ISNUMBER(SEARCH("USB-C",B571)),
ISNUMBER(SEARCH("USB WIFI",B571)),
ISNUMBER(SEARCH("POWERBANK",B571)),
ISNUMBER(SEARCH("CARGADOR",B571)),
ISNUMBER(SEARCH("COOLER PARA NB",B571)),
ISNUMBER(SEARCH("SOPORTE PARA NB",B571)),
ISNUMBER(SEARCH("WEBCAM",B571)),
ISNUMBER(SEARCH("WEB CAM",B571)),
ISNUMBER(SEARCH("MOUSE",B571)),
ISNUMBER(SEARCH("TECLADO",B571))
),
"COMPLEMENTO",
IF(
OR(
LEFT(A571,2)="NB",
LEFT(A571,2)="PC",
LEFT(A571,2)="WS",
LEFT(A571,2)="TB",
LEFT(A571,3)="CEL",
LEFT(A571,3)="MON",
LEFT(A571,3)="PRE",
LEFT(A571,3)="PRH",
ISNUMBER(SEARCH("NOTEBOOK",B571)),
ISNUMBER(SEARCH("LAPTOP",B571)),
ISNUMBER(SEARCH("MONITOR",B571)),
ISNUMBER(SEARCH("TABLET",B571)),
ISNUMBER(SEARCH("SMARTPH",B571)),
ISNUMBER(SEARCH("IMPRESORA",B571)),
ISNUMBER(SEARCH("MULTIFUNCIONAL",B571)),
ISNUMBER(SEARCH("AIO",B571))
),
"GANCHO",
"NORMAL"
)
)</f>
        <v>NORMAL</v>
      </c>
    </row>
    <row r="570" spans="1:12" x14ac:dyDescent="0.25">
      <c r="A570" s="3" t="s">
        <v>648</v>
      </c>
      <c r="B570" s="3" t="s">
        <v>649</v>
      </c>
      <c r="C570" s="1">
        <v>0</v>
      </c>
      <c r="D570" s="1">
        <v>82.75</v>
      </c>
      <c r="E570" s="1" t="s">
        <v>121</v>
      </c>
      <c r="F570" s="1" t="s">
        <v>3371</v>
      </c>
      <c r="G570" s="3" t="s">
        <v>650</v>
      </c>
      <c r="H570" s="11">
        <f>ROUND(
IF(L568="GANCHO",
   IF(I570&lt;=50,I570*1.1+4,IF(I570&lt;=120,I570*1.1+7,IF(I570&lt;=250,I570*1.1+11,I570*1.1+19))),
IF(L568="NORMAL",
   IF(I570&lt;=30,I570*1.15+2,IF(I570&lt;=80,I570*1.15+4,IF(I570&lt;=150,I570*1.15+6,I570*1.15+8))),
IF(L568="COMPLEMENTO",
   IF(I570&lt;=25,I570*1.25+1.5,IF(I570&lt;=60,I570*1.25+3,IF(I570&lt;=120,I570*1.25+4,I570*1.25+5))),
""))),2)</f>
        <v>398.78</v>
      </c>
      <c r="I570" s="9">
        <f>($K$2+0.02)*Tabla1[[#This Row],[PRECIO $]]*1.18</f>
        <v>339.80459999999994</v>
      </c>
      <c r="J570" s="7">
        <f>+Tabla1[[#This Row],[PRECIO EN SOLES]]-Tabla1[[#This Row],[PC]]</f>
        <v>58.975400000000036</v>
      </c>
      <c r="K570" s="15"/>
      <c r="L570" s="15" t="str">
        <f>IF(
OR(
ISNUMBER(SEARCH("BACKPACK",B572)),
ISNUMBER(SEARCH("MOCHILA",B572)),
ISNUMBER(SEARCH("FUNDA",B572)),
ISNUMBER(SEARCH("ESTUCHE",B572)),
ISNUMBER(SEARCH("BOOK COVER",B572)),
ISNUMBER(SEARCH("KEYBOARD PARA TABLET",B572)),
ISNUMBER(SEARCH("FLIP TABLET",B572)),
ISNUMBER(SEARCH("CASE FOR TABLET",B572)),
ISNUMBER(SEARCH("CABLE",B572)),
ISNUMBER(SEARCH("ADAPTADOR",B572)),
ISNUMBER(SEARCH("HUB",B572)),
ISNUMBER(SEARCH("DOCK",B572)),
ISNUMBER(SEARCH("MOUSE PAD",B572)),
ISNUMBER(SEARCH("MOUSEPAD",B572)),
ISNUMBER(SEARCH("SOPORTE",B572)),
ISNUMBER(SEARCH("STAND",B572)),
ISNUMBER(SEARCH("TRAVEL ADAPTER",B572)),
ISNUMBER(SEARCH("RJ45",B572)),
ISNUMBER(SEARCH("USB-C",B572)),
ISNUMBER(SEARCH("USB WIFI",B572)),
ISNUMBER(SEARCH("POWERBANK",B572)),
ISNUMBER(SEARCH("CARGADOR",B572)),
ISNUMBER(SEARCH("COOLER PARA NB",B572)),
ISNUMBER(SEARCH("SOPORTE PARA NB",B572)),
ISNUMBER(SEARCH("WEBCAM",B572)),
ISNUMBER(SEARCH("WEB CAM",B572)),
ISNUMBER(SEARCH("MOUSE",B572)),
ISNUMBER(SEARCH("TECLADO",B572))
),
"COMPLEMENTO",
IF(
OR(
LEFT(A572,2)="NB",
LEFT(A572,2)="PC",
LEFT(A572,2)="WS",
LEFT(A572,2)="TB",
LEFT(A572,3)="CEL",
LEFT(A572,3)="MON",
LEFT(A572,3)="PRE",
LEFT(A572,3)="PRH",
ISNUMBER(SEARCH("NOTEBOOK",B572)),
ISNUMBER(SEARCH("LAPTOP",B572)),
ISNUMBER(SEARCH("MONITOR",B572)),
ISNUMBER(SEARCH("TABLET",B572)),
ISNUMBER(SEARCH("SMARTPH",B572)),
ISNUMBER(SEARCH("IMPRESORA",B572)),
ISNUMBER(SEARCH("MULTIFUNCIONAL",B572)),
ISNUMBER(SEARCH("AIO",B572))
),
"GANCHO",
"NORMAL"
)
)</f>
        <v>NORMAL</v>
      </c>
    </row>
    <row r="571" spans="1:12" x14ac:dyDescent="0.25">
      <c r="A571" s="3" t="s">
        <v>5981</v>
      </c>
      <c r="B571" s="3" t="s">
        <v>5982</v>
      </c>
      <c r="C571" s="1">
        <v>20</v>
      </c>
      <c r="D571" s="1">
        <v>80</v>
      </c>
      <c r="E571" s="1" t="s">
        <v>906</v>
      </c>
      <c r="F571" s="1" t="s">
        <v>5983</v>
      </c>
      <c r="G571" s="3" t="s">
        <v>5984</v>
      </c>
      <c r="H571" s="11">
        <f>ROUND(
IF(L569="GANCHO",
   IF(I571&lt;=50,I571*1.1+4,IF(I571&lt;=120,I571*1.1+7,IF(I571&lt;=250,I571*1.1+11,I571*1.1+19))),
IF(L569="NORMAL",
   IF(I571&lt;=30,I571*1.15+2,IF(I571&lt;=80,I571*1.15+4,IF(I571&lt;=150,I571*1.15+6,I571*1.15+8))),
IF(L569="COMPLEMENTO",
   IF(I571&lt;=25,I571*1.25+1.5,IF(I571&lt;=60,I571*1.25+3,IF(I571&lt;=120,I571*1.25+4,I571*1.25+5))),
""))),2)</f>
        <v>385.79</v>
      </c>
      <c r="I571" s="9">
        <f>($K$2+0.02)*Tabla1[[#This Row],[PRECIO $]]*1.18</f>
        <v>328.51199999999994</v>
      </c>
      <c r="J571" s="7">
        <f>+Tabla1[[#This Row],[PRECIO EN SOLES]]-Tabla1[[#This Row],[PC]]</f>
        <v>57.278000000000077</v>
      </c>
      <c r="K571" s="15"/>
      <c r="L571" s="15" t="str">
        <f>IF(
OR(
ISNUMBER(SEARCH("BACKPACK",B573)),
ISNUMBER(SEARCH("MOCHILA",B573)),
ISNUMBER(SEARCH("FUNDA",B573)),
ISNUMBER(SEARCH("ESTUCHE",B573)),
ISNUMBER(SEARCH("BOOK COVER",B573)),
ISNUMBER(SEARCH("KEYBOARD PARA TABLET",B573)),
ISNUMBER(SEARCH("FLIP TABLET",B573)),
ISNUMBER(SEARCH("CASE FOR TABLET",B573)),
ISNUMBER(SEARCH("CABLE",B573)),
ISNUMBER(SEARCH("ADAPTADOR",B573)),
ISNUMBER(SEARCH("HUB",B573)),
ISNUMBER(SEARCH("DOCK",B573)),
ISNUMBER(SEARCH("MOUSE PAD",B573)),
ISNUMBER(SEARCH("MOUSEPAD",B573)),
ISNUMBER(SEARCH("SOPORTE",B573)),
ISNUMBER(SEARCH("STAND",B573)),
ISNUMBER(SEARCH("TRAVEL ADAPTER",B573)),
ISNUMBER(SEARCH("RJ45",B573)),
ISNUMBER(SEARCH("USB-C",B573)),
ISNUMBER(SEARCH("USB WIFI",B573)),
ISNUMBER(SEARCH("POWERBANK",B573)),
ISNUMBER(SEARCH("CARGADOR",B573)),
ISNUMBER(SEARCH("COOLER PARA NB",B573)),
ISNUMBER(SEARCH("SOPORTE PARA NB",B573)),
ISNUMBER(SEARCH("WEBCAM",B573)),
ISNUMBER(SEARCH("WEB CAM",B573)),
ISNUMBER(SEARCH("MOUSE",B573)),
ISNUMBER(SEARCH("TECLADO",B573))
),
"COMPLEMENTO",
IF(
OR(
LEFT(A573,2)="NB",
LEFT(A573,2)="PC",
LEFT(A573,2)="WS",
LEFT(A573,2)="TB",
LEFT(A573,3)="CEL",
LEFT(A573,3)="MON",
LEFT(A573,3)="PRE",
LEFT(A573,3)="PRH",
ISNUMBER(SEARCH("NOTEBOOK",B573)),
ISNUMBER(SEARCH("LAPTOP",B573)),
ISNUMBER(SEARCH("MONITOR",B573)),
ISNUMBER(SEARCH("TABLET",B573)),
ISNUMBER(SEARCH("SMARTPH",B573)),
ISNUMBER(SEARCH("IMPRESORA",B573)),
ISNUMBER(SEARCH("MULTIFUNCIONAL",B573)),
ISNUMBER(SEARCH("AIO",B573))
),
"GANCHO",
"NORMAL"
)
)</f>
        <v>NORMAL</v>
      </c>
    </row>
    <row r="572" spans="1:12" x14ac:dyDescent="0.25">
      <c r="A572" s="3" t="s">
        <v>5362</v>
      </c>
      <c r="B572" s="3" t="s">
        <v>5363</v>
      </c>
      <c r="C572" s="1">
        <v>3</v>
      </c>
      <c r="D572" s="1">
        <v>126.2</v>
      </c>
      <c r="E572" s="1" t="s">
        <v>226</v>
      </c>
      <c r="F572" s="1" t="s">
        <v>5364</v>
      </c>
      <c r="G572" s="3" t="s">
        <v>5365</v>
      </c>
      <c r="H572" s="11">
        <f>ROUND(
IF(L570="GANCHO",
   IF(I572&lt;=50,I572*1.1+4,IF(I572&lt;=120,I572*1.1+7,IF(I572&lt;=250,I572*1.1+11,I572*1.1+19))),
IF(L570="NORMAL",
   IF(I572&lt;=30,I572*1.15+2,IF(I572&lt;=80,I572*1.15+4,IF(I572&lt;=150,I572*1.15+6,I572*1.15+8))),
IF(L570="COMPLEMENTO",
   IF(I572&lt;=25,I572*1.25+1.5,IF(I572&lt;=60,I572*1.25+3,IF(I572&lt;=120,I572*1.25+4,I572*1.25+5))),
""))),2)</f>
        <v>603.96</v>
      </c>
      <c r="I572" s="9">
        <f>($K$2+0.02)*Tabla1[[#This Row],[PRECIO $]]*1.18</f>
        <v>518.22767999999996</v>
      </c>
      <c r="J572" s="7">
        <f>+Tabla1[[#This Row],[PRECIO EN SOLES]]-Tabla1[[#This Row],[PC]]</f>
        <v>85.732320000000072</v>
      </c>
      <c r="K572" s="15"/>
      <c r="L572" s="15" t="str">
        <f>IF(
OR(
ISNUMBER(SEARCH("BACKPACK",B574)),
ISNUMBER(SEARCH("MOCHILA",B574)),
ISNUMBER(SEARCH("FUNDA",B574)),
ISNUMBER(SEARCH("ESTUCHE",B574)),
ISNUMBER(SEARCH("BOOK COVER",B574)),
ISNUMBER(SEARCH("KEYBOARD PARA TABLET",B574)),
ISNUMBER(SEARCH("FLIP TABLET",B574)),
ISNUMBER(SEARCH("CASE FOR TABLET",B574)),
ISNUMBER(SEARCH("CABLE",B574)),
ISNUMBER(SEARCH("ADAPTADOR",B574)),
ISNUMBER(SEARCH("HUB",B574)),
ISNUMBER(SEARCH("DOCK",B574)),
ISNUMBER(SEARCH("MOUSE PAD",B574)),
ISNUMBER(SEARCH("MOUSEPAD",B574)),
ISNUMBER(SEARCH("SOPORTE",B574)),
ISNUMBER(SEARCH("STAND",B574)),
ISNUMBER(SEARCH("TRAVEL ADAPTER",B574)),
ISNUMBER(SEARCH("RJ45",B574)),
ISNUMBER(SEARCH("USB-C",B574)),
ISNUMBER(SEARCH("USB WIFI",B574)),
ISNUMBER(SEARCH("POWERBANK",B574)),
ISNUMBER(SEARCH("CARGADOR",B574)),
ISNUMBER(SEARCH("COOLER PARA NB",B574)),
ISNUMBER(SEARCH("SOPORTE PARA NB",B574)),
ISNUMBER(SEARCH("WEBCAM",B574)),
ISNUMBER(SEARCH("WEB CAM",B574)),
ISNUMBER(SEARCH("MOUSE",B574)),
ISNUMBER(SEARCH("TECLADO",B574))
),
"COMPLEMENTO",
IF(
OR(
LEFT(A574,2)="NB",
LEFT(A574,2)="PC",
LEFT(A574,2)="WS",
LEFT(A574,2)="TB",
LEFT(A574,3)="CEL",
LEFT(A574,3)="MON",
LEFT(A574,3)="PRE",
LEFT(A574,3)="PRH",
ISNUMBER(SEARCH("NOTEBOOK",B574)),
ISNUMBER(SEARCH("LAPTOP",B574)),
ISNUMBER(SEARCH("MONITOR",B574)),
ISNUMBER(SEARCH("TABLET",B574)),
ISNUMBER(SEARCH("SMARTPH",B574)),
ISNUMBER(SEARCH("IMPRESORA",B574)),
ISNUMBER(SEARCH("MULTIFUNCIONAL",B574)),
ISNUMBER(SEARCH("AIO",B574))
),
"GANCHO",
"NORMAL"
)
)</f>
        <v>NORMAL</v>
      </c>
    </row>
    <row r="573" spans="1:12" x14ac:dyDescent="0.25">
      <c r="A573" s="3" t="s">
        <v>5366</v>
      </c>
      <c r="B573" s="3" t="s">
        <v>5367</v>
      </c>
      <c r="C573" s="1">
        <v>1</v>
      </c>
      <c r="D573" s="1">
        <v>106.1</v>
      </c>
      <c r="E573" s="1" t="s">
        <v>226</v>
      </c>
      <c r="F573" s="1" t="s">
        <v>5368</v>
      </c>
      <c r="G573" s="3" t="s">
        <v>5369</v>
      </c>
      <c r="H573" s="11">
        <f>ROUND(
IF(L571="GANCHO",
   IF(I573&lt;=50,I573*1.1+4,IF(I573&lt;=120,I573*1.1+7,IF(I573&lt;=250,I573*1.1+11,I573*1.1+19))),
IF(L571="NORMAL",
   IF(I573&lt;=30,I573*1.15+2,IF(I573&lt;=80,I573*1.15+4,IF(I573&lt;=150,I573*1.15+6,I573*1.15+8))),
IF(L571="COMPLEMENTO",
   IF(I573&lt;=25,I573*1.25+1.5,IF(I573&lt;=60,I573*1.25+3,IF(I573&lt;=120,I573*1.25+4,I573*1.25+5))),
""))),2)</f>
        <v>509.04</v>
      </c>
      <c r="I573" s="9">
        <f>($K$2+0.02)*Tabla1[[#This Row],[PRECIO $]]*1.18</f>
        <v>435.68903999999992</v>
      </c>
      <c r="J573" s="7">
        <f>+Tabla1[[#This Row],[PRECIO EN SOLES]]-Tabla1[[#This Row],[PC]]</f>
        <v>73.3509600000001</v>
      </c>
      <c r="K573" s="15"/>
      <c r="L573" s="15" t="str">
        <f>IF(
OR(
ISNUMBER(SEARCH("BACKPACK",B575)),
ISNUMBER(SEARCH("MOCHILA",B575)),
ISNUMBER(SEARCH("FUNDA",B575)),
ISNUMBER(SEARCH("ESTUCHE",B575)),
ISNUMBER(SEARCH("BOOK COVER",B575)),
ISNUMBER(SEARCH("KEYBOARD PARA TABLET",B575)),
ISNUMBER(SEARCH("FLIP TABLET",B575)),
ISNUMBER(SEARCH("CASE FOR TABLET",B575)),
ISNUMBER(SEARCH("CABLE",B575)),
ISNUMBER(SEARCH("ADAPTADOR",B575)),
ISNUMBER(SEARCH("HUB",B575)),
ISNUMBER(SEARCH("DOCK",B575)),
ISNUMBER(SEARCH("MOUSE PAD",B575)),
ISNUMBER(SEARCH("MOUSEPAD",B575)),
ISNUMBER(SEARCH("SOPORTE",B575)),
ISNUMBER(SEARCH("STAND",B575)),
ISNUMBER(SEARCH("TRAVEL ADAPTER",B575)),
ISNUMBER(SEARCH("RJ45",B575)),
ISNUMBER(SEARCH("USB-C",B575)),
ISNUMBER(SEARCH("USB WIFI",B575)),
ISNUMBER(SEARCH("POWERBANK",B575)),
ISNUMBER(SEARCH("CARGADOR",B575)),
ISNUMBER(SEARCH("COOLER PARA NB",B575)),
ISNUMBER(SEARCH("SOPORTE PARA NB",B575)),
ISNUMBER(SEARCH("WEBCAM",B575)),
ISNUMBER(SEARCH("WEB CAM",B575)),
ISNUMBER(SEARCH("MOUSE",B575)),
ISNUMBER(SEARCH("TECLADO",B575))
),
"COMPLEMENTO",
IF(
OR(
LEFT(A575,2)="NB",
LEFT(A575,2)="PC",
LEFT(A575,2)="WS",
LEFT(A575,2)="TB",
LEFT(A575,3)="CEL",
LEFT(A575,3)="MON",
LEFT(A575,3)="PRE",
LEFT(A575,3)="PRH",
ISNUMBER(SEARCH("NOTEBOOK",B575)),
ISNUMBER(SEARCH("LAPTOP",B575)),
ISNUMBER(SEARCH("MONITOR",B575)),
ISNUMBER(SEARCH("TABLET",B575)),
ISNUMBER(SEARCH("SMARTPH",B575)),
ISNUMBER(SEARCH("IMPRESORA",B575)),
ISNUMBER(SEARCH("MULTIFUNCIONAL",B575)),
ISNUMBER(SEARCH("AIO",B575))
),
"GANCHO",
"NORMAL"
)
)</f>
        <v>NORMAL</v>
      </c>
    </row>
    <row r="574" spans="1:12" x14ac:dyDescent="0.25">
      <c r="A574" s="3" t="s">
        <v>5370</v>
      </c>
      <c r="B574" s="3" t="s">
        <v>5371</v>
      </c>
      <c r="C574" s="1">
        <v>12</v>
      </c>
      <c r="D574" s="1">
        <v>101.6</v>
      </c>
      <c r="E574" s="1" t="s">
        <v>226</v>
      </c>
      <c r="F574" s="1" t="s">
        <v>5372</v>
      </c>
      <c r="G574" s="3" t="s">
        <v>5373</v>
      </c>
      <c r="H574" s="11">
        <f>ROUND(
IF(L572="GANCHO",
   IF(I574&lt;=50,I574*1.1+4,IF(I574&lt;=120,I574*1.1+7,IF(I574&lt;=250,I574*1.1+11,I574*1.1+19))),
IF(L572="NORMAL",
   IF(I574&lt;=30,I574*1.15+2,IF(I574&lt;=80,I574*1.15+4,IF(I574&lt;=150,I574*1.15+6,I574*1.15+8))),
IF(L572="COMPLEMENTO",
   IF(I574&lt;=25,I574*1.25+1.5,IF(I574&lt;=60,I574*1.25+3,IF(I574&lt;=120,I574*1.25+4,I574*1.25+5))),
""))),2)</f>
        <v>487.79</v>
      </c>
      <c r="I574" s="9">
        <f>($K$2+0.02)*Tabla1[[#This Row],[PRECIO $]]*1.18</f>
        <v>417.21023999999994</v>
      </c>
      <c r="J574" s="7">
        <f>+Tabla1[[#This Row],[PRECIO EN SOLES]]-Tabla1[[#This Row],[PC]]</f>
        <v>70.579760000000078</v>
      </c>
      <c r="K574" s="15"/>
      <c r="L574" s="15" t="str">
        <f>IF(
OR(
ISNUMBER(SEARCH("BACKPACK",B576)),
ISNUMBER(SEARCH("MOCHILA",B576)),
ISNUMBER(SEARCH("FUNDA",B576)),
ISNUMBER(SEARCH("ESTUCHE",B576)),
ISNUMBER(SEARCH("BOOK COVER",B576)),
ISNUMBER(SEARCH("KEYBOARD PARA TABLET",B576)),
ISNUMBER(SEARCH("FLIP TABLET",B576)),
ISNUMBER(SEARCH("CASE FOR TABLET",B576)),
ISNUMBER(SEARCH("CABLE",B576)),
ISNUMBER(SEARCH("ADAPTADOR",B576)),
ISNUMBER(SEARCH("HUB",B576)),
ISNUMBER(SEARCH("DOCK",B576)),
ISNUMBER(SEARCH("MOUSE PAD",B576)),
ISNUMBER(SEARCH("MOUSEPAD",B576)),
ISNUMBER(SEARCH("SOPORTE",B576)),
ISNUMBER(SEARCH("STAND",B576)),
ISNUMBER(SEARCH("TRAVEL ADAPTER",B576)),
ISNUMBER(SEARCH("RJ45",B576)),
ISNUMBER(SEARCH("USB-C",B576)),
ISNUMBER(SEARCH("USB WIFI",B576)),
ISNUMBER(SEARCH("POWERBANK",B576)),
ISNUMBER(SEARCH("CARGADOR",B576)),
ISNUMBER(SEARCH("COOLER PARA NB",B576)),
ISNUMBER(SEARCH("SOPORTE PARA NB",B576)),
ISNUMBER(SEARCH("WEBCAM",B576)),
ISNUMBER(SEARCH("WEB CAM",B576)),
ISNUMBER(SEARCH("MOUSE",B576)),
ISNUMBER(SEARCH("TECLADO",B576))
),
"COMPLEMENTO",
IF(
OR(
LEFT(A576,2)="NB",
LEFT(A576,2)="PC",
LEFT(A576,2)="WS",
LEFT(A576,2)="TB",
LEFT(A576,3)="CEL",
LEFT(A576,3)="MON",
LEFT(A576,3)="PRE",
LEFT(A576,3)="PRH",
ISNUMBER(SEARCH("NOTEBOOK",B576)),
ISNUMBER(SEARCH("LAPTOP",B576)),
ISNUMBER(SEARCH("MONITOR",B576)),
ISNUMBER(SEARCH("TABLET",B576)),
ISNUMBER(SEARCH("SMARTPH",B576)),
ISNUMBER(SEARCH("IMPRESORA",B576)),
ISNUMBER(SEARCH("MULTIFUNCIONAL",B576)),
ISNUMBER(SEARCH("AIO",B576))
),
"GANCHO",
"NORMAL"
)
)</f>
        <v>NORMAL</v>
      </c>
    </row>
    <row r="575" spans="1:12" x14ac:dyDescent="0.25">
      <c r="A575" s="3" t="s">
        <v>1319</v>
      </c>
      <c r="B575" s="3" t="s">
        <v>1320</v>
      </c>
      <c r="C575" s="1">
        <v>20</v>
      </c>
      <c r="D575" s="1">
        <v>90.5</v>
      </c>
      <c r="E575" s="1" t="s">
        <v>906</v>
      </c>
      <c r="F575" s="1" t="s">
        <v>3372</v>
      </c>
      <c r="G575" s="3" t="s">
        <v>1321</v>
      </c>
      <c r="H575" s="11">
        <f>ROUND(
IF(L573="GANCHO",
   IF(I575&lt;=50,I575*1.1+4,IF(I575&lt;=120,I575*1.1+7,IF(I575&lt;=250,I575*1.1+11,I575*1.1+19))),
IF(L573="NORMAL",
   IF(I575&lt;=30,I575*1.15+2,IF(I575&lt;=80,I575*1.15+4,IF(I575&lt;=150,I575*1.15+6,I575*1.15+8))),
IF(L573="COMPLEMENTO",
   IF(I575&lt;=25,I575*1.25+1.5,IF(I575&lt;=60,I575*1.25+3,IF(I575&lt;=120,I575*1.25+4,I575*1.25+5))),
""))),2)</f>
        <v>435.37</v>
      </c>
      <c r="I575" s="9">
        <f>($K$2+0.02)*Tabla1[[#This Row],[PRECIO $]]*1.18</f>
        <v>371.62919999999997</v>
      </c>
      <c r="J575" s="7">
        <f>+Tabla1[[#This Row],[PRECIO EN SOLES]]-Tabla1[[#This Row],[PC]]</f>
        <v>63.740800000000036</v>
      </c>
      <c r="K575" s="15"/>
      <c r="L575" s="15" t="str">
        <f>IF(
OR(
ISNUMBER(SEARCH("BACKPACK",B577)),
ISNUMBER(SEARCH("MOCHILA",B577)),
ISNUMBER(SEARCH("FUNDA",B577)),
ISNUMBER(SEARCH("ESTUCHE",B577)),
ISNUMBER(SEARCH("BOOK COVER",B577)),
ISNUMBER(SEARCH("KEYBOARD PARA TABLET",B577)),
ISNUMBER(SEARCH("FLIP TABLET",B577)),
ISNUMBER(SEARCH("CASE FOR TABLET",B577)),
ISNUMBER(SEARCH("CABLE",B577)),
ISNUMBER(SEARCH("ADAPTADOR",B577)),
ISNUMBER(SEARCH("HUB",B577)),
ISNUMBER(SEARCH("DOCK",B577)),
ISNUMBER(SEARCH("MOUSE PAD",B577)),
ISNUMBER(SEARCH("MOUSEPAD",B577)),
ISNUMBER(SEARCH("SOPORTE",B577)),
ISNUMBER(SEARCH("STAND",B577)),
ISNUMBER(SEARCH("TRAVEL ADAPTER",B577)),
ISNUMBER(SEARCH("RJ45",B577)),
ISNUMBER(SEARCH("USB-C",B577)),
ISNUMBER(SEARCH("USB WIFI",B577)),
ISNUMBER(SEARCH("POWERBANK",B577)),
ISNUMBER(SEARCH("CARGADOR",B577)),
ISNUMBER(SEARCH("COOLER PARA NB",B577)),
ISNUMBER(SEARCH("SOPORTE PARA NB",B577)),
ISNUMBER(SEARCH("WEBCAM",B577)),
ISNUMBER(SEARCH("WEB CAM",B577)),
ISNUMBER(SEARCH("MOUSE",B577)),
ISNUMBER(SEARCH("TECLADO",B577))
),
"COMPLEMENTO",
IF(
OR(
LEFT(A577,2)="NB",
LEFT(A577,2)="PC",
LEFT(A577,2)="WS",
LEFT(A577,2)="TB",
LEFT(A577,3)="CEL",
LEFT(A577,3)="MON",
LEFT(A577,3)="PRE",
LEFT(A577,3)="PRH",
ISNUMBER(SEARCH("NOTEBOOK",B577)),
ISNUMBER(SEARCH("LAPTOP",B577)),
ISNUMBER(SEARCH("MONITOR",B577)),
ISNUMBER(SEARCH("TABLET",B577)),
ISNUMBER(SEARCH("SMARTPH",B577)),
ISNUMBER(SEARCH("IMPRESORA",B577)),
ISNUMBER(SEARCH("MULTIFUNCIONAL",B577)),
ISNUMBER(SEARCH("AIO",B577))
),
"GANCHO",
"NORMAL"
)
)</f>
        <v>NORMAL</v>
      </c>
    </row>
    <row r="576" spans="1:12" x14ac:dyDescent="0.25">
      <c r="A576" s="3" t="s">
        <v>1322</v>
      </c>
      <c r="B576" s="3" t="s">
        <v>1323</v>
      </c>
      <c r="C576" s="1">
        <v>20</v>
      </c>
      <c r="D576" s="1">
        <v>111.6</v>
      </c>
      <c r="E576" s="1" t="s">
        <v>906</v>
      </c>
      <c r="F576" s="1" t="s">
        <v>3373</v>
      </c>
      <c r="G576" s="3" t="s">
        <v>1324</v>
      </c>
      <c r="H576" s="11">
        <f>ROUND(
IF(L574="GANCHO",
   IF(I576&lt;=50,I576*1.1+4,IF(I576&lt;=120,I576*1.1+7,IF(I576&lt;=250,I576*1.1+11,I576*1.1+19))),
IF(L574="NORMAL",
   IF(I576&lt;=30,I576*1.15+2,IF(I576&lt;=80,I576*1.15+4,IF(I576&lt;=150,I576*1.15+6,I576*1.15+8))),
IF(L574="COMPLEMENTO",
   IF(I576&lt;=25,I576*1.25+1.5,IF(I576&lt;=60,I576*1.25+3,IF(I576&lt;=120,I576*1.25+4,I576*1.25+5))),
""))),2)</f>
        <v>535.02</v>
      </c>
      <c r="I576" s="9">
        <f>($K$2+0.02)*Tabla1[[#This Row],[PRECIO $]]*1.18</f>
        <v>458.27423999999996</v>
      </c>
      <c r="J576" s="7">
        <f>+Tabla1[[#This Row],[PRECIO EN SOLES]]-Tabla1[[#This Row],[PC]]</f>
        <v>76.745760000000018</v>
      </c>
      <c r="K576" s="15"/>
      <c r="L576" s="15" t="str">
        <f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7" spans="1:12" x14ac:dyDescent="0.25">
      <c r="A577" s="3" t="s">
        <v>5985</v>
      </c>
      <c r="B577" s="3" t="s">
        <v>5986</v>
      </c>
      <c r="C577" s="1">
        <v>20</v>
      </c>
      <c r="D577" s="1">
        <v>115</v>
      </c>
      <c r="E577" s="1" t="s">
        <v>906</v>
      </c>
      <c r="F577" s="1" t="s">
        <v>5987</v>
      </c>
      <c r="G577" s="3" t="s">
        <v>5988</v>
      </c>
      <c r="H577" s="11">
        <f>ROUND(
IF(L575="GANCHO",
   IF(I577&lt;=50,I577*1.1+4,IF(I577&lt;=120,I577*1.1+7,IF(I577&lt;=250,I577*1.1+11,I577*1.1+19))),
IF(L575="NORMAL",
   IF(I577&lt;=30,I577*1.15+2,IF(I577&lt;=80,I577*1.15+4,IF(I577&lt;=150,I577*1.15+6,I577*1.15+8))),
IF(L575="COMPLEMENTO",
   IF(I577&lt;=25,I577*1.25+1.5,IF(I577&lt;=60,I577*1.25+3,IF(I577&lt;=120,I577*1.25+4,I577*1.25+5))),
""))),2)</f>
        <v>551.07000000000005</v>
      </c>
      <c r="I577" s="9">
        <f>($K$2+0.02)*Tabla1[[#This Row],[PRECIO $]]*1.18</f>
        <v>472.23599999999999</v>
      </c>
      <c r="J577" s="7">
        <f>+Tabla1[[#This Row],[PRECIO EN SOLES]]-Tabla1[[#This Row],[PC]]</f>
        <v>78.83400000000006</v>
      </c>
      <c r="K577" s="15"/>
      <c r="L577" s="15" t="str">
        <f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78" spans="1:12" x14ac:dyDescent="0.25">
      <c r="A578" s="3" t="s">
        <v>5374</v>
      </c>
      <c r="B578" s="3" t="s">
        <v>5375</v>
      </c>
      <c r="C578" s="1">
        <v>20</v>
      </c>
      <c r="D578" s="1">
        <v>67.849999999999994</v>
      </c>
      <c r="E578" s="1" t="s">
        <v>115</v>
      </c>
      <c r="F578" s="1" t="s">
        <v>5376</v>
      </c>
      <c r="G578" s="3" t="s">
        <v>5377</v>
      </c>
      <c r="H578" s="11">
        <f>ROUND(
IF(L576="GANCHO",
   IF(I578&lt;=50,I578*1.1+4,IF(I578&lt;=120,I578*1.1+7,IF(I578&lt;=250,I578*1.1+11,I578*1.1+19))),
IF(L576="NORMAL",
   IF(I578&lt;=30,I578*1.15+2,IF(I578&lt;=80,I578*1.15+4,IF(I578&lt;=150,I578*1.15+6,I578*1.15+8))),
IF(L576="COMPLEMENTO",
   IF(I578&lt;=25,I578*1.25+1.5,IF(I578&lt;=60,I578*1.25+3,IF(I578&lt;=120,I578*1.25+4,I578*1.25+5))),
""))),2)</f>
        <v>328.41</v>
      </c>
      <c r="I578" s="9">
        <f>($K$2+0.02)*Tabla1[[#This Row],[PRECIO $]]*1.18</f>
        <v>278.61923999999993</v>
      </c>
      <c r="J578" s="7">
        <f>+Tabla1[[#This Row],[PRECIO EN SOLES]]-Tabla1[[#This Row],[PC]]</f>
        <v>49.790760000000091</v>
      </c>
      <c r="K578" s="15"/>
      <c r="L578" s="15" t="str">
        <f>IF(
OR(
ISNUMBER(SEARCH("BACKPACK",B580)),
ISNUMBER(SEARCH("MOCHILA",B580)),
ISNUMBER(SEARCH("FUNDA",B580)),
ISNUMBER(SEARCH("ESTUCHE",B580)),
ISNUMBER(SEARCH("BOOK COVER",B580)),
ISNUMBER(SEARCH("KEYBOARD PARA TABLET",B580)),
ISNUMBER(SEARCH("FLIP TABLET",B580)),
ISNUMBER(SEARCH("CASE FOR TABLET",B580)),
ISNUMBER(SEARCH("CABLE",B580)),
ISNUMBER(SEARCH("ADAPTADOR",B580)),
ISNUMBER(SEARCH("HUB",B580)),
ISNUMBER(SEARCH("DOCK",B580)),
ISNUMBER(SEARCH("MOUSE PAD",B580)),
ISNUMBER(SEARCH("MOUSEPAD",B580)),
ISNUMBER(SEARCH("SOPORTE",B580)),
ISNUMBER(SEARCH("STAND",B580)),
ISNUMBER(SEARCH("TRAVEL ADAPTER",B580)),
ISNUMBER(SEARCH("RJ45",B580)),
ISNUMBER(SEARCH("USB-C",B580)),
ISNUMBER(SEARCH("USB WIFI",B580)),
ISNUMBER(SEARCH("POWERBANK",B580)),
ISNUMBER(SEARCH("CARGADOR",B580)),
ISNUMBER(SEARCH("COOLER PARA NB",B580)),
ISNUMBER(SEARCH("SOPORTE PARA NB",B580)),
ISNUMBER(SEARCH("WEBCAM",B580)),
ISNUMBER(SEARCH("WEB CAM",B580)),
ISNUMBER(SEARCH("MOUSE",B580)),
ISNUMBER(SEARCH("TECLADO",B580))
),
"COMPLEMENTO",
IF(
OR(
LEFT(A580,2)="NB",
LEFT(A580,2)="PC",
LEFT(A580,2)="WS",
LEFT(A580,2)="TB",
LEFT(A580,3)="CEL",
LEFT(A580,3)="MON",
LEFT(A580,3)="PRE",
LEFT(A580,3)="PRH",
ISNUMBER(SEARCH("NOTEBOOK",B580)),
ISNUMBER(SEARCH("LAPTOP",B580)),
ISNUMBER(SEARCH("MONITOR",B580)),
ISNUMBER(SEARCH("TABLET",B580)),
ISNUMBER(SEARCH("SMARTPH",B580)),
ISNUMBER(SEARCH("IMPRESORA",B580)),
ISNUMBER(SEARCH("MULTIFUNCIONAL",B580)),
ISNUMBER(SEARCH("AIO",B580))
),
"GANCHO",
"NORMAL"
)
)</f>
        <v>NORMAL</v>
      </c>
    </row>
    <row r="579" spans="1:12" x14ac:dyDescent="0.25">
      <c r="A579" s="3" t="s">
        <v>1325</v>
      </c>
      <c r="B579" s="3" t="s">
        <v>1326</v>
      </c>
      <c r="C579" s="1">
        <v>20</v>
      </c>
      <c r="D579" s="1">
        <v>110</v>
      </c>
      <c r="E579" s="1" t="s">
        <v>115</v>
      </c>
      <c r="F579" s="1" t="s">
        <v>3374</v>
      </c>
      <c r="G579" s="3" t="s">
        <v>1327</v>
      </c>
      <c r="H579" s="11">
        <f>ROUND(
IF(L577="GANCHO",
   IF(I579&lt;=50,I579*1.1+4,IF(I579&lt;=120,I579*1.1+7,IF(I579&lt;=250,I579*1.1+11,I579*1.1+19))),
IF(L577="NORMAL",
   IF(I579&lt;=30,I579*1.15+2,IF(I579&lt;=80,I579*1.15+4,IF(I579&lt;=150,I579*1.15+6,I579*1.15+8))),
IF(L577="COMPLEMENTO",
   IF(I579&lt;=25,I579*1.25+1.5,IF(I579&lt;=60,I579*1.25+3,IF(I579&lt;=120,I579*1.25+4,I579*1.25+5))),
""))),2)</f>
        <v>527.46</v>
      </c>
      <c r="I579" s="9">
        <f>($K$2+0.02)*Tabla1[[#This Row],[PRECIO $]]*1.18</f>
        <v>451.70400000000001</v>
      </c>
      <c r="J579" s="7">
        <f>+Tabla1[[#This Row],[PRECIO EN SOLES]]-Tabla1[[#This Row],[PC]]</f>
        <v>75.756000000000029</v>
      </c>
      <c r="K579" s="15"/>
      <c r="L579" s="15" t="str">
        <f>IF(
OR(
ISNUMBER(SEARCH("BACKPACK",B581)),
ISNUMBER(SEARCH("MOCHILA",B581)),
ISNUMBER(SEARCH("FUNDA",B581)),
ISNUMBER(SEARCH("ESTUCHE",B581)),
ISNUMBER(SEARCH("BOOK COVER",B581)),
ISNUMBER(SEARCH("KEYBOARD PARA TABLET",B581)),
ISNUMBER(SEARCH("FLIP TABLET",B581)),
ISNUMBER(SEARCH("CASE FOR TABLET",B581)),
ISNUMBER(SEARCH("CABLE",B581)),
ISNUMBER(SEARCH("ADAPTADOR",B581)),
ISNUMBER(SEARCH("HUB",B581)),
ISNUMBER(SEARCH("DOCK",B581)),
ISNUMBER(SEARCH("MOUSE PAD",B581)),
ISNUMBER(SEARCH("MOUSEPAD",B581)),
ISNUMBER(SEARCH("SOPORTE",B581)),
ISNUMBER(SEARCH("STAND",B581)),
ISNUMBER(SEARCH("TRAVEL ADAPTER",B581)),
ISNUMBER(SEARCH("RJ45",B581)),
ISNUMBER(SEARCH("USB-C",B581)),
ISNUMBER(SEARCH("USB WIFI",B581)),
ISNUMBER(SEARCH("POWERBANK",B581)),
ISNUMBER(SEARCH("CARGADOR",B581)),
ISNUMBER(SEARCH("COOLER PARA NB",B581)),
ISNUMBER(SEARCH("SOPORTE PARA NB",B581)),
ISNUMBER(SEARCH("WEBCAM",B581)),
ISNUMBER(SEARCH("WEB CAM",B581)),
ISNUMBER(SEARCH("MOUSE",B581)),
ISNUMBER(SEARCH("TECLADO",B581))
),
"COMPLEMENTO",
IF(
OR(
LEFT(A581,2)="NB",
LEFT(A581,2)="PC",
LEFT(A581,2)="WS",
LEFT(A581,2)="TB",
LEFT(A581,3)="CEL",
LEFT(A581,3)="MON",
LEFT(A581,3)="PRE",
LEFT(A581,3)="PRH",
ISNUMBER(SEARCH("NOTEBOOK",B581)),
ISNUMBER(SEARCH("LAPTOP",B581)),
ISNUMBER(SEARCH("MONITOR",B581)),
ISNUMBER(SEARCH("TABLET",B581)),
ISNUMBER(SEARCH("SMARTPH",B581)),
ISNUMBER(SEARCH("IMPRESORA",B581)),
ISNUMBER(SEARCH("MULTIFUNCIONAL",B581)),
ISNUMBER(SEARCH("AIO",B581))
),
"GANCHO",
"NORMAL"
)
)</f>
        <v>NORMAL</v>
      </c>
    </row>
    <row r="580" spans="1:12" x14ac:dyDescent="0.25">
      <c r="A580" s="3" t="s">
        <v>1328</v>
      </c>
      <c r="B580" s="3" t="s">
        <v>1329</v>
      </c>
      <c r="C580" s="1">
        <v>20</v>
      </c>
      <c r="D580" s="1">
        <v>76.400000000000006</v>
      </c>
      <c r="E580" s="1" t="s">
        <v>115</v>
      </c>
      <c r="F580" s="1" t="s">
        <v>3375</v>
      </c>
      <c r="G580" s="3" t="s">
        <v>1330</v>
      </c>
      <c r="H580" s="11">
        <f>ROUND(
IF(L578="GANCHO",
   IF(I580&lt;=50,I580*1.1+4,IF(I580&lt;=120,I580*1.1+7,IF(I580&lt;=250,I580*1.1+11,I580*1.1+19))),
IF(L578="NORMAL",
   IF(I580&lt;=30,I580*1.15+2,IF(I580&lt;=80,I580*1.15+4,IF(I580&lt;=150,I580*1.15+6,I580*1.15+8))),
IF(L578="COMPLEMENTO",
   IF(I580&lt;=25,I580*1.25+1.5,IF(I580&lt;=60,I580*1.25+3,IF(I580&lt;=120,I580*1.25+4,I580*1.25+5))),
""))),2)</f>
        <v>368.79</v>
      </c>
      <c r="I580" s="9">
        <f>($K$2+0.02)*Tabla1[[#This Row],[PRECIO $]]*1.18</f>
        <v>313.72895999999997</v>
      </c>
      <c r="J580" s="7">
        <f>+Tabla1[[#This Row],[PRECIO EN SOLES]]-Tabla1[[#This Row],[PC]]</f>
        <v>55.061040000000048</v>
      </c>
      <c r="K580" s="15"/>
      <c r="L580" s="15" t="str">
        <f>IF(
OR(
ISNUMBER(SEARCH("BACKPACK",B582)),
ISNUMBER(SEARCH("MOCHILA",B582)),
ISNUMBER(SEARCH("FUNDA",B582)),
ISNUMBER(SEARCH("ESTUCHE",B582)),
ISNUMBER(SEARCH("BOOK COVER",B582)),
ISNUMBER(SEARCH("KEYBOARD PARA TABLET",B582)),
ISNUMBER(SEARCH("FLIP TABLET",B582)),
ISNUMBER(SEARCH("CASE FOR TABLET",B582)),
ISNUMBER(SEARCH("CABLE",B582)),
ISNUMBER(SEARCH("ADAPTADOR",B582)),
ISNUMBER(SEARCH("HUB",B582)),
ISNUMBER(SEARCH("DOCK",B582)),
ISNUMBER(SEARCH("MOUSE PAD",B582)),
ISNUMBER(SEARCH("MOUSEPAD",B582)),
ISNUMBER(SEARCH("SOPORTE",B582)),
ISNUMBER(SEARCH("STAND",B582)),
ISNUMBER(SEARCH("TRAVEL ADAPTER",B582)),
ISNUMBER(SEARCH("RJ45",B582)),
ISNUMBER(SEARCH("USB-C",B582)),
ISNUMBER(SEARCH("USB WIFI",B582)),
ISNUMBER(SEARCH("POWERBANK",B582)),
ISNUMBER(SEARCH("CARGADOR",B582)),
ISNUMBER(SEARCH("COOLER PARA NB",B582)),
ISNUMBER(SEARCH("SOPORTE PARA NB",B582)),
ISNUMBER(SEARCH("WEBCAM",B582)),
ISNUMBER(SEARCH("WEB CAM",B582)),
ISNUMBER(SEARCH("MOUSE",B582)),
ISNUMBER(SEARCH("TECLADO",B582))
),
"COMPLEMENTO",
IF(
OR(
LEFT(A582,2)="NB",
LEFT(A582,2)="PC",
LEFT(A582,2)="WS",
LEFT(A582,2)="TB",
LEFT(A582,3)="CEL",
LEFT(A582,3)="MON",
LEFT(A582,3)="PRE",
LEFT(A582,3)="PRH",
ISNUMBER(SEARCH("NOTEBOOK",B582)),
ISNUMBER(SEARCH("LAPTOP",B582)),
ISNUMBER(SEARCH("MONITOR",B582)),
ISNUMBER(SEARCH("TABLET",B582)),
ISNUMBER(SEARCH("SMARTPH",B582)),
ISNUMBER(SEARCH("IMPRESORA",B582)),
ISNUMBER(SEARCH("MULTIFUNCIONAL",B582)),
ISNUMBER(SEARCH("AIO",B582))
),
"GANCHO",
"NORMAL"
)
)</f>
        <v>NORMAL</v>
      </c>
    </row>
    <row r="581" spans="1:12" x14ac:dyDescent="0.25">
      <c r="A581" s="3" t="s">
        <v>1331</v>
      </c>
      <c r="B581" s="3" t="s">
        <v>1332</v>
      </c>
      <c r="C581" s="1">
        <v>9</v>
      </c>
      <c r="D581" s="1">
        <v>91.5</v>
      </c>
      <c r="E581" s="1" t="s">
        <v>226</v>
      </c>
      <c r="F581" s="1" t="s">
        <v>3376</v>
      </c>
      <c r="G581" s="3" t="s">
        <v>1333</v>
      </c>
      <c r="H581" s="11">
        <f>ROUND(
IF(L579="GANCHO",
   IF(I581&lt;=50,I581*1.1+4,IF(I581&lt;=120,I581*1.1+7,IF(I581&lt;=250,I581*1.1+11,I581*1.1+19))),
IF(L579="NORMAL",
   IF(I581&lt;=30,I581*1.15+2,IF(I581&lt;=80,I581*1.15+4,IF(I581&lt;=150,I581*1.15+6,I581*1.15+8))),
IF(L579="COMPLEMENTO",
   IF(I581&lt;=25,I581*1.25+1.5,IF(I581&lt;=60,I581*1.25+3,IF(I581&lt;=120,I581*1.25+4,I581*1.25+5))),
""))),2)</f>
        <v>440.1</v>
      </c>
      <c r="I581" s="9">
        <f>($K$2+0.02)*Tabla1[[#This Row],[PRECIO $]]*1.18</f>
        <v>375.73559999999998</v>
      </c>
      <c r="J581" s="7">
        <f>+Tabla1[[#This Row],[PRECIO EN SOLES]]-Tabla1[[#This Row],[PC]]</f>
        <v>64.364400000000046</v>
      </c>
      <c r="K581" s="15"/>
      <c r="L581" s="15" t="str">
        <f>IF(
OR(
ISNUMBER(SEARCH("BACKPACK",B583)),
ISNUMBER(SEARCH("MOCHILA",B583)),
ISNUMBER(SEARCH("FUNDA",B583)),
ISNUMBER(SEARCH("ESTUCHE",B583)),
ISNUMBER(SEARCH("BOOK COVER",B583)),
ISNUMBER(SEARCH("KEYBOARD PARA TABLET",B583)),
ISNUMBER(SEARCH("FLIP TABLET",B583)),
ISNUMBER(SEARCH("CASE FOR TABLET",B583)),
ISNUMBER(SEARCH("CABLE",B583)),
ISNUMBER(SEARCH("ADAPTADOR",B583)),
ISNUMBER(SEARCH("HUB",B583)),
ISNUMBER(SEARCH("DOCK",B583)),
ISNUMBER(SEARCH("MOUSE PAD",B583)),
ISNUMBER(SEARCH("MOUSEPAD",B583)),
ISNUMBER(SEARCH("SOPORTE",B583)),
ISNUMBER(SEARCH("STAND",B583)),
ISNUMBER(SEARCH("TRAVEL ADAPTER",B583)),
ISNUMBER(SEARCH("RJ45",B583)),
ISNUMBER(SEARCH("USB-C",B583)),
ISNUMBER(SEARCH("USB WIFI",B583)),
ISNUMBER(SEARCH("POWERBANK",B583)),
ISNUMBER(SEARCH("CARGADOR",B583)),
ISNUMBER(SEARCH("COOLER PARA NB",B583)),
ISNUMBER(SEARCH("SOPORTE PARA NB",B583)),
ISNUMBER(SEARCH("WEBCAM",B583)),
ISNUMBER(SEARCH("WEB CAM",B583)),
ISNUMBER(SEARCH("MOUSE",B583)),
ISNUMBER(SEARCH("TECLADO",B583))
),
"COMPLEMENTO",
IF(
OR(
LEFT(A583,2)="NB",
LEFT(A583,2)="PC",
LEFT(A583,2)="WS",
LEFT(A583,2)="TB",
LEFT(A583,3)="CEL",
LEFT(A583,3)="MON",
LEFT(A583,3)="PRE",
LEFT(A583,3)="PRH",
ISNUMBER(SEARCH("NOTEBOOK",B583)),
ISNUMBER(SEARCH("LAPTOP",B583)),
ISNUMBER(SEARCH("MONITOR",B583)),
ISNUMBER(SEARCH("TABLET",B583)),
ISNUMBER(SEARCH("SMARTPH",B583)),
ISNUMBER(SEARCH("IMPRESORA",B583)),
ISNUMBER(SEARCH("MULTIFUNCIONAL",B583)),
ISNUMBER(SEARCH("AIO",B583))
),
"GANCHO",
"NORMAL"
)
)</f>
        <v>NORMAL</v>
      </c>
    </row>
    <row r="582" spans="1:12" x14ac:dyDescent="0.25">
      <c r="A582" s="3" t="s">
        <v>4584</v>
      </c>
      <c r="B582" s="3" t="s">
        <v>4585</v>
      </c>
      <c r="C582" s="1">
        <v>20</v>
      </c>
      <c r="D582" s="1">
        <v>96.4</v>
      </c>
      <c r="E582" s="1" t="s">
        <v>226</v>
      </c>
      <c r="F582" s="1" t="s">
        <v>4586</v>
      </c>
      <c r="G582" s="3" t="s">
        <v>4587</v>
      </c>
      <c r="H582" s="11">
        <f>ROUND(
IF(L580="GANCHO",
   IF(I582&lt;=50,I582*1.1+4,IF(I582&lt;=120,I582*1.1+7,IF(I582&lt;=250,I582*1.1+11,I582*1.1+19))),
IF(L580="NORMAL",
   IF(I582&lt;=30,I582*1.15+2,IF(I582&lt;=80,I582*1.15+4,IF(I582&lt;=150,I582*1.15+6,I582*1.15+8))),
IF(L580="COMPLEMENTO",
   IF(I582&lt;=25,I582*1.25+1.5,IF(I582&lt;=60,I582*1.25+3,IF(I582&lt;=120,I582*1.25+4,I582*1.25+5))),
""))),2)</f>
        <v>463.24</v>
      </c>
      <c r="I582" s="9">
        <f>($K$2+0.02)*Tabla1[[#This Row],[PRECIO $]]*1.18</f>
        <v>395.85696000000002</v>
      </c>
      <c r="J582" s="7">
        <f>+Tabla1[[#This Row],[PRECIO EN SOLES]]-Tabla1[[#This Row],[PC]]</f>
        <v>67.383039999999994</v>
      </c>
      <c r="K582" s="15"/>
      <c r="L582" s="15" t="str">
        <f>IF(
OR(
ISNUMBER(SEARCH("BACKPACK",B584)),
ISNUMBER(SEARCH("MOCHILA",B584)),
ISNUMBER(SEARCH("FUNDA",B584)),
ISNUMBER(SEARCH("ESTUCHE",B584)),
ISNUMBER(SEARCH("BOOK COVER",B584)),
ISNUMBER(SEARCH("KEYBOARD PARA TABLET",B584)),
ISNUMBER(SEARCH("FLIP TABLET",B584)),
ISNUMBER(SEARCH("CASE FOR TABLET",B584)),
ISNUMBER(SEARCH("CABLE",B584)),
ISNUMBER(SEARCH("ADAPTADOR",B584)),
ISNUMBER(SEARCH("HUB",B584)),
ISNUMBER(SEARCH("DOCK",B584)),
ISNUMBER(SEARCH("MOUSE PAD",B584)),
ISNUMBER(SEARCH("MOUSEPAD",B584)),
ISNUMBER(SEARCH("SOPORTE",B584)),
ISNUMBER(SEARCH("STAND",B584)),
ISNUMBER(SEARCH("TRAVEL ADAPTER",B584)),
ISNUMBER(SEARCH("RJ45",B584)),
ISNUMBER(SEARCH("USB-C",B584)),
ISNUMBER(SEARCH("USB WIFI",B584)),
ISNUMBER(SEARCH("POWERBANK",B584)),
ISNUMBER(SEARCH("CARGADOR",B584)),
ISNUMBER(SEARCH("COOLER PARA NB",B584)),
ISNUMBER(SEARCH("SOPORTE PARA NB",B584)),
ISNUMBER(SEARCH("WEBCAM",B584)),
ISNUMBER(SEARCH("WEB CAM",B584)),
ISNUMBER(SEARCH("MOUSE",B584)),
ISNUMBER(SEARCH("TECLADO",B584))
),
"COMPLEMENTO",
IF(
OR(
LEFT(A584,2)="NB",
LEFT(A584,2)="PC",
LEFT(A584,2)="WS",
LEFT(A584,2)="TB",
LEFT(A584,3)="CEL",
LEFT(A584,3)="MON",
LEFT(A584,3)="PRE",
LEFT(A584,3)="PRH",
ISNUMBER(SEARCH("NOTEBOOK",B584)),
ISNUMBER(SEARCH("LAPTOP",B584)),
ISNUMBER(SEARCH("MONITOR",B584)),
ISNUMBER(SEARCH("TABLET",B584)),
ISNUMBER(SEARCH("SMARTPH",B584)),
ISNUMBER(SEARCH("IMPRESORA",B584)),
ISNUMBER(SEARCH("MULTIFUNCIONAL",B584)),
ISNUMBER(SEARCH("AIO",B584))
),
"GANCHO",
"NORMAL"
)
)</f>
        <v>NORMAL</v>
      </c>
    </row>
    <row r="583" spans="1:12" x14ac:dyDescent="0.25">
      <c r="A583" s="3" t="s">
        <v>4588</v>
      </c>
      <c r="B583" s="3" t="s">
        <v>4589</v>
      </c>
      <c r="C583" s="1">
        <v>20</v>
      </c>
      <c r="D583" s="1">
        <v>109.2</v>
      </c>
      <c r="E583" s="1" t="s">
        <v>226</v>
      </c>
      <c r="F583" s="1" t="s">
        <v>4590</v>
      </c>
      <c r="G583" s="3" t="s">
        <v>4591</v>
      </c>
      <c r="H583" s="11">
        <f>ROUND(
IF(L581="GANCHO",
   IF(I583&lt;=50,I583*1.1+4,IF(I583&lt;=120,I583*1.1+7,IF(I583&lt;=250,I583*1.1+11,I583*1.1+19))),
IF(L581="NORMAL",
   IF(I583&lt;=30,I583*1.15+2,IF(I583&lt;=80,I583*1.15+4,IF(I583&lt;=150,I583*1.15+6,I583*1.15+8))),
IF(L581="COMPLEMENTO",
   IF(I583&lt;=25,I583*1.25+1.5,IF(I583&lt;=60,I583*1.25+3,IF(I583&lt;=120,I583*1.25+4,I583*1.25+5))),
""))),2)</f>
        <v>523.67999999999995</v>
      </c>
      <c r="I583" s="9">
        <f>($K$2+0.02)*Tabla1[[#This Row],[PRECIO $]]*1.18</f>
        <v>448.41888</v>
      </c>
      <c r="J583" s="7">
        <f>+Tabla1[[#This Row],[PRECIO EN SOLES]]-Tabla1[[#This Row],[PC]]</f>
        <v>75.261119999999949</v>
      </c>
      <c r="K583" s="15"/>
      <c r="L583" s="15" t="str">
        <f>IF(
OR(
ISNUMBER(SEARCH("BACKPACK",B585)),
ISNUMBER(SEARCH("MOCHILA",B585)),
ISNUMBER(SEARCH("FUNDA",B585)),
ISNUMBER(SEARCH("ESTUCHE",B585)),
ISNUMBER(SEARCH("BOOK COVER",B585)),
ISNUMBER(SEARCH("KEYBOARD PARA TABLET",B585)),
ISNUMBER(SEARCH("FLIP TABLET",B585)),
ISNUMBER(SEARCH("CASE FOR TABLET",B585)),
ISNUMBER(SEARCH("CABLE",B585)),
ISNUMBER(SEARCH("ADAPTADOR",B585)),
ISNUMBER(SEARCH("HUB",B585)),
ISNUMBER(SEARCH("DOCK",B585)),
ISNUMBER(SEARCH("MOUSE PAD",B585)),
ISNUMBER(SEARCH("MOUSEPAD",B585)),
ISNUMBER(SEARCH("SOPORTE",B585)),
ISNUMBER(SEARCH("STAND",B585)),
ISNUMBER(SEARCH("TRAVEL ADAPTER",B585)),
ISNUMBER(SEARCH("RJ45",B585)),
ISNUMBER(SEARCH("USB-C",B585)),
ISNUMBER(SEARCH("USB WIFI",B585)),
ISNUMBER(SEARCH("POWERBANK",B585)),
ISNUMBER(SEARCH("CARGADOR",B585)),
ISNUMBER(SEARCH("COOLER PARA NB",B585)),
ISNUMBER(SEARCH("SOPORTE PARA NB",B585)),
ISNUMBER(SEARCH("WEBCAM",B585)),
ISNUMBER(SEARCH("WEB CAM",B585)),
ISNUMBER(SEARCH("MOUSE",B585)),
ISNUMBER(SEARCH("TECLADO",B585))
),
"COMPLEMENTO",
IF(
OR(
LEFT(A585,2)="NB",
LEFT(A585,2)="PC",
LEFT(A585,2)="WS",
LEFT(A585,2)="TB",
LEFT(A585,3)="CEL",
LEFT(A585,3)="MON",
LEFT(A585,3)="PRE",
LEFT(A585,3)="PRH",
ISNUMBER(SEARCH("NOTEBOOK",B585)),
ISNUMBER(SEARCH("LAPTOP",B585)),
ISNUMBER(SEARCH("MONITOR",B585)),
ISNUMBER(SEARCH("TABLET",B585)),
ISNUMBER(SEARCH("SMARTPH",B585)),
ISNUMBER(SEARCH("IMPRESORA",B585)),
ISNUMBER(SEARCH("MULTIFUNCIONAL",B585)),
ISNUMBER(SEARCH("AIO",B585))
),
"GANCHO",
"NORMAL"
)
)</f>
        <v>NORMAL</v>
      </c>
    </row>
    <row r="584" spans="1:12" x14ac:dyDescent="0.25">
      <c r="A584" s="3" t="s">
        <v>4592</v>
      </c>
      <c r="B584" s="3" t="s">
        <v>4593</v>
      </c>
      <c r="C584" s="1">
        <v>18</v>
      </c>
      <c r="D584" s="1">
        <v>104.6</v>
      </c>
      <c r="E584" s="1" t="s">
        <v>226</v>
      </c>
      <c r="F584" s="1" t="s">
        <v>4594</v>
      </c>
      <c r="G584" s="3" t="s">
        <v>4595</v>
      </c>
      <c r="H584" s="11">
        <f>ROUND(
IF(L582="GANCHO",
   IF(I584&lt;=50,I584*1.1+4,IF(I584&lt;=120,I584*1.1+7,IF(I584&lt;=250,I584*1.1+11,I584*1.1+19))),
IF(L582="NORMAL",
   IF(I584&lt;=30,I584*1.15+2,IF(I584&lt;=80,I584*1.15+4,IF(I584&lt;=150,I584*1.15+6,I584*1.15+8))),
IF(L582="COMPLEMENTO",
   IF(I584&lt;=25,I584*1.25+1.5,IF(I584&lt;=60,I584*1.25+3,IF(I584&lt;=120,I584*1.25+4,I584*1.25+5))),
""))),2)</f>
        <v>501.96</v>
      </c>
      <c r="I584" s="9">
        <f>($K$2+0.02)*Tabla1[[#This Row],[PRECIO $]]*1.18</f>
        <v>429.52943999999997</v>
      </c>
      <c r="J584" s="7">
        <f>+Tabla1[[#This Row],[PRECIO EN SOLES]]-Tabla1[[#This Row],[PC]]</f>
        <v>72.430560000000014</v>
      </c>
      <c r="K584" s="15"/>
      <c r="L584" s="15" t="str">
        <f>IF(
OR(
ISNUMBER(SEARCH("BACKPACK",B586)),
ISNUMBER(SEARCH("MOCHILA",B586)),
ISNUMBER(SEARCH("FUNDA",B586)),
ISNUMBER(SEARCH("ESTUCHE",B586)),
ISNUMBER(SEARCH("BOOK COVER",B586)),
ISNUMBER(SEARCH("KEYBOARD PARA TABLET",B586)),
ISNUMBER(SEARCH("FLIP TABLET",B586)),
ISNUMBER(SEARCH("CASE FOR TABLET",B586)),
ISNUMBER(SEARCH("CABLE",B586)),
ISNUMBER(SEARCH("ADAPTADOR",B586)),
ISNUMBER(SEARCH("HUB",B586)),
ISNUMBER(SEARCH("DOCK",B586)),
ISNUMBER(SEARCH("MOUSE PAD",B586)),
ISNUMBER(SEARCH("MOUSEPAD",B586)),
ISNUMBER(SEARCH("SOPORTE",B586)),
ISNUMBER(SEARCH("STAND",B586)),
ISNUMBER(SEARCH("TRAVEL ADAPTER",B586)),
ISNUMBER(SEARCH("RJ45",B586)),
ISNUMBER(SEARCH("USB-C",B586)),
ISNUMBER(SEARCH("USB WIFI",B586)),
ISNUMBER(SEARCH("POWERBANK",B586)),
ISNUMBER(SEARCH("CARGADOR",B586)),
ISNUMBER(SEARCH("COOLER PARA NB",B586)),
ISNUMBER(SEARCH("SOPORTE PARA NB",B586)),
ISNUMBER(SEARCH("WEBCAM",B586)),
ISNUMBER(SEARCH("WEB CAM",B586)),
ISNUMBER(SEARCH("MOUSE",B586)),
ISNUMBER(SEARCH("TECLADO",B586))
),
"COMPLEMENTO",
IF(
OR(
LEFT(A586,2)="NB",
LEFT(A586,2)="PC",
LEFT(A586,2)="WS",
LEFT(A586,2)="TB",
LEFT(A586,3)="CEL",
LEFT(A586,3)="MON",
LEFT(A586,3)="PRE",
LEFT(A586,3)="PRH",
ISNUMBER(SEARCH("NOTEBOOK",B586)),
ISNUMBER(SEARCH("LAPTOP",B586)),
ISNUMBER(SEARCH("MONITOR",B586)),
ISNUMBER(SEARCH("TABLET",B586)),
ISNUMBER(SEARCH("SMARTPH",B586)),
ISNUMBER(SEARCH("IMPRESORA",B586)),
ISNUMBER(SEARCH("MULTIFUNCIONAL",B586)),
ISNUMBER(SEARCH("AIO",B586))
),
"GANCHO",
"NORMAL"
)
)</f>
        <v>NORMAL</v>
      </c>
    </row>
    <row r="585" spans="1:12" x14ac:dyDescent="0.25">
      <c r="A585" s="3" t="s">
        <v>4596</v>
      </c>
      <c r="B585" s="3" t="s">
        <v>4597</v>
      </c>
      <c r="C585" s="1">
        <v>20</v>
      </c>
      <c r="D585" s="1">
        <v>107.1</v>
      </c>
      <c r="E585" s="1" t="s">
        <v>226</v>
      </c>
      <c r="F585" s="1" t="s">
        <v>4598</v>
      </c>
      <c r="G585" s="3" t="s">
        <v>4599</v>
      </c>
      <c r="H585" s="11">
        <f>ROUND(
IF(L583="GANCHO",
   IF(I585&lt;=50,I585*1.1+4,IF(I585&lt;=120,I585*1.1+7,IF(I585&lt;=250,I585*1.1+11,I585*1.1+19))),
IF(L583="NORMAL",
   IF(I585&lt;=30,I585*1.15+2,IF(I585&lt;=80,I585*1.15+4,IF(I585&lt;=150,I585*1.15+6,I585*1.15+8))),
IF(L583="COMPLEMENTO",
   IF(I585&lt;=25,I585*1.25+1.5,IF(I585&lt;=60,I585*1.25+3,IF(I585&lt;=120,I585*1.25+4,I585*1.25+5))),
""))),2)</f>
        <v>513.76</v>
      </c>
      <c r="I585" s="9">
        <f>($K$2+0.02)*Tabla1[[#This Row],[PRECIO $]]*1.18</f>
        <v>439.79543999999993</v>
      </c>
      <c r="J585" s="7">
        <f>+Tabla1[[#This Row],[PRECIO EN SOLES]]-Tabla1[[#This Row],[PC]]</f>
        <v>73.964560000000063</v>
      </c>
      <c r="K585" s="15"/>
      <c r="L585" s="15" t="str">
        <f>IF(
OR(
ISNUMBER(SEARCH("BACKPACK",B587)),
ISNUMBER(SEARCH("MOCHILA",B587)),
ISNUMBER(SEARCH("FUNDA",B587)),
ISNUMBER(SEARCH("ESTUCHE",B587)),
ISNUMBER(SEARCH("BOOK COVER",B587)),
ISNUMBER(SEARCH("KEYBOARD PARA TABLET",B587)),
ISNUMBER(SEARCH("FLIP TABLET",B587)),
ISNUMBER(SEARCH("CASE FOR TABLET",B587)),
ISNUMBER(SEARCH("CABLE",B587)),
ISNUMBER(SEARCH("ADAPTADOR",B587)),
ISNUMBER(SEARCH("HUB",B587)),
ISNUMBER(SEARCH("DOCK",B587)),
ISNUMBER(SEARCH("MOUSE PAD",B587)),
ISNUMBER(SEARCH("MOUSEPAD",B587)),
ISNUMBER(SEARCH("SOPORTE",B587)),
ISNUMBER(SEARCH("STAND",B587)),
ISNUMBER(SEARCH("TRAVEL ADAPTER",B587)),
ISNUMBER(SEARCH("RJ45",B587)),
ISNUMBER(SEARCH("USB-C",B587)),
ISNUMBER(SEARCH("USB WIFI",B587)),
ISNUMBER(SEARCH("POWERBANK",B587)),
ISNUMBER(SEARCH("CARGADOR",B587)),
ISNUMBER(SEARCH("COOLER PARA NB",B587)),
ISNUMBER(SEARCH("SOPORTE PARA NB",B587)),
ISNUMBER(SEARCH("WEBCAM",B587)),
ISNUMBER(SEARCH("WEB CAM",B587)),
ISNUMBER(SEARCH("MOUSE",B587)),
ISNUMBER(SEARCH("TECLADO",B587))
),
"COMPLEMENTO",
IF(
OR(
LEFT(A587,2)="NB",
LEFT(A587,2)="PC",
LEFT(A587,2)="WS",
LEFT(A587,2)="TB",
LEFT(A587,3)="CEL",
LEFT(A587,3)="MON",
LEFT(A587,3)="PRE",
LEFT(A587,3)="PRH",
ISNUMBER(SEARCH("NOTEBOOK",B587)),
ISNUMBER(SEARCH("LAPTOP",B587)),
ISNUMBER(SEARCH("MONITOR",B587)),
ISNUMBER(SEARCH("TABLET",B587)),
ISNUMBER(SEARCH("SMARTPH",B587)),
ISNUMBER(SEARCH("IMPRESORA",B587)),
ISNUMBER(SEARCH("MULTIFUNCIONAL",B587)),
ISNUMBER(SEARCH("AIO",B587))
),
"GANCHO",
"NORMAL"
)
)</f>
        <v>NORMAL</v>
      </c>
    </row>
    <row r="586" spans="1:12" x14ac:dyDescent="0.25">
      <c r="A586" s="3" t="s">
        <v>5378</v>
      </c>
      <c r="B586" s="3" t="s">
        <v>5379</v>
      </c>
      <c r="C586" s="1">
        <v>0</v>
      </c>
      <c r="D586" s="1">
        <v>74.900000000000006</v>
      </c>
      <c r="E586" s="1" t="s">
        <v>226</v>
      </c>
      <c r="F586" s="1" t="s">
        <v>5380</v>
      </c>
      <c r="G586" s="3" t="s">
        <v>5381</v>
      </c>
      <c r="H586" s="11">
        <f>ROUND(
IF(L584="GANCHO",
   IF(I586&lt;=50,I586*1.1+4,IF(I586&lt;=120,I586*1.1+7,IF(I586&lt;=250,I586*1.1+11,I586*1.1+19))),
IF(L584="NORMAL",
   IF(I586&lt;=30,I586*1.15+2,IF(I586&lt;=80,I586*1.15+4,IF(I586&lt;=150,I586*1.15+6,I586*1.15+8))),
IF(L584="COMPLEMENTO",
   IF(I586&lt;=25,I586*1.25+1.5,IF(I586&lt;=60,I586*1.25+3,IF(I586&lt;=120,I586*1.25+4,I586*1.25+5))),
""))),2)</f>
        <v>361.7</v>
      </c>
      <c r="I586" s="9">
        <f>($K$2+0.02)*Tabla1[[#This Row],[PRECIO $]]*1.18</f>
        <v>307.56936000000002</v>
      </c>
      <c r="J586" s="7">
        <f>+Tabla1[[#This Row],[PRECIO EN SOLES]]-Tabla1[[#This Row],[PC]]</f>
        <v>54.130639999999971</v>
      </c>
      <c r="K586" s="15"/>
      <c r="L586" s="15" t="str">
        <f>IF(
OR(
ISNUMBER(SEARCH("BACKPACK",B588)),
ISNUMBER(SEARCH("MOCHILA",B588)),
ISNUMBER(SEARCH("FUNDA",B588)),
ISNUMBER(SEARCH("ESTUCHE",B588)),
ISNUMBER(SEARCH("BOOK COVER",B588)),
ISNUMBER(SEARCH("KEYBOARD PARA TABLET",B588)),
ISNUMBER(SEARCH("FLIP TABLET",B588)),
ISNUMBER(SEARCH("CASE FOR TABLET",B588)),
ISNUMBER(SEARCH("CABLE",B588)),
ISNUMBER(SEARCH("ADAPTADOR",B588)),
ISNUMBER(SEARCH("HUB",B588)),
ISNUMBER(SEARCH("DOCK",B588)),
ISNUMBER(SEARCH("MOUSE PAD",B588)),
ISNUMBER(SEARCH("MOUSEPAD",B588)),
ISNUMBER(SEARCH("SOPORTE",B588)),
ISNUMBER(SEARCH("STAND",B588)),
ISNUMBER(SEARCH("TRAVEL ADAPTER",B588)),
ISNUMBER(SEARCH("RJ45",B588)),
ISNUMBER(SEARCH("USB-C",B588)),
ISNUMBER(SEARCH("USB WIFI",B588)),
ISNUMBER(SEARCH("POWERBANK",B588)),
ISNUMBER(SEARCH("CARGADOR",B588)),
ISNUMBER(SEARCH("COOLER PARA NB",B588)),
ISNUMBER(SEARCH("SOPORTE PARA NB",B588)),
ISNUMBER(SEARCH("WEBCAM",B588)),
ISNUMBER(SEARCH("WEB CAM",B588)),
ISNUMBER(SEARCH("MOUSE",B588)),
ISNUMBER(SEARCH("TECLADO",B588))
),
"COMPLEMENTO",
IF(
OR(
LEFT(A588,2)="NB",
LEFT(A588,2)="PC",
LEFT(A588,2)="WS",
LEFT(A588,2)="TB",
LEFT(A588,3)="CEL",
LEFT(A588,3)="MON",
LEFT(A588,3)="PRE",
LEFT(A588,3)="PRH",
ISNUMBER(SEARCH("NOTEBOOK",B588)),
ISNUMBER(SEARCH("LAPTOP",B588)),
ISNUMBER(SEARCH("MONITOR",B588)),
ISNUMBER(SEARCH("TABLET",B588)),
ISNUMBER(SEARCH("SMARTPH",B588)),
ISNUMBER(SEARCH("IMPRESORA",B588)),
ISNUMBER(SEARCH("MULTIFUNCIONAL",B588)),
ISNUMBER(SEARCH("AIO",B588))
),
"GANCHO",
"NORMAL"
)
)</f>
        <v>NORMAL</v>
      </c>
    </row>
    <row r="587" spans="1:12" x14ac:dyDescent="0.25">
      <c r="A587" s="3" t="s">
        <v>5989</v>
      </c>
      <c r="B587" s="3" t="s">
        <v>5990</v>
      </c>
      <c r="C587" s="1">
        <v>0</v>
      </c>
      <c r="D587" s="1">
        <v>73.45</v>
      </c>
      <c r="E587" s="1" t="s">
        <v>121</v>
      </c>
      <c r="F587" s="1" t="s">
        <v>5991</v>
      </c>
      <c r="G587" s="3" t="s">
        <v>5992</v>
      </c>
      <c r="H587" s="11">
        <f>ROUND(
IF(L585="GANCHO",
   IF(I587&lt;=50,I587*1.1+4,IF(I587&lt;=120,I587*1.1+7,IF(I587&lt;=250,I587*1.1+11,I587*1.1+19))),
IF(L585="NORMAL",
   IF(I587&lt;=30,I587*1.15+2,IF(I587&lt;=80,I587*1.15+4,IF(I587&lt;=150,I587*1.15+6,I587*1.15+8))),
IF(L585="COMPLEMENTO",
   IF(I587&lt;=25,I587*1.25+1.5,IF(I587&lt;=60,I587*1.25+3,IF(I587&lt;=120,I587*1.25+4,I587*1.25+5))),
""))),2)</f>
        <v>354.86</v>
      </c>
      <c r="I587" s="9">
        <f>($K$2+0.02)*Tabla1[[#This Row],[PRECIO $]]*1.18</f>
        <v>301.61507999999998</v>
      </c>
      <c r="J587" s="7">
        <f>+Tabla1[[#This Row],[PRECIO EN SOLES]]-Tabla1[[#This Row],[PC]]</f>
        <v>53.244920000000036</v>
      </c>
      <c r="K587" s="15"/>
      <c r="L587" s="15" t="str">
        <f>IF(
OR(
ISNUMBER(SEARCH("BACKPACK",B589)),
ISNUMBER(SEARCH("MOCHILA",B589)),
ISNUMBER(SEARCH("FUNDA",B589)),
ISNUMBER(SEARCH("ESTUCHE",B589)),
ISNUMBER(SEARCH("BOOK COVER",B589)),
ISNUMBER(SEARCH("KEYBOARD PARA TABLET",B589)),
ISNUMBER(SEARCH("FLIP TABLET",B589)),
ISNUMBER(SEARCH("CASE FOR TABLET",B589)),
ISNUMBER(SEARCH("CABLE",B589)),
ISNUMBER(SEARCH("ADAPTADOR",B589)),
ISNUMBER(SEARCH("HUB",B589)),
ISNUMBER(SEARCH("DOCK",B589)),
ISNUMBER(SEARCH("MOUSE PAD",B589)),
ISNUMBER(SEARCH("MOUSEPAD",B589)),
ISNUMBER(SEARCH("SOPORTE",B589)),
ISNUMBER(SEARCH("STAND",B589)),
ISNUMBER(SEARCH("TRAVEL ADAPTER",B589)),
ISNUMBER(SEARCH("RJ45",B589)),
ISNUMBER(SEARCH("USB-C",B589)),
ISNUMBER(SEARCH("USB WIFI",B589)),
ISNUMBER(SEARCH("POWERBANK",B589)),
ISNUMBER(SEARCH("CARGADOR",B589)),
ISNUMBER(SEARCH("COOLER PARA NB",B589)),
ISNUMBER(SEARCH("SOPORTE PARA NB",B589)),
ISNUMBER(SEARCH("WEBCAM",B589)),
ISNUMBER(SEARCH("WEB CAM",B589)),
ISNUMBER(SEARCH("MOUSE",B589)),
ISNUMBER(SEARCH("TECLADO",B589))
),
"COMPLEMENTO",
IF(
OR(
LEFT(A589,2)="NB",
LEFT(A589,2)="PC",
LEFT(A589,2)="WS",
LEFT(A589,2)="TB",
LEFT(A589,3)="CEL",
LEFT(A589,3)="MON",
LEFT(A589,3)="PRE",
LEFT(A589,3)="PRH",
ISNUMBER(SEARCH("NOTEBOOK",B589)),
ISNUMBER(SEARCH("LAPTOP",B589)),
ISNUMBER(SEARCH("MONITOR",B589)),
ISNUMBER(SEARCH("TABLET",B589)),
ISNUMBER(SEARCH("SMARTPH",B589)),
ISNUMBER(SEARCH("IMPRESORA",B589)),
ISNUMBER(SEARCH("MULTIFUNCIONAL",B589)),
ISNUMBER(SEARCH("AIO",B589))
),
"GANCHO",
"NORMAL"
)
)</f>
        <v>NORMAL</v>
      </c>
    </row>
    <row r="588" spans="1:12" x14ac:dyDescent="0.25">
      <c r="A588" s="3" t="s">
        <v>4292</v>
      </c>
      <c r="B588" s="3" t="s">
        <v>4293</v>
      </c>
      <c r="C588" s="1">
        <v>9</v>
      </c>
      <c r="D588" s="1">
        <v>120.7</v>
      </c>
      <c r="E588" s="1" t="s">
        <v>121</v>
      </c>
      <c r="F588" s="1" t="s">
        <v>4294</v>
      </c>
      <c r="G588" s="3" t="s">
        <v>4295</v>
      </c>
      <c r="H588" s="11">
        <f>ROUND(
IF(L586="GANCHO",
   IF(I588&lt;=50,I588*1.1+4,IF(I588&lt;=120,I588*1.1+7,IF(I588&lt;=250,I588*1.1+11,I588*1.1+19))),
IF(L586="NORMAL",
   IF(I588&lt;=30,I588*1.15+2,IF(I588&lt;=80,I588*1.15+4,IF(I588&lt;=150,I588*1.15+6,I588*1.15+8))),
IF(L586="COMPLEMENTO",
   IF(I588&lt;=25,I588*1.25+1.5,IF(I588&lt;=60,I588*1.25+3,IF(I588&lt;=120,I588*1.25+4,I588*1.25+5))),
""))),2)</f>
        <v>577.99</v>
      </c>
      <c r="I588" s="9">
        <f>($K$2+0.02)*Tabla1[[#This Row],[PRECIO $]]*1.18</f>
        <v>495.64247999999998</v>
      </c>
      <c r="J588" s="7">
        <f>+Tabla1[[#This Row],[PRECIO EN SOLES]]-Tabla1[[#This Row],[PC]]</f>
        <v>82.347520000000031</v>
      </c>
      <c r="K588" s="15"/>
      <c r="L588" s="15" t="str">
        <f>IF(
OR(
ISNUMBER(SEARCH("BACKPACK",B590)),
ISNUMBER(SEARCH("MOCHILA",B590)),
ISNUMBER(SEARCH("FUNDA",B590)),
ISNUMBER(SEARCH("ESTUCHE",B590)),
ISNUMBER(SEARCH("BOOK COVER",B590)),
ISNUMBER(SEARCH("KEYBOARD PARA TABLET",B590)),
ISNUMBER(SEARCH("FLIP TABLET",B590)),
ISNUMBER(SEARCH("CASE FOR TABLET",B590)),
ISNUMBER(SEARCH("CABLE",B590)),
ISNUMBER(SEARCH("ADAPTADOR",B590)),
ISNUMBER(SEARCH("HUB",B590)),
ISNUMBER(SEARCH("DOCK",B590)),
ISNUMBER(SEARCH("MOUSE PAD",B590)),
ISNUMBER(SEARCH("MOUSEPAD",B590)),
ISNUMBER(SEARCH("SOPORTE",B590)),
ISNUMBER(SEARCH("STAND",B590)),
ISNUMBER(SEARCH("TRAVEL ADAPTER",B590)),
ISNUMBER(SEARCH("RJ45",B590)),
ISNUMBER(SEARCH("USB-C",B590)),
ISNUMBER(SEARCH("USB WIFI",B590)),
ISNUMBER(SEARCH("POWERBANK",B590)),
ISNUMBER(SEARCH("CARGADOR",B590)),
ISNUMBER(SEARCH("COOLER PARA NB",B590)),
ISNUMBER(SEARCH("SOPORTE PARA NB",B590)),
ISNUMBER(SEARCH("WEBCAM",B590)),
ISNUMBER(SEARCH("WEB CAM",B590)),
ISNUMBER(SEARCH("MOUSE",B590)),
ISNUMBER(SEARCH("TECLADO",B590))
),
"COMPLEMENTO",
IF(
OR(
LEFT(A590,2)="NB",
LEFT(A590,2)="PC",
LEFT(A590,2)="WS",
LEFT(A590,2)="TB",
LEFT(A590,3)="CEL",
LEFT(A590,3)="MON",
LEFT(A590,3)="PRE",
LEFT(A590,3)="PRH",
ISNUMBER(SEARCH("NOTEBOOK",B590)),
ISNUMBER(SEARCH("LAPTOP",B590)),
ISNUMBER(SEARCH("MONITOR",B590)),
ISNUMBER(SEARCH("TABLET",B590)),
ISNUMBER(SEARCH("SMARTPH",B590)),
ISNUMBER(SEARCH("IMPRESORA",B590)),
ISNUMBER(SEARCH("MULTIFUNCIONAL",B590)),
ISNUMBER(SEARCH("AIO",B590))
),
"GANCHO",
"NORMAL"
)
)</f>
        <v>NORMAL</v>
      </c>
    </row>
    <row r="589" spans="1:12" x14ac:dyDescent="0.25">
      <c r="A589" s="3" t="s">
        <v>2939</v>
      </c>
      <c r="B589" s="3" t="s">
        <v>2940</v>
      </c>
      <c r="C589" s="1">
        <v>15</v>
      </c>
      <c r="D589" s="1">
        <v>231.5</v>
      </c>
      <c r="E589" s="1" t="s">
        <v>121</v>
      </c>
      <c r="F589" s="1" t="s">
        <v>3397</v>
      </c>
      <c r="G589" s="3" t="s">
        <v>5153</v>
      </c>
      <c r="H589" s="11">
        <f>ROUND(
IF(L587="GANCHO",
   IF(I589&lt;=50,I589*1.1+4,IF(I589&lt;=120,I589*1.1+7,IF(I589&lt;=250,I589*1.1+11,I589*1.1+19))),
IF(L587="NORMAL",
   IF(I589&lt;=30,I589*1.15+2,IF(I589&lt;=80,I589*1.15+4,IF(I589&lt;=150,I589*1.15+6,I589*1.15+8))),
IF(L587="COMPLEMENTO",
   IF(I589&lt;=25,I589*1.25+1.5,IF(I589&lt;=60,I589*1.25+3,IF(I589&lt;=120,I589*1.25+4,I589*1.25+5))),
""))),2)</f>
        <v>1101.23</v>
      </c>
      <c r="I589" s="9">
        <f>($K$2+0.02)*Tabla1[[#This Row],[PRECIO $]]*1.18</f>
        <v>950.63159999999993</v>
      </c>
      <c r="J589" s="7">
        <f>+Tabla1[[#This Row],[PRECIO EN SOLES]]-Tabla1[[#This Row],[PC]]</f>
        <v>150.59840000000008</v>
      </c>
      <c r="K589" s="15"/>
      <c r="L589" s="15" t="str">
        <f>IF(
OR(
ISNUMBER(SEARCH("BACKPACK",B591)),
ISNUMBER(SEARCH("MOCHILA",B591)),
ISNUMBER(SEARCH("FUNDA",B591)),
ISNUMBER(SEARCH("ESTUCHE",B591)),
ISNUMBER(SEARCH("BOOK COVER",B591)),
ISNUMBER(SEARCH("KEYBOARD PARA TABLET",B591)),
ISNUMBER(SEARCH("FLIP TABLET",B591)),
ISNUMBER(SEARCH("CASE FOR TABLET",B591)),
ISNUMBER(SEARCH("CABLE",B591)),
ISNUMBER(SEARCH("ADAPTADOR",B591)),
ISNUMBER(SEARCH("HUB",B591)),
ISNUMBER(SEARCH("DOCK",B591)),
ISNUMBER(SEARCH("MOUSE PAD",B591)),
ISNUMBER(SEARCH("MOUSEPAD",B591)),
ISNUMBER(SEARCH("SOPORTE",B591)),
ISNUMBER(SEARCH("STAND",B591)),
ISNUMBER(SEARCH("TRAVEL ADAPTER",B591)),
ISNUMBER(SEARCH("RJ45",B591)),
ISNUMBER(SEARCH("USB-C",B591)),
ISNUMBER(SEARCH("USB WIFI",B591)),
ISNUMBER(SEARCH("POWERBANK",B591)),
ISNUMBER(SEARCH("CARGADOR",B591)),
ISNUMBER(SEARCH("COOLER PARA NB",B591)),
ISNUMBER(SEARCH("SOPORTE PARA NB",B591)),
ISNUMBER(SEARCH("WEBCAM",B591)),
ISNUMBER(SEARCH("WEB CAM",B591)),
ISNUMBER(SEARCH("MOUSE",B591)),
ISNUMBER(SEARCH("TECLADO",B591))
),
"COMPLEMENTO",
IF(
OR(
LEFT(A591,2)="NB",
LEFT(A591,2)="PC",
LEFT(A591,2)="WS",
LEFT(A591,2)="TB",
LEFT(A591,3)="CEL",
LEFT(A591,3)="MON",
LEFT(A591,3)="PRE",
LEFT(A591,3)="PRH",
ISNUMBER(SEARCH("NOTEBOOK",B591)),
ISNUMBER(SEARCH("LAPTOP",B591)),
ISNUMBER(SEARCH("MONITOR",B591)),
ISNUMBER(SEARCH("TABLET",B591)),
ISNUMBER(SEARCH("SMARTPH",B591)),
ISNUMBER(SEARCH("IMPRESORA",B591)),
ISNUMBER(SEARCH("MULTIFUNCIONAL",B591)),
ISNUMBER(SEARCH("AIO",B591))
),
"GANCHO",
"NORMAL"
)
)</f>
        <v>NORMAL</v>
      </c>
    </row>
    <row r="590" spans="1:12" x14ac:dyDescent="0.25">
      <c r="A590" s="3" t="s">
        <v>1334</v>
      </c>
      <c r="B590" s="3" t="s">
        <v>1335</v>
      </c>
      <c r="C590" s="1">
        <v>2</v>
      </c>
      <c r="D590" s="1">
        <v>182</v>
      </c>
      <c r="E590" s="1" t="s">
        <v>906</v>
      </c>
      <c r="F590" s="1" t="s">
        <v>3377</v>
      </c>
      <c r="G590" s="3" t="s">
        <v>1336</v>
      </c>
      <c r="H590" s="11">
        <f>ROUND(
IF(L588="GANCHO",
   IF(I590&lt;=50,I590*1.1+4,IF(I590&lt;=120,I590*1.1+7,IF(I590&lt;=250,I590*1.1+11,I590*1.1+19))),
IF(L588="NORMAL",
   IF(I590&lt;=30,I590*1.15+2,IF(I590&lt;=80,I590*1.15+4,IF(I590&lt;=150,I590*1.15+6,I590*1.15+8))),
IF(L588="COMPLEMENTO",
   IF(I590&lt;=25,I590*1.25+1.5,IF(I590&lt;=60,I590*1.25+3,IF(I590&lt;=120,I590*1.25+4,I590*1.25+5))),
""))),2)</f>
        <v>867.47</v>
      </c>
      <c r="I590" s="9">
        <f>($K$2+0.02)*Tabla1[[#This Row],[PRECIO $]]*1.18</f>
        <v>747.36479999999995</v>
      </c>
      <c r="J590" s="7">
        <f>+Tabla1[[#This Row],[PRECIO EN SOLES]]-Tabla1[[#This Row],[PC]]</f>
        <v>120.10520000000008</v>
      </c>
      <c r="K590" s="15"/>
      <c r="L590" s="15" t="str">
        <f>IF(
OR(
ISNUMBER(SEARCH("BACKPACK",B592)),
ISNUMBER(SEARCH("MOCHILA",B592)),
ISNUMBER(SEARCH("FUNDA",B592)),
ISNUMBER(SEARCH("ESTUCHE",B592)),
ISNUMBER(SEARCH("BOOK COVER",B592)),
ISNUMBER(SEARCH("KEYBOARD PARA TABLET",B592)),
ISNUMBER(SEARCH("FLIP TABLET",B592)),
ISNUMBER(SEARCH("CASE FOR TABLET",B592)),
ISNUMBER(SEARCH("CABLE",B592)),
ISNUMBER(SEARCH("ADAPTADOR",B592)),
ISNUMBER(SEARCH("HUB",B592)),
ISNUMBER(SEARCH("DOCK",B592)),
ISNUMBER(SEARCH("MOUSE PAD",B592)),
ISNUMBER(SEARCH("MOUSEPAD",B592)),
ISNUMBER(SEARCH("SOPORTE",B592)),
ISNUMBER(SEARCH("STAND",B592)),
ISNUMBER(SEARCH("TRAVEL ADAPTER",B592)),
ISNUMBER(SEARCH("RJ45",B592)),
ISNUMBER(SEARCH("USB-C",B592)),
ISNUMBER(SEARCH("USB WIFI",B592)),
ISNUMBER(SEARCH("POWERBANK",B592)),
ISNUMBER(SEARCH("CARGADOR",B592)),
ISNUMBER(SEARCH("COOLER PARA NB",B592)),
ISNUMBER(SEARCH("SOPORTE PARA NB",B592)),
ISNUMBER(SEARCH("WEBCAM",B592)),
ISNUMBER(SEARCH("WEB CAM",B592)),
ISNUMBER(SEARCH("MOUSE",B592)),
ISNUMBER(SEARCH("TECLADO",B592))
),
"COMPLEMENTO",
IF(
OR(
LEFT(A592,2)="NB",
LEFT(A592,2)="PC",
LEFT(A592,2)="WS",
LEFT(A592,2)="TB",
LEFT(A592,3)="CEL",
LEFT(A592,3)="MON",
LEFT(A592,3)="PRE",
LEFT(A592,3)="PRH",
ISNUMBER(SEARCH("NOTEBOOK",B592)),
ISNUMBER(SEARCH("LAPTOP",B592)),
ISNUMBER(SEARCH("MONITOR",B592)),
ISNUMBER(SEARCH("TABLET",B592)),
ISNUMBER(SEARCH("SMARTPH",B592)),
ISNUMBER(SEARCH("IMPRESORA",B592)),
ISNUMBER(SEARCH("MULTIFUNCIONAL",B592)),
ISNUMBER(SEARCH("AIO",B592))
),
"GANCHO",
"NORMAL"
)
)</f>
        <v>NORMAL</v>
      </c>
    </row>
    <row r="591" spans="1:12" x14ac:dyDescent="0.25">
      <c r="A591" s="3" t="s">
        <v>1337</v>
      </c>
      <c r="B591" s="3" t="s">
        <v>1338</v>
      </c>
      <c r="C591" s="1">
        <v>6</v>
      </c>
      <c r="D591" s="1">
        <v>128.19999999999999</v>
      </c>
      <c r="E591" s="1" t="s">
        <v>115</v>
      </c>
      <c r="F591" s="1" t="s">
        <v>3378</v>
      </c>
      <c r="G591" s="3" t="s">
        <v>1339</v>
      </c>
      <c r="H591" s="11">
        <f>ROUND(
IF(L589="GANCHO",
   IF(I591&lt;=50,I591*1.1+4,IF(I591&lt;=120,I591*1.1+7,IF(I591&lt;=250,I591*1.1+11,I591*1.1+19))),
IF(L589="NORMAL",
   IF(I591&lt;=30,I591*1.15+2,IF(I591&lt;=80,I591*1.15+4,IF(I591&lt;=150,I591*1.15+6,I591*1.15+8))),
IF(L589="COMPLEMENTO",
   IF(I591&lt;=25,I591*1.25+1.5,IF(I591&lt;=60,I591*1.25+3,IF(I591&lt;=120,I591*1.25+4,I591*1.25+5))),
""))),2)</f>
        <v>613.41</v>
      </c>
      <c r="I591" s="9">
        <f>($K$2+0.02)*Tabla1[[#This Row],[PRECIO $]]*1.18</f>
        <v>526.44047999999998</v>
      </c>
      <c r="J591" s="7">
        <f>+Tabla1[[#This Row],[PRECIO EN SOLES]]-Tabla1[[#This Row],[PC]]</f>
        <v>86.969519999999989</v>
      </c>
      <c r="K591" s="15"/>
      <c r="L591" s="15" t="str">
        <f>IF(
OR(
ISNUMBER(SEARCH("BACKPACK",B593)),
ISNUMBER(SEARCH("MOCHILA",B593)),
ISNUMBER(SEARCH("FUNDA",B593)),
ISNUMBER(SEARCH("ESTUCHE",B593)),
ISNUMBER(SEARCH("BOOK COVER",B593)),
ISNUMBER(SEARCH("KEYBOARD PARA TABLET",B593)),
ISNUMBER(SEARCH("FLIP TABLET",B593)),
ISNUMBER(SEARCH("CASE FOR TABLET",B593)),
ISNUMBER(SEARCH("CABLE",B593)),
ISNUMBER(SEARCH("ADAPTADOR",B593)),
ISNUMBER(SEARCH("HUB",B593)),
ISNUMBER(SEARCH("DOCK",B593)),
ISNUMBER(SEARCH("MOUSE PAD",B593)),
ISNUMBER(SEARCH("MOUSEPAD",B593)),
ISNUMBER(SEARCH("SOPORTE",B593)),
ISNUMBER(SEARCH("STAND",B593)),
ISNUMBER(SEARCH("TRAVEL ADAPTER",B593)),
ISNUMBER(SEARCH("RJ45",B593)),
ISNUMBER(SEARCH("USB-C",B593)),
ISNUMBER(SEARCH("USB WIFI",B593)),
ISNUMBER(SEARCH("POWERBANK",B593)),
ISNUMBER(SEARCH("CARGADOR",B593)),
ISNUMBER(SEARCH("COOLER PARA NB",B593)),
ISNUMBER(SEARCH("SOPORTE PARA NB",B593)),
ISNUMBER(SEARCH("WEBCAM",B593)),
ISNUMBER(SEARCH("WEB CAM",B593)),
ISNUMBER(SEARCH("MOUSE",B593)),
ISNUMBER(SEARCH("TECLADO",B593))
),
"COMPLEMENTO",
IF(
OR(
LEFT(A593,2)="NB",
LEFT(A593,2)="PC",
LEFT(A593,2)="WS",
LEFT(A593,2)="TB",
LEFT(A593,3)="CEL",
LEFT(A593,3)="MON",
LEFT(A593,3)="PRE",
LEFT(A593,3)="PRH",
ISNUMBER(SEARCH("NOTEBOOK",B593)),
ISNUMBER(SEARCH("LAPTOP",B593)),
ISNUMBER(SEARCH("MONITOR",B593)),
ISNUMBER(SEARCH("TABLET",B593)),
ISNUMBER(SEARCH("SMARTPH",B593)),
ISNUMBER(SEARCH("IMPRESORA",B593)),
ISNUMBER(SEARCH("MULTIFUNCIONAL",B593)),
ISNUMBER(SEARCH("AIO",B593))
),
"GANCHO",
"NORMAL"
)
)</f>
        <v>NORMAL</v>
      </c>
    </row>
    <row r="592" spans="1:12" x14ac:dyDescent="0.25">
      <c r="A592" s="3" t="s">
        <v>1340</v>
      </c>
      <c r="B592" s="3" t="s">
        <v>1341</v>
      </c>
      <c r="C592" s="1">
        <v>7</v>
      </c>
      <c r="D592" s="1">
        <v>305</v>
      </c>
      <c r="E592" s="1" t="s">
        <v>115</v>
      </c>
      <c r="F592" s="1" t="s">
        <v>3379</v>
      </c>
      <c r="G592" s="3" t="s">
        <v>1342</v>
      </c>
      <c r="H592" s="11">
        <f>ROUND(
IF(L590="GANCHO",
   IF(I592&lt;=50,I592*1.1+4,IF(I592&lt;=120,I592*1.1+7,IF(I592&lt;=250,I592*1.1+11,I592*1.1+19))),
IF(L590="NORMAL",
   IF(I592&lt;=30,I592*1.15+2,IF(I592&lt;=80,I592*1.15+4,IF(I592&lt;=150,I592*1.15+6,I592*1.15+8))),
IF(L590="COMPLEMENTO",
   IF(I592&lt;=25,I592*1.25+1.5,IF(I592&lt;=60,I592*1.25+3,IF(I592&lt;=120,I592*1.25+4,I592*1.25+5))),
""))),2)</f>
        <v>1448.32</v>
      </c>
      <c r="I592" s="9">
        <f>($K$2+0.02)*Tabla1[[#This Row],[PRECIO $]]*1.18</f>
        <v>1252.452</v>
      </c>
      <c r="J592" s="7">
        <f>+Tabla1[[#This Row],[PRECIO EN SOLES]]-Tabla1[[#This Row],[PC]]</f>
        <v>195.86799999999994</v>
      </c>
      <c r="K592" s="15"/>
      <c r="L592" s="15" t="str">
        <f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3" spans="1:12" x14ac:dyDescent="0.25">
      <c r="A593" s="3" t="s">
        <v>253</v>
      </c>
      <c r="B593" s="3" t="s">
        <v>254</v>
      </c>
      <c r="C593" s="1">
        <v>20</v>
      </c>
      <c r="D593" s="1">
        <v>163</v>
      </c>
      <c r="E593" s="1" t="s">
        <v>115</v>
      </c>
      <c r="F593" s="1" t="s">
        <v>3380</v>
      </c>
      <c r="G593" s="3" t="s">
        <v>255</v>
      </c>
      <c r="H593" s="11">
        <f>ROUND(
IF(L591="GANCHO",
   IF(I593&lt;=50,I593*1.1+4,IF(I593&lt;=120,I593*1.1+7,IF(I593&lt;=250,I593*1.1+11,I593*1.1+19))),
IF(L591="NORMAL",
   IF(I593&lt;=30,I593*1.15+2,IF(I593&lt;=80,I593*1.15+4,IF(I593&lt;=150,I593*1.15+6,I593*1.15+8))),
IF(L591="COMPLEMENTO",
   IF(I593&lt;=25,I593*1.25+1.5,IF(I593&lt;=60,I593*1.25+3,IF(I593&lt;=120,I593*1.25+4,I593*1.25+5))),
""))),2)</f>
        <v>777.74</v>
      </c>
      <c r="I593" s="9">
        <f>($K$2+0.02)*Tabla1[[#This Row],[PRECIO $]]*1.18</f>
        <v>669.34320000000002</v>
      </c>
      <c r="J593" s="7">
        <f>+Tabla1[[#This Row],[PRECIO EN SOLES]]-Tabla1[[#This Row],[PC]]</f>
        <v>108.39679999999998</v>
      </c>
      <c r="K593" s="15"/>
      <c r="L593" s="15" t="str">
        <f>IF(
OR(
ISNUMBER(SEARCH("BACKPACK",B595)),
ISNUMBER(SEARCH("MOCHILA",B595)),
ISNUMBER(SEARCH("FUNDA",B595)),
ISNUMBER(SEARCH("ESTUCHE",B595)),
ISNUMBER(SEARCH("BOOK COVER",B595)),
ISNUMBER(SEARCH("KEYBOARD PARA TABLET",B595)),
ISNUMBER(SEARCH("FLIP TABLET",B595)),
ISNUMBER(SEARCH("CASE FOR TABLET",B595)),
ISNUMBER(SEARCH("CABLE",B595)),
ISNUMBER(SEARCH("ADAPTADOR",B595)),
ISNUMBER(SEARCH("HUB",B595)),
ISNUMBER(SEARCH("DOCK",B595)),
ISNUMBER(SEARCH("MOUSE PAD",B595)),
ISNUMBER(SEARCH("MOUSEPAD",B595)),
ISNUMBER(SEARCH("SOPORTE",B595)),
ISNUMBER(SEARCH("STAND",B595)),
ISNUMBER(SEARCH("TRAVEL ADAPTER",B595)),
ISNUMBER(SEARCH("RJ45",B595)),
ISNUMBER(SEARCH("USB-C",B595)),
ISNUMBER(SEARCH("USB WIFI",B595)),
ISNUMBER(SEARCH("POWERBANK",B595)),
ISNUMBER(SEARCH("CARGADOR",B595)),
ISNUMBER(SEARCH("COOLER PARA NB",B595)),
ISNUMBER(SEARCH("SOPORTE PARA NB",B595)),
ISNUMBER(SEARCH("WEBCAM",B595)),
ISNUMBER(SEARCH("WEB CAM",B595)),
ISNUMBER(SEARCH("MOUSE",B595)),
ISNUMBER(SEARCH("TECLADO",B595))
),
"COMPLEMENTO",
IF(
OR(
LEFT(A595,2)="NB",
LEFT(A595,2)="PC",
LEFT(A595,2)="WS",
LEFT(A595,2)="TB",
LEFT(A595,3)="CEL",
LEFT(A595,3)="MON",
LEFT(A595,3)="PRE",
LEFT(A595,3)="PRH",
ISNUMBER(SEARCH("NOTEBOOK",B595)),
ISNUMBER(SEARCH("LAPTOP",B595)),
ISNUMBER(SEARCH("MONITOR",B595)),
ISNUMBER(SEARCH("TABLET",B595)),
ISNUMBER(SEARCH("SMARTPH",B595)),
ISNUMBER(SEARCH("IMPRESORA",B595)),
ISNUMBER(SEARCH("MULTIFUNCIONAL",B595)),
ISNUMBER(SEARCH("AIO",B595))
),
"GANCHO",
"NORMAL"
)
)</f>
        <v>NORMAL</v>
      </c>
    </row>
    <row r="594" spans="1:12" x14ac:dyDescent="0.25">
      <c r="A594" s="3" t="s">
        <v>256</v>
      </c>
      <c r="B594" s="3" t="s">
        <v>257</v>
      </c>
      <c r="C594" s="1">
        <v>10</v>
      </c>
      <c r="D594" s="1">
        <v>178.5</v>
      </c>
      <c r="E594" s="1" t="s">
        <v>115</v>
      </c>
      <c r="F594" s="1" t="s">
        <v>3381</v>
      </c>
      <c r="G594" s="3" t="s">
        <v>258</v>
      </c>
      <c r="H594" s="11">
        <f>ROUND(
IF(L592="GANCHO",
   IF(I594&lt;=50,I594*1.1+4,IF(I594&lt;=120,I594*1.1+7,IF(I594&lt;=250,I594*1.1+11,I594*1.1+19))),
IF(L592="NORMAL",
   IF(I594&lt;=30,I594*1.15+2,IF(I594&lt;=80,I594*1.15+4,IF(I594&lt;=150,I594*1.15+6,I594*1.15+8))),
IF(L592="COMPLEMENTO",
   IF(I594&lt;=25,I594*1.25+1.5,IF(I594&lt;=60,I594*1.25+3,IF(I594&lt;=120,I594*1.25+4,I594*1.25+5))),
""))),2)</f>
        <v>850.94</v>
      </c>
      <c r="I594" s="9">
        <f>($K$2+0.02)*Tabla1[[#This Row],[PRECIO $]]*1.18</f>
        <v>732.99239999999986</v>
      </c>
      <c r="J594" s="7">
        <f>+Tabla1[[#This Row],[PRECIO EN SOLES]]-Tabla1[[#This Row],[PC]]</f>
        <v>117.94760000000019</v>
      </c>
      <c r="K594" s="15"/>
      <c r="L594" s="15" t="str">
        <f>IF(
OR(
ISNUMBER(SEARCH("BACKPACK",B596)),
ISNUMBER(SEARCH("MOCHILA",B596)),
ISNUMBER(SEARCH("FUNDA",B596)),
ISNUMBER(SEARCH("ESTUCHE",B596)),
ISNUMBER(SEARCH("BOOK COVER",B596)),
ISNUMBER(SEARCH("KEYBOARD PARA TABLET",B596)),
ISNUMBER(SEARCH("FLIP TABLET",B596)),
ISNUMBER(SEARCH("CASE FOR TABLET",B596)),
ISNUMBER(SEARCH("CABLE",B596)),
ISNUMBER(SEARCH("ADAPTADOR",B596)),
ISNUMBER(SEARCH("HUB",B596)),
ISNUMBER(SEARCH("DOCK",B596)),
ISNUMBER(SEARCH("MOUSE PAD",B596)),
ISNUMBER(SEARCH("MOUSEPAD",B596)),
ISNUMBER(SEARCH("SOPORTE",B596)),
ISNUMBER(SEARCH("STAND",B596)),
ISNUMBER(SEARCH("TRAVEL ADAPTER",B596)),
ISNUMBER(SEARCH("RJ45",B596)),
ISNUMBER(SEARCH("USB-C",B596)),
ISNUMBER(SEARCH("USB WIFI",B596)),
ISNUMBER(SEARCH("POWERBANK",B596)),
ISNUMBER(SEARCH("CARGADOR",B596)),
ISNUMBER(SEARCH("COOLER PARA NB",B596)),
ISNUMBER(SEARCH("SOPORTE PARA NB",B596)),
ISNUMBER(SEARCH("WEBCAM",B596)),
ISNUMBER(SEARCH("WEB CAM",B596)),
ISNUMBER(SEARCH("MOUSE",B596)),
ISNUMBER(SEARCH("TECLADO",B596))
),
"COMPLEMENTO",
IF(
OR(
LEFT(A596,2)="NB",
LEFT(A596,2)="PC",
LEFT(A596,2)="WS",
LEFT(A596,2)="TB",
LEFT(A596,3)="CEL",
LEFT(A596,3)="MON",
LEFT(A596,3)="PRE",
LEFT(A596,3)="PRH",
ISNUMBER(SEARCH("NOTEBOOK",B596)),
ISNUMBER(SEARCH("LAPTOP",B596)),
ISNUMBER(SEARCH("MONITOR",B596)),
ISNUMBER(SEARCH("TABLET",B596)),
ISNUMBER(SEARCH("SMARTPH",B596)),
ISNUMBER(SEARCH("IMPRESORA",B596)),
ISNUMBER(SEARCH("MULTIFUNCIONAL",B596)),
ISNUMBER(SEARCH("AIO",B596))
),
"GANCHO",
"NORMAL"
)
)</f>
        <v>NORMAL</v>
      </c>
    </row>
    <row r="595" spans="1:12" x14ac:dyDescent="0.25">
      <c r="A595" s="3" t="s">
        <v>5382</v>
      </c>
      <c r="B595" s="3" t="s">
        <v>1344</v>
      </c>
      <c r="C595" s="1">
        <v>3</v>
      </c>
      <c r="D595" s="1">
        <v>108.9</v>
      </c>
      <c r="E595" s="1" t="s">
        <v>115</v>
      </c>
      <c r="F595" s="1" t="s">
        <v>5383</v>
      </c>
      <c r="G595" s="3"/>
      <c r="H595" s="11">
        <f>ROUND(
IF(L593="GANCHO",
   IF(I595&lt;=50,I595*1.1+4,IF(I595&lt;=120,I595*1.1+7,IF(I595&lt;=250,I595*1.1+11,I595*1.1+19))),
IF(L593="NORMAL",
   IF(I595&lt;=30,I595*1.15+2,IF(I595&lt;=80,I595*1.15+4,IF(I595&lt;=150,I595*1.15+6,I595*1.15+8))),
IF(L593="COMPLEMENTO",
   IF(I595&lt;=25,I595*1.25+1.5,IF(I595&lt;=60,I595*1.25+3,IF(I595&lt;=120,I595*1.25+4,I595*1.25+5))),
""))),2)</f>
        <v>522.27</v>
      </c>
      <c r="I595" s="9">
        <f>($K$2+0.02)*Tabla1[[#This Row],[PRECIO $]]*1.18</f>
        <v>447.18696</v>
      </c>
      <c r="J595" s="7">
        <f>+Tabla1[[#This Row],[PRECIO EN SOLES]]-Tabla1[[#This Row],[PC]]</f>
        <v>75.083039999999983</v>
      </c>
      <c r="K595" s="15"/>
      <c r="L595" s="15" t="str">
        <f>IF(
OR(
ISNUMBER(SEARCH("BACKPACK",B597)),
ISNUMBER(SEARCH("MOCHILA",B597)),
ISNUMBER(SEARCH("FUNDA",B597)),
ISNUMBER(SEARCH("ESTUCHE",B597)),
ISNUMBER(SEARCH("BOOK COVER",B597)),
ISNUMBER(SEARCH("KEYBOARD PARA TABLET",B597)),
ISNUMBER(SEARCH("FLIP TABLET",B597)),
ISNUMBER(SEARCH("CASE FOR TABLET",B597)),
ISNUMBER(SEARCH("CABLE",B597)),
ISNUMBER(SEARCH("ADAPTADOR",B597)),
ISNUMBER(SEARCH("HUB",B597)),
ISNUMBER(SEARCH("DOCK",B597)),
ISNUMBER(SEARCH("MOUSE PAD",B597)),
ISNUMBER(SEARCH("MOUSEPAD",B597)),
ISNUMBER(SEARCH("SOPORTE",B597)),
ISNUMBER(SEARCH("STAND",B597)),
ISNUMBER(SEARCH("TRAVEL ADAPTER",B597)),
ISNUMBER(SEARCH("RJ45",B597)),
ISNUMBER(SEARCH("USB-C",B597)),
ISNUMBER(SEARCH("USB WIFI",B597)),
ISNUMBER(SEARCH("POWERBANK",B597)),
ISNUMBER(SEARCH("CARGADOR",B597)),
ISNUMBER(SEARCH("COOLER PARA NB",B597)),
ISNUMBER(SEARCH("SOPORTE PARA NB",B597)),
ISNUMBER(SEARCH("WEBCAM",B597)),
ISNUMBER(SEARCH("WEB CAM",B597)),
ISNUMBER(SEARCH("MOUSE",B597)),
ISNUMBER(SEARCH("TECLADO",B597))
),
"COMPLEMENTO",
IF(
OR(
LEFT(A597,2)="NB",
LEFT(A597,2)="PC",
LEFT(A597,2)="WS",
LEFT(A597,2)="TB",
LEFT(A597,3)="CEL",
LEFT(A597,3)="MON",
LEFT(A597,3)="PRE",
LEFT(A597,3)="PRH",
ISNUMBER(SEARCH("NOTEBOOK",B597)),
ISNUMBER(SEARCH("LAPTOP",B597)),
ISNUMBER(SEARCH("MONITOR",B597)),
ISNUMBER(SEARCH("TABLET",B597)),
ISNUMBER(SEARCH("SMARTPH",B597)),
ISNUMBER(SEARCH("IMPRESORA",B597)),
ISNUMBER(SEARCH("MULTIFUNCIONAL",B597)),
ISNUMBER(SEARCH("AIO",B597))
),
"GANCHO",
"NORMAL"
)
)</f>
        <v>NORMAL</v>
      </c>
    </row>
    <row r="596" spans="1:12" x14ac:dyDescent="0.25">
      <c r="A596" s="3" t="s">
        <v>1343</v>
      </c>
      <c r="B596" s="3" t="s">
        <v>1344</v>
      </c>
      <c r="C596" s="1">
        <v>20</v>
      </c>
      <c r="D596" s="1">
        <v>114.2</v>
      </c>
      <c r="E596" s="1" t="s">
        <v>115</v>
      </c>
      <c r="F596" s="1" t="s">
        <v>3382</v>
      </c>
      <c r="G596" s="3" t="s">
        <v>1345</v>
      </c>
      <c r="H596" s="11">
        <f>ROUND(
IF(L594="GANCHO",
   IF(I596&lt;=50,I596*1.1+4,IF(I596&lt;=120,I596*1.1+7,IF(I596&lt;=250,I596*1.1+11,I596*1.1+19))),
IF(L594="NORMAL",
   IF(I596&lt;=30,I596*1.15+2,IF(I596&lt;=80,I596*1.15+4,IF(I596&lt;=150,I596*1.15+6,I596*1.15+8))),
IF(L594="COMPLEMENTO",
   IF(I596&lt;=25,I596*1.25+1.5,IF(I596&lt;=60,I596*1.25+3,IF(I596&lt;=120,I596*1.25+4,I596*1.25+5))),
""))),2)</f>
        <v>547.29</v>
      </c>
      <c r="I596" s="9">
        <f>($K$2+0.02)*Tabla1[[#This Row],[PRECIO $]]*1.18</f>
        <v>468.95087999999998</v>
      </c>
      <c r="J596" s="7">
        <f>+Tabla1[[#This Row],[PRECIO EN SOLES]]-Tabla1[[#This Row],[PC]]</f>
        <v>78.33911999999998</v>
      </c>
      <c r="K596" s="15"/>
      <c r="L596" s="15" t="str">
        <f>IF(
OR(
ISNUMBER(SEARCH("BACKPACK",B598)),
ISNUMBER(SEARCH("MOCHILA",B598)),
ISNUMBER(SEARCH("FUNDA",B598)),
ISNUMBER(SEARCH("ESTUCHE",B598)),
ISNUMBER(SEARCH("BOOK COVER",B598)),
ISNUMBER(SEARCH("KEYBOARD PARA TABLET",B598)),
ISNUMBER(SEARCH("FLIP TABLET",B598)),
ISNUMBER(SEARCH("CASE FOR TABLET",B598)),
ISNUMBER(SEARCH("CABLE",B598)),
ISNUMBER(SEARCH("ADAPTADOR",B598)),
ISNUMBER(SEARCH("HUB",B598)),
ISNUMBER(SEARCH("DOCK",B598)),
ISNUMBER(SEARCH("MOUSE PAD",B598)),
ISNUMBER(SEARCH("MOUSEPAD",B598)),
ISNUMBER(SEARCH("SOPORTE",B598)),
ISNUMBER(SEARCH("STAND",B598)),
ISNUMBER(SEARCH("TRAVEL ADAPTER",B598)),
ISNUMBER(SEARCH("RJ45",B598)),
ISNUMBER(SEARCH("USB-C",B598)),
ISNUMBER(SEARCH("USB WIFI",B598)),
ISNUMBER(SEARCH("POWERBANK",B598)),
ISNUMBER(SEARCH("CARGADOR",B598)),
ISNUMBER(SEARCH("COOLER PARA NB",B598)),
ISNUMBER(SEARCH("SOPORTE PARA NB",B598)),
ISNUMBER(SEARCH("WEBCAM",B598)),
ISNUMBER(SEARCH("WEB CAM",B598)),
ISNUMBER(SEARCH("MOUSE",B598)),
ISNUMBER(SEARCH("TECLADO",B598))
),
"COMPLEMENTO",
IF(
OR(
LEFT(A598,2)="NB",
LEFT(A598,2)="PC",
LEFT(A598,2)="WS",
LEFT(A598,2)="TB",
LEFT(A598,3)="CEL",
LEFT(A598,3)="MON",
LEFT(A598,3)="PRE",
LEFT(A598,3)="PRH",
ISNUMBER(SEARCH("NOTEBOOK",B598)),
ISNUMBER(SEARCH("LAPTOP",B598)),
ISNUMBER(SEARCH("MONITOR",B598)),
ISNUMBER(SEARCH("TABLET",B598)),
ISNUMBER(SEARCH("SMARTPH",B598)),
ISNUMBER(SEARCH("IMPRESORA",B598)),
ISNUMBER(SEARCH("MULTIFUNCIONAL",B598)),
ISNUMBER(SEARCH("AIO",B598))
),
"GANCHO",
"NORMAL"
)
)</f>
        <v>NORMAL</v>
      </c>
    </row>
    <row r="597" spans="1:12" x14ac:dyDescent="0.25">
      <c r="A597" s="3" t="s">
        <v>5384</v>
      </c>
      <c r="B597" s="3" t="s">
        <v>5385</v>
      </c>
      <c r="C597" s="1">
        <v>20</v>
      </c>
      <c r="D597" s="1">
        <v>256</v>
      </c>
      <c r="E597" s="1" t="s">
        <v>115</v>
      </c>
      <c r="F597" s="1" t="s">
        <v>5386</v>
      </c>
      <c r="G597" s="3" t="s">
        <v>5387</v>
      </c>
      <c r="H597" s="11">
        <f>ROUND(
IF(L595="GANCHO",
   IF(I597&lt;=50,I597*1.1+4,IF(I597&lt;=120,I597*1.1+7,IF(I597&lt;=250,I597*1.1+11,I597*1.1+19))),
IF(L595="NORMAL",
   IF(I597&lt;=30,I597*1.15+2,IF(I597&lt;=80,I597*1.15+4,IF(I597&lt;=150,I597*1.15+6,I597*1.15+8))),
IF(L595="COMPLEMENTO",
   IF(I597&lt;=25,I597*1.25+1.5,IF(I597&lt;=60,I597*1.25+3,IF(I597&lt;=120,I597*1.25+4,I597*1.25+5))),
""))),2)</f>
        <v>1216.92</v>
      </c>
      <c r="I597" s="9">
        <f>($K$2+0.02)*Tabla1[[#This Row],[PRECIO $]]*1.18</f>
        <v>1051.2384</v>
      </c>
      <c r="J597" s="7">
        <f>+Tabla1[[#This Row],[PRECIO EN SOLES]]-Tabla1[[#This Row],[PC]]</f>
        <v>165.68160000000012</v>
      </c>
      <c r="K597" s="15"/>
      <c r="L597" s="15" t="str">
        <f>IF(
OR(
ISNUMBER(SEARCH("BACKPACK",B599)),
ISNUMBER(SEARCH("MOCHILA",B599)),
ISNUMBER(SEARCH("FUNDA",B599)),
ISNUMBER(SEARCH("ESTUCHE",B599)),
ISNUMBER(SEARCH("BOOK COVER",B599)),
ISNUMBER(SEARCH("KEYBOARD PARA TABLET",B599)),
ISNUMBER(SEARCH("FLIP TABLET",B599)),
ISNUMBER(SEARCH("CASE FOR TABLET",B599)),
ISNUMBER(SEARCH("CABLE",B599)),
ISNUMBER(SEARCH("ADAPTADOR",B599)),
ISNUMBER(SEARCH("HUB",B599)),
ISNUMBER(SEARCH("DOCK",B599)),
ISNUMBER(SEARCH("MOUSE PAD",B599)),
ISNUMBER(SEARCH("MOUSEPAD",B599)),
ISNUMBER(SEARCH("SOPORTE",B599)),
ISNUMBER(SEARCH("STAND",B599)),
ISNUMBER(SEARCH("TRAVEL ADAPTER",B599)),
ISNUMBER(SEARCH("RJ45",B599)),
ISNUMBER(SEARCH("USB-C",B599)),
ISNUMBER(SEARCH("USB WIFI",B599)),
ISNUMBER(SEARCH("POWERBANK",B599)),
ISNUMBER(SEARCH("CARGADOR",B599)),
ISNUMBER(SEARCH("COOLER PARA NB",B599)),
ISNUMBER(SEARCH("SOPORTE PARA NB",B599)),
ISNUMBER(SEARCH("WEBCAM",B599)),
ISNUMBER(SEARCH("WEB CAM",B599)),
ISNUMBER(SEARCH("MOUSE",B599)),
ISNUMBER(SEARCH("TECLADO",B599))
),
"COMPLEMENTO",
IF(
OR(
LEFT(A599,2)="NB",
LEFT(A599,2)="PC",
LEFT(A599,2)="WS",
LEFT(A599,2)="TB",
LEFT(A599,3)="CEL",
LEFT(A599,3)="MON",
LEFT(A599,3)="PRE",
LEFT(A599,3)="PRH",
ISNUMBER(SEARCH("NOTEBOOK",B599)),
ISNUMBER(SEARCH("LAPTOP",B599)),
ISNUMBER(SEARCH("MONITOR",B599)),
ISNUMBER(SEARCH("TABLET",B599)),
ISNUMBER(SEARCH("SMARTPH",B599)),
ISNUMBER(SEARCH("IMPRESORA",B599)),
ISNUMBER(SEARCH("MULTIFUNCIONAL",B599)),
ISNUMBER(SEARCH("AIO",B599))
),
"GANCHO",
"NORMAL"
)
)</f>
        <v>NORMAL</v>
      </c>
    </row>
    <row r="598" spans="1:12" x14ac:dyDescent="0.25">
      <c r="A598" s="3" t="s">
        <v>5388</v>
      </c>
      <c r="B598" s="3" t="s">
        <v>5389</v>
      </c>
      <c r="C598" s="1">
        <v>19</v>
      </c>
      <c r="D598" s="1">
        <v>355</v>
      </c>
      <c r="E598" s="1" t="s">
        <v>115</v>
      </c>
      <c r="F598" s="1" t="s">
        <v>5390</v>
      </c>
      <c r="G598" s="3" t="s">
        <v>5391</v>
      </c>
      <c r="H598" s="11">
        <f>ROUND(
IF(L596="GANCHO",
   IF(I598&lt;=50,I598*1.1+4,IF(I598&lt;=120,I598*1.1+7,IF(I598&lt;=250,I598*1.1+11,I598*1.1+19))),
IF(L596="NORMAL",
   IF(I598&lt;=30,I598*1.15+2,IF(I598&lt;=80,I598*1.15+4,IF(I598&lt;=150,I598*1.15+6,I598*1.15+8))),
IF(L596="COMPLEMENTO",
   IF(I598&lt;=25,I598*1.25+1.5,IF(I598&lt;=60,I598*1.25+3,IF(I598&lt;=120,I598*1.25+4,I598*1.25+5))),
""))),2)</f>
        <v>1684.44</v>
      </c>
      <c r="I598" s="9">
        <f>($K$2+0.02)*Tabla1[[#This Row],[PRECIO $]]*1.18</f>
        <v>1457.7719999999999</v>
      </c>
      <c r="J598" s="7">
        <f>+Tabla1[[#This Row],[PRECIO EN SOLES]]-Tabla1[[#This Row],[PC]]</f>
        <v>226.66800000000012</v>
      </c>
      <c r="K598" s="15"/>
      <c r="L598" s="15" t="str">
        <f>IF(
OR(
ISNUMBER(SEARCH("BACKPACK",B600)),
ISNUMBER(SEARCH("MOCHILA",B600)),
ISNUMBER(SEARCH("FUNDA",B600)),
ISNUMBER(SEARCH("ESTUCHE",B600)),
ISNUMBER(SEARCH("BOOK COVER",B600)),
ISNUMBER(SEARCH("KEYBOARD PARA TABLET",B600)),
ISNUMBER(SEARCH("FLIP TABLET",B600)),
ISNUMBER(SEARCH("CASE FOR TABLET",B600)),
ISNUMBER(SEARCH("CABLE",B600)),
ISNUMBER(SEARCH("ADAPTADOR",B600)),
ISNUMBER(SEARCH("HUB",B600)),
ISNUMBER(SEARCH("DOCK",B600)),
ISNUMBER(SEARCH("MOUSE PAD",B600)),
ISNUMBER(SEARCH("MOUSEPAD",B600)),
ISNUMBER(SEARCH("SOPORTE",B600)),
ISNUMBER(SEARCH("STAND",B600)),
ISNUMBER(SEARCH("TRAVEL ADAPTER",B600)),
ISNUMBER(SEARCH("RJ45",B600)),
ISNUMBER(SEARCH("USB-C",B600)),
ISNUMBER(SEARCH("USB WIFI",B600)),
ISNUMBER(SEARCH("POWERBANK",B600)),
ISNUMBER(SEARCH("CARGADOR",B600)),
ISNUMBER(SEARCH("COOLER PARA NB",B600)),
ISNUMBER(SEARCH("SOPORTE PARA NB",B600)),
ISNUMBER(SEARCH("WEBCAM",B600)),
ISNUMBER(SEARCH("WEB CAM",B600)),
ISNUMBER(SEARCH("MOUSE",B600)),
ISNUMBER(SEARCH("TECLADO",B600))
),
"COMPLEMENTO",
IF(
OR(
LEFT(A600,2)="NB",
LEFT(A600,2)="PC",
LEFT(A600,2)="WS",
LEFT(A600,2)="TB",
LEFT(A600,3)="CEL",
LEFT(A600,3)="MON",
LEFT(A600,3)="PRE",
LEFT(A600,3)="PRH",
ISNUMBER(SEARCH("NOTEBOOK",B600)),
ISNUMBER(SEARCH("LAPTOP",B600)),
ISNUMBER(SEARCH("MONITOR",B600)),
ISNUMBER(SEARCH("TABLET",B600)),
ISNUMBER(SEARCH("SMARTPH",B600)),
ISNUMBER(SEARCH("IMPRESORA",B600)),
ISNUMBER(SEARCH("MULTIFUNCIONAL",B600)),
ISNUMBER(SEARCH("AIO",B600))
),
"GANCHO",
"NORMAL"
)
)</f>
        <v>NORMAL</v>
      </c>
    </row>
    <row r="599" spans="1:12" x14ac:dyDescent="0.25">
      <c r="A599" s="3" t="s">
        <v>5392</v>
      </c>
      <c r="B599" s="3" t="s">
        <v>5393</v>
      </c>
      <c r="C599" s="1">
        <v>20</v>
      </c>
      <c r="D599" s="1">
        <v>147.80000000000001</v>
      </c>
      <c r="E599" s="1" t="s">
        <v>115</v>
      </c>
      <c r="F599" s="1" t="s">
        <v>5394</v>
      </c>
      <c r="G599" s="3" t="s">
        <v>5395</v>
      </c>
      <c r="H599" s="11">
        <f>ROUND(
IF(L597="GANCHO",
   IF(I599&lt;=50,I599*1.1+4,IF(I599&lt;=120,I599*1.1+7,IF(I599&lt;=250,I599*1.1+11,I599*1.1+19))),
IF(L597="NORMAL",
   IF(I599&lt;=30,I599*1.15+2,IF(I599&lt;=80,I599*1.15+4,IF(I599&lt;=150,I599*1.15+6,I599*1.15+8))),
IF(L597="COMPLEMENTO",
   IF(I599&lt;=25,I599*1.25+1.5,IF(I599&lt;=60,I599*1.25+3,IF(I599&lt;=120,I599*1.25+4,I599*1.25+5))),
""))),2)</f>
        <v>705.96</v>
      </c>
      <c r="I599" s="9">
        <f>($K$2+0.02)*Tabla1[[#This Row],[PRECIO $]]*1.18</f>
        <v>606.92592000000002</v>
      </c>
      <c r="J599" s="7">
        <f>+Tabla1[[#This Row],[PRECIO EN SOLES]]-Tabla1[[#This Row],[PC]]</f>
        <v>99.034080000000017</v>
      </c>
      <c r="K599" s="15"/>
      <c r="L599" s="15" t="str">
        <f>IF(
OR(
ISNUMBER(SEARCH("BACKPACK",B601)),
ISNUMBER(SEARCH("MOCHILA",B601)),
ISNUMBER(SEARCH("FUNDA",B601)),
ISNUMBER(SEARCH("ESTUCHE",B601)),
ISNUMBER(SEARCH("BOOK COVER",B601)),
ISNUMBER(SEARCH("KEYBOARD PARA TABLET",B601)),
ISNUMBER(SEARCH("FLIP TABLET",B601)),
ISNUMBER(SEARCH("CASE FOR TABLET",B601)),
ISNUMBER(SEARCH("CABLE",B601)),
ISNUMBER(SEARCH("ADAPTADOR",B601)),
ISNUMBER(SEARCH("HUB",B601)),
ISNUMBER(SEARCH("DOCK",B601)),
ISNUMBER(SEARCH("MOUSE PAD",B601)),
ISNUMBER(SEARCH("MOUSEPAD",B601)),
ISNUMBER(SEARCH("SOPORTE",B601)),
ISNUMBER(SEARCH("STAND",B601)),
ISNUMBER(SEARCH("TRAVEL ADAPTER",B601)),
ISNUMBER(SEARCH("RJ45",B601)),
ISNUMBER(SEARCH("USB-C",B601)),
ISNUMBER(SEARCH("USB WIFI",B601)),
ISNUMBER(SEARCH("POWERBANK",B601)),
ISNUMBER(SEARCH("CARGADOR",B601)),
ISNUMBER(SEARCH("COOLER PARA NB",B601)),
ISNUMBER(SEARCH("SOPORTE PARA NB",B601)),
ISNUMBER(SEARCH("WEBCAM",B601)),
ISNUMBER(SEARCH("WEB CAM",B601)),
ISNUMBER(SEARCH("MOUSE",B601)),
ISNUMBER(SEARCH("TECLADO",B601))
),
"COMPLEMENTO",
IF(
OR(
LEFT(A601,2)="NB",
LEFT(A601,2)="PC",
LEFT(A601,2)="WS",
LEFT(A601,2)="TB",
LEFT(A601,3)="CEL",
LEFT(A601,3)="MON",
LEFT(A601,3)="PRE",
LEFT(A601,3)="PRH",
ISNUMBER(SEARCH("NOTEBOOK",B601)),
ISNUMBER(SEARCH("LAPTOP",B601)),
ISNUMBER(SEARCH("MONITOR",B601)),
ISNUMBER(SEARCH("TABLET",B601)),
ISNUMBER(SEARCH("SMARTPH",B601)),
ISNUMBER(SEARCH("IMPRESORA",B601)),
ISNUMBER(SEARCH("MULTIFUNCIONAL",B601)),
ISNUMBER(SEARCH("AIO",B601))
),
"GANCHO",
"NORMAL"
)
)</f>
        <v>NORMAL</v>
      </c>
    </row>
    <row r="600" spans="1:12" x14ac:dyDescent="0.25">
      <c r="A600" s="3" t="s">
        <v>5396</v>
      </c>
      <c r="B600" s="3" t="s">
        <v>5397</v>
      </c>
      <c r="C600" s="1">
        <v>20</v>
      </c>
      <c r="D600" s="1">
        <v>212.7</v>
      </c>
      <c r="E600" s="1" t="s">
        <v>115</v>
      </c>
      <c r="F600" s="1" t="s">
        <v>5398</v>
      </c>
      <c r="G600" s="3" t="s">
        <v>5399</v>
      </c>
      <c r="H600" s="11">
        <f>ROUND(
IF(L598="GANCHO",
   IF(I600&lt;=50,I600*1.1+4,IF(I600&lt;=120,I600*1.1+7,IF(I600&lt;=250,I600*1.1+11,I600*1.1+19))),
IF(L598="NORMAL",
   IF(I600&lt;=30,I600*1.15+2,IF(I600&lt;=80,I600*1.15+4,IF(I600&lt;=150,I600*1.15+6,I600*1.15+8))),
IF(L598="COMPLEMENTO",
   IF(I600&lt;=25,I600*1.25+1.5,IF(I600&lt;=60,I600*1.25+3,IF(I600&lt;=120,I600*1.25+4,I600*1.25+5))),
""))),2)</f>
        <v>1012.45</v>
      </c>
      <c r="I600" s="9">
        <f>($K$2+0.02)*Tabla1[[#This Row],[PRECIO $]]*1.18</f>
        <v>873.4312799999999</v>
      </c>
      <c r="J600" s="7">
        <f>+Tabla1[[#This Row],[PRECIO EN SOLES]]-Tabla1[[#This Row],[PC]]</f>
        <v>139.01872000000014</v>
      </c>
      <c r="K600" s="15"/>
      <c r="L600" s="15" t="str">
        <f>IF(
OR(
ISNUMBER(SEARCH("BACKPACK",B602)),
ISNUMBER(SEARCH("MOCHILA",B602)),
ISNUMBER(SEARCH("FUNDA",B602)),
ISNUMBER(SEARCH("ESTUCHE",B602)),
ISNUMBER(SEARCH("BOOK COVER",B602)),
ISNUMBER(SEARCH("KEYBOARD PARA TABLET",B602)),
ISNUMBER(SEARCH("FLIP TABLET",B602)),
ISNUMBER(SEARCH("CASE FOR TABLET",B602)),
ISNUMBER(SEARCH("CABLE",B602)),
ISNUMBER(SEARCH("ADAPTADOR",B602)),
ISNUMBER(SEARCH("HUB",B602)),
ISNUMBER(SEARCH("DOCK",B602)),
ISNUMBER(SEARCH("MOUSE PAD",B602)),
ISNUMBER(SEARCH("MOUSEPAD",B602)),
ISNUMBER(SEARCH("SOPORTE",B602)),
ISNUMBER(SEARCH("STAND",B602)),
ISNUMBER(SEARCH("TRAVEL ADAPTER",B602)),
ISNUMBER(SEARCH("RJ45",B602)),
ISNUMBER(SEARCH("USB-C",B602)),
ISNUMBER(SEARCH("USB WIFI",B602)),
ISNUMBER(SEARCH("POWERBANK",B602)),
ISNUMBER(SEARCH("CARGADOR",B602)),
ISNUMBER(SEARCH("COOLER PARA NB",B602)),
ISNUMBER(SEARCH("SOPORTE PARA NB",B602)),
ISNUMBER(SEARCH("WEBCAM",B602)),
ISNUMBER(SEARCH("WEB CAM",B602)),
ISNUMBER(SEARCH("MOUSE",B602)),
ISNUMBER(SEARCH("TECLADO",B602))
),
"COMPLEMENTO",
IF(
OR(
LEFT(A602,2)="NB",
LEFT(A602,2)="PC",
LEFT(A602,2)="WS",
LEFT(A602,2)="TB",
LEFT(A602,3)="CEL",
LEFT(A602,3)="MON",
LEFT(A602,3)="PRE",
LEFT(A602,3)="PRH",
ISNUMBER(SEARCH("NOTEBOOK",B602)),
ISNUMBER(SEARCH("LAPTOP",B602)),
ISNUMBER(SEARCH("MONITOR",B602)),
ISNUMBER(SEARCH("TABLET",B602)),
ISNUMBER(SEARCH("SMARTPH",B602)),
ISNUMBER(SEARCH("IMPRESORA",B602)),
ISNUMBER(SEARCH("MULTIFUNCIONAL",B602)),
ISNUMBER(SEARCH("AIO",B602))
),
"GANCHO",
"NORMAL"
)
)</f>
        <v>NORMAL</v>
      </c>
    </row>
    <row r="601" spans="1:12" x14ac:dyDescent="0.25">
      <c r="A601" s="3" t="s">
        <v>5400</v>
      </c>
      <c r="B601" s="3" t="s">
        <v>5401</v>
      </c>
      <c r="C601" s="1">
        <v>20</v>
      </c>
      <c r="D601" s="1">
        <v>223</v>
      </c>
      <c r="E601" s="1" t="s">
        <v>115</v>
      </c>
      <c r="F601" s="1" t="s">
        <v>5402</v>
      </c>
      <c r="G601" s="3" t="s">
        <v>5403</v>
      </c>
      <c r="H601" s="11">
        <f>ROUND(
IF(L599="GANCHO",
   IF(I601&lt;=50,I601*1.1+4,IF(I601&lt;=120,I601*1.1+7,IF(I601&lt;=250,I601*1.1+11,I601*1.1+19))),
IF(L599="NORMAL",
   IF(I601&lt;=30,I601*1.15+2,IF(I601&lt;=80,I601*1.15+4,IF(I601&lt;=150,I601*1.15+6,I601*1.15+8))),
IF(L599="COMPLEMENTO",
   IF(I601&lt;=25,I601*1.25+1.5,IF(I601&lt;=60,I601*1.25+3,IF(I601&lt;=120,I601*1.25+4,I601*1.25+5))),
""))),2)</f>
        <v>1061.0899999999999</v>
      </c>
      <c r="I601" s="9">
        <f>($K$2+0.02)*Tabla1[[#This Row],[PRECIO $]]*1.18</f>
        <v>915.72719999999993</v>
      </c>
      <c r="J601" s="7">
        <f>+Tabla1[[#This Row],[PRECIO EN SOLES]]-Tabla1[[#This Row],[PC]]</f>
        <v>145.36279999999999</v>
      </c>
      <c r="K601" s="15"/>
      <c r="L601" s="15" t="str">
        <f>IF(
OR(
ISNUMBER(SEARCH("BACKPACK",B603)),
ISNUMBER(SEARCH("MOCHILA",B603)),
ISNUMBER(SEARCH("FUNDA",B603)),
ISNUMBER(SEARCH("ESTUCHE",B603)),
ISNUMBER(SEARCH("BOOK COVER",B603)),
ISNUMBER(SEARCH("KEYBOARD PARA TABLET",B603)),
ISNUMBER(SEARCH("FLIP TABLET",B603)),
ISNUMBER(SEARCH("CASE FOR TABLET",B603)),
ISNUMBER(SEARCH("CABLE",B603)),
ISNUMBER(SEARCH("ADAPTADOR",B603)),
ISNUMBER(SEARCH("HUB",B603)),
ISNUMBER(SEARCH("DOCK",B603)),
ISNUMBER(SEARCH("MOUSE PAD",B603)),
ISNUMBER(SEARCH("MOUSEPAD",B603)),
ISNUMBER(SEARCH("SOPORTE",B603)),
ISNUMBER(SEARCH("STAND",B603)),
ISNUMBER(SEARCH("TRAVEL ADAPTER",B603)),
ISNUMBER(SEARCH("RJ45",B603)),
ISNUMBER(SEARCH("USB-C",B603)),
ISNUMBER(SEARCH("USB WIFI",B603)),
ISNUMBER(SEARCH("POWERBANK",B603)),
ISNUMBER(SEARCH("CARGADOR",B603)),
ISNUMBER(SEARCH("COOLER PARA NB",B603)),
ISNUMBER(SEARCH("SOPORTE PARA NB",B603)),
ISNUMBER(SEARCH("WEBCAM",B603)),
ISNUMBER(SEARCH("WEB CAM",B603)),
ISNUMBER(SEARCH("MOUSE",B603)),
ISNUMBER(SEARCH("TECLADO",B603))
),
"COMPLEMENTO",
IF(
OR(
LEFT(A603,2)="NB",
LEFT(A603,2)="PC",
LEFT(A603,2)="WS",
LEFT(A603,2)="TB",
LEFT(A603,3)="CEL",
LEFT(A603,3)="MON",
LEFT(A603,3)="PRE",
LEFT(A603,3)="PRH",
ISNUMBER(SEARCH("NOTEBOOK",B603)),
ISNUMBER(SEARCH("LAPTOP",B603)),
ISNUMBER(SEARCH("MONITOR",B603)),
ISNUMBER(SEARCH("TABLET",B603)),
ISNUMBER(SEARCH("SMARTPH",B603)),
ISNUMBER(SEARCH("IMPRESORA",B603)),
ISNUMBER(SEARCH("MULTIFUNCIONAL",B603)),
ISNUMBER(SEARCH("AIO",B603))
),
"GANCHO",
"NORMAL"
)
)</f>
        <v>NORMAL</v>
      </c>
    </row>
    <row r="602" spans="1:12" x14ac:dyDescent="0.25">
      <c r="A602" s="3" t="s">
        <v>5404</v>
      </c>
      <c r="B602" s="3" t="s">
        <v>5405</v>
      </c>
      <c r="C602" s="1">
        <v>8</v>
      </c>
      <c r="D602" s="1">
        <v>300.5</v>
      </c>
      <c r="E602" s="1" t="s">
        <v>115</v>
      </c>
      <c r="F602" s="1" t="s">
        <v>5406</v>
      </c>
      <c r="G602" s="3" t="s">
        <v>5407</v>
      </c>
      <c r="H602" s="11">
        <f>ROUND(
IF(L600="GANCHO",
   IF(I602&lt;=50,I602*1.1+4,IF(I602&lt;=120,I602*1.1+7,IF(I602&lt;=250,I602*1.1+11,I602*1.1+19))),
IF(L600="NORMAL",
   IF(I602&lt;=30,I602*1.15+2,IF(I602&lt;=80,I602*1.15+4,IF(I602&lt;=150,I602*1.15+6,I602*1.15+8))),
IF(L600="COMPLEMENTO",
   IF(I602&lt;=25,I602*1.25+1.5,IF(I602&lt;=60,I602*1.25+3,IF(I602&lt;=120,I602*1.25+4,I602*1.25+5))),
""))),2)</f>
        <v>1427.07</v>
      </c>
      <c r="I602" s="9">
        <f>($K$2+0.02)*Tabla1[[#This Row],[PRECIO $]]*1.18</f>
        <v>1233.9731999999999</v>
      </c>
      <c r="J602" s="7">
        <f>+Tabla1[[#This Row],[PRECIO EN SOLES]]-Tabla1[[#This Row],[PC]]</f>
        <v>193.09680000000003</v>
      </c>
      <c r="K602" s="15"/>
      <c r="L602" s="15" t="str">
        <f>IF(
OR(
ISNUMBER(SEARCH("BACKPACK",B604)),
ISNUMBER(SEARCH("MOCHILA",B604)),
ISNUMBER(SEARCH("FUNDA",B604)),
ISNUMBER(SEARCH("ESTUCHE",B604)),
ISNUMBER(SEARCH("BOOK COVER",B604)),
ISNUMBER(SEARCH("KEYBOARD PARA TABLET",B604)),
ISNUMBER(SEARCH("FLIP TABLET",B604)),
ISNUMBER(SEARCH("CASE FOR TABLET",B604)),
ISNUMBER(SEARCH("CABLE",B604)),
ISNUMBER(SEARCH("ADAPTADOR",B604)),
ISNUMBER(SEARCH("HUB",B604)),
ISNUMBER(SEARCH("DOCK",B604)),
ISNUMBER(SEARCH("MOUSE PAD",B604)),
ISNUMBER(SEARCH("MOUSEPAD",B604)),
ISNUMBER(SEARCH("SOPORTE",B604)),
ISNUMBER(SEARCH("STAND",B604)),
ISNUMBER(SEARCH("TRAVEL ADAPTER",B604)),
ISNUMBER(SEARCH("RJ45",B604)),
ISNUMBER(SEARCH("USB-C",B604)),
ISNUMBER(SEARCH("USB WIFI",B604)),
ISNUMBER(SEARCH("POWERBANK",B604)),
ISNUMBER(SEARCH("CARGADOR",B604)),
ISNUMBER(SEARCH("COOLER PARA NB",B604)),
ISNUMBER(SEARCH("SOPORTE PARA NB",B604)),
ISNUMBER(SEARCH("WEBCAM",B604)),
ISNUMBER(SEARCH("WEB CAM",B604)),
ISNUMBER(SEARCH("MOUSE",B604)),
ISNUMBER(SEARCH("TECLADO",B604))
),
"COMPLEMENTO",
IF(
OR(
LEFT(A604,2)="NB",
LEFT(A604,2)="PC",
LEFT(A604,2)="WS",
LEFT(A604,2)="TB",
LEFT(A604,3)="CEL",
LEFT(A604,3)="MON",
LEFT(A604,3)="PRE",
LEFT(A604,3)="PRH",
ISNUMBER(SEARCH("NOTEBOOK",B604)),
ISNUMBER(SEARCH("LAPTOP",B604)),
ISNUMBER(SEARCH("MONITOR",B604)),
ISNUMBER(SEARCH("TABLET",B604)),
ISNUMBER(SEARCH("SMARTPH",B604)),
ISNUMBER(SEARCH("IMPRESORA",B604)),
ISNUMBER(SEARCH("MULTIFUNCIONAL",B604)),
ISNUMBER(SEARCH("AIO",B604))
),
"GANCHO",
"NORMAL"
)
)</f>
        <v>NORMAL</v>
      </c>
    </row>
    <row r="603" spans="1:12" x14ac:dyDescent="0.25">
      <c r="A603" s="3" t="s">
        <v>5408</v>
      </c>
      <c r="B603" s="3" t="s">
        <v>5409</v>
      </c>
      <c r="C603" s="1">
        <v>16</v>
      </c>
      <c r="D603" s="1">
        <v>279</v>
      </c>
      <c r="E603" s="1" t="s">
        <v>115</v>
      </c>
      <c r="F603" s="1" t="s">
        <v>5410</v>
      </c>
      <c r="G603" s="3" t="s">
        <v>5411</v>
      </c>
      <c r="H603" s="11">
        <f>ROUND(
IF(L601="GANCHO",
   IF(I603&lt;=50,I603*1.1+4,IF(I603&lt;=120,I603*1.1+7,IF(I603&lt;=250,I603*1.1+11,I603*1.1+19))),
IF(L601="NORMAL",
   IF(I603&lt;=30,I603*1.15+2,IF(I603&lt;=80,I603*1.15+4,IF(I603&lt;=150,I603*1.15+6,I603*1.15+8))),
IF(L601="COMPLEMENTO",
   IF(I603&lt;=25,I603*1.25+1.5,IF(I603&lt;=60,I603*1.25+3,IF(I603&lt;=120,I603*1.25+4,I603*1.25+5))),
""))),2)</f>
        <v>1325.54</v>
      </c>
      <c r="I603" s="9">
        <f>($K$2+0.02)*Tabla1[[#This Row],[PRECIO $]]*1.18</f>
        <v>1145.6855999999998</v>
      </c>
      <c r="J603" s="7">
        <f>+Tabla1[[#This Row],[PRECIO EN SOLES]]-Tabla1[[#This Row],[PC]]</f>
        <v>179.85440000000017</v>
      </c>
      <c r="K603" s="15"/>
      <c r="L603" s="15" t="str">
        <f>IF(
OR(
ISNUMBER(SEARCH("BACKPACK",B605)),
ISNUMBER(SEARCH("MOCHILA",B605)),
ISNUMBER(SEARCH("FUNDA",B605)),
ISNUMBER(SEARCH("ESTUCHE",B605)),
ISNUMBER(SEARCH("BOOK COVER",B605)),
ISNUMBER(SEARCH("KEYBOARD PARA TABLET",B605)),
ISNUMBER(SEARCH("FLIP TABLET",B605)),
ISNUMBER(SEARCH("CASE FOR TABLET",B605)),
ISNUMBER(SEARCH("CABLE",B605)),
ISNUMBER(SEARCH("ADAPTADOR",B605)),
ISNUMBER(SEARCH("HUB",B605)),
ISNUMBER(SEARCH("DOCK",B605)),
ISNUMBER(SEARCH("MOUSE PAD",B605)),
ISNUMBER(SEARCH("MOUSEPAD",B605)),
ISNUMBER(SEARCH("SOPORTE",B605)),
ISNUMBER(SEARCH("STAND",B605)),
ISNUMBER(SEARCH("TRAVEL ADAPTER",B605)),
ISNUMBER(SEARCH("RJ45",B605)),
ISNUMBER(SEARCH("USB-C",B605)),
ISNUMBER(SEARCH("USB WIFI",B605)),
ISNUMBER(SEARCH("POWERBANK",B605)),
ISNUMBER(SEARCH("CARGADOR",B605)),
ISNUMBER(SEARCH("COOLER PARA NB",B605)),
ISNUMBER(SEARCH("SOPORTE PARA NB",B605)),
ISNUMBER(SEARCH("WEBCAM",B605)),
ISNUMBER(SEARCH("WEB CAM",B605)),
ISNUMBER(SEARCH("MOUSE",B605)),
ISNUMBER(SEARCH("TECLADO",B605))
),
"COMPLEMENTO",
IF(
OR(
LEFT(A605,2)="NB",
LEFT(A605,2)="PC",
LEFT(A605,2)="WS",
LEFT(A605,2)="TB",
LEFT(A605,3)="CEL",
LEFT(A605,3)="MON",
LEFT(A605,3)="PRE",
LEFT(A605,3)="PRH",
ISNUMBER(SEARCH("NOTEBOOK",B605)),
ISNUMBER(SEARCH("LAPTOP",B605)),
ISNUMBER(SEARCH("MONITOR",B605)),
ISNUMBER(SEARCH("TABLET",B605)),
ISNUMBER(SEARCH("SMARTPH",B605)),
ISNUMBER(SEARCH("IMPRESORA",B605)),
ISNUMBER(SEARCH("MULTIFUNCIONAL",B605)),
ISNUMBER(SEARCH("AIO",B605))
),
"GANCHO",
"NORMAL"
)
)</f>
        <v>NORMAL</v>
      </c>
    </row>
    <row r="604" spans="1:12" x14ac:dyDescent="0.25">
      <c r="A604" s="3" t="s">
        <v>5412</v>
      </c>
      <c r="B604" s="3" t="s">
        <v>5413</v>
      </c>
      <c r="C604" s="1">
        <v>15</v>
      </c>
      <c r="D604" s="1">
        <v>230.5</v>
      </c>
      <c r="E604" s="1" t="s">
        <v>115</v>
      </c>
      <c r="F604" s="1" t="s">
        <v>5414</v>
      </c>
      <c r="G604" s="3" t="s">
        <v>5415</v>
      </c>
      <c r="H604" s="11">
        <f>ROUND(
IF(L602="GANCHO",
   IF(I604&lt;=50,I604*1.1+4,IF(I604&lt;=120,I604*1.1+7,IF(I604&lt;=250,I604*1.1+11,I604*1.1+19))),
IF(L602="NORMAL",
   IF(I604&lt;=30,I604*1.15+2,IF(I604&lt;=80,I604*1.15+4,IF(I604&lt;=150,I604*1.15+6,I604*1.15+8))),
IF(L602="COMPLEMENTO",
   IF(I604&lt;=25,I604*1.25+1.5,IF(I604&lt;=60,I604*1.25+3,IF(I604&lt;=120,I604*1.25+4,I604*1.25+5))),
""))),2)</f>
        <v>1096.5</v>
      </c>
      <c r="I604" s="9">
        <f>($K$2+0.02)*Tabla1[[#This Row],[PRECIO $]]*1.18</f>
        <v>946.52519999999993</v>
      </c>
      <c r="J604" s="7">
        <f>+Tabla1[[#This Row],[PRECIO EN SOLES]]-Tabla1[[#This Row],[PC]]</f>
        <v>149.97480000000007</v>
      </c>
      <c r="K604" s="15"/>
      <c r="L604" s="15" t="str">
        <f>IF(
OR(
ISNUMBER(SEARCH("BACKPACK",B606)),
ISNUMBER(SEARCH("MOCHILA",B606)),
ISNUMBER(SEARCH("FUNDA",B606)),
ISNUMBER(SEARCH("ESTUCHE",B606)),
ISNUMBER(SEARCH("BOOK COVER",B606)),
ISNUMBER(SEARCH("KEYBOARD PARA TABLET",B606)),
ISNUMBER(SEARCH("FLIP TABLET",B606)),
ISNUMBER(SEARCH("CASE FOR TABLET",B606)),
ISNUMBER(SEARCH("CABLE",B606)),
ISNUMBER(SEARCH("ADAPTADOR",B606)),
ISNUMBER(SEARCH("HUB",B606)),
ISNUMBER(SEARCH("DOCK",B606)),
ISNUMBER(SEARCH("MOUSE PAD",B606)),
ISNUMBER(SEARCH("MOUSEPAD",B606)),
ISNUMBER(SEARCH("SOPORTE",B606)),
ISNUMBER(SEARCH("STAND",B606)),
ISNUMBER(SEARCH("TRAVEL ADAPTER",B606)),
ISNUMBER(SEARCH("RJ45",B606)),
ISNUMBER(SEARCH("USB-C",B606)),
ISNUMBER(SEARCH("USB WIFI",B606)),
ISNUMBER(SEARCH("POWERBANK",B606)),
ISNUMBER(SEARCH("CARGADOR",B606)),
ISNUMBER(SEARCH("COOLER PARA NB",B606)),
ISNUMBER(SEARCH("SOPORTE PARA NB",B606)),
ISNUMBER(SEARCH("WEBCAM",B606)),
ISNUMBER(SEARCH("WEB CAM",B606)),
ISNUMBER(SEARCH("MOUSE",B606)),
ISNUMBER(SEARCH("TECLADO",B606))
),
"COMPLEMENTO",
IF(
OR(
LEFT(A606,2)="NB",
LEFT(A606,2)="PC",
LEFT(A606,2)="WS",
LEFT(A606,2)="TB",
LEFT(A606,3)="CEL",
LEFT(A606,3)="MON",
LEFT(A606,3)="PRE",
LEFT(A606,3)="PRH",
ISNUMBER(SEARCH("NOTEBOOK",B606)),
ISNUMBER(SEARCH("LAPTOP",B606)),
ISNUMBER(SEARCH("MONITOR",B606)),
ISNUMBER(SEARCH("TABLET",B606)),
ISNUMBER(SEARCH("SMARTPH",B606)),
ISNUMBER(SEARCH("IMPRESORA",B606)),
ISNUMBER(SEARCH("MULTIFUNCIONAL",B606)),
ISNUMBER(SEARCH("AIO",B606))
),
"GANCHO",
"NORMAL"
)
)</f>
        <v>NORMAL</v>
      </c>
    </row>
    <row r="605" spans="1:12" x14ac:dyDescent="0.25">
      <c r="A605" s="3" t="s">
        <v>5416</v>
      </c>
      <c r="B605" s="3" t="s">
        <v>5417</v>
      </c>
      <c r="C605" s="1">
        <v>16</v>
      </c>
      <c r="D605" s="1">
        <v>474</v>
      </c>
      <c r="E605" s="1" t="s">
        <v>115</v>
      </c>
      <c r="F605" s="1" t="s">
        <v>5418</v>
      </c>
      <c r="G605" s="3" t="s">
        <v>5419</v>
      </c>
      <c r="H605" s="11">
        <f>ROUND(
IF(L603="GANCHO",
   IF(I605&lt;=50,I605*1.1+4,IF(I605&lt;=120,I605*1.1+7,IF(I605&lt;=250,I605*1.1+11,I605*1.1+19))),
IF(L603="NORMAL",
   IF(I605&lt;=30,I605*1.15+2,IF(I605&lt;=80,I605*1.15+4,IF(I605&lt;=150,I605*1.15+6,I605*1.15+8))),
IF(L603="COMPLEMENTO",
   IF(I605&lt;=25,I605*1.25+1.5,IF(I605&lt;=60,I605*1.25+3,IF(I605&lt;=120,I605*1.25+4,I605*1.25+5))),
""))),2)</f>
        <v>2246.4</v>
      </c>
      <c r="I605" s="9">
        <f>($K$2+0.02)*Tabla1[[#This Row],[PRECIO $]]*1.18</f>
        <v>1946.4335999999998</v>
      </c>
      <c r="J605" s="7">
        <f>+Tabla1[[#This Row],[PRECIO EN SOLES]]-Tabla1[[#This Row],[PC]]</f>
        <v>299.96640000000025</v>
      </c>
      <c r="K605" s="15"/>
      <c r="L605" s="15" t="str">
        <f>IF(
OR(
ISNUMBER(SEARCH("BACKPACK",B607)),
ISNUMBER(SEARCH("MOCHILA",B607)),
ISNUMBER(SEARCH("FUNDA",B607)),
ISNUMBER(SEARCH("ESTUCHE",B607)),
ISNUMBER(SEARCH("BOOK COVER",B607)),
ISNUMBER(SEARCH("KEYBOARD PARA TABLET",B607)),
ISNUMBER(SEARCH("FLIP TABLET",B607)),
ISNUMBER(SEARCH("CASE FOR TABLET",B607)),
ISNUMBER(SEARCH("CABLE",B607)),
ISNUMBER(SEARCH("ADAPTADOR",B607)),
ISNUMBER(SEARCH("HUB",B607)),
ISNUMBER(SEARCH("DOCK",B607)),
ISNUMBER(SEARCH("MOUSE PAD",B607)),
ISNUMBER(SEARCH("MOUSEPAD",B607)),
ISNUMBER(SEARCH("SOPORTE",B607)),
ISNUMBER(SEARCH("STAND",B607)),
ISNUMBER(SEARCH("TRAVEL ADAPTER",B607)),
ISNUMBER(SEARCH("RJ45",B607)),
ISNUMBER(SEARCH("USB-C",B607)),
ISNUMBER(SEARCH("USB WIFI",B607)),
ISNUMBER(SEARCH("POWERBANK",B607)),
ISNUMBER(SEARCH("CARGADOR",B607)),
ISNUMBER(SEARCH("COOLER PARA NB",B607)),
ISNUMBER(SEARCH("SOPORTE PARA NB",B607)),
ISNUMBER(SEARCH("WEBCAM",B607)),
ISNUMBER(SEARCH("WEB CAM",B607)),
ISNUMBER(SEARCH("MOUSE",B607)),
ISNUMBER(SEARCH("TECLADO",B607))
),
"COMPLEMENTO",
IF(
OR(
LEFT(A607,2)="NB",
LEFT(A607,2)="PC",
LEFT(A607,2)="WS",
LEFT(A607,2)="TB",
LEFT(A607,3)="CEL",
LEFT(A607,3)="MON",
LEFT(A607,3)="PRE",
LEFT(A607,3)="PRH",
ISNUMBER(SEARCH("NOTEBOOK",B607)),
ISNUMBER(SEARCH("LAPTOP",B607)),
ISNUMBER(SEARCH("MONITOR",B607)),
ISNUMBER(SEARCH("TABLET",B607)),
ISNUMBER(SEARCH("SMARTPH",B607)),
ISNUMBER(SEARCH("IMPRESORA",B607)),
ISNUMBER(SEARCH("MULTIFUNCIONAL",B607)),
ISNUMBER(SEARCH("AIO",B607))
),
"GANCHO",
"NORMAL"
)
)</f>
        <v>NORMAL</v>
      </c>
    </row>
    <row r="606" spans="1:12" x14ac:dyDescent="0.25">
      <c r="A606" s="3" t="s">
        <v>1346</v>
      </c>
      <c r="B606" s="3" t="s">
        <v>1347</v>
      </c>
      <c r="C606" s="1">
        <v>5</v>
      </c>
      <c r="D606" s="1">
        <v>185.5</v>
      </c>
      <c r="E606" s="1" t="s">
        <v>226</v>
      </c>
      <c r="F606" s="1" t="s">
        <v>3383</v>
      </c>
      <c r="G606" s="3" t="s">
        <v>1348</v>
      </c>
      <c r="H606" s="11">
        <f>ROUND(
IF(L604="GANCHO",
   IF(I606&lt;=50,I606*1.1+4,IF(I606&lt;=120,I606*1.1+7,IF(I606&lt;=250,I606*1.1+11,I606*1.1+19))),
IF(L604="NORMAL",
   IF(I606&lt;=30,I606*1.15+2,IF(I606&lt;=80,I606*1.15+4,IF(I606&lt;=150,I606*1.15+6,I606*1.15+8))),
IF(L604="COMPLEMENTO",
   IF(I606&lt;=25,I606*1.25+1.5,IF(I606&lt;=60,I606*1.25+3,IF(I606&lt;=120,I606*1.25+4,I606*1.25+5))),
""))),2)</f>
        <v>884</v>
      </c>
      <c r="I606" s="9">
        <f>($K$2+0.02)*Tabla1[[#This Row],[PRECIO $]]*1.18</f>
        <v>761.73719999999992</v>
      </c>
      <c r="J606" s="7">
        <f>+Tabla1[[#This Row],[PRECIO EN SOLES]]-Tabla1[[#This Row],[PC]]</f>
        <v>122.26280000000008</v>
      </c>
      <c r="K606" s="15"/>
      <c r="L606" s="15" t="str">
        <f>IF(
OR(
ISNUMBER(SEARCH("BACKPACK",B608)),
ISNUMBER(SEARCH("MOCHILA",B608)),
ISNUMBER(SEARCH("FUNDA",B608)),
ISNUMBER(SEARCH("ESTUCHE",B608)),
ISNUMBER(SEARCH("BOOK COVER",B608)),
ISNUMBER(SEARCH("KEYBOARD PARA TABLET",B608)),
ISNUMBER(SEARCH("FLIP TABLET",B608)),
ISNUMBER(SEARCH("CASE FOR TABLET",B608)),
ISNUMBER(SEARCH("CABLE",B608)),
ISNUMBER(SEARCH("ADAPTADOR",B608)),
ISNUMBER(SEARCH("HUB",B608)),
ISNUMBER(SEARCH("DOCK",B608)),
ISNUMBER(SEARCH("MOUSE PAD",B608)),
ISNUMBER(SEARCH("MOUSEPAD",B608)),
ISNUMBER(SEARCH("SOPORTE",B608)),
ISNUMBER(SEARCH("STAND",B608)),
ISNUMBER(SEARCH("TRAVEL ADAPTER",B608)),
ISNUMBER(SEARCH("RJ45",B608)),
ISNUMBER(SEARCH("USB-C",B608)),
ISNUMBER(SEARCH("USB WIFI",B608)),
ISNUMBER(SEARCH("POWERBANK",B608)),
ISNUMBER(SEARCH("CARGADOR",B608)),
ISNUMBER(SEARCH("COOLER PARA NB",B608)),
ISNUMBER(SEARCH("SOPORTE PARA NB",B608)),
ISNUMBER(SEARCH("WEBCAM",B608)),
ISNUMBER(SEARCH("WEB CAM",B608)),
ISNUMBER(SEARCH("MOUSE",B608)),
ISNUMBER(SEARCH("TECLADO",B608))
),
"COMPLEMENTO",
IF(
OR(
LEFT(A608,2)="NB",
LEFT(A608,2)="PC",
LEFT(A608,2)="WS",
LEFT(A608,2)="TB",
LEFT(A608,3)="CEL",
LEFT(A608,3)="MON",
LEFT(A608,3)="PRE",
LEFT(A608,3)="PRH",
ISNUMBER(SEARCH("NOTEBOOK",B608)),
ISNUMBER(SEARCH("LAPTOP",B608)),
ISNUMBER(SEARCH("MONITOR",B608)),
ISNUMBER(SEARCH("TABLET",B608)),
ISNUMBER(SEARCH("SMARTPH",B608)),
ISNUMBER(SEARCH("IMPRESORA",B608)),
ISNUMBER(SEARCH("MULTIFUNCIONAL",B608)),
ISNUMBER(SEARCH("AIO",B608))
),
"GANCHO",
"NORMAL"
)
)</f>
        <v>NORMAL</v>
      </c>
    </row>
    <row r="607" spans="1:12" x14ac:dyDescent="0.25">
      <c r="A607" s="3" t="s">
        <v>1349</v>
      </c>
      <c r="B607" s="3" t="s">
        <v>1350</v>
      </c>
      <c r="C607" s="1">
        <v>5</v>
      </c>
      <c r="D607" s="1">
        <v>183</v>
      </c>
      <c r="E607" s="1" t="s">
        <v>226</v>
      </c>
      <c r="F607" s="1" t="s">
        <v>3384</v>
      </c>
      <c r="G607" s="3" t="s">
        <v>1351</v>
      </c>
      <c r="H607" s="11">
        <f>ROUND(
IF(L605="GANCHO",
   IF(I607&lt;=50,I607*1.1+4,IF(I607&lt;=120,I607*1.1+7,IF(I607&lt;=250,I607*1.1+11,I607*1.1+19))),
IF(L605="NORMAL",
   IF(I607&lt;=30,I607*1.15+2,IF(I607&lt;=80,I607*1.15+4,IF(I607&lt;=150,I607*1.15+6,I607*1.15+8))),
IF(L605="COMPLEMENTO",
   IF(I607&lt;=25,I607*1.25+1.5,IF(I607&lt;=60,I607*1.25+3,IF(I607&lt;=120,I607*1.25+4,I607*1.25+5))),
""))),2)</f>
        <v>872.19</v>
      </c>
      <c r="I607" s="9">
        <f>($K$2+0.02)*Tabla1[[#This Row],[PRECIO $]]*1.18</f>
        <v>751.47119999999995</v>
      </c>
      <c r="J607" s="7">
        <f>+Tabla1[[#This Row],[PRECIO EN SOLES]]-Tabla1[[#This Row],[PC]]</f>
        <v>120.7188000000001</v>
      </c>
      <c r="K607" s="15"/>
      <c r="L607" s="15" t="str">
        <f>IF(
OR(
ISNUMBER(SEARCH("BACKPACK",B609)),
ISNUMBER(SEARCH("MOCHILA",B609)),
ISNUMBER(SEARCH("FUNDA",B609)),
ISNUMBER(SEARCH("ESTUCHE",B609)),
ISNUMBER(SEARCH("BOOK COVER",B609)),
ISNUMBER(SEARCH("KEYBOARD PARA TABLET",B609)),
ISNUMBER(SEARCH("FLIP TABLET",B609)),
ISNUMBER(SEARCH("CASE FOR TABLET",B609)),
ISNUMBER(SEARCH("CABLE",B609)),
ISNUMBER(SEARCH("ADAPTADOR",B609)),
ISNUMBER(SEARCH("HUB",B609)),
ISNUMBER(SEARCH("DOCK",B609)),
ISNUMBER(SEARCH("MOUSE PAD",B609)),
ISNUMBER(SEARCH("MOUSEPAD",B609)),
ISNUMBER(SEARCH("SOPORTE",B609)),
ISNUMBER(SEARCH("STAND",B609)),
ISNUMBER(SEARCH("TRAVEL ADAPTER",B609)),
ISNUMBER(SEARCH("RJ45",B609)),
ISNUMBER(SEARCH("USB-C",B609)),
ISNUMBER(SEARCH("USB WIFI",B609)),
ISNUMBER(SEARCH("POWERBANK",B609)),
ISNUMBER(SEARCH("CARGADOR",B609)),
ISNUMBER(SEARCH("COOLER PARA NB",B609)),
ISNUMBER(SEARCH("SOPORTE PARA NB",B609)),
ISNUMBER(SEARCH("WEBCAM",B609)),
ISNUMBER(SEARCH("WEB CAM",B609)),
ISNUMBER(SEARCH("MOUSE",B609)),
ISNUMBER(SEARCH("TECLADO",B609))
),
"COMPLEMENTO",
IF(
OR(
LEFT(A609,2)="NB",
LEFT(A609,2)="PC",
LEFT(A609,2)="WS",
LEFT(A609,2)="TB",
LEFT(A609,3)="CEL",
LEFT(A609,3)="MON",
LEFT(A609,3)="PRE",
LEFT(A609,3)="PRH",
ISNUMBER(SEARCH("NOTEBOOK",B609)),
ISNUMBER(SEARCH("LAPTOP",B609)),
ISNUMBER(SEARCH("MONITOR",B609)),
ISNUMBER(SEARCH("TABLET",B609)),
ISNUMBER(SEARCH("SMARTPH",B609)),
ISNUMBER(SEARCH("IMPRESORA",B609)),
ISNUMBER(SEARCH("MULTIFUNCIONAL",B609)),
ISNUMBER(SEARCH("AIO",B609))
),
"GANCHO",
"NORMAL"
)
)</f>
        <v>NORMAL</v>
      </c>
    </row>
    <row r="608" spans="1:12" x14ac:dyDescent="0.25">
      <c r="A608" s="3" t="s">
        <v>1352</v>
      </c>
      <c r="B608" s="3" t="s">
        <v>1353</v>
      </c>
      <c r="C608" s="1">
        <v>11</v>
      </c>
      <c r="D608" s="1">
        <v>142.80000000000001</v>
      </c>
      <c r="E608" s="1" t="s">
        <v>226</v>
      </c>
      <c r="F608" s="1" t="s">
        <v>3385</v>
      </c>
      <c r="G608" s="3" t="s">
        <v>1354</v>
      </c>
      <c r="H608" s="11">
        <f>ROUND(
IF(L606="GANCHO",
   IF(I608&lt;=50,I608*1.1+4,IF(I608&lt;=120,I608*1.1+7,IF(I608&lt;=250,I608*1.1+11,I608*1.1+19))),
IF(L606="NORMAL",
   IF(I608&lt;=30,I608*1.15+2,IF(I608&lt;=80,I608*1.15+4,IF(I608&lt;=150,I608*1.15+6,I608*1.15+8))),
IF(L606="COMPLEMENTO",
   IF(I608&lt;=25,I608*1.25+1.5,IF(I608&lt;=60,I608*1.25+3,IF(I608&lt;=120,I608*1.25+4,I608*1.25+5))),
""))),2)</f>
        <v>682.35</v>
      </c>
      <c r="I608" s="9">
        <f>($K$2+0.02)*Tabla1[[#This Row],[PRECIO $]]*1.18</f>
        <v>586.39391999999998</v>
      </c>
      <c r="J608" s="7">
        <f>+Tabla1[[#This Row],[PRECIO EN SOLES]]-Tabla1[[#This Row],[PC]]</f>
        <v>95.956080000000043</v>
      </c>
      <c r="K608" s="15"/>
      <c r="L608" s="15" t="str">
        <f>IF(
OR(
ISNUMBER(SEARCH("BACKPACK",B610)),
ISNUMBER(SEARCH("MOCHILA",B610)),
ISNUMBER(SEARCH("FUNDA",B610)),
ISNUMBER(SEARCH("ESTUCHE",B610)),
ISNUMBER(SEARCH("BOOK COVER",B610)),
ISNUMBER(SEARCH("KEYBOARD PARA TABLET",B610)),
ISNUMBER(SEARCH("FLIP TABLET",B610)),
ISNUMBER(SEARCH("CASE FOR TABLET",B610)),
ISNUMBER(SEARCH("CABLE",B610)),
ISNUMBER(SEARCH("ADAPTADOR",B610)),
ISNUMBER(SEARCH("HUB",B610)),
ISNUMBER(SEARCH("DOCK",B610)),
ISNUMBER(SEARCH("MOUSE PAD",B610)),
ISNUMBER(SEARCH("MOUSEPAD",B610)),
ISNUMBER(SEARCH("SOPORTE",B610)),
ISNUMBER(SEARCH("STAND",B610)),
ISNUMBER(SEARCH("TRAVEL ADAPTER",B610)),
ISNUMBER(SEARCH("RJ45",B610)),
ISNUMBER(SEARCH("USB-C",B610)),
ISNUMBER(SEARCH("USB WIFI",B610)),
ISNUMBER(SEARCH("POWERBANK",B610)),
ISNUMBER(SEARCH("CARGADOR",B610)),
ISNUMBER(SEARCH("COOLER PARA NB",B610)),
ISNUMBER(SEARCH("SOPORTE PARA NB",B610)),
ISNUMBER(SEARCH("WEBCAM",B610)),
ISNUMBER(SEARCH("WEB CAM",B610)),
ISNUMBER(SEARCH("MOUSE",B610)),
ISNUMBER(SEARCH("TECLADO",B610))
),
"COMPLEMENTO",
IF(
OR(
LEFT(A610,2)="NB",
LEFT(A610,2)="PC",
LEFT(A610,2)="WS",
LEFT(A610,2)="TB",
LEFT(A610,3)="CEL",
LEFT(A610,3)="MON",
LEFT(A610,3)="PRE",
LEFT(A610,3)="PRH",
ISNUMBER(SEARCH("NOTEBOOK",B610)),
ISNUMBER(SEARCH("LAPTOP",B610)),
ISNUMBER(SEARCH("MONITOR",B610)),
ISNUMBER(SEARCH("TABLET",B610)),
ISNUMBER(SEARCH("SMARTPH",B610)),
ISNUMBER(SEARCH("IMPRESORA",B610)),
ISNUMBER(SEARCH("MULTIFUNCIONAL",B610)),
ISNUMBER(SEARCH("AIO",B610))
),
"GANCHO",
"NORMAL"
)
)</f>
        <v>NORMAL</v>
      </c>
    </row>
    <row r="609" spans="1:12" x14ac:dyDescent="0.25">
      <c r="A609" s="3" t="s">
        <v>4600</v>
      </c>
      <c r="B609" s="3" t="s">
        <v>4601</v>
      </c>
      <c r="C609" s="1">
        <v>20</v>
      </c>
      <c r="D609" s="1">
        <v>151</v>
      </c>
      <c r="E609" s="1" t="s">
        <v>226</v>
      </c>
      <c r="F609" s="1" t="s">
        <v>4602</v>
      </c>
      <c r="G609" s="3" t="s">
        <v>4603</v>
      </c>
      <c r="H609" s="11">
        <f>ROUND(
IF(L607="GANCHO",
   IF(I609&lt;=50,I609*1.1+4,IF(I609&lt;=120,I609*1.1+7,IF(I609&lt;=250,I609*1.1+11,I609*1.1+19))),
IF(L607="NORMAL",
   IF(I609&lt;=30,I609*1.15+2,IF(I609&lt;=80,I609*1.15+4,IF(I609&lt;=150,I609*1.15+6,I609*1.15+8))),
IF(L607="COMPLEMENTO",
   IF(I609&lt;=25,I609*1.25+1.5,IF(I609&lt;=60,I609*1.25+3,IF(I609&lt;=120,I609*1.25+4,I609*1.25+5))),
""))),2)</f>
        <v>721.08</v>
      </c>
      <c r="I609" s="9">
        <f>($K$2+0.02)*Tabla1[[#This Row],[PRECIO $]]*1.18</f>
        <v>620.06640000000004</v>
      </c>
      <c r="J609" s="7">
        <f>+Tabla1[[#This Row],[PRECIO EN SOLES]]-Tabla1[[#This Row],[PC]]</f>
        <v>101.0136</v>
      </c>
      <c r="K609" s="15"/>
      <c r="L609" s="15" t="str">
        <f>IF(
OR(
ISNUMBER(SEARCH("BACKPACK",B611)),
ISNUMBER(SEARCH("MOCHILA",B611)),
ISNUMBER(SEARCH("FUNDA",B611)),
ISNUMBER(SEARCH("ESTUCHE",B611)),
ISNUMBER(SEARCH("BOOK COVER",B611)),
ISNUMBER(SEARCH("KEYBOARD PARA TABLET",B611)),
ISNUMBER(SEARCH("FLIP TABLET",B611)),
ISNUMBER(SEARCH("CASE FOR TABLET",B611)),
ISNUMBER(SEARCH("CABLE",B611)),
ISNUMBER(SEARCH("ADAPTADOR",B611)),
ISNUMBER(SEARCH("HUB",B611)),
ISNUMBER(SEARCH("DOCK",B611)),
ISNUMBER(SEARCH("MOUSE PAD",B611)),
ISNUMBER(SEARCH("MOUSEPAD",B611)),
ISNUMBER(SEARCH("SOPORTE",B611)),
ISNUMBER(SEARCH("STAND",B611)),
ISNUMBER(SEARCH("TRAVEL ADAPTER",B611)),
ISNUMBER(SEARCH("RJ45",B611)),
ISNUMBER(SEARCH("USB-C",B611)),
ISNUMBER(SEARCH("USB WIFI",B611)),
ISNUMBER(SEARCH("POWERBANK",B611)),
ISNUMBER(SEARCH("CARGADOR",B611)),
ISNUMBER(SEARCH("COOLER PARA NB",B611)),
ISNUMBER(SEARCH("SOPORTE PARA NB",B611)),
ISNUMBER(SEARCH("WEBCAM",B611)),
ISNUMBER(SEARCH("WEB CAM",B611)),
ISNUMBER(SEARCH("MOUSE",B611)),
ISNUMBER(SEARCH("TECLADO",B611))
),
"COMPLEMENTO",
IF(
OR(
LEFT(A611,2)="NB",
LEFT(A611,2)="PC",
LEFT(A611,2)="WS",
LEFT(A611,2)="TB",
LEFT(A611,3)="CEL",
LEFT(A611,3)="MON",
LEFT(A611,3)="PRE",
LEFT(A611,3)="PRH",
ISNUMBER(SEARCH("NOTEBOOK",B611)),
ISNUMBER(SEARCH("LAPTOP",B611)),
ISNUMBER(SEARCH("MONITOR",B611)),
ISNUMBER(SEARCH("TABLET",B611)),
ISNUMBER(SEARCH("SMARTPH",B611)),
ISNUMBER(SEARCH("IMPRESORA",B611)),
ISNUMBER(SEARCH("MULTIFUNCIONAL",B611)),
ISNUMBER(SEARCH("AIO",B611))
),
"GANCHO",
"NORMAL"
)
)</f>
        <v>NORMAL</v>
      </c>
    </row>
    <row r="610" spans="1:12" x14ac:dyDescent="0.25">
      <c r="A610" s="3" t="s">
        <v>1355</v>
      </c>
      <c r="B610" s="3" t="s">
        <v>1356</v>
      </c>
      <c r="C610" s="1">
        <v>2</v>
      </c>
      <c r="D610" s="1">
        <v>169</v>
      </c>
      <c r="E610" s="1" t="s">
        <v>226</v>
      </c>
      <c r="F610" s="1" t="s">
        <v>3386</v>
      </c>
      <c r="G610" s="3" t="s">
        <v>1357</v>
      </c>
      <c r="H610" s="11">
        <f>ROUND(
IF(L608="GANCHO",
   IF(I610&lt;=50,I610*1.1+4,IF(I610&lt;=120,I610*1.1+7,IF(I610&lt;=250,I610*1.1+11,I610*1.1+19))),
IF(L608="NORMAL",
   IF(I610&lt;=30,I610*1.15+2,IF(I610&lt;=80,I610*1.15+4,IF(I610&lt;=150,I610*1.15+6,I610*1.15+8))),
IF(L608="COMPLEMENTO",
   IF(I610&lt;=25,I610*1.25+1.5,IF(I610&lt;=60,I610*1.25+3,IF(I610&lt;=120,I610*1.25+4,I610*1.25+5))),
""))),2)</f>
        <v>806.08</v>
      </c>
      <c r="I610" s="9">
        <f>($K$2+0.02)*Tabla1[[#This Row],[PRECIO $]]*1.18</f>
        <v>693.98159999999996</v>
      </c>
      <c r="J610" s="7">
        <f>+Tabla1[[#This Row],[PRECIO EN SOLES]]-Tabla1[[#This Row],[PC]]</f>
        <v>112.09840000000008</v>
      </c>
      <c r="K610" s="15"/>
      <c r="L610" s="15" t="str">
        <f>IF(
OR(
ISNUMBER(SEARCH("BACKPACK",B612)),
ISNUMBER(SEARCH("MOCHILA",B612)),
ISNUMBER(SEARCH("FUNDA",B612)),
ISNUMBER(SEARCH("ESTUCHE",B612)),
ISNUMBER(SEARCH("BOOK COVER",B612)),
ISNUMBER(SEARCH("KEYBOARD PARA TABLET",B612)),
ISNUMBER(SEARCH("FLIP TABLET",B612)),
ISNUMBER(SEARCH("CASE FOR TABLET",B612)),
ISNUMBER(SEARCH("CABLE",B612)),
ISNUMBER(SEARCH("ADAPTADOR",B612)),
ISNUMBER(SEARCH("HUB",B612)),
ISNUMBER(SEARCH("DOCK",B612)),
ISNUMBER(SEARCH("MOUSE PAD",B612)),
ISNUMBER(SEARCH("MOUSEPAD",B612)),
ISNUMBER(SEARCH("SOPORTE",B612)),
ISNUMBER(SEARCH("STAND",B612)),
ISNUMBER(SEARCH("TRAVEL ADAPTER",B612)),
ISNUMBER(SEARCH("RJ45",B612)),
ISNUMBER(SEARCH("USB-C",B612)),
ISNUMBER(SEARCH("USB WIFI",B612)),
ISNUMBER(SEARCH("POWERBANK",B612)),
ISNUMBER(SEARCH("CARGADOR",B612)),
ISNUMBER(SEARCH("COOLER PARA NB",B612)),
ISNUMBER(SEARCH("SOPORTE PARA NB",B612)),
ISNUMBER(SEARCH("WEBCAM",B612)),
ISNUMBER(SEARCH("WEB CAM",B612)),
ISNUMBER(SEARCH("MOUSE",B612)),
ISNUMBER(SEARCH("TECLADO",B612))
),
"COMPLEMENTO",
IF(
OR(
LEFT(A612,2)="NB",
LEFT(A612,2)="PC",
LEFT(A612,2)="WS",
LEFT(A612,2)="TB",
LEFT(A612,3)="CEL",
LEFT(A612,3)="MON",
LEFT(A612,3)="PRE",
LEFT(A612,3)="PRH",
ISNUMBER(SEARCH("NOTEBOOK",B612)),
ISNUMBER(SEARCH("LAPTOP",B612)),
ISNUMBER(SEARCH("MONITOR",B612)),
ISNUMBER(SEARCH("TABLET",B612)),
ISNUMBER(SEARCH("SMARTPH",B612)),
ISNUMBER(SEARCH("IMPRESORA",B612)),
ISNUMBER(SEARCH("MULTIFUNCIONAL",B612)),
ISNUMBER(SEARCH("AIO",B612))
),
"GANCHO",
"NORMAL"
)
)</f>
        <v>NORMAL</v>
      </c>
    </row>
    <row r="611" spans="1:12" x14ac:dyDescent="0.25">
      <c r="A611" s="3" t="s">
        <v>1358</v>
      </c>
      <c r="B611" s="3" t="s">
        <v>1359</v>
      </c>
      <c r="C611" s="1">
        <v>15</v>
      </c>
      <c r="D611" s="1">
        <v>166.5</v>
      </c>
      <c r="E611" s="1" t="s">
        <v>226</v>
      </c>
      <c r="F611" s="1" t="s">
        <v>3387</v>
      </c>
      <c r="G611" s="3" t="s">
        <v>1360</v>
      </c>
      <c r="H611" s="11">
        <f>ROUND(
IF(L609="GANCHO",
   IF(I611&lt;=50,I611*1.1+4,IF(I611&lt;=120,I611*1.1+7,IF(I611&lt;=250,I611*1.1+11,I611*1.1+19))),
IF(L609="NORMAL",
   IF(I611&lt;=30,I611*1.15+2,IF(I611&lt;=80,I611*1.15+4,IF(I611&lt;=150,I611*1.15+6,I611*1.15+8))),
IF(L609="COMPLEMENTO",
   IF(I611&lt;=25,I611*1.25+1.5,IF(I611&lt;=60,I611*1.25+3,IF(I611&lt;=120,I611*1.25+4,I611*1.25+5))),
""))),2)</f>
        <v>794.27</v>
      </c>
      <c r="I611" s="9">
        <f>($K$2+0.02)*Tabla1[[#This Row],[PRECIO $]]*1.18</f>
        <v>683.71559999999988</v>
      </c>
      <c r="J611" s="7">
        <f>+Tabla1[[#This Row],[PRECIO EN SOLES]]-Tabla1[[#This Row],[PC]]</f>
        <v>110.5544000000001</v>
      </c>
      <c r="K611" s="15"/>
      <c r="L611" s="15" t="str">
        <f>IF(
OR(
ISNUMBER(SEARCH("BACKPACK",B613)),
ISNUMBER(SEARCH("MOCHILA",B613)),
ISNUMBER(SEARCH("FUNDA",B613)),
ISNUMBER(SEARCH("ESTUCHE",B613)),
ISNUMBER(SEARCH("BOOK COVER",B613)),
ISNUMBER(SEARCH("KEYBOARD PARA TABLET",B613)),
ISNUMBER(SEARCH("FLIP TABLET",B613)),
ISNUMBER(SEARCH("CASE FOR TABLET",B613)),
ISNUMBER(SEARCH("CABLE",B613)),
ISNUMBER(SEARCH("ADAPTADOR",B613)),
ISNUMBER(SEARCH("HUB",B613)),
ISNUMBER(SEARCH("DOCK",B613)),
ISNUMBER(SEARCH("MOUSE PAD",B613)),
ISNUMBER(SEARCH("MOUSEPAD",B613)),
ISNUMBER(SEARCH("SOPORTE",B613)),
ISNUMBER(SEARCH("STAND",B613)),
ISNUMBER(SEARCH("TRAVEL ADAPTER",B613)),
ISNUMBER(SEARCH("RJ45",B613)),
ISNUMBER(SEARCH("USB-C",B613)),
ISNUMBER(SEARCH("USB WIFI",B613)),
ISNUMBER(SEARCH("POWERBANK",B613)),
ISNUMBER(SEARCH("CARGADOR",B613)),
ISNUMBER(SEARCH("COOLER PARA NB",B613)),
ISNUMBER(SEARCH("SOPORTE PARA NB",B613)),
ISNUMBER(SEARCH("WEBCAM",B613)),
ISNUMBER(SEARCH("WEB CAM",B613)),
ISNUMBER(SEARCH("MOUSE",B613)),
ISNUMBER(SEARCH("TECLADO",B613))
),
"COMPLEMENTO",
IF(
OR(
LEFT(A613,2)="NB",
LEFT(A613,2)="PC",
LEFT(A613,2)="WS",
LEFT(A613,2)="TB",
LEFT(A613,3)="CEL",
LEFT(A613,3)="MON",
LEFT(A613,3)="PRE",
LEFT(A613,3)="PRH",
ISNUMBER(SEARCH("NOTEBOOK",B613)),
ISNUMBER(SEARCH("LAPTOP",B613)),
ISNUMBER(SEARCH("MONITOR",B613)),
ISNUMBER(SEARCH("TABLET",B613)),
ISNUMBER(SEARCH("SMARTPH",B613)),
ISNUMBER(SEARCH("IMPRESORA",B613)),
ISNUMBER(SEARCH("MULTIFUNCIONAL",B613)),
ISNUMBER(SEARCH("AIO",B613))
),
"GANCHO",
"NORMAL"
)
)</f>
        <v>NORMAL</v>
      </c>
    </row>
    <row r="612" spans="1:12" x14ac:dyDescent="0.25">
      <c r="A612" s="3" t="s">
        <v>5420</v>
      </c>
      <c r="B612" s="3" t="s">
        <v>5421</v>
      </c>
      <c r="C612" s="1">
        <v>20</v>
      </c>
      <c r="D612" s="1">
        <v>127.7</v>
      </c>
      <c r="E612" s="1" t="s">
        <v>226</v>
      </c>
      <c r="F612" s="1" t="s">
        <v>5422</v>
      </c>
      <c r="G612" s="3" t="s">
        <v>5423</v>
      </c>
      <c r="H612" s="11">
        <f>ROUND(
IF(L610="GANCHO",
   IF(I612&lt;=50,I612*1.1+4,IF(I612&lt;=120,I612*1.1+7,IF(I612&lt;=250,I612*1.1+11,I612*1.1+19))),
IF(L610="NORMAL",
   IF(I612&lt;=30,I612*1.15+2,IF(I612&lt;=80,I612*1.15+4,IF(I612&lt;=150,I612*1.15+6,I612*1.15+8))),
IF(L610="COMPLEMENTO",
   IF(I612&lt;=25,I612*1.25+1.5,IF(I612&lt;=60,I612*1.25+3,IF(I612&lt;=120,I612*1.25+4,I612*1.25+5))),
""))),2)</f>
        <v>611.04999999999995</v>
      </c>
      <c r="I612" s="9">
        <f>($K$2+0.02)*Tabla1[[#This Row],[PRECIO $]]*1.18</f>
        <v>524.38728000000003</v>
      </c>
      <c r="J612" s="7">
        <f>+Tabla1[[#This Row],[PRECIO EN SOLES]]-Tabla1[[#This Row],[PC]]</f>
        <v>86.662719999999922</v>
      </c>
      <c r="K612" s="15"/>
      <c r="L612" s="15" t="str">
        <f>IF(
OR(
ISNUMBER(SEARCH("BACKPACK",B614)),
ISNUMBER(SEARCH("MOCHILA",B614)),
ISNUMBER(SEARCH("FUNDA",B614)),
ISNUMBER(SEARCH("ESTUCHE",B614)),
ISNUMBER(SEARCH("BOOK COVER",B614)),
ISNUMBER(SEARCH("KEYBOARD PARA TABLET",B614)),
ISNUMBER(SEARCH("FLIP TABLET",B614)),
ISNUMBER(SEARCH("CASE FOR TABLET",B614)),
ISNUMBER(SEARCH("CABLE",B614)),
ISNUMBER(SEARCH("ADAPTADOR",B614)),
ISNUMBER(SEARCH("HUB",B614)),
ISNUMBER(SEARCH("DOCK",B614)),
ISNUMBER(SEARCH("MOUSE PAD",B614)),
ISNUMBER(SEARCH("MOUSEPAD",B614)),
ISNUMBER(SEARCH("SOPORTE",B614)),
ISNUMBER(SEARCH("STAND",B614)),
ISNUMBER(SEARCH("TRAVEL ADAPTER",B614)),
ISNUMBER(SEARCH("RJ45",B614)),
ISNUMBER(SEARCH("USB-C",B614)),
ISNUMBER(SEARCH("USB WIFI",B614)),
ISNUMBER(SEARCH("POWERBANK",B614)),
ISNUMBER(SEARCH("CARGADOR",B614)),
ISNUMBER(SEARCH("COOLER PARA NB",B614)),
ISNUMBER(SEARCH("SOPORTE PARA NB",B614)),
ISNUMBER(SEARCH("WEBCAM",B614)),
ISNUMBER(SEARCH("WEB CAM",B614)),
ISNUMBER(SEARCH("MOUSE",B614)),
ISNUMBER(SEARCH("TECLADO",B614))
),
"COMPLEMENTO",
IF(
OR(
LEFT(A614,2)="NB",
LEFT(A614,2)="PC",
LEFT(A614,2)="WS",
LEFT(A614,2)="TB",
LEFT(A614,3)="CEL",
LEFT(A614,3)="MON",
LEFT(A614,3)="PRE",
LEFT(A614,3)="PRH",
ISNUMBER(SEARCH("NOTEBOOK",B614)),
ISNUMBER(SEARCH("LAPTOP",B614)),
ISNUMBER(SEARCH("MONITOR",B614)),
ISNUMBER(SEARCH("TABLET",B614)),
ISNUMBER(SEARCH("SMARTPH",B614)),
ISNUMBER(SEARCH("IMPRESORA",B614)),
ISNUMBER(SEARCH("MULTIFUNCIONAL",B614)),
ISNUMBER(SEARCH("AIO",B614))
),
"GANCHO",
"NORMAL"
)
)</f>
        <v>NORMAL</v>
      </c>
    </row>
    <row r="613" spans="1:12" x14ac:dyDescent="0.25">
      <c r="A613" s="3" t="s">
        <v>1361</v>
      </c>
      <c r="B613" s="3" t="s">
        <v>1362</v>
      </c>
      <c r="C613" s="1">
        <v>1</v>
      </c>
      <c r="D613" s="1">
        <v>105.2</v>
      </c>
      <c r="E613" s="1" t="s">
        <v>226</v>
      </c>
      <c r="F613" s="1" t="s">
        <v>3388</v>
      </c>
      <c r="G613" s="3" t="s">
        <v>1363</v>
      </c>
      <c r="H613" s="11">
        <f>ROUND(
IF(L611="GANCHO",
   IF(I613&lt;=50,I613*1.1+4,IF(I613&lt;=120,I613*1.1+7,IF(I613&lt;=250,I613*1.1+11,I613*1.1+19))),
IF(L611="NORMAL",
   IF(I613&lt;=30,I613*1.15+2,IF(I613&lt;=80,I613*1.15+4,IF(I613&lt;=150,I613*1.15+6,I613*1.15+8))),
IF(L611="COMPLEMENTO",
   IF(I613&lt;=25,I613*1.25+1.5,IF(I613&lt;=60,I613*1.25+3,IF(I613&lt;=120,I613*1.25+4,I613*1.25+5))),
""))),2)</f>
        <v>504.79</v>
      </c>
      <c r="I613" s="9">
        <f>($K$2+0.02)*Tabla1[[#This Row],[PRECIO $]]*1.18</f>
        <v>431.99327999999997</v>
      </c>
      <c r="J613" s="7">
        <f>+Tabla1[[#This Row],[PRECIO EN SOLES]]-Tabla1[[#This Row],[PC]]</f>
        <v>72.79672000000005</v>
      </c>
      <c r="K613" s="15"/>
      <c r="L613" s="15" t="str">
        <f>IF(
OR(
ISNUMBER(SEARCH("BACKPACK",B615)),
ISNUMBER(SEARCH("MOCHILA",B615)),
ISNUMBER(SEARCH("FUNDA",B615)),
ISNUMBER(SEARCH("ESTUCHE",B615)),
ISNUMBER(SEARCH("BOOK COVER",B615)),
ISNUMBER(SEARCH("KEYBOARD PARA TABLET",B615)),
ISNUMBER(SEARCH("FLIP TABLET",B615)),
ISNUMBER(SEARCH("CASE FOR TABLET",B615)),
ISNUMBER(SEARCH("CABLE",B615)),
ISNUMBER(SEARCH("ADAPTADOR",B615)),
ISNUMBER(SEARCH("HUB",B615)),
ISNUMBER(SEARCH("DOCK",B615)),
ISNUMBER(SEARCH("MOUSE PAD",B615)),
ISNUMBER(SEARCH("MOUSEPAD",B615)),
ISNUMBER(SEARCH("SOPORTE",B615)),
ISNUMBER(SEARCH("STAND",B615)),
ISNUMBER(SEARCH("TRAVEL ADAPTER",B615)),
ISNUMBER(SEARCH("RJ45",B615)),
ISNUMBER(SEARCH("USB-C",B615)),
ISNUMBER(SEARCH("USB WIFI",B615)),
ISNUMBER(SEARCH("POWERBANK",B615)),
ISNUMBER(SEARCH("CARGADOR",B615)),
ISNUMBER(SEARCH("COOLER PARA NB",B615)),
ISNUMBER(SEARCH("SOPORTE PARA NB",B615)),
ISNUMBER(SEARCH("WEBCAM",B615)),
ISNUMBER(SEARCH("WEB CAM",B615)),
ISNUMBER(SEARCH("MOUSE",B615)),
ISNUMBER(SEARCH("TECLADO",B615))
),
"COMPLEMENTO",
IF(
OR(
LEFT(A615,2)="NB",
LEFT(A615,2)="PC",
LEFT(A615,2)="WS",
LEFT(A615,2)="TB",
LEFT(A615,3)="CEL",
LEFT(A615,3)="MON",
LEFT(A615,3)="PRE",
LEFT(A615,3)="PRH",
ISNUMBER(SEARCH("NOTEBOOK",B615)),
ISNUMBER(SEARCH("LAPTOP",B615)),
ISNUMBER(SEARCH("MONITOR",B615)),
ISNUMBER(SEARCH("TABLET",B615)),
ISNUMBER(SEARCH("SMARTPH",B615)),
ISNUMBER(SEARCH("IMPRESORA",B615)),
ISNUMBER(SEARCH("MULTIFUNCIONAL",B615)),
ISNUMBER(SEARCH("AIO",B615))
),
"GANCHO",
"NORMAL"
)
)</f>
        <v>NORMAL</v>
      </c>
    </row>
    <row r="614" spans="1:12" x14ac:dyDescent="0.25">
      <c r="A614" s="3" t="s">
        <v>1364</v>
      </c>
      <c r="B614" s="3" t="s">
        <v>1365</v>
      </c>
      <c r="C614" s="1">
        <v>11</v>
      </c>
      <c r="D614" s="1">
        <v>180</v>
      </c>
      <c r="E614" s="1" t="s">
        <v>226</v>
      </c>
      <c r="F614" s="1" t="s">
        <v>3389</v>
      </c>
      <c r="G614" s="3" t="s">
        <v>1366</v>
      </c>
      <c r="H614" s="11">
        <f>ROUND(
IF(L612="GANCHO",
   IF(I614&lt;=50,I614*1.1+4,IF(I614&lt;=120,I614*1.1+7,IF(I614&lt;=250,I614*1.1+11,I614*1.1+19))),
IF(L612="NORMAL",
   IF(I614&lt;=30,I614*1.15+2,IF(I614&lt;=80,I614*1.15+4,IF(I614&lt;=150,I614*1.15+6,I614*1.15+8))),
IF(L612="COMPLEMENTO",
   IF(I614&lt;=25,I614*1.25+1.5,IF(I614&lt;=60,I614*1.25+3,IF(I614&lt;=120,I614*1.25+4,I614*1.25+5))),
""))),2)</f>
        <v>858.02</v>
      </c>
      <c r="I614" s="9">
        <f>($K$2+0.02)*Tabla1[[#This Row],[PRECIO $]]*1.18</f>
        <v>739.15199999999993</v>
      </c>
      <c r="J614" s="7">
        <f>+Tabla1[[#This Row],[PRECIO EN SOLES]]-Tabla1[[#This Row],[PC]]</f>
        <v>118.86800000000005</v>
      </c>
      <c r="K614" s="15"/>
      <c r="L614" s="15" t="str">
        <f>IF(
OR(
ISNUMBER(SEARCH("BACKPACK",B616)),
ISNUMBER(SEARCH("MOCHILA",B616)),
ISNUMBER(SEARCH("FUNDA",B616)),
ISNUMBER(SEARCH("ESTUCHE",B616)),
ISNUMBER(SEARCH("BOOK COVER",B616)),
ISNUMBER(SEARCH("KEYBOARD PARA TABLET",B616)),
ISNUMBER(SEARCH("FLIP TABLET",B616)),
ISNUMBER(SEARCH("CASE FOR TABLET",B616)),
ISNUMBER(SEARCH("CABLE",B616)),
ISNUMBER(SEARCH("ADAPTADOR",B616)),
ISNUMBER(SEARCH("HUB",B616)),
ISNUMBER(SEARCH("DOCK",B616)),
ISNUMBER(SEARCH("MOUSE PAD",B616)),
ISNUMBER(SEARCH("MOUSEPAD",B616)),
ISNUMBER(SEARCH("SOPORTE",B616)),
ISNUMBER(SEARCH("STAND",B616)),
ISNUMBER(SEARCH("TRAVEL ADAPTER",B616)),
ISNUMBER(SEARCH("RJ45",B616)),
ISNUMBER(SEARCH("USB-C",B616)),
ISNUMBER(SEARCH("USB WIFI",B616)),
ISNUMBER(SEARCH("POWERBANK",B616)),
ISNUMBER(SEARCH("CARGADOR",B616)),
ISNUMBER(SEARCH("COOLER PARA NB",B616)),
ISNUMBER(SEARCH("SOPORTE PARA NB",B616)),
ISNUMBER(SEARCH("WEBCAM",B616)),
ISNUMBER(SEARCH("WEB CAM",B616)),
ISNUMBER(SEARCH("MOUSE",B616)),
ISNUMBER(SEARCH("TECLADO",B616))
),
"COMPLEMENTO",
IF(
OR(
LEFT(A616,2)="NB",
LEFT(A616,2)="PC",
LEFT(A616,2)="WS",
LEFT(A616,2)="TB",
LEFT(A616,3)="CEL",
LEFT(A616,3)="MON",
LEFT(A616,3)="PRE",
LEFT(A616,3)="PRH",
ISNUMBER(SEARCH("NOTEBOOK",B616)),
ISNUMBER(SEARCH("LAPTOP",B616)),
ISNUMBER(SEARCH("MONITOR",B616)),
ISNUMBER(SEARCH("TABLET",B616)),
ISNUMBER(SEARCH("SMARTPH",B616)),
ISNUMBER(SEARCH("IMPRESORA",B616)),
ISNUMBER(SEARCH("MULTIFUNCIONAL",B616)),
ISNUMBER(SEARCH("AIO",B616))
),
"GANCHO",
"NORMAL"
)
)</f>
        <v>NORMAL</v>
      </c>
    </row>
    <row r="615" spans="1:12" x14ac:dyDescent="0.25">
      <c r="A615" s="3" t="s">
        <v>4604</v>
      </c>
      <c r="B615" s="3" t="s">
        <v>4605</v>
      </c>
      <c r="C615" s="1">
        <v>20</v>
      </c>
      <c r="D615" s="1">
        <v>185.3</v>
      </c>
      <c r="E615" s="1" t="s">
        <v>226</v>
      </c>
      <c r="F615" s="1" t="s">
        <v>4606</v>
      </c>
      <c r="G615" s="3" t="s">
        <v>4948</v>
      </c>
      <c r="H615" s="11">
        <f>ROUND(
IF(L613="GANCHO",
   IF(I615&lt;=50,I615*1.1+4,IF(I615&lt;=120,I615*1.1+7,IF(I615&lt;=250,I615*1.1+11,I615*1.1+19))),
IF(L613="NORMAL",
   IF(I615&lt;=30,I615*1.15+2,IF(I615&lt;=80,I615*1.15+4,IF(I615&lt;=150,I615*1.15+6,I615*1.15+8))),
IF(L613="COMPLEMENTO",
   IF(I615&lt;=25,I615*1.25+1.5,IF(I615&lt;=60,I615*1.25+3,IF(I615&lt;=120,I615*1.25+4,I615*1.25+5))),
""))),2)</f>
        <v>883.05</v>
      </c>
      <c r="I615" s="9">
        <f>($K$2+0.02)*Tabla1[[#This Row],[PRECIO $]]*1.18</f>
        <v>760.91592000000003</v>
      </c>
      <c r="J615" s="7">
        <f>+Tabla1[[#This Row],[PRECIO EN SOLES]]-Tabla1[[#This Row],[PC]]</f>
        <v>122.13407999999993</v>
      </c>
      <c r="K615" s="15"/>
      <c r="L615" s="15" t="str">
        <f>IF(
OR(
ISNUMBER(SEARCH("BACKPACK",B617)),
ISNUMBER(SEARCH("MOCHILA",B617)),
ISNUMBER(SEARCH("FUNDA",B617)),
ISNUMBER(SEARCH("ESTUCHE",B617)),
ISNUMBER(SEARCH("BOOK COVER",B617)),
ISNUMBER(SEARCH("KEYBOARD PARA TABLET",B617)),
ISNUMBER(SEARCH("FLIP TABLET",B617)),
ISNUMBER(SEARCH("CASE FOR TABLET",B617)),
ISNUMBER(SEARCH("CABLE",B617)),
ISNUMBER(SEARCH("ADAPTADOR",B617)),
ISNUMBER(SEARCH("HUB",B617)),
ISNUMBER(SEARCH("DOCK",B617)),
ISNUMBER(SEARCH("MOUSE PAD",B617)),
ISNUMBER(SEARCH("MOUSEPAD",B617)),
ISNUMBER(SEARCH("SOPORTE",B617)),
ISNUMBER(SEARCH("STAND",B617)),
ISNUMBER(SEARCH("TRAVEL ADAPTER",B617)),
ISNUMBER(SEARCH("RJ45",B617)),
ISNUMBER(SEARCH("USB-C",B617)),
ISNUMBER(SEARCH("USB WIFI",B617)),
ISNUMBER(SEARCH("POWERBANK",B617)),
ISNUMBER(SEARCH("CARGADOR",B617)),
ISNUMBER(SEARCH("COOLER PARA NB",B617)),
ISNUMBER(SEARCH("SOPORTE PARA NB",B617)),
ISNUMBER(SEARCH("WEBCAM",B617)),
ISNUMBER(SEARCH("WEB CAM",B617)),
ISNUMBER(SEARCH("MOUSE",B617)),
ISNUMBER(SEARCH("TECLADO",B617))
),
"COMPLEMENTO",
IF(
OR(
LEFT(A617,2)="NB",
LEFT(A617,2)="PC",
LEFT(A617,2)="WS",
LEFT(A617,2)="TB",
LEFT(A617,3)="CEL",
LEFT(A617,3)="MON",
LEFT(A617,3)="PRE",
LEFT(A617,3)="PRH",
ISNUMBER(SEARCH("NOTEBOOK",B617)),
ISNUMBER(SEARCH("LAPTOP",B617)),
ISNUMBER(SEARCH("MONITOR",B617)),
ISNUMBER(SEARCH("TABLET",B617)),
ISNUMBER(SEARCH("SMARTPH",B617)),
ISNUMBER(SEARCH("IMPRESORA",B617)),
ISNUMBER(SEARCH("MULTIFUNCIONAL",B617)),
ISNUMBER(SEARCH("AIO",B617))
),
"GANCHO",
"NORMAL"
)
)</f>
        <v>NORMAL</v>
      </c>
    </row>
    <row r="616" spans="1:12" x14ac:dyDescent="0.25">
      <c r="A616" s="3" t="s">
        <v>4607</v>
      </c>
      <c r="B616" s="3" t="s">
        <v>4608</v>
      </c>
      <c r="C616" s="1">
        <v>20</v>
      </c>
      <c r="D616" s="1">
        <v>145.80000000000001</v>
      </c>
      <c r="E616" s="1" t="s">
        <v>226</v>
      </c>
      <c r="F616" s="1" t="s">
        <v>4609</v>
      </c>
      <c r="G616" s="3" t="s">
        <v>4610</v>
      </c>
      <c r="H616" s="11">
        <f>ROUND(
IF(L614="GANCHO",
   IF(I616&lt;=50,I616*1.1+4,IF(I616&lt;=120,I616*1.1+7,IF(I616&lt;=250,I616*1.1+11,I616*1.1+19))),
IF(L614="NORMAL",
   IF(I616&lt;=30,I616*1.15+2,IF(I616&lt;=80,I616*1.15+4,IF(I616&lt;=150,I616*1.15+6,I616*1.15+8))),
IF(L614="COMPLEMENTO",
   IF(I616&lt;=25,I616*1.25+1.5,IF(I616&lt;=60,I616*1.25+3,IF(I616&lt;=120,I616*1.25+4,I616*1.25+5))),
""))),2)</f>
        <v>696.52</v>
      </c>
      <c r="I616" s="9">
        <f>($K$2+0.02)*Tabla1[[#This Row],[PRECIO $]]*1.18</f>
        <v>598.71312</v>
      </c>
      <c r="J616" s="7">
        <f>+Tabla1[[#This Row],[PRECIO EN SOLES]]-Tabla1[[#This Row],[PC]]</f>
        <v>97.806879999999978</v>
      </c>
      <c r="K616" s="15"/>
      <c r="L616" s="15" t="str">
        <f>IF(
OR(
ISNUMBER(SEARCH("BACKPACK",B618)),
ISNUMBER(SEARCH("MOCHILA",B618)),
ISNUMBER(SEARCH("FUNDA",B618)),
ISNUMBER(SEARCH("ESTUCHE",B618)),
ISNUMBER(SEARCH("BOOK COVER",B618)),
ISNUMBER(SEARCH("KEYBOARD PARA TABLET",B618)),
ISNUMBER(SEARCH("FLIP TABLET",B618)),
ISNUMBER(SEARCH("CASE FOR TABLET",B618)),
ISNUMBER(SEARCH("CABLE",B618)),
ISNUMBER(SEARCH("ADAPTADOR",B618)),
ISNUMBER(SEARCH("HUB",B618)),
ISNUMBER(SEARCH("DOCK",B618)),
ISNUMBER(SEARCH("MOUSE PAD",B618)),
ISNUMBER(SEARCH("MOUSEPAD",B618)),
ISNUMBER(SEARCH("SOPORTE",B618)),
ISNUMBER(SEARCH("STAND",B618)),
ISNUMBER(SEARCH("TRAVEL ADAPTER",B618)),
ISNUMBER(SEARCH("RJ45",B618)),
ISNUMBER(SEARCH("USB-C",B618)),
ISNUMBER(SEARCH("USB WIFI",B618)),
ISNUMBER(SEARCH("POWERBANK",B618)),
ISNUMBER(SEARCH("CARGADOR",B618)),
ISNUMBER(SEARCH("COOLER PARA NB",B618)),
ISNUMBER(SEARCH("SOPORTE PARA NB",B618)),
ISNUMBER(SEARCH("WEBCAM",B618)),
ISNUMBER(SEARCH("WEB CAM",B618)),
ISNUMBER(SEARCH("MOUSE",B618)),
ISNUMBER(SEARCH("TECLADO",B618))
),
"COMPLEMENTO",
IF(
OR(
LEFT(A618,2)="NB",
LEFT(A618,2)="PC",
LEFT(A618,2)="WS",
LEFT(A618,2)="TB",
LEFT(A618,3)="CEL",
LEFT(A618,3)="MON",
LEFT(A618,3)="PRE",
LEFT(A618,3)="PRH",
ISNUMBER(SEARCH("NOTEBOOK",B618)),
ISNUMBER(SEARCH("LAPTOP",B618)),
ISNUMBER(SEARCH("MONITOR",B618)),
ISNUMBER(SEARCH("TABLET",B618)),
ISNUMBER(SEARCH("SMARTPH",B618)),
ISNUMBER(SEARCH("IMPRESORA",B618)),
ISNUMBER(SEARCH("MULTIFUNCIONAL",B618)),
ISNUMBER(SEARCH("AIO",B618))
),
"GANCHO",
"NORMAL"
)
)</f>
        <v>NORMAL</v>
      </c>
    </row>
    <row r="617" spans="1:12" x14ac:dyDescent="0.25">
      <c r="A617" s="3" t="s">
        <v>5424</v>
      </c>
      <c r="B617" s="3" t="s">
        <v>5425</v>
      </c>
      <c r="C617" s="1">
        <v>3</v>
      </c>
      <c r="D617" s="1">
        <v>251.5</v>
      </c>
      <c r="E617" s="1" t="s">
        <v>226</v>
      </c>
      <c r="F617" s="1" t="s">
        <v>5426</v>
      </c>
      <c r="G617" s="3" t="s">
        <v>5427</v>
      </c>
      <c r="H617" s="11">
        <f>ROUND(
IF(L615="GANCHO",
   IF(I617&lt;=50,I617*1.1+4,IF(I617&lt;=120,I617*1.1+7,IF(I617&lt;=250,I617*1.1+11,I617*1.1+19))),
IF(L615="NORMAL",
   IF(I617&lt;=30,I617*1.15+2,IF(I617&lt;=80,I617*1.15+4,IF(I617&lt;=150,I617*1.15+6,I617*1.15+8))),
IF(L615="COMPLEMENTO",
   IF(I617&lt;=25,I617*1.25+1.5,IF(I617&lt;=60,I617*1.25+3,IF(I617&lt;=120,I617*1.25+4,I617*1.25+5))),
""))),2)</f>
        <v>1195.67</v>
      </c>
      <c r="I617" s="9">
        <f>($K$2+0.02)*Tabla1[[#This Row],[PRECIO $]]*1.18</f>
        <v>1032.7596000000001</v>
      </c>
      <c r="J617" s="7">
        <f>+Tabla1[[#This Row],[PRECIO EN SOLES]]-Tabla1[[#This Row],[PC]]</f>
        <v>162.91039999999998</v>
      </c>
      <c r="K617" s="15"/>
      <c r="L617" s="15" t="str">
        <f>IF(
OR(
ISNUMBER(SEARCH("BACKPACK",B619)),
ISNUMBER(SEARCH("MOCHILA",B619)),
ISNUMBER(SEARCH("FUNDA",B619)),
ISNUMBER(SEARCH("ESTUCHE",B619)),
ISNUMBER(SEARCH("BOOK COVER",B619)),
ISNUMBER(SEARCH("KEYBOARD PARA TABLET",B619)),
ISNUMBER(SEARCH("FLIP TABLET",B619)),
ISNUMBER(SEARCH("CASE FOR TABLET",B619)),
ISNUMBER(SEARCH("CABLE",B619)),
ISNUMBER(SEARCH("ADAPTADOR",B619)),
ISNUMBER(SEARCH("HUB",B619)),
ISNUMBER(SEARCH("DOCK",B619)),
ISNUMBER(SEARCH("MOUSE PAD",B619)),
ISNUMBER(SEARCH("MOUSEPAD",B619)),
ISNUMBER(SEARCH("SOPORTE",B619)),
ISNUMBER(SEARCH("STAND",B619)),
ISNUMBER(SEARCH("TRAVEL ADAPTER",B619)),
ISNUMBER(SEARCH("RJ45",B619)),
ISNUMBER(SEARCH("USB-C",B619)),
ISNUMBER(SEARCH("USB WIFI",B619)),
ISNUMBER(SEARCH("POWERBANK",B619)),
ISNUMBER(SEARCH("CARGADOR",B619)),
ISNUMBER(SEARCH("COOLER PARA NB",B619)),
ISNUMBER(SEARCH("SOPORTE PARA NB",B619)),
ISNUMBER(SEARCH("WEBCAM",B619)),
ISNUMBER(SEARCH("WEB CAM",B619)),
ISNUMBER(SEARCH("MOUSE",B619)),
ISNUMBER(SEARCH("TECLADO",B619))
),
"COMPLEMENTO",
IF(
OR(
LEFT(A619,2)="NB",
LEFT(A619,2)="PC",
LEFT(A619,2)="WS",
LEFT(A619,2)="TB",
LEFT(A619,3)="CEL",
LEFT(A619,3)="MON",
LEFT(A619,3)="PRE",
LEFT(A619,3)="PRH",
ISNUMBER(SEARCH("NOTEBOOK",B619)),
ISNUMBER(SEARCH("LAPTOP",B619)),
ISNUMBER(SEARCH("MONITOR",B619)),
ISNUMBER(SEARCH("TABLET",B619)),
ISNUMBER(SEARCH("SMARTPH",B619)),
ISNUMBER(SEARCH("IMPRESORA",B619)),
ISNUMBER(SEARCH("MULTIFUNCIONAL",B619)),
ISNUMBER(SEARCH("AIO",B619))
),
"GANCHO",
"NORMAL"
)
)</f>
        <v>NORMAL</v>
      </c>
    </row>
    <row r="618" spans="1:12" x14ac:dyDescent="0.25">
      <c r="A618" s="3" t="s">
        <v>5428</v>
      </c>
      <c r="B618" s="3" t="s">
        <v>5429</v>
      </c>
      <c r="C618" s="1">
        <v>1</v>
      </c>
      <c r="D618" s="1">
        <v>329</v>
      </c>
      <c r="E618" s="1" t="s">
        <v>226</v>
      </c>
      <c r="F618" s="1" t="s">
        <v>5430</v>
      </c>
      <c r="G618" s="3" t="s">
        <v>5431</v>
      </c>
      <c r="H618" s="11">
        <f>ROUND(
IF(L616="GANCHO",
   IF(I618&lt;=50,I618*1.1+4,IF(I618&lt;=120,I618*1.1+7,IF(I618&lt;=250,I618*1.1+11,I618*1.1+19))),
IF(L616="NORMAL",
   IF(I618&lt;=30,I618*1.15+2,IF(I618&lt;=80,I618*1.15+4,IF(I618&lt;=150,I618*1.15+6,I618*1.15+8))),
IF(L616="COMPLEMENTO",
   IF(I618&lt;=25,I618*1.25+1.5,IF(I618&lt;=60,I618*1.25+3,IF(I618&lt;=120,I618*1.25+4,I618*1.25+5))),
""))),2)</f>
        <v>1561.66</v>
      </c>
      <c r="I618" s="9">
        <f>($K$2+0.02)*Tabla1[[#This Row],[PRECIO $]]*1.18</f>
        <v>1351.0056</v>
      </c>
      <c r="J618" s="7">
        <f>+Tabla1[[#This Row],[PRECIO EN SOLES]]-Tabla1[[#This Row],[PC]]</f>
        <v>210.65440000000012</v>
      </c>
      <c r="K618" s="15"/>
      <c r="L618" s="15" t="str">
        <f>IF(
OR(
ISNUMBER(SEARCH("BACKPACK",B620)),
ISNUMBER(SEARCH("MOCHILA",B620)),
ISNUMBER(SEARCH("FUNDA",B620)),
ISNUMBER(SEARCH("ESTUCHE",B620)),
ISNUMBER(SEARCH("BOOK COVER",B620)),
ISNUMBER(SEARCH("KEYBOARD PARA TABLET",B620)),
ISNUMBER(SEARCH("FLIP TABLET",B620)),
ISNUMBER(SEARCH("CASE FOR TABLET",B620)),
ISNUMBER(SEARCH("CABLE",B620)),
ISNUMBER(SEARCH("ADAPTADOR",B620)),
ISNUMBER(SEARCH("HUB",B620)),
ISNUMBER(SEARCH("DOCK",B620)),
ISNUMBER(SEARCH("MOUSE PAD",B620)),
ISNUMBER(SEARCH("MOUSEPAD",B620)),
ISNUMBER(SEARCH("SOPORTE",B620)),
ISNUMBER(SEARCH("STAND",B620)),
ISNUMBER(SEARCH("TRAVEL ADAPTER",B620)),
ISNUMBER(SEARCH("RJ45",B620)),
ISNUMBER(SEARCH("USB-C",B620)),
ISNUMBER(SEARCH("USB WIFI",B620)),
ISNUMBER(SEARCH("POWERBANK",B620)),
ISNUMBER(SEARCH("CARGADOR",B620)),
ISNUMBER(SEARCH("COOLER PARA NB",B620)),
ISNUMBER(SEARCH("SOPORTE PARA NB",B620)),
ISNUMBER(SEARCH("WEBCAM",B620)),
ISNUMBER(SEARCH("WEB CAM",B620)),
ISNUMBER(SEARCH("MOUSE",B620)),
ISNUMBER(SEARCH("TECLADO",B620))
),
"COMPLEMENTO",
IF(
OR(
LEFT(A620,2)="NB",
LEFT(A620,2)="PC",
LEFT(A620,2)="WS",
LEFT(A620,2)="TB",
LEFT(A620,3)="CEL",
LEFT(A620,3)="MON",
LEFT(A620,3)="PRE",
LEFT(A620,3)="PRH",
ISNUMBER(SEARCH("NOTEBOOK",B620)),
ISNUMBER(SEARCH("LAPTOP",B620)),
ISNUMBER(SEARCH("MONITOR",B620)),
ISNUMBER(SEARCH("TABLET",B620)),
ISNUMBER(SEARCH("SMARTPH",B620)),
ISNUMBER(SEARCH("IMPRESORA",B620)),
ISNUMBER(SEARCH("MULTIFUNCIONAL",B620)),
ISNUMBER(SEARCH("AIO",B620))
),
"GANCHO",
"NORMAL"
)
)</f>
        <v>NORMAL</v>
      </c>
    </row>
    <row r="619" spans="1:12" x14ac:dyDescent="0.25">
      <c r="A619" s="3" t="s">
        <v>4611</v>
      </c>
      <c r="B619" s="3" t="s">
        <v>4612</v>
      </c>
      <c r="C619" s="1">
        <v>2</v>
      </c>
      <c r="D619" s="1">
        <v>284</v>
      </c>
      <c r="E619" s="1" t="s">
        <v>226</v>
      </c>
      <c r="F619" s="1" t="s">
        <v>4613</v>
      </c>
      <c r="G619" s="3" t="s">
        <v>4949</v>
      </c>
      <c r="H619" s="11">
        <f>ROUND(
IF(L617="GANCHO",
   IF(I619&lt;=50,I619*1.1+4,IF(I619&lt;=120,I619*1.1+7,IF(I619&lt;=250,I619*1.1+11,I619*1.1+19))),
IF(L617="NORMAL",
   IF(I619&lt;=30,I619*1.15+2,IF(I619&lt;=80,I619*1.15+4,IF(I619&lt;=150,I619*1.15+6,I619*1.15+8))),
IF(L617="COMPLEMENTO",
   IF(I619&lt;=25,I619*1.25+1.5,IF(I619&lt;=60,I619*1.25+3,IF(I619&lt;=120,I619*1.25+4,I619*1.25+5))),
""))),2)</f>
        <v>1349.15</v>
      </c>
      <c r="I619" s="9">
        <f>($K$2+0.02)*Tabla1[[#This Row],[PRECIO $]]*1.18</f>
        <v>1166.2175999999999</v>
      </c>
      <c r="J619" s="7">
        <f>+Tabla1[[#This Row],[PRECIO EN SOLES]]-Tabla1[[#This Row],[PC]]</f>
        <v>182.93240000000014</v>
      </c>
      <c r="K619" s="15"/>
      <c r="L619" s="15" t="str">
        <f>IF(
OR(
ISNUMBER(SEARCH("BACKPACK",B621)),
ISNUMBER(SEARCH("MOCHILA",B621)),
ISNUMBER(SEARCH("FUNDA",B621)),
ISNUMBER(SEARCH("ESTUCHE",B621)),
ISNUMBER(SEARCH("BOOK COVER",B621)),
ISNUMBER(SEARCH("KEYBOARD PARA TABLET",B621)),
ISNUMBER(SEARCH("FLIP TABLET",B621)),
ISNUMBER(SEARCH("CASE FOR TABLET",B621)),
ISNUMBER(SEARCH("CABLE",B621)),
ISNUMBER(SEARCH("ADAPTADOR",B621)),
ISNUMBER(SEARCH("HUB",B621)),
ISNUMBER(SEARCH("DOCK",B621)),
ISNUMBER(SEARCH("MOUSE PAD",B621)),
ISNUMBER(SEARCH("MOUSEPAD",B621)),
ISNUMBER(SEARCH("SOPORTE",B621)),
ISNUMBER(SEARCH("STAND",B621)),
ISNUMBER(SEARCH("TRAVEL ADAPTER",B621)),
ISNUMBER(SEARCH("RJ45",B621)),
ISNUMBER(SEARCH("USB-C",B621)),
ISNUMBER(SEARCH("USB WIFI",B621)),
ISNUMBER(SEARCH("POWERBANK",B621)),
ISNUMBER(SEARCH("CARGADOR",B621)),
ISNUMBER(SEARCH("COOLER PARA NB",B621)),
ISNUMBER(SEARCH("SOPORTE PARA NB",B621)),
ISNUMBER(SEARCH("WEBCAM",B621)),
ISNUMBER(SEARCH("WEB CAM",B621)),
ISNUMBER(SEARCH("MOUSE",B621)),
ISNUMBER(SEARCH("TECLADO",B621))
),
"COMPLEMENTO",
IF(
OR(
LEFT(A621,2)="NB",
LEFT(A621,2)="PC",
LEFT(A621,2)="WS",
LEFT(A621,2)="TB",
LEFT(A621,3)="CEL",
LEFT(A621,3)="MON",
LEFT(A621,3)="PRE",
LEFT(A621,3)="PRH",
ISNUMBER(SEARCH("NOTEBOOK",B621)),
ISNUMBER(SEARCH("LAPTOP",B621)),
ISNUMBER(SEARCH("MONITOR",B621)),
ISNUMBER(SEARCH("TABLET",B621)),
ISNUMBER(SEARCH("SMARTPH",B621)),
ISNUMBER(SEARCH("IMPRESORA",B621)),
ISNUMBER(SEARCH("MULTIFUNCIONAL",B621)),
ISNUMBER(SEARCH("AIO",B621))
),
"GANCHO",
"NORMAL"
)
)</f>
        <v>NORMAL</v>
      </c>
    </row>
    <row r="620" spans="1:12" x14ac:dyDescent="0.25">
      <c r="A620" s="3" t="s">
        <v>4614</v>
      </c>
      <c r="B620" s="3" t="s">
        <v>4615</v>
      </c>
      <c r="C620" s="1">
        <v>18</v>
      </c>
      <c r="D620" s="1">
        <v>204</v>
      </c>
      <c r="E620" s="1" t="s">
        <v>226</v>
      </c>
      <c r="F620" s="1" t="s">
        <v>4616</v>
      </c>
      <c r="G620" s="3" t="s">
        <v>4617</v>
      </c>
      <c r="H620" s="11">
        <f>ROUND(
IF(L618="GANCHO",
   IF(I620&lt;=50,I620*1.1+4,IF(I620&lt;=120,I620*1.1+7,IF(I620&lt;=250,I620*1.1+11,I620*1.1+19))),
IF(L618="NORMAL",
   IF(I620&lt;=30,I620*1.15+2,IF(I620&lt;=80,I620*1.15+4,IF(I620&lt;=150,I620*1.15+6,I620*1.15+8))),
IF(L618="COMPLEMENTO",
   IF(I620&lt;=25,I620*1.25+1.5,IF(I620&lt;=60,I620*1.25+3,IF(I620&lt;=120,I620*1.25+4,I620*1.25+5))),
""))),2)</f>
        <v>971.36</v>
      </c>
      <c r="I620" s="9">
        <f>($K$2+0.02)*Tabla1[[#This Row],[PRECIO $]]*1.18</f>
        <v>837.70559999999989</v>
      </c>
      <c r="J620" s="7">
        <f>+Tabla1[[#This Row],[PRECIO EN SOLES]]-Tabla1[[#This Row],[PC]]</f>
        <v>133.65440000000012</v>
      </c>
      <c r="K620" s="15"/>
      <c r="L620" s="15" t="str">
        <f>IF(
OR(
ISNUMBER(SEARCH("BACKPACK",B622)),
ISNUMBER(SEARCH("MOCHILA",B622)),
ISNUMBER(SEARCH("FUNDA",B622)),
ISNUMBER(SEARCH("ESTUCHE",B622)),
ISNUMBER(SEARCH("BOOK COVER",B622)),
ISNUMBER(SEARCH("KEYBOARD PARA TABLET",B622)),
ISNUMBER(SEARCH("FLIP TABLET",B622)),
ISNUMBER(SEARCH("CASE FOR TABLET",B622)),
ISNUMBER(SEARCH("CABLE",B622)),
ISNUMBER(SEARCH("ADAPTADOR",B622)),
ISNUMBER(SEARCH("HUB",B622)),
ISNUMBER(SEARCH("DOCK",B622)),
ISNUMBER(SEARCH("MOUSE PAD",B622)),
ISNUMBER(SEARCH("MOUSEPAD",B622)),
ISNUMBER(SEARCH("SOPORTE",B622)),
ISNUMBER(SEARCH("STAND",B622)),
ISNUMBER(SEARCH("TRAVEL ADAPTER",B622)),
ISNUMBER(SEARCH("RJ45",B622)),
ISNUMBER(SEARCH("USB-C",B622)),
ISNUMBER(SEARCH("USB WIFI",B622)),
ISNUMBER(SEARCH("POWERBANK",B622)),
ISNUMBER(SEARCH("CARGADOR",B622)),
ISNUMBER(SEARCH("COOLER PARA NB",B622)),
ISNUMBER(SEARCH("SOPORTE PARA NB",B622)),
ISNUMBER(SEARCH("WEBCAM",B622)),
ISNUMBER(SEARCH("WEB CAM",B622)),
ISNUMBER(SEARCH("MOUSE",B622)),
ISNUMBER(SEARCH("TECLADO",B622))
),
"COMPLEMENTO",
IF(
OR(
LEFT(A622,2)="NB",
LEFT(A622,2)="PC",
LEFT(A622,2)="WS",
LEFT(A622,2)="TB",
LEFT(A622,3)="CEL",
LEFT(A622,3)="MON",
LEFT(A622,3)="PRE",
LEFT(A622,3)="PRH",
ISNUMBER(SEARCH("NOTEBOOK",B622)),
ISNUMBER(SEARCH("LAPTOP",B622)),
ISNUMBER(SEARCH("MONITOR",B622)),
ISNUMBER(SEARCH("TABLET",B622)),
ISNUMBER(SEARCH("SMARTPH",B622)),
ISNUMBER(SEARCH("IMPRESORA",B622)),
ISNUMBER(SEARCH("MULTIFUNCIONAL",B622)),
ISNUMBER(SEARCH("AIO",B622))
),
"GANCHO",
"NORMAL"
)
)</f>
        <v>NORMAL</v>
      </c>
    </row>
    <row r="621" spans="1:12" x14ac:dyDescent="0.25">
      <c r="A621" s="3" t="s">
        <v>4618</v>
      </c>
      <c r="B621" s="3" t="s">
        <v>4619</v>
      </c>
      <c r="C621" s="1">
        <v>3</v>
      </c>
      <c r="D621" s="1">
        <v>330</v>
      </c>
      <c r="E621" s="1" t="s">
        <v>226</v>
      </c>
      <c r="F621" s="1" t="s">
        <v>4620</v>
      </c>
      <c r="G621" s="3" t="s">
        <v>4621</v>
      </c>
      <c r="H621" s="11">
        <f>ROUND(
IF(L619="GANCHO",
   IF(I621&lt;=50,I621*1.1+4,IF(I621&lt;=120,I621*1.1+7,IF(I621&lt;=250,I621*1.1+11,I621*1.1+19))),
IF(L619="NORMAL",
   IF(I621&lt;=30,I621*1.15+2,IF(I621&lt;=80,I621*1.15+4,IF(I621&lt;=150,I621*1.15+6,I621*1.15+8))),
IF(L619="COMPLEMENTO",
   IF(I621&lt;=25,I621*1.25+1.5,IF(I621&lt;=60,I621*1.25+3,IF(I621&lt;=120,I621*1.25+4,I621*1.25+5))),
""))),2)</f>
        <v>1566.38</v>
      </c>
      <c r="I621" s="9">
        <f>($K$2+0.02)*Tabla1[[#This Row],[PRECIO $]]*1.18</f>
        <v>1355.1120000000001</v>
      </c>
      <c r="J621" s="7">
        <f>+Tabla1[[#This Row],[PRECIO EN SOLES]]-Tabla1[[#This Row],[PC]]</f>
        <v>211.26800000000003</v>
      </c>
      <c r="K621" s="15"/>
      <c r="L621" s="15" t="str">
        <f>IF(
OR(
ISNUMBER(SEARCH("BACKPACK",B623)),
ISNUMBER(SEARCH("MOCHILA",B623)),
ISNUMBER(SEARCH("FUNDA",B623)),
ISNUMBER(SEARCH("ESTUCHE",B623)),
ISNUMBER(SEARCH("BOOK COVER",B623)),
ISNUMBER(SEARCH("KEYBOARD PARA TABLET",B623)),
ISNUMBER(SEARCH("FLIP TABLET",B623)),
ISNUMBER(SEARCH("CASE FOR TABLET",B623)),
ISNUMBER(SEARCH("CABLE",B623)),
ISNUMBER(SEARCH("ADAPTADOR",B623)),
ISNUMBER(SEARCH("HUB",B623)),
ISNUMBER(SEARCH("DOCK",B623)),
ISNUMBER(SEARCH("MOUSE PAD",B623)),
ISNUMBER(SEARCH("MOUSEPAD",B623)),
ISNUMBER(SEARCH("SOPORTE",B623)),
ISNUMBER(SEARCH("STAND",B623)),
ISNUMBER(SEARCH("TRAVEL ADAPTER",B623)),
ISNUMBER(SEARCH("RJ45",B623)),
ISNUMBER(SEARCH("USB-C",B623)),
ISNUMBER(SEARCH("USB WIFI",B623)),
ISNUMBER(SEARCH("POWERBANK",B623)),
ISNUMBER(SEARCH("CARGADOR",B623)),
ISNUMBER(SEARCH("COOLER PARA NB",B623)),
ISNUMBER(SEARCH("SOPORTE PARA NB",B623)),
ISNUMBER(SEARCH("WEBCAM",B623)),
ISNUMBER(SEARCH("WEB CAM",B623)),
ISNUMBER(SEARCH("MOUSE",B623)),
ISNUMBER(SEARCH("TECLADO",B623))
),
"COMPLEMENTO",
IF(
OR(
LEFT(A623,2)="NB",
LEFT(A623,2)="PC",
LEFT(A623,2)="WS",
LEFT(A623,2)="TB",
LEFT(A623,3)="CEL",
LEFT(A623,3)="MON",
LEFT(A623,3)="PRE",
LEFT(A623,3)="PRH",
ISNUMBER(SEARCH("NOTEBOOK",B623)),
ISNUMBER(SEARCH("LAPTOP",B623)),
ISNUMBER(SEARCH("MONITOR",B623)),
ISNUMBER(SEARCH("TABLET",B623)),
ISNUMBER(SEARCH("SMARTPH",B623)),
ISNUMBER(SEARCH("IMPRESORA",B623)),
ISNUMBER(SEARCH("MULTIFUNCIONAL",B623)),
ISNUMBER(SEARCH("AIO",B623))
),
"GANCHO",
"NORMAL"
)
)</f>
        <v>NORMAL</v>
      </c>
    </row>
    <row r="622" spans="1:12" x14ac:dyDescent="0.25">
      <c r="A622" s="3" t="s">
        <v>1367</v>
      </c>
      <c r="B622" s="3" t="s">
        <v>1368</v>
      </c>
      <c r="C622" s="1">
        <v>5</v>
      </c>
      <c r="D622" s="1">
        <v>216</v>
      </c>
      <c r="E622" s="1" t="s">
        <v>226</v>
      </c>
      <c r="F622" s="1" t="s">
        <v>3390</v>
      </c>
      <c r="G622" s="3" t="s">
        <v>1369</v>
      </c>
      <c r="H622" s="11">
        <f>ROUND(
IF(L620="GANCHO",
   IF(I622&lt;=50,I622*1.1+4,IF(I622&lt;=120,I622*1.1+7,IF(I622&lt;=250,I622*1.1+11,I622*1.1+19))),
IF(L620="NORMAL",
   IF(I622&lt;=30,I622*1.15+2,IF(I622&lt;=80,I622*1.15+4,IF(I622&lt;=150,I622*1.15+6,I622*1.15+8))),
IF(L620="COMPLEMENTO",
   IF(I622&lt;=25,I622*1.25+1.5,IF(I622&lt;=60,I622*1.25+3,IF(I622&lt;=120,I622*1.25+4,I622*1.25+5))),
""))),2)</f>
        <v>1028.03</v>
      </c>
      <c r="I622" s="9">
        <f>($K$2+0.02)*Tabla1[[#This Row],[PRECIO $]]*1.18</f>
        <v>886.98239999999987</v>
      </c>
      <c r="J622" s="7">
        <f>+Tabla1[[#This Row],[PRECIO EN SOLES]]-Tabla1[[#This Row],[PC]]</f>
        <v>141.0476000000001</v>
      </c>
      <c r="K622" s="15"/>
      <c r="L622" s="15" t="str">
        <f>IF(
OR(
ISNUMBER(SEARCH("BACKPACK",B624)),
ISNUMBER(SEARCH("MOCHILA",B624)),
ISNUMBER(SEARCH("FUNDA",B624)),
ISNUMBER(SEARCH("ESTUCHE",B624)),
ISNUMBER(SEARCH("BOOK COVER",B624)),
ISNUMBER(SEARCH("KEYBOARD PARA TABLET",B624)),
ISNUMBER(SEARCH("FLIP TABLET",B624)),
ISNUMBER(SEARCH("CASE FOR TABLET",B624)),
ISNUMBER(SEARCH("CABLE",B624)),
ISNUMBER(SEARCH("ADAPTADOR",B624)),
ISNUMBER(SEARCH("HUB",B624)),
ISNUMBER(SEARCH("DOCK",B624)),
ISNUMBER(SEARCH("MOUSE PAD",B624)),
ISNUMBER(SEARCH("MOUSEPAD",B624)),
ISNUMBER(SEARCH("SOPORTE",B624)),
ISNUMBER(SEARCH("STAND",B624)),
ISNUMBER(SEARCH("TRAVEL ADAPTER",B624)),
ISNUMBER(SEARCH("RJ45",B624)),
ISNUMBER(SEARCH("USB-C",B624)),
ISNUMBER(SEARCH("USB WIFI",B624)),
ISNUMBER(SEARCH("POWERBANK",B624)),
ISNUMBER(SEARCH("CARGADOR",B624)),
ISNUMBER(SEARCH("COOLER PARA NB",B624)),
ISNUMBER(SEARCH("SOPORTE PARA NB",B624)),
ISNUMBER(SEARCH("WEBCAM",B624)),
ISNUMBER(SEARCH("WEB CAM",B624)),
ISNUMBER(SEARCH("MOUSE",B624)),
ISNUMBER(SEARCH("TECLADO",B624))
),
"COMPLEMENTO",
IF(
OR(
LEFT(A624,2)="NB",
LEFT(A624,2)="PC",
LEFT(A624,2)="WS",
LEFT(A624,2)="TB",
LEFT(A624,3)="CEL",
LEFT(A624,3)="MON",
LEFT(A624,3)="PRE",
LEFT(A624,3)="PRH",
ISNUMBER(SEARCH("NOTEBOOK",B624)),
ISNUMBER(SEARCH("LAPTOP",B624)),
ISNUMBER(SEARCH("MONITOR",B624)),
ISNUMBER(SEARCH("TABLET",B624)),
ISNUMBER(SEARCH("SMARTPH",B624)),
ISNUMBER(SEARCH("IMPRESORA",B624)),
ISNUMBER(SEARCH("MULTIFUNCIONAL",B624)),
ISNUMBER(SEARCH("AIO",B624))
),
"GANCHO",
"NORMAL"
)
)</f>
        <v>NORMAL</v>
      </c>
    </row>
    <row r="623" spans="1:12" x14ac:dyDescent="0.25">
      <c r="A623" s="3" t="s">
        <v>4622</v>
      </c>
      <c r="B623" s="3" t="s">
        <v>4623</v>
      </c>
      <c r="C623" s="1">
        <v>20</v>
      </c>
      <c r="D623" s="1">
        <v>209.5</v>
      </c>
      <c r="E623" s="1" t="s">
        <v>226</v>
      </c>
      <c r="F623" s="1" t="s">
        <v>4624</v>
      </c>
      <c r="G623" s="3" t="s">
        <v>4950</v>
      </c>
      <c r="H623" s="11">
        <f>ROUND(
IF(L621="GANCHO",
   IF(I623&lt;=50,I623*1.1+4,IF(I623&lt;=120,I623*1.1+7,IF(I623&lt;=250,I623*1.1+11,I623*1.1+19))),
IF(L621="NORMAL",
   IF(I623&lt;=30,I623*1.15+2,IF(I623&lt;=80,I623*1.15+4,IF(I623&lt;=150,I623*1.15+6,I623*1.15+8))),
IF(L621="COMPLEMENTO",
   IF(I623&lt;=25,I623*1.25+1.5,IF(I623&lt;=60,I623*1.25+3,IF(I623&lt;=120,I623*1.25+4,I623*1.25+5))),
""))),2)</f>
        <v>997.33</v>
      </c>
      <c r="I623" s="9">
        <f>($K$2+0.02)*Tabla1[[#This Row],[PRECIO $]]*1.18</f>
        <v>860.29079999999988</v>
      </c>
      <c r="J623" s="7">
        <f>+Tabla1[[#This Row],[PRECIO EN SOLES]]-Tabla1[[#This Row],[PC]]</f>
        <v>137.03920000000016</v>
      </c>
      <c r="K623" s="15"/>
      <c r="L623" s="15" t="str">
        <f>IF(
OR(
ISNUMBER(SEARCH("BACKPACK",B625)),
ISNUMBER(SEARCH("MOCHILA",B625)),
ISNUMBER(SEARCH("FUNDA",B625)),
ISNUMBER(SEARCH("ESTUCHE",B625)),
ISNUMBER(SEARCH("BOOK COVER",B625)),
ISNUMBER(SEARCH("KEYBOARD PARA TABLET",B625)),
ISNUMBER(SEARCH("FLIP TABLET",B625)),
ISNUMBER(SEARCH("CASE FOR TABLET",B625)),
ISNUMBER(SEARCH("CABLE",B625)),
ISNUMBER(SEARCH("ADAPTADOR",B625)),
ISNUMBER(SEARCH("HUB",B625)),
ISNUMBER(SEARCH("DOCK",B625)),
ISNUMBER(SEARCH("MOUSE PAD",B625)),
ISNUMBER(SEARCH("MOUSEPAD",B625)),
ISNUMBER(SEARCH("SOPORTE",B625)),
ISNUMBER(SEARCH("STAND",B625)),
ISNUMBER(SEARCH("TRAVEL ADAPTER",B625)),
ISNUMBER(SEARCH("RJ45",B625)),
ISNUMBER(SEARCH("USB-C",B625)),
ISNUMBER(SEARCH("USB WIFI",B625)),
ISNUMBER(SEARCH("POWERBANK",B625)),
ISNUMBER(SEARCH("CARGADOR",B625)),
ISNUMBER(SEARCH("COOLER PARA NB",B625)),
ISNUMBER(SEARCH("SOPORTE PARA NB",B625)),
ISNUMBER(SEARCH("WEBCAM",B625)),
ISNUMBER(SEARCH("WEB CAM",B625)),
ISNUMBER(SEARCH("MOUSE",B625)),
ISNUMBER(SEARCH("TECLADO",B625))
),
"COMPLEMENTO",
IF(
OR(
LEFT(A625,2)="NB",
LEFT(A625,2)="PC",
LEFT(A625,2)="WS",
LEFT(A625,2)="TB",
LEFT(A625,3)="CEL",
LEFT(A625,3)="MON",
LEFT(A625,3)="PRE",
LEFT(A625,3)="PRH",
ISNUMBER(SEARCH("NOTEBOOK",B625)),
ISNUMBER(SEARCH("LAPTOP",B625)),
ISNUMBER(SEARCH("MONITOR",B625)),
ISNUMBER(SEARCH("TABLET",B625)),
ISNUMBER(SEARCH("SMARTPH",B625)),
ISNUMBER(SEARCH("IMPRESORA",B625)),
ISNUMBER(SEARCH("MULTIFUNCIONAL",B625)),
ISNUMBER(SEARCH("AIO",B625))
),
"GANCHO",
"NORMAL"
)
)</f>
        <v>NORMAL</v>
      </c>
    </row>
    <row r="624" spans="1:12" x14ac:dyDescent="0.25">
      <c r="A624" s="3" t="s">
        <v>4625</v>
      </c>
      <c r="B624" s="3" t="s">
        <v>4623</v>
      </c>
      <c r="C624" s="1">
        <v>7</v>
      </c>
      <c r="D624" s="1">
        <v>212.5</v>
      </c>
      <c r="E624" s="1" t="s">
        <v>226</v>
      </c>
      <c r="F624" s="1" t="s">
        <v>4626</v>
      </c>
      <c r="G624" s="3" t="s">
        <v>4951</v>
      </c>
      <c r="H624" s="11">
        <f>ROUND(
IF(L622="GANCHO",
   IF(I624&lt;=50,I624*1.1+4,IF(I624&lt;=120,I624*1.1+7,IF(I624&lt;=250,I624*1.1+11,I624*1.1+19))),
IF(L622="NORMAL",
   IF(I624&lt;=30,I624*1.15+2,IF(I624&lt;=80,I624*1.15+4,IF(I624&lt;=150,I624*1.15+6,I624*1.15+8))),
IF(L622="COMPLEMENTO",
   IF(I624&lt;=25,I624*1.25+1.5,IF(I624&lt;=60,I624*1.25+3,IF(I624&lt;=120,I624*1.25+4,I624*1.25+5))),
""))),2)</f>
        <v>1011.5</v>
      </c>
      <c r="I624" s="9">
        <f>($K$2+0.02)*Tabla1[[#This Row],[PRECIO $]]*1.18</f>
        <v>872.6099999999999</v>
      </c>
      <c r="J624" s="7">
        <f>+Tabla1[[#This Row],[PRECIO EN SOLES]]-Tabla1[[#This Row],[PC]]</f>
        <v>138.8900000000001</v>
      </c>
      <c r="K624" s="15"/>
      <c r="L624" s="15" t="str">
        <f>IF(
OR(
ISNUMBER(SEARCH("BACKPACK",B626)),
ISNUMBER(SEARCH("MOCHILA",B626)),
ISNUMBER(SEARCH("FUNDA",B626)),
ISNUMBER(SEARCH("ESTUCHE",B626)),
ISNUMBER(SEARCH("BOOK COVER",B626)),
ISNUMBER(SEARCH("KEYBOARD PARA TABLET",B626)),
ISNUMBER(SEARCH("FLIP TABLET",B626)),
ISNUMBER(SEARCH("CASE FOR TABLET",B626)),
ISNUMBER(SEARCH("CABLE",B626)),
ISNUMBER(SEARCH("ADAPTADOR",B626)),
ISNUMBER(SEARCH("HUB",B626)),
ISNUMBER(SEARCH("DOCK",B626)),
ISNUMBER(SEARCH("MOUSE PAD",B626)),
ISNUMBER(SEARCH("MOUSEPAD",B626)),
ISNUMBER(SEARCH("SOPORTE",B626)),
ISNUMBER(SEARCH("STAND",B626)),
ISNUMBER(SEARCH("TRAVEL ADAPTER",B626)),
ISNUMBER(SEARCH("RJ45",B626)),
ISNUMBER(SEARCH("USB-C",B626)),
ISNUMBER(SEARCH("USB WIFI",B626)),
ISNUMBER(SEARCH("POWERBANK",B626)),
ISNUMBER(SEARCH("CARGADOR",B626)),
ISNUMBER(SEARCH("COOLER PARA NB",B626)),
ISNUMBER(SEARCH("SOPORTE PARA NB",B626)),
ISNUMBER(SEARCH("WEBCAM",B626)),
ISNUMBER(SEARCH("WEB CAM",B626)),
ISNUMBER(SEARCH("MOUSE",B626)),
ISNUMBER(SEARCH("TECLADO",B626))
),
"COMPLEMENTO",
IF(
OR(
LEFT(A626,2)="NB",
LEFT(A626,2)="PC",
LEFT(A626,2)="WS",
LEFT(A626,2)="TB",
LEFT(A626,3)="CEL",
LEFT(A626,3)="MON",
LEFT(A626,3)="PRE",
LEFT(A626,3)="PRH",
ISNUMBER(SEARCH("NOTEBOOK",B626)),
ISNUMBER(SEARCH("LAPTOP",B626)),
ISNUMBER(SEARCH("MONITOR",B626)),
ISNUMBER(SEARCH("TABLET",B626)),
ISNUMBER(SEARCH("SMARTPH",B626)),
ISNUMBER(SEARCH("IMPRESORA",B626)),
ISNUMBER(SEARCH("MULTIFUNCIONAL",B626)),
ISNUMBER(SEARCH("AIO",B626))
),
"GANCHO",
"NORMAL"
)
)</f>
        <v>NORMAL</v>
      </c>
    </row>
    <row r="625" spans="1:12" x14ac:dyDescent="0.25">
      <c r="A625" s="3" t="s">
        <v>1370</v>
      </c>
      <c r="B625" s="3" t="s">
        <v>1371</v>
      </c>
      <c r="C625" s="1">
        <v>13</v>
      </c>
      <c r="D625" s="1">
        <v>171.9</v>
      </c>
      <c r="E625" s="1" t="s">
        <v>121</v>
      </c>
      <c r="F625" s="1" t="s">
        <v>3391</v>
      </c>
      <c r="G625" s="3" t="s">
        <v>1372</v>
      </c>
      <c r="H625" s="11">
        <f>ROUND(
IF(L623="GANCHO",
   IF(I625&lt;=50,I625*1.1+4,IF(I625&lt;=120,I625*1.1+7,IF(I625&lt;=250,I625*1.1+11,I625*1.1+19))),
IF(L623="NORMAL",
   IF(I625&lt;=30,I625*1.15+2,IF(I625&lt;=80,I625*1.15+4,IF(I625&lt;=150,I625*1.15+6,I625*1.15+8))),
IF(L623="COMPLEMENTO",
   IF(I625&lt;=25,I625*1.25+1.5,IF(I625&lt;=60,I625*1.25+3,IF(I625&lt;=120,I625*1.25+4,I625*1.25+5))),
""))),2)</f>
        <v>819.77</v>
      </c>
      <c r="I625" s="9">
        <f>($K$2+0.02)*Tabla1[[#This Row],[PRECIO $]]*1.18</f>
        <v>705.89015999999992</v>
      </c>
      <c r="J625" s="7">
        <f>+Tabla1[[#This Row],[PRECIO EN SOLES]]-Tabla1[[#This Row],[PC]]</f>
        <v>113.87984000000006</v>
      </c>
      <c r="K625" s="15"/>
      <c r="L625" s="15" t="str">
        <f>IF(
OR(
ISNUMBER(SEARCH("BACKPACK",B627)),
ISNUMBER(SEARCH("MOCHILA",B627)),
ISNUMBER(SEARCH("FUNDA",B627)),
ISNUMBER(SEARCH("ESTUCHE",B627)),
ISNUMBER(SEARCH("BOOK COVER",B627)),
ISNUMBER(SEARCH("KEYBOARD PARA TABLET",B627)),
ISNUMBER(SEARCH("FLIP TABLET",B627)),
ISNUMBER(SEARCH("CASE FOR TABLET",B627)),
ISNUMBER(SEARCH("CABLE",B627)),
ISNUMBER(SEARCH("ADAPTADOR",B627)),
ISNUMBER(SEARCH("HUB",B627)),
ISNUMBER(SEARCH("DOCK",B627)),
ISNUMBER(SEARCH("MOUSE PAD",B627)),
ISNUMBER(SEARCH("MOUSEPAD",B627)),
ISNUMBER(SEARCH("SOPORTE",B627)),
ISNUMBER(SEARCH("STAND",B627)),
ISNUMBER(SEARCH("TRAVEL ADAPTER",B627)),
ISNUMBER(SEARCH("RJ45",B627)),
ISNUMBER(SEARCH("USB-C",B627)),
ISNUMBER(SEARCH("USB WIFI",B627)),
ISNUMBER(SEARCH("POWERBANK",B627)),
ISNUMBER(SEARCH("CARGADOR",B627)),
ISNUMBER(SEARCH("COOLER PARA NB",B627)),
ISNUMBER(SEARCH("SOPORTE PARA NB",B627)),
ISNUMBER(SEARCH("WEBCAM",B627)),
ISNUMBER(SEARCH("WEB CAM",B627)),
ISNUMBER(SEARCH("MOUSE",B627)),
ISNUMBER(SEARCH("TECLADO",B627))
),
"COMPLEMENTO",
IF(
OR(
LEFT(A627,2)="NB",
LEFT(A627,2)="PC",
LEFT(A627,2)="WS",
LEFT(A627,2)="TB",
LEFT(A627,3)="CEL",
LEFT(A627,3)="MON",
LEFT(A627,3)="PRE",
LEFT(A627,3)="PRH",
ISNUMBER(SEARCH("NOTEBOOK",B627)),
ISNUMBER(SEARCH("LAPTOP",B627)),
ISNUMBER(SEARCH("MONITOR",B627)),
ISNUMBER(SEARCH("TABLET",B627)),
ISNUMBER(SEARCH("SMARTPH",B627)),
ISNUMBER(SEARCH("IMPRESORA",B627)),
ISNUMBER(SEARCH("MULTIFUNCIONAL",B627)),
ISNUMBER(SEARCH("AIO",B627))
),
"GANCHO",
"NORMAL"
)
)</f>
        <v>NORMAL</v>
      </c>
    </row>
    <row r="626" spans="1:12" x14ac:dyDescent="0.25">
      <c r="A626" s="3" t="s">
        <v>1373</v>
      </c>
      <c r="B626" s="3" t="s">
        <v>1374</v>
      </c>
      <c r="C626" s="1">
        <v>11</v>
      </c>
      <c r="D626" s="1">
        <v>239</v>
      </c>
      <c r="E626" s="1" t="s">
        <v>121</v>
      </c>
      <c r="F626" s="1" t="s">
        <v>3392</v>
      </c>
      <c r="G626" s="3" t="s">
        <v>1375</v>
      </c>
      <c r="H626" s="11">
        <f>ROUND(
IF(L624="GANCHO",
   IF(I626&lt;=50,I626*1.1+4,IF(I626&lt;=120,I626*1.1+7,IF(I626&lt;=250,I626*1.1+11,I626*1.1+19))),
IF(L624="NORMAL",
   IF(I626&lt;=30,I626*1.15+2,IF(I626&lt;=80,I626*1.15+4,IF(I626&lt;=150,I626*1.15+6,I626*1.15+8))),
IF(L624="COMPLEMENTO",
   IF(I626&lt;=25,I626*1.25+1.5,IF(I626&lt;=60,I626*1.25+3,IF(I626&lt;=120,I626*1.25+4,I626*1.25+5))),
""))),2)</f>
        <v>1136.6400000000001</v>
      </c>
      <c r="I626" s="9">
        <f>($K$2+0.02)*Tabla1[[#This Row],[PRECIO $]]*1.18</f>
        <v>981.42959999999994</v>
      </c>
      <c r="J626" s="7">
        <f>+Tabla1[[#This Row],[PRECIO EN SOLES]]-Tabla1[[#This Row],[PC]]</f>
        <v>155.21040000000016</v>
      </c>
      <c r="K626" s="15"/>
      <c r="L626" s="15" t="str">
        <f>IF(
OR(
ISNUMBER(SEARCH("BACKPACK",B628)),
ISNUMBER(SEARCH("MOCHILA",B628)),
ISNUMBER(SEARCH("FUNDA",B628)),
ISNUMBER(SEARCH("ESTUCHE",B628)),
ISNUMBER(SEARCH("BOOK COVER",B628)),
ISNUMBER(SEARCH("KEYBOARD PARA TABLET",B628)),
ISNUMBER(SEARCH("FLIP TABLET",B628)),
ISNUMBER(SEARCH("CASE FOR TABLET",B628)),
ISNUMBER(SEARCH("CABLE",B628)),
ISNUMBER(SEARCH("ADAPTADOR",B628)),
ISNUMBER(SEARCH("HUB",B628)),
ISNUMBER(SEARCH("DOCK",B628)),
ISNUMBER(SEARCH("MOUSE PAD",B628)),
ISNUMBER(SEARCH("MOUSEPAD",B628)),
ISNUMBER(SEARCH("SOPORTE",B628)),
ISNUMBER(SEARCH("STAND",B628)),
ISNUMBER(SEARCH("TRAVEL ADAPTER",B628)),
ISNUMBER(SEARCH("RJ45",B628)),
ISNUMBER(SEARCH("USB-C",B628)),
ISNUMBER(SEARCH("USB WIFI",B628)),
ISNUMBER(SEARCH("POWERBANK",B628)),
ISNUMBER(SEARCH("CARGADOR",B628)),
ISNUMBER(SEARCH("COOLER PARA NB",B628)),
ISNUMBER(SEARCH("SOPORTE PARA NB",B628)),
ISNUMBER(SEARCH("WEBCAM",B628)),
ISNUMBER(SEARCH("WEB CAM",B628)),
ISNUMBER(SEARCH("MOUSE",B628)),
ISNUMBER(SEARCH("TECLADO",B628))
),
"COMPLEMENTO",
IF(
OR(
LEFT(A628,2)="NB",
LEFT(A628,2)="PC",
LEFT(A628,2)="WS",
LEFT(A628,2)="TB",
LEFT(A628,3)="CEL",
LEFT(A628,3)="MON",
LEFT(A628,3)="PRE",
LEFT(A628,3)="PRH",
ISNUMBER(SEARCH("NOTEBOOK",B628)),
ISNUMBER(SEARCH("LAPTOP",B628)),
ISNUMBER(SEARCH("MONITOR",B628)),
ISNUMBER(SEARCH("TABLET",B628)),
ISNUMBER(SEARCH("SMARTPH",B628)),
ISNUMBER(SEARCH("IMPRESORA",B628)),
ISNUMBER(SEARCH("MULTIFUNCIONAL",B628)),
ISNUMBER(SEARCH("AIO",B628))
),
"GANCHO",
"NORMAL"
)
)</f>
        <v>NORMAL</v>
      </c>
    </row>
    <row r="627" spans="1:12" x14ac:dyDescent="0.25">
      <c r="A627" s="3" t="s">
        <v>1376</v>
      </c>
      <c r="B627" s="3" t="s">
        <v>1377</v>
      </c>
      <c r="C627" s="1">
        <v>20</v>
      </c>
      <c r="D627" s="1">
        <v>109</v>
      </c>
      <c r="E627" s="1" t="s">
        <v>121</v>
      </c>
      <c r="F627" s="1" t="s">
        <v>3393</v>
      </c>
      <c r="G627" s="3" t="s">
        <v>1378</v>
      </c>
      <c r="H627" s="11">
        <f>ROUND(
IF(L625="GANCHO",
   IF(I627&lt;=50,I627*1.1+4,IF(I627&lt;=120,I627*1.1+7,IF(I627&lt;=250,I627*1.1+11,I627*1.1+19))),
IF(L625="NORMAL",
   IF(I627&lt;=30,I627*1.15+2,IF(I627&lt;=80,I627*1.15+4,IF(I627&lt;=150,I627*1.15+6,I627*1.15+8))),
IF(L625="COMPLEMENTO",
   IF(I627&lt;=25,I627*1.25+1.5,IF(I627&lt;=60,I627*1.25+3,IF(I627&lt;=120,I627*1.25+4,I627*1.25+5))),
""))),2)</f>
        <v>522.74</v>
      </c>
      <c r="I627" s="9">
        <f>($K$2+0.02)*Tabla1[[#This Row],[PRECIO $]]*1.18</f>
        <v>447.59759999999994</v>
      </c>
      <c r="J627" s="7">
        <f>+Tabla1[[#This Row],[PRECIO EN SOLES]]-Tabla1[[#This Row],[PC]]</f>
        <v>75.142400000000066</v>
      </c>
      <c r="K627" s="15"/>
      <c r="L627" s="15" t="str">
        <f>IF(
OR(
ISNUMBER(SEARCH("BACKPACK",B629)),
ISNUMBER(SEARCH("MOCHILA",B629)),
ISNUMBER(SEARCH("FUNDA",B629)),
ISNUMBER(SEARCH("ESTUCHE",B629)),
ISNUMBER(SEARCH("BOOK COVER",B629)),
ISNUMBER(SEARCH("KEYBOARD PARA TABLET",B629)),
ISNUMBER(SEARCH("FLIP TABLET",B629)),
ISNUMBER(SEARCH("CASE FOR TABLET",B629)),
ISNUMBER(SEARCH("CABLE",B629)),
ISNUMBER(SEARCH("ADAPTADOR",B629)),
ISNUMBER(SEARCH("HUB",B629)),
ISNUMBER(SEARCH("DOCK",B629)),
ISNUMBER(SEARCH("MOUSE PAD",B629)),
ISNUMBER(SEARCH("MOUSEPAD",B629)),
ISNUMBER(SEARCH("SOPORTE",B629)),
ISNUMBER(SEARCH("STAND",B629)),
ISNUMBER(SEARCH("TRAVEL ADAPTER",B629)),
ISNUMBER(SEARCH("RJ45",B629)),
ISNUMBER(SEARCH("USB-C",B629)),
ISNUMBER(SEARCH("USB WIFI",B629)),
ISNUMBER(SEARCH("POWERBANK",B629)),
ISNUMBER(SEARCH("CARGADOR",B629)),
ISNUMBER(SEARCH("COOLER PARA NB",B629)),
ISNUMBER(SEARCH("SOPORTE PARA NB",B629)),
ISNUMBER(SEARCH("WEBCAM",B629)),
ISNUMBER(SEARCH("WEB CAM",B629)),
ISNUMBER(SEARCH("MOUSE",B629)),
ISNUMBER(SEARCH("TECLADO",B629))
),
"COMPLEMENTO",
IF(
OR(
LEFT(A629,2)="NB",
LEFT(A629,2)="PC",
LEFT(A629,2)="WS",
LEFT(A629,2)="TB",
LEFT(A629,3)="CEL",
LEFT(A629,3)="MON",
LEFT(A629,3)="PRE",
LEFT(A629,3)="PRH",
ISNUMBER(SEARCH("NOTEBOOK",B629)),
ISNUMBER(SEARCH("LAPTOP",B629)),
ISNUMBER(SEARCH("MONITOR",B629)),
ISNUMBER(SEARCH("TABLET",B629)),
ISNUMBER(SEARCH("SMARTPH",B629)),
ISNUMBER(SEARCH("IMPRESORA",B629)),
ISNUMBER(SEARCH("MULTIFUNCIONAL",B629)),
ISNUMBER(SEARCH("AIO",B629))
),
"GANCHO",
"NORMAL"
)
)</f>
        <v>NORMAL</v>
      </c>
    </row>
    <row r="628" spans="1:12" x14ac:dyDescent="0.25">
      <c r="A628" s="3" t="s">
        <v>1379</v>
      </c>
      <c r="B628" s="3" t="s">
        <v>1380</v>
      </c>
      <c r="C628" s="1">
        <v>20</v>
      </c>
      <c r="D628" s="1">
        <v>190.5</v>
      </c>
      <c r="E628" s="1" t="s">
        <v>121</v>
      </c>
      <c r="F628" s="1" t="s">
        <v>3394</v>
      </c>
      <c r="G628" s="3" t="s">
        <v>1381</v>
      </c>
      <c r="H628" s="11">
        <f>ROUND(
IF(L626="GANCHO",
   IF(I628&lt;=50,I628*1.1+4,IF(I628&lt;=120,I628*1.1+7,IF(I628&lt;=250,I628*1.1+11,I628*1.1+19))),
IF(L626="NORMAL",
   IF(I628&lt;=30,I628*1.15+2,IF(I628&lt;=80,I628*1.15+4,IF(I628&lt;=150,I628*1.15+6,I628*1.15+8))),
IF(L626="COMPLEMENTO",
   IF(I628&lt;=25,I628*1.25+1.5,IF(I628&lt;=60,I628*1.25+3,IF(I628&lt;=120,I628*1.25+4,I628*1.25+5))),
""))),2)</f>
        <v>907.61</v>
      </c>
      <c r="I628" s="9">
        <f>($K$2+0.02)*Tabla1[[#This Row],[PRECIO $]]*1.18</f>
        <v>782.26919999999984</v>
      </c>
      <c r="J628" s="7">
        <f>+Tabla1[[#This Row],[PRECIO EN SOLES]]-Tabla1[[#This Row],[PC]]</f>
        <v>125.34080000000017</v>
      </c>
      <c r="K628" s="15"/>
      <c r="L628" s="15" t="str">
        <f>IF(
OR(
ISNUMBER(SEARCH("BACKPACK",B630)),
ISNUMBER(SEARCH("MOCHILA",B630)),
ISNUMBER(SEARCH("FUNDA",B630)),
ISNUMBER(SEARCH("ESTUCHE",B630)),
ISNUMBER(SEARCH("BOOK COVER",B630)),
ISNUMBER(SEARCH("KEYBOARD PARA TABLET",B630)),
ISNUMBER(SEARCH("FLIP TABLET",B630)),
ISNUMBER(SEARCH("CASE FOR TABLET",B630)),
ISNUMBER(SEARCH("CABLE",B630)),
ISNUMBER(SEARCH("ADAPTADOR",B630)),
ISNUMBER(SEARCH("HUB",B630)),
ISNUMBER(SEARCH("DOCK",B630)),
ISNUMBER(SEARCH("MOUSE PAD",B630)),
ISNUMBER(SEARCH("MOUSEPAD",B630)),
ISNUMBER(SEARCH("SOPORTE",B630)),
ISNUMBER(SEARCH("STAND",B630)),
ISNUMBER(SEARCH("TRAVEL ADAPTER",B630)),
ISNUMBER(SEARCH("RJ45",B630)),
ISNUMBER(SEARCH("USB-C",B630)),
ISNUMBER(SEARCH("USB WIFI",B630)),
ISNUMBER(SEARCH("POWERBANK",B630)),
ISNUMBER(SEARCH("CARGADOR",B630)),
ISNUMBER(SEARCH("COOLER PARA NB",B630)),
ISNUMBER(SEARCH("SOPORTE PARA NB",B630)),
ISNUMBER(SEARCH("WEBCAM",B630)),
ISNUMBER(SEARCH("WEB CAM",B630)),
ISNUMBER(SEARCH("MOUSE",B630)),
ISNUMBER(SEARCH("TECLADO",B630))
),
"COMPLEMENTO",
IF(
OR(
LEFT(A630,2)="NB",
LEFT(A630,2)="PC",
LEFT(A630,2)="WS",
LEFT(A630,2)="TB",
LEFT(A630,3)="CEL",
LEFT(A630,3)="MON",
LEFT(A630,3)="PRE",
LEFT(A630,3)="PRH",
ISNUMBER(SEARCH("NOTEBOOK",B630)),
ISNUMBER(SEARCH("LAPTOP",B630)),
ISNUMBER(SEARCH("MONITOR",B630)),
ISNUMBER(SEARCH("TABLET",B630)),
ISNUMBER(SEARCH("SMARTPH",B630)),
ISNUMBER(SEARCH("IMPRESORA",B630)),
ISNUMBER(SEARCH("MULTIFUNCIONAL",B630)),
ISNUMBER(SEARCH("AIO",B630))
),
"GANCHO",
"NORMAL"
)
)</f>
        <v>NORMAL</v>
      </c>
    </row>
    <row r="629" spans="1:12" x14ac:dyDescent="0.25">
      <c r="A629" s="3" t="s">
        <v>1382</v>
      </c>
      <c r="B629" s="3" t="s">
        <v>1383</v>
      </c>
      <c r="C629" s="1">
        <v>3</v>
      </c>
      <c r="D629" s="1">
        <v>222.5</v>
      </c>
      <c r="E629" s="1" t="s">
        <v>121</v>
      </c>
      <c r="F629" s="1" t="s">
        <v>3395</v>
      </c>
      <c r="G629" s="3" t="s">
        <v>1384</v>
      </c>
      <c r="H629" s="11">
        <f>ROUND(
IF(L627="GANCHO",
   IF(I629&lt;=50,I629*1.1+4,IF(I629&lt;=120,I629*1.1+7,IF(I629&lt;=250,I629*1.1+11,I629*1.1+19))),
IF(L627="NORMAL",
   IF(I629&lt;=30,I629*1.15+2,IF(I629&lt;=80,I629*1.15+4,IF(I629&lt;=150,I629*1.15+6,I629*1.15+8))),
IF(L627="COMPLEMENTO",
   IF(I629&lt;=25,I629*1.25+1.5,IF(I629&lt;=60,I629*1.25+3,IF(I629&lt;=120,I629*1.25+4,I629*1.25+5))),
""))),2)</f>
        <v>1058.73</v>
      </c>
      <c r="I629" s="9">
        <f>($K$2+0.02)*Tabla1[[#This Row],[PRECIO $]]*1.18</f>
        <v>913.67399999999986</v>
      </c>
      <c r="J629" s="7">
        <f>+Tabla1[[#This Row],[PRECIO EN SOLES]]-Tabla1[[#This Row],[PC]]</f>
        <v>145.05600000000015</v>
      </c>
      <c r="K629" s="15"/>
      <c r="L629" s="15" t="str">
        <f>IF(
OR(
ISNUMBER(SEARCH("BACKPACK",B631)),
ISNUMBER(SEARCH("MOCHILA",B631)),
ISNUMBER(SEARCH("FUNDA",B631)),
ISNUMBER(SEARCH("ESTUCHE",B631)),
ISNUMBER(SEARCH("BOOK COVER",B631)),
ISNUMBER(SEARCH("KEYBOARD PARA TABLET",B631)),
ISNUMBER(SEARCH("FLIP TABLET",B631)),
ISNUMBER(SEARCH("CASE FOR TABLET",B631)),
ISNUMBER(SEARCH("CABLE",B631)),
ISNUMBER(SEARCH("ADAPTADOR",B631)),
ISNUMBER(SEARCH("HUB",B631)),
ISNUMBER(SEARCH("DOCK",B631)),
ISNUMBER(SEARCH("MOUSE PAD",B631)),
ISNUMBER(SEARCH("MOUSEPAD",B631)),
ISNUMBER(SEARCH("SOPORTE",B631)),
ISNUMBER(SEARCH("STAND",B631)),
ISNUMBER(SEARCH("TRAVEL ADAPTER",B631)),
ISNUMBER(SEARCH("RJ45",B631)),
ISNUMBER(SEARCH("USB-C",B631)),
ISNUMBER(SEARCH("USB WIFI",B631)),
ISNUMBER(SEARCH("POWERBANK",B631)),
ISNUMBER(SEARCH("CARGADOR",B631)),
ISNUMBER(SEARCH("COOLER PARA NB",B631)),
ISNUMBER(SEARCH("SOPORTE PARA NB",B631)),
ISNUMBER(SEARCH("WEBCAM",B631)),
ISNUMBER(SEARCH("WEB CAM",B631)),
ISNUMBER(SEARCH("MOUSE",B631)),
ISNUMBER(SEARCH("TECLADO",B631))
),
"COMPLEMENTO",
IF(
OR(
LEFT(A631,2)="NB",
LEFT(A631,2)="PC",
LEFT(A631,2)="WS",
LEFT(A631,2)="TB",
LEFT(A631,3)="CEL",
LEFT(A631,3)="MON",
LEFT(A631,3)="PRE",
LEFT(A631,3)="PRH",
ISNUMBER(SEARCH("NOTEBOOK",B631)),
ISNUMBER(SEARCH("LAPTOP",B631)),
ISNUMBER(SEARCH("MONITOR",B631)),
ISNUMBER(SEARCH("TABLET",B631)),
ISNUMBER(SEARCH("SMARTPH",B631)),
ISNUMBER(SEARCH("IMPRESORA",B631)),
ISNUMBER(SEARCH("MULTIFUNCIONAL",B631)),
ISNUMBER(SEARCH("AIO",B631))
),
"GANCHO",
"NORMAL"
)
)</f>
        <v>NORMAL</v>
      </c>
    </row>
    <row r="630" spans="1:12" x14ac:dyDescent="0.25">
      <c r="A630" s="3" t="s">
        <v>5993</v>
      </c>
      <c r="B630" s="3" t="s">
        <v>5994</v>
      </c>
      <c r="C630" s="1">
        <v>10</v>
      </c>
      <c r="D630" s="1">
        <v>230.5</v>
      </c>
      <c r="E630" s="1" t="s">
        <v>121</v>
      </c>
      <c r="F630" s="1" t="s">
        <v>5995</v>
      </c>
      <c r="G630" s="3" t="s">
        <v>5996</v>
      </c>
      <c r="H630" s="11">
        <f>ROUND(
IF(L628="GANCHO",
   IF(I630&lt;=50,I630*1.1+4,IF(I630&lt;=120,I630*1.1+7,IF(I630&lt;=250,I630*1.1+11,I630*1.1+19))),
IF(L628="NORMAL",
   IF(I630&lt;=30,I630*1.15+2,IF(I630&lt;=80,I630*1.15+4,IF(I630&lt;=150,I630*1.15+6,I630*1.15+8))),
IF(L628="COMPLEMENTO",
   IF(I630&lt;=25,I630*1.25+1.5,IF(I630&lt;=60,I630*1.25+3,IF(I630&lt;=120,I630*1.25+4,I630*1.25+5))),
""))),2)</f>
        <v>1096.5</v>
      </c>
      <c r="I630" s="9">
        <f>($K$2+0.02)*Tabla1[[#This Row],[PRECIO $]]*1.18</f>
        <v>946.52519999999993</v>
      </c>
      <c r="J630" s="7">
        <f>+Tabla1[[#This Row],[PRECIO EN SOLES]]-Tabla1[[#This Row],[PC]]</f>
        <v>149.97480000000007</v>
      </c>
      <c r="K630" s="15"/>
      <c r="L630" s="15" t="str">
        <f>IF(
OR(
ISNUMBER(SEARCH("BACKPACK",B632)),
ISNUMBER(SEARCH("MOCHILA",B632)),
ISNUMBER(SEARCH("FUNDA",B632)),
ISNUMBER(SEARCH("ESTUCHE",B632)),
ISNUMBER(SEARCH("BOOK COVER",B632)),
ISNUMBER(SEARCH("KEYBOARD PARA TABLET",B632)),
ISNUMBER(SEARCH("FLIP TABLET",B632)),
ISNUMBER(SEARCH("CASE FOR TABLET",B632)),
ISNUMBER(SEARCH("CABLE",B632)),
ISNUMBER(SEARCH("ADAPTADOR",B632)),
ISNUMBER(SEARCH("HUB",B632)),
ISNUMBER(SEARCH("DOCK",B632)),
ISNUMBER(SEARCH("MOUSE PAD",B632)),
ISNUMBER(SEARCH("MOUSEPAD",B632)),
ISNUMBER(SEARCH("SOPORTE",B632)),
ISNUMBER(SEARCH("STAND",B632)),
ISNUMBER(SEARCH("TRAVEL ADAPTER",B632)),
ISNUMBER(SEARCH("RJ45",B632)),
ISNUMBER(SEARCH("USB-C",B632)),
ISNUMBER(SEARCH("USB WIFI",B632)),
ISNUMBER(SEARCH("POWERBANK",B632)),
ISNUMBER(SEARCH("CARGADOR",B632)),
ISNUMBER(SEARCH("COOLER PARA NB",B632)),
ISNUMBER(SEARCH("SOPORTE PARA NB",B632)),
ISNUMBER(SEARCH("WEBCAM",B632)),
ISNUMBER(SEARCH("WEB CAM",B632)),
ISNUMBER(SEARCH("MOUSE",B632)),
ISNUMBER(SEARCH("TECLADO",B632))
),
"COMPLEMENTO",
IF(
OR(
LEFT(A632,2)="NB",
LEFT(A632,2)="PC",
LEFT(A632,2)="WS",
LEFT(A632,2)="TB",
LEFT(A632,3)="CEL",
LEFT(A632,3)="MON",
LEFT(A632,3)="PRE",
LEFT(A632,3)="PRH",
ISNUMBER(SEARCH("NOTEBOOK",B632)),
ISNUMBER(SEARCH("LAPTOP",B632)),
ISNUMBER(SEARCH("MONITOR",B632)),
ISNUMBER(SEARCH("TABLET",B632)),
ISNUMBER(SEARCH("SMARTPH",B632)),
ISNUMBER(SEARCH("IMPRESORA",B632)),
ISNUMBER(SEARCH("MULTIFUNCIONAL",B632)),
ISNUMBER(SEARCH("AIO",B632))
),
"GANCHO",
"NORMAL"
)
)</f>
        <v>NORMAL</v>
      </c>
    </row>
    <row r="631" spans="1:12" x14ac:dyDescent="0.25">
      <c r="A631" s="3" t="s">
        <v>5997</v>
      </c>
      <c r="B631" s="3" t="s">
        <v>5998</v>
      </c>
      <c r="C631" s="1">
        <v>7</v>
      </c>
      <c r="D631" s="1">
        <v>435</v>
      </c>
      <c r="E631" s="1" t="s">
        <v>121</v>
      </c>
      <c r="F631" s="1" t="s">
        <v>5999</v>
      </c>
      <c r="G631" s="3" t="s">
        <v>6000</v>
      </c>
      <c r="H631" s="11">
        <f>ROUND(
IF(L629="GANCHO",
   IF(I631&lt;=50,I631*1.1+4,IF(I631&lt;=120,I631*1.1+7,IF(I631&lt;=250,I631*1.1+11,I631*1.1+19))),
IF(L629="NORMAL",
   IF(I631&lt;=30,I631*1.15+2,IF(I631&lt;=80,I631*1.15+4,IF(I631&lt;=150,I631*1.15+6,I631*1.15+8))),
IF(L629="COMPLEMENTO",
   IF(I631&lt;=25,I631*1.25+1.5,IF(I631&lt;=60,I631*1.25+3,IF(I631&lt;=120,I631*1.25+4,I631*1.25+5))),
""))),2)</f>
        <v>2062.23</v>
      </c>
      <c r="I631" s="9">
        <f>($K$2+0.02)*Tabla1[[#This Row],[PRECIO $]]*1.18</f>
        <v>1786.2839999999999</v>
      </c>
      <c r="J631" s="7">
        <f>+Tabla1[[#This Row],[PRECIO EN SOLES]]-Tabla1[[#This Row],[PC]]</f>
        <v>275.94600000000014</v>
      </c>
      <c r="K631" s="15"/>
      <c r="L631" s="15" t="str">
        <f>IF(
OR(
ISNUMBER(SEARCH("BACKPACK",B633)),
ISNUMBER(SEARCH("MOCHILA",B633)),
ISNUMBER(SEARCH("FUNDA",B633)),
ISNUMBER(SEARCH("ESTUCHE",B633)),
ISNUMBER(SEARCH("BOOK COVER",B633)),
ISNUMBER(SEARCH("KEYBOARD PARA TABLET",B633)),
ISNUMBER(SEARCH("FLIP TABLET",B633)),
ISNUMBER(SEARCH("CASE FOR TABLET",B633)),
ISNUMBER(SEARCH("CABLE",B633)),
ISNUMBER(SEARCH("ADAPTADOR",B633)),
ISNUMBER(SEARCH("HUB",B633)),
ISNUMBER(SEARCH("DOCK",B633)),
ISNUMBER(SEARCH("MOUSE PAD",B633)),
ISNUMBER(SEARCH("MOUSEPAD",B633)),
ISNUMBER(SEARCH("SOPORTE",B633)),
ISNUMBER(SEARCH("STAND",B633)),
ISNUMBER(SEARCH("TRAVEL ADAPTER",B633)),
ISNUMBER(SEARCH("RJ45",B633)),
ISNUMBER(SEARCH("USB-C",B633)),
ISNUMBER(SEARCH("USB WIFI",B633)),
ISNUMBER(SEARCH("POWERBANK",B633)),
ISNUMBER(SEARCH("CARGADOR",B633)),
ISNUMBER(SEARCH("COOLER PARA NB",B633)),
ISNUMBER(SEARCH("SOPORTE PARA NB",B633)),
ISNUMBER(SEARCH("WEBCAM",B633)),
ISNUMBER(SEARCH("WEB CAM",B633)),
ISNUMBER(SEARCH("MOUSE",B633)),
ISNUMBER(SEARCH("TECLADO",B633))
),
"COMPLEMENTO",
IF(
OR(
LEFT(A633,2)="NB",
LEFT(A633,2)="PC",
LEFT(A633,2)="WS",
LEFT(A633,2)="TB",
LEFT(A633,3)="CEL",
LEFT(A633,3)="MON",
LEFT(A633,3)="PRE",
LEFT(A633,3)="PRH",
ISNUMBER(SEARCH("NOTEBOOK",B633)),
ISNUMBER(SEARCH("LAPTOP",B633)),
ISNUMBER(SEARCH("MONITOR",B633)),
ISNUMBER(SEARCH("TABLET",B633)),
ISNUMBER(SEARCH("SMARTPH",B633)),
ISNUMBER(SEARCH("IMPRESORA",B633)),
ISNUMBER(SEARCH("MULTIFUNCIONAL",B633)),
ISNUMBER(SEARCH("AIO",B633))
),
"GANCHO",
"NORMAL"
)
)</f>
        <v>NORMAL</v>
      </c>
    </row>
    <row r="632" spans="1:12" x14ac:dyDescent="0.25">
      <c r="A632" s="3" t="s">
        <v>2936</v>
      </c>
      <c r="B632" s="3" t="s">
        <v>2937</v>
      </c>
      <c r="C632" s="1">
        <v>12</v>
      </c>
      <c r="D632" s="1">
        <v>256.64999999999998</v>
      </c>
      <c r="E632" s="1" t="s">
        <v>121</v>
      </c>
      <c r="F632" s="1" t="s">
        <v>3396</v>
      </c>
      <c r="G632" s="3" t="s">
        <v>2938</v>
      </c>
      <c r="H632" s="11">
        <f>ROUND(
IF(L630="GANCHO",
   IF(I632&lt;=50,I632*1.1+4,IF(I632&lt;=120,I632*1.1+7,IF(I632&lt;=250,I632*1.1+11,I632*1.1+19))),
IF(L630="NORMAL",
   IF(I632&lt;=30,I632*1.15+2,IF(I632&lt;=80,I632*1.15+4,IF(I632&lt;=150,I632*1.15+6,I632*1.15+8))),
IF(L630="COMPLEMENTO",
   IF(I632&lt;=25,I632*1.25+1.5,IF(I632&lt;=60,I632*1.25+3,IF(I632&lt;=120,I632*1.25+4,I632*1.25+5))),
""))),2)</f>
        <v>1219.99</v>
      </c>
      <c r="I632" s="9">
        <f>($K$2+0.02)*Tabla1[[#This Row],[PRECIO $]]*1.18</f>
        <v>1053.9075599999999</v>
      </c>
      <c r="J632" s="7">
        <f>+Tabla1[[#This Row],[PRECIO EN SOLES]]-Tabla1[[#This Row],[PC]]</f>
        <v>166.08244000000013</v>
      </c>
      <c r="K632" s="15"/>
      <c r="L632" s="15" t="str">
        <f>IF(
OR(
ISNUMBER(SEARCH("BACKPACK",B634)),
ISNUMBER(SEARCH("MOCHILA",B634)),
ISNUMBER(SEARCH("FUNDA",B634)),
ISNUMBER(SEARCH("ESTUCHE",B634)),
ISNUMBER(SEARCH("BOOK COVER",B634)),
ISNUMBER(SEARCH("KEYBOARD PARA TABLET",B634)),
ISNUMBER(SEARCH("FLIP TABLET",B634)),
ISNUMBER(SEARCH("CASE FOR TABLET",B634)),
ISNUMBER(SEARCH("CABLE",B634)),
ISNUMBER(SEARCH("ADAPTADOR",B634)),
ISNUMBER(SEARCH("HUB",B634)),
ISNUMBER(SEARCH("DOCK",B634)),
ISNUMBER(SEARCH("MOUSE PAD",B634)),
ISNUMBER(SEARCH("MOUSEPAD",B634)),
ISNUMBER(SEARCH("SOPORTE",B634)),
ISNUMBER(SEARCH("STAND",B634)),
ISNUMBER(SEARCH("TRAVEL ADAPTER",B634)),
ISNUMBER(SEARCH("RJ45",B634)),
ISNUMBER(SEARCH("USB-C",B634)),
ISNUMBER(SEARCH("USB WIFI",B634)),
ISNUMBER(SEARCH("POWERBANK",B634)),
ISNUMBER(SEARCH("CARGADOR",B634)),
ISNUMBER(SEARCH("COOLER PARA NB",B634)),
ISNUMBER(SEARCH("SOPORTE PARA NB",B634)),
ISNUMBER(SEARCH("WEBCAM",B634)),
ISNUMBER(SEARCH("WEB CAM",B634)),
ISNUMBER(SEARCH("MOUSE",B634)),
ISNUMBER(SEARCH("TECLADO",B634))
),
"COMPLEMENTO",
IF(
OR(
LEFT(A634,2)="NB",
LEFT(A634,2)="PC",
LEFT(A634,2)="WS",
LEFT(A634,2)="TB",
LEFT(A634,3)="CEL",
LEFT(A634,3)="MON",
LEFT(A634,3)="PRE",
LEFT(A634,3)="PRH",
ISNUMBER(SEARCH("NOTEBOOK",B634)),
ISNUMBER(SEARCH("LAPTOP",B634)),
ISNUMBER(SEARCH("MONITOR",B634)),
ISNUMBER(SEARCH("TABLET",B634)),
ISNUMBER(SEARCH("SMARTPH",B634)),
ISNUMBER(SEARCH("IMPRESORA",B634)),
ISNUMBER(SEARCH("MULTIFUNCIONAL",B634)),
ISNUMBER(SEARCH("AIO",B634))
),
"GANCHO",
"NORMAL"
)
)</f>
        <v>NORMAL</v>
      </c>
    </row>
    <row r="633" spans="1:12" x14ac:dyDescent="0.25">
      <c r="A633" s="3" t="s">
        <v>6001</v>
      </c>
      <c r="B633" s="3" t="s">
        <v>6002</v>
      </c>
      <c r="C633" s="1">
        <v>10</v>
      </c>
      <c r="D633" s="1">
        <v>291.5</v>
      </c>
      <c r="E633" s="1" t="s">
        <v>121</v>
      </c>
      <c r="F633" s="1" t="s">
        <v>6003</v>
      </c>
      <c r="G633" s="3" t="s">
        <v>6004</v>
      </c>
      <c r="H633" s="11">
        <f>ROUND(
IF(L631="GANCHO",
   IF(I633&lt;=50,I633*1.1+4,IF(I633&lt;=120,I633*1.1+7,IF(I633&lt;=250,I633*1.1+11,I633*1.1+19))),
IF(L631="NORMAL",
   IF(I633&lt;=30,I633*1.15+2,IF(I633&lt;=80,I633*1.15+4,IF(I633&lt;=150,I633*1.15+6,I633*1.15+8))),
IF(L631="COMPLEMENTO",
   IF(I633&lt;=25,I633*1.25+1.5,IF(I633&lt;=60,I633*1.25+3,IF(I633&lt;=120,I633*1.25+4,I633*1.25+5))),
""))),2)</f>
        <v>1384.57</v>
      </c>
      <c r="I633" s="9">
        <f>($K$2+0.02)*Tabla1[[#This Row],[PRECIO $]]*1.18</f>
        <v>1197.0155999999999</v>
      </c>
      <c r="J633" s="7">
        <f>+Tabla1[[#This Row],[PRECIO EN SOLES]]-Tabla1[[#This Row],[PC]]</f>
        <v>187.55439999999999</v>
      </c>
      <c r="K633" s="15"/>
      <c r="L633" s="15" t="str">
        <f>IF(
OR(
ISNUMBER(SEARCH("BACKPACK",B635)),
ISNUMBER(SEARCH("MOCHILA",B635)),
ISNUMBER(SEARCH("FUNDA",B635)),
ISNUMBER(SEARCH("ESTUCHE",B635)),
ISNUMBER(SEARCH("BOOK COVER",B635)),
ISNUMBER(SEARCH("KEYBOARD PARA TABLET",B635)),
ISNUMBER(SEARCH("FLIP TABLET",B635)),
ISNUMBER(SEARCH("CASE FOR TABLET",B635)),
ISNUMBER(SEARCH("CABLE",B635)),
ISNUMBER(SEARCH("ADAPTADOR",B635)),
ISNUMBER(SEARCH("HUB",B635)),
ISNUMBER(SEARCH("DOCK",B635)),
ISNUMBER(SEARCH("MOUSE PAD",B635)),
ISNUMBER(SEARCH("MOUSEPAD",B635)),
ISNUMBER(SEARCH("SOPORTE",B635)),
ISNUMBER(SEARCH("STAND",B635)),
ISNUMBER(SEARCH("TRAVEL ADAPTER",B635)),
ISNUMBER(SEARCH("RJ45",B635)),
ISNUMBER(SEARCH("USB-C",B635)),
ISNUMBER(SEARCH("USB WIFI",B635)),
ISNUMBER(SEARCH("POWERBANK",B635)),
ISNUMBER(SEARCH("CARGADOR",B635)),
ISNUMBER(SEARCH("COOLER PARA NB",B635)),
ISNUMBER(SEARCH("SOPORTE PARA NB",B635)),
ISNUMBER(SEARCH("WEBCAM",B635)),
ISNUMBER(SEARCH("WEB CAM",B635)),
ISNUMBER(SEARCH("MOUSE",B635)),
ISNUMBER(SEARCH("TECLADO",B635))
),
"COMPLEMENTO",
IF(
OR(
LEFT(A635,2)="NB",
LEFT(A635,2)="PC",
LEFT(A635,2)="WS",
LEFT(A635,2)="TB",
LEFT(A635,3)="CEL",
LEFT(A635,3)="MON",
LEFT(A635,3)="PRE",
LEFT(A635,3)="PRH",
ISNUMBER(SEARCH("NOTEBOOK",B635)),
ISNUMBER(SEARCH("LAPTOP",B635)),
ISNUMBER(SEARCH("MONITOR",B635)),
ISNUMBER(SEARCH("TABLET",B635)),
ISNUMBER(SEARCH("SMARTPH",B635)),
ISNUMBER(SEARCH("IMPRESORA",B635)),
ISNUMBER(SEARCH("MULTIFUNCIONAL",B635)),
ISNUMBER(SEARCH("AIO",B635))
),
"GANCHO",
"NORMAL"
)
)</f>
        <v>NORMAL</v>
      </c>
    </row>
    <row r="634" spans="1:12" x14ac:dyDescent="0.25">
      <c r="A634" s="3" t="s">
        <v>1385</v>
      </c>
      <c r="B634" s="3" t="s">
        <v>1386</v>
      </c>
      <c r="C634" s="1">
        <v>16</v>
      </c>
      <c r="D634" s="1">
        <v>250.5</v>
      </c>
      <c r="E634" s="1" t="s">
        <v>121</v>
      </c>
      <c r="F634" s="1" t="s">
        <v>3398</v>
      </c>
      <c r="G634" s="3" t="s">
        <v>1387</v>
      </c>
      <c r="H634" s="11">
        <f>ROUND(
IF(L632="GANCHO",
   IF(I634&lt;=50,I634*1.1+4,IF(I634&lt;=120,I634*1.1+7,IF(I634&lt;=250,I634*1.1+11,I634*1.1+19))),
IF(L632="NORMAL",
   IF(I634&lt;=30,I634*1.15+2,IF(I634&lt;=80,I634*1.15+4,IF(I634&lt;=150,I634*1.15+6,I634*1.15+8))),
IF(L632="COMPLEMENTO",
   IF(I634&lt;=25,I634*1.25+1.5,IF(I634&lt;=60,I634*1.25+3,IF(I634&lt;=120,I634*1.25+4,I634*1.25+5))),
""))),2)</f>
        <v>1190.95</v>
      </c>
      <c r="I634" s="9">
        <f>($K$2+0.02)*Tabla1[[#This Row],[PRECIO $]]*1.18</f>
        <v>1028.6532</v>
      </c>
      <c r="J634" s="7">
        <f>+Tabla1[[#This Row],[PRECIO EN SOLES]]-Tabla1[[#This Row],[PC]]</f>
        <v>162.29680000000008</v>
      </c>
      <c r="K634" s="15"/>
      <c r="L634" s="15" t="str">
        <f>IF(
OR(
ISNUMBER(SEARCH("BACKPACK",B636)),
ISNUMBER(SEARCH("MOCHILA",B636)),
ISNUMBER(SEARCH("FUNDA",B636)),
ISNUMBER(SEARCH("ESTUCHE",B636)),
ISNUMBER(SEARCH("BOOK COVER",B636)),
ISNUMBER(SEARCH("KEYBOARD PARA TABLET",B636)),
ISNUMBER(SEARCH("FLIP TABLET",B636)),
ISNUMBER(SEARCH("CASE FOR TABLET",B636)),
ISNUMBER(SEARCH("CABLE",B636)),
ISNUMBER(SEARCH("ADAPTADOR",B636)),
ISNUMBER(SEARCH("HUB",B636)),
ISNUMBER(SEARCH("DOCK",B636)),
ISNUMBER(SEARCH("MOUSE PAD",B636)),
ISNUMBER(SEARCH("MOUSEPAD",B636)),
ISNUMBER(SEARCH("SOPORTE",B636)),
ISNUMBER(SEARCH("STAND",B636)),
ISNUMBER(SEARCH("TRAVEL ADAPTER",B636)),
ISNUMBER(SEARCH("RJ45",B636)),
ISNUMBER(SEARCH("USB-C",B636)),
ISNUMBER(SEARCH("USB WIFI",B636)),
ISNUMBER(SEARCH("POWERBANK",B636)),
ISNUMBER(SEARCH("CARGADOR",B636)),
ISNUMBER(SEARCH("COOLER PARA NB",B636)),
ISNUMBER(SEARCH("SOPORTE PARA NB",B636)),
ISNUMBER(SEARCH("WEBCAM",B636)),
ISNUMBER(SEARCH("WEB CAM",B636)),
ISNUMBER(SEARCH("MOUSE",B636)),
ISNUMBER(SEARCH("TECLADO",B636))
),
"COMPLEMENTO",
IF(
OR(
LEFT(A636,2)="NB",
LEFT(A636,2)="PC",
LEFT(A636,2)="WS",
LEFT(A636,2)="TB",
LEFT(A636,3)="CEL",
LEFT(A636,3)="MON",
LEFT(A636,3)="PRE",
LEFT(A636,3)="PRH",
ISNUMBER(SEARCH("NOTEBOOK",B636)),
ISNUMBER(SEARCH("LAPTOP",B636)),
ISNUMBER(SEARCH("MONITOR",B636)),
ISNUMBER(SEARCH("TABLET",B636)),
ISNUMBER(SEARCH("SMARTPH",B636)),
ISNUMBER(SEARCH("IMPRESORA",B636)),
ISNUMBER(SEARCH("MULTIFUNCIONAL",B636)),
ISNUMBER(SEARCH("AIO",B636))
),
"GANCHO",
"NORMAL"
)
)</f>
        <v>NORMAL</v>
      </c>
    </row>
    <row r="635" spans="1:12" x14ac:dyDescent="0.25">
      <c r="A635" s="3" t="s">
        <v>1388</v>
      </c>
      <c r="B635" s="3" t="s">
        <v>1389</v>
      </c>
      <c r="C635" s="1">
        <v>1</v>
      </c>
      <c r="D635" s="1">
        <v>525</v>
      </c>
      <c r="E635" s="1" t="s">
        <v>906</v>
      </c>
      <c r="F635" s="1" t="s">
        <v>3399</v>
      </c>
      <c r="G635" s="3" t="s">
        <v>1390</v>
      </c>
      <c r="H635" s="11">
        <f>ROUND(
IF(L633="GANCHO",
   IF(I635&lt;=50,I635*1.1+4,IF(I635&lt;=120,I635*1.1+7,IF(I635&lt;=250,I635*1.1+11,I635*1.1+19))),
IF(L633="NORMAL",
   IF(I635&lt;=30,I635*1.15+2,IF(I635&lt;=80,I635*1.15+4,IF(I635&lt;=150,I635*1.15+6,I635*1.15+8))),
IF(L633="COMPLEMENTO",
   IF(I635&lt;=25,I635*1.25+1.5,IF(I635&lt;=60,I635*1.25+3,IF(I635&lt;=120,I635*1.25+4,I635*1.25+5))),
""))),2)</f>
        <v>2487.2399999999998</v>
      </c>
      <c r="I635" s="9">
        <f>($K$2+0.02)*Tabla1[[#This Row],[PRECIO $]]*1.18</f>
        <v>2155.8599999999997</v>
      </c>
      <c r="J635" s="7">
        <f>+Tabla1[[#This Row],[PRECIO EN SOLES]]-Tabla1[[#This Row],[PC]]</f>
        <v>331.38000000000011</v>
      </c>
      <c r="K635" s="15"/>
      <c r="L635" s="15" t="str">
        <f>IF(
OR(
ISNUMBER(SEARCH("BACKPACK",B637)),
ISNUMBER(SEARCH("MOCHILA",B637)),
ISNUMBER(SEARCH("FUNDA",B637)),
ISNUMBER(SEARCH("ESTUCHE",B637)),
ISNUMBER(SEARCH("BOOK COVER",B637)),
ISNUMBER(SEARCH("KEYBOARD PARA TABLET",B637)),
ISNUMBER(SEARCH("FLIP TABLET",B637)),
ISNUMBER(SEARCH("CASE FOR TABLET",B637)),
ISNUMBER(SEARCH("CABLE",B637)),
ISNUMBER(SEARCH("ADAPTADOR",B637)),
ISNUMBER(SEARCH("HUB",B637)),
ISNUMBER(SEARCH("DOCK",B637)),
ISNUMBER(SEARCH("MOUSE PAD",B637)),
ISNUMBER(SEARCH("MOUSEPAD",B637)),
ISNUMBER(SEARCH("SOPORTE",B637)),
ISNUMBER(SEARCH("STAND",B637)),
ISNUMBER(SEARCH("TRAVEL ADAPTER",B637)),
ISNUMBER(SEARCH("RJ45",B637)),
ISNUMBER(SEARCH("USB-C",B637)),
ISNUMBER(SEARCH("USB WIFI",B637)),
ISNUMBER(SEARCH("POWERBANK",B637)),
ISNUMBER(SEARCH("CARGADOR",B637)),
ISNUMBER(SEARCH("COOLER PARA NB",B637)),
ISNUMBER(SEARCH("SOPORTE PARA NB",B637)),
ISNUMBER(SEARCH("WEBCAM",B637)),
ISNUMBER(SEARCH("WEB CAM",B637)),
ISNUMBER(SEARCH("MOUSE",B637)),
ISNUMBER(SEARCH("TECLADO",B637))
),
"COMPLEMENTO",
IF(
OR(
LEFT(A637,2)="NB",
LEFT(A637,2)="PC",
LEFT(A637,2)="WS",
LEFT(A637,2)="TB",
LEFT(A637,3)="CEL",
LEFT(A637,3)="MON",
LEFT(A637,3)="PRE",
LEFT(A637,3)="PRH",
ISNUMBER(SEARCH("NOTEBOOK",B637)),
ISNUMBER(SEARCH("LAPTOP",B637)),
ISNUMBER(SEARCH("MONITOR",B637)),
ISNUMBER(SEARCH("TABLET",B637)),
ISNUMBER(SEARCH("SMARTPH",B637)),
ISNUMBER(SEARCH("IMPRESORA",B637)),
ISNUMBER(SEARCH("MULTIFUNCIONAL",B637)),
ISNUMBER(SEARCH("AIO",B637))
),
"GANCHO",
"NORMAL"
)
)</f>
        <v>NORMAL</v>
      </c>
    </row>
    <row r="636" spans="1:12" x14ac:dyDescent="0.25">
      <c r="A636" s="3" t="s">
        <v>6716</v>
      </c>
      <c r="B636" s="3" t="s">
        <v>6717</v>
      </c>
      <c r="C636" s="1">
        <v>19</v>
      </c>
      <c r="D636" s="1">
        <v>151</v>
      </c>
      <c r="E636" s="1" t="s">
        <v>6718</v>
      </c>
      <c r="F636" s="1" t="s">
        <v>6719</v>
      </c>
      <c r="G636" s="3" t="s">
        <v>6720</v>
      </c>
      <c r="H636" s="11">
        <f>ROUND(
IF(L634="GANCHO",
   IF(I636&lt;=50,I636*1.1+4,IF(I636&lt;=120,I636*1.1+7,IF(I636&lt;=250,I636*1.1+11,I636*1.1+19))),
IF(L634="NORMAL",
   IF(I636&lt;=30,I636*1.15+2,IF(I636&lt;=80,I636*1.15+4,IF(I636&lt;=150,I636*1.15+6,I636*1.15+8))),
IF(L634="COMPLEMENTO",
   IF(I636&lt;=25,I636*1.25+1.5,IF(I636&lt;=60,I636*1.25+3,IF(I636&lt;=120,I636*1.25+4,I636*1.25+5))),
""))),2)</f>
        <v>721.08</v>
      </c>
      <c r="I636" s="9">
        <f>($K$2+0.02)*Tabla1[[#This Row],[PRECIO $]]*1.18</f>
        <v>620.06640000000004</v>
      </c>
      <c r="J636" s="7">
        <f>+Tabla1[[#This Row],[PRECIO EN SOLES]]-Tabla1[[#This Row],[PC]]</f>
        <v>101.0136</v>
      </c>
      <c r="K636" s="15"/>
      <c r="L636" s="15" t="str">
        <f>IF(
OR(
ISNUMBER(SEARCH("BACKPACK",B638)),
ISNUMBER(SEARCH("MOCHILA",B638)),
ISNUMBER(SEARCH("FUNDA",B638)),
ISNUMBER(SEARCH("ESTUCHE",B638)),
ISNUMBER(SEARCH("BOOK COVER",B638)),
ISNUMBER(SEARCH("KEYBOARD PARA TABLET",B638)),
ISNUMBER(SEARCH("FLIP TABLET",B638)),
ISNUMBER(SEARCH("CASE FOR TABLET",B638)),
ISNUMBER(SEARCH("CABLE",B638)),
ISNUMBER(SEARCH("ADAPTADOR",B638)),
ISNUMBER(SEARCH("HUB",B638)),
ISNUMBER(SEARCH("DOCK",B638)),
ISNUMBER(SEARCH("MOUSE PAD",B638)),
ISNUMBER(SEARCH("MOUSEPAD",B638)),
ISNUMBER(SEARCH("SOPORTE",B638)),
ISNUMBER(SEARCH("STAND",B638)),
ISNUMBER(SEARCH("TRAVEL ADAPTER",B638)),
ISNUMBER(SEARCH("RJ45",B638)),
ISNUMBER(SEARCH("USB-C",B638)),
ISNUMBER(SEARCH("USB WIFI",B638)),
ISNUMBER(SEARCH("POWERBANK",B638)),
ISNUMBER(SEARCH("CARGADOR",B638)),
ISNUMBER(SEARCH("COOLER PARA NB",B638)),
ISNUMBER(SEARCH("SOPORTE PARA NB",B638)),
ISNUMBER(SEARCH("WEBCAM",B638)),
ISNUMBER(SEARCH("WEB CAM",B638)),
ISNUMBER(SEARCH("MOUSE",B638)),
ISNUMBER(SEARCH("TECLADO",B638))
),
"COMPLEMENTO",
IF(
OR(
LEFT(A638,2)="NB",
LEFT(A638,2)="PC",
LEFT(A638,2)="WS",
LEFT(A638,2)="TB",
LEFT(A638,3)="CEL",
LEFT(A638,3)="MON",
LEFT(A638,3)="PRE",
LEFT(A638,3)="PRH",
ISNUMBER(SEARCH("NOTEBOOK",B638)),
ISNUMBER(SEARCH("LAPTOP",B638)),
ISNUMBER(SEARCH("MONITOR",B638)),
ISNUMBER(SEARCH("TABLET",B638)),
ISNUMBER(SEARCH("SMARTPH",B638)),
ISNUMBER(SEARCH("IMPRESORA",B638)),
ISNUMBER(SEARCH("MULTIFUNCIONAL",B638)),
ISNUMBER(SEARCH("AIO",B638))
),
"GANCHO",
"NORMAL"
)
)</f>
        <v>NORMAL</v>
      </c>
    </row>
    <row r="637" spans="1:12" x14ac:dyDescent="0.25">
      <c r="A637" s="3" t="s">
        <v>6721</v>
      </c>
      <c r="B637" s="3" t="s">
        <v>6722</v>
      </c>
      <c r="C637" s="1">
        <v>20</v>
      </c>
      <c r="D637" s="1">
        <v>27.7</v>
      </c>
      <c r="E637" s="1" t="s">
        <v>467</v>
      </c>
      <c r="F637" s="1" t="s">
        <v>6723</v>
      </c>
      <c r="G637" s="3" t="s">
        <v>6724</v>
      </c>
      <c r="H637" s="11">
        <f>ROUND(
IF(L635="GANCHO",
   IF(I637&lt;=50,I637*1.1+4,IF(I637&lt;=120,I637*1.1+7,IF(I637&lt;=250,I637*1.1+11,I637*1.1+19))),
IF(L635="NORMAL",
   IF(I637&lt;=30,I637*1.15+2,IF(I637&lt;=80,I637*1.15+4,IF(I637&lt;=150,I637*1.15+6,I637*1.15+8))),
IF(L635="COMPLEMENTO",
   IF(I637&lt;=25,I637*1.25+1.5,IF(I637&lt;=60,I637*1.25+3,IF(I637&lt;=120,I637*1.25+4,I637*1.25+5))),
""))),2)</f>
        <v>136.81</v>
      </c>
      <c r="I637" s="9">
        <f>($K$2+0.02)*Tabla1[[#This Row],[PRECIO $]]*1.18</f>
        <v>113.74727999999999</v>
      </c>
      <c r="J637" s="7">
        <f>+Tabla1[[#This Row],[PRECIO EN SOLES]]-Tabla1[[#This Row],[PC]]</f>
        <v>23.062720000000013</v>
      </c>
      <c r="K637" s="15"/>
      <c r="L637" s="15" t="str">
        <f>IF(
OR(
ISNUMBER(SEARCH("BACKPACK",B639)),
ISNUMBER(SEARCH("MOCHILA",B639)),
ISNUMBER(SEARCH("FUNDA",B639)),
ISNUMBER(SEARCH("ESTUCHE",B639)),
ISNUMBER(SEARCH("BOOK COVER",B639)),
ISNUMBER(SEARCH("KEYBOARD PARA TABLET",B639)),
ISNUMBER(SEARCH("FLIP TABLET",B639)),
ISNUMBER(SEARCH("CASE FOR TABLET",B639)),
ISNUMBER(SEARCH("CABLE",B639)),
ISNUMBER(SEARCH("ADAPTADOR",B639)),
ISNUMBER(SEARCH("HUB",B639)),
ISNUMBER(SEARCH("DOCK",B639)),
ISNUMBER(SEARCH("MOUSE PAD",B639)),
ISNUMBER(SEARCH("MOUSEPAD",B639)),
ISNUMBER(SEARCH("SOPORTE",B639)),
ISNUMBER(SEARCH("STAND",B639)),
ISNUMBER(SEARCH("TRAVEL ADAPTER",B639)),
ISNUMBER(SEARCH("RJ45",B639)),
ISNUMBER(SEARCH("USB-C",B639)),
ISNUMBER(SEARCH("USB WIFI",B639)),
ISNUMBER(SEARCH("POWERBANK",B639)),
ISNUMBER(SEARCH("CARGADOR",B639)),
ISNUMBER(SEARCH("COOLER PARA NB",B639)),
ISNUMBER(SEARCH("SOPORTE PARA NB",B639)),
ISNUMBER(SEARCH("WEBCAM",B639)),
ISNUMBER(SEARCH("WEB CAM",B639)),
ISNUMBER(SEARCH("MOUSE",B639)),
ISNUMBER(SEARCH("TECLADO",B639))
),
"COMPLEMENTO",
IF(
OR(
LEFT(A639,2)="NB",
LEFT(A639,2)="PC",
LEFT(A639,2)="WS",
LEFT(A639,2)="TB",
LEFT(A639,3)="CEL",
LEFT(A639,3)="MON",
LEFT(A639,3)="PRE",
LEFT(A639,3)="PRH",
ISNUMBER(SEARCH("NOTEBOOK",B639)),
ISNUMBER(SEARCH("LAPTOP",B639)),
ISNUMBER(SEARCH("MONITOR",B639)),
ISNUMBER(SEARCH("TABLET",B639)),
ISNUMBER(SEARCH("SMARTPH",B639)),
ISNUMBER(SEARCH("IMPRESORA",B639)),
ISNUMBER(SEARCH("MULTIFUNCIONAL",B639)),
ISNUMBER(SEARCH("AIO",B639))
),
"GANCHO",
"NORMAL"
)
)</f>
        <v>NORMAL</v>
      </c>
    </row>
    <row r="638" spans="1:12" x14ac:dyDescent="0.25">
      <c r="A638" s="3" t="s">
        <v>6725</v>
      </c>
      <c r="B638" s="3" t="s">
        <v>6726</v>
      </c>
      <c r="C638" s="1">
        <v>20</v>
      </c>
      <c r="D638" s="1">
        <v>118.7</v>
      </c>
      <c r="E638" s="1" t="s">
        <v>831</v>
      </c>
      <c r="F638" s="1" t="s">
        <v>6727</v>
      </c>
      <c r="G638" s="3" t="s">
        <v>6728</v>
      </c>
      <c r="H638" s="11">
        <f>ROUND(
IF(L636="GANCHO",
   IF(I638&lt;=50,I638*1.1+4,IF(I638&lt;=120,I638*1.1+7,IF(I638&lt;=250,I638*1.1+11,I638*1.1+19))),
IF(L636="NORMAL",
   IF(I638&lt;=30,I638*1.15+2,IF(I638&lt;=80,I638*1.15+4,IF(I638&lt;=150,I638*1.15+6,I638*1.15+8))),
IF(L636="COMPLEMENTO",
   IF(I638&lt;=25,I638*1.25+1.5,IF(I638&lt;=60,I638*1.25+3,IF(I638&lt;=120,I638*1.25+4,I638*1.25+5))),
""))),2)</f>
        <v>568.54</v>
      </c>
      <c r="I638" s="9">
        <f>($K$2+0.02)*Tabla1[[#This Row],[PRECIO $]]*1.18</f>
        <v>487.42968000000002</v>
      </c>
      <c r="J638" s="7">
        <f>+Tabla1[[#This Row],[PRECIO EN SOLES]]-Tabla1[[#This Row],[PC]]</f>
        <v>81.110319999999945</v>
      </c>
      <c r="K638" s="15"/>
      <c r="L638" s="15" t="str">
        <f>IF(
OR(
ISNUMBER(SEARCH("BACKPACK",B640)),
ISNUMBER(SEARCH("MOCHILA",B640)),
ISNUMBER(SEARCH("FUNDA",B640)),
ISNUMBER(SEARCH("ESTUCHE",B640)),
ISNUMBER(SEARCH("BOOK COVER",B640)),
ISNUMBER(SEARCH("KEYBOARD PARA TABLET",B640)),
ISNUMBER(SEARCH("FLIP TABLET",B640)),
ISNUMBER(SEARCH("CASE FOR TABLET",B640)),
ISNUMBER(SEARCH("CABLE",B640)),
ISNUMBER(SEARCH("ADAPTADOR",B640)),
ISNUMBER(SEARCH("HUB",B640)),
ISNUMBER(SEARCH("DOCK",B640)),
ISNUMBER(SEARCH("MOUSE PAD",B640)),
ISNUMBER(SEARCH("MOUSEPAD",B640)),
ISNUMBER(SEARCH("SOPORTE",B640)),
ISNUMBER(SEARCH("STAND",B640)),
ISNUMBER(SEARCH("TRAVEL ADAPTER",B640)),
ISNUMBER(SEARCH("RJ45",B640)),
ISNUMBER(SEARCH("USB-C",B640)),
ISNUMBER(SEARCH("USB WIFI",B640)),
ISNUMBER(SEARCH("POWERBANK",B640)),
ISNUMBER(SEARCH("CARGADOR",B640)),
ISNUMBER(SEARCH("COOLER PARA NB",B640)),
ISNUMBER(SEARCH("SOPORTE PARA NB",B640)),
ISNUMBER(SEARCH("WEBCAM",B640)),
ISNUMBER(SEARCH("WEB CAM",B640)),
ISNUMBER(SEARCH("MOUSE",B640)),
ISNUMBER(SEARCH("TECLADO",B640))
),
"COMPLEMENTO",
IF(
OR(
LEFT(A640,2)="NB",
LEFT(A640,2)="PC",
LEFT(A640,2)="WS",
LEFT(A640,2)="TB",
LEFT(A640,3)="CEL",
LEFT(A640,3)="MON",
LEFT(A640,3)="PRE",
LEFT(A640,3)="PRH",
ISNUMBER(SEARCH("NOTEBOOK",B640)),
ISNUMBER(SEARCH("LAPTOP",B640)),
ISNUMBER(SEARCH("MONITOR",B640)),
ISNUMBER(SEARCH("TABLET",B640)),
ISNUMBER(SEARCH("SMARTPH",B640)),
ISNUMBER(SEARCH("IMPRESORA",B640)),
ISNUMBER(SEARCH("MULTIFUNCIONAL",B640)),
ISNUMBER(SEARCH("AIO",B640))
),
"GANCHO",
"NORMAL"
)
)</f>
        <v>NORMAL</v>
      </c>
    </row>
    <row r="639" spans="1:12" x14ac:dyDescent="0.25">
      <c r="A639" s="3" t="s">
        <v>6729</v>
      </c>
      <c r="B639" s="3" t="s">
        <v>6730</v>
      </c>
      <c r="C639" s="1">
        <v>20</v>
      </c>
      <c r="D639" s="1">
        <v>127.7</v>
      </c>
      <c r="E639" s="1" t="s">
        <v>831</v>
      </c>
      <c r="F639" s="1" t="s">
        <v>6731</v>
      </c>
      <c r="G639" s="3" t="s">
        <v>6732</v>
      </c>
      <c r="H639" s="11">
        <f>ROUND(
IF(L637="GANCHO",
   IF(I639&lt;=50,I639*1.1+4,IF(I639&lt;=120,I639*1.1+7,IF(I639&lt;=250,I639*1.1+11,I639*1.1+19))),
IF(L637="NORMAL",
   IF(I639&lt;=30,I639*1.15+2,IF(I639&lt;=80,I639*1.15+4,IF(I639&lt;=150,I639*1.15+6,I639*1.15+8))),
IF(L637="COMPLEMENTO",
   IF(I639&lt;=25,I639*1.25+1.5,IF(I639&lt;=60,I639*1.25+3,IF(I639&lt;=120,I639*1.25+4,I639*1.25+5))),
""))),2)</f>
        <v>611.04999999999995</v>
      </c>
      <c r="I639" s="9">
        <f>($K$2+0.02)*Tabla1[[#This Row],[PRECIO $]]*1.18</f>
        <v>524.38728000000003</v>
      </c>
      <c r="J639" s="7">
        <f>+Tabla1[[#This Row],[PRECIO EN SOLES]]-Tabla1[[#This Row],[PC]]</f>
        <v>86.662719999999922</v>
      </c>
      <c r="K639" s="15"/>
      <c r="L639" s="15" t="str">
        <f>IF(
OR(
ISNUMBER(SEARCH("BACKPACK",B641)),
ISNUMBER(SEARCH("MOCHILA",B641)),
ISNUMBER(SEARCH("FUNDA",B641)),
ISNUMBER(SEARCH("ESTUCHE",B641)),
ISNUMBER(SEARCH("BOOK COVER",B641)),
ISNUMBER(SEARCH("KEYBOARD PARA TABLET",B641)),
ISNUMBER(SEARCH("FLIP TABLET",B641)),
ISNUMBER(SEARCH("CASE FOR TABLET",B641)),
ISNUMBER(SEARCH("CABLE",B641)),
ISNUMBER(SEARCH("ADAPTADOR",B641)),
ISNUMBER(SEARCH("HUB",B641)),
ISNUMBER(SEARCH("DOCK",B641)),
ISNUMBER(SEARCH("MOUSE PAD",B641)),
ISNUMBER(SEARCH("MOUSEPAD",B641)),
ISNUMBER(SEARCH("SOPORTE",B641)),
ISNUMBER(SEARCH("STAND",B641)),
ISNUMBER(SEARCH("TRAVEL ADAPTER",B641)),
ISNUMBER(SEARCH("RJ45",B641)),
ISNUMBER(SEARCH("USB-C",B641)),
ISNUMBER(SEARCH("USB WIFI",B641)),
ISNUMBER(SEARCH("POWERBANK",B641)),
ISNUMBER(SEARCH("CARGADOR",B641)),
ISNUMBER(SEARCH("COOLER PARA NB",B641)),
ISNUMBER(SEARCH("SOPORTE PARA NB",B641)),
ISNUMBER(SEARCH("WEBCAM",B641)),
ISNUMBER(SEARCH("WEB CAM",B641)),
ISNUMBER(SEARCH("MOUSE",B641)),
ISNUMBER(SEARCH("TECLADO",B641))
),
"COMPLEMENTO",
IF(
OR(
LEFT(A641,2)="NB",
LEFT(A641,2)="PC",
LEFT(A641,2)="WS",
LEFT(A641,2)="TB",
LEFT(A641,3)="CEL",
LEFT(A641,3)="MON",
LEFT(A641,3)="PRE",
LEFT(A641,3)="PRH",
ISNUMBER(SEARCH("NOTEBOOK",B641)),
ISNUMBER(SEARCH("LAPTOP",B641)),
ISNUMBER(SEARCH("MONITOR",B641)),
ISNUMBER(SEARCH("TABLET",B641)),
ISNUMBER(SEARCH("SMARTPH",B641)),
ISNUMBER(SEARCH("IMPRESORA",B641)),
ISNUMBER(SEARCH("MULTIFUNCIONAL",B641)),
ISNUMBER(SEARCH("AIO",B641))
),
"GANCHO",
"NORMAL"
)
)</f>
        <v>NORMAL</v>
      </c>
    </row>
    <row r="640" spans="1:12" x14ac:dyDescent="0.25">
      <c r="A640" s="3" t="s">
        <v>5432</v>
      </c>
      <c r="B640" s="3" t="s">
        <v>1391</v>
      </c>
      <c r="C640" s="1">
        <v>20</v>
      </c>
      <c r="D640" s="1">
        <v>141.69999999999999</v>
      </c>
      <c r="E640" s="1" t="s">
        <v>196</v>
      </c>
      <c r="F640" s="1" t="s">
        <v>5433</v>
      </c>
      <c r="G640" s="3" t="s">
        <v>1392</v>
      </c>
      <c r="H640" s="11">
        <f>ROUND(
IF(L638="GANCHO",
   IF(I640&lt;=50,I640*1.1+4,IF(I640&lt;=120,I640*1.1+7,IF(I640&lt;=250,I640*1.1+11,I640*1.1+19))),
IF(L638="NORMAL",
   IF(I640&lt;=30,I640*1.15+2,IF(I640&lt;=80,I640*1.15+4,IF(I640&lt;=150,I640*1.15+6,I640*1.15+8))),
IF(L638="COMPLEMENTO",
   IF(I640&lt;=25,I640*1.25+1.5,IF(I640&lt;=60,I640*1.25+3,IF(I640&lt;=120,I640*1.25+4,I640*1.25+5))),
""))),2)</f>
        <v>677.16</v>
      </c>
      <c r="I640" s="9">
        <f>($K$2+0.02)*Tabla1[[#This Row],[PRECIO $]]*1.18</f>
        <v>581.87687999999991</v>
      </c>
      <c r="J640" s="7">
        <f>+Tabla1[[#This Row],[PRECIO EN SOLES]]-Tabla1[[#This Row],[PC]]</f>
        <v>95.283120000000054</v>
      </c>
      <c r="K640" s="15"/>
      <c r="L640" s="15" t="str">
        <f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41" spans="1:12" x14ac:dyDescent="0.25">
      <c r="A641" s="3" t="s">
        <v>1393</v>
      </c>
      <c r="B641" s="3" t="s">
        <v>1394</v>
      </c>
      <c r="C641" s="1">
        <v>20</v>
      </c>
      <c r="D641" s="1">
        <v>132.75</v>
      </c>
      <c r="E641" s="1" t="s">
        <v>196</v>
      </c>
      <c r="F641" s="1" t="s">
        <v>3400</v>
      </c>
      <c r="G641" s="3" t="s">
        <v>1395</v>
      </c>
      <c r="H641" s="11">
        <f>ROUND(
IF(L639="GANCHO",
   IF(I641&lt;=50,I641*1.1+4,IF(I641&lt;=120,I641*1.1+7,IF(I641&lt;=250,I641*1.1+11,I641*1.1+19))),
IF(L639="NORMAL",
   IF(I641&lt;=30,I641*1.15+2,IF(I641&lt;=80,I641*1.15+4,IF(I641&lt;=150,I641*1.15+6,I641*1.15+8))),
IF(L639="COMPLEMENTO",
   IF(I641&lt;=25,I641*1.25+1.5,IF(I641&lt;=60,I641*1.25+3,IF(I641&lt;=120,I641*1.25+4,I641*1.25+5))),
""))),2)</f>
        <v>634.89</v>
      </c>
      <c r="I641" s="9">
        <f>($K$2+0.02)*Tabla1[[#This Row],[PRECIO $]]*1.18</f>
        <v>545.12459999999999</v>
      </c>
      <c r="J641" s="7">
        <f>+Tabla1[[#This Row],[PRECIO EN SOLES]]-Tabla1[[#This Row],[PC]]</f>
        <v>89.7654</v>
      </c>
      <c r="K641" s="15"/>
      <c r="L641" s="15" t="str">
        <f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2" spans="1:12" x14ac:dyDescent="0.25">
      <c r="A642" s="3" t="s">
        <v>6733</v>
      </c>
      <c r="B642" s="3" t="s">
        <v>6734</v>
      </c>
      <c r="C642" s="1">
        <v>20</v>
      </c>
      <c r="D642" s="1">
        <v>138.69999999999999</v>
      </c>
      <c r="E642" s="1" t="s">
        <v>467</v>
      </c>
      <c r="F642" s="1" t="s">
        <v>6735</v>
      </c>
      <c r="G642" s="3" t="s">
        <v>6736</v>
      </c>
      <c r="H642" s="11">
        <f>ROUND(
IF(L640="GANCHO",
   IF(I642&lt;=50,I642*1.1+4,IF(I642&lt;=120,I642*1.1+7,IF(I642&lt;=250,I642*1.1+11,I642*1.1+19))),
IF(L640="NORMAL",
   IF(I642&lt;=30,I642*1.15+2,IF(I642&lt;=80,I642*1.15+4,IF(I642&lt;=150,I642*1.15+6,I642*1.15+8))),
IF(L640="COMPLEMENTO",
   IF(I642&lt;=25,I642*1.25+1.5,IF(I642&lt;=60,I642*1.25+3,IF(I642&lt;=120,I642*1.25+4,I642*1.25+5))),
""))),2)</f>
        <v>662.99</v>
      </c>
      <c r="I642" s="9">
        <f>($K$2+0.02)*Tabla1[[#This Row],[PRECIO $]]*1.18</f>
        <v>569.55767999999989</v>
      </c>
      <c r="J642" s="7">
        <f>+Tabla1[[#This Row],[PRECIO EN SOLES]]-Tabla1[[#This Row],[PC]]</f>
        <v>93.432320000000118</v>
      </c>
      <c r="K642" s="15"/>
      <c r="L642" s="15" t="str">
        <f>IF(
OR(
ISNUMBER(SEARCH("BACKPACK",B644)),
ISNUMBER(SEARCH("MOCHILA",B644)),
ISNUMBER(SEARCH("FUNDA",B644)),
ISNUMBER(SEARCH("ESTUCHE",B644)),
ISNUMBER(SEARCH("BOOK COVER",B644)),
ISNUMBER(SEARCH("KEYBOARD PARA TABLET",B644)),
ISNUMBER(SEARCH("FLIP TABLET",B644)),
ISNUMBER(SEARCH("CASE FOR TABLET",B644)),
ISNUMBER(SEARCH("CABLE",B644)),
ISNUMBER(SEARCH("ADAPTADOR",B644)),
ISNUMBER(SEARCH("HUB",B644)),
ISNUMBER(SEARCH("DOCK",B644)),
ISNUMBER(SEARCH("MOUSE PAD",B644)),
ISNUMBER(SEARCH("MOUSEPAD",B644)),
ISNUMBER(SEARCH("SOPORTE",B644)),
ISNUMBER(SEARCH("STAND",B644)),
ISNUMBER(SEARCH("TRAVEL ADAPTER",B644)),
ISNUMBER(SEARCH("RJ45",B644)),
ISNUMBER(SEARCH("USB-C",B644)),
ISNUMBER(SEARCH("USB WIFI",B644)),
ISNUMBER(SEARCH("POWERBANK",B644)),
ISNUMBER(SEARCH("CARGADOR",B644)),
ISNUMBER(SEARCH("COOLER PARA NB",B644)),
ISNUMBER(SEARCH("SOPORTE PARA NB",B644)),
ISNUMBER(SEARCH("WEBCAM",B644)),
ISNUMBER(SEARCH("WEB CAM",B644)),
ISNUMBER(SEARCH("MOUSE",B644)),
ISNUMBER(SEARCH("TECLADO",B644))
),
"COMPLEMENTO",
IF(
OR(
LEFT(A644,2)="NB",
LEFT(A644,2)="PC",
LEFT(A644,2)="WS",
LEFT(A644,2)="TB",
LEFT(A644,3)="CEL",
LEFT(A644,3)="MON",
LEFT(A644,3)="PRE",
LEFT(A644,3)="PRH",
ISNUMBER(SEARCH("NOTEBOOK",B644)),
ISNUMBER(SEARCH("LAPTOP",B644)),
ISNUMBER(SEARCH("MONITOR",B644)),
ISNUMBER(SEARCH("TABLET",B644)),
ISNUMBER(SEARCH("SMARTPH",B644)),
ISNUMBER(SEARCH("IMPRESORA",B644)),
ISNUMBER(SEARCH("MULTIFUNCIONAL",B644)),
ISNUMBER(SEARCH("AIO",B644))
),
"GANCHO",
"NORMAL"
)
)</f>
        <v>NORMAL</v>
      </c>
    </row>
    <row r="643" spans="1:12" x14ac:dyDescent="0.25">
      <c r="A643" s="3" t="s">
        <v>5662</v>
      </c>
      <c r="B643" s="3" t="s">
        <v>5663</v>
      </c>
      <c r="C643" s="1">
        <v>20</v>
      </c>
      <c r="D643" s="1">
        <v>110.5</v>
      </c>
      <c r="E643" s="1" t="s">
        <v>199</v>
      </c>
      <c r="F643" s="1" t="s">
        <v>5664</v>
      </c>
      <c r="G643" s="3" t="s">
        <v>5665</v>
      </c>
      <c r="H643" s="11">
        <f>ROUND(
IF(L641="GANCHO",
   IF(I643&lt;=50,I643*1.1+4,IF(I643&lt;=120,I643*1.1+7,IF(I643&lt;=250,I643*1.1+11,I643*1.1+19))),
IF(L641="NORMAL",
   IF(I643&lt;=30,I643*1.15+2,IF(I643&lt;=80,I643*1.15+4,IF(I643&lt;=150,I643*1.15+6,I643*1.15+8))),
IF(L641="COMPLEMENTO",
   IF(I643&lt;=25,I643*1.25+1.5,IF(I643&lt;=60,I643*1.25+3,IF(I643&lt;=120,I643*1.25+4,I643*1.25+5))),
""))),2)</f>
        <v>529.82000000000005</v>
      </c>
      <c r="I643" s="9">
        <f>($K$2+0.02)*Tabla1[[#This Row],[PRECIO $]]*1.18</f>
        <v>453.75720000000001</v>
      </c>
      <c r="J643" s="7">
        <f>+Tabla1[[#This Row],[PRECIO EN SOLES]]-Tabla1[[#This Row],[PC]]</f>
        <v>76.062800000000038</v>
      </c>
      <c r="K643" s="15"/>
      <c r="L643" s="15" t="str">
        <f>IF(
OR(
ISNUMBER(SEARCH("BACKPACK",B645)),
ISNUMBER(SEARCH("MOCHILA",B645)),
ISNUMBER(SEARCH("FUNDA",B645)),
ISNUMBER(SEARCH("ESTUCHE",B645)),
ISNUMBER(SEARCH("BOOK COVER",B645)),
ISNUMBER(SEARCH("KEYBOARD PARA TABLET",B645)),
ISNUMBER(SEARCH("FLIP TABLET",B645)),
ISNUMBER(SEARCH("CASE FOR TABLET",B645)),
ISNUMBER(SEARCH("CABLE",B645)),
ISNUMBER(SEARCH("ADAPTADOR",B645)),
ISNUMBER(SEARCH("HUB",B645)),
ISNUMBER(SEARCH("DOCK",B645)),
ISNUMBER(SEARCH("MOUSE PAD",B645)),
ISNUMBER(SEARCH("MOUSEPAD",B645)),
ISNUMBER(SEARCH("SOPORTE",B645)),
ISNUMBER(SEARCH("STAND",B645)),
ISNUMBER(SEARCH("TRAVEL ADAPTER",B645)),
ISNUMBER(SEARCH("RJ45",B645)),
ISNUMBER(SEARCH("USB-C",B645)),
ISNUMBER(SEARCH("USB WIFI",B645)),
ISNUMBER(SEARCH("POWERBANK",B645)),
ISNUMBER(SEARCH("CARGADOR",B645)),
ISNUMBER(SEARCH("COOLER PARA NB",B645)),
ISNUMBER(SEARCH("SOPORTE PARA NB",B645)),
ISNUMBER(SEARCH("WEBCAM",B645)),
ISNUMBER(SEARCH("WEB CAM",B645)),
ISNUMBER(SEARCH("MOUSE",B645)),
ISNUMBER(SEARCH("TECLADO",B645))
),
"COMPLEMENTO",
IF(
OR(
LEFT(A645,2)="NB",
LEFT(A645,2)="PC",
LEFT(A645,2)="WS",
LEFT(A645,2)="TB",
LEFT(A645,3)="CEL",
LEFT(A645,3)="MON",
LEFT(A645,3)="PRE",
LEFT(A645,3)="PRH",
ISNUMBER(SEARCH("NOTEBOOK",B645)),
ISNUMBER(SEARCH("LAPTOP",B645)),
ISNUMBER(SEARCH("MONITOR",B645)),
ISNUMBER(SEARCH("TABLET",B645)),
ISNUMBER(SEARCH("SMARTPH",B645)),
ISNUMBER(SEARCH("IMPRESORA",B645)),
ISNUMBER(SEARCH("MULTIFUNCIONAL",B645)),
ISNUMBER(SEARCH("AIO",B645))
),
"GANCHO",
"NORMAL"
)
)</f>
        <v>NORMAL</v>
      </c>
    </row>
    <row r="644" spans="1:12" x14ac:dyDescent="0.25">
      <c r="A644" s="3" t="s">
        <v>1396</v>
      </c>
      <c r="B644" s="3" t="s">
        <v>1397</v>
      </c>
      <c r="C644" s="1">
        <v>0</v>
      </c>
      <c r="D644" s="1">
        <v>124.7</v>
      </c>
      <c r="E644" s="1" t="s">
        <v>196</v>
      </c>
      <c r="F644" s="1" t="s">
        <v>3401</v>
      </c>
      <c r="G644" s="3" t="s">
        <v>1398</v>
      </c>
      <c r="H644" s="11">
        <f>ROUND(
IF(L642="GANCHO",
   IF(I644&lt;=50,I644*1.1+4,IF(I644&lt;=120,I644*1.1+7,IF(I644&lt;=250,I644*1.1+11,I644*1.1+19))),
IF(L642="NORMAL",
   IF(I644&lt;=30,I644*1.15+2,IF(I644&lt;=80,I644*1.15+4,IF(I644&lt;=150,I644*1.15+6,I644*1.15+8))),
IF(L642="COMPLEMENTO",
   IF(I644&lt;=25,I644*1.25+1.5,IF(I644&lt;=60,I644*1.25+3,IF(I644&lt;=120,I644*1.25+4,I644*1.25+5))),
""))),2)</f>
        <v>596.88</v>
      </c>
      <c r="I644" s="9">
        <f>($K$2+0.02)*Tabla1[[#This Row],[PRECIO $]]*1.18</f>
        <v>512.06808000000001</v>
      </c>
      <c r="J644" s="7">
        <f>+Tabla1[[#This Row],[PRECIO EN SOLES]]-Tabla1[[#This Row],[PC]]</f>
        <v>84.811919999999986</v>
      </c>
      <c r="K644" s="15"/>
      <c r="L644" s="15" t="str">
        <f>IF(
OR(
ISNUMBER(SEARCH("BACKPACK",B646)),
ISNUMBER(SEARCH("MOCHILA",B646)),
ISNUMBER(SEARCH("FUNDA",B646)),
ISNUMBER(SEARCH("ESTUCHE",B646)),
ISNUMBER(SEARCH("BOOK COVER",B646)),
ISNUMBER(SEARCH("KEYBOARD PARA TABLET",B646)),
ISNUMBER(SEARCH("FLIP TABLET",B646)),
ISNUMBER(SEARCH("CASE FOR TABLET",B646)),
ISNUMBER(SEARCH("CABLE",B646)),
ISNUMBER(SEARCH("ADAPTADOR",B646)),
ISNUMBER(SEARCH("HUB",B646)),
ISNUMBER(SEARCH("DOCK",B646)),
ISNUMBER(SEARCH("MOUSE PAD",B646)),
ISNUMBER(SEARCH("MOUSEPAD",B646)),
ISNUMBER(SEARCH("SOPORTE",B646)),
ISNUMBER(SEARCH("STAND",B646)),
ISNUMBER(SEARCH("TRAVEL ADAPTER",B646)),
ISNUMBER(SEARCH("RJ45",B646)),
ISNUMBER(SEARCH("USB-C",B646)),
ISNUMBER(SEARCH("USB WIFI",B646)),
ISNUMBER(SEARCH("POWERBANK",B646)),
ISNUMBER(SEARCH("CARGADOR",B646)),
ISNUMBER(SEARCH("COOLER PARA NB",B646)),
ISNUMBER(SEARCH("SOPORTE PARA NB",B646)),
ISNUMBER(SEARCH("WEBCAM",B646)),
ISNUMBER(SEARCH("WEB CAM",B646)),
ISNUMBER(SEARCH("MOUSE",B646)),
ISNUMBER(SEARCH("TECLADO",B646))
),
"COMPLEMENTO",
IF(
OR(
LEFT(A646,2)="NB",
LEFT(A646,2)="PC",
LEFT(A646,2)="WS",
LEFT(A646,2)="TB",
LEFT(A646,3)="CEL",
LEFT(A646,3)="MON",
LEFT(A646,3)="PRE",
LEFT(A646,3)="PRH",
ISNUMBER(SEARCH("NOTEBOOK",B646)),
ISNUMBER(SEARCH("LAPTOP",B646)),
ISNUMBER(SEARCH("MONITOR",B646)),
ISNUMBER(SEARCH("TABLET",B646)),
ISNUMBER(SEARCH("SMARTPH",B646)),
ISNUMBER(SEARCH("IMPRESORA",B646)),
ISNUMBER(SEARCH("MULTIFUNCIONAL",B646)),
ISNUMBER(SEARCH("AIO",B646))
),
"GANCHO",
"NORMAL"
)
)</f>
        <v>NORMAL</v>
      </c>
    </row>
    <row r="645" spans="1:12" x14ac:dyDescent="0.25">
      <c r="A645" s="3" t="s">
        <v>4790</v>
      </c>
      <c r="B645" s="3" t="s">
        <v>4791</v>
      </c>
      <c r="C645" s="1">
        <v>3</v>
      </c>
      <c r="D645" s="1">
        <v>255</v>
      </c>
      <c r="E645" s="1" t="s">
        <v>196</v>
      </c>
      <c r="F645" s="1" t="s">
        <v>4792</v>
      </c>
      <c r="G645" s="3" t="s">
        <v>5434</v>
      </c>
      <c r="H645" s="11">
        <f>ROUND(
IF(L643="GANCHO",
   IF(I645&lt;=50,I645*1.1+4,IF(I645&lt;=120,I645*1.1+7,IF(I645&lt;=250,I645*1.1+11,I645*1.1+19))),
IF(L643="NORMAL",
   IF(I645&lt;=30,I645*1.15+2,IF(I645&lt;=80,I645*1.15+4,IF(I645&lt;=150,I645*1.15+6,I645*1.15+8))),
IF(L643="COMPLEMENTO",
   IF(I645&lt;=25,I645*1.25+1.5,IF(I645&lt;=60,I645*1.25+3,IF(I645&lt;=120,I645*1.25+4,I645*1.25+5))),
""))),2)</f>
        <v>1212.2</v>
      </c>
      <c r="I645" s="9">
        <f>($K$2+0.02)*Tabla1[[#This Row],[PRECIO $]]*1.18</f>
        <v>1047.1319999999998</v>
      </c>
      <c r="J645" s="7">
        <f>+Tabla1[[#This Row],[PRECIO EN SOLES]]-Tabla1[[#This Row],[PC]]</f>
        <v>165.06800000000021</v>
      </c>
      <c r="K645" s="15"/>
      <c r="L645" s="15" t="str">
        <f>IF(
OR(
ISNUMBER(SEARCH("BACKPACK",B647)),
ISNUMBER(SEARCH("MOCHILA",B647)),
ISNUMBER(SEARCH("FUNDA",B647)),
ISNUMBER(SEARCH("ESTUCHE",B647)),
ISNUMBER(SEARCH("BOOK COVER",B647)),
ISNUMBER(SEARCH("KEYBOARD PARA TABLET",B647)),
ISNUMBER(SEARCH("FLIP TABLET",B647)),
ISNUMBER(SEARCH("CASE FOR TABLET",B647)),
ISNUMBER(SEARCH("CABLE",B647)),
ISNUMBER(SEARCH("ADAPTADOR",B647)),
ISNUMBER(SEARCH("HUB",B647)),
ISNUMBER(SEARCH("DOCK",B647)),
ISNUMBER(SEARCH("MOUSE PAD",B647)),
ISNUMBER(SEARCH("MOUSEPAD",B647)),
ISNUMBER(SEARCH("SOPORTE",B647)),
ISNUMBER(SEARCH("STAND",B647)),
ISNUMBER(SEARCH("TRAVEL ADAPTER",B647)),
ISNUMBER(SEARCH("RJ45",B647)),
ISNUMBER(SEARCH("USB-C",B647)),
ISNUMBER(SEARCH("USB WIFI",B647)),
ISNUMBER(SEARCH("POWERBANK",B647)),
ISNUMBER(SEARCH("CARGADOR",B647)),
ISNUMBER(SEARCH("COOLER PARA NB",B647)),
ISNUMBER(SEARCH("SOPORTE PARA NB",B647)),
ISNUMBER(SEARCH("WEBCAM",B647)),
ISNUMBER(SEARCH("WEB CAM",B647)),
ISNUMBER(SEARCH("MOUSE",B647)),
ISNUMBER(SEARCH("TECLADO",B647))
),
"COMPLEMENTO",
IF(
OR(
LEFT(A647,2)="NB",
LEFT(A647,2)="PC",
LEFT(A647,2)="WS",
LEFT(A647,2)="TB",
LEFT(A647,3)="CEL",
LEFT(A647,3)="MON",
LEFT(A647,3)="PRE",
LEFT(A647,3)="PRH",
ISNUMBER(SEARCH("NOTEBOOK",B647)),
ISNUMBER(SEARCH("LAPTOP",B647)),
ISNUMBER(SEARCH("MONITOR",B647)),
ISNUMBER(SEARCH("TABLET",B647)),
ISNUMBER(SEARCH("SMARTPH",B647)),
ISNUMBER(SEARCH("IMPRESORA",B647)),
ISNUMBER(SEARCH("MULTIFUNCIONAL",B647)),
ISNUMBER(SEARCH("AIO",B647))
),
"GANCHO",
"NORMAL"
)
)</f>
        <v>NORMAL</v>
      </c>
    </row>
    <row r="646" spans="1:12" x14ac:dyDescent="0.25">
      <c r="A646" s="3" t="s">
        <v>1399</v>
      </c>
      <c r="B646" s="3" t="s">
        <v>1400</v>
      </c>
      <c r="C646" s="1">
        <v>20</v>
      </c>
      <c r="D646" s="1">
        <v>145</v>
      </c>
      <c r="E646" s="1" t="s">
        <v>196</v>
      </c>
      <c r="F646" s="1" t="s">
        <v>3402</v>
      </c>
      <c r="G646" s="3" t="s">
        <v>1392</v>
      </c>
      <c r="H646" s="11">
        <f>ROUND(
IF(L644="GANCHO",
   IF(I646&lt;=50,I646*1.1+4,IF(I646&lt;=120,I646*1.1+7,IF(I646&lt;=250,I646*1.1+11,I646*1.1+19))),
IF(L644="NORMAL",
   IF(I646&lt;=30,I646*1.15+2,IF(I646&lt;=80,I646*1.15+4,IF(I646&lt;=150,I646*1.15+6,I646*1.15+8))),
IF(L644="COMPLEMENTO",
   IF(I646&lt;=25,I646*1.25+1.5,IF(I646&lt;=60,I646*1.25+3,IF(I646&lt;=120,I646*1.25+4,I646*1.25+5))),
""))),2)</f>
        <v>692.74</v>
      </c>
      <c r="I646" s="9">
        <f>($K$2+0.02)*Tabla1[[#This Row],[PRECIO $]]*1.18</f>
        <v>595.428</v>
      </c>
      <c r="J646" s="7">
        <f>+Tabla1[[#This Row],[PRECIO EN SOLES]]-Tabla1[[#This Row],[PC]]</f>
        <v>97.312000000000012</v>
      </c>
      <c r="K646" s="15"/>
      <c r="L646" s="15" t="str">
        <f>IF(
OR(
ISNUMBER(SEARCH("BACKPACK",B648)),
ISNUMBER(SEARCH("MOCHILA",B648)),
ISNUMBER(SEARCH("FUNDA",B648)),
ISNUMBER(SEARCH("ESTUCHE",B648)),
ISNUMBER(SEARCH("BOOK COVER",B648)),
ISNUMBER(SEARCH("KEYBOARD PARA TABLET",B648)),
ISNUMBER(SEARCH("FLIP TABLET",B648)),
ISNUMBER(SEARCH("CASE FOR TABLET",B648)),
ISNUMBER(SEARCH("CABLE",B648)),
ISNUMBER(SEARCH("ADAPTADOR",B648)),
ISNUMBER(SEARCH("HUB",B648)),
ISNUMBER(SEARCH("DOCK",B648)),
ISNUMBER(SEARCH("MOUSE PAD",B648)),
ISNUMBER(SEARCH("MOUSEPAD",B648)),
ISNUMBER(SEARCH("SOPORTE",B648)),
ISNUMBER(SEARCH("STAND",B648)),
ISNUMBER(SEARCH("TRAVEL ADAPTER",B648)),
ISNUMBER(SEARCH("RJ45",B648)),
ISNUMBER(SEARCH("USB-C",B648)),
ISNUMBER(SEARCH("USB WIFI",B648)),
ISNUMBER(SEARCH("POWERBANK",B648)),
ISNUMBER(SEARCH("CARGADOR",B648)),
ISNUMBER(SEARCH("COOLER PARA NB",B648)),
ISNUMBER(SEARCH("SOPORTE PARA NB",B648)),
ISNUMBER(SEARCH("WEBCAM",B648)),
ISNUMBER(SEARCH("WEB CAM",B648)),
ISNUMBER(SEARCH("MOUSE",B648)),
ISNUMBER(SEARCH("TECLADO",B648))
),
"COMPLEMENTO",
IF(
OR(
LEFT(A648,2)="NB",
LEFT(A648,2)="PC",
LEFT(A648,2)="WS",
LEFT(A648,2)="TB",
LEFT(A648,3)="CEL",
LEFT(A648,3)="MON",
LEFT(A648,3)="PRE",
LEFT(A648,3)="PRH",
ISNUMBER(SEARCH("NOTEBOOK",B648)),
ISNUMBER(SEARCH("LAPTOP",B648)),
ISNUMBER(SEARCH("MONITOR",B648)),
ISNUMBER(SEARCH("TABLET",B648)),
ISNUMBER(SEARCH("SMARTPH",B648)),
ISNUMBER(SEARCH("IMPRESORA",B648)),
ISNUMBER(SEARCH("MULTIFUNCIONAL",B648)),
ISNUMBER(SEARCH("AIO",B648))
),
"GANCHO",
"NORMAL"
)
)</f>
        <v>NORMAL</v>
      </c>
    </row>
    <row r="647" spans="1:12" x14ac:dyDescent="0.25">
      <c r="A647" s="3" t="s">
        <v>4952</v>
      </c>
      <c r="B647" s="3" t="s">
        <v>4953</v>
      </c>
      <c r="C647" s="1">
        <v>20</v>
      </c>
      <c r="D647" s="1">
        <v>125.7</v>
      </c>
      <c r="E647" s="1" t="s">
        <v>467</v>
      </c>
      <c r="F647" s="1" t="s">
        <v>4954</v>
      </c>
      <c r="G647" s="3" t="s">
        <v>4955</v>
      </c>
      <c r="H647" s="11">
        <f>ROUND(
IF(L645="GANCHO",
   IF(I647&lt;=50,I647*1.1+4,IF(I647&lt;=120,I647*1.1+7,IF(I647&lt;=250,I647*1.1+11,I647*1.1+19))),
IF(L645="NORMAL",
   IF(I647&lt;=30,I647*1.15+2,IF(I647&lt;=80,I647*1.15+4,IF(I647&lt;=150,I647*1.15+6,I647*1.15+8))),
IF(L645="COMPLEMENTO",
   IF(I647&lt;=25,I647*1.25+1.5,IF(I647&lt;=60,I647*1.25+3,IF(I647&lt;=120,I647*1.25+4,I647*1.25+5))),
""))),2)</f>
        <v>601.6</v>
      </c>
      <c r="I647" s="9">
        <f>($K$2+0.02)*Tabla1[[#This Row],[PRECIO $]]*1.18</f>
        <v>516.17448000000002</v>
      </c>
      <c r="J647" s="7">
        <f>+Tabla1[[#This Row],[PRECIO EN SOLES]]-Tabla1[[#This Row],[PC]]</f>
        <v>85.425520000000006</v>
      </c>
      <c r="K647" s="15"/>
      <c r="L647" s="15" t="str">
        <f>IF(
OR(
ISNUMBER(SEARCH("BACKPACK",B649)),
ISNUMBER(SEARCH("MOCHILA",B649)),
ISNUMBER(SEARCH("FUNDA",B649)),
ISNUMBER(SEARCH("ESTUCHE",B649)),
ISNUMBER(SEARCH("BOOK COVER",B649)),
ISNUMBER(SEARCH("KEYBOARD PARA TABLET",B649)),
ISNUMBER(SEARCH("FLIP TABLET",B649)),
ISNUMBER(SEARCH("CASE FOR TABLET",B649)),
ISNUMBER(SEARCH("CABLE",B649)),
ISNUMBER(SEARCH("ADAPTADOR",B649)),
ISNUMBER(SEARCH("HUB",B649)),
ISNUMBER(SEARCH("DOCK",B649)),
ISNUMBER(SEARCH("MOUSE PAD",B649)),
ISNUMBER(SEARCH("MOUSEPAD",B649)),
ISNUMBER(SEARCH("SOPORTE",B649)),
ISNUMBER(SEARCH("STAND",B649)),
ISNUMBER(SEARCH("TRAVEL ADAPTER",B649)),
ISNUMBER(SEARCH("RJ45",B649)),
ISNUMBER(SEARCH("USB-C",B649)),
ISNUMBER(SEARCH("USB WIFI",B649)),
ISNUMBER(SEARCH("POWERBANK",B649)),
ISNUMBER(SEARCH("CARGADOR",B649)),
ISNUMBER(SEARCH("COOLER PARA NB",B649)),
ISNUMBER(SEARCH("SOPORTE PARA NB",B649)),
ISNUMBER(SEARCH("WEBCAM",B649)),
ISNUMBER(SEARCH("WEB CAM",B649)),
ISNUMBER(SEARCH("MOUSE",B649)),
ISNUMBER(SEARCH("TECLADO",B649))
),
"COMPLEMENTO",
IF(
OR(
LEFT(A649,2)="NB",
LEFT(A649,2)="PC",
LEFT(A649,2)="WS",
LEFT(A649,2)="TB",
LEFT(A649,3)="CEL",
LEFT(A649,3)="MON",
LEFT(A649,3)="PRE",
LEFT(A649,3)="PRH",
ISNUMBER(SEARCH("NOTEBOOK",B649)),
ISNUMBER(SEARCH("LAPTOP",B649)),
ISNUMBER(SEARCH("MONITOR",B649)),
ISNUMBER(SEARCH("TABLET",B649)),
ISNUMBER(SEARCH("SMARTPH",B649)),
ISNUMBER(SEARCH("IMPRESORA",B649)),
ISNUMBER(SEARCH("MULTIFUNCIONAL",B649)),
ISNUMBER(SEARCH("AIO",B649))
),
"GANCHO",
"NORMAL"
)
)</f>
        <v>NORMAL</v>
      </c>
    </row>
    <row r="648" spans="1:12" x14ac:dyDescent="0.25">
      <c r="A648" s="3" t="s">
        <v>4956</v>
      </c>
      <c r="B648" s="3" t="s">
        <v>4957</v>
      </c>
      <c r="C648" s="1">
        <v>20</v>
      </c>
      <c r="D648" s="1">
        <v>130</v>
      </c>
      <c r="E648" s="1" t="s">
        <v>4958</v>
      </c>
      <c r="F648" s="1" t="s">
        <v>4959</v>
      </c>
      <c r="G648" s="3" t="s">
        <v>5154</v>
      </c>
      <c r="H648" s="11">
        <f>ROUND(
IF(L646="GANCHO",
   IF(I648&lt;=50,I648*1.1+4,IF(I648&lt;=120,I648*1.1+7,IF(I648&lt;=250,I648*1.1+11,I648*1.1+19))),
IF(L646="NORMAL",
   IF(I648&lt;=30,I648*1.15+2,IF(I648&lt;=80,I648*1.15+4,IF(I648&lt;=150,I648*1.15+6,I648*1.15+8))),
IF(L646="COMPLEMENTO",
   IF(I648&lt;=25,I648*1.25+1.5,IF(I648&lt;=60,I648*1.25+3,IF(I648&lt;=120,I648*1.25+4,I648*1.25+5))),
""))),2)</f>
        <v>621.91</v>
      </c>
      <c r="I648" s="9">
        <f>($K$2+0.02)*Tabla1[[#This Row],[PRECIO $]]*1.18</f>
        <v>533.83199999999999</v>
      </c>
      <c r="J648" s="7">
        <f>+Tabla1[[#This Row],[PRECIO EN SOLES]]-Tabla1[[#This Row],[PC]]</f>
        <v>88.077999999999975</v>
      </c>
      <c r="K648" s="15"/>
      <c r="L648" s="15" t="str">
        <f>IF(
OR(
ISNUMBER(SEARCH("BACKPACK",B650)),
ISNUMBER(SEARCH("MOCHILA",B650)),
ISNUMBER(SEARCH("FUNDA",B650)),
ISNUMBER(SEARCH("ESTUCHE",B650)),
ISNUMBER(SEARCH("BOOK COVER",B650)),
ISNUMBER(SEARCH("KEYBOARD PARA TABLET",B650)),
ISNUMBER(SEARCH("FLIP TABLET",B650)),
ISNUMBER(SEARCH("CASE FOR TABLET",B650)),
ISNUMBER(SEARCH("CABLE",B650)),
ISNUMBER(SEARCH("ADAPTADOR",B650)),
ISNUMBER(SEARCH("HUB",B650)),
ISNUMBER(SEARCH("DOCK",B650)),
ISNUMBER(SEARCH("MOUSE PAD",B650)),
ISNUMBER(SEARCH("MOUSEPAD",B650)),
ISNUMBER(SEARCH("SOPORTE",B650)),
ISNUMBER(SEARCH("STAND",B650)),
ISNUMBER(SEARCH("TRAVEL ADAPTER",B650)),
ISNUMBER(SEARCH("RJ45",B650)),
ISNUMBER(SEARCH("USB-C",B650)),
ISNUMBER(SEARCH("USB WIFI",B650)),
ISNUMBER(SEARCH("POWERBANK",B650)),
ISNUMBER(SEARCH("CARGADOR",B650)),
ISNUMBER(SEARCH("COOLER PARA NB",B650)),
ISNUMBER(SEARCH("SOPORTE PARA NB",B650)),
ISNUMBER(SEARCH("WEBCAM",B650)),
ISNUMBER(SEARCH("WEB CAM",B650)),
ISNUMBER(SEARCH("MOUSE",B650)),
ISNUMBER(SEARCH("TECLADO",B650))
),
"COMPLEMENTO",
IF(
OR(
LEFT(A650,2)="NB",
LEFT(A650,2)="PC",
LEFT(A650,2)="WS",
LEFT(A650,2)="TB",
LEFT(A650,3)="CEL",
LEFT(A650,3)="MON",
LEFT(A650,3)="PRE",
LEFT(A650,3)="PRH",
ISNUMBER(SEARCH("NOTEBOOK",B650)),
ISNUMBER(SEARCH("LAPTOP",B650)),
ISNUMBER(SEARCH("MONITOR",B650)),
ISNUMBER(SEARCH("TABLET",B650)),
ISNUMBER(SEARCH("SMARTPH",B650)),
ISNUMBER(SEARCH("IMPRESORA",B650)),
ISNUMBER(SEARCH("MULTIFUNCIONAL",B650)),
ISNUMBER(SEARCH("AIO",B650))
),
"GANCHO",
"NORMAL"
)
)</f>
        <v>NORMAL</v>
      </c>
    </row>
    <row r="649" spans="1:12" x14ac:dyDescent="0.25">
      <c r="A649" s="3" t="s">
        <v>1401</v>
      </c>
      <c r="B649" s="3" t="s">
        <v>1402</v>
      </c>
      <c r="C649" s="1">
        <v>1</v>
      </c>
      <c r="D649" s="1">
        <v>239</v>
      </c>
      <c r="E649" s="1" t="s">
        <v>196</v>
      </c>
      <c r="F649" s="1" t="s">
        <v>3403</v>
      </c>
      <c r="G649" s="3" t="s">
        <v>1403</v>
      </c>
      <c r="H649" s="11">
        <f>ROUND(
IF(L647="GANCHO",
   IF(I649&lt;=50,I649*1.1+4,IF(I649&lt;=120,I649*1.1+7,IF(I649&lt;=250,I649*1.1+11,I649*1.1+19))),
IF(L647="NORMAL",
   IF(I649&lt;=30,I649*1.15+2,IF(I649&lt;=80,I649*1.15+4,IF(I649&lt;=150,I649*1.15+6,I649*1.15+8))),
IF(L647="COMPLEMENTO",
   IF(I649&lt;=25,I649*1.25+1.5,IF(I649&lt;=60,I649*1.25+3,IF(I649&lt;=120,I649*1.25+4,I649*1.25+5))),
""))),2)</f>
        <v>1136.6400000000001</v>
      </c>
      <c r="I649" s="9">
        <f>($K$2+0.02)*Tabla1[[#This Row],[PRECIO $]]*1.18</f>
        <v>981.42959999999994</v>
      </c>
      <c r="J649" s="7">
        <f>+Tabla1[[#This Row],[PRECIO EN SOLES]]-Tabla1[[#This Row],[PC]]</f>
        <v>155.21040000000016</v>
      </c>
      <c r="K649" s="15"/>
      <c r="L649" s="15" t="str">
        <f>IF(
OR(
ISNUMBER(SEARCH("BACKPACK",B651)),
ISNUMBER(SEARCH("MOCHILA",B651)),
ISNUMBER(SEARCH("FUNDA",B651)),
ISNUMBER(SEARCH("ESTUCHE",B651)),
ISNUMBER(SEARCH("BOOK COVER",B651)),
ISNUMBER(SEARCH("KEYBOARD PARA TABLET",B651)),
ISNUMBER(SEARCH("FLIP TABLET",B651)),
ISNUMBER(SEARCH("CASE FOR TABLET",B651)),
ISNUMBER(SEARCH("CABLE",B651)),
ISNUMBER(SEARCH("ADAPTADOR",B651)),
ISNUMBER(SEARCH("HUB",B651)),
ISNUMBER(SEARCH("DOCK",B651)),
ISNUMBER(SEARCH("MOUSE PAD",B651)),
ISNUMBER(SEARCH("MOUSEPAD",B651)),
ISNUMBER(SEARCH("SOPORTE",B651)),
ISNUMBER(SEARCH("STAND",B651)),
ISNUMBER(SEARCH("TRAVEL ADAPTER",B651)),
ISNUMBER(SEARCH("RJ45",B651)),
ISNUMBER(SEARCH("USB-C",B651)),
ISNUMBER(SEARCH("USB WIFI",B651)),
ISNUMBER(SEARCH("POWERBANK",B651)),
ISNUMBER(SEARCH("CARGADOR",B651)),
ISNUMBER(SEARCH("COOLER PARA NB",B651)),
ISNUMBER(SEARCH("SOPORTE PARA NB",B651)),
ISNUMBER(SEARCH("WEBCAM",B651)),
ISNUMBER(SEARCH("WEB CAM",B651)),
ISNUMBER(SEARCH("MOUSE",B651)),
ISNUMBER(SEARCH("TECLADO",B651))
),
"COMPLEMENTO",
IF(
OR(
LEFT(A651,2)="NB",
LEFT(A651,2)="PC",
LEFT(A651,2)="WS",
LEFT(A651,2)="TB",
LEFT(A651,3)="CEL",
LEFT(A651,3)="MON",
LEFT(A651,3)="PRE",
LEFT(A651,3)="PRH",
ISNUMBER(SEARCH("NOTEBOOK",B651)),
ISNUMBER(SEARCH("LAPTOP",B651)),
ISNUMBER(SEARCH("MONITOR",B651)),
ISNUMBER(SEARCH("TABLET",B651)),
ISNUMBER(SEARCH("SMARTPH",B651)),
ISNUMBER(SEARCH("IMPRESORA",B651)),
ISNUMBER(SEARCH("MULTIFUNCIONAL",B651)),
ISNUMBER(SEARCH("AIO",B651))
),
"GANCHO",
"NORMAL"
)
)</f>
        <v>NORMAL</v>
      </c>
    </row>
    <row r="650" spans="1:12" x14ac:dyDescent="0.25">
      <c r="A650" s="3" t="s">
        <v>6737</v>
      </c>
      <c r="B650" s="3" t="s">
        <v>6738</v>
      </c>
      <c r="C650" s="1">
        <v>20</v>
      </c>
      <c r="D650" s="1">
        <v>67.2</v>
      </c>
      <c r="E650" s="1" t="s">
        <v>831</v>
      </c>
      <c r="F650" s="1" t="s">
        <v>6739</v>
      </c>
      <c r="G650" s="3" t="s">
        <v>6740</v>
      </c>
      <c r="H650" s="11">
        <f>ROUND(
IF(L648="GANCHO",
   IF(I650&lt;=50,I650*1.1+4,IF(I650&lt;=120,I650*1.1+7,IF(I650&lt;=250,I650*1.1+11,I650*1.1+19))),
IF(L648="NORMAL",
   IF(I650&lt;=30,I650*1.15+2,IF(I650&lt;=80,I650*1.15+4,IF(I650&lt;=150,I650*1.15+6,I650*1.15+8))),
IF(L648="COMPLEMENTO",
   IF(I650&lt;=25,I650*1.25+1.5,IF(I650&lt;=60,I650*1.25+3,IF(I650&lt;=120,I650*1.25+4,I650*1.25+5))),
""))),2)</f>
        <v>325.33999999999997</v>
      </c>
      <c r="I650" s="9">
        <f>($K$2+0.02)*Tabla1[[#This Row],[PRECIO $]]*1.18</f>
        <v>275.95007999999996</v>
      </c>
      <c r="J650" s="7">
        <f>+Tabla1[[#This Row],[PRECIO EN SOLES]]-Tabla1[[#This Row],[PC]]</f>
        <v>49.389920000000018</v>
      </c>
      <c r="K650" s="15"/>
      <c r="L650" s="15" t="str">
        <f>IF(
OR(
ISNUMBER(SEARCH("BACKPACK",B652)),
ISNUMBER(SEARCH("MOCHILA",B652)),
ISNUMBER(SEARCH("FUNDA",B652)),
ISNUMBER(SEARCH("ESTUCHE",B652)),
ISNUMBER(SEARCH("BOOK COVER",B652)),
ISNUMBER(SEARCH("KEYBOARD PARA TABLET",B652)),
ISNUMBER(SEARCH("FLIP TABLET",B652)),
ISNUMBER(SEARCH("CASE FOR TABLET",B652)),
ISNUMBER(SEARCH("CABLE",B652)),
ISNUMBER(SEARCH("ADAPTADOR",B652)),
ISNUMBER(SEARCH("HUB",B652)),
ISNUMBER(SEARCH("DOCK",B652)),
ISNUMBER(SEARCH("MOUSE PAD",B652)),
ISNUMBER(SEARCH("MOUSEPAD",B652)),
ISNUMBER(SEARCH("SOPORTE",B652)),
ISNUMBER(SEARCH("STAND",B652)),
ISNUMBER(SEARCH("TRAVEL ADAPTER",B652)),
ISNUMBER(SEARCH("RJ45",B652)),
ISNUMBER(SEARCH("USB-C",B652)),
ISNUMBER(SEARCH("USB WIFI",B652)),
ISNUMBER(SEARCH("POWERBANK",B652)),
ISNUMBER(SEARCH("CARGADOR",B652)),
ISNUMBER(SEARCH("COOLER PARA NB",B652)),
ISNUMBER(SEARCH("SOPORTE PARA NB",B652)),
ISNUMBER(SEARCH("WEBCAM",B652)),
ISNUMBER(SEARCH("WEB CAM",B652)),
ISNUMBER(SEARCH("MOUSE",B652)),
ISNUMBER(SEARCH("TECLADO",B652))
),
"COMPLEMENTO",
IF(
OR(
LEFT(A652,2)="NB",
LEFT(A652,2)="PC",
LEFT(A652,2)="WS",
LEFT(A652,2)="TB",
LEFT(A652,3)="CEL",
LEFT(A652,3)="MON",
LEFT(A652,3)="PRE",
LEFT(A652,3)="PRH",
ISNUMBER(SEARCH("NOTEBOOK",B652)),
ISNUMBER(SEARCH("LAPTOP",B652)),
ISNUMBER(SEARCH("MONITOR",B652)),
ISNUMBER(SEARCH("TABLET",B652)),
ISNUMBER(SEARCH("SMARTPH",B652)),
ISNUMBER(SEARCH("IMPRESORA",B652)),
ISNUMBER(SEARCH("MULTIFUNCIONAL",B652)),
ISNUMBER(SEARCH("AIO",B652))
),
"GANCHO",
"NORMAL"
)
)</f>
        <v>NORMAL</v>
      </c>
    </row>
    <row r="651" spans="1:12" x14ac:dyDescent="0.25">
      <c r="A651" s="3" t="s">
        <v>5666</v>
      </c>
      <c r="B651" s="3" t="s">
        <v>5667</v>
      </c>
      <c r="C651" s="1">
        <v>20</v>
      </c>
      <c r="D651" s="1">
        <v>65.900000000000006</v>
      </c>
      <c r="E651" s="1" t="s">
        <v>199</v>
      </c>
      <c r="F651" s="1" t="s">
        <v>5668</v>
      </c>
      <c r="G651" s="3" t="s">
        <v>5669</v>
      </c>
      <c r="H651" s="11">
        <f>ROUND(
IF(L649="GANCHO",
   IF(I651&lt;=50,I651*1.1+4,IF(I651&lt;=120,I651*1.1+7,IF(I651&lt;=250,I651*1.1+11,I651*1.1+19))),
IF(L649="NORMAL",
   IF(I651&lt;=30,I651*1.15+2,IF(I651&lt;=80,I651*1.15+4,IF(I651&lt;=150,I651*1.15+6,I651*1.15+8))),
IF(L649="COMPLEMENTO",
   IF(I651&lt;=25,I651*1.25+1.5,IF(I651&lt;=60,I651*1.25+3,IF(I651&lt;=120,I651*1.25+4,I651*1.25+5))),
""))),2)</f>
        <v>319.2</v>
      </c>
      <c r="I651" s="9">
        <f>($K$2+0.02)*Tabla1[[#This Row],[PRECIO $]]*1.18</f>
        <v>270.61176</v>
      </c>
      <c r="J651" s="7">
        <f>+Tabla1[[#This Row],[PRECIO EN SOLES]]-Tabla1[[#This Row],[PC]]</f>
        <v>48.588239999999985</v>
      </c>
      <c r="K651" s="15"/>
      <c r="L651" s="15" t="str">
        <f>IF(
OR(
ISNUMBER(SEARCH("BACKPACK",B653)),
ISNUMBER(SEARCH("MOCHILA",B653)),
ISNUMBER(SEARCH("FUNDA",B653)),
ISNUMBER(SEARCH("ESTUCHE",B653)),
ISNUMBER(SEARCH("BOOK COVER",B653)),
ISNUMBER(SEARCH("KEYBOARD PARA TABLET",B653)),
ISNUMBER(SEARCH("FLIP TABLET",B653)),
ISNUMBER(SEARCH("CASE FOR TABLET",B653)),
ISNUMBER(SEARCH("CABLE",B653)),
ISNUMBER(SEARCH("ADAPTADOR",B653)),
ISNUMBER(SEARCH("HUB",B653)),
ISNUMBER(SEARCH("DOCK",B653)),
ISNUMBER(SEARCH("MOUSE PAD",B653)),
ISNUMBER(SEARCH("MOUSEPAD",B653)),
ISNUMBER(SEARCH("SOPORTE",B653)),
ISNUMBER(SEARCH("STAND",B653)),
ISNUMBER(SEARCH("TRAVEL ADAPTER",B653)),
ISNUMBER(SEARCH("RJ45",B653)),
ISNUMBER(SEARCH("USB-C",B653)),
ISNUMBER(SEARCH("USB WIFI",B653)),
ISNUMBER(SEARCH("POWERBANK",B653)),
ISNUMBER(SEARCH("CARGADOR",B653)),
ISNUMBER(SEARCH("COOLER PARA NB",B653)),
ISNUMBER(SEARCH("SOPORTE PARA NB",B653)),
ISNUMBER(SEARCH("WEBCAM",B653)),
ISNUMBER(SEARCH("WEB CAM",B653)),
ISNUMBER(SEARCH("MOUSE",B653)),
ISNUMBER(SEARCH("TECLADO",B653))
),
"COMPLEMENTO",
IF(
OR(
LEFT(A653,2)="NB",
LEFT(A653,2)="PC",
LEFT(A653,2)="WS",
LEFT(A653,2)="TB",
LEFT(A653,3)="CEL",
LEFT(A653,3)="MON",
LEFT(A653,3)="PRE",
LEFT(A653,3)="PRH",
ISNUMBER(SEARCH("NOTEBOOK",B653)),
ISNUMBER(SEARCH("LAPTOP",B653)),
ISNUMBER(SEARCH("MONITOR",B653)),
ISNUMBER(SEARCH("TABLET",B653)),
ISNUMBER(SEARCH("SMARTPH",B653)),
ISNUMBER(SEARCH("IMPRESORA",B653)),
ISNUMBER(SEARCH("MULTIFUNCIONAL",B653)),
ISNUMBER(SEARCH("AIO",B653))
),
"GANCHO",
"NORMAL"
)
)</f>
        <v>NORMAL</v>
      </c>
    </row>
    <row r="652" spans="1:12" x14ac:dyDescent="0.25">
      <c r="A652" s="3" t="s">
        <v>1404</v>
      </c>
      <c r="B652" s="3" t="s">
        <v>1405</v>
      </c>
      <c r="C652" s="1">
        <v>20</v>
      </c>
      <c r="D652" s="1">
        <v>74</v>
      </c>
      <c r="E652" s="1" t="s">
        <v>196</v>
      </c>
      <c r="F652" s="1" t="s">
        <v>3404</v>
      </c>
      <c r="G652" s="3" t="s">
        <v>1406</v>
      </c>
      <c r="H652" s="11">
        <f>ROUND(
IF(L650="GANCHO",
   IF(I652&lt;=50,I652*1.1+4,IF(I652&lt;=120,I652*1.1+7,IF(I652&lt;=250,I652*1.1+11,I652*1.1+19))),
IF(L650="NORMAL",
   IF(I652&lt;=30,I652*1.15+2,IF(I652&lt;=80,I652*1.15+4,IF(I652&lt;=150,I652*1.15+6,I652*1.15+8))),
IF(L650="COMPLEMENTO",
   IF(I652&lt;=25,I652*1.25+1.5,IF(I652&lt;=60,I652*1.25+3,IF(I652&lt;=120,I652*1.25+4,I652*1.25+5))),
""))),2)</f>
        <v>357.45</v>
      </c>
      <c r="I652" s="9">
        <f>($K$2+0.02)*Tabla1[[#This Row],[PRECIO $]]*1.18</f>
        <v>303.87359999999995</v>
      </c>
      <c r="J652" s="7">
        <f>+Tabla1[[#This Row],[PRECIO EN SOLES]]-Tabla1[[#This Row],[PC]]</f>
        <v>53.576400000000035</v>
      </c>
      <c r="K652" s="15"/>
      <c r="L652" s="15" t="str">
        <f>IF(
OR(
ISNUMBER(SEARCH("BACKPACK",B654)),
ISNUMBER(SEARCH("MOCHILA",B654)),
ISNUMBER(SEARCH("FUNDA",B654)),
ISNUMBER(SEARCH("ESTUCHE",B654)),
ISNUMBER(SEARCH("BOOK COVER",B654)),
ISNUMBER(SEARCH("KEYBOARD PARA TABLET",B654)),
ISNUMBER(SEARCH("FLIP TABLET",B654)),
ISNUMBER(SEARCH("CASE FOR TABLET",B654)),
ISNUMBER(SEARCH("CABLE",B654)),
ISNUMBER(SEARCH("ADAPTADOR",B654)),
ISNUMBER(SEARCH("HUB",B654)),
ISNUMBER(SEARCH("DOCK",B654)),
ISNUMBER(SEARCH("MOUSE PAD",B654)),
ISNUMBER(SEARCH("MOUSEPAD",B654)),
ISNUMBER(SEARCH("SOPORTE",B654)),
ISNUMBER(SEARCH("STAND",B654)),
ISNUMBER(SEARCH("TRAVEL ADAPTER",B654)),
ISNUMBER(SEARCH("RJ45",B654)),
ISNUMBER(SEARCH("USB-C",B654)),
ISNUMBER(SEARCH("USB WIFI",B654)),
ISNUMBER(SEARCH("POWERBANK",B654)),
ISNUMBER(SEARCH("CARGADOR",B654)),
ISNUMBER(SEARCH("COOLER PARA NB",B654)),
ISNUMBER(SEARCH("SOPORTE PARA NB",B654)),
ISNUMBER(SEARCH("WEBCAM",B654)),
ISNUMBER(SEARCH("WEB CAM",B654)),
ISNUMBER(SEARCH("MOUSE",B654)),
ISNUMBER(SEARCH("TECLADO",B654))
),
"COMPLEMENTO",
IF(
OR(
LEFT(A654,2)="NB",
LEFT(A654,2)="PC",
LEFT(A654,2)="WS",
LEFT(A654,2)="TB",
LEFT(A654,3)="CEL",
LEFT(A654,3)="MON",
LEFT(A654,3)="PRE",
LEFT(A654,3)="PRH",
ISNUMBER(SEARCH("NOTEBOOK",B654)),
ISNUMBER(SEARCH("LAPTOP",B654)),
ISNUMBER(SEARCH("MONITOR",B654)),
ISNUMBER(SEARCH("TABLET",B654)),
ISNUMBER(SEARCH("SMARTPH",B654)),
ISNUMBER(SEARCH("IMPRESORA",B654)),
ISNUMBER(SEARCH("MULTIFUNCIONAL",B654)),
ISNUMBER(SEARCH("AIO",B654))
),
"GANCHO",
"NORMAL"
)
)</f>
        <v>NORMAL</v>
      </c>
    </row>
    <row r="653" spans="1:12" x14ac:dyDescent="0.25">
      <c r="A653" s="3" t="s">
        <v>6005</v>
      </c>
      <c r="B653" s="3" t="s">
        <v>6006</v>
      </c>
      <c r="C653" s="1">
        <v>20</v>
      </c>
      <c r="D653" s="1">
        <v>78.400000000000006</v>
      </c>
      <c r="E653" s="1" t="s">
        <v>196</v>
      </c>
      <c r="F653" s="1" t="s">
        <v>6007</v>
      </c>
      <c r="G653" s="3" t="s">
        <v>6008</v>
      </c>
      <c r="H653" s="11">
        <f>ROUND(
IF(L651="GANCHO",
   IF(I653&lt;=50,I653*1.1+4,IF(I653&lt;=120,I653*1.1+7,IF(I653&lt;=250,I653*1.1+11,I653*1.1+19))),
IF(L651="NORMAL",
   IF(I653&lt;=30,I653*1.15+2,IF(I653&lt;=80,I653*1.15+4,IF(I653&lt;=150,I653*1.15+6,I653*1.15+8))),
IF(L651="COMPLEMENTO",
   IF(I653&lt;=25,I653*1.25+1.5,IF(I653&lt;=60,I653*1.25+3,IF(I653&lt;=120,I653*1.25+4,I653*1.25+5))),
""))),2)</f>
        <v>378.23</v>
      </c>
      <c r="I653" s="9">
        <f>($K$2+0.02)*Tabla1[[#This Row],[PRECIO $]]*1.18</f>
        <v>321.94175999999999</v>
      </c>
      <c r="J653" s="7">
        <f>+Tabla1[[#This Row],[PRECIO EN SOLES]]-Tabla1[[#This Row],[PC]]</f>
        <v>56.28824000000003</v>
      </c>
      <c r="K653" s="15"/>
      <c r="L653" s="15" t="str">
        <f>IF(
OR(
ISNUMBER(SEARCH("BACKPACK",B655)),
ISNUMBER(SEARCH("MOCHILA",B655)),
ISNUMBER(SEARCH("FUNDA",B655)),
ISNUMBER(SEARCH("ESTUCHE",B655)),
ISNUMBER(SEARCH("BOOK COVER",B655)),
ISNUMBER(SEARCH("KEYBOARD PARA TABLET",B655)),
ISNUMBER(SEARCH("FLIP TABLET",B655)),
ISNUMBER(SEARCH("CASE FOR TABLET",B655)),
ISNUMBER(SEARCH("CABLE",B655)),
ISNUMBER(SEARCH("ADAPTADOR",B655)),
ISNUMBER(SEARCH("HUB",B655)),
ISNUMBER(SEARCH("DOCK",B655)),
ISNUMBER(SEARCH("MOUSE PAD",B655)),
ISNUMBER(SEARCH("MOUSEPAD",B655)),
ISNUMBER(SEARCH("SOPORTE",B655)),
ISNUMBER(SEARCH("STAND",B655)),
ISNUMBER(SEARCH("TRAVEL ADAPTER",B655)),
ISNUMBER(SEARCH("RJ45",B655)),
ISNUMBER(SEARCH("USB-C",B655)),
ISNUMBER(SEARCH("USB WIFI",B655)),
ISNUMBER(SEARCH("POWERBANK",B655)),
ISNUMBER(SEARCH("CARGADOR",B655)),
ISNUMBER(SEARCH("COOLER PARA NB",B655)),
ISNUMBER(SEARCH("SOPORTE PARA NB",B655)),
ISNUMBER(SEARCH("WEBCAM",B655)),
ISNUMBER(SEARCH("WEB CAM",B655)),
ISNUMBER(SEARCH("MOUSE",B655)),
ISNUMBER(SEARCH("TECLADO",B655))
),
"COMPLEMENTO",
IF(
OR(
LEFT(A655,2)="NB",
LEFT(A655,2)="PC",
LEFT(A655,2)="WS",
LEFT(A655,2)="TB",
LEFT(A655,3)="CEL",
LEFT(A655,3)="MON",
LEFT(A655,3)="PRE",
LEFT(A655,3)="PRH",
ISNUMBER(SEARCH("NOTEBOOK",B655)),
ISNUMBER(SEARCH("LAPTOP",B655)),
ISNUMBER(SEARCH("MONITOR",B655)),
ISNUMBER(SEARCH("TABLET",B655)),
ISNUMBER(SEARCH("SMARTPH",B655)),
ISNUMBER(SEARCH("IMPRESORA",B655)),
ISNUMBER(SEARCH("MULTIFUNCIONAL",B655)),
ISNUMBER(SEARCH("AIO",B655))
),
"GANCHO",
"NORMAL"
)
)</f>
        <v>NORMAL</v>
      </c>
    </row>
    <row r="654" spans="1:12" x14ac:dyDescent="0.25">
      <c r="A654" s="3" t="s">
        <v>4549</v>
      </c>
      <c r="B654" s="3" t="s">
        <v>4550</v>
      </c>
      <c r="C654" s="1">
        <v>20</v>
      </c>
      <c r="D654" s="1">
        <v>65.900000000000006</v>
      </c>
      <c r="E654" s="1" t="s">
        <v>52</v>
      </c>
      <c r="F654" s="1" t="s">
        <v>4551</v>
      </c>
      <c r="G654" s="3" t="s">
        <v>6009</v>
      </c>
      <c r="H654" s="11">
        <f>ROUND(
IF(L652="GANCHO",
   IF(I654&lt;=50,I654*1.1+4,IF(I654&lt;=120,I654*1.1+7,IF(I654&lt;=250,I654*1.1+11,I654*1.1+19))),
IF(L652="NORMAL",
   IF(I654&lt;=30,I654*1.15+2,IF(I654&lt;=80,I654*1.15+4,IF(I654&lt;=150,I654*1.15+6,I654*1.15+8))),
IF(L652="COMPLEMENTO",
   IF(I654&lt;=25,I654*1.25+1.5,IF(I654&lt;=60,I654*1.25+3,IF(I654&lt;=120,I654*1.25+4,I654*1.25+5))),
""))),2)</f>
        <v>319.2</v>
      </c>
      <c r="I654" s="9">
        <f>($K$2+0.02)*Tabla1[[#This Row],[PRECIO $]]*1.18</f>
        <v>270.61176</v>
      </c>
      <c r="J654" s="7">
        <f>+Tabla1[[#This Row],[PRECIO EN SOLES]]-Tabla1[[#This Row],[PC]]</f>
        <v>48.588239999999985</v>
      </c>
      <c r="K654" s="15"/>
      <c r="L654" s="15" t="str">
        <f>IF(
OR(
ISNUMBER(SEARCH("BACKPACK",B656)),
ISNUMBER(SEARCH("MOCHILA",B656)),
ISNUMBER(SEARCH("FUNDA",B656)),
ISNUMBER(SEARCH("ESTUCHE",B656)),
ISNUMBER(SEARCH("BOOK COVER",B656)),
ISNUMBER(SEARCH("KEYBOARD PARA TABLET",B656)),
ISNUMBER(SEARCH("FLIP TABLET",B656)),
ISNUMBER(SEARCH("CASE FOR TABLET",B656)),
ISNUMBER(SEARCH("CABLE",B656)),
ISNUMBER(SEARCH("ADAPTADOR",B656)),
ISNUMBER(SEARCH("HUB",B656)),
ISNUMBER(SEARCH("DOCK",B656)),
ISNUMBER(SEARCH("MOUSE PAD",B656)),
ISNUMBER(SEARCH("MOUSEPAD",B656)),
ISNUMBER(SEARCH("SOPORTE",B656)),
ISNUMBER(SEARCH("STAND",B656)),
ISNUMBER(SEARCH("TRAVEL ADAPTER",B656)),
ISNUMBER(SEARCH("RJ45",B656)),
ISNUMBER(SEARCH("USB-C",B656)),
ISNUMBER(SEARCH("USB WIFI",B656)),
ISNUMBER(SEARCH("POWERBANK",B656)),
ISNUMBER(SEARCH("CARGADOR",B656)),
ISNUMBER(SEARCH("COOLER PARA NB",B656)),
ISNUMBER(SEARCH("SOPORTE PARA NB",B656)),
ISNUMBER(SEARCH("WEBCAM",B656)),
ISNUMBER(SEARCH("WEB CAM",B656)),
ISNUMBER(SEARCH("MOUSE",B656)),
ISNUMBER(SEARCH("TECLADO",B656))
),
"COMPLEMENTO",
IF(
OR(
LEFT(A656,2)="NB",
LEFT(A656,2)="PC",
LEFT(A656,2)="WS",
LEFT(A656,2)="TB",
LEFT(A656,3)="CEL",
LEFT(A656,3)="MON",
LEFT(A656,3)="PRE",
LEFT(A656,3)="PRH",
ISNUMBER(SEARCH("NOTEBOOK",B656)),
ISNUMBER(SEARCH("LAPTOP",B656)),
ISNUMBER(SEARCH("MONITOR",B656)),
ISNUMBER(SEARCH("TABLET",B656)),
ISNUMBER(SEARCH("SMARTPH",B656)),
ISNUMBER(SEARCH("IMPRESORA",B656)),
ISNUMBER(SEARCH("MULTIFUNCIONAL",B656)),
ISNUMBER(SEARCH("AIO",B656))
),
"GANCHO",
"NORMAL"
)
)</f>
        <v>NORMAL</v>
      </c>
    </row>
    <row r="655" spans="1:12" x14ac:dyDescent="0.25">
      <c r="A655" s="3" t="s">
        <v>4833</v>
      </c>
      <c r="B655" s="3" t="s">
        <v>4834</v>
      </c>
      <c r="C655" s="1">
        <v>20</v>
      </c>
      <c r="D655" s="1">
        <v>66.900000000000006</v>
      </c>
      <c r="E655" s="1" t="s">
        <v>467</v>
      </c>
      <c r="F655" s="1" t="s">
        <v>4835</v>
      </c>
      <c r="G655" s="3" t="s">
        <v>4836</v>
      </c>
      <c r="H655" s="11">
        <f>ROUND(
IF(L653="GANCHO",
   IF(I655&lt;=50,I655*1.1+4,IF(I655&lt;=120,I655*1.1+7,IF(I655&lt;=250,I655*1.1+11,I655*1.1+19))),
IF(L653="NORMAL",
   IF(I655&lt;=30,I655*1.15+2,IF(I655&lt;=80,I655*1.15+4,IF(I655&lt;=150,I655*1.15+6,I655*1.15+8))),
IF(L653="COMPLEMENTO",
   IF(I655&lt;=25,I655*1.25+1.5,IF(I655&lt;=60,I655*1.25+3,IF(I655&lt;=120,I655*1.25+4,I655*1.25+5))),
""))),2)</f>
        <v>323.93</v>
      </c>
      <c r="I655" s="9">
        <f>($K$2+0.02)*Tabla1[[#This Row],[PRECIO $]]*1.18</f>
        <v>274.71816000000001</v>
      </c>
      <c r="J655" s="7">
        <f>+Tabla1[[#This Row],[PRECIO EN SOLES]]-Tabla1[[#This Row],[PC]]</f>
        <v>49.211839999999995</v>
      </c>
      <c r="K655" s="15"/>
      <c r="L655" s="15" t="str">
        <f>IF(
OR(
ISNUMBER(SEARCH("BACKPACK",B657)),
ISNUMBER(SEARCH("MOCHILA",B657)),
ISNUMBER(SEARCH("FUNDA",B657)),
ISNUMBER(SEARCH("ESTUCHE",B657)),
ISNUMBER(SEARCH("BOOK COVER",B657)),
ISNUMBER(SEARCH("KEYBOARD PARA TABLET",B657)),
ISNUMBER(SEARCH("FLIP TABLET",B657)),
ISNUMBER(SEARCH("CASE FOR TABLET",B657)),
ISNUMBER(SEARCH("CABLE",B657)),
ISNUMBER(SEARCH("ADAPTADOR",B657)),
ISNUMBER(SEARCH("HUB",B657)),
ISNUMBER(SEARCH("DOCK",B657)),
ISNUMBER(SEARCH("MOUSE PAD",B657)),
ISNUMBER(SEARCH("MOUSEPAD",B657)),
ISNUMBER(SEARCH("SOPORTE",B657)),
ISNUMBER(SEARCH("STAND",B657)),
ISNUMBER(SEARCH("TRAVEL ADAPTER",B657)),
ISNUMBER(SEARCH("RJ45",B657)),
ISNUMBER(SEARCH("USB-C",B657)),
ISNUMBER(SEARCH("USB WIFI",B657)),
ISNUMBER(SEARCH("POWERBANK",B657)),
ISNUMBER(SEARCH("CARGADOR",B657)),
ISNUMBER(SEARCH("COOLER PARA NB",B657)),
ISNUMBER(SEARCH("SOPORTE PARA NB",B657)),
ISNUMBER(SEARCH("WEBCAM",B657)),
ISNUMBER(SEARCH("WEB CAM",B657)),
ISNUMBER(SEARCH("MOUSE",B657)),
ISNUMBER(SEARCH("TECLADO",B657))
),
"COMPLEMENTO",
IF(
OR(
LEFT(A657,2)="NB",
LEFT(A657,2)="PC",
LEFT(A657,2)="WS",
LEFT(A657,2)="TB",
LEFT(A657,3)="CEL",
LEFT(A657,3)="MON",
LEFT(A657,3)="PRE",
LEFT(A657,3)="PRH",
ISNUMBER(SEARCH("NOTEBOOK",B657)),
ISNUMBER(SEARCH("LAPTOP",B657)),
ISNUMBER(SEARCH("MONITOR",B657)),
ISNUMBER(SEARCH("TABLET",B657)),
ISNUMBER(SEARCH("SMARTPH",B657)),
ISNUMBER(SEARCH("IMPRESORA",B657)),
ISNUMBER(SEARCH("MULTIFUNCIONAL",B657)),
ISNUMBER(SEARCH("AIO",B657))
),
"GANCHO",
"NORMAL"
)
)</f>
        <v>NORMAL</v>
      </c>
    </row>
    <row r="656" spans="1:12" x14ac:dyDescent="0.25">
      <c r="A656" s="3" t="s">
        <v>4960</v>
      </c>
      <c r="B656" s="3" t="s">
        <v>4961</v>
      </c>
      <c r="C656" s="1">
        <v>20</v>
      </c>
      <c r="D656" s="1">
        <v>67.900000000000006</v>
      </c>
      <c r="E656" s="1" t="s">
        <v>4958</v>
      </c>
      <c r="F656" s="1" t="s">
        <v>4962</v>
      </c>
      <c r="G656" s="3" t="s">
        <v>5155</v>
      </c>
      <c r="H656" s="11">
        <f>ROUND(
IF(L654="GANCHO",
   IF(I656&lt;=50,I656*1.1+4,IF(I656&lt;=120,I656*1.1+7,IF(I656&lt;=250,I656*1.1+11,I656*1.1+19))),
IF(L654="NORMAL",
   IF(I656&lt;=30,I656*1.15+2,IF(I656&lt;=80,I656*1.15+4,IF(I656&lt;=150,I656*1.15+6,I656*1.15+8))),
IF(L654="COMPLEMENTO",
   IF(I656&lt;=25,I656*1.25+1.5,IF(I656&lt;=60,I656*1.25+3,IF(I656&lt;=120,I656*1.25+4,I656*1.25+5))),
""))),2)</f>
        <v>328.65</v>
      </c>
      <c r="I656" s="9">
        <f>($K$2+0.02)*Tabla1[[#This Row],[PRECIO $]]*1.18</f>
        <v>278.82456000000002</v>
      </c>
      <c r="J656" s="7">
        <f>+Tabla1[[#This Row],[PRECIO EN SOLES]]-Tabla1[[#This Row],[PC]]</f>
        <v>49.825439999999958</v>
      </c>
      <c r="K656" s="15"/>
      <c r="L656" s="15" t="str">
        <f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7" spans="1:12" x14ac:dyDescent="0.25">
      <c r="A657" s="3" t="s">
        <v>607</v>
      </c>
      <c r="B657" s="3" t="s">
        <v>608</v>
      </c>
      <c r="C657" s="1">
        <v>20</v>
      </c>
      <c r="D657" s="1">
        <v>124.7</v>
      </c>
      <c r="E657" s="1" t="s">
        <v>467</v>
      </c>
      <c r="F657" s="1" t="s">
        <v>3405</v>
      </c>
      <c r="G657" s="3" t="s">
        <v>609</v>
      </c>
      <c r="H657" s="11">
        <f>ROUND(
IF(L655="GANCHO",
   IF(I657&lt;=50,I657*1.1+4,IF(I657&lt;=120,I657*1.1+7,IF(I657&lt;=250,I657*1.1+11,I657*1.1+19))),
IF(L655="NORMAL",
   IF(I657&lt;=30,I657*1.15+2,IF(I657&lt;=80,I657*1.15+4,IF(I657&lt;=150,I657*1.15+6,I657*1.15+8))),
IF(L655="COMPLEMENTO",
   IF(I657&lt;=25,I657*1.25+1.5,IF(I657&lt;=60,I657*1.25+3,IF(I657&lt;=120,I657*1.25+4,I657*1.25+5))),
""))),2)</f>
        <v>596.88</v>
      </c>
      <c r="I657" s="9">
        <f>($K$2+0.02)*Tabla1[[#This Row],[PRECIO $]]*1.18</f>
        <v>512.06808000000001</v>
      </c>
      <c r="J657" s="7">
        <f>+Tabla1[[#This Row],[PRECIO EN SOLES]]-Tabla1[[#This Row],[PC]]</f>
        <v>84.811919999999986</v>
      </c>
      <c r="K657" s="15"/>
      <c r="L657" s="15" t="str">
        <f>IF(
OR(
ISNUMBER(SEARCH("BACKPACK",B659)),
ISNUMBER(SEARCH("MOCHILA",B659)),
ISNUMBER(SEARCH("FUNDA",B659)),
ISNUMBER(SEARCH("ESTUCHE",B659)),
ISNUMBER(SEARCH("BOOK COVER",B659)),
ISNUMBER(SEARCH("KEYBOARD PARA TABLET",B659)),
ISNUMBER(SEARCH("FLIP TABLET",B659)),
ISNUMBER(SEARCH("CASE FOR TABLET",B659)),
ISNUMBER(SEARCH("CABLE",B659)),
ISNUMBER(SEARCH("ADAPTADOR",B659)),
ISNUMBER(SEARCH("HUB",B659)),
ISNUMBER(SEARCH("DOCK",B659)),
ISNUMBER(SEARCH("MOUSE PAD",B659)),
ISNUMBER(SEARCH("MOUSEPAD",B659)),
ISNUMBER(SEARCH("SOPORTE",B659)),
ISNUMBER(SEARCH("STAND",B659)),
ISNUMBER(SEARCH("TRAVEL ADAPTER",B659)),
ISNUMBER(SEARCH("RJ45",B659)),
ISNUMBER(SEARCH("USB-C",B659)),
ISNUMBER(SEARCH("USB WIFI",B659)),
ISNUMBER(SEARCH("POWERBANK",B659)),
ISNUMBER(SEARCH("CARGADOR",B659)),
ISNUMBER(SEARCH("COOLER PARA NB",B659)),
ISNUMBER(SEARCH("SOPORTE PARA NB",B659)),
ISNUMBER(SEARCH("WEBCAM",B659)),
ISNUMBER(SEARCH("WEB CAM",B659)),
ISNUMBER(SEARCH("MOUSE",B659)),
ISNUMBER(SEARCH("TECLADO",B659))
),
"COMPLEMENTO",
IF(
OR(
LEFT(A659,2)="NB",
LEFT(A659,2)="PC",
LEFT(A659,2)="WS",
LEFT(A659,2)="TB",
LEFT(A659,3)="CEL",
LEFT(A659,3)="MON",
LEFT(A659,3)="PRE",
LEFT(A659,3)="PRH",
ISNUMBER(SEARCH("NOTEBOOK",B659)),
ISNUMBER(SEARCH("LAPTOP",B659)),
ISNUMBER(SEARCH("MONITOR",B659)),
ISNUMBER(SEARCH("TABLET",B659)),
ISNUMBER(SEARCH("SMARTPH",B659)),
ISNUMBER(SEARCH("IMPRESORA",B659)),
ISNUMBER(SEARCH("MULTIFUNCIONAL",B659)),
ISNUMBER(SEARCH("AIO",B659))
),
"GANCHO",
"NORMAL"
)
)</f>
        <v>NORMAL</v>
      </c>
    </row>
    <row r="658" spans="1:12" x14ac:dyDescent="0.25">
      <c r="A658" s="3" t="s">
        <v>1407</v>
      </c>
      <c r="B658" s="3" t="s">
        <v>608</v>
      </c>
      <c r="C658" s="1">
        <v>20</v>
      </c>
      <c r="D658" s="1">
        <v>124.7</v>
      </c>
      <c r="E658" s="1" t="s">
        <v>467</v>
      </c>
      <c r="F658" s="1" t="s">
        <v>3406</v>
      </c>
      <c r="G658" s="3" t="s">
        <v>1408</v>
      </c>
      <c r="H658" s="11">
        <f>ROUND(
IF(L656="GANCHO",
   IF(I658&lt;=50,I658*1.1+4,IF(I658&lt;=120,I658*1.1+7,IF(I658&lt;=250,I658*1.1+11,I658*1.1+19))),
IF(L656="NORMAL",
   IF(I658&lt;=30,I658*1.15+2,IF(I658&lt;=80,I658*1.15+4,IF(I658&lt;=150,I658*1.15+6,I658*1.15+8))),
IF(L656="COMPLEMENTO",
   IF(I658&lt;=25,I658*1.25+1.5,IF(I658&lt;=60,I658*1.25+3,IF(I658&lt;=120,I658*1.25+4,I658*1.25+5))),
""))),2)</f>
        <v>596.88</v>
      </c>
      <c r="I658" s="9">
        <f>($K$2+0.02)*Tabla1[[#This Row],[PRECIO $]]*1.18</f>
        <v>512.06808000000001</v>
      </c>
      <c r="J658" s="7">
        <f>+Tabla1[[#This Row],[PRECIO EN SOLES]]-Tabla1[[#This Row],[PC]]</f>
        <v>84.811919999999986</v>
      </c>
      <c r="K658" s="15"/>
      <c r="L658" s="15" t="str">
        <f>IF(
OR(
ISNUMBER(SEARCH("BACKPACK",B660)),
ISNUMBER(SEARCH("MOCHILA",B660)),
ISNUMBER(SEARCH("FUNDA",B660)),
ISNUMBER(SEARCH("ESTUCHE",B660)),
ISNUMBER(SEARCH("BOOK COVER",B660)),
ISNUMBER(SEARCH("KEYBOARD PARA TABLET",B660)),
ISNUMBER(SEARCH("FLIP TABLET",B660)),
ISNUMBER(SEARCH("CASE FOR TABLET",B660)),
ISNUMBER(SEARCH("CABLE",B660)),
ISNUMBER(SEARCH("ADAPTADOR",B660)),
ISNUMBER(SEARCH("HUB",B660)),
ISNUMBER(SEARCH("DOCK",B660)),
ISNUMBER(SEARCH("MOUSE PAD",B660)),
ISNUMBER(SEARCH("MOUSEPAD",B660)),
ISNUMBER(SEARCH("SOPORTE",B660)),
ISNUMBER(SEARCH("STAND",B660)),
ISNUMBER(SEARCH("TRAVEL ADAPTER",B660)),
ISNUMBER(SEARCH("RJ45",B660)),
ISNUMBER(SEARCH("USB-C",B660)),
ISNUMBER(SEARCH("USB WIFI",B660)),
ISNUMBER(SEARCH("POWERBANK",B660)),
ISNUMBER(SEARCH("CARGADOR",B660)),
ISNUMBER(SEARCH("COOLER PARA NB",B660)),
ISNUMBER(SEARCH("SOPORTE PARA NB",B660)),
ISNUMBER(SEARCH("WEBCAM",B660)),
ISNUMBER(SEARCH("WEB CAM",B660)),
ISNUMBER(SEARCH("MOUSE",B660)),
ISNUMBER(SEARCH("TECLADO",B660))
),
"COMPLEMENTO",
IF(
OR(
LEFT(A660,2)="NB",
LEFT(A660,2)="PC",
LEFT(A660,2)="WS",
LEFT(A660,2)="TB",
LEFT(A660,3)="CEL",
LEFT(A660,3)="MON",
LEFT(A660,3)="PRE",
LEFT(A660,3)="PRH",
ISNUMBER(SEARCH("NOTEBOOK",B660)),
ISNUMBER(SEARCH("LAPTOP",B660)),
ISNUMBER(SEARCH("MONITOR",B660)),
ISNUMBER(SEARCH("TABLET",B660)),
ISNUMBER(SEARCH("SMARTPH",B660)),
ISNUMBER(SEARCH("IMPRESORA",B660)),
ISNUMBER(SEARCH("MULTIFUNCIONAL",B660)),
ISNUMBER(SEARCH("AIO",B660))
),
"GANCHO",
"NORMAL"
)
)</f>
        <v>NORMAL</v>
      </c>
    </row>
    <row r="659" spans="1:12" x14ac:dyDescent="0.25">
      <c r="A659" s="3" t="s">
        <v>2814</v>
      </c>
      <c r="B659" s="3" t="s">
        <v>2815</v>
      </c>
      <c r="C659" s="1">
        <v>20</v>
      </c>
      <c r="D659" s="1">
        <v>184.24</v>
      </c>
      <c r="E659" s="1" t="s">
        <v>196</v>
      </c>
      <c r="F659" s="1" t="s">
        <v>3407</v>
      </c>
      <c r="G659" s="3" t="s">
        <v>2816</v>
      </c>
      <c r="H659" s="11">
        <f>ROUND(
IF(L657="GANCHO",
   IF(I659&lt;=50,I659*1.1+4,IF(I659&lt;=120,I659*1.1+7,IF(I659&lt;=250,I659*1.1+11,I659*1.1+19))),
IF(L657="NORMAL",
   IF(I659&lt;=30,I659*1.15+2,IF(I659&lt;=80,I659*1.15+4,IF(I659&lt;=150,I659*1.15+6,I659*1.15+8))),
IF(L657="COMPLEMENTO",
   IF(I659&lt;=25,I659*1.25+1.5,IF(I659&lt;=60,I659*1.25+3,IF(I659&lt;=120,I659*1.25+4,I659*1.25+5))),
""))),2)</f>
        <v>878.05</v>
      </c>
      <c r="I659" s="9">
        <f>($K$2+0.02)*Tabla1[[#This Row],[PRECIO $]]*1.18</f>
        <v>756.56313599999999</v>
      </c>
      <c r="J659" s="7">
        <f>+Tabla1[[#This Row],[PRECIO EN SOLES]]-Tabla1[[#This Row],[PC]]</f>
        <v>121.48686399999997</v>
      </c>
      <c r="K659" s="15"/>
      <c r="L659" s="15" t="str">
        <f>IF(
OR(
ISNUMBER(SEARCH("BACKPACK",B661)),
ISNUMBER(SEARCH("MOCHILA",B661)),
ISNUMBER(SEARCH("FUNDA",B661)),
ISNUMBER(SEARCH("ESTUCHE",B661)),
ISNUMBER(SEARCH("BOOK COVER",B661)),
ISNUMBER(SEARCH("KEYBOARD PARA TABLET",B661)),
ISNUMBER(SEARCH("FLIP TABLET",B661)),
ISNUMBER(SEARCH("CASE FOR TABLET",B661)),
ISNUMBER(SEARCH("CABLE",B661)),
ISNUMBER(SEARCH("ADAPTADOR",B661)),
ISNUMBER(SEARCH("HUB",B661)),
ISNUMBER(SEARCH("DOCK",B661)),
ISNUMBER(SEARCH("MOUSE PAD",B661)),
ISNUMBER(SEARCH("MOUSEPAD",B661)),
ISNUMBER(SEARCH("SOPORTE",B661)),
ISNUMBER(SEARCH("STAND",B661)),
ISNUMBER(SEARCH("TRAVEL ADAPTER",B661)),
ISNUMBER(SEARCH("RJ45",B661)),
ISNUMBER(SEARCH("USB-C",B661)),
ISNUMBER(SEARCH("USB WIFI",B661)),
ISNUMBER(SEARCH("POWERBANK",B661)),
ISNUMBER(SEARCH("CARGADOR",B661)),
ISNUMBER(SEARCH("COOLER PARA NB",B661)),
ISNUMBER(SEARCH("SOPORTE PARA NB",B661)),
ISNUMBER(SEARCH("WEBCAM",B661)),
ISNUMBER(SEARCH("WEB CAM",B661)),
ISNUMBER(SEARCH("MOUSE",B661)),
ISNUMBER(SEARCH("TECLADO",B661))
),
"COMPLEMENTO",
IF(
OR(
LEFT(A661,2)="NB",
LEFT(A661,2)="PC",
LEFT(A661,2)="WS",
LEFT(A661,2)="TB",
LEFT(A661,3)="CEL",
LEFT(A661,3)="MON",
LEFT(A661,3)="PRE",
LEFT(A661,3)="PRH",
ISNUMBER(SEARCH("NOTEBOOK",B661)),
ISNUMBER(SEARCH("LAPTOP",B661)),
ISNUMBER(SEARCH("MONITOR",B661)),
ISNUMBER(SEARCH("TABLET",B661)),
ISNUMBER(SEARCH("SMARTPH",B661)),
ISNUMBER(SEARCH("IMPRESORA",B661)),
ISNUMBER(SEARCH("MULTIFUNCIONAL",B661)),
ISNUMBER(SEARCH("AIO",B661))
),
"GANCHO",
"NORMAL"
)
)</f>
        <v>NORMAL</v>
      </c>
    </row>
    <row r="660" spans="1:12" x14ac:dyDescent="0.25">
      <c r="A660" s="3" t="s">
        <v>4793</v>
      </c>
      <c r="B660" s="3" t="s">
        <v>4794</v>
      </c>
      <c r="C660" s="1">
        <v>20</v>
      </c>
      <c r="D660" s="1">
        <v>84.45</v>
      </c>
      <c r="E660" s="1" t="s">
        <v>196</v>
      </c>
      <c r="F660" s="1" t="s">
        <v>4795</v>
      </c>
      <c r="G660" s="3" t="s">
        <v>4796</v>
      </c>
      <c r="H660" s="11">
        <f>ROUND(
IF(L658="GANCHO",
   IF(I660&lt;=50,I660*1.1+4,IF(I660&lt;=120,I660*1.1+7,IF(I660&lt;=250,I660*1.1+11,I660*1.1+19))),
IF(L658="NORMAL",
   IF(I660&lt;=30,I660*1.15+2,IF(I660&lt;=80,I660*1.15+4,IF(I660&lt;=150,I660*1.15+6,I660*1.15+8))),
IF(L658="COMPLEMENTO",
   IF(I660&lt;=25,I660*1.25+1.5,IF(I660&lt;=60,I660*1.25+3,IF(I660&lt;=120,I660*1.25+4,I660*1.25+5))),
""))),2)</f>
        <v>406.8</v>
      </c>
      <c r="I660" s="9">
        <f>($K$2+0.02)*Tabla1[[#This Row],[PRECIO $]]*1.18</f>
        <v>346.78548000000001</v>
      </c>
      <c r="J660" s="7">
        <f>+Tabla1[[#This Row],[PRECIO EN SOLES]]-Tabla1[[#This Row],[PC]]</f>
        <v>60.014520000000005</v>
      </c>
      <c r="K660" s="15"/>
      <c r="L660" s="15" t="str">
        <f>IF(
OR(
ISNUMBER(SEARCH("BACKPACK",B662)),
ISNUMBER(SEARCH("MOCHILA",B662)),
ISNUMBER(SEARCH("FUNDA",B662)),
ISNUMBER(SEARCH("ESTUCHE",B662)),
ISNUMBER(SEARCH("BOOK COVER",B662)),
ISNUMBER(SEARCH("KEYBOARD PARA TABLET",B662)),
ISNUMBER(SEARCH("FLIP TABLET",B662)),
ISNUMBER(SEARCH("CASE FOR TABLET",B662)),
ISNUMBER(SEARCH("CABLE",B662)),
ISNUMBER(SEARCH("ADAPTADOR",B662)),
ISNUMBER(SEARCH("HUB",B662)),
ISNUMBER(SEARCH("DOCK",B662)),
ISNUMBER(SEARCH("MOUSE PAD",B662)),
ISNUMBER(SEARCH("MOUSEPAD",B662)),
ISNUMBER(SEARCH("SOPORTE",B662)),
ISNUMBER(SEARCH("STAND",B662)),
ISNUMBER(SEARCH("TRAVEL ADAPTER",B662)),
ISNUMBER(SEARCH("RJ45",B662)),
ISNUMBER(SEARCH("USB-C",B662)),
ISNUMBER(SEARCH("USB WIFI",B662)),
ISNUMBER(SEARCH("POWERBANK",B662)),
ISNUMBER(SEARCH("CARGADOR",B662)),
ISNUMBER(SEARCH("COOLER PARA NB",B662)),
ISNUMBER(SEARCH("SOPORTE PARA NB",B662)),
ISNUMBER(SEARCH("WEBCAM",B662)),
ISNUMBER(SEARCH("WEB CAM",B662)),
ISNUMBER(SEARCH("MOUSE",B662)),
ISNUMBER(SEARCH("TECLADO",B662))
),
"COMPLEMENTO",
IF(
OR(
LEFT(A662,2)="NB",
LEFT(A662,2)="PC",
LEFT(A662,2)="WS",
LEFT(A662,2)="TB",
LEFT(A662,3)="CEL",
LEFT(A662,3)="MON",
LEFT(A662,3)="PRE",
LEFT(A662,3)="PRH",
ISNUMBER(SEARCH("NOTEBOOK",B662)),
ISNUMBER(SEARCH("LAPTOP",B662)),
ISNUMBER(SEARCH("MONITOR",B662)),
ISNUMBER(SEARCH("TABLET",B662)),
ISNUMBER(SEARCH("SMARTPH",B662)),
ISNUMBER(SEARCH("IMPRESORA",B662)),
ISNUMBER(SEARCH("MULTIFUNCIONAL",B662)),
ISNUMBER(SEARCH("AIO",B662))
),
"GANCHO",
"NORMAL"
)
)</f>
        <v>NORMAL</v>
      </c>
    </row>
    <row r="661" spans="1:12" x14ac:dyDescent="0.25">
      <c r="A661" s="3" t="s">
        <v>5670</v>
      </c>
      <c r="B661" s="3" t="s">
        <v>5671</v>
      </c>
      <c r="C661" s="1">
        <v>20</v>
      </c>
      <c r="D661" s="1">
        <v>180</v>
      </c>
      <c r="E661" s="1" t="s">
        <v>199</v>
      </c>
      <c r="F661" s="1" t="s">
        <v>5672</v>
      </c>
      <c r="G661" s="3" t="s">
        <v>5673</v>
      </c>
      <c r="H661" s="11">
        <f>ROUND(
IF(L659="GANCHO",
   IF(I661&lt;=50,I661*1.1+4,IF(I661&lt;=120,I661*1.1+7,IF(I661&lt;=250,I661*1.1+11,I661*1.1+19))),
IF(L659="NORMAL",
   IF(I661&lt;=30,I661*1.15+2,IF(I661&lt;=80,I661*1.15+4,IF(I661&lt;=150,I661*1.15+6,I661*1.15+8))),
IF(L659="COMPLEMENTO",
   IF(I661&lt;=25,I661*1.25+1.5,IF(I661&lt;=60,I661*1.25+3,IF(I661&lt;=120,I661*1.25+4,I661*1.25+5))),
""))),2)</f>
        <v>858.02</v>
      </c>
      <c r="I661" s="9">
        <f>($K$2+0.02)*Tabla1[[#This Row],[PRECIO $]]*1.18</f>
        <v>739.15199999999993</v>
      </c>
      <c r="J661" s="7">
        <f>+Tabla1[[#This Row],[PRECIO EN SOLES]]-Tabla1[[#This Row],[PC]]</f>
        <v>118.86800000000005</v>
      </c>
      <c r="K661" s="15"/>
      <c r="L661" s="15" t="str">
        <f>IF(
OR(
ISNUMBER(SEARCH("BACKPACK",B663)),
ISNUMBER(SEARCH("MOCHILA",B663)),
ISNUMBER(SEARCH("FUNDA",B663)),
ISNUMBER(SEARCH("ESTUCHE",B663)),
ISNUMBER(SEARCH("BOOK COVER",B663)),
ISNUMBER(SEARCH("KEYBOARD PARA TABLET",B663)),
ISNUMBER(SEARCH("FLIP TABLET",B663)),
ISNUMBER(SEARCH("CASE FOR TABLET",B663)),
ISNUMBER(SEARCH("CABLE",B663)),
ISNUMBER(SEARCH("ADAPTADOR",B663)),
ISNUMBER(SEARCH("HUB",B663)),
ISNUMBER(SEARCH("DOCK",B663)),
ISNUMBER(SEARCH("MOUSE PAD",B663)),
ISNUMBER(SEARCH("MOUSEPAD",B663)),
ISNUMBER(SEARCH("SOPORTE",B663)),
ISNUMBER(SEARCH("STAND",B663)),
ISNUMBER(SEARCH("TRAVEL ADAPTER",B663)),
ISNUMBER(SEARCH("RJ45",B663)),
ISNUMBER(SEARCH("USB-C",B663)),
ISNUMBER(SEARCH("USB WIFI",B663)),
ISNUMBER(SEARCH("POWERBANK",B663)),
ISNUMBER(SEARCH("CARGADOR",B663)),
ISNUMBER(SEARCH("COOLER PARA NB",B663)),
ISNUMBER(SEARCH("SOPORTE PARA NB",B663)),
ISNUMBER(SEARCH("WEBCAM",B663)),
ISNUMBER(SEARCH("WEB CAM",B663)),
ISNUMBER(SEARCH("MOUSE",B663)),
ISNUMBER(SEARCH("TECLADO",B663))
),
"COMPLEMENTO",
IF(
OR(
LEFT(A663,2)="NB",
LEFT(A663,2)="PC",
LEFT(A663,2)="WS",
LEFT(A663,2)="TB",
LEFT(A663,3)="CEL",
LEFT(A663,3)="MON",
LEFT(A663,3)="PRE",
LEFT(A663,3)="PRH",
ISNUMBER(SEARCH("NOTEBOOK",B663)),
ISNUMBER(SEARCH("LAPTOP",B663)),
ISNUMBER(SEARCH("MONITOR",B663)),
ISNUMBER(SEARCH("TABLET",B663)),
ISNUMBER(SEARCH("SMARTPH",B663)),
ISNUMBER(SEARCH("IMPRESORA",B663)),
ISNUMBER(SEARCH("MULTIFUNCIONAL",B663)),
ISNUMBER(SEARCH("AIO",B663))
),
"GANCHO",
"NORMAL"
)
)</f>
        <v>NORMAL</v>
      </c>
    </row>
    <row r="662" spans="1:12" x14ac:dyDescent="0.25">
      <c r="A662" s="3" t="s">
        <v>2817</v>
      </c>
      <c r="B662" s="3" t="s">
        <v>2818</v>
      </c>
      <c r="C662" s="1">
        <v>18</v>
      </c>
      <c r="D662" s="1">
        <v>207</v>
      </c>
      <c r="E662" s="1" t="s">
        <v>196</v>
      </c>
      <c r="F662" s="1" t="s">
        <v>3408</v>
      </c>
      <c r="G662" s="3" t="s">
        <v>2819</v>
      </c>
      <c r="H662" s="11">
        <f>ROUND(
IF(L660="GANCHO",
   IF(I662&lt;=50,I662*1.1+4,IF(I662&lt;=120,I662*1.1+7,IF(I662&lt;=250,I662*1.1+11,I662*1.1+19))),
IF(L660="NORMAL",
   IF(I662&lt;=30,I662*1.15+2,IF(I662&lt;=80,I662*1.15+4,IF(I662&lt;=150,I662*1.15+6,I662*1.15+8))),
IF(L660="COMPLEMENTO",
   IF(I662&lt;=25,I662*1.25+1.5,IF(I662&lt;=60,I662*1.25+3,IF(I662&lt;=120,I662*1.25+4,I662*1.25+5))),
""))),2)</f>
        <v>985.53</v>
      </c>
      <c r="I662" s="9">
        <f>($K$2+0.02)*Tabla1[[#This Row],[PRECIO $]]*1.18</f>
        <v>850.02480000000003</v>
      </c>
      <c r="J662" s="7">
        <f>+Tabla1[[#This Row],[PRECIO EN SOLES]]-Tabla1[[#This Row],[PC]]</f>
        <v>135.50519999999995</v>
      </c>
      <c r="K662" s="15"/>
      <c r="L662" s="15" t="str">
        <f>IF(
OR(
ISNUMBER(SEARCH("BACKPACK",B664)),
ISNUMBER(SEARCH("MOCHILA",B664)),
ISNUMBER(SEARCH("FUNDA",B664)),
ISNUMBER(SEARCH("ESTUCHE",B664)),
ISNUMBER(SEARCH("BOOK COVER",B664)),
ISNUMBER(SEARCH("KEYBOARD PARA TABLET",B664)),
ISNUMBER(SEARCH("FLIP TABLET",B664)),
ISNUMBER(SEARCH("CASE FOR TABLET",B664)),
ISNUMBER(SEARCH("CABLE",B664)),
ISNUMBER(SEARCH("ADAPTADOR",B664)),
ISNUMBER(SEARCH("HUB",B664)),
ISNUMBER(SEARCH("DOCK",B664)),
ISNUMBER(SEARCH("MOUSE PAD",B664)),
ISNUMBER(SEARCH("MOUSEPAD",B664)),
ISNUMBER(SEARCH("SOPORTE",B664)),
ISNUMBER(SEARCH("STAND",B664)),
ISNUMBER(SEARCH("TRAVEL ADAPTER",B664)),
ISNUMBER(SEARCH("RJ45",B664)),
ISNUMBER(SEARCH("USB-C",B664)),
ISNUMBER(SEARCH("USB WIFI",B664)),
ISNUMBER(SEARCH("POWERBANK",B664)),
ISNUMBER(SEARCH("CARGADOR",B664)),
ISNUMBER(SEARCH("COOLER PARA NB",B664)),
ISNUMBER(SEARCH("SOPORTE PARA NB",B664)),
ISNUMBER(SEARCH("WEBCAM",B664)),
ISNUMBER(SEARCH("WEB CAM",B664)),
ISNUMBER(SEARCH("MOUSE",B664)),
ISNUMBER(SEARCH("TECLADO",B664))
),
"COMPLEMENTO",
IF(
OR(
LEFT(A664,2)="NB",
LEFT(A664,2)="PC",
LEFT(A664,2)="WS",
LEFT(A664,2)="TB",
LEFT(A664,3)="CEL",
LEFT(A664,3)="MON",
LEFT(A664,3)="PRE",
LEFT(A664,3)="PRH",
ISNUMBER(SEARCH("NOTEBOOK",B664)),
ISNUMBER(SEARCH("LAPTOP",B664)),
ISNUMBER(SEARCH("MONITOR",B664)),
ISNUMBER(SEARCH("TABLET",B664)),
ISNUMBER(SEARCH("SMARTPH",B664)),
ISNUMBER(SEARCH("IMPRESORA",B664)),
ISNUMBER(SEARCH("MULTIFUNCIONAL",B664)),
ISNUMBER(SEARCH("AIO",B664))
),
"GANCHO",
"NORMAL"
)
)</f>
        <v>NORMAL</v>
      </c>
    </row>
    <row r="663" spans="1:12" x14ac:dyDescent="0.25">
      <c r="A663" s="3" t="s">
        <v>1409</v>
      </c>
      <c r="B663" s="3" t="s">
        <v>1410</v>
      </c>
      <c r="C663" s="1">
        <v>14</v>
      </c>
      <c r="D663" s="1">
        <v>208</v>
      </c>
      <c r="E663" s="1" t="s">
        <v>196</v>
      </c>
      <c r="F663" s="1" t="s">
        <v>3409</v>
      </c>
      <c r="G663" s="3" t="s">
        <v>1411</v>
      </c>
      <c r="H663" s="11">
        <f>ROUND(
IF(L661="GANCHO",
   IF(I663&lt;=50,I663*1.1+4,IF(I663&lt;=120,I663*1.1+7,IF(I663&lt;=250,I663*1.1+11,I663*1.1+19))),
IF(L661="NORMAL",
   IF(I663&lt;=30,I663*1.15+2,IF(I663&lt;=80,I663*1.15+4,IF(I663&lt;=150,I663*1.15+6,I663*1.15+8))),
IF(L661="COMPLEMENTO",
   IF(I663&lt;=25,I663*1.25+1.5,IF(I663&lt;=60,I663*1.25+3,IF(I663&lt;=120,I663*1.25+4,I663*1.25+5))),
""))),2)</f>
        <v>990.25</v>
      </c>
      <c r="I663" s="9">
        <f>($K$2+0.02)*Tabla1[[#This Row],[PRECIO $]]*1.18</f>
        <v>854.13120000000004</v>
      </c>
      <c r="J663" s="7">
        <f>+Tabla1[[#This Row],[PRECIO EN SOLES]]-Tabla1[[#This Row],[PC]]</f>
        <v>136.11879999999996</v>
      </c>
      <c r="K663" s="15"/>
      <c r="L663" s="15" t="str">
        <f>IF(
OR(
ISNUMBER(SEARCH("BACKPACK",B665)),
ISNUMBER(SEARCH("MOCHILA",B665)),
ISNUMBER(SEARCH("FUNDA",B665)),
ISNUMBER(SEARCH("ESTUCHE",B665)),
ISNUMBER(SEARCH("BOOK COVER",B665)),
ISNUMBER(SEARCH("KEYBOARD PARA TABLET",B665)),
ISNUMBER(SEARCH("FLIP TABLET",B665)),
ISNUMBER(SEARCH("CASE FOR TABLET",B665)),
ISNUMBER(SEARCH("CABLE",B665)),
ISNUMBER(SEARCH("ADAPTADOR",B665)),
ISNUMBER(SEARCH("HUB",B665)),
ISNUMBER(SEARCH("DOCK",B665)),
ISNUMBER(SEARCH("MOUSE PAD",B665)),
ISNUMBER(SEARCH("MOUSEPAD",B665)),
ISNUMBER(SEARCH("SOPORTE",B665)),
ISNUMBER(SEARCH("STAND",B665)),
ISNUMBER(SEARCH("TRAVEL ADAPTER",B665)),
ISNUMBER(SEARCH("RJ45",B665)),
ISNUMBER(SEARCH("USB-C",B665)),
ISNUMBER(SEARCH("USB WIFI",B665)),
ISNUMBER(SEARCH("POWERBANK",B665)),
ISNUMBER(SEARCH("CARGADOR",B665)),
ISNUMBER(SEARCH("COOLER PARA NB",B665)),
ISNUMBER(SEARCH("SOPORTE PARA NB",B665)),
ISNUMBER(SEARCH("WEBCAM",B665)),
ISNUMBER(SEARCH("WEB CAM",B665)),
ISNUMBER(SEARCH("MOUSE",B665)),
ISNUMBER(SEARCH("TECLADO",B665))
),
"COMPLEMENTO",
IF(
OR(
LEFT(A665,2)="NB",
LEFT(A665,2)="PC",
LEFT(A665,2)="WS",
LEFT(A665,2)="TB",
LEFT(A665,3)="CEL",
LEFT(A665,3)="MON",
LEFT(A665,3)="PRE",
LEFT(A665,3)="PRH",
ISNUMBER(SEARCH("NOTEBOOK",B665)),
ISNUMBER(SEARCH("LAPTOP",B665)),
ISNUMBER(SEARCH("MONITOR",B665)),
ISNUMBER(SEARCH("TABLET",B665)),
ISNUMBER(SEARCH("SMARTPH",B665)),
ISNUMBER(SEARCH("IMPRESORA",B665)),
ISNUMBER(SEARCH("MULTIFUNCIONAL",B665)),
ISNUMBER(SEARCH("AIO",B665))
),
"GANCHO",
"NORMAL"
)
)</f>
        <v>NORMAL</v>
      </c>
    </row>
    <row r="664" spans="1:12" x14ac:dyDescent="0.25">
      <c r="A664" s="3" t="s">
        <v>1412</v>
      </c>
      <c r="B664" s="3" t="s">
        <v>1413</v>
      </c>
      <c r="C664" s="1">
        <v>0</v>
      </c>
      <c r="D664" s="1">
        <v>215</v>
      </c>
      <c r="E664" s="1" t="s">
        <v>196</v>
      </c>
      <c r="F664" s="1" t="s">
        <v>3410</v>
      </c>
      <c r="G664" s="3" t="s">
        <v>1414</v>
      </c>
      <c r="H664" s="11">
        <f>ROUND(
IF(L662="GANCHO",
   IF(I664&lt;=50,I664*1.1+4,IF(I664&lt;=120,I664*1.1+7,IF(I664&lt;=250,I664*1.1+11,I664*1.1+19))),
IF(L662="NORMAL",
   IF(I664&lt;=30,I664*1.15+2,IF(I664&lt;=80,I664*1.15+4,IF(I664&lt;=150,I664*1.15+6,I664*1.15+8))),
IF(L662="COMPLEMENTO",
   IF(I664&lt;=25,I664*1.25+1.5,IF(I664&lt;=60,I664*1.25+3,IF(I664&lt;=120,I664*1.25+4,I664*1.25+5))),
""))),2)</f>
        <v>1023.31</v>
      </c>
      <c r="I664" s="9">
        <f>($K$2+0.02)*Tabla1[[#This Row],[PRECIO $]]*1.18</f>
        <v>882.87599999999998</v>
      </c>
      <c r="J664" s="7">
        <f>+Tabla1[[#This Row],[PRECIO EN SOLES]]-Tabla1[[#This Row],[PC]]</f>
        <v>140.43399999999997</v>
      </c>
      <c r="K664" s="15"/>
      <c r="L664" s="15" t="str">
        <f>IF(
OR(
ISNUMBER(SEARCH("BACKPACK",B666)),
ISNUMBER(SEARCH("MOCHILA",B666)),
ISNUMBER(SEARCH("FUNDA",B666)),
ISNUMBER(SEARCH("ESTUCHE",B666)),
ISNUMBER(SEARCH("BOOK COVER",B666)),
ISNUMBER(SEARCH("KEYBOARD PARA TABLET",B666)),
ISNUMBER(SEARCH("FLIP TABLET",B666)),
ISNUMBER(SEARCH("CASE FOR TABLET",B666)),
ISNUMBER(SEARCH("CABLE",B666)),
ISNUMBER(SEARCH("ADAPTADOR",B666)),
ISNUMBER(SEARCH("HUB",B666)),
ISNUMBER(SEARCH("DOCK",B666)),
ISNUMBER(SEARCH("MOUSE PAD",B666)),
ISNUMBER(SEARCH("MOUSEPAD",B666)),
ISNUMBER(SEARCH("SOPORTE",B666)),
ISNUMBER(SEARCH("STAND",B666)),
ISNUMBER(SEARCH("TRAVEL ADAPTER",B666)),
ISNUMBER(SEARCH("RJ45",B666)),
ISNUMBER(SEARCH("USB-C",B666)),
ISNUMBER(SEARCH("USB WIFI",B666)),
ISNUMBER(SEARCH("POWERBANK",B666)),
ISNUMBER(SEARCH("CARGADOR",B666)),
ISNUMBER(SEARCH("COOLER PARA NB",B666)),
ISNUMBER(SEARCH("SOPORTE PARA NB",B666)),
ISNUMBER(SEARCH("WEBCAM",B666)),
ISNUMBER(SEARCH("WEB CAM",B666)),
ISNUMBER(SEARCH("MOUSE",B666)),
ISNUMBER(SEARCH("TECLADO",B666))
),
"COMPLEMENTO",
IF(
OR(
LEFT(A666,2)="NB",
LEFT(A666,2)="PC",
LEFT(A666,2)="WS",
LEFT(A666,2)="TB",
LEFT(A666,3)="CEL",
LEFT(A666,3)="MON",
LEFT(A666,3)="PRE",
LEFT(A666,3)="PRH",
ISNUMBER(SEARCH("NOTEBOOK",B666)),
ISNUMBER(SEARCH("LAPTOP",B666)),
ISNUMBER(SEARCH("MONITOR",B666)),
ISNUMBER(SEARCH("TABLET",B666)),
ISNUMBER(SEARCH("SMARTPH",B666)),
ISNUMBER(SEARCH("IMPRESORA",B666)),
ISNUMBER(SEARCH("MULTIFUNCIONAL",B666)),
ISNUMBER(SEARCH("AIO",B666))
),
"GANCHO",
"NORMAL"
)
)</f>
        <v>NORMAL</v>
      </c>
    </row>
    <row r="665" spans="1:12" x14ac:dyDescent="0.25">
      <c r="A665" s="3" t="s">
        <v>4510</v>
      </c>
      <c r="B665" s="3" t="s">
        <v>4511</v>
      </c>
      <c r="C665" s="1">
        <v>20</v>
      </c>
      <c r="D665" s="1">
        <v>199</v>
      </c>
      <c r="E665" s="1" t="s">
        <v>1447</v>
      </c>
      <c r="F665" s="1" t="s">
        <v>4512</v>
      </c>
      <c r="G665" s="3" t="s">
        <v>4963</v>
      </c>
      <c r="H665" s="11">
        <f>ROUND(
IF(L663="GANCHO",
   IF(I665&lt;=50,I665*1.1+4,IF(I665&lt;=120,I665*1.1+7,IF(I665&lt;=250,I665*1.1+11,I665*1.1+19))),
IF(L663="NORMAL",
   IF(I665&lt;=30,I665*1.15+2,IF(I665&lt;=80,I665*1.15+4,IF(I665&lt;=150,I665*1.15+6,I665*1.15+8))),
IF(L663="COMPLEMENTO",
   IF(I665&lt;=25,I665*1.25+1.5,IF(I665&lt;=60,I665*1.25+3,IF(I665&lt;=120,I665*1.25+4,I665*1.25+5))),
""))),2)</f>
        <v>947.75</v>
      </c>
      <c r="I665" s="9">
        <f>($K$2+0.02)*Tabla1[[#This Row],[PRECIO $]]*1.18</f>
        <v>817.17359999999996</v>
      </c>
      <c r="J665" s="7">
        <f>+Tabla1[[#This Row],[PRECIO EN SOLES]]-Tabla1[[#This Row],[PC]]</f>
        <v>130.57640000000004</v>
      </c>
      <c r="K665" s="15"/>
      <c r="L665" s="15" t="str">
        <f>IF(
OR(
ISNUMBER(SEARCH("BACKPACK",B667)),
ISNUMBER(SEARCH("MOCHILA",B667)),
ISNUMBER(SEARCH("FUNDA",B667)),
ISNUMBER(SEARCH("ESTUCHE",B667)),
ISNUMBER(SEARCH("BOOK COVER",B667)),
ISNUMBER(SEARCH("KEYBOARD PARA TABLET",B667)),
ISNUMBER(SEARCH("FLIP TABLET",B667)),
ISNUMBER(SEARCH("CASE FOR TABLET",B667)),
ISNUMBER(SEARCH("CABLE",B667)),
ISNUMBER(SEARCH("ADAPTADOR",B667)),
ISNUMBER(SEARCH("HUB",B667)),
ISNUMBER(SEARCH("DOCK",B667)),
ISNUMBER(SEARCH("MOUSE PAD",B667)),
ISNUMBER(SEARCH("MOUSEPAD",B667)),
ISNUMBER(SEARCH("SOPORTE",B667)),
ISNUMBER(SEARCH("STAND",B667)),
ISNUMBER(SEARCH("TRAVEL ADAPTER",B667)),
ISNUMBER(SEARCH("RJ45",B667)),
ISNUMBER(SEARCH("USB-C",B667)),
ISNUMBER(SEARCH("USB WIFI",B667)),
ISNUMBER(SEARCH("POWERBANK",B667)),
ISNUMBER(SEARCH("CARGADOR",B667)),
ISNUMBER(SEARCH("COOLER PARA NB",B667)),
ISNUMBER(SEARCH("SOPORTE PARA NB",B667)),
ISNUMBER(SEARCH("WEBCAM",B667)),
ISNUMBER(SEARCH("WEB CAM",B667)),
ISNUMBER(SEARCH("MOUSE",B667)),
ISNUMBER(SEARCH("TECLADO",B667))
),
"COMPLEMENTO",
IF(
OR(
LEFT(A667,2)="NB",
LEFT(A667,2)="PC",
LEFT(A667,2)="WS",
LEFT(A667,2)="TB",
LEFT(A667,3)="CEL",
LEFT(A667,3)="MON",
LEFT(A667,3)="PRE",
LEFT(A667,3)="PRH",
ISNUMBER(SEARCH("NOTEBOOK",B667)),
ISNUMBER(SEARCH("LAPTOP",B667)),
ISNUMBER(SEARCH("MONITOR",B667)),
ISNUMBER(SEARCH("TABLET",B667)),
ISNUMBER(SEARCH("SMARTPH",B667)),
ISNUMBER(SEARCH("IMPRESORA",B667)),
ISNUMBER(SEARCH("MULTIFUNCIONAL",B667)),
ISNUMBER(SEARCH("AIO",B667))
),
"GANCHO",
"NORMAL"
)
)</f>
        <v>NORMAL</v>
      </c>
    </row>
    <row r="666" spans="1:12" x14ac:dyDescent="0.25">
      <c r="A666" s="3" t="s">
        <v>4964</v>
      </c>
      <c r="B666" s="3" t="s">
        <v>4965</v>
      </c>
      <c r="C666" s="1">
        <v>8</v>
      </c>
      <c r="D666" s="1">
        <v>191</v>
      </c>
      <c r="E666" s="1" t="s">
        <v>4958</v>
      </c>
      <c r="F666" s="1" t="s">
        <v>4966</v>
      </c>
      <c r="G666" s="3" t="s">
        <v>5156</v>
      </c>
      <c r="H666" s="11">
        <f>ROUND(
IF(L664="GANCHO",
   IF(I666&lt;=50,I666*1.1+4,IF(I666&lt;=120,I666*1.1+7,IF(I666&lt;=250,I666*1.1+11,I666*1.1+19))),
IF(L664="NORMAL",
   IF(I666&lt;=30,I666*1.15+2,IF(I666&lt;=80,I666*1.15+4,IF(I666&lt;=150,I666*1.15+6,I666*1.15+8))),
IF(L664="COMPLEMENTO",
   IF(I666&lt;=25,I666*1.25+1.5,IF(I666&lt;=60,I666*1.25+3,IF(I666&lt;=120,I666*1.25+4,I666*1.25+5))),
""))),2)</f>
        <v>909.97</v>
      </c>
      <c r="I666" s="9">
        <f>($K$2+0.02)*Tabla1[[#This Row],[PRECIO $]]*1.18</f>
        <v>784.3223999999999</v>
      </c>
      <c r="J666" s="7">
        <f>+Tabla1[[#This Row],[PRECIO EN SOLES]]-Tabla1[[#This Row],[PC]]</f>
        <v>125.64760000000012</v>
      </c>
      <c r="K666" s="15"/>
      <c r="L666" s="15" t="str">
        <f>IF(
OR(
ISNUMBER(SEARCH("BACKPACK",B668)),
ISNUMBER(SEARCH("MOCHILA",B668)),
ISNUMBER(SEARCH("FUNDA",B668)),
ISNUMBER(SEARCH("ESTUCHE",B668)),
ISNUMBER(SEARCH("BOOK COVER",B668)),
ISNUMBER(SEARCH("KEYBOARD PARA TABLET",B668)),
ISNUMBER(SEARCH("FLIP TABLET",B668)),
ISNUMBER(SEARCH("CASE FOR TABLET",B668)),
ISNUMBER(SEARCH("CABLE",B668)),
ISNUMBER(SEARCH("ADAPTADOR",B668)),
ISNUMBER(SEARCH("HUB",B668)),
ISNUMBER(SEARCH("DOCK",B668)),
ISNUMBER(SEARCH("MOUSE PAD",B668)),
ISNUMBER(SEARCH("MOUSEPAD",B668)),
ISNUMBER(SEARCH("SOPORTE",B668)),
ISNUMBER(SEARCH("STAND",B668)),
ISNUMBER(SEARCH("TRAVEL ADAPTER",B668)),
ISNUMBER(SEARCH("RJ45",B668)),
ISNUMBER(SEARCH("USB-C",B668)),
ISNUMBER(SEARCH("USB WIFI",B668)),
ISNUMBER(SEARCH("POWERBANK",B668)),
ISNUMBER(SEARCH("CARGADOR",B668)),
ISNUMBER(SEARCH("COOLER PARA NB",B668)),
ISNUMBER(SEARCH("SOPORTE PARA NB",B668)),
ISNUMBER(SEARCH("WEBCAM",B668)),
ISNUMBER(SEARCH("WEB CAM",B668)),
ISNUMBER(SEARCH("MOUSE",B668)),
ISNUMBER(SEARCH("TECLADO",B668))
),
"COMPLEMENTO",
IF(
OR(
LEFT(A668,2)="NB",
LEFT(A668,2)="PC",
LEFT(A668,2)="WS",
LEFT(A668,2)="TB",
LEFT(A668,3)="CEL",
LEFT(A668,3)="MON",
LEFT(A668,3)="PRE",
LEFT(A668,3)="PRH",
ISNUMBER(SEARCH("NOTEBOOK",B668)),
ISNUMBER(SEARCH("LAPTOP",B668)),
ISNUMBER(SEARCH("MONITOR",B668)),
ISNUMBER(SEARCH("TABLET",B668)),
ISNUMBER(SEARCH("SMARTPH",B668)),
ISNUMBER(SEARCH("IMPRESORA",B668)),
ISNUMBER(SEARCH("MULTIFUNCIONAL",B668)),
ISNUMBER(SEARCH("AIO",B668))
),
"GANCHO",
"NORMAL"
)
)</f>
        <v>NORMAL</v>
      </c>
    </row>
    <row r="667" spans="1:12" x14ac:dyDescent="0.25">
      <c r="A667" s="3" t="s">
        <v>4967</v>
      </c>
      <c r="B667" s="3" t="s">
        <v>4968</v>
      </c>
      <c r="C667" s="1">
        <v>20</v>
      </c>
      <c r="D667" s="1">
        <v>182</v>
      </c>
      <c r="E667" s="1" t="s">
        <v>4958</v>
      </c>
      <c r="F667" s="1" t="s">
        <v>4969</v>
      </c>
      <c r="G667" s="3" t="s">
        <v>5157</v>
      </c>
      <c r="H667" s="11">
        <f>ROUND(
IF(L665="GANCHO",
   IF(I667&lt;=50,I667*1.1+4,IF(I667&lt;=120,I667*1.1+7,IF(I667&lt;=250,I667*1.1+11,I667*1.1+19))),
IF(L665="NORMAL",
   IF(I667&lt;=30,I667*1.15+2,IF(I667&lt;=80,I667*1.15+4,IF(I667&lt;=150,I667*1.15+6,I667*1.15+8))),
IF(L665="COMPLEMENTO",
   IF(I667&lt;=25,I667*1.25+1.5,IF(I667&lt;=60,I667*1.25+3,IF(I667&lt;=120,I667*1.25+4,I667*1.25+5))),
""))),2)</f>
        <v>867.47</v>
      </c>
      <c r="I667" s="9">
        <f>($K$2+0.02)*Tabla1[[#This Row],[PRECIO $]]*1.18</f>
        <v>747.36479999999995</v>
      </c>
      <c r="J667" s="7">
        <f>+Tabla1[[#This Row],[PRECIO EN SOLES]]-Tabla1[[#This Row],[PC]]</f>
        <v>120.10520000000008</v>
      </c>
      <c r="K667" s="15"/>
      <c r="L667" s="15" t="str">
        <f>IF(
OR(
ISNUMBER(SEARCH("BACKPACK",B669)),
ISNUMBER(SEARCH("MOCHILA",B669)),
ISNUMBER(SEARCH("FUNDA",B669)),
ISNUMBER(SEARCH("ESTUCHE",B669)),
ISNUMBER(SEARCH("BOOK COVER",B669)),
ISNUMBER(SEARCH("KEYBOARD PARA TABLET",B669)),
ISNUMBER(SEARCH("FLIP TABLET",B669)),
ISNUMBER(SEARCH("CASE FOR TABLET",B669)),
ISNUMBER(SEARCH("CABLE",B669)),
ISNUMBER(SEARCH("ADAPTADOR",B669)),
ISNUMBER(SEARCH("HUB",B669)),
ISNUMBER(SEARCH("DOCK",B669)),
ISNUMBER(SEARCH("MOUSE PAD",B669)),
ISNUMBER(SEARCH("MOUSEPAD",B669)),
ISNUMBER(SEARCH("SOPORTE",B669)),
ISNUMBER(SEARCH("STAND",B669)),
ISNUMBER(SEARCH("TRAVEL ADAPTER",B669)),
ISNUMBER(SEARCH("RJ45",B669)),
ISNUMBER(SEARCH("USB-C",B669)),
ISNUMBER(SEARCH("USB WIFI",B669)),
ISNUMBER(SEARCH("POWERBANK",B669)),
ISNUMBER(SEARCH("CARGADOR",B669)),
ISNUMBER(SEARCH("COOLER PARA NB",B669)),
ISNUMBER(SEARCH("SOPORTE PARA NB",B669)),
ISNUMBER(SEARCH("WEBCAM",B669)),
ISNUMBER(SEARCH("WEB CAM",B669)),
ISNUMBER(SEARCH("MOUSE",B669)),
ISNUMBER(SEARCH("TECLADO",B669))
),
"COMPLEMENTO",
IF(
OR(
LEFT(A669,2)="NB",
LEFT(A669,2)="PC",
LEFT(A669,2)="WS",
LEFT(A669,2)="TB",
LEFT(A669,3)="CEL",
LEFT(A669,3)="MON",
LEFT(A669,3)="PRE",
LEFT(A669,3)="PRH",
ISNUMBER(SEARCH("NOTEBOOK",B669)),
ISNUMBER(SEARCH("LAPTOP",B669)),
ISNUMBER(SEARCH("MONITOR",B669)),
ISNUMBER(SEARCH("TABLET",B669)),
ISNUMBER(SEARCH("SMARTPH",B669)),
ISNUMBER(SEARCH("IMPRESORA",B669)),
ISNUMBER(SEARCH("MULTIFUNCIONAL",B669)),
ISNUMBER(SEARCH("AIO",B669))
),
"GANCHO",
"NORMAL"
)
)</f>
        <v>NORMAL</v>
      </c>
    </row>
    <row r="668" spans="1:12" x14ac:dyDescent="0.25">
      <c r="A668" s="3" t="s">
        <v>1415</v>
      </c>
      <c r="B668" s="3" t="s">
        <v>1416</v>
      </c>
      <c r="C668" s="1">
        <v>0</v>
      </c>
      <c r="D668" s="1">
        <v>391.71</v>
      </c>
      <c r="E668" s="1" t="s">
        <v>196</v>
      </c>
      <c r="F668" s="1" t="s">
        <v>3411</v>
      </c>
      <c r="G668" s="3" t="s">
        <v>6741</v>
      </c>
      <c r="H668" s="11">
        <f>ROUND(
IF(L666="GANCHO",
   IF(I668&lt;=50,I668*1.1+4,IF(I668&lt;=120,I668*1.1+7,IF(I668&lt;=250,I668*1.1+11,I668*1.1+19))),
IF(L666="NORMAL",
   IF(I668&lt;=30,I668*1.15+2,IF(I668&lt;=80,I668*1.15+4,IF(I668&lt;=150,I668*1.15+6,I668*1.15+8))),
IF(L666="COMPLEMENTO",
   IF(I668&lt;=25,I668*1.25+1.5,IF(I668&lt;=60,I668*1.25+3,IF(I668&lt;=120,I668*1.25+4,I668*1.25+5))),
""))),2)</f>
        <v>1857.8</v>
      </c>
      <c r="I668" s="9">
        <f>($K$2+0.02)*Tabla1[[#This Row],[PRECIO $]]*1.18</f>
        <v>1608.5179439999997</v>
      </c>
      <c r="J668" s="7">
        <f>+Tabla1[[#This Row],[PRECIO EN SOLES]]-Tabla1[[#This Row],[PC]]</f>
        <v>249.28205600000024</v>
      </c>
      <c r="K668" s="15"/>
      <c r="L668" s="15" t="str">
        <f>IF(
OR(
ISNUMBER(SEARCH("BACKPACK",B670)),
ISNUMBER(SEARCH("MOCHILA",B670)),
ISNUMBER(SEARCH("FUNDA",B670)),
ISNUMBER(SEARCH("ESTUCHE",B670)),
ISNUMBER(SEARCH("BOOK COVER",B670)),
ISNUMBER(SEARCH("KEYBOARD PARA TABLET",B670)),
ISNUMBER(SEARCH("FLIP TABLET",B670)),
ISNUMBER(SEARCH("CASE FOR TABLET",B670)),
ISNUMBER(SEARCH("CABLE",B670)),
ISNUMBER(SEARCH("ADAPTADOR",B670)),
ISNUMBER(SEARCH("HUB",B670)),
ISNUMBER(SEARCH("DOCK",B670)),
ISNUMBER(SEARCH("MOUSE PAD",B670)),
ISNUMBER(SEARCH("MOUSEPAD",B670)),
ISNUMBER(SEARCH("SOPORTE",B670)),
ISNUMBER(SEARCH("STAND",B670)),
ISNUMBER(SEARCH("TRAVEL ADAPTER",B670)),
ISNUMBER(SEARCH("RJ45",B670)),
ISNUMBER(SEARCH("USB-C",B670)),
ISNUMBER(SEARCH("USB WIFI",B670)),
ISNUMBER(SEARCH("POWERBANK",B670)),
ISNUMBER(SEARCH("CARGADOR",B670)),
ISNUMBER(SEARCH("COOLER PARA NB",B670)),
ISNUMBER(SEARCH("SOPORTE PARA NB",B670)),
ISNUMBER(SEARCH("WEBCAM",B670)),
ISNUMBER(SEARCH("WEB CAM",B670)),
ISNUMBER(SEARCH("MOUSE",B670)),
ISNUMBER(SEARCH("TECLADO",B670))
),
"COMPLEMENTO",
IF(
OR(
LEFT(A670,2)="NB",
LEFT(A670,2)="PC",
LEFT(A670,2)="WS",
LEFT(A670,2)="TB",
LEFT(A670,3)="CEL",
LEFT(A670,3)="MON",
LEFT(A670,3)="PRE",
LEFT(A670,3)="PRH",
ISNUMBER(SEARCH("NOTEBOOK",B670)),
ISNUMBER(SEARCH("LAPTOP",B670)),
ISNUMBER(SEARCH("MONITOR",B670)),
ISNUMBER(SEARCH("TABLET",B670)),
ISNUMBER(SEARCH("SMARTPH",B670)),
ISNUMBER(SEARCH("IMPRESORA",B670)),
ISNUMBER(SEARCH("MULTIFUNCIONAL",B670)),
ISNUMBER(SEARCH("AIO",B670))
),
"GANCHO",
"NORMAL"
)
)</f>
        <v>NORMAL</v>
      </c>
    </row>
    <row r="669" spans="1:12" x14ac:dyDescent="0.25">
      <c r="A669" s="3" t="s">
        <v>4970</v>
      </c>
      <c r="B669" s="3" t="s">
        <v>4971</v>
      </c>
      <c r="C669" s="1">
        <v>0</v>
      </c>
      <c r="D669" s="1">
        <v>113.6</v>
      </c>
      <c r="E669" s="1" t="s">
        <v>4958</v>
      </c>
      <c r="F669" s="1" t="s">
        <v>4972</v>
      </c>
      <c r="G669" s="3" t="s">
        <v>5158</v>
      </c>
      <c r="H669" s="11">
        <f>ROUND(
IF(L667="GANCHO",
   IF(I669&lt;=50,I669*1.1+4,IF(I669&lt;=120,I669*1.1+7,IF(I669&lt;=250,I669*1.1+11,I669*1.1+19))),
IF(L667="NORMAL",
   IF(I669&lt;=30,I669*1.15+2,IF(I669&lt;=80,I669*1.15+4,IF(I669&lt;=150,I669*1.15+6,I669*1.15+8))),
IF(L667="COMPLEMENTO",
   IF(I669&lt;=25,I669*1.25+1.5,IF(I669&lt;=60,I669*1.25+3,IF(I669&lt;=120,I669*1.25+4,I669*1.25+5))),
""))),2)</f>
        <v>544.46</v>
      </c>
      <c r="I669" s="9">
        <f>($K$2+0.02)*Tabla1[[#This Row],[PRECIO $]]*1.18</f>
        <v>466.48703999999992</v>
      </c>
      <c r="J669" s="7">
        <f>+Tabla1[[#This Row],[PRECIO EN SOLES]]-Tabla1[[#This Row],[PC]]</f>
        <v>77.972960000000114</v>
      </c>
      <c r="K669" s="15"/>
      <c r="L669" s="15" t="str">
        <f>IF(
OR(
ISNUMBER(SEARCH("BACKPACK",B671)),
ISNUMBER(SEARCH("MOCHILA",B671)),
ISNUMBER(SEARCH("FUNDA",B671)),
ISNUMBER(SEARCH("ESTUCHE",B671)),
ISNUMBER(SEARCH("BOOK COVER",B671)),
ISNUMBER(SEARCH("KEYBOARD PARA TABLET",B671)),
ISNUMBER(SEARCH("FLIP TABLET",B671)),
ISNUMBER(SEARCH("CASE FOR TABLET",B671)),
ISNUMBER(SEARCH("CABLE",B671)),
ISNUMBER(SEARCH("ADAPTADOR",B671)),
ISNUMBER(SEARCH("HUB",B671)),
ISNUMBER(SEARCH("DOCK",B671)),
ISNUMBER(SEARCH("MOUSE PAD",B671)),
ISNUMBER(SEARCH("MOUSEPAD",B671)),
ISNUMBER(SEARCH("SOPORTE",B671)),
ISNUMBER(SEARCH("STAND",B671)),
ISNUMBER(SEARCH("TRAVEL ADAPTER",B671)),
ISNUMBER(SEARCH("RJ45",B671)),
ISNUMBER(SEARCH("USB-C",B671)),
ISNUMBER(SEARCH("USB WIFI",B671)),
ISNUMBER(SEARCH("POWERBANK",B671)),
ISNUMBER(SEARCH("CARGADOR",B671)),
ISNUMBER(SEARCH("COOLER PARA NB",B671)),
ISNUMBER(SEARCH("SOPORTE PARA NB",B671)),
ISNUMBER(SEARCH("WEBCAM",B671)),
ISNUMBER(SEARCH("WEB CAM",B671)),
ISNUMBER(SEARCH("MOUSE",B671)),
ISNUMBER(SEARCH("TECLADO",B671))
),
"COMPLEMENTO",
IF(
OR(
LEFT(A671,2)="NB",
LEFT(A671,2)="PC",
LEFT(A671,2)="WS",
LEFT(A671,2)="TB",
LEFT(A671,3)="CEL",
LEFT(A671,3)="MON",
LEFT(A671,3)="PRE",
LEFT(A671,3)="PRH",
ISNUMBER(SEARCH("NOTEBOOK",B671)),
ISNUMBER(SEARCH("LAPTOP",B671)),
ISNUMBER(SEARCH("MONITOR",B671)),
ISNUMBER(SEARCH("TABLET",B671)),
ISNUMBER(SEARCH("SMARTPH",B671)),
ISNUMBER(SEARCH("IMPRESORA",B671)),
ISNUMBER(SEARCH("MULTIFUNCIONAL",B671)),
ISNUMBER(SEARCH("AIO",B671))
),
"GANCHO",
"NORMAL"
)
)</f>
        <v>NORMAL</v>
      </c>
    </row>
    <row r="670" spans="1:12" x14ac:dyDescent="0.25">
      <c r="A670" s="3" t="s">
        <v>4797</v>
      </c>
      <c r="B670" s="3" t="s">
        <v>4798</v>
      </c>
      <c r="C670" s="1">
        <v>20</v>
      </c>
      <c r="D670" s="1">
        <v>203.1</v>
      </c>
      <c r="E670" s="1" t="s">
        <v>196</v>
      </c>
      <c r="F670" s="1" t="s">
        <v>4799</v>
      </c>
      <c r="G670" s="3" t="s">
        <v>4800</v>
      </c>
      <c r="H670" s="11">
        <f>ROUND(
IF(L668="GANCHO",
   IF(I670&lt;=50,I670*1.1+4,IF(I670&lt;=120,I670*1.1+7,IF(I670&lt;=250,I670*1.1+11,I670*1.1+19))),
IF(L668="NORMAL",
   IF(I670&lt;=30,I670*1.15+2,IF(I670&lt;=80,I670*1.15+4,IF(I670&lt;=150,I670*1.15+6,I670*1.15+8))),
IF(L668="COMPLEMENTO",
   IF(I670&lt;=25,I670*1.25+1.5,IF(I670&lt;=60,I670*1.25+3,IF(I670&lt;=120,I670*1.25+4,I670*1.25+5))),
""))),2)</f>
        <v>967.11</v>
      </c>
      <c r="I670" s="9">
        <f>($K$2+0.02)*Tabla1[[#This Row],[PRECIO $]]*1.18</f>
        <v>834.00983999999994</v>
      </c>
      <c r="J670" s="7">
        <f>+Tabla1[[#This Row],[PRECIO EN SOLES]]-Tabla1[[#This Row],[PC]]</f>
        <v>133.10016000000007</v>
      </c>
      <c r="K670" s="15"/>
      <c r="L670" s="15" t="str">
        <f>IF(
OR(
ISNUMBER(SEARCH("BACKPACK",B672)),
ISNUMBER(SEARCH("MOCHILA",B672)),
ISNUMBER(SEARCH("FUNDA",B672)),
ISNUMBER(SEARCH("ESTUCHE",B672)),
ISNUMBER(SEARCH("BOOK COVER",B672)),
ISNUMBER(SEARCH("KEYBOARD PARA TABLET",B672)),
ISNUMBER(SEARCH("FLIP TABLET",B672)),
ISNUMBER(SEARCH("CASE FOR TABLET",B672)),
ISNUMBER(SEARCH("CABLE",B672)),
ISNUMBER(SEARCH("ADAPTADOR",B672)),
ISNUMBER(SEARCH("HUB",B672)),
ISNUMBER(SEARCH("DOCK",B672)),
ISNUMBER(SEARCH("MOUSE PAD",B672)),
ISNUMBER(SEARCH("MOUSEPAD",B672)),
ISNUMBER(SEARCH("SOPORTE",B672)),
ISNUMBER(SEARCH("STAND",B672)),
ISNUMBER(SEARCH("TRAVEL ADAPTER",B672)),
ISNUMBER(SEARCH("RJ45",B672)),
ISNUMBER(SEARCH("USB-C",B672)),
ISNUMBER(SEARCH("USB WIFI",B672)),
ISNUMBER(SEARCH("POWERBANK",B672)),
ISNUMBER(SEARCH("CARGADOR",B672)),
ISNUMBER(SEARCH("COOLER PARA NB",B672)),
ISNUMBER(SEARCH("SOPORTE PARA NB",B672)),
ISNUMBER(SEARCH("WEBCAM",B672)),
ISNUMBER(SEARCH("WEB CAM",B672)),
ISNUMBER(SEARCH("MOUSE",B672)),
ISNUMBER(SEARCH("TECLADO",B672))
),
"COMPLEMENTO",
IF(
OR(
LEFT(A672,2)="NB",
LEFT(A672,2)="PC",
LEFT(A672,2)="WS",
LEFT(A672,2)="TB",
LEFT(A672,3)="CEL",
LEFT(A672,3)="MON",
LEFT(A672,3)="PRE",
LEFT(A672,3)="PRH",
ISNUMBER(SEARCH("NOTEBOOK",B672)),
ISNUMBER(SEARCH("LAPTOP",B672)),
ISNUMBER(SEARCH("MONITOR",B672)),
ISNUMBER(SEARCH("TABLET",B672)),
ISNUMBER(SEARCH("SMARTPH",B672)),
ISNUMBER(SEARCH("IMPRESORA",B672)),
ISNUMBER(SEARCH("MULTIFUNCIONAL",B672)),
ISNUMBER(SEARCH("AIO",B672))
),
"GANCHO",
"NORMAL"
)
)</f>
        <v>NORMAL</v>
      </c>
    </row>
    <row r="671" spans="1:12" x14ac:dyDescent="0.25">
      <c r="A671" s="3" t="s">
        <v>4801</v>
      </c>
      <c r="B671" s="3" t="s">
        <v>4802</v>
      </c>
      <c r="C671" s="1">
        <v>20</v>
      </c>
      <c r="D671" s="1">
        <v>209.2</v>
      </c>
      <c r="E671" s="1" t="s">
        <v>196</v>
      </c>
      <c r="F671" s="1" t="s">
        <v>4803</v>
      </c>
      <c r="G671" s="3" t="s">
        <v>4804</v>
      </c>
      <c r="H671" s="11">
        <f>ROUND(
IF(L669="GANCHO",
   IF(I671&lt;=50,I671*1.1+4,IF(I671&lt;=120,I671*1.1+7,IF(I671&lt;=250,I671*1.1+11,I671*1.1+19))),
IF(L669="NORMAL",
   IF(I671&lt;=30,I671*1.15+2,IF(I671&lt;=80,I671*1.15+4,IF(I671&lt;=150,I671*1.15+6,I671*1.15+8))),
IF(L669="COMPLEMENTO",
   IF(I671&lt;=25,I671*1.25+1.5,IF(I671&lt;=60,I671*1.25+3,IF(I671&lt;=120,I671*1.25+4,I671*1.25+5))),
""))),2)</f>
        <v>995.92</v>
      </c>
      <c r="I671" s="9">
        <f>($K$2+0.02)*Tabla1[[#This Row],[PRECIO $]]*1.18</f>
        <v>859.05887999999993</v>
      </c>
      <c r="J671" s="7">
        <f>+Tabla1[[#This Row],[PRECIO EN SOLES]]-Tabla1[[#This Row],[PC]]</f>
        <v>136.86112000000003</v>
      </c>
      <c r="K671" s="15"/>
      <c r="L671" s="15" t="str">
        <f>IF(
OR(
ISNUMBER(SEARCH("BACKPACK",B673)),
ISNUMBER(SEARCH("MOCHILA",B673)),
ISNUMBER(SEARCH("FUNDA",B673)),
ISNUMBER(SEARCH("ESTUCHE",B673)),
ISNUMBER(SEARCH("BOOK COVER",B673)),
ISNUMBER(SEARCH("KEYBOARD PARA TABLET",B673)),
ISNUMBER(SEARCH("FLIP TABLET",B673)),
ISNUMBER(SEARCH("CASE FOR TABLET",B673)),
ISNUMBER(SEARCH("CABLE",B673)),
ISNUMBER(SEARCH("ADAPTADOR",B673)),
ISNUMBER(SEARCH("HUB",B673)),
ISNUMBER(SEARCH("DOCK",B673)),
ISNUMBER(SEARCH("MOUSE PAD",B673)),
ISNUMBER(SEARCH("MOUSEPAD",B673)),
ISNUMBER(SEARCH("SOPORTE",B673)),
ISNUMBER(SEARCH("STAND",B673)),
ISNUMBER(SEARCH("TRAVEL ADAPTER",B673)),
ISNUMBER(SEARCH("RJ45",B673)),
ISNUMBER(SEARCH("USB-C",B673)),
ISNUMBER(SEARCH("USB WIFI",B673)),
ISNUMBER(SEARCH("POWERBANK",B673)),
ISNUMBER(SEARCH("CARGADOR",B673)),
ISNUMBER(SEARCH("COOLER PARA NB",B673)),
ISNUMBER(SEARCH("SOPORTE PARA NB",B673)),
ISNUMBER(SEARCH("WEBCAM",B673)),
ISNUMBER(SEARCH("WEB CAM",B673)),
ISNUMBER(SEARCH("MOUSE",B673)),
ISNUMBER(SEARCH("TECLADO",B673))
),
"COMPLEMENTO",
IF(
OR(
LEFT(A673,2)="NB",
LEFT(A673,2)="PC",
LEFT(A673,2)="WS",
LEFT(A673,2)="TB",
LEFT(A673,3)="CEL",
LEFT(A673,3)="MON",
LEFT(A673,3)="PRE",
LEFT(A673,3)="PRH",
ISNUMBER(SEARCH("NOTEBOOK",B673)),
ISNUMBER(SEARCH("LAPTOP",B673)),
ISNUMBER(SEARCH("MONITOR",B673)),
ISNUMBER(SEARCH("TABLET",B673)),
ISNUMBER(SEARCH("SMARTPH",B673)),
ISNUMBER(SEARCH("IMPRESORA",B673)),
ISNUMBER(SEARCH("MULTIFUNCIONAL",B673)),
ISNUMBER(SEARCH("AIO",B673))
),
"GANCHO",
"NORMAL"
)
)</f>
        <v>NORMAL</v>
      </c>
    </row>
    <row r="672" spans="1:12" x14ac:dyDescent="0.25">
      <c r="A672" s="3" t="s">
        <v>3047</v>
      </c>
      <c r="B672" s="3" t="s">
        <v>3048</v>
      </c>
      <c r="C672" s="1">
        <v>20</v>
      </c>
      <c r="D672" s="1">
        <v>448</v>
      </c>
      <c r="E672" s="1" t="s">
        <v>3049</v>
      </c>
      <c r="F672" s="1" t="s">
        <v>3412</v>
      </c>
      <c r="G672" s="3" t="s">
        <v>3050</v>
      </c>
      <c r="H672" s="11">
        <f>ROUND(
IF(L670="GANCHO",
   IF(I672&lt;=50,I672*1.1+4,IF(I672&lt;=120,I672*1.1+7,IF(I672&lt;=250,I672*1.1+11,I672*1.1+19))),
IF(L670="NORMAL",
   IF(I672&lt;=30,I672*1.15+2,IF(I672&lt;=80,I672*1.15+4,IF(I672&lt;=150,I672*1.15+6,I672*1.15+8))),
IF(L670="COMPLEMENTO",
   IF(I672&lt;=25,I672*1.25+1.5,IF(I672&lt;=60,I672*1.25+3,IF(I672&lt;=120,I672*1.25+4,I672*1.25+5))),
""))),2)</f>
        <v>2123.62</v>
      </c>
      <c r="I672" s="9">
        <f>($K$2+0.02)*Tabla1[[#This Row],[PRECIO $]]*1.18</f>
        <v>1839.6671999999999</v>
      </c>
      <c r="J672" s="7">
        <f>+Tabla1[[#This Row],[PRECIO EN SOLES]]-Tabla1[[#This Row],[PC]]</f>
        <v>283.95280000000002</v>
      </c>
      <c r="K672" s="15"/>
      <c r="L672" s="15" t="str">
        <f>IF(
OR(
ISNUMBER(SEARCH("BACKPACK",B674)),
ISNUMBER(SEARCH("MOCHILA",B674)),
ISNUMBER(SEARCH("FUNDA",B674)),
ISNUMBER(SEARCH("ESTUCHE",B674)),
ISNUMBER(SEARCH("BOOK COVER",B674)),
ISNUMBER(SEARCH("KEYBOARD PARA TABLET",B674)),
ISNUMBER(SEARCH("FLIP TABLET",B674)),
ISNUMBER(SEARCH("CASE FOR TABLET",B674)),
ISNUMBER(SEARCH("CABLE",B674)),
ISNUMBER(SEARCH("ADAPTADOR",B674)),
ISNUMBER(SEARCH("HUB",B674)),
ISNUMBER(SEARCH("DOCK",B674)),
ISNUMBER(SEARCH("MOUSE PAD",B674)),
ISNUMBER(SEARCH("MOUSEPAD",B674)),
ISNUMBER(SEARCH("SOPORTE",B674)),
ISNUMBER(SEARCH("STAND",B674)),
ISNUMBER(SEARCH("TRAVEL ADAPTER",B674)),
ISNUMBER(SEARCH("RJ45",B674)),
ISNUMBER(SEARCH("USB-C",B674)),
ISNUMBER(SEARCH("USB WIFI",B674)),
ISNUMBER(SEARCH("POWERBANK",B674)),
ISNUMBER(SEARCH("CARGADOR",B674)),
ISNUMBER(SEARCH("COOLER PARA NB",B674)),
ISNUMBER(SEARCH("SOPORTE PARA NB",B674)),
ISNUMBER(SEARCH("WEBCAM",B674)),
ISNUMBER(SEARCH("WEB CAM",B674)),
ISNUMBER(SEARCH("MOUSE",B674)),
ISNUMBER(SEARCH("TECLADO",B674))
),
"COMPLEMENTO",
IF(
OR(
LEFT(A674,2)="NB",
LEFT(A674,2)="PC",
LEFT(A674,2)="WS",
LEFT(A674,2)="TB",
LEFT(A674,3)="CEL",
LEFT(A674,3)="MON",
LEFT(A674,3)="PRE",
LEFT(A674,3)="PRH",
ISNUMBER(SEARCH("NOTEBOOK",B674)),
ISNUMBER(SEARCH("LAPTOP",B674)),
ISNUMBER(SEARCH("MONITOR",B674)),
ISNUMBER(SEARCH("TABLET",B674)),
ISNUMBER(SEARCH("SMARTPH",B674)),
ISNUMBER(SEARCH("IMPRESORA",B674)),
ISNUMBER(SEARCH("MULTIFUNCIONAL",B674)),
ISNUMBER(SEARCH("AIO",B674))
),
"GANCHO",
"NORMAL"
)
)</f>
        <v>NORMAL</v>
      </c>
    </row>
    <row r="673" spans="1:12" x14ac:dyDescent="0.25">
      <c r="A673" s="3" t="s">
        <v>3051</v>
      </c>
      <c r="B673" s="3" t="s">
        <v>3048</v>
      </c>
      <c r="C673" s="1">
        <v>20</v>
      </c>
      <c r="D673" s="1">
        <v>448</v>
      </c>
      <c r="E673" s="1" t="s">
        <v>3049</v>
      </c>
      <c r="F673" s="1" t="s">
        <v>3413</v>
      </c>
      <c r="G673" s="3" t="s">
        <v>3050</v>
      </c>
      <c r="H673" s="11">
        <f>ROUND(
IF(L671="GANCHO",
   IF(I673&lt;=50,I673*1.1+4,IF(I673&lt;=120,I673*1.1+7,IF(I673&lt;=250,I673*1.1+11,I673*1.1+19))),
IF(L671="NORMAL",
   IF(I673&lt;=30,I673*1.15+2,IF(I673&lt;=80,I673*1.15+4,IF(I673&lt;=150,I673*1.15+6,I673*1.15+8))),
IF(L671="COMPLEMENTO",
   IF(I673&lt;=25,I673*1.25+1.5,IF(I673&lt;=60,I673*1.25+3,IF(I673&lt;=120,I673*1.25+4,I673*1.25+5))),
""))),2)</f>
        <v>2123.62</v>
      </c>
      <c r="I673" s="9">
        <f>($K$2+0.02)*Tabla1[[#This Row],[PRECIO $]]*1.18</f>
        <v>1839.6671999999999</v>
      </c>
      <c r="J673" s="7">
        <f>+Tabla1[[#This Row],[PRECIO EN SOLES]]-Tabla1[[#This Row],[PC]]</f>
        <v>283.95280000000002</v>
      </c>
      <c r="K673" s="15"/>
      <c r="L673" s="15" t="str">
        <f>IF(
OR(
ISNUMBER(SEARCH("BACKPACK",B675)),
ISNUMBER(SEARCH("MOCHILA",B675)),
ISNUMBER(SEARCH("FUNDA",B675)),
ISNUMBER(SEARCH("ESTUCHE",B675)),
ISNUMBER(SEARCH("BOOK COVER",B675)),
ISNUMBER(SEARCH("KEYBOARD PARA TABLET",B675)),
ISNUMBER(SEARCH("FLIP TABLET",B675)),
ISNUMBER(SEARCH("CASE FOR TABLET",B675)),
ISNUMBER(SEARCH("CABLE",B675)),
ISNUMBER(SEARCH("ADAPTADOR",B675)),
ISNUMBER(SEARCH("HUB",B675)),
ISNUMBER(SEARCH("DOCK",B675)),
ISNUMBER(SEARCH("MOUSE PAD",B675)),
ISNUMBER(SEARCH("MOUSEPAD",B675)),
ISNUMBER(SEARCH("SOPORTE",B675)),
ISNUMBER(SEARCH("STAND",B675)),
ISNUMBER(SEARCH("TRAVEL ADAPTER",B675)),
ISNUMBER(SEARCH("RJ45",B675)),
ISNUMBER(SEARCH("USB-C",B675)),
ISNUMBER(SEARCH("USB WIFI",B675)),
ISNUMBER(SEARCH("POWERBANK",B675)),
ISNUMBER(SEARCH("CARGADOR",B675)),
ISNUMBER(SEARCH("COOLER PARA NB",B675)),
ISNUMBER(SEARCH("SOPORTE PARA NB",B675)),
ISNUMBER(SEARCH("WEBCAM",B675)),
ISNUMBER(SEARCH("WEB CAM",B675)),
ISNUMBER(SEARCH("MOUSE",B675)),
ISNUMBER(SEARCH("TECLADO",B675))
),
"COMPLEMENTO",
IF(
OR(
LEFT(A675,2)="NB",
LEFT(A675,2)="PC",
LEFT(A675,2)="WS",
LEFT(A675,2)="TB",
LEFT(A675,3)="CEL",
LEFT(A675,3)="MON",
LEFT(A675,3)="PRE",
LEFT(A675,3)="PRH",
ISNUMBER(SEARCH("NOTEBOOK",B675)),
ISNUMBER(SEARCH("LAPTOP",B675)),
ISNUMBER(SEARCH("MONITOR",B675)),
ISNUMBER(SEARCH("TABLET",B675)),
ISNUMBER(SEARCH("SMARTPH",B675)),
ISNUMBER(SEARCH("IMPRESORA",B675)),
ISNUMBER(SEARCH("MULTIFUNCIONAL",B675)),
ISNUMBER(SEARCH("AIO",B675))
),
"GANCHO",
"NORMAL"
)
)</f>
        <v>NORMAL</v>
      </c>
    </row>
    <row r="674" spans="1:12" x14ac:dyDescent="0.25">
      <c r="A674" s="3" t="s">
        <v>2941</v>
      </c>
      <c r="B674" s="3" t="s">
        <v>2942</v>
      </c>
      <c r="C674" s="1">
        <v>11</v>
      </c>
      <c r="D674" s="1">
        <v>907</v>
      </c>
      <c r="E674" s="1" t="s">
        <v>198</v>
      </c>
      <c r="F674" s="1" t="s">
        <v>3414</v>
      </c>
      <c r="G674" s="3" t="s">
        <v>2943</v>
      </c>
      <c r="H674" s="11">
        <f>ROUND(
IF(L672="GANCHO",
   IF(I674&lt;=50,I674*1.1+4,IF(I674&lt;=120,I674*1.1+7,IF(I674&lt;=250,I674*1.1+11,I674*1.1+19))),
IF(L672="NORMAL",
   IF(I674&lt;=30,I674*1.15+2,IF(I674&lt;=80,I674*1.15+4,IF(I674&lt;=150,I674*1.15+6,I674*1.15+8))),
IF(L672="COMPLEMENTO",
   IF(I674&lt;=25,I674*1.25+1.5,IF(I674&lt;=60,I674*1.25+3,IF(I674&lt;=120,I674*1.25+4,I674*1.25+5))),
""))),2)</f>
        <v>4291.18</v>
      </c>
      <c r="I674" s="9">
        <f>($K$2+0.02)*Tabla1[[#This Row],[PRECIO $]]*1.18</f>
        <v>3724.5048000000002</v>
      </c>
      <c r="J674" s="7">
        <f>+Tabla1[[#This Row],[PRECIO EN SOLES]]-Tabla1[[#This Row],[PC]]</f>
        <v>566.67520000000013</v>
      </c>
      <c r="K674" s="15"/>
      <c r="L674" s="15" t="str">
        <f>IF(
OR(
ISNUMBER(SEARCH("BACKPACK",B676)),
ISNUMBER(SEARCH("MOCHILA",B676)),
ISNUMBER(SEARCH("FUNDA",B676)),
ISNUMBER(SEARCH("ESTUCHE",B676)),
ISNUMBER(SEARCH("BOOK COVER",B676)),
ISNUMBER(SEARCH("KEYBOARD PARA TABLET",B676)),
ISNUMBER(SEARCH("FLIP TABLET",B676)),
ISNUMBER(SEARCH("CASE FOR TABLET",B676)),
ISNUMBER(SEARCH("CABLE",B676)),
ISNUMBER(SEARCH("ADAPTADOR",B676)),
ISNUMBER(SEARCH("HUB",B676)),
ISNUMBER(SEARCH("DOCK",B676)),
ISNUMBER(SEARCH("MOUSE PAD",B676)),
ISNUMBER(SEARCH("MOUSEPAD",B676)),
ISNUMBER(SEARCH("SOPORTE",B676)),
ISNUMBER(SEARCH("STAND",B676)),
ISNUMBER(SEARCH("TRAVEL ADAPTER",B676)),
ISNUMBER(SEARCH("RJ45",B676)),
ISNUMBER(SEARCH("USB-C",B676)),
ISNUMBER(SEARCH("USB WIFI",B676)),
ISNUMBER(SEARCH("POWERBANK",B676)),
ISNUMBER(SEARCH("CARGADOR",B676)),
ISNUMBER(SEARCH("COOLER PARA NB",B676)),
ISNUMBER(SEARCH("SOPORTE PARA NB",B676)),
ISNUMBER(SEARCH("WEBCAM",B676)),
ISNUMBER(SEARCH("WEB CAM",B676)),
ISNUMBER(SEARCH("MOUSE",B676)),
ISNUMBER(SEARCH("TECLADO",B676))
),
"COMPLEMENTO",
IF(
OR(
LEFT(A676,2)="NB",
LEFT(A676,2)="PC",
LEFT(A676,2)="WS",
LEFT(A676,2)="TB",
LEFT(A676,3)="CEL",
LEFT(A676,3)="MON",
LEFT(A676,3)="PRE",
LEFT(A676,3)="PRH",
ISNUMBER(SEARCH("NOTEBOOK",B676)),
ISNUMBER(SEARCH("LAPTOP",B676)),
ISNUMBER(SEARCH("MONITOR",B676)),
ISNUMBER(SEARCH("TABLET",B676)),
ISNUMBER(SEARCH("SMARTPH",B676)),
ISNUMBER(SEARCH("IMPRESORA",B676)),
ISNUMBER(SEARCH("MULTIFUNCIONAL",B676)),
ISNUMBER(SEARCH("AIO",B676))
),
"GANCHO",
"NORMAL"
)
)</f>
        <v>NORMAL</v>
      </c>
    </row>
    <row r="675" spans="1:12" x14ac:dyDescent="0.25">
      <c r="A675" s="3" t="s">
        <v>5435</v>
      </c>
      <c r="B675" s="3" t="s">
        <v>5436</v>
      </c>
      <c r="C675" s="1">
        <v>20</v>
      </c>
      <c r="D675" s="1">
        <v>212.4</v>
      </c>
      <c r="E675" s="1" t="s">
        <v>196</v>
      </c>
      <c r="F675" s="1" t="s">
        <v>5437</v>
      </c>
      <c r="G675" s="3" t="s">
        <v>5438</v>
      </c>
      <c r="H675" s="11">
        <f>ROUND(
IF(L673="GANCHO",
   IF(I675&lt;=50,I675*1.1+4,IF(I675&lt;=120,I675*1.1+7,IF(I675&lt;=250,I675*1.1+11,I675*1.1+19))),
IF(L673="NORMAL",
   IF(I675&lt;=30,I675*1.15+2,IF(I675&lt;=80,I675*1.15+4,IF(I675&lt;=150,I675*1.15+6,I675*1.15+8))),
IF(L673="COMPLEMENTO",
   IF(I675&lt;=25,I675*1.25+1.5,IF(I675&lt;=60,I675*1.25+3,IF(I675&lt;=120,I675*1.25+4,I675*1.25+5))),
""))),2)</f>
        <v>1011.03</v>
      </c>
      <c r="I675" s="9">
        <f>($K$2+0.02)*Tabla1[[#This Row],[PRECIO $]]*1.18</f>
        <v>872.19935999999996</v>
      </c>
      <c r="J675" s="7">
        <f>+Tabla1[[#This Row],[PRECIO EN SOLES]]-Tabla1[[#This Row],[PC]]</f>
        <v>138.83064000000002</v>
      </c>
      <c r="K675" s="15"/>
      <c r="L675" s="15" t="str">
        <f>IF(
OR(
ISNUMBER(SEARCH("BACKPACK",B677)),
ISNUMBER(SEARCH("MOCHILA",B677)),
ISNUMBER(SEARCH("FUNDA",B677)),
ISNUMBER(SEARCH("ESTUCHE",B677)),
ISNUMBER(SEARCH("BOOK COVER",B677)),
ISNUMBER(SEARCH("KEYBOARD PARA TABLET",B677)),
ISNUMBER(SEARCH("FLIP TABLET",B677)),
ISNUMBER(SEARCH("CASE FOR TABLET",B677)),
ISNUMBER(SEARCH("CABLE",B677)),
ISNUMBER(SEARCH("ADAPTADOR",B677)),
ISNUMBER(SEARCH("HUB",B677)),
ISNUMBER(SEARCH("DOCK",B677)),
ISNUMBER(SEARCH("MOUSE PAD",B677)),
ISNUMBER(SEARCH("MOUSEPAD",B677)),
ISNUMBER(SEARCH("SOPORTE",B677)),
ISNUMBER(SEARCH("STAND",B677)),
ISNUMBER(SEARCH("TRAVEL ADAPTER",B677)),
ISNUMBER(SEARCH("RJ45",B677)),
ISNUMBER(SEARCH("USB-C",B677)),
ISNUMBER(SEARCH("USB WIFI",B677)),
ISNUMBER(SEARCH("POWERBANK",B677)),
ISNUMBER(SEARCH("CARGADOR",B677)),
ISNUMBER(SEARCH("COOLER PARA NB",B677)),
ISNUMBER(SEARCH("SOPORTE PARA NB",B677)),
ISNUMBER(SEARCH("WEBCAM",B677)),
ISNUMBER(SEARCH("WEB CAM",B677)),
ISNUMBER(SEARCH("MOUSE",B677)),
ISNUMBER(SEARCH("TECLADO",B677))
),
"COMPLEMENTO",
IF(
OR(
LEFT(A677,2)="NB",
LEFT(A677,2)="PC",
LEFT(A677,2)="WS",
LEFT(A677,2)="TB",
LEFT(A677,3)="CEL",
LEFT(A677,3)="MON",
LEFT(A677,3)="PRE",
LEFT(A677,3)="PRH",
ISNUMBER(SEARCH("NOTEBOOK",B677)),
ISNUMBER(SEARCH("LAPTOP",B677)),
ISNUMBER(SEARCH("MONITOR",B677)),
ISNUMBER(SEARCH("TABLET",B677)),
ISNUMBER(SEARCH("SMARTPH",B677)),
ISNUMBER(SEARCH("IMPRESORA",B677)),
ISNUMBER(SEARCH("MULTIFUNCIONAL",B677)),
ISNUMBER(SEARCH("AIO",B677))
),
"GANCHO",
"NORMAL"
)
)</f>
        <v>NORMAL</v>
      </c>
    </row>
    <row r="676" spans="1:12" x14ac:dyDescent="0.25">
      <c r="A676" s="3" t="s">
        <v>1417</v>
      </c>
      <c r="B676" s="3" t="s">
        <v>1418</v>
      </c>
      <c r="C676" s="1">
        <v>20</v>
      </c>
      <c r="D676" s="1">
        <v>222</v>
      </c>
      <c r="E676" s="1" t="s">
        <v>196</v>
      </c>
      <c r="F676" s="1" t="s">
        <v>3415</v>
      </c>
      <c r="G676" s="3" t="s">
        <v>1419</v>
      </c>
      <c r="H676" s="11">
        <f>ROUND(
IF(L674="GANCHO",
   IF(I676&lt;=50,I676*1.1+4,IF(I676&lt;=120,I676*1.1+7,IF(I676&lt;=250,I676*1.1+11,I676*1.1+19))),
IF(L674="NORMAL",
   IF(I676&lt;=30,I676*1.15+2,IF(I676&lt;=80,I676*1.15+4,IF(I676&lt;=150,I676*1.15+6,I676*1.15+8))),
IF(L674="COMPLEMENTO",
   IF(I676&lt;=25,I676*1.25+1.5,IF(I676&lt;=60,I676*1.25+3,IF(I676&lt;=120,I676*1.25+4,I676*1.25+5))),
""))),2)</f>
        <v>1056.3599999999999</v>
      </c>
      <c r="I676" s="9">
        <f>($K$2+0.02)*Tabla1[[#This Row],[PRECIO $]]*1.18</f>
        <v>911.62079999999992</v>
      </c>
      <c r="J676" s="7">
        <f>+Tabla1[[#This Row],[PRECIO EN SOLES]]-Tabla1[[#This Row],[PC]]</f>
        <v>144.73919999999998</v>
      </c>
      <c r="K676" s="15"/>
      <c r="L676" s="15" t="str">
        <f>IF(
OR(
ISNUMBER(SEARCH("BACKPACK",B678)),
ISNUMBER(SEARCH("MOCHILA",B678)),
ISNUMBER(SEARCH("FUNDA",B678)),
ISNUMBER(SEARCH("ESTUCHE",B678)),
ISNUMBER(SEARCH("BOOK COVER",B678)),
ISNUMBER(SEARCH("KEYBOARD PARA TABLET",B678)),
ISNUMBER(SEARCH("FLIP TABLET",B678)),
ISNUMBER(SEARCH("CASE FOR TABLET",B678)),
ISNUMBER(SEARCH("CABLE",B678)),
ISNUMBER(SEARCH("ADAPTADOR",B678)),
ISNUMBER(SEARCH("HUB",B678)),
ISNUMBER(SEARCH("DOCK",B678)),
ISNUMBER(SEARCH("MOUSE PAD",B678)),
ISNUMBER(SEARCH("MOUSEPAD",B678)),
ISNUMBER(SEARCH("SOPORTE",B678)),
ISNUMBER(SEARCH("STAND",B678)),
ISNUMBER(SEARCH("TRAVEL ADAPTER",B678)),
ISNUMBER(SEARCH("RJ45",B678)),
ISNUMBER(SEARCH("USB-C",B678)),
ISNUMBER(SEARCH("USB WIFI",B678)),
ISNUMBER(SEARCH("POWERBANK",B678)),
ISNUMBER(SEARCH("CARGADOR",B678)),
ISNUMBER(SEARCH("COOLER PARA NB",B678)),
ISNUMBER(SEARCH("SOPORTE PARA NB",B678)),
ISNUMBER(SEARCH("WEBCAM",B678)),
ISNUMBER(SEARCH("WEB CAM",B678)),
ISNUMBER(SEARCH("MOUSE",B678)),
ISNUMBER(SEARCH("TECLADO",B678))
),
"COMPLEMENTO",
IF(
OR(
LEFT(A678,2)="NB",
LEFT(A678,2)="PC",
LEFT(A678,2)="WS",
LEFT(A678,2)="TB",
LEFT(A678,3)="CEL",
LEFT(A678,3)="MON",
LEFT(A678,3)="PRE",
LEFT(A678,3)="PRH",
ISNUMBER(SEARCH("NOTEBOOK",B678)),
ISNUMBER(SEARCH("LAPTOP",B678)),
ISNUMBER(SEARCH("MONITOR",B678)),
ISNUMBER(SEARCH("TABLET",B678)),
ISNUMBER(SEARCH("SMARTPH",B678)),
ISNUMBER(SEARCH("IMPRESORA",B678)),
ISNUMBER(SEARCH("MULTIFUNCIONAL",B678)),
ISNUMBER(SEARCH("AIO",B678))
),
"GANCHO",
"NORMAL"
)
)</f>
        <v>NORMAL</v>
      </c>
    </row>
    <row r="677" spans="1:12" x14ac:dyDescent="0.25">
      <c r="A677" s="3" t="s">
        <v>6477</v>
      </c>
      <c r="B677" s="3" t="s">
        <v>6478</v>
      </c>
      <c r="C677" s="1">
        <v>20</v>
      </c>
      <c r="D677" s="1">
        <v>367</v>
      </c>
      <c r="E677" s="1" t="s">
        <v>831</v>
      </c>
      <c r="F677" s="1" t="s">
        <v>6479</v>
      </c>
      <c r="G677" s="3" t="s">
        <v>6742</v>
      </c>
      <c r="H677" s="11">
        <f>ROUND(
IF(L675="GANCHO",
   IF(I677&lt;=50,I677*1.1+4,IF(I677&lt;=120,I677*1.1+7,IF(I677&lt;=250,I677*1.1+11,I677*1.1+19))),
IF(L675="NORMAL",
   IF(I677&lt;=30,I677*1.15+2,IF(I677&lt;=80,I677*1.15+4,IF(I677&lt;=150,I677*1.15+6,I677*1.15+8))),
IF(L675="COMPLEMENTO",
   IF(I677&lt;=25,I677*1.25+1.5,IF(I677&lt;=60,I677*1.25+3,IF(I677&lt;=120,I677*1.25+4,I677*1.25+5))),
""))),2)</f>
        <v>1741.11</v>
      </c>
      <c r="I677" s="9">
        <f>($K$2+0.02)*Tabla1[[#This Row],[PRECIO $]]*1.18</f>
        <v>1507.0488</v>
      </c>
      <c r="J677" s="7">
        <f>+Tabla1[[#This Row],[PRECIO EN SOLES]]-Tabla1[[#This Row],[PC]]</f>
        <v>234.06119999999987</v>
      </c>
      <c r="K677" s="15"/>
      <c r="L677" s="15" t="str">
        <f>IF(
OR(
ISNUMBER(SEARCH("BACKPACK",B679)),
ISNUMBER(SEARCH("MOCHILA",B679)),
ISNUMBER(SEARCH("FUNDA",B679)),
ISNUMBER(SEARCH("ESTUCHE",B679)),
ISNUMBER(SEARCH("BOOK COVER",B679)),
ISNUMBER(SEARCH("KEYBOARD PARA TABLET",B679)),
ISNUMBER(SEARCH("FLIP TABLET",B679)),
ISNUMBER(SEARCH("CASE FOR TABLET",B679)),
ISNUMBER(SEARCH("CABLE",B679)),
ISNUMBER(SEARCH("ADAPTADOR",B679)),
ISNUMBER(SEARCH("HUB",B679)),
ISNUMBER(SEARCH("DOCK",B679)),
ISNUMBER(SEARCH("MOUSE PAD",B679)),
ISNUMBER(SEARCH("MOUSEPAD",B679)),
ISNUMBER(SEARCH("SOPORTE",B679)),
ISNUMBER(SEARCH("STAND",B679)),
ISNUMBER(SEARCH("TRAVEL ADAPTER",B679)),
ISNUMBER(SEARCH("RJ45",B679)),
ISNUMBER(SEARCH("USB-C",B679)),
ISNUMBER(SEARCH("USB WIFI",B679)),
ISNUMBER(SEARCH("POWERBANK",B679)),
ISNUMBER(SEARCH("CARGADOR",B679)),
ISNUMBER(SEARCH("COOLER PARA NB",B679)),
ISNUMBER(SEARCH("SOPORTE PARA NB",B679)),
ISNUMBER(SEARCH("WEBCAM",B679)),
ISNUMBER(SEARCH("WEB CAM",B679)),
ISNUMBER(SEARCH("MOUSE",B679)),
ISNUMBER(SEARCH("TECLADO",B679))
),
"COMPLEMENTO",
IF(
OR(
LEFT(A679,2)="NB",
LEFT(A679,2)="PC",
LEFT(A679,2)="WS",
LEFT(A679,2)="TB",
LEFT(A679,3)="CEL",
LEFT(A679,3)="MON",
LEFT(A679,3)="PRE",
LEFT(A679,3)="PRH",
ISNUMBER(SEARCH("NOTEBOOK",B679)),
ISNUMBER(SEARCH("LAPTOP",B679)),
ISNUMBER(SEARCH("MONITOR",B679)),
ISNUMBER(SEARCH("TABLET",B679)),
ISNUMBER(SEARCH("SMARTPH",B679)),
ISNUMBER(SEARCH("IMPRESORA",B679)),
ISNUMBER(SEARCH("MULTIFUNCIONAL",B679)),
ISNUMBER(SEARCH("AIO",B679))
),
"GANCHO",
"NORMAL"
)
)</f>
        <v>NORMAL</v>
      </c>
    </row>
    <row r="678" spans="1:12" x14ac:dyDescent="0.25">
      <c r="A678" s="3" t="s">
        <v>2820</v>
      </c>
      <c r="B678" s="3" t="s">
        <v>2821</v>
      </c>
      <c r="C678" s="1">
        <v>20</v>
      </c>
      <c r="D678" s="1">
        <v>23.31</v>
      </c>
      <c r="E678" s="1" t="s">
        <v>196</v>
      </c>
      <c r="F678" s="1" t="s">
        <v>3416</v>
      </c>
      <c r="G678" s="3" t="s">
        <v>2822</v>
      </c>
      <c r="H678" s="11">
        <f>ROUND(
IF(L676="GANCHO",
   IF(I678&lt;=50,I678*1.1+4,IF(I678&lt;=120,I678*1.1+7,IF(I678&lt;=250,I678*1.1+11,I678*1.1+19))),
IF(L676="NORMAL",
   IF(I678&lt;=30,I678*1.15+2,IF(I678&lt;=80,I678*1.15+4,IF(I678&lt;=150,I678*1.15+6,I678*1.15+8))),
IF(L676="COMPLEMENTO",
   IF(I678&lt;=25,I678*1.25+1.5,IF(I678&lt;=60,I678*1.25+3,IF(I678&lt;=120,I678*1.25+4,I678*1.25+5))),
""))),2)</f>
        <v>116.08</v>
      </c>
      <c r="I678" s="9">
        <f>($K$2+0.02)*Tabla1[[#This Row],[PRECIO $]]*1.18</f>
        <v>95.720183999999989</v>
      </c>
      <c r="J678" s="7">
        <f>+Tabla1[[#This Row],[PRECIO EN SOLES]]-Tabla1[[#This Row],[PC]]</f>
        <v>20.359816000000009</v>
      </c>
      <c r="K678" s="15"/>
      <c r="L678" s="15" t="str">
        <f>IF(
OR(
ISNUMBER(SEARCH("BACKPACK",B680)),
ISNUMBER(SEARCH("MOCHILA",B680)),
ISNUMBER(SEARCH("FUNDA",B680)),
ISNUMBER(SEARCH("ESTUCHE",B680)),
ISNUMBER(SEARCH("BOOK COVER",B680)),
ISNUMBER(SEARCH("KEYBOARD PARA TABLET",B680)),
ISNUMBER(SEARCH("FLIP TABLET",B680)),
ISNUMBER(SEARCH("CASE FOR TABLET",B680)),
ISNUMBER(SEARCH("CABLE",B680)),
ISNUMBER(SEARCH("ADAPTADOR",B680)),
ISNUMBER(SEARCH("HUB",B680)),
ISNUMBER(SEARCH("DOCK",B680)),
ISNUMBER(SEARCH("MOUSE PAD",B680)),
ISNUMBER(SEARCH("MOUSEPAD",B680)),
ISNUMBER(SEARCH("SOPORTE",B680)),
ISNUMBER(SEARCH("STAND",B680)),
ISNUMBER(SEARCH("TRAVEL ADAPTER",B680)),
ISNUMBER(SEARCH("RJ45",B680)),
ISNUMBER(SEARCH("USB-C",B680)),
ISNUMBER(SEARCH("USB WIFI",B680)),
ISNUMBER(SEARCH("POWERBANK",B680)),
ISNUMBER(SEARCH("CARGADOR",B680)),
ISNUMBER(SEARCH("COOLER PARA NB",B680)),
ISNUMBER(SEARCH("SOPORTE PARA NB",B680)),
ISNUMBER(SEARCH("WEBCAM",B680)),
ISNUMBER(SEARCH("WEB CAM",B680)),
ISNUMBER(SEARCH("MOUSE",B680)),
ISNUMBER(SEARCH("TECLADO",B680))
),
"COMPLEMENTO",
IF(
OR(
LEFT(A680,2)="NB",
LEFT(A680,2)="PC",
LEFT(A680,2)="WS",
LEFT(A680,2)="TB",
LEFT(A680,3)="CEL",
LEFT(A680,3)="MON",
LEFT(A680,3)="PRE",
LEFT(A680,3)="PRH",
ISNUMBER(SEARCH("NOTEBOOK",B680)),
ISNUMBER(SEARCH("LAPTOP",B680)),
ISNUMBER(SEARCH("MONITOR",B680)),
ISNUMBER(SEARCH("TABLET",B680)),
ISNUMBER(SEARCH("SMARTPH",B680)),
ISNUMBER(SEARCH("IMPRESORA",B680)),
ISNUMBER(SEARCH("MULTIFUNCIONAL",B680)),
ISNUMBER(SEARCH("AIO",B680))
),
"GANCHO",
"NORMAL"
)
)</f>
        <v>NORMAL</v>
      </c>
    </row>
    <row r="679" spans="1:12" x14ac:dyDescent="0.25">
      <c r="A679" s="3" t="s">
        <v>1420</v>
      </c>
      <c r="B679" s="3" t="s">
        <v>1421</v>
      </c>
      <c r="C679" s="1">
        <v>0</v>
      </c>
      <c r="D679" s="1">
        <v>133.19999999999999</v>
      </c>
      <c r="E679" s="1" t="s">
        <v>196</v>
      </c>
      <c r="F679" s="1" t="s">
        <v>3417</v>
      </c>
      <c r="G679" s="3" t="s">
        <v>1422</v>
      </c>
      <c r="H679" s="11">
        <f>ROUND(
IF(L677="GANCHO",
   IF(I679&lt;=50,I679*1.1+4,IF(I679&lt;=120,I679*1.1+7,IF(I679&lt;=250,I679*1.1+11,I679*1.1+19))),
IF(L677="NORMAL",
   IF(I679&lt;=30,I679*1.15+2,IF(I679&lt;=80,I679*1.15+4,IF(I679&lt;=150,I679*1.15+6,I679*1.15+8))),
IF(L677="COMPLEMENTO",
   IF(I679&lt;=25,I679*1.25+1.5,IF(I679&lt;=60,I679*1.25+3,IF(I679&lt;=120,I679*1.25+4,I679*1.25+5))),
""))),2)</f>
        <v>637.02</v>
      </c>
      <c r="I679" s="9">
        <f>($K$2+0.02)*Tabla1[[#This Row],[PRECIO $]]*1.18</f>
        <v>546.9724799999999</v>
      </c>
      <c r="J679" s="7">
        <f>+Tabla1[[#This Row],[PRECIO EN SOLES]]-Tabla1[[#This Row],[PC]]</f>
        <v>90.047520000000077</v>
      </c>
      <c r="K679" s="15"/>
      <c r="L679" s="15" t="str">
        <f>IF(
OR(
ISNUMBER(SEARCH("BACKPACK",B681)),
ISNUMBER(SEARCH("MOCHILA",B681)),
ISNUMBER(SEARCH("FUNDA",B681)),
ISNUMBER(SEARCH("ESTUCHE",B681)),
ISNUMBER(SEARCH("BOOK COVER",B681)),
ISNUMBER(SEARCH("KEYBOARD PARA TABLET",B681)),
ISNUMBER(SEARCH("FLIP TABLET",B681)),
ISNUMBER(SEARCH("CASE FOR TABLET",B681)),
ISNUMBER(SEARCH("CABLE",B681)),
ISNUMBER(SEARCH("ADAPTADOR",B681)),
ISNUMBER(SEARCH("HUB",B681)),
ISNUMBER(SEARCH("DOCK",B681)),
ISNUMBER(SEARCH("MOUSE PAD",B681)),
ISNUMBER(SEARCH("MOUSEPAD",B681)),
ISNUMBER(SEARCH("SOPORTE",B681)),
ISNUMBER(SEARCH("STAND",B681)),
ISNUMBER(SEARCH("TRAVEL ADAPTER",B681)),
ISNUMBER(SEARCH("RJ45",B681)),
ISNUMBER(SEARCH("USB-C",B681)),
ISNUMBER(SEARCH("USB WIFI",B681)),
ISNUMBER(SEARCH("POWERBANK",B681)),
ISNUMBER(SEARCH("CARGADOR",B681)),
ISNUMBER(SEARCH("COOLER PARA NB",B681)),
ISNUMBER(SEARCH("SOPORTE PARA NB",B681)),
ISNUMBER(SEARCH("WEBCAM",B681)),
ISNUMBER(SEARCH("WEB CAM",B681)),
ISNUMBER(SEARCH("MOUSE",B681)),
ISNUMBER(SEARCH("TECLADO",B681))
),
"COMPLEMENTO",
IF(
OR(
LEFT(A681,2)="NB",
LEFT(A681,2)="PC",
LEFT(A681,2)="WS",
LEFT(A681,2)="TB",
LEFT(A681,3)="CEL",
LEFT(A681,3)="MON",
LEFT(A681,3)="PRE",
LEFT(A681,3)="PRH",
ISNUMBER(SEARCH("NOTEBOOK",B681)),
ISNUMBER(SEARCH("LAPTOP",B681)),
ISNUMBER(SEARCH("MONITOR",B681)),
ISNUMBER(SEARCH("TABLET",B681)),
ISNUMBER(SEARCH("SMARTPH",B681)),
ISNUMBER(SEARCH("IMPRESORA",B681)),
ISNUMBER(SEARCH("MULTIFUNCIONAL",B681)),
ISNUMBER(SEARCH("AIO",B681))
),
"GANCHO",
"NORMAL"
)
)</f>
        <v>NORMAL</v>
      </c>
    </row>
    <row r="680" spans="1:12" x14ac:dyDescent="0.25">
      <c r="A680" s="3" t="s">
        <v>2823</v>
      </c>
      <c r="B680" s="3" t="s">
        <v>2824</v>
      </c>
      <c r="C680" s="1">
        <v>20</v>
      </c>
      <c r="D680" s="1">
        <v>37.51</v>
      </c>
      <c r="E680" s="1" t="s">
        <v>196</v>
      </c>
      <c r="F680" s="1" t="s">
        <v>3418</v>
      </c>
      <c r="G680" s="3" t="s">
        <v>2825</v>
      </c>
      <c r="H680" s="11">
        <f>ROUND(
IF(L678="GANCHO",
   IF(I680&lt;=50,I680*1.1+4,IF(I680&lt;=120,I680*1.1+7,IF(I680&lt;=250,I680*1.1+11,I680*1.1+19))),
IF(L678="NORMAL",
   IF(I680&lt;=30,I680*1.15+2,IF(I680&lt;=80,I680*1.15+4,IF(I680&lt;=150,I680*1.15+6,I680*1.15+8))),
IF(L678="COMPLEMENTO",
   IF(I680&lt;=25,I680*1.25+1.5,IF(I680&lt;=60,I680*1.25+3,IF(I680&lt;=120,I680*1.25+4,I680*1.25+5))),
""))),2)</f>
        <v>185.14</v>
      </c>
      <c r="I680" s="9">
        <f>($K$2+0.02)*Tabla1[[#This Row],[PRECIO $]]*1.18</f>
        <v>154.03106399999999</v>
      </c>
      <c r="J680" s="7">
        <f>+Tabla1[[#This Row],[PRECIO EN SOLES]]-Tabla1[[#This Row],[PC]]</f>
        <v>31.108936</v>
      </c>
      <c r="K680" s="15"/>
      <c r="L680" s="15" t="str">
        <f>IF(
OR(
ISNUMBER(SEARCH("BACKPACK",B682)),
ISNUMBER(SEARCH("MOCHILA",B682)),
ISNUMBER(SEARCH("FUNDA",B682)),
ISNUMBER(SEARCH("ESTUCHE",B682)),
ISNUMBER(SEARCH("BOOK COVER",B682)),
ISNUMBER(SEARCH("KEYBOARD PARA TABLET",B682)),
ISNUMBER(SEARCH("FLIP TABLET",B682)),
ISNUMBER(SEARCH("CASE FOR TABLET",B682)),
ISNUMBER(SEARCH("CABLE",B682)),
ISNUMBER(SEARCH("ADAPTADOR",B682)),
ISNUMBER(SEARCH("HUB",B682)),
ISNUMBER(SEARCH("DOCK",B682)),
ISNUMBER(SEARCH("MOUSE PAD",B682)),
ISNUMBER(SEARCH("MOUSEPAD",B682)),
ISNUMBER(SEARCH("SOPORTE",B682)),
ISNUMBER(SEARCH("STAND",B682)),
ISNUMBER(SEARCH("TRAVEL ADAPTER",B682)),
ISNUMBER(SEARCH("RJ45",B682)),
ISNUMBER(SEARCH("USB-C",B682)),
ISNUMBER(SEARCH("USB WIFI",B682)),
ISNUMBER(SEARCH("POWERBANK",B682)),
ISNUMBER(SEARCH("CARGADOR",B682)),
ISNUMBER(SEARCH("COOLER PARA NB",B682)),
ISNUMBER(SEARCH("SOPORTE PARA NB",B682)),
ISNUMBER(SEARCH("WEBCAM",B682)),
ISNUMBER(SEARCH("WEB CAM",B682)),
ISNUMBER(SEARCH("MOUSE",B682)),
ISNUMBER(SEARCH("TECLADO",B682))
),
"COMPLEMENTO",
IF(
OR(
LEFT(A682,2)="NB",
LEFT(A682,2)="PC",
LEFT(A682,2)="WS",
LEFT(A682,2)="TB",
LEFT(A682,3)="CEL",
LEFT(A682,3)="MON",
LEFT(A682,3)="PRE",
LEFT(A682,3)="PRH",
ISNUMBER(SEARCH("NOTEBOOK",B682)),
ISNUMBER(SEARCH("LAPTOP",B682)),
ISNUMBER(SEARCH("MONITOR",B682)),
ISNUMBER(SEARCH("TABLET",B682)),
ISNUMBER(SEARCH("SMARTPH",B682)),
ISNUMBER(SEARCH("IMPRESORA",B682)),
ISNUMBER(SEARCH("MULTIFUNCIONAL",B682)),
ISNUMBER(SEARCH("AIO",B682))
),
"GANCHO",
"NORMAL"
)
)</f>
        <v>NORMAL</v>
      </c>
    </row>
    <row r="681" spans="1:12" x14ac:dyDescent="0.25">
      <c r="A681" s="3" t="s">
        <v>2826</v>
      </c>
      <c r="B681" s="3" t="s">
        <v>2827</v>
      </c>
      <c r="C681" s="1">
        <v>20</v>
      </c>
      <c r="D681" s="1">
        <v>97.1</v>
      </c>
      <c r="E681" s="1" t="s">
        <v>196</v>
      </c>
      <c r="F681" s="1" t="s">
        <v>3419</v>
      </c>
      <c r="G681" s="3" t="s">
        <v>2828</v>
      </c>
      <c r="H681" s="11">
        <f>ROUND(
IF(L679="GANCHO",
   IF(I681&lt;=50,I681*1.1+4,IF(I681&lt;=120,I681*1.1+7,IF(I681&lt;=250,I681*1.1+11,I681*1.1+19))),
IF(L679="NORMAL",
   IF(I681&lt;=30,I681*1.15+2,IF(I681&lt;=80,I681*1.15+4,IF(I681&lt;=150,I681*1.15+6,I681*1.15+8))),
IF(L679="COMPLEMENTO",
   IF(I681&lt;=25,I681*1.25+1.5,IF(I681&lt;=60,I681*1.25+3,IF(I681&lt;=120,I681*1.25+4,I681*1.25+5))),
""))),2)</f>
        <v>466.54</v>
      </c>
      <c r="I681" s="9">
        <f>($K$2+0.02)*Tabla1[[#This Row],[PRECIO $]]*1.18</f>
        <v>398.73143999999991</v>
      </c>
      <c r="J681" s="7">
        <f>+Tabla1[[#This Row],[PRECIO EN SOLES]]-Tabla1[[#This Row],[PC]]</f>
        <v>67.808560000000114</v>
      </c>
      <c r="K681" s="15"/>
      <c r="L681" s="15" t="str">
        <f>IF(
OR(
ISNUMBER(SEARCH("BACKPACK",B683)),
ISNUMBER(SEARCH("MOCHILA",B683)),
ISNUMBER(SEARCH("FUNDA",B683)),
ISNUMBER(SEARCH("ESTUCHE",B683)),
ISNUMBER(SEARCH("BOOK COVER",B683)),
ISNUMBER(SEARCH("KEYBOARD PARA TABLET",B683)),
ISNUMBER(SEARCH("FLIP TABLET",B683)),
ISNUMBER(SEARCH("CASE FOR TABLET",B683)),
ISNUMBER(SEARCH("CABLE",B683)),
ISNUMBER(SEARCH("ADAPTADOR",B683)),
ISNUMBER(SEARCH("HUB",B683)),
ISNUMBER(SEARCH("DOCK",B683)),
ISNUMBER(SEARCH("MOUSE PAD",B683)),
ISNUMBER(SEARCH("MOUSEPAD",B683)),
ISNUMBER(SEARCH("SOPORTE",B683)),
ISNUMBER(SEARCH("STAND",B683)),
ISNUMBER(SEARCH("TRAVEL ADAPTER",B683)),
ISNUMBER(SEARCH("RJ45",B683)),
ISNUMBER(SEARCH("USB-C",B683)),
ISNUMBER(SEARCH("USB WIFI",B683)),
ISNUMBER(SEARCH("POWERBANK",B683)),
ISNUMBER(SEARCH("CARGADOR",B683)),
ISNUMBER(SEARCH("COOLER PARA NB",B683)),
ISNUMBER(SEARCH("SOPORTE PARA NB",B683)),
ISNUMBER(SEARCH("WEBCAM",B683)),
ISNUMBER(SEARCH("WEB CAM",B683)),
ISNUMBER(SEARCH("MOUSE",B683)),
ISNUMBER(SEARCH("TECLADO",B683))
),
"COMPLEMENTO",
IF(
OR(
LEFT(A683,2)="NB",
LEFT(A683,2)="PC",
LEFT(A683,2)="WS",
LEFT(A683,2)="TB",
LEFT(A683,3)="CEL",
LEFT(A683,3)="MON",
LEFT(A683,3)="PRE",
LEFT(A683,3)="PRH",
ISNUMBER(SEARCH("NOTEBOOK",B683)),
ISNUMBER(SEARCH("LAPTOP",B683)),
ISNUMBER(SEARCH("MONITOR",B683)),
ISNUMBER(SEARCH("TABLET",B683)),
ISNUMBER(SEARCH("SMARTPH",B683)),
ISNUMBER(SEARCH("IMPRESORA",B683)),
ISNUMBER(SEARCH("MULTIFUNCIONAL",B683)),
ISNUMBER(SEARCH("AIO",B683))
),
"GANCHO",
"NORMAL"
)
)</f>
        <v>NORMAL</v>
      </c>
    </row>
    <row r="682" spans="1:12" x14ac:dyDescent="0.25">
      <c r="A682" s="3" t="s">
        <v>2829</v>
      </c>
      <c r="B682" s="3" t="s">
        <v>2830</v>
      </c>
      <c r="C682" s="1">
        <v>20</v>
      </c>
      <c r="D682" s="1">
        <v>15.31</v>
      </c>
      <c r="E682" s="1" t="s">
        <v>196</v>
      </c>
      <c r="F682" s="1" t="s">
        <v>3420</v>
      </c>
      <c r="G682" s="3" t="s">
        <v>2831</v>
      </c>
      <c r="H682" s="11">
        <f>ROUND(
IF(L680="GANCHO",
   IF(I682&lt;=50,I682*1.1+4,IF(I682&lt;=120,I682*1.1+7,IF(I682&lt;=250,I682*1.1+11,I682*1.1+19))),
IF(L680="NORMAL",
   IF(I682&lt;=30,I682*1.15+2,IF(I682&lt;=80,I682*1.15+4,IF(I682&lt;=150,I682*1.15+6,I682*1.15+8))),
IF(L680="COMPLEMENTO",
   IF(I682&lt;=25,I682*1.25+1.5,IF(I682&lt;=60,I682*1.25+3,IF(I682&lt;=120,I682*1.25+4,I682*1.25+5))),
""))),2)</f>
        <v>76.3</v>
      </c>
      <c r="I682" s="9">
        <f>($K$2+0.02)*Tabla1[[#This Row],[PRECIO $]]*1.18</f>
        <v>62.868984000000005</v>
      </c>
      <c r="J682" s="7">
        <f>+Tabla1[[#This Row],[PRECIO EN SOLES]]-Tabla1[[#This Row],[PC]]</f>
        <v>13.431015999999993</v>
      </c>
      <c r="K682" s="15"/>
      <c r="L682" s="15" t="str">
        <f>IF(
OR(
ISNUMBER(SEARCH("BACKPACK",B684)),
ISNUMBER(SEARCH("MOCHILA",B684)),
ISNUMBER(SEARCH("FUNDA",B684)),
ISNUMBER(SEARCH("ESTUCHE",B684)),
ISNUMBER(SEARCH("BOOK COVER",B684)),
ISNUMBER(SEARCH("KEYBOARD PARA TABLET",B684)),
ISNUMBER(SEARCH("FLIP TABLET",B684)),
ISNUMBER(SEARCH("CASE FOR TABLET",B684)),
ISNUMBER(SEARCH("CABLE",B684)),
ISNUMBER(SEARCH("ADAPTADOR",B684)),
ISNUMBER(SEARCH("HUB",B684)),
ISNUMBER(SEARCH("DOCK",B684)),
ISNUMBER(SEARCH("MOUSE PAD",B684)),
ISNUMBER(SEARCH("MOUSEPAD",B684)),
ISNUMBER(SEARCH("SOPORTE",B684)),
ISNUMBER(SEARCH("STAND",B684)),
ISNUMBER(SEARCH("TRAVEL ADAPTER",B684)),
ISNUMBER(SEARCH("RJ45",B684)),
ISNUMBER(SEARCH("USB-C",B684)),
ISNUMBER(SEARCH("USB WIFI",B684)),
ISNUMBER(SEARCH("POWERBANK",B684)),
ISNUMBER(SEARCH("CARGADOR",B684)),
ISNUMBER(SEARCH("COOLER PARA NB",B684)),
ISNUMBER(SEARCH("SOPORTE PARA NB",B684)),
ISNUMBER(SEARCH("WEBCAM",B684)),
ISNUMBER(SEARCH("WEB CAM",B684)),
ISNUMBER(SEARCH("MOUSE",B684)),
ISNUMBER(SEARCH("TECLADO",B684))
),
"COMPLEMENTO",
IF(
OR(
LEFT(A684,2)="NB",
LEFT(A684,2)="PC",
LEFT(A684,2)="WS",
LEFT(A684,2)="TB",
LEFT(A684,3)="CEL",
LEFT(A684,3)="MON",
LEFT(A684,3)="PRE",
LEFT(A684,3)="PRH",
ISNUMBER(SEARCH("NOTEBOOK",B684)),
ISNUMBER(SEARCH("LAPTOP",B684)),
ISNUMBER(SEARCH("MONITOR",B684)),
ISNUMBER(SEARCH("TABLET",B684)),
ISNUMBER(SEARCH("SMARTPH",B684)),
ISNUMBER(SEARCH("IMPRESORA",B684)),
ISNUMBER(SEARCH("MULTIFUNCIONAL",B684)),
ISNUMBER(SEARCH("AIO",B684))
),
"GANCHO",
"NORMAL"
)
)</f>
        <v>NORMAL</v>
      </c>
    </row>
    <row r="683" spans="1:12" x14ac:dyDescent="0.25">
      <c r="A683" s="3" t="s">
        <v>2832</v>
      </c>
      <c r="B683" s="3" t="s">
        <v>2833</v>
      </c>
      <c r="C683" s="1">
        <v>20</v>
      </c>
      <c r="D683" s="1">
        <v>27.91</v>
      </c>
      <c r="E683" s="1" t="s">
        <v>196</v>
      </c>
      <c r="F683" s="1" t="s">
        <v>3421</v>
      </c>
      <c r="G683" s="3" t="s">
        <v>2834</v>
      </c>
      <c r="H683" s="11">
        <f>ROUND(
IF(L681="GANCHO",
   IF(I683&lt;=50,I683*1.1+4,IF(I683&lt;=120,I683*1.1+7,IF(I683&lt;=250,I683*1.1+11,I683*1.1+19))),
IF(L681="NORMAL",
   IF(I683&lt;=30,I683*1.15+2,IF(I683&lt;=80,I683*1.15+4,IF(I683&lt;=150,I683*1.15+6,I683*1.15+8))),
IF(L681="COMPLEMENTO",
   IF(I683&lt;=25,I683*1.25+1.5,IF(I683&lt;=60,I683*1.25+3,IF(I683&lt;=120,I683*1.25+4,I683*1.25+5))),
""))),2)</f>
        <v>137.80000000000001</v>
      </c>
      <c r="I683" s="9">
        <f>($K$2+0.02)*Tabla1[[#This Row],[PRECIO $]]*1.18</f>
        <v>114.609624</v>
      </c>
      <c r="J683" s="7">
        <f>+Tabla1[[#This Row],[PRECIO EN SOLES]]-Tabla1[[#This Row],[PC]]</f>
        <v>23.190376000000015</v>
      </c>
      <c r="K683" s="15"/>
      <c r="L683" s="15" t="str">
        <f>IF(
OR(
ISNUMBER(SEARCH("BACKPACK",B685)),
ISNUMBER(SEARCH("MOCHILA",B685)),
ISNUMBER(SEARCH("FUNDA",B685)),
ISNUMBER(SEARCH("ESTUCHE",B685)),
ISNUMBER(SEARCH("BOOK COVER",B685)),
ISNUMBER(SEARCH("KEYBOARD PARA TABLET",B685)),
ISNUMBER(SEARCH("FLIP TABLET",B685)),
ISNUMBER(SEARCH("CASE FOR TABLET",B685)),
ISNUMBER(SEARCH("CABLE",B685)),
ISNUMBER(SEARCH("ADAPTADOR",B685)),
ISNUMBER(SEARCH("HUB",B685)),
ISNUMBER(SEARCH("DOCK",B685)),
ISNUMBER(SEARCH("MOUSE PAD",B685)),
ISNUMBER(SEARCH("MOUSEPAD",B685)),
ISNUMBER(SEARCH("SOPORTE",B685)),
ISNUMBER(SEARCH("STAND",B685)),
ISNUMBER(SEARCH("TRAVEL ADAPTER",B685)),
ISNUMBER(SEARCH("RJ45",B685)),
ISNUMBER(SEARCH("USB-C",B685)),
ISNUMBER(SEARCH("USB WIFI",B685)),
ISNUMBER(SEARCH("POWERBANK",B685)),
ISNUMBER(SEARCH("CARGADOR",B685)),
ISNUMBER(SEARCH("COOLER PARA NB",B685)),
ISNUMBER(SEARCH("SOPORTE PARA NB",B685)),
ISNUMBER(SEARCH("WEBCAM",B685)),
ISNUMBER(SEARCH("WEB CAM",B685)),
ISNUMBER(SEARCH("MOUSE",B685)),
ISNUMBER(SEARCH("TECLADO",B685))
),
"COMPLEMENTO",
IF(
OR(
LEFT(A685,2)="NB",
LEFT(A685,2)="PC",
LEFT(A685,2)="WS",
LEFT(A685,2)="TB",
LEFT(A685,3)="CEL",
LEFT(A685,3)="MON",
LEFT(A685,3)="PRE",
LEFT(A685,3)="PRH",
ISNUMBER(SEARCH("NOTEBOOK",B685)),
ISNUMBER(SEARCH("LAPTOP",B685)),
ISNUMBER(SEARCH("MONITOR",B685)),
ISNUMBER(SEARCH("TABLET",B685)),
ISNUMBER(SEARCH("SMARTPH",B685)),
ISNUMBER(SEARCH("IMPRESORA",B685)),
ISNUMBER(SEARCH("MULTIFUNCIONAL",B685)),
ISNUMBER(SEARCH("AIO",B685))
),
"GANCHO",
"NORMAL"
)
)</f>
        <v>NORMAL</v>
      </c>
    </row>
    <row r="684" spans="1:12" x14ac:dyDescent="0.25">
      <c r="A684" s="3" t="s">
        <v>2835</v>
      </c>
      <c r="B684" s="3" t="s">
        <v>2836</v>
      </c>
      <c r="C684" s="1">
        <v>20</v>
      </c>
      <c r="D684" s="1">
        <v>63.1</v>
      </c>
      <c r="E684" s="1" t="s">
        <v>196</v>
      </c>
      <c r="F684" s="1" t="s">
        <v>3422</v>
      </c>
      <c r="G684" s="3" t="s">
        <v>2837</v>
      </c>
      <c r="H684" s="11">
        <f>ROUND(
IF(L682="GANCHO",
   IF(I684&lt;=50,I684*1.1+4,IF(I684&lt;=120,I684*1.1+7,IF(I684&lt;=250,I684*1.1+11,I684*1.1+19))),
IF(L682="NORMAL",
   IF(I684&lt;=30,I684*1.15+2,IF(I684&lt;=80,I684*1.15+4,IF(I684&lt;=150,I684*1.15+6,I684*1.15+8))),
IF(L682="COMPLEMENTO",
   IF(I684&lt;=25,I684*1.25+1.5,IF(I684&lt;=60,I684*1.25+3,IF(I684&lt;=120,I684*1.25+4,I684*1.25+5))),
""))),2)</f>
        <v>305.98</v>
      </c>
      <c r="I684" s="9">
        <f>($K$2+0.02)*Tabla1[[#This Row],[PRECIO $]]*1.18</f>
        <v>259.11383999999998</v>
      </c>
      <c r="J684" s="7">
        <f>+Tabla1[[#This Row],[PRECIO EN SOLES]]-Tabla1[[#This Row],[PC]]</f>
        <v>46.866160000000036</v>
      </c>
      <c r="K684" s="15"/>
      <c r="L684" s="15" t="str">
        <f>IF(
OR(
ISNUMBER(SEARCH("BACKPACK",B686)),
ISNUMBER(SEARCH("MOCHILA",B686)),
ISNUMBER(SEARCH("FUNDA",B686)),
ISNUMBER(SEARCH("ESTUCHE",B686)),
ISNUMBER(SEARCH("BOOK COVER",B686)),
ISNUMBER(SEARCH("KEYBOARD PARA TABLET",B686)),
ISNUMBER(SEARCH("FLIP TABLET",B686)),
ISNUMBER(SEARCH("CASE FOR TABLET",B686)),
ISNUMBER(SEARCH("CABLE",B686)),
ISNUMBER(SEARCH("ADAPTADOR",B686)),
ISNUMBER(SEARCH("HUB",B686)),
ISNUMBER(SEARCH("DOCK",B686)),
ISNUMBER(SEARCH("MOUSE PAD",B686)),
ISNUMBER(SEARCH("MOUSEPAD",B686)),
ISNUMBER(SEARCH("SOPORTE",B686)),
ISNUMBER(SEARCH("STAND",B686)),
ISNUMBER(SEARCH("TRAVEL ADAPTER",B686)),
ISNUMBER(SEARCH("RJ45",B686)),
ISNUMBER(SEARCH("USB-C",B686)),
ISNUMBER(SEARCH("USB WIFI",B686)),
ISNUMBER(SEARCH("POWERBANK",B686)),
ISNUMBER(SEARCH("CARGADOR",B686)),
ISNUMBER(SEARCH("COOLER PARA NB",B686)),
ISNUMBER(SEARCH("SOPORTE PARA NB",B686)),
ISNUMBER(SEARCH("WEBCAM",B686)),
ISNUMBER(SEARCH("WEB CAM",B686)),
ISNUMBER(SEARCH("MOUSE",B686)),
ISNUMBER(SEARCH("TECLADO",B686))
),
"COMPLEMENTO",
IF(
OR(
LEFT(A686,2)="NB",
LEFT(A686,2)="PC",
LEFT(A686,2)="WS",
LEFT(A686,2)="TB",
LEFT(A686,3)="CEL",
LEFT(A686,3)="MON",
LEFT(A686,3)="PRE",
LEFT(A686,3)="PRH",
ISNUMBER(SEARCH("NOTEBOOK",B686)),
ISNUMBER(SEARCH("LAPTOP",B686)),
ISNUMBER(SEARCH("MONITOR",B686)),
ISNUMBER(SEARCH("TABLET",B686)),
ISNUMBER(SEARCH("SMARTPH",B686)),
ISNUMBER(SEARCH("IMPRESORA",B686)),
ISNUMBER(SEARCH("MULTIFUNCIONAL",B686)),
ISNUMBER(SEARCH("AIO",B686))
),
"GANCHO",
"NORMAL"
)
)</f>
        <v>NORMAL</v>
      </c>
    </row>
    <row r="685" spans="1:12" x14ac:dyDescent="0.25">
      <c r="A685" s="3" t="s">
        <v>2838</v>
      </c>
      <c r="B685" s="3" t="s">
        <v>2839</v>
      </c>
      <c r="C685" s="1">
        <v>20</v>
      </c>
      <c r="D685" s="1">
        <v>15.71</v>
      </c>
      <c r="E685" s="1" t="s">
        <v>196</v>
      </c>
      <c r="F685" s="1" t="s">
        <v>3423</v>
      </c>
      <c r="G685" s="3" t="s">
        <v>2840</v>
      </c>
      <c r="H685" s="11">
        <f>ROUND(
IF(L683="GANCHO",
   IF(I685&lt;=50,I685*1.1+4,IF(I685&lt;=120,I685*1.1+7,IF(I685&lt;=250,I685*1.1+11,I685*1.1+19))),
IF(L683="NORMAL",
   IF(I685&lt;=30,I685*1.15+2,IF(I685&lt;=80,I685*1.15+4,IF(I685&lt;=150,I685*1.15+6,I685*1.15+8))),
IF(L683="COMPLEMENTO",
   IF(I685&lt;=25,I685*1.25+1.5,IF(I685&lt;=60,I685*1.25+3,IF(I685&lt;=120,I685*1.25+4,I685*1.25+5))),
""))),2)</f>
        <v>78.19</v>
      </c>
      <c r="I685" s="9">
        <f>($K$2+0.02)*Tabla1[[#This Row],[PRECIO $]]*1.18</f>
        <v>64.511544000000001</v>
      </c>
      <c r="J685" s="7">
        <f>+Tabla1[[#This Row],[PRECIO EN SOLES]]-Tabla1[[#This Row],[PC]]</f>
        <v>13.678455999999997</v>
      </c>
      <c r="K685" s="15"/>
      <c r="L685" s="15" t="str">
        <f>IF(
OR(
ISNUMBER(SEARCH("BACKPACK",B687)),
ISNUMBER(SEARCH("MOCHILA",B687)),
ISNUMBER(SEARCH("FUNDA",B687)),
ISNUMBER(SEARCH("ESTUCHE",B687)),
ISNUMBER(SEARCH("BOOK COVER",B687)),
ISNUMBER(SEARCH("KEYBOARD PARA TABLET",B687)),
ISNUMBER(SEARCH("FLIP TABLET",B687)),
ISNUMBER(SEARCH("CASE FOR TABLET",B687)),
ISNUMBER(SEARCH("CABLE",B687)),
ISNUMBER(SEARCH("ADAPTADOR",B687)),
ISNUMBER(SEARCH("HUB",B687)),
ISNUMBER(SEARCH("DOCK",B687)),
ISNUMBER(SEARCH("MOUSE PAD",B687)),
ISNUMBER(SEARCH("MOUSEPAD",B687)),
ISNUMBER(SEARCH("SOPORTE",B687)),
ISNUMBER(SEARCH("STAND",B687)),
ISNUMBER(SEARCH("TRAVEL ADAPTER",B687)),
ISNUMBER(SEARCH("RJ45",B687)),
ISNUMBER(SEARCH("USB-C",B687)),
ISNUMBER(SEARCH("USB WIFI",B687)),
ISNUMBER(SEARCH("POWERBANK",B687)),
ISNUMBER(SEARCH("CARGADOR",B687)),
ISNUMBER(SEARCH("COOLER PARA NB",B687)),
ISNUMBER(SEARCH("SOPORTE PARA NB",B687)),
ISNUMBER(SEARCH("WEBCAM",B687)),
ISNUMBER(SEARCH("WEB CAM",B687)),
ISNUMBER(SEARCH("MOUSE",B687)),
ISNUMBER(SEARCH("TECLADO",B687))
),
"COMPLEMENTO",
IF(
OR(
LEFT(A687,2)="NB",
LEFT(A687,2)="PC",
LEFT(A687,2)="WS",
LEFT(A687,2)="TB",
LEFT(A687,3)="CEL",
LEFT(A687,3)="MON",
LEFT(A687,3)="PRE",
LEFT(A687,3)="PRH",
ISNUMBER(SEARCH("NOTEBOOK",B687)),
ISNUMBER(SEARCH("LAPTOP",B687)),
ISNUMBER(SEARCH("MONITOR",B687)),
ISNUMBER(SEARCH("TABLET",B687)),
ISNUMBER(SEARCH("SMARTPH",B687)),
ISNUMBER(SEARCH("IMPRESORA",B687)),
ISNUMBER(SEARCH("MULTIFUNCIONAL",B687)),
ISNUMBER(SEARCH("AIO",B687))
),
"GANCHO",
"NORMAL"
)
)</f>
        <v>NORMAL</v>
      </c>
    </row>
    <row r="686" spans="1:12" x14ac:dyDescent="0.25">
      <c r="A686" s="3" t="s">
        <v>1423</v>
      </c>
      <c r="B686" s="3" t="s">
        <v>1424</v>
      </c>
      <c r="C686" s="1">
        <v>9</v>
      </c>
      <c r="D686" s="1">
        <v>145.30000000000001</v>
      </c>
      <c r="E686" s="1" t="s">
        <v>218</v>
      </c>
      <c r="F686" s="1" t="s">
        <v>3424</v>
      </c>
      <c r="G686" s="3" t="s">
        <v>1425</v>
      </c>
      <c r="H686" s="11">
        <f>ROUND(
IF(L684="GANCHO",
   IF(I686&lt;=50,I686*1.1+4,IF(I686&lt;=120,I686*1.1+7,IF(I686&lt;=250,I686*1.1+11,I686*1.1+19))),
IF(L684="NORMAL",
   IF(I686&lt;=30,I686*1.15+2,IF(I686&lt;=80,I686*1.15+4,IF(I686&lt;=150,I686*1.15+6,I686*1.15+8))),
IF(L684="COMPLEMENTO",
   IF(I686&lt;=25,I686*1.25+1.5,IF(I686&lt;=60,I686*1.25+3,IF(I686&lt;=120,I686*1.25+4,I686*1.25+5))),
""))),2)</f>
        <v>694.16</v>
      </c>
      <c r="I686" s="9">
        <f>($K$2+0.02)*Tabla1[[#This Row],[PRECIO $]]*1.18</f>
        <v>596.65992000000006</v>
      </c>
      <c r="J686" s="7">
        <f>+Tabla1[[#This Row],[PRECIO EN SOLES]]-Tabla1[[#This Row],[PC]]</f>
        <v>97.500079999999912</v>
      </c>
      <c r="K686" s="15"/>
      <c r="L686" s="15" t="str">
        <f>IF(
OR(
ISNUMBER(SEARCH("BACKPACK",B688)),
ISNUMBER(SEARCH("MOCHILA",B688)),
ISNUMBER(SEARCH("FUNDA",B688)),
ISNUMBER(SEARCH("ESTUCHE",B688)),
ISNUMBER(SEARCH("BOOK COVER",B688)),
ISNUMBER(SEARCH("KEYBOARD PARA TABLET",B688)),
ISNUMBER(SEARCH("FLIP TABLET",B688)),
ISNUMBER(SEARCH("CASE FOR TABLET",B688)),
ISNUMBER(SEARCH("CABLE",B688)),
ISNUMBER(SEARCH("ADAPTADOR",B688)),
ISNUMBER(SEARCH("HUB",B688)),
ISNUMBER(SEARCH("DOCK",B688)),
ISNUMBER(SEARCH("MOUSE PAD",B688)),
ISNUMBER(SEARCH("MOUSEPAD",B688)),
ISNUMBER(SEARCH("SOPORTE",B688)),
ISNUMBER(SEARCH("STAND",B688)),
ISNUMBER(SEARCH("TRAVEL ADAPTER",B688)),
ISNUMBER(SEARCH("RJ45",B688)),
ISNUMBER(SEARCH("USB-C",B688)),
ISNUMBER(SEARCH("USB WIFI",B688)),
ISNUMBER(SEARCH("POWERBANK",B688)),
ISNUMBER(SEARCH("CARGADOR",B688)),
ISNUMBER(SEARCH("COOLER PARA NB",B688)),
ISNUMBER(SEARCH("SOPORTE PARA NB",B688)),
ISNUMBER(SEARCH("WEBCAM",B688)),
ISNUMBER(SEARCH("WEB CAM",B688)),
ISNUMBER(SEARCH("MOUSE",B688)),
ISNUMBER(SEARCH("TECLADO",B688))
),
"COMPLEMENTO",
IF(
OR(
LEFT(A688,2)="NB",
LEFT(A688,2)="PC",
LEFT(A688,2)="WS",
LEFT(A688,2)="TB",
LEFT(A688,3)="CEL",
LEFT(A688,3)="MON",
LEFT(A688,3)="PRE",
LEFT(A688,3)="PRH",
ISNUMBER(SEARCH("NOTEBOOK",B688)),
ISNUMBER(SEARCH("LAPTOP",B688)),
ISNUMBER(SEARCH("MONITOR",B688)),
ISNUMBER(SEARCH("TABLET",B688)),
ISNUMBER(SEARCH("SMARTPH",B688)),
ISNUMBER(SEARCH("IMPRESORA",B688)),
ISNUMBER(SEARCH("MULTIFUNCIONAL",B688)),
ISNUMBER(SEARCH("AIO",B688))
),
"GANCHO",
"NORMAL"
)
)</f>
        <v>NORMAL</v>
      </c>
    </row>
    <row r="687" spans="1:12" x14ac:dyDescent="0.25">
      <c r="A687" s="3" t="s">
        <v>1426</v>
      </c>
      <c r="B687" s="3" t="s">
        <v>1427</v>
      </c>
      <c r="C687" s="1">
        <v>20</v>
      </c>
      <c r="D687" s="1">
        <v>165.3</v>
      </c>
      <c r="E687" s="1" t="s">
        <v>218</v>
      </c>
      <c r="F687" s="1" t="s">
        <v>3425</v>
      </c>
      <c r="G687" s="3" t="s">
        <v>1428</v>
      </c>
      <c r="H687" s="11">
        <f>ROUND(
IF(L685="GANCHO",
   IF(I687&lt;=50,I687*1.1+4,IF(I687&lt;=120,I687*1.1+7,IF(I687&lt;=250,I687*1.1+11,I687*1.1+19))),
IF(L685="NORMAL",
   IF(I687&lt;=30,I687*1.15+2,IF(I687&lt;=80,I687*1.15+4,IF(I687&lt;=150,I687*1.15+6,I687*1.15+8))),
IF(L685="COMPLEMENTO",
   IF(I687&lt;=25,I687*1.25+1.5,IF(I687&lt;=60,I687*1.25+3,IF(I687&lt;=120,I687*1.25+4,I687*1.25+5))),
""))),2)</f>
        <v>788.61</v>
      </c>
      <c r="I687" s="9">
        <f>($K$2+0.02)*Tabla1[[#This Row],[PRECIO $]]*1.18</f>
        <v>678.78791999999999</v>
      </c>
      <c r="J687" s="7">
        <f>+Tabla1[[#This Row],[PRECIO EN SOLES]]-Tabla1[[#This Row],[PC]]</f>
        <v>109.82208000000003</v>
      </c>
      <c r="K687" s="15"/>
      <c r="L687" s="15" t="str">
        <f>IF(
OR(
ISNUMBER(SEARCH("BACKPACK",B689)),
ISNUMBER(SEARCH("MOCHILA",B689)),
ISNUMBER(SEARCH("FUNDA",B689)),
ISNUMBER(SEARCH("ESTUCHE",B689)),
ISNUMBER(SEARCH("BOOK COVER",B689)),
ISNUMBER(SEARCH("KEYBOARD PARA TABLET",B689)),
ISNUMBER(SEARCH("FLIP TABLET",B689)),
ISNUMBER(SEARCH("CASE FOR TABLET",B689)),
ISNUMBER(SEARCH("CABLE",B689)),
ISNUMBER(SEARCH("ADAPTADOR",B689)),
ISNUMBER(SEARCH("HUB",B689)),
ISNUMBER(SEARCH("DOCK",B689)),
ISNUMBER(SEARCH("MOUSE PAD",B689)),
ISNUMBER(SEARCH("MOUSEPAD",B689)),
ISNUMBER(SEARCH("SOPORTE",B689)),
ISNUMBER(SEARCH("STAND",B689)),
ISNUMBER(SEARCH("TRAVEL ADAPTER",B689)),
ISNUMBER(SEARCH("RJ45",B689)),
ISNUMBER(SEARCH("USB-C",B689)),
ISNUMBER(SEARCH("USB WIFI",B689)),
ISNUMBER(SEARCH("POWERBANK",B689)),
ISNUMBER(SEARCH("CARGADOR",B689)),
ISNUMBER(SEARCH("COOLER PARA NB",B689)),
ISNUMBER(SEARCH("SOPORTE PARA NB",B689)),
ISNUMBER(SEARCH("WEBCAM",B689)),
ISNUMBER(SEARCH("WEB CAM",B689)),
ISNUMBER(SEARCH("MOUSE",B689)),
ISNUMBER(SEARCH("TECLADO",B689))
),
"COMPLEMENTO",
IF(
OR(
LEFT(A689,2)="NB",
LEFT(A689,2)="PC",
LEFT(A689,2)="WS",
LEFT(A689,2)="TB",
LEFT(A689,3)="CEL",
LEFT(A689,3)="MON",
LEFT(A689,3)="PRE",
LEFT(A689,3)="PRH",
ISNUMBER(SEARCH("NOTEBOOK",B689)),
ISNUMBER(SEARCH("LAPTOP",B689)),
ISNUMBER(SEARCH("MONITOR",B689)),
ISNUMBER(SEARCH("TABLET",B689)),
ISNUMBER(SEARCH("SMARTPH",B689)),
ISNUMBER(SEARCH("IMPRESORA",B689)),
ISNUMBER(SEARCH("MULTIFUNCIONAL",B689)),
ISNUMBER(SEARCH("AIO",B689))
),
"GANCHO",
"NORMAL"
)
)</f>
        <v>NORMAL</v>
      </c>
    </row>
    <row r="688" spans="1:12" x14ac:dyDescent="0.25">
      <c r="A688" s="3" t="s">
        <v>6300</v>
      </c>
      <c r="B688" s="3" t="s">
        <v>6301</v>
      </c>
      <c r="C688" s="1">
        <v>20</v>
      </c>
      <c r="D688" s="1">
        <v>16.43</v>
      </c>
      <c r="E688" s="1" t="s">
        <v>218</v>
      </c>
      <c r="F688" s="1" t="s">
        <v>6302</v>
      </c>
      <c r="G688" s="3"/>
      <c r="H688" s="11">
        <f>ROUND(
IF(L686="GANCHO",
   IF(I688&lt;=50,I688*1.1+4,IF(I688&lt;=120,I688*1.1+7,IF(I688&lt;=250,I688*1.1+11,I688*1.1+19))),
IF(L686="NORMAL",
   IF(I688&lt;=30,I688*1.15+2,IF(I688&lt;=80,I688*1.15+4,IF(I688&lt;=150,I688*1.15+6,I688*1.15+8))),
IF(L686="COMPLEMENTO",
   IF(I688&lt;=25,I688*1.25+1.5,IF(I688&lt;=60,I688*1.25+3,IF(I688&lt;=120,I688*1.25+4,I688*1.25+5))),
""))),2)</f>
        <v>81.59</v>
      </c>
      <c r="I688" s="9">
        <f>($K$2+0.02)*Tabla1[[#This Row],[PRECIO $]]*1.18</f>
        <v>67.468152000000003</v>
      </c>
      <c r="J688" s="7">
        <f>+Tabla1[[#This Row],[PRECIO EN SOLES]]-Tabla1[[#This Row],[PC]]</f>
        <v>14.121848</v>
      </c>
      <c r="K688" s="15"/>
      <c r="L688" s="15" t="str">
        <f>IF(
OR(
ISNUMBER(SEARCH("BACKPACK",B690)),
ISNUMBER(SEARCH("MOCHILA",B690)),
ISNUMBER(SEARCH("FUNDA",B690)),
ISNUMBER(SEARCH("ESTUCHE",B690)),
ISNUMBER(SEARCH("BOOK COVER",B690)),
ISNUMBER(SEARCH("KEYBOARD PARA TABLET",B690)),
ISNUMBER(SEARCH("FLIP TABLET",B690)),
ISNUMBER(SEARCH("CASE FOR TABLET",B690)),
ISNUMBER(SEARCH("CABLE",B690)),
ISNUMBER(SEARCH("ADAPTADOR",B690)),
ISNUMBER(SEARCH("HUB",B690)),
ISNUMBER(SEARCH("DOCK",B690)),
ISNUMBER(SEARCH("MOUSE PAD",B690)),
ISNUMBER(SEARCH("MOUSEPAD",B690)),
ISNUMBER(SEARCH("SOPORTE",B690)),
ISNUMBER(SEARCH("STAND",B690)),
ISNUMBER(SEARCH("TRAVEL ADAPTER",B690)),
ISNUMBER(SEARCH("RJ45",B690)),
ISNUMBER(SEARCH("USB-C",B690)),
ISNUMBER(SEARCH("USB WIFI",B690)),
ISNUMBER(SEARCH("POWERBANK",B690)),
ISNUMBER(SEARCH("CARGADOR",B690)),
ISNUMBER(SEARCH("COOLER PARA NB",B690)),
ISNUMBER(SEARCH("SOPORTE PARA NB",B690)),
ISNUMBER(SEARCH("WEBCAM",B690)),
ISNUMBER(SEARCH("WEB CAM",B690)),
ISNUMBER(SEARCH("MOUSE",B690)),
ISNUMBER(SEARCH("TECLADO",B690))
),
"COMPLEMENTO",
IF(
OR(
LEFT(A690,2)="NB",
LEFT(A690,2)="PC",
LEFT(A690,2)="WS",
LEFT(A690,2)="TB",
LEFT(A690,3)="CEL",
LEFT(A690,3)="MON",
LEFT(A690,3)="PRE",
LEFT(A690,3)="PRH",
ISNUMBER(SEARCH("NOTEBOOK",B690)),
ISNUMBER(SEARCH("LAPTOP",B690)),
ISNUMBER(SEARCH("MONITOR",B690)),
ISNUMBER(SEARCH("TABLET",B690)),
ISNUMBER(SEARCH("SMARTPH",B690)),
ISNUMBER(SEARCH("IMPRESORA",B690)),
ISNUMBER(SEARCH("MULTIFUNCIONAL",B690)),
ISNUMBER(SEARCH("AIO",B690))
),
"GANCHO",
"NORMAL"
)
)</f>
        <v>NORMAL</v>
      </c>
    </row>
    <row r="689" spans="1:12" x14ac:dyDescent="0.25">
      <c r="A689" s="3" t="s">
        <v>1429</v>
      </c>
      <c r="B689" s="3" t="s">
        <v>1430</v>
      </c>
      <c r="C689" s="1">
        <v>3</v>
      </c>
      <c r="D689" s="1">
        <v>11.01</v>
      </c>
      <c r="E689" s="1" t="s">
        <v>218</v>
      </c>
      <c r="F689" s="1" t="s">
        <v>3426</v>
      </c>
      <c r="G689" s="3" t="s">
        <v>1431</v>
      </c>
      <c r="H689" s="11">
        <f>ROUND(
IF(L687="GANCHO",
   IF(I689&lt;=50,I689*1.1+4,IF(I689&lt;=120,I689*1.1+7,IF(I689&lt;=250,I689*1.1+11,I689*1.1+19))),
IF(L687="NORMAL",
   IF(I689&lt;=30,I689*1.15+2,IF(I689&lt;=80,I689*1.15+4,IF(I689&lt;=150,I689*1.15+6,I689*1.15+8))),
IF(L687="COMPLEMENTO",
   IF(I689&lt;=25,I689*1.25+1.5,IF(I689&lt;=60,I689*1.25+3,IF(I689&lt;=120,I689*1.25+4,I689*1.25+5))),
""))),2)</f>
        <v>55.99</v>
      </c>
      <c r="I689" s="9">
        <f>($K$2+0.02)*Tabla1[[#This Row],[PRECIO $]]*1.18</f>
        <v>45.211463999999992</v>
      </c>
      <c r="J689" s="7">
        <f>+Tabla1[[#This Row],[PRECIO EN SOLES]]-Tabla1[[#This Row],[PC]]</f>
        <v>10.77853600000001</v>
      </c>
      <c r="K689" s="15"/>
      <c r="L689" s="15" t="str">
        <f>IF(
OR(
ISNUMBER(SEARCH("BACKPACK",B691)),
ISNUMBER(SEARCH("MOCHILA",B691)),
ISNUMBER(SEARCH("FUNDA",B691)),
ISNUMBER(SEARCH("ESTUCHE",B691)),
ISNUMBER(SEARCH("BOOK COVER",B691)),
ISNUMBER(SEARCH("KEYBOARD PARA TABLET",B691)),
ISNUMBER(SEARCH("FLIP TABLET",B691)),
ISNUMBER(SEARCH("CASE FOR TABLET",B691)),
ISNUMBER(SEARCH("CABLE",B691)),
ISNUMBER(SEARCH("ADAPTADOR",B691)),
ISNUMBER(SEARCH("HUB",B691)),
ISNUMBER(SEARCH("DOCK",B691)),
ISNUMBER(SEARCH("MOUSE PAD",B691)),
ISNUMBER(SEARCH("MOUSEPAD",B691)),
ISNUMBER(SEARCH("SOPORTE",B691)),
ISNUMBER(SEARCH("STAND",B691)),
ISNUMBER(SEARCH("TRAVEL ADAPTER",B691)),
ISNUMBER(SEARCH("RJ45",B691)),
ISNUMBER(SEARCH("USB-C",B691)),
ISNUMBER(SEARCH("USB WIFI",B691)),
ISNUMBER(SEARCH("POWERBANK",B691)),
ISNUMBER(SEARCH("CARGADOR",B691)),
ISNUMBER(SEARCH("COOLER PARA NB",B691)),
ISNUMBER(SEARCH("SOPORTE PARA NB",B691)),
ISNUMBER(SEARCH("WEBCAM",B691)),
ISNUMBER(SEARCH("WEB CAM",B691)),
ISNUMBER(SEARCH("MOUSE",B691)),
ISNUMBER(SEARCH("TECLADO",B691))
),
"COMPLEMENTO",
IF(
OR(
LEFT(A691,2)="NB",
LEFT(A691,2)="PC",
LEFT(A691,2)="WS",
LEFT(A691,2)="TB",
LEFT(A691,3)="CEL",
LEFT(A691,3)="MON",
LEFT(A691,3)="PRE",
LEFT(A691,3)="PRH",
ISNUMBER(SEARCH("NOTEBOOK",B691)),
ISNUMBER(SEARCH("LAPTOP",B691)),
ISNUMBER(SEARCH("MONITOR",B691)),
ISNUMBER(SEARCH("TABLET",B691)),
ISNUMBER(SEARCH("SMARTPH",B691)),
ISNUMBER(SEARCH("IMPRESORA",B691)),
ISNUMBER(SEARCH("MULTIFUNCIONAL",B691)),
ISNUMBER(SEARCH("AIO",B691))
),
"GANCHO",
"NORMAL"
)
)</f>
        <v>NORMAL</v>
      </c>
    </row>
    <row r="690" spans="1:12" x14ac:dyDescent="0.25">
      <c r="A690" s="3" t="s">
        <v>6303</v>
      </c>
      <c r="B690" s="3" t="s">
        <v>6304</v>
      </c>
      <c r="C690" s="1">
        <v>20</v>
      </c>
      <c r="D690" s="1">
        <v>7.02</v>
      </c>
      <c r="E690" s="1" t="s">
        <v>218</v>
      </c>
      <c r="F690" s="1" t="s">
        <v>6305</v>
      </c>
      <c r="G690" s="3" t="s">
        <v>6306</v>
      </c>
      <c r="H690" s="11">
        <f>ROUND(
IF(L688="GANCHO",
   IF(I690&lt;=50,I690*1.1+4,IF(I690&lt;=120,I690*1.1+7,IF(I690&lt;=250,I690*1.1+11,I690*1.1+19))),
IF(L688="NORMAL",
   IF(I690&lt;=30,I690*1.15+2,IF(I690&lt;=80,I690*1.15+4,IF(I690&lt;=150,I690*1.15+6,I690*1.15+8))),
IF(L688="COMPLEMENTO",
   IF(I690&lt;=25,I690*1.25+1.5,IF(I690&lt;=60,I690*1.25+3,IF(I690&lt;=120,I690*1.25+4,I690*1.25+5))),
""))),2)</f>
        <v>35.15</v>
      </c>
      <c r="I690" s="9">
        <f>($K$2+0.02)*Tabla1[[#This Row],[PRECIO $]]*1.18</f>
        <v>28.826927999999995</v>
      </c>
      <c r="J690" s="7">
        <f>+Tabla1[[#This Row],[PRECIO EN SOLES]]-Tabla1[[#This Row],[PC]]</f>
        <v>6.3230720000000034</v>
      </c>
      <c r="K690" s="15"/>
      <c r="L690" s="15" t="str">
        <f>IF(
OR(
ISNUMBER(SEARCH("BACKPACK",B692)),
ISNUMBER(SEARCH("MOCHILA",B692)),
ISNUMBER(SEARCH("FUNDA",B692)),
ISNUMBER(SEARCH("ESTUCHE",B692)),
ISNUMBER(SEARCH("BOOK COVER",B692)),
ISNUMBER(SEARCH("KEYBOARD PARA TABLET",B692)),
ISNUMBER(SEARCH("FLIP TABLET",B692)),
ISNUMBER(SEARCH("CASE FOR TABLET",B692)),
ISNUMBER(SEARCH("CABLE",B692)),
ISNUMBER(SEARCH("ADAPTADOR",B692)),
ISNUMBER(SEARCH("HUB",B692)),
ISNUMBER(SEARCH("DOCK",B692)),
ISNUMBER(SEARCH("MOUSE PAD",B692)),
ISNUMBER(SEARCH("MOUSEPAD",B692)),
ISNUMBER(SEARCH("SOPORTE",B692)),
ISNUMBER(SEARCH("STAND",B692)),
ISNUMBER(SEARCH("TRAVEL ADAPTER",B692)),
ISNUMBER(SEARCH("RJ45",B692)),
ISNUMBER(SEARCH("USB-C",B692)),
ISNUMBER(SEARCH("USB WIFI",B692)),
ISNUMBER(SEARCH("POWERBANK",B692)),
ISNUMBER(SEARCH("CARGADOR",B692)),
ISNUMBER(SEARCH("COOLER PARA NB",B692)),
ISNUMBER(SEARCH("SOPORTE PARA NB",B692)),
ISNUMBER(SEARCH("WEBCAM",B692)),
ISNUMBER(SEARCH("WEB CAM",B692)),
ISNUMBER(SEARCH("MOUSE",B692)),
ISNUMBER(SEARCH("TECLADO",B692))
),
"COMPLEMENTO",
IF(
OR(
LEFT(A692,2)="NB",
LEFT(A692,2)="PC",
LEFT(A692,2)="WS",
LEFT(A692,2)="TB",
LEFT(A692,3)="CEL",
LEFT(A692,3)="MON",
LEFT(A692,3)="PRE",
LEFT(A692,3)="PRH",
ISNUMBER(SEARCH("NOTEBOOK",B692)),
ISNUMBER(SEARCH("LAPTOP",B692)),
ISNUMBER(SEARCH("MONITOR",B692)),
ISNUMBER(SEARCH("TABLET",B692)),
ISNUMBER(SEARCH("SMARTPH",B692)),
ISNUMBER(SEARCH("IMPRESORA",B692)),
ISNUMBER(SEARCH("MULTIFUNCIONAL",B692)),
ISNUMBER(SEARCH("AIO",B692))
),
"GANCHO",
"NORMAL"
)
)</f>
        <v>NORMAL</v>
      </c>
    </row>
    <row r="691" spans="1:12" x14ac:dyDescent="0.25">
      <c r="A691" s="3" t="s">
        <v>4513</v>
      </c>
      <c r="B691" s="3" t="s">
        <v>4514</v>
      </c>
      <c r="C691" s="1">
        <v>1</v>
      </c>
      <c r="D691" s="1">
        <v>5.81</v>
      </c>
      <c r="E691" s="1" t="s">
        <v>218</v>
      </c>
      <c r="F691" s="1" t="s">
        <v>4515</v>
      </c>
      <c r="G691" s="3" t="s">
        <v>4516</v>
      </c>
      <c r="H691" s="11">
        <f>ROUND(
IF(L689="GANCHO",
   IF(I691&lt;=50,I691*1.1+4,IF(I691&lt;=120,I691*1.1+7,IF(I691&lt;=250,I691*1.1+11,I691*1.1+19))),
IF(L689="NORMAL",
   IF(I691&lt;=30,I691*1.15+2,IF(I691&lt;=80,I691*1.15+4,IF(I691&lt;=150,I691*1.15+6,I691*1.15+8))),
IF(L689="COMPLEMENTO",
   IF(I691&lt;=25,I691*1.25+1.5,IF(I691&lt;=60,I691*1.25+3,IF(I691&lt;=120,I691*1.25+4,I691*1.25+5))),
""))),2)</f>
        <v>29.44</v>
      </c>
      <c r="I691" s="9">
        <f>($K$2+0.02)*Tabla1[[#This Row],[PRECIO $]]*1.18</f>
        <v>23.858183999999998</v>
      </c>
      <c r="J691" s="7">
        <f>+Tabla1[[#This Row],[PRECIO EN SOLES]]-Tabla1[[#This Row],[PC]]</f>
        <v>5.5818160000000034</v>
      </c>
      <c r="K691" s="15"/>
      <c r="L691" s="15" t="str">
        <f>IF(
OR(
ISNUMBER(SEARCH("BACKPACK",B693)),
ISNUMBER(SEARCH("MOCHILA",B693)),
ISNUMBER(SEARCH("FUNDA",B693)),
ISNUMBER(SEARCH("ESTUCHE",B693)),
ISNUMBER(SEARCH("BOOK COVER",B693)),
ISNUMBER(SEARCH("KEYBOARD PARA TABLET",B693)),
ISNUMBER(SEARCH("FLIP TABLET",B693)),
ISNUMBER(SEARCH("CASE FOR TABLET",B693)),
ISNUMBER(SEARCH("CABLE",B693)),
ISNUMBER(SEARCH("ADAPTADOR",B693)),
ISNUMBER(SEARCH("HUB",B693)),
ISNUMBER(SEARCH("DOCK",B693)),
ISNUMBER(SEARCH("MOUSE PAD",B693)),
ISNUMBER(SEARCH("MOUSEPAD",B693)),
ISNUMBER(SEARCH("SOPORTE",B693)),
ISNUMBER(SEARCH("STAND",B693)),
ISNUMBER(SEARCH("TRAVEL ADAPTER",B693)),
ISNUMBER(SEARCH("RJ45",B693)),
ISNUMBER(SEARCH("USB-C",B693)),
ISNUMBER(SEARCH("USB WIFI",B693)),
ISNUMBER(SEARCH("POWERBANK",B693)),
ISNUMBER(SEARCH("CARGADOR",B693)),
ISNUMBER(SEARCH("COOLER PARA NB",B693)),
ISNUMBER(SEARCH("SOPORTE PARA NB",B693)),
ISNUMBER(SEARCH("WEBCAM",B693)),
ISNUMBER(SEARCH("WEB CAM",B693)),
ISNUMBER(SEARCH("MOUSE",B693)),
ISNUMBER(SEARCH("TECLADO",B693))
),
"COMPLEMENTO",
IF(
OR(
LEFT(A693,2)="NB",
LEFT(A693,2)="PC",
LEFT(A693,2)="WS",
LEFT(A693,2)="TB",
LEFT(A693,3)="CEL",
LEFT(A693,3)="MON",
LEFT(A693,3)="PRE",
LEFT(A693,3)="PRH",
ISNUMBER(SEARCH("NOTEBOOK",B693)),
ISNUMBER(SEARCH("LAPTOP",B693)),
ISNUMBER(SEARCH("MONITOR",B693)),
ISNUMBER(SEARCH("TABLET",B693)),
ISNUMBER(SEARCH("SMARTPH",B693)),
ISNUMBER(SEARCH("IMPRESORA",B693)),
ISNUMBER(SEARCH("MULTIFUNCIONAL",B693)),
ISNUMBER(SEARCH("AIO",B693))
),
"GANCHO",
"NORMAL"
)
)</f>
        <v>NORMAL</v>
      </c>
    </row>
    <row r="692" spans="1:12" x14ac:dyDescent="0.25">
      <c r="A692" s="3" t="s">
        <v>259</v>
      </c>
      <c r="B692" s="3" t="s">
        <v>260</v>
      </c>
      <c r="C692" s="1">
        <v>20</v>
      </c>
      <c r="D692" s="1">
        <v>18.62</v>
      </c>
      <c r="E692" s="1" t="s">
        <v>196</v>
      </c>
      <c r="F692" s="1" t="s">
        <v>3427</v>
      </c>
      <c r="G692" s="3" t="s">
        <v>261</v>
      </c>
      <c r="H692" s="11">
        <f>ROUND(
IF(L690="GANCHO",
   IF(I692&lt;=50,I692*1.1+4,IF(I692&lt;=120,I692*1.1+7,IF(I692&lt;=250,I692*1.1+11,I692*1.1+19))),
IF(L690="NORMAL",
   IF(I692&lt;=30,I692*1.15+2,IF(I692&lt;=80,I692*1.15+4,IF(I692&lt;=150,I692*1.15+6,I692*1.15+8))),
IF(L690="COMPLEMENTO",
   IF(I692&lt;=25,I692*1.25+1.5,IF(I692&lt;=60,I692*1.25+3,IF(I692&lt;=120,I692*1.25+4,I692*1.25+5))),
""))),2)</f>
        <v>91.93</v>
      </c>
      <c r="I692" s="9">
        <f>($K$2+0.02)*Tabla1[[#This Row],[PRECIO $]]*1.18</f>
        <v>76.461168000000001</v>
      </c>
      <c r="J692" s="7">
        <f>+Tabla1[[#This Row],[PRECIO EN SOLES]]-Tabla1[[#This Row],[PC]]</f>
        <v>15.468832000000006</v>
      </c>
      <c r="K692" s="15"/>
      <c r="L692" s="15" t="str">
        <f>IF(
OR(
ISNUMBER(SEARCH("BACKPACK",B694)),
ISNUMBER(SEARCH("MOCHILA",B694)),
ISNUMBER(SEARCH("FUNDA",B694)),
ISNUMBER(SEARCH("ESTUCHE",B694)),
ISNUMBER(SEARCH("BOOK COVER",B694)),
ISNUMBER(SEARCH("KEYBOARD PARA TABLET",B694)),
ISNUMBER(SEARCH("FLIP TABLET",B694)),
ISNUMBER(SEARCH("CASE FOR TABLET",B694)),
ISNUMBER(SEARCH("CABLE",B694)),
ISNUMBER(SEARCH("ADAPTADOR",B694)),
ISNUMBER(SEARCH("HUB",B694)),
ISNUMBER(SEARCH("DOCK",B694)),
ISNUMBER(SEARCH("MOUSE PAD",B694)),
ISNUMBER(SEARCH("MOUSEPAD",B694)),
ISNUMBER(SEARCH("SOPORTE",B694)),
ISNUMBER(SEARCH("STAND",B694)),
ISNUMBER(SEARCH("TRAVEL ADAPTER",B694)),
ISNUMBER(SEARCH("RJ45",B694)),
ISNUMBER(SEARCH("USB-C",B694)),
ISNUMBER(SEARCH("USB WIFI",B694)),
ISNUMBER(SEARCH("POWERBANK",B694)),
ISNUMBER(SEARCH("CARGADOR",B694)),
ISNUMBER(SEARCH("COOLER PARA NB",B694)),
ISNUMBER(SEARCH("SOPORTE PARA NB",B694)),
ISNUMBER(SEARCH("WEBCAM",B694)),
ISNUMBER(SEARCH("WEB CAM",B694)),
ISNUMBER(SEARCH("MOUSE",B694)),
ISNUMBER(SEARCH("TECLADO",B694))
),
"COMPLEMENTO",
IF(
OR(
LEFT(A694,2)="NB",
LEFT(A694,2)="PC",
LEFT(A694,2)="WS",
LEFT(A694,2)="TB",
LEFT(A694,3)="CEL",
LEFT(A694,3)="MON",
LEFT(A694,3)="PRE",
LEFT(A694,3)="PRH",
ISNUMBER(SEARCH("NOTEBOOK",B694)),
ISNUMBER(SEARCH("LAPTOP",B694)),
ISNUMBER(SEARCH("MONITOR",B694)),
ISNUMBER(SEARCH("TABLET",B694)),
ISNUMBER(SEARCH("SMARTPH",B694)),
ISNUMBER(SEARCH("IMPRESORA",B694)),
ISNUMBER(SEARCH("MULTIFUNCIONAL",B694)),
ISNUMBER(SEARCH("AIO",B694))
),
"GANCHO",
"NORMAL"
)
)</f>
        <v>NORMAL</v>
      </c>
    </row>
    <row r="693" spans="1:12" x14ac:dyDescent="0.25">
      <c r="A693" s="3" t="s">
        <v>2841</v>
      </c>
      <c r="B693" s="3" t="s">
        <v>2842</v>
      </c>
      <c r="C693" s="1">
        <v>20</v>
      </c>
      <c r="D693" s="1">
        <v>35.56</v>
      </c>
      <c r="E693" s="1" t="s">
        <v>196</v>
      </c>
      <c r="F693" s="1" t="s">
        <v>3428</v>
      </c>
      <c r="G693" s="3" t="s">
        <v>261</v>
      </c>
      <c r="H693" s="11">
        <f>ROUND(
IF(L691="GANCHO",
   IF(I693&lt;=50,I693*1.1+4,IF(I693&lt;=120,I693*1.1+7,IF(I693&lt;=250,I693*1.1+11,I693*1.1+19))),
IF(L691="NORMAL",
   IF(I693&lt;=30,I693*1.15+2,IF(I693&lt;=80,I693*1.15+4,IF(I693&lt;=150,I693*1.15+6,I693*1.15+8))),
IF(L691="COMPLEMENTO",
   IF(I693&lt;=25,I693*1.25+1.5,IF(I693&lt;=60,I693*1.25+3,IF(I693&lt;=120,I693*1.25+4,I693*1.25+5))),
""))),2)</f>
        <v>173.93</v>
      </c>
      <c r="I693" s="9">
        <f>($K$2+0.02)*Tabla1[[#This Row],[PRECIO $]]*1.18</f>
        <v>146.023584</v>
      </c>
      <c r="J693" s="7">
        <f>+Tabla1[[#This Row],[PRECIO EN SOLES]]-Tabla1[[#This Row],[PC]]</f>
        <v>27.906416000000007</v>
      </c>
      <c r="K693" s="15"/>
      <c r="L693" s="15" t="str">
        <f>IF(
OR(
ISNUMBER(SEARCH("BACKPACK",B695)),
ISNUMBER(SEARCH("MOCHILA",B695)),
ISNUMBER(SEARCH("FUNDA",B695)),
ISNUMBER(SEARCH("ESTUCHE",B695)),
ISNUMBER(SEARCH("BOOK COVER",B695)),
ISNUMBER(SEARCH("KEYBOARD PARA TABLET",B695)),
ISNUMBER(SEARCH("FLIP TABLET",B695)),
ISNUMBER(SEARCH("CASE FOR TABLET",B695)),
ISNUMBER(SEARCH("CABLE",B695)),
ISNUMBER(SEARCH("ADAPTADOR",B695)),
ISNUMBER(SEARCH("HUB",B695)),
ISNUMBER(SEARCH("DOCK",B695)),
ISNUMBER(SEARCH("MOUSE PAD",B695)),
ISNUMBER(SEARCH("MOUSEPAD",B695)),
ISNUMBER(SEARCH("SOPORTE",B695)),
ISNUMBER(SEARCH("STAND",B695)),
ISNUMBER(SEARCH("TRAVEL ADAPTER",B695)),
ISNUMBER(SEARCH("RJ45",B695)),
ISNUMBER(SEARCH("USB-C",B695)),
ISNUMBER(SEARCH("USB WIFI",B695)),
ISNUMBER(SEARCH("POWERBANK",B695)),
ISNUMBER(SEARCH("CARGADOR",B695)),
ISNUMBER(SEARCH("COOLER PARA NB",B695)),
ISNUMBER(SEARCH("SOPORTE PARA NB",B695)),
ISNUMBER(SEARCH("WEBCAM",B695)),
ISNUMBER(SEARCH("WEB CAM",B695)),
ISNUMBER(SEARCH("MOUSE",B695)),
ISNUMBER(SEARCH("TECLADO",B695))
),
"COMPLEMENTO",
IF(
OR(
LEFT(A695,2)="NB",
LEFT(A695,2)="PC",
LEFT(A695,2)="WS",
LEFT(A695,2)="TB",
LEFT(A695,3)="CEL",
LEFT(A695,3)="MON",
LEFT(A695,3)="PRE",
LEFT(A695,3)="PRH",
ISNUMBER(SEARCH("NOTEBOOK",B695)),
ISNUMBER(SEARCH("LAPTOP",B695)),
ISNUMBER(SEARCH("MONITOR",B695)),
ISNUMBER(SEARCH("TABLET",B695)),
ISNUMBER(SEARCH("SMARTPH",B695)),
ISNUMBER(SEARCH("IMPRESORA",B695)),
ISNUMBER(SEARCH("MULTIFUNCIONAL",B695)),
ISNUMBER(SEARCH("AIO",B695))
),
"GANCHO",
"NORMAL"
)
)</f>
        <v>NORMAL</v>
      </c>
    </row>
    <row r="694" spans="1:12" x14ac:dyDescent="0.25">
      <c r="A694" s="3" t="s">
        <v>262</v>
      </c>
      <c r="B694" s="3" t="s">
        <v>263</v>
      </c>
      <c r="C694" s="1">
        <v>20</v>
      </c>
      <c r="D694" s="1">
        <v>14.4</v>
      </c>
      <c r="E694" s="1" t="s">
        <v>196</v>
      </c>
      <c r="F694" s="1" t="s">
        <v>3429</v>
      </c>
      <c r="G694" s="3" t="s">
        <v>261</v>
      </c>
      <c r="H694" s="11">
        <f>ROUND(
IF(L692="GANCHO",
   IF(I694&lt;=50,I694*1.1+4,IF(I694&lt;=120,I694*1.1+7,IF(I694&lt;=250,I694*1.1+11,I694*1.1+19))),
IF(L692="NORMAL",
   IF(I694&lt;=30,I694*1.15+2,IF(I694&lt;=80,I694*1.15+4,IF(I694&lt;=150,I694*1.15+6,I694*1.15+8))),
IF(L692="COMPLEMENTO",
   IF(I694&lt;=25,I694*1.25+1.5,IF(I694&lt;=60,I694*1.25+3,IF(I694&lt;=120,I694*1.25+4,I694*1.25+5))),
""))),2)</f>
        <v>72</v>
      </c>
      <c r="I694" s="9">
        <f>($K$2+0.02)*Tabla1[[#This Row],[PRECIO $]]*1.18</f>
        <v>59.132159999999999</v>
      </c>
      <c r="J694" s="7">
        <f>+Tabla1[[#This Row],[PRECIO EN SOLES]]-Tabla1[[#This Row],[PC]]</f>
        <v>12.867840000000001</v>
      </c>
      <c r="K694" s="15"/>
      <c r="L694" s="15" t="str">
        <f>IF(
OR(
ISNUMBER(SEARCH("BACKPACK",B696)),
ISNUMBER(SEARCH("MOCHILA",B696)),
ISNUMBER(SEARCH("FUNDA",B696)),
ISNUMBER(SEARCH("ESTUCHE",B696)),
ISNUMBER(SEARCH("BOOK COVER",B696)),
ISNUMBER(SEARCH("KEYBOARD PARA TABLET",B696)),
ISNUMBER(SEARCH("FLIP TABLET",B696)),
ISNUMBER(SEARCH("CASE FOR TABLET",B696)),
ISNUMBER(SEARCH("CABLE",B696)),
ISNUMBER(SEARCH("ADAPTADOR",B696)),
ISNUMBER(SEARCH("HUB",B696)),
ISNUMBER(SEARCH("DOCK",B696)),
ISNUMBER(SEARCH("MOUSE PAD",B696)),
ISNUMBER(SEARCH("MOUSEPAD",B696)),
ISNUMBER(SEARCH("SOPORTE",B696)),
ISNUMBER(SEARCH("STAND",B696)),
ISNUMBER(SEARCH("TRAVEL ADAPTER",B696)),
ISNUMBER(SEARCH("RJ45",B696)),
ISNUMBER(SEARCH("USB-C",B696)),
ISNUMBER(SEARCH("USB WIFI",B696)),
ISNUMBER(SEARCH("POWERBANK",B696)),
ISNUMBER(SEARCH("CARGADOR",B696)),
ISNUMBER(SEARCH("COOLER PARA NB",B696)),
ISNUMBER(SEARCH("SOPORTE PARA NB",B696)),
ISNUMBER(SEARCH("WEBCAM",B696)),
ISNUMBER(SEARCH("WEB CAM",B696)),
ISNUMBER(SEARCH("MOUSE",B696)),
ISNUMBER(SEARCH("TECLADO",B696))
),
"COMPLEMENTO",
IF(
OR(
LEFT(A696,2)="NB",
LEFT(A696,2)="PC",
LEFT(A696,2)="WS",
LEFT(A696,2)="TB",
LEFT(A696,3)="CEL",
LEFT(A696,3)="MON",
LEFT(A696,3)="PRE",
LEFT(A696,3)="PRH",
ISNUMBER(SEARCH("NOTEBOOK",B696)),
ISNUMBER(SEARCH("LAPTOP",B696)),
ISNUMBER(SEARCH("MONITOR",B696)),
ISNUMBER(SEARCH("TABLET",B696)),
ISNUMBER(SEARCH("SMARTPH",B696)),
ISNUMBER(SEARCH("IMPRESORA",B696)),
ISNUMBER(SEARCH("MULTIFUNCIONAL",B696)),
ISNUMBER(SEARCH("AIO",B696))
),
"GANCHO",
"NORMAL"
)
)</f>
        <v>NORMAL</v>
      </c>
    </row>
    <row r="695" spans="1:12" x14ac:dyDescent="0.25">
      <c r="A695" s="3" t="s">
        <v>2944</v>
      </c>
      <c r="B695" s="3" t="s">
        <v>2945</v>
      </c>
      <c r="C695" s="1">
        <v>20</v>
      </c>
      <c r="D695" s="1">
        <v>5.46</v>
      </c>
      <c r="E695" s="1" t="s">
        <v>196</v>
      </c>
      <c r="F695" s="1" t="s">
        <v>3430</v>
      </c>
      <c r="G695" s="3" t="s">
        <v>2946</v>
      </c>
      <c r="H695" s="11">
        <f>ROUND(
IF(L693="GANCHO",
   IF(I695&lt;=50,I695*1.1+4,IF(I695&lt;=120,I695*1.1+7,IF(I695&lt;=250,I695*1.1+11,I695*1.1+19))),
IF(L693="NORMAL",
   IF(I695&lt;=30,I695*1.15+2,IF(I695&lt;=80,I695*1.15+4,IF(I695&lt;=150,I695*1.15+6,I695*1.15+8))),
IF(L693="COMPLEMENTO",
   IF(I695&lt;=25,I695*1.25+1.5,IF(I695&lt;=60,I695*1.25+3,IF(I695&lt;=120,I695*1.25+4,I695*1.25+5))),
""))),2)</f>
        <v>27.78</v>
      </c>
      <c r="I695" s="9">
        <f>($K$2+0.02)*Tabla1[[#This Row],[PRECIO $]]*1.18</f>
        <v>22.420943999999995</v>
      </c>
      <c r="J695" s="7">
        <f>+Tabla1[[#This Row],[PRECIO EN SOLES]]-Tabla1[[#This Row],[PC]]</f>
        <v>5.359056000000006</v>
      </c>
      <c r="K695" s="15"/>
      <c r="L695" s="15" t="str">
        <f>IF(
OR(
ISNUMBER(SEARCH("BACKPACK",B697)),
ISNUMBER(SEARCH("MOCHILA",B697)),
ISNUMBER(SEARCH("FUNDA",B697)),
ISNUMBER(SEARCH("ESTUCHE",B697)),
ISNUMBER(SEARCH("BOOK COVER",B697)),
ISNUMBER(SEARCH("KEYBOARD PARA TABLET",B697)),
ISNUMBER(SEARCH("FLIP TABLET",B697)),
ISNUMBER(SEARCH("CASE FOR TABLET",B697)),
ISNUMBER(SEARCH("CABLE",B697)),
ISNUMBER(SEARCH("ADAPTADOR",B697)),
ISNUMBER(SEARCH("HUB",B697)),
ISNUMBER(SEARCH("DOCK",B697)),
ISNUMBER(SEARCH("MOUSE PAD",B697)),
ISNUMBER(SEARCH("MOUSEPAD",B697)),
ISNUMBER(SEARCH("SOPORTE",B697)),
ISNUMBER(SEARCH("STAND",B697)),
ISNUMBER(SEARCH("TRAVEL ADAPTER",B697)),
ISNUMBER(SEARCH("RJ45",B697)),
ISNUMBER(SEARCH("USB-C",B697)),
ISNUMBER(SEARCH("USB WIFI",B697)),
ISNUMBER(SEARCH("POWERBANK",B697)),
ISNUMBER(SEARCH("CARGADOR",B697)),
ISNUMBER(SEARCH("COOLER PARA NB",B697)),
ISNUMBER(SEARCH("SOPORTE PARA NB",B697)),
ISNUMBER(SEARCH("WEBCAM",B697)),
ISNUMBER(SEARCH("WEB CAM",B697)),
ISNUMBER(SEARCH("MOUSE",B697)),
ISNUMBER(SEARCH("TECLADO",B697))
),
"COMPLEMENTO",
IF(
OR(
LEFT(A697,2)="NB",
LEFT(A697,2)="PC",
LEFT(A697,2)="WS",
LEFT(A697,2)="TB",
LEFT(A697,3)="CEL",
LEFT(A697,3)="MON",
LEFT(A697,3)="PRE",
LEFT(A697,3)="PRH",
ISNUMBER(SEARCH("NOTEBOOK",B697)),
ISNUMBER(SEARCH("LAPTOP",B697)),
ISNUMBER(SEARCH("MONITOR",B697)),
ISNUMBER(SEARCH("TABLET",B697)),
ISNUMBER(SEARCH("SMARTPH",B697)),
ISNUMBER(SEARCH("IMPRESORA",B697)),
ISNUMBER(SEARCH("MULTIFUNCIONAL",B697)),
ISNUMBER(SEARCH("AIO",B697))
),
"GANCHO",
"NORMAL"
)
)</f>
        <v>NORMAL</v>
      </c>
    </row>
    <row r="696" spans="1:12" x14ac:dyDescent="0.25">
      <c r="A696" s="3" t="s">
        <v>2947</v>
      </c>
      <c r="B696" s="3" t="s">
        <v>2948</v>
      </c>
      <c r="C696" s="1">
        <v>20</v>
      </c>
      <c r="D696" s="1">
        <v>5.46</v>
      </c>
      <c r="E696" s="1" t="s">
        <v>196</v>
      </c>
      <c r="F696" s="1" t="s">
        <v>3431</v>
      </c>
      <c r="G696" s="3" t="s">
        <v>2949</v>
      </c>
      <c r="H696" s="11">
        <f>ROUND(
IF(L694="GANCHO",
   IF(I696&lt;=50,I696*1.1+4,IF(I696&lt;=120,I696*1.1+7,IF(I696&lt;=250,I696*1.1+11,I696*1.1+19))),
IF(L694="NORMAL",
   IF(I696&lt;=30,I696*1.15+2,IF(I696&lt;=80,I696*1.15+4,IF(I696&lt;=150,I696*1.15+6,I696*1.15+8))),
IF(L694="COMPLEMENTO",
   IF(I696&lt;=25,I696*1.25+1.5,IF(I696&lt;=60,I696*1.25+3,IF(I696&lt;=120,I696*1.25+4,I696*1.25+5))),
""))),2)</f>
        <v>27.78</v>
      </c>
      <c r="I696" s="9">
        <f>($K$2+0.02)*Tabla1[[#This Row],[PRECIO $]]*1.18</f>
        <v>22.420943999999995</v>
      </c>
      <c r="J696" s="7">
        <f>+Tabla1[[#This Row],[PRECIO EN SOLES]]-Tabla1[[#This Row],[PC]]</f>
        <v>5.359056000000006</v>
      </c>
      <c r="K696" s="15"/>
      <c r="L696" s="15" t="str">
        <f>IF(
OR(
ISNUMBER(SEARCH("BACKPACK",B698)),
ISNUMBER(SEARCH("MOCHILA",B698)),
ISNUMBER(SEARCH("FUNDA",B698)),
ISNUMBER(SEARCH("ESTUCHE",B698)),
ISNUMBER(SEARCH("BOOK COVER",B698)),
ISNUMBER(SEARCH("KEYBOARD PARA TABLET",B698)),
ISNUMBER(SEARCH("FLIP TABLET",B698)),
ISNUMBER(SEARCH("CASE FOR TABLET",B698)),
ISNUMBER(SEARCH("CABLE",B698)),
ISNUMBER(SEARCH("ADAPTADOR",B698)),
ISNUMBER(SEARCH("HUB",B698)),
ISNUMBER(SEARCH("DOCK",B698)),
ISNUMBER(SEARCH("MOUSE PAD",B698)),
ISNUMBER(SEARCH("MOUSEPAD",B698)),
ISNUMBER(SEARCH("SOPORTE",B698)),
ISNUMBER(SEARCH("STAND",B698)),
ISNUMBER(SEARCH("TRAVEL ADAPTER",B698)),
ISNUMBER(SEARCH("RJ45",B698)),
ISNUMBER(SEARCH("USB-C",B698)),
ISNUMBER(SEARCH("USB WIFI",B698)),
ISNUMBER(SEARCH("POWERBANK",B698)),
ISNUMBER(SEARCH("CARGADOR",B698)),
ISNUMBER(SEARCH("COOLER PARA NB",B698)),
ISNUMBER(SEARCH("SOPORTE PARA NB",B698)),
ISNUMBER(SEARCH("WEBCAM",B698)),
ISNUMBER(SEARCH("WEB CAM",B698)),
ISNUMBER(SEARCH("MOUSE",B698)),
ISNUMBER(SEARCH("TECLADO",B698))
),
"COMPLEMENTO",
IF(
OR(
LEFT(A698,2)="NB",
LEFT(A698,2)="PC",
LEFT(A698,2)="WS",
LEFT(A698,2)="TB",
LEFT(A698,3)="CEL",
LEFT(A698,3)="MON",
LEFT(A698,3)="PRE",
LEFT(A698,3)="PRH",
ISNUMBER(SEARCH("NOTEBOOK",B698)),
ISNUMBER(SEARCH("LAPTOP",B698)),
ISNUMBER(SEARCH("MONITOR",B698)),
ISNUMBER(SEARCH("TABLET",B698)),
ISNUMBER(SEARCH("SMARTPH",B698)),
ISNUMBER(SEARCH("IMPRESORA",B698)),
ISNUMBER(SEARCH("MULTIFUNCIONAL",B698)),
ISNUMBER(SEARCH("AIO",B698))
),
"GANCHO",
"NORMAL"
)
)</f>
        <v>NORMAL</v>
      </c>
    </row>
    <row r="697" spans="1:12" x14ac:dyDescent="0.25">
      <c r="A697" s="3" t="s">
        <v>2950</v>
      </c>
      <c r="B697" s="3" t="s">
        <v>2951</v>
      </c>
      <c r="C697" s="1">
        <v>20</v>
      </c>
      <c r="D697" s="1">
        <v>5.46</v>
      </c>
      <c r="E697" s="1" t="s">
        <v>196</v>
      </c>
      <c r="F697" s="1" t="s">
        <v>3432</v>
      </c>
      <c r="G697" s="3" t="s">
        <v>2952</v>
      </c>
      <c r="H697" s="11">
        <f>ROUND(
IF(L695="GANCHO",
   IF(I697&lt;=50,I697*1.1+4,IF(I697&lt;=120,I697*1.1+7,IF(I697&lt;=250,I697*1.1+11,I697*1.1+19))),
IF(L695="NORMAL",
   IF(I697&lt;=30,I697*1.15+2,IF(I697&lt;=80,I697*1.15+4,IF(I697&lt;=150,I697*1.15+6,I697*1.15+8))),
IF(L695="COMPLEMENTO",
   IF(I697&lt;=25,I697*1.25+1.5,IF(I697&lt;=60,I697*1.25+3,IF(I697&lt;=120,I697*1.25+4,I697*1.25+5))),
""))),2)</f>
        <v>27.78</v>
      </c>
      <c r="I697" s="9">
        <f>($K$2+0.02)*Tabla1[[#This Row],[PRECIO $]]*1.18</f>
        <v>22.420943999999995</v>
      </c>
      <c r="J697" s="7">
        <f>+Tabla1[[#This Row],[PRECIO EN SOLES]]-Tabla1[[#This Row],[PC]]</f>
        <v>5.359056000000006</v>
      </c>
      <c r="K697" s="15"/>
      <c r="L697" s="15" t="str">
        <f>IF(
OR(
ISNUMBER(SEARCH("BACKPACK",B699)),
ISNUMBER(SEARCH("MOCHILA",B699)),
ISNUMBER(SEARCH("FUNDA",B699)),
ISNUMBER(SEARCH("ESTUCHE",B699)),
ISNUMBER(SEARCH("BOOK COVER",B699)),
ISNUMBER(SEARCH("KEYBOARD PARA TABLET",B699)),
ISNUMBER(SEARCH("FLIP TABLET",B699)),
ISNUMBER(SEARCH("CASE FOR TABLET",B699)),
ISNUMBER(SEARCH("CABLE",B699)),
ISNUMBER(SEARCH("ADAPTADOR",B699)),
ISNUMBER(SEARCH("HUB",B699)),
ISNUMBER(SEARCH("DOCK",B699)),
ISNUMBER(SEARCH("MOUSE PAD",B699)),
ISNUMBER(SEARCH("MOUSEPAD",B699)),
ISNUMBER(SEARCH("SOPORTE",B699)),
ISNUMBER(SEARCH("STAND",B699)),
ISNUMBER(SEARCH("TRAVEL ADAPTER",B699)),
ISNUMBER(SEARCH("RJ45",B699)),
ISNUMBER(SEARCH("USB-C",B699)),
ISNUMBER(SEARCH("USB WIFI",B699)),
ISNUMBER(SEARCH("POWERBANK",B699)),
ISNUMBER(SEARCH("CARGADOR",B699)),
ISNUMBER(SEARCH("COOLER PARA NB",B699)),
ISNUMBER(SEARCH("SOPORTE PARA NB",B699)),
ISNUMBER(SEARCH("WEBCAM",B699)),
ISNUMBER(SEARCH("WEB CAM",B699)),
ISNUMBER(SEARCH("MOUSE",B699)),
ISNUMBER(SEARCH("TECLADO",B699))
),
"COMPLEMENTO",
IF(
OR(
LEFT(A699,2)="NB",
LEFT(A699,2)="PC",
LEFT(A699,2)="WS",
LEFT(A699,2)="TB",
LEFT(A699,3)="CEL",
LEFT(A699,3)="MON",
LEFT(A699,3)="PRE",
LEFT(A699,3)="PRH",
ISNUMBER(SEARCH("NOTEBOOK",B699)),
ISNUMBER(SEARCH("LAPTOP",B699)),
ISNUMBER(SEARCH("MONITOR",B699)),
ISNUMBER(SEARCH("TABLET",B699)),
ISNUMBER(SEARCH("SMARTPH",B699)),
ISNUMBER(SEARCH("IMPRESORA",B699)),
ISNUMBER(SEARCH("MULTIFUNCIONAL",B699)),
ISNUMBER(SEARCH("AIO",B699))
),
"GANCHO",
"NORMAL"
)
)</f>
        <v>NORMAL</v>
      </c>
    </row>
    <row r="698" spans="1:12" x14ac:dyDescent="0.25">
      <c r="A698" s="3" t="s">
        <v>2843</v>
      </c>
      <c r="B698" s="3" t="s">
        <v>2844</v>
      </c>
      <c r="C698" s="1">
        <v>20</v>
      </c>
      <c r="D698" s="1">
        <v>20.61</v>
      </c>
      <c r="E698" s="1" t="s">
        <v>196</v>
      </c>
      <c r="F698" s="1" t="s">
        <v>3433</v>
      </c>
      <c r="G698" s="3" t="s">
        <v>2845</v>
      </c>
      <c r="H698" s="11">
        <f>ROUND(
IF(L696="GANCHO",
   IF(I698&lt;=50,I698*1.1+4,IF(I698&lt;=120,I698*1.1+7,IF(I698&lt;=250,I698*1.1+11,I698*1.1+19))),
IF(L696="NORMAL",
   IF(I698&lt;=30,I698*1.15+2,IF(I698&lt;=80,I698*1.15+4,IF(I698&lt;=150,I698*1.15+6,I698*1.15+8))),
IF(L696="COMPLEMENTO",
   IF(I698&lt;=25,I698*1.25+1.5,IF(I698&lt;=60,I698*1.25+3,IF(I698&lt;=120,I698*1.25+4,I698*1.25+5))),
""))),2)</f>
        <v>103.33</v>
      </c>
      <c r="I698" s="9">
        <f>($K$2+0.02)*Tabla1[[#This Row],[PRECIO $]]*1.18</f>
        <v>84.632903999999982</v>
      </c>
      <c r="J698" s="7">
        <f>+Tabla1[[#This Row],[PRECIO EN SOLES]]-Tabla1[[#This Row],[PC]]</f>
        <v>18.697096000000016</v>
      </c>
      <c r="K698" s="15"/>
      <c r="L698" s="15" t="str">
        <f>IF(
OR(
ISNUMBER(SEARCH("BACKPACK",B700)),
ISNUMBER(SEARCH("MOCHILA",B700)),
ISNUMBER(SEARCH("FUNDA",B700)),
ISNUMBER(SEARCH("ESTUCHE",B700)),
ISNUMBER(SEARCH("BOOK COVER",B700)),
ISNUMBER(SEARCH("KEYBOARD PARA TABLET",B700)),
ISNUMBER(SEARCH("FLIP TABLET",B700)),
ISNUMBER(SEARCH("CASE FOR TABLET",B700)),
ISNUMBER(SEARCH("CABLE",B700)),
ISNUMBER(SEARCH("ADAPTADOR",B700)),
ISNUMBER(SEARCH("HUB",B700)),
ISNUMBER(SEARCH("DOCK",B700)),
ISNUMBER(SEARCH("MOUSE PAD",B700)),
ISNUMBER(SEARCH("MOUSEPAD",B700)),
ISNUMBER(SEARCH("SOPORTE",B700)),
ISNUMBER(SEARCH("STAND",B700)),
ISNUMBER(SEARCH("TRAVEL ADAPTER",B700)),
ISNUMBER(SEARCH("RJ45",B700)),
ISNUMBER(SEARCH("USB-C",B700)),
ISNUMBER(SEARCH("USB WIFI",B700)),
ISNUMBER(SEARCH("POWERBANK",B700)),
ISNUMBER(SEARCH("CARGADOR",B700)),
ISNUMBER(SEARCH("COOLER PARA NB",B700)),
ISNUMBER(SEARCH("SOPORTE PARA NB",B700)),
ISNUMBER(SEARCH("WEBCAM",B700)),
ISNUMBER(SEARCH("WEB CAM",B700)),
ISNUMBER(SEARCH("MOUSE",B700)),
ISNUMBER(SEARCH("TECLADO",B700))
),
"COMPLEMENTO",
IF(
OR(
LEFT(A700,2)="NB",
LEFT(A700,2)="PC",
LEFT(A700,2)="WS",
LEFT(A700,2)="TB",
LEFT(A700,3)="CEL",
LEFT(A700,3)="MON",
LEFT(A700,3)="PRE",
LEFT(A700,3)="PRH",
ISNUMBER(SEARCH("NOTEBOOK",B700)),
ISNUMBER(SEARCH("LAPTOP",B700)),
ISNUMBER(SEARCH("MONITOR",B700)),
ISNUMBER(SEARCH("TABLET",B700)),
ISNUMBER(SEARCH("SMARTPH",B700)),
ISNUMBER(SEARCH("IMPRESORA",B700)),
ISNUMBER(SEARCH("MULTIFUNCIONAL",B700)),
ISNUMBER(SEARCH("AIO",B700))
),
"GANCHO",
"NORMAL"
)
)</f>
        <v>NORMAL</v>
      </c>
    </row>
    <row r="699" spans="1:12" x14ac:dyDescent="0.25">
      <c r="A699" s="3" t="s">
        <v>1432</v>
      </c>
      <c r="B699" s="3" t="s">
        <v>1433</v>
      </c>
      <c r="C699" s="1">
        <v>0</v>
      </c>
      <c r="D699" s="1">
        <v>5.66</v>
      </c>
      <c r="E699" s="1" t="s">
        <v>218</v>
      </c>
      <c r="F699" s="1" t="s">
        <v>3434</v>
      </c>
      <c r="G699" s="3" t="s">
        <v>1434</v>
      </c>
      <c r="H699" s="11">
        <f>ROUND(
IF(L697="GANCHO",
   IF(I699&lt;=50,I699*1.1+4,IF(I699&lt;=120,I699*1.1+7,IF(I699&lt;=250,I699*1.1+11,I699*1.1+19))),
IF(L697="NORMAL",
   IF(I699&lt;=30,I699*1.15+2,IF(I699&lt;=80,I699*1.15+4,IF(I699&lt;=150,I699*1.15+6,I699*1.15+8))),
IF(L697="COMPLEMENTO",
   IF(I699&lt;=25,I699*1.25+1.5,IF(I699&lt;=60,I699*1.25+3,IF(I699&lt;=120,I699*1.25+4,I699*1.25+5))),
""))),2)</f>
        <v>28.73</v>
      </c>
      <c r="I699" s="9">
        <f>($K$2+0.02)*Tabla1[[#This Row],[PRECIO $]]*1.18</f>
        <v>23.242223999999997</v>
      </c>
      <c r="J699" s="7">
        <f>+Tabla1[[#This Row],[PRECIO EN SOLES]]-Tabla1[[#This Row],[PC]]</f>
        <v>5.4877760000000038</v>
      </c>
      <c r="K699" s="15"/>
      <c r="L699" s="15" t="str">
        <f>IF(
OR(
ISNUMBER(SEARCH("BACKPACK",B701)),
ISNUMBER(SEARCH("MOCHILA",B701)),
ISNUMBER(SEARCH("FUNDA",B701)),
ISNUMBER(SEARCH("ESTUCHE",B701)),
ISNUMBER(SEARCH("BOOK COVER",B701)),
ISNUMBER(SEARCH("KEYBOARD PARA TABLET",B701)),
ISNUMBER(SEARCH("FLIP TABLET",B701)),
ISNUMBER(SEARCH("CASE FOR TABLET",B701)),
ISNUMBER(SEARCH("CABLE",B701)),
ISNUMBER(SEARCH("ADAPTADOR",B701)),
ISNUMBER(SEARCH("HUB",B701)),
ISNUMBER(SEARCH("DOCK",B701)),
ISNUMBER(SEARCH("MOUSE PAD",B701)),
ISNUMBER(SEARCH("MOUSEPAD",B701)),
ISNUMBER(SEARCH("SOPORTE",B701)),
ISNUMBER(SEARCH("STAND",B701)),
ISNUMBER(SEARCH("TRAVEL ADAPTER",B701)),
ISNUMBER(SEARCH("RJ45",B701)),
ISNUMBER(SEARCH("USB-C",B701)),
ISNUMBER(SEARCH("USB WIFI",B701)),
ISNUMBER(SEARCH("POWERBANK",B701)),
ISNUMBER(SEARCH("CARGADOR",B701)),
ISNUMBER(SEARCH("COOLER PARA NB",B701)),
ISNUMBER(SEARCH("SOPORTE PARA NB",B701)),
ISNUMBER(SEARCH("WEBCAM",B701)),
ISNUMBER(SEARCH("WEB CAM",B701)),
ISNUMBER(SEARCH("MOUSE",B701)),
ISNUMBER(SEARCH("TECLADO",B701))
),
"COMPLEMENTO",
IF(
OR(
LEFT(A701,2)="NB",
LEFT(A701,2)="PC",
LEFT(A701,2)="WS",
LEFT(A701,2)="TB",
LEFT(A701,3)="CEL",
LEFT(A701,3)="MON",
LEFT(A701,3)="PRE",
LEFT(A701,3)="PRH",
ISNUMBER(SEARCH("NOTEBOOK",B701)),
ISNUMBER(SEARCH("LAPTOP",B701)),
ISNUMBER(SEARCH("MONITOR",B701)),
ISNUMBER(SEARCH("TABLET",B701)),
ISNUMBER(SEARCH("SMARTPH",B701)),
ISNUMBER(SEARCH("IMPRESORA",B701)),
ISNUMBER(SEARCH("MULTIFUNCIONAL",B701)),
ISNUMBER(SEARCH("AIO",B701))
),
"GANCHO",
"NORMAL"
)
)</f>
        <v>NORMAL</v>
      </c>
    </row>
    <row r="700" spans="1:12" x14ac:dyDescent="0.25">
      <c r="A700" s="3" t="s">
        <v>2953</v>
      </c>
      <c r="B700" s="3" t="s">
        <v>2954</v>
      </c>
      <c r="C700" s="1">
        <v>20</v>
      </c>
      <c r="D700" s="1">
        <v>24.97</v>
      </c>
      <c r="E700" s="1" t="s">
        <v>196</v>
      </c>
      <c r="F700" s="1" t="s">
        <v>3435</v>
      </c>
      <c r="G700" s="3" t="s">
        <v>2955</v>
      </c>
      <c r="H700" s="11">
        <f>ROUND(
IF(L698="GANCHO",
   IF(I700&lt;=50,I700*1.1+4,IF(I700&lt;=120,I700*1.1+7,IF(I700&lt;=250,I700*1.1+11,I700*1.1+19))),
IF(L698="NORMAL",
   IF(I700&lt;=30,I700*1.15+2,IF(I700&lt;=80,I700*1.15+4,IF(I700&lt;=150,I700*1.15+6,I700*1.15+8))),
IF(L698="COMPLEMENTO",
   IF(I700&lt;=25,I700*1.25+1.5,IF(I700&lt;=60,I700*1.25+3,IF(I700&lt;=120,I700*1.25+4,I700*1.25+5))),
""))),2)</f>
        <v>123.92</v>
      </c>
      <c r="I700" s="9">
        <f>($K$2+0.02)*Tabla1[[#This Row],[PRECIO $]]*1.18</f>
        <v>102.53680799999999</v>
      </c>
      <c r="J700" s="7">
        <f>+Tabla1[[#This Row],[PRECIO EN SOLES]]-Tabla1[[#This Row],[PC]]</f>
        <v>21.383192000000008</v>
      </c>
      <c r="K700" s="15"/>
      <c r="L700" s="15" t="str">
        <f>IF(
OR(
ISNUMBER(SEARCH("BACKPACK",B702)),
ISNUMBER(SEARCH("MOCHILA",B702)),
ISNUMBER(SEARCH("FUNDA",B702)),
ISNUMBER(SEARCH("ESTUCHE",B702)),
ISNUMBER(SEARCH("BOOK COVER",B702)),
ISNUMBER(SEARCH("KEYBOARD PARA TABLET",B702)),
ISNUMBER(SEARCH("FLIP TABLET",B702)),
ISNUMBER(SEARCH("CASE FOR TABLET",B702)),
ISNUMBER(SEARCH("CABLE",B702)),
ISNUMBER(SEARCH("ADAPTADOR",B702)),
ISNUMBER(SEARCH("HUB",B702)),
ISNUMBER(SEARCH("DOCK",B702)),
ISNUMBER(SEARCH("MOUSE PAD",B702)),
ISNUMBER(SEARCH("MOUSEPAD",B702)),
ISNUMBER(SEARCH("SOPORTE",B702)),
ISNUMBER(SEARCH("STAND",B702)),
ISNUMBER(SEARCH("TRAVEL ADAPTER",B702)),
ISNUMBER(SEARCH("RJ45",B702)),
ISNUMBER(SEARCH("USB-C",B702)),
ISNUMBER(SEARCH("USB WIFI",B702)),
ISNUMBER(SEARCH("POWERBANK",B702)),
ISNUMBER(SEARCH("CARGADOR",B702)),
ISNUMBER(SEARCH("COOLER PARA NB",B702)),
ISNUMBER(SEARCH("SOPORTE PARA NB",B702)),
ISNUMBER(SEARCH("WEBCAM",B702)),
ISNUMBER(SEARCH("WEB CAM",B702)),
ISNUMBER(SEARCH("MOUSE",B702)),
ISNUMBER(SEARCH("TECLADO",B702))
),
"COMPLEMENTO",
IF(
OR(
LEFT(A702,2)="NB",
LEFT(A702,2)="PC",
LEFT(A702,2)="WS",
LEFT(A702,2)="TB",
LEFT(A702,3)="CEL",
LEFT(A702,3)="MON",
LEFT(A702,3)="PRE",
LEFT(A702,3)="PRH",
ISNUMBER(SEARCH("NOTEBOOK",B702)),
ISNUMBER(SEARCH("LAPTOP",B702)),
ISNUMBER(SEARCH("MONITOR",B702)),
ISNUMBER(SEARCH("TABLET",B702)),
ISNUMBER(SEARCH("SMARTPH",B702)),
ISNUMBER(SEARCH("IMPRESORA",B702)),
ISNUMBER(SEARCH("MULTIFUNCIONAL",B702)),
ISNUMBER(SEARCH("AIO",B702))
),
"GANCHO",
"NORMAL"
)
)</f>
        <v>NORMAL</v>
      </c>
    </row>
    <row r="701" spans="1:12" x14ac:dyDescent="0.25">
      <c r="A701" s="3" t="s">
        <v>2956</v>
      </c>
      <c r="B701" s="3" t="s">
        <v>2957</v>
      </c>
      <c r="C701" s="1">
        <v>15</v>
      </c>
      <c r="D701" s="1">
        <v>39.1</v>
      </c>
      <c r="E701" s="1" t="s">
        <v>196</v>
      </c>
      <c r="F701" s="1" t="s">
        <v>3436</v>
      </c>
      <c r="G701" s="3" t="s">
        <v>2958</v>
      </c>
      <c r="H701" s="11">
        <f>ROUND(
IF(L699="GANCHO",
   IF(I701&lt;=50,I701*1.1+4,IF(I701&lt;=120,I701*1.1+7,IF(I701&lt;=250,I701*1.1+11,I701*1.1+19))),
IF(L699="NORMAL",
   IF(I701&lt;=30,I701*1.15+2,IF(I701&lt;=80,I701*1.15+4,IF(I701&lt;=150,I701*1.15+6,I701*1.15+8))),
IF(L699="COMPLEMENTO",
   IF(I701&lt;=25,I701*1.25+1.5,IF(I701&lt;=60,I701*1.25+3,IF(I701&lt;=120,I701*1.25+4,I701*1.25+5))),
""))),2)</f>
        <v>192.64</v>
      </c>
      <c r="I701" s="9">
        <f>($K$2+0.02)*Tabla1[[#This Row],[PRECIO $]]*1.18</f>
        <v>160.56023999999999</v>
      </c>
      <c r="J701" s="7">
        <f>+Tabla1[[#This Row],[PRECIO EN SOLES]]-Tabla1[[#This Row],[PC]]</f>
        <v>32.079759999999993</v>
      </c>
      <c r="K701" s="15"/>
      <c r="L701" s="15" t="str">
        <f>IF(
OR(
ISNUMBER(SEARCH("BACKPACK",B703)),
ISNUMBER(SEARCH("MOCHILA",B703)),
ISNUMBER(SEARCH("FUNDA",B703)),
ISNUMBER(SEARCH("ESTUCHE",B703)),
ISNUMBER(SEARCH("BOOK COVER",B703)),
ISNUMBER(SEARCH("KEYBOARD PARA TABLET",B703)),
ISNUMBER(SEARCH("FLIP TABLET",B703)),
ISNUMBER(SEARCH("CASE FOR TABLET",B703)),
ISNUMBER(SEARCH("CABLE",B703)),
ISNUMBER(SEARCH("ADAPTADOR",B703)),
ISNUMBER(SEARCH("HUB",B703)),
ISNUMBER(SEARCH("DOCK",B703)),
ISNUMBER(SEARCH("MOUSE PAD",B703)),
ISNUMBER(SEARCH("MOUSEPAD",B703)),
ISNUMBER(SEARCH("SOPORTE",B703)),
ISNUMBER(SEARCH("STAND",B703)),
ISNUMBER(SEARCH("TRAVEL ADAPTER",B703)),
ISNUMBER(SEARCH("RJ45",B703)),
ISNUMBER(SEARCH("USB-C",B703)),
ISNUMBER(SEARCH("USB WIFI",B703)),
ISNUMBER(SEARCH("POWERBANK",B703)),
ISNUMBER(SEARCH("CARGADOR",B703)),
ISNUMBER(SEARCH("COOLER PARA NB",B703)),
ISNUMBER(SEARCH("SOPORTE PARA NB",B703)),
ISNUMBER(SEARCH("WEBCAM",B703)),
ISNUMBER(SEARCH("WEB CAM",B703)),
ISNUMBER(SEARCH("MOUSE",B703)),
ISNUMBER(SEARCH("TECLADO",B703))
),
"COMPLEMENTO",
IF(
OR(
LEFT(A703,2)="NB",
LEFT(A703,2)="PC",
LEFT(A703,2)="WS",
LEFT(A703,2)="TB",
LEFT(A703,3)="CEL",
LEFT(A703,3)="MON",
LEFT(A703,3)="PRE",
LEFT(A703,3)="PRH",
ISNUMBER(SEARCH("NOTEBOOK",B703)),
ISNUMBER(SEARCH("LAPTOP",B703)),
ISNUMBER(SEARCH("MONITOR",B703)),
ISNUMBER(SEARCH("TABLET",B703)),
ISNUMBER(SEARCH("SMARTPH",B703)),
ISNUMBER(SEARCH("IMPRESORA",B703)),
ISNUMBER(SEARCH("MULTIFUNCIONAL",B703)),
ISNUMBER(SEARCH("AIO",B703))
),
"GANCHO",
"NORMAL"
)
)</f>
        <v>NORMAL</v>
      </c>
    </row>
    <row r="702" spans="1:12" x14ac:dyDescent="0.25">
      <c r="A702" s="3" t="s">
        <v>2846</v>
      </c>
      <c r="B702" s="3" t="s">
        <v>2847</v>
      </c>
      <c r="C702" s="1">
        <v>20</v>
      </c>
      <c r="D702" s="1">
        <v>19.88</v>
      </c>
      <c r="E702" s="1" t="s">
        <v>196</v>
      </c>
      <c r="F702" s="1" t="s">
        <v>3437</v>
      </c>
      <c r="G702" s="3" t="s">
        <v>2848</v>
      </c>
      <c r="H702" s="11">
        <f>ROUND(
IF(L700="GANCHO",
   IF(I702&lt;=50,I702*1.1+4,IF(I702&lt;=120,I702*1.1+7,IF(I702&lt;=250,I702*1.1+11,I702*1.1+19))),
IF(L700="NORMAL",
   IF(I702&lt;=30,I702*1.15+2,IF(I702&lt;=80,I702*1.15+4,IF(I702&lt;=150,I702*1.15+6,I702*1.15+8))),
IF(L700="COMPLEMENTO",
   IF(I702&lt;=25,I702*1.25+1.5,IF(I702&lt;=60,I702*1.25+3,IF(I702&lt;=120,I702*1.25+4,I702*1.25+5))),
""))),2)</f>
        <v>99.88</v>
      </c>
      <c r="I702" s="9">
        <f>($K$2+0.02)*Tabla1[[#This Row],[PRECIO $]]*1.18</f>
        <v>81.635232000000002</v>
      </c>
      <c r="J702" s="7">
        <f>+Tabla1[[#This Row],[PRECIO EN SOLES]]-Tabla1[[#This Row],[PC]]</f>
        <v>18.244767999999993</v>
      </c>
      <c r="K702" s="15"/>
      <c r="L702" s="15" t="str">
        <f>IF(
OR(
ISNUMBER(SEARCH("BACKPACK",B704)),
ISNUMBER(SEARCH("MOCHILA",B704)),
ISNUMBER(SEARCH("FUNDA",B704)),
ISNUMBER(SEARCH("ESTUCHE",B704)),
ISNUMBER(SEARCH("BOOK COVER",B704)),
ISNUMBER(SEARCH("KEYBOARD PARA TABLET",B704)),
ISNUMBER(SEARCH("FLIP TABLET",B704)),
ISNUMBER(SEARCH("CASE FOR TABLET",B704)),
ISNUMBER(SEARCH("CABLE",B704)),
ISNUMBER(SEARCH("ADAPTADOR",B704)),
ISNUMBER(SEARCH("HUB",B704)),
ISNUMBER(SEARCH("DOCK",B704)),
ISNUMBER(SEARCH("MOUSE PAD",B704)),
ISNUMBER(SEARCH("MOUSEPAD",B704)),
ISNUMBER(SEARCH("SOPORTE",B704)),
ISNUMBER(SEARCH("STAND",B704)),
ISNUMBER(SEARCH("TRAVEL ADAPTER",B704)),
ISNUMBER(SEARCH("RJ45",B704)),
ISNUMBER(SEARCH("USB-C",B704)),
ISNUMBER(SEARCH("USB WIFI",B704)),
ISNUMBER(SEARCH("POWERBANK",B704)),
ISNUMBER(SEARCH("CARGADOR",B704)),
ISNUMBER(SEARCH("COOLER PARA NB",B704)),
ISNUMBER(SEARCH("SOPORTE PARA NB",B704)),
ISNUMBER(SEARCH("WEBCAM",B704)),
ISNUMBER(SEARCH("WEB CAM",B704)),
ISNUMBER(SEARCH("MOUSE",B704)),
ISNUMBER(SEARCH("TECLADO",B704))
),
"COMPLEMENTO",
IF(
OR(
LEFT(A704,2)="NB",
LEFT(A704,2)="PC",
LEFT(A704,2)="WS",
LEFT(A704,2)="TB",
LEFT(A704,3)="CEL",
LEFT(A704,3)="MON",
LEFT(A704,3)="PRE",
LEFT(A704,3)="PRH",
ISNUMBER(SEARCH("NOTEBOOK",B704)),
ISNUMBER(SEARCH("LAPTOP",B704)),
ISNUMBER(SEARCH("MONITOR",B704)),
ISNUMBER(SEARCH("TABLET",B704)),
ISNUMBER(SEARCH("SMARTPH",B704)),
ISNUMBER(SEARCH("IMPRESORA",B704)),
ISNUMBER(SEARCH("MULTIFUNCIONAL",B704)),
ISNUMBER(SEARCH("AIO",B704))
),
"GANCHO",
"NORMAL"
)
)</f>
        <v>NORMAL</v>
      </c>
    </row>
    <row r="703" spans="1:12" x14ac:dyDescent="0.25">
      <c r="A703" s="3" t="s">
        <v>1435</v>
      </c>
      <c r="B703" s="3" t="s">
        <v>1436</v>
      </c>
      <c r="C703" s="1">
        <v>20</v>
      </c>
      <c r="D703" s="1">
        <v>27.2</v>
      </c>
      <c r="E703" s="1" t="s">
        <v>196</v>
      </c>
      <c r="F703" s="1" t="s">
        <v>3438</v>
      </c>
      <c r="G703" s="3" t="s">
        <v>1437</v>
      </c>
      <c r="H703" s="11">
        <f>ROUND(
IF(L701="GANCHO",
   IF(I703&lt;=50,I703*1.1+4,IF(I703&lt;=120,I703*1.1+7,IF(I703&lt;=250,I703*1.1+11,I703*1.1+19))),
IF(L701="NORMAL",
   IF(I703&lt;=30,I703*1.15+2,IF(I703&lt;=80,I703*1.15+4,IF(I703&lt;=150,I703*1.15+6,I703*1.15+8))),
IF(L701="COMPLEMENTO",
   IF(I703&lt;=25,I703*1.25+1.5,IF(I703&lt;=60,I703*1.25+3,IF(I703&lt;=120,I703*1.25+4,I703*1.25+5))),
""))),2)</f>
        <v>134.44999999999999</v>
      </c>
      <c r="I703" s="9">
        <f>($K$2+0.02)*Tabla1[[#This Row],[PRECIO $]]*1.18</f>
        <v>111.69407999999999</v>
      </c>
      <c r="J703" s="7">
        <f>+Tabla1[[#This Row],[PRECIO EN SOLES]]-Tabla1[[#This Row],[PC]]</f>
        <v>22.755920000000003</v>
      </c>
      <c r="K703" s="15"/>
      <c r="L703" s="15" t="str">
        <f>IF(
OR(
ISNUMBER(SEARCH("BACKPACK",B705)),
ISNUMBER(SEARCH("MOCHILA",B705)),
ISNUMBER(SEARCH("FUNDA",B705)),
ISNUMBER(SEARCH("ESTUCHE",B705)),
ISNUMBER(SEARCH("BOOK COVER",B705)),
ISNUMBER(SEARCH("KEYBOARD PARA TABLET",B705)),
ISNUMBER(SEARCH("FLIP TABLET",B705)),
ISNUMBER(SEARCH("CASE FOR TABLET",B705)),
ISNUMBER(SEARCH("CABLE",B705)),
ISNUMBER(SEARCH("ADAPTADOR",B705)),
ISNUMBER(SEARCH("HUB",B705)),
ISNUMBER(SEARCH("DOCK",B705)),
ISNUMBER(SEARCH("MOUSE PAD",B705)),
ISNUMBER(SEARCH("MOUSEPAD",B705)),
ISNUMBER(SEARCH("SOPORTE",B705)),
ISNUMBER(SEARCH("STAND",B705)),
ISNUMBER(SEARCH("TRAVEL ADAPTER",B705)),
ISNUMBER(SEARCH("RJ45",B705)),
ISNUMBER(SEARCH("USB-C",B705)),
ISNUMBER(SEARCH("USB WIFI",B705)),
ISNUMBER(SEARCH("POWERBANK",B705)),
ISNUMBER(SEARCH("CARGADOR",B705)),
ISNUMBER(SEARCH("COOLER PARA NB",B705)),
ISNUMBER(SEARCH("SOPORTE PARA NB",B705)),
ISNUMBER(SEARCH("WEBCAM",B705)),
ISNUMBER(SEARCH("WEB CAM",B705)),
ISNUMBER(SEARCH("MOUSE",B705)),
ISNUMBER(SEARCH("TECLADO",B705))
),
"COMPLEMENTO",
IF(
OR(
LEFT(A705,2)="NB",
LEFT(A705,2)="PC",
LEFT(A705,2)="WS",
LEFT(A705,2)="TB",
LEFT(A705,3)="CEL",
LEFT(A705,3)="MON",
LEFT(A705,3)="PRE",
LEFT(A705,3)="PRH",
ISNUMBER(SEARCH("NOTEBOOK",B705)),
ISNUMBER(SEARCH("LAPTOP",B705)),
ISNUMBER(SEARCH("MONITOR",B705)),
ISNUMBER(SEARCH("TABLET",B705)),
ISNUMBER(SEARCH("SMARTPH",B705)),
ISNUMBER(SEARCH("IMPRESORA",B705)),
ISNUMBER(SEARCH("MULTIFUNCIONAL",B705)),
ISNUMBER(SEARCH("AIO",B705))
),
"GANCHO",
"NORMAL"
)
)</f>
        <v>NORMAL</v>
      </c>
    </row>
    <row r="704" spans="1:12" x14ac:dyDescent="0.25">
      <c r="A704" s="3" t="s">
        <v>2849</v>
      </c>
      <c r="B704" s="3" t="s">
        <v>2850</v>
      </c>
      <c r="C704" s="1">
        <v>20</v>
      </c>
      <c r="D704" s="1">
        <v>64.099999999999994</v>
      </c>
      <c r="E704" s="1" t="s">
        <v>196</v>
      </c>
      <c r="F704" s="1" t="s">
        <v>3439</v>
      </c>
      <c r="G704" s="3" t="s">
        <v>2851</v>
      </c>
      <c r="H704" s="11">
        <f>ROUND(
IF(L702="GANCHO",
   IF(I704&lt;=50,I704*1.1+4,IF(I704&lt;=120,I704*1.1+7,IF(I704&lt;=250,I704*1.1+11,I704*1.1+19))),
IF(L702="NORMAL",
   IF(I704&lt;=30,I704*1.15+2,IF(I704&lt;=80,I704*1.15+4,IF(I704&lt;=150,I704*1.15+6,I704*1.15+8))),
IF(L702="COMPLEMENTO",
   IF(I704&lt;=25,I704*1.25+1.5,IF(I704&lt;=60,I704*1.25+3,IF(I704&lt;=120,I704*1.25+4,I704*1.25+5))),
""))),2)</f>
        <v>310.7</v>
      </c>
      <c r="I704" s="9">
        <f>($K$2+0.02)*Tabla1[[#This Row],[PRECIO $]]*1.18</f>
        <v>263.22023999999999</v>
      </c>
      <c r="J704" s="7">
        <f>+Tabla1[[#This Row],[PRECIO EN SOLES]]-Tabla1[[#This Row],[PC]]</f>
        <v>47.479759999999999</v>
      </c>
      <c r="K704" s="15"/>
      <c r="L704" s="15" t="str">
        <f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5" spans="1:12" x14ac:dyDescent="0.25">
      <c r="A705" s="3" t="s">
        <v>2959</v>
      </c>
      <c r="B705" s="3" t="s">
        <v>2960</v>
      </c>
      <c r="C705" s="1">
        <v>20</v>
      </c>
      <c r="D705" s="1">
        <v>5.46</v>
      </c>
      <c r="E705" s="1" t="s">
        <v>196</v>
      </c>
      <c r="F705" s="1" t="s">
        <v>3440</v>
      </c>
      <c r="G705" s="3" t="s">
        <v>2961</v>
      </c>
      <c r="H705" s="11">
        <f>ROUND(
IF(L703="GANCHO",
   IF(I705&lt;=50,I705*1.1+4,IF(I705&lt;=120,I705*1.1+7,IF(I705&lt;=250,I705*1.1+11,I705*1.1+19))),
IF(L703="NORMAL",
   IF(I705&lt;=30,I705*1.15+2,IF(I705&lt;=80,I705*1.15+4,IF(I705&lt;=150,I705*1.15+6,I705*1.15+8))),
IF(L703="COMPLEMENTO",
   IF(I705&lt;=25,I705*1.25+1.5,IF(I705&lt;=60,I705*1.25+3,IF(I705&lt;=120,I705*1.25+4,I705*1.25+5))),
""))),2)</f>
        <v>27.78</v>
      </c>
      <c r="I705" s="9">
        <f>($K$2+0.02)*Tabla1[[#This Row],[PRECIO $]]*1.18</f>
        <v>22.420943999999995</v>
      </c>
      <c r="J705" s="7">
        <f>+Tabla1[[#This Row],[PRECIO EN SOLES]]-Tabla1[[#This Row],[PC]]</f>
        <v>5.359056000000006</v>
      </c>
      <c r="K705" s="15"/>
      <c r="L705" s="15" t="str">
        <f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6" spans="1:12" x14ac:dyDescent="0.25">
      <c r="A706" s="3" t="s">
        <v>2852</v>
      </c>
      <c r="B706" s="3" t="s">
        <v>2853</v>
      </c>
      <c r="C706" s="1">
        <v>20</v>
      </c>
      <c r="D706" s="1">
        <v>11.98</v>
      </c>
      <c r="E706" s="1" t="s">
        <v>196</v>
      </c>
      <c r="F706" s="1" t="s">
        <v>3441</v>
      </c>
      <c r="G706" s="3" t="s">
        <v>2854</v>
      </c>
      <c r="H706" s="11">
        <f>ROUND(
IF(L704="GANCHO",
   IF(I706&lt;=50,I706*1.1+4,IF(I706&lt;=120,I706*1.1+7,IF(I706&lt;=250,I706*1.1+11,I706*1.1+19))),
IF(L704="NORMAL",
   IF(I706&lt;=30,I706*1.15+2,IF(I706&lt;=80,I706*1.15+4,IF(I706&lt;=150,I706*1.15+6,I706*1.15+8))),
IF(L704="COMPLEMENTO",
   IF(I706&lt;=25,I706*1.25+1.5,IF(I706&lt;=60,I706*1.25+3,IF(I706&lt;=120,I706*1.25+4,I706*1.25+5))),
""))),2)</f>
        <v>60.57</v>
      </c>
      <c r="I706" s="9">
        <f>($K$2+0.02)*Tabla1[[#This Row],[PRECIO $]]*1.18</f>
        <v>49.194672000000004</v>
      </c>
      <c r="J706" s="7">
        <f>+Tabla1[[#This Row],[PRECIO EN SOLES]]-Tabla1[[#This Row],[PC]]</f>
        <v>11.375327999999996</v>
      </c>
      <c r="K706" s="15"/>
      <c r="L706" s="15" t="str">
        <f>IF(
OR(
ISNUMBER(SEARCH("BACKPACK",B708)),
ISNUMBER(SEARCH("MOCHILA",B708)),
ISNUMBER(SEARCH("FUNDA",B708)),
ISNUMBER(SEARCH("ESTUCHE",B708)),
ISNUMBER(SEARCH("BOOK COVER",B708)),
ISNUMBER(SEARCH("KEYBOARD PARA TABLET",B708)),
ISNUMBER(SEARCH("FLIP TABLET",B708)),
ISNUMBER(SEARCH("CASE FOR TABLET",B708)),
ISNUMBER(SEARCH("CABLE",B708)),
ISNUMBER(SEARCH("ADAPTADOR",B708)),
ISNUMBER(SEARCH("HUB",B708)),
ISNUMBER(SEARCH("DOCK",B708)),
ISNUMBER(SEARCH("MOUSE PAD",B708)),
ISNUMBER(SEARCH("MOUSEPAD",B708)),
ISNUMBER(SEARCH("SOPORTE",B708)),
ISNUMBER(SEARCH("STAND",B708)),
ISNUMBER(SEARCH("TRAVEL ADAPTER",B708)),
ISNUMBER(SEARCH("RJ45",B708)),
ISNUMBER(SEARCH("USB-C",B708)),
ISNUMBER(SEARCH("USB WIFI",B708)),
ISNUMBER(SEARCH("POWERBANK",B708)),
ISNUMBER(SEARCH("CARGADOR",B708)),
ISNUMBER(SEARCH("COOLER PARA NB",B708)),
ISNUMBER(SEARCH("SOPORTE PARA NB",B708)),
ISNUMBER(SEARCH("WEBCAM",B708)),
ISNUMBER(SEARCH("WEB CAM",B708)),
ISNUMBER(SEARCH("MOUSE",B708)),
ISNUMBER(SEARCH("TECLADO",B708))
),
"COMPLEMENTO",
IF(
OR(
LEFT(A708,2)="NB",
LEFT(A708,2)="PC",
LEFT(A708,2)="WS",
LEFT(A708,2)="TB",
LEFT(A708,3)="CEL",
LEFT(A708,3)="MON",
LEFT(A708,3)="PRE",
LEFT(A708,3)="PRH",
ISNUMBER(SEARCH("NOTEBOOK",B708)),
ISNUMBER(SEARCH("LAPTOP",B708)),
ISNUMBER(SEARCH("MONITOR",B708)),
ISNUMBER(SEARCH("TABLET",B708)),
ISNUMBER(SEARCH("SMARTPH",B708)),
ISNUMBER(SEARCH("IMPRESORA",B708)),
ISNUMBER(SEARCH("MULTIFUNCIONAL",B708)),
ISNUMBER(SEARCH("AIO",B708))
),
"GANCHO",
"NORMAL"
)
)</f>
        <v>NORMAL</v>
      </c>
    </row>
    <row r="707" spans="1:12" x14ac:dyDescent="0.25">
      <c r="A707" s="3" t="s">
        <v>2855</v>
      </c>
      <c r="B707" s="3" t="s">
        <v>2856</v>
      </c>
      <c r="C707" s="1">
        <v>20</v>
      </c>
      <c r="D707" s="1">
        <v>5.61</v>
      </c>
      <c r="E707" s="1" t="s">
        <v>196</v>
      </c>
      <c r="F707" s="1" t="s">
        <v>3442</v>
      </c>
      <c r="G707" s="3" t="s">
        <v>2857</v>
      </c>
      <c r="H707" s="11">
        <f>ROUND(
IF(L705="GANCHO",
   IF(I707&lt;=50,I707*1.1+4,IF(I707&lt;=120,I707*1.1+7,IF(I707&lt;=250,I707*1.1+11,I707*1.1+19))),
IF(L705="NORMAL",
   IF(I707&lt;=30,I707*1.15+2,IF(I707&lt;=80,I707*1.15+4,IF(I707&lt;=150,I707*1.15+6,I707*1.15+8))),
IF(L705="COMPLEMENTO",
   IF(I707&lt;=25,I707*1.25+1.5,IF(I707&lt;=60,I707*1.25+3,IF(I707&lt;=120,I707*1.25+4,I707*1.25+5))),
""))),2)</f>
        <v>28.49</v>
      </c>
      <c r="I707" s="9">
        <f>($K$2+0.02)*Tabla1[[#This Row],[PRECIO $]]*1.18</f>
        <v>23.036904</v>
      </c>
      <c r="J707" s="7">
        <f>+Tabla1[[#This Row],[PRECIO EN SOLES]]-Tabla1[[#This Row],[PC]]</f>
        <v>5.4530959999999986</v>
      </c>
      <c r="K707" s="15"/>
      <c r="L707" s="15" t="str">
        <f>IF(
OR(
ISNUMBER(SEARCH("BACKPACK",B709)),
ISNUMBER(SEARCH("MOCHILA",B709)),
ISNUMBER(SEARCH("FUNDA",B709)),
ISNUMBER(SEARCH("ESTUCHE",B709)),
ISNUMBER(SEARCH("BOOK COVER",B709)),
ISNUMBER(SEARCH("KEYBOARD PARA TABLET",B709)),
ISNUMBER(SEARCH("FLIP TABLET",B709)),
ISNUMBER(SEARCH("CASE FOR TABLET",B709)),
ISNUMBER(SEARCH("CABLE",B709)),
ISNUMBER(SEARCH("ADAPTADOR",B709)),
ISNUMBER(SEARCH("HUB",B709)),
ISNUMBER(SEARCH("DOCK",B709)),
ISNUMBER(SEARCH("MOUSE PAD",B709)),
ISNUMBER(SEARCH("MOUSEPAD",B709)),
ISNUMBER(SEARCH("SOPORTE",B709)),
ISNUMBER(SEARCH("STAND",B709)),
ISNUMBER(SEARCH("TRAVEL ADAPTER",B709)),
ISNUMBER(SEARCH("RJ45",B709)),
ISNUMBER(SEARCH("USB-C",B709)),
ISNUMBER(SEARCH("USB WIFI",B709)),
ISNUMBER(SEARCH("POWERBANK",B709)),
ISNUMBER(SEARCH("CARGADOR",B709)),
ISNUMBER(SEARCH("COOLER PARA NB",B709)),
ISNUMBER(SEARCH("SOPORTE PARA NB",B709)),
ISNUMBER(SEARCH("WEBCAM",B709)),
ISNUMBER(SEARCH("WEB CAM",B709)),
ISNUMBER(SEARCH("MOUSE",B709)),
ISNUMBER(SEARCH("TECLADO",B709))
),
"COMPLEMENTO",
IF(
OR(
LEFT(A709,2)="NB",
LEFT(A709,2)="PC",
LEFT(A709,2)="WS",
LEFT(A709,2)="TB",
LEFT(A709,3)="CEL",
LEFT(A709,3)="MON",
LEFT(A709,3)="PRE",
LEFT(A709,3)="PRH",
ISNUMBER(SEARCH("NOTEBOOK",B709)),
ISNUMBER(SEARCH("LAPTOP",B709)),
ISNUMBER(SEARCH("MONITOR",B709)),
ISNUMBER(SEARCH("TABLET",B709)),
ISNUMBER(SEARCH("SMARTPH",B709)),
ISNUMBER(SEARCH("IMPRESORA",B709)),
ISNUMBER(SEARCH("MULTIFUNCIONAL",B709)),
ISNUMBER(SEARCH("AIO",B709))
),
"GANCHO",
"NORMAL"
)
)</f>
        <v>NORMAL</v>
      </c>
    </row>
    <row r="708" spans="1:12" x14ac:dyDescent="0.25">
      <c r="A708" s="3" t="s">
        <v>2858</v>
      </c>
      <c r="B708" s="3" t="s">
        <v>2859</v>
      </c>
      <c r="C708" s="1">
        <v>20</v>
      </c>
      <c r="D708" s="1">
        <v>18.61</v>
      </c>
      <c r="E708" s="1" t="s">
        <v>196</v>
      </c>
      <c r="F708" s="1" t="s">
        <v>3443</v>
      </c>
      <c r="G708" s="3" t="s">
        <v>2860</v>
      </c>
      <c r="H708" s="11">
        <f>ROUND(
IF(L706="GANCHO",
   IF(I708&lt;=50,I708*1.1+4,IF(I708&lt;=120,I708*1.1+7,IF(I708&lt;=250,I708*1.1+11,I708*1.1+19))),
IF(L706="NORMAL",
   IF(I708&lt;=30,I708*1.15+2,IF(I708&lt;=80,I708*1.15+4,IF(I708&lt;=150,I708*1.15+6,I708*1.15+8))),
IF(L706="COMPLEMENTO",
   IF(I708&lt;=25,I708*1.25+1.5,IF(I708&lt;=60,I708*1.25+3,IF(I708&lt;=120,I708*1.25+4,I708*1.25+5))),
""))),2)</f>
        <v>91.88</v>
      </c>
      <c r="I708" s="9">
        <f>($K$2+0.02)*Tabla1[[#This Row],[PRECIO $]]*1.18</f>
        <v>76.420103999999995</v>
      </c>
      <c r="J708" s="7">
        <f>+Tabla1[[#This Row],[PRECIO EN SOLES]]-Tabla1[[#This Row],[PC]]</f>
        <v>15.459896000000001</v>
      </c>
      <c r="K708" s="15"/>
      <c r="L708" s="15" t="str">
        <f>IF(
OR(
ISNUMBER(SEARCH("BACKPACK",B710)),
ISNUMBER(SEARCH("MOCHILA",B710)),
ISNUMBER(SEARCH("FUNDA",B710)),
ISNUMBER(SEARCH("ESTUCHE",B710)),
ISNUMBER(SEARCH("BOOK COVER",B710)),
ISNUMBER(SEARCH("KEYBOARD PARA TABLET",B710)),
ISNUMBER(SEARCH("FLIP TABLET",B710)),
ISNUMBER(SEARCH("CASE FOR TABLET",B710)),
ISNUMBER(SEARCH("CABLE",B710)),
ISNUMBER(SEARCH("ADAPTADOR",B710)),
ISNUMBER(SEARCH("HUB",B710)),
ISNUMBER(SEARCH("DOCK",B710)),
ISNUMBER(SEARCH("MOUSE PAD",B710)),
ISNUMBER(SEARCH("MOUSEPAD",B710)),
ISNUMBER(SEARCH("SOPORTE",B710)),
ISNUMBER(SEARCH("STAND",B710)),
ISNUMBER(SEARCH("TRAVEL ADAPTER",B710)),
ISNUMBER(SEARCH("RJ45",B710)),
ISNUMBER(SEARCH("USB-C",B710)),
ISNUMBER(SEARCH("USB WIFI",B710)),
ISNUMBER(SEARCH("POWERBANK",B710)),
ISNUMBER(SEARCH("CARGADOR",B710)),
ISNUMBER(SEARCH("COOLER PARA NB",B710)),
ISNUMBER(SEARCH("SOPORTE PARA NB",B710)),
ISNUMBER(SEARCH("WEBCAM",B710)),
ISNUMBER(SEARCH("WEB CAM",B710)),
ISNUMBER(SEARCH("MOUSE",B710)),
ISNUMBER(SEARCH("TECLADO",B710))
),
"COMPLEMENTO",
IF(
OR(
LEFT(A710,2)="NB",
LEFT(A710,2)="PC",
LEFT(A710,2)="WS",
LEFT(A710,2)="TB",
LEFT(A710,3)="CEL",
LEFT(A710,3)="MON",
LEFT(A710,3)="PRE",
LEFT(A710,3)="PRH",
ISNUMBER(SEARCH("NOTEBOOK",B710)),
ISNUMBER(SEARCH("LAPTOP",B710)),
ISNUMBER(SEARCH("MONITOR",B710)),
ISNUMBER(SEARCH("TABLET",B710)),
ISNUMBER(SEARCH("SMARTPH",B710)),
ISNUMBER(SEARCH("IMPRESORA",B710)),
ISNUMBER(SEARCH("MULTIFUNCIONAL",B710)),
ISNUMBER(SEARCH("AIO",B710))
),
"GANCHO",
"NORMAL"
)
)</f>
        <v>NORMAL</v>
      </c>
    </row>
    <row r="709" spans="1:12" x14ac:dyDescent="0.25">
      <c r="A709" s="3" t="s">
        <v>2861</v>
      </c>
      <c r="B709" s="3" t="s">
        <v>2862</v>
      </c>
      <c r="C709" s="1">
        <v>20</v>
      </c>
      <c r="D709" s="1">
        <v>35.01</v>
      </c>
      <c r="E709" s="1" t="s">
        <v>196</v>
      </c>
      <c r="F709" s="1" t="s">
        <v>3444</v>
      </c>
      <c r="G709" s="3" t="s">
        <v>2863</v>
      </c>
      <c r="H709" s="11">
        <f>ROUND(
IF(L707="GANCHO",
   IF(I709&lt;=50,I709*1.1+4,IF(I709&lt;=120,I709*1.1+7,IF(I709&lt;=250,I709*1.1+11,I709*1.1+19))),
IF(L707="NORMAL",
   IF(I709&lt;=30,I709*1.15+2,IF(I709&lt;=80,I709*1.15+4,IF(I709&lt;=150,I709*1.15+6,I709*1.15+8))),
IF(L707="COMPLEMENTO",
   IF(I709&lt;=25,I709*1.25+1.5,IF(I709&lt;=60,I709*1.25+3,IF(I709&lt;=120,I709*1.25+4,I709*1.25+5))),
""))),2)</f>
        <v>171.33</v>
      </c>
      <c r="I709" s="9">
        <f>($K$2+0.02)*Tabla1[[#This Row],[PRECIO $]]*1.18</f>
        <v>143.76506399999997</v>
      </c>
      <c r="J709" s="7">
        <f>+Tabla1[[#This Row],[PRECIO EN SOLES]]-Tabla1[[#This Row],[PC]]</f>
        <v>27.564936000000046</v>
      </c>
      <c r="K709" s="15"/>
      <c r="L709" s="15" t="str">
        <f>IF(
OR(
ISNUMBER(SEARCH("BACKPACK",B711)),
ISNUMBER(SEARCH("MOCHILA",B711)),
ISNUMBER(SEARCH("FUNDA",B711)),
ISNUMBER(SEARCH("ESTUCHE",B711)),
ISNUMBER(SEARCH("BOOK COVER",B711)),
ISNUMBER(SEARCH("KEYBOARD PARA TABLET",B711)),
ISNUMBER(SEARCH("FLIP TABLET",B711)),
ISNUMBER(SEARCH("CASE FOR TABLET",B711)),
ISNUMBER(SEARCH("CABLE",B711)),
ISNUMBER(SEARCH("ADAPTADOR",B711)),
ISNUMBER(SEARCH("HUB",B711)),
ISNUMBER(SEARCH("DOCK",B711)),
ISNUMBER(SEARCH("MOUSE PAD",B711)),
ISNUMBER(SEARCH("MOUSEPAD",B711)),
ISNUMBER(SEARCH("SOPORTE",B711)),
ISNUMBER(SEARCH("STAND",B711)),
ISNUMBER(SEARCH("TRAVEL ADAPTER",B711)),
ISNUMBER(SEARCH("RJ45",B711)),
ISNUMBER(SEARCH("USB-C",B711)),
ISNUMBER(SEARCH("USB WIFI",B711)),
ISNUMBER(SEARCH("POWERBANK",B711)),
ISNUMBER(SEARCH("CARGADOR",B711)),
ISNUMBER(SEARCH("COOLER PARA NB",B711)),
ISNUMBER(SEARCH("SOPORTE PARA NB",B711)),
ISNUMBER(SEARCH("WEBCAM",B711)),
ISNUMBER(SEARCH("WEB CAM",B711)),
ISNUMBER(SEARCH("MOUSE",B711)),
ISNUMBER(SEARCH("TECLADO",B711))
),
"COMPLEMENTO",
IF(
OR(
LEFT(A711,2)="NB",
LEFT(A711,2)="PC",
LEFT(A711,2)="WS",
LEFT(A711,2)="TB",
LEFT(A711,3)="CEL",
LEFT(A711,3)="MON",
LEFT(A711,3)="PRE",
LEFT(A711,3)="PRH",
ISNUMBER(SEARCH("NOTEBOOK",B711)),
ISNUMBER(SEARCH("LAPTOP",B711)),
ISNUMBER(SEARCH("MONITOR",B711)),
ISNUMBER(SEARCH("TABLET",B711)),
ISNUMBER(SEARCH("SMARTPH",B711)),
ISNUMBER(SEARCH("IMPRESORA",B711)),
ISNUMBER(SEARCH("MULTIFUNCIONAL",B711)),
ISNUMBER(SEARCH("AIO",B711))
),
"GANCHO",
"NORMAL"
)
)</f>
        <v>NORMAL</v>
      </c>
    </row>
    <row r="710" spans="1:12" x14ac:dyDescent="0.25">
      <c r="A710" s="3" t="s">
        <v>2864</v>
      </c>
      <c r="B710" s="3" t="s">
        <v>2865</v>
      </c>
      <c r="C710" s="1">
        <v>20</v>
      </c>
      <c r="D710" s="1">
        <v>64.599999999999994</v>
      </c>
      <c r="E710" s="1" t="s">
        <v>196</v>
      </c>
      <c r="F710" s="1" t="s">
        <v>3445</v>
      </c>
      <c r="G710" s="3" t="s">
        <v>2866</v>
      </c>
      <c r="H710" s="11">
        <f>ROUND(
IF(L708="GANCHO",
   IF(I710&lt;=50,I710*1.1+4,IF(I710&lt;=120,I710*1.1+7,IF(I710&lt;=250,I710*1.1+11,I710*1.1+19))),
IF(L708="NORMAL",
   IF(I710&lt;=30,I710*1.15+2,IF(I710&lt;=80,I710*1.15+4,IF(I710&lt;=150,I710*1.15+6,I710*1.15+8))),
IF(L708="COMPLEMENTO",
   IF(I710&lt;=25,I710*1.25+1.5,IF(I710&lt;=60,I710*1.25+3,IF(I710&lt;=120,I710*1.25+4,I710*1.25+5))),
""))),2)</f>
        <v>313.06</v>
      </c>
      <c r="I710" s="9">
        <f>($K$2+0.02)*Tabla1[[#This Row],[PRECIO $]]*1.18</f>
        <v>265.27343999999999</v>
      </c>
      <c r="J710" s="7">
        <f>+Tabla1[[#This Row],[PRECIO EN SOLES]]-Tabla1[[#This Row],[PC]]</f>
        <v>47.786560000000009</v>
      </c>
      <c r="K710" s="15"/>
      <c r="L710" s="15" t="str">
        <f>IF(
OR(
ISNUMBER(SEARCH("BACKPACK",B712)),
ISNUMBER(SEARCH("MOCHILA",B712)),
ISNUMBER(SEARCH("FUNDA",B712)),
ISNUMBER(SEARCH("ESTUCHE",B712)),
ISNUMBER(SEARCH("BOOK COVER",B712)),
ISNUMBER(SEARCH("KEYBOARD PARA TABLET",B712)),
ISNUMBER(SEARCH("FLIP TABLET",B712)),
ISNUMBER(SEARCH("CASE FOR TABLET",B712)),
ISNUMBER(SEARCH("CABLE",B712)),
ISNUMBER(SEARCH("ADAPTADOR",B712)),
ISNUMBER(SEARCH("HUB",B712)),
ISNUMBER(SEARCH("DOCK",B712)),
ISNUMBER(SEARCH("MOUSE PAD",B712)),
ISNUMBER(SEARCH("MOUSEPAD",B712)),
ISNUMBER(SEARCH("SOPORTE",B712)),
ISNUMBER(SEARCH("STAND",B712)),
ISNUMBER(SEARCH("TRAVEL ADAPTER",B712)),
ISNUMBER(SEARCH("RJ45",B712)),
ISNUMBER(SEARCH("USB-C",B712)),
ISNUMBER(SEARCH("USB WIFI",B712)),
ISNUMBER(SEARCH("POWERBANK",B712)),
ISNUMBER(SEARCH("CARGADOR",B712)),
ISNUMBER(SEARCH("COOLER PARA NB",B712)),
ISNUMBER(SEARCH("SOPORTE PARA NB",B712)),
ISNUMBER(SEARCH("WEBCAM",B712)),
ISNUMBER(SEARCH("WEB CAM",B712)),
ISNUMBER(SEARCH("MOUSE",B712)),
ISNUMBER(SEARCH("TECLADO",B712))
),
"COMPLEMENTO",
IF(
OR(
LEFT(A712,2)="NB",
LEFT(A712,2)="PC",
LEFT(A712,2)="WS",
LEFT(A712,2)="TB",
LEFT(A712,3)="CEL",
LEFT(A712,3)="MON",
LEFT(A712,3)="PRE",
LEFT(A712,3)="PRH",
ISNUMBER(SEARCH("NOTEBOOK",B712)),
ISNUMBER(SEARCH("LAPTOP",B712)),
ISNUMBER(SEARCH("MONITOR",B712)),
ISNUMBER(SEARCH("TABLET",B712)),
ISNUMBER(SEARCH("SMARTPH",B712)),
ISNUMBER(SEARCH("IMPRESORA",B712)),
ISNUMBER(SEARCH("MULTIFUNCIONAL",B712)),
ISNUMBER(SEARCH("AIO",B712))
),
"GANCHO",
"NORMAL"
)
)</f>
        <v>NORMAL</v>
      </c>
    </row>
    <row r="711" spans="1:12" x14ac:dyDescent="0.25">
      <c r="A711" s="3" t="s">
        <v>264</v>
      </c>
      <c r="B711" s="3" t="s">
        <v>265</v>
      </c>
      <c r="C711" s="1">
        <v>20</v>
      </c>
      <c r="D711" s="1">
        <v>10.98</v>
      </c>
      <c r="E711" s="1" t="s">
        <v>196</v>
      </c>
      <c r="F711" s="1" t="s">
        <v>3446</v>
      </c>
      <c r="G711" s="3" t="s">
        <v>266</v>
      </c>
      <c r="H711" s="11">
        <f>ROUND(
IF(L709="GANCHO",
   IF(I711&lt;=50,I711*1.1+4,IF(I711&lt;=120,I711*1.1+7,IF(I711&lt;=250,I711*1.1+11,I711*1.1+19))),
IF(L709="NORMAL",
   IF(I711&lt;=30,I711*1.15+2,IF(I711&lt;=80,I711*1.15+4,IF(I711&lt;=150,I711*1.15+6,I711*1.15+8))),
IF(L709="COMPLEMENTO",
   IF(I711&lt;=25,I711*1.25+1.5,IF(I711&lt;=60,I711*1.25+3,IF(I711&lt;=120,I711*1.25+4,I711*1.25+5))),
""))),2)</f>
        <v>55.85</v>
      </c>
      <c r="I711" s="9">
        <f>($K$2+0.02)*Tabla1[[#This Row],[PRECIO $]]*1.18</f>
        <v>45.088271999999996</v>
      </c>
      <c r="J711" s="7">
        <f>+Tabla1[[#This Row],[PRECIO EN SOLES]]-Tabla1[[#This Row],[PC]]</f>
        <v>10.761728000000005</v>
      </c>
      <c r="K711" s="15"/>
      <c r="L711" s="15" t="str">
        <f>IF(
OR(
ISNUMBER(SEARCH("BACKPACK",B713)),
ISNUMBER(SEARCH("MOCHILA",B713)),
ISNUMBER(SEARCH("FUNDA",B713)),
ISNUMBER(SEARCH("ESTUCHE",B713)),
ISNUMBER(SEARCH("BOOK COVER",B713)),
ISNUMBER(SEARCH("KEYBOARD PARA TABLET",B713)),
ISNUMBER(SEARCH("FLIP TABLET",B713)),
ISNUMBER(SEARCH("CASE FOR TABLET",B713)),
ISNUMBER(SEARCH("CABLE",B713)),
ISNUMBER(SEARCH("ADAPTADOR",B713)),
ISNUMBER(SEARCH("HUB",B713)),
ISNUMBER(SEARCH("DOCK",B713)),
ISNUMBER(SEARCH("MOUSE PAD",B713)),
ISNUMBER(SEARCH("MOUSEPAD",B713)),
ISNUMBER(SEARCH("SOPORTE",B713)),
ISNUMBER(SEARCH("STAND",B713)),
ISNUMBER(SEARCH("TRAVEL ADAPTER",B713)),
ISNUMBER(SEARCH("RJ45",B713)),
ISNUMBER(SEARCH("USB-C",B713)),
ISNUMBER(SEARCH("USB WIFI",B713)),
ISNUMBER(SEARCH("POWERBANK",B713)),
ISNUMBER(SEARCH("CARGADOR",B713)),
ISNUMBER(SEARCH("COOLER PARA NB",B713)),
ISNUMBER(SEARCH("SOPORTE PARA NB",B713)),
ISNUMBER(SEARCH("WEBCAM",B713)),
ISNUMBER(SEARCH("WEB CAM",B713)),
ISNUMBER(SEARCH("MOUSE",B713)),
ISNUMBER(SEARCH("TECLADO",B713))
),
"COMPLEMENTO",
IF(
OR(
LEFT(A713,2)="NB",
LEFT(A713,2)="PC",
LEFT(A713,2)="WS",
LEFT(A713,2)="TB",
LEFT(A713,3)="CEL",
LEFT(A713,3)="MON",
LEFT(A713,3)="PRE",
LEFT(A713,3)="PRH",
ISNUMBER(SEARCH("NOTEBOOK",B713)),
ISNUMBER(SEARCH("LAPTOP",B713)),
ISNUMBER(SEARCH("MONITOR",B713)),
ISNUMBER(SEARCH("TABLET",B713)),
ISNUMBER(SEARCH("SMARTPH",B713)),
ISNUMBER(SEARCH("IMPRESORA",B713)),
ISNUMBER(SEARCH("MULTIFUNCIONAL",B713)),
ISNUMBER(SEARCH("AIO",B713))
),
"GANCHO",
"NORMAL"
)
)</f>
        <v>NORMAL</v>
      </c>
    </row>
    <row r="712" spans="1:12" x14ac:dyDescent="0.25">
      <c r="A712" s="3" t="s">
        <v>267</v>
      </c>
      <c r="B712" s="3" t="s">
        <v>268</v>
      </c>
      <c r="C712" s="1">
        <v>20</v>
      </c>
      <c r="D712" s="1">
        <v>8.5</v>
      </c>
      <c r="E712" s="1" t="s">
        <v>196</v>
      </c>
      <c r="F712" s="1" t="s">
        <v>3447</v>
      </c>
      <c r="G712" s="3" t="s">
        <v>269</v>
      </c>
      <c r="H712" s="11">
        <f>ROUND(
IF(L710="GANCHO",
   IF(I712&lt;=50,I712*1.1+4,IF(I712&lt;=120,I712*1.1+7,IF(I712&lt;=250,I712*1.1+11,I712*1.1+19))),
IF(L710="NORMAL",
   IF(I712&lt;=30,I712*1.15+2,IF(I712&lt;=80,I712*1.15+4,IF(I712&lt;=150,I712*1.15+6,I712*1.15+8))),
IF(L710="COMPLEMENTO",
   IF(I712&lt;=25,I712*1.25+1.5,IF(I712&lt;=60,I712*1.25+3,IF(I712&lt;=120,I712*1.25+4,I712*1.25+5))),
""))),2)</f>
        <v>44.14</v>
      </c>
      <c r="I712" s="9">
        <f>($K$2+0.02)*Tabla1[[#This Row],[PRECIO $]]*1.18</f>
        <v>34.904399999999995</v>
      </c>
      <c r="J712" s="7">
        <f>+Tabla1[[#This Row],[PRECIO EN SOLES]]-Tabla1[[#This Row],[PC]]</f>
        <v>9.2356000000000051</v>
      </c>
      <c r="K712" s="15"/>
      <c r="L712" s="15" t="str">
        <f>IF(
OR(
ISNUMBER(SEARCH("BACKPACK",B714)),
ISNUMBER(SEARCH("MOCHILA",B714)),
ISNUMBER(SEARCH("FUNDA",B714)),
ISNUMBER(SEARCH("ESTUCHE",B714)),
ISNUMBER(SEARCH("BOOK COVER",B714)),
ISNUMBER(SEARCH("KEYBOARD PARA TABLET",B714)),
ISNUMBER(SEARCH("FLIP TABLET",B714)),
ISNUMBER(SEARCH("CASE FOR TABLET",B714)),
ISNUMBER(SEARCH("CABLE",B714)),
ISNUMBER(SEARCH("ADAPTADOR",B714)),
ISNUMBER(SEARCH("HUB",B714)),
ISNUMBER(SEARCH("DOCK",B714)),
ISNUMBER(SEARCH("MOUSE PAD",B714)),
ISNUMBER(SEARCH("MOUSEPAD",B714)),
ISNUMBER(SEARCH("SOPORTE",B714)),
ISNUMBER(SEARCH("STAND",B714)),
ISNUMBER(SEARCH("TRAVEL ADAPTER",B714)),
ISNUMBER(SEARCH("RJ45",B714)),
ISNUMBER(SEARCH("USB-C",B714)),
ISNUMBER(SEARCH("USB WIFI",B714)),
ISNUMBER(SEARCH("POWERBANK",B714)),
ISNUMBER(SEARCH("CARGADOR",B714)),
ISNUMBER(SEARCH("COOLER PARA NB",B714)),
ISNUMBER(SEARCH("SOPORTE PARA NB",B714)),
ISNUMBER(SEARCH("WEBCAM",B714)),
ISNUMBER(SEARCH("WEB CAM",B714)),
ISNUMBER(SEARCH("MOUSE",B714)),
ISNUMBER(SEARCH("TECLADO",B714))
),
"COMPLEMENTO",
IF(
OR(
LEFT(A714,2)="NB",
LEFT(A714,2)="PC",
LEFT(A714,2)="WS",
LEFT(A714,2)="TB",
LEFT(A714,3)="CEL",
LEFT(A714,3)="MON",
LEFT(A714,3)="PRE",
LEFT(A714,3)="PRH",
ISNUMBER(SEARCH("NOTEBOOK",B714)),
ISNUMBER(SEARCH("LAPTOP",B714)),
ISNUMBER(SEARCH("MONITOR",B714)),
ISNUMBER(SEARCH("TABLET",B714)),
ISNUMBER(SEARCH("SMARTPH",B714)),
ISNUMBER(SEARCH("IMPRESORA",B714)),
ISNUMBER(SEARCH("MULTIFUNCIONAL",B714)),
ISNUMBER(SEARCH("AIO",B714))
),
"GANCHO",
"NORMAL"
)
)</f>
        <v>NORMAL</v>
      </c>
    </row>
    <row r="713" spans="1:12" x14ac:dyDescent="0.25">
      <c r="A713" s="3" t="s">
        <v>2867</v>
      </c>
      <c r="B713" s="3" t="s">
        <v>2868</v>
      </c>
      <c r="C713" s="1">
        <v>20</v>
      </c>
      <c r="D713" s="1">
        <v>20.21</v>
      </c>
      <c r="E713" s="1" t="s">
        <v>196</v>
      </c>
      <c r="F713" s="1" t="s">
        <v>3448</v>
      </c>
      <c r="G713" s="3" t="s">
        <v>2869</v>
      </c>
      <c r="H713" s="11">
        <f>ROUND(
IF(L711="GANCHO",
   IF(I713&lt;=50,I713*1.1+4,IF(I713&lt;=120,I713*1.1+7,IF(I713&lt;=250,I713*1.1+11,I713*1.1+19))),
IF(L711="NORMAL",
   IF(I713&lt;=30,I713*1.15+2,IF(I713&lt;=80,I713*1.15+4,IF(I713&lt;=150,I713*1.15+6,I713*1.15+8))),
IF(L711="COMPLEMENTO",
   IF(I713&lt;=25,I713*1.25+1.5,IF(I713&lt;=60,I713*1.25+3,IF(I713&lt;=120,I713*1.25+4,I713*1.25+5))),
""))),2)</f>
        <v>101.44</v>
      </c>
      <c r="I713" s="9">
        <f>($K$2+0.02)*Tabla1[[#This Row],[PRECIO $]]*1.18</f>
        <v>82.990343999999993</v>
      </c>
      <c r="J713" s="7">
        <f>+Tabla1[[#This Row],[PRECIO EN SOLES]]-Tabla1[[#This Row],[PC]]</f>
        <v>18.449656000000004</v>
      </c>
      <c r="K713" s="15"/>
      <c r="L713" s="15" t="str">
        <f>IF(
OR(
ISNUMBER(SEARCH("BACKPACK",B715)),
ISNUMBER(SEARCH("MOCHILA",B715)),
ISNUMBER(SEARCH("FUNDA",B715)),
ISNUMBER(SEARCH("ESTUCHE",B715)),
ISNUMBER(SEARCH("BOOK COVER",B715)),
ISNUMBER(SEARCH("KEYBOARD PARA TABLET",B715)),
ISNUMBER(SEARCH("FLIP TABLET",B715)),
ISNUMBER(SEARCH("CASE FOR TABLET",B715)),
ISNUMBER(SEARCH("CABLE",B715)),
ISNUMBER(SEARCH("ADAPTADOR",B715)),
ISNUMBER(SEARCH("HUB",B715)),
ISNUMBER(SEARCH("DOCK",B715)),
ISNUMBER(SEARCH("MOUSE PAD",B715)),
ISNUMBER(SEARCH("MOUSEPAD",B715)),
ISNUMBER(SEARCH("SOPORTE",B715)),
ISNUMBER(SEARCH("STAND",B715)),
ISNUMBER(SEARCH("TRAVEL ADAPTER",B715)),
ISNUMBER(SEARCH("RJ45",B715)),
ISNUMBER(SEARCH("USB-C",B715)),
ISNUMBER(SEARCH("USB WIFI",B715)),
ISNUMBER(SEARCH("POWERBANK",B715)),
ISNUMBER(SEARCH("CARGADOR",B715)),
ISNUMBER(SEARCH("COOLER PARA NB",B715)),
ISNUMBER(SEARCH("SOPORTE PARA NB",B715)),
ISNUMBER(SEARCH("WEBCAM",B715)),
ISNUMBER(SEARCH("WEB CAM",B715)),
ISNUMBER(SEARCH("MOUSE",B715)),
ISNUMBER(SEARCH("TECLADO",B715))
),
"COMPLEMENTO",
IF(
OR(
LEFT(A715,2)="NB",
LEFT(A715,2)="PC",
LEFT(A715,2)="WS",
LEFT(A715,2)="TB",
LEFT(A715,3)="CEL",
LEFT(A715,3)="MON",
LEFT(A715,3)="PRE",
LEFT(A715,3)="PRH",
ISNUMBER(SEARCH("NOTEBOOK",B715)),
ISNUMBER(SEARCH("LAPTOP",B715)),
ISNUMBER(SEARCH("MONITOR",B715)),
ISNUMBER(SEARCH("TABLET",B715)),
ISNUMBER(SEARCH("SMARTPH",B715)),
ISNUMBER(SEARCH("IMPRESORA",B715)),
ISNUMBER(SEARCH("MULTIFUNCIONAL",B715)),
ISNUMBER(SEARCH("AIO",B715))
),
"GANCHO",
"NORMAL"
)
)</f>
        <v>NORMAL</v>
      </c>
    </row>
    <row r="714" spans="1:12" x14ac:dyDescent="0.25">
      <c r="A714" s="3" t="s">
        <v>2870</v>
      </c>
      <c r="B714" s="3" t="s">
        <v>2871</v>
      </c>
      <c r="C714" s="1">
        <v>20</v>
      </c>
      <c r="D714" s="1">
        <v>5.31</v>
      </c>
      <c r="E714" s="1" t="s">
        <v>196</v>
      </c>
      <c r="F714" s="1" t="s">
        <v>3449</v>
      </c>
      <c r="G714" s="3" t="s">
        <v>2872</v>
      </c>
      <c r="H714" s="11">
        <f>ROUND(
IF(L712="GANCHO",
   IF(I714&lt;=50,I714*1.1+4,IF(I714&lt;=120,I714*1.1+7,IF(I714&lt;=250,I714*1.1+11,I714*1.1+19))),
IF(L712="NORMAL",
   IF(I714&lt;=30,I714*1.15+2,IF(I714&lt;=80,I714*1.15+4,IF(I714&lt;=150,I714*1.15+6,I714*1.15+8))),
IF(L712="COMPLEMENTO",
   IF(I714&lt;=25,I714*1.25+1.5,IF(I714&lt;=60,I714*1.25+3,IF(I714&lt;=120,I714*1.25+4,I714*1.25+5))),
""))),2)</f>
        <v>27.08</v>
      </c>
      <c r="I714" s="9">
        <f>($K$2+0.02)*Tabla1[[#This Row],[PRECIO $]]*1.18</f>
        <v>21.804983999999997</v>
      </c>
      <c r="J714" s="7">
        <f>+Tabla1[[#This Row],[PRECIO EN SOLES]]-Tabla1[[#This Row],[PC]]</f>
        <v>5.2750160000000008</v>
      </c>
      <c r="K714" s="15"/>
      <c r="L714" s="15" t="str">
        <f>IF(
OR(
ISNUMBER(SEARCH("BACKPACK",B716)),
ISNUMBER(SEARCH("MOCHILA",B716)),
ISNUMBER(SEARCH("FUNDA",B716)),
ISNUMBER(SEARCH("ESTUCHE",B716)),
ISNUMBER(SEARCH("BOOK COVER",B716)),
ISNUMBER(SEARCH("KEYBOARD PARA TABLET",B716)),
ISNUMBER(SEARCH("FLIP TABLET",B716)),
ISNUMBER(SEARCH("CASE FOR TABLET",B716)),
ISNUMBER(SEARCH("CABLE",B716)),
ISNUMBER(SEARCH("ADAPTADOR",B716)),
ISNUMBER(SEARCH("HUB",B716)),
ISNUMBER(SEARCH("DOCK",B716)),
ISNUMBER(SEARCH("MOUSE PAD",B716)),
ISNUMBER(SEARCH("MOUSEPAD",B716)),
ISNUMBER(SEARCH("SOPORTE",B716)),
ISNUMBER(SEARCH("STAND",B716)),
ISNUMBER(SEARCH("TRAVEL ADAPTER",B716)),
ISNUMBER(SEARCH("RJ45",B716)),
ISNUMBER(SEARCH("USB-C",B716)),
ISNUMBER(SEARCH("USB WIFI",B716)),
ISNUMBER(SEARCH("POWERBANK",B716)),
ISNUMBER(SEARCH("CARGADOR",B716)),
ISNUMBER(SEARCH("COOLER PARA NB",B716)),
ISNUMBER(SEARCH("SOPORTE PARA NB",B716)),
ISNUMBER(SEARCH("WEBCAM",B716)),
ISNUMBER(SEARCH("WEB CAM",B716)),
ISNUMBER(SEARCH("MOUSE",B716)),
ISNUMBER(SEARCH("TECLADO",B716))
),
"COMPLEMENTO",
IF(
OR(
LEFT(A716,2)="NB",
LEFT(A716,2)="PC",
LEFT(A716,2)="WS",
LEFT(A716,2)="TB",
LEFT(A716,3)="CEL",
LEFT(A716,3)="MON",
LEFT(A716,3)="PRE",
LEFT(A716,3)="PRH",
ISNUMBER(SEARCH("NOTEBOOK",B716)),
ISNUMBER(SEARCH("LAPTOP",B716)),
ISNUMBER(SEARCH("MONITOR",B716)),
ISNUMBER(SEARCH("TABLET",B716)),
ISNUMBER(SEARCH("SMARTPH",B716)),
ISNUMBER(SEARCH("IMPRESORA",B716)),
ISNUMBER(SEARCH("MULTIFUNCIONAL",B716)),
ISNUMBER(SEARCH("AIO",B716))
),
"GANCHO",
"NORMAL"
)
)</f>
        <v>NORMAL</v>
      </c>
    </row>
    <row r="715" spans="1:12" x14ac:dyDescent="0.25">
      <c r="A715" s="3" t="s">
        <v>2962</v>
      </c>
      <c r="B715" s="3" t="s">
        <v>2963</v>
      </c>
      <c r="C715" s="1">
        <v>20</v>
      </c>
      <c r="D715" s="1">
        <v>5.46</v>
      </c>
      <c r="E715" s="1" t="s">
        <v>196</v>
      </c>
      <c r="F715" s="1" t="s">
        <v>3450</v>
      </c>
      <c r="G715" s="3" t="s">
        <v>2964</v>
      </c>
      <c r="H715" s="11">
        <f>ROUND(
IF(L713="GANCHO",
   IF(I715&lt;=50,I715*1.1+4,IF(I715&lt;=120,I715*1.1+7,IF(I715&lt;=250,I715*1.1+11,I715*1.1+19))),
IF(L713="NORMAL",
   IF(I715&lt;=30,I715*1.15+2,IF(I715&lt;=80,I715*1.15+4,IF(I715&lt;=150,I715*1.15+6,I715*1.15+8))),
IF(L713="COMPLEMENTO",
   IF(I715&lt;=25,I715*1.25+1.5,IF(I715&lt;=60,I715*1.25+3,IF(I715&lt;=120,I715*1.25+4,I715*1.25+5))),
""))),2)</f>
        <v>27.78</v>
      </c>
      <c r="I715" s="9">
        <f>($K$2+0.02)*Tabla1[[#This Row],[PRECIO $]]*1.18</f>
        <v>22.420943999999995</v>
      </c>
      <c r="J715" s="7">
        <f>+Tabla1[[#This Row],[PRECIO EN SOLES]]-Tabla1[[#This Row],[PC]]</f>
        <v>5.359056000000006</v>
      </c>
      <c r="K715" s="15"/>
      <c r="L715" s="15" t="str">
        <f>IF(
OR(
ISNUMBER(SEARCH("BACKPACK",B717)),
ISNUMBER(SEARCH("MOCHILA",B717)),
ISNUMBER(SEARCH("FUNDA",B717)),
ISNUMBER(SEARCH("ESTUCHE",B717)),
ISNUMBER(SEARCH("BOOK COVER",B717)),
ISNUMBER(SEARCH("KEYBOARD PARA TABLET",B717)),
ISNUMBER(SEARCH("FLIP TABLET",B717)),
ISNUMBER(SEARCH("CASE FOR TABLET",B717)),
ISNUMBER(SEARCH("CABLE",B717)),
ISNUMBER(SEARCH("ADAPTADOR",B717)),
ISNUMBER(SEARCH("HUB",B717)),
ISNUMBER(SEARCH("DOCK",B717)),
ISNUMBER(SEARCH("MOUSE PAD",B717)),
ISNUMBER(SEARCH("MOUSEPAD",B717)),
ISNUMBER(SEARCH("SOPORTE",B717)),
ISNUMBER(SEARCH("STAND",B717)),
ISNUMBER(SEARCH("TRAVEL ADAPTER",B717)),
ISNUMBER(SEARCH("RJ45",B717)),
ISNUMBER(SEARCH("USB-C",B717)),
ISNUMBER(SEARCH("USB WIFI",B717)),
ISNUMBER(SEARCH("POWERBANK",B717)),
ISNUMBER(SEARCH("CARGADOR",B717)),
ISNUMBER(SEARCH("COOLER PARA NB",B717)),
ISNUMBER(SEARCH("SOPORTE PARA NB",B717)),
ISNUMBER(SEARCH("WEBCAM",B717)),
ISNUMBER(SEARCH("WEB CAM",B717)),
ISNUMBER(SEARCH("MOUSE",B717)),
ISNUMBER(SEARCH("TECLADO",B717))
),
"COMPLEMENTO",
IF(
OR(
LEFT(A717,2)="NB",
LEFT(A717,2)="PC",
LEFT(A717,2)="WS",
LEFT(A717,2)="TB",
LEFT(A717,3)="CEL",
LEFT(A717,3)="MON",
LEFT(A717,3)="PRE",
LEFT(A717,3)="PRH",
ISNUMBER(SEARCH("NOTEBOOK",B717)),
ISNUMBER(SEARCH("LAPTOP",B717)),
ISNUMBER(SEARCH("MONITOR",B717)),
ISNUMBER(SEARCH("TABLET",B717)),
ISNUMBER(SEARCH("SMARTPH",B717)),
ISNUMBER(SEARCH("IMPRESORA",B717)),
ISNUMBER(SEARCH("MULTIFUNCIONAL",B717)),
ISNUMBER(SEARCH("AIO",B717))
),
"GANCHO",
"NORMAL"
)
)</f>
        <v>NORMAL</v>
      </c>
    </row>
    <row r="716" spans="1:12" x14ac:dyDescent="0.25">
      <c r="A716" s="3" t="s">
        <v>2873</v>
      </c>
      <c r="B716" s="3" t="s">
        <v>2874</v>
      </c>
      <c r="C716" s="1">
        <v>20</v>
      </c>
      <c r="D716" s="1">
        <v>20.02</v>
      </c>
      <c r="E716" s="1" t="s">
        <v>196</v>
      </c>
      <c r="F716" s="1" t="s">
        <v>3451</v>
      </c>
      <c r="G716" s="3" t="s">
        <v>2875</v>
      </c>
      <c r="H716" s="11">
        <f>ROUND(
IF(L714="GANCHO",
   IF(I716&lt;=50,I716*1.1+4,IF(I716&lt;=120,I716*1.1+7,IF(I716&lt;=250,I716*1.1+11,I716*1.1+19))),
IF(L714="NORMAL",
   IF(I716&lt;=30,I716*1.15+2,IF(I716&lt;=80,I716*1.15+4,IF(I716&lt;=150,I716*1.15+6,I716*1.15+8))),
IF(L714="COMPLEMENTO",
   IF(I716&lt;=25,I716*1.25+1.5,IF(I716&lt;=60,I716*1.25+3,IF(I716&lt;=120,I716*1.25+4,I716*1.25+5))),
""))),2)</f>
        <v>100.54</v>
      </c>
      <c r="I716" s="9">
        <f>($K$2+0.02)*Tabla1[[#This Row],[PRECIO $]]*1.18</f>
        <v>82.210127999999997</v>
      </c>
      <c r="J716" s="7">
        <f>+Tabla1[[#This Row],[PRECIO EN SOLES]]-Tabla1[[#This Row],[PC]]</f>
        <v>18.329872000000009</v>
      </c>
      <c r="K716" s="15"/>
      <c r="L716" s="15" t="str">
        <f>IF(
OR(
ISNUMBER(SEARCH("BACKPACK",B718)),
ISNUMBER(SEARCH("MOCHILA",B718)),
ISNUMBER(SEARCH("FUNDA",B718)),
ISNUMBER(SEARCH("ESTUCHE",B718)),
ISNUMBER(SEARCH("BOOK COVER",B718)),
ISNUMBER(SEARCH("KEYBOARD PARA TABLET",B718)),
ISNUMBER(SEARCH("FLIP TABLET",B718)),
ISNUMBER(SEARCH("CASE FOR TABLET",B718)),
ISNUMBER(SEARCH("CABLE",B718)),
ISNUMBER(SEARCH("ADAPTADOR",B718)),
ISNUMBER(SEARCH("HUB",B718)),
ISNUMBER(SEARCH("DOCK",B718)),
ISNUMBER(SEARCH("MOUSE PAD",B718)),
ISNUMBER(SEARCH("MOUSEPAD",B718)),
ISNUMBER(SEARCH("SOPORTE",B718)),
ISNUMBER(SEARCH("STAND",B718)),
ISNUMBER(SEARCH("TRAVEL ADAPTER",B718)),
ISNUMBER(SEARCH("RJ45",B718)),
ISNUMBER(SEARCH("USB-C",B718)),
ISNUMBER(SEARCH("USB WIFI",B718)),
ISNUMBER(SEARCH("POWERBANK",B718)),
ISNUMBER(SEARCH("CARGADOR",B718)),
ISNUMBER(SEARCH("COOLER PARA NB",B718)),
ISNUMBER(SEARCH("SOPORTE PARA NB",B718)),
ISNUMBER(SEARCH("WEBCAM",B718)),
ISNUMBER(SEARCH("WEB CAM",B718)),
ISNUMBER(SEARCH("MOUSE",B718)),
ISNUMBER(SEARCH("TECLADO",B718))
),
"COMPLEMENTO",
IF(
OR(
LEFT(A718,2)="NB",
LEFT(A718,2)="PC",
LEFT(A718,2)="WS",
LEFT(A718,2)="TB",
LEFT(A718,3)="CEL",
LEFT(A718,3)="MON",
LEFT(A718,3)="PRE",
LEFT(A718,3)="PRH",
ISNUMBER(SEARCH("NOTEBOOK",B718)),
ISNUMBER(SEARCH("LAPTOP",B718)),
ISNUMBER(SEARCH("MONITOR",B718)),
ISNUMBER(SEARCH("TABLET",B718)),
ISNUMBER(SEARCH("SMARTPH",B718)),
ISNUMBER(SEARCH("IMPRESORA",B718)),
ISNUMBER(SEARCH("MULTIFUNCIONAL",B718)),
ISNUMBER(SEARCH("AIO",B718))
),
"GANCHO",
"NORMAL"
)
)</f>
        <v>NORMAL</v>
      </c>
    </row>
    <row r="717" spans="1:12" x14ac:dyDescent="0.25">
      <c r="A717" s="3" t="s">
        <v>2876</v>
      </c>
      <c r="B717" s="3" t="s">
        <v>2877</v>
      </c>
      <c r="C717" s="1">
        <v>20</v>
      </c>
      <c r="D717" s="1">
        <v>5.36</v>
      </c>
      <c r="E717" s="1" t="s">
        <v>196</v>
      </c>
      <c r="F717" s="1" t="s">
        <v>3452</v>
      </c>
      <c r="G717" s="3" t="s">
        <v>2878</v>
      </c>
      <c r="H717" s="11">
        <f>ROUND(
IF(L715="GANCHO",
   IF(I717&lt;=50,I717*1.1+4,IF(I717&lt;=120,I717*1.1+7,IF(I717&lt;=250,I717*1.1+11,I717*1.1+19))),
IF(L715="NORMAL",
   IF(I717&lt;=30,I717*1.15+2,IF(I717&lt;=80,I717*1.15+4,IF(I717&lt;=150,I717*1.15+6,I717*1.15+8))),
IF(L715="COMPLEMENTO",
   IF(I717&lt;=25,I717*1.25+1.5,IF(I717&lt;=60,I717*1.25+3,IF(I717&lt;=120,I717*1.25+4,I717*1.25+5))),
""))),2)</f>
        <v>27.31</v>
      </c>
      <c r="I717" s="9">
        <f>($K$2+0.02)*Tabla1[[#This Row],[PRECIO $]]*1.18</f>
        <v>22.010304000000001</v>
      </c>
      <c r="J717" s="7">
        <f>+Tabla1[[#This Row],[PRECIO EN SOLES]]-Tabla1[[#This Row],[PC]]</f>
        <v>5.2996959999999973</v>
      </c>
      <c r="K717" s="15"/>
      <c r="L717" s="15" t="str">
        <f>IF(
OR(
ISNUMBER(SEARCH("BACKPACK",B719)),
ISNUMBER(SEARCH("MOCHILA",B719)),
ISNUMBER(SEARCH("FUNDA",B719)),
ISNUMBER(SEARCH("ESTUCHE",B719)),
ISNUMBER(SEARCH("BOOK COVER",B719)),
ISNUMBER(SEARCH("KEYBOARD PARA TABLET",B719)),
ISNUMBER(SEARCH("FLIP TABLET",B719)),
ISNUMBER(SEARCH("CASE FOR TABLET",B719)),
ISNUMBER(SEARCH("CABLE",B719)),
ISNUMBER(SEARCH("ADAPTADOR",B719)),
ISNUMBER(SEARCH("HUB",B719)),
ISNUMBER(SEARCH("DOCK",B719)),
ISNUMBER(SEARCH("MOUSE PAD",B719)),
ISNUMBER(SEARCH("MOUSEPAD",B719)),
ISNUMBER(SEARCH("SOPORTE",B719)),
ISNUMBER(SEARCH("STAND",B719)),
ISNUMBER(SEARCH("TRAVEL ADAPTER",B719)),
ISNUMBER(SEARCH("RJ45",B719)),
ISNUMBER(SEARCH("USB-C",B719)),
ISNUMBER(SEARCH("USB WIFI",B719)),
ISNUMBER(SEARCH("POWERBANK",B719)),
ISNUMBER(SEARCH("CARGADOR",B719)),
ISNUMBER(SEARCH("COOLER PARA NB",B719)),
ISNUMBER(SEARCH("SOPORTE PARA NB",B719)),
ISNUMBER(SEARCH("WEBCAM",B719)),
ISNUMBER(SEARCH("WEB CAM",B719)),
ISNUMBER(SEARCH("MOUSE",B719)),
ISNUMBER(SEARCH("TECLADO",B719))
),
"COMPLEMENTO",
IF(
OR(
LEFT(A719,2)="NB",
LEFT(A719,2)="PC",
LEFT(A719,2)="WS",
LEFT(A719,2)="TB",
LEFT(A719,3)="CEL",
LEFT(A719,3)="MON",
LEFT(A719,3)="PRE",
LEFT(A719,3)="PRH",
ISNUMBER(SEARCH("NOTEBOOK",B719)),
ISNUMBER(SEARCH("LAPTOP",B719)),
ISNUMBER(SEARCH("MONITOR",B719)),
ISNUMBER(SEARCH("TABLET",B719)),
ISNUMBER(SEARCH("SMARTPH",B719)),
ISNUMBER(SEARCH("IMPRESORA",B719)),
ISNUMBER(SEARCH("MULTIFUNCIONAL",B719)),
ISNUMBER(SEARCH("AIO",B719))
),
"GANCHO",
"NORMAL"
)
)</f>
        <v>NORMAL</v>
      </c>
    </row>
    <row r="718" spans="1:12" x14ac:dyDescent="0.25">
      <c r="A718" s="3" t="s">
        <v>270</v>
      </c>
      <c r="B718" s="3" t="s">
        <v>271</v>
      </c>
      <c r="C718" s="1">
        <v>20</v>
      </c>
      <c r="D718" s="1">
        <v>7.95</v>
      </c>
      <c r="E718" s="1" t="s">
        <v>196</v>
      </c>
      <c r="F718" s="1" t="s">
        <v>3453</v>
      </c>
      <c r="G718" s="3" t="s">
        <v>272</v>
      </c>
      <c r="H718" s="11">
        <f>ROUND(
IF(L716="GANCHO",
   IF(I718&lt;=50,I718*1.1+4,IF(I718&lt;=120,I718*1.1+7,IF(I718&lt;=250,I718*1.1+11,I718*1.1+19))),
IF(L716="NORMAL",
   IF(I718&lt;=30,I718*1.15+2,IF(I718&lt;=80,I718*1.15+4,IF(I718&lt;=150,I718*1.15+6,I718*1.15+8))),
IF(L716="COMPLEMENTO",
   IF(I718&lt;=25,I718*1.25+1.5,IF(I718&lt;=60,I718*1.25+3,IF(I718&lt;=120,I718*1.25+4,I718*1.25+5))),
""))),2)</f>
        <v>41.54</v>
      </c>
      <c r="I718" s="9">
        <f>($K$2+0.02)*Tabla1[[#This Row],[PRECIO $]]*1.18</f>
        <v>32.645879999999998</v>
      </c>
      <c r="J718" s="7">
        <f>+Tabla1[[#This Row],[PRECIO EN SOLES]]-Tabla1[[#This Row],[PC]]</f>
        <v>8.8941200000000009</v>
      </c>
      <c r="K718" s="15"/>
      <c r="L718" s="15" t="str">
        <f>IF(
OR(
ISNUMBER(SEARCH("BACKPACK",B720)),
ISNUMBER(SEARCH("MOCHILA",B720)),
ISNUMBER(SEARCH("FUNDA",B720)),
ISNUMBER(SEARCH("ESTUCHE",B720)),
ISNUMBER(SEARCH("BOOK COVER",B720)),
ISNUMBER(SEARCH("KEYBOARD PARA TABLET",B720)),
ISNUMBER(SEARCH("FLIP TABLET",B720)),
ISNUMBER(SEARCH("CASE FOR TABLET",B720)),
ISNUMBER(SEARCH("CABLE",B720)),
ISNUMBER(SEARCH("ADAPTADOR",B720)),
ISNUMBER(SEARCH("HUB",B720)),
ISNUMBER(SEARCH("DOCK",B720)),
ISNUMBER(SEARCH("MOUSE PAD",B720)),
ISNUMBER(SEARCH("MOUSEPAD",B720)),
ISNUMBER(SEARCH("SOPORTE",B720)),
ISNUMBER(SEARCH("STAND",B720)),
ISNUMBER(SEARCH("TRAVEL ADAPTER",B720)),
ISNUMBER(SEARCH("RJ45",B720)),
ISNUMBER(SEARCH("USB-C",B720)),
ISNUMBER(SEARCH("USB WIFI",B720)),
ISNUMBER(SEARCH("POWERBANK",B720)),
ISNUMBER(SEARCH("CARGADOR",B720)),
ISNUMBER(SEARCH("COOLER PARA NB",B720)),
ISNUMBER(SEARCH("SOPORTE PARA NB",B720)),
ISNUMBER(SEARCH("WEBCAM",B720)),
ISNUMBER(SEARCH("WEB CAM",B720)),
ISNUMBER(SEARCH("MOUSE",B720)),
ISNUMBER(SEARCH("TECLADO",B720))
),
"COMPLEMENTO",
IF(
OR(
LEFT(A720,2)="NB",
LEFT(A720,2)="PC",
LEFT(A720,2)="WS",
LEFT(A720,2)="TB",
LEFT(A720,3)="CEL",
LEFT(A720,3)="MON",
LEFT(A720,3)="PRE",
LEFT(A720,3)="PRH",
ISNUMBER(SEARCH("NOTEBOOK",B720)),
ISNUMBER(SEARCH("LAPTOP",B720)),
ISNUMBER(SEARCH("MONITOR",B720)),
ISNUMBER(SEARCH("TABLET",B720)),
ISNUMBER(SEARCH("SMARTPH",B720)),
ISNUMBER(SEARCH("IMPRESORA",B720)),
ISNUMBER(SEARCH("MULTIFUNCIONAL",B720)),
ISNUMBER(SEARCH("AIO",B720))
),
"GANCHO",
"NORMAL"
)
)</f>
        <v>NORMAL</v>
      </c>
    </row>
    <row r="719" spans="1:12" x14ac:dyDescent="0.25">
      <c r="A719" s="3" t="s">
        <v>273</v>
      </c>
      <c r="B719" s="3" t="s">
        <v>274</v>
      </c>
      <c r="C719" s="1">
        <v>10</v>
      </c>
      <c r="D719" s="1">
        <v>20.010000000000002</v>
      </c>
      <c r="E719" s="1" t="s">
        <v>196</v>
      </c>
      <c r="F719" s="1" t="s">
        <v>3454</v>
      </c>
      <c r="G719" s="3" t="s">
        <v>275</v>
      </c>
      <c r="H719" s="11">
        <f>ROUND(
IF(L717="GANCHO",
   IF(I719&lt;=50,I719*1.1+4,IF(I719&lt;=120,I719*1.1+7,IF(I719&lt;=250,I719*1.1+11,I719*1.1+19))),
IF(L717="NORMAL",
   IF(I719&lt;=30,I719*1.15+2,IF(I719&lt;=80,I719*1.15+4,IF(I719&lt;=150,I719*1.15+6,I719*1.15+8))),
IF(L717="COMPLEMENTO",
   IF(I719&lt;=25,I719*1.25+1.5,IF(I719&lt;=60,I719*1.25+3,IF(I719&lt;=120,I719*1.25+4,I719*1.25+5))),
""))),2)</f>
        <v>100.49</v>
      </c>
      <c r="I719" s="9">
        <f>($K$2+0.02)*Tabla1[[#This Row],[PRECIO $]]*1.18</f>
        <v>82.169063999999992</v>
      </c>
      <c r="J719" s="7">
        <f>+Tabla1[[#This Row],[PRECIO EN SOLES]]-Tabla1[[#This Row],[PC]]</f>
        <v>18.320936000000003</v>
      </c>
      <c r="K719" s="15"/>
      <c r="L719" s="15" t="str">
        <f>IF(
OR(
ISNUMBER(SEARCH("BACKPACK",B721)),
ISNUMBER(SEARCH("MOCHILA",B721)),
ISNUMBER(SEARCH("FUNDA",B721)),
ISNUMBER(SEARCH("ESTUCHE",B721)),
ISNUMBER(SEARCH("BOOK COVER",B721)),
ISNUMBER(SEARCH("KEYBOARD PARA TABLET",B721)),
ISNUMBER(SEARCH("FLIP TABLET",B721)),
ISNUMBER(SEARCH("CASE FOR TABLET",B721)),
ISNUMBER(SEARCH("CABLE",B721)),
ISNUMBER(SEARCH("ADAPTADOR",B721)),
ISNUMBER(SEARCH("HUB",B721)),
ISNUMBER(SEARCH("DOCK",B721)),
ISNUMBER(SEARCH("MOUSE PAD",B721)),
ISNUMBER(SEARCH("MOUSEPAD",B721)),
ISNUMBER(SEARCH("SOPORTE",B721)),
ISNUMBER(SEARCH("STAND",B721)),
ISNUMBER(SEARCH("TRAVEL ADAPTER",B721)),
ISNUMBER(SEARCH("RJ45",B721)),
ISNUMBER(SEARCH("USB-C",B721)),
ISNUMBER(SEARCH("USB WIFI",B721)),
ISNUMBER(SEARCH("POWERBANK",B721)),
ISNUMBER(SEARCH("CARGADOR",B721)),
ISNUMBER(SEARCH("COOLER PARA NB",B721)),
ISNUMBER(SEARCH("SOPORTE PARA NB",B721)),
ISNUMBER(SEARCH("WEBCAM",B721)),
ISNUMBER(SEARCH("WEB CAM",B721)),
ISNUMBER(SEARCH("MOUSE",B721)),
ISNUMBER(SEARCH("TECLADO",B721))
),
"COMPLEMENTO",
IF(
OR(
LEFT(A721,2)="NB",
LEFT(A721,2)="PC",
LEFT(A721,2)="WS",
LEFT(A721,2)="TB",
LEFT(A721,3)="CEL",
LEFT(A721,3)="MON",
LEFT(A721,3)="PRE",
LEFT(A721,3)="PRH",
ISNUMBER(SEARCH("NOTEBOOK",B721)),
ISNUMBER(SEARCH("LAPTOP",B721)),
ISNUMBER(SEARCH("MONITOR",B721)),
ISNUMBER(SEARCH("TABLET",B721)),
ISNUMBER(SEARCH("SMARTPH",B721)),
ISNUMBER(SEARCH("IMPRESORA",B721)),
ISNUMBER(SEARCH("MULTIFUNCIONAL",B721)),
ISNUMBER(SEARCH("AIO",B721))
),
"GANCHO",
"NORMAL"
)
)</f>
        <v>NORMAL</v>
      </c>
    </row>
    <row r="720" spans="1:12" x14ac:dyDescent="0.25">
      <c r="A720" s="3" t="s">
        <v>1438</v>
      </c>
      <c r="B720" s="3" t="s">
        <v>1439</v>
      </c>
      <c r="C720" s="1">
        <v>20</v>
      </c>
      <c r="D720" s="1">
        <v>42.1</v>
      </c>
      <c r="E720" s="1" t="s">
        <v>196</v>
      </c>
      <c r="F720" s="1" t="s">
        <v>3455</v>
      </c>
      <c r="G720" s="3" t="s">
        <v>1440</v>
      </c>
      <c r="H720" s="11">
        <f>ROUND(
IF(L718="GANCHO",
   IF(I720&lt;=50,I720*1.1+4,IF(I720&lt;=120,I720*1.1+7,IF(I720&lt;=250,I720*1.1+11,I720*1.1+19))),
IF(L718="NORMAL",
   IF(I720&lt;=30,I720*1.15+2,IF(I720&lt;=80,I720*1.15+4,IF(I720&lt;=150,I720*1.15+6,I720*1.15+8))),
IF(L718="COMPLEMENTO",
   IF(I720&lt;=25,I720*1.25+1.5,IF(I720&lt;=60,I720*1.25+3,IF(I720&lt;=120,I720*1.25+4,I720*1.25+5))),
""))),2)</f>
        <v>206.81</v>
      </c>
      <c r="I720" s="9">
        <f>($K$2+0.02)*Tabla1[[#This Row],[PRECIO $]]*1.18</f>
        <v>172.87943999999999</v>
      </c>
      <c r="J720" s="7">
        <f>+Tabla1[[#This Row],[PRECIO EN SOLES]]-Tabla1[[#This Row],[PC]]</f>
        <v>33.930560000000014</v>
      </c>
      <c r="K720" s="15"/>
      <c r="L720" s="15" t="str">
        <f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21" spans="1:12" x14ac:dyDescent="0.25">
      <c r="A721" s="3" t="s">
        <v>2879</v>
      </c>
      <c r="B721" s="3" t="s">
        <v>2880</v>
      </c>
      <c r="C721" s="1">
        <v>20</v>
      </c>
      <c r="D721" s="1">
        <v>5.51</v>
      </c>
      <c r="E721" s="1" t="s">
        <v>196</v>
      </c>
      <c r="F721" s="1" t="s">
        <v>3456</v>
      </c>
      <c r="G721" s="3" t="s">
        <v>2881</v>
      </c>
      <c r="H721" s="11">
        <f>ROUND(
IF(L719="GANCHO",
   IF(I721&lt;=50,I721*1.1+4,IF(I721&lt;=120,I721*1.1+7,IF(I721&lt;=250,I721*1.1+11,I721*1.1+19))),
IF(L719="NORMAL",
   IF(I721&lt;=30,I721*1.15+2,IF(I721&lt;=80,I721*1.15+4,IF(I721&lt;=150,I721*1.15+6,I721*1.15+8))),
IF(L719="COMPLEMENTO",
   IF(I721&lt;=25,I721*1.25+1.5,IF(I721&lt;=60,I721*1.25+3,IF(I721&lt;=120,I721*1.25+4,I721*1.25+5))),
""))),2)</f>
        <v>28.02</v>
      </c>
      <c r="I721" s="9">
        <f>($K$2+0.02)*Tabla1[[#This Row],[PRECIO $]]*1.18</f>
        <v>22.626263999999995</v>
      </c>
      <c r="J721" s="7">
        <f>+Tabla1[[#This Row],[PRECIO EN SOLES]]-Tabla1[[#This Row],[PC]]</f>
        <v>5.3937360000000041</v>
      </c>
      <c r="K721" s="15"/>
      <c r="L721" s="15" t="str">
        <f>IF(
OR(
ISNUMBER(SEARCH("BACKPACK",B723)),
ISNUMBER(SEARCH("MOCHILA",B723)),
ISNUMBER(SEARCH("FUNDA",B723)),
ISNUMBER(SEARCH("ESTUCHE",B723)),
ISNUMBER(SEARCH("BOOK COVER",B723)),
ISNUMBER(SEARCH("KEYBOARD PARA TABLET",B723)),
ISNUMBER(SEARCH("FLIP TABLET",B723)),
ISNUMBER(SEARCH("CASE FOR TABLET",B723)),
ISNUMBER(SEARCH("CABLE",B723)),
ISNUMBER(SEARCH("ADAPTADOR",B723)),
ISNUMBER(SEARCH("HUB",B723)),
ISNUMBER(SEARCH("DOCK",B723)),
ISNUMBER(SEARCH("MOUSE PAD",B723)),
ISNUMBER(SEARCH("MOUSEPAD",B723)),
ISNUMBER(SEARCH("SOPORTE",B723)),
ISNUMBER(SEARCH("STAND",B723)),
ISNUMBER(SEARCH("TRAVEL ADAPTER",B723)),
ISNUMBER(SEARCH("RJ45",B723)),
ISNUMBER(SEARCH("USB-C",B723)),
ISNUMBER(SEARCH("USB WIFI",B723)),
ISNUMBER(SEARCH("POWERBANK",B723)),
ISNUMBER(SEARCH("CARGADOR",B723)),
ISNUMBER(SEARCH("COOLER PARA NB",B723)),
ISNUMBER(SEARCH("SOPORTE PARA NB",B723)),
ISNUMBER(SEARCH("WEBCAM",B723)),
ISNUMBER(SEARCH("WEB CAM",B723)),
ISNUMBER(SEARCH("MOUSE",B723)),
ISNUMBER(SEARCH("TECLADO",B723))
),
"COMPLEMENTO",
IF(
OR(
LEFT(A723,2)="NB",
LEFT(A723,2)="PC",
LEFT(A723,2)="WS",
LEFT(A723,2)="TB",
LEFT(A723,3)="CEL",
LEFT(A723,3)="MON",
LEFT(A723,3)="PRE",
LEFT(A723,3)="PRH",
ISNUMBER(SEARCH("NOTEBOOK",B723)),
ISNUMBER(SEARCH("LAPTOP",B723)),
ISNUMBER(SEARCH("MONITOR",B723)),
ISNUMBER(SEARCH("TABLET",B723)),
ISNUMBER(SEARCH("SMARTPH",B723)),
ISNUMBER(SEARCH("IMPRESORA",B723)),
ISNUMBER(SEARCH("MULTIFUNCIONAL",B723)),
ISNUMBER(SEARCH("AIO",B723))
),
"GANCHO",
"NORMAL"
)
)</f>
        <v>NORMAL</v>
      </c>
    </row>
    <row r="722" spans="1:12" x14ac:dyDescent="0.25">
      <c r="A722" s="3" t="s">
        <v>1441</v>
      </c>
      <c r="B722" s="3" t="s">
        <v>1442</v>
      </c>
      <c r="C722" s="1">
        <v>20</v>
      </c>
      <c r="D722" s="1">
        <v>10.55</v>
      </c>
      <c r="E722" s="1" t="s">
        <v>199</v>
      </c>
      <c r="F722" s="1" t="s">
        <v>3457</v>
      </c>
      <c r="G722" s="3" t="s">
        <v>1443</v>
      </c>
      <c r="H722" s="11">
        <f>ROUND(
IF(L720="GANCHO",
   IF(I722&lt;=50,I722*1.1+4,IF(I722&lt;=120,I722*1.1+7,IF(I722&lt;=250,I722*1.1+11,I722*1.1+19))),
IF(L720="NORMAL",
   IF(I722&lt;=30,I722*1.15+2,IF(I722&lt;=80,I722*1.15+4,IF(I722&lt;=150,I722*1.15+6,I722*1.15+8))),
IF(L720="COMPLEMENTO",
   IF(I722&lt;=25,I722*1.25+1.5,IF(I722&lt;=60,I722*1.25+3,IF(I722&lt;=120,I722*1.25+4,I722*1.25+5))),
""))),2)</f>
        <v>53.82</v>
      </c>
      <c r="I722" s="9">
        <f>($K$2+0.02)*Tabla1[[#This Row],[PRECIO $]]*1.18</f>
        <v>43.322520000000004</v>
      </c>
      <c r="J722" s="7">
        <f>+Tabla1[[#This Row],[PRECIO EN SOLES]]-Tabla1[[#This Row],[PC]]</f>
        <v>10.497479999999996</v>
      </c>
      <c r="K722" s="15"/>
      <c r="L722" s="15" t="str">
        <f>IF(
OR(
ISNUMBER(SEARCH("BACKPACK",B724)),
ISNUMBER(SEARCH("MOCHILA",B724)),
ISNUMBER(SEARCH("FUNDA",B724)),
ISNUMBER(SEARCH("ESTUCHE",B724)),
ISNUMBER(SEARCH("BOOK COVER",B724)),
ISNUMBER(SEARCH("KEYBOARD PARA TABLET",B724)),
ISNUMBER(SEARCH("FLIP TABLET",B724)),
ISNUMBER(SEARCH("CASE FOR TABLET",B724)),
ISNUMBER(SEARCH("CABLE",B724)),
ISNUMBER(SEARCH("ADAPTADOR",B724)),
ISNUMBER(SEARCH("HUB",B724)),
ISNUMBER(SEARCH("DOCK",B724)),
ISNUMBER(SEARCH("MOUSE PAD",B724)),
ISNUMBER(SEARCH("MOUSEPAD",B724)),
ISNUMBER(SEARCH("SOPORTE",B724)),
ISNUMBER(SEARCH("STAND",B724)),
ISNUMBER(SEARCH("TRAVEL ADAPTER",B724)),
ISNUMBER(SEARCH("RJ45",B724)),
ISNUMBER(SEARCH("USB-C",B724)),
ISNUMBER(SEARCH("USB WIFI",B724)),
ISNUMBER(SEARCH("POWERBANK",B724)),
ISNUMBER(SEARCH("CARGADOR",B724)),
ISNUMBER(SEARCH("COOLER PARA NB",B724)),
ISNUMBER(SEARCH("SOPORTE PARA NB",B724)),
ISNUMBER(SEARCH("WEBCAM",B724)),
ISNUMBER(SEARCH("WEB CAM",B724)),
ISNUMBER(SEARCH("MOUSE",B724)),
ISNUMBER(SEARCH("TECLADO",B724))
),
"COMPLEMENTO",
IF(
OR(
LEFT(A724,2)="NB",
LEFT(A724,2)="PC",
LEFT(A724,2)="WS",
LEFT(A724,2)="TB",
LEFT(A724,3)="CEL",
LEFT(A724,3)="MON",
LEFT(A724,3)="PRE",
LEFT(A724,3)="PRH",
ISNUMBER(SEARCH("NOTEBOOK",B724)),
ISNUMBER(SEARCH("LAPTOP",B724)),
ISNUMBER(SEARCH("MONITOR",B724)),
ISNUMBER(SEARCH("TABLET",B724)),
ISNUMBER(SEARCH("SMARTPH",B724)),
ISNUMBER(SEARCH("IMPRESORA",B724)),
ISNUMBER(SEARCH("MULTIFUNCIONAL",B724)),
ISNUMBER(SEARCH("AIO",B724))
),
"GANCHO",
"NORMAL"
)
)</f>
        <v>NORMAL</v>
      </c>
    </row>
    <row r="723" spans="1:12" x14ac:dyDescent="0.25">
      <c r="A723" s="3" t="s">
        <v>651</v>
      </c>
      <c r="B723" s="3" t="s">
        <v>652</v>
      </c>
      <c r="C723" s="1">
        <v>20</v>
      </c>
      <c r="D723" s="1">
        <v>10.85</v>
      </c>
      <c r="E723" s="1" t="s">
        <v>467</v>
      </c>
      <c r="F723" s="1" t="s">
        <v>3458</v>
      </c>
      <c r="G723" s="3" t="s">
        <v>653</v>
      </c>
      <c r="H723" s="11">
        <f>ROUND(
IF(L721="GANCHO",
   IF(I723&lt;=50,I723*1.1+4,IF(I723&lt;=120,I723*1.1+7,IF(I723&lt;=250,I723*1.1+11,I723*1.1+19))),
IF(L721="NORMAL",
   IF(I723&lt;=30,I723*1.15+2,IF(I723&lt;=80,I723*1.15+4,IF(I723&lt;=150,I723*1.15+6,I723*1.15+8))),
IF(L721="COMPLEMENTO",
   IF(I723&lt;=25,I723*1.25+1.5,IF(I723&lt;=60,I723*1.25+3,IF(I723&lt;=120,I723*1.25+4,I723*1.25+5))),
""))),2)</f>
        <v>55.24</v>
      </c>
      <c r="I723" s="9">
        <f>($K$2+0.02)*Tabla1[[#This Row],[PRECIO $]]*1.18</f>
        <v>44.554439999999992</v>
      </c>
      <c r="J723" s="7">
        <f>+Tabla1[[#This Row],[PRECIO EN SOLES]]-Tabla1[[#This Row],[PC]]</f>
        <v>10.685560000000009</v>
      </c>
      <c r="K723" s="15"/>
      <c r="L723" s="15" t="str">
        <f>IF(
OR(
ISNUMBER(SEARCH("BACKPACK",B725)),
ISNUMBER(SEARCH("MOCHILA",B725)),
ISNUMBER(SEARCH("FUNDA",B725)),
ISNUMBER(SEARCH("ESTUCHE",B725)),
ISNUMBER(SEARCH("BOOK COVER",B725)),
ISNUMBER(SEARCH("KEYBOARD PARA TABLET",B725)),
ISNUMBER(SEARCH("FLIP TABLET",B725)),
ISNUMBER(SEARCH("CASE FOR TABLET",B725)),
ISNUMBER(SEARCH("CABLE",B725)),
ISNUMBER(SEARCH("ADAPTADOR",B725)),
ISNUMBER(SEARCH("HUB",B725)),
ISNUMBER(SEARCH("DOCK",B725)),
ISNUMBER(SEARCH("MOUSE PAD",B725)),
ISNUMBER(SEARCH("MOUSEPAD",B725)),
ISNUMBER(SEARCH("SOPORTE",B725)),
ISNUMBER(SEARCH("STAND",B725)),
ISNUMBER(SEARCH("TRAVEL ADAPTER",B725)),
ISNUMBER(SEARCH("RJ45",B725)),
ISNUMBER(SEARCH("USB-C",B725)),
ISNUMBER(SEARCH("USB WIFI",B725)),
ISNUMBER(SEARCH("POWERBANK",B725)),
ISNUMBER(SEARCH("CARGADOR",B725)),
ISNUMBER(SEARCH("COOLER PARA NB",B725)),
ISNUMBER(SEARCH("SOPORTE PARA NB",B725)),
ISNUMBER(SEARCH("WEBCAM",B725)),
ISNUMBER(SEARCH("WEB CAM",B725)),
ISNUMBER(SEARCH("MOUSE",B725)),
ISNUMBER(SEARCH("TECLADO",B725))
),
"COMPLEMENTO",
IF(
OR(
LEFT(A725,2)="NB",
LEFT(A725,2)="PC",
LEFT(A725,2)="WS",
LEFT(A725,2)="TB",
LEFT(A725,3)="CEL",
LEFT(A725,3)="MON",
LEFT(A725,3)="PRE",
LEFT(A725,3)="PRH",
ISNUMBER(SEARCH("NOTEBOOK",B725)),
ISNUMBER(SEARCH("LAPTOP",B725)),
ISNUMBER(SEARCH("MONITOR",B725)),
ISNUMBER(SEARCH("TABLET",B725)),
ISNUMBER(SEARCH("SMARTPH",B725)),
ISNUMBER(SEARCH("IMPRESORA",B725)),
ISNUMBER(SEARCH("MULTIFUNCIONAL",B725)),
ISNUMBER(SEARCH("AIO",B725))
),
"GANCHO",
"NORMAL"
)
)</f>
        <v>NORMAL</v>
      </c>
    </row>
    <row r="724" spans="1:12" x14ac:dyDescent="0.25">
      <c r="A724" s="3" t="s">
        <v>1444</v>
      </c>
      <c r="B724" s="3" t="s">
        <v>1445</v>
      </c>
      <c r="C724" s="1">
        <v>1</v>
      </c>
      <c r="D724" s="1">
        <v>44.1</v>
      </c>
      <c r="E724" s="1" t="s">
        <v>196</v>
      </c>
      <c r="F724" s="1" t="s">
        <v>3459</v>
      </c>
      <c r="G724" s="3" t="s">
        <v>1446</v>
      </c>
      <c r="H724" s="11">
        <f>ROUND(
IF(L722="GANCHO",
   IF(I724&lt;=50,I724*1.1+4,IF(I724&lt;=120,I724*1.1+7,IF(I724&lt;=250,I724*1.1+11,I724*1.1+19))),
IF(L722="NORMAL",
   IF(I724&lt;=30,I724*1.15+2,IF(I724&lt;=80,I724*1.15+4,IF(I724&lt;=150,I724*1.15+6,I724*1.15+8))),
IF(L722="COMPLEMENTO",
   IF(I724&lt;=25,I724*1.25+1.5,IF(I724&lt;=60,I724*1.25+3,IF(I724&lt;=120,I724*1.25+4,I724*1.25+5))),
""))),2)</f>
        <v>216.26</v>
      </c>
      <c r="I724" s="9">
        <f>($K$2+0.02)*Tabla1[[#This Row],[PRECIO $]]*1.18</f>
        <v>181.09224</v>
      </c>
      <c r="J724" s="7">
        <f>+Tabla1[[#This Row],[PRECIO EN SOLES]]-Tabla1[[#This Row],[PC]]</f>
        <v>35.167759999999987</v>
      </c>
      <c r="K724" s="15"/>
      <c r="L724" s="15" t="str">
        <f>IF(
OR(
ISNUMBER(SEARCH("BACKPACK",B726)),
ISNUMBER(SEARCH("MOCHILA",B726)),
ISNUMBER(SEARCH("FUNDA",B726)),
ISNUMBER(SEARCH("ESTUCHE",B726)),
ISNUMBER(SEARCH("BOOK COVER",B726)),
ISNUMBER(SEARCH("KEYBOARD PARA TABLET",B726)),
ISNUMBER(SEARCH("FLIP TABLET",B726)),
ISNUMBER(SEARCH("CASE FOR TABLET",B726)),
ISNUMBER(SEARCH("CABLE",B726)),
ISNUMBER(SEARCH("ADAPTADOR",B726)),
ISNUMBER(SEARCH("HUB",B726)),
ISNUMBER(SEARCH("DOCK",B726)),
ISNUMBER(SEARCH("MOUSE PAD",B726)),
ISNUMBER(SEARCH("MOUSEPAD",B726)),
ISNUMBER(SEARCH("SOPORTE",B726)),
ISNUMBER(SEARCH("STAND",B726)),
ISNUMBER(SEARCH("TRAVEL ADAPTER",B726)),
ISNUMBER(SEARCH("RJ45",B726)),
ISNUMBER(SEARCH("USB-C",B726)),
ISNUMBER(SEARCH("USB WIFI",B726)),
ISNUMBER(SEARCH("POWERBANK",B726)),
ISNUMBER(SEARCH("CARGADOR",B726)),
ISNUMBER(SEARCH("COOLER PARA NB",B726)),
ISNUMBER(SEARCH("SOPORTE PARA NB",B726)),
ISNUMBER(SEARCH("WEBCAM",B726)),
ISNUMBER(SEARCH("WEB CAM",B726)),
ISNUMBER(SEARCH("MOUSE",B726)),
ISNUMBER(SEARCH("TECLADO",B726))
),
"COMPLEMENTO",
IF(
OR(
LEFT(A726,2)="NB",
LEFT(A726,2)="PC",
LEFT(A726,2)="WS",
LEFT(A726,2)="TB",
LEFT(A726,3)="CEL",
LEFT(A726,3)="MON",
LEFT(A726,3)="PRE",
LEFT(A726,3)="PRH",
ISNUMBER(SEARCH("NOTEBOOK",B726)),
ISNUMBER(SEARCH("LAPTOP",B726)),
ISNUMBER(SEARCH("MONITOR",B726)),
ISNUMBER(SEARCH("TABLET",B726)),
ISNUMBER(SEARCH("SMARTPH",B726)),
ISNUMBER(SEARCH("IMPRESORA",B726)),
ISNUMBER(SEARCH("MULTIFUNCIONAL",B726)),
ISNUMBER(SEARCH("AIO",B726))
),
"GANCHO",
"NORMAL"
)
)</f>
        <v>NORMAL</v>
      </c>
    </row>
    <row r="725" spans="1:12" x14ac:dyDescent="0.25">
      <c r="A725" s="3" t="s">
        <v>4296</v>
      </c>
      <c r="B725" s="3" t="s">
        <v>4297</v>
      </c>
      <c r="C725" s="1">
        <v>20</v>
      </c>
      <c r="D725" s="1">
        <v>19.2</v>
      </c>
      <c r="E725" s="1" t="s">
        <v>467</v>
      </c>
      <c r="F725" s="1" t="s">
        <v>4298</v>
      </c>
      <c r="G725" s="3" t="s">
        <v>4299</v>
      </c>
      <c r="H725" s="11">
        <f>ROUND(
IF(L723="GANCHO",
   IF(I725&lt;=50,I725*1.1+4,IF(I725&lt;=120,I725*1.1+7,IF(I725&lt;=250,I725*1.1+11,I725*1.1+19))),
IF(L723="NORMAL",
   IF(I725&lt;=30,I725*1.15+2,IF(I725&lt;=80,I725*1.15+4,IF(I725&lt;=150,I725*1.15+6,I725*1.15+8))),
IF(L723="COMPLEMENTO",
   IF(I725&lt;=25,I725*1.25+1.5,IF(I725&lt;=60,I725*1.25+3,IF(I725&lt;=120,I725*1.25+4,I725*1.25+5))),
""))),2)</f>
        <v>94.67</v>
      </c>
      <c r="I725" s="9">
        <f>($K$2+0.02)*Tabla1[[#This Row],[PRECIO $]]*1.18</f>
        <v>78.842879999999994</v>
      </c>
      <c r="J725" s="7">
        <f>+Tabla1[[#This Row],[PRECIO EN SOLES]]-Tabla1[[#This Row],[PC]]</f>
        <v>15.827120000000008</v>
      </c>
      <c r="K725" s="15"/>
      <c r="L725" s="15" t="str">
        <f>IF(
OR(
ISNUMBER(SEARCH("BACKPACK",B727)),
ISNUMBER(SEARCH("MOCHILA",B727)),
ISNUMBER(SEARCH("FUNDA",B727)),
ISNUMBER(SEARCH("ESTUCHE",B727)),
ISNUMBER(SEARCH("BOOK COVER",B727)),
ISNUMBER(SEARCH("KEYBOARD PARA TABLET",B727)),
ISNUMBER(SEARCH("FLIP TABLET",B727)),
ISNUMBER(SEARCH("CASE FOR TABLET",B727)),
ISNUMBER(SEARCH("CABLE",B727)),
ISNUMBER(SEARCH("ADAPTADOR",B727)),
ISNUMBER(SEARCH("HUB",B727)),
ISNUMBER(SEARCH("DOCK",B727)),
ISNUMBER(SEARCH("MOUSE PAD",B727)),
ISNUMBER(SEARCH("MOUSEPAD",B727)),
ISNUMBER(SEARCH("SOPORTE",B727)),
ISNUMBER(SEARCH("STAND",B727)),
ISNUMBER(SEARCH("TRAVEL ADAPTER",B727)),
ISNUMBER(SEARCH("RJ45",B727)),
ISNUMBER(SEARCH("USB-C",B727)),
ISNUMBER(SEARCH("USB WIFI",B727)),
ISNUMBER(SEARCH("POWERBANK",B727)),
ISNUMBER(SEARCH("CARGADOR",B727)),
ISNUMBER(SEARCH("COOLER PARA NB",B727)),
ISNUMBER(SEARCH("SOPORTE PARA NB",B727)),
ISNUMBER(SEARCH("WEBCAM",B727)),
ISNUMBER(SEARCH("WEB CAM",B727)),
ISNUMBER(SEARCH("MOUSE",B727)),
ISNUMBER(SEARCH("TECLADO",B727))
),
"COMPLEMENTO",
IF(
OR(
LEFT(A727,2)="NB",
LEFT(A727,2)="PC",
LEFT(A727,2)="WS",
LEFT(A727,2)="TB",
LEFT(A727,3)="CEL",
LEFT(A727,3)="MON",
LEFT(A727,3)="PRE",
LEFT(A727,3)="PRH",
ISNUMBER(SEARCH("NOTEBOOK",B727)),
ISNUMBER(SEARCH("LAPTOP",B727)),
ISNUMBER(SEARCH("MONITOR",B727)),
ISNUMBER(SEARCH("TABLET",B727)),
ISNUMBER(SEARCH("SMARTPH",B727)),
ISNUMBER(SEARCH("IMPRESORA",B727)),
ISNUMBER(SEARCH("MULTIFUNCIONAL",B727)),
ISNUMBER(SEARCH("AIO",B727))
),
"GANCHO",
"NORMAL"
)
)</f>
        <v>NORMAL</v>
      </c>
    </row>
    <row r="726" spans="1:12" x14ac:dyDescent="0.25">
      <c r="A726" s="3" t="s">
        <v>1448</v>
      </c>
      <c r="B726" s="3" t="s">
        <v>1449</v>
      </c>
      <c r="C726" s="1">
        <v>20</v>
      </c>
      <c r="D726" s="1">
        <v>18.600000000000001</v>
      </c>
      <c r="E726" s="1" t="s">
        <v>1450</v>
      </c>
      <c r="F726" s="1" t="s">
        <v>3460</v>
      </c>
      <c r="G726" s="3"/>
      <c r="H726" s="11">
        <f>ROUND(
IF(L724="GANCHO",
   IF(I726&lt;=50,I726*1.1+4,IF(I726&lt;=120,I726*1.1+7,IF(I726&lt;=250,I726*1.1+11,I726*1.1+19))),
IF(L724="NORMAL",
   IF(I726&lt;=30,I726*1.15+2,IF(I726&lt;=80,I726*1.15+4,IF(I726&lt;=150,I726*1.15+6,I726*1.15+8))),
IF(L724="COMPLEMENTO",
   IF(I726&lt;=25,I726*1.25+1.5,IF(I726&lt;=60,I726*1.25+3,IF(I726&lt;=120,I726*1.25+4,I726*1.25+5))),
""))),2)</f>
        <v>91.84</v>
      </c>
      <c r="I726" s="9">
        <f>($K$2+0.02)*Tabla1[[#This Row],[PRECIO $]]*1.18</f>
        <v>76.379040000000003</v>
      </c>
      <c r="J726" s="7">
        <f>+Tabla1[[#This Row],[PRECIO EN SOLES]]-Tabla1[[#This Row],[PC]]</f>
        <v>15.46096</v>
      </c>
      <c r="K726" s="15"/>
      <c r="L726" s="15" t="str">
        <f>IF(
OR(
ISNUMBER(SEARCH("BACKPACK",B728)),
ISNUMBER(SEARCH("MOCHILA",B728)),
ISNUMBER(SEARCH("FUNDA",B728)),
ISNUMBER(SEARCH("ESTUCHE",B728)),
ISNUMBER(SEARCH("BOOK COVER",B728)),
ISNUMBER(SEARCH("KEYBOARD PARA TABLET",B728)),
ISNUMBER(SEARCH("FLIP TABLET",B728)),
ISNUMBER(SEARCH("CASE FOR TABLET",B728)),
ISNUMBER(SEARCH("CABLE",B728)),
ISNUMBER(SEARCH("ADAPTADOR",B728)),
ISNUMBER(SEARCH("HUB",B728)),
ISNUMBER(SEARCH("DOCK",B728)),
ISNUMBER(SEARCH("MOUSE PAD",B728)),
ISNUMBER(SEARCH("MOUSEPAD",B728)),
ISNUMBER(SEARCH("SOPORTE",B728)),
ISNUMBER(SEARCH("STAND",B728)),
ISNUMBER(SEARCH("TRAVEL ADAPTER",B728)),
ISNUMBER(SEARCH("RJ45",B728)),
ISNUMBER(SEARCH("USB-C",B728)),
ISNUMBER(SEARCH("USB WIFI",B728)),
ISNUMBER(SEARCH("POWERBANK",B728)),
ISNUMBER(SEARCH("CARGADOR",B728)),
ISNUMBER(SEARCH("COOLER PARA NB",B728)),
ISNUMBER(SEARCH("SOPORTE PARA NB",B728)),
ISNUMBER(SEARCH("WEBCAM",B728)),
ISNUMBER(SEARCH("WEB CAM",B728)),
ISNUMBER(SEARCH("MOUSE",B728)),
ISNUMBER(SEARCH("TECLADO",B728))
),
"COMPLEMENTO",
IF(
OR(
LEFT(A728,2)="NB",
LEFT(A728,2)="PC",
LEFT(A728,2)="WS",
LEFT(A728,2)="TB",
LEFT(A728,3)="CEL",
LEFT(A728,3)="MON",
LEFT(A728,3)="PRE",
LEFT(A728,3)="PRH",
ISNUMBER(SEARCH("NOTEBOOK",B728)),
ISNUMBER(SEARCH("LAPTOP",B728)),
ISNUMBER(SEARCH("MONITOR",B728)),
ISNUMBER(SEARCH("TABLET",B728)),
ISNUMBER(SEARCH("SMARTPH",B728)),
ISNUMBER(SEARCH("IMPRESORA",B728)),
ISNUMBER(SEARCH("MULTIFUNCIONAL",B728)),
ISNUMBER(SEARCH("AIO",B728))
),
"GANCHO",
"NORMAL"
)
)</f>
        <v>NORMAL</v>
      </c>
    </row>
    <row r="727" spans="1:12" x14ac:dyDescent="0.25">
      <c r="A727" s="3" t="s">
        <v>1451</v>
      </c>
      <c r="B727" s="3" t="s">
        <v>1452</v>
      </c>
      <c r="C727" s="1">
        <v>20</v>
      </c>
      <c r="D727" s="1">
        <v>80.930000000000007</v>
      </c>
      <c r="E727" s="1" t="s">
        <v>199</v>
      </c>
      <c r="F727" s="1" t="s">
        <v>3461</v>
      </c>
      <c r="G727" s="3" t="s">
        <v>5159</v>
      </c>
      <c r="H727" s="11">
        <f>ROUND(
IF(L725="GANCHO",
   IF(I727&lt;=50,I727*1.1+4,IF(I727&lt;=120,I727*1.1+7,IF(I727&lt;=250,I727*1.1+11,I727*1.1+19))),
IF(L725="NORMAL",
   IF(I727&lt;=30,I727*1.15+2,IF(I727&lt;=80,I727*1.15+4,IF(I727&lt;=150,I727*1.15+6,I727*1.15+8))),
IF(L725="COMPLEMENTO",
   IF(I727&lt;=25,I727*1.25+1.5,IF(I727&lt;=60,I727*1.25+3,IF(I727&lt;=120,I727*1.25+4,I727*1.25+5))),
""))),2)</f>
        <v>390.18</v>
      </c>
      <c r="I727" s="9">
        <f>($K$2+0.02)*Tabla1[[#This Row],[PRECIO $]]*1.18</f>
        <v>332.33095200000002</v>
      </c>
      <c r="J727" s="7">
        <f>+Tabla1[[#This Row],[PRECIO EN SOLES]]-Tabla1[[#This Row],[PC]]</f>
        <v>57.849047999999982</v>
      </c>
      <c r="K727" s="15"/>
      <c r="L727" s="15" t="str">
        <f>IF(
OR(
ISNUMBER(SEARCH("BACKPACK",B729)),
ISNUMBER(SEARCH("MOCHILA",B729)),
ISNUMBER(SEARCH("FUNDA",B729)),
ISNUMBER(SEARCH("ESTUCHE",B729)),
ISNUMBER(SEARCH("BOOK COVER",B729)),
ISNUMBER(SEARCH("KEYBOARD PARA TABLET",B729)),
ISNUMBER(SEARCH("FLIP TABLET",B729)),
ISNUMBER(SEARCH("CASE FOR TABLET",B729)),
ISNUMBER(SEARCH("CABLE",B729)),
ISNUMBER(SEARCH("ADAPTADOR",B729)),
ISNUMBER(SEARCH("HUB",B729)),
ISNUMBER(SEARCH("DOCK",B729)),
ISNUMBER(SEARCH("MOUSE PAD",B729)),
ISNUMBER(SEARCH("MOUSEPAD",B729)),
ISNUMBER(SEARCH("SOPORTE",B729)),
ISNUMBER(SEARCH("STAND",B729)),
ISNUMBER(SEARCH("TRAVEL ADAPTER",B729)),
ISNUMBER(SEARCH("RJ45",B729)),
ISNUMBER(SEARCH("USB-C",B729)),
ISNUMBER(SEARCH("USB WIFI",B729)),
ISNUMBER(SEARCH("POWERBANK",B729)),
ISNUMBER(SEARCH("CARGADOR",B729)),
ISNUMBER(SEARCH("COOLER PARA NB",B729)),
ISNUMBER(SEARCH("SOPORTE PARA NB",B729)),
ISNUMBER(SEARCH("WEBCAM",B729)),
ISNUMBER(SEARCH("WEB CAM",B729)),
ISNUMBER(SEARCH("MOUSE",B729)),
ISNUMBER(SEARCH("TECLADO",B729))
),
"COMPLEMENTO",
IF(
OR(
LEFT(A729,2)="NB",
LEFT(A729,2)="PC",
LEFT(A729,2)="WS",
LEFT(A729,2)="TB",
LEFT(A729,3)="CEL",
LEFT(A729,3)="MON",
LEFT(A729,3)="PRE",
LEFT(A729,3)="PRH",
ISNUMBER(SEARCH("NOTEBOOK",B729)),
ISNUMBER(SEARCH("LAPTOP",B729)),
ISNUMBER(SEARCH("MONITOR",B729)),
ISNUMBER(SEARCH("TABLET",B729)),
ISNUMBER(SEARCH("SMARTPH",B729)),
ISNUMBER(SEARCH("IMPRESORA",B729)),
ISNUMBER(SEARCH("MULTIFUNCIONAL",B729)),
ISNUMBER(SEARCH("AIO",B729))
),
"GANCHO",
"NORMAL"
)
)</f>
        <v>NORMAL</v>
      </c>
    </row>
    <row r="728" spans="1:12" x14ac:dyDescent="0.25">
      <c r="A728" s="3" t="s">
        <v>654</v>
      </c>
      <c r="B728" s="3" t="s">
        <v>655</v>
      </c>
      <c r="C728" s="1">
        <v>20</v>
      </c>
      <c r="D728" s="1">
        <v>41.2</v>
      </c>
      <c r="E728" s="1" t="s">
        <v>199</v>
      </c>
      <c r="F728" s="1" t="s">
        <v>3462</v>
      </c>
      <c r="G728" s="3" t="s">
        <v>742</v>
      </c>
      <c r="H728" s="11">
        <f>ROUND(
IF(L726="GANCHO",
   IF(I728&lt;=50,I728*1.1+4,IF(I728&lt;=120,I728*1.1+7,IF(I728&lt;=250,I728*1.1+11,I728*1.1+19))),
IF(L726="NORMAL",
   IF(I728&lt;=30,I728*1.15+2,IF(I728&lt;=80,I728*1.15+4,IF(I728&lt;=150,I728*1.15+6,I728*1.15+8))),
IF(L726="COMPLEMENTO",
   IF(I728&lt;=25,I728*1.25+1.5,IF(I728&lt;=60,I728*1.25+3,IF(I728&lt;=120,I728*1.25+4,I728*1.25+5))),
""))),2)</f>
        <v>202.56</v>
      </c>
      <c r="I728" s="9">
        <f>($K$2+0.02)*Tabla1[[#This Row],[PRECIO $]]*1.18</f>
        <v>169.18368000000001</v>
      </c>
      <c r="J728" s="7">
        <f>+Tabla1[[#This Row],[PRECIO EN SOLES]]-Tabla1[[#This Row],[PC]]</f>
        <v>33.376319999999993</v>
      </c>
      <c r="K728" s="15"/>
      <c r="L728" s="15" t="str">
        <f>IF(
OR(
ISNUMBER(SEARCH("BACKPACK",B730)),
ISNUMBER(SEARCH("MOCHILA",B730)),
ISNUMBER(SEARCH("FUNDA",B730)),
ISNUMBER(SEARCH("ESTUCHE",B730)),
ISNUMBER(SEARCH("BOOK COVER",B730)),
ISNUMBER(SEARCH("KEYBOARD PARA TABLET",B730)),
ISNUMBER(SEARCH("FLIP TABLET",B730)),
ISNUMBER(SEARCH("CASE FOR TABLET",B730)),
ISNUMBER(SEARCH("CABLE",B730)),
ISNUMBER(SEARCH("ADAPTADOR",B730)),
ISNUMBER(SEARCH("HUB",B730)),
ISNUMBER(SEARCH("DOCK",B730)),
ISNUMBER(SEARCH("MOUSE PAD",B730)),
ISNUMBER(SEARCH("MOUSEPAD",B730)),
ISNUMBER(SEARCH("SOPORTE",B730)),
ISNUMBER(SEARCH("STAND",B730)),
ISNUMBER(SEARCH("TRAVEL ADAPTER",B730)),
ISNUMBER(SEARCH("RJ45",B730)),
ISNUMBER(SEARCH("USB-C",B730)),
ISNUMBER(SEARCH("USB WIFI",B730)),
ISNUMBER(SEARCH("POWERBANK",B730)),
ISNUMBER(SEARCH("CARGADOR",B730)),
ISNUMBER(SEARCH("COOLER PARA NB",B730)),
ISNUMBER(SEARCH("SOPORTE PARA NB",B730)),
ISNUMBER(SEARCH("WEBCAM",B730)),
ISNUMBER(SEARCH("WEB CAM",B730)),
ISNUMBER(SEARCH("MOUSE",B730)),
ISNUMBER(SEARCH("TECLADO",B730))
),
"COMPLEMENTO",
IF(
OR(
LEFT(A730,2)="NB",
LEFT(A730,2)="PC",
LEFT(A730,2)="WS",
LEFT(A730,2)="TB",
LEFT(A730,3)="CEL",
LEFT(A730,3)="MON",
LEFT(A730,3)="PRE",
LEFT(A730,3)="PRH",
ISNUMBER(SEARCH("NOTEBOOK",B730)),
ISNUMBER(SEARCH("LAPTOP",B730)),
ISNUMBER(SEARCH("MONITOR",B730)),
ISNUMBER(SEARCH("TABLET",B730)),
ISNUMBER(SEARCH("SMARTPH",B730)),
ISNUMBER(SEARCH("IMPRESORA",B730)),
ISNUMBER(SEARCH("MULTIFUNCIONAL",B730)),
ISNUMBER(SEARCH("AIO",B730))
),
"GANCHO",
"NORMAL"
)
)</f>
        <v>NORMAL</v>
      </c>
    </row>
    <row r="729" spans="1:12" x14ac:dyDescent="0.25">
      <c r="A729" s="3" t="s">
        <v>1453</v>
      </c>
      <c r="B729" s="3" t="s">
        <v>1454</v>
      </c>
      <c r="C729" s="1">
        <v>20</v>
      </c>
      <c r="D729" s="1">
        <v>18.600000000000001</v>
      </c>
      <c r="E729" s="1" t="s">
        <v>1450</v>
      </c>
      <c r="F729" s="1" t="s">
        <v>3463</v>
      </c>
      <c r="G729" s="3"/>
      <c r="H729" s="11">
        <f>ROUND(
IF(L727="GANCHO",
   IF(I729&lt;=50,I729*1.1+4,IF(I729&lt;=120,I729*1.1+7,IF(I729&lt;=250,I729*1.1+11,I729*1.1+19))),
IF(L727="NORMAL",
   IF(I729&lt;=30,I729*1.15+2,IF(I729&lt;=80,I729*1.15+4,IF(I729&lt;=150,I729*1.15+6,I729*1.15+8))),
IF(L727="COMPLEMENTO",
   IF(I729&lt;=25,I729*1.25+1.5,IF(I729&lt;=60,I729*1.25+3,IF(I729&lt;=120,I729*1.25+4,I729*1.25+5))),
""))),2)</f>
        <v>91.84</v>
      </c>
      <c r="I729" s="9">
        <f>($K$2+0.02)*Tabla1[[#This Row],[PRECIO $]]*1.18</f>
        <v>76.379040000000003</v>
      </c>
      <c r="J729" s="7">
        <f>+Tabla1[[#This Row],[PRECIO EN SOLES]]-Tabla1[[#This Row],[PC]]</f>
        <v>15.46096</v>
      </c>
      <c r="K729" s="15"/>
      <c r="L729" s="15" t="str">
        <f>IF(
OR(
ISNUMBER(SEARCH("BACKPACK",B731)),
ISNUMBER(SEARCH("MOCHILA",B731)),
ISNUMBER(SEARCH("FUNDA",B731)),
ISNUMBER(SEARCH("ESTUCHE",B731)),
ISNUMBER(SEARCH("BOOK COVER",B731)),
ISNUMBER(SEARCH("KEYBOARD PARA TABLET",B731)),
ISNUMBER(SEARCH("FLIP TABLET",B731)),
ISNUMBER(SEARCH("CASE FOR TABLET",B731)),
ISNUMBER(SEARCH("CABLE",B731)),
ISNUMBER(SEARCH("ADAPTADOR",B731)),
ISNUMBER(SEARCH("HUB",B731)),
ISNUMBER(SEARCH("DOCK",B731)),
ISNUMBER(SEARCH("MOUSE PAD",B731)),
ISNUMBER(SEARCH("MOUSEPAD",B731)),
ISNUMBER(SEARCH("SOPORTE",B731)),
ISNUMBER(SEARCH("STAND",B731)),
ISNUMBER(SEARCH("TRAVEL ADAPTER",B731)),
ISNUMBER(SEARCH("RJ45",B731)),
ISNUMBER(SEARCH("USB-C",B731)),
ISNUMBER(SEARCH("USB WIFI",B731)),
ISNUMBER(SEARCH("POWERBANK",B731)),
ISNUMBER(SEARCH("CARGADOR",B731)),
ISNUMBER(SEARCH("COOLER PARA NB",B731)),
ISNUMBER(SEARCH("SOPORTE PARA NB",B731)),
ISNUMBER(SEARCH("WEBCAM",B731)),
ISNUMBER(SEARCH("WEB CAM",B731)),
ISNUMBER(SEARCH("MOUSE",B731)),
ISNUMBER(SEARCH("TECLADO",B731))
),
"COMPLEMENTO",
IF(
OR(
LEFT(A731,2)="NB",
LEFT(A731,2)="PC",
LEFT(A731,2)="WS",
LEFT(A731,2)="TB",
LEFT(A731,3)="CEL",
LEFT(A731,3)="MON",
LEFT(A731,3)="PRE",
LEFT(A731,3)="PRH",
ISNUMBER(SEARCH("NOTEBOOK",B731)),
ISNUMBER(SEARCH("LAPTOP",B731)),
ISNUMBER(SEARCH("MONITOR",B731)),
ISNUMBER(SEARCH("TABLET",B731)),
ISNUMBER(SEARCH("SMARTPH",B731)),
ISNUMBER(SEARCH("IMPRESORA",B731)),
ISNUMBER(SEARCH("MULTIFUNCIONAL",B731)),
ISNUMBER(SEARCH("AIO",B731))
),
"GANCHO",
"NORMAL"
)
)</f>
        <v>NORMAL</v>
      </c>
    </row>
    <row r="730" spans="1:12" x14ac:dyDescent="0.25">
      <c r="A730" s="3" t="s">
        <v>656</v>
      </c>
      <c r="B730" s="3" t="s">
        <v>657</v>
      </c>
      <c r="C730" s="1">
        <v>20</v>
      </c>
      <c r="D730" s="1">
        <v>131.9</v>
      </c>
      <c r="E730" s="1" t="s">
        <v>196</v>
      </c>
      <c r="F730" s="1" t="s">
        <v>3464</v>
      </c>
      <c r="G730" s="3" t="s">
        <v>658</v>
      </c>
      <c r="H730" s="11">
        <f>ROUND(
IF(L728="GANCHO",
   IF(I730&lt;=50,I730*1.1+4,IF(I730&lt;=120,I730*1.1+7,IF(I730&lt;=250,I730*1.1+11,I730*1.1+19))),
IF(L728="NORMAL",
   IF(I730&lt;=30,I730*1.15+2,IF(I730&lt;=80,I730*1.15+4,IF(I730&lt;=150,I730*1.15+6,I730*1.15+8))),
IF(L728="COMPLEMENTO",
   IF(I730&lt;=25,I730*1.25+1.5,IF(I730&lt;=60,I730*1.25+3,IF(I730&lt;=120,I730*1.25+4,I730*1.25+5))),
""))),2)</f>
        <v>630.88</v>
      </c>
      <c r="I730" s="9">
        <f>($K$2+0.02)*Tabla1[[#This Row],[PRECIO $]]*1.18</f>
        <v>541.63415999999995</v>
      </c>
      <c r="J730" s="7">
        <f>+Tabla1[[#This Row],[PRECIO EN SOLES]]-Tabla1[[#This Row],[PC]]</f>
        <v>89.245840000000044</v>
      </c>
      <c r="K730" s="15"/>
      <c r="L730" s="15" t="str">
        <f>IF(
OR(
ISNUMBER(SEARCH("BACKPACK",B732)),
ISNUMBER(SEARCH("MOCHILA",B732)),
ISNUMBER(SEARCH("FUNDA",B732)),
ISNUMBER(SEARCH("ESTUCHE",B732)),
ISNUMBER(SEARCH("BOOK COVER",B732)),
ISNUMBER(SEARCH("KEYBOARD PARA TABLET",B732)),
ISNUMBER(SEARCH("FLIP TABLET",B732)),
ISNUMBER(SEARCH("CASE FOR TABLET",B732)),
ISNUMBER(SEARCH("CABLE",B732)),
ISNUMBER(SEARCH("ADAPTADOR",B732)),
ISNUMBER(SEARCH("HUB",B732)),
ISNUMBER(SEARCH("DOCK",B732)),
ISNUMBER(SEARCH("MOUSE PAD",B732)),
ISNUMBER(SEARCH("MOUSEPAD",B732)),
ISNUMBER(SEARCH("SOPORTE",B732)),
ISNUMBER(SEARCH("STAND",B732)),
ISNUMBER(SEARCH("TRAVEL ADAPTER",B732)),
ISNUMBER(SEARCH("RJ45",B732)),
ISNUMBER(SEARCH("USB-C",B732)),
ISNUMBER(SEARCH("USB WIFI",B732)),
ISNUMBER(SEARCH("POWERBANK",B732)),
ISNUMBER(SEARCH("CARGADOR",B732)),
ISNUMBER(SEARCH("COOLER PARA NB",B732)),
ISNUMBER(SEARCH("SOPORTE PARA NB",B732)),
ISNUMBER(SEARCH("WEBCAM",B732)),
ISNUMBER(SEARCH("WEB CAM",B732)),
ISNUMBER(SEARCH("MOUSE",B732)),
ISNUMBER(SEARCH("TECLADO",B732))
),
"COMPLEMENTO",
IF(
OR(
LEFT(A732,2)="NB",
LEFT(A732,2)="PC",
LEFT(A732,2)="WS",
LEFT(A732,2)="TB",
LEFT(A732,3)="CEL",
LEFT(A732,3)="MON",
LEFT(A732,3)="PRE",
LEFT(A732,3)="PRH",
ISNUMBER(SEARCH("NOTEBOOK",B732)),
ISNUMBER(SEARCH("LAPTOP",B732)),
ISNUMBER(SEARCH("MONITOR",B732)),
ISNUMBER(SEARCH("TABLET",B732)),
ISNUMBER(SEARCH("SMARTPH",B732)),
ISNUMBER(SEARCH("IMPRESORA",B732)),
ISNUMBER(SEARCH("MULTIFUNCIONAL",B732)),
ISNUMBER(SEARCH("AIO",B732))
),
"GANCHO",
"NORMAL"
)
)</f>
        <v>NORMAL</v>
      </c>
    </row>
    <row r="731" spans="1:12" x14ac:dyDescent="0.25">
      <c r="A731" s="3" t="s">
        <v>610</v>
      </c>
      <c r="B731" s="3" t="s">
        <v>611</v>
      </c>
      <c r="C731" s="1">
        <v>20</v>
      </c>
      <c r="D731" s="1">
        <v>107.6</v>
      </c>
      <c r="E731" s="1" t="s">
        <v>467</v>
      </c>
      <c r="F731" s="1" t="s">
        <v>3465</v>
      </c>
      <c r="G731" s="3" t="s">
        <v>612</v>
      </c>
      <c r="H731" s="11">
        <f>ROUND(
IF(L729="GANCHO",
   IF(I731&lt;=50,I731*1.1+4,IF(I731&lt;=120,I731*1.1+7,IF(I731&lt;=250,I731*1.1+11,I731*1.1+19))),
IF(L729="NORMAL",
   IF(I731&lt;=30,I731*1.15+2,IF(I731&lt;=80,I731*1.15+4,IF(I731&lt;=150,I731*1.15+6,I731*1.15+8))),
IF(L729="COMPLEMENTO",
   IF(I731&lt;=25,I731*1.25+1.5,IF(I731&lt;=60,I731*1.25+3,IF(I731&lt;=120,I731*1.25+4,I731*1.25+5))),
""))),2)</f>
        <v>516.13</v>
      </c>
      <c r="I731" s="9">
        <f>($K$2+0.02)*Tabla1[[#This Row],[PRECIO $]]*1.18</f>
        <v>441.84863999999993</v>
      </c>
      <c r="J731" s="7">
        <f>+Tabla1[[#This Row],[PRECIO EN SOLES]]-Tabla1[[#This Row],[PC]]</f>
        <v>74.281360000000063</v>
      </c>
      <c r="K731" s="15"/>
      <c r="L731" s="15" t="str">
        <f>IF(
OR(
ISNUMBER(SEARCH("BACKPACK",B733)),
ISNUMBER(SEARCH("MOCHILA",B733)),
ISNUMBER(SEARCH("FUNDA",B733)),
ISNUMBER(SEARCH("ESTUCHE",B733)),
ISNUMBER(SEARCH("BOOK COVER",B733)),
ISNUMBER(SEARCH("KEYBOARD PARA TABLET",B733)),
ISNUMBER(SEARCH("FLIP TABLET",B733)),
ISNUMBER(SEARCH("CASE FOR TABLET",B733)),
ISNUMBER(SEARCH("CABLE",B733)),
ISNUMBER(SEARCH("ADAPTADOR",B733)),
ISNUMBER(SEARCH("HUB",B733)),
ISNUMBER(SEARCH("DOCK",B733)),
ISNUMBER(SEARCH("MOUSE PAD",B733)),
ISNUMBER(SEARCH("MOUSEPAD",B733)),
ISNUMBER(SEARCH("SOPORTE",B733)),
ISNUMBER(SEARCH("STAND",B733)),
ISNUMBER(SEARCH("TRAVEL ADAPTER",B733)),
ISNUMBER(SEARCH("RJ45",B733)),
ISNUMBER(SEARCH("USB-C",B733)),
ISNUMBER(SEARCH("USB WIFI",B733)),
ISNUMBER(SEARCH("POWERBANK",B733)),
ISNUMBER(SEARCH("CARGADOR",B733)),
ISNUMBER(SEARCH("COOLER PARA NB",B733)),
ISNUMBER(SEARCH("SOPORTE PARA NB",B733)),
ISNUMBER(SEARCH("WEBCAM",B733)),
ISNUMBER(SEARCH("WEB CAM",B733)),
ISNUMBER(SEARCH("MOUSE",B733)),
ISNUMBER(SEARCH("TECLADO",B733))
),
"COMPLEMENTO",
IF(
OR(
LEFT(A733,2)="NB",
LEFT(A733,2)="PC",
LEFT(A733,2)="WS",
LEFT(A733,2)="TB",
LEFT(A733,3)="CEL",
LEFT(A733,3)="MON",
LEFT(A733,3)="PRE",
LEFT(A733,3)="PRH",
ISNUMBER(SEARCH("NOTEBOOK",B733)),
ISNUMBER(SEARCH("LAPTOP",B733)),
ISNUMBER(SEARCH("MONITOR",B733)),
ISNUMBER(SEARCH("TABLET",B733)),
ISNUMBER(SEARCH("SMARTPH",B733)),
ISNUMBER(SEARCH("IMPRESORA",B733)),
ISNUMBER(SEARCH("MULTIFUNCIONAL",B733)),
ISNUMBER(SEARCH("AIO",B733))
),
"GANCHO",
"NORMAL"
)
)</f>
        <v>NORMAL</v>
      </c>
    </row>
    <row r="732" spans="1:12" x14ac:dyDescent="0.25">
      <c r="A732" s="3" t="s">
        <v>1455</v>
      </c>
      <c r="B732" s="3" t="s">
        <v>1456</v>
      </c>
      <c r="C732" s="1">
        <v>20</v>
      </c>
      <c r="D732" s="1">
        <v>95.5</v>
      </c>
      <c r="E732" s="1" t="s">
        <v>199</v>
      </c>
      <c r="F732" s="1" t="s">
        <v>3466</v>
      </c>
      <c r="G732" s="3" t="s">
        <v>1457</v>
      </c>
      <c r="H732" s="11">
        <f>ROUND(
IF(L730="GANCHO",
   IF(I732&lt;=50,I732*1.1+4,IF(I732&lt;=120,I732*1.1+7,IF(I732&lt;=250,I732*1.1+11,I732*1.1+19))),
IF(L730="NORMAL",
   IF(I732&lt;=30,I732*1.15+2,IF(I732&lt;=80,I732*1.15+4,IF(I732&lt;=150,I732*1.15+6,I732*1.15+8))),
IF(L730="COMPLEMENTO",
   IF(I732&lt;=25,I732*1.25+1.5,IF(I732&lt;=60,I732*1.25+3,IF(I732&lt;=120,I732*1.25+4,I732*1.25+5))),
""))),2)</f>
        <v>458.99</v>
      </c>
      <c r="I732" s="9">
        <f>($K$2+0.02)*Tabla1[[#This Row],[PRECIO $]]*1.18</f>
        <v>392.16119999999995</v>
      </c>
      <c r="J732" s="7">
        <f>+Tabla1[[#This Row],[PRECIO EN SOLES]]-Tabla1[[#This Row],[PC]]</f>
        <v>66.828800000000058</v>
      </c>
      <c r="K732" s="15"/>
      <c r="L732" s="15" t="str">
        <f>IF(
OR(
ISNUMBER(SEARCH("BACKPACK",B734)),
ISNUMBER(SEARCH("MOCHILA",B734)),
ISNUMBER(SEARCH("FUNDA",B734)),
ISNUMBER(SEARCH("ESTUCHE",B734)),
ISNUMBER(SEARCH("BOOK COVER",B734)),
ISNUMBER(SEARCH("KEYBOARD PARA TABLET",B734)),
ISNUMBER(SEARCH("FLIP TABLET",B734)),
ISNUMBER(SEARCH("CASE FOR TABLET",B734)),
ISNUMBER(SEARCH("CABLE",B734)),
ISNUMBER(SEARCH("ADAPTADOR",B734)),
ISNUMBER(SEARCH("HUB",B734)),
ISNUMBER(SEARCH("DOCK",B734)),
ISNUMBER(SEARCH("MOUSE PAD",B734)),
ISNUMBER(SEARCH("MOUSEPAD",B734)),
ISNUMBER(SEARCH("SOPORTE",B734)),
ISNUMBER(SEARCH("STAND",B734)),
ISNUMBER(SEARCH("TRAVEL ADAPTER",B734)),
ISNUMBER(SEARCH("RJ45",B734)),
ISNUMBER(SEARCH("USB-C",B734)),
ISNUMBER(SEARCH("USB WIFI",B734)),
ISNUMBER(SEARCH("POWERBANK",B734)),
ISNUMBER(SEARCH("CARGADOR",B734)),
ISNUMBER(SEARCH("COOLER PARA NB",B734)),
ISNUMBER(SEARCH("SOPORTE PARA NB",B734)),
ISNUMBER(SEARCH("WEBCAM",B734)),
ISNUMBER(SEARCH("WEB CAM",B734)),
ISNUMBER(SEARCH("MOUSE",B734)),
ISNUMBER(SEARCH("TECLADO",B734))
),
"COMPLEMENTO",
IF(
OR(
LEFT(A734,2)="NB",
LEFT(A734,2)="PC",
LEFT(A734,2)="WS",
LEFT(A734,2)="TB",
LEFT(A734,3)="CEL",
LEFT(A734,3)="MON",
LEFT(A734,3)="PRE",
LEFT(A734,3)="PRH",
ISNUMBER(SEARCH("NOTEBOOK",B734)),
ISNUMBER(SEARCH("LAPTOP",B734)),
ISNUMBER(SEARCH("MONITOR",B734)),
ISNUMBER(SEARCH("TABLET",B734)),
ISNUMBER(SEARCH("SMARTPH",B734)),
ISNUMBER(SEARCH("IMPRESORA",B734)),
ISNUMBER(SEARCH("MULTIFUNCIONAL",B734)),
ISNUMBER(SEARCH("AIO",B734))
),
"GANCHO",
"NORMAL"
)
)</f>
        <v>NORMAL</v>
      </c>
    </row>
    <row r="733" spans="1:12" x14ac:dyDescent="0.25">
      <c r="A733" s="3" t="s">
        <v>4805</v>
      </c>
      <c r="B733" s="3" t="s">
        <v>4806</v>
      </c>
      <c r="C733" s="1">
        <v>20</v>
      </c>
      <c r="D733" s="1">
        <v>142.5</v>
      </c>
      <c r="E733" s="1" t="s">
        <v>196</v>
      </c>
      <c r="F733" s="1" t="s">
        <v>4807</v>
      </c>
      <c r="G733" s="3" t="s">
        <v>4973</v>
      </c>
      <c r="H733" s="11">
        <f>ROUND(
IF(L731="GANCHO",
   IF(I733&lt;=50,I733*1.1+4,IF(I733&lt;=120,I733*1.1+7,IF(I733&lt;=250,I733*1.1+11,I733*1.1+19))),
IF(L731="NORMAL",
   IF(I733&lt;=30,I733*1.15+2,IF(I733&lt;=80,I733*1.15+4,IF(I733&lt;=150,I733*1.15+6,I733*1.15+8))),
IF(L731="COMPLEMENTO",
   IF(I733&lt;=25,I733*1.25+1.5,IF(I733&lt;=60,I733*1.25+3,IF(I733&lt;=120,I733*1.25+4,I733*1.25+5))),
""))),2)</f>
        <v>680.94</v>
      </c>
      <c r="I733" s="9">
        <f>($K$2+0.02)*Tabla1[[#This Row],[PRECIO $]]*1.18</f>
        <v>585.16199999999992</v>
      </c>
      <c r="J733" s="7">
        <f>+Tabla1[[#This Row],[PRECIO EN SOLES]]-Tabla1[[#This Row],[PC]]</f>
        <v>95.778000000000134</v>
      </c>
      <c r="K733" s="15"/>
      <c r="L733" s="15" t="str">
        <f>IF(
OR(
ISNUMBER(SEARCH("BACKPACK",B735)),
ISNUMBER(SEARCH("MOCHILA",B735)),
ISNUMBER(SEARCH("FUNDA",B735)),
ISNUMBER(SEARCH("ESTUCHE",B735)),
ISNUMBER(SEARCH("BOOK COVER",B735)),
ISNUMBER(SEARCH("KEYBOARD PARA TABLET",B735)),
ISNUMBER(SEARCH("FLIP TABLET",B735)),
ISNUMBER(SEARCH("CASE FOR TABLET",B735)),
ISNUMBER(SEARCH("CABLE",B735)),
ISNUMBER(SEARCH("ADAPTADOR",B735)),
ISNUMBER(SEARCH("HUB",B735)),
ISNUMBER(SEARCH("DOCK",B735)),
ISNUMBER(SEARCH("MOUSE PAD",B735)),
ISNUMBER(SEARCH("MOUSEPAD",B735)),
ISNUMBER(SEARCH("SOPORTE",B735)),
ISNUMBER(SEARCH("STAND",B735)),
ISNUMBER(SEARCH("TRAVEL ADAPTER",B735)),
ISNUMBER(SEARCH("RJ45",B735)),
ISNUMBER(SEARCH("USB-C",B735)),
ISNUMBER(SEARCH("USB WIFI",B735)),
ISNUMBER(SEARCH("POWERBANK",B735)),
ISNUMBER(SEARCH("CARGADOR",B735)),
ISNUMBER(SEARCH("COOLER PARA NB",B735)),
ISNUMBER(SEARCH("SOPORTE PARA NB",B735)),
ISNUMBER(SEARCH("WEBCAM",B735)),
ISNUMBER(SEARCH("WEB CAM",B735)),
ISNUMBER(SEARCH("MOUSE",B735)),
ISNUMBER(SEARCH("TECLADO",B735))
),
"COMPLEMENTO",
IF(
OR(
LEFT(A735,2)="NB",
LEFT(A735,2)="PC",
LEFT(A735,2)="WS",
LEFT(A735,2)="TB",
LEFT(A735,3)="CEL",
LEFT(A735,3)="MON",
LEFT(A735,3)="PRE",
LEFT(A735,3)="PRH",
ISNUMBER(SEARCH("NOTEBOOK",B735)),
ISNUMBER(SEARCH("LAPTOP",B735)),
ISNUMBER(SEARCH("MONITOR",B735)),
ISNUMBER(SEARCH("TABLET",B735)),
ISNUMBER(SEARCH("SMARTPH",B735)),
ISNUMBER(SEARCH("IMPRESORA",B735)),
ISNUMBER(SEARCH("MULTIFUNCIONAL",B735)),
ISNUMBER(SEARCH("AIO",B735))
),
"GANCHO",
"NORMAL"
)
)</f>
        <v>NORMAL</v>
      </c>
    </row>
    <row r="734" spans="1:12" x14ac:dyDescent="0.25">
      <c r="A734" s="3" t="s">
        <v>659</v>
      </c>
      <c r="B734" s="3" t="s">
        <v>660</v>
      </c>
      <c r="C734" s="1">
        <v>20</v>
      </c>
      <c r="D734" s="1">
        <v>46.5</v>
      </c>
      <c r="E734" s="1" t="s">
        <v>199</v>
      </c>
      <c r="F734" s="1" t="s">
        <v>3467</v>
      </c>
      <c r="G734" s="3" t="s">
        <v>743</v>
      </c>
      <c r="H734" s="11">
        <f>ROUND(
IF(L732="GANCHO",
   IF(I734&lt;=50,I734*1.1+4,IF(I734&lt;=120,I734*1.1+7,IF(I734&lt;=250,I734*1.1+11,I734*1.1+19))),
IF(L732="NORMAL",
   IF(I734&lt;=30,I734*1.15+2,IF(I734&lt;=80,I734*1.15+4,IF(I734&lt;=150,I734*1.15+6,I734*1.15+8))),
IF(L732="COMPLEMENTO",
   IF(I734&lt;=25,I734*1.25+1.5,IF(I734&lt;=60,I734*1.25+3,IF(I734&lt;=120,I734*1.25+4,I734*1.25+5))),
""))),2)</f>
        <v>227.59</v>
      </c>
      <c r="I734" s="9">
        <f>($K$2+0.02)*Tabla1[[#This Row],[PRECIO $]]*1.18</f>
        <v>190.94759999999999</v>
      </c>
      <c r="J734" s="7">
        <f>+Tabla1[[#This Row],[PRECIO EN SOLES]]-Tabla1[[#This Row],[PC]]</f>
        <v>36.642400000000009</v>
      </c>
      <c r="K734" s="15"/>
      <c r="L734" s="15" t="str">
        <f>IF(
OR(
ISNUMBER(SEARCH("BACKPACK",B736)),
ISNUMBER(SEARCH("MOCHILA",B736)),
ISNUMBER(SEARCH("FUNDA",B736)),
ISNUMBER(SEARCH("ESTUCHE",B736)),
ISNUMBER(SEARCH("BOOK COVER",B736)),
ISNUMBER(SEARCH("KEYBOARD PARA TABLET",B736)),
ISNUMBER(SEARCH("FLIP TABLET",B736)),
ISNUMBER(SEARCH("CASE FOR TABLET",B736)),
ISNUMBER(SEARCH("CABLE",B736)),
ISNUMBER(SEARCH("ADAPTADOR",B736)),
ISNUMBER(SEARCH("HUB",B736)),
ISNUMBER(SEARCH("DOCK",B736)),
ISNUMBER(SEARCH("MOUSE PAD",B736)),
ISNUMBER(SEARCH("MOUSEPAD",B736)),
ISNUMBER(SEARCH("SOPORTE",B736)),
ISNUMBER(SEARCH("STAND",B736)),
ISNUMBER(SEARCH("TRAVEL ADAPTER",B736)),
ISNUMBER(SEARCH("RJ45",B736)),
ISNUMBER(SEARCH("USB-C",B736)),
ISNUMBER(SEARCH("USB WIFI",B736)),
ISNUMBER(SEARCH("POWERBANK",B736)),
ISNUMBER(SEARCH("CARGADOR",B736)),
ISNUMBER(SEARCH("COOLER PARA NB",B736)),
ISNUMBER(SEARCH("SOPORTE PARA NB",B736)),
ISNUMBER(SEARCH("WEBCAM",B736)),
ISNUMBER(SEARCH("WEB CAM",B736)),
ISNUMBER(SEARCH("MOUSE",B736)),
ISNUMBER(SEARCH("TECLADO",B736))
),
"COMPLEMENTO",
IF(
OR(
LEFT(A736,2)="NB",
LEFT(A736,2)="PC",
LEFT(A736,2)="WS",
LEFT(A736,2)="TB",
LEFT(A736,3)="CEL",
LEFT(A736,3)="MON",
LEFT(A736,3)="PRE",
LEFT(A736,3)="PRH",
ISNUMBER(SEARCH("NOTEBOOK",B736)),
ISNUMBER(SEARCH("LAPTOP",B736)),
ISNUMBER(SEARCH("MONITOR",B736)),
ISNUMBER(SEARCH("TABLET",B736)),
ISNUMBER(SEARCH("SMARTPH",B736)),
ISNUMBER(SEARCH("IMPRESORA",B736)),
ISNUMBER(SEARCH("MULTIFUNCIONAL",B736)),
ISNUMBER(SEARCH("AIO",B736))
),
"GANCHO",
"NORMAL"
)
)</f>
        <v>NORMAL</v>
      </c>
    </row>
    <row r="735" spans="1:12" x14ac:dyDescent="0.25">
      <c r="A735" s="3" t="s">
        <v>661</v>
      </c>
      <c r="B735" s="3" t="s">
        <v>662</v>
      </c>
      <c r="C735" s="1">
        <v>20</v>
      </c>
      <c r="D735" s="1">
        <v>77.3</v>
      </c>
      <c r="E735" s="1" t="s">
        <v>196</v>
      </c>
      <c r="F735" s="1" t="s">
        <v>3468</v>
      </c>
      <c r="G735" s="3" t="s">
        <v>4974</v>
      </c>
      <c r="H735" s="11">
        <f>ROUND(
IF(L733="GANCHO",
   IF(I735&lt;=50,I735*1.1+4,IF(I735&lt;=120,I735*1.1+7,IF(I735&lt;=250,I735*1.1+11,I735*1.1+19))),
IF(L733="NORMAL",
   IF(I735&lt;=30,I735*1.15+2,IF(I735&lt;=80,I735*1.15+4,IF(I735&lt;=150,I735*1.15+6,I735*1.15+8))),
IF(L733="COMPLEMENTO",
   IF(I735&lt;=25,I735*1.25+1.5,IF(I735&lt;=60,I735*1.25+3,IF(I735&lt;=120,I735*1.25+4,I735*1.25+5))),
""))),2)</f>
        <v>373.04</v>
      </c>
      <c r="I735" s="9">
        <f>($K$2+0.02)*Tabla1[[#This Row],[PRECIO $]]*1.18</f>
        <v>317.42471999999992</v>
      </c>
      <c r="J735" s="7">
        <f>+Tabla1[[#This Row],[PRECIO EN SOLES]]-Tabla1[[#This Row],[PC]]</f>
        <v>55.615280000000098</v>
      </c>
      <c r="K735" s="15"/>
      <c r="L735" s="15" t="str">
        <f>IF(
OR(
ISNUMBER(SEARCH("BACKPACK",B737)),
ISNUMBER(SEARCH("MOCHILA",B737)),
ISNUMBER(SEARCH("FUNDA",B737)),
ISNUMBER(SEARCH("ESTUCHE",B737)),
ISNUMBER(SEARCH("BOOK COVER",B737)),
ISNUMBER(SEARCH("KEYBOARD PARA TABLET",B737)),
ISNUMBER(SEARCH("FLIP TABLET",B737)),
ISNUMBER(SEARCH("CASE FOR TABLET",B737)),
ISNUMBER(SEARCH("CABLE",B737)),
ISNUMBER(SEARCH("ADAPTADOR",B737)),
ISNUMBER(SEARCH("HUB",B737)),
ISNUMBER(SEARCH("DOCK",B737)),
ISNUMBER(SEARCH("MOUSE PAD",B737)),
ISNUMBER(SEARCH("MOUSEPAD",B737)),
ISNUMBER(SEARCH("SOPORTE",B737)),
ISNUMBER(SEARCH("STAND",B737)),
ISNUMBER(SEARCH("TRAVEL ADAPTER",B737)),
ISNUMBER(SEARCH("RJ45",B737)),
ISNUMBER(SEARCH("USB-C",B737)),
ISNUMBER(SEARCH("USB WIFI",B737)),
ISNUMBER(SEARCH("POWERBANK",B737)),
ISNUMBER(SEARCH("CARGADOR",B737)),
ISNUMBER(SEARCH("COOLER PARA NB",B737)),
ISNUMBER(SEARCH("SOPORTE PARA NB",B737)),
ISNUMBER(SEARCH("WEBCAM",B737)),
ISNUMBER(SEARCH("WEB CAM",B737)),
ISNUMBER(SEARCH("MOUSE",B737)),
ISNUMBER(SEARCH("TECLADO",B737))
),
"COMPLEMENTO",
IF(
OR(
LEFT(A737,2)="NB",
LEFT(A737,2)="PC",
LEFT(A737,2)="WS",
LEFT(A737,2)="TB",
LEFT(A737,3)="CEL",
LEFT(A737,3)="MON",
LEFT(A737,3)="PRE",
LEFT(A737,3)="PRH",
ISNUMBER(SEARCH("NOTEBOOK",B737)),
ISNUMBER(SEARCH("LAPTOP",B737)),
ISNUMBER(SEARCH("MONITOR",B737)),
ISNUMBER(SEARCH("TABLET",B737)),
ISNUMBER(SEARCH("SMARTPH",B737)),
ISNUMBER(SEARCH("IMPRESORA",B737)),
ISNUMBER(SEARCH("MULTIFUNCIONAL",B737)),
ISNUMBER(SEARCH("AIO",B737))
),
"GANCHO",
"NORMAL"
)
)</f>
        <v>NORMAL</v>
      </c>
    </row>
    <row r="736" spans="1:12" x14ac:dyDescent="0.25">
      <c r="A736" s="3" t="s">
        <v>4975</v>
      </c>
      <c r="B736" s="3" t="s">
        <v>4976</v>
      </c>
      <c r="C736" s="1">
        <v>20</v>
      </c>
      <c r="D736" s="1">
        <v>62.25</v>
      </c>
      <c r="E736" s="1" t="s">
        <v>467</v>
      </c>
      <c r="F736" s="1" t="s">
        <v>4977</v>
      </c>
      <c r="G736" s="3" t="s">
        <v>4978</v>
      </c>
      <c r="H736" s="11">
        <f>ROUND(
IF(L734="GANCHO",
   IF(I736&lt;=50,I736*1.1+4,IF(I736&lt;=120,I736*1.1+7,IF(I736&lt;=250,I736*1.1+11,I736*1.1+19))),
IF(L734="NORMAL",
   IF(I736&lt;=30,I736*1.15+2,IF(I736&lt;=80,I736*1.15+4,IF(I736&lt;=150,I736*1.15+6,I736*1.15+8))),
IF(L734="COMPLEMENTO",
   IF(I736&lt;=25,I736*1.25+1.5,IF(I736&lt;=60,I736*1.25+3,IF(I736&lt;=120,I736*1.25+4,I736*1.25+5))),
""))),2)</f>
        <v>301.97000000000003</v>
      </c>
      <c r="I736" s="9">
        <f>($K$2+0.02)*Tabla1[[#This Row],[PRECIO $]]*1.18</f>
        <v>255.62339999999998</v>
      </c>
      <c r="J736" s="7">
        <f>+Tabla1[[#This Row],[PRECIO EN SOLES]]-Tabla1[[#This Row],[PC]]</f>
        <v>46.346600000000052</v>
      </c>
      <c r="K736" s="15"/>
      <c r="L736" s="15" t="str">
        <f>IF(
OR(
ISNUMBER(SEARCH("BACKPACK",B738)),
ISNUMBER(SEARCH("MOCHILA",B738)),
ISNUMBER(SEARCH("FUNDA",B738)),
ISNUMBER(SEARCH("ESTUCHE",B738)),
ISNUMBER(SEARCH("BOOK COVER",B738)),
ISNUMBER(SEARCH("KEYBOARD PARA TABLET",B738)),
ISNUMBER(SEARCH("FLIP TABLET",B738)),
ISNUMBER(SEARCH("CASE FOR TABLET",B738)),
ISNUMBER(SEARCH("CABLE",B738)),
ISNUMBER(SEARCH("ADAPTADOR",B738)),
ISNUMBER(SEARCH("HUB",B738)),
ISNUMBER(SEARCH("DOCK",B738)),
ISNUMBER(SEARCH("MOUSE PAD",B738)),
ISNUMBER(SEARCH("MOUSEPAD",B738)),
ISNUMBER(SEARCH("SOPORTE",B738)),
ISNUMBER(SEARCH("STAND",B738)),
ISNUMBER(SEARCH("TRAVEL ADAPTER",B738)),
ISNUMBER(SEARCH("RJ45",B738)),
ISNUMBER(SEARCH("USB-C",B738)),
ISNUMBER(SEARCH("USB WIFI",B738)),
ISNUMBER(SEARCH("POWERBANK",B738)),
ISNUMBER(SEARCH("CARGADOR",B738)),
ISNUMBER(SEARCH("COOLER PARA NB",B738)),
ISNUMBER(SEARCH("SOPORTE PARA NB",B738)),
ISNUMBER(SEARCH("WEBCAM",B738)),
ISNUMBER(SEARCH("WEB CAM",B738)),
ISNUMBER(SEARCH("MOUSE",B738)),
ISNUMBER(SEARCH("TECLADO",B738))
),
"COMPLEMENTO",
IF(
OR(
LEFT(A738,2)="NB",
LEFT(A738,2)="PC",
LEFT(A738,2)="WS",
LEFT(A738,2)="TB",
LEFT(A738,3)="CEL",
LEFT(A738,3)="MON",
LEFT(A738,3)="PRE",
LEFT(A738,3)="PRH",
ISNUMBER(SEARCH("NOTEBOOK",B738)),
ISNUMBER(SEARCH("LAPTOP",B738)),
ISNUMBER(SEARCH("MONITOR",B738)),
ISNUMBER(SEARCH("TABLET",B738)),
ISNUMBER(SEARCH("SMARTPH",B738)),
ISNUMBER(SEARCH("IMPRESORA",B738)),
ISNUMBER(SEARCH("MULTIFUNCIONAL",B738)),
ISNUMBER(SEARCH("AIO",B738))
),
"GANCHO",
"NORMAL"
)
)</f>
        <v>NORMAL</v>
      </c>
    </row>
    <row r="737" spans="1:12" x14ac:dyDescent="0.25">
      <c r="A737" s="3" t="s">
        <v>1458</v>
      </c>
      <c r="B737" s="3" t="s">
        <v>1459</v>
      </c>
      <c r="C737" s="1">
        <v>0</v>
      </c>
      <c r="D737" s="1">
        <v>217.1</v>
      </c>
      <c r="E737" s="1" t="s">
        <v>196</v>
      </c>
      <c r="F737" s="1" t="s">
        <v>3469</v>
      </c>
      <c r="G737" s="3" t="s">
        <v>1460</v>
      </c>
      <c r="H737" s="11">
        <f>ROUND(
IF(L735="GANCHO",
   IF(I737&lt;=50,I737*1.1+4,IF(I737&lt;=120,I737*1.1+7,IF(I737&lt;=250,I737*1.1+11,I737*1.1+19))),
IF(L735="NORMAL",
   IF(I737&lt;=30,I737*1.15+2,IF(I737&lt;=80,I737*1.15+4,IF(I737&lt;=150,I737*1.15+6,I737*1.15+8))),
IF(L735="COMPLEMENTO",
   IF(I737&lt;=25,I737*1.25+1.5,IF(I737&lt;=60,I737*1.25+3,IF(I737&lt;=120,I737*1.25+4,I737*1.25+5))),
""))),2)</f>
        <v>1033.22</v>
      </c>
      <c r="I737" s="9">
        <f>($K$2+0.02)*Tabla1[[#This Row],[PRECIO $]]*1.18</f>
        <v>891.49943999999982</v>
      </c>
      <c r="J737" s="7">
        <f>+Tabla1[[#This Row],[PRECIO EN SOLES]]-Tabla1[[#This Row],[PC]]</f>
        <v>141.72056000000021</v>
      </c>
      <c r="K737" s="15"/>
      <c r="L737" s="15" t="str">
        <f>IF(
OR(
ISNUMBER(SEARCH("BACKPACK",B739)),
ISNUMBER(SEARCH("MOCHILA",B739)),
ISNUMBER(SEARCH("FUNDA",B739)),
ISNUMBER(SEARCH("ESTUCHE",B739)),
ISNUMBER(SEARCH("BOOK COVER",B739)),
ISNUMBER(SEARCH("KEYBOARD PARA TABLET",B739)),
ISNUMBER(SEARCH("FLIP TABLET",B739)),
ISNUMBER(SEARCH("CASE FOR TABLET",B739)),
ISNUMBER(SEARCH("CABLE",B739)),
ISNUMBER(SEARCH("ADAPTADOR",B739)),
ISNUMBER(SEARCH("HUB",B739)),
ISNUMBER(SEARCH("DOCK",B739)),
ISNUMBER(SEARCH("MOUSE PAD",B739)),
ISNUMBER(SEARCH("MOUSEPAD",B739)),
ISNUMBER(SEARCH("SOPORTE",B739)),
ISNUMBER(SEARCH("STAND",B739)),
ISNUMBER(SEARCH("TRAVEL ADAPTER",B739)),
ISNUMBER(SEARCH("RJ45",B739)),
ISNUMBER(SEARCH("USB-C",B739)),
ISNUMBER(SEARCH("USB WIFI",B739)),
ISNUMBER(SEARCH("POWERBANK",B739)),
ISNUMBER(SEARCH("CARGADOR",B739)),
ISNUMBER(SEARCH("COOLER PARA NB",B739)),
ISNUMBER(SEARCH("SOPORTE PARA NB",B739)),
ISNUMBER(SEARCH("WEBCAM",B739)),
ISNUMBER(SEARCH("WEB CAM",B739)),
ISNUMBER(SEARCH("MOUSE",B739)),
ISNUMBER(SEARCH("TECLADO",B739))
),
"COMPLEMENTO",
IF(
OR(
LEFT(A739,2)="NB",
LEFT(A739,2)="PC",
LEFT(A739,2)="WS",
LEFT(A739,2)="TB",
LEFT(A739,3)="CEL",
LEFT(A739,3)="MON",
LEFT(A739,3)="PRE",
LEFT(A739,3)="PRH",
ISNUMBER(SEARCH("NOTEBOOK",B739)),
ISNUMBER(SEARCH("LAPTOP",B739)),
ISNUMBER(SEARCH("MONITOR",B739)),
ISNUMBER(SEARCH("TABLET",B739)),
ISNUMBER(SEARCH("SMARTPH",B739)),
ISNUMBER(SEARCH("IMPRESORA",B739)),
ISNUMBER(SEARCH("MULTIFUNCIONAL",B739)),
ISNUMBER(SEARCH("AIO",B739))
),
"GANCHO",
"NORMAL"
)
)</f>
        <v>NORMAL</v>
      </c>
    </row>
    <row r="738" spans="1:12" x14ac:dyDescent="0.25">
      <c r="A738" s="3" t="s">
        <v>1461</v>
      </c>
      <c r="B738" s="3" t="s">
        <v>1462</v>
      </c>
      <c r="C738" s="1">
        <v>4</v>
      </c>
      <c r="D738" s="1">
        <v>113.6</v>
      </c>
      <c r="E738" s="1" t="s">
        <v>196</v>
      </c>
      <c r="F738" s="1" t="s">
        <v>3470</v>
      </c>
      <c r="G738" s="3" t="s">
        <v>1463</v>
      </c>
      <c r="H738" s="11">
        <f>ROUND(
IF(L736="GANCHO",
   IF(I738&lt;=50,I738*1.1+4,IF(I738&lt;=120,I738*1.1+7,IF(I738&lt;=250,I738*1.1+11,I738*1.1+19))),
IF(L736="NORMAL",
   IF(I738&lt;=30,I738*1.15+2,IF(I738&lt;=80,I738*1.15+4,IF(I738&lt;=150,I738*1.15+6,I738*1.15+8))),
IF(L736="COMPLEMENTO",
   IF(I738&lt;=25,I738*1.25+1.5,IF(I738&lt;=60,I738*1.25+3,IF(I738&lt;=120,I738*1.25+4,I738*1.25+5))),
""))),2)</f>
        <v>544.46</v>
      </c>
      <c r="I738" s="9">
        <f>($K$2+0.02)*Tabla1[[#This Row],[PRECIO $]]*1.18</f>
        <v>466.48703999999992</v>
      </c>
      <c r="J738" s="7">
        <f>+Tabla1[[#This Row],[PRECIO EN SOLES]]-Tabla1[[#This Row],[PC]]</f>
        <v>77.972960000000114</v>
      </c>
      <c r="K738" s="15"/>
      <c r="L738" s="15" t="str">
        <f>IF(
OR(
ISNUMBER(SEARCH("BACKPACK",B740)),
ISNUMBER(SEARCH("MOCHILA",B740)),
ISNUMBER(SEARCH("FUNDA",B740)),
ISNUMBER(SEARCH("ESTUCHE",B740)),
ISNUMBER(SEARCH("BOOK COVER",B740)),
ISNUMBER(SEARCH("KEYBOARD PARA TABLET",B740)),
ISNUMBER(SEARCH("FLIP TABLET",B740)),
ISNUMBER(SEARCH("CASE FOR TABLET",B740)),
ISNUMBER(SEARCH("CABLE",B740)),
ISNUMBER(SEARCH("ADAPTADOR",B740)),
ISNUMBER(SEARCH("HUB",B740)),
ISNUMBER(SEARCH("DOCK",B740)),
ISNUMBER(SEARCH("MOUSE PAD",B740)),
ISNUMBER(SEARCH("MOUSEPAD",B740)),
ISNUMBER(SEARCH("SOPORTE",B740)),
ISNUMBER(SEARCH("STAND",B740)),
ISNUMBER(SEARCH("TRAVEL ADAPTER",B740)),
ISNUMBER(SEARCH("RJ45",B740)),
ISNUMBER(SEARCH("USB-C",B740)),
ISNUMBER(SEARCH("USB WIFI",B740)),
ISNUMBER(SEARCH("POWERBANK",B740)),
ISNUMBER(SEARCH("CARGADOR",B740)),
ISNUMBER(SEARCH("COOLER PARA NB",B740)),
ISNUMBER(SEARCH("SOPORTE PARA NB",B740)),
ISNUMBER(SEARCH("WEBCAM",B740)),
ISNUMBER(SEARCH("WEB CAM",B740)),
ISNUMBER(SEARCH("MOUSE",B740)),
ISNUMBER(SEARCH("TECLADO",B740))
),
"COMPLEMENTO",
IF(
OR(
LEFT(A740,2)="NB",
LEFT(A740,2)="PC",
LEFT(A740,2)="WS",
LEFT(A740,2)="TB",
LEFT(A740,3)="CEL",
LEFT(A740,3)="MON",
LEFT(A740,3)="PRE",
LEFT(A740,3)="PRH",
ISNUMBER(SEARCH("NOTEBOOK",B740)),
ISNUMBER(SEARCH("LAPTOP",B740)),
ISNUMBER(SEARCH("MONITOR",B740)),
ISNUMBER(SEARCH("TABLET",B740)),
ISNUMBER(SEARCH("SMARTPH",B740)),
ISNUMBER(SEARCH("IMPRESORA",B740)),
ISNUMBER(SEARCH("MULTIFUNCIONAL",B740)),
ISNUMBER(SEARCH("AIO",B740))
),
"GANCHO",
"NORMAL"
)
)</f>
        <v>NORMAL</v>
      </c>
    </row>
    <row r="739" spans="1:12" x14ac:dyDescent="0.25">
      <c r="A739" s="3" t="s">
        <v>6010</v>
      </c>
      <c r="B739" s="3" t="s">
        <v>6011</v>
      </c>
      <c r="C739" s="1">
        <v>1</v>
      </c>
      <c r="D739" s="1">
        <v>208</v>
      </c>
      <c r="E739" s="1" t="s">
        <v>196</v>
      </c>
      <c r="F739" s="1" t="s">
        <v>6012</v>
      </c>
      <c r="G739" s="3" t="s">
        <v>6013</v>
      </c>
      <c r="H739" s="11">
        <f>ROUND(
IF(L737="GANCHO",
   IF(I739&lt;=50,I739*1.1+4,IF(I739&lt;=120,I739*1.1+7,IF(I739&lt;=250,I739*1.1+11,I739*1.1+19))),
IF(L737="NORMAL",
   IF(I739&lt;=30,I739*1.15+2,IF(I739&lt;=80,I739*1.15+4,IF(I739&lt;=150,I739*1.15+6,I739*1.15+8))),
IF(L737="COMPLEMENTO",
   IF(I739&lt;=25,I739*1.25+1.5,IF(I739&lt;=60,I739*1.25+3,IF(I739&lt;=120,I739*1.25+4,I739*1.25+5))),
""))),2)</f>
        <v>990.25</v>
      </c>
      <c r="I739" s="9">
        <f>($K$2+0.02)*Tabla1[[#This Row],[PRECIO $]]*1.18</f>
        <v>854.13120000000004</v>
      </c>
      <c r="J739" s="7">
        <f>+Tabla1[[#This Row],[PRECIO EN SOLES]]-Tabla1[[#This Row],[PC]]</f>
        <v>136.11879999999996</v>
      </c>
      <c r="K739" s="15"/>
      <c r="L739" s="15" t="str">
        <f>IF(
OR(
ISNUMBER(SEARCH("BACKPACK",B741)),
ISNUMBER(SEARCH("MOCHILA",B741)),
ISNUMBER(SEARCH("FUNDA",B741)),
ISNUMBER(SEARCH("ESTUCHE",B741)),
ISNUMBER(SEARCH("BOOK COVER",B741)),
ISNUMBER(SEARCH("KEYBOARD PARA TABLET",B741)),
ISNUMBER(SEARCH("FLIP TABLET",B741)),
ISNUMBER(SEARCH("CASE FOR TABLET",B741)),
ISNUMBER(SEARCH("CABLE",B741)),
ISNUMBER(SEARCH("ADAPTADOR",B741)),
ISNUMBER(SEARCH("HUB",B741)),
ISNUMBER(SEARCH("DOCK",B741)),
ISNUMBER(SEARCH("MOUSE PAD",B741)),
ISNUMBER(SEARCH("MOUSEPAD",B741)),
ISNUMBER(SEARCH("SOPORTE",B741)),
ISNUMBER(SEARCH("STAND",B741)),
ISNUMBER(SEARCH("TRAVEL ADAPTER",B741)),
ISNUMBER(SEARCH("RJ45",B741)),
ISNUMBER(SEARCH("USB-C",B741)),
ISNUMBER(SEARCH("USB WIFI",B741)),
ISNUMBER(SEARCH("POWERBANK",B741)),
ISNUMBER(SEARCH("CARGADOR",B741)),
ISNUMBER(SEARCH("COOLER PARA NB",B741)),
ISNUMBER(SEARCH("SOPORTE PARA NB",B741)),
ISNUMBER(SEARCH("WEBCAM",B741)),
ISNUMBER(SEARCH("WEB CAM",B741)),
ISNUMBER(SEARCH("MOUSE",B741)),
ISNUMBER(SEARCH("TECLADO",B741))
),
"COMPLEMENTO",
IF(
OR(
LEFT(A741,2)="NB",
LEFT(A741,2)="PC",
LEFT(A741,2)="WS",
LEFT(A741,2)="TB",
LEFT(A741,3)="CEL",
LEFT(A741,3)="MON",
LEFT(A741,3)="PRE",
LEFT(A741,3)="PRH",
ISNUMBER(SEARCH("NOTEBOOK",B741)),
ISNUMBER(SEARCH("LAPTOP",B741)),
ISNUMBER(SEARCH("MONITOR",B741)),
ISNUMBER(SEARCH("TABLET",B741)),
ISNUMBER(SEARCH("SMARTPH",B741)),
ISNUMBER(SEARCH("IMPRESORA",B741)),
ISNUMBER(SEARCH("MULTIFUNCIONAL",B741)),
ISNUMBER(SEARCH("AIO",B741))
),
"GANCHO",
"NORMAL"
)
)</f>
        <v>NORMAL</v>
      </c>
    </row>
    <row r="740" spans="1:12" x14ac:dyDescent="0.25">
      <c r="A740" s="3" t="s">
        <v>1464</v>
      </c>
      <c r="B740" s="3" t="s">
        <v>1465</v>
      </c>
      <c r="C740" s="1">
        <v>20</v>
      </c>
      <c r="D740" s="1">
        <v>100</v>
      </c>
      <c r="E740" s="1" t="s">
        <v>54</v>
      </c>
      <c r="F740" s="1" t="s">
        <v>3471</v>
      </c>
      <c r="G740" s="3"/>
      <c r="H740" s="11">
        <f>ROUND(
IF(L738="GANCHO",
   IF(I740&lt;=50,I740*1.1+4,IF(I740&lt;=120,I740*1.1+7,IF(I740&lt;=250,I740*1.1+11,I740*1.1+19))),
IF(L738="NORMAL",
   IF(I740&lt;=30,I740*1.15+2,IF(I740&lt;=80,I740*1.15+4,IF(I740&lt;=150,I740*1.15+6,I740*1.15+8))),
IF(L738="COMPLEMENTO",
   IF(I740&lt;=25,I740*1.25+1.5,IF(I740&lt;=60,I740*1.25+3,IF(I740&lt;=120,I740*1.25+4,I740*1.25+5))),
""))),2)</f>
        <v>480.24</v>
      </c>
      <c r="I740" s="9">
        <f>($K$2+0.02)*Tabla1[[#This Row],[PRECIO $]]*1.18</f>
        <v>410.64</v>
      </c>
      <c r="J740" s="7">
        <f>+Tabla1[[#This Row],[PRECIO EN SOLES]]-Tabla1[[#This Row],[PC]]</f>
        <v>69.600000000000023</v>
      </c>
      <c r="K740" s="15"/>
      <c r="L740" s="15" t="str">
        <f>IF(
OR(
ISNUMBER(SEARCH("BACKPACK",B742)),
ISNUMBER(SEARCH("MOCHILA",B742)),
ISNUMBER(SEARCH("FUNDA",B742)),
ISNUMBER(SEARCH("ESTUCHE",B742)),
ISNUMBER(SEARCH("BOOK COVER",B742)),
ISNUMBER(SEARCH("KEYBOARD PARA TABLET",B742)),
ISNUMBER(SEARCH("FLIP TABLET",B742)),
ISNUMBER(SEARCH("CASE FOR TABLET",B742)),
ISNUMBER(SEARCH("CABLE",B742)),
ISNUMBER(SEARCH("ADAPTADOR",B742)),
ISNUMBER(SEARCH("HUB",B742)),
ISNUMBER(SEARCH("DOCK",B742)),
ISNUMBER(SEARCH("MOUSE PAD",B742)),
ISNUMBER(SEARCH("MOUSEPAD",B742)),
ISNUMBER(SEARCH("SOPORTE",B742)),
ISNUMBER(SEARCH("STAND",B742)),
ISNUMBER(SEARCH("TRAVEL ADAPTER",B742)),
ISNUMBER(SEARCH("RJ45",B742)),
ISNUMBER(SEARCH("USB-C",B742)),
ISNUMBER(SEARCH("USB WIFI",B742)),
ISNUMBER(SEARCH("POWERBANK",B742)),
ISNUMBER(SEARCH("CARGADOR",B742)),
ISNUMBER(SEARCH("COOLER PARA NB",B742)),
ISNUMBER(SEARCH("SOPORTE PARA NB",B742)),
ISNUMBER(SEARCH("WEBCAM",B742)),
ISNUMBER(SEARCH("WEB CAM",B742)),
ISNUMBER(SEARCH("MOUSE",B742)),
ISNUMBER(SEARCH("TECLADO",B742))
),
"COMPLEMENTO",
IF(
OR(
LEFT(A742,2)="NB",
LEFT(A742,2)="PC",
LEFT(A742,2)="WS",
LEFT(A742,2)="TB",
LEFT(A742,3)="CEL",
LEFT(A742,3)="MON",
LEFT(A742,3)="PRE",
LEFT(A742,3)="PRH",
ISNUMBER(SEARCH("NOTEBOOK",B742)),
ISNUMBER(SEARCH("LAPTOP",B742)),
ISNUMBER(SEARCH("MONITOR",B742)),
ISNUMBER(SEARCH("TABLET",B742)),
ISNUMBER(SEARCH("SMARTPH",B742)),
ISNUMBER(SEARCH("IMPRESORA",B742)),
ISNUMBER(SEARCH("MULTIFUNCIONAL",B742)),
ISNUMBER(SEARCH("AIO",B742))
),
"GANCHO",
"NORMAL"
)
)</f>
        <v>NORMAL</v>
      </c>
    </row>
    <row r="741" spans="1:12" x14ac:dyDescent="0.25">
      <c r="A741" s="3" t="s">
        <v>1466</v>
      </c>
      <c r="B741" s="3" t="s">
        <v>1467</v>
      </c>
      <c r="C741" s="1">
        <v>0</v>
      </c>
      <c r="D741" s="1">
        <v>6</v>
      </c>
      <c r="E741" s="1" t="s">
        <v>55</v>
      </c>
      <c r="F741" s="1" t="s">
        <v>3472</v>
      </c>
      <c r="G741" s="3"/>
      <c r="H741" s="11">
        <f>ROUND(
IF(L739="GANCHO",
   IF(I741&lt;=50,I741*1.1+4,IF(I741&lt;=120,I741*1.1+7,IF(I741&lt;=250,I741*1.1+11,I741*1.1+19))),
IF(L739="NORMAL",
   IF(I741&lt;=30,I741*1.15+2,IF(I741&lt;=80,I741*1.15+4,IF(I741&lt;=150,I741*1.15+6,I741*1.15+8))),
IF(L739="COMPLEMENTO",
   IF(I741&lt;=25,I741*1.25+1.5,IF(I741&lt;=60,I741*1.25+3,IF(I741&lt;=120,I741*1.25+4,I741*1.25+5))),
""))),2)</f>
        <v>30.33</v>
      </c>
      <c r="I741" s="9">
        <f>($K$2+0.02)*Tabla1[[#This Row],[PRECIO $]]*1.18</f>
        <v>24.638399999999997</v>
      </c>
      <c r="J741" s="7">
        <f>+Tabla1[[#This Row],[PRECIO EN SOLES]]-Tabla1[[#This Row],[PC]]</f>
        <v>5.6916000000000011</v>
      </c>
      <c r="K741" s="15"/>
      <c r="L741" s="15" t="str">
        <f>IF(
OR(
ISNUMBER(SEARCH("BACKPACK",B743)),
ISNUMBER(SEARCH("MOCHILA",B743)),
ISNUMBER(SEARCH("FUNDA",B743)),
ISNUMBER(SEARCH("ESTUCHE",B743)),
ISNUMBER(SEARCH("BOOK COVER",B743)),
ISNUMBER(SEARCH("KEYBOARD PARA TABLET",B743)),
ISNUMBER(SEARCH("FLIP TABLET",B743)),
ISNUMBER(SEARCH("CASE FOR TABLET",B743)),
ISNUMBER(SEARCH("CABLE",B743)),
ISNUMBER(SEARCH("ADAPTADOR",B743)),
ISNUMBER(SEARCH("HUB",B743)),
ISNUMBER(SEARCH("DOCK",B743)),
ISNUMBER(SEARCH("MOUSE PAD",B743)),
ISNUMBER(SEARCH("MOUSEPAD",B743)),
ISNUMBER(SEARCH("SOPORTE",B743)),
ISNUMBER(SEARCH("STAND",B743)),
ISNUMBER(SEARCH("TRAVEL ADAPTER",B743)),
ISNUMBER(SEARCH("RJ45",B743)),
ISNUMBER(SEARCH("USB-C",B743)),
ISNUMBER(SEARCH("USB WIFI",B743)),
ISNUMBER(SEARCH("POWERBANK",B743)),
ISNUMBER(SEARCH("CARGADOR",B743)),
ISNUMBER(SEARCH("COOLER PARA NB",B743)),
ISNUMBER(SEARCH("SOPORTE PARA NB",B743)),
ISNUMBER(SEARCH("WEBCAM",B743)),
ISNUMBER(SEARCH("WEB CAM",B743)),
ISNUMBER(SEARCH("MOUSE",B743)),
ISNUMBER(SEARCH("TECLADO",B743))
),
"COMPLEMENTO",
IF(
OR(
LEFT(A743,2)="NB",
LEFT(A743,2)="PC",
LEFT(A743,2)="WS",
LEFT(A743,2)="TB",
LEFT(A743,3)="CEL",
LEFT(A743,3)="MON",
LEFT(A743,3)="PRE",
LEFT(A743,3)="PRH",
ISNUMBER(SEARCH("NOTEBOOK",B743)),
ISNUMBER(SEARCH("LAPTOP",B743)),
ISNUMBER(SEARCH("MONITOR",B743)),
ISNUMBER(SEARCH("TABLET",B743)),
ISNUMBER(SEARCH("SMARTPH",B743)),
ISNUMBER(SEARCH("IMPRESORA",B743)),
ISNUMBER(SEARCH("MULTIFUNCIONAL",B743)),
ISNUMBER(SEARCH("AIO",B743))
),
"GANCHO",
"NORMAL"
)
)</f>
        <v>NORMAL</v>
      </c>
    </row>
    <row r="742" spans="1:12" x14ac:dyDescent="0.25">
      <c r="A742" s="3" t="s">
        <v>2965</v>
      </c>
      <c r="B742" s="3" t="s">
        <v>2966</v>
      </c>
      <c r="C742" s="1">
        <v>20</v>
      </c>
      <c r="D742" s="1">
        <v>10</v>
      </c>
      <c r="E742" s="1" t="s">
        <v>52</v>
      </c>
      <c r="F742" s="1" t="s">
        <v>3473</v>
      </c>
      <c r="G742" s="3"/>
      <c r="H742" s="11">
        <f>ROUND(
IF(L740="GANCHO",
   IF(I742&lt;=50,I742*1.1+4,IF(I742&lt;=120,I742*1.1+7,IF(I742&lt;=250,I742*1.1+11,I742*1.1+19))),
IF(L740="NORMAL",
   IF(I742&lt;=30,I742*1.15+2,IF(I742&lt;=80,I742*1.15+4,IF(I742&lt;=150,I742*1.15+6,I742*1.15+8))),
IF(L740="COMPLEMENTO",
   IF(I742&lt;=25,I742*1.25+1.5,IF(I742&lt;=60,I742*1.25+3,IF(I742&lt;=120,I742*1.25+4,I742*1.25+5))),
""))),2)</f>
        <v>51.22</v>
      </c>
      <c r="I742" s="9">
        <f>($K$2+0.02)*Tabla1[[#This Row],[PRECIO $]]*1.18</f>
        <v>41.063999999999993</v>
      </c>
      <c r="J742" s="7">
        <f>+Tabla1[[#This Row],[PRECIO EN SOLES]]-Tabla1[[#This Row],[PC]]</f>
        <v>10.156000000000006</v>
      </c>
      <c r="K742" s="15"/>
      <c r="L742" s="15" t="str">
        <f>IF(
OR(
ISNUMBER(SEARCH("BACKPACK",B744)),
ISNUMBER(SEARCH("MOCHILA",B744)),
ISNUMBER(SEARCH("FUNDA",B744)),
ISNUMBER(SEARCH("ESTUCHE",B744)),
ISNUMBER(SEARCH("BOOK COVER",B744)),
ISNUMBER(SEARCH("KEYBOARD PARA TABLET",B744)),
ISNUMBER(SEARCH("FLIP TABLET",B744)),
ISNUMBER(SEARCH("CASE FOR TABLET",B744)),
ISNUMBER(SEARCH("CABLE",B744)),
ISNUMBER(SEARCH("ADAPTADOR",B744)),
ISNUMBER(SEARCH("HUB",B744)),
ISNUMBER(SEARCH("DOCK",B744)),
ISNUMBER(SEARCH("MOUSE PAD",B744)),
ISNUMBER(SEARCH("MOUSEPAD",B744)),
ISNUMBER(SEARCH("SOPORTE",B744)),
ISNUMBER(SEARCH("STAND",B744)),
ISNUMBER(SEARCH("TRAVEL ADAPTER",B744)),
ISNUMBER(SEARCH("RJ45",B744)),
ISNUMBER(SEARCH("USB-C",B744)),
ISNUMBER(SEARCH("USB WIFI",B744)),
ISNUMBER(SEARCH("POWERBANK",B744)),
ISNUMBER(SEARCH("CARGADOR",B744)),
ISNUMBER(SEARCH("COOLER PARA NB",B744)),
ISNUMBER(SEARCH("SOPORTE PARA NB",B744)),
ISNUMBER(SEARCH("WEBCAM",B744)),
ISNUMBER(SEARCH("WEB CAM",B744)),
ISNUMBER(SEARCH("MOUSE",B744)),
ISNUMBER(SEARCH("TECLADO",B744))
),
"COMPLEMENTO",
IF(
OR(
LEFT(A744,2)="NB",
LEFT(A744,2)="PC",
LEFT(A744,2)="WS",
LEFT(A744,2)="TB",
LEFT(A744,3)="CEL",
LEFT(A744,3)="MON",
LEFT(A744,3)="PRE",
LEFT(A744,3)="PRH",
ISNUMBER(SEARCH("NOTEBOOK",B744)),
ISNUMBER(SEARCH("LAPTOP",B744)),
ISNUMBER(SEARCH("MONITOR",B744)),
ISNUMBER(SEARCH("TABLET",B744)),
ISNUMBER(SEARCH("SMARTPH",B744)),
ISNUMBER(SEARCH("IMPRESORA",B744)),
ISNUMBER(SEARCH("MULTIFUNCIONAL",B744)),
ISNUMBER(SEARCH("AIO",B744))
),
"GANCHO",
"NORMAL"
)
)</f>
        <v>NORMAL</v>
      </c>
    </row>
    <row r="743" spans="1:12" x14ac:dyDescent="0.25">
      <c r="A743" s="3" t="s">
        <v>6307</v>
      </c>
      <c r="B743" s="3" t="s">
        <v>6308</v>
      </c>
      <c r="C743" s="1">
        <v>20</v>
      </c>
      <c r="D743" s="1">
        <v>7</v>
      </c>
      <c r="E743" s="1" t="s">
        <v>154</v>
      </c>
      <c r="F743" s="1" t="s">
        <v>6309</v>
      </c>
      <c r="G743" s="3"/>
      <c r="H743" s="11">
        <f>ROUND(
IF(L741="GANCHO",
   IF(I743&lt;=50,I743*1.1+4,IF(I743&lt;=120,I743*1.1+7,IF(I743&lt;=250,I743*1.1+11,I743*1.1+19))),
IF(L741="NORMAL",
   IF(I743&lt;=30,I743*1.15+2,IF(I743&lt;=80,I743*1.15+4,IF(I743&lt;=150,I743*1.15+6,I743*1.15+8))),
IF(L741="COMPLEMENTO",
   IF(I743&lt;=25,I743*1.25+1.5,IF(I743&lt;=60,I743*1.25+3,IF(I743&lt;=120,I743*1.25+4,I743*1.25+5))),
""))),2)</f>
        <v>35.06</v>
      </c>
      <c r="I743" s="9">
        <f>($K$2+0.02)*Tabla1[[#This Row],[PRECIO $]]*1.18</f>
        <v>28.744799999999998</v>
      </c>
      <c r="J743" s="7">
        <f>+Tabla1[[#This Row],[PRECIO EN SOLES]]-Tabla1[[#This Row],[PC]]</f>
        <v>6.3152000000000044</v>
      </c>
      <c r="K743" s="15"/>
      <c r="L743" s="15" t="str">
        <f>IF(
OR(
ISNUMBER(SEARCH("BACKPACK",B745)),
ISNUMBER(SEARCH("MOCHILA",B745)),
ISNUMBER(SEARCH("FUNDA",B745)),
ISNUMBER(SEARCH("ESTUCHE",B745)),
ISNUMBER(SEARCH("BOOK COVER",B745)),
ISNUMBER(SEARCH("KEYBOARD PARA TABLET",B745)),
ISNUMBER(SEARCH("FLIP TABLET",B745)),
ISNUMBER(SEARCH("CASE FOR TABLET",B745)),
ISNUMBER(SEARCH("CABLE",B745)),
ISNUMBER(SEARCH("ADAPTADOR",B745)),
ISNUMBER(SEARCH("HUB",B745)),
ISNUMBER(SEARCH("DOCK",B745)),
ISNUMBER(SEARCH("MOUSE PAD",B745)),
ISNUMBER(SEARCH("MOUSEPAD",B745)),
ISNUMBER(SEARCH("SOPORTE",B745)),
ISNUMBER(SEARCH("STAND",B745)),
ISNUMBER(SEARCH("TRAVEL ADAPTER",B745)),
ISNUMBER(SEARCH("RJ45",B745)),
ISNUMBER(SEARCH("USB-C",B745)),
ISNUMBER(SEARCH("USB WIFI",B745)),
ISNUMBER(SEARCH("POWERBANK",B745)),
ISNUMBER(SEARCH("CARGADOR",B745)),
ISNUMBER(SEARCH("COOLER PARA NB",B745)),
ISNUMBER(SEARCH("SOPORTE PARA NB",B745)),
ISNUMBER(SEARCH("WEBCAM",B745)),
ISNUMBER(SEARCH("WEB CAM",B745)),
ISNUMBER(SEARCH("MOUSE",B745)),
ISNUMBER(SEARCH("TECLADO",B745))
),
"COMPLEMENTO",
IF(
OR(
LEFT(A745,2)="NB",
LEFT(A745,2)="PC",
LEFT(A745,2)="WS",
LEFT(A745,2)="TB",
LEFT(A745,3)="CEL",
LEFT(A745,3)="MON",
LEFT(A745,3)="PRE",
LEFT(A745,3)="PRH",
ISNUMBER(SEARCH("NOTEBOOK",B745)),
ISNUMBER(SEARCH("LAPTOP",B745)),
ISNUMBER(SEARCH("MONITOR",B745)),
ISNUMBER(SEARCH("TABLET",B745)),
ISNUMBER(SEARCH("SMARTPH",B745)),
ISNUMBER(SEARCH("IMPRESORA",B745)),
ISNUMBER(SEARCH("MULTIFUNCIONAL",B745)),
ISNUMBER(SEARCH("AIO",B745))
),
"GANCHO",
"NORMAL"
)
)</f>
        <v>NORMAL</v>
      </c>
    </row>
    <row r="744" spans="1:12" x14ac:dyDescent="0.25">
      <c r="A744" s="3" t="s">
        <v>1468</v>
      </c>
      <c r="B744" s="3" t="s">
        <v>1469</v>
      </c>
      <c r="C744" s="1">
        <v>1</v>
      </c>
      <c r="D744" s="1">
        <v>60</v>
      </c>
      <c r="E744" s="1" t="s">
        <v>55</v>
      </c>
      <c r="F744" s="1" t="s">
        <v>3474</v>
      </c>
      <c r="G744" s="3"/>
      <c r="H744" s="11">
        <f>ROUND(
IF(L742="GANCHO",
   IF(I744&lt;=50,I744*1.1+4,IF(I744&lt;=120,I744*1.1+7,IF(I744&lt;=250,I744*1.1+11,I744*1.1+19))),
IF(L742="NORMAL",
   IF(I744&lt;=30,I744*1.15+2,IF(I744&lt;=80,I744*1.15+4,IF(I744&lt;=150,I744*1.15+6,I744*1.15+8))),
IF(L742="COMPLEMENTO",
   IF(I744&lt;=25,I744*1.25+1.5,IF(I744&lt;=60,I744*1.25+3,IF(I744&lt;=120,I744*1.25+4,I744*1.25+5))),
""))),2)</f>
        <v>291.33999999999997</v>
      </c>
      <c r="I744" s="9">
        <f>($K$2+0.02)*Tabla1[[#This Row],[PRECIO $]]*1.18</f>
        <v>246.38400000000001</v>
      </c>
      <c r="J744" s="7">
        <f>+Tabla1[[#This Row],[PRECIO EN SOLES]]-Tabla1[[#This Row],[PC]]</f>
        <v>44.95599999999996</v>
      </c>
      <c r="K744" s="15"/>
      <c r="L744" s="15" t="str">
        <f>IF(
OR(
ISNUMBER(SEARCH("BACKPACK",B746)),
ISNUMBER(SEARCH("MOCHILA",B746)),
ISNUMBER(SEARCH("FUNDA",B746)),
ISNUMBER(SEARCH("ESTUCHE",B746)),
ISNUMBER(SEARCH("BOOK COVER",B746)),
ISNUMBER(SEARCH("KEYBOARD PARA TABLET",B746)),
ISNUMBER(SEARCH("FLIP TABLET",B746)),
ISNUMBER(SEARCH("CASE FOR TABLET",B746)),
ISNUMBER(SEARCH("CABLE",B746)),
ISNUMBER(SEARCH("ADAPTADOR",B746)),
ISNUMBER(SEARCH("HUB",B746)),
ISNUMBER(SEARCH("DOCK",B746)),
ISNUMBER(SEARCH("MOUSE PAD",B746)),
ISNUMBER(SEARCH("MOUSEPAD",B746)),
ISNUMBER(SEARCH("SOPORTE",B746)),
ISNUMBER(SEARCH("STAND",B746)),
ISNUMBER(SEARCH("TRAVEL ADAPTER",B746)),
ISNUMBER(SEARCH("RJ45",B746)),
ISNUMBER(SEARCH("USB-C",B746)),
ISNUMBER(SEARCH("USB WIFI",B746)),
ISNUMBER(SEARCH("POWERBANK",B746)),
ISNUMBER(SEARCH("CARGADOR",B746)),
ISNUMBER(SEARCH("COOLER PARA NB",B746)),
ISNUMBER(SEARCH("SOPORTE PARA NB",B746)),
ISNUMBER(SEARCH("WEBCAM",B746)),
ISNUMBER(SEARCH("WEB CAM",B746)),
ISNUMBER(SEARCH("MOUSE",B746)),
ISNUMBER(SEARCH("TECLADO",B746))
),
"COMPLEMENTO",
IF(
OR(
LEFT(A746,2)="NB",
LEFT(A746,2)="PC",
LEFT(A746,2)="WS",
LEFT(A746,2)="TB",
LEFT(A746,3)="CEL",
LEFT(A746,3)="MON",
LEFT(A746,3)="PRE",
LEFT(A746,3)="PRH",
ISNUMBER(SEARCH("NOTEBOOK",B746)),
ISNUMBER(SEARCH("LAPTOP",B746)),
ISNUMBER(SEARCH("MONITOR",B746)),
ISNUMBER(SEARCH("TABLET",B746)),
ISNUMBER(SEARCH("SMARTPH",B746)),
ISNUMBER(SEARCH("IMPRESORA",B746)),
ISNUMBER(SEARCH("MULTIFUNCIONAL",B746)),
ISNUMBER(SEARCH("AIO",B746))
),
"GANCHO",
"NORMAL"
)
)</f>
        <v>NORMAL</v>
      </c>
    </row>
    <row r="745" spans="1:12" x14ac:dyDescent="0.25">
      <c r="A745" s="3" t="s">
        <v>1470</v>
      </c>
      <c r="B745" s="3" t="s">
        <v>1471</v>
      </c>
      <c r="C745" s="1">
        <v>20</v>
      </c>
      <c r="D745" s="1">
        <v>37</v>
      </c>
      <c r="E745" s="1" t="s">
        <v>55</v>
      </c>
      <c r="F745" s="1" t="s">
        <v>3475</v>
      </c>
      <c r="G745" s="3" t="s">
        <v>1472</v>
      </c>
      <c r="H745" s="11">
        <f>ROUND(
IF(L743="GANCHO",
   IF(I745&lt;=50,I745*1.1+4,IF(I745&lt;=120,I745*1.1+7,IF(I745&lt;=250,I745*1.1+11,I745*1.1+19))),
IF(L743="NORMAL",
   IF(I745&lt;=30,I745*1.15+2,IF(I745&lt;=80,I745*1.15+4,IF(I745&lt;=150,I745*1.15+6,I745*1.15+8))),
IF(L743="COMPLEMENTO",
   IF(I745&lt;=25,I745*1.25+1.5,IF(I745&lt;=60,I745*1.25+3,IF(I745&lt;=120,I745*1.25+4,I745*1.25+5))),
""))),2)</f>
        <v>182.73</v>
      </c>
      <c r="I745" s="9">
        <f>($K$2+0.02)*Tabla1[[#This Row],[PRECIO $]]*1.18</f>
        <v>151.93679999999998</v>
      </c>
      <c r="J745" s="7">
        <f>+Tabla1[[#This Row],[PRECIO EN SOLES]]-Tabla1[[#This Row],[PC]]</f>
        <v>30.793200000000013</v>
      </c>
      <c r="K745" s="15"/>
      <c r="L745" s="15" t="str">
        <f>IF(
OR(
ISNUMBER(SEARCH("BACKPACK",B747)),
ISNUMBER(SEARCH("MOCHILA",B747)),
ISNUMBER(SEARCH("FUNDA",B747)),
ISNUMBER(SEARCH("ESTUCHE",B747)),
ISNUMBER(SEARCH("BOOK COVER",B747)),
ISNUMBER(SEARCH("KEYBOARD PARA TABLET",B747)),
ISNUMBER(SEARCH("FLIP TABLET",B747)),
ISNUMBER(SEARCH("CASE FOR TABLET",B747)),
ISNUMBER(SEARCH("CABLE",B747)),
ISNUMBER(SEARCH("ADAPTADOR",B747)),
ISNUMBER(SEARCH("HUB",B747)),
ISNUMBER(SEARCH("DOCK",B747)),
ISNUMBER(SEARCH("MOUSE PAD",B747)),
ISNUMBER(SEARCH("MOUSEPAD",B747)),
ISNUMBER(SEARCH("SOPORTE",B747)),
ISNUMBER(SEARCH("STAND",B747)),
ISNUMBER(SEARCH("TRAVEL ADAPTER",B747)),
ISNUMBER(SEARCH("RJ45",B747)),
ISNUMBER(SEARCH("USB-C",B747)),
ISNUMBER(SEARCH("USB WIFI",B747)),
ISNUMBER(SEARCH("POWERBANK",B747)),
ISNUMBER(SEARCH("CARGADOR",B747)),
ISNUMBER(SEARCH("COOLER PARA NB",B747)),
ISNUMBER(SEARCH("SOPORTE PARA NB",B747)),
ISNUMBER(SEARCH("WEBCAM",B747)),
ISNUMBER(SEARCH("WEB CAM",B747)),
ISNUMBER(SEARCH("MOUSE",B747)),
ISNUMBER(SEARCH("TECLADO",B747))
),
"COMPLEMENTO",
IF(
OR(
LEFT(A747,2)="NB",
LEFT(A747,2)="PC",
LEFT(A747,2)="WS",
LEFT(A747,2)="TB",
LEFT(A747,3)="CEL",
LEFT(A747,3)="MON",
LEFT(A747,3)="PRE",
LEFT(A747,3)="PRH",
ISNUMBER(SEARCH("NOTEBOOK",B747)),
ISNUMBER(SEARCH("LAPTOP",B747)),
ISNUMBER(SEARCH("MONITOR",B747)),
ISNUMBER(SEARCH("TABLET",B747)),
ISNUMBER(SEARCH("SMARTPH",B747)),
ISNUMBER(SEARCH("IMPRESORA",B747)),
ISNUMBER(SEARCH("MULTIFUNCIONAL",B747)),
ISNUMBER(SEARCH("AIO",B747))
),
"GANCHO",
"NORMAL"
)
)</f>
        <v>NORMAL</v>
      </c>
    </row>
    <row r="746" spans="1:12" x14ac:dyDescent="0.25">
      <c r="A746" s="3" t="s">
        <v>1475</v>
      </c>
      <c r="B746" s="3" t="s">
        <v>1476</v>
      </c>
      <c r="C746" s="1">
        <v>19</v>
      </c>
      <c r="D746" s="1">
        <v>30</v>
      </c>
      <c r="E746" s="1" t="s">
        <v>55</v>
      </c>
      <c r="F746" s="1" t="s">
        <v>3477</v>
      </c>
      <c r="G746" s="3" t="s">
        <v>1472</v>
      </c>
      <c r="H746" s="11">
        <f>ROUND(
IF(L744="GANCHO",
   IF(I746&lt;=50,I746*1.1+4,IF(I746&lt;=120,I746*1.1+7,IF(I746&lt;=250,I746*1.1+11,I746*1.1+19))),
IF(L744="NORMAL",
   IF(I746&lt;=30,I746*1.15+2,IF(I746&lt;=80,I746*1.15+4,IF(I746&lt;=150,I746*1.15+6,I746*1.15+8))),
IF(L744="COMPLEMENTO",
   IF(I746&lt;=25,I746*1.25+1.5,IF(I746&lt;=60,I746*1.25+3,IF(I746&lt;=120,I746*1.25+4,I746*1.25+5))),
""))),2)</f>
        <v>147.66999999999999</v>
      </c>
      <c r="I746" s="9">
        <f>($K$2+0.02)*Tabla1[[#This Row],[PRECIO $]]*1.18</f>
        <v>123.19200000000001</v>
      </c>
      <c r="J746" s="7">
        <f>+Tabla1[[#This Row],[PRECIO EN SOLES]]-Tabla1[[#This Row],[PC]]</f>
        <v>24.47799999999998</v>
      </c>
      <c r="K746" s="15"/>
      <c r="L746" s="15" t="str">
        <f>IF(
OR(
ISNUMBER(SEARCH("BACKPACK",B748)),
ISNUMBER(SEARCH("MOCHILA",B748)),
ISNUMBER(SEARCH("FUNDA",B748)),
ISNUMBER(SEARCH("ESTUCHE",B748)),
ISNUMBER(SEARCH("BOOK COVER",B748)),
ISNUMBER(SEARCH("KEYBOARD PARA TABLET",B748)),
ISNUMBER(SEARCH("FLIP TABLET",B748)),
ISNUMBER(SEARCH("CASE FOR TABLET",B748)),
ISNUMBER(SEARCH("CABLE",B748)),
ISNUMBER(SEARCH("ADAPTADOR",B748)),
ISNUMBER(SEARCH("HUB",B748)),
ISNUMBER(SEARCH("DOCK",B748)),
ISNUMBER(SEARCH("MOUSE PAD",B748)),
ISNUMBER(SEARCH("MOUSEPAD",B748)),
ISNUMBER(SEARCH("SOPORTE",B748)),
ISNUMBER(SEARCH("STAND",B748)),
ISNUMBER(SEARCH("TRAVEL ADAPTER",B748)),
ISNUMBER(SEARCH("RJ45",B748)),
ISNUMBER(SEARCH("USB-C",B748)),
ISNUMBER(SEARCH("USB WIFI",B748)),
ISNUMBER(SEARCH("POWERBANK",B748)),
ISNUMBER(SEARCH("CARGADOR",B748)),
ISNUMBER(SEARCH("COOLER PARA NB",B748)),
ISNUMBER(SEARCH("SOPORTE PARA NB",B748)),
ISNUMBER(SEARCH("WEBCAM",B748)),
ISNUMBER(SEARCH("WEB CAM",B748)),
ISNUMBER(SEARCH("MOUSE",B748)),
ISNUMBER(SEARCH("TECLADO",B748))
),
"COMPLEMENTO",
IF(
OR(
LEFT(A748,2)="NB",
LEFT(A748,2)="PC",
LEFT(A748,2)="WS",
LEFT(A748,2)="TB",
LEFT(A748,3)="CEL",
LEFT(A748,3)="MON",
LEFT(A748,3)="PRE",
LEFT(A748,3)="PRH",
ISNUMBER(SEARCH("NOTEBOOK",B748)),
ISNUMBER(SEARCH("LAPTOP",B748)),
ISNUMBER(SEARCH("MONITOR",B748)),
ISNUMBER(SEARCH("TABLET",B748)),
ISNUMBER(SEARCH("SMARTPH",B748)),
ISNUMBER(SEARCH("IMPRESORA",B748)),
ISNUMBER(SEARCH("MULTIFUNCIONAL",B748)),
ISNUMBER(SEARCH("AIO",B748))
),
"GANCHO",
"NORMAL"
)
)</f>
        <v>NORMAL</v>
      </c>
    </row>
    <row r="747" spans="1:12" x14ac:dyDescent="0.25">
      <c r="A747" s="3" t="s">
        <v>6480</v>
      </c>
      <c r="B747" s="3" t="s">
        <v>6481</v>
      </c>
      <c r="C747" s="1">
        <v>20</v>
      </c>
      <c r="D747" s="1">
        <v>4</v>
      </c>
      <c r="E747" s="1" t="s">
        <v>55</v>
      </c>
      <c r="F747" s="1" t="s">
        <v>6482</v>
      </c>
      <c r="G747" s="3"/>
      <c r="H747" s="11">
        <f>ROUND(
IF(L745="GANCHO",
   IF(I747&lt;=50,I747*1.1+4,IF(I747&lt;=120,I747*1.1+7,IF(I747&lt;=250,I747*1.1+11,I747*1.1+19))),
IF(L745="NORMAL",
   IF(I747&lt;=30,I747*1.15+2,IF(I747&lt;=80,I747*1.15+4,IF(I747&lt;=150,I747*1.15+6,I747*1.15+8))),
IF(L745="COMPLEMENTO",
   IF(I747&lt;=25,I747*1.25+1.5,IF(I747&lt;=60,I747*1.25+3,IF(I747&lt;=120,I747*1.25+4,I747*1.25+5))),
""))),2)</f>
        <v>20.89</v>
      </c>
      <c r="I747" s="9">
        <f>($K$2+0.02)*Tabla1[[#This Row],[PRECIO $]]*1.18</f>
        <v>16.425599999999999</v>
      </c>
      <c r="J747" s="7">
        <f>+Tabla1[[#This Row],[PRECIO EN SOLES]]-Tabla1[[#This Row],[PC]]</f>
        <v>4.4644000000000013</v>
      </c>
      <c r="K747" s="15"/>
      <c r="L747" s="15" t="str">
        <f>IF(
OR(
ISNUMBER(SEARCH("BACKPACK",B749)),
ISNUMBER(SEARCH("MOCHILA",B749)),
ISNUMBER(SEARCH("FUNDA",B749)),
ISNUMBER(SEARCH("ESTUCHE",B749)),
ISNUMBER(SEARCH("BOOK COVER",B749)),
ISNUMBER(SEARCH("KEYBOARD PARA TABLET",B749)),
ISNUMBER(SEARCH("FLIP TABLET",B749)),
ISNUMBER(SEARCH("CASE FOR TABLET",B749)),
ISNUMBER(SEARCH("CABLE",B749)),
ISNUMBER(SEARCH("ADAPTADOR",B749)),
ISNUMBER(SEARCH("HUB",B749)),
ISNUMBER(SEARCH("DOCK",B749)),
ISNUMBER(SEARCH("MOUSE PAD",B749)),
ISNUMBER(SEARCH("MOUSEPAD",B749)),
ISNUMBER(SEARCH("SOPORTE",B749)),
ISNUMBER(SEARCH("STAND",B749)),
ISNUMBER(SEARCH("TRAVEL ADAPTER",B749)),
ISNUMBER(SEARCH("RJ45",B749)),
ISNUMBER(SEARCH("USB-C",B749)),
ISNUMBER(SEARCH("USB WIFI",B749)),
ISNUMBER(SEARCH("POWERBANK",B749)),
ISNUMBER(SEARCH("CARGADOR",B749)),
ISNUMBER(SEARCH("COOLER PARA NB",B749)),
ISNUMBER(SEARCH("SOPORTE PARA NB",B749)),
ISNUMBER(SEARCH("WEBCAM",B749)),
ISNUMBER(SEARCH("WEB CAM",B749)),
ISNUMBER(SEARCH("MOUSE",B749)),
ISNUMBER(SEARCH("TECLADO",B749))
),
"COMPLEMENTO",
IF(
OR(
LEFT(A749,2)="NB",
LEFT(A749,2)="PC",
LEFT(A749,2)="WS",
LEFT(A749,2)="TB",
LEFT(A749,3)="CEL",
LEFT(A749,3)="MON",
LEFT(A749,3)="PRE",
LEFT(A749,3)="PRH",
ISNUMBER(SEARCH("NOTEBOOK",B749)),
ISNUMBER(SEARCH("LAPTOP",B749)),
ISNUMBER(SEARCH("MONITOR",B749)),
ISNUMBER(SEARCH("TABLET",B749)),
ISNUMBER(SEARCH("SMARTPH",B749)),
ISNUMBER(SEARCH("IMPRESORA",B749)),
ISNUMBER(SEARCH("MULTIFUNCIONAL",B749)),
ISNUMBER(SEARCH("AIO",B749))
),
"GANCHO",
"NORMAL"
)
)</f>
        <v>NORMAL</v>
      </c>
    </row>
    <row r="748" spans="1:12" x14ac:dyDescent="0.25">
      <c r="A748" s="3" t="s">
        <v>1477</v>
      </c>
      <c r="B748" s="3" t="s">
        <v>1478</v>
      </c>
      <c r="C748" s="1">
        <v>1</v>
      </c>
      <c r="D748" s="1">
        <v>70</v>
      </c>
      <c r="E748" s="1" t="s">
        <v>55</v>
      </c>
      <c r="F748" s="1" t="s">
        <v>3478</v>
      </c>
      <c r="G748" s="3"/>
      <c r="H748" s="11">
        <f>ROUND(
IF(L746="GANCHO",
   IF(I748&lt;=50,I748*1.1+4,IF(I748&lt;=120,I748*1.1+7,IF(I748&lt;=250,I748*1.1+11,I748*1.1+19))),
IF(L746="NORMAL",
   IF(I748&lt;=30,I748*1.15+2,IF(I748&lt;=80,I748*1.15+4,IF(I748&lt;=150,I748*1.15+6,I748*1.15+8))),
IF(L746="COMPLEMENTO",
   IF(I748&lt;=25,I748*1.25+1.5,IF(I748&lt;=60,I748*1.25+3,IF(I748&lt;=120,I748*1.25+4,I748*1.25+5))),
""))),2)</f>
        <v>338.57</v>
      </c>
      <c r="I748" s="9">
        <f>($K$2+0.02)*Tabla1[[#This Row],[PRECIO $]]*1.18</f>
        <v>287.44799999999998</v>
      </c>
      <c r="J748" s="7">
        <f>+Tabla1[[#This Row],[PRECIO EN SOLES]]-Tabla1[[#This Row],[PC]]</f>
        <v>51.122000000000014</v>
      </c>
      <c r="K748" s="15"/>
      <c r="L748" s="15" t="str">
        <f>IF(
OR(
ISNUMBER(SEARCH("BACKPACK",B750)),
ISNUMBER(SEARCH("MOCHILA",B750)),
ISNUMBER(SEARCH("FUNDA",B750)),
ISNUMBER(SEARCH("ESTUCHE",B750)),
ISNUMBER(SEARCH("BOOK COVER",B750)),
ISNUMBER(SEARCH("KEYBOARD PARA TABLET",B750)),
ISNUMBER(SEARCH("FLIP TABLET",B750)),
ISNUMBER(SEARCH("CASE FOR TABLET",B750)),
ISNUMBER(SEARCH("CABLE",B750)),
ISNUMBER(SEARCH("ADAPTADOR",B750)),
ISNUMBER(SEARCH("HUB",B750)),
ISNUMBER(SEARCH("DOCK",B750)),
ISNUMBER(SEARCH("MOUSE PAD",B750)),
ISNUMBER(SEARCH("MOUSEPAD",B750)),
ISNUMBER(SEARCH("SOPORTE",B750)),
ISNUMBER(SEARCH("STAND",B750)),
ISNUMBER(SEARCH("TRAVEL ADAPTER",B750)),
ISNUMBER(SEARCH("RJ45",B750)),
ISNUMBER(SEARCH("USB-C",B750)),
ISNUMBER(SEARCH("USB WIFI",B750)),
ISNUMBER(SEARCH("POWERBANK",B750)),
ISNUMBER(SEARCH("CARGADOR",B750)),
ISNUMBER(SEARCH("COOLER PARA NB",B750)),
ISNUMBER(SEARCH("SOPORTE PARA NB",B750)),
ISNUMBER(SEARCH("WEBCAM",B750)),
ISNUMBER(SEARCH("WEB CAM",B750)),
ISNUMBER(SEARCH("MOUSE",B750)),
ISNUMBER(SEARCH("TECLADO",B750))
),
"COMPLEMENTO",
IF(
OR(
LEFT(A750,2)="NB",
LEFT(A750,2)="PC",
LEFT(A750,2)="WS",
LEFT(A750,2)="TB",
LEFT(A750,3)="CEL",
LEFT(A750,3)="MON",
LEFT(A750,3)="PRE",
LEFT(A750,3)="PRH",
ISNUMBER(SEARCH("NOTEBOOK",B750)),
ISNUMBER(SEARCH("LAPTOP",B750)),
ISNUMBER(SEARCH("MONITOR",B750)),
ISNUMBER(SEARCH("TABLET",B750)),
ISNUMBER(SEARCH("SMARTPH",B750)),
ISNUMBER(SEARCH("IMPRESORA",B750)),
ISNUMBER(SEARCH("MULTIFUNCIONAL",B750)),
ISNUMBER(SEARCH("AIO",B750))
),
"GANCHO",
"NORMAL"
)
)</f>
        <v>NORMAL</v>
      </c>
    </row>
    <row r="749" spans="1:12" x14ac:dyDescent="0.25">
      <c r="A749" s="3" t="s">
        <v>1479</v>
      </c>
      <c r="B749" s="3" t="s">
        <v>1480</v>
      </c>
      <c r="C749" s="1">
        <v>7</v>
      </c>
      <c r="D749" s="1">
        <v>200</v>
      </c>
      <c r="E749" s="1" t="s">
        <v>55</v>
      </c>
      <c r="F749" s="1" t="s">
        <v>3479</v>
      </c>
      <c r="G749" s="3"/>
      <c r="H749" s="11">
        <f>ROUND(
IF(L747="GANCHO",
   IF(I749&lt;=50,I749*1.1+4,IF(I749&lt;=120,I749*1.1+7,IF(I749&lt;=250,I749*1.1+11,I749*1.1+19))),
IF(L747="NORMAL",
   IF(I749&lt;=30,I749*1.15+2,IF(I749&lt;=80,I749*1.15+4,IF(I749&lt;=150,I749*1.15+6,I749*1.15+8))),
IF(L747="COMPLEMENTO",
   IF(I749&lt;=25,I749*1.25+1.5,IF(I749&lt;=60,I749*1.25+3,IF(I749&lt;=120,I749*1.25+4,I749*1.25+5))),
""))),2)</f>
        <v>952.47</v>
      </c>
      <c r="I749" s="9">
        <f>($K$2+0.02)*Tabla1[[#This Row],[PRECIO $]]*1.18</f>
        <v>821.28</v>
      </c>
      <c r="J749" s="7">
        <f>+Tabla1[[#This Row],[PRECIO EN SOLES]]-Tabla1[[#This Row],[PC]]</f>
        <v>131.19000000000005</v>
      </c>
      <c r="K749" s="15"/>
      <c r="L749" s="15" t="str">
        <f>IF(
OR(
ISNUMBER(SEARCH("BACKPACK",B751)),
ISNUMBER(SEARCH("MOCHILA",B751)),
ISNUMBER(SEARCH("FUNDA",B751)),
ISNUMBER(SEARCH("ESTUCHE",B751)),
ISNUMBER(SEARCH("BOOK COVER",B751)),
ISNUMBER(SEARCH("KEYBOARD PARA TABLET",B751)),
ISNUMBER(SEARCH("FLIP TABLET",B751)),
ISNUMBER(SEARCH("CASE FOR TABLET",B751)),
ISNUMBER(SEARCH("CABLE",B751)),
ISNUMBER(SEARCH("ADAPTADOR",B751)),
ISNUMBER(SEARCH("HUB",B751)),
ISNUMBER(SEARCH("DOCK",B751)),
ISNUMBER(SEARCH("MOUSE PAD",B751)),
ISNUMBER(SEARCH("MOUSEPAD",B751)),
ISNUMBER(SEARCH("SOPORTE",B751)),
ISNUMBER(SEARCH("STAND",B751)),
ISNUMBER(SEARCH("TRAVEL ADAPTER",B751)),
ISNUMBER(SEARCH("RJ45",B751)),
ISNUMBER(SEARCH("USB-C",B751)),
ISNUMBER(SEARCH("USB WIFI",B751)),
ISNUMBER(SEARCH("POWERBANK",B751)),
ISNUMBER(SEARCH("CARGADOR",B751)),
ISNUMBER(SEARCH("COOLER PARA NB",B751)),
ISNUMBER(SEARCH("SOPORTE PARA NB",B751)),
ISNUMBER(SEARCH("WEBCAM",B751)),
ISNUMBER(SEARCH("WEB CAM",B751)),
ISNUMBER(SEARCH("MOUSE",B751)),
ISNUMBER(SEARCH("TECLADO",B751))
),
"COMPLEMENTO",
IF(
OR(
LEFT(A751,2)="NB",
LEFT(A751,2)="PC",
LEFT(A751,2)="WS",
LEFT(A751,2)="TB",
LEFT(A751,3)="CEL",
LEFT(A751,3)="MON",
LEFT(A751,3)="PRE",
LEFT(A751,3)="PRH",
ISNUMBER(SEARCH("NOTEBOOK",B751)),
ISNUMBER(SEARCH("LAPTOP",B751)),
ISNUMBER(SEARCH("MONITOR",B751)),
ISNUMBER(SEARCH("TABLET",B751)),
ISNUMBER(SEARCH("SMARTPH",B751)),
ISNUMBER(SEARCH("IMPRESORA",B751)),
ISNUMBER(SEARCH("MULTIFUNCIONAL",B751)),
ISNUMBER(SEARCH("AIO",B751))
),
"GANCHO",
"NORMAL"
)
)</f>
        <v>NORMAL</v>
      </c>
    </row>
    <row r="750" spans="1:12" x14ac:dyDescent="0.25">
      <c r="A750" s="3" t="s">
        <v>1481</v>
      </c>
      <c r="B750" s="3" t="s">
        <v>1482</v>
      </c>
      <c r="C750" s="1">
        <v>13</v>
      </c>
      <c r="D750" s="1">
        <v>200</v>
      </c>
      <c r="E750" s="1" t="s">
        <v>55</v>
      </c>
      <c r="F750" s="1" t="s">
        <v>3480</v>
      </c>
      <c r="G750" s="3"/>
      <c r="H750" s="11">
        <f>ROUND(
IF(L748="GANCHO",
   IF(I750&lt;=50,I750*1.1+4,IF(I750&lt;=120,I750*1.1+7,IF(I750&lt;=250,I750*1.1+11,I750*1.1+19))),
IF(L748="NORMAL",
   IF(I750&lt;=30,I750*1.15+2,IF(I750&lt;=80,I750*1.15+4,IF(I750&lt;=150,I750*1.15+6,I750*1.15+8))),
IF(L748="COMPLEMENTO",
   IF(I750&lt;=25,I750*1.25+1.5,IF(I750&lt;=60,I750*1.25+3,IF(I750&lt;=120,I750*1.25+4,I750*1.25+5))),
""))),2)</f>
        <v>952.47</v>
      </c>
      <c r="I750" s="9">
        <f>($K$2+0.02)*Tabla1[[#This Row],[PRECIO $]]*1.18</f>
        <v>821.28</v>
      </c>
      <c r="J750" s="7">
        <f>+Tabla1[[#This Row],[PRECIO EN SOLES]]-Tabla1[[#This Row],[PC]]</f>
        <v>131.19000000000005</v>
      </c>
      <c r="K750" s="15"/>
      <c r="L750" s="15" t="str">
        <f>IF(
OR(
ISNUMBER(SEARCH("BACKPACK",B752)),
ISNUMBER(SEARCH("MOCHILA",B752)),
ISNUMBER(SEARCH("FUNDA",B752)),
ISNUMBER(SEARCH("ESTUCHE",B752)),
ISNUMBER(SEARCH("BOOK COVER",B752)),
ISNUMBER(SEARCH("KEYBOARD PARA TABLET",B752)),
ISNUMBER(SEARCH("FLIP TABLET",B752)),
ISNUMBER(SEARCH("CASE FOR TABLET",B752)),
ISNUMBER(SEARCH("CABLE",B752)),
ISNUMBER(SEARCH("ADAPTADOR",B752)),
ISNUMBER(SEARCH("HUB",B752)),
ISNUMBER(SEARCH("DOCK",B752)),
ISNUMBER(SEARCH("MOUSE PAD",B752)),
ISNUMBER(SEARCH("MOUSEPAD",B752)),
ISNUMBER(SEARCH("SOPORTE",B752)),
ISNUMBER(SEARCH("STAND",B752)),
ISNUMBER(SEARCH("TRAVEL ADAPTER",B752)),
ISNUMBER(SEARCH("RJ45",B752)),
ISNUMBER(SEARCH("USB-C",B752)),
ISNUMBER(SEARCH("USB WIFI",B752)),
ISNUMBER(SEARCH("POWERBANK",B752)),
ISNUMBER(SEARCH("CARGADOR",B752)),
ISNUMBER(SEARCH("COOLER PARA NB",B752)),
ISNUMBER(SEARCH("SOPORTE PARA NB",B752)),
ISNUMBER(SEARCH("WEBCAM",B752)),
ISNUMBER(SEARCH("WEB CAM",B752)),
ISNUMBER(SEARCH("MOUSE",B752)),
ISNUMBER(SEARCH("TECLADO",B752))
),
"COMPLEMENTO",
IF(
OR(
LEFT(A752,2)="NB",
LEFT(A752,2)="PC",
LEFT(A752,2)="WS",
LEFT(A752,2)="TB",
LEFT(A752,3)="CEL",
LEFT(A752,3)="MON",
LEFT(A752,3)="PRE",
LEFT(A752,3)="PRH",
ISNUMBER(SEARCH("NOTEBOOK",B752)),
ISNUMBER(SEARCH("LAPTOP",B752)),
ISNUMBER(SEARCH("MONITOR",B752)),
ISNUMBER(SEARCH("TABLET",B752)),
ISNUMBER(SEARCH("SMARTPH",B752)),
ISNUMBER(SEARCH("IMPRESORA",B752)),
ISNUMBER(SEARCH("MULTIFUNCIONAL",B752)),
ISNUMBER(SEARCH("AIO",B752))
),
"GANCHO",
"NORMAL"
)
)</f>
        <v>NORMAL</v>
      </c>
    </row>
    <row r="751" spans="1:12" x14ac:dyDescent="0.25">
      <c r="A751" s="3" t="s">
        <v>1483</v>
      </c>
      <c r="B751" s="3" t="s">
        <v>1484</v>
      </c>
      <c r="C751" s="1">
        <v>1</v>
      </c>
      <c r="D751" s="1">
        <v>200</v>
      </c>
      <c r="E751" s="1" t="s">
        <v>55</v>
      </c>
      <c r="F751" s="1" t="s">
        <v>3481</v>
      </c>
      <c r="G751" s="3"/>
      <c r="H751" s="11">
        <f>ROUND(
IF(L749="GANCHO",
   IF(I751&lt;=50,I751*1.1+4,IF(I751&lt;=120,I751*1.1+7,IF(I751&lt;=250,I751*1.1+11,I751*1.1+19))),
IF(L749="NORMAL",
   IF(I751&lt;=30,I751*1.15+2,IF(I751&lt;=80,I751*1.15+4,IF(I751&lt;=150,I751*1.15+6,I751*1.15+8))),
IF(L749="COMPLEMENTO",
   IF(I751&lt;=25,I751*1.25+1.5,IF(I751&lt;=60,I751*1.25+3,IF(I751&lt;=120,I751*1.25+4,I751*1.25+5))),
""))),2)</f>
        <v>952.47</v>
      </c>
      <c r="I751" s="9">
        <f>($K$2+0.02)*Tabla1[[#This Row],[PRECIO $]]*1.18</f>
        <v>821.28</v>
      </c>
      <c r="J751" s="7">
        <f>+Tabla1[[#This Row],[PRECIO EN SOLES]]-Tabla1[[#This Row],[PC]]</f>
        <v>131.19000000000005</v>
      </c>
      <c r="K751" s="15"/>
      <c r="L751" s="15" t="str">
        <f>IF(
OR(
ISNUMBER(SEARCH("BACKPACK",B753)),
ISNUMBER(SEARCH("MOCHILA",B753)),
ISNUMBER(SEARCH("FUNDA",B753)),
ISNUMBER(SEARCH("ESTUCHE",B753)),
ISNUMBER(SEARCH("BOOK COVER",B753)),
ISNUMBER(SEARCH("KEYBOARD PARA TABLET",B753)),
ISNUMBER(SEARCH("FLIP TABLET",B753)),
ISNUMBER(SEARCH("CASE FOR TABLET",B753)),
ISNUMBER(SEARCH("CABLE",B753)),
ISNUMBER(SEARCH("ADAPTADOR",B753)),
ISNUMBER(SEARCH("HUB",B753)),
ISNUMBER(SEARCH("DOCK",B753)),
ISNUMBER(SEARCH("MOUSE PAD",B753)),
ISNUMBER(SEARCH("MOUSEPAD",B753)),
ISNUMBER(SEARCH("SOPORTE",B753)),
ISNUMBER(SEARCH("STAND",B753)),
ISNUMBER(SEARCH("TRAVEL ADAPTER",B753)),
ISNUMBER(SEARCH("RJ45",B753)),
ISNUMBER(SEARCH("USB-C",B753)),
ISNUMBER(SEARCH("USB WIFI",B753)),
ISNUMBER(SEARCH("POWERBANK",B753)),
ISNUMBER(SEARCH("CARGADOR",B753)),
ISNUMBER(SEARCH("COOLER PARA NB",B753)),
ISNUMBER(SEARCH("SOPORTE PARA NB",B753)),
ISNUMBER(SEARCH("WEBCAM",B753)),
ISNUMBER(SEARCH("WEB CAM",B753)),
ISNUMBER(SEARCH("MOUSE",B753)),
ISNUMBER(SEARCH("TECLADO",B753))
),
"COMPLEMENTO",
IF(
OR(
LEFT(A753,2)="NB",
LEFT(A753,2)="PC",
LEFT(A753,2)="WS",
LEFT(A753,2)="TB",
LEFT(A753,3)="CEL",
LEFT(A753,3)="MON",
LEFT(A753,3)="PRE",
LEFT(A753,3)="PRH",
ISNUMBER(SEARCH("NOTEBOOK",B753)),
ISNUMBER(SEARCH("LAPTOP",B753)),
ISNUMBER(SEARCH("MONITOR",B753)),
ISNUMBER(SEARCH("TABLET",B753)),
ISNUMBER(SEARCH("SMARTPH",B753)),
ISNUMBER(SEARCH("IMPRESORA",B753)),
ISNUMBER(SEARCH("MULTIFUNCIONAL",B753)),
ISNUMBER(SEARCH("AIO",B753))
),
"GANCHO",
"NORMAL"
)
)</f>
        <v>NORMAL</v>
      </c>
    </row>
    <row r="752" spans="1:12" x14ac:dyDescent="0.25">
      <c r="A752" s="3" t="s">
        <v>1485</v>
      </c>
      <c r="B752" s="3" t="s">
        <v>1486</v>
      </c>
      <c r="C752" s="1">
        <v>20</v>
      </c>
      <c r="D752" s="1">
        <v>50</v>
      </c>
      <c r="E752" s="1" t="s">
        <v>54</v>
      </c>
      <c r="F752" s="1" t="s">
        <v>3482</v>
      </c>
      <c r="G752" s="3"/>
      <c r="H752" s="11">
        <f>ROUND(
IF(L750="GANCHO",
   IF(I752&lt;=50,I752*1.1+4,IF(I752&lt;=120,I752*1.1+7,IF(I752&lt;=250,I752*1.1+11,I752*1.1+19))),
IF(L750="NORMAL",
   IF(I752&lt;=30,I752*1.15+2,IF(I752&lt;=80,I752*1.15+4,IF(I752&lt;=150,I752*1.15+6,I752*1.15+8))),
IF(L750="COMPLEMENTO",
   IF(I752&lt;=25,I752*1.25+1.5,IF(I752&lt;=60,I752*1.25+3,IF(I752&lt;=120,I752*1.25+4,I752*1.25+5))),
""))),2)</f>
        <v>244.12</v>
      </c>
      <c r="I752" s="9">
        <f>($K$2+0.02)*Tabla1[[#This Row],[PRECIO $]]*1.18</f>
        <v>205.32</v>
      </c>
      <c r="J752" s="7">
        <f>+Tabla1[[#This Row],[PRECIO EN SOLES]]-Tabla1[[#This Row],[PC]]</f>
        <v>38.800000000000011</v>
      </c>
      <c r="K752" s="15"/>
      <c r="L752" s="15" t="str">
        <f>IF(
OR(
ISNUMBER(SEARCH("BACKPACK",B754)),
ISNUMBER(SEARCH("MOCHILA",B754)),
ISNUMBER(SEARCH("FUNDA",B754)),
ISNUMBER(SEARCH("ESTUCHE",B754)),
ISNUMBER(SEARCH("BOOK COVER",B754)),
ISNUMBER(SEARCH("KEYBOARD PARA TABLET",B754)),
ISNUMBER(SEARCH("FLIP TABLET",B754)),
ISNUMBER(SEARCH("CASE FOR TABLET",B754)),
ISNUMBER(SEARCH("CABLE",B754)),
ISNUMBER(SEARCH("ADAPTADOR",B754)),
ISNUMBER(SEARCH("HUB",B754)),
ISNUMBER(SEARCH("DOCK",B754)),
ISNUMBER(SEARCH("MOUSE PAD",B754)),
ISNUMBER(SEARCH("MOUSEPAD",B754)),
ISNUMBER(SEARCH("SOPORTE",B754)),
ISNUMBER(SEARCH("STAND",B754)),
ISNUMBER(SEARCH("TRAVEL ADAPTER",B754)),
ISNUMBER(SEARCH("RJ45",B754)),
ISNUMBER(SEARCH("USB-C",B754)),
ISNUMBER(SEARCH("USB WIFI",B754)),
ISNUMBER(SEARCH("POWERBANK",B754)),
ISNUMBER(SEARCH("CARGADOR",B754)),
ISNUMBER(SEARCH("COOLER PARA NB",B754)),
ISNUMBER(SEARCH("SOPORTE PARA NB",B754)),
ISNUMBER(SEARCH("WEBCAM",B754)),
ISNUMBER(SEARCH("WEB CAM",B754)),
ISNUMBER(SEARCH("MOUSE",B754)),
ISNUMBER(SEARCH("TECLADO",B754))
),
"COMPLEMENTO",
IF(
OR(
LEFT(A754,2)="NB",
LEFT(A754,2)="PC",
LEFT(A754,2)="WS",
LEFT(A754,2)="TB",
LEFT(A754,3)="CEL",
LEFT(A754,3)="MON",
LEFT(A754,3)="PRE",
LEFT(A754,3)="PRH",
ISNUMBER(SEARCH("NOTEBOOK",B754)),
ISNUMBER(SEARCH("LAPTOP",B754)),
ISNUMBER(SEARCH("MONITOR",B754)),
ISNUMBER(SEARCH("TABLET",B754)),
ISNUMBER(SEARCH("SMARTPH",B754)),
ISNUMBER(SEARCH("IMPRESORA",B754)),
ISNUMBER(SEARCH("MULTIFUNCIONAL",B754)),
ISNUMBER(SEARCH("AIO",B754))
),
"GANCHO",
"NORMAL"
)
)</f>
        <v>NORMAL</v>
      </c>
    </row>
    <row r="753" spans="1:12" x14ac:dyDescent="0.25">
      <c r="A753" s="3" t="s">
        <v>1487</v>
      </c>
      <c r="B753" s="3" t="s">
        <v>1488</v>
      </c>
      <c r="C753" s="1">
        <v>0</v>
      </c>
      <c r="D753" s="1">
        <v>5</v>
      </c>
      <c r="E753" s="1" t="s">
        <v>55</v>
      </c>
      <c r="F753" s="1" t="s">
        <v>3483</v>
      </c>
      <c r="G753" s="3"/>
      <c r="H753" s="11">
        <f>ROUND(
IF(L751="GANCHO",
   IF(I753&lt;=50,I753*1.1+4,IF(I753&lt;=120,I753*1.1+7,IF(I753&lt;=250,I753*1.1+11,I753*1.1+19))),
IF(L751="NORMAL",
   IF(I753&lt;=30,I753*1.15+2,IF(I753&lt;=80,I753*1.15+4,IF(I753&lt;=150,I753*1.15+6,I753*1.15+8))),
IF(L751="COMPLEMENTO",
   IF(I753&lt;=25,I753*1.25+1.5,IF(I753&lt;=60,I753*1.25+3,IF(I753&lt;=120,I753*1.25+4,I753*1.25+5))),
""))),2)</f>
        <v>25.61</v>
      </c>
      <c r="I753" s="9">
        <f>($K$2+0.02)*Tabla1[[#This Row],[PRECIO $]]*1.18</f>
        <v>20.531999999999996</v>
      </c>
      <c r="J753" s="7">
        <f>+Tabla1[[#This Row],[PRECIO EN SOLES]]-Tabla1[[#This Row],[PC]]</f>
        <v>5.078000000000003</v>
      </c>
      <c r="K753" s="15"/>
      <c r="L753" s="15" t="str">
        <f>IF(
OR(
ISNUMBER(SEARCH("BACKPACK",B755)),
ISNUMBER(SEARCH("MOCHILA",B755)),
ISNUMBER(SEARCH("FUNDA",B755)),
ISNUMBER(SEARCH("ESTUCHE",B755)),
ISNUMBER(SEARCH("BOOK COVER",B755)),
ISNUMBER(SEARCH("KEYBOARD PARA TABLET",B755)),
ISNUMBER(SEARCH("FLIP TABLET",B755)),
ISNUMBER(SEARCH("CASE FOR TABLET",B755)),
ISNUMBER(SEARCH("CABLE",B755)),
ISNUMBER(SEARCH("ADAPTADOR",B755)),
ISNUMBER(SEARCH("HUB",B755)),
ISNUMBER(SEARCH("DOCK",B755)),
ISNUMBER(SEARCH("MOUSE PAD",B755)),
ISNUMBER(SEARCH("MOUSEPAD",B755)),
ISNUMBER(SEARCH("SOPORTE",B755)),
ISNUMBER(SEARCH("STAND",B755)),
ISNUMBER(SEARCH("TRAVEL ADAPTER",B755)),
ISNUMBER(SEARCH("RJ45",B755)),
ISNUMBER(SEARCH("USB-C",B755)),
ISNUMBER(SEARCH("USB WIFI",B755)),
ISNUMBER(SEARCH("POWERBANK",B755)),
ISNUMBER(SEARCH("CARGADOR",B755)),
ISNUMBER(SEARCH("COOLER PARA NB",B755)),
ISNUMBER(SEARCH("SOPORTE PARA NB",B755)),
ISNUMBER(SEARCH("WEBCAM",B755)),
ISNUMBER(SEARCH("WEB CAM",B755)),
ISNUMBER(SEARCH("MOUSE",B755)),
ISNUMBER(SEARCH("TECLADO",B755))
),
"COMPLEMENTO",
IF(
OR(
LEFT(A755,2)="NB",
LEFT(A755,2)="PC",
LEFT(A755,2)="WS",
LEFT(A755,2)="TB",
LEFT(A755,3)="CEL",
LEFT(A755,3)="MON",
LEFT(A755,3)="PRE",
LEFT(A755,3)="PRH",
ISNUMBER(SEARCH("NOTEBOOK",B755)),
ISNUMBER(SEARCH("LAPTOP",B755)),
ISNUMBER(SEARCH("MONITOR",B755)),
ISNUMBER(SEARCH("TABLET",B755)),
ISNUMBER(SEARCH("SMARTPH",B755)),
ISNUMBER(SEARCH("IMPRESORA",B755)),
ISNUMBER(SEARCH("MULTIFUNCIONAL",B755)),
ISNUMBER(SEARCH("AIO",B755))
),
"GANCHO",
"NORMAL"
)
)</f>
        <v>NORMAL</v>
      </c>
    </row>
    <row r="754" spans="1:12" x14ac:dyDescent="0.25">
      <c r="A754" s="3" t="s">
        <v>6592</v>
      </c>
      <c r="B754" s="3" t="s">
        <v>6593</v>
      </c>
      <c r="C754" s="1">
        <v>20</v>
      </c>
      <c r="D754" s="1">
        <v>50</v>
      </c>
      <c r="E754" s="1" t="s">
        <v>54</v>
      </c>
      <c r="F754" s="1" t="s">
        <v>6594</v>
      </c>
      <c r="G754" s="3"/>
      <c r="H754" s="11">
        <f>ROUND(
IF(L752="GANCHO",
   IF(I754&lt;=50,I754*1.1+4,IF(I754&lt;=120,I754*1.1+7,IF(I754&lt;=250,I754*1.1+11,I754*1.1+19))),
IF(L752="NORMAL",
   IF(I754&lt;=30,I754*1.15+2,IF(I754&lt;=80,I754*1.15+4,IF(I754&lt;=150,I754*1.15+6,I754*1.15+8))),
IF(L752="COMPLEMENTO",
   IF(I754&lt;=25,I754*1.25+1.5,IF(I754&lt;=60,I754*1.25+3,IF(I754&lt;=120,I754*1.25+4,I754*1.25+5))),
""))),2)</f>
        <v>244.12</v>
      </c>
      <c r="I754" s="9">
        <f>($K$2+0.02)*Tabla1[[#This Row],[PRECIO $]]*1.18</f>
        <v>205.32</v>
      </c>
      <c r="J754" s="7">
        <f>+Tabla1[[#This Row],[PRECIO EN SOLES]]-Tabla1[[#This Row],[PC]]</f>
        <v>38.800000000000011</v>
      </c>
      <c r="K754" s="15"/>
      <c r="L754" s="15" t="str">
        <f>IF(
OR(
ISNUMBER(SEARCH("BACKPACK",B756)),
ISNUMBER(SEARCH("MOCHILA",B756)),
ISNUMBER(SEARCH("FUNDA",B756)),
ISNUMBER(SEARCH("ESTUCHE",B756)),
ISNUMBER(SEARCH("BOOK COVER",B756)),
ISNUMBER(SEARCH("KEYBOARD PARA TABLET",B756)),
ISNUMBER(SEARCH("FLIP TABLET",B756)),
ISNUMBER(SEARCH("CASE FOR TABLET",B756)),
ISNUMBER(SEARCH("CABLE",B756)),
ISNUMBER(SEARCH("ADAPTADOR",B756)),
ISNUMBER(SEARCH("HUB",B756)),
ISNUMBER(SEARCH("DOCK",B756)),
ISNUMBER(SEARCH("MOUSE PAD",B756)),
ISNUMBER(SEARCH("MOUSEPAD",B756)),
ISNUMBER(SEARCH("SOPORTE",B756)),
ISNUMBER(SEARCH("STAND",B756)),
ISNUMBER(SEARCH("TRAVEL ADAPTER",B756)),
ISNUMBER(SEARCH("RJ45",B756)),
ISNUMBER(SEARCH("USB-C",B756)),
ISNUMBER(SEARCH("USB WIFI",B756)),
ISNUMBER(SEARCH("POWERBANK",B756)),
ISNUMBER(SEARCH("CARGADOR",B756)),
ISNUMBER(SEARCH("COOLER PARA NB",B756)),
ISNUMBER(SEARCH("SOPORTE PARA NB",B756)),
ISNUMBER(SEARCH("WEBCAM",B756)),
ISNUMBER(SEARCH("WEB CAM",B756)),
ISNUMBER(SEARCH("MOUSE",B756)),
ISNUMBER(SEARCH("TECLADO",B756))
),
"COMPLEMENTO",
IF(
OR(
LEFT(A756,2)="NB",
LEFT(A756,2)="PC",
LEFT(A756,2)="WS",
LEFT(A756,2)="TB",
LEFT(A756,3)="CEL",
LEFT(A756,3)="MON",
LEFT(A756,3)="PRE",
LEFT(A756,3)="PRH",
ISNUMBER(SEARCH("NOTEBOOK",B756)),
ISNUMBER(SEARCH("LAPTOP",B756)),
ISNUMBER(SEARCH("MONITOR",B756)),
ISNUMBER(SEARCH("TABLET",B756)),
ISNUMBER(SEARCH("SMARTPH",B756)),
ISNUMBER(SEARCH("IMPRESORA",B756)),
ISNUMBER(SEARCH("MULTIFUNCIONAL",B756)),
ISNUMBER(SEARCH("AIO",B756))
),
"GANCHO",
"NORMAL"
)
)</f>
        <v>NORMAL</v>
      </c>
    </row>
    <row r="755" spans="1:12" x14ac:dyDescent="0.25">
      <c r="A755" s="3" t="s">
        <v>6595</v>
      </c>
      <c r="B755" s="3" t="s">
        <v>6596</v>
      </c>
      <c r="C755" s="1">
        <v>20</v>
      </c>
      <c r="D755" s="1">
        <v>50</v>
      </c>
      <c r="E755" s="1" t="s">
        <v>55</v>
      </c>
      <c r="F755" s="1" t="s">
        <v>6597</v>
      </c>
      <c r="G755" s="3"/>
      <c r="H755" s="11">
        <f>ROUND(
IF(L753="GANCHO",
   IF(I755&lt;=50,I755*1.1+4,IF(I755&lt;=120,I755*1.1+7,IF(I755&lt;=250,I755*1.1+11,I755*1.1+19))),
IF(L753="NORMAL",
   IF(I755&lt;=30,I755*1.15+2,IF(I755&lt;=80,I755*1.15+4,IF(I755&lt;=150,I755*1.15+6,I755*1.15+8))),
IF(L753="COMPLEMENTO",
   IF(I755&lt;=25,I755*1.25+1.5,IF(I755&lt;=60,I755*1.25+3,IF(I755&lt;=120,I755*1.25+4,I755*1.25+5))),
""))),2)</f>
        <v>244.12</v>
      </c>
      <c r="I755" s="9">
        <f>($K$2+0.02)*Tabla1[[#This Row],[PRECIO $]]*1.18</f>
        <v>205.32</v>
      </c>
      <c r="J755" s="7">
        <f>+Tabla1[[#This Row],[PRECIO EN SOLES]]-Tabla1[[#This Row],[PC]]</f>
        <v>38.800000000000011</v>
      </c>
      <c r="K755" s="15"/>
      <c r="L755" s="15" t="str">
        <f>IF(
OR(
ISNUMBER(SEARCH("BACKPACK",B757)),
ISNUMBER(SEARCH("MOCHILA",B757)),
ISNUMBER(SEARCH("FUNDA",B757)),
ISNUMBER(SEARCH("ESTUCHE",B757)),
ISNUMBER(SEARCH("BOOK COVER",B757)),
ISNUMBER(SEARCH("KEYBOARD PARA TABLET",B757)),
ISNUMBER(SEARCH("FLIP TABLET",B757)),
ISNUMBER(SEARCH("CASE FOR TABLET",B757)),
ISNUMBER(SEARCH("CABLE",B757)),
ISNUMBER(SEARCH("ADAPTADOR",B757)),
ISNUMBER(SEARCH("HUB",B757)),
ISNUMBER(SEARCH("DOCK",B757)),
ISNUMBER(SEARCH("MOUSE PAD",B757)),
ISNUMBER(SEARCH("MOUSEPAD",B757)),
ISNUMBER(SEARCH("SOPORTE",B757)),
ISNUMBER(SEARCH("STAND",B757)),
ISNUMBER(SEARCH("TRAVEL ADAPTER",B757)),
ISNUMBER(SEARCH("RJ45",B757)),
ISNUMBER(SEARCH("USB-C",B757)),
ISNUMBER(SEARCH("USB WIFI",B757)),
ISNUMBER(SEARCH("POWERBANK",B757)),
ISNUMBER(SEARCH("CARGADOR",B757)),
ISNUMBER(SEARCH("COOLER PARA NB",B757)),
ISNUMBER(SEARCH("SOPORTE PARA NB",B757)),
ISNUMBER(SEARCH("WEBCAM",B757)),
ISNUMBER(SEARCH("WEB CAM",B757)),
ISNUMBER(SEARCH("MOUSE",B757)),
ISNUMBER(SEARCH("TECLADO",B757))
),
"COMPLEMENTO",
IF(
OR(
LEFT(A757,2)="NB",
LEFT(A757,2)="PC",
LEFT(A757,2)="WS",
LEFT(A757,2)="TB",
LEFT(A757,3)="CEL",
LEFT(A757,3)="MON",
LEFT(A757,3)="PRE",
LEFT(A757,3)="PRH",
ISNUMBER(SEARCH("NOTEBOOK",B757)),
ISNUMBER(SEARCH("LAPTOP",B757)),
ISNUMBER(SEARCH("MONITOR",B757)),
ISNUMBER(SEARCH("TABLET",B757)),
ISNUMBER(SEARCH("SMARTPH",B757)),
ISNUMBER(SEARCH("IMPRESORA",B757)),
ISNUMBER(SEARCH("MULTIFUNCIONAL",B757)),
ISNUMBER(SEARCH("AIO",B757))
),
"GANCHO",
"NORMAL"
)
)</f>
        <v>NORMAL</v>
      </c>
    </row>
    <row r="756" spans="1:12" x14ac:dyDescent="0.25">
      <c r="A756" s="3" t="s">
        <v>6598</v>
      </c>
      <c r="B756" s="3" t="s">
        <v>6599</v>
      </c>
      <c r="C756" s="1">
        <v>20</v>
      </c>
      <c r="D756" s="1">
        <v>50</v>
      </c>
      <c r="E756" s="1" t="s">
        <v>52</v>
      </c>
      <c r="F756" s="1" t="s">
        <v>6600</v>
      </c>
      <c r="G756" s="3"/>
      <c r="H756" s="11">
        <f>ROUND(
IF(L754="GANCHO",
   IF(I756&lt;=50,I756*1.1+4,IF(I756&lt;=120,I756*1.1+7,IF(I756&lt;=250,I756*1.1+11,I756*1.1+19))),
IF(L754="NORMAL",
   IF(I756&lt;=30,I756*1.15+2,IF(I756&lt;=80,I756*1.15+4,IF(I756&lt;=150,I756*1.15+6,I756*1.15+8))),
IF(L754="COMPLEMENTO",
   IF(I756&lt;=25,I756*1.25+1.5,IF(I756&lt;=60,I756*1.25+3,IF(I756&lt;=120,I756*1.25+4,I756*1.25+5))),
""))),2)</f>
        <v>244.12</v>
      </c>
      <c r="I756" s="9">
        <f>($K$2+0.02)*Tabla1[[#This Row],[PRECIO $]]*1.18</f>
        <v>205.32</v>
      </c>
      <c r="J756" s="7">
        <f>+Tabla1[[#This Row],[PRECIO EN SOLES]]-Tabla1[[#This Row],[PC]]</f>
        <v>38.800000000000011</v>
      </c>
      <c r="K756" s="15"/>
      <c r="L756" s="15" t="str">
        <f>IF(
OR(
ISNUMBER(SEARCH("BACKPACK",B758)),
ISNUMBER(SEARCH("MOCHILA",B758)),
ISNUMBER(SEARCH("FUNDA",B758)),
ISNUMBER(SEARCH("ESTUCHE",B758)),
ISNUMBER(SEARCH("BOOK COVER",B758)),
ISNUMBER(SEARCH("KEYBOARD PARA TABLET",B758)),
ISNUMBER(SEARCH("FLIP TABLET",B758)),
ISNUMBER(SEARCH("CASE FOR TABLET",B758)),
ISNUMBER(SEARCH("CABLE",B758)),
ISNUMBER(SEARCH("ADAPTADOR",B758)),
ISNUMBER(SEARCH("HUB",B758)),
ISNUMBER(SEARCH("DOCK",B758)),
ISNUMBER(SEARCH("MOUSE PAD",B758)),
ISNUMBER(SEARCH("MOUSEPAD",B758)),
ISNUMBER(SEARCH("SOPORTE",B758)),
ISNUMBER(SEARCH("STAND",B758)),
ISNUMBER(SEARCH("TRAVEL ADAPTER",B758)),
ISNUMBER(SEARCH("RJ45",B758)),
ISNUMBER(SEARCH("USB-C",B758)),
ISNUMBER(SEARCH("USB WIFI",B758)),
ISNUMBER(SEARCH("POWERBANK",B758)),
ISNUMBER(SEARCH("CARGADOR",B758)),
ISNUMBER(SEARCH("COOLER PARA NB",B758)),
ISNUMBER(SEARCH("SOPORTE PARA NB",B758)),
ISNUMBER(SEARCH("WEBCAM",B758)),
ISNUMBER(SEARCH("WEB CAM",B758)),
ISNUMBER(SEARCH("MOUSE",B758)),
ISNUMBER(SEARCH("TECLADO",B758))
),
"COMPLEMENTO",
IF(
OR(
LEFT(A758,2)="NB",
LEFT(A758,2)="PC",
LEFT(A758,2)="WS",
LEFT(A758,2)="TB",
LEFT(A758,3)="CEL",
LEFT(A758,3)="MON",
LEFT(A758,3)="PRE",
LEFT(A758,3)="PRH",
ISNUMBER(SEARCH("NOTEBOOK",B758)),
ISNUMBER(SEARCH("LAPTOP",B758)),
ISNUMBER(SEARCH("MONITOR",B758)),
ISNUMBER(SEARCH("TABLET",B758)),
ISNUMBER(SEARCH("SMARTPH",B758)),
ISNUMBER(SEARCH("IMPRESORA",B758)),
ISNUMBER(SEARCH("MULTIFUNCIONAL",B758)),
ISNUMBER(SEARCH("AIO",B758))
),
"GANCHO",
"NORMAL"
)
)</f>
        <v>NORMAL</v>
      </c>
    </row>
    <row r="757" spans="1:12" x14ac:dyDescent="0.25">
      <c r="A757" s="3" t="s">
        <v>1489</v>
      </c>
      <c r="B757" s="3" t="s">
        <v>2782</v>
      </c>
      <c r="C757" s="1">
        <v>20</v>
      </c>
      <c r="D757" s="1">
        <v>2</v>
      </c>
      <c r="E757" s="1" t="s">
        <v>55</v>
      </c>
      <c r="F757" s="1" t="s">
        <v>3484</v>
      </c>
      <c r="G757" s="3"/>
      <c r="H757" s="11">
        <f>ROUND(
IF(L755="GANCHO",
   IF(I757&lt;=50,I757*1.1+4,IF(I757&lt;=120,I757*1.1+7,IF(I757&lt;=250,I757*1.1+11,I757*1.1+19))),
IF(L755="NORMAL",
   IF(I757&lt;=30,I757*1.15+2,IF(I757&lt;=80,I757*1.15+4,IF(I757&lt;=150,I757*1.15+6,I757*1.15+8))),
IF(L755="COMPLEMENTO",
   IF(I757&lt;=25,I757*1.25+1.5,IF(I757&lt;=60,I757*1.25+3,IF(I757&lt;=120,I757*1.25+4,I757*1.25+5))),
""))),2)</f>
        <v>11.44</v>
      </c>
      <c r="I757" s="9">
        <f>($K$2+0.02)*Tabla1[[#This Row],[PRECIO $]]*1.18</f>
        <v>8.2127999999999997</v>
      </c>
      <c r="J757" s="7">
        <f>+Tabla1[[#This Row],[PRECIO EN SOLES]]-Tabla1[[#This Row],[PC]]</f>
        <v>3.2271999999999998</v>
      </c>
      <c r="K757" s="15"/>
      <c r="L757" s="15" t="str">
        <f>IF(
OR(
ISNUMBER(SEARCH("BACKPACK",B759)),
ISNUMBER(SEARCH("MOCHILA",B759)),
ISNUMBER(SEARCH("FUNDA",B759)),
ISNUMBER(SEARCH("ESTUCHE",B759)),
ISNUMBER(SEARCH("BOOK COVER",B759)),
ISNUMBER(SEARCH("KEYBOARD PARA TABLET",B759)),
ISNUMBER(SEARCH("FLIP TABLET",B759)),
ISNUMBER(SEARCH("CASE FOR TABLET",B759)),
ISNUMBER(SEARCH("CABLE",B759)),
ISNUMBER(SEARCH("ADAPTADOR",B759)),
ISNUMBER(SEARCH("HUB",B759)),
ISNUMBER(SEARCH("DOCK",B759)),
ISNUMBER(SEARCH("MOUSE PAD",B759)),
ISNUMBER(SEARCH("MOUSEPAD",B759)),
ISNUMBER(SEARCH("SOPORTE",B759)),
ISNUMBER(SEARCH("STAND",B759)),
ISNUMBER(SEARCH("TRAVEL ADAPTER",B759)),
ISNUMBER(SEARCH("RJ45",B759)),
ISNUMBER(SEARCH("USB-C",B759)),
ISNUMBER(SEARCH("USB WIFI",B759)),
ISNUMBER(SEARCH("POWERBANK",B759)),
ISNUMBER(SEARCH("CARGADOR",B759)),
ISNUMBER(SEARCH("COOLER PARA NB",B759)),
ISNUMBER(SEARCH("SOPORTE PARA NB",B759)),
ISNUMBER(SEARCH("WEBCAM",B759)),
ISNUMBER(SEARCH("WEB CAM",B759)),
ISNUMBER(SEARCH("MOUSE",B759)),
ISNUMBER(SEARCH("TECLADO",B759))
),
"COMPLEMENTO",
IF(
OR(
LEFT(A759,2)="NB",
LEFT(A759,2)="PC",
LEFT(A759,2)="WS",
LEFT(A759,2)="TB",
LEFT(A759,3)="CEL",
LEFT(A759,3)="MON",
LEFT(A759,3)="PRE",
LEFT(A759,3)="PRH",
ISNUMBER(SEARCH("NOTEBOOK",B759)),
ISNUMBER(SEARCH("LAPTOP",B759)),
ISNUMBER(SEARCH("MONITOR",B759)),
ISNUMBER(SEARCH("TABLET",B759)),
ISNUMBER(SEARCH("SMARTPH",B759)),
ISNUMBER(SEARCH("IMPRESORA",B759)),
ISNUMBER(SEARCH("MULTIFUNCIONAL",B759)),
ISNUMBER(SEARCH("AIO",B759))
),
"GANCHO",
"NORMAL"
)
)</f>
        <v>NORMAL</v>
      </c>
    </row>
    <row r="758" spans="1:12" x14ac:dyDescent="0.25">
      <c r="A758" s="3" t="s">
        <v>1490</v>
      </c>
      <c r="B758" s="3" t="s">
        <v>1491</v>
      </c>
      <c r="C758" s="1">
        <v>20</v>
      </c>
      <c r="D758" s="1">
        <v>19</v>
      </c>
      <c r="E758" s="1" t="s">
        <v>52</v>
      </c>
      <c r="F758" s="1" t="s">
        <v>3485</v>
      </c>
      <c r="G758" s="3"/>
      <c r="H758" s="11">
        <f>ROUND(
IF(L756="GANCHO",
   IF(I758&lt;=50,I758*1.1+4,IF(I758&lt;=120,I758*1.1+7,IF(I758&lt;=250,I758*1.1+11,I758*1.1+19))),
IF(L756="NORMAL",
   IF(I758&lt;=30,I758*1.15+2,IF(I758&lt;=80,I758*1.15+4,IF(I758&lt;=150,I758*1.15+6,I758*1.15+8))),
IF(L756="COMPLEMENTO",
   IF(I758&lt;=25,I758*1.25+1.5,IF(I758&lt;=60,I758*1.25+3,IF(I758&lt;=120,I758*1.25+4,I758*1.25+5))),
""))),2)</f>
        <v>93.72</v>
      </c>
      <c r="I758" s="9">
        <f>($K$2+0.02)*Tabla1[[#This Row],[PRECIO $]]*1.18</f>
        <v>78.021600000000007</v>
      </c>
      <c r="J758" s="7">
        <f>+Tabla1[[#This Row],[PRECIO EN SOLES]]-Tabla1[[#This Row],[PC]]</f>
        <v>15.698399999999992</v>
      </c>
      <c r="K758" s="15"/>
      <c r="L758" s="15" t="str">
        <f>IF(
OR(
ISNUMBER(SEARCH("BACKPACK",B760)),
ISNUMBER(SEARCH("MOCHILA",B760)),
ISNUMBER(SEARCH("FUNDA",B760)),
ISNUMBER(SEARCH("ESTUCHE",B760)),
ISNUMBER(SEARCH("BOOK COVER",B760)),
ISNUMBER(SEARCH("KEYBOARD PARA TABLET",B760)),
ISNUMBER(SEARCH("FLIP TABLET",B760)),
ISNUMBER(SEARCH("CASE FOR TABLET",B760)),
ISNUMBER(SEARCH("CABLE",B760)),
ISNUMBER(SEARCH("ADAPTADOR",B760)),
ISNUMBER(SEARCH("HUB",B760)),
ISNUMBER(SEARCH("DOCK",B760)),
ISNUMBER(SEARCH("MOUSE PAD",B760)),
ISNUMBER(SEARCH("MOUSEPAD",B760)),
ISNUMBER(SEARCH("SOPORTE",B760)),
ISNUMBER(SEARCH("STAND",B760)),
ISNUMBER(SEARCH("TRAVEL ADAPTER",B760)),
ISNUMBER(SEARCH("RJ45",B760)),
ISNUMBER(SEARCH("USB-C",B760)),
ISNUMBER(SEARCH("USB WIFI",B760)),
ISNUMBER(SEARCH("POWERBANK",B760)),
ISNUMBER(SEARCH("CARGADOR",B760)),
ISNUMBER(SEARCH("COOLER PARA NB",B760)),
ISNUMBER(SEARCH("SOPORTE PARA NB",B760)),
ISNUMBER(SEARCH("WEBCAM",B760)),
ISNUMBER(SEARCH("WEB CAM",B760)),
ISNUMBER(SEARCH("MOUSE",B760)),
ISNUMBER(SEARCH("TECLADO",B760))
),
"COMPLEMENTO",
IF(
OR(
LEFT(A760,2)="NB",
LEFT(A760,2)="PC",
LEFT(A760,2)="WS",
LEFT(A760,2)="TB",
LEFT(A760,3)="CEL",
LEFT(A760,3)="MON",
LEFT(A760,3)="PRE",
LEFT(A760,3)="PRH",
ISNUMBER(SEARCH("NOTEBOOK",B760)),
ISNUMBER(SEARCH("LAPTOP",B760)),
ISNUMBER(SEARCH("MONITOR",B760)),
ISNUMBER(SEARCH("TABLET",B760)),
ISNUMBER(SEARCH("SMARTPH",B760)),
ISNUMBER(SEARCH("IMPRESORA",B760)),
ISNUMBER(SEARCH("MULTIFUNCIONAL",B760)),
ISNUMBER(SEARCH("AIO",B760))
),
"GANCHO",
"NORMAL"
)
)</f>
        <v>NORMAL</v>
      </c>
    </row>
    <row r="759" spans="1:12" x14ac:dyDescent="0.25">
      <c r="A759" s="3" t="s">
        <v>1492</v>
      </c>
      <c r="B759" s="3" t="s">
        <v>1493</v>
      </c>
      <c r="C759" s="1">
        <v>10</v>
      </c>
      <c r="D759" s="1">
        <v>666</v>
      </c>
      <c r="E759" s="1" t="s">
        <v>52</v>
      </c>
      <c r="F759" s="1" t="s">
        <v>3486</v>
      </c>
      <c r="G759" s="3"/>
      <c r="H759" s="11">
        <f>ROUND(
IF(L757="GANCHO",
   IF(I759&lt;=50,I759*1.1+4,IF(I759&lt;=120,I759*1.1+7,IF(I759&lt;=250,I759*1.1+11,I759*1.1+19))),
IF(L757="NORMAL",
   IF(I759&lt;=30,I759*1.15+2,IF(I759&lt;=80,I759*1.15+4,IF(I759&lt;=150,I759*1.15+6,I759*1.15+8))),
IF(L757="COMPLEMENTO",
   IF(I759&lt;=25,I759*1.25+1.5,IF(I759&lt;=60,I759*1.25+3,IF(I759&lt;=120,I759*1.25+4,I759*1.25+5))),
""))),2)</f>
        <v>3153.09</v>
      </c>
      <c r="I759" s="9">
        <f>($K$2+0.02)*Tabla1[[#This Row],[PRECIO $]]*1.18</f>
        <v>2734.8623999999995</v>
      </c>
      <c r="J759" s="7">
        <f>+Tabla1[[#This Row],[PRECIO EN SOLES]]-Tabla1[[#This Row],[PC]]</f>
        <v>418.22760000000062</v>
      </c>
      <c r="K759" s="15"/>
      <c r="L759" s="15" t="str">
        <f>IF(
OR(
ISNUMBER(SEARCH("BACKPACK",B761)),
ISNUMBER(SEARCH("MOCHILA",B761)),
ISNUMBER(SEARCH("FUNDA",B761)),
ISNUMBER(SEARCH("ESTUCHE",B761)),
ISNUMBER(SEARCH("BOOK COVER",B761)),
ISNUMBER(SEARCH("KEYBOARD PARA TABLET",B761)),
ISNUMBER(SEARCH("FLIP TABLET",B761)),
ISNUMBER(SEARCH("CASE FOR TABLET",B761)),
ISNUMBER(SEARCH("CABLE",B761)),
ISNUMBER(SEARCH("ADAPTADOR",B761)),
ISNUMBER(SEARCH("HUB",B761)),
ISNUMBER(SEARCH("DOCK",B761)),
ISNUMBER(SEARCH("MOUSE PAD",B761)),
ISNUMBER(SEARCH("MOUSEPAD",B761)),
ISNUMBER(SEARCH("SOPORTE",B761)),
ISNUMBER(SEARCH("STAND",B761)),
ISNUMBER(SEARCH("TRAVEL ADAPTER",B761)),
ISNUMBER(SEARCH("RJ45",B761)),
ISNUMBER(SEARCH("USB-C",B761)),
ISNUMBER(SEARCH("USB WIFI",B761)),
ISNUMBER(SEARCH("POWERBANK",B761)),
ISNUMBER(SEARCH("CARGADOR",B761)),
ISNUMBER(SEARCH("COOLER PARA NB",B761)),
ISNUMBER(SEARCH("SOPORTE PARA NB",B761)),
ISNUMBER(SEARCH("WEBCAM",B761)),
ISNUMBER(SEARCH("WEB CAM",B761)),
ISNUMBER(SEARCH("MOUSE",B761)),
ISNUMBER(SEARCH("TECLADO",B761))
),
"COMPLEMENTO",
IF(
OR(
LEFT(A761,2)="NB",
LEFT(A761,2)="PC",
LEFT(A761,2)="WS",
LEFT(A761,2)="TB",
LEFT(A761,3)="CEL",
LEFT(A761,3)="MON",
LEFT(A761,3)="PRE",
LEFT(A761,3)="PRH",
ISNUMBER(SEARCH("NOTEBOOK",B761)),
ISNUMBER(SEARCH("LAPTOP",B761)),
ISNUMBER(SEARCH("MONITOR",B761)),
ISNUMBER(SEARCH("TABLET",B761)),
ISNUMBER(SEARCH("SMARTPH",B761)),
ISNUMBER(SEARCH("IMPRESORA",B761)),
ISNUMBER(SEARCH("MULTIFUNCIONAL",B761)),
ISNUMBER(SEARCH("AIO",B761))
),
"GANCHO",
"NORMAL"
)
)</f>
        <v>NORMAL</v>
      </c>
    </row>
    <row r="760" spans="1:12" x14ac:dyDescent="0.25">
      <c r="A760" s="3" t="s">
        <v>1494</v>
      </c>
      <c r="B760" s="3" t="s">
        <v>1495</v>
      </c>
      <c r="C760" s="1">
        <v>20</v>
      </c>
      <c r="D760" s="1">
        <v>100</v>
      </c>
      <c r="E760" s="1" t="s">
        <v>52</v>
      </c>
      <c r="F760" s="1" t="s">
        <v>3487</v>
      </c>
      <c r="G760" s="3"/>
      <c r="H760" s="11">
        <f>ROUND(
IF(L758="GANCHO",
   IF(I760&lt;=50,I760*1.1+4,IF(I760&lt;=120,I760*1.1+7,IF(I760&lt;=250,I760*1.1+11,I760*1.1+19))),
IF(L758="NORMAL",
   IF(I760&lt;=30,I760*1.15+2,IF(I760&lt;=80,I760*1.15+4,IF(I760&lt;=150,I760*1.15+6,I760*1.15+8))),
IF(L758="COMPLEMENTO",
   IF(I760&lt;=25,I760*1.25+1.5,IF(I760&lt;=60,I760*1.25+3,IF(I760&lt;=120,I760*1.25+4,I760*1.25+5))),
""))),2)</f>
        <v>480.24</v>
      </c>
      <c r="I760" s="9">
        <f>($K$2+0.02)*Tabla1[[#This Row],[PRECIO $]]*1.18</f>
        <v>410.64</v>
      </c>
      <c r="J760" s="7">
        <f>+Tabla1[[#This Row],[PRECIO EN SOLES]]-Tabla1[[#This Row],[PC]]</f>
        <v>69.600000000000023</v>
      </c>
      <c r="K760" s="15"/>
      <c r="L760" s="15" t="str">
        <f>IF(
OR(
ISNUMBER(SEARCH("BACKPACK",B762)),
ISNUMBER(SEARCH("MOCHILA",B762)),
ISNUMBER(SEARCH("FUNDA",B762)),
ISNUMBER(SEARCH("ESTUCHE",B762)),
ISNUMBER(SEARCH("BOOK COVER",B762)),
ISNUMBER(SEARCH("KEYBOARD PARA TABLET",B762)),
ISNUMBER(SEARCH("FLIP TABLET",B762)),
ISNUMBER(SEARCH("CASE FOR TABLET",B762)),
ISNUMBER(SEARCH("CABLE",B762)),
ISNUMBER(SEARCH("ADAPTADOR",B762)),
ISNUMBER(SEARCH("HUB",B762)),
ISNUMBER(SEARCH("DOCK",B762)),
ISNUMBER(SEARCH("MOUSE PAD",B762)),
ISNUMBER(SEARCH("MOUSEPAD",B762)),
ISNUMBER(SEARCH("SOPORTE",B762)),
ISNUMBER(SEARCH("STAND",B762)),
ISNUMBER(SEARCH("TRAVEL ADAPTER",B762)),
ISNUMBER(SEARCH("RJ45",B762)),
ISNUMBER(SEARCH("USB-C",B762)),
ISNUMBER(SEARCH("USB WIFI",B762)),
ISNUMBER(SEARCH("POWERBANK",B762)),
ISNUMBER(SEARCH("CARGADOR",B762)),
ISNUMBER(SEARCH("COOLER PARA NB",B762)),
ISNUMBER(SEARCH("SOPORTE PARA NB",B762)),
ISNUMBER(SEARCH("WEBCAM",B762)),
ISNUMBER(SEARCH("WEB CAM",B762)),
ISNUMBER(SEARCH("MOUSE",B762)),
ISNUMBER(SEARCH("TECLADO",B762))
),
"COMPLEMENTO",
IF(
OR(
LEFT(A762,2)="NB",
LEFT(A762,2)="PC",
LEFT(A762,2)="WS",
LEFT(A762,2)="TB",
LEFT(A762,3)="CEL",
LEFT(A762,3)="MON",
LEFT(A762,3)="PRE",
LEFT(A762,3)="PRH",
ISNUMBER(SEARCH("NOTEBOOK",B762)),
ISNUMBER(SEARCH("LAPTOP",B762)),
ISNUMBER(SEARCH("MONITOR",B762)),
ISNUMBER(SEARCH("TABLET",B762)),
ISNUMBER(SEARCH("SMARTPH",B762)),
ISNUMBER(SEARCH("IMPRESORA",B762)),
ISNUMBER(SEARCH("MULTIFUNCIONAL",B762)),
ISNUMBER(SEARCH("AIO",B762))
),
"GANCHO",
"NORMAL"
)
)</f>
        <v>NORMAL</v>
      </c>
    </row>
    <row r="761" spans="1:12" x14ac:dyDescent="0.25">
      <c r="A761" s="3" t="s">
        <v>6483</v>
      </c>
      <c r="B761" s="3" t="s">
        <v>6484</v>
      </c>
      <c r="C761" s="1">
        <v>20</v>
      </c>
      <c r="D761" s="1">
        <v>13</v>
      </c>
      <c r="E761" s="1" t="s">
        <v>52</v>
      </c>
      <c r="F761" s="1" t="s">
        <v>6485</v>
      </c>
      <c r="G761" s="3"/>
      <c r="H761" s="11">
        <f>ROUND(
IF(L759="GANCHO",
   IF(I761&lt;=50,I761*1.1+4,IF(I761&lt;=120,I761*1.1+7,IF(I761&lt;=250,I761*1.1+11,I761*1.1+19))),
IF(L759="NORMAL",
   IF(I761&lt;=30,I761*1.15+2,IF(I761&lt;=80,I761*1.15+4,IF(I761&lt;=150,I761*1.15+6,I761*1.15+8))),
IF(L759="COMPLEMENTO",
   IF(I761&lt;=25,I761*1.25+1.5,IF(I761&lt;=60,I761*1.25+3,IF(I761&lt;=120,I761*1.25+4,I761*1.25+5))),
""))),2)</f>
        <v>65.39</v>
      </c>
      <c r="I761" s="9">
        <f>($K$2+0.02)*Tabla1[[#This Row],[PRECIO $]]*1.18</f>
        <v>53.383200000000002</v>
      </c>
      <c r="J761" s="7">
        <f>+Tabla1[[#This Row],[PRECIO EN SOLES]]-Tabla1[[#This Row],[PC]]</f>
        <v>12.006799999999998</v>
      </c>
      <c r="K761" s="15"/>
      <c r="L761" s="15" t="str">
        <f>IF(
OR(
ISNUMBER(SEARCH("BACKPACK",B763)),
ISNUMBER(SEARCH("MOCHILA",B763)),
ISNUMBER(SEARCH("FUNDA",B763)),
ISNUMBER(SEARCH("ESTUCHE",B763)),
ISNUMBER(SEARCH("BOOK COVER",B763)),
ISNUMBER(SEARCH("KEYBOARD PARA TABLET",B763)),
ISNUMBER(SEARCH("FLIP TABLET",B763)),
ISNUMBER(SEARCH("CASE FOR TABLET",B763)),
ISNUMBER(SEARCH("CABLE",B763)),
ISNUMBER(SEARCH("ADAPTADOR",B763)),
ISNUMBER(SEARCH("HUB",B763)),
ISNUMBER(SEARCH("DOCK",B763)),
ISNUMBER(SEARCH("MOUSE PAD",B763)),
ISNUMBER(SEARCH("MOUSEPAD",B763)),
ISNUMBER(SEARCH("SOPORTE",B763)),
ISNUMBER(SEARCH("STAND",B763)),
ISNUMBER(SEARCH("TRAVEL ADAPTER",B763)),
ISNUMBER(SEARCH("RJ45",B763)),
ISNUMBER(SEARCH("USB-C",B763)),
ISNUMBER(SEARCH("USB WIFI",B763)),
ISNUMBER(SEARCH("POWERBANK",B763)),
ISNUMBER(SEARCH("CARGADOR",B763)),
ISNUMBER(SEARCH("COOLER PARA NB",B763)),
ISNUMBER(SEARCH("SOPORTE PARA NB",B763)),
ISNUMBER(SEARCH("WEBCAM",B763)),
ISNUMBER(SEARCH("WEB CAM",B763)),
ISNUMBER(SEARCH("MOUSE",B763)),
ISNUMBER(SEARCH("TECLADO",B763))
),
"COMPLEMENTO",
IF(
OR(
LEFT(A763,2)="NB",
LEFT(A763,2)="PC",
LEFT(A763,2)="WS",
LEFT(A763,2)="TB",
LEFT(A763,3)="CEL",
LEFT(A763,3)="MON",
LEFT(A763,3)="PRE",
LEFT(A763,3)="PRH",
ISNUMBER(SEARCH("NOTEBOOK",B763)),
ISNUMBER(SEARCH("LAPTOP",B763)),
ISNUMBER(SEARCH("MONITOR",B763)),
ISNUMBER(SEARCH("TABLET",B763)),
ISNUMBER(SEARCH("SMARTPH",B763)),
ISNUMBER(SEARCH("IMPRESORA",B763)),
ISNUMBER(SEARCH("MULTIFUNCIONAL",B763)),
ISNUMBER(SEARCH("AIO",B763))
),
"GANCHO",
"NORMAL"
)
)</f>
        <v>NORMAL</v>
      </c>
    </row>
    <row r="762" spans="1:12" x14ac:dyDescent="0.25">
      <c r="A762" s="3" t="s">
        <v>1496</v>
      </c>
      <c r="B762" s="3" t="s">
        <v>1497</v>
      </c>
      <c r="C762" s="1">
        <v>20</v>
      </c>
      <c r="D762" s="1">
        <v>100</v>
      </c>
      <c r="E762" s="1" t="s">
        <v>52</v>
      </c>
      <c r="F762" s="1" t="s">
        <v>3488</v>
      </c>
      <c r="G762" s="3"/>
      <c r="H762" s="11">
        <f>ROUND(
IF(L760="GANCHO",
   IF(I762&lt;=50,I762*1.1+4,IF(I762&lt;=120,I762*1.1+7,IF(I762&lt;=250,I762*1.1+11,I762*1.1+19))),
IF(L760="NORMAL",
   IF(I762&lt;=30,I762*1.15+2,IF(I762&lt;=80,I762*1.15+4,IF(I762&lt;=150,I762*1.15+6,I762*1.15+8))),
IF(L760="COMPLEMENTO",
   IF(I762&lt;=25,I762*1.25+1.5,IF(I762&lt;=60,I762*1.25+3,IF(I762&lt;=120,I762*1.25+4,I762*1.25+5))),
""))),2)</f>
        <v>480.24</v>
      </c>
      <c r="I762" s="9">
        <f>($K$2+0.02)*Tabla1[[#This Row],[PRECIO $]]*1.18</f>
        <v>410.64</v>
      </c>
      <c r="J762" s="7">
        <f>+Tabla1[[#This Row],[PRECIO EN SOLES]]-Tabla1[[#This Row],[PC]]</f>
        <v>69.600000000000023</v>
      </c>
      <c r="K762" s="15"/>
      <c r="L762" s="15" t="str">
        <f>IF(
OR(
ISNUMBER(SEARCH("BACKPACK",B764)),
ISNUMBER(SEARCH("MOCHILA",B764)),
ISNUMBER(SEARCH("FUNDA",B764)),
ISNUMBER(SEARCH("ESTUCHE",B764)),
ISNUMBER(SEARCH("BOOK COVER",B764)),
ISNUMBER(SEARCH("KEYBOARD PARA TABLET",B764)),
ISNUMBER(SEARCH("FLIP TABLET",B764)),
ISNUMBER(SEARCH("CASE FOR TABLET",B764)),
ISNUMBER(SEARCH("CABLE",B764)),
ISNUMBER(SEARCH("ADAPTADOR",B764)),
ISNUMBER(SEARCH("HUB",B764)),
ISNUMBER(SEARCH("DOCK",B764)),
ISNUMBER(SEARCH("MOUSE PAD",B764)),
ISNUMBER(SEARCH("MOUSEPAD",B764)),
ISNUMBER(SEARCH("SOPORTE",B764)),
ISNUMBER(SEARCH("STAND",B764)),
ISNUMBER(SEARCH("TRAVEL ADAPTER",B764)),
ISNUMBER(SEARCH("RJ45",B764)),
ISNUMBER(SEARCH("USB-C",B764)),
ISNUMBER(SEARCH("USB WIFI",B764)),
ISNUMBER(SEARCH("POWERBANK",B764)),
ISNUMBER(SEARCH("CARGADOR",B764)),
ISNUMBER(SEARCH("COOLER PARA NB",B764)),
ISNUMBER(SEARCH("SOPORTE PARA NB",B764)),
ISNUMBER(SEARCH("WEBCAM",B764)),
ISNUMBER(SEARCH("WEB CAM",B764)),
ISNUMBER(SEARCH("MOUSE",B764)),
ISNUMBER(SEARCH("TECLADO",B764))
),
"COMPLEMENTO",
IF(
OR(
LEFT(A764,2)="NB",
LEFT(A764,2)="PC",
LEFT(A764,2)="WS",
LEFT(A764,2)="TB",
LEFT(A764,3)="CEL",
LEFT(A764,3)="MON",
LEFT(A764,3)="PRE",
LEFT(A764,3)="PRH",
ISNUMBER(SEARCH("NOTEBOOK",B764)),
ISNUMBER(SEARCH("LAPTOP",B764)),
ISNUMBER(SEARCH("MONITOR",B764)),
ISNUMBER(SEARCH("TABLET",B764)),
ISNUMBER(SEARCH("SMARTPH",B764)),
ISNUMBER(SEARCH("IMPRESORA",B764)),
ISNUMBER(SEARCH("MULTIFUNCIONAL",B764)),
ISNUMBER(SEARCH("AIO",B764))
),
"GANCHO",
"NORMAL"
)
)</f>
        <v>NORMAL</v>
      </c>
    </row>
    <row r="763" spans="1:12" x14ac:dyDescent="0.25">
      <c r="A763" s="3" t="s">
        <v>6486</v>
      </c>
      <c r="B763" s="3" t="s">
        <v>6487</v>
      </c>
      <c r="C763" s="1">
        <v>20</v>
      </c>
      <c r="D763" s="1">
        <v>4</v>
      </c>
      <c r="E763" s="1" t="s">
        <v>52</v>
      </c>
      <c r="F763" s="1" t="s">
        <v>6488</v>
      </c>
      <c r="G763" s="3"/>
      <c r="H763" s="11">
        <f>ROUND(
IF(L761="GANCHO",
   IF(I763&lt;=50,I763*1.1+4,IF(I763&lt;=120,I763*1.1+7,IF(I763&lt;=250,I763*1.1+11,I763*1.1+19))),
IF(L761="NORMAL",
   IF(I763&lt;=30,I763*1.15+2,IF(I763&lt;=80,I763*1.15+4,IF(I763&lt;=150,I763*1.15+6,I763*1.15+8))),
IF(L761="COMPLEMENTO",
   IF(I763&lt;=25,I763*1.25+1.5,IF(I763&lt;=60,I763*1.25+3,IF(I763&lt;=120,I763*1.25+4,I763*1.25+5))),
""))),2)</f>
        <v>20.89</v>
      </c>
      <c r="I763" s="9">
        <f>($K$2+0.02)*Tabla1[[#This Row],[PRECIO $]]*1.18</f>
        <v>16.425599999999999</v>
      </c>
      <c r="J763" s="7">
        <f>+Tabla1[[#This Row],[PRECIO EN SOLES]]-Tabla1[[#This Row],[PC]]</f>
        <v>4.4644000000000013</v>
      </c>
      <c r="K763" s="15"/>
      <c r="L763" s="15" t="str">
        <f>IF(
OR(
ISNUMBER(SEARCH("BACKPACK",B765)),
ISNUMBER(SEARCH("MOCHILA",B765)),
ISNUMBER(SEARCH("FUNDA",B765)),
ISNUMBER(SEARCH("ESTUCHE",B765)),
ISNUMBER(SEARCH("BOOK COVER",B765)),
ISNUMBER(SEARCH("KEYBOARD PARA TABLET",B765)),
ISNUMBER(SEARCH("FLIP TABLET",B765)),
ISNUMBER(SEARCH("CASE FOR TABLET",B765)),
ISNUMBER(SEARCH("CABLE",B765)),
ISNUMBER(SEARCH("ADAPTADOR",B765)),
ISNUMBER(SEARCH("HUB",B765)),
ISNUMBER(SEARCH("DOCK",B765)),
ISNUMBER(SEARCH("MOUSE PAD",B765)),
ISNUMBER(SEARCH("MOUSEPAD",B765)),
ISNUMBER(SEARCH("SOPORTE",B765)),
ISNUMBER(SEARCH("STAND",B765)),
ISNUMBER(SEARCH("TRAVEL ADAPTER",B765)),
ISNUMBER(SEARCH("RJ45",B765)),
ISNUMBER(SEARCH("USB-C",B765)),
ISNUMBER(SEARCH("USB WIFI",B765)),
ISNUMBER(SEARCH("POWERBANK",B765)),
ISNUMBER(SEARCH("CARGADOR",B765)),
ISNUMBER(SEARCH("COOLER PARA NB",B765)),
ISNUMBER(SEARCH("SOPORTE PARA NB",B765)),
ISNUMBER(SEARCH("WEBCAM",B765)),
ISNUMBER(SEARCH("WEB CAM",B765)),
ISNUMBER(SEARCH("MOUSE",B765)),
ISNUMBER(SEARCH("TECLADO",B765))
),
"COMPLEMENTO",
IF(
OR(
LEFT(A765,2)="NB",
LEFT(A765,2)="PC",
LEFT(A765,2)="WS",
LEFT(A765,2)="TB",
LEFT(A765,3)="CEL",
LEFT(A765,3)="MON",
LEFT(A765,3)="PRE",
LEFT(A765,3)="PRH",
ISNUMBER(SEARCH("NOTEBOOK",B765)),
ISNUMBER(SEARCH("LAPTOP",B765)),
ISNUMBER(SEARCH("MONITOR",B765)),
ISNUMBER(SEARCH("TABLET",B765)),
ISNUMBER(SEARCH("SMARTPH",B765)),
ISNUMBER(SEARCH("IMPRESORA",B765)),
ISNUMBER(SEARCH("MULTIFUNCIONAL",B765)),
ISNUMBER(SEARCH("AIO",B765))
),
"GANCHO",
"NORMAL"
)
)</f>
        <v>GANCHO</v>
      </c>
    </row>
    <row r="764" spans="1:12" x14ac:dyDescent="0.25">
      <c r="A764" s="3" t="s">
        <v>1498</v>
      </c>
      <c r="B764" s="3" t="s">
        <v>1499</v>
      </c>
      <c r="C764" s="1">
        <v>0</v>
      </c>
      <c r="D764" s="1">
        <v>9</v>
      </c>
      <c r="E764" s="1" t="s">
        <v>52</v>
      </c>
      <c r="F764" s="1" t="s">
        <v>3489</v>
      </c>
      <c r="G764" s="3" t="s">
        <v>1500</v>
      </c>
      <c r="H764" s="11">
        <f>ROUND(
IF(L762="GANCHO",
   IF(I764&lt;=50,I764*1.1+4,IF(I764&lt;=120,I764*1.1+7,IF(I764&lt;=250,I764*1.1+11,I764*1.1+19))),
IF(L762="NORMAL",
   IF(I764&lt;=30,I764*1.15+2,IF(I764&lt;=80,I764*1.15+4,IF(I764&lt;=150,I764*1.15+6,I764*1.15+8))),
IF(L762="COMPLEMENTO",
   IF(I764&lt;=25,I764*1.25+1.5,IF(I764&lt;=60,I764*1.25+3,IF(I764&lt;=120,I764*1.25+4,I764*1.25+5))),
""))),2)</f>
        <v>46.5</v>
      </c>
      <c r="I764" s="9">
        <f>($K$2+0.02)*Tabla1[[#This Row],[PRECIO $]]*1.18</f>
        <v>36.957599999999999</v>
      </c>
      <c r="J764" s="7">
        <f>+Tabla1[[#This Row],[PRECIO EN SOLES]]-Tabla1[[#This Row],[PC]]</f>
        <v>9.5424000000000007</v>
      </c>
      <c r="K764" s="15"/>
      <c r="L764" s="15" t="str">
        <f>IF(
OR(
ISNUMBER(SEARCH("BACKPACK",B766)),
ISNUMBER(SEARCH("MOCHILA",B766)),
ISNUMBER(SEARCH("FUNDA",B766)),
ISNUMBER(SEARCH("ESTUCHE",B766)),
ISNUMBER(SEARCH("BOOK COVER",B766)),
ISNUMBER(SEARCH("KEYBOARD PARA TABLET",B766)),
ISNUMBER(SEARCH("FLIP TABLET",B766)),
ISNUMBER(SEARCH("CASE FOR TABLET",B766)),
ISNUMBER(SEARCH("CABLE",B766)),
ISNUMBER(SEARCH("ADAPTADOR",B766)),
ISNUMBER(SEARCH("HUB",B766)),
ISNUMBER(SEARCH("DOCK",B766)),
ISNUMBER(SEARCH("MOUSE PAD",B766)),
ISNUMBER(SEARCH("MOUSEPAD",B766)),
ISNUMBER(SEARCH("SOPORTE",B766)),
ISNUMBER(SEARCH("STAND",B766)),
ISNUMBER(SEARCH("TRAVEL ADAPTER",B766)),
ISNUMBER(SEARCH("RJ45",B766)),
ISNUMBER(SEARCH("USB-C",B766)),
ISNUMBER(SEARCH("USB WIFI",B766)),
ISNUMBER(SEARCH("POWERBANK",B766)),
ISNUMBER(SEARCH("CARGADOR",B766)),
ISNUMBER(SEARCH("COOLER PARA NB",B766)),
ISNUMBER(SEARCH("SOPORTE PARA NB",B766)),
ISNUMBER(SEARCH("WEBCAM",B766)),
ISNUMBER(SEARCH("WEB CAM",B766)),
ISNUMBER(SEARCH("MOUSE",B766)),
ISNUMBER(SEARCH("TECLADO",B766))
),
"COMPLEMENTO",
IF(
OR(
LEFT(A766,2)="NB",
LEFT(A766,2)="PC",
LEFT(A766,2)="WS",
LEFT(A766,2)="TB",
LEFT(A766,3)="CEL",
LEFT(A766,3)="MON",
LEFT(A766,3)="PRE",
LEFT(A766,3)="PRH",
ISNUMBER(SEARCH("NOTEBOOK",B766)),
ISNUMBER(SEARCH("LAPTOP",B766)),
ISNUMBER(SEARCH("MONITOR",B766)),
ISNUMBER(SEARCH("TABLET",B766)),
ISNUMBER(SEARCH("SMARTPH",B766)),
ISNUMBER(SEARCH("IMPRESORA",B766)),
ISNUMBER(SEARCH("MULTIFUNCIONAL",B766)),
ISNUMBER(SEARCH("AIO",B766))
),
"GANCHO",
"NORMAL"
)
)</f>
        <v>NORMAL</v>
      </c>
    </row>
    <row r="765" spans="1:12" x14ac:dyDescent="0.25">
      <c r="A765" s="3" t="s">
        <v>1501</v>
      </c>
      <c r="B765" s="3" t="s">
        <v>1502</v>
      </c>
      <c r="C765" s="1">
        <v>0</v>
      </c>
      <c r="D765" s="1">
        <v>20</v>
      </c>
      <c r="E765" s="1" t="s">
        <v>55</v>
      </c>
      <c r="F765" s="1" t="s">
        <v>3490</v>
      </c>
      <c r="G765" s="3"/>
      <c r="H765" s="11">
        <f>ROUND(
IF(L763="GANCHO",
   IF(I765&lt;=50,I765*1.1+4,IF(I765&lt;=120,I765*1.1+7,IF(I765&lt;=250,I765*1.1+11,I765*1.1+19))),
IF(L763="NORMAL",
   IF(I765&lt;=30,I765*1.15+2,IF(I765&lt;=80,I765*1.15+4,IF(I765&lt;=150,I765*1.15+6,I765*1.15+8))),
IF(L763="COMPLEMENTO",
   IF(I765&lt;=25,I765*1.25+1.5,IF(I765&lt;=60,I765*1.25+3,IF(I765&lt;=120,I765*1.25+4,I765*1.25+5))),
""))),2)</f>
        <v>97.34</v>
      </c>
      <c r="I765" s="9">
        <f>($K$2+0.02)*Tabla1[[#This Row],[PRECIO $]]*1.18</f>
        <v>82.127999999999986</v>
      </c>
      <c r="J765" s="7">
        <f>+Tabla1[[#This Row],[PRECIO EN SOLES]]-Tabla1[[#This Row],[PC]]</f>
        <v>15.212000000000018</v>
      </c>
      <c r="K765" s="15"/>
      <c r="L765" s="15" t="str">
        <f>IF(
OR(
ISNUMBER(SEARCH("BACKPACK",B767)),
ISNUMBER(SEARCH("MOCHILA",B767)),
ISNUMBER(SEARCH("FUNDA",B767)),
ISNUMBER(SEARCH("ESTUCHE",B767)),
ISNUMBER(SEARCH("BOOK COVER",B767)),
ISNUMBER(SEARCH("KEYBOARD PARA TABLET",B767)),
ISNUMBER(SEARCH("FLIP TABLET",B767)),
ISNUMBER(SEARCH("CASE FOR TABLET",B767)),
ISNUMBER(SEARCH("CABLE",B767)),
ISNUMBER(SEARCH("ADAPTADOR",B767)),
ISNUMBER(SEARCH("HUB",B767)),
ISNUMBER(SEARCH("DOCK",B767)),
ISNUMBER(SEARCH("MOUSE PAD",B767)),
ISNUMBER(SEARCH("MOUSEPAD",B767)),
ISNUMBER(SEARCH("SOPORTE",B767)),
ISNUMBER(SEARCH("STAND",B767)),
ISNUMBER(SEARCH("TRAVEL ADAPTER",B767)),
ISNUMBER(SEARCH("RJ45",B767)),
ISNUMBER(SEARCH("USB-C",B767)),
ISNUMBER(SEARCH("USB WIFI",B767)),
ISNUMBER(SEARCH("POWERBANK",B767)),
ISNUMBER(SEARCH("CARGADOR",B767)),
ISNUMBER(SEARCH("COOLER PARA NB",B767)),
ISNUMBER(SEARCH("SOPORTE PARA NB",B767)),
ISNUMBER(SEARCH("WEBCAM",B767)),
ISNUMBER(SEARCH("WEB CAM",B767)),
ISNUMBER(SEARCH("MOUSE",B767)),
ISNUMBER(SEARCH("TECLADO",B767))
),
"COMPLEMENTO",
IF(
OR(
LEFT(A767,2)="NB",
LEFT(A767,2)="PC",
LEFT(A767,2)="WS",
LEFT(A767,2)="TB",
LEFT(A767,3)="CEL",
LEFT(A767,3)="MON",
LEFT(A767,3)="PRE",
LEFT(A767,3)="PRH",
ISNUMBER(SEARCH("NOTEBOOK",B767)),
ISNUMBER(SEARCH("LAPTOP",B767)),
ISNUMBER(SEARCH("MONITOR",B767)),
ISNUMBER(SEARCH("TABLET",B767)),
ISNUMBER(SEARCH("SMARTPH",B767)),
ISNUMBER(SEARCH("IMPRESORA",B767)),
ISNUMBER(SEARCH("MULTIFUNCIONAL",B767)),
ISNUMBER(SEARCH("AIO",B767))
),
"GANCHO",
"NORMAL"
)
)</f>
        <v>NORMAL</v>
      </c>
    </row>
    <row r="766" spans="1:12" x14ac:dyDescent="0.25">
      <c r="A766" s="3" t="s">
        <v>1503</v>
      </c>
      <c r="B766" s="3" t="s">
        <v>1504</v>
      </c>
      <c r="C766" s="1">
        <v>20</v>
      </c>
      <c r="D766" s="1">
        <v>8</v>
      </c>
      <c r="E766" s="1" t="s">
        <v>55</v>
      </c>
      <c r="F766" s="1" t="s">
        <v>3491</v>
      </c>
      <c r="G766" s="3"/>
      <c r="H766" s="11">
        <f>ROUND(
IF(L764="GANCHO",
   IF(I766&lt;=50,I766*1.1+4,IF(I766&lt;=120,I766*1.1+7,IF(I766&lt;=250,I766*1.1+11,I766*1.1+19))),
IF(L764="NORMAL",
   IF(I766&lt;=30,I766*1.15+2,IF(I766&lt;=80,I766*1.15+4,IF(I766&lt;=150,I766*1.15+6,I766*1.15+8))),
IF(L764="COMPLEMENTO",
   IF(I766&lt;=25,I766*1.25+1.5,IF(I766&lt;=60,I766*1.25+3,IF(I766&lt;=120,I766*1.25+4,I766*1.25+5))),
""))),2)</f>
        <v>41.78</v>
      </c>
      <c r="I766" s="9">
        <f>($K$2+0.02)*Tabla1[[#This Row],[PRECIO $]]*1.18</f>
        <v>32.851199999999999</v>
      </c>
      <c r="J766" s="7">
        <f>+Tabla1[[#This Row],[PRECIO EN SOLES]]-Tabla1[[#This Row],[PC]]</f>
        <v>8.9288000000000025</v>
      </c>
      <c r="K766" s="15"/>
      <c r="L766" s="15" t="str">
        <f>IF(
OR(
ISNUMBER(SEARCH("BACKPACK",B768)),
ISNUMBER(SEARCH("MOCHILA",B768)),
ISNUMBER(SEARCH("FUNDA",B768)),
ISNUMBER(SEARCH("ESTUCHE",B768)),
ISNUMBER(SEARCH("BOOK COVER",B768)),
ISNUMBER(SEARCH("KEYBOARD PARA TABLET",B768)),
ISNUMBER(SEARCH("FLIP TABLET",B768)),
ISNUMBER(SEARCH("CASE FOR TABLET",B768)),
ISNUMBER(SEARCH("CABLE",B768)),
ISNUMBER(SEARCH("ADAPTADOR",B768)),
ISNUMBER(SEARCH("HUB",B768)),
ISNUMBER(SEARCH("DOCK",B768)),
ISNUMBER(SEARCH("MOUSE PAD",B768)),
ISNUMBER(SEARCH("MOUSEPAD",B768)),
ISNUMBER(SEARCH("SOPORTE",B768)),
ISNUMBER(SEARCH("STAND",B768)),
ISNUMBER(SEARCH("TRAVEL ADAPTER",B768)),
ISNUMBER(SEARCH("RJ45",B768)),
ISNUMBER(SEARCH("USB-C",B768)),
ISNUMBER(SEARCH("USB WIFI",B768)),
ISNUMBER(SEARCH("POWERBANK",B768)),
ISNUMBER(SEARCH("CARGADOR",B768)),
ISNUMBER(SEARCH("COOLER PARA NB",B768)),
ISNUMBER(SEARCH("SOPORTE PARA NB",B768)),
ISNUMBER(SEARCH("WEBCAM",B768)),
ISNUMBER(SEARCH("WEB CAM",B768)),
ISNUMBER(SEARCH("MOUSE",B768)),
ISNUMBER(SEARCH("TECLADO",B768))
),
"COMPLEMENTO",
IF(
OR(
LEFT(A768,2)="NB",
LEFT(A768,2)="PC",
LEFT(A768,2)="WS",
LEFT(A768,2)="TB",
LEFT(A768,3)="CEL",
LEFT(A768,3)="MON",
LEFT(A768,3)="PRE",
LEFT(A768,3)="PRH",
ISNUMBER(SEARCH("NOTEBOOK",B768)),
ISNUMBER(SEARCH("LAPTOP",B768)),
ISNUMBER(SEARCH("MONITOR",B768)),
ISNUMBER(SEARCH("TABLET",B768)),
ISNUMBER(SEARCH("SMARTPH",B768)),
ISNUMBER(SEARCH("IMPRESORA",B768)),
ISNUMBER(SEARCH("MULTIFUNCIONAL",B768)),
ISNUMBER(SEARCH("AIO",B768))
),
"GANCHO",
"NORMAL"
)
)</f>
        <v>GANCHO</v>
      </c>
    </row>
    <row r="767" spans="1:12" x14ac:dyDescent="0.25">
      <c r="A767" s="3" t="s">
        <v>2967</v>
      </c>
      <c r="B767" s="3" t="s">
        <v>2968</v>
      </c>
      <c r="C767" s="1">
        <v>0</v>
      </c>
      <c r="D767" s="1">
        <v>46</v>
      </c>
      <c r="E767" s="1" t="s">
        <v>55</v>
      </c>
      <c r="F767" s="1" t="s">
        <v>3492</v>
      </c>
      <c r="G767" s="3"/>
      <c r="H767" s="11">
        <f>ROUND(
IF(L765="GANCHO",
   IF(I767&lt;=50,I767*1.1+4,IF(I767&lt;=120,I767*1.1+7,IF(I767&lt;=250,I767*1.1+11,I767*1.1+19))),
IF(L765="NORMAL",
   IF(I767&lt;=30,I767*1.15+2,IF(I767&lt;=80,I767*1.15+4,IF(I767&lt;=150,I767*1.15+6,I767*1.15+8))),
IF(L765="COMPLEMENTO",
   IF(I767&lt;=25,I767*1.25+1.5,IF(I767&lt;=60,I767*1.25+3,IF(I767&lt;=120,I767*1.25+4,I767*1.25+5))),
""))),2)</f>
        <v>225.23</v>
      </c>
      <c r="I767" s="9">
        <f>($K$2+0.02)*Tabla1[[#This Row],[PRECIO $]]*1.18</f>
        <v>188.89440000000002</v>
      </c>
      <c r="J767" s="7">
        <f>+Tabla1[[#This Row],[PRECIO EN SOLES]]-Tabla1[[#This Row],[PC]]</f>
        <v>36.335599999999971</v>
      </c>
      <c r="K767" s="15"/>
      <c r="L767" s="15" t="str">
        <f>IF(
OR(
ISNUMBER(SEARCH("BACKPACK",B769)),
ISNUMBER(SEARCH("MOCHILA",B769)),
ISNUMBER(SEARCH("FUNDA",B769)),
ISNUMBER(SEARCH("ESTUCHE",B769)),
ISNUMBER(SEARCH("BOOK COVER",B769)),
ISNUMBER(SEARCH("KEYBOARD PARA TABLET",B769)),
ISNUMBER(SEARCH("FLIP TABLET",B769)),
ISNUMBER(SEARCH("CASE FOR TABLET",B769)),
ISNUMBER(SEARCH("CABLE",B769)),
ISNUMBER(SEARCH("ADAPTADOR",B769)),
ISNUMBER(SEARCH("HUB",B769)),
ISNUMBER(SEARCH("DOCK",B769)),
ISNUMBER(SEARCH("MOUSE PAD",B769)),
ISNUMBER(SEARCH("MOUSEPAD",B769)),
ISNUMBER(SEARCH("SOPORTE",B769)),
ISNUMBER(SEARCH("STAND",B769)),
ISNUMBER(SEARCH("TRAVEL ADAPTER",B769)),
ISNUMBER(SEARCH("RJ45",B769)),
ISNUMBER(SEARCH("USB-C",B769)),
ISNUMBER(SEARCH("USB WIFI",B769)),
ISNUMBER(SEARCH("POWERBANK",B769)),
ISNUMBER(SEARCH("CARGADOR",B769)),
ISNUMBER(SEARCH("COOLER PARA NB",B769)),
ISNUMBER(SEARCH("SOPORTE PARA NB",B769)),
ISNUMBER(SEARCH("WEBCAM",B769)),
ISNUMBER(SEARCH("WEB CAM",B769)),
ISNUMBER(SEARCH("MOUSE",B769)),
ISNUMBER(SEARCH("TECLADO",B769))
),
"COMPLEMENTO",
IF(
OR(
LEFT(A769,2)="NB",
LEFT(A769,2)="PC",
LEFT(A769,2)="WS",
LEFT(A769,2)="TB",
LEFT(A769,3)="CEL",
LEFT(A769,3)="MON",
LEFT(A769,3)="PRE",
LEFT(A769,3)="PRH",
ISNUMBER(SEARCH("NOTEBOOK",B769)),
ISNUMBER(SEARCH("LAPTOP",B769)),
ISNUMBER(SEARCH("MONITOR",B769)),
ISNUMBER(SEARCH("TABLET",B769)),
ISNUMBER(SEARCH("SMARTPH",B769)),
ISNUMBER(SEARCH("IMPRESORA",B769)),
ISNUMBER(SEARCH("MULTIFUNCIONAL",B769)),
ISNUMBER(SEARCH("AIO",B769))
),
"GANCHO",
"NORMAL"
)
)</f>
        <v>NORMAL</v>
      </c>
    </row>
    <row r="768" spans="1:12" x14ac:dyDescent="0.25">
      <c r="A768" s="3" t="s">
        <v>3052</v>
      </c>
      <c r="B768" s="3" t="s">
        <v>3053</v>
      </c>
      <c r="C768" s="1">
        <v>20</v>
      </c>
      <c r="D768" s="1">
        <v>19.59</v>
      </c>
      <c r="E768" s="1" t="s">
        <v>55</v>
      </c>
      <c r="F768" s="1" t="s">
        <v>3493</v>
      </c>
      <c r="G768" s="3"/>
      <c r="H768" s="11">
        <f>ROUND(
IF(L766="GANCHO",
   IF(I768&lt;=50,I768*1.1+4,IF(I768&lt;=120,I768*1.1+7,IF(I768&lt;=250,I768*1.1+11,I768*1.1+19))),
IF(L766="NORMAL",
   IF(I768&lt;=30,I768*1.15+2,IF(I768&lt;=80,I768*1.15+4,IF(I768&lt;=150,I768*1.15+6,I768*1.15+8))),
IF(L766="COMPLEMENTO",
   IF(I768&lt;=25,I768*1.25+1.5,IF(I768&lt;=60,I768*1.25+3,IF(I768&lt;=120,I768*1.25+4,I768*1.25+5))),
""))),2)</f>
        <v>95.49</v>
      </c>
      <c r="I768" s="9">
        <f>($K$2+0.02)*Tabla1[[#This Row],[PRECIO $]]*1.18</f>
        <v>80.444375999999991</v>
      </c>
      <c r="J768" s="7">
        <f>+Tabla1[[#This Row],[PRECIO EN SOLES]]-Tabla1[[#This Row],[PC]]</f>
        <v>15.045624000000004</v>
      </c>
      <c r="K768" s="15"/>
      <c r="L768" s="15" t="str">
        <f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69" spans="1:12" x14ac:dyDescent="0.25">
      <c r="A769" s="3" t="s">
        <v>1505</v>
      </c>
      <c r="B769" s="3" t="s">
        <v>1506</v>
      </c>
      <c r="C769" s="1">
        <v>20</v>
      </c>
      <c r="D769" s="1">
        <v>8.5</v>
      </c>
      <c r="E769" s="1" t="s">
        <v>55</v>
      </c>
      <c r="F769" s="1" t="s">
        <v>3494</v>
      </c>
      <c r="G769" s="3"/>
      <c r="H769" s="11">
        <f>ROUND(
IF(L767="GANCHO",
   IF(I769&lt;=50,I769*1.1+4,IF(I769&lt;=120,I769*1.1+7,IF(I769&lt;=250,I769*1.1+11,I769*1.1+19))),
IF(L767="NORMAL",
   IF(I769&lt;=30,I769*1.15+2,IF(I769&lt;=80,I769*1.15+4,IF(I769&lt;=150,I769*1.15+6,I769*1.15+8))),
IF(L767="COMPLEMENTO",
   IF(I769&lt;=25,I769*1.25+1.5,IF(I769&lt;=60,I769*1.25+3,IF(I769&lt;=120,I769*1.25+4,I769*1.25+5))),
""))),2)</f>
        <v>44.14</v>
      </c>
      <c r="I769" s="9">
        <f>($K$2+0.02)*Tabla1[[#This Row],[PRECIO $]]*1.18</f>
        <v>34.904399999999995</v>
      </c>
      <c r="J769" s="7">
        <f>+Tabla1[[#This Row],[PRECIO EN SOLES]]-Tabla1[[#This Row],[PC]]</f>
        <v>9.2356000000000051</v>
      </c>
      <c r="K769" s="15"/>
      <c r="L769" s="15" t="str">
        <f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0" spans="1:12" x14ac:dyDescent="0.25">
      <c r="A770" s="3" t="s">
        <v>1507</v>
      </c>
      <c r="B770" s="3" t="s">
        <v>1506</v>
      </c>
      <c r="C770" s="1">
        <v>0</v>
      </c>
      <c r="D770" s="1">
        <v>99</v>
      </c>
      <c r="E770" s="1" t="s">
        <v>55</v>
      </c>
      <c r="F770" s="1" t="s">
        <v>3495</v>
      </c>
      <c r="G770" s="3"/>
      <c r="H770" s="11">
        <f>ROUND(
IF(L768="GANCHO",
   IF(I770&lt;=50,I770*1.1+4,IF(I770&lt;=120,I770*1.1+7,IF(I770&lt;=250,I770*1.1+11,I770*1.1+19))),
IF(L768="NORMAL",
   IF(I770&lt;=30,I770*1.15+2,IF(I770&lt;=80,I770*1.15+4,IF(I770&lt;=150,I770*1.15+6,I770*1.15+8))),
IF(L768="COMPLEMENTO",
   IF(I770&lt;=25,I770*1.25+1.5,IF(I770&lt;=60,I770*1.25+3,IF(I770&lt;=120,I770*1.25+4,I770*1.25+5))),
""))),2)</f>
        <v>475.51</v>
      </c>
      <c r="I770" s="9">
        <f>($K$2+0.02)*Tabla1[[#This Row],[PRECIO $]]*1.18</f>
        <v>406.53359999999998</v>
      </c>
      <c r="J770" s="7">
        <f>+Tabla1[[#This Row],[PRECIO EN SOLES]]-Tabla1[[#This Row],[PC]]</f>
        <v>68.976400000000012</v>
      </c>
      <c r="K770" s="15"/>
      <c r="L770" s="15" t="str">
        <f>IF(
OR(
ISNUMBER(SEARCH("BACKPACK",B772)),
ISNUMBER(SEARCH("MOCHILA",B772)),
ISNUMBER(SEARCH("FUNDA",B772)),
ISNUMBER(SEARCH("ESTUCHE",B772)),
ISNUMBER(SEARCH("BOOK COVER",B772)),
ISNUMBER(SEARCH("KEYBOARD PARA TABLET",B772)),
ISNUMBER(SEARCH("FLIP TABLET",B772)),
ISNUMBER(SEARCH("CASE FOR TABLET",B772)),
ISNUMBER(SEARCH("CABLE",B772)),
ISNUMBER(SEARCH("ADAPTADOR",B772)),
ISNUMBER(SEARCH("HUB",B772)),
ISNUMBER(SEARCH("DOCK",B772)),
ISNUMBER(SEARCH("MOUSE PAD",B772)),
ISNUMBER(SEARCH("MOUSEPAD",B772)),
ISNUMBER(SEARCH("SOPORTE",B772)),
ISNUMBER(SEARCH("STAND",B772)),
ISNUMBER(SEARCH("TRAVEL ADAPTER",B772)),
ISNUMBER(SEARCH("RJ45",B772)),
ISNUMBER(SEARCH("USB-C",B772)),
ISNUMBER(SEARCH("USB WIFI",B772)),
ISNUMBER(SEARCH("POWERBANK",B772)),
ISNUMBER(SEARCH("CARGADOR",B772)),
ISNUMBER(SEARCH("COOLER PARA NB",B772)),
ISNUMBER(SEARCH("SOPORTE PARA NB",B772)),
ISNUMBER(SEARCH("WEBCAM",B772)),
ISNUMBER(SEARCH("WEB CAM",B772)),
ISNUMBER(SEARCH("MOUSE",B772)),
ISNUMBER(SEARCH("TECLADO",B772))
),
"COMPLEMENTO",
IF(
OR(
LEFT(A772,2)="NB",
LEFT(A772,2)="PC",
LEFT(A772,2)="WS",
LEFT(A772,2)="TB",
LEFT(A772,3)="CEL",
LEFT(A772,3)="MON",
LEFT(A772,3)="PRE",
LEFT(A772,3)="PRH",
ISNUMBER(SEARCH("NOTEBOOK",B772)),
ISNUMBER(SEARCH("LAPTOP",B772)),
ISNUMBER(SEARCH("MONITOR",B772)),
ISNUMBER(SEARCH("TABLET",B772)),
ISNUMBER(SEARCH("SMARTPH",B772)),
ISNUMBER(SEARCH("IMPRESORA",B772)),
ISNUMBER(SEARCH("MULTIFUNCIONAL",B772)),
ISNUMBER(SEARCH("AIO",B772))
),
"GANCHO",
"NORMAL"
)
)</f>
        <v>NORMAL</v>
      </c>
    </row>
    <row r="771" spans="1:12" x14ac:dyDescent="0.25">
      <c r="A771" s="3" t="s">
        <v>1508</v>
      </c>
      <c r="B771" s="3" t="s">
        <v>1509</v>
      </c>
      <c r="C771" s="1">
        <v>20</v>
      </c>
      <c r="D771" s="1">
        <v>20</v>
      </c>
      <c r="E771" s="1" t="s">
        <v>55</v>
      </c>
      <c r="F771" s="1" t="s">
        <v>3496</v>
      </c>
      <c r="G771" s="3"/>
      <c r="H771" s="11">
        <f>ROUND(
IF(L769="GANCHO",
   IF(I771&lt;=50,I771*1.1+4,IF(I771&lt;=120,I771*1.1+7,IF(I771&lt;=250,I771*1.1+11,I771*1.1+19))),
IF(L769="NORMAL",
   IF(I771&lt;=30,I771*1.15+2,IF(I771&lt;=80,I771*1.15+4,IF(I771&lt;=150,I771*1.15+6,I771*1.15+8))),
IF(L769="COMPLEMENTO",
   IF(I771&lt;=25,I771*1.25+1.5,IF(I771&lt;=60,I771*1.25+3,IF(I771&lt;=120,I771*1.25+4,I771*1.25+5))),
""))),2)</f>
        <v>100.45</v>
      </c>
      <c r="I771" s="9">
        <f>($K$2+0.02)*Tabla1[[#This Row],[PRECIO $]]*1.18</f>
        <v>82.127999999999986</v>
      </c>
      <c r="J771" s="7">
        <f>+Tabla1[[#This Row],[PRECIO EN SOLES]]-Tabla1[[#This Row],[PC]]</f>
        <v>18.322000000000017</v>
      </c>
      <c r="K771" s="15"/>
      <c r="L771" s="15" t="str">
        <f>IF(
OR(
ISNUMBER(SEARCH("BACKPACK",B773)),
ISNUMBER(SEARCH("MOCHILA",B773)),
ISNUMBER(SEARCH("FUNDA",B773)),
ISNUMBER(SEARCH("ESTUCHE",B773)),
ISNUMBER(SEARCH("BOOK COVER",B773)),
ISNUMBER(SEARCH("KEYBOARD PARA TABLET",B773)),
ISNUMBER(SEARCH("FLIP TABLET",B773)),
ISNUMBER(SEARCH("CASE FOR TABLET",B773)),
ISNUMBER(SEARCH("CABLE",B773)),
ISNUMBER(SEARCH("ADAPTADOR",B773)),
ISNUMBER(SEARCH("HUB",B773)),
ISNUMBER(SEARCH("DOCK",B773)),
ISNUMBER(SEARCH("MOUSE PAD",B773)),
ISNUMBER(SEARCH("MOUSEPAD",B773)),
ISNUMBER(SEARCH("SOPORTE",B773)),
ISNUMBER(SEARCH("STAND",B773)),
ISNUMBER(SEARCH("TRAVEL ADAPTER",B773)),
ISNUMBER(SEARCH("RJ45",B773)),
ISNUMBER(SEARCH("USB-C",B773)),
ISNUMBER(SEARCH("USB WIFI",B773)),
ISNUMBER(SEARCH("POWERBANK",B773)),
ISNUMBER(SEARCH("CARGADOR",B773)),
ISNUMBER(SEARCH("COOLER PARA NB",B773)),
ISNUMBER(SEARCH("SOPORTE PARA NB",B773)),
ISNUMBER(SEARCH("WEBCAM",B773)),
ISNUMBER(SEARCH("WEB CAM",B773)),
ISNUMBER(SEARCH("MOUSE",B773)),
ISNUMBER(SEARCH("TECLADO",B773))
),
"COMPLEMENTO",
IF(
OR(
LEFT(A773,2)="NB",
LEFT(A773,2)="PC",
LEFT(A773,2)="WS",
LEFT(A773,2)="TB",
LEFT(A773,3)="CEL",
LEFT(A773,3)="MON",
LEFT(A773,3)="PRE",
LEFT(A773,3)="PRH",
ISNUMBER(SEARCH("NOTEBOOK",B773)),
ISNUMBER(SEARCH("LAPTOP",B773)),
ISNUMBER(SEARCH("MONITOR",B773)),
ISNUMBER(SEARCH("TABLET",B773)),
ISNUMBER(SEARCH("SMARTPH",B773)),
ISNUMBER(SEARCH("IMPRESORA",B773)),
ISNUMBER(SEARCH("MULTIFUNCIONAL",B773)),
ISNUMBER(SEARCH("AIO",B773))
),
"GANCHO",
"NORMAL"
)
)</f>
        <v>NORMAL</v>
      </c>
    </row>
    <row r="772" spans="1:12" x14ac:dyDescent="0.25">
      <c r="A772" s="3" t="s">
        <v>1510</v>
      </c>
      <c r="B772" s="3" t="s">
        <v>1511</v>
      </c>
      <c r="C772" s="1">
        <v>1</v>
      </c>
      <c r="D772" s="1">
        <v>100</v>
      </c>
      <c r="E772" s="1" t="s">
        <v>57</v>
      </c>
      <c r="F772" s="1" t="s">
        <v>3497</v>
      </c>
      <c r="G772" s="3"/>
      <c r="H772" s="11">
        <f>ROUND(
IF(L770="GANCHO",
   IF(I772&lt;=50,I772*1.1+4,IF(I772&lt;=120,I772*1.1+7,IF(I772&lt;=250,I772*1.1+11,I772*1.1+19))),
IF(L770="NORMAL",
   IF(I772&lt;=30,I772*1.15+2,IF(I772&lt;=80,I772*1.15+4,IF(I772&lt;=150,I772*1.15+6,I772*1.15+8))),
IF(L770="COMPLEMENTO",
   IF(I772&lt;=25,I772*1.25+1.5,IF(I772&lt;=60,I772*1.25+3,IF(I772&lt;=120,I772*1.25+4,I772*1.25+5))),
""))),2)</f>
        <v>480.24</v>
      </c>
      <c r="I772" s="9">
        <f>($K$2+0.02)*Tabla1[[#This Row],[PRECIO $]]*1.18</f>
        <v>410.64</v>
      </c>
      <c r="J772" s="7">
        <f>+Tabla1[[#This Row],[PRECIO EN SOLES]]-Tabla1[[#This Row],[PC]]</f>
        <v>69.600000000000023</v>
      </c>
      <c r="K772" s="15"/>
      <c r="L772" s="15" t="str">
        <f>IF(
OR(
ISNUMBER(SEARCH("BACKPACK",B774)),
ISNUMBER(SEARCH("MOCHILA",B774)),
ISNUMBER(SEARCH("FUNDA",B774)),
ISNUMBER(SEARCH("ESTUCHE",B774)),
ISNUMBER(SEARCH("BOOK COVER",B774)),
ISNUMBER(SEARCH("KEYBOARD PARA TABLET",B774)),
ISNUMBER(SEARCH("FLIP TABLET",B774)),
ISNUMBER(SEARCH("CASE FOR TABLET",B774)),
ISNUMBER(SEARCH("CABLE",B774)),
ISNUMBER(SEARCH("ADAPTADOR",B774)),
ISNUMBER(SEARCH("HUB",B774)),
ISNUMBER(SEARCH("DOCK",B774)),
ISNUMBER(SEARCH("MOUSE PAD",B774)),
ISNUMBER(SEARCH("MOUSEPAD",B774)),
ISNUMBER(SEARCH("SOPORTE",B774)),
ISNUMBER(SEARCH("STAND",B774)),
ISNUMBER(SEARCH("TRAVEL ADAPTER",B774)),
ISNUMBER(SEARCH("RJ45",B774)),
ISNUMBER(SEARCH("USB-C",B774)),
ISNUMBER(SEARCH("USB WIFI",B774)),
ISNUMBER(SEARCH("POWERBANK",B774)),
ISNUMBER(SEARCH("CARGADOR",B774)),
ISNUMBER(SEARCH("COOLER PARA NB",B774)),
ISNUMBER(SEARCH("SOPORTE PARA NB",B774)),
ISNUMBER(SEARCH("WEBCAM",B774)),
ISNUMBER(SEARCH("WEB CAM",B774)),
ISNUMBER(SEARCH("MOUSE",B774)),
ISNUMBER(SEARCH("TECLADO",B774))
),
"COMPLEMENTO",
IF(
OR(
LEFT(A774,2)="NB",
LEFT(A774,2)="PC",
LEFT(A774,2)="WS",
LEFT(A774,2)="TB",
LEFT(A774,3)="CEL",
LEFT(A774,3)="MON",
LEFT(A774,3)="PRE",
LEFT(A774,3)="PRH",
ISNUMBER(SEARCH("NOTEBOOK",B774)),
ISNUMBER(SEARCH("LAPTOP",B774)),
ISNUMBER(SEARCH("MONITOR",B774)),
ISNUMBER(SEARCH("TABLET",B774)),
ISNUMBER(SEARCH("SMARTPH",B774)),
ISNUMBER(SEARCH("IMPRESORA",B774)),
ISNUMBER(SEARCH("MULTIFUNCIONAL",B774)),
ISNUMBER(SEARCH("AIO",B774))
),
"GANCHO",
"NORMAL"
)
)</f>
        <v>NORMAL</v>
      </c>
    </row>
    <row r="773" spans="1:12" x14ac:dyDescent="0.25">
      <c r="A773" s="3" t="s">
        <v>1512</v>
      </c>
      <c r="B773" s="3" t="s">
        <v>1513</v>
      </c>
      <c r="C773" s="1">
        <v>20</v>
      </c>
      <c r="D773" s="1">
        <v>5</v>
      </c>
      <c r="E773" s="1" t="s">
        <v>837</v>
      </c>
      <c r="F773" s="1" t="s">
        <v>3498</v>
      </c>
      <c r="G773" s="3"/>
      <c r="H773" s="11">
        <f>ROUND(
IF(L771="GANCHO",
   IF(I773&lt;=50,I773*1.1+4,IF(I773&lt;=120,I773*1.1+7,IF(I773&lt;=250,I773*1.1+11,I773*1.1+19))),
IF(L771="NORMAL",
   IF(I773&lt;=30,I773*1.15+2,IF(I773&lt;=80,I773*1.15+4,IF(I773&lt;=150,I773*1.15+6,I773*1.15+8))),
IF(L771="COMPLEMENTO",
   IF(I773&lt;=25,I773*1.25+1.5,IF(I773&lt;=60,I773*1.25+3,IF(I773&lt;=120,I773*1.25+4,I773*1.25+5))),
""))),2)</f>
        <v>25.61</v>
      </c>
      <c r="I773" s="9">
        <f>($K$2+0.02)*Tabla1[[#This Row],[PRECIO $]]*1.18</f>
        <v>20.531999999999996</v>
      </c>
      <c r="J773" s="7">
        <f>+Tabla1[[#This Row],[PRECIO EN SOLES]]-Tabla1[[#This Row],[PC]]</f>
        <v>5.078000000000003</v>
      </c>
      <c r="K773" s="15"/>
      <c r="L773" s="15" t="str">
        <f>IF(
OR(
ISNUMBER(SEARCH("BACKPACK",B775)),
ISNUMBER(SEARCH("MOCHILA",B775)),
ISNUMBER(SEARCH("FUNDA",B775)),
ISNUMBER(SEARCH("ESTUCHE",B775)),
ISNUMBER(SEARCH("BOOK COVER",B775)),
ISNUMBER(SEARCH("KEYBOARD PARA TABLET",B775)),
ISNUMBER(SEARCH("FLIP TABLET",B775)),
ISNUMBER(SEARCH("CASE FOR TABLET",B775)),
ISNUMBER(SEARCH("CABLE",B775)),
ISNUMBER(SEARCH("ADAPTADOR",B775)),
ISNUMBER(SEARCH("HUB",B775)),
ISNUMBER(SEARCH("DOCK",B775)),
ISNUMBER(SEARCH("MOUSE PAD",B775)),
ISNUMBER(SEARCH("MOUSEPAD",B775)),
ISNUMBER(SEARCH("SOPORTE",B775)),
ISNUMBER(SEARCH("STAND",B775)),
ISNUMBER(SEARCH("TRAVEL ADAPTER",B775)),
ISNUMBER(SEARCH("RJ45",B775)),
ISNUMBER(SEARCH("USB-C",B775)),
ISNUMBER(SEARCH("USB WIFI",B775)),
ISNUMBER(SEARCH("POWERBANK",B775)),
ISNUMBER(SEARCH("CARGADOR",B775)),
ISNUMBER(SEARCH("COOLER PARA NB",B775)),
ISNUMBER(SEARCH("SOPORTE PARA NB",B775)),
ISNUMBER(SEARCH("WEBCAM",B775)),
ISNUMBER(SEARCH("WEB CAM",B775)),
ISNUMBER(SEARCH("MOUSE",B775)),
ISNUMBER(SEARCH("TECLADO",B775))
),
"COMPLEMENTO",
IF(
OR(
LEFT(A775,2)="NB",
LEFT(A775,2)="PC",
LEFT(A775,2)="WS",
LEFT(A775,2)="TB",
LEFT(A775,3)="CEL",
LEFT(A775,3)="MON",
LEFT(A775,3)="PRE",
LEFT(A775,3)="PRH",
ISNUMBER(SEARCH("NOTEBOOK",B775)),
ISNUMBER(SEARCH("LAPTOP",B775)),
ISNUMBER(SEARCH("MONITOR",B775)),
ISNUMBER(SEARCH("TABLET",B775)),
ISNUMBER(SEARCH("SMARTPH",B775)),
ISNUMBER(SEARCH("IMPRESORA",B775)),
ISNUMBER(SEARCH("MULTIFUNCIONAL",B775)),
ISNUMBER(SEARCH("AIO",B775))
),
"GANCHO",
"NORMAL"
)
)</f>
        <v>NORMAL</v>
      </c>
    </row>
    <row r="774" spans="1:12" x14ac:dyDescent="0.25">
      <c r="A774" s="3" t="s">
        <v>1514</v>
      </c>
      <c r="B774" s="3" t="s">
        <v>2969</v>
      </c>
      <c r="C774" s="1">
        <v>20</v>
      </c>
      <c r="D774" s="1">
        <v>5</v>
      </c>
      <c r="E774" s="1" t="s">
        <v>74</v>
      </c>
      <c r="F774" s="1" t="s">
        <v>3499</v>
      </c>
      <c r="G774" s="3"/>
      <c r="H774" s="11">
        <f>ROUND(
IF(L772="GANCHO",
   IF(I774&lt;=50,I774*1.1+4,IF(I774&lt;=120,I774*1.1+7,IF(I774&lt;=250,I774*1.1+11,I774*1.1+19))),
IF(L772="NORMAL",
   IF(I774&lt;=30,I774*1.15+2,IF(I774&lt;=80,I774*1.15+4,IF(I774&lt;=150,I774*1.15+6,I774*1.15+8))),
IF(L772="COMPLEMENTO",
   IF(I774&lt;=25,I774*1.25+1.5,IF(I774&lt;=60,I774*1.25+3,IF(I774&lt;=120,I774*1.25+4,I774*1.25+5))),
""))),2)</f>
        <v>25.61</v>
      </c>
      <c r="I774" s="9">
        <f>($K$2+0.02)*Tabla1[[#This Row],[PRECIO $]]*1.18</f>
        <v>20.531999999999996</v>
      </c>
      <c r="J774" s="7">
        <f>+Tabla1[[#This Row],[PRECIO EN SOLES]]-Tabla1[[#This Row],[PC]]</f>
        <v>5.078000000000003</v>
      </c>
      <c r="K774" s="15"/>
      <c r="L774" s="15" t="str">
        <f>IF(
OR(
ISNUMBER(SEARCH("BACKPACK",B776)),
ISNUMBER(SEARCH("MOCHILA",B776)),
ISNUMBER(SEARCH("FUNDA",B776)),
ISNUMBER(SEARCH("ESTUCHE",B776)),
ISNUMBER(SEARCH("BOOK COVER",B776)),
ISNUMBER(SEARCH("KEYBOARD PARA TABLET",B776)),
ISNUMBER(SEARCH("FLIP TABLET",B776)),
ISNUMBER(SEARCH("CASE FOR TABLET",B776)),
ISNUMBER(SEARCH("CABLE",B776)),
ISNUMBER(SEARCH("ADAPTADOR",B776)),
ISNUMBER(SEARCH("HUB",B776)),
ISNUMBER(SEARCH("DOCK",B776)),
ISNUMBER(SEARCH("MOUSE PAD",B776)),
ISNUMBER(SEARCH("MOUSEPAD",B776)),
ISNUMBER(SEARCH("SOPORTE",B776)),
ISNUMBER(SEARCH("STAND",B776)),
ISNUMBER(SEARCH("TRAVEL ADAPTER",B776)),
ISNUMBER(SEARCH("RJ45",B776)),
ISNUMBER(SEARCH("USB-C",B776)),
ISNUMBER(SEARCH("USB WIFI",B776)),
ISNUMBER(SEARCH("POWERBANK",B776)),
ISNUMBER(SEARCH("CARGADOR",B776)),
ISNUMBER(SEARCH("COOLER PARA NB",B776)),
ISNUMBER(SEARCH("SOPORTE PARA NB",B776)),
ISNUMBER(SEARCH("WEBCAM",B776)),
ISNUMBER(SEARCH("WEB CAM",B776)),
ISNUMBER(SEARCH("MOUSE",B776)),
ISNUMBER(SEARCH("TECLADO",B776))
),
"COMPLEMENTO",
IF(
OR(
LEFT(A776,2)="NB",
LEFT(A776,2)="PC",
LEFT(A776,2)="WS",
LEFT(A776,2)="TB",
LEFT(A776,3)="CEL",
LEFT(A776,3)="MON",
LEFT(A776,3)="PRE",
LEFT(A776,3)="PRH",
ISNUMBER(SEARCH("NOTEBOOK",B776)),
ISNUMBER(SEARCH("LAPTOP",B776)),
ISNUMBER(SEARCH("MONITOR",B776)),
ISNUMBER(SEARCH("TABLET",B776)),
ISNUMBER(SEARCH("SMARTPH",B776)),
ISNUMBER(SEARCH("IMPRESORA",B776)),
ISNUMBER(SEARCH("MULTIFUNCIONAL",B776)),
ISNUMBER(SEARCH("AIO",B776))
),
"GANCHO",
"NORMAL"
)
)</f>
        <v>NORMAL</v>
      </c>
    </row>
    <row r="775" spans="1:12" x14ac:dyDescent="0.25">
      <c r="A775" s="3" t="s">
        <v>1515</v>
      </c>
      <c r="B775" s="3" t="s">
        <v>1516</v>
      </c>
      <c r="C775" s="1">
        <v>20</v>
      </c>
      <c r="D775" s="1">
        <v>100</v>
      </c>
      <c r="E775" s="1" t="s">
        <v>54</v>
      </c>
      <c r="F775" s="1" t="s">
        <v>3500</v>
      </c>
      <c r="G775" s="3"/>
      <c r="H775" s="11">
        <f>ROUND(
IF(L773="GANCHO",
   IF(I775&lt;=50,I775*1.1+4,IF(I775&lt;=120,I775*1.1+7,IF(I775&lt;=250,I775*1.1+11,I775*1.1+19))),
IF(L773="NORMAL",
   IF(I775&lt;=30,I775*1.15+2,IF(I775&lt;=80,I775*1.15+4,IF(I775&lt;=150,I775*1.15+6,I775*1.15+8))),
IF(L773="COMPLEMENTO",
   IF(I775&lt;=25,I775*1.25+1.5,IF(I775&lt;=60,I775*1.25+3,IF(I775&lt;=120,I775*1.25+4,I775*1.25+5))),
""))),2)</f>
        <v>480.24</v>
      </c>
      <c r="I775" s="9">
        <f>($K$2+0.02)*Tabla1[[#This Row],[PRECIO $]]*1.18</f>
        <v>410.64</v>
      </c>
      <c r="J775" s="7">
        <f>+Tabla1[[#This Row],[PRECIO EN SOLES]]-Tabla1[[#This Row],[PC]]</f>
        <v>69.600000000000023</v>
      </c>
      <c r="K775" s="15"/>
      <c r="L775" s="15" t="str">
        <f>IF(
OR(
ISNUMBER(SEARCH("BACKPACK",B777)),
ISNUMBER(SEARCH("MOCHILA",B777)),
ISNUMBER(SEARCH("FUNDA",B777)),
ISNUMBER(SEARCH("ESTUCHE",B777)),
ISNUMBER(SEARCH("BOOK COVER",B777)),
ISNUMBER(SEARCH("KEYBOARD PARA TABLET",B777)),
ISNUMBER(SEARCH("FLIP TABLET",B777)),
ISNUMBER(SEARCH("CASE FOR TABLET",B777)),
ISNUMBER(SEARCH("CABLE",B777)),
ISNUMBER(SEARCH("ADAPTADOR",B777)),
ISNUMBER(SEARCH("HUB",B777)),
ISNUMBER(SEARCH("DOCK",B777)),
ISNUMBER(SEARCH("MOUSE PAD",B777)),
ISNUMBER(SEARCH("MOUSEPAD",B777)),
ISNUMBER(SEARCH("SOPORTE",B777)),
ISNUMBER(SEARCH("STAND",B777)),
ISNUMBER(SEARCH("TRAVEL ADAPTER",B777)),
ISNUMBER(SEARCH("RJ45",B777)),
ISNUMBER(SEARCH("USB-C",B777)),
ISNUMBER(SEARCH("USB WIFI",B777)),
ISNUMBER(SEARCH("POWERBANK",B777)),
ISNUMBER(SEARCH("CARGADOR",B777)),
ISNUMBER(SEARCH("COOLER PARA NB",B777)),
ISNUMBER(SEARCH("SOPORTE PARA NB",B777)),
ISNUMBER(SEARCH("WEBCAM",B777)),
ISNUMBER(SEARCH("WEB CAM",B777)),
ISNUMBER(SEARCH("MOUSE",B777)),
ISNUMBER(SEARCH("TECLADO",B777))
),
"COMPLEMENTO",
IF(
OR(
LEFT(A777,2)="NB",
LEFT(A777,2)="PC",
LEFT(A777,2)="WS",
LEFT(A777,2)="TB",
LEFT(A777,3)="CEL",
LEFT(A777,3)="MON",
LEFT(A777,3)="PRE",
LEFT(A777,3)="PRH",
ISNUMBER(SEARCH("NOTEBOOK",B777)),
ISNUMBER(SEARCH("LAPTOP",B777)),
ISNUMBER(SEARCH("MONITOR",B777)),
ISNUMBER(SEARCH("TABLET",B777)),
ISNUMBER(SEARCH("SMARTPH",B777)),
ISNUMBER(SEARCH("IMPRESORA",B777)),
ISNUMBER(SEARCH("MULTIFUNCIONAL",B777)),
ISNUMBER(SEARCH("AIO",B777))
),
"GANCHO",
"NORMAL"
)
)</f>
        <v>NORMAL</v>
      </c>
    </row>
    <row r="776" spans="1:12" x14ac:dyDescent="0.25">
      <c r="A776" s="3" t="s">
        <v>1517</v>
      </c>
      <c r="B776" s="3" t="s">
        <v>1518</v>
      </c>
      <c r="C776" s="1">
        <v>20</v>
      </c>
      <c r="D776" s="1">
        <v>100</v>
      </c>
      <c r="E776" s="1" t="s">
        <v>54</v>
      </c>
      <c r="F776" s="1" t="s">
        <v>3501</v>
      </c>
      <c r="G776" s="3"/>
      <c r="H776" s="11">
        <f>ROUND(
IF(L774="GANCHO",
   IF(I776&lt;=50,I776*1.1+4,IF(I776&lt;=120,I776*1.1+7,IF(I776&lt;=250,I776*1.1+11,I776*1.1+19))),
IF(L774="NORMAL",
   IF(I776&lt;=30,I776*1.15+2,IF(I776&lt;=80,I776*1.15+4,IF(I776&lt;=150,I776*1.15+6,I776*1.15+8))),
IF(L774="COMPLEMENTO",
   IF(I776&lt;=25,I776*1.25+1.5,IF(I776&lt;=60,I776*1.25+3,IF(I776&lt;=120,I776*1.25+4,I776*1.25+5))),
""))),2)</f>
        <v>480.24</v>
      </c>
      <c r="I776" s="9">
        <f>($K$2+0.02)*Tabla1[[#This Row],[PRECIO $]]*1.18</f>
        <v>410.64</v>
      </c>
      <c r="J776" s="7">
        <f>+Tabla1[[#This Row],[PRECIO EN SOLES]]-Tabla1[[#This Row],[PC]]</f>
        <v>69.600000000000023</v>
      </c>
      <c r="K776" s="15"/>
      <c r="L776" s="15" t="str">
        <f>IF(
OR(
ISNUMBER(SEARCH("BACKPACK",B778)),
ISNUMBER(SEARCH("MOCHILA",B778)),
ISNUMBER(SEARCH("FUNDA",B778)),
ISNUMBER(SEARCH("ESTUCHE",B778)),
ISNUMBER(SEARCH("BOOK COVER",B778)),
ISNUMBER(SEARCH("KEYBOARD PARA TABLET",B778)),
ISNUMBER(SEARCH("FLIP TABLET",B778)),
ISNUMBER(SEARCH("CASE FOR TABLET",B778)),
ISNUMBER(SEARCH("CABLE",B778)),
ISNUMBER(SEARCH("ADAPTADOR",B778)),
ISNUMBER(SEARCH("HUB",B778)),
ISNUMBER(SEARCH("DOCK",B778)),
ISNUMBER(SEARCH("MOUSE PAD",B778)),
ISNUMBER(SEARCH("MOUSEPAD",B778)),
ISNUMBER(SEARCH("SOPORTE",B778)),
ISNUMBER(SEARCH("STAND",B778)),
ISNUMBER(SEARCH("TRAVEL ADAPTER",B778)),
ISNUMBER(SEARCH("RJ45",B778)),
ISNUMBER(SEARCH("USB-C",B778)),
ISNUMBER(SEARCH("USB WIFI",B778)),
ISNUMBER(SEARCH("POWERBANK",B778)),
ISNUMBER(SEARCH("CARGADOR",B778)),
ISNUMBER(SEARCH("COOLER PARA NB",B778)),
ISNUMBER(SEARCH("SOPORTE PARA NB",B778)),
ISNUMBER(SEARCH("WEBCAM",B778)),
ISNUMBER(SEARCH("WEB CAM",B778)),
ISNUMBER(SEARCH("MOUSE",B778)),
ISNUMBER(SEARCH("TECLADO",B778))
),
"COMPLEMENTO",
IF(
OR(
LEFT(A778,2)="NB",
LEFT(A778,2)="PC",
LEFT(A778,2)="WS",
LEFT(A778,2)="TB",
LEFT(A778,3)="CEL",
LEFT(A778,3)="MON",
LEFT(A778,3)="PRE",
LEFT(A778,3)="PRH",
ISNUMBER(SEARCH("NOTEBOOK",B778)),
ISNUMBER(SEARCH("LAPTOP",B778)),
ISNUMBER(SEARCH("MONITOR",B778)),
ISNUMBER(SEARCH("TABLET",B778)),
ISNUMBER(SEARCH("SMARTPH",B778)),
ISNUMBER(SEARCH("IMPRESORA",B778)),
ISNUMBER(SEARCH("MULTIFUNCIONAL",B778)),
ISNUMBER(SEARCH("AIO",B778))
),
"GANCHO",
"NORMAL"
)
)</f>
        <v>NORMAL</v>
      </c>
    </row>
    <row r="777" spans="1:12" x14ac:dyDescent="0.25">
      <c r="A777" s="3" t="s">
        <v>1519</v>
      </c>
      <c r="B777" s="3" t="s">
        <v>1520</v>
      </c>
      <c r="C777" s="1">
        <v>20</v>
      </c>
      <c r="D777" s="1">
        <v>666</v>
      </c>
      <c r="E777" s="1" t="s">
        <v>55</v>
      </c>
      <c r="F777" s="1" t="s">
        <v>3502</v>
      </c>
      <c r="G777" s="3"/>
      <c r="H777" s="11">
        <f>ROUND(
IF(L775="GANCHO",
   IF(I777&lt;=50,I777*1.1+4,IF(I777&lt;=120,I777*1.1+7,IF(I777&lt;=250,I777*1.1+11,I777*1.1+19))),
IF(L775="NORMAL",
   IF(I777&lt;=30,I777*1.15+2,IF(I777&lt;=80,I777*1.15+4,IF(I777&lt;=150,I777*1.15+6,I777*1.15+8))),
IF(L775="COMPLEMENTO",
   IF(I777&lt;=25,I777*1.25+1.5,IF(I777&lt;=60,I777*1.25+3,IF(I777&lt;=120,I777*1.25+4,I777*1.25+5))),
""))),2)</f>
        <v>3153.09</v>
      </c>
      <c r="I777" s="9">
        <f>($K$2+0.02)*Tabla1[[#This Row],[PRECIO $]]*1.18</f>
        <v>2734.8623999999995</v>
      </c>
      <c r="J777" s="7">
        <f>+Tabla1[[#This Row],[PRECIO EN SOLES]]-Tabla1[[#This Row],[PC]]</f>
        <v>418.22760000000062</v>
      </c>
      <c r="K777" s="15"/>
      <c r="L777" s="15" t="str">
        <f>IF(
OR(
ISNUMBER(SEARCH("BACKPACK",B779)),
ISNUMBER(SEARCH("MOCHILA",B779)),
ISNUMBER(SEARCH("FUNDA",B779)),
ISNUMBER(SEARCH("ESTUCHE",B779)),
ISNUMBER(SEARCH("BOOK COVER",B779)),
ISNUMBER(SEARCH("KEYBOARD PARA TABLET",B779)),
ISNUMBER(SEARCH("FLIP TABLET",B779)),
ISNUMBER(SEARCH("CASE FOR TABLET",B779)),
ISNUMBER(SEARCH("CABLE",B779)),
ISNUMBER(SEARCH("ADAPTADOR",B779)),
ISNUMBER(SEARCH("HUB",B779)),
ISNUMBER(SEARCH("DOCK",B779)),
ISNUMBER(SEARCH("MOUSE PAD",B779)),
ISNUMBER(SEARCH("MOUSEPAD",B779)),
ISNUMBER(SEARCH("SOPORTE",B779)),
ISNUMBER(SEARCH("STAND",B779)),
ISNUMBER(SEARCH("TRAVEL ADAPTER",B779)),
ISNUMBER(SEARCH("RJ45",B779)),
ISNUMBER(SEARCH("USB-C",B779)),
ISNUMBER(SEARCH("USB WIFI",B779)),
ISNUMBER(SEARCH("POWERBANK",B779)),
ISNUMBER(SEARCH("CARGADOR",B779)),
ISNUMBER(SEARCH("COOLER PARA NB",B779)),
ISNUMBER(SEARCH("SOPORTE PARA NB",B779)),
ISNUMBER(SEARCH("WEBCAM",B779)),
ISNUMBER(SEARCH("WEB CAM",B779)),
ISNUMBER(SEARCH("MOUSE",B779)),
ISNUMBER(SEARCH("TECLADO",B779))
),
"COMPLEMENTO",
IF(
OR(
LEFT(A779,2)="NB",
LEFT(A779,2)="PC",
LEFT(A779,2)="WS",
LEFT(A779,2)="TB",
LEFT(A779,3)="CEL",
LEFT(A779,3)="MON",
LEFT(A779,3)="PRE",
LEFT(A779,3)="PRH",
ISNUMBER(SEARCH("NOTEBOOK",B779)),
ISNUMBER(SEARCH("LAPTOP",B779)),
ISNUMBER(SEARCH("MONITOR",B779)),
ISNUMBER(SEARCH("TABLET",B779)),
ISNUMBER(SEARCH("SMARTPH",B779)),
ISNUMBER(SEARCH("IMPRESORA",B779)),
ISNUMBER(SEARCH("MULTIFUNCIONAL",B779)),
ISNUMBER(SEARCH("AIO",B779))
),
"GANCHO",
"NORMAL"
)
)</f>
        <v>NORMAL</v>
      </c>
    </row>
    <row r="778" spans="1:12" x14ac:dyDescent="0.25">
      <c r="A778" s="3" t="s">
        <v>1521</v>
      </c>
      <c r="B778" s="3" t="s">
        <v>1522</v>
      </c>
      <c r="C778" s="1">
        <v>0</v>
      </c>
      <c r="D778" s="1">
        <v>666</v>
      </c>
      <c r="E778" s="1" t="s">
        <v>55</v>
      </c>
      <c r="F778" s="1" t="s">
        <v>3503</v>
      </c>
      <c r="G778" s="3"/>
      <c r="H778" s="11">
        <f>ROUND(
IF(L776="GANCHO",
   IF(I778&lt;=50,I778*1.1+4,IF(I778&lt;=120,I778*1.1+7,IF(I778&lt;=250,I778*1.1+11,I778*1.1+19))),
IF(L776="NORMAL",
   IF(I778&lt;=30,I778*1.15+2,IF(I778&lt;=80,I778*1.15+4,IF(I778&lt;=150,I778*1.15+6,I778*1.15+8))),
IF(L776="COMPLEMENTO",
   IF(I778&lt;=25,I778*1.25+1.5,IF(I778&lt;=60,I778*1.25+3,IF(I778&lt;=120,I778*1.25+4,I778*1.25+5))),
""))),2)</f>
        <v>3153.09</v>
      </c>
      <c r="I778" s="9">
        <f>($K$2+0.02)*Tabla1[[#This Row],[PRECIO $]]*1.18</f>
        <v>2734.8623999999995</v>
      </c>
      <c r="J778" s="7">
        <f>+Tabla1[[#This Row],[PRECIO EN SOLES]]-Tabla1[[#This Row],[PC]]</f>
        <v>418.22760000000062</v>
      </c>
      <c r="K778" s="15"/>
      <c r="L778" s="15" t="str">
        <f>IF(
OR(
ISNUMBER(SEARCH("BACKPACK",B780)),
ISNUMBER(SEARCH("MOCHILA",B780)),
ISNUMBER(SEARCH("FUNDA",B780)),
ISNUMBER(SEARCH("ESTUCHE",B780)),
ISNUMBER(SEARCH("BOOK COVER",B780)),
ISNUMBER(SEARCH("KEYBOARD PARA TABLET",B780)),
ISNUMBER(SEARCH("FLIP TABLET",B780)),
ISNUMBER(SEARCH("CASE FOR TABLET",B780)),
ISNUMBER(SEARCH("CABLE",B780)),
ISNUMBER(SEARCH("ADAPTADOR",B780)),
ISNUMBER(SEARCH("HUB",B780)),
ISNUMBER(SEARCH("DOCK",B780)),
ISNUMBER(SEARCH("MOUSE PAD",B780)),
ISNUMBER(SEARCH("MOUSEPAD",B780)),
ISNUMBER(SEARCH("SOPORTE",B780)),
ISNUMBER(SEARCH("STAND",B780)),
ISNUMBER(SEARCH("TRAVEL ADAPTER",B780)),
ISNUMBER(SEARCH("RJ45",B780)),
ISNUMBER(SEARCH("USB-C",B780)),
ISNUMBER(SEARCH("USB WIFI",B780)),
ISNUMBER(SEARCH("POWERBANK",B780)),
ISNUMBER(SEARCH("CARGADOR",B780)),
ISNUMBER(SEARCH("COOLER PARA NB",B780)),
ISNUMBER(SEARCH("SOPORTE PARA NB",B780)),
ISNUMBER(SEARCH("WEBCAM",B780)),
ISNUMBER(SEARCH("WEB CAM",B780)),
ISNUMBER(SEARCH("MOUSE",B780)),
ISNUMBER(SEARCH("TECLADO",B780))
),
"COMPLEMENTO",
IF(
OR(
LEFT(A780,2)="NB",
LEFT(A780,2)="PC",
LEFT(A780,2)="WS",
LEFT(A780,2)="TB",
LEFT(A780,3)="CEL",
LEFT(A780,3)="MON",
LEFT(A780,3)="PRE",
LEFT(A780,3)="PRH",
ISNUMBER(SEARCH("NOTEBOOK",B780)),
ISNUMBER(SEARCH("LAPTOP",B780)),
ISNUMBER(SEARCH("MONITOR",B780)),
ISNUMBER(SEARCH("TABLET",B780)),
ISNUMBER(SEARCH("SMARTPH",B780)),
ISNUMBER(SEARCH("IMPRESORA",B780)),
ISNUMBER(SEARCH("MULTIFUNCIONAL",B780)),
ISNUMBER(SEARCH("AIO",B780))
),
"GANCHO",
"NORMAL"
)
)</f>
        <v>NORMAL</v>
      </c>
    </row>
    <row r="779" spans="1:12" x14ac:dyDescent="0.25">
      <c r="A779" s="3" t="s">
        <v>1523</v>
      </c>
      <c r="B779" s="3" t="s">
        <v>1524</v>
      </c>
      <c r="C779" s="1">
        <v>0</v>
      </c>
      <c r="D779" s="1">
        <v>99</v>
      </c>
      <c r="E779" s="1" t="s">
        <v>55</v>
      </c>
      <c r="F779" s="1" t="s">
        <v>3504</v>
      </c>
      <c r="G779" s="3"/>
      <c r="H779" s="11">
        <f>ROUND(
IF(L777="GANCHO",
   IF(I779&lt;=50,I779*1.1+4,IF(I779&lt;=120,I779*1.1+7,IF(I779&lt;=250,I779*1.1+11,I779*1.1+19))),
IF(L777="NORMAL",
   IF(I779&lt;=30,I779*1.15+2,IF(I779&lt;=80,I779*1.15+4,IF(I779&lt;=150,I779*1.15+6,I779*1.15+8))),
IF(L777="COMPLEMENTO",
   IF(I779&lt;=25,I779*1.25+1.5,IF(I779&lt;=60,I779*1.25+3,IF(I779&lt;=120,I779*1.25+4,I779*1.25+5))),
""))),2)</f>
        <v>475.51</v>
      </c>
      <c r="I779" s="9">
        <f>($K$2+0.02)*Tabla1[[#This Row],[PRECIO $]]*1.18</f>
        <v>406.53359999999998</v>
      </c>
      <c r="J779" s="7">
        <f>+Tabla1[[#This Row],[PRECIO EN SOLES]]-Tabla1[[#This Row],[PC]]</f>
        <v>68.976400000000012</v>
      </c>
      <c r="K779" s="15"/>
      <c r="L779" s="15" t="str">
        <f>IF(
OR(
ISNUMBER(SEARCH("BACKPACK",B781)),
ISNUMBER(SEARCH("MOCHILA",B781)),
ISNUMBER(SEARCH("FUNDA",B781)),
ISNUMBER(SEARCH("ESTUCHE",B781)),
ISNUMBER(SEARCH("BOOK COVER",B781)),
ISNUMBER(SEARCH("KEYBOARD PARA TABLET",B781)),
ISNUMBER(SEARCH("FLIP TABLET",B781)),
ISNUMBER(SEARCH("CASE FOR TABLET",B781)),
ISNUMBER(SEARCH("CABLE",B781)),
ISNUMBER(SEARCH("ADAPTADOR",B781)),
ISNUMBER(SEARCH("HUB",B781)),
ISNUMBER(SEARCH("DOCK",B781)),
ISNUMBER(SEARCH("MOUSE PAD",B781)),
ISNUMBER(SEARCH("MOUSEPAD",B781)),
ISNUMBER(SEARCH("SOPORTE",B781)),
ISNUMBER(SEARCH("STAND",B781)),
ISNUMBER(SEARCH("TRAVEL ADAPTER",B781)),
ISNUMBER(SEARCH("RJ45",B781)),
ISNUMBER(SEARCH("USB-C",B781)),
ISNUMBER(SEARCH("USB WIFI",B781)),
ISNUMBER(SEARCH("POWERBANK",B781)),
ISNUMBER(SEARCH("CARGADOR",B781)),
ISNUMBER(SEARCH("COOLER PARA NB",B781)),
ISNUMBER(SEARCH("SOPORTE PARA NB",B781)),
ISNUMBER(SEARCH("WEBCAM",B781)),
ISNUMBER(SEARCH("WEB CAM",B781)),
ISNUMBER(SEARCH("MOUSE",B781)),
ISNUMBER(SEARCH("TECLADO",B781))
),
"COMPLEMENTO",
IF(
OR(
LEFT(A781,2)="NB",
LEFT(A781,2)="PC",
LEFT(A781,2)="WS",
LEFT(A781,2)="TB",
LEFT(A781,3)="CEL",
LEFT(A781,3)="MON",
LEFT(A781,3)="PRE",
LEFT(A781,3)="PRH",
ISNUMBER(SEARCH("NOTEBOOK",B781)),
ISNUMBER(SEARCH("LAPTOP",B781)),
ISNUMBER(SEARCH("MONITOR",B781)),
ISNUMBER(SEARCH("TABLET",B781)),
ISNUMBER(SEARCH("SMARTPH",B781)),
ISNUMBER(SEARCH("IMPRESORA",B781)),
ISNUMBER(SEARCH("MULTIFUNCIONAL",B781)),
ISNUMBER(SEARCH("AIO",B781))
),
"GANCHO",
"NORMAL"
)
)</f>
        <v>NORMAL</v>
      </c>
    </row>
    <row r="780" spans="1:12" x14ac:dyDescent="0.25">
      <c r="A780" s="3" t="s">
        <v>1525</v>
      </c>
      <c r="B780" s="3" t="s">
        <v>1526</v>
      </c>
      <c r="C780" s="1">
        <v>20</v>
      </c>
      <c r="D780" s="1">
        <v>6.5</v>
      </c>
      <c r="E780" s="1" t="s">
        <v>52</v>
      </c>
      <c r="F780" s="1" t="s">
        <v>3505</v>
      </c>
      <c r="G780" s="3"/>
      <c r="H780" s="11">
        <f>ROUND(
IF(L778="GANCHO",
   IF(I780&lt;=50,I780*1.1+4,IF(I780&lt;=120,I780*1.1+7,IF(I780&lt;=250,I780*1.1+11,I780*1.1+19))),
IF(L778="NORMAL",
   IF(I780&lt;=30,I780*1.15+2,IF(I780&lt;=80,I780*1.15+4,IF(I780&lt;=150,I780*1.15+6,I780*1.15+8))),
IF(L778="COMPLEMENTO",
   IF(I780&lt;=25,I780*1.25+1.5,IF(I780&lt;=60,I780*1.25+3,IF(I780&lt;=120,I780*1.25+4,I780*1.25+5))),
""))),2)</f>
        <v>32.700000000000003</v>
      </c>
      <c r="I780" s="9">
        <f>($K$2+0.02)*Tabla1[[#This Row],[PRECIO $]]*1.18</f>
        <v>26.691600000000001</v>
      </c>
      <c r="J780" s="7">
        <f>+Tabla1[[#This Row],[PRECIO EN SOLES]]-Tabla1[[#This Row],[PC]]</f>
        <v>6.0084000000000017</v>
      </c>
      <c r="K780" s="15"/>
      <c r="L780" s="15" t="str">
        <f>IF(
OR(
ISNUMBER(SEARCH("BACKPACK",B782)),
ISNUMBER(SEARCH("MOCHILA",B782)),
ISNUMBER(SEARCH("FUNDA",B782)),
ISNUMBER(SEARCH("ESTUCHE",B782)),
ISNUMBER(SEARCH("BOOK COVER",B782)),
ISNUMBER(SEARCH("KEYBOARD PARA TABLET",B782)),
ISNUMBER(SEARCH("FLIP TABLET",B782)),
ISNUMBER(SEARCH("CASE FOR TABLET",B782)),
ISNUMBER(SEARCH("CABLE",B782)),
ISNUMBER(SEARCH("ADAPTADOR",B782)),
ISNUMBER(SEARCH("HUB",B782)),
ISNUMBER(SEARCH("DOCK",B782)),
ISNUMBER(SEARCH("MOUSE PAD",B782)),
ISNUMBER(SEARCH("MOUSEPAD",B782)),
ISNUMBER(SEARCH("SOPORTE",B782)),
ISNUMBER(SEARCH("STAND",B782)),
ISNUMBER(SEARCH("TRAVEL ADAPTER",B782)),
ISNUMBER(SEARCH("RJ45",B782)),
ISNUMBER(SEARCH("USB-C",B782)),
ISNUMBER(SEARCH("USB WIFI",B782)),
ISNUMBER(SEARCH("POWERBANK",B782)),
ISNUMBER(SEARCH("CARGADOR",B782)),
ISNUMBER(SEARCH("COOLER PARA NB",B782)),
ISNUMBER(SEARCH("SOPORTE PARA NB",B782)),
ISNUMBER(SEARCH("WEBCAM",B782)),
ISNUMBER(SEARCH("WEB CAM",B782)),
ISNUMBER(SEARCH("MOUSE",B782)),
ISNUMBER(SEARCH("TECLADO",B782))
),
"COMPLEMENTO",
IF(
OR(
LEFT(A782,2)="NB",
LEFT(A782,2)="PC",
LEFT(A782,2)="WS",
LEFT(A782,2)="TB",
LEFT(A782,3)="CEL",
LEFT(A782,3)="MON",
LEFT(A782,3)="PRE",
LEFT(A782,3)="PRH",
ISNUMBER(SEARCH("NOTEBOOK",B782)),
ISNUMBER(SEARCH("LAPTOP",B782)),
ISNUMBER(SEARCH("MONITOR",B782)),
ISNUMBER(SEARCH("TABLET",B782)),
ISNUMBER(SEARCH("SMARTPH",B782)),
ISNUMBER(SEARCH("IMPRESORA",B782)),
ISNUMBER(SEARCH("MULTIFUNCIONAL",B782)),
ISNUMBER(SEARCH("AIO",B782))
),
"GANCHO",
"NORMAL"
)
)</f>
        <v>NORMAL</v>
      </c>
    </row>
    <row r="781" spans="1:12" x14ac:dyDescent="0.25">
      <c r="A781" s="3" t="s">
        <v>1527</v>
      </c>
      <c r="B781" s="3" t="s">
        <v>1528</v>
      </c>
      <c r="C781" s="1">
        <v>0</v>
      </c>
      <c r="D781" s="1">
        <v>99</v>
      </c>
      <c r="E781" s="1" t="s">
        <v>52</v>
      </c>
      <c r="F781" s="1" t="s">
        <v>3506</v>
      </c>
      <c r="G781" s="3"/>
      <c r="H781" s="11">
        <f>ROUND(
IF(L779="GANCHO",
   IF(I781&lt;=50,I781*1.1+4,IF(I781&lt;=120,I781*1.1+7,IF(I781&lt;=250,I781*1.1+11,I781*1.1+19))),
IF(L779="NORMAL",
   IF(I781&lt;=30,I781*1.15+2,IF(I781&lt;=80,I781*1.15+4,IF(I781&lt;=150,I781*1.15+6,I781*1.15+8))),
IF(L779="COMPLEMENTO",
   IF(I781&lt;=25,I781*1.25+1.5,IF(I781&lt;=60,I781*1.25+3,IF(I781&lt;=120,I781*1.25+4,I781*1.25+5))),
""))),2)</f>
        <v>475.51</v>
      </c>
      <c r="I781" s="9">
        <f>($K$2+0.02)*Tabla1[[#This Row],[PRECIO $]]*1.18</f>
        <v>406.53359999999998</v>
      </c>
      <c r="J781" s="7">
        <f>+Tabla1[[#This Row],[PRECIO EN SOLES]]-Tabla1[[#This Row],[PC]]</f>
        <v>68.976400000000012</v>
      </c>
      <c r="K781" s="15"/>
      <c r="L781" s="15" t="str">
        <f>IF(
OR(
ISNUMBER(SEARCH("BACKPACK",B783)),
ISNUMBER(SEARCH("MOCHILA",B783)),
ISNUMBER(SEARCH("FUNDA",B783)),
ISNUMBER(SEARCH("ESTUCHE",B783)),
ISNUMBER(SEARCH("BOOK COVER",B783)),
ISNUMBER(SEARCH("KEYBOARD PARA TABLET",B783)),
ISNUMBER(SEARCH("FLIP TABLET",B783)),
ISNUMBER(SEARCH("CASE FOR TABLET",B783)),
ISNUMBER(SEARCH("CABLE",B783)),
ISNUMBER(SEARCH("ADAPTADOR",B783)),
ISNUMBER(SEARCH("HUB",B783)),
ISNUMBER(SEARCH("DOCK",B783)),
ISNUMBER(SEARCH("MOUSE PAD",B783)),
ISNUMBER(SEARCH("MOUSEPAD",B783)),
ISNUMBER(SEARCH("SOPORTE",B783)),
ISNUMBER(SEARCH("STAND",B783)),
ISNUMBER(SEARCH("TRAVEL ADAPTER",B783)),
ISNUMBER(SEARCH("RJ45",B783)),
ISNUMBER(SEARCH("USB-C",B783)),
ISNUMBER(SEARCH("USB WIFI",B783)),
ISNUMBER(SEARCH("POWERBANK",B783)),
ISNUMBER(SEARCH("CARGADOR",B783)),
ISNUMBER(SEARCH("COOLER PARA NB",B783)),
ISNUMBER(SEARCH("SOPORTE PARA NB",B783)),
ISNUMBER(SEARCH("WEBCAM",B783)),
ISNUMBER(SEARCH("WEB CAM",B783)),
ISNUMBER(SEARCH("MOUSE",B783)),
ISNUMBER(SEARCH("TECLADO",B783))
),
"COMPLEMENTO",
IF(
OR(
LEFT(A783,2)="NB",
LEFT(A783,2)="PC",
LEFT(A783,2)="WS",
LEFT(A783,2)="TB",
LEFT(A783,3)="CEL",
LEFT(A783,3)="MON",
LEFT(A783,3)="PRE",
LEFT(A783,3)="PRH",
ISNUMBER(SEARCH("NOTEBOOK",B783)),
ISNUMBER(SEARCH("LAPTOP",B783)),
ISNUMBER(SEARCH("MONITOR",B783)),
ISNUMBER(SEARCH("TABLET",B783)),
ISNUMBER(SEARCH("SMARTPH",B783)),
ISNUMBER(SEARCH("IMPRESORA",B783)),
ISNUMBER(SEARCH("MULTIFUNCIONAL",B783)),
ISNUMBER(SEARCH("AIO",B783))
),
"GANCHO",
"NORMAL"
)
)</f>
        <v>NORMAL</v>
      </c>
    </row>
    <row r="782" spans="1:12" x14ac:dyDescent="0.25">
      <c r="A782" s="3" t="s">
        <v>1529</v>
      </c>
      <c r="B782" s="3" t="s">
        <v>1530</v>
      </c>
      <c r="C782" s="1">
        <v>0</v>
      </c>
      <c r="D782" s="1">
        <v>99</v>
      </c>
      <c r="E782" s="1" t="s">
        <v>52</v>
      </c>
      <c r="F782" s="1" t="s">
        <v>3507</v>
      </c>
      <c r="G782" s="3"/>
      <c r="H782" s="11">
        <f>ROUND(
IF(L780="GANCHO",
   IF(I782&lt;=50,I782*1.1+4,IF(I782&lt;=120,I782*1.1+7,IF(I782&lt;=250,I782*1.1+11,I782*1.1+19))),
IF(L780="NORMAL",
   IF(I782&lt;=30,I782*1.15+2,IF(I782&lt;=80,I782*1.15+4,IF(I782&lt;=150,I782*1.15+6,I782*1.15+8))),
IF(L780="COMPLEMENTO",
   IF(I782&lt;=25,I782*1.25+1.5,IF(I782&lt;=60,I782*1.25+3,IF(I782&lt;=120,I782*1.25+4,I782*1.25+5))),
""))),2)</f>
        <v>475.51</v>
      </c>
      <c r="I782" s="9">
        <f>($K$2+0.02)*Tabla1[[#This Row],[PRECIO $]]*1.18</f>
        <v>406.53359999999998</v>
      </c>
      <c r="J782" s="7">
        <f>+Tabla1[[#This Row],[PRECIO EN SOLES]]-Tabla1[[#This Row],[PC]]</f>
        <v>68.976400000000012</v>
      </c>
      <c r="K782" s="15"/>
      <c r="L782" s="15" t="str">
        <f>IF(
OR(
ISNUMBER(SEARCH("BACKPACK",B784)),
ISNUMBER(SEARCH("MOCHILA",B784)),
ISNUMBER(SEARCH("FUNDA",B784)),
ISNUMBER(SEARCH("ESTUCHE",B784)),
ISNUMBER(SEARCH("BOOK COVER",B784)),
ISNUMBER(SEARCH("KEYBOARD PARA TABLET",B784)),
ISNUMBER(SEARCH("FLIP TABLET",B784)),
ISNUMBER(SEARCH("CASE FOR TABLET",B784)),
ISNUMBER(SEARCH("CABLE",B784)),
ISNUMBER(SEARCH("ADAPTADOR",B784)),
ISNUMBER(SEARCH("HUB",B784)),
ISNUMBER(SEARCH("DOCK",B784)),
ISNUMBER(SEARCH("MOUSE PAD",B784)),
ISNUMBER(SEARCH("MOUSEPAD",B784)),
ISNUMBER(SEARCH("SOPORTE",B784)),
ISNUMBER(SEARCH("STAND",B784)),
ISNUMBER(SEARCH("TRAVEL ADAPTER",B784)),
ISNUMBER(SEARCH("RJ45",B784)),
ISNUMBER(SEARCH("USB-C",B784)),
ISNUMBER(SEARCH("USB WIFI",B784)),
ISNUMBER(SEARCH("POWERBANK",B784)),
ISNUMBER(SEARCH("CARGADOR",B784)),
ISNUMBER(SEARCH("COOLER PARA NB",B784)),
ISNUMBER(SEARCH("SOPORTE PARA NB",B784)),
ISNUMBER(SEARCH("WEBCAM",B784)),
ISNUMBER(SEARCH("WEB CAM",B784)),
ISNUMBER(SEARCH("MOUSE",B784)),
ISNUMBER(SEARCH("TECLADO",B784))
),
"COMPLEMENTO",
IF(
OR(
LEFT(A784,2)="NB",
LEFT(A784,2)="PC",
LEFT(A784,2)="WS",
LEFT(A784,2)="TB",
LEFT(A784,3)="CEL",
LEFT(A784,3)="MON",
LEFT(A784,3)="PRE",
LEFT(A784,3)="PRH",
ISNUMBER(SEARCH("NOTEBOOK",B784)),
ISNUMBER(SEARCH("LAPTOP",B784)),
ISNUMBER(SEARCH("MONITOR",B784)),
ISNUMBER(SEARCH("TABLET",B784)),
ISNUMBER(SEARCH("SMARTPH",B784)),
ISNUMBER(SEARCH("IMPRESORA",B784)),
ISNUMBER(SEARCH("MULTIFUNCIONAL",B784)),
ISNUMBER(SEARCH("AIO",B784))
),
"GANCHO",
"NORMAL"
)
)</f>
        <v>NORMAL</v>
      </c>
    </row>
    <row r="783" spans="1:12" x14ac:dyDescent="0.25">
      <c r="A783" s="3" t="s">
        <v>1531</v>
      </c>
      <c r="B783" s="3" t="s">
        <v>1528</v>
      </c>
      <c r="C783" s="1">
        <v>20</v>
      </c>
      <c r="D783" s="1">
        <v>10</v>
      </c>
      <c r="E783" s="1" t="s">
        <v>52</v>
      </c>
      <c r="F783" s="1" t="s">
        <v>3508</v>
      </c>
      <c r="G783" s="3"/>
      <c r="H783" s="11">
        <f>ROUND(
IF(L781="GANCHO",
   IF(I783&lt;=50,I783*1.1+4,IF(I783&lt;=120,I783*1.1+7,IF(I783&lt;=250,I783*1.1+11,I783*1.1+19))),
IF(L781="NORMAL",
   IF(I783&lt;=30,I783*1.15+2,IF(I783&lt;=80,I783*1.15+4,IF(I783&lt;=150,I783*1.15+6,I783*1.15+8))),
IF(L781="COMPLEMENTO",
   IF(I783&lt;=25,I783*1.25+1.5,IF(I783&lt;=60,I783*1.25+3,IF(I783&lt;=120,I783*1.25+4,I783*1.25+5))),
""))),2)</f>
        <v>51.22</v>
      </c>
      <c r="I783" s="9">
        <f>($K$2+0.02)*Tabla1[[#This Row],[PRECIO $]]*1.18</f>
        <v>41.063999999999993</v>
      </c>
      <c r="J783" s="7">
        <f>+Tabla1[[#This Row],[PRECIO EN SOLES]]-Tabla1[[#This Row],[PC]]</f>
        <v>10.156000000000006</v>
      </c>
      <c r="K783" s="15"/>
      <c r="L783" s="15" t="str">
        <f>IF(
OR(
ISNUMBER(SEARCH("BACKPACK",B785)),
ISNUMBER(SEARCH("MOCHILA",B785)),
ISNUMBER(SEARCH("FUNDA",B785)),
ISNUMBER(SEARCH("ESTUCHE",B785)),
ISNUMBER(SEARCH("BOOK COVER",B785)),
ISNUMBER(SEARCH("KEYBOARD PARA TABLET",B785)),
ISNUMBER(SEARCH("FLIP TABLET",B785)),
ISNUMBER(SEARCH("CASE FOR TABLET",B785)),
ISNUMBER(SEARCH("CABLE",B785)),
ISNUMBER(SEARCH("ADAPTADOR",B785)),
ISNUMBER(SEARCH("HUB",B785)),
ISNUMBER(SEARCH("DOCK",B785)),
ISNUMBER(SEARCH("MOUSE PAD",B785)),
ISNUMBER(SEARCH("MOUSEPAD",B785)),
ISNUMBER(SEARCH("SOPORTE",B785)),
ISNUMBER(SEARCH("STAND",B785)),
ISNUMBER(SEARCH("TRAVEL ADAPTER",B785)),
ISNUMBER(SEARCH("RJ45",B785)),
ISNUMBER(SEARCH("USB-C",B785)),
ISNUMBER(SEARCH("USB WIFI",B785)),
ISNUMBER(SEARCH("POWERBANK",B785)),
ISNUMBER(SEARCH("CARGADOR",B785)),
ISNUMBER(SEARCH("COOLER PARA NB",B785)),
ISNUMBER(SEARCH("SOPORTE PARA NB",B785)),
ISNUMBER(SEARCH("WEBCAM",B785)),
ISNUMBER(SEARCH("WEB CAM",B785)),
ISNUMBER(SEARCH("MOUSE",B785)),
ISNUMBER(SEARCH("TECLADO",B785))
),
"COMPLEMENTO",
IF(
OR(
LEFT(A785,2)="NB",
LEFT(A785,2)="PC",
LEFT(A785,2)="WS",
LEFT(A785,2)="TB",
LEFT(A785,3)="CEL",
LEFT(A785,3)="MON",
LEFT(A785,3)="PRE",
LEFT(A785,3)="PRH",
ISNUMBER(SEARCH("NOTEBOOK",B785)),
ISNUMBER(SEARCH("LAPTOP",B785)),
ISNUMBER(SEARCH("MONITOR",B785)),
ISNUMBER(SEARCH("TABLET",B785)),
ISNUMBER(SEARCH("SMARTPH",B785)),
ISNUMBER(SEARCH("IMPRESORA",B785)),
ISNUMBER(SEARCH("MULTIFUNCIONAL",B785)),
ISNUMBER(SEARCH("AIO",B785))
),
"GANCHO",
"NORMAL"
)
)</f>
        <v>NORMAL</v>
      </c>
    </row>
    <row r="784" spans="1:12" x14ac:dyDescent="0.25">
      <c r="A784" s="3" t="s">
        <v>1532</v>
      </c>
      <c r="B784" s="3" t="s">
        <v>1533</v>
      </c>
      <c r="C784" s="1">
        <v>20</v>
      </c>
      <c r="D784" s="1">
        <v>20</v>
      </c>
      <c r="E784" s="1" t="s">
        <v>52</v>
      </c>
      <c r="F784" s="1" t="s">
        <v>3509</v>
      </c>
      <c r="G784" s="3"/>
      <c r="H784" s="11">
        <f>ROUND(
IF(L782="GANCHO",
   IF(I784&lt;=50,I784*1.1+4,IF(I784&lt;=120,I784*1.1+7,IF(I784&lt;=250,I784*1.1+11,I784*1.1+19))),
IF(L782="NORMAL",
   IF(I784&lt;=30,I784*1.15+2,IF(I784&lt;=80,I784*1.15+4,IF(I784&lt;=150,I784*1.15+6,I784*1.15+8))),
IF(L782="COMPLEMENTO",
   IF(I784&lt;=25,I784*1.25+1.5,IF(I784&lt;=60,I784*1.25+3,IF(I784&lt;=120,I784*1.25+4,I784*1.25+5))),
""))),2)</f>
        <v>100.45</v>
      </c>
      <c r="I784" s="9">
        <f>($K$2+0.02)*Tabla1[[#This Row],[PRECIO $]]*1.18</f>
        <v>82.127999999999986</v>
      </c>
      <c r="J784" s="7">
        <f>+Tabla1[[#This Row],[PRECIO EN SOLES]]-Tabla1[[#This Row],[PC]]</f>
        <v>18.322000000000017</v>
      </c>
      <c r="K784" s="15"/>
      <c r="L784" s="15" t="str">
        <f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5" spans="1:12" x14ac:dyDescent="0.25">
      <c r="A785" s="3" t="s">
        <v>4300</v>
      </c>
      <c r="B785" s="3" t="s">
        <v>4301</v>
      </c>
      <c r="C785" s="1">
        <v>20</v>
      </c>
      <c r="D785" s="1">
        <v>50</v>
      </c>
      <c r="E785" s="1" t="s">
        <v>52</v>
      </c>
      <c r="F785" s="1" t="s">
        <v>4302</v>
      </c>
      <c r="G785" s="3"/>
      <c r="H785" s="11">
        <f>ROUND(
IF(L783="GANCHO",
   IF(I785&lt;=50,I785*1.1+4,IF(I785&lt;=120,I785*1.1+7,IF(I785&lt;=250,I785*1.1+11,I785*1.1+19))),
IF(L783="NORMAL",
   IF(I785&lt;=30,I785*1.15+2,IF(I785&lt;=80,I785*1.15+4,IF(I785&lt;=150,I785*1.15+6,I785*1.15+8))),
IF(L783="COMPLEMENTO",
   IF(I785&lt;=25,I785*1.25+1.5,IF(I785&lt;=60,I785*1.25+3,IF(I785&lt;=120,I785*1.25+4,I785*1.25+5))),
""))),2)</f>
        <v>244.12</v>
      </c>
      <c r="I785" s="9">
        <f>($K$2+0.02)*Tabla1[[#This Row],[PRECIO $]]*1.18</f>
        <v>205.32</v>
      </c>
      <c r="J785" s="7">
        <f>+Tabla1[[#This Row],[PRECIO EN SOLES]]-Tabla1[[#This Row],[PC]]</f>
        <v>38.800000000000011</v>
      </c>
      <c r="K785" s="15"/>
      <c r="L785" s="15" t="str">
        <f>IF(
OR(
ISNUMBER(SEARCH("BACKPACK",B787)),
ISNUMBER(SEARCH("MOCHILA",B787)),
ISNUMBER(SEARCH("FUNDA",B787)),
ISNUMBER(SEARCH("ESTUCHE",B787)),
ISNUMBER(SEARCH("BOOK COVER",B787)),
ISNUMBER(SEARCH("KEYBOARD PARA TABLET",B787)),
ISNUMBER(SEARCH("FLIP TABLET",B787)),
ISNUMBER(SEARCH("CASE FOR TABLET",B787)),
ISNUMBER(SEARCH("CABLE",B787)),
ISNUMBER(SEARCH("ADAPTADOR",B787)),
ISNUMBER(SEARCH("HUB",B787)),
ISNUMBER(SEARCH("DOCK",B787)),
ISNUMBER(SEARCH("MOUSE PAD",B787)),
ISNUMBER(SEARCH("MOUSEPAD",B787)),
ISNUMBER(SEARCH("SOPORTE",B787)),
ISNUMBER(SEARCH("STAND",B787)),
ISNUMBER(SEARCH("TRAVEL ADAPTER",B787)),
ISNUMBER(SEARCH("RJ45",B787)),
ISNUMBER(SEARCH("USB-C",B787)),
ISNUMBER(SEARCH("USB WIFI",B787)),
ISNUMBER(SEARCH("POWERBANK",B787)),
ISNUMBER(SEARCH("CARGADOR",B787)),
ISNUMBER(SEARCH("COOLER PARA NB",B787)),
ISNUMBER(SEARCH("SOPORTE PARA NB",B787)),
ISNUMBER(SEARCH("WEBCAM",B787)),
ISNUMBER(SEARCH("WEB CAM",B787)),
ISNUMBER(SEARCH("MOUSE",B787)),
ISNUMBER(SEARCH("TECLADO",B787))
),
"COMPLEMENTO",
IF(
OR(
LEFT(A787,2)="NB",
LEFT(A787,2)="PC",
LEFT(A787,2)="WS",
LEFT(A787,2)="TB",
LEFT(A787,3)="CEL",
LEFT(A787,3)="MON",
LEFT(A787,3)="PRE",
LEFT(A787,3)="PRH",
ISNUMBER(SEARCH("NOTEBOOK",B787)),
ISNUMBER(SEARCH("LAPTOP",B787)),
ISNUMBER(SEARCH("MONITOR",B787)),
ISNUMBER(SEARCH("TABLET",B787)),
ISNUMBER(SEARCH("SMARTPH",B787)),
ISNUMBER(SEARCH("IMPRESORA",B787)),
ISNUMBER(SEARCH("MULTIFUNCIONAL",B787)),
ISNUMBER(SEARCH("AIO",B787))
),
"GANCHO",
"NORMAL"
)
)</f>
        <v>NORMAL</v>
      </c>
    </row>
    <row r="786" spans="1:12" x14ac:dyDescent="0.25">
      <c r="A786" s="3" t="s">
        <v>1534</v>
      </c>
      <c r="B786" s="3" t="s">
        <v>1535</v>
      </c>
      <c r="C786" s="1">
        <v>20</v>
      </c>
      <c r="D786" s="1">
        <v>50</v>
      </c>
      <c r="E786" s="1" t="s">
        <v>52</v>
      </c>
      <c r="F786" s="1" t="s">
        <v>3510</v>
      </c>
      <c r="G786" s="3"/>
      <c r="H786" s="11">
        <f>ROUND(
IF(L784="GANCHO",
   IF(I786&lt;=50,I786*1.1+4,IF(I786&lt;=120,I786*1.1+7,IF(I786&lt;=250,I786*1.1+11,I786*1.1+19))),
IF(L784="NORMAL",
   IF(I786&lt;=30,I786*1.15+2,IF(I786&lt;=80,I786*1.15+4,IF(I786&lt;=150,I786*1.15+6,I786*1.15+8))),
IF(L784="COMPLEMENTO",
   IF(I786&lt;=25,I786*1.25+1.5,IF(I786&lt;=60,I786*1.25+3,IF(I786&lt;=120,I786*1.25+4,I786*1.25+5))),
""))),2)</f>
        <v>244.12</v>
      </c>
      <c r="I786" s="9">
        <f>($K$2+0.02)*Tabla1[[#This Row],[PRECIO $]]*1.18</f>
        <v>205.32</v>
      </c>
      <c r="J786" s="7">
        <f>+Tabla1[[#This Row],[PRECIO EN SOLES]]-Tabla1[[#This Row],[PC]]</f>
        <v>38.800000000000011</v>
      </c>
      <c r="K786" s="15"/>
      <c r="L786" s="15" t="str">
        <f>IF(
OR(
ISNUMBER(SEARCH("BACKPACK",B788)),
ISNUMBER(SEARCH("MOCHILA",B788)),
ISNUMBER(SEARCH("FUNDA",B788)),
ISNUMBER(SEARCH("ESTUCHE",B788)),
ISNUMBER(SEARCH("BOOK COVER",B788)),
ISNUMBER(SEARCH("KEYBOARD PARA TABLET",B788)),
ISNUMBER(SEARCH("FLIP TABLET",B788)),
ISNUMBER(SEARCH("CASE FOR TABLET",B788)),
ISNUMBER(SEARCH("CABLE",B788)),
ISNUMBER(SEARCH("ADAPTADOR",B788)),
ISNUMBER(SEARCH("HUB",B788)),
ISNUMBER(SEARCH("DOCK",B788)),
ISNUMBER(SEARCH("MOUSE PAD",B788)),
ISNUMBER(SEARCH("MOUSEPAD",B788)),
ISNUMBER(SEARCH("SOPORTE",B788)),
ISNUMBER(SEARCH("STAND",B788)),
ISNUMBER(SEARCH("TRAVEL ADAPTER",B788)),
ISNUMBER(SEARCH("RJ45",B788)),
ISNUMBER(SEARCH("USB-C",B788)),
ISNUMBER(SEARCH("USB WIFI",B788)),
ISNUMBER(SEARCH("POWERBANK",B788)),
ISNUMBER(SEARCH("CARGADOR",B788)),
ISNUMBER(SEARCH("COOLER PARA NB",B788)),
ISNUMBER(SEARCH("SOPORTE PARA NB",B788)),
ISNUMBER(SEARCH("WEBCAM",B788)),
ISNUMBER(SEARCH("WEB CAM",B788)),
ISNUMBER(SEARCH("MOUSE",B788)),
ISNUMBER(SEARCH("TECLADO",B788))
),
"COMPLEMENTO",
IF(
OR(
LEFT(A788,2)="NB",
LEFT(A788,2)="PC",
LEFT(A788,2)="WS",
LEFT(A788,2)="TB",
LEFT(A788,3)="CEL",
LEFT(A788,3)="MON",
LEFT(A788,3)="PRE",
LEFT(A788,3)="PRH",
ISNUMBER(SEARCH("NOTEBOOK",B788)),
ISNUMBER(SEARCH("LAPTOP",B788)),
ISNUMBER(SEARCH("MONITOR",B788)),
ISNUMBER(SEARCH("TABLET",B788)),
ISNUMBER(SEARCH("SMARTPH",B788)),
ISNUMBER(SEARCH("IMPRESORA",B788)),
ISNUMBER(SEARCH("MULTIFUNCIONAL",B788)),
ISNUMBER(SEARCH("AIO",B788))
),
"GANCHO",
"NORMAL"
)
)</f>
        <v>NORMAL</v>
      </c>
    </row>
    <row r="787" spans="1:12" x14ac:dyDescent="0.25">
      <c r="A787" s="3" t="s">
        <v>2783</v>
      </c>
      <c r="B787" s="3" t="s">
        <v>2784</v>
      </c>
      <c r="C787" s="1">
        <v>4</v>
      </c>
      <c r="D787" s="1">
        <v>666</v>
      </c>
      <c r="E787" s="1" t="s">
        <v>55</v>
      </c>
      <c r="F787" s="1" t="s">
        <v>3511</v>
      </c>
      <c r="G787" s="3"/>
      <c r="H787" s="11">
        <f>ROUND(
IF(L785="GANCHO",
   IF(I787&lt;=50,I787*1.1+4,IF(I787&lt;=120,I787*1.1+7,IF(I787&lt;=250,I787*1.1+11,I787*1.1+19))),
IF(L785="NORMAL",
   IF(I787&lt;=30,I787*1.15+2,IF(I787&lt;=80,I787*1.15+4,IF(I787&lt;=150,I787*1.15+6,I787*1.15+8))),
IF(L785="COMPLEMENTO",
   IF(I787&lt;=25,I787*1.25+1.5,IF(I787&lt;=60,I787*1.25+3,IF(I787&lt;=120,I787*1.25+4,I787*1.25+5))),
""))),2)</f>
        <v>3153.09</v>
      </c>
      <c r="I787" s="9">
        <f>($K$2+0.02)*Tabla1[[#This Row],[PRECIO $]]*1.18</f>
        <v>2734.8623999999995</v>
      </c>
      <c r="J787" s="7">
        <f>+Tabla1[[#This Row],[PRECIO EN SOLES]]-Tabla1[[#This Row],[PC]]</f>
        <v>418.22760000000062</v>
      </c>
      <c r="K787" s="15"/>
      <c r="L787" s="15" t="str">
        <f>IF(
OR(
ISNUMBER(SEARCH("BACKPACK",B789)),
ISNUMBER(SEARCH("MOCHILA",B789)),
ISNUMBER(SEARCH("FUNDA",B789)),
ISNUMBER(SEARCH("ESTUCHE",B789)),
ISNUMBER(SEARCH("BOOK COVER",B789)),
ISNUMBER(SEARCH("KEYBOARD PARA TABLET",B789)),
ISNUMBER(SEARCH("FLIP TABLET",B789)),
ISNUMBER(SEARCH("CASE FOR TABLET",B789)),
ISNUMBER(SEARCH("CABLE",B789)),
ISNUMBER(SEARCH("ADAPTADOR",B789)),
ISNUMBER(SEARCH("HUB",B789)),
ISNUMBER(SEARCH("DOCK",B789)),
ISNUMBER(SEARCH("MOUSE PAD",B789)),
ISNUMBER(SEARCH("MOUSEPAD",B789)),
ISNUMBER(SEARCH("SOPORTE",B789)),
ISNUMBER(SEARCH("STAND",B789)),
ISNUMBER(SEARCH("TRAVEL ADAPTER",B789)),
ISNUMBER(SEARCH("RJ45",B789)),
ISNUMBER(SEARCH("USB-C",B789)),
ISNUMBER(SEARCH("USB WIFI",B789)),
ISNUMBER(SEARCH("POWERBANK",B789)),
ISNUMBER(SEARCH("CARGADOR",B789)),
ISNUMBER(SEARCH("COOLER PARA NB",B789)),
ISNUMBER(SEARCH("SOPORTE PARA NB",B789)),
ISNUMBER(SEARCH("WEBCAM",B789)),
ISNUMBER(SEARCH("WEB CAM",B789)),
ISNUMBER(SEARCH("MOUSE",B789)),
ISNUMBER(SEARCH("TECLADO",B789))
),
"COMPLEMENTO",
IF(
OR(
LEFT(A789,2)="NB",
LEFT(A789,2)="PC",
LEFT(A789,2)="WS",
LEFT(A789,2)="TB",
LEFT(A789,3)="CEL",
LEFT(A789,3)="MON",
LEFT(A789,3)="PRE",
LEFT(A789,3)="PRH",
ISNUMBER(SEARCH("NOTEBOOK",B789)),
ISNUMBER(SEARCH("LAPTOP",B789)),
ISNUMBER(SEARCH("MONITOR",B789)),
ISNUMBER(SEARCH("TABLET",B789)),
ISNUMBER(SEARCH("SMARTPH",B789)),
ISNUMBER(SEARCH("IMPRESORA",B789)),
ISNUMBER(SEARCH("MULTIFUNCIONAL",B789)),
ISNUMBER(SEARCH("AIO",B789))
),
"GANCHO",
"NORMAL"
)
)</f>
        <v>NORMAL</v>
      </c>
    </row>
    <row r="788" spans="1:12" x14ac:dyDescent="0.25">
      <c r="A788" s="3" t="s">
        <v>1536</v>
      </c>
      <c r="B788" s="3" t="s">
        <v>1537</v>
      </c>
      <c r="C788" s="1">
        <v>20</v>
      </c>
      <c r="D788" s="1">
        <v>666</v>
      </c>
      <c r="E788" s="1" t="s">
        <v>55</v>
      </c>
      <c r="F788" s="1" t="s">
        <v>3512</v>
      </c>
      <c r="G788" s="3"/>
      <c r="H788" s="11">
        <f>ROUND(
IF(L786="GANCHO",
   IF(I788&lt;=50,I788*1.1+4,IF(I788&lt;=120,I788*1.1+7,IF(I788&lt;=250,I788*1.1+11,I788*1.1+19))),
IF(L786="NORMAL",
   IF(I788&lt;=30,I788*1.15+2,IF(I788&lt;=80,I788*1.15+4,IF(I788&lt;=150,I788*1.15+6,I788*1.15+8))),
IF(L786="COMPLEMENTO",
   IF(I788&lt;=25,I788*1.25+1.5,IF(I788&lt;=60,I788*1.25+3,IF(I788&lt;=120,I788*1.25+4,I788*1.25+5))),
""))),2)</f>
        <v>3153.09</v>
      </c>
      <c r="I788" s="9">
        <f>($K$2+0.02)*Tabla1[[#This Row],[PRECIO $]]*1.18</f>
        <v>2734.8623999999995</v>
      </c>
      <c r="J788" s="7">
        <f>+Tabla1[[#This Row],[PRECIO EN SOLES]]-Tabla1[[#This Row],[PC]]</f>
        <v>418.22760000000062</v>
      </c>
      <c r="K788" s="15"/>
      <c r="L788" s="15" t="str">
        <f>IF(
OR(
ISNUMBER(SEARCH("BACKPACK",B790)),
ISNUMBER(SEARCH("MOCHILA",B790)),
ISNUMBER(SEARCH("FUNDA",B790)),
ISNUMBER(SEARCH("ESTUCHE",B790)),
ISNUMBER(SEARCH("BOOK COVER",B790)),
ISNUMBER(SEARCH("KEYBOARD PARA TABLET",B790)),
ISNUMBER(SEARCH("FLIP TABLET",B790)),
ISNUMBER(SEARCH("CASE FOR TABLET",B790)),
ISNUMBER(SEARCH("CABLE",B790)),
ISNUMBER(SEARCH("ADAPTADOR",B790)),
ISNUMBER(SEARCH("HUB",B790)),
ISNUMBER(SEARCH("DOCK",B790)),
ISNUMBER(SEARCH("MOUSE PAD",B790)),
ISNUMBER(SEARCH("MOUSEPAD",B790)),
ISNUMBER(SEARCH("SOPORTE",B790)),
ISNUMBER(SEARCH("STAND",B790)),
ISNUMBER(SEARCH("TRAVEL ADAPTER",B790)),
ISNUMBER(SEARCH("RJ45",B790)),
ISNUMBER(SEARCH("USB-C",B790)),
ISNUMBER(SEARCH("USB WIFI",B790)),
ISNUMBER(SEARCH("POWERBANK",B790)),
ISNUMBER(SEARCH("CARGADOR",B790)),
ISNUMBER(SEARCH("COOLER PARA NB",B790)),
ISNUMBER(SEARCH("SOPORTE PARA NB",B790)),
ISNUMBER(SEARCH("WEBCAM",B790)),
ISNUMBER(SEARCH("WEB CAM",B790)),
ISNUMBER(SEARCH("MOUSE",B790)),
ISNUMBER(SEARCH("TECLADO",B790))
),
"COMPLEMENTO",
IF(
OR(
LEFT(A790,2)="NB",
LEFT(A790,2)="PC",
LEFT(A790,2)="WS",
LEFT(A790,2)="TB",
LEFT(A790,3)="CEL",
LEFT(A790,3)="MON",
LEFT(A790,3)="PRE",
LEFT(A790,3)="PRH",
ISNUMBER(SEARCH("NOTEBOOK",B790)),
ISNUMBER(SEARCH("LAPTOP",B790)),
ISNUMBER(SEARCH("MONITOR",B790)),
ISNUMBER(SEARCH("TABLET",B790)),
ISNUMBER(SEARCH("SMARTPH",B790)),
ISNUMBER(SEARCH("IMPRESORA",B790)),
ISNUMBER(SEARCH("MULTIFUNCIONAL",B790)),
ISNUMBER(SEARCH("AIO",B790))
),
"GANCHO",
"NORMAL"
)
)</f>
        <v>NORMAL</v>
      </c>
    </row>
    <row r="789" spans="1:12" x14ac:dyDescent="0.25">
      <c r="A789" s="3" t="s">
        <v>3054</v>
      </c>
      <c r="B789" s="3" t="s">
        <v>3055</v>
      </c>
      <c r="C789" s="1">
        <v>20</v>
      </c>
      <c r="D789" s="1">
        <v>0.06</v>
      </c>
      <c r="E789" s="1" t="s">
        <v>57</v>
      </c>
      <c r="F789" s="1" t="s">
        <v>3513</v>
      </c>
      <c r="G789" s="3"/>
      <c r="H789" s="11">
        <f>ROUND(
IF(L787="GANCHO",
   IF(I789&lt;=50,I789*1.1+4,IF(I789&lt;=120,I789*1.1+7,IF(I789&lt;=250,I789*1.1+11,I789*1.1+19))),
IF(L787="NORMAL",
   IF(I789&lt;=30,I789*1.15+2,IF(I789&lt;=80,I789*1.15+4,IF(I789&lt;=150,I789*1.15+6,I789*1.15+8))),
IF(L787="COMPLEMENTO",
   IF(I789&lt;=25,I789*1.25+1.5,IF(I789&lt;=60,I789*1.25+3,IF(I789&lt;=120,I789*1.25+4,I789*1.25+5))),
""))),2)</f>
        <v>2.2799999999999998</v>
      </c>
      <c r="I789" s="9">
        <f>($K$2+0.02)*Tabla1[[#This Row],[PRECIO $]]*1.18</f>
        <v>0.24638399999999996</v>
      </c>
      <c r="J789" s="7">
        <f>+Tabla1[[#This Row],[PRECIO EN SOLES]]-Tabla1[[#This Row],[PC]]</f>
        <v>2.0336159999999999</v>
      </c>
      <c r="K789" s="15"/>
      <c r="L789" s="15" t="str">
        <f>IF(
OR(
ISNUMBER(SEARCH("BACKPACK",B791)),
ISNUMBER(SEARCH("MOCHILA",B791)),
ISNUMBER(SEARCH("FUNDA",B791)),
ISNUMBER(SEARCH("ESTUCHE",B791)),
ISNUMBER(SEARCH("BOOK COVER",B791)),
ISNUMBER(SEARCH("KEYBOARD PARA TABLET",B791)),
ISNUMBER(SEARCH("FLIP TABLET",B791)),
ISNUMBER(SEARCH("CASE FOR TABLET",B791)),
ISNUMBER(SEARCH("CABLE",B791)),
ISNUMBER(SEARCH("ADAPTADOR",B791)),
ISNUMBER(SEARCH("HUB",B791)),
ISNUMBER(SEARCH("DOCK",B791)),
ISNUMBER(SEARCH("MOUSE PAD",B791)),
ISNUMBER(SEARCH("MOUSEPAD",B791)),
ISNUMBER(SEARCH("SOPORTE",B791)),
ISNUMBER(SEARCH("STAND",B791)),
ISNUMBER(SEARCH("TRAVEL ADAPTER",B791)),
ISNUMBER(SEARCH("RJ45",B791)),
ISNUMBER(SEARCH("USB-C",B791)),
ISNUMBER(SEARCH("USB WIFI",B791)),
ISNUMBER(SEARCH("POWERBANK",B791)),
ISNUMBER(SEARCH("CARGADOR",B791)),
ISNUMBER(SEARCH("COOLER PARA NB",B791)),
ISNUMBER(SEARCH("SOPORTE PARA NB",B791)),
ISNUMBER(SEARCH("WEBCAM",B791)),
ISNUMBER(SEARCH("WEB CAM",B791)),
ISNUMBER(SEARCH("MOUSE",B791)),
ISNUMBER(SEARCH("TECLADO",B791))
),
"COMPLEMENTO",
IF(
OR(
LEFT(A791,2)="NB",
LEFT(A791,2)="PC",
LEFT(A791,2)="WS",
LEFT(A791,2)="TB",
LEFT(A791,3)="CEL",
LEFT(A791,3)="MON",
LEFT(A791,3)="PRE",
LEFT(A791,3)="PRH",
ISNUMBER(SEARCH("NOTEBOOK",B791)),
ISNUMBER(SEARCH("LAPTOP",B791)),
ISNUMBER(SEARCH("MONITOR",B791)),
ISNUMBER(SEARCH("TABLET",B791)),
ISNUMBER(SEARCH("SMARTPH",B791)),
ISNUMBER(SEARCH("IMPRESORA",B791)),
ISNUMBER(SEARCH("MULTIFUNCIONAL",B791)),
ISNUMBER(SEARCH("AIO",B791))
),
"GANCHO",
"NORMAL"
)
)</f>
        <v>NORMAL</v>
      </c>
    </row>
    <row r="790" spans="1:12" x14ac:dyDescent="0.25">
      <c r="A790" s="3" t="s">
        <v>6489</v>
      </c>
      <c r="B790" s="3" t="s">
        <v>6490</v>
      </c>
      <c r="C790" s="1">
        <v>0</v>
      </c>
      <c r="D790" s="1">
        <v>9999</v>
      </c>
      <c r="E790" s="1" t="s">
        <v>56</v>
      </c>
      <c r="F790" s="1" t="s">
        <v>6491</v>
      </c>
      <c r="G790" s="3"/>
      <c r="H790" s="11">
        <f>ROUND(
IF(L788="GANCHO",
   IF(I790&lt;=50,I790*1.1+4,IF(I790&lt;=120,I790*1.1+7,IF(I790&lt;=250,I790*1.1+11,I790*1.1+19))),
IF(L788="NORMAL",
   IF(I790&lt;=30,I790*1.15+2,IF(I790&lt;=80,I790*1.15+4,IF(I790&lt;=150,I790*1.15+6,I790*1.15+8))),
IF(L788="COMPLEMENTO",
   IF(I790&lt;=25,I790*1.25+1.5,IF(I790&lt;=60,I790*1.25+3,IF(I790&lt;=120,I790*1.25+4,I790*1.25+5))),
""))),2)</f>
        <v>47226.879999999997</v>
      </c>
      <c r="I790" s="9">
        <f>($K$2+0.02)*Tabla1[[#This Row],[PRECIO $]]*1.18</f>
        <v>41059.893599999996</v>
      </c>
      <c r="J790" s="7">
        <f>+Tabla1[[#This Row],[PRECIO EN SOLES]]-Tabla1[[#This Row],[PC]]</f>
        <v>6166.9864000000016</v>
      </c>
      <c r="K790" s="15"/>
      <c r="L790" s="15" t="str">
        <f>IF(
OR(
ISNUMBER(SEARCH("BACKPACK",B792)),
ISNUMBER(SEARCH("MOCHILA",B792)),
ISNUMBER(SEARCH("FUNDA",B792)),
ISNUMBER(SEARCH("ESTUCHE",B792)),
ISNUMBER(SEARCH("BOOK COVER",B792)),
ISNUMBER(SEARCH("KEYBOARD PARA TABLET",B792)),
ISNUMBER(SEARCH("FLIP TABLET",B792)),
ISNUMBER(SEARCH("CASE FOR TABLET",B792)),
ISNUMBER(SEARCH("CABLE",B792)),
ISNUMBER(SEARCH("ADAPTADOR",B792)),
ISNUMBER(SEARCH("HUB",B792)),
ISNUMBER(SEARCH("DOCK",B792)),
ISNUMBER(SEARCH("MOUSE PAD",B792)),
ISNUMBER(SEARCH("MOUSEPAD",B792)),
ISNUMBER(SEARCH("SOPORTE",B792)),
ISNUMBER(SEARCH("STAND",B792)),
ISNUMBER(SEARCH("TRAVEL ADAPTER",B792)),
ISNUMBER(SEARCH("RJ45",B792)),
ISNUMBER(SEARCH("USB-C",B792)),
ISNUMBER(SEARCH("USB WIFI",B792)),
ISNUMBER(SEARCH("POWERBANK",B792)),
ISNUMBER(SEARCH("CARGADOR",B792)),
ISNUMBER(SEARCH("COOLER PARA NB",B792)),
ISNUMBER(SEARCH("SOPORTE PARA NB",B792)),
ISNUMBER(SEARCH("WEBCAM",B792)),
ISNUMBER(SEARCH("WEB CAM",B792)),
ISNUMBER(SEARCH("MOUSE",B792)),
ISNUMBER(SEARCH("TECLADO",B792))
),
"COMPLEMENTO",
IF(
OR(
LEFT(A792,2)="NB",
LEFT(A792,2)="PC",
LEFT(A792,2)="WS",
LEFT(A792,2)="TB",
LEFT(A792,3)="CEL",
LEFT(A792,3)="MON",
LEFT(A792,3)="PRE",
LEFT(A792,3)="PRH",
ISNUMBER(SEARCH("NOTEBOOK",B792)),
ISNUMBER(SEARCH("LAPTOP",B792)),
ISNUMBER(SEARCH("MONITOR",B792)),
ISNUMBER(SEARCH("TABLET",B792)),
ISNUMBER(SEARCH("SMARTPH",B792)),
ISNUMBER(SEARCH("IMPRESORA",B792)),
ISNUMBER(SEARCH("MULTIFUNCIONAL",B792)),
ISNUMBER(SEARCH("AIO",B792))
),
"GANCHO",
"NORMAL"
)
)</f>
        <v>NORMAL</v>
      </c>
    </row>
    <row r="791" spans="1:12" x14ac:dyDescent="0.25">
      <c r="A791" s="3" t="s">
        <v>1538</v>
      </c>
      <c r="B791" s="3" t="s">
        <v>1539</v>
      </c>
      <c r="C791" s="1">
        <v>0</v>
      </c>
      <c r="D791" s="1">
        <v>600</v>
      </c>
      <c r="E791" s="1" t="s">
        <v>57</v>
      </c>
      <c r="F791" s="1" t="s">
        <v>3514</v>
      </c>
      <c r="G791" s="3"/>
      <c r="H791" s="11">
        <f>ROUND(
IF(L789="GANCHO",
   IF(I791&lt;=50,I791*1.1+4,IF(I791&lt;=120,I791*1.1+7,IF(I791&lt;=250,I791*1.1+11,I791*1.1+19))),
IF(L789="NORMAL",
   IF(I791&lt;=30,I791*1.15+2,IF(I791&lt;=80,I791*1.15+4,IF(I791&lt;=150,I791*1.15+6,I791*1.15+8))),
IF(L789="COMPLEMENTO",
   IF(I791&lt;=25,I791*1.25+1.5,IF(I791&lt;=60,I791*1.25+3,IF(I791&lt;=120,I791*1.25+4,I791*1.25+5))),
""))),2)</f>
        <v>2841.42</v>
      </c>
      <c r="I791" s="9">
        <f>($K$2+0.02)*Tabla1[[#This Row],[PRECIO $]]*1.18</f>
        <v>2463.8399999999997</v>
      </c>
      <c r="J791" s="7">
        <f>+Tabla1[[#This Row],[PRECIO EN SOLES]]-Tabla1[[#This Row],[PC]]</f>
        <v>377.58000000000038</v>
      </c>
      <c r="K791" s="15"/>
      <c r="L791" s="15" t="str">
        <f>IF(
OR(
ISNUMBER(SEARCH("BACKPACK",B793)),
ISNUMBER(SEARCH("MOCHILA",B793)),
ISNUMBER(SEARCH("FUNDA",B793)),
ISNUMBER(SEARCH("ESTUCHE",B793)),
ISNUMBER(SEARCH("BOOK COVER",B793)),
ISNUMBER(SEARCH("KEYBOARD PARA TABLET",B793)),
ISNUMBER(SEARCH("FLIP TABLET",B793)),
ISNUMBER(SEARCH("CASE FOR TABLET",B793)),
ISNUMBER(SEARCH("CABLE",B793)),
ISNUMBER(SEARCH("ADAPTADOR",B793)),
ISNUMBER(SEARCH("HUB",B793)),
ISNUMBER(SEARCH("DOCK",B793)),
ISNUMBER(SEARCH("MOUSE PAD",B793)),
ISNUMBER(SEARCH("MOUSEPAD",B793)),
ISNUMBER(SEARCH("SOPORTE",B793)),
ISNUMBER(SEARCH("STAND",B793)),
ISNUMBER(SEARCH("TRAVEL ADAPTER",B793)),
ISNUMBER(SEARCH("RJ45",B793)),
ISNUMBER(SEARCH("USB-C",B793)),
ISNUMBER(SEARCH("USB WIFI",B793)),
ISNUMBER(SEARCH("POWERBANK",B793)),
ISNUMBER(SEARCH("CARGADOR",B793)),
ISNUMBER(SEARCH("COOLER PARA NB",B793)),
ISNUMBER(SEARCH("SOPORTE PARA NB",B793)),
ISNUMBER(SEARCH("WEBCAM",B793)),
ISNUMBER(SEARCH("WEB CAM",B793)),
ISNUMBER(SEARCH("MOUSE",B793)),
ISNUMBER(SEARCH("TECLADO",B793))
),
"COMPLEMENTO",
IF(
OR(
LEFT(A793,2)="NB",
LEFT(A793,2)="PC",
LEFT(A793,2)="WS",
LEFT(A793,2)="TB",
LEFT(A793,3)="CEL",
LEFT(A793,3)="MON",
LEFT(A793,3)="PRE",
LEFT(A793,3)="PRH",
ISNUMBER(SEARCH("NOTEBOOK",B793)),
ISNUMBER(SEARCH("LAPTOP",B793)),
ISNUMBER(SEARCH("MONITOR",B793)),
ISNUMBER(SEARCH("TABLET",B793)),
ISNUMBER(SEARCH("SMARTPH",B793)),
ISNUMBER(SEARCH("IMPRESORA",B793)),
ISNUMBER(SEARCH("MULTIFUNCIONAL",B793)),
ISNUMBER(SEARCH("AIO",B793))
),
"GANCHO",
"NORMAL"
)
)</f>
        <v>NORMAL</v>
      </c>
    </row>
    <row r="792" spans="1:12" x14ac:dyDescent="0.25">
      <c r="A792" s="3" t="s">
        <v>2970</v>
      </c>
      <c r="B792" s="3" t="s">
        <v>2971</v>
      </c>
      <c r="C792" s="1">
        <v>20</v>
      </c>
      <c r="D792" s="1">
        <v>666</v>
      </c>
      <c r="E792" s="1" t="s">
        <v>276</v>
      </c>
      <c r="F792" s="1" t="s">
        <v>3515</v>
      </c>
      <c r="G792" s="3"/>
      <c r="H792" s="11">
        <f>ROUND(
IF(L790="GANCHO",
   IF(I792&lt;=50,I792*1.1+4,IF(I792&lt;=120,I792*1.1+7,IF(I792&lt;=250,I792*1.1+11,I792*1.1+19))),
IF(L790="NORMAL",
   IF(I792&lt;=30,I792*1.15+2,IF(I792&lt;=80,I792*1.15+4,IF(I792&lt;=150,I792*1.15+6,I792*1.15+8))),
IF(L790="COMPLEMENTO",
   IF(I792&lt;=25,I792*1.25+1.5,IF(I792&lt;=60,I792*1.25+3,IF(I792&lt;=120,I792*1.25+4,I792*1.25+5))),
""))),2)</f>
        <v>3153.09</v>
      </c>
      <c r="I792" s="9">
        <f>($K$2+0.02)*Tabla1[[#This Row],[PRECIO $]]*1.18</f>
        <v>2734.8623999999995</v>
      </c>
      <c r="J792" s="7">
        <f>+Tabla1[[#This Row],[PRECIO EN SOLES]]-Tabla1[[#This Row],[PC]]</f>
        <v>418.22760000000062</v>
      </c>
      <c r="K792" s="15"/>
      <c r="L792" s="15" t="str">
        <f>IF(
OR(
ISNUMBER(SEARCH("BACKPACK",B794)),
ISNUMBER(SEARCH("MOCHILA",B794)),
ISNUMBER(SEARCH("FUNDA",B794)),
ISNUMBER(SEARCH("ESTUCHE",B794)),
ISNUMBER(SEARCH("BOOK COVER",B794)),
ISNUMBER(SEARCH("KEYBOARD PARA TABLET",B794)),
ISNUMBER(SEARCH("FLIP TABLET",B794)),
ISNUMBER(SEARCH("CASE FOR TABLET",B794)),
ISNUMBER(SEARCH("CABLE",B794)),
ISNUMBER(SEARCH("ADAPTADOR",B794)),
ISNUMBER(SEARCH("HUB",B794)),
ISNUMBER(SEARCH("DOCK",B794)),
ISNUMBER(SEARCH("MOUSE PAD",B794)),
ISNUMBER(SEARCH("MOUSEPAD",B794)),
ISNUMBER(SEARCH("SOPORTE",B794)),
ISNUMBER(SEARCH("STAND",B794)),
ISNUMBER(SEARCH("TRAVEL ADAPTER",B794)),
ISNUMBER(SEARCH("RJ45",B794)),
ISNUMBER(SEARCH("USB-C",B794)),
ISNUMBER(SEARCH("USB WIFI",B794)),
ISNUMBER(SEARCH("POWERBANK",B794)),
ISNUMBER(SEARCH("CARGADOR",B794)),
ISNUMBER(SEARCH("COOLER PARA NB",B794)),
ISNUMBER(SEARCH("SOPORTE PARA NB",B794)),
ISNUMBER(SEARCH("WEBCAM",B794)),
ISNUMBER(SEARCH("WEB CAM",B794)),
ISNUMBER(SEARCH("MOUSE",B794)),
ISNUMBER(SEARCH("TECLADO",B794))
),
"COMPLEMENTO",
IF(
OR(
LEFT(A794,2)="NB",
LEFT(A794,2)="PC",
LEFT(A794,2)="WS",
LEFT(A794,2)="TB",
LEFT(A794,3)="CEL",
LEFT(A794,3)="MON",
LEFT(A794,3)="PRE",
LEFT(A794,3)="PRH",
ISNUMBER(SEARCH("NOTEBOOK",B794)),
ISNUMBER(SEARCH("LAPTOP",B794)),
ISNUMBER(SEARCH("MONITOR",B794)),
ISNUMBER(SEARCH("TABLET",B794)),
ISNUMBER(SEARCH("SMARTPH",B794)),
ISNUMBER(SEARCH("IMPRESORA",B794)),
ISNUMBER(SEARCH("MULTIFUNCIONAL",B794)),
ISNUMBER(SEARCH("AIO",B794))
),
"GANCHO",
"NORMAL"
)
)</f>
        <v>NORMAL</v>
      </c>
    </row>
    <row r="793" spans="1:12" x14ac:dyDescent="0.25">
      <c r="A793" s="3" t="s">
        <v>6492</v>
      </c>
      <c r="B793" s="3" t="s">
        <v>6493</v>
      </c>
      <c r="C793" s="1">
        <v>20</v>
      </c>
      <c r="D793" s="1">
        <v>666</v>
      </c>
      <c r="E793" s="1" t="s">
        <v>249</v>
      </c>
      <c r="F793" s="1" t="s">
        <v>6494</v>
      </c>
      <c r="G793" s="3"/>
      <c r="H793" s="11">
        <f>ROUND(
IF(L791="GANCHO",
   IF(I793&lt;=50,I793*1.1+4,IF(I793&lt;=120,I793*1.1+7,IF(I793&lt;=250,I793*1.1+11,I793*1.1+19))),
IF(L791="NORMAL",
   IF(I793&lt;=30,I793*1.15+2,IF(I793&lt;=80,I793*1.15+4,IF(I793&lt;=150,I793*1.15+6,I793*1.15+8))),
IF(L791="COMPLEMENTO",
   IF(I793&lt;=25,I793*1.25+1.5,IF(I793&lt;=60,I793*1.25+3,IF(I793&lt;=120,I793*1.25+4,I793*1.25+5))),
""))),2)</f>
        <v>3153.09</v>
      </c>
      <c r="I793" s="9">
        <f>($K$2+0.02)*Tabla1[[#This Row],[PRECIO $]]*1.18</f>
        <v>2734.8623999999995</v>
      </c>
      <c r="J793" s="7">
        <f>+Tabla1[[#This Row],[PRECIO EN SOLES]]-Tabla1[[#This Row],[PC]]</f>
        <v>418.22760000000062</v>
      </c>
      <c r="K793" s="15"/>
      <c r="L793" s="15" t="str">
        <f>IF(
OR(
ISNUMBER(SEARCH("BACKPACK",B795)),
ISNUMBER(SEARCH("MOCHILA",B795)),
ISNUMBER(SEARCH("FUNDA",B795)),
ISNUMBER(SEARCH("ESTUCHE",B795)),
ISNUMBER(SEARCH("BOOK COVER",B795)),
ISNUMBER(SEARCH("KEYBOARD PARA TABLET",B795)),
ISNUMBER(SEARCH("FLIP TABLET",B795)),
ISNUMBER(SEARCH("CASE FOR TABLET",B795)),
ISNUMBER(SEARCH("CABLE",B795)),
ISNUMBER(SEARCH("ADAPTADOR",B795)),
ISNUMBER(SEARCH("HUB",B795)),
ISNUMBER(SEARCH("DOCK",B795)),
ISNUMBER(SEARCH("MOUSE PAD",B795)),
ISNUMBER(SEARCH("MOUSEPAD",B795)),
ISNUMBER(SEARCH("SOPORTE",B795)),
ISNUMBER(SEARCH("STAND",B795)),
ISNUMBER(SEARCH("TRAVEL ADAPTER",B795)),
ISNUMBER(SEARCH("RJ45",B795)),
ISNUMBER(SEARCH("USB-C",B795)),
ISNUMBER(SEARCH("USB WIFI",B795)),
ISNUMBER(SEARCH("POWERBANK",B795)),
ISNUMBER(SEARCH("CARGADOR",B795)),
ISNUMBER(SEARCH("COOLER PARA NB",B795)),
ISNUMBER(SEARCH("SOPORTE PARA NB",B795)),
ISNUMBER(SEARCH("WEBCAM",B795)),
ISNUMBER(SEARCH("WEB CAM",B795)),
ISNUMBER(SEARCH("MOUSE",B795)),
ISNUMBER(SEARCH("TECLADO",B795))
),
"COMPLEMENTO",
IF(
OR(
LEFT(A795,2)="NB",
LEFT(A795,2)="PC",
LEFT(A795,2)="WS",
LEFT(A795,2)="TB",
LEFT(A795,3)="CEL",
LEFT(A795,3)="MON",
LEFT(A795,3)="PRE",
LEFT(A795,3)="PRH",
ISNUMBER(SEARCH("NOTEBOOK",B795)),
ISNUMBER(SEARCH("LAPTOP",B795)),
ISNUMBER(SEARCH("MONITOR",B795)),
ISNUMBER(SEARCH("TABLET",B795)),
ISNUMBER(SEARCH("SMARTPH",B795)),
ISNUMBER(SEARCH("IMPRESORA",B795)),
ISNUMBER(SEARCH("MULTIFUNCIONAL",B795)),
ISNUMBER(SEARCH("AIO",B795))
),
"GANCHO",
"NORMAL"
)
)</f>
        <v>NORMAL</v>
      </c>
    </row>
    <row r="794" spans="1:12" x14ac:dyDescent="0.25">
      <c r="A794" s="3" t="s">
        <v>1540</v>
      </c>
      <c r="B794" s="3" t="s">
        <v>1541</v>
      </c>
      <c r="C794" s="1">
        <v>0</v>
      </c>
      <c r="D794" s="1">
        <v>600</v>
      </c>
      <c r="E794" s="1" t="s">
        <v>55</v>
      </c>
      <c r="F794" s="1" t="s">
        <v>3516</v>
      </c>
      <c r="G794" s="3"/>
      <c r="H794" s="11">
        <f>ROUND(
IF(L792="GANCHO",
   IF(I794&lt;=50,I794*1.1+4,IF(I794&lt;=120,I794*1.1+7,IF(I794&lt;=250,I794*1.1+11,I794*1.1+19))),
IF(L792="NORMAL",
   IF(I794&lt;=30,I794*1.15+2,IF(I794&lt;=80,I794*1.15+4,IF(I794&lt;=150,I794*1.15+6,I794*1.15+8))),
IF(L792="COMPLEMENTO",
   IF(I794&lt;=25,I794*1.25+1.5,IF(I794&lt;=60,I794*1.25+3,IF(I794&lt;=120,I794*1.25+4,I794*1.25+5))),
""))),2)</f>
        <v>2841.42</v>
      </c>
      <c r="I794" s="9">
        <f>($K$2+0.02)*Tabla1[[#This Row],[PRECIO $]]*1.18</f>
        <v>2463.8399999999997</v>
      </c>
      <c r="J794" s="7">
        <f>+Tabla1[[#This Row],[PRECIO EN SOLES]]-Tabla1[[#This Row],[PC]]</f>
        <v>377.58000000000038</v>
      </c>
      <c r="K794" s="15"/>
      <c r="L794" s="15" t="str">
        <f>IF(
OR(
ISNUMBER(SEARCH("BACKPACK",B796)),
ISNUMBER(SEARCH("MOCHILA",B796)),
ISNUMBER(SEARCH("FUNDA",B796)),
ISNUMBER(SEARCH("ESTUCHE",B796)),
ISNUMBER(SEARCH("BOOK COVER",B796)),
ISNUMBER(SEARCH("KEYBOARD PARA TABLET",B796)),
ISNUMBER(SEARCH("FLIP TABLET",B796)),
ISNUMBER(SEARCH("CASE FOR TABLET",B796)),
ISNUMBER(SEARCH("CABLE",B796)),
ISNUMBER(SEARCH("ADAPTADOR",B796)),
ISNUMBER(SEARCH("HUB",B796)),
ISNUMBER(SEARCH("DOCK",B796)),
ISNUMBER(SEARCH("MOUSE PAD",B796)),
ISNUMBER(SEARCH("MOUSEPAD",B796)),
ISNUMBER(SEARCH("SOPORTE",B796)),
ISNUMBER(SEARCH("STAND",B796)),
ISNUMBER(SEARCH("TRAVEL ADAPTER",B796)),
ISNUMBER(SEARCH("RJ45",B796)),
ISNUMBER(SEARCH("USB-C",B796)),
ISNUMBER(SEARCH("USB WIFI",B796)),
ISNUMBER(SEARCH("POWERBANK",B796)),
ISNUMBER(SEARCH("CARGADOR",B796)),
ISNUMBER(SEARCH("COOLER PARA NB",B796)),
ISNUMBER(SEARCH("SOPORTE PARA NB",B796)),
ISNUMBER(SEARCH("WEBCAM",B796)),
ISNUMBER(SEARCH("WEB CAM",B796)),
ISNUMBER(SEARCH("MOUSE",B796)),
ISNUMBER(SEARCH("TECLADO",B796))
),
"COMPLEMENTO",
IF(
OR(
LEFT(A796,2)="NB",
LEFT(A796,2)="PC",
LEFT(A796,2)="WS",
LEFT(A796,2)="TB",
LEFT(A796,3)="CEL",
LEFT(A796,3)="MON",
LEFT(A796,3)="PRE",
LEFT(A796,3)="PRH",
ISNUMBER(SEARCH("NOTEBOOK",B796)),
ISNUMBER(SEARCH("LAPTOP",B796)),
ISNUMBER(SEARCH("MONITOR",B796)),
ISNUMBER(SEARCH("TABLET",B796)),
ISNUMBER(SEARCH("SMARTPH",B796)),
ISNUMBER(SEARCH("IMPRESORA",B796)),
ISNUMBER(SEARCH("MULTIFUNCIONAL",B796)),
ISNUMBER(SEARCH("AIO",B796))
),
"GANCHO",
"NORMAL"
)
)</f>
        <v>NORMAL</v>
      </c>
    </row>
    <row r="795" spans="1:12" x14ac:dyDescent="0.25">
      <c r="A795" s="3" t="s">
        <v>1542</v>
      </c>
      <c r="B795" s="3" t="s">
        <v>2785</v>
      </c>
      <c r="C795" s="1">
        <v>20</v>
      </c>
      <c r="D795" s="1">
        <v>600</v>
      </c>
      <c r="E795" s="1" t="s">
        <v>55</v>
      </c>
      <c r="F795" s="1" t="s">
        <v>3517</v>
      </c>
      <c r="G795" s="3"/>
      <c r="H795" s="11">
        <f>ROUND(
IF(L793="GANCHO",
   IF(I795&lt;=50,I795*1.1+4,IF(I795&lt;=120,I795*1.1+7,IF(I795&lt;=250,I795*1.1+11,I795*1.1+19))),
IF(L793="NORMAL",
   IF(I795&lt;=30,I795*1.15+2,IF(I795&lt;=80,I795*1.15+4,IF(I795&lt;=150,I795*1.15+6,I795*1.15+8))),
IF(L793="COMPLEMENTO",
   IF(I795&lt;=25,I795*1.25+1.5,IF(I795&lt;=60,I795*1.25+3,IF(I795&lt;=120,I795*1.25+4,I795*1.25+5))),
""))),2)</f>
        <v>2841.42</v>
      </c>
      <c r="I795" s="9">
        <f>($K$2+0.02)*Tabla1[[#This Row],[PRECIO $]]*1.18</f>
        <v>2463.8399999999997</v>
      </c>
      <c r="J795" s="7">
        <f>+Tabla1[[#This Row],[PRECIO EN SOLES]]-Tabla1[[#This Row],[PC]]</f>
        <v>377.58000000000038</v>
      </c>
      <c r="K795" s="15"/>
      <c r="L795" s="15" t="str">
        <f>IF(
OR(
ISNUMBER(SEARCH("BACKPACK",B797)),
ISNUMBER(SEARCH("MOCHILA",B797)),
ISNUMBER(SEARCH("FUNDA",B797)),
ISNUMBER(SEARCH("ESTUCHE",B797)),
ISNUMBER(SEARCH("BOOK COVER",B797)),
ISNUMBER(SEARCH("KEYBOARD PARA TABLET",B797)),
ISNUMBER(SEARCH("FLIP TABLET",B797)),
ISNUMBER(SEARCH("CASE FOR TABLET",B797)),
ISNUMBER(SEARCH("CABLE",B797)),
ISNUMBER(SEARCH("ADAPTADOR",B797)),
ISNUMBER(SEARCH("HUB",B797)),
ISNUMBER(SEARCH("DOCK",B797)),
ISNUMBER(SEARCH("MOUSE PAD",B797)),
ISNUMBER(SEARCH("MOUSEPAD",B797)),
ISNUMBER(SEARCH("SOPORTE",B797)),
ISNUMBER(SEARCH("STAND",B797)),
ISNUMBER(SEARCH("TRAVEL ADAPTER",B797)),
ISNUMBER(SEARCH("RJ45",B797)),
ISNUMBER(SEARCH("USB-C",B797)),
ISNUMBER(SEARCH("USB WIFI",B797)),
ISNUMBER(SEARCH("POWERBANK",B797)),
ISNUMBER(SEARCH("CARGADOR",B797)),
ISNUMBER(SEARCH("COOLER PARA NB",B797)),
ISNUMBER(SEARCH("SOPORTE PARA NB",B797)),
ISNUMBER(SEARCH("WEBCAM",B797)),
ISNUMBER(SEARCH("WEB CAM",B797)),
ISNUMBER(SEARCH("MOUSE",B797)),
ISNUMBER(SEARCH("TECLADO",B797))
),
"COMPLEMENTO",
IF(
OR(
LEFT(A797,2)="NB",
LEFT(A797,2)="PC",
LEFT(A797,2)="WS",
LEFT(A797,2)="TB",
LEFT(A797,3)="CEL",
LEFT(A797,3)="MON",
LEFT(A797,3)="PRE",
LEFT(A797,3)="PRH",
ISNUMBER(SEARCH("NOTEBOOK",B797)),
ISNUMBER(SEARCH("LAPTOP",B797)),
ISNUMBER(SEARCH("MONITOR",B797)),
ISNUMBER(SEARCH("TABLET",B797)),
ISNUMBER(SEARCH("SMARTPH",B797)),
ISNUMBER(SEARCH("IMPRESORA",B797)),
ISNUMBER(SEARCH("MULTIFUNCIONAL",B797)),
ISNUMBER(SEARCH("AIO",B797))
),
"GANCHO",
"NORMAL"
)
)</f>
        <v>NORMAL</v>
      </c>
    </row>
    <row r="796" spans="1:12" x14ac:dyDescent="0.25">
      <c r="A796" s="3" t="s">
        <v>2882</v>
      </c>
      <c r="B796" s="3" t="s">
        <v>2883</v>
      </c>
      <c r="C796" s="1">
        <v>0</v>
      </c>
      <c r="D796" s="1">
        <v>9999999.9900000002</v>
      </c>
      <c r="E796" s="1" t="s">
        <v>276</v>
      </c>
      <c r="F796" s="1" t="s">
        <v>3518</v>
      </c>
      <c r="G796" s="3"/>
      <c r="H796" s="11">
        <f>ROUND(
IF(L794="GANCHO",
   IF(I796&lt;=50,I796*1.1+4,IF(I796&lt;=120,I796*1.1+7,IF(I796&lt;=250,I796*1.1+11,I796*1.1+19))),
IF(L794="NORMAL",
   IF(I796&lt;=30,I796*1.15+2,IF(I796&lt;=80,I796*1.15+4,IF(I796&lt;=150,I796*1.15+6,I796*1.15+8))),
IF(L794="COMPLEMENTO",
   IF(I796&lt;=25,I796*1.25+1.5,IF(I796&lt;=60,I796*1.25+3,IF(I796&lt;=120,I796*1.25+4,I796*1.25+5))),
""))),2)</f>
        <v>47223607.950000003</v>
      </c>
      <c r="I796" s="9">
        <f>($K$2+0.02)*Tabla1[[#This Row],[PRECIO $]]*1.18</f>
        <v>41063999.958935998</v>
      </c>
      <c r="J796" s="7">
        <f>+Tabla1[[#This Row],[PRECIO EN SOLES]]-Tabla1[[#This Row],[PC]]</f>
        <v>6159607.9910640046</v>
      </c>
      <c r="K796" s="15"/>
      <c r="L796" s="15" t="str">
        <f>IF(
OR(
ISNUMBER(SEARCH("BACKPACK",B798)),
ISNUMBER(SEARCH("MOCHILA",B798)),
ISNUMBER(SEARCH("FUNDA",B798)),
ISNUMBER(SEARCH("ESTUCHE",B798)),
ISNUMBER(SEARCH("BOOK COVER",B798)),
ISNUMBER(SEARCH("KEYBOARD PARA TABLET",B798)),
ISNUMBER(SEARCH("FLIP TABLET",B798)),
ISNUMBER(SEARCH("CASE FOR TABLET",B798)),
ISNUMBER(SEARCH("CABLE",B798)),
ISNUMBER(SEARCH("ADAPTADOR",B798)),
ISNUMBER(SEARCH("HUB",B798)),
ISNUMBER(SEARCH("DOCK",B798)),
ISNUMBER(SEARCH("MOUSE PAD",B798)),
ISNUMBER(SEARCH("MOUSEPAD",B798)),
ISNUMBER(SEARCH("SOPORTE",B798)),
ISNUMBER(SEARCH("STAND",B798)),
ISNUMBER(SEARCH("TRAVEL ADAPTER",B798)),
ISNUMBER(SEARCH("RJ45",B798)),
ISNUMBER(SEARCH("USB-C",B798)),
ISNUMBER(SEARCH("USB WIFI",B798)),
ISNUMBER(SEARCH("POWERBANK",B798)),
ISNUMBER(SEARCH("CARGADOR",B798)),
ISNUMBER(SEARCH("COOLER PARA NB",B798)),
ISNUMBER(SEARCH("SOPORTE PARA NB",B798)),
ISNUMBER(SEARCH("WEBCAM",B798)),
ISNUMBER(SEARCH("WEB CAM",B798)),
ISNUMBER(SEARCH("MOUSE",B798)),
ISNUMBER(SEARCH("TECLADO",B798))
),
"COMPLEMENTO",
IF(
OR(
LEFT(A798,2)="NB",
LEFT(A798,2)="PC",
LEFT(A798,2)="WS",
LEFT(A798,2)="TB",
LEFT(A798,3)="CEL",
LEFT(A798,3)="MON",
LEFT(A798,3)="PRE",
LEFT(A798,3)="PRH",
ISNUMBER(SEARCH("NOTEBOOK",B798)),
ISNUMBER(SEARCH("LAPTOP",B798)),
ISNUMBER(SEARCH("MONITOR",B798)),
ISNUMBER(SEARCH("TABLET",B798)),
ISNUMBER(SEARCH("SMARTPH",B798)),
ISNUMBER(SEARCH("IMPRESORA",B798)),
ISNUMBER(SEARCH("MULTIFUNCIONAL",B798)),
ISNUMBER(SEARCH("AIO",B798))
),
"GANCHO",
"NORMAL"
)
)</f>
        <v>NORMAL</v>
      </c>
    </row>
    <row r="797" spans="1:12" x14ac:dyDescent="0.25">
      <c r="A797" s="3" t="s">
        <v>1543</v>
      </c>
      <c r="B797" s="3" t="s">
        <v>1544</v>
      </c>
      <c r="C797" s="1">
        <v>20</v>
      </c>
      <c r="D797" s="1">
        <v>600</v>
      </c>
      <c r="E797" s="1" t="s">
        <v>55</v>
      </c>
      <c r="F797" s="1" t="s">
        <v>3519</v>
      </c>
      <c r="G797" s="3"/>
      <c r="H797" s="11">
        <f>ROUND(
IF(L795="GANCHO",
   IF(I797&lt;=50,I797*1.1+4,IF(I797&lt;=120,I797*1.1+7,IF(I797&lt;=250,I797*1.1+11,I797*1.1+19))),
IF(L795="NORMAL",
   IF(I797&lt;=30,I797*1.15+2,IF(I797&lt;=80,I797*1.15+4,IF(I797&lt;=150,I797*1.15+6,I797*1.15+8))),
IF(L795="COMPLEMENTO",
   IF(I797&lt;=25,I797*1.25+1.5,IF(I797&lt;=60,I797*1.25+3,IF(I797&lt;=120,I797*1.25+4,I797*1.25+5))),
""))),2)</f>
        <v>2841.42</v>
      </c>
      <c r="I797" s="9">
        <f>($K$2+0.02)*Tabla1[[#This Row],[PRECIO $]]*1.18</f>
        <v>2463.8399999999997</v>
      </c>
      <c r="J797" s="7">
        <f>+Tabla1[[#This Row],[PRECIO EN SOLES]]-Tabla1[[#This Row],[PC]]</f>
        <v>377.58000000000038</v>
      </c>
      <c r="K797" s="15"/>
      <c r="L797" s="15" t="str">
        <f>IF(
OR(
ISNUMBER(SEARCH("BACKPACK",B799)),
ISNUMBER(SEARCH("MOCHILA",B799)),
ISNUMBER(SEARCH("FUNDA",B799)),
ISNUMBER(SEARCH("ESTUCHE",B799)),
ISNUMBER(SEARCH("BOOK COVER",B799)),
ISNUMBER(SEARCH("KEYBOARD PARA TABLET",B799)),
ISNUMBER(SEARCH("FLIP TABLET",B799)),
ISNUMBER(SEARCH("CASE FOR TABLET",B799)),
ISNUMBER(SEARCH("CABLE",B799)),
ISNUMBER(SEARCH("ADAPTADOR",B799)),
ISNUMBER(SEARCH("HUB",B799)),
ISNUMBER(SEARCH("DOCK",B799)),
ISNUMBER(SEARCH("MOUSE PAD",B799)),
ISNUMBER(SEARCH("MOUSEPAD",B799)),
ISNUMBER(SEARCH("SOPORTE",B799)),
ISNUMBER(SEARCH("STAND",B799)),
ISNUMBER(SEARCH("TRAVEL ADAPTER",B799)),
ISNUMBER(SEARCH("RJ45",B799)),
ISNUMBER(SEARCH("USB-C",B799)),
ISNUMBER(SEARCH("USB WIFI",B799)),
ISNUMBER(SEARCH("POWERBANK",B799)),
ISNUMBER(SEARCH("CARGADOR",B799)),
ISNUMBER(SEARCH("COOLER PARA NB",B799)),
ISNUMBER(SEARCH("SOPORTE PARA NB",B799)),
ISNUMBER(SEARCH("WEBCAM",B799)),
ISNUMBER(SEARCH("WEB CAM",B799)),
ISNUMBER(SEARCH("MOUSE",B799)),
ISNUMBER(SEARCH("TECLADO",B799))
),
"COMPLEMENTO",
IF(
OR(
LEFT(A799,2)="NB",
LEFT(A799,2)="PC",
LEFT(A799,2)="WS",
LEFT(A799,2)="TB",
LEFT(A799,3)="CEL",
LEFT(A799,3)="MON",
LEFT(A799,3)="PRE",
LEFT(A799,3)="PRH",
ISNUMBER(SEARCH("NOTEBOOK",B799)),
ISNUMBER(SEARCH("LAPTOP",B799)),
ISNUMBER(SEARCH("MONITOR",B799)),
ISNUMBER(SEARCH("TABLET",B799)),
ISNUMBER(SEARCH("SMARTPH",B799)),
ISNUMBER(SEARCH("IMPRESORA",B799)),
ISNUMBER(SEARCH("MULTIFUNCIONAL",B799)),
ISNUMBER(SEARCH("AIO",B799))
),
"GANCHO",
"NORMAL"
)
)</f>
        <v>NORMAL</v>
      </c>
    </row>
    <row r="798" spans="1:12" x14ac:dyDescent="0.25">
      <c r="A798" s="3" t="s">
        <v>1545</v>
      </c>
      <c r="B798" s="3" t="s">
        <v>1546</v>
      </c>
      <c r="C798" s="1">
        <v>0</v>
      </c>
      <c r="D798" s="1">
        <v>666</v>
      </c>
      <c r="E798" s="1" t="s">
        <v>57</v>
      </c>
      <c r="F798" s="1" t="s">
        <v>3520</v>
      </c>
      <c r="G798" s="3"/>
      <c r="H798" s="11">
        <f>ROUND(
IF(L796="GANCHO",
   IF(I798&lt;=50,I798*1.1+4,IF(I798&lt;=120,I798*1.1+7,IF(I798&lt;=250,I798*1.1+11,I798*1.1+19))),
IF(L796="NORMAL",
   IF(I798&lt;=30,I798*1.15+2,IF(I798&lt;=80,I798*1.15+4,IF(I798&lt;=150,I798*1.15+6,I798*1.15+8))),
IF(L796="COMPLEMENTO",
   IF(I798&lt;=25,I798*1.25+1.5,IF(I798&lt;=60,I798*1.25+3,IF(I798&lt;=120,I798*1.25+4,I798*1.25+5))),
""))),2)</f>
        <v>3153.09</v>
      </c>
      <c r="I798" s="9">
        <f>($K$2+0.02)*Tabla1[[#This Row],[PRECIO $]]*1.18</f>
        <v>2734.8623999999995</v>
      </c>
      <c r="J798" s="7">
        <f>+Tabla1[[#This Row],[PRECIO EN SOLES]]-Tabla1[[#This Row],[PC]]</f>
        <v>418.22760000000062</v>
      </c>
      <c r="K798" s="15"/>
      <c r="L798" s="15" t="str">
        <f>IF(
OR(
ISNUMBER(SEARCH("BACKPACK",B800)),
ISNUMBER(SEARCH("MOCHILA",B800)),
ISNUMBER(SEARCH("FUNDA",B800)),
ISNUMBER(SEARCH("ESTUCHE",B800)),
ISNUMBER(SEARCH("BOOK COVER",B800)),
ISNUMBER(SEARCH("KEYBOARD PARA TABLET",B800)),
ISNUMBER(SEARCH("FLIP TABLET",B800)),
ISNUMBER(SEARCH("CASE FOR TABLET",B800)),
ISNUMBER(SEARCH("CABLE",B800)),
ISNUMBER(SEARCH("ADAPTADOR",B800)),
ISNUMBER(SEARCH("HUB",B800)),
ISNUMBER(SEARCH("DOCK",B800)),
ISNUMBER(SEARCH("MOUSE PAD",B800)),
ISNUMBER(SEARCH("MOUSEPAD",B800)),
ISNUMBER(SEARCH("SOPORTE",B800)),
ISNUMBER(SEARCH("STAND",B800)),
ISNUMBER(SEARCH("TRAVEL ADAPTER",B800)),
ISNUMBER(SEARCH("RJ45",B800)),
ISNUMBER(SEARCH("USB-C",B800)),
ISNUMBER(SEARCH("USB WIFI",B800)),
ISNUMBER(SEARCH("POWERBANK",B800)),
ISNUMBER(SEARCH("CARGADOR",B800)),
ISNUMBER(SEARCH("COOLER PARA NB",B800)),
ISNUMBER(SEARCH("SOPORTE PARA NB",B800)),
ISNUMBER(SEARCH("WEBCAM",B800)),
ISNUMBER(SEARCH("WEB CAM",B800)),
ISNUMBER(SEARCH("MOUSE",B800)),
ISNUMBER(SEARCH("TECLADO",B800))
),
"COMPLEMENTO",
IF(
OR(
LEFT(A800,2)="NB",
LEFT(A800,2)="PC",
LEFT(A800,2)="WS",
LEFT(A800,2)="TB",
LEFT(A800,3)="CEL",
LEFT(A800,3)="MON",
LEFT(A800,3)="PRE",
LEFT(A800,3)="PRH",
ISNUMBER(SEARCH("NOTEBOOK",B800)),
ISNUMBER(SEARCH("LAPTOP",B800)),
ISNUMBER(SEARCH("MONITOR",B800)),
ISNUMBER(SEARCH("TABLET",B800)),
ISNUMBER(SEARCH("SMARTPH",B800)),
ISNUMBER(SEARCH("IMPRESORA",B800)),
ISNUMBER(SEARCH("MULTIFUNCIONAL",B800)),
ISNUMBER(SEARCH("AIO",B800))
),
"GANCHO",
"NORMAL"
)
)</f>
        <v>NORMAL</v>
      </c>
    </row>
    <row r="799" spans="1:12" x14ac:dyDescent="0.25">
      <c r="A799" s="3" t="s">
        <v>1547</v>
      </c>
      <c r="B799" s="3" t="s">
        <v>1548</v>
      </c>
      <c r="C799" s="1">
        <v>0</v>
      </c>
      <c r="D799" s="1">
        <v>999</v>
      </c>
      <c r="E799" s="1" t="s">
        <v>1549</v>
      </c>
      <c r="F799" s="1" t="s">
        <v>3521</v>
      </c>
      <c r="G799" s="3"/>
      <c r="H799" s="11">
        <f>ROUND(
IF(L797="GANCHO",
   IF(I799&lt;=50,I799*1.1+4,IF(I799&lt;=120,I799*1.1+7,IF(I799&lt;=250,I799*1.1+11,I799*1.1+19))),
IF(L797="NORMAL",
   IF(I799&lt;=30,I799*1.15+2,IF(I799&lt;=80,I799*1.15+4,IF(I799&lt;=150,I799*1.15+6,I799*1.15+8))),
IF(L797="COMPLEMENTO",
   IF(I799&lt;=25,I799*1.25+1.5,IF(I799&lt;=60,I799*1.25+3,IF(I799&lt;=120,I799*1.25+4,I799*1.25+5))),
""))),2)</f>
        <v>4725.6400000000003</v>
      </c>
      <c r="I799" s="9">
        <f>($K$2+0.02)*Tabla1[[#This Row],[PRECIO $]]*1.18</f>
        <v>4102.2936</v>
      </c>
      <c r="J799" s="7">
        <f>+Tabla1[[#This Row],[PRECIO EN SOLES]]-Tabla1[[#This Row],[PC]]</f>
        <v>623.34640000000036</v>
      </c>
      <c r="K799" s="15"/>
      <c r="L799" s="15" t="str">
        <f>IF(
OR(
ISNUMBER(SEARCH("BACKPACK",B801)),
ISNUMBER(SEARCH("MOCHILA",B801)),
ISNUMBER(SEARCH("FUNDA",B801)),
ISNUMBER(SEARCH("ESTUCHE",B801)),
ISNUMBER(SEARCH("BOOK COVER",B801)),
ISNUMBER(SEARCH("KEYBOARD PARA TABLET",B801)),
ISNUMBER(SEARCH("FLIP TABLET",B801)),
ISNUMBER(SEARCH("CASE FOR TABLET",B801)),
ISNUMBER(SEARCH("CABLE",B801)),
ISNUMBER(SEARCH("ADAPTADOR",B801)),
ISNUMBER(SEARCH("HUB",B801)),
ISNUMBER(SEARCH("DOCK",B801)),
ISNUMBER(SEARCH("MOUSE PAD",B801)),
ISNUMBER(SEARCH("MOUSEPAD",B801)),
ISNUMBER(SEARCH("SOPORTE",B801)),
ISNUMBER(SEARCH("STAND",B801)),
ISNUMBER(SEARCH("TRAVEL ADAPTER",B801)),
ISNUMBER(SEARCH("RJ45",B801)),
ISNUMBER(SEARCH("USB-C",B801)),
ISNUMBER(SEARCH("USB WIFI",B801)),
ISNUMBER(SEARCH("POWERBANK",B801)),
ISNUMBER(SEARCH("CARGADOR",B801)),
ISNUMBER(SEARCH("COOLER PARA NB",B801)),
ISNUMBER(SEARCH("SOPORTE PARA NB",B801)),
ISNUMBER(SEARCH("WEBCAM",B801)),
ISNUMBER(SEARCH("WEB CAM",B801)),
ISNUMBER(SEARCH("MOUSE",B801)),
ISNUMBER(SEARCH("TECLADO",B801))
),
"COMPLEMENTO",
IF(
OR(
LEFT(A801,2)="NB",
LEFT(A801,2)="PC",
LEFT(A801,2)="WS",
LEFT(A801,2)="TB",
LEFT(A801,3)="CEL",
LEFT(A801,3)="MON",
LEFT(A801,3)="PRE",
LEFT(A801,3)="PRH",
ISNUMBER(SEARCH("NOTEBOOK",B801)),
ISNUMBER(SEARCH("LAPTOP",B801)),
ISNUMBER(SEARCH("MONITOR",B801)),
ISNUMBER(SEARCH("TABLET",B801)),
ISNUMBER(SEARCH("SMARTPH",B801)),
ISNUMBER(SEARCH("IMPRESORA",B801)),
ISNUMBER(SEARCH("MULTIFUNCIONAL",B801)),
ISNUMBER(SEARCH("AIO",B801))
),
"GANCHO",
"NORMAL"
)
)</f>
        <v>NORMAL</v>
      </c>
    </row>
    <row r="800" spans="1:12" x14ac:dyDescent="0.25">
      <c r="A800" s="3" t="s">
        <v>4979</v>
      </c>
      <c r="B800" s="3" t="s">
        <v>4980</v>
      </c>
      <c r="C800" s="1">
        <v>0</v>
      </c>
      <c r="D800" s="1">
        <v>666</v>
      </c>
      <c r="E800" s="1" t="s">
        <v>4981</v>
      </c>
      <c r="F800" s="1" t="s">
        <v>4982</v>
      </c>
      <c r="G800" s="3"/>
      <c r="H800" s="11">
        <f>ROUND(
IF(L798="GANCHO",
   IF(I800&lt;=50,I800*1.1+4,IF(I800&lt;=120,I800*1.1+7,IF(I800&lt;=250,I800*1.1+11,I800*1.1+19))),
IF(L798="NORMAL",
   IF(I800&lt;=30,I800*1.15+2,IF(I800&lt;=80,I800*1.15+4,IF(I800&lt;=150,I800*1.15+6,I800*1.15+8))),
IF(L798="COMPLEMENTO",
   IF(I800&lt;=25,I800*1.25+1.5,IF(I800&lt;=60,I800*1.25+3,IF(I800&lt;=120,I800*1.25+4,I800*1.25+5))),
""))),2)</f>
        <v>3153.09</v>
      </c>
      <c r="I800" s="9">
        <f>($K$2+0.02)*Tabla1[[#This Row],[PRECIO $]]*1.18</f>
        <v>2734.8623999999995</v>
      </c>
      <c r="J800" s="7">
        <f>+Tabla1[[#This Row],[PRECIO EN SOLES]]-Tabla1[[#This Row],[PC]]</f>
        <v>418.22760000000062</v>
      </c>
      <c r="K800" s="15"/>
      <c r="L800" s="15" t="str">
        <f>IF(
OR(
ISNUMBER(SEARCH("BACKPACK",B802)),
ISNUMBER(SEARCH("MOCHILA",B802)),
ISNUMBER(SEARCH("FUNDA",B802)),
ISNUMBER(SEARCH("ESTUCHE",B802)),
ISNUMBER(SEARCH("BOOK COVER",B802)),
ISNUMBER(SEARCH("KEYBOARD PARA TABLET",B802)),
ISNUMBER(SEARCH("FLIP TABLET",B802)),
ISNUMBER(SEARCH("CASE FOR TABLET",B802)),
ISNUMBER(SEARCH("CABLE",B802)),
ISNUMBER(SEARCH("ADAPTADOR",B802)),
ISNUMBER(SEARCH("HUB",B802)),
ISNUMBER(SEARCH("DOCK",B802)),
ISNUMBER(SEARCH("MOUSE PAD",B802)),
ISNUMBER(SEARCH("MOUSEPAD",B802)),
ISNUMBER(SEARCH("SOPORTE",B802)),
ISNUMBER(SEARCH("STAND",B802)),
ISNUMBER(SEARCH("TRAVEL ADAPTER",B802)),
ISNUMBER(SEARCH("RJ45",B802)),
ISNUMBER(SEARCH("USB-C",B802)),
ISNUMBER(SEARCH("USB WIFI",B802)),
ISNUMBER(SEARCH("POWERBANK",B802)),
ISNUMBER(SEARCH("CARGADOR",B802)),
ISNUMBER(SEARCH("COOLER PARA NB",B802)),
ISNUMBER(SEARCH("SOPORTE PARA NB",B802)),
ISNUMBER(SEARCH("WEBCAM",B802)),
ISNUMBER(SEARCH("WEB CAM",B802)),
ISNUMBER(SEARCH("MOUSE",B802)),
ISNUMBER(SEARCH("TECLADO",B802))
),
"COMPLEMENTO",
IF(
OR(
LEFT(A802,2)="NB",
LEFT(A802,2)="PC",
LEFT(A802,2)="WS",
LEFT(A802,2)="TB",
LEFT(A802,3)="CEL",
LEFT(A802,3)="MON",
LEFT(A802,3)="PRE",
LEFT(A802,3)="PRH",
ISNUMBER(SEARCH("NOTEBOOK",B802)),
ISNUMBER(SEARCH("LAPTOP",B802)),
ISNUMBER(SEARCH("MONITOR",B802)),
ISNUMBER(SEARCH("TABLET",B802)),
ISNUMBER(SEARCH("SMARTPH",B802)),
ISNUMBER(SEARCH("IMPRESORA",B802)),
ISNUMBER(SEARCH("MULTIFUNCIONAL",B802)),
ISNUMBER(SEARCH("AIO",B802))
),
"GANCHO",
"NORMAL"
)
)</f>
        <v>NORMAL</v>
      </c>
    </row>
    <row r="801" spans="1:12" x14ac:dyDescent="0.25">
      <c r="A801" s="3" t="s">
        <v>4303</v>
      </c>
      <c r="B801" s="3" t="s">
        <v>4304</v>
      </c>
      <c r="C801" s="1">
        <v>0</v>
      </c>
      <c r="D801" s="1">
        <v>666</v>
      </c>
      <c r="E801" s="1" t="s">
        <v>276</v>
      </c>
      <c r="F801" s="1" t="s">
        <v>4305</v>
      </c>
      <c r="G801" s="3"/>
      <c r="H801" s="11">
        <f>ROUND(
IF(L799="GANCHO",
   IF(I801&lt;=50,I801*1.1+4,IF(I801&lt;=120,I801*1.1+7,IF(I801&lt;=250,I801*1.1+11,I801*1.1+19))),
IF(L799="NORMAL",
   IF(I801&lt;=30,I801*1.15+2,IF(I801&lt;=80,I801*1.15+4,IF(I801&lt;=150,I801*1.15+6,I801*1.15+8))),
IF(L799="COMPLEMENTO",
   IF(I801&lt;=25,I801*1.25+1.5,IF(I801&lt;=60,I801*1.25+3,IF(I801&lt;=120,I801*1.25+4,I801*1.25+5))),
""))),2)</f>
        <v>3153.09</v>
      </c>
      <c r="I801" s="9">
        <f>($K$2+0.02)*Tabla1[[#This Row],[PRECIO $]]*1.18</f>
        <v>2734.8623999999995</v>
      </c>
      <c r="J801" s="7">
        <f>+Tabla1[[#This Row],[PRECIO EN SOLES]]-Tabla1[[#This Row],[PC]]</f>
        <v>418.22760000000062</v>
      </c>
      <c r="K801" s="15"/>
      <c r="L801" s="15" t="str">
        <f>IF(
OR(
ISNUMBER(SEARCH("BACKPACK",B803)),
ISNUMBER(SEARCH("MOCHILA",B803)),
ISNUMBER(SEARCH("FUNDA",B803)),
ISNUMBER(SEARCH("ESTUCHE",B803)),
ISNUMBER(SEARCH("BOOK COVER",B803)),
ISNUMBER(SEARCH("KEYBOARD PARA TABLET",B803)),
ISNUMBER(SEARCH("FLIP TABLET",B803)),
ISNUMBER(SEARCH("CASE FOR TABLET",B803)),
ISNUMBER(SEARCH("CABLE",B803)),
ISNUMBER(SEARCH("ADAPTADOR",B803)),
ISNUMBER(SEARCH("HUB",B803)),
ISNUMBER(SEARCH("DOCK",B803)),
ISNUMBER(SEARCH("MOUSE PAD",B803)),
ISNUMBER(SEARCH("MOUSEPAD",B803)),
ISNUMBER(SEARCH("SOPORTE",B803)),
ISNUMBER(SEARCH("STAND",B803)),
ISNUMBER(SEARCH("TRAVEL ADAPTER",B803)),
ISNUMBER(SEARCH("RJ45",B803)),
ISNUMBER(SEARCH("USB-C",B803)),
ISNUMBER(SEARCH("USB WIFI",B803)),
ISNUMBER(SEARCH("POWERBANK",B803)),
ISNUMBER(SEARCH("CARGADOR",B803)),
ISNUMBER(SEARCH("COOLER PARA NB",B803)),
ISNUMBER(SEARCH("SOPORTE PARA NB",B803)),
ISNUMBER(SEARCH("WEBCAM",B803)),
ISNUMBER(SEARCH("WEB CAM",B803)),
ISNUMBER(SEARCH("MOUSE",B803)),
ISNUMBER(SEARCH("TECLADO",B803))
),
"COMPLEMENTO",
IF(
OR(
LEFT(A803,2)="NB",
LEFT(A803,2)="PC",
LEFT(A803,2)="WS",
LEFT(A803,2)="TB",
LEFT(A803,3)="CEL",
LEFT(A803,3)="MON",
LEFT(A803,3)="PRE",
LEFT(A803,3)="PRH",
ISNUMBER(SEARCH("NOTEBOOK",B803)),
ISNUMBER(SEARCH("LAPTOP",B803)),
ISNUMBER(SEARCH("MONITOR",B803)),
ISNUMBER(SEARCH("TABLET",B803)),
ISNUMBER(SEARCH("SMARTPH",B803)),
ISNUMBER(SEARCH("IMPRESORA",B803)),
ISNUMBER(SEARCH("MULTIFUNCIONAL",B803)),
ISNUMBER(SEARCH("AIO",B803))
),
"GANCHO",
"NORMAL"
)
)</f>
        <v>NORMAL</v>
      </c>
    </row>
    <row r="802" spans="1:12" x14ac:dyDescent="0.25">
      <c r="A802" s="3" t="s">
        <v>6601</v>
      </c>
      <c r="B802" s="3" t="s">
        <v>6602</v>
      </c>
      <c r="C802" s="1">
        <v>20</v>
      </c>
      <c r="D802" s="1">
        <v>666</v>
      </c>
      <c r="E802" s="1" t="s">
        <v>249</v>
      </c>
      <c r="F802" s="1" t="s">
        <v>6603</v>
      </c>
      <c r="G802" s="3"/>
      <c r="H802" s="11">
        <f>ROUND(
IF(L800="GANCHO",
   IF(I802&lt;=50,I802*1.1+4,IF(I802&lt;=120,I802*1.1+7,IF(I802&lt;=250,I802*1.1+11,I802*1.1+19))),
IF(L800="NORMAL",
   IF(I802&lt;=30,I802*1.15+2,IF(I802&lt;=80,I802*1.15+4,IF(I802&lt;=150,I802*1.15+6,I802*1.15+8))),
IF(L800="COMPLEMENTO",
   IF(I802&lt;=25,I802*1.25+1.5,IF(I802&lt;=60,I802*1.25+3,IF(I802&lt;=120,I802*1.25+4,I802*1.25+5))),
""))),2)</f>
        <v>3153.09</v>
      </c>
      <c r="I802" s="9">
        <f>($K$2+0.02)*Tabla1[[#This Row],[PRECIO $]]*1.18</f>
        <v>2734.8623999999995</v>
      </c>
      <c r="J802" s="7">
        <f>+Tabla1[[#This Row],[PRECIO EN SOLES]]-Tabla1[[#This Row],[PC]]</f>
        <v>418.22760000000062</v>
      </c>
      <c r="K802" s="15"/>
      <c r="L802" s="15" t="str">
        <f>IF(
OR(
ISNUMBER(SEARCH("BACKPACK",B804)),
ISNUMBER(SEARCH("MOCHILA",B804)),
ISNUMBER(SEARCH("FUNDA",B804)),
ISNUMBER(SEARCH("ESTUCHE",B804)),
ISNUMBER(SEARCH("BOOK COVER",B804)),
ISNUMBER(SEARCH("KEYBOARD PARA TABLET",B804)),
ISNUMBER(SEARCH("FLIP TABLET",B804)),
ISNUMBER(SEARCH("CASE FOR TABLET",B804)),
ISNUMBER(SEARCH("CABLE",B804)),
ISNUMBER(SEARCH("ADAPTADOR",B804)),
ISNUMBER(SEARCH("HUB",B804)),
ISNUMBER(SEARCH("DOCK",B804)),
ISNUMBER(SEARCH("MOUSE PAD",B804)),
ISNUMBER(SEARCH("MOUSEPAD",B804)),
ISNUMBER(SEARCH("SOPORTE",B804)),
ISNUMBER(SEARCH("STAND",B804)),
ISNUMBER(SEARCH("TRAVEL ADAPTER",B804)),
ISNUMBER(SEARCH("RJ45",B804)),
ISNUMBER(SEARCH("USB-C",B804)),
ISNUMBER(SEARCH("USB WIFI",B804)),
ISNUMBER(SEARCH("POWERBANK",B804)),
ISNUMBER(SEARCH("CARGADOR",B804)),
ISNUMBER(SEARCH("COOLER PARA NB",B804)),
ISNUMBER(SEARCH("SOPORTE PARA NB",B804)),
ISNUMBER(SEARCH("WEBCAM",B804)),
ISNUMBER(SEARCH("WEB CAM",B804)),
ISNUMBER(SEARCH("MOUSE",B804)),
ISNUMBER(SEARCH("TECLADO",B804))
),
"COMPLEMENTO",
IF(
OR(
LEFT(A804,2)="NB",
LEFT(A804,2)="PC",
LEFT(A804,2)="WS",
LEFT(A804,2)="TB",
LEFT(A804,3)="CEL",
LEFT(A804,3)="MON",
LEFT(A804,3)="PRE",
LEFT(A804,3)="PRH",
ISNUMBER(SEARCH("NOTEBOOK",B804)),
ISNUMBER(SEARCH("LAPTOP",B804)),
ISNUMBER(SEARCH("MONITOR",B804)),
ISNUMBER(SEARCH("TABLET",B804)),
ISNUMBER(SEARCH("SMARTPH",B804)),
ISNUMBER(SEARCH("IMPRESORA",B804)),
ISNUMBER(SEARCH("MULTIFUNCIONAL",B804)),
ISNUMBER(SEARCH("AIO",B804))
),
"GANCHO",
"NORMAL"
)
)</f>
        <v>NORMAL</v>
      </c>
    </row>
    <row r="803" spans="1:12" x14ac:dyDescent="0.25">
      <c r="A803" s="3" t="s">
        <v>1550</v>
      </c>
      <c r="B803" s="3" t="s">
        <v>2786</v>
      </c>
      <c r="C803" s="1">
        <v>0</v>
      </c>
      <c r="D803" s="1">
        <v>600</v>
      </c>
      <c r="E803" s="1" t="s">
        <v>55</v>
      </c>
      <c r="F803" s="1" t="s">
        <v>3522</v>
      </c>
      <c r="G803" s="3"/>
      <c r="H803" s="11">
        <f>ROUND(
IF(L801="GANCHO",
   IF(I803&lt;=50,I803*1.1+4,IF(I803&lt;=120,I803*1.1+7,IF(I803&lt;=250,I803*1.1+11,I803*1.1+19))),
IF(L801="NORMAL",
   IF(I803&lt;=30,I803*1.15+2,IF(I803&lt;=80,I803*1.15+4,IF(I803&lt;=150,I803*1.15+6,I803*1.15+8))),
IF(L801="COMPLEMENTO",
   IF(I803&lt;=25,I803*1.25+1.5,IF(I803&lt;=60,I803*1.25+3,IF(I803&lt;=120,I803*1.25+4,I803*1.25+5))),
""))),2)</f>
        <v>2841.42</v>
      </c>
      <c r="I803" s="9">
        <f>($K$2+0.02)*Tabla1[[#This Row],[PRECIO $]]*1.18</f>
        <v>2463.8399999999997</v>
      </c>
      <c r="J803" s="7">
        <f>+Tabla1[[#This Row],[PRECIO EN SOLES]]-Tabla1[[#This Row],[PC]]</f>
        <v>377.58000000000038</v>
      </c>
      <c r="K803" s="15"/>
      <c r="L803" s="15" t="str">
        <f>IF(
OR(
ISNUMBER(SEARCH("BACKPACK",B805)),
ISNUMBER(SEARCH("MOCHILA",B805)),
ISNUMBER(SEARCH("FUNDA",B805)),
ISNUMBER(SEARCH("ESTUCHE",B805)),
ISNUMBER(SEARCH("BOOK COVER",B805)),
ISNUMBER(SEARCH("KEYBOARD PARA TABLET",B805)),
ISNUMBER(SEARCH("FLIP TABLET",B805)),
ISNUMBER(SEARCH("CASE FOR TABLET",B805)),
ISNUMBER(SEARCH("CABLE",B805)),
ISNUMBER(SEARCH("ADAPTADOR",B805)),
ISNUMBER(SEARCH("HUB",B805)),
ISNUMBER(SEARCH("DOCK",B805)),
ISNUMBER(SEARCH("MOUSE PAD",B805)),
ISNUMBER(SEARCH("MOUSEPAD",B805)),
ISNUMBER(SEARCH("SOPORTE",B805)),
ISNUMBER(SEARCH("STAND",B805)),
ISNUMBER(SEARCH("TRAVEL ADAPTER",B805)),
ISNUMBER(SEARCH("RJ45",B805)),
ISNUMBER(SEARCH("USB-C",B805)),
ISNUMBER(SEARCH("USB WIFI",B805)),
ISNUMBER(SEARCH("POWERBANK",B805)),
ISNUMBER(SEARCH("CARGADOR",B805)),
ISNUMBER(SEARCH("COOLER PARA NB",B805)),
ISNUMBER(SEARCH("SOPORTE PARA NB",B805)),
ISNUMBER(SEARCH("WEBCAM",B805)),
ISNUMBER(SEARCH("WEB CAM",B805)),
ISNUMBER(SEARCH("MOUSE",B805)),
ISNUMBER(SEARCH("TECLADO",B805))
),
"COMPLEMENTO",
IF(
OR(
LEFT(A805,2)="NB",
LEFT(A805,2)="PC",
LEFT(A805,2)="WS",
LEFT(A805,2)="TB",
LEFT(A805,3)="CEL",
LEFT(A805,3)="MON",
LEFT(A805,3)="PRE",
LEFT(A805,3)="PRH",
ISNUMBER(SEARCH("NOTEBOOK",B805)),
ISNUMBER(SEARCH("LAPTOP",B805)),
ISNUMBER(SEARCH("MONITOR",B805)),
ISNUMBER(SEARCH("TABLET",B805)),
ISNUMBER(SEARCH("SMARTPH",B805)),
ISNUMBER(SEARCH("IMPRESORA",B805)),
ISNUMBER(SEARCH("MULTIFUNCIONAL",B805)),
ISNUMBER(SEARCH("AIO",B805))
),
"GANCHO",
"NORMAL"
)
)</f>
        <v>NORMAL</v>
      </c>
    </row>
    <row r="804" spans="1:12" x14ac:dyDescent="0.25">
      <c r="A804" s="3" t="s">
        <v>1551</v>
      </c>
      <c r="B804" s="3" t="s">
        <v>1552</v>
      </c>
      <c r="C804" s="1">
        <v>20</v>
      </c>
      <c r="D804" s="1">
        <v>666</v>
      </c>
      <c r="E804" s="1" t="s">
        <v>170</v>
      </c>
      <c r="F804" s="1" t="s">
        <v>3523</v>
      </c>
      <c r="G804" s="3"/>
      <c r="H804" s="11">
        <f>ROUND(
IF(L802="GANCHO",
   IF(I804&lt;=50,I804*1.1+4,IF(I804&lt;=120,I804*1.1+7,IF(I804&lt;=250,I804*1.1+11,I804*1.1+19))),
IF(L802="NORMAL",
   IF(I804&lt;=30,I804*1.15+2,IF(I804&lt;=80,I804*1.15+4,IF(I804&lt;=150,I804*1.15+6,I804*1.15+8))),
IF(L802="COMPLEMENTO",
   IF(I804&lt;=25,I804*1.25+1.5,IF(I804&lt;=60,I804*1.25+3,IF(I804&lt;=120,I804*1.25+4,I804*1.25+5))),
""))),2)</f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>IF(
OR(
ISNUMBER(SEARCH("BACKPACK",B806)),
ISNUMBER(SEARCH("MOCHILA",B806)),
ISNUMBER(SEARCH("FUNDA",B806)),
ISNUMBER(SEARCH("ESTUCHE",B806)),
ISNUMBER(SEARCH("BOOK COVER",B806)),
ISNUMBER(SEARCH("KEYBOARD PARA TABLET",B806)),
ISNUMBER(SEARCH("FLIP TABLET",B806)),
ISNUMBER(SEARCH("CASE FOR TABLET",B806)),
ISNUMBER(SEARCH("CABLE",B806)),
ISNUMBER(SEARCH("ADAPTADOR",B806)),
ISNUMBER(SEARCH("HUB",B806)),
ISNUMBER(SEARCH("DOCK",B806)),
ISNUMBER(SEARCH("MOUSE PAD",B806)),
ISNUMBER(SEARCH("MOUSEPAD",B806)),
ISNUMBER(SEARCH("SOPORTE",B806)),
ISNUMBER(SEARCH("STAND",B806)),
ISNUMBER(SEARCH("TRAVEL ADAPTER",B806)),
ISNUMBER(SEARCH("RJ45",B806)),
ISNUMBER(SEARCH("USB-C",B806)),
ISNUMBER(SEARCH("USB WIFI",B806)),
ISNUMBER(SEARCH("POWERBANK",B806)),
ISNUMBER(SEARCH("CARGADOR",B806)),
ISNUMBER(SEARCH("COOLER PARA NB",B806)),
ISNUMBER(SEARCH("SOPORTE PARA NB",B806)),
ISNUMBER(SEARCH("WEBCAM",B806)),
ISNUMBER(SEARCH("WEB CAM",B806)),
ISNUMBER(SEARCH("MOUSE",B806)),
ISNUMBER(SEARCH("TECLADO",B806))
),
"COMPLEMENTO",
IF(
OR(
LEFT(A806,2)="NB",
LEFT(A806,2)="PC",
LEFT(A806,2)="WS",
LEFT(A806,2)="TB",
LEFT(A806,3)="CEL",
LEFT(A806,3)="MON",
LEFT(A806,3)="PRE",
LEFT(A806,3)="PRH",
ISNUMBER(SEARCH("NOTEBOOK",B806)),
ISNUMBER(SEARCH("LAPTOP",B806)),
ISNUMBER(SEARCH("MONITOR",B806)),
ISNUMBER(SEARCH("TABLET",B806)),
ISNUMBER(SEARCH("SMARTPH",B806)),
ISNUMBER(SEARCH("IMPRESORA",B806)),
ISNUMBER(SEARCH("MULTIFUNCIONAL",B806)),
ISNUMBER(SEARCH("AIO",B806))
),
"GANCHO",
"NORMAL"
)
)</f>
        <v>NORMAL</v>
      </c>
    </row>
    <row r="805" spans="1:12" x14ac:dyDescent="0.25">
      <c r="A805" s="3" t="s">
        <v>5674</v>
      </c>
      <c r="B805" s="3" t="s">
        <v>5675</v>
      </c>
      <c r="C805" s="1">
        <v>0</v>
      </c>
      <c r="D805" s="1">
        <v>999</v>
      </c>
      <c r="E805" s="1" t="s">
        <v>218</v>
      </c>
      <c r="F805" s="1" t="s">
        <v>5676</v>
      </c>
      <c r="G805" s="3"/>
      <c r="H805" s="11">
        <f>ROUND(
IF(L803="GANCHO",
   IF(I805&lt;=50,I805*1.1+4,IF(I805&lt;=120,I805*1.1+7,IF(I805&lt;=250,I805*1.1+11,I805*1.1+19))),
IF(L803="NORMAL",
   IF(I805&lt;=30,I805*1.15+2,IF(I805&lt;=80,I805*1.15+4,IF(I805&lt;=150,I805*1.15+6,I805*1.15+8))),
IF(L803="COMPLEMENTO",
   IF(I805&lt;=25,I805*1.25+1.5,IF(I805&lt;=60,I805*1.25+3,IF(I805&lt;=120,I805*1.25+4,I805*1.25+5))),
""))),2)</f>
        <v>4725.6400000000003</v>
      </c>
      <c r="I805" s="9">
        <f>($K$2+0.02)*Tabla1[[#This Row],[PRECIO $]]*1.18</f>
        <v>4102.2936</v>
      </c>
      <c r="J805" s="7">
        <f>+Tabla1[[#This Row],[PRECIO EN SOLES]]-Tabla1[[#This Row],[PC]]</f>
        <v>623.34640000000036</v>
      </c>
      <c r="K805" s="15"/>
      <c r="L805" s="15" t="str">
        <f>IF(
OR(
ISNUMBER(SEARCH("BACKPACK",B807)),
ISNUMBER(SEARCH("MOCHILA",B807)),
ISNUMBER(SEARCH("FUNDA",B807)),
ISNUMBER(SEARCH("ESTUCHE",B807)),
ISNUMBER(SEARCH("BOOK COVER",B807)),
ISNUMBER(SEARCH("KEYBOARD PARA TABLET",B807)),
ISNUMBER(SEARCH("FLIP TABLET",B807)),
ISNUMBER(SEARCH("CASE FOR TABLET",B807)),
ISNUMBER(SEARCH("CABLE",B807)),
ISNUMBER(SEARCH("ADAPTADOR",B807)),
ISNUMBER(SEARCH("HUB",B807)),
ISNUMBER(SEARCH("DOCK",B807)),
ISNUMBER(SEARCH("MOUSE PAD",B807)),
ISNUMBER(SEARCH("MOUSEPAD",B807)),
ISNUMBER(SEARCH("SOPORTE",B807)),
ISNUMBER(SEARCH("STAND",B807)),
ISNUMBER(SEARCH("TRAVEL ADAPTER",B807)),
ISNUMBER(SEARCH("RJ45",B807)),
ISNUMBER(SEARCH("USB-C",B807)),
ISNUMBER(SEARCH("USB WIFI",B807)),
ISNUMBER(SEARCH("POWERBANK",B807)),
ISNUMBER(SEARCH("CARGADOR",B807)),
ISNUMBER(SEARCH("COOLER PARA NB",B807)),
ISNUMBER(SEARCH("SOPORTE PARA NB",B807)),
ISNUMBER(SEARCH("WEBCAM",B807)),
ISNUMBER(SEARCH("WEB CAM",B807)),
ISNUMBER(SEARCH("MOUSE",B807)),
ISNUMBER(SEARCH("TECLADO",B807))
),
"COMPLEMENTO",
IF(
OR(
LEFT(A807,2)="NB",
LEFT(A807,2)="PC",
LEFT(A807,2)="WS",
LEFT(A807,2)="TB",
LEFT(A807,3)="CEL",
LEFT(A807,3)="MON",
LEFT(A807,3)="PRE",
LEFT(A807,3)="PRH",
ISNUMBER(SEARCH("NOTEBOOK",B807)),
ISNUMBER(SEARCH("LAPTOP",B807)),
ISNUMBER(SEARCH("MONITOR",B807)),
ISNUMBER(SEARCH("TABLET",B807)),
ISNUMBER(SEARCH("SMARTPH",B807)),
ISNUMBER(SEARCH("IMPRESORA",B807)),
ISNUMBER(SEARCH("MULTIFUNCIONAL",B807)),
ISNUMBER(SEARCH("AIO",B807))
),
"GANCHO",
"NORMAL"
)
)</f>
        <v>NORMAL</v>
      </c>
    </row>
    <row r="806" spans="1:12" x14ac:dyDescent="0.25">
      <c r="A806" s="3" t="s">
        <v>1553</v>
      </c>
      <c r="B806" s="3" t="s">
        <v>1554</v>
      </c>
      <c r="C806" s="1">
        <v>20</v>
      </c>
      <c r="D806" s="1">
        <v>666</v>
      </c>
      <c r="E806" s="1" t="s">
        <v>170</v>
      </c>
      <c r="F806" s="1" t="s">
        <v>3524</v>
      </c>
      <c r="G806" s="3"/>
      <c r="H806" s="11">
        <f>ROUND(
IF(L804="GANCHO",
   IF(I806&lt;=50,I806*1.1+4,IF(I806&lt;=120,I806*1.1+7,IF(I806&lt;=250,I806*1.1+11,I806*1.1+19))),
IF(L804="NORMAL",
   IF(I806&lt;=30,I806*1.15+2,IF(I806&lt;=80,I806*1.15+4,IF(I806&lt;=150,I806*1.15+6,I806*1.15+8))),
IF(L804="COMPLEMENTO",
   IF(I806&lt;=25,I806*1.25+1.5,IF(I806&lt;=60,I806*1.25+3,IF(I806&lt;=120,I806*1.25+4,I806*1.25+5))),
""))),2)</f>
        <v>3153.09</v>
      </c>
      <c r="I806" s="9">
        <f>($K$2+0.02)*Tabla1[[#This Row],[PRECIO $]]*1.18</f>
        <v>2734.8623999999995</v>
      </c>
      <c r="J806" s="7">
        <f>+Tabla1[[#This Row],[PRECIO EN SOLES]]-Tabla1[[#This Row],[PC]]</f>
        <v>418.22760000000062</v>
      </c>
      <c r="K806" s="15"/>
      <c r="L806" s="15" t="str">
        <f>IF(
OR(
ISNUMBER(SEARCH("BACKPACK",B808)),
ISNUMBER(SEARCH("MOCHILA",B808)),
ISNUMBER(SEARCH("FUNDA",B808)),
ISNUMBER(SEARCH("ESTUCHE",B808)),
ISNUMBER(SEARCH("BOOK COVER",B808)),
ISNUMBER(SEARCH("KEYBOARD PARA TABLET",B808)),
ISNUMBER(SEARCH("FLIP TABLET",B808)),
ISNUMBER(SEARCH("CASE FOR TABLET",B808)),
ISNUMBER(SEARCH("CABLE",B808)),
ISNUMBER(SEARCH("ADAPTADOR",B808)),
ISNUMBER(SEARCH("HUB",B808)),
ISNUMBER(SEARCH("DOCK",B808)),
ISNUMBER(SEARCH("MOUSE PAD",B808)),
ISNUMBER(SEARCH("MOUSEPAD",B808)),
ISNUMBER(SEARCH("SOPORTE",B808)),
ISNUMBER(SEARCH("STAND",B808)),
ISNUMBER(SEARCH("TRAVEL ADAPTER",B808)),
ISNUMBER(SEARCH("RJ45",B808)),
ISNUMBER(SEARCH("USB-C",B808)),
ISNUMBER(SEARCH("USB WIFI",B808)),
ISNUMBER(SEARCH("POWERBANK",B808)),
ISNUMBER(SEARCH("CARGADOR",B808)),
ISNUMBER(SEARCH("COOLER PARA NB",B808)),
ISNUMBER(SEARCH("SOPORTE PARA NB",B808)),
ISNUMBER(SEARCH("WEBCAM",B808)),
ISNUMBER(SEARCH("WEB CAM",B808)),
ISNUMBER(SEARCH("MOUSE",B808)),
ISNUMBER(SEARCH("TECLADO",B808))
),
"COMPLEMENTO",
IF(
OR(
LEFT(A808,2)="NB",
LEFT(A808,2)="PC",
LEFT(A808,2)="WS",
LEFT(A808,2)="TB",
LEFT(A808,3)="CEL",
LEFT(A808,3)="MON",
LEFT(A808,3)="PRE",
LEFT(A808,3)="PRH",
ISNUMBER(SEARCH("NOTEBOOK",B808)),
ISNUMBER(SEARCH("LAPTOP",B808)),
ISNUMBER(SEARCH("MONITOR",B808)),
ISNUMBER(SEARCH("TABLET",B808)),
ISNUMBER(SEARCH("SMARTPH",B808)),
ISNUMBER(SEARCH("IMPRESORA",B808)),
ISNUMBER(SEARCH("MULTIFUNCIONAL",B808)),
ISNUMBER(SEARCH("AIO",B808))
),
"GANCHO",
"NORMAL"
)
)</f>
        <v>NORMAL</v>
      </c>
    </row>
    <row r="807" spans="1:12" x14ac:dyDescent="0.25">
      <c r="A807" s="3" t="s">
        <v>6743</v>
      </c>
      <c r="B807" s="3" t="s">
        <v>6744</v>
      </c>
      <c r="C807" s="1">
        <v>0</v>
      </c>
      <c r="D807" s="1">
        <v>999</v>
      </c>
      <c r="E807" s="1" t="s">
        <v>56</v>
      </c>
      <c r="F807" s="1" t="s">
        <v>6745</v>
      </c>
      <c r="G807" s="3"/>
      <c r="H807" s="11">
        <f>ROUND(
IF(L805="GANCHO",
   IF(I807&lt;=50,I807*1.1+4,IF(I807&lt;=120,I807*1.1+7,IF(I807&lt;=250,I807*1.1+11,I807*1.1+19))),
IF(L805="NORMAL",
   IF(I807&lt;=30,I807*1.15+2,IF(I807&lt;=80,I807*1.15+4,IF(I807&lt;=150,I807*1.15+6,I807*1.15+8))),
IF(L805="COMPLEMENTO",
   IF(I807&lt;=25,I807*1.25+1.5,IF(I807&lt;=60,I807*1.25+3,IF(I807&lt;=120,I807*1.25+4,I807*1.25+5))),
""))),2)</f>
        <v>4725.6400000000003</v>
      </c>
      <c r="I807" s="9">
        <f>($K$2+0.02)*Tabla1[[#This Row],[PRECIO $]]*1.18</f>
        <v>4102.2936</v>
      </c>
      <c r="J807" s="7">
        <f>+Tabla1[[#This Row],[PRECIO EN SOLES]]-Tabla1[[#This Row],[PC]]</f>
        <v>623.34640000000036</v>
      </c>
      <c r="K807" s="15"/>
      <c r="L807" s="15" t="str">
        <f>IF(
OR(
ISNUMBER(SEARCH("BACKPACK",B809)),
ISNUMBER(SEARCH("MOCHILA",B809)),
ISNUMBER(SEARCH("FUNDA",B809)),
ISNUMBER(SEARCH("ESTUCHE",B809)),
ISNUMBER(SEARCH("BOOK COVER",B809)),
ISNUMBER(SEARCH("KEYBOARD PARA TABLET",B809)),
ISNUMBER(SEARCH("FLIP TABLET",B809)),
ISNUMBER(SEARCH("CASE FOR TABLET",B809)),
ISNUMBER(SEARCH("CABLE",B809)),
ISNUMBER(SEARCH("ADAPTADOR",B809)),
ISNUMBER(SEARCH("HUB",B809)),
ISNUMBER(SEARCH("DOCK",B809)),
ISNUMBER(SEARCH("MOUSE PAD",B809)),
ISNUMBER(SEARCH("MOUSEPAD",B809)),
ISNUMBER(SEARCH("SOPORTE",B809)),
ISNUMBER(SEARCH("STAND",B809)),
ISNUMBER(SEARCH("TRAVEL ADAPTER",B809)),
ISNUMBER(SEARCH("RJ45",B809)),
ISNUMBER(SEARCH("USB-C",B809)),
ISNUMBER(SEARCH("USB WIFI",B809)),
ISNUMBER(SEARCH("POWERBANK",B809)),
ISNUMBER(SEARCH("CARGADOR",B809)),
ISNUMBER(SEARCH("COOLER PARA NB",B809)),
ISNUMBER(SEARCH("SOPORTE PARA NB",B809)),
ISNUMBER(SEARCH("WEBCAM",B809)),
ISNUMBER(SEARCH("WEB CAM",B809)),
ISNUMBER(SEARCH("MOUSE",B809)),
ISNUMBER(SEARCH("TECLADO",B809))
),
"COMPLEMENTO",
IF(
OR(
LEFT(A809,2)="NB",
LEFT(A809,2)="PC",
LEFT(A809,2)="WS",
LEFT(A809,2)="TB",
LEFT(A809,3)="CEL",
LEFT(A809,3)="MON",
LEFT(A809,3)="PRE",
LEFT(A809,3)="PRH",
ISNUMBER(SEARCH("NOTEBOOK",B809)),
ISNUMBER(SEARCH("LAPTOP",B809)),
ISNUMBER(SEARCH("MONITOR",B809)),
ISNUMBER(SEARCH("TABLET",B809)),
ISNUMBER(SEARCH("SMARTPH",B809)),
ISNUMBER(SEARCH("IMPRESORA",B809)),
ISNUMBER(SEARCH("MULTIFUNCIONAL",B809)),
ISNUMBER(SEARCH("AIO",B809))
),
"GANCHO",
"NORMAL"
)
)</f>
        <v>NORMAL</v>
      </c>
    </row>
    <row r="808" spans="1:12" x14ac:dyDescent="0.25">
      <c r="A808" s="3" t="s">
        <v>5160</v>
      </c>
      <c r="B808" s="3" t="s">
        <v>5161</v>
      </c>
      <c r="C808" s="1">
        <v>0</v>
      </c>
      <c r="D808" s="1">
        <v>999</v>
      </c>
      <c r="E808" s="1" t="s">
        <v>218</v>
      </c>
      <c r="F808" s="1" t="s">
        <v>5162</v>
      </c>
      <c r="G808" s="3"/>
      <c r="H808" s="11">
        <f>ROUND(
IF(L806="GANCHO",
   IF(I808&lt;=50,I808*1.1+4,IF(I808&lt;=120,I808*1.1+7,IF(I808&lt;=250,I808*1.1+11,I808*1.1+19))),
IF(L806="NORMAL",
   IF(I808&lt;=30,I808*1.15+2,IF(I808&lt;=80,I808*1.15+4,IF(I808&lt;=150,I808*1.15+6,I808*1.15+8))),
IF(L806="COMPLEMENTO",
   IF(I808&lt;=25,I808*1.25+1.5,IF(I808&lt;=60,I808*1.25+3,IF(I808&lt;=120,I808*1.25+4,I808*1.25+5))),
""))),2)</f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>IF(
OR(
ISNUMBER(SEARCH("BACKPACK",B810)),
ISNUMBER(SEARCH("MOCHILA",B810)),
ISNUMBER(SEARCH("FUNDA",B810)),
ISNUMBER(SEARCH("ESTUCHE",B810)),
ISNUMBER(SEARCH("BOOK COVER",B810)),
ISNUMBER(SEARCH("KEYBOARD PARA TABLET",B810)),
ISNUMBER(SEARCH("FLIP TABLET",B810)),
ISNUMBER(SEARCH("CASE FOR TABLET",B810)),
ISNUMBER(SEARCH("CABLE",B810)),
ISNUMBER(SEARCH("ADAPTADOR",B810)),
ISNUMBER(SEARCH("HUB",B810)),
ISNUMBER(SEARCH("DOCK",B810)),
ISNUMBER(SEARCH("MOUSE PAD",B810)),
ISNUMBER(SEARCH("MOUSEPAD",B810)),
ISNUMBER(SEARCH("SOPORTE",B810)),
ISNUMBER(SEARCH("STAND",B810)),
ISNUMBER(SEARCH("TRAVEL ADAPTER",B810)),
ISNUMBER(SEARCH("RJ45",B810)),
ISNUMBER(SEARCH("USB-C",B810)),
ISNUMBER(SEARCH("USB WIFI",B810)),
ISNUMBER(SEARCH("POWERBANK",B810)),
ISNUMBER(SEARCH("CARGADOR",B810)),
ISNUMBER(SEARCH("COOLER PARA NB",B810)),
ISNUMBER(SEARCH("SOPORTE PARA NB",B810)),
ISNUMBER(SEARCH("WEBCAM",B810)),
ISNUMBER(SEARCH("WEB CAM",B810)),
ISNUMBER(SEARCH("MOUSE",B810)),
ISNUMBER(SEARCH("TECLADO",B810))
),
"COMPLEMENTO",
IF(
OR(
LEFT(A810,2)="NB",
LEFT(A810,2)="PC",
LEFT(A810,2)="WS",
LEFT(A810,2)="TB",
LEFT(A810,3)="CEL",
LEFT(A810,3)="MON",
LEFT(A810,3)="PRE",
LEFT(A810,3)="PRH",
ISNUMBER(SEARCH("NOTEBOOK",B810)),
ISNUMBER(SEARCH("LAPTOP",B810)),
ISNUMBER(SEARCH("MONITOR",B810)),
ISNUMBER(SEARCH("TABLET",B810)),
ISNUMBER(SEARCH("SMARTPH",B810)),
ISNUMBER(SEARCH("IMPRESORA",B810)),
ISNUMBER(SEARCH("MULTIFUNCIONAL",B810)),
ISNUMBER(SEARCH("AIO",B810))
),
"GANCHO",
"NORMAL"
)
)</f>
        <v>NORMAL</v>
      </c>
    </row>
    <row r="809" spans="1:12" x14ac:dyDescent="0.25">
      <c r="A809" s="3" t="s">
        <v>1555</v>
      </c>
      <c r="B809" s="3" t="s">
        <v>1556</v>
      </c>
      <c r="C809" s="1">
        <v>20</v>
      </c>
      <c r="D809" s="1">
        <v>10</v>
      </c>
      <c r="E809" s="1" t="s">
        <v>57</v>
      </c>
      <c r="F809" s="1" t="s">
        <v>3525</v>
      </c>
      <c r="G809" s="3"/>
      <c r="H809" s="11">
        <f>ROUND(
IF(L807="GANCHO",
   IF(I809&lt;=50,I809*1.1+4,IF(I809&lt;=120,I809*1.1+7,IF(I809&lt;=250,I809*1.1+11,I809*1.1+19))),
IF(L807="NORMAL",
   IF(I809&lt;=30,I809*1.15+2,IF(I809&lt;=80,I809*1.15+4,IF(I809&lt;=150,I809*1.15+6,I809*1.15+8))),
IF(L807="COMPLEMENTO",
   IF(I809&lt;=25,I809*1.25+1.5,IF(I809&lt;=60,I809*1.25+3,IF(I809&lt;=120,I809*1.25+4,I809*1.25+5))),
""))),2)</f>
        <v>51.22</v>
      </c>
      <c r="I809" s="9">
        <f>($K$2+0.02)*Tabla1[[#This Row],[PRECIO $]]*1.18</f>
        <v>41.063999999999993</v>
      </c>
      <c r="J809" s="7">
        <f>+Tabla1[[#This Row],[PRECIO EN SOLES]]-Tabla1[[#This Row],[PC]]</f>
        <v>10.156000000000006</v>
      </c>
      <c r="K809" s="15"/>
      <c r="L809" s="15" t="str">
        <f>IF(
OR(
ISNUMBER(SEARCH("BACKPACK",B811)),
ISNUMBER(SEARCH("MOCHILA",B811)),
ISNUMBER(SEARCH("FUNDA",B811)),
ISNUMBER(SEARCH("ESTUCHE",B811)),
ISNUMBER(SEARCH("BOOK COVER",B811)),
ISNUMBER(SEARCH("KEYBOARD PARA TABLET",B811)),
ISNUMBER(SEARCH("FLIP TABLET",B811)),
ISNUMBER(SEARCH("CASE FOR TABLET",B811)),
ISNUMBER(SEARCH("CABLE",B811)),
ISNUMBER(SEARCH("ADAPTADOR",B811)),
ISNUMBER(SEARCH("HUB",B811)),
ISNUMBER(SEARCH("DOCK",B811)),
ISNUMBER(SEARCH("MOUSE PAD",B811)),
ISNUMBER(SEARCH("MOUSEPAD",B811)),
ISNUMBER(SEARCH("SOPORTE",B811)),
ISNUMBER(SEARCH("STAND",B811)),
ISNUMBER(SEARCH("TRAVEL ADAPTER",B811)),
ISNUMBER(SEARCH("RJ45",B811)),
ISNUMBER(SEARCH("USB-C",B811)),
ISNUMBER(SEARCH("USB WIFI",B811)),
ISNUMBER(SEARCH("POWERBANK",B811)),
ISNUMBER(SEARCH("CARGADOR",B811)),
ISNUMBER(SEARCH("COOLER PARA NB",B811)),
ISNUMBER(SEARCH("SOPORTE PARA NB",B811)),
ISNUMBER(SEARCH("WEBCAM",B811)),
ISNUMBER(SEARCH("WEB CAM",B811)),
ISNUMBER(SEARCH("MOUSE",B811)),
ISNUMBER(SEARCH("TECLADO",B811))
),
"COMPLEMENTO",
IF(
OR(
LEFT(A811,2)="NB",
LEFT(A811,2)="PC",
LEFT(A811,2)="WS",
LEFT(A811,2)="TB",
LEFT(A811,3)="CEL",
LEFT(A811,3)="MON",
LEFT(A811,3)="PRE",
LEFT(A811,3)="PRH",
ISNUMBER(SEARCH("NOTEBOOK",B811)),
ISNUMBER(SEARCH("LAPTOP",B811)),
ISNUMBER(SEARCH("MONITOR",B811)),
ISNUMBER(SEARCH("TABLET",B811)),
ISNUMBER(SEARCH("SMARTPH",B811)),
ISNUMBER(SEARCH("IMPRESORA",B811)),
ISNUMBER(SEARCH("MULTIFUNCIONAL",B811)),
ISNUMBER(SEARCH("AIO",B811))
),
"GANCHO",
"NORMAL"
)
)</f>
        <v>NORMAL</v>
      </c>
    </row>
    <row r="810" spans="1:12" x14ac:dyDescent="0.25">
      <c r="A810" s="3" t="s">
        <v>1557</v>
      </c>
      <c r="B810" s="3" t="s">
        <v>1558</v>
      </c>
      <c r="C810" s="1">
        <v>0</v>
      </c>
      <c r="D810" s="1">
        <v>999</v>
      </c>
      <c r="E810" s="1" t="s">
        <v>249</v>
      </c>
      <c r="F810" s="1" t="s">
        <v>3526</v>
      </c>
      <c r="G810" s="3"/>
      <c r="H810" s="11">
        <f>ROUND(
IF(L808="GANCHO",
   IF(I810&lt;=50,I810*1.1+4,IF(I810&lt;=120,I810*1.1+7,IF(I810&lt;=250,I810*1.1+11,I810*1.1+19))),
IF(L808="NORMAL",
   IF(I810&lt;=30,I810*1.15+2,IF(I810&lt;=80,I810*1.15+4,IF(I810&lt;=150,I810*1.15+6,I810*1.15+8))),
IF(L808="COMPLEMENTO",
   IF(I810&lt;=25,I810*1.25+1.5,IF(I810&lt;=60,I810*1.25+3,IF(I810&lt;=120,I810*1.25+4,I810*1.25+5))),
""))),2)</f>
        <v>4725.6400000000003</v>
      </c>
      <c r="I810" s="9">
        <f>($K$2+0.02)*Tabla1[[#This Row],[PRECIO $]]*1.18</f>
        <v>4102.2936</v>
      </c>
      <c r="J810" s="7">
        <f>+Tabla1[[#This Row],[PRECIO EN SOLES]]-Tabla1[[#This Row],[PC]]</f>
        <v>623.34640000000036</v>
      </c>
      <c r="K810" s="15"/>
      <c r="L810" s="15" t="str">
        <f>IF(
OR(
ISNUMBER(SEARCH("BACKPACK",B812)),
ISNUMBER(SEARCH("MOCHILA",B812)),
ISNUMBER(SEARCH("FUNDA",B812)),
ISNUMBER(SEARCH("ESTUCHE",B812)),
ISNUMBER(SEARCH("BOOK COVER",B812)),
ISNUMBER(SEARCH("KEYBOARD PARA TABLET",B812)),
ISNUMBER(SEARCH("FLIP TABLET",B812)),
ISNUMBER(SEARCH("CASE FOR TABLET",B812)),
ISNUMBER(SEARCH("CABLE",B812)),
ISNUMBER(SEARCH("ADAPTADOR",B812)),
ISNUMBER(SEARCH("HUB",B812)),
ISNUMBER(SEARCH("DOCK",B812)),
ISNUMBER(SEARCH("MOUSE PAD",B812)),
ISNUMBER(SEARCH("MOUSEPAD",B812)),
ISNUMBER(SEARCH("SOPORTE",B812)),
ISNUMBER(SEARCH("STAND",B812)),
ISNUMBER(SEARCH("TRAVEL ADAPTER",B812)),
ISNUMBER(SEARCH("RJ45",B812)),
ISNUMBER(SEARCH("USB-C",B812)),
ISNUMBER(SEARCH("USB WIFI",B812)),
ISNUMBER(SEARCH("POWERBANK",B812)),
ISNUMBER(SEARCH("CARGADOR",B812)),
ISNUMBER(SEARCH("COOLER PARA NB",B812)),
ISNUMBER(SEARCH("SOPORTE PARA NB",B812)),
ISNUMBER(SEARCH("WEBCAM",B812)),
ISNUMBER(SEARCH("WEB CAM",B812)),
ISNUMBER(SEARCH("MOUSE",B812)),
ISNUMBER(SEARCH("TECLADO",B812))
),
"COMPLEMENTO",
IF(
OR(
LEFT(A812,2)="NB",
LEFT(A812,2)="PC",
LEFT(A812,2)="WS",
LEFT(A812,2)="TB",
LEFT(A812,3)="CEL",
LEFT(A812,3)="MON",
LEFT(A812,3)="PRE",
LEFT(A812,3)="PRH",
ISNUMBER(SEARCH("NOTEBOOK",B812)),
ISNUMBER(SEARCH("LAPTOP",B812)),
ISNUMBER(SEARCH("MONITOR",B812)),
ISNUMBER(SEARCH("TABLET",B812)),
ISNUMBER(SEARCH("SMARTPH",B812)),
ISNUMBER(SEARCH("IMPRESORA",B812)),
ISNUMBER(SEARCH("MULTIFUNCIONAL",B812)),
ISNUMBER(SEARCH("AIO",B812))
),
"GANCHO",
"NORMAL"
)
)</f>
        <v>COMPLEMENTO</v>
      </c>
    </row>
    <row r="811" spans="1:12" x14ac:dyDescent="0.25">
      <c r="A811" s="3" t="s">
        <v>1559</v>
      </c>
      <c r="B811" s="3" t="s">
        <v>1560</v>
      </c>
      <c r="C811" s="1">
        <v>20</v>
      </c>
      <c r="D811" s="1">
        <v>6.2</v>
      </c>
      <c r="E811" s="1" t="s">
        <v>52</v>
      </c>
      <c r="F811" s="1" t="s">
        <v>3527</v>
      </c>
      <c r="G811" s="3"/>
      <c r="H811" s="11">
        <f>ROUND(
IF(L809="GANCHO",
   IF(I811&lt;=50,I811*1.1+4,IF(I811&lt;=120,I811*1.1+7,IF(I811&lt;=250,I811*1.1+11,I811*1.1+19))),
IF(L809="NORMAL",
   IF(I811&lt;=30,I811*1.15+2,IF(I811&lt;=80,I811*1.15+4,IF(I811&lt;=150,I811*1.15+6,I811*1.15+8))),
IF(L809="COMPLEMENTO",
   IF(I811&lt;=25,I811*1.25+1.5,IF(I811&lt;=60,I811*1.25+3,IF(I811&lt;=120,I811*1.25+4,I811*1.25+5))),
""))),2)</f>
        <v>31.28</v>
      </c>
      <c r="I811" s="9">
        <f>($K$2+0.02)*Tabla1[[#This Row],[PRECIO $]]*1.18</f>
        <v>25.459679999999999</v>
      </c>
      <c r="J811" s="7">
        <f>+Tabla1[[#This Row],[PRECIO EN SOLES]]-Tabla1[[#This Row],[PC]]</f>
        <v>5.8203200000000024</v>
      </c>
      <c r="K811" s="15"/>
      <c r="L811" s="15" t="str">
        <f>IF(
OR(
ISNUMBER(SEARCH("BACKPACK",B813)),
ISNUMBER(SEARCH("MOCHILA",B813)),
ISNUMBER(SEARCH("FUNDA",B813)),
ISNUMBER(SEARCH("ESTUCHE",B813)),
ISNUMBER(SEARCH("BOOK COVER",B813)),
ISNUMBER(SEARCH("KEYBOARD PARA TABLET",B813)),
ISNUMBER(SEARCH("FLIP TABLET",B813)),
ISNUMBER(SEARCH("CASE FOR TABLET",B813)),
ISNUMBER(SEARCH("CABLE",B813)),
ISNUMBER(SEARCH("ADAPTADOR",B813)),
ISNUMBER(SEARCH("HUB",B813)),
ISNUMBER(SEARCH("DOCK",B813)),
ISNUMBER(SEARCH("MOUSE PAD",B813)),
ISNUMBER(SEARCH("MOUSEPAD",B813)),
ISNUMBER(SEARCH("SOPORTE",B813)),
ISNUMBER(SEARCH("STAND",B813)),
ISNUMBER(SEARCH("TRAVEL ADAPTER",B813)),
ISNUMBER(SEARCH("RJ45",B813)),
ISNUMBER(SEARCH("USB-C",B813)),
ISNUMBER(SEARCH("USB WIFI",B813)),
ISNUMBER(SEARCH("POWERBANK",B813)),
ISNUMBER(SEARCH("CARGADOR",B813)),
ISNUMBER(SEARCH("COOLER PARA NB",B813)),
ISNUMBER(SEARCH("SOPORTE PARA NB",B813)),
ISNUMBER(SEARCH("WEBCAM",B813)),
ISNUMBER(SEARCH("WEB CAM",B813)),
ISNUMBER(SEARCH("MOUSE",B813)),
ISNUMBER(SEARCH("TECLADO",B813))
),
"COMPLEMENTO",
IF(
OR(
LEFT(A813,2)="NB",
LEFT(A813,2)="PC",
LEFT(A813,2)="WS",
LEFT(A813,2)="TB",
LEFT(A813,3)="CEL",
LEFT(A813,3)="MON",
LEFT(A813,3)="PRE",
LEFT(A813,3)="PRH",
ISNUMBER(SEARCH("NOTEBOOK",B813)),
ISNUMBER(SEARCH("LAPTOP",B813)),
ISNUMBER(SEARCH("MONITOR",B813)),
ISNUMBER(SEARCH("TABLET",B813)),
ISNUMBER(SEARCH("SMARTPH",B813)),
ISNUMBER(SEARCH("IMPRESORA",B813)),
ISNUMBER(SEARCH("MULTIFUNCIONAL",B813)),
ISNUMBER(SEARCH("AIO",B813))
),
"GANCHO",
"NORMAL"
)
)</f>
        <v>COMPLEMENTO</v>
      </c>
    </row>
    <row r="812" spans="1:12" x14ac:dyDescent="0.25">
      <c r="A812" s="3" t="s">
        <v>1561</v>
      </c>
      <c r="B812" s="3" t="s">
        <v>2787</v>
      </c>
      <c r="C812" s="1">
        <v>20</v>
      </c>
      <c r="D812" s="1">
        <v>600</v>
      </c>
      <c r="E812" s="1" t="s">
        <v>55</v>
      </c>
      <c r="F812" s="1" t="s">
        <v>3528</v>
      </c>
      <c r="G812" s="3"/>
      <c r="H812" s="11">
        <f>ROUND(
IF(L810="GANCHO",
   IF(I812&lt;=50,I812*1.1+4,IF(I812&lt;=120,I812*1.1+7,IF(I812&lt;=250,I812*1.1+11,I812*1.1+19))),
IF(L810="NORMAL",
   IF(I812&lt;=30,I812*1.15+2,IF(I812&lt;=80,I812*1.15+4,IF(I812&lt;=150,I812*1.15+6,I812*1.15+8))),
IF(L810="COMPLEMENTO",
   IF(I812&lt;=25,I812*1.25+1.5,IF(I812&lt;=60,I812*1.25+3,IF(I812&lt;=120,I812*1.25+4,I812*1.25+5))),
""))),2)</f>
        <v>3084.8</v>
      </c>
      <c r="I812" s="9">
        <f>($K$2+0.02)*Tabla1[[#This Row],[PRECIO $]]*1.18</f>
        <v>2463.8399999999997</v>
      </c>
      <c r="J812" s="7">
        <f>+Tabla1[[#This Row],[PRECIO EN SOLES]]-Tabla1[[#This Row],[PC]]</f>
        <v>620.96000000000049</v>
      </c>
      <c r="K812" s="15"/>
      <c r="L812" s="15" t="str">
        <f>IF(
OR(
ISNUMBER(SEARCH("BACKPACK",B814)),
ISNUMBER(SEARCH("MOCHILA",B814)),
ISNUMBER(SEARCH("FUNDA",B814)),
ISNUMBER(SEARCH("ESTUCHE",B814)),
ISNUMBER(SEARCH("BOOK COVER",B814)),
ISNUMBER(SEARCH("KEYBOARD PARA TABLET",B814)),
ISNUMBER(SEARCH("FLIP TABLET",B814)),
ISNUMBER(SEARCH("CASE FOR TABLET",B814)),
ISNUMBER(SEARCH("CABLE",B814)),
ISNUMBER(SEARCH("ADAPTADOR",B814)),
ISNUMBER(SEARCH("HUB",B814)),
ISNUMBER(SEARCH("DOCK",B814)),
ISNUMBER(SEARCH("MOUSE PAD",B814)),
ISNUMBER(SEARCH("MOUSEPAD",B814)),
ISNUMBER(SEARCH("SOPORTE",B814)),
ISNUMBER(SEARCH("STAND",B814)),
ISNUMBER(SEARCH("TRAVEL ADAPTER",B814)),
ISNUMBER(SEARCH("RJ45",B814)),
ISNUMBER(SEARCH("USB-C",B814)),
ISNUMBER(SEARCH("USB WIFI",B814)),
ISNUMBER(SEARCH("POWERBANK",B814)),
ISNUMBER(SEARCH("CARGADOR",B814)),
ISNUMBER(SEARCH("COOLER PARA NB",B814)),
ISNUMBER(SEARCH("SOPORTE PARA NB",B814)),
ISNUMBER(SEARCH("WEBCAM",B814)),
ISNUMBER(SEARCH("WEB CAM",B814)),
ISNUMBER(SEARCH("MOUSE",B814)),
ISNUMBER(SEARCH("TECLADO",B814))
),
"COMPLEMENTO",
IF(
OR(
LEFT(A814,2)="NB",
LEFT(A814,2)="PC",
LEFT(A814,2)="WS",
LEFT(A814,2)="TB",
LEFT(A814,3)="CEL",
LEFT(A814,3)="MON",
LEFT(A814,3)="PRE",
LEFT(A814,3)="PRH",
ISNUMBER(SEARCH("NOTEBOOK",B814)),
ISNUMBER(SEARCH("LAPTOP",B814)),
ISNUMBER(SEARCH("MONITOR",B814)),
ISNUMBER(SEARCH("TABLET",B814)),
ISNUMBER(SEARCH("SMARTPH",B814)),
ISNUMBER(SEARCH("IMPRESORA",B814)),
ISNUMBER(SEARCH("MULTIFUNCIONAL",B814)),
ISNUMBER(SEARCH("AIO",B814))
),
"GANCHO",
"NORMAL"
)
)</f>
        <v>NORMAL</v>
      </c>
    </row>
    <row r="813" spans="1:12" x14ac:dyDescent="0.25">
      <c r="A813" s="3" t="s">
        <v>1562</v>
      </c>
      <c r="B813" s="3" t="s">
        <v>6495</v>
      </c>
      <c r="C813" s="1">
        <v>11</v>
      </c>
      <c r="D813" s="1">
        <v>50</v>
      </c>
      <c r="E813" s="1" t="s">
        <v>52</v>
      </c>
      <c r="F813" s="1" t="s">
        <v>3529</v>
      </c>
      <c r="G813" s="3"/>
      <c r="H813" s="11">
        <f>ROUND(
IF(L811="GANCHO",
   IF(I813&lt;=50,I813*1.1+4,IF(I813&lt;=120,I813*1.1+7,IF(I813&lt;=250,I813*1.1+11,I813*1.1+19))),
IF(L811="NORMAL",
   IF(I813&lt;=30,I813*1.15+2,IF(I813&lt;=80,I813*1.15+4,IF(I813&lt;=150,I813*1.15+6,I813*1.15+8))),
IF(L811="COMPLEMENTO",
   IF(I813&lt;=25,I813*1.25+1.5,IF(I813&lt;=60,I813*1.25+3,IF(I813&lt;=120,I813*1.25+4,I813*1.25+5))),
""))),2)</f>
        <v>261.64999999999998</v>
      </c>
      <c r="I813" s="9">
        <f>($K$2+0.02)*Tabla1[[#This Row],[PRECIO $]]*1.18</f>
        <v>205.32</v>
      </c>
      <c r="J813" s="7">
        <f>+Tabla1[[#This Row],[PRECIO EN SOLES]]-Tabla1[[#This Row],[PC]]</f>
        <v>56.329999999999984</v>
      </c>
      <c r="K813" s="15"/>
      <c r="L813" s="15" t="str">
        <f>IF(
OR(
ISNUMBER(SEARCH("BACKPACK",B815)),
ISNUMBER(SEARCH("MOCHILA",B815)),
ISNUMBER(SEARCH("FUNDA",B815)),
ISNUMBER(SEARCH("ESTUCHE",B815)),
ISNUMBER(SEARCH("BOOK COVER",B815)),
ISNUMBER(SEARCH("KEYBOARD PARA TABLET",B815)),
ISNUMBER(SEARCH("FLIP TABLET",B815)),
ISNUMBER(SEARCH("CASE FOR TABLET",B815)),
ISNUMBER(SEARCH("CABLE",B815)),
ISNUMBER(SEARCH("ADAPTADOR",B815)),
ISNUMBER(SEARCH("HUB",B815)),
ISNUMBER(SEARCH("DOCK",B815)),
ISNUMBER(SEARCH("MOUSE PAD",B815)),
ISNUMBER(SEARCH("MOUSEPAD",B815)),
ISNUMBER(SEARCH("SOPORTE",B815)),
ISNUMBER(SEARCH("STAND",B815)),
ISNUMBER(SEARCH("TRAVEL ADAPTER",B815)),
ISNUMBER(SEARCH("RJ45",B815)),
ISNUMBER(SEARCH("USB-C",B815)),
ISNUMBER(SEARCH("USB WIFI",B815)),
ISNUMBER(SEARCH("POWERBANK",B815)),
ISNUMBER(SEARCH("CARGADOR",B815)),
ISNUMBER(SEARCH("COOLER PARA NB",B815)),
ISNUMBER(SEARCH("SOPORTE PARA NB",B815)),
ISNUMBER(SEARCH("WEBCAM",B815)),
ISNUMBER(SEARCH("WEB CAM",B815)),
ISNUMBER(SEARCH("MOUSE",B815)),
ISNUMBER(SEARCH("TECLADO",B815))
),
"COMPLEMENTO",
IF(
OR(
LEFT(A815,2)="NB",
LEFT(A815,2)="PC",
LEFT(A815,2)="WS",
LEFT(A815,2)="TB",
LEFT(A815,3)="CEL",
LEFT(A815,3)="MON",
LEFT(A815,3)="PRE",
LEFT(A815,3)="PRH",
ISNUMBER(SEARCH("NOTEBOOK",B815)),
ISNUMBER(SEARCH("LAPTOP",B815)),
ISNUMBER(SEARCH("MONITOR",B815)),
ISNUMBER(SEARCH("TABLET",B815)),
ISNUMBER(SEARCH("SMARTPH",B815)),
ISNUMBER(SEARCH("IMPRESORA",B815)),
ISNUMBER(SEARCH("MULTIFUNCIONAL",B815)),
ISNUMBER(SEARCH("AIO",B815))
),
"GANCHO",
"NORMAL"
)
)</f>
        <v>NORMAL</v>
      </c>
    </row>
    <row r="814" spans="1:12" x14ac:dyDescent="0.25">
      <c r="A814" s="3" t="s">
        <v>6496</v>
      </c>
      <c r="B814" s="3" t="s">
        <v>6497</v>
      </c>
      <c r="C814" s="1">
        <v>20</v>
      </c>
      <c r="D814" s="1">
        <v>666</v>
      </c>
      <c r="E814" s="1" t="s">
        <v>249</v>
      </c>
      <c r="F814" s="1" t="s">
        <v>6498</v>
      </c>
      <c r="G814" s="3"/>
      <c r="H814" s="11">
        <f>ROUND(
IF(L812="GANCHO",
   IF(I814&lt;=50,I814*1.1+4,IF(I814&lt;=120,I814*1.1+7,IF(I814&lt;=250,I814*1.1+11,I814*1.1+19))),
IF(L812="NORMAL",
   IF(I814&lt;=30,I814*1.15+2,IF(I814&lt;=80,I814*1.15+4,IF(I814&lt;=150,I814*1.15+6,I814*1.15+8))),
IF(L812="COMPLEMENTO",
   IF(I814&lt;=25,I814*1.25+1.5,IF(I814&lt;=60,I814*1.25+3,IF(I814&lt;=120,I814*1.25+4,I814*1.25+5))),
""))),2)</f>
        <v>3153.09</v>
      </c>
      <c r="I814" s="9">
        <f>($K$2+0.02)*Tabla1[[#This Row],[PRECIO $]]*1.18</f>
        <v>2734.8623999999995</v>
      </c>
      <c r="J814" s="7">
        <f>+Tabla1[[#This Row],[PRECIO EN SOLES]]-Tabla1[[#This Row],[PC]]</f>
        <v>418.22760000000062</v>
      </c>
      <c r="K814" s="15"/>
      <c r="L814" s="15" t="str">
        <f>IF(
OR(
ISNUMBER(SEARCH("BACKPACK",B816)),
ISNUMBER(SEARCH("MOCHILA",B816)),
ISNUMBER(SEARCH("FUNDA",B816)),
ISNUMBER(SEARCH("ESTUCHE",B816)),
ISNUMBER(SEARCH("BOOK COVER",B816)),
ISNUMBER(SEARCH("KEYBOARD PARA TABLET",B816)),
ISNUMBER(SEARCH("FLIP TABLET",B816)),
ISNUMBER(SEARCH("CASE FOR TABLET",B816)),
ISNUMBER(SEARCH("CABLE",B816)),
ISNUMBER(SEARCH("ADAPTADOR",B816)),
ISNUMBER(SEARCH("HUB",B816)),
ISNUMBER(SEARCH("DOCK",B816)),
ISNUMBER(SEARCH("MOUSE PAD",B816)),
ISNUMBER(SEARCH("MOUSEPAD",B816)),
ISNUMBER(SEARCH("SOPORTE",B816)),
ISNUMBER(SEARCH("STAND",B816)),
ISNUMBER(SEARCH("TRAVEL ADAPTER",B816)),
ISNUMBER(SEARCH("RJ45",B816)),
ISNUMBER(SEARCH("USB-C",B816)),
ISNUMBER(SEARCH("USB WIFI",B816)),
ISNUMBER(SEARCH("POWERBANK",B816)),
ISNUMBER(SEARCH("CARGADOR",B816)),
ISNUMBER(SEARCH("COOLER PARA NB",B816)),
ISNUMBER(SEARCH("SOPORTE PARA NB",B816)),
ISNUMBER(SEARCH("WEBCAM",B816)),
ISNUMBER(SEARCH("WEB CAM",B816)),
ISNUMBER(SEARCH("MOUSE",B816)),
ISNUMBER(SEARCH("TECLADO",B816))
),
"COMPLEMENTO",
IF(
OR(
LEFT(A816,2)="NB",
LEFT(A816,2)="PC",
LEFT(A816,2)="WS",
LEFT(A816,2)="TB",
LEFT(A816,3)="CEL",
LEFT(A816,3)="MON",
LEFT(A816,3)="PRE",
LEFT(A816,3)="PRH",
ISNUMBER(SEARCH("NOTEBOOK",B816)),
ISNUMBER(SEARCH("LAPTOP",B816)),
ISNUMBER(SEARCH("MONITOR",B816)),
ISNUMBER(SEARCH("TABLET",B816)),
ISNUMBER(SEARCH("SMARTPH",B816)),
ISNUMBER(SEARCH("IMPRESORA",B816)),
ISNUMBER(SEARCH("MULTIFUNCIONAL",B816)),
ISNUMBER(SEARCH("AIO",B816))
),
"GANCHO",
"NORMAL"
)
)</f>
        <v>NORMAL</v>
      </c>
    </row>
    <row r="815" spans="1:12" x14ac:dyDescent="0.25">
      <c r="A815" s="3" t="s">
        <v>6310</v>
      </c>
      <c r="B815" s="3" t="s">
        <v>6311</v>
      </c>
      <c r="C815" s="1">
        <v>1</v>
      </c>
      <c r="D815" s="1">
        <v>666</v>
      </c>
      <c r="E815" s="1" t="s">
        <v>57</v>
      </c>
      <c r="F815" s="1" t="s">
        <v>6312</v>
      </c>
      <c r="G815" s="3"/>
      <c r="H815" s="11">
        <f>ROUND(
IF(L813="GANCHO",
   IF(I815&lt;=50,I815*1.1+4,IF(I815&lt;=120,I815*1.1+7,IF(I815&lt;=250,I815*1.1+11,I815*1.1+19))),
IF(L813="NORMAL",
   IF(I815&lt;=30,I815*1.15+2,IF(I815&lt;=80,I815*1.15+4,IF(I815&lt;=150,I815*1.15+6,I815*1.15+8))),
IF(L813="COMPLEMENTO",
   IF(I815&lt;=25,I815*1.25+1.5,IF(I815&lt;=60,I815*1.25+3,IF(I815&lt;=120,I815*1.25+4,I815*1.25+5))),
""))),2)</f>
        <v>3153.09</v>
      </c>
      <c r="I815" s="9">
        <f>($K$2+0.02)*Tabla1[[#This Row],[PRECIO $]]*1.18</f>
        <v>2734.8623999999995</v>
      </c>
      <c r="J815" s="7">
        <f>+Tabla1[[#This Row],[PRECIO EN SOLES]]-Tabla1[[#This Row],[PC]]</f>
        <v>418.22760000000062</v>
      </c>
      <c r="K815" s="15"/>
      <c r="L815" s="15" t="str">
        <f>IF(
OR(
ISNUMBER(SEARCH("BACKPACK",B817)),
ISNUMBER(SEARCH("MOCHILA",B817)),
ISNUMBER(SEARCH("FUNDA",B817)),
ISNUMBER(SEARCH("ESTUCHE",B817)),
ISNUMBER(SEARCH("BOOK COVER",B817)),
ISNUMBER(SEARCH("KEYBOARD PARA TABLET",B817)),
ISNUMBER(SEARCH("FLIP TABLET",B817)),
ISNUMBER(SEARCH("CASE FOR TABLET",B817)),
ISNUMBER(SEARCH("CABLE",B817)),
ISNUMBER(SEARCH("ADAPTADOR",B817)),
ISNUMBER(SEARCH("HUB",B817)),
ISNUMBER(SEARCH("DOCK",B817)),
ISNUMBER(SEARCH("MOUSE PAD",B817)),
ISNUMBER(SEARCH("MOUSEPAD",B817)),
ISNUMBER(SEARCH("SOPORTE",B817)),
ISNUMBER(SEARCH("STAND",B817)),
ISNUMBER(SEARCH("TRAVEL ADAPTER",B817)),
ISNUMBER(SEARCH("RJ45",B817)),
ISNUMBER(SEARCH("USB-C",B817)),
ISNUMBER(SEARCH("USB WIFI",B817)),
ISNUMBER(SEARCH("POWERBANK",B817)),
ISNUMBER(SEARCH("CARGADOR",B817)),
ISNUMBER(SEARCH("COOLER PARA NB",B817)),
ISNUMBER(SEARCH("SOPORTE PARA NB",B817)),
ISNUMBER(SEARCH("WEBCAM",B817)),
ISNUMBER(SEARCH("WEB CAM",B817)),
ISNUMBER(SEARCH("MOUSE",B817)),
ISNUMBER(SEARCH("TECLADO",B817))
),
"COMPLEMENTO",
IF(
OR(
LEFT(A817,2)="NB",
LEFT(A817,2)="PC",
LEFT(A817,2)="WS",
LEFT(A817,2)="TB",
LEFT(A817,3)="CEL",
LEFT(A817,3)="MON",
LEFT(A817,3)="PRE",
LEFT(A817,3)="PRH",
ISNUMBER(SEARCH("NOTEBOOK",B817)),
ISNUMBER(SEARCH("LAPTOP",B817)),
ISNUMBER(SEARCH("MONITOR",B817)),
ISNUMBER(SEARCH("TABLET",B817)),
ISNUMBER(SEARCH("SMARTPH",B817)),
ISNUMBER(SEARCH("IMPRESORA",B817)),
ISNUMBER(SEARCH("MULTIFUNCIONAL",B817)),
ISNUMBER(SEARCH("AIO",B817))
),
"GANCHO",
"NORMAL"
)
)</f>
        <v>NORMAL</v>
      </c>
    </row>
    <row r="816" spans="1:12" x14ac:dyDescent="0.25">
      <c r="A816" s="3" t="s">
        <v>1563</v>
      </c>
      <c r="B816" s="3" t="s">
        <v>1564</v>
      </c>
      <c r="C816" s="1">
        <v>20</v>
      </c>
      <c r="D816" s="1">
        <v>55</v>
      </c>
      <c r="E816" s="1" t="s">
        <v>249</v>
      </c>
      <c r="F816" s="1" t="s">
        <v>3530</v>
      </c>
      <c r="G816" s="3"/>
      <c r="H816" s="11">
        <f>ROUND(
IF(L814="GANCHO",
   IF(I816&lt;=50,I816*1.1+4,IF(I816&lt;=120,I816*1.1+7,IF(I816&lt;=250,I816*1.1+11,I816*1.1+19))),
IF(L814="NORMAL",
   IF(I816&lt;=30,I816*1.15+2,IF(I816&lt;=80,I816*1.15+4,IF(I816&lt;=150,I816*1.15+6,I816*1.15+8))),
IF(L814="COMPLEMENTO",
   IF(I816&lt;=25,I816*1.25+1.5,IF(I816&lt;=60,I816*1.25+3,IF(I816&lt;=120,I816*1.25+4,I816*1.25+5))),
""))),2)</f>
        <v>267.73</v>
      </c>
      <c r="I816" s="9">
        <f>($K$2+0.02)*Tabla1[[#This Row],[PRECIO $]]*1.18</f>
        <v>225.852</v>
      </c>
      <c r="J816" s="7">
        <f>+Tabla1[[#This Row],[PRECIO EN SOLES]]-Tabla1[[#This Row],[PC]]</f>
        <v>41.878000000000014</v>
      </c>
      <c r="K816" s="15"/>
      <c r="L816" s="15" t="str">
        <f>IF(
OR(
ISNUMBER(SEARCH("BACKPACK",B818)),
ISNUMBER(SEARCH("MOCHILA",B818)),
ISNUMBER(SEARCH("FUNDA",B818)),
ISNUMBER(SEARCH("ESTUCHE",B818)),
ISNUMBER(SEARCH("BOOK COVER",B818)),
ISNUMBER(SEARCH("KEYBOARD PARA TABLET",B818)),
ISNUMBER(SEARCH("FLIP TABLET",B818)),
ISNUMBER(SEARCH("CASE FOR TABLET",B818)),
ISNUMBER(SEARCH("CABLE",B818)),
ISNUMBER(SEARCH("ADAPTADOR",B818)),
ISNUMBER(SEARCH("HUB",B818)),
ISNUMBER(SEARCH("DOCK",B818)),
ISNUMBER(SEARCH("MOUSE PAD",B818)),
ISNUMBER(SEARCH("MOUSEPAD",B818)),
ISNUMBER(SEARCH("SOPORTE",B818)),
ISNUMBER(SEARCH("STAND",B818)),
ISNUMBER(SEARCH("TRAVEL ADAPTER",B818)),
ISNUMBER(SEARCH("RJ45",B818)),
ISNUMBER(SEARCH("USB-C",B818)),
ISNUMBER(SEARCH("USB WIFI",B818)),
ISNUMBER(SEARCH("POWERBANK",B818)),
ISNUMBER(SEARCH("CARGADOR",B818)),
ISNUMBER(SEARCH("COOLER PARA NB",B818)),
ISNUMBER(SEARCH("SOPORTE PARA NB",B818)),
ISNUMBER(SEARCH("WEBCAM",B818)),
ISNUMBER(SEARCH("WEB CAM",B818)),
ISNUMBER(SEARCH("MOUSE",B818)),
ISNUMBER(SEARCH("TECLADO",B818))
),
"COMPLEMENTO",
IF(
OR(
LEFT(A818,2)="NB",
LEFT(A818,2)="PC",
LEFT(A818,2)="WS",
LEFT(A818,2)="TB",
LEFT(A818,3)="CEL",
LEFT(A818,3)="MON",
LEFT(A818,3)="PRE",
LEFT(A818,3)="PRH",
ISNUMBER(SEARCH("NOTEBOOK",B818)),
ISNUMBER(SEARCH("LAPTOP",B818)),
ISNUMBER(SEARCH("MONITOR",B818)),
ISNUMBER(SEARCH("TABLET",B818)),
ISNUMBER(SEARCH("SMARTPH",B818)),
ISNUMBER(SEARCH("IMPRESORA",B818)),
ISNUMBER(SEARCH("MULTIFUNCIONAL",B818)),
ISNUMBER(SEARCH("AIO",B818))
),
"GANCHO",
"NORMAL"
)
)</f>
        <v>NORMAL</v>
      </c>
    </row>
    <row r="817" spans="1:12" x14ac:dyDescent="0.25">
      <c r="A817" s="3" t="s">
        <v>1565</v>
      </c>
      <c r="B817" s="3" t="s">
        <v>1566</v>
      </c>
      <c r="C817" s="1">
        <v>5</v>
      </c>
      <c r="D817" s="1">
        <v>55</v>
      </c>
      <c r="E817" s="1" t="s">
        <v>249</v>
      </c>
      <c r="F817" s="1" t="s">
        <v>3531</v>
      </c>
      <c r="G817" s="3"/>
      <c r="H817" s="11">
        <f>ROUND(
IF(L815="GANCHO",
   IF(I817&lt;=50,I817*1.1+4,IF(I817&lt;=120,I817*1.1+7,IF(I817&lt;=250,I817*1.1+11,I817*1.1+19))),
IF(L815="NORMAL",
   IF(I817&lt;=30,I817*1.15+2,IF(I817&lt;=80,I817*1.15+4,IF(I817&lt;=150,I817*1.15+6,I817*1.15+8))),
IF(L815="COMPLEMENTO",
   IF(I817&lt;=25,I817*1.25+1.5,IF(I817&lt;=60,I817*1.25+3,IF(I817&lt;=120,I817*1.25+4,I817*1.25+5))),
""))),2)</f>
        <v>267.73</v>
      </c>
      <c r="I817" s="9">
        <f>($K$2+0.02)*Tabla1[[#This Row],[PRECIO $]]*1.18</f>
        <v>225.852</v>
      </c>
      <c r="J817" s="7">
        <f>+Tabla1[[#This Row],[PRECIO EN SOLES]]-Tabla1[[#This Row],[PC]]</f>
        <v>41.878000000000014</v>
      </c>
      <c r="K817" s="15"/>
      <c r="L817" s="15" t="str">
        <f>IF(
OR(
ISNUMBER(SEARCH("BACKPACK",B819)),
ISNUMBER(SEARCH("MOCHILA",B819)),
ISNUMBER(SEARCH("FUNDA",B819)),
ISNUMBER(SEARCH("ESTUCHE",B819)),
ISNUMBER(SEARCH("BOOK COVER",B819)),
ISNUMBER(SEARCH("KEYBOARD PARA TABLET",B819)),
ISNUMBER(SEARCH("FLIP TABLET",B819)),
ISNUMBER(SEARCH("CASE FOR TABLET",B819)),
ISNUMBER(SEARCH("CABLE",B819)),
ISNUMBER(SEARCH("ADAPTADOR",B819)),
ISNUMBER(SEARCH("HUB",B819)),
ISNUMBER(SEARCH("DOCK",B819)),
ISNUMBER(SEARCH("MOUSE PAD",B819)),
ISNUMBER(SEARCH("MOUSEPAD",B819)),
ISNUMBER(SEARCH("SOPORTE",B819)),
ISNUMBER(SEARCH("STAND",B819)),
ISNUMBER(SEARCH("TRAVEL ADAPTER",B819)),
ISNUMBER(SEARCH("RJ45",B819)),
ISNUMBER(SEARCH("USB-C",B819)),
ISNUMBER(SEARCH("USB WIFI",B819)),
ISNUMBER(SEARCH("POWERBANK",B819)),
ISNUMBER(SEARCH("CARGADOR",B819)),
ISNUMBER(SEARCH("COOLER PARA NB",B819)),
ISNUMBER(SEARCH("SOPORTE PARA NB",B819)),
ISNUMBER(SEARCH("WEBCAM",B819)),
ISNUMBER(SEARCH("WEB CAM",B819)),
ISNUMBER(SEARCH("MOUSE",B819)),
ISNUMBER(SEARCH("TECLADO",B819))
),
"COMPLEMENTO",
IF(
OR(
LEFT(A819,2)="NB",
LEFT(A819,2)="PC",
LEFT(A819,2)="WS",
LEFT(A819,2)="TB",
LEFT(A819,3)="CEL",
LEFT(A819,3)="MON",
LEFT(A819,3)="PRE",
LEFT(A819,3)="PRH",
ISNUMBER(SEARCH("NOTEBOOK",B819)),
ISNUMBER(SEARCH("LAPTOP",B819)),
ISNUMBER(SEARCH("MONITOR",B819)),
ISNUMBER(SEARCH("TABLET",B819)),
ISNUMBER(SEARCH("SMARTPH",B819)),
ISNUMBER(SEARCH("IMPRESORA",B819)),
ISNUMBER(SEARCH("MULTIFUNCIONAL",B819)),
ISNUMBER(SEARCH("AIO",B819))
),
"GANCHO",
"NORMAL"
)
)</f>
        <v>NORMAL</v>
      </c>
    </row>
    <row r="818" spans="1:12" x14ac:dyDescent="0.25">
      <c r="A818" s="3" t="s">
        <v>1567</v>
      </c>
      <c r="B818" s="3" t="s">
        <v>1568</v>
      </c>
      <c r="C818" s="1">
        <v>20</v>
      </c>
      <c r="D818" s="1">
        <v>666</v>
      </c>
      <c r="E818" s="1" t="s">
        <v>170</v>
      </c>
      <c r="F818" s="1" t="s">
        <v>3532</v>
      </c>
      <c r="G818" s="3"/>
      <c r="H818" s="11">
        <f>ROUND(
IF(L816="GANCHO",
   IF(I818&lt;=50,I818*1.1+4,IF(I818&lt;=120,I818*1.1+7,IF(I818&lt;=250,I818*1.1+11,I818*1.1+19))),
IF(L816="NORMAL",
   IF(I818&lt;=30,I818*1.15+2,IF(I818&lt;=80,I818*1.15+4,IF(I818&lt;=150,I818*1.15+6,I818*1.15+8))),
IF(L816="COMPLEMENTO",
   IF(I818&lt;=25,I818*1.25+1.5,IF(I818&lt;=60,I818*1.25+3,IF(I818&lt;=120,I818*1.25+4,I818*1.25+5))),
""))),2)</f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>IF(
OR(
ISNUMBER(SEARCH("BACKPACK",B820)),
ISNUMBER(SEARCH("MOCHILA",B820)),
ISNUMBER(SEARCH("FUNDA",B820)),
ISNUMBER(SEARCH("ESTUCHE",B820)),
ISNUMBER(SEARCH("BOOK COVER",B820)),
ISNUMBER(SEARCH("KEYBOARD PARA TABLET",B820)),
ISNUMBER(SEARCH("FLIP TABLET",B820)),
ISNUMBER(SEARCH("CASE FOR TABLET",B820)),
ISNUMBER(SEARCH("CABLE",B820)),
ISNUMBER(SEARCH("ADAPTADOR",B820)),
ISNUMBER(SEARCH("HUB",B820)),
ISNUMBER(SEARCH("DOCK",B820)),
ISNUMBER(SEARCH("MOUSE PAD",B820)),
ISNUMBER(SEARCH("MOUSEPAD",B820)),
ISNUMBER(SEARCH("SOPORTE",B820)),
ISNUMBER(SEARCH("STAND",B820)),
ISNUMBER(SEARCH("TRAVEL ADAPTER",B820)),
ISNUMBER(SEARCH("RJ45",B820)),
ISNUMBER(SEARCH("USB-C",B820)),
ISNUMBER(SEARCH("USB WIFI",B820)),
ISNUMBER(SEARCH("POWERBANK",B820)),
ISNUMBER(SEARCH("CARGADOR",B820)),
ISNUMBER(SEARCH("COOLER PARA NB",B820)),
ISNUMBER(SEARCH("SOPORTE PARA NB",B820)),
ISNUMBER(SEARCH("WEBCAM",B820)),
ISNUMBER(SEARCH("WEB CAM",B820)),
ISNUMBER(SEARCH("MOUSE",B820)),
ISNUMBER(SEARCH("TECLADO",B820))
),
"COMPLEMENTO",
IF(
OR(
LEFT(A820,2)="NB",
LEFT(A820,2)="PC",
LEFT(A820,2)="WS",
LEFT(A820,2)="TB",
LEFT(A820,3)="CEL",
LEFT(A820,3)="MON",
LEFT(A820,3)="PRE",
LEFT(A820,3)="PRH",
ISNUMBER(SEARCH("NOTEBOOK",B820)),
ISNUMBER(SEARCH("LAPTOP",B820)),
ISNUMBER(SEARCH("MONITOR",B820)),
ISNUMBER(SEARCH("TABLET",B820)),
ISNUMBER(SEARCH("SMARTPH",B820)),
ISNUMBER(SEARCH("IMPRESORA",B820)),
ISNUMBER(SEARCH("MULTIFUNCIONAL",B820)),
ISNUMBER(SEARCH("AIO",B820))
),
"GANCHO",
"NORMAL"
)
)</f>
        <v>NORMAL</v>
      </c>
    </row>
    <row r="819" spans="1:12" x14ac:dyDescent="0.25">
      <c r="A819" s="3" t="s">
        <v>1569</v>
      </c>
      <c r="B819" s="3" t="s">
        <v>1570</v>
      </c>
      <c r="C819" s="1">
        <v>5</v>
      </c>
      <c r="D819" s="1">
        <v>50</v>
      </c>
      <c r="E819" s="1" t="s">
        <v>154</v>
      </c>
      <c r="F819" s="1" t="s">
        <v>3533</v>
      </c>
      <c r="G819" s="3"/>
      <c r="H819" s="11">
        <f>ROUND(
IF(L817="GANCHO",
   IF(I819&lt;=50,I819*1.1+4,IF(I819&lt;=120,I819*1.1+7,IF(I819&lt;=250,I819*1.1+11,I819*1.1+19))),
IF(L817="NORMAL",
   IF(I819&lt;=30,I819*1.15+2,IF(I819&lt;=80,I819*1.15+4,IF(I819&lt;=150,I819*1.15+6,I819*1.15+8))),
IF(L817="COMPLEMENTO",
   IF(I819&lt;=25,I819*1.25+1.5,IF(I819&lt;=60,I819*1.25+3,IF(I819&lt;=120,I819*1.25+4,I819*1.25+5))),
""))),2)</f>
        <v>244.12</v>
      </c>
      <c r="I819" s="9">
        <f>($K$2+0.02)*Tabla1[[#This Row],[PRECIO $]]*1.18</f>
        <v>205.32</v>
      </c>
      <c r="J819" s="7">
        <f>+Tabla1[[#This Row],[PRECIO EN SOLES]]-Tabla1[[#This Row],[PC]]</f>
        <v>38.800000000000011</v>
      </c>
      <c r="K819" s="15"/>
      <c r="L819" s="15" t="str">
        <f>IF(
OR(
ISNUMBER(SEARCH("BACKPACK",B821)),
ISNUMBER(SEARCH("MOCHILA",B821)),
ISNUMBER(SEARCH("FUNDA",B821)),
ISNUMBER(SEARCH("ESTUCHE",B821)),
ISNUMBER(SEARCH("BOOK COVER",B821)),
ISNUMBER(SEARCH("KEYBOARD PARA TABLET",B821)),
ISNUMBER(SEARCH("FLIP TABLET",B821)),
ISNUMBER(SEARCH("CASE FOR TABLET",B821)),
ISNUMBER(SEARCH("CABLE",B821)),
ISNUMBER(SEARCH("ADAPTADOR",B821)),
ISNUMBER(SEARCH("HUB",B821)),
ISNUMBER(SEARCH("DOCK",B821)),
ISNUMBER(SEARCH("MOUSE PAD",B821)),
ISNUMBER(SEARCH("MOUSEPAD",B821)),
ISNUMBER(SEARCH("SOPORTE",B821)),
ISNUMBER(SEARCH("STAND",B821)),
ISNUMBER(SEARCH("TRAVEL ADAPTER",B821)),
ISNUMBER(SEARCH("RJ45",B821)),
ISNUMBER(SEARCH("USB-C",B821)),
ISNUMBER(SEARCH("USB WIFI",B821)),
ISNUMBER(SEARCH("POWERBANK",B821)),
ISNUMBER(SEARCH("CARGADOR",B821)),
ISNUMBER(SEARCH("COOLER PARA NB",B821)),
ISNUMBER(SEARCH("SOPORTE PARA NB",B821)),
ISNUMBER(SEARCH("WEBCAM",B821)),
ISNUMBER(SEARCH("WEB CAM",B821)),
ISNUMBER(SEARCH("MOUSE",B821)),
ISNUMBER(SEARCH("TECLADO",B821))
),
"COMPLEMENTO",
IF(
OR(
LEFT(A821,2)="NB",
LEFT(A821,2)="PC",
LEFT(A821,2)="WS",
LEFT(A821,2)="TB",
LEFT(A821,3)="CEL",
LEFT(A821,3)="MON",
LEFT(A821,3)="PRE",
LEFT(A821,3)="PRH",
ISNUMBER(SEARCH("NOTEBOOK",B821)),
ISNUMBER(SEARCH("LAPTOP",B821)),
ISNUMBER(SEARCH("MONITOR",B821)),
ISNUMBER(SEARCH("TABLET",B821)),
ISNUMBER(SEARCH("SMARTPH",B821)),
ISNUMBER(SEARCH("IMPRESORA",B821)),
ISNUMBER(SEARCH("MULTIFUNCIONAL",B821)),
ISNUMBER(SEARCH("AIO",B821))
),
"GANCHO",
"NORMAL"
)
)</f>
        <v>NORMAL</v>
      </c>
    </row>
    <row r="820" spans="1:12" x14ac:dyDescent="0.25">
      <c r="A820" s="3" t="s">
        <v>1571</v>
      </c>
      <c r="B820" s="3" t="s">
        <v>1572</v>
      </c>
      <c r="C820" s="1">
        <v>20</v>
      </c>
      <c r="D820" s="1">
        <v>666</v>
      </c>
      <c r="E820" s="1" t="s">
        <v>170</v>
      </c>
      <c r="F820" s="1" t="s">
        <v>3534</v>
      </c>
      <c r="G820" s="3"/>
      <c r="H820" s="11">
        <f>ROUND(
IF(L818="GANCHO",
   IF(I820&lt;=50,I820*1.1+4,IF(I820&lt;=120,I820*1.1+7,IF(I820&lt;=250,I820*1.1+11,I820*1.1+19))),
IF(L818="NORMAL",
   IF(I820&lt;=30,I820*1.15+2,IF(I820&lt;=80,I820*1.15+4,IF(I820&lt;=150,I820*1.15+6,I820*1.15+8))),
IF(L818="COMPLEMENTO",
   IF(I820&lt;=25,I820*1.25+1.5,IF(I820&lt;=60,I820*1.25+3,IF(I820&lt;=120,I820*1.25+4,I820*1.25+5))),
""))),2)</f>
        <v>3153.09</v>
      </c>
      <c r="I820" s="9">
        <f>($K$2+0.02)*Tabla1[[#This Row],[PRECIO $]]*1.18</f>
        <v>2734.8623999999995</v>
      </c>
      <c r="J820" s="7">
        <f>+Tabla1[[#This Row],[PRECIO EN SOLES]]-Tabla1[[#This Row],[PC]]</f>
        <v>418.22760000000062</v>
      </c>
      <c r="K820" s="15"/>
      <c r="L820" s="15" t="str">
        <f>IF(
OR(
ISNUMBER(SEARCH("BACKPACK",B822)),
ISNUMBER(SEARCH("MOCHILA",B822)),
ISNUMBER(SEARCH("FUNDA",B822)),
ISNUMBER(SEARCH("ESTUCHE",B822)),
ISNUMBER(SEARCH("BOOK COVER",B822)),
ISNUMBER(SEARCH("KEYBOARD PARA TABLET",B822)),
ISNUMBER(SEARCH("FLIP TABLET",B822)),
ISNUMBER(SEARCH("CASE FOR TABLET",B822)),
ISNUMBER(SEARCH("CABLE",B822)),
ISNUMBER(SEARCH("ADAPTADOR",B822)),
ISNUMBER(SEARCH("HUB",B822)),
ISNUMBER(SEARCH("DOCK",B822)),
ISNUMBER(SEARCH("MOUSE PAD",B822)),
ISNUMBER(SEARCH("MOUSEPAD",B822)),
ISNUMBER(SEARCH("SOPORTE",B822)),
ISNUMBER(SEARCH("STAND",B822)),
ISNUMBER(SEARCH("TRAVEL ADAPTER",B822)),
ISNUMBER(SEARCH("RJ45",B822)),
ISNUMBER(SEARCH("USB-C",B822)),
ISNUMBER(SEARCH("USB WIFI",B822)),
ISNUMBER(SEARCH("POWERBANK",B822)),
ISNUMBER(SEARCH("CARGADOR",B822)),
ISNUMBER(SEARCH("COOLER PARA NB",B822)),
ISNUMBER(SEARCH("SOPORTE PARA NB",B822)),
ISNUMBER(SEARCH("WEBCAM",B822)),
ISNUMBER(SEARCH("WEB CAM",B822)),
ISNUMBER(SEARCH("MOUSE",B822)),
ISNUMBER(SEARCH("TECLADO",B822))
),
"COMPLEMENTO",
IF(
OR(
LEFT(A822,2)="NB",
LEFT(A822,2)="PC",
LEFT(A822,2)="WS",
LEFT(A822,2)="TB",
LEFT(A822,3)="CEL",
LEFT(A822,3)="MON",
LEFT(A822,3)="PRE",
LEFT(A822,3)="PRH",
ISNUMBER(SEARCH("NOTEBOOK",B822)),
ISNUMBER(SEARCH("LAPTOP",B822)),
ISNUMBER(SEARCH("MONITOR",B822)),
ISNUMBER(SEARCH("TABLET",B822)),
ISNUMBER(SEARCH("SMARTPH",B822)),
ISNUMBER(SEARCH("IMPRESORA",B822)),
ISNUMBER(SEARCH("MULTIFUNCIONAL",B822)),
ISNUMBER(SEARCH("AIO",B822))
),
"GANCHO",
"NORMAL"
)
)</f>
        <v>NORMAL</v>
      </c>
    </row>
    <row r="821" spans="1:12" x14ac:dyDescent="0.25">
      <c r="A821" s="3" t="s">
        <v>6746</v>
      </c>
      <c r="B821" s="3" t="s">
        <v>6747</v>
      </c>
      <c r="C821" s="1">
        <v>12</v>
      </c>
      <c r="D821" s="1">
        <v>666</v>
      </c>
      <c r="E821" s="1" t="s">
        <v>148</v>
      </c>
      <c r="F821" s="1" t="s">
        <v>6748</v>
      </c>
      <c r="G821" s="3"/>
      <c r="H821" s="11">
        <f>ROUND(
IF(L819="GANCHO",
   IF(I821&lt;=50,I821*1.1+4,IF(I821&lt;=120,I821*1.1+7,IF(I821&lt;=250,I821*1.1+11,I821*1.1+19))),
IF(L819="NORMAL",
   IF(I821&lt;=30,I821*1.15+2,IF(I821&lt;=80,I821*1.15+4,IF(I821&lt;=150,I821*1.15+6,I821*1.15+8))),
IF(L819="COMPLEMENTO",
   IF(I821&lt;=25,I821*1.25+1.5,IF(I821&lt;=60,I821*1.25+3,IF(I821&lt;=120,I821*1.25+4,I821*1.25+5))),
""))),2)</f>
        <v>3153.09</v>
      </c>
      <c r="I821" s="9">
        <f>($K$2+0.02)*Tabla1[[#This Row],[PRECIO $]]*1.18</f>
        <v>2734.8623999999995</v>
      </c>
      <c r="J821" s="7">
        <f>+Tabla1[[#This Row],[PRECIO EN SOLES]]-Tabla1[[#This Row],[PC]]</f>
        <v>418.22760000000062</v>
      </c>
      <c r="K821" s="15"/>
      <c r="L821" s="15" t="str">
        <f>IF(
OR(
ISNUMBER(SEARCH("BACKPACK",B823)),
ISNUMBER(SEARCH("MOCHILA",B823)),
ISNUMBER(SEARCH("FUNDA",B823)),
ISNUMBER(SEARCH("ESTUCHE",B823)),
ISNUMBER(SEARCH("BOOK COVER",B823)),
ISNUMBER(SEARCH("KEYBOARD PARA TABLET",B823)),
ISNUMBER(SEARCH("FLIP TABLET",B823)),
ISNUMBER(SEARCH("CASE FOR TABLET",B823)),
ISNUMBER(SEARCH("CABLE",B823)),
ISNUMBER(SEARCH("ADAPTADOR",B823)),
ISNUMBER(SEARCH("HUB",B823)),
ISNUMBER(SEARCH("DOCK",B823)),
ISNUMBER(SEARCH("MOUSE PAD",B823)),
ISNUMBER(SEARCH("MOUSEPAD",B823)),
ISNUMBER(SEARCH("SOPORTE",B823)),
ISNUMBER(SEARCH("STAND",B823)),
ISNUMBER(SEARCH("TRAVEL ADAPTER",B823)),
ISNUMBER(SEARCH("RJ45",B823)),
ISNUMBER(SEARCH("USB-C",B823)),
ISNUMBER(SEARCH("USB WIFI",B823)),
ISNUMBER(SEARCH("POWERBANK",B823)),
ISNUMBER(SEARCH("CARGADOR",B823)),
ISNUMBER(SEARCH("COOLER PARA NB",B823)),
ISNUMBER(SEARCH("SOPORTE PARA NB",B823)),
ISNUMBER(SEARCH("WEBCAM",B823)),
ISNUMBER(SEARCH("WEB CAM",B823)),
ISNUMBER(SEARCH("MOUSE",B823)),
ISNUMBER(SEARCH("TECLADO",B823))
),
"COMPLEMENTO",
IF(
OR(
LEFT(A823,2)="NB",
LEFT(A823,2)="PC",
LEFT(A823,2)="WS",
LEFT(A823,2)="TB",
LEFT(A823,3)="CEL",
LEFT(A823,3)="MON",
LEFT(A823,3)="PRE",
LEFT(A823,3)="PRH",
ISNUMBER(SEARCH("NOTEBOOK",B823)),
ISNUMBER(SEARCH("LAPTOP",B823)),
ISNUMBER(SEARCH("MONITOR",B823)),
ISNUMBER(SEARCH("TABLET",B823)),
ISNUMBER(SEARCH("SMARTPH",B823)),
ISNUMBER(SEARCH("IMPRESORA",B823)),
ISNUMBER(SEARCH("MULTIFUNCIONAL",B823)),
ISNUMBER(SEARCH("AIO",B823))
),
"GANCHO",
"NORMAL"
)
)</f>
        <v>NORMAL</v>
      </c>
    </row>
    <row r="822" spans="1:12" x14ac:dyDescent="0.25">
      <c r="A822" s="3" t="s">
        <v>1573</v>
      </c>
      <c r="B822" s="3" t="s">
        <v>1574</v>
      </c>
      <c r="C822" s="1">
        <v>0</v>
      </c>
      <c r="D822" s="1">
        <v>999</v>
      </c>
      <c r="E822" s="1" t="s">
        <v>57</v>
      </c>
      <c r="F822" s="1" t="s">
        <v>3535</v>
      </c>
      <c r="G822" s="3"/>
      <c r="H822" s="11">
        <f>ROUND(
IF(L820="GANCHO",
   IF(I822&lt;=50,I822*1.1+4,IF(I822&lt;=120,I822*1.1+7,IF(I822&lt;=250,I822*1.1+11,I822*1.1+19))),
IF(L820="NORMAL",
   IF(I822&lt;=30,I822*1.15+2,IF(I822&lt;=80,I822*1.15+4,IF(I822&lt;=150,I822*1.15+6,I822*1.15+8))),
IF(L820="COMPLEMENTO",
   IF(I822&lt;=25,I822*1.25+1.5,IF(I822&lt;=60,I822*1.25+3,IF(I822&lt;=120,I822*1.25+4,I822*1.25+5))),
""))),2)</f>
        <v>4725.6400000000003</v>
      </c>
      <c r="I822" s="9">
        <f>($K$2+0.02)*Tabla1[[#This Row],[PRECIO $]]*1.18</f>
        <v>4102.2936</v>
      </c>
      <c r="J822" s="7">
        <f>+Tabla1[[#This Row],[PRECIO EN SOLES]]-Tabla1[[#This Row],[PC]]</f>
        <v>623.34640000000036</v>
      </c>
      <c r="K822" s="15"/>
      <c r="L822" s="15" t="str">
        <f>IF(
OR(
ISNUMBER(SEARCH("BACKPACK",B824)),
ISNUMBER(SEARCH("MOCHILA",B824)),
ISNUMBER(SEARCH("FUNDA",B824)),
ISNUMBER(SEARCH("ESTUCHE",B824)),
ISNUMBER(SEARCH("BOOK COVER",B824)),
ISNUMBER(SEARCH("KEYBOARD PARA TABLET",B824)),
ISNUMBER(SEARCH("FLIP TABLET",B824)),
ISNUMBER(SEARCH("CASE FOR TABLET",B824)),
ISNUMBER(SEARCH("CABLE",B824)),
ISNUMBER(SEARCH("ADAPTADOR",B824)),
ISNUMBER(SEARCH("HUB",B824)),
ISNUMBER(SEARCH("DOCK",B824)),
ISNUMBER(SEARCH("MOUSE PAD",B824)),
ISNUMBER(SEARCH("MOUSEPAD",B824)),
ISNUMBER(SEARCH("SOPORTE",B824)),
ISNUMBER(SEARCH("STAND",B824)),
ISNUMBER(SEARCH("TRAVEL ADAPTER",B824)),
ISNUMBER(SEARCH("RJ45",B824)),
ISNUMBER(SEARCH("USB-C",B824)),
ISNUMBER(SEARCH("USB WIFI",B824)),
ISNUMBER(SEARCH("POWERBANK",B824)),
ISNUMBER(SEARCH("CARGADOR",B824)),
ISNUMBER(SEARCH("COOLER PARA NB",B824)),
ISNUMBER(SEARCH("SOPORTE PARA NB",B824)),
ISNUMBER(SEARCH("WEBCAM",B824)),
ISNUMBER(SEARCH("WEB CAM",B824)),
ISNUMBER(SEARCH("MOUSE",B824)),
ISNUMBER(SEARCH("TECLADO",B824))
),
"COMPLEMENTO",
IF(
OR(
LEFT(A824,2)="NB",
LEFT(A824,2)="PC",
LEFT(A824,2)="WS",
LEFT(A824,2)="TB",
LEFT(A824,3)="CEL",
LEFT(A824,3)="MON",
LEFT(A824,3)="PRE",
LEFT(A824,3)="PRH",
ISNUMBER(SEARCH("NOTEBOOK",B824)),
ISNUMBER(SEARCH("LAPTOP",B824)),
ISNUMBER(SEARCH("MONITOR",B824)),
ISNUMBER(SEARCH("TABLET",B824)),
ISNUMBER(SEARCH("SMARTPH",B824)),
ISNUMBER(SEARCH("IMPRESORA",B824)),
ISNUMBER(SEARCH("MULTIFUNCIONAL",B824)),
ISNUMBER(SEARCH("AIO",B824))
),
"GANCHO",
"NORMAL"
)
)</f>
        <v>NORMAL</v>
      </c>
    </row>
    <row r="823" spans="1:12" x14ac:dyDescent="0.25">
      <c r="A823" s="3" t="s">
        <v>1575</v>
      </c>
      <c r="B823" s="3" t="s">
        <v>2788</v>
      </c>
      <c r="C823" s="1">
        <v>20</v>
      </c>
      <c r="D823" s="1">
        <v>600</v>
      </c>
      <c r="E823" s="1" t="s">
        <v>55</v>
      </c>
      <c r="F823" s="1" t="s">
        <v>3536</v>
      </c>
      <c r="G823" s="3"/>
      <c r="H823" s="11">
        <f>ROUND(
IF(L821="GANCHO",
   IF(I823&lt;=50,I823*1.1+4,IF(I823&lt;=120,I823*1.1+7,IF(I823&lt;=250,I823*1.1+11,I823*1.1+19))),
IF(L821="NORMAL",
   IF(I823&lt;=30,I823*1.15+2,IF(I823&lt;=80,I823*1.15+4,IF(I823&lt;=150,I823*1.15+6,I823*1.15+8))),
IF(L821="COMPLEMENTO",
   IF(I823&lt;=25,I823*1.25+1.5,IF(I823&lt;=60,I823*1.25+3,IF(I823&lt;=120,I823*1.25+4,I823*1.25+5))),
""))),2)</f>
        <v>2841.42</v>
      </c>
      <c r="I823" s="9">
        <f>($K$2+0.02)*Tabla1[[#This Row],[PRECIO $]]*1.18</f>
        <v>2463.8399999999997</v>
      </c>
      <c r="J823" s="7">
        <f>+Tabla1[[#This Row],[PRECIO EN SOLES]]-Tabla1[[#This Row],[PC]]</f>
        <v>377.58000000000038</v>
      </c>
      <c r="K823" s="15"/>
      <c r="L823" s="15" t="str">
        <f>IF(
OR(
ISNUMBER(SEARCH("BACKPACK",B825)),
ISNUMBER(SEARCH("MOCHILA",B825)),
ISNUMBER(SEARCH("FUNDA",B825)),
ISNUMBER(SEARCH("ESTUCHE",B825)),
ISNUMBER(SEARCH("BOOK COVER",B825)),
ISNUMBER(SEARCH("KEYBOARD PARA TABLET",B825)),
ISNUMBER(SEARCH("FLIP TABLET",B825)),
ISNUMBER(SEARCH("CASE FOR TABLET",B825)),
ISNUMBER(SEARCH("CABLE",B825)),
ISNUMBER(SEARCH("ADAPTADOR",B825)),
ISNUMBER(SEARCH("HUB",B825)),
ISNUMBER(SEARCH("DOCK",B825)),
ISNUMBER(SEARCH("MOUSE PAD",B825)),
ISNUMBER(SEARCH("MOUSEPAD",B825)),
ISNUMBER(SEARCH("SOPORTE",B825)),
ISNUMBER(SEARCH("STAND",B825)),
ISNUMBER(SEARCH("TRAVEL ADAPTER",B825)),
ISNUMBER(SEARCH("RJ45",B825)),
ISNUMBER(SEARCH("USB-C",B825)),
ISNUMBER(SEARCH("USB WIFI",B825)),
ISNUMBER(SEARCH("POWERBANK",B825)),
ISNUMBER(SEARCH("CARGADOR",B825)),
ISNUMBER(SEARCH("COOLER PARA NB",B825)),
ISNUMBER(SEARCH("SOPORTE PARA NB",B825)),
ISNUMBER(SEARCH("WEBCAM",B825)),
ISNUMBER(SEARCH("WEB CAM",B825)),
ISNUMBER(SEARCH("MOUSE",B825)),
ISNUMBER(SEARCH("TECLADO",B825))
),
"COMPLEMENTO",
IF(
OR(
LEFT(A825,2)="NB",
LEFT(A825,2)="PC",
LEFT(A825,2)="WS",
LEFT(A825,2)="TB",
LEFT(A825,3)="CEL",
LEFT(A825,3)="MON",
LEFT(A825,3)="PRE",
LEFT(A825,3)="PRH",
ISNUMBER(SEARCH("NOTEBOOK",B825)),
ISNUMBER(SEARCH("LAPTOP",B825)),
ISNUMBER(SEARCH("MONITOR",B825)),
ISNUMBER(SEARCH("TABLET",B825)),
ISNUMBER(SEARCH("SMARTPH",B825)),
ISNUMBER(SEARCH("IMPRESORA",B825)),
ISNUMBER(SEARCH("MULTIFUNCIONAL",B825)),
ISNUMBER(SEARCH("AIO",B825))
),
"GANCHO",
"NORMAL"
)
)</f>
        <v>NORMAL</v>
      </c>
    </row>
    <row r="824" spans="1:12" x14ac:dyDescent="0.25">
      <c r="A824" s="3" t="s">
        <v>4808</v>
      </c>
      <c r="B824" s="3" t="s">
        <v>6014</v>
      </c>
      <c r="C824" s="1">
        <v>20</v>
      </c>
      <c r="D824" s="1">
        <v>666</v>
      </c>
      <c r="E824" s="1" t="s">
        <v>154</v>
      </c>
      <c r="F824" s="1" t="s">
        <v>4809</v>
      </c>
      <c r="G824" s="3"/>
      <c r="H824" s="11">
        <f>ROUND(
IF(L822="GANCHO",
   IF(I824&lt;=50,I824*1.1+4,IF(I824&lt;=120,I824*1.1+7,IF(I824&lt;=250,I824*1.1+11,I824*1.1+19))),
IF(L822="NORMAL",
   IF(I824&lt;=30,I824*1.15+2,IF(I824&lt;=80,I824*1.15+4,IF(I824&lt;=150,I824*1.15+6,I824*1.15+8))),
IF(L822="COMPLEMENTO",
   IF(I824&lt;=25,I824*1.25+1.5,IF(I824&lt;=60,I824*1.25+3,IF(I824&lt;=120,I824*1.25+4,I824*1.25+5))),
""))),2)</f>
        <v>3153.09</v>
      </c>
      <c r="I824" s="9">
        <f>($K$2+0.02)*Tabla1[[#This Row],[PRECIO $]]*1.18</f>
        <v>2734.8623999999995</v>
      </c>
      <c r="J824" s="7">
        <f>+Tabla1[[#This Row],[PRECIO EN SOLES]]-Tabla1[[#This Row],[PC]]</f>
        <v>418.22760000000062</v>
      </c>
      <c r="K824" s="15"/>
      <c r="L824" s="15" t="str">
        <f>IF(
OR(
ISNUMBER(SEARCH("BACKPACK",B826)),
ISNUMBER(SEARCH("MOCHILA",B826)),
ISNUMBER(SEARCH("FUNDA",B826)),
ISNUMBER(SEARCH("ESTUCHE",B826)),
ISNUMBER(SEARCH("BOOK COVER",B826)),
ISNUMBER(SEARCH("KEYBOARD PARA TABLET",B826)),
ISNUMBER(SEARCH("FLIP TABLET",B826)),
ISNUMBER(SEARCH("CASE FOR TABLET",B826)),
ISNUMBER(SEARCH("CABLE",B826)),
ISNUMBER(SEARCH("ADAPTADOR",B826)),
ISNUMBER(SEARCH("HUB",B826)),
ISNUMBER(SEARCH("DOCK",B826)),
ISNUMBER(SEARCH("MOUSE PAD",B826)),
ISNUMBER(SEARCH("MOUSEPAD",B826)),
ISNUMBER(SEARCH("SOPORTE",B826)),
ISNUMBER(SEARCH("STAND",B826)),
ISNUMBER(SEARCH("TRAVEL ADAPTER",B826)),
ISNUMBER(SEARCH("RJ45",B826)),
ISNUMBER(SEARCH("USB-C",B826)),
ISNUMBER(SEARCH("USB WIFI",B826)),
ISNUMBER(SEARCH("POWERBANK",B826)),
ISNUMBER(SEARCH("CARGADOR",B826)),
ISNUMBER(SEARCH("COOLER PARA NB",B826)),
ISNUMBER(SEARCH("SOPORTE PARA NB",B826)),
ISNUMBER(SEARCH("WEBCAM",B826)),
ISNUMBER(SEARCH("WEB CAM",B826)),
ISNUMBER(SEARCH("MOUSE",B826)),
ISNUMBER(SEARCH("TECLADO",B826))
),
"COMPLEMENTO",
IF(
OR(
LEFT(A826,2)="NB",
LEFT(A826,2)="PC",
LEFT(A826,2)="WS",
LEFT(A826,2)="TB",
LEFT(A826,3)="CEL",
LEFT(A826,3)="MON",
LEFT(A826,3)="PRE",
LEFT(A826,3)="PRH",
ISNUMBER(SEARCH("NOTEBOOK",B826)),
ISNUMBER(SEARCH("LAPTOP",B826)),
ISNUMBER(SEARCH("MONITOR",B826)),
ISNUMBER(SEARCH("TABLET",B826)),
ISNUMBER(SEARCH("SMARTPH",B826)),
ISNUMBER(SEARCH("IMPRESORA",B826)),
ISNUMBER(SEARCH("MULTIFUNCIONAL",B826)),
ISNUMBER(SEARCH("AIO",B826))
),
"GANCHO",
"NORMAL"
)
)</f>
        <v>NORMAL</v>
      </c>
    </row>
    <row r="825" spans="1:12" x14ac:dyDescent="0.25">
      <c r="A825" s="3" t="s">
        <v>6749</v>
      </c>
      <c r="B825" s="3" t="s">
        <v>6750</v>
      </c>
      <c r="C825" s="1">
        <v>0</v>
      </c>
      <c r="D825" s="1">
        <v>9999</v>
      </c>
      <c r="E825" s="1" t="s">
        <v>52</v>
      </c>
      <c r="F825" s="1" t="s">
        <v>6751</v>
      </c>
      <c r="G825" s="3"/>
      <c r="H825" s="11">
        <f>ROUND(
IF(L823="GANCHO",
   IF(I825&lt;=50,I825*1.1+4,IF(I825&lt;=120,I825*1.1+7,IF(I825&lt;=250,I825*1.1+11,I825*1.1+19))),
IF(L823="NORMAL",
   IF(I825&lt;=30,I825*1.15+2,IF(I825&lt;=80,I825*1.15+4,IF(I825&lt;=150,I825*1.15+6,I825*1.15+8))),
IF(L823="COMPLEMENTO",
   IF(I825&lt;=25,I825*1.25+1.5,IF(I825&lt;=60,I825*1.25+3,IF(I825&lt;=120,I825*1.25+4,I825*1.25+5))),
""))),2)</f>
        <v>47226.879999999997</v>
      </c>
      <c r="I825" s="9">
        <f>($K$2+0.02)*Tabla1[[#This Row],[PRECIO $]]*1.18</f>
        <v>41059.893599999996</v>
      </c>
      <c r="J825" s="7">
        <f>+Tabla1[[#This Row],[PRECIO EN SOLES]]-Tabla1[[#This Row],[PC]]</f>
        <v>6166.9864000000016</v>
      </c>
      <c r="K825" s="15"/>
      <c r="L825" s="15" t="str">
        <f>IF(
OR(
ISNUMBER(SEARCH("BACKPACK",B827)),
ISNUMBER(SEARCH("MOCHILA",B827)),
ISNUMBER(SEARCH("FUNDA",B827)),
ISNUMBER(SEARCH("ESTUCHE",B827)),
ISNUMBER(SEARCH("BOOK COVER",B827)),
ISNUMBER(SEARCH("KEYBOARD PARA TABLET",B827)),
ISNUMBER(SEARCH("FLIP TABLET",B827)),
ISNUMBER(SEARCH("CASE FOR TABLET",B827)),
ISNUMBER(SEARCH("CABLE",B827)),
ISNUMBER(SEARCH("ADAPTADOR",B827)),
ISNUMBER(SEARCH("HUB",B827)),
ISNUMBER(SEARCH("DOCK",B827)),
ISNUMBER(SEARCH("MOUSE PAD",B827)),
ISNUMBER(SEARCH("MOUSEPAD",B827)),
ISNUMBER(SEARCH("SOPORTE",B827)),
ISNUMBER(SEARCH("STAND",B827)),
ISNUMBER(SEARCH("TRAVEL ADAPTER",B827)),
ISNUMBER(SEARCH("RJ45",B827)),
ISNUMBER(SEARCH("USB-C",B827)),
ISNUMBER(SEARCH("USB WIFI",B827)),
ISNUMBER(SEARCH("POWERBANK",B827)),
ISNUMBER(SEARCH("CARGADOR",B827)),
ISNUMBER(SEARCH("COOLER PARA NB",B827)),
ISNUMBER(SEARCH("SOPORTE PARA NB",B827)),
ISNUMBER(SEARCH("WEBCAM",B827)),
ISNUMBER(SEARCH("WEB CAM",B827)),
ISNUMBER(SEARCH("MOUSE",B827)),
ISNUMBER(SEARCH("TECLADO",B827))
),
"COMPLEMENTO",
IF(
OR(
LEFT(A827,2)="NB",
LEFT(A827,2)="PC",
LEFT(A827,2)="WS",
LEFT(A827,2)="TB",
LEFT(A827,3)="CEL",
LEFT(A827,3)="MON",
LEFT(A827,3)="PRE",
LEFT(A827,3)="PRH",
ISNUMBER(SEARCH("NOTEBOOK",B827)),
ISNUMBER(SEARCH("LAPTOP",B827)),
ISNUMBER(SEARCH("MONITOR",B827)),
ISNUMBER(SEARCH("TABLET",B827)),
ISNUMBER(SEARCH("SMARTPH",B827)),
ISNUMBER(SEARCH("IMPRESORA",B827)),
ISNUMBER(SEARCH("MULTIFUNCIONAL",B827)),
ISNUMBER(SEARCH("AIO",B827))
),
"GANCHO",
"NORMAL"
)
)</f>
        <v>NORMAL</v>
      </c>
    </row>
    <row r="826" spans="1:12" x14ac:dyDescent="0.25">
      <c r="A826" s="3" t="s">
        <v>6752</v>
      </c>
      <c r="B826" s="3" t="s">
        <v>6753</v>
      </c>
      <c r="C826" s="1">
        <v>0</v>
      </c>
      <c r="D826" s="1">
        <v>9999</v>
      </c>
      <c r="E826" s="1" t="s">
        <v>52</v>
      </c>
      <c r="F826" s="1" t="s">
        <v>6754</v>
      </c>
      <c r="G826" s="3"/>
      <c r="H826" s="11">
        <f>ROUND(
IF(L824="GANCHO",
   IF(I826&lt;=50,I826*1.1+4,IF(I826&lt;=120,I826*1.1+7,IF(I826&lt;=250,I826*1.1+11,I826*1.1+19))),
IF(L824="NORMAL",
   IF(I826&lt;=30,I826*1.15+2,IF(I826&lt;=80,I826*1.15+4,IF(I826&lt;=150,I826*1.15+6,I826*1.15+8))),
IF(L824="COMPLEMENTO",
   IF(I826&lt;=25,I826*1.25+1.5,IF(I826&lt;=60,I826*1.25+3,IF(I826&lt;=120,I826*1.25+4,I826*1.25+5))),
""))),2)</f>
        <v>47226.879999999997</v>
      </c>
      <c r="I826" s="9">
        <f>($K$2+0.02)*Tabla1[[#This Row],[PRECIO $]]*1.18</f>
        <v>41059.893599999996</v>
      </c>
      <c r="J826" s="7">
        <f>+Tabla1[[#This Row],[PRECIO EN SOLES]]-Tabla1[[#This Row],[PC]]</f>
        <v>6166.9864000000016</v>
      </c>
      <c r="K826" s="15"/>
      <c r="L826" s="15" t="str">
        <f>IF(
OR(
ISNUMBER(SEARCH("BACKPACK",B828)),
ISNUMBER(SEARCH("MOCHILA",B828)),
ISNUMBER(SEARCH("FUNDA",B828)),
ISNUMBER(SEARCH("ESTUCHE",B828)),
ISNUMBER(SEARCH("BOOK COVER",B828)),
ISNUMBER(SEARCH("KEYBOARD PARA TABLET",B828)),
ISNUMBER(SEARCH("FLIP TABLET",B828)),
ISNUMBER(SEARCH("CASE FOR TABLET",B828)),
ISNUMBER(SEARCH("CABLE",B828)),
ISNUMBER(SEARCH("ADAPTADOR",B828)),
ISNUMBER(SEARCH("HUB",B828)),
ISNUMBER(SEARCH("DOCK",B828)),
ISNUMBER(SEARCH("MOUSE PAD",B828)),
ISNUMBER(SEARCH("MOUSEPAD",B828)),
ISNUMBER(SEARCH("SOPORTE",B828)),
ISNUMBER(SEARCH("STAND",B828)),
ISNUMBER(SEARCH("TRAVEL ADAPTER",B828)),
ISNUMBER(SEARCH("RJ45",B828)),
ISNUMBER(SEARCH("USB-C",B828)),
ISNUMBER(SEARCH("USB WIFI",B828)),
ISNUMBER(SEARCH("POWERBANK",B828)),
ISNUMBER(SEARCH("CARGADOR",B828)),
ISNUMBER(SEARCH("COOLER PARA NB",B828)),
ISNUMBER(SEARCH("SOPORTE PARA NB",B828)),
ISNUMBER(SEARCH("WEBCAM",B828)),
ISNUMBER(SEARCH("WEB CAM",B828)),
ISNUMBER(SEARCH("MOUSE",B828)),
ISNUMBER(SEARCH("TECLADO",B828))
),
"COMPLEMENTO",
IF(
OR(
LEFT(A828,2)="NB",
LEFT(A828,2)="PC",
LEFT(A828,2)="WS",
LEFT(A828,2)="TB",
LEFT(A828,3)="CEL",
LEFT(A828,3)="MON",
LEFT(A828,3)="PRE",
LEFT(A828,3)="PRH",
ISNUMBER(SEARCH("NOTEBOOK",B828)),
ISNUMBER(SEARCH("LAPTOP",B828)),
ISNUMBER(SEARCH("MONITOR",B828)),
ISNUMBER(SEARCH("TABLET",B828)),
ISNUMBER(SEARCH("SMARTPH",B828)),
ISNUMBER(SEARCH("IMPRESORA",B828)),
ISNUMBER(SEARCH("MULTIFUNCIONAL",B828)),
ISNUMBER(SEARCH("AIO",B828))
),
"GANCHO",
"NORMAL"
)
)</f>
        <v>NORMAL</v>
      </c>
    </row>
    <row r="827" spans="1:12" x14ac:dyDescent="0.25">
      <c r="A827" s="3" t="s">
        <v>6755</v>
      </c>
      <c r="B827" s="3" t="s">
        <v>6756</v>
      </c>
      <c r="C827" s="1">
        <v>0</v>
      </c>
      <c r="D827" s="1">
        <v>9999</v>
      </c>
      <c r="E827" s="1" t="s">
        <v>52</v>
      </c>
      <c r="F827" s="1" t="s">
        <v>6757</v>
      </c>
      <c r="G827" s="3"/>
      <c r="H827" s="11">
        <f>ROUND(
IF(L825="GANCHO",
   IF(I827&lt;=50,I827*1.1+4,IF(I827&lt;=120,I827*1.1+7,IF(I827&lt;=250,I827*1.1+11,I827*1.1+19))),
IF(L825="NORMAL",
   IF(I827&lt;=30,I827*1.15+2,IF(I827&lt;=80,I827*1.15+4,IF(I827&lt;=150,I827*1.15+6,I827*1.15+8))),
IF(L825="COMPLEMENTO",
   IF(I827&lt;=25,I827*1.25+1.5,IF(I827&lt;=60,I827*1.25+3,IF(I827&lt;=120,I827*1.25+4,I827*1.25+5))),
""))),2)</f>
        <v>47226.879999999997</v>
      </c>
      <c r="I827" s="9">
        <f>($K$2+0.02)*Tabla1[[#This Row],[PRECIO $]]*1.18</f>
        <v>41059.893599999996</v>
      </c>
      <c r="J827" s="7">
        <f>+Tabla1[[#This Row],[PRECIO EN SOLES]]-Tabla1[[#This Row],[PC]]</f>
        <v>6166.9864000000016</v>
      </c>
      <c r="K827" s="15"/>
      <c r="L827" s="15" t="str">
        <f>IF(
OR(
ISNUMBER(SEARCH("BACKPACK",B829)),
ISNUMBER(SEARCH("MOCHILA",B829)),
ISNUMBER(SEARCH("FUNDA",B829)),
ISNUMBER(SEARCH("ESTUCHE",B829)),
ISNUMBER(SEARCH("BOOK COVER",B829)),
ISNUMBER(SEARCH("KEYBOARD PARA TABLET",B829)),
ISNUMBER(SEARCH("FLIP TABLET",B829)),
ISNUMBER(SEARCH("CASE FOR TABLET",B829)),
ISNUMBER(SEARCH("CABLE",B829)),
ISNUMBER(SEARCH("ADAPTADOR",B829)),
ISNUMBER(SEARCH("HUB",B829)),
ISNUMBER(SEARCH("DOCK",B829)),
ISNUMBER(SEARCH("MOUSE PAD",B829)),
ISNUMBER(SEARCH("MOUSEPAD",B829)),
ISNUMBER(SEARCH("SOPORTE",B829)),
ISNUMBER(SEARCH("STAND",B829)),
ISNUMBER(SEARCH("TRAVEL ADAPTER",B829)),
ISNUMBER(SEARCH("RJ45",B829)),
ISNUMBER(SEARCH("USB-C",B829)),
ISNUMBER(SEARCH("USB WIFI",B829)),
ISNUMBER(SEARCH("POWERBANK",B829)),
ISNUMBER(SEARCH("CARGADOR",B829)),
ISNUMBER(SEARCH("COOLER PARA NB",B829)),
ISNUMBER(SEARCH("SOPORTE PARA NB",B829)),
ISNUMBER(SEARCH("WEBCAM",B829)),
ISNUMBER(SEARCH("WEB CAM",B829)),
ISNUMBER(SEARCH("MOUSE",B829)),
ISNUMBER(SEARCH("TECLADO",B829))
),
"COMPLEMENTO",
IF(
OR(
LEFT(A829,2)="NB",
LEFT(A829,2)="PC",
LEFT(A829,2)="WS",
LEFT(A829,2)="TB",
LEFT(A829,3)="CEL",
LEFT(A829,3)="MON",
LEFT(A829,3)="PRE",
LEFT(A829,3)="PRH",
ISNUMBER(SEARCH("NOTEBOOK",B829)),
ISNUMBER(SEARCH("LAPTOP",B829)),
ISNUMBER(SEARCH("MONITOR",B829)),
ISNUMBER(SEARCH("TABLET",B829)),
ISNUMBER(SEARCH("SMARTPH",B829)),
ISNUMBER(SEARCH("IMPRESORA",B829)),
ISNUMBER(SEARCH("MULTIFUNCIONAL",B829)),
ISNUMBER(SEARCH("AIO",B829))
),
"GANCHO",
"NORMAL"
)
)</f>
        <v>NORMAL</v>
      </c>
    </row>
    <row r="828" spans="1:12" x14ac:dyDescent="0.25">
      <c r="A828" s="3" t="s">
        <v>6758</v>
      </c>
      <c r="B828" s="3" t="s">
        <v>6759</v>
      </c>
      <c r="C828" s="1">
        <v>0</v>
      </c>
      <c r="D828" s="1">
        <v>9999</v>
      </c>
      <c r="E828" s="1" t="s">
        <v>57</v>
      </c>
      <c r="F828" s="1" t="s">
        <v>6760</v>
      </c>
      <c r="G828" s="3"/>
      <c r="H828" s="11">
        <f>ROUND(
IF(L826="GANCHO",
   IF(I828&lt;=50,I828*1.1+4,IF(I828&lt;=120,I828*1.1+7,IF(I828&lt;=250,I828*1.1+11,I828*1.1+19))),
IF(L826="NORMAL",
   IF(I828&lt;=30,I828*1.15+2,IF(I828&lt;=80,I828*1.15+4,IF(I828&lt;=150,I828*1.15+6,I828*1.15+8))),
IF(L826="COMPLEMENTO",
   IF(I828&lt;=25,I828*1.25+1.5,IF(I828&lt;=60,I828*1.25+3,IF(I828&lt;=120,I828*1.25+4,I828*1.25+5))),
""))),2)</f>
        <v>47226.879999999997</v>
      </c>
      <c r="I828" s="9">
        <f>($K$2+0.02)*Tabla1[[#This Row],[PRECIO $]]*1.18</f>
        <v>41059.893599999996</v>
      </c>
      <c r="J828" s="7">
        <f>+Tabla1[[#This Row],[PRECIO EN SOLES]]-Tabla1[[#This Row],[PC]]</f>
        <v>6166.9864000000016</v>
      </c>
      <c r="K828" s="15"/>
      <c r="L828" s="15" t="str">
        <f>IF(
OR(
ISNUMBER(SEARCH("BACKPACK",B830)),
ISNUMBER(SEARCH("MOCHILA",B830)),
ISNUMBER(SEARCH("FUNDA",B830)),
ISNUMBER(SEARCH("ESTUCHE",B830)),
ISNUMBER(SEARCH("BOOK COVER",B830)),
ISNUMBER(SEARCH("KEYBOARD PARA TABLET",B830)),
ISNUMBER(SEARCH("FLIP TABLET",B830)),
ISNUMBER(SEARCH("CASE FOR TABLET",B830)),
ISNUMBER(SEARCH("CABLE",B830)),
ISNUMBER(SEARCH("ADAPTADOR",B830)),
ISNUMBER(SEARCH("HUB",B830)),
ISNUMBER(SEARCH("DOCK",B830)),
ISNUMBER(SEARCH("MOUSE PAD",B830)),
ISNUMBER(SEARCH("MOUSEPAD",B830)),
ISNUMBER(SEARCH("SOPORTE",B830)),
ISNUMBER(SEARCH("STAND",B830)),
ISNUMBER(SEARCH("TRAVEL ADAPTER",B830)),
ISNUMBER(SEARCH("RJ45",B830)),
ISNUMBER(SEARCH("USB-C",B830)),
ISNUMBER(SEARCH("USB WIFI",B830)),
ISNUMBER(SEARCH("POWERBANK",B830)),
ISNUMBER(SEARCH("CARGADOR",B830)),
ISNUMBER(SEARCH("COOLER PARA NB",B830)),
ISNUMBER(SEARCH("SOPORTE PARA NB",B830)),
ISNUMBER(SEARCH("WEBCAM",B830)),
ISNUMBER(SEARCH("WEB CAM",B830)),
ISNUMBER(SEARCH("MOUSE",B830)),
ISNUMBER(SEARCH("TECLADO",B830))
),
"COMPLEMENTO",
IF(
OR(
LEFT(A830,2)="NB",
LEFT(A830,2)="PC",
LEFT(A830,2)="WS",
LEFT(A830,2)="TB",
LEFT(A830,3)="CEL",
LEFT(A830,3)="MON",
LEFT(A830,3)="PRE",
LEFT(A830,3)="PRH",
ISNUMBER(SEARCH("NOTEBOOK",B830)),
ISNUMBER(SEARCH("LAPTOP",B830)),
ISNUMBER(SEARCH("MONITOR",B830)),
ISNUMBER(SEARCH("TABLET",B830)),
ISNUMBER(SEARCH("SMARTPH",B830)),
ISNUMBER(SEARCH("IMPRESORA",B830)),
ISNUMBER(SEARCH("MULTIFUNCIONAL",B830)),
ISNUMBER(SEARCH("AIO",B830))
),
"GANCHO",
"NORMAL"
)
)</f>
        <v>NORMAL</v>
      </c>
    </row>
    <row r="829" spans="1:12" x14ac:dyDescent="0.25">
      <c r="A829" s="3" t="s">
        <v>6015</v>
      </c>
      <c r="B829" s="3" t="s">
        <v>6016</v>
      </c>
      <c r="C829" s="1">
        <v>20</v>
      </c>
      <c r="D829" s="1">
        <v>666</v>
      </c>
      <c r="E829" s="1" t="s">
        <v>154</v>
      </c>
      <c r="F829" s="1" t="s">
        <v>6017</v>
      </c>
      <c r="G829" s="3"/>
      <c r="H829" s="11">
        <f>ROUND(
IF(L827="GANCHO",
   IF(I829&lt;=50,I829*1.1+4,IF(I829&lt;=120,I829*1.1+7,IF(I829&lt;=250,I829*1.1+11,I829*1.1+19))),
IF(L827="NORMAL",
   IF(I829&lt;=30,I829*1.15+2,IF(I829&lt;=80,I829*1.15+4,IF(I829&lt;=150,I829*1.15+6,I829*1.15+8))),
IF(L827="COMPLEMENTO",
   IF(I829&lt;=25,I829*1.25+1.5,IF(I829&lt;=60,I829*1.25+3,IF(I829&lt;=120,I829*1.25+4,I829*1.25+5))),
""))),2)</f>
        <v>3153.09</v>
      </c>
      <c r="I829" s="9">
        <f>($K$2+0.02)*Tabla1[[#This Row],[PRECIO $]]*1.18</f>
        <v>2734.8623999999995</v>
      </c>
      <c r="J829" s="7">
        <f>+Tabla1[[#This Row],[PRECIO EN SOLES]]-Tabla1[[#This Row],[PC]]</f>
        <v>418.22760000000062</v>
      </c>
      <c r="K829" s="15"/>
      <c r="L829" s="15" t="str">
        <f>IF(
OR(
ISNUMBER(SEARCH("BACKPACK",B831)),
ISNUMBER(SEARCH("MOCHILA",B831)),
ISNUMBER(SEARCH("FUNDA",B831)),
ISNUMBER(SEARCH("ESTUCHE",B831)),
ISNUMBER(SEARCH("BOOK COVER",B831)),
ISNUMBER(SEARCH("KEYBOARD PARA TABLET",B831)),
ISNUMBER(SEARCH("FLIP TABLET",B831)),
ISNUMBER(SEARCH("CASE FOR TABLET",B831)),
ISNUMBER(SEARCH("CABLE",B831)),
ISNUMBER(SEARCH("ADAPTADOR",B831)),
ISNUMBER(SEARCH("HUB",B831)),
ISNUMBER(SEARCH("DOCK",B831)),
ISNUMBER(SEARCH("MOUSE PAD",B831)),
ISNUMBER(SEARCH("MOUSEPAD",B831)),
ISNUMBER(SEARCH("SOPORTE",B831)),
ISNUMBER(SEARCH("STAND",B831)),
ISNUMBER(SEARCH("TRAVEL ADAPTER",B831)),
ISNUMBER(SEARCH("RJ45",B831)),
ISNUMBER(SEARCH("USB-C",B831)),
ISNUMBER(SEARCH("USB WIFI",B831)),
ISNUMBER(SEARCH("POWERBANK",B831)),
ISNUMBER(SEARCH("CARGADOR",B831)),
ISNUMBER(SEARCH("COOLER PARA NB",B831)),
ISNUMBER(SEARCH("SOPORTE PARA NB",B831)),
ISNUMBER(SEARCH("WEBCAM",B831)),
ISNUMBER(SEARCH("WEB CAM",B831)),
ISNUMBER(SEARCH("MOUSE",B831)),
ISNUMBER(SEARCH("TECLADO",B831))
),
"COMPLEMENTO",
IF(
OR(
LEFT(A831,2)="NB",
LEFT(A831,2)="PC",
LEFT(A831,2)="WS",
LEFT(A831,2)="TB",
LEFT(A831,3)="CEL",
LEFT(A831,3)="MON",
LEFT(A831,3)="PRE",
LEFT(A831,3)="PRH",
ISNUMBER(SEARCH("NOTEBOOK",B831)),
ISNUMBER(SEARCH("LAPTOP",B831)),
ISNUMBER(SEARCH("MONITOR",B831)),
ISNUMBER(SEARCH("TABLET",B831)),
ISNUMBER(SEARCH("SMARTPH",B831)),
ISNUMBER(SEARCH("IMPRESORA",B831)),
ISNUMBER(SEARCH("MULTIFUNCIONAL",B831)),
ISNUMBER(SEARCH("AIO",B831))
),
"GANCHO",
"NORMAL"
)
)</f>
        <v>NORMAL</v>
      </c>
    </row>
    <row r="830" spans="1:12" x14ac:dyDescent="0.25">
      <c r="A830" s="3" t="s">
        <v>1576</v>
      </c>
      <c r="B830" s="3" t="s">
        <v>1577</v>
      </c>
      <c r="C830" s="1">
        <v>0</v>
      </c>
      <c r="D830" s="1">
        <v>9999999.9900000002</v>
      </c>
      <c r="E830" s="1" t="s">
        <v>56</v>
      </c>
      <c r="F830" s="1" t="s">
        <v>3537</v>
      </c>
      <c r="G830" s="3"/>
      <c r="H830" s="11">
        <f>ROUND(
IF(L828="GANCHO",
   IF(I830&lt;=50,I830*1.1+4,IF(I830&lt;=120,I830*1.1+7,IF(I830&lt;=250,I830*1.1+11,I830*1.1+19))),
IF(L828="NORMAL",
   IF(I830&lt;=30,I830*1.15+2,IF(I830&lt;=80,I830*1.15+4,IF(I830&lt;=150,I830*1.15+6,I830*1.15+8))),
IF(L828="COMPLEMENTO",
   IF(I830&lt;=25,I830*1.25+1.5,IF(I830&lt;=60,I830*1.25+3,IF(I830&lt;=120,I830*1.25+4,I830*1.25+5))),
""))),2)</f>
        <v>47223607.950000003</v>
      </c>
      <c r="I830" s="9">
        <f>($K$2+0.02)*Tabla1[[#This Row],[PRECIO $]]*1.18</f>
        <v>41063999.958935998</v>
      </c>
      <c r="J830" s="7">
        <f>+Tabla1[[#This Row],[PRECIO EN SOLES]]-Tabla1[[#This Row],[PC]]</f>
        <v>6159607.9910640046</v>
      </c>
      <c r="K830" s="15"/>
      <c r="L830" s="15" t="str">
        <f>IF(
OR(
ISNUMBER(SEARCH("BACKPACK",B832)),
ISNUMBER(SEARCH("MOCHILA",B832)),
ISNUMBER(SEARCH("FUNDA",B832)),
ISNUMBER(SEARCH("ESTUCHE",B832)),
ISNUMBER(SEARCH("BOOK COVER",B832)),
ISNUMBER(SEARCH("KEYBOARD PARA TABLET",B832)),
ISNUMBER(SEARCH("FLIP TABLET",B832)),
ISNUMBER(SEARCH("CASE FOR TABLET",B832)),
ISNUMBER(SEARCH("CABLE",B832)),
ISNUMBER(SEARCH("ADAPTADOR",B832)),
ISNUMBER(SEARCH("HUB",B832)),
ISNUMBER(SEARCH("DOCK",B832)),
ISNUMBER(SEARCH("MOUSE PAD",B832)),
ISNUMBER(SEARCH("MOUSEPAD",B832)),
ISNUMBER(SEARCH("SOPORTE",B832)),
ISNUMBER(SEARCH("STAND",B832)),
ISNUMBER(SEARCH("TRAVEL ADAPTER",B832)),
ISNUMBER(SEARCH("RJ45",B832)),
ISNUMBER(SEARCH("USB-C",B832)),
ISNUMBER(SEARCH("USB WIFI",B832)),
ISNUMBER(SEARCH("POWERBANK",B832)),
ISNUMBER(SEARCH("CARGADOR",B832)),
ISNUMBER(SEARCH("COOLER PARA NB",B832)),
ISNUMBER(SEARCH("SOPORTE PARA NB",B832)),
ISNUMBER(SEARCH("WEBCAM",B832)),
ISNUMBER(SEARCH("WEB CAM",B832)),
ISNUMBER(SEARCH("MOUSE",B832)),
ISNUMBER(SEARCH("TECLADO",B832))
),
"COMPLEMENTO",
IF(
OR(
LEFT(A832,2)="NB",
LEFT(A832,2)="PC",
LEFT(A832,2)="WS",
LEFT(A832,2)="TB",
LEFT(A832,3)="CEL",
LEFT(A832,3)="MON",
LEFT(A832,3)="PRE",
LEFT(A832,3)="PRH",
ISNUMBER(SEARCH("NOTEBOOK",B832)),
ISNUMBER(SEARCH("LAPTOP",B832)),
ISNUMBER(SEARCH("MONITOR",B832)),
ISNUMBER(SEARCH("TABLET",B832)),
ISNUMBER(SEARCH("SMARTPH",B832)),
ISNUMBER(SEARCH("IMPRESORA",B832)),
ISNUMBER(SEARCH("MULTIFUNCIONAL",B832)),
ISNUMBER(SEARCH("AIO",B832))
),
"GANCHO",
"NORMAL"
)
)</f>
        <v>NORMAL</v>
      </c>
    </row>
    <row r="831" spans="1:12" x14ac:dyDescent="0.25">
      <c r="A831" s="3" t="s">
        <v>1578</v>
      </c>
      <c r="B831" s="3" t="s">
        <v>1579</v>
      </c>
      <c r="C831" s="1">
        <v>0</v>
      </c>
      <c r="D831" s="1">
        <v>9999999.9900000002</v>
      </c>
      <c r="E831" s="1" t="s">
        <v>56</v>
      </c>
      <c r="F831" s="1" t="s">
        <v>3538</v>
      </c>
      <c r="G831" s="3"/>
      <c r="H831" s="11">
        <f>ROUND(
IF(L829="GANCHO",
   IF(I831&lt;=50,I831*1.1+4,IF(I831&lt;=120,I831*1.1+7,IF(I831&lt;=250,I831*1.1+11,I831*1.1+19))),
IF(L829="NORMAL",
   IF(I831&lt;=30,I831*1.15+2,IF(I831&lt;=80,I831*1.15+4,IF(I831&lt;=150,I831*1.15+6,I831*1.15+8))),
IF(L829="COMPLEMENTO",
   IF(I831&lt;=25,I831*1.25+1.5,IF(I831&lt;=60,I831*1.25+3,IF(I831&lt;=120,I831*1.25+4,I831*1.25+5))),
""))),2)</f>
        <v>47223607.950000003</v>
      </c>
      <c r="I831" s="9">
        <f>($K$2+0.02)*Tabla1[[#This Row],[PRECIO $]]*1.18</f>
        <v>41063999.958935998</v>
      </c>
      <c r="J831" s="7">
        <f>+Tabla1[[#This Row],[PRECIO EN SOLES]]-Tabla1[[#This Row],[PC]]</f>
        <v>6159607.9910640046</v>
      </c>
      <c r="K831" s="15"/>
      <c r="L831" s="15" t="str">
        <f>IF(
OR(
ISNUMBER(SEARCH("BACKPACK",B833)),
ISNUMBER(SEARCH("MOCHILA",B833)),
ISNUMBER(SEARCH("FUNDA",B833)),
ISNUMBER(SEARCH("ESTUCHE",B833)),
ISNUMBER(SEARCH("BOOK COVER",B833)),
ISNUMBER(SEARCH("KEYBOARD PARA TABLET",B833)),
ISNUMBER(SEARCH("FLIP TABLET",B833)),
ISNUMBER(SEARCH("CASE FOR TABLET",B833)),
ISNUMBER(SEARCH("CABLE",B833)),
ISNUMBER(SEARCH("ADAPTADOR",B833)),
ISNUMBER(SEARCH("HUB",B833)),
ISNUMBER(SEARCH("DOCK",B833)),
ISNUMBER(SEARCH("MOUSE PAD",B833)),
ISNUMBER(SEARCH("MOUSEPAD",B833)),
ISNUMBER(SEARCH("SOPORTE",B833)),
ISNUMBER(SEARCH("STAND",B833)),
ISNUMBER(SEARCH("TRAVEL ADAPTER",B833)),
ISNUMBER(SEARCH("RJ45",B833)),
ISNUMBER(SEARCH("USB-C",B833)),
ISNUMBER(SEARCH("USB WIFI",B833)),
ISNUMBER(SEARCH("POWERBANK",B833)),
ISNUMBER(SEARCH("CARGADOR",B833)),
ISNUMBER(SEARCH("COOLER PARA NB",B833)),
ISNUMBER(SEARCH("SOPORTE PARA NB",B833)),
ISNUMBER(SEARCH("WEBCAM",B833)),
ISNUMBER(SEARCH("WEB CAM",B833)),
ISNUMBER(SEARCH("MOUSE",B833)),
ISNUMBER(SEARCH("TECLADO",B833))
),
"COMPLEMENTO",
IF(
OR(
LEFT(A833,2)="NB",
LEFT(A833,2)="PC",
LEFT(A833,2)="WS",
LEFT(A833,2)="TB",
LEFT(A833,3)="CEL",
LEFT(A833,3)="MON",
LEFT(A833,3)="PRE",
LEFT(A833,3)="PRH",
ISNUMBER(SEARCH("NOTEBOOK",B833)),
ISNUMBER(SEARCH("LAPTOP",B833)),
ISNUMBER(SEARCH("MONITOR",B833)),
ISNUMBER(SEARCH("TABLET",B833)),
ISNUMBER(SEARCH("SMARTPH",B833)),
ISNUMBER(SEARCH("IMPRESORA",B833)),
ISNUMBER(SEARCH("MULTIFUNCIONAL",B833)),
ISNUMBER(SEARCH("AIO",B833))
),
"GANCHO",
"NORMAL"
)
)</f>
        <v>NORMAL</v>
      </c>
    </row>
    <row r="832" spans="1:12" x14ac:dyDescent="0.25">
      <c r="A832" s="3" t="s">
        <v>1580</v>
      </c>
      <c r="B832" s="3" t="s">
        <v>1581</v>
      </c>
      <c r="C832" s="1">
        <v>1</v>
      </c>
      <c r="D832" s="1">
        <v>100</v>
      </c>
      <c r="E832" s="1" t="s">
        <v>95</v>
      </c>
      <c r="F832" s="1" t="s">
        <v>3539</v>
      </c>
      <c r="G832" s="3"/>
      <c r="H832" s="11">
        <f>ROUND(
IF(L830="GANCHO",
   IF(I832&lt;=50,I832*1.1+4,IF(I832&lt;=120,I832*1.1+7,IF(I832&lt;=250,I832*1.1+11,I832*1.1+19))),
IF(L830="NORMAL",
   IF(I832&lt;=30,I832*1.15+2,IF(I832&lt;=80,I832*1.15+4,IF(I832&lt;=150,I832*1.15+6,I832*1.15+8))),
IF(L830="COMPLEMENTO",
   IF(I832&lt;=25,I832*1.25+1.5,IF(I832&lt;=60,I832*1.25+3,IF(I832&lt;=120,I832*1.25+4,I832*1.25+5))),
""))),2)</f>
        <v>480.24</v>
      </c>
      <c r="I832" s="9">
        <f>($K$2+0.02)*Tabla1[[#This Row],[PRECIO $]]*1.18</f>
        <v>410.64</v>
      </c>
      <c r="J832" s="7">
        <f>+Tabla1[[#This Row],[PRECIO EN SOLES]]-Tabla1[[#This Row],[PC]]</f>
        <v>69.600000000000023</v>
      </c>
      <c r="K832" s="15"/>
      <c r="L832" s="15" t="str">
        <f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NORMAL</v>
      </c>
    </row>
    <row r="833" spans="1:12" x14ac:dyDescent="0.25">
      <c r="A833" s="3" t="s">
        <v>6499</v>
      </c>
      <c r="B833" s="3" t="s">
        <v>6500</v>
      </c>
      <c r="C833" s="1">
        <v>20</v>
      </c>
      <c r="D833" s="1">
        <v>50</v>
      </c>
      <c r="E833" s="1" t="s">
        <v>57</v>
      </c>
      <c r="F833" s="1" t="s">
        <v>6501</v>
      </c>
      <c r="G833" s="3"/>
      <c r="H833" s="11">
        <f>ROUND(
IF(L831="GANCHO",
   IF(I833&lt;=50,I833*1.1+4,IF(I833&lt;=120,I833*1.1+7,IF(I833&lt;=250,I833*1.1+11,I833*1.1+19))),
IF(L831="NORMAL",
   IF(I833&lt;=30,I833*1.15+2,IF(I833&lt;=80,I833*1.15+4,IF(I833&lt;=150,I833*1.15+6,I833*1.15+8))),
IF(L831="COMPLEMENTO",
   IF(I833&lt;=25,I833*1.25+1.5,IF(I833&lt;=60,I833*1.25+3,IF(I833&lt;=120,I833*1.25+4,I833*1.25+5))),
""))),2)</f>
        <v>244.12</v>
      </c>
      <c r="I833" s="9">
        <f>($K$2+0.02)*Tabla1[[#This Row],[PRECIO $]]*1.18</f>
        <v>205.32</v>
      </c>
      <c r="J833" s="7">
        <f>+Tabla1[[#This Row],[PRECIO EN SOLES]]-Tabla1[[#This Row],[PC]]</f>
        <v>38.800000000000011</v>
      </c>
      <c r="K833" s="15"/>
      <c r="L833" s="15" t="str">
        <f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4" spans="1:12" x14ac:dyDescent="0.25">
      <c r="A834" s="3" t="s">
        <v>1582</v>
      </c>
      <c r="B834" s="3" t="s">
        <v>1583</v>
      </c>
      <c r="C834" s="1">
        <v>20</v>
      </c>
      <c r="D834" s="1">
        <v>600</v>
      </c>
      <c r="E834" s="1" t="s">
        <v>55</v>
      </c>
      <c r="F834" s="1" t="s">
        <v>3540</v>
      </c>
      <c r="G834" s="3"/>
      <c r="H834" s="11">
        <f>ROUND(
IF(L832="GANCHO",
   IF(I834&lt;=50,I834*1.1+4,IF(I834&lt;=120,I834*1.1+7,IF(I834&lt;=250,I834*1.1+11,I834*1.1+19))),
IF(L832="NORMAL",
   IF(I834&lt;=30,I834*1.15+2,IF(I834&lt;=80,I834*1.15+4,IF(I834&lt;=150,I834*1.15+6,I834*1.15+8))),
IF(L832="COMPLEMENTO",
   IF(I834&lt;=25,I834*1.25+1.5,IF(I834&lt;=60,I834*1.25+3,IF(I834&lt;=120,I834*1.25+4,I834*1.25+5))),
""))),2)</f>
        <v>2841.42</v>
      </c>
      <c r="I834" s="9">
        <f>($K$2+0.02)*Tabla1[[#This Row],[PRECIO $]]*1.18</f>
        <v>2463.8399999999997</v>
      </c>
      <c r="J834" s="7">
        <f>+Tabla1[[#This Row],[PRECIO EN SOLES]]-Tabla1[[#This Row],[PC]]</f>
        <v>377.58000000000038</v>
      </c>
      <c r="K834" s="15"/>
      <c r="L834" s="15" t="str">
        <f>IF(
OR(
ISNUMBER(SEARCH("BACKPACK",B836)),
ISNUMBER(SEARCH("MOCHILA",B836)),
ISNUMBER(SEARCH("FUNDA",B836)),
ISNUMBER(SEARCH("ESTUCHE",B836)),
ISNUMBER(SEARCH("BOOK COVER",B836)),
ISNUMBER(SEARCH("KEYBOARD PARA TABLET",B836)),
ISNUMBER(SEARCH("FLIP TABLET",B836)),
ISNUMBER(SEARCH("CASE FOR TABLET",B836)),
ISNUMBER(SEARCH("CABLE",B836)),
ISNUMBER(SEARCH("ADAPTADOR",B836)),
ISNUMBER(SEARCH("HUB",B836)),
ISNUMBER(SEARCH("DOCK",B836)),
ISNUMBER(SEARCH("MOUSE PAD",B836)),
ISNUMBER(SEARCH("MOUSEPAD",B836)),
ISNUMBER(SEARCH("SOPORTE",B836)),
ISNUMBER(SEARCH("STAND",B836)),
ISNUMBER(SEARCH("TRAVEL ADAPTER",B836)),
ISNUMBER(SEARCH("RJ45",B836)),
ISNUMBER(SEARCH("USB-C",B836)),
ISNUMBER(SEARCH("USB WIFI",B836)),
ISNUMBER(SEARCH("POWERBANK",B836)),
ISNUMBER(SEARCH("CARGADOR",B836)),
ISNUMBER(SEARCH("COOLER PARA NB",B836)),
ISNUMBER(SEARCH("SOPORTE PARA NB",B836)),
ISNUMBER(SEARCH("WEBCAM",B836)),
ISNUMBER(SEARCH("WEB CAM",B836)),
ISNUMBER(SEARCH("MOUSE",B836)),
ISNUMBER(SEARCH("TECLADO",B836))
),
"COMPLEMENTO",
IF(
OR(
LEFT(A836,2)="NB",
LEFT(A836,2)="PC",
LEFT(A836,2)="WS",
LEFT(A836,2)="TB",
LEFT(A836,3)="CEL",
LEFT(A836,3)="MON",
LEFT(A836,3)="PRE",
LEFT(A836,3)="PRH",
ISNUMBER(SEARCH("NOTEBOOK",B836)),
ISNUMBER(SEARCH("LAPTOP",B836)),
ISNUMBER(SEARCH("MONITOR",B836)),
ISNUMBER(SEARCH("TABLET",B836)),
ISNUMBER(SEARCH("SMARTPH",B836)),
ISNUMBER(SEARCH("IMPRESORA",B836)),
ISNUMBER(SEARCH("MULTIFUNCIONAL",B836)),
ISNUMBER(SEARCH("AIO",B836))
),
"GANCHO",
"NORMAL"
)
)</f>
        <v>COMPLEMENTO</v>
      </c>
    </row>
    <row r="835" spans="1:12" x14ac:dyDescent="0.25">
      <c r="A835" s="3" t="s">
        <v>1584</v>
      </c>
      <c r="B835" s="3" t="s">
        <v>1585</v>
      </c>
      <c r="C835" s="1">
        <v>10</v>
      </c>
      <c r="D835" s="1">
        <v>11</v>
      </c>
      <c r="E835" s="1" t="s">
        <v>55</v>
      </c>
      <c r="F835" s="1" t="s">
        <v>3541</v>
      </c>
      <c r="G835" s="3"/>
      <c r="H835" s="11">
        <f>ROUND(
IF(L833="GANCHO",
   IF(I835&lt;=50,I835*1.1+4,IF(I835&lt;=120,I835*1.1+7,IF(I835&lt;=250,I835*1.1+11,I835*1.1+19))),
IF(L833="NORMAL",
   IF(I835&lt;=30,I835*1.15+2,IF(I835&lt;=80,I835*1.15+4,IF(I835&lt;=150,I835*1.15+6,I835*1.15+8))),
IF(L833="COMPLEMENTO",
   IF(I835&lt;=25,I835*1.25+1.5,IF(I835&lt;=60,I835*1.25+3,IF(I835&lt;=120,I835*1.25+4,I835*1.25+5))),
""))),2)</f>
        <v>55.95</v>
      </c>
      <c r="I835" s="9">
        <f>($K$2+0.02)*Tabla1[[#This Row],[PRECIO $]]*1.18</f>
        <v>45.170400000000001</v>
      </c>
      <c r="J835" s="7">
        <f>+Tabla1[[#This Row],[PRECIO EN SOLES]]-Tabla1[[#This Row],[PC]]</f>
        <v>10.779600000000002</v>
      </c>
      <c r="K835" s="15"/>
      <c r="L835" s="15" t="str">
        <f>IF(
OR(
ISNUMBER(SEARCH("BACKPACK",B837)),
ISNUMBER(SEARCH("MOCHILA",B837)),
ISNUMBER(SEARCH("FUNDA",B837)),
ISNUMBER(SEARCH("ESTUCHE",B837)),
ISNUMBER(SEARCH("BOOK COVER",B837)),
ISNUMBER(SEARCH("KEYBOARD PARA TABLET",B837)),
ISNUMBER(SEARCH("FLIP TABLET",B837)),
ISNUMBER(SEARCH("CASE FOR TABLET",B837)),
ISNUMBER(SEARCH("CABLE",B837)),
ISNUMBER(SEARCH("ADAPTADOR",B837)),
ISNUMBER(SEARCH("HUB",B837)),
ISNUMBER(SEARCH("DOCK",B837)),
ISNUMBER(SEARCH("MOUSE PAD",B837)),
ISNUMBER(SEARCH("MOUSEPAD",B837)),
ISNUMBER(SEARCH("SOPORTE",B837)),
ISNUMBER(SEARCH("STAND",B837)),
ISNUMBER(SEARCH("TRAVEL ADAPTER",B837)),
ISNUMBER(SEARCH("RJ45",B837)),
ISNUMBER(SEARCH("USB-C",B837)),
ISNUMBER(SEARCH("USB WIFI",B837)),
ISNUMBER(SEARCH("POWERBANK",B837)),
ISNUMBER(SEARCH("CARGADOR",B837)),
ISNUMBER(SEARCH("COOLER PARA NB",B837)),
ISNUMBER(SEARCH("SOPORTE PARA NB",B837)),
ISNUMBER(SEARCH("WEBCAM",B837)),
ISNUMBER(SEARCH("WEB CAM",B837)),
ISNUMBER(SEARCH("MOUSE",B837)),
ISNUMBER(SEARCH("TECLADO",B837))
),
"COMPLEMENTO",
IF(
OR(
LEFT(A837,2)="NB",
LEFT(A837,2)="PC",
LEFT(A837,2)="WS",
LEFT(A837,2)="TB",
LEFT(A837,3)="CEL",
LEFT(A837,3)="MON",
LEFT(A837,3)="PRE",
LEFT(A837,3)="PRH",
ISNUMBER(SEARCH("NOTEBOOK",B837)),
ISNUMBER(SEARCH("LAPTOP",B837)),
ISNUMBER(SEARCH("MONITOR",B837)),
ISNUMBER(SEARCH("TABLET",B837)),
ISNUMBER(SEARCH("SMARTPH",B837)),
ISNUMBER(SEARCH("IMPRESORA",B837)),
ISNUMBER(SEARCH("MULTIFUNCIONAL",B837)),
ISNUMBER(SEARCH("AIO",B837))
),
"GANCHO",
"NORMAL"
)
)</f>
        <v>COMPLEMENTO</v>
      </c>
    </row>
    <row r="836" spans="1:12" x14ac:dyDescent="0.25">
      <c r="A836" s="3" t="s">
        <v>1586</v>
      </c>
      <c r="B836" s="3" t="s">
        <v>1587</v>
      </c>
      <c r="C836" s="1">
        <v>0</v>
      </c>
      <c r="D836" s="1">
        <v>2</v>
      </c>
      <c r="E836" s="1" t="s">
        <v>55</v>
      </c>
      <c r="F836" s="1" t="s">
        <v>3542</v>
      </c>
      <c r="G836" s="3"/>
      <c r="H836" s="11">
        <f>ROUND(
IF(L834="GANCHO",
   IF(I836&lt;=50,I836*1.1+4,IF(I836&lt;=120,I836*1.1+7,IF(I836&lt;=250,I836*1.1+11,I836*1.1+19))),
IF(L834="NORMAL",
   IF(I836&lt;=30,I836*1.15+2,IF(I836&lt;=80,I836*1.15+4,IF(I836&lt;=150,I836*1.15+6,I836*1.15+8))),
IF(L834="COMPLEMENTO",
   IF(I836&lt;=25,I836*1.25+1.5,IF(I836&lt;=60,I836*1.25+3,IF(I836&lt;=120,I836*1.25+4,I836*1.25+5))),
""))),2)</f>
        <v>11.77</v>
      </c>
      <c r="I836" s="9">
        <f>($K$2+0.02)*Tabla1[[#This Row],[PRECIO $]]*1.18</f>
        <v>8.2127999999999997</v>
      </c>
      <c r="J836" s="7">
        <f>+Tabla1[[#This Row],[PRECIO EN SOLES]]-Tabla1[[#This Row],[PC]]</f>
        <v>3.5571999999999999</v>
      </c>
      <c r="K836" s="15"/>
      <c r="L836" s="15" t="str">
        <f>IF(
OR(
ISNUMBER(SEARCH("BACKPACK",B838)),
ISNUMBER(SEARCH("MOCHILA",B838)),
ISNUMBER(SEARCH("FUNDA",B838)),
ISNUMBER(SEARCH("ESTUCHE",B838)),
ISNUMBER(SEARCH("BOOK COVER",B838)),
ISNUMBER(SEARCH("KEYBOARD PARA TABLET",B838)),
ISNUMBER(SEARCH("FLIP TABLET",B838)),
ISNUMBER(SEARCH("CASE FOR TABLET",B838)),
ISNUMBER(SEARCH("CABLE",B838)),
ISNUMBER(SEARCH("ADAPTADOR",B838)),
ISNUMBER(SEARCH("HUB",B838)),
ISNUMBER(SEARCH("DOCK",B838)),
ISNUMBER(SEARCH("MOUSE PAD",B838)),
ISNUMBER(SEARCH("MOUSEPAD",B838)),
ISNUMBER(SEARCH("SOPORTE",B838)),
ISNUMBER(SEARCH("STAND",B838)),
ISNUMBER(SEARCH("TRAVEL ADAPTER",B838)),
ISNUMBER(SEARCH("RJ45",B838)),
ISNUMBER(SEARCH("USB-C",B838)),
ISNUMBER(SEARCH("USB WIFI",B838)),
ISNUMBER(SEARCH("POWERBANK",B838)),
ISNUMBER(SEARCH("CARGADOR",B838)),
ISNUMBER(SEARCH("COOLER PARA NB",B838)),
ISNUMBER(SEARCH("SOPORTE PARA NB",B838)),
ISNUMBER(SEARCH("WEBCAM",B838)),
ISNUMBER(SEARCH("WEB CAM",B838)),
ISNUMBER(SEARCH("MOUSE",B838)),
ISNUMBER(SEARCH("TECLADO",B838))
),
"COMPLEMENTO",
IF(
OR(
LEFT(A838,2)="NB",
LEFT(A838,2)="PC",
LEFT(A838,2)="WS",
LEFT(A838,2)="TB",
LEFT(A838,3)="CEL",
LEFT(A838,3)="MON",
LEFT(A838,3)="PRE",
LEFT(A838,3)="PRH",
ISNUMBER(SEARCH("NOTEBOOK",B838)),
ISNUMBER(SEARCH("LAPTOP",B838)),
ISNUMBER(SEARCH("MONITOR",B838)),
ISNUMBER(SEARCH("TABLET",B838)),
ISNUMBER(SEARCH("SMARTPH",B838)),
ISNUMBER(SEARCH("IMPRESORA",B838)),
ISNUMBER(SEARCH("MULTIFUNCIONAL",B838)),
ISNUMBER(SEARCH("AIO",B838))
),
"GANCHO",
"NORMAL"
)
)</f>
        <v>NORMAL</v>
      </c>
    </row>
    <row r="837" spans="1:12" x14ac:dyDescent="0.25">
      <c r="A837" s="3" t="s">
        <v>1588</v>
      </c>
      <c r="B837" s="3" t="s">
        <v>1589</v>
      </c>
      <c r="C837" s="1">
        <v>20</v>
      </c>
      <c r="D837" s="1">
        <v>2</v>
      </c>
      <c r="E837" s="1" t="s">
        <v>55</v>
      </c>
      <c r="F837" s="1" t="s">
        <v>3543</v>
      </c>
      <c r="G837" s="3"/>
      <c r="H837" s="11">
        <f>ROUND(
IF(L835="GANCHO",
   IF(I837&lt;=50,I837*1.1+4,IF(I837&lt;=120,I837*1.1+7,IF(I837&lt;=250,I837*1.1+11,I837*1.1+19))),
IF(L835="NORMAL",
   IF(I837&lt;=30,I837*1.15+2,IF(I837&lt;=80,I837*1.15+4,IF(I837&lt;=150,I837*1.15+6,I837*1.15+8))),
IF(L835="COMPLEMENTO",
   IF(I837&lt;=25,I837*1.25+1.5,IF(I837&lt;=60,I837*1.25+3,IF(I837&lt;=120,I837*1.25+4,I837*1.25+5))),
""))),2)</f>
        <v>11.77</v>
      </c>
      <c r="I837" s="9">
        <f>($K$2+0.02)*Tabla1[[#This Row],[PRECIO $]]*1.18</f>
        <v>8.2127999999999997</v>
      </c>
      <c r="J837" s="7">
        <f>+Tabla1[[#This Row],[PRECIO EN SOLES]]-Tabla1[[#This Row],[PC]]</f>
        <v>3.5571999999999999</v>
      </c>
      <c r="K837" s="15"/>
      <c r="L837" s="15" t="str">
        <f>IF(
OR(
ISNUMBER(SEARCH("BACKPACK",B839)),
ISNUMBER(SEARCH("MOCHILA",B839)),
ISNUMBER(SEARCH("FUNDA",B839)),
ISNUMBER(SEARCH("ESTUCHE",B839)),
ISNUMBER(SEARCH("BOOK COVER",B839)),
ISNUMBER(SEARCH("KEYBOARD PARA TABLET",B839)),
ISNUMBER(SEARCH("FLIP TABLET",B839)),
ISNUMBER(SEARCH("CASE FOR TABLET",B839)),
ISNUMBER(SEARCH("CABLE",B839)),
ISNUMBER(SEARCH("ADAPTADOR",B839)),
ISNUMBER(SEARCH("HUB",B839)),
ISNUMBER(SEARCH("DOCK",B839)),
ISNUMBER(SEARCH("MOUSE PAD",B839)),
ISNUMBER(SEARCH("MOUSEPAD",B839)),
ISNUMBER(SEARCH("SOPORTE",B839)),
ISNUMBER(SEARCH("STAND",B839)),
ISNUMBER(SEARCH("TRAVEL ADAPTER",B839)),
ISNUMBER(SEARCH("RJ45",B839)),
ISNUMBER(SEARCH("USB-C",B839)),
ISNUMBER(SEARCH("USB WIFI",B839)),
ISNUMBER(SEARCH("POWERBANK",B839)),
ISNUMBER(SEARCH("CARGADOR",B839)),
ISNUMBER(SEARCH("COOLER PARA NB",B839)),
ISNUMBER(SEARCH("SOPORTE PARA NB",B839)),
ISNUMBER(SEARCH("WEBCAM",B839)),
ISNUMBER(SEARCH("WEB CAM",B839)),
ISNUMBER(SEARCH("MOUSE",B839)),
ISNUMBER(SEARCH("TECLADO",B839))
),
"COMPLEMENTO",
IF(
OR(
LEFT(A839,2)="NB",
LEFT(A839,2)="PC",
LEFT(A839,2)="WS",
LEFT(A839,2)="TB",
LEFT(A839,3)="CEL",
LEFT(A839,3)="MON",
LEFT(A839,3)="PRE",
LEFT(A839,3)="PRH",
ISNUMBER(SEARCH("NOTEBOOK",B839)),
ISNUMBER(SEARCH("LAPTOP",B839)),
ISNUMBER(SEARCH("MONITOR",B839)),
ISNUMBER(SEARCH("TABLET",B839)),
ISNUMBER(SEARCH("SMARTPH",B839)),
ISNUMBER(SEARCH("IMPRESORA",B839)),
ISNUMBER(SEARCH("MULTIFUNCIONAL",B839)),
ISNUMBER(SEARCH("AIO",B839))
),
"GANCHO",
"NORMAL"
)
)</f>
        <v>NORMAL</v>
      </c>
    </row>
    <row r="838" spans="1:12" x14ac:dyDescent="0.25">
      <c r="A838" s="3" t="s">
        <v>6313</v>
      </c>
      <c r="B838" s="3" t="s">
        <v>6314</v>
      </c>
      <c r="C838" s="1">
        <v>0</v>
      </c>
      <c r="D838" s="1">
        <v>99</v>
      </c>
      <c r="E838" s="1" t="s">
        <v>6315</v>
      </c>
      <c r="F838" s="1" t="s">
        <v>6316</v>
      </c>
      <c r="G838" s="3"/>
      <c r="H838" s="11">
        <f>ROUND(
IF(L836="GANCHO",
   IF(I838&lt;=50,I838*1.1+4,IF(I838&lt;=120,I838*1.1+7,IF(I838&lt;=250,I838*1.1+11,I838*1.1+19))),
IF(L836="NORMAL",
   IF(I838&lt;=30,I838*1.15+2,IF(I838&lt;=80,I838*1.15+4,IF(I838&lt;=150,I838*1.15+6,I838*1.15+8))),
IF(L836="COMPLEMENTO",
   IF(I838&lt;=25,I838*1.25+1.5,IF(I838&lt;=60,I838*1.25+3,IF(I838&lt;=120,I838*1.25+4,I838*1.25+5))),
""))),2)</f>
        <v>475.51</v>
      </c>
      <c r="I838" s="9">
        <f>($K$2+0.02)*Tabla1[[#This Row],[PRECIO $]]*1.18</f>
        <v>406.53359999999998</v>
      </c>
      <c r="J838" s="7">
        <f>+Tabla1[[#This Row],[PRECIO EN SOLES]]-Tabla1[[#This Row],[PC]]</f>
        <v>68.976400000000012</v>
      </c>
      <c r="K838" s="15"/>
      <c r="L838" s="15" t="str">
        <f>IF(
OR(
ISNUMBER(SEARCH("BACKPACK",B840)),
ISNUMBER(SEARCH("MOCHILA",B840)),
ISNUMBER(SEARCH("FUNDA",B840)),
ISNUMBER(SEARCH("ESTUCHE",B840)),
ISNUMBER(SEARCH("BOOK COVER",B840)),
ISNUMBER(SEARCH("KEYBOARD PARA TABLET",B840)),
ISNUMBER(SEARCH("FLIP TABLET",B840)),
ISNUMBER(SEARCH("CASE FOR TABLET",B840)),
ISNUMBER(SEARCH("CABLE",B840)),
ISNUMBER(SEARCH("ADAPTADOR",B840)),
ISNUMBER(SEARCH("HUB",B840)),
ISNUMBER(SEARCH("DOCK",B840)),
ISNUMBER(SEARCH("MOUSE PAD",B840)),
ISNUMBER(SEARCH("MOUSEPAD",B840)),
ISNUMBER(SEARCH("SOPORTE",B840)),
ISNUMBER(SEARCH("STAND",B840)),
ISNUMBER(SEARCH("TRAVEL ADAPTER",B840)),
ISNUMBER(SEARCH("RJ45",B840)),
ISNUMBER(SEARCH("USB-C",B840)),
ISNUMBER(SEARCH("USB WIFI",B840)),
ISNUMBER(SEARCH("POWERBANK",B840)),
ISNUMBER(SEARCH("CARGADOR",B840)),
ISNUMBER(SEARCH("COOLER PARA NB",B840)),
ISNUMBER(SEARCH("SOPORTE PARA NB",B840)),
ISNUMBER(SEARCH("WEBCAM",B840)),
ISNUMBER(SEARCH("WEB CAM",B840)),
ISNUMBER(SEARCH("MOUSE",B840)),
ISNUMBER(SEARCH("TECLADO",B840))
),
"COMPLEMENTO",
IF(
OR(
LEFT(A840,2)="NB",
LEFT(A840,2)="PC",
LEFT(A840,2)="WS",
LEFT(A840,2)="TB",
LEFT(A840,3)="CEL",
LEFT(A840,3)="MON",
LEFT(A840,3)="PRE",
LEFT(A840,3)="PRH",
ISNUMBER(SEARCH("NOTEBOOK",B840)),
ISNUMBER(SEARCH("LAPTOP",B840)),
ISNUMBER(SEARCH("MONITOR",B840)),
ISNUMBER(SEARCH("TABLET",B840)),
ISNUMBER(SEARCH("SMARTPH",B840)),
ISNUMBER(SEARCH("IMPRESORA",B840)),
ISNUMBER(SEARCH("MULTIFUNCIONAL",B840)),
ISNUMBER(SEARCH("AIO",B840))
),
"GANCHO",
"NORMAL"
)
)</f>
        <v>NORMAL</v>
      </c>
    </row>
    <row r="839" spans="1:12" x14ac:dyDescent="0.25">
      <c r="A839" s="3" t="s">
        <v>1590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3544</v>
      </c>
      <c r="G839" s="3"/>
      <c r="H839" s="11">
        <f>ROUND(
IF(L837="GANCHO",
   IF(I839&lt;=50,I839*1.1+4,IF(I839&lt;=120,I839*1.1+7,IF(I839&lt;=250,I839*1.1+11,I839*1.1+19))),
IF(L837="NORMAL",
   IF(I839&lt;=30,I839*1.15+2,IF(I839&lt;=80,I839*1.15+4,IF(I839&lt;=150,I839*1.15+6,I839*1.15+8))),
IF(L837="COMPLEMENTO",
   IF(I839&lt;=25,I839*1.25+1.5,IF(I839&lt;=60,I839*1.25+3,IF(I839&lt;=120,I839*1.25+4,I839*1.25+5))),
""))),2)</f>
        <v>4.13</v>
      </c>
      <c r="I839" s="9">
        <f>($K$2+0.02)*Tabla1[[#This Row],[PRECIO $]]*1.18</f>
        <v>1.84788</v>
      </c>
      <c r="J839" s="7">
        <f>+Tabla1[[#This Row],[PRECIO EN SOLES]]-Tabla1[[#This Row],[PC]]</f>
        <v>2.2821199999999999</v>
      </c>
      <c r="K839" s="15"/>
      <c r="L839" s="15" t="str">
        <f>IF(
OR(
ISNUMBER(SEARCH("BACKPACK",B841)),
ISNUMBER(SEARCH("MOCHILA",B841)),
ISNUMBER(SEARCH("FUNDA",B841)),
ISNUMBER(SEARCH("ESTUCHE",B841)),
ISNUMBER(SEARCH("BOOK COVER",B841)),
ISNUMBER(SEARCH("KEYBOARD PARA TABLET",B841)),
ISNUMBER(SEARCH("FLIP TABLET",B841)),
ISNUMBER(SEARCH("CASE FOR TABLET",B841)),
ISNUMBER(SEARCH("CABLE",B841)),
ISNUMBER(SEARCH("ADAPTADOR",B841)),
ISNUMBER(SEARCH("HUB",B841)),
ISNUMBER(SEARCH("DOCK",B841)),
ISNUMBER(SEARCH("MOUSE PAD",B841)),
ISNUMBER(SEARCH("MOUSEPAD",B841)),
ISNUMBER(SEARCH("SOPORTE",B841)),
ISNUMBER(SEARCH("STAND",B841)),
ISNUMBER(SEARCH("TRAVEL ADAPTER",B841)),
ISNUMBER(SEARCH("RJ45",B841)),
ISNUMBER(SEARCH("USB-C",B841)),
ISNUMBER(SEARCH("USB WIFI",B841)),
ISNUMBER(SEARCH("POWERBANK",B841)),
ISNUMBER(SEARCH("CARGADOR",B841)),
ISNUMBER(SEARCH("COOLER PARA NB",B841)),
ISNUMBER(SEARCH("SOPORTE PARA NB",B841)),
ISNUMBER(SEARCH("WEBCAM",B841)),
ISNUMBER(SEARCH("WEB CAM",B841)),
ISNUMBER(SEARCH("MOUSE",B841)),
ISNUMBER(SEARCH("TECLADO",B841))
),
"COMPLEMENTO",
IF(
OR(
LEFT(A841,2)="NB",
LEFT(A841,2)="PC",
LEFT(A841,2)="WS",
LEFT(A841,2)="TB",
LEFT(A841,3)="CEL",
LEFT(A841,3)="MON",
LEFT(A841,3)="PRE",
LEFT(A841,3)="PRH",
ISNUMBER(SEARCH("NOTEBOOK",B841)),
ISNUMBER(SEARCH("LAPTOP",B841)),
ISNUMBER(SEARCH("MONITOR",B841)),
ISNUMBER(SEARCH("TABLET",B841)),
ISNUMBER(SEARCH("SMARTPH",B841)),
ISNUMBER(SEARCH("IMPRESORA",B841)),
ISNUMBER(SEARCH("MULTIFUNCIONAL",B841)),
ISNUMBER(SEARCH("AIO",B841))
),
"GANCHO",
"NORMAL"
)
)</f>
        <v>NORMAL</v>
      </c>
    </row>
    <row r="840" spans="1:12" x14ac:dyDescent="0.25">
      <c r="A840" s="3" t="s">
        <v>1592</v>
      </c>
      <c r="B840" s="3" t="s">
        <v>1593</v>
      </c>
      <c r="C840" s="1">
        <v>1</v>
      </c>
      <c r="D840" s="1">
        <v>100</v>
      </c>
      <c r="E840" s="1" t="s">
        <v>55</v>
      </c>
      <c r="F840" s="1" t="s">
        <v>3545</v>
      </c>
      <c r="G840" s="3"/>
      <c r="H840" s="11">
        <f>ROUND(
IF(L838="GANCHO",
   IF(I840&lt;=50,I840*1.1+4,IF(I840&lt;=120,I840*1.1+7,IF(I840&lt;=250,I840*1.1+11,I840*1.1+19))),
IF(L838="NORMAL",
   IF(I840&lt;=30,I840*1.15+2,IF(I840&lt;=80,I840*1.15+4,IF(I840&lt;=150,I840*1.15+6,I840*1.15+8))),
IF(L838="COMPLEMENTO",
   IF(I840&lt;=25,I840*1.25+1.5,IF(I840&lt;=60,I840*1.25+3,IF(I840&lt;=120,I840*1.25+4,I840*1.25+5))),
""))),2)</f>
        <v>480.24</v>
      </c>
      <c r="I840" s="9">
        <f>($K$2+0.02)*Tabla1[[#This Row],[PRECIO $]]*1.18</f>
        <v>410.64</v>
      </c>
      <c r="J840" s="7">
        <f>+Tabla1[[#This Row],[PRECIO EN SOLES]]-Tabla1[[#This Row],[PC]]</f>
        <v>69.600000000000023</v>
      </c>
      <c r="K840" s="15"/>
      <c r="L840" s="15" t="str">
        <f>IF(
OR(
ISNUMBER(SEARCH("BACKPACK",B842)),
ISNUMBER(SEARCH("MOCHILA",B842)),
ISNUMBER(SEARCH("FUNDA",B842)),
ISNUMBER(SEARCH("ESTUCHE",B842)),
ISNUMBER(SEARCH("BOOK COVER",B842)),
ISNUMBER(SEARCH("KEYBOARD PARA TABLET",B842)),
ISNUMBER(SEARCH("FLIP TABLET",B842)),
ISNUMBER(SEARCH("CASE FOR TABLET",B842)),
ISNUMBER(SEARCH("CABLE",B842)),
ISNUMBER(SEARCH("ADAPTADOR",B842)),
ISNUMBER(SEARCH("HUB",B842)),
ISNUMBER(SEARCH("DOCK",B842)),
ISNUMBER(SEARCH("MOUSE PAD",B842)),
ISNUMBER(SEARCH("MOUSEPAD",B842)),
ISNUMBER(SEARCH("SOPORTE",B842)),
ISNUMBER(SEARCH("STAND",B842)),
ISNUMBER(SEARCH("TRAVEL ADAPTER",B842)),
ISNUMBER(SEARCH("RJ45",B842)),
ISNUMBER(SEARCH("USB-C",B842)),
ISNUMBER(SEARCH("USB WIFI",B842)),
ISNUMBER(SEARCH("POWERBANK",B842)),
ISNUMBER(SEARCH("CARGADOR",B842)),
ISNUMBER(SEARCH("COOLER PARA NB",B842)),
ISNUMBER(SEARCH("SOPORTE PARA NB",B842)),
ISNUMBER(SEARCH("WEBCAM",B842)),
ISNUMBER(SEARCH("WEB CAM",B842)),
ISNUMBER(SEARCH("MOUSE",B842)),
ISNUMBER(SEARCH("TECLADO",B842))
),
"COMPLEMENTO",
IF(
OR(
LEFT(A842,2)="NB",
LEFT(A842,2)="PC",
LEFT(A842,2)="WS",
LEFT(A842,2)="TB",
LEFT(A842,3)="CEL",
LEFT(A842,3)="MON",
LEFT(A842,3)="PRE",
LEFT(A842,3)="PRH",
ISNUMBER(SEARCH("NOTEBOOK",B842)),
ISNUMBER(SEARCH("LAPTOP",B842)),
ISNUMBER(SEARCH("MONITOR",B842)),
ISNUMBER(SEARCH("TABLET",B842)),
ISNUMBER(SEARCH("SMARTPH",B842)),
ISNUMBER(SEARCH("IMPRESORA",B842)),
ISNUMBER(SEARCH("MULTIFUNCIONAL",B842)),
ISNUMBER(SEARCH("AIO",B842))
),
"GANCHO",
"NORMAL"
)
)</f>
        <v>COMPLEMENTO</v>
      </c>
    </row>
    <row r="841" spans="1:12" x14ac:dyDescent="0.25">
      <c r="A841" s="3" t="s">
        <v>1594</v>
      </c>
      <c r="B841" s="3" t="s">
        <v>1591</v>
      </c>
      <c r="C841" s="1">
        <v>1</v>
      </c>
      <c r="D841" s="1">
        <v>0.45</v>
      </c>
      <c r="E841" s="1" t="s">
        <v>54</v>
      </c>
      <c r="F841" s="1" t="s">
        <v>3546</v>
      </c>
      <c r="G841" s="3"/>
      <c r="H841" s="11">
        <f>ROUND(
IF(L839="GANCHO",
   IF(I841&lt;=50,I841*1.1+4,IF(I841&lt;=120,I841*1.1+7,IF(I841&lt;=250,I841*1.1+11,I841*1.1+19))),
IF(L839="NORMAL",
   IF(I841&lt;=30,I841*1.15+2,IF(I841&lt;=80,I841*1.15+4,IF(I841&lt;=150,I841*1.15+6,I841*1.15+8))),
IF(L839="COMPLEMENTO",
   IF(I841&lt;=25,I841*1.25+1.5,IF(I841&lt;=60,I841*1.25+3,IF(I841&lt;=120,I841*1.25+4,I841*1.25+5))),
""))),2)</f>
        <v>4.13</v>
      </c>
      <c r="I841" s="9">
        <f>($K$2+0.02)*Tabla1[[#This Row],[PRECIO $]]*1.18</f>
        <v>1.84788</v>
      </c>
      <c r="J841" s="7">
        <f>+Tabla1[[#This Row],[PRECIO EN SOLES]]-Tabla1[[#This Row],[PC]]</f>
        <v>2.2821199999999999</v>
      </c>
      <c r="K841" s="15"/>
      <c r="L841" s="15" t="str">
        <f>IF(
OR(
ISNUMBER(SEARCH("BACKPACK",B843)),
ISNUMBER(SEARCH("MOCHILA",B843)),
ISNUMBER(SEARCH("FUNDA",B843)),
ISNUMBER(SEARCH("ESTUCHE",B843)),
ISNUMBER(SEARCH("BOOK COVER",B843)),
ISNUMBER(SEARCH("KEYBOARD PARA TABLET",B843)),
ISNUMBER(SEARCH("FLIP TABLET",B843)),
ISNUMBER(SEARCH("CASE FOR TABLET",B843)),
ISNUMBER(SEARCH("CABLE",B843)),
ISNUMBER(SEARCH("ADAPTADOR",B843)),
ISNUMBER(SEARCH("HUB",B843)),
ISNUMBER(SEARCH("DOCK",B843)),
ISNUMBER(SEARCH("MOUSE PAD",B843)),
ISNUMBER(SEARCH("MOUSEPAD",B843)),
ISNUMBER(SEARCH("SOPORTE",B843)),
ISNUMBER(SEARCH("STAND",B843)),
ISNUMBER(SEARCH("TRAVEL ADAPTER",B843)),
ISNUMBER(SEARCH("RJ45",B843)),
ISNUMBER(SEARCH("USB-C",B843)),
ISNUMBER(SEARCH("USB WIFI",B843)),
ISNUMBER(SEARCH("POWERBANK",B843)),
ISNUMBER(SEARCH("CARGADOR",B843)),
ISNUMBER(SEARCH("COOLER PARA NB",B843)),
ISNUMBER(SEARCH("SOPORTE PARA NB",B843)),
ISNUMBER(SEARCH("WEBCAM",B843)),
ISNUMBER(SEARCH("WEB CAM",B843)),
ISNUMBER(SEARCH("MOUSE",B843)),
ISNUMBER(SEARCH("TECLADO",B843))
),
"COMPLEMENTO",
IF(
OR(
LEFT(A843,2)="NB",
LEFT(A843,2)="PC",
LEFT(A843,2)="WS",
LEFT(A843,2)="TB",
LEFT(A843,3)="CEL",
LEFT(A843,3)="MON",
LEFT(A843,3)="PRE",
LEFT(A843,3)="PRH",
ISNUMBER(SEARCH("NOTEBOOK",B843)),
ISNUMBER(SEARCH("LAPTOP",B843)),
ISNUMBER(SEARCH("MONITOR",B843)),
ISNUMBER(SEARCH("TABLET",B843)),
ISNUMBER(SEARCH("SMARTPH",B843)),
ISNUMBER(SEARCH("IMPRESORA",B843)),
ISNUMBER(SEARCH("MULTIFUNCIONAL",B843)),
ISNUMBER(SEARCH("AIO",B843))
),
"GANCHO",
"NORMAL"
)
)</f>
        <v>COMPLEMENTO</v>
      </c>
    </row>
    <row r="842" spans="1:12" x14ac:dyDescent="0.25">
      <c r="A842" s="3" t="s">
        <v>421</v>
      </c>
      <c r="B842" s="3" t="s">
        <v>422</v>
      </c>
      <c r="C842" s="1">
        <v>0</v>
      </c>
      <c r="D842" s="1">
        <v>12.8</v>
      </c>
      <c r="E842" s="1" t="s">
        <v>56</v>
      </c>
      <c r="F842" s="1" t="s">
        <v>3767</v>
      </c>
      <c r="G842" s="3" t="s">
        <v>423</v>
      </c>
      <c r="H842" s="11">
        <f>ROUND(
IF(L840="GANCHO",
   IF(I842&lt;=50,I842*1.1+4,IF(I842&lt;=120,I842*1.1+7,IF(I842&lt;=250,I842*1.1+11,I842*1.1+19))),
IF(L840="NORMAL",
   IF(I842&lt;=30,I842*1.15+2,IF(I842&lt;=80,I842*1.15+4,IF(I842&lt;=150,I842*1.15+6,I842*1.15+8))),
IF(L840="COMPLEMENTO",
   IF(I842&lt;=25,I842*1.25+1.5,IF(I842&lt;=60,I842*1.25+3,IF(I842&lt;=120,I842*1.25+4,I842*1.25+5))),
""))),2)</f>
        <v>68.7</v>
      </c>
      <c r="I842" s="9">
        <f>($K$2+0.02)*Tabla1[[#This Row],[PRECIO $]]*1.18</f>
        <v>52.561920000000001</v>
      </c>
      <c r="J842" s="7">
        <f>+Tabla1[[#This Row],[PRECIO EN SOLES]]-Tabla1[[#This Row],[PC]]</f>
        <v>16.138080000000002</v>
      </c>
      <c r="K842" s="15"/>
      <c r="L842" s="15" t="str">
        <f>IF(
OR(
ISNUMBER(SEARCH("BACKPACK",B844)),
ISNUMBER(SEARCH("MOCHILA",B844)),
ISNUMBER(SEARCH("FUNDA",B844)),
ISNUMBER(SEARCH("ESTUCHE",B844)),
ISNUMBER(SEARCH("BOOK COVER",B844)),
ISNUMBER(SEARCH("KEYBOARD PARA TABLET",B844)),
ISNUMBER(SEARCH("FLIP TABLET",B844)),
ISNUMBER(SEARCH("CASE FOR TABLET",B844)),
ISNUMBER(SEARCH("CABLE",B844)),
ISNUMBER(SEARCH("ADAPTADOR",B844)),
ISNUMBER(SEARCH("HUB",B844)),
ISNUMBER(SEARCH("DOCK",B844)),
ISNUMBER(SEARCH("MOUSE PAD",B844)),
ISNUMBER(SEARCH("MOUSEPAD",B844)),
ISNUMBER(SEARCH("SOPORTE",B844)),
ISNUMBER(SEARCH("STAND",B844)),
ISNUMBER(SEARCH("TRAVEL ADAPTER",B844)),
ISNUMBER(SEARCH("RJ45",B844)),
ISNUMBER(SEARCH("USB-C",B844)),
ISNUMBER(SEARCH("USB WIFI",B844)),
ISNUMBER(SEARCH("POWERBANK",B844)),
ISNUMBER(SEARCH("CARGADOR",B844)),
ISNUMBER(SEARCH("COOLER PARA NB",B844)),
ISNUMBER(SEARCH("SOPORTE PARA NB",B844)),
ISNUMBER(SEARCH("WEBCAM",B844)),
ISNUMBER(SEARCH("WEB CAM",B844)),
ISNUMBER(SEARCH("MOUSE",B844)),
ISNUMBER(SEARCH("TECLADO",B844))
),
"COMPLEMENTO",
IF(
OR(
LEFT(A844,2)="NB",
LEFT(A844,2)="PC",
LEFT(A844,2)="WS",
LEFT(A844,2)="TB",
LEFT(A844,3)="CEL",
LEFT(A844,3)="MON",
LEFT(A844,3)="PRE",
LEFT(A844,3)="PRH",
ISNUMBER(SEARCH("NOTEBOOK",B844)),
ISNUMBER(SEARCH("LAPTOP",B844)),
ISNUMBER(SEARCH("MONITOR",B844)),
ISNUMBER(SEARCH("TABLET",B844)),
ISNUMBER(SEARCH("SMARTPH",B844)),
ISNUMBER(SEARCH("IMPRESORA",B844)),
ISNUMBER(SEARCH("MULTIFUNCIONAL",B844)),
ISNUMBER(SEARCH("AIO",B844))
),
"GANCHO",
"NORMAL"
)
)</f>
        <v>COMPLEMENTO</v>
      </c>
    </row>
    <row r="843" spans="1:12" x14ac:dyDescent="0.25">
      <c r="A843" s="3" t="s">
        <v>6502</v>
      </c>
      <c r="B843" s="3" t="s">
        <v>6503</v>
      </c>
      <c r="C843" s="1">
        <v>20</v>
      </c>
      <c r="D843" s="1">
        <v>17.2</v>
      </c>
      <c r="E843" s="1" t="s">
        <v>52</v>
      </c>
      <c r="F843" s="1" t="s">
        <v>6504</v>
      </c>
      <c r="G843" s="3" t="s">
        <v>6505</v>
      </c>
      <c r="H843" s="11">
        <f>ROUND(
IF(L841="GANCHO",
   IF(I843&lt;=50,I843*1.1+4,IF(I843&lt;=120,I843*1.1+7,IF(I843&lt;=250,I843*1.1+11,I843*1.1+19))),
IF(L841="NORMAL",
   IF(I843&lt;=30,I843*1.15+2,IF(I843&lt;=80,I843*1.15+4,IF(I843&lt;=150,I843*1.15+6,I843*1.15+8))),
IF(L841="COMPLEMENTO",
   IF(I843&lt;=25,I843*1.25+1.5,IF(I843&lt;=60,I843*1.25+3,IF(I843&lt;=120,I843*1.25+4,I843*1.25+5))),
""))),2)</f>
        <v>92.29</v>
      </c>
      <c r="I843" s="9">
        <f>($K$2+0.02)*Tabla1[[#This Row],[PRECIO $]]*1.18</f>
        <v>70.630079999999992</v>
      </c>
      <c r="J843" s="7">
        <f>+Tabla1[[#This Row],[PRECIO EN SOLES]]-Tabla1[[#This Row],[PC]]</f>
        <v>21.659920000000014</v>
      </c>
      <c r="K843" s="15"/>
      <c r="L843" s="15" t="str">
        <f>IF(
OR(
ISNUMBER(SEARCH("BACKPACK",B845)),
ISNUMBER(SEARCH("MOCHILA",B845)),
ISNUMBER(SEARCH("FUNDA",B845)),
ISNUMBER(SEARCH("ESTUCHE",B845)),
ISNUMBER(SEARCH("BOOK COVER",B845)),
ISNUMBER(SEARCH("KEYBOARD PARA TABLET",B845)),
ISNUMBER(SEARCH("FLIP TABLET",B845)),
ISNUMBER(SEARCH("CASE FOR TABLET",B845)),
ISNUMBER(SEARCH("CABLE",B845)),
ISNUMBER(SEARCH("ADAPTADOR",B845)),
ISNUMBER(SEARCH("HUB",B845)),
ISNUMBER(SEARCH("DOCK",B845)),
ISNUMBER(SEARCH("MOUSE PAD",B845)),
ISNUMBER(SEARCH("MOUSEPAD",B845)),
ISNUMBER(SEARCH("SOPORTE",B845)),
ISNUMBER(SEARCH("STAND",B845)),
ISNUMBER(SEARCH("TRAVEL ADAPTER",B845)),
ISNUMBER(SEARCH("RJ45",B845)),
ISNUMBER(SEARCH("USB-C",B845)),
ISNUMBER(SEARCH("USB WIFI",B845)),
ISNUMBER(SEARCH("POWERBANK",B845)),
ISNUMBER(SEARCH("CARGADOR",B845)),
ISNUMBER(SEARCH("COOLER PARA NB",B845)),
ISNUMBER(SEARCH("SOPORTE PARA NB",B845)),
ISNUMBER(SEARCH("WEBCAM",B845)),
ISNUMBER(SEARCH("WEB CAM",B845)),
ISNUMBER(SEARCH("MOUSE",B845)),
ISNUMBER(SEARCH("TECLADO",B845))
),
"COMPLEMENTO",
IF(
OR(
LEFT(A845,2)="NB",
LEFT(A845,2)="PC",
LEFT(A845,2)="WS",
LEFT(A845,2)="TB",
LEFT(A845,3)="CEL",
LEFT(A845,3)="MON",
LEFT(A845,3)="PRE",
LEFT(A845,3)="PRH",
ISNUMBER(SEARCH("NOTEBOOK",B845)),
ISNUMBER(SEARCH("LAPTOP",B845)),
ISNUMBER(SEARCH("MONITOR",B845)),
ISNUMBER(SEARCH("TABLET",B845)),
ISNUMBER(SEARCH("SMARTPH",B845)),
ISNUMBER(SEARCH("IMPRESORA",B845)),
ISNUMBER(SEARCH("MULTIFUNCIONAL",B845)),
ISNUMBER(SEARCH("AIO",B845))
),
"GANCHO",
"NORMAL"
)
)</f>
        <v>COMPLEMENTO</v>
      </c>
    </row>
    <row r="844" spans="1:12" x14ac:dyDescent="0.25">
      <c r="A844" s="3" t="s">
        <v>6506</v>
      </c>
      <c r="B844" s="3" t="s">
        <v>6507</v>
      </c>
      <c r="C844" s="1">
        <v>20</v>
      </c>
      <c r="D844" s="1">
        <v>17.2</v>
      </c>
      <c r="E844" s="1" t="s">
        <v>52</v>
      </c>
      <c r="F844" s="1" t="s">
        <v>6508</v>
      </c>
      <c r="G844" s="3" t="s">
        <v>6509</v>
      </c>
      <c r="H844" s="11">
        <f>ROUND(
IF(L842="GANCHO",
   IF(I844&lt;=50,I844*1.1+4,IF(I844&lt;=120,I844*1.1+7,IF(I844&lt;=250,I844*1.1+11,I844*1.1+19))),
IF(L842="NORMAL",
   IF(I844&lt;=30,I844*1.15+2,IF(I844&lt;=80,I844*1.15+4,IF(I844&lt;=150,I844*1.15+6,I844*1.15+8))),
IF(L842="COMPLEMENTO",
   IF(I844&lt;=25,I844*1.25+1.5,IF(I844&lt;=60,I844*1.25+3,IF(I844&lt;=120,I844*1.25+4,I844*1.25+5))),
""))),2)</f>
        <v>92.29</v>
      </c>
      <c r="I844" s="9">
        <f>($K$2+0.02)*Tabla1[[#This Row],[PRECIO $]]*1.18</f>
        <v>70.630079999999992</v>
      </c>
      <c r="J844" s="7">
        <f>+Tabla1[[#This Row],[PRECIO EN SOLES]]-Tabla1[[#This Row],[PC]]</f>
        <v>21.659920000000014</v>
      </c>
      <c r="K844" s="15"/>
      <c r="L844" s="15" t="str">
        <f>IF(
OR(
ISNUMBER(SEARCH("BACKPACK",B846)),
ISNUMBER(SEARCH("MOCHILA",B846)),
ISNUMBER(SEARCH("FUNDA",B846)),
ISNUMBER(SEARCH("ESTUCHE",B846)),
ISNUMBER(SEARCH("BOOK COVER",B846)),
ISNUMBER(SEARCH("KEYBOARD PARA TABLET",B846)),
ISNUMBER(SEARCH("FLIP TABLET",B846)),
ISNUMBER(SEARCH("CASE FOR TABLET",B846)),
ISNUMBER(SEARCH("CABLE",B846)),
ISNUMBER(SEARCH("ADAPTADOR",B846)),
ISNUMBER(SEARCH("HUB",B846)),
ISNUMBER(SEARCH("DOCK",B846)),
ISNUMBER(SEARCH("MOUSE PAD",B846)),
ISNUMBER(SEARCH("MOUSEPAD",B846)),
ISNUMBER(SEARCH("SOPORTE",B846)),
ISNUMBER(SEARCH("STAND",B846)),
ISNUMBER(SEARCH("TRAVEL ADAPTER",B846)),
ISNUMBER(SEARCH("RJ45",B846)),
ISNUMBER(SEARCH("USB-C",B846)),
ISNUMBER(SEARCH("USB WIFI",B846)),
ISNUMBER(SEARCH("POWERBANK",B846)),
ISNUMBER(SEARCH("CARGADOR",B846)),
ISNUMBER(SEARCH("COOLER PARA NB",B846)),
ISNUMBER(SEARCH("SOPORTE PARA NB",B846)),
ISNUMBER(SEARCH("WEBCAM",B846)),
ISNUMBER(SEARCH("WEB CAM",B846)),
ISNUMBER(SEARCH("MOUSE",B846)),
ISNUMBER(SEARCH("TECLADO",B846))
),
"COMPLEMENTO",
IF(
OR(
LEFT(A846,2)="NB",
LEFT(A846,2)="PC",
LEFT(A846,2)="WS",
LEFT(A846,2)="TB",
LEFT(A846,3)="CEL",
LEFT(A846,3)="MON",
LEFT(A846,3)="PRE",
LEFT(A846,3)="PRH",
ISNUMBER(SEARCH("NOTEBOOK",B846)),
ISNUMBER(SEARCH("LAPTOP",B846)),
ISNUMBER(SEARCH("MONITOR",B846)),
ISNUMBER(SEARCH("TABLET",B846)),
ISNUMBER(SEARCH("SMARTPH",B846)),
ISNUMBER(SEARCH("IMPRESORA",B846)),
ISNUMBER(SEARCH("MULTIFUNCIONAL",B846)),
ISNUMBER(SEARCH("AIO",B846))
),
"GANCHO",
"NORMAL"
)
)</f>
        <v>COMPLEMENTO</v>
      </c>
    </row>
    <row r="845" spans="1:12" x14ac:dyDescent="0.25">
      <c r="A845" s="3" t="s">
        <v>6510</v>
      </c>
      <c r="B845" s="3" t="s">
        <v>6511</v>
      </c>
      <c r="C845" s="1">
        <v>20</v>
      </c>
      <c r="D845" s="1">
        <v>17.2</v>
      </c>
      <c r="E845" s="1" t="s">
        <v>52</v>
      </c>
      <c r="F845" s="1" t="s">
        <v>6512</v>
      </c>
      <c r="G845" s="3" t="s">
        <v>6513</v>
      </c>
      <c r="H845" s="11">
        <f>ROUND(
IF(L843="GANCHO",
   IF(I845&lt;=50,I845*1.1+4,IF(I845&lt;=120,I845*1.1+7,IF(I845&lt;=250,I845*1.1+11,I845*1.1+19))),
IF(L843="NORMAL",
   IF(I845&lt;=30,I845*1.15+2,IF(I845&lt;=80,I845*1.15+4,IF(I845&lt;=150,I845*1.15+6,I845*1.15+8))),
IF(L843="COMPLEMENTO",
   IF(I845&lt;=25,I845*1.25+1.5,IF(I845&lt;=60,I845*1.25+3,IF(I845&lt;=120,I845*1.25+4,I845*1.25+5))),
""))),2)</f>
        <v>92.29</v>
      </c>
      <c r="I845" s="9">
        <f>($K$2+0.02)*Tabla1[[#This Row],[PRECIO $]]*1.18</f>
        <v>70.630079999999992</v>
      </c>
      <c r="J845" s="7">
        <f>+Tabla1[[#This Row],[PRECIO EN SOLES]]-Tabla1[[#This Row],[PC]]</f>
        <v>21.659920000000014</v>
      </c>
      <c r="K845" s="15"/>
      <c r="L845" s="15" t="str">
        <f>IF(
OR(
ISNUMBER(SEARCH("BACKPACK",B847)),
ISNUMBER(SEARCH("MOCHILA",B847)),
ISNUMBER(SEARCH("FUNDA",B847)),
ISNUMBER(SEARCH("ESTUCHE",B847)),
ISNUMBER(SEARCH("BOOK COVER",B847)),
ISNUMBER(SEARCH("KEYBOARD PARA TABLET",B847)),
ISNUMBER(SEARCH("FLIP TABLET",B847)),
ISNUMBER(SEARCH("CASE FOR TABLET",B847)),
ISNUMBER(SEARCH("CABLE",B847)),
ISNUMBER(SEARCH("ADAPTADOR",B847)),
ISNUMBER(SEARCH("HUB",B847)),
ISNUMBER(SEARCH("DOCK",B847)),
ISNUMBER(SEARCH("MOUSE PAD",B847)),
ISNUMBER(SEARCH("MOUSEPAD",B847)),
ISNUMBER(SEARCH("SOPORTE",B847)),
ISNUMBER(SEARCH("STAND",B847)),
ISNUMBER(SEARCH("TRAVEL ADAPTER",B847)),
ISNUMBER(SEARCH("RJ45",B847)),
ISNUMBER(SEARCH("USB-C",B847)),
ISNUMBER(SEARCH("USB WIFI",B847)),
ISNUMBER(SEARCH("POWERBANK",B847)),
ISNUMBER(SEARCH("CARGADOR",B847)),
ISNUMBER(SEARCH("COOLER PARA NB",B847)),
ISNUMBER(SEARCH("SOPORTE PARA NB",B847)),
ISNUMBER(SEARCH("WEBCAM",B847)),
ISNUMBER(SEARCH("WEB CAM",B847)),
ISNUMBER(SEARCH("MOUSE",B847)),
ISNUMBER(SEARCH("TECLADO",B847))
),
"COMPLEMENTO",
IF(
OR(
LEFT(A847,2)="NB",
LEFT(A847,2)="PC",
LEFT(A847,2)="WS",
LEFT(A847,2)="TB",
LEFT(A847,3)="CEL",
LEFT(A847,3)="MON",
LEFT(A847,3)="PRE",
LEFT(A847,3)="PRH",
ISNUMBER(SEARCH("NOTEBOOK",B847)),
ISNUMBER(SEARCH("LAPTOP",B847)),
ISNUMBER(SEARCH("MONITOR",B847)),
ISNUMBER(SEARCH("TABLET",B847)),
ISNUMBER(SEARCH("SMARTPH",B847)),
ISNUMBER(SEARCH("IMPRESORA",B847)),
ISNUMBER(SEARCH("MULTIFUNCIONAL",B847)),
ISNUMBER(SEARCH("AIO",B847))
),
"GANCHO",
"NORMAL"
)
)</f>
        <v>COMPLEMENTO</v>
      </c>
    </row>
    <row r="846" spans="1:12" x14ac:dyDescent="0.25">
      <c r="A846" s="3" t="s">
        <v>6514</v>
      </c>
      <c r="B846" s="3" t="s">
        <v>6515</v>
      </c>
      <c r="C846" s="1">
        <v>20</v>
      </c>
      <c r="D846" s="1">
        <v>17.2</v>
      </c>
      <c r="E846" s="1" t="s">
        <v>52</v>
      </c>
      <c r="F846" s="1" t="s">
        <v>6516</v>
      </c>
      <c r="G846" s="3" t="s">
        <v>6517</v>
      </c>
      <c r="H846" s="11">
        <f>ROUND(
IF(L844="GANCHO",
   IF(I846&lt;=50,I846*1.1+4,IF(I846&lt;=120,I846*1.1+7,IF(I846&lt;=250,I846*1.1+11,I846*1.1+19))),
IF(L844="NORMAL",
   IF(I846&lt;=30,I846*1.15+2,IF(I846&lt;=80,I846*1.15+4,IF(I846&lt;=150,I846*1.15+6,I846*1.15+8))),
IF(L844="COMPLEMENTO",
   IF(I846&lt;=25,I846*1.25+1.5,IF(I846&lt;=60,I846*1.25+3,IF(I846&lt;=120,I846*1.25+4,I846*1.25+5))),
""))),2)</f>
        <v>92.29</v>
      </c>
      <c r="I846" s="9">
        <f>($K$2+0.02)*Tabla1[[#This Row],[PRECIO $]]*1.18</f>
        <v>70.630079999999992</v>
      </c>
      <c r="J846" s="7">
        <f>+Tabla1[[#This Row],[PRECIO EN SOLES]]-Tabla1[[#This Row],[PC]]</f>
        <v>21.659920000000014</v>
      </c>
      <c r="K846" s="15"/>
      <c r="L846" s="15" t="str">
        <f>IF(
OR(
ISNUMBER(SEARCH("BACKPACK",B848)),
ISNUMBER(SEARCH("MOCHILA",B848)),
ISNUMBER(SEARCH("FUNDA",B848)),
ISNUMBER(SEARCH("ESTUCHE",B848)),
ISNUMBER(SEARCH("BOOK COVER",B848)),
ISNUMBER(SEARCH("KEYBOARD PARA TABLET",B848)),
ISNUMBER(SEARCH("FLIP TABLET",B848)),
ISNUMBER(SEARCH("CASE FOR TABLET",B848)),
ISNUMBER(SEARCH("CABLE",B848)),
ISNUMBER(SEARCH("ADAPTADOR",B848)),
ISNUMBER(SEARCH("HUB",B848)),
ISNUMBER(SEARCH("DOCK",B848)),
ISNUMBER(SEARCH("MOUSE PAD",B848)),
ISNUMBER(SEARCH("MOUSEPAD",B848)),
ISNUMBER(SEARCH("SOPORTE",B848)),
ISNUMBER(SEARCH("STAND",B848)),
ISNUMBER(SEARCH("TRAVEL ADAPTER",B848)),
ISNUMBER(SEARCH("RJ45",B848)),
ISNUMBER(SEARCH("USB-C",B848)),
ISNUMBER(SEARCH("USB WIFI",B848)),
ISNUMBER(SEARCH("POWERBANK",B848)),
ISNUMBER(SEARCH("CARGADOR",B848)),
ISNUMBER(SEARCH("COOLER PARA NB",B848)),
ISNUMBER(SEARCH("SOPORTE PARA NB",B848)),
ISNUMBER(SEARCH("WEBCAM",B848)),
ISNUMBER(SEARCH("WEB CAM",B848)),
ISNUMBER(SEARCH("MOUSE",B848)),
ISNUMBER(SEARCH("TECLADO",B848))
),
"COMPLEMENTO",
IF(
OR(
LEFT(A848,2)="NB",
LEFT(A848,2)="PC",
LEFT(A848,2)="WS",
LEFT(A848,2)="TB",
LEFT(A848,3)="CEL",
LEFT(A848,3)="MON",
LEFT(A848,3)="PRE",
LEFT(A848,3)="PRH",
ISNUMBER(SEARCH("NOTEBOOK",B848)),
ISNUMBER(SEARCH("LAPTOP",B848)),
ISNUMBER(SEARCH("MONITOR",B848)),
ISNUMBER(SEARCH("TABLET",B848)),
ISNUMBER(SEARCH("SMARTPH",B848)),
ISNUMBER(SEARCH("IMPRESORA",B848)),
ISNUMBER(SEARCH("MULTIFUNCIONAL",B848)),
ISNUMBER(SEARCH("AIO",B848))
),
"GANCHO",
"NORMAL"
)
)</f>
        <v>COMPLEMENTO</v>
      </c>
    </row>
    <row r="847" spans="1:12" x14ac:dyDescent="0.25">
      <c r="A847" s="3" t="s">
        <v>6518</v>
      </c>
      <c r="B847" s="3" t="s">
        <v>6519</v>
      </c>
      <c r="C847" s="1">
        <v>20</v>
      </c>
      <c r="D847" s="1">
        <v>19.7</v>
      </c>
      <c r="E847" s="1" t="s">
        <v>52</v>
      </c>
      <c r="F847" s="1" t="s">
        <v>6520</v>
      </c>
      <c r="G847" s="3" t="s">
        <v>6521</v>
      </c>
      <c r="H847" s="11">
        <f>ROUND(
IF(L845="GANCHO",
   IF(I847&lt;=50,I847*1.1+4,IF(I847&lt;=120,I847*1.1+7,IF(I847&lt;=250,I847*1.1+11,I847*1.1+19))),
IF(L845="NORMAL",
   IF(I847&lt;=30,I847*1.15+2,IF(I847&lt;=80,I847*1.15+4,IF(I847&lt;=150,I847*1.15+6,I847*1.15+8))),
IF(L845="COMPLEMENTO",
   IF(I847&lt;=25,I847*1.25+1.5,IF(I847&lt;=60,I847*1.25+3,IF(I847&lt;=120,I847*1.25+4,I847*1.25+5))),
""))),2)</f>
        <v>105.12</v>
      </c>
      <c r="I847" s="9">
        <f>($K$2+0.02)*Tabla1[[#This Row],[PRECIO $]]*1.18</f>
        <v>80.896079999999998</v>
      </c>
      <c r="J847" s="7">
        <f>+Tabla1[[#This Row],[PRECIO EN SOLES]]-Tabla1[[#This Row],[PC]]</f>
        <v>24.223920000000007</v>
      </c>
      <c r="K847" s="15"/>
      <c r="L847" s="15" t="str">
        <f>IF(
OR(
ISNUMBER(SEARCH("BACKPACK",B849)),
ISNUMBER(SEARCH("MOCHILA",B849)),
ISNUMBER(SEARCH("FUNDA",B849)),
ISNUMBER(SEARCH("ESTUCHE",B849)),
ISNUMBER(SEARCH("BOOK COVER",B849)),
ISNUMBER(SEARCH("KEYBOARD PARA TABLET",B849)),
ISNUMBER(SEARCH("FLIP TABLET",B849)),
ISNUMBER(SEARCH("CASE FOR TABLET",B849)),
ISNUMBER(SEARCH("CABLE",B849)),
ISNUMBER(SEARCH("ADAPTADOR",B849)),
ISNUMBER(SEARCH("HUB",B849)),
ISNUMBER(SEARCH("DOCK",B849)),
ISNUMBER(SEARCH("MOUSE PAD",B849)),
ISNUMBER(SEARCH("MOUSEPAD",B849)),
ISNUMBER(SEARCH("SOPORTE",B849)),
ISNUMBER(SEARCH("STAND",B849)),
ISNUMBER(SEARCH("TRAVEL ADAPTER",B849)),
ISNUMBER(SEARCH("RJ45",B849)),
ISNUMBER(SEARCH("USB-C",B849)),
ISNUMBER(SEARCH("USB WIFI",B849)),
ISNUMBER(SEARCH("POWERBANK",B849)),
ISNUMBER(SEARCH("CARGADOR",B849)),
ISNUMBER(SEARCH("COOLER PARA NB",B849)),
ISNUMBER(SEARCH("SOPORTE PARA NB",B849)),
ISNUMBER(SEARCH("WEBCAM",B849)),
ISNUMBER(SEARCH("WEB CAM",B849)),
ISNUMBER(SEARCH("MOUSE",B849)),
ISNUMBER(SEARCH("TECLADO",B849))
),
"COMPLEMENTO",
IF(
OR(
LEFT(A849,2)="NB",
LEFT(A849,2)="PC",
LEFT(A849,2)="WS",
LEFT(A849,2)="TB",
LEFT(A849,3)="CEL",
LEFT(A849,3)="MON",
LEFT(A849,3)="PRE",
LEFT(A849,3)="PRH",
ISNUMBER(SEARCH("NOTEBOOK",B849)),
ISNUMBER(SEARCH("LAPTOP",B849)),
ISNUMBER(SEARCH("MONITOR",B849)),
ISNUMBER(SEARCH("TABLET",B849)),
ISNUMBER(SEARCH("SMARTPH",B849)),
ISNUMBER(SEARCH("IMPRESORA",B849)),
ISNUMBER(SEARCH("MULTIFUNCIONAL",B849)),
ISNUMBER(SEARCH("AIO",B849))
),
"GANCHO",
"NORMAL"
)
)</f>
        <v>COMPLEMENTO</v>
      </c>
    </row>
    <row r="848" spans="1:12" x14ac:dyDescent="0.25">
      <c r="A848" s="3" t="s">
        <v>6522</v>
      </c>
      <c r="B848" s="3" t="s">
        <v>6523</v>
      </c>
      <c r="C848" s="1">
        <v>20</v>
      </c>
      <c r="D848" s="1">
        <v>19.7</v>
      </c>
      <c r="E848" s="1" t="s">
        <v>52</v>
      </c>
      <c r="F848" s="1" t="s">
        <v>6524</v>
      </c>
      <c r="G848" s="3" t="s">
        <v>6525</v>
      </c>
      <c r="H848" s="11">
        <f>ROUND(
IF(L846="GANCHO",
   IF(I848&lt;=50,I848*1.1+4,IF(I848&lt;=120,I848*1.1+7,IF(I848&lt;=250,I848*1.1+11,I848*1.1+19))),
IF(L846="NORMAL",
   IF(I848&lt;=30,I848*1.15+2,IF(I848&lt;=80,I848*1.15+4,IF(I848&lt;=150,I848*1.15+6,I848*1.15+8))),
IF(L846="COMPLEMENTO",
   IF(I848&lt;=25,I848*1.25+1.5,IF(I848&lt;=60,I848*1.25+3,IF(I848&lt;=120,I848*1.25+4,I848*1.25+5))),
""))),2)</f>
        <v>105.12</v>
      </c>
      <c r="I848" s="9">
        <f>($K$2+0.02)*Tabla1[[#This Row],[PRECIO $]]*1.18</f>
        <v>80.896079999999998</v>
      </c>
      <c r="J848" s="7">
        <f>+Tabla1[[#This Row],[PRECIO EN SOLES]]-Tabla1[[#This Row],[PC]]</f>
        <v>24.223920000000007</v>
      </c>
      <c r="K848" s="15"/>
      <c r="L848" s="15" t="str">
        <f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COMPLEMENTO</v>
      </c>
    </row>
    <row r="849" spans="1:12" x14ac:dyDescent="0.25">
      <c r="A849" s="3" t="s">
        <v>6526</v>
      </c>
      <c r="B849" s="3" t="s">
        <v>6527</v>
      </c>
      <c r="C849" s="1">
        <v>20</v>
      </c>
      <c r="D849" s="1">
        <v>19.7</v>
      </c>
      <c r="E849" s="1" t="s">
        <v>52</v>
      </c>
      <c r="F849" s="1" t="s">
        <v>6528</v>
      </c>
      <c r="G849" s="3" t="s">
        <v>6529</v>
      </c>
      <c r="H849" s="11">
        <f>ROUND(
IF(L847="GANCHO",
   IF(I849&lt;=50,I849*1.1+4,IF(I849&lt;=120,I849*1.1+7,IF(I849&lt;=250,I849*1.1+11,I849*1.1+19))),
IF(L847="NORMAL",
   IF(I849&lt;=30,I849*1.15+2,IF(I849&lt;=80,I849*1.15+4,IF(I849&lt;=150,I849*1.15+6,I849*1.15+8))),
IF(L847="COMPLEMENTO",
   IF(I849&lt;=25,I849*1.25+1.5,IF(I849&lt;=60,I849*1.25+3,IF(I849&lt;=120,I849*1.25+4,I849*1.25+5))),
""))),2)</f>
        <v>105.12</v>
      </c>
      <c r="I849" s="9">
        <f>($K$2+0.02)*Tabla1[[#This Row],[PRECIO $]]*1.18</f>
        <v>80.896079999999998</v>
      </c>
      <c r="J849" s="7">
        <f>+Tabla1[[#This Row],[PRECIO EN SOLES]]-Tabla1[[#This Row],[PC]]</f>
        <v>24.223920000000007</v>
      </c>
      <c r="K849" s="15"/>
      <c r="L849" s="15" t="str">
        <f>IF(
OR(
ISNUMBER(SEARCH("BACKPACK",B851)),
ISNUMBER(SEARCH("MOCHILA",B851)),
ISNUMBER(SEARCH("FUNDA",B851)),
ISNUMBER(SEARCH("ESTUCHE",B851)),
ISNUMBER(SEARCH("BOOK COVER",B851)),
ISNUMBER(SEARCH("KEYBOARD PARA TABLET",B851)),
ISNUMBER(SEARCH("FLIP TABLET",B851)),
ISNUMBER(SEARCH("CASE FOR TABLET",B851)),
ISNUMBER(SEARCH("CABLE",B851)),
ISNUMBER(SEARCH("ADAPTADOR",B851)),
ISNUMBER(SEARCH("HUB",B851)),
ISNUMBER(SEARCH("DOCK",B851)),
ISNUMBER(SEARCH("MOUSE PAD",B851)),
ISNUMBER(SEARCH("MOUSEPAD",B851)),
ISNUMBER(SEARCH("SOPORTE",B851)),
ISNUMBER(SEARCH("STAND",B851)),
ISNUMBER(SEARCH("TRAVEL ADAPTER",B851)),
ISNUMBER(SEARCH("RJ45",B851)),
ISNUMBER(SEARCH("USB-C",B851)),
ISNUMBER(SEARCH("USB WIFI",B851)),
ISNUMBER(SEARCH("POWERBANK",B851)),
ISNUMBER(SEARCH("CARGADOR",B851)),
ISNUMBER(SEARCH("COOLER PARA NB",B851)),
ISNUMBER(SEARCH("SOPORTE PARA NB",B851)),
ISNUMBER(SEARCH("WEBCAM",B851)),
ISNUMBER(SEARCH("WEB CAM",B851)),
ISNUMBER(SEARCH("MOUSE",B851)),
ISNUMBER(SEARCH("TECLADO",B851))
),
"COMPLEMENTO",
IF(
OR(
LEFT(A851,2)="NB",
LEFT(A851,2)="PC",
LEFT(A851,2)="WS",
LEFT(A851,2)="TB",
LEFT(A851,3)="CEL",
LEFT(A851,3)="MON",
LEFT(A851,3)="PRE",
LEFT(A851,3)="PRH",
ISNUMBER(SEARCH("NOTEBOOK",B851)),
ISNUMBER(SEARCH("LAPTOP",B851)),
ISNUMBER(SEARCH("MONITOR",B851)),
ISNUMBER(SEARCH("TABLET",B851)),
ISNUMBER(SEARCH("SMARTPH",B851)),
ISNUMBER(SEARCH("IMPRESORA",B851)),
ISNUMBER(SEARCH("MULTIFUNCIONAL",B851)),
ISNUMBER(SEARCH("AIO",B851))
),
"GANCHO",
"NORMAL"
)
)</f>
        <v>COMPLEMENTO</v>
      </c>
    </row>
    <row r="850" spans="1:12" x14ac:dyDescent="0.25">
      <c r="A850" s="3" t="s">
        <v>5439</v>
      </c>
      <c r="B850" s="3" t="s">
        <v>5440</v>
      </c>
      <c r="C850" s="1">
        <v>18</v>
      </c>
      <c r="D850" s="1">
        <v>17</v>
      </c>
      <c r="E850" s="1" t="s">
        <v>52</v>
      </c>
      <c r="F850" s="1" t="s">
        <v>5441</v>
      </c>
      <c r="G850" s="3" t="s">
        <v>5442</v>
      </c>
      <c r="H850" s="11">
        <f>ROUND(
IF(L848="GANCHO",
   IF(I850&lt;=50,I850*1.1+4,IF(I850&lt;=120,I850*1.1+7,IF(I850&lt;=250,I850*1.1+11,I850*1.1+19))),
IF(L848="NORMAL",
   IF(I850&lt;=30,I850*1.15+2,IF(I850&lt;=80,I850*1.15+4,IF(I850&lt;=150,I850*1.15+6,I850*1.15+8))),
IF(L848="COMPLEMENTO",
   IF(I850&lt;=25,I850*1.25+1.5,IF(I850&lt;=60,I850*1.25+3,IF(I850&lt;=120,I850*1.25+4,I850*1.25+5))),
""))),2)</f>
        <v>91.26</v>
      </c>
      <c r="I850" s="9">
        <f>($K$2+0.02)*Tabla1[[#This Row],[PRECIO $]]*1.18</f>
        <v>69.808799999999991</v>
      </c>
      <c r="J850" s="7">
        <f>+Tabla1[[#This Row],[PRECIO EN SOLES]]-Tabla1[[#This Row],[PC]]</f>
        <v>21.451200000000014</v>
      </c>
      <c r="K850" s="15"/>
      <c r="L850" s="15" t="str">
        <f>IF(
OR(
ISNUMBER(SEARCH("BACKPACK",B852)),
ISNUMBER(SEARCH("MOCHILA",B852)),
ISNUMBER(SEARCH("FUNDA",B852)),
ISNUMBER(SEARCH("ESTUCHE",B852)),
ISNUMBER(SEARCH("BOOK COVER",B852)),
ISNUMBER(SEARCH("KEYBOARD PARA TABLET",B852)),
ISNUMBER(SEARCH("FLIP TABLET",B852)),
ISNUMBER(SEARCH("CASE FOR TABLET",B852)),
ISNUMBER(SEARCH("CABLE",B852)),
ISNUMBER(SEARCH("ADAPTADOR",B852)),
ISNUMBER(SEARCH("HUB",B852)),
ISNUMBER(SEARCH("DOCK",B852)),
ISNUMBER(SEARCH("MOUSE PAD",B852)),
ISNUMBER(SEARCH("MOUSEPAD",B852)),
ISNUMBER(SEARCH("SOPORTE",B852)),
ISNUMBER(SEARCH("STAND",B852)),
ISNUMBER(SEARCH("TRAVEL ADAPTER",B852)),
ISNUMBER(SEARCH("RJ45",B852)),
ISNUMBER(SEARCH("USB-C",B852)),
ISNUMBER(SEARCH("USB WIFI",B852)),
ISNUMBER(SEARCH("POWERBANK",B852)),
ISNUMBER(SEARCH("CARGADOR",B852)),
ISNUMBER(SEARCH("COOLER PARA NB",B852)),
ISNUMBER(SEARCH("SOPORTE PARA NB",B852)),
ISNUMBER(SEARCH("WEBCAM",B852)),
ISNUMBER(SEARCH("WEB CAM",B852)),
ISNUMBER(SEARCH("MOUSE",B852)),
ISNUMBER(SEARCH("TECLADO",B852))
),
"COMPLEMENTO",
IF(
OR(
LEFT(A852,2)="NB",
LEFT(A852,2)="PC",
LEFT(A852,2)="WS",
LEFT(A852,2)="TB",
LEFT(A852,3)="CEL",
LEFT(A852,3)="MON",
LEFT(A852,3)="PRE",
LEFT(A852,3)="PRH",
ISNUMBER(SEARCH("NOTEBOOK",B852)),
ISNUMBER(SEARCH("LAPTOP",B852)),
ISNUMBER(SEARCH("MONITOR",B852)),
ISNUMBER(SEARCH("TABLET",B852)),
ISNUMBER(SEARCH("SMARTPH",B852)),
ISNUMBER(SEARCH("IMPRESORA",B852)),
ISNUMBER(SEARCH("MULTIFUNCIONAL",B852)),
ISNUMBER(SEARCH("AIO",B852))
),
"GANCHO",
"NORMAL"
)
)</f>
        <v>COMPLEMENTO</v>
      </c>
    </row>
    <row r="851" spans="1:12" x14ac:dyDescent="0.25">
      <c r="A851" s="3" t="s">
        <v>6761</v>
      </c>
      <c r="B851" s="3" t="s">
        <v>6762</v>
      </c>
      <c r="C851" s="1">
        <v>20</v>
      </c>
      <c r="D851" s="1">
        <v>8.6999999999999993</v>
      </c>
      <c r="E851" s="1" t="s">
        <v>52</v>
      </c>
      <c r="F851" s="1" t="s">
        <v>6763</v>
      </c>
      <c r="G851" s="3" t="s">
        <v>6764</v>
      </c>
      <c r="H851" s="11">
        <f>ROUND(
IF(L849="GANCHO",
   IF(I851&lt;=50,I851*1.1+4,IF(I851&lt;=120,I851*1.1+7,IF(I851&lt;=250,I851*1.1+11,I851*1.1+19))),
IF(L849="NORMAL",
   IF(I851&lt;=30,I851*1.15+2,IF(I851&lt;=80,I851*1.15+4,IF(I851&lt;=150,I851*1.15+6,I851*1.15+8))),
IF(L849="COMPLEMENTO",
   IF(I851&lt;=25,I851*1.25+1.5,IF(I851&lt;=60,I851*1.25+3,IF(I851&lt;=120,I851*1.25+4,I851*1.25+5))),
""))),2)</f>
        <v>47.66</v>
      </c>
      <c r="I851" s="9">
        <f>($K$2+0.02)*Tabla1[[#This Row],[PRECIO $]]*1.18</f>
        <v>35.725679999999997</v>
      </c>
      <c r="J851" s="7">
        <f>+Tabla1[[#This Row],[PRECIO EN SOLES]]-Tabla1[[#This Row],[PC]]</f>
        <v>11.93432</v>
      </c>
      <c r="K851" s="15"/>
      <c r="L851" s="15" t="str">
        <f>IF(
OR(
ISNUMBER(SEARCH("BACKPACK",B853)),
ISNUMBER(SEARCH("MOCHILA",B853)),
ISNUMBER(SEARCH("FUNDA",B853)),
ISNUMBER(SEARCH("ESTUCHE",B853)),
ISNUMBER(SEARCH("BOOK COVER",B853)),
ISNUMBER(SEARCH("KEYBOARD PARA TABLET",B853)),
ISNUMBER(SEARCH("FLIP TABLET",B853)),
ISNUMBER(SEARCH("CASE FOR TABLET",B853)),
ISNUMBER(SEARCH("CABLE",B853)),
ISNUMBER(SEARCH("ADAPTADOR",B853)),
ISNUMBER(SEARCH("HUB",B853)),
ISNUMBER(SEARCH("DOCK",B853)),
ISNUMBER(SEARCH("MOUSE PAD",B853)),
ISNUMBER(SEARCH("MOUSEPAD",B853)),
ISNUMBER(SEARCH("SOPORTE",B853)),
ISNUMBER(SEARCH("STAND",B853)),
ISNUMBER(SEARCH("TRAVEL ADAPTER",B853)),
ISNUMBER(SEARCH("RJ45",B853)),
ISNUMBER(SEARCH("USB-C",B853)),
ISNUMBER(SEARCH("USB WIFI",B853)),
ISNUMBER(SEARCH("POWERBANK",B853)),
ISNUMBER(SEARCH("CARGADOR",B853)),
ISNUMBER(SEARCH("COOLER PARA NB",B853)),
ISNUMBER(SEARCH("SOPORTE PARA NB",B853)),
ISNUMBER(SEARCH("WEBCAM",B853)),
ISNUMBER(SEARCH("WEB CAM",B853)),
ISNUMBER(SEARCH("MOUSE",B853)),
ISNUMBER(SEARCH("TECLADO",B853))
),
"COMPLEMENTO",
IF(
OR(
LEFT(A853,2)="NB",
LEFT(A853,2)="PC",
LEFT(A853,2)="WS",
LEFT(A853,2)="TB",
LEFT(A853,3)="CEL",
LEFT(A853,3)="MON",
LEFT(A853,3)="PRE",
LEFT(A853,3)="PRH",
ISNUMBER(SEARCH("NOTEBOOK",B853)),
ISNUMBER(SEARCH("LAPTOP",B853)),
ISNUMBER(SEARCH("MONITOR",B853)),
ISNUMBER(SEARCH("TABLET",B853)),
ISNUMBER(SEARCH("SMARTPH",B853)),
ISNUMBER(SEARCH("IMPRESORA",B853)),
ISNUMBER(SEARCH("MULTIFUNCIONAL",B853)),
ISNUMBER(SEARCH("AIO",B853))
),
"GANCHO",
"NORMAL"
)
)</f>
        <v>COMPLEMENTO</v>
      </c>
    </row>
    <row r="852" spans="1:12" x14ac:dyDescent="0.25">
      <c r="A852" s="3" t="s">
        <v>6317</v>
      </c>
      <c r="B852" s="3" t="s">
        <v>6318</v>
      </c>
      <c r="C852" s="1">
        <v>20</v>
      </c>
      <c r="D852" s="1">
        <v>8.6999999999999993</v>
      </c>
      <c r="E852" s="1" t="s">
        <v>52</v>
      </c>
      <c r="F852" s="1" t="s">
        <v>6319</v>
      </c>
      <c r="G852" s="3" t="s">
        <v>6320</v>
      </c>
      <c r="H852" s="11">
        <f>ROUND(
IF(L850="GANCHO",
   IF(I852&lt;=50,I852*1.1+4,IF(I852&lt;=120,I852*1.1+7,IF(I852&lt;=250,I852*1.1+11,I852*1.1+19))),
IF(L850="NORMAL",
   IF(I852&lt;=30,I852*1.15+2,IF(I852&lt;=80,I852*1.15+4,IF(I852&lt;=150,I852*1.15+6,I852*1.15+8))),
IF(L850="COMPLEMENTO",
   IF(I852&lt;=25,I852*1.25+1.5,IF(I852&lt;=60,I852*1.25+3,IF(I852&lt;=120,I852*1.25+4,I852*1.25+5))),
""))),2)</f>
        <v>47.66</v>
      </c>
      <c r="I852" s="9">
        <f>($K$2+0.02)*Tabla1[[#This Row],[PRECIO $]]*1.18</f>
        <v>35.725679999999997</v>
      </c>
      <c r="J852" s="7">
        <f>+Tabla1[[#This Row],[PRECIO EN SOLES]]-Tabla1[[#This Row],[PC]]</f>
        <v>11.93432</v>
      </c>
      <c r="K852" s="15"/>
      <c r="L852" s="15" t="str">
        <f>IF(
OR(
ISNUMBER(SEARCH("BACKPACK",B854)),
ISNUMBER(SEARCH("MOCHILA",B854)),
ISNUMBER(SEARCH("FUNDA",B854)),
ISNUMBER(SEARCH("ESTUCHE",B854)),
ISNUMBER(SEARCH("BOOK COVER",B854)),
ISNUMBER(SEARCH("KEYBOARD PARA TABLET",B854)),
ISNUMBER(SEARCH("FLIP TABLET",B854)),
ISNUMBER(SEARCH("CASE FOR TABLET",B854)),
ISNUMBER(SEARCH("CABLE",B854)),
ISNUMBER(SEARCH("ADAPTADOR",B854)),
ISNUMBER(SEARCH("HUB",B854)),
ISNUMBER(SEARCH("DOCK",B854)),
ISNUMBER(SEARCH("MOUSE PAD",B854)),
ISNUMBER(SEARCH("MOUSEPAD",B854)),
ISNUMBER(SEARCH("SOPORTE",B854)),
ISNUMBER(SEARCH("STAND",B854)),
ISNUMBER(SEARCH("TRAVEL ADAPTER",B854)),
ISNUMBER(SEARCH("RJ45",B854)),
ISNUMBER(SEARCH("USB-C",B854)),
ISNUMBER(SEARCH("USB WIFI",B854)),
ISNUMBER(SEARCH("POWERBANK",B854)),
ISNUMBER(SEARCH("CARGADOR",B854)),
ISNUMBER(SEARCH("COOLER PARA NB",B854)),
ISNUMBER(SEARCH("SOPORTE PARA NB",B854)),
ISNUMBER(SEARCH("WEBCAM",B854)),
ISNUMBER(SEARCH("WEB CAM",B854)),
ISNUMBER(SEARCH("MOUSE",B854)),
ISNUMBER(SEARCH("TECLADO",B854))
),
"COMPLEMENTO",
IF(
OR(
LEFT(A854,2)="NB",
LEFT(A854,2)="PC",
LEFT(A854,2)="WS",
LEFT(A854,2)="TB",
LEFT(A854,3)="CEL",
LEFT(A854,3)="MON",
LEFT(A854,3)="PRE",
LEFT(A854,3)="PRH",
ISNUMBER(SEARCH("NOTEBOOK",B854)),
ISNUMBER(SEARCH("LAPTOP",B854)),
ISNUMBER(SEARCH("MONITOR",B854)),
ISNUMBER(SEARCH("TABLET",B854)),
ISNUMBER(SEARCH("SMARTPH",B854)),
ISNUMBER(SEARCH("IMPRESORA",B854)),
ISNUMBER(SEARCH("MULTIFUNCIONAL",B854)),
ISNUMBER(SEARCH("AIO",B854))
),
"GANCHO",
"NORMAL"
)
)</f>
        <v>COMPLEMENTO</v>
      </c>
    </row>
    <row r="853" spans="1:12" x14ac:dyDescent="0.25">
      <c r="A853" s="3" t="s">
        <v>6530</v>
      </c>
      <c r="B853" s="3" t="s">
        <v>6531</v>
      </c>
      <c r="C853" s="1">
        <v>20</v>
      </c>
      <c r="D853" s="1">
        <v>24.7</v>
      </c>
      <c r="E853" s="1" t="s">
        <v>52</v>
      </c>
      <c r="F853" s="1" t="s">
        <v>6532</v>
      </c>
      <c r="G853" s="3" t="s">
        <v>6533</v>
      </c>
      <c r="H853" s="11">
        <f>ROUND(
IF(L851="GANCHO",
   IF(I853&lt;=50,I853*1.1+4,IF(I853&lt;=120,I853*1.1+7,IF(I853&lt;=250,I853*1.1+11,I853*1.1+19))),
IF(L851="NORMAL",
   IF(I853&lt;=30,I853*1.15+2,IF(I853&lt;=80,I853*1.15+4,IF(I853&lt;=150,I853*1.15+6,I853*1.15+8))),
IF(L851="COMPLEMENTO",
   IF(I853&lt;=25,I853*1.25+1.5,IF(I853&lt;=60,I853*1.25+3,IF(I853&lt;=120,I853*1.25+4,I853*1.25+5))),
""))),2)</f>
        <v>130.79</v>
      </c>
      <c r="I853" s="9">
        <f>($K$2+0.02)*Tabla1[[#This Row],[PRECIO $]]*1.18</f>
        <v>101.42807999999999</v>
      </c>
      <c r="J853" s="7">
        <f>+Tabla1[[#This Row],[PRECIO EN SOLES]]-Tabla1[[#This Row],[PC]]</f>
        <v>29.361919999999998</v>
      </c>
      <c r="K853" s="15"/>
      <c r="L853" s="15" t="str">
        <f>IF(
OR(
ISNUMBER(SEARCH("BACKPACK",B855)),
ISNUMBER(SEARCH("MOCHILA",B855)),
ISNUMBER(SEARCH("FUNDA",B855)),
ISNUMBER(SEARCH("ESTUCHE",B855)),
ISNUMBER(SEARCH("BOOK COVER",B855)),
ISNUMBER(SEARCH("KEYBOARD PARA TABLET",B855)),
ISNUMBER(SEARCH("FLIP TABLET",B855)),
ISNUMBER(SEARCH("CASE FOR TABLET",B855)),
ISNUMBER(SEARCH("CABLE",B855)),
ISNUMBER(SEARCH("ADAPTADOR",B855)),
ISNUMBER(SEARCH("HUB",B855)),
ISNUMBER(SEARCH("DOCK",B855)),
ISNUMBER(SEARCH("MOUSE PAD",B855)),
ISNUMBER(SEARCH("MOUSEPAD",B855)),
ISNUMBER(SEARCH("SOPORTE",B855)),
ISNUMBER(SEARCH("STAND",B855)),
ISNUMBER(SEARCH("TRAVEL ADAPTER",B855)),
ISNUMBER(SEARCH("RJ45",B855)),
ISNUMBER(SEARCH("USB-C",B855)),
ISNUMBER(SEARCH("USB WIFI",B855)),
ISNUMBER(SEARCH("POWERBANK",B855)),
ISNUMBER(SEARCH("CARGADOR",B855)),
ISNUMBER(SEARCH("COOLER PARA NB",B855)),
ISNUMBER(SEARCH("SOPORTE PARA NB",B855)),
ISNUMBER(SEARCH("WEBCAM",B855)),
ISNUMBER(SEARCH("WEB CAM",B855)),
ISNUMBER(SEARCH("MOUSE",B855)),
ISNUMBER(SEARCH("TECLADO",B855))
),
"COMPLEMENTO",
IF(
OR(
LEFT(A855,2)="NB",
LEFT(A855,2)="PC",
LEFT(A855,2)="WS",
LEFT(A855,2)="TB",
LEFT(A855,3)="CEL",
LEFT(A855,3)="MON",
LEFT(A855,3)="PRE",
LEFT(A855,3)="PRH",
ISNUMBER(SEARCH("NOTEBOOK",B855)),
ISNUMBER(SEARCH("LAPTOP",B855)),
ISNUMBER(SEARCH("MONITOR",B855)),
ISNUMBER(SEARCH("TABLET",B855)),
ISNUMBER(SEARCH("SMARTPH",B855)),
ISNUMBER(SEARCH("IMPRESORA",B855)),
ISNUMBER(SEARCH("MULTIFUNCIONAL",B855)),
ISNUMBER(SEARCH("AIO",B855))
),
"GANCHO",
"NORMAL"
)
)</f>
        <v>COMPLEMENTO</v>
      </c>
    </row>
    <row r="854" spans="1:12" x14ac:dyDescent="0.25">
      <c r="A854" s="3" t="s">
        <v>6534</v>
      </c>
      <c r="B854" s="3" t="s">
        <v>6535</v>
      </c>
      <c r="C854" s="1">
        <v>20</v>
      </c>
      <c r="D854" s="1">
        <v>24.7</v>
      </c>
      <c r="E854" s="1" t="s">
        <v>52</v>
      </c>
      <c r="F854" s="1" t="s">
        <v>6536</v>
      </c>
      <c r="G854" s="3" t="s">
        <v>6537</v>
      </c>
      <c r="H854" s="11">
        <f>ROUND(
IF(L852="GANCHO",
   IF(I854&lt;=50,I854*1.1+4,IF(I854&lt;=120,I854*1.1+7,IF(I854&lt;=250,I854*1.1+11,I854*1.1+19))),
IF(L852="NORMAL",
   IF(I854&lt;=30,I854*1.15+2,IF(I854&lt;=80,I854*1.15+4,IF(I854&lt;=150,I854*1.15+6,I854*1.15+8))),
IF(L852="COMPLEMENTO",
   IF(I854&lt;=25,I854*1.25+1.5,IF(I854&lt;=60,I854*1.25+3,IF(I854&lt;=120,I854*1.25+4,I854*1.25+5))),
""))),2)</f>
        <v>130.79</v>
      </c>
      <c r="I854" s="9">
        <f>($K$2+0.02)*Tabla1[[#This Row],[PRECIO $]]*1.18</f>
        <v>101.42807999999999</v>
      </c>
      <c r="J854" s="7">
        <f>+Tabla1[[#This Row],[PRECIO EN SOLES]]-Tabla1[[#This Row],[PC]]</f>
        <v>29.361919999999998</v>
      </c>
      <c r="K854" s="15"/>
      <c r="L854" s="15" t="str">
        <f>IF(
OR(
ISNUMBER(SEARCH("BACKPACK",B856)),
ISNUMBER(SEARCH("MOCHILA",B856)),
ISNUMBER(SEARCH("FUNDA",B856)),
ISNUMBER(SEARCH("ESTUCHE",B856)),
ISNUMBER(SEARCH("BOOK COVER",B856)),
ISNUMBER(SEARCH("KEYBOARD PARA TABLET",B856)),
ISNUMBER(SEARCH("FLIP TABLET",B856)),
ISNUMBER(SEARCH("CASE FOR TABLET",B856)),
ISNUMBER(SEARCH("CABLE",B856)),
ISNUMBER(SEARCH("ADAPTADOR",B856)),
ISNUMBER(SEARCH("HUB",B856)),
ISNUMBER(SEARCH("DOCK",B856)),
ISNUMBER(SEARCH("MOUSE PAD",B856)),
ISNUMBER(SEARCH("MOUSEPAD",B856)),
ISNUMBER(SEARCH("SOPORTE",B856)),
ISNUMBER(SEARCH("STAND",B856)),
ISNUMBER(SEARCH("TRAVEL ADAPTER",B856)),
ISNUMBER(SEARCH("RJ45",B856)),
ISNUMBER(SEARCH("USB-C",B856)),
ISNUMBER(SEARCH("USB WIFI",B856)),
ISNUMBER(SEARCH("POWERBANK",B856)),
ISNUMBER(SEARCH("CARGADOR",B856)),
ISNUMBER(SEARCH("COOLER PARA NB",B856)),
ISNUMBER(SEARCH("SOPORTE PARA NB",B856)),
ISNUMBER(SEARCH("WEBCAM",B856)),
ISNUMBER(SEARCH("WEB CAM",B856)),
ISNUMBER(SEARCH("MOUSE",B856)),
ISNUMBER(SEARCH("TECLADO",B856))
),
"COMPLEMENTO",
IF(
OR(
LEFT(A856,2)="NB",
LEFT(A856,2)="PC",
LEFT(A856,2)="WS",
LEFT(A856,2)="TB",
LEFT(A856,3)="CEL",
LEFT(A856,3)="MON",
LEFT(A856,3)="PRE",
LEFT(A856,3)="PRH",
ISNUMBER(SEARCH("NOTEBOOK",B856)),
ISNUMBER(SEARCH("LAPTOP",B856)),
ISNUMBER(SEARCH("MONITOR",B856)),
ISNUMBER(SEARCH("TABLET",B856)),
ISNUMBER(SEARCH("SMARTPH",B856)),
ISNUMBER(SEARCH("IMPRESORA",B856)),
ISNUMBER(SEARCH("MULTIFUNCIONAL",B856)),
ISNUMBER(SEARCH("AIO",B856))
),
"GANCHO",
"NORMAL"
)
)</f>
        <v>COMPLEMENTO</v>
      </c>
    </row>
    <row r="855" spans="1:12" x14ac:dyDescent="0.25">
      <c r="A855" s="3" t="s">
        <v>1595</v>
      </c>
      <c r="B855" s="3" t="s">
        <v>1596</v>
      </c>
      <c r="C855" s="1">
        <v>20</v>
      </c>
      <c r="D855" s="1">
        <v>11.8</v>
      </c>
      <c r="E855" s="1" t="s">
        <v>52</v>
      </c>
      <c r="F855" s="1" t="s">
        <v>3547</v>
      </c>
      <c r="G855" s="3" t="s">
        <v>1597</v>
      </c>
      <c r="H855" s="11">
        <f>ROUND(
IF(L853="GANCHO",
   IF(I855&lt;=50,I855*1.1+4,IF(I855&lt;=120,I855*1.1+7,IF(I855&lt;=250,I855*1.1+11,I855*1.1+19))),
IF(L853="NORMAL",
   IF(I855&lt;=30,I855*1.15+2,IF(I855&lt;=80,I855*1.15+4,IF(I855&lt;=150,I855*1.15+6,I855*1.15+8))),
IF(L853="COMPLEMENTO",
   IF(I855&lt;=25,I855*1.25+1.5,IF(I855&lt;=60,I855*1.25+3,IF(I855&lt;=120,I855*1.25+4,I855*1.25+5))),
""))),2)</f>
        <v>63.57</v>
      </c>
      <c r="I855" s="9">
        <f>($K$2+0.02)*Tabla1[[#This Row],[PRECIO $]]*1.18</f>
        <v>48.45552</v>
      </c>
      <c r="J855" s="7">
        <f>+Tabla1[[#This Row],[PRECIO EN SOLES]]-Tabla1[[#This Row],[PC]]</f>
        <v>15.11448</v>
      </c>
      <c r="K855" s="15"/>
      <c r="L855" s="15" t="str">
        <f>IF(
OR(
ISNUMBER(SEARCH("BACKPACK",B857)),
ISNUMBER(SEARCH("MOCHILA",B857)),
ISNUMBER(SEARCH("FUNDA",B857)),
ISNUMBER(SEARCH("ESTUCHE",B857)),
ISNUMBER(SEARCH("BOOK COVER",B857)),
ISNUMBER(SEARCH("KEYBOARD PARA TABLET",B857)),
ISNUMBER(SEARCH("FLIP TABLET",B857)),
ISNUMBER(SEARCH("CASE FOR TABLET",B857)),
ISNUMBER(SEARCH("CABLE",B857)),
ISNUMBER(SEARCH("ADAPTADOR",B857)),
ISNUMBER(SEARCH("HUB",B857)),
ISNUMBER(SEARCH("DOCK",B857)),
ISNUMBER(SEARCH("MOUSE PAD",B857)),
ISNUMBER(SEARCH("MOUSEPAD",B857)),
ISNUMBER(SEARCH("SOPORTE",B857)),
ISNUMBER(SEARCH("STAND",B857)),
ISNUMBER(SEARCH("TRAVEL ADAPTER",B857)),
ISNUMBER(SEARCH("RJ45",B857)),
ISNUMBER(SEARCH("USB-C",B857)),
ISNUMBER(SEARCH("USB WIFI",B857)),
ISNUMBER(SEARCH("POWERBANK",B857)),
ISNUMBER(SEARCH("CARGADOR",B857)),
ISNUMBER(SEARCH("COOLER PARA NB",B857)),
ISNUMBER(SEARCH("SOPORTE PARA NB",B857)),
ISNUMBER(SEARCH("WEBCAM",B857)),
ISNUMBER(SEARCH("WEB CAM",B857)),
ISNUMBER(SEARCH("MOUSE",B857)),
ISNUMBER(SEARCH("TECLADO",B857))
),
"COMPLEMENTO",
IF(
OR(
LEFT(A857,2)="NB",
LEFT(A857,2)="PC",
LEFT(A857,2)="WS",
LEFT(A857,2)="TB",
LEFT(A857,3)="CEL",
LEFT(A857,3)="MON",
LEFT(A857,3)="PRE",
LEFT(A857,3)="PRH",
ISNUMBER(SEARCH("NOTEBOOK",B857)),
ISNUMBER(SEARCH("LAPTOP",B857)),
ISNUMBER(SEARCH("MONITOR",B857)),
ISNUMBER(SEARCH("TABLET",B857)),
ISNUMBER(SEARCH("SMARTPH",B857)),
ISNUMBER(SEARCH("IMPRESORA",B857)),
ISNUMBER(SEARCH("MULTIFUNCIONAL",B857)),
ISNUMBER(SEARCH("AIO",B857))
),
"GANCHO",
"NORMAL"
)
)</f>
        <v>COMPLEMENTO</v>
      </c>
    </row>
    <row r="856" spans="1:12" x14ac:dyDescent="0.25">
      <c r="A856" s="3" t="s">
        <v>277</v>
      </c>
      <c r="B856" s="3" t="s">
        <v>278</v>
      </c>
      <c r="C856" s="1">
        <v>20</v>
      </c>
      <c r="D856" s="1">
        <v>25.9</v>
      </c>
      <c r="E856" s="1" t="s">
        <v>52</v>
      </c>
      <c r="F856" s="1" t="s">
        <v>3548</v>
      </c>
      <c r="G856" s="3" t="s">
        <v>663</v>
      </c>
      <c r="H856" s="11">
        <f>ROUND(
IF(L854="GANCHO",
   IF(I856&lt;=50,I856*1.1+4,IF(I856&lt;=120,I856*1.1+7,IF(I856&lt;=250,I856*1.1+11,I856*1.1+19))),
IF(L854="NORMAL",
   IF(I856&lt;=30,I856*1.15+2,IF(I856&lt;=80,I856*1.15+4,IF(I856&lt;=150,I856*1.15+6,I856*1.15+8))),
IF(L854="COMPLEMENTO",
   IF(I856&lt;=25,I856*1.25+1.5,IF(I856&lt;=60,I856*1.25+3,IF(I856&lt;=120,I856*1.25+4,I856*1.25+5))),
""))),2)</f>
        <v>136.94</v>
      </c>
      <c r="I856" s="9">
        <f>($K$2+0.02)*Tabla1[[#This Row],[PRECIO $]]*1.18</f>
        <v>106.35575999999999</v>
      </c>
      <c r="J856" s="7">
        <f>+Tabla1[[#This Row],[PRECIO EN SOLES]]-Tabla1[[#This Row],[PC]]</f>
        <v>30.584240000000008</v>
      </c>
      <c r="K856" s="15"/>
      <c r="L856" s="15" t="str">
        <f>IF(
OR(
ISNUMBER(SEARCH("BACKPACK",B858)),
ISNUMBER(SEARCH("MOCHILA",B858)),
ISNUMBER(SEARCH("FUNDA",B858)),
ISNUMBER(SEARCH("ESTUCHE",B858)),
ISNUMBER(SEARCH("BOOK COVER",B858)),
ISNUMBER(SEARCH("KEYBOARD PARA TABLET",B858)),
ISNUMBER(SEARCH("FLIP TABLET",B858)),
ISNUMBER(SEARCH("CASE FOR TABLET",B858)),
ISNUMBER(SEARCH("CABLE",B858)),
ISNUMBER(SEARCH("ADAPTADOR",B858)),
ISNUMBER(SEARCH("HUB",B858)),
ISNUMBER(SEARCH("DOCK",B858)),
ISNUMBER(SEARCH("MOUSE PAD",B858)),
ISNUMBER(SEARCH("MOUSEPAD",B858)),
ISNUMBER(SEARCH("SOPORTE",B858)),
ISNUMBER(SEARCH("STAND",B858)),
ISNUMBER(SEARCH("TRAVEL ADAPTER",B858)),
ISNUMBER(SEARCH("RJ45",B858)),
ISNUMBER(SEARCH("USB-C",B858)),
ISNUMBER(SEARCH("USB WIFI",B858)),
ISNUMBER(SEARCH("POWERBANK",B858)),
ISNUMBER(SEARCH("CARGADOR",B858)),
ISNUMBER(SEARCH("COOLER PARA NB",B858)),
ISNUMBER(SEARCH("SOPORTE PARA NB",B858)),
ISNUMBER(SEARCH("WEBCAM",B858)),
ISNUMBER(SEARCH("WEB CAM",B858)),
ISNUMBER(SEARCH("MOUSE",B858)),
ISNUMBER(SEARCH("TECLADO",B858))
),
"COMPLEMENTO",
IF(
OR(
LEFT(A858,2)="NB",
LEFT(A858,2)="PC",
LEFT(A858,2)="WS",
LEFT(A858,2)="TB",
LEFT(A858,3)="CEL",
LEFT(A858,3)="MON",
LEFT(A858,3)="PRE",
LEFT(A858,3)="PRH",
ISNUMBER(SEARCH("NOTEBOOK",B858)),
ISNUMBER(SEARCH("LAPTOP",B858)),
ISNUMBER(SEARCH("MONITOR",B858)),
ISNUMBER(SEARCH("TABLET",B858)),
ISNUMBER(SEARCH("SMARTPH",B858)),
ISNUMBER(SEARCH("IMPRESORA",B858)),
ISNUMBER(SEARCH("MULTIFUNCIONAL",B858)),
ISNUMBER(SEARCH("AIO",B858))
),
"GANCHO",
"NORMAL"
)
)</f>
        <v>COMPLEMENTO</v>
      </c>
    </row>
    <row r="857" spans="1:12" x14ac:dyDescent="0.25">
      <c r="A857" s="3" t="s">
        <v>279</v>
      </c>
      <c r="B857" s="3" t="s">
        <v>280</v>
      </c>
      <c r="C857" s="1">
        <v>20</v>
      </c>
      <c r="D857" s="1">
        <v>25.9</v>
      </c>
      <c r="E857" s="1" t="s">
        <v>52</v>
      </c>
      <c r="F857" s="1" t="s">
        <v>3549</v>
      </c>
      <c r="G857" s="3" t="s">
        <v>664</v>
      </c>
      <c r="H857" s="11">
        <f>ROUND(
IF(L855="GANCHO",
   IF(I857&lt;=50,I857*1.1+4,IF(I857&lt;=120,I857*1.1+7,IF(I857&lt;=250,I857*1.1+11,I857*1.1+19))),
IF(L855="NORMAL",
   IF(I857&lt;=30,I857*1.15+2,IF(I857&lt;=80,I857*1.15+4,IF(I857&lt;=150,I857*1.15+6,I857*1.15+8))),
IF(L855="COMPLEMENTO",
   IF(I857&lt;=25,I857*1.25+1.5,IF(I857&lt;=60,I857*1.25+3,IF(I857&lt;=120,I857*1.25+4,I857*1.25+5))),
""))),2)</f>
        <v>136.94</v>
      </c>
      <c r="I857" s="9">
        <f>($K$2+0.02)*Tabla1[[#This Row],[PRECIO $]]*1.18</f>
        <v>106.35575999999999</v>
      </c>
      <c r="J857" s="7">
        <f>+Tabla1[[#This Row],[PRECIO EN SOLES]]-Tabla1[[#This Row],[PC]]</f>
        <v>30.584240000000008</v>
      </c>
      <c r="K857" s="15"/>
      <c r="L857" s="15" t="str">
        <f>IF(
OR(
ISNUMBER(SEARCH("BACKPACK",B859)),
ISNUMBER(SEARCH("MOCHILA",B859)),
ISNUMBER(SEARCH("FUNDA",B859)),
ISNUMBER(SEARCH("ESTUCHE",B859)),
ISNUMBER(SEARCH("BOOK COVER",B859)),
ISNUMBER(SEARCH("KEYBOARD PARA TABLET",B859)),
ISNUMBER(SEARCH("FLIP TABLET",B859)),
ISNUMBER(SEARCH("CASE FOR TABLET",B859)),
ISNUMBER(SEARCH("CABLE",B859)),
ISNUMBER(SEARCH("ADAPTADOR",B859)),
ISNUMBER(SEARCH("HUB",B859)),
ISNUMBER(SEARCH("DOCK",B859)),
ISNUMBER(SEARCH("MOUSE PAD",B859)),
ISNUMBER(SEARCH("MOUSEPAD",B859)),
ISNUMBER(SEARCH("SOPORTE",B859)),
ISNUMBER(SEARCH("STAND",B859)),
ISNUMBER(SEARCH("TRAVEL ADAPTER",B859)),
ISNUMBER(SEARCH("RJ45",B859)),
ISNUMBER(SEARCH("USB-C",B859)),
ISNUMBER(SEARCH("USB WIFI",B859)),
ISNUMBER(SEARCH("POWERBANK",B859)),
ISNUMBER(SEARCH("CARGADOR",B859)),
ISNUMBER(SEARCH("COOLER PARA NB",B859)),
ISNUMBER(SEARCH("SOPORTE PARA NB",B859)),
ISNUMBER(SEARCH("WEBCAM",B859)),
ISNUMBER(SEARCH("WEB CAM",B859)),
ISNUMBER(SEARCH("MOUSE",B859)),
ISNUMBER(SEARCH("TECLADO",B859))
),
"COMPLEMENTO",
IF(
OR(
LEFT(A859,2)="NB",
LEFT(A859,2)="PC",
LEFT(A859,2)="WS",
LEFT(A859,2)="TB",
LEFT(A859,3)="CEL",
LEFT(A859,3)="MON",
LEFT(A859,3)="PRE",
LEFT(A859,3)="PRH",
ISNUMBER(SEARCH("NOTEBOOK",B859)),
ISNUMBER(SEARCH("LAPTOP",B859)),
ISNUMBER(SEARCH("MONITOR",B859)),
ISNUMBER(SEARCH("TABLET",B859)),
ISNUMBER(SEARCH("SMARTPH",B859)),
ISNUMBER(SEARCH("IMPRESORA",B859)),
ISNUMBER(SEARCH("MULTIFUNCIONAL",B859)),
ISNUMBER(SEARCH("AIO",B859))
),
"GANCHO",
"NORMAL"
)
)</f>
        <v>COMPLEMENTO</v>
      </c>
    </row>
    <row r="858" spans="1:12" x14ac:dyDescent="0.25">
      <c r="A858" s="3" t="s">
        <v>4983</v>
      </c>
      <c r="B858" s="3" t="s">
        <v>1981</v>
      </c>
      <c r="C858" s="1">
        <v>20</v>
      </c>
      <c r="D858" s="1">
        <v>100</v>
      </c>
      <c r="E858" s="1" t="s">
        <v>52</v>
      </c>
      <c r="F858" s="1" t="s">
        <v>4984</v>
      </c>
      <c r="G858" s="3" t="s">
        <v>4985</v>
      </c>
      <c r="H858" s="11">
        <f>ROUND(
IF(L856="GANCHO",
   IF(I858&lt;=50,I858*1.1+4,IF(I858&lt;=120,I858*1.1+7,IF(I858&lt;=250,I858*1.1+11,I858*1.1+19))),
IF(L856="NORMAL",
   IF(I858&lt;=30,I858*1.15+2,IF(I858&lt;=80,I858*1.15+4,IF(I858&lt;=150,I858*1.15+6,I858*1.15+8))),
IF(L856="COMPLEMENTO",
   IF(I858&lt;=25,I858*1.25+1.5,IF(I858&lt;=60,I858*1.25+3,IF(I858&lt;=120,I858*1.25+4,I858*1.25+5))),
""))),2)</f>
        <v>518.29999999999995</v>
      </c>
      <c r="I858" s="9">
        <f>($K$2+0.02)*Tabla1[[#This Row],[PRECIO $]]*1.18</f>
        <v>410.64</v>
      </c>
      <c r="J858" s="7">
        <f>+Tabla1[[#This Row],[PRECIO EN SOLES]]-Tabla1[[#This Row],[PC]]</f>
        <v>107.65999999999997</v>
      </c>
      <c r="K858" s="15"/>
      <c r="L858" s="15" t="str">
        <f>IF(
OR(
ISNUMBER(SEARCH("BACKPACK",B860)),
ISNUMBER(SEARCH("MOCHILA",B860)),
ISNUMBER(SEARCH("FUNDA",B860)),
ISNUMBER(SEARCH("ESTUCHE",B860)),
ISNUMBER(SEARCH("BOOK COVER",B860)),
ISNUMBER(SEARCH("KEYBOARD PARA TABLET",B860)),
ISNUMBER(SEARCH("FLIP TABLET",B860)),
ISNUMBER(SEARCH("CASE FOR TABLET",B860)),
ISNUMBER(SEARCH("CABLE",B860)),
ISNUMBER(SEARCH("ADAPTADOR",B860)),
ISNUMBER(SEARCH("HUB",B860)),
ISNUMBER(SEARCH("DOCK",B860)),
ISNUMBER(SEARCH("MOUSE PAD",B860)),
ISNUMBER(SEARCH("MOUSEPAD",B860)),
ISNUMBER(SEARCH("SOPORTE",B860)),
ISNUMBER(SEARCH("STAND",B860)),
ISNUMBER(SEARCH("TRAVEL ADAPTER",B860)),
ISNUMBER(SEARCH("RJ45",B860)),
ISNUMBER(SEARCH("USB-C",B860)),
ISNUMBER(SEARCH("USB WIFI",B860)),
ISNUMBER(SEARCH("POWERBANK",B860)),
ISNUMBER(SEARCH("CARGADOR",B860)),
ISNUMBER(SEARCH("COOLER PARA NB",B860)),
ISNUMBER(SEARCH("SOPORTE PARA NB",B860)),
ISNUMBER(SEARCH("WEBCAM",B860)),
ISNUMBER(SEARCH("WEB CAM",B860)),
ISNUMBER(SEARCH("MOUSE",B860)),
ISNUMBER(SEARCH("TECLADO",B860))
),
"COMPLEMENTO",
IF(
OR(
LEFT(A860,2)="NB",
LEFT(A860,2)="PC",
LEFT(A860,2)="WS",
LEFT(A860,2)="TB",
LEFT(A860,3)="CEL",
LEFT(A860,3)="MON",
LEFT(A860,3)="PRE",
LEFT(A860,3)="PRH",
ISNUMBER(SEARCH("NOTEBOOK",B860)),
ISNUMBER(SEARCH("LAPTOP",B860)),
ISNUMBER(SEARCH("MONITOR",B860)),
ISNUMBER(SEARCH("TABLET",B860)),
ISNUMBER(SEARCH("SMARTPH",B860)),
ISNUMBER(SEARCH("IMPRESORA",B860)),
ISNUMBER(SEARCH("MULTIFUNCIONAL",B860)),
ISNUMBER(SEARCH("AIO",B860))
),
"GANCHO",
"NORMAL"
)
)</f>
        <v>COMPLEMENTO</v>
      </c>
    </row>
    <row r="859" spans="1:12" x14ac:dyDescent="0.25">
      <c r="A859" s="3" t="s">
        <v>4986</v>
      </c>
      <c r="B859" s="3" t="s">
        <v>278</v>
      </c>
      <c r="C859" s="1">
        <v>20</v>
      </c>
      <c r="D859" s="1">
        <v>666</v>
      </c>
      <c r="E859" s="1" t="s">
        <v>249</v>
      </c>
      <c r="F859" s="1" t="s">
        <v>4987</v>
      </c>
      <c r="G859" s="3"/>
      <c r="H859" s="11">
        <f>ROUND(
IF(L857="GANCHO",
   IF(I859&lt;=50,I859*1.1+4,IF(I859&lt;=120,I859*1.1+7,IF(I859&lt;=250,I859*1.1+11,I859*1.1+19))),
IF(L857="NORMAL",
   IF(I859&lt;=30,I859*1.15+2,IF(I859&lt;=80,I859*1.15+4,IF(I859&lt;=150,I859*1.15+6,I859*1.15+8))),
IF(L857="COMPLEMENTO",
   IF(I859&lt;=25,I859*1.25+1.5,IF(I859&lt;=60,I859*1.25+3,IF(I859&lt;=120,I859*1.25+4,I859*1.25+5))),
""))),2)</f>
        <v>3423.58</v>
      </c>
      <c r="I859" s="9">
        <f>($K$2+0.02)*Tabla1[[#This Row],[PRECIO $]]*1.18</f>
        <v>2734.8623999999995</v>
      </c>
      <c r="J859" s="7">
        <f>+Tabla1[[#This Row],[PRECIO EN SOLES]]-Tabla1[[#This Row],[PC]]</f>
        <v>688.7176000000004</v>
      </c>
      <c r="K859" s="15"/>
      <c r="L859" s="15" t="str">
        <f>IF(
OR(
ISNUMBER(SEARCH("BACKPACK",B861)),
ISNUMBER(SEARCH("MOCHILA",B861)),
ISNUMBER(SEARCH("FUNDA",B861)),
ISNUMBER(SEARCH("ESTUCHE",B861)),
ISNUMBER(SEARCH("BOOK COVER",B861)),
ISNUMBER(SEARCH("KEYBOARD PARA TABLET",B861)),
ISNUMBER(SEARCH("FLIP TABLET",B861)),
ISNUMBER(SEARCH("CASE FOR TABLET",B861)),
ISNUMBER(SEARCH("CABLE",B861)),
ISNUMBER(SEARCH("ADAPTADOR",B861)),
ISNUMBER(SEARCH("HUB",B861)),
ISNUMBER(SEARCH("DOCK",B861)),
ISNUMBER(SEARCH("MOUSE PAD",B861)),
ISNUMBER(SEARCH("MOUSEPAD",B861)),
ISNUMBER(SEARCH("SOPORTE",B861)),
ISNUMBER(SEARCH("STAND",B861)),
ISNUMBER(SEARCH("TRAVEL ADAPTER",B861)),
ISNUMBER(SEARCH("RJ45",B861)),
ISNUMBER(SEARCH("USB-C",B861)),
ISNUMBER(SEARCH("USB WIFI",B861)),
ISNUMBER(SEARCH("POWERBANK",B861)),
ISNUMBER(SEARCH("CARGADOR",B861)),
ISNUMBER(SEARCH("COOLER PARA NB",B861)),
ISNUMBER(SEARCH("SOPORTE PARA NB",B861)),
ISNUMBER(SEARCH("WEBCAM",B861)),
ISNUMBER(SEARCH("WEB CAM",B861)),
ISNUMBER(SEARCH("MOUSE",B861)),
ISNUMBER(SEARCH("TECLADO",B861))
),
"COMPLEMENTO",
IF(
OR(
LEFT(A861,2)="NB",
LEFT(A861,2)="PC",
LEFT(A861,2)="WS",
LEFT(A861,2)="TB",
LEFT(A861,3)="CEL",
LEFT(A861,3)="MON",
LEFT(A861,3)="PRE",
LEFT(A861,3)="PRH",
ISNUMBER(SEARCH("NOTEBOOK",B861)),
ISNUMBER(SEARCH("LAPTOP",B861)),
ISNUMBER(SEARCH("MONITOR",B861)),
ISNUMBER(SEARCH("TABLET",B861)),
ISNUMBER(SEARCH("SMARTPH",B861)),
ISNUMBER(SEARCH("IMPRESORA",B861)),
ISNUMBER(SEARCH("MULTIFUNCIONAL",B861)),
ISNUMBER(SEARCH("AIO",B861))
),
"GANCHO",
"NORMAL"
)
)</f>
        <v>COMPLEMENTO</v>
      </c>
    </row>
    <row r="860" spans="1:12" x14ac:dyDescent="0.25">
      <c r="A860" s="3" t="s">
        <v>4988</v>
      </c>
      <c r="B860" s="3" t="s">
        <v>280</v>
      </c>
      <c r="C860" s="1">
        <v>20</v>
      </c>
      <c r="D860" s="1">
        <v>666</v>
      </c>
      <c r="E860" s="1" t="s">
        <v>249</v>
      </c>
      <c r="F860" s="1" t="s">
        <v>4989</v>
      </c>
      <c r="G860" s="3"/>
      <c r="H860" s="11">
        <f>ROUND(
IF(L858="GANCHO",
   IF(I860&lt;=50,I860*1.1+4,IF(I860&lt;=120,I860*1.1+7,IF(I860&lt;=250,I860*1.1+11,I860*1.1+19))),
IF(L858="NORMAL",
   IF(I860&lt;=30,I860*1.15+2,IF(I860&lt;=80,I860*1.15+4,IF(I860&lt;=150,I860*1.15+6,I860*1.15+8))),
IF(L858="COMPLEMENTO",
   IF(I860&lt;=25,I860*1.25+1.5,IF(I860&lt;=60,I860*1.25+3,IF(I860&lt;=120,I860*1.25+4,I860*1.25+5))),
""))),2)</f>
        <v>3423.58</v>
      </c>
      <c r="I860" s="9">
        <f>($K$2+0.02)*Tabla1[[#This Row],[PRECIO $]]*1.18</f>
        <v>2734.8623999999995</v>
      </c>
      <c r="J860" s="7">
        <f>+Tabla1[[#This Row],[PRECIO EN SOLES]]-Tabla1[[#This Row],[PC]]</f>
        <v>688.7176000000004</v>
      </c>
      <c r="K860" s="15"/>
      <c r="L860" s="15" t="str">
        <f>IF(
OR(
ISNUMBER(SEARCH("BACKPACK",B862)),
ISNUMBER(SEARCH("MOCHILA",B862)),
ISNUMBER(SEARCH("FUNDA",B862)),
ISNUMBER(SEARCH("ESTUCHE",B862)),
ISNUMBER(SEARCH("BOOK COVER",B862)),
ISNUMBER(SEARCH("KEYBOARD PARA TABLET",B862)),
ISNUMBER(SEARCH("FLIP TABLET",B862)),
ISNUMBER(SEARCH("CASE FOR TABLET",B862)),
ISNUMBER(SEARCH("CABLE",B862)),
ISNUMBER(SEARCH("ADAPTADOR",B862)),
ISNUMBER(SEARCH("HUB",B862)),
ISNUMBER(SEARCH("DOCK",B862)),
ISNUMBER(SEARCH("MOUSE PAD",B862)),
ISNUMBER(SEARCH("MOUSEPAD",B862)),
ISNUMBER(SEARCH("SOPORTE",B862)),
ISNUMBER(SEARCH("STAND",B862)),
ISNUMBER(SEARCH("TRAVEL ADAPTER",B862)),
ISNUMBER(SEARCH("RJ45",B862)),
ISNUMBER(SEARCH("USB-C",B862)),
ISNUMBER(SEARCH("USB WIFI",B862)),
ISNUMBER(SEARCH("POWERBANK",B862)),
ISNUMBER(SEARCH("CARGADOR",B862)),
ISNUMBER(SEARCH("COOLER PARA NB",B862)),
ISNUMBER(SEARCH("SOPORTE PARA NB",B862)),
ISNUMBER(SEARCH("WEBCAM",B862)),
ISNUMBER(SEARCH("WEB CAM",B862)),
ISNUMBER(SEARCH("MOUSE",B862)),
ISNUMBER(SEARCH("TECLADO",B862))
),
"COMPLEMENTO",
IF(
OR(
LEFT(A862,2)="NB",
LEFT(A862,2)="PC",
LEFT(A862,2)="WS",
LEFT(A862,2)="TB",
LEFT(A862,3)="CEL",
LEFT(A862,3)="MON",
LEFT(A862,3)="PRE",
LEFT(A862,3)="PRH",
ISNUMBER(SEARCH("NOTEBOOK",B862)),
ISNUMBER(SEARCH("LAPTOP",B862)),
ISNUMBER(SEARCH("MONITOR",B862)),
ISNUMBER(SEARCH("TABLET",B862)),
ISNUMBER(SEARCH("SMARTPH",B862)),
ISNUMBER(SEARCH("IMPRESORA",B862)),
ISNUMBER(SEARCH("MULTIFUNCIONAL",B862)),
ISNUMBER(SEARCH("AIO",B862))
),
"GANCHO",
"NORMAL"
)
)</f>
        <v>COMPLEMENTO</v>
      </c>
    </row>
    <row r="861" spans="1:12" x14ac:dyDescent="0.25">
      <c r="A861" s="3" t="s">
        <v>2972</v>
      </c>
      <c r="B861" s="3" t="s">
        <v>2973</v>
      </c>
      <c r="C861" s="1">
        <v>20</v>
      </c>
      <c r="D861" s="1">
        <v>19.899999999999999</v>
      </c>
      <c r="E861" s="1" t="s">
        <v>276</v>
      </c>
      <c r="F861" s="1" t="s">
        <v>3550</v>
      </c>
      <c r="G861" s="3"/>
      <c r="H861" s="11">
        <f>ROUND(
IF(L859="GANCHO",
   IF(I861&lt;=50,I861*1.1+4,IF(I861&lt;=120,I861*1.1+7,IF(I861&lt;=250,I861*1.1+11,I861*1.1+19))),
IF(L859="NORMAL",
   IF(I861&lt;=30,I861*1.15+2,IF(I861&lt;=80,I861*1.15+4,IF(I861&lt;=150,I861*1.15+6,I861*1.15+8))),
IF(L859="COMPLEMENTO",
   IF(I861&lt;=25,I861*1.25+1.5,IF(I861&lt;=60,I861*1.25+3,IF(I861&lt;=120,I861*1.25+4,I861*1.25+5))),
""))),2)</f>
        <v>106.15</v>
      </c>
      <c r="I861" s="9">
        <f>($K$2+0.02)*Tabla1[[#This Row],[PRECIO $]]*1.18</f>
        <v>81.717359999999985</v>
      </c>
      <c r="J861" s="7">
        <f>+Tabla1[[#This Row],[PRECIO EN SOLES]]-Tabla1[[#This Row],[PC]]</f>
        <v>24.432640000000021</v>
      </c>
      <c r="K861" s="15"/>
      <c r="L861" s="15" t="str">
        <f>IF(
OR(
ISNUMBER(SEARCH("BACKPACK",B863)),
ISNUMBER(SEARCH("MOCHILA",B863)),
ISNUMBER(SEARCH("FUNDA",B863)),
ISNUMBER(SEARCH("ESTUCHE",B863)),
ISNUMBER(SEARCH("BOOK COVER",B863)),
ISNUMBER(SEARCH("KEYBOARD PARA TABLET",B863)),
ISNUMBER(SEARCH("FLIP TABLET",B863)),
ISNUMBER(SEARCH("CASE FOR TABLET",B863)),
ISNUMBER(SEARCH("CABLE",B863)),
ISNUMBER(SEARCH("ADAPTADOR",B863)),
ISNUMBER(SEARCH("HUB",B863)),
ISNUMBER(SEARCH("DOCK",B863)),
ISNUMBER(SEARCH("MOUSE PAD",B863)),
ISNUMBER(SEARCH("MOUSEPAD",B863)),
ISNUMBER(SEARCH("SOPORTE",B863)),
ISNUMBER(SEARCH("STAND",B863)),
ISNUMBER(SEARCH("TRAVEL ADAPTER",B863)),
ISNUMBER(SEARCH("RJ45",B863)),
ISNUMBER(SEARCH("USB-C",B863)),
ISNUMBER(SEARCH("USB WIFI",B863)),
ISNUMBER(SEARCH("POWERBANK",B863)),
ISNUMBER(SEARCH("CARGADOR",B863)),
ISNUMBER(SEARCH("COOLER PARA NB",B863)),
ISNUMBER(SEARCH("SOPORTE PARA NB",B863)),
ISNUMBER(SEARCH("WEBCAM",B863)),
ISNUMBER(SEARCH("WEB CAM",B863)),
ISNUMBER(SEARCH("MOUSE",B863)),
ISNUMBER(SEARCH("TECLADO",B863))
),
"COMPLEMENTO",
IF(
OR(
LEFT(A863,2)="NB",
LEFT(A863,2)="PC",
LEFT(A863,2)="WS",
LEFT(A863,2)="TB",
LEFT(A863,3)="CEL",
LEFT(A863,3)="MON",
LEFT(A863,3)="PRE",
LEFT(A863,3)="PRH",
ISNUMBER(SEARCH("NOTEBOOK",B863)),
ISNUMBER(SEARCH("LAPTOP",B863)),
ISNUMBER(SEARCH("MONITOR",B863)),
ISNUMBER(SEARCH("TABLET",B863)),
ISNUMBER(SEARCH("SMARTPH",B863)),
ISNUMBER(SEARCH("IMPRESORA",B863)),
ISNUMBER(SEARCH("MULTIFUNCIONAL",B863)),
ISNUMBER(SEARCH("AIO",B863))
),
"GANCHO",
"NORMAL"
)
)</f>
        <v>COMPLEMENTO</v>
      </c>
    </row>
    <row r="862" spans="1:12" x14ac:dyDescent="0.25">
      <c r="A862" s="3" t="s">
        <v>6018</v>
      </c>
      <c r="B862" s="3" t="s">
        <v>6019</v>
      </c>
      <c r="C862" s="1">
        <v>0</v>
      </c>
      <c r="D862" s="1">
        <v>9999999.9900000002</v>
      </c>
      <c r="E862" s="1" t="s">
        <v>186</v>
      </c>
      <c r="F862" s="1" t="s">
        <v>6020</v>
      </c>
      <c r="G862" s="3"/>
      <c r="H862" s="11">
        <f>ROUND(
IF(L860="GANCHO",
   IF(I862&lt;=50,I862*1.1+4,IF(I862&lt;=120,I862*1.1+7,IF(I862&lt;=250,I862*1.1+11,I862*1.1+19))),
IF(L860="NORMAL",
   IF(I862&lt;=30,I862*1.15+2,IF(I862&lt;=80,I862*1.15+4,IF(I862&lt;=150,I862*1.15+6,I862*1.15+8))),
IF(L860="COMPLEMENTO",
   IF(I862&lt;=25,I862*1.25+1.5,IF(I862&lt;=60,I862*1.25+3,IF(I862&lt;=120,I862*1.25+4,I862*1.25+5))),
""))),2)</f>
        <v>51330004.950000003</v>
      </c>
      <c r="I862" s="9">
        <f>($K$2+0.02)*Tabla1[[#This Row],[PRECIO $]]*1.18</f>
        <v>41063999.958935998</v>
      </c>
      <c r="J862" s="7">
        <f>+Tabla1[[#This Row],[PRECIO EN SOLES]]-Tabla1[[#This Row],[PC]]</f>
        <v>10266004.991064005</v>
      </c>
      <c r="K862" s="15"/>
      <c r="L862" s="15" t="str">
        <f>IF(
OR(
ISNUMBER(SEARCH("BACKPACK",B864)),
ISNUMBER(SEARCH("MOCHILA",B864)),
ISNUMBER(SEARCH("FUNDA",B864)),
ISNUMBER(SEARCH("ESTUCHE",B864)),
ISNUMBER(SEARCH("BOOK COVER",B864)),
ISNUMBER(SEARCH("KEYBOARD PARA TABLET",B864)),
ISNUMBER(SEARCH("FLIP TABLET",B864)),
ISNUMBER(SEARCH("CASE FOR TABLET",B864)),
ISNUMBER(SEARCH("CABLE",B864)),
ISNUMBER(SEARCH("ADAPTADOR",B864)),
ISNUMBER(SEARCH("HUB",B864)),
ISNUMBER(SEARCH("DOCK",B864)),
ISNUMBER(SEARCH("MOUSE PAD",B864)),
ISNUMBER(SEARCH("MOUSEPAD",B864)),
ISNUMBER(SEARCH("SOPORTE",B864)),
ISNUMBER(SEARCH("STAND",B864)),
ISNUMBER(SEARCH("TRAVEL ADAPTER",B864)),
ISNUMBER(SEARCH("RJ45",B864)),
ISNUMBER(SEARCH("USB-C",B864)),
ISNUMBER(SEARCH("USB WIFI",B864)),
ISNUMBER(SEARCH("POWERBANK",B864)),
ISNUMBER(SEARCH("CARGADOR",B864)),
ISNUMBER(SEARCH("COOLER PARA NB",B864)),
ISNUMBER(SEARCH("SOPORTE PARA NB",B864)),
ISNUMBER(SEARCH("WEBCAM",B864)),
ISNUMBER(SEARCH("WEB CAM",B864)),
ISNUMBER(SEARCH("MOUSE",B864)),
ISNUMBER(SEARCH("TECLADO",B864))
),
"COMPLEMENTO",
IF(
OR(
LEFT(A864,2)="NB",
LEFT(A864,2)="PC",
LEFT(A864,2)="WS",
LEFT(A864,2)="TB",
LEFT(A864,3)="CEL",
LEFT(A864,3)="MON",
LEFT(A864,3)="PRE",
LEFT(A864,3)="PRH",
ISNUMBER(SEARCH("NOTEBOOK",B864)),
ISNUMBER(SEARCH("LAPTOP",B864)),
ISNUMBER(SEARCH("MONITOR",B864)),
ISNUMBER(SEARCH("TABLET",B864)),
ISNUMBER(SEARCH("SMARTPH",B864)),
ISNUMBER(SEARCH("IMPRESORA",B864)),
ISNUMBER(SEARCH("MULTIFUNCIONAL",B864)),
ISNUMBER(SEARCH("AIO",B864))
),
"GANCHO",
"NORMAL"
)
)</f>
        <v>COMPLEMENTO</v>
      </c>
    </row>
    <row r="863" spans="1:12" x14ac:dyDescent="0.25">
      <c r="A863" s="3" t="s">
        <v>4627</v>
      </c>
      <c r="B863" s="3" t="s">
        <v>4628</v>
      </c>
      <c r="C863" s="1">
        <v>0</v>
      </c>
      <c r="D863" s="1">
        <v>999</v>
      </c>
      <c r="E863" s="1" t="s">
        <v>186</v>
      </c>
      <c r="F863" s="1" t="s">
        <v>4629</v>
      </c>
      <c r="G863" s="3"/>
      <c r="H863" s="11">
        <f>ROUND(
IF(L861="GANCHO",
   IF(I863&lt;=50,I863*1.1+4,IF(I863&lt;=120,I863*1.1+7,IF(I863&lt;=250,I863*1.1+11,I863*1.1+19))),
IF(L861="NORMAL",
   IF(I863&lt;=30,I863*1.15+2,IF(I863&lt;=80,I863*1.15+4,IF(I863&lt;=150,I863*1.15+6,I863*1.15+8))),
IF(L861="COMPLEMENTO",
   IF(I863&lt;=25,I863*1.25+1.5,IF(I863&lt;=60,I863*1.25+3,IF(I863&lt;=120,I863*1.25+4,I863*1.25+5))),
""))),2)</f>
        <v>5132.87</v>
      </c>
      <c r="I863" s="9">
        <f>($K$2+0.02)*Tabla1[[#This Row],[PRECIO $]]*1.18</f>
        <v>4102.2936</v>
      </c>
      <c r="J863" s="7">
        <f>+Tabla1[[#This Row],[PRECIO EN SOLES]]-Tabla1[[#This Row],[PC]]</f>
        <v>1030.5763999999999</v>
      </c>
      <c r="K863" s="15"/>
      <c r="L863" s="15" t="str">
        <f>IF(
OR(
ISNUMBER(SEARCH("BACKPACK",B865)),
ISNUMBER(SEARCH("MOCHILA",B865)),
ISNUMBER(SEARCH("FUNDA",B865)),
ISNUMBER(SEARCH("ESTUCHE",B865)),
ISNUMBER(SEARCH("BOOK COVER",B865)),
ISNUMBER(SEARCH("KEYBOARD PARA TABLET",B865)),
ISNUMBER(SEARCH("FLIP TABLET",B865)),
ISNUMBER(SEARCH("CASE FOR TABLET",B865)),
ISNUMBER(SEARCH("CABLE",B865)),
ISNUMBER(SEARCH("ADAPTADOR",B865)),
ISNUMBER(SEARCH("HUB",B865)),
ISNUMBER(SEARCH("DOCK",B865)),
ISNUMBER(SEARCH("MOUSE PAD",B865)),
ISNUMBER(SEARCH("MOUSEPAD",B865)),
ISNUMBER(SEARCH("SOPORTE",B865)),
ISNUMBER(SEARCH("STAND",B865)),
ISNUMBER(SEARCH("TRAVEL ADAPTER",B865)),
ISNUMBER(SEARCH("RJ45",B865)),
ISNUMBER(SEARCH("USB-C",B865)),
ISNUMBER(SEARCH("USB WIFI",B865)),
ISNUMBER(SEARCH("POWERBANK",B865)),
ISNUMBER(SEARCH("CARGADOR",B865)),
ISNUMBER(SEARCH("COOLER PARA NB",B865)),
ISNUMBER(SEARCH("SOPORTE PARA NB",B865)),
ISNUMBER(SEARCH("WEBCAM",B865)),
ISNUMBER(SEARCH("WEB CAM",B865)),
ISNUMBER(SEARCH("MOUSE",B865)),
ISNUMBER(SEARCH("TECLADO",B865))
),
"COMPLEMENTO",
IF(
OR(
LEFT(A865,2)="NB",
LEFT(A865,2)="PC",
LEFT(A865,2)="WS",
LEFT(A865,2)="TB",
LEFT(A865,3)="CEL",
LEFT(A865,3)="MON",
LEFT(A865,3)="PRE",
LEFT(A865,3)="PRH",
ISNUMBER(SEARCH("NOTEBOOK",B865)),
ISNUMBER(SEARCH("LAPTOP",B865)),
ISNUMBER(SEARCH("MONITOR",B865)),
ISNUMBER(SEARCH("TABLET",B865)),
ISNUMBER(SEARCH("SMARTPH",B865)),
ISNUMBER(SEARCH("IMPRESORA",B865)),
ISNUMBER(SEARCH("MULTIFUNCIONAL",B865)),
ISNUMBER(SEARCH("AIO",B865))
),
"GANCHO",
"NORMAL"
)
)</f>
        <v>GANCHO</v>
      </c>
    </row>
    <row r="864" spans="1:12" x14ac:dyDescent="0.25">
      <c r="A864" s="3" t="s">
        <v>1599</v>
      </c>
      <c r="B864" s="3" t="s">
        <v>1598</v>
      </c>
      <c r="C864" s="1">
        <v>0</v>
      </c>
      <c r="D864" s="1">
        <v>999</v>
      </c>
      <c r="E864" s="1" t="s">
        <v>187</v>
      </c>
      <c r="F864" s="1" t="s">
        <v>3551</v>
      </c>
      <c r="G864" s="3"/>
      <c r="H864" s="11">
        <f>ROUND(
IF(L862="GANCHO",
   IF(I864&lt;=50,I864*1.1+4,IF(I864&lt;=120,I864*1.1+7,IF(I864&lt;=250,I864*1.1+11,I864*1.1+19))),
IF(L862="NORMAL",
   IF(I864&lt;=30,I864*1.15+2,IF(I864&lt;=80,I864*1.15+4,IF(I864&lt;=150,I864*1.15+6,I864*1.15+8))),
IF(L862="COMPLEMENTO",
   IF(I864&lt;=25,I864*1.25+1.5,IF(I864&lt;=60,I864*1.25+3,IF(I864&lt;=120,I864*1.25+4,I864*1.25+5))),
""))),2)</f>
        <v>5132.87</v>
      </c>
      <c r="I864" s="9">
        <f>($K$2+0.02)*Tabla1[[#This Row],[PRECIO $]]*1.18</f>
        <v>4102.2936</v>
      </c>
      <c r="J864" s="7">
        <f>+Tabla1[[#This Row],[PRECIO EN SOLES]]-Tabla1[[#This Row],[PC]]</f>
        <v>1030.5763999999999</v>
      </c>
      <c r="K864" s="15"/>
      <c r="L864" s="15" t="str">
        <f>IF(
OR(
ISNUMBER(SEARCH("BACKPACK",B866)),
ISNUMBER(SEARCH("MOCHILA",B866)),
ISNUMBER(SEARCH("FUNDA",B866)),
ISNUMBER(SEARCH("ESTUCHE",B866)),
ISNUMBER(SEARCH("BOOK COVER",B866)),
ISNUMBER(SEARCH("KEYBOARD PARA TABLET",B866)),
ISNUMBER(SEARCH("FLIP TABLET",B866)),
ISNUMBER(SEARCH("CASE FOR TABLET",B866)),
ISNUMBER(SEARCH("CABLE",B866)),
ISNUMBER(SEARCH("ADAPTADOR",B866)),
ISNUMBER(SEARCH("HUB",B866)),
ISNUMBER(SEARCH("DOCK",B866)),
ISNUMBER(SEARCH("MOUSE PAD",B866)),
ISNUMBER(SEARCH("MOUSEPAD",B866)),
ISNUMBER(SEARCH("SOPORTE",B866)),
ISNUMBER(SEARCH("STAND",B866)),
ISNUMBER(SEARCH("TRAVEL ADAPTER",B866)),
ISNUMBER(SEARCH("RJ45",B866)),
ISNUMBER(SEARCH("USB-C",B866)),
ISNUMBER(SEARCH("USB WIFI",B866)),
ISNUMBER(SEARCH("POWERBANK",B866)),
ISNUMBER(SEARCH("CARGADOR",B866)),
ISNUMBER(SEARCH("COOLER PARA NB",B866)),
ISNUMBER(SEARCH("SOPORTE PARA NB",B866)),
ISNUMBER(SEARCH("WEBCAM",B866)),
ISNUMBER(SEARCH("WEB CAM",B866)),
ISNUMBER(SEARCH("MOUSE",B866)),
ISNUMBER(SEARCH("TECLADO",B866))
),
"COMPLEMENTO",
IF(
OR(
LEFT(A866,2)="NB",
LEFT(A866,2)="PC",
LEFT(A866,2)="WS",
LEFT(A866,2)="TB",
LEFT(A866,3)="CEL",
LEFT(A866,3)="MON",
LEFT(A866,3)="PRE",
LEFT(A866,3)="PRH",
ISNUMBER(SEARCH("NOTEBOOK",B866)),
ISNUMBER(SEARCH("LAPTOP",B866)),
ISNUMBER(SEARCH("MONITOR",B866)),
ISNUMBER(SEARCH("TABLET",B866)),
ISNUMBER(SEARCH("SMARTPH",B866)),
ISNUMBER(SEARCH("IMPRESORA",B866)),
ISNUMBER(SEARCH("MULTIFUNCIONAL",B866)),
ISNUMBER(SEARCH("AIO",B866))
),
"GANCHO",
"NORMAL"
)
)</f>
        <v>GANCHO</v>
      </c>
    </row>
    <row r="865" spans="1:12" x14ac:dyDescent="0.25">
      <c r="A865" s="3" t="s">
        <v>281</v>
      </c>
      <c r="B865" s="3" t="s">
        <v>282</v>
      </c>
      <c r="C865" s="1">
        <v>20</v>
      </c>
      <c r="D865" s="1">
        <v>78</v>
      </c>
      <c r="E865" s="1" t="s">
        <v>54</v>
      </c>
      <c r="F865" s="1" t="s">
        <v>3552</v>
      </c>
      <c r="G865" s="3" t="s">
        <v>283</v>
      </c>
      <c r="H865" s="11">
        <f>ROUND(
IF(L863="GANCHO",
   IF(I865&lt;=50,I865*1.1+4,IF(I865&lt;=120,I865*1.1+7,IF(I865&lt;=250,I865*1.1+11,I865*1.1+19))),
IF(L863="NORMAL",
   IF(I865&lt;=30,I865*1.15+2,IF(I865&lt;=80,I865*1.15+4,IF(I865&lt;=150,I865*1.15+6,I865*1.15+8))),
IF(L863="COMPLEMENTO",
   IF(I865&lt;=25,I865*1.25+1.5,IF(I865&lt;=60,I865*1.25+3,IF(I865&lt;=120,I865*1.25+4,I865*1.25+5))),
""))),2)</f>
        <v>371.33</v>
      </c>
      <c r="I865" s="9">
        <f>($K$2+0.02)*Tabla1[[#This Row],[PRECIO $]]*1.18</f>
        <v>320.29919999999998</v>
      </c>
      <c r="J865" s="7">
        <f>+Tabla1[[#This Row],[PRECIO EN SOLES]]-Tabla1[[#This Row],[PC]]</f>
        <v>51.030799999999999</v>
      </c>
      <c r="K865" s="15"/>
      <c r="L865" s="15" t="str">
        <f>IF(
OR(
ISNUMBER(SEARCH("BACKPACK",B867)),
ISNUMBER(SEARCH("MOCHILA",B867)),
ISNUMBER(SEARCH("FUNDA",B867)),
ISNUMBER(SEARCH("ESTUCHE",B867)),
ISNUMBER(SEARCH("BOOK COVER",B867)),
ISNUMBER(SEARCH("KEYBOARD PARA TABLET",B867)),
ISNUMBER(SEARCH("FLIP TABLET",B867)),
ISNUMBER(SEARCH("CASE FOR TABLET",B867)),
ISNUMBER(SEARCH("CABLE",B867)),
ISNUMBER(SEARCH("ADAPTADOR",B867)),
ISNUMBER(SEARCH("HUB",B867)),
ISNUMBER(SEARCH("DOCK",B867)),
ISNUMBER(SEARCH("MOUSE PAD",B867)),
ISNUMBER(SEARCH("MOUSEPAD",B867)),
ISNUMBER(SEARCH("SOPORTE",B867)),
ISNUMBER(SEARCH("STAND",B867)),
ISNUMBER(SEARCH("TRAVEL ADAPTER",B867)),
ISNUMBER(SEARCH("RJ45",B867)),
ISNUMBER(SEARCH("USB-C",B867)),
ISNUMBER(SEARCH("USB WIFI",B867)),
ISNUMBER(SEARCH("POWERBANK",B867)),
ISNUMBER(SEARCH("CARGADOR",B867)),
ISNUMBER(SEARCH("COOLER PARA NB",B867)),
ISNUMBER(SEARCH("SOPORTE PARA NB",B867)),
ISNUMBER(SEARCH("WEBCAM",B867)),
ISNUMBER(SEARCH("WEB CAM",B867)),
ISNUMBER(SEARCH("MOUSE",B867)),
ISNUMBER(SEARCH("TECLADO",B867))
),
"COMPLEMENTO",
IF(
OR(
LEFT(A867,2)="NB",
LEFT(A867,2)="PC",
LEFT(A867,2)="WS",
LEFT(A867,2)="TB",
LEFT(A867,3)="CEL",
LEFT(A867,3)="MON",
LEFT(A867,3)="PRE",
LEFT(A867,3)="PRH",
ISNUMBER(SEARCH("NOTEBOOK",B867)),
ISNUMBER(SEARCH("LAPTOP",B867)),
ISNUMBER(SEARCH("MONITOR",B867)),
ISNUMBER(SEARCH("TABLET",B867)),
ISNUMBER(SEARCH("SMARTPH",B867)),
ISNUMBER(SEARCH("IMPRESORA",B867)),
ISNUMBER(SEARCH("MULTIFUNCIONAL",B867)),
ISNUMBER(SEARCH("AIO",B867))
),
"GANCHO",
"NORMAL"
)
)</f>
        <v>GANCHO</v>
      </c>
    </row>
    <row r="866" spans="1:12" x14ac:dyDescent="0.25">
      <c r="A866" s="3" t="s">
        <v>284</v>
      </c>
      <c r="B866" s="3" t="s">
        <v>285</v>
      </c>
      <c r="C866" s="1">
        <v>0</v>
      </c>
      <c r="D866" s="1">
        <v>78</v>
      </c>
      <c r="E866" s="1" t="s">
        <v>52</v>
      </c>
      <c r="F866" s="1" t="s">
        <v>3553</v>
      </c>
      <c r="G866" s="3" t="s">
        <v>665</v>
      </c>
      <c r="H866" s="11">
        <f>ROUND(
IF(L864="GANCHO",
   IF(I866&lt;=50,I866*1.1+4,IF(I866&lt;=120,I866*1.1+7,IF(I866&lt;=250,I866*1.1+11,I866*1.1+19))),
IF(L864="NORMAL",
   IF(I866&lt;=30,I866*1.15+2,IF(I866&lt;=80,I866*1.15+4,IF(I866&lt;=150,I866*1.15+6,I866*1.15+8))),
IF(L864="COMPLEMENTO",
   IF(I866&lt;=25,I866*1.25+1.5,IF(I866&lt;=60,I866*1.25+3,IF(I866&lt;=120,I866*1.25+4,I866*1.25+5))),
""))),2)</f>
        <v>371.33</v>
      </c>
      <c r="I866" s="9">
        <f>($K$2+0.02)*Tabla1[[#This Row],[PRECIO $]]*1.18</f>
        <v>320.29919999999998</v>
      </c>
      <c r="J866" s="7">
        <f>+Tabla1[[#This Row],[PRECIO EN SOLES]]-Tabla1[[#This Row],[PC]]</f>
        <v>51.030799999999999</v>
      </c>
      <c r="K866" s="15"/>
      <c r="L866" s="15" t="str">
        <f>IF(
OR(
ISNUMBER(SEARCH("BACKPACK",B868)),
ISNUMBER(SEARCH("MOCHILA",B868)),
ISNUMBER(SEARCH("FUNDA",B868)),
ISNUMBER(SEARCH("ESTUCHE",B868)),
ISNUMBER(SEARCH("BOOK COVER",B868)),
ISNUMBER(SEARCH("KEYBOARD PARA TABLET",B868)),
ISNUMBER(SEARCH("FLIP TABLET",B868)),
ISNUMBER(SEARCH("CASE FOR TABLET",B868)),
ISNUMBER(SEARCH("CABLE",B868)),
ISNUMBER(SEARCH("ADAPTADOR",B868)),
ISNUMBER(SEARCH("HUB",B868)),
ISNUMBER(SEARCH("DOCK",B868)),
ISNUMBER(SEARCH("MOUSE PAD",B868)),
ISNUMBER(SEARCH("MOUSEPAD",B868)),
ISNUMBER(SEARCH("SOPORTE",B868)),
ISNUMBER(SEARCH("STAND",B868)),
ISNUMBER(SEARCH("TRAVEL ADAPTER",B868)),
ISNUMBER(SEARCH("RJ45",B868)),
ISNUMBER(SEARCH("USB-C",B868)),
ISNUMBER(SEARCH("USB WIFI",B868)),
ISNUMBER(SEARCH("POWERBANK",B868)),
ISNUMBER(SEARCH("CARGADOR",B868)),
ISNUMBER(SEARCH("COOLER PARA NB",B868)),
ISNUMBER(SEARCH("SOPORTE PARA NB",B868)),
ISNUMBER(SEARCH("WEBCAM",B868)),
ISNUMBER(SEARCH("WEB CAM",B868)),
ISNUMBER(SEARCH("MOUSE",B868)),
ISNUMBER(SEARCH("TECLADO",B868))
),
"COMPLEMENTO",
IF(
OR(
LEFT(A868,2)="NB",
LEFT(A868,2)="PC",
LEFT(A868,2)="WS",
LEFT(A868,2)="TB",
LEFT(A868,3)="CEL",
LEFT(A868,3)="MON",
LEFT(A868,3)="PRE",
LEFT(A868,3)="PRH",
ISNUMBER(SEARCH("NOTEBOOK",B868)),
ISNUMBER(SEARCH("LAPTOP",B868)),
ISNUMBER(SEARCH("MONITOR",B868)),
ISNUMBER(SEARCH("TABLET",B868)),
ISNUMBER(SEARCH("SMARTPH",B868)),
ISNUMBER(SEARCH("IMPRESORA",B868)),
ISNUMBER(SEARCH("MULTIFUNCIONAL",B868)),
ISNUMBER(SEARCH("AIO",B868))
),
"GANCHO",
"NORMAL"
)
)</f>
        <v>GANCHO</v>
      </c>
    </row>
    <row r="867" spans="1:12" x14ac:dyDescent="0.25">
      <c r="A867" s="3" t="s">
        <v>6765</v>
      </c>
      <c r="B867" s="3" t="s">
        <v>6766</v>
      </c>
      <c r="C867" s="1">
        <v>20</v>
      </c>
      <c r="D867" s="1">
        <v>83</v>
      </c>
      <c r="E867" s="1" t="s">
        <v>52</v>
      </c>
      <c r="F867" s="1" t="s">
        <v>6767</v>
      </c>
      <c r="G867" s="3" t="s">
        <v>6768</v>
      </c>
      <c r="H867" s="11">
        <f>ROUND(
IF(L865="GANCHO",
   IF(I867&lt;=50,I867*1.1+4,IF(I867&lt;=120,I867*1.1+7,IF(I867&lt;=250,I867*1.1+11,I867*1.1+19))),
IF(L865="NORMAL",
   IF(I867&lt;=30,I867*1.15+2,IF(I867&lt;=80,I867*1.15+4,IF(I867&lt;=150,I867*1.15+6,I867*1.15+8))),
IF(L865="COMPLEMENTO",
   IF(I867&lt;=25,I867*1.25+1.5,IF(I867&lt;=60,I867*1.25+3,IF(I867&lt;=120,I867*1.25+4,I867*1.25+5))),
""))),2)</f>
        <v>393.91</v>
      </c>
      <c r="I867" s="9">
        <f>($K$2+0.02)*Tabla1[[#This Row],[PRECIO $]]*1.18</f>
        <v>340.83119999999997</v>
      </c>
      <c r="J867" s="7">
        <f>+Tabla1[[#This Row],[PRECIO EN SOLES]]-Tabla1[[#This Row],[PC]]</f>
        <v>53.078800000000058</v>
      </c>
      <c r="K867" s="15"/>
      <c r="L867" s="15" t="str">
        <f>IF(
OR(
ISNUMBER(SEARCH("BACKPACK",B869)),
ISNUMBER(SEARCH("MOCHILA",B869)),
ISNUMBER(SEARCH("FUNDA",B869)),
ISNUMBER(SEARCH("ESTUCHE",B869)),
ISNUMBER(SEARCH("BOOK COVER",B869)),
ISNUMBER(SEARCH("KEYBOARD PARA TABLET",B869)),
ISNUMBER(SEARCH("FLIP TABLET",B869)),
ISNUMBER(SEARCH("CASE FOR TABLET",B869)),
ISNUMBER(SEARCH("CABLE",B869)),
ISNUMBER(SEARCH("ADAPTADOR",B869)),
ISNUMBER(SEARCH("HUB",B869)),
ISNUMBER(SEARCH("DOCK",B869)),
ISNUMBER(SEARCH("MOUSE PAD",B869)),
ISNUMBER(SEARCH("MOUSEPAD",B869)),
ISNUMBER(SEARCH("SOPORTE",B869)),
ISNUMBER(SEARCH("STAND",B869)),
ISNUMBER(SEARCH("TRAVEL ADAPTER",B869)),
ISNUMBER(SEARCH("RJ45",B869)),
ISNUMBER(SEARCH("USB-C",B869)),
ISNUMBER(SEARCH("USB WIFI",B869)),
ISNUMBER(SEARCH("POWERBANK",B869)),
ISNUMBER(SEARCH("CARGADOR",B869)),
ISNUMBER(SEARCH("COOLER PARA NB",B869)),
ISNUMBER(SEARCH("SOPORTE PARA NB",B869)),
ISNUMBER(SEARCH("WEBCAM",B869)),
ISNUMBER(SEARCH("WEB CAM",B869)),
ISNUMBER(SEARCH("MOUSE",B869)),
ISNUMBER(SEARCH("TECLADO",B869))
),
"COMPLEMENTO",
IF(
OR(
LEFT(A869,2)="NB",
LEFT(A869,2)="PC",
LEFT(A869,2)="WS",
LEFT(A869,2)="TB",
LEFT(A869,3)="CEL",
LEFT(A869,3)="MON",
LEFT(A869,3)="PRE",
LEFT(A869,3)="PRH",
ISNUMBER(SEARCH("NOTEBOOK",B869)),
ISNUMBER(SEARCH("LAPTOP",B869)),
ISNUMBER(SEARCH("MONITOR",B869)),
ISNUMBER(SEARCH("TABLET",B869)),
ISNUMBER(SEARCH("SMARTPH",B869)),
ISNUMBER(SEARCH("IMPRESORA",B869)),
ISNUMBER(SEARCH("MULTIFUNCIONAL",B869)),
ISNUMBER(SEARCH("AIO",B869))
),
"GANCHO",
"NORMAL"
)
)</f>
        <v>GANCHO</v>
      </c>
    </row>
    <row r="868" spans="1:12" x14ac:dyDescent="0.25">
      <c r="A868" s="3" t="s">
        <v>2752</v>
      </c>
      <c r="B868" s="3" t="s">
        <v>2753</v>
      </c>
      <c r="C868" s="1">
        <v>20</v>
      </c>
      <c r="D868" s="1">
        <v>96</v>
      </c>
      <c r="E868" s="1" t="s">
        <v>54</v>
      </c>
      <c r="F868" s="1" t="s">
        <v>3554</v>
      </c>
      <c r="G868" s="3" t="s">
        <v>2764</v>
      </c>
      <c r="H868" s="11">
        <f>ROUND(
IF(L866="GANCHO",
   IF(I868&lt;=50,I868*1.1+4,IF(I868&lt;=120,I868*1.1+7,IF(I868&lt;=250,I868*1.1+11,I868*1.1+19))),
IF(L866="NORMAL",
   IF(I868&lt;=30,I868*1.15+2,IF(I868&lt;=80,I868*1.15+4,IF(I868&lt;=150,I868*1.15+6,I868*1.15+8))),
IF(L866="COMPLEMENTO",
   IF(I868&lt;=25,I868*1.25+1.5,IF(I868&lt;=60,I868*1.25+3,IF(I868&lt;=120,I868*1.25+4,I868*1.25+5))),
""))),2)</f>
        <v>452.64</v>
      </c>
      <c r="I868" s="9">
        <f>($K$2+0.02)*Tabla1[[#This Row],[PRECIO $]]*1.18</f>
        <v>394.21439999999996</v>
      </c>
      <c r="J868" s="7">
        <f>+Tabla1[[#This Row],[PRECIO EN SOLES]]-Tabla1[[#This Row],[PC]]</f>
        <v>58.425600000000031</v>
      </c>
      <c r="K868" s="15"/>
      <c r="L868" s="15" t="str">
        <f>IF(
OR(
ISNUMBER(SEARCH("BACKPACK",B870)),
ISNUMBER(SEARCH("MOCHILA",B870)),
ISNUMBER(SEARCH("FUNDA",B870)),
ISNUMBER(SEARCH("ESTUCHE",B870)),
ISNUMBER(SEARCH("BOOK COVER",B870)),
ISNUMBER(SEARCH("KEYBOARD PARA TABLET",B870)),
ISNUMBER(SEARCH("FLIP TABLET",B870)),
ISNUMBER(SEARCH("CASE FOR TABLET",B870)),
ISNUMBER(SEARCH("CABLE",B870)),
ISNUMBER(SEARCH("ADAPTADOR",B870)),
ISNUMBER(SEARCH("HUB",B870)),
ISNUMBER(SEARCH("DOCK",B870)),
ISNUMBER(SEARCH("MOUSE PAD",B870)),
ISNUMBER(SEARCH("MOUSEPAD",B870)),
ISNUMBER(SEARCH("SOPORTE",B870)),
ISNUMBER(SEARCH("STAND",B870)),
ISNUMBER(SEARCH("TRAVEL ADAPTER",B870)),
ISNUMBER(SEARCH("RJ45",B870)),
ISNUMBER(SEARCH("USB-C",B870)),
ISNUMBER(SEARCH("USB WIFI",B870)),
ISNUMBER(SEARCH("POWERBANK",B870)),
ISNUMBER(SEARCH("CARGADOR",B870)),
ISNUMBER(SEARCH("COOLER PARA NB",B870)),
ISNUMBER(SEARCH("SOPORTE PARA NB",B870)),
ISNUMBER(SEARCH("WEBCAM",B870)),
ISNUMBER(SEARCH("WEB CAM",B870)),
ISNUMBER(SEARCH("MOUSE",B870)),
ISNUMBER(SEARCH("TECLADO",B870))
),
"COMPLEMENTO",
IF(
OR(
LEFT(A870,2)="NB",
LEFT(A870,2)="PC",
LEFT(A870,2)="WS",
LEFT(A870,2)="TB",
LEFT(A870,3)="CEL",
LEFT(A870,3)="MON",
LEFT(A870,3)="PRE",
LEFT(A870,3)="PRH",
ISNUMBER(SEARCH("NOTEBOOK",B870)),
ISNUMBER(SEARCH("LAPTOP",B870)),
ISNUMBER(SEARCH("MONITOR",B870)),
ISNUMBER(SEARCH("TABLET",B870)),
ISNUMBER(SEARCH("SMARTPH",B870)),
ISNUMBER(SEARCH("IMPRESORA",B870)),
ISNUMBER(SEARCH("MULTIFUNCIONAL",B870)),
ISNUMBER(SEARCH("AIO",B870))
),
"GANCHO",
"NORMAL"
)
)</f>
        <v>NORMAL</v>
      </c>
    </row>
    <row r="869" spans="1:12" x14ac:dyDescent="0.25">
      <c r="A869" s="3" t="s">
        <v>6021</v>
      </c>
      <c r="B869" s="3" t="s">
        <v>6022</v>
      </c>
      <c r="C869" s="1">
        <v>18</v>
      </c>
      <c r="D869" s="1">
        <v>215</v>
      </c>
      <c r="E869" s="1" t="s">
        <v>219</v>
      </c>
      <c r="F869" s="1" t="s">
        <v>6023</v>
      </c>
      <c r="G869" s="3"/>
      <c r="H869" s="11">
        <f>ROUND(
IF(L867="GANCHO",
   IF(I869&lt;=50,I869*1.1+4,IF(I869&lt;=120,I869*1.1+7,IF(I869&lt;=250,I869*1.1+11,I869*1.1+19))),
IF(L867="NORMAL",
   IF(I869&lt;=30,I869*1.15+2,IF(I869&lt;=80,I869*1.15+4,IF(I869&lt;=150,I869*1.15+6,I869*1.15+8))),
IF(L867="COMPLEMENTO",
   IF(I869&lt;=25,I869*1.25+1.5,IF(I869&lt;=60,I869*1.25+3,IF(I869&lt;=120,I869*1.25+4,I869*1.25+5))),
""))),2)</f>
        <v>990.16</v>
      </c>
      <c r="I869" s="9">
        <f>($K$2+0.02)*Tabla1[[#This Row],[PRECIO $]]*1.18</f>
        <v>882.87599999999998</v>
      </c>
      <c r="J869" s="7">
        <f>+Tabla1[[#This Row],[PRECIO EN SOLES]]-Tabla1[[#This Row],[PC]]</f>
        <v>107.28399999999999</v>
      </c>
      <c r="K869" s="15"/>
      <c r="L869" s="15" t="str">
        <f>IF(
OR(
ISNUMBER(SEARCH("BACKPACK",B871)),
ISNUMBER(SEARCH("MOCHILA",B871)),
ISNUMBER(SEARCH("FUNDA",B871)),
ISNUMBER(SEARCH("ESTUCHE",B871)),
ISNUMBER(SEARCH("BOOK COVER",B871)),
ISNUMBER(SEARCH("KEYBOARD PARA TABLET",B871)),
ISNUMBER(SEARCH("FLIP TABLET",B871)),
ISNUMBER(SEARCH("CASE FOR TABLET",B871)),
ISNUMBER(SEARCH("CABLE",B871)),
ISNUMBER(SEARCH("ADAPTADOR",B871)),
ISNUMBER(SEARCH("HUB",B871)),
ISNUMBER(SEARCH("DOCK",B871)),
ISNUMBER(SEARCH("MOUSE PAD",B871)),
ISNUMBER(SEARCH("MOUSEPAD",B871)),
ISNUMBER(SEARCH("SOPORTE",B871)),
ISNUMBER(SEARCH("STAND",B871)),
ISNUMBER(SEARCH("TRAVEL ADAPTER",B871)),
ISNUMBER(SEARCH("RJ45",B871)),
ISNUMBER(SEARCH("USB-C",B871)),
ISNUMBER(SEARCH("USB WIFI",B871)),
ISNUMBER(SEARCH("POWERBANK",B871)),
ISNUMBER(SEARCH("CARGADOR",B871)),
ISNUMBER(SEARCH("COOLER PARA NB",B871)),
ISNUMBER(SEARCH("SOPORTE PARA NB",B871)),
ISNUMBER(SEARCH("WEBCAM",B871)),
ISNUMBER(SEARCH("WEB CAM",B871)),
ISNUMBER(SEARCH("MOUSE",B871)),
ISNUMBER(SEARCH("TECLADO",B871))
),
"COMPLEMENTO",
IF(
OR(
LEFT(A871,2)="NB",
LEFT(A871,2)="PC",
LEFT(A871,2)="WS",
LEFT(A871,2)="TB",
LEFT(A871,3)="CEL",
LEFT(A871,3)="MON",
LEFT(A871,3)="PRE",
LEFT(A871,3)="PRH",
ISNUMBER(SEARCH("NOTEBOOK",B871)),
ISNUMBER(SEARCH("LAPTOP",B871)),
ISNUMBER(SEARCH("MONITOR",B871)),
ISNUMBER(SEARCH("TABLET",B871)),
ISNUMBER(SEARCH("SMARTPH",B871)),
ISNUMBER(SEARCH("IMPRESORA",B871)),
ISNUMBER(SEARCH("MULTIFUNCIONAL",B871)),
ISNUMBER(SEARCH("AIO",B871))
),
"GANCHO",
"NORMAL"
)
)</f>
        <v>GANCHO</v>
      </c>
    </row>
    <row r="870" spans="1:12" x14ac:dyDescent="0.25">
      <c r="A870" s="3" t="s">
        <v>6024</v>
      </c>
      <c r="B870" s="3" t="s">
        <v>6025</v>
      </c>
      <c r="C870" s="1">
        <v>4</v>
      </c>
      <c r="D870" s="1">
        <v>147</v>
      </c>
      <c r="E870" s="1" t="s">
        <v>219</v>
      </c>
      <c r="F870" s="1" t="s">
        <v>6026</v>
      </c>
      <c r="G870" s="3" t="s">
        <v>6027</v>
      </c>
      <c r="H870" s="11">
        <f>ROUND(
IF(L868="GANCHO",
   IF(I870&lt;=50,I870*1.1+4,IF(I870&lt;=120,I870*1.1+7,IF(I870&lt;=250,I870*1.1+11,I870*1.1+19))),
IF(L868="NORMAL",
   IF(I870&lt;=30,I870*1.15+2,IF(I870&lt;=80,I870*1.15+4,IF(I870&lt;=150,I870*1.15+6,I870*1.15+8))),
IF(L868="COMPLEMENTO",
   IF(I870&lt;=25,I870*1.25+1.5,IF(I870&lt;=60,I870*1.25+3,IF(I870&lt;=120,I870*1.25+4,I870*1.25+5))),
""))),2)</f>
        <v>702.19</v>
      </c>
      <c r="I870" s="9">
        <f>($K$2+0.02)*Tabla1[[#This Row],[PRECIO $]]*1.18</f>
        <v>603.64080000000001</v>
      </c>
      <c r="J870" s="7">
        <f>+Tabla1[[#This Row],[PRECIO EN SOLES]]-Tabla1[[#This Row],[PC]]</f>
        <v>98.549200000000042</v>
      </c>
      <c r="K870" s="15"/>
      <c r="L870" s="15" t="str">
        <f>IF(
OR(
ISNUMBER(SEARCH("BACKPACK",B872)),
ISNUMBER(SEARCH("MOCHILA",B872)),
ISNUMBER(SEARCH("FUNDA",B872)),
ISNUMBER(SEARCH("ESTUCHE",B872)),
ISNUMBER(SEARCH("BOOK COVER",B872)),
ISNUMBER(SEARCH("KEYBOARD PARA TABLET",B872)),
ISNUMBER(SEARCH("FLIP TABLET",B872)),
ISNUMBER(SEARCH("CASE FOR TABLET",B872)),
ISNUMBER(SEARCH("CABLE",B872)),
ISNUMBER(SEARCH("ADAPTADOR",B872)),
ISNUMBER(SEARCH("HUB",B872)),
ISNUMBER(SEARCH("DOCK",B872)),
ISNUMBER(SEARCH("MOUSE PAD",B872)),
ISNUMBER(SEARCH("MOUSEPAD",B872)),
ISNUMBER(SEARCH("SOPORTE",B872)),
ISNUMBER(SEARCH("STAND",B872)),
ISNUMBER(SEARCH("TRAVEL ADAPTER",B872)),
ISNUMBER(SEARCH("RJ45",B872)),
ISNUMBER(SEARCH("USB-C",B872)),
ISNUMBER(SEARCH("USB WIFI",B872)),
ISNUMBER(SEARCH("POWERBANK",B872)),
ISNUMBER(SEARCH("CARGADOR",B872)),
ISNUMBER(SEARCH("COOLER PARA NB",B872)),
ISNUMBER(SEARCH("SOPORTE PARA NB",B872)),
ISNUMBER(SEARCH("WEBCAM",B872)),
ISNUMBER(SEARCH("WEB CAM",B872)),
ISNUMBER(SEARCH("MOUSE",B872)),
ISNUMBER(SEARCH("TECLADO",B872))
),
"COMPLEMENTO",
IF(
OR(
LEFT(A872,2)="NB",
LEFT(A872,2)="PC",
LEFT(A872,2)="WS",
LEFT(A872,2)="TB",
LEFT(A872,3)="CEL",
LEFT(A872,3)="MON",
LEFT(A872,3)="PRE",
LEFT(A872,3)="PRH",
ISNUMBER(SEARCH("NOTEBOOK",B872)),
ISNUMBER(SEARCH("LAPTOP",B872)),
ISNUMBER(SEARCH("MONITOR",B872)),
ISNUMBER(SEARCH("TABLET",B872)),
ISNUMBER(SEARCH("SMARTPH",B872)),
ISNUMBER(SEARCH("IMPRESORA",B872)),
ISNUMBER(SEARCH("MULTIFUNCIONAL",B872)),
ISNUMBER(SEARCH("AIO",B872))
),
"GANCHO",
"NORMAL"
)
)</f>
        <v>GANCHO</v>
      </c>
    </row>
    <row r="871" spans="1:12" x14ac:dyDescent="0.25">
      <c r="A871" s="3" t="s">
        <v>2884</v>
      </c>
      <c r="B871" s="3" t="s">
        <v>2885</v>
      </c>
      <c r="C871" s="1">
        <v>20</v>
      </c>
      <c r="D871" s="1">
        <v>323.5</v>
      </c>
      <c r="E871" s="1" t="s">
        <v>219</v>
      </c>
      <c r="F871" s="1" t="s">
        <v>3555</v>
      </c>
      <c r="G871" s="3" t="s">
        <v>2886</v>
      </c>
      <c r="H871" s="11">
        <f>ROUND(
IF(L869="GANCHO",
   IF(I871&lt;=50,I871*1.1+4,IF(I871&lt;=120,I871*1.1+7,IF(I871&lt;=250,I871*1.1+11,I871*1.1+19))),
IF(L869="NORMAL",
   IF(I871&lt;=30,I871*1.15+2,IF(I871&lt;=80,I871*1.15+4,IF(I871&lt;=150,I871*1.15+6,I871*1.15+8))),
IF(L869="COMPLEMENTO",
   IF(I871&lt;=25,I871*1.25+1.5,IF(I871&lt;=60,I871*1.25+3,IF(I871&lt;=120,I871*1.25+4,I871*1.25+5))),
""))),2)</f>
        <v>1480.26</v>
      </c>
      <c r="I871" s="9">
        <f>($K$2+0.02)*Tabla1[[#This Row],[PRECIO $]]*1.18</f>
        <v>1328.4204</v>
      </c>
      <c r="J871" s="7">
        <f>+Tabla1[[#This Row],[PRECIO EN SOLES]]-Tabla1[[#This Row],[PC]]</f>
        <v>151.83960000000002</v>
      </c>
      <c r="K871" s="15"/>
      <c r="L871" s="15" t="str">
        <f>IF(
OR(
ISNUMBER(SEARCH("BACKPACK",B873)),
ISNUMBER(SEARCH("MOCHILA",B873)),
ISNUMBER(SEARCH("FUNDA",B873)),
ISNUMBER(SEARCH("ESTUCHE",B873)),
ISNUMBER(SEARCH("BOOK COVER",B873)),
ISNUMBER(SEARCH("KEYBOARD PARA TABLET",B873)),
ISNUMBER(SEARCH("FLIP TABLET",B873)),
ISNUMBER(SEARCH("CASE FOR TABLET",B873)),
ISNUMBER(SEARCH("CABLE",B873)),
ISNUMBER(SEARCH("ADAPTADOR",B873)),
ISNUMBER(SEARCH("HUB",B873)),
ISNUMBER(SEARCH("DOCK",B873)),
ISNUMBER(SEARCH("MOUSE PAD",B873)),
ISNUMBER(SEARCH("MOUSEPAD",B873)),
ISNUMBER(SEARCH("SOPORTE",B873)),
ISNUMBER(SEARCH("STAND",B873)),
ISNUMBER(SEARCH("TRAVEL ADAPTER",B873)),
ISNUMBER(SEARCH("RJ45",B873)),
ISNUMBER(SEARCH("USB-C",B873)),
ISNUMBER(SEARCH("USB WIFI",B873)),
ISNUMBER(SEARCH("POWERBANK",B873)),
ISNUMBER(SEARCH("CARGADOR",B873)),
ISNUMBER(SEARCH("COOLER PARA NB",B873)),
ISNUMBER(SEARCH("SOPORTE PARA NB",B873)),
ISNUMBER(SEARCH("WEBCAM",B873)),
ISNUMBER(SEARCH("WEB CAM",B873)),
ISNUMBER(SEARCH("MOUSE",B873)),
ISNUMBER(SEARCH("TECLADO",B873))
),
"COMPLEMENTO",
IF(
OR(
LEFT(A873,2)="NB",
LEFT(A873,2)="PC",
LEFT(A873,2)="WS",
LEFT(A873,2)="TB",
LEFT(A873,3)="CEL",
LEFT(A873,3)="MON",
LEFT(A873,3)="PRE",
LEFT(A873,3)="PRH",
ISNUMBER(SEARCH("NOTEBOOK",B873)),
ISNUMBER(SEARCH("LAPTOP",B873)),
ISNUMBER(SEARCH("MONITOR",B873)),
ISNUMBER(SEARCH("TABLET",B873)),
ISNUMBER(SEARCH("SMARTPH",B873)),
ISNUMBER(SEARCH("IMPRESORA",B873)),
ISNUMBER(SEARCH("MULTIFUNCIONAL",B873)),
ISNUMBER(SEARCH("AIO",B873))
),
"GANCHO",
"NORMAL"
)
)</f>
        <v>GANCHO</v>
      </c>
    </row>
    <row r="872" spans="1:12" x14ac:dyDescent="0.25">
      <c r="A872" s="3" t="s">
        <v>1600</v>
      </c>
      <c r="B872" s="3" t="s">
        <v>4990</v>
      </c>
      <c r="C872" s="1">
        <v>2</v>
      </c>
      <c r="D872" s="1">
        <v>400</v>
      </c>
      <c r="E872" s="1" t="s">
        <v>219</v>
      </c>
      <c r="F872" s="1" t="s">
        <v>3556</v>
      </c>
      <c r="G872" s="3" t="s">
        <v>3557</v>
      </c>
      <c r="H872" s="11">
        <f>ROUND(
IF(L870="GANCHO",
   IF(I872&lt;=50,I872*1.1+4,IF(I872&lt;=120,I872*1.1+7,IF(I872&lt;=250,I872*1.1+11,I872*1.1+19))),
IF(L870="NORMAL",
   IF(I872&lt;=30,I872*1.15+2,IF(I872&lt;=80,I872*1.15+4,IF(I872&lt;=150,I872*1.15+6,I872*1.15+8))),
IF(L870="COMPLEMENTO",
   IF(I872&lt;=25,I872*1.25+1.5,IF(I872&lt;=60,I872*1.25+3,IF(I872&lt;=120,I872*1.25+4,I872*1.25+5))),
""))),2)</f>
        <v>1825.82</v>
      </c>
      <c r="I872" s="9">
        <f>($K$2+0.02)*Tabla1[[#This Row],[PRECIO $]]*1.18</f>
        <v>1642.56</v>
      </c>
      <c r="J872" s="7">
        <f>+Tabla1[[#This Row],[PRECIO EN SOLES]]-Tabla1[[#This Row],[PC]]</f>
        <v>183.26</v>
      </c>
      <c r="K872" s="15"/>
      <c r="L872" s="15" t="str">
        <f>IF(
OR(
ISNUMBER(SEARCH("BACKPACK",B874)),
ISNUMBER(SEARCH("MOCHILA",B874)),
ISNUMBER(SEARCH("FUNDA",B874)),
ISNUMBER(SEARCH("ESTUCHE",B874)),
ISNUMBER(SEARCH("BOOK COVER",B874)),
ISNUMBER(SEARCH("KEYBOARD PARA TABLET",B874)),
ISNUMBER(SEARCH("FLIP TABLET",B874)),
ISNUMBER(SEARCH("CASE FOR TABLET",B874)),
ISNUMBER(SEARCH("CABLE",B874)),
ISNUMBER(SEARCH("ADAPTADOR",B874)),
ISNUMBER(SEARCH("HUB",B874)),
ISNUMBER(SEARCH("DOCK",B874)),
ISNUMBER(SEARCH("MOUSE PAD",B874)),
ISNUMBER(SEARCH("MOUSEPAD",B874)),
ISNUMBER(SEARCH("SOPORTE",B874)),
ISNUMBER(SEARCH("STAND",B874)),
ISNUMBER(SEARCH("TRAVEL ADAPTER",B874)),
ISNUMBER(SEARCH("RJ45",B874)),
ISNUMBER(SEARCH("USB-C",B874)),
ISNUMBER(SEARCH("USB WIFI",B874)),
ISNUMBER(SEARCH("POWERBANK",B874)),
ISNUMBER(SEARCH("CARGADOR",B874)),
ISNUMBER(SEARCH("COOLER PARA NB",B874)),
ISNUMBER(SEARCH("SOPORTE PARA NB",B874)),
ISNUMBER(SEARCH("WEBCAM",B874)),
ISNUMBER(SEARCH("WEB CAM",B874)),
ISNUMBER(SEARCH("MOUSE",B874)),
ISNUMBER(SEARCH("TECLADO",B874))
),
"COMPLEMENTO",
IF(
OR(
LEFT(A874,2)="NB",
LEFT(A874,2)="PC",
LEFT(A874,2)="WS",
LEFT(A874,2)="TB",
LEFT(A874,3)="CEL",
LEFT(A874,3)="MON",
LEFT(A874,3)="PRE",
LEFT(A874,3)="PRH",
ISNUMBER(SEARCH("NOTEBOOK",B874)),
ISNUMBER(SEARCH("LAPTOP",B874)),
ISNUMBER(SEARCH("MONITOR",B874)),
ISNUMBER(SEARCH("TABLET",B874)),
ISNUMBER(SEARCH("SMARTPH",B874)),
ISNUMBER(SEARCH("IMPRESORA",B874)),
ISNUMBER(SEARCH("MULTIFUNCIONAL",B874)),
ISNUMBER(SEARCH("AIO",B874))
),
"GANCHO",
"NORMAL"
)
)</f>
        <v>GANCHO</v>
      </c>
    </row>
    <row r="873" spans="1:12" x14ac:dyDescent="0.25">
      <c r="A873" s="3" t="s">
        <v>6769</v>
      </c>
      <c r="B873" s="3" t="s">
        <v>6770</v>
      </c>
      <c r="C873" s="1">
        <v>0</v>
      </c>
      <c r="D873" s="1">
        <v>408</v>
      </c>
      <c r="E873" s="1" t="s">
        <v>837</v>
      </c>
      <c r="F873" s="1" t="s">
        <v>6771</v>
      </c>
      <c r="G873" s="3" t="s">
        <v>6772</v>
      </c>
      <c r="H873" s="11">
        <f>ROUND(
IF(L871="GANCHO",
   IF(I873&lt;=50,I873*1.1+4,IF(I873&lt;=120,I873*1.1+7,IF(I873&lt;=250,I873*1.1+11,I873*1.1+19))),
IF(L871="NORMAL",
   IF(I873&lt;=30,I873*1.15+2,IF(I873&lt;=80,I873*1.15+4,IF(I873&lt;=150,I873*1.15+6,I873*1.15+8))),
IF(L871="COMPLEMENTO",
   IF(I873&lt;=25,I873*1.25+1.5,IF(I873&lt;=60,I873*1.25+3,IF(I873&lt;=120,I873*1.25+4,I873*1.25+5))),
""))),2)</f>
        <v>1861.95</v>
      </c>
      <c r="I873" s="9">
        <f>($K$2+0.02)*Tabla1[[#This Row],[PRECIO $]]*1.18</f>
        <v>1675.4111999999998</v>
      </c>
      <c r="J873" s="7">
        <f>+Tabla1[[#This Row],[PRECIO EN SOLES]]-Tabla1[[#This Row],[PC]]</f>
        <v>186.53880000000026</v>
      </c>
      <c r="K873" s="15"/>
      <c r="L873" s="15" t="str">
        <f>IF(
OR(
ISNUMBER(SEARCH("BACKPACK",B875)),
ISNUMBER(SEARCH("MOCHILA",B875)),
ISNUMBER(SEARCH("FUNDA",B875)),
ISNUMBER(SEARCH("ESTUCHE",B875)),
ISNUMBER(SEARCH("BOOK COVER",B875)),
ISNUMBER(SEARCH("KEYBOARD PARA TABLET",B875)),
ISNUMBER(SEARCH("FLIP TABLET",B875)),
ISNUMBER(SEARCH("CASE FOR TABLET",B875)),
ISNUMBER(SEARCH("CABLE",B875)),
ISNUMBER(SEARCH("ADAPTADOR",B875)),
ISNUMBER(SEARCH("HUB",B875)),
ISNUMBER(SEARCH("DOCK",B875)),
ISNUMBER(SEARCH("MOUSE PAD",B875)),
ISNUMBER(SEARCH("MOUSEPAD",B875)),
ISNUMBER(SEARCH("SOPORTE",B875)),
ISNUMBER(SEARCH("STAND",B875)),
ISNUMBER(SEARCH("TRAVEL ADAPTER",B875)),
ISNUMBER(SEARCH("RJ45",B875)),
ISNUMBER(SEARCH("USB-C",B875)),
ISNUMBER(SEARCH("USB WIFI",B875)),
ISNUMBER(SEARCH("POWERBANK",B875)),
ISNUMBER(SEARCH("CARGADOR",B875)),
ISNUMBER(SEARCH("COOLER PARA NB",B875)),
ISNUMBER(SEARCH("SOPORTE PARA NB",B875)),
ISNUMBER(SEARCH("WEBCAM",B875)),
ISNUMBER(SEARCH("WEB CAM",B875)),
ISNUMBER(SEARCH("MOUSE",B875)),
ISNUMBER(SEARCH("TECLADO",B875))
),
"COMPLEMENTO",
IF(
OR(
LEFT(A875,2)="NB",
LEFT(A875,2)="PC",
LEFT(A875,2)="WS",
LEFT(A875,2)="TB",
LEFT(A875,3)="CEL",
LEFT(A875,3)="MON",
LEFT(A875,3)="PRE",
LEFT(A875,3)="PRH",
ISNUMBER(SEARCH("NOTEBOOK",B875)),
ISNUMBER(SEARCH("LAPTOP",B875)),
ISNUMBER(SEARCH("MONITOR",B875)),
ISNUMBER(SEARCH("TABLET",B875)),
ISNUMBER(SEARCH("SMARTPH",B875)),
ISNUMBER(SEARCH("IMPRESORA",B875)),
ISNUMBER(SEARCH("MULTIFUNCIONAL",B875)),
ISNUMBER(SEARCH("AIO",B875))
),
"GANCHO",
"NORMAL"
)
)</f>
        <v>GANCHO</v>
      </c>
    </row>
    <row r="874" spans="1:12" x14ac:dyDescent="0.25">
      <c r="A874" s="3" t="s">
        <v>5443</v>
      </c>
      <c r="B874" s="3" t="s">
        <v>5444</v>
      </c>
      <c r="C874" s="1">
        <v>3</v>
      </c>
      <c r="D874" s="1">
        <v>1097</v>
      </c>
      <c r="E874" s="1" t="s">
        <v>837</v>
      </c>
      <c r="F874" s="1" t="s">
        <v>5445</v>
      </c>
      <c r="G874" s="3" t="s">
        <v>5446</v>
      </c>
      <c r="H874" s="11">
        <f>ROUND(
IF(L872="GANCHO",
   IF(I874&lt;=50,I874*1.1+4,IF(I874&lt;=120,I874*1.1+7,IF(I874&lt;=250,I874*1.1+11,I874*1.1+19))),
IF(L872="NORMAL",
   IF(I874&lt;=30,I874*1.15+2,IF(I874&lt;=80,I874*1.15+4,IF(I874&lt;=150,I874*1.15+6,I874*1.15+8))),
IF(L872="COMPLEMENTO",
   IF(I874&lt;=25,I874*1.25+1.5,IF(I874&lt;=60,I874*1.25+3,IF(I874&lt;=120,I874*1.25+4,I874*1.25+5))),
""))),2)</f>
        <v>4974.1899999999996</v>
      </c>
      <c r="I874" s="9">
        <f>($K$2+0.02)*Tabla1[[#This Row],[PRECIO $]]*1.18</f>
        <v>4504.7208000000001</v>
      </c>
      <c r="J874" s="7">
        <f>+Tabla1[[#This Row],[PRECIO EN SOLES]]-Tabla1[[#This Row],[PC]]</f>
        <v>469.46919999999955</v>
      </c>
      <c r="K874" s="15"/>
      <c r="L874" s="15" t="str">
        <f>IF(
OR(
ISNUMBER(SEARCH("BACKPACK",B876)),
ISNUMBER(SEARCH("MOCHILA",B876)),
ISNUMBER(SEARCH("FUNDA",B876)),
ISNUMBER(SEARCH("ESTUCHE",B876)),
ISNUMBER(SEARCH("BOOK COVER",B876)),
ISNUMBER(SEARCH("KEYBOARD PARA TABLET",B876)),
ISNUMBER(SEARCH("FLIP TABLET",B876)),
ISNUMBER(SEARCH("CASE FOR TABLET",B876)),
ISNUMBER(SEARCH("CABLE",B876)),
ISNUMBER(SEARCH("ADAPTADOR",B876)),
ISNUMBER(SEARCH("HUB",B876)),
ISNUMBER(SEARCH("DOCK",B876)),
ISNUMBER(SEARCH("MOUSE PAD",B876)),
ISNUMBER(SEARCH("MOUSEPAD",B876)),
ISNUMBER(SEARCH("SOPORTE",B876)),
ISNUMBER(SEARCH("STAND",B876)),
ISNUMBER(SEARCH("TRAVEL ADAPTER",B876)),
ISNUMBER(SEARCH("RJ45",B876)),
ISNUMBER(SEARCH("USB-C",B876)),
ISNUMBER(SEARCH("USB WIFI",B876)),
ISNUMBER(SEARCH("POWERBANK",B876)),
ISNUMBER(SEARCH("CARGADOR",B876)),
ISNUMBER(SEARCH("COOLER PARA NB",B876)),
ISNUMBER(SEARCH("SOPORTE PARA NB",B876)),
ISNUMBER(SEARCH("WEBCAM",B876)),
ISNUMBER(SEARCH("WEB CAM",B876)),
ISNUMBER(SEARCH("MOUSE",B876)),
ISNUMBER(SEARCH("TECLADO",B876))
),
"COMPLEMENTO",
IF(
OR(
LEFT(A876,2)="NB",
LEFT(A876,2)="PC",
LEFT(A876,2)="WS",
LEFT(A876,2)="TB",
LEFT(A876,3)="CEL",
LEFT(A876,3)="MON",
LEFT(A876,3)="PRE",
LEFT(A876,3)="PRH",
ISNUMBER(SEARCH("NOTEBOOK",B876)),
ISNUMBER(SEARCH("LAPTOP",B876)),
ISNUMBER(SEARCH("MONITOR",B876)),
ISNUMBER(SEARCH("TABLET",B876)),
ISNUMBER(SEARCH("SMARTPH",B876)),
ISNUMBER(SEARCH("IMPRESORA",B876)),
ISNUMBER(SEARCH("MULTIFUNCIONAL",B876)),
ISNUMBER(SEARCH("AIO",B876))
),
"GANCHO",
"NORMAL"
)
)</f>
        <v>GANCHO</v>
      </c>
    </row>
    <row r="875" spans="1:12" x14ac:dyDescent="0.25">
      <c r="A875" s="3" t="s">
        <v>6538</v>
      </c>
      <c r="B875" s="3" t="s">
        <v>6539</v>
      </c>
      <c r="C875" s="1">
        <v>20</v>
      </c>
      <c r="D875" s="1">
        <v>124</v>
      </c>
      <c r="E875" s="1" t="s">
        <v>52</v>
      </c>
      <c r="F875" s="1" t="s">
        <v>6540</v>
      </c>
      <c r="G875" s="3" t="s">
        <v>6541</v>
      </c>
      <c r="H875" s="11">
        <f>ROUND(
IF(L873="GANCHO",
   IF(I875&lt;=50,I875*1.1+4,IF(I875&lt;=120,I875*1.1+7,IF(I875&lt;=250,I875*1.1+11,I875*1.1+19))),
IF(L873="NORMAL",
   IF(I875&lt;=30,I875*1.15+2,IF(I875&lt;=80,I875*1.15+4,IF(I875&lt;=150,I875*1.15+6,I875*1.15+8))),
IF(L873="COMPLEMENTO",
   IF(I875&lt;=25,I875*1.25+1.5,IF(I875&lt;=60,I875*1.25+3,IF(I875&lt;=120,I875*1.25+4,I875*1.25+5))),
""))),2)</f>
        <v>579.11</v>
      </c>
      <c r="I875" s="9">
        <f>($K$2+0.02)*Tabla1[[#This Row],[PRECIO $]]*1.18</f>
        <v>509.19359999999995</v>
      </c>
      <c r="J875" s="7">
        <f>+Tabla1[[#This Row],[PRECIO EN SOLES]]-Tabla1[[#This Row],[PC]]</f>
        <v>69.916400000000067</v>
      </c>
      <c r="K875" s="15"/>
      <c r="L875" s="15" t="str">
        <f>IF(
OR(
ISNUMBER(SEARCH("BACKPACK",B877)),
ISNUMBER(SEARCH("MOCHILA",B877)),
ISNUMBER(SEARCH("FUNDA",B877)),
ISNUMBER(SEARCH("ESTUCHE",B877)),
ISNUMBER(SEARCH("BOOK COVER",B877)),
ISNUMBER(SEARCH("KEYBOARD PARA TABLET",B877)),
ISNUMBER(SEARCH("FLIP TABLET",B877)),
ISNUMBER(SEARCH("CASE FOR TABLET",B877)),
ISNUMBER(SEARCH("CABLE",B877)),
ISNUMBER(SEARCH("ADAPTADOR",B877)),
ISNUMBER(SEARCH("HUB",B877)),
ISNUMBER(SEARCH("DOCK",B877)),
ISNUMBER(SEARCH("MOUSE PAD",B877)),
ISNUMBER(SEARCH("MOUSEPAD",B877)),
ISNUMBER(SEARCH("SOPORTE",B877)),
ISNUMBER(SEARCH("STAND",B877)),
ISNUMBER(SEARCH("TRAVEL ADAPTER",B877)),
ISNUMBER(SEARCH("RJ45",B877)),
ISNUMBER(SEARCH("USB-C",B877)),
ISNUMBER(SEARCH("USB WIFI",B877)),
ISNUMBER(SEARCH("POWERBANK",B877)),
ISNUMBER(SEARCH("CARGADOR",B877)),
ISNUMBER(SEARCH("COOLER PARA NB",B877)),
ISNUMBER(SEARCH("SOPORTE PARA NB",B877)),
ISNUMBER(SEARCH("WEBCAM",B877)),
ISNUMBER(SEARCH("WEB CAM",B877)),
ISNUMBER(SEARCH("MOUSE",B877)),
ISNUMBER(SEARCH("TECLADO",B877))
),
"COMPLEMENTO",
IF(
OR(
LEFT(A877,2)="NB",
LEFT(A877,2)="PC",
LEFT(A877,2)="WS",
LEFT(A877,2)="TB",
LEFT(A877,3)="CEL",
LEFT(A877,3)="MON",
LEFT(A877,3)="PRE",
LEFT(A877,3)="PRH",
ISNUMBER(SEARCH("NOTEBOOK",B877)),
ISNUMBER(SEARCH("LAPTOP",B877)),
ISNUMBER(SEARCH("MONITOR",B877)),
ISNUMBER(SEARCH("TABLET",B877)),
ISNUMBER(SEARCH("SMARTPH",B877)),
ISNUMBER(SEARCH("IMPRESORA",B877)),
ISNUMBER(SEARCH("MULTIFUNCIONAL",B877)),
ISNUMBER(SEARCH("AIO",B877))
),
"GANCHO",
"NORMAL"
)
)</f>
        <v>GANCHO</v>
      </c>
    </row>
    <row r="876" spans="1:12" x14ac:dyDescent="0.25">
      <c r="A876" s="3" t="s">
        <v>286</v>
      </c>
      <c r="B876" s="3" t="s">
        <v>287</v>
      </c>
      <c r="C876" s="1">
        <v>20</v>
      </c>
      <c r="D876" s="1">
        <v>160</v>
      </c>
      <c r="E876" s="1" t="s">
        <v>52</v>
      </c>
      <c r="F876" s="1" t="s">
        <v>3558</v>
      </c>
      <c r="G876" s="3" t="s">
        <v>2789</v>
      </c>
      <c r="H876" s="11">
        <f>ROUND(
IF(L874="GANCHO",
   IF(I876&lt;=50,I876*1.1+4,IF(I876&lt;=120,I876*1.1+7,IF(I876&lt;=250,I876*1.1+11,I876*1.1+19))),
IF(L874="NORMAL",
   IF(I876&lt;=30,I876*1.15+2,IF(I876&lt;=80,I876*1.15+4,IF(I876&lt;=150,I876*1.15+6,I876*1.15+8))),
IF(L874="COMPLEMENTO",
   IF(I876&lt;=25,I876*1.25+1.5,IF(I876&lt;=60,I876*1.25+3,IF(I876&lt;=120,I876*1.25+4,I876*1.25+5))),
""))),2)</f>
        <v>741.73</v>
      </c>
      <c r="I876" s="9">
        <f>($K$2+0.02)*Tabla1[[#This Row],[PRECIO $]]*1.18</f>
        <v>657.02399999999989</v>
      </c>
      <c r="J876" s="7">
        <f>+Tabla1[[#This Row],[PRECIO EN SOLES]]-Tabla1[[#This Row],[PC]]</f>
        <v>84.706000000000131</v>
      </c>
      <c r="K876" s="15"/>
      <c r="L876" s="15" t="str">
        <f>IF(
OR(
ISNUMBER(SEARCH("BACKPACK",B878)),
ISNUMBER(SEARCH("MOCHILA",B878)),
ISNUMBER(SEARCH("FUNDA",B878)),
ISNUMBER(SEARCH("ESTUCHE",B878)),
ISNUMBER(SEARCH("BOOK COVER",B878)),
ISNUMBER(SEARCH("KEYBOARD PARA TABLET",B878)),
ISNUMBER(SEARCH("FLIP TABLET",B878)),
ISNUMBER(SEARCH("CASE FOR TABLET",B878)),
ISNUMBER(SEARCH("CABLE",B878)),
ISNUMBER(SEARCH("ADAPTADOR",B878)),
ISNUMBER(SEARCH("HUB",B878)),
ISNUMBER(SEARCH("DOCK",B878)),
ISNUMBER(SEARCH("MOUSE PAD",B878)),
ISNUMBER(SEARCH("MOUSEPAD",B878)),
ISNUMBER(SEARCH("SOPORTE",B878)),
ISNUMBER(SEARCH("STAND",B878)),
ISNUMBER(SEARCH("TRAVEL ADAPTER",B878)),
ISNUMBER(SEARCH("RJ45",B878)),
ISNUMBER(SEARCH("USB-C",B878)),
ISNUMBER(SEARCH("USB WIFI",B878)),
ISNUMBER(SEARCH("POWERBANK",B878)),
ISNUMBER(SEARCH("CARGADOR",B878)),
ISNUMBER(SEARCH("COOLER PARA NB",B878)),
ISNUMBER(SEARCH("SOPORTE PARA NB",B878)),
ISNUMBER(SEARCH("WEBCAM",B878)),
ISNUMBER(SEARCH("WEB CAM",B878)),
ISNUMBER(SEARCH("MOUSE",B878)),
ISNUMBER(SEARCH("TECLADO",B878))
),
"COMPLEMENTO",
IF(
OR(
LEFT(A878,2)="NB",
LEFT(A878,2)="PC",
LEFT(A878,2)="WS",
LEFT(A878,2)="TB",
LEFT(A878,3)="CEL",
LEFT(A878,3)="MON",
LEFT(A878,3)="PRE",
LEFT(A878,3)="PRH",
ISNUMBER(SEARCH("NOTEBOOK",B878)),
ISNUMBER(SEARCH("LAPTOP",B878)),
ISNUMBER(SEARCH("MONITOR",B878)),
ISNUMBER(SEARCH("TABLET",B878)),
ISNUMBER(SEARCH("SMARTPH",B878)),
ISNUMBER(SEARCH("IMPRESORA",B878)),
ISNUMBER(SEARCH("MULTIFUNCIONAL",B878)),
ISNUMBER(SEARCH("AIO",B878))
),
"GANCHO",
"NORMAL"
)
)</f>
        <v>GANCHO</v>
      </c>
    </row>
    <row r="877" spans="1:12" x14ac:dyDescent="0.25">
      <c r="A877" s="3" t="s">
        <v>6773</v>
      </c>
      <c r="B877" s="3" t="s">
        <v>6774</v>
      </c>
      <c r="C877" s="1">
        <v>20</v>
      </c>
      <c r="D877" s="1">
        <v>97</v>
      </c>
      <c r="E877" s="1" t="s">
        <v>52</v>
      </c>
      <c r="F877" s="1" t="s">
        <v>6775</v>
      </c>
      <c r="G877" s="3" t="s">
        <v>6776</v>
      </c>
      <c r="H877" s="11">
        <f>ROUND(
IF(L875="GANCHO",
   IF(I877&lt;=50,I877*1.1+4,IF(I877&lt;=120,I877*1.1+7,IF(I877&lt;=250,I877*1.1+11,I877*1.1+19))),
IF(L875="NORMAL",
   IF(I877&lt;=30,I877*1.15+2,IF(I877&lt;=80,I877*1.15+4,IF(I877&lt;=150,I877*1.15+6,I877*1.15+8))),
IF(L875="COMPLEMENTO",
   IF(I877&lt;=25,I877*1.25+1.5,IF(I877&lt;=60,I877*1.25+3,IF(I877&lt;=120,I877*1.25+4,I877*1.25+5))),
""))),2)</f>
        <v>457.15</v>
      </c>
      <c r="I877" s="9">
        <f>($K$2+0.02)*Tabla1[[#This Row],[PRECIO $]]*1.18</f>
        <v>398.32079999999996</v>
      </c>
      <c r="J877" s="7">
        <f>+Tabla1[[#This Row],[PRECIO EN SOLES]]-Tabla1[[#This Row],[PC]]</f>
        <v>58.829200000000014</v>
      </c>
      <c r="K877" s="15"/>
      <c r="L877" s="15" t="str">
        <f>IF(
OR(
ISNUMBER(SEARCH("BACKPACK",B879)),
ISNUMBER(SEARCH("MOCHILA",B879)),
ISNUMBER(SEARCH("FUNDA",B879)),
ISNUMBER(SEARCH("ESTUCHE",B879)),
ISNUMBER(SEARCH("BOOK COVER",B879)),
ISNUMBER(SEARCH("KEYBOARD PARA TABLET",B879)),
ISNUMBER(SEARCH("FLIP TABLET",B879)),
ISNUMBER(SEARCH("CASE FOR TABLET",B879)),
ISNUMBER(SEARCH("CABLE",B879)),
ISNUMBER(SEARCH("ADAPTADOR",B879)),
ISNUMBER(SEARCH("HUB",B879)),
ISNUMBER(SEARCH("DOCK",B879)),
ISNUMBER(SEARCH("MOUSE PAD",B879)),
ISNUMBER(SEARCH("MOUSEPAD",B879)),
ISNUMBER(SEARCH("SOPORTE",B879)),
ISNUMBER(SEARCH("STAND",B879)),
ISNUMBER(SEARCH("TRAVEL ADAPTER",B879)),
ISNUMBER(SEARCH("RJ45",B879)),
ISNUMBER(SEARCH("USB-C",B879)),
ISNUMBER(SEARCH("USB WIFI",B879)),
ISNUMBER(SEARCH("POWERBANK",B879)),
ISNUMBER(SEARCH("CARGADOR",B879)),
ISNUMBER(SEARCH("COOLER PARA NB",B879)),
ISNUMBER(SEARCH("SOPORTE PARA NB",B879)),
ISNUMBER(SEARCH("WEBCAM",B879)),
ISNUMBER(SEARCH("WEB CAM",B879)),
ISNUMBER(SEARCH("MOUSE",B879)),
ISNUMBER(SEARCH("TECLADO",B879))
),
"COMPLEMENTO",
IF(
OR(
LEFT(A879,2)="NB",
LEFT(A879,2)="PC",
LEFT(A879,2)="WS",
LEFT(A879,2)="TB",
LEFT(A879,3)="CEL",
LEFT(A879,3)="MON",
LEFT(A879,3)="PRE",
LEFT(A879,3)="PRH",
ISNUMBER(SEARCH("NOTEBOOK",B879)),
ISNUMBER(SEARCH("LAPTOP",B879)),
ISNUMBER(SEARCH("MONITOR",B879)),
ISNUMBER(SEARCH("TABLET",B879)),
ISNUMBER(SEARCH("SMARTPH",B879)),
ISNUMBER(SEARCH("IMPRESORA",B879)),
ISNUMBER(SEARCH("MULTIFUNCIONAL",B879)),
ISNUMBER(SEARCH("AIO",B879))
),
"GANCHO",
"NORMAL"
)
)</f>
        <v>GANCHO</v>
      </c>
    </row>
    <row r="878" spans="1:12" x14ac:dyDescent="0.25">
      <c r="A878" s="3" t="s">
        <v>6321</v>
      </c>
      <c r="B878" s="3" t="s">
        <v>6322</v>
      </c>
      <c r="C878" s="1">
        <v>20</v>
      </c>
      <c r="D878" s="1">
        <v>175</v>
      </c>
      <c r="E878" s="1" t="s">
        <v>52</v>
      </c>
      <c r="F878" s="1" t="s">
        <v>6323</v>
      </c>
      <c r="G878" s="3" t="s">
        <v>6324</v>
      </c>
      <c r="H878" s="11">
        <f>ROUND(
IF(L876="GANCHO",
   IF(I878&lt;=50,I878*1.1+4,IF(I878&lt;=120,I878*1.1+7,IF(I878&lt;=250,I878*1.1+11,I878*1.1+19))),
IF(L876="NORMAL",
   IF(I878&lt;=30,I878*1.15+2,IF(I878&lt;=80,I878*1.15+4,IF(I878&lt;=150,I878*1.15+6,I878*1.15+8))),
IF(L876="COMPLEMENTO",
   IF(I878&lt;=25,I878*1.25+1.5,IF(I878&lt;=60,I878*1.25+3,IF(I878&lt;=120,I878*1.25+4,I878*1.25+5))),
""))),2)</f>
        <v>809.48</v>
      </c>
      <c r="I878" s="9">
        <f>($K$2+0.02)*Tabla1[[#This Row],[PRECIO $]]*1.18</f>
        <v>718.62</v>
      </c>
      <c r="J878" s="7">
        <f>+Tabla1[[#This Row],[PRECIO EN SOLES]]-Tabla1[[#This Row],[PC]]</f>
        <v>90.860000000000014</v>
      </c>
      <c r="K878" s="15"/>
      <c r="L878" s="15" t="str">
        <f>IF(
OR(
ISNUMBER(SEARCH("BACKPACK",B880)),
ISNUMBER(SEARCH("MOCHILA",B880)),
ISNUMBER(SEARCH("FUNDA",B880)),
ISNUMBER(SEARCH("ESTUCHE",B880)),
ISNUMBER(SEARCH("BOOK COVER",B880)),
ISNUMBER(SEARCH("KEYBOARD PARA TABLET",B880)),
ISNUMBER(SEARCH("FLIP TABLET",B880)),
ISNUMBER(SEARCH("CASE FOR TABLET",B880)),
ISNUMBER(SEARCH("CABLE",B880)),
ISNUMBER(SEARCH("ADAPTADOR",B880)),
ISNUMBER(SEARCH("HUB",B880)),
ISNUMBER(SEARCH("DOCK",B880)),
ISNUMBER(SEARCH("MOUSE PAD",B880)),
ISNUMBER(SEARCH("MOUSEPAD",B880)),
ISNUMBER(SEARCH("SOPORTE",B880)),
ISNUMBER(SEARCH("STAND",B880)),
ISNUMBER(SEARCH("TRAVEL ADAPTER",B880)),
ISNUMBER(SEARCH("RJ45",B880)),
ISNUMBER(SEARCH("USB-C",B880)),
ISNUMBER(SEARCH("USB WIFI",B880)),
ISNUMBER(SEARCH("POWERBANK",B880)),
ISNUMBER(SEARCH("CARGADOR",B880)),
ISNUMBER(SEARCH("COOLER PARA NB",B880)),
ISNUMBER(SEARCH("SOPORTE PARA NB",B880)),
ISNUMBER(SEARCH("WEBCAM",B880)),
ISNUMBER(SEARCH("WEB CAM",B880)),
ISNUMBER(SEARCH("MOUSE",B880)),
ISNUMBER(SEARCH("TECLADO",B880))
),
"COMPLEMENTO",
IF(
OR(
LEFT(A880,2)="NB",
LEFT(A880,2)="PC",
LEFT(A880,2)="WS",
LEFT(A880,2)="TB",
LEFT(A880,3)="CEL",
LEFT(A880,3)="MON",
LEFT(A880,3)="PRE",
LEFT(A880,3)="PRH",
ISNUMBER(SEARCH("NOTEBOOK",B880)),
ISNUMBER(SEARCH("LAPTOP",B880)),
ISNUMBER(SEARCH("MONITOR",B880)),
ISNUMBER(SEARCH("TABLET",B880)),
ISNUMBER(SEARCH("SMARTPH",B880)),
ISNUMBER(SEARCH("IMPRESORA",B880)),
ISNUMBER(SEARCH("MULTIFUNCIONAL",B880)),
ISNUMBER(SEARCH("AIO",B880))
),
"GANCHO",
"NORMAL"
)
)</f>
        <v>GANCHO</v>
      </c>
    </row>
    <row r="879" spans="1:12" x14ac:dyDescent="0.25">
      <c r="A879" s="3" t="s">
        <v>1612</v>
      </c>
      <c r="B879" s="3" t="s">
        <v>1613</v>
      </c>
      <c r="C879" s="1">
        <v>0</v>
      </c>
      <c r="D879" s="1">
        <v>999</v>
      </c>
      <c r="E879" s="1" t="s">
        <v>170</v>
      </c>
      <c r="F879" s="1" t="s">
        <v>3565</v>
      </c>
      <c r="G879" s="3"/>
      <c r="H879" s="11">
        <f>ROUND(
IF(L877="GANCHO",
   IF(I879&lt;=50,I879*1.1+4,IF(I879&lt;=120,I879*1.1+7,IF(I879&lt;=250,I879*1.1+11,I879*1.1+19))),
IF(L877="NORMAL",
   IF(I879&lt;=30,I879*1.15+2,IF(I879&lt;=80,I879*1.15+4,IF(I879&lt;=150,I879*1.15+6,I879*1.15+8))),
IF(L877="COMPLEMENTO",
   IF(I879&lt;=25,I879*1.25+1.5,IF(I879&lt;=60,I879*1.25+3,IF(I879&lt;=120,I879*1.25+4,I879*1.25+5))),
""))),2)</f>
        <v>4531.5200000000004</v>
      </c>
      <c r="I879" s="9">
        <f>($K$2+0.02)*Tabla1[[#This Row],[PRECIO $]]*1.18</f>
        <v>4102.2936</v>
      </c>
      <c r="J879" s="7">
        <f>+Tabla1[[#This Row],[PRECIO EN SOLES]]-Tabla1[[#This Row],[PC]]</f>
        <v>429.22640000000047</v>
      </c>
      <c r="K879" s="15"/>
      <c r="L879" s="15" t="str">
        <f>IF(
OR(
ISNUMBER(SEARCH("BACKPACK",B881)),
ISNUMBER(SEARCH("MOCHILA",B881)),
ISNUMBER(SEARCH("FUNDA",B881)),
ISNUMBER(SEARCH("ESTUCHE",B881)),
ISNUMBER(SEARCH("BOOK COVER",B881)),
ISNUMBER(SEARCH("KEYBOARD PARA TABLET",B881)),
ISNUMBER(SEARCH("FLIP TABLET",B881)),
ISNUMBER(SEARCH("CASE FOR TABLET",B881)),
ISNUMBER(SEARCH("CABLE",B881)),
ISNUMBER(SEARCH("ADAPTADOR",B881)),
ISNUMBER(SEARCH("HUB",B881)),
ISNUMBER(SEARCH("DOCK",B881)),
ISNUMBER(SEARCH("MOUSE PAD",B881)),
ISNUMBER(SEARCH("MOUSEPAD",B881)),
ISNUMBER(SEARCH("SOPORTE",B881)),
ISNUMBER(SEARCH("STAND",B881)),
ISNUMBER(SEARCH("TRAVEL ADAPTER",B881)),
ISNUMBER(SEARCH("RJ45",B881)),
ISNUMBER(SEARCH("USB-C",B881)),
ISNUMBER(SEARCH("USB WIFI",B881)),
ISNUMBER(SEARCH("POWERBANK",B881)),
ISNUMBER(SEARCH("CARGADOR",B881)),
ISNUMBER(SEARCH("COOLER PARA NB",B881)),
ISNUMBER(SEARCH("SOPORTE PARA NB",B881)),
ISNUMBER(SEARCH("WEBCAM",B881)),
ISNUMBER(SEARCH("WEB CAM",B881)),
ISNUMBER(SEARCH("MOUSE",B881)),
ISNUMBER(SEARCH("TECLADO",B881))
),
"COMPLEMENTO",
IF(
OR(
LEFT(A881,2)="NB",
LEFT(A881,2)="PC",
LEFT(A881,2)="WS",
LEFT(A881,2)="TB",
LEFT(A881,3)="CEL",
LEFT(A881,3)="MON",
LEFT(A881,3)="PRE",
LEFT(A881,3)="PRH",
ISNUMBER(SEARCH("NOTEBOOK",B881)),
ISNUMBER(SEARCH("LAPTOP",B881)),
ISNUMBER(SEARCH("MONITOR",B881)),
ISNUMBER(SEARCH("TABLET",B881)),
ISNUMBER(SEARCH("SMARTPH",B881)),
ISNUMBER(SEARCH("IMPRESORA",B881)),
ISNUMBER(SEARCH("MULTIFUNCIONAL",B881)),
ISNUMBER(SEARCH("AIO",B881))
),
"GANCHO",
"NORMAL"
)
)</f>
        <v>GANCHO</v>
      </c>
    </row>
    <row r="880" spans="1:12" x14ac:dyDescent="0.25">
      <c r="A880" s="3" t="s">
        <v>6777</v>
      </c>
      <c r="B880" s="3" t="s">
        <v>6778</v>
      </c>
      <c r="C880" s="1">
        <v>20</v>
      </c>
      <c r="D880" s="1">
        <v>243</v>
      </c>
      <c r="E880" s="1" t="s">
        <v>52</v>
      </c>
      <c r="F880" s="1" t="s">
        <v>6779</v>
      </c>
      <c r="G880" s="3" t="s">
        <v>6780</v>
      </c>
      <c r="H880" s="11">
        <f>ROUND(
IF(L878="GANCHO",
   IF(I880&lt;=50,I880*1.1+4,IF(I880&lt;=120,I880*1.1+7,IF(I880&lt;=250,I880*1.1+11,I880*1.1+19))),
IF(L878="NORMAL",
   IF(I880&lt;=30,I880*1.15+2,IF(I880&lt;=80,I880*1.15+4,IF(I880&lt;=150,I880*1.15+6,I880*1.15+8))),
IF(L878="COMPLEMENTO",
   IF(I880&lt;=25,I880*1.25+1.5,IF(I880&lt;=60,I880*1.25+3,IF(I880&lt;=120,I880*1.25+4,I880*1.25+5))),
""))),2)</f>
        <v>1116.6400000000001</v>
      </c>
      <c r="I880" s="9">
        <f>($K$2+0.02)*Tabla1[[#This Row],[PRECIO $]]*1.18</f>
        <v>997.85519999999997</v>
      </c>
      <c r="J880" s="7">
        <f>+Tabla1[[#This Row],[PRECIO EN SOLES]]-Tabla1[[#This Row],[PC]]</f>
        <v>118.78480000000013</v>
      </c>
      <c r="K880" s="15"/>
      <c r="L880" s="15" t="str">
        <f>IF(
OR(
ISNUMBER(SEARCH("BACKPACK",B882)),
ISNUMBER(SEARCH("MOCHILA",B882)),
ISNUMBER(SEARCH("FUNDA",B882)),
ISNUMBER(SEARCH("ESTUCHE",B882)),
ISNUMBER(SEARCH("BOOK COVER",B882)),
ISNUMBER(SEARCH("KEYBOARD PARA TABLET",B882)),
ISNUMBER(SEARCH("FLIP TABLET",B882)),
ISNUMBER(SEARCH("CASE FOR TABLET",B882)),
ISNUMBER(SEARCH("CABLE",B882)),
ISNUMBER(SEARCH("ADAPTADOR",B882)),
ISNUMBER(SEARCH("HUB",B882)),
ISNUMBER(SEARCH("DOCK",B882)),
ISNUMBER(SEARCH("MOUSE PAD",B882)),
ISNUMBER(SEARCH("MOUSEPAD",B882)),
ISNUMBER(SEARCH("SOPORTE",B882)),
ISNUMBER(SEARCH("STAND",B882)),
ISNUMBER(SEARCH("TRAVEL ADAPTER",B882)),
ISNUMBER(SEARCH("RJ45",B882)),
ISNUMBER(SEARCH("USB-C",B882)),
ISNUMBER(SEARCH("USB WIFI",B882)),
ISNUMBER(SEARCH("POWERBANK",B882)),
ISNUMBER(SEARCH("CARGADOR",B882)),
ISNUMBER(SEARCH("COOLER PARA NB",B882)),
ISNUMBER(SEARCH("SOPORTE PARA NB",B882)),
ISNUMBER(SEARCH("WEBCAM",B882)),
ISNUMBER(SEARCH("WEB CAM",B882)),
ISNUMBER(SEARCH("MOUSE",B882)),
ISNUMBER(SEARCH("TECLADO",B882))
),
"COMPLEMENTO",
IF(
OR(
LEFT(A882,2)="NB",
LEFT(A882,2)="PC",
LEFT(A882,2)="WS",
LEFT(A882,2)="TB",
LEFT(A882,3)="CEL",
LEFT(A882,3)="MON",
LEFT(A882,3)="PRE",
LEFT(A882,3)="PRH",
ISNUMBER(SEARCH("NOTEBOOK",B882)),
ISNUMBER(SEARCH("LAPTOP",B882)),
ISNUMBER(SEARCH("MONITOR",B882)),
ISNUMBER(SEARCH("TABLET",B882)),
ISNUMBER(SEARCH("SMARTPH",B882)),
ISNUMBER(SEARCH("IMPRESORA",B882)),
ISNUMBER(SEARCH("MULTIFUNCIONAL",B882)),
ISNUMBER(SEARCH("AIO",B882))
),
"GANCHO",
"NORMAL"
)
)</f>
        <v>GANCHO</v>
      </c>
    </row>
    <row r="881" spans="1:12" x14ac:dyDescent="0.25">
      <c r="A881" s="3" t="s">
        <v>6028</v>
      </c>
      <c r="B881" s="3" t="s">
        <v>6029</v>
      </c>
      <c r="C881" s="1">
        <v>20</v>
      </c>
      <c r="D881" s="1">
        <v>88.4</v>
      </c>
      <c r="E881" s="1" t="s">
        <v>219</v>
      </c>
      <c r="F881" s="1" t="s">
        <v>6030</v>
      </c>
      <c r="G881" s="3" t="s">
        <v>6031</v>
      </c>
      <c r="H881" s="11">
        <f>ROUND(
IF(L879="GANCHO",
   IF(I881&lt;=50,I881*1.1+4,IF(I881&lt;=120,I881*1.1+7,IF(I881&lt;=250,I881*1.1+11,I881*1.1+19))),
IF(L879="NORMAL",
   IF(I881&lt;=30,I881*1.15+2,IF(I881&lt;=80,I881*1.15+4,IF(I881&lt;=150,I881*1.15+6,I881*1.15+8))),
IF(L879="COMPLEMENTO",
   IF(I881&lt;=25,I881*1.25+1.5,IF(I881&lt;=60,I881*1.25+3,IF(I881&lt;=120,I881*1.25+4,I881*1.25+5))),
""))),2)</f>
        <v>418.31</v>
      </c>
      <c r="I881" s="9">
        <f>($K$2+0.02)*Tabla1[[#This Row],[PRECIO $]]*1.18</f>
        <v>363.00576000000001</v>
      </c>
      <c r="J881" s="7">
        <f>+Tabla1[[#This Row],[PRECIO EN SOLES]]-Tabla1[[#This Row],[PC]]</f>
        <v>55.304239999999993</v>
      </c>
      <c r="K881" s="15"/>
      <c r="L881" s="15" t="str">
        <f>IF(
OR(
ISNUMBER(SEARCH("BACKPACK",B883)),
ISNUMBER(SEARCH("MOCHILA",B883)),
ISNUMBER(SEARCH("FUNDA",B883)),
ISNUMBER(SEARCH("ESTUCHE",B883)),
ISNUMBER(SEARCH("BOOK COVER",B883)),
ISNUMBER(SEARCH("KEYBOARD PARA TABLET",B883)),
ISNUMBER(SEARCH("FLIP TABLET",B883)),
ISNUMBER(SEARCH("CASE FOR TABLET",B883)),
ISNUMBER(SEARCH("CABLE",B883)),
ISNUMBER(SEARCH("ADAPTADOR",B883)),
ISNUMBER(SEARCH("HUB",B883)),
ISNUMBER(SEARCH("DOCK",B883)),
ISNUMBER(SEARCH("MOUSE PAD",B883)),
ISNUMBER(SEARCH("MOUSEPAD",B883)),
ISNUMBER(SEARCH("SOPORTE",B883)),
ISNUMBER(SEARCH("STAND",B883)),
ISNUMBER(SEARCH("TRAVEL ADAPTER",B883)),
ISNUMBER(SEARCH("RJ45",B883)),
ISNUMBER(SEARCH("USB-C",B883)),
ISNUMBER(SEARCH("USB WIFI",B883)),
ISNUMBER(SEARCH("POWERBANK",B883)),
ISNUMBER(SEARCH("CARGADOR",B883)),
ISNUMBER(SEARCH("COOLER PARA NB",B883)),
ISNUMBER(SEARCH("SOPORTE PARA NB",B883)),
ISNUMBER(SEARCH("WEBCAM",B883)),
ISNUMBER(SEARCH("WEB CAM",B883)),
ISNUMBER(SEARCH("MOUSE",B883)),
ISNUMBER(SEARCH("TECLADO",B883))
),
"COMPLEMENTO",
IF(
OR(
LEFT(A883,2)="NB",
LEFT(A883,2)="PC",
LEFT(A883,2)="WS",
LEFT(A883,2)="TB",
LEFT(A883,3)="CEL",
LEFT(A883,3)="MON",
LEFT(A883,3)="PRE",
LEFT(A883,3)="PRH",
ISNUMBER(SEARCH("NOTEBOOK",B883)),
ISNUMBER(SEARCH("LAPTOP",B883)),
ISNUMBER(SEARCH("MONITOR",B883)),
ISNUMBER(SEARCH("TABLET",B883)),
ISNUMBER(SEARCH("SMARTPH",B883)),
ISNUMBER(SEARCH("IMPRESORA",B883)),
ISNUMBER(SEARCH("MULTIFUNCIONAL",B883)),
ISNUMBER(SEARCH("AIO",B883))
),
"GANCHO",
"NORMAL"
)
)</f>
        <v>NORMAL</v>
      </c>
    </row>
    <row r="882" spans="1:12" x14ac:dyDescent="0.25">
      <c r="A882" s="3" t="s">
        <v>5447</v>
      </c>
      <c r="B882" s="3" t="s">
        <v>5448</v>
      </c>
      <c r="C882" s="1">
        <v>1</v>
      </c>
      <c r="D882" s="1">
        <v>136.5</v>
      </c>
      <c r="E882" s="1" t="s">
        <v>219</v>
      </c>
      <c r="F882" s="1" t="s">
        <v>5449</v>
      </c>
      <c r="G882" s="3" t="s">
        <v>5450</v>
      </c>
      <c r="H882" s="11">
        <f>ROUND(
IF(L880="GANCHO",
   IF(I882&lt;=50,I882*1.1+4,IF(I882&lt;=120,I882*1.1+7,IF(I882&lt;=250,I882*1.1+11,I882*1.1+19))),
IF(L880="NORMAL",
   IF(I882&lt;=30,I882*1.15+2,IF(I882&lt;=80,I882*1.15+4,IF(I882&lt;=150,I882*1.15+6,I882*1.15+8))),
IF(L880="COMPLEMENTO",
   IF(I882&lt;=25,I882*1.25+1.5,IF(I882&lt;=60,I882*1.25+3,IF(I882&lt;=120,I882*1.25+4,I882*1.25+5))),
""))),2)</f>
        <v>635.58000000000004</v>
      </c>
      <c r="I882" s="9">
        <f>($K$2+0.02)*Tabla1[[#This Row],[PRECIO $]]*1.18</f>
        <v>560.52359999999999</v>
      </c>
      <c r="J882" s="7">
        <f>+Tabla1[[#This Row],[PRECIO EN SOLES]]-Tabla1[[#This Row],[PC]]</f>
        <v>75.056400000000053</v>
      </c>
      <c r="K882" s="15"/>
      <c r="L882" s="15" t="str">
        <f>IF(
OR(
ISNUMBER(SEARCH("BACKPACK",B884)),
ISNUMBER(SEARCH("MOCHILA",B884)),
ISNUMBER(SEARCH("FUNDA",B884)),
ISNUMBER(SEARCH("ESTUCHE",B884)),
ISNUMBER(SEARCH("BOOK COVER",B884)),
ISNUMBER(SEARCH("KEYBOARD PARA TABLET",B884)),
ISNUMBER(SEARCH("FLIP TABLET",B884)),
ISNUMBER(SEARCH("CASE FOR TABLET",B884)),
ISNUMBER(SEARCH("CABLE",B884)),
ISNUMBER(SEARCH("ADAPTADOR",B884)),
ISNUMBER(SEARCH("HUB",B884)),
ISNUMBER(SEARCH("DOCK",B884)),
ISNUMBER(SEARCH("MOUSE PAD",B884)),
ISNUMBER(SEARCH("MOUSEPAD",B884)),
ISNUMBER(SEARCH("SOPORTE",B884)),
ISNUMBER(SEARCH("STAND",B884)),
ISNUMBER(SEARCH("TRAVEL ADAPTER",B884)),
ISNUMBER(SEARCH("RJ45",B884)),
ISNUMBER(SEARCH("USB-C",B884)),
ISNUMBER(SEARCH("USB WIFI",B884)),
ISNUMBER(SEARCH("POWERBANK",B884)),
ISNUMBER(SEARCH("CARGADOR",B884)),
ISNUMBER(SEARCH("COOLER PARA NB",B884)),
ISNUMBER(SEARCH("SOPORTE PARA NB",B884)),
ISNUMBER(SEARCH("WEBCAM",B884)),
ISNUMBER(SEARCH("WEB CAM",B884)),
ISNUMBER(SEARCH("MOUSE",B884)),
ISNUMBER(SEARCH("TECLADO",B884))
),
"COMPLEMENTO",
IF(
OR(
LEFT(A884,2)="NB",
LEFT(A884,2)="PC",
LEFT(A884,2)="WS",
LEFT(A884,2)="TB",
LEFT(A884,3)="CEL",
LEFT(A884,3)="MON",
LEFT(A884,3)="PRE",
LEFT(A884,3)="PRH",
ISNUMBER(SEARCH("NOTEBOOK",B884)),
ISNUMBER(SEARCH("LAPTOP",B884)),
ISNUMBER(SEARCH("MONITOR",B884)),
ISNUMBER(SEARCH("TABLET",B884)),
ISNUMBER(SEARCH("SMARTPH",B884)),
ISNUMBER(SEARCH("IMPRESORA",B884)),
ISNUMBER(SEARCH("MULTIFUNCIONAL",B884)),
ISNUMBER(SEARCH("AIO",B884))
),
"GANCHO",
"NORMAL"
)
)</f>
        <v>NORMAL</v>
      </c>
    </row>
    <row r="883" spans="1:12" x14ac:dyDescent="0.25">
      <c r="A883" s="3" t="s">
        <v>1601</v>
      </c>
      <c r="B883" s="3" t="s">
        <v>1602</v>
      </c>
      <c r="C883" s="1">
        <v>1</v>
      </c>
      <c r="D883" s="1">
        <v>199</v>
      </c>
      <c r="E883" s="1" t="s">
        <v>838</v>
      </c>
      <c r="F883" s="1" t="s">
        <v>3559</v>
      </c>
      <c r="G883" s="3"/>
      <c r="H883" s="11">
        <f>ROUND(
IF(L881="GANCHO",
   IF(I883&lt;=50,I883*1.1+4,IF(I883&lt;=120,I883*1.1+7,IF(I883&lt;=250,I883*1.1+11,I883*1.1+19))),
IF(L881="NORMAL",
   IF(I883&lt;=30,I883*1.15+2,IF(I883&lt;=80,I883*1.15+4,IF(I883&lt;=150,I883*1.15+6,I883*1.15+8))),
IF(L881="COMPLEMENTO",
   IF(I883&lt;=25,I883*1.25+1.5,IF(I883&lt;=60,I883*1.25+3,IF(I883&lt;=120,I883*1.25+4,I883*1.25+5))),
""))),2)</f>
        <v>947.75</v>
      </c>
      <c r="I883" s="9">
        <f>($K$2+0.02)*Tabla1[[#This Row],[PRECIO $]]*1.18</f>
        <v>817.17359999999996</v>
      </c>
      <c r="J883" s="7">
        <f>+Tabla1[[#This Row],[PRECIO EN SOLES]]-Tabla1[[#This Row],[PC]]</f>
        <v>130.57640000000004</v>
      </c>
      <c r="K883" s="15"/>
      <c r="L883" s="15" t="str">
        <f>IF(
OR(
ISNUMBER(SEARCH("BACKPACK",B885)),
ISNUMBER(SEARCH("MOCHILA",B885)),
ISNUMBER(SEARCH("FUNDA",B885)),
ISNUMBER(SEARCH("ESTUCHE",B885)),
ISNUMBER(SEARCH("BOOK COVER",B885)),
ISNUMBER(SEARCH("KEYBOARD PARA TABLET",B885)),
ISNUMBER(SEARCH("FLIP TABLET",B885)),
ISNUMBER(SEARCH("CASE FOR TABLET",B885)),
ISNUMBER(SEARCH("CABLE",B885)),
ISNUMBER(SEARCH("ADAPTADOR",B885)),
ISNUMBER(SEARCH("HUB",B885)),
ISNUMBER(SEARCH("DOCK",B885)),
ISNUMBER(SEARCH("MOUSE PAD",B885)),
ISNUMBER(SEARCH("MOUSEPAD",B885)),
ISNUMBER(SEARCH("SOPORTE",B885)),
ISNUMBER(SEARCH("STAND",B885)),
ISNUMBER(SEARCH("TRAVEL ADAPTER",B885)),
ISNUMBER(SEARCH("RJ45",B885)),
ISNUMBER(SEARCH("USB-C",B885)),
ISNUMBER(SEARCH("USB WIFI",B885)),
ISNUMBER(SEARCH("POWERBANK",B885)),
ISNUMBER(SEARCH("CARGADOR",B885)),
ISNUMBER(SEARCH("COOLER PARA NB",B885)),
ISNUMBER(SEARCH("SOPORTE PARA NB",B885)),
ISNUMBER(SEARCH("WEBCAM",B885)),
ISNUMBER(SEARCH("WEB CAM",B885)),
ISNUMBER(SEARCH("MOUSE",B885)),
ISNUMBER(SEARCH("TECLADO",B885))
),
"COMPLEMENTO",
IF(
OR(
LEFT(A885,2)="NB",
LEFT(A885,2)="PC",
LEFT(A885,2)="WS",
LEFT(A885,2)="TB",
LEFT(A885,3)="CEL",
LEFT(A885,3)="MON",
LEFT(A885,3)="PRE",
LEFT(A885,3)="PRH",
ISNUMBER(SEARCH("NOTEBOOK",B885)),
ISNUMBER(SEARCH("LAPTOP",B885)),
ISNUMBER(SEARCH("MONITOR",B885)),
ISNUMBER(SEARCH("TABLET",B885)),
ISNUMBER(SEARCH("SMARTPH",B885)),
ISNUMBER(SEARCH("IMPRESORA",B885)),
ISNUMBER(SEARCH("MULTIFUNCIONAL",B885)),
ISNUMBER(SEARCH("AIO",B885))
),
"GANCHO",
"NORMAL"
)
)</f>
        <v>GANCHO</v>
      </c>
    </row>
    <row r="884" spans="1:12" x14ac:dyDescent="0.25">
      <c r="A884" s="3" t="s">
        <v>1603</v>
      </c>
      <c r="B884" s="3" t="s">
        <v>1604</v>
      </c>
      <c r="C884" s="1">
        <v>20</v>
      </c>
      <c r="D884" s="1">
        <v>110.6</v>
      </c>
      <c r="E884" s="1" t="s">
        <v>115</v>
      </c>
      <c r="F884" s="1" t="s">
        <v>3560</v>
      </c>
      <c r="G884" s="3" t="s">
        <v>2765</v>
      </c>
      <c r="H884" s="11">
        <f>ROUND(
IF(L882="GANCHO",
   IF(I884&lt;=50,I884*1.1+4,IF(I884&lt;=120,I884*1.1+7,IF(I884&lt;=250,I884*1.1+11,I884*1.1+19))),
IF(L882="NORMAL",
   IF(I884&lt;=30,I884*1.15+2,IF(I884&lt;=80,I884*1.15+4,IF(I884&lt;=150,I884*1.15+6,I884*1.15+8))),
IF(L882="COMPLEMENTO",
   IF(I884&lt;=25,I884*1.25+1.5,IF(I884&lt;=60,I884*1.25+3,IF(I884&lt;=120,I884*1.25+4,I884*1.25+5))),
""))),2)</f>
        <v>530.29</v>
      </c>
      <c r="I884" s="9">
        <f>($K$2+0.02)*Tabla1[[#This Row],[PRECIO $]]*1.18</f>
        <v>454.16783999999996</v>
      </c>
      <c r="J884" s="7">
        <f>+Tabla1[[#This Row],[PRECIO EN SOLES]]-Tabla1[[#This Row],[PC]]</f>
        <v>76.122160000000008</v>
      </c>
      <c r="K884" s="15"/>
      <c r="L884" s="15" t="str">
        <f>IF(
OR(
ISNUMBER(SEARCH("BACKPACK",B886)),
ISNUMBER(SEARCH("MOCHILA",B886)),
ISNUMBER(SEARCH("FUNDA",B886)),
ISNUMBER(SEARCH("ESTUCHE",B886)),
ISNUMBER(SEARCH("BOOK COVER",B886)),
ISNUMBER(SEARCH("KEYBOARD PARA TABLET",B886)),
ISNUMBER(SEARCH("FLIP TABLET",B886)),
ISNUMBER(SEARCH("CASE FOR TABLET",B886)),
ISNUMBER(SEARCH("CABLE",B886)),
ISNUMBER(SEARCH("ADAPTADOR",B886)),
ISNUMBER(SEARCH("HUB",B886)),
ISNUMBER(SEARCH("DOCK",B886)),
ISNUMBER(SEARCH("MOUSE PAD",B886)),
ISNUMBER(SEARCH("MOUSEPAD",B886)),
ISNUMBER(SEARCH("SOPORTE",B886)),
ISNUMBER(SEARCH("STAND",B886)),
ISNUMBER(SEARCH("TRAVEL ADAPTER",B886)),
ISNUMBER(SEARCH("RJ45",B886)),
ISNUMBER(SEARCH("USB-C",B886)),
ISNUMBER(SEARCH("USB WIFI",B886)),
ISNUMBER(SEARCH("POWERBANK",B886)),
ISNUMBER(SEARCH("CARGADOR",B886)),
ISNUMBER(SEARCH("COOLER PARA NB",B886)),
ISNUMBER(SEARCH("SOPORTE PARA NB",B886)),
ISNUMBER(SEARCH("WEBCAM",B886)),
ISNUMBER(SEARCH("WEB CAM",B886)),
ISNUMBER(SEARCH("MOUSE",B886)),
ISNUMBER(SEARCH("TECLADO",B886))
),
"COMPLEMENTO",
IF(
OR(
LEFT(A886,2)="NB",
LEFT(A886,2)="PC",
LEFT(A886,2)="WS",
LEFT(A886,2)="TB",
LEFT(A886,3)="CEL",
LEFT(A886,3)="MON",
LEFT(A886,3)="PRE",
LEFT(A886,3)="PRH",
ISNUMBER(SEARCH("NOTEBOOK",B886)),
ISNUMBER(SEARCH("LAPTOP",B886)),
ISNUMBER(SEARCH("MONITOR",B886)),
ISNUMBER(SEARCH("TABLET",B886)),
ISNUMBER(SEARCH("SMARTPH",B886)),
ISNUMBER(SEARCH("IMPRESORA",B886)),
ISNUMBER(SEARCH("MULTIFUNCIONAL",B886)),
ISNUMBER(SEARCH("AIO",B886))
),
"GANCHO",
"NORMAL"
)
)</f>
        <v>NORMAL</v>
      </c>
    </row>
    <row r="885" spans="1:12" x14ac:dyDescent="0.25">
      <c r="A885" s="3" t="s">
        <v>288</v>
      </c>
      <c r="B885" s="3" t="s">
        <v>289</v>
      </c>
      <c r="C885" s="1">
        <v>20</v>
      </c>
      <c r="D885" s="1">
        <v>77</v>
      </c>
      <c r="E885" s="1" t="s">
        <v>52</v>
      </c>
      <c r="F885" s="1" t="s">
        <v>3561</v>
      </c>
      <c r="G885" s="3" t="s">
        <v>290</v>
      </c>
      <c r="H885" s="11">
        <f>ROUND(
IF(L883="GANCHO",
   IF(I885&lt;=50,I885*1.1+4,IF(I885&lt;=120,I885*1.1+7,IF(I885&lt;=250,I885*1.1+11,I885*1.1+19))),
IF(L883="NORMAL",
   IF(I885&lt;=30,I885*1.15+2,IF(I885&lt;=80,I885*1.15+4,IF(I885&lt;=150,I885*1.15+6,I885*1.15+8))),
IF(L883="COMPLEMENTO",
   IF(I885&lt;=25,I885*1.25+1.5,IF(I885&lt;=60,I885*1.25+3,IF(I885&lt;=120,I885*1.25+4,I885*1.25+5))),
""))),2)</f>
        <v>366.81</v>
      </c>
      <c r="I885" s="9">
        <f>($K$2+0.02)*Tabla1[[#This Row],[PRECIO $]]*1.18</f>
        <v>316.19279999999998</v>
      </c>
      <c r="J885" s="7">
        <f>+Tabla1[[#This Row],[PRECIO EN SOLES]]-Tabla1[[#This Row],[PC]]</f>
        <v>50.617200000000025</v>
      </c>
      <c r="K885" s="15"/>
      <c r="L885" s="15" t="str">
        <f>IF(
OR(
ISNUMBER(SEARCH("BACKPACK",B887)),
ISNUMBER(SEARCH("MOCHILA",B887)),
ISNUMBER(SEARCH("FUNDA",B887)),
ISNUMBER(SEARCH("ESTUCHE",B887)),
ISNUMBER(SEARCH("BOOK COVER",B887)),
ISNUMBER(SEARCH("KEYBOARD PARA TABLET",B887)),
ISNUMBER(SEARCH("FLIP TABLET",B887)),
ISNUMBER(SEARCH("CASE FOR TABLET",B887)),
ISNUMBER(SEARCH("CABLE",B887)),
ISNUMBER(SEARCH("ADAPTADOR",B887)),
ISNUMBER(SEARCH("HUB",B887)),
ISNUMBER(SEARCH("DOCK",B887)),
ISNUMBER(SEARCH("MOUSE PAD",B887)),
ISNUMBER(SEARCH("MOUSEPAD",B887)),
ISNUMBER(SEARCH("SOPORTE",B887)),
ISNUMBER(SEARCH("STAND",B887)),
ISNUMBER(SEARCH("TRAVEL ADAPTER",B887)),
ISNUMBER(SEARCH("RJ45",B887)),
ISNUMBER(SEARCH("USB-C",B887)),
ISNUMBER(SEARCH("USB WIFI",B887)),
ISNUMBER(SEARCH("POWERBANK",B887)),
ISNUMBER(SEARCH("CARGADOR",B887)),
ISNUMBER(SEARCH("COOLER PARA NB",B887)),
ISNUMBER(SEARCH("SOPORTE PARA NB",B887)),
ISNUMBER(SEARCH("WEBCAM",B887)),
ISNUMBER(SEARCH("WEB CAM",B887)),
ISNUMBER(SEARCH("MOUSE",B887)),
ISNUMBER(SEARCH("TECLADO",B887))
),
"COMPLEMENTO",
IF(
OR(
LEFT(A887,2)="NB",
LEFT(A887,2)="PC",
LEFT(A887,2)="WS",
LEFT(A887,2)="TB",
LEFT(A887,3)="CEL",
LEFT(A887,3)="MON",
LEFT(A887,3)="PRE",
LEFT(A887,3)="PRH",
ISNUMBER(SEARCH("NOTEBOOK",B887)),
ISNUMBER(SEARCH("LAPTOP",B887)),
ISNUMBER(SEARCH("MONITOR",B887)),
ISNUMBER(SEARCH("TABLET",B887)),
ISNUMBER(SEARCH("SMARTPH",B887)),
ISNUMBER(SEARCH("IMPRESORA",B887)),
ISNUMBER(SEARCH("MULTIFUNCIONAL",B887)),
ISNUMBER(SEARCH("AIO",B887))
),
"GANCHO",
"NORMAL"
)
)</f>
        <v>NORMAL</v>
      </c>
    </row>
    <row r="886" spans="1:12" x14ac:dyDescent="0.25">
      <c r="A886" s="3" t="s">
        <v>1605</v>
      </c>
      <c r="B886" s="3" t="s">
        <v>1606</v>
      </c>
      <c r="C886" s="1">
        <v>19</v>
      </c>
      <c r="D886" s="1">
        <v>132.19999999999999</v>
      </c>
      <c r="E886" s="1" t="s">
        <v>115</v>
      </c>
      <c r="F886" s="1" t="s">
        <v>3562</v>
      </c>
      <c r="G886" s="3" t="s">
        <v>6781</v>
      </c>
      <c r="H886" s="11">
        <f>ROUND(
IF(L884="GANCHO",
   IF(I886&lt;=50,I886*1.1+4,IF(I886&lt;=120,I886*1.1+7,IF(I886&lt;=250,I886*1.1+11,I886*1.1+19))),
IF(L884="NORMAL",
   IF(I886&lt;=30,I886*1.15+2,IF(I886&lt;=80,I886*1.15+4,IF(I886&lt;=150,I886*1.15+6,I886*1.15+8))),
IF(L884="COMPLEMENTO",
   IF(I886&lt;=25,I886*1.25+1.5,IF(I886&lt;=60,I886*1.25+3,IF(I886&lt;=120,I886*1.25+4,I886*1.25+5))),
""))),2)</f>
        <v>632.29999999999995</v>
      </c>
      <c r="I886" s="9">
        <f>($K$2+0.02)*Tabla1[[#This Row],[PRECIO $]]*1.18</f>
        <v>542.8660799999999</v>
      </c>
      <c r="J886" s="7">
        <f>+Tabla1[[#This Row],[PRECIO EN SOLES]]-Tabla1[[#This Row],[PC]]</f>
        <v>89.433920000000057</v>
      </c>
      <c r="K886" s="15"/>
      <c r="L886" s="15" t="str">
        <f>IF(
OR(
ISNUMBER(SEARCH("BACKPACK",B888)),
ISNUMBER(SEARCH("MOCHILA",B888)),
ISNUMBER(SEARCH("FUNDA",B888)),
ISNUMBER(SEARCH("ESTUCHE",B888)),
ISNUMBER(SEARCH("BOOK COVER",B888)),
ISNUMBER(SEARCH("KEYBOARD PARA TABLET",B888)),
ISNUMBER(SEARCH("FLIP TABLET",B888)),
ISNUMBER(SEARCH("CASE FOR TABLET",B888)),
ISNUMBER(SEARCH("CABLE",B888)),
ISNUMBER(SEARCH("ADAPTADOR",B888)),
ISNUMBER(SEARCH("HUB",B888)),
ISNUMBER(SEARCH("DOCK",B888)),
ISNUMBER(SEARCH("MOUSE PAD",B888)),
ISNUMBER(SEARCH("MOUSEPAD",B888)),
ISNUMBER(SEARCH("SOPORTE",B888)),
ISNUMBER(SEARCH("STAND",B888)),
ISNUMBER(SEARCH("TRAVEL ADAPTER",B888)),
ISNUMBER(SEARCH("RJ45",B888)),
ISNUMBER(SEARCH("USB-C",B888)),
ISNUMBER(SEARCH("USB WIFI",B888)),
ISNUMBER(SEARCH("POWERBANK",B888)),
ISNUMBER(SEARCH("CARGADOR",B888)),
ISNUMBER(SEARCH("COOLER PARA NB",B888)),
ISNUMBER(SEARCH("SOPORTE PARA NB",B888)),
ISNUMBER(SEARCH("WEBCAM",B888)),
ISNUMBER(SEARCH("WEB CAM",B888)),
ISNUMBER(SEARCH("MOUSE",B888)),
ISNUMBER(SEARCH("TECLADO",B888))
),
"COMPLEMENTO",
IF(
OR(
LEFT(A888,2)="NB",
LEFT(A888,2)="PC",
LEFT(A888,2)="WS",
LEFT(A888,2)="TB",
LEFT(A888,3)="CEL",
LEFT(A888,3)="MON",
LEFT(A888,3)="PRE",
LEFT(A888,3)="PRH",
ISNUMBER(SEARCH("NOTEBOOK",B888)),
ISNUMBER(SEARCH("LAPTOP",B888)),
ISNUMBER(SEARCH("MONITOR",B888)),
ISNUMBER(SEARCH("TABLET",B888)),
ISNUMBER(SEARCH("SMARTPH",B888)),
ISNUMBER(SEARCH("IMPRESORA",B888)),
ISNUMBER(SEARCH("MULTIFUNCIONAL",B888)),
ISNUMBER(SEARCH("AIO",B888))
),
"GANCHO",
"NORMAL"
)
)</f>
        <v>NORMAL</v>
      </c>
    </row>
    <row r="887" spans="1:12" x14ac:dyDescent="0.25">
      <c r="A887" s="3" t="s">
        <v>1607</v>
      </c>
      <c r="B887" s="3" t="s">
        <v>1608</v>
      </c>
      <c r="C887" s="1">
        <v>3</v>
      </c>
      <c r="D887" s="1">
        <v>586.5</v>
      </c>
      <c r="E887" s="1" t="s">
        <v>121</v>
      </c>
      <c r="F887" s="1" t="s">
        <v>3563</v>
      </c>
      <c r="G887" s="3" t="s">
        <v>2887</v>
      </c>
      <c r="H887" s="11">
        <f>ROUND(
IF(L885="GANCHO",
   IF(I887&lt;=50,I887*1.1+4,IF(I887&lt;=120,I887*1.1+7,IF(I887&lt;=250,I887*1.1+11,I887*1.1+19))),
IF(L885="NORMAL",
   IF(I887&lt;=30,I887*1.15+2,IF(I887&lt;=80,I887*1.15+4,IF(I887&lt;=150,I887*1.15+6,I887*1.15+8))),
IF(L885="COMPLEMENTO",
   IF(I887&lt;=25,I887*1.25+1.5,IF(I887&lt;=60,I887*1.25+3,IF(I887&lt;=120,I887*1.25+4,I887*1.25+5))),
""))),2)</f>
        <v>2777.66</v>
      </c>
      <c r="I887" s="9">
        <f>($K$2+0.02)*Tabla1[[#This Row],[PRECIO $]]*1.18</f>
        <v>2408.4035999999996</v>
      </c>
      <c r="J887" s="7">
        <f>+Tabla1[[#This Row],[PRECIO EN SOLES]]-Tabla1[[#This Row],[PC]]</f>
        <v>369.25640000000021</v>
      </c>
      <c r="K887" s="15"/>
      <c r="L887" s="15" t="str">
        <f>IF(
OR(
ISNUMBER(SEARCH("BACKPACK",B889)),
ISNUMBER(SEARCH("MOCHILA",B889)),
ISNUMBER(SEARCH("FUNDA",B889)),
ISNUMBER(SEARCH("ESTUCHE",B889)),
ISNUMBER(SEARCH("BOOK COVER",B889)),
ISNUMBER(SEARCH("KEYBOARD PARA TABLET",B889)),
ISNUMBER(SEARCH("FLIP TABLET",B889)),
ISNUMBER(SEARCH("CASE FOR TABLET",B889)),
ISNUMBER(SEARCH("CABLE",B889)),
ISNUMBER(SEARCH("ADAPTADOR",B889)),
ISNUMBER(SEARCH("HUB",B889)),
ISNUMBER(SEARCH("DOCK",B889)),
ISNUMBER(SEARCH("MOUSE PAD",B889)),
ISNUMBER(SEARCH("MOUSEPAD",B889)),
ISNUMBER(SEARCH("SOPORTE",B889)),
ISNUMBER(SEARCH("STAND",B889)),
ISNUMBER(SEARCH("TRAVEL ADAPTER",B889)),
ISNUMBER(SEARCH("RJ45",B889)),
ISNUMBER(SEARCH("USB-C",B889)),
ISNUMBER(SEARCH("USB WIFI",B889)),
ISNUMBER(SEARCH("POWERBANK",B889)),
ISNUMBER(SEARCH("CARGADOR",B889)),
ISNUMBER(SEARCH("COOLER PARA NB",B889)),
ISNUMBER(SEARCH("SOPORTE PARA NB",B889)),
ISNUMBER(SEARCH("WEBCAM",B889)),
ISNUMBER(SEARCH("WEB CAM",B889)),
ISNUMBER(SEARCH("MOUSE",B889)),
ISNUMBER(SEARCH("TECLADO",B889))
),
"COMPLEMENTO",
IF(
OR(
LEFT(A889,2)="NB",
LEFT(A889,2)="PC",
LEFT(A889,2)="WS",
LEFT(A889,2)="TB",
LEFT(A889,3)="CEL",
LEFT(A889,3)="MON",
LEFT(A889,3)="PRE",
LEFT(A889,3)="PRH",
ISNUMBER(SEARCH("NOTEBOOK",B889)),
ISNUMBER(SEARCH("LAPTOP",B889)),
ISNUMBER(SEARCH("MONITOR",B889)),
ISNUMBER(SEARCH("TABLET",B889)),
ISNUMBER(SEARCH("SMARTPH",B889)),
ISNUMBER(SEARCH("IMPRESORA",B889)),
ISNUMBER(SEARCH("MULTIFUNCIONAL",B889)),
ISNUMBER(SEARCH("AIO",B889))
),
"GANCHO",
"NORMAL"
)
)</f>
        <v>NORMAL</v>
      </c>
    </row>
    <row r="888" spans="1:12" x14ac:dyDescent="0.25">
      <c r="A888" s="3" t="s">
        <v>6032</v>
      </c>
      <c r="B888" s="3" t="s">
        <v>6033</v>
      </c>
      <c r="C888" s="1">
        <v>20</v>
      </c>
      <c r="D888" s="1">
        <v>89.5</v>
      </c>
      <c r="E888" s="1" t="s">
        <v>121</v>
      </c>
      <c r="F888" s="1" t="s">
        <v>6034</v>
      </c>
      <c r="G888" s="3" t="s">
        <v>6035</v>
      </c>
      <c r="H888" s="11">
        <f>ROUND(
IF(L886="GANCHO",
   IF(I888&lt;=50,I888*1.1+4,IF(I888&lt;=120,I888*1.1+7,IF(I888&lt;=250,I888*1.1+11,I888*1.1+19))),
IF(L886="NORMAL",
   IF(I888&lt;=30,I888*1.15+2,IF(I888&lt;=80,I888*1.15+4,IF(I888&lt;=150,I888*1.15+6,I888*1.15+8))),
IF(L886="COMPLEMENTO",
   IF(I888&lt;=25,I888*1.25+1.5,IF(I888&lt;=60,I888*1.25+3,IF(I888&lt;=120,I888*1.25+4,I888*1.25+5))),
""))),2)</f>
        <v>430.65</v>
      </c>
      <c r="I888" s="9">
        <f>($K$2+0.02)*Tabla1[[#This Row],[PRECIO $]]*1.18</f>
        <v>367.52279999999996</v>
      </c>
      <c r="J888" s="7">
        <f>+Tabla1[[#This Row],[PRECIO EN SOLES]]-Tabla1[[#This Row],[PC]]</f>
        <v>63.127200000000016</v>
      </c>
      <c r="K888" s="15"/>
      <c r="L888" s="15" t="str">
        <f>IF(
OR(
ISNUMBER(SEARCH("BACKPACK",B890)),
ISNUMBER(SEARCH("MOCHILA",B890)),
ISNUMBER(SEARCH("FUNDA",B890)),
ISNUMBER(SEARCH("ESTUCHE",B890)),
ISNUMBER(SEARCH("BOOK COVER",B890)),
ISNUMBER(SEARCH("KEYBOARD PARA TABLET",B890)),
ISNUMBER(SEARCH("FLIP TABLET",B890)),
ISNUMBER(SEARCH("CASE FOR TABLET",B890)),
ISNUMBER(SEARCH("CABLE",B890)),
ISNUMBER(SEARCH("ADAPTADOR",B890)),
ISNUMBER(SEARCH("HUB",B890)),
ISNUMBER(SEARCH("DOCK",B890)),
ISNUMBER(SEARCH("MOUSE PAD",B890)),
ISNUMBER(SEARCH("MOUSEPAD",B890)),
ISNUMBER(SEARCH("SOPORTE",B890)),
ISNUMBER(SEARCH("STAND",B890)),
ISNUMBER(SEARCH("TRAVEL ADAPTER",B890)),
ISNUMBER(SEARCH("RJ45",B890)),
ISNUMBER(SEARCH("USB-C",B890)),
ISNUMBER(SEARCH("USB WIFI",B890)),
ISNUMBER(SEARCH("POWERBANK",B890)),
ISNUMBER(SEARCH("CARGADOR",B890)),
ISNUMBER(SEARCH("COOLER PARA NB",B890)),
ISNUMBER(SEARCH("SOPORTE PARA NB",B890)),
ISNUMBER(SEARCH("WEBCAM",B890)),
ISNUMBER(SEARCH("WEB CAM",B890)),
ISNUMBER(SEARCH("MOUSE",B890)),
ISNUMBER(SEARCH("TECLADO",B890))
),
"COMPLEMENTO",
IF(
OR(
LEFT(A890,2)="NB",
LEFT(A890,2)="PC",
LEFT(A890,2)="WS",
LEFT(A890,2)="TB",
LEFT(A890,3)="CEL",
LEFT(A890,3)="MON",
LEFT(A890,3)="PRE",
LEFT(A890,3)="PRH",
ISNUMBER(SEARCH("NOTEBOOK",B890)),
ISNUMBER(SEARCH("LAPTOP",B890)),
ISNUMBER(SEARCH("MONITOR",B890)),
ISNUMBER(SEARCH("TABLET",B890)),
ISNUMBER(SEARCH("SMARTPH",B890)),
ISNUMBER(SEARCH("IMPRESORA",B890)),
ISNUMBER(SEARCH("MULTIFUNCIONAL",B890)),
ISNUMBER(SEARCH("AIO",B890))
),
"GANCHO",
"NORMAL"
)
)</f>
        <v>GANCHO</v>
      </c>
    </row>
    <row r="889" spans="1:12" x14ac:dyDescent="0.25">
      <c r="A889" s="3" t="s">
        <v>4991</v>
      </c>
      <c r="B889" s="3" t="s">
        <v>4992</v>
      </c>
      <c r="C889" s="1">
        <v>20</v>
      </c>
      <c r="D889" s="1">
        <v>138.75</v>
      </c>
      <c r="E889" s="1" t="s">
        <v>121</v>
      </c>
      <c r="F889" s="1" t="s">
        <v>4993</v>
      </c>
      <c r="G889" s="3" t="s">
        <v>4994</v>
      </c>
      <c r="H889" s="11">
        <f>ROUND(
IF(L887="GANCHO",
   IF(I889&lt;=50,I889*1.1+4,IF(I889&lt;=120,I889*1.1+7,IF(I889&lt;=250,I889*1.1+11,I889*1.1+19))),
IF(L887="NORMAL",
   IF(I889&lt;=30,I889*1.15+2,IF(I889&lt;=80,I889*1.15+4,IF(I889&lt;=150,I889*1.15+6,I889*1.15+8))),
IF(L887="COMPLEMENTO",
   IF(I889&lt;=25,I889*1.25+1.5,IF(I889&lt;=60,I889*1.25+3,IF(I889&lt;=120,I889*1.25+4,I889*1.25+5))),
""))),2)</f>
        <v>663.23</v>
      </c>
      <c r="I889" s="9">
        <f>($K$2+0.02)*Tabla1[[#This Row],[PRECIO $]]*1.18</f>
        <v>569.76300000000003</v>
      </c>
      <c r="J889" s="7">
        <f>+Tabla1[[#This Row],[PRECIO EN SOLES]]-Tabla1[[#This Row],[PC]]</f>
        <v>93.466999999999985</v>
      </c>
      <c r="K889" s="15"/>
      <c r="L889" s="15" t="str">
        <f>IF(
OR(
ISNUMBER(SEARCH("BACKPACK",B891)),
ISNUMBER(SEARCH("MOCHILA",B891)),
ISNUMBER(SEARCH("FUNDA",B891)),
ISNUMBER(SEARCH("ESTUCHE",B891)),
ISNUMBER(SEARCH("BOOK COVER",B891)),
ISNUMBER(SEARCH("KEYBOARD PARA TABLET",B891)),
ISNUMBER(SEARCH("FLIP TABLET",B891)),
ISNUMBER(SEARCH("CASE FOR TABLET",B891)),
ISNUMBER(SEARCH("CABLE",B891)),
ISNUMBER(SEARCH("ADAPTADOR",B891)),
ISNUMBER(SEARCH("HUB",B891)),
ISNUMBER(SEARCH("DOCK",B891)),
ISNUMBER(SEARCH("MOUSE PAD",B891)),
ISNUMBER(SEARCH("MOUSEPAD",B891)),
ISNUMBER(SEARCH("SOPORTE",B891)),
ISNUMBER(SEARCH("STAND",B891)),
ISNUMBER(SEARCH("TRAVEL ADAPTER",B891)),
ISNUMBER(SEARCH("RJ45",B891)),
ISNUMBER(SEARCH("USB-C",B891)),
ISNUMBER(SEARCH("USB WIFI",B891)),
ISNUMBER(SEARCH("POWERBANK",B891)),
ISNUMBER(SEARCH("CARGADOR",B891)),
ISNUMBER(SEARCH("COOLER PARA NB",B891)),
ISNUMBER(SEARCH("SOPORTE PARA NB",B891)),
ISNUMBER(SEARCH("WEBCAM",B891)),
ISNUMBER(SEARCH("WEB CAM",B891)),
ISNUMBER(SEARCH("MOUSE",B891)),
ISNUMBER(SEARCH("TECLADO",B891))
),
"COMPLEMENTO",
IF(
OR(
LEFT(A891,2)="NB",
LEFT(A891,2)="PC",
LEFT(A891,2)="WS",
LEFT(A891,2)="TB",
LEFT(A891,3)="CEL",
LEFT(A891,3)="MON",
LEFT(A891,3)="PRE",
LEFT(A891,3)="PRH",
ISNUMBER(SEARCH("NOTEBOOK",B891)),
ISNUMBER(SEARCH("LAPTOP",B891)),
ISNUMBER(SEARCH("MONITOR",B891)),
ISNUMBER(SEARCH("TABLET",B891)),
ISNUMBER(SEARCH("SMARTPH",B891)),
ISNUMBER(SEARCH("IMPRESORA",B891)),
ISNUMBER(SEARCH("MULTIFUNCIONAL",B891)),
ISNUMBER(SEARCH("AIO",B891))
),
"GANCHO",
"NORMAL"
)
)</f>
        <v>GANCHO</v>
      </c>
    </row>
    <row r="890" spans="1:12" x14ac:dyDescent="0.25">
      <c r="A890" s="3" t="s">
        <v>6325</v>
      </c>
      <c r="B890" s="3" t="s">
        <v>6326</v>
      </c>
      <c r="C890" s="1">
        <v>20</v>
      </c>
      <c r="D890" s="1">
        <v>157</v>
      </c>
      <c r="E890" s="1" t="s">
        <v>52</v>
      </c>
      <c r="F890" s="1" t="s">
        <v>6327</v>
      </c>
      <c r="G890" s="3" t="s">
        <v>6328</v>
      </c>
      <c r="H890" s="11">
        <f>ROUND(
IF(L888="GANCHO",
   IF(I890&lt;=50,I890*1.1+4,IF(I890&lt;=120,I890*1.1+7,IF(I890&lt;=250,I890*1.1+11,I890*1.1+19))),
IF(L888="NORMAL",
   IF(I890&lt;=30,I890*1.15+2,IF(I890&lt;=80,I890*1.15+4,IF(I890&lt;=150,I890*1.15+6,I890*1.15+8))),
IF(L888="COMPLEMENTO",
   IF(I890&lt;=25,I890*1.25+1.5,IF(I890&lt;=60,I890*1.25+3,IF(I890&lt;=120,I890*1.25+4,I890*1.25+5))),
""))),2)</f>
        <v>728.18</v>
      </c>
      <c r="I890" s="9">
        <f>($K$2+0.02)*Tabla1[[#This Row],[PRECIO $]]*1.18</f>
        <v>644.70479999999998</v>
      </c>
      <c r="J890" s="7">
        <f>+Tabla1[[#This Row],[PRECIO EN SOLES]]-Tabla1[[#This Row],[PC]]</f>
        <v>83.475199999999973</v>
      </c>
      <c r="K890" s="15"/>
      <c r="L890" s="15" t="str">
        <f>IF(
OR(
ISNUMBER(SEARCH("BACKPACK",B892)),
ISNUMBER(SEARCH("MOCHILA",B892)),
ISNUMBER(SEARCH("FUNDA",B892)),
ISNUMBER(SEARCH("ESTUCHE",B892)),
ISNUMBER(SEARCH("BOOK COVER",B892)),
ISNUMBER(SEARCH("KEYBOARD PARA TABLET",B892)),
ISNUMBER(SEARCH("FLIP TABLET",B892)),
ISNUMBER(SEARCH("CASE FOR TABLET",B892)),
ISNUMBER(SEARCH("CABLE",B892)),
ISNUMBER(SEARCH("ADAPTADOR",B892)),
ISNUMBER(SEARCH("HUB",B892)),
ISNUMBER(SEARCH("DOCK",B892)),
ISNUMBER(SEARCH("MOUSE PAD",B892)),
ISNUMBER(SEARCH("MOUSEPAD",B892)),
ISNUMBER(SEARCH("SOPORTE",B892)),
ISNUMBER(SEARCH("STAND",B892)),
ISNUMBER(SEARCH("TRAVEL ADAPTER",B892)),
ISNUMBER(SEARCH("RJ45",B892)),
ISNUMBER(SEARCH("USB-C",B892)),
ISNUMBER(SEARCH("USB WIFI",B892)),
ISNUMBER(SEARCH("POWERBANK",B892)),
ISNUMBER(SEARCH("CARGADOR",B892)),
ISNUMBER(SEARCH("COOLER PARA NB",B892)),
ISNUMBER(SEARCH("SOPORTE PARA NB",B892)),
ISNUMBER(SEARCH("WEBCAM",B892)),
ISNUMBER(SEARCH("WEB CAM",B892)),
ISNUMBER(SEARCH("MOUSE",B892)),
ISNUMBER(SEARCH("TECLADO",B892))
),
"COMPLEMENTO",
IF(
OR(
LEFT(A892,2)="NB",
LEFT(A892,2)="PC",
LEFT(A892,2)="WS",
LEFT(A892,2)="TB",
LEFT(A892,3)="CEL",
LEFT(A892,3)="MON",
LEFT(A892,3)="PRE",
LEFT(A892,3)="PRH",
ISNUMBER(SEARCH("NOTEBOOK",B892)),
ISNUMBER(SEARCH("LAPTOP",B892)),
ISNUMBER(SEARCH("MONITOR",B892)),
ISNUMBER(SEARCH("TABLET",B892)),
ISNUMBER(SEARCH("SMARTPH",B892)),
ISNUMBER(SEARCH("IMPRESORA",B892)),
ISNUMBER(SEARCH("MULTIFUNCIONAL",B892)),
ISNUMBER(SEARCH("AIO",B892))
),
"GANCHO",
"NORMAL"
)
)</f>
        <v>GANCHO</v>
      </c>
    </row>
    <row r="891" spans="1:12" x14ac:dyDescent="0.25">
      <c r="A891" s="3" t="s">
        <v>6782</v>
      </c>
      <c r="B891" s="3" t="s">
        <v>6783</v>
      </c>
      <c r="C891" s="1">
        <v>20</v>
      </c>
      <c r="D891" s="1">
        <v>117</v>
      </c>
      <c r="E891" s="1" t="s">
        <v>52</v>
      </c>
      <c r="F891" s="1" t="s">
        <v>6784</v>
      </c>
      <c r="G891" s="3" t="s">
        <v>6785</v>
      </c>
      <c r="H891" s="11">
        <f>ROUND(
IF(L889="GANCHO",
   IF(I891&lt;=50,I891*1.1+4,IF(I891&lt;=120,I891*1.1+7,IF(I891&lt;=250,I891*1.1+11,I891*1.1+19))),
IF(L889="NORMAL",
   IF(I891&lt;=30,I891*1.15+2,IF(I891&lt;=80,I891*1.15+4,IF(I891&lt;=150,I891*1.15+6,I891*1.15+8))),
IF(L889="COMPLEMENTO",
   IF(I891&lt;=25,I891*1.25+1.5,IF(I891&lt;=60,I891*1.25+3,IF(I891&lt;=120,I891*1.25+4,I891*1.25+5))),
""))),2)</f>
        <v>547.49</v>
      </c>
      <c r="I891" s="9">
        <f>($K$2+0.02)*Tabla1[[#This Row],[PRECIO $]]*1.18</f>
        <v>480.44880000000001</v>
      </c>
      <c r="J891" s="7">
        <f>+Tabla1[[#This Row],[PRECIO EN SOLES]]-Tabla1[[#This Row],[PC]]</f>
        <v>67.041200000000003</v>
      </c>
      <c r="K891" s="15"/>
      <c r="L891" s="15" t="str">
        <f>IF(
OR(
ISNUMBER(SEARCH("BACKPACK",B893)),
ISNUMBER(SEARCH("MOCHILA",B893)),
ISNUMBER(SEARCH("FUNDA",B893)),
ISNUMBER(SEARCH("ESTUCHE",B893)),
ISNUMBER(SEARCH("BOOK COVER",B893)),
ISNUMBER(SEARCH("KEYBOARD PARA TABLET",B893)),
ISNUMBER(SEARCH("FLIP TABLET",B893)),
ISNUMBER(SEARCH("CASE FOR TABLET",B893)),
ISNUMBER(SEARCH("CABLE",B893)),
ISNUMBER(SEARCH("ADAPTADOR",B893)),
ISNUMBER(SEARCH("HUB",B893)),
ISNUMBER(SEARCH("DOCK",B893)),
ISNUMBER(SEARCH("MOUSE PAD",B893)),
ISNUMBER(SEARCH("MOUSEPAD",B893)),
ISNUMBER(SEARCH("SOPORTE",B893)),
ISNUMBER(SEARCH("STAND",B893)),
ISNUMBER(SEARCH("TRAVEL ADAPTER",B893)),
ISNUMBER(SEARCH("RJ45",B893)),
ISNUMBER(SEARCH("USB-C",B893)),
ISNUMBER(SEARCH("USB WIFI",B893)),
ISNUMBER(SEARCH("POWERBANK",B893)),
ISNUMBER(SEARCH("CARGADOR",B893)),
ISNUMBER(SEARCH("COOLER PARA NB",B893)),
ISNUMBER(SEARCH("SOPORTE PARA NB",B893)),
ISNUMBER(SEARCH("WEBCAM",B893)),
ISNUMBER(SEARCH("WEB CAM",B893)),
ISNUMBER(SEARCH("MOUSE",B893)),
ISNUMBER(SEARCH("TECLADO",B893))
),
"COMPLEMENTO",
IF(
OR(
LEFT(A893,2)="NB",
LEFT(A893,2)="PC",
LEFT(A893,2)="WS",
LEFT(A893,2)="TB",
LEFT(A893,3)="CEL",
LEFT(A893,3)="MON",
LEFT(A893,3)="PRE",
LEFT(A893,3)="PRH",
ISNUMBER(SEARCH("NOTEBOOK",B893)),
ISNUMBER(SEARCH("LAPTOP",B893)),
ISNUMBER(SEARCH("MONITOR",B893)),
ISNUMBER(SEARCH("TABLET",B893)),
ISNUMBER(SEARCH("SMARTPH",B893)),
ISNUMBER(SEARCH("IMPRESORA",B893)),
ISNUMBER(SEARCH("MULTIFUNCIONAL",B893)),
ISNUMBER(SEARCH("AIO",B893))
),
"GANCHO",
"NORMAL"
)
)</f>
        <v>GANCHO</v>
      </c>
    </row>
    <row r="892" spans="1:12" x14ac:dyDescent="0.25">
      <c r="A892" s="3" t="s">
        <v>4995</v>
      </c>
      <c r="B892" s="3" t="s">
        <v>4996</v>
      </c>
      <c r="C892" s="1">
        <v>20</v>
      </c>
      <c r="D892" s="1">
        <v>113.8</v>
      </c>
      <c r="E892" s="1" t="s">
        <v>219</v>
      </c>
      <c r="F892" s="1" t="s">
        <v>4997</v>
      </c>
      <c r="G892" s="3" t="s">
        <v>4998</v>
      </c>
      <c r="H892" s="11">
        <f>ROUND(
IF(L890="GANCHO",
   IF(I892&lt;=50,I892*1.1+4,IF(I892&lt;=120,I892*1.1+7,IF(I892&lt;=250,I892*1.1+11,I892*1.1+19))),
IF(L890="NORMAL",
   IF(I892&lt;=30,I892*1.15+2,IF(I892&lt;=80,I892*1.15+4,IF(I892&lt;=150,I892*1.15+6,I892*1.15+8))),
IF(L890="COMPLEMENTO",
   IF(I892&lt;=25,I892*1.25+1.5,IF(I892&lt;=60,I892*1.25+3,IF(I892&lt;=120,I892*1.25+4,I892*1.25+5))),
""))),2)</f>
        <v>533.04</v>
      </c>
      <c r="I892" s="9">
        <f>($K$2+0.02)*Tabla1[[#This Row],[PRECIO $]]*1.18</f>
        <v>467.30831999999998</v>
      </c>
      <c r="J892" s="7">
        <f>+Tabla1[[#This Row],[PRECIO EN SOLES]]-Tabla1[[#This Row],[PC]]</f>
        <v>65.731679999999983</v>
      </c>
      <c r="K892" s="15"/>
      <c r="L892" s="15" t="str">
        <f>IF(
OR(
ISNUMBER(SEARCH("BACKPACK",B894)),
ISNUMBER(SEARCH("MOCHILA",B894)),
ISNUMBER(SEARCH("FUNDA",B894)),
ISNUMBER(SEARCH("ESTUCHE",B894)),
ISNUMBER(SEARCH("BOOK COVER",B894)),
ISNUMBER(SEARCH("KEYBOARD PARA TABLET",B894)),
ISNUMBER(SEARCH("FLIP TABLET",B894)),
ISNUMBER(SEARCH("CASE FOR TABLET",B894)),
ISNUMBER(SEARCH("CABLE",B894)),
ISNUMBER(SEARCH("ADAPTADOR",B894)),
ISNUMBER(SEARCH("HUB",B894)),
ISNUMBER(SEARCH("DOCK",B894)),
ISNUMBER(SEARCH("MOUSE PAD",B894)),
ISNUMBER(SEARCH("MOUSEPAD",B894)),
ISNUMBER(SEARCH("SOPORTE",B894)),
ISNUMBER(SEARCH("STAND",B894)),
ISNUMBER(SEARCH("TRAVEL ADAPTER",B894)),
ISNUMBER(SEARCH("RJ45",B894)),
ISNUMBER(SEARCH("USB-C",B894)),
ISNUMBER(SEARCH("USB WIFI",B894)),
ISNUMBER(SEARCH("POWERBANK",B894)),
ISNUMBER(SEARCH("CARGADOR",B894)),
ISNUMBER(SEARCH("COOLER PARA NB",B894)),
ISNUMBER(SEARCH("SOPORTE PARA NB",B894)),
ISNUMBER(SEARCH("WEBCAM",B894)),
ISNUMBER(SEARCH("WEB CAM",B894)),
ISNUMBER(SEARCH("MOUSE",B894)),
ISNUMBER(SEARCH("TECLADO",B894))
),
"COMPLEMENTO",
IF(
OR(
LEFT(A894,2)="NB",
LEFT(A894,2)="PC",
LEFT(A894,2)="WS",
LEFT(A894,2)="TB",
LEFT(A894,3)="CEL",
LEFT(A894,3)="MON",
LEFT(A894,3)="PRE",
LEFT(A894,3)="PRH",
ISNUMBER(SEARCH("NOTEBOOK",B894)),
ISNUMBER(SEARCH("LAPTOP",B894)),
ISNUMBER(SEARCH("MONITOR",B894)),
ISNUMBER(SEARCH("TABLET",B894)),
ISNUMBER(SEARCH("SMARTPH",B894)),
ISNUMBER(SEARCH("IMPRESORA",B894)),
ISNUMBER(SEARCH("MULTIFUNCIONAL",B894)),
ISNUMBER(SEARCH("AIO",B894))
),
"GANCHO",
"NORMAL"
)
)</f>
        <v>GANCHO</v>
      </c>
    </row>
    <row r="893" spans="1:12" x14ac:dyDescent="0.25">
      <c r="A893" s="3" t="s">
        <v>4306</v>
      </c>
      <c r="B893" s="3" t="s">
        <v>4307</v>
      </c>
      <c r="C893" s="1">
        <v>10</v>
      </c>
      <c r="D893" s="1">
        <v>209.5</v>
      </c>
      <c r="E893" s="1" t="s">
        <v>219</v>
      </c>
      <c r="F893" s="1" t="s">
        <v>4308</v>
      </c>
      <c r="G893" s="3" t="s">
        <v>4309</v>
      </c>
      <c r="H893" s="11">
        <f>ROUND(
IF(L891="GANCHO",
   IF(I893&lt;=50,I893*1.1+4,IF(I893&lt;=120,I893*1.1+7,IF(I893&lt;=250,I893*1.1+11,I893*1.1+19))),
IF(L891="NORMAL",
   IF(I893&lt;=30,I893*1.15+2,IF(I893&lt;=80,I893*1.15+4,IF(I893&lt;=150,I893*1.15+6,I893*1.15+8))),
IF(L891="COMPLEMENTO",
   IF(I893&lt;=25,I893*1.25+1.5,IF(I893&lt;=60,I893*1.25+3,IF(I893&lt;=120,I893*1.25+4,I893*1.25+5))),
""))),2)</f>
        <v>965.32</v>
      </c>
      <c r="I893" s="9">
        <f>($K$2+0.02)*Tabla1[[#This Row],[PRECIO $]]*1.18</f>
        <v>860.29079999999988</v>
      </c>
      <c r="J893" s="7">
        <f>+Tabla1[[#This Row],[PRECIO EN SOLES]]-Tabla1[[#This Row],[PC]]</f>
        <v>105.02920000000017</v>
      </c>
      <c r="K893" s="15"/>
      <c r="L893" s="15" t="str">
        <f>IF(
OR(
ISNUMBER(SEARCH("BACKPACK",B895)),
ISNUMBER(SEARCH("MOCHILA",B895)),
ISNUMBER(SEARCH("FUNDA",B895)),
ISNUMBER(SEARCH("ESTUCHE",B895)),
ISNUMBER(SEARCH("BOOK COVER",B895)),
ISNUMBER(SEARCH("KEYBOARD PARA TABLET",B895)),
ISNUMBER(SEARCH("FLIP TABLET",B895)),
ISNUMBER(SEARCH("CASE FOR TABLET",B895)),
ISNUMBER(SEARCH("CABLE",B895)),
ISNUMBER(SEARCH("ADAPTADOR",B895)),
ISNUMBER(SEARCH("HUB",B895)),
ISNUMBER(SEARCH("DOCK",B895)),
ISNUMBER(SEARCH("MOUSE PAD",B895)),
ISNUMBER(SEARCH("MOUSEPAD",B895)),
ISNUMBER(SEARCH("SOPORTE",B895)),
ISNUMBER(SEARCH("STAND",B895)),
ISNUMBER(SEARCH("TRAVEL ADAPTER",B895)),
ISNUMBER(SEARCH("RJ45",B895)),
ISNUMBER(SEARCH("USB-C",B895)),
ISNUMBER(SEARCH("USB WIFI",B895)),
ISNUMBER(SEARCH("POWERBANK",B895)),
ISNUMBER(SEARCH("CARGADOR",B895)),
ISNUMBER(SEARCH("COOLER PARA NB",B895)),
ISNUMBER(SEARCH("SOPORTE PARA NB",B895)),
ISNUMBER(SEARCH("WEBCAM",B895)),
ISNUMBER(SEARCH("WEB CAM",B895)),
ISNUMBER(SEARCH("MOUSE",B895)),
ISNUMBER(SEARCH("TECLADO",B895))
),
"COMPLEMENTO",
IF(
OR(
LEFT(A895,2)="NB",
LEFT(A895,2)="PC",
LEFT(A895,2)="WS",
LEFT(A895,2)="TB",
LEFT(A895,3)="CEL",
LEFT(A895,3)="MON",
LEFT(A895,3)="PRE",
LEFT(A895,3)="PRH",
ISNUMBER(SEARCH("NOTEBOOK",B895)),
ISNUMBER(SEARCH("LAPTOP",B895)),
ISNUMBER(SEARCH("MONITOR",B895)),
ISNUMBER(SEARCH("TABLET",B895)),
ISNUMBER(SEARCH("SMARTPH",B895)),
ISNUMBER(SEARCH("IMPRESORA",B895)),
ISNUMBER(SEARCH("MULTIFUNCIONAL",B895)),
ISNUMBER(SEARCH("AIO",B895))
),
"GANCHO",
"NORMAL"
)
)</f>
        <v>NORMAL</v>
      </c>
    </row>
    <row r="894" spans="1:12" x14ac:dyDescent="0.25">
      <c r="A894" s="3" t="s">
        <v>1609</v>
      </c>
      <c r="B894" s="3" t="s">
        <v>1610</v>
      </c>
      <c r="C894" s="1">
        <v>20</v>
      </c>
      <c r="D894" s="1">
        <v>636.44000000000005</v>
      </c>
      <c r="E894" s="1" t="s">
        <v>838</v>
      </c>
      <c r="F894" s="1" t="s">
        <v>3564</v>
      </c>
      <c r="G894" s="3" t="s">
        <v>1611</v>
      </c>
      <c r="H894" s="11">
        <f>ROUND(
IF(L892="GANCHO",
   IF(I894&lt;=50,I894*1.1+4,IF(I894&lt;=120,I894*1.1+7,IF(I894&lt;=250,I894*1.1+11,I894*1.1+19))),
IF(L892="NORMAL",
   IF(I894&lt;=30,I894*1.15+2,IF(I894&lt;=80,I894*1.15+4,IF(I894&lt;=150,I894*1.15+6,I894*1.15+8))),
IF(L892="COMPLEMENTO",
   IF(I894&lt;=25,I894*1.25+1.5,IF(I894&lt;=60,I894*1.25+3,IF(I894&lt;=120,I894*1.25+4,I894*1.25+5))),
""))),2)</f>
        <v>2893.82</v>
      </c>
      <c r="I894" s="9">
        <f>($K$2+0.02)*Tabla1[[#This Row],[PRECIO $]]*1.18</f>
        <v>2613.4772159999998</v>
      </c>
      <c r="J894" s="7">
        <f>+Tabla1[[#This Row],[PRECIO EN SOLES]]-Tabla1[[#This Row],[PC]]</f>
        <v>280.34278400000039</v>
      </c>
      <c r="K894" s="15"/>
      <c r="L894" s="15" t="str">
        <f>IF(
OR(
ISNUMBER(SEARCH("BACKPACK",B896)),
ISNUMBER(SEARCH("MOCHILA",B896)),
ISNUMBER(SEARCH("FUNDA",B896)),
ISNUMBER(SEARCH("ESTUCHE",B896)),
ISNUMBER(SEARCH("BOOK COVER",B896)),
ISNUMBER(SEARCH("KEYBOARD PARA TABLET",B896)),
ISNUMBER(SEARCH("FLIP TABLET",B896)),
ISNUMBER(SEARCH("CASE FOR TABLET",B896)),
ISNUMBER(SEARCH("CABLE",B896)),
ISNUMBER(SEARCH("ADAPTADOR",B896)),
ISNUMBER(SEARCH("HUB",B896)),
ISNUMBER(SEARCH("DOCK",B896)),
ISNUMBER(SEARCH("MOUSE PAD",B896)),
ISNUMBER(SEARCH("MOUSEPAD",B896)),
ISNUMBER(SEARCH("SOPORTE",B896)),
ISNUMBER(SEARCH("STAND",B896)),
ISNUMBER(SEARCH("TRAVEL ADAPTER",B896)),
ISNUMBER(SEARCH("RJ45",B896)),
ISNUMBER(SEARCH("USB-C",B896)),
ISNUMBER(SEARCH("USB WIFI",B896)),
ISNUMBER(SEARCH("POWERBANK",B896)),
ISNUMBER(SEARCH("CARGADOR",B896)),
ISNUMBER(SEARCH("COOLER PARA NB",B896)),
ISNUMBER(SEARCH("SOPORTE PARA NB",B896)),
ISNUMBER(SEARCH("WEBCAM",B896)),
ISNUMBER(SEARCH("WEB CAM",B896)),
ISNUMBER(SEARCH("MOUSE",B896)),
ISNUMBER(SEARCH("TECLADO",B896))
),
"COMPLEMENTO",
IF(
OR(
LEFT(A896,2)="NB",
LEFT(A896,2)="PC",
LEFT(A896,2)="WS",
LEFT(A896,2)="TB",
LEFT(A896,3)="CEL",
LEFT(A896,3)="MON",
LEFT(A896,3)="PRE",
LEFT(A896,3)="PRH",
ISNUMBER(SEARCH("NOTEBOOK",B896)),
ISNUMBER(SEARCH("LAPTOP",B896)),
ISNUMBER(SEARCH("MONITOR",B896)),
ISNUMBER(SEARCH("TABLET",B896)),
ISNUMBER(SEARCH("SMARTPH",B896)),
ISNUMBER(SEARCH("IMPRESORA",B896)),
ISNUMBER(SEARCH("MULTIFUNCIONAL",B896)),
ISNUMBER(SEARCH("AIO",B896))
),
"GANCHO",
"NORMAL"
)
)</f>
        <v>GANCHO</v>
      </c>
    </row>
    <row r="895" spans="1:12" x14ac:dyDescent="0.25">
      <c r="A895" s="3" t="s">
        <v>5451</v>
      </c>
      <c r="B895" s="3" t="s">
        <v>5452</v>
      </c>
      <c r="C895" s="1">
        <v>14</v>
      </c>
      <c r="D895" s="1">
        <v>310</v>
      </c>
      <c r="E895" s="1" t="s">
        <v>219</v>
      </c>
      <c r="F895" s="1" t="s">
        <v>5453</v>
      </c>
      <c r="G895" s="3" t="s">
        <v>5454</v>
      </c>
      <c r="H895" s="11">
        <f>ROUND(
IF(L893="GANCHO",
   IF(I895&lt;=50,I895*1.1+4,IF(I895&lt;=120,I895*1.1+7,IF(I895&lt;=250,I895*1.1+11,I895*1.1+19))),
IF(L893="NORMAL",
   IF(I895&lt;=30,I895*1.15+2,IF(I895&lt;=80,I895*1.15+4,IF(I895&lt;=150,I895*1.15+6,I895*1.15+8))),
IF(L893="COMPLEMENTO",
   IF(I895&lt;=25,I895*1.25+1.5,IF(I895&lt;=60,I895*1.25+3,IF(I895&lt;=120,I895*1.25+4,I895*1.25+5))),
""))),2)</f>
        <v>1471.93</v>
      </c>
      <c r="I895" s="9">
        <f>($K$2+0.02)*Tabla1[[#This Row],[PRECIO $]]*1.18</f>
        <v>1272.9839999999999</v>
      </c>
      <c r="J895" s="7">
        <f>+Tabla1[[#This Row],[PRECIO EN SOLES]]-Tabla1[[#This Row],[PC]]</f>
        <v>198.94600000000014</v>
      </c>
      <c r="K895" s="15"/>
      <c r="L895" s="15" t="str">
        <f>IF(
OR(
ISNUMBER(SEARCH("BACKPACK",B897)),
ISNUMBER(SEARCH("MOCHILA",B897)),
ISNUMBER(SEARCH("FUNDA",B897)),
ISNUMBER(SEARCH("ESTUCHE",B897)),
ISNUMBER(SEARCH("BOOK COVER",B897)),
ISNUMBER(SEARCH("KEYBOARD PARA TABLET",B897)),
ISNUMBER(SEARCH("FLIP TABLET",B897)),
ISNUMBER(SEARCH("CASE FOR TABLET",B897)),
ISNUMBER(SEARCH("CABLE",B897)),
ISNUMBER(SEARCH("ADAPTADOR",B897)),
ISNUMBER(SEARCH("HUB",B897)),
ISNUMBER(SEARCH("DOCK",B897)),
ISNUMBER(SEARCH("MOUSE PAD",B897)),
ISNUMBER(SEARCH("MOUSEPAD",B897)),
ISNUMBER(SEARCH("SOPORTE",B897)),
ISNUMBER(SEARCH("STAND",B897)),
ISNUMBER(SEARCH("TRAVEL ADAPTER",B897)),
ISNUMBER(SEARCH("RJ45",B897)),
ISNUMBER(SEARCH("USB-C",B897)),
ISNUMBER(SEARCH("USB WIFI",B897)),
ISNUMBER(SEARCH("POWERBANK",B897)),
ISNUMBER(SEARCH("CARGADOR",B897)),
ISNUMBER(SEARCH("COOLER PARA NB",B897)),
ISNUMBER(SEARCH("SOPORTE PARA NB",B897)),
ISNUMBER(SEARCH("WEBCAM",B897)),
ISNUMBER(SEARCH("WEB CAM",B897)),
ISNUMBER(SEARCH("MOUSE",B897)),
ISNUMBER(SEARCH("TECLADO",B897))
),
"COMPLEMENTO",
IF(
OR(
LEFT(A897,2)="NB",
LEFT(A897,2)="PC",
LEFT(A897,2)="WS",
LEFT(A897,2)="TB",
LEFT(A897,3)="CEL",
LEFT(A897,3)="MON",
LEFT(A897,3)="PRE",
LEFT(A897,3)="PRH",
ISNUMBER(SEARCH("NOTEBOOK",B897)),
ISNUMBER(SEARCH("LAPTOP",B897)),
ISNUMBER(SEARCH("MONITOR",B897)),
ISNUMBER(SEARCH("TABLET",B897)),
ISNUMBER(SEARCH("SMARTPH",B897)),
ISNUMBER(SEARCH("IMPRESORA",B897)),
ISNUMBER(SEARCH("MULTIFUNCIONAL",B897)),
ISNUMBER(SEARCH("AIO",B897))
),
"GANCHO",
"NORMAL"
)
)</f>
        <v>GANCHO</v>
      </c>
    </row>
    <row r="896" spans="1:12" x14ac:dyDescent="0.25">
      <c r="A896" s="3" t="s">
        <v>1614</v>
      </c>
      <c r="B896" s="3" t="s">
        <v>291</v>
      </c>
      <c r="C896" s="1">
        <v>20</v>
      </c>
      <c r="D896" s="1">
        <v>46.3</v>
      </c>
      <c r="E896" s="1" t="s">
        <v>52</v>
      </c>
      <c r="F896" s="1" t="s">
        <v>3566</v>
      </c>
      <c r="G896" s="3" t="s">
        <v>1615</v>
      </c>
      <c r="H896" s="11">
        <f>ROUND(
IF(L894="GANCHO",
   IF(I896&lt;=50,I896*1.1+4,IF(I896&lt;=120,I896*1.1+7,IF(I896&lt;=250,I896*1.1+11,I896*1.1+19))),
IF(L894="NORMAL",
   IF(I896&lt;=30,I896*1.15+2,IF(I896&lt;=80,I896*1.15+4,IF(I896&lt;=150,I896*1.15+6,I896*1.15+8))),
IF(L894="COMPLEMENTO",
   IF(I896&lt;=25,I896*1.25+1.5,IF(I896&lt;=60,I896*1.25+3,IF(I896&lt;=120,I896*1.25+4,I896*1.25+5))),
""))),2)</f>
        <v>220.14</v>
      </c>
      <c r="I896" s="9">
        <f>($K$2+0.02)*Tabla1[[#This Row],[PRECIO $]]*1.18</f>
        <v>190.12631999999999</v>
      </c>
      <c r="J896" s="7">
        <f>+Tabla1[[#This Row],[PRECIO EN SOLES]]-Tabla1[[#This Row],[PC]]</f>
        <v>30.013679999999994</v>
      </c>
      <c r="K896" s="15"/>
      <c r="L896" s="15" t="str">
        <f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GANCHO</v>
      </c>
    </row>
    <row r="897" spans="1:12" x14ac:dyDescent="0.25">
      <c r="A897" s="3" t="s">
        <v>1616</v>
      </c>
      <c r="B897" s="3" t="s">
        <v>1617</v>
      </c>
      <c r="C897" s="1">
        <v>18</v>
      </c>
      <c r="D897" s="1">
        <v>57</v>
      </c>
      <c r="E897" s="1" t="s">
        <v>54</v>
      </c>
      <c r="F897" s="1" t="s">
        <v>3567</v>
      </c>
      <c r="G897" s="3" t="s">
        <v>1618</v>
      </c>
      <c r="H897" s="11">
        <f>ROUND(
IF(L895="GANCHO",
   IF(I897&lt;=50,I897*1.1+4,IF(I897&lt;=120,I897*1.1+7,IF(I897&lt;=250,I897*1.1+11,I897*1.1+19))),
IF(L895="NORMAL",
   IF(I897&lt;=30,I897*1.15+2,IF(I897&lt;=80,I897*1.15+4,IF(I897&lt;=150,I897*1.15+6,I897*1.15+8))),
IF(L895="COMPLEMENTO",
   IF(I897&lt;=25,I897*1.25+1.5,IF(I897&lt;=60,I897*1.25+3,IF(I897&lt;=120,I897*1.25+4,I897*1.25+5))),
""))),2)</f>
        <v>268.47000000000003</v>
      </c>
      <c r="I897" s="9">
        <f>($K$2+0.02)*Tabla1[[#This Row],[PRECIO $]]*1.18</f>
        <v>234.06479999999996</v>
      </c>
      <c r="J897" s="7">
        <f>+Tabla1[[#This Row],[PRECIO EN SOLES]]-Tabla1[[#This Row],[PC]]</f>
        <v>34.405200000000065</v>
      </c>
      <c r="K897" s="15"/>
      <c r="L897" s="15" t="str">
        <f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GANCHO</v>
      </c>
    </row>
    <row r="898" spans="1:12" x14ac:dyDescent="0.25">
      <c r="A898" s="3" t="s">
        <v>292</v>
      </c>
      <c r="B898" s="3" t="s">
        <v>293</v>
      </c>
      <c r="C898" s="1">
        <v>0</v>
      </c>
      <c r="D898" s="1">
        <v>51.2</v>
      </c>
      <c r="E898" s="1" t="s">
        <v>52</v>
      </c>
      <c r="F898" s="1" t="s">
        <v>3568</v>
      </c>
      <c r="G898" s="3" t="s">
        <v>666</v>
      </c>
      <c r="H898" s="11">
        <f>ROUND(
IF(L896="GANCHO",
   IF(I898&lt;=50,I898*1.1+4,IF(I898&lt;=120,I898*1.1+7,IF(I898&lt;=250,I898*1.1+11,I898*1.1+19))),
IF(L896="NORMAL",
   IF(I898&lt;=30,I898*1.15+2,IF(I898&lt;=80,I898*1.15+4,IF(I898&lt;=150,I898*1.15+6,I898*1.15+8))),
IF(L896="COMPLEMENTO",
   IF(I898&lt;=25,I898*1.25+1.5,IF(I898&lt;=60,I898*1.25+3,IF(I898&lt;=120,I898*1.25+4,I898*1.25+5))),
""))),2)</f>
        <v>242.27</v>
      </c>
      <c r="I898" s="9">
        <f>($K$2+0.02)*Tabla1[[#This Row],[PRECIO $]]*1.18</f>
        <v>210.24768</v>
      </c>
      <c r="J898" s="7">
        <f>+Tabla1[[#This Row],[PRECIO EN SOLES]]-Tabla1[[#This Row],[PC]]</f>
        <v>32.022320000000008</v>
      </c>
      <c r="K898" s="15"/>
      <c r="L898" s="15" t="str">
        <f>IF(
OR(
ISNUMBER(SEARCH("BACKPACK",B900)),
ISNUMBER(SEARCH("MOCHILA",B900)),
ISNUMBER(SEARCH("FUNDA",B900)),
ISNUMBER(SEARCH("ESTUCHE",B900)),
ISNUMBER(SEARCH("BOOK COVER",B900)),
ISNUMBER(SEARCH("KEYBOARD PARA TABLET",B900)),
ISNUMBER(SEARCH("FLIP TABLET",B900)),
ISNUMBER(SEARCH("CASE FOR TABLET",B900)),
ISNUMBER(SEARCH("CABLE",B900)),
ISNUMBER(SEARCH("ADAPTADOR",B900)),
ISNUMBER(SEARCH("HUB",B900)),
ISNUMBER(SEARCH("DOCK",B900)),
ISNUMBER(SEARCH("MOUSE PAD",B900)),
ISNUMBER(SEARCH("MOUSEPAD",B900)),
ISNUMBER(SEARCH("SOPORTE",B900)),
ISNUMBER(SEARCH("STAND",B900)),
ISNUMBER(SEARCH("TRAVEL ADAPTER",B900)),
ISNUMBER(SEARCH("RJ45",B900)),
ISNUMBER(SEARCH("USB-C",B900)),
ISNUMBER(SEARCH("USB WIFI",B900)),
ISNUMBER(SEARCH("POWERBANK",B900)),
ISNUMBER(SEARCH("CARGADOR",B900)),
ISNUMBER(SEARCH("COOLER PARA NB",B900)),
ISNUMBER(SEARCH("SOPORTE PARA NB",B900)),
ISNUMBER(SEARCH("WEBCAM",B900)),
ISNUMBER(SEARCH("WEB CAM",B900)),
ISNUMBER(SEARCH("MOUSE",B900)),
ISNUMBER(SEARCH("TECLADO",B900))
),
"COMPLEMENTO",
IF(
OR(
LEFT(A900,2)="NB",
LEFT(A900,2)="PC",
LEFT(A900,2)="WS",
LEFT(A900,2)="TB",
LEFT(A900,3)="CEL",
LEFT(A900,3)="MON",
LEFT(A900,3)="PRE",
LEFT(A900,3)="PRH",
ISNUMBER(SEARCH("NOTEBOOK",B900)),
ISNUMBER(SEARCH("LAPTOP",B900)),
ISNUMBER(SEARCH("MONITOR",B900)),
ISNUMBER(SEARCH("TABLET",B900)),
ISNUMBER(SEARCH("SMARTPH",B900)),
ISNUMBER(SEARCH("IMPRESORA",B900)),
ISNUMBER(SEARCH("MULTIFUNCIONAL",B900)),
ISNUMBER(SEARCH("AIO",B900))
),
"GANCHO",
"NORMAL"
)
)</f>
        <v>GANCHO</v>
      </c>
    </row>
    <row r="899" spans="1:12" x14ac:dyDescent="0.25">
      <c r="A899" s="3" t="s">
        <v>294</v>
      </c>
      <c r="B899" s="3" t="s">
        <v>295</v>
      </c>
      <c r="C899" s="1">
        <v>7</v>
      </c>
      <c r="D899" s="1">
        <v>48</v>
      </c>
      <c r="E899" s="1" t="s">
        <v>52</v>
      </c>
      <c r="F899" s="1" t="s">
        <v>3569</v>
      </c>
      <c r="G899" s="3" t="s">
        <v>667</v>
      </c>
      <c r="H899" s="11">
        <f>ROUND(
IF(L897="GANCHO",
   IF(I899&lt;=50,I899*1.1+4,IF(I899&lt;=120,I899*1.1+7,IF(I899&lt;=250,I899*1.1+11,I899*1.1+19))),
IF(L897="NORMAL",
   IF(I899&lt;=30,I899*1.15+2,IF(I899&lt;=80,I899*1.15+4,IF(I899&lt;=150,I899*1.15+6,I899*1.15+8))),
IF(L897="COMPLEMENTO",
   IF(I899&lt;=25,I899*1.25+1.5,IF(I899&lt;=60,I899*1.25+3,IF(I899&lt;=120,I899*1.25+4,I899*1.25+5))),
""))),2)</f>
        <v>227.82</v>
      </c>
      <c r="I899" s="9">
        <f>($K$2+0.02)*Tabla1[[#This Row],[PRECIO $]]*1.18</f>
        <v>197.10719999999998</v>
      </c>
      <c r="J899" s="7">
        <f>+Tabla1[[#This Row],[PRECIO EN SOLES]]-Tabla1[[#This Row],[PC]]</f>
        <v>30.712800000000016</v>
      </c>
      <c r="K899" s="15"/>
      <c r="L899" s="15" t="str">
        <f>IF(
OR(
ISNUMBER(SEARCH("BACKPACK",B901)),
ISNUMBER(SEARCH("MOCHILA",B901)),
ISNUMBER(SEARCH("FUNDA",B901)),
ISNUMBER(SEARCH("ESTUCHE",B901)),
ISNUMBER(SEARCH("BOOK COVER",B901)),
ISNUMBER(SEARCH("KEYBOARD PARA TABLET",B901)),
ISNUMBER(SEARCH("FLIP TABLET",B901)),
ISNUMBER(SEARCH("CASE FOR TABLET",B901)),
ISNUMBER(SEARCH("CABLE",B901)),
ISNUMBER(SEARCH("ADAPTADOR",B901)),
ISNUMBER(SEARCH("HUB",B901)),
ISNUMBER(SEARCH("DOCK",B901)),
ISNUMBER(SEARCH("MOUSE PAD",B901)),
ISNUMBER(SEARCH("MOUSEPAD",B901)),
ISNUMBER(SEARCH("SOPORTE",B901)),
ISNUMBER(SEARCH("STAND",B901)),
ISNUMBER(SEARCH("TRAVEL ADAPTER",B901)),
ISNUMBER(SEARCH("RJ45",B901)),
ISNUMBER(SEARCH("USB-C",B901)),
ISNUMBER(SEARCH("USB WIFI",B901)),
ISNUMBER(SEARCH("POWERBANK",B901)),
ISNUMBER(SEARCH("CARGADOR",B901)),
ISNUMBER(SEARCH("COOLER PARA NB",B901)),
ISNUMBER(SEARCH("SOPORTE PARA NB",B901)),
ISNUMBER(SEARCH("WEBCAM",B901)),
ISNUMBER(SEARCH("WEB CAM",B901)),
ISNUMBER(SEARCH("MOUSE",B901)),
ISNUMBER(SEARCH("TECLADO",B901))
),
"COMPLEMENTO",
IF(
OR(
LEFT(A901,2)="NB",
LEFT(A901,2)="PC",
LEFT(A901,2)="WS",
LEFT(A901,2)="TB",
LEFT(A901,3)="CEL",
LEFT(A901,3)="MON",
LEFT(A901,3)="PRE",
LEFT(A901,3)="PRH",
ISNUMBER(SEARCH("NOTEBOOK",B901)),
ISNUMBER(SEARCH("LAPTOP",B901)),
ISNUMBER(SEARCH("MONITOR",B901)),
ISNUMBER(SEARCH("TABLET",B901)),
ISNUMBER(SEARCH("SMARTPH",B901)),
ISNUMBER(SEARCH("IMPRESORA",B901)),
ISNUMBER(SEARCH("MULTIFUNCIONAL",B901)),
ISNUMBER(SEARCH("AIO",B901))
),
"GANCHO",
"NORMAL"
)
)</f>
        <v>GANCHO</v>
      </c>
    </row>
    <row r="900" spans="1:12" x14ac:dyDescent="0.25">
      <c r="A900" s="3" t="s">
        <v>1619</v>
      </c>
      <c r="B900" s="3" t="s">
        <v>1620</v>
      </c>
      <c r="C900" s="1">
        <v>20</v>
      </c>
      <c r="D900" s="1">
        <v>121.2</v>
      </c>
      <c r="E900" s="1" t="s">
        <v>56</v>
      </c>
      <c r="F900" s="1" t="s">
        <v>3570</v>
      </c>
      <c r="G900" s="3" t="s">
        <v>1621</v>
      </c>
      <c r="H900" s="11">
        <f>ROUND(
IF(L898="GANCHO",
   IF(I900&lt;=50,I900*1.1+4,IF(I900&lt;=120,I900*1.1+7,IF(I900&lt;=250,I900*1.1+11,I900*1.1+19))),
IF(L898="NORMAL",
   IF(I900&lt;=30,I900*1.15+2,IF(I900&lt;=80,I900*1.15+4,IF(I900&lt;=150,I900*1.15+6,I900*1.15+8))),
IF(L898="COMPLEMENTO",
   IF(I900&lt;=25,I900*1.25+1.5,IF(I900&lt;=60,I900*1.25+3,IF(I900&lt;=120,I900*1.25+4,I900*1.25+5))),
""))),2)</f>
        <v>566.47</v>
      </c>
      <c r="I900" s="9">
        <f>($K$2+0.02)*Tabla1[[#This Row],[PRECIO $]]*1.18</f>
        <v>497.69567999999998</v>
      </c>
      <c r="J900" s="7">
        <f>+Tabla1[[#This Row],[PRECIO EN SOLES]]-Tabla1[[#This Row],[PC]]</f>
        <v>68.774320000000046</v>
      </c>
      <c r="K900" s="15"/>
      <c r="L900" s="15" t="str">
        <f>IF(
OR(
ISNUMBER(SEARCH("BACKPACK",B902)),
ISNUMBER(SEARCH("MOCHILA",B902)),
ISNUMBER(SEARCH("FUNDA",B902)),
ISNUMBER(SEARCH("ESTUCHE",B902)),
ISNUMBER(SEARCH("BOOK COVER",B902)),
ISNUMBER(SEARCH("KEYBOARD PARA TABLET",B902)),
ISNUMBER(SEARCH("FLIP TABLET",B902)),
ISNUMBER(SEARCH("CASE FOR TABLET",B902)),
ISNUMBER(SEARCH("CABLE",B902)),
ISNUMBER(SEARCH("ADAPTADOR",B902)),
ISNUMBER(SEARCH("HUB",B902)),
ISNUMBER(SEARCH("DOCK",B902)),
ISNUMBER(SEARCH("MOUSE PAD",B902)),
ISNUMBER(SEARCH("MOUSEPAD",B902)),
ISNUMBER(SEARCH("SOPORTE",B902)),
ISNUMBER(SEARCH("STAND",B902)),
ISNUMBER(SEARCH("TRAVEL ADAPTER",B902)),
ISNUMBER(SEARCH("RJ45",B902)),
ISNUMBER(SEARCH("USB-C",B902)),
ISNUMBER(SEARCH("USB WIFI",B902)),
ISNUMBER(SEARCH("POWERBANK",B902)),
ISNUMBER(SEARCH("CARGADOR",B902)),
ISNUMBER(SEARCH("COOLER PARA NB",B902)),
ISNUMBER(SEARCH("SOPORTE PARA NB",B902)),
ISNUMBER(SEARCH("WEBCAM",B902)),
ISNUMBER(SEARCH("WEB CAM",B902)),
ISNUMBER(SEARCH("MOUSE",B902)),
ISNUMBER(SEARCH("TECLADO",B902))
),
"COMPLEMENTO",
IF(
OR(
LEFT(A902,2)="NB",
LEFT(A902,2)="PC",
LEFT(A902,2)="WS",
LEFT(A902,2)="TB",
LEFT(A902,3)="CEL",
LEFT(A902,3)="MON",
LEFT(A902,3)="PRE",
LEFT(A902,3)="PRH",
ISNUMBER(SEARCH("NOTEBOOK",B902)),
ISNUMBER(SEARCH("LAPTOP",B902)),
ISNUMBER(SEARCH("MONITOR",B902)),
ISNUMBER(SEARCH("TABLET",B902)),
ISNUMBER(SEARCH("SMARTPH",B902)),
ISNUMBER(SEARCH("IMPRESORA",B902)),
ISNUMBER(SEARCH("MULTIFUNCIONAL",B902)),
ISNUMBER(SEARCH("AIO",B902))
),
"GANCHO",
"NORMAL"
)
)</f>
        <v>GANCHO</v>
      </c>
    </row>
    <row r="901" spans="1:12" x14ac:dyDescent="0.25">
      <c r="A901" s="3" t="s">
        <v>1622</v>
      </c>
      <c r="B901" s="3" t="s">
        <v>1623</v>
      </c>
      <c r="C901" s="1">
        <v>20</v>
      </c>
      <c r="D901" s="1">
        <v>126.5</v>
      </c>
      <c r="E901" s="1" t="s">
        <v>56</v>
      </c>
      <c r="F901" s="1" t="s">
        <v>3571</v>
      </c>
      <c r="G901" s="3"/>
      <c r="H901" s="11">
        <f>ROUND(
IF(L899="GANCHO",
   IF(I901&lt;=50,I901*1.1+4,IF(I901&lt;=120,I901*1.1+7,IF(I901&lt;=250,I901*1.1+11,I901*1.1+19))),
IF(L899="NORMAL",
   IF(I901&lt;=30,I901*1.15+2,IF(I901&lt;=80,I901*1.15+4,IF(I901&lt;=150,I901*1.15+6,I901*1.15+8))),
IF(L899="COMPLEMENTO",
   IF(I901&lt;=25,I901*1.25+1.5,IF(I901&lt;=60,I901*1.25+3,IF(I901&lt;=120,I901*1.25+4,I901*1.25+5))),
""))),2)</f>
        <v>590.41</v>
      </c>
      <c r="I901" s="9">
        <f>($K$2+0.02)*Tabla1[[#This Row],[PRECIO $]]*1.18</f>
        <v>519.45959999999991</v>
      </c>
      <c r="J901" s="7">
        <f>+Tabla1[[#This Row],[PRECIO EN SOLES]]-Tabla1[[#This Row],[PC]]</f>
        <v>70.950400000000059</v>
      </c>
      <c r="K901" s="15"/>
      <c r="L901" s="15" t="str">
        <f>IF(
OR(
ISNUMBER(SEARCH("BACKPACK",B903)),
ISNUMBER(SEARCH("MOCHILA",B903)),
ISNUMBER(SEARCH("FUNDA",B903)),
ISNUMBER(SEARCH("ESTUCHE",B903)),
ISNUMBER(SEARCH("BOOK COVER",B903)),
ISNUMBER(SEARCH("KEYBOARD PARA TABLET",B903)),
ISNUMBER(SEARCH("FLIP TABLET",B903)),
ISNUMBER(SEARCH("CASE FOR TABLET",B903)),
ISNUMBER(SEARCH("CABLE",B903)),
ISNUMBER(SEARCH("ADAPTADOR",B903)),
ISNUMBER(SEARCH("HUB",B903)),
ISNUMBER(SEARCH("DOCK",B903)),
ISNUMBER(SEARCH("MOUSE PAD",B903)),
ISNUMBER(SEARCH("MOUSEPAD",B903)),
ISNUMBER(SEARCH("SOPORTE",B903)),
ISNUMBER(SEARCH("STAND",B903)),
ISNUMBER(SEARCH("TRAVEL ADAPTER",B903)),
ISNUMBER(SEARCH("RJ45",B903)),
ISNUMBER(SEARCH("USB-C",B903)),
ISNUMBER(SEARCH("USB WIFI",B903)),
ISNUMBER(SEARCH("POWERBANK",B903)),
ISNUMBER(SEARCH("CARGADOR",B903)),
ISNUMBER(SEARCH("COOLER PARA NB",B903)),
ISNUMBER(SEARCH("SOPORTE PARA NB",B903)),
ISNUMBER(SEARCH("WEBCAM",B903)),
ISNUMBER(SEARCH("WEB CAM",B903)),
ISNUMBER(SEARCH("MOUSE",B903)),
ISNUMBER(SEARCH("TECLADO",B903))
),
"COMPLEMENTO",
IF(
OR(
LEFT(A903,2)="NB",
LEFT(A903,2)="PC",
LEFT(A903,2)="WS",
LEFT(A903,2)="TB",
LEFT(A903,3)="CEL",
LEFT(A903,3)="MON",
LEFT(A903,3)="PRE",
LEFT(A903,3)="PRH",
ISNUMBER(SEARCH("NOTEBOOK",B903)),
ISNUMBER(SEARCH("LAPTOP",B903)),
ISNUMBER(SEARCH("MONITOR",B903)),
ISNUMBER(SEARCH("TABLET",B903)),
ISNUMBER(SEARCH("SMARTPH",B903)),
ISNUMBER(SEARCH("IMPRESORA",B903)),
ISNUMBER(SEARCH("MULTIFUNCIONAL",B903)),
ISNUMBER(SEARCH("AIO",B903))
),
"GANCHO",
"NORMAL"
)
)</f>
        <v>GANCHO</v>
      </c>
    </row>
    <row r="902" spans="1:12" x14ac:dyDescent="0.25">
      <c r="A902" s="3" t="s">
        <v>1624</v>
      </c>
      <c r="B902" s="3" t="s">
        <v>1625</v>
      </c>
      <c r="C902" s="1">
        <v>20</v>
      </c>
      <c r="D902" s="1">
        <v>143</v>
      </c>
      <c r="E902" s="1" t="s">
        <v>837</v>
      </c>
      <c r="F902" s="1" t="s">
        <v>3572</v>
      </c>
      <c r="G902" s="3" t="s">
        <v>1626</v>
      </c>
      <c r="H902" s="11">
        <f>ROUND(
IF(L900="GANCHO",
   IF(I902&lt;=50,I902*1.1+4,IF(I902&lt;=120,I902*1.1+7,IF(I902&lt;=250,I902*1.1+11,I902*1.1+19))),
IF(L900="NORMAL",
   IF(I902&lt;=30,I902*1.15+2,IF(I902&lt;=80,I902*1.15+4,IF(I902&lt;=150,I902*1.15+6,I902*1.15+8))),
IF(L900="COMPLEMENTO",
   IF(I902&lt;=25,I902*1.25+1.5,IF(I902&lt;=60,I902*1.25+3,IF(I902&lt;=120,I902*1.25+4,I902*1.25+5))),
""))),2)</f>
        <v>664.94</v>
      </c>
      <c r="I902" s="9">
        <f>($K$2+0.02)*Tabla1[[#This Row],[PRECIO $]]*1.18</f>
        <v>587.21519999999998</v>
      </c>
      <c r="J902" s="7">
        <f>+Tabla1[[#This Row],[PRECIO EN SOLES]]-Tabla1[[#This Row],[PC]]</f>
        <v>77.724800000000073</v>
      </c>
      <c r="K902" s="15"/>
      <c r="L902" s="15" t="str">
        <f>IF(
OR(
ISNUMBER(SEARCH("BACKPACK",B904)),
ISNUMBER(SEARCH("MOCHILA",B904)),
ISNUMBER(SEARCH("FUNDA",B904)),
ISNUMBER(SEARCH("ESTUCHE",B904)),
ISNUMBER(SEARCH("BOOK COVER",B904)),
ISNUMBER(SEARCH("KEYBOARD PARA TABLET",B904)),
ISNUMBER(SEARCH("FLIP TABLET",B904)),
ISNUMBER(SEARCH("CASE FOR TABLET",B904)),
ISNUMBER(SEARCH("CABLE",B904)),
ISNUMBER(SEARCH("ADAPTADOR",B904)),
ISNUMBER(SEARCH("HUB",B904)),
ISNUMBER(SEARCH("DOCK",B904)),
ISNUMBER(SEARCH("MOUSE PAD",B904)),
ISNUMBER(SEARCH("MOUSEPAD",B904)),
ISNUMBER(SEARCH("SOPORTE",B904)),
ISNUMBER(SEARCH("STAND",B904)),
ISNUMBER(SEARCH("TRAVEL ADAPTER",B904)),
ISNUMBER(SEARCH("RJ45",B904)),
ISNUMBER(SEARCH("USB-C",B904)),
ISNUMBER(SEARCH("USB WIFI",B904)),
ISNUMBER(SEARCH("POWERBANK",B904)),
ISNUMBER(SEARCH("CARGADOR",B904)),
ISNUMBER(SEARCH("COOLER PARA NB",B904)),
ISNUMBER(SEARCH("SOPORTE PARA NB",B904)),
ISNUMBER(SEARCH("WEBCAM",B904)),
ISNUMBER(SEARCH("WEB CAM",B904)),
ISNUMBER(SEARCH("MOUSE",B904)),
ISNUMBER(SEARCH("TECLADO",B904))
),
"COMPLEMENTO",
IF(
OR(
LEFT(A904,2)="NB",
LEFT(A904,2)="PC",
LEFT(A904,2)="WS",
LEFT(A904,2)="TB",
LEFT(A904,3)="CEL",
LEFT(A904,3)="MON",
LEFT(A904,3)="PRE",
LEFT(A904,3)="PRH",
ISNUMBER(SEARCH("NOTEBOOK",B904)),
ISNUMBER(SEARCH("LAPTOP",B904)),
ISNUMBER(SEARCH("MONITOR",B904)),
ISNUMBER(SEARCH("TABLET",B904)),
ISNUMBER(SEARCH("SMARTPH",B904)),
ISNUMBER(SEARCH("IMPRESORA",B904)),
ISNUMBER(SEARCH("MULTIFUNCIONAL",B904)),
ISNUMBER(SEARCH("AIO",B904))
),
"GANCHO",
"NORMAL"
)
)</f>
        <v>GANCHO</v>
      </c>
    </row>
    <row r="903" spans="1:12" x14ac:dyDescent="0.25">
      <c r="A903" s="3" t="s">
        <v>4630</v>
      </c>
      <c r="B903" s="3" t="s">
        <v>4631</v>
      </c>
      <c r="C903" s="1">
        <v>20</v>
      </c>
      <c r="D903" s="1">
        <v>122.3</v>
      </c>
      <c r="E903" s="1" t="s">
        <v>837</v>
      </c>
      <c r="F903" s="1" t="s">
        <v>4632</v>
      </c>
      <c r="G903" s="3" t="s">
        <v>4999</v>
      </c>
      <c r="H903" s="11">
        <f>ROUND(
IF(L901="GANCHO",
   IF(I903&lt;=50,I903*1.1+4,IF(I903&lt;=120,I903*1.1+7,IF(I903&lt;=250,I903*1.1+11,I903*1.1+19))),
IF(L901="NORMAL",
   IF(I903&lt;=30,I903*1.15+2,IF(I903&lt;=80,I903*1.15+4,IF(I903&lt;=150,I903*1.15+6,I903*1.15+8))),
IF(L901="COMPLEMENTO",
   IF(I903&lt;=25,I903*1.25+1.5,IF(I903&lt;=60,I903*1.25+3,IF(I903&lt;=120,I903*1.25+4,I903*1.25+5))),
""))),2)</f>
        <v>571.42999999999995</v>
      </c>
      <c r="I903" s="9">
        <f>($K$2+0.02)*Tabla1[[#This Row],[PRECIO $]]*1.18</f>
        <v>502.21271999999993</v>
      </c>
      <c r="J903" s="7">
        <f>+Tabla1[[#This Row],[PRECIO EN SOLES]]-Tabla1[[#This Row],[PC]]</f>
        <v>69.217280000000017</v>
      </c>
      <c r="K903" s="15"/>
      <c r="L903" s="15" t="str">
        <f>IF(
OR(
ISNUMBER(SEARCH("BACKPACK",B905)),
ISNUMBER(SEARCH("MOCHILA",B905)),
ISNUMBER(SEARCH("FUNDA",B905)),
ISNUMBER(SEARCH("ESTUCHE",B905)),
ISNUMBER(SEARCH("BOOK COVER",B905)),
ISNUMBER(SEARCH("KEYBOARD PARA TABLET",B905)),
ISNUMBER(SEARCH("FLIP TABLET",B905)),
ISNUMBER(SEARCH("CASE FOR TABLET",B905)),
ISNUMBER(SEARCH("CABLE",B905)),
ISNUMBER(SEARCH("ADAPTADOR",B905)),
ISNUMBER(SEARCH("HUB",B905)),
ISNUMBER(SEARCH("DOCK",B905)),
ISNUMBER(SEARCH("MOUSE PAD",B905)),
ISNUMBER(SEARCH("MOUSEPAD",B905)),
ISNUMBER(SEARCH("SOPORTE",B905)),
ISNUMBER(SEARCH("STAND",B905)),
ISNUMBER(SEARCH("TRAVEL ADAPTER",B905)),
ISNUMBER(SEARCH("RJ45",B905)),
ISNUMBER(SEARCH("USB-C",B905)),
ISNUMBER(SEARCH("USB WIFI",B905)),
ISNUMBER(SEARCH("POWERBANK",B905)),
ISNUMBER(SEARCH("CARGADOR",B905)),
ISNUMBER(SEARCH("COOLER PARA NB",B905)),
ISNUMBER(SEARCH("SOPORTE PARA NB",B905)),
ISNUMBER(SEARCH("WEBCAM",B905)),
ISNUMBER(SEARCH("WEB CAM",B905)),
ISNUMBER(SEARCH("MOUSE",B905)),
ISNUMBER(SEARCH("TECLADO",B905))
),
"COMPLEMENTO",
IF(
OR(
LEFT(A905,2)="NB",
LEFT(A905,2)="PC",
LEFT(A905,2)="WS",
LEFT(A905,2)="TB",
LEFT(A905,3)="CEL",
LEFT(A905,3)="MON",
LEFT(A905,3)="PRE",
LEFT(A905,3)="PRH",
ISNUMBER(SEARCH("NOTEBOOK",B905)),
ISNUMBER(SEARCH("LAPTOP",B905)),
ISNUMBER(SEARCH("MONITOR",B905)),
ISNUMBER(SEARCH("TABLET",B905)),
ISNUMBER(SEARCH("SMARTPH",B905)),
ISNUMBER(SEARCH("IMPRESORA",B905)),
ISNUMBER(SEARCH("MULTIFUNCIONAL",B905)),
ISNUMBER(SEARCH("AIO",B905))
),
"GANCHO",
"NORMAL"
)
)</f>
        <v>GANCHO</v>
      </c>
    </row>
    <row r="904" spans="1:12" x14ac:dyDescent="0.25">
      <c r="A904" s="3" t="s">
        <v>6786</v>
      </c>
      <c r="B904" s="3" t="s">
        <v>6787</v>
      </c>
      <c r="C904" s="1">
        <v>15</v>
      </c>
      <c r="D904" s="1">
        <v>77</v>
      </c>
      <c r="E904" s="1" t="s">
        <v>74</v>
      </c>
      <c r="F904" s="1" t="s">
        <v>6788</v>
      </c>
      <c r="G904" s="3"/>
      <c r="H904" s="11">
        <f>ROUND(
IF(L902="GANCHO",
   IF(I904&lt;=50,I904*1.1+4,IF(I904&lt;=120,I904*1.1+7,IF(I904&lt;=250,I904*1.1+11,I904*1.1+19))),
IF(L902="NORMAL",
   IF(I904&lt;=30,I904*1.15+2,IF(I904&lt;=80,I904*1.15+4,IF(I904&lt;=150,I904*1.15+6,I904*1.15+8))),
IF(L902="COMPLEMENTO",
   IF(I904&lt;=25,I904*1.25+1.5,IF(I904&lt;=60,I904*1.25+3,IF(I904&lt;=120,I904*1.25+4,I904*1.25+5))),
""))),2)</f>
        <v>366.81</v>
      </c>
      <c r="I904" s="9">
        <f>($K$2+0.02)*Tabla1[[#This Row],[PRECIO $]]*1.18</f>
        <v>316.19279999999998</v>
      </c>
      <c r="J904" s="7">
        <f>+Tabla1[[#This Row],[PRECIO EN SOLES]]-Tabla1[[#This Row],[PC]]</f>
        <v>50.617200000000025</v>
      </c>
      <c r="K904" s="15"/>
      <c r="L904" s="15" t="str">
        <f>IF(
OR(
ISNUMBER(SEARCH("BACKPACK",B906)),
ISNUMBER(SEARCH("MOCHILA",B906)),
ISNUMBER(SEARCH("FUNDA",B906)),
ISNUMBER(SEARCH("ESTUCHE",B906)),
ISNUMBER(SEARCH("BOOK COVER",B906)),
ISNUMBER(SEARCH("KEYBOARD PARA TABLET",B906)),
ISNUMBER(SEARCH("FLIP TABLET",B906)),
ISNUMBER(SEARCH("CASE FOR TABLET",B906)),
ISNUMBER(SEARCH("CABLE",B906)),
ISNUMBER(SEARCH("ADAPTADOR",B906)),
ISNUMBER(SEARCH("HUB",B906)),
ISNUMBER(SEARCH("DOCK",B906)),
ISNUMBER(SEARCH("MOUSE PAD",B906)),
ISNUMBER(SEARCH("MOUSEPAD",B906)),
ISNUMBER(SEARCH("SOPORTE",B906)),
ISNUMBER(SEARCH("STAND",B906)),
ISNUMBER(SEARCH("TRAVEL ADAPTER",B906)),
ISNUMBER(SEARCH("RJ45",B906)),
ISNUMBER(SEARCH("USB-C",B906)),
ISNUMBER(SEARCH("USB WIFI",B906)),
ISNUMBER(SEARCH("POWERBANK",B906)),
ISNUMBER(SEARCH("CARGADOR",B906)),
ISNUMBER(SEARCH("COOLER PARA NB",B906)),
ISNUMBER(SEARCH("SOPORTE PARA NB",B906)),
ISNUMBER(SEARCH("WEBCAM",B906)),
ISNUMBER(SEARCH("WEB CAM",B906)),
ISNUMBER(SEARCH("MOUSE",B906)),
ISNUMBER(SEARCH("TECLADO",B906))
),
"COMPLEMENTO",
IF(
OR(
LEFT(A906,2)="NB",
LEFT(A906,2)="PC",
LEFT(A906,2)="WS",
LEFT(A906,2)="TB",
LEFT(A906,3)="CEL",
LEFT(A906,3)="MON",
LEFT(A906,3)="PRE",
LEFT(A906,3)="PRH",
ISNUMBER(SEARCH("NOTEBOOK",B906)),
ISNUMBER(SEARCH("LAPTOP",B906)),
ISNUMBER(SEARCH("MONITOR",B906)),
ISNUMBER(SEARCH("TABLET",B906)),
ISNUMBER(SEARCH("SMARTPH",B906)),
ISNUMBER(SEARCH("IMPRESORA",B906)),
ISNUMBER(SEARCH("MULTIFUNCIONAL",B906)),
ISNUMBER(SEARCH("AIO",B906))
),
"GANCHO",
"NORMAL"
)
)</f>
        <v>NORMAL</v>
      </c>
    </row>
    <row r="905" spans="1:12" x14ac:dyDescent="0.25">
      <c r="A905" s="3" t="s">
        <v>1627</v>
      </c>
      <c r="B905" s="3" t="s">
        <v>1628</v>
      </c>
      <c r="C905" s="1">
        <v>20</v>
      </c>
      <c r="D905" s="1">
        <v>106.5</v>
      </c>
      <c r="E905" s="1" t="s">
        <v>838</v>
      </c>
      <c r="F905" s="1" t="s">
        <v>3573</v>
      </c>
      <c r="G905" s="3" t="s">
        <v>1629</v>
      </c>
      <c r="H905" s="11">
        <f>ROUND(
IF(L903="GANCHO",
   IF(I905&lt;=50,I905*1.1+4,IF(I905&lt;=120,I905*1.1+7,IF(I905&lt;=250,I905*1.1+11,I905*1.1+19))),
IF(L903="NORMAL",
   IF(I905&lt;=30,I905*1.15+2,IF(I905&lt;=80,I905*1.15+4,IF(I905&lt;=150,I905*1.15+6,I905*1.15+8))),
IF(L903="COMPLEMENTO",
   IF(I905&lt;=25,I905*1.25+1.5,IF(I905&lt;=60,I905*1.25+3,IF(I905&lt;=120,I905*1.25+4,I905*1.25+5))),
""))),2)</f>
        <v>500.06</v>
      </c>
      <c r="I905" s="9">
        <f>($K$2+0.02)*Tabla1[[#This Row],[PRECIO $]]*1.18</f>
        <v>437.33159999999998</v>
      </c>
      <c r="J905" s="7">
        <f>+Tabla1[[#This Row],[PRECIO EN SOLES]]-Tabla1[[#This Row],[PC]]</f>
        <v>62.728400000000022</v>
      </c>
      <c r="K905" s="15"/>
      <c r="L905" s="15" t="str">
        <f>IF(
OR(
ISNUMBER(SEARCH("BACKPACK",B907)),
ISNUMBER(SEARCH("MOCHILA",B907)),
ISNUMBER(SEARCH("FUNDA",B907)),
ISNUMBER(SEARCH("ESTUCHE",B907)),
ISNUMBER(SEARCH("BOOK COVER",B907)),
ISNUMBER(SEARCH("KEYBOARD PARA TABLET",B907)),
ISNUMBER(SEARCH("FLIP TABLET",B907)),
ISNUMBER(SEARCH("CASE FOR TABLET",B907)),
ISNUMBER(SEARCH("CABLE",B907)),
ISNUMBER(SEARCH("ADAPTADOR",B907)),
ISNUMBER(SEARCH("HUB",B907)),
ISNUMBER(SEARCH("DOCK",B907)),
ISNUMBER(SEARCH("MOUSE PAD",B907)),
ISNUMBER(SEARCH("MOUSEPAD",B907)),
ISNUMBER(SEARCH("SOPORTE",B907)),
ISNUMBER(SEARCH("STAND",B907)),
ISNUMBER(SEARCH("TRAVEL ADAPTER",B907)),
ISNUMBER(SEARCH("RJ45",B907)),
ISNUMBER(SEARCH("USB-C",B907)),
ISNUMBER(SEARCH("USB WIFI",B907)),
ISNUMBER(SEARCH("POWERBANK",B907)),
ISNUMBER(SEARCH("CARGADOR",B907)),
ISNUMBER(SEARCH("COOLER PARA NB",B907)),
ISNUMBER(SEARCH("SOPORTE PARA NB",B907)),
ISNUMBER(SEARCH("WEBCAM",B907)),
ISNUMBER(SEARCH("WEB CAM",B907)),
ISNUMBER(SEARCH("MOUSE",B907)),
ISNUMBER(SEARCH("TECLADO",B907))
),
"COMPLEMENTO",
IF(
OR(
LEFT(A907,2)="NB",
LEFT(A907,2)="PC",
LEFT(A907,2)="WS",
LEFT(A907,2)="TB",
LEFT(A907,3)="CEL",
LEFT(A907,3)="MON",
LEFT(A907,3)="PRE",
LEFT(A907,3)="PRH",
ISNUMBER(SEARCH("NOTEBOOK",B907)),
ISNUMBER(SEARCH("LAPTOP",B907)),
ISNUMBER(SEARCH("MONITOR",B907)),
ISNUMBER(SEARCH("TABLET",B907)),
ISNUMBER(SEARCH("SMARTPH",B907)),
ISNUMBER(SEARCH("IMPRESORA",B907)),
ISNUMBER(SEARCH("MULTIFUNCIONAL",B907)),
ISNUMBER(SEARCH("AIO",B907))
),
"GANCHO",
"NORMAL"
)
)</f>
        <v>GANCHO</v>
      </c>
    </row>
    <row r="906" spans="1:12" x14ac:dyDescent="0.25">
      <c r="A906" s="3" t="s">
        <v>1630</v>
      </c>
      <c r="B906" s="3" t="s">
        <v>1631</v>
      </c>
      <c r="C906" s="1">
        <v>0</v>
      </c>
      <c r="D906" s="1">
        <v>9999</v>
      </c>
      <c r="E906" s="1" t="s">
        <v>56</v>
      </c>
      <c r="F906" s="1" t="s">
        <v>3574</v>
      </c>
      <c r="G906" s="3"/>
      <c r="H906" s="11">
        <f>ROUND(
IF(L904="GANCHO",
   IF(I906&lt;=50,I906*1.1+4,IF(I906&lt;=120,I906*1.1+7,IF(I906&lt;=250,I906*1.1+11,I906*1.1+19))),
IF(L904="NORMAL",
   IF(I906&lt;=30,I906*1.15+2,IF(I906&lt;=80,I906*1.15+4,IF(I906&lt;=150,I906*1.15+6,I906*1.15+8))),
IF(L904="COMPLEMENTO",
   IF(I906&lt;=25,I906*1.25+1.5,IF(I906&lt;=60,I906*1.25+3,IF(I906&lt;=120,I906*1.25+4,I906*1.25+5))),
""))),2)</f>
        <v>47226.879999999997</v>
      </c>
      <c r="I906" s="9">
        <f>($K$2+0.02)*Tabla1[[#This Row],[PRECIO $]]*1.18</f>
        <v>41059.893599999996</v>
      </c>
      <c r="J906" s="7">
        <f>+Tabla1[[#This Row],[PRECIO EN SOLES]]-Tabla1[[#This Row],[PC]]</f>
        <v>6166.9864000000016</v>
      </c>
      <c r="K906" s="15"/>
      <c r="L906" s="15" t="str">
        <f>IF(
OR(
ISNUMBER(SEARCH("BACKPACK",B908)),
ISNUMBER(SEARCH("MOCHILA",B908)),
ISNUMBER(SEARCH("FUNDA",B908)),
ISNUMBER(SEARCH("ESTUCHE",B908)),
ISNUMBER(SEARCH("BOOK COVER",B908)),
ISNUMBER(SEARCH("KEYBOARD PARA TABLET",B908)),
ISNUMBER(SEARCH("FLIP TABLET",B908)),
ISNUMBER(SEARCH("CASE FOR TABLET",B908)),
ISNUMBER(SEARCH("CABLE",B908)),
ISNUMBER(SEARCH("ADAPTADOR",B908)),
ISNUMBER(SEARCH("HUB",B908)),
ISNUMBER(SEARCH("DOCK",B908)),
ISNUMBER(SEARCH("MOUSE PAD",B908)),
ISNUMBER(SEARCH("MOUSEPAD",B908)),
ISNUMBER(SEARCH("SOPORTE",B908)),
ISNUMBER(SEARCH("STAND",B908)),
ISNUMBER(SEARCH("TRAVEL ADAPTER",B908)),
ISNUMBER(SEARCH("RJ45",B908)),
ISNUMBER(SEARCH("USB-C",B908)),
ISNUMBER(SEARCH("USB WIFI",B908)),
ISNUMBER(SEARCH("POWERBANK",B908)),
ISNUMBER(SEARCH("CARGADOR",B908)),
ISNUMBER(SEARCH("COOLER PARA NB",B908)),
ISNUMBER(SEARCH("SOPORTE PARA NB",B908)),
ISNUMBER(SEARCH("WEBCAM",B908)),
ISNUMBER(SEARCH("WEB CAM",B908)),
ISNUMBER(SEARCH("MOUSE",B908)),
ISNUMBER(SEARCH("TECLADO",B908))
),
"COMPLEMENTO",
IF(
OR(
LEFT(A908,2)="NB",
LEFT(A908,2)="PC",
LEFT(A908,2)="WS",
LEFT(A908,2)="TB",
LEFT(A908,3)="CEL",
LEFT(A908,3)="MON",
LEFT(A908,3)="PRE",
LEFT(A908,3)="PRH",
ISNUMBER(SEARCH("NOTEBOOK",B908)),
ISNUMBER(SEARCH("LAPTOP",B908)),
ISNUMBER(SEARCH("MONITOR",B908)),
ISNUMBER(SEARCH("TABLET",B908)),
ISNUMBER(SEARCH("SMARTPH",B908)),
ISNUMBER(SEARCH("IMPRESORA",B908)),
ISNUMBER(SEARCH("MULTIFUNCIONAL",B908)),
ISNUMBER(SEARCH("AIO",B908))
),
"GANCHO",
"NORMAL"
)
)</f>
        <v>GANCHO</v>
      </c>
    </row>
    <row r="907" spans="1:12" x14ac:dyDescent="0.25">
      <c r="A907" s="3" t="s">
        <v>1632</v>
      </c>
      <c r="B907" s="3" t="s">
        <v>1633</v>
      </c>
      <c r="C907" s="1">
        <v>0</v>
      </c>
      <c r="D907" s="1">
        <v>83</v>
      </c>
      <c r="E907" s="1" t="s">
        <v>54</v>
      </c>
      <c r="F907" s="1" t="s">
        <v>3575</v>
      </c>
      <c r="G907" s="3" t="s">
        <v>1634</v>
      </c>
      <c r="H907" s="11">
        <f>ROUND(
IF(L905="GANCHO",
   IF(I907&lt;=50,I907*1.1+4,IF(I907&lt;=120,I907*1.1+7,IF(I907&lt;=250,I907*1.1+11,I907*1.1+19))),
IF(L905="NORMAL",
   IF(I907&lt;=30,I907*1.15+2,IF(I907&lt;=80,I907*1.15+4,IF(I907&lt;=150,I907*1.15+6,I907*1.15+8))),
IF(L905="COMPLEMENTO",
   IF(I907&lt;=25,I907*1.25+1.5,IF(I907&lt;=60,I907*1.25+3,IF(I907&lt;=120,I907*1.25+4,I907*1.25+5))),
""))),2)</f>
        <v>393.91</v>
      </c>
      <c r="I907" s="9">
        <f>($K$2+0.02)*Tabla1[[#This Row],[PRECIO $]]*1.18</f>
        <v>340.83119999999997</v>
      </c>
      <c r="J907" s="7">
        <f>+Tabla1[[#This Row],[PRECIO EN SOLES]]-Tabla1[[#This Row],[PC]]</f>
        <v>53.078800000000058</v>
      </c>
      <c r="K907" s="15"/>
      <c r="L907" s="15" t="str">
        <f>IF(
OR(
ISNUMBER(SEARCH("BACKPACK",B909)),
ISNUMBER(SEARCH("MOCHILA",B909)),
ISNUMBER(SEARCH("FUNDA",B909)),
ISNUMBER(SEARCH("ESTUCHE",B909)),
ISNUMBER(SEARCH("BOOK COVER",B909)),
ISNUMBER(SEARCH("KEYBOARD PARA TABLET",B909)),
ISNUMBER(SEARCH("FLIP TABLET",B909)),
ISNUMBER(SEARCH("CASE FOR TABLET",B909)),
ISNUMBER(SEARCH("CABLE",B909)),
ISNUMBER(SEARCH("ADAPTADOR",B909)),
ISNUMBER(SEARCH("HUB",B909)),
ISNUMBER(SEARCH("DOCK",B909)),
ISNUMBER(SEARCH("MOUSE PAD",B909)),
ISNUMBER(SEARCH("MOUSEPAD",B909)),
ISNUMBER(SEARCH("SOPORTE",B909)),
ISNUMBER(SEARCH("STAND",B909)),
ISNUMBER(SEARCH("TRAVEL ADAPTER",B909)),
ISNUMBER(SEARCH("RJ45",B909)),
ISNUMBER(SEARCH("USB-C",B909)),
ISNUMBER(SEARCH("USB WIFI",B909)),
ISNUMBER(SEARCH("POWERBANK",B909)),
ISNUMBER(SEARCH("CARGADOR",B909)),
ISNUMBER(SEARCH("COOLER PARA NB",B909)),
ISNUMBER(SEARCH("SOPORTE PARA NB",B909)),
ISNUMBER(SEARCH("WEBCAM",B909)),
ISNUMBER(SEARCH("WEB CAM",B909)),
ISNUMBER(SEARCH("MOUSE",B909)),
ISNUMBER(SEARCH("TECLADO",B909))
),
"COMPLEMENTO",
IF(
OR(
LEFT(A909,2)="NB",
LEFT(A909,2)="PC",
LEFT(A909,2)="WS",
LEFT(A909,2)="TB",
LEFT(A909,3)="CEL",
LEFT(A909,3)="MON",
LEFT(A909,3)="PRE",
LEFT(A909,3)="PRH",
ISNUMBER(SEARCH("NOTEBOOK",B909)),
ISNUMBER(SEARCH("LAPTOP",B909)),
ISNUMBER(SEARCH("MONITOR",B909)),
ISNUMBER(SEARCH("TABLET",B909)),
ISNUMBER(SEARCH("SMARTPH",B909)),
ISNUMBER(SEARCH("IMPRESORA",B909)),
ISNUMBER(SEARCH("MULTIFUNCIONAL",B909)),
ISNUMBER(SEARCH("AIO",B909))
),
"GANCHO",
"NORMAL"
)
)</f>
        <v>GANCHO</v>
      </c>
    </row>
    <row r="908" spans="1:12" x14ac:dyDescent="0.25">
      <c r="A908" s="3" t="s">
        <v>296</v>
      </c>
      <c r="B908" s="3" t="s">
        <v>297</v>
      </c>
      <c r="C908" s="1">
        <v>20</v>
      </c>
      <c r="D908" s="1">
        <v>63.5</v>
      </c>
      <c r="E908" s="1" t="s">
        <v>52</v>
      </c>
      <c r="F908" s="1" t="s">
        <v>3576</v>
      </c>
      <c r="G908" s="3" t="s">
        <v>668</v>
      </c>
      <c r="H908" s="11">
        <f>ROUND(
IF(L906="GANCHO",
   IF(I908&lt;=50,I908*1.1+4,IF(I908&lt;=120,I908*1.1+7,IF(I908&lt;=250,I908*1.1+11,I908*1.1+19))),
IF(L906="NORMAL",
   IF(I908&lt;=30,I908*1.15+2,IF(I908&lt;=80,I908*1.15+4,IF(I908&lt;=150,I908*1.15+6,I908*1.15+8))),
IF(L906="COMPLEMENTO",
   IF(I908&lt;=25,I908*1.25+1.5,IF(I908&lt;=60,I908*1.25+3,IF(I908&lt;=120,I908*1.25+4,I908*1.25+5))),
""))),2)</f>
        <v>305.83</v>
      </c>
      <c r="I908" s="9">
        <f>($K$2+0.02)*Tabla1[[#This Row],[PRECIO $]]*1.18</f>
        <v>260.75639999999999</v>
      </c>
      <c r="J908" s="7">
        <f>+Tabla1[[#This Row],[PRECIO EN SOLES]]-Tabla1[[#This Row],[PC]]</f>
        <v>45.073599999999999</v>
      </c>
      <c r="K908" s="15"/>
      <c r="L908" s="15" t="str">
        <f>IF(
OR(
ISNUMBER(SEARCH("BACKPACK",B910)),
ISNUMBER(SEARCH("MOCHILA",B910)),
ISNUMBER(SEARCH("FUNDA",B910)),
ISNUMBER(SEARCH("ESTUCHE",B910)),
ISNUMBER(SEARCH("BOOK COVER",B910)),
ISNUMBER(SEARCH("KEYBOARD PARA TABLET",B910)),
ISNUMBER(SEARCH("FLIP TABLET",B910)),
ISNUMBER(SEARCH("CASE FOR TABLET",B910)),
ISNUMBER(SEARCH("CABLE",B910)),
ISNUMBER(SEARCH("ADAPTADOR",B910)),
ISNUMBER(SEARCH("HUB",B910)),
ISNUMBER(SEARCH("DOCK",B910)),
ISNUMBER(SEARCH("MOUSE PAD",B910)),
ISNUMBER(SEARCH("MOUSEPAD",B910)),
ISNUMBER(SEARCH("SOPORTE",B910)),
ISNUMBER(SEARCH("STAND",B910)),
ISNUMBER(SEARCH("TRAVEL ADAPTER",B910)),
ISNUMBER(SEARCH("RJ45",B910)),
ISNUMBER(SEARCH("USB-C",B910)),
ISNUMBER(SEARCH("USB WIFI",B910)),
ISNUMBER(SEARCH("POWERBANK",B910)),
ISNUMBER(SEARCH("CARGADOR",B910)),
ISNUMBER(SEARCH("COOLER PARA NB",B910)),
ISNUMBER(SEARCH("SOPORTE PARA NB",B910)),
ISNUMBER(SEARCH("WEBCAM",B910)),
ISNUMBER(SEARCH("WEB CAM",B910)),
ISNUMBER(SEARCH("MOUSE",B910)),
ISNUMBER(SEARCH("TECLADO",B910))
),
"COMPLEMENTO",
IF(
OR(
LEFT(A910,2)="NB",
LEFT(A910,2)="PC",
LEFT(A910,2)="WS",
LEFT(A910,2)="TB",
LEFT(A910,3)="CEL",
LEFT(A910,3)="MON",
LEFT(A910,3)="PRE",
LEFT(A910,3)="PRH",
ISNUMBER(SEARCH("NOTEBOOK",B910)),
ISNUMBER(SEARCH("LAPTOP",B910)),
ISNUMBER(SEARCH("MONITOR",B910)),
ISNUMBER(SEARCH("TABLET",B910)),
ISNUMBER(SEARCH("SMARTPH",B910)),
ISNUMBER(SEARCH("IMPRESORA",B910)),
ISNUMBER(SEARCH("MULTIFUNCIONAL",B910)),
ISNUMBER(SEARCH("AIO",B910))
),
"GANCHO",
"NORMAL"
)
)</f>
        <v>GANCHO</v>
      </c>
    </row>
    <row r="909" spans="1:12" x14ac:dyDescent="0.25">
      <c r="A909" s="3" t="s">
        <v>298</v>
      </c>
      <c r="B909" s="3" t="s">
        <v>299</v>
      </c>
      <c r="C909" s="1">
        <v>20</v>
      </c>
      <c r="D909" s="1">
        <v>175.44</v>
      </c>
      <c r="E909" s="1" t="s">
        <v>52</v>
      </c>
      <c r="F909" s="1" t="s">
        <v>3577</v>
      </c>
      <c r="G909" s="3" t="s">
        <v>300</v>
      </c>
      <c r="H909" s="11">
        <f>ROUND(
IF(L907="GANCHO",
   IF(I909&lt;=50,I909*1.1+4,IF(I909&lt;=120,I909*1.1+7,IF(I909&lt;=250,I909*1.1+11,I909*1.1+19))),
IF(L907="NORMAL",
   IF(I909&lt;=30,I909*1.15+2,IF(I909&lt;=80,I909*1.15+4,IF(I909&lt;=150,I909*1.15+6,I909*1.15+8))),
IF(L907="COMPLEMENTO",
   IF(I909&lt;=25,I909*1.25+1.5,IF(I909&lt;=60,I909*1.25+3,IF(I909&lt;=120,I909*1.25+4,I909*1.25+5))),
""))),2)</f>
        <v>811.47</v>
      </c>
      <c r="I909" s="9">
        <f>($K$2+0.02)*Tabla1[[#This Row],[PRECIO $]]*1.18</f>
        <v>720.42681600000003</v>
      </c>
      <c r="J909" s="7">
        <f>+Tabla1[[#This Row],[PRECIO EN SOLES]]-Tabla1[[#This Row],[PC]]</f>
        <v>91.043183999999997</v>
      </c>
      <c r="K909" s="15"/>
      <c r="L909" s="15" t="str">
        <f>IF(
OR(
ISNUMBER(SEARCH("BACKPACK",B911)),
ISNUMBER(SEARCH("MOCHILA",B911)),
ISNUMBER(SEARCH("FUNDA",B911)),
ISNUMBER(SEARCH("ESTUCHE",B911)),
ISNUMBER(SEARCH("BOOK COVER",B911)),
ISNUMBER(SEARCH("KEYBOARD PARA TABLET",B911)),
ISNUMBER(SEARCH("FLIP TABLET",B911)),
ISNUMBER(SEARCH("CASE FOR TABLET",B911)),
ISNUMBER(SEARCH("CABLE",B911)),
ISNUMBER(SEARCH("ADAPTADOR",B911)),
ISNUMBER(SEARCH("HUB",B911)),
ISNUMBER(SEARCH("DOCK",B911)),
ISNUMBER(SEARCH("MOUSE PAD",B911)),
ISNUMBER(SEARCH("MOUSEPAD",B911)),
ISNUMBER(SEARCH("SOPORTE",B911)),
ISNUMBER(SEARCH("STAND",B911)),
ISNUMBER(SEARCH("TRAVEL ADAPTER",B911)),
ISNUMBER(SEARCH("RJ45",B911)),
ISNUMBER(SEARCH("USB-C",B911)),
ISNUMBER(SEARCH("USB WIFI",B911)),
ISNUMBER(SEARCH("POWERBANK",B911)),
ISNUMBER(SEARCH("CARGADOR",B911)),
ISNUMBER(SEARCH("COOLER PARA NB",B911)),
ISNUMBER(SEARCH("SOPORTE PARA NB",B911)),
ISNUMBER(SEARCH("WEBCAM",B911)),
ISNUMBER(SEARCH("WEB CAM",B911)),
ISNUMBER(SEARCH("MOUSE",B911)),
ISNUMBER(SEARCH("TECLADO",B911))
),
"COMPLEMENTO",
IF(
OR(
LEFT(A911,2)="NB",
LEFT(A911,2)="PC",
LEFT(A911,2)="WS",
LEFT(A911,2)="TB",
LEFT(A911,3)="CEL",
LEFT(A911,3)="MON",
LEFT(A911,3)="PRE",
LEFT(A911,3)="PRH",
ISNUMBER(SEARCH("NOTEBOOK",B911)),
ISNUMBER(SEARCH("LAPTOP",B911)),
ISNUMBER(SEARCH("MONITOR",B911)),
ISNUMBER(SEARCH("TABLET",B911)),
ISNUMBER(SEARCH("SMARTPH",B911)),
ISNUMBER(SEARCH("IMPRESORA",B911)),
ISNUMBER(SEARCH("MULTIFUNCIONAL",B911)),
ISNUMBER(SEARCH("AIO",B911))
),
"GANCHO",
"NORMAL"
)
)</f>
        <v>GANCHO</v>
      </c>
    </row>
    <row r="910" spans="1:12" x14ac:dyDescent="0.25">
      <c r="A910" s="3" t="s">
        <v>6329</v>
      </c>
      <c r="B910" s="3" t="s">
        <v>6330</v>
      </c>
      <c r="C910" s="1">
        <v>20</v>
      </c>
      <c r="D910" s="1">
        <v>81</v>
      </c>
      <c r="E910" s="1" t="s">
        <v>52</v>
      </c>
      <c r="F910" s="1" t="s">
        <v>6331</v>
      </c>
      <c r="G910" s="3" t="s">
        <v>6332</v>
      </c>
      <c r="H910" s="11">
        <f>ROUND(
IF(L908="GANCHO",
   IF(I910&lt;=50,I910*1.1+4,IF(I910&lt;=120,I910*1.1+7,IF(I910&lt;=250,I910*1.1+11,I910*1.1+19))),
IF(L908="NORMAL",
   IF(I910&lt;=30,I910*1.15+2,IF(I910&lt;=80,I910*1.15+4,IF(I910&lt;=150,I910*1.15+6,I910*1.15+8))),
IF(L908="COMPLEMENTO",
   IF(I910&lt;=25,I910*1.25+1.5,IF(I910&lt;=60,I910*1.25+3,IF(I910&lt;=120,I910*1.25+4,I910*1.25+5))),
""))),2)</f>
        <v>384.88</v>
      </c>
      <c r="I910" s="9">
        <f>($K$2+0.02)*Tabla1[[#This Row],[PRECIO $]]*1.18</f>
        <v>332.61839999999995</v>
      </c>
      <c r="J910" s="7">
        <f>+Tabla1[[#This Row],[PRECIO EN SOLES]]-Tabla1[[#This Row],[PC]]</f>
        <v>52.261600000000044</v>
      </c>
      <c r="K910" s="15"/>
      <c r="L910" s="15" t="str">
        <f>IF(
OR(
ISNUMBER(SEARCH("BACKPACK",B912)),
ISNUMBER(SEARCH("MOCHILA",B912)),
ISNUMBER(SEARCH("FUNDA",B912)),
ISNUMBER(SEARCH("ESTUCHE",B912)),
ISNUMBER(SEARCH("BOOK COVER",B912)),
ISNUMBER(SEARCH("KEYBOARD PARA TABLET",B912)),
ISNUMBER(SEARCH("FLIP TABLET",B912)),
ISNUMBER(SEARCH("CASE FOR TABLET",B912)),
ISNUMBER(SEARCH("CABLE",B912)),
ISNUMBER(SEARCH("ADAPTADOR",B912)),
ISNUMBER(SEARCH("HUB",B912)),
ISNUMBER(SEARCH("DOCK",B912)),
ISNUMBER(SEARCH("MOUSE PAD",B912)),
ISNUMBER(SEARCH("MOUSEPAD",B912)),
ISNUMBER(SEARCH("SOPORTE",B912)),
ISNUMBER(SEARCH("STAND",B912)),
ISNUMBER(SEARCH("TRAVEL ADAPTER",B912)),
ISNUMBER(SEARCH("RJ45",B912)),
ISNUMBER(SEARCH("USB-C",B912)),
ISNUMBER(SEARCH("USB WIFI",B912)),
ISNUMBER(SEARCH("POWERBANK",B912)),
ISNUMBER(SEARCH("CARGADOR",B912)),
ISNUMBER(SEARCH("COOLER PARA NB",B912)),
ISNUMBER(SEARCH("SOPORTE PARA NB",B912)),
ISNUMBER(SEARCH("WEBCAM",B912)),
ISNUMBER(SEARCH("WEB CAM",B912)),
ISNUMBER(SEARCH("MOUSE",B912)),
ISNUMBER(SEARCH("TECLADO",B912))
),
"COMPLEMENTO",
IF(
OR(
LEFT(A912,2)="NB",
LEFT(A912,2)="PC",
LEFT(A912,2)="WS",
LEFT(A912,2)="TB",
LEFT(A912,3)="CEL",
LEFT(A912,3)="MON",
LEFT(A912,3)="PRE",
LEFT(A912,3)="PRH",
ISNUMBER(SEARCH("NOTEBOOK",B912)),
ISNUMBER(SEARCH("LAPTOP",B912)),
ISNUMBER(SEARCH("MONITOR",B912)),
ISNUMBER(SEARCH("TABLET",B912)),
ISNUMBER(SEARCH("SMARTPH",B912)),
ISNUMBER(SEARCH("IMPRESORA",B912)),
ISNUMBER(SEARCH("MULTIFUNCIONAL",B912)),
ISNUMBER(SEARCH("AIO",B912))
),
"GANCHO",
"NORMAL"
)
)</f>
        <v>GANCHO</v>
      </c>
    </row>
    <row r="911" spans="1:12" x14ac:dyDescent="0.25">
      <c r="A911" s="3" t="s">
        <v>669</v>
      </c>
      <c r="B911" s="3" t="s">
        <v>670</v>
      </c>
      <c r="C911" s="1">
        <v>20</v>
      </c>
      <c r="D911" s="1">
        <v>57</v>
      </c>
      <c r="E911" s="1" t="s">
        <v>52</v>
      </c>
      <c r="F911" s="1" t="s">
        <v>3578</v>
      </c>
      <c r="G911" s="3" t="s">
        <v>671</v>
      </c>
      <c r="H911" s="11">
        <f>ROUND(
IF(L909="GANCHO",
   IF(I911&lt;=50,I911*1.1+4,IF(I911&lt;=120,I911*1.1+7,IF(I911&lt;=250,I911*1.1+11,I911*1.1+19))),
IF(L909="NORMAL",
   IF(I911&lt;=30,I911*1.15+2,IF(I911&lt;=80,I911*1.15+4,IF(I911&lt;=150,I911*1.15+6,I911*1.15+8))),
IF(L909="COMPLEMENTO",
   IF(I911&lt;=25,I911*1.25+1.5,IF(I911&lt;=60,I911*1.25+3,IF(I911&lt;=120,I911*1.25+4,I911*1.25+5))),
""))),2)</f>
        <v>268.47000000000003</v>
      </c>
      <c r="I911" s="9">
        <f>($K$2+0.02)*Tabla1[[#This Row],[PRECIO $]]*1.18</f>
        <v>234.06479999999996</v>
      </c>
      <c r="J911" s="7">
        <f>+Tabla1[[#This Row],[PRECIO EN SOLES]]-Tabla1[[#This Row],[PC]]</f>
        <v>34.405200000000065</v>
      </c>
      <c r="K911" s="15"/>
      <c r="L911" s="15" t="str">
        <f>IF(
OR(
ISNUMBER(SEARCH("BACKPACK",B913)),
ISNUMBER(SEARCH("MOCHILA",B913)),
ISNUMBER(SEARCH("FUNDA",B913)),
ISNUMBER(SEARCH("ESTUCHE",B913)),
ISNUMBER(SEARCH("BOOK COVER",B913)),
ISNUMBER(SEARCH("KEYBOARD PARA TABLET",B913)),
ISNUMBER(SEARCH("FLIP TABLET",B913)),
ISNUMBER(SEARCH("CASE FOR TABLET",B913)),
ISNUMBER(SEARCH("CABLE",B913)),
ISNUMBER(SEARCH("ADAPTADOR",B913)),
ISNUMBER(SEARCH("HUB",B913)),
ISNUMBER(SEARCH("DOCK",B913)),
ISNUMBER(SEARCH("MOUSE PAD",B913)),
ISNUMBER(SEARCH("MOUSEPAD",B913)),
ISNUMBER(SEARCH("SOPORTE",B913)),
ISNUMBER(SEARCH("STAND",B913)),
ISNUMBER(SEARCH("TRAVEL ADAPTER",B913)),
ISNUMBER(SEARCH("RJ45",B913)),
ISNUMBER(SEARCH("USB-C",B913)),
ISNUMBER(SEARCH("USB WIFI",B913)),
ISNUMBER(SEARCH("POWERBANK",B913)),
ISNUMBER(SEARCH("CARGADOR",B913)),
ISNUMBER(SEARCH("COOLER PARA NB",B913)),
ISNUMBER(SEARCH("SOPORTE PARA NB",B913)),
ISNUMBER(SEARCH("WEBCAM",B913)),
ISNUMBER(SEARCH("WEB CAM",B913)),
ISNUMBER(SEARCH("MOUSE",B913)),
ISNUMBER(SEARCH("TECLADO",B913))
),
"COMPLEMENTO",
IF(
OR(
LEFT(A913,2)="NB",
LEFT(A913,2)="PC",
LEFT(A913,2)="WS",
LEFT(A913,2)="TB",
LEFT(A913,3)="CEL",
LEFT(A913,3)="MON",
LEFT(A913,3)="PRE",
LEFT(A913,3)="PRH",
ISNUMBER(SEARCH("NOTEBOOK",B913)),
ISNUMBER(SEARCH("LAPTOP",B913)),
ISNUMBER(SEARCH("MONITOR",B913)),
ISNUMBER(SEARCH("TABLET",B913)),
ISNUMBER(SEARCH("SMARTPH",B913)),
ISNUMBER(SEARCH("IMPRESORA",B913)),
ISNUMBER(SEARCH("MULTIFUNCIONAL",B913)),
ISNUMBER(SEARCH("AIO",B913))
),
"GANCHO",
"NORMAL"
)
)</f>
        <v>GANCHO</v>
      </c>
    </row>
    <row r="912" spans="1:12" x14ac:dyDescent="0.25">
      <c r="A912" s="3" t="s">
        <v>4310</v>
      </c>
      <c r="B912" s="3" t="s">
        <v>4311</v>
      </c>
      <c r="C912" s="1">
        <v>15</v>
      </c>
      <c r="D912" s="1">
        <v>79.8</v>
      </c>
      <c r="E912" s="1" t="s">
        <v>219</v>
      </c>
      <c r="F912" s="1" t="s">
        <v>4312</v>
      </c>
      <c r="G912" s="3" t="s">
        <v>4313</v>
      </c>
      <c r="H912" s="11">
        <f>ROUND(
IF(L910="GANCHO",
   IF(I912&lt;=50,I912*1.1+4,IF(I912&lt;=120,I912*1.1+7,IF(I912&lt;=250,I912*1.1+11,I912*1.1+19))),
IF(L910="NORMAL",
   IF(I912&lt;=30,I912*1.15+2,IF(I912&lt;=80,I912*1.15+4,IF(I912&lt;=150,I912*1.15+6,I912*1.15+8))),
IF(L910="COMPLEMENTO",
   IF(I912&lt;=25,I912*1.25+1.5,IF(I912&lt;=60,I912*1.25+3,IF(I912&lt;=120,I912*1.25+4,I912*1.25+5))),
""))),2)</f>
        <v>379.46</v>
      </c>
      <c r="I912" s="9">
        <f>($K$2+0.02)*Tabla1[[#This Row],[PRECIO $]]*1.18</f>
        <v>327.69072</v>
      </c>
      <c r="J912" s="7">
        <f>+Tabla1[[#This Row],[PRECIO EN SOLES]]-Tabla1[[#This Row],[PC]]</f>
        <v>51.769279999999981</v>
      </c>
      <c r="K912" s="15"/>
      <c r="L912" s="15" t="str">
        <f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GANCHO</v>
      </c>
    </row>
    <row r="913" spans="1:12" x14ac:dyDescent="0.25">
      <c r="A913" s="3" t="s">
        <v>2888</v>
      </c>
      <c r="B913" s="3" t="s">
        <v>2889</v>
      </c>
      <c r="C913" s="1">
        <v>0</v>
      </c>
      <c r="D913" s="1">
        <v>219</v>
      </c>
      <c r="E913" s="1" t="s">
        <v>56</v>
      </c>
      <c r="F913" s="1" t="s">
        <v>3579</v>
      </c>
      <c r="G913" s="3" t="s">
        <v>2890</v>
      </c>
      <c r="H913" s="11">
        <f>ROUND(
IF(L911="GANCHO",
   IF(I913&lt;=50,I913*1.1+4,IF(I913&lt;=120,I913*1.1+7,IF(I913&lt;=250,I913*1.1+11,I913*1.1+19))),
IF(L911="NORMAL",
   IF(I913&lt;=30,I913*1.15+2,IF(I913&lt;=80,I913*1.15+4,IF(I913&lt;=150,I913*1.15+6,I913*1.15+8))),
IF(L911="COMPLEMENTO",
   IF(I913&lt;=25,I913*1.25+1.5,IF(I913&lt;=60,I913*1.25+3,IF(I913&lt;=120,I913*1.25+4,I913*1.25+5))),
""))),2)</f>
        <v>1008.23</v>
      </c>
      <c r="I913" s="9">
        <f>($K$2+0.02)*Tabla1[[#This Row],[PRECIO $]]*1.18</f>
        <v>899.30160000000001</v>
      </c>
      <c r="J913" s="7">
        <f>+Tabla1[[#This Row],[PRECIO EN SOLES]]-Tabla1[[#This Row],[PC]]</f>
        <v>108.92840000000001</v>
      </c>
      <c r="K913" s="15"/>
      <c r="L913" s="15" t="str">
        <f>IF(
OR(
ISNUMBER(SEARCH("BACKPACK",B915)),
ISNUMBER(SEARCH("MOCHILA",B915)),
ISNUMBER(SEARCH("FUNDA",B915)),
ISNUMBER(SEARCH("ESTUCHE",B915)),
ISNUMBER(SEARCH("BOOK COVER",B915)),
ISNUMBER(SEARCH("KEYBOARD PARA TABLET",B915)),
ISNUMBER(SEARCH("FLIP TABLET",B915)),
ISNUMBER(SEARCH("CASE FOR TABLET",B915)),
ISNUMBER(SEARCH("CABLE",B915)),
ISNUMBER(SEARCH("ADAPTADOR",B915)),
ISNUMBER(SEARCH("HUB",B915)),
ISNUMBER(SEARCH("DOCK",B915)),
ISNUMBER(SEARCH("MOUSE PAD",B915)),
ISNUMBER(SEARCH("MOUSEPAD",B915)),
ISNUMBER(SEARCH("SOPORTE",B915)),
ISNUMBER(SEARCH("STAND",B915)),
ISNUMBER(SEARCH("TRAVEL ADAPTER",B915)),
ISNUMBER(SEARCH("RJ45",B915)),
ISNUMBER(SEARCH("USB-C",B915)),
ISNUMBER(SEARCH("USB WIFI",B915)),
ISNUMBER(SEARCH("POWERBANK",B915)),
ISNUMBER(SEARCH("CARGADOR",B915)),
ISNUMBER(SEARCH("COOLER PARA NB",B915)),
ISNUMBER(SEARCH("SOPORTE PARA NB",B915)),
ISNUMBER(SEARCH("WEBCAM",B915)),
ISNUMBER(SEARCH("WEB CAM",B915)),
ISNUMBER(SEARCH("MOUSE",B915)),
ISNUMBER(SEARCH("TECLADO",B915))
),
"COMPLEMENTO",
IF(
OR(
LEFT(A915,2)="NB",
LEFT(A915,2)="PC",
LEFT(A915,2)="WS",
LEFT(A915,2)="TB",
LEFT(A915,3)="CEL",
LEFT(A915,3)="MON",
LEFT(A915,3)="PRE",
LEFT(A915,3)="PRH",
ISNUMBER(SEARCH("NOTEBOOK",B915)),
ISNUMBER(SEARCH("LAPTOP",B915)),
ISNUMBER(SEARCH("MONITOR",B915)),
ISNUMBER(SEARCH("TABLET",B915)),
ISNUMBER(SEARCH("SMARTPH",B915)),
ISNUMBER(SEARCH("IMPRESORA",B915)),
ISNUMBER(SEARCH("MULTIFUNCIONAL",B915)),
ISNUMBER(SEARCH("AIO",B915))
),
"GANCHO",
"NORMAL"
)
)</f>
        <v>GANCHO</v>
      </c>
    </row>
    <row r="914" spans="1:12" x14ac:dyDescent="0.25">
      <c r="A914" s="3" t="s">
        <v>1635</v>
      </c>
      <c r="B914" s="3" t="s">
        <v>1636</v>
      </c>
      <c r="C914" s="1">
        <v>20</v>
      </c>
      <c r="D914" s="1">
        <v>294</v>
      </c>
      <c r="E914" s="1" t="s">
        <v>56</v>
      </c>
      <c r="F914" s="1" t="s">
        <v>3580</v>
      </c>
      <c r="G914" s="3" t="s">
        <v>1637</v>
      </c>
      <c r="H914" s="11">
        <f>ROUND(
IF(L912="GANCHO",
   IF(I914&lt;=50,I914*1.1+4,IF(I914&lt;=120,I914*1.1+7,IF(I914&lt;=250,I914*1.1+11,I914*1.1+19))),
IF(L912="NORMAL",
   IF(I914&lt;=30,I914*1.15+2,IF(I914&lt;=80,I914*1.15+4,IF(I914&lt;=150,I914*1.15+6,I914*1.15+8))),
IF(L912="COMPLEMENTO",
   IF(I914&lt;=25,I914*1.25+1.5,IF(I914&lt;=60,I914*1.25+3,IF(I914&lt;=120,I914*1.25+4,I914*1.25+5))),
""))),2)</f>
        <v>1347.01</v>
      </c>
      <c r="I914" s="9">
        <f>($K$2+0.02)*Tabla1[[#This Row],[PRECIO $]]*1.18</f>
        <v>1207.2816</v>
      </c>
      <c r="J914" s="7">
        <f>+Tabla1[[#This Row],[PRECIO EN SOLES]]-Tabla1[[#This Row],[PC]]</f>
        <v>139.72839999999997</v>
      </c>
      <c r="K914" s="15"/>
      <c r="L914" s="15" t="str">
        <f>IF(
OR(
ISNUMBER(SEARCH("BACKPACK",B916)),
ISNUMBER(SEARCH("MOCHILA",B916)),
ISNUMBER(SEARCH("FUNDA",B916)),
ISNUMBER(SEARCH("ESTUCHE",B916)),
ISNUMBER(SEARCH("BOOK COVER",B916)),
ISNUMBER(SEARCH("KEYBOARD PARA TABLET",B916)),
ISNUMBER(SEARCH("FLIP TABLET",B916)),
ISNUMBER(SEARCH("CASE FOR TABLET",B916)),
ISNUMBER(SEARCH("CABLE",B916)),
ISNUMBER(SEARCH("ADAPTADOR",B916)),
ISNUMBER(SEARCH("HUB",B916)),
ISNUMBER(SEARCH("DOCK",B916)),
ISNUMBER(SEARCH("MOUSE PAD",B916)),
ISNUMBER(SEARCH("MOUSEPAD",B916)),
ISNUMBER(SEARCH("SOPORTE",B916)),
ISNUMBER(SEARCH("STAND",B916)),
ISNUMBER(SEARCH("TRAVEL ADAPTER",B916)),
ISNUMBER(SEARCH("RJ45",B916)),
ISNUMBER(SEARCH("USB-C",B916)),
ISNUMBER(SEARCH("USB WIFI",B916)),
ISNUMBER(SEARCH("POWERBANK",B916)),
ISNUMBER(SEARCH("CARGADOR",B916)),
ISNUMBER(SEARCH("COOLER PARA NB",B916)),
ISNUMBER(SEARCH("SOPORTE PARA NB",B916)),
ISNUMBER(SEARCH("WEBCAM",B916)),
ISNUMBER(SEARCH("WEB CAM",B916)),
ISNUMBER(SEARCH("MOUSE",B916)),
ISNUMBER(SEARCH("TECLADO",B916))
),
"COMPLEMENTO",
IF(
OR(
LEFT(A916,2)="NB",
LEFT(A916,2)="PC",
LEFT(A916,2)="WS",
LEFT(A916,2)="TB",
LEFT(A916,3)="CEL",
LEFT(A916,3)="MON",
LEFT(A916,3)="PRE",
LEFT(A916,3)="PRH",
ISNUMBER(SEARCH("NOTEBOOK",B916)),
ISNUMBER(SEARCH("LAPTOP",B916)),
ISNUMBER(SEARCH("MONITOR",B916)),
ISNUMBER(SEARCH("TABLET",B916)),
ISNUMBER(SEARCH("SMARTPH",B916)),
ISNUMBER(SEARCH("IMPRESORA",B916)),
ISNUMBER(SEARCH("MULTIFUNCIONAL",B916)),
ISNUMBER(SEARCH("AIO",B916))
),
"GANCHO",
"NORMAL"
)
)</f>
        <v>GANCHO</v>
      </c>
    </row>
    <row r="915" spans="1:12" x14ac:dyDescent="0.25">
      <c r="A915" s="3" t="s">
        <v>1638</v>
      </c>
      <c r="B915" s="3" t="s">
        <v>1639</v>
      </c>
      <c r="C915" s="1">
        <v>16</v>
      </c>
      <c r="D915" s="1">
        <v>364</v>
      </c>
      <c r="E915" s="1" t="s">
        <v>56</v>
      </c>
      <c r="F915" s="1" t="s">
        <v>3581</v>
      </c>
      <c r="G915" s="3" t="s">
        <v>1640</v>
      </c>
      <c r="H915" s="11">
        <f>ROUND(
IF(L913="GANCHO",
   IF(I915&lt;=50,I915*1.1+4,IF(I915&lt;=120,I915*1.1+7,IF(I915&lt;=250,I915*1.1+11,I915*1.1+19))),
IF(L913="NORMAL",
   IF(I915&lt;=30,I915*1.15+2,IF(I915&lt;=80,I915*1.15+4,IF(I915&lt;=150,I915*1.15+6,I915*1.15+8))),
IF(L913="COMPLEMENTO",
   IF(I915&lt;=25,I915*1.25+1.5,IF(I915&lt;=60,I915*1.25+3,IF(I915&lt;=120,I915*1.25+4,I915*1.25+5))),
""))),2)</f>
        <v>1663.2</v>
      </c>
      <c r="I915" s="9">
        <f>($K$2+0.02)*Tabla1[[#This Row],[PRECIO $]]*1.18</f>
        <v>1494.7295999999999</v>
      </c>
      <c r="J915" s="7">
        <f>+Tabla1[[#This Row],[PRECIO EN SOLES]]-Tabla1[[#This Row],[PC]]</f>
        <v>168.47040000000015</v>
      </c>
      <c r="K915" s="15"/>
      <c r="L915" s="15" t="str">
        <f>IF(
OR(
ISNUMBER(SEARCH("BACKPACK",B917)),
ISNUMBER(SEARCH("MOCHILA",B917)),
ISNUMBER(SEARCH("FUNDA",B917)),
ISNUMBER(SEARCH("ESTUCHE",B917)),
ISNUMBER(SEARCH("BOOK COVER",B917)),
ISNUMBER(SEARCH("KEYBOARD PARA TABLET",B917)),
ISNUMBER(SEARCH("FLIP TABLET",B917)),
ISNUMBER(SEARCH("CASE FOR TABLET",B917)),
ISNUMBER(SEARCH("CABLE",B917)),
ISNUMBER(SEARCH("ADAPTADOR",B917)),
ISNUMBER(SEARCH("HUB",B917)),
ISNUMBER(SEARCH("DOCK",B917)),
ISNUMBER(SEARCH("MOUSE PAD",B917)),
ISNUMBER(SEARCH("MOUSEPAD",B917)),
ISNUMBER(SEARCH("SOPORTE",B917)),
ISNUMBER(SEARCH("STAND",B917)),
ISNUMBER(SEARCH("TRAVEL ADAPTER",B917)),
ISNUMBER(SEARCH("RJ45",B917)),
ISNUMBER(SEARCH("USB-C",B917)),
ISNUMBER(SEARCH("USB WIFI",B917)),
ISNUMBER(SEARCH("POWERBANK",B917)),
ISNUMBER(SEARCH("CARGADOR",B917)),
ISNUMBER(SEARCH("COOLER PARA NB",B917)),
ISNUMBER(SEARCH("SOPORTE PARA NB",B917)),
ISNUMBER(SEARCH("WEBCAM",B917)),
ISNUMBER(SEARCH("WEB CAM",B917)),
ISNUMBER(SEARCH("MOUSE",B917)),
ISNUMBER(SEARCH("TECLADO",B917))
),
"COMPLEMENTO",
IF(
OR(
LEFT(A917,2)="NB",
LEFT(A917,2)="PC",
LEFT(A917,2)="WS",
LEFT(A917,2)="TB",
LEFT(A917,3)="CEL",
LEFT(A917,3)="MON",
LEFT(A917,3)="PRE",
LEFT(A917,3)="PRH",
ISNUMBER(SEARCH("NOTEBOOK",B917)),
ISNUMBER(SEARCH("LAPTOP",B917)),
ISNUMBER(SEARCH("MONITOR",B917)),
ISNUMBER(SEARCH("TABLET",B917)),
ISNUMBER(SEARCH("SMARTPH",B917)),
ISNUMBER(SEARCH("IMPRESORA",B917)),
ISNUMBER(SEARCH("MULTIFUNCIONAL",B917)),
ISNUMBER(SEARCH("AIO",B917))
),
"GANCHO",
"NORMAL"
)
)</f>
        <v>GANCHO</v>
      </c>
    </row>
    <row r="916" spans="1:12" x14ac:dyDescent="0.25">
      <c r="A916" s="3" t="s">
        <v>1641</v>
      </c>
      <c r="B916" s="3" t="s">
        <v>1642</v>
      </c>
      <c r="C916" s="1">
        <v>20</v>
      </c>
      <c r="D916" s="1">
        <v>334</v>
      </c>
      <c r="E916" s="1" t="s">
        <v>56</v>
      </c>
      <c r="F916" s="1" t="s">
        <v>3582</v>
      </c>
      <c r="G916" s="3"/>
      <c r="H916" s="11">
        <f>ROUND(
IF(L914="GANCHO",
   IF(I916&lt;=50,I916*1.1+4,IF(I916&lt;=120,I916*1.1+7,IF(I916&lt;=250,I916*1.1+11,I916*1.1+19))),
IF(L914="NORMAL",
   IF(I916&lt;=30,I916*1.15+2,IF(I916&lt;=80,I916*1.15+4,IF(I916&lt;=150,I916*1.15+6,I916*1.15+8))),
IF(L914="COMPLEMENTO",
   IF(I916&lt;=25,I916*1.25+1.5,IF(I916&lt;=60,I916*1.25+3,IF(I916&lt;=120,I916*1.25+4,I916*1.25+5))),
""))),2)</f>
        <v>1527.69</v>
      </c>
      <c r="I916" s="9">
        <f>($K$2+0.02)*Tabla1[[#This Row],[PRECIO $]]*1.18</f>
        <v>1371.5375999999999</v>
      </c>
      <c r="J916" s="7">
        <f>+Tabla1[[#This Row],[PRECIO EN SOLES]]-Tabla1[[#This Row],[PC]]</f>
        <v>156.15240000000017</v>
      </c>
      <c r="K916" s="15"/>
      <c r="L916" s="15" t="str">
        <f>IF(
OR(
ISNUMBER(SEARCH("BACKPACK",B918)),
ISNUMBER(SEARCH("MOCHILA",B918)),
ISNUMBER(SEARCH("FUNDA",B918)),
ISNUMBER(SEARCH("ESTUCHE",B918)),
ISNUMBER(SEARCH("BOOK COVER",B918)),
ISNUMBER(SEARCH("KEYBOARD PARA TABLET",B918)),
ISNUMBER(SEARCH("FLIP TABLET",B918)),
ISNUMBER(SEARCH("CASE FOR TABLET",B918)),
ISNUMBER(SEARCH("CABLE",B918)),
ISNUMBER(SEARCH("ADAPTADOR",B918)),
ISNUMBER(SEARCH("HUB",B918)),
ISNUMBER(SEARCH("DOCK",B918)),
ISNUMBER(SEARCH("MOUSE PAD",B918)),
ISNUMBER(SEARCH("MOUSEPAD",B918)),
ISNUMBER(SEARCH("SOPORTE",B918)),
ISNUMBER(SEARCH("STAND",B918)),
ISNUMBER(SEARCH("TRAVEL ADAPTER",B918)),
ISNUMBER(SEARCH("RJ45",B918)),
ISNUMBER(SEARCH("USB-C",B918)),
ISNUMBER(SEARCH("USB WIFI",B918)),
ISNUMBER(SEARCH("POWERBANK",B918)),
ISNUMBER(SEARCH("CARGADOR",B918)),
ISNUMBER(SEARCH("COOLER PARA NB",B918)),
ISNUMBER(SEARCH("SOPORTE PARA NB",B918)),
ISNUMBER(SEARCH("WEBCAM",B918)),
ISNUMBER(SEARCH("WEB CAM",B918)),
ISNUMBER(SEARCH("MOUSE",B918)),
ISNUMBER(SEARCH("TECLADO",B918))
),
"COMPLEMENTO",
IF(
OR(
LEFT(A918,2)="NB",
LEFT(A918,2)="PC",
LEFT(A918,2)="WS",
LEFT(A918,2)="TB",
LEFT(A918,3)="CEL",
LEFT(A918,3)="MON",
LEFT(A918,3)="PRE",
LEFT(A918,3)="PRH",
ISNUMBER(SEARCH("NOTEBOOK",B918)),
ISNUMBER(SEARCH("LAPTOP",B918)),
ISNUMBER(SEARCH("MONITOR",B918)),
ISNUMBER(SEARCH("TABLET",B918)),
ISNUMBER(SEARCH("SMARTPH",B918)),
ISNUMBER(SEARCH("IMPRESORA",B918)),
ISNUMBER(SEARCH("MULTIFUNCIONAL",B918)),
ISNUMBER(SEARCH("AIO",B918))
),
"GANCHO",
"NORMAL"
)
)</f>
        <v>GANCHO</v>
      </c>
    </row>
    <row r="917" spans="1:12" x14ac:dyDescent="0.25">
      <c r="A917" s="3" t="s">
        <v>1643</v>
      </c>
      <c r="B917" s="3" t="s">
        <v>1644</v>
      </c>
      <c r="C917" s="1">
        <v>20</v>
      </c>
      <c r="D917" s="1">
        <v>212.5</v>
      </c>
      <c r="E917" s="1" t="s">
        <v>56</v>
      </c>
      <c r="F917" s="1" t="s">
        <v>3583</v>
      </c>
      <c r="G917" s="3"/>
      <c r="H917" s="11">
        <f>ROUND(
IF(L915="GANCHO",
   IF(I917&lt;=50,I917*1.1+4,IF(I917&lt;=120,I917*1.1+7,IF(I917&lt;=250,I917*1.1+11,I917*1.1+19))),
IF(L915="NORMAL",
   IF(I917&lt;=30,I917*1.15+2,IF(I917&lt;=80,I917*1.15+4,IF(I917&lt;=150,I917*1.15+6,I917*1.15+8))),
IF(L915="COMPLEMENTO",
   IF(I917&lt;=25,I917*1.25+1.5,IF(I917&lt;=60,I917*1.25+3,IF(I917&lt;=120,I917*1.25+4,I917*1.25+5))),
""))),2)</f>
        <v>978.87</v>
      </c>
      <c r="I917" s="9">
        <f>($K$2+0.02)*Tabla1[[#This Row],[PRECIO $]]*1.18</f>
        <v>872.6099999999999</v>
      </c>
      <c r="J917" s="7">
        <f>+Tabla1[[#This Row],[PRECIO EN SOLES]]-Tabla1[[#This Row],[PC]]</f>
        <v>106.2600000000001</v>
      </c>
      <c r="K917" s="15"/>
      <c r="L917" s="15" t="str">
        <f>IF(
OR(
ISNUMBER(SEARCH("BACKPACK",B919)),
ISNUMBER(SEARCH("MOCHILA",B919)),
ISNUMBER(SEARCH("FUNDA",B919)),
ISNUMBER(SEARCH("ESTUCHE",B919)),
ISNUMBER(SEARCH("BOOK COVER",B919)),
ISNUMBER(SEARCH("KEYBOARD PARA TABLET",B919)),
ISNUMBER(SEARCH("FLIP TABLET",B919)),
ISNUMBER(SEARCH("CASE FOR TABLET",B919)),
ISNUMBER(SEARCH("CABLE",B919)),
ISNUMBER(SEARCH("ADAPTADOR",B919)),
ISNUMBER(SEARCH("HUB",B919)),
ISNUMBER(SEARCH("DOCK",B919)),
ISNUMBER(SEARCH("MOUSE PAD",B919)),
ISNUMBER(SEARCH("MOUSEPAD",B919)),
ISNUMBER(SEARCH("SOPORTE",B919)),
ISNUMBER(SEARCH("STAND",B919)),
ISNUMBER(SEARCH("TRAVEL ADAPTER",B919)),
ISNUMBER(SEARCH("RJ45",B919)),
ISNUMBER(SEARCH("USB-C",B919)),
ISNUMBER(SEARCH("USB WIFI",B919)),
ISNUMBER(SEARCH("POWERBANK",B919)),
ISNUMBER(SEARCH("CARGADOR",B919)),
ISNUMBER(SEARCH("COOLER PARA NB",B919)),
ISNUMBER(SEARCH("SOPORTE PARA NB",B919)),
ISNUMBER(SEARCH("WEBCAM",B919)),
ISNUMBER(SEARCH("WEB CAM",B919)),
ISNUMBER(SEARCH("MOUSE",B919)),
ISNUMBER(SEARCH("TECLADO",B919))
),
"COMPLEMENTO",
IF(
OR(
LEFT(A919,2)="NB",
LEFT(A919,2)="PC",
LEFT(A919,2)="WS",
LEFT(A919,2)="TB",
LEFT(A919,3)="CEL",
LEFT(A919,3)="MON",
LEFT(A919,3)="PRE",
LEFT(A919,3)="PRH",
ISNUMBER(SEARCH("NOTEBOOK",B919)),
ISNUMBER(SEARCH("LAPTOP",B919)),
ISNUMBER(SEARCH("MONITOR",B919)),
ISNUMBER(SEARCH("TABLET",B919)),
ISNUMBER(SEARCH("SMARTPH",B919)),
ISNUMBER(SEARCH("IMPRESORA",B919)),
ISNUMBER(SEARCH("MULTIFUNCIONAL",B919)),
ISNUMBER(SEARCH("AIO",B919))
),
"GANCHO",
"NORMAL"
)
)</f>
        <v>GANCHO</v>
      </c>
    </row>
    <row r="918" spans="1:12" x14ac:dyDescent="0.25">
      <c r="A918" s="3" t="s">
        <v>1645</v>
      </c>
      <c r="B918" s="3" t="s">
        <v>1646</v>
      </c>
      <c r="C918" s="1">
        <v>20</v>
      </c>
      <c r="D918" s="1">
        <v>185.8</v>
      </c>
      <c r="E918" s="1" t="s">
        <v>56</v>
      </c>
      <c r="F918" s="1" t="s">
        <v>3584</v>
      </c>
      <c r="G918" s="3" t="s">
        <v>1647</v>
      </c>
      <c r="H918" s="11">
        <f>ROUND(
IF(L916="GANCHO",
   IF(I918&lt;=50,I918*1.1+4,IF(I918&lt;=120,I918*1.1+7,IF(I918&lt;=250,I918*1.1+11,I918*1.1+19))),
IF(L916="NORMAL",
   IF(I918&lt;=30,I918*1.15+2,IF(I918&lt;=80,I918*1.15+4,IF(I918&lt;=150,I918*1.15+6,I918*1.15+8))),
IF(L916="COMPLEMENTO",
   IF(I918&lt;=25,I918*1.25+1.5,IF(I918&lt;=60,I918*1.25+3,IF(I918&lt;=120,I918*1.25+4,I918*1.25+5))),
""))),2)</f>
        <v>858.27</v>
      </c>
      <c r="I918" s="9">
        <f>($K$2+0.02)*Tabla1[[#This Row],[PRECIO $]]*1.18</f>
        <v>762.96911999999998</v>
      </c>
      <c r="J918" s="7">
        <f>+Tabla1[[#This Row],[PRECIO EN SOLES]]-Tabla1[[#This Row],[PC]]</f>
        <v>95.300880000000006</v>
      </c>
      <c r="K918" s="15"/>
      <c r="L918" s="15" t="str">
        <f>IF(
OR(
ISNUMBER(SEARCH("BACKPACK",B920)),
ISNUMBER(SEARCH("MOCHILA",B920)),
ISNUMBER(SEARCH("FUNDA",B920)),
ISNUMBER(SEARCH("ESTUCHE",B920)),
ISNUMBER(SEARCH("BOOK COVER",B920)),
ISNUMBER(SEARCH("KEYBOARD PARA TABLET",B920)),
ISNUMBER(SEARCH("FLIP TABLET",B920)),
ISNUMBER(SEARCH("CASE FOR TABLET",B920)),
ISNUMBER(SEARCH("CABLE",B920)),
ISNUMBER(SEARCH("ADAPTADOR",B920)),
ISNUMBER(SEARCH("HUB",B920)),
ISNUMBER(SEARCH("DOCK",B920)),
ISNUMBER(SEARCH("MOUSE PAD",B920)),
ISNUMBER(SEARCH("MOUSEPAD",B920)),
ISNUMBER(SEARCH("SOPORTE",B920)),
ISNUMBER(SEARCH("STAND",B920)),
ISNUMBER(SEARCH("TRAVEL ADAPTER",B920)),
ISNUMBER(SEARCH("RJ45",B920)),
ISNUMBER(SEARCH("USB-C",B920)),
ISNUMBER(SEARCH("USB WIFI",B920)),
ISNUMBER(SEARCH("POWERBANK",B920)),
ISNUMBER(SEARCH("CARGADOR",B920)),
ISNUMBER(SEARCH("COOLER PARA NB",B920)),
ISNUMBER(SEARCH("SOPORTE PARA NB",B920)),
ISNUMBER(SEARCH("WEBCAM",B920)),
ISNUMBER(SEARCH("WEB CAM",B920)),
ISNUMBER(SEARCH("MOUSE",B920)),
ISNUMBER(SEARCH("TECLADO",B920))
),
"COMPLEMENTO",
IF(
OR(
LEFT(A920,2)="NB",
LEFT(A920,2)="PC",
LEFT(A920,2)="WS",
LEFT(A920,2)="TB",
LEFT(A920,3)="CEL",
LEFT(A920,3)="MON",
LEFT(A920,3)="PRE",
LEFT(A920,3)="PRH",
ISNUMBER(SEARCH("NOTEBOOK",B920)),
ISNUMBER(SEARCH("LAPTOP",B920)),
ISNUMBER(SEARCH("MONITOR",B920)),
ISNUMBER(SEARCH("TABLET",B920)),
ISNUMBER(SEARCH("SMARTPH",B920)),
ISNUMBER(SEARCH("IMPRESORA",B920)),
ISNUMBER(SEARCH("MULTIFUNCIONAL",B920)),
ISNUMBER(SEARCH("AIO",B920))
),
"GANCHO",
"NORMAL"
)
)</f>
        <v>GANCHO</v>
      </c>
    </row>
    <row r="919" spans="1:12" x14ac:dyDescent="0.25">
      <c r="A919" s="3" t="s">
        <v>4633</v>
      </c>
      <c r="B919" s="3" t="s">
        <v>4634</v>
      </c>
      <c r="C919" s="1">
        <v>20</v>
      </c>
      <c r="D919" s="1">
        <v>124.5</v>
      </c>
      <c r="E919" s="1" t="s">
        <v>56</v>
      </c>
      <c r="F919" s="1" t="s">
        <v>4635</v>
      </c>
      <c r="G919" s="3" t="s">
        <v>4636</v>
      </c>
      <c r="H919" s="11">
        <f>ROUND(
IF(L917="GANCHO",
   IF(I919&lt;=50,I919*1.1+4,IF(I919&lt;=120,I919*1.1+7,IF(I919&lt;=250,I919*1.1+11,I919*1.1+19))),
IF(L917="NORMAL",
   IF(I919&lt;=30,I919*1.15+2,IF(I919&lt;=80,I919*1.15+4,IF(I919&lt;=150,I919*1.15+6,I919*1.15+8))),
IF(L917="COMPLEMENTO",
   IF(I919&lt;=25,I919*1.25+1.5,IF(I919&lt;=60,I919*1.25+3,IF(I919&lt;=120,I919*1.25+4,I919*1.25+5))),
""))),2)</f>
        <v>581.37</v>
      </c>
      <c r="I919" s="9">
        <f>($K$2+0.02)*Tabla1[[#This Row],[PRECIO $]]*1.18</f>
        <v>511.24679999999995</v>
      </c>
      <c r="J919" s="7">
        <f>+Tabla1[[#This Row],[PRECIO EN SOLES]]-Tabla1[[#This Row],[PC]]</f>
        <v>70.123200000000054</v>
      </c>
      <c r="K919" s="15"/>
      <c r="L919" s="15" t="str">
        <f>IF(
OR(
ISNUMBER(SEARCH("BACKPACK",B921)),
ISNUMBER(SEARCH("MOCHILA",B921)),
ISNUMBER(SEARCH("FUNDA",B921)),
ISNUMBER(SEARCH("ESTUCHE",B921)),
ISNUMBER(SEARCH("BOOK COVER",B921)),
ISNUMBER(SEARCH("KEYBOARD PARA TABLET",B921)),
ISNUMBER(SEARCH("FLIP TABLET",B921)),
ISNUMBER(SEARCH("CASE FOR TABLET",B921)),
ISNUMBER(SEARCH("CABLE",B921)),
ISNUMBER(SEARCH("ADAPTADOR",B921)),
ISNUMBER(SEARCH("HUB",B921)),
ISNUMBER(SEARCH("DOCK",B921)),
ISNUMBER(SEARCH("MOUSE PAD",B921)),
ISNUMBER(SEARCH("MOUSEPAD",B921)),
ISNUMBER(SEARCH("SOPORTE",B921)),
ISNUMBER(SEARCH("STAND",B921)),
ISNUMBER(SEARCH("TRAVEL ADAPTER",B921)),
ISNUMBER(SEARCH("RJ45",B921)),
ISNUMBER(SEARCH("USB-C",B921)),
ISNUMBER(SEARCH("USB WIFI",B921)),
ISNUMBER(SEARCH("POWERBANK",B921)),
ISNUMBER(SEARCH("CARGADOR",B921)),
ISNUMBER(SEARCH("COOLER PARA NB",B921)),
ISNUMBER(SEARCH("SOPORTE PARA NB",B921)),
ISNUMBER(SEARCH("WEBCAM",B921)),
ISNUMBER(SEARCH("WEB CAM",B921)),
ISNUMBER(SEARCH("MOUSE",B921)),
ISNUMBER(SEARCH("TECLADO",B921))
),
"COMPLEMENTO",
IF(
OR(
LEFT(A921,2)="NB",
LEFT(A921,2)="PC",
LEFT(A921,2)="WS",
LEFT(A921,2)="TB",
LEFT(A921,3)="CEL",
LEFT(A921,3)="MON",
LEFT(A921,3)="PRE",
LEFT(A921,3)="PRH",
ISNUMBER(SEARCH("NOTEBOOK",B921)),
ISNUMBER(SEARCH("LAPTOP",B921)),
ISNUMBER(SEARCH("MONITOR",B921)),
ISNUMBER(SEARCH("TABLET",B921)),
ISNUMBER(SEARCH("SMARTPH",B921)),
ISNUMBER(SEARCH("IMPRESORA",B921)),
ISNUMBER(SEARCH("MULTIFUNCIONAL",B921)),
ISNUMBER(SEARCH("AIO",B921))
),
"GANCHO",
"NORMAL"
)
)</f>
        <v>GANCHO</v>
      </c>
    </row>
    <row r="920" spans="1:12" x14ac:dyDescent="0.25">
      <c r="A920" s="3" t="s">
        <v>4637</v>
      </c>
      <c r="B920" s="3" t="s">
        <v>4638</v>
      </c>
      <c r="C920" s="1">
        <v>13</v>
      </c>
      <c r="D920" s="1">
        <v>129.9</v>
      </c>
      <c r="E920" s="1" t="s">
        <v>56</v>
      </c>
      <c r="F920" s="1" t="s">
        <v>4639</v>
      </c>
      <c r="G920" s="3" t="s">
        <v>4640</v>
      </c>
      <c r="H920" s="11">
        <f>ROUND(
IF(L918="GANCHO",
   IF(I920&lt;=50,I920*1.1+4,IF(I920&lt;=120,I920*1.1+7,IF(I920&lt;=250,I920*1.1+11,I920*1.1+19))),
IF(L918="NORMAL",
   IF(I920&lt;=30,I920*1.15+2,IF(I920&lt;=80,I920*1.15+4,IF(I920&lt;=150,I920*1.15+6,I920*1.15+8))),
IF(L918="COMPLEMENTO",
   IF(I920&lt;=25,I920*1.25+1.5,IF(I920&lt;=60,I920*1.25+3,IF(I920&lt;=120,I920*1.25+4,I920*1.25+5))),
""))),2)</f>
        <v>605.76</v>
      </c>
      <c r="I920" s="9">
        <f>($K$2+0.02)*Tabla1[[#This Row],[PRECIO $]]*1.18</f>
        <v>533.42136000000005</v>
      </c>
      <c r="J920" s="7">
        <f>+Tabla1[[#This Row],[PRECIO EN SOLES]]-Tabla1[[#This Row],[PC]]</f>
        <v>72.338639999999941</v>
      </c>
      <c r="K920" s="15"/>
      <c r="L920" s="15" t="str">
        <f>IF(
OR(
ISNUMBER(SEARCH("BACKPACK",B922)),
ISNUMBER(SEARCH("MOCHILA",B922)),
ISNUMBER(SEARCH("FUNDA",B922)),
ISNUMBER(SEARCH("ESTUCHE",B922)),
ISNUMBER(SEARCH("BOOK COVER",B922)),
ISNUMBER(SEARCH("KEYBOARD PARA TABLET",B922)),
ISNUMBER(SEARCH("FLIP TABLET",B922)),
ISNUMBER(SEARCH("CASE FOR TABLET",B922)),
ISNUMBER(SEARCH("CABLE",B922)),
ISNUMBER(SEARCH("ADAPTADOR",B922)),
ISNUMBER(SEARCH("HUB",B922)),
ISNUMBER(SEARCH("DOCK",B922)),
ISNUMBER(SEARCH("MOUSE PAD",B922)),
ISNUMBER(SEARCH("MOUSEPAD",B922)),
ISNUMBER(SEARCH("SOPORTE",B922)),
ISNUMBER(SEARCH("STAND",B922)),
ISNUMBER(SEARCH("TRAVEL ADAPTER",B922)),
ISNUMBER(SEARCH("RJ45",B922)),
ISNUMBER(SEARCH("USB-C",B922)),
ISNUMBER(SEARCH("USB WIFI",B922)),
ISNUMBER(SEARCH("POWERBANK",B922)),
ISNUMBER(SEARCH("CARGADOR",B922)),
ISNUMBER(SEARCH("COOLER PARA NB",B922)),
ISNUMBER(SEARCH("SOPORTE PARA NB",B922)),
ISNUMBER(SEARCH("WEBCAM",B922)),
ISNUMBER(SEARCH("WEB CAM",B922)),
ISNUMBER(SEARCH("MOUSE",B922)),
ISNUMBER(SEARCH("TECLADO",B922))
),
"COMPLEMENTO",
IF(
OR(
LEFT(A922,2)="NB",
LEFT(A922,2)="PC",
LEFT(A922,2)="WS",
LEFT(A922,2)="TB",
LEFT(A922,3)="CEL",
LEFT(A922,3)="MON",
LEFT(A922,3)="PRE",
LEFT(A922,3)="PRH",
ISNUMBER(SEARCH("NOTEBOOK",B922)),
ISNUMBER(SEARCH("LAPTOP",B922)),
ISNUMBER(SEARCH("MONITOR",B922)),
ISNUMBER(SEARCH("TABLET",B922)),
ISNUMBER(SEARCH("SMARTPH",B922)),
ISNUMBER(SEARCH("IMPRESORA",B922)),
ISNUMBER(SEARCH("MULTIFUNCIONAL",B922)),
ISNUMBER(SEARCH("AIO",B922))
),
"GANCHO",
"NORMAL"
)
)</f>
        <v>GANCHO</v>
      </c>
    </row>
    <row r="921" spans="1:12" x14ac:dyDescent="0.25">
      <c r="A921" s="3" t="s">
        <v>1648</v>
      </c>
      <c r="B921" s="3" t="s">
        <v>1649</v>
      </c>
      <c r="C921" s="1">
        <v>0</v>
      </c>
      <c r="D921" s="1">
        <v>304</v>
      </c>
      <c r="E921" s="1" t="s">
        <v>837</v>
      </c>
      <c r="F921" s="1" t="s">
        <v>3585</v>
      </c>
      <c r="G921" s="3" t="s">
        <v>1650</v>
      </c>
      <c r="H921" s="11">
        <f>ROUND(
IF(L919="GANCHO",
   IF(I921&lt;=50,I921*1.1+4,IF(I921&lt;=120,I921*1.1+7,IF(I921&lt;=250,I921*1.1+11,I921*1.1+19))),
IF(L919="NORMAL",
   IF(I921&lt;=30,I921*1.15+2,IF(I921&lt;=80,I921*1.15+4,IF(I921&lt;=150,I921*1.15+6,I921*1.15+8))),
IF(L919="COMPLEMENTO",
   IF(I921&lt;=25,I921*1.25+1.5,IF(I921&lt;=60,I921*1.25+3,IF(I921&lt;=120,I921*1.25+4,I921*1.25+5))),
""))),2)</f>
        <v>1392.18</v>
      </c>
      <c r="I921" s="9">
        <f>($K$2+0.02)*Tabla1[[#This Row],[PRECIO $]]*1.18</f>
        <v>1248.3456000000001</v>
      </c>
      <c r="J921" s="7">
        <f>+Tabla1[[#This Row],[PRECIO EN SOLES]]-Tabla1[[#This Row],[PC]]</f>
        <v>143.83439999999996</v>
      </c>
      <c r="K921" s="15"/>
      <c r="L921" s="15" t="str">
        <f>IF(
OR(
ISNUMBER(SEARCH("BACKPACK",B923)),
ISNUMBER(SEARCH("MOCHILA",B923)),
ISNUMBER(SEARCH("FUNDA",B923)),
ISNUMBER(SEARCH("ESTUCHE",B923)),
ISNUMBER(SEARCH("BOOK COVER",B923)),
ISNUMBER(SEARCH("KEYBOARD PARA TABLET",B923)),
ISNUMBER(SEARCH("FLIP TABLET",B923)),
ISNUMBER(SEARCH("CASE FOR TABLET",B923)),
ISNUMBER(SEARCH("CABLE",B923)),
ISNUMBER(SEARCH("ADAPTADOR",B923)),
ISNUMBER(SEARCH("HUB",B923)),
ISNUMBER(SEARCH("DOCK",B923)),
ISNUMBER(SEARCH("MOUSE PAD",B923)),
ISNUMBER(SEARCH("MOUSEPAD",B923)),
ISNUMBER(SEARCH("SOPORTE",B923)),
ISNUMBER(SEARCH("STAND",B923)),
ISNUMBER(SEARCH("TRAVEL ADAPTER",B923)),
ISNUMBER(SEARCH("RJ45",B923)),
ISNUMBER(SEARCH("USB-C",B923)),
ISNUMBER(SEARCH("USB WIFI",B923)),
ISNUMBER(SEARCH("POWERBANK",B923)),
ISNUMBER(SEARCH("CARGADOR",B923)),
ISNUMBER(SEARCH("COOLER PARA NB",B923)),
ISNUMBER(SEARCH("SOPORTE PARA NB",B923)),
ISNUMBER(SEARCH("WEBCAM",B923)),
ISNUMBER(SEARCH("WEB CAM",B923)),
ISNUMBER(SEARCH("MOUSE",B923)),
ISNUMBER(SEARCH("TECLADO",B923))
),
"COMPLEMENTO",
IF(
OR(
LEFT(A923,2)="NB",
LEFT(A923,2)="PC",
LEFT(A923,2)="WS",
LEFT(A923,2)="TB",
LEFT(A923,3)="CEL",
LEFT(A923,3)="MON",
LEFT(A923,3)="PRE",
LEFT(A923,3)="PRH",
ISNUMBER(SEARCH("NOTEBOOK",B923)),
ISNUMBER(SEARCH("LAPTOP",B923)),
ISNUMBER(SEARCH("MONITOR",B923)),
ISNUMBER(SEARCH("TABLET",B923)),
ISNUMBER(SEARCH("SMARTPH",B923)),
ISNUMBER(SEARCH("IMPRESORA",B923)),
ISNUMBER(SEARCH("MULTIFUNCIONAL",B923)),
ISNUMBER(SEARCH("AIO",B923))
),
"GANCHO",
"NORMAL"
)
)</f>
        <v>GANCHO</v>
      </c>
    </row>
    <row r="922" spans="1:12" x14ac:dyDescent="0.25">
      <c r="A922" s="3" t="s">
        <v>4641</v>
      </c>
      <c r="B922" s="3" t="s">
        <v>4642</v>
      </c>
      <c r="C922" s="1">
        <v>20</v>
      </c>
      <c r="D922" s="1">
        <v>237</v>
      </c>
      <c r="E922" s="1" t="s">
        <v>837</v>
      </c>
      <c r="F922" s="1" t="s">
        <v>4643</v>
      </c>
      <c r="G922" s="3" t="s">
        <v>4644</v>
      </c>
      <c r="H922" s="11">
        <f>ROUND(
IF(L920="GANCHO",
   IF(I922&lt;=50,I922*1.1+4,IF(I922&lt;=120,I922*1.1+7,IF(I922&lt;=250,I922*1.1+11,I922*1.1+19))),
IF(L920="NORMAL",
   IF(I922&lt;=30,I922*1.15+2,IF(I922&lt;=80,I922*1.15+4,IF(I922&lt;=150,I922*1.15+6,I922*1.15+8))),
IF(L920="COMPLEMENTO",
   IF(I922&lt;=25,I922*1.25+1.5,IF(I922&lt;=60,I922*1.25+3,IF(I922&lt;=120,I922*1.25+4,I922*1.25+5))),
""))),2)</f>
        <v>1089.54</v>
      </c>
      <c r="I922" s="9">
        <f>($K$2+0.02)*Tabla1[[#This Row],[PRECIO $]]*1.18</f>
        <v>973.21679999999992</v>
      </c>
      <c r="J922" s="7">
        <f>+Tabla1[[#This Row],[PRECIO EN SOLES]]-Tabla1[[#This Row],[PC]]</f>
        <v>116.32320000000004</v>
      </c>
      <c r="K922" s="15"/>
      <c r="L922" s="15" t="str">
        <f>IF(
OR(
ISNUMBER(SEARCH("BACKPACK",B924)),
ISNUMBER(SEARCH("MOCHILA",B924)),
ISNUMBER(SEARCH("FUNDA",B924)),
ISNUMBER(SEARCH("ESTUCHE",B924)),
ISNUMBER(SEARCH("BOOK COVER",B924)),
ISNUMBER(SEARCH("KEYBOARD PARA TABLET",B924)),
ISNUMBER(SEARCH("FLIP TABLET",B924)),
ISNUMBER(SEARCH("CASE FOR TABLET",B924)),
ISNUMBER(SEARCH("CABLE",B924)),
ISNUMBER(SEARCH("ADAPTADOR",B924)),
ISNUMBER(SEARCH("HUB",B924)),
ISNUMBER(SEARCH("DOCK",B924)),
ISNUMBER(SEARCH("MOUSE PAD",B924)),
ISNUMBER(SEARCH("MOUSEPAD",B924)),
ISNUMBER(SEARCH("SOPORTE",B924)),
ISNUMBER(SEARCH("STAND",B924)),
ISNUMBER(SEARCH("TRAVEL ADAPTER",B924)),
ISNUMBER(SEARCH("RJ45",B924)),
ISNUMBER(SEARCH("USB-C",B924)),
ISNUMBER(SEARCH("USB WIFI",B924)),
ISNUMBER(SEARCH("POWERBANK",B924)),
ISNUMBER(SEARCH("CARGADOR",B924)),
ISNUMBER(SEARCH("COOLER PARA NB",B924)),
ISNUMBER(SEARCH("SOPORTE PARA NB",B924)),
ISNUMBER(SEARCH("WEBCAM",B924)),
ISNUMBER(SEARCH("WEB CAM",B924)),
ISNUMBER(SEARCH("MOUSE",B924)),
ISNUMBER(SEARCH("TECLADO",B924))
),
"COMPLEMENTO",
IF(
OR(
LEFT(A924,2)="NB",
LEFT(A924,2)="PC",
LEFT(A924,2)="WS",
LEFT(A924,2)="TB",
LEFT(A924,3)="CEL",
LEFT(A924,3)="MON",
LEFT(A924,3)="PRE",
LEFT(A924,3)="PRH",
ISNUMBER(SEARCH("NOTEBOOK",B924)),
ISNUMBER(SEARCH("LAPTOP",B924)),
ISNUMBER(SEARCH("MONITOR",B924)),
ISNUMBER(SEARCH("TABLET",B924)),
ISNUMBER(SEARCH("SMARTPH",B924)),
ISNUMBER(SEARCH("IMPRESORA",B924)),
ISNUMBER(SEARCH("MULTIFUNCIONAL",B924)),
ISNUMBER(SEARCH("AIO",B924))
),
"GANCHO",
"NORMAL"
)
)</f>
        <v>GANCHO</v>
      </c>
    </row>
    <row r="923" spans="1:12" x14ac:dyDescent="0.25">
      <c r="A923" s="3" t="s">
        <v>6036</v>
      </c>
      <c r="B923" s="3" t="s">
        <v>6037</v>
      </c>
      <c r="C923" s="1">
        <v>20</v>
      </c>
      <c r="D923" s="1">
        <v>88.9</v>
      </c>
      <c r="E923" s="1" t="s">
        <v>837</v>
      </c>
      <c r="F923" s="1" t="s">
        <v>6038</v>
      </c>
      <c r="G923" s="3" t="s">
        <v>6039</v>
      </c>
      <c r="H923" s="11">
        <f>ROUND(
IF(L921="GANCHO",
   IF(I923&lt;=50,I923*1.1+4,IF(I923&lt;=120,I923*1.1+7,IF(I923&lt;=250,I923*1.1+11,I923*1.1+19))),
IF(L921="NORMAL",
   IF(I923&lt;=30,I923*1.15+2,IF(I923&lt;=80,I923*1.15+4,IF(I923&lt;=150,I923*1.15+6,I923*1.15+8))),
IF(L921="COMPLEMENTO",
   IF(I923&lt;=25,I923*1.25+1.5,IF(I923&lt;=60,I923*1.25+3,IF(I923&lt;=120,I923*1.25+4,I923*1.25+5))),
""))),2)</f>
        <v>420.56</v>
      </c>
      <c r="I923" s="9">
        <f>($K$2+0.02)*Tabla1[[#This Row],[PRECIO $]]*1.18</f>
        <v>365.05896000000001</v>
      </c>
      <c r="J923" s="7">
        <f>+Tabla1[[#This Row],[PRECIO EN SOLES]]-Tabla1[[#This Row],[PC]]</f>
        <v>55.501039999999989</v>
      </c>
      <c r="K923" s="15"/>
      <c r="L923" s="15" t="str">
        <f>IF(
OR(
ISNUMBER(SEARCH("BACKPACK",B925)),
ISNUMBER(SEARCH("MOCHILA",B925)),
ISNUMBER(SEARCH("FUNDA",B925)),
ISNUMBER(SEARCH("ESTUCHE",B925)),
ISNUMBER(SEARCH("BOOK COVER",B925)),
ISNUMBER(SEARCH("KEYBOARD PARA TABLET",B925)),
ISNUMBER(SEARCH("FLIP TABLET",B925)),
ISNUMBER(SEARCH("CASE FOR TABLET",B925)),
ISNUMBER(SEARCH("CABLE",B925)),
ISNUMBER(SEARCH("ADAPTADOR",B925)),
ISNUMBER(SEARCH("HUB",B925)),
ISNUMBER(SEARCH("DOCK",B925)),
ISNUMBER(SEARCH("MOUSE PAD",B925)),
ISNUMBER(SEARCH("MOUSEPAD",B925)),
ISNUMBER(SEARCH("SOPORTE",B925)),
ISNUMBER(SEARCH("STAND",B925)),
ISNUMBER(SEARCH("TRAVEL ADAPTER",B925)),
ISNUMBER(SEARCH("RJ45",B925)),
ISNUMBER(SEARCH("USB-C",B925)),
ISNUMBER(SEARCH("USB WIFI",B925)),
ISNUMBER(SEARCH("POWERBANK",B925)),
ISNUMBER(SEARCH("CARGADOR",B925)),
ISNUMBER(SEARCH("COOLER PARA NB",B925)),
ISNUMBER(SEARCH("SOPORTE PARA NB",B925)),
ISNUMBER(SEARCH("WEBCAM",B925)),
ISNUMBER(SEARCH("WEB CAM",B925)),
ISNUMBER(SEARCH("MOUSE",B925)),
ISNUMBER(SEARCH("TECLADO",B925))
),
"COMPLEMENTO",
IF(
OR(
LEFT(A925,2)="NB",
LEFT(A925,2)="PC",
LEFT(A925,2)="WS",
LEFT(A925,2)="TB",
LEFT(A925,3)="CEL",
LEFT(A925,3)="MON",
LEFT(A925,3)="PRE",
LEFT(A925,3)="PRH",
ISNUMBER(SEARCH("NOTEBOOK",B925)),
ISNUMBER(SEARCH("LAPTOP",B925)),
ISNUMBER(SEARCH("MONITOR",B925)),
ISNUMBER(SEARCH("TABLET",B925)),
ISNUMBER(SEARCH("SMARTPH",B925)),
ISNUMBER(SEARCH("IMPRESORA",B925)),
ISNUMBER(SEARCH("MULTIFUNCIONAL",B925)),
ISNUMBER(SEARCH("AIO",B925))
),
"GANCHO",
"NORMAL"
)
)</f>
        <v>GANCHO</v>
      </c>
    </row>
    <row r="924" spans="1:12" x14ac:dyDescent="0.25">
      <c r="A924" s="3" t="s">
        <v>4645</v>
      </c>
      <c r="B924" s="3" t="s">
        <v>4646</v>
      </c>
      <c r="C924" s="1">
        <v>0</v>
      </c>
      <c r="D924" s="1">
        <v>130</v>
      </c>
      <c r="E924" s="1" t="s">
        <v>837</v>
      </c>
      <c r="F924" s="1" t="s">
        <v>4647</v>
      </c>
      <c r="G924" s="3" t="s">
        <v>4648</v>
      </c>
      <c r="H924" s="11">
        <f>ROUND(
IF(L922="GANCHO",
   IF(I924&lt;=50,I924*1.1+4,IF(I924&lt;=120,I924*1.1+7,IF(I924&lt;=250,I924*1.1+11,I924*1.1+19))),
IF(L922="NORMAL",
   IF(I924&lt;=30,I924*1.15+2,IF(I924&lt;=80,I924*1.15+4,IF(I924&lt;=150,I924*1.15+6,I924*1.15+8))),
IF(L922="COMPLEMENTO",
   IF(I924&lt;=25,I924*1.25+1.5,IF(I924&lt;=60,I924*1.25+3,IF(I924&lt;=120,I924*1.25+4,I924*1.25+5))),
""))),2)</f>
        <v>606.22</v>
      </c>
      <c r="I924" s="9">
        <f>($K$2+0.02)*Tabla1[[#This Row],[PRECIO $]]*1.18</f>
        <v>533.83199999999999</v>
      </c>
      <c r="J924" s="7">
        <f>+Tabla1[[#This Row],[PRECIO EN SOLES]]-Tabla1[[#This Row],[PC]]</f>
        <v>72.388000000000034</v>
      </c>
      <c r="K924" s="15"/>
      <c r="L924" s="15" t="str">
        <f>IF(
OR(
ISNUMBER(SEARCH("BACKPACK",B926)),
ISNUMBER(SEARCH("MOCHILA",B926)),
ISNUMBER(SEARCH("FUNDA",B926)),
ISNUMBER(SEARCH("ESTUCHE",B926)),
ISNUMBER(SEARCH("BOOK COVER",B926)),
ISNUMBER(SEARCH("KEYBOARD PARA TABLET",B926)),
ISNUMBER(SEARCH("FLIP TABLET",B926)),
ISNUMBER(SEARCH("CASE FOR TABLET",B926)),
ISNUMBER(SEARCH("CABLE",B926)),
ISNUMBER(SEARCH("ADAPTADOR",B926)),
ISNUMBER(SEARCH("HUB",B926)),
ISNUMBER(SEARCH("DOCK",B926)),
ISNUMBER(SEARCH("MOUSE PAD",B926)),
ISNUMBER(SEARCH("MOUSEPAD",B926)),
ISNUMBER(SEARCH("SOPORTE",B926)),
ISNUMBER(SEARCH("STAND",B926)),
ISNUMBER(SEARCH("TRAVEL ADAPTER",B926)),
ISNUMBER(SEARCH("RJ45",B926)),
ISNUMBER(SEARCH("USB-C",B926)),
ISNUMBER(SEARCH("USB WIFI",B926)),
ISNUMBER(SEARCH("POWERBANK",B926)),
ISNUMBER(SEARCH("CARGADOR",B926)),
ISNUMBER(SEARCH("COOLER PARA NB",B926)),
ISNUMBER(SEARCH("SOPORTE PARA NB",B926)),
ISNUMBER(SEARCH("WEBCAM",B926)),
ISNUMBER(SEARCH("WEB CAM",B926)),
ISNUMBER(SEARCH("MOUSE",B926)),
ISNUMBER(SEARCH("TECLADO",B926))
),
"COMPLEMENTO",
IF(
OR(
LEFT(A926,2)="NB",
LEFT(A926,2)="PC",
LEFT(A926,2)="WS",
LEFT(A926,2)="TB",
LEFT(A926,3)="CEL",
LEFT(A926,3)="MON",
LEFT(A926,3)="PRE",
LEFT(A926,3)="PRH",
ISNUMBER(SEARCH("NOTEBOOK",B926)),
ISNUMBER(SEARCH("LAPTOP",B926)),
ISNUMBER(SEARCH("MONITOR",B926)),
ISNUMBER(SEARCH("TABLET",B926)),
ISNUMBER(SEARCH("SMARTPH",B926)),
ISNUMBER(SEARCH("IMPRESORA",B926)),
ISNUMBER(SEARCH("MULTIFUNCIONAL",B926)),
ISNUMBER(SEARCH("AIO",B926))
),
"GANCHO",
"NORMAL"
)
)</f>
        <v>GANCHO</v>
      </c>
    </row>
    <row r="925" spans="1:12" x14ac:dyDescent="0.25">
      <c r="A925" s="3" t="s">
        <v>6789</v>
      </c>
      <c r="B925" s="3" t="s">
        <v>6790</v>
      </c>
      <c r="C925" s="1">
        <v>18</v>
      </c>
      <c r="D925" s="1">
        <v>108.1</v>
      </c>
      <c r="E925" s="1" t="s">
        <v>74</v>
      </c>
      <c r="F925" s="1" t="s">
        <v>6791</v>
      </c>
      <c r="G925" s="3" t="s">
        <v>6792</v>
      </c>
      <c r="H925" s="11">
        <f>ROUND(
IF(L923="GANCHO",
   IF(I925&lt;=50,I925*1.1+4,IF(I925&lt;=120,I925*1.1+7,IF(I925&lt;=250,I925*1.1+11,I925*1.1+19))),
IF(L923="NORMAL",
   IF(I925&lt;=30,I925*1.15+2,IF(I925&lt;=80,I925*1.15+4,IF(I925&lt;=150,I925*1.15+6,I925*1.15+8))),
IF(L923="COMPLEMENTO",
   IF(I925&lt;=25,I925*1.25+1.5,IF(I925&lt;=60,I925*1.25+3,IF(I925&lt;=120,I925*1.25+4,I925*1.25+5))),
""))),2)</f>
        <v>507.29</v>
      </c>
      <c r="I925" s="9">
        <f>($K$2+0.02)*Tabla1[[#This Row],[PRECIO $]]*1.18</f>
        <v>443.90183999999994</v>
      </c>
      <c r="J925" s="7">
        <f>+Tabla1[[#This Row],[PRECIO EN SOLES]]-Tabla1[[#This Row],[PC]]</f>
        <v>63.388160000000084</v>
      </c>
      <c r="K925" s="15"/>
      <c r="L925" s="15" t="str">
        <f>IF(
OR(
ISNUMBER(SEARCH("BACKPACK",B927)),
ISNUMBER(SEARCH("MOCHILA",B927)),
ISNUMBER(SEARCH("FUNDA",B927)),
ISNUMBER(SEARCH("ESTUCHE",B927)),
ISNUMBER(SEARCH("BOOK COVER",B927)),
ISNUMBER(SEARCH("KEYBOARD PARA TABLET",B927)),
ISNUMBER(SEARCH("FLIP TABLET",B927)),
ISNUMBER(SEARCH("CASE FOR TABLET",B927)),
ISNUMBER(SEARCH("CABLE",B927)),
ISNUMBER(SEARCH("ADAPTADOR",B927)),
ISNUMBER(SEARCH("HUB",B927)),
ISNUMBER(SEARCH("DOCK",B927)),
ISNUMBER(SEARCH("MOUSE PAD",B927)),
ISNUMBER(SEARCH("MOUSEPAD",B927)),
ISNUMBER(SEARCH("SOPORTE",B927)),
ISNUMBER(SEARCH("STAND",B927)),
ISNUMBER(SEARCH("TRAVEL ADAPTER",B927)),
ISNUMBER(SEARCH("RJ45",B927)),
ISNUMBER(SEARCH("USB-C",B927)),
ISNUMBER(SEARCH("USB WIFI",B927)),
ISNUMBER(SEARCH("POWERBANK",B927)),
ISNUMBER(SEARCH("CARGADOR",B927)),
ISNUMBER(SEARCH("COOLER PARA NB",B927)),
ISNUMBER(SEARCH("SOPORTE PARA NB",B927)),
ISNUMBER(SEARCH("WEBCAM",B927)),
ISNUMBER(SEARCH("WEB CAM",B927)),
ISNUMBER(SEARCH("MOUSE",B927)),
ISNUMBER(SEARCH("TECLADO",B927))
),
"COMPLEMENTO",
IF(
OR(
LEFT(A927,2)="NB",
LEFT(A927,2)="PC",
LEFT(A927,2)="WS",
LEFT(A927,2)="TB",
LEFT(A927,3)="CEL",
LEFT(A927,3)="MON",
LEFT(A927,3)="PRE",
LEFT(A927,3)="PRH",
ISNUMBER(SEARCH("NOTEBOOK",B927)),
ISNUMBER(SEARCH("LAPTOP",B927)),
ISNUMBER(SEARCH("MONITOR",B927)),
ISNUMBER(SEARCH("TABLET",B927)),
ISNUMBER(SEARCH("SMARTPH",B927)),
ISNUMBER(SEARCH("IMPRESORA",B927)),
ISNUMBER(SEARCH("MULTIFUNCIONAL",B927)),
ISNUMBER(SEARCH("AIO",B927))
),
"GANCHO",
"NORMAL"
)
)</f>
        <v>NORMAL</v>
      </c>
    </row>
    <row r="926" spans="1:12" x14ac:dyDescent="0.25">
      <c r="A926" s="3" t="s">
        <v>6793</v>
      </c>
      <c r="B926" s="3" t="s">
        <v>6794</v>
      </c>
      <c r="C926" s="1">
        <v>20</v>
      </c>
      <c r="D926" s="1">
        <v>92</v>
      </c>
      <c r="E926" s="1" t="s">
        <v>74</v>
      </c>
      <c r="F926" s="1" t="s">
        <v>6795</v>
      </c>
      <c r="G926" s="3" t="s">
        <v>6796</v>
      </c>
      <c r="H926" s="11">
        <f>ROUND(
IF(L924="GANCHO",
   IF(I926&lt;=50,I926*1.1+4,IF(I926&lt;=120,I926*1.1+7,IF(I926&lt;=250,I926*1.1+11,I926*1.1+19))),
IF(L924="NORMAL",
   IF(I926&lt;=30,I926*1.15+2,IF(I926&lt;=80,I926*1.15+4,IF(I926&lt;=150,I926*1.15+6,I926*1.15+8))),
IF(L924="COMPLEMENTO",
   IF(I926&lt;=25,I926*1.25+1.5,IF(I926&lt;=60,I926*1.25+3,IF(I926&lt;=120,I926*1.25+4,I926*1.25+5))),
""))),2)</f>
        <v>434.57</v>
      </c>
      <c r="I926" s="9">
        <f>($K$2+0.02)*Tabla1[[#This Row],[PRECIO $]]*1.18</f>
        <v>377.78880000000004</v>
      </c>
      <c r="J926" s="7">
        <f>+Tabla1[[#This Row],[PRECIO EN SOLES]]-Tabla1[[#This Row],[PC]]</f>
        <v>56.781199999999956</v>
      </c>
      <c r="K926" s="15"/>
      <c r="L926" s="15" t="str">
        <f>IF(
OR(
ISNUMBER(SEARCH("BACKPACK",B928)),
ISNUMBER(SEARCH("MOCHILA",B928)),
ISNUMBER(SEARCH("FUNDA",B928)),
ISNUMBER(SEARCH("ESTUCHE",B928)),
ISNUMBER(SEARCH("BOOK COVER",B928)),
ISNUMBER(SEARCH("KEYBOARD PARA TABLET",B928)),
ISNUMBER(SEARCH("FLIP TABLET",B928)),
ISNUMBER(SEARCH("CASE FOR TABLET",B928)),
ISNUMBER(SEARCH("CABLE",B928)),
ISNUMBER(SEARCH("ADAPTADOR",B928)),
ISNUMBER(SEARCH("HUB",B928)),
ISNUMBER(SEARCH("DOCK",B928)),
ISNUMBER(SEARCH("MOUSE PAD",B928)),
ISNUMBER(SEARCH("MOUSEPAD",B928)),
ISNUMBER(SEARCH("SOPORTE",B928)),
ISNUMBER(SEARCH("STAND",B928)),
ISNUMBER(SEARCH("TRAVEL ADAPTER",B928)),
ISNUMBER(SEARCH("RJ45",B928)),
ISNUMBER(SEARCH("USB-C",B928)),
ISNUMBER(SEARCH("USB WIFI",B928)),
ISNUMBER(SEARCH("POWERBANK",B928)),
ISNUMBER(SEARCH("CARGADOR",B928)),
ISNUMBER(SEARCH("COOLER PARA NB",B928)),
ISNUMBER(SEARCH("SOPORTE PARA NB",B928)),
ISNUMBER(SEARCH("WEBCAM",B928)),
ISNUMBER(SEARCH("WEB CAM",B928)),
ISNUMBER(SEARCH("MOUSE",B928)),
ISNUMBER(SEARCH("TECLADO",B928))
),
"COMPLEMENTO",
IF(
OR(
LEFT(A928,2)="NB",
LEFT(A928,2)="PC",
LEFT(A928,2)="WS",
LEFT(A928,2)="TB",
LEFT(A928,3)="CEL",
LEFT(A928,3)="MON",
LEFT(A928,3)="PRE",
LEFT(A928,3)="PRH",
ISNUMBER(SEARCH("NOTEBOOK",B928)),
ISNUMBER(SEARCH("LAPTOP",B928)),
ISNUMBER(SEARCH("MONITOR",B928)),
ISNUMBER(SEARCH("TABLET",B928)),
ISNUMBER(SEARCH("SMARTPH",B928)),
ISNUMBER(SEARCH("IMPRESORA",B928)),
ISNUMBER(SEARCH("MULTIFUNCIONAL",B928)),
ISNUMBER(SEARCH("AIO",B928))
),
"GANCHO",
"NORMAL"
)
)</f>
        <v>GANCHO</v>
      </c>
    </row>
    <row r="927" spans="1:12" x14ac:dyDescent="0.25">
      <c r="A927" s="3" t="s">
        <v>1651</v>
      </c>
      <c r="B927" s="3" t="s">
        <v>1652</v>
      </c>
      <c r="C927" s="1">
        <v>3</v>
      </c>
      <c r="D927" s="1">
        <v>580</v>
      </c>
      <c r="E927" s="1" t="s">
        <v>121</v>
      </c>
      <c r="F927" s="1" t="s">
        <v>3586</v>
      </c>
      <c r="G927" s="3" t="s">
        <v>1653</v>
      </c>
      <c r="H927" s="11">
        <f>ROUND(
IF(L925="GANCHO",
   IF(I927&lt;=50,I927*1.1+4,IF(I927&lt;=120,I927*1.1+7,IF(I927&lt;=250,I927*1.1+11,I927*1.1+19))),
IF(L925="NORMAL",
   IF(I927&lt;=30,I927*1.15+2,IF(I927&lt;=80,I927*1.15+4,IF(I927&lt;=150,I927*1.15+6,I927*1.15+8))),
IF(L925="COMPLEMENTO",
   IF(I927&lt;=25,I927*1.25+1.5,IF(I927&lt;=60,I927*1.25+3,IF(I927&lt;=120,I927*1.25+4,I927*1.25+5))),
""))),2)</f>
        <v>2746.97</v>
      </c>
      <c r="I927" s="9">
        <f>($K$2+0.02)*Tabla1[[#This Row],[PRECIO $]]*1.18</f>
        <v>2381.712</v>
      </c>
      <c r="J927" s="7">
        <f>+Tabla1[[#This Row],[PRECIO EN SOLES]]-Tabla1[[#This Row],[PC]]</f>
        <v>365.25799999999981</v>
      </c>
      <c r="K927" s="15"/>
      <c r="L927" s="15" t="str">
        <f>IF(
OR(
ISNUMBER(SEARCH("BACKPACK",B929)),
ISNUMBER(SEARCH("MOCHILA",B929)),
ISNUMBER(SEARCH("FUNDA",B929)),
ISNUMBER(SEARCH("ESTUCHE",B929)),
ISNUMBER(SEARCH("BOOK COVER",B929)),
ISNUMBER(SEARCH("KEYBOARD PARA TABLET",B929)),
ISNUMBER(SEARCH("FLIP TABLET",B929)),
ISNUMBER(SEARCH("CASE FOR TABLET",B929)),
ISNUMBER(SEARCH("CABLE",B929)),
ISNUMBER(SEARCH("ADAPTADOR",B929)),
ISNUMBER(SEARCH("HUB",B929)),
ISNUMBER(SEARCH("DOCK",B929)),
ISNUMBER(SEARCH("MOUSE PAD",B929)),
ISNUMBER(SEARCH("MOUSEPAD",B929)),
ISNUMBER(SEARCH("SOPORTE",B929)),
ISNUMBER(SEARCH("STAND",B929)),
ISNUMBER(SEARCH("TRAVEL ADAPTER",B929)),
ISNUMBER(SEARCH("RJ45",B929)),
ISNUMBER(SEARCH("USB-C",B929)),
ISNUMBER(SEARCH("USB WIFI",B929)),
ISNUMBER(SEARCH("POWERBANK",B929)),
ISNUMBER(SEARCH("CARGADOR",B929)),
ISNUMBER(SEARCH("COOLER PARA NB",B929)),
ISNUMBER(SEARCH("SOPORTE PARA NB",B929)),
ISNUMBER(SEARCH("WEBCAM",B929)),
ISNUMBER(SEARCH("WEB CAM",B929)),
ISNUMBER(SEARCH("MOUSE",B929)),
ISNUMBER(SEARCH("TECLADO",B929))
),
"COMPLEMENTO",
IF(
OR(
LEFT(A929,2)="NB",
LEFT(A929,2)="PC",
LEFT(A929,2)="WS",
LEFT(A929,2)="TB",
LEFT(A929,3)="CEL",
LEFT(A929,3)="MON",
LEFT(A929,3)="PRE",
LEFT(A929,3)="PRH",
ISNUMBER(SEARCH("NOTEBOOK",B929)),
ISNUMBER(SEARCH("LAPTOP",B929)),
ISNUMBER(SEARCH("MONITOR",B929)),
ISNUMBER(SEARCH("TABLET",B929)),
ISNUMBER(SEARCH("SMARTPH",B929)),
ISNUMBER(SEARCH("IMPRESORA",B929)),
ISNUMBER(SEARCH("MULTIFUNCIONAL",B929)),
ISNUMBER(SEARCH("AIO",B929))
),
"GANCHO",
"NORMAL"
)
)</f>
        <v>GANCHO</v>
      </c>
    </row>
    <row r="928" spans="1:12" x14ac:dyDescent="0.25">
      <c r="A928" s="3" t="s">
        <v>1654</v>
      </c>
      <c r="B928" s="3" t="s">
        <v>1655</v>
      </c>
      <c r="C928" s="1">
        <v>20</v>
      </c>
      <c r="D928" s="1">
        <v>97</v>
      </c>
      <c r="E928" s="1" t="s">
        <v>54</v>
      </c>
      <c r="F928" s="1" t="s">
        <v>3587</v>
      </c>
      <c r="G928" s="3" t="s">
        <v>1656</v>
      </c>
      <c r="H928" s="11">
        <f>ROUND(
IF(L926="GANCHO",
   IF(I928&lt;=50,I928*1.1+4,IF(I928&lt;=120,I928*1.1+7,IF(I928&lt;=250,I928*1.1+11,I928*1.1+19))),
IF(L926="NORMAL",
   IF(I928&lt;=30,I928*1.15+2,IF(I928&lt;=80,I928*1.15+4,IF(I928&lt;=150,I928*1.15+6,I928*1.15+8))),
IF(L926="COMPLEMENTO",
   IF(I928&lt;=25,I928*1.25+1.5,IF(I928&lt;=60,I928*1.25+3,IF(I928&lt;=120,I928*1.25+4,I928*1.25+5))),
""))),2)</f>
        <v>457.15</v>
      </c>
      <c r="I928" s="9">
        <f>($K$2+0.02)*Tabla1[[#This Row],[PRECIO $]]*1.18</f>
        <v>398.32079999999996</v>
      </c>
      <c r="J928" s="7">
        <f>+Tabla1[[#This Row],[PRECIO EN SOLES]]-Tabla1[[#This Row],[PC]]</f>
        <v>58.829200000000014</v>
      </c>
      <c r="K928" s="15"/>
      <c r="L928" s="15" t="str">
        <f>IF(
OR(
ISNUMBER(SEARCH("BACKPACK",B930)),
ISNUMBER(SEARCH("MOCHILA",B930)),
ISNUMBER(SEARCH("FUNDA",B930)),
ISNUMBER(SEARCH("ESTUCHE",B930)),
ISNUMBER(SEARCH("BOOK COVER",B930)),
ISNUMBER(SEARCH("KEYBOARD PARA TABLET",B930)),
ISNUMBER(SEARCH("FLIP TABLET",B930)),
ISNUMBER(SEARCH("CASE FOR TABLET",B930)),
ISNUMBER(SEARCH("CABLE",B930)),
ISNUMBER(SEARCH("ADAPTADOR",B930)),
ISNUMBER(SEARCH("HUB",B930)),
ISNUMBER(SEARCH("DOCK",B930)),
ISNUMBER(SEARCH("MOUSE PAD",B930)),
ISNUMBER(SEARCH("MOUSEPAD",B930)),
ISNUMBER(SEARCH("SOPORTE",B930)),
ISNUMBER(SEARCH("STAND",B930)),
ISNUMBER(SEARCH("TRAVEL ADAPTER",B930)),
ISNUMBER(SEARCH("RJ45",B930)),
ISNUMBER(SEARCH("USB-C",B930)),
ISNUMBER(SEARCH("USB WIFI",B930)),
ISNUMBER(SEARCH("POWERBANK",B930)),
ISNUMBER(SEARCH("CARGADOR",B930)),
ISNUMBER(SEARCH("COOLER PARA NB",B930)),
ISNUMBER(SEARCH("SOPORTE PARA NB",B930)),
ISNUMBER(SEARCH("WEBCAM",B930)),
ISNUMBER(SEARCH("WEB CAM",B930)),
ISNUMBER(SEARCH("MOUSE",B930)),
ISNUMBER(SEARCH("TECLADO",B930))
),
"COMPLEMENTO",
IF(
OR(
LEFT(A930,2)="NB",
LEFT(A930,2)="PC",
LEFT(A930,2)="WS",
LEFT(A930,2)="TB",
LEFT(A930,3)="CEL",
LEFT(A930,3)="MON",
LEFT(A930,3)="PRE",
LEFT(A930,3)="PRH",
ISNUMBER(SEARCH("NOTEBOOK",B930)),
ISNUMBER(SEARCH("LAPTOP",B930)),
ISNUMBER(SEARCH("MONITOR",B930)),
ISNUMBER(SEARCH("TABLET",B930)),
ISNUMBER(SEARCH("SMARTPH",B930)),
ISNUMBER(SEARCH("IMPRESORA",B930)),
ISNUMBER(SEARCH("MULTIFUNCIONAL",B930)),
ISNUMBER(SEARCH("AIO",B930))
),
"GANCHO",
"NORMAL"
)
)</f>
        <v>GANCHO</v>
      </c>
    </row>
    <row r="929" spans="1:12" x14ac:dyDescent="0.25">
      <c r="A929" s="3" t="s">
        <v>6542</v>
      </c>
      <c r="B929" s="3" t="s">
        <v>6543</v>
      </c>
      <c r="C929" s="1">
        <v>20</v>
      </c>
      <c r="D929" s="1">
        <v>101</v>
      </c>
      <c r="E929" s="1" t="s">
        <v>52</v>
      </c>
      <c r="F929" s="1" t="s">
        <v>6544</v>
      </c>
      <c r="G929" s="3" t="s">
        <v>6545</v>
      </c>
      <c r="H929" s="11">
        <f>ROUND(
IF(L927="GANCHO",
   IF(I929&lt;=50,I929*1.1+4,IF(I929&lt;=120,I929*1.1+7,IF(I929&lt;=250,I929*1.1+11,I929*1.1+19))),
IF(L927="NORMAL",
   IF(I929&lt;=30,I929*1.15+2,IF(I929&lt;=80,I929*1.15+4,IF(I929&lt;=150,I929*1.15+6,I929*1.15+8))),
IF(L927="COMPLEMENTO",
   IF(I929&lt;=25,I929*1.25+1.5,IF(I929&lt;=60,I929*1.25+3,IF(I929&lt;=120,I929*1.25+4,I929*1.25+5))),
""))),2)</f>
        <v>475.22</v>
      </c>
      <c r="I929" s="9">
        <f>($K$2+0.02)*Tabla1[[#This Row],[PRECIO $]]*1.18</f>
        <v>414.74639999999999</v>
      </c>
      <c r="J929" s="7">
        <f>+Tabla1[[#This Row],[PRECIO EN SOLES]]-Tabla1[[#This Row],[PC]]</f>
        <v>60.473600000000033</v>
      </c>
      <c r="K929" s="15"/>
      <c r="L929" s="15" t="str">
        <f>IF(
OR(
ISNUMBER(SEARCH("BACKPACK",B931)),
ISNUMBER(SEARCH("MOCHILA",B931)),
ISNUMBER(SEARCH("FUNDA",B931)),
ISNUMBER(SEARCH("ESTUCHE",B931)),
ISNUMBER(SEARCH("BOOK COVER",B931)),
ISNUMBER(SEARCH("KEYBOARD PARA TABLET",B931)),
ISNUMBER(SEARCH("FLIP TABLET",B931)),
ISNUMBER(SEARCH("CASE FOR TABLET",B931)),
ISNUMBER(SEARCH("CABLE",B931)),
ISNUMBER(SEARCH("ADAPTADOR",B931)),
ISNUMBER(SEARCH("HUB",B931)),
ISNUMBER(SEARCH("DOCK",B931)),
ISNUMBER(SEARCH("MOUSE PAD",B931)),
ISNUMBER(SEARCH("MOUSEPAD",B931)),
ISNUMBER(SEARCH("SOPORTE",B931)),
ISNUMBER(SEARCH("STAND",B931)),
ISNUMBER(SEARCH("TRAVEL ADAPTER",B931)),
ISNUMBER(SEARCH("RJ45",B931)),
ISNUMBER(SEARCH("USB-C",B931)),
ISNUMBER(SEARCH("USB WIFI",B931)),
ISNUMBER(SEARCH("POWERBANK",B931)),
ISNUMBER(SEARCH("CARGADOR",B931)),
ISNUMBER(SEARCH("COOLER PARA NB",B931)),
ISNUMBER(SEARCH("SOPORTE PARA NB",B931)),
ISNUMBER(SEARCH("WEBCAM",B931)),
ISNUMBER(SEARCH("WEB CAM",B931)),
ISNUMBER(SEARCH("MOUSE",B931)),
ISNUMBER(SEARCH("TECLADO",B931))
),
"COMPLEMENTO",
IF(
OR(
LEFT(A931,2)="NB",
LEFT(A931,2)="PC",
LEFT(A931,2)="WS",
LEFT(A931,2)="TB",
LEFT(A931,3)="CEL",
LEFT(A931,3)="MON",
LEFT(A931,3)="PRE",
LEFT(A931,3)="PRH",
ISNUMBER(SEARCH("NOTEBOOK",B931)),
ISNUMBER(SEARCH("LAPTOP",B931)),
ISNUMBER(SEARCH("MONITOR",B931)),
ISNUMBER(SEARCH("TABLET",B931)),
ISNUMBER(SEARCH("SMARTPH",B931)),
ISNUMBER(SEARCH("IMPRESORA",B931)),
ISNUMBER(SEARCH("MULTIFUNCIONAL",B931)),
ISNUMBER(SEARCH("AIO",B931))
),
"GANCHO",
"NORMAL"
)
)</f>
        <v>GANCHO</v>
      </c>
    </row>
    <row r="930" spans="1:12" x14ac:dyDescent="0.25">
      <c r="A930" s="3" t="s">
        <v>6333</v>
      </c>
      <c r="B930" s="3" t="s">
        <v>6334</v>
      </c>
      <c r="C930" s="1">
        <v>3</v>
      </c>
      <c r="D930" s="1">
        <v>240</v>
      </c>
      <c r="E930" s="1" t="s">
        <v>52</v>
      </c>
      <c r="F930" s="1" t="s">
        <v>6335</v>
      </c>
      <c r="G930" s="3" t="s">
        <v>6336</v>
      </c>
      <c r="H930" s="11">
        <f>ROUND(
IF(L928="GANCHO",
   IF(I930&lt;=50,I930*1.1+4,IF(I930&lt;=120,I930*1.1+7,IF(I930&lt;=250,I930*1.1+11,I930*1.1+19))),
IF(L928="NORMAL",
   IF(I930&lt;=30,I930*1.15+2,IF(I930&lt;=80,I930*1.15+4,IF(I930&lt;=150,I930*1.15+6,I930*1.15+8))),
IF(L928="COMPLEMENTO",
   IF(I930&lt;=25,I930*1.25+1.5,IF(I930&lt;=60,I930*1.25+3,IF(I930&lt;=120,I930*1.25+4,I930*1.25+5))),
""))),2)</f>
        <v>1103.0899999999999</v>
      </c>
      <c r="I930" s="9">
        <f>($K$2+0.02)*Tabla1[[#This Row],[PRECIO $]]*1.18</f>
        <v>985.53600000000006</v>
      </c>
      <c r="J930" s="7">
        <f>+Tabla1[[#This Row],[PRECIO EN SOLES]]-Tabla1[[#This Row],[PC]]</f>
        <v>117.55399999999986</v>
      </c>
      <c r="K930" s="15"/>
      <c r="L930" s="15" t="str">
        <f>IF(
OR(
ISNUMBER(SEARCH("BACKPACK",B932)),
ISNUMBER(SEARCH("MOCHILA",B932)),
ISNUMBER(SEARCH("FUNDA",B932)),
ISNUMBER(SEARCH("ESTUCHE",B932)),
ISNUMBER(SEARCH("BOOK COVER",B932)),
ISNUMBER(SEARCH("KEYBOARD PARA TABLET",B932)),
ISNUMBER(SEARCH("FLIP TABLET",B932)),
ISNUMBER(SEARCH("CASE FOR TABLET",B932)),
ISNUMBER(SEARCH("CABLE",B932)),
ISNUMBER(SEARCH("ADAPTADOR",B932)),
ISNUMBER(SEARCH("HUB",B932)),
ISNUMBER(SEARCH("DOCK",B932)),
ISNUMBER(SEARCH("MOUSE PAD",B932)),
ISNUMBER(SEARCH("MOUSEPAD",B932)),
ISNUMBER(SEARCH("SOPORTE",B932)),
ISNUMBER(SEARCH("STAND",B932)),
ISNUMBER(SEARCH("TRAVEL ADAPTER",B932)),
ISNUMBER(SEARCH("RJ45",B932)),
ISNUMBER(SEARCH("USB-C",B932)),
ISNUMBER(SEARCH("USB WIFI",B932)),
ISNUMBER(SEARCH("POWERBANK",B932)),
ISNUMBER(SEARCH("CARGADOR",B932)),
ISNUMBER(SEARCH("COOLER PARA NB",B932)),
ISNUMBER(SEARCH("SOPORTE PARA NB",B932)),
ISNUMBER(SEARCH("WEBCAM",B932)),
ISNUMBER(SEARCH("WEB CAM",B932)),
ISNUMBER(SEARCH("MOUSE",B932)),
ISNUMBER(SEARCH("TECLADO",B932))
),
"COMPLEMENTO",
IF(
OR(
LEFT(A932,2)="NB",
LEFT(A932,2)="PC",
LEFT(A932,2)="WS",
LEFT(A932,2)="TB",
LEFT(A932,3)="CEL",
LEFT(A932,3)="MON",
LEFT(A932,3)="PRE",
LEFT(A932,3)="PRH",
ISNUMBER(SEARCH("NOTEBOOK",B932)),
ISNUMBER(SEARCH("LAPTOP",B932)),
ISNUMBER(SEARCH("MONITOR",B932)),
ISNUMBER(SEARCH("TABLET",B932)),
ISNUMBER(SEARCH("SMARTPH",B932)),
ISNUMBER(SEARCH("IMPRESORA",B932)),
ISNUMBER(SEARCH("MULTIFUNCIONAL",B932)),
ISNUMBER(SEARCH("AIO",B932))
),
"GANCHO",
"NORMAL"
)
)</f>
        <v>GANCHO</v>
      </c>
    </row>
    <row r="931" spans="1:12" x14ac:dyDescent="0.25">
      <c r="A931" s="3" t="s">
        <v>5000</v>
      </c>
      <c r="B931" s="3" t="s">
        <v>5001</v>
      </c>
      <c r="C931" s="1">
        <v>20</v>
      </c>
      <c r="D931" s="1">
        <v>107</v>
      </c>
      <c r="E931" s="1" t="s">
        <v>219</v>
      </c>
      <c r="F931" s="1" t="s">
        <v>5002</v>
      </c>
      <c r="G931" s="3" t="s">
        <v>5003</v>
      </c>
      <c r="H931" s="11">
        <f>ROUND(
IF(L929="GANCHO",
   IF(I931&lt;=50,I931*1.1+4,IF(I931&lt;=120,I931*1.1+7,IF(I931&lt;=250,I931*1.1+11,I931*1.1+19))),
IF(L929="NORMAL",
   IF(I931&lt;=30,I931*1.15+2,IF(I931&lt;=80,I931*1.15+4,IF(I931&lt;=150,I931*1.15+6,I931*1.15+8))),
IF(L929="COMPLEMENTO",
   IF(I931&lt;=25,I931*1.25+1.5,IF(I931&lt;=60,I931*1.25+3,IF(I931&lt;=120,I931*1.25+4,I931*1.25+5))),
""))),2)</f>
        <v>502.32</v>
      </c>
      <c r="I931" s="9">
        <f>($K$2+0.02)*Tabla1[[#This Row],[PRECIO $]]*1.18</f>
        <v>439.38479999999998</v>
      </c>
      <c r="J931" s="7">
        <f>+Tabla1[[#This Row],[PRECIO EN SOLES]]-Tabla1[[#This Row],[PC]]</f>
        <v>62.935200000000009</v>
      </c>
      <c r="K931" s="15"/>
      <c r="L931" s="15" t="str">
        <f>IF(
OR(
ISNUMBER(SEARCH("BACKPACK",B933)),
ISNUMBER(SEARCH("MOCHILA",B933)),
ISNUMBER(SEARCH("FUNDA",B933)),
ISNUMBER(SEARCH("ESTUCHE",B933)),
ISNUMBER(SEARCH("BOOK COVER",B933)),
ISNUMBER(SEARCH("KEYBOARD PARA TABLET",B933)),
ISNUMBER(SEARCH("FLIP TABLET",B933)),
ISNUMBER(SEARCH("CASE FOR TABLET",B933)),
ISNUMBER(SEARCH("CABLE",B933)),
ISNUMBER(SEARCH("ADAPTADOR",B933)),
ISNUMBER(SEARCH("HUB",B933)),
ISNUMBER(SEARCH("DOCK",B933)),
ISNUMBER(SEARCH("MOUSE PAD",B933)),
ISNUMBER(SEARCH("MOUSEPAD",B933)),
ISNUMBER(SEARCH("SOPORTE",B933)),
ISNUMBER(SEARCH("STAND",B933)),
ISNUMBER(SEARCH("TRAVEL ADAPTER",B933)),
ISNUMBER(SEARCH("RJ45",B933)),
ISNUMBER(SEARCH("USB-C",B933)),
ISNUMBER(SEARCH("USB WIFI",B933)),
ISNUMBER(SEARCH("POWERBANK",B933)),
ISNUMBER(SEARCH("CARGADOR",B933)),
ISNUMBER(SEARCH("COOLER PARA NB",B933)),
ISNUMBER(SEARCH("SOPORTE PARA NB",B933)),
ISNUMBER(SEARCH("WEBCAM",B933)),
ISNUMBER(SEARCH("WEB CAM",B933)),
ISNUMBER(SEARCH("MOUSE",B933)),
ISNUMBER(SEARCH("TECLADO",B933))
),
"COMPLEMENTO",
IF(
OR(
LEFT(A933,2)="NB",
LEFT(A933,2)="PC",
LEFT(A933,2)="WS",
LEFT(A933,2)="TB",
LEFT(A933,3)="CEL",
LEFT(A933,3)="MON",
LEFT(A933,3)="PRE",
LEFT(A933,3)="PRH",
ISNUMBER(SEARCH("NOTEBOOK",B933)),
ISNUMBER(SEARCH("LAPTOP",B933)),
ISNUMBER(SEARCH("MONITOR",B933)),
ISNUMBER(SEARCH("TABLET",B933)),
ISNUMBER(SEARCH("SMARTPH",B933)),
ISNUMBER(SEARCH("IMPRESORA",B933)),
ISNUMBER(SEARCH("MULTIFUNCIONAL",B933)),
ISNUMBER(SEARCH("AIO",B933))
),
"GANCHO",
"NORMAL"
)
)</f>
        <v>GANCHO</v>
      </c>
    </row>
    <row r="932" spans="1:12" x14ac:dyDescent="0.25">
      <c r="A932" s="3" t="s">
        <v>6040</v>
      </c>
      <c r="B932" s="3" t="s">
        <v>6041</v>
      </c>
      <c r="C932" s="1">
        <v>18</v>
      </c>
      <c r="D932" s="1">
        <v>144.4</v>
      </c>
      <c r="E932" s="1" t="s">
        <v>219</v>
      </c>
      <c r="F932" s="1" t="s">
        <v>6042</v>
      </c>
      <c r="G932" s="3" t="s">
        <v>6043</v>
      </c>
      <c r="H932" s="11">
        <f>ROUND(
IF(L930="GANCHO",
   IF(I932&lt;=50,I932*1.1+4,IF(I932&lt;=120,I932*1.1+7,IF(I932&lt;=250,I932*1.1+11,I932*1.1+19))),
IF(L930="NORMAL",
   IF(I932&lt;=30,I932*1.15+2,IF(I932&lt;=80,I932*1.15+4,IF(I932&lt;=150,I932*1.15+6,I932*1.15+8))),
IF(L930="COMPLEMENTO",
   IF(I932&lt;=25,I932*1.25+1.5,IF(I932&lt;=60,I932*1.25+3,IF(I932&lt;=120,I932*1.25+4,I932*1.25+5))),
""))),2)</f>
        <v>671.26</v>
      </c>
      <c r="I932" s="9">
        <f>($K$2+0.02)*Tabla1[[#This Row],[PRECIO $]]*1.18</f>
        <v>592.96415999999999</v>
      </c>
      <c r="J932" s="7">
        <f>+Tabla1[[#This Row],[PRECIO EN SOLES]]-Tabla1[[#This Row],[PC]]</f>
        <v>78.295839999999998</v>
      </c>
      <c r="K932" s="15"/>
      <c r="L932" s="15" t="str">
        <f>IF(
OR(
ISNUMBER(SEARCH("BACKPACK",B934)),
ISNUMBER(SEARCH("MOCHILA",B934)),
ISNUMBER(SEARCH("FUNDA",B934)),
ISNUMBER(SEARCH("ESTUCHE",B934)),
ISNUMBER(SEARCH("BOOK COVER",B934)),
ISNUMBER(SEARCH("KEYBOARD PARA TABLET",B934)),
ISNUMBER(SEARCH("FLIP TABLET",B934)),
ISNUMBER(SEARCH("CASE FOR TABLET",B934)),
ISNUMBER(SEARCH("CABLE",B934)),
ISNUMBER(SEARCH("ADAPTADOR",B934)),
ISNUMBER(SEARCH("HUB",B934)),
ISNUMBER(SEARCH("DOCK",B934)),
ISNUMBER(SEARCH("MOUSE PAD",B934)),
ISNUMBER(SEARCH("MOUSEPAD",B934)),
ISNUMBER(SEARCH("SOPORTE",B934)),
ISNUMBER(SEARCH("STAND",B934)),
ISNUMBER(SEARCH("TRAVEL ADAPTER",B934)),
ISNUMBER(SEARCH("RJ45",B934)),
ISNUMBER(SEARCH("USB-C",B934)),
ISNUMBER(SEARCH("USB WIFI",B934)),
ISNUMBER(SEARCH("POWERBANK",B934)),
ISNUMBER(SEARCH("CARGADOR",B934)),
ISNUMBER(SEARCH("COOLER PARA NB",B934)),
ISNUMBER(SEARCH("SOPORTE PARA NB",B934)),
ISNUMBER(SEARCH("WEBCAM",B934)),
ISNUMBER(SEARCH("WEB CAM",B934)),
ISNUMBER(SEARCH("MOUSE",B934)),
ISNUMBER(SEARCH("TECLADO",B934))
),
"COMPLEMENTO",
IF(
OR(
LEFT(A934,2)="NB",
LEFT(A934,2)="PC",
LEFT(A934,2)="WS",
LEFT(A934,2)="TB",
LEFT(A934,3)="CEL",
LEFT(A934,3)="MON",
LEFT(A934,3)="PRE",
LEFT(A934,3)="PRH",
ISNUMBER(SEARCH("NOTEBOOK",B934)),
ISNUMBER(SEARCH("LAPTOP",B934)),
ISNUMBER(SEARCH("MONITOR",B934)),
ISNUMBER(SEARCH("TABLET",B934)),
ISNUMBER(SEARCH("SMARTPH",B934)),
ISNUMBER(SEARCH("IMPRESORA",B934)),
ISNUMBER(SEARCH("MULTIFUNCIONAL",B934)),
ISNUMBER(SEARCH("AIO",B934))
),
"GANCHO",
"NORMAL"
)
)</f>
        <v>GANCHO</v>
      </c>
    </row>
    <row r="933" spans="1:12" x14ac:dyDescent="0.25">
      <c r="A933" s="3" t="s">
        <v>1657</v>
      </c>
      <c r="B933" s="3" t="s">
        <v>1658</v>
      </c>
      <c r="C933" s="1">
        <v>20</v>
      </c>
      <c r="D933" s="1">
        <v>170.5</v>
      </c>
      <c r="E933" s="1" t="s">
        <v>56</v>
      </c>
      <c r="F933" s="1" t="s">
        <v>3588</v>
      </c>
      <c r="G933" s="3"/>
      <c r="H933" s="11">
        <f>ROUND(
IF(L931="GANCHO",
   IF(I933&lt;=50,I933*1.1+4,IF(I933&lt;=120,I933*1.1+7,IF(I933&lt;=250,I933*1.1+11,I933*1.1+19))),
IF(L931="NORMAL",
   IF(I933&lt;=30,I933*1.15+2,IF(I933&lt;=80,I933*1.15+4,IF(I933&lt;=150,I933*1.15+6,I933*1.15+8))),
IF(L931="COMPLEMENTO",
   IF(I933&lt;=25,I933*1.25+1.5,IF(I933&lt;=60,I933*1.25+3,IF(I933&lt;=120,I933*1.25+4,I933*1.25+5))),
""))),2)</f>
        <v>789.16</v>
      </c>
      <c r="I933" s="9">
        <f>($K$2+0.02)*Tabla1[[#This Row],[PRECIO $]]*1.18</f>
        <v>700.14120000000003</v>
      </c>
      <c r="J933" s="7">
        <f>+Tabla1[[#This Row],[PRECIO EN SOLES]]-Tabla1[[#This Row],[PC]]</f>
        <v>89.018799999999942</v>
      </c>
      <c r="K933" s="15"/>
      <c r="L933" s="15" t="str">
        <f>IF(
OR(
ISNUMBER(SEARCH("BACKPACK",B935)),
ISNUMBER(SEARCH("MOCHILA",B935)),
ISNUMBER(SEARCH("FUNDA",B935)),
ISNUMBER(SEARCH("ESTUCHE",B935)),
ISNUMBER(SEARCH("BOOK COVER",B935)),
ISNUMBER(SEARCH("KEYBOARD PARA TABLET",B935)),
ISNUMBER(SEARCH("FLIP TABLET",B935)),
ISNUMBER(SEARCH("CASE FOR TABLET",B935)),
ISNUMBER(SEARCH("CABLE",B935)),
ISNUMBER(SEARCH("ADAPTADOR",B935)),
ISNUMBER(SEARCH("HUB",B935)),
ISNUMBER(SEARCH("DOCK",B935)),
ISNUMBER(SEARCH("MOUSE PAD",B935)),
ISNUMBER(SEARCH("MOUSEPAD",B935)),
ISNUMBER(SEARCH("SOPORTE",B935)),
ISNUMBER(SEARCH("STAND",B935)),
ISNUMBER(SEARCH("TRAVEL ADAPTER",B935)),
ISNUMBER(SEARCH("RJ45",B935)),
ISNUMBER(SEARCH("USB-C",B935)),
ISNUMBER(SEARCH("USB WIFI",B935)),
ISNUMBER(SEARCH("POWERBANK",B935)),
ISNUMBER(SEARCH("CARGADOR",B935)),
ISNUMBER(SEARCH("COOLER PARA NB",B935)),
ISNUMBER(SEARCH("SOPORTE PARA NB",B935)),
ISNUMBER(SEARCH("WEBCAM",B935)),
ISNUMBER(SEARCH("WEB CAM",B935)),
ISNUMBER(SEARCH("MOUSE",B935)),
ISNUMBER(SEARCH("TECLADO",B935))
),
"COMPLEMENTO",
IF(
OR(
LEFT(A935,2)="NB",
LEFT(A935,2)="PC",
LEFT(A935,2)="WS",
LEFT(A935,2)="TB",
LEFT(A935,3)="CEL",
LEFT(A935,3)="MON",
LEFT(A935,3)="PRE",
LEFT(A935,3)="PRH",
ISNUMBER(SEARCH("NOTEBOOK",B935)),
ISNUMBER(SEARCH("LAPTOP",B935)),
ISNUMBER(SEARCH("MONITOR",B935)),
ISNUMBER(SEARCH("TABLET",B935)),
ISNUMBER(SEARCH("SMARTPH",B935)),
ISNUMBER(SEARCH("IMPRESORA",B935)),
ISNUMBER(SEARCH("MULTIFUNCIONAL",B935)),
ISNUMBER(SEARCH("AIO",B935))
),
"GANCHO",
"NORMAL"
)
)</f>
        <v>GANCHO</v>
      </c>
    </row>
    <row r="934" spans="1:12" x14ac:dyDescent="0.25">
      <c r="A934" s="3" t="s">
        <v>1659</v>
      </c>
      <c r="B934" s="3" t="s">
        <v>1660</v>
      </c>
      <c r="C934" s="1">
        <v>20</v>
      </c>
      <c r="D934" s="1">
        <v>211</v>
      </c>
      <c r="E934" s="1" t="s">
        <v>837</v>
      </c>
      <c r="F934" s="1" t="s">
        <v>3589</v>
      </c>
      <c r="G934" s="3" t="s">
        <v>1661</v>
      </c>
      <c r="H934" s="11">
        <f>ROUND(
IF(L932="GANCHO",
   IF(I934&lt;=50,I934*1.1+4,IF(I934&lt;=120,I934*1.1+7,IF(I934&lt;=250,I934*1.1+11,I934*1.1+19))),
IF(L932="NORMAL",
   IF(I934&lt;=30,I934*1.15+2,IF(I934&lt;=80,I934*1.15+4,IF(I934&lt;=150,I934*1.15+6,I934*1.15+8))),
IF(L932="COMPLEMENTO",
   IF(I934&lt;=25,I934*1.25+1.5,IF(I934&lt;=60,I934*1.25+3,IF(I934&lt;=120,I934*1.25+4,I934*1.25+5))),
""))),2)</f>
        <v>972.1</v>
      </c>
      <c r="I934" s="9">
        <f>($K$2+0.02)*Tabla1[[#This Row],[PRECIO $]]*1.18</f>
        <v>866.45039999999995</v>
      </c>
      <c r="J934" s="7">
        <f>+Tabla1[[#This Row],[PRECIO EN SOLES]]-Tabla1[[#This Row],[PC]]</f>
        <v>105.64960000000008</v>
      </c>
      <c r="K934" s="15"/>
      <c r="L934" s="15" t="str">
        <f>IF(
OR(
ISNUMBER(SEARCH("BACKPACK",B936)),
ISNUMBER(SEARCH("MOCHILA",B936)),
ISNUMBER(SEARCH("FUNDA",B936)),
ISNUMBER(SEARCH("ESTUCHE",B936)),
ISNUMBER(SEARCH("BOOK COVER",B936)),
ISNUMBER(SEARCH("KEYBOARD PARA TABLET",B936)),
ISNUMBER(SEARCH("FLIP TABLET",B936)),
ISNUMBER(SEARCH("CASE FOR TABLET",B936)),
ISNUMBER(SEARCH("CABLE",B936)),
ISNUMBER(SEARCH("ADAPTADOR",B936)),
ISNUMBER(SEARCH("HUB",B936)),
ISNUMBER(SEARCH("DOCK",B936)),
ISNUMBER(SEARCH("MOUSE PAD",B936)),
ISNUMBER(SEARCH("MOUSEPAD",B936)),
ISNUMBER(SEARCH("SOPORTE",B936)),
ISNUMBER(SEARCH("STAND",B936)),
ISNUMBER(SEARCH("TRAVEL ADAPTER",B936)),
ISNUMBER(SEARCH("RJ45",B936)),
ISNUMBER(SEARCH("USB-C",B936)),
ISNUMBER(SEARCH("USB WIFI",B936)),
ISNUMBER(SEARCH("POWERBANK",B936)),
ISNUMBER(SEARCH("CARGADOR",B936)),
ISNUMBER(SEARCH("COOLER PARA NB",B936)),
ISNUMBER(SEARCH("SOPORTE PARA NB",B936)),
ISNUMBER(SEARCH("WEBCAM",B936)),
ISNUMBER(SEARCH("WEB CAM",B936)),
ISNUMBER(SEARCH("MOUSE",B936)),
ISNUMBER(SEARCH("TECLADO",B936))
),
"COMPLEMENTO",
IF(
OR(
LEFT(A936,2)="NB",
LEFT(A936,2)="PC",
LEFT(A936,2)="WS",
LEFT(A936,2)="TB",
LEFT(A936,3)="CEL",
LEFT(A936,3)="MON",
LEFT(A936,3)="PRE",
LEFT(A936,3)="PRH",
ISNUMBER(SEARCH("NOTEBOOK",B936)),
ISNUMBER(SEARCH("LAPTOP",B936)),
ISNUMBER(SEARCH("MONITOR",B936)),
ISNUMBER(SEARCH("TABLET",B936)),
ISNUMBER(SEARCH("SMARTPH",B936)),
ISNUMBER(SEARCH("IMPRESORA",B936)),
ISNUMBER(SEARCH("MULTIFUNCIONAL",B936)),
ISNUMBER(SEARCH("AIO",B936))
),
"GANCHO",
"NORMAL"
)
)</f>
        <v>COMPLEMENTO</v>
      </c>
    </row>
    <row r="935" spans="1:12" x14ac:dyDescent="0.25">
      <c r="A935" s="3" t="s">
        <v>6044</v>
      </c>
      <c r="B935" s="3" t="s">
        <v>6045</v>
      </c>
      <c r="C935" s="1">
        <v>0</v>
      </c>
      <c r="D935" s="1">
        <v>267</v>
      </c>
      <c r="E935" s="1" t="s">
        <v>837</v>
      </c>
      <c r="F935" s="1" t="s">
        <v>6046</v>
      </c>
      <c r="G935" s="3" t="s">
        <v>6047</v>
      </c>
      <c r="H935" s="11">
        <f>ROUND(
IF(L933="GANCHO",
   IF(I935&lt;=50,I935*1.1+4,IF(I935&lt;=120,I935*1.1+7,IF(I935&lt;=250,I935*1.1+11,I935*1.1+19))),
IF(L933="NORMAL",
   IF(I935&lt;=30,I935*1.15+2,IF(I935&lt;=80,I935*1.15+4,IF(I935&lt;=150,I935*1.15+6,I935*1.15+8))),
IF(L933="COMPLEMENTO",
   IF(I935&lt;=25,I935*1.25+1.5,IF(I935&lt;=60,I935*1.25+3,IF(I935&lt;=120,I935*1.25+4,I935*1.25+5))),
""))),2)</f>
        <v>1225.05</v>
      </c>
      <c r="I935" s="9">
        <f>($K$2+0.02)*Tabla1[[#This Row],[PRECIO $]]*1.18</f>
        <v>1096.4087999999999</v>
      </c>
      <c r="J935" s="7">
        <f>+Tabla1[[#This Row],[PRECIO EN SOLES]]-Tabla1[[#This Row],[PC]]</f>
        <v>128.64120000000003</v>
      </c>
      <c r="K935" s="15"/>
      <c r="L935" s="15" t="str">
        <f>IF(
OR(
ISNUMBER(SEARCH("BACKPACK",B937)),
ISNUMBER(SEARCH("MOCHILA",B937)),
ISNUMBER(SEARCH("FUNDA",B937)),
ISNUMBER(SEARCH("ESTUCHE",B937)),
ISNUMBER(SEARCH("BOOK COVER",B937)),
ISNUMBER(SEARCH("KEYBOARD PARA TABLET",B937)),
ISNUMBER(SEARCH("FLIP TABLET",B937)),
ISNUMBER(SEARCH("CASE FOR TABLET",B937)),
ISNUMBER(SEARCH("CABLE",B937)),
ISNUMBER(SEARCH("ADAPTADOR",B937)),
ISNUMBER(SEARCH("HUB",B937)),
ISNUMBER(SEARCH("DOCK",B937)),
ISNUMBER(SEARCH("MOUSE PAD",B937)),
ISNUMBER(SEARCH("MOUSEPAD",B937)),
ISNUMBER(SEARCH("SOPORTE",B937)),
ISNUMBER(SEARCH("STAND",B937)),
ISNUMBER(SEARCH("TRAVEL ADAPTER",B937)),
ISNUMBER(SEARCH("RJ45",B937)),
ISNUMBER(SEARCH("USB-C",B937)),
ISNUMBER(SEARCH("USB WIFI",B937)),
ISNUMBER(SEARCH("POWERBANK",B937)),
ISNUMBER(SEARCH("CARGADOR",B937)),
ISNUMBER(SEARCH("COOLER PARA NB",B937)),
ISNUMBER(SEARCH("SOPORTE PARA NB",B937)),
ISNUMBER(SEARCH("WEBCAM",B937)),
ISNUMBER(SEARCH("WEB CAM",B937)),
ISNUMBER(SEARCH("MOUSE",B937)),
ISNUMBER(SEARCH("TECLADO",B937))
),
"COMPLEMENTO",
IF(
OR(
LEFT(A937,2)="NB",
LEFT(A937,2)="PC",
LEFT(A937,2)="WS",
LEFT(A937,2)="TB",
LEFT(A937,3)="CEL",
LEFT(A937,3)="MON",
LEFT(A937,3)="PRE",
LEFT(A937,3)="PRH",
ISNUMBER(SEARCH("NOTEBOOK",B937)),
ISNUMBER(SEARCH("LAPTOP",B937)),
ISNUMBER(SEARCH("MONITOR",B937)),
ISNUMBER(SEARCH("TABLET",B937)),
ISNUMBER(SEARCH("SMARTPH",B937)),
ISNUMBER(SEARCH("IMPRESORA",B937)),
ISNUMBER(SEARCH("MULTIFUNCIONAL",B937)),
ISNUMBER(SEARCH("AIO",B937))
),
"GANCHO",
"NORMAL"
)
)</f>
        <v>GANCHO</v>
      </c>
    </row>
    <row r="936" spans="1:12" x14ac:dyDescent="0.25">
      <c r="A936" s="3" t="s">
        <v>1662</v>
      </c>
      <c r="B936" s="3" t="s">
        <v>1663</v>
      </c>
      <c r="C936" s="1">
        <v>20</v>
      </c>
      <c r="D936" s="1">
        <v>347</v>
      </c>
      <c r="E936" s="1" t="s">
        <v>837</v>
      </c>
      <c r="F936" s="1" t="s">
        <v>3590</v>
      </c>
      <c r="G936" s="3" t="s">
        <v>1664</v>
      </c>
      <c r="H936" s="11">
        <f>ROUND(
IF(L934="GANCHO",
   IF(I936&lt;=50,I936*1.1+4,IF(I936&lt;=120,I936*1.1+7,IF(I936&lt;=250,I936*1.1+11,I936*1.1+19))),
IF(L934="NORMAL",
   IF(I936&lt;=30,I936*1.15+2,IF(I936&lt;=80,I936*1.15+4,IF(I936&lt;=150,I936*1.15+6,I936*1.15+8))),
IF(L934="COMPLEMENTO",
   IF(I936&lt;=25,I936*1.25+1.5,IF(I936&lt;=60,I936*1.25+3,IF(I936&lt;=120,I936*1.25+4,I936*1.25+5))),
""))),2)</f>
        <v>1786.15</v>
      </c>
      <c r="I936" s="9">
        <f>($K$2+0.02)*Tabla1[[#This Row],[PRECIO $]]*1.18</f>
        <v>1424.9207999999999</v>
      </c>
      <c r="J936" s="7">
        <f>+Tabla1[[#This Row],[PRECIO EN SOLES]]-Tabla1[[#This Row],[PC]]</f>
        <v>361.22920000000022</v>
      </c>
      <c r="K936" s="15"/>
      <c r="L936" s="15" t="str">
        <f>IF(
OR(
ISNUMBER(SEARCH("BACKPACK",B938)),
ISNUMBER(SEARCH("MOCHILA",B938)),
ISNUMBER(SEARCH("FUNDA",B938)),
ISNUMBER(SEARCH("ESTUCHE",B938)),
ISNUMBER(SEARCH("BOOK COVER",B938)),
ISNUMBER(SEARCH("KEYBOARD PARA TABLET",B938)),
ISNUMBER(SEARCH("FLIP TABLET",B938)),
ISNUMBER(SEARCH("CASE FOR TABLET",B938)),
ISNUMBER(SEARCH("CABLE",B938)),
ISNUMBER(SEARCH("ADAPTADOR",B938)),
ISNUMBER(SEARCH("HUB",B938)),
ISNUMBER(SEARCH("DOCK",B938)),
ISNUMBER(SEARCH("MOUSE PAD",B938)),
ISNUMBER(SEARCH("MOUSEPAD",B938)),
ISNUMBER(SEARCH("SOPORTE",B938)),
ISNUMBER(SEARCH("STAND",B938)),
ISNUMBER(SEARCH("TRAVEL ADAPTER",B938)),
ISNUMBER(SEARCH("RJ45",B938)),
ISNUMBER(SEARCH("USB-C",B938)),
ISNUMBER(SEARCH("USB WIFI",B938)),
ISNUMBER(SEARCH("POWERBANK",B938)),
ISNUMBER(SEARCH("CARGADOR",B938)),
ISNUMBER(SEARCH("COOLER PARA NB",B938)),
ISNUMBER(SEARCH("SOPORTE PARA NB",B938)),
ISNUMBER(SEARCH("WEBCAM",B938)),
ISNUMBER(SEARCH("WEB CAM",B938)),
ISNUMBER(SEARCH("MOUSE",B938)),
ISNUMBER(SEARCH("TECLADO",B938))
),
"COMPLEMENTO",
IF(
OR(
LEFT(A938,2)="NB",
LEFT(A938,2)="PC",
LEFT(A938,2)="WS",
LEFT(A938,2)="TB",
LEFT(A938,3)="CEL",
LEFT(A938,3)="MON",
LEFT(A938,3)="PRE",
LEFT(A938,3)="PRH",
ISNUMBER(SEARCH("NOTEBOOK",B938)),
ISNUMBER(SEARCH("LAPTOP",B938)),
ISNUMBER(SEARCH("MONITOR",B938)),
ISNUMBER(SEARCH("TABLET",B938)),
ISNUMBER(SEARCH("SMARTPH",B938)),
ISNUMBER(SEARCH("IMPRESORA",B938)),
ISNUMBER(SEARCH("MULTIFUNCIONAL",B938)),
ISNUMBER(SEARCH("AIO",B938))
),
"GANCHO",
"NORMAL"
)
)</f>
        <v>GANCHO</v>
      </c>
    </row>
    <row r="937" spans="1:12" x14ac:dyDescent="0.25">
      <c r="A937" s="3" t="s">
        <v>6048</v>
      </c>
      <c r="B937" s="3" t="s">
        <v>6049</v>
      </c>
      <c r="C937" s="1">
        <v>20</v>
      </c>
      <c r="D937" s="1">
        <v>139</v>
      </c>
      <c r="E937" s="1" t="s">
        <v>837</v>
      </c>
      <c r="F937" s="1" t="s">
        <v>6050</v>
      </c>
      <c r="G937" s="3" t="s">
        <v>6051</v>
      </c>
      <c r="H937" s="11">
        <f>ROUND(
IF(L935="GANCHO",
   IF(I937&lt;=50,I937*1.1+4,IF(I937&lt;=120,I937*1.1+7,IF(I937&lt;=250,I937*1.1+11,I937*1.1+19))),
IF(L935="NORMAL",
   IF(I937&lt;=30,I937*1.15+2,IF(I937&lt;=80,I937*1.15+4,IF(I937&lt;=150,I937*1.15+6,I937*1.15+8))),
IF(L935="COMPLEMENTO",
   IF(I937&lt;=25,I937*1.25+1.5,IF(I937&lt;=60,I937*1.25+3,IF(I937&lt;=120,I937*1.25+4,I937*1.25+5))),
""))),2)</f>
        <v>646.87</v>
      </c>
      <c r="I937" s="9">
        <f>($K$2+0.02)*Tabla1[[#This Row],[PRECIO $]]*1.18</f>
        <v>570.78959999999995</v>
      </c>
      <c r="J937" s="7">
        <f>+Tabla1[[#This Row],[PRECIO EN SOLES]]-Tabla1[[#This Row],[PC]]</f>
        <v>76.080400000000054</v>
      </c>
      <c r="K937" s="15"/>
      <c r="L937" s="15" t="str">
        <f>IF(
OR(
ISNUMBER(SEARCH("BACKPACK",B939)),
ISNUMBER(SEARCH("MOCHILA",B939)),
ISNUMBER(SEARCH("FUNDA",B939)),
ISNUMBER(SEARCH("ESTUCHE",B939)),
ISNUMBER(SEARCH("BOOK COVER",B939)),
ISNUMBER(SEARCH("KEYBOARD PARA TABLET",B939)),
ISNUMBER(SEARCH("FLIP TABLET",B939)),
ISNUMBER(SEARCH("CASE FOR TABLET",B939)),
ISNUMBER(SEARCH("CABLE",B939)),
ISNUMBER(SEARCH("ADAPTADOR",B939)),
ISNUMBER(SEARCH("HUB",B939)),
ISNUMBER(SEARCH("DOCK",B939)),
ISNUMBER(SEARCH("MOUSE PAD",B939)),
ISNUMBER(SEARCH("MOUSEPAD",B939)),
ISNUMBER(SEARCH("SOPORTE",B939)),
ISNUMBER(SEARCH("STAND",B939)),
ISNUMBER(SEARCH("TRAVEL ADAPTER",B939)),
ISNUMBER(SEARCH("RJ45",B939)),
ISNUMBER(SEARCH("USB-C",B939)),
ISNUMBER(SEARCH("USB WIFI",B939)),
ISNUMBER(SEARCH("POWERBANK",B939)),
ISNUMBER(SEARCH("CARGADOR",B939)),
ISNUMBER(SEARCH("COOLER PARA NB",B939)),
ISNUMBER(SEARCH("SOPORTE PARA NB",B939)),
ISNUMBER(SEARCH("WEBCAM",B939)),
ISNUMBER(SEARCH("WEB CAM",B939)),
ISNUMBER(SEARCH("MOUSE",B939)),
ISNUMBER(SEARCH("TECLADO",B939))
),
"COMPLEMENTO",
IF(
OR(
LEFT(A939,2)="NB",
LEFT(A939,2)="PC",
LEFT(A939,2)="WS",
LEFT(A939,2)="TB",
LEFT(A939,3)="CEL",
LEFT(A939,3)="MON",
LEFT(A939,3)="PRE",
LEFT(A939,3)="PRH",
ISNUMBER(SEARCH("NOTEBOOK",B939)),
ISNUMBER(SEARCH("LAPTOP",B939)),
ISNUMBER(SEARCH("MONITOR",B939)),
ISNUMBER(SEARCH("TABLET",B939)),
ISNUMBER(SEARCH("SMARTPH",B939)),
ISNUMBER(SEARCH("IMPRESORA",B939)),
ISNUMBER(SEARCH("MULTIFUNCIONAL",B939)),
ISNUMBER(SEARCH("AIO",B939))
),
"GANCHO",
"NORMAL"
)
)</f>
        <v>GANCHO</v>
      </c>
    </row>
    <row r="938" spans="1:12" x14ac:dyDescent="0.25">
      <c r="A938" s="3" t="s">
        <v>1665</v>
      </c>
      <c r="B938" s="3" t="s">
        <v>1666</v>
      </c>
      <c r="C938" s="1">
        <v>20</v>
      </c>
      <c r="D938" s="1">
        <v>133.30000000000001</v>
      </c>
      <c r="E938" s="1" t="s">
        <v>837</v>
      </c>
      <c r="F938" s="1" t="s">
        <v>3591</v>
      </c>
      <c r="G938" s="3" t="s">
        <v>1667</v>
      </c>
      <c r="H938" s="11">
        <f>ROUND(
IF(L936="GANCHO",
   IF(I938&lt;=50,I938*1.1+4,IF(I938&lt;=120,I938*1.1+7,IF(I938&lt;=250,I938*1.1+11,I938*1.1+19))),
IF(L936="NORMAL",
   IF(I938&lt;=30,I938*1.15+2,IF(I938&lt;=80,I938*1.15+4,IF(I938&lt;=150,I938*1.15+6,I938*1.15+8))),
IF(L936="COMPLEMENTO",
   IF(I938&lt;=25,I938*1.25+1.5,IF(I938&lt;=60,I938*1.25+3,IF(I938&lt;=120,I938*1.25+4,I938*1.25+5))),
""))),2)</f>
        <v>621.12</v>
      </c>
      <c r="I938" s="9">
        <f>($K$2+0.02)*Tabla1[[#This Row],[PRECIO $]]*1.18</f>
        <v>547.38311999999996</v>
      </c>
      <c r="J938" s="7">
        <f>+Tabla1[[#This Row],[PRECIO EN SOLES]]-Tabla1[[#This Row],[PC]]</f>
        <v>73.736880000000042</v>
      </c>
      <c r="K938" s="15"/>
      <c r="L938" s="15" t="str">
        <f>IF(
OR(
ISNUMBER(SEARCH("BACKPACK",B940)),
ISNUMBER(SEARCH("MOCHILA",B940)),
ISNUMBER(SEARCH("FUNDA",B940)),
ISNUMBER(SEARCH("ESTUCHE",B940)),
ISNUMBER(SEARCH("BOOK COVER",B940)),
ISNUMBER(SEARCH("KEYBOARD PARA TABLET",B940)),
ISNUMBER(SEARCH("FLIP TABLET",B940)),
ISNUMBER(SEARCH("CASE FOR TABLET",B940)),
ISNUMBER(SEARCH("CABLE",B940)),
ISNUMBER(SEARCH("ADAPTADOR",B940)),
ISNUMBER(SEARCH("HUB",B940)),
ISNUMBER(SEARCH("DOCK",B940)),
ISNUMBER(SEARCH("MOUSE PAD",B940)),
ISNUMBER(SEARCH("MOUSEPAD",B940)),
ISNUMBER(SEARCH("SOPORTE",B940)),
ISNUMBER(SEARCH("STAND",B940)),
ISNUMBER(SEARCH("TRAVEL ADAPTER",B940)),
ISNUMBER(SEARCH("RJ45",B940)),
ISNUMBER(SEARCH("USB-C",B940)),
ISNUMBER(SEARCH("USB WIFI",B940)),
ISNUMBER(SEARCH("POWERBANK",B940)),
ISNUMBER(SEARCH("CARGADOR",B940)),
ISNUMBER(SEARCH("COOLER PARA NB",B940)),
ISNUMBER(SEARCH("SOPORTE PARA NB",B940)),
ISNUMBER(SEARCH("WEBCAM",B940)),
ISNUMBER(SEARCH("WEB CAM",B940)),
ISNUMBER(SEARCH("MOUSE",B940)),
ISNUMBER(SEARCH("TECLADO",B940))
),
"COMPLEMENTO",
IF(
OR(
LEFT(A940,2)="NB",
LEFT(A940,2)="PC",
LEFT(A940,2)="WS",
LEFT(A940,2)="TB",
LEFT(A940,3)="CEL",
LEFT(A940,3)="MON",
LEFT(A940,3)="PRE",
LEFT(A940,3)="PRH",
ISNUMBER(SEARCH("NOTEBOOK",B940)),
ISNUMBER(SEARCH("LAPTOP",B940)),
ISNUMBER(SEARCH("MONITOR",B940)),
ISNUMBER(SEARCH("TABLET",B940)),
ISNUMBER(SEARCH("SMARTPH",B940)),
ISNUMBER(SEARCH("IMPRESORA",B940)),
ISNUMBER(SEARCH("MULTIFUNCIONAL",B940)),
ISNUMBER(SEARCH("AIO",B940))
),
"GANCHO",
"NORMAL"
)
)</f>
        <v>GANCHO</v>
      </c>
    </row>
    <row r="939" spans="1:12" x14ac:dyDescent="0.25">
      <c r="A939" s="3" t="s">
        <v>6052</v>
      </c>
      <c r="B939" s="3" t="s">
        <v>6053</v>
      </c>
      <c r="C939" s="1">
        <v>20</v>
      </c>
      <c r="D939" s="1">
        <v>131.9</v>
      </c>
      <c r="E939" s="1" t="s">
        <v>74</v>
      </c>
      <c r="F939" s="1" t="s">
        <v>6054</v>
      </c>
      <c r="G939" s="3" t="s">
        <v>6055</v>
      </c>
      <c r="H939" s="11">
        <f>ROUND(
IF(L937="GANCHO",
   IF(I939&lt;=50,I939*1.1+4,IF(I939&lt;=120,I939*1.1+7,IF(I939&lt;=250,I939*1.1+11,I939*1.1+19))),
IF(L937="NORMAL",
   IF(I939&lt;=30,I939*1.15+2,IF(I939&lt;=80,I939*1.15+4,IF(I939&lt;=150,I939*1.15+6,I939*1.15+8))),
IF(L937="COMPLEMENTO",
   IF(I939&lt;=25,I939*1.25+1.5,IF(I939&lt;=60,I939*1.25+3,IF(I939&lt;=120,I939*1.25+4,I939*1.25+5))),
""))),2)</f>
        <v>614.79999999999995</v>
      </c>
      <c r="I939" s="9">
        <f>($K$2+0.02)*Tabla1[[#This Row],[PRECIO $]]*1.18</f>
        <v>541.63415999999995</v>
      </c>
      <c r="J939" s="7">
        <f>+Tabla1[[#This Row],[PRECIO EN SOLES]]-Tabla1[[#This Row],[PC]]</f>
        <v>73.165840000000003</v>
      </c>
      <c r="K939" s="15"/>
      <c r="L939" s="15" t="str">
        <f>IF(
OR(
ISNUMBER(SEARCH("BACKPACK",B941)),
ISNUMBER(SEARCH("MOCHILA",B941)),
ISNUMBER(SEARCH("FUNDA",B941)),
ISNUMBER(SEARCH("ESTUCHE",B941)),
ISNUMBER(SEARCH("BOOK COVER",B941)),
ISNUMBER(SEARCH("KEYBOARD PARA TABLET",B941)),
ISNUMBER(SEARCH("FLIP TABLET",B941)),
ISNUMBER(SEARCH("CASE FOR TABLET",B941)),
ISNUMBER(SEARCH("CABLE",B941)),
ISNUMBER(SEARCH("ADAPTADOR",B941)),
ISNUMBER(SEARCH("HUB",B941)),
ISNUMBER(SEARCH("DOCK",B941)),
ISNUMBER(SEARCH("MOUSE PAD",B941)),
ISNUMBER(SEARCH("MOUSEPAD",B941)),
ISNUMBER(SEARCH("SOPORTE",B941)),
ISNUMBER(SEARCH("STAND",B941)),
ISNUMBER(SEARCH("TRAVEL ADAPTER",B941)),
ISNUMBER(SEARCH("RJ45",B941)),
ISNUMBER(SEARCH("USB-C",B941)),
ISNUMBER(SEARCH("USB WIFI",B941)),
ISNUMBER(SEARCH("POWERBANK",B941)),
ISNUMBER(SEARCH("CARGADOR",B941)),
ISNUMBER(SEARCH("COOLER PARA NB",B941)),
ISNUMBER(SEARCH("SOPORTE PARA NB",B941)),
ISNUMBER(SEARCH("WEBCAM",B941)),
ISNUMBER(SEARCH("WEB CAM",B941)),
ISNUMBER(SEARCH("MOUSE",B941)),
ISNUMBER(SEARCH("TECLADO",B941))
),
"COMPLEMENTO",
IF(
OR(
LEFT(A941,2)="NB",
LEFT(A941,2)="PC",
LEFT(A941,2)="WS",
LEFT(A941,2)="TB",
LEFT(A941,3)="CEL",
LEFT(A941,3)="MON",
LEFT(A941,3)="PRE",
LEFT(A941,3)="PRH",
ISNUMBER(SEARCH("NOTEBOOK",B941)),
ISNUMBER(SEARCH("LAPTOP",B941)),
ISNUMBER(SEARCH("MONITOR",B941)),
ISNUMBER(SEARCH("TABLET",B941)),
ISNUMBER(SEARCH("SMARTPH",B941)),
ISNUMBER(SEARCH("IMPRESORA",B941)),
ISNUMBER(SEARCH("MULTIFUNCIONAL",B941)),
ISNUMBER(SEARCH("AIO",B941))
),
"GANCHO",
"NORMAL"
)
)</f>
        <v>GANCHO</v>
      </c>
    </row>
    <row r="940" spans="1:12" x14ac:dyDescent="0.25">
      <c r="A940" s="3" t="s">
        <v>6546</v>
      </c>
      <c r="B940" s="3" t="s">
        <v>6547</v>
      </c>
      <c r="C940" s="1">
        <v>20</v>
      </c>
      <c r="D940" s="1">
        <v>105.3</v>
      </c>
      <c r="E940" s="1" t="s">
        <v>74</v>
      </c>
      <c r="F940" s="1" t="s">
        <v>6548</v>
      </c>
      <c r="G940" s="3" t="s">
        <v>6549</v>
      </c>
      <c r="H940" s="11">
        <f>ROUND(
IF(L938="GANCHO",
   IF(I940&lt;=50,I940*1.1+4,IF(I940&lt;=120,I940*1.1+7,IF(I940&lt;=250,I940*1.1+11,I940*1.1+19))),
IF(L938="NORMAL",
   IF(I940&lt;=30,I940*1.15+2,IF(I940&lt;=80,I940*1.15+4,IF(I940&lt;=150,I940*1.15+6,I940*1.15+8))),
IF(L938="COMPLEMENTO",
   IF(I940&lt;=25,I940*1.25+1.5,IF(I940&lt;=60,I940*1.25+3,IF(I940&lt;=120,I940*1.25+4,I940*1.25+5))),
""))),2)</f>
        <v>494.64</v>
      </c>
      <c r="I940" s="9">
        <f>($K$2+0.02)*Tabla1[[#This Row],[PRECIO $]]*1.18</f>
        <v>432.40391999999991</v>
      </c>
      <c r="J940" s="7">
        <f>+Tabla1[[#This Row],[PRECIO EN SOLES]]-Tabla1[[#This Row],[PC]]</f>
        <v>62.236080000000072</v>
      </c>
      <c r="K940" s="15"/>
      <c r="L940" s="15" t="str">
        <f>IF(
OR(
ISNUMBER(SEARCH("BACKPACK",B942)),
ISNUMBER(SEARCH("MOCHILA",B942)),
ISNUMBER(SEARCH("FUNDA",B942)),
ISNUMBER(SEARCH("ESTUCHE",B942)),
ISNUMBER(SEARCH("BOOK COVER",B942)),
ISNUMBER(SEARCH("KEYBOARD PARA TABLET",B942)),
ISNUMBER(SEARCH("FLIP TABLET",B942)),
ISNUMBER(SEARCH("CASE FOR TABLET",B942)),
ISNUMBER(SEARCH("CABLE",B942)),
ISNUMBER(SEARCH("ADAPTADOR",B942)),
ISNUMBER(SEARCH("HUB",B942)),
ISNUMBER(SEARCH("DOCK",B942)),
ISNUMBER(SEARCH("MOUSE PAD",B942)),
ISNUMBER(SEARCH("MOUSEPAD",B942)),
ISNUMBER(SEARCH("SOPORTE",B942)),
ISNUMBER(SEARCH("STAND",B942)),
ISNUMBER(SEARCH("TRAVEL ADAPTER",B942)),
ISNUMBER(SEARCH("RJ45",B942)),
ISNUMBER(SEARCH("USB-C",B942)),
ISNUMBER(SEARCH("USB WIFI",B942)),
ISNUMBER(SEARCH("POWERBANK",B942)),
ISNUMBER(SEARCH("CARGADOR",B942)),
ISNUMBER(SEARCH("COOLER PARA NB",B942)),
ISNUMBER(SEARCH("SOPORTE PARA NB",B942)),
ISNUMBER(SEARCH("WEBCAM",B942)),
ISNUMBER(SEARCH("WEB CAM",B942)),
ISNUMBER(SEARCH("MOUSE",B942)),
ISNUMBER(SEARCH("TECLADO",B942))
),
"COMPLEMENTO",
IF(
OR(
LEFT(A942,2)="NB",
LEFT(A942,2)="PC",
LEFT(A942,2)="WS",
LEFT(A942,2)="TB",
LEFT(A942,3)="CEL",
LEFT(A942,3)="MON",
LEFT(A942,3)="PRE",
LEFT(A942,3)="PRH",
ISNUMBER(SEARCH("NOTEBOOK",B942)),
ISNUMBER(SEARCH("LAPTOP",B942)),
ISNUMBER(SEARCH("MONITOR",B942)),
ISNUMBER(SEARCH("TABLET",B942)),
ISNUMBER(SEARCH("SMARTPH",B942)),
ISNUMBER(SEARCH("IMPRESORA",B942)),
ISNUMBER(SEARCH("MULTIFUNCIONAL",B942)),
ISNUMBER(SEARCH("AIO",B942))
),
"GANCHO",
"NORMAL"
)
)</f>
        <v>NORMAL</v>
      </c>
    </row>
    <row r="941" spans="1:12" x14ac:dyDescent="0.25">
      <c r="A941" s="3" t="s">
        <v>6056</v>
      </c>
      <c r="B941" s="3" t="s">
        <v>6057</v>
      </c>
      <c r="C941" s="1">
        <v>20</v>
      </c>
      <c r="D941" s="1">
        <v>158</v>
      </c>
      <c r="E941" s="1" t="s">
        <v>837</v>
      </c>
      <c r="F941" s="1" t="s">
        <v>6058</v>
      </c>
      <c r="G941" s="3" t="s">
        <v>6059</v>
      </c>
      <c r="H941" s="11">
        <f>ROUND(
IF(L939="GANCHO",
   IF(I941&lt;=50,I941*1.1+4,IF(I941&lt;=120,I941*1.1+7,IF(I941&lt;=250,I941*1.1+11,I941*1.1+19))),
IF(L939="NORMAL",
   IF(I941&lt;=30,I941*1.15+2,IF(I941&lt;=80,I941*1.15+4,IF(I941&lt;=150,I941*1.15+6,I941*1.15+8))),
IF(L939="COMPLEMENTO",
   IF(I941&lt;=25,I941*1.25+1.5,IF(I941&lt;=60,I941*1.25+3,IF(I941&lt;=120,I941*1.25+4,I941*1.25+5))),
""))),2)</f>
        <v>732.69</v>
      </c>
      <c r="I941" s="9">
        <f>($K$2+0.02)*Tabla1[[#This Row],[PRECIO $]]*1.18</f>
        <v>648.81119999999999</v>
      </c>
      <c r="J941" s="7">
        <f>+Tabla1[[#This Row],[PRECIO EN SOLES]]-Tabla1[[#This Row],[PC]]</f>
        <v>83.878800000000069</v>
      </c>
      <c r="K941" s="15"/>
      <c r="L941" s="15" t="str">
        <f>IF(
OR(
ISNUMBER(SEARCH("BACKPACK",B943)),
ISNUMBER(SEARCH("MOCHILA",B943)),
ISNUMBER(SEARCH("FUNDA",B943)),
ISNUMBER(SEARCH("ESTUCHE",B943)),
ISNUMBER(SEARCH("BOOK COVER",B943)),
ISNUMBER(SEARCH("KEYBOARD PARA TABLET",B943)),
ISNUMBER(SEARCH("FLIP TABLET",B943)),
ISNUMBER(SEARCH("CASE FOR TABLET",B943)),
ISNUMBER(SEARCH("CABLE",B943)),
ISNUMBER(SEARCH("ADAPTADOR",B943)),
ISNUMBER(SEARCH("HUB",B943)),
ISNUMBER(SEARCH("DOCK",B943)),
ISNUMBER(SEARCH("MOUSE PAD",B943)),
ISNUMBER(SEARCH("MOUSEPAD",B943)),
ISNUMBER(SEARCH("SOPORTE",B943)),
ISNUMBER(SEARCH("STAND",B943)),
ISNUMBER(SEARCH("TRAVEL ADAPTER",B943)),
ISNUMBER(SEARCH("RJ45",B943)),
ISNUMBER(SEARCH("USB-C",B943)),
ISNUMBER(SEARCH("USB WIFI",B943)),
ISNUMBER(SEARCH("POWERBANK",B943)),
ISNUMBER(SEARCH("CARGADOR",B943)),
ISNUMBER(SEARCH("COOLER PARA NB",B943)),
ISNUMBER(SEARCH("SOPORTE PARA NB",B943)),
ISNUMBER(SEARCH("WEBCAM",B943)),
ISNUMBER(SEARCH("WEB CAM",B943)),
ISNUMBER(SEARCH("MOUSE",B943)),
ISNUMBER(SEARCH("TECLADO",B943))
),
"COMPLEMENTO",
IF(
OR(
LEFT(A943,2)="NB",
LEFT(A943,2)="PC",
LEFT(A943,2)="WS",
LEFT(A943,2)="TB",
LEFT(A943,3)="CEL",
LEFT(A943,3)="MON",
LEFT(A943,3)="PRE",
LEFT(A943,3)="PRH",
ISNUMBER(SEARCH("NOTEBOOK",B943)),
ISNUMBER(SEARCH("LAPTOP",B943)),
ISNUMBER(SEARCH("MONITOR",B943)),
ISNUMBER(SEARCH("TABLET",B943)),
ISNUMBER(SEARCH("SMARTPH",B943)),
ISNUMBER(SEARCH("IMPRESORA",B943)),
ISNUMBER(SEARCH("MULTIFUNCIONAL",B943)),
ISNUMBER(SEARCH("AIO",B943))
),
"GANCHO",
"NORMAL"
)
)</f>
        <v>GANCHO</v>
      </c>
    </row>
    <row r="942" spans="1:12" x14ac:dyDescent="0.25">
      <c r="A942" s="3" t="s">
        <v>1668</v>
      </c>
      <c r="B942" s="3" t="s">
        <v>1669</v>
      </c>
      <c r="C942" s="1">
        <v>20</v>
      </c>
      <c r="D942" s="1">
        <v>209.5</v>
      </c>
      <c r="E942" s="1" t="s">
        <v>219</v>
      </c>
      <c r="F942" s="1" t="s">
        <v>3592</v>
      </c>
      <c r="G942" s="3" t="s">
        <v>1670</v>
      </c>
      <c r="H942" s="11">
        <f>ROUND(
IF(L940="GANCHO",
   IF(I942&lt;=50,I942*1.1+4,IF(I942&lt;=120,I942*1.1+7,IF(I942&lt;=250,I942*1.1+11,I942*1.1+19))),
IF(L940="NORMAL",
   IF(I942&lt;=30,I942*1.15+2,IF(I942&lt;=80,I942*1.15+4,IF(I942&lt;=150,I942*1.15+6,I942*1.15+8))),
IF(L940="COMPLEMENTO",
   IF(I942&lt;=25,I942*1.25+1.5,IF(I942&lt;=60,I942*1.25+3,IF(I942&lt;=120,I942*1.25+4,I942*1.25+5))),
""))),2)</f>
        <v>997.33</v>
      </c>
      <c r="I942" s="9">
        <f>($K$2+0.02)*Tabla1[[#This Row],[PRECIO $]]*1.18</f>
        <v>860.29079999999988</v>
      </c>
      <c r="J942" s="7">
        <f>+Tabla1[[#This Row],[PRECIO EN SOLES]]-Tabla1[[#This Row],[PC]]</f>
        <v>137.03920000000016</v>
      </c>
      <c r="K942" s="15"/>
      <c r="L942" s="15" t="str">
        <f>IF(
OR(
ISNUMBER(SEARCH("BACKPACK",B944)),
ISNUMBER(SEARCH("MOCHILA",B944)),
ISNUMBER(SEARCH("FUNDA",B944)),
ISNUMBER(SEARCH("ESTUCHE",B944)),
ISNUMBER(SEARCH("BOOK COVER",B944)),
ISNUMBER(SEARCH("KEYBOARD PARA TABLET",B944)),
ISNUMBER(SEARCH("FLIP TABLET",B944)),
ISNUMBER(SEARCH("CASE FOR TABLET",B944)),
ISNUMBER(SEARCH("CABLE",B944)),
ISNUMBER(SEARCH("ADAPTADOR",B944)),
ISNUMBER(SEARCH("HUB",B944)),
ISNUMBER(SEARCH("DOCK",B944)),
ISNUMBER(SEARCH("MOUSE PAD",B944)),
ISNUMBER(SEARCH("MOUSEPAD",B944)),
ISNUMBER(SEARCH("SOPORTE",B944)),
ISNUMBER(SEARCH("STAND",B944)),
ISNUMBER(SEARCH("TRAVEL ADAPTER",B944)),
ISNUMBER(SEARCH("RJ45",B944)),
ISNUMBER(SEARCH("USB-C",B944)),
ISNUMBER(SEARCH("USB WIFI",B944)),
ISNUMBER(SEARCH("POWERBANK",B944)),
ISNUMBER(SEARCH("CARGADOR",B944)),
ISNUMBER(SEARCH("COOLER PARA NB",B944)),
ISNUMBER(SEARCH("SOPORTE PARA NB",B944)),
ISNUMBER(SEARCH("WEBCAM",B944)),
ISNUMBER(SEARCH("WEB CAM",B944)),
ISNUMBER(SEARCH("MOUSE",B944)),
ISNUMBER(SEARCH("TECLADO",B944))
),
"COMPLEMENTO",
IF(
OR(
LEFT(A944,2)="NB",
LEFT(A944,2)="PC",
LEFT(A944,2)="WS",
LEFT(A944,2)="TB",
LEFT(A944,3)="CEL",
LEFT(A944,3)="MON",
LEFT(A944,3)="PRE",
LEFT(A944,3)="PRH",
ISNUMBER(SEARCH("NOTEBOOK",B944)),
ISNUMBER(SEARCH("LAPTOP",B944)),
ISNUMBER(SEARCH("MONITOR",B944)),
ISNUMBER(SEARCH("TABLET",B944)),
ISNUMBER(SEARCH("SMARTPH",B944)),
ISNUMBER(SEARCH("IMPRESORA",B944)),
ISNUMBER(SEARCH("MULTIFUNCIONAL",B944)),
ISNUMBER(SEARCH("AIO",B944))
),
"GANCHO",
"NORMAL"
)
)</f>
        <v>GANCHO</v>
      </c>
    </row>
    <row r="943" spans="1:12" x14ac:dyDescent="0.25">
      <c r="A943" s="3" t="s">
        <v>4314</v>
      </c>
      <c r="B943" s="3" t="s">
        <v>4315</v>
      </c>
      <c r="C943" s="1">
        <v>19</v>
      </c>
      <c r="D943" s="1">
        <v>199.9</v>
      </c>
      <c r="E943" s="1" t="s">
        <v>219</v>
      </c>
      <c r="F943" s="1" t="s">
        <v>4316</v>
      </c>
      <c r="G943" s="3" t="s">
        <v>4317</v>
      </c>
      <c r="H943" s="11">
        <f>ROUND(
IF(L941="GANCHO",
   IF(I943&lt;=50,I943*1.1+4,IF(I943&lt;=120,I943*1.1+7,IF(I943&lt;=250,I943*1.1+11,I943*1.1+19))),
IF(L941="NORMAL",
   IF(I943&lt;=30,I943*1.15+2,IF(I943&lt;=80,I943*1.15+4,IF(I943&lt;=150,I943*1.15+6,I943*1.15+8))),
IF(L941="COMPLEMENTO",
   IF(I943&lt;=25,I943*1.25+1.5,IF(I943&lt;=60,I943*1.25+3,IF(I943&lt;=120,I943*1.25+4,I943*1.25+5))),
""))),2)</f>
        <v>921.96</v>
      </c>
      <c r="I943" s="9">
        <f>($K$2+0.02)*Tabla1[[#This Row],[PRECIO $]]*1.18</f>
        <v>820.86936000000003</v>
      </c>
      <c r="J943" s="7">
        <f>+Tabla1[[#This Row],[PRECIO EN SOLES]]-Tabla1[[#This Row],[PC]]</f>
        <v>101.09064000000001</v>
      </c>
      <c r="K943" s="15"/>
      <c r="L943" s="15" t="str">
        <f>IF(
OR(
ISNUMBER(SEARCH("BACKPACK",B945)),
ISNUMBER(SEARCH("MOCHILA",B945)),
ISNUMBER(SEARCH("FUNDA",B945)),
ISNUMBER(SEARCH("ESTUCHE",B945)),
ISNUMBER(SEARCH("BOOK COVER",B945)),
ISNUMBER(SEARCH("KEYBOARD PARA TABLET",B945)),
ISNUMBER(SEARCH("FLIP TABLET",B945)),
ISNUMBER(SEARCH("CASE FOR TABLET",B945)),
ISNUMBER(SEARCH("CABLE",B945)),
ISNUMBER(SEARCH("ADAPTADOR",B945)),
ISNUMBER(SEARCH("HUB",B945)),
ISNUMBER(SEARCH("DOCK",B945)),
ISNUMBER(SEARCH("MOUSE PAD",B945)),
ISNUMBER(SEARCH("MOUSEPAD",B945)),
ISNUMBER(SEARCH("SOPORTE",B945)),
ISNUMBER(SEARCH("STAND",B945)),
ISNUMBER(SEARCH("TRAVEL ADAPTER",B945)),
ISNUMBER(SEARCH("RJ45",B945)),
ISNUMBER(SEARCH("USB-C",B945)),
ISNUMBER(SEARCH("USB WIFI",B945)),
ISNUMBER(SEARCH("POWERBANK",B945)),
ISNUMBER(SEARCH("CARGADOR",B945)),
ISNUMBER(SEARCH("COOLER PARA NB",B945)),
ISNUMBER(SEARCH("SOPORTE PARA NB",B945)),
ISNUMBER(SEARCH("WEBCAM",B945)),
ISNUMBER(SEARCH("WEB CAM",B945)),
ISNUMBER(SEARCH("MOUSE",B945)),
ISNUMBER(SEARCH("TECLADO",B945))
),
"COMPLEMENTO",
IF(
OR(
LEFT(A945,2)="NB",
LEFT(A945,2)="PC",
LEFT(A945,2)="WS",
LEFT(A945,2)="TB",
LEFT(A945,3)="CEL",
LEFT(A945,3)="MON",
LEFT(A945,3)="PRE",
LEFT(A945,3)="PRH",
ISNUMBER(SEARCH("NOTEBOOK",B945)),
ISNUMBER(SEARCH("LAPTOP",B945)),
ISNUMBER(SEARCH("MONITOR",B945)),
ISNUMBER(SEARCH("TABLET",B945)),
ISNUMBER(SEARCH("SMARTPH",B945)),
ISNUMBER(SEARCH("IMPRESORA",B945)),
ISNUMBER(SEARCH("MULTIFUNCIONAL",B945)),
ISNUMBER(SEARCH("AIO",B945))
),
"GANCHO",
"NORMAL"
)
)</f>
        <v>GANCHO</v>
      </c>
    </row>
    <row r="944" spans="1:12" x14ac:dyDescent="0.25">
      <c r="A944" s="3" t="s">
        <v>6060</v>
      </c>
      <c r="B944" s="3" t="s">
        <v>6061</v>
      </c>
      <c r="C944" s="1">
        <v>9</v>
      </c>
      <c r="D944" s="1">
        <v>183.5</v>
      </c>
      <c r="E944" s="1" t="s">
        <v>219</v>
      </c>
      <c r="F944" s="1" t="s">
        <v>6062</v>
      </c>
      <c r="G944" s="3" t="s">
        <v>6063</v>
      </c>
      <c r="H944" s="11">
        <f>ROUND(
IF(L942="GANCHO",
   IF(I944&lt;=50,I944*1.1+4,IF(I944&lt;=120,I944*1.1+7,IF(I944&lt;=250,I944*1.1+11,I944*1.1+19))),
IF(L942="NORMAL",
   IF(I944&lt;=30,I944*1.15+2,IF(I944&lt;=80,I944*1.15+4,IF(I944&lt;=150,I944*1.15+6,I944*1.15+8))),
IF(L942="COMPLEMENTO",
   IF(I944&lt;=25,I944*1.25+1.5,IF(I944&lt;=60,I944*1.25+3,IF(I944&lt;=120,I944*1.25+4,I944*1.25+5))),
""))),2)</f>
        <v>847.88</v>
      </c>
      <c r="I944" s="9">
        <f>($K$2+0.02)*Tabla1[[#This Row],[PRECIO $]]*1.18</f>
        <v>753.52440000000001</v>
      </c>
      <c r="J944" s="7">
        <f>+Tabla1[[#This Row],[PRECIO EN SOLES]]-Tabla1[[#This Row],[PC]]</f>
        <v>94.355599999999981</v>
      </c>
      <c r="K944" s="15"/>
      <c r="L944" s="15" t="str">
        <f>IF(
OR(
ISNUMBER(SEARCH("BACKPACK",B946)),
ISNUMBER(SEARCH("MOCHILA",B946)),
ISNUMBER(SEARCH("FUNDA",B946)),
ISNUMBER(SEARCH("ESTUCHE",B946)),
ISNUMBER(SEARCH("BOOK COVER",B946)),
ISNUMBER(SEARCH("KEYBOARD PARA TABLET",B946)),
ISNUMBER(SEARCH("FLIP TABLET",B946)),
ISNUMBER(SEARCH("CASE FOR TABLET",B946)),
ISNUMBER(SEARCH("CABLE",B946)),
ISNUMBER(SEARCH("ADAPTADOR",B946)),
ISNUMBER(SEARCH("HUB",B946)),
ISNUMBER(SEARCH("DOCK",B946)),
ISNUMBER(SEARCH("MOUSE PAD",B946)),
ISNUMBER(SEARCH("MOUSEPAD",B946)),
ISNUMBER(SEARCH("SOPORTE",B946)),
ISNUMBER(SEARCH("STAND",B946)),
ISNUMBER(SEARCH("TRAVEL ADAPTER",B946)),
ISNUMBER(SEARCH("RJ45",B946)),
ISNUMBER(SEARCH("USB-C",B946)),
ISNUMBER(SEARCH("USB WIFI",B946)),
ISNUMBER(SEARCH("POWERBANK",B946)),
ISNUMBER(SEARCH("CARGADOR",B946)),
ISNUMBER(SEARCH("COOLER PARA NB",B946)),
ISNUMBER(SEARCH("SOPORTE PARA NB",B946)),
ISNUMBER(SEARCH("WEBCAM",B946)),
ISNUMBER(SEARCH("WEB CAM",B946)),
ISNUMBER(SEARCH("MOUSE",B946)),
ISNUMBER(SEARCH("TECLADO",B946))
),
"COMPLEMENTO",
IF(
OR(
LEFT(A946,2)="NB",
LEFT(A946,2)="PC",
LEFT(A946,2)="WS",
LEFT(A946,2)="TB",
LEFT(A946,3)="CEL",
LEFT(A946,3)="MON",
LEFT(A946,3)="PRE",
LEFT(A946,3)="PRH",
ISNUMBER(SEARCH("NOTEBOOK",B946)),
ISNUMBER(SEARCH("LAPTOP",B946)),
ISNUMBER(SEARCH("MONITOR",B946)),
ISNUMBER(SEARCH("TABLET",B946)),
ISNUMBER(SEARCH("SMARTPH",B946)),
ISNUMBER(SEARCH("IMPRESORA",B946)),
ISNUMBER(SEARCH("MULTIFUNCIONAL",B946)),
ISNUMBER(SEARCH("AIO",B946))
),
"GANCHO",
"NORMAL"
)
)</f>
        <v>NORMAL</v>
      </c>
    </row>
    <row r="945" spans="1:12" x14ac:dyDescent="0.25">
      <c r="A945" s="3" t="s">
        <v>1671</v>
      </c>
      <c r="B945" s="3" t="s">
        <v>1672</v>
      </c>
      <c r="C945" s="1">
        <v>8</v>
      </c>
      <c r="D945" s="1">
        <v>370</v>
      </c>
      <c r="E945" s="1" t="s">
        <v>837</v>
      </c>
      <c r="F945" s="1" t="s">
        <v>3593</v>
      </c>
      <c r="G945" s="3" t="s">
        <v>1673</v>
      </c>
      <c r="H945" s="11">
        <f>ROUND(
IF(L943="GANCHO",
   IF(I945&lt;=50,I945*1.1+4,IF(I945&lt;=120,I945*1.1+7,IF(I945&lt;=250,I945*1.1+11,I945*1.1+19))),
IF(L943="NORMAL",
   IF(I945&lt;=30,I945*1.15+2,IF(I945&lt;=80,I945*1.15+4,IF(I945&lt;=150,I945*1.15+6,I945*1.15+8))),
IF(L943="COMPLEMENTO",
   IF(I945&lt;=25,I945*1.25+1.5,IF(I945&lt;=60,I945*1.25+3,IF(I945&lt;=120,I945*1.25+4,I945*1.25+5))),
""))),2)</f>
        <v>1690.3</v>
      </c>
      <c r="I945" s="9">
        <f>($K$2+0.02)*Tabla1[[#This Row],[PRECIO $]]*1.18</f>
        <v>1519.3679999999997</v>
      </c>
      <c r="J945" s="7">
        <f>+Tabla1[[#This Row],[PRECIO EN SOLES]]-Tabla1[[#This Row],[PC]]</f>
        <v>170.93200000000024</v>
      </c>
      <c r="K945" s="15"/>
      <c r="L945" s="15" t="str">
        <f>IF(
OR(
ISNUMBER(SEARCH("BACKPACK",B947)),
ISNUMBER(SEARCH("MOCHILA",B947)),
ISNUMBER(SEARCH("FUNDA",B947)),
ISNUMBER(SEARCH("ESTUCHE",B947)),
ISNUMBER(SEARCH("BOOK COVER",B947)),
ISNUMBER(SEARCH("KEYBOARD PARA TABLET",B947)),
ISNUMBER(SEARCH("FLIP TABLET",B947)),
ISNUMBER(SEARCH("CASE FOR TABLET",B947)),
ISNUMBER(SEARCH("CABLE",B947)),
ISNUMBER(SEARCH("ADAPTADOR",B947)),
ISNUMBER(SEARCH("HUB",B947)),
ISNUMBER(SEARCH("DOCK",B947)),
ISNUMBER(SEARCH("MOUSE PAD",B947)),
ISNUMBER(SEARCH("MOUSEPAD",B947)),
ISNUMBER(SEARCH("SOPORTE",B947)),
ISNUMBER(SEARCH("STAND",B947)),
ISNUMBER(SEARCH("TRAVEL ADAPTER",B947)),
ISNUMBER(SEARCH("RJ45",B947)),
ISNUMBER(SEARCH("USB-C",B947)),
ISNUMBER(SEARCH("USB WIFI",B947)),
ISNUMBER(SEARCH("POWERBANK",B947)),
ISNUMBER(SEARCH("CARGADOR",B947)),
ISNUMBER(SEARCH("COOLER PARA NB",B947)),
ISNUMBER(SEARCH("SOPORTE PARA NB",B947)),
ISNUMBER(SEARCH("WEBCAM",B947)),
ISNUMBER(SEARCH("WEB CAM",B947)),
ISNUMBER(SEARCH("MOUSE",B947)),
ISNUMBER(SEARCH("TECLADO",B947))
),
"COMPLEMENTO",
IF(
OR(
LEFT(A947,2)="NB",
LEFT(A947,2)="PC",
LEFT(A947,2)="WS",
LEFT(A947,2)="TB",
LEFT(A947,3)="CEL",
LEFT(A947,3)="MON",
LEFT(A947,3)="PRE",
LEFT(A947,3)="PRH",
ISNUMBER(SEARCH("NOTEBOOK",B947)),
ISNUMBER(SEARCH("LAPTOP",B947)),
ISNUMBER(SEARCH("MONITOR",B947)),
ISNUMBER(SEARCH("TABLET",B947)),
ISNUMBER(SEARCH("SMARTPH",B947)),
ISNUMBER(SEARCH("IMPRESORA",B947)),
ISNUMBER(SEARCH("MULTIFUNCIONAL",B947)),
ISNUMBER(SEARCH("AIO",B947))
),
"GANCHO",
"NORMAL"
)
)</f>
        <v>GANCHO</v>
      </c>
    </row>
    <row r="946" spans="1:12" x14ac:dyDescent="0.25">
      <c r="A946" s="3" t="s">
        <v>6064</v>
      </c>
      <c r="B946" s="3" t="s">
        <v>6065</v>
      </c>
      <c r="C946" s="1">
        <v>6</v>
      </c>
      <c r="D946" s="1">
        <v>284</v>
      </c>
      <c r="E946" s="1" t="s">
        <v>219</v>
      </c>
      <c r="F946" s="1" t="s">
        <v>6066</v>
      </c>
      <c r="G946" s="3" t="s">
        <v>6067</v>
      </c>
      <c r="H946" s="11">
        <f>ROUND(
IF(L944="GANCHO",
   IF(I946&lt;=50,I946*1.1+4,IF(I946&lt;=120,I946*1.1+7,IF(I946&lt;=250,I946*1.1+11,I946*1.1+19))),
IF(L944="NORMAL",
   IF(I946&lt;=30,I946*1.15+2,IF(I946&lt;=80,I946*1.15+4,IF(I946&lt;=150,I946*1.15+6,I946*1.15+8))),
IF(L944="COMPLEMENTO",
   IF(I946&lt;=25,I946*1.25+1.5,IF(I946&lt;=60,I946*1.25+3,IF(I946&lt;=120,I946*1.25+4,I946*1.25+5))),
""))),2)</f>
        <v>1349.15</v>
      </c>
      <c r="I946" s="9">
        <f>($K$2+0.02)*Tabla1[[#This Row],[PRECIO $]]*1.18</f>
        <v>1166.2175999999999</v>
      </c>
      <c r="J946" s="7">
        <f>+Tabla1[[#This Row],[PRECIO EN SOLES]]-Tabla1[[#This Row],[PC]]</f>
        <v>182.93240000000014</v>
      </c>
      <c r="K946" s="15"/>
      <c r="L946" s="15" t="str">
        <f>IF(
OR(
ISNUMBER(SEARCH("BACKPACK",B948)),
ISNUMBER(SEARCH("MOCHILA",B948)),
ISNUMBER(SEARCH("FUNDA",B948)),
ISNUMBER(SEARCH("ESTUCHE",B948)),
ISNUMBER(SEARCH("BOOK COVER",B948)),
ISNUMBER(SEARCH("KEYBOARD PARA TABLET",B948)),
ISNUMBER(SEARCH("FLIP TABLET",B948)),
ISNUMBER(SEARCH("CASE FOR TABLET",B948)),
ISNUMBER(SEARCH("CABLE",B948)),
ISNUMBER(SEARCH("ADAPTADOR",B948)),
ISNUMBER(SEARCH("HUB",B948)),
ISNUMBER(SEARCH("DOCK",B948)),
ISNUMBER(SEARCH("MOUSE PAD",B948)),
ISNUMBER(SEARCH("MOUSEPAD",B948)),
ISNUMBER(SEARCH("SOPORTE",B948)),
ISNUMBER(SEARCH("STAND",B948)),
ISNUMBER(SEARCH("TRAVEL ADAPTER",B948)),
ISNUMBER(SEARCH("RJ45",B948)),
ISNUMBER(SEARCH("USB-C",B948)),
ISNUMBER(SEARCH("USB WIFI",B948)),
ISNUMBER(SEARCH("POWERBANK",B948)),
ISNUMBER(SEARCH("CARGADOR",B948)),
ISNUMBER(SEARCH("COOLER PARA NB",B948)),
ISNUMBER(SEARCH("SOPORTE PARA NB",B948)),
ISNUMBER(SEARCH("WEBCAM",B948)),
ISNUMBER(SEARCH("WEB CAM",B948)),
ISNUMBER(SEARCH("MOUSE",B948)),
ISNUMBER(SEARCH("TECLADO",B948))
),
"COMPLEMENTO",
IF(
OR(
LEFT(A948,2)="NB",
LEFT(A948,2)="PC",
LEFT(A948,2)="WS",
LEFT(A948,2)="TB",
LEFT(A948,3)="CEL",
LEFT(A948,3)="MON",
LEFT(A948,3)="PRE",
LEFT(A948,3)="PRH",
ISNUMBER(SEARCH("NOTEBOOK",B948)),
ISNUMBER(SEARCH("LAPTOP",B948)),
ISNUMBER(SEARCH("MONITOR",B948)),
ISNUMBER(SEARCH("TABLET",B948)),
ISNUMBER(SEARCH("SMARTPH",B948)),
ISNUMBER(SEARCH("IMPRESORA",B948)),
ISNUMBER(SEARCH("MULTIFUNCIONAL",B948)),
ISNUMBER(SEARCH("AIO",B948))
),
"GANCHO",
"NORMAL"
)
)</f>
        <v>GANCHO</v>
      </c>
    </row>
    <row r="947" spans="1:12" x14ac:dyDescent="0.25">
      <c r="A947" s="3" t="s">
        <v>2891</v>
      </c>
      <c r="B947" s="3" t="s">
        <v>2892</v>
      </c>
      <c r="C947" s="1">
        <v>3</v>
      </c>
      <c r="D947" s="1">
        <v>231</v>
      </c>
      <c r="E947" s="1" t="s">
        <v>219</v>
      </c>
      <c r="F947" s="1" t="s">
        <v>3594</v>
      </c>
      <c r="G947" s="3" t="s">
        <v>2893</v>
      </c>
      <c r="H947" s="11">
        <f>ROUND(
IF(L945="GANCHO",
   IF(I947&lt;=50,I947*1.1+4,IF(I947&lt;=120,I947*1.1+7,IF(I947&lt;=250,I947*1.1+11,I947*1.1+19))),
IF(L945="NORMAL",
   IF(I947&lt;=30,I947*1.15+2,IF(I947&lt;=80,I947*1.15+4,IF(I947&lt;=150,I947*1.15+6,I947*1.15+8))),
IF(L945="COMPLEMENTO",
   IF(I947&lt;=25,I947*1.25+1.5,IF(I947&lt;=60,I947*1.25+3,IF(I947&lt;=120,I947*1.25+4,I947*1.25+5))),
""))),2)</f>
        <v>1062.44</v>
      </c>
      <c r="I947" s="9">
        <f>($K$2+0.02)*Tabla1[[#This Row],[PRECIO $]]*1.18</f>
        <v>948.57839999999999</v>
      </c>
      <c r="J947" s="7">
        <f>+Tabla1[[#This Row],[PRECIO EN SOLES]]-Tabla1[[#This Row],[PC]]</f>
        <v>113.86160000000007</v>
      </c>
      <c r="K947" s="15"/>
      <c r="L947" s="15" t="str">
        <f>IF(
OR(
ISNUMBER(SEARCH("BACKPACK",B949)),
ISNUMBER(SEARCH("MOCHILA",B949)),
ISNUMBER(SEARCH("FUNDA",B949)),
ISNUMBER(SEARCH("ESTUCHE",B949)),
ISNUMBER(SEARCH("BOOK COVER",B949)),
ISNUMBER(SEARCH("KEYBOARD PARA TABLET",B949)),
ISNUMBER(SEARCH("FLIP TABLET",B949)),
ISNUMBER(SEARCH("CASE FOR TABLET",B949)),
ISNUMBER(SEARCH("CABLE",B949)),
ISNUMBER(SEARCH("ADAPTADOR",B949)),
ISNUMBER(SEARCH("HUB",B949)),
ISNUMBER(SEARCH("DOCK",B949)),
ISNUMBER(SEARCH("MOUSE PAD",B949)),
ISNUMBER(SEARCH("MOUSEPAD",B949)),
ISNUMBER(SEARCH("SOPORTE",B949)),
ISNUMBER(SEARCH("STAND",B949)),
ISNUMBER(SEARCH("TRAVEL ADAPTER",B949)),
ISNUMBER(SEARCH("RJ45",B949)),
ISNUMBER(SEARCH("USB-C",B949)),
ISNUMBER(SEARCH("USB WIFI",B949)),
ISNUMBER(SEARCH("POWERBANK",B949)),
ISNUMBER(SEARCH("CARGADOR",B949)),
ISNUMBER(SEARCH("COOLER PARA NB",B949)),
ISNUMBER(SEARCH("SOPORTE PARA NB",B949)),
ISNUMBER(SEARCH("WEBCAM",B949)),
ISNUMBER(SEARCH("WEB CAM",B949)),
ISNUMBER(SEARCH("MOUSE",B949)),
ISNUMBER(SEARCH("TECLADO",B949))
),
"COMPLEMENTO",
IF(
OR(
LEFT(A949,2)="NB",
LEFT(A949,2)="PC",
LEFT(A949,2)="WS",
LEFT(A949,2)="TB",
LEFT(A949,3)="CEL",
LEFT(A949,3)="MON",
LEFT(A949,3)="PRE",
LEFT(A949,3)="PRH",
ISNUMBER(SEARCH("NOTEBOOK",B949)),
ISNUMBER(SEARCH("LAPTOP",B949)),
ISNUMBER(SEARCH("MONITOR",B949)),
ISNUMBER(SEARCH("TABLET",B949)),
ISNUMBER(SEARCH("SMARTPH",B949)),
ISNUMBER(SEARCH("IMPRESORA",B949)),
ISNUMBER(SEARCH("MULTIFUNCIONAL",B949)),
ISNUMBER(SEARCH("AIO",B949))
),
"GANCHO",
"NORMAL"
)
)</f>
        <v>GANCHO</v>
      </c>
    </row>
    <row r="948" spans="1:12" x14ac:dyDescent="0.25">
      <c r="A948" s="3" t="s">
        <v>4649</v>
      </c>
      <c r="B948" s="3" t="s">
        <v>4650</v>
      </c>
      <c r="C948" s="1">
        <v>20</v>
      </c>
      <c r="D948" s="1">
        <v>177</v>
      </c>
      <c r="E948" s="1" t="s">
        <v>837</v>
      </c>
      <c r="F948" s="1" t="s">
        <v>4651</v>
      </c>
      <c r="G948" s="3" t="s">
        <v>4652</v>
      </c>
      <c r="H948" s="11">
        <f>ROUND(
IF(L946="GANCHO",
   IF(I948&lt;=50,I948*1.1+4,IF(I948&lt;=120,I948*1.1+7,IF(I948&lt;=250,I948*1.1+11,I948*1.1+19))),
IF(L946="NORMAL",
   IF(I948&lt;=30,I948*1.15+2,IF(I948&lt;=80,I948*1.15+4,IF(I948&lt;=150,I948*1.15+6,I948*1.15+8))),
IF(L946="COMPLEMENTO",
   IF(I948&lt;=25,I948*1.25+1.5,IF(I948&lt;=60,I948*1.25+3,IF(I948&lt;=120,I948*1.25+4,I948*1.25+5))),
""))),2)</f>
        <v>818.52</v>
      </c>
      <c r="I948" s="9">
        <f>($K$2+0.02)*Tabla1[[#This Row],[PRECIO $]]*1.18</f>
        <v>726.83280000000002</v>
      </c>
      <c r="J948" s="7">
        <f>+Tabla1[[#This Row],[PRECIO EN SOLES]]-Tabla1[[#This Row],[PC]]</f>
        <v>91.687199999999962</v>
      </c>
      <c r="K948" s="15"/>
      <c r="L948" s="15" t="str">
        <f>IF(
OR(
ISNUMBER(SEARCH("BACKPACK",B950)),
ISNUMBER(SEARCH("MOCHILA",B950)),
ISNUMBER(SEARCH("FUNDA",B950)),
ISNUMBER(SEARCH("ESTUCHE",B950)),
ISNUMBER(SEARCH("BOOK COVER",B950)),
ISNUMBER(SEARCH("KEYBOARD PARA TABLET",B950)),
ISNUMBER(SEARCH("FLIP TABLET",B950)),
ISNUMBER(SEARCH("CASE FOR TABLET",B950)),
ISNUMBER(SEARCH("CABLE",B950)),
ISNUMBER(SEARCH("ADAPTADOR",B950)),
ISNUMBER(SEARCH("HUB",B950)),
ISNUMBER(SEARCH("DOCK",B950)),
ISNUMBER(SEARCH("MOUSE PAD",B950)),
ISNUMBER(SEARCH("MOUSEPAD",B950)),
ISNUMBER(SEARCH("SOPORTE",B950)),
ISNUMBER(SEARCH("STAND",B950)),
ISNUMBER(SEARCH("TRAVEL ADAPTER",B950)),
ISNUMBER(SEARCH("RJ45",B950)),
ISNUMBER(SEARCH("USB-C",B950)),
ISNUMBER(SEARCH("USB WIFI",B950)),
ISNUMBER(SEARCH("POWERBANK",B950)),
ISNUMBER(SEARCH("CARGADOR",B950)),
ISNUMBER(SEARCH("COOLER PARA NB",B950)),
ISNUMBER(SEARCH("SOPORTE PARA NB",B950)),
ISNUMBER(SEARCH("WEBCAM",B950)),
ISNUMBER(SEARCH("WEB CAM",B950)),
ISNUMBER(SEARCH("MOUSE",B950)),
ISNUMBER(SEARCH("TECLADO",B950))
),
"COMPLEMENTO",
IF(
OR(
LEFT(A950,2)="NB",
LEFT(A950,2)="PC",
LEFT(A950,2)="WS",
LEFT(A950,2)="TB",
LEFT(A950,3)="CEL",
LEFT(A950,3)="MON",
LEFT(A950,3)="PRE",
LEFT(A950,3)="PRH",
ISNUMBER(SEARCH("NOTEBOOK",B950)),
ISNUMBER(SEARCH("LAPTOP",B950)),
ISNUMBER(SEARCH("MONITOR",B950)),
ISNUMBER(SEARCH("TABLET",B950)),
ISNUMBER(SEARCH("SMARTPH",B950)),
ISNUMBER(SEARCH("IMPRESORA",B950)),
ISNUMBER(SEARCH("MULTIFUNCIONAL",B950)),
ISNUMBER(SEARCH("AIO",B950))
),
"GANCHO",
"NORMAL"
)
)</f>
        <v>NORMAL</v>
      </c>
    </row>
    <row r="949" spans="1:12" x14ac:dyDescent="0.25">
      <c r="A949" s="3" t="s">
        <v>6337</v>
      </c>
      <c r="B949" s="3" t="s">
        <v>6338</v>
      </c>
      <c r="C949" s="1">
        <v>20</v>
      </c>
      <c r="D949" s="1">
        <v>85.5</v>
      </c>
      <c r="E949" s="1" t="s">
        <v>52</v>
      </c>
      <c r="F949" s="1" t="s">
        <v>6339</v>
      </c>
      <c r="G949" s="3" t="s">
        <v>6340</v>
      </c>
      <c r="H949" s="11">
        <f>ROUND(
IF(L947="GANCHO",
   IF(I949&lt;=50,I949*1.1+4,IF(I949&lt;=120,I949*1.1+7,IF(I949&lt;=250,I949*1.1+11,I949*1.1+19))),
IF(L947="NORMAL",
   IF(I949&lt;=30,I949*1.15+2,IF(I949&lt;=80,I949*1.15+4,IF(I949&lt;=150,I949*1.15+6,I949*1.15+8))),
IF(L947="COMPLEMENTO",
   IF(I949&lt;=25,I949*1.25+1.5,IF(I949&lt;=60,I949*1.25+3,IF(I949&lt;=120,I949*1.25+4,I949*1.25+5))),
""))),2)</f>
        <v>405.21</v>
      </c>
      <c r="I949" s="9">
        <f>($K$2+0.02)*Tabla1[[#This Row],[PRECIO $]]*1.18</f>
        <v>351.09719999999999</v>
      </c>
      <c r="J949" s="7">
        <f>+Tabla1[[#This Row],[PRECIO EN SOLES]]-Tabla1[[#This Row],[PC]]</f>
        <v>54.112799999999993</v>
      </c>
      <c r="K949" s="15"/>
      <c r="L949" s="15" t="str">
        <f>IF(
OR(
ISNUMBER(SEARCH("BACKPACK",B951)),
ISNUMBER(SEARCH("MOCHILA",B951)),
ISNUMBER(SEARCH("FUNDA",B951)),
ISNUMBER(SEARCH("ESTUCHE",B951)),
ISNUMBER(SEARCH("BOOK COVER",B951)),
ISNUMBER(SEARCH("KEYBOARD PARA TABLET",B951)),
ISNUMBER(SEARCH("FLIP TABLET",B951)),
ISNUMBER(SEARCH("CASE FOR TABLET",B951)),
ISNUMBER(SEARCH("CABLE",B951)),
ISNUMBER(SEARCH("ADAPTADOR",B951)),
ISNUMBER(SEARCH("HUB",B951)),
ISNUMBER(SEARCH("DOCK",B951)),
ISNUMBER(SEARCH("MOUSE PAD",B951)),
ISNUMBER(SEARCH("MOUSEPAD",B951)),
ISNUMBER(SEARCH("SOPORTE",B951)),
ISNUMBER(SEARCH("STAND",B951)),
ISNUMBER(SEARCH("TRAVEL ADAPTER",B951)),
ISNUMBER(SEARCH("RJ45",B951)),
ISNUMBER(SEARCH("USB-C",B951)),
ISNUMBER(SEARCH("USB WIFI",B951)),
ISNUMBER(SEARCH("POWERBANK",B951)),
ISNUMBER(SEARCH("CARGADOR",B951)),
ISNUMBER(SEARCH("COOLER PARA NB",B951)),
ISNUMBER(SEARCH("SOPORTE PARA NB",B951)),
ISNUMBER(SEARCH("WEBCAM",B951)),
ISNUMBER(SEARCH("WEB CAM",B951)),
ISNUMBER(SEARCH("MOUSE",B951)),
ISNUMBER(SEARCH("TECLADO",B951))
),
"COMPLEMENTO",
IF(
OR(
LEFT(A951,2)="NB",
LEFT(A951,2)="PC",
LEFT(A951,2)="WS",
LEFT(A951,2)="TB",
LEFT(A951,3)="CEL",
LEFT(A951,3)="MON",
LEFT(A951,3)="PRE",
LEFT(A951,3)="PRH",
ISNUMBER(SEARCH("NOTEBOOK",B951)),
ISNUMBER(SEARCH("LAPTOP",B951)),
ISNUMBER(SEARCH("MONITOR",B951)),
ISNUMBER(SEARCH("TABLET",B951)),
ISNUMBER(SEARCH("SMARTPH",B951)),
ISNUMBER(SEARCH("IMPRESORA",B951)),
ISNUMBER(SEARCH("MULTIFUNCIONAL",B951)),
ISNUMBER(SEARCH("AIO",B951))
),
"GANCHO",
"NORMAL"
)
)</f>
        <v>NORMAL</v>
      </c>
    </row>
    <row r="950" spans="1:12" x14ac:dyDescent="0.25">
      <c r="A950" s="3" t="s">
        <v>2790</v>
      </c>
      <c r="B950" s="3" t="s">
        <v>2791</v>
      </c>
      <c r="C950" s="1">
        <v>2</v>
      </c>
      <c r="D950" s="1">
        <v>711</v>
      </c>
      <c r="E950" s="1" t="s">
        <v>838</v>
      </c>
      <c r="F950" s="1" t="s">
        <v>3595</v>
      </c>
      <c r="G950" s="3" t="s">
        <v>2792</v>
      </c>
      <c r="H950" s="11">
        <f>ROUND(
IF(L948="GANCHO",
   IF(I950&lt;=50,I950*1.1+4,IF(I950&lt;=120,I950*1.1+7,IF(I950&lt;=250,I950*1.1+11,I950*1.1+19))),
IF(L948="NORMAL",
   IF(I950&lt;=30,I950*1.15+2,IF(I950&lt;=80,I950*1.15+4,IF(I950&lt;=150,I950*1.15+6,I950*1.15+8))),
IF(L948="COMPLEMENTO",
   IF(I950&lt;=25,I950*1.25+1.5,IF(I950&lt;=60,I950*1.25+3,IF(I950&lt;=120,I950*1.25+4,I950*1.25+5))),
""))),2)</f>
        <v>3365.6</v>
      </c>
      <c r="I950" s="9">
        <f>($K$2+0.02)*Tabla1[[#This Row],[PRECIO $]]*1.18</f>
        <v>2919.6504</v>
      </c>
      <c r="J950" s="7">
        <f>+Tabla1[[#This Row],[PRECIO EN SOLES]]-Tabla1[[#This Row],[PC]]</f>
        <v>445.94959999999992</v>
      </c>
      <c r="K950" s="15"/>
      <c r="L950" s="15" t="str">
        <f>IF(
OR(
ISNUMBER(SEARCH("BACKPACK",B952)),
ISNUMBER(SEARCH("MOCHILA",B952)),
ISNUMBER(SEARCH("FUNDA",B952)),
ISNUMBER(SEARCH("ESTUCHE",B952)),
ISNUMBER(SEARCH("BOOK COVER",B952)),
ISNUMBER(SEARCH("KEYBOARD PARA TABLET",B952)),
ISNUMBER(SEARCH("FLIP TABLET",B952)),
ISNUMBER(SEARCH("CASE FOR TABLET",B952)),
ISNUMBER(SEARCH("CABLE",B952)),
ISNUMBER(SEARCH("ADAPTADOR",B952)),
ISNUMBER(SEARCH("HUB",B952)),
ISNUMBER(SEARCH("DOCK",B952)),
ISNUMBER(SEARCH("MOUSE PAD",B952)),
ISNUMBER(SEARCH("MOUSEPAD",B952)),
ISNUMBER(SEARCH("SOPORTE",B952)),
ISNUMBER(SEARCH("STAND",B952)),
ISNUMBER(SEARCH("TRAVEL ADAPTER",B952)),
ISNUMBER(SEARCH("RJ45",B952)),
ISNUMBER(SEARCH("USB-C",B952)),
ISNUMBER(SEARCH("USB WIFI",B952)),
ISNUMBER(SEARCH("POWERBANK",B952)),
ISNUMBER(SEARCH("CARGADOR",B952)),
ISNUMBER(SEARCH("COOLER PARA NB",B952)),
ISNUMBER(SEARCH("SOPORTE PARA NB",B952)),
ISNUMBER(SEARCH("WEBCAM",B952)),
ISNUMBER(SEARCH("WEB CAM",B952)),
ISNUMBER(SEARCH("MOUSE",B952)),
ISNUMBER(SEARCH("TECLADO",B952))
),
"COMPLEMENTO",
IF(
OR(
LEFT(A952,2)="NB",
LEFT(A952,2)="PC",
LEFT(A952,2)="WS",
LEFT(A952,2)="TB",
LEFT(A952,3)="CEL",
LEFT(A952,3)="MON",
LEFT(A952,3)="PRE",
LEFT(A952,3)="PRH",
ISNUMBER(SEARCH("NOTEBOOK",B952)),
ISNUMBER(SEARCH("LAPTOP",B952)),
ISNUMBER(SEARCH("MONITOR",B952)),
ISNUMBER(SEARCH("TABLET",B952)),
ISNUMBER(SEARCH("SMARTPH",B952)),
ISNUMBER(SEARCH("IMPRESORA",B952)),
ISNUMBER(SEARCH("MULTIFUNCIONAL",B952)),
ISNUMBER(SEARCH("AIO",B952))
),
"GANCHO",
"NORMAL"
)
)</f>
        <v>NORMAL</v>
      </c>
    </row>
    <row r="951" spans="1:12" x14ac:dyDescent="0.25">
      <c r="A951" s="3" t="s">
        <v>6341</v>
      </c>
      <c r="B951" s="3" t="s">
        <v>6342</v>
      </c>
      <c r="C951" s="1">
        <v>1</v>
      </c>
      <c r="D951" s="1">
        <v>317.5</v>
      </c>
      <c r="E951" s="1" t="s">
        <v>115</v>
      </c>
      <c r="F951" s="1" t="s">
        <v>6343</v>
      </c>
      <c r="G951" s="3"/>
      <c r="H951" s="11">
        <f>ROUND(
IF(L949="GANCHO",
   IF(I951&lt;=50,I951*1.1+4,IF(I951&lt;=120,I951*1.1+7,IF(I951&lt;=250,I951*1.1+11,I951*1.1+19))),
IF(L949="NORMAL",
   IF(I951&lt;=30,I951*1.15+2,IF(I951&lt;=80,I951*1.15+4,IF(I951&lt;=150,I951*1.15+6,I951*1.15+8))),
IF(L949="COMPLEMENTO",
   IF(I951&lt;=25,I951*1.25+1.5,IF(I951&lt;=60,I951*1.25+3,IF(I951&lt;=120,I951*1.25+4,I951*1.25+5))),
""))),2)</f>
        <v>1507.35</v>
      </c>
      <c r="I951" s="9">
        <f>($K$2+0.02)*Tabla1[[#This Row],[PRECIO $]]*1.18</f>
        <v>1303.7819999999999</v>
      </c>
      <c r="J951" s="7">
        <f>+Tabla1[[#This Row],[PRECIO EN SOLES]]-Tabla1[[#This Row],[PC]]</f>
        <v>203.56799999999998</v>
      </c>
      <c r="K951" s="15"/>
      <c r="L951" s="15" t="str">
        <f>IF(
OR(
ISNUMBER(SEARCH("BACKPACK",B953)),
ISNUMBER(SEARCH("MOCHILA",B953)),
ISNUMBER(SEARCH("FUNDA",B953)),
ISNUMBER(SEARCH("ESTUCHE",B953)),
ISNUMBER(SEARCH("BOOK COVER",B953)),
ISNUMBER(SEARCH("KEYBOARD PARA TABLET",B953)),
ISNUMBER(SEARCH("FLIP TABLET",B953)),
ISNUMBER(SEARCH("CASE FOR TABLET",B953)),
ISNUMBER(SEARCH("CABLE",B953)),
ISNUMBER(SEARCH("ADAPTADOR",B953)),
ISNUMBER(SEARCH("HUB",B953)),
ISNUMBER(SEARCH("DOCK",B953)),
ISNUMBER(SEARCH("MOUSE PAD",B953)),
ISNUMBER(SEARCH("MOUSEPAD",B953)),
ISNUMBER(SEARCH("SOPORTE",B953)),
ISNUMBER(SEARCH("STAND",B953)),
ISNUMBER(SEARCH("TRAVEL ADAPTER",B953)),
ISNUMBER(SEARCH("RJ45",B953)),
ISNUMBER(SEARCH("USB-C",B953)),
ISNUMBER(SEARCH("USB WIFI",B953)),
ISNUMBER(SEARCH("POWERBANK",B953)),
ISNUMBER(SEARCH("CARGADOR",B953)),
ISNUMBER(SEARCH("COOLER PARA NB",B953)),
ISNUMBER(SEARCH("SOPORTE PARA NB",B953)),
ISNUMBER(SEARCH("WEBCAM",B953)),
ISNUMBER(SEARCH("WEB CAM",B953)),
ISNUMBER(SEARCH("MOUSE",B953)),
ISNUMBER(SEARCH("TECLADO",B953))
),
"COMPLEMENTO",
IF(
OR(
LEFT(A953,2)="NB",
LEFT(A953,2)="PC",
LEFT(A953,2)="WS",
LEFT(A953,2)="TB",
LEFT(A953,3)="CEL",
LEFT(A953,3)="MON",
LEFT(A953,3)="PRE",
LEFT(A953,3)="PRH",
ISNUMBER(SEARCH("NOTEBOOK",B953)),
ISNUMBER(SEARCH("LAPTOP",B953)),
ISNUMBER(SEARCH("MONITOR",B953)),
ISNUMBER(SEARCH("TABLET",B953)),
ISNUMBER(SEARCH("SMARTPH",B953)),
ISNUMBER(SEARCH("IMPRESORA",B953)),
ISNUMBER(SEARCH("MULTIFUNCIONAL",B953)),
ISNUMBER(SEARCH("AIO",B953))
),
"GANCHO",
"NORMAL"
)
)</f>
        <v>COMPLEMENTO</v>
      </c>
    </row>
    <row r="952" spans="1:12" x14ac:dyDescent="0.25">
      <c r="A952" s="3" t="s">
        <v>6797</v>
      </c>
      <c r="B952" s="3" t="s">
        <v>6798</v>
      </c>
      <c r="C952" s="1">
        <v>20</v>
      </c>
      <c r="D952" s="1">
        <v>53</v>
      </c>
      <c r="E952" s="1" t="s">
        <v>6799</v>
      </c>
      <c r="F952" s="1" t="s">
        <v>6800</v>
      </c>
      <c r="G952" s="3" t="s">
        <v>6801</v>
      </c>
      <c r="H952" s="11">
        <f>ROUND(
IF(L950="GANCHO",
   IF(I952&lt;=50,I952*1.1+4,IF(I952&lt;=120,I952*1.1+7,IF(I952&lt;=250,I952*1.1+11,I952*1.1+19))),
IF(L950="NORMAL",
   IF(I952&lt;=30,I952*1.15+2,IF(I952&lt;=80,I952*1.15+4,IF(I952&lt;=150,I952*1.15+6,I952*1.15+8))),
IF(L950="COMPLEMENTO",
   IF(I952&lt;=25,I952*1.25+1.5,IF(I952&lt;=60,I952*1.25+3,IF(I952&lt;=120,I952*1.25+4,I952*1.25+5))),
""))),2)</f>
        <v>258.29000000000002</v>
      </c>
      <c r="I952" s="9">
        <f>($K$2+0.02)*Tabla1[[#This Row],[PRECIO $]]*1.18</f>
        <v>217.63919999999999</v>
      </c>
      <c r="J952" s="7">
        <f>+Tabla1[[#This Row],[PRECIO EN SOLES]]-Tabla1[[#This Row],[PC]]</f>
        <v>40.650800000000032</v>
      </c>
      <c r="K952" s="15"/>
      <c r="L952" s="15" t="str">
        <f>IF(
OR(
ISNUMBER(SEARCH("BACKPACK",B954)),
ISNUMBER(SEARCH("MOCHILA",B954)),
ISNUMBER(SEARCH("FUNDA",B954)),
ISNUMBER(SEARCH("ESTUCHE",B954)),
ISNUMBER(SEARCH("BOOK COVER",B954)),
ISNUMBER(SEARCH("KEYBOARD PARA TABLET",B954)),
ISNUMBER(SEARCH("FLIP TABLET",B954)),
ISNUMBER(SEARCH("CASE FOR TABLET",B954)),
ISNUMBER(SEARCH("CABLE",B954)),
ISNUMBER(SEARCH("ADAPTADOR",B954)),
ISNUMBER(SEARCH("HUB",B954)),
ISNUMBER(SEARCH("DOCK",B954)),
ISNUMBER(SEARCH("MOUSE PAD",B954)),
ISNUMBER(SEARCH("MOUSEPAD",B954)),
ISNUMBER(SEARCH("SOPORTE",B954)),
ISNUMBER(SEARCH("STAND",B954)),
ISNUMBER(SEARCH("TRAVEL ADAPTER",B954)),
ISNUMBER(SEARCH("RJ45",B954)),
ISNUMBER(SEARCH("USB-C",B954)),
ISNUMBER(SEARCH("USB WIFI",B954)),
ISNUMBER(SEARCH("POWERBANK",B954)),
ISNUMBER(SEARCH("CARGADOR",B954)),
ISNUMBER(SEARCH("COOLER PARA NB",B954)),
ISNUMBER(SEARCH("SOPORTE PARA NB",B954)),
ISNUMBER(SEARCH("WEBCAM",B954)),
ISNUMBER(SEARCH("WEB CAM",B954)),
ISNUMBER(SEARCH("MOUSE",B954)),
ISNUMBER(SEARCH("TECLADO",B954))
),
"COMPLEMENTO",
IF(
OR(
LEFT(A954,2)="NB",
LEFT(A954,2)="PC",
LEFT(A954,2)="WS",
LEFT(A954,2)="TB",
LEFT(A954,3)="CEL",
LEFT(A954,3)="MON",
LEFT(A954,3)="PRE",
LEFT(A954,3)="PRH",
ISNUMBER(SEARCH("NOTEBOOK",B954)),
ISNUMBER(SEARCH("LAPTOP",B954)),
ISNUMBER(SEARCH("MONITOR",B954)),
ISNUMBER(SEARCH("TABLET",B954)),
ISNUMBER(SEARCH("SMARTPH",B954)),
ISNUMBER(SEARCH("IMPRESORA",B954)),
ISNUMBER(SEARCH("MULTIFUNCIONAL",B954)),
ISNUMBER(SEARCH("AIO",B954))
),
"GANCHO",
"NORMAL"
)
)</f>
        <v>COMPLEMENTO</v>
      </c>
    </row>
    <row r="953" spans="1:12" x14ac:dyDescent="0.25">
      <c r="A953" s="3" t="s">
        <v>1674</v>
      </c>
      <c r="B953" s="3" t="s">
        <v>1675</v>
      </c>
      <c r="C953" s="1">
        <v>20</v>
      </c>
      <c r="D953" s="1">
        <v>16.2</v>
      </c>
      <c r="E953" s="1" t="s">
        <v>58</v>
      </c>
      <c r="F953" s="1" t="s">
        <v>3596</v>
      </c>
      <c r="G953" s="3" t="s">
        <v>1676</v>
      </c>
      <c r="H953" s="11">
        <f>ROUND(
IF(L951="GANCHO",
   IF(I953&lt;=50,I953*1.1+4,IF(I953&lt;=120,I953*1.1+7,IF(I953&lt;=250,I953*1.1+11,I953*1.1+19))),
IF(L951="NORMAL",
   IF(I953&lt;=30,I953*1.15+2,IF(I953&lt;=80,I953*1.15+4,IF(I953&lt;=150,I953*1.15+6,I953*1.15+8))),
IF(L951="COMPLEMENTO",
   IF(I953&lt;=25,I953*1.25+1.5,IF(I953&lt;=60,I953*1.25+3,IF(I953&lt;=120,I953*1.25+4,I953*1.25+5))),
""))),2)</f>
        <v>87.15</v>
      </c>
      <c r="I953" s="9">
        <f>($K$2+0.02)*Tabla1[[#This Row],[PRECIO $]]*1.18</f>
        <v>66.523679999999999</v>
      </c>
      <c r="J953" s="7">
        <f>+Tabla1[[#This Row],[PRECIO EN SOLES]]-Tabla1[[#This Row],[PC]]</f>
        <v>20.626320000000007</v>
      </c>
      <c r="K953" s="15"/>
      <c r="L953" s="15" t="str">
        <f>IF(
OR(
ISNUMBER(SEARCH("BACKPACK",B955)),
ISNUMBER(SEARCH("MOCHILA",B955)),
ISNUMBER(SEARCH("FUNDA",B955)),
ISNUMBER(SEARCH("ESTUCHE",B955)),
ISNUMBER(SEARCH("BOOK COVER",B955)),
ISNUMBER(SEARCH("KEYBOARD PARA TABLET",B955)),
ISNUMBER(SEARCH("FLIP TABLET",B955)),
ISNUMBER(SEARCH("CASE FOR TABLET",B955)),
ISNUMBER(SEARCH("CABLE",B955)),
ISNUMBER(SEARCH("ADAPTADOR",B955)),
ISNUMBER(SEARCH("HUB",B955)),
ISNUMBER(SEARCH("DOCK",B955)),
ISNUMBER(SEARCH("MOUSE PAD",B955)),
ISNUMBER(SEARCH("MOUSEPAD",B955)),
ISNUMBER(SEARCH("SOPORTE",B955)),
ISNUMBER(SEARCH("STAND",B955)),
ISNUMBER(SEARCH("TRAVEL ADAPTER",B955)),
ISNUMBER(SEARCH("RJ45",B955)),
ISNUMBER(SEARCH("USB-C",B955)),
ISNUMBER(SEARCH("USB WIFI",B955)),
ISNUMBER(SEARCH("POWERBANK",B955)),
ISNUMBER(SEARCH("CARGADOR",B955)),
ISNUMBER(SEARCH("COOLER PARA NB",B955)),
ISNUMBER(SEARCH("SOPORTE PARA NB",B955)),
ISNUMBER(SEARCH("WEBCAM",B955)),
ISNUMBER(SEARCH("WEB CAM",B955)),
ISNUMBER(SEARCH("MOUSE",B955)),
ISNUMBER(SEARCH("TECLADO",B955))
),
"COMPLEMENTO",
IF(
OR(
LEFT(A955,2)="NB",
LEFT(A955,2)="PC",
LEFT(A955,2)="WS",
LEFT(A955,2)="TB",
LEFT(A955,3)="CEL",
LEFT(A955,3)="MON",
LEFT(A955,3)="PRE",
LEFT(A955,3)="PRH",
ISNUMBER(SEARCH("NOTEBOOK",B955)),
ISNUMBER(SEARCH("LAPTOP",B955)),
ISNUMBER(SEARCH("MONITOR",B955)),
ISNUMBER(SEARCH("TABLET",B955)),
ISNUMBER(SEARCH("SMARTPH",B955)),
ISNUMBER(SEARCH("IMPRESORA",B955)),
ISNUMBER(SEARCH("MULTIFUNCIONAL",B955)),
ISNUMBER(SEARCH("AIO",B955))
),
"GANCHO",
"NORMAL"
)
)</f>
        <v>COMPLEMENTO</v>
      </c>
    </row>
    <row r="954" spans="1:12" x14ac:dyDescent="0.25">
      <c r="A954" s="3" t="s">
        <v>1677</v>
      </c>
      <c r="B954" s="3" t="s">
        <v>1678</v>
      </c>
      <c r="C954" s="1">
        <v>4</v>
      </c>
      <c r="D954" s="1">
        <v>9</v>
      </c>
      <c r="E954" s="1" t="s">
        <v>58</v>
      </c>
      <c r="F954" s="1" t="s">
        <v>3597</v>
      </c>
      <c r="G954" s="3" t="s">
        <v>1679</v>
      </c>
      <c r="H954" s="11">
        <f>ROUND(
IF(L952="GANCHO",
   IF(I954&lt;=50,I954*1.1+4,IF(I954&lt;=120,I954*1.1+7,IF(I954&lt;=250,I954*1.1+11,I954*1.1+19))),
IF(L952="NORMAL",
   IF(I954&lt;=30,I954*1.15+2,IF(I954&lt;=80,I954*1.15+4,IF(I954&lt;=150,I954*1.15+6,I954*1.15+8))),
IF(L952="COMPLEMENTO",
   IF(I954&lt;=25,I954*1.25+1.5,IF(I954&lt;=60,I954*1.25+3,IF(I954&lt;=120,I954*1.25+4,I954*1.25+5))),
""))),2)</f>
        <v>49.2</v>
      </c>
      <c r="I954" s="9">
        <f>($K$2+0.02)*Tabla1[[#This Row],[PRECIO $]]*1.18</f>
        <v>36.957599999999999</v>
      </c>
      <c r="J954" s="7">
        <f>+Tabla1[[#This Row],[PRECIO EN SOLES]]-Tabla1[[#This Row],[PC]]</f>
        <v>12.242400000000004</v>
      </c>
      <c r="K954" s="15"/>
      <c r="L954" s="15" t="str">
        <f>IF(
OR(
ISNUMBER(SEARCH("BACKPACK",B956)),
ISNUMBER(SEARCH("MOCHILA",B956)),
ISNUMBER(SEARCH("FUNDA",B956)),
ISNUMBER(SEARCH("ESTUCHE",B956)),
ISNUMBER(SEARCH("BOOK COVER",B956)),
ISNUMBER(SEARCH("KEYBOARD PARA TABLET",B956)),
ISNUMBER(SEARCH("FLIP TABLET",B956)),
ISNUMBER(SEARCH("CASE FOR TABLET",B956)),
ISNUMBER(SEARCH("CABLE",B956)),
ISNUMBER(SEARCH("ADAPTADOR",B956)),
ISNUMBER(SEARCH("HUB",B956)),
ISNUMBER(SEARCH("DOCK",B956)),
ISNUMBER(SEARCH("MOUSE PAD",B956)),
ISNUMBER(SEARCH("MOUSEPAD",B956)),
ISNUMBER(SEARCH("SOPORTE",B956)),
ISNUMBER(SEARCH("STAND",B956)),
ISNUMBER(SEARCH("TRAVEL ADAPTER",B956)),
ISNUMBER(SEARCH("RJ45",B956)),
ISNUMBER(SEARCH("USB-C",B956)),
ISNUMBER(SEARCH("USB WIFI",B956)),
ISNUMBER(SEARCH("POWERBANK",B956)),
ISNUMBER(SEARCH("CARGADOR",B956)),
ISNUMBER(SEARCH("COOLER PARA NB",B956)),
ISNUMBER(SEARCH("SOPORTE PARA NB",B956)),
ISNUMBER(SEARCH("WEBCAM",B956)),
ISNUMBER(SEARCH("WEB CAM",B956)),
ISNUMBER(SEARCH("MOUSE",B956)),
ISNUMBER(SEARCH("TECLADO",B956))
),
"COMPLEMENTO",
IF(
OR(
LEFT(A956,2)="NB",
LEFT(A956,2)="PC",
LEFT(A956,2)="WS",
LEFT(A956,2)="TB",
LEFT(A956,3)="CEL",
LEFT(A956,3)="MON",
LEFT(A956,3)="PRE",
LEFT(A956,3)="PRH",
ISNUMBER(SEARCH("NOTEBOOK",B956)),
ISNUMBER(SEARCH("LAPTOP",B956)),
ISNUMBER(SEARCH("MONITOR",B956)),
ISNUMBER(SEARCH("TABLET",B956)),
ISNUMBER(SEARCH("SMARTPH",B956)),
ISNUMBER(SEARCH("IMPRESORA",B956)),
ISNUMBER(SEARCH("MULTIFUNCIONAL",B956)),
ISNUMBER(SEARCH("AIO",B956))
),
"GANCHO",
"NORMAL"
)
)</f>
        <v>COMPLEMENTO</v>
      </c>
    </row>
    <row r="955" spans="1:12" x14ac:dyDescent="0.25">
      <c r="A955" s="3" t="s">
        <v>2974</v>
      </c>
      <c r="B955" s="3" t="s">
        <v>2975</v>
      </c>
      <c r="C955" s="1">
        <v>20</v>
      </c>
      <c r="D955" s="1">
        <v>51.3</v>
      </c>
      <c r="E955" s="1" t="s">
        <v>121</v>
      </c>
      <c r="F955" s="1" t="s">
        <v>3598</v>
      </c>
      <c r="G955" s="3" t="s">
        <v>2976</v>
      </c>
      <c r="H955" s="11">
        <f>ROUND(
IF(L953="GANCHO",
   IF(I955&lt;=50,I955*1.1+4,IF(I955&lt;=120,I955*1.1+7,IF(I955&lt;=250,I955*1.1+11,I955*1.1+19))),
IF(L953="NORMAL",
   IF(I955&lt;=30,I955*1.15+2,IF(I955&lt;=80,I955*1.15+4,IF(I955&lt;=150,I955*1.15+6,I955*1.15+8))),
IF(L953="COMPLEMENTO",
   IF(I955&lt;=25,I955*1.25+1.5,IF(I955&lt;=60,I955*1.25+3,IF(I955&lt;=120,I955*1.25+4,I955*1.25+5))),
""))),2)</f>
        <v>268.32</v>
      </c>
      <c r="I955" s="9">
        <f>($K$2+0.02)*Tabla1[[#This Row],[PRECIO $]]*1.18</f>
        <v>210.65832</v>
      </c>
      <c r="J955" s="7">
        <f>+Tabla1[[#This Row],[PRECIO EN SOLES]]-Tabla1[[#This Row],[PC]]</f>
        <v>57.66167999999999</v>
      </c>
      <c r="K955" s="15"/>
      <c r="L955" s="15" t="str">
        <f>IF(
OR(
ISNUMBER(SEARCH("BACKPACK",B957)),
ISNUMBER(SEARCH("MOCHILA",B957)),
ISNUMBER(SEARCH("FUNDA",B957)),
ISNUMBER(SEARCH("ESTUCHE",B957)),
ISNUMBER(SEARCH("BOOK COVER",B957)),
ISNUMBER(SEARCH("KEYBOARD PARA TABLET",B957)),
ISNUMBER(SEARCH("FLIP TABLET",B957)),
ISNUMBER(SEARCH("CASE FOR TABLET",B957)),
ISNUMBER(SEARCH("CABLE",B957)),
ISNUMBER(SEARCH("ADAPTADOR",B957)),
ISNUMBER(SEARCH("HUB",B957)),
ISNUMBER(SEARCH("DOCK",B957)),
ISNUMBER(SEARCH("MOUSE PAD",B957)),
ISNUMBER(SEARCH("MOUSEPAD",B957)),
ISNUMBER(SEARCH("SOPORTE",B957)),
ISNUMBER(SEARCH("STAND",B957)),
ISNUMBER(SEARCH("TRAVEL ADAPTER",B957)),
ISNUMBER(SEARCH("RJ45",B957)),
ISNUMBER(SEARCH("USB-C",B957)),
ISNUMBER(SEARCH("USB WIFI",B957)),
ISNUMBER(SEARCH("POWERBANK",B957)),
ISNUMBER(SEARCH("CARGADOR",B957)),
ISNUMBER(SEARCH("COOLER PARA NB",B957)),
ISNUMBER(SEARCH("SOPORTE PARA NB",B957)),
ISNUMBER(SEARCH("WEBCAM",B957)),
ISNUMBER(SEARCH("WEB CAM",B957)),
ISNUMBER(SEARCH("MOUSE",B957)),
ISNUMBER(SEARCH("TECLADO",B957))
),
"COMPLEMENTO",
IF(
OR(
LEFT(A957,2)="NB",
LEFT(A957,2)="PC",
LEFT(A957,2)="WS",
LEFT(A957,2)="TB",
LEFT(A957,3)="CEL",
LEFT(A957,3)="MON",
LEFT(A957,3)="PRE",
LEFT(A957,3)="PRH",
ISNUMBER(SEARCH("NOTEBOOK",B957)),
ISNUMBER(SEARCH("LAPTOP",B957)),
ISNUMBER(SEARCH("MONITOR",B957)),
ISNUMBER(SEARCH("TABLET",B957)),
ISNUMBER(SEARCH("SMARTPH",B957)),
ISNUMBER(SEARCH("IMPRESORA",B957)),
ISNUMBER(SEARCH("MULTIFUNCIONAL",B957)),
ISNUMBER(SEARCH("AIO",B957))
),
"GANCHO",
"NORMAL"
)
)</f>
        <v>NORMAL</v>
      </c>
    </row>
    <row r="956" spans="1:12" x14ac:dyDescent="0.25">
      <c r="A956" s="3" t="s">
        <v>2977</v>
      </c>
      <c r="B956" s="3" t="s">
        <v>2978</v>
      </c>
      <c r="C956" s="1">
        <v>20</v>
      </c>
      <c r="D956" s="1">
        <v>62.35</v>
      </c>
      <c r="E956" s="1" t="s">
        <v>121</v>
      </c>
      <c r="F956" s="1" t="s">
        <v>3599</v>
      </c>
      <c r="G956" s="3" t="s">
        <v>2979</v>
      </c>
      <c r="H956" s="11">
        <f>ROUND(
IF(L954="GANCHO",
   IF(I956&lt;=50,I956*1.1+4,IF(I956&lt;=120,I956*1.1+7,IF(I956&lt;=250,I956*1.1+11,I956*1.1+19))),
IF(L954="NORMAL",
   IF(I956&lt;=30,I956*1.15+2,IF(I956&lt;=80,I956*1.15+4,IF(I956&lt;=150,I956*1.15+6,I956*1.15+8))),
IF(L954="COMPLEMENTO",
   IF(I956&lt;=25,I956*1.25+1.5,IF(I956&lt;=60,I956*1.25+3,IF(I956&lt;=120,I956*1.25+4,I956*1.25+5))),
""))),2)</f>
        <v>325.04000000000002</v>
      </c>
      <c r="I956" s="9">
        <f>($K$2+0.02)*Tabla1[[#This Row],[PRECIO $]]*1.18</f>
        <v>256.03404</v>
      </c>
      <c r="J956" s="7">
        <f>+Tabla1[[#This Row],[PRECIO EN SOLES]]-Tabla1[[#This Row],[PC]]</f>
        <v>69.005960000000016</v>
      </c>
      <c r="K956" s="15"/>
      <c r="L956" s="15" t="str">
        <f>IF(
OR(
ISNUMBER(SEARCH("BACKPACK",B958)),
ISNUMBER(SEARCH("MOCHILA",B958)),
ISNUMBER(SEARCH("FUNDA",B958)),
ISNUMBER(SEARCH("ESTUCHE",B958)),
ISNUMBER(SEARCH("BOOK COVER",B958)),
ISNUMBER(SEARCH("KEYBOARD PARA TABLET",B958)),
ISNUMBER(SEARCH("FLIP TABLET",B958)),
ISNUMBER(SEARCH("CASE FOR TABLET",B958)),
ISNUMBER(SEARCH("CABLE",B958)),
ISNUMBER(SEARCH("ADAPTADOR",B958)),
ISNUMBER(SEARCH("HUB",B958)),
ISNUMBER(SEARCH("DOCK",B958)),
ISNUMBER(SEARCH("MOUSE PAD",B958)),
ISNUMBER(SEARCH("MOUSEPAD",B958)),
ISNUMBER(SEARCH("SOPORTE",B958)),
ISNUMBER(SEARCH("STAND",B958)),
ISNUMBER(SEARCH("TRAVEL ADAPTER",B958)),
ISNUMBER(SEARCH("RJ45",B958)),
ISNUMBER(SEARCH("USB-C",B958)),
ISNUMBER(SEARCH("USB WIFI",B958)),
ISNUMBER(SEARCH("POWERBANK",B958)),
ISNUMBER(SEARCH("CARGADOR",B958)),
ISNUMBER(SEARCH("COOLER PARA NB",B958)),
ISNUMBER(SEARCH("SOPORTE PARA NB",B958)),
ISNUMBER(SEARCH("WEBCAM",B958)),
ISNUMBER(SEARCH("WEB CAM",B958)),
ISNUMBER(SEARCH("MOUSE",B958)),
ISNUMBER(SEARCH("TECLADO",B958))
),
"COMPLEMENTO",
IF(
OR(
LEFT(A958,2)="NB",
LEFT(A958,2)="PC",
LEFT(A958,2)="WS",
LEFT(A958,2)="TB",
LEFT(A958,3)="CEL",
LEFT(A958,3)="MON",
LEFT(A958,3)="PRE",
LEFT(A958,3)="PRH",
ISNUMBER(SEARCH("NOTEBOOK",B958)),
ISNUMBER(SEARCH("LAPTOP",B958)),
ISNUMBER(SEARCH("MONITOR",B958)),
ISNUMBER(SEARCH("TABLET",B958)),
ISNUMBER(SEARCH("SMARTPH",B958)),
ISNUMBER(SEARCH("IMPRESORA",B958)),
ISNUMBER(SEARCH("MULTIFUNCIONAL",B958)),
ISNUMBER(SEARCH("AIO",B958))
),
"GANCHO",
"NORMAL"
)
)</f>
        <v>NORMAL</v>
      </c>
    </row>
    <row r="957" spans="1:12" x14ac:dyDescent="0.25">
      <c r="A957" s="3" t="s">
        <v>301</v>
      </c>
      <c r="B957" s="3" t="s">
        <v>302</v>
      </c>
      <c r="C957" s="1">
        <v>20</v>
      </c>
      <c r="D957" s="1">
        <v>28.5</v>
      </c>
      <c r="E957" s="1" t="s">
        <v>52</v>
      </c>
      <c r="F957" s="1" t="s">
        <v>3600</v>
      </c>
      <c r="G957" s="3" t="s">
        <v>303</v>
      </c>
      <c r="H957" s="11">
        <f>ROUND(
IF(L955="GANCHO",
   IF(I957&lt;=50,I957*1.1+4,IF(I957&lt;=120,I957*1.1+7,IF(I957&lt;=250,I957*1.1+11,I957*1.1+19))),
IF(L955="NORMAL",
   IF(I957&lt;=30,I957*1.15+2,IF(I957&lt;=80,I957*1.15+4,IF(I957&lt;=150,I957*1.15+6,I957*1.15+8))),
IF(L955="COMPLEMENTO",
   IF(I957&lt;=25,I957*1.25+1.5,IF(I957&lt;=60,I957*1.25+3,IF(I957&lt;=120,I957*1.25+4,I957*1.25+5))),
""))),2)</f>
        <v>140.59</v>
      </c>
      <c r="I957" s="9">
        <f>($K$2+0.02)*Tabla1[[#This Row],[PRECIO $]]*1.18</f>
        <v>117.03239999999998</v>
      </c>
      <c r="J957" s="7">
        <f>+Tabla1[[#This Row],[PRECIO EN SOLES]]-Tabla1[[#This Row],[PC]]</f>
        <v>23.557600000000022</v>
      </c>
      <c r="K957" s="15"/>
      <c r="L957" s="15" t="str">
        <f>IF(
OR(
ISNUMBER(SEARCH("BACKPACK",B959)),
ISNUMBER(SEARCH("MOCHILA",B959)),
ISNUMBER(SEARCH("FUNDA",B959)),
ISNUMBER(SEARCH("ESTUCHE",B959)),
ISNUMBER(SEARCH("BOOK COVER",B959)),
ISNUMBER(SEARCH("KEYBOARD PARA TABLET",B959)),
ISNUMBER(SEARCH("FLIP TABLET",B959)),
ISNUMBER(SEARCH("CASE FOR TABLET",B959)),
ISNUMBER(SEARCH("CABLE",B959)),
ISNUMBER(SEARCH("ADAPTADOR",B959)),
ISNUMBER(SEARCH("HUB",B959)),
ISNUMBER(SEARCH("DOCK",B959)),
ISNUMBER(SEARCH("MOUSE PAD",B959)),
ISNUMBER(SEARCH("MOUSEPAD",B959)),
ISNUMBER(SEARCH("SOPORTE",B959)),
ISNUMBER(SEARCH("STAND",B959)),
ISNUMBER(SEARCH("TRAVEL ADAPTER",B959)),
ISNUMBER(SEARCH("RJ45",B959)),
ISNUMBER(SEARCH("USB-C",B959)),
ISNUMBER(SEARCH("USB WIFI",B959)),
ISNUMBER(SEARCH("POWERBANK",B959)),
ISNUMBER(SEARCH("CARGADOR",B959)),
ISNUMBER(SEARCH("COOLER PARA NB",B959)),
ISNUMBER(SEARCH("SOPORTE PARA NB",B959)),
ISNUMBER(SEARCH("WEBCAM",B959)),
ISNUMBER(SEARCH("WEB CAM",B959)),
ISNUMBER(SEARCH("MOUSE",B959)),
ISNUMBER(SEARCH("TECLADO",B959))
),
"COMPLEMENTO",
IF(
OR(
LEFT(A959,2)="NB",
LEFT(A959,2)="PC",
LEFT(A959,2)="WS",
LEFT(A959,2)="TB",
LEFT(A959,3)="CEL",
LEFT(A959,3)="MON",
LEFT(A959,3)="PRE",
LEFT(A959,3)="PRH",
ISNUMBER(SEARCH("NOTEBOOK",B959)),
ISNUMBER(SEARCH("LAPTOP",B959)),
ISNUMBER(SEARCH("MONITOR",B959)),
ISNUMBER(SEARCH("TABLET",B959)),
ISNUMBER(SEARCH("SMARTPH",B959)),
ISNUMBER(SEARCH("IMPRESORA",B959)),
ISNUMBER(SEARCH("MULTIFUNCIONAL",B959)),
ISNUMBER(SEARCH("AIO",B959))
),
"GANCHO",
"NORMAL"
)
)</f>
        <v>NORMAL</v>
      </c>
    </row>
    <row r="958" spans="1:12" x14ac:dyDescent="0.25">
      <c r="A958" s="3" t="s">
        <v>1680</v>
      </c>
      <c r="B958" s="3" t="s">
        <v>1681</v>
      </c>
      <c r="C958" s="1">
        <v>20</v>
      </c>
      <c r="D958" s="1">
        <v>43.5</v>
      </c>
      <c r="E958" s="1" t="s">
        <v>52</v>
      </c>
      <c r="F958" s="1" t="s">
        <v>3601</v>
      </c>
      <c r="G958" s="3" t="s">
        <v>1682</v>
      </c>
      <c r="H958" s="11">
        <f>ROUND(
IF(L956="GANCHO",
   IF(I958&lt;=50,I958*1.1+4,IF(I958&lt;=120,I958*1.1+7,IF(I958&lt;=250,I958*1.1+11,I958*1.1+19))),
IF(L956="NORMAL",
   IF(I958&lt;=30,I958*1.15+2,IF(I958&lt;=80,I958*1.15+4,IF(I958&lt;=150,I958*1.15+6,I958*1.15+8))),
IF(L956="COMPLEMENTO",
   IF(I958&lt;=25,I958*1.25+1.5,IF(I958&lt;=60,I958*1.25+3,IF(I958&lt;=120,I958*1.25+4,I958*1.25+5))),
""))),2)</f>
        <v>213.42</v>
      </c>
      <c r="I958" s="9">
        <f>($K$2+0.02)*Tabla1[[#This Row],[PRECIO $]]*1.18</f>
        <v>178.6284</v>
      </c>
      <c r="J958" s="7">
        <f>+Tabla1[[#This Row],[PRECIO EN SOLES]]-Tabla1[[#This Row],[PC]]</f>
        <v>34.791599999999988</v>
      </c>
      <c r="K958" s="15"/>
      <c r="L958" s="15" t="str">
        <f>IF(
OR(
ISNUMBER(SEARCH("BACKPACK",B960)),
ISNUMBER(SEARCH("MOCHILA",B960)),
ISNUMBER(SEARCH("FUNDA",B960)),
ISNUMBER(SEARCH("ESTUCHE",B960)),
ISNUMBER(SEARCH("BOOK COVER",B960)),
ISNUMBER(SEARCH("KEYBOARD PARA TABLET",B960)),
ISNUMBER(SEARCH("FLIP TABLET",B960)),
ISNUMBER(SEARCH("CASE FOR TABLET",B960)),
ISNUMBER(SEARCH("CABLE",B960)),
ISNUMBER(SEARCH("ADAPTADOR",B960)),
ISNUMBER(SEARCH("HUB",B960)),
ISNUMBER(SEARCH("DOCK",B960)),
ISNUMBER(SEARCH("MOUSE PAD",B960)),
ISNUMBER(SEARCH("MOUSEPAD",B960)),
ISNUMBER(SEARCH("SOPORTE",B960)),
ISNUMBER(SEARCH("STAND",B960)),
ISNUMBER(SEARCH("TRAVEL ADAPTER",B960)),
ISNUMBER(SEARCH("RJ45",B960)),
ISNUMBER(SEARCH("USB-C",B960)),
ISNUMBER(SEARCH("USB WIFI",B960)),
ISNUMBER(SEARCH("POWERBANK",B960)),
ISNUMBER(SEARCH("CARGADOR",B960)),
ISNUMBER(SEARCH("COOLER PARA NB",B960)),
ISNUMBER(SEARCH("SOPORTE PARA NB",B960)),
ISNUMBER(SEARCH("WEBCAM",B960)),
ISNUMBER(SEARCH("WEB CAM",B960)),
ISNUMBER(SEARCH("MOUSE",B960)),
ISNUMBER(SEARCH("TECLADO",B960))
),
"COMPLEMENTO",
IF(
OR(
LEFT(A960,2)="NB",
LEFT(A960,2)="PC",
LEFT(A960,2)="WS",
LEFT(A960,2)="TB",
LEFT(A960,3)="CEL",
LEFT(A960,3)="MON",
LEFT(A960,3)="PRE",
LEFT(A960,3)="PRH",
ISNUMBER(SEARCH("NOTEBOOK",B960)),
ISNUMBER(SEARCH("LAPTOP",B960)),
ISNUMBER(SEARCH("MONITOR",B960)),
ISNUMBER(SEARCH("TABLET",B960)),
ISNUMBER(SEARCH("SMARTPH",B960)),
ISNUMBER(SEARCH("IMPRESORA",B960)),
ISNUMBER(SEARCH("MULTIFUNCIONAL",B960)),
ISNUMBER(SEARCH("AIO",B960))
),
"GANCHO",
"NORMAL"
)
)</f>
        <v>NORMAL</v>
      </c>
    </row>
    <row r="959" spans="1:12" x14ac:dyDescent="0.25">
      <c r="A959" s="3" t="s">
        <v>6802</v>
      </c>
      <c r="B959" s="3" t="s">
        <v>6803</v>
      </c>
      <c r="C959" s="1">
        <v>20</v>
      </c>
      <c r="D959" s="1">
        <v>68</v>
      </c>
      <c r="E959" s="1" t="s">
        <v>6799</v>
      </c>
      <c r="F959" s="1" t="s">
        <v>6804</v>
      </c>
      <c r="G959" s="3" t="s">
        <v>6805</v>
      </c>
      <c r="H959" s="11">
        <f>ROUND(
IF(L957="GANCHO",
   IF(I959&lt;=50,I959*1.1+4,IF(I959&lt;=120,I959*1.1+7,IF(I959&lt;=250,I959*1.1+11,I959*1.1+19))),
IF(L957="NORMAL",
   IF(I959&lt;=30,I959*1.15+2,IF(I959&lt;=80,I959*1.15+4,IF(I959&lt;=150,I959*1.15+6,I959*1.15+8))),
IF(L957="COMPLEMENTO",
   IF(I959&lt;=25,I959*1.25+1.5,IF(I959&lt;=60,I959*1.25+3,IF(I959&lt;=120,I959*1.25+4,I959*1.25+5))),
""))),2)</f>
        <v>329.12</v>
      </c>
      <c r="I959" s="9">
        <f>($K$2+0.02)*Tabla1[[#This Row],[PRECIO $]]*1.18</f>
        <v>279.23519999999996</v>
      </c>
      <c r="J959" s="7">
        <f>+Tabla1[[#This Row],[PRECIO EN SOLES]]-Tabla1[[#This Row],[PC]]</f>
        <v>49.884800000000041</v>
      </c>
      <c r="K959" s="15"/>
      <c r="L959" s="15" t="str">
        <f>IF(
OR(
ISNUMBER(SEARCH("BACKPACK",B961)),
ISNUMBER(SEARCH("MOCHILA",B961)),
ISNUMBER(SEARCH("FUNDA",B961)),
ISNUMBER(SEARCH("ESTUCHE",B961)),
ISNUMBER(SEARCH("BOOK COVER",B961)),
ISNUMBER(SEARCH("KEYBOARD PARA TABLET",B961)),
ISNUMBER(SEARCH("FLIP TABLET",B961)),
ISNUMBER(SEARCH("CASE FOR TABLET",B961)),
ISNUMBER(SEARCH("CABLE",B961)),
ISNUMBER(SEARCH("ADAPTADOR",B961)),
ISNUMBER(SEARCH("HUB",B961)),
ISNUMBER(SEARCH("DOCK",B961)),
ISNUMBER(SEARCH("MOUSE PAD",B961)),
ISNUMBER(SEARCH("MOUSEPAD",B961)),
ISNUMBER(SEARCH("SOPORTE",B961)),
ISNUMBER(SEARCH("STAND",B961)),
ISNUMBER(SEARCH("TRAVEL ADAPTER",B961)),
ISNUMBER(SEARCH("RJ45",B961)),
ISNUMBER(SEARCH("USB-C",B961)),
ISNUMBER(SEARCH("USB WIFI",B961)),
ISNUMBER(SEARCH("POWERBANK",B961)),
ISNUMBER(SEARCH("CARGADOR",B961)),
ISNUMBER(SEARCH("COOLER PARA NB",B961)),
ISNUMBER(SEARCH("SOPORTE PARA NB",B961)),
ISNUMBER(SEARCH("WEBCAM",B961)),
ISNUMBER(SEARCH("WEB CAM",B961)),
ISNUMBER(SEARCH("MOUSE",B961)),
ISNUMBER(SEARCH("TECLADO",B961))
),
"COMPLEMENTO",
IF(
OR(
LEFT(A961,2)="NB",
LEFT(A961,2)="PC",
LEFT(A961,2)="WS",
LEFT(A961,2)="TB",
LEFT(A961,3)="CEL",
LEFT(A961,3)="MON",
LEFT(A961,3)="PRE",
LEFT(A961,3)="PRH",
ISNUMBER(SEARCH("NOTEBOOK",B961)),
ISNUMBER(SEARCH("LAPTOP",B961)),
ISNUMBER(SEARCH("MONITOR",B961)),
ISNUMBER(SEARCH("TABLET",B961)),
ISNUMBER(SEARCH("SMARTPH",B961)),
ISNUMBER(SEARCH("IMPRESORA",B961)),
ISNUMBER(SEARCH("MULTIFUNCIONAL",B961)),
ISNUMBER(SEARCH("AIO",B961))
),
"GANCHO",
"NORMAL"
)
)</f>
        <v>NORMAL</v>
      </c>
    </row>
    <row r="960" spans="1:12" x14ac:dyDescent="0.25">
      <c r="A960" s="3" t="s">
        <v>6806</v>
      </c>
      <c r="B960" s="3" t="s">
        <v>6807</v>
      </c>
      <c r="C960" s="1">
        <v>20</v>
      </c>
      <c r="D960" s="1">
        <v>58</v>
      </c>
      <c r="E960" s="1" t="s">
        <v>6799</v>
      </c>
      <c r="F960" s="1" t="s">
        <v>6808</v>
      </c>
      <c r="G960" s="3" t="s">
        <v>6809</v>
      </c>
      <c r="H960" s="11">
        <f>ROUND(
IF(L958="GANCHO",
   IF(I960&lt;=50,I960*1.1+4,IF(I960&lt;=120,I960*1.1+7,IF(I960&lt;=250,I960*1.1+11,I960*1.1+19))),
IF(L958="NORMAL",
   IF(I960&lt;=30,I960*1.15+2,IF(I960&lt;=80,I960*1.15+4,IF(I960&lt;=150,I960*1.15+6,I960*1.15+8))),
IF(L958="COMPLEMENTO",
   IF(I960&lt;=25,I960*1.25+1.5,IF(I960&lt;=60,I960*1.25+3,IF(I960&lt;=120,I960*1.25+4,I960*1.25+5))),
""))),2)</f>
        <v>281.89999999999998</v>
      </c>
      <c r="I960" s="9">
        <f>($K$2+0.02)*Tabla1[[#This Row],[PRECIO $]]*1.18</f>
        <v>238.1712</v>
      </c>
      <c r="J960" s="7">
        <f>+Tabla1[[#This Row],[PRECIO EN SOLES]]-Tabla1[[#This Row],[PC]]</f>
        <v>43.728799999999978</v>
      </c>
      <c r="K960" s="15"/>
      <c r="L960" s="15" t="str">
        <f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NORMAL</v>
      </c>
    </row>
    <row r="961" spans="1:12" x14ac:dyDescent="0.25">
      <c r="A961" s="3" t="s">
        <v>6810</v>
      </c>
      <c r="B961" s="3" t="s">
        <v>6811</v>
      </c>
      <c r="C961" s="1">
        <v>20</v>
      </c>
      <c r="D961" s="1">
        <v>55</v>
      </c>
      <c r="E961" s="1" t="s">
        <v>6799</v>
      </c>
      <c r="F961" s="1" t="s">
        <v>6812</v>
      </c>
      <c r="G961" s="3" t="s">
        <v>6813</v>
      </c>
      <c r="H961" s="11">
        <f>ROUND(
IF(L959="GANCHO",
   IF(I961&lt;=50,I961*1.1+4,IF(I961&lt;=120,I961*1.1+7,IF(I961&lt;=250,I961*1.1+11,I961*1.1+19))),
IF(L959="NORMAL",
   IF(I961&lt;=30,I961*1.15+2,IF(I961&lt;=80,I961*1.15+4,IF(I961&lt;=150,I961*1.15+6,I961*1.15+8))),
IF(L959="COMPLEMENTO",
   IF(I961&lt;=25,I961*1.25+1.5,IF(I961&lt;=60,I961*1.25+3,IF(I961&lt;=120,I961*1.25+4,I961*1.25+5))),
""))),2)</f>
        <v>267.73</v>
      </c>
      <c r="I961" s="9">
        <f>($K$2+0.02)*Tabla1[[#This Row],[PRECIO $]]*1.18</f>
        <v>225.852</v>
      </c>
      <c r="J961" s="7">
        <f>+Tabla1[[#This Row],[PRECIO EN SOLES]]-Tabla1[[#This Row],[PC]]</f>
        <v>41.878000000000014</v>
      </c>
      <c r="K961" s="15"/>
      <c r="L961" s="15" t="str">
        <f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NORMAL</v>
      </c>
    </row>
    <row r="962" spans="1:12" x14ac:dyDescent="0.25">
      <c r="A962" s="3" t="s">
        <v>3056</v>
      </c>
      <c r="B962" s="3" t="s">
        <v>3057</v>
      </c>
      <c r="C962" s="1">
        <v>3</v>
      </c>
      <c r="D962" s="1">
        <v>177</v>
      </c>
      <c r="E962" s="1" t="s">
        <v>52</v>
      </c>
      <c r="F962" s="1" t="s">
        <v>3602</v>
      </c>
      <c r="G962" s="3" t="s">
        <v>3058</v>
      </c>
      <c r="H962" s="11">
        <f>ROUND(
IF(L960="GANCHO",
   IF(I962&lt;=50,I962*1.1+4,IF(I962&lt;=120,I962*1.1+7,IF(I962&lt;=250,I962*1.1+11,I962*1.1+19))),
IF(L960="NORMAL",
   IF(I962&lt;=30,I962*1.15+2,IF(I962&lt;=80,I962*1.15+4,IF(I962&lt;=150,I962*1.15+6,I962*1.15+8))),
IF(L960="COMPLEMENTO",
   IF(I962&lt;=25,I962*1.25+1.5,IF(I962&lt;=60,I962*1.25+3,IF(I962&lt;=120,I962*1.25+4,I962*1.25+5))),
""))),2)</f>
        <v>843.86</v>
      </c>
      <c r="I962" s="9">
        <f>($K$2+0.02)*Tabla1[[#This Row],[PRECIO $]]*1.18</f>
        <v>726.83280000000002</v>
      </c>
      <c r="J962" s="7">
        <f>+Tabla1[[#This Row],[PRECIO EN SOLES]]-Tabla1[[#This Row],[PC]]</f>
        <v>117.02719999999999</v>
      </c>
      <c r="K962" s="15"/>
      <c r="L962" s="15" t="str">
        <f>IF(
OR(
ISNUMBER(SEARCH("BACKPACK",B964)),
ISNUMBER(SEARCH("MOCHILA",B964)),
ISNUMBER(SEARCH("FUNDA",B964)),
ISNUMBER(SEARCH("ESTUCHE",B964)),
ISNUMBER(SEARCH("BOOK COVER",B964)),
ISNUMBER(SEARCH("KEYBOARD PARA TABLET",B964)),
ISNUMBER(SEARCH("FLIP TABLET",B964)),
ISNUMBER(SEARCH("CASE FOR TABLET",B964)),
ISNUMBER(SEARCH("CABLE",B964)),
ISNUMBER(SEARCH("ADAPTADOR",B964)),
ISNUMBER(SEARCH("HUB",B964)),
ISNUMBER(SEARCH("DOCK",B964)),
ISNUMBER(SEARCH("MOUSE PAD",B964)),
ISNUMBER(SEARCH("MOUSEPAD",B964)),
ISNUMBER(SEARCH("SOPORTE",B964)),
ISNUMBER(SEARCH("STAND",B964)),
ISNUMBER(SEARCH("TRAVEL ADAPTER",B964)),
ISNUMBER(SEARCH("RJ45",B964)),
ISNUMBER(SEARCH("USB-C",B964)),
ISNUMBER(SEARCH("USB WIFI",B964)),
ISNUMBER(SEARCH("POWERBANK",B964)),
ISNUMBER(SEARCH("CARGADOR",B964)),
ISNUMBER(SEARCH("COOLER PARA NB",B964)),
ISNUMBER(SEARCH("SOPORTE PARA NB",B964)),
ISNUMBER(SEARCH("WEBCAM",B964)),
ISNUMBER(SEARCH("WEB CAM",B964)),
ISNUMBER(SEARCH("MOUSE",B964)),
ISNUMBER(SEARCH("TECLADO",B964))
),
"COMPLEMENTO",
IF(
OR(
LEFT(A964,2)="NB",
LEFT(A964,2)="PC",
LEFT(A964,2)="WS",
LEFT(A964,2)="TB",
LEFT(A964,3)="CEL",
LEFT(A964,3)="MON",
LEFT(A964,3)="PRE",
LEFT(A964,3)="PRH",
ISNUMBER(SEARCH("NOTEBOOK",B964)),
ISNUMBER(SEARCH("LAPTOP",B964)),
ISNUMBER(SEARCH("MONITOR",B964)),
ISNUMBER(SEARCH("TABLET",B964)),
ISNUMBER(SEARCH("SMARTPH",B964)),
ISNUMBER(SEARCH("IMPRESORA",B964)),
ISNUMBER(SEARCH("MULTIFUNCIONAL",B964)),
ISNUMBER(SEARCH("AIO",B964))
),
"GANCHO",
"NORMAL"
)
)</f>
        <v>NORMAL</v>
      </c>
    </row>
    <row r="963" spans="1:12" x14ac:dyDescent="0.25">
      <c r="A963" s="3" t="s">
        <v>1683</v>
      </c>
      <c r="B963" s="3" t="s">
        <v>1684</v>
      </c>
      <c r="C963" s="1">
        <v>18</v>
      </c>
      <c r="D963" s="1">
        <v>86</v>
      </c>
      <c r="E963" s="1" t="s">
        <v>52</v>
      </c>
      <c r="F963" s="1" t="s">
        <v>3603</v>
      </c>
      <c r="G963" s="3" t="s">
        <v>1685</v>
      </c>
      <c r="H963" s="11">
        <f>ROUND(
IF(L961="GANCHO",
   IF(I963&lt;=50,I963*1.1+4,IF(I963&lt;=120,I963*1.1+7,IF(I963&lt;=250,I963*1.1+11,I963*1.1+19))),
IF(L961="NORMAL",
   IF(I963&lt;=30,I963*1.15+2,IF(I963&lt;=80,I963*1.15+4,IF(I963&lt;=150,I963*1.15+6,I963*1.15+8))),
IF(L961="COMPLEMENTO",
   IF(I963&lt;=25,I963*1.25+1.5,IF(I963&lt;=60,I963*1.25+3,IF(I963&lt;=120,I963*1.25+4,I963*1.25+5))),
""))),2)</f>
        <v>414.12</v>
      </c>
      <c r="I963" s="9">
        <f>($K$2+0.02)*Tabla1[[#This Row],[PRECIO $]]*1.18</f>
        <v>353.15039999999993</v>
      </c>
      <c r="J963" s="7">
        <f>+Tabla1[[#This Row],[PRECIO EN SOLES]]-Tabla1[[#This Row],[PC]]</f>
        <v>60.969600000000071</v>
      </c>
      <c r="K963" s="15"/>
      <c r="L963" s="15" t="str">
        <f>IF(
OR(
ISNUMBER(SEARCH("BACKPACK",B965)),
ISNUMBER(SEARCH("MOCHILA",B965)),
ISNUMBER(SEARCH("FUNDA",B965)),
ISNUMBER(SEARCH("ESTUCHE",B965)),
ISNUMBER(SEARCH("BOOK COVER",B965)),
ISNUMBER(SEARCH("KEYBOARD PARA TABLET",B965)),
ISNUMBER(SEARCH("FLIP TABLET",B965)),
ISNUMBER(SEARCH("CASE FOR TABLET",B965)),
ISNUMBER(SEARCH("CABLE",B965)),
ISNUMBER(SEARCH("ADAPTADOR",B965)),
ISNUMBER(SEARCH("HUB",B965)),
ISNUMBER(SEARCH("DOCK",B965)),
ISNUMBER(SEARCH("MOUSE PAD",B965)),
ISNUMBER(SEARCH("MOUSEPAD",B965)),
ISNUMBER(SEARCH("SOPORTE",B965)),
ISNUMBER(SEARCH("STAND",B965)),
ISNUMBER(SEARCH("TRAVEL ADAPTER",B965)),
ISNUMBER(SEARCH("RJ45",B965)),
ISNUMBER(SEARCH("USB-C",B965)),
ISNUMBER(SEARCH("USB WIFI",B965)),
ISNUMBER(SEARCH("POWERBANK",B965)),
ISNUMBER(SEARCH("CARGADOR",B965)),
ISNUMBER(SEARCH("COOLER PARA NB",B965)),
ISNUMBER(SEARCH("SOPORTE PARA NB",B965)),
ISNUMBER(SEARCH("WEBCAM",B965)),
ISNUMBER(SEARCH("WEB CAM",B965)),
ISNUMBER(SEARCH("MOUSE",B965)),
ISNUMBER(SEARCH("TECLADO",B965))
),
"COMPLEMENTO",
IF(
OR(
LEFT(A965,2)="NB",
LEFT(A965,2)="PC",
LEFT(A965,2)="WS",
LEFT(A965,2)="TB",
LEFT(A965,3)="CEL",
LEFT(A965,3)="MON",
LEFT(A965,3)="PRE",
LEFT(A965,3)="PRH",
ISNUMBER(SEARCH("NOTEBOOK",B965)),
ISNUMBER(SEARCH("LAPTOP",B965)),
ISNUMBER(SEARCH("MONITOR",B965)),
ISNUMBER(SEARCH("TABLET",B965)),
ISNUMBER(SEARCH("SMARTPH",B965)),
ISNUMBER(SEARCH("IMPRESORA",B965)),
ISNUMBER(SEARCH("MULTIFUNCIONAL",B965)),
ISNUMBER(SEARCH("AIO",B965))
),
"GANCHO",
"NORMAL"
)
)</f>
        <v>NORMAL</v>
      </c>
    </row>
    <row r="964" spans="1:12" x14ac:dyDescent="0.25">
      <c r="A964" s="3" t="s">
        <v>1686</v>
      </c>
      <c r="B964" s="3" t="s">
        <v>1687</v>
      </c>
      <c r="C964" s="1">
        <v>20</v>
      </c>
      <c r="D964" s="1">
        <v>349</v>
      </c>
      <c r="E964" s="1" t="s">
        <v>52</v>
      </c>
      <c r="F964" s="1" t="s">
        <v>3604</v>
      </c>
      <c r="G964" s="3" t="s">
        <v>1688</v>
      </c>
      <c r="H964" s="11">
        <f>ROUND(
IF(L962="GANCHO",
   IF(I964&lt;=50,I964*1.1+4,IF(I964&lt;=120,I964*1.1+7,IF(I964&lt;=250,I964*1.1+11,I964*1.1+19))),
IF(L962="NORMAL",
   IF(I964&lt;=30,I964*1.15+2,IF(I964&lt;=80,I964*1.15+4,IF(I964&lt;=150,I964*1.15+6,I964*1.15+8))),
IF(L962="COMPLEMENTO",
   IF(I964&lt;=25,I964*1.25+1.5,IF(I964&lt;=60,I964*1.25+3,IF(I964&lt;=120,I964*1.25+4,I964*1.25+5))),
""))),2)</f>
        <v>1656.1</v>
      </c>
      <c r="I964" s="9">
        <f>($K$2+0.02)*Tabla1[[#This Row],[PRECIO $]]*1.18</f>
        <v>1433.1335999999999</v>
      </c>
      <c r="J964" s="7">
        <f>+Tabla1[[#This Row],[PRECIO EN SOLES]]-Tabla1[[#This Row],[PC]]</f>
        <v>222.96640000000002</v>
      </c>
      <c r="K964" s="15"/>
      <c r="L964" s="15" t="str">
        <f>IF(
OR(
ISNUMBER(SEARCH("BACKPACK",B966)),
ISNUMBER(SEARCH("MOCHILA",B966)),
ISNUMBER(SEARCH("FUNDA",B966)),
ISNUMBER(SEARCH("ESTUCHE",B966)),
ISNUMBER(SEARCH("BOOK COVER",B966)),
ISNUMBER(SEARCH("KEYBOARD PARA TABLET",B966)),
ISNUMBER(SEARCH("FLIP TABLET",B966)),
ISNUMBER(SEARCH("CASE FOR TABLET",B966)),
ISNUMBER(SEARCH("CABLE",B966)),
ISNUMBER(SEARCH("ADAPTADOR",B966)),
ISNUMBER(SEARCH("HUB",B966)),
ISNUMBER(SEARCH("DOCK",B966)),
ISNUMBER(SEARCH("MOUSE PAD",B966)),
ISNUMBER(SEARCH("MOUSEPAD",B966)),
ISNUMBER(SEARCH("SOPORTE",B966)),
ISNUMBER(SEARCH("STAND",B966)),
ISNUMBER(SEARCH("TRAVEL ADAPTER",B966)),
ISNUMBER(SEARCH("RJ45",B966)),
ISNUMBER(SEARCH("USB-C",B966)),
ISNUMBER(SEARCH("USB WIFI",B966)),
ISNUMBER(SEARCH("POWERBANK",B966)),
ISNUMBER(SEARCH("CARGADOR",B966)),
ISNUMBER(SEARCH("COOLER PARA NB",B966)),
ISNUMBER(SEARCH("SOPORTE PARA NB",B966)),
ISNUMBER(SEARCH("WEBCAM",B966)),
ISNUMBER(SEARCH("WEB CAM",B966)),
ISNUMBER(SEARCH("MOUSE",B966)),
ISNUMBER(SEARCH("TECLADO",B966))
),
"COMPLEMENTO",
IF(
OR(
LEFT(A966,2)="NB",
LEFT(A966,2)="PC",
LEFT(A966,2)="WS",
LEFT(A966,2)="TB",
LEFT(A966,3)="CEL",
LEFT(A966,3)="MON",
LEFT(A966,3)="PRE",
LEFT(A966,3)="PRH",
ISNUMBER(SEARCH("NOTEBOOK",B966)),
ISNUMBER(SEARCH("LAPTOP",B966)),
ISNUMBER(SEARCH("MONITOR",B966)),
ISNUMBER(SEARCH("TABLET",B966)),
ISNUMBER(SEARCH("SMARTPH",B966)),
ISNUMBER(SEARCH("IMPRESORA",B966)),
ISNUMBER(SEARCH("MULTIFUNCIONAL",B966)),
ISNUMBER(SEARCH("AIO",B966))
),
"GANCHO",
"NORMAL"
)
)</f>
        <v>NORMAL</v>
      </c>
    </row>
    <row r="965" spans="1:12" x14ac:dyDescent="0.25">
      <c r="A965" s="3" t="s">
        <v>1689</v>
      </c>
      <c r="B965" s="3" t="s">
        <v>1690</v>
      </c>
      <c r="C965" s="1">
        <v>20</v>
      </c>
      <c r="D965" s="1">
        <v>449</v>
      </c>
      <c r="E965" s="1" t="s">
        <v>52</v>
      </c>
      <c r="F965" s="1" t="s">
        <v>3605</v>
      </c>
      <c r="G965" s="3" t="s">
        <v>1691</v>
      </c>
      <c r="H965" s="11">
        <f>ROUND(
IF(L963="GANCHO",
   IF(I965&lt;=50,I965*1.1+4,IF(I965&lt;=120,I965*1.1+7,IF(I965&lt;=250,I965*1.1+11,I965*1.1+19))),
IF(L963="NORMAL",
   IF(I965&lt;=30,I965*1.15+2,IF(I965&lt;=80,I965*1.15+4,IF(I965&lt;=150,I965*1.15+6,I965*1.15+8))),
IF(L963="COMPLEMENTO",
   IF(I965&lt;=25,I965*1.25+1.5,IF(I965&lt;=60,I965*1.25+3,IF(I965&lt;=120,I965*1.25+4,I965*1.25+5))),
""))),2)</f>
        <v>2128.34</v>
      </c>
      <c r="I965" s="9">
        <f>($K$2+0.02)*Tabla1[[#This Row],[PRECIO $]]*1.18</f>
        <v>1843.7736</v>
      </c>
      <c r="J965" s="7">
        <f>+Tabla1[[#This Row],[PRECIO EN SOLES]]-Tabla1[[#This Row],[PC]]</f>
        <v>284.56640000000016</v>
      </c>
      <c r="K965" s="15"/>
      <c r="L965" s="15" t="str">
        <f>IF(
OR(
ISNUMBER(SEARCH("BACKPACK",B967)),
ISNUMBER(SEARCH("MOCHILA",B967)),
ISNUMBER(SEARCH("FUNDA",B967)),
ISNUMBER(SEARCH("ESTUCHE",B967)),
ISNUMBER(SEARCH("BOOK COVER",B967)),
ISNUMBER(SEARCH("KEYBOARD PARA TABLET",B967)),
ISNUMBER(SEARCH("FLIP TABLET",B967)),
ISNUMBER(SEARCH("CASE FOR TABLET",B967)),
ISNUMBER(SEARCH("CABLE",B967)),
ISNUMBER(SEARCH("ADAPTADOR",B967)),
ISNUMBER(SEARCH("HUB",B967)),
ISNUMBER(SEARCH("DOCK",B967)),
ISNUMBER(SEARCH("MOUSE PAD",B967)),
ISNUMBER(SEARCH("MOUSEPAD",B967)),
ISNUMBER(SEARCH("SOPORTE",B967)),
ISNUMBER(SEARCH("STAND",B967)),
ISNUMBER(SEARCH("TRAVEL ADAPTER",B967)),
ISNUMBER(SEARCH("RJ45",B967)),
ISNUMBER(SEARCH("USB-C",B967)),
ISNUMBER(SEARCH("USB WIFI",B967)),
ISNUMBER(SEARCH("POWERBANK",B967)),
ISNUMBER(SEARCH("CARGADOR",B967)),
ISNUMBER(SEARCH("COOLER PARA NB",B967)),
ISNUMBER(SEARCH("SOPORTE PARA NB",B967)),
ISNUMBER(SEARCH("WEBCAM",B967)),
ISNUMBER(SEARCH("WEB CAM",B967)),
ISNUMBER(SEARCH("MOUSE",B967)),
ISNUMBER(SEARCH("TECLADO",B967))
),
"COMPLEMENTO",
IF(
OR(
LEFT(A967,2)="NB",
LEFT(A967,2)="PC",
LEFT(A967,2)="WS",
LEFT(A967,2)="TB",
LEFT(A967,3)="CEL",
LEFT(A967,3)="MON",
LEFT(A967,3)="PRE",
LEFT(A967,3)="PRH",
ISNUMBER(SEARCH("NOTEBOOK",B967)),
ISNUMBER(SEARCH("LAPTOP",B967)),
ISNUMBER(SEARCH("MONITOR",B967)),
ISNUMBER(SEARCH("TABLET",B967)),
ISNUMBER(SEARCH("SMARTPH",B967)),
ISNUMBER(SEARCH("IMPRESORA",B967)),
ISNUMBER(SEARCH("MULTIFUNCIONAL",B967)),
ISNUMBER(SEARCH("AIO",B967))
),
"GANCHO",
"NORMAL"
)
)</f>
        <v>NORMAL</v>
      </c>
    </row>
    <row r="966" spans="1:12" x14ac:dyDescent="0.25">
      <c r="A966" s="3" t="s">
        <v>1692</v>
      </c>
      <c r="B966" s="3" t="s">
        <v>1693</v>
      </c>
      <c r="C966" s="1">
        <v>1</v>
      </c>
      <c r="D966" s="1">
        <v>695</v>
      </c>
      <c r="E966" s="1" t="s">
        <v>52</v>
      </c>
      <c r="F966" s="1" t="s">
        <v>3606</v>
      </c>
      <c r="G966" s="3" t="s">
        <v>1694</v>
      </c>
      <c r="H966" s="11">
        <f>ROUND(
IF(L964="GANCHO",
   IF(I966&lt;=50,I966*1.1+4,IF(I966&lt;=120,I966*1.1+7,IF(I966&lt;=250,I966*1.1+11,I966*1.1+19))),
IF(L964="NORMAL",
   IF(I966&lt;=30,I966*1.15+2,IF(I966&lt;=80,I966*1.15+4,IF(I966&lt;=150,I966*1.15+6,I966*1.15+8))),
IF(L964="COMPLEMENTO",
   IF(I966&lt;=25,I966*1.25+1.5,IF(I966&lt;=60,I966*1.25+3,IF(I966&lt;=120,I966*1.25+4,I966*1.25+5))),
""))),2)</f>
        <v>3290.04</v>
      </c>
      <c r="I966" s="9">
        <f>($K$2+0.02)*Tabla1[[#This Row],[PRECIO $]]*1.18</f>
        <v>2853.9479999999999</v>
      </c>
      <c r="J966" s="7">
        <f>+Tabla1[[#This Row],[PRECIO EN SOLES]]-Tabla1[[#This Row],[PC]]</f>
        <v>436.0920000000001</v>
      </c>
      <c r="K966" s="15"/>
      <c r="L966" s="15" t="str">
        <f>IF(
OR(
ISNUMBER(SEARCH("BACKPACK",B968)),
ISNUMBER(SEARCH("MOCHILA",B968)),
ISNUMBER(SEARCH("FUNDA",B968)),
ISNUMBER(SEARCH("ESTUCHE",B968)),
ISNUMBER(SEARCH("BOOK COVER",B968)),
ISNUMBER(SEARCH("KEYBOARD PARA TABLET",B968)),
ISNUMBER(SEARCH("FLIP TABLET",B968)),
ISNUMBER(SEARCH("CASE FOR TABLET",B968)),
ISNUMBER(SEARCH("CABLE",B968)),
ISNUMBER(SEARCH("ADAPTADOR",B968)),
ISNUMBER(SEARCH("HUB",B968)),
ISNUMBER(SEARCH("DOCK",B968)),
ISNUMBER(SEARCH("MOUSE PAD",B968)),
ISNUMBER(SEARCH("MOUSEPAD",B968)),
ISNUMBER(SEARCH("SOPORTE",B968)),
ISNUMBER(SEARCH("STAND",B968)),
ISNUMBER(SEARCH("TRAVEL ADAPTER",B968)),
ISNUMBER(SEARCH("RJ45",B968)),
ISNUMBER(SEARCH("USB-C",B968)),
ISNUMBER(SEARCH("USB WIFI",B968)),
ISNUMBER(SEARCH("POWERBANK",B968)),
ISNUMBER(SEARCH("CARGADOR",B968)),
ISNUMBER(SEARCH("COOLER PARA NB",B968)),
ISNUMBER(SEARCH("SOPORTE PARA NB",B968)),
ISNUMBER(SEARCH("WEBCAM",B968)),
ISNUMBER(SEARCH("WEB CAM",B968)),
ISNUMBER(SEARCH("MOUSE",B968)),
ISNUMBER(SEARCH("TECLADO",B968))
),
"COMPLEMENTO",
IF(
OR(
LEFT(A968,2)="NB",
LEFT(A968,2)="PC",
LEFT(A968,2)="WS",
LEFT(A968,2)="TB",
LEFT(A968,3)="CEL",
LEFT(A968,3)="MON",
LEFT(A968,3)="PRE",
LEFT(A968,3)="PRH",
ISNUMBER(SEARCH("NOTEBOOK",B968)),
ISNUMBER(SEARCH("LAPTOP",B968)),
ISNUMBER(SEARCH("MONITOR",B968)),
ISNUMBER(SEARCH("TABLET",B968)),
ISNUMBER(SEARCH("SMARTPH",B968)),
ISNUMBER(SEARCH("IMPRESORA",B968)),
ISNUMBER(SEARCH("MULTIFUNCIONAL",B968)),
ISNUMBER(SEARCH("AIO",B968))
),
"GANCHO",
"NORMAL"
)
)</f>
        <v>NORMAL</v>
      </c>
    </row>
    <row r="967" spans="1:12" x14ac:dyDescent="0.25">
      <c r="A967" s="3" t="s">
        <v>1695</v>
      </c>
      <c r="B967" s="3" t="s">
        <v>1696</v>
      </c>
      <c r="C967" s="1">
        <v>7</v>
      </c>
      <c r="D967" s="1">
        <v>90.5</v>
      </c>
      <c r="E967" s="1" t="s">
        <v>1697</v>
      </c>
      <c r="F967" s="1" t="s">
        <v>3607</v>
      </c>
      <c r="G967" s="3" t="s">
        <v>1698</v>
      </c>
      <c r="H967" s="11">
        <f>ROUND(
IF(L965="GANCHO",
   IF(I967&lt;=50,I967*1.1+4,IF(I967&lt;=120,I967*1.1+7,IF(I967&lt;=250,I967*1.1+11,I967*1.1+19))),
IF(L965="NORMAL",
   IF(I967&lt;=30,I967*1.15+2,IF(I967&lt;=80,I967*1.15+4,IF(I967&lt;=150,I967*1.15+6,I967*1.15+8))),
IF(L965="COMPLEMENTO",
   IF(I967&lt;=25,I967*1.25+1.5,IF(I967&lt;=60,I967*1.25+3,IF(I967&lt;=120,I967*1.25+4,I967*1.25+5))),
""))),2)</f>
        <v>435.37</v>
      </c>
      <c r="I967" s="9">
        <f>($K$2+0.02)*Tabla1[[#This Row],[PRECIO $]]*1.18</f>
        <v>371.62919999999997</v>
      </c>
      <c r="J967" s="7">
        <f>+Tabla1[[#This Row],[PRECIO EN SOLES]]-Tabla1[[#This Row],[PC]]</f>
        <v>63.740800000000036</v>
      </c>
      <c r="K967" s="15"/>
      <c r="L967" s="15" t="str">
        <f>IF(
OR(
ISNUMBER(SEARCH("BACKPACK",B969)),
ISNUMBER(SEARCH("MOCHILA",B969)),
ISNUMBER(SEARCH("FUNDA",B969)),
ISNUMBER(SEARCH("ESTUCHE",B969)),
ISNUMBER(SEARCH("BOOK COVER",B969)),
ISNUMBER(SEARCH("KEYBOARD PARA TABLET",B969)),
ISNUMBER(SEARCH("FLIP TABLET",B969)),
ISNUMBER(SEARCH("CASE FOR TABLET",B969)),
ISNUMBER(SEARCH("CABLE",B969)),
ISNUMBER(SEARCH("ADAPTADOR",B969)),
ISNUMBER(SEARCH("HUB",B969)),
ISNUMBER(SEARCH("DOCK",B969)),
ISNUMBER(SEARCH("MOUSE PAD",B969)),
ISNUMBER(SEARCH("MOUSEPAD",B969)),
ISNUMBER(SEARCH("SOPORTE",B969)),
ISNUMBER(SEARCH("STAND",B969)),
ISNUMBER(SEARCH("TRAVEL ADAPTER",B969)),
ISNUMBER(SEARCH("RJ45",B969)),
ISNUMBER(SEARCH("USB-C",B969)),
ISNUMBER(SEARCH("USB WIFI",B969)),
ISNUMBER(SEARCH("POWERBANK",B969)),
ISNUMBER(SEARCH("CARGADOR",B969)),
ISNUMBER(SEARCH("COOLER PARA NB",B969)),
ISNUMBER(SEARCH("SOPORTE PARA NB",B969)),
ISNUMBER(SEARCH("WEBCAM",B969)),
ISNUMBER(SEARCH("WEB CAM",B969)),
ISNUMBER(SEARCH("MOUSE",B969)),
ISNUMBER(SEARCH("TECLADO",B969))
),
"COMPLEMENTO",
IF(
OR(
LEFT(A969,2)="NB",
LEFT(A969,2)="PC",
LEFT(A969,2)="WS",
LEFT(A969,2)="TB",
LEFT(A969,3)="CEL",
LEFT(A969,3)="MON",
LEFT(A969,3)="PRE",
LEFT(A969,3)="PRH",
ISNUMBER(SEARCH("NOTEBOOK",B969)),
ISNUMBER(SEARCH("LAPTOP",B969)),
ISNUMBER(SEARCH("MONITOR",B969)),
ISNUMBER(SEARCH("TABLET",B969)),
ISNUMBER(SEARCH("SMARTPH",B969)),
ISNUMBER(SEARCH("IMPRESORA",B969)),
ISNUMBER(SEARCH("MULTIFUNCIONAL",B969)),
ISNUMBER(SEARCH("AIO",B969))
),
"GANCHO",
"NORMAL"
)
)</f>
        <v>NORMAL</v>
      </c>
    </row>
    <row r="968" spans="1:12" x14ac:dyDescent="0.25">
      <c r="A968" s="3" t="s">
        <v>1699</v>
      </c>
      <c r="B968" s="3" t="s">
        <v>1700</v>
      </c>
      <c r="C968" s="1">
        <v>1</v>
      </c>
      <c r="D968" s="1">
        <v>216.3</v>
      </c>
      <c r="E968" s="1" t="s">
        <v>1697</v>
      </c>
      <c r="F968" s="1" t="s">
        <v>3608</v>
      </c>
      <c r="G968" s="3" t="s">
        <v>1701</v>
      </c>
      <c r="H968" s="11">
        <f>ROUND(
IF(L966="GANCHO",
   IF(I968&lt;=50,I968*1.1+4,IF(I968&lt;=120,I968*1.1+7,IF(I968&lt;=250,I968*1.1+11,I968*1.1+19))),
IF(L966="NORMAL",
   IF(I968&lt;=30,I968*1.15+2,IF(I968&lt;=80,I968*1.15+4,IF(I968&lt;=150,I968*1.15+6,I968*1.15+8))),
IF(L966="COMPLEMENTO",
   IF(I968&lt;=25,I968*1.25+1.5,IF(I968&lt;=60,I968*1.25+3,IF(I968&lt;=120,I968*1.25+4,I968*1.25+5))),
""))),2)</f>
        <v>1029.45</v>
      </c>
      <c r="I968" s="9">
        <f>($K$2+0.02)*Tabla1[[#This Row],[PRECIO $]]*1.18</f>
        <v>888.21432000000004</v>
      </c>
      <c r="J968" s="7">
        <f>+Tabla1[[#This Row],[PRECIO EN SOLES]]-Tabla1[[#This Row],[PC]]</f>
        <v>141.23568</v>
      </c>
      <c r="K968" s="15"/>
      <c r="L968" s="15" t="str">
        <f>IF(
OR(
ISNUMBER(SEARCH("BACKPACK",B970)),
ISNUMBER(SEARCH("MOCHILA",B970)),
ISNUMBER(SEARCH("FUNDA",B970)),
ISNUMBER(SEARCH("ESTUCHE",B970)),
ISNUMBER(SEARCH("BOOK COVER",B970)),
ISNUMBER(SEARCH("KEYBOARD PARA TABLET",B970)),
ISNUMBER(SEARCH("FLIP TABLET",B970)),
ISNUMBER(SEARCH("CASE FOR TABLET",B970)),
ISNUMBER(SEARCH("CABLE",B970)),
ISNUMBER(SEARCH("ADAPTADOR",B970)),
ISNUMBER(SEARCH("HUB",B970)),
ISNUMBER(SEARCH("DOCK",B970)),
ISNUMBER(SEARCH("MOUSE PAD",B970)),
ISNUMBER(SEARCH("MOUSEPAD",B970)),
ISNUMBER(SEARCH("SOPORTE",B970)),
ISNUMBER(SEARCH("STAND",B970)),
ISNUMBER(SEARCH("TRAVEL ADAPTER",B970)),
ISNUMBER(SEARCH("RJ45",B970)),
ISNUMBER(SEARCH("USB-C",B970)),
ISNUMBER(SEARCH("USB WIFI",B970)),
ISNUMBER(SEARCH("POWERBANK",B970)),
ISNUMBER(SEARCH("CARGADOR",B970)),
ISNUMBER(SEARCH("COOLER PARA NB",B970)),
ISNUMBER(SEARCH("SOPORTE PARA NB",B970)),
ISNUMBER(SEARCH("WEBCAM",B970)),
ISNUMBER(SEARCH("WEB CAM",B970)),
ISNUMBER(SEARCH("MOUSE",B970)),
ISNUMBER(SEARCH("TECLADO",B970))
),
"COMPLEMENTO",
IF(
OR(
LEFT(A970,2)="NB",
LEFT(A970,2)="PC",
LEFT(A970,2)="WS",
LEFT(A970,2)="TB",
LEFT(A970,3)="CEL",
LEFT(A970,3)="MON",
LEFT(A970,3)="PRE",
LEFT(A970,3)="PRH",
ISNUMBER(SEARCH("NOTEBOOK",B970)),
ISNUMBER(SEARCH("LAPTOP",B970)),
ISNUMBER(SEARCH("MONITOR",B970)),
ISNUMBER(SEARCH("TABLET",B970)),
ISNUMBER(SEARCH("SMARTPH",B970)),
ISNUMBER(SEARCH("IMPRESORA",B970)),
ISNUMBER(SEARCH("MULTIFUNCIONAL",B970)),
ISNUMBER(SEARCH("AIO",B970))
),
"GANCHO",
"NORMAL"
)
)</f>
        <v>COMPLEMENTO</v>
      </c>
    </row>
    <row r="969" spans="1:12" x14ac:dyDescent="0.25">
      <c r="A969" s="3" t="s">
        <v>1702</v>
      </c>
      <c r="B969" s="3" t="s">
        <v>1703</v>
      </c>
      <c r="C969" s="1">
        <v>2</v>
      </c>
      <c r="D969" s="1">
        <v>456</v>
      </c>
      <c r="E969" s="1" t="s">
        <v>838</v>
      </c>
      <c r="F969" s="1" t="s">
        <v>3609</v>
      </c>
      <c r="G969" s="3" t="s">
        <v>1704</v>
      </c>
      <c r="H969" s="11">
        <f>ROUND(
IF(L967="GANCHO",
   IF(I969&lt;=50,I969*1.1+4,IF(I969&lt;=120,I969*1.1+7,IF(I969&lt;=250,I969*1.1+11,I969*1.1+19))),
IF(L967="NORMAL",
   IF(I969&lt;=30,I969*1.15+2,IF(I969&lt;=80,I969*1.15+4,IF(I969&lt;=150,I969*1.15+6,I969*1.15+8))),
IF(L967="COMPLEMENTO",
   IF(I969&lt;=25,I969*1.25+1.5,IF(I969&lt;=60,I969*1.25+3,IF(I969&lt;=120,I969*1.25+4,I969*1.25+5))),
""))),2)</f>
        <v>2161.4</v>
      </c>
      <c r="I969" s="9">
        <f>($K$2+0.02)*Tabla1[[#This Row],[PRECIO $]]*1.18</f>
        <v>1872.5183999999997</v>
      </c>
      <c r="J969" s="7">
        <f>+Tabla1[[#This Row],[PRECIO EN SOLES]]-Tabla1[[#This Row],[PC]]</f>
        <v>288.88160000000039</v>
      </c>
      <c r="K969" s="15"/>
      <c r="L969" s="15" t="str">
        <f>IF(
OR(
ISNUMBER(SEARCH("BACKPACK",B971)),
ISNUMBER(SEARCH("MOCHILA",B971)),
ISNUMBER(SEARCH("FUNDA",B971)),
ISNUMBER(SEARCH("ESTUCHE",B971)),
ISNUMBER(SEARCH("BOOK COVER",B971)),
ISNUMBER(SEARCH("KEYBOARD PARA TABLET",B971)),
ISNUMBER(SEARCH("FLIP TABLET",B971)),
ISNUMBER(SEARCH("CASE FOR TABLET",B971)),
ISNUMBER(SEARCH("CABLE",B971)),
ISNUMBER(SEARCH("ADAPTADOR",B971)),
ISNUMBER(SEARCH("HUB",B971)),
ISNUMBER(SEARCH("DOCK",B971)),
ISNUMBER(SEARCH("MOUSE PAD",B971)),
ISNUMBER(SEARCH("MOUSEPAD",B971)),
ISNUMBER(SEARCH("SOPORTE",B971)),
ISNUMBER(SEARCH("STAND",B971)),
ISNUMBER(SEARCH("TRAVEL ADAPTER",B971)),
ISNUMBER(SEARCH("RJ45",B971)),
ISNUMBER(SEARCH("USB-C",B971)),
ISNUMBER(SEARCH("USB WIFI",B971)),
ISNUMBER(SEARCH("POWERBANK",B971)),
ISNUMBER(SEARCH("CARGADOR",B971)),
ISNUMBER(SEARCH("COOLER PARA NB",B971)),
ISNUMBER(SEARCH("SOPORTE PARA NB",B971)),
ISNUMBER(SEARCH("WEBCAM",B971)),
ISNUMBER(SEARCH("WEB CAM",B971)),
ISNUMBER(SEARCH("MOUSE",B971)),
ISNUMBER(SEARCH("TECLADO",B971))
),
"COMPLEMENTO",
IF(
OR(
LEFT(A971,2)="NB",
LEFT(A971,2)="PC",
LEFT(A971,2)="WS",
LEFT(A971,2)="TB",
LEFT(A971,3)="CEL",
LEFT(A971,3)="MON",
LEFT(A971,3)="PRE",
LEFT(A971,3)="PRH",
ISNUMBER(SEARCH("NOTEBOOK",B971)),
ISNUMBER(SEARCH("LAPTOP",B971)),
ISNUMBER(SEARCH("MONITOR",B971)),
ISNUMBER(SEARCH("TABLET",B971)),
ISNUMBER(SEARCH("SMARTPH",B971)),
ISNUMBER(SEARCH("IMPRESORA",B971)),
ISNUMBER(SEARCH("MULTIFUNCIONAL",B971)),
ISNUMBER(SEARCH("AIO",B971))
),
"GANCHO",
"NORMAL"
)
)</f>
        <v>COMPLEMENTO</v>
      </c>
    </row>
    <row r="970" spans="1:12" x14ac:dyDescent="0.25">
      <c r="A970" s="3" t="s">
        <v>1705</v>
      </c>
      <c r="B970" s="3" t="s">
        <v>1706</v>
      </c>
      <c r="C970" s="1">
        <v>20</v>
      </c>
      <c r="D970" s="1">
        <v>19.600000000000001</v>
      </c>
      <c r="E970" s="1" t="s">
        <v>837</v>
      </c>
      <c r="F970" s="1" t="s">
        <v>3610</v>
      </c>
      <c r="G970" s="3" t="s">
        <v>1707</v>
      </c>
      <c r="H970" s="11">
        <f>ROUND(
IF(L968="GANCHO",
   IF(I970&lt;=50,I970*1.1+4,IF(I970&lt;=120,I970*1.1+7,IF(I970&lt;=250,I970*1.1+11,I970*1.1+19))),
IF(L968="NORMAL",
   IF(I970&lt;=30,I970*1.15+2,IF(I970&lt;=80,I970*1.15+4,IF(I970&lt;=150,I970*1.15+6,I970*1.15+8))),
IF(L968="COMPLEMENTO",
   IF(I970&lt;=25,I970*1.25+1.5,IF(I970&lt;=60,I970*1.25+3,IF(I970&lt;=120,I970*1.25+4,I970*1.25+5))),
""))),2)</f>
        <v>104.61</v>
      </c>
      <c r="I970" s="9">
        <f>($K$2+0.02)*Tabla1[[#This Row],[PRECIO $]]*1.18</f>
        <v>80.485439999999997</v>
      </c>
      <c r="J970" s="7">
        <f>+Tabla1[[#This Row],[PRECIO EN SOLES]]-Tabla1[[#This Row],[PC]]</f>
        <v>24.124560000000002</v>
      </c>
      <c r="K970" s="15"/>
      <c r="L970" s="15" t="str">
        <f>IF(
OR(
ISNUMBER(SEARCH("BACKPACK",B972)),
ISNUMBER(SEARCH("MOCHILA",B972)),
ISNUMBER(SEARCH("FUNDA",B972)),
ISNUMBER(SEARCH("ESTUCHE",B972)),
ISNUMBER(SEARCH("BOOK COVER",B972)),
ISNUMBER(SEARCH("KEYBOARD PARA TABLET",B972)),
ISNUMBER(SEARCH("FLIP TABLET",B972)),
ISNUMBER(SEARCH("CASE FOR TABLET",B972)),
ISNUMBER(SEARCH("CABLE",B972)),
ISNUMBER(SEARCH("ADAPTADOR",B972)),
ISNUMBER(SEARCH("HUB",B972)),
ISNUMBER(SEARCH("DOCK",B972)),
ISNUMBER(SEARCH("MOUSE PAD",B972)),
ISNUMBER(SEARCH("MOUSEPAD",B972)),
ISNUMBER(SEARCH("SOPORTE",B972)),
ISNUMBER(SEARCH("STAND",B972)),
ISNUMBER(SEARCH("TRAVEL ADAPTER",B972)),
ISNUMBER(SEARCH("RJ45",B972)),
ISNUMBER(SEARCH("USB-C",B972)),
ISNUMBER(SEARCH("USB WIFI",B972)),
ISNUMBER(SEARCH("POWERBANK",B972)),
ISNUMBER(SEARCH("CARGADOR",B972)),
ISNUMBER(SEARCH("COOLER PARA NB",B972)),
ISNUMBER(SEARCH("SOPORTE PARA NB",B972)),
ISNUMBER(SEARCH("WEBCAM",B972)),
ISNUMBER(SEARCH("WEB CAM",B972)),
ISNUMBER(SEARCH("MOUSE",B972)),
ISNUMBER(SEARCH("TECLADO",B972))
),
"COMPLEMENTO",
IF(
OR(
LEFT(A972,2)="NB",
LEFT(A972,2)="PC",
LEFT(A972,2)="WS",
LEFT(A972,2)="TB",
LEFT(A972,3)="CEL",
LEFT(A972,3)="MON",
LEFT(A972,3)="PRE",
LEFT(A972,3)="PRH",
ISNUMBER(SEARCH("NOTEBOOK",B972)),
ISNUMBER(SEARCH("LAPTOP",B972)),
ISNUMBER(SEARCH("MONITOR",B972)),
ISNUMBER(SEARCH("TABLET",B972)),
ISNUMBER(SEARCH("SMARTPH",B972)),
ISNUMBER(SEARCH("IMPRESORA",B972)),
ISNUMBER(SEARCH("MULTIFUNCIONAL",B972)),
ISNUMBER(SEARCH("AIO",B972))
),
"GANCHO",
"NORMAL"
)
)</f>
        <v>COMPLEMENTO</v>
      </c>
    </row>
    <row r="971" spans="1:12" x14ac:dyDescent="0.25">
      <c r="A971" s="3" t="s">
        <v>1708</v>
      </c>
      <c r="B971" s="3" t="s">
        <v>1709</v>
      </c>
      <c r="C971" s="1">
        <v>3</v>
      </c>
      <c r="D971" s="1">
        <v>12.1</v>
      </c>
      <c r="E971" s="1" t="s">
        <v>56</v>
      </c>
      <c r="F971" s="1" t="s">
        <v>3611</v>
      </c>
      <c r="G971" s="3"/>
      <c r="H971" s="11">
        <f>ROUND(
IF(L969="GANCHO",
   IF(I971&lt;=50,I971*1.1+4,IF(I971&lt;=120,I971*1.1+7,IF(I971&lt;=250,I971*1.1+11,I971*1.1+19))),
IF(L969="NORMAL",
   IF(I971&lt;=30,I971*1.15+2,IF(I971&lt;=80,I971*1.15+4,IF(I971&lt;=150,I971*1.15+6,I971*1.15+8))),
IF(L969="COMPLEMENTO",
   IF(I971&lt;=25,I971*1.25+1.5,IF(I971&lt;=60,I971*1.25+3,IF(I971&lt;=120,I971*1.25+4,I971*1.25+5))),
""))),2)</f>
        <v>65.11</v>
      </c>
      <c r="I971" s="9">
        <f>($K$2+0.02)*Tabla1[[#This Row],[PRECIO $]]*1.18</f>
        <v>49.687439999999995</v>
      </c>
      <c r="J971" s="7">
        <f>+Tabla1[[#This Row],[PRECIO EN SOLES]]-Tabla1[[#This Row],[PC]]</f>
        <v>15.422560000000004</v>
      </c>
      <c r="K971" s="15"/>
      <c r="L971" s="15" t="str">
        <f>IF(
OR(
ISNUMBER(SEARCH("BACKPACK",B973)),
ISNUMBER(SEARCH("MOCHILA",B973)),
ISNUMBER(SEARCH("FUNDA",B973)),
ISNUMBER(SEARCH("ESTUCHE",B973)),
ISNUMBER(SEARCH("BOOK COVER",B973)),
ISNUMBER(SEARCH("KEYBOARD PARA TABLET",B973)),
ISNUMBER(SEARCH("FLIP TABLET",B973)),
ISNUMBER(SEARCH("CASE FOR TABLET",B973)),
ISNUMBER(SEARCH("CABLE",B973)),
ISNUMBER(SEARCH("ADAPTADOR",B973)),
ISNUMBER(SEARCH("HUB",B973)),
ISNUMBER(SEARCH("DOCK",B973)),
ISNUMBER(SEARCH("MOUSE PAD",B973)),
ISNUMBER(SEARCH("MOUSEPAD",B973)),
ISNUMBER(SEARCH("SOPORTE",B973)),
ISNUMBER(SEARCH("STAND",B973)),
ISNUMBER(SEARCH("TRAVEL ADAPTER",B973)),
ISNUMBER(SEARCH("RJ45",B973)),
ISNUMBER(SEARCH("USB-C",B973)),
ISNUMBER(SEARCH("USB WIFI",B973)),
ISNUMBER(SEARCH("POWERBANK",B973)),
ISNUMBER(SEARCH("CARGADOR",B973)),
ISNUMBER(SEARCH("COOLER PARA NB",B973)),
ISNUMBER(SEARCH("SOPORTE PARA NB",B973)),
ISNUMBER(SEARCH("WEBCAM",B973)),
ISNUMBER(SEARCH("WEB CAM",B973)),
ISNUMBER(SEARCH("MOUSE",B973)),
ISNUMBER(SEARCH("TECLADO",B973))
),
"COMPLEMENTO",
IF(
OR(
LEFT(A973,2)="NB",
LEFT(A973,2)="PC",
LEFT(A973,2)="WS",
LEFT(A973,2)="TB",
LEFT(A973,3)="CEL",
LEFT(A973,3)="MON",
LEFT(A973,3)="PRE",
LEFT(A973,3)="PRH",
ISNUMBER(SEARCH("NOTEBOOK",B973)),
ISNUMBER(SEARCH("LAPTOP",B973)),
ISNUMBER(SEARCH("MONITOR",B973)),
ISNUMBER(SEARCH("TABLET",B973)),
ISNUMBER(SEARCH("SMARTPH",B973)),
ISNUMBER(SEARCH("IMPRESORA",B973)),
ISNUMBER(SEARCH("MULTIFUNCIONAL",B973)),
ISNUMBER(SEARCH("AIO",B973))
),
"GANCHO",
"NORMAL"
)
)</f>
        <v>COMPLEMENTO</v>
      </c>
    </row>
    <row r="972" spans="1:12" x14ac:dyDescent="0.25">
      <c r="A972" s="3" t="s">
        <v>1710</v>
      </c>
      <c r="B972" s="3" t="s">
        <v>2793</v>
      </c>
      <c r="C972" s="1">
        <v>20</v>
      </c>
      <c r="D972" s="1">
        <v>12.7</v>
      </c>
      <c r="E972" s="1" t="s">
        <v>837</v>
      </c>
      <c r="F972" s="1" t="s">
        <v>3612</v>
      </c>
      <c r="G972" s="3" t="s">
        <v>2794</v>
      </c>
      <c r="H972" s="11">
        <f>ROUND(
IF(L970="GANCHO",
   IF(I972&lt;=50,I972*1.1+4,IF(I972&lt;=120,I972*1.1+7,IF(I972&lt;=250,I972*1.1+11,I972*1.1+19))),
IF(L970="NORMAL",
   IF(I972&lt;=30,I972*1.15+2,IF(I972&lt;=80,I972*1.15+4,IF(I972&lt;=150,I972*1.15+6,I972*1.15+8))),
IF(L970="COMPLEMENTO",
   IF(I972&lt;=25,I972*1.25+1.5,IF(I972&lt;=60,I972*1.25+3,IF(I972&lt;=120,I972*1.25+4,I972*1.25+5))),
""))),2)</f>
        <v>68.19</v>
      </c>
      <c r="I972" s="9">
        <f>($K$2+0.02)*Tabla1[[#This Row],[PRECIO $]]*1.18</f>
        <v>52.151279999999993</v>
      </c>
      <c r="J972" s="7">
        <f>+Tabla1[[#This Row],[PRECIO EN SOLES]]-Tabla1[[#This Row],[PC]]</f>
        <v>16.038720000000005</v>
      </c>
      <c r="K972" s="15"/>
      <c r="L972" s="15" t="str">
        <f>IF(
OR(
ISNUMBER(SEARCH("BACKPACK",B974)),
ISNUMBER(SEARCH("MOCHILA",B974)),
ISNUMBER(SEARCH("FUNDA",B974)),
ISNUMBER(SEARCH("ESTUCHE",B974)),
ISNUMBER(SEARCH("BOOK COVER",B974)),
ISNUMBER(SEARCH("KEYBOARD PARA TABLET",B974)),
ISNUMBER(SEARCH("FLIP TABLET",B974)),
ISNUMBER(SEARCH("CASE FOR TABLET",B974)),
ISNUMBER(SEARCH("CABLE",B974)),
ISNUMBER(SEARCH("ADAPTADOR",B974)),
ISNUMBER(SEARCH("HUB",B974)),
ISNUMBER(SEARCH("DOCK",B974)),
ISNUMBER(SEARCH("MOUSE PAD",B974)),
ISNUMBER(SEARCH("MOUSEPAD",B974)),
ISNUMBER(SEARCH("SOPORTE",B974)),
ISNUMBER(SEARCH("STAND",B974)),
ISNUMBER(SEARCH("TRAVEL ADAPTER",B974)),
ISNUMBER(SEARCH("RJ45",B974)),
ISNUMBER(SEARCH("USB-C",B974)),
ISNUMBER(SEARCH("USB WIFI",B974)),
ISNUMBER(SEARCH("POWERBANK",B974)),
ISNUMBER(SEARCH("CARGADOR",B974)),
ISNUMBER(SEARCH("COOLER PARA NB",B974)),
ISNUMBER(SEARCH("SOPORTE PARA NB",B974)),
ISNUMBER(SEARCH("WEBCAM",B974)),
ISNUMBER(SEARCH("WEB CAM",B974)),
ISNUMBER(SEARCH("MOUSE",B974)),
ISNUMBER(SEARCH("TECLADO",B974))
),
"COMPLEMENTO",
IF(
OR(
LEFT(A974,2)="NB",
LEFT(A974,2)="PC",
LEFT(A974,2)="WS",
LEFT(A974,2)="TB",
LEFT(A974,3)="CEL",
LEFT(A974,3)="MON",
LEFT(A974,3)="PRE",
LEFT(A974,3)="PRH",
ISNUMBER(SEARCH("NOTEBOOK",B974)),
ISNUMBER(SEARCH("LAPTOP",B974)),
ISNUMBER(SEARCH("MONITOR",B974)),
ISNUMBER(SEARCH("TABLET",B974)),
ISNUMBER(SEARCH("SMARTPH",B974)),
ISNUMBER(SEARCH("IMPRESORA",B974)),
ISNUMBER(SEARCH("MULTIFUNCIONAL",B974)),
ISNUMBER(SEARCH("AIO",B974))
),
"GANCHO",
"NORMAL"
)
)</f>
        <v>NORMAL</v>
      </c>
    </row>
    <row r="973" spans="1:12" x14ac:dyDescent="0.25">
      <c r="A973" s="3" t="s">
        <v>1711</v>
      </c>
      <c r="B973" s="3" t="s">
        <v>1712</v>
      </c>
      <c r="C973" s="1">
        <v>5</v>
      </c>
      <c r="D973" s="1">
        <v>20.3</v>
      </c>
      <c r="E973" s="1" t="s">
        <v>74</v>
      </c>
      <c r="F973" s="1" t="s">
        <v>3613</v>
      </c>
      <c r="G973" s="3" t="s">
        <v>1713</v>
      </c>
      <c r="H973" s="11">
        <f>ROUND(
IF(L971="GANCHO",
   IF(I973&lt;=50,I973*1.1+4,IF(I973&lt;=120,I973*1.1+7,IF(I973&lt;=250,I973*1.1+11,I973*1.1+19))),
IF(L971="NORMAL",
   IF(I973&lt;=30,I973*1.15+2,IF(I973&lt;=80,I973*1.15+4,IF(I973&lt;=150,I973*1.15+6,I973*1.15+8))),
IF(L971="COMPLEMENTO",
   IF(I973&lt;=25,I973*1.25+1.5,IF(I973&lt;=60,I973*1.25+3,IF(I973&lt;=120,I973*1.25+4,I973*1.25+5))),
""))),2)</f>
        <v>108.2</v>
      </c>
      <c r="I973" s="9">
        <f>($K$2+0.02)*Tabla1[[#This Row],[PRECIO $]]*1.18</f>
        <v>83.359920000000002</v>
      </c>
      <c r="J973" s="7">
        <f>+Tabla1[[#This Row],[PRECIO EN SOLES]]-Tabla1[[#This Row],[PC]]</f>
        <v>24.84008</v>
      </c>
      <c r="K973" s="15"/>
      <c r="L973" s="15" t="str">
        <f>IF(
OR(
ISNUMBER(SEARCH("BACKPACK",B975)),
ISNUMBER(SEARCH("MOCHILA",B975)),
ISNUMBER(SEARCH("FUNDA",B975)),
ISNUMBER(SEARCH("ESTUCHE",B975)),
ISNUMBER(SEARCH("BOOK COVER",B975)),
ISNUMBER(SEARCH("KEYBOARD PARA TABLET",B975)),
ISNUMBER(SEARCH("FLIP TABLET",B975)),
ISNUMBER(SEARCH("CASE FOR TABLET",B975)),
ISNUMBER(SEARCH("CABLE",B975)),
ISNUMBER(SEARCH("ADAPTADOR",B975)),
ISNUMBER(SEARCH("HUB",B975)),
ISNUMBER(SEARCH("DOCK",B975)),
ISNUMBER(SEARCH("MOUSE PAD",B975)),
ISNUMBER(SEARCH("MOUSEPAD",B975)),
ISNUMBER(SEARCH("SOPORTE",B975)),
ISNUMBER(SEARCH("STAND",B975)),
ISNUMBER(SEARCH("TRAVEL ADAPTER",B975)),
ISNUMBER(SEARCH("RJ45",B975)),
ISNUMBER(SEARCH("USB-C",B975)),
ISNUMBER(SEARCH("USB WIFI",B975)),
ISNUMBER(SEARCH("POWERBANK",B975)),
ISNUMBER(SEARCH("CARGADOR",B975)),
ISNUMBER(SEARCH("COOLER PARA NB",B975)),
ISNUMBER(SEARCH("SOPORTE PARA NB",B975)),
ISNUMBER(SEARCH("WEBCAM",B975)),
ISNUMBER(SEARCH("WEB CAM",B975)),
ISNUMBER(SEARCH("MOUSE",B975)),
ISNUMBER(SEARCH("TECLADO",B975))
),
"COMPLEMENTO",
IF(
OR(
LEFT(A975,2)="NB",
LEFT(A975,2)="PC",
LEFT(A975,2)="WS",
LEFT(A975,2)="TB",
LEFT(A975,3)="CEL",
LEFT(A975,3)="MON",
LEFT(A975,3)="PRE",
LEFT(A975,3)="PRH",
ISNUMBER(SEARCH("NOTEBOOK",B975)),
ISNUMBER(SEARCH("LAPTOP",B975)),
ISNUMBER(SEARCH("MONITOR",B975)),
ISNUMBER(SEARCH("TABLET",B975)),
ISNUMBER(SEARCH("SMARTPH",B975)),
ISNUMBER(SEARCH("IMPRESORA",B975)),
ISNUMBER(SEARCH("MULTIFUNCIONAL",B975)),
ISNUMBER(SEARCH("AIO",B975))
),
"GANCHO",
"NORMAL"
)
)</f>
        <v>NORMAL</v>
      </c>
    </row>
    <row r="974" spans="1:12" x14ac:dyDescent="0.25">
      <c r="A974" s="3" t="s">
        <v>1714</v>
      </c>
      <c r="B974" s="3" t="s">
        <v>1715</v>
      </c>
      <c r="C974" s="1">
        <v>6</v>
      </c>
      <c r="D974" s="1">
        <v>20</v>
      </c>
      <c r="E974" s="1" t="s">
        <v>95</v>
      </c>
      <c r="F974" s="1" t="s">
        <v>3614</v>
      </c>
      <c r="G974" s="3" t="s">
        <v>1716</v>
      </c>
      <c r="H974" s="11">
        <f>ROUND(
IF(L972="GANCHO",
   IF(I974&lt;=50,I974*1.1+4,IF(I974&lt;=120,I974*1.1+7,IF(I974&lt;=250,I974*1.1+11,I974*1.1+19))),
IF(L972="NORMAL",
   IF(I974&lt;=30,I974*1.15+2,IF(I974&lt;=80,I974*1.15+4,IF(I974&lt;=150,I974*1.15+6,I974*1.15+8))),
IF(L972="COMPLEMENTO",
   IF(I974&lt;=25,I974*1.25+1.5,IF(I974&lt;=60,I974*1.25+3,IF(I974&lt;=120,I974*1.25+4,I974*1.25+5))),
""))),2)</f>
        <v>100.45</v>
      </c>
      <c r="I974" s="9">
        <f>($K$2+0.02)*Tabla1[[#This Row],[PRECIO $]]*1.18</f>
        <v>82.127999999999986</v>
      </c>
      <c r="J974" s="7">
        <f>+Tabla1[[#This Row],[PRECIO EN SOLES]]-Tabla1[[#This Row],[PC]]</f>
        <v>18.322000000000017</v>
      </c>
      <c r="K974" s="15"/>
      <c r="L974" s="15" t="str">
        <f>IF(
OR(
ISNUMBER(SEARCH("BACKPACK",B976)),
ISNUMBER(SEARCH("MOCHILA",B976)),
ISNUMBER(SEARCH("FUNDA",B976)),
ISNUMBER(SEARCH("ESTUCHE",B976)),
ISNUMBER(SEARCH("BOOK COVER",B976)),
ISNUMBER(SEARCH("KEYBOARD PARA TABLET",B976)),
ISNUMBER(SEARCH("FLIP TABLET",B976)),
ISNUMBER(SEARCH("CASE FOR TABLET",B976)),
ISNUMBER(SEARCH("CABLE",B976)),
ISNUMBER(SEARCH("ADAPTADOR",B976)),
ISNUMBER(SEARCH("HUB",B976)),
ISNUMBER(SEARCH("DOCK",B976)),
ISNUMBER(SEARCH("MOUSE PAD",B976)),
ISNUMBER(SEARCH("MOUSEPAD",B976)),
ISNUMBER(SEARCH("SOPORTE",B976)),
ISNUMBER(SEARCH("STAND",B976)),
ISNUMBER(SEARCH("TRAVEL ADAPTER",B976)),
ISNUMBER(SEARCH("RJ45",B976)),
ISNUMBER(SEARCH("USB-C",B976)),
ISNUMBER(SEARCH("USB WIFI",B976)),
ISNUMBER(SEARCH("POWERBANK",B976)),
ISNUMBER(SEARCH("CARGADOR",B976)),
ISNUMBER(SEARCH("COOLER PARA NB",B976)),
ISNUMBER(SEARCH("SOPORTE PARA NB",B976)),
ISNUMBER(SEARCH("WEBCAM",B976)),
ISNUMBER(SEARCH("WEB CAM",B976)),
ISNUMBER(SEARCH("MOUSE",B976)),
ISNUMBER(SEARCH("TECLADO",B976))
),
"COMPLEMENTO",
IF(
OR(
LEFT(A976,2)="NB",
LEFT(A976,2)="PC",
LEFT(A976,2)="WS",
LEFT(A976,2)="TB",
LEFT(A976,3)="CEL",
LEFT(A976,3)="MON",
LEFT(A976,3)="PRE",
LEFT(A976,3)="PRH",
ISNUMBER(SEARCH("NOTEBOOK",B976)),
ISNUMBER(SEARCH("LAPTOP",B976)),
ISNUMBER(SEARCH("MONITOR",B976)),
ISNUMBER(SEARCH("TABLET",B976)),
ISNUMBER(SEARCH("SMARTPH",B976)),
ISNUMBER(SEARCH("IMPRESORA",B976)),
ISNUMBER(SEARCH("MULTIFUNCIONAL",B976)),
ISNUMBER(SEARCH("AIO",B976))
),
"GANCHO",
"NORMAL"
)
)</f>
        <v>COMPLEMENTO</v>
      </c>
    </row>
    <row r="975" spans="1:12" x14ac:dyDescent="0.25">
      <c r="A975" s="3" t="s">
        <v>1717</v>
      </c>
      <c r="B975" s="3" t="s">
        <v>1718</v>
      </c>
      <c r="C975" s="1">
        <v>20</v>
      </c>
      <c r="D975" s="1">
        <v>18.100000000000001</v>
      </c>
      <c r="E975" s="1" t="s">
        <v>95</v>
      </c>
      <c r="F975" s="1" t="s">
        <v>3615</v>
      </c>
      <c r="G975" s="3" t="s">
        <v>2980</v>
      </c>
      <c r="H975" s="11">
        <f>ROUND(
IF(L973="GANCHO",
   IF(I975&lt;=50,I975*1.1+4,IF(I975&lt;=120,I975*1.1+7,IF(I975&lt;=250,I975*1.1+11,I975*1.1+19))),
IF(L973="NORMAL",
   IF(I975&lt;=30,I975*1.15+2,IF(I975&lt;=80,I975*1.15+4,IF(I975&lt;=150,I975*1.15+6,I975*1.15+8))),
IF(L973="COMPLEMENTO",
   IF(I975&lt;=25,I975*1.25+1.5,IF(I975&lt;=60,I975*1.25+3,IF(I975&lt;=120,I975*1.25+4,I975*1.25+5))),
""))),2)</f>
        <v>89.47</v>
      </c>
      <c r="I975" s="9">
        <f>($K$2+0.02)*Tabla1[[#This Row],[PRECIO $]]*1.18</f>
        <v>74.325839999999999</v>
      </c>
      <c r="J975" s="7">
        <f>+Tabla1[[#This Row],[PRECIO EN SOLES]]-Tabla1[[#This Row],[PC]]</f>
        <v>15.144159999999999</v>
      </c>
      <c r="K975" s="15"/>
      <c r="L975" s="15" t="str">
        <f>IF(
OR(
ISNUMBER(SEARCH("BACKPACK",B977)),
ISNUMBER(SEARCH("MOCHILA",B977)),
ISNUMBER(SEARCH("FUNDA",B977)),
ISNUMBER(SEARCH("ESTUCHE",B977)),
ISNUMBER(SEARCH("BOOK COVER",B977)),
ISNUMBER(SEARCH("KEYBOARD PARA TABLET",B977)),
ISNUMBER(SEARCH("FLIP TABLET",B977)),
ISNUMBER(SEARCH("CASE FOR TABLET",B977)),
ISNUMBER(SEARCH("CABLE",B977)),
ISNUMBER(SEARCH("ADAPTADOR",B977)),
ISNUMBER(SEARCH("HUB",B977)),
ISNUMBER(SEARCH("DOCK",B977)),
ISNUMBER(SEARCH("MOUSE PAD",B977)),
ISNUMBER(SEARCH("MOUSEPAD",B977)),
ISNUMBER(SEARCH("SOPORTE",B977)),
ISNUMBER(SEARCH("STAND",B977)),
ISNUMBER(SEARCH("TRAVEL ADAPTER",B977)),
ISNUMBER(SEARCH("RJ45",B977)),
ISNUMBER(SEARCH("USB-C",B977)),
ISNUMBER(SEARCH("USB WIFI",B977)),
ISNUMBER(SEARCH("POWERBANK",B977)),
ISNUMBER(SEARCH("CARGADOR",B977)),
ISNUMBER(SEARCH("COOLER PARA NB",B977)),
ISNUMBER(SEARCH("SOPORTE PARA NB",B977)),
ISNUMBER(SEARCH("WEBCAM",B977)),
ISNUMBER(SEARCH("WEB CAM",B977)),
ISNUMBER(SEARCH("MOUSE",B977)),
ISNUMBER(SEARCH("TECLADO",B977))
),
"COMPLEMENTO",
IF(
OR(
LEFT(A977,2)="NB",
LEFT(A977,2)="PC",
LEFT(A977,2)="WS",
LEFT(A977,2)="TB",
LEFT(A977,3)="CEL",
LEFT(A977,3)="MON",
LEFT(A977,3)="PRE",
LEFT(A977,3)="PRH",
ISNUMBER(SEARCH("NOTEBOOK",B977)),
ISNUMBER(SEARCH("LAPTOP",B977)),
ISNUMBER(SEARCH("MONITOR",B977)),
ISNUMBER(SEARCH("TABLET",B977)),
ISNUMBER(SEARCH("SMARTPH",B977)),
ISNUMBER(SEARCH("IMPRESORA",B977)),
ISNUMBER(SEARCH("MULTIFUNCIONAL",B977)),
ISNUMBER(SEARCH("AIO",B977))
),
"GANCHO",
"NORMAL"
)
)</f>
        <v>COMPLEMENTO</v>
      </c>
    </row>
    <row r="976" spans="1:12" x14ac:dyDescent="0.25">
      <c r="A976" s="3" t="s">
        <v>1719</v>
      </c>
      <c r="B976" s="3" t="s">
        <v>1720</v>
      </c>
      <c r="C976" s="1">
        <v>20</v>
      </c>
      <c r="D976" s="1">
        <v>39.700000000000003</v>
      </c>
      <c r="E976" s="1" t="s">
        <v>837</v>
      </c>
      <c r="F976" s="1" t="s">
        <v>3616</v>
      </c>
      <c r="G976" s="3" t="s">
        <v>1721</v>
      </c>
      <c r="H976" s="11">
        <f>ROUND(
IF(L974="GANCHO",
   IF(I976&lt;=50,I976*1.1+4,IF(I976&lt;=120,I976*1.1+7,IF(I976&lt;=250,I976*1.1+11,I976*1.1+19))),
IF(L974="NORMAL",
   IF(I976&lt;=30,I976*1.15+2,IF(I976&lt;=80,I976*1.15+4,IF(I976&lt;=150,I976*1.15+6,I976*1.15+8))),
IF(L974="COMPLEMENTO",
   IF(I976&lt;=25,I976*1.25+1.5,IF(I976&lt;=60,I976*1.25+3,IF(I976&lt;=120,I976*1.25+4,I976*1.25+5))),
""))),2)</f>
        <v>208.78</v>
      </c>
      <c r="I976" s="9">
        <f>($K$2+0.02)*Tabla1[[#This Row],[PRECIO $]]*1.18</f>
        <v>163.02408</v>
      </c>
      <c r="J976" s="7">
        <f>+Tabla1[[#This Row],[PRECIO EN SOLES]]-Tabla1[[#This Row],[PC]]</f>
        <v>45.755920000000003</v>
      </c>
      <c r="K976" s="15"/>
      <c r="L976" s="15" t="str">
        <f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COMPLEMENTO</v>
      </c>
    </row>
    <row r="977" spans="1:12" x14ac:dyDescent="0.25">
      <c r="A977" s="3" t="s">
        <v>6344</v>
      </c>
      <c r="B977" s="3" t="s">
        <v>6345</v>
      </c>
      <c r="C977" s="1">
        <v>20</v>
      </c>
      <c r="D977" s="1">
        <v>3.6</v>
      </c>
      <c r="E977" s="1" t="s">
        <v>52</v>
      </c>
      <c r="F977" s="1" t="s">
        <v>6346</v>
      </c>
      <c r="G977" s="3" t="s">
        <v>6347</v>
      </c>
      <c r="H977" s="11">
        <f>ROUND(
IF(L975="GANCHO",
   IF(I977&lt;=50,I977*1.1+4,IF(I977&lt;=120,I977*1.1+7,IF(I977&lt;=250,I977*1.1+11,I977*1.1+19))),
IF(L975="NORMAL",
   IF(I977&lt;=30,I977*1.15+2,IF(I977&lt;=80,I977*1.15+4,IF(I977&lt;=150,I977*1.15+6,I977*1.15+8))),
IF(L975="COMPLEMENTO",
   IF(I977&lt;=25,I977*1.25+1.5,IF(I977&lt;=60,I977*1.25+3,IF(I977&lt;=120,I977*1.25+4,I977*1.25+5))),
""))),2)</f>
        <v>19.98</v>
      </c>
      <c r="I977" s="9">
        <f>($K$2+0.02)*Tabla1[[#This Row],[PRECIO $]]*1.18</f>
        <v>14.78304</v>
      </c>
      <c r="J977" s="7">
        <f>+Tabla1[[#This Row],[PRECIO EN SOLES]]-Tabla1[[#This Row],[PC]]</f>
        <v>5.1969600000000007</v>
      </c>
      <c r="K977" s="15"/>
      <c r="L977" s="15" t="str">
        <f>IF(
OR(
ISNUMBER(SEARCH("BACKPACK",B979)),
ISNUMBER(SEARCH("MOCHILA",B979)),
ISNUMBER(SEARCH("FUNDA",B979)),
ISNUMBER(SEARCH("ESTUCHE",B979)),
ISNUMBER(SEARCH("BOOK COVER",B979)),
ISNUMBER(SEARCH("KEYBOARD PARA TABLET",B979)),
ISNUMBER(SEARCH("FLIP TABLET",B979)),
ISNUMBER(SEARCH("CASE FOR TABLET",B979)),
ISNUMBER(SEARCH("CABLE",B979)),
ISNUMBER(SEARCH("ADAPTADOR",B979)),
ISNUMBER(SEARCH("HUB",B979)),
ISNUMBER(SEARCH("DOCK",B979)),
ISNUMBER(SEARCH("MOUSE PAD",B979)),
ISNUMBER(SEARCH("MOUSEPAD",B979)),
ISNUMBER(SEARCH("SOPORTE",B979)),
ISNUMBER(SEARCH("STAND",B979)),
ISNUMBER(SEARCH("TRAVEL ADAPTER",B979)),
ISNUMBER(SEARCH("RJ45",B979)),
ISNUMBER(SEARCH("USB-C",B979)),
ISNUMBER(SEARCH("USB WIFI",B979)),
ISNUMBER(SEARCH("POWERBANK",B979)),
ISNUMBER(SEARCH("CARGADOR",B979)),
ISNUMBER(SEARCH("COOLER PARA NB",B979)),
ISNUMBER(SEARCH("SOPORTE PARA NB",B979)),
ISNUMBER(SEARCH("WEBCAM",B979)),
ISNUMBER(SEARCH("WEB CAM",B979)),
ISNUMBER(SEARCH("MOUSE",B979)),
ISNUMBER(SEARCH("TECLADO",B979))
),
"COMPLEMENTO",
IF(
OR(
LEFT(A979,2)="NB",
LEFT(A979,2)="PC",
LEFT(A979,2)="WS",
LEFT(A979,2)="TB",
LEFT(A979,3)="CEL",
LEFT(A979,3)="MON",
LEFT(A979,3)="PRE",
LEFT(A979,3)="PRH",
ISNUMBER(SEARCH("NOTEBOOK",B979)),
ISNUMBER(SEARCH("LAPTOP",B979)),
ISNUMBER(SEARCH("MONITOR",B979)),
ISNUMBER(SEARCH("TABLET",B979)),
ISNUMBER(SEARCH("SMARTPH",B979)),
ISNUMBER(SEARCH("IMPRESORA",B979)),
ISNUMBER(SEARCH("MULTIFUNCIONAL",B979)),
ISNUMBER(SEARCH("AIO",B979))
),
"GANCHO",
"NORMAL"
)
)</f>
        <v>COMPLEMENTO</v>
      </c>
    </row>
    <row r="978" spans="1:12" x14ac:dyDescent="0.25">
      <c r="A978" s="3" t="s">
        <v>304</v>
      </c>
      <c r="B978" s="3" t="s">
        <v>305</v>
      </c>
      <c r="C978" s="1">
        <v>20</v>
      </c>
      <c r="D978" s="1">
        <v>5.4</v>
      </c>
      <c r="E978" s="1" t="s">
        <v>52</v>
      </c>
      <c r="F978" s="1" t="s">
        <v>3617</v>
      </c>
      <c r="G978" s="3" t="s">
        <v>306</v>
      </c>
      <c r="H978" s="11">
        <f>ROUND(
IF(L976="GANCHO",
   IF(I978&lt;=50,I978*1.1+4,IF(I978&lt;=120,I978*1.1+7,IF(I978&lt;=250,I978*1.1+11,I978*1.1+19))),
IF(L976="NORMAL",
   IF(I978&lt;=30,I978*1.15+2,IF(I978&lt;=80,I978*1.15+4,IF(I978&lt;=150,I978*1.15+6,I978*1.15+8))),
IF(L976="COMPLEMENTO",
   IF(I978&lt;=25,I978*1.25+1.5,IF(I978&lt;=60,I978*1.25+3,IF(I978&lt;=120,I978*1.25+4,I978*1.25+5))),
""))),2)</f>
        <v>29.22</v>
      </c>
      <c r="I978" s="9">
        <f>($K$2+0.02)*Tabla1[[#This Row],[PRECIO $]]*1.18</f>
        <v>22.17456</v>
      </c>
      <c r="J978" s="7">
        <f>+Tabla1[[#This Row],[PRECIO EN SOLES]]-Tabla1[[#This Row],[PC]]</f>
        <v>7.0454399999999993</v>
      </c>
      <c r="K978" s="15"/>
      <c r="L978" s="15" t="str">
        <f>IF(
OR(
ISNUMBER(SEARCH("BACKPACK",B980)),
ISNUMBER(SEARCH("MOCHILA",B980)),
ISNUMBER(SEARCH("FUNDA",B980)),
ISNUMBER(SEARCH("ESTUCHE",B980)),
ISNUMBER(SEARCH("BOOK COVER",B980)),
ISNUMBER(SEARCH("KEYBOARD PARA TABLET",B980)),
ISNUMBER(SEARCH("FLIP TABLET",B980)),
ISNUMBER(SEARCH("CASE FOR TABLET",B980)),
ISNUMBER(SEARCH("CABLE",B980)),
ISNUMBER(SEARCH("ADAPTADOR",B980)),
ISNUMBER(SEARCH("HUB",B980)),
ISNUMBER(SEARCH("DOCK",B980)),
ISNUMBER(SEARCH("MOUSE PAD",B980)),
ISNUMBER(SEARCH("MOUSEPAD",B980)),
ISNUMBER(SEARCH("SOPORTE",B980)),
ISNUMBER(SEARCH("STAND",B980)),
ISNUMBER(SEARCH("TRAVEL ADAPTER",B980)),
ISNUMBER(SEARCH("RJ45",B980)),
ISNUMBER(SEARCH("USB-C",B980)),
ISNUMBER(SEARCH("USB WIFI",B980)),
ISNUMBER(SEARCH("POWERBANK",B980)),
ISNUMBER(SEARCH("CARGADOR",B980)),
ISNUMBER(SEARCH("COOLER PARA NB",B980)),
ISNUMBER(SEARCH("SOPORTE PARA NB",B980)),
ISNUMBER(SEARCH("WEBCAM",B980)),
ISNUMBER(SEARCH("WEB CAM",B980)),
ISNUMBER(SEARCH("MOUSE",B980)),
ISNUMBER(SEARCH("TECLADO",B980))
),
"COMPLEMENTO",
IF(
OR(
LEFT(A980,2)="NB",
LEFT(A980,2)="PC",
LEFT(A980,2)="WS",
LEFT(A980,2)="TB",
LEFT(A980,3)="CEL",
LEFT(A980,3)="MON",
LEFT(A980,3)="PRE",
LEFT(A980,3)="PRH",
ISNUMBER(SEARCH("NOTEBOOK",B980)),
ISNUMBER(SEARCH("LAPTOP",B980)),
ISNUMBER(SEARCH("MONITOR",B980)),
ISNUMBER(SEARCH("TABLET",B980)),
ISNUMBER(SEARCH("SMARTPH",B980)),
ISNUMBER(SEARCH("IMPRESORA",B980)),
ISNUMBER(SEARCH("MULTIFUNCIONAL",B980)),
ISNUMBER(SEARCH("AIO",B980))
),
"GANCHO",
"NORMAL"
)
)</f>
        <v>COMPLEMENTO</v>
      </c>
    </row>
    <row r="979" spans="1:12" x14ac:dyDescent="0.25">
      <c r="A979" s="3" t="s">
        <v>307</v>
      </c>
      <c r="B979" s="3" t="s">
        <v>308</v>
      </c>
      <c r="C979" s="1">
        <v>20</v>
      </c>
      <c r="D979" s="1">
        <v>5.4</v>
      </c>
      <c r="E979" s="1" t="s">
        <v>52</v>
      </c>
      <c r="F979" s="1" t="s">
        <v>3618</v>
      </c>
      <c r="G979" s="3" t="s">
        <v>309</v>
      </c>
      <c r="H979" s="11">
        <f>ROUND(
IF(L977="GANCHO",
   IF(I979&lt;=50,I979*1.1+4,IF(I979&lt;=120,I979*1.1+7,IF(I979&lt;=250,I979*1.1+11,I979*1.1+19))),
IF(L977="NORMAL",
   IF(I979&lt;=30,I979*1.15+2,IF(I979&lt;=80,I979*1.15+4,IF(I979&lt;=150,I979*1.15+6,I979*1.15+8))),
IF(L977="COMPLEMENTO",
   IF(I979&lt;=25,I979*1.25+1.5,IF(I979&lt;=60,I979*1.25+3,IF(I979&lt;=120,I979*1.25+4,I979*1.25+5))),
""))),2)</f>
        <v>29.22</v>
      </c>
      <c r="I979" s="9">
        <f>($K$2+0.02)*Tabla1[[#This Row],[PRECIO $]]*1.18</f>
        <v>22.17456</v>
      </c>
      <c r="J979" s="7">
        <f>+Tabla1[[#This Row],[PRECIO EN SOLES]]-Tabla1[[#This Row],[PC]]</f>
        <v>7.0454399999999993</v>
      </c>
      <c r="K979" s="15"/>
      <c r="L979" s="15" t="str">
        <f>IF(
OR(
ISNUMBER(SEARCH("BACKPACK",B981)),
ISNUMBER(SEARCH("MOCHILA",B981)),
ISNUMBER(SEARCH("FUNDA",B981)),
ISNUMBER(SEARCH("ESTUCHE",B981)),
ISNUMBER(SEARCH("BOOK COVER",B981)),
ISNUMBER(SEARCH("KEYBOARD PARA TABLET",B981)),
ISNUMBER(SEARCH("FLIP TABLET",B981)),
ISNUMBER(SEARCH("CASE FOR TABLET",B981)),
ISNUMBER(SEARCH("CABLE",B981)),
ISNUMBER(SEARCH("ADAPTADOR",B981)),
ISNUMBER(SEARCH("HUB",B981)),
ISNUMBER(SEARCH("DOCK",B981)),
ISNUMBER(SEARCH("MOUSE PAD",B981)),
ISNUMBER(SEARCH("MOUSEPAD",B981)),
ISNUMBER(SEARCH("SOPORTE",B981)),
ISNUMBER(SEARCH("STAND",B981)),
ISNUMBER(SEARCH("TRAVEL ADAPTER",B981)),
ISNUMBER(SEARCH("RJ45",B981)),
ISNUMBER(SEARCH("USB-C",B981)),
ISNUMBER(SEARCH("USB WIFI",B981)),
ISNUMBER(SEARCH("POWERBANK",B981)),
ISNUMBER(SEARCH("CARGADOR",B981)),
ISNUMBER(SEARCH("COOLER PARA NB",B981)),
ISNUMBER(SEARCH("SOPORTE PARA NB",B981)),
ISNUMBER(SEARCH("WEBCAM",B981)),
ISNUMBER(SEARCH("WEB CAM",B981)),
ISNUMBER(SEARCH("MOUSE",B981)),
ISNUMBER(SEARCH("TECLADO",B981))
),
"COMPLEMENTO",
IF(
OR(
LEFT(A981,2)="NB",
LEFT(A981,2)="PC",
LEFT(A981,2)="WS",
LEFT(A981,2)="TB",
LEFT(A981,3)="CEL",
LEFT(A981,3)="MON",
LEFT(A981,3)="PRE",
LEFT(A981,3)="PRH",
ISNUMBER(SEARCH("NOTEBOOK",B981)),
ISNUMBER(SEARCH("LAPTOP",B981)),
ISNUMBER(SEARCH("MONITOR",B981)),
ISNUMBER(SEARCH("TABLET",B981)),
ISNUMBER(SEARCH("SMARTPH",B981)),
ISNUMBER(SEARCH("IMPRESORA",B981)),
ISNUMBER(SEARCH("MULTIFUNCIONAL",B981)),
ISNUMBER(SEARCH("AIO",B981))
),
"GANCHO",
"NORMAL"
)
)</f>
        <v>COMPLEMENTO</v>
      </c>
    </row>
    <row r="980" spans="1:12" x14ac:dyDescent="0.25">
      <c r="A980" s="3" t="s">
        <v>310</v>
      </c>
      <c r="B980" s="3" t="s">
        <v>4408</v>
      </c>
      <c r="C980" s="1">
        <v>20</v>
      </c>
      <c r="D980" s="1">
        <v>9.3000000000000007</v>
      </c>
      <c r="E980" s="1" t="s">
        <v>52</v>
      </c>
      <c r="F980" s="1" t="s">
        <v>3619</v>
      </c>
      <c r="G980" s="3" t="s">
        <v>311</v>
      </c>
      <c r="H980" s="11">
        <f>ROUND(
IF(L978="GANCHO",
   IF(I980&lt;=50,I980*1.1+4,IF(I980&lt;=120,I980*1.1+7,IF(I980&lt;=250,I980*1.1+11,I980*1.1+19))),
IF(L978="NORMAL",
   IF(I980&lt;=30,I980*1.15+2,IF(I980&lt;=80,I980*1.15+4,IF(I980&lt;=150,I980*1.15+6,I980*1.15+8))),
IF(L978="COMPLEMENTO",
   IF(I980&lt;=25,I980*1.25+1.5,IF(I980&lt;=60,I980*1.25+3,IF(I980&lt;=120,I980*1.25+4,I980*1.25+5))),
""))),2)</f>
        <v>50.74</v>
      </c>
      <c r="I980" s="9">
        <f>($K$2+0.02)*Tabla1[[#This Row],[PRECIO $]]*1.18</f>
        <v>38.189520000000002</v>
      </c>
      <c r="J980" s="7">
        <f>+Tabla1[[#This Row],[PRECIO EN SOLES]]-Tabla1[[#This Row],[PC]]</f>
        <v>12.55048</v>
      </c>
      <c r="K980" s="15"/>
      <c r="L980" s="15" t="str">
        <f>IF(
OR(
ISNUMBER(SEARCH("BACKPACK",B982)),
ISNUMBER(SEARCH("MOCHILA",B982)),
ISNUMBER(SEARCH("FUNDA",B982)),
ISNUMBER(SEARCH("ESTUCHE",B982)),
ISNUMBER(SEARCH("BOOK COVER",B982)),
ISNUMBER(SEARCH("KEYBOARD PARA TABLET",B982)),
ISNUMBER(SEARCH("FLIP TABLET",B982)),
ISNUMBER(SEARCH("CASE FOR TABLET",B982)),
ISNUMBER(SEARCH("CABLE",B982)),
ISNUMBER(SEARCH("ADAPTADOR",B982)),
ISNUMBER(SEARCH("HUB",B982)),
ISNUMBER(SEARCH("DOCK",B982)),
ISNUMBER(SEARCH("MOUSE PAD",B982)),
ISNUMBER(SEARCH("MOUSEPAD",B982)),
ISNUMBER(SEARCH("SOPORTE",B982)),
ISNUMBER(SEARCH("STAND",B982)),
ISNUMBER(SEARCH("TRAVEL ADAPTER",B982)),
ISNUMBER(SEARCH("RJ45",B982)),
ISNUMBER(SEARCH("USB-C",B982)),
ISNUMBER(SEARCH("USB WIFI",B982)),
ISNUMBER(SEARCH("POWERBANK",B982)),
ISNUMBER(SEARCH("CARGADOR",B982)),
ISNUMBER(SEARCH("COOLER PARA NB",B982)),
ISNUMBER(SEARCH("SOPORTE PARA NB",B982)),
ISNUMBER(SEARCH("WEBCAM",B982)),
ISNUMBER(SEARCH("WEB CAM",B982)),
ISNUMBER(SEARCH("MOUSE",B982)),
ISNUMBER(SEARCH("TECLADO",B982))
),
"COMPLEMENTO",
IF(
OR(
LEFT(A982,2)="NB",
LEFT(A982,2)="PC",
LEFT(A982,2)="WS",
LEFT(A982,2)="TB",
LEFT(A982,3)="CEL",
LEFT(A982,3)="MON",
LEFT(A982,3)="PRE",
LEFT(A982,3)="PRH",
ISNUMBER(SEARCH("NOTEBOOK",B982)),
ISNUMBER(SEARCH("LAPTOP",B982)),
ISNUMBER(SEARCH("MONITOR",B982)),
ISNUMBER(SEARCH("TABLET",B982)),
ISNUMBER(SEARCH("SMARTPH",B982)),
ISNUMBER(SEARCH("IMPRESORA",B982)),
ISNUMBER(SEARCH("MULTIFUNCIONAL",B982)),
ISNUMBER(SEARCH("AIO",B982))
),
"GANCHO",
"NORMAL"
)
)</f>
        <v>COMPLEMENTO</v>
      </c>
    </row>
    <row r="981" spans="1:12" x14ac:dyDescent="0.25">
      <c r="A981" s="3" t="s">
        <v>312</v>
      </c>
      <c r="B981" s="3" t="s">
        <v>313</v>
      </c>
      <c r="C981" s="1">
        <v>20</v>
      </c>
      <c r="D981" s="1">
        <v>4.3</v>
      </c>
      <c r="E981" s="1" t="s">
        <v>54</v>
      </c>
      <c r="F981" s="1" t="s">
        <v>3620</v>
      </c>
      <c r="G981" s="3" t="s">
        <v>314</v>
      </c>
      <c r="H981" s="11">
        <f>ROUND(
IF(L979="GANCHO",
   IF(I981&lt;=50,I981*1.1+4,IF(I981&lt;=120,I981*1.1+7,IF(I981&lt;=250,I981*1.1+11,I981*1.1+19))),
IF(L979="NORMAL",
   IF(I981&lt;=30,I981*1.15+2,IF(I981&lt;=80,I981*1.15+4,IF(I981&lt;=150,I981*1.15+6,I981*1.15+8))),
IF(L979="COMPLEMENTO",
   IF(I981&lt;=25,I981*1.25+1.5,IF(I981&lt;=60,I981*1.25+3,IF(I981&lt;=120,I981*1.25+4,I981*1.25+5))),
""))),2)</f>
        <v>23.57</v>
      </c>
      <c r="I981" s="9">
        <f>($K$2+0.02)*Tabla1[[#This Row],[PRECIO $]]*1.18</f>
        <v>17.657519999999998</v>
      </c>
      <c r="J981" s="7">
        <f>+Tabla1[[#This Row],[PRECIO EN SOLES]]-Tabla1[[#This Row],[PC]]</f>
        <v>5.9124800000000022</v>
      </c>
      <c r="K981" s="15"/>
      <c r="L981" s="15" t="str">
        <f>IF(
OR(
ISNUMBER(SEARCH("BACKPACK",B983)),
ISNUMBER(SEARCH("MOCHILA",B983)),
ISNUMBER(SEARCH("FUNDA",B983)),
ISNUMBER(SEARCH("ESTUCHE",B983)),
ISNUMBER(SEARCH("BOOK COVER",B983)),
ISNUMBER(SEARCH("KEYBOARD PARA TABLET",B983)),
ISNUMBER(SEARCH("FLIP TABLET",B983)),
ISNUMBER(SEARCH("CASE FOR TABLET",B983)),
ISNUMBER(SEARCH("CABLE",B983)),
ISNUMBER(SEARCH("ADAPTADOR",B983)),
ISNUMBER(SEARCH("HUB",B983)),
ISNUMBER(SEARCH("DOCK",B983)),
ISNUMBER(SEARCH("MOUSE PAD",B983)),
ISNUMBER(SEARCH("MOUSEPAD",B983)),
ISNUMBER(SEARCH("SOPORTE",B983)),
ISNUMBER(SEARCH("STAND",B983)),
ISNUMBER(SEARCH("TRAVEL ADAPTER",B983)),
ISNUMBER(SEARCH("RJ45",B983)),
ISNUMBER(SEARCH("USB-C",B983)),
ISNUMBER(SEARCH("USB WIFI",B983)),
ISNUMBER(SEARCH("POWERBANK",B983)),
ISNUMBER(SEARCH("CARGADOR",B983)),
ISNUMBER(SEARCH("COOLER PARA NB",B983)),
ISNUMBER(SEARCH("SOPORTE PARA NB",B983)),
ISNUMBER(SEARCH("WEBCAM",B983)),
ISNUMBER(SEARCH("WEB CAM",B983)),
ISNUMBER(SEARCH("MOUSE",B983)),
ISNUMBER(SEARCH("TECLADO",B983))
),
"COMPLEMENTO",
IF(
OR(
LEFT(A983,2)="NB",
LEFT(A983,2)="PC",
LEFT(A983,2)="WS",
LEFT(A983,2)="TB",
LEFT(A983,3)="CEL",
LEFT(A983,3)="MON",
LEFT(A983,3)="PRE",
LEFT(A983,3)="PRH",
ISNUMBER(SEARCH("NOTEBOOK",B983)),
ISNUMBER(SEARCH("LAPTOP",B983)),
ISNUMBER(SEARCH("MONITOR",B983)),
ISNUMBER(SEARCH("TABLET",B983)),
ISNUMBER(SEARCH("SMARTPH",B983)),
ISNUMBER(SEARCH("IMPRESORA",B983)),
ISNUMBER(SEARCH("MULTIFUNCIONAL",B983)),
ISNUMBER(SEARCH("AIO",B983))
),
"GANCHO",
"NORMAL"
)
)</f>
        <v>COMPLEMENTO</v>
      </c>
    </row>
    <row r="982" spans="1:12" x14ac:dyDescent="0.25">
      <c r="A982" s="3" t="s">
        <v>315</v>
      </c>
      <c r="B982" s="3" t="s">
        <v>316</v>
      </c>
      <c r="C982" s="1">
        <v>0</v>
      </c>
      <c r="D982" s="1">
        <v>3.6</v>
      </c>
      <c r="E982" s="1" t="s">
        <v>52</v>
      </c>
      <c r="F982" s="1" t="s">
        <v>3621</v>
      </c>
      <c r="G982" s="3" t="s">
        <v>672</v>
      </c>
      <c r="H982" s="11">
        <f>ROUND(
IF(L980="GANCHO",
   IF(I982&lt;=50,I982*1.1+4,IF(I982&lt;=120,I982*1.1+7,IF(I982&lt;=250,I982*1.1+11,I982*1.1+19))),
IF(L980="NORMAL",
   IF(I982&lt;=30,I982*1.15+2,IF(I982&lt;=80,I982*1.15+4,IF(I982&lt;=150,I982*1.15+6,I982*1.15+8))),
IF(L980="COMPLEMENTO",
   IF(I982&lt;=25,I982*1.25+1.5,IF(I982&lt;=60,I982*1.25+3,IF(I982&lt;=120,I982*1.25+4,I982*1.25+5))),
""))),2)</f>
        <v>19.98</v>
      </c>
      <c r="I982" s="9">
        <f>($K$2+0.02)*Tabla1[[#This Row],[PRECIO $]]*1.18</f>
        <v>14.78304</v>
      </c>
      <c r="J982" s="7">
        <f>+Tabla1[[#This Row],[PRECIO EN SOLES]]-Tabla1[[#This Row],[PC]]</f>
        <v>5.1969600000000007</v>
      </c>
      <c r="K982" s="15"/>
      <c r="L982" s="15" t="str">
        <f>IF(
OR(
ISNUMBER(SEARCH("BACKPACK",B984)),
ISNUMBER(SEARCH("MOCHILA",B984)),
ISNUMBER(SEARCH("FUNDA",B984)),
ISNUMBER(SEARCH("ESTUCHE",B984)),
ISNUMBER(SEARCH("BOOK COVER",B984)),
ISNUMBER(SEARCH("KEYBOARD PARA TABLET",B984)),
ISNUMBER(SEARCH("FLIP TABLET",B984)),
ISNUMBER(SEARCH("CASE FOR TABLET",B984)),
ISNUMBER(SEARCH("CABLE",B984)),
ISNUMBER(SEARCH("ADAPTADOR",B984)),
ISNUMBER(SEARCH("HUB",B984)),
ISNUMBER(SEARCH("DOCK",B984)),
ISNUMBER(SEARCH("MOUSE PAD",B984)),
ISNUMBER(SEARCH("MOUSEPAD",B984)),
ISNUMBER(SEARCH("SOPORTE",B984)),
ISNUMBER(SEARCH("STAND",B984)),
ISNUMBER(SEARCH("TRAVEL ADAPTER",B984)),
ISNUMBER(SEARCH("RJ45",B984)),
ISNUMBER(SEARCH("USB-C",B984)),
ISNUMBER(SEARCH("USB WIFI",B984)),
ISNUMBER(SEARCH("POWERBANK",B984)),
ISNUMBER(SEARCH("CARGADOR",B984)),
ISNUMBER(SEARCH("COOLER PARA NB",B984)),
ISNUMBER(SEARCH("SOPORTE PARA NB",B984)),
ISNUMBER(SEARCH("WEBCAM",B984)),
ISNUMBER(SEARCH("WEB CAM",B984)),
ISNUMBER(SEARCH("MOUSE",B984)),
ISNUMBER(SEARCH("TECLADO",B984))
),
"COMPLEMENTO",
IF(
OR(
LEFT(A984,2)="NB",
LEFT(A984,2)="PC",
LEFT(A984,2)="WS",
LEFT(A984,2)="TB",
LEFT(A984,3)="CEL",
LEFT(A984,3)="MON",
LEFT(A984,3)="PRE",
LEFT(A984,3)="PRH",
ISNUMBER(SEARCH("NOTEBOOK",B984)),
ISNUMBER(SEARCH("LAPTOP",B984)),
ISNUMBER(SEARCH("MONITOR",B984)),
ISNUMBER(SEARCH("TABLET",B984)),
ISNUMBER(SEARCH("SMARTPH",B984)),
ISNUMBER(SEARCH("IMPRESORA",B984)),
ISNUMBER(SEARCH("MULTIFUNCIONAL",B984)),
ISNUMBER(SEARCH("AIO",B984))
),
"GANCHO",
"NORMAL"
)
)</f>
        <v>COMPLEMENTO</v>
      </c>
    </row>
    <row r="983" spans="1:12" x14ac:dyDescent="0.25">
      <c r="A983" s="3" t="s">
        <v>317</v>
      </c>
      <c r="B983" s="3" t="s">
        <v>318</v>
      </c>
      <c r="C983" s="1">
        <v>0</v>
      </c>
      <c r="D983" s="1">
        <v>5.4</v>
      </c>
      <c r="E983" s="1" t="s">
        <v>52</v>
      </c>
      <c r="F983" s="1" t="s">
        <v>3622</v>
      </c>
      <c r="G983" s="3" t="s">
        <v>673</v>
      </c>
      <c r="H983" s="11">
        <f>ROUND(
IF(L981="GANCHO",
   IF(I983&lt;=50,I983*1.1+4,IF(I983&lt;=120,I983*1.1+7,IF(I983&lt;=250,I983*1.1+11,I983*1.1+19))),
IF(L981="NORMAL",
   IF(I983&lt;=30,I983*1.15+2,IF(I983&lt;=80,I983*1.15+4,IF(I983&lt;=150,I983*1.15+6,I983*1.15+8))),
IF(L981="COMPLEMENTO",
   IF(I983&lt;=25,I983*1.25+1.5,IF(I983&lt;=60,I983*1.25+3,IF(I983&lt;=120,I983*1.25+4,I983*1.25+5))),
""))),2)</f>
        <v>29.22</v>
      </c>
      <c r="I983" s="9">
        <f>($K$2+0.02)*Tabla1[[#This Row],[PRECIO $]]*1.18</f>
        <v>22.17456</v>
      </c>
      <c r="J983" s="7">
        <f>+Tabla1[[#This Row],[PRECIO EN SOLES]]-Tabla1[[#This Row],[PC]]</f>
        <v>7.0454399999999993</v>
      </c>
      <c r="K983" s="15"/>
      <c r="L983" s="15" t="str">
        <f>IF(
OR(
ISNUMBER(SEARCH("BACKPACK",B985)),
ISNUMBER(SEARCH("MOCHILA",B985)),
ISNUMBER(SEARCH("FUNDA",B985)),
ISNUMBER(SEARCH("ESTUCHE",B985)),
ISNUMBER(SEARCH("BOOK COVER",B985)),
ISNUMBER(SEARCH("KEYBOARD PARA TABLET",B985)),
ISNUMBER(SEARCH("FLIP TABLET",B985)),
ISNUMBER(SEARCH("CASE FOR TABLET",B985)),
ISNUMBER(SEARCH("CABLE",B985)),
ISNUMBER(SEARCH("ADAPTADOR",B985)),
ISNUMBER(SEARCH("HUB",B985)),
ISNUMBER(SEARCH("DOCK",B985)),
ISNUMBER(SEARCH("MOUSE PAD",B985)),
ISNUMBER(SEARCH("MOUSEPAD",B985)),
ISNUMBER(SEARCH("SOPORTE",B985)),
ISNUMBER(SEARCH("STAND",B985)),
ISNUMBER(SEARCH("TRAVEL ADAPTER",B985)),
ISNUMBER(SEARCH("RJ45",B985)),
ISNUMBER(SEARCH("USB-C",B985)),
ISNUMBER(SEARCH("USB WIFI",B985)),
ISNUMBER(SEARCH("POWERBANK",B985)),
ISNUMBER(SEARCH("CARGADOR",B985)),
ISNUMBER(SEARCH("COOLER PARA NB",B985)),
ISNUMBER(SEARCH("SOPORTE PARA NB",B985)),
ISNUMBER(SEARCH("WEBCAM",B985)),
ISNUMBER(SEARCH("WEB CAM",B985)),
ISNUMBER(SEARCH("MOUSE",B985)),
ISNUMBER(SEARCH("TECLADO",B985))
),
"COMPLEMENTO",
IF(
OR(
LEFT(A985,2)="NB",
LEFT(A985,2)="PC",
LEFT(A985,2)="WS",
LEFT(A985,2)="TB",
LEFT(A985,3)="CEL",
LEFT(A985,3)="MON",
LEFT(A985,3)="PRE",
LEFT(A985,3)="PRH",
ISNUMBER(SEARCH("NOTEBOOK",B985)),
ISNUMBER(SEARCH("LAPTOP",B985)),
ISNUMBER(SEARCH("MONITOR",B985)),
ISNUMBER(SEARCH("TABLET",B985)),
ISNUMBER(SEARCH("SMARTPH",B985)),
ISNUMBER(SEARCH("IMPRESORA",B985)),
ISNUMBER(SEARCH("MULTIFUNCIONAL",B985)),
ISNUMBER(SEARCH("AIO",B985))
),
"GANCHO",
"NORMAL"
)
)</f>
        <v>COMPLEMENTO</v>
      </c>
    </row>
    <row r="984" spans="1:12" x14ac:dyDescent="0.25">
      <c r="A984" s="3" t="s">
        <v>319</v>
      </c>
      <c r="B984" s="3" t="s">
        <v>320</v>
      </c>
      <c r="C984" s="1">
        <v>20</v>
      </c>
      <c r="D984" s="1">
        <v>5.4</v>
      </c>
      <c r="E984" s="1" t="s">
        <v>52</v>
      </c>
      <c r="F984" s="1" t="s">
        <v>3623</v>
      </c>
      <c r="G984" s="3" t="s">
        <v>674</v>
      </c>
      <c r="H984" s="11">
        <f>ROUND(
IF(L982="GANCHO",
   IF(I984&lt;=50,I984*1.1+4,IF(I984&lt;=120,I984*1.1+7,IF(I984&lt;=250,I984*1.1+11,I984*1.1+19))),
IF(L982="NORMAL",
   IF(I984&lt;=30,I984*1.15+2,IF(I984&lt;=80,I984*1.15+4,IF(I984&lt;=150,I984*1.15+6,I984*1.15+8))),
IF(L982="COMPLEMENTO",
   IF(I984&lt;=25,I984*1.25+1.5,IF(I984&lt;=60,I984*1.25+3,IF(I984&lt;=120,I984*1.25+4,I984*1.25+5))),
""))),2)</f>
        <v>29.22</v>
      </c>
      <c r="I984" s="9">
        <f>($K$2+0.02)*Tabla1[[#This Row],[PRECIO $]]*1.18</f>
        <v>22.17456</v>
      </c>
      <c r="J984" s="7">
        <f>+Tabla1[[#This Row],[PRECIO EN SOLES]]-Tabla1[[#This Row],[PC]]</f>
        <v>7.0454399999999993</v>
      </c>
      <c r="K984" s="15"/>
      <c r="L984" s="15" t="str">
        <f>IF(
OR(
ISNUMBER(SEARCH("BACKPACK",B986)),
ISNUMBER(SEARCH("MOCHILA",B986)),
ISNUMBER(SEARCH("FUNDA",B986)),
ISNUMBER(SEARCH("ESTUCHE",B986)),
ISNUMBER(SEARCH("BOOK COVER",B986)),
ISNUMBER(SEARCH("KEYBOARD PARA TABLET",B986)),
ISNUMBER(SEARCH("FLIP TABLET",B986)),
ISNUMBER(SEARCH("CASE FOR TABLET",B986)),
ISNUMBER(SEARCH("CABLE",B986)),
ISNUMBER(SEARCH("ADAPTADOR",B986)),
ISNUMBER(SEARCH("HUB",B986)),
ISNUMBER(SEARCH("DOCK",B986)),
ISNUMBER(SEARCH("MOUSE PAD",B986)),
ISNUMBER(SEARCH("MOUSEPAD",B986)),
ISNUMBER(SEARCH("SOPORTE",B986)),
ISNUMBER(SEARCH("STAND",B986)),
ISNUMBER(SEARCH("TRAVEL ADAPTER",B986)),
ISNUMBER(SEARCH("RJ45",B986)),
ISNUMBER(SEARCH("USB-C",B986)),
ISNUMBER(SEARCH("USB WIFI",B986)),
ISNUMBER(SEARCH("POWERBANK",B986)),
ISNUMBER(SEARCH("CARGADOR",B986)),
ISNUMBER(SEARCH("COOLER PARA NB",B986)),
ISNUMBER(SEARCH("SOPORTE PARA NB",B986)),
ISNUMBER(SEARCH("WEBCAM",B986)),
ISNUMBER(SEARCH("WEB CAM",B986)),
ISNUMBER(SEARCH("MOUSE",B986)),
ISNUMBER(SEARCH("TECLADO",B986))
),
"COMPLEMENTO",
IF(
OR(
LEFT(A986,2)="NB",
LEFT(A986,2)="PC",
LEFT(A986,2)="WS",
LEFT(A986,2)="TB",
LEFT(A986,3)="CEL",
LEFT(A986,3)="MON",
LEFT(A986,3)="PRE",
LEFT(A986,3)="PRH",
ISNUMBER(SEARCH("NOTEBOOK",B986)),
ISNUMBER(SEARCH("LAPTOP",B986)),
ISNUMBER(SEARCH("MONITOR",B986)),
ISNUMBER(SEARCH("TABLET",B986)),
ISNUMBER(SEARCH("SMARTPH",B986)),
ISNUMBER(SEARCH("IMPRESORA",B986)),
ISNUMBER(SEARCH("MULTIFUNCIONAL",B986)),
ISNUMBER(SEARCH("AIO",B986))
),
"GANCHO",
"NORMAL"
)
)</f>
        <v>COMPLEMENTO</v>
      </c>
    </row>
    <row r="985" spans="1:12" x14ac:dyDescent="0.25">
      <c r="A985" s="3" t="s">
        <v>321</v>
      </c>
      <c r="B985" s="3" t="s">
        <v>322</v>
      </c>
      <c r="C985" s="1">
        <v>20</v>
      </c>
      <c r="D985" s="1">
        <v>5.4</v>
      </c>
      <c r="E985" s="1" t="s">
        <v>52</v>
      </c>
      <c r="F985" s="1" t="s">
        <v>3624</v>
      </c>
      <c r="G985" s="3" t="s">
        <v>675</v>
      </c>
      <c r="H985" s="11">
        <f>ROUND(
IF(L983="GANCHO",
   IF(I985&lt;=50,I985*1.1+4,IF(I985&lt;=120,I985*1.1+7,IF(I985&lt;=250,I985*1.1+11,I985*1.1+19))),
IF(L983="NORMAL",
   IF(I985&lt;=30,I985*1.15+2,IF(I985&lt;=80,I985*1.15+4,IF(I985&lt;=150,I985*1.15+6,I985*1.15+8))),
IF(L983="COMPLEMENTO",
   IF(I985&lt;=25,I985*1.25+1.5,IF(I985&lt;=60,I985*1.25+3,IF(I985&lt;=120,I985*1.25+4,I985*1.25+5))),
""))),2)</f>
        <v>29.22</v>
      </c>
      <c r="I985" s="9">
        <f>($K$2+0.02)*Tabla1[[#This Row],[PRECIO $]]*1.18</f>
        <v>22.17456</v>
      </c>
      <c r="J985" s="7">
        <f>+Tabla1[[#This Row],[PRECIO EN SOLES]]-Tabla1[[#This Row],[PC]]</f>
        <v>7.0454399999999993</v>
      </c>
      <c r="K985" s="15"/>
      <c r="L985" s="15" t="str">
        <f>IF(
OR(
ISNUMBER(SEARCH("BACKPACK",B987)),
ISNUMBER(SEARCH("MOCHILA",B987)),
ISNUMBER(SEARCH("FUNDA",B987)),
ISNUMBER(SEARCH("ESTUCHE",B987)),
ISNUMBER(SEARCH("BOOK COVER",B987)),
ISNUMBER(SEARCH("KEYBOARD PARA TABLET",B987)),
ISNUMBER(SEARCH("FLIP TABLET",B987)),
ISNUMBER(SEARCH("CASE FOR TABLET",B987)),
ISNUMBER(SEARCH("CABLE",B987)),
ISNUMBER(SEARCH("ADAPTADOR",B987)),
ISNUMBER(SEARCH("HUB",B987)),
ISNUMBER(SEARCH("DOCK",B987)),
ISNUMBER(SEARCH("MOUSE PAD",B987)),
ISNUMBER(SEARCH("MOUSEPAD",B987)),
ISNUMBER(SEARCH("SOPORTE",B987)),
ISNUMBER(SEARCH("STAND",B987)),
ISNUMBER(SEARCH("TRAVEL ADAPTER",B987)),
ISNUMBER(SEARCH("RJ45",B987)),
ISNUMBER(SEARCH("USB-C",B987)),
ISNUMBER(SEARCH("USB WIFI",B987)),
ISNUMBER(SEARCH("POWERBANK",B987)),
ISNUMBER(SEARCH("CARGADOR",B987)),
ISNUMBER(SEARCH("COOLER PARA NB",B987)),
ISNUMBER(SEARCH("SOPORTE PARA NB",B987)),
ISNUMBER(SEARCH("WEBCAM",B987)),
ISNUMBER(SEARCH("WEB CAM",B987)),
ISNUMBER(SEARCH("MOUSE",B987)),
ISNUMBER(SEARCH("TECLADO",B987))
),
"COMPLEMENTO",
IF(
OR(
LEFT(A987,2)="NB",
LEFT(A987,2)="PC",
LEFT(A987,2)="WS",
LEFT(A987,2)="TB",
LEFT(A987,3)="CEL",
LEFT(A987,3)="MON",
LEFT(A987,3)="PRE",
LEFT(A987,3)="PRH",
ISNUMBER(SEARCH("NOTEBOOK",B987)),
ISNUMBER(SEARCH("LAPTOP",B987)),
ISNUMBER(SEARCH("MONITOR",B987)),
ISNUMBER(SEARCH("TABLET",B987)),
ISNUMBER(SEARCH("SMARTPH",B987)),
ISNUMBER(SEARCH("IMPRESORA",B987)),
ISNUMBER(SEARCH("MULTIFUNCIONAL",B987)),
ISNUMBER(SEARCH("AIO",B987))
),
"GANCHO",
"NORMAL"
)
)</f>
        <v>COMPLEMENTO</v>
      </c>
    </row>
    <row r="986" spans="1:12" x14ac:dyDescent="0.25">
      <c r="A986" s="3" t="s">
        <v>323</v>
      </c>
      <c r="B986" s="3" t="s">
        <v>324</v>
      </c>
      <c r="C986" s="1">
        <v>20</v>
      </c>
      <c r="D986" s="1">
        <v>3.6</v>
      </c>
      <c r="E986" s="1" t="s">
        <v>52</v>
      </c>
      <c r="F986" s="1" t="s">
        <v>3625</v>
      </c>
      <c r="G986" s="3" t="s">
        <v>325</v>
      </c>
      <c r="H986" s="11">
        <f>ROUND(
IF(L984="GANCHO",
   IF(I986&lt;=50,I986*1.1+4,IF(I986&lt;=120,I986*1.1+7,IF(I986&lt;=250,I986*1.1+11,I986*1.1+19))),
IF(L984="NORMAL",
   IF(I986&lt;=30,I986*1.15+2,IF(I986&lt;=80,I986*1.15+4,IF(I986&lt;=150,I986*1.15+6,I986*1.15+8))),
IF(L984="COMPLEMENTO",
   IF(I986&lt;=25,I986*1.25+1.5,IF(I986&lt;=60,I986*1.25+3,IF(I986&lt;=120,I986*1.25+4,I986*1.25+5))),
""))),2)</f>
        <v>19.98</v>
      </c>
      <c r="I986" s="9">
        <f>($K$2+0.02)*Tabla1[[#This Row],[PRECIO $]]*1.18</f>
        <v>14.78304</v>
      </c>
      <c r="J986" s="7">
        <f>+Tabla1[[#This Row],[PRECIO EN SOLES]]-Tabla1[[#This Row],[PC]]</f>
        <v>5.1969600000000007</v>
      </c>
      <c r="K986" s="15"/>
      <c r="L986" s="15" t="str">
        <f>IF(
OR(
ISNUMBER(SEARCH("BACKPACK",B988)),
ISNUMBER(SEARCH("MOCHILA",B988)),
ISNUMBER(SEARCH("FUNDA",B988)),
ISNUMBER(SEARCH("ESTUCHE",B988)),
ISNUMBER(SEARCH("BOOK COVER",B988)),
ISNUMBER(SEARCH("KEYBOARD PARA TABLET",B988)),
ISNUMBER(SEARCH("FLIP TABLET",B988)),
ISNUMBER(SEARCH("CASE FOR TABLET",B988)),
ISNUMBER(SEARCH("CABLE",B988)),
ISNUMBER(SEARCH("ADAPTADOR",B988)),
ISNUMBER(SEARCH("HUB",B988)),
ISNUMBER(SEARCH("DOCK",B988)),
ISNUMBER(SEARCH("MOUSE PAD",B988)),
ISNUMBER(SEARCH("MOUSEPAD",B988)),
ISNUMBER(SEARCH("SOPORTE",B988)),
ISNUMBER(SEARCH("STAND",B988)),
ISNUMBER(SEARCH("TRAVEL ADAPTER",B988)),
ISNUMBER(SEARCH("RJ45",B988)),
ISNUMBER(SEARCH("USB-C",B988)),
ISNUMBER(SEARCH("USB WIFI",B988)),
ISNUMBER(SEARCH("POWERBANK",B988)),
ISNUMBER(SEARCH("CARGADOR",B988)),
ISNUMBER(SEARCH("COOLER PARA NB",B988)),
ISNUMBER(SEARCH("SOPORTE PARA NB",B988)),
ISNUMBER(SEARCH("WEBCAM",B988)),
ISNUMBER(SEARCH("WEB CAM",B988)),
ISNUMBER(SEARCH("MOUSE",B988)),
ISNUMBER(SEARCH("TECLADO",B988))
),
"COMPLEMENTO",
IF(
OR(
LEFT(A988,2)="NB",
LEFT(A988,2)="PC",
LEFT(A988,2)="WS",
LEFT(A988,2)="TB",
LEFT(A988,3)="CEL",
LEFT(A988,3)="MON",
LEFT(A988,3)="PRE",
LEFT(A988,3)="PRH",
ISNUMBER(SEARCH("NOTEBOOK",B988)),
ISNUMBER(SEARCH("LAPTOP",B988)),
ISNUMBER(SEARCH("MONITOR",B988)),
ISNUMBER(SEARCH("TABLET",B988)),
ISNUMBER(SEARCH("SMARTPH",B988)),
ISNUMBER(SEARCH("IMPRESORA",B988)),
ISNUMBER(SEARCH("MULTIFUNCIONAL",B988)),
ISNUMBER(SEARCH("AIO",B988))
),
"GANCHO",
"NORMAL"
)
)</f>
        <v>COMPLEMENTO</v>
      </c>
    </row>
    <row r="987" spans="1:12" x14ac:dyDescent="0.25">
      <c r="A987" s="3" t="s">
        <v>1723</v>
      </c>
      <c r="B987" s="3" t="s">
        <v>1724</v>
      </c>
      <c r="C987" s="1">
        <v>20</v>
      </c>
      <c r="D987" s="1">
        <v>4</v>
      </c>
      <c r="E987" s="1" t="s">
        <v>52</v>
      </c>
      <c r="F987" s="1" t="s">
        <v>3626</v>
      </c>
      <c r="G987" s="3" t="s">
        <v>1725</v>
      </c>
      <c r="H987" s="11">
        <f>ROUND(
IF(L985="GANCHO",
   IF(I987&lt;=50,I987*1.1+4,IF(I987&lt;=120,I987*1.1+7,IF(I987&lt;=250,I987*1.1+11,I987*1.1+19))),
IF(L985="NORMAL",
   IF(I987&lt;=30,I987*1.15+2,IF(I987&lt;=80,I987*1.15+4,IF(I987&lt;=150,I987*1.15+6,I987*1.15+8))),
IF(L985="COMPLEMENTO",
   IF(I987&lt;=25,I987*1.25+1.5,IF(I987&lt;=60,I987*1.25+3,IF(I987&lt;=120,I987*1.25+4,I987*1.25+5))),
""))),2)</f>
        <v>22.03</v>
      </c>
      <c r="I987" s="9">
        <f>($K$2+0.02)*Tabla1[[#This Row],[PRECIO $]]*1.18</f>
        <v>16.425599999999999</v>
      </c>
      <c r="J987" s="7">
        <f>+Tabla1[[#This Row],[PRECIO EN SOLES]]-Tabla1[[#This Row],[PC]]</f>
        <v>5.6044000000000018</v>
      </c>
      <c r="K987" s="15"/>
      <c r="L987" s="15" t="str">
        <f>IF(
OR(
ISNUMBER(SEARCH("BACKPACK",B989)),
ISNUMBER(SEARCH("MOCHILA",B989)),
ISNUMBER(SEARCH("FUNDA",B989)),
ISNUMBER(SEARCH("ESTUCHE",B989)),
ISNUMBER(SEARCH("BOOK COVER",B989)),
ISNUMBER(SEARCH("KEYBOARD PARA TABLET",B989)),
ISNUMBER(SEARCH("FLIP TABLET",B989)),
ISNUMBER(SEARCH("CASE FOR TABLET",B989)),
ISNUMBER(SEARCH("CABLE",B989)),
ISNUMBER(SEARCH("ADAPTADOR",B989)),
ISNUMBER(SEARCH("HUB",B989)),
ISNUMBER(SEARCH("DOCK",B989)),
ISNUMBER(SEARCH("MOUSE PAD",B989)),
ISNUMBER(SEARCH("MOUSEPAD",B989)),
ISNUMBER(SEARCH("SOPORTE",B989)),
ISNUMBER(SEARCH("STAND",B989)),
ISNUMBER(SEARCH("TRAVEL ADAPTER",B989)),
ISNUMBER(SEARCH("RJ45",B989)),
ISNUMBER(SEARCH("USB-C",B989)),
ISNUMBER(SEARCH("USB WIFI",B989)),
ISNUMBER(SEARCH("POWERBANK",B989)),
ISNUMBER(SEARCH("CARGADOR",B989)),
ISNUMBER(SEARCH("COOLER PARA NB",B989)),
ISNUMBER(SEARCH("SOPORTE PARA NB",B989)),
ISNUMBER(SEARCH("WEBCAM",B989)),
ISNUMBER(SEARCH("WEB CAM",B989)),
ISNUMBER(SEARCH("MOUSE",B989)),
ISNUMBER(SEARCH("TECLADO",B989))
),
"COMPLEMENTO",
IF(
OR(
LEFT(A989,2)="NB",
LEFT(A989,2)="PC",
LEFT(A989,2)="WS",
LEFT(A989,2)="TB",
LEFT(A989,3)="CEL",
LEFT(A989,3)="MON",
LEFT(A989,3)="PRE",
LEFT(A989,3)="PRH",
ISNUMBER(SEARCH("NOTEBOOK",B989)),
ISNUMBER(SEARCH("LAPTOP",B989)),
ISNUMBER(SEARCH("MONITOR",B989)),
ISNUMBER(SEARCH("TABLET",B989)),
ISNUMBER(SEARCH("SMARTPH",B989)),
ISNUMBER(SEARCH("IMPRESORA",B989)),
ISNUMBER(SEARCH("MULTIFUNCIONAL",B989)),
ISNUMBER(SEARCH("AIO",B989))
),
"GANCHO",
"NORMAL"
)
)</f>
        <v>COMPLEMENTO</v>
      </c>
    </row>
    <row r="988" spans="1:12" x14ac:dyDescent="0.25">
      <c r="A988" s="3" t="s">
        <v>1726</v>
      </c>
      <c r="B988" s="3" t="s">
        <v>1727</v>
      </c>
      <c r="C988" s="1">
        <v>15</v>
      </c>
      <c r="D988" s="1">
        <v>4</v>
      </c>
      <c r="E988" s="1" t="s">
        <v>52</v>
      </c>
      <c r="F988" s="1" t="s">
        <v>3627</v>
      </c>
      <c r="G988" s="3" t="s">
        <v>1728</v>
      </c>
      <c r="H988" s="11">
        <f>ROUND(
IF(L986="GANCHO",
   IF(I988&lt;=50,I988*1.1+4,IF(I988&lt;=120,I988*1.1+7,IF(I988&lt;=250,I988*1.1+11,I988*1.1+19))),
IF(L986="NORMAL",
   IF(I988&lt;=30,I988*1.15+2,IF(I988&lt;=80,I988*1.15+4,IF(I988&lt;=150,I988*1.15+6,I988*1.15+8))),
IF(L986="COMPLEMENTO",
   IF(I988&lt;=25,I988*1.25+1.5,IF(I988&lt;=60,I988*1.25+3,IF(I988&lt;=120,I988*1.25+4,I988*1.25+5))),
""))),2)</f>
        <v>22.03</v>
      </c>
      <c r="I988" s="9">
        <f>($K$2+0.02)*Tabla1[[#This Row],[PRECIO $]]*1.18</f>
        <v>16.425599999999999</v>
      </c>
      <c r="J988" s="7">
        <f>+Tabla1[[#This Row],[PRECIO EN SOLES]]-Tabla1[[#This Row],[PC]]</f>
        <v>5.6044000000000018</v>
      </c>
      <c r="K988" s="15"/>
      <c r="L988" s="15" t="str">
        <f>IF(
OR(
ISNUMBER(SEARCH("BACKPACK",B990)),
ISNUMBER(SEARCH("MOCHILA",B990)),
ISNUMBER(SEARCH("FUNDA",B990)),
ISNUMBER(SEARCH("ESTUCHE",B990)),
ISNUMBER(SEARCH("BOOK COVER",B990)),
ISNUMBER(SEARCH("KEYBOARD PARA TABLET",B990)),
ISNUMBER(SEARCH("FLIP TABLET",B990)),
ISNUMBER(SEARCH("CASE FOR TABLET",B990)),
ISNUMBER(SEARCH("CABLE",B990)),
ISNUMBER(SEARCH("ADAPTADOR",B990)),
ISNUMBER(SEARCH("HUB",B990)),
ISNUMBER(SEARCH("DOCK",B990)),
ISNUMBER(SEARCH("MOUSE PAD",B990)),
ISNUMBER(SEARCH("MOUSEPAD",B990)),
ISNUMBER(SEARCH("SOPORTE",B990)),
ISNUMBER(SEARCH("STAND",B990)),
ISNUMBER(SEARCH("TRAVEL ADAPTER",B990)),
ISNUMBER(SEARCH("RJ45",B990)),
ISNUMBER(SEARCH("USB-C",B990)),
ISNUMBER(SEARCH("USB WIFI",B990)),
ISNUMBER(SEARCH("POWERBANK",B990)),
ISNUMBER(SEARCH("CARGADOR",B990)),
ISNUMBER(SEARCH("COOLER PARA NB",B990)),
ISNUMBER(SEARCH("SOPORTE PARA NB",B990)),
ISNUMBER(SEARCH("WEBCAM",B990)),
ISNUMBER(SEARCH("WEB CAM",B990)),
ISNUMBER(SEARCH("MOUSE",B990)),
ISNUMBER(SEARCH("TECLADO",B990))
),
"COMPLEMENTO",
IF(
OR(
LEFT(A990,2)="NB",
LEFT(A990,2)="PC",
LEFT(A990,2)="WS",
LEFT(A990,2)="TB",
LEFT(A990,3)="CEL",
LEFT(A990,3)="MON",
LEFT(A990,3)="PRE",
LEFT(A990,3)="PRH",
ISNUMBER(SEARCH("NOTEBOOK",B990)),
ISNUMBER(SEARCH("LAPTOP",B990)),
ISNUMBER(SEARCH("MONITOR",B990)),
ISNUMBER(SEARCH("TABLET",B990)),
ISNUMBER(SEARCH("SMARTPH",B990)),
ISNUMBER(SEARCH("IMPRESORA",B990)),
ISNUMBER(SEARCH("MULTIFUNCIONAL",B990)),
ISNUMBER(SEARCH("AIO",B990))
),
"GANCHO",
"NORMAL"
)
)</f>
        <v>COMPLEMENTO</v>
      </c>
    </row>
    <row r="989" spans="1:12" x14ac:dyDescent="0.25">
      <c r="A989" s="3" t="s">
        <v>1729</v>
      </c>
      <c r="B989" s="3" t="s">
        <v>1730</v>
      </c>
      <c r="C989" s="1">
        <v>0</v>
      </c>
      <c r="D989" s="1">
        <v>999</v>
      </c>
      <c r="E989" s="1" t="s">
        <v>154</v>
      </c>
      <c r="F989" s="1" t="s">
        <v>3628</v>
      </c>
      <c r="G989" s="3"/>
      <c r="H989" s="11">
        <f>ROUND(
IF(L987="GANCHO",
   IF(I989&lt;=50,I989*1.1+4,IF(I989&lt;=120,I989*1.1+7,IF(I989&lt;=250,I989*1.1+11,I989*1.1+19))),
IF(L987="NORMAL",
   IF(I989&lt;=30,I989*1.15+2,IF(I989&lt;=80,I989*1.15+4,IF(I989&lt;=150,I989*1.15+6,I989*1.15+8))),
IF(L987="COMPLEMENTO",
   IF(I989&lt;=25,I989*1.25+1.5,IF(I989&lt;=60,I989*1.25+3,IF(I989&lt;=120,I989*1.25+4,I989*1.25+5))),
""))),2)</f>
        <v>5132.87</v>
      </c>
      <c r="I989" s="9">
        <f>($K$2+0.02)*Tabla1[[#This Row],[PRECIO $]]*1.18</f>
        <v>4102.2936</v>
      </c>
      <c r="J989" s="7">
        <f>+Tabla1[[#This Row],[PRECIO EN SOLES]]-Tabla1[[#This Row],[PC]]</f>
        <v>1030.5763999999999</v>
      </c>
      <c r="K989" s="15"/>
      <c r="L989" s="15" t="str">
        <f>IF(
OR(
ISNUMBER(SEARCH("BACKPACK",B991)),
ISNUMBER(SEARCH("MOCHILA",B991)),
ISNUMBER(SEARCH("FUNDA",B991)),
ISNUMBER(SEARCH("ESTUCHE",B991)),
ISNUMBER(SEARCH("BOOK COVER",B991)),
ISNUMBER(SEARCH("KEYBOARD PARA TABLET",B991)),
ISNUMBER(SEARCH("FLIP TABLET",B991)),
ISNUMBER(SEARCH("CASE FOR TABLET",B991)),
ISNUMBER(SEARCH("CABLE",B991)),
ISNUMBER(SEARCH("ADAPTADOR",B991)),
ISNUMBER(SEARCH("HUB",B991)),
ISNUMBER(SEARCH("DOCK",B991)),
ISNUMBER(SEARCH("MOUSE PAD",B991)),
ISNUMBER(SEARCH("MOUSEPAD",B991)),
ISNUMBER(SEARCH("SOPORTE",B991)),
ISNUMBER(SEARCH("STAND",B991)),
ISNUMBER(SEARCH("TRAVEL ADAPTER",B991)),
ISNUMBER(SEARCH("RJ45",B991)),
ISNUMBER(SEARCH("USB-C",B991)),
ISNUMBER(SEARCH("USB WIFI",B991)),
ISNUMBER(SEARCH("POWERBANK",B991)),
ISNUMBER(SEARCH("CARGADOR",B991)),
ISNUMBER(SEARCH("COOLER PARA NB",B991)),
ISNUMBER(SEARCH("SOPORTE PARA NB",B991)),
ISNUMBER(SEARCH("WEBCAM",B991)),
ISNUMBER(SEARCH("WEB CAM",B991)),
ISNUMBER(SEARCH("MOUSE",B991)),
ISNUMBER(SEARCH("TECLADO",B991))
),
"COMPLEMENTO",
IF(
OR(
LEFT(A991,2)="NB",
LEFT(A991,2)="PC",
LEFT(A991,2)="WS",
LEFT(A991,2)="TB",
LEFT(A991,3)="CEL",
LEFT(A991,3)="MON",
LEFT(A991,3)="PRE",
LEFT(A991,3)="PRH",
ISNUMBER(SEARCH("NOTEBOOK",B991)),
ISNUMBER(SEARCH("LAPTOP",B991)),
ISNUMBER(SEARCH("MONITOR",B991)),
ISNUMBER(SEARCH("TABLET",B991)),
ISNUMBER(SEARCH("SMARTPH",B991)),
ISNUMBER(SEARCH("IMPRESORA",B991)),
ISNUMBER(SEARCH("MULTIFUNCIONAL",B991)),
ISNUMBER(SEARCH("AIO",B991))
),
"GANCHO",
"NORMAL"
)
)</f>
        <v>COMPLEMENTO</v>
      </c>
    </row>
    <row r="990" spans="1:12" x14ac:dyDescent="0.25">
      <c r="A990" s="3" t="s">
        <v>1731</v>
      </c>
      <c r="B990" s="3" t="s">
        <v>1722</v>
      </c>
      <c r="C990" s="1">
        <v>1</v>
      </c>
      <c r="D990" s="1">
        <v>50</v>
      </c>
      <c r="E990" s="1" t="s">
        <v>148</v>
      </c>
      <c r="F990" s="1" t="s">
        <v>3629</v>
      </c>
      <c r="G990" s="3"/>
      <c r="H990" s="11">
        <f>ROUND(
IF(L988="GANCHO",
   IF(I990&lt;=50,I990*1.1+4,IF(I990&lt;=120,I990*1.1+7,IF(I990&lt;=250,I990*1.1+11,I990*1.1+19))),
IF(L988="NORMAL",
   IF(I990&lt;=30,I990*1.15+2,IF(I990&lt;=80,I990*1.15+4,IF(I990&lt;=150,I990*1.15+6,I990*1.15+8))),
IF(L988="COMPLEMENTO",
   IF(I990&lt;=25,I990*1.25+1.5,IF(I990&lt;=60,I990*1.25+3,IF(I990&lt;=120,I990*1.25+4,I990*1.25+5))),
""))),2)</f>
        <v>261.64999999999998</v>
      </c>
      <c r="I990" s="9">
        <f>($K$2+0.02)*Tabla1[[#This Row],[PRECIO $]]*1.18</f>
        <v>205.32</v>
      </c>
      <c r="J990" s="7">
        <f>+Tabla1[[#This Row],[PRECIO EN SOLES]]-Tabla1[[#This Row],[PC]]</f>
        <v>56.329999999999984</v>
      </c>
      <c r="K990" s="15"/>
      <c r="L990" s="15" t="str">
        <f>IF(
OR(
ISNUMBER(SEARCH("BACKPACK",B992)),
ISNUMBER(SEARCH("MOCHILA",B992)),
ISNUMBER(SEARCH("FUNDA",B992)),
ISNUMBER(SEARCH("ESTUCHE",B992)),
ISNUMBER(SEARCH("BOOK COVER",B992)),
ISNUMBER(SEARCH("KEYBOARD PARA TABLET",B992)),
ISNUMBER(SEARCH("FLIP TABLET",B992)),
ISNUMBER(SEARCH("CASE FOR TABLET",B992)),
ISNUMBER(SEARCH("CABLE",B992)),
ISNUMBER(SEARCH("ADAPTADOR",B992)),
ISNUMBER(SEARCH("HUB",B992)),
ISNUMBER(SEARCH("DOCK",B992)),
ISNUMBER(SEARCH("MOUSE PAD",B992)),
ISNUMBER(SEARCH("MOUSEPAD",B992)),
ISNUMBER(SEARCH("SOPORTE",B992)),
ISNUMBER(SEARCH("STAND",B992)),
ISNUMBER(SEARCH("TRAVEL ADAPTER",B992)),
ISNUMBER(SEARCH("RJ45",B992)),
ISNUMBER(SEARCH("USB-C",B992)),
ISNUMBER(SEARCH("USB WIFI",B992)),
ISNUMBER(SEARCH("POWERBANK",B992)),
ISNUMBER(SEARCH("CARGADOR",B992)),
ISNUMBER(SEARCH("COOLER PARA NB",B992)),
ISNUMBER(SEARCH("SOPORTE PARA NB",B992)),
ISNUMBER(SEARCH("WEBCAM",B992)),
ISNUMBER(SEARCH("WEB CAM",B992)),
ISNUMBER(SEARCH("MOUSE",B992)),
ISNUMBER(SEARCH("TECLADO",B992))
),
"COMPLEMENTO",
IF(
OR(
LEFT(A992,2)="NB",
LEFT(A992,2)="PC",
LEFT(A992,2)="WS",
LEFT(A992,2)="TB",
LEFT(A992,3)="CEL",
LEFT(A992,3)="MON",
LEFT(A992,3)="PRE",
LEFT(A992,3)="PRH",
ISNUMBER(SEARCH("NOTEBOOK",B992)),
ISNUMBER(SEARCH("LAPTOP",B992)),
ISNUMBER(SEARCH("MONITOR",B992)),
ISNUMBER(SEARCH("TABLET",B992)),
ISNUMBER(SEARCH("SMARTPH",B992)),
ISNUMBER(SEARCH("IMPRESORA",B992)),
ISNUMBER(SEARCH("MULTIFUNCIONAL",B992)),
ISNUMBER(SEARCH("AIO",B992))
),
"GANCHO",
"NORMAL"
)
)</f>
        <v>COMPLEMENTO</v>
      </c>
    </row>
    <row r="991" spans="1:12" x14ac:dyDescent="0.25">
      <c r="A991" s="3" t="s">
        <v>1732</v>
      </c>
      <c r="B991" s="3" t="s">
        <v>318</v>
      </c>
      <c r="C991" s="1">
        <v>0</v>
      </c>
      <c r="D991" s="1">
        <v>999</v>
      </c>
      <c r="E991" s="1" t="s">
        <v>187</v>
      </c>
      <c r="F991" s="1" t="s">
        <v>3630</v>
      </c>
      <c r="G991" s="3"/>
      <c r="H991" s="11">
        <f>ROUND(
IF(L989="GANCHO",
   IF(I991&lt;=50,I991*1.1+4,IF(I991&lt;=120,I991*1.1+7,IF(I991&lt;=250,I991*1.1+11,I991*1.1+19))),
IF(L989="NORMAL",
   IF(I991&lt;=30,I991*1.15+2,IF(I991&lt;=80,I991*1.15+4,IF(I991&lt;=150,I991*1.15+6,I991*1.15+8))),
IF(L989="COMPLEMENTO",
   IF(I991&lt;=25,I991*1.25+1.5,IF(I991&lt;=60,I991*1.25+3,IF(I991&lt;=120,I991*1.25+4,I991*1.25+5))),
""))),2)</f>
        <v>5132.87</v>
      </c>
      <c r="I991" s="9">
        <f>($K$2+0.02)*Tabla1[[#This Row],[PRECIO $]]*1.18</f>
        <v>4102.2936</v>
      </c>
      <c r="J991" s="7">
        <f>+Tabla1[[#This Row],[PRECIO EN SOLES]]-Tabla1[[#This Row],[PC]]</f>
        <v>1030.5763999999999</v>
      </c>
      <c r="K991" s="15"/>
      <c r="L991" s="15" t="str">
        <f>IF(
OR(
ISNUMBER(SEARCH("BACKPACK",B993)),
ISNUMBER(SEARCH("MOCHILA",B993)),
ISNUMBER(SEARCH("FUNDA",B993)),
ISNUMBER(SEARCH("ESTUCHE",B993)),
ISNUMBER(SEARCH("BOOK COVER",B993)),
ISNUMBER(SEARCH("KEYBOARD PARA TABLET",B993)),
ISNUMBER(SEARCH("FLIP TABLET",B993)),
ISNUMBER(SEARCH("CASE FOR TABLET",B993)),
ISNUMBER(SEARCH("CABLE",B993)),
ISNUMBER(SEARCH("ADAPTADOR",B993)),
ISNUMBER(SEARCH("HUB",B993)),
ISNUMBER(SEARCH("DOCK",B993)),
ISNUMBER(SEARCH("MOUSE PAD",B993)),
ISNUMBER(SEARCH("MOUSEPAD",B993)),
ISNUMBER(SEARCH("SOPORTE",B993)),
ISNUMBER(SEARCH("STAND",B993)),
ISNUMBER(SEARCH("TRAVEL ADAPTER",B993)),
ISNUMBER(SEARCH("RJ45",B993)),
ISNUMBER(SEARCH("USB-C",B993)),
ISNUMBER(SEARCH("USB WIFI",B993)),
ISNUMBER(SEARCH("POWERBANK",B993)),
ISNUMBER(SEARCH("CARGADOR",B993)),
ISNUMBER(SEARCH("COOLER PARA NB",B993)),
ISNUMBER(SEARCH("SOPORTE PARA NB",B993)),
ISNUMBER(SEARCH("WEBCAM",B993)),
ISNUMBER(SEARCH("WEB CAM",B993)),
ISNUMBER(SEARCH("MOUSE",B993)),
ISNUMBER(SEARCH("TECLADO",B993))
),
"COMPLEMENTO",
IF(
OR(
LEFT(A993,2)="NB",
LEFT(A993,2)="PC",
LEFT(A993,2)="WS",
LEFT(A993,2)="TB",
LEFT(A993,3)="CEL",
LEFT(A993,3)="MON",
LEFT(A993,3)="PRE",
LEFT(A993,3)="PRH",
ISNUMBER(SEARCH("NOTEBOOK",B993)),
ISNUMBER(SEARCH("LAPTOP",B993)),
ISNUMBER(SEARCH("MONITOR",B993)),
ISNUMBER(SEARCH("TABLET",B993)),
ISNUMBER(SEARCH("SMARTPH",B993)),
ISNUMBER(SEARCH("IMPRESORA",B993)),
ISNUMBER(SEARCH("MULTIFUNCIONAL",B993)),
ISNUMBER(SEARCH("AIO",B993))
),
"GANCHO",
"NORMAL"
)
)</f>
        <v>COMPLEMENTO</v>
      </c>
    </row>
    <row r="992" spans="1:12" x14ac:dyDescent="0.25">
      <c r="A992" s="3" t="s">
        <v>326</v>
      </c>
      <c r="B992" s="3" t="s">
        <v>327</v>
      </c>
      <c r="C992" s="1">
        <v>20</v>
      </c>
      <c r="D992" s="1">
        <v>5.0999999999999996</v>
      </c>
      <c r="E992" s="1" t="s">
        <v>52</v>
      </c>
      <c r="F992" s="1" t="s">
        <v>3631</v>
      </c>
      <c r="G992" s="3" t="s">
        <v>328</v>
      </c>
      <c r="H992" s="11">
        <f>ROUND(
IF(L990="GANCHO",
   IF(I992&lt;=50,I992*1.1+4,IF(I992&lt;=120,I992*1.1+7,IF(I992&lt;=250,I992*1.1+11,I992*1.1+19))),
IF(L990="NORMAL",
   IF(I992&lt;=30,I992*1.15+2,IF(I992&lt;=80,I992*1.15+4,IF(I992&lt;=150,I992*1.15+6,I992*1.15+8))),
IF(L990="COMPLEMENTO",
   IF(I992&lt;=25,I992*1.25+1.5,IF(I992&lt;=60,I992*1.25+3,IF(I992&lt;=120,I992*1.25+4,I992*1.25+5))),
""))),2)</f>
        <v>27.68</v>
      </c>
      <c r="I992" s="9">
        <f>($K$2+0.02)*Tabla1[[#This Row],[PRECIO $]]*1.18</f>
        <v>20.942639999999997</v>
      </c>
      <c r="J992" s="7">
        <f>+Tabla1[[#This Row],[PRECIO EN SOLES]]-Tabla1[[#This Row],[PC]]</f>
        <v>6.7373600000000025</v>
      </c>
      <c r="K992" s="15"/>
      <c r="L992" s="15" t="str">
        <f>IF(
OR(
ISNUMBER(SEARCH("BACKPACK",B994)),
ISNUMBER(SEARCH("MOCHILA",B994)),
ISNUMBER(SEARCH("FUNDA",B994)),
ISNUMBER(SEARCH("ESTUCHE",B994)),
ISNUMBER(SEARCH("BOOK COVER",B994)),
ISNUMBER(SEARCH("KEYBOARD PARA TABLET",B994)),
ISNUMBER(SEARCH("FLIP TABLET",B994)),
ISNUMBER(SEARCH("CASE FOR TABLET",B994)),
ISNUMBER(SEARCH("CABLE",B994)),
ISNUMBER(SEARCH("ADAPTADOR",B994)),
ISNUMBER(SEARCH("HUB",B994)),
ISNUMBER(SEARCH("DOCK",B994)),
ISNUMBER(SEARCH("MOUSE PAD",B994)),
ISNUMBER(SEARCH("MOUSEPAD",B994)),
ISNUMBER(SEARCH("SOPORTE",B994)),
ISNUMBER(SEARCH("STAND",B994)),
ISNUMBER(SEARCH("TRAVEL ADAPTER",B994)),
ISNUMBER(SEARCH("RJ45",B994)),
ISNUMBER(SEARCH("USB-C",B994)),
ISNUMBER(SEARCH("USB WIFI",B994)),
ISNUMBER(SEARCH("POWERBANK",B994)),
ISNUMBER(SEARCH("CARGADOR",B994)),
ISNUMBER(SEARCH("COOLER PARA NB",B994)),
ISNUMBER(SEARCH("SOPORTE PARA NB",B994)),
ISNUMBER(SEARCH("WEBCAM",B994)),
ISNUMBER(SEARCH("WEB CAM",B994)),
ISNUMBER(SEARCH("MOUSE",B994)),
ISNUMBER(SEARCH("TECLADO",B994))
),
"COMPLEMENTO",
IF(
OR(
LEFT(A994,2)="NB",
LEFT(A994,2)="PC",
LEFT(A994,2)="WS",
LEFT(A994,2)="TB",
LEFT(A994,3)="CEL",
LEFT(A994,3)="MON",
LEFT(A994,3)="PRE",
LEFT(A994,3)="PRH",
ISNUMBER(SEARCH("NOTEBOOK",B994)),
ISNUMBER(SEARCH("LAPTOP",B994)),
ISNUMBER(SEARCH("MONITOR",B994)),
ISNUMBER(SEARCH("TABLET",B994)),
ISNUMBER(SEARCH("SMARTPH",B994)),
ISNUMBER(SEARCH("IMPRESORA",B994)),
ISNUMBER(SEARCH("MULTIFUNCIONAL",B994)),
ISNUMBER(SEARCH("AIO",B994))
),
"GANCHO",
"NORMAL"
)
)</f>
        <v>COMPLEMENTO</v>
      </c>
    </row>
    <row r="993" spans="1:12" x14ac:dyDescent="0.25">
      <c r="A993" s="3" t="s">
        <v>329</v>
      </c>
      <c r="B993" s="3" t="s">
        <v>330</v>
      </c>
      <c r="C993" s="1">
        <v>20</v>
      </c>
      <c r="D993" s="1">
        <v>2.85</v>
      </c>
      <c r="E993" s="1" t="s">
        <v>52</v>
      </c>
      <c r="F993" s="1" t="s">
        <v>3632</v>
      </c>
      <c r="G993" s="3" t="s">
        <v>331</v>
      </c>
      <c r="H993" s="11">
        <f>ROUND(
IF(L991="GANCHO",
   IF(I993&lt;=50,I993*1.1+4,IF(I993&lt;=120,I993*1.1+7,IF(I993&lt;=250,I993*1.1+11,I993*1.1+19))),
IF(L991="NORMAL",
   IF(I993&lt;=30,I993*1.15+2,IF(I993&lt;=80,I993*1.15+4,IF(I993&lt;=150,I993*1.15+6,I993*1.15+8))),
IF(L991="COMPLEMENTO",
   IF(I993&lt;=25,I993*1.25+1.5,IF(I993&lt;=60,I993*1.25+3,IF(I993&lt;=120,I993*1.25+4,I993*1.25+5))),
""))),2)</f>
        <v>16.13</v>
      </c>
      <c r="I993" s="9">
        <f>($K$2+0.02)*Tabla1[[#This Row],[PRECIO $]]*1.18</f>
        <v>11.703240000000001</v>
      </c>
      <c r="J993" s="7">
        <f>+Tabla1[[#This Row],[PRECIO EN SOLES]]-Tabla1[[#This Row],[PC]]</f>
        <v>4.426759999999998</v>
      </c>
      <c r="K993" s="15"/>
      <c r="L993" s="15" t="str">
        <f>IF(
OR(
ISNUMBER(SEARCH("BACKPACK",B995)),
ISNUMBER(SEARCH("MOCHILA",B995)),
ISNUMBER(SEARCH("FUNDA",B995)),
ISNUMBER(SEARCH("ESTUCHE",B995)),
ISNUMBER(SEARCH("BOOK COVER",B995)),
ISNUMBER(SEARCH("KEYBOARD PARA TABLET",B995)),
ISNUMBER(SEARCH("FLIP TABLET",B995)),
ISNUMBER(SEARCH("CASE FOR TABLET",B995)),
ISNUMBER(SEARCH("CABLE",B995)),
ISNUMBER(SEARCH("ADAPTADOR",B995)),
ISNUMBER(SEARCH("HUB",B995)),
ISNUMBER(SEARCH("DOCK",B995)),
ISNUMBER(SEARCH("MOUSE PAD",B995)),
ISNUMBER(SEARCH("MOUSEPAD",B995)),
ISNUMBER(SEARCH("SOPORTE",B995)),
ISNUMBER(SEARCH("STAND",B995)),
ISNUMBER(SEARCH("TRAVEL ADAPTER",B995)),
ISNUMBER(SEARCH("RJ45",B995)),
ISNUMBER(SEARCH("USB-C",B995)),
ISNUMBER(SEARCH("USB WIFI",B995)),
ISNUMBER(SEARCH("POWERBANK",B995)),
ISNUMBER(SEARCH("CARGADOR",B995)),
ISNUMBER(SEARCH("COOLER PARA NB",B995)),
ISNUMBER(SEARCH("SOPORTE PARA NB",B995)),
ISNUMBER(SEARCH("WEBCAM",B995)),
ISNUMBER(SEARCH("WEB CAM",B995)),
ISNUMBER(SEARCH("MOUSE",B995)),
ISNUMBER(SEARCH("TECLADO",B995))
),
"COMPLEMENTO",
IF(
OR(
LEFT(A995,2)="NB",
LEFT(A995,2)="PC",
LEFT(A995,2)="WS",
LEFT(A995,2)="TB",
LEFT(A995,3)="CEL",
LEFT(A995,3)="MON",
LEFT(A995,3)="PRE",
LEFT(A995,3)="PRH",
ISNUMBER(SEARCH("NOTEBOOK",B995)),
ISNUMBER(SEARCH("LAPTOP",B995)),
ISNUMBER(SEARCH("MONITOR",B995)),
ISNUMBER(SEARCH("TABLET",B995)),
ISNUMBER(SEARCH("SMARTPH",B995)),
ISNUMBER(SEARCH("IMPRESORA",B995)),
ISNUMBER(SEARCH("MULTIFUNCIONAL",B995)),
ISNUMBER(SEARCH("AIO",B995))
),
"GANCHO",
"NORMAL"
)
)</f>
        <v>COMPLEMENTO</v>
      </c>
    </row>
    <row r="994" spans="1:12" x14ac:dyDescent="0.25">
      <c r="A994" s="3" t="s">
        <v>332</v>
      </c>
      <c r="B994" s="3" t="s">
        <v>333</v>
      </c>
      <c r="C994" s="1">
        <v>20</v>
      </c>
      <c r="D994" s="1">
        <v>2.15</v>
      </c>
      <c r="E994" s="1" t="s">
        <v>52</v>
      </c>
      <c r="F994" s="1" t="s">
        <v>3633</v>
      </c>
      <c r="G994" s="3" t="s">
        <v>334</v>
      </c>
      <c r="H994" s="11">
        <f>ROUND(
IF(L992="GANCHO",
   IF(I994&lt;=50,I994*1.1+4,IF(I994&lt;=120,I994*1.1+7,IF(I994&lt;=250,I994*1.1+11,I994*1.1+19))),
IF(L992="NORMAL",
   IF(I994&lt;=30,I994*1.15+2,IF(I994&lt;=80,I994*1.15+4,IF(I994&lt;=150,I994*1.15+6,I994*1.15+8))),
IF(L992="COMPLEMENTO",
   IF(I994&lt;=25,I994*1.25+1.5,IF(I994&lt;=60,I994*1.25+3,IF(I994&lt;=120,I994*1.25+4,I994*1.25+5))),
""))),2)</f>
        <v>12.54</v>
      </c>
      <c r="I994" s="9">
        <f>($K$2+0.02)*Tabla1[[#This Row],[PRECIO $]]*1.18</f>
        <v>8.8287599999999991</v>
      </c>
      <c r="J994" s="7">
        <f>+Tabla1[[#This Row],[PRECIO EN SOLES]]-Tabla1[[#This Row],[PC]]</f>
        <v>3.7112400000000001</v>
      </c>
      <c r="K994" s="15"/>
      <c r="L994" s="15" t="str">
        <f>IF(
OR(
ISNUMBER(SEARCH("BACKPACK",B996)),
ISNUMBER(SEARCH("MOCHILA",B996)),
ISNUMBER(SEARCH("FUNDA",B996)),
ISNUMBER(SEARCH("ESTUCHE",B996)),
ISNUMBER(SEARCH("BOOK COVER",B996)),
ISNUMBER(SEARCH("KEYBOARD PARA TABLET",B996)),
ISNUMBER(SEARCH("FLIP TABLET",B996)),
ISNUMBER(SEARCH("CASE FOR TABLET",B996)),
ISNUMBER(SEARCH("CABLE",B996)),
ISNUMBER(SEARCH("ADAPTADOR",B996)),
ISNUMBER(SEARCH("HUB",B996)),
ISNUMBER(SEARCH("DOCK",B996)),
ISNUMBER(SEARCH("MOUSE PAD",B996)),
ISNUMBER(SEARCH("MOUSEPAD",B996)),
ISNUMBER(SEARCH("SOPORTE",B996)),
ISNUMBER(SEARCH("STAND",B996)),
ISNUMBER(SEARCH("TRAVEL ADAPTER",B996)),
ISNUMBER(SEARCH("RJ45",B996)),
ISNUMBER(SEARCH("USB-C",B996)),
ISNUMBER(SEARCH("USB WIFI",B996)),
ISNUMBER(SEARCH("POWERBANK",B996)),
ISNUMBER(SEARCH("CARGADOR",B996)),
ISNUMBER(SEARCH("COOLER PARA NB",B996)),
ISNUMBER(SEARCH("SOPORTE PARA NB",B996)),
ISNUMBER(SEARCH("WEBCAM",B996)),
ISNUMBER(SEARCH("WEB CAM",B996)),
ISNUMBER(SEARCH("MOUSE",B996)),
ISNUMBER(SEARCH("TECLADO",B996))
),
"COMPLEMENTO",
IF(
OR(
LEFT(A996,2)="NB",
LEFT(A996,2)="PC",
LEFT(A996,2)="WS",
LEFT(A996,2)="TB",
LEFT(A996,3)="CEL",
LEFT(A996,3)="MON",
LEFT(A996,3)="PRE",
LEFT(A996,3)="PRH",
ISNUMBER(SEARCH("NOTEBOOK",B996)),
ISNUMBER(SEARCH("LAPTOP",B996)),
ISNUMBER(SEARCH("MONITOR",B996)),
ISNUMBER(SEARCH("TABLET",B996)),
ISNUMBER(SEARCH("SMARTPH",B996)),
ISNUMBER(SEARCH("IMPRESORA",B996)),
ISNUMBER(SEARCH("MULTIFUNCIONAL",B996)),
ISNUMBER(SEARCH("AIO",B996))
),
"GANCHO",
"NORMAL"
)
)</f>
        <v>COMPLEMENTO</v>
      </c>
    </row>
    <row r="995" spans="1:12" x14ac:dyDescent="0.25">
      <c r="A995" s="3" t="s">
        <v>4318</v>
      </c>
      <c r="B995" s="3" t="s">
        <v>4319</v>
      </c>
      <c r="C995" s="1">
        <v>20</v>
      </c>
      <c r="D995" s="1">
        <v>2.15</v>
      </c>
      <c r="E995" s="1" t="s">
        <v>52</v>
      </c>
      <c r="F995" s="1" t="s">
        <v>4320</v>
      </c>
      <c r="G995" s="3" t="s">
        <v>4321</v>
      </c>
      <c r="H995" s="11">
        <f>ROUND(
IF(L993="GANCHO",
   IF(I995&lt;=50,I995*1.1+4,IF(I995&lt;=120,I995*1.1+7,IF(I995&lt;=250,I995*1.1+11,I995*1.1+19))),
IF(L993="NORMAL",
   IF(I995&lt;=30,I995*1.15+2,IF(I995&lt;=80,I995*1.15+4,IF(I995&lt;=150,I995*1.15+6,I995*1.15+8))),
IF(L993="COMPLEMENTO",
   IF(I995&lt;=25,I995*1.25+1.5,IF(I995&lt;=60,I995*1.25+3,IF(I995&lt;=120,I995*1.25+4,I995*1.25+5))),
""))),2)</f>
        <v>12.54</v>
      </c>
      <c r="I995" s="9">
        <f>($K$2+0.02)*Tabla1[[#This Row],[PRECIO $]]*1.18</f>
        <v>8.8287599999999991</v>
      </c>
      <c r="J995" s="7">
        <f>+Tabla1[[#This Row],[PRECIO EN SOLES]]-Tabla1[[#This Row],[PC]]</f>
        <v>3.7112400000000001</v>
      </c>
      <c r="K995" s="15"/>
      <c r="L995" s="15" t="str">
        <f>IF(
OR(
ISNUMBER(SEARCH("BACKPACK",B997)),
ISNUMBER(SEARCH("MOCHILA",B997)),
ISNUMBER(SEARCH("FUNDA",B997)),
ISNUMBER(SEARCH("ESTUCHE",B997)),
ISNUMBER(SEARCH("BOOK COVER",B997)),
ISNUMBER(SEARCH("KEYBOARD PARA TABLET",B997)),
ISNUMBER(SEARCH("FLIP TABLET",B997)),
ISNUMBER(SEARCH("CASE FOR TABLET",B997)),
ISNUMBER(SEARCH("CABLE",B997)),
ISNUMBER(SEARCH("ADAPTADOR",B997)),
ISNUMBER(SEARCH("HUB",B997)),
ISNUMBER(SEARCH("DOCK",B997)),
ISNUMBER(SEARCH("MOUSE PAD",B997)),
ISNUMBER(SEARCH("MOUSEPAD",B997)),
ISNUMBER(SEARCH("SOPORTE",B997)),
ISNUMBER(SEARCH("STAND",B997)),
ISNUMBER(SEARCH("TRAVEL ADAPTER",B997)),
ISNUMBER(SEARCH("RJ45",B997)),
ISNUMBER(SEARCH("USB-C",B997)),
ISNUMBER(SEARCH("USB WIFI",B997)),
ISNUMBER(SEARCH("POWERBANK",B997)),
ISNUMBER(SEARCH("CARGADOR",B997)),
ISNUMBER(SEARCH("COOLER PARA NB",B997)),
ISNUMBER(SEARCH("SOPORTE PARA NB",B997)),
ISNUMBER(SEARCH("WEBCAM",B997)),
ISNUMBER(SEARCH("WEB CAM",B997)),
ISNUMBER(SEARCH("MOUSE",B997)),
ISNUMBER(SEARCH("TECLADO",B997))
),
"COMPLEMENTO",
IF(
OR(
LEFT(A997,2)="NB",
LEFT(A997,2)="PC",
LEFT(A997,2)="WS",
LEFT(A997,2)="TB",
LEFT(A997,3)="CEL",
LEFT(A997,3)="MON",
LEFT(A997,3)="PRE",
LEFT(A997,3)="PRH",
ISNUMBER(SEARCH("NOTEBOOK",B997)),
ISNUMBER(SEARCH("LAPTOP",B997)),
ISNUMBER(SEARCH("MONITOR",B997)),
ISNUMBER(SEARCH("TABLET",B997)),
ISNUMBER(SEARCH("SMARTPH",B997)),
ISNUMBER(SEARCH("IMPRESORA",B997)),
ISNUMBER(SEARCH("MULTIFUNCIONAL",B997)),
ISNUMBER(SEARCH("AIO",B997))
),
"GANCHO",
"NORMAL"
)
)</f>
        <v>COMPLEMENTO</v>
      </c>
    </row>
    <row r="996" spans="1:12" x14ac:dyDescent="0.25">
      <c r="A996" s="3" t="s">
        <v>335</v>
      </c>
      <c r="B996" s="3" t="s">
        <v>336</v>
      </c>
      <c r="C996" s="1">
        <v>20</v>
      </c>
      <c r="D996" s="1">
        <v>2.15</v>
      </c>
      <c r="E996" s="1" t="s">
        <v>52</v>
      </c>
      <c r="F996" s="1" t="s">
        <v>3634</v>
      </c>
      <c r="G996" s="3" t="s">
        <v>337</v>
      </c>
      <c r="H996" s="11">
        <f>ROUND(
IF(L994="GANCHO",
   IF(I996&lt;=50,I996*1.1+4,IF(I996&lt;=120,I996*1.1+7,IF(I996&lt;=250,I996*1.1+11,I996*1.1+19))),
IF(L994="NORMAL",
   IF(I996&lt;=30,I996*1.15+2,IF(I996&lt;=80,I996*1.15+4,IF(I996&lt;=150,I996*1.15+6,I996*1.15+8))),
IF(L994="COMPLEMENTO",
   IF(I996&lt;=25,I996*1.25+1.5,IF(I996&lt;=60,I996*1.25+3,IF(I996&lt;=120,I996*1.25+4,I996*1.25+5))),
""))),2)</f>
        <v>12.54</v>
      </c>
      <c r="I996" s="9">
        <f>($K$2+0.02)*Tabla1[[#This Row],[PRECIO $]]*1.18</f>
        <v>8.8287599999999991</v>
      </c>
      <c r="J996" s="7">
        <f>+Tabla1[[#This Row],[PRECIO EN SOLES]]-Tabla1[[#This Row],[PC]]</f>
        <v>3.7112400000000001</v>
      </c>
      <c r="K996" s="15"/>
      <c r="L996" s="15" t="str">
        <f>IF(
OR(
ISNUMBER(SEARCH("BACKPACK",B998)),
ISNUMBER(SEARCH("MOCHILA",B998)),
ISNUMBER(SEARCH("FUNDA",B998)),
ISNUMBER(SEARCH("ESTUCHE",B998)),
ISNUMBER(SEARCH("BOOK COVER",B998)),
ISNUMBER(SEARCH("KEYBOARD PARA TABLET",B998)),
ISNUMBER(SEARCH("FLIP TABLET",B998)),
ISNUMBER(SEARCH("CASE FOR TABLET",B998)),
ISNUMBER(SEARCH("CABLE",B998)),
ISNUMBER(SEARCH("ADAPTADOR",B998)),
ISNUMBER(SEARCH("HUB",B998)),
ISNUMBER(SEARCH("DOCK",B998)),
ISNUMBER(SEARCH("MOUSE PAD",B998)),
ISNUMBER(SEARCH("MOUSEPAD",B998)),
ISNUMBER(SEARCH("SOPORTE",B998)),
ISNUMBER(SEARCH("STAND",B998)),
ISNUMBER(SEARCH("TRAVEL ADAPTER",B998)),
ISNUMBER(SEARCH("RJ45",B998)),
ISNUMBER(SEARCH("USB-C",B998)),
ISNUMBER(SEARCH("USB WIFI",B998)),
ISNUMBER(SEARCH("POWERBANK",B998)),
ISNUMBER(SEARCH("CARGADOR",B998)),
ISNUMBER(SEARCH("COOLER PARA NB",B998)),
ISNUMBER(SEARCH("SOPORTE PARA NB",B998)),
ISNUMBER(SEARCH("WEBCAM",B998)),
ISNUMBER(SEARCH("WEB CAM",B998)),
ISNUMBER(SEARCH("MOUSE",B998)),
ISNUMBER(SEARCH("TECLADO",B998))
),
"COMPLEMENTO",
IF(
OR(
LEFT(A998,2)="NB",
LEFT(A998,2)="PC",
LEFT(A998,2)="WS",
LEFT(A998,2)="TB",
LEFT(A998,3)="CEL",
LEFT(A998,3)="MON",
LEFT(A998,3)="PRE",
LEFT(A998,3)="PRH",
ISNUMBER(SEARCH("NOTEBOOK",B998)),
ISNUMBER(SEARCH("LAPTOP",B998)),
ISNUMBER(SEARCH("MONITOR",B998)),
ISNUMBER(SEARCH("TABLET",B998)),
ISNUMBER(SEARCH("SMARTPH",B998)),
ISNUMBER(SEARCH("IMPRESORA",B998)),
ISNUMBER(SEARCH("MULTIFUNCIONAL",B998)),
ISNUMBER(SEARCH("AIO",B998))
),
"GANCHO",
"NORMAL"
)
)</f>
        <v>COMPLEMENTO</v>
      </c>
    </row>
    <row r="997" spans="1:12" x14ac:dyDescent="0.25">
      <c r="A997" s="3" t="s">
        <v>1734</v>
      </c>
      <c r="B997" s="3" t="s">
        <v>1733</v>
      </c>
      <c r="C997" s="1">
        <v>0</v>
      </c>
      <c r="D997" s="1">
        <v>9999999.9900000002</v>
      </c>
      <c r="E997" s="1" t="s">
        <v>187</v>
      </c>
      <c r="F997" s="1" t="s">
        <v>3635</v>
      </c>
      <c r="G997" s="3"/>
      <c r="H997" s="11">
        <f>ROUND(
IF(L995="GANCHO",
   IF(I997&lt;=50,I997*1.1+4,IF(I997&lt;=120,I997*1.1+7,IF(I997&lt;=250,I997*1.1+11,I997*1.1+19))),
IF(L995="NORMAL",
   IF(I997&lt;=30,I997*1.15+2,IF(I997&lt;=80,I997*1.15+4,IF(I997&lt;=150,I997*1.15+6,I997*1.15+8))),
IF(L995="COMPLEMENTO",
   IF(I997&lt;=25,I997*1.25+1.5,IF(I997&lt;=60,I997*1.25+3,IF(I997&lt;=120,I997*1.25+4,I997*1.25+5))),
""))),2)</f>
        <v>51330004.950000003</v>
      </c>
      <c r="I997" s="9">
        <f>($K$2+0.02)*Tabla1[[#This Row],[PRECIO $]]*1.18</f>
        <v>41063999.958935998</v>
      </c>
      <c r="J997" s="7">
        <f>+Tabla1[[#This Row],[PRECIO EN SOLES]]-Tabla1[[#This Row],[PC]]</f>
        <v>10266004.991064005</v>
      </c>
      <c r="K997" s="15"/>
      <c r="L997" s="15" t="str">
        <f>IF(
OR(
ISNUMBER(SEARCH("BACKPACK",B999)),
ISNUMBER(SEARCH("MOCHILA",B999)),
ISNUMBER(SEARCH("FUNDA",B999)),
ISNUMBER(SEARCH("ESTUCHE",B999)),
ISNUMBER(SEARCH("BOOK COVER",B999)),
ISNUMBER(SEARCH("KEYBOARD PARA TABLET",B999)),
ISNUMBER(SEARCH("FLIP TABLET",B999)),
ISNUMBER(SEARCH("CASE FOR TABLET",B999)),
ISNUMBER(SEARCH("CABLE",B999)),
ISNUMBER(SEARCH("ADAPTADOR",B999)),
ISNUMBER(SEARCH("HUB",B999)),
ISNUMBER(SEARCH("DOCK",B999)),
ISNUMBER(SEARCH("MOUSE PAD",B999)),
ISNUMBER(SEARCH("MOUSEPAD",B999)),
ISNUMBER(SEARCH("SOPORTE",B999)),
ISNUMBER(SEARCH("STAND",B999)),
ISNUMBER(SEARCH("TRAVEL ADAPTER",B999)),
ISNUMBER(SEARCH("RJ45",B999)),
ISNUMBER(SEARCH("USB-C",B999)),
ISNUMBER(SEARCH("USB WIFI",B999)),
ISNUMBER(SEARCH("POWERBANK",B999)),
ISNUMBER(SEARCH("CARGADOR",B999)),
ISNUMBER(SEARCH("COOLER PARA NB",B999)),
ISNUMBER(SEARCH("SOPORTE PARA NB",B999)),
ISNUMBER(SEARCH("WEBCAM",B999)),
ISNUMBER(SEARCH("WEB CAM",B999)),
ISNUMBER(SEARCH("MOUSE",B999)),
ISNUMBER(SEARCH("TECLADO",B999))
),
"COMPLEMENTO",
IF(
OR(
LEFT(A999,2)="NB",
LEFT(A999,2)="PC",
LEFT(A999,2)="WS",
LEFT(A999,2)="TB",
LEFT(A999,3)="CEL",
LEFT(A999,3)="MON",
LEFT(A999,3)="PRE",
LEFT(A999,3)="PRH",
ISNUMBER(SEARCH("NOTEBOOK",B999)),
ISNUMBER(SEARCH("LAPTOP",B999)),
ISNUMBER(SEARCH("MONITOR",B999)),
ISNUMBER(SEARCH("TABLET",B999)),
ISNUMBER(SEARCH("SMARTPH",B999)),
ISNUMBER(SEARCH("IMPRESORA",B999)),
ISNUMBER(SEARCH("MULTIFUNCIONAL",B999)),
ISNUMBER(SEARCH("AIO",B999))
),
"GANCHO",
"NORMAL"
)
)</f>
        <v>COMPLEMENTO</v>
      </c>
    </row>
    <row r="998" spans="1:12" x14ac:dyDescent="0.25">
      <c r="A998" s="3" t="s">
        <v>338</v>
      </c>
      <c r="B998" s="3" t="s">
        <v>339</v>
      </c>
      <c r="C998" s="1">
        <v>20</v>
      </c>
      <c r="D998" s="1">
        <v>5.4</v>
      </c>
      <c r="E998" s="1" t="s">
        <v>52</v>
      </c>
      <c r="F998" s="1" t="s">
        <v>3636</v>
      </c>
      <c r="G998" s="3" t="s">
        <v>340</v>
      </c>
      <c r="H998" s="11">
        <f>ROUND(
IF(L996="GANCHO",
   IF(I998&lt;=50,I998*1.1+4,IF(I998&lt;=120,I998*1.1+7,IF(I998&lt;=250,I998*1.1+11,I998*1.1+19))),
IF(L996="NORMAL",
   IF(I998&lt;=30,I998*1.15+2,IF(I998&lt;=80,I998*1.15+4,IF(I998&lt;=150,I998*1.15+6,I998*1.15+8))),
IF(L996="COMPLEMENTO",
   IF(I998&lt;=25,I998*1.25+1.5,IF(I998&lt;=60,I998*1.25+3,IF(I998&lt;=120,I998*1.25+4,I998*1.25+5))),
""))),2)</f>
        <v>29.22</v>
      </c>
      <c r="I998" s="9">
        <f>($K$2+0.02)*Tabla1[[#This Row],[PRECIO $]]*1.18</f>
        <v>22.17456</v>
      </c>
      <c r="J998" s="7">
        <f>+Tabla1[[#This Row],[PRECIO EN SOLES]]-Tabla1[[#This Row],[PC]]</f>
        <v>7.0454399999999993</v>
      </c>
      <c r="K998" s="15"/>
      <c r="L998" s="15" t="str">
        <f>IF(
OR(
ISNUMBER(SEARCH("BACKPACK",B1000)),
ISNUMBER(SEARCH("MOCHILA",B1000)),
ISNUMBER(SEARCH("FUNDA",B1000)),
ISNUMBER(SEARCH("ESTUCHE",B1000)),
ISNUMBER(SEARCH("BOOK COVER",B1000)),
ISNUMBER(SEARCH("KEYBOARD PARA TABLET",B1000)),
ISNUMBER(SEARCH("FLIP TABLET",B1000)),
ISNUMBER(SEARCH("CASE FOR TABLET",B1000)),
ISNUMBER(SEARCH("CABLE",B1000)),
ISNUMBER(SEARCH("ADAPTADOR",B1000)),
ISNUMBER(SEARCH("HUB",B1000)),
ISNUMBER(SEARCH("DOCK",B1000)),
ISNUMBER(SEARCH("MOUSE PAD",B1000)),
ISNUMBER(SEARCH("MOUSEPAD",B1000)),
ISNUMBER(SEARCH("SOPORTE",B1000)),
ISNUMBER(SEARCH("STAND",B1000)),
ISNUMBER(SEARCH("TRAVEL ADAPTER",B1000)),
ISNUMBER(SEARCH("RJ45",B1000)),
ISNUMBER(SEARCH("USB-C",B1000)),
ISNUMBER(SEARCH("USB WIFI",B1000)),
ISNUMBER(SEARCH("POWERBANK",B1000)),
ISNUMBER(SEARCH("CARGADOR",B1000)),
ISNUMBER(SEARCH("COOLER PARA NB",B1000)),
ISNUMBER(SEARCH("SOPORTE PARA NB",B1000)),
ISNUMBER(SEARCH("WEBCAM",B1000)),
ISNUMBER(SEARCH("WEB CAM",B1000)),
ISNUMBER(SEARCH("MOUSE",B1000)),
ISNUMBER(SEARCH("TECLADO",B1000))
),
"COMPLEMENTO",
IF(
OR(
LEFT(A1000,2)="NB",
LEFT(A1000,2)="PC",
LEFT(A1000,2)="WS",
LEFT(A1000,2)="TB",
LEFT(A1000,3)="CEL",
LEFT(A1000,3)="MON",
LEFT(A1000,3)="PRE",
LEFT(A1000,3)="PRH",
ISNUMBER(SEARCH("NOTEBOOK",B1000)),
ISNUMBER(SEARCH("LAPTOP",B1000)),
ISNUMBER(SEARCH("MONITOR",B1000)),
ISNUMBER(SEARCH("TABLET",B1000)),
ISNUMBER(SEARCH("SMARTPH",B1000)),
ISNUMBER(SEARCH("IMPRESORA",B1000)),
ISNUMBER(SEARCH("MULTIFUNCIONAL",B1000)),
ISNUMBER(SEARCH("AIO",B1000))
),
"GANCHO",
"NORMAL"
)
)</f>
        <v>COMPLEMENTO</v>
      </c>
    </row>
    <row r="999" spans="1:12" x14ac:dyDescent="0.25">
      <c r="A999" s="3" t="s">
        <v>341</v>
      </c>
      <c r="B999" s="3" t="s">
        <v>342</v>
      </c>
      <c r="C999" s="1">
        <v>20</v>
      </c>
      <c r="D999" s="1">
        <v>5.4</v>
      </c>
      <c r="E999" s="1" t="s">
        <v>52</v>
      </c>
      <c r="F999" s="1" t="s">
        <v>3637</v>
      </c>
      <c r="G999" s="3" t="s">
        <v>676</v>
      </c>
      <c r="H999" s="11">
        <f>ROUND(
IF(L997="GANCHO",
   IF(I999&lt;=50,I999*1.1+4,IF(I999&lt;=120,I999*1.1+7,IF(I999&lt;=250,I999*1.1+11,I999*1.1+19))),
IF(L997="NORMAL",
   IF(I999&lt;=30,I999*1.15+2,IF(I999&lt;=80,I999*1.15+4,IF(I999&lt;=150,I999*1.15+6,I999*1.15+8))),
IF(L997="COMPLEMENTO",
   IF(I999&lt;=25,I999*1.25+1.5,IF(I999&lt;=60,I999*1.25+3,IF(I999&lt;=120,I999*1.25+4,I999*1.25+5))),
""))),2)</f>
        <v>29.22</v>
      </c>
      <c r="I999" s="9">
        <f>($K$2+0.02)*Tabla1[[#This Row],[PRECIO $]]*1.18</f>
        <v>22.17456</v>
      </c>
      <c r="J999" s="7">
        <f>+Tabla1[[#This Row],[PRECIO EN SOLES]]-Tabla1[[#This Row],[PC]]</f>
        <v>7.0454399999999993</v>
      </c>
      <c r="K999" s="15"/>
      <c r="L999" s="15" t="str">
        <f>IF(
OR(
ISNUMBER(SEARCH("BACKPACK",B1001)),
ISNUMBER(SEARCH("MOCHILA",B1001)),
ISNUMBER(SEARCH("FUNDA",B1001)),
ISNUMBER(SEARCH("ESTUCHE",B1001)),
ISNUMBER(SEARCH("BOOK COVER",B1001)),
ISNUMBER(SEARCH("KEYBOARD PARA TABLET",B1001)),
ISNUMBER(SEARCH("FLIP TABLET",B1001)),
ISNUMBER(SEARCH("CASE FOR TABLET",B1001)),
ISNUMBER(SEARCH("CABLE",B1001)),
ISNUMBER(SEARCH("ADAPTADOR",B1001)),
ISNUMBER(SEARCH("HUB",B1001)),
ISNUMBER(SEARCH("DOCK",B1001)),
ISNUMBER(SEARCH("MOUSE PAD",B1001)),
ISNUMBER(SEARCH("MOUSEPAD",B1001)),
ISNUMBER(SEARCH("SOPORTE",B1001)),
ISNUMBER(SEARCH("STAND",B1001)),
ISNUMBER(SEARCH("TRAVEL ADAPTER",B1001)),
ISNUMBER(SEARCH("RJ45",B1001)),
ISNUMBER(SEARCH("USB-C",B1001)),
ISNUMBER(SEARCH("USB WIFI",B1001)),
ISNUMBER(SEARCH("POWERBANK",B1001)),
ISNUMBER(SEARCH("CARGADOR",B1001)),
ISNUMBER(SEARCH("COOLER PARA NB",B1001)),
ISNUMBER(SEARCH("SOPORTE PARA NB",B1001)),
ISNUMBER(SEARCH("WEBCAM",B1001)),
ISNUMBER(SEARCH("WEB CAM",B1001)),
ISNUMBER(SEARCH("MOUSE",B1001)),
ISNUMBER(SEARCH("TECLADO",B1001))
),
"COMPLEMENTO",
IF(
OR(
LEFT(A1001,2)="NB",
LEFT(A1001,2)="PC",
LEFT(A1001,2)="WS",
LEFT(A1001,2)="TB",
LEFT(A1001,3)="CEL",
LEFT(A1001,3)="MON",
LEFT(A1001,3)="PRE",
LEFT(A1001,3)="PRH",
ISNUMBER(SEARCH("NOTEBOOK",B1001)),
ISNUMBER(SEARCH("LAPTOP",B1001)),
ISNUMBER(SEARCH("MONITOR",B1001)),
ISNUMBER(SEARCH("TABLET",B1001)),
ISNUMBER(SEARCH("SMARTPH",B1001)),
ISNUMBER(SEARCH("IMPRESORA",B1001)),
ISNUMBER(SEARCH("MULTIFUNCIONAL",B1001)),
ISNUMBER(SEARCH("AIO",B1001))
),
"GANCHO",
"NORMAL"
)
)</f>
        <v>COMPLEMENTO</v>
      </c>
    </row>
    <row r="1000" spans="1:12" x14ac:dyDescent="0.25">
      <c r="A1000" s="3" t="s">
        <v>1735</v>
      </c>
      <c r="B1000" s="3" t="s">
        <v>1736</v>
      </c>
      <c r="C1000" s="1">
        <v>20</v>
      </c>
      <c r="D1000" s="1">
        <v>15.9</v>
      </c>
      <c r="E1000" s="1" t="s">
        <v>74</v>
      </c>
      <c r="F1000" s="1" t="s">
        <v>3638</v>
      </c>
      <c r="G1000" s="3" t="s">
        <v>1737</v>
      </c>
      <c r="H1000" s="11">
        <f>ROUND(
IF(L998="GANCHO",
   IF(I1000&lt;=50,I1000*1.1+4,IF(I1000&lt;=120,I1000*1.1+7,IF(I1000&lt;=250,I1000*1.1+11,I1000*1.1+19))),
IF(L998="NORMAL",
   IF(I1000&lt;=30,I1000*1.15+2,IF(I1000&lt;=80,I1000*1.15+4,IF(I1000&lt;=150,I1000*1.15+6,I1000*1.15+8))),
IF(L998="COMPLEMENTO",
   IF(I1000&lt;=25,I1000*1.25+1.5,IF(I1000&lt;=60,I1000*1.25+3,IF(I1000&lt;=120,I1000*1.25+4,I1000*1.25+5))),
""))),2)</f>
        <v>85.61</v>
      </c>
      <c r="I1000" s="9">
        <f>($K$2+0.02)*Tabla1[[#This Row],[PRECIO $]]*1.18</f>
        <v>65.291759999999996</v>
      </c>
      <c r="J1000" s="7">
        <f>+Tabla1[[#This Row],[PRECIO EN SOLES]]-Tabla1[[#This Row],[PC]]</f>
        <v>20.318240000000003</v>
      </c>
      <c r="K1000" s="15"/>
      <c r="L1000" s="15" t="str">
        <f>IF(
OR(
ISNUMBER(SEARCH("BACKPACK",B1002)),
ISNUMBER(SEARCH("MOCHILA",B1002)),
ISNUMBER(SEARCH("FUNDA",B1002)),
ISNUMBER(SEARCH("ESTUCHE",B1002)),
ISNUMBER(SEARCH("BOOK COVER",B1002)),
ISNUMBER(SEARCH("KEYBOARD PARA TABLET",B1002)),
ISNUMBER(SEARCH("FLIP TABLET",B1002)),
ISNUMBER(SEARCH("CASE FOR TABLET",B1002)),
ISNUMBER(SEARCH("CABLE",B1002)),
ISNUMBER(SEARCH("ADAPTADOR",B1002)),
ISNUMBER(SEARCH("HUB",B1002)),
ISNUMBER(SEARCH("DOCK",B1002)),
ISNUMBER(SEARCH("MOUSE PAD",B1002)),
ISNUMBER(SEARCH("MOUSEPAD",B1002)),
ISNUMBER(SEARCH("SOPORTE",B1002)),
ISNUMBER(SEARCH("STAND",B1002)),
ISNUMBER(SEARCH("TRAVEL ADAPTER",B1002)),
ISNUMBER(SEARCH("RJ45",B1002)),
ISNUMBER(SEARCH("USB-C",B1002)),
ISNUMBER(SEARCH("USB WIFI",B1002)),
ISNUMBER(SEARCH("POWERBANK",B1002)),
ISNUMBER(SEARCH("CARGADOR",B1002)),
ISNUMBER(SEARCH("COOLER PARA NB",B1002)),
ISNUMBER(SEARCH("SOPORTE PARA NB",B1002)),
ISNUMBER(SEARCH("WEBCAM",B1002)),
ISNUMBER(SEARCH("WEB CAM",B1002)),
ISNUMBER(SEARCH("MOUSE",B1002)),
ISNUMBER(SEARCH("TECLADO",B1002))
),
"COMPLEMENTO",
IF(
OR(
LEFT(A1002,2)="NB",
LEFT(A1002,2)="PC",
LEFT(A1002,2)="WS",
LEFT(A1002,2)="TB",
LEFT(A1002,3)="CEL",
LEFT(A1002,3)="MON",
LEFT(A1002,3)="PRE",
LEFT(A1002,3)="PRH",
ISNUMBER(SEARCH("NOTEBOOK",B1002)),
ISNUMBER(SEARCH("LAPTOP",B1002)),
ISNUMBER(SEARCH("MONITOR",B1002)),
ISNUMBER(SEARCH("TABLET",B1002)),
ISNUMBER(SEARCH("SMARTPH",B1002)),
ISNUMBER(SEARCH("IMPRESORA",B1002)),
ISNUMBER(SEARCH("MULTIFUNCIONAL",B1002)),
ISNUMBER(SEARCH("AIO",B1002))
),
"GANCHO",
"NORMAL"
)
)</f>
        <v>COMPLEMENTO</v>
      </c>
    </row>
    <row r="1001" spans="1:12" x14ac:dyDescent="0.25">
      <c r="A1001" s="3" t="s">
        <v>1738</v>
      </c>
      <c r="B1001" s="3" t="s">
        <v>1739</v>
      </c>
      <c r="C1001" s="1">
        <v>20</v>
      </c>
      <c r="D1001" s="1">
        <v>12.1</v>
      </c>
      <c r="E1001" s="1" t="s">
        <v>837</v>
      </c>
      <c r="F1001" s="1" t="s">
        <v>3639</v>
      </c>
      <c r="G1001" s="3" t="s">
        <v>1740</v>
      </c>
      <c r="H1001" s="11">
        <f>ROUND(
IF(L999="GANCHO",
   IF(I1001&lt;=50,I1001*1.1+4,IF(I1001&lt;=120,I1001*1.1+7,IF(I1001&lt;=250,I1001*1.1+11,I1001*1.1+19))),
IF(L999="NORMAL",
   IF(I1001&lt;=30,I1001*1.15+2,IF(I1001&lt;=80,I1001*1.15+4,IF(I1001&lt;=150,I1001*1.15+6,I1001*1.15+8))),
IF(L999="COMPLEMENTO",
   IF(I1001&lt;=25,I1001*1.25+1.5,IF(I1001&lt;=60,I1001*1.25+3,IF(I1001&lt;=120,I1001*1.25+4,I1001*1.25+5))),
""))),2)</f>
        <v>65.11</v>
      </c>
      <c r="I1001" s="9">
        <f>($K$2+0.02)*Tabla1[[#This Row],[PRECIO $]]*1.18</f>
        <v>49.687439999999995</v>
      </c>
      <c r="J1001" s="7">
        <f>+Tabla1[[#This Row],[PRECIO EN SOLES]]-Tabla1[[#This Row],[PC]]</f>
        <v>15.422560000000004</v>
      </c>
      <c r="K1001" s="15"/>
      <c r="L1001" s="15" t="str">
        <f>IF(
OR(
ISNUMBER(SEARCH("BACKPACK",B1003)),
ISNUMBER(SEARCH("MOCHILA",B1003)),
ISNUMBER(SEARCH("FUNDA",B1003)),
ISNUMBER(SEARCH("ESTUCHE",B1003)),
ISNUMBER(SEARCH("BOOK COVER",B1003)),
ISNUMBER(SEARCH("KEYBOARD PARA TABLET",B1003)),
ISNUMBER(SEARCH("FLIP TABLET",B1003)),
ISNUMBER(SEARCH("CASE FOR TABLET",B1003)),
ISNUMBER(SEARCH("CABLE",B1003)),
ISNUMBER(SEARCH("ADAPTADOR",B1003)),
ISNUMBER(SEARCH("HUB",B1003)),
ISNUMBER(SEARCH("DOCK",B1003)),
ISNUMBER(SEARCH("MOUSE PAD",B1003)),
ISNUMBER(SEARCH("MOUSEPAD",B1003)),
ISNUMBER(SEARCH("SOPORTE",B1003)),
ISNUMBER(SEARCH("STAND",B1003)),
ISNUMBER(SEARCH("TRAVEL ADAPTER",B1003)),
ISNUMBER(SEARCH("RJ45",B1003)),
ISNUMBER(SEARCH("USB-C",B1003)),
ISNUMBER(SEARCH("USB WIFI",B1003)),
ISNUMBER(SEARCH("POWERBANK",B1003)),
ISNUMBER(SEARCH("CARGADOR",B1003)),
ISNUMBER(SEARCH("COOLER PARA NB",B1003)),
ISNUMBER(SEARCH("SOPORTE PARA NB",B1003)),
ISNUMBER(SEARCH("WEBCAM",B1003)),
ISNUMBER(SEARCH("WEB CAM",B1003)),
ISNUMBER(SEARCH("MOUSE",B1003)),
ISNUMBER(SEARCH("TECLADO",B1003))
),
"COMPLEMENTO",
IF(
OR(
LEFT(A1003,2)="NB",
LEFT(A1003,2)="PC",
LEFT(A1003,2)="WS",
LEFT(A1003,2)="TB",
LEFT(A1003,3)="CEL",
LEFT(A1003,3)="MON",
LEFT(A1003,3)="PRE",
LEFT(A1003,3)="PRH",
ISNUMBER(SEARCH("NOTEBOOK",B1003)),
ISNUMBER(SEARCH("LAPTOP",B1003)),
ISNUMBER(SEARCH("MONITOR",B1003)),
ISNUMBER(SEARCH("TABLET",B1003)),
ISNUMBER(SEARCH("SMARTPH",B1003)),
ISNUMBER(SEARCH("IMPRESORA",B1003)),
ISNUMBER(SEARCH("MULTIFUNCIONAL",B1003)),
ISNUMBER(SEARCH("AIO",B1003))
),
"GANCHO",
"NORMAL"
)
)</f>
        <v>COMPLEMENTO</v>
      </c>
    </row>
    <row r="1002" spans="1:12" x14ac:dyDescent="0.25">
      <c r="A1002" s="3" t="s">
        <v>6814</v>
      </c>
      <c r="B1002" s="3" t="s">
        <v>6815</v>
      </c>
      <c r="C1002" s="1">
        <v>20</v>
      </c>
      <c r="D1002" s="1">
        <v>2.5</v>
      </c>
      <c r="E1002" s="1" t="s">
        <v>52</v>
      </c>
      <c r="F1002" s="1" t="s">
        <v>6816</v>
      </c>
      <c r="G1002" s="3" t="s">
        <v>6817</v>
      </c>
      <c r="H1002" s="11">
        <f>ROUND(
IF(L1000="GANCHO",
   IF(I1002&lt;=50,I1002*1.1+4,IF(I1002&lt;=120,I1002*1.1+7,IF(I1002&lt;=250,I1002*1.1+11,I1002*1.1+19))),
IF(L1000="NORMAL",
   IF(I1002&lt;=30,I1002*1.15+2,IF(I1002&lt;=80,I1002*1.15+4,IF(I1002&lt;=150,I1002*1.15+6,I1002*1.15+8))),
IF(L1000="COMPLEMENTO",
   IF(I1002&lt;=25,I1002*1.25+1.5,IF(I1002&lt;=60,I1002*1.25+3,IF(I1002&lt;=120,I1002*1.25+4,I1002*1.25+5))),
""))),2)</f>
        <v>14.33</v>
      </c>
      <c r="I1002" s="9">
        <f>($K$2+0.02)*Tabla1[[#This Row],[PRECIO $]]*1.18</f>
        <v>10.265999999999998</v>
      </c>
      <c r="J1002" s="7">
        <f>+Tabla1[[#This Row],[PRECIO EN SOLES]]-Tabla1[[#This Row],[PC]]</f>
        <v>4.0640000000000018</v>
      </c>
      <c r="K1002" s="15"/>
      <c r="L1002" s="15" t="str">
        <f>IF(
OR(
ISNUMBER(SEARCH("BACKPACK",B1004)),
ISNUMBER(SEARCH("MOCHILA",B1004)),
ISNUMBER(SEARCH("FUNDA",B1004)),
ISNUMBER(SEARCH("ESTUCHE",B1004)),
ISNUMBER(SEARCH("BOOK COVER",B1004)),
ISNUMBER(SEARCH("KEYBOARD PARA TABLET",B1004)),
ISNUMBER(SEARCH("FLIP TABLET",B1004)),
ISNUMBER(SEARCH("CASE FOR TABLET",B1004)),
ISNUMBER(SEARCH("CABLE",B1004)),
ISNUMBER(SEARCH("ADAPTADOR",B1004)),
ISNUMBER(SEARCH("HUB",B1004)),
ISNUMBER(SEARCH("DOCK",B1004)),
ISNUMBER(SEARCH("MOUSE PAD",B1004)),
ISNUMBER(SEARCH("MOUSEPAD",B1004)),
ISNUMBER(SEARCH("SOPORTE",B1004)),
ISNUMBER(SEARCH("STAND",B1004)),
ISNUMBER(SEARCH("TRAVEL ADAPTER",B1004)),
ISNUMBER(SEARCH("RJ45",B1004)),
ISNUMBER(SEARCH("USB-C",B1004)),
ISNUMBER(SEARCH("USB WIFI",B1004)),
ISNUMBER(SEARCH("POWERBANK",B1004)),
ISNUMBER(SEARCH("CARGADOR",B1004)),
ISNUMBER(SEARCH("COOLER PARA NB",B1004)),
ISNUMBER(SEARCH("SOPORTE PARA NB",B1004)),
ISNUMBER(SEARCH("WEBCAM",B1004)),
ISNUMBER(SEARCH("WEB CAM",B1004)),
ISNUMBER(SEARCH("MOUSE",B1004)),
ISNUMBER(SEARCH("TECLADO",B1004))
),
"COMPLEMENTO",
IF(
OR(
LEFT(A1004,2)="NB",
LEFT(A1004,2)="PC",
LEFT(A1004,2)="WS",
LEFT(A1004,2)="TB",
LEFT(A1004,3)="CEL",
LEFT(A1004,3)="MON",
LEFT(A1004,3)="PRE",
LEFT(A1004,3)="PRH",
ISNUMBER(SEARCH("NOTEBOOK",B1004)),
ISNUMBER(SEARCH("LAPTOP",B1004)),
ISNUMBER(SEARCH("MONITOR",B1004)),
ISNUMBER(SEARCH("TABLET",B1004)),
ISNUMBER(SEARCH("SMARTPH",B1004)),
ISNUMBER(SEARCH("IMPRESORA",B1004)),
ISNUMBER(SEARCH("MULTIFUNCIONAL",B1004)),
ISNUMBER(SEARCH("AIO",B1004))
),
"GANCHO",
"NORMAL"
)
)</f>
        <v>COMPLEMENTO</v>
      </c>
    </row>
    <row r="1003" spans="1:12" x14ac:dyDescent="0.25">
      <c r="A1003" s="3" t="s">
        <v>6348</v>
      </c>
      <c r="B1003" s="3" t="s">
        <v>6349</v>
      </c>
      <c r="C1003" s="1">
        <v>20</v>
      </c>
      <c r="D1003" s="1">
        <v>2.5</v>
      </c>
      <c r="E1003" s="1" t="s">
        <v>52</v>
      </c>
      <c r="F1003" s="1" t="s">
        <v>6350</v>
      </c>
      <c r="G1003" s="3" t="s">
        <v>6351</v>
      </c>
      <c r="H1003" s="11">
        <f>ROUND(
IF(L1001="GANCHO",
   IF(I1003&lt;=50,I1003*1.1+4,IF(I1003&lt;=120,I1003*1.1+7,IF(I1003&lt;=250,I1003*1.1+11,I1003*1.1+19))),
IF(L1001="NORMAL",
   IF(I1003&lt;=30,I1003*1.15+2,IF(I1003&lt;=80,I1003*1.15+4,IF(I1003&lt;=150,I1003*1.15+6,I1003*1.15+8))),
IF(L1001="COMPLEMENTO",
   IF(I1003&lt;=25,I1003*1.25+1.5,IF(I1003&lt;=60,I1003*1.25+3,IF(I1003&lt;=120,I1003*1.25+4,I1003*1.25+5))),
""))),2)</f>
        <v>14.33</v>
      </c>
      <c r="I1003" s="9">
        <f>($K$2+0.02)*Tabla1[[#This Row],[PRECIO $]]*1.18</f>
        <v>10.265999999999998</v>
      </c>
      <c r="J1003" s="7">
        <f>+Tabla1[[#This Row],[PRECIO EN SOLES]]-Tabla1[[#This Row],[PC]]</f>
        <v>4.0640000000000018</v>
      </c>
      <c r="K1003" s="15"/>
      <c r="L1003" s="15" t="str">
        <f>IF(
OR(
ISNUMBER(SEARCH("BACKPACK",B1005)),
ISNUMBER(SEARCH("MOCHILA",B1005)),
ISNUMBER(SEARCH("FUNDA",B1005)),
ISNUMBER(SEARCH("ESTUCHE",B1005)),
ISNUMBER(SEARCH("BOOK COVER",B1005)),
ISNUMBER(SEARCH("KEYBOARD PARA TABLET",B1005)),
ISNUMBER(SEARCH("FLIP TABLET",B1005)),
ISNUMBER(SEARCH("CASE FOR TABLET",B1005)),
ISNUMBER(SEARCH("CABLE",B1005)),
ISNUMBER(SEARCH("ADAPTADOR",B1005)),
ISNUMBER(SEARCH("HUB",B1005)),
ISNUMBER(SEARCH("DOCK",B1005)),
ISNUMBER(SEARCH("MOUSE PAD",B1005)),
ISNUMBER(SEARCH("MOUSEPAD",B1005)),
ISNUMBER(SEARCH("SOPORTE",B1005)),
ISNUMBER(SEARCH("STAND",B1005)),
ISNUMBER(SEARCH("TRAVEL ADAPTER",B1005)),
ISNUMBER(SEARCH("RJ45",B1005)),
ISNUMBER(SEARCH("USB-C",B1005)),
ISNUMBER(SEARCH("USB WIFI",B1005)),
ISNUMBER(SEARCH("POWERBANK",B1005)),
ISNUMBER(SEARCH("CARGADOR",B1005)),
ISNUMBER(SEARCH("COOLER PARA NB",B1005)),
ISNUMBER(SEARCH("SOPORTE PARA NB",B1005)),
ISNUMBER(SEARCH("WEBCAM",B1005)),
ISNUMBER(SEARCH("WEB CAM",B1005)),
ISNUMBER(SEARCH("MOUSE",B1005)),
ISNUMBER(SEARCH("TECLADO",B1005))
),
"COMPLEMENTO",
IF(
OR(
LEFT(A1005,2)="NB",
LEFT(A1005,2)="PC",
LEFT(A1005,2)="WS",
LEFT(A1005,2)="TB",
LEFT(A1005,3)="CEL",
LEFT(A1005,3)="MON",
LEFT(A1005,3)="PRE",
LEFT(A1005,3)="PRH",
ISNUMBER(SEARCH("NOTEBOOK",B1005)),
ISNUMBER(SEARCH("LAPTOP",B1005)),
ISNUMBER(SEARCH("MONITOR",B1005)),
ISNUMBER(SEARCH("TABLET",B1005)),
ISNUMBER(SEARCH("SMARTPH",B1005)),
ISNUMBER(SEARCH("IMPRESORA",B1005)),
ISNUMBER(SEARCH("MULTIFUNCIONAL",B1005)),
ISNUMBER(SEARCH("AIO",B1005))
),
"GANCHO",
"NORMAL"
)
)</f>
        <v>COMPLEMENTO</v>
      </c>
    </row>
    <row r="1004" spans="1:12" x14ac:dyDescent="0.25">
      <c r="A1004" s="3" t="s">
        <v>6604</v>
      </c>
      <c r="B1004" s="3" t="s">
        <v>6605</v>
      </c>
      <c r="C1004" s="1">
        <v>20</v>
      </c>
      <c r="D1004" s="1">
        <v>2.5</v>
      </c>
      <c r="E1004" s="1" t="s">
        <v>52</v>
      </c>
      <c r="F1004" s="1" t="s">
        <v>6606</v>
      </c>
      <c r="G1004" s="3" t="s">
        <v>6607</v>
      </c>
      <c r="H1004" s="11">
        <f>ROUND(
IF(L1002="GANCHO",
   IF(I1004&lt;=50,I1004*1.1+4,IF(I1004&lt;=120,I1004*1.1+7,IF(I1004&lt;=250,I1004*1.1+11,I1004*1.1+19))),
IF(L1002="NORMAL",
   IF(I1004&lt;=30,I1004*1.15+2,IF(I1004&lt;=80,I1004*1.15+4,IF(I1004&lt;=150,I1004*1.15+6,I1004*1.15+8))),
IF(L1002="COMPLEMENTO",
   IF(I1004&lt;=25,I1004*1.25+1.5,IF(I1004&lt;=60,I1004*1.25+3,IF(I1004&lt;=120,I1004*1.25+4,I1004*1.25+5))),
""))),2)</f>
        <v>14.33</v>
      </c>
      <c r="I1004" s="9">
        <f>($K$2+0.02)*Tabla1[[#This Row],[PRECIO $]]*1.18</f>
        <v>10.265999999999998</v>
      </c>
      <c r="J1004" s="7">
        <f>+Tabla1[[#This Row],[PRECIO EN SOLES]]-Tabla1[[#This Row],[PC]]</f>
        <v>4.0640000000000018</v>
      </c>
      <c r="K1004" s="15"/>
      <c r="L1004" s="15" t="str">
        <f>IF(
OR(
ISNUMBER(SEARCH("BACKPACK",B1006)),
ISNUMBER(SEARCH("MOCHILA",B1006)),
ISNUMBER(SEARCH("FUNDA",B1006)),
ISNUMBER(SEARCH("ESTUCHE",B1006)),
ISNUMBER(SEARCH("BOOK COVER",B1006)),
ISNUMBER(SEARCH("KEYBOARD PARA TABLET",B1006)),
ISNUMBER(SEARCH("FLIP TABLET",B1006)),
ISNUMBER(SEARCH("CASE FOR TABLET",B1006)),
ISNUMBER(SEARCH("CABLE",B1006)),
ISNUMBER(SEARCH("ADAPTADOR",B1006)),
ISNUMBER(SEARCH("HUB",B1006)),
ISNUMBER(SEARCH("DOCK",B1006)),
ISNUMBER(SEARCH("MOUSE PAD",B1006)),
ISNUMBER(SEARCH("MOUSEPAD",B1006)),
ISNUMBER(SEARCH("SOPORTE",B1006)),
ISNUMBER(SEARCH("STAND",B1006)),
ISNUMBER(SEARCH("TRAVEL ADAPTER",B1006)),
ISNUMBER(SEARCH("RJ45",B1006)),
ISNUMBER(SEARCH("USB-C",B1006)),
ISNUMBER(SEARCH("USB WIFI",B1006)),
ISNUMBER(SEARCH("POWERBANK",B1006)),
ISNUMBER(SEARCH("CARGADOR",B1006)),
ISNUMBER(SEARCH("COOLER PARA NB",B1006)),
ISNUMBER(SEARCH("SOPORTE PARA NB",B1006)),
ISNUMBER(SEARCH("WEBCAM",B1006)),
ISNUMBER(SEARCH("WEB CAM",B1006)),
ISNUMBER(SEARCH("MOUSE",B1006)),
ISNUMBER(SEARCH("TECLADO",B1006))
),
"COMPLEMENTO",
IF(
OR(
LEFT(A1006,2)="NB",
LEFT(A1006,2)="PC",
LEFT(A1006,2)="WS",
LEFT(A1006,2)="TB",
LEFT(A1006,3)="CEL",
LEFT(A1006,3)="MON",
LEFT(A1006,3)="PRE",
LEFT(A1006,3)="PRH",
ISNUMBER(SEARCH("NOTEBOOK",B1006)),
ISNUMBER(SEARCH("LAPTOP",B1006)),
ISNUMBER(SEARCH("MONITOR",B1006)),
ISNUMBER(SEARCH("TABLET",B1006)),
ISNUMBER(SEARCH("SMARTPH",B1006)),
ISNUMBER(SEARCH("IMPRESORA",B1006)),
ISNUMBER(SEARCH("MULTIFUNCIONAL",B1006)),
ISNUMBER(SEARCH("AIO",B1006))
),
"GANCHO",
"NORMAL"
)
)</f>
        <v>COMPLEMENTO</v>
      </c>
    </row>
    <row r="1005" spans="1:12" x14ac:dyDescent="0.25">
      <c r="A1005" s="3" t="s">
        <v>343</v>
      </c>
      <c r="B1005" s="3" t="s">
        <v>344</v>
      </c>
      <c r="C1005" s="1">
        <v>20</v>
      </c>
      <c r="D1005" s="1">
        <v>2.5</v>
      </c>
      <c r="E1005" s="1" t="s">
        <v>52</v>
      </c>
      <c r="F1005" s="1" t="s">
        <v>3640</v>
      </c>
      <c r="G1005" s="3" t="s">
        <v>677</v>
      </c>
      <c r="H1005" s="11">
        <f>ROUND(
IF(L1003="GANCHO",
   IF(I1005&lt;=50,I1005*1.1+4,IF(I1005&lt;=120,I1005*1.1+7,IF(I1005&lt;=250,I1005*1.1+11,I1005*1.1+19))),
IF(L1003="NORMAL",
   IF(I1005&lt;=30,I1005*1.15+2,IF(I1005&lt;=80,I1005*1.15+4,IF(I1005&lt;=150,I1005*1.15+6,I1005*1.15+8))),
IF(L1003="COMPLEMENTO",
   IF(I1005&lt;=25,I1005*1.25+1.5,IF(I1005&lt;=60,I1005*1.25+3,IF(I1005&lt;=120,I1005*1.25+4,I1005*1.25+5))),
""))),2)</f>
        <v>14.33</v>
      </c>
      <c r="I1005" s="9">
        <f>($K$2+0.02)*Tabla1[[#This Row],[PRECIO $]]*1.18</f>
        <v>10.265999999999998</v>
      </c>
      <c r="J1005" s="7">
        <f>+Tabla1[[#This Row],[PRECIO EN SOLES]]-Tabla1[[#This Row],[PC]]</f>
        <v>4.0640000000000018</v>
      </c>
      <c r="K1005" s="15"/>
      <c r="L1005" s="15" t="str">
        <f>IF(
OR(
ISNUMBER(SEARCH("BACKPACK",B1007)),
ISNUMBER(SEARCH("MOCHILA",B1007)),
ISNUMBER(SEARCH("FUNDA",B1007)),
ISNUMBER(SEARCH("ESTUCHE",B1007)),
ISNUMBER(SEARCH("BOOK COVER",B1007)),
ISNUMBER(SEARCH("KEYBOARD PARA TABLET",B1007)),
ISNUMBER(SEARCH("FLIP TABLET",B1007)),
ISNUMBER(SEARCH("CASE FOR TABLET",B1007)),
ISNUMBER(SEARCH("CABLE",B1007)),
ISNUMBER(SEARCH("ADAPTADOR",B1007)),
ISNUMBER(SEARCH("HUB",B1007)),
ISNUMBER(SEARCH("DOCK",B1007)),
ISNUMBER(SEARCH("MOUSE PAD",B1007)),
ISNUMBER(SEARCH("MOUSEPAD",B1007)),
ISNUMBER(SEARCH("SOPORTE",B1007)),
ISNUMBER(SEARCH("STAND",B1007)),
ISNUMBER(SEARCH("TRAVEL ADAPTER",B1007)),
ISNUMBER(SEARCH("RJ45",B1007)),
ISNUMBER(SEARCH("USB-C",B1007)),
ISNUMBER(SEARCH("USB WIFI",B1007)),
ISNUMBER(SEARCH("POWERBANK",B1007)),
ISNUMBER(SEARCH("CARGADOR",B1007)),
ISNUMBER(SEARCH("COOLER PARA NB",B1007)),
ISNUMBER(SEARCH("SOPORTE PARA NB",B1007)),
ISNUMBER(SEARCH("WEBCAM",B1007)),
ISNUMBER(SEARCH("WEB CAM",B1007)),
ISNUMBER(SEARCH("MOUSE",B1007)),
ISNUMBER(SEARCH("TECLADO",B1007))
),
"COMPLEMENTO",
IF(
OR(
LEFT(A1007,2)="NB",
LEFT(A1007,2)="PC",
LEFT(A1007,2)="WS",
LEFT(A1007,2)="TB",
LEFT(A1007,3)="CEL",
LEFT(A1007,3)="MON",
LEFT(A1007,3)="PRE",
LEFT(A1007,3)="PRH",
ISNUMBER(SEARCH("NOTEBOOK",B1007)),
ISNUMBER(SEARCH("LAPTOP",B1007)),
ISNUMBER(SEARCH("MONITOR",B1007)),
ISNUMBER(SEARCH("TABLET",B1007)),
ISNUMBER(SEARCH("SMARTPH",B1007)),
ISNUMBER(SEARCH("IMPRESORA",B1007)),
ISNUMBER(SEARCH("MULTIFUNCIONAL",B1007)),
ISNUMBER(SEARCH("AIO",B1007))
),
"GANCHO",
"NORMAL"
)
)</f>
        <v>COMPLEMENTO</v>
      </c>
    </row>
    <row r="1006" spans="1:12" x14ac:dyDescent="0.25">
      <c r="A1006" s="3" t="s">
        <v>345</v>
      </c>
      <c r="B1006" s="3" t="s">
        <v>346</v>
      </c>
      <c r="C1006" s="1">
        <v>20</v>
      </c>
      <c r="D1006" s="1">
        <v>2.5</v>
      </c>
      <c r="E1006" s="1" t="s">
        <v>52</v>
      </c>
      <c r="F1006" s="1" t="s">
        <v>3641</v>
      </c>
      <c r="G1006" s="3" t="s">
        <v>347</v>
      </c>
      <c r="H1006" s="11">
        <f>ROUND(
IF(L1004="GANCHO",
   IF(I1006&lt;=50,I1006*1.1+4,IF(I1006&lt;=120,I1006*1.1+7,IF(I1006&lt;=250,I1006*1.1+11,I1006*1.1+19))),
IF(L1004="NORMAL",
   IF(I1006&lt;=30,I1006*1.15+2,IF(I1006&lt;=80,I1006*1.15+4,IF(I1006&lt;=150,I1006*1.15+6,I1006*1.15+8))),
IF(L1004="COMPLEMENTO",
   IF(I1006&lt;=25,I1006*1.25+1.5,IF(I1006&lt;=60,I1006*1.25+3,IF(I1006&lt;=120,I1006*1.25+4,I1006*1.25+5))),
""))),2)</f>
        <v>14.33</v>
      </c>
      <c r="I1006" s="9">
        <f>($K$2+0.02)*Tabla1[[#This Row],[PRECIO $]]*1.18</f>
        <v>10.265999999999998</v>
      </c>
      <c r="J1006" s="7">
        <f>+Tabla1[[#This Row],[PRECIO EN SOLES]]-Tabla1[[#This Row],[PC]]</f>
        <v>4.0640000000000018</v>
      </c>
      <c r="K1006" s="15"/>
      <c r="L1006" s="15" t="str">
        <f>IF(
OR(
ISNUMBER(SEARCH("BACKPACK",B1008)),
ISNUMBER(SEARCH("MOCHILA",B1008)),
ISNUMBER(SEARCH("FUNDA",B1008)),
ISNUMBER(SEARCH("ESTUCHE",B1008)),
ISNUMBER(SEARCH("BOOK COVER",B1008)),
ISNUMBER(SEARCH("KEYBOARD PARA TABLET",B1008)),
ISNUMBER(SEARCH("FLIP TABLET",B1008)),
ISNUMBER(SEARCH("CASE FOR TABLET",B1008)),
ISNUMBER(SEARCH("CABLE",B1008)),
ISNUMBER(SEARCH("ADAPTADOR",B1008)),
ISNUMBER(SEARCH("HUB",B1008)),
ISNUMBER(SEARCH("DOCK",B1008)),
ISNUMBER(SEARCH("MOUSE PAD",B1008)),
ISNUMBER(SEARCH("MOUSEPAD",B1008)),
ISNUMBER(SEARCH("SOPORTE",B1008)),
ISNUMBER(SEARCH("STAND",B1008)),
ISNUMBER(SEARCH("TRAVEL ADAPTER",B1008)),
ISNUMBER(SEARCH("RJ45",B1008)),
ISNUMBER(SEARCH("USB-C",B1008)),
ISNUMBER(SEARCH("USB WIFI",B1008)),
ISNUMBER(SEARCH("POWERBANK",B1008)),
ISNUMBER(SEARCH("CARGADOR",B1008)),
ISNUMBER(SEARCH("COOLER PARA NB",B1008)),
ISNUMBER(SEARCH("SOPORTE PARA NB",B1008)),
ISNUMBER(SEARCH("WEBCAM",B1008)),
ISNUMBER(SEARCH("WEB CAM",B1008)),
ISNUMBER(SEARCH("MOUSE",B1008)),
ISNUMBER(SEARCH("TECLADO",B1008))
),
"COMPLEMENTO",
IF(
OR(
LEFT(A1008,2)="NB",
LEFT(A1008,2)="PC",
LEFT(A1008,2)="WS",
LEFT(A1008,2)="TB",
LEFT(A1008,3)="CEL",
LEFT(A1008,3)="MON",
LEFT(A1008,3)="PRE",
LEFT(A1008,3)="PRH",
ISNUMBER(SEARCH("NOTEBOOK",B1008)),
ISNUMBER(SEARCH("LAPTOP",B1008)),
ISNUMBER(SEARCH("MONITOR",B1008)),
ISNUMBER(SEARCH("TABLET",B1008)),
ISNUMBER(SEARCH("SMARTPH",B1008)),
ISNUMBER(SEARCH("IMPRESORA",B1008)),
ISNUMBER(SEARCH("MULTIFUNCIONAL",B1008)),
ISNUMBER(SEARCH("AIO",B1008))
),
"GANCHO",
"NORMAL"
)
)</f>
        <v>COMPLEMENTO</v>
      </c>
    </row>
    <row r="1007" spans="1:12" x14ac:dyDescent="0.25">
      <c r="A1007" s="3" t="s">
        <v>1741</v>
      </c>
      <c r="B1007" s="3" t="s">
        <v>1742</v>
      </c>
      <c r="C1007" s="1">
        <v>20</v>
      </c>
      <c r="D1007" s="1">
        <v>12.3</v>
      </c>
      <c r="E1007" s="1" t="s">
        <v>837</v>
      </c>
      <c r="F1007" s="1" t="s">
        <v>3642</v>
      </c>
      <c r="G1007" s="3" t="s">
        <v>1743</v>
      </c>
      <c r="H1007" s="11">
        <f>ROUND(
IF(L1005="GANCHO",
   IF(I1007&lt;=50,I1007*1.1+4,IF(I1007&lt;=120,I1007*1.1+7,IF(I1007&lt;=250,I1007*1.1+11,I1007*1.1+19))),
IF(L1005="NORMAL",
   IF(I1007&lt;=30,I1007*1.15+2,IF(I1007&lt;=80,I1007*1.15+4,IF(I1007&lt;=150,I1007*1.15+6,I1007*1.15+8))),
IF(L1005="COMPLEMENTO",
   IF(I1007&lt;=25,I1007*1.25+1.5,IF(I1007&lt;=60,I1007*1.25+3,IF(I1007&lt;=120,I1007*1.25+4,I1007*1.25+5))),
""))),2)</f>
        <v>66.14</v>
      </c>
      <c r="I1007" s="9">
        <f>($K$2+0.02)*Tabla1[[#This Row],[PRECIO $]]*1.18</f>
        <v>50.508719999999997</v>
      </c>
      <c r="J1007" s="7">
        <f>+Tabla1[[#This Row],[PRECIO EN SOLES]]-Tabla1[[#This Row],[PC]]</f>
        <v>15.631280000000004</v>
      </c>
      <c r="K1007" s="15"/>
      <c r="L1007" s="15" t="str">
        <f>IF(
OR(
ISNUMBER(SEARCH("BACKPACK",B1009)),
ISNUMBER(SEARCH("MOCHILA",B1009)),
ISNUMBER(SEARCH("FUNDA",B1009)),
ISNUMBER(SEARCH("ESTUCHE",B1009)),
ISNUMBER(SEARCH("BOOK COVER",B1009)),
ISNUMBER(SEARCH("KEYBOARD PARA TABLET",B1009)),
ISNUMBER(SEARCH("FLIP TABLET",B1009)),
ISNUMBER(SEARCH("CASE FOR TABLET",B1009)),
ISNUMBER(SEARCH("CABLE",B1009)),
ISNUMBER(SEARCH("ADAPTADOR",B1009)),
ISNUMBER(SEARCH("HUB",B1009)),
ISNUMBER(SEARCH("DOCK",B1009)),
ISNUMBER(SEARCH("MOUSE PAD",B1009)),
ISNUMBER(SEARCH("MOUSEPAD",B1009)),
ISNUMBER(SEARCH("SOPORTE",B1009)),
ISNUMBER(SEARCH("STAND",B1009)),
ISNUMBER(SEARCH("TRAVEL ADAPTER",B1009)),
ISNUMBER(SEARCH("RJ45",B1009)),
ISNUMBER(SEARCH("USB-C",B1009)),
ISNUMBER(SEARCH("USB WIFI",B1009)),
ISNUMBER(SEARCH("POWERBANK",B1009)),
ISNUMBER(SEARCH("CARGADOR",B1009)),
ISNUMBER(SEARCH("COOLER PARA NB",B1009)),
ISNUMBER(SEARCH("SOPORTE PARA NB",B1009)),
ISNUMBER(SEARCH("WEBCAM",B1009)),
ISNUMBER(SEARCH("WEB CAM",B1009)),
ISNUMBER(SEARCH("MOUSE",B1009)),
ISNUMBER(SEARCH("TECLADO",B1009))
),
"COMPLEMENTO",
IF(
OR(
LEFT(A1009,2)="NB",
LEFT(A1009,2)="PC",
LEFT(A1009,2)="WS",
LEFT(A1009,2)="TB",
LEFT(A1009,3)="CEL",
LEFT(A1009,3)="MON",
LEFT(A1009,3)="PRE",
LEFT(A1009,3)="PRH",
ISNUMBER(SEARCH("NOTEBOOK",B1009)),
ISNUMBER(SEARCH("LAPTOP",B1009)),
ISNUMBER(SEARCH("MONITOR",B1009)),
ISNUMBER(SEARCH("TABLET",B1009)),
ISNUMBER(SEARCH("SMARTPH",B1009)),
ISNUMBER(SEARCH("IMPRESORA",B1009)),
ISNUMBER(SEARCH("MULTIFUNCIONAL",B1009)),
ISNUMBER(SEARCH("AIO",B1009))
),
"GANCHO",
"NORMAL"
)
)</f>
        <v>NORMAL</v>
      </c>
    </row>
    <row r="1008" spans="1:12" x14ac:dyDescent="0.25">
      <c r="A1008" s="3" t="s">
        <v>4517</v>
      </c>
      <c r="B1008" s="3" t="s">
        <v>4518</v>
      </c>
      <c r="C1008" s="1">
        <v>20</v>
      </c>
      <c r="D1008" s="1">
        <v>1.3</v>
      </c>
      <c r="E1008" s="1" t="s">
        <v>52</v>
      </c>
      <c r="F1008" s="1" t="s">
        <v>4519</v>
      </c>
      <c r="G1008" s="3" t="s">
        <v>4520</v>
      </c>
      <c r="H1008" s="11">
        <f>ROUND(
IF(L1006="GANCHO",
   IF(I1008&lt;=50,I1008*1.1+4,IF(I1008&lt;=120,I1008*1.1+7,IF(I1008&lt;=250,I1008*1.1+11,I1008*1.1+19))),
IF(L1006="NORMAL",
   IF(I1008&lt;=30,I1008*1.15+2,IF(I1008&lt;=80,I1008*1.15+4,IF(I1008&lt;=150,I1008*1.15+6,I1008*1.15+8))),
IF(L1006="COMPLEMENTO",
   IF(I1008&lt;=25,I1008*1.25+1.5,IF(I1008&lt;=60,I1008*1.25+3,IF(I1008&lt;=120,I1008*1.25+4,I1008*1.25+5))),
""))),2)</f>
        <v>8.17</v>
      </c>
      <c r="I1008" s="9">
        <f>($K$2+0.02)*Tabla1[[#This Row],[PRECIO $]]*1.18</f>
        <v>5.3383199999999995</v>
      </c>
      <c r="J1008" s="7">
        <f>+Tabla1[[#This Row],[PRECIO EN SOLES]]-Tabla1[[#This Row],[PC]]</f>
        <v>2.8316800000000004</v>
      </c>
      <c r="K1008" s="15"/>
      <c r="L1008" s="15" t="str">
        <f>IF(
OR(
ISNUMBER(SEARCH("BACKPACK",B1010)),
ISNUMBER(SEARCH("MOCHILA",B1010)),
ISNUMBER(SEARCH("FUNDA",B1010)),
ISNUMBER(SEARCH("ESTUCHE",B1010)),
ISNUMBER(SEARCH("BOOK COVER",B1010)),
ISNUMBER(SEARCH("KEYBOARD PARA TABLET",B1010)),
ISNUMBER(SEARCH("FLIP TABLET",B1010)),
ISNUMBER(SEARCH("CASE FOR TABLET",B1010)),
ISNUMBER(SEARCH("CABLE",B1010)),
ISNUMBER(SEARCH("ADAPTADOR",B1010)),
ISNUMBER(SEARCH("HUB",B1010)),
ISNUMBER(SEARCH("DOCK",B1010)),
ISNUMBER(SEARCH("MOUSE PAD",B1010)),
ISNUMBER(SEARCH("MOUSEPAD",B1010)),
ISNUMBER(SEARCH("SOPORTE",B1010)),
ISNUMBER(SEARCH("STAND",B1010)),
ISNUMBER(SEARCH("TRAVEL ADAPTER",B1010)),
ISNUMBER(SEARCH("RJ45",B1010)),
ISNUMBER(SEARCH("USB-C",B1010)),
ISNUMBER(SEARCH("USB WIFI",B1010)),
ISNUMBER(SEARCH("POWERBANK",B1010)),
ISNUMBER(SEARCH("CARGADOR",B1010)),
ISNUMBER(SEARCH("COOLER PARA NB",B1010)),
ISNUMBER(SEARCH("SOPORTE PARA NB",B1010)),
ISNUMBER(SEARCH("WEBCAM",B1010)),
ISNUMBER(SEARCH("WEB CAM",B1010)),
ISNUMBER(SEARCH("MOUSE",B1010)),
ISNUMBER(SEARCH("TECLADO",B1010))
),
"COMPLEMENTO",
IF(
OR(
LEFT(A1010,2)="NB",
LEFT(A1010,2)="PC",
LEFT(A1010,2)="WS",
LEFT(A1010,2)="TB",
LEFT(A1010,3)="CEL",
LEFT(A1010,3)="MON",
LEFT(A1010,3)="PRE",
LEFT(A1010,3)="PRH",
ISNUMBER(SEARCH("NOTEBOOK",B1010)),
ISNUMBER(SEARCH("LAPTOP",B1010)),
ISNUMBER(SEARCH("MONITOR",B1010)),
ISNUMBER(SEARCH("TABLET",B1010)),
ISNUMBER(SEARCH("SMARTPH",B1010)),
ISNUMBER(SEARCH("IMPRESORA",B1010)),
ISNUMBER(SEARCH("MULTIFUNCIONAL",B1010)),
ISNUMBER(SEARCH("AIO",B1010))
),
"GANCHO",
"NORMAL"
)
)</f>
        <v>COMPLEMENTO</v>
      </c>
    </row>
    <row r="1009" spans="1:12" x14ac:dyDescent="0.25">
      <c r="A1009" s="3" t="s">
        <v>348</v>
      </c>
      <c r="B1009" s="3" t="s">
        <v>349</v>
      </c>
      <c r="C1009" s="1">
        <v>0</v>
      </c>
      <c r="D1009" s="1">
        <v>1072.6199999999999</v>
      </c>
      <c r="E1009" s="1" t="s">
        <v>249</v>
      </c>
      <c r="F1009" s="1" t="s">
        <v>3643</v>
      </c>
      <c r="G1009" s="3"/>
      <c r="H1009" s="11">
        <f>ROUND(
IF(L1007="GANCHO",
   IF(I1009&lt;=50,I1009*1.1+4,IF(I1009&lt;=120,I1009*1.1+7,IF(I1009&lt;=250,I1009*1.1+11,I1009*1.1+19))),
IF(L1007="NORMAL",
   IF(I1009&lt;=30,I1009*1.15+2,IF(I1009&lt;=80,I1009*1.15+4,IF(I1009&lt;=150,I1009*1.15+6,I1009*1.15+8))),
IF(L1007="COMPLEMENTO",
   IF(I1009&lt;=25,I1009*1.25+1.5,IF(I1009&lt;=60,I1009*1.25+3,IF(I1009&lt;=120,I1009*1.25+4,I1009*1.25+5))),
""))),2)</f>
        <v>5073.3</v>
      </c>
      <c r="I1009" s="9">
        <f>($K$2+0.02)*Tabla1[[#This Row],[PRECIO $]]*1.18</f>
        <v>4404.6067679999987</v>
      </c>
      <c r="J1009" s="7">
        <f>+Tabla1[[#This Row],[PRECIO EN SOLES]]-Tabla1[[#This Row],[PC]]</f>
        <v>668.69323200000144</v>
      </c>
      <c r="K1009" s="15"/>
      <c r="L1009" s="15" t="str">
        <f>IF(
OR(
ISNUMBER(SEARCH("BACKPACK",B1011)),
ISNUMBER(SEARCH("MOCHILA",B1011)),
ISNUMBER(SEARCH("FUNDA",B1011)),
ISNUMBER(SEARCH("ESTUCHE",B1011)),
ISNUMBER(SEARCH("BOOK COVER",B1011)),
ISNUMBER(SEARCH("KEYBOARD PARA TABLET",B1011)),
ISNUMBER(SEARCH("FLIP TABLET",B1011)),
ISNUMBER(SEARCH("CASE FOR TABLET",B1011)),
ISNUMBER(SEARCH("CABLE",B1011)),
ISNUMBER(SEARCH("ADAPTADOR",B1011)),
ISNUMBER(SEARCH("HUB",B1011)),
ISNUMBER(SEARCH("DOCK",B1011)),
ISNUMBER(SEARCH("MOUSE PAD",B1011)),
ISNUMBER(SEARCH("MOUSEPAD",B1011)),
ISNUMBER(SEARCH("SOPORTE",B1011)),
ISNUMBER(SEARCH("STAND",B1011)),
ISNUMBER(SEARCH("TRAVEL ADAPTER",B1011)),
ISNUMBER(SEARCH("RJ45",B1011)),
ISNUMBER(SEARCH("USB-C",B1011)),
ISNUMBER(SEARCH("USB WIFI",B1011)),
ISNUMBER(SEARCH("POWERBANK",B1011)),
ISNUMBER(SEARCH("CARGADOR",B1011)),
ISNUMBER(SEARCH("COOLER PARA NB",B1011)),
ISNUMBER(SEARCH("SOPORTE PARA NB",B1011)),
ISNUMBER(SEARCH("WEBCAM",B1011)),
ISNUMBER(SEARCH("WEB CAM",B1011)),
ISNUMBER(SEARCH("MOUSE",B1011)),
ISNUMBER(SEARCH("TECLADO",B1011))
),
"COMPLEMENTO",
IF(
OR(
LEFT(A1011,2)="NB",
LEFT(A1011,2)="PC",
LEFT(A1011,2)="WS",
LEFT(A1011,2)="TB",
LEFT(A1011,3)="CEL",
LEFT(A1011,3)="MON",
LEFT(A1011,3)="PRE",
LEFT(A1011,3)="PRH",
ISNUMBER(SEARCH("NOTEBOOK",B1011)),
ISNUMBER(SEARCH("LAPTOP",B1011)),
ISNUMBER(SEARCH("MONITOR",B1011)),
ISNUMBER(SEARCH("TABLET",B1011)),
ISNUMBER(SEARCH("SMARTPH",B1011)),
ISNUMBER(SEARCH("IMPRESORA",B1011)),
ISNUMBER(SEARCH("MULTIFUNCIONAL",B1011)),
ISNUMBER(SEARCH("AIO",B1011))
),
"GANCHO",
"NORMAL"
)
)</f>
        <v>NORMAL</v>
      </c>
    </row>
    <row r="1010" spans="1:12" x14ac:dyDescent="0.25">
      <c r="A1010" s="3" t="s">
        <v>744</v>
      </c>
      <c r="B1010" s="3" t="s">
        <v>745</v>
      </c>
      <c r="C1010" s="1">
        <v>0</v>
      </c>
      <c r="D1010" s="1">
        <v>633.1</v>
      </c>
      <c r="E1010" s="1" t="s">
        <v>249</v>
      </c>
      <c r="F1010" s="1" t="s">
        <v>3644</v>
      </c>
      <c r="G1010" s="3"/>
      <c r="H1010" s="11">
        <f>ROUND(
IF(L1008="GANCHO",
   IF(I1010&lt;=50,I1010*1.1+4,IF(I1010&lt;=120,I1010*1.1+7,IF(I1010&lt;=250,I1010*1.1+11,I1010*1.1+19))),
IF(L1008="NORMAL",
   IF(I1010&lt;=30,I1010*1.15+2,IF(I1010&lt;=80,I1010*1.15+4,IF(I1010&lt;=150,I1010*1.15+6,I1010*1.15+8))),
IF(L1008="COMPLEMENTO",
   IF(I1010&lt;=25,I1010*1.25+1.5,IF(I1010&lt;=60,I1010*1.25+3,IF(I1010&lt;=120,I1010*1.25+4,I1010*1.25+5))),
""))),2)</f>
        <v>3254.7</v>
      </c>
      <c r="I1010" s="9">
        <f>($K$2+0.02)*Tabla1[[#This Row],[PRECIO $]]*1.18</f>
        <v>2599.7618400000001</v>
      </c>
      <c r="J1010" s="7">
        <f>+Tabla1[[#This Row],[PRECIO EN SOLES]]-Tabla1[[#This Row],[PC]]</f>
        <v>654.9381599999997</v>
      </c>
      <c r="K1010" s="15"/>
      <c r="L1010" s="15" t="str">
        <f>IF(
OR(
ISNUMBER(SEARCH("BACKPACK",B1012)),
ISNUMBER(SEARCH("MOCHILA",B1012)),
ISNUMBER(SEARCH("FUNDA",B1012)),
ISNUMBER(SEARCH("ESTUCHE",B1012)),
ISNUMBER(SEARCH("BOOK COVER",B1012)),
ISNUMBER(SEARCH("KEYBOARD PARA TABLET",B1012)),
ISNUMBER(SEARCH("FLIP TABLET",B1012)),
ISNUMBER(SEARCH("CASE FOR TABLET",B1012)),
ISNUMBER(SEARCH("CABLE",B1012)),
ISNUMBER(SEARCH("ADAPTADOR",B1012)),
ISNUMBER(SEARCH("HUB",B1012)),
ISNUMBER(SEARCH("DOCK",B1012)),
ISNUMBER(SEARCH("MOUSE PAD",B1012)),
ISNUMBER(SEARCH("MOUSEPAD",B1012)),
ISNUMBER(SEARCH("SOPORTE",B1012)),
ISNUMBER(SEARCH("STAND",B1012)),
ISNUMBER(SEARCH("TRAVEL ADAPTER",B1012)),
ISNUMBER(SEARCH("RJ45",B1012)),
ISNUMBER(SEARCH("USB-C",B1012)),
ISNUMBER(SEARCH("USB WIFI",B1012)),
ISNUMBER(SEARCH("POWERBANK",B1012)),
ISNUMBER(SEARCH("CARGADOR",B1012)),
ISNUMBER(SEARCH("COOLER PARA NB",B1012)),
ISNUMBER(SEARCH("SOPORTE PARA NB",B1012)),
ISNUMBER(SEARCH("WEBCAM",B1012)),
ISNUMBER(SEARCH("WEB CAM",B1012)),
ISNUMBER(SEARCH("MOUSE",B1012)),
ISNUMBER(SEARCH("TECLADO",B1012))
),
"COMPLEMENTO",
IF(
OR(
LEFT(A1012,2)="NB",
LEFT(A1012,2)="PC",
LEFT(A1012,2)="WS",
LEFT(A1012,2)="TB",
LEFT(A1012,3)="CEL",
LEFT(A1012,3)="MON",
LEFT(A1012,3)="PRE",
LEFT(A1012,3)="PRH",
ISNUMBER(SEARCH("NOTEBOOK",B1012)),
ISNUMBER(SEARCH("LAPTOP",B1012)),
ISNUMBER(SEARCH("MONITOR",B1012)),
ISNUMBER(SEARCH("TABLET",B1012)),
ISNUMBER(SEARCH("SMARTPH",B1012)),
ISNUMBER(SEARCH("IMPRESORA",B1012)),
ISNUMBER(SEARCH("MULTIFUNCIONAL",B1012)),
ISNUMBER(SEARCH("AIO",B1012))
),
"GANCHO",
"NORMAL"
)
)</f>
        <v>NORMAL</v>
      </c>
    </row>
    <row r="1011" spans="1:12" x14ac:dyDescent="0.25">
      <c r="A1011" s="3" t="s">
        <v>746</v>
      </c>
      <c r="B1011" s="3" t="s">
        <v>747</v>
      </c>
      <c r="C1011" s="1">
        <v>0</v>
      </c>
      <c r="D1011" s="1">
        <v>650</v>
      </c>
      <c r="E1011" s="1" t="s">
        <v>249</v>
      </c>
      <c r="F1011" s="1" t="s">
        <v>3645</v>
      </c>
      <c r="G1011" s="3"/>
      <c r="H1011" s="11">
        <f>ROUND(
IF(L1009="GANCHO",
   IF(I1011&lt;=50,I1011*1.1+4,IF(I1011&lt;=120,I1011*1.1+7,IF(I1011&lt;=250,I1011*1.1+11,I1011*1.1+19))),
IF(L1009="NORMAL",
   IF(I1011&lt;=30,I1011*1.15+2,IF(I1011&lt;=80,I1011*1.15+4,IF(I1011&lt;=150,I1011*1.15+6,I1011*1.15+8))),
IF(L1009="COMPLEMENTO",
   IF(I1011&lt;=25,I1011*1.25+1.5,IF(I1011&lt;=60,I1011*1.25+3,IF(I1011&lt;=120,I1011*1.25+4,I1011*1.25+5))),
""))),2)</f>
        <v>3077.53</v>
      </c>
      <c r="I1011" s="9">
        <f>($K$2+0.02)*Tabla1[[#This Row],[PRECIO $]]*1.18</f>
        <v>2669.16</v>
      </c>
      <c r="J1011" s="7">
        <f>+Tabla1[[#This Row],[PRECIO EN SOLES]]-Tabla1[[#This Row],[PC]]</f>
        <v>408.37000000000035</v>
      </c>
      <c r="K1011" s="15"/>
      <c r="L1011" s="15" t="str">
        <f>IF(
OR(
ISNUMBER(SEARCH("BACKPACK",B1013)),
ISNUMBER(SEARCH("MOCHILA",B1013)),
ISNUMBER(SEARCH("FUNDA",B1013)),
ISNUMBER(SEARCH("ESTUCHE",B1013)),
ISNUMBER(SEARCH("BOOK COVER",B1013)),
ISNUMBER(SEARCH("KEYBOARD PARA TABLET",B1013)),
ISNUMBER(SEARCH("FLIP TABLET",B1013)),
ISNUMBER(SEARCH("CASE FOR TABLET",B1013)),
ISNUMBER(SEARCH("CABLE",B1013)),
ISNUMBER(SEARCH("ADAPTADOR",B1013)),
ISNUMBER(SEARCH("HUB",B1013)),
ISNUMBER(SEARCH("DOCK",B1013)),
ISNUMBER(SEARCH("MOUSE PAD",B1013)),
ISNUMBER(SEARCH("MOUSEPAD",B1013)),
ISNUMBER(SEARCH("SOPORTE",B1013)),
ISNUMBER(SEARCH("STAND",B1013)),
ISNUMBER(SEARCH("TRAVEL ADAPTER",B1013)),
ISNUMBER(SEARCH("RJ45",B1013)),
ISNUMBER(SEARCH("USB-C",B1013)),
ISNUMBER(SEARCH("USB WIFI",B1013)),
ISNUMBER(SEARCH("POWERBANK",B1013)),
ISNUMBER(SEARCH("CARGADOR",B1013)),
ISNUMBER(SEARCH("COOLER PARA NB",B1013)),
ISNUMBER(SEARCH("SOPORTE PARA NB",B1013)),
ISNUMBER(SEARCH("WEBCAM",B1013)),
ISNUMBER(SEARCH("WEB CAM",B1013)),
ISNUMBER(SEARCH("MOUSE",B1013)),
ISNUMBER(SEARCH("TECLADO",B1013))
),
"COMPLEMENTO",
IF(
OR(
LEFT(A1013,2)="NB",
LEFT(A1013,2)="PC",
LEFT(A1013,2)="WS",
LEFT(A1013,2)="TB",
LEFT(A1013,3)="CEL",
LEFT(A1013,3)="MON",
LEFT(A1013,3)="PRE",
LEFT(A1013,3)="PRH",
ISNUMBER(SEARCH("NOTEBOOK",B1013)),
ISNUMBER(SEARCH("LAPTOP",B1013)),
ISNUMBER(SEARCH("MONITOR",B1013)),
ISNUMBER(SEARCH("TABLET",B1013)),
ISNUMBER(SEARCH("SMARTPH",B1013)),
ISNUMBER(SEARCH("IMPRESORA",B1013)),
ISNUMBER(SEARCH("MULTIFUNCIONAL",B1013)),
ISNUMBER(SEARCH("AIO",B1013))
),
"GANCHO",
"NORMAL"
)
)</f>
        <v>NORMAL</v>
      </c>
    </row>
    <row r="1012" spans="1:12" x14ac:dyDescent="0.25">
      <c r="A1012" s="3" t="s">
        <v>748</v>
      </c>
      <c r="B1012" s="3" t="s">
        <v>749</v>
      </c>
      <c r="C1012" s="1">
        <v>0</v>
      </c>
      <c r="D1012" s="1">
        <v>316</v>
      </c>
      <c r="E1012" s="1" t="s">
        <v>249</v>
      </c>
      <c r="F1012" s="1" t="s">
        <v>3646</v>
      </c>
      <c r="G1012" s="3"/>
      <c r="H1012" s="11">
        <f>ROUND(
IF(L1010="GANCHO",
   IF(I1012&lt;=50,I1012*1.1+4,IF(I1012&lt;=120,I1012*1.1+7,IF(I1012&lt;=250,I1012*1.1+11,I1012*1.1+19))),
IF(L1010="NORMAL",
   IF(I1012&lt;=30,I1012*1.15+2,IF(I1012&lt;=80,I1012*1.15+4,IF(I1012&lt;=150,I1012*1.15+6,I1012*1.15+8))),
IF(L1010="COMPLEMENTO",
   IF(I1012&lt;=25,I1012*1.25+1.5,IF(I1012&lt;=60,I1012*1.25+3,IF(I1012&lt;=120,I1012*1.25+4,I1012*1.25+5))),
""))),2)</f>
        <v>1500.27</v>
      </c>
      <c r="I1012" s="9">
        <f>($K$2+0.02)*Tabla1[[#This Row],[PRECIO $]]*1.18</f>
        <v>1297.6224</v>
      </c>
      <c r="J1012" s="7">
        <f>+Tabla1[[#This Row],[PRECIO EN SOLES]]-Tabla1[[#This Row],[PC]]</f>
        <v>202.64760000000001</v>
      </c>
      <c r="K1012" s="15"/>
      <c r="L1012" s="15" t="str">
        <f>IF(
OR(
ISNUMBER(SEARCH("BACKPACK",B1014)),
ISNUMBER(SEARCH("MOCHILA",B1014)),
ISNUMBER(SEARCH("FUNDA",B1014)),
ISNUMBER(SEARCH("ESTUCHE",B1014)),
ISNUMBER(SEARCH("BOOK COVER",B1014)),
ISNUMBER(SEARCH("KEYBOARD PARA TABLET",B1014)),
ISNUMBER(SEARCH("FLIP TABLET",B1014)),
ISNUMBER(SEARCH("CASE FOR TABLET",B1014)),
ISNUMBER(SEARCH("CABLE",B1014)),
ISNUMBER(SEARCH("ADAPTADOR",B1014)),
ISNUMBER(SEARCH("HUB",B1014)),
ISNUMBER(SEARCH("DOCK",B1014)),
ISNUMBER(SEARCH("MOUSE PAD",B1014)),
ISNUMBER(SEARCH("MOUSEPAD",B1014)),
ISNUMBER(SEARCH("SOPORTE",B1014)),
ISNUMBER(SEARCH("STAND",B1014)),
ISNUMBER(SEARCH("TRAVEL ADAPTER",B1014)),
ISNUMBER(SEARCH("RJ45",B1014)),
ISNUMBER(SEARCH("USB-C",B1014)),
ISNUMBER(SEARCH("USB WIFI",B1014)),
ISNUMBER(SEARCH("POWERBANK",B1014)),
ISNUMBER(SEARCH("CARGADOR",B1014)),
ISNUMBER(SEARCH("COOLER PARA NB",B1014)),
ISNUMBER(SEARCH("SOPORTE PARA NB",B1014)),
ISNUMBER(SEARCH("WEBCAM",B1014)),
ISNUMBER(SEARCH("WEB CAM",B1014)),
ISNUMBER(SEARCH("MOUSE",B1014)),
ISNUMBER(SEARCH("TECLADO",B1014))
),
"COMPLEMENTO",
IF(
OR(
LEFT(A1014,2)="NB",
LEFT(A1014,2)="PC",
LEFT(A1014,2)="WS",
LEFT(A1014,2)="TB",
LEFT(A1014,3)="CEL",
LEFT(A1014,3)="MON",
LEFT(A1014,3)="PRE",
LEFT(A1014,3)="PRH",
ISNUMBER(SEARCH("NOTEBOOK",B1014)),
ISNUMBER(SEARCH("LAPTOP",B1014)),
ISNUMBER(SEARCH("MONITOR",B1014)),
ISNUMBER(SEARCH("TABLET",B1014)),
ISNUMBER(SEARCH("SMARTPH",B1014)),
ISNUMBER(SEARCH("IMPRESORA",B1014)),
ISNUMBER(SEARCH("MULTIFUNCIONAL",B1014)),
ISNUMBER(SEARCH("AIO",B1014))
),
"GANCHO",
"NORMAL"
)
)</f>
        <v>NORMAL</v>
      </c>
    </row>
    <row r="1013" spans="1:12" x14ac:dyDescent="0.25">
      <c r="A1013" s="3" t="s">
        <v>350</v>
      </c>
      <c r="B1013" s="3" t="s">
        <v>351</v>
      </c>
      <c r="C1013" s="1">
        <v>0</v>
      </c>
      <c r="D1013" s="1">
        <v>194.66</v>
      </c>
      <c r="E1013" s="1" t="s">
        <v>249</v>
      </c>
      <c r="F1013" s="1" t="s">
        <v>3647</v>
      </c>
      <c r="G1013" s="3"/>
      <c r="H1013" s="11">
        <f>ROUND(
IF(L1011="GANCHO",
   IF(I1013&lt;=50,I1013*1.1+4,IF(I1013&lt;=120,I1013*1.1+7,IF(I1013&lt;=250,I1013*1.1+11,I1013*1.1+19))),
IF(L1011="NORMAL",
   IF(I1013&lt;=30,I1013*1.15+2,IF(I1013&lt;=80,I1013*1.15+4,IF(I1013&lt;=150,I1013*1.15+6,I1013*1.15+8))),
IF(L1011="COMPLEMENTO",
   IF(I1013&lt;=25,I1013*1.25+1.5,IF(I1013&lt;=60,I1013*1.25+3,IF(I1013&lt;=120,I1013*1.25+4,I1013*1.25+5))),
""))),2)</f>
        <v>927.25</v>
      </c>
      <c r="I1013" s="9">
        <f>($K$2+0.02)*Tabla1[[#This Row],[PRECIO $]]*1.18</f>
        <v>799.35182399999997</v>
      </c>
      <c r="J1013" s="7">
        <f>+Tabla1[[#This Row],[PRECIO EN SOLES]]-Tabla1[[#This Row],[PC]]</f>
        <v>127.89817600000003</v>
      </c>
      <c r="K1013" s="15"/>
      <c r="L1013" s="15" t="str">
        <f>IF(
OR(
ISNUMBER(SEARCH("BACKPACK",B1015)),
ISNUMBER(SEARCH("MOCHILA",B1015)),
ISNUMBER(SEARCH("FUNDA",B1015)),
ISNUMBER(SEARCH("ESTUCHE",B1015)),
ISNUMBER(SEARCH("BOOK COVER",B1015)),
ISNUMBER(SEARCH("KEYBOARD PARA TABLET",B1015)),
ISNUMBER(SEARCH("FLIP TABLET",B1015)),
ISNUMBER(SEARCH("CASE FOR TABLET",B1015)),
ISNUMBER(SEARCH("CABLE",B1015)),
ISNUMBER(SEARCH("ADAPTADOR",B1015)),
ISNUMBER(SEARCH("HUB",B1015)),
ISNUMBER(SEARCH("DOCK",B1015)),
ISNUMBER(SEARCH("MOUSE PAD",B1015)),
ISNUMBER(SEARCH("MOUSEPAD",B1015)),
ISNUMBER(SEARCH("SOPORTE",B1015)),
ISNUMBER(SEARCH("STAND",B1015)),
ISNUMBER(SEARCH("TRAVEL ADAPTER",B1015)),
ISNUMBER(SEARCH("RJ45",B1015)),
ISNUMBER(SEARCH("USB-C",B1015)),
ISNUMBER(SEARCH("USB WIFI",B1015)),
ISNUMBER(SEARCH("POWERBANK",B1015)),
ISNUMBER(SEARCH("CARGADOR",B1015)),
ISNUMBER(SEARCH("COOLER PARA NB",B1015)),
ISNUMBER(SEARCH("SOPORTE PARA NB",B1015)),
ISNUMBER(SEARCH("WEBCAM",B1015)),
ISNUMBER(SEARCH("WEB CAM",B1015)),
ISNUMBER(SEARCH("MOUSE",B1015)),
ISNUMBER(SEARCH("TECLADO",B1015))
),
"COMPLEMENTO",
IF(
OR(
LEFT(A1015,2)="NB",
LEFT(A1015,2)="PC",
LEFT(A1015,2)="WS",
LEFT(A1015,2)="TB",
LEFT(A1015,3)="CEL",
LEFT(A1015,3)="MON",
LEFT(A1015,3)="PRE",
LEFT(A1015,3)="PRH",
ISNUMBER(SEARCH("NOTEBOOK",B1015)),
ISNUMBER(SEARCH("LAPTOP",B1015)),
ISNUMBER(SEARCH("MONITOR",B1015)),
ISNUMBER(SEARCH("TABLET",B1015)),
ISNUMBER(SEARCH("SMARTPH",B1015)),
ISNUMBER(SEARCH("IMPRESORA",B1015)),
ISNUMBER(SEARCH("MULTIFUNCIONAL",B1015)),
ISNUMBER(SEARCH("AIO",B1015))
),
"GANCHO",
"NORMAL"
)
)</f>
        <v>NORMAL</v>
      </c>
    </row>
    <row r="1014" spans="1:12" x14ac:dyDescent="0.25">
      <c r="A1014" s="3" t="s">
        <v>5677</v>
      </c>
      <c r="B1014" s="3" t="s">
        <v>351</v>
      </c>
      <c r="C1014" s="1">
        <v>0</v>
      </c>
      <c r="D1014" s="1">
        <v>182.99</v>
      </c>
      <c r="E1014" s="1" t="s">
        <v>249</v>
      </c>
      <c r="F1014" s="1" t="s">
        <v>5678</v>
      </c>
      <c r="G1014" s="3"/>
      <c r="H1014" s="11">
        <f>ROUND(
IF(L1012="GANCHO",
   IF(I1014&lt;=50,I1014*1.1+4,IF(I1014&lt;=120,I1014*1.1+7,IF(I1014&lt;=250,I1014*1.1+11,I1014*1.1+19))),
IF(L1012="NORMAL",
   IF(I1014&lt;=30,I1014*1.15+2,IF(I1014&lt;=80,I1014*1.15+4,IF(I1014&lt;=150,I1014*1.15+6,I1014*1.15+8))),
IF(L1012="COMPLEMENTO",
   IF(I1014&lt;=25,I1014*1.25+1.5,IF(I1014&lt;=60,I1014*1.25+3,IF(I1014&lt;=120,I1014*1.25+4,I1014*1.25+5))),
""))),2)</f>
        <v>872.14</v>
      </c>
      <c r="I1014" s="9">
        <f>($K$2+0.02)*Tabla1[[#This Row],[PRECIO $]]*1.18</f>
        <v>751.43013599999995</v>
      </c>
      <c r="J1014" s="7">
        <f>+Tabla1[[#This Row],[PRECIO EN SOLES]]-Tabla1[[#This Row],[PC]]</f>
        <v>120.70986400000004</v>
      </c>
      <c r="K1014" s="15"/>
      <c r="L1014" s="15" t="str">
        <f>IF(
OR(
ISNUMBER(SEARCH("BACKPACK",B1016)),
ISNUMBER(SEARCH("MOCHILA",B1016)),
ISNUMBER(SEARCH("FUNDA",B1016)),
ISNUMBER(SEARCH("ESTUCHE",B1016)),
ISNUMBER(SEARCH("BOOK COVER",B1016)),
ISNUMBER(SEARCH("KEYBOARD PARA TABLET",B1016)),
ISNUMBER(SEARCH("FLIP TABLET",B1016)),
ISNUMBER(SEARCH("CASE FOR TABLET",B1016)),
ISNUMBER(SEARCH("CABLE",B1016)),
ISNUMBER(SEARCH("ADAPTADOR",B1016)),
ISNUMBER(SEARCH("HUB",B1016)),
ISNUMBER(SEARCH("DOCK",B1016)),
ISNUMBER(SEARCH("MOUSE PAD",B1016)),
ISNUMBER(SEARCH("MOUSEPAD",B1016)),
ISNUMBER(SEARCH("SOPORTE",B1016)),
ISNUMBER(SEARCH("STAND",B1016)),
ISNUMBER(SEARCH("TRAVEL ADAPTER",B1016)),
ISNUMBER(SEARCH("RJ45",B1016)),
ISNUMBER(SEARCH("USB-C",B1016)),
ISNUMBER(SEARCH("USB WIFI",B1016)),
ISNUMBER(SEARCH("POWERBANK",B1016)),
ISNUMBER(SEARCH("CARGADOR",B1016)),
ISNUMBER(SEARCH("COOLER PARA NB",B1016)),
ISNUMBER(SEARCH("SOPORTE PARA NB",B1016)),
ISNUMBER(SEARCH("WEBCAM",B1016)),
ISNUMBER(SEARCH("WEB CAM",B1016)),
ISNUMBER(SEARCH("MOUSE",B1016)),
ISNUMBER(SEARCH("TECLADO",B1016))
),
"COMPLEMENTO",
IF(
OR(
LEFT(A1016,2)="NB",
LEFT(A1016,2)="PC",
LEFT(A1016,2)="WS",
LEFT(A1016,2)="TB",
LEFT(A1016,3)="CEL",
LEFT(A1016,3)="MON",
LEFT(A1016,3)="PRE",
LEFT(A1016,3)="PRH",
ISNUMBER(SEARCH("NOTEBOOK",B1016)),
ISNUMBER(SEARCH("LAPTOP",B1016)),
ISNUMBER(SEARCH("MONITOR",B1016)),
ISNUMBER(SEARCH("TABLET",B1016)),
ISNUMBER(SEARCH("SMARTPH",B1016)),
ISNUMBER(SEARCH("IMPRESORA",B1016)),
ISNUMBER(SEARCH("MULTIFUNCIONAL",B1016)),
ISNUMBER(SEARCH("AIO",B1016))
),
"GANCHO",
"NORMAL"
)
)</f>
        <v>NORMAL</v>
      </c>
    </row>
    <row r="1015" spans="1:12" x14ac:dyDescent="0.25">
      <c r="A1015" s="3" t="s">
        <v>750</v>
      </c>
      <c r="B1015" s="3" t="s">
        <v>751</v>
      </c>
      <c r="C1015" s="1">
        <v>0</v>
      </c>
      <c r="D1015" s="1">
        <v>107.1</v>
      </c>
      <c r="E1015" s="1" t="s">
        <v>249</v>
      </c>
      <c r="F1015" s="1" t="s">
        <v>3648</v>
      </c>
      <c r="G1015" s="3"/>
      <c r="H1015" s="11">
        <f>ROUND(
IF(L1013="GANCHO",
   IF(I1015&lt;=50,I1015*1.1+4,IF(I1015&lt;=120,I1015*1.1+7,IF(I1015&lt;=250,I1015*1.1+11,I1015*1.1+19))),
IF(L1013="NORMAL",
   IF(I1015&lt;=30,I1015*1.15+2,IF(I1015&lt;=80,I1015*1.15+4,IF(I1015&lt;=150,I1015*1.15+6,I1015*1.15+8))),
IF(L1013="COMPLEMENTO",
   IF(I1015&lt;=25,I1015*1.25+1.5,IF(I1015&lt;=60,I1015*1.25+3,IF(I1015&lt;=120,I1015*1.25+4,I1015*1.25+5))),
""))),2)</f>
        <v>513.76</v>
      </c>
      <c r="I1015" s="9">
        <f>($K$2+0.02)*Tabla1[[#This Row],[PRECIO $]]*1.18</f>
        <v>439.79543999999993</v>
      </c>
      <c r="J1015" s="7">
        <f>+Tabla1[[#This Row],[PRECIO EN SOLES]]-Tabla1[[#This Row],[PC]]</f>
        <v>73.964560000000063</v>
      </c>
      <c r="K1015" s="15"/>
      <c r="L1015" s="15" t="str">
        <f>IF(
OR(
ISNUMBER(SEARCH("BACKPACK",B1017)),
ISNUMBER(SEARCH("MOCHILA",B1017)),
ISNUMBER(SEARCH("FUNDA",B1017)),
ISNUMBER(SEARCH("ESTUCHE",B1017)),
ISNUMBER(SEARCH("BOOK COVER",B1017)),
ISNUMBER(SEARCH("KEYBOARD PARA TABLET",B1017)),
ISNUMBER(SEARCH("FLIP TABLET",B1017)),
ISNUMBER(SEARCH("CASE FOR TABLET",B1017)),
ISNUMBER(SEARCH("CABLE",B1017)),
ISNUMBER(SEARCH("ADAPTADOR",B1017)),
ISNUMBER(SEARCH("HUB",B1017)),
ISNUMBER(SEARCH("DOCK",B1017)),
ISNUMBER(SEARCH("MOUSE PAD",B1017)),
ISNUMBER(SEARCH("MOUSEPAD",B1017)),
ISNUMBER(SEARCH("SOPORTE",B1017)),
ISNUMBER(SEARCH("STAND",B1017)),
ISNUMBER(SEARCH("TRAVEL ADAPTER",B1017)),
ISNUMBER(SEARCH("RJ45",B1017)),
ISNUMBER(SEARCH("USB-C",B1017)),
ISNUMBER(SEARCH("USB WIFI",B1017)),
ISNUMBER(SEARCH("POWERBANK",B1017)),
ISNUMBER(SEARCH("CARGADOR",B1017)),
ISNUMBER(SEARCH("COOLER PARA NB",B1017)),
ISNUMBER(SEARCH("SOPORTE PARA NB",B1017)),
ISNUMBER(SEARCH("WEBCAM",B1017)),
ISNUMBER(SEARCH("WEB CAM",B1017)),
ISNUMBER(SEARCH("MOUSE",B1017)),
ISNUMBER(SEARCH("TECLADO",B1017))
),
"COMPLEMENTO",
IF(
OR(
LEFT(A1017,2)="NB",
LEFT(A1017,2)="PC",
LEFT(A1017,2)="WS",
LEFT(A1017,2)="TB",
LEFT(A1017,3)="CEL",
LEFT(A1017,3)="MON",
LEFT(A1017,3)="PRE",
LEFT(A1017,3)="PRH",
ISNUMBER(SEARCH("NOTEBOOK",B1017)),
ISNUMBER(SEARCH("LAPTOP",B1017)),
ISNUMBER(SEARCH("MONITOR",B1017)),
ISNUMBER(SEARCH("TABLET",B1017)),
ISNUMBER(SEARCH("SMARTPH",B1017)),
ISNUMBER(SEARCH("IMPRESORA",B1017)),
ISNUMBER(SEARCH("MULTIFUNCIONAL",B1017)),
ISNUMBER(SEARCH("AIO",B1017))
),
"GANCHO",
"NORMAL"
)
)</f>
        <v>NORMAL</v>
      </c>
    </row>
    <row r="1016" spans="1:12" x14ac:dyDescent="0.25">
      <c r="A1016" s="3" t="s">
        <v>752</v>
      </c>
      <c r="B1016" s="3" t="s">
        <v>753</v>
      </c>
      <c r="C1016" s="1">
        <v>0</v>
      </c>
      <c r="D1016" s="1">
        <v>70.099999999999994</v>
      </c>
      <c r="E1016" s="1" t="s">
        <v>249</v>
      </c>
      <c r="F1016" s="1" t="s">
        <v>3649</v>
      </c>
      <c r="G1016" s="3" t="s">
        <v>754</v>
      </c>
      <c r="H1016" s="11">
        <f>ROUND(
IF(L1014="GANCHO",
   IF(I1016&lt;=50,I1016*1.1+4,IF(I1016&lt;=120,I1016*1.1+7,IF(I1016&lt;=250,I1016*1.1+11,I1016*1.1+19))),
IF(L1014="NORMAL",
   IF(I1016&lt;=30,I1016*1.15+2,IF(I1016&lt;=80,I1016*1.15+4,IF(I1016&lt;=150,I1016*1.15+6,I1016*1.15+8))),
IF(L1014="COMPLEMENTO",
   IF(I1016&lt;=25,I1016*1.25+1.5,IF(I1016&lt;=60,I1016*1.25+3,IF(I1016&lt;=120,I1016*1.25+4,I1016*1.25+5))),
""))),2)</f>
        <v>339.04</v>
      </c>
      <c r="I1016" s="9">
        <f>($K$2+0.02)*Tabla1[[#This Row],[PRECIO $]]*1.18</f>
        <v>287.85863999999998</v>
      </c>
      <c r="J1016" s="7">
        <f>+Tabla1[[#This Row],[PRECIO EN SOLES]]-Tabla1[[#This Row],[PC]]</f>
        <v>51.181360000000041</v>
      </c>
      <c r="K1016" s="15"/>
      <c r="L1016" s="15" t="str">
        <f>IF(
OR(
ISNUMBER(SEARCH("BACKPACK",B1018)),
ISNUMBER(SEARCH("MOCHILA",B1018)),
ISNUMBER(SEARCH("FUNDA",B1018)),
ISNUMBER(SEARCH("ESTUCHE",B1018)),
ISNUMBER(SEARCH("BOOK COVER",B1018)),
ISNUMBER(SEARCH("KEYBOARD PARA TABLET",B1018)),
ISNUMBER(SEARCH("FLIP TABLET",B1018)),
ISNUMBER(SEARCH("CASE FOR TABLET",B1018)),
ISNUMBER(SEARCH("CABLE",B1018)),
ISNUMBER(SEARCH("ADAPTADOR",B1018)),
ISNUMBER(SEARCH("HUB",B1018)),
ISNUMBER(SEARCH("DOCK",B1018)),
ISNUMBER(SEARCH("MOUSE PAD",B1018)),
ISNUMBER(SEARCH("MOUSEPAD",B1018)),
ISNUMBER(SEARCH("SOPORTE",B1018)),
ISNUMBER(SEARCH("STAND",B1018)),
ISNUMBER(SEARCH("TRAVEL ADAPTER",B1018)),
ISNUMBER(SEARCH("RJ45",B1018)),
ISNUMBER(SEARCH("USB-C",B1018)),
ISNUMBER(SEARCH("USB WIFI",B1018)),
ISNUMBER(SEARCH("POWERBANK",B1018)),
ISNUMBER(SEARCH("CARGADOR",B1018)),
ISNUMBER(SEARCH("COOLER PARA NB",B1018)),
ISNUMBER(SEARCH("SOPORTE PARA NB",B1018)),
ISNUMBER(SEARCH("WEBCAM",B1018)),
ISNUMBER(SEARCH("WEB CAM",B1018)),
ISNUMBER(SEARCH("MOUSE",B1018)),
ISNUMBER(SEARCH("TECLADO",B1018))
),
"COMPLEMENTO",
IF(
OR(
LEFT(A1018,2)="NB",
LEFT(A1018,2)="PC",
LEFT(A1018,2)="WS",
LEFT(A1018,2)="TB",
LEFT(A1018,3)="CEL",
LEFT(A1018,3)="MON",
LEFT(A1018,3)="PRE",
LEFT(A1018,3)="PRH",
ISNUMBER(SEARCH("NOTEBOOK",B1018)),
ISNUMBER(SEARCH("LAPTOP",B1018)),
ISNUMBER(SEARCH("MONITOR",B1018)),
ISNUMBER(SEARCH("TABLET",B1018)),
ISNUMBER(SEARCH("SMARTPH",B1018)),
ISNUMBER(SEARCH("IMPRESORA",B1018)),
ISNUMBER(SEARCH("MULTIFUNCIONAL",B1018)),
ISNUMBER(SEARCH("AIO",B1018))
),
"GANCHO",
"NORMAL"
)
)</f>
        <v>NORMAL</v>
      </c>
    </row>
    <row r="1017" spans="1:12" x14ac:dyDescent="0.25">
      <c r="A1017" s="3" t="s">
        <v>5679</v>
      </c>
      <c r="B1017" s="3" t="s">
        <v>753</v>
      </c>
      <c r="C1017" s="1">
        <v>5</v>
      </c>
      <c r="D1017" s="1">
        <v>71.2</v>
      </c>
      <c r="E1017" s="1" t="s">
        <v>249</v>
      </c>
      <c r="F1017" s="1" t="s">
        <v>5680</v>
      </c>
      <c r="G1017" s="3"/>
      <c r="H1017" s="11">
        <f>ROUND(
IF(L1015="GANCHO",
   IF(I1017&lt;=50,I1017*1.1+4,IF(I1017&lt;=120,I1017*1.1+7,IF(I1017&lt;=250,I1017*1.1+11,I1017*1.1+19))),
IF(L1015="NORMAL",
   IF(I1017&lt;=30,I1017*1.15+2,IF(I1017&lt;=80,I1017*1.15+4,IF(I1017&lt;=150,I1017*1.15+6,I1017*1.15+8))),
IF(L1015="COMPLEMENTO",
   IF(I1017&lt;=25,I1017*1.25+1.5,IF(I1017&lt;=60,I1017*1.25+3,IF(I1017&lt;=120,I1017*1.25+4,I1017*1.25+5))),
""))),2)</f>
        <v>344.23</v>
      </c>
      <c r="I1017" s="9">
        <f>($K$2+0.02)*Tabla1[[#This Row],[PRECIO $]]*1.18</f>
        <v>292.37567999999999</v>
      </c>
      <c r="J1017" s="7">
        <f>+Tabla1[[#This Row],[PRECIO EN SOLES]]-Tabla1[[#This Row],[PC]]</f>
        <v>51.85432000000003</v>
      </c>
      <c r="K1017" s="15"/>
      <c r="L1017" s="15" t="str">
        <f>IF(
OR(
ISNUMBER(SEARCH("BACKPACK",B1019)),
ISNUMBER(SEARCH("MOCHILA",B1019)),
ISNUMBER(SEARCH("FUNDA",B1019)),
ISNUMBER(SEARCH("ESTUCHE",B1019)),
ISNUMBER(SEARCH("BOOK COVER",B1019)),
ISNUMBER(SEARCH("KEYBOARD PARA TABLET",B1019)),
ISNUMBER(SEARCH("FLIP TABLET",B1019)),
ISNUMBER(SEARCH("CASE FOR TABLET",B1019)),
ISNUMBER(SEARCH("CABLE",B1019)),
ISNUMBER(SEARCH("ADAPTADOR",B1019)),
ISNUMBER(SEARCH("HUB",B1019)),
ISNUMBER(SEARCH("DOCK",B1019)),
ISNUMBER(SEARCH("MOUSE PAD",B1019)),
ISNUMBER(SEARCH("MOUSEPAD",B1019)),
ISNUMBER(SEARCH("SOPORTE",B1019)),
ISNUMBER(SEARCH("STAND",B1019)),
ISNUMBER(SEARCH("TRAVEL ADAPTER",B1019)),
ISNUMBER(SEARCH("RJ45",B1019)),
ISNUMBER(SEARCH("USB-C",B1019)),
ISNUMBER(SEARCH("USB WIFI",B1019)),
ISNUMBER(SEARCH("POWERBANK",B1019)),
ISNUMBER(SEARCH("CARGADOR",B1019)),
ISNUMBER(SEARCH("COOLER PARA NB",B1019)),
ISNUMBER(SEARCH("SOPORTE PARA NB",B1019)),
ISNUMBER(SEARCH("WEBCAM",B1019)),
ISNUMBER(SEARCH("WEB CAM",B1019)),
ISNUMBER(SEARCH("MOUSE",B1019)),
ISNUMBER(SEARCH("TECLADO",B1019))
),
"COMPLEMENTO",
IF(
OR(
LEFT(A1019,2)="NB",
LEFT(A1019,2)="PC",
LEFT(A1019,2)="WS",
LEFT(A1019,2)="TB",
LEFT(A1019,3)="CEL",
LEFT(A1019,3)="MON",
LEFT(A1019,3)="PRE",
LEFT(A1019,3)="PRH",
ISNUMBER(SEARCH("NOTEBOOK",B1019)),
ISNUMBER(SEARCH("LAPTOP",B1019)),
ISNUMBER(SEARCH("MONITOR",B1019)),
ISNUMBER(SEARCH("TABLET",B1019)),
ISNUMBER(SEARCH("SMARTPH",B1019)),
ISNUMBER(SEARCH("IMPRESORA",B1019)),
ISNUMBER(SEARCH("MULTIFUNCIONAL",B1019)),
ISNUMBER(SEARCH("AIO",B1019))
),
"GANCHO",
"NORMAL"
)
)</f>
        <v>NORMAL</v>
      </c>
    </row>
    <row r="1018" spans="1:12" x14ac:dyDescent="0.25">
      <c r="A1018" s="3" t="s">
        <v>352</v>
      </c>
      <c r="B1018" s="3" t="s">
        <v>353</v>
      </c>
      <c r="C1018" s="1">
        <v>0</v>
      </c>
      <c r="D1018" s="1">
        <v>56.9</v>
      </c>
      <c r="E1018" s="1" t="s">
        <v>249</v>
      </c>
      <c r="F1018" s="1" t="s">
        <v>3650</v>
      </c>
      <c r="G1018" s="3" t="s">
        <v>354</v>
      </c>
      <c r="H1018" s="11">
        <f>ROUND(
IF(L1016="GANCHO",
   IF(I1018&lt;=50,I1018*1.1+4,IF(I1018&lt;=120,I1018*1.1+7,IF(I1018&lt;=250,I1018*1.1+11,I1018*1.1+19))),
IF(L1016="NORMAL",
   IF(I1018&lt;=30,I1018*1.15+2,IF(I1018&lt;=80,I1018*1.15+4,IF(I1018&lt;=150,I1018*1.15+6,I1018*1.15+8))),
IF(L1016="COMPLEMENTO",
   IF(I1018&lt;=25,I1018*1.25+1.5,IF(I1018&lt;=60,I1018*1.25+3,IF(I1018&lt;=120,I1018*1.25+4,I1018*1.25+5))),
""))),2)</f>
        <v>276.7</v>
      </c>
      <c r="I1018" s="9">
        <f>($K$2+0.02)*Tabla1[[#This Row],[PRECIO $]]*1.18</f>
        <v>233.65415999999999</v>
      </c>
      <c r="J1018" s="7">
        <f>+Tabla1[[#This Row],[PRECIO EN SOLES]]-Tabla1[[#This Row],[PC]]</f>
        <v>43.045839999999998</v>
      </c>
      <c r="K1018" s="15"/>
      <c r="L1018" s="15" t="str">
        <f>IF(
OR(
ISNUMBER(SEARCH("BACKPACK",B1020)),
ISNUMBER(SEARCH("MOCHILA",B1020)),
ISNUMBER(SEARCH("FUNDA",B1020)),
ISNUMBER(SEARCH("ESTUCHE",B1020)),
ISNUMBER(SEARCH("BOOK COVER",B1020)),
ISNUMBER(SEARCH("KEYBOARD PARA TABLET",B1020)),
ISNUMBER(SEARCH("FLIP TABLET",B1020)),
ISNUMBER(SEARCH("CASE FOR TABLET",B1020)),
ISNUMBER(SEARCH("CABLE",B1020)),
ISNUMBER(SEARCH("ADAPTADOR",B1020)),
ISNUMBER(SEARCH("HUB",B1020)),
ISNUMBER(SEARCH("DOCK",B1020)),
ISNUMBER(SEARCH("MOUSE PAD",B1020)),
ISNUMBER(SEARCH("MOUSEPAD",B1020)),
ISNUMBER(SEARCH("SOPORTE",B1020)),
ISNUMBER(SEARCH("STAND",B1020)),
ISNUMBER(SEARCH("TRAVEL ADAPTER",B1020)),
ISNUMBER(SEARCH("RJ45",B1020)),
ISNUMBER(SEARCH("USB-C",B1020)),
ISNUMBER(SEARCH("USB WIFI",B1020)),
ISNUMBER(SEARCH("POWERBANK",B1020)),
ISNUMBER(SEARCH("CARGADOR",B1020)),
ISNUMBER(SEARCH("COOLER PARA NB",B1020)),
ISNUMBER(SEARCH("SOPORTE PARA NB",B1020)),
ISNUMBER(SEARCH("WEBCAM",B1020)),
ISNUMBER(SEARCH("WEB CAM",B1020)),
ISNUMBER(SEARCH("MOUSE",B1020)),
ISNUMBER(SEARCH("TECLADO",B1020))
),
"COMPLEMENTO",
IF(
OR(
LEFT(A1020,2)="NB",
LEFT(A1020,2)="PC",
LEFT(A1020,2)="WS",
LEFT(A1020,2)="TB",
LEFT(A1020,3)="CEL",
LEFT(A1020,3)="MON",
LEFT(A1020,3)="PRE",
LEFT(A1020,3)="PRH",
ISNUMBER(SEARCH("NOTEBOOK",B1020)),
ISNUMBER(SEARCH("LAPTOP",B1020)),
ISNUMBER(SEARCH("MONITOR",B1020)),
ISNUMBER(SEARCH("TABLET",B1020)),
ISNUMBER(SEARCH("SMARTPH",B1020)),
ISNUMBER(SEARCH("IMPRESORA",B1020)),
ISNUMBER(SEARCH("MULTIFUNCIONAL",B1020)),
ISNUMBER(SEARCH("AIO",B1020))
),
"GANCHO",
"NORMAL"
)
)</f>
        <v>NORMAL</v>
      </c>
    </row>
    <row r="1019" spans="1:12" x14ac:dyDescent="0.25">
      <c r="A1019" s="3" t="s">
        <v>5681</v>
      </c>
      <c r="B1019" s="3" t="s">
        <v>353</v>
      </c>
      <c r="C1019" s="1">
        <v>1</v>
      </c>
      <c r="D1019" s="1">
        <v>57.69</v>
      </c>
      <c r="E1019" s="1" t="s">
        <v>249</v>
      </c>
      <c r="F1019" s="1" t="s">
        <v>5682</v>
      </c>
      <c r="G1019" s="3"/>
      <c r="H1019" s="11">
        <f>ROUND(
IF(L1017="GANCHO",
   IF(I1019&lt;=50,I1019*1.1+4,IF(I1019&lt;=120,I1019*1.1+7,IF(I1019&lt;=250,I1019*1.1+11,I1019*1.1+19))),
IF(L1017="NORMAL",
   IF(I1019&lt;=30,I1019*1.15+2,IF(I1019&lt;=80,I1019*1.15+4,IF(I1019&lt;=150,I1019*1.15+6,I1019*1.15+8))),
IF(L1017="COMPLEMENTO",
   IF(I1019&lt;=25,I1019*1.25+1.5,IF(I1019&lt;=60,I1019*1.25+3,IF(I1019&lt;=120,I1019*1.25+4,I1019*1.25+5))),
""))),2)</f>
        <v>280.43</v>
      </c>
      <c r="I1019" s="9">
        <f>($K$2+0.02)*Tabla1[[#This Row],[PRECIO $]]*1.18</f>
        <v>236.89821599999999</v>
      </c>
      <c r="J1019" s="7">
        <f>+Tabla1[[#This Row],[PRECIO EN SOLES]]-Tabla1[[#This Row],[PC]]</f>
        <v>43.531784000000016</v>
      </c>
      <c r="K1019" s="15"/>
      <c r="L1019" s="15" t="str">
        <f>IF(
OR(
ISNUMBER(SEARCH("BACKPACK",B1021)),
ISNUMBER(SEARCH("MOCHILA",B1021)),
ISNUMBER(SEARCH("FUNDA",B1021)),
ISNUMBER(SEARCH("ESTUCHE",B1021)),
ISNUMBER(SEARCH("BOOK COVER",B1021)),
ISNUMBER(SEARCH("KEYBOARD PARA TABLET",B1021)),
ISNUMBER(SEARCH("FLIP TABLET",B1021)),
ISNUMBER(SEARCH("CASE FOR TABLET",B1021)),
ISNUMBER(SEARCH("CABLE",B1021)),
ISNUMBER(SEARCH("ADAPTADOR",B1021)),
ISNUMBER(SEARCH("HUB",B1021)),
ISNUMBER(SEARCH("DOCK",B1021)),
ISNUMBER(SEARCH("MOUSE PAD",B1021)),
ISNUMBER(SEARCH("MOUSEPAD",B1021)),
ISNUMBER(SEARCH("SOPORTE",B1021)),
ISNUMBER(SEARCH("STAND",B1021)),
ISNUMBER(SEARCH("TRAVEL ADAPTER",B1021)),
ISNUMBER(SEARCH("RJ45",B1021)),
ISNUMBER(SEARCH("USB-C",B1021)),
ISNUMBER(SEARCH("USB WIFI",B1021)),
ISNUMBER(SEARCH("POWERBANK",B1021)),
ISNUMBER(SEARCH("CARGADOR",B1021)),
ISNUMBER(SEARCH("COOLER PARA NB",B1021)),
ISNUMBER(SEARCH("SOPORTE PARA NB",B1021)),
ISNUMBER(SEARCH("WEBCAM",B1021)),
ISNUMBER(SEARCH("WEB CAM",B1021)),
ISNUMBER(SEARCH("MOUSE",B1021)),
ISNUMBER(SEARCH("TECLADO",B1021))
),
"COMPLEMENTO",
IF(
OR(
LEFT(A1021,2)="NB",
LEFT(A1021,2)="PC",
LEFT(A1021,2)="WS",
LEFT(A1021,2)="TB",
LEFT(A1021,3)="CEL",
LEFT(A1021,3)="MON",
LEFT(A1021,3)="PRE",
LEFT(A1021,3)="PRH",
ISNUMBER(SEARCH("NOTEBOOK",B1021)),
ISNUMBER(SEARCH("LAPTOP",B1021)),
ISNUMBER(SEARCH("MONITOR",B1021)),
ISNUMBER(SEARCH("TABLET",B1021)),
ISNUMBER(SEARCH("SMARTPH",B1021)),
ISNUMBER(SEARCH("IMPRESORA",B1021)),
ISNUMBER(SEARCH("MULTIFUNCIONAL",B1021)),
ISNUMBER(SEARCH("AIO",B1021))
),
"GANCHO",
"NORMAL"
)
)</f>
        <v>NORMAL</v>
      </c>
    </row>
    <row r="1020" spans="1:12" x14ac:dyDescent="0.25">
      <c r="A1020" s="3" t="s">
        <v>355</v>
      </c>
      <c r="B1020" s="3" t="s">
        <v>356</v>
      </c>
      <c r="C1020" s="1">
        <v>0</v>
      </c>
      <c r="D1020" s="1">
        <v>125.65</v>
      </c>
      <c r="E1020" s="1" t="s">
        <v>249</v>
      </c>
      <c r="F1020" s="1" t="s">
        <v>3651</v>
      </c>
      <c r="G1020" s="3" t="s">
        <v>357</v>
      </c>
      <c r="H1020" s="11">
        <f>ROUND(
IF(L1018="GANCHO",
   IF(I1020&lt;=50,I1020*1.1+4,IF(I1020&lt;=120,I1020*1.1+7,IF(I1020&lt;=250,I1020*1.1+11,I1020*1.1+19))),
IF(L1018="NORMAL",
   IF(I1020&lt;=30,I1020*1.15+2,IF(I1020&lt;=80,I1020*1.15+4,IF(I1020&lt;=150,I1020*1.15+6,I1020*1.15+8))),
IF(L1018="COMPLEMENTO",
   IF(I1020&lt;=25,I1020*1.25+1.5,IF(I1020&lt;=60,I1020*1.25+3,IF(I1020&lt;=120,I1020*1.25+4,I1020*1.25+5))),
""))),2)</f>
        <v>601.36</v>
      </c>
      <c r="I1020" s="9">
        <f>($K$2+0.02)*Tabla1[[#This Row],[PRECIO $]]*1.18</f>
        <v>515.96915999999999</v>
      </c>
      <c r="J1020" s="7">
        <f>+Tabla1[[#This Row],[PRECIO EN SOLES]]-Tabla1[[#This Row],[PC]]</f>
        <v>85.390840000000026</v>
      </c>
      <c r="K1020" s="15"/>
      <c r="L1020" s="15" t="str">
        <f>IF(
OR(
ISNUMBER(SEARCH("BACKPACK",B1022)),
ISNUMBER(SEARCH("MOCHILA",B1022)),
ISNUMBER(SEARCH("FUNDA",B1022)),
ISNUMBER(SEARCH("ESTUCHE",B1022)),
ISNUMBER(SEARCH("BOOK COVER",B1022)),
ISNUMBER(SEARCH("KEYBOARD PARA TABLET",B1022)),
ISNUMBER(SEARCH("FLIP TABLET",B1022)),
ISNUMBER(SEARCH("CASE FOR TABLET",B1022)),
ISNUMBER(SEARCH("CABLE",B1022)),
ISNUMBER(SEARCH("ADAPTADOR",B1022)),
ISNUMBER(SEARCH("HUB",B1022)),
ISNUMBER(SEARCH("DOCK",B1022)),
ISNUMBER(SEARCH("MOUSE PAD",B1022)),
ISNUMBER(SEARCH("MOUSEPAD",B1022)),
ISNUMBER(SEARCH("SOPORTE",B1022)),
ISNUMBER(SEARCH("STAND",B1022)),
ISNUMBER(SEARCH("TRAVEL ADAPTER",B1022)),
ISNUMBER(SEARCH("RJ45",B1022)),
ISNUMBER(SEARCH("USB-C",B1022)),
ISNUMBER(SEARCH("USB WIFI",B1022)),
ISNUMBER(SEARCH("POWERBANK",B1022)),
ISNUMBER(SEARCH("CARGADOR",B1022)),
ISNUMBER(SEARCH("COOLER PARA NB",B1022)),
ISNUMBER(SEARCH("SOPORTE PARA NB",B1022)),
ISNUMBER(SEARCH("WEBCAM",B1022)),
ISNUMBER(SEARCH("WEB CAM",B1022)),
ISNUMBER(SEARCH("MOUSE",B1022)),
ISNUMBER(SEARCH("TECLADO",B1022))
),
"COMPLEMENTO",
IF(
OR(
LEFT(A1022,2)="NB",
LEFT(A1022,2)="PC",
LEFT(A1022,2)="WS",
LEFT(A1022,2)="TB",
LEFT(A1022,3)="CEL",
LEFT(A1022,3)="MON",
LEFT(A1022,3)="PRE",
LEFT(A1022,3)="PRH",
ISNUMBER(SEARCH("NOTEBOOK",B1022)),
ISNUMBER(SEARCH("LAPTOP",B1022)),
ISNUMBER(SEARCH("MONITOR",B1022)),
ISNUMBER(SEARCH("TABLET",B1022)),
ISNUMBER(SEARCH("SMARTPH",B1022)),
ISNUMBER(SEARCH("IMPRESORA",B1022)),
ISNUMBER(SEARCH("MULTIFUNCIONAL",B1022)),
ISNUMBER(SEARCH("AIO",B1022))
),
"GANCHO",
"NORMAL"
)
)</f>
        <v>NORMAL</v>
      </c>
    </row>
    <row r="1021" spans="1:12" x14ac:dyDescent="0.25">
      <c r="A1021" s="3" t="s">
        <v>6550</v>
      </c>
      <c r="B1021" s="3" t="s">
        <v>356</v>
      </c>
      <c r="C1021" s="1">
        <v>20</v>
      </c>
      <c r="D1021" s="1">
        <v>113.68</v>
      </c>
      <c r="E1021" s="1" t="s">
        <v>249</v>
      </c>
      <c r="F1021" s="1" t="s">
        <v>6551</v>
      </c>
      <c r="G1021" s="3"/>
      <c r="H1021" s="11">
        <f>ROUND(
IF(L1019="GANCHO",
   IF(I1021&lt;=50,I1021*1.1+4,IF(I1021&lt;=120,I1021*1.1+7,IF(I1021&lt;=250,I1021*1.1+11,I1021*1.1+19))),
IF(L1019="NORMAL",
   IF(I1021&lt;=30,I1021*1.15+2,IF(I1021&lt;=80,I1021*1.15+4,IF(I1021&lt;=150,I1021*1.15+6,I1021*1.15+8))),
IF(L1019="COMPLEMENTO",
   IF(I1021&lt;=25,I1021*1.25+1.5,IF(I1021&lt;=60,I1021*1.25+3,IF(I1021&lt;=120,I1021*1.25+4,I1021*1.25+5))),
""))),2)</f>
        <v>544.84</v>
      </c>
      <c r="I1021" s="9">
        <f>($K$2+0.02)*Tabla1[[#This Row],[PRECIO $]]*1.18</f>
        <v>466.81555199999997</v>
      </c>
      <c r="J1021" s="7">
        <f>+Tabla1[[#This Row],[PRECIO EN SOLES]]-Tabla1[[#This Row],[PC]]</f>
        <v>78.024448000000064</v>
      </c>
      <c r="K1021" s="15"/>
      <c r="L1021" s="15" t="str">
        <f>IF(
OR(
ISNUMBER(SEARCH("BACKPACK",B1023)),
ISNUMBER(SEARCH("MOCHILA",B1023)),
ISNUMBER(SEARCH("FUNDA",B1023)),
ISNUMBER(SEARCH("ESTUCHE",B1023)),
ISNUMBER(SEARCH("BOOK COVER",B1023)),
ISNUMBER(SEARCH("KEYBOARD PARA TABLET",B1023)),
ISNUMBER(SEARCH("FLIP TABLET",B1023)),
ISNUMBER(SEARCH("CASE FOR TABLET",B1023)),
ISNUMBER(SEARCH("CABLE",B1023)),
ISNUMBER(SEARCH("ADAPTADOR",B1023)),
ISNUMBER(SEARCH("HUB",B1023)),
ISNUMBER(SEARCH("DOCK",B1023)),
ISNUMBER(SEARCH("MOUSE PAD",B1023)),
ISNUMBER(SEARCH("MOUSEPAD",B1023)),
ISNUMBER(SEARCH("SOPORTE",B1023)),
ISNUMBER(SEARCH("STAND",B1023)),
ISNUMBER(SEARCH("TRAVEL ADAPTER",B1023)),
ISNUMBER(SEARCH("RJ45",B1023)),
ISNUMBER(SEARCH("USB-C",B1023)),
ISNUMBER(SEARCH("USB WIFI",B1023)),
ISNUMBER(SEARCH("POWERBANK",B1023)),
ISNUMBER(SEARCH("CARGADOR",B1023)),
ISNUMBER(SEARCH("COOLER PARA NB",B1023)),
ISNUMBER(SEARCH("SOPORTE PARA NB",B1023)),
ISNUMBER(SEARCH("WEBCAM",B1023)),
ISNUMBER(SEARCH("WEB CAM",B1023)),
ISNUMBER(SEARCH("MOUSE",B1023)),
ISNUMBER(SEARCH("TECLADO",B1023))
),
"COMPLEMENTO",
IF(
OR(
LEFT(A1023,2)="NB",
LEFT(A1023,2)="PC",
LEFT(A1023,2)="WS",
LEFT(A1023,2)="TB",
LEFT(A1023,3)="CEL",
LEFT(A1023,3)="MON",
LEFT(A1023,3)="PRE",
LEFT(A1023,3)="PRH",
ISNUMBER(SEARCH("NOTEBOOK",B1023)),
ISNUMBER(SEARCH("LAPTOP",B1023)),
ISNUMBER(SEARCH("MONITOR",B1023)),
ISNUMBER(SEARCH("TABLET",B1023)),
ISNUMBER(SEARCH("SMARTPH",B1023)),
ISNUMBER(SEARCH("IMPRESORA",B1023)),
ISNUMBER(SEARCH("MULTIFUNCIONAL",B1023)),
ISNUMBER(SEARCH("AIO",B1023))
),
"GANCHO",
"NORMAL"
)
)</f>
        <v>NORMAL</v>
      </c>
    </row>
    <row r="1022" spans="1:12" x14ac:dyDescent="0.25">
      <c r="A1022" s="3" t="s">
        <v>755</v>
      </c>
      <c r="B1022" s="3" t="s">
        <v>756</v>
      </c>
      <c r="C1022" s="1">
        <v>0</v>
      </c>
      <c r="D1022" s="1">
        <v>82.93</v>
      </c>
      <c r="E1022" s="1" t="s">
        <v>249</v>
      </c>
      <c r="F1022" s="1" t="s">
        <v>3652</v>
      </c>
      <c r="G1022" s="3" t="s">
        <v>757</v>
      </c>
      <c r="H1022" s="11">
        <f>ROUND(
IF(L1020="GANCHO",
   IF(I1022&lt;=50,I1022*1.1+4,IF(I1022&lt;=120,I1022*1.1+7,IF(I1022&lt;=250,I1022*1.1+11,I1022*1.1+19))),
IF(L1020="NORMAL",
   IF(I1022&lt;=30,I1022*1.15+2,IF(I1022&lt;=80,I1022*1.15+4,IF(I1022&lt;=150,I1022*1.15+6,I1022*1.15+8))),
IF(L1020="COMPLEMENTO",
   IF(I1022&lt;=25,I1022*1.25+1.5,IF(I1022&lt;=60,I1022*1.25+3,IF(I1022&lt;=120,I1022*1.25+4,I1022*1.25+5))),
""))),2)</f>
        <v>399.63</v>
      </c>
      <c r="I1022" s="9">
        <f>($K$2+0.02)*Tabla1[[#This Row],[PRECIO $]]*1.18</f>
        <v>340.54375199999998</v>
      </c>
      <c r="J1022" s="7">
        <f>+Tabla1[[#This Row],[PRECIO EN SOLES]]-Tabla1[[#This Row],[PC]]</f>
        <v>59.086248000000012</v>
      </c>
      <c r="K1022" s="15"/>
      <c r="L1022" s="15" t="str">
        <f>IF(
OR(
ISNUMBER(SEARCH("BACKPACK",B1024)),
ISNUMBER(SEARCH("MOCHILA",B1024)),
ISNUMBER(SEARCH("FUNDA",B1024)),
ISNUMBER(SEARCH("ESTUCHE",B1024)),
ISNUMBER(SEARCH("BOOK COVER",B1024)),
ISNUMBER(SEARCH("KEYBOARD PARA TABLET",B1024)),
ISNUMBER(SEARCH("FLIP TABLET",B1024)),
ISNUMBER(SEARCH("CASE FOR TABLET",B1024)),
ISNUMBER(SEARCH("CABLE",B1024)),
ISNUMBER(SEARCH("ADAPTADOR",B1024)),
ISNUMBER(SEARCH("HUB",B1024)),
ISNUMBER(SEARCH("DOCK",B1024)),
ISNUMBER(SEARCH("MOUSE PAD",B1024)),
ISNUMBER(SEARCH("MOUSEPAD",B1024)),
ISNUMBER(SEARCH("SOPORTE",B1024)),
ISNUMBER(SEARCH("STAND",B1024)),
ISNUMBER(SEARCH("TRAVEL ADAPTER",B1024)),
ISNUMBER(SEARCH("RJ45",B1024)),
ISNUMBER(SEARCH("USB-C",B1024)),
ISNUMBER(SEARCH("USB WIFI",B1024)),
ISNUMBER(SEARCH("POWERBANK",B1024)),
ISNUMBER(SEARCH("CARGADOR",B1024)),
ISNUMBER(SEARCH("COOLER PARA NB",B1024)),
ISNUMBER(SEARCH("SOPORTE PARA NB",B1024)),
ISNUMBER(SEARCH("WEBCAM",B1024)),
ISNUMBER(SEARCH("WEB CAM",B1024)),
ISNUMBER(SEARCH("MOUSE",B1024)),
ISNUMBER(SEARCH("TECLADO",B1024))
),
"COMPLEMENTO",
IF(
OR(
LEFT(A1024,2)="NB",
LEFT(A1024,2)="PC",
LEFT(A1024,2)="WS",
LEFT(A1024,2)="TB",
LEFT(A1024,3)="CEL",
LEFT(A1024,3)="MON",
LEFT(A1024,3)="PRE",
LEFT(A1024,3)="PRH",
ISNUMBER(SEARCH("NOTEBOOK",B1024)),
ISNUMBER(SEARCH("LAPTOP",B1024)),
ISNUMBER(SEARCH("MONITOR",B1024)),
ISNUMBER(SEARCH("TABLET",B1024)),
ISNUMBER(SEARCH("SMARTPH",B1024)),
ISNUMBER(SEARCH("IMPRESORA",B1024)),
ISNUMBER(SEARCH("MULTIFUNCIONAL",B1024)),
ISNUMBER(SEARCH("AIO",B1024))
),
"GANCHO",
"NORMAL"
)
)</f>
        <v>NORMAL</v>
      </c>
    </row>
    <row r="1023" spans="1:12" x14ac:dyDescent="0.25">
      <c r="A1023" s="3" t="s">
        <v>5683</v>
      </c>
      <c r="B1023" s="3" t="s">
        <v>756</v>
      </c>
      <c r="C1023" s="1">
        <v>20</v>
      </c>
      <c r="D1023" s="1">
        <v>70</v>
      </c>
      <c r="E1023" s="1" t="s">
        <v>249</v>
      </c>
      <c r="F1023" s="1" t="s">
        <v>5684</v>
      </c>
      <c r="G1023" s="3"/>
      <c r="H1023" s="11">
        <f>ROUND(
IF(L1021="GANCHO",
   IF(I1023&lt;=50,I1023*1.1+4,IF(I1023&lt;=120,I1023*1.1+7,IF(I1023&lt;=250,I1023*1.1+11,I1023*1.1+19))),
IF(L1021="NORMAL",
   IF(I1023&lt;=30,I1023*1.15+2,IF(I1023&lt;=80,I1023*1.15+4,IF(I1023&lt;=150,I1023*1.15+6,I1023*1.15+8))),
IF(L1021="COMPLEMENTO",
   IF(I1023&lt;=25,I1023*1.25+1.5,IF(I1023&lt;=60,I1023*1.25+3,IF(I1023&lt;=120,I1023*1.25+4,I1023*1.25+5))),
""))),2)</f>
        <v>338.57</v>
      </c>
      <c r="I1023" s="9">
        <f>($K$2+0.02)*Tabla1[[#This Row],[PRECIO $]]*1.18</f>
        <v>287.44799999999998</v>
      </c>
      <c r="J1023" s="7">
        <f>+Tabla1[[#This Row],[PRECIO EN SOLES]]-Tabla1[[#This Row],[PC]]</f>
        <v>51.122000000000014</v>
      </c>
      <c r="K1023" s="15"/>
      <c r="L1023" s="15" t="str">
        <f>IF(
OR(
ISNUMBER(SEARCH("BACKPACK",B1025)),
ISNUMBER(SEARCH("MOCHILA",B1025)),
ISNUMBER(SEARCH("FUNDA",B1025)),
ISNUMBER(SEARCH("ESTUCHE",B1025)),
ISNUMBER(SEARCH("BOOK COVER",B1025)),
ISNUMBER(SEARCH("KEYBOARD PARA TABLET",B1025)),
ISNUMBER(SEARCH("FLIP TABLET",B1025)),
ISNUMBER(SEARCH("CASE FOR TABLET",B1025)),
ISNUMBER(SEARCH("CABLE",B1025)),
ISNUMBER(SEARCH("ADAPTADOR",B1025)),
ISNUMBER(SEARCH("HUB",B1025)),
ISNUMBER(SEARCH("DOCK",B1025)),
ISNUMBER(SEARCH("MOUSE PAD",B1025)),
ISNUMBER(SEARCH("MOUSEPAD",B1025)),
ISNUMBER(SEARCH("SOPORTE",B1025)),
ISNUMBER(SEARCH("STAND",B1025)),
ISNUMBER(SEARCH("TRAVEL ADAPTER",B1025)),
ISNUMBER(SEARCH("RJ45",B1025)),
ISNUMBER(SEARCH("USB-C",B1025)),
ISNUMBER(SEARCH("USB WIFI",B1025)),
ISNUMBER(SEARCH("POWERBANK",B1025)),
ISNUMBER(SEARCH("CARGADOR",B1025)),
ISNUMBER(SEARCH("COOLER PARA NB",B1025)),
ISNUMBER(SEARCH("SOPORTE PARA NB",B1025)),
ISNUMBER(SEARCH("WEBCAM",B1025)),
ISNUMBER(SEARCH("WEB CAM",B1025)),
ISNUMBER(SEARCH("MOUSE",B1025)),
ISNUMBER(SEARCH("TECLADO",B1025))
),
"COMPLEMENTO",
IF(
OR(
LEFT(A1025,2)="NB",
LEFT(A1025,2)="PC",
LEFT(A1025,2)="WS",
LEFT(A1025,2)="TB",
LEFT(A1025,3)="CEL",
LEFT(A1025,3)="MON",
LEFT(A1025,3)="PRE",
LEFT(A1025,3)="PRH",
ISNUMBER(SEARCH("NOTEBOOK",B1025)),
ISNUMBER(SEARCH("LAPTOP",B1025)),
ISNUMBER(SEARCH("MONITOR",B1025)),
ISNUMBER(SEARCH("TABLET",B1025)),
ISNUMBER(SEARCH("SMARTPH",B1025)),
ISNUMBER(SEARCH("IMPRESORA",B1025)),
ISNUMBER(SEARCH("MULTIFUNCIONAL",B1025)),
ISNUMBER(SEARCH("AIO",B1025))
),
"GANCHO",
"NORMAL"
)
)</f>
        <v>NORMAL</v>
      </c>
    </row>
    <row r="1024" spans="1:12" x14ac:dyDescent="0.25">
      <c r="A1024" s="3" t="s">
        <v>758</v>
      </c>
      <c r="B1024" s="3" t="s">
        <v>759</v>
      </c>
      <c r="C1024" s="1">
        <v>0</v>
      </c>
      <c r="D1024" s="1">
        <v>185.44</v>
      </c>
      <c r="E1024" s="1" t="s">
        <v>249</v>
      </c>
      <c r="F1024" s="1" t="s">
        <v>3653</v>
      </c>
      <c r="G1024" s="3" t="s">
        <v>760</v>
      </c>
      <c r="H1024" s="11">
        <f>ROUND(
IF(L1022="GANCHO",
   IF(I1024&lt;=50,I1024*1.1+4,IF(I1024&lt;=120,I1024*1.1+7,IF(I1024&lt;=250,I1024*1.1+11,I1024*1.1+19))),
IF(L1022="NORMAL",
   IF(I1024&lt;=30,I1024*1.15+2,IF(I1024&lt;=80,I1024*1.15+4,IF(I1024&lt;=150,I1024*1.15+6,I1024*1.15+8))),
IF(L1022="COMPLEMENTO",
   IF(I1024&lt;=25,I1024*1.25+1.5,IF(I1024&lt;=60,I1024*1.25+3,IF(I1024&lt;=120,I1024*1.25+4,I1024*1.25+5))),
""))),2)</f>
        <v>883.71</v>
      </c>
      <c r="I1024" s="9">
        <f>($K$2+0.02)*Tabla1[[#This Row],[PRECIO $]]*1.18</f>
        <v>761.49081599999988</v>
      </c>
      <c r="J1024" s="7">
        <f>+Tabla1[[#This Row],[PRECIO EN SOLES]]-Tabla1[[#This Row],[PC]]</f>
        <v>122.21918400000015</v>
      </c>
      <c r="K1024" s="15"/>
      <c r="L1024" s="15" t="str">
        <f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NORMAL</v>
      </c>
    </row>
    <row r="1025" spans="1:12" x14ac:dyDescent="0.25">
      <c r="A1025" s="3" t="s">
        <v>6552</v>
      </c>
      <c r="B1025" s="3" t="s">
        <v>759</v>
      </c>
      <c r="C1025" s="1">
        <v>5</v>
      </c>
      <c r="D1025" s="1">
        <v>187</v>
      </c>
      <c r="E1025" s="1" t="s">
        <v>249</v>
      </c>
      <c r="F1025" s="1" t="s">
        <v>6553</v>
      </c>
      <c r="G1025" s="3"/>
      <c r="H1025" s="11">
        <f>ROUND(
IF(L1023="GANCHO",
   IF(I1025&lt;=50,I1025*1.1+4,IF(I1025&lt;=120,I1025*1.1+7,IF(I1025&lt;=250,I1025*1.1+11,I1025*1.1+19))),
IF(L1023="NORMAL",
   IF(I1025&lt;=30,I1025*1.15+2,IF(I1025&lt;=80,I1025*1.15+4,IF(I1025&lt;=150,I1025*1.15+6,I1025*1.15+8))),
IF(L1023="COMPLEMENTO",
   IF(I1025&lt;=25,I1025*1.25+1.5,IF(I1025&lt;=60,I1025*1.25+3,IF(I1025&lt;=120,I1025*1.25+4,I1025*1.25+5))),
""))),2)</f>
        <v>891.08</v>
      </c>
      <c r="I1025" s="9">
        <f>($K$2+0.02)*Tabla1[[#This Row],[PRECIO $]]*1.18</f>
        <v>767.89679999999998</v>
      </c>
      <c r="J1025" s="7">
        <f>+Tabla1[[#This Row],[PRECIO EN SOLES]]-Tabla1[[#This Row],[PC]]</f>
        <v>123.18320000000006</v>
      </c>
      <c r="K1025" s="15"/>
      <c r="L1025" s="15" t="str">
        <f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NORMAL</v>
      </c>
    </row>
    <row r="1026" spans="1:12" x14ac:dyDescent="0.25">
      <c r="A1026" s="3" t="s">
        <v>761</v>
      </c>
      <c r="B1026" s="3" t="s">
        <v>762</v>
      </c>
      <c r="C1026" s="1">
        <v>0</v>
      </c>
      <c r="D1026" s="1">
        <v>121.47</v>
      </c>
      <c r="E1026" s="1" t="s">
        <v>249</v>
      </c>
      <c r="F1026" s="1" t="s">
        <v>3654</v>
      </c>
      <c r="G1026" s="3" t="s">
        <v>763</v>
      </c>
      <c r="H1026" s="11">
        <f>ROUND(
IF(L1024="GANCHO",
   IF(I1026&lt;=50,I1026*1.1+4,IF(I1026&lt;=120,I1026*1.1+7,IF(I1026&lt;=250,I1026*1.1+11,I1026*1.1+19))),
IF(L1024="NORMAL",
   IF(I1026&lt;=30,I1026*1.15+2,IF(I1026&lt;=80,I1026*1.15+4,IF(I1026&lt;=150,I1026*1.15+6,I1026*1.15+8))),
IF(L1024="COMPLEMENTO",
   IF(I1026&lt;=25,I1026*1.25+1.5,IF(I1026&lt;=60,I1026*1.25+3,IF(I1026&lt;=120,I1026*1.25+4,I1026*1.25+5))),
""))),2)</f>
        <v>581.63</v>
      </c>
      <c r="I1026" s="9">
        <f>($K$2+0.02)*Tabla1[[#This Row],[PRECIO $]]*1.18</f>
        <v>498.80440799999997</v>
      </c>
      <c r="J1026" s="7">
        <f>+Tabla1[[#This Row],[PRECIO EN SOLES]]-Tabla1[[#This Row],[PC]]</f>
        <v>82.825592000000029</v>
      </c>
      <c r="K1026" s="15"/>
      <c r="L1026" s="15" t="str">
        <f>IF(
OR(
ISNUMBER(SEARCH("BACKPACK",B1028)),
ISNUMBER(SEARCH("MOCHILA",B1028)),
ISNUMBER(SEARCH("FUNDA",B1028)),
ISNUMBER(SEARCH("ESTUCHE",B1028)),
ISNUMBER(SEARCH("BOOK COVER",B1028)),
ISNUMBER(SEARCH("KEYBOARD PARA TABLET",B1028)),
ISNUMBER(SEARCH("FLIP TABLET",B1028)),
ISNUMBER(SEARCH("CASE FOR TABLET",B1028)),
ISNUMBER(SEARCH("CABLE",B1028)),
ISNUMBER(SEARCH("ADAPTADOR",B1028)),
ISNUMBER(SEARCH("HUB",B1028)),
ISNUMBER(SEARCH("DOCK",B1028)),
ISNUMBER(SEARCH("MOUSE PAD",B1028)),
ISNUMBER(SEARCH("MOUSEPAD",B1028)),
ISNUMBER(SEARCH("SOPORTE",B1028)),
ISNUMBER(SEARCH("STAND",B1028)),
ISNUMBER(SEARCH("TRAVEL ADAPTER",B1028)),
ISNUMBER(SEARCH("RJ45",B1028)),
ISNUMBER(SEARCH("USB-C",B1028)),
ISNUMBER(SEARCH("USB WIFI",B1028)),
ISNUMBER(SEARCH("POWERBANK",B1028)),
ISNUMBER(SEARCH("CARGADOR",B1028)),
ISNUMBER(SEARCH("COOLER PARA NB",B1028)),
ISNUMBER(SEARCH("SOPORTE PARA NB",B1028)),
ISNUMBER(SEARCH("WEBCAM",B1028)),
ISNUMBER(SEARCH("WEB CAM",B1028)),
ISNUMBER(SEARCH("MOUSE",B1028)),
ISNUMBER(SEARCH("TECLADO",B1028))
),
"COMPLEMENTO",
IF(
OR(
LEFT(A1028,2)="NB",
LEFT(A1028,2)="PC",
LEFT(A1028,2)="WS",
LEFT(A1028,2)="TB",
LEFT(A1028,3)="CEL",
LEFT(A1028,3)="MON",
LEFT(A1028,3)="PRE",
LEFT(A1028,3)="PRH",
ISNUMBER(SEARCH("NOTEBOOK",B1028)),
ISNUMBER(SEARCH("LAPTOP",B1028)),
ISNUMBER(SEARCH("MONITOR",B1028)),
ISNUMBER(SEARCH("TABLET",B1028)),
ISNUMBER(SEARCH("SMARTPH",B1028)),
ISNUMBER(SEARCH("IMPRESORA",B1028)),
ISNUMBER(SEARCH("MULTIFUNCIONAL",B1028)),
ISNUMBER(SEARCH("AIO",B1028))
),
"GANCHO",
"NORMAL"
)
)</f>
        <v>NORMAL</v>
      </c>
    </row>
    <row r="1027" spans="1:12" x14ac:dyDescent="0.25">
      <c r="A1027" s="3" t="s">
        <v>1744</v>
      </c>
      <c r="B1027" s="3" t="s">
        <v>1745</v>
      </c>
      <c r="C1027" s="1">
        <v>10</v>
      </c>
      <c r="D1027" s="1">
        <v>500</v>
      </c>
      <c r="E1027" s="1" t="s">
        <v>249</v>
      </c>
      <c r="F1027" s="1" t="s">
        <v>3655</v>
      </c>
      <c r="G1027" s="3" t="s">
        <v>1746</v>
      </c>
      <c r="H1027" s="11">
        <f>ROUND(
IF(L1025="GANCHO",
   IF(I1027&lt;=50,I1027*1.1+4,IF(I1027&lt;=120,I1027*1.1+7,IF(I1027&lt;=250,I1027*1.1+11,I1027*1.1+19))),
IF(L1025="NORMAL",
   IF(I1027&lt;=30,I1027*1.15+2,IF(I1027&lt;=80,I1027*1.15+4,IF(I1027&lt;=150,I1027*1.15+6,I1027*1.15+8))),
IF(L1025="COMPLEMENTO",
   IF(I1027&lt;=25,I1027*1.25+1.5,IF(I1027&lt;=60,I1027*1.25+3,IF(I1027&lt;=120,I1027*1.25+4,I1027*1.25+5))),
""))),2)</f>
        <v>2369.1799999999998</v>
      </c>
      <c r="I1027" s="9">
        <f>($K$2+0.02)*Tabla1[[#This Row],[PRECIO $]]*1.18</f>
        <v>2053.1999999999998</v>
      </c>
      <c r="J1027" s="7">
        <f>+Tabla1[[#This Row],[PRECIO EN SOLES]]-Tabla1[[#This Row],[PC]]</f>
        <v>315.98</v>
      </c>
      <c r="K1027" s="15"/>
      <c r="L1027" s="15" t="str">
        <f>IF(
OR(
ISNUMBER(SEARCH("BACKPACK",B1029)),
ISNUMBER(SEARCH("MOCHILA",B1029)),
ISNUMBER(SEARCH("FUNDA",B1029)),
ISNUMBER(SEARCH("ESTUCHE",B1029)),
ISNUMBER(SEARCH("BOOK COVER",B1029)),
ISNUMBER(SEARCH("KEYBOARD PARA TABLET",B1029)),
ISNUMBER(SEARCH("FLIP TABLET",B1029)),
ISNUMBER(SEARCH("CASE FOR TABLET",B1029)),
ISNUMBER(SEARCH("CABLE",B1029)),
ISNUMBER(SEARCH("ADAPTADOR",B1029)),
ISNUMBER(SEARCH("HUB",B1029)),
ISNUMBER(SEARCH("DOCK",B1029)),
ISNUMBER(SEARCH("MOUSE PAD",B1029)),
ISNUMBER(SEARCH("MOUSEPAD",B1029)),
ISNUMBER(SEARCH("SOPORTE",B1029)),
ISNUMBER(SEARCH("STAND",B1029)),
ISNUMBER(SEARCH("TRAVEL ADAPTER",B1029)),
ISNUMBER(SEARCH("RJ45",B1029)),
ISNUMBER(SEARCH("USB-C",B1029)),
ISNUMBER(SEARCH("USB WIFI",B1029)),
ISNUMBER(SEARCH("POWERBANK",B1029)),
ISNUMBER(SEARCH("CARGADOR",B1029)),
ISNUMBER(SEARCH("COOLER PARA NB",B1029)),
ISNUMBER(SEARCH("SOPORTE PARA NB",B1029)),
ISNUMBER(SEARCH("WEBCAM",B1029)),
ISNUMBER(SEARCH("WEB CAM",B1029)),
ISNUMBER(SEARCH("MOUSE",B1029)),
ISNUMBER(SEARCH("TECLADO",B1029))
),
"COMPLEMENTO",
IF(
OR(
LEFT(A1029,2)="NB",
LEFT(A1029,2)="PC",
LEFT(A1029,2)="WS",
LEFT(A1029,2)="TB",
LEFT(A1029,3)="CEL",
LEFT(A1029,3)="MON",
LEFT(A1029,3)="PRE",
LEFT(A1029,3)="PRH",
ISNUMBER(SEARCH("NOTEBOOK",B1029)),
ISNUMBER(SEARCH("LAPTOP",B1029)),
ISNUMBER(SEARCH("MONITOR",B1029)),
ISNUMBER(SEARCH("TABLET",B1029)),
ISNUMBER(SEARCH("SMARTPH",B1029)),
ISNUMBER(SEARCH("IMPRESORA",B1029)),
ISNUMBER(SEARCH("MULTIFUNCIONAL",B1029)),
ISNUMBER(SEARCH("AIO",B1029))
),
"GANCHO",
"NORMAL"
)
)</f>
        <v>NORMAL</v>
      </c>
    </row>
    <row r="1028" spans="1:12" x14ac:dyDescent="0.25">
      <c r="A1028" s="3" t="s">
        <v>1747</v>
      </c>
      <c r="B1028" s="3" t="s">
        <v>1748</v>
      </c>
      <c r="C1028" s="1">
        <v>1</v>
      </c>
      <c r="D1028" s="1">
        <v>3198</v>
      </c>
      <c r="E1028" s="1" t="s">
        <v>249</v>
      </c>
      <c r="F1028" s="1" t="s">
        <v>3656</v>
      </c>
      <c r="G1028" s="3" t="s">
        <v>1749</v>
      </c>
      <c r="H1028" s="11">
        <f>ROUND(
IF(L1026="GANCHO",
   IF(I1028&lt;=50,I1028*1.1+4,IF(I1028&lt;=120,I1028*1.1+7,IF(I1028&lt;=250,I1028*1.1+11,I1028*1.1+19))),
IF(L1026="NORMAL",
   IF(I1028&lt;=30,I1028*1.15+2,IF(I1028&lt;=80,I1028*1.15+4,IF(I1028&lt;=150,I1028*1.15+6,I1028*1.15+8))),
IF(L1026="COMPLEMENTO",
   IF(I1028&lt;=25,I1028*1.25+1.5,IF(I1028&lt;=60,I1028*1.25+3,IF(I1028&lt;=120,I1028*1.25+4,I1028*1.25+5))),
""))),2)</f>
        <v>15110.11</v>
      </c>
      <c r="I1028" s="9">
        <f>($K$2+0.02)*Tabla1[[#This Row],[PRECIO $]]*1.18</f>
        <v>13132.267199999998</v>
      </c>
      <c r="J1028" s="7">
        <f>+Tabla1[[#This Row],[PRECIO EN SOLES]]-Tabla1[[#This Row],[PC]]</f>
        <v>1977.8428000000022</v>
      </c>
      <c r="K1028" s="15"/>
      <c r="L1028" s="15" t="str">
        <f>IF(
OR(
ISNUMBER(SEARCH("BACKPACK",B1030)),
ISNUMBER(SEARCH("MOCHILA",B1030)),
ISNUMBER(SEARCH("FUNDA",B1030)),
ISNUMBER(SEARCH("ESTUCHE",B1030)),
ISNUMBER(SEARCH("BOOK COVER",B1030)),
ISNUMBER(SEARCH("KEYBOARD PARA TABLET",B1030)),
ISNUMBER(SEARCH("FLIP TABLET",B1030)),
ISNUMBER(SEARCH("CASE FOR TABLET",B1030)),
ISNUMBER(SEARCH("CABLE",B1030)),
ISNUMBER(SEARCH("ADAPTADOR",B1030)),
ISNUMBER(SEARCH("HUB",B1030)),
ISNUMBER(SEARCH("DOCK",B1030)),
ISNUMBER(SEARCH("MOUSE PAD",B1030)),
ISNUMBER(SEARCH("MOUSEPAD",B1030)),
ISNUMBER(SEARCH("SOPORTE",B1030)),
ISNUMBER(SEARCH("STAND",B1030)),
ISNUMBER(SEARCH("TRAVEL ADAPTER",B1030)),
ISNUMBER(SEARCH("RJ45",B1030)),
ISNUMBER(SEARCH("USB-C",B1030)),
ISNUMBER(SEARCH("USB WIFI",B1030)),
ISNUMBER(SEARCH("POWERBANK",B1030)),
ISNUMBER(SEARCH("CARGADOR",B1030)),
ISNUMBER(SEARCH("COOLER PARA NB",B1030)),
ISNUMBER(SEARCH("SOPORTE PARA NB",B1030)),
ISNUMBER(SEARCH("WEBCAM",B1030)),
ISNUMBER(SEARCH("WEB CAM",B1030)),
ISNUMBER(SEARCH("MOUSE",B1030)),
ISNUMBER(SEARCH("TECLADO",B1030))
),
"COMPLEMENTO",
IF(
OR(
LEFT(A1030,2)="NB",
LEFT(A1030,2)="PC",
LEFT(A1030,2)="WS",
LEFT(A1030,2)="TB",
LEFT(A1030,3)="CEL",
LEFT(A1030,3)="MON",
LEFT(A1030,3)="PRE",
LEFT(A1030,3)="PRH",
ISNUMBER(SEARCH("NOTEBOOK",B1030)),
ISNUMBER(SEARCH("LAPTOP",B1030)),
ISNUMBER(SEARCH("MONITOR",B1030)),
ISNUMBER(SEARCH("TABLET",B1030)),
ISNUMBER(SEARCH("SMARTPH",B1030)),
ISNUMBER(SEARCH("IMPRESORA",B1030)),
ISNUMBER(SEARCH("MULTIFUNCIONAL",B1030)),
ISNUMBER(SEARCH("AIO",B1030))
),
"GANCHO",
"NORMAL"
)
)</f>
        <v>NORMAL</v>
      </c>
    </row>
    <row r="1029" spans="1:12" x14ac:dyDescent="0.25">
      <c r="A1029" s="3" t="s">
        <v>1750</v>
      </c>
      <c r="B1029" s="3" t="s">
        <v>1751</v>
      </c>
      <c r="C1029" s="1">
        <v>1</v>
      </c>
      <c r="D1029" s="1">
        <v>1039</v>
      </c>
      <c r="E1029" s="1" t="s">
        <v>249</v>
      </c>
      <c r="F1029" s="1" t="s">
        <v>3657</v>
      </c>
      <c r="G1029" s="3" t="s">
        <v>1752</v>
      </c>
      <c r="H1029" s="11">
        <f>ROUND(
IF(L1027="GANCHO",
   IF(I1029&lt;=50,I1029*1.1+4,IF(I1029&lt;=120,I1029*1.1+7,IF(I1029&lt;=250,I1029*1.1+11,I1029*1.1+19))),
IF(L1027="NORMAL",
   IF(I1029&lt;=30,I1029*1.15+2,IF(I1029&lt;=80,I1029*1.15+4,IF(I1029&lt;=150,I1029*1.15+6,I1029*1.15+8))),
IF(L1027="COMPLEMENTO",
   IF(I1029&lt;=25,I1029*1.25+1.5,IF(I1029&lt;=60,I1029*1.25+3,IF(I1029&lt;=120,I1029*1.25+4,I1029*1.25+5))),
""))),2)</f>
        <v>4914.53</v>
      </c>
      <c r="I1029" s="9">
        <f>($K$2+0.02)*Tabla1[[#This Row],[PRECIO $]]*1.18</f>
        <v>4266.5495999999994</v>
      </c>
      <c r="J1029" s="7">
        <f>+Tabla1[[#This Row],[PRECIO EN SOLES]]-Tabla1[[#This Row],[PC]]</f>
        <v>647.98040000000037</v>
      </c>
      <c r="K1029" s="15"/>
      <c r="L1029" s="15" t="str">
        <f>IF(
OR(
ISNUMBER(SEARCH("BACKPACK",B1031)),
ISNUMBER(SEARCH("MOCHILA",B1031)),
ISNUMBER(SEARCH("FUNDA",B1031)),
ISNUMBER(SEARCH("ESTUCHE",B1031)),
ISNUMBER(SEARCH("BOOK COVER",B1031)),
ISNUMBER(SEARCH("KEYBOARD PARA TABLET",B1031)),
ISNUMBER(SEARCH("FLIP TABLET",B1031)),
ISNUMBER(SEARCH("CASE FOR TABLET",B1031)),
ISNUMBER(SEARCH("CABLE",B1031)),
ISNUMBER(SEARCH("ADAPTADOR",B1031)),
ISNUMBER(SEARCH("HUB",B1031)),
ISNUMBER(SEARCH("DOCK",B1031)),
ISNUMBER(SEARCH("MOUSE PAD",B1031)),
ISNUMBER(SEARCH("MOUSEPAD",B1031)),
ISNUMBER(SEARCH("SOPORTE",B1031)),
ISNUMBER(SEARCH("STAND",B1031)),
ISNUMBER(SEARCH("TRAVEL ADAPTER",B1031)),
ISNUMBER(SEARCH("RJ45",B1031)),
ISNUMBER(SEARCH("USB-C",B1031)),
ISNUMBER(SEARCH("USB WIFI",B1031)),
ISNUMBER(SEARCH("POWERBANK",B1031)),
ISNUMBER(SEARCH("CARGADOR",B1031)),
ISNUMBER(SEARCH("COOLER PARA NB",B1031)),
ISNUMBER(SEARCH("SOPORTE PARA NB",B1031)),
ISNUMBER(SEARCH("WEBCAM",B1031)),
ISNUMBER(SEARCH("WEB CAM",B1031)),
ISNUMBER(SEARCH("MOUSE",B1031)),
ISNUMBER(SEARCH("TECLADO",B1031))
),
"COMPLEMENTO",
IF(
OR(
LEFT(A1031,2)="NB",
LEFT(A1031,2)="PC",
LEFT(A1031,2)="WS",
LEFT(A1031,2)="TB",
LEFT(A1031,3)="CEL",
LEFT(A1031,3)="MON",
LEFT(A1031,3)="PRE",
LEFT(A1031,3)="PRH",
ISNUMBER(SEARCH("NOTEBOOK",B1031)),
ISNUMBER(SEARCH("LAPTOP",B1031)),
ISNUMBER(SEARCH("MONITOR",B1031)),
ISNUMBER(SEARCH("TABLET",B1031)),
ISNUMBER(SEARCH("SMARTPH",B1031)),
ISNUMBER(SEARCH("IMPRESORA",B1031)),
ISNUMBER(SEARCH("MULTIFUNCIONAL",B1031)),
ISNUMBER(SEARCH("AIO",B1031))
),
"GANCHO",
"NORMAL"
)
)</f>
        <v>NORMAL</v>
      </c>
    </row>
    <row r="1030" spans="1:12" x14ac:dyDescent="0.25">
      <c r="A1030" s="3" t="s">
        <v>1753</v>
      </c>
      <c r="B1030" s="3" t="s">
        <v>1754</v>
      </c>
      <c r="C1030" s="1">
        <v>20</v>
      </c>
      <c r="D1030" s="1">
        <v>33.4</v>
      </c>
      <c r="E1030" s="1" t="s">
        <v>249</v>
      </c>
      <c r="F1030" s="1" t="s">
        <v>3658</v>
      </c>
      <c r="G1030" s="3" t="s">
        <v>1755</v>
      </c>
      <c r="H1030" s="11">
        <f>ROUND(
IF(L1028="GANCHO",
   IF(I1030&lt;=50,I1030*1.1+4,IF(I1030&lt;=120,I1030*1.1+7,IF(I1030&lt;=250,I1030*1.1+11,I1030*1.1+19))),
IF(L1028="NORMAL",
   IF(I1030&lt;=30,I1030*1.15+2,IF(I1030&lt;=80,I1030*1.15+4,IF(I1030&lt;=150,I1030*1.15+6,I1030*1.15+8))),
IF(L1028="COMPLEMENTO",
   IF(I1030&lt;=25,I1030*1.25+1.5,IF(I1030&lt;=60,I1030*1.25+3,IF(I1030&lt;=120,I1030*1.25+4,I1030*1.25+5))),
""))),2)</f>
        <v>163.72999999999999</v>
      </c>
      <c r="I1030" s="9">
        <f>($K$2+0.02)*Tabla1[[#This Row],[PRECIO $]]*1.18</f>
        <v>137.15376000000001</v>
      </c>
      <c r="J1030" s="7">
        <f>+Tabla1[[#This Row],[PRECIO EN SOLES]]-Tabla1[[#This Row],[PC]]</f>
        <v>26.576239999999984</v>
      </c>
      <c r="K1030" s="15"/>
      <c r="L1030" s="15" t="str">
        <f>IF(
OR(
ISNUMBER(SEARCH("BACKPACK",B1032)),
ISNUMBER(SEARCH("MOCHILA",B1032)),
ISNUMBER(SEARCH("FUNDA",B1032)),
ISNUMBER(SEARCH("ESTUCHE",B1032)),
ISNUMBER(SEARCH("BOOK COVER",B1032)),
ISNUMBER(SEARCH("KEYBOARD PARA TABLET",B1032)),
ISNUMBER(SEARCH("FLIP TABLET",B1032)),
ISNUMBER(SEARCH("CASE FOR TABLET",B1032)),
ISNUMBER(SEARCH("CABLE",B1032)),
ISNUMBER(SEARCH("ADAPTADOR",B1032)),
ISNUMBER(SEARCH("HUB",B1032)),
ISNUMBER(SEARCH("DOCK",B1032)),
ISNUMBER(SEARCH("MOUSE PAD",B1032)),
ISNUMBER(SEARCH("MOUSEPAD",B1032)),
ISNUMBER(SEARCH("SOPORTE",B1032)),
ISNUMBER(SEARCH("STAND",B1032)),
ISNUMBER(SEARCH("TRAVEL ADAPTER",B1032)),
ISNUMBER(SEARCH("RJ45",B1032)),
ISNUMBER(SEARCH("USB-C",B1032)),
ISNUMBER(SEARCH("USB WIFI",B1032)),
ISNUMBER(SEARCH("POWERBANK",B1032)),
ISNUMBER(SEARCH("CARGADOR",B1032)),
ISNUMBER(SEARCH("COOLER PARA NB",B1032)),
ISNUMBER(SEARCH("SOPORTE PARA NB",B1032)),
ISNUMBER(SEARCH("WEBCAM",B1032)),
ISNUMBER(SEARCH("WEB CAM",B1032)),
ISNUMBER(SEARCH("MOUSE",B1032)),
ISNUMBER(SEARCH("TECLADO",B1032))
),
"COMPLEMENTO",
IF(
OR(
LEFT(A1032,2)="NB",
LEFT(A1032,2)="PC",
LEFT(A1032,2)="WS",
LEFT(A1032,2)="TB",
LEFT(A1032,3)="CEL",
LEFT(A1032,3)="MON",
LEFT(A1032,3)="PRE",
LEFT(A1032,3)="PRH",
ISNUMBER(SEARCH("NOTEBOOK",B1032)),
ISNUMBER(SEARCH("LAPTOP",B1032)),
ISNUMBER(SEARCH("MONITOR",B1032)),
ISNUMBER(SEARCH("TABLET",B1032)),
ISNUMBER(SEARCH("SMARTPH",B1032)),
ISNUMBER(SEARCH("IMPRESORA",B1032)),
ISNUMBER(SEARCH("MULTIFUNCIONAL",B1032)),
ISNUMBER(SEARCH("AIO",B1032))
),
"GANCHO",
"NORMAL"
)
)</f>
        <v>NORMAL</v>
      </c>
    </row>
    <row r="1031" spans="1:12" x14ac:dyDescent="0.25">
      <c r="A1031" s="3" t="s">
        <v>1756</v>
      </c>
      <c r="B1031" s="3" t="s">
        <v>1757</v>
      </c>
      <c r="C1031" s="1">
        <v>0</v>
      </c>
      <c r="D1031" s="1">
        <v>9999999.9900000002</v>
      </c>
      <c r="E1031" s="1" t="s">
        <v>1758</v>
      </c>
      <c r="F1031" s="1" t="s">
        <v>3659</v>
      </c>
      <c r="G1031" s="3" t="s">
        <v>1759</v>
      </c>
      <c r="H1031" s="11">
        <f>ROUND(
IF(L1029="GANCHO",
   IF(I1031&lt;=50,I1031*1.1+4,IF(I1031&lt;=120,I1031*1.1+7,IF(I1031&lt;=250,I1031*1.1+11,I1031*1.1+19))),
IF(L1029="NORMAL",
   IF(I1031&lt;=30,I1031*1.15+2,IF(I1031&lt;=80,I1031*1.15+4,IF(I1031&lt;=150,I1031*1.15+6,I1031*1.15+8))),
IF(L1029="COMPLEMENTO",
   IF(I1031&lt;=25,I1031*1.25+1.5,IF(I1031&lt;=60,I1031*1.25+3,IF(I1031&lt;=120,I1031*1.25+4,I1031*1.25+5))),
""))),2)</f>
        <v>47223607.950000003</v>
      </c>
      <c r="I1031" s="9">
        <f>($K$2+0.02)*Tabla1[[#This Row],[PRECIO $]]*1.18</f>
        <v>41063999.958935998</v>
      </c>
      <c r="J1031" s="7">
        <f>+Tabla1[[#This Row],[PRECIO EN SOLES]]-Tabla1[[#This Row],[PC]]</f>
        <v>6159607.9910640046</v>
      </c>
      <c r="K1031" s="15"/>
      <c r="L1031" s="15" t="str">
        <f>IF(
OR(
ISNUMBER(SEARCH("BACKPACK",B1033)),
ISNUMBER(SEARCH("MOCHILA",B1033)),
ISNUMBER(SEARCH("FUNDA",B1033)),
ISNUMBER(SEARCH("ESTUCHE",B1033)),
ISNUMBER(SEARCH("BOOK COVER",B1033)),
ISNUMBER(SEARCH("KEYBOARD PARA TABLET",B1033)),
ISNUMBER(SEARCH("FLIP TABLET",B1033)),
ISNUMBER(SEARCH("CASE FOR TABLET",B1033)),
ISNUMBER(SEARCH("CABLE",B1033)),
ISNUMBER(SEARCH("ADAPTADOR",B1033)),
ISNUMBER(SEARCH("HUB",B1033)),
ISNUMBER(SEARCH("DOCK",B1033)),
ISNUMBER(SEARCH("MOUSE PAD",B1033)),
ISNUMBER(SEARCH("MOUSEPAD",B1033)),
ISNUMBER(SEARCH("SOPORTE",B1033)),
ISNUMBER(SEARCH("STAND",B1033)),
ISNUMBER(SEARCH("TRAVEL ADAPTER",B1033)),
ISNUMBER(SEARCH("RJ45",B1033)),
ISNUMBER(SEARCH("USB-C",B1033)),
ISNUMBER(SEARCH("USB WIFI",B1033)),
ISNUMBER(SEARCH("POWERBANK",B1033)),
ISNUMBER(SEARCH("CARGADOR",B1033)),
ISNUMBER(SEARCH("COOLER PARA NB",B1033)),
ISNUMBER(SEARCH("SOPORTE PARA NB",B1033)),
ISNUMBER(SEARCH("WEBCAM",B1033)),
ISNUMBER(SEARCH("WEB CAM",B1033)),
ISNUMBER(SEARCH("MOUSE",B1033)),
ISNUMBER(SEARCH("TECLADO",B1033))
),
"COMPLEMENTO",
IF(
OR(
LEFT(A1033,2)="NB",
LEFT(A1033,2)="PC",
LEFT(A1033,2)="WS",
LEFT(A1033,2)="TB",
LEFT(A1033,3)="CEL",
LEFT(A1033,3)="MON",
LEFT(A1033,3)="PRE",
LEFT(A1033,3)="PRH",
ISNUMBER(SEARCH("NOTEBOOK",B1033)),
ISNUMBER(SEARCH("LAPTOP",B1033)),
ISNUMBER(SEARCH("MONITOR",B1033)),
ISNUMBER(SEARCH("TABLET",B1033)),
ISNUMBER(SEARCH("SMARTPH",B1033)),
ISNUMBER(SEARCH("IMPRESORA",B1033)),
ISNUMBER(SEARCH("MULTIFUNCIONAL",B1033)),
ISNUMBER(SEARCH("AIO",B1033))
),
"GANCHO",
"NORMAL"
)
)</f>
        <v>NORMAL</v>
      </c>
    </row>
    <row r="1032" spans="1:12" x14ac:dyDescent="0.25">
      <c r="A1032" s="3" t="s">
        <v>1760</v>
      </c>
      <c r="B1032" s="3" t="s">
        <v>1761</v>
      </c>
      <c r="C1032" s="1">
        <v>0</v>
      </c>
      <c r="D1032" s="1">
        <v>999</v>
      </c>
      <c r="E1032" s="1" t="s">
        <v>249</v>
      </c>
      <c r="F1032" s="1" t="s">
        <v>3660</v>
      </c>
      <c r="G1032" s="3" t="s">
        <v>1762</v>
      </c>
      <c r="H1032" s="11">
        <f>ROUND(
IF(L1030="GANCHO",
   IF(I1032&lt;=50,I1032*1.1+4,IF(I1032&lt;=120,I1032*1.1+7,IF(I1032&lt;=250,I1032*1.1+11,I1032*1.1+19))),
IF(L1030="NORMAL",
   IF(I1032&lt;=30,I1032*1.15+2,IF(I1032&lt;=80,I1032*1.15+4,IF(I1032&lt;=150,I1032*1.15+6,I1032*1.15+8))),
IF(L1030="COMPLEMENTO",
   IF(I1032&lt;=25,I1032*1.25+1.5,IF(I1032&lt;=60,I1032*1.25+3,IF(I1032&lt;=120,I1032*1.25+4,I1032*1.25+5))),
""))),2)</f>
        <v>4725.6400000000003</v>
      </c>
      <c r="I1032" s="9">
        <f>($K$2+0.02)*Tabla1[[#This Row],[PRECIO $]]*1.18</f>
        <v>4102.2936</v>
      </c>
      <c r="J1032" s="7">
        <f>+Tabla1[[#This Row],[PRECIO EN SOLES]]-Tabla1[[#This Row],[PC]]</f>
        <v>623.34640000000036</v>
      </c>
      <c r="K1032" s="15"/>
      <c r="L1032" s="15" t="str">
        <f>IF(
OR(
ISNUMBER(SEARCH("BACKPACK",B1034)),
ISNUMBER(SEARCH("MOCHILA",B1034)),
ISNUMBER(SEARCH("FUNDA",B1034)),
ISNUMBER(SEARCH("ESTUCHE",B1034)),
ISNUMBER(SEARCH("BOOK COVER",B1034)),
ISNUMBER(SEARCH("KEYBOARD PARA TABLET",B1034)),
ISNUMBER(SEARCH("FLIP TABLET",B1034)),
ISNUMBER(SEARCH("CASE FOR TABLET",B1034)),
ISNUMBER(SEARCH("CABLE",B1034)),
ISNUMBER(SEARCH("ADAPTADOR",B1034)),
ISNUMBER(SEARCH("HUB",B1034)),
ISNUMBER(SEARCH("DOCK",B1034)),
ISNUMBER(SEARCH("MOUSE PAD",B1034)),
ISNUMBER(SEARCH("MOUSEPAD",B1034)),
ISNUMBER(SEARCH("SOPORTE",B1034)),
ISNUMBER(SEARCH("STAND",B1034)),
ISNUMBER(SEARCH("TRAVEL ADAPTER",B1034)),
ISNUMBER(SEARCH("RJ45",B1034)),
ISNUMBER(SEARCH("USB-C",B1034)),
ISNUMBER(SEARCH("USB WIFI",B1034)),
ISNUMBER(SEARCH("POWERBANK",B1034)),
ISNUMBER(SEARCH("CARGADOR",B1034)),
ISNUMBER(SEARCH("COOLER PARA NB",B1034)),
ISNUMBER(SEARCH("SOPORTE PARA NB",B1034)),
ISNUMBER(SEARCH("WEBCAM",B1034)),
ISNUMBER(SEARCH("WEB CAM",B1034)),
ISNUMBER(SEARCH("MOUSE",B1034)),
ISNUMBER(SEARCH("TECLADO",B1034))
),
"COMPLEMENTO",
IF(
OR(
LEFT(A1034,2)="NB",
LEFT(A1034,2)="PC",
LEFT(A1034,2)="WS",
LEFT(A1034,2)="TB",
LEFT(A1034,3)="CEL",
LEFT(A1034,3)="MON",
LEFT(A1034,3)="PRE",
LEFT(A1034,3)="PRH",
ISNUMBER(SEARCH("NOTEBOOK",B1034)),
ISNUMBER(SEARCH("LAPTOP",B1034)),
ISNUMBER(SEARCH("MONITOR",B1034)),
ISNUMBER(SEARCH("TABLET",B1034)),
ISNUMBER(SEARCH("SMARTPH",B1034)),
ISNUMBER(SEARCH("IMPRESORA",B1034)),
ISNUMBER(SEARCH("MULTIFUNCIONAL",B1034)),
ISNUMBER(SEARCH("AIO",B1034))
),
"GANCHO",
"NORMAL"
)
)</f>
        <v>NORMAL</v>
      </c>
    </row>
    <row r="1033" spans="1:12" x14ac:dyDescent="0.25">
      <c r="A1033" s="3" t="s">
        <v>6818</v>
      </c>
      <c r="B1033" s="3" t="s">
        <v>6819</v>
      </c>
      <c r="C1033" s="1">
        <v>0</v>
      </c>
      <c r="D1033" s="1">
        <v>9999999.9900000002</v>
      </c>
      <c r="E1033" s="1" t="s">
        <v>6820</v>
      </c>
      <c r="F1033" s="1" t="s">
        <v>6821</v>
      </c>
      <c r="G1033" s="3"/>
      <c r="H1033" s="11">
        <f>ROUND(
IF(L1031="GANCHO",
   IF(I1033&lt;=50,I1033*1.1+4,IF(I1033&lt;=120,I1033*1.1+7,IF(I1033&lt;=250,I1033*1.1+11,I1033*1.1+19))),
IF(L1031="NORMAL",
   IF(I1033&lt;=30,I1033*1.15+2,IF(I1033&lt;=80,I1033*1.15+4,IF(I1033&lt;=150,I1033*1.15+6,I1033*1.15+8))),
IF(L1031="COMPLEMENTO",
   IF(I1033&lt;=25,I1033*1.25+1.5,IF(I1033&lt;=60,I1033*1.25+3,IF(I1033&lt;=120,I1033*1.25+4,I1033*1.25+5))),
""))),2)</f>
        <v>47223607.950000003</v>
      </c>
      <c r="I1033" s="9">
        <f>($K$2+0.02)*Tabla1[[#This Row],[PRECIO $]]*1.18</f>
        <v>41063999.958935998</v>
      </c>
      <c r="J1033" s="7">
        <f>+Tabla1[[#This Row],[PRECIO EN SOLES]]-Tabla1[[#This Row],[PC]]</f>
        <v>6159607.9910640046</v>
      </c>
      <c r="K1033" s="15"/>
      <c r="L1033" s="15" t="str">
        <f>IF(
OR(
ISNUMBER(SEARCH("BACKPACK",B1035)),
ISNUMBER(SEARCH("MOCHILA",B1035)),
ISNUMBER(SEARCH("FUNDA",B1035)),
ISNUMBER(SEARCH("ESTUCHE",B1035)),
ISNUMBER(SEARCH("BOOK COVER",B1035)),
ISNUMBER(SEARCH("KEYBOARD PARA TABLET",B1035)),
ISNUMBER(SEARCH("FLIP TABLET",B1035)),
ISNUMBER(SEARCH("CASE FOR TABLET",B1035)),
ISNUMBER(SEARCH("CABLE",B1035)),
ISNUMBER(SEARCH("ADAPTADOR",B1035)),
ISNUMBER(SEARCH("HUB",B1035)),
ISNUMBER(SEARCH("DOCK",B1035)),
ISNUMBER(SEARCH("MOUSE PAD",B1035)),
ISNUMBER(SEARCH("MOUSEPAD",B1035)),
ISNUMBER(SEARCH("SOPORTE",B1035)),
ISNUMBER(SEARCH("STAND",B1035)),
ISNUMBER(SEARCH("TRAVEL ADAPTER",B1035)),
ISNUMBER(SEARCH("RJ45",B1035)),
ISNUMBER(SEARCH("USB-C",B1035)),
ISNUMBER(SEARCH("USB WIFI",B1035)),
ISNUMBER(SEARCH("POWERBANK",B1035)),
ISNUMBER(SEARCH("CARGADOR",B1035)),
ISNUMBER(SEARCH("COOLER PARA NB",B1035)),
ISNUMBER(SEARCH("SOPORTE PARA NB",B1035)),
ISNUMBER(SEARCH("WEBCAM",B1035)),
ISNUMBER(SEARCH("WEB CAM",B1035)),
ISNUMBER(SEARCH("MOUSE",B1035)),
ISNUMBER(SEARCH("TECLADO",B1035))
),
"COMPLEMENTO",
IF(
OR(
LEFT(A1035,2)="NB",
LEFT(A1035,2)="PC",
LEFT(A1035,2)="WS",
LEFT(A1035,2)="TB",
LEFT(A1035,3)="CEL",
LEFT(A1035,3)="MON",
LEFT(A1035,3)="PRE",
LEFT(A1035,3)="PRH",
ISNUMBER(SEARCH("NOTEBOOK",B1035)),
ISNUMBER(SEARCH("LAPTOP",B1035)),
ISNUMBER(SEARCH("MONITOR",B1035)),
ISNUMBER(SEARCH("TABLET",B1035)),
ISNUMBER(SEARCH("SMARTPH",B1035)),
ISNUMBER(SEARCH("IMPRESORA",B1035)),
ISNUMBER(SEARCH("MULTIFUNCIONAL",B1035)),
ISNUMBER(SEARCH("AIO",B1035))
),
"GANCHO",
"NORMAL"
)
)</f>
        <v>NORMAL</v>
      </c>
    </row>
    <row r="1034" spans="1:12" x14ac:dyDescent="0.25">
      <c r="A1034" s="3" t="s">
        <v>1763</v>
      </c>
      <c r="B1034" s="3" t="s">
        <v>1764</v>
      </c>
      <c r="C1034" s="1">
        <v>20</v>
      </c>
      <c r="D1034" s="1">
        <v>148.19999999999999</v>
      </c>
      <c r="E1034" s="1" t="s">
        <v>54</v>
      </c>
      <c r="F1034" s="1" t="s">
        <v>3661</v>
      </c>
      <c r="G1034" s="3" t="s">
        <v>1765</v>
      </c>
      <c r="H1034" s="11">
        <f>ROUND(
IF(L1032="GANCHO",
   IF(I1034&lt;=50,I1034*1.1+4,IF(I1034&lt;=120,I1034*1.1+7,IF(I1034&lt;=250,I1034*1.1+11,I1034*1.1+19))),
IF(L1032="NORMAL",
   IF(I1034&lt;=30,I1034*1.15+2,IF(I1034&lt;=80,I1034*1.15+4,IF(I1034&lt;=150,I1034*1.15+6,I1034*1.15+8))),
IF(L1032="COMPLEMENTO",
   IF(I1034&lt;=25,I1034*1.25+1.5,IF(I1034&lt;=60,I1034*1.25+3,IF(I1034&lt;=120,I1034*1.25+4,I1034*1.25+5))),
""))),2)</f>
        <v>707.85</v>
      </c>
      <c r="I1034" s="9">
        <f>($K$2+0.02)*Tabla1[[#This Row],[PRECIO $]]*1.18</f>
        <v>608.56847999999991</v>
      </c>
      <c r="J1034" s="7">
        <f>+Tabla1[[#This Row],[PRECIO EN SOLES]]-Tabla1[[#This Row],[PC]]</f>
        <v>99.281520000000114</v>
      </c>
      <c r="K1034" s="15"/>
      <c r="L1034" s="15" t="str">
        <f>IF(
OR(
ISNUMBER(SEARCH("BACKPACK",B1036)),
ISNUMBER(SEARCH("MOCHILA",B1036)),
ISNUMBER(SEARCH("FUNDA",B1036)),
ISNUMBER(SEARCH("ESTUCHE",B1036)),
ISNUMBER(SEARCH("BOOK COVER",B1036)),
ISNUMBER(SEARCH("KEYBOARD PARA TABLET",B1036)),
ISNUMBER(SEARCH("FLIP TABLET",B1036)),
ISNUMBER(SEARCH("CASE FOR TABLET",B1036)),
ISNUMBER(SEARCH("CABLE",B1036)),
ISNUMBER(SEARCH("ADAPTADOR",B1036)),
ISNUMBER(SEARCH("HUB",B1036)),
ISNUMBER(SEARCH("DOCK",B1036)),
ISNUMBER(SEARCH("MOUSE PAD",B1036)),
ISNUMBER(SEARCH("MOUSEPAD",B1036)),
ISNUMBER(SEARCH("SOPORTE",B1036)),
ISNUMBER(SEARCH("STAND",B1036)),
ISNUMBER(SEARCH("TRAVEL ADAPTER",B1036)),
ISNUMBER(SEARCH("RJ45",B1036)),
ISNUMBER(SEARCH("USB-C",B1036)),
ISNUMBER(SEARCH("USB WIFI",B1036)),
ISNUMBER(SEARCH("POWERBANK",B1036)),
ISNUMBER(SEARCH("CARGADOR",B1036)),
ISNUMBER(SEARCH("COOLER PARA NB",B1036)),
ISNUMBER(SEARCH("SOPORTE PARA NB",B1036)),
ISNUMBER(SEARCH("WEBCAM",B1036)),
ISNUMBER(SEARCH("WEB CAM",B1036)),
ISNUMBER(SEARCH("MOUSE",B1036)),
ISNUMBER(SEARCH("TECLADO",B1036))
),
"COMPLEMENTO",
IF(
OR(
LEFT(A1036,2)="NB",
LEFT(A1036,2)="PC",
LEFT(A1036,2)="WS",
LEFT(A1036,2)="TB",
LEFT(A1036,3)="CEL",
LEFT(A1036,3)="MON",
LEFT(A1036,3)="PRE",
LEFT(A1036,3)="PRH",
ISNUMBER(SEARCH("NOTEBOOK",B1036)),
ISNUMBER(SEARCH("LAPTOP",B1036)),
ISNUMBER(SEARCH("MONITOR",B1036)),
ISNUMBER(SEARCH("TABLET",B1036)),
ISNUMBER(SEARCH("SMARTPH",B1036)),
ISNUMBER(SEARCH("IMPRESORA",B1036)),
ISNUMBER(SEARCH("MULTIFUNCIONAL",B1036)),
ISNUMBER(SEARCH("AIO",B1036))
),
"GANCHO",
"NORMAL"
)
)</f>
        <v>NORMAL</v>
      </c>
    </row>
    <row r="1035" spans="1:12" x14ac:dyDescent="0.25">
      <c r="A1035" s="3" t="s">
        <v>358</v>
      </c>
      <c r="B1035" s="3" t="s">
        <v>359</v>
      </c>
      <c r="C1035" s="1">
        <v>20</v>
      </c>
      <c r="D1035" s="1">
        <v>139.5</v>
      </c>
      <c r="E1035" s="1" t="s">
        <v>249</v>
      </c>
      <c r="F1035" s="1" t="s">
        <v>3662</v>
      </c>
      <c r="G1035" s="3" t="s">
        <v>360</v>
      </c>
      <c r="H1035" s="11">
        <f>ROUND(
IF(L1033="GANCHO",
   IF(I1035&lt;=50,I1035*1.1+4,IF(I1035&lt;=120,I1035*1.1+7,IF(I1035&lt;=250,I1035*1.1+11,I1035*1.1+19))),
IF(L1033="NORMAL",
   IF(I1035&lt;=30,I1035*1.15+2,IF(I1035&lt;=80,I1035*1.15+4,IF(I1035&lt;=150,I1035*1.15+6,I1035*1.15+8))),
IF(L1033="COMPLEMENTO",
   IF(I1035&lt;=25,I1035*1.25+1.5,IF(I1035&lt;=60,I1035*1.25+3,IF(I1035&lt;=120,I1035*1.25+4,I1035*1.25+5))),
""))),2)</f>
        <v>666.77</v>
      </c>
      <c r="I1035" s="9">
        <f>($K$2+0.02)*Tabla1[[#This Row],[PRECIO $]]*1.18</f>
        <v>572.8427999999999</v>
      </c>
      <c r="J1035" s="7">
        <f>+Tabla1[[#This Row],[PRECIO EN SOLES]]-Tabla1[[#This Row],[PC]]</f>
        <v>93.927200000000084</v>
      </c>
      <c r="K1035" s="15"/>
      <c r="L1035" s="15" t="str">
        <f>IF(
OR(
ISNUMBER(SEARCH("BACKPACK",B1037)),
ISNUMBER(SEARCH("MOCHILA",B1037)),
ISNUMBER(SEARCH("FUNDA",B1037)),
ISNUMBER(SEARCH("ESTUCHE",B1037)),
ISNUMBER(SEARCH("BOOK COVER",B1037)),
ISNUMBER(SEARCH("KEYBOARD PARA TABLET",B1037)),
ISNUMBER(SEARCH("FLIP TABLET",B1037)),
ISNUMBER(SEARCH("CASE FOR TABLET",B1037)),
ISNUMBER(SEARCH("CABLE",B1037)),
ISNUMBER(SEARCH("ADAPTADOR",B1037)),
ISNUMBER(SEARCH("HUB",B1037)),
ISNUMBER(SEARCH("DOCK",B1037)),
ISNUMBER(SEARCH("MOUSE PAD",B1037)),
ISNUMBER(SEARCH("MOUSEPAD",B1037)),
ISNUMBER(SEARCH("SOPORTE",B1037)),
ISNUMBER(SEARCH("STAND",B1037)),
ISNUMBER(SEARCH("TRAVEL ADAPTER",B1037)),
ISNUMBER(SEARCH("RJ45",B1037)),
ISNUMBER(SEARCH("USB-C",B1037)),
ISNUMBER(SEARCH("USB WIFI",B1037)),
ISNUMBER(SEARCH("POWERBANK",B1037)),
ISNUMBER(SEARCH("CARGADOR",B1037)),
ISNUMBER(SEARCH("COOLER PARA NB",B1037)),
ISNUMBER(SEARCH("SOPORTE PARA NB",B1037)),
ISNUMBER(SEARCH("WEBCAM",B1037)),
ISNUMBER(SEARCH("WEB CAM",B1037)),
ISNUMBER(SEARCH("MOUSE",B1037)),
ISNUMBER(SEARCH("TECLADO",B1037))
),
"COMPLEMENTO",
IF(
OR(
LEFT(A1037,2)="NB",
LEFT(A1037,2)="PC",
LEFT(A1037,2)="WS",
LEFT(A1037,2)="TB",
LEFT(A1037,3)="CEL",
LEFT(A1037,3)="MON",
LEFT(A1037,3)="PRE",
LEFT(A1037,3)="PRH",
ISNUMBER(SEARCH("NOTEBOOK",B1037)),
ISNUMBER(SEARCH("LAPTOP",B1037)),
ISNUMBER(SEARCH("MONITOR",B1037)),
ISNUMBER(SEARCH("TABLET",B1037)),
ISNUMBER(SEARCH("SMARTPH",B1037)),
ISNUMBER(SEARCH("IMPRESORA",B1037)),
ISNUMBER(SEARCH("MULTIFUNCIONAL",B1037)),
ISNUMBER(SEARCH("AIO",B1037))
),
"GANCHO",
"NORMAL"
)
)</f>
        <v>NORMAL</v>
      </c>
    </row>
    <row r="1036" spans="1:12" x14ac:dyDescent="0.25">
      <c r="A1036" s="3" t="s">
        <v>1766</v>
      </c>
      <c r="B1036" s="3" t="s">
        <v>1767</v>
      </c>
      <c r="C1036" s="1">
        <v>8</v>
      </c>
      <c r="D1036" s="1">
        <v>115</v>
      </c>
      <c r="E1036" s="1" t="s">
        <v>54</v>
      </c>
      <c r="F1036" s="1" t="s">
        <v>3663</v>
      </c>
      <c r="G1036" s="3" t="s">
        <v>1768</v>
      </c>
      <c r="H1036" s="11">
        <f>ROUND(
IF(L1034="GANCHO",
   IF(I1036&lt;=50,I1036*1.1+4,IF(I1036&lt;=120,I1036*1.1+7,IF(I1036&lt;=250,I1036*1.1+11,I1036*1.1+19))),
IF(L1034="NORMAL",
   IF(I1036&lt;=30,I1036*1.15+2,IF(I1036&lt;=80,I1036*1.15+4,IF(I1036&lt;=150,I1036*1.15+6,I1036*1.15+8))),
IF(L1034="COMPLEMENTO",
   IF(I1036&lt;=25,I1036*1.25+1.5,IF(I1036&lt;=60,I1036*1.25+3,IF(I1036&lt;=120,I1036*1.25+4,I1036*1.25+5))),
""))),2)</f>
        <v>551.07000000000005</v>
      </c>
      <c r="I1036" s="9">
        <f>($K$2+0.02)*Tabla1[[#This Row],[PRECIO $]]*1.18</f>
        <v>472.23599999999999</v>
      </c>
      <c r="J1036" s="7">
        <f>+Tabla1[[#This Row],[PRECIO EN SOLES]]-Tabla1[[#This Row],[PC]]</f>
        <v>78.83400000000006</v>
      </c>
      <c r="K1036" s="15"/>
      <c r="L1036" s="15" t="str">
        <f>IF(
OR(
ISNUMBER(SEARCH("BACKPACK",B1038)),
ISNUMBER(SEARCH("MOCHILA",B1038)),
ISNUMBER(SEARCH("FUNDA",B1038)),
ISNUMBER(SEARCH("ESTUCHE",B1038)),
ISNUMBER(SEARCH("BOOK COVER",B1038)),
ISNUMBER(SEARCH("KEYBOARD PARA TABLET",B1038)),
ISNUMBER(SEARCH("FLIP TABLET",B1038)),
ISNUMBER(SEARCH("CASE FOR TABLET",B1038)),
ISNUMBER(SEARCH("CABLE",B1038)),
ISNUMBER(SEARCH("ADAPTADOR",B1038)),
ISNUMBER(SEARCH("HUB",B1038)),
ISNUMBER(SEARCH("DOCK",B1038)),
ISNUMBER(SEARCH("MOUSE PAD",B1038)),
ISNUMBER(SEARCH("MOUSEPAD",B1038)),
ISNUMBER(SEARCH("SOPORTE",B1038)),
ISNUMBER(SEARCH("STAND",B1038)),
ISNUMBER(SEARCH("TRAVEL ADAPTER",B1038)),
ISNUMBER(SEARCH("RJ45",B1038)),
ISNUMBER(SEARCH("USB-C",B1038)),
ISNUMBER(SEARCH("USB WIFI",B1038)),
ISNUMBER(SEARCH("POWERBANK",B1038)),
ISNUMBER(SEARCH("CARGADOR",B1038)),
ISNUMBER(SEARCH("COOLER PARA NB",B1038)),
ISNUMBER(SEARCH("SOPORTE PARA NB",B1038)),
ISNUMBER(SEARCH("WEBCAM",B1038)),
ISNUMBER(SEARCH("WEB CAM",B1038)),
ISNUMBER(SEARCH("MOUSE",B1038)),
ISNUMBER(SEARCH("TECLADO",B1038))
),
"COMPLEMENTO",
IF(
OR(
LEFT(A1038,2)="NB",
LEFT(A1038,2)="PC",
LEFT(A1038,2)="WS",
LEFT(A1038,2)="TB",
LEFT(A1038,3)="CEL",
LEFT(A1038,3)="MON",
LEFT(A1038,3)="PRE",
LEFT(A1038,3)="PRH",
ISNUMBER(SEARCH("NOTEBOOK",B1038)),
ISNUMBER(SEARCH("LAPTOP",B1038)),
ISNUMBER(SEARCH("MONITOR",B1038)),
ISNUMBER(SEARCH("TABLET",B1038)),
ISNUMBER(SEARCH("SMARTPH",B1038)),
ISNUMBER(SEARCH("IMPRESORA",B1038)),
ISNUMBER(SEARCH("MULTIFUNCIONAL",B1038)),
ISNUMBER(SEARCH("AIO",B1038))
),
"GANCHO",
"NORMAL"
)
)</f>
        <v>NORMAL</v>
      </c>
    </row>
    <row r="1037" spans="1:12" x14ac:dyDescent="0.25">
      <c r="A1037" s="3" t="s">
        <v>6822</v>
      </c>
      <c r="B1037" s="3" t="s">
        <v>6823</v>
      </c>
      <c r="C1037" s="1">
        <v>20</v>
      </c>
      <c r="D1037" s="1">
        <v>108.58</v>
      </c>
      <c r="E1037" s="1" t="s">
        <v>249</v>
      </c>
      <c r="F1037" s="1" t="s">
        <v>6824</v>
      </c>
      <c r="G1037" s="3" t="s">
        <v>6825</v>
      </c>
      <c r="H1037" s="11">
        <f>ROUND(
IF(L1035="GANCHO",
   IF(I1037&lt;=50,I1037*1.1+4,IF(I1037&lt;=120,I1037*1.1+7,IF(I1037&lt;=250,I1037*1.1+11,I1037*1.1+19))),
IF(L1035="NORMAL",
   IF(I1037&lt;=30,I1037*1.15+2,IF(I1037&lt;=80,I1037*1.15+4,IF(I1037&lt;=150,I1037*1.15+6,I1037*1.15+8))),
IF(L1035="COMPLEMENTO",
   IF(I1037&lt;=25,I1037*1.25+1.5,IF(I1037&lt;=60,I1037*1.25+3,IF(I1037&lt;=120,I1037*1.25+4,I1037*1.25+5))),
""))),2)</f>
        <v>520.75</v>
      </c>
      <c r="I1037" s="9">
        <f>($K$2+0.02)*Tabla1[[#This Row],[PRECIO $]]*1.18</f>
        <v>445.87291199999999</v>
      </c>
      <c r="J1037" s="7">
        <f>+Tabla1[[#This Row],[PRECIO EN SOLES]]-Tabla1[[#This Row],[PC]]</f>
        <v>74.877088000000015</v>
      </c>
      <c r="K1037" s="15"/>
      <c r="L1037" s="15" t="str">
        <f>IF(
OR(
ISNUMBER(SEARCH("BACKPACK",B1039)),
ISNUMBER(SEARCH("MOCHILA",B1039)),
ISNUMBER(SEARCH("FUNDA",B1039)),
ISNUMBER(SEARCH("ESTUCHE",B1039)),
ISNUMBER(SEARCH("BOOK COVER",B1039)),
ISNUMBER(SEARCH("KEYBOARD PARA TABLET",B1039)),
ISNUMBER(SEARCH("FLIP TABLET",B1039)),
ISNUMBER(SEARCH("CASE FOR TABLET",B1039)),
ISNUMBER(SEARCH("CABLE",B1039)),
ISNUMBER(SEARCH("ADAPTADOR",B1039)),
ISNUMBER(SEARCH("HUB",B1039)),
ISNUMBER(SEARCH("DOCK",B1039)),
ISNUMBER(SEARCH("MOUSE PAD",B1039)),
ISNUMBER(SEARCH("MOUSEPAD",B1039)),
ISNUMBER(SEARCH("SOPORTE",B1039)),
ISNUMBER(SEARCH("STAND",B1039)),
ISNUMBER(SEARCH("TRAVEL ADAPTER",B1039)),
ISNUMBER(SEARCH("RJ45",B1039)),
ISNUMBER(SEARCH("USB-C",B1039)),
ISNUMBER(SEARCH("USB WIFI",B1039)),
ISNUMBER(SEARCH("POWERBANK",B1039)),
ISNUMBER(SEARCH("CARGADOR",B1039)),
ISNUMBER(SEARCH("COOLER PARA NB",B1039)),
ISNUMBER(SEARCH("SOPORTE PARA NB",B1039)),
ISNUMBER(SEARCH("WEBCAM",B1039)),
ISNUMBER(SEARCH("WEB CAM",B1039)),
ISNUMBER(SEARCH("MOUSE",B1039)),
ISNUMBER(SEARCH("TECLADO",B1039))
),
"COMPLEMENTO",
IF(
OR(
LEFT(A1039,2)="NB",
LEFT(A1039,2)="PC",
LEFT(A1039,2)="WS",
LEFT(A1039,2)="TB",
LEFT(A1039,3)="CEL",
LEFT(A1039,3)="MON",
LEFT(A1039,3)="PRE",
LEFT(A1039,3)="PRH",
ISNUMBER(SEARCH("NOTEBOOK",B1039)),
ISNUMBER(SEARCH("LAPTOP",B1039)),
ISNUMBER(SEARCH("MONITOR",B1039)),
ISNUMBER(SEARCH("TABLET",B1039)),
ISNUMBER(SEARCH("SMARTPH",B1039)),
ISNUMBER(SEARCH("IMPRESORA",B1039)),
ISNUMBER(SEARCH("MULTIFUNCIONAL",B1039)),
ISNUMBER(SEARCH("AIO",B1039))
),
"GANCHO",
"NORMAL"
)
)</f>
        <v>NORMAL</v>
      </c>
    </row>
    <row r="1038" spans="1:12" x14ac:dyDescent="0.25">
      <c r="A1038" s="3" t="s">
        <v>6826</v>
      </c>
      <c r="B1038" s="3" t="s">
        <v>6827</v>
      </c>
      <c r="C1038" s="1">
        <v>0</v>
      </c>
      <c r="D1038" s="1">
        <v>5836</v>
      </c>
      <c r="E1038" s="1" t="s">
        <v>249</v>
      </c>
      <c r="F1038" s="1" t="s">
        <v>6828</v>
      </c>
      <c r="G1038" s="3" t="s">
        <v>6829</v>
      </c>
      <c r="H1038" s="11">
        <f>ROUND(
IF(L1036="GANCHO",
   IF(I1038&lt;=50,I1038*1.1+4,IF(I1038&lt;=120,I1038*1.1+7,IF(I1038&lt;=250,I1038*1.1+11,I1038*1.1+19))),
IF(L1036="NORMAL",
   IF(I1038&lt;=30,I1038*1.15+2,IF(I1038&lt;=80,I1038*1.15+4,IF(I1038&lt;=150,I1038*1.15+6,I1038*1.15+8))),
IF(L1036="COMPLEMENTO",
   IF(I1038&lt;=25,I1038*1.25+1.5,IF(I1038&lt;=60,I1038*1.25+3,IF(I1038&lt;=120,I1038*1.25+4,I1038*1.25+5))),
""))),2)</f>
        <v>27567.69</v>
      </c>
      <c r="I1038" s="9">
        <f>($K$2+0.02)*Tabla1[[#This Row],[PRECIO $]]*1.18</f>
        <v>23964.950399999998</v>
      </c>
      <c r="J1038" s="7">
        <f>+Tabla1[[#This Row],[PRECIO EN SOLES]]-Tabla1[[#This Row],[PC]]</f>
        <v>3602.7396000000008</v>
      </c>
      <c r="K1038" s="15"/>
      <c r="L1038" s="15" t="str">
        <f>IF(
OR(
ISNUMBER(SEARCH("BACKPACK",B1040)),
ISNUMBER(SEARCH("MOCHILA",B1040)),
ISNUMBER(SEARCH("FUNDA",B1040)),
ISNUMBER(SEARCH("ESTUCHE",B1040)),
ISNUMBER(SEARCH("BOOK COVER",B1040)),
ISNUMBER(SEARCH("KEYBOARD PARA TABLET",B1040)),
ISNUMBER(SEARCH("FLIP TABLET",B1040)),
ISNUMBER(SEARCH("CASE FOR TABLET",B1040)),
ISNUMBER(SEARCH("CABLE",B1040)),
ISNUMBER(SEARCH("ADAPTADOR",B1040)),
ISNUMBER(SEARCH("HUB",B1040)),
ISNUMBER(SEARCH("DOCK",B1040)),
ISNUMBER(SEARCH("MOUSE PAD",B1040)),
ISNUMBER(SEARCH("MOUSEPAD",B1040)),
ISNUMBER(SEARCH("SOPORTE",B1040)),
ISNUMBER(SEARCH("STAND",B1040)),
ISNUMBER(SEARCH("TRAVEL ADAPTER",B1040)),
ISNUMBER(SEARCH("RJ45",B1040)),
ISNUMBER(SEARCH("USB-C",B1040)),
ISNUMBER(SEARCH("USB WIFI",B1040)),
ISNUMBER(SEARCH("POWERBANK",B1040)),
ISNUMBER(SEARCH("CARGADOR",B1040)),
ISNUMBER(SEARCH("COOLER PARA NB",B1040)),
ISNUMBER(SEARCH("SOPORTE PARA NB",B1040)),
ISNUMBER(SEARCH("WEBCAM",B1040)),
ISNUMBER(SEARCH("WEB CAM",B1040)),
ISNUMBER(SEARCH("MOUSE",B1040)),
ISNUMBER(SEARCH("TECLADO",B1040))
),
"COMPLEMENTO",
IF(
OR(
LEFT(A1040,2)="NB",
LEFT(A1040,2)="PC",
LEFT(A1040,2)="WS",
LEFT(A1040,2)="TB",
LEFT(A1040,3)="CEL",
LEFT(A1040,3)="MON",
LEFT(A1040,3)="PRE",
LEFT(A1040,3)="PRH",
ISNUMBER(SEARCH("NOTEBOOK",B1040)),
ISNUMBER(SEARCH("LAPTOP",B1040)),
ISNUMBER(SEARCH("MONITOR",B1040)),
ISNUMBER(SEARCH("TABLET",B1040)),
ISNUMBER(SEARCH("SMARTPH",B1040)),
ISNUMBER(SEARCH("IMPRESORA",B1040)),
ISNUMBER(SEARCH("MULTIFUNCIONAL",B1040)),
ISNUMBER(SEARCH("AIO",B1040))
),
"GANCHO",
"NORMAL"
)
)</f>
        <v>NORMAL</v>
      </c>
    </row>
    <row r="1039" spans="1:12" x14ac:dyDescent="0.25">
      <c r="A1039" s="3" t="s">
        <v>6068</v>
      </c>
      <c r="B1039" s="3" t="s">
        <v>6069</v>
      </c>
      <c r="C1039" s="1">
        <v>5</v>
      </c>
      <c r="D1039" s="1">
        <v>929.79</v>
      </c>
      <c r="E1039" s="1" t="s">
        <v>249</v>
      </c>
      <c r="F1039" s="1" t="s">
        <v>6070</v>
      </c>
      <c r="G1039" s="3" t="s">
        <v>6071</v>
      </c>
      <c r="H1039" s="11">
        <f>ROUND(
IF(L1037="GANCHO",
   IF(I1039&lt;=50,I1039*1.1+4,IF(I1039&lt;=120,I1039*1.1+7,IF(I1039&lt;=250,I1039*1.1+11,I1039*1.1+19))),
IF(L1037="NORMAL",
   IF(I1039&lt;=30,I1039*1.15+2,IF(I1039&lt;=80,I1039*1.15+4,IF(I1039&lt;=150,I1039*1.15+6,I1039*1.15+8))),
IF(L1037="COMPLEMENTO",
   IF(I1039&lt;=25,I1039*1.25+1.5,IF(I1039&lt;=60,I1039*1.25+3,IF(I1039&lt;=120,I1039*1.25+4,I1039*1.25+5))),
""))),2)</f>
        <v>4398.8</v>
      </c>
      <c r="I1039" s="9">
        <f>($K$2+0.02)*Tabla1[[#This Row],[PRECIO $]]*1.18</f>
        <v>3818.0896559999996</v>
      </c>
      <c r="J1039" s="7">
        <f>+Tabla1[[#This Row],[PRECIO EN SOLES]]-Tabla1[[#This Row],[PC]]</f>
        <v>580.71034400000053</v>
      </c>
      <c r="K1039" s="15"/>
      <c r="L1039" s="15" t="str">
        <f>IF(
OR(
ISNUMBER(SEARCH("BACKPACK",B1041)),
ISNUMBER(SEARCH("MOCHILA",B1041)),
ISNUMBER(SEARCH("FUNDA",B1041)),
ISNUMBER(SEARCH("ESTUCHE",B1041)),
ISNUMBER(SEARCH("BOOK COVER",B1041)),
ISNUMBER(SEARCH("KEYBOARD PARA TABLET",B1041)),
ISNUMBER(SEARCH("FLIP TABLET",B1041)),
ISNUMBER(SEARCH("CASE FOR TABLET",B1041)),
ISNUMBER(SEARCH("CABLE",B1041)),
ISNUMBER(SEARCH("ADAPTADOR",B1041)),
ISNUMBER(SEARCH("HUB",B1041)),
ISNUMBER(SEARCH("DOCK",B1041)),
ISNUMBER(SEARCH("MOUSE PAD",B1041)),
ISNUMBER(SEARCH("MOUSEPAD",B1041)),
ISNUMBER(SEARCH("SOPORTE",B1041)),
ISNUMBER(SEARCH("STAND",B1041)),
ISNUMBER(SEARCH("TRAVEL ADAPTER",B1041)),
ISNUMBER(SEARCH("RJ45",B1041)),
ISNUMBER(SEARCH("USB-C",B1041)),
ISNUMBER(SEARCH("USB WIFI",B1041)),
ISNUMBER(SEARCH("POWERBANK",B1041)),
ISNUMBER(SEARCH("CARGADOR",B1041)),
ISNUMBER(SEARCH("COOLER PARA NB",B1041)),
ISNUMBER(SEARCH("SOPORTE PARA NB",B1041)),
ISNUMBER(SEARCH("WEBCAM",B1041)),
ISNUMBER(SEARCH("WEB CAM",B1041)),
ISNUMBER(SEARCH("MOUSE",B1041)),
ISNUMBER(SEARCH("TECLADO",B1041))
),
"COMPLEMENTO",
IF(
OR(
LEFT(A1041,2)="NB",
LEFT(A1041,2)="PC",
LEFT(A1041,2)="WS",
LEFT(A1041,2)="TB",
LEFT(A1041,3)="CEL",
LEFT(A1041,3)="MON",
LEFT(A1041,3)="PRE",
LEFT(A1041,3)="PRH",
ISNUMBER(SEARCH("NOTEBOOK",B1041)),
ISNUMBER(SEARCH("LAPTOP",B1041)),
ISNUMBER(SEARCH("MONITOR",B1041)),
ISNUMBER(SEARCH("TABLET",B1041)),
ISNUMBER(SEARCH("SMARTPH",B1041)),
ISNUMBER(SEARCH("IMPRESORA",B1041)),
ISNUMBER(SEARCH("MULTIFUNCIONAL",B1041)),
ISNUMBER(SEARCH("AIO",B1041))
),
"GANCHO",
"NORMAL"
)
)</f>
        <v>NORMAL</v>
      </c>
    </row>
    <row r="1040" spans="1:12" x14ac:dyDescent="0.25">
      <c r="A1040" s="3" t="s">
        <v>361</v>
      </c>
      <c r="B1040" s="3" t="s">
        <v>362</v>
      </c>
      <c r="C1040" s="1">
        <v>20</v>
      </c>
      <c r="D1040" s="1">
        <v>38.299999999999997</v>
      </c>
      <c r="E1040" s="1" t="s">
        <v>249</v>
      </c>
      <c r="F1040" s="1" t="s">
        <v>3664</v>
      </c>
      <c r="G1040" s="3" t="s">
        <v>363</v>
      </c>
      <c r="H1040" s="11">
        <f>ROUND(
IF(L1038="GANCHO",
   IF(I1040&lt;=50,I1040*1.1+4,IF(I1040&lt;=120,I1040*1.1+7,IF(I1040&lt;=250,I1040*1.1+11,I1040*1.1+19))),
IF(L1038="NORMAL",
   IF(I1040&lt;=30,I1040*1.15+2,IF(I1040&lt;=80,I1040*1.15+4,IF(I1040&lt;=150,I1040*1.15+6,I1040*1.15+8))),
IF(L1038="COMPLEMENTO",
   IF(I1040&lt;=25,I1040*1.25+1.5,IF(I1040&lt;=60,I1040*1.25+3,IF(I1040&lt;=120,I1040*1.25+4,I1040*1.25+5))),
""))),2)</f>
        <v>188.87</v>
      </c>
      <c r="I1040" s="9">
        <f>($K$2+0.02)*Tabla1[[#This Row],[PRECIO $]]*1.18</f>
        <v>157.27511999999999</v>
      </c>
      <c r="J1040" s="7">
        <f>+Tabla1[[#This Row],[PRECIO EN SOLES]]-Tabla1[[#This Row],[PC]]</f>
        <v>31.594880000000018</v>
      </c>
      <c r="K1040" s="15"/>
      <c r="L1040" s="15" t="str">
        <f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NORMAL</v>
      </c>
    </row>
    <row r="1041" spans="1:12" x14ac:dyDescent="0.25">
      <c r="A1041" s="3" t="s">
        <v>364</v>
      </c>
      <c r="B1041" s="3" t="s">
        <v>365</v>
      </c>
      <c r="C1041" s="1">
        <v>20</v>
      </c>
      <c r="D1041" s="1">
        <v>47.18</v>
      </c>
      <c r="E1041" s="1" t="s">
        <v>249</v>
      </c>
      <c r="F1041" s="1" t="s">
        <v>3665</v>
      </c>
      <c r="G1041" s="3" t="s">
        <v>366</v>
      </c>
      <c r="H1041" s="11">
        <f>ROUND(
IF(L1039="GANCHO",
   IF(I1041&lt;=50,I1041*1.1+4,IF(I1041&lt;=120,I1041*1.1+7,IF(I1041&lt;=250,I1041*1.1+11,I1041*1.1+19))),
IF(L1039="NORMAL",
   IF(I1041&lt;=30,I1041*1.15+2,IF(I1041&lt;=80,I1041*1.15+4,IF(I1041&lt;=150,I1041*1.15+6,I1041*1.15+8))),
IF(L1039="COMPLEMENTO",
   IF(I1041&lt;=25,I1041*1.25+1.5,IF(I1041&lt;=60,I1041*1.25+3,IF(I1041&lt;=120,I1041*1.25+4,I1041*1.25+5))),
""))),2)</f>
        <v>230.8</v>
      </c>
      <c r="I1041" s="9">
        <f>($K$2+0.02)*Tabla1[[#This Row],[PRECIO $]]*1.18</f>
        <v>193.73995199999999</v>
      </c>
      <c r="J1041" s="7">
        <f>+Tabla1[[#This Row],[PRECIO EN SOLES]]-Tabla1[[#This Row],[PC]]</f>
        <v>37.060048000000023</v>
      </c>
      <c r="K1041" s="15"/>
      <c r="L1041" s="15" t="str">
        <f>IF(
OR(
ISNUMBER(SEARCH("BACKPACK",B1043)),
ISNUMBER(SEARCH("MOCHILA",B1043)),
ISNUMBER(SEARCH("FUNDA",B1043)),
ISNUMBER(SEARCH("ESTUCHE",B1043)),
ISNUMBER(SEARCH("BOOK COVER",B1043)),
ISNUMBER(SEARCH("KEYBOARD PARA TABLET",B1043)),
ISNUMBER(SEARCH("FLIP TABLET",B1043)),
ISNUMBER(SEARCH("CASE FOR TABLET",B1043)),
ISNUMBER(SEARCH("CABLE",B1043)),
ISNUMBER(SEARCH("ADAPTADOR",B1043)),
ISNUMBER(SEARCH("HUB",B1043)),
ISNUMBER(SEARCH("DOCK",B1043)),
ISNUMBER(SEARCH("MOUSE PAD",B1043)),
ISNUMBER(SEARCH("MOUSEPAD",B1043)),
ISNUMBER(SEARCH("SOPORTE",B1043)),
ISNUMBER(SEARCH("STAND",B1043)),
ISNUMBER(SEARCH("TRAVEL ADAPTER",B1043)),
ISNUMBER(SEARCH("RJ45",B1043)),
ISNUMBER(SEARCH("USB-C",B1043)),
ISNUMBER(SEARCH("USB WIFI",B1043)),
ISNUMBER(SEARCH("POWERBANK",B1043)),
ISNUMBER(SEARCH("CARGADOR",B1043)),
ISNUMBER(SEARCH("COOLER PARA NB",B1043)),
ISNUMBER(SEARCH("SOPORTE PARA NB",B1043)),
ISNUMBER(SEARCH("WEBCAM",B1043)),
ISNUMBER(SEARCH("WEB CAM",B1043)),
ISNUMBER(SEARCH("MOUSE",B1043)),
ISNUMBER(SEARCH("TECLADO",B1043))
),
"COMPLEMENTO",
IF(
OR(
LEFT(A1043,2)="NB",
LEFT(A1043,2)="PC",
LEFT(A1043,2)="WS",
LEFT(A1043,2)="TB",
LEFT(A1043,3)="CEL",
LEFT(A1043,3)="MON",
LEFT(A1043,3)="PRE",
LEFT(A1043,3)="PRH",
ISNUMBER(SEARCH("NOTEBOOK",B1043)),
ISNUMBER(SEARCH("LAPTOP",B1043)),
ISNUMBER(SEARCH("MONITOR",B1043)),
ISNUMBER(SEARCH("TABLET",B1043)),
ISNUMBER(SEARCH("SMARTPH",B1043)),
ISNUMBER(SEARCH("IMPRESORA",B1043)),
ISNUMBER(SEARCH("MULTIFUNCIONAL",B1043)),
ISNUMBER(SEARCH("AIO",B1043))
),
"GANCHO",
"NORMAL"
)
)</f>
        <v>NORMAL</v>
      </c>
    </row>
    <row r="1042" spans="1:12" x14ac:dyDescent="0.25">
      <c r="A1042" s="3" t="s">
        <v>1769</v>
      </c>
      <c r="B1042" s="3" t="s">
        <v>1770</v>
      </c>
      <c r="C1042" s="1">
        <v>13</v>
      </c>
      <c r="D1042" s="1">
        <v>119.2</v>
      </c>
      <c r="E1042" s="1" t="s">
        <v>249</v>
      </c>
      <c r="F1042" s="1" t="s">
        <v>3666</v>
      </c>
      <c r="G1042" s="3" t="s">
        <v>1771</v>
      </c>
      <c r="H1042" s="11">
        <f>ROUND(
IF(L1040="GANCHO",
   IF(I1042&lt;=50,I1042*1.1+4,IF(I1042&lt;=120,I1042*1.1+7,IF(I1042&lt;=250,I1042*1.1+11,I1042*1.1+19))),
IF(L1040="NORMAL",
   IF(I1042&lt;=30,I1042*1.15+2,IF(I1042&lt;=80,I1042*1.15+4,IF(I1042&lt;=150,I1042*1.15+6,I1042*1.15+8))),
IF(L1040="COMPLEMENTO",
   IF(I1042&lt;=25,I1042*1.25+1.5,IF(I1042&lt;=60,I1042*1.25+3,IF(I1042&lt;=120,I1042*1.25+4,I1042*1.25+5))),
""))),2)</f>
        <v>570.91</v>
      </c>
      <c r="I1042" s="9">
        <f>($K$2+0.02)*Tabla1[[#This Row],[PRECIO $]]*1.18</f>
        <v>489.48288000000002</v>
      </c>
      <c r="J1042" s="7">
        <f>+Tabla1[[#This Row],[PRECIO EN SOLES]]-Tabla1[[#This Row],[PC]]</f>
        <v>81.427119999999945</v>
      </c>
      <c r="K1042" s="15"/>
      <c r="L1042" s="15" t="str">
        <f>IF(
OR(
ISNUMBER(SEARCH("BACKPACK",B1044)),
ISNUMBER(SEARCH("MOCHILA",B1044)),
ISNUMBER(SEARCH("FUNDA",B1044)),
ISNUMBER(SEARCH("ESTUCHE",B1044)),
ISNUMBER(SEARCH("BOOK COVER",B1044)),
ISNUMBER(SEARCH("KEYBOARD PARA TABLET",B1044)),
ISNUMBER(SEARCH("FLIP TABLET",B1044)),
ISNUMBER(SEARCH("CASE FOR TABLET",B1044)),
ISNUMBER(SEARCH("CABLE",B1044)),
ISNUMBER(SEARCH("ADAPTADOR",B1044)),
ISNUMBER(SEARCH("HUB",B1044)),
ISNUMBER(SEARCH("DOCK",B1044)),
ISNUMBER(SEARCH("MOUSE PAD",B1044)),
ISNUMBER(SEARCH("MOUSEPAD",B1044)),
ISNUMBER(SEARCH("SOPORTE",B1044)),
ISNUMBER(SEARCH("STAND",B1044)),
ISNUMBER(SEARCH("TRAVEL ADAPTER",B1044)),
ISNUMBER(SEARCH("RJ45",B1044)),
ISNUMBER(SEARCH("USB-C",B1044)),
ISNUMBER(SEARCH("USB WIFI",B1044)),
ISNUMBER(SEARCH("POWERBANK",B1044)),
ISNUMBER(SEARCH("CARGADOR",B1044)),
ISNUMBER(SEARCH("COOLER PARA NB",B1044)),
ISNUMBER(SEARCH("SOPORTE PARA NB",B1044)),
ISNUMBER(SEARCH("WEBCAM",B1044)),
ISNUMBER(SEARCH("WEB CAM",B1044)),
ISNUMBER(SEARCH("MOUSE",B1044)),
ISNUMBER(SEARCH("TECLADO",B1044))
),
"COMPLEMENTO",
IF(
OR(
LEFT(A1044,2)="NB",
LEFT(A1044,2)="PC",
LEFT(A1044,2)="WS",
LEFT(A1044,2)="TB",
LEFT(A1044,3)="CEL",
LEFT(A1044,3)="MON",
LEFT(A1044,3)="PRE",
LEFT(A1044,3)="PRH",
ISNUMBER(SEARCH("NOTEBOOK",B1044)),
ISNUMBER(SEARCH("LAPTOP",B1044)),
ISNUMBER(SEARCH("MONITOR",B1044)),
ISNUMBER(SEARCH("TABLET",B1044)),
ISNUMBER(SEARCH("SMARTPH",B1044)),
ISNUMBER(SEARCH("IMPRESORA",B1044)),
ISNUMBER(SEARCH("MULTIFUNCIONAL",B1044)),
ISNUMBER(SEARCH("AIO",B1044))
),
"GANCHO",
"NORMAL"
)
)</f>
        <v>NORMAL</v>
      </c>
    </row>
    <row r="1043" spans="1:12" x14ac:dyDescent="0.25">
      <c r="A1043" s="3" t="s">
        <v>1772</v>
      </c>
      <c r="B1043" s="3" t="s">
        <v>1773</v>
      </c>
      <c r="C1043" s="1">
        <v>1</v>
      </c>
      <c r="D1043" s="1">
        <v>10000</v>
      </c>
      <c r="E1043" s="1" t="s">
        <v>54</v>
      </c>
      <c r="F1043" s="1" t="s">
        <v>3667</v>
      </c>
      <c r="G1043" s="3"/>
      <c r="H1043" s="11">
        <f>ROUND(
IF(L1041="GANCHO",
   IF(I1043&lt;=50,I1043*1.1+4,IF(I1043&lt;=120,I1043*1.1+7,IF(I1043&lt;=250,I1043*1.1+11,I1043*1.1+19))),
IF(L1041="NORMAL",
   IF(I1043&lt;=30,I1043*1.15+2,IF(I1043&lt;=80,I1043*1.15+4,IF(I1043&lt;=150,I1043*1.15+6,I1043*1.15+8))),
IF(L1041="COMPLEMENTO",
   IF(I1043&lt;=25,I1043*1.25+1.5,IF(I1043&lt;=60,I1043*1.25+3,IF(I1043&lt;=120,I1043*1.25+4,I1043*1.25+5))),
""))),2)</f>
        <v>47231.6</v>
      </c>
      <c r="I1043" s="9">
        <f>($K$2+0.02)*Tabla1[[#This Row],[PRECIO $]]*1.18</f>
        <v>41064</v>
      </c>
      <c r="J1043" s="7">
        <f>+Tabla1[[#This Row],[PRECIO EN SOLES]]-Tabla1[[#This Row],[PC]]</f>
        <v>6167.5999999999985</v>
      </c>
      <c r="K1043" s="15"/>
      <c r="L1043" s="15" t="str">
        <f>IF(
OR(
ISNUMBER(SEARCH("BACKPACK",B1045)),
ISNUMBER(SEARCH("MOCHILA",B1045)),
ISNUMBER(SEARCH("FUNDA",B1045)),
ISNUMBER(SEARCH("ESTUCHE",B1045)),
ISNUMBER(SEARCH("BOOK COVER",B1045)),
ISNUMBER(SEARCH("KEYBOARD PARA TABLET",B1045)),
ISNUMBER(SEARCH("FLIP TABLET",B1045)),
ISNUMBER(SEARCH("CASE FOR TABLET",B1045)),
ISNUMBER(SEARCH("CABLE",B1045)),
ISNUMBER(SEARCH("ADAPTADOR",B1045)),
ISNUMBER(SEARCH("HUB",B1045)),
ISNUMBER(SEARCH("DOCK",B1045)),
ISNUMBER(SEARCH("MOUSE PAD",B1045)),
ISNUMBER(SEARCH("MOUSEPAD",B1045)),
ISNUMBER(SEARCH("SOPORTE",B1045)),
ISNUMBER(SEARCH("STAND",B1045)),
ISNUMBER(SEARCH("TRAVEL ADAPTER",B1045)),
ISNUMBER(SEARCH("RJ45",B1045)),
ISNUMBER(SEARCH("USB-C",B1045)),
ISNUMBER(SEARCH("USB WIFI",B1045)),
ISNUMBER(SEARCH("POWERBANK",B1045)),
ISNUMBER(SEARCH("CARGADOR",B1045)),
ISNUMBER(SEARCH("COOLER PARA NB",B1045)),
ISNUMBER(SEARCH("SOPORTE PARA NB",B1045)),
ISNUMBER(SEARCH("WEBCAM",B1045)),
ISNUMBER(SEARCH("WEB CAM",B1045)),
ISNUMBER(SEARCH("MOUSE",B1045)),
ISNUMBER(SEARCH("TECLADO",B1045))
),
"COMPLEMENTO",
IF(
OR(
LEFT(A1045,2)="NB",
LEFT(A1045,2)="PC",
LEFT(A1045,2)="WS",
LEFT(A1045,2)="TB",
LEFT(A1045,3)="CEL",
LEFT(A1045,3)="MON",
LEFT(A1045,3)="PRE",
LEFT(A1045,3)="PRH",
ISNUMBER(SEARCH("NOTEBOOK",B1045)),
ISNUMBER(SEARCH("LAPTOP",B1045)),
ISNUMBER(SEARCH("MONITOR",B1045)),
ISNUMBER(SEARCH("TABLET",B1045)),
ISNUMBER(SEARCH("SMARTPH",B1045)),
ISNUMBER(SEARCH("IMPRESORA",B1045)),
ISNUMBER(SEARCH("MULTIFUNCIONAL",B1045)),
ISNUMBER(SEARCH("AIO",B1045))
),
"GANCHO",
"NORMAL"
)
)</f>
        <v>NORMAL</v>
      </c>
    </row>
    <row r="1044" spans="1:12" x14ac:dyDescent="0.25">
      <c r="A1044" s="3" t="s">
        <v>6830</v>
      </c>
      <c r="B1044" s="3" t="s">
        <v>6831</v>
      </c>
      <c r="C1044" s="1">
        <v>20</v>
      </c>
      <c r="D1044" s="1">
        <v>50</v>
      </c>
      <c r="E1044" s="1" t="s">
        <v>6718</v>
      </c>
      <c r="F1044" s="1" t="s">
        <v>6832</v>
      </c>
      <c r="G1044" s="3" t="s">
        <v>6833</v>
      </c>
      <c r="H1044" s="11">
        <f>ROUND(
IF(L1042="GANCHO",
   IF(I1044&lt;=50,I1044*1.1+4,IF(I1044&lt;=120,I1044*1.1+7,IF(I1044&lt;=250,I1044*1.1+11,I1044*1.1+19))),
IF(L1042="NORMAL",
   IF(I1044&lt;=30,I1044*1.15+2,IF(I1044&lt;=80,I1044*1.15+4,IF(I1044&lt;=150,I1044*1.15+6,I1044*1.15+8))),
IF(L1042="COMPLEMENTO",
   IF(I1044&lt;=25,I1044*1.25+1.5,IF(I1044&lt;=60,I1044*1.25+3,IF(I1044&lt;=120,I1044*1.25+4,I1044*1.25+5))),
""))),2)</f>
        <v>244.12</v>
      </c>
      <c r="I1044" s="9">
        <f>($K$2+0.02)*Tabla1[[#This Row],[PRECIO $]]*1.18</f>
        <v>205.32</v>
      </c>
      <c r="J1044" s="7">
        <f>+Tabla1[[#This Row],[PRECIO EN SOLES]]-Tabla1[[#This Row],[PC]]</f>
        <v>38.800000000000011</v>
      </c>
      <c r="K1044" s="15"/>
      <c r="L1044" s="15" t="str">
        <f>IF(
OR(
ISNUMBER(SEARCH("BACKPACK",B1046)),
ISNUMBER(SEARCH("MOCHILA",B1046)),
ISNUMBER(SEARCH("FUNDA",B1046)),
ISNUMBER(SEARCH("ESTUCHE",B1046)),
ISNUMBER(SEARCH("BOOK COVER",B1046)),
ISNUMBER(SEARCH("KEYBOARD PARA TABLET",B1046)),
ISNUMBER(SEARCH("FLIP TABLET",B1046)),
ISNUMBER(SEARCH("CASE FOR TABLET",B1046)),
ISNUMBER(SEARCH("CABLE",B1046)),
ISNUMBER(SEARCH("ADAPTADOR",B1046)),
ISNUMBER(SEARCH("HUB",B1046)),
ISNUMBER(SEARCH("DOCK",B1046)),
ISNUMBER(SEARCH("MOUSE PAD",B1046)),
ISNUMBER(SEARCH("MOUSEPAD",B1046)),
ISNUMBER(SEARCH("SOPORTE",B1046)),
ISNUMBER(SEARCH("STAND",B1046)),
ISNUMBER(SEARCH("TRAVEL ADAPTER",B1046)),
ISNUMBER(SEARCH("RJ45",B1046)),
ISNUMBER(SEARCH("USB-C",B1046)),
ISNUMBER(SEARCH("USB WIFI",B1046)),
ISNUMBER(SEARCH("POWERBANK",B1046)),
ISNUMBER(SEARCH("CARGADOR",B1046)),
ISNUMBER(SEARCH("COOLER PARA NB",B1046)),
ISNUMBER(SEARCH("SOPORTE PARA NB",B1046)),
ISNUMBER(SEARCH("WEBCAM",B1046)),
ISNUMBER(SEARCH("WEB CAM",B1046)),
ISNUMBER(SEARCH("MOUSE",B1046)),
ISNUMBER(SEARCH("TECLADO",B1046))
),
"COMPLEMENTO",
IF(
OR(
LEFT(A1046,2)="NB",
LEFT(A1046,2)="PC",
LEFT(A1046,2)="WS",
LEFT(A1046,2)="TB",
LEFT(A1046,3)="CEL",
LEFT(A1046,3)="MON",
LEFT(A1046,3)="PRE",
LEFT(A1046,3)="PRH",
ISNUMBER(SEARCH("NOTEBOOK",B1046)),
ISNUMBER(SEARCH("LAPTOP",B1046)),
ISNUMBER(SEARCH("MONITOR",B1046)),
ISNUMBER(SEARCH("TABLET",B1046)),
ISNUMBER(SEARCH("SMARTPH",B1046)),
ISNUMBER(SEARCH("IMPRESORA",B1046)),
ISNUMBER(SEARCH("MULTIFUNCIONAL",B1046)),
ISNUMBER(SEARCH("AIO",B1046))
),
"GANCHO",
"NORMAL"
)
)</f>
        <v>GANCHO</v>
      </c>
    </row>
    <row r="1045" spans="1:12" x14ac:dyDescent="0.25">
      <c r="A1045" s="3" t="s">
        <v>6834</v>
      </c>
      <c r="B1045" s="3" t="s">
        <v>6835</v>
      </c>
      <c r="C1045" s="1">
        <v>19</v>
      </c>
      <c r="D1045" s="1">
        <v>84</v>
      </c>
      <c r="E1045" s="1" t="s">
        <v>6718</v>
      </c>
      <c r="F1045" s="1" t="s">
        <v>6836</v>
      </c>
      <c r="G1045" s="3" t="s">
        <v>6837</v>
      </c>
      <c r="H1045" s="11">
        <f>ROUND(
IF(L1043="GANCHO",
   IF(I1045&lt;=50,I1045*1.1+4,IF(I1045&lt;=120,I1045*1.1+7,IF(I1045&lt;=250,I1045*1.1+11,I1045*1.1+19))),
IF(L1043="NORMAL",
   IF(I1045&lt;=30,I1045*1.15+2,IF(I1045&lt;=80,I1045*1.15+4,IF(I1045&lt;=150,I1045*1.15+6,I1045*1.15+8))),
IF(L1043="COMPLEMENTO",
   IF(I1045&lt;=25,I1045*1.25+1.5,IF(I1045&lt;=60,I1045*1.25+3,IF(I1045&lt;=120,I1045*1.25+4,I1045*1.25+5))),
""))),2)</f>
        <v>404.68</v>
      </c>
      <c r="I1045" s="9">
        <f>($K$2+0.02)*Tabla1[[#This Row],[PRECIO $]]*1.18</f>
        <v>344.93759999999997</v>
      </c>
      <c r="J1045" s="7">
        <f>+Tabla1[[#This Row],[PRECIO EN SOLES]]-Tabla1[[#This Row],[PC]]</f>
        <v>59.742400000000032</v>
      </c>
      <c r="K1045" s="15"/>
      <c r="L1045" s="15" t="str">
        <f>IF(
OR(
ISNUMBER(SEARCH("BACKPACK",B1047)),
ISNUMBER(SEARCH("MOCHILA",B1047)),
ISNUMBER(SEARCH("FUNDA",B1047)),
ISNUMBER(SEARCH("ESTUCHE",B1047)),
ISNUMBER(SEARCH("BOOK COVER",B1047)),
ISNUMBER(SEARCH("KEYBOARD PARA TABLET",B1047)),
ISNUMBER(SEARCH("FLIP TABLET",B1047)),
ISNUMBER(SEARCH("CASE FOR TABLET",B1047)),
ISNUMBER(SEARCH("CABLE",B1047)),
ISNUMBER(SEARCH("ADAPTADOR",B1047)),
ISNUMBER(SEARCH("HUB",B1047)),
ISNUMBER(SEARCH("DOCK",B1047)),
ISNUMBER(SEARCH("MOUSE PAD",B1047)),
ISNUMBER(SEARCH("MOUSEPAD",B1047)),
ISNUMBER(SEARCH("SOPORTE",B1047)),
ISNUMBER(SEARCH("STAND",B1047)),
ISNUMBER(SEARCH("TRAVEL ADAPTER",B1047)),
ISNUMBER(SEARCH("RJ45",B1047)),
ISNUMBER(SEARCH("USB-C",B1047)),
ISNUMBER(SEARCH("USB WIFI",B1047)),
ISNUMBER(SEARCH("POWERBANK",B1047)),
ISNUMBER(SEARCH("CARGADOR",B1047)),
ISNUMBER(SEARCH("COOLER PARA NB",B1047)),
ISNUMBER(SEARCH("SOPORTE PARA NB",B1047)),
ISNUMBER(SEARCH("WEBCAM",B1047)),
ISNUMBER(SEARCH("WEB CAM",B1047)),
ISNUMBER(SEARCH("MOUSE",B1047)),
ISNUMBER(SEARCH("TECLADO",B1047))
),
"COMPLEMENTO",
IF(
OR(
LEFT(A1047,2)="NB",
LEFT(A1047,2)="PC",
LEFT(A1047,2)="WS",
LEFT(A1047,2)="TB",
LEFT(A1047,3)="CEL",
LEFT(A1047,3)="MON",
LEFT(A1047,3)="PRE",
LEFT(A1047,3)="PRH",
ISNUMBER(SEARCH("NOTEBOOK",B1047)),
ISNUMBER(SEARCH("LAPTOP",B1047)),
ISNUMBER(SEARCH("MONITOR",B1047)),
ISNUMBER(SEARCH("TABLET",B1047)),
ISNUMBER(SEARCH("SMARTPH",B1047)),
ISNUMBER(SEARCH("IMPRESORA",B1047)),
ISNUMBER(SEARCH("MULTIFUNCIONAL",B1047)),
ISNUMBER(SEARCH("AIO",B1047))
),
"GANCHO",
"NORMAL"
)
)</f>
        <v>GANCHO</v>
      </c>
    </row>
    <row r="1046" spans="1:12" x14ac:dyDescent="0.25">
      <c r="A1046" s="3" t="s">
        <v>6352</v>
      </c>
      <c r="B1046" s="3" t="s">
        <v>6353</v>
      </c>
      <c r="C1046" s="1">
        <v>20</v>
      </c>
      <c r="D1046" s="1">
        <v>185</v>
      </c>
      <c r="E1046" s="1" t="s">
        <v>54</v>
      </c>
      <c r="F1046" s="1" t="s">
        <v>6554</v>
      </c>
      <c r="G1046" s="3" t="s">
        <v>6354</v>
      </c>
      <c r="H1046" s="11">
        <f>ROUND(
IF(L1044="GANCHO",
   IF(I1046&lt;=50,I1046*1.1+4,IF(I1046&lt;=120,I1046*1.1+7,IF(I1046&lt;=250,I1046*1.1+11,I1046*1.1+19))),
IF(L1044="NORMAL",
   IF(I1046&lt;=30,I1046*1.15+2,IF(I1046&lt;=80,I1046*1.15+4,IF(I1046&lt;=150,I1046*1.15+6,I1046*1.15+8))),
IF(L1044="COMPLEMENTO",
   IF(I1046&lt;=25,I1046*1.25+1.5,IF(I1046&lt;=60,I1046*1.25+3,IF(I1046&lt;=120,I1046*1.25+4,I1046*1.25+5))),
""))),2)</f>
        <v>854.65</v>
      </c>
      <c r="I1046" s="9">
        <f>($K$2+0.02)*Tabla1[[#This Row],[PRECIO $]]*1.18</f>
        <v>759.68399999999986</v>
      </c>
      <c r="J1046" s="7">
        <f>+Tabla1[[#This Row],[PRECIO EN SOLES]]-Tabla1[[#This Row],[PC]]</f>
        <v>94.966000000000122</v>
      </c>
      <c r="K1046" s="15"/>
      <c r="L1046" s="15" t="str">
        <f>IF(
OR(
ISNUMBER(SEARCH("BACKPACK",B1048)),
ISNUMBER(SEARCH("MOCHILA",B1048)),
ISNUMBER(SEARCH("FUNDA",B1048)),
ISNUMBER(SEARCH("ESTUCHE",B1048)),
ISNUMBER(SEARCH("BOOK COVER",B1048)),
ISNUMBER(SEARCH("KEYBOARD PARA TABLET",B1048)),
ISNUMBER(SEARCH("FLIP TABLET",B1048)),
ISNUMBER(SEARCH("CASE FOR TABLET",B1048)),
ISNUMBER(SEARCH("CABLE",B1048)),
ISNUMBER(SEARCH("ADAPTADOR",B1048)),
ISNUMBER(SEARCH("HUB",B1048)),
ISNUMBER(SEARCH("DOCK",B1048)),
ISNUMBER(SEARCH("MOUSE PAD",B1048)),
ISNUMBER(SEARCH("MOUSEPAD",B1048)),
ISNUMBER(SEARCH("SOPORTE",B1048)),
ISNUMBER(SEARCH("STAND",B1048)),
ISNUMBER(SEARCH("TRAVEL ADAPTER",B1048)),
ISNUMBER(SEARCH("RJ45",B1048)),
ISNUMBER(SEARCH("USB-C",B1048)),
ISNUMBER(SEARCH("USB WIFI",B1048)),
ISNUMBER(SEARCH("POWERBANK",B1048)),
ISNUMBER(SEARCH("CARGADOR",B1048)),
ISNUMBER(SEARCH("COOLER PARA NB",B1048)),
ISNUMBER(SEARCH("SOPORTE PARA NB",B1048)),
ISNUMBER(SEARCH("WEBCAM",B1048)),
ISNUMBER(SEARCH("WEB CAM",B1048)),
ISNUMBER(SEARCH("MOUSE",B1048)),
ISNUMBER(SEARCH("TECLADO",B1048))
),
"COMPLEMENTO",
IF(
OR(
LEFT(A1048,2)="NB",
LEFT(A1048,2)="PC",
LEFT(A1048,2)="WS",
LEFT(A1048,2)="TB",
LEFT(A1048,3)="CEL",
LEFT(A1048,3)="MON",
LEFT(A1048,3)="PRE",
LEFT(A1048,3)="PRH",
ISNUMBER(SEARCH("NOTEBOOK",B1048)),
ISNUMBER(SEARCH("LAPTOP",B1048)),
ISNUMBER(SEARCH("MONITOR",B1048)),
ISNUMBER(SEARCH("TABLET",B1048)),
ISNUMBER(SEARCH("SMARTPH",B1048)),
ISNUMBER(SEARCH("IMPRESORA",B1048)),
ISNUMBER(SEARCH("MULTIFUNCIONAL",B1048)),
ISNUMBER(SEARCH("AIO",B1048))
),
"GANCHO",
"NORMAL"
)
)</f>
        <v>GANCHO</v>
      </c>
    </row>
    <row r="1047" spans="1:12" x14ac:dyDescent="0.25">
      <c r="A1047" s="3" t="s">
        <v>3059</v>
      </c>
      <c r="B1047" s="3" t="s">
        <v>3060</v>
      </c>
      <c r="C1047" s="1">
        <v>20</v>
      </c>
      <c r="D1047" s="1">
        <v>271</v>
      </c>
      <c r="E1047" s="1" t="s">
        <v>56</v>
      </c>
      <c r="F1047" s="1" t="s">
        <v>3669</v>
      </c>
      <c r="G1047" s="3" t="s">
        <v>3061</v>
      </c>
      <c r="H1047" s="11">
        <f>ROUND(
IF(L1045="GANCHO",
   IF(I1047&lt;=50,I1047*1.1+4,IF(I1047&lt;=120,I1047*1.1+7,IF(I1047&lt;=250,I1047*1.1+11,I1047*1.1+19))),
IF(L1045="NORMAL",
   IF(I1047&lt;=30,I1047*1.15+2,IF(I1047&lt;=80,I1047*1.15+4,IF(I1047&lt;=150,I1047*1.15+6,I1047*1.15+8))),
IF(L1045="COMPLEMENTO",
   IF(I1047&lt;=25,I1047*1.25+1.5,IF(I1047&lt;=60,I1047*1.25+3,IF(I1047&lt;=120,I1047*1.25+4,I1047*1.25+5))),
""))),2)</f>
        <v>1243.1199999999999</v>
      </c>
      <c r="I1047" s="9">
        <f>($K$2+0.02)*Tabla1[[#This Row],[PRECIO $]]*1.18</f>
        <v>1112.8344</v>
      </c>
      <c r="J1047" s="7">
        <f>+Tabla1[[#This Row],[PRECIO EN SOLES]]-Tabla1[[#This Row],[PC]]</f>
        <v>130.28559999999993</v>
      </c>
      <c r="K1047" s="15"/>
      <c r="L1047" s="15" t="str">
        <f>IF(
OR(
ISNUMBER(SEARCH("BACKPACK",B1049)),
ISNUMBER(SEARCH("MOCHILA",B1049)),
ISNUMBER(SEARCH("FUNDA",B1049)),
ISNUMBER(SEARCH("ESTUCHE",B1049)),
ISNUMBER(SEARCH("BOOK COVER",B1049)),
ISNUMBER(SEARCH("KEYBOARD PARA TABLET",B1049)),
ISNUMBER(SEARCH("FLIP TABLET",B1049)),
ISNUMBER(SEARCH("CASE FOR TABLET",B1049)),
ISNUMBER(SEARCH("CABLE",B1049)),
ISNUMBER(SEARCH("ADAPTADOR",B1049)),
ISNUMBER(SEARCH("HUB",B1049)),
ISNUMBER(SEARCH("DOCK",B1049)),
ISNUMBER(SEARCH("MOUSE PAD",B1049)),
ISNUMBER(SEARCH("MOUSEPAD",B1049)),
ISNUMBER(SEARCH("SOPORTE",B1049)),
ISNUMBER(SEARCH("STAND",B1049)),
ISNUMBER(SEARCH("TRAVEL ADAPTER",B1049)),
ISNUMBER(SEARCH("RJ45",B1049)),
ISNUMBER(SEARCH("USB-C",B1049)),
ISNUMBER(SEARCH("USB WIFI",B1049)),
ISNUMBER(SEARCH("POWERBANK",B1049)),
ISNUMBER(SEARCH("CARGADOR",B1049)),
ISNUMBER(SEARCH("COOLER PARA NB",B1049)),
ISNUMBER(SEARCH("SOPORTE PARA NB",B1049)),
ISNUMBER(SEARCH("WEBCAM",B1049)),
ISNUMBER(SEARCH("WEB CAM",B1049)),
ISNUMBER(SEARCH("MOUSE",B1049)),
ISNUMBER(SEARCH("TECLADO",B1049))
),
"COMPLEMENTO",
IF(
OR(
LEFT(A1049,2)="NB",
LEFT(A1049,2)="PC",
LEFT(A1049,2)="WS",
LEFT(A1049,2)="TB",
LEFT(A1049,3)="CEL",
LEFT(A1049,3)="MON",
LEFT(A1049,3)="PRE",
LEFT(A1049,3)="PRH",
ISNUMBER(SEARCH("NOTEBOOK",B1049)),
ISNUMBER(SEARCH("LAPTOP",B1049)),
ISNUMBER(SEARCH("MONITOR",B1049)),
ISNUMBER(SEARCH("TABLET",B1049)),
ISNUMBER(SEARCH("SMARTPH",B1049)),
ISNUMBER(SEARCH("IMPRESORA",B1049)),
ISNUMBER(SEARCH("MULTIFUNCIONAL",B1049)),
ISNUMBER(SEARCH("AIO",B1049))
),
"GANCHO",
"NORMAL"
)
)</f>
        <v>GANCHO</v>
      </c>
    </row>
    <row r="1048" spans="1:12" x14ac:dyDescent="0.25">
      <c r="A1048" s="3" t="s">
        <v>1776</v>
      </c>
      <c r="B1048" s="3" t="s">
        <v>1777</v>
      </c>
      <c r="C1048" s="1">
        <v>20</v>
      </c>
      <c r="D1048" s="1">
        <v>289</v>
      </c>
      <c r="E1048" s="1" t="s">
        <v>56</v>
      </c>
      <c r="F1048" s="1" t="s">
        <v>3670</v>
      </c>
      <c r="G1048" s="3" t="s">
        <v>1778</v>
      </c>
      <c r="H1048" s="11">
        <f>ROUND(
IF(L1046="GANCHO",
   IF(I1048&lt;=50,I1048*1.1+4,IF(I1048&lt;=120,I1048*1.1+7,IF(I1048&lt;=250,I1048*1.1+11,I1048*1.1+19))),
IF(L1046="NORMAL",
   IF(I1048&lt;=30,I1048*1.15+2,IF(I1048&lt;=80,I1048*1.15+4,IF(I1048&lt;=150,I1048*1.15+6,I1048*1.15+8))),
IF(L1046="COMPLEMENTO",
   IF(I1048&lt;=25,I1048*1.25+1.5,IF(I1048&lt;=60,I1048*1.25+3,IF(I1048&lt;=120,I1048*1.25+4,I1048*1.25+5))),
""))),2)</f>
        <v>1324.42</v>
      </c>
      <c r="I1048" s="9">
        <f>($K$2+0.02)*Tabla1[[#This Row],[PRECIO $]]*1.18</f>
        <v>1186.7495999999999</v>
      </c>
      <c r="J1048" s="7">
        <f>+Tabla1[[#This Row],[PRECIO EN SOLES]]-Tabla1[[#This Row],[PC]]</f>
        <v>137.6704000000002</v>
      </c>
      <c r="K1048" s="15"/>
      <c r="L1048" s="15" t="str">
        <f>IF(
OR(
ISNUMBER(SEARCH("BACKPACK",B1050)),
ISNUMBER(SEARCH("MOCHILA",B1050)),
ISNUMBER(SEARCH("FUNDA",B1050)),
ISNUMBER(SEARCH("ESTUCHE",B1050)),
ISNUMBER(SEARCH("BOOK COVER",B1050)),
ISNUMBER(SEARCH("KEYBOARD PARA TABLET",B1050)),
ISNUMBER(SEARCH("FLIP TABLET",B1050)),
ISNUMBER(SEARCH("CASE FOR TABLET",B1050)),
ISNUMBER(SEARCH("CABLE",B1050)),
ISNUMBER(SEARCH("ADAPTADOR",B1050)),
ISNUMBER(SEARCH("HUB",B1050)),
ISNUMBER(SEARCH("DOCK",B1050)),
ISNUMBER(SEARCH("MOUSE PAD",B1050)),
ISNUMBER(SEARCH("MOUSEPAD",B1050)),
ISNUMBER(SEARCH("SOPORTE",B1050)),
ISNUMBER(SEARCH("STAND",B1050)),
ISNUMBER(SEARCH("TRAVEL ADAPTER",B1050)),
ISNUMBER(SEARCH("RJ45",B1050)),
ISNUMBER(SEARCH("USB-C",B1050)),
ISNUMBER(SEARCH("USB WIFI",B1050)),
ISNUMBER(SEARCH("POWERBANK",B1050)),
ISNUMBER(SEARCH("CARGADOR",B1050)),
ISNUMBER(SEARCH("COOLER PARA NB",B1050)),
ISNUMBER(SEARCH("SOPORTE PARA NB",B1050)),
ISNUMBER(SEARCH("WEBCAM",B1050)),
ISNUMBER(SEARCH("WEB CAM",B1050)),
ISNUMBER(SEARCH("MOUSE",B1050)),
ISNUMBER(SEARCH("TECLADO",B1050))
),
"COMPLEMENTO",
IF(
OR(
LEFT(A1050,2)="NB",
LEFT(A1050,2)="PC",
LEFT(A1050,2)="WS",
LEFT(A1050,2)="TB",
LEFT(A1050,3)="CEL",
LEFT(A1050,3)="MON",
LEFT(A1050,3)="PRE",
LEFT(A1050,3)="PRH",
ISNUMBER(SEARCH("NOTEBOOK",B1050)),
ISNUMBER(SEARCH("LAPTOP",B1050)),
ISNUMBER(SEARCH("MONITOR",B1050)),
ISNUMBER(SEARCH("TABLET",B1050)),
ISNUMBER(SEARCH("SMARTPH",B1050)),
ISNUMBER(SEARCH("IMPRESORA",B1050)),
ISNUMBER(SEARCH("MULTIFUNCIONAL",B1050)),
ISNUMBER(SEARCH("AIO",B1050))
),
"GANCHO",
"NORMAL"
)
)</f>
        <v>GANCHO</v>
      </c>
    </row>
    <row r="1049" spans="1:12" x14ac:dyDescent="0.25">
      <c r="A1049" s="3" t="s">
        <v>1779</v>
      </c>
      <c r="B1049" s="3" t="s">
        <v>1780</v>
      </c>
      <c r="C1049" s="1">
        <v>20</v>
      </c>
      <c r="D1049" s="1">
        <v>331</v>
      </c>
      <c r="E1049" s="1" t="s">
        <v>276</v>
      </c>
      <c r="F1049" s="1" t="s">
        <v>3671</v>
      </c>
      <c r="G1049" s="3" t="s">
        <v>1781</v>
      </c>
      <c r="H1049" s="11">
        <f>ROUND(
IF(L1047="GANCHO",
   IF(I1049&lt;=50,I1049*1.1+4,IF(I1049&lt;=120,I1049*1.1+7,IF(I1049&lt;=250,I1049*1.1+11,I1049*1.1+19))),
IF(L1047="NORMAL",
   IF(I1049&lt;=30,I1049*1.15+2,IF(I1049&lt;=80,I1049*1.15+4,IF(I1049&lt;=150,I1049*1.15+6,I1049*1.15+8))),
IF(L1047="COMPLEMENTO",
   IF(I1049&lt;=25,I1049*1.25+1.5,IF(I1049&lt;=60,I1049*1.25+3,IF(I1049&lt;=120,I1049*1.25+4,I1049*1.25+5))),
""))),2)</f>
        <v>1514.14</v>
      </c>
      <c r="I1049" s="9">
        <f>($K$2+0.02)*Tabla1[[#This Row],[PRECIO $]]*1.18</f>
        <v>1359.2183999999997</v>
      </c>
      <c r="J1049" s="7">
        <f>+Tabla1[[#This Row],[PRECIO EN SOLES]]-Tabla1[[#This Row],[PC]]</f>
        <v>154.92160000000035</v>
      </c>
      <c r="K1049" s="15"/>
      <c r="L1049" s="15" t="str">
        <f>IF(
OR(
ISNUMBER(SEARCH("BACKPACK",B1051)),
ISNUMBER(SEARCH("MOCHILA",B1051)),
ISNUMBER(SEARCH("FUNDA",B1051)),
ISNUMBER(SEARCH("ESTUCHE",B1051)),
ISNUMBER(SEARCH("BOOK COVER",B1051)),
ISNUMBER(SEARCH("KEYBOARD PARA TABLET",B1051)),
ISNUMBER(SEARCH("FLIP TABLET",B1051)),
ISNUMBER(SEARCH("CASE FOR TABLET",B1051)),
ISNUMBER(SEARCH("CABLE",B1051)),
ISNUMBER(SEARCH("ADAPTADOR",B1051)),
ISNUMBER(SEARCH("HUB",B1051)),
ISNUMBER(SEARCH("DOCK",B1051)),
ISNUMBER(SEARCH("MOUSE PAD",B1051)),
ISNUMBER(SEARCH("MOUSEPAD",B1051)),
ISNUMBER(SEARCH("SOPORTE",B1051)),
ISNUMBER(SEARCH("STAND",B1051)),
ISNUMBER(SEARCH("TRAVEL ADAPTER",B1051)),
ISNUMBER(SEARCH("RJ45",B1051)),
ISNUMBER(SEARCH("USB-C",B1051)),
ISNUMBER(SEARCH("USB WIFI",B1051)),
ISNUMBER(SEARCH("POWERBANK",B1051)),
ISNUMBER(SEARCH("CARGADOR",B1051)),
ISNUMBER(SEARCH("COOLER PARA NB",B1051)),
ISNUMBER(SEARCH("SOPORTE PARA NB",B1051)),
ISNUMBER(SEARCH("WEBCAM",B1051)),
ISNUMBER(SEARCH("WEB CAM",B1051)),
ISNUMBER(SEARCH("MOUSE",B1051)),
ISNUMBER(SEARCH("TECLADO",B1051))
),
"COMPLEMENTO",
IF(
OR(
LEFT(A1051,2)="NB",
LEFT(A1051,2)="PC",
LEFT(A1051,2)="WS",
LEFT(A1051,2)="TB",
LEFT(A1051,3)="CEL",
LEFT(A1051,3)="MON",
LEFT(A1051,3)="PRE",
LEFT(A1051,3)="PRH",
ISNUMBER(SEARCH("NOTEBOOK",B1051)),
ISNUMBER(SEARCH("LAPTOP",B1051)),
ISNUMBER(SEARCH("MONITOR",B1051)),
ISNUMBER(SEARCH("TABLET",B1051)),
ISNUMBER(SEARCH("SMARTPH",B1051)),
ISNUMBER(SEARCH("IMPRESORA",B1051)),
ISNUMBER(SEARCH("MULTIFUNCIONAL",B1051)),
ISNUMBER(SEARCH("AIO",B1051))
),
"GANCHO",
"NORMAL"
)
)</f>
        <v>GANCHO</v>
      </c>
    </row>
    <row r="1050" spans="1:12" x14ac:dyDescent="0.25">
      <c r="A1050" s="3" t="s">
        <v>1782</v>
      </c>
      <c r="B1050" s="3" t="s">
        <v>5004</v>
      </c>
      <c r="C1050" s="1">
        <v>20</v>
      </c>
      <c r="D1050" s="1">
        <v>479</v>
      </c>
      <c r="E1050" s="1" t="s">
        <v>910</v>
      </c>
      <c r="F1050" s="1" t="s">
        <v>3672</v>
      </c>
      <c r="G1050" s="3" t="s">
        <v>5005</v>
      </c>
      <c r="H1050" s="11">
        <f>ROUND(
IF(L1048="GANCHO",
   IF(I1050&lt;=50,I1050*1.1+4,IF(I1050&lt;=120,I1050*1.1+7,IF(I1050&lt;=250,I1050*1.1+11,I1050*1.1+19))),
IF(L1048="NORMAL",
   IF(I1050&lt;=30,I1050*1.15+2,IF(I1050&lt;=80,I1050*1.15+4,IF(I1050&lt;=150,I1050*1.15+6,I1050*1.15+8))),
IF(L1048="COMPLEMENTO",
   IF(I1050&lt;=25,I1050*1.25+1.5,IF(I1050&lt;=60,I1050*1.25+3,IF(I1050&lt;=120,I1050*1.25+4,I1050*1.25+5))),
""))),2)</f>
        <v>2182.66</v>
      </c>
      <c r="I1050" s="9">
        <f>($K$2+0.02)*Tabla1[[#This Row],[PRECIO $]]*1.18</f>
        <v>1966.9656</v>
      </c>
      <c r="J1050" s="7">
        <f>+Tabla1[[#This Row],[PRECIO EN SOLES]]-Tabla1[[#This Row],[PC]]</f>
        <v>215.69439999999986</v>
      </c>
      <c r="K1050" s="15"/>
      <c r="L1050" s="15" t="str">
        <f>IF(
OR(
ISNUMBER(SEARCH("BACKPACK",B1052)),
ISNUMBER(SEARCH("MOCHILA",B1052)),
ISNUMBER(SEARCH("FUNDA",B1052)),
ISNUMBER(SEARCH("ESTUCHE",B1052)),
ISNUMBER(SEARCH("BOOK COVER",B1052)),
ISNUMBER(SEARCH("KEYBOARD PARA TABLET",B1052)),
ISNUMBER(SEARCH("FLIP TABLET",B1052)),
ISNUMBER(SEARCH("CASE FOR TABLET",B1052)),
ISNUMBER(SEARCH("CABLE",B1052)),
ISNUMBER(SEARCH("ADAPTADOR",B1052)),
ISNUMBER(SEARCH("HUB",B1052)),
ISNUMBER(SEARCH("DOCK",B1052)),
ISNUMBER(SEARCH("MOUSE PAD",B1052)),
ISNUMBER(SEARCH("MOUSEPAD",B1052)),
ISNUMBER(SEARCH("SOPORTE",B1052)),
ISNUMBER(SEARCH("STAND",B1052)),
ISNUMBER(SEARCH("TRAVEL ADAPTER",B1052)),
ISNUMBER(SEARCH("RJ45",B1052)),
ISNUMBER(SEARCH("USB-C",B1052)),
ISNUMBER(SEARCH("USB WIFI",B1052)),
ISNUMBER(SEARCH("POWERBANK",B1052)),
ISNUMBER(SEARCH("CARGADOR",B1052)),
ISNUMBER(SEARCH("COOLER PARA NB",B1052)),
ISNUMBER(SEARCH("SOPORTE PARA NB",B1052)),
ISNUMBER(SEARCH("WEBCAM",B1052)),
ISNUMBER(SEARCH("WEB CAM",B1052)),
ISNUMBER(SEARCH("MOUSE",B1052)),
ISNUMBER(SEARCH("TECLADO",B1052))
),
"COMPLEMENTO",
IF(
OR(
LEFT(A1052,2)="NB",
LEFT(A1052,2)="PC",
LEFT(A1052,2)="WS",
LEFT(A1052,2)="TB",
LEFT(A1052,3)="CEL",
LEFT(A1052,3)="MON",
LEFT(A1052,3)="PRE",
LEFT(A1052,3)="PRH",
ISNUMBER(SEARCH("NOTEBOOK",B1052)),
ISNUMBER(SEARCH("LAPTOP",B1052)),
ISNUMBER(SEARCH("MONITOR",B1052)),
ISNUMBER(SEARCH("TABLET",B1052)),
ISNUMBER(SEARCH("SMARTPH",B1052)),
ISNUMBER(SEARCH("IMPRESORA",B1052)),
ISNUMBER(SEARCH("MULTIFUNCIONAL",B1052)),
ISNUMBER(SEARCH("AIO",B1052))
),
"GANCHO",
"NORMAL"
)
)</f>
        <v>COMPLEMENTO</v>
      </c>
    </row>
    <row r="1051" spans="1:12" x14ac:dyDescent="0.25">
      <c r="A1051" s="3" t="s">
        <v>368</v>
      </c>
      <c r="B1051" s="3" t="s">
        <v>369</v>
      </c>
      <c r="C1051" s="1">
        <v>20</v>
      </c>
      <c r="D1051" s="1">
        <v>457</v>
      </c>
      <c r="E1051" s="1" t="s">
        <v>56</v>
      </c>
      <c r="F1051" s="1" t="s">
        <v>3673</v>
      </c>
      <c r="G1051" s="3" t="s">
        <v>370</v>
      </c>
      <c r="H1051" s="11">
        <f>ROUND(
IF(L1049="GANCHO",
   IF(I1051&lt;=50,I1051*1.1+4,IF(I1051&lt;=120,I1051*1.1+7,IF(I1051&lt;=250,I1051*1.1+11,I1051*1.1+19))),
IF(L1049="NORMAL",
   IF(I1051&lt;=30,I1051*1.15+2,IF(I1051&lt;=80,I1051*1.15+4,IF(I1051&lt;=150,I1051*1.15+6,I1051*1.15+8))),
IF(L1049="COMPLEMENTO",
   IF(I1051&lt;=25,I1051*1.25+1.5,IF(I1051&lt;=60,I1051*1.25+3,IF(I1051&lt;=120,I1051*1.25+4,I1051*1.25+5))),
""))),2)</f>
        <v>2083.29</v>
      </c>
      <c r="I1051" s="9">
        <f>($K$2+0.02)*Tabla1[[#This Row],[PRECIO $]]*1.18</f>
        <v>1876.6247999999998</v>
      </c>
      <c r="J1051" s="7">
        <f>+Tabla1[[#This Row],[PRECIO EN SOLES]]-Tabla1[[#This Row],[PC]]</f>
        <v>206.66520000000014</v>
      </c>
      <c r="K1051" s="15"/>
      <c r="L1051" s="15" t="str">
        <f>IF(
OR(
ISNUMBER(SEARCH("BACKPACK",B1053)),
ISNUMBER(SEARCH("MOCHILA",B1053)),
ISNUMBER(SEARCH("FUNDA",B1053)),
ISNUMBER(SEARCH("ESTUCHE",B1053)),
ISNUMBER(SEARCH("BOOK COVER",B1053)),
ISNUMBER(SEARCH("KEYBOARD PARA TABLET",B1053)),
ISNUMBER(SEARCH("FLIP TABLET",B1053)),
ISNUMBER(SEARCH("CASE FOR TABLET",B1053)),
ISNUMBER(SEARCH("CABLE",B1053)),
ISNUMBER(SEARCH("ADAPTADOR",B1053)),
ISNUMBER(SEARCH("HUB",B1053)),
ISNUMBER(SEARCH("DOCK",B1053)),
ISNUMBER(SEARCH("MOUSE PAD",B1053)),
ISNUMBER(SEARCH("MOUSEPAD",B1053)),
ISNUMBER(SEARCH("SOPORTE",B1053)),
ISNUMBER(SEARCH("STAND",B1053)),
ISNUMBER(SEARCH("TRAVEL ADAPTER",B1053)),
ISNUMBER(SEARCH("RJ45",B1053)),
ISNUMBER(SEARCH("USB-C",B1053)),
ISNUMBER(SEARCH("USB WIFI",B1053)),
ISNUMBER(SEARCH("POWERBANK",B1053)),
ISNUMBER(SEARCH("CARGADOR",B1053)),
ISNUMBER(SEARCH("COOLER PARA NB",B1053)),
ISNUMBER(SEARCH("SOPORTE PARA NB",B1053)),
ISNUMBER(SEARCH("WEBCAM",B1053)),
ISNUMBER(SEARCH("WEB CAM",B1053)),
ISNUMBER(SEARCH("MOUSE",B1053)),
ISNUMBER(SEARCH("TECLADO",B1053))
),
"COMPLEMENTO",
IF(
OR(
LEFT(A1053,2)="NB",
LEFT(A1053,2)="PC",
LEFT(A1053,2)="WS",
LEFT(A1053,2)="TB",
LEFT(A1053,3)="CEL",
LEFT(A1053,3)="MON",
LEFT(A1053,3)="PRE",
LEFT(A1053,3)="PRH",
ISNUMBER(SEARCH("NOTEBOOK",B1053)),
ISNUMBER(SEARCH("LAPTOP",B1053)),
ISNUMBER(SEARCH("MONITOR",B1053)),
ISNUMBER(SEARCH("TABLET",B1053)),
ISNUMBER(SEARCH("SMARTPH",B1053)),
ISNUMBER(SEARCH("IMPRESORA",B1053)),
ISNUMBER(SEARCH("MULTIFUNCIONAL",B1053)),
ISNUMBER(SEARCH("AIO",B1053))
),
"GANCHO",
"NORMAL"
)
)</f>
        <v>GANCHO</v>
      </c>
    </row>
    <row r="1052" spans="1:12" x14ac:dyDescent="0.25">
      <c r="A1052" s="3" t="s">
        <v>4409</v>
      </c>
      <c r="B1052" s="3" t="s">
        <v>4410</v>
      </c>
      <c r="C1052" s="1">
        <v>5</v>
      </c>
      <c r="D1052" s="1">
        <v>450</v>
      </c>
      <c r="E1052" s="1" t="s">
        <v>74</v>
      </c>
      <c r="F1052" s="1" t="s">
        <v>4411</v>
      </c>
      <c r="G1052" s="3" t="s">
        <v>4412</v>
      </c>
      <c r="H1052" s="11">
        <f>ROUND(
IF(L1050="GANCHO",
   IF(I1052&lt;=50,I1052*1.1+4,IF(I1052&lt;=120,I1052*1.1+7,IF(I1052&lt;=250,I1052*1.1+11,I1052*1.1+19))),
IF(L1050="NORMAL",
   IF(I1052&lt;=30,I1052*1.15+2,IF(I1052&lt;=80,I1052*1.15+4,IF(I1052&lt;=150,I1052*1.15+6,I1052*1.15+8))),
IF(L1050="COMPLEMENTO",
   IF(I1052&lt;=25,I1052*1.25+1.5,IF(I1052&lt;=60,I1052*1.25+3,IF(I1052&lt;=120,I1052*1.25+4,I1052*1.25+5))),
""))),2)</f>
        <v>2314.85</v>
      </c>
      <c r="I1052" s="9">
        <f>($K$2+0.02)*Tabla1[[#This Row],[PRECIO $]]*1.18</f>
        <v>1847.8799999999999</v>
      </c>
      <c r="J1052" s="7">
        <f>+Tabla1[[#This Row],[PRECIO EN SOLES]]-Tabla1[[#This Row],[PC]]</f>
        <v>466.97</v>
      </c>
      <c r="K1052" s="15"/>
      <c r="L1052" s="15" t="str">
        <f>IF(
OR(
ISNUMBER(SEARCH("BACKPACK",B1054)),
ISNUMBER(SEARCH("MOCHILA",B1054)),
ISNUMBER(SEARCH("FUNDA",B1054)),
ISNUMBER(SEARCH("ESTUCHE",B1054)),
ISNUMBER(SEARCH("BOOK COVER",B1054)),
ISNUMBER(SEARCH("KEYBOARD PARA TABLET",B1054)),
ISNUMBER(SEARCH("FLIP TABLET",B1054)),
ISNUMBER(SEARCH("CASE FOR TABLET",B1054)),
ISNUMBER(SEARCH("CABLE",B1054)),
ISNUMBER(SEARCH("ADAPTADOR",B1054)),
ISNUMBER(SEARCH("HUB",B1054)),
ISNUMBER(SEARCH("DOCK",B1054)),
ISNUMBER(SEARCH("MOUSE PAD",B1054)),
ISNUMBER(SEARCH("MOUSEPAD",B1054)),
ISNUMBER(SEARCH("SOPORTE",B1054)),
ISNUMBER(SEARCH("STAND",B1054)),
ISNUMBER(SEARCH("TRAVEL ADAPTER",B1054)),
ISNUMBER(SEARCH("RJ45",B1054)),
ISNUMBER(SEARCH("USB-C",B1054)),
ISNUMBER(SEARCH("USB WIFI",B1054)),
ISNUMBER(SEARCH("POWERBANK",B1054)),
ISNUMBER(SEARCH("CARGADOR",B1054)),
ISNUMBER(SEARCH("COOLER PARA NB",B1054)),
ISNUMBER(SEARCH("SOPORTE PARA NB",B1054)),
ISNUMBER(SEARCH("WEBCAM",B1054)),
ISNUMBER(SEARCH("WEB CAM",B1054)),
ISNUMBER(SEARCH("MOUSE",B1054)),
ISNUMBER(SEARCH("TECLADO",B1054))
),
"COMPLEMENTO",
IF(
OR(
LEFT(A1054,2)="NB",
LEFT(A1054,2)="PC",
LEFT(A1054,2)="WS",
LEFT(A1054,2)="TB",
LEFT(A1054,3)="CEL",
LEFT(A1054,3)="MON",
LEFT(A1054,3)="PRE",
LEFT(A1054,3)="PRH",
ISNUMBER(SEARCH("NOTEBOOK",B1054)),
ISNUMBER(SEARCH("LAPTOP",B1054)),
ISNUMBER(SEARCH("MONITOR",B1054)),
ISNUMBER(SEARCH("TABLET",B1054)),
ISNUMBER(SEARCH("SMARTPH",B1054)),
ISNUMBER(SEARCH("IMPRESORA",B1054)),
ISNUMBER(SEARCH("MULTIFUNCIONAL",B1054)),
ISNUMBER(SEARCH("AIO",B1054))
),
"GANCHO",
"NORMAL"
)
)</f>
        <v>GANCHO</v>
      </c>
    </row>
    <row r="1053" spans="1:12" x14ac:dyDescent="0.25">
      <c r="A1053" s="3" t="s">
        <v>371</v>
      </c>
      <c r="B1053" s="3" t="s">
        <v>372</v>
      </c>
      <c r="C1053" s="1">
        <v>20</v>
      </c>
      <c r="D1053" s="1">
        <v>387</v>
      </c>
      <c r="E1053" s="1" t="s">
        <v>276</v>
      </c>
      <c r="F1053" s="1" t="s">
        <v>3674</v>
      </c>
      <c r="G1053" s="3" t="s">
        <v>373</v>
      </c>
      <c r="H1053" s="11">
        <f>ROUND(
IF(L1051="GANCHO",
   IF(I1053&lt;=50,I1053*1.1+4,IF(I1053&lt;=120,I1053*1.1+7,IF(I1053&lt;=250,I1053*1.1+11,I1053*1.1+19))),
IF(L1051="NORMAL",
   IF(I1053&lt;=30,I1053*1.15+2,IF(I1053&lt;=80,I1053*1.15+4,IF(I1053&lt;=150,I1053*1.15+6,I1053*1.15+8))),
IF(L1051="COMPLEMENTO",
   IF(I1053&lt;=25,I1053*1.25+1.5,IF(I1053&lt;=60,I1053*1.25+3,IF(I1053&lt;=120,I1053*1.25+4,I1053*1.25+5))),
""))),2)</f>
        <v>1767.09</v>
      </c>
      <c r="I1053" s="9">
        <f>($K$2+0.02)*Tabla1[[#This Row],[PRECIO $]]*1.18</f>
        <v>1589.1768</v>
      </c>
      <c r="J1053" s="7">
        <f>+Tabla1[[#This Row],[PRECIO EN SOLES]]-Tabla1[[#This Row],[PC]]</f>
        <v>177.91319999999996</v>
      </c>
      <c r="K1053" s="15"/>
      <c r="L1053" s="15" t="str">
        <f>IF(
OR(
ISNUMBER(SEARCH("BACKPACK",B1055)),
ISNUMBER(SEARCH("MOCHILA",B1055)),
ISNUMBER(SEARCH("FUNDA",B1055)),
ISNUMBER(SEARCH("ESTUCHE",B1055)),
ISNUMBER(SEARCH("BOOK COVER",B1055)),
ISNUMBER(SEARCH("KEYBOARD PARA TABLET",B1055)),
ISNUMBER(SEARCH("FLIP TABLET",B1055)),
ISNUMBER(SEARCH("CASE FOR TABLET",B1055)),
ISNUMBER(SEARCH("CABLE",B1055)),
ISNUMBER(SEARCH("ADAPTADOR",B1055)),
ISNUMBER(SEARCH("HUB",B1055)),
ISNUMBER(SEARCH("DOCK",B1055)),
ISNUMBER(SEARCH("MOUSE PAD",B1055)),
ISNUMBER(SEARCH("MOUSEPAD",B1055)),
ISNUMBER(SEARCH("SOPORTE",B1055)),
ISNUMBER(SEARCH("STAND",B1055)),
ISNUMBER(SEARCH("TRAVEL ADAPTER",B1055)),
ISNUMBER(SEARCH("RJ45",B1055)),
ISNUMBER(SEARCH("USB-C",B1055)),
ISNUMBER(SEARCH("USB WIFI",B1055)),
ISNUMBER(SEARCH("POWERBANK",B1055)),
ISNUMBER(SEARCH("CARGADOR",B1055)),
ISNUMBER(SEARCH("COOLER PARA NB",B1055)),
ISNUMBER(SEARCH("SOPORTE PARA NB",B1055)),
ISNUMBER(SEARCH("WEBCAM",B1055)),
ISNUMBER(SEARCH("WEB CAM",B1055)),
ISNUMBER(SEARCH("MOUSE",B1055)),
ISNUMBER(SEARCH("TECLADO",B1055))
),
"COMPLEMENTO",
IF(
OR(
LEFT(A1055,2)="NB",
LEFT(A1055,2)="PC",
LEFT(A1055,2)="WS",
LEFT(A1055,2)="TB",
LEFT(A1055,3)="CEL",
LEFT(A1055,3)="MON",
LEFT(A1055,3)="PRE",
LEFT(A1055,3)="PRH",
ISNUMBER(SEARCH("NOTEBOOK",B1055)),
ISNUMBER(SEARCH("LAPTOP",B1055)),
ISNUMBER(SEARCH("MONITOR",B1055)),
ISNUMBER(SEARCH("TABLET",B1055)),
ISNUMBER(SEARCH("SMARTPH",B1055)),
ISNUMBER(SEARCH("IMPRESORA",B1055)),
ISNUMBER(SEARCH("MULTIFUNCIONAL",B1055)),
ISNUMBER(SEARCH("AIO",B1055))
),
"GANCHO",
"NORMAL"
)
)</f>
        <v>GANCHO</v>
      </c>
    </row>
    <row r="1054" spans="1:12" x14ac:dyDescent="0.25">
      <c r="A1054" s="3" t="s">
        <v>374</v>
      </c>
      <c r="B1054" s="3" t="s">
        <v>375</v>
      </c>
      <c r="C1054" s="1">
        <v>20</v>
      </c>
      <c r="D1054" s="1">
        <v>468</v>
      </c>
      <c r="E1054" s="1" t="s">
        <v>276</v>
      </c>
      <c r="F1054" s="1" t="s">
        <v>3675</v>
      </c>
      <c r="G1054" s="3" t="s">
        <v>376</v>
      </c>
      <c r="H1054" s="11">
        <f>ROUND(
IF(L1052="GANCHO",
   IF(I1054&lt;=50,I1054*1.1+4,IF(I1054&lt;=120,I1054*1.1+7,IF(I1054&lt;=250,I1054*1.1+11,I1054*1.1+19))),
IF(L1052="NORMAL",
   IF(I1054&lt;=30,I1054*1.15+2,IF(I1054&lt;=80,I1054*1.15+4,IF(I1054&lt;=150,I1054*1.15+6,I1054*1.15+8))),
IF(L1052="COMPLEMENTO",
   IF(I1054&lt;=25,I1054*1.25+1.5,IF(I1054&lt;=60,I1054*1.25+3,IF(I1054&lt;=120,I1054*1.25+4,I1054*1.25+5))),
""))),2)</f>
        <v>2132.9699999999998</v>
      </c>
      <c r="I1054" s="9">
        <f>($K$2+0.02)*Tabla1[[#This Row],[PRECIO $]]*1.18</f>
        <v>1921.7952</v>
      </c>
      <c r="J1054" s="7">
        <f>+Tabla1[[#This Row],[PRECIO EN SOLES]]-Tabla1[[#This Row],[PC]]</f>
        <v>211.17479999999978</v>
      </c>
      <c r="K1054" s="15"/>
      <c r="L1054" s="15" t="str">
        <f>IF(
OR(
ISNUMBER(SEARCH("BACKPACK",B1056)),
ISNUMBER(SEARCH("MOCHILA",B1056)),
ISNUMBER(SEARCH("FUNDA",B1056)),
ISNUMBER(SEARCH("ESTUCHE",B1056)),
ISNUMBER(SEARCH("BOOK COVER",B1056)),
ISNUMBER(SEARCH("KEYBOARD PARA TABLET",B1056)),
ISNUMBER(SEARCH("FLIP TABLET",B1056)),
ISNUMBER(SEARCH("CASE FOR TABLET",B1056)),
ISNUMBER(SEARCH("CABLE",B1056)),
ISNUMBER(SEARCH("ADAPTADOR",B1056)),
ISNUMBER(SEARCH("HUB",B1056)),
ISNUMBER(SEARCH("DOCK",B1056)),
ISNUMBER(SEARCH("MOUSE PAD",B1056)),
ISNUMBER(SEARCH("MOUSEPAD",B1056)),
ISNUMBER(SEARCH("SOPORTE",B1056)),
ISNUMBER(SEARCH("STAND",B1056)),
ISNUMBER(SEARCH("TRAVEL ADAPTER",B1056)),
ISNUMBER(SEARCH("RJ45",B1056)),
ISNUMBER(SEARCH("USB-C",B1056)),
ISNUMBER(SEARCH("USB WIFI",B1056)),
ISNUMBER(SEARCH("POWERBANK",B1056)),
ISNUMBER(SEARCH("CARGADOR",B1056)),
ISNUMBER(SEARCH("COOLER PARA NB",B1056)),
ISNUMBER(SEARCH("SOPORTE PARA NB",B1056)),
ISNUMBER(SEARCH("WEBCAM",B1056)),
ISNUMBER(SEARCH("WEB CAM",B1056)),
ISNUMBER(SEARCH("MOUSE",B1056)),
ISNUMBER(SEARCH("TECLADO",B1056))
),
"COMPLEMENTO",
IF(
OR(
LEFT(A1056,2)="NB",
LEFT(A1056,2)="PC",
LEFT(A1056,2)="WS",
LEFT(A1056,2)="TB",
LEFT(A1056,3)="CEL",
LEFT(A1056,3)="MON",
LEFT(A1056,3)="PRE",
LEFT(A1056,3)="PRH",
ISNUMBER(SEARCH("NOTEBOOK",B1056)),
ISNUMBER(SEARCH("LAPTOP",B1056)),
ISNUMBER(SEARCH("MONITOR",B1056)),
ISNUMBER(SEARCH("TABLET",B1056)),
ISNUMBER(SEARCH("SMARTPH",B1056)),
ISNUMBER(SEARCH("IMPRESORA",B1056)),
ISNUMBER(SEARCH("MULTIFUNCIONAL",B1056)),
ISNUMBER(SEARCH("AIO",B1056))
),
"GANCHO",
"NORMAL"
)
)</f>
        <v>GANCHO</v>
      </c>
    </row>
    <row r="1055" spans="1:12" x14ac:dyDescent="0.25">
      <c r="A1055" s="3" t="s">
        <v>5455</v>
      </c>
      <c r="B1055" s="3" t="s">
        <v>6838</v>
      </c>
      <c r="C1055" s="1">
        <v>20</v>
      </c>
      <c r="D1055" s="1">
        <v>590</v>
      </c>
      <c r="E1055" s="1" t="s">
        <v>910</v>
      </c>
      <c r="F1055" s="1" t="s">
        <v>5456</v>
      </c>
      <c r="G1055" s="3" t="s">
        <v>6072</v>
      </c>
      <c r="H1055" s="11">
        <f>ROUND(
IF(L1053="GANCHO",
   IF(I1055&lt;=50,I1055*1.1+4,IF(I1055&lt;=120,I1055*1.1+7,IF(I1055&lt;=250,I1055*1.1+11,I1055*1.1+19))),
IF(L1053="NORMAL",
   IF(I1055&lt;=30,I1055*1.15+2,IF(I1055&lt;=80,I1055*1.15+4,IF(I1055&lt;=150,I1055*1.15+6,I1055*1.15+8))),
IF(L1053="COMPLEMENTO",
   IF(I1055&lt;=25,I1055*1.25+1.5,IF(I1055&lt;=60,I1055*1.25+3,IF(I1055&lt;=120,I1055*1.25+4,I1055*1.25+5))),
""))),2)</f>
        <v>2684.05</v>
      </c>
      <c r="I1055" s="9">
        <f>($K$2+0.02)*Tabla1[[#This Row],[PRECIO $]]*1.18</f>
        <v>2422.7759999999998</v>
      </c>
      <c r="J1055" s="7">
        <f>+Tabla1[[#This Row],[PRECIO EN SOLES]]-Tabla1[[#This Row],[PC]]</f>
        <v>261.27400000000034</v>
      </c>
      <c r="K1055" s="15"/>
      <c r="L1055" s="15" t="str">
        <f>IF(
OR(
ISNUMBER(SEARCH("BACKPACK",B1057)),
ISNUMBER(SEARCH("MOCHILA",B1057)),
ISNUMBER(SEARCH("FUNDA",B1057)),
ISNUMBER(SEARCH("ESTUCHE",B1057)),
ISNUMBER(SEARCH("BOOK COVER",B1057)),
ISNUMBER(SEARCH("KEYBOARD PARA TABLET",B1057)),
ISNUMBER(SEARCH("FLIP TABLET",B1057)),
ISNUMBER(SEARCH("CASE FOR TABLET",B1057)),
ISNUMBER(SEARCH("CABLE",B1057)),
ISNUMBER(SEARCH("ADAPTADOR",B1057)),
ISNUMBER(SEARCH("HUB",B1057)),
ISNUMBER(SEARCH("DOCK",B1057)),
ISNUMBER(SEARCH("MOUSE PAD",B1057)),
ISNUMBER(SEARCH("MOUSEPAD",B1057)),
ISNUMBER(SEARCH("SOPORTE",B1057)),
ISNUMBER(SEARCH("STAND",B1057)),
ISNUMBER(SEARCH("TRAVEL ADAPTER",B1057)),
ISNUMBER(SEARCH("RJ45",B1057)),
ISNUMBER(SEARCH("USB-C",B1057)),
ISNUMBER(SEARCH("USB WIFI",B1057)),
ISNUMBER(SEARCH("POWERBANK",B1057)),
ISNUMBER(SEARCH("CARGADOR",B1057)),
ISNUMBER(SEARCH("COOLER PARA NB",B1057)),
ISNUMBER(SEARCH("SOPORTE PARA NB",B1057)),
ISNUMBER(SEARCH("WEBCAM",B1057)),
ISNUMBER(SEARCH("WEB CAM",B1057)),
ISNUMBER(SEARCH("MOUSE",B1057)),
ISNUMBER(SEARCH("TECLADO",B1057))
),
"COMPLEMENTO",
IF(
OR(
LEFT(A1057,2)="NB",
LEFT(A1057,2)="PC",
LEFT(A1057,2)="WS",
LEFT(A1057,2)="TB",
LEFT(A1057,3)="CEL",
LEFT(A1057,3)="MON",
LEFT(A1057,3)="PRE",
LEFT(A1057,3)="PRH",
ISNUMBER(SEARCH("NOTEBOOK",B1057)),
ISNUMBER(SEARCH("LAPTOP",B1057)),
ISNUMBER(SEARCH("MONITOR",B1057)),
ISNUMBER(SEARCH("TABLET",B1057)),
ISNUMBER(SEARCH("SMARTPH",B1057)),
ISNUMBER(SEARCH("IMPRESORA",B1057)),
ISNUMBER(SEARCH("MULTIFUNCIONAL",B1057)),
ISNUMBER(SEARCH("AIO",B1057))
),
"GANCHO",
"NORMAL"
)
)</f>
        <v>GANCHO</v>
      </c>
    </row>
    <row r="1056" spans="1:12" x14ac:dyDescent="0.25">
      <c r="A1056" s="3" t="s">
        <v>5457</v>
      </c>
      <c r="B1056" s="3" t="s">
        <v>5458</v>
      </c>
      <c r="C1056" s="1">
        <v>20</v>
      </c>
      <c r="D1056" s="1">
        <v>500</v>
      </c>
      <c r="E1056" s="1" t="s">
        <v>367</v>
      </c>
      <c r="F1056" s="1" t="s">
        <v>5459</v>
      </c>
      <c r="G1056" s="3" t="s">
        <v>5460</v>
      </c>
      <c r="H1056" s="11">
        <f>ROUND(
IF(L1054="GANCHO",
   IF(I1056&lt;=50,I1056*1.1+4,IF(I1056&lt;=120,I1056*1.1+7,IF(I1056&lt;=250,I1056*1.1+11,I1056*1.1+19))),
IF(L1054="NORMAL",
   IF(I1056&lt;=30,I1056*1.15+2,IF(I1056&lt;=80,I1056*1.15+4,IF(I1056&lt;=150,I1056*1.15+6,I1056*1.15+8))),
IF(L1054="COMPLEMENTO",
   IF(I1056&lt;=25,I1056*1.25+1.5,IF(I1056&lt;=60,I1056*1.25+3,IF(I1056&lt;=120,I1056*1.25+4,I1056*1.25+5))),
""))),2)</f>
        <v>2277.52</v>
      </c>
      <c r="I1056" s="9">
        <f>($K$2+0.02)*Tabla1[[#This Row],[PRECIO $]]*1.18</f>
        <v>2053.1999999999998</v>
      </c>
      <c r="J1056" s="7">
        <f>+Tabla1[[#This Row],[PRECIO EN SOLES]]-Tabla1[[#This Row],[PC]]</f>
        <v>224.32000000000016</v>
      </c>
      <c r="K1056" s="15"/>
      <c r="L1056" s="15" t="str">
        <f>IF(
OR(
ISNUMBER(SEARCH("BACKPACK",B1058)),
ISNUMBER(SEARCH("MOCHILA",B1058)),
ISNUMBER(SEARCH("FUNDA",B1058)),
ISNUMBER(SEARCH("ESTUCHE",B1058)),
ISNUMBER(SEARCH("BOOK COVER",B1058)),
ISNUMBER(SEARCH("KEYBOARD PARA TABLET",B1058)),
ISNUMBER(SEARCH("FLIP TABLET",B1058)),
ISNUMBER(SEARCH("CASE FOR TABLET",B1058)),
ISNUMBER(SEARCH("CABLE",B1058)),
ISNUMBER(SEARCH("ADAPTADOR",B1058)),
ISNUMBER(SEARCH("HUB",B1058)),
ISNUMBER(SEARCH("DOCK",B1058)),
ISNUMBER(SEARCH("MOUSE PAD",B1058)),
ISNUMBER(SEARCH("MOUSEPAD",B1058)),
ISNUMBER(SEARCH("SOPORTE",B1058)),
ISNUMBER(SEARCH("STAND",B1058)),
ISNUMBER(SEARCH("TRAVEL ADAPTER",B1058)),
ISNUMBER(SEARCH("RJ45",B1058)),
ISNUMBER(SEARCH("USB-C",B1058)),
ISNUMBER(SEARCH("USB WIFI",B1058)),
ISNUMBER(SEARCH("POWERBANK",B1058)),
ISNUMBER(SEARCH("CARGADOR",B1058)),
ISNUMBER(SEARCH("COOLER PARA NB",B1058)),
ISNUMBER(SEARCH("SOPORTE PARA NB",B1058)),
ISNUMBER(SEARCH("WEBCAM",B1058)),
ISNUMBER(SEARCH("WEB CAM",B1058)),
ISNUMBER(SEARCH("MOUSE",B1058)),
ISNUMBER(SEARCH("TECLADO",B1058))
),
"COMPLEMENTO",
IF(
OR(
LEFT(A1058,2)="NB",
LEFT(A1058,2)="PC",
LEFT(A1058,2)="WS",
LEFT(A1058,2)="TB",
LEFT(A1058,3)="CEL",
LEFT(A1058,3)="MON",
LEFT(A1058,3)="PRE",
LEFT(A1058,3)="PRH",
ISNUMBER(SEARCH("NOTEBOOK",B1058)),
ISNUMBER(SEARCH("LAPTOP",B1058)),
ISNUMBER(SEARCH("MONITOR",B1058)),
ISNUMBER(SEARCH("TABLET",B1058)),
ISNUMBER(SEARCH("SMARTPH",B1058)),
ISNUMBER(SEARCH("IMPRESORA",B1058)),
ISNUMBER(SEARCH("MULTIFUNCIONAL",B1058)),
ISNUMBER(SEARCH("AIO",B1058))
),
"GANCHO",
"NORMAL"
)
)</f>
        <v>GANCHO</v>
      </c>
    </row>
    <row r="1057" spans="1:12" x14ac:dyDescent="0.25">
      <c r="A1057" s="3" t="s">
        <v>6839</v>
      </c>
      <c r="B1057" s="3" t="s">
        <v>6840</v>
      </c>
      <c r="C1057" s="1">
        <v>20</v>
      </c>
      <c r="D1057" s="1">
        <v>487</v>
      </c>
      <c r="E1057" s="1" t="s">
        <v>148</v>
      </c>
      <c r="F1057" s="1" t="s">
        <v>6841</v>
      </c>
      <c r="G1057" s="3" t="s">
        <v>6842</v>
      </c>
      <c r="H1057" s="11">
        <f>ROUND(
IF(L1055="GANCHO",
   IF(I1057&lt;=50,I1057*1.1+4,IF(I1057&lt;=120,I1057*1.1+7,IF(I1057&lt;=250,I1057*1.1+11,I1057*1.1+19))),
IF(L1055="NORMAL",
   IF(I1057&lt;=30,I1057*1.15+2,IF(I1057&lt;=80,I1057*1.15+4,IF(I1057&lt;=150,I1057*1.15+6,I1057*1.15+8))),
IF(L1055="COMPLEMENTO",
   IF(I1057&lt;=25,I1057*1.25+1.5,IF(I1057&lt;=60,I1057*1.25+3,IF(I1057&lt;=120,I1057*1.25+4,I1057*1.25+5))),
""))),2)</f>
        <v>2218.8000000000002</v>
      </c>
      <c r="I1057" s="9">
        <f>($K$2+0.02)*Tabla1[[#This Row],[PRECIO $]]*1.18</f>
        <v>1999.8167999999998</v>
      </c>
      <c r="J1057" s="7">
        <f>+Tabla1[[#This Row],[PRECIO EN SOLES]]-Tabla1[[#This Row],[PC]]</f>
        <v>218.98320000000035</v>
      </c>
      <c r="K1057" s="15"/>
      <c r="L1057" s="15" t="str">
        <f>IF(
OR(
ISNUMBER(SEARCH("BACKPACK",B1059)),
ISNUMBER(SEARCH("MOCHILA",B1059)),
ISNUMBER(SEARCH("FUNDA",B1059)),
ISNUMBER(SEARCH("ESTUCHE",B1059)),
ISNUMBER(SEARCH("BOOK COVER",B1059)),
ISNUMBER(SEARCH("KEYBOARD PARA TABLET",B1059)),
ISNUMBER(SEARCH("FLIP TABLET",B1059)),
ISNUMBER(SEARCH("CASE FOR TABLET",B1059)),
ISNUMBER(SEARCH("CABLE",B1059)),
ISNUMBER(SEARCH("ADAPTADOR",B1059)),
ISNUMBER(SEARCH("HUB",B1059)),
ISNUMBER(SEARCH("DOCK",B1059)),
ISNUMBER(SEARCH("MOUSE PAD",B1059)),
ISNUMBER(SEARCH("MOUSEPAD",B1059)),
ISNUMBER(SEARCH("SOPORTE",B1059)),
ISNUMBER(SEARCH("STAND",B1059)),
ISNUMBER(SEARCH("TRAVEL ADAPTER",B1059)),
ISNUMBER(SEARCH("RJ45",B1059)),
ISNUMBER(SEARCH("USB-C",B1059)),
ISNUMBER(SEARCH("USB WIFI",B1059)),
ISNUMBER(SEARCH("POWERBANK",B1059)),
ISNUMBER(SEARCH("CARGADOR",B1059)),
ISNUMBER(SEARCH("COOLER PARA NB",B1059)),
ISNUMBER(SEARCH("SOPORTE PARA NB",B1059)),
ISNUMBER(SEARCH("WEBCAM",B1059)),
ISNUMBER(SEARCH("WEB CAM",B1059)),
ISNUMBER(SEARCH("MOUSE",B1059)),
ISNUMBER(SEARCH("TECLADO",B1059))
),
"COMPLEMENTO",
IF(
OR(
LEFT(A1059,2)="NB",
LEFT(A1059,2)="PC",
LEFT(A1059,2)="WS",
LEFT(A1059,2)="TB",
LEFT(A1059,3)="CEL",
LEFT(A1059,3)="MON",
LEFT(A1059,3)="PRE",
LEFT(A1059,3)="PRH",
ISNUMBER(SEARCH("NOTEBOOK",B1059)),
ISNUMBER(SEARCH("LAPTOP",B1059)),
ISNUMBER(SEARCH("MONITOR",B1059)),
ISNUMBER(SEARCH("TABLET",B1059)),
ISNUMBER(SEARCH("SMARTPH",B1059)),
ISNUMBER(SEARCH("IMPRESORA",B1059)),
ISNUMBER(SEARCH("MULTIFUNCIONAL",B1059)),
ISNUMBER(SEARCH("AIO",B1059))
),
"GANCHO",
"NORMAL"
)
)</f>
        <v>GANCHO</v>
      </c>
    </row>
    <row r="1058" spans="1:12" x14ac:dyDescent="0.25">
      <c r="A1058" s="3" t="s">
        <v>4413</v>
      </c>
      <c r="B1058" s="3" t="s">
        <v>4414</v>
      </c>
      <c r="C1058" s="1">
        <v>20</v>
      </c>
      <c r="D1058" s="1">
        <v>532</v>
      </c>
      <c r="E1058" s="1" t="s">
        <v>276</v>
      </c>
      <c r="F1058" s="1" t="s">
        <v>4415</v>
      </c>
      <c r="G1058" s="3" t="s">
        <v>4416</v>
      </c>
      <c r="H1058" s="11">
        <f>ROUND(
IF(L1056="GANCHO",
   IF(I1058&lt;=50,I1058*1.1+4,IF(I1058&lt;=120,I1058*1.1+7,IF(I1058&lt;=250,I1058*1.1+11,I1058*1.1+19))),
IF(L1056="NORMAL",
   IF(I1058&lt;=30,I1058*1.15+2,IF(I1058&lt;=80,I1058*1.15+4,IF(I1058&lt;=150,I1058*1.15+6,I1058*1.15+8))),
IF(L1056="COMPLEMENTO",
   IF(I1058&lt;=25,I1058*1.25+1.5,IF(I1058&lt;=60,I1058*1.25+3,IF(I1058&lt;=120,I1058*1.25+4,I1058*1.25+5))),
""))),2)</f>
        <v>2422.0700000000002</v>
      </c>
      <c r="I1058" s="9">
        <f>($K$2+0.02)*Tabla1[[#This Row],[PRECIO $]]*1.18</f>
        <v>2184.6047999999996</v>
      </c>
      <c r="J1058" s="7">
        <f>+Tabla1[[#This Row],[PRECIO EN SOLES]]-Tabla1[[#This Row],[PC]]</f>
        <v>237.46520000000055</v>
      </c>
      <c r="K1058" s="15"/>
      <c r="L1058" s="15" t="str">
        <f>IF(
OR(
ISNUMBER(SEARCH("BACKPACK",B1060)),
ISNUMBER(SEARCH("MOCHILA",B1060)),
ISNUMBER(SEARCH("FUNDA",B1060)),
ISNUMBER(SEARCH("ESTUCHE",B1060)),
ISNUMBER(SEARCH("BOOK COVER",B1060)),
ISNUMBER(SEARCH("KEYBOARD PARA TABLET",B1060)),
ISNUMBER(SEARCH("FLIP TABLET",B1060)),
ISNUMBER(SEARCH("CASE FOR TABLET",B1060)),
ISNUMBER(SEARCH("CABLE",B1060)),
ISNUMBER(SEARCH("ADAPTADOR",B1060)),
ISNUMBER(SEARCH("HUB",B1060)),
ISNUMBER(SEARCH("DOCK",B1060)),
ISNUMBER(SEARCH("MOUSE PAD",B1060)),
ISNUMBER(SEARCH("MOUSEPAD",B1060)),
ISNUMBER(SEARCH("SOPORTE",B1060)),
ISNUMBER(SEARCH("STAND",B1060)),
ISNUMBER(SEARCH("TRAVEL ADAPTER",B1060)),
ISNUMBER(SEARCH("RJ45",B1060)),
ISNUMBER(SEARCH("USB-C",B1060)),
ISNUMBER(SEARCH("USB WIFI",B1060)),
ISNUMBER(SEARCH("POWERBANK",B1060)),
ISNUMBER(SEARCH("CARGADOR",B1060)),
ISNUMBER(SEARCH("COOLER PARA NB",B1060)),
ISNUMBER(SEARCH("SOPORTE PARA NB",B1060)),
ISNUMBER(SEARCH("WEBCAM",B1060)),
ISNUMBER(SEARCH("WEB CAM",B1060)),
ISNUMBER(SEARCH("MOUSE",B1060)),
ISNUMBER(SEARCH("TECLADO",B1060))
),
"COMPLEMENTO",
IF(
OR(
LEFT(A1060,2)="NB",
LEFT(A1060,2)="PC",
LEFT(A1060,2)="WS",
LEFT(A1060,2)="TB",
LEFT(A1060,3)="CEL",
LEFT(A1060,3)="MON",
LEFT(A1060,3)="PRE",
LEFT(A1060,3)="PRH",
ISNUMBER(SEARCH("NOTEBOOK",B1060)),
ISNUMBER(SEARCH("LAPTOP",B1060)),
ISNUMBER(SEARCH("MONITOR",B1060)),
ISNUMBER(SEARCH("TABLET",B1060)),
ISNUMBER(SEARCH("SMARTPH",B1060)),
ISNUMBER(SEARCH("IMPRESORA",B1060)),
ISNUMBER(SEARCH("MULTIFUNCIONAL",B1060)),
ISNUMBER(SEARCH("AIO",B1060))
),
"GANCHO",
"NORMAL"
)
)</f>
        <v>NORMAL</v>
      </c>
    </row>
    <row r="1059" spans="1:12" x14ac:dyDescent="0.25">
      <c r="A1059" s="3" t="s">
        <v>6073</v>
      </c>
      <c r="B1059" s="3" t="s">
        <v>6074</v>
      </c>
      <c r="C1059" s="1">
        <v>0</v>
      </c>
      <c r="D1059" s="1">
        <v>807</v>
      </c>
      <c r="E1059" s="1" t="s">
        <v>74</v>
      </c>
      <c r="F1059" s="1" t="s">
        <v>6075</v>
      </c>
      <c r="G1059" s="3" t="s">
        <v>6076</v>
      </c>
      <c r="H1059" s="11">
        <f>ROUND(
IF(L1057="GANCHO",
   IF(I1059&lt;=50,I1059*1.1+4,IF(I1059&lt;=120,I1059*1.1+7,IF(I1059&lt;=250,I1059*1.1+11,I1059*1.1+19))),
IF(L1057="NORMAL",
   IF(I1059&lt;=30,I1059*1.15+2,IF(I1059&lt;=80,I1059*1.15+4,IF(I1059&lt;=150,I1059*1.15+6,I1059*1.15+8))),
IF(L1057="COMPLEMENTO",
   IF(I1059&lt;=25,I1059*1.25+1.5,IF(I1059&lt;=60,I1059*1.25+3,IF(I1059&lt;=120,I1059*1.25+4,I1059*1.25+5))),
""))),2)</f>
        <v>3664.25</v>
      </c>
      <c r="I1059" s="9">
        <f>($K$2+0.02)*Tabla1[[#This Row],[PRECIO $]]*1.18</f>
        <v>3313.8647999999998</v>
      </c>
      <c r="J1059" s="7">
        <f>+Tabla1[[#This Row],[PRECIO EN SOLES]]-Tabla1[[#This Row],[PC]]</f>
        <v>350.38520000000017</v>
      </c>
      <c r="K1059" s="15"/>
      <c r="L1059" s="15" t="str">
        <f>IF(
OR(
ISNUMBER(SEARCH("BACKPACK",B1061)),
ISNUMBER(SEARCH("MOCHILA",B1061)),
ISNUMBER(SEARCH("FUNDA",B1061)),
ISNUMBER(SEARCH("ESTUCHE",B1061)),
ISNUMBER(SEARCH("BOOK COVER",B1061)),
ISNUMBER(SEARCH("KEYBOARD PARA TABLET",B1061)),
ISNUMBER(SEARCH("FLIP TABLET",B1061)),
ISNUMBER(SEARCH("CASE FOR TABLET",B1061)),
ISNUMBER(SEARCH("CABLE",B1061)),
ISNUMBER(SEARCH("ADAPTADOR",B1061)),
ISNUMBER(SEARCH("HUB",B1061)),
ISNUMBER(SEARCH("DOCK",B1061)),
ISNUMBER(SEARCH("MOUSE PAD",B1061)),
ISNUMBER(SEARCH("MOUSEPAD",B1061)),
ISNUMBER(SEARCH("SOPORTE",B1061)),
ISNUMBER(SEARCH("STAND",B1061)),
ISNUMBER(SEARCH("TRAVEL ADAPTER",B1061)),
ISNUMBER(SEARCH("RJ45",B1061)),
ISNUMBER(SEARCH("USB-C",B1061)),
ISNUMBER(SEARCH("USB WIFI",B1061)),
ISNUMBER(SEARCH("POWERBANK",B1061)),
ISNUMBER(SEARCH("CARGADOR",B1061)),
ISNUMBER(SEARCH("COOLER PARA NB",B1061)),
ISNUMBER(SEARCH("SOPORTE PARA NB",B1061)),
ISNUMBER(SEARCH("WEBCAM",B1061)),
ISNUMBER(SEARCH("WEB CAM",B1061)),
ISNUMBER(SEARCH("MOUSE",B1061)),
ISNUMBER(SEARCH("TECLADO",B1061))
),
"COMPLEMENTO",
IF(
OR(
LEFT(A1061,2)="NB",
LEFT(A1061,2)="PC",
LEFT(A1061,2)="WS",
LEFT(A1061,2)="TB",
LEFT(A1061,3)="CEL",
LEFT(A1061,3)="MON",
LEFT(A1061,3)="PRE",
LEFT(A1061,3)="PRH",
ISNUMBER(SEARCH("NOTEBOOK",B1061)),
ISNUMBER(SEARCH("LAPTOP",B1061)),
ISNUMBER(SEARCH("MONITOR",B1061)),
ISNUMBER(SEARCH("TABLET",B1061)),
ISNUMBER(SEARCH("SMARTPH",B1061)),
ISNUMBER(SEARCH("IMPRESORA",B1061)),
ISNUMBER(SEARCH("MULTIFUNCIONAL",B1061)),
ISNUMBER(SEARCH("AIO",B1061))
),
"GANCHO",
"NORMAL"
)
)</f>
        <v>GANCHO</v>
      </c>
    </row>
    <row r="1060" spans="1:12" x14ac:dyDescent="0.25">
      <c r="A1060" s="3" t="s">
        <v>1783</v>
      </c>
      <c r="B1060" s="3" t="s">
        <v>1784</v>
      </c>
      <c r="C1060" s="1">
        <v>1</v>
      </c>
      <c r="D1060" s="1">
        <v>160</v>
      </c>
      <c r="E1060" s="1" t="s">
        <v>57</v>
      </c>
      <c r="F1060" s="1" t="s">
        <v>3676</v>
      </c>
      <c r="G1060" s="3"/>
      <c r="H1060" s="11">
        <f>ROUND(
IF(L1058="GANCHO",
   IF(I1060&lt;=50,I1060*1.1+4,IF(I1060&lt;=120,I1060*1.1+7,IF(I1060&lt;=250,I1060*1.1+11,I1060*1.1+19))),
IF(L1058="NORMAL",
   IF(I1060&lt;=30,I1060*1.15+2,IF(I1060&lt;=80,I1060*1.15+4,IF(I1060&lt;=150,I1060*1.15+6,I1060*1.15+8))),
IF(L1058="COMPLEMENTO",
   IF(I1060&lt;=25,I1060*1.25+1.5,IF(I1060&lt;=60,I1060*1.25+3,IF(I1060&lt;=120,I1060*1.25+4,I1060*1.25+5))),
""))),2)</f>
        <v>763.58</v>
      </c>
      <c r="I1060" s="9">
        <f>($K$2+0.02)*Tabla1[[#This Row],[PRECIO $]]*1.18</f>
        <v>657.02399999999989</v>
      </c>
      <c r="J1060" s="7">
        <f>+Tabla1[[#This Row],[PRECIO EN SOLES]]-Tabla1[[#This Row],[PC]]</f>
        <v>106.55600000000015</v>
      </c>
      <c r="K1060" s="15"/>
      <c r="L1060" s="15" t="str">
        <f>IF(
OR(
ISNUMBER(SEARCH("BACKPACK",B1062)),
ISNUMBER(SEARCH("MOCHILA",B1062)),
ISNUMBER(SEARCH("FUNDA",B1062)),
ISNUMBER(SEARCH("ESTUCHE",B1062)),
ISNUMBER(SEARCH("BOOK COVER",B1062)),
ISNUMBER(SEARCH("KEYBOARD PARA TABLET",B1062)),
ISNUMBER(SEARCH("FLIP TABLET",B1062)),
ISNUMBER(SEARCH("CASE FOR TABLET",B1062)),
ISNUMBER(SEARCH("CABLE",B1062)),
ISNUMBER(SEARCH("ADAPTADOR",B1062)),
ISNUMBER(SEARCH("HUB",B1062)),
ISNUMBER(SEARCH("DOCK",B1062)),
ISNUMBER(SEARCH("MOUSE PAD",B1062)),
ISNUMBER(SEARCH("MOUSEPAD",B1062)),
ISNUMBER(SEARCH("SOPORTE",B1062)),
ISNUMBER(SEARCH("STAND",B1062)),
ISNUMBER(SEARCH("TRAVEL ADAPTER",B1062)),
ISNUMBER(SEARCH("RJ45",B1062)),
ISNUMBER(SEARCH("USB-C",B1062)),
ISNUMBER(SEARCH("USB WIFI",B1062)),
ISNUMBER(SEARCH("POWERBANK",B1062)),
ISNUMBER(SEARCH("CARGADOR",B1062)),
ISNUMBER(SEARCH("COOLER PARA NB",B1062)),
ISNUMBER(SEARCH("SOPORTE PARA NB",B1062)),
ISNUMBER(SEARCH("WEBCAM",B1062)),
ISNUMBER(SEARCH("WEB CAM",B1062)),
ISNUMBER(SEARCH("MOUSE",B1062)),
ISNUMBER(SEARCH("TECLADO",B1062))
),
"COMPLEMENTO",
IF(
OR(
LEFT(A1062,2)="NB",
LEFT(A1062,2)="PC",
LEFT(A1062,2)="WS",
LEFT(A1062,2)="TB",
LEFT(A1062,3)="CEL",
LEFT(A1062,3)="MON",
LEFT(A1062,3)="PRE",
LEFT(A1062,3)="PRH",
ISNUMBER(SEARCH("NOTEBOOK",B1062)),
ISNUMBER(SEARCH("LAPTOP",B1062)),
ISNUMBER(SEARCH("MONITOR",B1062)),
ISNUMBER(SEARCH("TABLET",B1062)),
ISNUMBER(SEARCH("SMARTPH",B1062)),
ISNUMBER(SEARCH("IMPRESORA",B1062)),
ISNUMBER(SEARCH("MULTIFUNCIONAL",B1062)),
ISNUMBER(SEARCH("AIO",B1062))
),
"GANCHO",
"NORMAL"
)
)</f>
        <v>GANCHO</v>
      </c>
    </row>
    <row r="1061" spans="1:12" x14ac:dyDescent="0.25">
      <c r="A1061" s="3" t="s">
        <v>6608</v>
      </c>
      <c r="B1061" s="3" t="s">
        <v>6609</v>
      </c>
      <c r="C1061" s="1">
        <v>20</v>
      </c>
      <c r="D1061" s="1">
        <v>206</v>
      </c>
      <c r="E1061" s="1" t="s">
        <v>54</v>
      </c>
      <c r="F1061" s="1" t="s">
        <v>6610</v>
      </c>
      <c r="G1061" s="3" t="s">
        <v>6611</v>
      </c>
      <c r="H1061" s="11">
        <f>ROUND(
IF(L1059="GANCHO",
   IF(I1061&lt;=50,I1061*1.1+4,IF(I1061&lt;=120,I1061*1.1+7,IF(I1061&lt;=250,I1061*1.1+11,I1061*1.1+19))),
IF(L1059="NORMAL",
   IF(I1061&lt;=30,I1061*1.15+2,IF(I1061&lt;=80,I1061*1.15+4,IF(I1061&lt;=150,I1061*1.15+6,I1061*1.15+8))),
IF(L1059="COMPLEMENTO",
   IF(I1061&lt;=25,I1061*1.25+1.5,IF(I1061&lt;=60,I1061*1.25+3,IF(I1061&lt;=120,I1061*1.25+4,I1061*1.25+5))),
""))),2)</f>
        <v>949.51</v>
      </c>
      <c r="I1061" s="9">
        <f>($K$2+0.02)*Tabla1[[#This Row],[PRECIO $]]*1.18</f>
        <v>845.91839999999991</v>
      </c>
      <c r="J1061" s="7">
        <f>+Tabla1[[#This Row],[PRECIO EN SOLES]]-Tabla1[[#This Row],[PC]]</f>
        <v>103.59160000000008</v>
      </c>
      <c r="K1061" s="15"/>
      <c r="L1061" s="15" t="str">
        <f>IF(
OR(
ISNUMBER(SEARCH("BACKPACK",B1063)),
ISNUMBER(SEARCH("MOCHILA",B1063)),
ISNUMBER(SEARCH("FUNDA",B1063)),
ISNUMBER(SEARCH("ESTUCHE",B1063)),
ISNUMBER(SEARCH("BOOK COVER",B1063)),
ISNUMBER(SEARCH("KEYBOARD PARA TABLET",B1063)),
ISNUMBER(SEARCH("FLIP TABLET",B1063)),
ISNUMBER(SEARCH("CASE FOR TABLET",B1063)),
ISNUMBER(SEARCH("CABLE",B1063)),
ISNUMBER(SEARCH("ADAPTADOR",B1063)),
ISNUMBER(SEARCH("HUB",B1063)),
ISNUMBER(SEARCH("DOCK",B1063)),
ISNUMBER(SEARCH("MOUSE PAD",B1063)),
ISNUMBER(SEARCH("MOUSEPAD",B1063)),
ISNUMBER(SEARCH("SOPORTE",B1063)),
ISNUMBER(SEARCH("STAND",B1063)),
ISNUMBER(SEARCH("TRAVEL ADAPTER",B1063)),
ISNUMBER(SEARCH("RJ45",B1063)),
ISNUMBER(SEARCH("USB-C",B1063)),
ISNUMBER(SEARCH("USB WIFI",B1063)),
ISNUMBER(SEARCH("POWERBANK",B1063)),
ISNUMBER(SEARCH("CARGADOR",B1063)),
ISNUMBER(SEARCH("COOLER PARA NB",B1063)),
ISNUMBER(SEARCH("SOPORTE PARA NB",B1063)),
ISNUMBER(SEARCH("WEBCAM",B1063)),
ISNUMBER(SEARCH("WEB CAM",B1063)),
ISNUMBER(SEARCH("MOUSE",B1063)),
ISNUMBER(SEARCH("TECLADO",B1063))
),
"COMPLEMENTO",
IF(
OR(
LEFT(A1063,2)="NB",
LEFT(A1063,2)="PC",
LEFT(A1063,2)="WS",
LEFT(A1063,2)="TB",
LEFT(A1063,3)="CEL",
LEFT(A1063,3)="MON",
LEFT(A1063,3)="PRE",
LEFT(A1063,3)="PRH",
ISNUMBER(SEARCH("NOTEBOOK",B1063)),
ISNUMBER(SEARCH("LAPTOP",B1063)),
ISNUMBER(SEARCH("MONITOR",B1063)),
ISNUMBER(SEARCH("TABLET",B1063)),
ISNUMBER(SEARCH("SMARTPH",B1063)),
ISNUMBER(SEARCH("IMPRESORA",B1063)),
ISNUMBER(SEARCH("MULTIFUNCIONAL",B1063)),
ISNUMBER(SEARCH("AIO",B1063))
),
"GANCHO",
"NORMAL"
)
)</f>
        <v>GANCHO</v>
      </c>
    </row>
    <row r="1062" spans="1:12" x14ac:dyDescent="0.25">
      <c r="A1062" s="3" t="s">
        <v>6612</v>
      </c>
      <c r="B1062" s="3" t="s">
        <v>6613</v>
      </c>
      <c r="C1062" s="1">
        <v>20</v>
      </c>
      <c r="D1062" s="1">
        <v>240</v>
      </c>
      <c r="E1062" s="1" t="s">
        <v>276</v>
      </c>
      <c r="F1062" s="1" t="s">
        <v>6614</v>
      </c>
      <c r="G1062" s="3" t="s">
        <v>6615</v>
      </c>
      <c r="H1062" s="11">
        <f>ROUND(
IF(L1060="GANCHO",
   IF(I1062&lt;=50,I1062*1.1+4,IF(I1062&lt;=120,I1062*1.1+7,IF(I1062&lt;=250,I1062*1.1+11,I1062*1.1+19))),
IF(L1060="NORMAL",
   IF(I1062&lt;=30,I1062*1.15+2,IF(I1062&lt;=80,I1062*1.15+4,IF(I1062&lt;=150,I1062*1.15+6,I1062*1.15+8))),
IF(L1060="COMPLEMENTO",
   IF(I1062&lt;=25,I1062*1.25+1.5,IF(I1062&lt;=60,I1062*1.25+3,IF(I1062&lt;=120,I1062*1.25+4,I1062*1.25+5))),
""))),2)</f>
        <v>1103.0899999999999</v>
      </c>
      <c r="I1062" s="9">
        <f>($K$2+0.02)*Tabla1[[#This Row],[PRECIO $]]*1.18</f>
        <v>985.53600000000006</v>
      </c>
      <c r="J1062" s="7">
        <f>+Tabla1[[#This Row],[PRECIO EN SOLES]]-Tabla1[[#This Row],[PC]]</f>
        <v>117.55399999999986</v>
      </c>
      <c r="K1062" s="15"/>
      <c r="L1062" s="15" t="str">
        <f>IF(
OR(
ISNUMBER(SEARCH("BACKPACK",B1064)),
ISNUMBER(SEARCH("MOCHILA",B1064)),
ISNUMBER(SEARCH("FUNDA",B1064)),
ISNUMBER(SEARCH("ESTUCHE",B1064)),
ISNUMBER(SEARCH("BOOK COVER",B1064)),
ISNUMBER(SEARCH("KEYBOARD PARA TABLET",B1064)),
ISNUMBER(SEARCH("FLIP TABLET",B1064)),
ISNUMBER(SEARCH("CASE FOR TABLET",B1064)),
ISNUMBER(SEARCH("CABLE",B1064)),
ISNUMBER(SEARCH("ADAPTADOR",B1064)),
ISNUMBER(SEARCH("HUB",B1064)),
ISNUMBER(SEARCH("DOCK",B1064)),
ISNUMBER(SEARCH("MOUSE PAD",B1064)),
ISNUMBER(SEARCH("MOUSEPAD",B1064)),
ISNUMBER(SEARCH("SOPORTE",B1064)),
ISNUMBER(SEARCH("STAND",B1064)),
ISNUMBER(SEARCH("TRAVEL ADAPTER",B1064)),
ISNUMBER(SEARCH("RJ45",B1064)),
ISNUMBER(SEARCH("USB-C",B1064)),
ISNUMBER(SEARCH("USB WIFI",B1064)),
ISNUMBER(SEARCH("POWERBANK",B1064)),
ISNUMBER(SEARCH("CARGADOR",B1064)),
ISNUMBER(SEARCH("COOLER PARA NB",B1064)),
ISNUMBER(SEARCH("SOPORTE PARA NB",B1064)),
ISNUMBER(SEARCH("WEBCAM",B1064)),
ISNUMBER(SEARCH("WEB CAM",B1064)),
ISNUMBER(SEARCH("MOUSE",B1064)),
ISNUMBER(SEARCH("TECLADO",B1064))
),
"COMPLEMENTO",
IF(
OR(
LEFT(A1064,2)="NB",
LEFT(A1064,2)="PC",
LEFT(A1064,2)="WS",
LEFT(A1064,2)="TB",
LEFT(A1064,3)="CEL",
LEFT(A1064,3)="MON",
LEFT(A1064,3)="PRE",
LEFT(A1064,3)="PRH",
ISNUMBER(SEARCH("NOTEBOOK",B1064)),
ISNUMBER(SEARCH("LAPTOP",B1064)),
ISNUMBER(SEARCH("MONITOR",B1064)),
ISNUMBER(SEARCH("TABLET",B1064)),
ISNUMBER(SEARCH("SMARTPH",B1064)),
ISNUMBER(SEARCH("IMPRESORA",B1064)),
ISNUMBER(SEARCH("MULTIFUNCIONAL",B1064)),
ISNUMBER(SEARCH("AIO",B1064))
),
"GANCHO",
"NORMAL"
)
)</f>
        <v>GANCHO</v>
      </c>
    </row>
    <row r="1063" spans="1:12" x14ac:dyDescent="0.25">
      <c r="A1063" s="3" t="s">
        <v>6077</v>
      </c>
      <c r="B1063" s="3" t="s">
        <v>6078</v>
      </c>
      <c r="C1063" s="1">
        <v>20</v>
      </c>
      <c r="D1063" s="1">
        <v>523</v>
      </c>
      <c r="E1063" s="1" t="s">
        <v>910</v>
      </c>
      <c r="F1063" s="1" t="s">
        <v>6079</v>
      </c>
      <c r="G1063" s="3" t="s">
        <v>6616</v>
      </c>
      <c r="H1063" s="11">
        <f>ROUND(
IF(L1061="GANCHO",
   IF(I1063&lt;=50,I1063*1.1+4,IF(I1063&lt;=120,I1063*1.1+7,IF(I1063&lt;=250,I1063*1.1+11,I1063*1.1+19))),
IF(L1061="NORMAL",
   IF(I1063&lt;=30,I1063*1.15+2,IF(I1063&lt;=80,I1063*1.15+4,IF(I1063&lt;=150,I1063*1.15+6,I1063*1.15+8))),
IF(L1061="COMPLEMENTO",
   IF(I1063&lt;=25,I1063*1.25+1.5,IF(I1063&lt;=60,I1063*1.25+3,IF(I1063&lt;=120,I1063*1.25+4,I1063*1.25+5))),
""))),2)</f>
        <v>2381.41</v>
      </c>
      <c r="I1063" s="9">
        <f>($K$2+0.02)*Tabla1[[#This Row],[PRECIO $]]*1.18</f>
        <v>2147.6471999999999</v>
      </c>
      <c r="J1063" s="7">
        <f>+Tabla1[[#This Row],[PRECIO EN SOLES]]-Tabla1[[#This Row],[PC]]</f>
        <v>233.76279999999997</v>
      </c>
      <c r="K1063" s="15"/>
      <c r="L1063" s="15" t="str">
        <f>IF(
OR(
ISNUMBER(SEARCH("BACKPACK",B1065)),
ISNUMBER(SEARCH("MOCHILA",B1065)),
ISNUMBER(SEARCH("FUNDA",B1065)),
ISNUMBER(SEARCH("ESTUCHE",B1065)),
ISNUMBER(SEARCH("BOOK COVER",B1065)),
ISNUMBER(SEARCH("KEYBOARD PARA TABLET",B1065)),
ISNUMBER(SEARCH("FLIP TABLET",B1065)),
ISNUMBER(SEARCH("CASE FOR TABLET",B1065)),
ISNUMBER(SEARCH("CABLE",B1065)),
ISNUMBER(SEARCH("ADAPTADOR",B1065)),
ISNUMBER(SEARCH("HUB",B1065)),
ISNUMBER(SEARCH("DOCK",B1065)),
ISNUMBER(SEARCH("MOUSE PAD",B1065)),
ISNUMBER(SEARCH("MOUSEPAD",B1065)),
ISNUMBER(SEARCH("SOPORTE",B1065)),
ISNUMBER(SEARCH("STAND",B1065)),
ISNUMBER(SEARCH("TRAVEL ADAPTER",B1065)),
ISNUMBER(SEARCH("RJ45",B1065)),
ISNUMBER(SEARCH("USB-C",B1065)),
ISNUMBER(SEARCH("USB WIFI",B1065)),
ISNUMBER(SEARCH("POWERBANK",B1065)),
ISNUMBER(SEARCH("CARGADOR",B1065)),
ISNUMBER(SEARCH("COOLER PARA NB",B1065)),
ISNUMBER(SEARCH("SOPORTE PARA NB",B1065)),
ISNUMBER(SEARCH("WEBCAM",B1065)),
ISNUMBER(SEARCH("WEB CAM",B1065)),
ISNUMBER(SEARCH("MOUSE",B1065)),
ISNUMBER(SEARCH("TECLADO",B1065))
),
"COMPLEMENTO",
IF(
OR(
LEFT(A1065,2)="NB",
LEFT(A1065,2)="PC",
LEFT(A1065,2)="WS",
LEFT(A1065,2)="TB",
LEFT(A1065,3)="CEL",
LEFT(A1065,3)="MON",
LEFT(A1065,3)="PRE",
LEFT(A1065,3)="PRH",
ISNUMBER(SEARCH("NOTEBOOK",B1065)),
ISNUMBER(SEARCH("LAPTOP",B1065)),
ISNUMBER(SEARCH("MONITOR",B1065)),
ISNUMBER(SEARCH("TABLET",B1065)),
ISNUMBER(SEARCH("SMARTPH",B1065)),
ISNUMBER(SEARCH("IMPRESORA",B1065)),
ISNUMBER(SEARCH("MULTIFUNCIONAL",B1065)),
ISNUMBER(SEARCH("AIO",B1065))
),
"GANCHO",
"NORMAL"
)
)</f>
        <v>GANCHO</v>
      </c>
    </row>
    <row r="1064" spans="1:12" x14ac:dyDescent="0.25">
      <c r="A1064" s="3" t="s">
        <v>6080</v>
      </c>
      <c r="B1064" s="3" t="s">
        <v>6081</v>
      </c>
      <c r="C1064" s="1">
        <v>20</v>
      </c>
      <c r="D1064" s="1">
        <v>535</v>
      </c>
      <c r="E1064" s="1" t="s">
        <v>367</v>
      </c>
      <c r="F1064" s="1" t="s">
        <v>6082</v>
      </c>
      <c r="G1064" s="3" t="s">
        <v>6083</v>
      </c>
      <c r="H1064" s="11">
        <f>ROUND(
IF(L1062="GANCHO",
   IF(I1064&lt;=50,I1064*1.1+4,IF(I1064&lt;=120,I1064*1.1+7,IF(I1064&lt;=250,I1064*1.1+11,I1064*1.1+19))),
IF(L1062="NORMAL",
   IF(I1064&lt;=30,I1064*1.15+2,IF(I1064&lt;=80,I1064*1.15+4,IF(I1064&lt;=150,I1064*1.15+6,I1064*1.15+8))),
IF(L1062="COMPLEMENTO",
   IF(I1064&lt;=25,I1064*1.25+1.5,IF(I1064&lt;=60,I1064*1.25+3,IF(I1064&lt;=120,I1064*1.25+4,I1064*1.25+5))),
""))),2)</f>
        <v>2435.62</v>
      </c>
      <c r="I1064" s="9">
        <f>($K$2+0.02)*Tabla1[[#This Row],[PRECIO $]]*1.18</f>
        <v>2196.924</v>
      </c>
      <c r="J1064" s="7">
        <f>+Tabla1[[#This Row],[PRECIO EN SOLES]]-Tabla1[[#This Row],[PC]]</f>
        <v>238.69599999999991</v>
      </c>
      <c r="K1064" s="15"/>
      <c r="L1064" s="15" t="str">
        <f>IF(
OR(
ISNUMBER(SEARCH("BACKPACK",B1066)),
ISNUMBER(SEARCH("MOCHILA",B1066)),
ISNUMBER(SEARCH("FUNDA",B1066)),
ISNUMBER(SEARCH("ESTUCHE",B1066)),
ISNUMBER(SEARCH("BOOK COVER",B1066)),
ISNUMBER(SEARCH("KEYBOARD PARA TABLET",B1066)),
ISNUMBER(SEARCH("FLIP TABLET",B1066)),
ISNUMBER(SEARCH("CASE FOR TABLET",B1066)),
ISNUMBER(SEARCH("CABLE",B1066)),
ISNUMBER(SEARCH("ADAPTADOR",B1066)),
ISNUMBER(SEARCH("HUB",B1066)),
ISNUMBER(SEARCH("DOCK",B1066)),
ISNUMBER(SEARCH("MOUSE PAD",B1066)),
ISNUMBER(SEARCH("MOUSEPAD",B1066)),
ISNUMBER(SEARCH("SOPORTE",B1066)),
ISNUMBER(SEARCH("STAND",B1066)),
ISNUMBER(SEARCH("TRAVEL ADAPTER",B1066)),
ISNUMBER(SEARCH("RJ45",B1066)),
ISNUMBER(SEARCH("USB-C",B1066)),
ISNUMBER(SEARCH("USB WIFI",B1066)),
ISNUMBER(SEARCH("POWERBANK",B1066)),
ISNUMBER(SEARCH("CARGADOR",B1066)),
ISNUMBER(SEARCH("COOLER PARA NB",B1066)),
ISNUMBER(SEARCH("SOPORTE PARA NB",B1066)),
ISNUMBER(SEARCH("WEBCAM",B1066)),
ISNUMBER(SEARCH("WEB CAM",B1066)),
ISNUMBER(SEARCH("MOUSE",B1066)),
ISNUMBER(SEARCH("TECLADO",B1066))
),
"COMPLEMENTO",
IF(
OR(
LEFT(A1066,2)="NB",
LEFT(A1066,2)="PC",
LEFT(A1066,2)="WS",
LEFT(A1066,2)="TB",
LEFT(A1066,3)="CEL",
LEFT(A1066,3)="MON",
LEFT(A1066,3)="PRE",
LEFT(A1066,3)="PRH",
ISNUMBER(SEARCH("NOTEBOOK",B1066)),
ISNUMBER(SEARCH("LAPTOP",B1066)),
ISNUMBER(SEARCH("MONITOR",B1066)),
ISNUMBER(SEARCH("TABLET",B1066)),
ISNUMBER(SEARCH("SMARTPH",B1066)),
ISNUMBER(SEARCH("IMPRESORA",B1066)),
ISNUMBER(SEARCH("MULTIFUNCIONAL",B1066)),
ISNUMBER(SEARCH("AIO",B1066))
),
"GANCHO",
"NORMAL"
)
)</f>
        <v>GANCHO</v>
      </c>
    </row>
    <row r="1065" spans="1:12" x14ac:dyDescent="0.25">
      <c r="A1065" s="3" t="s">
        <v>389</v>
      </c>
      <c r="B1065" s="3" t="s">
        <v>388</v>
      </c>
      <c r="C1065" s="1">
        <v>0</v>
      </c>
      <c r="D1065" s="1">
        <v>410.5</v>
      </c>
      <c r="E1065" s="1" t="s">
        <v>148</v>
      </c>
      <c r="F1065" s="1" t="s">
        <v>3677</v>
      </c>
      <c r="G1065" s="3" t="s">
        <v>390</v>
      </c>
      <c r="H1065" s="11">
        <f>ROUND(
IF(L1063="GANCHO",
   IF(I1065&lt;=50,I1065*1.1+4,IF(I1065&lt;=120,I1065*1.1+7,IF(I1065&lt;=250,I1065*1.1+11,I1065*1.1+19))),
IF(L1063="NORMAL",
   IF(I1065&lt;=30,I1065*1.15+2,IF(I1065&lt;=80,I1065*1.15+4,IF(I1065&lt;=150,I1065*1.15+6,I1065*1.15+8))),
IF(L1063="COMPLEMENTO",
   IF(I1065&lt;=25,I1065*1.25+1.5,IF(I1065&lt;=60,I1065*1.25+3,IF(I1065&lt;=120,I1065*1.25+4,I1065*1.25+5))),
""))),2)</f>
        <v>1873.24</v>
      </c>
      <c r="I1065" s="9">
        <f>($K$2+0.02)*Tabla1[[#This Row],[PRECIO $]]*1.18</f>
        <v>1685.6771999999999</v>
      </c>
      <c r="J1065" s="7">
        <f>+Tabla1[[#This Row],[PRECIO EN SOLES]]-Tabla1[[#This Row],[PC]]</f>
        <v>187.56280000000015</v>
      </c>
      <c r="K1065" s="15"/>
      <c r="L1065" s="15" t="str">
        <f>IF(
OR(
ISNUMBER(SEARCH("BACKPACK",B1067)),
ISNUMBER(SEARCH("MOCHILA",B1067)),
ISNUMBER(SEARCH("FUNDA",B1067)),
ISNUMBER(SEARCH("ESTUCHE",B1067)),
ISNUMBER(SEARCH("BOOK COVER",B1067)),
ISNUMBER(SEARCH("KEYBOARD PARA TABLET",B1067)),
ISNUMBER(SEARCH("FLIP TABLET",B1067)),
ISNUMBER(SEARCH("CASE FOR TABLET",B1067)),
ISNUMBER(SEARCH("CABLE",B1067)),
ISNUMBER(SEARCH("ADAPTADOR",B1067)),
ISNUMBER(SEARCH("HUB",B1067)),
ISNUMBER(SEARCH("DOCK",B1067)),
ISNUMBER(SEARCH("MOUSE PAD",B1067)),
ISNUMBER(SEARCH("MOUSEPAD",B1067)),
ISNUMBER(SEARCH("SOPORTE",B1067)),
ISNUMBER(SEARCH("STAND",B1067)),
ISNUMBER(SEARCH("TRAVEL ADAPTER",B1067)),
ISNUMBER(SEARCH("RJ45",B1067)),
ISNUMBER(SEARCH("USB-C",B1067)),
ISNUMBER(SEARCH("USB WIFI",B1067)),
ISNUMBER(SEARCH("POWERBANK",B1067)),
ISNUMBER(SEARCH("CARGADOR",B1067)),
ISNUMBER(SEARCH("COOLER PARA NB",B1067)),
ISNUMBER(SEARCH("SOPORTE PARA NB",B1067)),
ISNUMBER(SEARCH("WEBCAM",B1067)),
ISNUMBER(SEARCH("WEB CAM",B1067)),
ISNUMBER(SEARCH("MOUSE",B1067)),
ISNUMBER(SEARCH("TECLADO",B1067))
),
"COMPLEMENTO",
IF(
OR(
LEFT(A1067,2)="NB",
LEFT(A1067,2)="PC",
LEFT(A1067,2)="WS",
LEFT(A1067,2)="TB",
LEFT(A1067,3)="CEL",
LEFT(A1067,3)="MON",
LEFT(A1067,3)="PRE",
LEFT(A1067,3)="PRH",
ISNUMBER(SEARCH("NOTEBOOK",B1067)),
ISNUMBER(SEARCH("LAPTOP",B1067)),
ISNUMBER(SEARCH("MONITOR",B1067)),
ISNUMBER(SEARCH("TABLET",B1067)),
ISNUMBER(SEARCH("SMARTPH",B1067)),
ISNUMBER(SEARCH("IMPRESORA",B1067)),
ISNUMBER(SEARCH("MULTIFUNCIONAL",B1067)),
ISNUMBER(SEARCH("AIO",B1067))
),
"GANCHO",
"NORMAL"
)
)</f>
        <v>GANCHO</v>
      </c>
    </row>
    <row r="1066" spans="1:12" x14ac:dyDescent="0.25">
      <c r="A1066" s="3" t="s">
        <v>4837</v>
      </c>
      <c r="B1066" s="3" t="s">
        <v>4838</v>
      </c>
      <c r="C1066" s="1">
        <v>20</v>
      </c>
      <c r="D1066" s="1">
        <v>493.5</v>
      </c>
      <c r="E1066" s="1" t="s">
        <v>56</v>
      </c>
      <c r="F1066" s="1" t="s">
        <v>4839</v>
      </c>
      <c r="G1066" s="3" t="s">
        <v>4840</v>
      </c>
      <c r="H1066" s="11">
        <f>ROUND(
IF(L1064="GANCHO",
   IF(I1066&lt;=50,I1066*1.1+4,IF(I1066&lt;=120,I1066*1.1+7,IF(I1066&lt;=250,I1066*1.1+11,I1066*1.1+19))),
IF(L1064="NORMAL",
   IF(I1066&lt;=30,I1066*1.15+2,IF(I1066&lt;=80,I1066*1.15+4,IF(I1066&lt;=150,I1066*1.15+6,I1066*1.15+8))),
IF(L1064="COMPLEMENTO",
   IF(I1066&lt;=25,I1066*1.25+1.5,IF(I1066&lt;=60,I1066*1.25+3,IF(I1066&lt;=120,I1066*1.25+4,I1066*1.25+5))),
""))),2)</f>
        <v>2248.16</v>
      </c>
      <c r="I1066" s="9">
        <f>($K$2+0.02)*Tabla1[[#This Row],[PRECIO $]]*1.18</f>
        <v>2026.5083999999997</v>
      </c>
      <c r="J1066" s="7">
        <f>+Tabla1[[#This Row],[PRECIO EN SOLES]]-Tabla1[[#This Row],[PC]]</f>
        <v>221.65160000000014</v>
      </c>
      <c r="K1066" s="15"/>
      <c r="L1066" s="15" t="str">
        <f>IF(
OR(
ISNUMBER(SEARCH("BACKPACK",B1068)),
ISNUMBER(SEARCH("MOCHILA",B1068)),
ISNUMBER(SEARCH("FUNDA",B1068)),
ISNUMBER(SEARCH("ESTUCHE",B1068)),
ISNUMBER(SEARCH("BOOK COVER",B1068)),
ISNUMBER(SEARCH("KEYBOARD PARA TABLET",B1068)),
ISNUMBER(SEARCH("FLIP TABLET",B1068)),
ISNUMBER(SEARCH("CASE FOR TABLET",B1068)),
ISNUMBER(SEARCH("CABLE",B1068)),
ISNUMBER(SEARCH("ADAPTADOR",B1068)),
ISNUMBER(SEARCH("HUB",B1068)),
ISNUMBER(SEARCH("DOCK",B1068)),
ISNUMBER(SEARCH("MOUSE PAD",B1068)),
ISNUMBER(SEARCH("MOUSEPAD",B1068)),
ISNUMBER(SEARCH("SOPORTE",B1068)),
ISNUMBER(SEARCH("STAND",B1068)),
ISNUMBER(SEARCH("TRAVEL ADAPTER",B1068)),
ISNUMBER(SEARCH("RJ45",B1068)),
ISNUMBER(SEARCH("USB-C",B1068)),
ISNUMBER(SEARCH("USB WIFI",B1068)),
ISNUMBER(SEARCH("POWERBANK",B1068)),
ISNUMBER(SEARCH("CARGADOR",B1068)),
ISNUMBER(SEARCH("COOLER PARA NB",B1068)),
ISNUMBER(SEARCH("SOPORTE PARA NB",B1068)),
ISNUMBER(SEARCH("WEBCAM",B1068)),
ISNUMBER(SEARCH("WEB CAM",B1068)),
ISNUMBER(SEARCH("MOUSE",B1068)),
ISNUMBER(SEARCH("TECLADO",B1068))
),
"COMPLEMENTO",
IF(
OR(
LEFT(A1068,2)="NB",
LEFT(A1068,2)="PC",
LEFT(A1068,2)="WS",
LEFT(A1068,2)="TB",
LEFT(A1068,3)="CEL",
LEFT(A1068,3)="MON",
LEFT(A1068,3)="PRE",
LEFT(A1068,3)="PRH",
ISNUMBER(SEARCH("NOTEBOOK",B1068)),
ISNUMBER(SEARCH("LAPTOP",B1068)),
ISNUMBER(SEARCH("MONITOR",B1068)),
ISNUMBER(SEARCH("TABLET",B1068)),
ISNUMBER(SEARCH("SMARTPH",B1068)),
ISNUMBER(SEARCH("IMPRESORA",B1068)),
ISNUMBER(SEARCH("MULTIFUNCIONAL",B1068)),
ISNUMBER(SEARCH("AIO",B1068))
),
"GANCHO",
"NORMAL"
)
)</f>
        <v>GANCHO</v>
      </c>
    </row>
    <row r="1067" spans="1:12" x14ac:dyDescent="0.25">
      <c r="A1067" s="3" t="s">
        <v>1785</v>
      </c>
      <c r="B1067" s="3" t="s">
        <v>1786</v>
      </c>
      <c r="C1067" s="1">
        <v>15</v>
      </c>
      <c r="D1067" s="1">
        <v>677</v>
      </c>
      <c r="E1067" s="1" t="s">
        <v>837</v>
      </c>
      <c r="F1067" s="1" t="s">
        <v>3678</v>
      </c>
      <c r="G1067" s="3" t="s">
        <v>1787</v>
      </c>
      <c r="H1067" s="11">
        <f>ROUND(
IF(L1065="GANCHO",
   IF(I1067&lt;=50,I1067*1.1+4,IF(I1067&lt;=120,I1067*1.1+7,IF(I1067&lt;=250,I1067*1.1+11,I1067*1.1+19))),
IF(L1065="NORMAL",
   IF(I1067&lt;=30,I1067*1.15+2,IF(I1067&lt;=80,I1067*1.15+4,IF(I1067&lt;=150,I1067*1.15+6,I1067*1.15+8))),
IF(L1065="COMPLEMENTO",
   IF(I1067&lt;=25,I1067*1.25+1.5,IF(I1067&lt;=60,I1067*1.25+3,IF(I1067&lt;=120,I1067*1.25+4,I1067*1.25+5))),
""))),2)</f>
        <v>3077.04</v>
      </c>
      <c r="I1067" s="9">
        <f>($K$2+0.02)*Tabla1[[#This Row],[PRECIO $]]*1.18</f>
        <v>2780.0328</v>
      </c>
      <c r="J1067" s="7">
        <f>+Tabla1[[#This Row],[PRECIO EN SOLES]]-Tabla1[[#This Row],[PC]]</f>
        <v>297.00720000000001</v>
      </c>
      <c r="K1067" s="15"/>
      <c r="L1067" s="15" t="str">
        <f>IF(
OR(
ISNUMBER(SEARCH("BACKPACK",B1069)),
ISNUMBER(SEARCH("MOCHILA",B1069)),
ISNUMBER(SEARCH("FUNDA",B1069)),
ISNUMBER(SEARCH("ESTUCHE",B1069)),
ISNUMBER(SEARCH("BOOK COVER",B1069)),
ISNUMBER(SEARCH("KEYBOARD PARA TABLET",B1069)),
ISNUMBER(SEARCH("FLIP TABLET",B1069)),
ISNUMBER(SEARCH("CASE FOR TABLET",B1069)),
ISNUMBER(SEARCH("CABLE",B1069)),
ISNUMBER(SEARCH("ADAPTADOR",B1069)),
ISNUMBER(SEARCH("HUB",B1069)),
ISNUMBER(SEARCH("DOCK",B1069)),
ISNUMBER(SEARCH("MOUSE PAD",B1069)),
ISNUMBER(SEARCH("MOUSEPAD",B1069)),
ISNUMBER(SEARCH("SOPORTE",B1069)),
ISNUMBER(SEARCH("STAND",B1069)),
ISNUMBER(SEARCH("TRAVEL ADAPTER",B1069)),
ISNUMBER(SEARCH("RJ45",B1069)),
ISNUMBER(SEARCH("USB-C",B1069)),
ISNUMBER(SEARCH("USB WIFI",B1069)),
ISNUMBER(SEARCH("POWERBANK",B1069)),
ISNUMBER(SEARCH("CARGADOR",B1069)),
ISNUMBER(SEARCH("COOLER PARA NB",B1069)),
ISNUMBER(SEARCH("SOPORTE PARA NB",B1069)),
ISNUMBER(SEARCH("WEBCAM",B1069)),
ISNUMBER(SEARCH("WEB CAM",B1069)),
ISNUMBER(SEARCH("MOUSE",B1069)),
ISNUMBER(SEARCH("TECLADO",B1069))
),
"COMPLEMENTO",
IF(
OR(
LEFT(A1069,2)="NB",
LEFT(A1069,2)="PC",
LEFT(A1069,2)="WS",
LEFT(A1069,2)="TB",
LEFT(A1069,3)="CEL",
LEFT(A1069,3)="MON",
LEFT(A1069,3)="PRE",
LEFT(A1069,3)="PRH",
ISNUMBER(SEARCH("NOTEBOOK",B1069)),
ISNUMBER(SEARCH("LAPTOP",B1069)),
ISNUMBER(SEARCH("MONITOR",B1069)),
ISNUMBER(SEARCH("TABLET",B1069)),
ISNUMBER(SEARCH("SMARTPH",B1069)),
ISNUMBER(SEARCH("IMPRESORA",B1069)),
ISNUMBER(SEARCH("MULTIFUNCIONAL",B1069)),
ISNUMBER(SEARCH("AIO",B1069))
),
"GANCHO",
"NORMAL"
)
)</f>
        <v>GANCHO</v>
      </c>
    </row>
    <row r="1068" spans="1:12" x14ac:dyDescent="0.25">
      <c r="A1068" s="3" t="s">
        <v>1788</v>
      </c>
      <c r="B1068" s="3" t="s">
        <v>1789</v>
      </c>
      <c r="C1068" s="1">
        <v>20</v>
      </c>
      <c r="D1068" s="1">
        <v>527</v>
      </c>
      <c r="E1068" s="1" t="s">
        <v>276</v>
      </c>
      <c r="F1068" s="1" t="s">
        <v>3679</v>
      </c>
      <c r="G1068" s="3" t="s">
        <v>1790</v>
      </c>
      <c r="H1068" s="11">
        <f>ROUND(
IF(L1066="GANCHO",
   IF(I1068&lt;=50,I1068*1.1+4,IF(I1068&lt;=120,I1068*1.1+7,IF(I1068&lt;=250,I1068*1.1+11,I1068*1.1+19))),
IF(L1066="NORMAL",
   IF(I1068&lt;=30,I1068*1.15+2,IF(I1068&lt;=80,I1068*1.15+4,IF(I1068&lt;=150,I1068*1.15+6,I1068*1.15+8))),
IF(L1066="COMPLEMENTO",
   IF(I1068&lt;=25,I1068*1.25+1.5,IF(I1068&lt;=60,I1068*1.25+3,IF(I1068&lt;=120,I1068*1.25+4,I1068*1.25+5))),
""))),2)</f>
        <v>2399.48</v>
      </c>
      <c r="I1068" s="9">
        <f>($K$2+0.02)*Tabla1[[#This Row],[PRECIO $]]*1.18</f>
        <v>2164.0727999999999</v>
      </c>
      <c r="J1068" s="7">
        <f>+Tabla1[[#This Row],[PRECIO EN SOLES]]-Tabla1[[#This Row],[PC]]</f>
        <v>235.4072000000001</v>
      </c>
      <c r="K1068" s="15"/>
      <c r="L1068" s="15" t="str">
        <f>IF(
OR(
ISNUMBER(SEARCH("BACKPACK",B1070)),
ISNUMBER(SEARCH("MOCHILA",B1070)),
ISNUMBER(SEARCH("FUNDA",B1070)),
ISNUMBER(SEARCH("ESTUCHE",B1070)),
ISNUMBER(SEARCH("BOOK COVER",B1070)),
ISNUMBER(SEARCH("KEYBOARD PARA TABLET",B1070)),
ISNUMBER(SEARCH("FLIP TABLET",B1070)),
ISNUMBER(SEARCH("CASE FOR TABLET",B1070)),
ISNUMBER(SEARCH("CABLE",B1070)),
ISNUMBER(SEARCH("ADAPTADOR",B1070)),
ISNUMBER(SEARCH("HUB",B1070)),
ISNUMBER(SEARCH("DOCK",B1070)),
ISNUMBER(SEARCH("MOUSE PAD",B1070)),
ISNUMBER(SEARCH("MOUSEPAD",B1070)),
ISNUMBER(SEARCH("SOPORTE",B1070)),
ISNUMBER(SEARCH("STAND",B1070)),
ISNUMBER(SEARCH("TRAVEL ADAPTER",B1070)),
ISNUMBER(SEARCH("RJ45",B1070)),
ISNUMBER(SEARCH("USB-C",B1070)),
ISNUMBER(SEARCH("USB WIFI",B1070)),
ISNUMBER(SEARCH("POWERBANK",B1070)),
ISNUMBER(SEARCH("CARGADOR",B1070)),
ISNUMBER(SEARCH("COOLER PARA NB",B1070)),
ISNUMBER(SEARCH("SOPORTE PARA NB",B1070)),
ISNUMBER(SEARCH("WEBCAM",B1070)),
ISNUMBER(SEARCH("WEB CAM",B1070)),
ISNUMBER(SEARCH("MOUSE",B1070)),
ISNUMBER(SEARCH("TECLADO",B1070))
),
"COMPLEMENTO",
IF(
OR(
LEFT(A1070,2)="NB",
LEFT(A1070,2)="PC",
LEFT(A1070,2)="WS",
LEFT(A1070,2)="TB",
LEFT(A1070,3)="CEL",
LEFT(A1070,3)="MON",
LEFT(A1070,3)="PRE",
LEFT(A1070,3)="PRH",
ISNUMBER(SEARCH("NOTEBOOK",B1070)),
ISNUMBER(SEARCH("LAPTOP",B1070)),
ISNUMBER(SEARCH("MONITOR",B1070)),
ISNUMBER(SEARCH("TABLET",B1070)),
ISNUMBER(SEARCH("SMARTPH",B1070)),
ISNUMBER(SEARCH("IMPRESORA",B1070)),
ISNUMBER(SEARCH("MULTIFUNCIONAL",B1070)),
ISNUMBER(SEARCH("AIO",B1070))
),
"GANCHO",
"NORMAL"
)
)</f>
        <v>GANCHO</v>
      </c>
    </row>
    <row r="1069" spans="1:12" x14ac:dyDescent="0.25">
      <c r="A1069" s="3" t="s">
        <v>4322</v>
      </c>
      <c r="B1069" s="3" t="s">
        <v>1789</v>
      </c>
      <c r="C1069" s="1">
        <v>20</v>
      </c>
      <c r="D1069" s="1">
        <v>540</v>
      </c>
      <c r="E1069" s="1" t="s">
        <v>276</v>
      </c>
      <c r="F1069" s="1" t="s">
        <v>4323</v>
      </c>
      <c r="G1069" s="3" t="s">
        <v>1790</v>
      </c>
      <c r="H1069" s="11">
        <f>ROUND(
IF(L1067="GANCHO",
   IF(I1069&lt;=50,I1069*1.1+4,IF(I1069&lt;=120,I1069*1.1+7,IF(I1069&lt;=250,I1069*1.1+11,I1069*1.1+19))),
IF(L1067="NORMAL",
   IF(I1069&lt;=30,I1069*1.15+2,IF(I1069&lt;=80,I1069*1.15+4,IF(I1069&lt;=150,I1069*1.15+6,I1069*1.15+8))),
IF(L1067="COMPLEMENTO",
   IF(I1069&lt;=25,I1069*1.25+1.5,IF(I1069&lt;=60,I1069*1.25+3,IF(I1069&lt;=120,I1069*1.25+4,I1069*1.25+5))),
""))),2)</f>
        <v>2458.1999999999998</v>
      </c>
      <c r="I1069" s="9">
        <f>($K$2+0.02)*Tabla1[[#This Row],[PRECIO $]]*1.18</f>
        <v>2217.4560000000001</v>
      </c>
      <c r="J1069" s="7">
        <f>+Tabla1[[#This Row],[PRECIO EN SOLES]]-Tabla1[[#This Row],[PC]]</f>
        <v>240.74399999999969</v>
      </c>
      <c r="K1069" s="15"/>
      <c r="L1069" s="15" t="str">
        <f>IF(
OR(
ISNUMBER(SEARCH("BACKPACK",B1071)),
ISNUMBER(SEARCH("MOCHILA",B1071)),
ISNUMBER(SEARCH("FUNDA",B1071)),
ISNUMBER(SEARCH("ESTUCHE",B1071)),
ISNUMBER(SEARCH("BOOK COVER",B1071)),
ISNUMBER(SEARCH("KEYBOARD PARA TABLET",B1071)),
ISNUMBER(SEARCH("FLIP TABLET",B1071)),
ISNUMBER(SEARCH("CASE FOR TABLET",B1071)),
ISNUMBER(SEARCH("CABLE",B1071)),
ISNUMBER(SEARCH("ADAPTADOR",B1071)),
ISNUMBER(SEARCH("HUB",B1071)),
ISNUMBER(SEARCH("DOCK",B1071)),
ISNUMBER(SEARCH("MOUSE PAD",B1071)),
ISNUMBER(SEARCH("MOUSEPAD",B1071)),
ISNUMBER(SEARCH("SOPORTE",B1071)),
ISNUMBER(SEARCH("STAND",B1071)),
ISNUMBER(SEARCH("TRAVEL ADAPTER",B1071)),
ISNUMBER(SEARCH("RJ45",B1071)),
ISNUMBER(SEARCH("USB-C",B1071)),
ISNUMBER(SEARCH("USB WIFI",B1071)),
ISNUMBER(SEARCH("POWERBANK",B1071)),
ISNUMBER(SEARCH("CARGADOR",B1071)),
ISNUMBER(SEARCH("COOLER PARA NB",B1071)),
ISNUMBER(SEARCH("SOPORTE PARA NB",B1071)),
ISNUMBER(SEARCH("WEBCAM",B1071)),
ISNUMBER(SEARCH("WEB CAM",B1071)),
ISNUMBER(SEARCH("MOUSE",B1071)),
ISNUMBER(SEARCH("TECLADO",B1071))
),
"COMPLEMENTO",
IF(
OR(
LEFT(A1071,2)="NB",
LEFT(A1071,2)="PC",
LEFT(A1071,2)="WS",
LEFT(A1071,2)="TB",
LEFT(A1071,3)="CEL",
LEFT(A1071,3)="MON",
LEFT(A1071,3)="PRE",
LEFT(A1071,3)="PRH",
ISNUMBER(SEARCH("NOTEBOOK",B1071)),
ISNUMBER(SEARCH("LAPTOP",B1071)),
ISNUMBER(SEARCH("MONITOR",B1071)),
ISNUMBER(SEARCH("TABLET",B1071)),
ISNUMBER(SEARCH("SMARTPH",B1071)),
ISNUMBER(SEARCH("IMPRESORA",B1071)),
ISNUMBER(SEARCH("MULTIFUNCIONAL",B1071)),
ISNUMBER(SEARCH("AIO",B1071))
),
"GANCHO",
"NORMAL"
)
)</f>
        <v>GANCHO</v>
      </c>
    </row>
    <row r="1070" spans="1:12" x14ac:dyDescent="0.25">
      <c r="A1070" s="3" t="s">
        <v>6084</v>
      </c>
      <c r="B1070" s="3" t="s">
        <v>6085</v>
      </c>
      <c r="C1070" s="1">
        <v>20</v>
      </c>
      <c r="D1070" s="1">
        <v>685</v>
      </c>
      <c r="E1070" s="1" t="s">
        <v>910</v>
      </c>
      <c r="F1070" s="1" t="s">
        <v>6086</v>
      </c>
      <c r="G1070" s="3" t="s">
        <v>6087</v>
      </c>
      <c r="H1070" s="11">
        <f>ROUND(
IF(L1068="GANCHO",
   IF(I1070&lt;=50,I1070*1.1+4,IF(I1070&lt;=120,I1070*1.1+7,IF(I1070&lt;=250,I1070*1.1+11,I1070*1.1+19))),
IF(L1068="NORMAL",
   IF(I1070&lt;=30,I1070*1.15+2,IF(I1070&lt;=80,I1070*1.15+4,IF(I1070&lt;=150,I1070*1.15+6,I1070*1.15+8))),
IF(L1068="COMPLEMENTO",
   IF(I1070&lt;=25,I1070*1.25+1.5,IF(I1070&lt;=60,I1070*1.25+3,IF(I1070&lt;=120,I1070*1.25+4,I1070*1.25+5))),
""))),2)</f>
        <v>3113.17</v>
      </c>
      <c r="I1070" s="9">
        <f>($K$2+0.02)*Tabla1[[#This Row],[PRECIO $]]*1.18</f>
        <v>2812.884</v>
      </c>
      <c r="J1070" s="7">
        <f>+Tabla1[[#This Row],[PRECIO EN SOLES]]-Tabla1[[#This Row],[PC]]</f>
        <v>300.28600000000006</v>
      </c>
      <c r="K1070" s="15"/>
      <c r="L1070" s="15" t="str">
        <f>IF(
OR(
ISNUMBER(SEARCH("BACKPACK",B1072)),
ISNUMBER(SEARCH("MOCHILA",B1072)),
ISNUMBER(SEARCH("FUNDA",B1072)),
ISNUMBER(SEARCH("ESTUCHE",B1072)),
ISNUMBER(SEARCH("BOOK COVER",B1072)),
ISNUMBER(SEARCH("KEYBOARD PARA TABLET",B1072)),
ISNUMBER(SEARCH("FLIP TABLET",B1072)),
ISNUMBER(SEARCH("CASE FOR TABLET",B1072)),
ISNUMBER(SEARCH("CABLE",B1072)),
ISNUMBER(SEARCH("ADAPTADOR",B1072)),
ISNUMBER(SEARCH("HUB",B1072)),
ISNUMBER(SEARCH("DOCK",B1072)),
ISNUMBER(SEARCH("MOUSE PAD",B1072)),
ISNUMBER(SEARCH("MOUSEPAD",B1072)),
ISNUMBER(SEARCH("SOPORTE",B1072)),
ISNUMBER(SEARCH("STAND",B1072)),
ISNUMBER(SEARCH("TRAVEL ADAPTER",B1072)),
ISNUMBER(SEARCH("RJ45",B1072)),
ISNUMBER(SEARCH("USB-C",B1072)),
ISNUMBER(SEARCH("USB WIFI",B1072)),
ISNUMBER(SEARCH("POWERBANK",B1072)),
ISNUMBER(SEARCH("CARGADOR",B1072)),
ISNUMBER(SEARCH("COOLER PARA NB",B1072)),
ISNUMBER(SEARCH("SOPORTE PARA NB",B1072)),
ISNUMBER(SEARCH("WEBCAM",B1072)),
ISNUMBER(SEARCH("WEB CAM",B1072)),
ISNUMBER(SEARCH("MOUSE",B1072)),
ISNUMBER(SEARCH("TECLADO",B1072))
),
"COMPLEMENTO",
IF(
OR(
LEFT(A1072,2)="NB",
LEFT(A1072,2)="PC",
LEFT(A1072,2)="WS",
LEFT(A1072,2)="TB",
LEFT(A1072,3)="CEL",
LEFT(A1072,3)="MON",
LEFT(A1072,3)="PRE",
LEFT(A1072,3)="PRH",
ISNUMBER(SEARCH("NOTEBOOK",B1072)),
ISNUMBER(SEARCH("LAPTOP",B1072)),
ISNUMBER(SEARCH("MONITOR",B1072)),
ISNUMBER(SEARCH("TABLET",B1072)),
ISNUMBER(SEARCH("SMARTPH",B1072)),
ISNUMBER(SEARCH("IMPRESORA",B1072)),
ISNUMBER(SEARCH("MULTIFUNCIONAL",B1072)),
ISNUMBER(SEARCH("AIO",B1072))
),
"GANCHO",
"NORMAL"
)
)</f>
        <v>GANCHO</v>
      </c>
    </row>
    <row r="1071" spans="1:12" x14ac:dyDescent="0.25">
      <c r="A1071" s="3" t="s">
        <v>5163</v>
      </c>
      <c r="B1071" s="3" t="s">
        <v>5164</v>
      </c>
      <c r="C1071" s="1">
        <v>10</v>
      </c>
      <c r="D1071" s="1">
        <v>339</v>
      </c>
      <c r="E1071" s="1" t="s">
        <v>56</v>
      </c>
      <c r="F1071" s="1" t="s">
        <v>5165</v>
      </c>
      <c r="G1071" s="3" t="s">
        <v>5166</v>
      </c>
      <c r="H1071" s="11">
        <f>ROUND(
IF(L1069="GANCHO",
   IF(I1071&lt;=50,I1071*1.1+4,IF(I1071&lt;=120,I1071*1.1+7,IF(I1071&lt;=250,I1071*1.1+11,I1071*1.1+19))),
IF(L1069="NORMAL",
   IF(I1071&lt;=30,I1071*1.15+2,IF(I1071&lt;=80,I1071*1.15+4,IF(I1071&lt;=150,I1071*1.15+6,I1071*1.15+8))),
IF(L1069="COMPLEMENTO",
   IF(I1071&lt;=25,I1071*1.25+1.5,IF(I1071&lt;=60,I1071*1.25+3,IF(I1071&lt;=120,I1071*1.25+4,I1071*1.25+5))),
""))),2)</f>
        <v>1550.28</v>
      </c>
      <c r="I1071" s="9">
        <f>($K$2+0.02)*Tabla1[[#This Row],[PRECIO $]]*1.18</f>
        <v>1392.0696</v>
      </c>
      <c r="J1071" s="7">
        <f>+Tabla1[[#This Row],[PRECIO EN SOLES]]-Tabla1[[#This Row],[PC]]</f>
        <v>158.21039999999994</v>
      </c>
      <c r="K1071" s="15"/>
      <c r="L1071" s="15" t="str">
        <f>IF(
OR(
ISNUMBER(SEARCH("BACKPACK",B1073)),
ISNUMBER(SEARCH("MOCHILA",B1073)),
ISNUMBER(SEARCH("FUNDA",B1073)),
ISNUMBER(SEARCH("ESTUCHE",B1073)),
ISNUMBER(SEARCH("BOOK COVER",B1073)),
ISNUMBER(SEARCH("KEYBOARD PARA TABLET",B1073)),
ISNUMBER(SEARCH("FLIP TABLET",B1073)),
ISNUMBER(SEARCH("CASE FOR TABLET",B1073)),
ISNUMBER(SEARCH("CABLE",B1073)),
ISNUMBER(SEARCH("ADAPTADOR",B1073)),
ISNUMBER(SEARCH("HUB",B1073)),
ISNUMBER(SEARCH("DOCK",B1073)),
ISNUMBER(SEARCH("MOUSE PAD",B1073)),
ISNUMBER(SEARCH("MOUSEPAD",B1073)),
ISNUMBER(SEARCH("SOPORTE",B1073)),
ISNUMBER(SEARCH("STAND",B1073)),
ISNUMBER(SEARCH("TRAVEL ADAPTER",B1073)),
ISNUMBER(SEARCH("RJ45",B1073)),
ISNUMBER(SEARCH("USB-C",B1073)),
ISNUMBER(SEARCH("USB WIFI",B1073)),
ISNUMBER(SEARCH("POWERBANK",B1073)),
ISNUMBER(SEARCH("CARGADOR",B1073)),
ISNUMBER(SEARCH("COOLER PARA NB",B1073)),
ISNUMBER(SEARCH("SOPORTE PARA NB",B1073)),
ISNUMBER(SEARCH("WEBCAM",B1073)),
ISNUMBER(SEARCH("WEB CAM",B1073)),
ISNUMBER(SEARCH("MOUSE",B1073)),
ISNUMBER(SEARCH("TECLADO",B1073))
),
"COMPLEMENTO",
IF(
OR(
LEFT(A1073,2)="NB",
LEFT(A1073,2)="PC",
LEFT(A1073,2)="WS",
LEFT(A1073,2)="TB",
LEFT(A1073,3)="CEL",
LEFT(A1073,3)="MON",
LEFT(A1073,3)="PRE",
LEFT(A1073,3)="PRH",
ISNUMBER(SEARCH("NOTEBOOK",B1073)),
ISNUMBER(SEARCH("LAPTOP",B1073)),
ISNUMBER(SEARCH("MONITOR",B1073)),
ISNUMBER(SEARCH("TABLET",B1073)),
ISNUMBER(SEARCH("SMARTPH",B1073)),
ISNUMBER(SEARCH("IMPRESORA",B1073)),
ISNUMBER(SEARCH("MULTIFUNCIONAL",B1073)),
ISNUMBER(SEARCH("AIO",B1073))
),
"GANCHO",
"NORMAL"
)
)</f>
        <v>GANCHO</v>
      </c>
    </row>
    <row r="1072" spans="1:12" x14ac:dyDescent="0.25">
      <c r="A1072" s="3" t="s">
        <v>4324</v>
      </c>
      <c r="B1072" s="3" t="s">
        <v>4325</v>
      </c>
      <c r="C1072" s="1">
        <v>1</v>
      </c>
      <c r="D1072" s="1">
        <v>393</v>
      </c>
      <c r="E1072" s="1" t="s">
        <v>74</v>
      </c>
      <c r="F1072" s="1" t="s">
        <v>4326</v>
      </c>
      <c r="G1072" s="3" t="s">
        <v>379</v>
      </c>
      <c r="H1072" s="11">
        <f>ROUND(
IF(L1070="GANCHO",
   IF(I1072&lt;=50,I1072*1.1+4,IF(I1072&lt;=120,I1072*1.1+7,IF(I1072&lt;=250,I1072*1.1+11,I1072*1.1+19))),
IF(L1070="NORMAL",
   IF(I1072&lt;=30,I1072*1.15+2,IF(I1072&lt;=80,I1072*1.15+4,IF(I1072&lt;=150,I1072*1.15+6,I1072*1.15+8))),
IF(L1070="COMPLEMENTO",
   IF(I1072&lt;=25,I1072*1.25+1.5,IF(I1072&lt;=60,I1072*1.25+3,IF(I1072&lt;=120,I1072*1.25+4,I1072*1.25+5))),
""))),2)</f>
        <v>1794.2</v>
      </c>
      <c r="I1072" s="9">
        <f>($K$2+0.02)*Tabla1[[#This Row],[PRECIO $]]*1.18</f>
        <v>1613.8152</v>
      </c>
      <c r="J1072" s="7">
        <f>+Tabla1[[#This Row],[PRECIO EN SOLES]]-Tabla1[[#This Row],[PC]]</f>
        <v>180.38480000000004</v>
      </c>
      <c r="K1072" s="15"/>
      <c r="L1072" s="15" t="str">
        <f>IF(
OR(
ISNUMBER(SEARCH("BACKPACK",B1074)),
ISNUMBER(SEARCH("MOCHILA",B1074)),
ISNUMBER(SEARCH("FUNDA",B1074)),
ISNUMBER(SEARCH("ESTUCHE",B1074)),
ISNUMBER(SEARCH("BOOK COVER",B1074)),
ISNUMBER(SEARCH("KEYBOARD PARA TABLET",B1074)),
ISNUMBER(SEARCH("FLIP TABLET",B1074)),
ISNUMBER(SEARCH("CASE FOR TABLET",B1074)),
ISNUMBER(SEARCH("CABLE",B1074)),
ISNUMBER(SEARCH("ADAPTADOR",B1074)),
ISNUMBER(SEARCH("HUB",B1074)),
ISNUMBER(SEARCH("DOCK",B1074)),
ISNUMBER(SEARCH("MOUSE PAD",B1074)),
ISNUMBER(SEARCH("MOUSEPAD",B1074)),
ISNUMBER(SEARCH("SOPORTE",B1074)),
ISNUMBER(SEARCH("STAND",B1074)),
ISNUMBER(SEARCH("TRAVEL ADAPTER",B1074)),
ISNUMBER(SEARCH("RJ45",B1074)),
ISNUMBER(SEARCH("USB-C",B1074)),
ISNUMBER(SEARCH("USB WIFI",B1074)),
ISNUMBER(SEARCH("POWERBANK",B1074)),
ISNUMBER(SEARCH("CARGADOR",B1074)),
ISNUMBER(SEARCH("COOLER PARA NB",B1074)),
ISNUMBER(SEARCH("SOPORTE PARA NB",B1074)),
ISNUMBER(SEARCH("WEBCAM",B1074)),
ISNUMBER(SEARCH("WEB CAM",B1074)),
ISNUMBER(SEARCH("MOUSE",B1074)),
ISNUMBER(SEARCH("TECLADO",B1074))
),
"COMPLEMENTO",
IF(
OR(
LEFT(A1074,2)="NB",
LEFT(A1074,2)="PC",
LEFT(A1074,2)="WS",
LEFT(A1074,2)="TB",
LEFT(A1074,3)="CEL",
LEFT(A1074,3)="MON",
LEFT(A1074,3)="PRE",
LEFT(A1074,3)="PRH",
ISNUMBER(SEARCH("NOTEBOOK",B1074)),
ISNUMBER(SEARCH("LAPTOP",B1074)),
ISNUMBER(SEARCH("MONITOR",B1074)),
ISNUMBER(SEARCH("TABLET",B1074)),
ISNUMBER(SEARCH("SMARTPH",B1074)),
ISNUMBER(SEARCH("IMPRESORA",B1074)),
ISNUMBER(SEARCH("MULTIFUNCIONAL",B1074)),
ISNUMBER(SEARCH("AIO",B1074))
),
"GANCHO",
"NORMAL"
)
)</f>
        <v>GANCHO</v>
      </c>
    </row>
    <row r="1073" spans="1:12" x14ac:dyDescent="0.25">
      <c r="A1073" s="3" t="s">
        <v>377</v>
      </c>
      <c r="B1073" s="3" t="s">
        <v>378</v>
      </c>
      <c r="C1073" s="1">
        <v>20</v>
      </c>
      <c r="D1073" s="1">
        <v>338.6</v>
      </c>
      <c r="E1073" s="1" t="s">
        <v>74</v>
      </c>
      <c r="F1073" s="1" t="s">
        <v>3680</v>
      </c>
      <c r="G1073" s="3" t="s">
        <v>379</v>
      </c>
      <c r="H1073" s="11">
        <f>ROUND(
IF(L1071="GANCHO",
   IF(I1073&lt;=50,I1073*1.1+4,IF(I1073&lt;=120,I1073*1.1+7,IF(I1073&lt;=250,I1073*1.1+11,I1073*1.1+19))),
IF(L1071="NORMAL",
   IF(I1073&lt;=30,I1073*1.15+2,IF(I1073&lt;=80,I1073*1.15+4,IF(I1073&lt;=150,I1073*1.15+6,I1073*1.15+8))),
IF(L1071="COMPLEMENTO",
   IF(I1073&lt;=25,I1073*1.25+1.5,IF(I1073&lt;=60,I1073*1.25+3,IF(I1073&lt;=120,I1073*1.25+4,I1073*1.25+5))),
""))),2)</f>
        <v>1548.47</v>
      </c>
      <c r="I1073" s="9">
        <f>($K$2+0.02)*Tabla1[[#This Row],[PRECIO $]]*1.18</f>
        <v>1390.4270399999998</v>
      </c>
      <c r="J1073" s="7">
        <f>+Tabla1[[#This Row],[PRECIO EN SOLES]]-Tabla1[[#This Row],[PC]]</f>
        <v>158.04296000000022</v>
      </c>
      <c r="K1073" s="15"/>
      <c r="L1073" s="15" t="str">
        <f>IF(
OR(
ISNUMBER(SEARCH("BACKPACK",B1075)),
ISNUMBER(SEARCH("MOCHILA",B1075)),
ISNUMBER(SEARCH("FUNDA",B1075)),
ISNUMBER(SEARCH("ESTUCHE",B1075)),
ISNUMBER(SEARCH("BOOK COVER",B1075)),
ISNUMBER(SEARCH("KEYBOARD PARA TABLET",B1075)),
ISNUMBER(SEARCH("FLIP TABLET",B1075)),
ISNUMBER(SEARCH("CASE FOR TABLET",B1075)),
ISNUMBER(SEARCH("CABLE",B1075)),
ISNUMBER(SEARCH("ADAPTADOR",B1075)),
ISNUMBER(SEARCH("HUB",B1075)),
ISNUMBER(SEARCH("DOCK",B1075)),
ISNUMBER(SEARCH("MOUSE PAD",B1075)),
ISNUMBER(SEARCH("MOUSEPAD",B1075)),
ISNUMBER(SEARCH("SOPORTE",B1075)),
ISNUMBER(SEARCH("STAND",B1075)),
ISNUMBER(SEARCH("TRAVEL ADAPTER",B1075)),
ISNUMBER(SEARCH("RJ45",B1075)),
ISNUMBER(SEARCH("USB-C",B1075)),
ISNUMBER(SEARCH("USB WIFI",B1075)),
ISNUMBER(SEARCH("POWERBANK",B1075)),
ISNUMBER(SEARCH("CARGADOR",B1075)),
ISNUMBER(SEARCH("COOLER PARA NB",B1075)),
ISNUMBER(SEARCH("SOPORTE PARA NB",B1075)),
ISNUMBER(SEARCH("WEBCAM",B1075)),
ISNUMBER(SEARCH("WEB CAM",B1075)),
ISNUMBER(SEARCH("MOUSE",B1075)),
ISNUMBER(SEARCH("TECLADO",B1075))
),
"COMPLEMENTO",
IF(
OR(
LEFT(A1075,2)="NB",
LEFT(A1075,2)="PC",
LEFT(A1075,2)="WS",
LEFT(A1075,2)="TB",
LEFT(A1075,3)="CEL",
LEFT(A1075,3)="MON",
LEFT(A1075,3)="PRE",
LEFT(A1075,3)="PRH",
ISNUMBER(SEARCH("NOTEBOOK",B1075)),
ISNUMBER(SEARCH("LAPTOP",B1075)),
ISNUMBER(SEARCH("MONITOR",B1075)),
ISNUMBER(SEARCH("TABLET",B1075)),
ISNUMBER(SEARCH("SMARTPH",B1075)),
ISNUMBER(SEARCH("IMPRESORA",B1075)),
ISNUMBER(SEARCH("MULTIFUNCIONAL",B1075)),
ISNUMBER(SEARCH("AIO",B1075))
),
"GANCHO",
"NORMAL"
)
)</f>
        <v>GANCHO</v>
      </c>
    </row>
    <row r="1074" spans="1:12" x14ac:dyDescent="0.25">
      <c r="A1074" s="3" t="s">
        <v>380</v>
      </c>
      <c r="B1074" s="3" t="s">
        <v>381</v>
      </c>
      <c r="C1074" s="1">
        <v>20</v>
      </c>
      <c r="D1074" s="1">
        <v>316</v>
      </c>
      <c r="E1074" s="1" t="s">
        <v>276</v>
      </c>
      <c r="F1074" s="1" t="s">
        <v>3681</v>
      </c>
      <c r="G1074" s="3" t="s">
        <v>382</v>
      </c>
      <c r="H1074" s="11">
        <f>ROUND(
IF(L1072="GANCHO",
   IF(I1074&lt;=50,I1074*1.1+4,IF(I1074&lt;=120,I1074*1.1+7,IF(I1074&lt;=250,I1074*1.1+11,I1074*1.1+19))),
IF(L1072="NORMAL",
   IF(I1074&lt;=30,I1074*1.15+2,IF(I1074&lt;=80,I1074*1.15+4,IF(I1074&lt;=150,I1074*1.15+6,I1074*1.15+8))),
IF(L1072="COMPLEMENTO",
   IF(I1074&lt;=25,I1074*1.25+1.5,IF(I1074&lt;=60,I1074*1.25+3,IF(I1074&lt;=120,I1074*1.25+4,I1074*1.25+5))),
""))),2)</f>
        <v>1446.38</v>
      </c>
      <c r="I1074" s="9">
        <f>($K$2+0.02)*Tabla1[[#This Row],[PRECIO $]]*1.18</f>
        <v>1297.6224</v>
      </c>
      <c r="J1074" s="7">
        <f>+Tabla1[[#This Row],[PRECIO EN SOLES]]-Tabla1[[#This Row],[PC]]</f>
        <v>148.75760000000014</v>
      </c>
      <c r="K1074" s="15"/>
      <c r="L1074" s="15" t="str">
        <f>IF(
OR(
ISNUMBER(SEARCH("BACKPACK",B1076)),
ISNUMBER(SEARCH("MOCHILA",B1076)),
ISNUMBER(SEARCH("FUNDA",B1076)),
ISNUMBER(SEARCH("ESTUCHE",B1076)),
ISNUMBER(SEARCH("BOOK COVER",B1076)),
ISNUMBER(SEARCH("KEYBOARD PARA TABLET",B1076)),
ISNUMBER(SEARCH("FLIP TABLET",B1076)),
ISNUMBER(SEARCH("CASE FOR TABLET",B1076)),
ISNUMBER(SEARCH("CABLE",B1076)),
ISNUMBER(SEARCH("ADAPTADOR",B1076)),
ISNUMBER(SEARCH("HUB",B1076)),
ISNUMBER(SEARCH("DOCK",B1076)),
ISNUMBER(SEARCH("MOUSE PAD",B1076)),
ISNUMBER(SEARCH("MOUSEPAD",B1076)),
ISNUMBER(SEARCH("SOPORTE",B1076)),
ISNUMBER(SEARCH("STAND",B1076)),
ISNUMBER(SEARCH("TRAVEL ADAPTER",B1076)),
ISNUMBER(SEARCH("RJ45",B1076)),
ISNUMBER(SEARCH("USB-C",B1076)),
ISNUMBER(SEARCH("USB WIFI",B1076)),
ISNUMBER(SEARCH("POWERBANK",B1076)),
ISNUMBER(SEARCH("CARGADOR",B1076)),
ISNUMBER(SEARCH("COOLER PARA NB",B1076)),
ISNUMBER(SEARCH("SOPORTE PARA NB",B1076)),
ISNUMBER(SEARCH("WEBCAM",B1076)),
ISNUMBER(SEARCH("WEB CAM",B1076)),
ISNUMBER(SEARCH("MOUSE",B1076)),
ISNUMBER(SEARCH("TECLADO",B1076))
),
"COMPLEMENTO",
IF(
OR(
LEFT(A1076,2)="NB",
LEFT(A1076,2)="PC",
LEFT(A1076,2)="WS",
LEFT(A1076,2)="TB",
LEFT(A1076,3)="CEL",
LEFT(A1076,3)="MON",
LEFT(A1076,3)="PRE",
LEFT(A1076,3)="PRH",
ISNUMBER(SEARCH("NOTEBOOK",B1076)),
ISNUMBER(SEARCH("LAPTOP",B1076)),
ISNUMBER(SEARCH("MONITOR",B1076)),
ISNUMBER(SEARCH("TABLET",B1076)),
ISNUMBER(SEARCH("SMARTPH",B1076)),
ISNUMBER(SEARCH("IMPRESORA",B1076)),
ISNUMBER(SEARCH("MULTIFUNCIONAL",B1076)),
ISNUMBER(SEARCH("AIO",B1076))
),
"GANCHO",
"NORMAL"
)
)</f>
        <v>GANCHO</v>
      </c>
    </row>
    <row r="1075" spans="1:12" x14ac:dyDescent="0.25">
      <c r="A1075" s="3" t="s">
        <v>383</v>
      </c>
      <c r="B1075" s="3" t="s">
        <v>384</v>
      </c>
      <c r="C1075" s="1">
        <v>20</v>
      </c>
      <c r="D1075" s="1">
        <v>335</v>
      </c>
      <c r="E1075" s="1" t="s">
        <v>276</v>
      </c>
      <c r="F1075" s="1" t="s">
        <v>3682</v>
      </c>
      <c r="G1075" s="3" t="s">
        <v>382</v>
      </c>
      <c r="H1075" s="11">
        <f>ROUND(
IF(L1073="GANCHO",
   IF(I1075&lt;=50,I1075*1.1+4,IF(I1075&lt;=120,I1075*1.1+7,IF(I1075&lt;=250,I1075*1.1+11,I1075*1.1+19))),
IF(L1073="NORMAL",
   IF(I1075&lt;=30,I1075*1.15+2,IF(I1075&lt;=80,I1075*1.15+4,IF(I1075&lt;=150,I1075*1.15+6,I1075*1.15+8))),
IF(L1073="COMPLEMENTO",
   IF(I1075&lt;=25,I1075*1.25+1.5,IF(I1075&lt;=60,I1075*1.25+3,IF(I1075&lt;=120,I1075*1.25+4,I1075*1.25+5))),
""))),2)</f>
        <v>1532.21</v>
      </c>
      <c r="I1075" s="9">
        <f>($K$2+0.02)*Tabla1[[#This Row],[PRECIO $]]*1.18</f>
        <v>1375.6439999999998</v>
      </c>
      <c r="J1075" s="7">
        <f>+Tabla1[[#This Row],[PRECIO EN SOLES]]-Tabla1[[#This Row],[PC]]</f>
        <v>156.56600000000026</v>
      </c>
      <c r="K1075" s="15"/>
      <c r="L1075" s="15" t="str">
        <f>IF(
OR(
ISNUMBER(SEARCH("BACKPACK",B1077)),
ISNUMBER(SEARCH("MOCHILA",B1077)),
ISNUMBER(SEARCH("FUNDA",B1077)),
ISNUMBER(SEARCH("ESTUCHE",B1077)),
ISNUMBER(SEARCH("BOOK COVER",B1077)),
ISNUMBER(SEARCH("KEYBOARD PARA TABLET",B1077)),
ISNUMBER(SEARCH("FLIP TABLET",B1077)),
ISNUMBER(SEARCH("CASE FOR TABLET",B1077)),
ISNUMBER(SEARCH("CABLE",B1077)),
ISNUMBER(SEARCH("ADAPTADOR",B1077)),
ISNUMBER(SEARCH("HUB",B1077)),
ISNUMBER(SEARCH("DOCK",B1077)),
ISNUMBER(SEARCH("MOUSE PAD",B1077)),
ISNUMBER(SEARCH("MOUSEPAD",B1077)),
ISNUMBER(SEARCH("SOPORTE",B1077)),
ISNUMBER(SEARCH("STAND",B1077)),
ISNUMBER(SEARCH("TRAVEL ADAPTER",B1077)),
ISNUMBER(SEARCH("RJ45",B1077)),
ISNUMBER(SEARCH("USB-C",B1077)),
ISNUMBER(SEARCH("USB WIFI",B1077)),
ISNUMBER(SEARCH("POWERBANK",B1077)),
ISNUMBER(SEARCH("CARGADOR",B1077)),
ISNUMBER(SEARCH("COOLER PARA NB",B1077)),
ISNUMBER(SEARCH("SOPORTE PARA NB",B1077)),
ISNUMBER(SEARCH("WEBCAM",B1077)),
ISNUMBER(SEARCH("WEB CAM",B1077)),
ISNUMBER(SEARCH("MOUSE",B1077)),
ISNUMBER(SEARCH("TECLADO",B1077))
),
"COMPLEMENTO",
IF(
OR(
LEFT(A1077,2)="NB",
LEFT(A1077,2)="PC",
LEFT(A1077,2)="WS",
LEFT(A1077,2)="TB",
LEFT(A1077,3)="CEL",
LEFT(A1077,3)="MON",
LEFT(A1077,3)="PRE",
LEFT(A1077,3)="PRH",
ISNUMBER(SEARCH("NOTEBOOK",B1077)),
ISNUMBER(SEARCH("LAPTOP",B1077)),
ISNUMBER(SEARCH("MONITOR",B1077)),
ISNUMBER(SEARCH("TABLET",B1077)),
ISNUMBER(SEARCH("SMARTPH",B1077)),
ISNUMBER(SEARCH("IMPRESORA",B1077)),
ISNUMBER(SEARCH("MULTIFUNCIONAL",B1077)),
ISNUMBER(SEARCH("AIO",B1077))
),
"GANCHO",
"NORMAL"
)
)</f>
        <v>GANCHO</v>
      </c>
    </row>
    <row r="1076" spans="1:12" x14ac:dyDescent="0.25">
      <c r="A1076" s="3" t="s">
        <v>1791</v>
      </c>
      <c r="B1076" s="3" t="s">
        <v>384</v>
      </c>
      <c r="C1076" s="1">
        <v>20</v>
      </c>
      <c r="D1076" s="1">
        <v>407.5</v>
      </c>
      <c r="E1076" s="1" t="s">
        <v>276</v>
      </c>
      <c r="F1076" s="1" t="s">
        <v>3683</v>
      </c>
      <c r="G1076" s="3" t="s">
        <v>1792</v>
      </c>
      <c r="H1076" s="11">
        <f>ROUND(
IF(L1074="GANCHO",
   IF(I1076&lt;=50,I1076*1.1+4,IF(I1076&lt;=120,I1076*1.1+7,IF(I1076&lt;=250,I1076*1.1+11,I1076*1.1+19))),
IF(L1074="NORMAL",
   IF(I1076&lt;=30,I1076*1.15+2,IF(I1076&lt;=80,I1076*1.15+4,IF(I1076&lt;=150,I1076*1.15+6,I1076*1.15+8))),
IF(L1074="COMPLEMENTO",
   IF(I1076&lt;=25,I1076*1.25+1.5,IF(I1076&lt;=60,I1076*1.25+3,IF(I1076&lt;=120,I1076*1.25+4,I1076*1.25+5))),
""))),2)</f>
        <v>1859.69</v>
      </c>
      <c r="I1076" s="9">
        <f>($K$2+0.02)*Tabla1[[#This Row],[PRECIO $]]*1.18</f>
        <v>1673.3579999999997</v>
      </c>
      <c r="J1076" s="7">
        <f>+Tabla1[[#This Row],[PRECIO EN SOLES]]-Tabla1[[#This Row],[PC]]</f>
        <v>186.33200000000033</v>
      </c>
      <c r="K1076" s="15"/>
      <c r="L1076" s="15" t="str">
        <f>IF(
OR(
ISNUMBER(SEARCH("BACKPACK",B1078)),
ISNUMBER(SEARCH("MOCHILA",B1078)),
ISNUMBER(SEARCH("FUNDA",B1078)),
ISNUMBER(SEARCH("ESTUCHE",B1078)),
ISNUMBER(SEARCH("BOOK COVER",B1078)),
ISNUMBER(SEARCH("KEYBOARD PARA TABLET",B1078)),
ISNUMBER(SEARCH("FLIP TABLET",B1078)),
ISNUMBER(SEARCH("CASE FOR TABLET",B1078)),
ISNUMBER(SEARCH("CABLE",B1078)),
ISNUMBER(SEARCH("ADAPTADOR",B1078)),
ISNUMBER(SEARCH("HUB",B1078)),
ISNUMBER(SEARCH("DOCK",B1078)),
ISNUMBER(SEARCH("MOUSE PAD",B1078)),
ISNUMBER(SEARCH("MOUSEPAD",B1078)),
ISNUMBER(SEARCH("SOPORTE",B1078)),
ISNUMBER(SEARCH("STAND",B1078)),
ISNUMBER(SEARCH("TRAVEL ADAPTER",B1078)),
ISNUMBER(SEARCH("RJ45",B1078)),
ISNUMBER(SEARCH("USB-C",B1078)),
ISNUMBER(SEARCH("USB WIFI",B1078)),
ISNUMBER(SEARCH("POWERBANK",B1078)),
ISNUMBER(SEARCH("CARGADOR",B1078)),
ISNUMBER(SEARCH("COOLER PARA NB",B1078)),
ISNUMBER(SEARCH("SOPORTE PARA NB",B1078)),
ISNUMBER(SEARCH("WEBCAM",B1078)),
ISNUMBER(SEARCH("WEB CAM",B1078)),
ISNUMBER(SEARCH("MOUSE",B1078)),
ISNUMBER(SEARCH("TECLADO",B1078))
),
"COMPLEMENTO",
IF(
OR(
LEFT(A1078,2)="NB",
LEFT(A1078,2)="PC",
LEFT(A1078,2)="WS",
LEFT(A1078,2)="TB",
LEFT(A1078,3)="CEL",
LEFT(A1078,3)="MON",
LEFT(A1078,3)="PRE",
LEFT(A1078,3)="PRH",
ISNUMBER(SEARCH("NOTEBOOK",B1078)),
ISNUMBER(SEARCH("LAPTOP",B1078)),
ISNUMBER(SEARCH("MONITOR",B1078)),
ISNUMBER(SEARCH("TABLET",B1078)),
ISNUMBER(SEARCH("SMARTPH",B1078)),
ISNUMBER(SEARCH("IMPRESORA",B1078)),
ISNUMBER(SEARCH("MULTIFUNCIONAL",B1078)),
ISNUMBER(SEARCH("AIO",B1078))
),
"GANCHO",
"NORMAL"
)
)</f>
        <v>GANCHO</v>
      </c>
    </row>
    <row r="1077" spans="1:12" x14ac:dyDescent="0.25">
      <c r="A1077" s="3" t="s">
        <v>1793</v>
      </c>
      <c r="B1077" s="3" t="s">
        <v>381</v>
      </c>
      <c r="C1077" s="1">
        <v>20</v>
      </c>
      <c r="D1077" s="1">
        <v>378</v>
      </c>
      <c r="E1077" s="1" t="s">
        <v>276</v>
      </c>
      <c r="F1077" s="1" t="s">
        <v>3684</v>
      </c>
      <c r="G1077" s="3" t="s">
        <v>1792</v>
      </c>
      <c r="H1077" s="11">
        <f>ROUND(
IF(L1075="GANCHO",
   IF(I1077&lt;=50,I1077*1.1+4,IF(I1077&lt;=120,I1077*1.1+7,IF(I1077&lt;=250,I1077*1.1+11,I1077*1.1+19))),
IF(L1075="NORMAL",
   IF(I1077&lt;=30,I1077*1.15+2,IF(I1077&lt;=80,I1077*1.15+4,IF(I1077&lt;=150,I1077*1.15+6,I1077*1.15+8))),
IF(L1075="COMPLEMENTO",
   IF(I1077&lt;=25,I1077*1.25+1.5,IF(I1077&lt;=60,I1077*1.25+3,IF(I1077&lt;=120,I1077*1.25+4,I1077*1.25+5))),
""))),2)</f>
        <v>1726.44</v>
      </c>
      <c r="I1077" s="9">
        <f>($K$2+0.02)*Tabla1[[#This Row],[PRECIO $]]*1.18</f>
        <v>1552.2192</v>
      </c>
      <c r="J1077" s="7">
        <f>+Tabla1[[#This Row],[PRECIO EN SOLES]]-Tabla1[[#This Row],[PC]]</f>
        <v>174.22080000000005</v>
      </c>
      <c r="K1077" s="15"/>
      <c r="L1077" s="15" t="str">
        <f>IF(
OR(
ISNUMBER(SEARCH("BACKPACK",B1079)),
ISNUMBER(SEARCH("MOCHILA",B1079)),
ISNUMBER(SEARCH("FUNDA",B1079)),
ISNUMBER(SEARCH("ESTUCHE",B1079)),
ISNUMBER(SEARCH("BOOK COVER",B1079)),
ISNUMBER(SEARCH("KEYBOARD PARA TABLET",B1079)),
ISNUMBER(SEARCH("FLIP TABLET",B1079)),
ISNUMBER(SEARCH("CASE FOR TABLET",B1079)),
ISNUMBER(SEARCH("CABLE",B1079)),
ISNUMBER(SEARCH("ADAPTADOR",B1079)),
ISNUMBER(SEARCH("HUB",B1079)),
ISNUMBER(SEARCH("DOCK",B1079)),
ISNUMBER(SEARCH("MOUSE PAD",B1079)),
ISNUMBER(SEARCH("MOUSEPAD",B1079)),
ISNUMBER(SEARCH("SOPORTE",B1079)),
ISNUMBER(SEARCH("STAND",B1079)),
ISNUMBER(SEARCH("TRAVEL ADAPTER",B1079)),
ISNUMBER(SEARCH("RJ45",B1079)),
ISNUMBER(SEARCH("USB-C",B1079)),
ISNUMBER(SEARCH("USB WIFI",B1079)),
ISNUMBER(SEARCH("POWERBANK",B1079)),
ISNUMBER(SEARCH("CARGADOR",B1079)),
ISNUMBER(SEARCH("COOLER PARA NB",B1079)),
ISNUMBER(SEARCH("SOPORTE PARA NB",B1079)),
ISNUMBER(SEARCH("WEBCAM",B1079)),
ISNUMBER(SEARCH("WEB CAM",B1079)),
ISNUMBER(SEARCH("MOUSE",B1079)),
ISNUMBER(SEARCH("TECLADO",B1079))
),
"COMPLEMENTO",
IF(
OR(
LEFT(A1079,2)="NB",
LEFT(A1079,2)="PC",
LEFT(A1079,2)="WS",
LEFT(A1079,2)="TB",
LEFT(A1079,3)="CEL",
LEFT(A1079,3)="MON",
LEFT(A1079,3)="PRE",
LEFT(A1079,3)="PRH",
ISNUMBER(SEARCH("NOTEBOOK",B1079)),
ISNUMBER(SEARCH("LAPTOP",B1079)),
ISNUMBER(SEARCH("MONITOR",B1079)),
ISNUMBER(SEARCH("TABLET",B1079)),
ISNUMBER(SEARCH("SMARTPH",B1079)),
ISNUMBER(SEARCH("IMPRESORA",B1079)),
ISNUMBER(SEARCH("MULTIFUNCIONAL",B1079)),
ISNUMBER(SEARCH("AIO",B1079))
),
"GANCHO",
"NORMAL"
)
)</f>
        <v>GANCHO</v>
      </c>
    </row>
    <row r="1078" spans="1:12" x14ac:dyDescent="0.25">
      <c r="A1078" s="3" t="s">
        <v>6088</v>
      </c>
      <c r="B1078" s="3" t="s">
        <v>6089</v>
      </c>
      <c r="C1078" s="1">
        <v>20</v>
      </c>
      <c r="D1078" s="1">
        <v>565</v>
      </c>
      <c r="E1078" s="1" t="s">
        <v>910</v>
      </c>
      <c r="F1078" s="1" t="s">
        <v>6090</v>
      </c>
      <c r="G1078" s="3" t="s">
        <v>6091</v>
      </c>
      <c r="H1078" s="11">
        <f>ROUND(
IF(L1076="GANCHO",
   IF(I1078&lt;=50,I1078*1.1+4,IF(I1078&lt;=120,I1078*1.1+7,IF(I1078&lt;=250,I1078*1.1+11,I1078*1.1+19))),
IF(L1076="NORMAL",
   IF(I1078&lt;=30,I1078*1.15+2,IF(I1078&lt;=80,I1078*1.15+4,IF(I1078&lt;=150,I1078*1.15+6,I1078*1.15+8))),
IF(L1076="COMPLEMENTO",
   IF(I1078&lt;=25,I1078*1.25+1.5,IF(I1078&lt;=60,I1078*1.25+3,IF(I1078&lt;=120,I1078*1.25+4,I1078*1.25+5))),
""))),2)</f>
        <v>2571.13</v>
      </c>
      <c r="I1078" s="9">
        <f>($K$2+0.02)*Tabla1[[#This Row],[PRECIO $]]*1.18</f>
        <v>2320.116</v>
      </c>
      <c r="J1078" s="7">
        <f>+Tabla1[[#This Row],[PRECIO EN SOLES]]-Tabla1[[#This Row],[PC]]</f>
        <v>251.01400000000012</v>
      </c>
      <c r="K1078" s="15"/>
      <c r="L1078" s="15" t="str">
        <f>IF(
OR(
ISNUMBER(SEARCH("BACKPACK",B1080)),
ISNUMBER(SEARCH("MOCHILA",B1080)),
ISNUMBER(SEARCH("FUNDA",B1080)),
ISNUMBER(SEARCH("ESTUCHE",B1080)),
ISNUMBER(SEARCH("BOOK COVER",B1080)),
ISNUMBER(SEARCH("KEYBOARD PARA TABLET",B1080)),
ISNUMBER(SEARCH("FLIP TABLET",B1080)),
ISNUMBER(SEARCH("CASE FOR TABLET",B1080)),
ISNUMBER(SEARCH("CABLE",B1080)),
ISNUMBER(SEARCH("ADAPTADOR",B1080)),
ISNUMBER(SEARCH("HUB",B1080)),
ISNUMBER(SEARCH("DOCK",B1080)),
ISNUMBER(SEARCH("MOUSE PAD",B1080)),
ISNUMBER(SEARCH("MOUSEPAD",B1080)),
ISNUMBER(SEARCH("SOPORTE",B1080)),
ISNUMBER(SEARCH("STAND",B1080)),
ISNUMBER(SEARCH("TRAVEL ADAPTER",B1080)),
ISNUMBER(SEARCH("RJ45",B1080)),
ISNUMBER(SEARCH("USB-C",B1080)),
ISNUMBER(SEARCH("USB WIFI",B1080)),
ISNUMBER(SEARCH("POWERBANK",B1080)),
ISNUMBER(SEARCH("CARGADOR",B1080)),
ISNUMBER(SEARCH("COOLER PARA NB",B1080)),
ISNUMBER(SEARCH("SOPORTE PARA NB",B1080)),
ISNUMBER(SEARCH("WEBCAM",B1080)),
ISNUMBER(SEARCH("WEB CAM",B1080)),
ISNUMBER(SEARCH("MOUSE",B1080)),
ISNUMBER(SEARCH("TECLADO",B1080))
),
"COMPLEMENTO",
IF(
OR(
LEFT(A1080,2)="NB",
LEFT(A1080,2)="PC",
LEFT(A1080,2)="WS",
LEFT(A1080,2)="TB",
LEFT(A1080,3)="CEL",
LEFT(A1080,3)="MON",
LEFT(A1080,3)="PRE",
LEFT(A1080,3)="PRH",
ISNUMBER(SEARCH("NOTEBOOK",B1080)),
ISNUMBER(SEARCH("LAPTOP",B1080)),
ISNUMBER(SEARCH("MONITOR",B1080)),
ISNUMBER(SEARCH("TABLET",B1080)),
ISNUMBER(SEARCH("SMARTPH",B1080)),
ISNUMBER(SEARCH("IMPRESORA",B1080)),
ISNUMBER(SEARCH("MULTIFUNCIONAL",B1080)),
ISNUMBER(SEARCH("AIO",B1080))
),
"GANCHO",
"NORMAL"
)
)</f>
        <v>GANCHO</v>
      </c>
    </row>
    <row r="1079" spans="1:12" x14ac:dyDescent="0.25">
      <c r="A1079" s="3" t="s">
        <v>1794</v>
      </c>
      <c r="B1079" s="3" t="s">
        <v>1795</v>
      </c>
      <c r="C1079" s="1">
        <v>0</v>
      </c>
      <c r="D1079" s="1">
        <v>522</v>
      </c>
      <c r="E1079" s="1" t="s">
        <v>910</v>
      </c>
      <c r="F1079" s="1" t="s">
        <v>3685</v>
      </c>
      <c r="G1079" s="3" t="s">
        <v>1796</v>
      </c>
      <c r="H1079" s="11">
        <f>ROUND(
IF(L1077="GANCHO",
   IF(I1079&lt;=50,I1079*1.1+4,IF(I1079&lt;=120,I1079*1.1+7,IF(I1079&lt;=250,I1079*1.1+11,I1079*1.1+19))),
IF(L1077="NORMAL",
   IF(I1079&lt;=30,I1079*1.15+2,IF(I1079&lt;=80,I1079*1.15+4,IF(I1079&lt;=150,I1079*1.15+6,I1079*1.15+8))),
IF(L1077="COMPLEMENTO",
   IF(I1079&lt;=25,I1079*1.25+1.5,IF(I1079&lt;=60,I1079*1.25+3,IF(I1079&lt;=120,I1079*1.25+4,I1079*1.25+5))),
""))),2)</f>
        <v>2376.89</v>
      </c>
      <c r="I1079" s="9">
        <f>($K$2+0.02)*Tabla1[[#This Row],[PRECIO $]]*1.18</f>
        <v>2143.5407999999998</v>
      </c>
      <c r="J1079" s="7">
        <f>+Tabla1[[#This Row],[PRECIO EN SOLES]]-Tabla1[[#This Row],[PC]]</f>
        <v>233.34920000000011</v>
      </c>
      <c r="K1079" s="15"/>
      <c r="L1079" s="15" t="str">
        <f>IF(
OR(
ISNUMBER(SEARCH("BACKPACK",B1081)),
ISNUMBER(SEARCH("MOCHILA",B1081)),
ISNUMBER(SEARCH("FUNDA",B1081)),
ISNUMBER(SEARCH("ESTUCHE",B1081)),
ISNUMBER(SEARCH("BOOK COVER",B1081)),
ISNUMBER(SEARCH("KEYBOARD PARA TABLET",B1081)),
ISNUMBER(SEARCH("FLIP TABLET",B1081)),
ISNUMBER(SEARCH("CASE FOR TABLET",B1081)),
ISNUMBER(SEARCH("CABLE",B1081)),
ISNUMBER(SEARCH("ADAPTADOR",B1081)),
ISNUMBER(SEARCH("HUB",B1081)),
ISNUMBER(SEARCH("DOCK",B1081)),
ISNUMBER(SEARCH("MOUSE PAD",B1081)),
ISNUMBER(SEARCH("MOUSEPAD",B1081)),
ISNUMBER(SEARCH("SOPORTE",B1081)),
ISNUMBER(SEARCH("STAND",B1081)),
ISNUMBER(SEARCH("TRAVEL ADAPTER",B1081)),
ISNUMBER(SEARCH("RJ45",B1081)),
ISNUMBER(SEARCH("USB-C",B1081)),
ISNUMBER(SEARCH("USB WIFI",B1081)),
ISNUMBER(SEARCH("POWERBANK",B1081)),
ISNUMBER(SEARCH("CARGADOR",B1081)),
ISNUMBER(SEARCH("COOLER PARA NB",B1081)),
ISNUMBER(SEARCH("SOPORTE PARA NB",B1081)),
ISNUMBER(SEARCH("WEBCAM",B1081)),
ISNUMBER(SEARCH("WEB CAM",B1081)),
ISNUMBER(SEARCH("MOUSE",B1081)),
ISNUMBER(SEARCH("TECLADO",B1081))
),
"COMPLEMENTO",
IF(
OR(
LEFT(A1081,2)="NB",
LEFT(A1081,2)="PC",
LEFT(A1081,2)="WS",
LEFT(A1081,2)="TB",
LEFT(A1081,3)="CEL",
LEFT(A1081,3)="MON",
LEFT(A1081,3)="PRE",
LEFT(A1081,3)="PRH",
ISNUMBER(SEARCH("NOTEBOOK",B1081)),
ISNUMBER(SEARCH("LAPTOP",B1081)),
ISNUMBER(SEARCH("MONITOR",B1081)),
ISNUMBER(SEARCH("TABLET",B1081)),
ISNUMBER(SEARCH("SMARTPH",B1081)),
ISNUMBER(SEARCH("IMPRESORA",B1081)),
ISNUMBER(SEARCH("MULTIFUNCIONAL",B1081)),
ISNUMBER(SEARCH("AIO",B1081))
),
"GANCHO",
"NORMAL"
)
)</f>
        <v>GANCHO</v>
      </c>
    </row>
    <row r="1080" spans="1:12" x14ac:dyDescent="0.25">
      <c r="A1080" s="3" t="s">
        <v>1797</v>
      </c>
      <c r="B1080" s="3" t="s">
        <v>1798</v>
      </c>
      <c r="C1080" s="1">
        <v>3</v>
      </c>
      <c r="D1080" s="1">
        <v>548</v>
      </c>
      <c r="E1080" s="1" t="s">
        <v>367</v>
      </c>
      <c r="F1080" s="1" t="s">
        <v>3686</v>
      </c>
      <c r="G1080" s="3" t="s">
        <v>1799</v>
      </c>
      <c r="H1080" s="11">
        <f>ROUND(
IF(L1078="GANCHO",
   IF(I1080&lt;=50,I1080*1.1+4,IF(I1080&lt;=120,I1080*1.1+7,IF(I1080&lt;=250,I1080*1.1+11,I1080*1.1+19))),
IF(L1078="NORMAL",
   IF(I1080&lt;=30,I1080*1.15+2,IF(I1080&lt;=80,I1080*1.15+4,IF(I1080&lt;=150,I1080*1.15+6,I1080*1.15+8))),
IF(L1078="COMPLEMENTO",
   IF(I1080&lt;=25,I1080*1.25+1.5,IF(I1080&lt;=60,I1080*1.25+3,IF(I1080&lt;=120,I1080*1.25+4,I1080*1.25+5))),
""))),2)</f>
        <v>2494.34</v>
      </c>
      <c r="I1080" s="9">
        <f>($K$2+0.02)*Tabla1[[#This Row],[PRECIO $]]*1.18</f>
        <v>2250.3071999999997</v>
      </c>
      <c r="J1080" s="7">
        <f>+Tabla1[[#This Row],[PRECIO EN SOLES]]-Tabla1[[#This Row],[PC]]</f>
        <v>244.03280000000041</v>
      </c>
      <c r="K1080" s="15"/>
      <c r="L1080" s="15" t="str">
        <f>IF(
OR(
ISNUMBER(SEARCH("BACKPACK",B1082)),
ISNUMBER(SEARCH("MOCHILA",B1082)),
ISNUMBER(SEARCH("FUNDA",B1082)),
ISNUMBER(SEARCH("ESTUCHE",B1082)),
ISNUMBER(SEARCH("BOOK COVER",B1082)),
ISNUMBER(SEARCH("KEYBOARD PARA TABLET",B1082)),
ISNUMBER(SEARCH("FLIP TABLET",B1082)),
ISNUMBER(SEARCH("CASE FOR TABLET",B1082)),
ISNUMBER(SEARCH("CABLE",B1082)),
ISNUMBER(SEARCH("ADAPTADOR",B1082)),
ISNUMBER(SEARCH("HUB",B1082)),
ISNUMBER(SEARCH("DOCK",B1082)),
ISNUMBER(SEARCH("MOUSE PAD",B1082)),
ISNUMBER(SEARCH("MOUSEPAD",B1082)),
ISNUMBER(SEARCH("SOPORTE",B1082)),
ISNUMBER(SEARCH("STAND",B1082)),
ISNUMBER(SEARCH("TRAVEL ADAPTER",B1082)),
ISNUMBER(SEARCH("RJ45",B1082)),
ISNUMBER(SEARCH("USB-C",B1082)),
ISNUMBER(SEARCH("USB WIFI",B1082)),
ISNUMBER(SEARCH("POWERBANK",B1082)),
ISNUMBER(SEARCH("CARGADOR",B1082)),
ISNUMBER(SEARCH("COOLER PARA NB",B1082)),
ISNUMBER(SEARCH("SOPORTE PARA NB",B1082)),
ISNUMBER(SEARCH("WEBCAM",B1082)),
ISNUMBER(SEARCH("WEB CAM",B1082)),
ISNUMBER(SEARCH("MOUSE",B1082)),
ISNUMBER(SEARCH("TECLADO",B1082))
),
"COMPLEMENTO",
IF(
OR(
LEFT(A1082,2)="NB",
LEFT(A1082,2)="PC",
LEFT(A1082,2)="WS",
LEFT(A1082,2)="TB",
LEFT(A1082,3)="CEL",
LEFT(A1082,3)="MON",
LEFT(A1082,3)="PRE",
LEFT(A1082,3)="PRH",
ISNUMBER(SEARCH("NOTEBOOK",B1082)),
ISNUMBER(SEARCH("LAPTOP",B1082)),
ISNUMBER(SEARCH("MONITOR",B1082)),
ISNUMBER(SEARCH("TABLET",B1082)),
ISNUMBER(SEARCH("SMARTPH",B1082)),
ISNUMBER(SEARCH("IMPRESORA",B1082)),
ISNUMBER(SEARCH("MULTIFUNCIONAL",B1082)),
ISNUMBER(SEARCH("AIO",B1082))
),
"GANCHO",
"NORMAL"
)
)</f>
        <v>GANCHO</v>
      </c>
    </row>
    <row r="1081" spans="1:12" x14ac:dyDescent="0.25">
      <c r="A1081" s="3" t="s">
        <v>385</v>
      </c>
      <c r="B1081" s="3" t="s">
        <v>386</v>
      </c>
      <c r="C1081" s="1">
        <v>20</v>
      </c>
      <c r="D1081" s="1">
        <v>434</v>
      </c>
      <c r="E1081" s="1" t="s">
        <v>56</v>
      </c>
      <c r="F1081" s="1" t="s">
        <v>3687</v>
      </c>
      <c r="G1081" s="3" t="s">
        <v>387</v>
      </c>
      <c r="H1081" s="11">
        <f>ROUND(
IF(L1079="GANCHO",
   IF(I1081&lt;=50,I1081*1.1+4,IF(I1081&lt;=120,I1081*1.1+7,IF(I1081&lt;=250,I1081*1.1+11,I1081*1.1+19))),
IF(L1079="NORMAL",
   IF(I1081&lt;=30,I1081*1.15+2,IF(I1081&lt;=80,I1081*1.15+4,IF(I1081&lt;=150,I1081*1.15+6,I1081*1.15+8))),
IF(L1079="COMPLEMENTO",
   IF(I1081&lt;=25,I1081*1.25+1.5,IF(I1081&lt;=60,I1081*1.25+3,IF(I1081&lt;=120,I1081*1.25+4,I1081*1.25+5))),
""))),2)</f>
        <v>1979.4</v>
      </c>
      <c r="I1081" s="9">
        <f>($K$2+0.02)*Tabla1[[#This Row],[PRECIO $]]*1.18</f>
        <v>1782.1775999999998</v>
      </c>
      <c r="J1081" s="7">
        <f>+Tabla1[[#This Row],[PRECIO EN SOLES]]-Tabla1[[#This Row],[PC]]</f>
        <v>197.22240000000033</v>
      </c>
      <c r="K1081" s="15"/>
      <c r="L1081" s="15" t="str">
        <f>IF(
OR(
ISNUMBER(SEARCH("BACKPACK",B1083)),
ISNUMBER(SEARCH("MOCHILA",B1083)),
ISNUMBER(SEARCH("FUNDA",B1083)),
ISNUMBER(SEARCH("ESTUCHE",B1083)),
ISNUMBER(SEARCH("BOOK COVER",B1083)),
ISNUMBER(SEARCH("KEYBOARD PARA TABLET",B1083)),
ISNUMBER(SEARCH("FLIP TABLET",B1083)),
ISNUMBER(SEARCH("CASE FOR TABLET",B1083)),
ISNUMBER(SEARCH("CABLE",B1083)),
ISNUMBER(SEARCH("ADAPTADOR",B1083)),
ISNUMBER(SEARCH("HUB",B1083)),
ISNUMBER(SEARCH("DOCK",B1083)),
ISNUMBER(SEARCH("MOUSE PAD",B1083)),
ISNUMBER(SEARCH("MOUSEPAD",B1083)),
ISNUMBER(SEARCH("SOPORTE",B1083)),
ISNUMBER(SEARCH("STAND",B1083)),
ISNUMBER(SEARCH("TRAVEL ADAPTER",B1083)),
ISNUMBER(SEARCH("RJ45",B1083)),
ISNUMBER(SEARCH("USB-C",B1083)),
ISNUMBER(SEARCH("USB WIFI",B1083)),
ISNUMBER(SEARCH("POWERBANK",B1083)),
ISNUMBER(SEARCH("CARGADOR",B1083)),
ISNUMBER(SEARCH("COOLER PARA NB",B1083)),
ISNUMBER(SEARCH("SOPORTE PARA NB",B1083)),
ISNUMBER(SEARCH("WEBCAM",B1083)),
ISNUMBER(SEARCH("WEB CAM",B1083)),
ISNUMBER(SEARCH("MOUSE",B1083)),
ISNUMBER(SEARCH("TECLADO",B1083))
),
"COMPLEMENTO",
IF(
OR(
LEFT(A1083,2)="NB",
LEFT(A1083,2)="PC",
LEFT(A1083,2)="WS",
LEFT(A1083,2)="TB",
LEFT(A1083,3)="CEL",
LEFT(A1083,3)="MON",
LEFT(A1083,3)="PRE",
LEFT(A1083,3)="PRH",
ISNUMBER(SEARCH("NOTEBOOK",B1083)),
ISNUMBER(SEARCH("LAPTOP",B1083)),
ISNUMBER(SEARCH("MONITOR",B1083)),
ISNUMBER(SEARCH("TABLET",B1083)),
ISNUMBER(SEARCH("SMARTPH",B1083)),
ISNUMBER(SEARCH("IMPRESORA",B1083)),
ISNUMBER(SEARCH("MULTIFUNCIONAL",B1083)),
ISNUMBER(SEARCH("AIO",B1083))
),
"GANCHO",
"NORMAL"
)
)</f>
        <v>GANCHO</v>
      </c>
    </row>
    <row r="1082" spans="1:12" x14ac:dyDescent="0.25">
      <c r="A1082" s="3" t="s">
        <v>5006</v>
      </c>
      <c r="B1082" s="3" t="s">
        <v>5007</v>
      </c>
      <c r="C1082" s="1">
        <v>20</v>
      </c>
      <c r="D1082" s="1">
        <v>468</v>
      </c>
      <c r="E1082" s="1" t="s">
        <v>56</v>
      </c>
      <c r="F1082" s="1" t="s">
        <v>5008</v>
      </c>
      <c r="G1082" s="3" t="s">
        <v>5009</v>
      </c>
      <c r="H1082" s="11">
        <f>ROUND(
IF(L1080="GANCHO",
   IF(I1082&lt;=50,I1082*1.1+4,IF(I1082&lt;=120,I1082*1.1+7,IF(I1082&lt;=250,I1082*1.1+11,I1082*1.1+19))),
IF(L1080="NORMAL",
   IF(I1082&lt;=30,I1082*1.15+2,IF(I1082&lt;=80,I1082*1.15+4,IF(I1082&lt;=150,I1082*1.15+6,I1082*1.15+8))),
IF(L1080="COMPLEMENTO",
   IF(I1082&lt;=25,I1082*1.25+1.5,IF(I1082&lt;=60,I1082*1.25+3,IF(I1082&lt;=120,I1082*1.25+4,I1082*1.25+5))),
""))),2)</f>
        <v>2132.9699999999998</v>
      </c>
      <c r="I1082" s="9">
        <f>($K$2+0.02)*Tabla1[[#This Row],[PRECIO $]]*1.18</f>
        <v>1921.7952</v>
      </c>
      <c r="J1082" s="7">
        <f>+Tabla1[[#This Row],[PRECIO EN SOLES]]-Tabla1[[#This Row],[PC]]</f>
        <v>211.17479999999978</v>
      </c>
      <c r="K1082" s="15"/>
      <c r="L1082" s="15" t="str">
        <f>IF(
OR(
ISNUMBER(SEARCH("BACKPACK",B1084)),
ISNUMBER(SEARCH("MOCHILA",B1084)),
ISNUMBER(SEARCH("FUNDA",B1084)),
ISNUMBER(SEARCH("ESTUCHE",B1084)),
ISNUMBER(SEARCH("BOOK COVER",B1084)),
ISNUMBER(SEARCH("KEYBOARD PARA TABLET",B1084)),
ISNUMBER(SEARCH("FLIP TABLET",B1084)),
ISNUMBER(SEARCH("CASE FOR TABLET",B1084)),
ISNUMBER(SEARCH("CABLE",B1084)),
ISNUMBER(SEARCH("ADAPTADOR",B1084)),
ISNUMBER(SEARCH("HUB",B1084)),
ISNUMBER(SEARCH("DOCK",B1084)),
ISNUMBER(SEARCH("MOUSE PAD",B1084)),
ISNUMBER(SEARCH("MOUSEPAD",B1084)),
ISNUMBER(SEARCH("SOPORTE",B1084)),
ISNUMBER(SEARCH("STAND",B1084)),
ISNUMBER(SEARCH("TRAVEL ADAPTER",B1084)),
ISNUMBER(SEARCH("RJ45",B1084)),
ISNUMBER(SEARCH("USB-C",B1084)),
ISNUMBER(SEARCH("USB WIFI",B1084)),
ISNUMBER(SEARCH("POWERBANK",B1084)),
ISNUMBER(SEARCH("CARGADOR",B1084)),
ISNUMBER(SEARCH("COOLER PARA NB",B1084)),
ISNUMBER(SEARCH("SOPORTE PARA NB",B1084)),
ISNUMBER(SEARCH("WEBCAM",B1084)),
ISNUMBER(SEARCH("WEB CAM",B1084)),
ISNUMBER(SEARCH("MOUSE",B1084)),
ISNUMBER(SEARCH("TECLADO",B1084))
),
"COMPLEMENTO",
IF(
OR(
LEFT(A1084,2)="NB",
LEFT(A1084,2)="PC",
LEFT(A1084,2)="WS",
LEFT(A1084,2)="TB",
LEFT(A1084,3)="CEL",
LEFT(A1084,3)="MON",
LEFT(A1084,3)="PRE",
LEFT(A1084,3)="PRH",
ISNUMBER(SEARCH("NOTEBOOK",B1084)),
ISNUMBER(SEARCH("LAPTOP",B1084)),
ISNUMBER(SEARCH("MONITOR",B1084)),
ISNUMBER(SEARCH("TABLET",B1084)),
ISNUMBER(SEARCH("SMARTPH",B1084)),
ISNUMBER(SEARCH("IMPRESORA",B1084)),
ISNUMBER(SEARCH("MULTIFUNCIONAL",B1084)),
ISNUMBER(SEARCH("AIO",B1084))
),
"GANCHO",
"NORMAL"
)
)</f>
        <v>GANCHO</v>
      </c>
    </row>
    <row r="1083" spans="1:12" x14ac:dyDescent="0.25">
      <c r="A1083" s="3" t="s">
        <v>4327</v>
      </c>
      <c r="B1083" s="3" t="s">
        <v>4328</v>
      </c>
      <c r="C1083" s="1">
        <v>0</v>
      </c>
      <c r="D1083" s="1">
        <v>453.5</v>
      </c>
      <c r="E1083" s="1" t="s">
        <v>148</v>
      </c>
      <c r="F1083" s="1" t="s">
        <v>4329</v>
      </c>
      <c r="G1083" s="3" t="s">
        <v>4330</v>
      </c>
      <c r="H1083" s="11">
        <f>ROUND(
IF(L1081="GANCHO",
   IF(I1083&lt;=50,I1083*1.1+4,IF(I1083&lt;=120,I1083*1.1+7,IF(I1083&lt;=250,I1083*1.1+11,I1083*1.1+19))),
IF(L1081="NORMAL",
   IF(I1083&lt;=30,I1083*1.15+2,IF(I1083&lt;=80,I1083*1.15+4,IF(I1083&lt;=150,I1083*1.15+6,I1083*1.15+8))),
IF(L1081="COMPLEMENTO",
   IF(I1083&lt;=25,I1083*1.25+1.5,IF(I1083&lt;=60,I1083*1.25+3,IF(I1083&lt;=120,I1083*1.25+4,I1083*1.25+5))),
""))),2)</f>
        <v>2067.48</v>
      </c>
      <c r="I1083" s="9">
        <f>($K$2+0.02)*Tabla1[[#This Row],[PRECIO $]]*1.18</f>
        <v>1862.2524000000001</v>
      </c>
      <c r="J1083" s="7">
        <f>+Tabla1[[#This Row],[PRECIO EN SOLES]]-Tabla1[[#This Row],[PC]]</f>
        <v>205.22759999999994</v>
      </c>
      <c r="K1083" s="15"/>
      <c r="L1083" s="15" t="str">
        <f>IF(
OR(
ISNUMBER(SEARCH("BACKPACK",B1085)),
ISNUMBER(SEARCH("MOCHILA",B1085)),
ISNUMBER(SEARCH("FUNDA",B1085)),
ISNUMBER(SEARCH("ESTUCHE",B1085)),
ISNUMBER(SEARCH("BOOK COVER",B1085)),
ISNUMBER(SEARCH("KEYBOARD PARA TABLET",B1085)),
ISNUMBER(SEARCH("FLIP TABLET",B1085)),
ISNUMBER(SEARCH("CASE FOR TABLET",B1085)),
ISNUMBER(SEARCH("CABLE",B1085)),
ISNUMBER(SEARCH("ADAPTADOR",B1085)),
ISNUMBER(SEARCH("HUB",B1085)),
ISNUMBER(SEARCH("DOCK",B1085)),
ISNUMBER(SEARCH("MOUSE PAD",B1085)),
ISNUMBER(SEARCH("MOUSEPAD",B1085)),
ISNUMBER(SEARCH("SOPORTE",B1085)),
ISNUMBER(SEARCH("STAND",B1085)),
ISNUMBER(SEARCH("TRAVEL ADAPTER",B1085)),
ISNUMBER(SEARCH("RJ45",B1085)),
ISNUMBER(SEARCH("USB-C",B1085)),
ISNUMBER(SEARCH("USB WIFI",B1085)),
ISNUMBER(SEARCH("POWERBANK",B1085)),
ISNUMBER(SEARCH("CARGADOR",B1085)),
ISNUMBER(SEARCH("COOLER PARA NB",B1085)),
ISNUMBER(SEARCH("SOPORTE PARA NB",B1085)),
ISNUMBER(SEARCH("WEBCAM",B1085)),
ISNUMBER(SEARCH("WEB CAM",B1085)),
ISNUMBER(SEARCH("MOUSE",B1085)),
ISNUMBER(SEARCH("TECLADO",B1085))
),
"COMPLEMENTO",
IF(
OR(
LEFT(A1085,2)="NB",
LEFT(A1085,2)="PC",
LEFT(A1085,2)="WS",
LEFT(A1085,2)="TB",
LEFT(A1085,3)="CEL",
LEFT(A1085,3)="MON",
LEFT(A1085,3)="PRE",
LEFT(A1085,3)="PRH",
ISNUMBER(SEARCH("NOTEBOOK",B1085)),
ISNUMBER(SEARCH("LAPTOP",B1085)),
ISNUMBER(SEARCH("MONITOR",B1085)),
ISNUMBER(SEARCH("TABLET",B1085)),
ISNUMBER(SEARCH("SMARTPH",B1085)),
ISNUMBER(SEARCH("IMPRESORA",B1085)),
ISNUMBER(SEARCH("MULTIFUNCIONAL",B1085)),
ISNUMBER(SEARCH("AIO",B1085))
),
"GANCHO",
"NORMAL"
)
)</f>
        <v>GANCHO</v>
      </c>
    </row>
    <row r="1084" spans="1:12" x14ac:dyDescent="0.25">
      <c r="A1084" s="3" t="s">
        <v>1800</v>
      </c>
      <c r="B1084" s="3" t="s">
        <v>1801</v>
      </c>
      <c r="C1084" s="1">
        <v>20</v>
      </c>
      <c r="D1084" s="1">
        <v>445</v>
      </c>
      <c r="E1084" s="1" t="s">
        <v>276</v>
      </c>
      <c r="F1084" s="1" t="s">
        <v>3688</v>
      </c>
      <c r="G1084" s="3" t="s">
        <v>1802</v>
      </c>
      <c r="H1084" s="11">
        <f>ROUND(
IF(L1082="GANCHO",
   IF(I1084&lt;=50,I1084*1.1+4,IF(I1084&lt;=120,I1084*1.1+7,IF(I1084&lt;=250,I1084*1.1+11,I1084*1.1+19))),
IF(L1082="NORMAL",
   IF(I1084&lt;=30,I1084*1.15+2,IF(I1084&lt;=80,I1084*1.15+4,IF(I1084&lt;=150,I1084*1.15+6,I1084*1.15+8))),
IF(L1082="COMPLEMENTO",
   IF(I1084&lt;=25,I1084*1.25+1.5,IF(I1084&lt;=60,I1084*1.25+3,IF(I1084&lt;=120,I1084*1.25+4,I1084*1.25+5))),
""))),2)</f>
        <v>2029.08</v>
      </c>
      <c r="I1084" s="9">
        <f>($K$2+0.02)*Tabla1[[#This Row],[PRECIO $]]*1.18</f>
        <v>1827.3479999999997</v>
      </c>
      <c r="J1084" s="7">
        <f>+Tabla1[[#This Row],[PRECIO EN SOLES]]-Tabla1[[#This Row],[PC]]</f>
        <v>201.7320000000002</v>
      </c>
      <c r="K1084" s="15"/>
      <c r="L1084" s="15" t="str">
        <f>IF(
OR(
ISNUMBER(SEARCH("BACKPACK",B1086)),
ISNUMBER(SEARCH("MOCHILA",B1086)),
ISNUMBER(SEARCH("FUNDA",B1086)),
ISNUMBER(SEARCH("ESTUCHE",B1086)),
ISNUMBER(SEARCH("BOOK COVER",B1086)),
ISNUMBER(SEARCH("KEYBOARD PARA TABLET",B1086)),
ISNUMBER(SEARCH("FLIP TABLET",B1086)),
ISNUMBER(SEARCH("CASE FOR TABLET",B1086)),
ISNUMBER(SEARCH("CABLE",B1086)),
ISNUMBER(SEARCH("ADAPTADOR",B1086)),
ISNUMBER(SEARCH("HUB",B1086)),
ISNUMBER(SEARCH("DOCK",B1086)),
ISNUMBER(SEARCH("MOUSE PAD",B1086)),
ISNUMBER(SEARCH("MOUSEPAD",B1086)),
ISNUMBER(SEARCH("SOPORTE",B1086)),
ISNUMBER(SEARCH("STAND",B1086)),
ISNUMBER(SEARCH("TRAVEL ADAPTER",B1086)),
ISNUMBER(SEARCH("RJ45",B1086)),
ISNUMBER(SEARCH("USB-C",B1086)),
ISNUMBER(SEARCH("USB WIFI",B1086)),
ISNUMBER(SEARCH("POWERBANK",B1086)),
ISNUMBER(SEARCH("CARGADOR",B1086)),
ISNUMBER(SEARCH("COOLER PARA NB",B1086)),
ISNUMBER(SEARCH("SOPORTE PARA NB",B1086)),
ISNUMBER(SEARCH("WEBCAM",B1086)),
ISNUMBER(SEARCH("WEB CAM",B1086)),
ISNUMBER(SEARCH("MOUSE",B1086)),
ISNUMBER(SEARCH("TECLADO",B1086))
),
"COMPLEMENTO",
IF(
OR(
LEFT(A1086,2)="NB",
LEFT(A1086,2)="PC",
LEFT(A1086,2)="WS",
LEFT(A1086,2)="TB",
LEFT(A1086,3)="CEL",
LEFT(A1086,3)="MON",
LEFT(A1086,3)="PRE",
LEFT(A1086,3)="PRH",
ISNUMBER(SEARCH("NOTEBOOK",B1086)),
ISNUMBER(SEARCH("LAPTOP",B1086)),
ISNUMBER(SEARCH("MONITOR",B1086)),
ISNUMBER(SEARCH("TABLET",B1086)),
ISNUMBER(SEARCH("SMARTPH",B1086)),
ISNUMBER(SEARCH("IMPRESORA",B1086)),
ISNUMBER(SEARCH("MULTIFUNCIONAL",B1086)),
ISNUMBER(SEARCH("AIO",B1086))
),
"GANCHO",
"NORMAL"
)
)</f>
        <v>GANCHO</v>
      </c>
    </row>
    <row r="1085" spans="1:12" x14ac:dyDescent="0.25">
      <c r="A1085" s="3" t="s">
        <v>2795</v>
      </c>
      <c r="B1085" s="3" t="s">
        <v>392</v>
      </c>
      <c r="C1085" s="1">
        <v>20</v>
      </c>
      <c r="D1085" s="1">
        <v>462</v>
      </c>
      <c r="E1085" s="1" t="s">
        <v>74</v>
      </c>
      <c r="F1085" s="1" t="s">
        <v>3689</v>
      </c>
      <c r="G1085" s="3" t="s">
        <v>393</v>
      </c>
      <c r="H1085" s="11">
        <f>ROUND(
IF(L1083="GANCHO",
   IF(I1085&lt;=50,I1085*1.1+4,IF(I1085&lt;=120,I1085*1.1+7,IF(I1085&lt;=250,I1085*1.1+11,I1085*1.1+19))),
IF(L1083="NORMAL",
   IF(I1085&lt;=30,I1085*1.15+2,IF(I1085&lt;=80,I1085*1.15+4,IF(I1085&lt;=150,I1085*1.15+6,I1085*1.15+8))),
IF(L1083="COMPLEMENTO",
   IF(I1085&lt;=25,I1085*1.25+1.5,IF(I1085&lt;=60,I1085*1.25+3,IF(I1085&lt;=120,I1085*1.25+4,I1085*1.25+5))),
""))),2)</f>
        <v>2105.87</v>
      </c>
      <c r="I1085" s="9">
        <f>($K$2+0.02)*Tabla1[[#This Row],[PRECIO $]]*1.18</f>
        <v>1897.1568</v>
      </c>
      <c r="J1085" s="7">
        <f>+Tabla1[[#This Row],[PRECIO EN SOLES]]-Tabla1[[#This Row],[PC]]</f>
        <v>208.71319999999992</v>
      </c>
      <c r="K1085" s="15"/>
      <c r="L1085" s="15" t="str">
        <f>IF(
OR(
ISNUMBER(SEARCH("BACKPACK",B1087)),
ISNUMBER(SEARCH("MOCHILA",B1087)),
ISNUMBER(SEARCH("FUNDA",B1087)),
ISNUMBER(SEARCH("ESTUCHE",B1087)),
ISNUMBER(SEARCH("BOOK COVER",B1087)),
ISNUMBER(SEARCH("KEYBOARD PARA TABLET",B1087)),
ISNUMBER(SEARCH("FLIP TABLET",B1087)),
ISNUMBER(SEARCH("CASE FOR TABLET",B1087)),
ISNUMBER(SEARCH("CABLE",B1087)),
ISNUMBER(SEARCH("ADAPTADOR",B1087)),
ISNUMBER(SEARCH("HUB",B1087)),
ISNUMBER(SEARCH("DOCK",B1087)),
ISNUMBER(SEARCH("MOUSE PAD",B1087)),
ISNUMBER(SEARCH("MOUSEPAD",B1087)),
ISNUMBER(SEARCH("SOPORTE",B1087)),
ISNUMBER(SEARCH("STAND",B1087)),
ISNUMBER(SEARCH("TRAVEL ADAPTER",B1087)),
ISNUMBER(SEARCH("RJ45",B1087)),
ISNUMBER(SEARCH("USB-C",B1087)),
ISNUMBER(SEARCH("USB WIFI",B1087)),
ISNUMBER(SEARCH("POWERBANK",B1087)),
ISNUMBER(SEARCH("CARGADOR",B1087)),
ISNUMBER(SEARCH("COOLER PARA NB",B1087)),
ISNUMBER(SEARCH("SOPORTE PARA NB",B1087)),
ISNUMBER(SEARCH("WEBCAM",B1087)),
ISNUMBER(SEARCH("WEB CAM",B1087)),
ISNUMBER(SEARCH("MOUSE",B1087)),
ISNUMBER(SEARCH("TECLADO",B1087))
),
"COMPLEMENTO",
IF(
OR(
LEFT(A1087,2)="NB",
LEFT(A1087,2)="PC",
LEFT(A1087,2)="WS",
LEFT(A1087,2)="TB",
LEFT(A1087,3)="CEL",
LEFT(A1087,3)="MON",
LEFT(A1087,3)="PRE",
LEFT(A1087,3)="PRH",
ISNUMBER(SEARCH("NOTEBOOK",B1087)),
ISNUMBER(SEARCH("LAPTOP",B1087)),
ISNUMBER(SEARCH("MONITOR",B1087)),
ISNUMBER(SEARCH("TABLET",B1087)),
ISNUMBER(SEARCH("SMARTPH",B1087)),
ISNUMBER(SEARCH("IMPRESORA",B1087)),
ISNUMBER(SEARCH("MULTIFUNCIONAL",B1087)),
ISNUMBER(SEARCH("AIO",B1087))
),
"GANCHO",
"NORMAL"
)
)</f>
        <v>GANCHO</v>
      </c>
    </row>
    <row r="1086" spans="1:12" x14ac:dyDescent="0.25">
      <c r="A1086" s="3" t="s">
        <v>394</v>
      </c>
      <c r="B1086" s="3" t="s">
        <v>392</v>
      </c>
      <c r="C1086" s="1">
        <v>20</v>
      </c>
      <c r="D1086" s="1">
        <v>462</v>
      </c>
      <c r="E1086" s="1" t="s">
        <v>74</v>
      </c>
      <c r="F1086" s="1" t="s">
        <v>3690</v>
      </c>
      <c r="G1086" s="3" t="s">
        <v>395</v>
      </c>
      <c r="H1086" s="11">
        <f>ROUND(
IF(L1084="GANCHO",
   IF(I1086&lt;=50,I1086*1.1+4,IF(I1086&lt;=120,I1086*1.1+7,IF(I1086&lt;=250,I1086*1.1+11,I1086*1.1+19))),
IF(L1084="NORMAL",
   IF(I1086&lt;=30,I1086*1.15+2,IF(I1086&lt;=80,I1086*1.15+4,IF(I1086&lt;=150,I1086*1.15+6,I1086*1.15+8))),
IF(L1084="COMPLEMENTO",
   IF(I1086&lt;=25,I1086*1.25+1.5,IF(I1086&lt;=60,I1086*1.25+3,IF(I1086&lt;=120,I1086*1.25+4,I1086*1.25+5))),
""))),2)</f>
        <v>2105.87</v>
      </c>
      <c r="I1086" s="9">
        <f>($K$2+0.02)*Tabla1[[#This Row],[PRECIO $]]*1.18</f>
        <v>1897.1568</v>
      </c>
      <c r="J1086" s="7">
        <f>+Tabla1[[#This Row],[PRECIO EN SOLES]]-Tabla1[[#This Row],[PC]]</f>
        <v>208.71319999999992</v>
      </c>
      <c r="K1086" s="15"/>
      <c r="L1086" s="15" t="str">
        <f>IF(
OR(
ISNUMBER(SEARCH("BACKPACK",B1088)),
ISNUMBER(SEARCH("MOCHILA",B1088)),
ISNUMBER(SEARCH("FUNDA",B1088)),
ISNUMBER(SEARCH("ESTUCHE",B1088)),
ISNUMBER(SEARCH("BOOK COVER",B1088)),
ISNUMBER(SEARCH("KEYBOARD PARA TABLET",B1088)),
ISNUMBER(SEARCH("FLIP TABLET",B1088)),
ISNUMBER(SEARCH("CASE FOR TABLET",B1088)),
ISNUMBER(SEARCH("CABLE",B1088)),
ISNUMBER(SEARCH("ADAPTADOR",B1088)),
ISNUMBER(SEARCH("HUB",B1088)),
ISNUMBER(SEARCH("DOCK",B1088)),
ISNUMBER(SEARCH("MOUSE PAD",B1088)),
ISNUMBER(SEARCH("MOUSEPAD",B1088)),
ISNUMBER(SEARCH("SOPORTE",B1088)),
ISNUMBER(SEARCH("STAND",B1088)),
ISNUMBER(SEARCH("TRAVEL ADAPTER",B1088)),
ISNUMBER(SEARCH("RJ45",B1088)),
ISNUMBER(SEARCH("USB-C",B1088)),
ISNUMBER(SEARCH("USB WIFI",B1088)),
ISNUMBER(SEARCH("POWERBANK",B1088)),
ISNUMBER(SEARCH("CARGADOR",B1088)),
ISNUMBER(SEARCH("COOLER PARA NB",B1088)),
ISNUMBER(SEARCH("SOPORTE PARA NB",B1088)),
ISNUMBER(SEARCH("WEBCAM",B1088)),
ISNUMBER(SEARCH("WEB CAM",B1088)),
ISNUMBER(SEARCH("MOUSE",B1088)),
ISNUMBER(SEARCH("TECLADO",B1088))
),
"COMPLEMENTO",
IF(
OR(
LEFT(A1088,2)="NB",
LEFT(A1088,2)="PC",
LEFT(A1088,2)="WS",
LEFT(A1088,2)="TB",
LEFT(A1088,3)="CEL",
LEFT(A1088,3)="MON",
LEFT(A1088,3)="PRE",
LEFT(A1088,3)="PRH",
ISNUMBER(SEARCH("NOTEBOOK",B1088)),
ISNUMBER(SEARCH("LAPTOP",B1088)),
ISNUMBER(SEARCH("MONITOR",B1088)),
ISNUMBER(SEARCH("TABLET",B1088)),
ISNUMBER(SEARCH("SMARTPH",B1088)),
ISNUMBER(SEARCH("IMPRESORA",B1088)),
ISNUMBER(SEARCH("MULTIFUNCIONAL",B1088)),
ISNUMBER(SEARCH("AIO",B1088))
),
"GANCHO",
"NORMAL"
)
)</f>
        <v>GANCHO</v>
      </c>
    </row>
    <row r="1087" spans="1:12" x14ac:dyDescent="0.25">
      <c r="A1087" s="3" t="s">
        <v>4417</v>
      </c>
      <c r="B1087" s="3" t="s">
        <v>4418</v>
      </c>
      <c r="C1087" s="1">
        <v>20</v>
      </c>
      <c r="D1087" s="1">
        <v>460</v>
      </c>
      <c r="E1087" s="1" t="s">
        <v>74</v>
      </c>
      <c r="F1087" s="1" t="s">
        <v>4419</v>
      </c>
      <c r="G1087" s="3" t="s">
        <v>4420</v>
      </c>
      <c r="H1087" s="11">
        <f>ROUND(
IF(L1085="GANCHO",
   IF(I1087&lt;=50,I1087*1.1+4,IF(I1087&lt;=120,I1087*1.1+7,IF(I1087&lt;=250,I1087*1.1+11,I1087*1.1+19))),
IF(L1085="NORMAL",
   IF(I1087&lt;=30,I1087*1.15+2,IF(I1087&lt;=80,I1087*1.15+4,IF(I1087&lt;=150,I1087*1.15+6,I1087*1.15+8))),
IF(L1085="COMPLEMENTO",
   IF(I1087&lt;=25,I1087*1.25+1.5,IF(I1087&lt;=60,I1087*1.25+3,IF(I1087&lt;=120,I1087*1.25+4,I1087*1.25+5))),
""))),2)</f>
        <v>2096.84</v>
      </c>
      <c r="I1087" s="9">
        <f>($K$2+0.02)*Tabla1[[#This Row],[PRECIO $]]*1.18</f>
        <v>1888.944</v>
      </c>
      <c r="J1087" s="7">
        <f>+Tabla1[[#This Row],[PRECIO EN SOLES]]-Tabla1[[#This Row],[PC]]</f>
        <v>207.89600000000019</v>
      </c>
      <c r="K1087" s="15"/>
      <c r="L1087" s="15" t="str">
        <f>IF(
OR(
ISNUMBER(SEARCH("BACKPACK",B1089)),
ISNUMBER(SEARCH("MOCHILA",B1089)),
ISNUMBER(SEARCH("FUNDA",B1089)),
ISNUMBER(SEARCH("ESTUCHE",B1089)),
ISNUMBER(SEARCH("BOOK COVER",B1089)),
ISNUMBER(SEARCH("KEYBOARD PARA TABLET",B1089)),
ISNUMBER(SEARCH("FLIP TABLET",B1089)),
ISNUMBER(SEARCH("CASE FOR TABLET",B1089)),
ISNUMBER(SEARCH("CABLE",B1089)),
ISNUMBER(SEARCH("ADAPTADOR",B1089)),
ISNUMBER(SEARCH("HUB",B1089)),
ISNUMBER(SEARCH("DOCK",B1089)),
ISNUMBER(SEARCH("MOUSE PAD",B1089)),
ISNUMBER(SEARCH("MOUSEPAD",B1089)),
ISNUMBER(SEARCH("SOPORTE",B1089)),
ISNUMBER(SEARCH("STAND",B1089)),
ISNUMBER(SEARCH("TRAVEL ADAPTER",B1089)),
ISNUMBER(SEARCH("RJ45",B1089)),
ISNUMBER(SEARCH("USB-C",B1089)),
ISNUMBER(SEARCH("USB WIFI",B1089)),
ISNUMBER(SEARCH("POWERBANK",B1089)),
ISNUMBER(SEARCH("CARGADOR",B1089)),
ISNUMBER(SEARCH("COOLER PARA NB",B1089)),
ISNUMBER(SEARCH("SOPORTE PARA NB",B1089)),
ISNUMBER(SEARCH("WEBCAM",B1089)),
ISNUMBER(SEARCH("WEB CAM",B1089)),
ISNUMBER(SEARCH("MOUSE",B1089)),
ISNUMBER(SEARCH("TECLADO",B1089))
),
"COMPLEMENTO",
IF(
OR(
LEFT(A1089,2)="NB",
LEFT(A1089,2)="PC",
LEFT(A1089,2)="WS",
LEFT(A1089,2)="TB",
LEFT(A1089,3)="CEL",
LEFT(A1089,3)="MON",
LEFT(A1089,3)="PRE",
LEFT(A1089,3)="PRH",
ISNUMBER(SEARCH("NOTEBOOK",B1089)),
ISNUMBER(SEARCH("LAPTOP",B1089)),
ISNUMBER(SEARCH("MONITOR",B1089)),
ISNUMBER(SEARCH("TABLET",B1089)),
ISNUMBER(SEARCH("SMARTPH",B1089)),
ISNUMBER(SEARCH("IMPRESORA",B1089)),
ISNUMBER(SEARCH("MULTIFUNCIONAL",B1089)),
ISNUMBER(SEARCH("AIO",B1089))
),
"GANCHO",
"NORMAL"
)
)</f>
        <v>GANCHO</v>
      </c>
    </row>
    <row r="1088" spans="1:12" x14ac:dyDescent="0.25">
      <c r="A1088" s="3" t="s">
        <v>1803</v>
      </c>
      <c r="B1088" s="3" t="s">
        <v>396</v>
      </c>
      <c r="C1088" s="1">
        <v>20</v>
      </c>
      <c r="D1088" s="1">
        <v>525</v>
      </c>
      <c r="E1088" s="1" t="s">
        <v>276</v>
      </c>
      <c r="F1088" s="1" t="s">
        <v>3691</v>
      </c>
      <c r="G1088" s="3" t="s">
        <v>1804</v>
      </c>
      <c r="H1088" s="11">
        <f>ROUND(
IF(L1086="GANCHO",
   IF(I1088&lt;=50,I1088*1.1+4,IF(I1088&lt;=120,I1088*1.1+7,IF(I1088&lt;=250,I1088*1.1+11,I1088*1.1+19))),
IF(L1086="NORMAL",
   IF(I1088&lt;=30,I1088*1.15+2,IF(I1088&lt;=80,I1088*1.15+4,IF(I1088&lt;=150,I1088*1.15+6,I1088*1.15+8))),
IF(L1086="COMPLEMENTO",
   IF(I1088&lt;=25,I1088*1.25+1.5,IF(I1088&lt;=60,I1088*1.25+3,IF(I1088&lt;=120,I1088*1.25+4,I1088*1.25+5))),
""))),2)</f>
        <v>2390.4499999999998</v>
      </c>
      <c r="I1088" s="9">
        <f>($K$2+0.02)*Tabla1[[#This Row],[PRECIO $]]*1.18</f>
        <v>2155.8599999999997</v>
      </c>
      <c r="J1088" s="7">
        <f>+Tabla1[[#This Row],[PRECIO EN SOLES]]-Tabla1[[#This Row],[PC]]</f>
        <v>234.59000000000015</v>
      </c>
      <c r="K1088" s="15"/>
      <c r="L1088" s="15" t="str">
        <f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GANCHO</v>
      </c>
    </row>
    <row r="1089" spans="1:12" x14ac:dyDescent="0.25">
      <c r="A1089" s="3" t="s">
        <v>397</v>
      </c>
      <c r="B1089" s="3" t="s">
        <v>391</v>
      </c>
      <c r="C1089" s="1">
        <v>20</v>
      </c>
      <c r="D1089" s="1">
        <v>490</v>
      </c>
      <c r="E1089" s="1" t="s">
        <v>276</v>
      </c>
      <c r="F1089" s="1" t="s">
        <v>3692</v>
      </c>
      <c r="G1089" s="3" t="s">
        <v>398</v>
      </c>
      <c r="H1089" s="11">
        <f>ROUND(
IF(L1087="GANCHO",
   IF(I1089&lt;=50,I1089*1.1+4,IF(I1089&lt;=120,I1089*1.1+7,IF(I1089&lt;=250,I1089*1.1+11,I1089*1.1+19))),
IF(L1087="NORMAL",
   IF(I1089&lt;=30,I1089*1.15+2,IF(I1089&lt;=80,I1089*1.15+4,IF(I1089&lt;=150,I1089*1.15+6,I1089*1.15+8))),
IF(L1087="COMPLEMENTO",
   IF(I1089&lt;=25,I1089*1.25+1.5,IF(I1089&lt;=60,I1089*1.25+3,IF(I1089&lt;=120,I1089*1.25+4,I1089*1.25+5))),
""))),2)</f>
        <v>2232.35</v>
      </c>
      <c r="I1089" s="9">
        <f>($K$2+0.02)*Tabla1[[#This Row],[PRECIO $]]*1.18</f>
        <v>2012.136</v>
      </c>
      <c r="J1089" s="7">
        <f>+Tabla1[[#This Row],[PRECIO EN SOLES]]-Tabla1[[#This Row],[PC]]</f>
        <v>220.21399999999994</v>
      </c>
      <c r="K1089" s="15"/>
      <c r="L1089" s="15" t="str">
        <f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GANCHO</v>
      </c>
    </row>
    <row r="1090" spans="1:12" x14ac:dyDescent="0.25">
      <c r="A1090" s="3" t="s">
        <v>399</v>
      </c>
      <c r="B1090" s="3" t="s">
        <v>400</v>
      </c>
      <c r="C1090" s="1">
        <v>20</v>
      </c>
      <c r="D1090" s="1">
        <v>444</v>
      </c>
      <c r="E1090" s="1" t="s">
        <v>74</v>
      </c>
      <c r="F1090" s="1" t="s">
        <v>3693</v>
      </c>
      <c r="G1090" s="3" t="s">
        <v>401</v>
      </c>
      <c r="H1090" s="11">
        <f>ROUND(
IF(L1088="GANCHO",
   IF(I1090&lt;=50,I1090*1.1+4,IF(I1090&lt;=120,I1090*1.1+7,IF(I1090&lt;=250,I1090*1.1+11,I1090*1.1+19))),
IF(L1088="NORMAL",
   IF(I1090&lt;=30,I1090*1.15+2,IF(I1090&lt;=80,I1090*1.15+4,IF(I1090&lt;=150,I1090*1.15+6,I1090*1.15+8))),
IF(L1088="COMPLEMENTO",
   IF(I1090&lt;=25,I1090*1.25+1.5,IF(I1090&lt;=60,I1090*1.25+3,IF(I1090&lt;=120,I1090*1.25+4,I1090*1.25+5))),
""))),2)</f>
        <v>2024.57</v>
      </c>
      <c r="I1090" s="9">
        <f>($K$2+0.02)*Tabla1[[#This Row],[PRECIO $]]*1.18</f>
        <v>1823.2415999999998</v>
      </c>
      <c r="J1090" s="7">
        <f>+Tabla1[[#This Row],[PRECIO EN SOLES]]-Tabla1[[#This Row],[PC]]</f>
        <v>201.3284000000001</v>
      </c>
      <c r="K1090" s="15"/>
      <c r="L1090" s="15" t="str">
        <f>IF(
OR(
ISNUMBER(SEARCH("BACKPACK",B1092)),
ISNUMBER(SEARCH("MOCHILA",B1092)),
ISNUMBER(SEARCH("FUNDA",B1092)),
ISNUMBER(SEARCH("ESTUCHE",B1092)),
ISNUMBER(SEARCH("BOOK COVER",B1092)),
ISNUMBER(SEARCH("KEYBOARD PARA TABLET",B1092)),
ISNUMBER(SEARCH("FLIP TABLET",B1092)),
ISNUMBER(SEARCH("CASE FOR TABLET",B1092)),
ISNUMBER(SEARCH("CABLE",B1092)),
ISNUMBER(SEARCH("ADAPTADOR",B1092)),
ISNUMBER(SEARCH("HUB",B1092)),
ISNUMBER(SEARCH("DOCK",B1092)),
ISNUMBER(SEARCH("MOUSE PAD",B1092)),
ISNUMBER(SEARCH("MOUSEPAD",B1092)),
ISNUMBER(SEARCH("SOPORTE",B1092)),
ISNUMBER(SEARCH("STAND",B1092)),
ISNUMBER(SEARCH("TRAVEL ADAPTER",B1092)),
ISNUMBER(SEARCH("RJ45",B1092)),
ISNUMBER(SEARCH("USB-C",B1092)),
ISNUMBER(SEARCH("USB WIFI",B1092)),
ISNUMBER(SEARCH("POWERBANK",B1092)),
ISNUMBER(SEARCH("CARGADOR",B1092)),
ISNUMBER(SEARCH("COOLER PARA NB",B1092)),
ISNUMBER(SEARCH("SOPORTE PARA NB",B1092)),
ISNUMBER(SEARCH("WEBCAM",B1092)),
ISNUMBER(SEARCH("WEB CAM",B1092)),
ISNUMBER(SEARCH("MOUSE",B1092)),
ISNUMBER(SEARCH("TECLADO",B1092))
),
"COMPLEMENTO",
IF(
OR(
LEFT(A1092,2)="NB",
LEFT(A1092,2)="PC",
LEFT(A1092,2)="WS",
LEFT(A1092,2)="TB",
LEFT(A1092,3)="CEL",
LEFT(A1092,3)="MON",
LEFT(A1092,3)="PRE",
LEFT(A1092,3)="PRH",
ISNUMBER(SEARCH("NOTEBOOK",B1092)),
ISNUMBER(SEARCH("LAPTOP",B1092)),
ISNUMBER(SEARCH("MONITOR",B1092)),
ISNUMBER(SEARCH("TABLET",B1092)),
ISNUMBER(SEARCH("SMARTPH",B1092)),
ISNUMBER(SEARCH("IMPRESORA",B1092)),
ISNUMBER(SEARCH("MULTIFUNCIONAL",B1092)),
ISNUMBER(SEARCH("AIO",B1092))
),
"GANCHO",
"NORMAL"
)
)</f>
        <v>GANCHO</v>
      </c>
    </row>
    <row r="1091" spans="1:12" x14ac:dyDescent="0.25">
      <c r="A1091" s="3" t="s">
        <v>6843</v>
      </c>
      <c r="B1091" s="3" t="s">
        <v>6844</v>
      </c>
      <c r="C1091" s="1">
        <v>9</v>
      </c>
      <c r="D1091" s="1">
        <v>575</v>
      </c>
      <c r="E1091" s="1" t="s">
        <v>74</v>
      </c>
      <c r="F1091" s="1" t="s">
        <v>6845</v>
      </c>
      <c r="G1091" s="3" t="s">
        <v>6846</v>
      </c>
      <c r="H1091" s="11">
        <f>ROUND(
IF(L1089="GANCHO",
   IF(I1091&lt;=50,I1091*1.1+4,IF(I1091&lt;=120,I1091*1.1+7,IF(I1091&lt;=250,I1091*1.1+11,I1091*1.1+19))),
IF(L1089="NORMAL",
   IF(I1091&lt;=30,I1091*1.15+2,IF(I1091&lt;=80,I1091*1.15+4,IF(I1091&lt;=150,I1091*1.15+6,I1091*1.15+8))),
IF(L1089="COMPLEMENTO",
   IF(I1091&lt;=25,I1091*1.25+1.5,IF(I1091&lt;=60,I1091*1.25+3,IF(I1091&lt;=120,I1091*1.25+4,I1091*1.25+5))),
""))),2)</f>
        <v>2616.3000000000002</v>
      </c>
      <c r="I1091" s="9">
        <f>($K$2+0.02)*Tabla1[[#This Row],[PRECIO $]]*1.18</f>
        <v>2361.1799999999998</v>
      </c>
      <c r="J1091" s="7">
        <f>+Tabla1[[#This Row],[PRECIO EN SOLES]]-Tabla1[[#This Row],[PC]]</f>
        <v>255.12000000000035</v>
      </c>
      <c r="K1091" s="15"/>
      <c r="L1091" s="15" t="str">
        <f>IF(
OR(
ISNUMBER(SEARCH("BACKPACK",B1093)),
ISNUMBER(SEARCH("MOCHILA",B1093)),
ISNUMBER(SEARCH("FUNDA",B1093)),
ISNUMBER(SEARCH("ESTUCHE",B1093)),
ISNUMBER(SEARCH("BOOK COVER",B1093)),
ISNUMBER(SEARCH("KEYBOARD PARA TABLET",B1093)),
ISNUMBER(SEARCH("FLIP TABLET",B1093)),
ISNUMBER(SEARCH("CASE FOR TABLET",B1093)),
ISNUMBER(SEARCH("CABLE",B1093)),
ISNUMBER(SEARCH("ADAPTADOR",B1093)),
ISNUMBER(SEARCH("HUB",B1093)),
ISNUMBER(SEARCH("DOCK",B1093)),
ISNUMBER(SEARCH("MOUSE PAD",B1093)),
ISNUMBER(SEARCH("MOUSEPAD",B1093)),
ISNUMBER(SEARCH("SOPORTE",B1093)),
ISNUMBER(SEARCH("STAND",B1093)),
ISNUMBER(SEARCH("TRAVEL ADAPTER",B1093)),
ISNUMBER(SEARCH("RJ45",B1093)),
ISNUMBER(SEARCH("USB-C",B1093)),
ISNUMBER(SEARCH("USB WIFI",B1093)),
ISNUMBER(SEARCH("POWERBANK",B1093)),
ISNUMBER(SEARCH("CARGADOR",B1093)),
ISNUMBER(SEARCH("COOLER PARA NB",B1093)),
ISNUMBER(SEARCH("SOPORTE PARA NB",B1093)),
ISNUMBER(SEARCH("WEBCAM",B1093)),
ISNUMBER(SEARCH("WEB CAM",B1093)),
ISNUMBER(SEARCH("MOUSE",B1093)),
ISNUMBER(SEARCH("TECLADO",B1093))
),
"COMPLEMENTO",
IF(
OR(
LEFT(A1093,2)="NB",
LEFT(A1093,2)="PC",
LEFT(A1093,2)="WS",
LEFT(A1093,2)="TB",
LEFT(A1093,3)="CEL",
LEFT(A1093,3)="MON",
LEFT(A1093,3)="PRE",
LEFT(A1093,3)="PRH",
ISNUMBER(SEARCH("NOTEBOOK",B1093)),
ISNUMBER(SEARCH("LAPTOP",B1093)),
ISNUMBER(SEARCH("MONITOR",B1093)),
ISNUMBER(SEARCH("TABLET",B1093)),
ISNUMBER(SEARCH("SMARTPH",B1093)),
ISNUMBER(SEARCH("IMPRESORA",B1093)),
ISNUMBER(SEARCH("MULTIFUNCIONAL",B1093)),
ISNUMBER(SEARCH("AIO",B1093))
),
"GANCHO",
"NORMAL"
)
)</f>
        <v>GANCHO</v>
      </c>
    </row>
    <row r="1092" spans="1:12" x14ac:dyDescent="0.25">
      <c r="A1092" s="3" t="s">
        <v>6847</v>
      </c>
      <c r="B1092" s="3" t="s">
        <v>6848</v>
      </c>
      <c r="C1092" s="1">
        <v>5</v>
      </c>
      <c r="D1092" s="1">
        <v>525</v>
      </c>
      <c r="E1092" s="1" t="s">
        <v>74</v>
      </c>
      <c r="F1092" s="1" t="s">
        <v>6849</v>
      </c>
      <c r="G1092" s="3"/>
      <c r="H1092" s="11">
        <f>ROUND(
IF(L1090="GANCHO",
   IF(I1092&lt;=50,I1092*1.1+4,IF(I1092&lt;=120,I1092*1.1+7,IF(I1092&lt;=250,I1092*1.1+11,I1092*1.1+19))),
IF(L1090="NORMAL",
   IF(I1092&lt;=30,I1092*1.15+2,IF(I1092&lt;=80,I1092*1.15+4,IF(I1092&lt;=150,I1092*1.15+6,I1092*1.15+8))),
IF(L1090="COMPLEMENTO",
   IF(I1092&lt;=25,I1092*1.25+1.5,IF(I1092&lt;=60,I1092*1.25+3,IF(I1092&lt;=120,I1092*1.25+4,I1092*1.25+5))),
""))),2)</f>
        <v>2390.4499999999998</v>
      </c>
      <c r="I1092" s="9">
        <f>($K$2+0.02)*Tabla1[[#This Row],[PRECIO $]]*1.18</f>
        <v>2155.8599999999997</v>
      </c>
      <c r="J1092" s="7">
        <f>+Tabla1[[#This Row],[PRECIO EN SOLES]]-Tabla1[[#This Row],[PC]]</f>
        <v>234.59000000000015</v>
      </c>
      <c r="K1092" s="15"/>
      <c r="L1092" s="15" t="str">
        <f>IF(
OR(
ISNUMBER(SEARCH("BACKPACK",B1094)),
ISNUMBER(SEARCH("MOCHILA",B1094)),
ISNUMBER(SEARCH("FUNDA",B1094)),
ISNUMBER(SEARCH("ESTUCHE",B1094)),
ISNUMBER(SEARCH("BOOK COVER",B1094)),
ISNUMBER(SEARCH("KEYBOARD PARA TABLET",B1094)),
ISNUMBER(SEARCH("FLIP TABLET",B1094)),
ISNUMBER(SEARCH("CASE FOR TABLET",B1094)),
ISNUMBER(SEARCH("CABLE",B1094)),
ISNUMBER(SEARCH("ADAPTADOR",B1094)),
ISNUMBER(SEARCH("HUB",B1094)),
ISNUMBER(SEARCH("DOCK",B1094)),
ISNUMBER(SEARCH("MOUSE PAD",B1094)),
ISNUMBER(SEARCH("MOUSEPAD",B1094)),
ISNUMBER(SEARCH("SOPORTE",B1094)),
ISNUMBER(SEARCH("STAND",B1094)),
ISNUMBER(SEARCH("TRAVEL ADAPTER",B1094)),
ISNUMBER(SEARCH("RJ45",B1094)),
ISNUMBER(SEARCH("USB-C",B1094)),
ISNUMBER(SEARCH("USB WIFI",B1094)),
ISNUMBER(SEARCH("POWERBANK",B1094)),
ISNUMBER(SEARCH("CARGADOR",B1094)),
ISNUMBER(SEARCH("COOLER PARA NB",B1094)),
ISNUMBER(SEARCH("SOPORTE PARA NB",B1094)),
ISNUMBER(SEARCH("WEBCAM",B1094)),
ISNUMBER(SEARCH("WEB CAM",B1094)),
ISNUMBER(SEARCH("MOUSE",B1094)),
ISNUMBER(SEARCH("TECLADO",B1094))
),
"COMPLEMENTO",
IF(
OR(
LEFT(A1094,2)="NB",
LEFT(A1094,2)="PC",
LEFT(A1094,2)="WS",
LEFT(A1094,2)="TB",
LEFT(A1094,3)="CEL",
LEFT(A1094,3)="MON",
LEFT(A1094,3)="PRE",
LEFT(A1094,3)="PRH",
ISNUMBER(SEARCH("NOTEBOOK",B1094)),
ISNUMBER(SEARCH("LAPTOP",B1094)),
ISNUMBER(SEARCH("MONITOR",B1094)),
ISNUMBER(SEARCH("TABLET",B1094)),
ISNUMBER(SEARCH("SMARTPH",B1094)),
ISNUMBER(SEARCH("IMPRESORA",B1094)),
ISNUMBER(SEARCH("MULTIFUNCIONAL",B1094)),
ISNUMBER(SEARCH("AIO",B1094))
),
"GANCHO",
"NORMAL"
)
)</f>
        <v>GANCHO</v>
      </c>
    </row>
    <row r="1093" spans="1:12" x14ac:dyDescent="0.25">
      <c r="A1093" s="3" t="s">
        <v>6617</v>
      </c>
      <c r="B1093" s="3" t="s">
        <v>6618</v>
      </c>
      <c r="C1093" s="1">
        <v>5</v>
      </c>
      <c r="D1093" s="1">
        <v>970</v>
      </c>
      <c r="E1093" s="1" t="s">
        <v>910</v>
      </c>
      <c r="F1093" s="1" t="s">
        <v>6619</v>
      </c>
      <c r="G1093" s="3" t="s">
        <v>6620</v>
      </c>
      <c r="H1093" s="11">
        <f>ROUND(
IF(L1091="GANCHO",
   IF(I1093&lt;=50,I1093*1.1+4,IF(I1093&lt;=120,I1093*1.1+7,IF(I1093&lt;=250,I1093*1.1+11,I1093*1.1+19))),
IF(L1091="NORMAL",
   IF(I1093&lt;=30,I1093*1.15+2,IF(I1093&lt;=80,I1093*1.15+4,IF(I1093&lt;=150,I1093*1.15+6,I1093*1.15+8))),
IF(L1091="COMPLEMENTO",
   IF(I1093&lt;=25,I1093*1.25+1.5,IF(I1093&lt;=60,I1093*1.25+3,IF(I1093&lt;=120,I1093*1.25+4,I1093*1.25+5))),
""))),2)</f>
        <v>4400.53</v>
      </c>
      <c r="I1093" s="9">
        <f>($K$2+0.02)*Tabla1[[#This Row],[PRECIO $]]*1.18</f>
        <v>3983.2079999999996</v>
      </c>
      <c r="J1093" s="7">
        <f>+Tabla1[[#This Row],[PRECIO EN SOLES]]-Tabla1[[#This Row],[PC]]</f>
        <v>417.32200000000012</v>
      </c>
      <c r="K1093" s="15"/>
      <c r="L1093" s="15" t="str">
        <f>IF(
OR(
ISNUMBER(SEARCH("BACKPACK",B1095)),
ISNUMBER(SEARCH("MOCHILA",B1095)),
ISNUMBER(SEARCH("FUNDA",B1095)),
ISNUMBER(SEARCH("ESTUCHE",B1095)),
ISNUMBER(SEARCH("BOOK COVER",B1095)),
ISNUMBER(SEARCH("KEYBOARD PARA TABLET",B1095)),
ISNUMBER(SEARCH("FLIP TABLET",B1095)),
ISNUMBER(SEARCH("CASE FOR TABLET",B1095)),
ISNUMBER(SEARCH("CABLE",B1095)),
ISNUMBER(SEARCH("ADAPTADOR",B1095)),
ISNUMBER(SEARCH("HUB",B1095)),
ISNUMBER(SEARCH("DOCK",B1095)),
ISNUMBER(SEARCH("MOUSE PAD",B1095)),
ISNUMBER(SEARCH("MOUSEPAD",B1095)),
ISNUMBER(SEARCH("SOPORTE",B1095)),
ISNUMBER(SEARCH("STAND",B1095)),
ISNUMBER(SEARCH("TRAVEL ADAPTER",B1095)),
ISNUMBER(SEARCH("RJ45",B1095)),
ISNUMBER(SEARCH("USB-C",B1095)),
ISNUMBER(SEARCH("USB WIFI",B1095)),
ISNUMBER(SEARCH("POWERBANK",B1095)),
ISNUMBER(SEARCH("CARGADOR",B1095)),
ISNUMBER(SEARCH("COOLER PARA NB",B1095)),
ISNUMBER(SEARCH("SOPORTE PARA NB",B1095)),
ISNUMBER(SEARCH("WEBCAM",B1095)),
ISNUMBER(SEARCH("WEB CAM",B1095)),
ISNUMBER(SEARCH("MOUSE",B1095)),
ISNUMBER(SEARCH("TECLADO",B1095))
),
"COMPLEMENTO",
IF(
OR(
LEFT(A1095,2)="NB",
LEFT(A1095,2)="PC",
LEFT(A1095,2)="WS",
LEFT(A1095,2)="TB",
LEFT(A1095,3)="CEL",
LEFT(A1095,3)="MON",
LEFT(A1095,3)="PRE",
LEFT(A1095,3)="PRH",
ISNUMBER(SEARCH("NOTEBOOK",B1095)),
ISNUMBER(SEARCH("LAPTOP",B1095)),
ISNUMBER(SEARCH("MONITOR",B1095)),
ISNUMBER(SEARCH("TABLET",B1095)),
ISNUMBER(SEARCH("SMARTPH",B1095)),
ISNUMBER(SEARCH("IMPRESORA",B1095)),
ISNUMBER(SEARCH("MULTIFUNCIONAL",B1095)),
ISNUMBER(SEARCH("AIO",B1095))
),
"GANCHO",
"NORMAL"
)
)</f>
        <v>GANCHO</v>
      </c>
    </row>
    <row r="1094" spans="1:12" x14ac:dyDescent="0.25">
      <c r="A1094" s="3" t="s">
        <v>1805</v>
      </c>
      <c r="B1094" s="3" t="s">
        <v>1806</v>
      </c>
      <c r="C1094" s="1">
        <v>20</v>
      </c>
      <c r="D1094" s="1">
        <v>684</v>
      </c>
      <c r="E1094" s="1" t="s">
        <v>910</v>
      </c>
      <c r="F1094" s="1" t="s">
        <v>3694</v>
      </c>
      <c r="G1094" s="3" t="s">
        <v>5010</v>
      </c>
      <c r="H1094" s="11">
        <f>ROUND(
IF(L1092="GANCHO",
   IF(I1094&lt;=50,I1094*1.1+4,IF(I1094&lt;=120,I1094*1.1+7,IF(I1094&lt;=250,I1094*1.1+11,I1094*1.1+19))),
IF(L1092="NORMAL",
   IF(I1094&lt;=30,I1094*1.15+2,IF(I1094&lt;=80,I1094*1.15+4,IF(I1094&lt;=150,I1094*1.15+6,I1094*1.15+8))),
IF(L1092="COMPLEMENTO",
   IF(I1094&lt;=25,I1094*1.25+1.5,IF(I1094&lt;=60,I1094*1.25+3,IF(I1094&lt;=120,I1094*1.25+4,I1094*1.25+5))),
""))),2)</f>
        <v>3108.66</v>
      </c>
      <c r="I1094" s="9">
        <f>($K$2+0.02)*Tabla1[[#This Row],[PRECIO $]]*1.18</f>
        <v>2808.7775999999999</v>
      </c>
      <c r="J1094" s="7">
        <f>+Tabla1[[#This Row],[PRECIO EN SOLES]]-Tabla1[[#This Row],[PC]]</f>
        <v>299.88239999999996</v>
      </c>
      <c r="K1094" s="15"/>
      <c r="L1094" s="15" t="str">
        <f>IF(
OR(
ISNUMBER(SEARCH("BACKPACK",B1096)),
ISNUMBER(SEARCH("MOCHILA",B1096)),
ISNUMBER(SEARCH("FUNDA",B1096)),
ISNUMBER(SEARCH("ESTUCHE",B1096)),
ISNUMBER(SEARCH("BOOK COVER",B1096)),
ISNUMBER(SEARCH("KEYBOARD PARA TABLET",B1096)),
ISNUMBER(SEARCH("FLIP TABLET",B1096)),
ISNUMBER(SEARCH("CASE FOR TABLET",B1096)),
ISNUMBER(SEARCH("CABLE",B1096)),
ISNUMBER(SEARCH("ADAPTADOR",B1096)),
ISNUMBER(SEARCH("HUB",B1096)),
ISNUMBER(SEARCH("DOCK",B1096)),
ISNUMBER(SEARCH("MOUSE PAD",B1096)),
ISNUMBER(SEARCH("MOUSEPAD",B1096)),
ISNUMBER(SEARCH("SOPORTE",B1096)),
ISNUMBER(SEARCH("STAND",B1096)),
ISNUMBER(SEARCH("TRAVEL ADAPTER",B1096)),
ISNUMBER(SEARCH("RJ45",B1096)),
ISNUMBER(SEARCH("USB-C",B1096)),
ISNUMBER(SEARCH("USB WIFI",B1096)),
ISNUMBER(SEARCH("POWERBANK",B1096)),
ISNUMBER(SEARCH("CARGADOR",B1096)),
ISNUMBER(SEARCH("COOLER PARA NB",B1096)),
ISNUMBER(SEARCH("SOPORTE PARA NB",B1096)),
ISNUMBER(SEARCH("WEBCAM",B1096)),
ISNUMBER(SEARCH("WEB CAM",B1096)),
ISNUMBER(SEARCH("MOUSE",B1096)),
ISNUMBER(SEARCH("TECLADO",B1096))
),
"COMPLEMENTO",
IF(
OR(
LEFT(A1096,2)="NB",
LEFT(A1096,2)="PC",
LEFT(A1096,2)="WS",
LEFT(A1096,2)="TB",
LEFT(A1096,3)="CEL",
LEFT(A1096,3)="MON",
LEFT(A1096,3)="PRE",
LEFT(A1096,3)="PRH",
ISNUMBER(SEARCH("NOTEBOOK",B1096)),
ISNUMBER(SEARCH("LAPTOP",B1096)),
ISNUMBER(SEARCH("MONITOR",B1096)),
ISNUMBER(SEARCH("TABLET",B1096)),
ISNUMBER(SEARCH("SMARTPH",B1096)),
ISNUMBER(SEARCH("IMPRESORA",B1096)),
ISNUMBER(SEARCH("MULTIFUNCIONAL",B1096)),
ISNUMBER(SEARCH("AIO",B1096))
),
"GANCHO",
"NORMAL"
)
)</f>
        <v>GANCHO</v>
      </c>
    </row>
    <row r="1095" spans="1:12" x14ac:dyDescent="0.25">
      <c r="A1095" s="3" t="s">
        <v>4653</v>
      </c>
      <c r="B1095" s="3" t="s">
        <v>4654</v>
      </c>
      <c r="C1095" s="1">
        <v>20</v>
      </c>
      <c r="D1095" s="1">
        <v>627</v>
      </c>
      <c r="E1095" s="1" t="s">
        <v>367</v>
      </c>
      <c r="F1095" s="1" t="s">
        <v>4655</v>
      </c>
      <c r="G1095" s="3" t="s">
        <v>4656</v>
      </c>
      <c r="H1095" s="11">
        <f>ROUND(
IF(L1093="GANCHO",
   IF(I1095&lt;=50,I1095*1.1+4,IF(I1095&lt;=120,I1095*1.1+7,IF(I1095&lt;=250,I1095*1.1+11,I1095*1.1+19))),
IF(L1093="NORMAL",
   IF(I1095&lt;=30,I1095*1.15+2,IF(I1095&lt;=80,I1095*1.15+4,IF(I1095&lt;=150,I1095*1.15+6,I1095*1.15+8))),
IF(L1093="COMPLEMENTO",
   IF(I1095&lt;=25,I1095*1.25+1.5,IF(I1095&lt;=60,I1095*1.25+3,IF(I1095&lt;=120,I1095*1.25+4,I1095*1.25+5))),
""))),2)</f>
        <v>2851.18</v>
      </c>
      <c r="I1095" s="9">
        <f>($K$2+0.02)*Tabla1[[#This Row],[PRECIO $]]*1.18</f>
        <v>2574.7127999999998</v>
      </c>
      <c r="J1095" s="7">
        <f>+Tabla1[[#This Row],[PRECIO EN SOLES]]-Tabla1[[#This Row],[PC]]</f>
        <v>276.46720000000005</v>
      </c>
      <c r="K1095" s="15"/>
      <c r="L1095" s="15" t="str">
        <f>IF(
OR(
ISNUMBER(SEARCH("BACKPACK",B1097)),
ISNUMBER(SEARCH("MOCHILA",B1097)),
ISNUMBER(SEARCH("FUNDA",B1097)),
ISNUMBER(SEARCH("ESTUCHE",B1097)),
ISNUMBER(SEARCH("BOOK COVER",B1097)),
ISNUMBER(SEARCH("KEYBOARD PARA TABLET",B1097)),
ISNUMBER(SEARCH("FLIP TABLET",B1097)),
ISNUMBER(SEARCH("CASE FOR TABLET",B1097)),
ISNUMBER(SEARCH("CABLE",B1097)),
ISNUMBER(SEARCH("ADAPTADOR",B1097)),
ISNUMBER(SEARCH("HUB",B1097)),
ISNUMBER(SEARCH("DOCK",B1097)),
ISNUMBER(SEARCH("MOUSE PAD",B1097)),
ISNUMBER(SEARCH("MOUSEPAD",B1097)),
ISNUMBER(SEARCH("SOPORTE",B1097)),
ISNUMBER(SEARCH("STAND",B1097)),
ISNUMBER(SEARCH("TRAVEL ADAPTER",B1097)),
ISNUMBER(SEARCH("RJ45",B1097)),
ISNUMBER(SEARCH("USB-C",B1097)),
ISNUMBER(SEARCH("USB WIFI",B1097)),
ISNUMBER(SEARCH("POWERBANK",B1097)),
ISNUMBER(SEARCH("CARGADOR",B1097)),
ISNUMBER(SEARCH("COOLER PARA NB",B1097)),
ISNUMBER(SEARCH("SOPORTE PARA NB",B1097)),
ISNUMBER(SEARCH("WEBCAM",B1097)),
ISNUMBER(SEARCH("WEB CAM",B1097)),
ISNUMBER(SEARCH("MOUSE",B1097)),
ISNUMBER(SEARCH("TECLADO",B1097))
),
"COMPLEMENTO",
IF(
OR(
LEFT(A1097,2)="NB",
LEFT(A1097,2)="PC",
LEFT(A1097,2)="WS",
LEFT(A1097,2)="TB",
LEFT(A1097,3)="CEL",
LEFT(A1097,3)="MON",
LEFT(A1097,3)="PRE",
LEFT(A1097,3)="PRH",
ISNUMBER(SEARCH("NOTEBOOK",B1097)),
ISNUMBER(SEARCH("LAPTOP",B1097)),
ISNUMBER(SEARCH("MONITOR",B1097)),
ISNUMBER(SEARCH("TABLET",B1097)),
ISNUMBER(SEARCH("SMARTPH",B1097)),
ISNUMBER(SEARCH("IMPRESORA",B1097)),
ISNUMBER(SEARCH("MULTIFUNCIONAL",B1097)),
ISNUMBER(SEARCH("AIO",B1097))
),
"GANCHO",
"NORMAL"
)
)</f>
        <v>GANCHO</v>
      </c>
    </row>
    <row r="1096" spans="1:12" x14ac:dyDescent="0.25">
      <c r="A1096" s="3" t="s">
        <v>402</v>
      </c>
      <c r="B1096" s="3" t="s">
        <v>403</v>
      </c>
      <c r="C1096" s="1">
        <v>20</v>
      </c>
      <c r="D1096" s="1">
        <v>647</v>
      </c>
      <c r="E1096" s="1" t="s">
        <v>56</v>
      </c>
      <c r="F1096" s="1" t="s">
        <v>3695</v>
      </c>
      <c r="G1096" s="3" t="s">
        <v>404</v>
      </c>
      <c r="H1096" s="11">
        <f>ROUND(
IF(L1094="GANCHO",
   IF(I1096&lt;=50,I1096*1.1+4,IF(I1096&lt;=120,I1096*1.1+7,IF(I1096&lt;=250,I1096*1.1+11,I1096*1.1+19))),
IF(L1094="NORMAL",
   IF(I1096&lt;=30,I1096*1.15+2,IF(I1096&lt;=80,I1096*1.15+4,IF(I1096&lt;=150,I1096*1.15+6,I1096*1.15+8))),
IF(L1094="COMPLEMENTO",
   IF(I1096&lt;=25,I1096*1.25+1.5,IF(I1096&lt;=60,I1096*1.25+3,IF(I1096&lt;=120,I1096*1.25+4,I1096*1.25+5))),
""))),2)</f>
        <v>2941.52</v>
      </c>
      <c r="I1096" s="9">
        <f>($K$2+0.02)*Tabla1[[#This Row],[PRECIO $]]*1.18</f>
        <v>2656.8407999999999</v>
      </c>
      <c r="J1096" s="7">
        <f>+Tabla1[[#This Row],[PRECIO EN SOLES]]-Tabla1[[#This Row],[PC]]</f>
        <v>284.67920000000004</v>
      </c>
      <c r="K1096" s="15"/>
      <c r="L1096" s="15" t="str">
        <f>IF(
OR(
ISNUMBER(SEARCH("BACKPACK",B1098)),
ISNUMBER(SEARCH("MOCHILA",B1098)),
ISNUMBER(SEARCH("FUNDA",B1098)),
ISNUMBER(SEARCH("ESTUCHE",B1098)),
ISNUMBER(SEARCH("BOOK COVER",B1098)),
ISNUMBER(SEARCH("KEYBOARD PARA TABLET",B1098)),
ISNUMBER(SEARCH("FLIP TABLET",B1098)),
ISNUMBER(SEARCH("CASE FOR TABLET",B1098)),
ISNUMBER(SEARCH("CABLE",B1098)),
ISNUMBER(SEARCH("ADAPTADOR",B1098)),
ISNUMBER(SEARCH("HUB",B1098)),
ISNUMBER(SEARCH("DOCK",B1098)),
ISNUMBER(SEARCH("MOUSE PAD",B1098)),
ISNUMBER(SEARCH("MOUSEPAD",B1098)),
ISNUMBER(SEARCH("SOPORTE",B1098)),
ISNUMBER(SEARCH("STAND",B1098)),
ISNUMBER(SEARCH("TRAVEL ADAPTER",B1098)),
ISNUMBER(SEARCH("RJ45",B1098)),
ISNUMBER(SEARCH("USB-C",B1098)),
ISNUMBER(SEARCH("USB WIFI",B1098)),
ISNUMBER(SEARCH("POWERBANK",B1098)),
ISNUMBER(SEARCH("CARGADOR",B1098)),
ISNUMBER(SEARCH("COOLER PARA NB",B1098)),
ISNUMBER(SEARCH("SOPORTE PARA NB",B1098)),
ISNUMBER(SEARCH("WEBCAM",B1098)),
ISNUMBER(SEARCH("WEB CAM",B1098)),
ISNUMBER(SEARCH("MOUSE",B1098)),
ISNUMBER(SEARCH("TECLADO",B1098))
),
"COMPLEMENTO",
IF(
OR(
LEFT(A1098,2)="NB",
LEFT(A1098,2)="PC",
LEFT(A1098,2)="WS",
LEFT(A1098,2)="TB",
LEFT(A1098,3)="CEL",
LEFT(A1098,3)="MON",
LEFT(A1098,3)="PRE",
LEFT(A1098,3)="PRH",
ISNUMBER(SEARCH("NOTEBOOK",B1098)),
ISNUMBER(SEARCH("LAPTOP",B1098)),
ISNUMBER(SEARCH("MONITOR",B1098)),
ISNUMBER(SEARCH("TABLET",B1098)),
ISNUMBER(SEARCH("SMARTPH",B1098)),
ISNUMBER(SEARCH("IMPRESORA",B1098)),
ISNUMBER(SEARCH("MULTIFUNCIONAL",B1098)),
ISNUMBER(SEARCH("AIO",B1098))
),
"GANCHO",
"NORMAL"
)
)</f>
        <v>GANCHO</v>
      </c>
    </row>
    <row r="1097" spans="1:12" x14ac:dyDescent="0.25">
      <c r="A1097" s="3" t="s">
        <v>1807</v>
      </c>
      <c r="B1097" s="3" t="s">
        <v>1808</v>
      </c>
      <c r="C1097" s="1">
        <v>20</v>
      </c>
      <c r="D1097" s="1">
        <v>931</v>
      </c>
      <c r="E1097" s="1" t="s">
        <v>276</v>
      </c>
      <c r="F1097" s="1" t="s">
        <v>3696</v>
      </c>
      <c r="G1097" s="3" t="s">
        <v>405</v>
      </c>
      <c r="H1097" s="11">
        <f>ROUND(
IF(L1095="GANCHO",
   IF(I1097&lt;=50,I1097*1.1+4,IF(I1097&lt;=120,I1097*1.1+7,IF(I1097&lt;=250,I1097*1.1+11,I1097*1.1+19))),
IF(L1095="NORMAL",
   IF(I1097&lt;=30,I1097*1.15+2,IF(I1097&lt;=80,I1097*1.15+4,IF(I1097&lt;=150,I1097*1.15+6,I1097*1.15+8))),
IF(L1095="COMPLEMENTO",
   IF(I1097&lt;=25,I1097*1.25+1.5,IF(I1097&lt;=60,I1097*1.25+3,IF(I1097&lt;=120,I1097*1.25+4,I1097*1.25+5))),
""))),2)</f>
        <v>4224.3599999999997</v>
      </c>
      <c r="I1097" s="9">
        <f>($K$2+0.02)*Tabla1[[#This Row],[PRECIO $]]*1.18</f>
        <v>3823.0583999999999</v>
      </c>
      <c r="J1097" s="7">
        <f>+Tabla1[[#This Row],[PRECIO EN SOLES]]-Tabla1[[#This Row],[PC]]</f>
        <v>401.30159999999978</v>
      </c>
      <c r="K1097" s="15"/>
      <c r="L1097" s="15" t="str">
        <f>IF(
OR(
ISNUMBER(SEARCH("BACKPACK",B1099)),
ISNUMBER(SEARCH("MOCHILA",B1099)),
ISNUMBER(SEARCH("FUNDA",B1099)),
ISNUMBER(SEARCH("ESTUCHE",B1099)),
ISNUMBER(SEARCH("BOOK COVER",B1099)),
ISNUMBER(SEARCH("KEYBOARD PARA TABLET",B1099)),
ISNUMBER(SEARCH("FLIP TABLET",B1099)),
ISNUMBER(SEARCH("CASE FOR TABLET",B1099)),
ISNUMBER(SEARCH("CABLE",B1099)),
ISNUMBER(SEARCH("ADAPTADOR",B1099)),
ISNUMBER(SEARCH("HUB",B1099)),
ISNUMBER(SEARCH("DOCK",B1099)),
ISNUMBER(SEARCH("MOUSE PAD",B1099)),
ISNUMBER(SEARCH("MOUSEPAD",B1099)),
ISNUMBER(SEARCH("SOPORTE",B1099)),
ISNUMBER(SEARCH("STAND",B1099)),
ISNUMBER(SEARCH("TRAVEL ADAPTER",B1099)),
ISNUMBER(SEARCH("RJ45",B1099)),
ISNUMBER(SEARCH("USB-C",B1099)),
ISNUMBER(SEARCH("USB WIFI",B1099)),
ISNUMBER(SEARCH("POWERBANK",B1099)),
ISNUMBER(SEARCH("CARGADOR",B1099)),
ISNUMBER(SEARCH("COOLER PARA NB",B1099)),
ISNUMBER(SEARCH("SOPORTE PARA NB",B1099)),
ISNUMBER(SEARCH("WEBCAM",B1099)),
ISNUMBER(SEARCH("WEB CAM",B1099)),
ISNUMBER(SEARCH("MOUSE",B1099)),
ISNUMBER(SEARCH("TECLADO",B1099))
),
"COMPLEMENTO",
IF(
OR(
LEFT(A1099,2)="NB",
LEFT(A1099,2)="PC",
LEFT(A1099,2)="WS",
LEFT(A1099,2)="TB",
LEFT(A1099,3)="CEL",
LEFT(A1099,3)="MON",
LEFT(A1099,3)="PRE",
LEFT(A1099,3)="PRH",
ISNUMBER(SEARCH("NOTEBOOK",B1099)),
ISNUMBER(SEARCH("LAPTOP",B1099)),
ISNUMBER(SEARCH("MONITOR",B1099)),
ISNUMBER(SEARCH("TABLET",B1099)),
ISNUMBER(SEARCH("SMARTPH",B1099)),
ISNUMBER(SEARCH("IMPRESORA",B1099)),
ISNUMBER(SEARCH("MULTIFUNCIONAL",B1099)),
ISNUMBER(SEARCH("AIO",B1099))
),
"GANCHO",
"NORMAL"
)
)</f>
        <v>GANCHO</v>
      </c>
    </row>
    <row r="1098" spans="1:12" x14ac:dyDescent="0.25">
      <c r="A1098" s="3" t="s">
        <v>1809</v>
      </c>
      <c r="B1098" s="3" t="s">
        <v>1810</v>
      </c>
      <c r="C1098" s="1">
        <v>20</v>
      </c>
      <c r="D1098" s="1">
        <v>695</v>
      </c>
      <c r="E1098" s="1" t="s">
        <v>276</v>
      </c>
      <c r="F1098" s="1" t="s">
        <v>3697</v>
      </c>
      <c r="G1098" s="3" t="s">
        <v>405</v>
      </c>
      <c r="H1098" s="11">
        <f>ROUND(
IF(L1096="GANCHO",
   IF(I1098&lt;=50,I1098*1.1+4,IF(I1098&lt;=120,I1098*1.1+7,IF(I1098&lt;=250,I1098*1.1+11,I1098*1.1+19))),
IF(L1096="NORMAL",
   IF(I1098&lt;=30,I1098*1.15+2,IF(I1098&lt;=80,I1098*1.15+4,IF(I1098&lt;=150,I1098*1.15+6,I1098*1.15+8))),
IF(L1096="COMPLEMENTO",
   IF(I1098&lt;=25,I1098*1.25+1.5,IF(I1098&lt;=60,I1098*1.25+3,IF(I1098&lt;=120,I1098*1.25+4,I1098*1.25+5))),
""))),2)</f>
        <v>3158.34</v>
      </c>
      <c r="I1098" s="9">
        <f>($K$2+0.02)*Tabla1[[#This Row],[PRECIO $]]*1.18</f>
        <v>2853.9479999999999</v>
      </c>
      <c r="J1098" s="7">
        <f>+Tabla1[[#This Row],[PRECIO EN SOLES]]-Tabla1[[#This Row],[PC]]</f>
        <v>304.39200000000028</v>
      </c>
      <c r="K1098" s="15"/>
      <c r="L1098" s="15" t="str">
        <f>IF(
OR(
ISNUMBER(SEARCH("BACKPACK",B1100)),
ISNUMBER(SEARCH("MOCHILA",B1100)),
ISNUMBER(SEARCH("FUNDA",B1100)),
ISNUMBER(SEARCH("ESTUCHE",B1100)),
ISNUMBER(SEARCH("BOOK COVER",B1100)),
ISNUMBER(SEARCH("KEYBOARD PARA TABLET",B1100)),
ISNUMBER(SEARCH("FLIP TABLET",B1100)),
ISNUMBER(SEARCH("CASE FOR TABLET",B1100)),
ISNUMBER(SEARCH("CABLE",B1100)),
ISNUMBER(SEARCH("ADAPTADOR",B1100)),
ISNUMBER(SEARCH("HUB",B1100)),
ISNUMBER(SEARCH("DOCK",B1100)),
ISNUMBER(SEARCH("MOUSE PAD",B1100)),
ISNUMBER(SEARCH("MOUSEPAD",B1100)),
ISNUMBER(SEARCH("SOPORTE",B1100)),
ISNUMBER(SEARCH("STAND",B1100)),
ISNUMBER(SEARCH("TRAVEL ADAPTER",B1100)),
ISNUMBER(SEARCH("RJ45",B1100)),
ISNUMBER(SEARCH("USB-C",B1100)),
ISNUMBER(SEARCH("USB WIFI",B1100)),
ISNUMBER(SEARCH("POWERBANK",B1100)),
ISNUMBER(SEARCH("CARGADOR",B1100)),
ISNUMBER(SEARCH("COOLER PARA NB",B1100)),
ISNUMBER(SEARCH("SOPORTE PARA NB",B1100)),
ISNUMBER(SEARCH("WEBCAM",B1100)),
ISNUMBER(SEARCH("WEB CAM",B1100)),
ISNUMBER(SEARCH("MOUSE",B1100)),
ISNUMBER(SEARCH("TECLADO",B1100))
),
"COMPLEMENTO",
IF(
OR(
LEFT(A1100,2)="NB",
LEFT(A1100,2)="PC",
LEFT(A1100,2)="WS",
LEFT(A1100,2)="TB",
LEFT(A1100,3)="CEL",
LEFT(A1100,3)="MON",
LEFT(A1100,3)="PRE",
LEFT(A1100,3)="PRH",
ISNUMBER(SEARCH("NOTEBOOK",B1100)),
ISNUMBER(SEARCH("LAPTOP",B1100)),
ISNUMBER(SEARCH("MONITOR",B1100)),
ISNUMBER(SEARCH("TABLET",B1100)),
ISNUMBER(SEARCH("SMARTPH",B1100)),
ISNUMBER(SEARCH("IMPRESORA",B1100)),
ISNUMBER(SEARCH("MULTIFUNCIONAL",B1100)),
ISNUMBER(SEARCH("AIO",B1100))
),
"GANCHO",
"NORMAL"
)
)</f>
        <v>GANCHO</v>
      </c>
    </row>
    <row r="1099" spans="1:12" x14ac:dyDescent="0.25">
      <c r="A1099" s="3" t="s">
        <v>1811</v>
      </c>
      <c r="B1099" s="3" t="s">
        <v>1812</v>
      </c>
      <c r="C1099" s="1">
        <v>20</v>
      </c>
      <c r="D1099" s="1">
        <v>654</v>
      </c>
      <c r="E1099" s="1" t="s">
        <v>276</v>
      </c>
      <c r="F1099" s="1" t="s">
        <v>3698</v>
      </c>
      <c r="G1099" s="3" t="s">
        <v>1813</v>
      </c>
      <c r="H1099" s="11">
        <f>ROUND(
IF(L1097="GANCHO",
   IF(I1099&lt;=50,I1099*1.1+4,IF(I1099&lt;=120,I1099*1.1+7,IF(I1099&lt;=250,I1099*1.1+11,I1099*1.1+19))),
IF(L1097="NORMAL",
   IF(I1099&lt;=30,I1099*1.15+2,IF(I1099&lt;=80,I1099*1.15+4,IF(I1099&lt;=150,I1099*1.15+6,I1099*1.15+8))),
IF(L1097="COMPLEMENTO",
   IF(I1099&lt;=25,I1099*1.25+1.5,IF(I1099&lt;=60,I1099*1.25+3,IF(I1099&lt;=120,I1099*1.25+4,I1099*1.25+5))),
""))),2)</f>
        <v>2973.14</v>
      </c>
      <c r="I1099" s="9">
        <f>($K$2+0.02)*Tabla1[[#This Row],[PRECIO $]]*1.18</f>
        <v>2685.5855999999999</v>
      </c>
      <c r="J1099" s="7">
        <f>+Tabla1[[#This Row],[PRECIO EN SOLES]]-Tabla1[[#This Row],[PC]]</f>
        <v>287.55439999999999</v>
      </c>
      <c r="K1099" s="15"/>
      <c r="L1099" s="15" t="str">
        <f>IF(
OR(
ISNUMBER(SEARCH("BACKPACK",B1101)),
ISNUMBER(SEARCH("MOCHILA",B1101)),
ISNUMBER(SEARCH("FUNDA",B1101)),
ISNUMBER(SEARCH("ESTUCHE",B1101)),
ISNUMBER(SEARCH("BOOK COVER",B1101)),
ISNUMBER(SEARCH("KEYBOARD PARA TABLET",B1101)),
ISNUMBER(SEARCH("FLIP TABLET",B1101)),
ISNUMBER(SEARCH("CASE FOR TABLET",B1101)),
ISNUMBER(SEARCH("CABLE",B1101)),
ISNUMBER(SEARCH("ADAPTADOR",B1101)),
ISNUMBER(SEARCH("HUB",B1101)),
ISNUMBER(SEARCH("DOCK",B1101)),
ISNUMBER(SEARCH("MOUSE PAD",B1101)),
ISNUMBER(SEARCH("MOUSEPAD",B1101)),
ISNUMBER(SEARCH("SOPORTE",B1101)),
ISNUMBER(SEARCH("STAND",B1101)),
ISNUMBER(SEARCH("TRAVEL ADAPTER",B1101)),
ISNUMBER(SEARCH("RJ45",B1101)),
ISNUMBER(SEARCH("USB-C",B1101)),
ISNUMBER(SEARCH("USB WIFI",B1101)),
ISNUMBER(SEARCH("POWERBANK",B1101)),
ISNUMBER(SEARCH("CARGADOR",B1101)),
ISNUMBER(SEARCH("COOLER PARA NB",B1101)),
ISNUMBER(SEARCH("SOPORTE PARA NB",B1101)),
ISNUMBER(SEARCH("WEBCAM",B1101)),
ISNUMBER(SEARCH("WEB CAM",B1101)),
ISNUMBER(SEARCH("MOUSE",B1101)),
ISNUMBER(SEARCH("TECLADO",B1101))
),
"COMPLEMENTO",
IF(
OR(
LEFT(A1101,2)="NB",
LEFT(A1101,2)="PC",
LEFT(A1101,2)="WS",
LEFT(A1101,2)="TB",
LEFT(A1101,3)="CEL",
LEFT(A1101,3)="MON",
LEFT(A1101,3)="PRE",
LEFT(A1101,3)="PRH",
ISNUMBER(SEARCH("NOTEBOOK",B1101)),
ISNUMBER(SEARCH("LAPTOP",B1101)),
ISNUMBER(SEARCH("MONITOR",B1101)),
ISNUMBER(SEARCH("TABLET",B1101)),
ISNUMBER(SEARCH("SMARTPH",B1101)),
ISNUMBER(SEARCH("IMPRESORA",B1101)),
ISNUMBER(SEARCH("MULTIFUNCIONAL",B1101)),
ISNUMBER(SEARCH("AIO",B1101))
),
"GANCHO",
"NORMAL"
)
)</f>
        <v>GANCHO</v>
      </c>
    </row>
    <row r="1100" spans="1:12" x14ac:dyDescent="0.25">
      <c r="A1100" s="3" t="s">
        <v>406</v>
      </c>
      <c r="B1100" s="3" t="s">
        <v>407</v>
      </c>
      <c r="C1100" s="1">
        <v>20</v>
      </c>
      <c r="D1100" s="1">
        <v>662</v>
      </c>
      <c r="E1100" s="1" t="s">
        <v>276</v>
      </c>
      <c r="F1100" s="1" t="s">
        <v>3699</v>
      </c>
      <c r="G1100" s="3" t="s">
        <v>405</v>
      </c>
      <c r="H1100" s="11">
        <f>ROUND(
IF(L1098="GANCHO",
   IF(I1100&lt;=50,I1100*1.1+4,IF(I1100&lt;=120,I1100*1.1+7,IF(I1100&lt;=250,I1100*1.1+11,I1100*1.1+19))),
IF(L1098="NORMAL",
   IF(I1100&lt;=30,I1100*1.15+2,IF(I1100&lt;=80,I1100*1.15+4,IF(I1100&lt;=150,I1100*1.15+6,I1100*1.15+8))),
IF(L1098="COMPLEMENTO",
   IF(I1100&lt;=25,I1100*1.25+1.5,IF(I1100&lt;=60,I1100*1.25+3,IF(I1100&lt;=120,I1100*1.25+4,I1100*1.25+5))),
""))),2)</f>
        <v>3009.28</v>
      </c>
      <c r="I1100" s="9">
        <f>($K$2+0.02)*Tabla1[[#This Row],[PRECIO $]]*1.18</f>
        <v>2718.4367999999995</v>
      </c>
      <c r="J1100" s="7">
        <f>+Tabla1[[#This Row],[PRECIO EN SOLES]]-Tabla1[[#This Row],[PC]]</f>
        <v>290.84320000000071</v>
      </c>
      <c r="K1100" s="15"/>
      <c r="L1100" s="15" t="str">
        <f>IF(
OR(
ISNUMBER(SEARCH("BACKPACK",B1102)),
ISNUMBER(SEARCH("MOCHILA",B1102)),
ISNUMBER(SEARCH("FUNDA",B1102)),
ISNUMBER(SEARCH("ESTUCHE",B1102)),
ISNUMBER(SEARCH("BOOK COVER",B1102)),
ISNUMBER(SEARCH("KEYBOARD PARA TABLET",B1102)),
ISNUMBER(SEARCH("FLIP TABLET",B1102)),
ISNUMBER(SEARCH("CASE FOR TABLET",B1102)),
ISNUMBER(SEARCH("CABLE",B1102)),
ISNUMBER(SEARCH("ADAPTADOR",B1102)),
ISNUMBER(SEARCH("HUB",B1102)),
ISNUMBER(SEARCH("DOCK",B1102)),
ISNUMBER(SEARCH("MOUSE PAD",B1102)),
ISNUMBER(SEARCH("MOUSEPAD",B1102)),
ISNUMBER(SEARCH("SOPORTE",B1102)),
ISNUMBER(SEARCH("STAND",B1102)),
ISNUMBER(SEARCH("TRAVEL ADAPTER",B1102)),
ISNUMBER(SEARCH("RJ45",B1102)),
ISNUMBER(SEARCH("USB-C",B1102)),
ISNUMBER(SEARCH("USB WIFI",B1102)),
ISNUMBER(SEARCH("POWERBANK",B1102)),
ISNUMBER(SEARCH("CARGADOR",B1102)),
ISNUMBER(SEARCH("COOLER PARA NB",B1102)),
ISNUMBER(SEARCH("SOPORTE PARA NB",B1102)),
ISNUMBER(SEARCH("WEBCAM",B1102)),
ISNUMBER(SEARCH("WEB CAM",B1102)),
ISNUMBER(SEARCH("MOUSE",B1102)),
ISNUMBER(SEARCH("TECLADO",B1102))
),
"COMPLEMENTO",
IF(
OR(
LEFT(A1102,2)="NB",
LEFT(A1102,2)="PC",
LEFT(A1102,2)="WS",
LEFT(A1102,2)="TB",
LEFT(A1102,3)="CEL",
LEFT(A1102,3)="MON",
LEFT(A1102,3)="PRE",
LEFT(A1102,3)="PRH",
ISNUMBER(SEARCH("NOTEBOOK",B1102)),
ISNUMBER(SEARCH("LAPTOP",B1102)),
ISNUMBER(SEARCH("MONITOR",B1102)),
ISNUMBER(SEARCH("TABLET",B1102)),
ISNUMBER(SEARCH("SMARTPH",B1102)),
ISNUMBER(SEARCH("IMPRESORA",B1102)),
ISNUMBER(SEARCH("MULTIFUNCIONAL",B1102)),
ISNUMBER(SEARCH("AIO",B1102))
),
"GANCHO",
"NORMAL"
)
)</f>
        <v>GANCHO</v>
      </c>
    </row>
    <row r="1101" spans="1:12" x14ac:dyDescent="0.25">
      <c r="A1101" s="3" t="s">
        <v>6850</v>
      </c>
      <c r="B1101" s="3" t="s">
        <v>6851</v>
      </c>
      <c r="C1101" s="1">
        <v>0</v>
      </c>
      <c r="D1101" s="1">
        <v>690</v>
      </c>
      <c r="E1101" s="1" t="s">
        <v>74</v>
      </c>
      <c r="F1101" s="1" t="s">
        <v>6852</v>
      </c>
      <c r="G1101" s="3" t="s">
        <v>6853</v>
      </c>
      <c r="H1101" s="11">
        <f>ROUND(
IF(L1099="GANCHO",
   IF(I1101&lt;=50,I1101*1.1+4,IF(I1101&lt;=120,I1101*1.1+7,IF(I1101&lt;=250,I1101*1.1+11,I1101*1.1+19))),
IF(L1099="NORMAL",
   IF(I1101&lt;=30,I1101*1.15+2,IF(I1101&lt;=80,I1101*1.15+4,IF(I1101&lt;=150,I1101*1.15+6,I1101*1.15+8))),
IF(L1099="COMPLEMENTO",
   IF(I1101&lt;=25,I1101*1.25+1.5,IF(I1101&lt;=60,I1101*1.25+3,IF(I1101&lt;=120,I1101*1.25+4,I1101*1.25+5))),
""))),2)</f>
        <v>3135.76</v>
      </c>
      <c r="I1101" s="9">
        <f>($K$2+0.02)*Tabla1[[#This Row],[PRECIO $]]*1.18</f>
        <v>2833.4159999999997</v>
      </c>
      <c r="J1101" s="7">
        <f>+Tabla1[[#This Row],[PRECIO EN SOLES]]-Tabla1[[#This Row],[PC]]</f>
        <v>302.34400000000051</v>
      </c>
      <c r="K1101" s="15"/>
      <c r="L1101" s="15" t="str">
        <f>IF(
OR(
ISNUMBER(SEARCH("BACKPACK",B1103)),
ISNUMBER(SEARCH("MOCHILA",B1103)),
ISNUMBER(SEARCH("FUNDA",B1103)),
ISNUMBER(SEARCH("ESTUCHE",B1103)),
ISNUMBER(SEARCH("BOOK COVER",B1103)),
ISNUMBER(SEARCH("KEYBOARD PARA TABLET",B1103)),
ISNUMBER(SEARCH("FLIP TABLET",B1103)),
ISNUMBER(SEARCH("CASE FOR TABLET",B1103)),
ISNUMBER(SEARCH("CABLE",B1103)),
ISNUMBER(SEARCH("ADAPTADOR",B1103)),
ISNUMBER(SEARCH("HUB",B1103)),
ISNUMBER(SEARCH("DOCK",B1103)),
ISNUMBER(SEARCH("MOUSE PAD",B1103)),
ISNUMBER(SEARCH("MOUSEPAD",B1103)),
ISNUMBER(SEARCH("SOPORTE",B1103)),
ISNUMBER(SEARCH("STAND",B1103)),
ISNUMBER(SEARCH("TRAVEL ADAPTER",B1103)),
ISNUMBER(SEARCH("RJ45",B1103)),
ISNUMBER(SEARCH("USB-C",B1103)),
ISNUMBER(SEARCH("USB WIFI",B1103)),
ISNUMBER(SEARCH("POWERBANK",B1103)),
ISNUMBER(SEARCH("CARGADOR",B1103)),
ISNUMBER(SEARCH("COOLER PARA NB",B1103)),
ISNUMBER(SEARCH("SOPORTE PARA NB",B1103)),
ISNUMBER(SEARCH("WEBCAM",B1103)),
ISNUMBER(SEARCH("WEB CAM",B1103)),
ISNUMBER(SEARCH("MOUSE",B1103)),
ISNUMBER(SEARCH("TECLADO",B1103))
),
"COMPLEMENTO",
IF(
OR(
LEFT(A1103,2)="NB",
LEFT(A1103,2)="PC",
LEFT(A1103,2)="WS",
LEFT(A1103,2)="TB",
LEFT(A1103,3)="CEL",
LEFT(A1103,3)="MON",
LEFT(A1103,3)="PRE",
LEFT(A1103,3)="PRH",
ISNUMBER(SEARCH("NOTEBOOK",B1103)),
ISNUMBER(SEARCH("LAPTOP",B1103)),
ISNUMBER(SEARCH("MONITOR",B1103)),
ISNUMBER(SEARCH("TABLET",B1103)),
ISNUMBER(SEARCH("SMARTPH",B1103)),
ISNUMBER(SEARCH("IMPRESORA",B1103)),
ISNUMBER(SEARCH("MULTIFUNCIONAL",B1103)),
ISNUMBER(SEARCH("AIO",B1103))
),
"GANCHO",
"NORMAL"
)
)</f>
        <v>GANCHO</v>
      </c>
    </row>
    <row r="1102" spans="1:12" x14ac:dyDescent="0.25">
      <c r="A1102" s="3" t="s">
        <v>4657</v>
      </c>
      <c r="B1102" s="3" t="s">
        <v>4658</v>
      </c>
      <c r="C1102" s="1">
        <v>20</v>
      </c>
      <c r="D1102" s="1">
        <v>639</v>
      </c>
      <c r="E1102" s="1" t="s">
        <v>74</v>
      </c>
      <c r="F1102" s="1" t="s">
        <v>4659</v>
      </c>
      <c r="G1102" s="3" t="s">
        <v>6355</v>
      </c>
      <c r="H1102" s="11">
        <f>ROUND(
IF(L1100="GANCHO",
   IF(I1102&lt;=50,I1102*1.1+4,IF(I1102&lt;=120,I1102*1.1+7,IF(I1102&lt;=250,I1102*1.1+11,I1102*1.1+19))),
IF(L1100="NORMAL",
   IF(I1102&lt;=30,I1102*1.15+2,IF(I1102&lt;=80,I1102*1.15+4,IF(I1102&lt;=150,I1102*1.15+6,I1102*1.15+8))),
IF(L1100="COMPLEMENTO",
   IF(I1102&lt;=25,I1102*1.25+1.5,IF(I1102&lt;=60,I1102*1.25+3,IF(I1102&lt;=120,I1102*1.25+4,I1102*1.25+5))),
""))),2)</f>
        <v>2905.39</v>
      </c>
      <c r="I1102" s="9">
        <f>($K$2+0.02)*Tabla1[[#This Row],[PRECIO $]]*1.18</f>
        <v>2623.9895999999994</v>
      </c>
      <c r="J1102" s="7">
        <f>+Tabla1[[#This Row],[PRECIO EN SOLES]]-Tabla1[[#This Row],[PC]]</f>
        <v>281.40040000000045</v>
      </c>
      <c r="K1102" s="15"/>
      <c r="L1102" s="15" t="str">
        <f>IF(
OR(
ISNUMBER(SEARCH("BACKPACK",B1104)),
ISNUMBER(SEARCH("MOCHILA",B1104)),
ISNUMBER(SEARCH("FUNDA",B1104)),
ISNUMBER(SEARCH("ESTUCHE",B1104)),
ISNUMBER(SEARCH("BOOK COVER",B1104)),
ISNUMBER(SEARCH("KEYBOARD PARA TABLET",B1104)),
ISNUMBER(SEARCH("FLIP TABLET",B1104)),
ISNUMBER(SEARCH("CASE FOR TABLET",B1104)),
ISNUMBER(SEARCH("CABLE",B1104)),
ISNUMBER(SEARCH("ADAPTADOR",B1104)),
ISNUMBER(SEARCH("HUB",B1104)),
ISNUMBER(SEARCH("DOCK",B1104)),
ISNUMBER(SEARCH("MOUSE PAD",B1104)),
ISNUMBER(SEARCH("MOUSEPAD",B1104)),
ISNUMBER(SEARCH("SOPORTE",B1104)),
ISNUMBER(SEARCH("STAND",B1104)),
ISNUMBER(SEARCH("TRAVEL ADAPTER",B1104)),
ISNUMBER(SEARCH("RJ45",B1104)),
ISNUMBER(SEARCH("USB-C",B1104)),
ISNUMBER(SEARCH("USB WIFI",B1104)),
ISNUMBER(SEARCH("POWERBANK",B1104)),
ISNUMBER(SEARCH("CARGADOR",B1104)),
ISNUMBER(SEARCH("COOLER PARA NB",B1104)),
ISNUMBER(SEARCH("SOPORTE PARA NB",B1104)),
ISNUMBER(SEARCH("WEBCAM",B1104)),
ISNUMBER(SEARCH("WEB CAM",B1104)),
ISNUMBER(SEARCH("MOUSE",B1104)),
ISNUMBER(SEARCH("TECLADO",B1104))
),
"COMPLEMENTO",
IF(
OR(
LEFT(A1104,2)="NB",
LEFT(A1104,2)="PC",
LEFT(A1104,2)="WS",
LEFT(A1104,2)="TB",
LEFT(A1104,3)="CEL",
LEFT(A1104,3)="MON",
LEFT(A1104,3)="PRE",
LEFT(A1104,3)="PRH",
ISNUMBER(SEARCH("NOTEBOOK",B1104)),
ISNUMBER(SEARCH("LAPTOP",B1104)),
ISNUMBER(SEARCH("MONITOR",B1104)),
ISNUMBER(SEARCH("TABLET",B1104)),
ISNUMBER(SEARCH("SMARTPH",B1104)),
ISNUMBER(SEARCH("IMPRESORA",B1104)),
ISNUMBER(SEARCH("MULTIFUNCIONAL",B1104)),
ISNUMBER(SEARCH("AIO",B1104))
),
"GANCHO",
"NORMAL"
)
)</f>
        <v>GANCHO</v>
      </c>
    </row>
    <row r="1103" spans="1:12" x14ac:dyDescent="0.25">
      <c r="A1103" s="3" t="s">
        <v>1814</v>
      </c>
      <c r="B1103" s="3" t="s">
        <v>1815</v>
      </c>
      <c r="C1103" s="1">
        <v>20</v>
      </c>
      <c r="D1103" s="1">
        <v>1355</v>
      </c>
      <c r="E1103" s="1" t="s">
        <v>837</v>
      </c>
      <c r="F1103" s="1" t="s">
        <v>3700</v>
      </c>
      <c r="G1103" s="3" t="s">
        <v>1816</v>
      </c>
      <c r="H1103" s="11">
        <f>ROUND(
IF(L1101="GANCHO",
   IF(I1103&lt;=50,I1103*1.1+4,IF(I1103&lt;=120,I1103*1.1+7,IF(I1103&lt;=250,I1103*1.1+11,I1103*1.1+19))),
IF(L1101="NORMAL",
   IF(I1103&lt;=30,I1103*1.15+2,IF(I1103&lt;=80,I1103*1.15+4,IF(I1103&lt;=150,I1103*1.15+6,I1103*1.15+8))),
IF(L1101="COMPLEMENTO",
   IF(I1103&lt;=25,I1103*1.25+1.5,IF(I1103&lt;=60,I1103*1.25+3,IF(I1103&lt;=120,I1103*1.25+4,I1103*1.25+5))),
""))),2)</f>
        <v>6139.59</v>
      </c>
      <c r="I1103" s="9">
        <f>($K$2+0.02)*Tabla1[[#This Row],[PRECIO $]]*1.18</f>
        <v>5564.1719999999996</v>
      </c>
      <c r="J1103" s="7">
        <f>+Tabla1[[#This Row],[PRECIO EN SOLES]]-Tabla1[[#This Row],[PC]]</f>
        <v>575.41800000000057</v>
      </c>
      <c r="K1103" s="15"/>
      <c r="L1103" s="15" t="str">
        <f>IF(
OR(
ISNUMBER(SEARCH("BACKPACK",B1105)),
ISNUMBER(SEARCH("MOCHILA",B1105)),
ISNUMBER(SEARCH("FUNDA",B1105)),
ISNUMBER(SEARCH("ESTUCHE",B1105)),
ISNUMBER(SEARCH("BOOK COVER",B1105)),
ISNUMBER(SEARCH("KEYBOARD PARA TABLET",B1105)),
ISNUMBER(SEARCH("FLIP TABLET",B1105)),
ISNUMBER(SEARCH("CASE FOR TABLET",B1105)),
ISNUMBER(SEARCH("CABLE",B1105)),
ISNUMBER(SEARCH("ADAPTADOR",B1105)),
ISNUMBER(SEARCH("HUB",B1105)),
ISNUMBER(SEARCH("DOCK",B1105)),
ISNUMBER(SEARCH("MOUSE PAD",B1105)),
ISNUMBER(SEARCH("MOUSEPAD",B1105)),
ISNUMBER(SEARCH("SOPORTE",B1105)),
ISNUMBER(SEARCH("STAND",B1105)),
ISNUMBER(SEARCH("TRAVEL ADAPTER",B1105)),
ISNUMBER(SEARCH("RJ45",B1105)),
ISNUMBER(SEARCH("USB-C",B1105)),
ISNUMBER(SEARCH("USB WIFI",B1105)),
ISNUMBER(SEARCH("POWERBANK",B1105)),
ISNUMBER(SEARCH("CARGADOR",B1105)),
ISNUMBER(SEARCH("COOLER PARA NB",B1105)),
ISNUMBER(SEARCH("SOPORTE PARA NB",B1105)),
ISNUMBER(SEARCH("WEBCAM",B1105)),
ISNUMBER(SEARCH("WEB CAM",B1105)),
ISNUMBER(SEARCH("MOUSE",B1105)),
ISNUMBER(SEARCH("TECLADO",B1105))
),
"COMPLEMENTO",
IF(
OR(
LEFT(A1105,2)="NB",
LEFT(A1105,2)="PC",
LEFT(A1105,2)="WS",
LEFT(A1105,2)="TB",
LEFT(A1105,3)="CEL",
LEFT(A1105,3)="MON",
LEFT(A1105,3)="PRE",
LEFT(A1105,3)="PRH",
ISNUMBER(SEARCH("NOTEBOOK",B1105)),
ISNUMBER(SEARCH("LAPTOP",B1105)),
ISNUMBER(SEARCH("MONITOR",B1105)),
ISNUMBER(SEARCH("TABLET",B1105)),
ISNUMBER(SEARCH("SMARTPH",B1105)),
ISNUMBER(SEARCH("IMPRESORA",B1105)),
ISNUMBER(SEARCH("MULTIFUNCIONAL",B1105)),
ISNUMBER(SEARCH("AIO",B1105))
),
"GANCHO",
"NORMAL"
)
)</f>
        <v>GANCHO</v>
      </c>
    </row>
    <row r="1104" spans="1:12" x14ac:dyDescent="0.25">
      <c r="A1104" s="3" t="s">
        <v>1817</v>
      </c>
      <c r="B1104" s="3" t="s">
        <v>1818</v>
      </c>
      <c r="C1104" s="1">
        <v>20</v>
      </c>
      <c r="D1104" s="1">
        <v>1149</v>
      </c>
      <c r="E1104" s="1" t="s">
        <v>837</v>
      </c>
      <c r="F1104" s="1" t="s">
        <v>3701</v>
      </c>
      <c r="G1104" s="3" t="s">
        <v>1819</v>
      </c>
      <c r="H1104" s="11">
        <f>ROUND(
IF(L1102="GANCHO",
   IF(I1104&lt;=50,I1104*1.1+4,IF(I1104&lt;=120,I1104*1.1+7,IF(I1104&lt;=250,I1104*1.1+11,I1104*1.1+19))),
IF(L1102="NORMAL",
   IF(I1104&lt;=30,I1104*1.15+2,IF(I1104&lt;=80,I1104*1.15+4,IF(I1104&lt;=150,I1104*1.15+6,I1104*1.15+8))),
IF(L1102="COMPLEMENTO",
   IF(I1104&lt;=25,I1104*1.25+1.5,IF(I1104&lt;=60,I1104*1.25+3,IF(I1104&lt;=120,I1104*1.25+4,I1104*1.25+5))),
""))),2)</f>
        <v>5209.08</v>
      </c>
      <c r="I1104" s="9">
        <f>($K$2+0.02)*Tabla1[[#This Row],[PRECIO $]]*1.18</f>
        <v>4718.2536</v>
      </c>
      <c r="J1104" s="7">
        <f>+Tabla1[[#This Row],[PRECIO EN SOLES]]-Tabla1[[#This Row],[PC]]</f>
        <v>490.82639999999992</v>
      </c>
      <c r="K1104" s="15"/>
      <c r="L1104" s="15" t="str">
        <f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5" spans="1:12" x14ac:dyDescent="0.25">
      <c r="A1105" s="3" t="s">
        <v>1820</v>
      </c>
      <c r="B1105" s="3" t="s">
        <v>1821</v>
      </c>
      <c r="C1105" s="1">
        <v>1</v>
      </c>
      <c r="D1105" s="1">
        <v>1647</v>
      </c>
      <c r="E1105" s="1" t="s">
        <v>837</v>
      </c>
      <c r="F1105" s="1" t="s">
        <v>3702</v>
      </c>
      <c r="G1105" s="3" t="s">
        <v>1822</v>
      </c>
      <c r="H1105" s="11">
        <f>ROUND(
IF(L1103="GANCHO",
   IF(I1105&lt;=50,I1105*1.1+4,IF(I1105&lt;=120,I1105*1.1+7,IF(I1105&lt;=250,I1105*1.1+11,I1105*1.1+19))),
IF(L1103="NORMAL",
   IF(I1105&lt;=30,I1105*1.15+2,IF(I1105&lt;=80,I1105*1.15+4,IF(I1105&lt;=150,I1105*1.15+6,I1105*1.15+8))),
IF(L1103="COMPLEMENTO",
   IF(I1105&lt;=25,I1105*1.25+1.5,IF(I1105&lt;=60,I1105*1.25+3,IF(I1105&lt;=120,I1105*1.25+4,I1105*1.25+5))),
""))),2)</f>
        <v>7458.56</v>
      </c>
      <c r="I1105" s="9">
        <f>($K$2+0.02)*Tabla1[[#This Row],[PRECIO $]]*1.18</f>
        <v>6763.2408000000005</v>
      </c>
      <c r="J1105" s="7">
        <f>+Tabla1[[#This Row],[PRECIO EN SOLES]]-Tabla1[[#This Row],[PC]]</f>
        <v>695.31919999999991</v>
      </c>
      <c r="K1105" s="15"/>
      <c r="L1105" s="15" t="str">
        <f>IF(
OR(
ISNUMBER(SEARCH("BACKPACK",B1107)),
ISNUMBER(SEARCH("MOCHILA",B1107)),
ISNUMBER(SEARCH("FUNDA",B1107)),
ISNUMBER(SEARCH("ESTUCHE",B1107)),
ISNUMBER(SEARCH("BOOK COVER",B1107)),
ISNUMBER(SEARCH("KEYBOARD PARA TABLET",B1107)),
ISNUMBER(SEARCH("FLIP TABLET",B1107)),
ISNUMBER(SEARCH("CASE FOR TABLET",B1107)),
ISNUMBER(SEARCH("CABLE",B1107)),
ISNUMBER(SEARCH("ADAPTADOR",B1107)),
ISNUMBER(SEARCH("HUB",B1107)),
ISNUMBER(SEARCH("DOCK",B1107)),
ISNUMBER(SEARCH("MOUSE PAD",B1107)),
ISNUMBER(SEARCH("MOUSEPAD",B1107)),
ISNUMBER(SEARCH("SOPORTE",B1107)),
ISNUMBER(SEARCH("STAND",B1107)),
ISNUMBER(SEARCH("TRAVEL ADAPTER",B1107)),
ISNUMBER(SEARCH("RJ45",B1107)),
ISNUMBER(SEARCH("USB-C",B1107)),
ISNUMBER(SEARCH("USB WIFI",B1107)),
ISNUMBER(SEARCH("POWERBANK",B1107)),
ISNUMBER(SEARCH("CARGADOR",B1107)),
ISNUMBER(SEARCH("COOLER PARA NB",B1107)),
ISNUMBER(SEARCH("SOPORTE PARA NB",B1107)),
ISNUMBER(SEARCH("WEBCAM",B1107)),
ISNUMBER(SEARCH("WEB CAM",B1107)),
ISNUMBER(SEARCH("MOUSE",B1107)),
ISNUMBER(SEARCH("TECLADO",B1107))
),
"COMPLEMENTO",
IF(
OR(
LEFT(A1107,2)="NB",
LEFT(A1107,2)="PC",
LEFT(A1107,2)="WS",
LEFT(A1107,2)="TB",
LEFT(A1107,3)="CEL",
LEFT(A1107,3)="MON",
LEFT(A1107,3)="PRE",
LEFT(A1107,3)="PRH",
ISNUMBER(SEARCH("NOTEBOOK",B1107)),
ISNUMBER(SEARCH("LAPTOP",B1107)),
ISNUMBER(SEARCH("MONITOR",B1107)),
ISNUMBER(SEARCH("TABLET",B1107)),
ISNUMBER(SEARCH("SMARTPH",B1107)),
ISNUMBER(SEARCH("IMPRESORA",B1107)),
ISNUMBER(SEARCH("MULTIFUNCIONAL",B1107)),
ISNUMBER(SEARCH("AIO",B1107))
),
"GANCHO",
"NORMAL"
)
)</f>
        <v>GANCHO</v>
      </c>
    </row>
    <row r="1106" spans="1:12" x14ac:dyDescent="0.25">
      <c r="A1106" s="3" t="s">
        <v>1823</v>
      </c>
      <c r="B1106" s="3" t="s">
        <v>1824</v>
      </c>
      <c r="C1106" s="1">
        <v>20</v>
      </c>
      <c r="D1106" s="1">
        <v>1385</v>
      </c>
      <c r="E1106" s="1" t="s">
        <v>837</v>
      </c>
      <c r="F1106" s="1" t="s">
        <v>3703</v>
      </c>
      <c r="G1106" s="3"/>
      <c r="H1106" s="11">
        <f>ROUND(
IF(L1104="GANCHO",
   IF(I1106&lt;=50,I1106*1.1+4,IF(I1106&lt;=120,I1106*1.1+7,IF(I1106&lt;=250,I1106*1.1+11,I1106*1.1+19))),
IF(L1104="NORMAL",
   IF(I1106&lt;=30,I1106*1.15+2,IF(I1106&lt;=80,I1106*1.15+4,IF(I1106&lt;=150,I1106*1.15+6,I1106*1.15+8))),
IF(L1104="COMPLEMENTO",
   IF(I1106&lt;=25,I1106*1.25+1.5,IF(I1106&lt;=60,I1106*1.25+3,IF(I1106&lt;=120,I1106*1.25+4,I1106*1.25+5))),
""))),2)</f>
        <v>6275.1</v>
      </c>
      <c r="I1106" s="9">
        <f>($K$2+0.02)*Tabla1[[#This Row],[PRECIO $]]*1.18</f>
        <v>5687.3639999999996</v>
      </c>
      <c r="J1106" s="7">
        <f>+Tabla1[[#This Row],[PRECIO EN SOLES]]-Tabla1[[#This Row],[PC]]</f>
        <v>587.73600000000079</v>
      </c>
      <c r="K1106" s="15"/>
      <c r="L1106" s="15" t="str">
        <f>IF(
OR(
ISNUMBER(SEARCH("BACKPACK",B1108)),
ISNUMBER(SEARCH("MOCHILA",B1108)),
ISNUMBER(SEARCH("FUNDA",B1108)),
ISNUMBER(SEARCH("ESTUCHE",B1108)),
ISNUMBER(SEARCH("BOOK COVER",B1108)),
ISNUMBER(SEARCH("KEYBOARD PARA TABLET",B1108)),
ISNUMBER(SEARCH("FLIP TABLET",B1108)),
ISNUMBER(SEARCH("CASE FOR TABLET",B1108)),
ISNUMBER(SEARCH("CABLE",B1108)),
ISNUMBER(SEARCH("ADAPTADOR",B1108)),
ISNUMBER(SEARCH("HUB",B1108)),
ISNUMBER(SEARCH("DOCK",B1108)),
ISNUMBER(SEARCH("MOUSE PAD",B1108)),
ISNUMBER(SEARCH("MOUSEPAD",B1108)),
ISNUMBER(SEARCH("SOPORTE",B1108)),
ISNUMBER(SEARCH("STAND",B1108)),
ISNUMBER(SEARCH("TRAVEL ADAPTER",B1108)),
ISNUMBER(SEARCH("RJ45",B1108)),
ISNUMBER(SEARCH("USB-C",B1108)),
ISNUMBER(SEARCH("USB WIFI",B1108)),
ISNUMBER(SEARCH("POWERBANK",B1108)),
ISNUMBER(SEARCH("CARGADOR",B1108)),
ISNUMBER(SEARCH("COOLER PARA NB",B1108)),
ISNUMBER(SEARCH("SOPORTE PARA NB",B1108)),
ISNUMBER(SEARCH("WEBCAM",B1108)),
ISNUMBER(SEARCH("WEB CAM",B1108)),
ISNUMBER(SEARCH("MOUSE",B1108)),
ISNUMBER(SEARCH("TECLADO",B1108))
),
"COMPLEMENTO",
IF(
OR(
LEFT(A1108,2)="NB",
LEFT(A1108,2)="PC",
LEFT(A1108,2)="WS",
LEFT(A1108,2)="TB",
LEFT(A1108,3)="CEL",
LEFT(A1108,3)="MON",
LEFT(A1108,3)="PRE",
LEFT(A1108,3)="PRH",
ISNUMBER(SEARCH("NOTEBOOK",B1108)),
ISNUMBER(SEARCH("LAPTOP",B1108)),
ISNUMBER(SEARCH("MONITOR",B1108)),
ISNUMBER(SEARCH("TABLET",B1108)),
ISNUMBER(SEARCH("SMARTPH",B1108)),
ISNUMBER(SEARCH("IMPRESORA",B1108)),
ISNUMBER(SEARCH("MULTIFUNCIONAL",B1108)),
ISNUMBER(SEARCH("AIO",B1108))
),
"GANCHO",
"NORMAL"
)
)</f>
        <v>GANCHO</v>
      </c>
    </row>
    <row r="1107" spans="1:12" x14ac:dyDescent="0.25">
      <c r="A1107" s="3" t="s">
        <v>1825</v>
      </c>
      <c r="B1107" s="3" t="s">
        <v>1826</v>
      </c>
      <c r="C1107" s="1">
        <v>20</v>
      </c>
      <c r="D1107" s="1">
        <v>1437</v>
      </c>
      <c r="E1107" s="1" t="s">
        <v>837</v>
      </c>
      <c r="F1107" s="1" t="s">
        <v>3704</v>
      </c>
      <c r="G1107" s="3"/>
      <c r="H1107" s="11">
        <f>ROUND(
IF(L1105="GANCHO",
   IF(I1107&lt;=50,I1107*1.1+4,IF(I1107&lt;=120,I1107*1.1+7,IF(I1107&lt;=250,I1107*1.1+11,I1107*1.1+19))),
IF(L1105="NORMAL",
   IF(I1107&lt;=30,I1107*1.15+2,IF(I1107&lt;=80,I1107*1.15+4,IF(I1107&lt;=150,I1107*1.15+6,I1107*1.15+8))),
IF(L1105="COMPLEMENTO",
   IF(I1107&lt;=25,I1107*1.25+1.5,IF(I1107&lt;=60,I1107*1.25+3,IF(I1107&lt;=120,I1107*1.25+4,I1107*1.25+5))),
""))),2)</f>
        <v>6509.99</v>
      </c>
      <c r="I1107" s="9">
        <f>($K$2+0.02)*Tabla1[[#This Row],[PRECIO $]]*1.18</f>
        <v>5900.8967999999995</v>
      </c>
      <c r="J1107" s="7">
        <f>+Tabla1[[#This Row],[PRECIO EN SOLES]]-Tabla1[[#This Row],[PC]]</f>
        <v>609.09320000000025</v>
      </c>
      <c r="K1107" s="15"/>
      <c r="L1107" s="15" t="str">
        <f>IF(
OR(
ISNUMBER(SEARCH("BACKPACK",B1109)),
ISNUMBER(SEARCH("MOCHILA",B1109)),
ISNUMBER(SEARCH("FUNDA",B1109)),
ISNUMBER(SEARCH("ESTUCHE",B1109)),
ISNUMBER(SEARCH("BOOK COVER",B1109)),
ISNUMBER(SEARCH("KEYBOARD PARA TABLET",B1109)),
ISNUMBER(SEARCH("FLIP TABLET",B1109)),
ISNUMBER(SEARCH("CASE FOR TABLET",B1109)),
ISNUMBER(SEARCH("CABLE",B1109)),
ISNUMBER(SEARCH("ADAPTADOR",B1109)),
ISNUMBER(SEARCH("HUB",B1109)),
ISNUMBER(SEARCH("DOCK",B1109)),
ISNUMBER(SEARCH("MOUSE PAD",B1109)),
ISNUMBER(SEARCH("MOUSEPAD",B1109)),
ISNUMBER(SEARCH("SOPORTE",B1109)),
ISNUMBER(SEARCH("STAND",B1109)),
ISNUMBER(SEARCH("TRAVEL ADAPTER",B1109)),
ISNUMBER(SEARCH("RJ45",B1109)),
ISNUMBER(SEARCH("USB-C",B1109)),
ISNUMBER(SEARCH("USB WIFI",B1109)),
ISNUMBER(SEARCH("POWERBANK",B1109)),
ISNUMBER(SEARCH("CARGADOR",B1109)),
ISNUMBER(SEARCH("COOLER PARA NB",B1109)),
ISNUMBER(SEARCH("SOPORTE PARA NB",B1109)),
ISNUMBER(SEARCH("WEBCAM",B1109)),
ISNUMBER(SEARCH("WEB CAM",B1109)),
ISNUMBER(SEARCH("MOUSE",B1109)),
ISNUMBER(SEARCH("TECLADO",B1109))
),
"COMPLEMENTO",
IF(
OR(
LEFT(A1109,2)="NB",
LEFT(A1109,2)="PC",
LEFT(A1109,2)="WS",
LEFT(A1109,2)="TB",
LEFT(A1109,3)="CEL",
LEFT(A1109,3)="MON",
LEFT(A1109,3)="PRE",
LEFT(A1109,3)="PRH",
ISNUMBER(SEARCH("NOTEBOOK",B1109)),
ISNUMBER(SEARCH("LAPTOP",B1109)),
ISNUMBER(SEARCH("MONITOR",B1109)),
ISNUMBER(SEARCH("TABLET",B1109)),
ISNUMBER(SEARCH("SMARTPH",B1109)),
ISNUMBER(SEARCH("IMPRESORA",B1109)),
ISNUMBER(SEARCH("MULTIFUNCIONAL",B1109)),
ISNUMBER(SEARCH("AIO",B1109))
),
"GANCHO",
"NORMAL"
)
)</f>
        <v>GANCHO</v>
      </c>
    </row>
    <row r="1108" spans="1:12" x14ac:dyDescent="0.25">
      <c r="A1108" s="3" t="s">
        <v>1827</v>
      </c>
      <c r="B1108" s="3" t="s">
        <v>1828</v>
      </c>
      <c r="C1108" s="1">
        <v>20</v>
      </c>
      <c r="D1108" s="1">
        <v>1457</v>
      </c>
      <c r="E1108" s="1" t="s">
        <v>837</v>
      </c>
      <c r="F1108" s="1" t="s">
        <v>3705</v>
      </c>
      <c r="G1108" s="3"/>
      <c r="H1108" s="11">
        <f>ROUND(
IF(L1106="GANCHO",
   IF(I1108&lt;=50,I1108*1.1+4,IF(I1108&lt;=120,I1108*1.1+7,IF(I1108&lt;=250,I1108*1.1+11,I1108*1.1+19))),
IF(L1106="NORMAL",
   IF(I1108&lt;=30,I1108*1.15+2,IF(I1108&lt;=80,I1108*1.15+4,IF(I1108&lt;=150,I1108*1.15+6,I1108*1.15+8))),
IF(L1106="COMPLEMENTO",
   IF(I1108&lt;=25,I1108*1.25+1.5,IF(I1108&lt;=60,I1108*1.25+3,IF(I1108&lt;=120,I1108*1.25+4,I1108*1.25+5))),
""))),2)</f>
        <v>6600.33</v>
      </c>
      <c r="I1108" s="9">
        <f>($K$2+0.02)*Tabla1[[#This Row],[PRECIO $]]*1.18</f>
        <v>5983.0247999999992</v>
      </c>
      <c r="J1108" s="7">
        <f>+Tabla1[[#This Row],[PRECIO EN SOLES]]-Tabla1[[#This Row],[PC]]</f>
        <v>617.3052000000007</v>
      </c>
      <c r="K1108" s="15"/>
      <c r="L1108" s="15" t="str">
        <f>IF(
OR(
ISNUMBER(SEARCH("BACKPACK",B1110)),
ISNUMBER(SEARCH("MOCHILA",B1110)),
ISNUMBER(SEARCH("FUNDA",B1110)),
ISNUMBER(SEARCH("ESTUCHE",B1110)),
ISNUMBER(SEARCH("BOOK COVER",B1110)),
ISNUMBER(SEARCH("KEYBOARD PARA TABLET",B1110)),
ISNUMBER(SEARCH("FLIP TABLET",B1110)),
ISNUMBER(SEARCH("CASE FOR TABLET",B1110)),
ISNUMBER(SEARCH("CABLE",B1110)),
ISNUMBER(SEARCH("ADAPTADOR",B1110)),
ISNUMBER(SEARCH("HUB",B1110)),
ISNUMBER(SEARCH("DOCK",B1110)),
ISNUMBER(SEARCH("MOUSE PAD",B1110)),
ISNUMBER(SEARCH("MOUSEPAD",B1110)),
ISNUMBER(SEARCH("SOPORTE",B1110)),
ISNUMBER(SEARCH("STAND",B1110)),
ISNUMBER(SEARCH("TRAVEL ADAPTER",B1110)),
ISNUMBER(SEARCH("RJ45",B1110)),
ISNUMBER(SEARCH("USB-C",B1110)),
ISNUMBER(SEARCH("USB WIFI",B1110)),
ISNUMBER(SEARCH("POWERBANK",B1110)),
ISNUMBER(SEARCH("CARGADOR",B1110)),
ISNUMBER(SEARCH("COOLER PARA NB",B1110)),
ISNUMBER(SEARCH("SOPORTE PARA NB",B1110)),
ISNUMBER(SEARCH("WEBCAM",B1110)),
ISNUMBER(SEARCH("WEB CAM",B1110)),
ISNUMBER(SEARCH("MOUSE",B1110)),
ISNUMBER(SEARCH("TECLADO",B1110))
),
"COMPLEMENTO",
IF(
OR(
LEFT(A1110,2)="NB",
LEFT(A1110,2)="PC",
LEFT(A1110,2)="WS",
LEFT(A1110,2)="TB",
LEFT(A1110,3)="CEL",
LEFT(A1110,3)="MON",
LEFT(A1110,3)="PRE",
LEFT(A1110,3)="PRH",
ISNUMBER(SEARCH("NOTEBOOK",B1110)),
ISNUMBER(SEARCH("LAPTOP",B1110)),
ISNUMBER(SEARCH("MONITOR",B1110)),
ISNUMBER(SEARCH("TABLET",B1110)),
ISNUMBER(SEARCH("SMARTPH",B1110)),
ISNUMBER(SEARCH("IMPRESORA",B1110)),
ISNUMBER(SEARCH("MULTIFUNCIONAL",B1110)),
ISNUMBER(SEARCH("AIO",B1110))
),
"GANCHO",
"NORMAL"
)
)</f>
        <v>GANCHO</v>
      </c>
    </row>
    <row r="1109" spans="1:12" x14ac:dyDescent="0.25">
      <c r="A1109" s="3" t="s">
        <v>6854</v>
      </c>
      <c r="B1109" s="3" t="s">
        <v>6855</v>
      </c>
      <c r="C1109" s="1">
        <v>20</v>
      </c>
      <c r="D1109" s="1">
        <v>1265</v>
      </c>
      <c r="E1109" s="1" t="s">
        <v>910</v>
      </c>
      <c r="F1109" s="1" t="s">
        <v>6856</v>
      </c>
      <c r="G1109" s="3" t="s">
        <v>6857</v>
      </c>
      <c r="H1109" s="11">
        <f>ROUND(
IF(L1107="GANCHO",
   IF(I1109&lt;=50,I1109*1.1+4,IF(I1109&lt;=120,I1109*1.1+7,IF(I1109&lt;=250,I1109*1.1+11,I1109*1.1+19))),
IF(L1107="NORMAL",
   IF(I1109&lt;=30,I1109*1.15+2,IF(I1109&lt;=80,I1109*1.15+4,IF(I1109&lt;=150,I1109*1.15+6,I1109*1.15+8))),
IF(L1107="COMPLEMENTO",
   IF(I1109&lt;=25,I1109*1.25+1.5,IF(I1109&lt;=60,I1109*1.25+3,IF(I1109&lt;=120,I1109*1.25+4,I1109*1.25+5))),
""))),2)</f>
        <v>5733.06</v>
      </c>
      <c r="I1109" s="9">
        <f>($K$2+0.02)*Tabla1[[#This Row],[PRECIO $]]*1.18</f>
        <v>5194.5959999999995</v>
      </c>
      <c r="J1109" s="7">
        <f>+Tabla1[[#This Row],[PRECIO EN SOLES]]-Tabla1[[#This Row],[PC]]</f>
        <v>538.46400000000085</v>
      </c>
      <c r="K1109" s="15"/>
      <c r="L1109" s="15" t="str">
        <f>IF(
OR(
ISNUMBER(SEARCH("BACKPACK",B1111)),
ISNUMBER(SEARCH("MOCHILA",B1111)),
ISNUMBER(SEARCH("FUNDA",B1111)),
ISNUMBER(SEARCH("ESTUCHE",B1111)),
ISNUMBER(SEARCH("BOOK COVER",B1111)),
ISNUMBER(SEARCH("KEYBOARD PARA TABLET",B1111)),
ISNUMBER(SEARCH("FLIP TABLET",B1111)),
ISNUMBER(SEARCH("CASE FOR TABLET",B1111)),
ISNUMBER(SEARCH("CABLE",B1111)),
ISNUMBER(SEARCH("ADAPTADOR",B1111)),
ISNUMBER(SEARCH("HUB",B1111)),
ISNUMBER(SEARCH("DOCK",B1111)),
ISNUMBER(SEARCH("MOUSE PAD",B1111)),
ISNUMBER(SEARCH("MOUSEPAD",B1111)),
ISNUMBER(SEARCH("SOPORTE",B1111)),
ISNUMBER(SEARCH("STAND",B1111)),
ISNUMBER(SEARCH("TRAVEL ADAPTER",B1111)),
ISNUMBER(SEARCH("RJ45",B1111)),
ISNUMBER(SEARCH("USB-C",B1111)),
ISNUMBER(SEARCH("USB WIFI",B1111)),
ISNUMBER(SEARCH("POWERBANK",B1111)),
ISNUMBER(SEARCH("CARGADOR",B1111)),
ISNUMBER(SEARCH("COOLER PARA NB",B1111)),
ISNUMBER(SEARCH("SOPORTE PARA NB",B1111)),
ISNUMBER(SEARCH("WEBCAM",B1111)),
ISNUMBER(SEARCH("WEB CAM",B1111)),
ISNUMBER(SEARCH("MOUSE",B1111)),
ISNUMBER(SEARCH("TECLADO",B1111))
),
"COMPLEMENTO",
IF(
OR(
LEFT(A1111,2)="NB",
LEFT(A1111,2)="PC",
LEFT(A1111,2)="WS",
LEFT(A1111,2)="TB",
LEFT(A1111,3)="CEL",
LEFT(A1111,3)="MON",
LEFT(A1111,3)="PRE",
LEFT(A1111,3)="PRH",
ISNUMBER(SEARCH("NOTEBOOK",B1111)),
ISNUMBER(SEARCH("LAPTOP",B1111)),
ISNUMBER(SEARCH("MONITOR",B1111)),
ISNUMBER(SEARCH("TABLET",B1111)),
ISNUMBER(SEARCH("SMARTPH",B1111)),
ISNUMBER(SEARCH("IMPRESORA",B1111)),
ISNUMBER(SEARCH("MULTIFUNCIONAL",B1111)),
ISNUMBER(SEARCH("AIO",B1111))
),
"GANCHO",
"NORMAL"
)
)</f>
        <v>GANCHO</v>
      </c>
    </row>
    <row r="1110" spans="1:12" x14ac:dyDescent="0.25">
      <c r="A1110" s="3" t="s">
        <v>6858</v>
      </c>
      <c r="B1110" s="3" t="s">
        <v>6859</v>
      </c>
      <c r="C1110" s="1">
        <v>20</v>
      </c>
      <c r="D1110" s="1">
        <v>1279</v>
      </c>
      <c r="E1110" s="1" t="s">
        <v>910</v>
      </c>
      <c r="F1110" s="1" t="s">
        <v>6860</v>
      </c>
      <c r="G1110" s="3" t="s">
        <v>6861</v>
      </c>
      <c r="H1110" s="11">
        <f>ROUND(
IF(L1108="GANCHO",
   IF(I1110&lt;=50,I1110*1.1+4,IF(I1110&lt;=120,I1110*1.1+7,IF(I1110&lt;=250,I1110*1.1+11,I1110*1.1+19))),
IF(L1108="NORMAL",
   IF(I1110&lt;=30,I1110*1.15+2,IF(I1110&lt;=80,I1110*1.15+4,IF(I1110&lt;=150,I1110*1.15+6,I1110*1.15+8))),
IF(L1108="COMPLEMENTO",
   IF(I1110&lt;=25,I1110*1.25+1.5,IF(I1110&lt;=60,I1110*1.25+3,IF(I1110&lt;=120,I1110*1.25+4,I1110*1.25+5))),
""))),2)</f>
        <v>5796.29</v>
      </c>
      <c r="I1110" s="9">
        <f>($K$2+0.02)*Tabla1[[#This Row],[PRECIO $]]*1.18</f>
        <v>5252.0855999999994</v>
      </c>
      <c r="J1110" s="7">
        <f>+Tabla1[[#This Row],[PRECIO EN SOLES]]-Tabla1[[#This Row],[PC]]</f>
        <v>544.20440000000053</v>
      </c>
      <c r="K1110" s="15"/>
      <c r="L1110" s="15" t="str">
        <f>IF(
OR(
ISNUMBER(SEARCH("BACKPACK",B1112)),
ISNUMBER(SEARCH("MOCHILA",B1112)),
ISNUMBER(SEARCH("FUNDA",B1112)),
ISNUMBER(SEARCH("ESTUCHE",B1112)),
ISNUMBER(SEARCH("BOOK COVER",B1112)),
ISNUMBER(SEARCH("KEYBOARD PARA TABLET",B1112)),
ISNUMBER(SEARCH("FLIP TABLET",B1112)),
ISNUMBER(SEARCH("CASE FOR TABLET",B1112)),
ISNUMBER(SEARCH("CABLE",B1112)),
ISNUMBER(SEARCH("ADAPTADOR",B1112)),
ISNUMBER(SEARCH("HUB",B1112)),
ISNUMBER(SEARCH("DOCK",B1112)),
ISNUMBER(SEARCH("MOUSE PAD",B1112)),
ISNUMBER(SEARCH("MOUSEPAD",B1112)),
ISNUMBER(SEARCH("SOPORTE",B1112)),
ISNUMBER(SEARCH("STAND",B1112)),
ISNUMBER(SEARCH("TRAVEL ADAPTER",B1112)),
ISNUMBER(SEARCH("RJ45",B1112)),
ISNUMBER(SEARCH("USB-C",B1112)),
ISNUMBER(SEARCH("USB WIFI",B1112)),
ISNUMBER(SEARCH("POWERBANK",B1112)),
ISNUMBER(SEARCH("CARGADOR",B1112)),
ISNUMBER(SEARCH("COOLER PARA NB",B1112)),
ISNUMBER(SEARCH("SOPORTE PARA NB",B1112)),
ISNUMBER(SEARCH("WEBCAM",B1112)),
ISNUMBER(SEARCH("WEB CAM",B1112)),
ISNUMBER(SEARCH("MOUSE",B1112)),
ISNUMBER(SEARCH("TECLADO",B1112))
),
"COMPLEMENTO",
IF(
OR(
LEFT(A1112,2)="NB",
LEFT(A1112,2)="PC",
LEFT(A1112,2)="WS",
LEFT(A1112,2)="TB",
LEFT(A1112,3)="CEL",
LEFT(A1112,3)="MON",
LEFT(A1112,3)="PRE",
LEFT(A1112,3)="PRH",
ISNUMBER(SEARCH("NOTEBOOK",B1112)),
ISNUMBER(SEARCH("LAPTOP",B1112)),
ISNUMBER(SEARCH("MONITOR",B1112)),
ISNUMBER(SEARCH("TABLET",B1112)),
ISNUMBER(SEARCH("SMARTPH",B1112)),
ISNUMBER(SEARCH("IMPRESORA",B1112)),
ISNUMBER(SEARCH("MULTIFUNCIONAL",B1112)),
ISNUMBER(SEARCH("AIO",B1112))
),
"GANCHO",
"NORMAL"
)
)</f>
        <v>GANCHO</v>
      </c>
    </row>
    <row r="1111" spans="1:12" x14ac:dyDescent="0.25">
      <c r="A1111" s="3" t="s">
        <v>6555</v>
      </c>
      <c r="B1111" s="3" t="s">
        <v>6556</v>
      </c>
      <c r="C1111" s="1">
        <v>20</v>
      </c>
      <c r="D1111" s="1">
        <v>1694</v>
      </c>
      <c r="E1111" s="1" t="s">
        <v>56</v>
      </c>
      <c r="F1111" s="1" t="s">
        <v>6557</v>
      </c>
      <c r="G1111" s="3" t="s">
        <v>6558</v>
      </c>
      <c r="H1111" s="11">
        <f>ROUND(
IF(L1109="GANCHO",
   IF(I1111&lt;=50,I1111*1.1+4,IF(I1111&lt;=120,I1111*1.1+7,IF(I1111&lt;=250,I1111*1.1+11,I1111*1.1+19))),
IF(L1109="NORMAL",
   IF(I1111&lt;=30,I1111*1.15+2,IF(I1111&lt;=80,I1111*1.15+4,IF(I1111&lt;=150,I1111*1.15+6,I1111*1.15+8))),
IF(L1109="COMPLEMENTO",
   IF(I1111&lt;=25,I1111*1.25+1.5,IF(I1111&lt;=60,I1111*1.25+3,IF(I1111&lt;=120,I1111*1.25+4,I1111*1.25+5))),
""))),2)</f>
        <v>7670.87</v>
      </c>
      <c r="I1111" s="9">
        <f>($K$2+0.02)*Tabla1[[#This Row],[PRECIO $]]*1.18</f>
        <v>6956.2415999999994</v>
      </c>
      <c r="J1111" s="7">
        <f>+Tabla1[[#This Row],[PRECIO EN SOLES]]-Tabla1[[#This Row],[PC]]</f>
        <v>714.62840000000051</v>
      </c>
      <c r="K1111" s="15"/>
      <c r="L1111" s="15" t="str">
        <f>IF(
OR(
ISNUMBER(SEARCH("BACKPACK",B1113)),
ISNUMBER(SEARCH("MOCHILA",B1113)),
ISNUMBER(SEARCH("FUNDA",B1113)),
ISNUMBER(SEARCH("ESTUCHE",B1113)),
ISNUMBER(SEARCH("BOOK COVER",B1113)),
ISNUMBER(SEARCH("KEYBOARD PARA TABLET",B1113)),
ISNUMBER(SEARCH("FLIP TABLET",B1113)),
ISNUMBER(SEARCH("CASE FOR TABLET",B1113)),
ISNUMBER(SEARCH("CABLE",B1113)),
ISNUMBER(SEARCH("ADAPTADOR",B1113)),
ISNUMBER(SEARCH("HUB",B1113)),
ISNUMBER(SEARCH("DOCK",B1113)),
ISNUMBER(SEARCH("MOUSE PAD",B1113)),
ISNUMBER(SEARCH("MOUSEPAD",B1113)),
ISNUMBER(SEARCH("SOPORTE",B1113)),
ISNUMBER(SEARCH("STAND",B1113)),
ISNUMBER(SEARCH("TRAVEL ADAPTER",B1113)),
ISNUMBER(SEARCH("RJ45",B1113)),
ISNUMBER(SEARCH("USB-C",B1113)),
ISNUMBER(SEARCH("USB WIFI",B1113)),
ISNUMBER(SEARCH("POWERBANK",B1113)),
ISNUMBER(SEARCH("CARGADOR",B1113)),
ISNUMBER(SEARCH("COOLER PARA NB",B1113)),
ISNUMBER(SEARCH("SOPORTE PARA NB",B1113)),
ISNUMBER(SEARCH("WEBCAM",B1113)),
ISNUMBER(SEARCH("WEB CAM",B1113)),
ISNUMBER(SEARCH("MOUSE",B1113)),
ISNUMBER(SEARCH("TECLADO",B1113))
),
"COMPLEMENTO",
IF(
OR(
LEFT(A1113,2)="NB",
LEFT(A1113,2)="PC",
LEFT(A1113,2)="WS",
LEFT(A1113,2)="TB",
LEFT(A1113,3)="CEL",
LEFT(A1113,3)="MON",
LEFT(A1113,3)="PRE",
LEFT(A1113,3)="PRH",
ISNUMBER(SEARCH("NOTEBOOK",B1113)),
ISNUMBER(SEARCH("LAPTOP",B1113)),
ISNUMBER(SEARCH("MONITOR",B1113)),
ISNUMBER(SEARCH("TABLET",B1113)),
ISNUMBER(SEARCH("SMARTPH",B1113)),
ISNUMBER(SEARCH("IMPRESORA",B1113)),
ISNUMBER(SEARCH("MULTIFUNCIONAL",B1113)),
ISNUMBER(SEARCH("AIO",B1113))
),
"GANCHO",
"NORMAL"
)
)</f>
        <v>GANCHO</v>
      </c>
    </row>
    <row r="1112" spans="1:12" x14ac:dyDescent="0.25">
      <c r="A1112" s="3" t="s">
        <v>2754</v>
      </c>
      <c r="B1112" s="3" t="s">
        <v>6092</v>
      </c>
      <c r="C1112" s="1">
        <v>0</v>
      </c>
      <c r="D1112" s="1">
        <v>1122</v>
      </c>
      <c r="E1112" s="1" t="s">
        <v>56</v>
      </c>
      <c r="F1112" s="1" t="s">
        <v>3706</v>
      </c>
      <c r="G1112" s="3" t="s">
        <v>2766</v>
      </c>
      <c r="H1112" s="11">
        <f>ROUND(
IF(L1110="GANCHO",
   IF(I1112&lt;=50,I1112*1.1+4,IF(I1112&lt;=120,I1112*1.1+7,IF(I1112&lt;=250,I1112*1.1+11,I1112*1.1+19))),
IF(L1110="NORMAL",
   IF(I1112&lt;=30,I1112*1.15+2,IF(I1112&lt;=80,I1112*1.15+4,IF(I1112&lt;=150,I1112*1.15+6,I1112*1.15+8))),
IF(L1110="COMPLEMENTO",
   IF(I1112&lt;=25,I1112*1.25+1.5,IF(I1112&lt;=60,I1112*1.25+3,IF(I1112&lt;=120,I1112*1.25+4,I1112*1.25+5))),
""))),2)</f>
        <v>5087.12</v>
      </c>
      <c r="I1112" s="9">
        <f>($K$2+0.02)*Tabla1[[#This Row],[PRECIO $]]*1.18</f>
        <v>4607.3807999999999</v>
      </c>
      <c r="J1112" s="7">
        <f>+Tabla1[[#This Row],[PRECIO EN SOLES]]-Tabla1[[#This Row],[PC]]</f>
        <v>479.73919999999998</v>
      </c>
      <c r="K1112" s="15"/>
      <c r="L1112" s="15" t="str">
        <f>IF(
OR(
ISNUMBER(SEARCH("BACKPACK",B1114)),
ISNUMBER(SEARCH("MOCHILA",B1114)),
ISNUMBER(SEARCH("FUNDA",B1114)),
ISNUMBER(SEARCH("ESTUCHE",B1114)),
ISNUMBER(SEARCH("BOOK COVER",B1114)),
ISNUMBER(SEARCH("KEYBOARD PARA TABLET",B1114)),
ISNUMBER(SEARCH("FLIP TABLET",B1114)),
ISNUMBER(SEARCH("CASE FOR TABLET",B1114)),
ISNUMBER(SEARCH("CABLE",B1114)),
ISNUMBER(SEARCH("ADAPTADOR",B1114)),
ISNUMBER(SEARCH("HUB",B1114)),
ISNUMBER(SEARCH("DOCK",B1114)),
ISNUMBER(SEARCH("MOUSE PAD",B1114)),
ISNUMBER(SEARCH("MOUSEPAD",B1114)),
ISNUMBER(SEARCH("SOPORTE",B1114)),
ISNUMBER(SEARCH("STAND",B1114)),
ISNUMBER(SEARCH("TRAVEL ADAPTER",B1114)),
ISNUMBER(SEARCH("RJ45",B1114)),
ISNUMBER(SEARCH("USB-C",B1114)),
ISNUMBER(SEARCH("USB WIFI",B1114)),
ISNUMBER(SEARCH("POWERBANK",B1114)),
ISNUMBER(SEARCH("CARGADOR",B1114)),
ISNUMBER(SEARCH("COOLER PARA NB",B1114)),
ISNUMBER(SEARCH("SOPORTE PARA NB",B1114)),
ISNUMBER(SEARCH("WEBCAM",B1114)),
ISNUMBER(SEARCH("WEB CAM",B1114)),
ISNUMBER(SEARCH("MOUSE",B1114)),
ISNUMBER(SEARCH("TECLADO",B1114))
),
"COMPLEMENTO",
IF(
OR(
LEFT(A1114,2)="NB",
LEFT(A1114,2)="PC",
LEFT(A1114,2)="WS",
LEFT(A1114,2)="TB",
LEFT(A1114,3)="CEL",
LEFT(A1114,3)="MON",
LEFT(A1114,3)="PRE",
LEFT(A1114,3)="PRH",
ISNUMBER(SEARCH("NOTEBOOK",B1114)),
ISNUMBER(SEARCH("LAPTOP",B1114)),
ISNUMBER(SEARCH("MONITOR",B1114)),
ISNUMBER(SEARCH("TABLET",B1114)),
ISNUMBER(SEARCH("SMARTPH",B1114)),
ISNUMBER(SEARCH("IMPRESORA",B1114)),
ISNUMBER(SEARCH("MULTIFUNCIONAL",B1114)),
ISNUMBER(SEARCH("AIO",B1114))
),
"GANCHO",
"NORMAL"
)
)</f>
        <v>GANCHO</v>
      </c>
    </row>
    <row r="1113" spans="1:12" x14ac:dyDescent="0.25">
      <c r="A1113" s="3" t="s">
        <v>1829</v>
      </c>
      <c r="B1113" s="3" t="s">
        <v>1830</v>
      </c>
      <c r="C1113" s="1">
        <v>0</v>
      </c>
      <c r="D1113" s="1">
        <v>1895</v>
      </c>
      <c r="E1113" s="1" t="s">
        <v>56</v>
      </c>
      <c r="F1113" s="1" t="s">
        <v>3707</v>
      </c>
      <c r="G1113" s="3" t="s">
        <v>1831</v>
      </c>
      <c r="H1113" s="11">
        <f>ROUND(
IF(L1111="GANCHO",
   IF(I1113&lt;=50,I1113*1.1+4,IF(I1113&lt;=120,I1113*1.1+7,IF(I1113&lt;=250,I1113*1.1+11,I1113*1.1+19))),
IF(L1111="NORMAL",
   IF(I1113&lt;=30,I1113*1.15+2,IF(I1113&lt;=80,I1113*1.15+4,IF(I1113&lt;=150,I1113*1.15+6,I1113*1.15+8))),
IF(L1111="COMPLEMENTO",
   IF(I1113&lt;=25,I1113*1.25+1.5,IF(I1113&lt;=60,I1113*1.25+3,IF(I1113&lt;=120,I1113*1.25+4,I1113*1.25+5))),
""))),2)</f>
        <v>8578.7900000000009</v>
      </c>
      <c r="I1113" s="9">
        <f>($K$2+0.02)*Tabla1[[#This Row],[PRECIO $]]*1.18</f>
        <v>7781.6279999999997</v>
      </c>
      <c r="J1113" s="7">
        <f>+Tabla1[[#This Row],[PRECIO EN SOLES]]-Tabla1[[#This Row],[PC]]</f>
        <v>797.16200000000117</v>
      </c>
      <c r="K1113" s="15"/>
      <c r="L1113" s="15" t="str">
        <f>IF(
OR(
ISNUMBER(SEARCH("BACKPACK",B1115)),
ISNUMBER(SEARCH("MOCHILA",B1115)),
ISNUMBER(SEARCH("FUNDA",B1115)),
ISNUMBER(SEARCH("ESTUCHE",B1115)),
ISNUMBER(SEARCH("BOOK COVER",B1115)),
ISNUMBER(SEARCH("KEYBOARD PARA TABLET",B1115)),
ISNUMBER(SEARCH("FLIP TABLET",B1115)),
ISNUMBER(SEARCH("CASE FOR TABLET",B1115)),
ISNUMBER(SEARCH("CABLE",B1115)),
ISNUMBER(SEARCH("ADAPTADOR",B1115)),
ISNUMBER(SEARCH("HUB",B1115)),
ISNUMBER(SEARCH("DOCK",B1115)),
ISNUMBER(SEARCH("MOUSE PAD",B1115)),
ISNUMBER(SEARCH("MOUSEPAD",B1115)),
ISNUMBER(SEARCH("SOPORTE",B1115)),
ISNUMBER(SEARCH("STAND",B1115)),
ISNUMBER(SEARCH("TRAVEL ADAPTER",B1115)),
ISNUMBER(SEARCH("RJ45",B1115)),
ISNUMBER(SEARCH("USB-C",B1115)),
ISNUMBER(SEARCH("USB WIFI",B1115)),
ISNUMBER(SEARCH("POWERBANK",B1115)),
ISNUMBER(SEARCH("CARGADOR",B1115)),
ISNUMBER(SEARCH("COOLER PARA NB",B1115)),
ISNUMBER(SEARCH("SOPORTE PARA NB",B1115)),
ISNUMBER(SEARCH("WEBCAM",B1115)),
ISNUMBER(SEARCH("WEB CAM",B1115)),
ISNUMBER(SEARCH("MOUSE",B1115)),
ISNUMBER(SEARCH("TECLADO",B1115))
),
"COMPLEMENTO",
IF(
OR(
LEFT(A1115,2)="NB",
LEFT(A1115,2)="PC",
LEFT(A1115,2)="WS",
LEFT(A1115,2)="TB",
LEFT(A1115,3)="CEL",
LEFT(A1115,3)="MON",
LEFT(A1115,3)="PRE",
LEFT(A1115,3)="PRH",
ISNUMBER(SEARCH("NOTEBOOK",B1115)),
ISNUMBER(SEARCH("LAPTOP",B1115)),
ISNUMBER(SEARCH("MONITOR",B1115)),
ISNUMBER(SEARCH("TABLET",B1115)),
ISNUMBER(SEARCH("SMARTPH",B1115)),
ISNUMBER(SEARCH("IMPRESORA",B1115)),
ISNUMBER(SEARCH("MULTIFUNCIONAL",B1115)),
ISNUMBER(SEARCH("AIO",B1115))
),
"GANCHO",
"NORMAL"
)
)</f>
        <v>GANCHO</v>
      </c>
    </row>
    <row r="1114" spans="1:12" x14ac:dyDescent="0.25">
      <c r="A1114" s="3" t="s">
        <v>1832</v>
      </c>
      <c r="B1114" s="3" t="s">
        <v>1833</v>
      </c>
      <c r="C1114" s="1">
        <v>2</v>
      </c>
      <c r="D1114" s="1">
        <v>2095</v>
      </c>
      <c r="E1114" s="1" t="s">
        <v>56</v>
      </c>
      <c r="F1114" s="1" t="s">
        <v>3708</v>
      </c>
      <c r="G1114" s="3" t="s">
        <v>1834</v>
      </c>
      <c r="H1114" s="11">
        <f>ROUND(
IF(L1112="GANCHO",
   IF(I1114&lt;=50,I1114*1.1+4,IF(I1114&lt;=120,I1114*1.1+7,IF(I1114&lt;=250,I1114*1.1+11,I1114*1.1+19))),
IF(L1112="NORMAL",
   IF(I1114&lt;=30,I1114*1.15+2,IF(I1114&lt;=80,I1114*1.15+4,IF(I1114&lt;=150,I1114*1.15+6,I1114*1.15+8))),
IF(L1112="COMPLEMENTO",
   IF(I1114&lt;=25,I1114*1.25+1.5,IF(I1114&lt;=60,I1114*1.25+3,IF(I1114&lt;=120,I1114*1.25+4,I1114*1.25+5))),
""))),2)</f>
        <v>9482.2000000000007</v>
      </c>
      <c r="I1114" s="9">
        <f>($K$2+0.02)*Tabla1[[#This Row],[PRECIO $]]*1.18</f>
        <v>8602.9079999999994</v>
      </c>
      <c r="J1114" s="7">
        <f>+Tabla1[[#This Row],[PRECIO EN SOLES]]-Tabla1[[#This Row],[PC]]</f>
        <v>879.29200000000128</v>
      </c>
      <c r="K1114" s="15"/>
      <c r="L1114" s="15" t="str">
        <f>IF(
OR(
ISNUMBER(SEARCH("BACKPACK",B1116)),
ISNUMBER(SEARCH("MOCHILA",B1116)),
ISNUMBER(SEARCH("FUNDA",B1116)),
ISNUMBER(SEARCH("ESTUCHE",B1116)),
ISNUMBER(SEARCH("BOOK COVER",B1116)),
ISNUMBER(SEARCH("KEYBOARD PARA TABLET",B1116)),
ISNUMBER(SEARCH("FLIP TABLET",B1116)),
ISNUMBER(SEARCH("CASE FOR TABLET",B1116)),
ISNUMBER(SEARCH("CABLE",B1116)),
ISNUMBER(SEARCH("ADAPTADOR",B1116)),
ISNUMBER(SEARCH("HUB",B1116)),
ISNUMBER(SEARCH("DOCK",B1116)),
ISNUMBER(SEARCH("MOUSE PAD",B1116)),
ISNUMBER(SEARCH("MOUSEPAD",B1116)),
ISNUMBER(SEARCH("SOPORTE",B1116)),
ISNUMBER(SEARCH("STAND",B1116)),
ISNUMBER(SEARCH("TRAVEL ADAPTER",B1116)),
ISNUMBER(SEARCH("RJ45",B1116)),
ISNUMBER(SEARCH("USB-C",B1116)),
ISNUMBER(SEARCH("USB WIFI",B1116)),
ISNUMBER(SEARCH("POWERBANK",B1116)),
ISNUMBER(SEARCH("CARGADOR",B1116)),
ISNUMBER(SEARCH("COOLER PARA NB",B1116)),
ISNUMBER(SEARCH("SOPORTE PARA NB",B1116)),
ISNUMBER(SEARCH("WEBCAM",B1116)),
ISNUMBER(SEARCH("WEB CAM",B1116)),
ISNUMBER(SEARCH("MOUSE",B1116)),
ISNUMBER(SEARCH("TECLADO",B1116))
),
"COMPLEMENTO",
IF(
OR(
LEFT(A1116,2)="NB",
LEFT(A1116,2)="PC",
LEFT(A1116,2)="WS",
LEFT(A1116,2)="TB",
LEFT(A1116,3)="CEL",
LEFT(A1116,3)="MON",
LEFT(A1116,3)="PRE",
LEFT(A1116,3)="PRH",
ISNUMBER(SEARCH("NOTEBOOK",B1116)),
ISNUMBER(SEARCH("LAPTOP",B1116)),
ISNUMBER(SEARCH("MONITOR",B1116)),
ISNUMBER(SEARCH("TABLET",B1116)),
ISNUMBER(SEARCH("SMARTPH",B1116)),
ISNUMBER(SEARCH("IMPRESORA",B1116)),
ISNUMBER(SEARCH("MULTIFUNCIONAL",B1116)),
ISNUMBER(SEARCH("AIO",B1116))
),
"GANCHO",
"NORMAL"
)
)</f>
        <v>GANCHO</v>
      </c>
    </row>
    <row r="1115" spans="1:12" x14ac:dyDescent="0.25">
      <c r="A1115" s="3" t="s">
        <v>6862</v>
      </c>
      <c r="B1115" s="3" t="s">
        <v>6863</v>
      </c>
      <c r="C1115" s="1">
        <v>1</v>
      </c>
      <c r="D1115" s="1">
        <v>2593</v>
      </c>
      <c r="E1115" s="1" t="s">
        <v>837</v>
      </c>
      <c r="F1115" s="1" t="s">
        <v>6864</v>
      </c>
      <c r="G1115" s="3" t="s">
        <v>6865</v>
      </c>
      <c r="H1115" s="11">
        <f>ROUND(
IF(L1113="GANCHO",
   IF(I1115&lt;=50,I1115*1.1+4,IF(I1115&lt;=120,I1115*1.1+7,IF(I1115&lt;=250,I1115*1.1+11,I1115*1.1+19))),
IF(L1113="NORMAL",
   IF(I1115&lt;=30,I1115*1.15+2,IF(I1115&lt;=80,I1115*1.15+4,IF(I1115&lt;=150,I1115*1.15+6,I1115*1.15+8))),
IF(L1113="COMPLEMENTO",
   IF(I1115&lt;=25,I1115*1.25+1.5,IF(I1115&lt;=60,I1115*1.25+3,IF(I1115&lt;=120,I1115*1.25+4,I1115*1.25+5))),
""))),2)</f>
        <v>11731.68</v>
      </c>
      <c r="I1115" s="9">
        <f>($K$2+0.02)*Tabla1[[#This Row],[PRECIO $]]*1.18</f>
        <v>10647.895199999999</v>
      </c>
      <c r="J1115" s="7">
        <f>+Tabla1[[#This Row],[PRECIO EN SOLES]]-Tabla1[[#This Row],[PC]]</f>
        <v>1083.7848000000013</v>
      </c>
      <c r="K1115" s="15"/>
      <c r="L1115" s="15" t="str">
        <f>IF(
OR(
ISNUMBER(SEARCH("BACKPACK",B1117)),
ISNUMBER(SEARCH("MOCHILA",B1117)),
ISNUMBER(SEARCH("FUNDA",B1117)),
ISNUMBER(SEARCH("ESTUCHE",B1117)),
ISNUMBER(SEARCH("BOOK COVER",B1117)),
ISNUMBER(SEARCH("KEYBOARD PARA TABLET",B1117)),
ISNUMBER(SEARCH("FLIP TABLET",B1117)),
ISNUMBER(SEARCH("CASE FOR TABLET",B1117)),
ISNUMBER(SEARCH("CABLE",B1117)),
ISNUMBER(SEARCH("ADAPTADOR",B1117)),
ISNUMBER(SEARCH("HUB",B1117)),
ISNUMBER(SEARCH("DOCK",B1117)),
ISNUMBER(SEARCH("MOUSE PAD",B1117)),
ISNUMBER(SEARCH("MOUSEPAD",B1117)),
ISNUMBER(SEARCH("SOPORTE",B1117)),
ISNUMBER(SEARCH("STAND",B1117)),
ISNUMBER(SEARCH("TRAVEL ADAPTER",B1117)),
ISNUMBER(SEARCH("RJ45",B1117)),
ISNUMBER(SEARCH("USB-C",B1117)),
ISNUMBER(SEARCH("USB WIFI",B1117)),
ISNUMBER(SEARCH("POWERBANK",B1117)),
ISNUMBER(SEARCH("CARGADOR",B1117)),
ISNUMBER(SEARCH("COOLER PARA NB",B1117)),
ISNUMBER(SEARCH("SOPORTE PARA NB",B1117)),
ISNUMBER(SEARCH("WEBCAM",B1117)),
ISNUMBER(SEARCH("WEB CAM",B1117)),
ISNUMBER(SEARCH("MOUSE",B1117)),
ISNUMBER(SEARCH("TECLADO",B1117))
),
"COMPLEMENTO",
IF(
OR(
LEFT(A1117,2)="NB",
LEFT(A1117,2)="PC",
LEFT(A1117,2)="WS",
LEFT(A1117,2)="TB",
LEFT(A1117,3)="CEL",
LEFT(A1117,3)="MON",
LEFT(A1117,3)="PRE",
LEFT(A1117,3)="PRH",
ISNUMBER(SEARCH("NOTEBOOK",B1117)),
ISNUMBER(SEARCH("LAPTOP",B1117)),
ISNUMBER(SEARCH("MONITOR",B1117)),
ISNUMBER(SEARCH("TABLET",B1117)),
ISNUMBER(SEARCH("SMARTPH",B1117)),
ISNUMBER(SEARCH("IMPRESORA",B1117)),
ISNUMBER(SEARCH("MULTIFUNCIONAL",B1117)),
ISNUMBER(SEARCH("AIO",B1117))
),
"GANCHO",
"NORMAL"
)
)</f>
        <v>GANCHO</v>
      </c>
    </row>
    <row r="1116" spans="1:12" x14ac:dyDescent="0.25">
      <c r="A1116" s="3" t="s">
        <v>2981</v>
      </c>
      <c r="B1116" s="3" t="s">
        <v>2982</v>
      </c>
      <c r="C1116" s="1">
        <v>4</v>
      </c>
      <c r="D1116" s="1">
        <v>2835</v>
      </c>
      <c r="E1116" s="1" t="s">
        <v>837</v>
      </c>
      <c r="F1116" s="1" t="s">
        <v>3709</v>
      </c>
      <c r="G1116" s="3" t="s">
        <v>5011</v>
      </c>
      <c r="H1116" s="11">
        <f>ROUND(
IF(L1114="GANCHO",
   IF(I1116&lt;=50,I1116*1.1+4,IF(I1116&lt;=120,I1116*1.1+7,IF(I1116&lt;=250,I1116*1.1+11,I1116*1.1+19))),
IF(L1114="NORMAL",
   IF(I1116&lt;=30,I1116*1.15+2,IF(I1116&lt;=80,I1116*1.15+4,IF(I1116&lt;=150,I1116*1.15+6,I1116*1.15+8))),
IF(L1114="COMPLEMENTO",
   IF(I1116&lt;=25,I1116*1.25+1.5,IF(I1116&lt;=60,I1116*1.25+3,IF(I1116&lt;=120,I1116*1.25+4,I1116*1.25+5))),
""))),2)</f>
        <v>12824.81</v>
      </c>
      <c r="I1116" s="9">
        <f>($K$2+0.02)*Tabla1[[#This Row],[PRECIO $]]*1.18</f>
        <v>11641.643999999998</v>
      </c>
      <c r="J1116" s="7">
        <f>+Tabla1[[#This Row],[PRECIO EN SOLES]]-Tabla1[[#This Row],[PC]]</f>
        <v>1183.1660000000011</v>
      </c>
      <c r="K1116" s="15"/>
      <c r="L1116" s="15" t="str">
        <f>IF(
OR(
ISNUMBER(SEARCH("BACKPACK",B1118)),
ISNUMBER(SEARCH("MOCHILA",B1118)),
ISNUMBER(SEARCH("FUNDA",B1118)),
ISNUMBER(SEARCH("ESTUCHE",B1118)),
ISNUMBER(SEARCH("BOOK COVER",B1118)),
ISNUMBER(SEARCH("KEYBOARD PARA TABLET",B1118)),
ISNUMBER(SEARCH("FLIP TABLET",B1118)),
ISNUMBER(SEARCH("CASE FOR TABLET",B1118)),
ISNUMBER(SEARCH("CABLE",B1118)),
ISNUMBER(SEARCH("ADAPTADOR",B1118)),
ISNUMBER(SEARCH("HUB",B1118)),
ISNUMBER(SEARCH("DOCK",B1118)),
ISNUMBER(SEARCH("MOUSE PAD",B1118)),
ISNUMBER(SEARCH("MOUSEPAD",B1118)),
ISNUMBER(SEARCH("SOPORTE",B1118)),
ISNUMBER(SEARCH("STAND",B1118)),
ISNUMBER(SEARCH("TRAVEL ADAPTER",B1118)),
ISNUMBER(SEARCH("RJ45",B1118)),
ISNUMBER(SEARCH("USB-C",B1118)),
ISNUMBER(SEARCH("USB WIFI",B1118)),
ISNUMBER(SEARCH("POWERBANK",B1118)),
ISNUMBER(SEARCH("CARGADOR",B1118)),
ISNUMBER(SEARCH("COOLER PARA NB",B1118)),
ISNUMBER(SEARCH("SOPORTE PARA NB",B1118)),
ISNUMBER(SEARCH("WEBCAM",B1118)),
ISNUMBER(SEARCH("WEB CAM",B1118)),
ISNUMBER(SEARCH("MOUSE",B1118)),
ISNUMBER(SEARCH("TECLADO",B1118))
),
"COMPLEMENTO",
IF(
OR(
LEFT(A1118,2)="NB",
LEFT(A1118,2)="PC",
LEFT(A1118,2)="WS",
LEFT(A1118,2)="TB",
LEFT(A1118,3)="CEL",
LEFT(A1118,3)="MON",
LEFT(A1118,3)="PRE",
LEFT(A1118,3)="PRH",
ISNUMBER(SEARCH("NOTEBOOK",B1118)),
ISNUMBER(SEARCH("LAPTOP",B1118)),
ISNUMBER(SEARCH("MONITOR",B1118)),
ISNUMBER(SEARCH("TABLET",B1118)),
ISNUMBER(SEARCH("SMARTPH",B1118)),
ISNUMBER(SEARCH("IMPRESORA",B1118)),
ISNUMBER(SEARCH("MULTIFUNCIONAL",B1118)),
ISNUMBER(SEARCH("AIO",B1118))
),
"GANCHO",
"NORMAL"
)
)</f>
        <v>GANCHO</v>
      </c>
    </row>
    <row r="1117" spans="1:12" x14ac:dyDescent="0.25">
      <c r="A1117" s="3" t="s">
        <v>1835</v>
      </c>
      <c r="B1117" s="3" t="s">
        <v>1836</v>
      </c>
      <c r="C1117" s="1">
        <v>0</v>
      </c>
      <c r="D1117" s="1">
        <v>1787</v>
      </c>
      <c r="E1117" s="1" t="s">
        <v>837</v>
      </c>
      <c r="F1117" s="1" t="s">
        <v>3710</v>
      </c>
      <c r="G1117" s="3" t="s">
        <v>1837</v>
      </c>
      <c r="H1117" s="11">
        <f>ROUND(
IF(L1115="GANCHO",
   IF(I1117&lt;=50,I1117*1.1+4,IF(I1117&lt;=120,I1117*1.1+7,IF(I1117&lt;=250,I1117*1.1+11,I1117*1.1+19))),
IF(L1115="NORMAL",
   IF(I1117&lt;=30,I1117*1.15+2,IF(I1117&lt;=80,I1117*1.15+4,IF(I1117&lt;=150,I1117*1.15+6,I1117*1.15+8))),
IF(L1115="COMPLEMENTO",
   IF(I1117&lt;=25,I1117*1.25+1.5,IF(I1117&lt;=60,I1117*1.25+3,IF(I1117&lt;=120,I1117*1.25+4,I1117*1.25+5))),
""))),2)</f>
        <v>8090.95</v>
      </c>
      <c r="I1117" s="9">
        <f>($K$2+0.02)*Tabla1[[#This Row],[PRECIO $]]*1.18</f>
        <v>7338.1368000000002</v>
      </c>
      <c r="J1117" s="7">
        <f>+Tabla1[[#This Row],[PRECIO EN SOLES]]-Tabla1[[#This Row],[PC]]</f>
        <v>752.8131999999996</v>
      </c>
      <c r="K1117" s="15"/>
      <c r="L1117" s="15" t="str">
        <f>IF(
OR(
ISNUMBER(SEARCH("BACKPACK",B1119)),
ISNUMBER(SEARCH("MOCHILA",B1119)),
ISNUMBER(SEARCH("FUNDA",B1119)),
ISNUMBER(SEARCH("ESTUCHE",B1119)),
ISNUMBER(SEARCH("BOOK COVER",B1119)),
ISNUMBER(SEARCH("KEYBOARD PARA TABLET",B1119)),
ISNUMBER(SEARCH("FLIP TABLET",B1119)),
ISNUMBER(SEARCH("CASE FOR TABLET",B1119)),
ISNUMBER(SEARCH("CABLE",B1119)),
ISNUMBER(SEARCH("ADAPTADOR",B1119)),
ISNUMBER(SEARCH("HUB",B1119)),
ISNUMBER(SEARCH("DOCK",B1119)),
ISNUMBER(SEARCH("MOUSE PAD",B1119)),
ISNUMBER(SEARCH("MOUSEPAD",B1119)),
ISNUMBER(SEARCH("SOPORTE",B1119)),
ISNUMBER(SEARCH("STAND",B1119)),
ISNUMBER(SEARCH("TRAVEL ADAPTER",B1119)),
ISNUMBER(SEARCH("RJ45",B1119)),
ISNUMBER(SEARCH("USB-C",B1119)),
ISNUMBER(SEARCH("USB WIFI",B1119)),
ISNUMBER(SEARCH("POWERBANK",B1119)),
ISNUMBER(SEARCH("CARGADOR",B1119)),
ISNUMBER(SEARCH("COOLER PARA NB",B1119)),
ISNUMBER(SEARCH("SOPORTE PARA NB",B1119)),
ISNUMBER(SEARCH("WEBCAM",B1119)),
ISNUMBER(SEARCH("WEB CAM",B1119)),
ISNUMBER(SEARCH("MOUSE",B1119)),
ISNUMBER(SEARCH("TECLADO",B1119))
),
"COMPLEMENTO",
IF(
OR(
LEFT(A1119,2)="NB",
LEFT(A1119,2)="PC",
LEFT(A1119,2)="WS",
LEFT(A1119,2)="TB",
LEFT(A1119,3)="CEL",
LEFT(A1119,3)="MON",
LEFT(A1119,3)="PRE",
LEFT(A1119,3)="PRH",
ISNUMBER(SEARCH("NOTEBOOK",B1119)),
ISNUMBER(SEARCH("LAPTOP",B1119)),
ISNUMBER(SEARCH("MONITOR",B1119)),
ISNUMBER(SEARCH("TABLET",B1119)),
ISNUMBER(SEARCH("SMARTPH",B1119)),
ISNUMBER(SEARCH("IMPRESORA",B1119)),
ISNUMBER(SEARCH("MULTIFUNCIONAL",B1119)),
ISNUMBER(SEARCH("AIO",B1119))
),
"GANCHO",
"NORMAL"
)
)</f>
        <v>GANCHO</v>
      </c>
    </row>
    <row r="1118" spans="1:12" x14ac:dyDescent="0.25">
      <c r="A1118" s="3" t="s">
        <v>6621</v>
      </c>
      <c r="B1118" s="3" t="s">
        <v>6622</v>
      </c>
      <c r="C1118" s="1">
        <v>20</v>
      </c>
      <c r="D1118" s="1">
        <v>1947</v>
      </c>
      <c r="E1118" s="1" t="s">
        <v>837</v>
      </c>
      <c r="F1118" s="1" t="s">
        <v>6623</v>
      </c>
      <c r="G1118" s="3" t="s">
        <v>1837</v>
      </c>
      <c r="H1118" s="11">
        <f>ROUND(
IF(L1116="GANCHO",
   IF(I1118&lt;=50,I1118*1.1+4,IF(I1118&lt;=120,I1118*1.1+7,IF(I1118&lt;=250,I1118*1.1+11,I1118*1.1+19))),
IF(L1116="NORMAL",
   IF(I1118&lt;=30,I1118*1.15+2,IF(I1118&lt;=80,I1118*1.15+4,IF(I1118&lt;=150,I1118*1.15+6,I1118*1.15+8))),
IF(L1116="COMPLEMENTO",
   IF(I1118&lt;=25,I1118*1.25+1.5,IF(I1118&lt;=60,I1118*1.25+3,IF(I1118&lt;=120,I1118*1.25+4,I1118*1.25+5))),
""))),2)</f>
        <v>8813.68</v>
      </c>
      <c r="I1118" s="9">
        <f>($K$2+0.02)*Tabla1[[#This Row],[PRECIO $]]*1.18</f>
        <v>7995.1607999999997</v>
      </c>
      <c r="J1118" s="7">
        <f>+Tabla1[[#This Row],[PRECIO EN SOLES]]-Tabla1[[#This Row],[PC]]</f>
        <v>818.51920000000064</v>
      </c>
      <c r="K1118" s="15"/>
      <c r="L1118" s="15" t="str">
        <f>IF(
OR(
ISNUMBER(SEARCH("BACKPACK",B1120)),
ISNUMBER(SEARCH("MOCHILA",B1120)),
ISNUMBER(SEARCH("FUNDA",B1120)),
ISNUMBER(SEARCH("ESTUCHE",B1120)),
ISNUMBER(SEARCH("BOOK COVER",B1120)),
ISNUMBER(SEARCH("KEYBOARD PARA TABLET",B1120)),
ISNUMBER(SEARCH("FLIP TABLET",B1120)),
ISNUMBER(SEARCH("CASE FOR TABLET",B1120)),
ISNUMBER(SEARCH("CABLE",B1120)),
ISNUMBER(SEARCH("ADAPTADOR",B1120)),
ISNUMBER(SEARCH("HUB",B1120)),
ISNUMBER(SEARCH("DOCK",B1120)),
ISNUMBER(SEARCH("MOUSE PAD",B1120)),
ISNUMBER(SEARCH("MOUSEPAD",B1120)),
ISNUMBER(SEARCH("SOPORTE",B1120)),
ISNUMBER(SEARCH("STAND",B1120)),
ISNUMBER(SEARCH("TRAVEL ADAPTER",B1120)),
ISNUMBER(SEARCH("RJ45",B1120)),
ISNUMBER(SEARCH("USB-C",B1120)),
ISNUMBER(SEARCH("USB WIFI",B1120)),
ISNUMBER(SEARCH("POWERBANK",B1120)),
ISNUMBER(SEARCH("CARGADOR",B1120)),
ISNUMBER(SEARCH("COOLER PARA NB",B1120)),
ISNUMBER(SEARCH("SOPORTE PARA NB",B1120)),
ISNUMBER(SEARCH("WEBCAM",B1120)),
ISNUMBER(SEARCH("WEB CAM",B1120)),
ISNUMBER(SEARCH("MOUSE",B1120)),
ISNUMBER(SEARCH("TECLADO",B1120))
),
"COMPLEMENTO",
IF(
OR(
LEFT(A1120,2)="NB",
LEFT(A1120,2)="PC",
LEFT(A1120,2)="WS",
LEFT(A1120,2)="TB",
LEFT(A1120,3)="CEL",
LEFT(A1120,3)="MON",
LEFT(A1120,3)="PRE",
LEFT(A1120,3)="PRH",
ISNUMBER(SEARCH("NOTEBOOK",B1120)),
ISNUMBER(SEARCH("LAPTOP",B1120)),
ISNUMBER(SEARCH("MONITOR",B1120)),
ISNUMBER(SEARCH("TABLET",B1120)),
ISNUMBER(SEARCH("SMARTPH",B1120)),
ISNUMBER(SEARCH("IMPRESORA",B1120)),
ISNUMBER(SEARCH("MULTIFUNCIONAL",B1120)),
ISNUMBER(SEARCH("AIO",B1120))
),
"GANCHO",
"NORMAL"
)
)</f>
        <v>GANCHO</v>
      </c>
    </row>
    <row r="1119" spans="1:12" x14ac:dyDescent="0.25">
      <c r="A1119" s="3" t="s">
        <v>6624</v>
      </c>
      <c r="B1119" s="3" t="s">
        <v>6625</v>
      </c>
      <c r="C1119" s="1">
        <v>20</v>
      </c>
      <c r="D1119" s="1">
        <v>2172</v>
      </c>
      <c r="E1119" s="1" t="s">
        <v>837</v>
      </c>
      <c r="F1119" s="1" t="s">
        <v>6626</v>
      </c>
      <c r="G1119" s="3"/>
      <c r="H1119" s="11">
        <f>ROUND(
IF(L1117="GANCHO",
   IF(I1119&lt;=50,I1119*1.1+4,IF(I1119&lt;=120,I1119*1.1+7,IF(I1119&lt;=250,I1119*1.1+11,I1119*1.1+19))),
IF(L1117="NORMAL",
   IF(I1119&lt;=30,I1119*1.15+2,IF(I1119&lt;=80,I1119*1.15+4,IF(I1119&lt;=150,I1119*1.15+6,I1119*1.15+8))),
IF(L1117="COMPLEMENTO",
   IF(I1119&lt;=25,I1119*1.25+1.5,IF(I1119&lt;=60,I1119*1.25+3,IF(I1119&lt;=120,I1119*1.25+4,I1119*1.25+5))),
""))),2)</f>
        <v>9830.01</v>
      </c>
      <c r="I1119" s="9">
        <f>($K$2+0.02)*Tabla1[[#This Row],[PRECIO $]]*1.18</f>
        <v>8919.1008000000002</v>
      </c>
      <c r="J1119" s="7">
        <f>+Tabla1[[#This Row],[PRECIO EN SOLES]]-Tabla1[[#This Row],[PC]]</f>
        <v>910.90920000000006</v>
      </c>
      <c r="K1119" s="15"/>
      <c r="L1119" s="15" t="str">
        <f>IF(
OR(
ISNUMBER(SEARCH("BACKPACK",B1121)),
ISNUMBER(SEARCH("MOCHILA",B1121)),
ISNUMBER(SEARCH("FUNDA",B1121)),
ISNUMBER(SEARCH("ESTUCHE",B1121)),
ISNUMBER(SEARCH("BOOK COVER",B1121)),
ISNUMBER(SEARCH("KEYBOARD PARA TABLET",B1121)),
ISNUMBER(SEARCH("FLIP TABLET",B1121)),
ISNUMBER(SEARCH("CASE FOR TABLET",B1121)),
ISNUMBER(SEARCH("CABLE",B1121)),
ISNUMBER(SEARCH("ADAPTADOR",B1121)),
ISNUMBER(SEARCH("HUB",B1121)),
ISNUMBER(SEARCH("DOCK",B1121)),
ISNUMBER(SEARCH("MOUSE PAD",B1121)),
ISNUMBER(SEARCH("MOUSEPAD",B1121)),
ISNUMBER(SEARCH("SOPORTE",B1121)),
ISNUMBER(SEARCH("STAND",B1121)),
ISNUMBER(SEARCH("TRAVEL ADAPTER",B1121)),
ISNUMBER(SEARCH("RJ45",B1121)),
ISNUMBER(SEARCH("USB-C",B1121)),
ISNUMBER(SEARCH("USB WIFI",B1121)),
ISNUMBER(SEARCH("POWERBANK",B1121)),
ISNUMBER(SEARCH("CARGADOR",B1121)),
ISNUMBER(SEARCH("COOLER PARA NB",B1121)),
ISNUMBER(SEARCH("SOPORTE PARA NB",B1121)),
ISNUMBER(SEARCH("WEBCAM",B1121)),
ISNUMBER(SEARCH("WEB CAM",B1121)),
ISNUMBER(SEARCH("MOUSE",B1121)),
ISNUMBER(SEARCH("TECLADO",B1121))
),
"COMPLEMENTO",
IF(
OR(
LEFT(A1121,2)="NB",
LEFT(A1121,2)="PC",
LEFT(A1121,2)="WS",
LEFT(A1121,2)="TB",
LEFT(A1121,3)="CEL",
LEFT(A1121,3)="MON",
LEFT(A1121,3)="PRE",
LEFT(A1121,3)="PRH",
ISNUMBER(SEARCH("NOTEBOOK",B1121)),
ISNUMBER(SEARCH("LAPTOP",B1121)),
ISNUMBER(SEARCH("MONITOR",B1121)),
ISNUMBER(SEARCH("TABLET",B1121)),
ISNUMBER(SEARCH("SMARTPH",B1121)),
ISNUMBER(SEARCH("IMPRESORA",B1121)),
ISNUMBER(SEARCH("MULTIFUNCIONAL",B1121)),
ISNUMBER(SEARCH("AIO",B1121))
),
"GANCHO",
"NORMAL"
)
)</f>
        <v>GANCHO</v>
      </c>
    </row>
    <row r="1120" spans="1:12" x14ac:dyDescent="0.25">
      <c r="A1120" s="3" t="s">
        <v>6627</v>
      </c>
      <c r="B1120" s="3" t="s">
        <v>6628</v>
      </c>
      <c r="C1120" s="1">
        <v>20</v>
      </c>
      <c r="D1120" s="1">
        <v>1992</v>
      </c>
      <c r="E1120" s="1" t="s">
        <v>837</v>
      </c>
      <c r="F1120" s="1" t="s">
        <v>6629</v>
      </c>
      <c r="G1120" s="3"/>
      <c r="H1120" s="11">
        <f>ROUND(
IF(L1118="GANCHO",
   IF(I1120&lt;=50,I1120*1.1+4,IF(I1120&lt;=120,I1120*1.1+7,IF(I1120&lt;=250,I1120*1.1+11,I1120*1.1+19))),
IF(L1118="NORMAL",
   IF(I1120&lt;=30,I1120*1.15+2,IF(I1120&lt;=80,I1120*1.15+4,IF(I1120&lt;=150,I1120*1.15+6,I1120*1.15+8))),
IF(L1118="COMPLEMENTO",
   IF(I1120&lt;=25,I1120*1.25+1.5,IF(I1120&lt;=60,I1120*1.25+3,IF(I1120&lt;=120,I1120*1.25+4,I1120*1.25+5))),
""))),2)</f>
        <v>9016.94</v>
      </c>
      <c r="I1120" s="9">
        <f>($K$2+0.02)*Tabla1[[#This Row],[PRECIO $]]*1.18</f>
        <v>8179.9487999999992</v>
      </c>
      <c r="J1120" s="7">
        <f>+Tabla1[[#This Row],[PRECIO EN SOLES]]-Tabla1[[#This Row],[PC]]</f>
        <v>836.9912000000013</v>
      </c>
      <c r="K1120" s="15"/>
      <c r="L1120" s="15" t="str">
        <f>IF(
OR(
ISNUMBER(SEARCH("BACKPACK",B1122)),
ISNUMBER(SEARCH("MOCHILA",B1122)),
ISNUMBER(SEARCH("FUNDA",B1122)),
ISNUMBER(SEARCH("ESTUCHE",B1122)),
ISNUMBER(SEARCH("BOOK COVER",B1122)),
ISNUMBER(SEARCH("KEYBOARD PARA TABLET",B1122)),
ISNUMBER(SEARCH("FLIP TABLET",B1122)),
ISNUMBER(SEARCH("CASE FOR TABLET",B1122)),
ISNUMBER(SEARCH("CABLE",B1122)),
ISNUMBER(SEARCH("ADAPTADOR",B1122)),
ISNUMBER(SEARCH("HUB",B1122)),
ISNUMBER(SEARCH("DOCK",B1122)),
ISNUMBER(SEARCH("MOUSE PAD",B1122)),
ISNUMBER(SEARCH("MOUSEPAD",B1122)),
ISNUMBER(SEARCH("SOPORTE",B1122)),
ISNUMBER(SEARCH("STAND",B1122)),
ISNUMBER(SEARCH("TRAVEL ADAPTER",B1122)),
ISNUMBER(SEARCH("RJ45",B1122)),
ISNUMBER(SEARCH("USB-C",B1122)),
ISNUMBER(SEARCH("USB WIFI",B1122)),
ISNUMBER(SEARCH("POWERBANK",B1122)),
ISNUMBER(SEARCH("CARGADOR",B1122)),
ISNUMBER(SEARCH("COOLER PARA NB",B1122)),
ISNUMBER(SEARCH("SOPORTE PARA NB",B1122)),
ISNUMBER(SEARCH("WEBCAM",B1122)),
ISNUMBER(SEARCH("WEB CAM",B1122)),
ISNUMBER(SEARCH("MOUSE",B1122)),
ISNUMBER(SEARCH("TECLADO",B1122))
),
"COMPLEMENTO",
IF(
OR(
LEFT(A1122,2)="NB",
LEFT(A1122,2)="PC",
LEFT(A1122,2)="WS",
LEFT(A1122,2)="TB",
LEFT(A1122,3)="CEL",
LEFT(A1122,3)="MON",
LEFT(A1122,3)="PRE",
LEFT(A1122,3)="PRH",
ISNUMBER(SEARCH("NOTEBOOK",B1122)),
ISNUMBER(SEARCH("LAPTOP",B1122)),
ISNUMBER(SEARCH("MONITOR",B1122)),
ISNUMBER(SEARCH("TABLET",B1122)),
ISNUMBER(SEARCH("SMARTPH",B1122)),
ISNUMBER(SEARCH("IMPRESORA",B1122)),
ISNUMBER(SEARCH("MULTIFUNCIONAL",B1122)),
ISNUMBER(SEARCH("AIO",B1122))
),
"GANCHO",
"NORMAL"
)
)</f>
        <v>GANCHO</v>
      </c>
    </row>
    <row r="1121" spans="1:12" x14ac:dyDescent="0.25">
      <c r="A1121" s="3" t="s">
        <v>4521</v>
      </c>
      <c r="B1121" s="3" t="s">
        <v>4522</v>
      </c>
      <c r="C1121" s="1">
        <v>20</v>
      </c>
      <c r="D1121" s="1">
        <v>2092</v>
      </c>
      <c r="E1121" s="1" t="s">
        <v>837</v>
      </c>
      <c r="F1121" s="1" t="s">
        <v>4523</v>
      </c>
      <c r="G1121" s="3" t="s">
        <v>5012</v>
      </c>
      <c r="H1121" s="11">
        <f>ROUND(
IF(L1119="GANCHO",
   IF(I1121&lt;=50,I1121*1.1+4,IF(I1121&lt;=120,I1121*1.1+7,IF(I1121&lt;=250,I1121*1.1+11,I1121*1.1+19))),
IF(L1119="NORMAL",
   IF(I1121&lt;=30,I1121*1.15+2,IF(I1121&lt;=80,I1121*1.15+4,IF(I1121&lt;=150,I1121*1.15+6,I1121*1.15+8))),
IF(L1119="COMPLEMENTO",
   IF(I1121&lt;=25,I1121*1.25+1.5,IF(I1121&lt;=60,I1121*1.25+3,IF(I1121&lt;=120,I1121*1.25+4,I1121*1.25+5))),
""))),2)</f>
        <v>9468.65</v>
      </c>
      <c r="I1121" s="9">
        <f>($K$2+0.02)*Tabla1[[#This Row],[PRECIO $]]*1.18</f>
        <v>8590.5887999999995</v>
      </c>
      <c r="J1121" s="7">
        <f>+Tabla1[[#This Row],[PRECIO EN SOLES]]-Tabla1[[#This Row],[PC]]</f>
        <v>878.0612000000001</v>
      </c>
      <c r="K1121" s="15"/>
      <c r="L1121" s="15" t="str">
        <f>IF(
OR(
ISNUMBER(SEARCH("BACKPACK",B1123)),
ISNUMBER(SEARCH("MOCHILA",B1123)),
ISNUMBER(SEARCH("FUNDA",B1123)),
ISNUMBER(SEARCH("ESTUCHE",B1123)),
ISNUMBER(SEARCH("BOOK COVER",B1123)),
ISNUMBER(SEARCH("KEYBOARD PARA TABLET",B1123)),
ISNUMBER(SEARCH("FLIP TABLET",B1123)),
ISNUMBER(SEARCH("CASE FOR TABLET",B1123)),
ISNUMBER(SEARCH("CABLE",B1123)),
ISNUMBER(SEARCH("ADAPTADOR",B1123)),
ISNUMBER(SEARCH("HUB",B1123)),
ISNUMBER(SEARCH("DOCK",B1123)),
ISNUMBER(SEARCH("MOUSE PAD",B1123)),
ISNUMBER(SEARCH("MOUSEPAD",B1123)),
ISNUMBER(SEARCH("SOPORTE",B1123)),
ISNUMBER(SEARCH("STAND",B1123)),
ISNUMBER(SEARCH("TRAVEL ADAPTER",B1123)),
ISNUMBER(SEARCH("RJ45",B1123)),
ISNUMBER(SEARCH("USB-C",B1123)),
ISNUMBER(SEARCH("USB WIFI",B1123)),
ISNUMBER(SEARCH("POWERBANK",B1123)),
ISNUMBER(SEARCH("CARGADOR",B1123)),
ISNUMBER(SEARCH("COOLER PARA NB",B1123)),
ISNUMBER(SEARCH("SOPORTE PARA NB",B1123)),
ISNUMBER(SEARCH("WEBCAM",B1123)),
ISNUMBER(SEARCH("WEB CAM",B1123)),
ISNUMBER(SEARCH("MOUSE",B1123)),
ISNUMBER(SEARCH("TECLADO",B1123))
),
"COMPLEMENTO",
IF(
OR(
LEFT(A1123,2)="NB",
LEFT(A1123,2)="PC",
LEFT(A1123,2)="WS",
LEFT(A1123,2)="TB",
LEFT(A1123,3)="CEL",
LEFT(A1123,3)="MON",
LEFT(A1123,3)="PRE",
LEFT(A1123,3)="PRH",
ISNUMBER(SEARCH("NOTEBOOK",B1123)),
ISNUMBER(SEARCH("LAPTOP",B1123)),
ISNUMBER(SEARCH("MONITOR",B1123)),
ISNUMBER(SEARCH("TABLET",B1123)),
ISNUMBER(SEARCH("SMARTPH",B1123)),
ISNUMBER(SEARCH("IMPRESORA",B1123)),
ISNUMBER(SEARCH("MULTIFUNCIONAL",B1123)),
ISNUMBER(SEARCH("AIO",B1123))
),
"GANCHO",
"NORMAL"
)
)</f>
        <v>GANCHO</v>
      </c>
    </row>
    <row r="1122" spans="1:12" x14ac:dyDescent="0.25">
      <c r="A1122" s="3" t="s">
        <v>1838</v>
      </c>
      <c r="B1122" s="3" t="s">
        <v>1839</v>
      </c>
      <c r="C1122" s="1">
        <v>20</v>
      </c>
      <c r="D1122" s="1">
        <v>1860</v>
      </c>
      <c r="E1122" s="1" t="s">
        <v>367</v>
      </c>
      <c r="F1122" s="1" t="s">
        <v>3711</v>
      </c>
      <c r="G1122" s="3" t="s">
        <v>1840</v>
      </c>
      <c r="H1122" s="11">
        <f>ROUND(
IF(L1120="GANCHO",
   IF(I1122&lt;=50,I1122*1.1+4,IF(I1122&lt;=120,I1122*1.1+7,IF(I1122&lt;=250,I1122*1.1+11,I1122*1.1+19))),
IF(L1120="NORMAL",
   IF(I1122&lt;=30,I1122*1.15+2,IF(I1122&lt;=80,I1122*1.15+4,IF(I1122&lt;=150,I1122*1.15+6,I1122*1.15+8))),
IF(L1120="COMPLEMENTO",
   IF(I1122&lt;=25,I1122*1.25+1.5,IF(I1122&lt;=60,I1122*1.25+3,IF(I1122&lt;=120,I1122*1.25+4,I1122*1.25+5))),
""))),2)</f>
        <v>8420.69</v>
      </c>
      <c r="I1122" s="9">
        <f>($K$2+0.02)*Tabla1[[#This Row],[PRECIO $]]*1.18</f>
        <v>7637.9039999999995</v>
      </c>
      <c r="J1122" s="7">
        <f>+Tabla1[[#This Row],[PRECIO EN SOLES]]-Tabla1[[#This Row],[PC]]</f>
        <v>782.78600000000097</v>
      </c>
      <c r="K1122" s="15"/>
      <c r="L1122" s="15" t="str">
        <f>IF(
OR(
ISNUMBER(SEARCH("BACKPACK",B1124)),
ISNUMBER(SEARCH("MOCHILA",B1124)),
ISNUMBER(SEARCH("FUNDA",B1124)),
ISNUMBER(SEARCH("ESTUCHE",B1124)),
ISNUMBER(SEARCH("BOOK COVER",B1124)),
ISNUMBER(SEARCH("KEYBOARD PARA TABLET",B1124)),
ISNUMBER(SEARCH("FLIP TABLET",B1124)),
ISNUMBER(SEARCH("CASE FOR TABLET",B1124)),
ISNUMBER(SEARCH("CABLE",B1124)),
ISNUMBER(SEARCH("ADAPTADOR",B1124)),
ISNUMBER(SEARCH("HUB",B1124)),
ISNUMBER(SEARCH("DOCK",B1124)),
ISNUMBER(SEARCH("MOUSE PAD",B1124)),
ISNUMBER(SEARCH("MOUSEPAD",B1124)),
ISNUMBER(SEARCH("SOPORTE",B1124)),
ISNUMBER(SEARCH("STAND",B1124)),
ISNUMBER(SEARCH("TRAVEL ADAPTER",B1124)),
ISNUMBER(SEARCH("RJ45",B1124)),
ISNUMBER(SEARCH("USB-C",B1124)),
ISNUMBER(SEARCH("USB WIFI",B1124)),
ISNUMBER(SEARCH("POWERBANK",B1124)),
ISNUMBER(SEARCH("CARGADOR",B1124)),
ISNUMBER(SEARCH("COOLER PARA NB",B1124)),
ISNUMBER(SEARCH("SOPORTE PARA NB",B1124)),
ISNUMBER(SEARCH("WEBCAM",B1124)),
ISNUMBER(SEARCH("WEB CAM",B1124)),
ISNUMBER(SEARCH("MOUSE",B1124)),
ISNUMBER(SEARCH("TECLADO",B1124))
),
"COMPLEMENTO",
IF(
OR(
LEFT(A1124,2)="NB",
LEFT(A1124,2)="PC",
LEFT(A1124,2)="WS",
LEFT(A1124,2)="TB",
LEFT(A1124,3)="CEL",
LEFT(A1124,3)="MON",
LEFT(A1124,3)="PRE",
LEFT(A1124,3)="PRH",
ISNUMBER(SEARCH("NOTEBOOK",B1124)),
ISNUMBER(SEARCH("LAPTOP",B1124)),
ISNUMBER(SEARCH("MONITOR",B1124)),
ISNUMBER(SEARCH("TABLET",B1124)),
ISNUMBER(SEARCH("SMARTPH",B1124)),
ISNUMBER(SEARCH("IMPRESORA",B1124)),
ISNUMBER(SEARCH("MULTIFUNCIONAL",B1124)),
ISNUMBER(SEARCH("AIO",B1124))
),
"GANCHO",
"NORMAL"
)
)</f>
        <v>GANCHO</v>
      </c>
    </row>
    <row r="1123" spans="1:12" x14ac:dyDescent="0.25">
      <c r="A1123" s="3" t="s">
        <v>1841</v>
      </c>
      <c r="B1123" s="3" t="s">
        <v>1842</v>
      </c>
      <c r="C1123" s="1">
        <v>1</v>
      </c>
      <c r="D1123" s="1">
        <v>1939</v>
      </c>
      <c r="E1123" s="1" t="s">
        <v>1843</v>
      </c>
      <c r="F1123" s="1" t="s">
        <v>3712</v>
      </c>
      <c r="G1123" s="3" t="s">
        <v>1844</v>
      </c>
      <c r="H1123" s="11">
        <f>ROUND(
IF(L1121="GANCHO",
   IF(I1123&lt;=50,I1123*1.1+4,IF(I1123&lt;=120,I1123*1.1+7,IF(I1123&lt;=250,I1123*1.1+11,I1123*1.1+19))),
IF(L1121="NORMAL",
   IF(I1123&lt;=30,I1123*1.15+2,IF(I1123&lt;=80,I1123*1.15+4,IF(I1123&lt;=150,I1123*1.15+6,I1123*1.15+8))),
IF(L1121="COMPLEMENTO",
   IF(I1123&lt;=25,I1123*1.25+1.5,IF(I1123&lt;=60,I1123*1.25+3,IF(I1123&lt;=120,I1123*1.25+4,I1123*1.25+5))),
""))),2)</f>
        <v>8777.5400000000009</v>
      </c>
      <c r="I1123" s="9">
        <f>($K$2+0.02)*Tabla1[[#This Row],[PRECIO $]]*1.18</f>
        <v>7962.3095999999996</v>
      </c>
      <c r="J1123" s="7">
        <f>+Tabla1[[#This Row],[PRECIO EN SOLES]]-Tabla1[[#This Row],[PC]]</f>
        <v>815.23040000000128</v>
      </c>
      <c r="K1123" s="15"/>
      <c r="L1123" s="15" t="str">
        <f>IF(
OR(
ISNUMBER(SEARCH("BACKPACK",B1125)),
ISNUMBER(SEARCH("MOCHILA",B1125)),
ISNUMBER(SEARCH("FUNDA",B1125)),
ISNUMBER(SEARCH("ESTUCHE",B1125)),
ISNUMBER(SEARCH("BOOK COVER",B1125)),
ISNUMBER(SEARCH("KEYBOARD PARA TABLET",B1125)),
ISNUMBER(SEARCH("FLIP TABLET",B1125)),
ISNUMBER(SEARCH("CASE FOR TABLET",B1125)),
ISNUMBER(SEARCH("CABLE",B1125)),
ISNUMBER(SEARCH("ADAPTADOR",B1125)),
ISNUMBER(SEARCH("HUB",B1125)),
ISNUMBER(SEARCH("DOCK",B1125)),
ISNUMBER(SEARCH("MOUSE PAD",B1125)),
ISNUMBER(SEARCH("MOUSEPAD",B1125)),
ISNUMBER(SEARCH("SOPORTE",B1125)),
ISNUMBER(SEARCH("STAND",B1125)),
ISNUMBER(SEARCH("TRAVEL ADAPTER",B1125)),
ISNUMBER(SEARCH("RJ45",B1125)),
ISNUMBER(SEARCH("USB-C",B1125)),
ISNUMBER(SEARCH("USB WIFI",B1125)),
ISNUMBER(SEARCH("POWERBANK",B1125)),
ISNUMBER(SEARCH("CARGADOR",B1125)),
ISNUMBER(SEARCH("COOLER PARA NB",B1125)),
ISNUMBER(SEARCH("SOPORTE PARA NB",B1125)),
ISNUMBER(SEARCH("WEBCAM",B1125)),
ISNUMBER(SEARCH("WEB CAM",B1125)),
ISNUMBER(SEARCH("MOUSE",B1125)),
ISNUMBER(SEARCH("TECLADO",B1125))
),
"COMPLEMENTO",
IF(
OR(
LEFT(A1125,2)="NB",
LEFT(A1125,2)="PC",
LEFT(A1125,2)="WS",
LEFT(A1125,2)="TB",
LEFT(A1125,3)="CEL",
LEFT(A1125,3)="MON",
LEFT(A1125,3)="PRE",
LEFT(A1125,3)="PRH",
ISNUMBER(SEARCH("NOTEBOOK",B1125)),
ISNUMBER(SEARCH("LAPTOP",B1125)),
ISNUMBER(SEARCH("MONITOR",B1125)),
ISNUMBER(SEARCH("TABLET",B1125)),
ISNUMBER(SEARCH("SMARTPH",B1125)),
ISNUMBER(SEARCH("IMPRESORA",B1125)),
ISNUMBER(SEARCH("MULTIFUNCIONAL",B1125)),
ISNUMBER(SEARCH("AIO",B1125))
),
"GANCHO",
"NORMAL"
)
)</f>
        <v>GANCHO</v>
      </c>
    </row>
    <row r="1124" spans="1:12" x14ac:dyDescent="0.25">
      <c r="A1124" s="3" t="s">
        <v>1845</v>
      </c>
      <c r="B1124" s="3" t="s">
        <v>1846</v>
      </c>
      <c r="C1124" s="1">
        <v>8</v>
      </c>
      <c r="D1124" s="1">
        <v>2075</v>
      </c>
      <c r="E1124" s="1" t="s">
        <v>367</v>
      </c>
      <c r="F1124" s="1" t="s">
        <v>3713</v>
      </c>
      <c r="G1124" s="3" t="s">
        <v>1847</v>
      </c>
      <c r="H1124" s="11">
        <f>ROUND(
IF(L1122="GANCHO",
   IF(I1124&lt;=50,I1124*1.1+4,IF(I1124&lt;=120,I1124*1.1+7,IF(I1124&lt;=250,I1124*1.1+11,I1124*1.1+19))),
IF(L1122="NORMAL",
   IF(I1124&lt;=30,I1124*1.15+2,IF(I1124&lt;=80,I1124*1.15+4,IF(I1124&lt;=150,I1124*1.15+6,I1124*1.15+8))),
IF(L1122="COMPLEMENTO",
   IF(I1124&lt;=25,I1124*1.25+1.5,IF(I1124&lt;=60,I1124*1.25+3,IF(I1124&lt;=120,I1124*1.25+4,I1124*1.25+5))),
""))),2)</f>
        <v>9391.86</v>
      </c>
      <c r="I1124" s="9">
        <f>($K$2+0.02)*Tabla1[[#This Row],[PRECIO $]]*1.18</f>
        <v>8520.7799999999988</v>
      </c>
      <c r="J1124" s="7">
        <f>+Tabla1[[#This Row],[PRECIO EN SOLES]]-Tabla1[[#This Row],[PC]]</f>
        <v>871.08000000000175</v>
      </c>
      <c r="K1124" s="15"/>
      <c r="L1124" s="15" t="str">
        <f>IF(
OR(
ISNUMBER(SEARCH("BACKPACK",B1126)),
ISNUMBER(SEARCH("MOCHILA",B1126)),
ISNUMBER(SEARCH("FUNDA",B1126)),
ISNUMBER(SEARCH("ESTUCHE",B1126)),
ISNUMBER(SEARCH("BOOK COVER",B1126)),
ISNUMBER(SEARCH("KEYBOARD PARA TABLET",B1126)),
ISNUMBER(SEARCH("FLIP TABLET",B1126)),
ISNUMBER(SEARCH("CASE FOR TABLET",B1126)),
ISNUMBER(SEARCH("CABLE",B1126)),
ISNUMBER(SEARCH("ADAPTADOR",B1126)),
ISNUMBER(SEARCH("HUB",B1126)),
ISNUMBER(SEARCH("DOCK",B1126)),
ISNUMBER(SEARCH("MOUSE PAD",B1126)),
ISNUMBER(SEARCH("MOUSEPAD",B1126)),
ISNUMBER(SEARCH("SOPORTE",B1126)),
ISNUMBER(SEARCH("STAND",B1126)),
ISNUMBER(SEARCH("TRAVEL ADAPTER",B1126)),
ISNUMBER(SEARCH("RJ45",B1126)),
ISNUMBER(SEARCH("USB-C",B1126)),
ISNUMBER(SEARCH("USB WIFI",B1126)),
ISNUMBER(SEARCH("POWERBANK",B1126)),
ISNUMBER(SEARCH("CARGADOR",B1126)),
ISNUMBER(SEARCH("COOLER PARA NB",B1126)),
ISNUMBER(SEARCH("SOPORTE PARA NB",B1126)),
ISNUMBER(SEARCH("WEBCAM",B1126)),
ISNUMBER(SEARCH("WEB CAM",B1126)),
ISNUMBER(SEARCH("MOUSE",B1126)),
ISNUMBER(SEARCH("TECLADO",B1126))
),
"COMPLEMENTO",
IF(
OR(
LEFT(A1126,2)="NB",
LEFT(A1126,2)="PC",
LEFT(A1126,2)="WS",
LEFT(A1126,2)="TB",
LEFT(A1126,3)="CEL",
LEFT(A1126,3)="MON",
LEFT(A1126,3)="PRE",
LEFT(A1126,3)="PRH",
ISNUMBER(SEARCH("NOTEBOOK",B1126)),
ISNUMBER(SEARCH("LAPTOP",B1126)),
ISNUMBER(SEARCH("MONITOR",B1126)),
ISNUMBER(SEARCH("TABLET",B1126)),
ISNUMBER(SEARCH("SMARTPH",B1126)),
ISNUMBER(SEARCH("IMPRESORA",B1126)),
ISNUMBER(SEARCH("MULTIFUNCIONAL",B1126)),
ISNUMBER(SEARCH("AIO",B1126))
),
"GANCHO",
"NORMAL"
)
)</f>
        <v>GANCHO</v>
      </c>
    </row>
    <row r="1125" spans="1:12" x14ac:dyDescent="0.25">
      <c r="A1125" s="3" t="s">
        <v>1848</v>
      </c>
      <c r="B1125" s="3" t="s">
        <v>1849</v>
      </c>
      <c r="C1125" s="1">
        <v>15</v>
      </c>
      <c r="D1125" s="1">
        <v>1920</v>
      </c>
      <c r="E1125" s="1" t="s">
        <v>367</v>
      </c>
      <c r="F1125" s="1" t="s">
        <v>3714</v>
      </c>
      <c r="G1125" s="3" t="s">
        <v>1850</v>
      </c>
      <c r="H1125" s="11">
        <f>ROUND(
IF(L1123="GANCHO",
   IF(I1125&lt;=50,I1125*1.1+4,IF(I1125&lt;=120,I1125*1.1+7,IF(I1125&lt;=250,I1125*1.1+11,I1125*1.1+19))),
IF(L1123="NORMAL",
   IF(I1125&lt;=30,I1125*1.15+2,IF(I1125&lt;=80,I1125*1.15+4,IF(I1125&lt;=150,I1125*1.15+6,I1125*1.15+8))),
IF(L1123="COMPLEMENTO",
   IF(I1125&lt;=25,I1125*1.25+1.5,IF(I1125&lt;=60,I1125*1.25+3,IF(I1125&lt;=120,I1125*1.25+4,I1125*1.25+5))),
""))),2)</f>
        <v>8691.7199999999993</v>
      </c>
      <c r="I1125" s="9">
        <f>($K$2+0.02)*Tabla1[[#This Row],[PRECIO $]]*1.18</f>
        <v>7884.2880000000005</v>
      </c>
      <c r="J1125" s="7">
        <f>+Tabla1[[#This Row],[PRECIO EN SOLES]]-Tabla1[[#This Row],[PC]]</f>
        <v>807.43199999999888</v>
      </c>
      <c r="K1125" s="15"/>
      <c r="L1125" s="15" t="str">
        <f>IF(
OR(
ISNUMBER(SEARCH("BACKPACK",B1127)),
ISNUMBER(SEARCH("MOCHILA",B1127)),
ISNUMBER(SEARCH("FUNDA",B1127)),
ISNUMBER(SEARCH("ESTUCHE",B1127)),
ISNUMBER(SEARCH("BOOK COVER",B1127)),
ISNUMBER(SEARCH("KEYBOARD PARA TABLET",B1127)),
ISNUMBER(SEARCH("FLIP TABLET",B1127)),
ISNUMBER(SEARCH("CASE FOR TABLET",B1127)),
ISNUMBER(SEARCH("CABLE",B1127)),
ISNUMBER(SEARCH("ADAPTADOR",B1127)),
ISNUMBER(SEARCH("HUB",B1127)),
ISNUMBER(SEARCH("DOCK",B1127)),
ISNUMBER(SEARCH("MOUSE PAD",B1127)),
ISNUMBER(SEARCH("MOUSEPAD",B1127)),
ISNUMBER(SEARCH("SOPORTE",B1127)),
ISNUMBER(SEARCH("STAND",B1127)),
ISNUMBER(SEARCH("TRAVEL ADAPTER",B1127)),
ISNUMBER(SEARCH("RJ45",B1127)),
ISNUMBER(SEARCH("USB-C",B1127)),
ISNUMBER(SEARCH("USB WIFI",B1127)),
ISNUMBER(SEARCH("POWERBANK",B1127)),
ISNUMBER(SEARCH("CARGADOR",B1127)),
ISNUMBER(SEARCH("COOLER PARA NB",B1127)),
ISNUMBER(SEARCH("SOPORTE PARA NB",B1127)),
ISNUMBER(SEARCH("WEBCAM",B1127)),
ISNUMBER(SEARCH("WEB CAM",B1127)),
ISNUMBER(SEARCH("MOUSE",B1127)),
ISNUMBER(SEARCH("TECLADO",B1127))
),
"COMPLEMENTO",
IF(
OR(
LEFT(A1127,2)="NB",
LEFT(A1127,2)="PC",
LEFT(A1127,2)="WS",
LEFT(A1127,2)="TB",
LEFT(A1127,3)="CEL",
LEFT(A1127,3)="MON",
LEFT(A1127,3)="PRE",
LEFT(A1127,3)="PRH",
ISNUMBER(SEARCH("NOTEBOOK",B1127)),
ISNUMBER(SEARCH("LAPTOP",B1127)),
ISNUMBER(SEARCH("MONITOR",B1127)),
ISNUMBER(SEARCH("TABLET",B1127)),
ISNUMBER(SEARCH("SMARTPH",B1127)),
ISNUMBER(SEARCH("IMPRESORA",B1127)),
ISNUMBER(SEARCH("MULTIFUNCIONAL",B1127)),
ISNUMBER(SEARCH("AIO",B1127))
),
"GANCHO",
"NORMAL"
)
)</f>
        <v>GANCHO</v>
      </c>
    </row>
    <row r="1126" spans="1:12" x14ac:dyDescent="0.25">
      <c r="A1126" s="3" t="s">
        <v>1851</v>
      </c>
      <c r="B1126" s="3" t="s">
        <v>1852</v>
      </c>
      <c r="C1126" s="1">
        <v>20</v>
      </c>
      <c r="D1126" s="1">
        <v>4650</v>
      </c>
      <c r="E1126" s="1" t="s">
        <v>367</v>
      </c>
      <c r="F1126" s="1" t="s">
        <v>3715</v>
      </c>
      <c r="G1126" s="3" t="s">
        <v>1853</v>
      </c>
      <c r="H1126" s="11">
        <f>ROUND(
IF(L1124="GANCHO",
   IF(I1126&lt;=50,I1126*1.1+4,IF(I1126&lt;=120,I1126*1.1+7,IF(I1126&lt;=250,I1126*1.1+11,I1126*1.1+19))),
IF(L1124="NORMAL",
   IF(I1126&lt;=30,I1126*1.15+2,IF(I1126&lt;=80,I1126*1.15+4,IF(I1126&lt;=150,I1126*1.15+6,I1126*1.15+8))),
IF(L1124="COMPLEMENTO",
   IF(I1126&lt;=25,I1126*1.25+1.5,IF(I1126&lt;=60,I1126*1.25+3,IF(I1126&lt;=120,I1126*1.25+4,I1126*1.25+5))),
""))),2)</f>
        <v>21023.24</v>
      </c>
      <c r="I1126" s="9">
        <f>($K$2+0.02)*Tabla1[[#This Row],[PRECIO $]]*1.18</f>
        <v>19094.759999999998</v>
      </c>
      <c r="J1126" s="7">
        <f>+Tabla1[[#This Row],[PRECIO EN SOLES]]-Tabla1[[#This Row],[PC]]</f>
        <v>1928.4800000000032</v>
      </c>
      <c r="K1126" s="15"/>
      <c r="L1126" s="15" t="str">
        <f>IF(
OR(
ISNUMBER(SEARCH("BACKPACK",B1128)),
ISNUMBER(SEARCH("MOCHILA",B1128)),
ISNUMBER(SEARCH("FUNDA",B1128)),
ISNUMBER(SEARCH("ESTUCHE",B1128)),
ISNUMBER(SEARCH("BOOK COVER",B1128)),
ISNUMBER(SEARCH("KEYBOARD PARA TABLET",B1128)),
ISNUMBER(SEARCH("FLIP TABLET",B1128)),
ISNUMBER(SEARCH("CASE FOR TABLET",B1128)),
ISNUMBER(SEARCH("CABLE",B1128)),
ISNUMBER(SEARCH("ADAPTADOR",B1128)),
ISNUMBER(SEARCH("HUB",B1128)),
ISNUMBER(SEARCH("DOCK",B1128)),
ISNUMBER(SEARCH("MOUSE PAD",B1128)),
ISNUMBER(SEARCH("MOUSEPAD",B1128)),
ISNUMBER(SEARCH("SOPORTE",B1128)),
ISNUMBER(SEARCH("STAND",B1128)),
ISNUMBER(SEARCH("TRAVEL ADAPTER",B1128)),
ISNUMBER(SEARCH("RJ45",B1128)),
ISNUMBER(SEARCH("USB-C",B1128)),
ISNUMBER(SEARCH("USB WIFI",B1128)),
ISNUMBER(SEARCH("POWERBANK",B1128)),
ISNUMBER(SEARCH("CARGADOR",B1128)),
ISNUMBER(SEARCH("COOLER PARA NB",B1128)),
ISNUMBER(SEARCH("SOPORTE PARA NB",B1128)),
ISNUMBER(SEARCH("WEBCAM",B1128)),
ISNUMBER(SEARCH("WEB CAM",B1128)),
ISNUMBER(SEARCH("MOUSE",B1128)),
ISNUMBER(SEARCH("TECLADO",B1128))
),
"COMPLEMENTO",
IF(
OR(
LEFT(A1128,2)="NB",
LEFT(A1128,2)="PC",
LEFT(A1128,2)="WS",
LEFT(A1128,2)="TB",
LEFT(A1128,3)="CEL",
LEFT(A1128,3)="MON",
LEFT(A1128,3)="PRE",
LEFT(A1128,3)="PRH",
ISNUMBER(SEARCH("NOTEBOOK",B1128)),
ISNUMBER(SEARCH("LAPTOP",B1128)),
ISNUMBER(SEARCH("MONITOR",B1128)),
ISNUMBER(SEARCH("TABLET",B1128)),
ISNUMBER(SEARCH("SMARTPH",B1128)),
ISNUMBER(SEARCH("IMPRESORA",B1128)),
ISNUMBER(SEARCH("MULTIFUNCIONAL",B1128)),
ISNUMBER(SEARCH("AIO",B1128))
),
"GANCHO",
"NORMAL"
)
)</f>
        <v>GANCHO</v>
      </c>
    </row>
    <row r="1127" spans="1:12" x14ac:dyDescent="0.25">
      <c r="A1127" s="3" t="s">
        <v>1854</v>
      </c>
      <c r="B1127" s="3" t="s">
        <v>1855</v>
      </c>
      <c r="C1127" s="1">
        <v>20</v>
      </c>
      <c r="D1127" s="1">
        <v>4285.75</v>
      </c>
      <c r="E1127" s="1" t="s">
        <v>74</v>
      </c>
      <c r="F1127" s="1" t="s">
        <v>3716</v>
      </c>
      <c r="G1127" s="3" t="s">
        <v>1856</v>
      </c>
      <c r="H1127" s="11">
        <f>ROUND(
IF(L1125="GANCHO",
   IF(I1127&lt;=50,I1127*1.1+4,IF(I1127&lt;=120,I1127*1.1+7,IF(I1127&lt;=250,I1127*1.1+11,I1127*1.1+19))),
IF(L1125="NORMAL",
   IF(I1127&lt;=30,I1127*1.15+2,IF(I1127&lt;=80,I1127*1.15+4,IF(I1127&lt;=150,I1127*1.15+6,I1127*1.15+8))),
IF(L1125="COMPLEMENTO",
   IF(I1127&lt;=25,I1127*1.25+1.5,IF(I1127&lt;=60,I1127*1.25+3,IF(I1127&lt;=120,I1127*1.25+4,I1127*1.25+5))),
""))),2)</f>
        <v>19377.900000000001</v>
      </c>
      <c r="I1127" s="9">
        <f>($K$2+0.02)*Tabla1[[#This Row],[PRECIO $]]*1.18</f>
        <v>17599.003799999999</v>
      </c>
      <c r="J1127" s="7">
        <f>+Tabla1[[#This Row],[PRECIO EN SOLES]]-Tabla1[[#This Row],[PC]]</f>
        <v>1778.8962000000029</v>
      </c>
      <c r="K1127" s="15"/>
      <c r="L1127" s="15" t="str">
        <f>IF(
OR(
ISNUMBER(SEARCH("BACKPACK",B1129)),
ISNUMBER(SEARCH("MOCHILA",B1129)),
ISNUMBER(SEARCH("FUNDA",B1129)),
ISNUMBER(SEARCH("ESTUCHE",B1129)),
ISNUMBER(SEARCH("BOOK COVER",B1129)),
ISNUMBER(SEARCH("KEYBOARD PARA TABLET",B1129)),
ISNUMBER(SEARCH("FLIP TABLET",B1129)),
ISNUMBER(SEARCH("CASE FOR TABLET",B1129)),
ISNUMBER(SEARCH("CABLE",B1129)),
ISNUMBER(SEARCH("ADAPTADOR",B1129)),
ISNUMBER(SEARCH("HUB",B1129)),
ISNUMBER(SEARCH("DOCK",B1129)),
ISNUMBER(SEARCH("MOUSE PAD",B1129)),
ISNUMBER(SEARCH("MOUSEPAD",B1129)),
ISNUMBER(SEARCH("SOPORTE",B1129)),
ISNUMBER(SEARCH("STAND",B1129)),
ISNUMBER(SEARCH("TRAVEL ADAPTER",B1129)),
ISNUMBER(SEARCH("RJ45",B1129)),
ISNUMBER(SEARCH("USB-C",B1129)),
ISNUMBER(SEARCH("USB WIFI",B1129)),
ISNUMBER(SEARCH("POWERBANK",B1129)),
ISNUMBER(SEARCH("CARGADOR",B1129)),
ISNUMBER(SEARCH("COOLER PARA NB",B1129)),
ISNUMBER(SEARCH("SOPORTE PARA NB",B1129)),
ISNUMBER(SEARCH("WEBCAM",B1129)),
ISNUMBER(SEARCH("WEB CAM",B1129)),
ISNUMBER(SEARCH("MOUSE",B1129)),
ISNUMBER(SEARCH("TECLADO",B1129))
),
"COMPLEMENTO",
IF(
OR(
LEFT(A1129,2)="NB",
LEFT(A1129,2)="PC",
LEFT(A1129,2)="WS",
LEFT(A1129,2)="TB",
LEFT(A1129,3)="CEL",
LEFT(A1129,3)="MON",
LEFT(A1129,3)="PRE",
LEFT(A1129,3)="PRH",
ISNUMBER(SEARCH("NOTEBOOK",B1129)),
ISNUMBER(SEARCH("LAPTOP",B1129)),
ISNUMBER(SEARCH("MONITOR",B1129)),
ISNUMBER(SEARCH("TABLET",B1129)),
ISNUMBER(SEARCH("SMARTPH",B1129)),
ISNUMBER(SEARCH("IMPRESORA",B1129)),
ISNUMBER(SEARCH("MULTIFUNCIONAL",B1129)),
ISNUMBER(SEARCH("AIO",B1129))
),
"GANCHO",
"NORMAL"
)
)</f>
        <v>GANCHO</v>
      </c>
    </row>
    <row r="1128" spans="1:12" x14ac:dyDescent="0.25">
      <c r="A1128" s="3" t="s">
        <v>1857</v>
      </c>
      <c r="B1128" s="3" t="s">
        <v>1858</v>
      </c>
      <c r="C1128" s="1">
        <v>20</v>
      </c>
      <c r="D1128" s="1">
        <v>4398.45</v>
      </c>
      <c r="E1128" s="1" t="s">
        <v>74</v>
      </c>
      <c r="F1128" s="1" t="s">
        <v>3717</v>
      </c>
      <c r="G1128" s="3" t="s">
        <v>1856</v>
      </c>
      <c r="H1128" s="11">
        <f>ROUND(
IF(L1126="GANCHO",
   IF(I1128&lt;=50,I1128*1.1+4,IF(I1128&lt;=120,I1128*1.1+7,IF(I1128&lt;=250,I1128*1.1+11,I1128*1.1+19))),
IF(L1126="NORMAL",
   IF(I1128&lt;=30,I1128*1.15+2,IF(I1128&lt;=80,I1128*1.15+4,IF(I1128&lt;=150,I1128*1.15+6,I1128*1.15+8))),
IF(L1126="COMPLEMENTO",
   IF(I1128&lt;=25,I1128*1.25+1.5,IF(I1128&lt;=60,I1128*1.25+3,IF(I1128&lt;=120,I1128*1.25+4,I1128*1.25+5))),
""))),2)</f>
        <v>19886.97</v>
      </c>
      <c r="I1128" s="9">
        <f>($K$2+0.02)*Tabla1[[#This Row],[PRECIO $]]*1.18</f>
        <v>18061.79508</v>
      </c>
      <c r="J1128" s="7">
        <f>+Tabla1[[#This Row],[PRECIO EN SOLES]]-Tabla1[[#This Row],[PC]]</f>
        <v>1825.1749200000013</v>
      </c>
      <c r="K1128" s="15"/>
      <c r="L1128" s="15" t="str">
        <f>IF(
OR(
ISNUMBER(SEARCH("BACKPACK",B1130)),
ISNUMBER(SEARCH("MOCHILA",B1130)),
ISNUMBER(SEARCH("FUNDA",B1130)),
ISNUMBER(SEARCH("ESTUCHE",B1130)),
ISNUMBER(SEARCH("BOOK COVER",B1130)),
ISNUMBER(SEARCH("KEYBOARD PARA TABLET",B1130)),
ISNUMBER(SEARCH("FLIP TABLET",B1130)),
ISNUMBER(SEARCH("CASE FOR TABLET",B1130)),
ISNUMBER(SEARCH("CABLE",B1130)),
ISNUMBER(SEARCH("ADAPTADOR",B1130)),
ISNUMBER(SEARCH("HUB",B1130)),
ISNUMBER(SEARCH("DOCK",B1130)),
ISNUMBER(SEARCH("MOUSE PAD",B1130)),
ISNUMBER(SEARCH("MOUSEPAD",B1130)),
ISNUMBER(SEARCH("SOPORTE",B1130)),
ISNUMBER(SEARCH("STAND",B1130)),
ISNUMBER(SEARCH("TRAVEL ADAPTER",B1130)),
ISNUMBER(SEARCH("RJ45",B1130)),
ISNUMBER(SEARCH("USB-C",B1130)),
ISNUMBER(SEARCH("USB WIFI",B1130)),
ISNUMBER(SEARCH("POWERBANK",B1130)),
ISNUMBER(SEARCH("CARGADOR",B1130)),
ISNUMBER(SEARCH("COOLER PARA NB",B1130)),
ISNUMBER(SEARCH("SOPORTE PARA NB",B1130)),
ISNUMBER(SEARCH("WEBCAM",B1130)),
ISNUMBER(SEARCH("WEB CAM",B1130)),
ISNUMBER(SEARCH("MOUSE",B1130)),
ISNUMBER(SEARCH("TECLADO",B1130))
),
"COMPLEMENTO",
IF(
OR(
LEFT(A1130,2)="NB",
LEFT(A1130,2)="PC",
LEFT(A1130,2)="WS",
LEFT(A1130,2)="TB",
LEFT(A1130,3)="CEL",
LEFT(A1130,3)="MON",
LEFT(A1130,3)="PRE",
LEFT(A1130,3)="PRH",
ISNUMBER(SEARCH("NOTEBOOK",B1130)),
ISNUMBER(SEARCH("LAPTOP",B1130)),
ISNUMBER(SEARCH("MONITOR",B1130)),
ISNUMBER(SEARCH("TABLET",B1130)),
ISNUMBER(SEARCH("SMARTPH",B1130)),
ISNUMBER(SEARCH("IMPRESORA",B1130)),
ISNUMBER(SEARCH("MULTIFUNCIONAL",B1130)),
ISNUMBER(SEARCH("AIO",B1130))
),
"GANCHO",
"NORMAL"
)
)</f>
        <v>GANCHO</v>
      </c>
    </row>
    <row r="1129" spans="1:12" x14ac:dyDescent="0.25">
      <c r="A1129" s="3" t="s">
        <v>1859</v>
      </c>
      <c r="B1129" s="3" t="s">
        <v>1860</v>
      </c>
      <c r="C1129" s="1">
        <v>7</v>
      </c>
      <c r="D1129" s="1">
        <v>2554</v>
      </c>
      <c r="E1129" s="1" t="s">
        <v>1843</v>
      </c>
      <c r="F1129" s="1" t="s">
        <v>3718</v>
      </c>
      <c r="G1129" s="3" t="s">
        <v>1861</v>
      </c>
      <c r="H1129" s="11">
        <f>ROUND(
IF(L1127="GANCHO",
   IF(I1129&lt;=50,I1129*1.1+4,IF(I1129&lt;=120,I1129*1.1+7,IF(I1129&lt;=250,I1129*1.1+11,I1129*1.1+19))),
IF(L1127="NORMAL",
   IF(I1129&lt;=30,I1129*1.15+2,IF(I1129&lt;=80,I1129*1.15+4,IF(I1129&lt;=150,I1129*1.15+6,I1129*1.15+8))),
IF(L1127="COMPLEMENTO",
   IF(I1129&lt;=25,I1129*1.25+1.5,IF(I1129&lt;=60,I1129*1.25+3,IF(I1129&lt;=120,I1129*1.25+4,I1129*1.25+5))),
""))),2)</f>
        <v>11555.52</v>
      </c>
      <c r="I1129" s="9">
        <f>($K$2+0.02)*Tabla1[[#This Row],[PRECIO $]]*1.18</f>
        <v>10487.7456</v>
      </c>
      <c r="J1129" s="7">
        <f>+Tabla1[[#This Row],[PRECIO EN SOLES]]-Tabla1[[#This Row],[PC]]</f>
        <v>1067.7744000000002</v>
      </c>
      <c r="K1129" s="15"/>
      <c r="L1129" s="15" t="str">
        <f>IF(
OR(
ISNUMBER(SEARCH("BACKPACK",B1131)),
ISNUMBER(SEARCH("MOCHILA",B1131)),
ISNUMBER(SEARCH("FUNDA",B1131)),
ISNUMBER(SEARCH("ESTUCHE",B1131)),
ISNUMBER(SEARCH("BOOK COVER",B1131)),
ISNUMBER(SEARCH("KEYBOARD PARA TABLET",B1131)),
ISNUMBER(SEARCH("FLIP TABLET",B1131)),
ISNUMBER(SEARCH("CASE FOR TABLET",B1131)),
ISNUMBER(SEARCH("CABLE",B1131)),
ISNUMBER(SEARCH("ADAPTADOR",B1131)),
ISNUMBER(SEARCH("HUB",B1131)),
ISNUMBER(SEARCH("DOCK",B1131)),
ISNUMBER(SEARCH("MOUSE PAD",B1131)),
ISNUMBER(SEARCH("MOUSEPAD",B1131)),
ISNUMBER(SEARCH("SOPORTE",B1131)),
ISNUMBER(SEARCH("STAND",B1131)),
ISNUMBER(SEARCH("TRAVEL ADAPTER",B1131)),
ISNUMBER(SEARCH("RJ45",B1131)),
ISNUMBER(SEARCH("USB-C",B1131)),
ISNUMBER(SEARCH("USB WIFI",B1131)),
ISNUMBER(SEARCH("POWERBANK",B1131)),
ISNUMBER(SEARCH("CARGADOR",B1131)),
ISNUMBER(SEARCH("COOLER PARA NB",B1131)),
ISNUMBER(SEARCH("SOPORTE PARA NB",B1131)),
ISNUMBER(SEARCH("WEBCAM",B1131)),
ISNUMBER(SEARCH("WEB CAM",B1131)),
ISNUMBER(SEARCH("MOUSE",B1131)),
ISNUMBER(SEARCH("TECLADO",B1131))
),
"COMPLEMENTO",
IF(
OR(
LEFT(A1131,2)="NB",
LEFT(A1131,2)="PC",
LEFT(A1131,2)="WS",
LEFT(A1131,2)="TB",
LEFT(A1131,3)="CEL",
LEFT(A1131,3)="MON",
LEFT(A1131,3)="PRE",
LEFT(A1131,3)="PRH",
ISNUMBER(SEARCH("NOTEBOOK",B1131)),
ISNUMBER(SEARCH("LAPTOP",B1131)),
ISNUMBER(SEARCH("MONITOR",B1131)),
ISNUMBER(SEARCH("TABLET",B1131)),
ISNUMBER(SEARCH("SMARTPH",B1131)),
ISNUMBER(SEARCH("IMPRESORA",B1131)),
ISNUMBER(SEARCH("MULTIFUNCIONAL",B1131)),
ISNUMBER(SEARCH("AIO",B1131))
),
"GANCHO",
"NORMAL"
)
)</f>
        <v>GANCHO</v>
      </c>
    </row>
    <row r="1130" spans="1:12" x14ac:dyDescent="0.25">
      <c r="A1130" s="3" t="s">
        <v>6093</v>
      </c>
      <c r="B1130" s="3" t="s">
        <v>6094</v>
      </c>
      <c r="C1130" s="1">
        <v>20</v>
      </c>
      <c r="D1130" s="1">
        <v>769</v>
      </c>
      <c r="E1130" s="1" t="s">
        <v>367</v>
      </c>
      <c r="F1130" s="1" t="s">
        <v>6095</v>
      </c>
      <c r="G1130" s="3" t="s">
        <v>6096</v>
      </c>
      <c r="H1130" s="11">
        <f>ROUND(
IF(L1128="GANCHO",
   IF(I1130&lt;=50,I1130*1.1+4,IF(I1130&lt;=120,I1130*1.1+7,IF(I1130&lt;=250,I1130*1.1+11,I1130*1.1+19))),
IF(L1128="NORMAL",
   IF(I1130&lt;=30,I1130*1.15+2,IF(I1130&lt;=80,I1130*1.15+4,IF(I1130&lt;=150,I1130*1.15+6,I1130*1.15+8))),
IF(L1128="COMPLEMENTO",
   IF(I1130&lt;=25,I1130*1.25+1.5,IF(I1130&lt;=60,I1130*1.25+3,IF(I1130&lt;=120,I1130*1.25+4,I1130*1.25+5))),
""))),2)</f>
        <v>3492.6</v>
      </c>
      <c r="I1130" s="9">
        <f>($K$2+0.02)*Tabla1[[#This Row],[PRECIO $]]*1.18</f>
        <v>3157.8215999999998</v>
      </c>
      <c r="J1130" s="7">
        <f>+Tabla1[[#This Row],[PRECIO EN SOLES]]-Tabla1[[#This Row],[PC]]</f>
        <v>334.77840000000015</v>
      </c>
      <c r="K1130" s="15"/>
      <c r="L1130" s="15" t="str">
        <f>IF(
OR(
ISNUMBER(SEARCH("BACKPACK",B1132)),
ISNUMBER(SEARCH("MOCHILA",B1132)),
ISNUMBER(SEARCH("FUNDA",B1132)),
ISNUMBER(SEARCH("ESTUCHE",B1132)),
ISNUMBER(SEARCH("BOOK COVER",B1132)),
ISNUMBER(SEARCH("KEYBOARD PARA TABLET",B1132)),
ISNUMBER(SEARCH("FLIP TABLET",B1132)),
ISNUMBER(SEARCH("CASE FOR TABLET",B1132)),
ISNUMBER(SEARCH("CABLE",B1132)),
ISNUMBER(SEARCH("ADAPTADOR",B1132)),
ISNUMBER(SEARCH("HUB",B1132)),
ISNUMBER(SEARCH("DOCK",B1132)),
ISNUMBER(SEARCH("MOUSE PAD",B1132)),
ISNUMBER(SEARCH("MOUSEPAD",B1132)),
ISNUMBER(SEARCH("SOPORTE",B1132)),
ISNUMBER(SEARCH("STAND",B1132)),
ISNUMBER(SEARCH("TRAVEL ADAPTER",B1132)),
ISNUMBER(SEARCH("RJ45",B1132)),
ISNUMBER(SEARCH("USB-C",B1132)),
ISNUMBER(SEARCH("USB WIFI",B1132)),
ISNUMBER(SEARCH("POWERBANK",B1132)),
ISNUMBER(SEARCH("CARGADOR",B1132)),
ISNUMBER(SEARCH("COOLER PARA NB",B1132)),
ISNUMBER(SEARCH("SOPORTE PARA NB",B1132)),
ISNUMBER(SEARCH("WEBCAM",B1132)),
ISNUMBER(SEARCH("WEB CAM",B1132)),
ISNUMBER(SEARCH("MOUSE",B1132)),
ISNUMBER(SEARCH("TECLADO",B1132))
),
"COMPLEMENTO",
IF(
OR(
LEFT(A1132,2)="NB",
LEFT(A1132,2)="PC",
LEFT(A1132,2)="WS",
LEFT(A1132,2)="TB",
LEFT(A1132,3)="CEL",
LEFT(A1132,3)="MON",
LEFT(A1132,3)="PRE",
LEFT(A1132,3)="PRH",
ISNUMBER(SEARCH("NOTEBOOK",B1132)),
ISNUMBER(SEARCH("LAPTOP",B1132)),
ISNUMBER(SEARCH("MONITOR",B1132)),
ISNUMBER(SEARCH("TABLET",B1132)),
ISNUMBER(SEARCH("SMARTPH",B1132)),
ISNUMBER(SEARCH("IMPRESORA",B1132)),
ISNUMBER(SEARCH("MULTIFUNCIONAL",B1132)),
ISNUMBER(SEARCH("AIO",B1132))
),
"GANCHO",
"NORMAL"
)
)</f>
        <v>GANCHO</v>
      </c>
    </row>
    <row r="1131" spans="1:12" x14ac:dyDescent="0.25">
      <c r="A1131" s="3" t="s">
        <v>5461</v>
      </c>
      <c r="B1131" s="3" t="s">
        <v>5462</v>
      </c>
      <c r="C1131" s="1">
        <v>20</v>
      </c>
      <c r="D1131" s="1">
        <v>770.8</v>
      </c>
      <c r="E1131" s="1" t="s">
        <v>367</v>
      </c>
      <c r="F1131" s="1" t="s">
        <v>5463</v>
      </c>
      <c r="G1131" s="3" t="s">
        <v>5464</v>
      </c>
      <c r="H1131" s="11">
        <f>ROUND(
IF(L1129="GANCHO",
   IF(I1131&lt;=50,I1131*1.1+4,IF(I1131&lt;=120,I1131*1.1+7,IF(I1131&lt;=250,I1131*1.1+11,I1131*1.1+19))),
IF(L1129="NORMAL",
   IF(I1131&lt;=30,I1131*1.15+2,IF(I1131&lt;=80,I1131*1.15+4,IF(I1131&lt;=150,I1131*1.15+6,I1131*1.15+8))),
IF(L1129="COMPLEMENTO",
   IF(I1131&lt;=25,I1131*1.25+1.5,IF(I1131&lt;=60,I1131*1.25+3,IF(I1131&lt;=120,I1131*1.25+4,I1131*1.25+5))),
""))),2)</f>
        <v>3500.73</v>
      </c>
      <c r="I1131" s="9">
        <f>($K$2+0.02)*Tabla1[[#This Row],[PRECIO $]]*1.18</f>
        <v>3165.2131199999999</v>
      </c>
      <c r="J1131" s="7">
        <f>+Tabla1[[#This Row],[PRECIO EN SOLES]]-Tabla1[[#This Row],[PC]]</f>
        <v>335.51688000000013</v>
      </c>
      <c r="K1131" s="15"/>
      <c r="L1131" s="15" t="str">
        <f>IF(
OR(
ISNUMBER(SEARCH("BACKPACK",B1133)),
ISNUMBER(SEARCH("MOCHILA",B1133)),
ISNUMBER(SEARCH("FUNDA",B1133)),
ISNUMBER(SEARCH("ESTUCHE",B1133)),
ISNUMBER(SEARCH("BOOK COVER",B1133)),
ISNUMBER(SEARCH("KEYBOARD PARA TABLET",B1133)),
ISNUMBER(SEARCH("FLIP TABLET",B1133)),
ISNUMBER(SEARCH("CASE FOR TABLET",B1133)),
ISNUMBER(SEARCH("CABLE",B1133)),
ISNUMBER(SEARCH("ADAPTADOR",B1133)),
ISNUMBER(SEARCH("HUB",B1133)),
ISNUMBER(SEARCH("DOCK",B1133)),
ISNUMBER(SEARCH("MOUSE PAD",B1133)),
ISNUMBER(SEARCH("MOUSEPAD",B1133)),
ISNUMBER(SEARCH("SOPORTE",B1133)),
ISNUMBER(SEARCH("STAND",B1133)),
ISNUMBER(SEARCH("TRAVEL ADAPTER",B1133)),
ISNUMBER(SEARCH("RJ45",B1133)),
ISNUMBER(SEARCH("USB-C",B1133)),
ISNUMBER(SEARCH("USB WIFI",B1133)),
ISNUMBER(SEARCH("POWERBANK",B1133)),
ISNUMBER(SEARCH("CARGADOR",B1133)),
ISNUMBER(SEARCH("COOLER PARA NB",B1133)),
ISNUMBER(SEARCH("SOPORTE PARA NB",B1133)),
ISNUMBER(SEARCH("WEBCAM",B1133)),
ISNUMBER(SEARCH("WEB CAM",B1133)),
ISNUMBER(SEARCH("MOUSE",B1133)),
ISNUMBER(SEARCH("TECLADO",B1133))
),
"COMPLEMENTO",
IF(
OR(
LEFT(A1133,2)="NB",
LEFT(A1133,2)="PC",
LEFT(A1133,2)="WS",
LEFT(A1133,2)="TB",
LEFT(A1133,3)="CEL",
LEFT(A1133,3)="MON",
LEFT(A1133,3)="PRE",
LEFT(A1133,3)="PRH",
ISNUMBER(SEARCH("NOTEBOOK",B1133)),
ISNUMBER(SEARCH("LAPTOP",B1133)),
ISNUMBER(SEARCH("MONITOR",B1133)),
ISNUMBER(SEARCH("TABLET",B1133)),
ISNUMBER(SEARCH("SMARTPH",B1133)),
ISNUMBER(SEARCH("IMPRESORA",B1133)),
ISNUMBER(SEARCH("MULTIFUNCIONAL",B1133)),
ISNUMBER(SEARCH("AIO",B1133))
),
"GANCHO",
"NORMAL"
)
)</f>
        <v>GANCHO</v>
      </c>
    </row>
    <row r="1132" spans="1:12" x14ac:dyDescent="0.25">
      <c r="A1132" s="3" t="s">
        <v>1862</v>
      </c>
      <c r="B1132" s="3" t="s">
        <v>1863</v>
      </c>
      <c r="C1132" s="1">
        <v>20</v>
      </c>
      <c r="D1132" s="1">
        <v>1241</v>
      </c>
      <c r="E1132" s="1" t="s">
        <v>1843</v>
      </c>
      <c r="F1132" s="1" t="s">
        <v>3719</v>
      </c>
      <c r="G1132" s="3" t="s">
        <v>1864</v>
      </c>
      <c r="H1132" s="11">
        <f>ROUND(
IF(L1130="GANCHO",
   IF(I1132&lt;=50,I1132*1.1+4,IF(I1132&lt;=120,I1132*1.1+7,IF(I1132&lt;=250,I1132*1.1+11,I1132*1.1+19))),
IF(L1130="NORMAL",
   IF(I1132&lt;=30,I1132*1.15+2,IF(I1132&lt;=80,I1132*1.15+4,IF(I1132&lt;=150,I1132*1.15+6,I1132*1.15+8))),
IF(L1130="COMPLEMENTO",
   IF(I1132&lt;=25,I1132*1.25+1.5,IF(I1132&lt;=60,I1132*1.25+3,IF(I1132&lt;=120,I1132*1.25+4,I1132*1.25+5))),
""))),2)</f>
        <v>5624.65</v>
      </c>
      <c r="I1132" s="9">
        <f>($K$2+0.02)*Tabla1[[#This Row],[PRECIO $]]*1.18</f>
        <v>5096.0424000000003</v>
      </c>
      <c r="J1132" s="7">
        <f>+Tabla1[[#This Row],[PRECIO EN SOLES]]-Tabla1[[#This Row],[PC]]</f>
        <v>528.60759999999937</v>
      </c>
      <c r="K1132" s="15"/>
      <c r="L1132" s="15" t="str">
        <f>IF(
OR(
ISNUMBER(SEARCH("BACKPACK",B1134)),
ISNUMBER(SEARCH("MOCHILA",B1134)),
ISNUMBER(SEARCH("FUNDA",B1134)),
ISNUMBER(SEARCH("ESTUCHE",B1134)),
ISNUMBER(SEARCH("BOOK COVER",B1134)),
ISNUMBER(SEARCH("KEYBOARD PARA TABLET",B1134)),
ISNUMBER(SEARCH("FLIP TABLET",B1134)),
ISNUMBER(SEARCH("CASE FOR TABLET",B1134)),
ISNUMBER(SEARCH("CABLE",B1134)),
ISNUMBER(SEARCH("ADAPTADOR",B1134)),
ISNUMBER(SEARCH("HUB",B1134)),
ISNUMBER(SEARCH("DOCK",B1134)),
ISNUMBER(SEARCH("MOUSE PAD",B1134)),
ISNUMBER(SEARCH("MOUSEPAD",B1134)),
ISNUMBER(SEARCH("SOPORTE",B1134)),
ISNUMBER(SEARCH("STAND",B1134)),
ISNUMBER(SEARCH("TRAVEL ADAPTER",B1134)),
ISNUMBER(SEARCH("RJ45",B1134)),
ISNUMBER(SEARCH("USB-C",B1134)),
ISNUMBER(SEARCH("USB WIFI",B1134)),
ISNUMBER(SEARCH("POWERBANK",B1134)),
ISNUMBER(SEARCH("CARGADOR",B1134)),
ISNUMBER(SEARCH("COOLER PARA NB",B1134)),
ISNUMBER(SEARCH("SOPORTE PARA NB",B1134)),
ISNUMBER(SEARCH("WEBCAM",B1134)),
ISNUMBER(SEARCH("WEB CAM",B1134)),
ISNUMBER(SEARCH("MOUSE",B1134)),
ISNUMBER(SEARCH("TECLADO",B1134))
),
"COMPLEMENTO",
IF(
OR(
LEFT(A1134,2)="NB",
LEFT(A1134,2)="PC",
LEFT(A1134,2)="WS",
LEFT(A1134,2)="TB",
LEFT(A1134,3)="CEL",
LEFT(A1134,3)="MON",
LEFT(A1134,3)="PRE",
LEFT(A1134,3)="PRH",
ISNUMBER(SEARCH("NOTEBOOK",B1134)),
ISNUMBER(SEARCH("LAPTOP",B1134)),
ISNUMBER(SEARCH("MONITOR",B1134)),
ISNUMBER(SEARCH("TABLET",B1134)),
ISNUMBER(SEARCH("SMARTPH",B1134)),
ISNUMBER(SEARCH("IMPRESORA",B1134)),
ISNUMBER(SEARCH("MULTIFUNCIONAL",B1134)),
ISNUMBER(SEARCH("AIO",B1134))
),
"GANCHO",
"NORMAL"
)
)</f>
        <v>GANCHO</v>
      </c>
    </row>
    <row r="1133" spans="1:12" x14ac:dyDescent="0.25">
      <c r="A1133" s="3" t="s">
        <v>1865</v>
      </c>
      <c r="B1133" s="3" t="s">
        <v>1866</v>
      </c>
      <c r="C1133" s="1">
        <v>20</v>
      </c>
      <c r="D1133" s="1">
        <v>675</v>
      </c>
      <c r="E1133" s="1" t="s">
        <v>367</v>
      </c>
      <c r="F1133" s="1" t="s">
        <v>3720</v>
      </c>
      <c r="G1133" s="3" t="s">
        <v>1867</v>
      </c>
      <c r="H1133" s="11">
        <f>ROUND(
IF(L1131="GANCHO",
   IF(I1133&lt;=50,I1133*1.1+4,IF(I1133&lt;=120,I1133*1.1+7,IF(I1133&lt;=250,I1133*1.1+11,I1133*1.1+19))),
IF(L1131="NORMAL",
   IF(I1133&lt;=30,I1133*1.15+2,IF(I1133&lt;=80,I1133*1.15+4,IF(I1133&lt;=150,I1133*1.15+6,I1133*1.15+8))),
IF(L1131="COMPLEMENTO",
   IF(I1133&lt;=25,I1133*1.25+1.5,IF(I1133&lt;=60,I1133*1.25+3,IF(I1133&lt;=120,I1133*1.25+4,I1133*1.25+5))),
""))),2)</f>
        <v>3068</v>
      </c>
      <c r="I1133" s="9">
        <f>($K$2+0.02)*Tabla1[[#This Row],[PRECIO $]]*1.18</f>
        <v>2771.8199999999997</v>
      </c>
      <c r="J1133" s="7">
        <f>+Tabla1[[#This Row],[PRECIO EN SOLES]]-Tabla1[[#This Row],[PC]]</f>
        <v>296.18000000000029</v>
      </c>
      <c r="K1133" s="15"/>
      <c r="L1133" s="15" t="str">
        <f>IF(
OR(
ISNUMBER(SEARCH("BACKPACK",B1135)),
ISNUMBER(SEARCH("MOCHILA",B1135)),
ISNUMBER(SEARCH("FUNDA",B1135)),
ISNUMBER(SEARCH("ESTUCHE",B1135)),
ISNUMBER(SEARCH("BOOK COVER",B1135)),
ISNUMBER(SEARCH("KEYBOARD PARA TABLET",B1135)),
ISNUMBER(SEARCH("FLIP TABLET",B1135)),
ISNUMBER(SEARCH("CASE FOR TABLET",B1135)),
ISNUMBER(SEARCH("CABLE",B1135)),
ISNUMBER(SEARCH("ADAPTADOR",B1135)),
ISNUMBER(SEARCH("HUB",B1135)),
ISNUMBER(SEARCH("DOCK",B1135)),
ISNUMBER(SEARCH("MOUSE PAD",B1135)),
ISNUMBER(SEARCH("MOUSEPAD",B1135)),
ISNUMBER(SEARCH("SOPORTE",B1135)),
ISNUMBER(SEARCH("STAND",B1135)),
ISNUMBER(SEARCH("TRAVEL ADAPTER",B1135)),
ISNUMBER(SEARCH("RJ45",B1135)),
ISNUMBER(SEARCH("USB-C",B1135)),
ISNUMBER(SEARCH("USB WIFI",B1135)),
ISNUMBER(SEARCH("POWERBANK",B1135)),
ISNUMBER(SEARCH("CARGADOR",B1135)),
ISNUMBER(SEARCH("COOLER PARA NB",B1135)),
ISNUMBER(SEARCH("SOPORTE PARA NB",B1135)),
ISNUMBER(SEARCH("WEBCAM",B1135)),
ISNUMBER(SEARCH("WEB CAM",B1135)),
ISNUMBER(SEARCH("MOUSE",B1135)),
ISNUMBER(SEARCH("TECLADO",B1135))
),
"COMPLEMENTO",
IF(
OR(
LEFT(A1135,2)="NB",
LEFT(A1135,2)="PC",
LEFT(A1135,2)="WS",
LEFT(A1135,2)="TB",
LEFT(A1135,3)="CEL",
LEFT(A1135,3)="MON",
LEFT(A1135,3)="PRE",
LEFT(A1135,3)="PRH",
ISNUMBER(SEARCH("NOTEBOOK",B1135)),
ISNUMBER(SEARCH("LAPTOP",B1135)),
ISNUMBER(SEARCH("MONITOR",B1135)),
ISNUMBER(SEARCH("TABLET",B1135)),
ISNUMBER(SEARCH("SMARTPH",B1135)),
ISNUMBER(SEARCH("IMPRESORA",B1135)),
ISNUMBER(SEARCH("MULTIFUNCIONAL",B1135)),
ISNUMBER(SEARCH("AIO",B1135))
),
"GANCHO",
"NORMAL"
)
)</f>
        <v>GANCHO</v>
      </c>
    </row>
    <row r="1134" spans="1:12" x14ac:dyDescent="0.25">
      <c r="A1134" s="3" t="s">
        <v>408</v>
      </c>
      <c r="B1134" s="3" t="s">
        <v>409</v>
      </c>
      <c r="C1134" s="1">
        <v>20</v>
      </c>
      <c r="D1134" s="1">
        <v>664</v>
      </c>
      <c r="E1134" s="1" t="s">
        <v>74</v>
      </c>
      <c r="F1134" s="1" t="s">
        <v>3721</v>
      </c>
      <c r="G1134" s="3" t="s">
        <v>410</v>
      </c>
      <c r="H1134" s="11">
        <f>ROUND(
IF(L1132="GANCHO",
   IF(I1134&lt;=50,I1134*1.1+4,IF(I1134&lt;=120,I1134*1.1+7,IF(I1134&lt;=250,I1134*1.1+11,I1134*1.1+19))),
IF(L1132="NORMAL",
   IF(I1134&lt;=30,I1134*1.15+2,IF(I1134&lt;=80,I1134*1.15+4,IF(I1134&lt;=150,I1134*1.15+6,I1134*1.15+8))),
IF(L1132="COMPLEMENTO",
   IF(I1134&lt;=25,I1134*1.25+1.5,IF(I1134&lt;=60,I1134*1.25+3,IF(I1134&lt;=120,I1134*1.25+4,I1134*1.25+5))),
""))),2)</f>
        <v>3018.31</v>
      </c>
      <c r="I1134" s="9">
        <f>($K$2+0.02)*Tabla1[[#This Row],[PRECIO $]]*1.18</f>
        <v>2726.6495999999997</v>
      </c>
      <c r="J1134" s="7">
        <f>+Tabla1[[#This Row],[PRECIO EN SOLES]]-Tabla1[[#This Row],[PC]]</f>
        <v>291.66040000000021</v>
      </c>
      <c r="K1134" s="15"/>
      <c r="L1134" s="15" t="str">
        <f>IF(
OR(
ISNUMBER(SEARCH("BACKPACK",B1136)),
ISNUMBER(SEARCH("MOCHILA",B1136)),
ISNUMBER(SEARCH("FUNDA",B1136)),
ISNUMBER(SEARCH("ESTUCHE",B1136)),
ISNUMBER(SEARCH("BOOK COVER",B1136)),
ISNUMBER(SEARCH("KEYBOARD PARA TABLET",B1136)),
ISNUMBER(SEARCH("FLIP TABLET",B1136)),
ISNUMBER(SEARCH("CASE FOR TABLET",B1136)),
ISNUMBER(SEARCH("CABLE",B1136)),
ISNUMBER(SEARCH("ADAPTADOR",B1136)),
ISNUMBER(SEARCH("HUB",B1136)),
ISNUMBER(SEARCH("DOCK",B1136)),
ISNUMBER(SEARCH("MOUSE PAD",B1136)),
ISNUMBER(SEARCH("MOUSEPAD",B1136)),
ISNUMBER(SEARCH("SOPORTE",B1136)),
ISNUMBER(SEARCH("STAND",B1136)),
ISNUMBER(SEARCH("TRAVEL ADAPTER",B1136)),
ISNUMBER(SEARCH("RJ45",B1136)),
ISNUMBER(SEARCH("USB-C",B1136)),
ISNUMBER(SEARCH("USB WIFI",B1136)),
ISNUMBER(SEARCH("POWERBANK",B1136)),
ISNUMBER(SEARCH("CARGADOR",B1136)),
ISNUMBER(SEARCH("COOLER PARA NB",B1136)),
ISNUMBER(SEARCH("SOPORTE PARA NB",B1136)),
ISNUMBER(SEARCH("WEBCAM",B1136)),
ISNUMBER(SEARCH("WEB CAM",B1136)),
ISNUMBER(SEARCH("MOUSE",B1136)),
ISNUMBER(SEARCH("TECLADO",B1136))
),
"COMPLEMENTO",
IF(
OR(
LEFT(A1136,2)="NB",
LEFT(A1136,2)="PC",
LEFT(A1136,2)="WS",
LEFT(A1136,2)="TB",
LEFT(A1136,3)="CEL",
LEFT(A1136,3)="MON",
LEFT(A1136,3)="PRE",
LEFT(A1136,3)="PRH",
ISNUMBER(SEARCH("NOTEBOOK",B1136)),
ISNUMBER(SEARCH("LAPTOP",B1136)),
ISNUMBER(SEARCH("MONITOR",B1136)),
ISNUMBER(SEARCH("TABLET",B1136)),
ISNUMBER(SEARCH("SMARTPH",B1136)),
ISNUMBER(SEARCH("IMPRESORA",B1136)),
ISNUMBER(SEARCH("MULTIFUNCIONAL",B1136)),
ISNUMBER(SEARCH("AIO",B1136))
),
"GANCHO",
"NORMAL"
)
)</f>
        <v>GANCHO</v>
      </c>
    </row>
    <row r="1135" spans="1:12" x14ac:dyDescent="0.25">
      <c r="A1135" s="3" t="s">
        <v>6097</v>
      </c>
      <c r="B1135" s="3" t="s">
        <v>6098</v>
      </c>
      <c r="C1135" s="1">
        <v>13</v>
      </c>
      <c r="D1135" s="1">
        <v>910</v>
      </c>
      <c r="E1135" s="1" t="s">
        <v>74</v>
      </c>
      <c r="F1135" s="1" t="s">
        <v>6099</v>
      </c>
      <c r="G1135" s="3" t="s">
        <v>6100</v>
      </c>
      <c r="H1135" s="11">
        <f>ROUND(
IF(L1133="GANCHO",
   IF(I1135&lt;=50,I1135*1.1+4,IF(I1135&lt;=120,I1135*1.1+7,IF(I1135&lt;=250,I1135*1.1+11,I1135*1.1+19))),
IF(L1133="NORMAL",
   IF(I1135&lt;=30,I1135*1.15+2,IF(I1135&lt;=80,I1135*1.15+4,IF(I1135&lt;=150,I1135*1.15+6,I1135*1.15+8))),
IF(L1133="COMPLEMENTO",
   IF(I1135&lt;=25,I1135*1.25+1.5,IF(I1135&lt;=60,I1135*1.25+3,IF(I1135&lt;=120,I1135*1.25+4,I1135*1.25+5))),
""))),2)</f>
        <v>4129.51</v>
      </c>
      <c r="I1135" s="9">
        <f>($K$2+0.02)*Tabla1[[#This Row],[PRECIO $]]*1.18</f>
        <v>3736.8240000000001</v>
      </c>
      <c r="J1135" s="7">
        <f>+Tabla1[[#This Row],[PRECIO EN SOLES]]-Tabla1[[#This Row],[PC]]</f>
        <v>392.68600000000015</v>
      </c>
      <c r="K1135" s="15"/>
      <c r="L1135" s="15" t="str">
        <f>IF(
OR(
ISNUMBER(SEARCH("BACKPACK",B1137)),
ISNUMBER(SEARCH("MOCHILA",B1137)),
ISNUMBER(SEARCH("FUNDA",B1137)),
ISNUMBER(SEARCH("ESTUCHE",B1137)),
ISNUMBER(SEARCH("BOOK COVER",B1137)),
ISNUMBER(SEARCH("KEYBOARD PARA TABLET",B1137)),
ISNUMBER(SEARCH("FLIP TABLET",B1137)),
ISNUMBER(SEARCH("CASE FOR TABLET",B1137)),
ISNUMBER(SEARCH("CABLE",B1137)),
ISNUMBER(SEARCH("ADAPTADOR",B1137)),
ISNUMBER(SEARCH("HUB",B1137)),
ISNUMBER(SEARCH("DOCK",B1137)),
ISNUMBER(SEARCH("MOUSE PAD",B1137)),
ISNUMBER(SEARCH("MOUSEPAD",B1137)),
ISNUMBER(SEARCH("SOPORTE",B1137)),
ISNUMBER(SEARCH("STAND",B1137)),
ISNUMBER(SEARCH("TRAVEL ADAPTER",B1137)),
ISNUMBER(SEARCH("RJ45",B1137)),
ISNUMBER(SEARCH("USB-C",B1137)),
ISNUMBER(SEARCH("USB WIFI",B1137)),
ISNUMBER(SEARCH("POWERBANK",B1137)),
ISNUMBER(SEARCH("CARGADOR",B1137)),
ISNUMBER(SEARCH("COOLER PARA NB",B1137)),
ISNUMBER(SEARCH("SOPORTE PARA NB",B1137)),
ISNUMBER(SEARCH("WEBCAM",B1137)),
ISNUMBER(SEARCH("WEB CAM",B1137)),
ISNUMBER(SEARCH("MOUSE",B1137)),
ISNUMBER(SEARCH("TECLADO",B1137))
),
"COMPLEMENTO",
IF(
OR(
LEFT(A1137,2)="NB",
LEFT(A1137,2)="PC",
LEFT(A1137,2)="WS",
LEFT(A1137,2)="TB",
LEFT(A1137,3)="CEL",
LEFT(A1137,3)="MON",
LEFT(A1137,3)="PRE",
LEFT(A1137,3)="PRH",
ISNUMBER(SEARCH("NOTEBOOK",B1137)),
ISNUMBER(SEARCH("LAPTOP",B1137)),
ISNUMBER(SEARCH("MONITOR",B1137)),
ISNUMBER(SEARCH("TABLET",B1137)),
ISNUMBER(SEARCH("SMARTPH",B1137)),
ISNUMBER(SEARCH("IMPRESORA",B1137)),
ISNUMBER(SEARCH("MULTIFUNCIONAL",B1137)),
ISNUMBER(SEARCH("AIO",B1137))
),
"GANCHO",
"NORMAL"
)
)</f>
        <v>GANCHO</v>
      </c>
    </row>
    <row r="1136" spans="1:12" x14ac:dyDescent="0.25">
      <c r="A1136" s="3" t="s">
        <v>6101</v>
      </c>
      <c r="B1136" s="3" t="s">
        <v>6102</v>
      </c>
      <c r="C1136" s="1">
        <v>0</v>
      </c>
      <c r="D1136" s="1">
        <v>774</v>
      </c>
      <c r="E1136" s="1" t="s">
        <v>74</v>
      </c>
      <c r="F1136" s="1" t="s">
        <v>6103</v>
      </c>
      <c r="G1136" s="3" t="s">
        <v>6104</v>
      </c>
      <c r="H1136" s="11">
        <f>ROUND(
IF(L1134="GANCHO",
   IF(I1136&lt;=50,I1136*1.1+4,IF(I1136&lt;=120,I1136*1.1+7,IF(I1136&lt;=250,I1136*1.1+11,I1136*1.1+19))),
IF(L1134="NORMAL",
   IF(I1136&lt;=30,I1136*1.15+2,IF(I1136&lt;=80,I1136*1.15+4,IF(I1136&lt;=150,I1136*1.15+6,I1136*1.15+8))),
IF(L1134="COMPLEMENTO",
   IF(I1136&lt;=25,I1136*1.25+1.5,IF(I1136&lt;=60,I1136*1.25+3,IF(I1136&lt;=120,I1136*1.25+4,I1136*1.25+5))),
""))),2)</f>
        <v>3515.19</v>
      </c>
      <c r="I1136" s="9">
        <f>($K$2+0.02)*Tabla1[[#This Row],[PRECIO $]]*1.18</f>
        <v>3178.3535999999999</v>
      </c>
      <c r="J1136" s="7">
        <f>+Tabla1[[#This Row],[PRECIO EN SOLES]]-Tabla1[[#This Row],[PC]]</f>
        <v>336.83640000000014</v>
      </c>
      <c r="K1136" s="15"/>
      <c r="L1136" s="15" t="str">
        <f>IF(
OR(
ISNUMBER(SEARCH("BACKPACK",B1138)),
ISNUMBER(SEARCH("MOCHILA",B1138)),
ISNUMBER(SEARCH("FUNDA",B1138)),
ISNUMBER(SEARCH("ESTUCHE",B1138)),
ISNUMBER(SEARCH("BOOK COVER",B1138)),
ISNUMBER(SEARCH("KEYBOARD PARA TABLET",B1138)),
ISNUMBER(SEARCH("FLIP TABLET",B1138)),
ISNUMBER(SEARCH("CASE FOR TABLET",B1138)),
ISNUMBER(SEARCH("CABLE",B1138)),
ISNUMBER(SEARCH("ADAPTADOR",B1138)),
ISNUMBER(SEARCH("HUB",B1138)),
ISNUMBER(SEARCH("DOCK",B1138)),
ISNUMBER(SEARCH("MOUSE PAD",B1138)),
ISNUMBER(SEARCH("MOUSEPAD",B1138)),
ISNUMBER(SEARCH("SOPORTE",B1138)),
ISNUMBER(SEARCH("STAND",B1138)),
ISNUMBER(SEARCH("TRAVEL ADAPTER",B1138)),
ISNUMBER(SEARCH("RJ45",B1138)),
ISNUMBER(SEARCH("USB-C",B1138)),
ISNUMBER(SEARCH("USB WIFI",B1138)),
ISNUMBER(SEARCH("POWERBANK",B1138)),
ISNUMBER(SEARCH("CARGADOR",B1138)),
ISNUMBER(SEARCH("COOLER PARA NB",B1138)),
ISNUMBER(SEARCH("SOPORTE PARA NB",B1138)),
ISNUMBER(SEARCH("WEBCAM",B1138)),
ISNUMBER(SEARCH("WEB CAM",B1138)),
ISNUMBER(SEARCH("MOUSE",B1138)),
ISNUMBER(SEARCH("TECLADO",B1138))
),
"COMPLEMENTO",
IF(
OR(
LEFT(A1138,2)="NB",
LEFT(A1138,2)="PC",
LEFT(A1138,2)="WS",
LEFT(A1138,2)="TB",
LEFT(A1138,3)="CEL",
LEFT(A1138,3)="MON",
LEFT(A1138,3)="PRE",
LEFT(A1138,3)="PRH",
ISNUMBER(SEARCH("NOTEBOOK",B1138)),
ISNUMBER(SEARCH("LAPTOP",B1138)),
ISNUMBER(SEARCH("MONITOR",B1138)),
ISNUMBER(SEARCH("TABLET",B1138)),
ISNUMBER(SEARCH("SMARTPH",B1138)),
ISNUMBER(SEARCH("IMPRESORA",B1138)),
ISNUMBER(SEARCH("MULTIFUNCIONAL",B1138)),
ISNUMBER(SEARCH("AIO",B1138))
),
"GANCHO",
"NORMAL"
)
)</f>
        <v>GANCHO</v>
      </c>
    </row>
    <row r="1137" spans="1:12" x14ac:dyDescent="0.25">
      <c r="A1137" s="3" t="s">
        <v>613</v>
      </c>
      <c r="B1137" s="3" t="s">
        <v>614</v>
      </c>
      <c r="C1137" s="1">
        <v>20</v>
      </c>
      <c r="D1137" s="1">
        <v>718</v>
      </c>
      <c r="E1137" s="1" t="s">
        <v>74</v>
      </c>
      <c r="F1137" s="1" t="s">
        <v>3722</v>
      </c>
      <c r="G1137" s="3" t="s">
        <v>678</v>
      </c>
      <c r="H1137" s="11">
        <f>ROUND(
IF(L1135="GANCHO",
   IF(I1137&lt;=50,I1137*1.1+4,IF(I1137&lt;=120,I1137*1.1+7,IF(I1137&lt;=250,I1137*1.1+11,I1137*1.1+19))),
IF(L1135="NORMAL",
   IF(I1137&lt;=30,I1137*1.15+2,IF(I1137&lt;=80,I1137*1.15+4,IF(I1137&lt;=150,I1137*1.15+6,I1137*1.15+8))),
IF(L1135="COMPLEMENTO",
   IF(I1137&lt;=25,I1137*1.25+1.5,IF(I1137&lt;=60,I1137*1.25+3,IF(I1137&lt;=120,I1137*1.25+4,I1137*1.25+5))),
""))),2)</f>
        <v>3262.23</v>
      </c>
      <c r="I1137" s="9">
        <f>($K$2+0.02)*Tabla1[[#This Row],[PRECIO $]]*1.18</f>
        <v>2948.3951999999995</v>
      </c>
      <c r="J1137" s="7">
        <f>+Tabla1[[#This Row],[PRECIO EN SOLES]]-Tabla1[[#This Row],[PC]]</f>
        <v>313.83480000000054</v>
      </c>
      <c r="K1137" s="15"/>
      <c r="L1137" s="15" t="str">
        <f>IF(
OR(
ISNUMBER(SEARCH("BACKPACK",B1139)),
ISNUMBER(SEARCH("MOCHILA",B1139)),
ISNUMBER(SEARCH("FUNDA",B1139)),
ISNUMBER(SEARCH("ESTUCHE",B1139)),
ISNUMBER(SEARCH("BOOK COVER",B1139)),
ISNUMBER(SEARCH("KEYBOARD PARA TABLET",B1139)),
ISNUMBER(SEARCH("FLIP TABLET",B1139)),
ISNUMBER(SEARCH("CASE FOR TABLET",B1139)),
ISNUMBER(SEARCH("CABLE",B1139)),
ISNUMBER(SEARCH("ADAPTADOR",B1139)),
ISNUMBER(SEARCH("HUB",B1139)),
ISNUMBER(SEARCH("DOCK",B1139)),
ISNUMBER(SEARCH("MOUSE PAD",B1139)),
ISNUMBER(SEARCH("MOUSEPAD",B1139)),
ISNUMBER(SEARCH("SOPORTE",B1139)),
ISNUMBER(SEARCH("STAND",B1139)),
ISNUMBER(SEARCH("TRAVEL ADAPTER",B1139)),
ISNUMBER(SEARCH("RJ45",B1139)),
ISNUMBER(SEARCH("USB-C",B1139)),
ISNUMBER(SEARCH("USB WIFI",B1139)),
ISNUMBER(SEARCH("POWERBANK",B1139)),
ISNUMBER(SEARCH("CARGADOR",B1139)),
ISNUMBER(SEARCH("COOLER PARA NB",B1139)),
ISNUMBER(SEARCH("SOPORTE PARA NB",B1139)),
ISNUMBER(SEARCH("WEBCAM",B1139)),
ISNUMBER(SEARCH("WEB CAM",B1139)),
ISNUMBER(SEARCH("MOUSE",B1139)),
ISNUMBER(SEARCH("TECLADO",B1139))
),
"COMPLEMENTO",
IF(
OR(
LEFT(A1139,2)="NB",
LEFT(A1139,2)="PC",
LEFT(A1139,2)="WS",
LEFT(A1139,2)="TB",
LEFT(A1139,3)="CEL",
LEFT(A1139,3)="MON",
LEFT(A1139,3)="PRE",
LEFT(A1139,3)="PRH",
ISNUMBER(SEARCH("NOTEBOOK",B1139)),
ISNUMBER(SEARCH("LAPTOP",B1139)),
ISNUMBER(SEARCH("MONITOR",B1139)),
ISNUMBER(SEARCH("TABLET",B1139)),
ISNUMBER(SEARCH("SMARTPH",B1139)),
ISNUMBER(SEARCH("IMPRESORA",B1139)),
ISNUMBER(SEARCH("MULTIFUNCIONAL",B1139)),
ISNUMBER(SEARCH("AIO",B1139))
),
"GANCHO",
"NORMAL"
)
)</f>
        <v>GANCHO</v>
      </c>
    </row>
    <row r="1138" spans="1:12" x14ac:dyDescent="0.25">
      <c r="A1138" s="3" t="s">
        <v>1868</v>
      </c>
      <c r="B1138" s="3" t="s">
        <v>1869</v>
      </c>
      <c r="C1138" s="1">
        <v>20</v>
      </c>
      <c r="D1138" s="1">
        <v>696</v>
      </c>
      <c r="E1138" s="1" t="s">
        <v>1843</v>
      </c>
      <c r="F1138" s="1" t="s">
        <v>3723</v>
      </c>
      <c r="G1138" s="3" t="s">
        <v>1870</v>
      </c>
      <c r="H1138" s="11">
        <f>ROUND(
IF(L1136="GANCHO",
   IF(I1138&lt;=50,I1138*1.1+4,IF(I1138&lt;=120,I1138*1.1+7,IF(I1138&lt;=250,I1138*1.1+11,I1138*1.1+19))),
IF(L1136="NORMAL",
   IF(I1138&lt;=30,I1138*1.15+2,IF(I1138&lt;=80,I1138*1.15+4,IF(I1138&lt;=150,I1138*1.15+6,I1138*1.15+8))),
IF(L1136="COMPLEMENTO",
   IF(I1138&lt;=25,I1138*1.25+1.5,IF(I1138&lt;=60,I1138*1.25+3,IF(I1138&lt;=120,I1138*1.25+4,I1138*1.25+5))),
""))),2)</f>
        <v>3162.86</v>
      </c>
      <c r="I1138" s="9">
        <f>($K$2+0.02)*Tabla1[[#This Row],[PRECIO $]]*1.18</f>
        <v>2858.0544</v>
      </c>
      <c r="J1138" s="7">
        <f>+Tabla1[[#This Row],[PRECIO EN SOLES]]-Tabla1[[#This Row],[PC]]</f>
        <v>304.80560000000014</v>
      </c>
      <c r="K1138" s="15"/>
      <c r="L1138" s="15" t="str">
        <f>IF(
OR(
ISNUMBER(SEARCH("BACKPACK",B1140)),
ISNUMBER(SEARCH("MOCHILA",B1140)),
ISNUMBER(SEARCH("FUNDA",B1140)),
ISNUMBER(SEARCH("ESTUCHE",B1140)),
ISNUMBER(SEARCH("BOOK COVER",B1140)),
ISNUMBER(SEARCH("KEYBOARD PARA TABLET",B1140)),
ISNUMBER(SEARCH("FLIP TABLET",B1140)),
ISNUMBER(SEARCH("CASE FOR TABLET",B1140)),
ISNUMBER(SEARCH("CABLE",B1140)),
ISNUMBER(SEARCH("ADAPTADOR",B1140)),
ISNUMBER(SEARCH("HUB",B1140)),
ISNUMBER(SEARCH("DOCK",B1140)),
ISNUMBER(SEARCH("MOUSE PAD",B1140)),
ISNUMBER(SEARCH("MOUSEPAD",B1140)),
ISNUMBER(SEARCH("SOPORTE",B1140)),
ISNUMBER(SEARCH("STAND",B1140)),
ISNUMBER(SEARCH("TRAVEL ADAPTER",B1140)),
ISNUMBER(SEARCH("RJ45",B1140)),
ISNUMBER(SEARCH("USB-C",B1140)),
ISNUMBER(SEARCH("USB WIFI",B1140)),
ISNUMBER(SEARCH("POWERBANK",B1140)),
ISNUMBER(SEARCH("CARGADOR",B1140)),
ISNUMBER(SEARCH("COOLER PARA NB",B1140)),
ISNUMBER(SEARCH("SOPORTE PARA NB",B1140)),
ISNUMBER(SEARCH("WEBCAM",B1140)),
ISNUMBER(SEARCH("WEB CAM",B1140)),
ISNUMBER(SEARCH("MOUSE",B1140)),
ISNUMBER(SEARCH("TECLADO",B1140))
),
"COMPLEMENTO",
IF(
OR(
LEFT(A1140,2)="NB",
LEFT(A1140,2)="PC",
LEFT(A1140,2)="WS",
LEFT(A1140,2)="TB",
LEFT(A1140,3)="CEL",
LEFT(A1140,3)="MON",
LEFT(A1140,3)="PRE",
LEFT(A1140,3)="PRH",
ISNUMBER(SEARCH("NOTEBOOK",B1140)),
ISNUMBER(SEARCH("LAPTOP",B1140)),
ISNUMBER(SEARCH("MONITOR",B1140)),
ISNUMBER(SEARCH("TABLET",B1140)),
ISNUMBER(SEARCH("SMARTPH",B1140)),
ISNUMBER(SEARCH("IMPRESORA",B1140)),
ISNUMBER(SEARCH("MULTIFUNCIONAL",B1140)),
ISNUMBER(SEARCH("AIO",B1140))
),
"GANCHO",
"NORMAL"
)
)</f>
        <v>GANCHO</v>
      </c>
    </row>
    <row r="1139" spans="1:12" x14ac:dyDescent="0.25">
      <c r="A1139" s="3" t="s">
        <v>1871</v>
      </c>
      <c r="B1139" s="3" t="s">
        <v>1872</v>
      </c>
      <c r="C1139" s="1">
        <v>2</v>
      </c>
      <c r="D1139" s="1">
        <v>750</v>
      </c>
      <c r="E1139" s="1" t="s">
        <v>1843</v>
      </c>
      <c r="F1139" s="1" t="s">
        <v>3724</v>
      </c>
      <c r="G1139" s="3"/>
      <c r="H1139" s="11">
        <f>ROUND(
IF(L1137="GANCHO",
   IF(I1139&lt;=50,I1139*1.1+4,IF(I1139&lt;=120,I1139*1.1+7,IF(I1139&lt;=250,I1139*1.1+11,I1139*1.1+19))),
IF(L1137="NORMAL",
   IF(I1139&lt;=30,I1139*1.15+2,IF(I1139&lt;=80,I1139*1.15+4,IF(I1139&lt;=150,I1139*1.15+6,I1139*1.15+8))),
IF(L1137="COMPLEMENTO",
   IF(I1139&lt;=25,I1139*1.25+1.5,IF(I1139&lt;=60,I1139*1.25+3,IF(I1139&lt;=120,I1139*1.25+4,I1139*1.25+5))),
""))),2)</f>
        <v>3406.78</v>
      </c>
      <c r="I1139" s="9">
        <f>($K$2+0.02)*Tabla1[[#This Row],[PRECIO $]]*1.18</f>
        <v>3079.7999999999997</v>
      </c>
      <c r="J1139" s="7">
        <f>+Tabla1[[#This Row],[PRECIO EN SOLES]]-Tabla1[[#This Row],[PC]]</f>
        <v>326.98000000000047</v>
      </c>
      <c r="K1139" s="15"/>
      <c r="L1139" s="15" t="str">
        <f>IF(
OR(
ISNUMBER(SEARCH("BACKPACK",B1141)),
ISNUMBER(SEARCH("MOCHILA",B1141)),
ISNUMBER(SEARCH("FUNDA",B1141)),
ISNUMBER(SEARCH("ESTUCHE",B1141)),
ISNUMBER(SEARCH("BOOK COVER",B1141)),
ISNUMBER(SEARCH("KEYBOARD PARA TABLET",B1141)),
ISNUMBER(SEARCH("FLIP TABLET",B1141)),
ISNUMBER(SEARCH("CASE FOR TABLET",B1141)),
ISNUMBER(SEARCH("CABLE",B1141)),
ISNUMBER(SEARCH("ADAPTADOR",B1141)),
ISNUMBER(SEARCH("HUB",B1141)),
ISNUMBER(SEARCH("DOCK",B1141)),
ISNUMBER(SEARCH("MOUSE PAD",B1141)),
ISNUMBER(SEARCH("MOUSEPAD",B1141)),
ISNUMBER(SEARCH("SOPORTE",B1141)),
ISNUMBER(SEARCH("STAND",B1141)),
ISNUMBER(SEARCH("TRAVEL ADAPTER",B1141)),
ISNUMBER(SEARCH("RJ45",B1141)),
ISNUMBER(SEARCH("USB-C",B1141)),
ISNUMBER(SEARCH("USB WIFI",B1141)),
ISNUMBER(SEARCH("POWERBANK",B1141)),
ISNUMBER(SEARCH("CARGADOR",B1141)),
ISNUMBER(SEARCH("COOLER PARA NB",B1141)),
ISNUMBER(SEARCH("SOPORTE PARA NB",B1141)),
ISNUMBER(SEARCH("WEBCAM",B1141)),
ISNUMBER(SEARCH("WEB CAM",B1141)),
ISNUMBER(SEARCH("MOUSE",B1141)),
ISNUMBER(SEARCH("TECLADO",B1141))
),
"COMPLEMENTO",
IF(
OR(
LEFT(A1141,2)="NB",
LEFT(A1141,2)="PC",
LEFT(A1141,2)="WS",
LEFT(A1141,2)="TB",
LEFT(A1141,3)="CEL",
LEFT(A1141,3)="MON",
LEFT(A1141,3)="PRE",
LEFT(A1141,3)="PRH",
ISNUMBER(SEARCH("NOTEBOOK",B1141)),
ISNUMBER(SEARCH("LAPTOP",B1141)),
ISNUMBER(SEARCH("MONITOR",B1141)),
ISNUMBER(SEARCH("TABLET",B1141)),
ISNUMBER(SEARCH("SMARTPH",B1141)),
ISNUMBER(SEARCH("IMPRESORA",B1141)),
ISNUMBER(SEARCH("MULTIFUNCIONAL",B1141)),
ISNUMBER(SEARCH("AIO",B1141))
),
"GANCHO",
"NORMAL"
)
)</f>
        <v>GANCHO</v>
      </c>
    </row>
    <row r="1140" spans="1:12" x14ac:dyDescent="0.25">
      <c r="A1140" s="3" t="s">
        <v>6105</v>
      </c>
      <c r="B1140" s="3" t="s">
        <v>6106</v>
      </c>
      <c r="C1140" s="1">
        <v>14</v>
      </c>
      <c r="D1140" s="1">
        <v>1148</v>
      </c>
      <c r="E1140" s="1" t="s">
        <v>367</v>
      </c>
      <c r="F1140" s="1" t="s">
        <v>6107</v>
      </c>
      <c r="G1140" s="3" t="s">
        <v>6108</v>
      </c>
      <c r="H1140" s="11">
        <f>ROUND(
IF(L1138="GANCHO",
   IF(I1140&lt;=50,I1140*1.1+4,IF(I1140&lt;=120,I1140*1.1+7,IF(I1140&lt;=250,I1140*1.1+11,I1140*1.1+19))),
IF(L1138="NORMAL",
   IF(I1140&lt;=30,I1140*1.15+2,IF(I1140&lt;=80,I1140*1.15+4,IF(I1140&lt;=150,I1140*1.15+6,I1140*1.15+8))),
IF(L1138="COMPLEMENTO",
   IF(I1140&lt;=25,I1140*1.25+1.5,IF(I1140&lt;=60,I1140*1.25+3,IF(I1140&lt;=120,I1140*1.25+4,I1140*1.25+5))),
""))),2)</f>
        <v>5204.5600000000004</v>
      </c>
      <c r="I1140" s="9">
        <f>($K$2+0.02)*Tabla1[[#This Row],[PRECIO $]]*1.18</f>
        <v>4714.1471999999994</v>
      </c>
      <c r="J1140" s="7">
        <f>+Tabla1[[#This Row],[PRECIO EN SOLES]]-Tabla1[[#This Row],[PC]]</f>
        <v>490.41280000000097</v>
      </c>
      <c r="K1140" s="15"/>
      <c r="L1140" s="15" t="str">
        <f>IF(
OR(
ISNUMBER(SEARCH("BACKPACK",B1142)),
ISNUMBER(SEARCH("MOCHILA",B1142)),
ISNUMBER(SEARCH("FUNDA",B1142)),
ISNUMBER(SEARCH("ESTUCHE",B1142)),
ISNUMBER(SEARCH("BOOK COVER",B1142)),
ISNUMBER(SEARCH("KEYBOARD PARA TABLET",B1142)),
ISNUMBER(SEARCH("FLIP TABLET",B1142)),
ISNUMBER(SEARCH("CASE FOR TABLET",B1142)),
ISNUMBER(SEARCH("CABLE",B1142)),
ISNUMBER(SEARCH("ADAPTADOR",B1142)),
ISNUMBER(SEARCH("HUB",B1142)),
ISNUMBER(SEARCH("DOCK",B1142)),
ISNUMBER(SEARCH("MOUSE PAD",B1142)),
ISNUMBER(SEARCH("MOUSEPAD",B1142)),
ISNUMBER(SEARCH("SOPORTE",B1142)),
ISNUMBER(SEARCH("STAND",B1142)),
ISNUMBER(SEARCH("TRAVEL ADAPTER",B1142)),
ISNUMBER(SEARCH("RJ45",B1142)),
ISNUMBER(SEARCH("USB-C",B1142)),
ISNUMBER(SEARCH("USB WIFI",B1142)),
ISNUMBER(SEARCH("POWERBANK",B1142)),
ISNUMBER(SEARCH("CARGADOR",B1142)),
ISNUMBER(SEARCH("COOLER PARA NB",B1142)),
ISNUMBER(SEARCH("SOPORTE PARA NB",B1142)),
ISNUMBER(SEARCH("WEBCAM",B1142)),
ISNUMBER(SEARCH("WEB CAM",B1142)),
ISNUMBER(SEARCH("MOUSE",B1142)),
ISNUMBER(SEARCH("TECLADO",B1142))
),
"COMPLEMENTO",
IF(
OR(
LEFT(A1142,2)="NB",
LEFT(A1142,2)="PC",
LEFT(A1142,2)="WS",
LEFT(A1142,2)="TB",
LEFT(A1142,3)="CEL",
LEFT(A1142,3)="MON",
LEFT(A1142,3)="PRE",
LEFT(A1142,3)="PRH",
ISNUMBER(SEARCH("NOTEBOOK",B1142)),
ISNUMBER(SEARCH("LAPTOP",B1142)),
ISNUMBER(SEARCH("MONITOR",B1142)),
ISNUMBER(SEARCH("TABLET",B1142)),
ISNUMBER(SEARCH("SMARTPH",B1142)),
ISNUMBER(SEARCH("IMPRESORA",B1142)),
ISNUMBER(SEARCH("MULTIFUNCIONAL",B1142)),
ISNUMBER(SEARCH("AIO",B1142))
),
"GANCHO",
"NORMAL"
)
)</f>
        <v>GANCHO</v>
      </c>
    </row>
    <row r="1141" spans="1:12" x14ac:dyDescent="0.25">
      <c r="A1141" s="3" t="s">
        <v>4421</v>
      </c>
      <c r="B1141" s="3" t="s">
        <v>4422</v>
      </c>
      <c r="C1141" s="1">
        <v>10</v>
      </c>
      <c r="D1141" s="1">
        <v>1347</v>
      </c>
      <c r="E1141" s="1" t="s">
        <v>367</v>
      </c>
      <c r="F1141" s="1" t="s">
        <v>4423</v>
      </c>
      <c r="G1141" s="3" t="s">
        <v>4660</v>
      </c>
      <c r="H1141" s="11">
        <f>ROUND(
IF(L1139="GANCHO",
   IF(I1141&lt;=50,I1141*1.1+4,IF(I1141&lt;=120,I1141*1.1+7,IF(I1141&lt;=250,I1141*1.1+11,I1141*1.1+19))),
IF(L1139="NORMAL",
   IF(I1141&lt;=30,I1141*1.15+2,IF(I1141&lt;=80,I1141*1.15+4,IF(I1141&lt;=150,I1141*1.15+6,I1141*1.15+8))),
IF(L1139="COMPLEMENTO",
   IF(I1141&lt;=25,I1141*1.25+1.5,IF(I1141&lt;=60,I1141*1.25+3,IF(I1141&lt;=120,I1141*1.25+4,I1141*1.25+5))),
""))),2)</f>
        <v>6103.45</v>
      </c>
      <c r="I1141" s="9">
        <f>($K$2+0.02)*Tabla1[[#This Row],[PRECIO $]]*1.18</f>
        <v>5531.3208000000004</v>
      </c>
      <c r="J1141" s="7">
        <f>+Tabla1[[#This Row],[PRECIO EN SOLES]]-Tabla1[[#This Row],[PC]]</f>
        <v>572.1291999999994</v>
      </c>
      <c r="K1141" s="15"/>
      <c r="L1141" s="15" t="str">
        <f>IF(
OR(
ISNUMBER(SEARCH("BACKPACK",B1143)),
ISNUMBER(SEARCH("MOCHILA",B1143)),
ISNUMBER(SEARCH("FUNDA",B1143)),
ISNUMBER(SEARCH("ESTUCHE",B1143)),
ISNUMBER(SEARCH("BOOK COVER",B1143)),
ISNUMBER(SEARCH("KEYBOARD PARA TABLET",B1143)),
ISNUMBER(SEARCH("FLIP TABLET",B1143)),
ISNUMBER(SEARCH("CASE FOR TABLET",B1143)),
ISNUMBER(SEARCH("CABLE",B1143)),
ISNUMBER(SEARCH("ADAPTADOR",B1143)),
ISNUMBER(SEARCH("HUB",B1143)),
ISNUMBER(SEARCH("DOCK",B1143)),
ISNUMBER(SEARCH("MOUSE PAD",B1143)),
ISNUMBER(SEARCH("MOUSEPAD",B1143)),
ISNUMBER(SEARCH("SOPORTE",B1143)),
ISNUMBER(SEARCH("STAND",B1143)),
ISNUMBER(SEARCH("TRAVEL ADAPTER",B1143)),
ISNUMBER(SEARCH("RJ45",B1143)),
ISNUMBER(SEARCH("USB-C",B1143)),
ISNUMBER(SEARCH("USB WIFI",B1143)),
ISNUMBER(SEARCH("POWERBANK",B1143)),
ISNUMBER(SEARCH("CARGADOR",B1143)),
ISNUMBER(SEARCH("COOLER PARA NB",B1143)),
ISNUMBER(SEARCH("SOPORTE PARA NB",B1143)),
ISNUMBER(SEARCH("WEBCAM",B1143)),
ISNUMBER(SEARCH("WEB CAM",B1143)),
ISNUMBER(SEARCH("MOUSE",B1143)),
ISNUMBER(SEARCH("TECLADO",B1143))
),
"COMPLEMENTO",
IF(
OR(
LEFT(A1143,2)="NB",
LEFT(A1143,2)="PC",
LEFT(A1143,2)="WS",
LEFT(A1143,2)="TB",
LEFT(A1143,3)="CEL",
LEFT(A1143,3)="MON",
LEFT(A1143,3)="PRE",
LEFT(A1143,3)="PRH",
ISNUMBER(SEARCH("NOTEBOOK",B1143)),
ISNUMBER(SEARCH("LAPTOP",B1143)),
ISNUMBER(SEARCH("MONITOR",B1143)),
ISNUMBER(SEARCH("TABLET",B1143)),
ISNUMBER(SEARCH("SMARTPH",B1143)),
ISNUMBER(SEARCH("IMPRESORA",B1143)),
ISNUMBER(SEARCH("MULTIFUNCIONAL",B1143)),
ISNUMBER(SEARCH("AIO",B1143))
),
"GANCHO",
"NORMAL"
)
)</f>
        <v>GANCHO</v>
      </c>
    </row>
    <row r="1142" spans="1:12" x14ac:dyDescent="0.25">
      <c r="A1142" s="3" t="s">
        <v>2755</v>
      </c>
      <c r="B1142" s="3" t="s">
        <v>2756</v>
      </c>
      <c r="C1142" s="1">
        <v>20</v>
      </c>
      <c r="D1142" s="1">
        <v>1282</v>
      </c>
      <c r="E1142" s="1" t="s">
        <v>1843</v>
      </c>
      <c r="F1142" s="1" t="s">
        <v>3725</v>
      </c>
      <c r="G1142" s="3" t="s">
        <v>2767</v>
      </c>
      <c r="H1142" s="11">
        <f>ROUND(
IF(L1140="GANCHO",
   IF(I1142&lt;=50,I1142*1.1+4,IF(I1142&lt;=120,I1142*1.1+7,IF(I1142&lt;=250,I1142*1.1+11,I1142*1.1+19))),
IF(L1140="NORMAL",
   IF(I1142&lt;=30,I1142*1.15+2,IF(I1142&lt;=80,I1142*1.15+4,IF(I1142&lt;=150,I1142*1.15+6,I1142*1.15+8))),
IF(L1140="COMPLEMENTO",
   IF(I1142&lt;=25,I1142*1.25+1.5,IF(I1142&lt;=60,I1142*1.25+3,IF(I1142&lt;=120,I1142*1.25+4,I1142*1.25+5))),
""))),2)</f>
        <v>5809.85</v>
      </c>
      <c r="I1142" s="9">
        <f>($K$2+0.02)*Tabla1[[#This Row],[PRECIO $]]*1.18</f>
        <v>5264.4047999999993</v>
      </c>
      <c r="J1142" s="7">
        <f>+Tabla1[[#This Row],[PRECIO EN SOLES]]-Tabla1[[#This Row],[PC]]</f>
        <v>545.44520000000102</v>
      </c>
      <c r="K1142" s="15"/>
      <c r="L1142" s="15" t="str">
        <f>IF(
OR(
ISNUMBER(SEARCH("BACKPACK",B1144)),
ISNUMBER(SEARCH("MOCHILA",B1144)),
ISNUMBER(SEARCH("FUNDA",B1144)),
ISNUMBER(SEARCH("ESTUCHE",B1144)),
ISNUMBER(SEARCH("BOOK COVER",B1144)),
ISNUMBER(SEARCH("KEYBOARD PARA TABLET",B1144)),
ISNUMBER(SEARCH("FLIP TABLET",B1144)),
ISNUMBER(SEARCH("CASE FOR TABLET",B1144)),
ISNUMBER(SEARCH("CABLE",B1144)),
ISNUMBER(SEARCH("ADAPTADOR",B1144)),
ISNUMBER(SEARCH("HUB",B1144)),
ISNUMBER(SEARCH("DOCK",B1144)),
ISNUMBER(SEARCH("MOUSE PAD",B1144)),
ISNUMBER(SEARCH("MOUSEPAD",B1144)),
ISNUMBER(SEARCH("SOPORTE",B1144)),
ISNUMBER(SEARCH("STAND",B1144)),
ISNUMBER(SEARCH("TRAVEL ADAPTER",B1144)),
ISNUMBER(SEARCH("RJ45",B1144)),
ISNUMBER(SEARCH("USB-C",B1144)),
ISNUMBER(SEARCH("USB WIFI",B1144)),
ISNUMBER(SEARCH("POWERBANK",B1144)),
ISNUMBER(SEARCH("CARGADOR",B1144)),
ISNUMBER(SEARCH("COOLER PARA NB",B1144)),
ISNUMBER(SEARCH("SOPORTE PARA NB",B1144)),
ISNUMBER(SEARCH("WEBCAM",B1144)),
ISNUMBER(SEARCH("WEB CAM",B1144)),
ISNUMBER(SEARCH("MOUSE",B1144)),
ISNUMBER(SEARCH("TECLADO",B1144))
),
"COMPLEMENTO",
IF(
OR(
LEFT(A1144,2)="NB",
LEFT(A1144,2)="PC",
LEFT(A1144,2)="WS",
LEFT(A1144,2)="TB",
LEFT(A1144,3)="CEL",
LEFT(A1144,3)="MON",
LEFT(A1144,3)="PRE",
LEFT(A1144,3)="PRH",
ISNUMBER(SEARCH("NOTEBOOK",B1144)),
ISNUMBER(SEARCH("LAPTOP",B1144)),
ISNUMBER(SEARCH("MONITOR",B1144)),
ISNUMBER(SEARCH("TABLET",B1144)),
ISNUMBER(SEARCH("SMARTPH",B1144)),
ISNUMBER(SEARCH("IMPRESORA",B1144)),
ISNUMBER(SEARCH("MULTIFUNCIONAL",B1144)),
ISNUMBER(SEARCH("AIO",B1144))
),
"GANCHO",
"NORMAL"
)
)</f>
        <v>GANCHO</v>
      </c>
    </row>
    <row r="1143" spans="1:12" x14ac:dyDescent="0.25">
      <c r="A1143" s="3" t="s">
        <v>2757</v>
      </c>
      <c r="B1143" s="3" t="s">
        <v>2756</v>
      </c>
      <c r="C1143" s="1">
        <v>20</v>
      </c>
      <c r="D1143" s="1">
        <v>1241</v>
      </c>
      <c r="E1143" s="1" t="s">
        <v>1843</v>
      </c>
      <c r="F1143" s="1" t="s">
        <v>3726</v>
      </c>
      <c r="G1143" s="3" t="s">
        <v>2768</v>
      </c>
      <c r="H1143" s="11">
        <f>ROUND(
IF(L1141="GANCHO",
   IF(I1143&lt;=50,I1143*1.1+4,IF(I1143&lt;=120,I1143*1.1+7,IF(I1143&lt;=250,I1143*1.1+11,I1143*1.1+19))),
IF(L1141="NORMAL",
   IF(I1143&lt;=30,I1143*1.15+2,IF(I1143&lt;=80,I1143*1.15+4,IF(I1143&lt;=150,I1143*1.15+6,I1143*1.15+8))),
IF(L1141="COMPLEMENTO",
   IF(I1143&lt;=25,I1143*1.25+1.5,IF(I1143&lt;=60,I1143*1.25+3,IF(I1143&lt;=120,I1143*1.25+4,I1143*1.25+5))),
""))),2)</f>
        <v>5624.65</v>
      </c>
      <c r="I1143" s="9">
        <f>($K$2+0.02)*Tabla1[[#This Row],[PRECIO $]]*1.18</f>
        <v>5096.0424000000003</v>
      </c>
      <c r="J1143" s="7">
        <f>+Tabla1[[#This Row],[PRECIO EN SOLES]]-Tabla1[[#This Row],[PC]]</f>
        <v>528.60759999999937</v>
      </c>
      <c r="K1143" s="15"/>
      <c r="L1143" s="15" t="str">
        <f>IF(
OR(
ISNUMBER(SEARCH("BACKPACK",B1145)),
ISNUMBER(SEARCH("MOCHILA",B1145)),
ISNUMBER(SEARCH("FUNDA",B1145)),
ISNUMBER(SEARCH("ESTUCHE",B1145)),
ISNUMBER(SEARCH("BOOK COVER",B1145)),
ISNUMBER(SEARCH("KEYBOARD PARA TABLET",B1145)),
ISNUMBER(SEARCH("FLIP TABLET",B1145)),
ISNUMBER(SEARCH("CASE FOR TABLET",B1145)),
ISNUMBER(SEARCH("CABLE",B1145)),
ISNUMBER(SEARCH("ADAPTADOR",B1145)),
ISNUMBER(SEARCH("HUB",B1145)),
ISNUMBER(SEARCH("DOCK",B1145)),
ISNUMBER(SEARCH("MOUSE PAD",B1145)),
ISNUMBER(SEARCH("MOUSEPAD",B1145)),
ISNUMBER(SEARCH("SOPORTE",B1145)),
ISNUMBER(SEARCH("STAND",B1145)),
ISNUMBER(SEARCH("TRAVEL ADAPTER",B1145)),
ISNUMBER(SEARCH("RJ45",B1145)),
ISNUMBER(SEARCH("USB-C",B1145)),
ISNUMBER(SEARCH("USB WIFI",B1145)),
ISNUMBER(SEARCH("POWERBANK",B1145)),
ISNUMBER(SEARCH("CARGADOR",B1145)),
ISNUMBER(SEARCH("COOLER PARA NB",B1145)),
ISNUMBER(SEARCH("SOPORTE PARA NB",B1145)),
ISNUMBER(SEARCH("WEBCAM",B1145)),
ISNUMBER(SEARCH("WEB CAM",B1145)),
ISNUMBER(SEARCH("MOUSE",B1145)),
ISNUMBER(SEARCH("TECLADO",B1145))
),
"COMPLEMENTO",
IF(
OR(
LEFT(A1145,2)="NB",
LEFT(A1145,2)="PC",
LEFT(A1145,2)="WS",
LEFT(A1145,2)="TB",
LEFT(A1145,3)="CEL",
LEFT(A1145,3)="MON",
LEFT(A1145,3)="PRE",
LEFT(A1145,3)="PRH",
ISNUMBER(SEARCH("NOTEBOOK",B1145)),
ISNUMBER(SEARCH("LAPTOP",B1145)),
ISNUMBER(SEARCH("MONITOR",B1145)),
ISNUMBER(SEARCH("TABLET",B1145)),
ISNUMBER(SEARCH("SMARTPH",B1145)),
ISNUMBER(SEARCH("IMPRESORA",B1145)),
ISNUMBER(SEARCH("MULTIFUNCIONAL",B1145)),
ISNUMBER(SEARCH("AIO",B1145))
),
"GANCHO",
"NORMAL"
)
)</f>
        <v>GANCHO</v>
      </c>
    </row>
    <row r="1144" spans="1:12" x14ac:dyDescent="0.25">
      <c r="A1144" s="3" t="s">
        <v>6630</v>
      </c>
      <c r="B1144" s="3" t="s">
        <v>6631</v>
      </c>
      <c r="C1144" s="1">
        <v>20</v>
      </c>
      <c r="D1144" s="1">
        <v>1629</v>
      </c>
      <c r="E1144" s="1" t="s">
        <v>74</v>
      </c>
      <c r="F1144" s="1" t="s">
        <v>6632</v>
      </c>
      <c r="G1144" s="3" t="s">
        <v>6633</v>
      </c>
      <c r="H1144" s="11">
        <f>ROUND(
IF(L1142="GANCHO",
   IF(I1144&lt;=50,I1144*1.1+4,IF(I1144&lt;=120,I1144*1.1+7,IF(I1144&lt;=250,I1144*1.1+11,I1144*1.1+19))),
IF(L1142="NORMAL",
   IF(I1144&lt;=30,I1144*1.15+2,IF(I1144&lt;=80,I1144*1.15+4,IF(I1144&lt;=150,I1144*1.15+6,I1144*1.15+8))),
IF(L1142="COMPLEMENTO",
   IF(I1144&lt;=25,I1144*1.25+1.5,IF(I1144&lt;=60,I1144*1.25+3,IF(I1144&lt;=120,I1144*1.25+4,I1144*1.25+5))),
""))),2)</f>
        <v>7377.26</v>
      </c>
      <c r="I1144" s="9">
        <f>($K$2+0.02)*Tabla1[[#This Row],[PRECIO $]]*1.18</f>
        <v>6689.3256000000001</v>
      </c>
      <c r="J1144" s="7">
        <f>+Tabla1[[#This Row],[PRECIO EN SOLES]]-Tabla1[[#This Row],[PC]]</f>
        <v>687.9344000000001</v>
      </c>
      <c r="K1144" s="15"/>
      <c r="L1144" s="15" t="str">
        <f>IF(
OR(
ISNUMBER(SEARCH("BACKPACK",B1146)),
ISNUMBER(SEARCH("MOCHILA",B1146)),
ISNUMBER(SEARCH("FUNDA",B1146)),
ISNUMBER(SEARCH("ESTUCHE",B1146)),
ISNUMBER(SEARCH("BOOK COVER",B1146)),
ISNUMBER(SEARCH("KEYBOARD PARA TABLET",B1146)),
ISNUMBER(SEARCH("FLIP TABLET",B1146)),
ISNUMBER(SEARCH("CASE FOR TABLET",B1146)),
ISNUMBER(SEARCH("CABLE",B1146)),
ISNUMBER(SEARCH("ADAPTADOR",B1146)),
ISNUMBER(SEARCH("HUB",B1146)),
ISNUMBER(SEARCH("DOCK",B1146)),
ISNUMBER(SEARCH("MOUSE PAD",B1146)),
ISNUMBER(SEARCH("MOUSEPAD",B1146)),
ISNUMBER(SEARCH("SOPORTE",B1146)),
ISNUMBER(SEARCH("STAND",B1146)),
ISNUMBER(SEARCH("TRAVEL ADAPTER",B1146)),
ISNUMBER(SEARCH("RJ45",B1146)),
ISNUMBER(SEARCH("USB-C",B1146)),
ISNUMBER(SEARCH("USB WIFI",B1146)),
ISNUMBER(SEARCH("POWERBANK",B1146)),
ISNUMBER(SEARCH("CARGADOR",B1146)),
ISNUMBER(SEARCH("COOLER PARA NB",B1146)),
ISNUMBER(SEARCH("SOPORTE PARA NB",B1146)),
ISNUMBER(SEARCH("WEBCAM",B1146)),
ISNUMBER(SEARCH("WEB CAM",B1146)),
ISNUMBER(SEARCH("MOUSE",B1146)),
ISNUMBER(SEARCH("TECLADO",B1146))
),
"COMPLEMENTO",
IF(
OR(
LEFT(A1146,2)="NB",
LEFT(A1146,2)="PC",
LEFT(A1146,2)="WS",
LEFT(A1146,2)="TB",
LEFT(A1146,3)="CEL",
LEFT(A1146,3)="MON",
LEFT(A1146,3)="PRE",
LEFT(A1146,3)="PRH",
ISNUMBER(SEARCH("NOTEBOOK",B1146)),
ISNUMBER(SEARCH("LAPTOP",B1146)),
ISNUMBER(SEARCH("MONITOR",B1146)),
ISNUMBER(SEARCH("TABLET",B1146)),
ISNUMBER(SEARCH("SMARTPH",B1146)),
ISNUMBER(SEARCH("IMPRESORA",B1146)),
ISNUMBER(SEARCH("MULTIFUNCIONAL",B1146)),
ISNUMBER(SEARCH("AIO",B1146))
),
"GANCHO",
"NORMAL"
)
)</f>
        <v>GANCHO</v>
      </c>
    </row>
    <row r="1145" spans="1:12" x14ac:dyDescent="0.25">
      <c r="A1145" s="3" t="s">
        <v>679</v>
      </c>
      <c r="B1145" s="3" t="s">
        <v>680</v>
      </c>
      <c r="C1145" s="1">
        <v>0</v>
      </c>
      <c r="D1145" s="1">
        <v>639</v>
      </c>
      <c r="E1145" s="1" t="s">
        <v>74</v>
      </c>
      <c r="F1145" s="1" t="s">
        <v>3727</v>
      </c>
      <c r="G1145" s="3" t="s">
        <v>681</v>
      </c>
      <c r="H1145" s="11">
        <f>ROUND(
IF(L1143="GANCHO",
   IF(I1145&lt;=50,I1145*1.1+4,IF(I1145&lt;=120,I1145*1.1+7,IF(I1145&lt;=250,I1145*1.1+11,I1145*1.1+19))),
IF(L1143="NORMAL",
   IF(I1145&lt;=30,I1145*1.15+2,IF(I1145&lt;=80,I1145*1.15+4,IF(I1145&lt;=150,I1145*1.15+6,I1145*1.15+8))),
IF(L1143="COMPLEMENTO",
   IF(I1145&lt;=25,I1145*1.25+1.5,IF(I1145&lt;=60,I1145*1.25+3,IF(I1145&lt;=120,I1145*1.25+4,I1145*1.25+5))),
""))),2)</f>
        <v>2905.39</v>
      </c>
      <c r="I1145" s="9">
        <f>($K$2+0.02)*Tabla1[[#This Row],[PRECIO $]]*1.18</f>
        <v>2623.9895999999994</v>
      </c>
      <c r="J1145" s="7">
        <f>+Tabla1[[#This Row],[PRECIO EN SOLES]]-Tabla1[[#This Row],[PC]]</f>
        <v>281.40040000000045</v>
      </c>
      <c r="K1145" s="15"/>
      <c r="L1145" s="15" t="str">
        <f>IF(
OR(
ISNUMBER(SEARCH("BACKPACK",B1147)),
ISNUMBER(SEARCH("MOCHILA",B1147)),
ISNUMBER(SEARCH("FUNDA",B1147)),
ISNUMBER(SEARCH("ESTUCHE",B1147)),
ISNUMBER(SEARCH("BOOK COVER",B1147)),
ISNUMBER(SEARCH("KEYBOARD PARA TABLET",B1147)),
ISNUMBER(SEARCH("FLIP TABLET",B1147)),
ISNUMBER(SEARCH("CASE FOR TABLET",B1147)),
ISNUMBER(SEARCH("CABLE",B1147)),
ISNUMBER(SEARCH("ADAPTADOR",B1147)),
ISNUMBER(SEARCH("HUB",B1147)),
ISNUMBER(SEARCH("DOCK",B1147)),
ISNUMBER(SEARCH("MOUSE PAD",B1147)),
ISNUMBER(SEARCH("MOUSEPAD",B1147)),
ISNUMBER(SEARCH("SOPORTE",B1147)),
ISNUMBER(SEARCH("STAND",B1147)),
ISNUMBER(SEARCH("TRAVEL ADAPTER",B1147)),
ISNUMBER(SEARCH("RJ45",B1147)),
ISNUMBER(SEARCH("USB-C",B1147)),
ISNUMBER(SEARCH("USB WIFI",B1147)),
ISNUMBER(SEARCH("POWERBANK",B1147)),
ISNUMBER(SEARCH("CARGADOR",B1147)),
ISNUMBER(SEARCH("COOLER PARA NB",B1147)),
ISNUMBER(SEARCH("SOPORTE PARA NB",B1147)),
ISNUMBER(SEARCH("WEBCAM",B1147)),
ISNUMBER(SEARCH("WEB CAM",B1147)),
ISNUMBER(SEARCH("MOUSE",B1147)),
ISNUMBER(SEARCH("TECLADO",B1147))
),
"COMPLEMENTO",
IF(
OR(
LEFT(A1147,2)="NB",
LEFT(A1147,2)="PC",
LEFT(A1147,2)="WS",
LEFT(A1147,2)="TB",
LEFT(A1147,3)="CEL",
LEFT(A1147,3)="MON",
LEFT(A1147,3)="PRE",
LEFT(A1147,3)="PRH",
ISNUMBER(SEARCH("NOTEBOOK",B1147)),
ISNUMBER(SEARCH("LAPTOP",B1147)),
ISNUMBER(SEARCH("MONITOR",B1147)),
ISNUMBER(SEARCH("TABLET",B1147)),
ISNUMBER(SEARCH("SMARTPH",B1147)),
ISNUMBER(SEARCH("IMPRESORA",B1147)),
ISNUMBER(SEARCH("MULTIFUNCIONAL",B1147)),
ISNUMBER(SEARCH("AIO",B1147))
),
"GANCHO",
"NORMAL"
)
)</f>
        <v>GANCHO</v>
      </c>
    </row>
    <row r="1146" spans="1:12" x14ac:dyDescent="0.25">
      <c r="A1146" s="3" t="s">
        <v>5465</v>
      </c>
      <c r="B1146" s="3" t="s">
        <v>4525</v>
      </c>
      <c r="C1146" s="1">
        <v>20</v>
      </c>
      <c r="D1146" s="1">
        <v>980</v>
      </c>
      <c r="E1146" s="1" t="s">
        <v>367</v>
      </c>
      <c r="F1146" s="1" t="s">
        <v>5466</v>
      </c>
      <c r="G1146" s="3" t="s">
        <v>5467</v>
      </c>
      <c r="H1146" s="11">
        <f>ROUND(
IF(L1144="GANCHO",
   IF(I1146&lt;=50,I1146*1.1+4,IF(I1146&lt;=120,I1146*1.1+7,IF(I1146&lt;=250,I1146*1.1+11,I1146*1.1+19))),
IF(L1144="NORMAL",
   IF(I1146&lt;=30,I1146*1.15+2,IF(I1146&lt;=80,I1146*1.15+4,IF(I1146&lt;=150,I1146*1.15+6,I1146*1.15+8))),
IF(L1144="COMPLEMENTO",
   IF(I1146&lt;=25,I1146*1.25+1.5,IF(I1146&lt;=60,I1146*1.25+3,IF(I1146&lt;=120,I1146*1.25+4,I1146*1.25+5))),
""))),2)</f>
        <v>4445.7</v>
      </c>
      <c r="I1146" s="9">
        <f>($K$2+0.02)*Tabla1[[#This Row],[PRECIO $]]*1.18</f>
        <v>4024.2719999999999</v>
      </c>
      <c r="J1146" s="7">
        <f>+Tabla1[[#This Row],[PRECIO EN SOLES]]-Tabla1[[#This Row],[PC]]</f>
        <v>421.42799999999988</v>
      </c>
      <c r="K1146" s="15"/>
      <c r="L1146" s="15" t="str">
        <f>IF(
OR(
ISNUMBER(SEARCH("BACKPACK",B1148)),
ISNUMBER(SEARCH("MOCHILA",B1148)),
ISNUMBER(SEARCH("FUNDA",B1148)),
ISNUMBER(SEARCH("ESTUCHE",B1148)),
ISNUMBER(SEARCH("BOOK COVER",B1148)),
ISNUMBER(SEARCH("KEYBOARD PARA TABLET",B1148)),
ISNUMBER(SEARCH("FLIP TABLET",B1148)),
ISNUMBER(SEARCH("CASE FOR TABLET",B1148)),
ISNUMBER(SEARCH("CABLE",B1148)),
ISNUMBER(SEARCH("ADAPTADOR",B1148)),
ISNUMBER(SEARCH("HUB",B1148)),
ISNUMBER(SEARCH("DOCK",B1148)),
ISNUMBER(SEARCH("MOUSE PAD",B1148)),
ISNUMBER(SEARCH("MOUSEPAD",B1148)),
ISNUMBER(SEARCH("SOPORTE",B1148)),
ISNUMBER(SEARCH("STAND",B1148)),
ISNUMBER(SEARCH("TRAVEL ADAPTER",B1148)),
ISNUMBER(SEARCH("RJ45",B1148)),
ISNUMBER(SEARCH("USB-C",B1148)),
ISNUMBER(SEARCH("USB WIFI",B1148)),
ISNUMBER(SEARCH("POWERBANK",B1148)),
ISNUMBER(SEARCH("CARGADOR",B1148)),
ISNUMBER(SEARCH("COOLER PARA NB",B1148)),
ISNUMBER(SEARCH("SOPORTE PARA NB",B1148)),
ISNUMBER(SEARCH("WEBCAM",B1148)),
ISNUMBER(SEARCH("WEB CAM",B1148)),
ISNUMBER(SEARCH("MOUSE",B1148)),
ISNUMBER(SEARCH("TECLADO",B1148))
),
"COMPLEMENTO",
IF(
OR(
LEFT(A1148,2)="NB",
LEFT(A1148,2)="PC",
LEFT(A1148,2)="WS",
LEFT(A1148,2)="TB",
LEFT(A1148,3)="CEL",
LEFT(A1148,3)="MON",
LEFT(A1148,3)="PRE",
LEFT(A1148,3)="PRH",
ISNUMBER(SEARCH("NOTEBOOK",B1148)),
ISNUMBER(SEARCH("LAPTOP",B1148)),
ISNUMBER(SEARCH("MONITOR",B1148)),
ISNUMBER(SEARCH("TABLET",B1148)),
ISNUMBER(SEARCH("SMARTPH",B1148)),
ISNUMBER(SEARCH("IMPRESORA",B1148)),
ISNUMBER(SEARCH("MULTIFUNCIONAL",B1148)),
ISNUMBER(SEARCH("AIO",B1148))
),
"GANCHO",
"NORMAL"
)
)</f>
        <v>GANCHO</v>
      </c>
    </row>
    <row r="1147" spans="1:12" x14ac:dyDescent="0.25">
      <c r="A1147" s="3" t="s">
        <v>1873</v>
      </c>
      <c r="B1147" s="3" t="s">
        <v>1874</v>
      </c>
      <c r="C1147" s="1">
        <v>20</v>
      </c>
      <c r="D1147" s="1">
        <v>785</v>
      </c>
      <c r="E1147" s="1" t="s">
        <v>367</v>
      </c>
      <c r="F1147" s="1" t="s">
        <v>3728</v>
      </c>
      <c r="G1147" s="3" t="s">
        <v>1875</v>
      </c>
      <c r="H1147" s="11">
        <f>ROUND(
IF(L1145="GANCHO",
   IF(I1147&lt;=50,I1147*1.1+4,IF(I1147&lt;=120,I1147*1.1+7,IF(I1147&lt;=250,I1147*1.1+11,I1147*1.1+19))),
IF(L1145="NORMAL",
   IF(I1147&lt;=30,I1147*1.15+2,IF(I1147&lt;=80,I1147*1.15+4,IF(I1147&lt;=150,I1147*1.15+6,I1147*1.15+8))),
IF(L1145="COMPLEMENTO",
   IF(I1147&lt;=25,I1147*1.25+1.5,IF(I1147&lt;=60,I1147*1.25+3,IF(I1147&lt;=120,I1147*1.25+4,I1147*1.25+5))),
""))),2)</f>
        <v>3564.88</v>
      </c>
      <c r="I1147" s="9">
        <f>($K$2+0.02)*Tabla1[[#This Row],[PRECIO $]]*1.18</f>
        <v>3223.5239999999999</v>
      </c>
      <c r="J1147" s="7">
        <f>+Tabla1[[#This Row],[PRECIO EN SOLES]]-Tabla1[[#This Row],[PC]]</f>
        <v>341.35600000000022</v>
      </c>
      <c r="K1147" s="15"/>
      <c r="L1147" s="15" t="str">
        <f>IF(
OR(
ISNUMBER(SEARCH("BACKPACK",B1149)),
ISNUMBER(SEARCH("MOCHILA",B1149)),
ISNUMBER(SEARCH("FUNDA",B1149)),
ISNUMBER(SEARCH("ESTUCHE",B1149)),
ISNUMBER(SEARCH("BOOK COVER",B1149)),
ISNUMBER(SEARCH("KEYBOARD PARA TABLET",B1149)),
ISNUMBER(SEARCH("FLIP TABLET",B1149)),
ISNUMBER(SEARCH("CASE FOR TABLET",B1149)),
ISNUMBER(SEARCH("CABLE",B1149)),
ISNUMBER(SEARCH("ADAPTADOR",B1149)),
ISNUMBER(SEARCH("HUB",B1149)),
ISNUMBER(SEARCH("DOCK",B1149)),
ISNUMBER(SEARCH("MOUSE PAD",B1149)),
ISNUMBER(SEARCH("MOUSEPAD",B1149)),
ISNUMBER(SEARCH("SOPORTE",B1149)),
ISNUMBER(SEARCH("STAND",B1149)),
ISNUMBER(SEARCH("TRAVEL ADAPTER",B1149)),
ISNUMBER(SEARCH("RJ45",B1149)),
ISNUMBER(SEARCH("USB-C",B1149)),
ISNUMBER(SEARCH("USB WIFI",B1149)),
ISNUMBER(SEARCH("POWERBANK",B1149)),
ISNUMBER(SEARCH("CARGADOR",B1149)),
ISNUMBER(SEARCH("COOLER PARA NB",B1149)),
ISNUMBER(SEARCH("SOPORTE PARA NB",B1149)),
ISNUMBER(SEARCH("WEBCAM",B1149)),
ISNUMBER(SEARCH("WEB CAM",B1149)),
ISNUMBER(SEARCH("MOUSE",B1149)),
ISNUMBER(SEARCH("TECLADO",B1149))
),
"COMPLEMENTO",
IF(
OR(
LEFT(A1149,2)="NB",
LEFT(A1149,2)="PC",
LEFT(A1149,2)="WS",
LEFT(A1149,2)="TB",
LEFT(A1149,3)="CEL",
LEFT(A1149,3)="MON",
LEFT(A1149,3)="PRE",
LEFT(A1149,3)="PRH",
ISNUMBER(SEARCH("NOTEBOOK",B1149)),
ISNUMBER(SEARCH("LAPTOP",B1149)),
ISNUMBER(SEARCH("MONITOR",B1149)),
ISNUMBER(SEARCH("TABLET",B1149)),
ISNUMBER(SEARCH("SMARTPH",B1149)),
ISNUMBER(SEARCH("IMPRESORA",B1149)),
ISNUMBER(SEARCH("MULTIFUNCIONAL",B1149)),
ISNUMBER(SEARCH("AIO",B1149))
),
"GANCHO",
"NORMAL"
)
)</f>
        <v>GANCHO</v>
      </c>
    </row>
    <row r="1148" spans="1:12" x14ac:dyDescent="0.25">
      <c r="A1148" s="3" t="s">
        <v>6109</v>
      </c>
      <c r="B1148" s="3" t="s">
        <v>6110</v>
      </c>
      <c r="C1148" s="1">
        <v>1</v>
      </c>
      <c r="D1148" s="1">
        <v>1027</v>
      </c>
      <c r="E1148" s="1" t="s">
        <v>367</v>
      </c>
      <c r="F1148" s="1" t="s">
        <v>6111</v>
      </c>
      <c r="G1148" s="3" t="s">
        <v>6112</v>
      </c>
      <c r="H1148" s="11">
        <f>ROUND(
IF(L1146="GANCHO",
   IF(I1148&lt;=50,I1148*1.1+4,IF(I1148&lt;=120,I1148*1.1+7,IF(I1148&lt;=250,I1148*1.1+11,I1148*1.1+19))),
IF(L1146="NORMAL",
   IF(I1148&lt;=30,I1148*1.15+2,IF(I1148&lt;=80,I1148*1.15+4,IF(I1148&lt;=150,I1148*1.15+6,I1148*1.15+8))),
IF(L1146="COMPLEMENTO",
   IF(I1148&lt;=25,I1148*1.25+1.5,IF(I1148&lt;=60,I1148*1.25+3,IF(I1148&lt;=120,I1148*1.25+4,I1148*1.25+5))),
""))),2)</f>
        <v>4658</v>
      </c>
      <c r="I1148" s="9">
        <f>($K$2+0.02)*Tabla1[[#This Row],[PRECIO $]]*1.18</f>
        <v>4217.2727999999997</v>
      </c>
      <c r="J1148" s="7">
        <f>+Tabla1[[#This Row],[PRECIO EN SOLES]]-Tabla1[[#This Row],[PC]]</f>
        <v>440.72720000000027</v>
      </c>
      <c r="K1148" s="15"/>
      <c r="L1148" s="15" t="str">
        <f>IF(
OR(
ISNUMBER(SEARCH("BACKPACK",B1150)),
ISNUMBER(SEARCH("MOCHILA",B1150)),
ISNUMBER(SEARCH("FUNDA",B1150)),
ISNUMBER(SEARCH("ESTUCHE",B1150)),
ISNUMBER(SEARCH("BOOK COVER",B1150)),
ISNUMBER(SEARCH("KEYBOARD PARA TABLET",B1150)),
ISNUMBER(SEARCH("FLIP TABLET",B1150)),
ISNUMBER(SEARCH("CASE FOR TABLET",B1150)),
ISNUMBER(SEARCH("CABLE",B1150)),
ISNUMBER(SEARCH("ADAPTADOR",B1150)),
ISNUMBER(SEARCH("HUB",B1150)),
ISNUMBER(SEARCH("DOCK",B1150)),
ISNUMBER(SEARCH("MOUSE PAD",B1150)),
ISNUMBER(SEARCH("MOUSEPAD",B1150)),
ISNUMBER(SEARCH("SOPORTE",B1150)),
ISNUMBER(SEARCH("STAND",B1150)),
ISNUMBER(SEARCH("TRAVEL ADAPTER",B1150)),
ISNUMBER(SEARCH("RJ45",B1150)),
ISNUMBER(SEARCH("USB-C",B1150)),
ISNUMBER(SEARCH("USB WIFI",B1150)),
ISNUMBER(SEARCH("POWERBANK",B1150)),
ISNUMBER(SEARCH("CARGADOR",B1150)),
ISNUMBER(SEARCH("COOLER PARA NB",B1150)),
ISNUMBER(SEARCH("SOPORTE PARA NB",B1150)),
ISNUMBER(SEARCH("WEBCAM",B1150)),
ISNUMBER(SEARCH("WEB CAM",B1150)),
ISNUMBER(SEARCH("MOUSE",B1150)),
ISNUMBER(SEARCH("TECLADO",B1150))
),
"COMPLEMENTO",
IF(
OR(
LEFT(A1150,2)="NB",
LEFT(A1150,2)="PC",
LEFT(A1150,2)="WS",
LEFT(A1150,2)="TB",
LEFT(A1150,3)="CEL",
LEFT(A1150,3)="MON",
LEFT(A1150,3)="PRE",
LEFT(A1150,3)="PRH",
ISNUMBER(SEARCH("NOTEBOOK",B1150)),
ISNUMBER(SEARCH("LAPTOP",B1150)),
ISNUMBER(SEARCH("MONITOR",B1150)),
ISNUMBER(SEARCH("TABLET",B1150)),
ISNUMBER(SEARCH("SMARTPH",B1150)),
ISNUMBER(SEARCH("IMPRESORA",B1150)),
ISNUMBER(SEARCH("MULTIFUNCIONAL",B1150)),
ISNUMBER(SEARCH("AIO",B1150))
),
"GANCHO",
"NORMAL"
)
)</f>
        <v>GANCHO</v>
      </c>
    </row>
    <row r="1149" spans="1:12" x14ac:dyDescent="0.25">
      <c r="A1149" s="3" t="s">
        <v>4524</v>
      </c>
      <c r="B1149" s="3" t="s">
        <v>4525</v>
      </c>
      <c r="C1149" s="1">
        <v>20</v>
      </c>
      <c r="D1149" s="1">
        <v>980</v>
      </c>
      <c r="E1149" s="1" t="s">
        <v>367</v>
      </c>
      <c r="F1149" s="1" t="s">
        <v>4526</v>
      </c>
      <c r="G1149" s="3" t="s">
        <v>4527</v>
      </c>
      <c r="H1149" s="11">
        <f>ROUND(
IF(L1147="GANCHO",
   IF(I1149&lt;=50,I1149*1.1+4,IF(I1149&lt;=120,I1149*1.1+7,IF(I1149&lt;=250,I1149*1.1+11,I1149*1.1+19))),
IF(L1147="NORMAL",
   IF(I1149&lt;=30,I1149*1.15+2,IF(I1149&lt;=80,I1149*1.15+4,IF(I1149&lt;=150,I1149*1.15+6,I1149*1.15+8))),
IF(L1147="COMPLEMENTO",
   IF(I1149&lt;=25,I1149*1.25+1.5,IF(I1149&lt;=60,I1149*1.25+3,IF(I1149&lt;=120,I1149*1.25+4,I1149*1.25+5))),
""))),2)</f>
        <v>4445.7</v>
      </c>
      <c r="I1149" s="9">
        <f>($K$2+0.02)*Tabla1[[#This Row],[PRECIO $]]*1.18</f>
        <v>4024.2719999999999</v>
      </c>
      <c r="J1149" s="7">
        <f>+Tabla1[[#This Row],[PRECIO EN SOLES]]-Tabla1[[#This Row],[PC]]</f>
        <v>421.42799999999988</v>
      </c>
      <c r="K1149" s="15"/>
      <c r="L1149" s="15" t="str">
        <f>IF(
OR(
ISNUMBER(SEARCH("BACKPACK",B1151)),
ISNUMBER(SEARCH("MOCHILA",B1151)),
ISNUMBER(SEARCH("FUNDA",B1151)),
ISNUMBER(SEARCH("ESTUCHE",B1151)),
ISNUMBER(SEARCH("BOOK COVER",B1151)),
ISNUMBER(SEARCH("KEYBOARD PARA TABLET",B1151)),
ISNUMBER(SEARCH("FLIP TABLET",B1151)),
ISNUMBER(SEARCH("CASE FOR TABLET",B1151)),
ISNUMBER(SEARCH("CABLE",B1151)),
ISNUMBER(SEARCH("ADAPTADOR",B1151)),
ISNUMBER(SEARCH("HUB",B1151)),
ISNUMBER(SEARCH("DOCK",B1151)),
ISNUMBER(SEARCH("MOUSE PAD",B1151)),
ISNUMBER(SEARCH("MOUSEPAD",B1151)),
ISNUMBER(SEARCH("SOPORTE",B1151)),
ISNUMBER(SEARCH("STAND",B1151)),
ISNUMBER(SEARCH("TRAVEL ADAPTER",B1151)),
ISNUMBER(SEARCH("RJ45",B1151)),
ISNUMBER(SEARCH("USB-C",B1151)),
ISNUMBER(SEARCH("USB WIFI",B1151)),
ISNUMBER(SEARCH("POWERBANK",B1151)),
ISNUMBER(SEARCH("CARGADOR",B1151)),
ISNUMBER(SEARCH("COOLER PARA NB",B1151)),
ISNUMBER(SEARCH("SOPORTE PARA NB",B1151)),
ISNUMBER(SEARCH("WEBCAM",B1151)),
ISNUMBER(SEARCH("WEB CAM",B1151)),
ISNUMBER(SEARCH("MOUSE",B1151)),
ISNUMBER(SEARCH("TECLADO",B1151))
),
"COMPLEMENTO",
IF(
OR(
LEFT(A1151,2)="NB",
LEFT(A1151,2)="PC",
LEFT(A1151,2)="WS",
LEFT(A1151,2)="TB",
LEFT(A1151,3)="CEL",
LEFT(A1151,3)="MON",
LEFT(A1151,3)="PRE",
LEFT(A1151,3)="PRH",
ISNUMBER(SEARCH("NOTEBOOK",B1151)),
ISNUMBER(SEARCH("LAPTOP",B1151)),
ISNUMBER(SEARCH("MONITOR",B1151)),
ISNUMBER(SEARCH("TABLET",B1151)),
ISNUMBER(SEARCH("SMARTPH",B1151)),
ISNUMBER(SEARCH("IMPRESORA",B1151)),
ISNUMBER(SEARCH("MULTIFUNCIONAL",B1151)),
ISNUMBER(SEARCH("AIO",B1151))
),
"GANCHO",
"NORMAL"
)
)</f>
        <v>GANCHO</v>
      </c>
    </row>
    <row r="1150" spans="1:12" x14ac:dyDescent="0.25">
      <c r="A1150" s="3" t="s">
        <v>1876</v>
      </c>
      <c r="B1150" s="3" t="s">
        <v>1877</v>
      </c>
      <c r="C1150" s="1">
        <v>20</v>
      </c>
      <c r="D1150" s="1">
        <v>687</v>
      </c>
      <c r="E1150" s="1" t="s">
        <v>148</v>
      </c>
      <c r="F1150" s="1" t="s">
        <v>3729</v>
      </c>
      <c r="G1150" s="3" t="s">
        <v>1878</v>
      </c>
      <c r="H1150" s="11">
        <f>ROUND(
IF(L1148="GANCHO",
   IF(I1150&lt;=50,I1150*1.1+4,IF(I1150&lt;=120,I1150*1.1+7,IF(I1150&lt;=250,I1150*1.1+11,I1150*1.1+19))),
IF(L1148="NORMAL",
   IF(I1150&lt;=30,I1150*1.15+2,IF(I1150&lt;=80,I1150*1.15+4,IF(I1150&lt;=150,I1150*1.15+6,I1150*1.15+8))),
IF(L1148="COMPLEMENTO",
   IF(I1150&lt;=25,I1150*1.25+1.5,IF(I1150&lt;=60,I1150*1.25+3,IF(I1150&lt;=120,I1150*1.25+4,I1150*1.25+5))),
""))),2)</f>
        <v>3122.21</v>
      </c>
      <c r="I1150" s="9">
        <f>($K$2+0.02)*Tabla1[[#This Row],[PRECIO $]]*1.18</f>
        <v>2821.0967999999993</v>
      </c>
      <c r="J1150" s="7">
        <f>+Tabla1[[#This Row],[PRECIO EN SOLES]]-Tabla1[[#This Row],[PC]]</f>
        <v>301.11320000000069</v>
      </c>
      <c r="K1150" s="15"/>
      <c r="L1150" s="15" t="str">
        <f>IF(
OR(
ISNUMBER(SEARCH("BACKPACK",B1152)),
ISNUMBER(SEARCH("MOCHILA",B1152)),
ISNUMBER(SEARCH("FUNDA",B1152)),
ISNUMBER(SEARCH("ESTUCHE",B1152)),
ISNUMBER(SEARCH("BOOK COVER",B1152)),
ISNUMBER(SEARCH("KEYBOARD PARA TABLET",B1152)),
ISNUMBER(SEARCH("FLIP TABLET",B1152)),
ISNUMBER(SEARCH("CASE FOR TABLET",B1152)),
ISNUMBER(SEARCH("CABLE",B1152)),
ISNUMBER(SEARCH("ADAPTADOR",B1152)),
ISNUMBER(SEARCH("HUB",B1152)),
ISNUMBER(SEARCH("DOCK",B1152)),
ISNUMBER(SEARCH("MOUSE PAD",B1152)),
ISNUMBER(SEARCH("MOUSEPAD",B1152)),
ISNUMBER(SEARCH("SOPORTE",B1152)),
ISNUMBER(SEARCH("STAND",B1152)),
ISNUMBER(SEARCH("TRAVEL ADAPTER",B1152)),
ISNUMBER(SEARCH("RJ45",B1152)),
ISNUMBER(SEARCH("USB-C",B1152)),
ISNUMBER(SEARCH("USB WIFI",B1152)),
ISNUMBER(SEARCH("POWERBANK",B1152)),
ISNUMBER(SEARCH("CARGADOR",B1152)),
ISNUMBER(SEARCH("COOLER PARA NB",B1152)),
ISNUMBER(SEARCH("SOPORTE PARA NB",B1152)),
ISNUMBER(SEARCH("WEBCAM",B1152)),
ISNUMBER(SEARCH("WEB CAM",B1152)),
ISNUMBER(SEARCH("MOUSE",B1152)),
ISNUMBER(SEARCH("TECLADO",B1152))
),
"COMPLEMENTO",
IF(
OR(
LEFT(A1152,2)="NB",
LEFT(A1152,2)="PC",
LEFT(A1152,2)="WS",
LEFT(A1152,2)="TB",
LEFT(A1152,3)="CEL",
LEFT(A1152,3)="MON",
LEFT(A1152,3)="PRE",
LEFT(A1152,3)="PRH",
ISNUMBER(SEARCH("NOTEBOOK",B1152)),
ISNUMBER(SEARCH("LAPTOP",B1152)),
ISNUMBER(SEARCH("MONITOR",B1152)),
ISNUMBER(SEARCH("TABLET",B1152)),
ISNUMBER(SEARCH("SMARTPH",B1152)),
ISNUMBER(SEARCH("IMPRESORA",B1152)),
ISNUMBER(SEARCH("MULTIFUNCIONAL",B1152)),
ISNUMBER(SEARCH("AIO",B1152))
),
"GANCHO",
"NORMAL"
)
)</f>
        <v>GANCHO</v>
      </c>
    </row>
    <row r="1151" spans="1:12" x14ac:dyDescent="0.25">
      <c r="A1151" s="3" t="s">
        <v>6113</v>
      </c>
      <c r="B1151" s="3" t="s">
        <v>6559</v>
      </c>
      <c r="C1151" s="1">
        <v>20</v>
      </c>
      <c r="D1151" s="1">
        <v>1577</v>
      </c>
      <c r="E1151" s="1" t="s">
        <v>148</v>
      </c>
      <c r="F1151" s="1" t="s">
        <v>6114</v>
      </c>
      <c r="G1151" s="3" t="s">
        <v>6866</v>
      </c>
      <c r="H1151" s="11">
        <f>ROUND(
IF(L1149="GANCHO",
   IF(I1151&lt;=50,I1151*1.1+4,IF(I1151&lt;=120,I1151*1.1+7,IF(I1151&lt;=250,I1151*1.1+11,I1151*1.1+19))),
IF(L1149="NORMAL",
   IF(I1151&lt;=30,I1151*1.15+2,IF(I1151&lt;=80,I1151*1.15+4,IF(I1151&lt;=150,I1151*1.15+6,I1151*1.15+8))),
IF(L1149="COMPLEMENTO",
   IF(I1151&lt;=25,I1151*1.25+1.5,IF(I1151&lt;=60,I1151*1.25+3,IF(I1151&lt;=120,I1151*1.25+4,I1151*1.25+5))),
""))),2)</f>
        <v>7142.37</v>
      </c>
      <c r="I1151" s="9">
        <f>($K$2+0.02)*Tabla1[[#This Row],[PRECIO $]]*1.18</f>
        <v>6475.7927999999993</v>
      </c>
      <c r="J1151" s="7">
        <f>+Tabla1[[#This Row],[PRECIO EN SOLES]]-Tabla1[[#This Row],[PC]]</f>
        <v>666.57720000000063</v>
      </c>
      <c r="K1151" s="15"/>
      <c r="L1151" s="15" t="str">
        <f>IF(
OR(
ISNUMBER(SEARCH("BACKPACK",B1153)),
ISNUMBER(SEARCH("MOCHILA",B1153)),
ISNUMBER(SEARCH("FUNDA",B1153)),
ISNUMBER(SEARCH("ESTUCHE",B1153)),
ISNUMBER(SEARCH("BOOK COVER",B1153)),
ISNUMBER(SEARCH("KEYBOARD PARA TABLET",B1153)),
ISNUMBER(SEARCH("FLIP TABLET",B1153)),
ISNUMBER(SEARCH("CASE FOR TABLET",B1153)),
ISNUMBER(SEARCH("CABLE",B1153)),
ISNUMBER(SEARCH("ADAPTADOR",B1153)),
ISNUMBER(SEARCH("HUB",B1153)),
ISNUMBER(SEARCH("DOCK",B1153)),
ISNUMBER(SEARCH("MOUSE PAD",B1153)),
ISNUMBER(SEARCH("MOUSEPAD",B1153)),
ISNUMBER(SEARCH("SOPORTE",B1153)),
ISNUMBER(SEARCH("STAND",B1153)),
ISNUMBER(SEARCH("TRAVEL ADAPTER",B1153)),
ISNUMBER(SEARCH("RJ45",B1153)),
ISNUMBER(SEARCH("USB-C",B1153)),
ISNUMBER(SEARCH("USB WIFI",B1153)),
ISNUMBER(SEARCH("POWERBANK",B1153)),
ISNUMBER(SEARCH("CARGADOR",B1153)),
ISNUMBER(SEARCH("COOLER PARA NB",B1153)),
ISNUMBER(SEARCH("SOPORTE PARA NB",B1153)),
ISNUMBER(SEARCH("WEBCAM",B1153)),
ISNUMBER(SEARCH("WEB CAM",B1153)),
ISNUMBER(SEARCH("MOUSE",B1153)),
ISNUMBER(SEARCH("TECLADO",B1153))
),
"COMPLEMENTO",
IF(
OR(
LEFT(A1153,2)="NB",
LEFT(A1153,2)="PC",
LEFT(A1153,2)="WS",
LEFT(A1153,2)="TB",
LEFT(A1153,3)="CEL",
LEFT(A1153,3)="MON",
LEFT(A1153,3)="PRE",
LEFT(A1153,3)="PRH",
ISNUMBER(SEARCH("NOTEBOOK",B1153)),
ISNUMBER(SEARCH("LAPTOP",B1153)),
ISNUMBER(SEARCH("MONITOR",B1153)),
ISNUMBER(SEARCH("TABLET",B1153)),
ISNUMBER(SEARCH("SMARTPH",B1153)),
ISNUMBER(SEARCH("IMPRESORA",B1153)),
ISNUMBER(SEARCH("MULTIFUNCIONAL",B1153)),
ISNUMBER(SEARCH("AIO",B1153))
),
"GANCHO",
"NORMAL"
)
)</f>
        <v>GANCHO</v>
      </c>
    </row>
    <row r="1152" spans="1:12" x14ac:dyDescent="0.25">
      <c r="A1152" s="3" t="s">
        <v>411</v>
      </c>
      <c r="B1152" s="3" t="s">
        <v>412</v>
      </c>
      <c r="C1152" s="1">
        <v>20</v>
      </c>
      <c r="D1152" s="1">
        <v>848</v>
      </c>
      <c r="E1152" s="1" t="s">
        <v>74</v>
      </c>
      <c r="F1152" s="1" t="s">
        <v>3730</v>
      </c>
      <c r="G1152" s="3" t="s">
        <v>413</v>
      </c>
      <c r="H1152" s="11">
        <f>ROUND(
IF(L1150="GANCHO",
   IF(I1152&lt;=50,I1152*1.1+4,IF(I1152&lt;=120,I1152*1.1+7,IF(I1152&lt;=250,I1152*1.1+11,I1152*1.1+19))),
IF(L1150="NORMAL",
   IF(I1152&lt;=30,I1152*1.15+2,IF(I1152&lt;=80,I1152*1.15+4,IF(I1152&lt;=150,I1152*1.15+6,I1152*1.15+8))),
IF(L1150="COMPLEMENTO",
   IF(I1152&lt;=25,I1152*1.25+1.5,IF(I1152&lt;=60,I1152*1.25+3,IF(I1152&lt;=120,I1152*1.25+4,I1152*1.25+5))),
""))),2)</f>
        <v>3849.45</v>
      </c>
      <c r="I1152" s="9">
        <f>($K$2+0.02)*Tabla1[[#This Row],[PRECIO $]]*1.18</f>
        <v>3482.2271999999998</v>
      </c>
      <c r="J1152" s="7">
        <f>+Tabla1[[#This Row],[PRECIO EN SOLES]]-Tabla1[[#This Row],[PC]]</f>
        <v>367.22280000000001</v>
      </c>
      <c r="K1152" s="15"/>
      <c r="L1152" s="15" t="str">
        <f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3" spans="1:12" x14ac:dyDescent="0.25">
      <c r="A1153" s="3" t="s">
        <v>1879</v>
      </c>
      <c r="B1153" s="3" t="s">
        <v>1880</v>
      </c>
      <c r="C1153" s="1">
        <v>20</v>
      </c>
      <c r="D1153" s="1">
        <v>992</v>
      </c>
      <c r="E1153" s="1" t="s">
        <v>74</v>
      </c>
      <c r="F1153" s="1" t="s">
        <v>3731</v>
      </c>
      <c r="G1153" s="3" t="s">
        <v>1881</v>
      </c>
      <c r="H1153" s="11">
        <f>ROUND(
IF(L1151="GANCHO",
   IF(I1153&lt;=50,I1153*1.1+4,IF(I1153&lt;=120,I1153*1.1+7,IF(I1153&lt;=250,I1153*1.1+11,I1153*1.1+19))),
IF(L1151="NORMAL",
   IF(I1153&lt;=30,I1153*1.15+2,IF(I1153&lt;=80,I1153*1.15+4,IF(I1153&lt;=150,I1153*1.15+6,I1153*1.15+8))),
IF(L1151="COMPLEMENTO",
   IF(I1153&lt;=25,I1153*1.25+1.5,IF(I1153&lt;=60,I1153*1.25+3,IF(I1153&lt;=120,I1153*1.25+4,I1153*1.25+5))),
""))),2)</f>
        <v>4499.8999999999996</v>
      </c>
      <c r="I1153" s="9">
        <f>($K$2+0.02)*Tabla1[[#This Row],[PRECIO $]]*1.18</f>
        <v>4073.5487999999996</v>
      </c>
      <c r="J1153" s="7">
        <f>+Tabla1[[#This Row],[PRECIO EN SOLES]]-Tabla1[[#This Row],[PC]]</f>
        <v>426.35120000000006</v>
      </c>
      <c r="K1153" s="15"/>
      <c r="L1153" s="15" t="str">
        <f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4" spans="1:12" x14ac:dyDescent="0.25">
      <c r="A1154" s="3" t="s">
        <v>4424</v>
      </c>
      <c r="B1154" s="3" t="s">
        <v>4425</v>
      </c>
      <c r="C1154" s="1">
        <v>18</v>
      </c>
      <c r="D1154" s="1">
        <v>1871</v>
      </c>
      <c r="E1154" s="1" t="s">
        <v>367</v>
      </c>
      <c r="F1154" s="1" t="s">
        <v>4426</v>
      </c>
      <c r="G1154" s="3" t="s">
        <v>4427</v>
      </c>
      <c r="H1154" s="11">
        <f>ROUND(
IF(L1152="GANCHO",
   IF(I1154&lt;=50,I1154*1.1+4,IF(I1154&lt;=120,I1154*1.1+7,IF(I1154&lt;=250,I1154*1.1+11,I1154*1.1+19))),
IF(L1152="NORMAL",
   IF(I1154&lt;=30,I1154*1.15+2,IF(I1154&lt;=80,I1154*1.15+4,IF(I1154&lt;=150,I1154*1.15+6,I1154*1.15+8))),
IF(L1152="COMPLEMENTO",
   IF(I1154&lt;=25,I1154*1.25+1.5,IF(I1154&lt;=60,I1154*1.25+3,IF(I1154&lt;=120,I1154*1.25+4,I1154*1.25+5))),
""))),2)</f>
        <v>8470.3799999999992</v>
      </c>
      <c r="I1154" s="9">
        <f>($K$2+0.02)*Tabla1[[#This Row],[PRECIO $]]*1.18</f>
        <v>7683.0743999999995</v>
      </c>
      <c r="J1154" s="7">
        <f>+Tabla1[[#This Row],[PRECIO EN SOLES]]-Tabla1[[#This Row],[PC]]</f>
        <v>787.30559999999969</v>
      </c>
      <c r="K1154" s="15"/>
      <c r="L1154" s="15" t="str">
        <f>IF(
OR(
ISNUMBER(SEARCH("BACKPACK",B1156)),
ISNUMBER(SEARCH("MOCHILA",B1156)),
ISNUMBER(SEARCH("FUNDA",B1156)),
ISNUMBER(SEARCH("ESTUCHE",B1156)),
ISNUMBER(SEARCH("BOOK COVER",B1156)),
ISNUMBER(SEARCH("KEYBOARD PARA TABLET",B1156)),
ISNUMBER(SEARCH("FLIP TABLET",B1156)),
ISNUMBER(SEARCH("CASE FOR TABLET",B1156)),
ISNUMBER(SEARCH("CABLE",B1156)),
ISNUMBER(SEARCH("ADAPTADOR",B1156)),
ISNUMBER(SEARCH("HUB",B1156)),
ISNUMBER(SEARCH("DOCK",B1156)),
ISNUMBER(SEARCH("MOUSE PAD",B1156)),
ISNUMBER(SEARCH("MOUSEPAD",B1156)),
ISNUMBER(SEARCH("SOPORTE",B1156)),
ISNUMBER(SEARCH("STAND",B1156)),
ISNUMBER(SEARCH("TRAVEL ADAPTER",B1156)),
ISNUMBER(SEARCH("RJ45",B1156)),
ISNUMBER(SEARCH("USB-C",B1156)),
ISNUMBER(SEARCH("USB WIFI",B1156)),
ISNUMBER(SEARCH("POWERBANK",B1156)),
ISNUMBER(SEARCH("CARGADOR",B1156)),
ISNUMBER(SEARCH("COOLER PARA NB",B1156)),
ISNUMBER(SEARCH("SOPORTE PARA NB",B1156)),
ISNUMBER(SEARCH("WEBCAM",B1156)),
ISNUMBER(SEARCH("WEB CAM",B1156)),
ISNUMBER(SEARCH("MOUSE",B1156)),
ISNUMBER(SEARCH("TECLADO",B1156))
),
"COMPLEMENTO",
IF(
OR(
LEFT(A1156,2)="NB",
LEFT(A1156,2)="PC",
LEFT(A1156,2)="WS",
LEFT(A1156,2)="TB",
LEFT(A1156,3)="CEL",
LEFT(A1156,3)="MON",
LEFT(A1156,3)="PRE",
LEFT(A1156,3)="PRH",
ISNUMBER(SEARCH("NOTEBOOK",B1156)),
ISNUMBER(SEARCH("LAPTOP",B1156)),
ISNUMBER(SEARCH("MONITOR",B1156)),
ISNUMBER(SEARCH("TABLET",B1156)),
ISNUMBER(SEARCH("SMARTPH",B1156)),
ISNUMBER(SEARCH("IMPRESORA",B1156)),
ISNUMBER(SEARCH("MULTIFUNCIONAL",B1156)),
ISNUMBER(SEARCH("AIO",B1156))
),
"GANCHO",
"NORMAL"
)
)</f>
        <v>GANCHO</v>
      </c>
    </row>
    <row r="1155" spans="1:12" x14ac:dyDescent="0.25">
      <c r="A1155" s="3" t="s">
        <v>6115</v>
      </c>
      <c r="B1155" s="3" t="s">
        <v>6116</v>
      </c>
      <c r="C1155" s="1">
        <v>8</v>
      </c>
      <c r="D1155" s="1">
        <v>2715</v>
      </c>
      <c r="E1155" s="1" t="s">
        <v>367</v>
      </c>
      <c r="F1155" s="1" t="s">
        <v>6117</v>
      </c>
      <c r="G1155" s="3" t="s">
        <v>6118</v>
      </c>
      <c r="H1155" s="11">
        <f>ROUND(
IF(L1153="GANCHO",
   IF(I1155&lt;=50,I1155*1.1+4,IF(I1155&lt;=120,I1155*1.1+7,IF(I1155&lt;=250,I1155*1.1+11,I1155*1.1+19))),
IF(L1153="NORMAL",
   IF(I1155&lt;=30,I1155*1.15+2,IF(I1155&lt;=80,I1155*1.15+4,IF(I1155&lt;=150,I1155*1.15+6,I1155*1.15+8))),
IF(L1153="COMPLEMENTO",
   IF(I1155&lt;=25,I1155*1.25+1.5,IF(I1155&lt;=60,I1155*1.25+3,IF(I1155&lt;=120,I1155*1.25+4,I1155*1.25+5))),
""))),2)</f>
        <v>12282.76</v>
      </c>
      <c r="I1155" s="9">
        <f>($K$2+0.02)*Tabla1[[#This Row],[PRECIO $]]*1.18</f>
        <v>11148.876</v>
      </c>
      <c r="J1155" s="7">
        <f>+Tabla1[[#This Row],[PRECIO EN SOLES]]-Tabla1[[#This Row],[PC]]</f>
        <v>1133.884</v>
      </c>
      <c r="K1155" s="15"/>
      <c r="L1155" s="15" t="str">
        <f>IF(
OR(
ISNUMBER(SEARCH("BACKPACK",B1157)),
ISNUMBER(SEARCH("MOCHILA",B1157)),
ISNUMBER(SEARCH("FUNDA",B1157)),
ISNUMBER(SEARCH("ESTUCHE",B1157)),
ISNUMBER(SEARCH("BOOK COVER",B1157)),
ISNUMBER(SEARCH("KEYBOARD PARA TABLET",B1157)),
ISNUMBER(SEARCH("FLIP TABLET",B1157)),
ISNUMBER(SEARCH("CASE FOR TABLET",B1157)),
ISNUMBER(SEARCH("CABLE",B1157)),
ISNUMBER(SEARCH("ADAPTADOR",B1157)),
ISNUMBER(SEARCH("HUB",B1157)),
ISNUMBER(SEARCH("DOCK",B1157)),
ISNUMBER(SEARCH("MOUSE PAD",B1157)),
ISNUMBER(SEARCH("MOUSEPAD",B1157)),
ISNUMBER(SEARCH("SOPORTE",B1157)),
ISNUMBER(SEARCH("STAND",B1157)),
ISNUMBER(SEARCH("TRAVEL ADAPTER",B1157)),
ISNUMBER(SEARCH("RJ45",B1157)),
ISNUMBER(SEARCH("USB-C",B1157)),
ISNUMBER(SEARCH("USB WIFI",B1157)),
ISNUMBER(SEARCH("POWERBANK",B1157)),
ISNUMBER(SEARCH("CARGADOR",B1157)),
ISNUMBER(SEARCH("COOLER PARA NB",B1157)),
ISNUMBER(SEARCH("SOPORTE PARA NB",B1157)),
ISNUMBER(SEARCH("WEBCAM",B1157)),
ISNUMBER(SEARCH("WEB CAM",B1157)),
ISNUMBER(SEARCH("MOUSE",B1157)),
ISNUMBER(SEARCH("TECLADO",B1157))
),
"COMPLEMENTO",
IF(
OR(
LEFT(A1157,2)="NB",
LEFT(A1157,2)="PC",
LEFT(A1157,2)="WS",
LEFT(A1157,2)="TB",
LEFT(A1157,3)="CEL",
LEFT(A1157,3)="MON",
LEFT(A1157,3)="PRE",
LEFT(A1157,3)="PRH",
ISNUMBER(SEARCH("NOTEBOOK",B1157)),
ISNUMBER(SEARCH("LAPTOP",B1157)),
ISNUMBER(SEARCH("MONITOR",B1157)),
ISNUMBER(SEARCH("TABLET",B1157)),
ISNUMBER(SEARCH("SMARTPH",B1157)),
ISNUMBER(SEARCH("IMPRESORA",B1157)),
ISNUMBER(SEARCH("MULTIFUNCIONAL",B1157)),
ISNUMBER(SEARCH("AIO",B1157))
),
"GANCHO",
"NORMAL"
)
)</f>
        <v>GANCHO</v>
      </c>
    </row>
    <row r="1156" spans="1:12" x14ac:dyDescent="0.25">
      <c r="A1156" s="3" t="s">
        <v>1882</v>
      </c>
      <c r="B1156" s="3" t="s">
        <v>1883</v>
      </c>
      <c r="C1156" s="1">
        <v>0</v>
      </c>
      <c r="D1156" s="1">
        <v>1470</v>
      </c>
      <c r="E1156" s="1" t="s">
        <v>910</v>
      </c>
      <c r="F1156" s="1" t="s">
        <v>3732</v>
      </c>
      <c r="G1156" s="3" t="s">
        <v>1884</v>
      </c>
      <c r="H1156" s="11">
        <f>ROUND(
IF(L1154="GANCHO",
   IF(I1156&lt;=50,I1156*1.1+4,IF(I1156&lt;=120,I1156*1.1+7,IF(I1156&lt;=250,I1156*1.1+11,I1156*1.1+19))),
IF(L1154="NORMAL",
   IF(I1156&lt;=30,I1156*1.15+2,IF(I1156&lt;=80,I1156*1.15+4,IF(I1156&lt;=150,I1156*1.15+6,I1156*1.15+8))),
IF(L1154="COMPLEMENTO",
   IF(I1156&lt;=25,I1156*1.25+1.5,IF(I1156&lt;=60,I1156*1.25+3,IF(I1156&lt;=120,I1156*1.25+4,I1156*1.25+5))),
""))),2)</f>
        <v>6659.05</v>
      </c>
      <c r="I1156" s="9">
        <f>($K$2+0.02)*Tabla1[[#This Row],[PRECIO $]]*1.18</f>
        <v>6036.4080000000004</v>
      </c>
      <c r="J1156" s="7">
        <f>+Tabla1[[#This Row],[PRECIO EN SOLES]]-Tabla1[[#This Row],[PC]]</f>
        <v>622.64199999999983</v>
      </c>
      <c r="K1156" s="15"/>
      <c r="L1156" s="15" t="str">
        <f>IF(
OR(
ISNUMBER(SEARCH("BACKPACK",B1158)),
ISNUMBER(SEARCH("MOCHILA",B1158)),
ISNUMBER(SEARCH("FUNDA",B1158)),
ISNUMBER(SEARCH("ESTUCHE",B1158)),
ISNUMBER(SEARCH("BOOK COVER",B1158)),
ISNUMBER(SEARCH("KEYBOARD PARA TABLET",B1158)),
ISNUMBER(SEARCH("FLIP TABLET",B1158)),
ISNUMBER(SEARCH("CASE FOR TABLET",B1158)),
ISNUMBER(SEARCH("CABLE",B1158)),
ISNUMBER(SEARCH("ADAPTADOR",B1158)),
ISNUMBER(SEARCH("HUB",B1158)),
ISNUMBER(SEARCH("DOCK",B1158)),
ISNUMBER(SEARCH("MOUSE PAD",B1158)),
ISNUMBER(SEARCH("MOUSEPAD",B1158)),
ISNUMBER(SEARCH("SOPORTE",B1158)),
ISNUMBER(SEARCH("STAND",B1158)),
ISNUMBER(SEARCH("TRAVEL ADAPTER",B1158)),
ISNUMBER(SEARCH("RJ45",B1158)),
ISNUMBER(SEARCH("USB-C",B1158)),
ISNUMBER(SEARCH("USB WIFI",B1158)),
ISNUMBER(SEARCH("POWERBANK",B1158)),
ISNUMBER(SEARCH("CARGADOR",B1158)),
ISNUMBER(SEARCH("COOLER PARA NB",B1158)),
ISNUMBER(SEARCH("SOPORTE PARA NB",B1158)),
ISNUMBER(SEARCH("WEBCAM",B1158)),
ISNUMBER(SEARCH("WEB CAM",B1158)),
ISNUMBER(SEARCH("MOUSE",B1158)),
ISNUMBER(SEARCH("TECLADO",B1158))
),
"COMPLEMENTO",
IF(
OR(
LEFT(A1158,2)="NB",
LEFT(A1158,2)="PC",
LEFT(A1158,2)="WS",
LEFT(A1158,2)="TB",
LEFT(A1158,3)="CEL",
LEFT(A1158,3)="MON",
LEFT(A1158,3)="PRE",
LEFT(A1158,3)="PRH",
ISNUMBER(SEARCH("NOTEBOOK",B1158)),
ISNUMBER(SEARCH("LAPTOP",B1158)),
ISNUMBER(SEARCH("MONITOR",B1158)),
ISNUMBER(SEARCH("TABLET",B1158)),
ISNUMBER(SEARCH("SMARTPH",B1158)),
ISNUMBER(SEARCH("IMPRESORA",B1158)),
ISNUMBER(SEARCH("MULTIFUNCIONAL",B1158)),
ISNUMBER(SEARCH("AIO",B1158))
),
"GANCHO",
"NORMAL"
)
)</f>
        <v>GANCHO</v>
      </c>
    </row>
    <row r="1157" spans="1:12" x14ac:dyDescent="0.25">
      <c r="A1157" s="3" t="s">
        <v>1885</v>
      </c>
      <c r="B1157" s="3" t="s">
        <v>1886</v>
      </c>
      <c r="C1157" s="1">
        <v>9</v>
      </c>
      <c r="D1157" s="1">
        <v>2425</v>
      </c>
      <c r="E1157" s="1" t="s">
        <v>56</v>
      </c>
      <c r="F1157" s="1" t="s">
        <v>3733</v>
      </c>
      <c r="G1157" s="3" t="s">
        <v>1887</v>
      </c>
      <c r="H1157" s="11">
        <f>ROUND(
IF(L1155="GANCHO",
   IF(I1157&lt;=50,I1157*1.1+4,IF(I1157&lt;=120,I1157*1.1+7,IF(I1157&lt;=250,I1157*1.1+11,I1157*1.1+19))),
IF(L1155="NORMAL",
   IF(I1157&lt;=30,I1157*1.15+2,IF(I1157&lt;=80,I1157*1.15+4,IF(I1157&lt;=150,I1157*1.15+6,I1157*1.15+8))),
IF(L1155="COMPLEMENTO",
   IF(I1157&lt;=25,I1157*1.25+1.5,IF(I1157&lt;=60,I1157*1.25+3,IF(I1157&lt;=120,I1157*1.25+4,I1157*1.25+5))),
""))),2)</f>
        <v>10972.82</v>
      </c>
      <c r="I1157" s="9">
        <f>($K$2+0.02)*Tabla1[[#This Row],[PRECIO $]]*1.18</f>
        <v>9958.0199999999986</v>
      </c>
      <c r="J1157" s="7">
        <f>+Tabla1[[#This Row],[PRECIO EN SOLES]]-Tabla1[[#This Row],[PC]]</f>
        <v>1014.8000000000011</v>
      </c>
      <c r="K1157" s="15"/>
      <c r="L1157" s="15" t="str">
        <f>IF(
OR(
ISNUMBER(SEARCH("BACKPACK",B1159)),
ISNUMBER(SEARCH("MOCHILA",B1159)),
ISNUMBER(SEARCH("FUNDA",B1159)),
ISNUMBER(SEARCH("ESTUCHE",B1159)),
ISNUMBER(SEARCH("BOOK COVER",B1159)),
ISNUMBER(SEARCH("KEYBOARD PARA TABLET",B1159)),
ISNUMBER(SEARCH("FLIP TABLET",B1159)),
ISNUMBER(SEARCH("CASE FOR TABLET",B1159)),
ISNUMBER(SEARCH("CABLE",B1159)),
ISNUMBER(SEARCH("ADAPTADOR",B1159)),
ISNUMBER(SEARCH("HUB",B1159)),
ISNUMBER(SEARCH("DOCK",B1159)),
ISNUMBER(SEARCH("MOUSE PAD",B1159)),
ISNUMBER(SEARCH("MOUSEPAD",B1159)),
ISNUMBER(SEARCH("SOPORTE",B1159)),
ISNUMBER(SEARCH("STAND",B1159)),
ISNUMBER(SEARCH("TRAVEL ADAPTER",B1159)),
ISNUMBER(SEARCH("RJ45",B1159)),
ISNUMBER(SEARCH("USB-C",B1159)),
ISNUMBER(SEARCH("USB WIFI",B1159)),
ISNUMBER(SEARCH("POWERBANK",B1159)),
ISNUMBER(SEARCH("CARGADOR",B1159)),
ISNUMBER(SEARCH("COOLER PARA NB",B1159)),
ISNUMBER(SEARCH("SOPORTE PARA NB",B1159)),
ISNUMBER(SEARCH("WEBCAM",B1159)),
ISNUMBER(SEARCH("WEB CAM",B1159)),
ISNUMBER(SEARCH("MOUSE",B1159)),
ISNUMBER(SEARCH("TECLADO",B1159))
),
"COMPLEMENTO",
IF(
OR(
LEFT(A1159,2)="NB",
LEFT(A1159,2)="PC",
LEFT(A1159,2)="WS",
LEFT(A1159,2)="TB",
LEFT(A1159,3)="CEL",
LEFT(A1159,3)="MON",
LEFT(A1159,3)="PRE",
LEFT(A1159,3)="PRH",
ISNUMBER(SEARCH("NOTEBOOK",B1159)),
ISNUMBER(SEARCH("LAPTOP",B1159)),
ISNUMBER(SEARCH("MONITOR",B1159)),
ISNUMBER(SEARCH("TABLET",B1159)),
ISNUMBER(SEARCH("SMARTPH",B1159)),
ISNUMBER(SEARCH("IMPRESORA",B1159)),
ISNUMBER(SEARCH("MULTIFUNCIONAL",B1159)),
ISNUMBER(SEARCH("AIO",B1159))
),
"GANCHO",
"NORMAL"
)
)</f>
        <v>GANCHO</v>
      </c>
    </row>
    <row r="1158" spans="1:12" x14ac:dyDescent="0.25">
      <c r="A1158" s="3" t="s">
        <v>1888</v>
      </c>
      <c r="B1158" s="3" t="s">
        <v>1889</v>
      </c>
      <c r="C1158" s="1">
        <v>19</v>
      </c>
      <c r="D1158" s="1">
        <v>2351</v>
      </c>
      <c r="E1158" s="1" t="s">
        <v>56</v>
      </c>
      <c r="F1158" s="1" t="s">
        <v>3734</v>
      </c>
      <c r="G1158" s="3" t="s">
        <v>1890</v>
      </c>
      <c r="H1158" s="11">
        <f>ROUND(
IF(L1156="GANCHO",
   IF(I1158&lt;=50,I1158*1.1+4,IF(I1158&lt;=120,I1158*1.1+7,IF(I1158&lt;=250,I1158*1.1+11,I1158*1.1+19))),
IF(L1156="NORMAL",
   IF(I1158&lt;=30,I1158*1.15+2,IF(I1158&lt;=80,I1158*1.15+4,IF(I1158&lt;=150,I1158*1.15+6,I1158*1.15+8))),
IF(L1156="COMPLEMENTO",
   IF(I1158&lt;=25,I1158*1.25+1.5,IF(I1158&lt;=60,I1158*1.25+3,IF(I1158&lt;=120,I1158*1.25+4,I1158*1.25+5))),
""))),2)</f>
        <v>10638.56</v>
      </c>
      <c r="I1158" s="9">
        <f>($K$2+0.02)*Tabla1[[#This Row],[PRECIO $]]*1.18</f>
        <v>9654.1463999999996</v>
      </c>
      <c r="J1158" s="7">
        <f>+Tabla1[[#This Row],[PRECIO EN SOLES]]-Tabla1[[#This Row],[PC]]</f>
        <v>984.41359999999986</v>
      </c>
      <c r="K1158" s="15"/>
      <c r="L1158" s="15" t="str">
        <f>IF(
OR(
ISNUMBER(SEARCH("BACKPACK",B1160)),
ISNUMBER(SEARCH("MOCHILA",B1160)),
ISNUMBER(SEARCH("FUNDA",B1160)),
ISNUMBER(SEARCH("ESTUCHE",B1160)),
ISNUMBER(SEARCH("BOOK COVER",B1160)),
ISNUMBER(SEARCH("KEYBOARD PARA TABLET",B1160)),
ISNUMBER(SEARCH("FLIP TABLET",B1160)),
ISNUMBER(SEARCH("CASE FOR TABLET",B1160)),
ISNUMBER(SEARCH("CABLE",B1160)),
ISNUMBER(SEARCH("ADAPTADOR",B1160)),
ISNUMBER(SEARCH("HUB",B1160)),
ISNUMBER(SEARCH("DOCK",B1160)),
ISNUMBER(SEARCH("MOUSE PAD",B1160)),
ISNUMBER(SEARCH("MOUSEPAD",B1160)),
ISNUMBER(SEARCH("SOPORTE",B1160)),
ISNUMBER(SEARCH("STAND",B1160)),
ISNUMBER(SEARCH("TRAVEL ADAPTER",B1160)),
ISNUMBER(SEARCH("RJ45",B1160)),
ISNUMBER(SEARCH("USB-C",B1160)),
ISNUMBER(SEARCH("USB WIFI",B1160)),
ISNUMBER(SEARCH("POWERBANK",B1160)),
ISNUMBER(SEARCH("CARGADOR",B1160)),
ISNUMBER(SEARCH("COOLER PARA NB",B1160)),
ISNUMBER(SEARCH("SOPORTE PARA NB",B1160)),
ISNUMBER(SEARCH("WEBCAM",B1160)),
ISNUMBER(SEARCH("WEB CAM",B1160)),
ISNUMBER(SEARCH("MOUSE",B1160)),
ISNUMBER(SEARCH("TECLADO",B1160))
),
"COMPLEMENTO",
IF(
OR(
LEFT(A1160,2)="NB",
LEFT(A1160,2)="PC",
LEFT(A1160,2)="WS",
LEFT(A1160,2)="TB",
LEFT(A1160,3)="CEL",
LEFT(A1160,3)="MON",
LEFT(A1160,3)="PRE",
LEFT(A1160,3)="PRH",
ISNUMBER(SEARCH("NOTEBOOK",B1160)),
ISNUMBER(SEARCH("LAPTOP",B1160)),
ISNUMBER(SEARCH("MONITOR",B1160)),
ISNUMBER(SEARCH("TABLET",B1160)),
ISNUMBER(SEARCH("SMARTPH",B1160)),
ISNUMBER(SEARCH("IMPRESORA",B1160)),
ISNUMBER(SEARCH("MULTIFUNCIONAL",B1160)),
ISNUMBER(SEARCH("AIO",B1160))
),
"GANCHO",
"NORMAL"
)
)</f>
        <v>GANCHO</v>
      </c>
    </row>
    <row r="1159" spans="1:12" x14ac:dyDescent="0.25">
      <c r="A1159" s="3" t="s">
        <v>1891</v>
      </c>
      <c r="B1159" s="3" t="s">
        <v>1892</v>
      </c>
      <c r="C1159" s="1">
        <v>6</v>
      </c>
      <c r="D1159" s="1">
        <v>1912</v>
      </c>
      <c r="E1159" s="1" t="s">
        <v>56</v>
      </c>
      <c r="F1159" s="1" t="s">
        <v>3735</v>
      </c>
      <c r="G1159" s="3" t="s">
        <v>1893</v>
      </c>
      <c r="H1159" s="11">
        <f>ROUND(
IF(L1157="GANCHO",
   IF(I1159&lt;=50,I1159*1.1+4,IF(I1159&lt;=120,I1159*1.1+7,IF(I1159&lt;=250,I1159*1.1+11,I1159*1.1+19))),
IF(L1157="NORMAL",
   IF(I1159&lt;=30,I1159*1.15+2,IF(I1159&lt;=80,I1159*1.15+4,IF(I1159&lt;=150,I1159*1.15+6,I1159*1.15+8))),
IF(L1157="COMPLEMENTO",
   IF(I1159&lt;=25,I1159*1.25+1.5,IF(I1159&lt;=60,I1159*1.25+3,IF(I1159&lt;=120,I1159*1.25+4,I1159*1.25+5))),
""))),2)</f>
        <v>8655.58</v>
      </c>
      <c r="I1159" s="9">
        <f>($K$2+0.02)*Tabla1[[#This Row],[PRECIO $]]*1.18</f>
        <v>7851.4367999999995</v>
      </c>
      <c r="J1159" s="7">
        <f>+Tabla1[[#This Row],[PRECIO EN SOLES]]-Tabla1[[#This Row],[PC]]</f>
        <v>804.14320000000043</v>
      </c>
      <c r="K1159" s="15"/>
      <c r="L1159" s="15" t="str">
        <f>IF(
OR(
ISNUMBER(SEARCH("BACKPACK",B1161)),
ISNUMBER(SEARCH("MOCHILA",B1161)),
ISNUMBER(SEARCH("FUNDA",B1161)),
ISNUMBER(SEARCH("ESTUCHE",B1161)),
ISNUMBER(SEARCH("BOOK COVER",B1161)),
ISNUMBER(SEARCH("KEYBOARD PARA TABLET",B1161)),
ISNUMBER(SEARCH("FLIP TABLET",B1161)),
ISNUMBER(SEARCH("CASE FOR TABLET",B1161)),
ISNUMBER(SEARCH("CABLE",B1161)),
ISNUMBER(SEARCH("ADAPTADOR",B1161)),
ISNUMBER(SEARCH("HUB",B1161)),
ISNUMBER(SEARCH("DOCK",B1161)),
ISNUMBER(SEARCH("MOUSE PAD",B1161)),
ISNUMBER(SEARCH("MOUSEPAD",B1161)),
ISNUMBER(SEARCH("SOPORTE",B1161)),
ISNUMBER(SEARCH("STAND",B1161)),
ISNUMBER(SEARCH("TRAVEL ADAPTER",B1161)),
ISNUMBER(SEARCH("RJ45",B1161)),
ISNUMBER(SEARCH("USB-C",B1161)),
ISNUMBER(SEARCH("USB WIFI",B1161)),
ISNUMBER(SEARCH("POWERBANK",B1161)),
ISNUMBER(SEARCH("CARGADOR",B1161)),
ISNUMBER(SEARCH("COOLER PARA NB",B1161)),
ISNUMBER(SEARCH("SOPORTE PARA NB",B1161)),
ISNUMBER(SEARCH("WEBCAM",B1161)),
ISNUMBER(SEARCH("WEB CAM",B1161)),
ISNUMBER(SEARCH("MOUSE",B1161)),
ISNUMBER(SEARCH("TECLADO",B1161))
),
"COMPLEMENTO",
IF(
OR(
LEFT(A1161,2)="NB",
LEFT(A1161,2)="PC",
LEFT(A1161,2)="WS",
LEFT(A1161,2)="TB",
LEFT(A1161,3)="CEL",
LEFT(A1161,3)="MON",
LEFT(A1161,3)="PRE",
LEFT(A1161,3)="PRH",
ISNUMBER(SEARCH("NOTEBOOK",B1161)),
ISNUMBER(SEARCH("LAPTOP",B1161)),
ISNUMBER(SEARCH("MONITOR",B1161)),
ISNUMBER(SEARCH("TABLET",B1161)),
ISNUMBER(SEARCH("SMARTPH",B1161)),
ISNUMBER(SEARCH("IMPRESORA",B1161)),
ISNUMBER(SEARCH("MULTIFUNCIONAL",B1161)),
ISNUMBER(SEARCH("AIO",B1161))
),
"GANCHO",
"NORMAL"
)
)</f>
        <v>GANCHO</v>
      </c>
    </row>
    <row r="1160" spans="1:12" x14ac:dyDescent="0.25">
      <c r="A1160" s="3" t="s">
        <v>1894</v>
      </c>
      <c r="B1160" s="3" t="s">
        <v>1895</v>
      </c>
      <c r="C1160" s="1">
        <v>19</v>
      </c>
      <c r="D1160" s="1">
        <v>2541</v>
      </c>
      <c r="E1160" s="1" t="s">
        <v>56</v>
      </c>
      <c r="F1160" s="1" t="s">
        <v>3736</v>
      </c>
      <c r="G1160" s="3" t="s">
        <v>1896</v>
      </c>
      <c r="H1160" s="11">
        <f>ROUND(
IF(L1158="GANCHO",
   IF(I1160&lt;=50,I1160*1.1+4,IF(I1160&lt;=120,I1160*1.1+7,IF(I1160&lt;=250,I1160*1.1+11,I1160*1.1+19))),
IF(L1158="NORMAL",
   IF(I1160&lt;=30,I1160*1.15+2,IF(I1160&lt;=80,I1160*1.15+4,IF(I1160&lt;=150,I1160*1.15+6,I1160*1.15+8))),
IF(L1158="COMPLEMENTO",
   IF(I1160&lt;=25,I1160*1.25+1.5,IF(I1160&lt;=60,I1160*1.25+3,IF(I1160&lt;=120,I1160*1.25+4,I1160*1.25+5))),
""))),2)</f>
        <v>11496.8</v>
      </c>
      <c r="I1160" s="9">
        <f>($K$2+0.02)*Tabla1[[#This Row],[PRECIO $]]*1.18</f>
        <v>10434.3624</v>
      </c>
      <c r="J1160" s="7">
        <f>+Tabla1[[#This Row],[PRECIO EN SOLES]]-Tabla1[[#This Row],[PC]]</f>
        <v>1062.4375999999993</v>
      </c>
      <c r="K1160" s="15"/>
      <c r="L1160" s="15" t="str">
        <f>IF(
OR(
ISNUMBER(SEARCH("BACKPACK",B1162)),
ISNUMBER(SEARCH("MOCHILA",B1162)),
ISNUMBER(SEARCH("FUNDA",B1162)),
ISNUMBER(SEARCH("ESTUCHE",B1162)),
ISNUMBER(SEARCH("BOOK COVER",B1162)),
ISNUMBER(SEARCH("KEYBOARD PARA TABLET",B1162)),
ISNUMBER(SEARCH("FLIP TABLET",B1162)),
ISNUMBER(SEARCH("CASE FOR TABLET",B1162)),
ISNUMBER(SEARCH("CABLE",B1162)),
ISNUMBER(SEARCH("ADAPTADOR",B1162)),
ISNUMBER(SEARCH("HUB",B1162)),
ISNUMBER(SEARCH("DOCK",B1162)),
ISNUMBER(SEARCH("MOUSE PAD",B1162)),
ISNUMBER(SEARCH("MOUSEPAD",B1162)),
ISNUMBER(SEARCH("SOPORTE",B1162)),
ISNUMBER(SEARCH("STAND",B1162)),
ISNUMBER(SEARCH("TRAVEL ADAPTER",B1162)),
ISNUMBER(SEARCH("RJ45",B1162)),
ISNUMBER(SEARCH("USB-C",B1162)),
ISNUMBER(SEARCH("USB WIFI",B1162)),
ISNUMBER(SEARCH("POWERBANK",B1162)),
ISNUMBER(SEARCH("CARGADOR",B1162)),
ISNUMBER(SEARCH("COOLER PARA NB",B1162)),
ISNUMBER(SEARCH("SOPORTE PARA NB",B1162)),
ISNUMBER(SEARCH("WEBCAM",B1162)),
ISNUMBER(SEARCH("WEB CAM",B1162)),
ISNUMBER(SEARCH("MOUSE",B1162)),
ISNUMBER(SEARCH("TECLADO",B1162))
),
"COMPLEMENTO",
IF(
OR(
LEFT(A1162,2)="NB",
LEFT(A1162,2)="PC",
LEFT(A1162,2)="WS",
LEFT(A1162,2)="TB",
LEFT(A1162,3)="CEL",
LEFT(A1162,3)="MON",
LEFT(A1162,3)="PRE",
LEFT(A1162,3)="PRH",
ISNUMBER(SEARCH("NOTEBOOK",B1162)),
ISNUMBER(SEARCH("LAPTOP",B1162)),
ISNUMBER(SEARCH("MONITOR",B1162)),
ISNUMBER(SEARCH("TABLET",B1162)),
ISNUMBER(SEARCH("SMARTPH",B1162)),
ISNUMBER(SEARCH("IMPRESORA",B1162)),
ISNUMBER(SEARCH("MULTIFUNCIONAL",B1162)),
ISNUMBER(SEARCH("AIO",B1162))
),
"GANCHO",
"NORMAL"
)
)</f>
        <v>GANCHO</v>
      </c>
    </row>
    <row r="1161" spans="1:12" x14ac:dyDescent="0.25">
      <c r="A1161" s="3" t="s">
        <v>1897</v>
      </c>
      <c r="B1161" s="3" t="s">
        <v>1898</v>
      </c>
      <c r="C1161" s="1">
        <v>0</v>
      </c>
      <c r="D1161" s="1">
        <v>2095</v>
      </c>
      <c r="E1161" s="1" t="s">
        <v>56</v>
      </c>
      <c r="F1161" s="1" t="s">
        <v>3737</v>
      </c>
      <c r="G1161" s="3" t="s">
        <v>1899</v>
      </c>
      <c r="H1161" s="11">
        <f>ROUND(
IF(L1159="GANCHO",
   IF(I1161&lt;=50,I1161*1.1+4,IF(I1161&lt;=120,I1161*1.1+7,IF(I1161&lt;=250,I1161*1.1+11,I1161*1.1+19))),
IF(L1159="NORMAL",
   IF(I1161&lt;=30,I1161*1.15+2,IF(I1161&lt;=80,I1161*1.15+4,IF(I1161&lt;=150,I1161*1.15+6,I1161*1.15+8))),
IF(L1159="COMPLEMENTO",
   IF(I1161&lt;=25,I1161*1.25+1.5,IF(I1161&lt;=60,I1161*1.25+3,IF(I1161&lt;=120,I1161*1.25+4,I1161*1.25+5))),
""))),2)</f>
        <v>9482.2000000000007</v>
      </c>
      <c r="I1161" s="9">
        <f>($K$2+0.02)*Tabla1[[#This Row],[PRECIO $]]*1.18</f>
        <v>8602.9079999999994</v>
      </c>
      <c r="J1161" s="7">
        <f>+Tabla1[[#This Row],[PRECIO EN SOLES]]-Tabla1[[#This Row],[PC]]</f>
        <v>879.29200000000128</v>
      </c>
      <c r="K1161" s="15"/>
      <c r="L1161" s="15" t="str">
        <f>IF(
OR(
ISNUMBER(SEARCH("BACKPACK",B1163)),
ISNUMBER(SEARCH("MOCHILA",B1163)),
ISNUMBER(SEARCH("FUNDA",B1163)),
ISNUMBER(SEARCH("ESTUCHE",B1163)),
ISNUMBER(SEARCH("BOOK COVER",B1163)),
ISNUMBER(SEARCH("KEYBOARD PARA TABLET",B1163)),
ISNUMBER(SEARCH("FLIP TABLET",B1163)),
ISNUMBER(SEARCH("CASE FOR TABLET",B1163)),
ISNUMBER(SEARCH("CABLE",B1163)),
ISNUMBER(SEARCH("ADAPTADOR",B1163)),
ISNUMBER(SEARCH("HUB",B1163)),
ISNUMBER(SEARCH("DOCK",B1163)),
ISNUMBER(SEARCH("MOUSE PAD",B1163)),
ISNUMBER(SEARCH("MOUSEPAD",B1163)),
ISNUMBER(SEARCH("SOPORTE",B1163)),
ISNUMBER(SEARCH("STAND",B1163)),
ISNUMBER(SEARCH("TRAVEL ADAPTER",B1163)),
ISNUMBER(SEARCH("RJ45",B1163)),
ISNUMBER(SEARCH("USB-C",B1163)),
ISNUMBER(SEARCH("USB WIFI",B1163)),
ISNUMBER(SEARCH("POWERBANK",B1163)),
ISNUMBER(SEARCH("CARGADOR",B1163)),
ISNUMBER(SEARCH("COOLER PARA NB",B1163)),
ISNUMBER(SEARCH("SOPORTE PARA NB",B1163)),
ISNUMBER(SEARCH("WEBCAM",B1163)),
ISNUMBER(SEARCH("WEB CAM",B1163)),
ISNUMBER(SEARCH("MOUSE",B1163)),
ISNUMBER(SEARCH("TECLADO",B1163))
),
"COMPLEMENTO",
IF(
OR(
LEFT(A1163,2)="NB",
LEFT(A1163,2)="PC",
LEFT(A1163,2)="WS",
LEFT(A1163,2)="TB",
LEFT(A1163,3)="CEL",
LEFT(A1163,3)="MON",
LEFT(A1163,3)="PRE",
LEFT(A1163,3)="PRH",
ISNUMBER(SEARCH("NOTEBOOK",B1163)),
ISNUMBER(SEARCH("LAPTOP",B1163)),
ISNUMBER(SEARCH("MONITOR",B1163)),
ISNUMBER(SEARCH("TABLET",B1163)),
ISNUMBER(SEARCH("SMARTPH",B1163)),
ISNUMBER(SEARCH("IMPRESORA",B1163)),
ISNUMBER(SEARCH("MULTIFUNCIONAL",B1163)),
ISNUMBER(SEARCH("AIO",B1163))
),
"GANCHO",
"NORMAL"
)
)</f>
        <v>GANCHO</v>
      </c>
    </row>
    <row r="1162" spans="1:12" x14ac:dyDescent="0.25">
      <c r="A1162" s="3" t="s">
        <v>1900</v>
      </c>
      <c r="B1162" s="3" t="s">
        <v>1901</v>
      </c>
      <c r="C1162" s="1">
        <v>16</v>
      </c>
      <c r="D1162" s="1">
        <v>2475</v>
      </c>
      <c r="E1162" s="1" t="s">
        <v>56</v>
      </c>
      <c r="F1162" s="1" t="s">
        <v>3738</v>
      </c>
      <c r="G1162" s="3" t="s">
        <v>1902</v>
      </c>
      <c r="H1162" s="11">
        <f>ROUND(
IF(L1160="GANCHO",
   IF(I1162&lt;=50,I1162*1.1+4,IF(I1162&lt;=120,I1162*1.1+7,IF(I1162&lt;=250,I1162*1.1+11,I1162*1.1+19))),
IF(L1160="NORMAL",
   IF(I1162&lt;=30,I1162*1.15+2,IF(I1162&lt;=80,I1162*1.15+4,IF(I1162&lt;=150,I1162*1.15+6,I1162*1.15+8))),
IF(L1160="COMPLEMENTO",
   IF(I1162&lt;=25,I1162*1.25+1.5,IF(I1162&lt;=60,I1162*1.25+3,IF(I1162&lt;=120,I1162*1.25+4,I1162*1.25+5))),
""))),2)</f>
        <v>11198.67</v>
      </c>
      <c r="I1162" s="9">
        <f>($K$2+0.02)*Tabla1[[#This Row],[PRECIO $]]*1.18</f>
        <v>10163.34</v>
      </c>
      <c r="J1162" s="7">
        <f>+Tabla1[[#This Row],[PRECIO EN SOLES]]-Tabla1[[#This Row],[PC]]</f>
        <v>1035.33</v>
      </c>
      <c r="K1162" s="15"/>
      <c r="L1162" s="15" t="str">
        <f>IF(
OR(
ISNUMBER(SEARCH("BACKPACK",B1164)),
ISNUMBER(SEARCH("MOCHILA",B1164)),
ISNUMBER(SEARCH("FUNDA",B1164)),
ISNUMBER(SEARCH("ESTUCHE",B1164)),
ISNUMBER(SEARCH("BOOK COVER",B1164)),
ISNUMBER(SEARCH("KEYBOARD PARA TABLET",B1164)),
ISNUMBER(SEARCH("FLIP TABLET",B1164)),
ISNUMBER(SEARCH("CASE FOR TABLET",B1164)),
ISNUMBER(SEARCH("CABLE",B1164)),
ISNUMBER(SEARCH("ADAPTADOR",B1164)),
ISNUMBER(SEARCH("HUB",B1164)),
ISNUMBER(SEARCH("DOCK",B1164)),
ISNUMBER(SEARCH("MOUSE PAD",B1164)),
ISNUMBER(SEARCH("MOUSEPAD",B1164)),
ISNUMBER(SEARCH("SOPORTE",B1164)),
ISNUMBER(SEARCH("STAND",B1164)),
ISNUMBER(SEARCH("TRAVEL ADAPTER",B1164)),
ISNUMBER(SEARCH("RJ45",B1164)),
ISNUMBER(SEARCH("USB-C",B1164)),
ISNUMBER(SEARCH("USB WIFI",B1164)),
ISNUMBER(SEARCH("POWERBANK",B1164)),
ISNUMBER(SEARCH("CARGADOR",B1164)),
ISNUMBER(SEARCH("COOLER PARA NB",B1164)),
ISNUMBER(SEARCH("SOPORTE PARA NB",B1164)),
ISNUMBER(SEARCH("WEBCAM",B1164)),
ISNUMBER(SEARCH("WEB CAM",B1164)),
ISNUMBER(SEARCH("MOUSE",B1164)),
ISNUMBER(SEARCH("TECLADO",B1164))
),
"COMPLEMENTO",
IF(
OR(
LEFT(A1164,2)="NB",
LEFT(A1164,2)="PC",
LEFT(A1164,2)="WS",
LEFT(A1164,2)="TB",
LEFT(A1164,3)="CEL",
LEFT(A1164,3)="MON",
LEFT(A1164,3)="PRE",
LEFT(A1164,3)="PRH",
ISNUMBER(SEARCH("NOTEBOOK",B1164)),
ISNUMBER(SEARCH("LAPTOP",B1164)),
ISNUMBER(SEARCH("MONITOR",B1164)),
ISNUMBER(SEARCH("TABLET",B1164)),
ISNUMBER(SEARCH("SMARTPH",B1164)),
ISNUMBER(SEARCH("IMPRESORA",B1164)),
ISNUMBER(SEARCH("MULTIFUNCIONAL",B1164)),
ISNUMBER(SEARCH("AIO",B1164))
),
"GANCHO",
"NORMAL"
)
)</f>
        <v>GANCHO</v>
      </c>
    </row>
    <row r="1163" spans="1:12" x14ac:dyDescent="0.25">
      <c r="A1163" s="3" t="s">
        <v>2895</v>
      </c>
      <c r="B1163" s="3" t="s">
        <v>6867</v>
      </c>
      <c r="C1163" s="1">
        <v>2</v>
      </c>
      <c r="D1163" s="1">
        <v>1817</v>
      </c>
      <c r="E1163" s="1" t="s">
        <v>56</v>
      </c>
      <c r="F1163" s="1" t="s">
        <v>3739</v>
      </c>
      <c r="G1163" s="3" t="s">
        <v>2896</v>
      </c>
      <c r="H1163" s="11">
        <f>ROUND(
IF(L1161="GANCHO",
   IF(I1163&lt;=50,I1163*1.1+4,IF(I1163&lt;=120,I1163*1.1+7,IF(I1163&lt;=250,I1163*1.1+11,I1163*1.1+19))),
IF(L1161="NORMAL",
   IF(I1163&lt;=30,I1163*1.15+2,IF(I1163&lt;=80,I1163*1.15+4,IF(I1163&lt;=150,I1163*1.15+6,I1163*1.15+8))),
IF(L1161="COMPLEMENTO",
   IF(I1163&lt;=25,I1163*1.25+1.5,IF(I1163&lt;=60,I1163*1.25+3,IF(I1163&lt;=120,I1163*1.25+4,I1163*1.25+5))),
""))),2)</f>
        <v>8226.4599999999991</v>
      </c>
      <c r="I1163" s="9">
        <f>($K$2+0.02)*Tabla1[[#This Row],[PRECIO $]]*1.18</f>
        <v>7461.3287999999993</v>
      </c>
      <c r="J1163" s="7">
        <f>+Tabla1[[#This Row],[PRECIO EN SOLES]]-Tabla1[[#This Row],[PC]]</f>
        <v>765.13119999999981</v>
      </c>
      <c r="K1163" s="15"/>
      <c r="L1163" s="15" t="str">
        <f>IF(
OR(
ISNUMBER(SEARCH("BACKPACK",B1165)),
ISNUMBER(SEARCH("MOCHILA",B1165)),
ISNUMBER(SEARCH("FUNDA",B1165)),
ISNUMBER(SEARCH("ESTUCHE",B1165)),
ISNUMBER(SEARCH("BOOK COVER",B1165)),
ISNUMBER(SEARCH("KEYBOARD PARA TABLET",B1165)),
ISNUMBER(SEARCH("FLIP TABLET",B1165)),
ISNUMBER(SEARCH("CASE FOR TABLET",B1165)),
ISNUMBER(SEARCH("CABLE",B1165)),
ISNUMBER(SEARCH("ADAPTADOR",B1165)),
ISNUMBER(SEARCH("HUB",B1165)),
ISNUMBER(SEARCH("DOCK",B1165)),
ISNUMBER(SEARCH("MOUSE PAD",B1165)),
ISNUMBER(SEARCH("MOUSEPAD",B1165)),
ISNUMBER(SEARCH("SOPORTE",B1165)),
ISNUMBER(SEARCH("STAND",B1165)),
ISNUMBER(SEARCH("TRAVEL ADAPTER",B1165)),
ISNUMBER(SEARCH("RJ45",B1165)),
ISNUMBER(SEARCH("USB-C",B1165)),
ISNUMBER(SEARCH("USB WIFI",B1165)),
ISNUMBER(SEARCH("POWERBANK",B1165)),
ISNUMBER(SEARCH("CARGADOR",B1165)),
ISNUMBER(SEARCH("COOLER PARA NB",B1165)),
ISNUMBER(SEARCH("SOPORTE PARA NB",B1165)),
ISNUMBER(SEARCH("WEBCAM",B1165)),
ISNUMBER(SEARCH("WEB CAM",B1165)),
ISNUMBER(SEARCH("MOUSE",B1165)),
ISNUMBER(SEARCH("TECLADO",B1165))
),
"COMPLEMENTO",
IF(
OR(
LEFT(A1165,2)="NB",
LEFT(A1165,2)="PC",
LEFT(A1165,2)="WS",
LEFT(A1165,2)="TB",
LEFT(A1165,3)="CEL",
LEFT(A1165,3)="MON",
LEFT(A1165,3)="PRE",
LEFT(A1165,3)="PRH",
ISNUMBER(SEARCH("NOTEBOOK",B1165)),
ISNUMBER(SEARCH("LAPTOP",B1165)),
ISNUMBER(SEARCH("MONITOR",B1165)),
ISNUMBER(SEARCH("TABLET",B1165)),
ISNUMBER(SEARCH("SMARTPH",B1165)),
ISNUMBER(SEARCH("IMPRESORA",B1165)),
ISNUMBER(SEARCH("MULTIFUNCIONAL",B1165)),
ISNUMBER(SEARCH("AIO",B1165))
),
"GANCHO",
"NORMAL"
)
)</f>
        <v>GANCHO</v>
      </c>
    </row>
    <row r="1164" spans="1:12" x14ac:dyDescent="0.25">
      <c r="A1164" s="3" t="s">
        <v>1903</v>
      </c>
      <c r="B1164" s="3" t="s">
        <v>1904</v>
      </c>
      <c r="C1164" s="1">
        <v>9</v>
      </c>
      <c r="D1164" s="1">
        <v>2025</v>
      </c>
      <c r="E1164" s="1" t="s">
        <v>56</v>
      </c>
      <c r="F1164" s="1" t="s">
        <v>3740</v>
      </c>
      <c r="G1164" s="3" t="s">
        <v>1905</v>
      </c>
      <c r="H1164" s="11">
        <f>ROUND(
IF(L1162="GANCHO",
   IF(I1164&lt;=50,I1164*1.1+4,IF(I1164&lt;=120,I1164*1.1+7,IF(I1164&lt;=250,I1164*1.1+11,I1164*1.1+19))),
IF(L1162="NORMAL",
   IF(I1164&lt;=30,I1164*1.15+2,IF(I1164&lt;=80,I1164*1.15+4,IF(I1164&lt;=150,I1164*1.15+6,I1164*1.15+8))),
IF(L1162="COMPLEMENTO",
   IF(I1164&lt;=25,I1164*1.25+1.5,IF(I1164&lt;=60,I1164*1.25+3,IF(I1164&lt;=120,I1164*1.25+4,I1164*1.25+5))),
""))),2)</f>
        <v>9166.01</v>
      </c>
      <c r="I1164" s="9">
        <f>($K$2+0.02)*Tabla1[[#This Row],[PRECIO $]]*1.18</f>
        <v>8315.4599999999991</v>
      </c>
      <c r="J1164" s="7">
        <f>+Tabla1[[#This Row],[PRECIO EN SOLES]]-Tabla1[[#This Row],[PC]]</f>
        <v>850.55000000000109</v>
      </c>
      <c r="K1164" s="15"/>
      <c r="L1164" s="15" t="str">
        <f>IF(
OR(
ISNUMBER(SEARCH("BACKPACK",B1166)),
ISNUMBER(SEARCH("MOCHILA",B1166)),
ISNUMBER(SEARCH("FUNDA",B1166)),
ISNUMBER(SEARCH("ESTUCHE",B1166)),
ISNUMBER(SEARCH("BOOK COVER",B1166)),
ISNUMBER(SEARCH("KEYBOARD PARA TABLET",B1166)),
ISNUMBER(SEARCH("FLIP TABLET",B1166)),
ISNUMBER(SEARCH("CASE FOR TABLET",B1166)),
ISNUMBER(SEARCH("CABLE",B1166)),
ISNUMBER(SEARCH("ADAPTADOR",B1166)),
ISNUMBER(SEARCH("HUB",B1166)),
ISNUMBER(SEARCH("DOCK",B1166)),
ISNUMBER(SEARCH("MOUSE PAD",B1166)),
ISNUMBER(SEARCH("MOUSEPAD",B1166)),
ISNUMBER(SEARCH("SOPORTE",B1166)),
ISNUMBER(SEARCH("STAND",B1166)),
ISNUMBER(SEARCH("TRAVEL ADAPTER",B1166)),
ISNUMBER(SEARCH("RJ45",B1166)),
ISNUMBER(SEARCH("USB-C",B1166)),
ISNUMBER(SEARCH("USB WIFI",B1166)),
ISNUMBER(SEARCH("POWERBANK",B1166)),
ISNUMBER(SEARCH("CARGADOR",B1166)),
ISNUMBER(SEARCH("COOLER PARA NB",B1166)),
ISNUMBER(SEARCH("SOPORTE PARA NB",B1166)),
ISNUMBER(SEARCH("WEBCAM",B1166)),
ISNUMBER(SEARCH("WEB CAM",B1166)),
ISNUMBER(SEARCH("MOUSE",B1166)),
ISNUMBER(SEARCH("TECLADO",B1166))
),
"COMPLEMENTO",
IF(
OR(
LEFT(A1166,2)="NB",
LEFT(A1166,2)="PC",
LEFT(A1166,2)="WS",
LEFT(A1166,2)="TB",
LEFT(A1166,3)="CEL",
LEFT(A1166,3)="MON",
LEFT(A1166,3)="PRE",
LEFT(A1166,3)="PRH",
ISNUMBER(SEARCH("NOTEBOOK",B1166)),
ISNUMBER(SEARCH("LAPTOP",B1166)),
ISNUMBER(SEARCH("MONITOR",B1166)),
ISNUMBER(SEARCH("TABLET",B1166)),
ISNUMBER(SEARCH("SMARTPH",B1166)),
ISNUMBER(SEARCH("IMPRESORA",B1166)),
ISNUMBER(SEARCH("MULTIFUNCIONAL",B1166)),
ISNUMBER(SEARCH("AIO",B1166))
),
"GANCHO",
"NORMAL"
)
)</f>
        <v>GANCHO</v>
      </c>
    </row>
    <row r="1165" spans="1:12" x14ac:dyDescent="0.25">
      <c r="A1165" s="3" t="s">
        <v>1906</v>
      </c>
      <c r="B1165" s="3" t="s">
        <v>1907</v>
      </c>
      <c r="C1165" s="1">
        <v>8</v>
      </c>
      <c r="D1165" s="1">
        <v>2685</v>
      </c>
      <c r="E1165" s="1" t="s">
        <v>56</v>
      </c>
      <c r="F1165" s="1" t="s">
        <v>3741</v>
      </c>
      <c r="G1165" s="3" t="s">
        <v>1908</v>
      </c>
      <c r="H1165" s="11">
        <f>ROUND(
IF(L1163="GANCHO",
   IF(I1165&lt;=50,I1165*1.1+4,IF(I1165&lt;=120,I1165*1.1+7,IF(I1165&lt;=250,I1165*1.1+11,I1165*1.1+19))),
IF(L1163="NORMAL",
   IF(I1165&lt;=30,I1165*1.15+2,IF(I1165&lt;=80,I1165*1.15+4,IF(I1165&lt;=150,I1165*1.15+6,I1165*1.15+8))),
IF(L1163="COMPLEMENTO",
   IF(I1165&lt;=25,I1165*1.25+1.5,IF(I1165&lt;=60,I1165*1.25+3,IF(I1165&lt;=120,I1165*1.25+4,I1165*1.25+5))),
""))),2)</f>
        <v>12147.25</v>
      </c>
      <c r="I1165" s="9">
        <f>($K$2+0.02)*Tabla1[[#This Row],[PRECIO $]]*1.18</f>
        <v>11025.683999999999</v>
      </c>
      <c r="J1165" s="7">
        <f>+Tabla1[[#This Row],[PRECIO EN SOLES]]-Tabla1[[#This Row],[PC]]</f>
        <v>1121.5660000000007</v>
      </c>
      <c r="K1165" s="15"/>
      <c r="L1165" s="15" t="str">
        <f>IF(
OR(
ISNUMBER(SEARCH("BACKPACK",B1167)),
ISNUMBER(SEARCH("MOCHILA",B1167)),
ISNUMBER(SEARCH("FUNDA",B1167)),
ISNUMBER(SEARCH("ESTUCHE",B1167)),
ISNUMBER(SEARCH("BOOK COVER",B1167)),
ISNUMBER(SEARCH("KEYBOARD PARA TABLET",B1167)),
ISNUMBER(SEARCH("FLIP TABLET",B1167)),
ISNUMBER(SEARCH("CASE FOR TABLET",B1167)),
ISNUMBER(SEARCH("CABLE",B1167)),
ISNUMBER(SEARCH("ADAPTADOR",B1167)),
ISNUMBER(SEARCH("HUB",B1167)),
ISNUMBER(SEARCH("DOCK",B1167)),
ISNUMBER(SEARCH("MOUSE PAD",B1167)),
ISNUMBER(SEARCH("MOUSEPAD",B1167)),
ISNUMBER(SEARCH("SOPORTE",B1167)),
ISNUMBER(SEARCH("STAND",B1167)),
ISNUMBER(SEARCH("TRAVEL ADAPTER",B1167)),
ISNUMBER(SEARCH("RJ45",B1167)),
ISNUMBER(SEARCH("USB-C",B1167)),
ISNUMBER(SEARCH("USB WIFI",B1167)),
ISNUMBER(SEARCH("POWERBANK",B1167)),
ISNUMBER(SEARCH("CARGADOR",B1167)),
ISNUMBER(SEARCH("COOLER PARA NB",B1167)),
ISNUMBER(SEARCH("SOPORTE PARA NB",B1167)),
ISNUMBER(SEARCH("WEBCAM",B1167)),
ISNUMBER(SEARCH("WEB CAM",B1167)),
ISNUMBER(SEARCH("MOUSE",B1167)),
ISNUMBER(SEARCH("TECLADO",B1167))
),
"COMPLEMENTO",
IF(
OR(
LEFT(A1167,2)="NB",
LEFT(A1167,2)="PC",
LEFT(A1167,2)="WS",
LEFT(A1167,2)="TB",
LEFT(A1167,3)="CEL",
LEFT(A1167,3)="MON",
LEFT(A1167,3)="PRE",
LEFT(A1167,3)="PRH",
ISNUMBER(SEARCH("NOTEBOOK",B1167)),
ISNUMBER(SEARCH("LAPTOP",B1167)),
ISNUMBER(SEARCH("MONITOR",B1167)),
ISNUMBER(SEARCH("TABLET",B1167)),
ISNUMBER(SEARCH("SMARTPH",B1167)),
ISNUMBER(SEARCH("IMPRESORA",B1167)),
ISNUMBER(SEARCH("MULTIFUNCIONAL",B1167)),
ISNUMBER(SEARCH("AIO",B1167))
),
"GANCHO",
"NORMAL"
)
)</f>
        <v>GANCHO</v>
      </c>
    </row>
    <row r="1166" spans="1:12" x14ac:dyDescent="0.25">
      <c r="A1166" s="3" t="s">
        <v>4428</v>
      </c>
      <c r="B1166" s="3" t="s">
        <v>4429</v>
      </c>
      <c r="C1166" s="1">
        <v>0</v>
      </c>
      <c r="D1166" s="1">
        <v>2205</v>
      </c>
      <c r="E1166" s="1" t="s">
        <v>837</v>
      </c>
      <c r="F1166" s="1" t="s">
        <v>4430</v>
      </c>
      <c r="G1166" s="3" t="s">
        <v>5013</v>
      </c>
      <c r="H1166" s="11">
        <f>ROUND(
IF(L1164="GANCHO",
   IF(I1166&lt;=50,I1166*1.1+4,IF(I1166&lt;=120,I1166*1.1+7,IF(I1166&lt;=250,I1166*1.1+11,I1166*1.1+19))),
IF(L1164="NORMAL",
   IF(I1166&lt;=30,I1166*1.15+2,IF(I1166&lt;=80,I1166*1.15+4,IF(I1166&lt;=150,I1166*1.15+6,I1166*1.15+8))),
IF(L1164="COMPLEMENTO",
   IF(I1166&lt;=25,I1166*1.25+1.5,IF(I1166&lt;=60,I1166*1.25+3,IF(I1166&lt;=120,I1166*1.25+4,I1166*1.25+5))),
""))),2)</f>
        <v>9979.07</v>
      </c>
      <c r="I1166" s="9">
        <f>($K$2+0.02)*Tabla1[[#This Row],[PRECIO $]]*1.18</f>
        <v>9054.6119999999992</v>
      </c>
      <c r="J1166" s="7">
        <f>+Tabla1[[#This Row],[PRECIO EN SOLES]]-Tabla1[[#This Row],[PC]]</f>
        <v>924.45800000000054</v>
      </c>
      <c r="K1166" s="15"/>
      <c r="L1166" s="15" t="str">
        <f>IF(
OR(
ISNUMBER(SEARCH("BACKPACK",B1168)),
ISNUMBER(SEARCH("MOCHILA",B1168)),
ISNUMBER(SEARCH("FUNDA",B1168)),
ISNUMBER(SEARCH("ESTUCHE",B1168)),
ISNUMBER(SEARCH("BOOK COVER",B1168)),
ISNUMBER(SEARCH("KEYBOARD PARA TABLET",B1168)),
ISNUMBER(SEARCH("FLIP TABLET",B1168)),
ISNUMBER(SEARCH("CASE FOR TABLET",B1168)),
ISNUMBER(SEARCH("CABLE",B1168)),
ISNUMBER(SEARCH("ADAPTADOR",B1168)),
ISNUMBER(SEARCH("HUB",B1168)),
ISNUMBER(SEARCH("DOCK",B1168)),
ISNUMBER(SEARCH("MOUSE PAD",B1168)),
ISNUMBER(SEARCH("MOUSEPAD",B1168)),
ISNUMBER(SEARCH("SOPORTE",B1168)),
ISNUMBER(SEARCH("STAND",B1168)),
ISNUMBER(SEARCH("TRAVEL ADAPTER",B1168)),
ISNUMBER(SEARCH("RJ45",B1168)),
ISNUMBER(SEARCH("USB-C",B1168)),
ISNUMBER(SEARCH("USB WIFI",B1168)),
ISNUMBER(SEARCH("POWERBANK",B1168)),
ISNUMBER(SEARCH("CARGADOR",B1168)),
ISNUMBER(SEARCH("COOLER PARA NB",B1168)),
ISNUMBER(SEARCH("SOPORTE PARA NB",B1168)),
ISNUMBER(SEARCH("WEBCAM",B1168)),
ISNUMBER(SEARCH("WEB CAM",B1168)),
ISNUMBER(SEARCH("MOUSE",B1168)),
ISNUMBER(SEARCH("TECLADO",B1168))
),
"COMPLEMENTO",
IF(
OR(
LEFT(A1168,2)="NB",
LEFT(A1168,2)="PC",
LEFT(A1168,2)="WS",
LEFT(A1168,2)="TB",
LEFT(A1168,3)="CEL",
LEFT(A1168,3)="MON",
LEFT(A1168,3)="PRE",
LEFT(A1168,3)="PRH",
ISNUMBER(SEARCH("NOTEBOOK",B1168)),
ISNUMBER(SEARCH("LAPTOP",B1168)),
ISNUMBER(SEARCH("MONITOR",B1168)),
ISNUMBER(SEARCH("TABLET",B1168)),
ISNUMBER(SEARCH("SMARTPH",B1168)),
ISNUMBER(SEARCH("IMPRESORA",B1168)),
ISNUMBER(SEARCH("MULTIFUNCIONAL",B1168)),
ISNUMBER(SEARCH("AIO",B1168))
),
"GANCHO",
"NORMAL"
)
)</f>
        <v>GANCHO</v>
      </c>
    </row>
    <row r="1167" spans="1:12" x14ac:dyDescent="0.25">
      <c r="A1167" s="3" t="s">
        <v>4431</v>
      </c>
      <c r="B1167" s="3" t="s">
        <v>4432</v>
      </c>
      <c r="C1167" s="1">
        <v>20</v>
      </c>
      <c r="D1167" s="1">
        <v>2465</v>
      </c>
      <c r="E1167" s="1" t="s">
        <v>837</v>
      </c>
      <c r="F1167" s="1" t="s">
        <v>4433</v>
      </c>
      <c r="G1167" s="3" t="s">
        <v>5014</v>
      </c>
      <c r="H1167" s="11">
        <f>ROUND(
IF(L1165="GANCHO",
   IF(I1167&lt;=50,I1167*1.1+4,IF(I1167&lt;=120,I1167*1.1+7,IF(I1167&lt;=250,I1167*1.1+11,I1167*1.1+19))),
IF(L1165="NORMAL",
   IF(I1167&lt;=30,I1167*1.15+2,IF(I1167&lt;=80,I1167*1.15+4,IF(I1167&lt;=150,I1167*1.15+6,I1167*1.15+8))),
IF(L1165="COMPLEMENTO",
   IF(I1167&lt;=25,I1167*1.25+1.5,IF(I1167&lt;=60,I1167*1.25+3,IF(I1167&lt;=120,I1167*1.25+4,I1167*1.25+5))),
""))),2)</f>
        <v>11153.5</v>
      </c>
      <c r="I1167" s="9">
        <f>($K$2+0.02)*Tabla1[[#This Row],[PRECIO $]]*1.18</f>
        <v>10122.276</v>
      </c>
      <c r="J1167" s="7">
        <f>+Tabla1[[#This Row],[PRECIO EN SOLES]]-Tabla1[[#This Row],[PC]]</f>
        <v>1031.2240000000002</v>
      </c>
      <c r="K1167" s="15"/>
      <c r="L1167" s="15" t="str">
        <f>IF(
OR(
ISNUMBER(SEARCH("BACKPACK",B1169)),
ISNUMBER(SEARCH("MOCHILA",B1169)),
ISNUMBER(SEARCH("FUNDA",B1169)),
ISNUMBER(SEARCH("ESTUCHE",B1169)),
ISNUMBER(SEARCH("BOOK COVER",B1169)),
ISNUMBER(SEARCH("KEYBOARD PARA TABLET",B1169)),
ISNUMBER(SEARCH("FLIP TABLET",B1169)),
ISNUMBER(SEARCH("CASE FOR TABLET",B1169)),
ISNUMBER(SEARCH("CABLE",B1169)),
ISNUMBER(SEARCH("ADAPTADOR",B1169)),
ISNUMBER(SEARCH("HUB",B1169)),
ISNUMBER(SEARCH("DOCK",B1169)),
ISNUMBER(SEARCH("MOUSE PAD",B1169)),
ISNUMBER(SEARCH("MOUSEPAD",B1169)),
ISNUMBER(SEARCH("SOPORTE",B1169)),
ISNUMBER(SEARCH("STAND",B1169)),
ISNUMBER(SEARCH("TRAVEL ADAPTER",B1169)),
ISNUMBER(SEARCH("RJ45",B1169)),
ISNUMBER(SEARCH("USB-C",B1169)),
ISNUMBER(SEARCH("USB WIFI",B1169)),
ISNUMBER(SEARCH("POWERBANK",B1169)),
ISNUMBER(SEARCH("CARGADOR",B1169)),
ISNUMBER(SEARCH("COOLER PARA NB",B1169)),
ISNUMBER(SEARCH("SOPORTE PARA NB",B1169)),
ISNUMBER(SEARCH("WEBCAM",B1169)),
ISNUMBER(SEARCH("WEB CAM",B1169)),
ISNUMBER(SEARCH("MOUSE",B1169)),
ISNUMBER(SEARCH("TECLADO",B1169))
),
"COMPLEMENTO",
IF(
OR(
LEFT(A1169,2)="NB",
LEFT(A1169,2)="PC",
LEFT(A1169,2)="WS",
LEFT(A1169,2)="TB",
LEFT(A1169,3)="CEL",
LEFT(A1169,3)="MON",
LEFT(A1169,3)="PRE",
LEFT(A1169,3)="PRH",
ISNUMBER(SEARCH("NOTEBOOK",B1169)),
ISNUMBER(SEARCH("LAPTOP",B1169)),
ISNUMBER(SEARCH("MONITOR",B1169)),
ISNUMBER(SEARCH("TABLET",B1169)),
ISNUMBER(SEARCH("SMARTPH",B1169)),
ISNUMBER(SEARCH("IMPRESORA",B1169)),
ISNUMBER(SEARCH("MULTIFUNCIONAL",B1169)),
ISNUMBER(SEARCH("AIO",B1169))
),
"GANCHO",
"NORMAL"
)
)</f>
        <v>GANCHO</v>
      </c>
    </row>
    <row r="1168" spans="1:12" x14ac:dyDescent="0.25">
      <c r="A1168" s="3" t="s">
        <v>4434</v>
      </c>
      <c r="B1168" s="3" t="s">
        <v>4435</v>
      </c>
      <c r="C1168" s="1">
        <v>20</v>
      </c>
      <c r="D1168" s="1">
        <v>3435</v>
      </c>
      <c r="E1168" s="1" t="s">
        <v>837</v>
      </c>
      <c r="F1168" s="1" t="s">
        <v>4436</v>
      </c>
      <c r="G1168" s="3" t="s">
        <v>5015</v>
      </c>
      <c r="H1168" s="11">
        <f>ROUND(
IF(L1166="GANCHO",
   IF(I1168&lt;=50,I1168*1.1+4,IF(I1168&lt;=120,I1168*1.1+7,IF(I1168&lt;=250,I1168*1.1+11,I1168*1.1+19))),
IF(L1166="NORMAL",
   IF(I1168&lt;=30,I1168*1.15+2,IF(I1168&lt;=80,I1168*1.15+4,IF(I1168&lt;=150,I1168*1.15+6,I1168*1.15+8))),
IF(L1166="COMPLEMENTO",
   IF(I1168&lt;=25,I1168*1.25+1.5,IF(I1168&lt;=60,I1168*1.25+3,IF(I1168&lt;=120,I1168*1.25+4,I1168*1.25+5))),
""))),2)</f>
        <v>15535.03</v>
      </c>
      <c r="I1168" s="9">
        <f>($K$2+0.02)*Tabla1[[#This Row],[PRECIO $]]*1.18</f>
        <v>14105.483999999999</v>
      </c>
      <c r="J1168" s="7">
        <f>+Tabla1[[#This Row],[PRECIO EN SOLES]]-Tabla1[[#This Row],[PC]]</f>
        <v>1429.5460000000021</v>
      </c>
      <c r="K1168" s="15"/>
      <c r="L1168" s="15" t="str">
        <f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69" spans="1:12" x14ac:dyDescent="0.25">
      <c r="A1169" s="3" t="s">
        <v>4437</v>
      </c>
      <c r="B1169" s="3" t="s">
        <v>4438</v>
      </c>
      <c r="C1169" s="1">
        <v>8</v>
      </c>
      <c r="D1169" s="1">
        <v>3955</v>
      </c>
      <c r="E1169" s="1" t="s">
        <v>837</v>
      </c>
      <c r="F1169" s="1" t="s">
        <v>4439</v>
      </c>
      <c r="G1169" s="3" t="s">
        <v>5015</v>
      </c>
      <c r="H1169" s="11">
        <f>ROUND(
IF(L1167="GANCHO",
   IF(I1169&lt;=50,I1169*1.1+4,IF(I1169&lt;=120,I1169*1.1+7,IF(I1169&lt;=250,I1169*1.1+11,I1169*1.1+19))),
IF(L1167="NORMAL",
   IF(I1169&lt;=30,I1169*1.15+2,IF(I1169&lt;=80,I1169*1.15+4,IF(I1169&lt;=150,I1169*1.15+6,I1169*1.15+8))),
IF(L1167="COMPLEMENTO",
   IF(I1169&lt;=25,I1169*1.25+1.5,IF(I1169&lt;=60,I1169*1.25+3,IF(I1169&lt;=120,I1169*1.25+4,I1169*1.25+5))),
""))),2)</f>
        <v>17883.89</v>
      </c>
      <c r="I1169" s="9">
        <f>($K$2+0.02)*Tabla1[[#This Row],[PRECIO $]]*1.18</f>
        <v>16240.811999999998</v>
      </c>
      <c r="J1169" s="7">
        <f>+Tabla1[[#This Row],[PRECIO EN SOLES]]-Tabla1[[#This Row],[PC]]</f>
        <v>1643.0780000000013</v>
      </c>
      <c r="K1169" s="15"/>
      <c r="L1169" s="15" t="str">
        <f>IF(
OR(
ISNUMBER(SEARCH("BACKPACK",B1171)),
ISNUMBER(SEARCH("MOCHILA",B1171)),
ISNUMBER(SEARCH("FUNDA",B1171)),
ISNUMBER(SEARCH("ESTUCHE",B1171)),
ISNUMBER(SEARCH("BOOK COVER",B1171)),
ISNUMBER(SEARCH("KEYBOARD PARA TABLET",B1171)),
ISNUMBER(SEARCH("FLIP TABLET",B1171)),
ISNUMBER(SEARCH("CASE FOR TABLET",B1171)),
ISNUMBER(SEARCH("CABLE",B1171)),
ISNUMBER(SEARCH("ADAPTADOR",B1171)),
ISNUMBER(SEARCH("HUB",B1171)),
ISNUMBER(SEARCH("DOCK",B1171)),
ISNUMBER(SEARCH("MOUSE PAD",B1171)),
ISNUMBER(SEARCH("MOUSEPAD",B1171)),
ISNUMBER(SEARCH("SOPORTE",B1171)),
ISNUMBER(SEARCH("STAND",B1171)),
ISNUMBER(SEARCH("TRAVEL ADAPTER",B1171)),
ISNUMBER(SEARCH("RJ45",B1171)),
ISNUMBER(SEARCH("USB-C",B1171)),
ISNUMBER(SEARCH("USB WIFI",B1171)),
ISNUMBER(SEARCH("POWERBANK",B1171)),
ISNUMBER(SEARCH("CARGADOR",B1171)),
ISNUMBER(SEARCH("COOLER PARA NB",B1171)),
ISNUMBER(SEARCH("SOPORTE PARA NB",B1171)),
ISNUMBER(SEARCH("WEBCAM",B1171)),
ISNUMBER(SEARCH("WEB CAM",B1171)),
ISNUMBER(SEARCH("MOUSE",B1171)),
ISNUMBER(SEARCH("TECLADO",B1171))
),
"COMPLEMENTO",
IF(
OR(
LEFT(A1171,2)="NB",
LEFT(A1171,2)="PC",
LEFT(A1171,2)="WS",
LEFT(A1171,2)="TB",
LEFT(A1171,3)="CEL",
LEFT(A1171,3)="MON",
LEFT(A1171,3)="PRE",
LEFT(A1171,3)="PRH",
ISNUMBER(SEARCH("NOTEBOOK",B1171)),
ISNUMBER(SEARCH("LAPTOP",B1171)),
ISNUMBER(SEARCH("MONITOR",B1171)),
ISNUMBER(SEARCH("TABLET",B1171)),
ISNUMBER(SEARCH("SMARTPH",B1171)),
ISNUMBER(SEARCH("IMPRESORA",B1171)),
ISNUMBER(SEARCH("MULTIFUNCIONAL",B1171)),
ISNUMBER(SEARCH("AIO",B1171))
),
"GANCHO",
"NORMAL"
)
)</f>
        <v>GANCHO</v>
      </c>
    </row>
    <row r="1170" spans="1:12" x14ac:dyDescent="0.25">
      <c r="A1170" s="3" t="s">
        <v>4440</v>
      </c>
      <c r="B1170" s="3" t="s">
        <v>4441</v>
      </c>
      <c r="C1170" s="1">
        <v>12</v>
      </c>
      <c r="D1170" s="1">
        <v>3565</v>
      </c>
      <c r="E1170" s="1" t="s">
        <v>837</v>
      </c>
      <c r="F1170" s="1" t="s">
        <v>4442</v>
      </c>
      <c r="G1170" s="3" t="s">
        <v>5016</v>
      </c>
      <c r="H1170" s="11">
        <f>ROUND(
IF(L1168="GANCHO",
   IF(I1170&lt;=50,I1170*1.1+4,IF(I1170&lt;=120,I1170*1.1+7,IF(I1170&lt;=250,I1170*1.1+11,I1170*1.1+19))),
IF(L1168="NORMAL",
   IF(I1170&lt;=30,I1170*1.15+2,IF(I1170&lt;=80,I1170*1.15+4,IF(I1170&lt;=150,I1170*1.15+6,I1170*1.15+8))),
IF(L1168="COMPLEMENTO",
   IF(I1170&lt;=25,I1170*1.25+1.5,IF(I1170&lt;=60,I1170*1.25+3,IF(I1170&lt;=120,I1170*1.25+4,I1170*1.25+5))),
""))),2)</f>
        <v>16122.25</v>
      </c>
      <c r="I1170" s="9">
        <f>($K$2+0.02)*Tabla1[[#This Row],[PRECIO $]]*1.18</f>
        <v>14639.316000000001</v>
      </c>
      <c r="J1170" s="7">
        <f>+Tabla1[[#This Row],[PRECIO EN SOLES]]-Tabla1[[#This Row],[PC]]</f>
        <v>1482.9339999999993</v>
      </c>
      <c r="K1170" s="15"/>
      <c r="L1170" s="15" t="str">
        <f>IF(
OR(
ISNUMBER(SEARCH("BACKPACK",B1172)),
ISNUMBER(SEARCH("MOCHILA",B1172)),
ISNUMBER(SEARCH("FUNDA",B1172)),
ISNUMBER(SEARCH("ESTUCHE",B1172)),
ISNUMBER(SEARCH("BOOK COVER",B1172)),
ISNUMBER(SEARCH("KEYBOARD PARA TABLET",B1172)),
ISNUMBER(SEARCH("FLIP TABLET",B1172)),
ISNUMBER(SEARCH("CASE FOR TABLET",B1172)),
ISNUMBER(SEARCH("CABLE",B1172)),
ISNUMBER(SEARCH("ADAPTADOR",B1172)),
ISNUMBER(SEARCH("HUB",B1172)),
ISNUMBER(SEARCH("DOCK",B1172)),
ISNUMBER(SEARCH("MOUSE PAD",B1172)),
ISNUMBER(SEARCH("MOUSEPAD",B1172)),
ISNUMBER(SEARCH("SOPORTE",B1172)),
ISNUMBER(SEARCH("STAND",B1172)),
ISNUMBER(SEARCH("TRAVEL ADAPTER",B1172)),
ISNUMBER(SEARCH("RJ45",B1172)),
ISNUMBER(SEARCH("USB-C",B1172)),
ISNUMBER(SEARCH("USB WIFI",B1172)),
ISNUMBER(SEARCH("POWERBANK",B1172)),
ISNUMBER(SEARCH("CARGADOR",B1172)),
ISNUMBER(SEARCH("COOLER PARA NB",B1172)),
ISNUMBER(SEARCH("SOPORTE PARA NB",B1172)),
ISNUMBER(SEARCH("WEBCAM",B1172)),
ISNUMBER(SEARCH("WEB CAM",B1172)),
ISNUMBER(SEARCH("MOUSE",B1172)),
ISNUMBER(SEARCH("TECLADO",B1172))
),
"COMPLEMENTO",
IF(
OR(
LEFT(A1172,2)="NB",
LEFT(A1172,2)="PC",
LEFT(A1172,2)="WS",
LEFT(A1172,2)="TB",
LEFT(A1172,3)="CEL",
LEFT(A1172,3)="MON",
LEFT(A1172,3)="PRE",
LEFT(A1172,3)="PRH",
ISNUMBER(SEARCH("NOTEBOOK",B1172)),
ISNUMBER(SEARCH("LAPTOP",B1172)),
ISNUMBER(SEARCH("MONITOR",B1172)),
ISNUMBER(SEARCH("TABLET",B1172)),
ISNUMBER(SEARCH("SMARTPH",B1172)),
ISNUMBER(SEARCH("IMPRESORA",B1172)),
ISNUMBER(SEARCH("MULTIFUNCIONAL",B1172)),
ISNUMBER(SEARCH("AIO",B1172))
),
"GANCHO",
"NORMAL"
)
)</f>
        <v>GANCHO</v>
      </c>
    </row>
    <row r="1171" spans="1:12" x14ac:dyDescent="0.25">
      <c r="A1171" s="3" t="s">
        <v>4443</v>
      </c>
      <c r="B1171" s="3" t="s">
        <v>4444</v>
      </c>
      <c r="C1171" s="1">
        <v>7</v>
      </c>
      <c r="D1171" s="1">
        <v>4115</v>
      </c>
      <c r="E1171" s="1" t="s">
        <v>837</v>
      </c>
      <c r="F1171" s="1" t="s">
        <v>4445</v>
      </c>
      <c r="G1171" s="3" t="s">
        <v>5016</v>
      </c>
      <c r="H1171" s="11">
        <f>ROUND(
IF(L1169="GANCHO",
   IF(I1171&lt;=50,I1171*1.1+4,IF(I1171&lt;=120,I1171*1.1+7,IF(I1171&lt;=250,I1171*1.1+11,I1171*1.1+19))),
IF(L1169="NORMAL",
   IF(I1171&lt;=30,I1171*1.15+2,IF(I1171&lt;=80,I1171*1.15+4,IF(I1171&lt;=150,I1171*1.15+6,I1171*1.15+8))),
IF(L1169="COMPLEMENTO",
   IF(I1171&lt;=25,I1171*1.25+1.5,IF(I1171&lt;=60,I1171*1.25+3,IF(I1171&lt;=120,I1171*1.25+4,I1171*1.25+5))),
""))),2)</f>
        <v>18606.62</v>
      </c>
      <c r="I1171" s="9">
        <f>($K$2+0.02)*Tabla1[[#This Row],[PRECIO $]]*1.18</f>
        <v>16897.835999999999</v>
      </c>
      <c r="J1171" s="7">
        <f>+Tabla1[[#This Row],[PRECIO EN SOLES]]-Tabla1[[#This Row],[PC]]</f>
        <v>1708.7839999999997</v>
      </c>
      <c r="K1171" s="15"/>
      <c r="L1171" s="15" t="str">
        <f>IF(
OR(
ISNUMBER(SEARCH("BACKPACK",B1173)),
ISNUMBER(SEARCH("MOCHILA",B1173)),
ISNUMBER(SEARCH("FUNDA",B1173)),
ISNUMBER(SEARCH("ESTUCHE",B1173)),
ISNUMBER(SEARCH("BOOK COVER",B1173)),
ISNUMBER(SEARCH("KEYBOARD PARA TABLET",B1173)),
ISNUMBER(SEARCH("FLIP TABLET",B1173)),
ISNUMBER(SEARCH("CASE FOR TABLET",B1173)),
ISNUMBER(SEARCH("CABLE",B1173)),
ISNUMBER(SEARCH("ADAPTADOR",B1173)),
ISNUMBER(SEARCH("HUB",B1173)),
ISNUMBER(SEARCH("DOCK",B1173)),
ISNUMBER(SEARCH("MOUSE PAD",B1173)),
ISNUMBER(SEARCH("MOUSEPAD",B1173)),
ISNUMBER(SEARCH("SOPORTE",B1173)),
ISNUMBER(SEARCH("STAND",B1173)),
ISNUMBER(SEARCH("TRAVEL ADAPTER",B1173)),
ISNUMBER(SEARCH("RJ45",B1173)),
ISNUMBER(SEARCH("USB-C",B1173)),
ISNUMBER(SEARCH("USB WIFI",B1173)),
ISNUMBER(SEARCH("POWERBANK",B1173)),
ISNUMBER(SEARCH("CARGADOR",B1173)),
ISNUMBER(SEARCH("COOLER PARA NB",B1173)),
ISNUMBER(SEARCH("SOPORTE PARA NB",B1173)),
ISNUMBER(SEARCH("WEBCAM",B1173)),
ISNUMBER(SEARCH("WEB CAM",B1173)),
ISNUMBER(SEARCH("MOUSE",B1173)),
ISNUMBER(SEARCH("TECLADO",B1173))
),
"COMPLEMENTO",
IF(
OR(
LEFT(A1173,2)="NB",
LEFT(A1173,2)="PC",
LEFT(A1173,2)="WS",
LEFT(A1173,2)="TB",
LEFT(A1173,3)="CEL",
LEFT(A1173,3)="MON",
LEFT(A1173,3)="PRE",
LEFT(A1173,3)="PRH",
ISNUMBER(SEARCH("NOTEBOOK",B1173)),
ISNUMBER(SEARCH("LAPTOP",B1173)),
ISNUMBER(SEARCH("MONITOR",B1173)),
ISNUMBER(SEARCH("TABLET",B1173)),
ISNUMBER(SEARCH("SMARTPH",B1173)),
ISNUMBER(SEARCH("IMPRESORA",B1173)),
ISNUMBER(SEARCH("MULTIFUNCIONAL",B1173)),
ISNUMBER(SEARCH("AIO",B1173))
),
"GANCHO",
"NORMAL"
)
)</f>
        <v>COMPLEMENTO</v>
      </c>
    </row>
    <row r="1172" spans="1:12" x14ac:dyDescent="0.25">
      <c r="A1172" s="3" t="s">
        <v>4446</v>
      </c>
      <c r="B1172" s="3" t="s">
        <v>4447</v>
      </c>
      <c r="C1172" s="1">
        <v>20</v>
      </c>
      <c r="D1172" s="1">
        <v>2955</v>
      </c>
      <c r="E1172" s="1" t="s">
        <v>837</v>
      </c>
      <c r="F1172" s="1" t="s">
        <v>4448</v>
      </c>
      <c r="G1172" s="3" t="s">
        <v>5017</v>
      </c>
      <c r="H1172" s="11">
        <f>ROUND(
IF(L1170="GANCHO",
   IF(I1172&lt;=50,I1172*1.1+4,IF(I1172&lt;=120,I1172*1.1+7,IF(I1172&lt;=250,I1172*1.1+11,I1172*1.1+19))),
IF(L1170="NORMAL",
   IF(I1172&lt;=30,I1172*1.15+2,IF(I1172&lt;=80,I1172*1.15+4,IF(I1172&lt;=150,I1172*1.15+6,I1172*1.15+8))),
IF(L1170="COMPLEMENTO",
   IF(I1172&lt;=25,I1172*1.25+1.5,IF(I1172&lt;=60,I1172*1.25+3,IF(I1172&lt;=120,I1172*1.25+4,I1172*1.25+5))),
""))),2)</f>
        <v>13366.85</v>
      </c>
      <c r="I1172" s="9">
        <f>($K$2+0.02)*Tabla1[[#This Row],[PRECIO $]]*1.18</f>
        <v>12134.411999999998</v>
      </c>
      <c r="J1172" s="7">
        <f>+Tabla1[[#This Row],[PRECIO EN SOLES]]-Tabla1[[#This Row],[PC]]</f>
        <v>1232.4380000000019</v>
      </c>
      <c r="K1172" s="15"/>
      <c r="L1172" s="15" t="str">
        <f>IF(
OR(
ISNUMBER(SEARCH("BACKPACK",B1174)),
ISNUMBER(SEARCH("MOCHILA",B1174)),
ISNUMBER(SEARCH("FUNDA",B1174)),
ISNUMBER(SEARCH("ESTUCHE",B1174)),
ISNUMBER(SEARCH("BOOK COVER",B1174)),
ISNUMBER(SEARCH("KEYBOARD PARA TABLET",B1174)),
ISNUMBER(SEARCH("FLIP TABLET",B1174)),
ISNUMBER(SEARCH("CASE FOR TABLET",B1174)),
ISNUMBER(SEARCH("CABLE",B1174)),
ISNUMBER(SEARCH("ADAPTADOR",B1174)),
ISNUMBER(SEARCH("HUB",B1174)),
ISNUMBER(SEARCH("DOCK",B1174)),
ISNUMBER(SEARCH("MOUSE PAD",B1174)),
ISNUMBER(SEARCH("MOUSEPAD",B1174)),
ISNUMBER(SEARCH("SOPORTE",B1174)),
ISNUMBER(SEARCH("STAND",B1174)),
ISNUMBER(SEARCH("TRAVEL ADAPTER",B1174)),
ISNUMBER(SEARCH("RJ45",B1174)),
ISNUMBER(SEARCH("USB-C",B1174)),
ISNUMBER(SEARCH("USB WIFI",B1174)),
ISNUMBER(SEARCH("POWERBANK",B1174)),
ISNUMBER(SEARCH("CARGADOR",B1174)),
ISNUMBER(SEARCH("COOLER PARA NB",B1174)),
ISNUMBER(SEARCH("SOPORTE PARA NB",B1174)),
ISNUMBER(SEARCH("WEBCAM",B1174)),
ISNUMBER(SEARCH("WEB CAM",B1174)),
ISNUMBER(SEARCH("MOUSE",B1174)),
ISNUMBER(SEARCH("TECLADO",B1174))
),
"COMPLEMENTO",
IF(
OR(
LEFT(A1174,2)="NB",
LEFT(A1174,2)="PC",
LEFT(A1174,2)="WS",
LEFT(A1174,2)="TB",
LEFT(A1174,3)="CEL",
LEFT(A1174,3)="MON",
LEFT(A1174,3)="PRE",
LEFT(A1174,3)="PRH",
ISNUMBER(SEARCH("NOTEBOOK",B1174)),
ISNUMBER(SEARCH("LAPTOP",B1174)),
ISNUMBER(SEARCH("MONITOR",B1174)),
ISNUMBER(SEARCH("TABLET",B1174)),
ISNUMBER(SEARCH("SMARTPH",B1174)),
ISNUMBER(SEARCH("IMPRESORA",B1174)),
ISNUMBER(SEARCH("MULTIFUNCIONAL",B1174)),
ISNUMBER(SEARCH("AIO",B1174))
),
"GANCHO",
"NORMAL"
)
)</f>
        <v>NORMAL</v>
      </c>
    </row>
    <row r="1173" spans="1:12" x14ac:dyDescent="0.25">
      <c r="A1173" s="3" t="s">
        <v>1909</v>
      </c>
      <c r="B1173" s="3" t="s">
        <v>1910</v>
      </c>
      <c r="C1173" s="1">
        <v>20</v>
      </c>
      <c r="D1173" s="1">
        <v>19</v>
      </c>
      <c r="E1173" s="1" t="s">
        <v>837</v>
      </c>
      <c r="F1173" s="1" t="s">
        <v>3742</v>
      </c>
      <c r="G1173" s="3" t="s">
        <v>1911</v>
      </c>
      <c r="H1173" s="11">
        <f>ROUND(
IF(L1171="GANCHO",
   IF(I1173&lt;=50,I1173*1.1+4,IF(I1173&lt;=120,I1173*1.1+7,IF(I1173&lt;=250,I1173*1.1+11,I1173*1.1+19))),
IF(L1171="NORMAL",
   IF(I1173&lt;=30,I1173*1.15+2,IF(I1173&lt;=80,I1173*1.15+4,IF(I1173&lt;=150,I1173*1.15+6,I1173*1.15+8))),
IF(L1171="COMPLEMENTO",
   IF(I1173&lt;=25,I1173*1.25+1.5,IF(I1173&lt;=60,I1173*1.25+3,IF(I1173&lt;=120,I1173*1.25+4,I1173*1.25+5))),
""))),2)</f>
        <v>101.53</v>
      </c>
      <c r="I1173" s="9">
        <f>($K$2+0.02)*Tabla1[[#This Row],[PRECIO $]]*1.18</f>
        <v>78.021600000000007</v>
      </c>
      <c r="J1173" s="7">
        <f>+Tabla1[[#This Row],[PRECIO EN SOLES]]-Tabla1[[#This Row],[PC]]</f>
        <v>23.508399999999995</v>
      </c>
      <c r="K1173" s="15"/>
      <c r="L1173" s="15" t="str">
        <f>IF(
OR(
ISNUMBER(SEARCH("BACKPACK",B1175)),
ISNUMBER(SEARCH("MOCHILA",B1175)),
ISNUMBER(SEARCH("FUNDA",B1175)),
ISNUMBER(SEARCH("ESTUCHE",B1175)),
ISNUMBER(SEARCH("BOOK COVER",B1175)),
ISNUMBER(SEARCH("KEYBOARD PARA TABLET",B1175)),
ISNUMBER(SEARCH("FLIP TABLET",B1175)),
ISNUMBER(SEARCH("CASE FOR TABLET",B1175)),
ISNUMBER(SEARCH("CABLE",B1175)),
ISNUMBER(SEARCH("ADAPTADOR",B1175)),
ISNUMBER(SEARCH("HUB",B1175)),
ISNUMBER(SEARCH("DOCK",B1175)),
ISNUMBER(SEARCH("MOUSE PAD",B1175)),
ISNUMBER(SEARCH("MOUSEPAD",B1175)),
ISNUMBER(SEARCH("SOPORTE",B1175)),
ISNUMBER(SEARCH("STAND",B1175)),
ISNUMBER(SEARCH("TRAVEL ADAPTER",B1175)),
ISNUMBER(SEARCH("RJ45",B1175)),
ISNUMBER(SEARCH("USB-C",B1175)),
ISNUMBER(SEARCH("USB WIFI",B1175)),
ISNUMBER(SEARCH("POWERBANK",B1175)),
ISNUMBER(SEARCH("CARGADOR",B1175)),
ISNUMBER(SEARCH("COOLER PARA NB",B1175)),
ISNUMBER(SEARCH("SOPORTE PARA NB",B1175)),
ISNUMBER(SEARCH("WEBCAM",B1175)),
ISNUMBER(SEARCH("WEB CAM",B1175)),
ISNUMBER(SEARCH("MOUSE",B1175)),
ISNUMBER(SEARCH("TECLADO",B1175))
),
"COMPLEMENTO",
IF(
OR(
LEFT(A1175,2)="NB",
LEFT(A1175,2)="PC",
LEFT(A1175,2)="WS",
LEFT(A1175,2)="TB",
LEFT(A1175,3)="CEL",
LEFT(A1175,3)="MON",
LEFT(A1175,3)="PRE",
LEFT(A1175,3)="PRH",
ISNUMBER(SEARCH("NOTEBOOK",B1175)),
ISNUMBER(SEARCH("LAPTOP",B1175)),
ISNUMBER(SEARCH("MONITOR",B1175)),
ISNUMBER(SEARCH("TABLET",B1175)),
ISNUMBER(SEARCH("SMARTPH",B1175)),
ISNUMBER(SEARCH("IMPRESORA",B1175)),
ISNUMBER(SEARCH("MULTIFUNCIONAL",B1175)),
ISNUMBER(SEARCH("AIO",B1175))
),
"GANCHO",
"NORMAL"
)
)</f>
        <v>COMPLEMENTO</v>
      </c>
    </row>
    <row r="1174" spans="1:12" x14ac:dyDescent="0.25">
      <c r="A1174" s="3" t="s">
        <v>1912</v>
      </c>
      <c r="B1174" s="3" t="s">
        <v>1913</v>
      </c>
      <c r="C1174" s="1">
        <v>20</v>
      </c>
      <c r="D1174" s="1">
        <v>28.3</v>
      </c>
      <c r="E1174" s="1" t="s">
        <v>837</v>
      </c>
      <c r="F1174" s="1" t="s">
        <v>3743</v>
      </c>
      <c r="G1174" s="3" t="s">
        <v>1914</v>
      </c>
      <c r="H1174" s="11">
        <f>ROUND(
IF(L1172="GANCHO",
   IF(I1174&lt;=50,I1174*1.1+4,IF(I1174&lt;=120,I1174*1.1+7,IF(I1174&lt;=250,I1174*1.1+11,I1174*1.1+19))),
IF(L1172="NORMAL",
   IF(I1174&lt;=30,I1174*1.15+2,IF(I1174&lt;=80,I1174*1.15+4,IF(I1174&lt;=150,I1174*1.15+6,I1174*1.15+8))),
IF(L1172="COMPLEMENTO",
   IF(I1174&lt;=25,I1174*1.25+1.5,IF(I1174&lt;=60,I1174*1.25+3,IF(I1174&lt;=120,I1174*1.25+4,I1174*1.25+5))),
""))),2)</f>
        <v>139.63999999999999</v>
      </c>
      <c r="I1174" s="9">
        <f>($K$2+0.02)*Tabla1[[#This Row],[PRECIO $]]*1.18</f>
        <v>116.21112000000001</v>
      </c>
      <c r="J1174" s="7">
        <f>+Tabla1[[#This Row],[PRECIO EN SOLES]]-Tabla1[[#This Row],[PC]]</f>
        <v>23.428879999999978</v>
      </c>
      <c r="K1174" s="15"/>
      <c r="L1174" s="15" t="str">
        <f>IF(
OR(
ISNUMBER(SEARCH("BACKPACK",B1176)),
ISNUMBER(SEARCH("MOCHILA",B1176)),
ISNUMBER(SEARCH("FUNDA",B1176)),
ISNUMBER(SEARCH("ESTUCHE",B1176)),
ISNUMBER(SEARCH("BOOK COVER",B1176)),
ISNUMBER(SEARCH("KEYBOARD PARA TABLET",B1176)),
ISNUMBER(SEARCH("FLIP TABLET",B1176)),
ISNUMBER(SEARCH("CASE FOR TABLET",B1176)),
ISNUMBER(SEARCH("CABLE",B1176)),
ISNUMBER(SEARCH("ADAPTADOR",B1176)),
ISNUMBER(SEARCH("HUB",B1176)),
ISNUMBER(SEARCH("DOCK",B1176)),
ISNUMBER(SEARCH("MOUSE PAD",B1176)),
ISNUMBER(SEARCH("MOUSEPAD",B1176)),
ISNUMBER(SEARCH("SOPORTE",B1176)),
ISNUMBER(SEARCH("STAND",B1176)),
ISNUMBER(SEARCH("TRAVEL ADAPTER",B1176)),
ISNUMBER(SEARCH("RJ45",B1176)),
ISNUMBER(SEARCH("USB-C",B1176)),
ISNUMBER(SEARCH("USB WIFI",B1176)),
ISNUMBER(SEARCH("POWERBANK",B1176)),
ISNUMBER(SEARCH("CARGADOR",B1176)),
ISNUMBER(SEARCH("COOLER PARA NB",B1176)),
ISNUMBER(SEARCH("SOPORTE PARA NB",B1176)),
ISNUMBER(SEARCH("WEBCAM",B1176)),
ISNUMBER(SEARCH("WEB CAM",B1176)),
ISNUMBER(SEARCH("MOUSE",B1176)),
ISNUMBER(SEARCH("TECLADO",B1176))
),
"COMPLEMENTO",
IF(
OR(
LEFT(A1176,2)="NB",
LEFT(A1176,2)="PC",
LEFT(A1176,2)="WS",
LEFT(A1176,2)="TB",
LEFT(A1176,3)="CEL",
LEFT(A1176,3)="MON",
LEFT(A1176,3)="PRE",
LEFT(A1176,3)="PRH",
ISNUMBER(SEARCH("NOTEBOOK",B1176)),
ISNUMBER(SEARCH("LAPTOP",B1176)),
ISNUMBER(SEARCH("MONITOR",B1176)),
ISNUMBER(SEARCH("TABLET",B1176)),
ISNUMBER(SEARCH("SMARTPH",B1176)),
ISNUMBER(SEARCH("IMPRESORA",B1176)),
ISNUMBER(SEARCH("MULTIFUNCIONAL",B1176)),
ISNUMBER(SEARCH("AIO",B1176))
),
"GANCHO",
"NORMAL"
)
)</f>
        <v>COMPLEMENTO</v>
      </c>
    </row>
    <row r="1175" spans="1:12" x14ac:dyDescent="0.25">
      <c r="A1175" s="3" t="s">
        <v>1915</v>
      </c>
      <c r="B1175" s="3" t="s">
        <v>1916</v>
      </c>
      <c r="C1175" s="1">
        <v>20</v>
      </c>
      <c r="D1175" s="1">
        <v>35.799999999999997</v>
      </c>
      <c r="E1175" s="1" t="s">
        <v>837</v>
      </c>
      <c r="F1175" s="1" t="s">
        <v>3744</v>
      </c>
      <c r="G1175" s="3" t="s">
        <v>1917</v>
      </c>
      <c r="H1175" s="11">
        <f>ROUND(
IF(L1173="GANCHO",
   IF(I1175&lt;=50,I1175*1.1+4,IF(I1175&lt;=120,I1175*1.1+7,IF(I1175&lt;=250,I1175*1.1+11,I1175*1.1+19))),
IF(L1173="NORMAL",
   IF(I1175&lt;=30,I1175*1.15+2,IF(I1175&lt;=80,I1175*1.15+4,IF(I1175&lt;=150,I1175*1.15+6,I1175*1.15+8))),
IF(L1173="COMPLEMENTO",
   IF(I1175&lt;=25,I1175*1.25+1.5,IF(I1175&lt;=60,I1175*1.25+3,IF(I1175&lt;=120,I1175*1.25+4,I1175*1.25+5))),
""))),2)</f>
        <v>188.76</v>
      </c>
      <c r="I1175" s="9">
        <f>($K$2+0.02)*Tabla1[[#This Row],[PRECIO $]]*1.18</f>
        <v>147.00911999999997</v>
      </c>
      <c r="J1175" s="7">
        <f>+Tabla1[[#This Row],[PRECIO EN SOLES]]-Tabla1[[#This Row],[PC]]</f>
        <v>41.750880000000024</v>
      </c>
      <c r="K1175" s="15"/>
      <c r="L1175" s="15" t="str">
        <f>IF(
OR(
ISNUMBER(SEARCH("BACKPACK",B1177)),
ISNUMBER(SEARCH("MOCHILA",B1177)),
ISNUMBER(SEARCH("FUNDA",B1177)),
ISNUMBER(SEARCH("ESTUCHE",B1177)),
ISNUMBER(SEARCH("BOOK COVER",B1177)),
ISNUMBER(SEARCH("KEYBOARD PARA TABLET",B1177)),
ISNUMBER(SEARCH("FLIP TABLET",B1177)),
ISNUMBER(SEARCH("CASE FOR TABLET",B1177)),
ISNUMBER(SEARCH("CABLE",B1177)),
ISNUMBER(SEARCH("ADAPTADOR",B1177)),
ISNUMBER(SEARCH("HUB",B1177)),
ISNUMBER(SEARCH("DOCK",B1177)),
ISNUMBER(SEARCH("MOUSE PAD",B1177)),
ISNUMBER(SEARCH("MOUSEPAD",B1177)),
ISNUMBER(SEARCH("SOPORTE",B1177)),
ISNUMBER(SEARCH("STAND",B1177)),
ISNUMBER(SEARCH("TRAVEL ADAPTER",B1177)),
ISNUMBER(SEARCH("RJ45",B1177)),
ISNUMBER(SEARCH("USB-C",B1177)),
ISNUMBER(SEARCH("USB WIFI",B1177)),
ISNUMBER(SEARCH("POWERBANK",B1177)),
ISNUMBER(SEARCH("CARGADOR",B1177)),
ISNUMBER(SEARCH("COOLER PARA NB",B1177)),
ISNUMBER(SEARCH("SOPORTE PARA NB",B1177)),
ISNUMBER(SEARCH("WEBCAM",B1177)),
ISNUMBER(SEARCH("WEB CAM",B1177)),
ISNUMBER(SEARCH("MOUSE",B1177)),
ISNUMBER(SEARCH("TECLADO",B1177))
),
"COMPLEMENTO",
IF(
OR(
LEFT(A1177,2)="NB",
LEFT(A1177,2)="PC",
LEFT(A1177,2)="WS",
LEFT(A1177,2)="TB",
LEFT(A1177,3)="CEL",
LEFT(A1177,3)="MON",
LEFT(A1177,3)="PRE",
LEFT(A1177,3)="PRH",
ISNUMBER(SEARCH("NOTEBOOK",B1177)),
ISNUMBER(SEARCH("LAPTOP",B1177)),
ISNUMBER(SEARCH("MONITOR",B1177)),
ISNUMBER(SEARCH("TABLET",B1177)),
ISNUMBER(SEARCH("SMARTPH",B1177)),
ISNUMBER(SEARCH("IMPRESORA",B1177)),
ISNUMBER(SEARCH("MULTIFUNCIONAL",B1177)),
ISNUMBER(SEARCH("AIO",B1177))
),
"GANCHO",
"NORMAL"
)
)</f>
        <v>COMPLEMENTO</v>
      </c>
    </row>
    <row r="1176" spans="1:12" x14ac:dyDescent="0.25">
      <c r="A1176" s="3" t="s">
        <v>1918</v>
      </c>
      <c r="B1176" s="3" t="s">
        <v>1919</v>
      </c>
      <c r="C1176" s="1">
        <v>1</v>
      </c>
      <c r="D1176" s="1">
        <v>50.75</v>
      </c>
      <c r="E1176" s="1" t="s">
        <v>74</v>
      </c>
      <c r="F1176" s="1" t="s">
        <v>3745</v>
      </c>
      <c r="G1176" s="3" t="s">
        <v>1920</v>
      </c>
      <c r="H1176" s="11">
        <f>ROUND(
IF(L1174="GANCHO",
   IF(I1176&lt;=50,I1176*1.1+4,IF(I1176&lt;=120,I1176*1.1+7,IF(I1176&lt;=250,I1176*1.1+11,I1176*1.1+19))),
IF(L1174="NORMAL",
   IF(I1176&lt;=30,I1176*1.15+2,IF(I1176&lt;=80,I1176*1.15+4,IF(I1176&lt;=150,I1176*1.15+6,I1176*1.15+8))),
IF(L1174="COMPLEMENTO",
   IF(I1176&lt;=25,I1176*1.25+1.5,IF(I1176&lt;=60,I1176*1.25+3,IF(I1176&lt;=120,I1176*1.25+4,I1176*1.25+5))),
""))),2)</f>
        <v>265.5</v>
      </c>
      <c r="I1176" s="9">
        <f>($K$2+0.02)*Tabla1[[#This Row],[PRECIO $]]*1.18</f>
        <v>208.39979999999997</v>
      </c>
      <c r="J1176" s="7">
        <f>+Tabla1[[#This Row],[PRECIO EN SOLES]]-Tabla1[[#This Row],[PC]]</f>
        <v>57.100200000000029</v>
      </c>
      <c r="K1176" s="15"/>
      <c r="L1176" s="15" t="str">
        <f>IF(
OR(
ISNUMBER(SEARCH("BACKPACK",B1178)),
ISNUMBER(SEARCH("MOCHILA",B1178)),
ISNUMBER(SEARCH("FUNDA",B1178)),
ISNUMBER(SEARCH("ESTUCHE",B1178)),
ISNUMBER(SEARCH("BOOK COVER",B1178)),
ISNUMBER(SEARCH("KEYBOARD PARA TABLET",B1178)),
ISNUMBER(SEARCH("FLIP TABLET",B1178)),
ISNUMBER(SEARCH("CASE FOR TABLET",B1178)),
ISNUMBER(SEARCH("CABLE",B1178)),
ISNUMBER(SEARCH("ADAPTADOR",B1178)),
ISNUMBER(SEARCH("HUB",B1178)),
ISNUMBER(SEARCH("DOCK",B1178)),
ISNUMBER(SEARCH("MOUSE PAD",B1178)),
ISNUMBER(SEARCH("MOUSEPAD",B1178)),
ISNUMBER(SEARCH("SOPORTE",B1178)),
ISNUMBER(SEARCH("STAND",B1178)),
ISNUMBER(SEARCH("TRAVEL ADAPTER",B1178)),
ISNUMBER(SEARCH("RJ45",B1178)),
ISNUMBER(SEARCH("USB-C",B1178)),
ISNUMBER(SEARCH("USB WIFI",B1178)),
ISNUMBER(SEARCH("POWERBANK",B1178)),
ISNUMBER(SEARCH("CARGADOR",B1178)),
ISNUMBER(SEARCH("COOLER PARA NB",B1178)),
ISNUMBER(SEARCH("SOPORTE PARA NB",B1178)),
ISNUMBER(SEARCH("WEBCAM",B1178)),
ISNUMBER(SEARCH("WEB CAM",B1178)),
ISNUMBER(SEARCH("MOUSE",B1178)),
ISNUMBER(SEARCH("TECLADO",B1178))
),
"COMPLEMENTO",
IF(
OR(
LEFT(A1178,2)="NB",
LEFT(A1178,2)="PC",
LEFT(A1178,2)="WS",
LEFT(A1178,2)="TB",
LEFT(A1178,3)="CEL",
LEFT(A1178,3)="MON",
LEFT(A1178,3)="PRE",
LEFT(A1178,3)="PRH",
ISNUMBER(SEARCH("NOTEBOOK",B1178)),
ISNUMBER(SEARCH("LAPTOP",B1178)),
ISNUMBER(SEARCH("MONITOR",B1178)),
ISNUMBER(SEARCH("TABLET",B1178)),
ISNUMBER(SEARCH("SMARTPH",B1178)),
ISNUMBER(SEARCH("IMPRESORA",B1178)),
ISNUMBER(SEARCH("MULTIFUNCIONAL",B1178)),
ISNUMBER(SEARCH("AIO",B1178))
),
"GANCHO",
"NORMAL"
)
)</f>
        <v>COMPLEMENTO</v>
      </c>
    </row>
    <row r="1177" spans="1:12" x14ac:dyDescent="0.25">
      <c r="A1177" s="3" t="s">
        <v>1921</v>
      </c>
      <c r="B1177" s="3" t="s">
        <v>1922</v>
      </c>
      <c r="C1177" s="1">
        <v>1</v>
      </c>
      <c r="D1177" s="1">
        <v>22.2</v>
      </c>
      <c r="E1177" s="1" t="s">
        <v>837</v>
      </c>
      <c r="F1177" s="1" t="s">
        <v>3746</v>
      </c>
      <c r="G1177" s="3" t="s">
        <v>1923</v>
      </c>
      <c r="H1177" s="11">
        <f>ROUND(
IF(L1175="GANCHO",
   IF(I1177&lt;=50,I1177*1.1+4,IF(I1177&lt;=120,I1177*1.1+7,IF(I1177&lt;=250,I1177*1.1+11,I1177*1.1+19))),
IF(L1175="NORMAL",
   IF(I1177&lt;=30,I1177*1.15+2,IF(I1177&lt;=80,I1177*1.15+4,IF(I1177&lt;=150,I1177*1.15+6,I1177*1.15+8))),
IF(L1175="COMPLEMENTO",
   IF(I1177&lt;=25,I1177*1.25+1.5,IF(I1177&lt;=60,I1177*1.25+3,IF(I1177&lt;=120,I1177*1.25+4,I1177*1.25+5))),
""))),2)</f>
        <v>117.95</v>
      </c>
      <c r="I1177" s="9">
        <f>($K$2+0.02)*Tabla1[[#This Row],[PRECIO $]]*1.18</f>
        <v>91.162079999999989</v>
      </c>
      <c r="J1177" s="7">
        <f>+Tabla1[[#This Row],[PRECIO EN SOLES]]-Tabla1[[#This Row],[PC]]</f>
        <v>26.787920000000014</v>
      </c>
      <c r="K1177" s="15"/>
      <c r="L1177" s="15" t="str">
        <f>IF(
OR(
ISNUMBER(SEARCH("BACKPACK",B1179)),
ISNUMBER(SEARCH("MOCHILA",B1179)),
ISNUMBER(SEARCH("FUNDA",B1179)),
ISNUMBER(SEARCH("ESTUCHE",B1179)),
ISNUMBER(SEARCH("BOOK COVER",B1179)),
ISNUMBER(SEARCH("KEYBOARD PARA TABLET",B1179)),
ISNUMBER(SEARCH("FLIP TABLET",B1179)),
ISNUMBER(SEARCH("CASE FOR TABLET",B1179)),
ISNUMBER(SEARCH("CABLE",B1179)),
ISNUMBER(SEARCH("ADAPTADOR",B1179)),
ISNUMBER(SEARCH("HUB",B1179)),
ISNUMBER(SEARCH("DOCK",B1179)),
ISNUMBER(SEARCH("MOUSE PAD",B1179)),
ISNUMBER(SEARCH("MOUSEPAD",B1179)),
ISNUMBER(SEARCH("SOPORTE",B1179)),
ISNUMBER(SEARCH("STAND",B1179)),
ISNUMBER(SEARCH("TRAVEL ADAPTER",B1179)),
ISNUMBER(SEARCH("RJ45",B1179)),
ISNUMBER(SEARCH("USB-C",B1179)),
ISNUMBER(SEARCH("USB WIFI",B1179)),
ISNUMBER(SEARCH("POWERBANK",B1179)),
ISNUMBER(SEARCH("CARGADOR",B1179)),
ISNUMBER(SEARCH("COOLER PARA NB",B1179)),
ISNUMBER(SEARCH("SOPORTE PARA NB",B1179)),
ISNUMBER(SEARCH("WEBCAM",B1179)),
ISNUMBER(SEARCH("WEB CAM",B1179)),
ISNUMBER(SEARCH("MOUSE",B1179)),
ISNUMBER(SEARCH("TECLADO",B1179))
),
"COMPLEMENTO",
IF(
OR(
LEFT(A1179,2)="NB",
LEFT(A1179,2)="PC",
LEFT(A1179,2)="WS",
LEFT(A1179,2)="TB",
LEFT(A1179,3)="CEL",
LEFT(A1179,3)="MON",
LEFT(A1179,3)="PRE",
LEFT(A1179,3)="PRH",
ISNUMBER(SEARCH("NOTEBOOK",B1179)),
ISNUMBER(SEARCH("LAPTOP",B1179)),
ISNUMBER(SEARCH("MONITOR",B1179)),
ISNUMBER(SEARCH("TABLET",B1179)),
ISNUMBER(SEARCH("SMARTPH",B1179)),
ISNUMBER(SEARCH("IMPRESORA",B1179)),
ISNUMBER(SEARCH("MULTIFUNCIONAL",B1179)),
ISNUMBER(SEARCH("AIO",B1179))
),
"GANCHO",
"NORMAL"
)
)</f>
        <v>COMPLEMENTO</v>
      </c>
    </row>
    <row r="1178" spans="1:12" x14ac:dyDescent="0.25">
      <c r="A1178" s="3" t="s">
        <v>1924</v>
      </c>
      <c r="B1178" s="3" t="s">
        <v>1925</v>
      </c>
      <c r="C1178" s="1">
        <v>0</v>
      </c>
      <c r="D1178" s="1">
        <v>174.2</v>
      </c>
      <c r="E1178" s="1" t="s">
        <v>56</v>
      </c>
      <c r="F1178" s="1" t="s">
        <v>3747</v>
      </c>
      <c r="G1178" s="3" t="s">
        <v>1926</v>
      </c>
      <c r="H1178" s="11">
        <f>ROUND(
IF(L1176="GANCHO",
   IF(I1178&lt;=50,I1178*1.1+4,IF(I1178&lt;=120,I1178*1.1+7,IF(I1178&lt;=250,I1178*1.1+11,I1178*1.1+19))),
IF(L1176="NORMAL",
   IF(I1178&lt;=30,I1178*1.15+2,IF(I1178&lt;=80,I1178*1.15+4,IF(I1178&lt;=150,I1178*1.15+6,I1178*1.15+8))),
IF(L1176="COMPLEMENTO",
   IF(I1178&lt;=25,I1178*1.25+1.5,IF(I1178&lt;=60,I1178*1.25+3,IF(I1178&lt;=120,I1178*1.25+4,I1178*1.25+5))),
""))),2)</f>
        <v>899.17</v>
      </c>
      <c r="I1178" s="9">
        <f>($K$2+0.02)*Tabla1[[#This Row],[PRECIO $]]*1.18</f>
        <v>715.33488</v>
      </c>
      <c r="J1178" s="7">
        <f>+Tabla1[[#This Row],[PRECIO EN SOLES]]-Tabla1[[#This Row],[PC]]</f>
        <v>183.83511999999996</v>
      </c>
      <c r="K1178" s="15"/>
      <c r="L1178" s="15" t="str">
        <f>IF(
OR(
ISNUMBER(SEARCH("BACKPACK",B1180)),
ISNUMBER(SEARCH("MOCHILA",B1180)),
ISNUMBER(SEARCH("FUNDA",B1180)),
ISNUMBER(SEARCH("ESTUCHE",B1180)),
ISNUMBER(SEARCH("BOOK COVER",B1180)),
ISNUMBER(SEARCH("KEYBOARD PARA TABLET",B1180)),
ISNUMBER(SEARCH("FLIP TABLET",B1180)),
ISNUMBER(SEARCH("CASE FOR TABLET",B1180)),
ISNUMBER(SEARCH("CABLE",B1180)),
ISNUMBER(SEARCH("ADAPTADOR",B1180)),
ISNUMBER(SEARCH("HUB",B1180)),
ISNUMBER(SEARCH("DOCK",B1180)),
ISNUMBER(SEARCH("MOUSE PAD",B1180)),
ISNUMBER(SEARCH("MOUSEPAD",B1180)),
ISNUMBER(SEARCH("SOPORTE",B1180)),
ISNUMBER(SEARCH("STAND",B1180)),
ISNUMBER(SEARCH("TRAVEL ADAPTER",B1180)),
ISNUMBER(SEARCH("RJ45",B1180)),
ISNUMBER(SEARCH("USB-C",B1180)),
ISNUMBER(SEARCH("USB WIFI",B1180)),
ISNUMBER(SEARCH("POWERBANK",B1180)),
ISNUMBER(SEARCH("CARGADOR",B1180)),
ISNUMBER(SEARCH("COOLER PARA NB",B1180)),
ISNUMBER(SEARCH("SOPORTE PARA NB",B1180)),
ISNUMBER(SEARCH("WEBCAM",B1180)),
ISNUMBER(SEARCH("WEB CAM",B1180)),
ISNUMBER(SEARCH("MOUSE",B1180)),
ISNUMBER(SEARCH("TECLADO",B1180))
),
"COMPLEMENTO",
IF(
OR(
LEFT(A1180,2)="NB",
LEFT(A1180,2)="PC",
LEFT(A1180,2)="WS",
LEFT(A1180,2)="TB",
LEFT(A1180,3)="CEL",
LEFT(A1180,3)="MON",
LEFT(A1180,3)="PRE",
LEFT(A1180,3)="PRH",
ISNUMBER(SEARCH("NOTEBOOK",B1180)),
ISNUMBER(SEARCH("LAPTOP",B1180)),
ISNUMBER(SEARCH("MONITOR",B1180)),
ISNUMBER(SEARCH("TABLET",B1180)),
ISNUMBER(SEARCH("SMARTPH",B1180)),
ISNUMBER(SEARCH("IMPRESORA",B1180)),
ISNUMBER(SEARCH("MULTIFUNCIONAL",B1180)),
ISNUMBER(SEARCH("AIO",B1180))
),
"GANCHO",
"NORMAL"
)
)</f>
        <v>COMPLEMENTO</v>
      </c>
    </row>
    <row r="1179" spans="1:12" x14ac:dyDescent="0.25">
      <c r="A1179" s="3" t="s">
        <v>1927</v>
      </c>
      <c r="B1179" s="3" t="s">
        <v>1928</v>
      </c>
      <c r="C1179" s="1">
        <v>1</v>
      </c>
      <c r="D1179" s="1">
        <v>659</v>
      </c>
      <c r="E1179" s="1" t="s">
        <v>837</v>
      </c>
      <c r="F1179" s="1" t="s">
        <v>3748</v>
      </c>
      <c r="G1179" s="3" t="s">
        <v>1929</v>
      </c>
      <c r="H1179" s="11">
        <f>ROUND(
IF(L1177="GANCHO",
   IF(I1179&lt;=50,I1179*1.1+4,IF(I1179&lt;=120,I1179*1.1+7,IF(I1179&lt;=250,I1179*1.1+11,I1179*1.1+19))),
IF(L1177="NORMAL",
   IF(I1179&lt;=30,I1179*1.15+2,IF(I1179&lt;=80,I1179*1.15+4,IF(I1179&lt;=150,I1179*1.15+6,I1179*1.15+8))),
IF(L1177="COMPLEMENTO",
   IF(I1179&lt;=25,I1179*1.25+1.5,IF(I1179&lt;=60,I1179*1.25+3,IF(I1179&lt;=120,I1179*1.25+4,I1179*1.25+5))),
""))),2)</f>
        <v>3387.65</v>
      </c>
      <c r="I1179" s="9">
        <f>($K$2+0.02)*Tabla1[[#This Row],[PRECIO $]]*1.18</f>
        <v>2706.1176</v>
      </c>
      <c r="J1179" s="7">
        <f>+Tabla1[[#This Row],[PRECIO EN SOLES]]-Tabla1[[#This Row],[PC]]</f>
        <v>681.53240000000005</v>
      </c>
      <c r="K1179" s="15"/>
      <c r="L1179" s="15" t="str">
        <f>IF(
OR(
ISNUMBER(SEARCH("BACKPACK",B1181)),
ISNUMBER(SEARCH("MOCHILA",B1181)),
ISNUMBER(SEARCH("FUNDA",B1181)),
ISNUMBER(SEARCH("ESTUCHE",B1181)),
ISNUMBER(SEARCH("BOOK COVER",B1181)),
ISNUMBER(SEARCH("KEYBOARD PARA TABLET",B1181)),
ISNUMBER(SEARCH("FLIP TABLET",B1181)),
ISNUMBER(SEARCH("CASE FOR TABLET",B1181)),
ISNUMBER(SEARCH("CABLE",B1181)),
ISNUMBER(SEARCH("ADAPTADOR",B1181)),
ISNUMBER(SEARCH("HUB",B1181)),
ISNUMBER(SEARCH("DOCK",B1181)),
ISNUMBER(SEARCH("MOUSE PAD",B1181)),
ISNUMBER(SEARCH("MOUSEPAD",B1181)),
ISNUMBER(SEARCH("SOPORTE",B1181)),
ISNUMBER(SEARCH("STAND",B1181)),
ISNUMBER(SEARCH("TRAVEL ADAPTER",B1181)),
ISNUMBER(SEARCH("RJ45",B1181)),
ISNUMBER(SEARCH("USB-C",B1181)),
ISNUMBER(SEARCH("USB WIFI",B1181)),
ISNUMBER(SEARCH("POWERBANK",B1181)),
ISNUMBER(SEARCH("CARGADOR",B1181)),
ISNUMBER(SEARCH("COOLER PARA NB",B1181)),
ISNUMBER(SEARCH("SOPORTE PARA NB",B1181)),
ISNUMBER(SEARCH("WEBCAM",B1181)),
ISNUMBER(SEARCH("WEB CAM",B1181)),
ISNUMBER(SEARCH("MOUSE",B1181)),
ISNUMBER(SEARCH("TECLADO",B1181))
),
"COMPLEMENTO",
IF(
OR(
LEFT(A1181,2)="NB",
LEFT(A1181,2)="PC",
LEFT(A1181,2)="WS",
LEFT(A1181,2)="TB",
LEFT(A1181,3)="CEL",
LEFT(A1181,3)="MON",
LEFT(A1181,3)="PRE",
LEFT(A1181,3)="PRH",
ISNUMBER(SEARCH("NOTEBOOK",B1181)),
ISNUMBER(SEARCH("LAPTOP",B1181)),
ISNUMBER(SEARCH("MONITOR",B1181)),
ISNUMBER(SEARCH("TABLET",B1181)),
ISNUMBER(SEARCH("SMARTPH",B1181)),
ISNUMBER(SEARCH("IMPRESORA",B1181)),
ISNUMBER(SEARCH("MULTIFUNCIONAL",B1181)),
ISNUMBER(SEARCH("AIO",B1181))
),
"GANCHO",
"NORMAL"
)
)</f>
        <v>COMPLEMENTO</v>
      </c>
    </row>
    <row r="1180" spans="1:12" x14ac:dyDescent="0.25">
      <c r="A1180" s="3" t="s">
        <v>1930</v>
      </c>
      <c r="B1180" s="3" t="s">
        <v>1931</v>
      </c>
      <c r="C1180" s="1">
        <v>17</v>
      </c>
      <c r="D1180" s="1">
        <v>165.3</v>
      </c>
      <c r="E1180" s="1" t="s">
        <v>837</v>
      </c>
      <c r="F1180" s="1" t="s">
        <v>3749</v>
      </c>
      <c r="G1180" s="3" t="s">
        <v>1932</v>
      </c>
      <c r="H1180" s="11">
        <f>ROUND(
IF(L1178="GANCHO",
   IF(I1180&lt;=50,I1180*1.1+4,IF(I1180&lt;=120,I1180*1.1+7,IF(I1180&lt;=250,I1180*1.1+11,I1180*1.1+19))),
IF(L1178="NORMAL",
   IF(I1180&lt;=30,I1180*1.15+2,IF(I1180&lt;=80,I1180*1.15+4,IF(I1180&lt;=150,I1180*1.15+6,I1180*1.15+8))),
IF(L1178="COMPLEMENTO",
   IF(I1180&lt;=25,I1180*1.25+1.5,IF(I1180&lt;=60,I1180*1.25+3,IF(I1180&lt;=120,I1180*1.25+4,I1180*1.25+5))),
""))),2)</f>
        <v>853.48</v>
      </c>
      <c r="I1180" s="9">
        <f>($K$2+0.02)*Tabla1[[#This Row],[PRECIO $]]*1.18</f>
        <v>678.78791999999999</v>
      </c>
      <c r="J1180" s="7">
        <f>+Tabla1[[#This Row],[PRECIO EN SOLES]]-Tabla1[[#This Row],[PC]]</f>
        <v>174.69208000000003</v>
      </c>
      <c r="K1180" s="15"/>
      <c r="L1180" s="15" t="str">
        <f>IF(
OR(
ISNUMBER(SEARCH("BACKPACK",B1182)),
ISNUMBER(SEARCH("MOCHILA",B1182)),
ISNUMBER(SEARCH("FUNDA",B1182)),
ISNUMBER(SEARCH("ESTUCHE",B1182)),
ISNUMBER(SEARCH("BOOK COVER",B1182)),
ISNUMBER(SEARCH("KEYBOARD PARA TABLET",B1182)),
ISNUMBER(SEARCH("FLIP TABLET",B1182)),
ISNUMBER(SEARCH("CASE FOR TABLET",B1182)),
ISNUMBER(SEARCH("CABLE",B1182)),
ISNUMBER(SEARCH("ADAPTADOR",B1182)),
ISNUMBER(SEARCH("HUB",B1182)),
ISNUMBER(SEARCH("DOCK",B1182)),
ISNUMBER(SEARCH("MOUSE PAD",B1182)),
ISNUMBER(SEARCH("MOUSEPAD",B1182)),
ISNUMBER(SEARCH("SOPORTE",B1182)),
ISNUMBER(SEARCH("STAND",B1182)),
ISNUMBER(SEARCH("TRAVEL ADAPTER",B1182)),
ISNUMBER(SEARCH("RJ45",B1182)),
ISNUMBER(SEARCH("USB-C",B1182)),
ISNUMBER(SEARCH("USB WIFI",B1182)),
ISNUMBER(SEARCH("POWERBANK",B1182)),
ISNUMBER(SEARCH("CARGADOR",B1182)),
ISNUMBER(SEARCH("COOLER PARA NB",B1182)),
ISNUMBER(SEARCH("SOPORTE PARA NB",B1182)),
ISNUMBER(SEARCH("WEBCAM",B1182)),
ISNUMBER(SEARCH("WEB CAM",B1182)),
ISNUMBER(SEARCH("MOUSE",B1182)),
ISNUMBER(SEARCH("TECLADO",B1182))
),
"COMPLEMENTO",
IF(
OR(
LEFT(A1182,2)="NB",
LEFT(A1182,2)="PC",
LEFT(A1182,2)="WS",
LEFT(A1182,2)="TB",
LEFT(A1182,3)="CEL",
LEFT(A1182,3)="MON",
LEFT(A1182,3)="PRE",
LEFT(A1182,3)="PRH",
ISNUMBER(SEARCH("NOTEBOOK",B1182)),
ISNUMBER(SEARCH("LAPTOP",B1182)),
ISNUMBER(SEARCH("MONITOR",B1182)),
ISNUMBER(SEARCH("TABLET",B1182)),
ISNUMBER(SEARCH("SMARTPH",B1182)),
ISNUMBER(SEARCH("IMPRESORA",B1182)),
ISNUMBER(SEARCH("MULTIFUNCIONAL",B1182)),
ISNUMBER(SEARCH("AIO",B1182))
),
"GANCHO",
"NORMAL"
)
)</f>
        <v>GANCHO</v>
      </c>
    </row>
    <row r="1181" spans="1:12" x14ac:dyDescent="0.25">
      <c r="A1181" s="3" t="s">
        <v>1933</v>
      </c>
      <c r="B1181" s="3" t="s">
        <v>1934</v>
      </c>
      <c r="C1181" s="1">
        <v>20</v>
      </c>
      <c r="D1181" s="1">
        <v>22.7</v>
      </c>
      <c r="E1181" s="1" t="s">
        <v>837</v>
      </c>
      <c r="F1181" s="1" t="s">
        <v>3750</v>
      </c>
      <c r="G1181" s="3" t="s">
        <v>1935</v>
      </c>
      <c r="H1181" s="11">
        <f>ROUND(
IF(L1179="GANCHO",
   IF(I1181&lt;=50,I1181*1.1+4,IF(I1181&lt;=120,I1181*1.1+7,IF(I1181&lt;=250,I1181*1.1+11,I1181*1.1+19))),
IF(L1179="NORMAL",
   IF(I1181&lt;=30,I1181*1.15+2,IF(I1181&lt;=80,I1181*1.15+4,IF(I1181&lt;=150,I1181*1.15+6,I1181*1.15+8))),
IF(L1179="COMPLEMENTO",
   IF(I1181&lt;=25,I1181*1.25+1.5,IF(I1181&lt;=60,I1181*1.25+3,IF(I1181&lt;=120,I1181*1.25+4,I1181*1.25+5))),
""))),2)</f>
        <v>120.52</v>
      </c>
      <c r="I1181" s="9">
        <f>($K$2+0.02)*Tabla1[[#This Row],[PRECIO $]]*1.18</f>
        <v>93.215279999999993</v>
      </c>
      <c r="J1181" s="7">
        <f>+Tabla1[[#This Row],[PRECIO EN SOLES]]-Tabla1[[#This Row],[PC]]</f>
        <v>27.304720000000003</v>
      </c>
      <c r="K1181" s="15"/>
      <c r="L1181" s="15" t="str">
        <f>IF(
OR(
ISNUMBER(SEARCH("BACKPACK",B1183)),
ISNUMBER(SEARCH("MOCHILA",B1183)),
ISNUMBER(SEARCH("FUNDA",B1183)),
ISNUMBER(SEARCH("ESTUCHE",B1183)),
ISNUMBER(SEARCH("BOOK COVER",B1183)),
ISNUMBER(SEARCH("KEYBOARD PARA TABLET",B1183)),
ISNUMBER(SEARCH("FLIP TABLET",B1183)),
ISNUMBER(SEARCH("CASE FOR TABLET",B1183)),
ISNUMBER(SEARCH("CABLE",B1183)),
ISNUMBER(SEARCH("ADAPTADOR",B1183)),
ISNUMBER(SEARCH("HUB",B1183)),
ISNUMBER(SEARCH("DOCK",B1183)),
ISNUMBER(SEARCH("MOUSE PAD",B1183)),
ISNUMBER(SEARCH("MOUSEPAD",B1183)),
ISNUMBER(SEARCH("SOPORTE",B1183)),
ISNUMBER(SEARCH("STAND",B1183)),
ISNUMBER(SEARCH("TRAVEL ADAPTER",B1183)),
ISNUMBER(SEARCH("RJ45",B1183)),
ISNUMBER(SEARCH("USB-C",B1183)),
ISNUMBER(SEARCH("USB WIFI",B1183)),
ISNUMBER(SEARCH("POWERBANK",B1183)),
ISNUMBER(SEARCH("CARGADOR",B1183)),
ISNUMBER(SEARCH("COOLER PARA NB",B1183)),
ISNUMBER(SEARCH("SOPORTE PARA NB",B1183)),
ISNUMBER(SEARCH("WEBCAM",B1183)),
ISNUMBER(SEARCH("WEB CAM",B1183)),
ISNUMBER(SEARCH("MOUSE",B1183)),
ISNUMBER(SEARCH("TECLADO",B1183))
),
"COMPLEMENTO",
IF(
OR(
LEFT(A1183,2)="NB",
LEFT(A1183,2)="PC",
LEFT(A1183,2)="WS",
LEFT(A1183,2)="TB",
LEFT(A1183,3)="CEL",
LEFT(A1183,3)="MON",
LEFT(A1183,3)="PRE",
LEFT(A1183,3)="PRH",
ISNUMBER(SEARCH("NOTEBOOK",B1183)),
ISNUMBER(SEARCH("LAPTOP",B1183)),
ISNUMBER(SEARCH("MONITOR",B1183)),
ISNUMBER(SEARCH("TABLET",B1183)),
ISNUMBER(SEARCH("SMARTPH",B1183)),
ISNUMBER(SEARCH("IMPRESORA",B1183)),
ISNUMBER(SEARCH("MULTIFUNCIONAL",B1183)),
ISNUMBER(SEARCH("AIO",B1183))
),
"GANCHO",
"NORMAL"
)
)</f>
        <v>NORMAL</v>
      </c>
    </row>
    <row r="1182" spans="1:12" x14ac:dyDescent="0.25">
      <c r="A1182" s="3" t="s">
        <v>1936</v>
      </c>
      <c r="B1182" s="3" t="s">
        <v>1937</v>
      </c>
      <c r="C1182" s="1">
        <v>0</v>
      </c>
      <c r="D1182" s="1">
        <v>55</v>
      </c>
      <c r="E1182" s="1" t="s">
        <v>56</v>
      </c>
      <c r="F1182" s="1" t="s">
        <v>3751</v>
      </c>
      <c r="G1182" s="3" t="s">
        <v>1938</v>
      </c>
      <c r="H1182" s="11">
        <f>ROUND(
IF(L1180="GANCHO",
   IF(I1182&lt;=50,I1182*1.1+4,IF(I1182&lt;=120,I1182*1.1+7,IF(I1182&lt;=250,I1182*1.1+11,I1182*1.1+19))),
IF(L1180="NORMAL",
   IF(I1182&lt;=30,I1182*1.15+2,IF(I1182&lt;=80,I1182*1.15+4,IF(I1182&lt;=150,I1182*1.15+6,I1182*1.15+8))),
IF(L1180="COMPLEMENTO",
   IF(I1182&lt;=25,I1182*1.25+1.5,IF(I1182&lt;=60,I1182*1.25+3,IF(I1182&lt;=120,I1182*1.25+4,I1182*1.25+5))),
""))),2)</f>
        <v>259.44</v>
      </c>
      <c r="I1182" s="9">
        <f>($K$2+0.02)*Tabla1[[#This Row],[PRECIO $]]*1.18</f>
        <v>225.852</v>
      </c>
      <c r="J1182" s="7">
        <f>+Tabla1[[#This Row],[PRECIO EN SOLES]]-Tabla1[[#This Row],[PC]]</f>
        <v>33.587999999999994</v>
      </c>
      <c r="K1182" s="15"/>
      <c r="L1182" s="15" t="str">
        <f>IF(
OR(
ISNUMBER(SEARCH("BACKPACK",B1184)),
ISNUMBER(SEARCH("MOCHILA",B1184)),
ISNUMBER(SEARCH("FUNDA",B1184)),
ISNUMBER(SEARCH("ESTUCHE",B1184)),
ISNUMBER(SEARCH("BOOK COVER",B1184)),
ISNUMBER(SEARCH("KEYBOARD PARA TABLET",B1184)),
ISNUMBER(SEARCH("FLIP TABLET",B1184)),
ISNUMBER(SEARCH("CASE FOR TABLET",B1184)),
ISNUMBER(SEARCH("CABLE",B1184)),
ISNUMBER(SEARCH("ADAPTADOR",B1184)),
ISNUMBER(SEARCH("HUB",B1184)),
ISNUMBER(SEARCH("DOCK",B1184)),
ISNUMBER(SEARCH("MOUSE PAD",B1184)),
ISNUMBER(SEARCH("MOUSEPAD",B1184)),
ISNUMBER(SEARCH("SOPORTE",B1184)),
ISNUMBER(SEARCH("STAND",B1184)),
ISNUMBER(SEARCH("TRAVEL ADAPTER",B1184)),
ISNUMBER(SEARCH("RJ45",B1184)),
ISNUMBER(SEARCH("USB-C",B1184)),
ISNUMBER(SEARCH("USB WIFI",B1184)),
ISNUMBER(SEARCH("POWERBANK",B1184)),
ISNUMBER(SEARCH("CARGADOR",B1184)),
ISNUMBER(SEARCH("COOLER PARA NB",B1184)),
ISNUMBER(SEARCH("SOPORTE PARA NB",B1184)),
ISNUMBER(SEARCH("WEBCAM",B1184)),
ISNUMBER(SEARCH("WEB CAM",B1184)),
ISNUMBER(SEARCH("MOUSE",B1184)),
ISNUMBER(SEARCH("TECLADO",B1184))
),
"COMPLEMENTO",
IF(
OR(
LEFT(A1184,2)="NB",
LEFT(A1184,2)="PC",
LEFT(A1184,2)="WS",
LEFT(A1184,2)="TB",
LEFT(A1184,3)="CEL",
LEFT(A1184,3)="MON",
LEFT(A1184,3)="PRE",
LEFT(A1184,3)="PRH",
ISNUMBER(SEARCH("NOTEBOOK",B1184)),
ISNUMBER(SEARCH("LAPTOP",B1184)),
ISNUMBER(SEARCH("MONITOR",B1184)),
ISNUMBER(SEARCH("TABLET",B1184)),
ISNUMBER(SEARCH("SMARTPH",B1184)),
ISNUMBER(SEARCH("IMPRESORA",B1184)),
ISNUMBER(SEARCH("MULTIFUNCIONAL",B1184)),
ISNUMBER(SEARCH("AIO",B1184))
),
"GANCHO",
"NORMAL"
)
)</f>
        <v>GANCHO</v>
      </c>
    </row>
    <row r="1183" spans="1:12" x14ac:dyDescent="0.25">
      <c r="A1183" s="3" t="s">
        <v>1939</v>
      </c>
      <c r="B1183" s="3" t="s">
        <v>1940</v>
      </c>
      <c r="C1183" s="1">
        <v>0</v>
      </c>
      <c r="D1183" s="1">
        <v>12.97</v>
      </c>
      <c r="E1183" s="1" t="s">
        <v>56</v>
      </c>
      <c r="F1183" s="1" t="s">
        <v>3752</v>
      </c>
      <c r="G1183" s="3" t="s">
        <v>1941</v>
      </c>
      <c r="H1183" s="11">
        <f>ROUND(
IF(L1181="GANCHO",
   IF(I1183&lt;=50,I1183*1.1+4,IF(I1183&lt;=120,I1183*1.1+7,IF(I1183&lt;=250,I1183*1.1+11,I1183*1.1+19))),
IF(L1181="NORMAL",
   IF(I1183&lt;=30,I1183*1.15+2,IF(I1183&lt;=80,I1183*1.15+4,IF(I1183&lt;=150,I1183*1.15+6,I1183*1.15+8))),
IF(L1181="COMPLEMENTO",
   IF(I1183&lt;=25,I1183*1.25+1.5,IF(I1183&lt;=60,I1183*1.25+3,IF(I1183&lt;=120,I1183*1.25+4,I1183*1.25+5))),
""))),2)</f>
        <v>65.25</v>
      </c>
      <c r="I1183" s="9">
        <f>($K$2+0.02)*Tabla1[[#This Row],[PRECIO $]]*1.18</f>
        <v>53.260007999999999</v>
      </c>
      <c r="J1183" s="7">
        <f>+Tabla1[[#This Row],[PRECIO EN SOLES]]-Tabla1[[#This Row],[PC]]</f>
        <v>11.989992000000001</v>
      </c>
      <c r="K1183" s="15"/>
      <c r="L1183" s="15" t="str">
        <f>IF(
OR(
ISNUMBER(SEARCH("BACKPACK",B1185)),
ISNUMBER(SEARCH("MOCHILA",B1185)),
ISNUMBER(SEARCH("FUNDA",B1185)),
ISNUMBER(SEARCH("ESTUCHE",B1185)),
ISNUMBER(SEARCH("BOOK COVER",B1185)),
ISNUMBER(SEARCH("KEYBOARD PARA TABLET",B1185)),
ISNUMBER(SEARCH("FLIP TABLET",B1185)),
ISNUMBER(SEARCH("CASE FOR TABLET",B1185)),
ISNUMBER(SEARCH("CABLE",B1185)),
ISNUMBER(SEARCH("ADAPTADOR",B1185)),
ISNUMBER(SEARCH("HUB",B1185)),
ISNUMBER(SEARCH("DOCK",B1185)),
ISNUMBER(SEARCH("MOUSE PAD",B1185)),
ISNUMBER(SEARCH("MOUSEPAD",B1185)),
ISNUMBER(SEARCH("SOPORTE",B1185)),
ISNUMBER(SEARCH("STAND",B1185)),
ISNUMBER(SEARCH("TRAVEL ADAPTER",B1185)),
ISNUMBER(SEARCH("RJ45",B1185)),
ISNUMBER(SEARCH("USB-C",B1185)),
ISNUMBER(SEARCH("USB WIFI",B1185)),
ISNUMBER(SEARCH("POWERBANK",B1185)),
ISNUMBER(SEARCH("CARGADOR",B1185)),
ISNUMBER(SEARCH("COOLER PARA NB",B1185)),
ISNUMBER(SEARCH("SOPORTE PARA NB",B1185)),
ISNUMBER(SEARCH("WEBCAM",B1185)),
ISNUMBER(SEARCH("WEB CAM",B1185)),
ISNUMBER(SEARCH("MOUSE",B1185)),
ISNUMBER(SEARCH("TECLADO",B1185))
),
"COMPLEMENTO",
IF(
OR(
LEFT(A1185,2)="NB",
LEFT(A1185,2)="PC",
LEFT(A1185,2)="WS",
LEFT(A1185,2)="TB",
LEFT(A1185,3)="CEL",
LEFT(A1185,3)="MON",
LEFT(A1185,3)="PRE",
LEFT(A1185,3)="PRH",
ISNUMBER(SEARCH("NOTEBOOK",B1185)),
ISNUMBER(SEARCH("LAPTOP",B1185)),
ISNUMBER(SEARCH("MONITOR",B1185)),
ISNUMBER(SEARCH("TABLET",B1185)),
ISNUMBER(SEARCH("SMARTPH",B1185)),
ISNUMBER(SEARCH("IMPRESORA",B1185)),
ISNUMBER(SEARCH("MULTIFUNCIONAL",B1185)),
ISNUMBER(SEARCH("AIO",B1185))
),
"GANCHO",
"NORMAL"
)
)</f>
        <v>NORMAL</v>
      </c>
    </row>
    <row r="1184" spans="1:12" x14ac:dyDescent="0.25">
      <c r="A1184" s="3" t="s">
        <v>1942</v>
      </c>
      <c r="B1184" s="3" t="s">
        <v>1943</v>
      </c>
      <c r="C1184" s="1">
        <v>0</v>
      </c>
      <c r="D1184" s="1">
        <v>55</v>
      </c>
      <c r="E1184" s="1" t="s">
        <v>56</v>
      </c>
      <c r="F1184" s="1" t="s">
        <v>3753</v>
      </c>
      <c r="G1184" s="3" t="s">
        <v>1944</v>
      </c>
      <c r="H1184" s="11">
        <f>ROUND(
IF(L1182="GANCHO",
   IF(I1184&lt;=50,I1184*1.1+4,IF(I1184&lt;=120,I1184*1.1+7,IF(I1184&lt;=250,I1184*1.1+11,I1184*1.1+19))),
IF(L1182="NORMAL",
   IF(I1184&lt;=30,I1184*1.15+2,IF(I1184&lt;=80,I1184*1.15+4,IF(I1184&lt;=150,I1184*1.15+6,I1184*1.15+8))),
IF(L1182="COMPLEMENTO",
   IF(I1184&lt;=25,I1184*1.25+1.5,IF(I1184&lt;=60,I1184*1.25+3,IF(I1184&lt;=120,I1184*1.25+4,I1184*1.25+5))),
""))),2)</f>
        <v>259.44</v>
      </c>
      <c r="I1184" s="9">
        <f>($K$2+0.02)*Tabla1[[#This Row],[PRECIO $]]*1.18</f>
        <v>225.852</v>
      </c>
      <c r="J1184" s="7">
        <f>+Tabla1[[#This Row],[PRECIO EN SOLES]]-Tabla1[[#This Row],[PC]]</f>
        <v>33.587999999999994</v>
      </c>
      <c r="K1184" s="15"/>
      <c r="L1184" s="15" t="str">
        <f>IF(
OR(
ISNUMBER(SEARCH("BACKPACK",B1186)),
ISNUMBER(SEARCH("MOCHILA",B1186)),
ISNUMBER(SEARCH("FUNDA",B1186)),
ISNUMBER(SEARCH("ESTUCHE",B1186)),
ISNUMBER(SEARCH("BOOK COVER",B1186)),
ISNUMBER(SEARCH("KEYBOARD PARA TABLET",B1186)),
ISNUMBER(SEARCH("FLIP TABLET",B1186)),
ISNUMBER(SEARCH("CASE FOR TABLET",B1186)),
ISNUMBER(SEARCH("CABLE",B1186)),
ISNUMBER(SEARCH("ADAPTADOR",B1186)),
ISNUMBER(SEARCH("HUB",B1186)),
ISNUMBER(SEARCH("DOCK",B1186)),
ISNUMBER(SEARCH("MOUSE PAD",B1186)),
ISNUMBER(SEARCH("MOUSEPAD",B1186)),
ISNUMBER(SEARCH("SOPORTE",B1186)),
ISNUMBER(SEARCH("STAND",B1186)),
ISNUMBER(SEARCH("TRAVEL ADAPTER",B1186)),
ISNUMBER(SEARCH("RJ45",B1186)),
ISNUMBER(SEARCH("USB-C",B1186)),
ISNUMBER(SEARCH("USB WIFI",B1186)),
ISNUMBER(SEARCH("POWERBANK",B1186)),
ISNUMBER(SEARCH("CARGADOR",B1186)),
ISNUMBER(SEARCH("COOLER PARA NB",B1186)),
ISNUMBER(SEARCH("SOPORTE PARA NB",B1186)),
ISNUMBER(SEARCH("WEBCAM",B1186)),
ISNUMBER(SEARCH("WEB CAM",B1186)),
ISNUMBER(SEARCH("MOUSE",B1186)),
ISNUMBER(SEARCH("TECLADO",B1186))
),
"COMPLEMENTO",
IF(
OR(
LEFT(A1186,2)="NB",
LEFT(A1186,2)="PC",
LEFT(A1186,2)="WS",
LEFT(A1186,2)="TB",
LEFT(A1186,3)="CEL",
LEFT(A1186,3)="MON",
LEFT(A1186,3)="PRE",
LEFT(A1186,3)="PRH",
ISNUMBER(SEARCH("NOTEBOOK",B1186)),
ISNUMBER(SEARCH("LAPTOP",B1186)),
ISNUMBER(SEARCH("MONITOR",B1186)),
ISNUMBER(SEARCH("TABLET",B1186)),
ISNUMBER(SEARCH("SMARTPH",B1186)),
ISNUMBER(SEARCH("IMPRESORA",B1186)),
ISNUMBER(SEARCH("MULTIFUNCIONAL",B1186)),
ISNUMBER(SEARCH("AIO",B1186))
),
"GANCHO",
"NORMAL"
)
)</f>
        <v>COMPLEMENTO</v>
      </c>
    </row>
    <row r="1185" spans="1:12" x14ac:dyDescent="0.25">
      <c r="A1185" s="3" t="s">
        <v>1945</v>
      </c>
      <c r="B1185" s="3" t="s">
        <v>1946</v>
      </c>
      <c r="C1185" s="1">
        <v>16</v>
      </c>
      <c r="D1185" s="1">
        <v>48.9</v>
      </c>
      <c r="E1185" s="1" t="s">
        <v>837</v>
      </c>
      <c r="F1185" s="1" t="s">
        <v>3754</v>
      </c>
      <c r="G1185" s="3" t="s">
        <v>2796</v>
      </c>
      <c r="H1185" s="11">
        <f>ROUND(
IF(L1183="GANCHO",
   IF(I1185&lt;=50,I1185*1.1+4,IF(I1185&lt;=120,I1185*1.1+7,IF(I1185&lt;=250,I1185*1.1+11,I1185*1.1+19))),
IF(L1183="NORMAL",
   IF(I1185&lt;=30,I1185*1.15+2,IF(I1185&lt;=80,I1185*1.15+4,IF(I1185&lt;=150,I1185*1.15+6,I1185*1.15+8))),
IF(L1183="COMPLEMENTO",
   IF(I1185&lt;=25,I1185*1.25+1.5,IF(I1185&lt;=60,I1185*1.25+3,IF(I1185&lt;=120,I1185*1.25+4,I1185*1.25+5))),
""))),2)</f>
        <v>238.92</v>
      </c>
      <c r="I1185" s="9">
        <f>($K$2+0.02)*Tabla1[[#This Row],[PRECIO $]]*1.18</f>
        <v>200.80295999999998</v>
      </c>
      <c r="J1185" s="7">
        <f>+Tabla1[[#This Row],[PRECIO EN SOLES]]-Tabla1[[#This Row],[PC]]</f>
        <v>38.117040000000003</v>
      </c>
      <c r="K1185" s="15"/>
      <c r="L1185" s="15" t="str">
        <f>IF(
OR(
ISNUMBER(SEARCH("BACKPACK",B1187)),
ISNUMBER(SEARCH("MOCHILA",B1187)),
ISNUMBER(SEARCH("FUNDA",B1187)),
ISNUMBER(SEARCH("ESTUCHE",B1187)),
ISNUMBER(SEARCH("BOOK COVER",B1187)),
ISNUMBER(SEARCH("KEYBOARD PARA TABLET",B1187)),
ISNUMBER(SEARCH("FLIP TABLET",B1187)),
ISNUMBER(SEARCH("CASE FOR TABLET",B1187)),
ISNUMBER(SEARCH("CABLE",B1187)),
ISNUMBER(SEARCH("ADAPTADOR",B1187)),
ISNUMBER(SEARCH("HUB",B1187)),
ISNUMBER(SEARCH("DOCK",B1187)),
ISNUMBER(SEARCH("MOUSE PAD",B1187)),
ISNUMBER(SEARCH("MOUSEPAD",B1187)),
ISNUMBER(SEARCH("SOPORTE",B1187)),
ISNUMBER(SEARCH("STAND",B1187)),
ISNUMBER(SEARCH("TRAVEL ADAPTER",B1187)),
ISNUMBER(SEARCH("RJ45",B1187)),
ISNUMBER(SEARCH("USB-C",B1187)),
ISNUMBER(SEARCH("USB WIFI",B1187)),
ISNUMBER(SEARCH("POWERBANK",B1187)),
ISNUMBER(SEARCH("CARGADOR",B1187)),
ISNUMBER(SEARCH("COOLER PARA NB",B1187)),
ISNUMBER(SEARCH("SOPORTE PARA NB",B1187)),
ISNUMBER(SEARCH("WEBCAM",B1187)),
ISNUMBER(SEARCH("WEB CAM",B1187)),
ISNUMBER(SEARCH("MOUSE",B1187)),
ISNUMBER(SEARCH("TECLADO",B1187))
),
"COMPLEMENTO",
IF(
OR(
LEFT(A1187,2)="NB",
LEFT(A1187,2)="PC",
LEFT(A1187,2)="WS",
LEFT(A1187,2)="TB",
LEFT(A1187,3)="CEL",
LEFT(A1187,3)="MON",
LEFT(A1187,3)="PRE",
LEFT(A1187,3)="PRH",
ISNUMBER(SEARCH("NOTEBOOK",B1187)),
ISNUMBER(SEARCH("LAPTOP",B1187)),
ISNUMBER(SEARCH("MONITOR",B1187)),
ISNUMBER(SEARCH("TABLET",B1187)),
ISNUMBER(SEARCH("SMARTPH",B1187)),
ISNUMBER(SEARCH("IMPRESORA",B1187)),
ISNUMBER(SEARCH("MULTIFUNCIONAL",B1187)),
ISNUMBER(SEARCH("AIO",B1187))
),
"GANCHO",
"NORMAL"
)
)</f>
        <v>COMPLEMENTO</v>
      </c>
    </row>
    <row r="1186" spans="1:12" x14ac:dyDescent="0.25">
      <c r="A1186" s="3" t="s">
        <v>1947</v>
      </c>
      <c r="B1186" s="3" t="s">
        <v>1948</v>
      </c>
      <c r="C1186" s="1">
        <v>20</v>
      </c>
      <c r="D1186" s="1">
        <v>54.1</v>
      </c>
      <c r="E1186" s="1" t="s">
        <v>837</v>
      </c>
      <c r="F1186" s="1" t="s">
        <v>3755</v>
      </c>
      <c r="G1186" s="3" t="s">
        <v>2897</v>
      </c>
      <c r="H1186" s="11">
        <f>ROUND(
IF(L1184="GANCHO",
   IF(I1186&lt;=50,I1186*1.1+4,IF(I1186&lt;=120,I1186*1.1+7,IF(I1186&lt;=250,I1186*1.1+11,I1186*1.1+19))),
IF(L1184="NORMAL",
   IF(I1186&lt;=30,I1186*1.15+2,IF(I1186&lt;=80,I1186*1.15+4,IF(I1186&lt;=150,I1186*1.15+6,I1186*1.15+8))),
IF(L1184="COMPLEMENTO",
   IF(I1186&lt;=25,I1186*1.25+1.5,IF(I1186&lt;=60,I1186*1.25+3,IF(I1186&lt;=120,I1186*1.25+4,I1186*1.25+5))),
""))),2)</f>
        <v>282.7</v>
      </c>
      <c r="I1186" s="9">
        <f>($K$2+0.02)*Tabla1[[#This Row],[PRECIO $]]*1.18</f>
        <v>222.15624</v>
      </c>
      <c r="J1186" s="7">
        <f>+Tabla1[[#This Row],[PRECIO EN SOLES]]-Tabla1[[#This Row],[PC]]</f>
        <v>60.543759999999992</v>
      </c>
      <c r="K1186" s="15"/>
      <c r="L1186" s="15" t="str">
        <f>IF(
OR(
ISNUMBER(SEARCH("BACKPACK",B1188)),
ISNUMBER(SEARCH("MOCHILA",B1188)),
ISNUMBER(SEARCH("FUNDA",B1188)),
ISNUMBER(SEARCH("ESTUCHE",B1188)),
ISNUMBER(SEARCH("BOOK COVER",B1188)),
ISNUMBER(SEARCH("KEYBOARD PARA TABLET",B1188)),
ISNUMBER(SEARCH("FLIP TABLET",B1188)),
ISNUMBER(SEARCH("CASE FOR TABLET",B1188)),
ISNUMBER(SEARCH("CABLE",B1188)),
ISNUMBER(SEARCH("ADAPTADOR",B1188)),
ISNUMBER(SEARCH("HUB",B1188)),
ISNUMBER(SEARCH("DOCK",B1188)),
ISNUMBER(SEARCH("MOUSE PAD",B1188)),
ISNUMBER(SEARCH("MOUSEPAD",B1188)),
ISNUMBER(SEARCH("SOPORTE",B1188)),
ISNUMBER(SEARCH("STAND",B1188)),
ISNUMBER(SEARCH("TRAVEL ADAPTER",B1188)),
ISNUMBER(SEARCH("RJ45",B1188)),
ISNUMBER(SEARCH("USB-C",B1188)),
ISNUMBER(SEARCH("USB WIFI",B1188)),
ISNUMBER(SEARCH("POWERBANK",B1188)),
ISNUMBER(SEARCH("CARGADOR",B1188)),
ISNUMBER(SEARCH("COOLER PARA NB",B1188)),
ISNUMBER(SEARCH("SOPORTE PARA NB",B1188)),
ISNUMBER(SEARCH("WEBCAM",B1188)),
ISNUMBER(SEARCH("WEB CAM",B1188)),
ISNUMBER(SEARCH("MOUSE",B1188)),
ISNUMBER(SEARCH("TECLADO",B1188))
),
"COMPLEMENTO",
IF(
OR(
LEFT(A1188,2)="NB",
LEFT(A1188,2)="PC",
LEFT(A1188,2)="WS",
LEFT(A1188,2)="TB",
LEFT(A1188,3)="CEL",
LEFT(A1188,3)="MON",
LEFT(A1188,3)="PRE",
LEFT(A1188,3)="PRH",
ISNUMBER(SEARCH("NOTEBOOK",B1188)),
ISNUMBER(SEARCH("LAPTOP",B1188)),
ISNUMBER(SEARCH("MONITOR",B1188)),
ISNUMBER(SEARCH("TABLET",B1188)),
ISNUMBER(SEARCH("SMARTPH",B1188)),
ISNUMBER(SEARCH("IMPRESORA",B1188)),
ISNUMBER(SEARCH("MULTIFUNCIONAL",B1188)),
ISNUMBER(SEARCH("AIO",B1188))
),
"GANCHO",
"NORMAL"
)
)</f>
        <v>COMPLEMENTO</v>
      </c>
    </row>
    <row r="1187" spans="1:12" x14ac:dyDescent="0.25">
      <c r="A1187" s="3" t="s">
        <v>6868</v>
      </c>
      <c r="B1187" s="3" t="s">
        <v>6869</v>
      </c>
      <c r="C1187" s="1">
        <v>20</v>
      </c>
      <c r="D1187" s="1">
        <v>7.1</v>
      </c>
      <c r="E1187" s="1" t="s">
        <v>52</v>
      </c>
      <c r="F1187" s="1" t="s">
        <v>6870</v>
      </c>
      <c r="G1187" s="3" t="s">
        <v>6871</v>
      </c>
      <c r="H1187" s="11">
        <f>ROUND(
IF(L1185="GANCHO",
   IF(I1187&lt;=50,I1187*1.1+4,IF(I1187&lt;=120,I1187*1.1+7,IF(I1187&lt;=250,I1187*1.1+11,I1187*1.1+19))),
IF(L1185="NORMAL",
   IF(I1187&lt;=30,I1187*1.15+2,IF(I1187&lt;=80,I1187*1.15+4,IF(I1187&lt;=150,I1187*1.15+6,I1187*1.15+8))),
IF(L1185="COMPLEMENTO",
   IF(I1187&lt;=25,I1187*1.25+1.5,IF(I1187&lt;=60,I1187*1.25+3,IF(I1187&lt;=120,I1187*1.25+4,I1187*1.25+5))),
""))),2)</f>
        <v>39.44</v>
      </c>
      <c r="I1187" s="9">
        <f>($K$2+0.02)*Tabla1[[#This Row],[PRECIO $]]*1.18</f>
        <v>29.155439999999995</v>
      </c>
      <c r="J1187" s="7">
        <f>+Tabla1[[#This Row],[PRECIO EN SOLES]]-Tabla1[[#This Row],[PC]]</f>
        <v>10.284560000000003</v>
      </c>
      <c r="K1187" s="15"/>
      <c r="L1187" s="15" t="str">
        <f>IF(
OR(
ISNUMBER(SEARCH("BACKPACK",B1189)),
ISNUMBER(SEARCH("MOCHILA",B1189)),
ISNUMBER(SEARCH("FUNDA",B1189)),
ISNUMBER(SEARCH("ESTUCHE",B1189)),
ISNUMBER(SEARCH("BOOK COVER",B1189)),
ISNUMBER(SEARCH("KEYBOARD PARA TABLET",B1189)),
ISNUMBER(SEARCH("FLIP TABLET",B1189)),
ISNUMBER(SEARCH("CASE FOR TABLET",B1189)),
ISNUMBER(SEARCH("CABLE",B1189)),
ISNUMBER(SEARCH("ADAPTADOR",B1189)),
ISNUMBER(SEARCH("HUB",B1189)),
ISNUMBER(SEARCH("DOCK",B1189)),
ISNUMBER(SEARCH("MOUSE PAD",B1189)),
ISNUMBER(SEARCH("MOUSEPAD",B1189)),
ISNUMBER(SEARCH("SOPORTE",B1189)),
ISNUMBER(SEARCH("STAND",B1189)),
ISNUMBER(SEARCH("TRAVEL ADAPTER",B1189)),
ISNUMBER(SEARCH("RJ45",B1189)),
ISNUMBER(SEARCH("USB-C",B1189)),
ISNUMBER(SEARCH("USB WIFI",B1189)),
ISNUMBER(SEARCH("POWERBANK",B1189)),
ISNUMBER(SEARCH("CARGADOR",B1189)),
ISNUMBER(SEARCH("COOLER PARA NB",B1189)),
ISNUMBER(SEARCH("SOPORTE PARA NB",B1189)),
ISNUMBER(SEARCH("WEBCAM",B1189)),
ISNUMBER(SEARCH("WEB CAM",B1189)),
ISNUMBER(SEARCH("MOUSE",B1189)),
ISNUMBER(SEARCH("TECLADO",B1189))
),
"COMPLEMENTO",
IF(
OR(
LEFT(A1189,2)="NB",
LEFT(A1189,2)="PC",
LEFT(A1189,2)="WS",
LEFT(A1189,2)="TB",
LEFT(A1189,3)="CEL",
LEFT(A1189,3)="MON",
LEFT(A1189,3)="PRE",
LEFT(A1189,3)="PRH",
ISNUMBER(SEARCH("NOTEBOOK",B1189)),
ISNUMBER(SEARCH("LAPTOP",B1189)),
ISNUMBER(SEARCH("MONITOR",B1189)),
ISNUMBER(SEARCH("TABLET",B1189)),
ISNUMBER(SEARCH("SMARTPH",B1189)),
ISNUMBER(SEARCH("IMPRESORA",B1189)),
ISNUMBER(SEARCH("MULTIFUNCIONAL",B1189)),
ISNUMBER(SEARCH("AIO",B1189))
),
"GANCHO",
"NORMAL"
)
)</f>
        <v>COMPLEMENTO</v>
      </c>
    </row>
    <row r="1188" spans="1:12" x14ac:dyDescent="0.25">
      <c r="A1188" s="3" t="s">
        <v>6872</v>
      </c>
      <c r="B1188" s="3" t="s">
        <v>6873</v>
      </c>
      <c r="C1188" s="1">
        <v>0</v>
      </c>
      <c r="D1188" s="1">
        <v>8</v>
      </c>
      <c r="E1188" s="1" t="s">
        <v>52</v>
      </c>
      <c r="F1188" s="1" t="s">
        <v>6874</v>
      </c>
      <c r="G1188" s="3" t="s">
        <v>6875</v>
      </c>
      <c r="H1188" s="11">
        <f>ROUND(
IF(L1186="GANCHO",
   IF(I1188&lt;=50,I1188*1.1+4,IF(I1188&lt;=120,I1188*1.1+7,IF(I1188&lt;=250,I1188*1.1+11,I1188*1.1+19))),
IF(L1186="NORMAL",
   IF(I1188&lt;=30,I1188*1.15+2,IF(I1188&lt;=80,I1188*1.15+4,IF(I1188&lt;=150,I1188*1.15+6,I1188*1.15+8))),
IF(L1186="COMPLEMENTO",
   IF(I1188&lt;=25,I1188*1.25+1.5,IF(I1188&lt;=60,I1188*1.25+3,IF(I1188&lt;=120,I1188*1.25+4,I1188*1.25+5))),
""))),2)</f>
        <v>44.06</v>
      </c>
      <c r="I1188" s="9">
        <f>($K$2+0.02)*Tabla1[[#This Row],[PRECIO $]]*1.18</f>
        <v>32.851199999999999</v>
      </c>
      <c r="J1188" s="7">
        <f>+Tabla1[[#This Row],[PRECIO EN SOLES]]-Tabla1[[#This Row],[PC]]</f>
        <v>11.208800000000004</v>
      </c>
      <c r="K1188" s="15"/>
      <c r="L1188" s="15" t="str">
        <f>IF(
OR(
ISNUMBER(SEARCH("BACKPACK",B1190)),
ISNUMBER(SEARCH("MOCHILA",B1190)),
ISNUMBER(SEARCH("FUNDA",B1190)),
ISNUMBER(SEARCH("ESTUCHE",B1190)),
ISNUMBER(SEARCH("BOOK COVER",B1190)),
ISNUMBER(SEARCH("KEYBOARD PARA TABLET",B1190)),
ISNUMBER(SEARCH("FLIP TABLET",B1190)),
ISNUMBER(SEARCH("CASE FOR TABLET",B1190)),
ISNUMBER(SEARCH("CABLE",B1190)),
ISNUMBER(SEARCH("ADAPTADOR",B1190)),
ISNUMBER(SEARCH("HUB",B1190)),
ISNUMBER(SEARCH("DOCK",B1190)),
ISNUMBER(SEARCH("MOUSE PAD",B1190)),
ISNUMBER(SEARCH("MOUSEPAD",B1190)),
ISNUMBER(SEARCH("SOPORTE",B1190)),
ISNUMBER(SEARCH("STAND",B1190)),
ISNUMBER(SEARCH("TRAVEL ADAPTER",B1190)),
ISNUMBER(SEARCH("RJ45",B1190)),
ISNUMBER(SEARCH("USB-C",B1190)),
ISNUMBER(SEARCH("USB WIFI",B1190)),
ISNUMBER(SEARCH("POWERBANK",B1190)),
ISNUMBER(SEARCH("CARGADOR",B1190)),
ISNUMBER(SEARCH("COOLER PARA NB",B1190)),
ISNUMBER(SEARCH("SOPORTE PARA NB",B1190)),
ISNUMBER(SEARCH("WEBCAM",B1190)),
ISNUMBER(SEARCH("WEB CAM",B1190)),
ISNUMBER(SEARCH("MOUSE",B1190)),
ISNUMBER(SEARCH("TECLADO",B1190))
),
"COMPLEMENTO",
IF(
OR(
LEFT(A1190,2)="NB",
LEFT(A1190,2)="PC",
LEFT(A1190,2)="WS",
LEFT(A1190,2)="TB",
LEFT(A1190,3)="CEL",
LEFT(A1190,3)="MON",
LEFT(A1190,3)="PRE",
LEFT(A1190,3)="PRH",
ISNUMBER(SEARCH("NOTEBOOK",B1190)),
ISNUMBER(SEARCH("LAPTOP",B1190)),
ISNUMBER(SEARCH("MONITOR",B1190)),
ISNUMBER(SEARCH("TABLET",B1190)),
ISNUMBER(SEARCH("SMARTPH",B1190)),
ISNUMBER(SEARCH("IMPRESORA",B1190)),
ISNUMBER(SEARCH("MULTIFUNCIONAL",B1190)),
ISNUMBER(SEARCH("AIO",B1190))
),
"GANCHO",
"NORMAL"
)
)</f>
        <v>COMPLEMENTO</v>
      </c>
    </row>
    <row r="1189" spans="1:12" x14ac:dyDescent="0.25">
      <c r="A1189" s="3" t="s">
        <v>414</v>
      </c>
      <c r="B1189" s="3" t="s">
        <v>6876</v>
      </c>
      <c r="C1189" s="1">
        <v>20</v>
      </c>
      <c r="D1189" s="1">
        <v>12.6</v>
      </c>
      <c r="E1189" s="1" t="s">
        <v>52</v>
      </c>
      <c r="F1189" s="1" t="s">
        <v>6877</v>
      </c>
      <c r="G1189" s="3" t="s">
        <v>6878</v>
      </c>
      <c r="H1189" s="11">
        <f>ROUND(
IF(L1187="GANCHO",
   IF(I1189&lt;=50,I1189*1.1+4,IF(I1189&lt;=120,I1189*1.1+7,IF(I1189&lt;=250,I1189*1.1+11,I1189*1.1+19))),
IF(L1187="NORMAL",
   IF(I1189&lt;=30,I1189*1.15+2,IF(I1189&lt;=80,I1189*1.15+4,IF(I1189&lt;=150,I1189*1.15+6,I1189*1.15+8))),
IF(L1187="COMPLEMENTO",
   IF(I1189&lt;=25,I1189*1.25+1.5,IF(I1189&lt;=60,I1189*1.25+3,IF(I1189&lt;=120,I1189*1.25+4,I1189*1.25+5))),
""))),2)</f>
        <v>67.680000000000007</v>
      </c>
      <c r="I1189" s="9">
        <f>($K$2+0.02)*Tabla1[[#This Row],[PRECIO $]]*1.18</f>
        <v>51.740639999999999</v>
      </c>
      <c r="J1189" s="7">
        <f>+Tabla1[[#This Row],[PRECIO EN SOLES]]-Tabla1[[#This Row],[PC]]</f>
        <v>15.939360000000008</v>
      </c>
      <c r="K1189" s="15"/>
      <c r="L1189" s="15" t="str">
        <f>IF(
OR(
ISNUMBER(SEARCH("BACKPACK",B1191)),
ISNUMBER(SEARCH("MOCHILA",B1191)),
ISNUMBER(SEARCH("FUNDA",B1191)),
ISNUMBER(SEARCH("ESTUCHE",B1191)),
ISNUMBER(SEARCH("BOOK COVER",B1191)),
ISNUMBER(SEARCH("KEYBOARD PARA TABLET",B1191)),
ISNUMBER(SEARCH("FLIP TABLET",B1191)),
ISNUMBER(SEARCH("CASE FOR TABLET",B1191)),
ISNUMBER(SEARCH("CABLE",B1191)),
ISNUMBER(SEARCH("ADAPTADOR",B1191)),
ISNUMBER(SEARCH("HUB",B1191)),
ISNUMBER(SEARCH("DOCK",B1191)),
ISNUMBER(SEARCH("MOUSE PAD",B1191)),
ISNUMBER(SEARCH("MOUSEPAD",B1191)),
ISNUMBER(SEARCH("SOPORTE",B1191)),
ISNUMBER(SEARCH("STAND",B1191)),
ISNUMBER(SEARCH("TRAVEL ADAPTER",B1191)),
ISNUMBER(SEARCH("RJ45",B1191)),
ISNUMBER(SEARCH("USB-C",B1191)),
ISNUMBER(SEARCH("USB WIFI",B1191)),
ISNUMBER(SEARCH("POWERBANK",B1191)),
ISNUMBER(SEARCH("CARGADOR",B1191)),
ISNUMBER(SEARCH("COOLER PARA NB",B1191)),
ISNUMBER(SEARCH("SOPORTE PARA NB",B1191)),
ISNUMBER(SEARCH("WEBCAM",B1191)),
ISNUMBER(SEARCH("WEB CAM",B1191)),
ISNUMBER(SEARCH("MOUSE",B1191)),
ISNUMBER(SEARCH("TECLADO",B1191))
),
"COMPLEMENTO",
IF(
OR(
LEFT(A1191,2)="NB",
LEFT(A1191,2)="PC",
LEFT(A1191,2)="WS",
LEFT(A1191,2)="TB",
LEFT(A1191,3)="CEL",
LEFT(A1191,3)="MON",
LEFT(A1191,3)="PRE",
LEFT(A1191,3)="PRH",
ISNUMBER(SEARCH("NOTEBOOK",B1191)),
ISNUMBER(SEARCH("LAPTOP",B1191)),
ISNUMBER(SEARCH("MONITOR",B1191)),
ISNUMBER(SEARCH("TABLET",B1191)),
ISNUMBER(SEARCH("SMARTPH",B1191)),
ISNUMBER(SEARCH("IMPRESORA",B1191)),
ISNUMBER(SEARCH("MULTIFUNCIONAL",B1191)),
ISNUMBER(SEARCH("AIO",B1191))
),
"GANCHO",
"NORMAL"
)
)</f>
        <v>COMPLEMENTO</v>
      </c>
    </row>
    <row r="1190" spans="1:12" x14ac:dyDescent="0.25">
      <c r="A1190" s="3" t="s">
        <v>1949</v>
      </c>
      <c r="B1190" s="3" t="s">
        <v>1950</v>
      </c>
      <c r="C1190" s="1">
        <v>0</v>
      </c>
      <c r="D1190" s="1">
        <v>13.7</v>
      </c>
      <c r="E1190" s="1" t="s">
        <v>52</v>
      </c>
      <c r="F1190" s="1" t="s">
        <v>3756</v>
      </c>
      <c r="G1190" s="3" t="s">
        <v>1951</v>
      </c>
      <c r="H1190" s="11">
        <f>ROUND(
IF(L1188="GANCHO",
   IF(I1190&lt;=50,I1190*1.1+4,IF(I1190&lt;=120,I1190*1.1+7,IF(I1190&lt;=250,I1190*1.1+11,I1190*1.1+19))),
IF(L1188="NORMAL",
   IF(I1190&lt;=30,I1190*1.15+2,IF(I1190&lt;=80,I1190*1.15+4,IF(I1190&lt;=150,I1190*1.15+6,I1190*1.15+8))),
IF(L1188="COMPLEMENTO",
   IF(I1190&lt;=25,I1190*1.25+1.5,IF(I1190&lt;=60,I1190*1.25+3,IF(I1190&lt;=120,I1190*1.25+4,I1190*1.25+5))),
""))),2)</f>
        <v>73.319999999999993</v>
      </c>
      <c r="I1190" s="9">
        <f>($K$2+0.02)*Tabla1[[#This Row],[PRECIO $]]*1.18</f>
        <v>56.257679999999993</v>
      </c>
      <c r="J1190" s="7">
        <f>+Tabla1[[#This Row],[PRECIO EN SOLES]]-Tabla1[[#This Row],[PC]]</f>
        <v>17.06232</v>
      </c>
      <c r="K1190" s="15"/>
      <c r="L1190" s="15" t="str">
        <f>IF(
OR(
ISNUMBER(SEARCH("BACKPACK",B1192)),
ISNUMBER(SEARCH("MOCHILA",B1192)),
ISNUMBER(SEARCH("FUNDA",B1192)),
ISNUMBER(SEARCH("ESTUCHE",B1192)),
ISNUMBER(SEARCH("BOOK COVER",B1192)),
ISNUMBER(SEARCH("KEYBOARD PARA TABLET",B1192)),
ISNUMBER(SEARCH("FLIP TABLET",B1192)),
ISNUMBER(SEARCH("CASE FOR TABLET",B1192)),
ISNUMBER(SEARCH("CABLE",B1192)),
ISNUMBER(SEARCH("ADAPTADOR",B1192)),
ISNUMBER(SEARCH("HUB",B1192)),
ISNUMBER(SEARCH("DOCK",B1192)),
ISNUMBER(SEARCH("MOUSE PAD",B1192)),
ISNUMBER(SEARCH("MOUSEPAD",B1192)),
ISNUMBER(SEARCH("SOPORTE",B1192)),
ISNUMBER(SEARCH("STAND",B1192)),
ISNUMBER(SEARCH("TRAVEL ADAPTER",B1192)),
ISNUMBER(SEARCH("RJ45",B1192)),
ISNUMBER(SEARCH("USB-C",B1192)),
ISNUMBER(SEARCH("USB WIFI",B1192)),
ISNUMBER(SEARCH("POWERBANK",B1192)),
ISNUMBER(SEARCH("CARGADOR",B1192)),
ISNUMBER(SEARCH("COOLER PARA NB",B1192)),
ISNUMBER(SEARCH("SOPORTE PARA NB",B1192)),
ISNUMBER(SEARCH("WEBCAM",B1192)),
ISNUMBER(SEARCH("WEB CAM",B1192)),
ISNUMBER(SEARCH("MOUSE",B1192)),
ISNUMBER(SEARCH("TECLADO",B1192))
),
"COMPLEMENTO",
IF(
OR(
LEFT(A1192,2)="NB",
LEFT(A1192,2)="PC",
LEFT(A1192,2)="WS",
LEFT(A1192,2)="TB",
LEFT(A1192,3)="CEL",
LEFT(A1192,3)="MON",
LEFT(A1192,3)="PRE",
LEFT(A1192,3)="PRH",
ISNUMBER(SEARCH("NOTEBOOK",B1192)),
ISNUMBER(SEARCH("LAPTOP",B1192)),
ISNUMBER(SEARCH("MONITOR",B1192)),
ISNUMBER(SEARCH("TABLET",B1192)),
ISNUMBER(SEARCH("SMARTPH",B1192)),
ISNUMBER(SEARCH("IMPRESORA",B1192)),
ISNUMBER(SEARCH("MULTIFUNCIONAL",B1192)),
ISNUMBER(SEARCH("AIO",B1192))
),
"GANCHO",
"NORMAL"
)
)</f>
        <v>COMPLEMENTO</v>
      </c>
    </row>
    <row r="1191" spans="1:12" x14ac:dyDescent="0.25">
      <c r="A1191" s="3" t="s">
        <v>415</v>
      </c>
      <c r="B1191" s="3" t="s">
        <v>416</v>
      </c>
      <c r="C1191" s="1">
        <v>20</v>
      </c>
      <c r="D1191" s="1">
        <v>20.7</v>
      </c>
      <c r="E1191" s="1" t="s">
        <v>52</v>
      </c>
      <c r="F1191" s="1" t="s">
        <v>3757</v>
      </c>
      <c r="G1191" s="3" t="s">
        <v>417</v>
      </c>
      <c r="H1191" s="11">
        <f>ROUND(
IF(L1189="GANCHO",
   IF(I1191&lt;=50,I1191*1.1+4,IF(I1191&lt;=120,I1191*1.1+7,IF(I1191&lt;=250,I1191*1.1+11,I1191*1.1+19))),
IF(L1189="NORMAL",
   IF(I1191&lt;=30,I1191*1.15+2,IF(I1191&lt;=80,I1191*1.15+4,IF(I1191&lt;=150,I1191*1.15+6,I1191*1.15+8))),
IF(L1189="COMPLEMENTO",
   IF(I1191&lt;=25,I1191*1.25+1.5,IF(I1191&lt;=60,I1191*1.25+3,IF(I1191&lt;=120,I1191*1.25+4,I1191*1.25+5))),
""))),2)</f>
        <v>110.25</v>
      </c>
      <c r="I1191" s="9">
        <f>($K$2+0.02)*Tabla1[[#This Row],[PRECIO $]]*1.18</f>
        <v>85.002479999999991</v>
      </c>
      <c r="J1191" s="7">
        <f>+Tabla1[[#This Row],[PRECIO EN SOLES]]-Tabla1[[#This Row],[PC]]</f>
        <v>25.247520000000009</v>
      </c>
      <c r="K1191" s="15"/>
      <c r="L1191" s="15" t="str">
        <f>IF(
OR(
ISNUMBER(SEARCH("BACKPACK",B1193)),
ISNUMBER(SEARCH("MOCHILA",B1193)),
ISNUMBER(SEARCH("FUNDA",B1193)),
ISNUMBER(SEARCH("ESTUCHE",B1193)),
ISNUMBER(SEARCH("BOOK COVER",B1193)),
ISNUMBER(SEARCH("KEYBOARD PARA TABLET",B1193)),
ISNUMBER(SEARCH("FLIP TABLET",B1193)),
ISNUMBER(SEARCH("CASE FOR TABLET",B1193)),
ISNUMBER(SEARCH("CABLE",B1193)),
ISNUMBER(SEARCH("ADAPTADOR",B1193)),
ISNUMBER(SEARCH("HUB",B1193)),
ISNUMBER(SEARCH("DOCK",B1193)),
ISNUMBER(SEARCH("MOUSE PAD",B1193)),
ISNUMBER(SEARCH("MOUSEPAD",B1193)),
ISNUMBER(SEARCH("SOPORTE",B1193)),
ISNUMBER(SEARCH("STAND",B1193)),
ISNUMBER(SEARCH("TRAVEL ADAPTER",B1193)),
ISNUMBER(SEARCH("RJ45",B1193)),
ISNUMBER(SEARCH("USB-C",B1193)),
ISNUMBER(SEARCH("USB WIFI",B1193)),
ISNUMBER(SEARCH("POWERBANK",B1193)),
ISNUMBER(SEARCH("CARGADOR",B1193)),
ISNUMBER(SEARCH("COOLER PARA NB",B1193)),
ISNUMBER(SEARCH("SOPORTE PARA NB",B1193)),
ISNUMBER(SEARCH("WEBCAM",B1193)),
ISNUMBER(SEARCH("WEB CAM",B1193)),
ISNUMBER(SEARCH("MOUSE",B1193)),
ISNUMBER(SEARCH("TECLADO",B1193))
),
"COMPLEMENTO",
IF(
OR(
LEFT(A1193,2)="NB",
LEFT(A1193,2)="PC",
LEFT(A1193,2)="WS",
LEFT(A1193,2)="TB",
LEFT(A1193,3)="CEL",
LEFT(A1193,3)="MON",
LEFT(A1193,3)="PRE",
LEFT(A1193,3)="PRH",
ISNUMBER(SEARCH("NOTEBOOK",B1193)),
ISNUMBER(SEARCH("LAPTOP",B1193)),
ISNUMBER(SEARCH("MONITOR",B1193)),
ISNUMBER(SEARCH("TABLET",B1193)),
ISNUMBER(SEARCH("SMARTPH",B1193)),
ISNUMBER(SEARCH("IMPRESORA",B1193)),
ISNUMBER(SEARCH("MULTIFUNCIONAL",B1193)),
ISNUMBER(SEARCH("AIO",B1193))
),
"GANCHO",
"NORMAL"
)
)</f>
        <v>COMPLEMENTO</v>
      </c>
    </row>
    <row r="1192" spans="1:12" x14ac:dyDescent="0.25">
      <c r="A1192" s="3" t="s">
        <v>418</v>
      </c>
      <c r="B1192" s="3" t="s">
        <v>419</v>
      </c>
      <c r="C1192" s="1">
        <v>20</v>
      </c>
      <c r="D1192" s="1">
        <v>14</v>
      </c>
      <c r="E1192" s="1" t="s">
        <v>52</v>
      </c>
      <c r="F1192" s="1" t="s">
        <v>3758</v>
      </c>
      <c r="G1192" s="3" t="s">
        <v>420</v>
      </c>
      <c r="H1192" s="11">
        <f>ROUND(
IF(L1190="GANCHO",
   IF(I1192&lt;=50,I1192*1.1+4,IF(I1192&lt;=120,I1192*1.1+7,IF(I1192&lt;=250,I1192*1.1+11,I1192*1.1+19))),
IF(L1190="NORMAL",
   IF(I1192&lt;=30,I1192*1.15+2,IF(I1192&lt;=80,I1192*1.15+4,IF(I1192&lt;=150,I1192*1.15+6,I1192*1.15+8))),
IF(L1190="COMPLEMENTO",
   IF(I1192&lt;=25,I1192*1.25+1.5,IF(I1192&lt;=60,I1192*1.25+3,IF(I1192&lt;=120,I1192*1.25+4,I1192*1.25+5))),
""))),2)</f>
        <v>74.86</v>
      </c>
      <c r="I1192" s="9">
        <f>($K$2+0.02)*Tabla1[[#This Row],[PRECIO $]]*1.18</f>
        <v>57.489599999999996</v>
      </c>
      <c r="J1192" s="7">
        <f>+Tabla1[[#This Row],[PRECIO EN SOLES]]-Tabla1[[#This Row],[PC]]</f>
        <v>17.370400000000004</v>
      </c>
      <c r="K1192" s="15"/>
      <c r="L1192" s="15" t="str">
        <f>IF(
OR(
ISNUMBER(SEARCH("BACKPACK",B1194)),
ISNUMBER(SEARCH("MOCHILA",B1194)),
ISNUMBER(SEARCH("FUNDA",B1194)),
ISNUMBER(SEARCH("ESTUCHE",B1194)),
ISNUMBER(SEARCH("BOOK COVER",B1194)),
ISNUMBER(SEARCH("KEYBOARD PARA TABLET",B1194)),
ISNUMBER(SEARCH("FLIP TABLET",B1194)),
ISNUMBER(SEARCH("CASE FOR TABLET",B1194)),
ISNUMBER(SEARCH("CABLE",B1194)),
ISNUMBER(SEARCH("ADAPTADOR",B1194)),
ISNUMBER(SEARCH("HUB",B1194)),
ISNUMBER(SEARCH("DOCK",B1194)),
ISNUMBER(SEARCH("MOUSE PAD",B1194)),
ISNUMBER(SEARCH("MOUSEPAD",B1194)),
ISNUMBER(SEARCH("SOPORTE",B1194)),
ISNUMBER(SEARCH("STAND",B1194)),
ISNUMBER(SEARCH("TRAVEL ADAPTER",B1194)),
ISNUMBER(SEARCH("RJ45",B1194)),
ISNUMBER(SEARCH("USB-C",B1194)),
ISNUMBER(SEARCH("USB WIFI",B1194)),
ISNUMBER(SEARCH("POWERBANK",B1194)),
ISNUMBER(SEARCH("CARGADOR",B1194)),
ISNUMBER(SEARCH("COOLER PARA NB",B1194)),
ISNUMBER(SEARCH("SOPORTE PARA NB",B1194)),
ISNUMBER(SEARCH("WEBCAM",B1194)),
ISNUMBER(SEARCH("WEB CAM",B1194)),
ISNUMBER(SEARCH("MOUSE",B1194)),
ISNUMBER(SEARCH("TECLADO",B1194))
),
"COMPLEMENTO",
IF(
OR(
LEFT(A1194,2)="NB",
LEFT(A1194,2)="PC",
LEFT(A1194,2)="WS",
LEFT(A1194,2)="TB",
LEFT(A1194,3)="CEL",
LEFT(A1194,3)="MON",
LEFT(A1194,3)="PRE",
LEFT(A1194,3)="PRH",
ISNUMBER(SEARCH("NOTEBOOK",B1194)),
ISNUMBER(SEARCH("LAPTOP",B1194)),
ISNUMBER(SEARCH("MONITOR",B1194)),
ISNUMBER(SEARCH("TABLET",B1194)),
ISNUMBER(SEARCH("SMARTPH",B1194)),
ISNUMBER(SEARCH("IMPRESORA",B1194)),
ISNUMBER(SEARCH("MULTIFUNCIONAL",B1194)),
ISNUMBER(SEARCH("AIO",B1194))
),
"GANCHO",
"NORMAL"
)
)</f>
        <v>COMPLEMENTO</v>
      </c>
    </row>
    <row r="1193" spans="1:12" x14ac:dyDescent="0.25">
      <c r="A1193" s="3" t="s">
        <v>1952</v>
      </c>
      <c r="B1193" s="3" t="s">
        <v>1953</v>
      </c>
      <c r="C1193" s="1">
        <v>20</v>
      </c>
      <c r="D1193" s="1">
        <v>11.3</v>
      </c>
      <c r="E1193" s="1" t="s">
        <v>58</v>
      </c>
      <c r="F1193" s="1" t="s">
        <v>3759</v>
      </c>
      <c r="G1193" s="3" t="s">
        <v>1954</v>
      </c>
      <c r="H1193" s="11">
        <f>ROUND(
IF(L1191="GANCHO",
   IF(I1193&lt;=50,I1193*1.1+4,IF(I1193&lt;=120,I1193*1.1+7,IF(I1193&lt;=250,I1193*1.1+11,I1193*1.1+19))),
IF(L1191="NORMAL",
   IF(I1193&lt;=30,I1193*1.15+2,IF(I1193&lt;=80,I1193*1.15+4,IF(I1193&lt;=150,I1193*1.15+6,I1193*1.15+8))),
IF(L1191="COMPLEMENTO",
   IF(I1193&lt;=25,I1193*1.25+1.5,IF(I1193&lt;=60,I1193*1.25+3,IF(I1193&lt;=120,I1193*1.25+4,I1193*1.25+5))),
""))),2)</f>
        <v>61</v>
      </c>
      <c r="I1193" s="9">
        <f>($K$2+0.02)*Tabla1[[#This Row],[PRECIO $]]*1.18</f>
        <v>46.402320000000003</v>
      </c>
      <c r="J1193" s="7">
        <f>+Tabla1[[#This Row],[PRECIO EN SOLES]]-Tabla1[[#This Row],[PC]]</f>
        <v>14.597679999999997</v>
      </c>
      <c r="K1193" s="15"/>
      <c r="L1193" s="15" t="str">
        <f>IF(
OR(
ISNUMBER(SEARCH("BACKPACK",B1195)),
ISNUMBER(SEARCH("MOCHILA",B1195)),
ISNUMBER(SEARCH("FUNDA",B1195)),
ISNUMBER(SEARCH("ESTUCHE",B1195)),
ISNUMBER(SEARCH("BOOK COVER",B1195)),
ISNUMBER(SEARCH("KEYBOARD PARA TABLET",B1195)),
ISNUMBER(SEARCH("FLIP TABLET",B1195)),
ISNUMBER(SEARCH("CASE FOR TABLET",B1195)),
ISNUMBER(SEARCH("CABLE",B1195)),
ISNUMBER(SEARCH("ADAPTADOR",B1195)),
ISNUMBER(SEARCH("HUB",B1195)),
ISNUMBER(SEARCH("DOCK",B1195)),
ISNUMBER(SEARCH("MOUSE PAD",B1195)),
ISNUMBER(SEARCH("MOUSEPAD",B1195)),
ISNUMBER(SEARCH("SOPORTE",B1195)),
ISNUMBER(SEARCH("STAND",B1195)),
ISNUMBER(SEARCH("TRAVEL ADAPTER",B1195)),
ISNUMBER(SEARCH("RJ45",B1195)),
ISNUMBER(SEARCH("USB-C",B1195)),
ISNUMBER(SEARCH("USB WIFI",B1195)),
ISNUMBER(SEARCH("POWERBANK",B1195)),
ISNUMBER(SEARCH("CARGADOR",B1195)),
ISNUMBER(SEARCH("COOLER PARA NB",B1195)),
ISNUMBER(SEARCH("SOPORTE PARA NB",B1195)),
ISNUMBER(SEARCH("WEBCAM",B1195)),
ISNUMBER(SEARCH("WEB CAM",B1195)),
ISNUMBER(SEARCH("MOUSE",B1195)),
ISNUMBER(SEARCH("TECLADO",B1195))
),
"COMPLEMENTO",
IF(
OR(
LEFT(A1195,2)="NB",
LEFT(A1195,2)="PC",
LEFT(A1195,2)="WS",
LEFT(A1195,2)="TB",
LEFT(A1195,3)="CEL",
LEFT(A1195,3)="MON",
LEFT(A1195,3)="PRE",
LEFT(A1195,3)="PRH",
ISNUMBER(SEARCH("NOTEBOOK",B1195)),
ISNUMBER(SEARCH("LAPTOP",B1195)),
ISNUMBER(SEARCH("MONITOR",B1195)),
ISNUMBER(SEARCH("TABLET",B1195)),
ISNUMBER(SEARCH("SMARTPH",B1195)),
ISNUMBER(SEARCH("IMPRESORA",B1195)),
ISNUMBER(SEARCH("MULTIFUNCIONAL",B1195)),
ISNUMBER(SEARCH("AIO",B1195))
),
"GANCHO",
"NORMAL"
)
)</f>
        <v>COMPLEMENTO</v>
      </c>
    </row>
    <row r="1194" spans="1:12" x14ac:dyDescent="0.25">
      <c r="A1194" s="3" t="s">
        <v>1955</v>
      </c>
      <c r="B1194" s="3" t="s">
        <v>1956</v>
      </c>
      <c r="C1194" s="1">
        <v>20</v>
      </c>
      <c r="D1194" s="1">
        <v>9</v>
      </c>
      <c r="E1194" s="1" t="s">
        <v>58</v>
      </c>
      <c r="F1194" s="1" t="s">
        <v>3760</v>
      </c>
      <c r="G1194" s="3" t="s">
        <v>1957</v>
      </c>
      <c r="H1194" s="11">
        <f>ROUND(
IF(L1192="GANCHO",
   IF(I1194&lt;=50,I1194*1.1+4,IF(I1194&lt;=120,I1194*1.1+7,IF(I1194&lt;=250,I1194*1.1+11,I1194*1.1+19))),
IF(L1192="NORMAL",
   IF(I1194&lt;=30,I1194*1.15+2,IF(I1194&lt;=80,I1194*1.15+4,IF(I1194&lt;=150,I1194*1.15+6,I1194*1.15+8))),
IF(L1192="COMPLEMENTO",
   IF(I1194&lt;=25,I1194*1.25+1.5,IF(I1194&lt;=60,I1194*1.25+3,IF(I1194&lt;=120,I1194*1.25+4,I1194*1.25+5))),
""))),2)</f>
        <v>49.2</v>
      </c>
      <c r="I1194" s="9">
        <f>($K$2+0.02)*Tabla1[[#This Row],[PRECIO $]]*1.18</f>
        <v>36.957599999999999</v>
      </c>
      <c r="J1194" s="7">
        <f>+Tabla1[[#This Row],[PRECIO EN SOLES]]-Tabla1[[#This Row],[PC]]</f>
        <v>12.242400000000004</v>
      </c>
      <c r="K1194" s="15"/>
      <c r="L1194" s="15" t="str">
        <f>IF(
OR(
ISNUMBER(SEARCH("BACKPACK",B1196)),
ISNUMBER(SEARCH("MOCHILA",B1196)),
ISNUMBER(SEARCH("FUNDA",B1196)),
ISNUMBER(SEARCH("ESTUCHE",B1196)),
ISNUMBER(SEARCH("BOOK COVER",B1196)),
ISNUMBER(SEARCH("KEYBOARD PARA TABLET",B1196)),
ISNUMBER(SEARCH("FLIP TABLET",B1196)),
ISNUMBER(SEARCH("CASE FOR TABLET",B1196)),
ISNUMBER(SEARCH("CABLE",B1196)),
ISNUMBER(SEARCH("ADAPTADOR",B1196)),
ISNUMBER(SEARCH("HUB",B1196)),
ISNUMBER(SEARCH("DOCK",B1196)),
ISNUMBER(SEARCH("MOUSE PAD",B1196)),
ISNUMBER(SEARCH("MOUSEPAD",B1196)),
ISNUMBER(SEARCH("SOPORTE",B1196)),
ISNUMBER(SEARCH("STAND",B1196)),
ISNUMBER(SEARCH("TRAVEL ADAPTER",B1196)),
ISNUMBER(SEARCH("RJ45",B1196)),
ISNUMBER(SEARCH("USB-C",B1196)),
ISNUMBER(SEARCH("USB WIFI",B1196)),
ISNUMBER(SEARCH("POWERBANK",B1196)),
ISNUMBER(SEARCH("CARGADOR",B1196)),
ISNUMBER(SEARCH("COOLER PARA NB",B1196)),
ISNUMBER(SEARCH("SOPORTE PARA NB",B1196)),
ISNUMBER(SEARCH("WEBCAM",B1196)),
ISNUMBER(SEARCH("WEB CAM",B1196)),
ISNUMBER(SEARCH("MOUSE",B1196)),
ISNUMBER(SEARCH("TECLADO",B1196))
),
"COMPLEMENTO",
IF(
OR(
LEFT(A1196,2)="NB",
LEFT(A1196,2)="PC",
LEFT(A1196,2)="WS",
LEFT(A1196,2)="TB",
LEFT(A1196,3)="CEL",
LEFT(A1196,3)="MON",
LEFT(A1196,3)="PRE",
LEFT(A1196,3)="PRH",
ISNUMBER(SEARCH("NOTEBOOK",B1196)),
ISNUMBER(SEARCH("LAPTOP",B1196)),
ISNUMBER(SEARCH("MONITOR",B1196)),
ISNUMBER(SEARCH("TABLET",B1196)),
ISNUMBER(SEARCH("SMARTPH",B1196)),
ISNUMBER(SEARCH("IMPRESORA",B1196)),
ISNUMBER(SEARCH("MULTIFUNCIONAL",B1196)),
ISNUMBER(SEARCH("AIO",B1196))
),
"GANCHO",
"NORMAL"
)
)</f>
        <v>COMPLEMENTO</v>
      </c>
    </row>
    <row r="1195" spans="1:12" x14ac:dyDescent="0.25">
      <c r="A1195" s="3" t="s">
        <v>1958</v>
      </c>
      <c r="B1195" s="3" t="s">
        <v>1956</v>
      </c>
      <c r="C1195" s="1">
        <v>20</v>
      </c>
      <c r="D1195" s="1">
        <v>11.3</v>
      </c>
      <c r="E1195" s="1" t="s">
        <v>58</v>
      </c>
      <c r="F1195" s="1" t="s">
        <v>3761</v>
      </c>
      <c r="G1195" s="3" t="s">
        <v>1959</v>
      </c>
      <c r="H1195" s="11">
        <f>ROUND(
IF(L1193="GANCHO",
   IF(I1195&lt;=50,I1195*1.1+4,IF(I1195&lt;=120,I1195*1.1+7,IF(I1195&lt;=250,I1195*1.1+11,I1195*1.1+19))),
IF(L1193="NORMAL",
   IF(I1195&lt;=30,I1195*1.15+2,IF(I1195&lt;=80,I1195*1.15+4,IF(I1195&lt;=150,I1195*1.15+6,I1195*1.15+8))),
IF(L1193="COMPLEMENTO",
   IF(I1195&lt;=25,I1195*1.25+1.5,IF(I1195&lt;=60,I1195*1.25+3,IF(I1195&lt;=120,I1195*1.25+4,I1195*1.25+5))),
""))),2)</f>
        <v>61</v>
      </c>
      <c r="I1195" s="9">
        <f>($K$2+0.02)*Tabla1[[#This Row],[PRECIO $]]*1.18</f>
        <v>46.402320000000003</v>
      </c>
      <c r="J1195" s="7">
        <f>+Tabla1[[#This Row],[PRECIO EN SOLES]]-Tabla1[[#This Row],[PC]]</f>
        <v>14.597679999999997</v>
      </c>
      <c r="K1195" s="15"/>
      <c r="L1195" s="15" t="str">
        <f>IF(
OR(
ISNUMBER(SEARCH("BACKPACK",B1197)),
ISNUMBER(SEARCH("MOCHILA",B1197)),
ISNUMBER(SEARCH("FUNDA",B1197)),
ISNUMBER(SEARCH("ESTUCHE",B1197)),
ISNUMBER(SEARCH("BOOK COVER",B1197)),
ISNUMBER(SEARCH("KEYBOARD PARA TABLET",B1197)),
ISNUMBER(SEARCH("FLIP TABLET",B1197)),
ISNUMBER(SEARCH("CASE FOR TABLET",B1197)),
ISNUMBER(SEARCH("CABLE",B1197)),
ISNUMBER(SEARCH("ADAPTADOR",B1197)),
ISNUMBER(SEARCH("HUB",B1197)),
ISNUMBER(SEARCH("DOCK",B1197)),
ISNUMBER(SEARCH("MOUSE PAD",B1197)),
ISNUMBER(SEARCH("MOUSEPAD",B1197)),
ISNUMBER(SEARCH("SOPORTE",B1197)),
ISNUMBER(SEARCH("STAND",B1197)),
ISNUMBER(SEARCH("TRAVEL ADAPTER",B1197)),
ISNUMBER(SEARCH("RJ45",B1197)),
ISNUMBER(SEARCH("USB-C",B1197)),
ISNUMBER(SEARCH("USB WIFI",B1197)),
ISNUMBER(SEARCH("POWERBANK",B1197)),
ISNUMBER(SEARCH("CARGADOR",B1197)),
ISNUMBER(SEARCH("COOLER PARA NB",B1197)),
ISNUMBER(SEARCH("SOPORTE PARA NB",B1197)),
ISNUMBER(SEARCH("WEBCAM",B1197)),
ISNUMBER(SEARCH("WEB CAM",B1197)),
ISNUMBER(SEARCH("MOUSE",B1197)),
ISNUMBER(SEARCH("TECLADO",B1197))
),
"COMPLEMENTO",
IF(
OR(
LEFT(A1197,2)="NB",
LEFT(A1197,2)="PC",
LEFT(A1197,2)="WS",
LEFT(A1197,2)="TB",
LEFT(A1197,3)="CEL",
LEFT(A1197,3)="MON",
LEFT(A1197,3)="PRE",
LEFT(A1197,3)="PRH",
ISNUMBER(SEARCH("NOTEBOOK",B1197)),
ISNUMBER(SEARCH("LAPTOP",B1197)),
ISNUMBER(SEARCH("MONITOR",B1197)),
ISNUMBER(SEARCH("TABLET",B1197)),
ISNUMBER(SEARCH("SMARTPH",B1197)),
ISNUMBER(SEARCH("IMPRESORA",B1197)),
ISNUMBER(SEARCH("MULTIFUNCIONAL",B1197)),
ISNUMBER(SEARCH("AIO",B1197))
),
"GANCHO",
"NORMAL"
)
)</f>
        <v>COMPLEMENTO</v>
      </c>
    </row>
    <row r="1196" spans="1:12" x14ac:dyDescent="0.25">
      <c r="A1196" s="3" t="s">
        <v>1960</v>
      </c>
      <c r="B1196" s="3" t="s">
        <v>1961</v>
      </c>
      <c r="C1196" s="1">
        <v>3</v>
      </c>
      <c r="D1196" s="1">
        <v>13.5</v>
      </c>
      <c r="E1196" s="1" t="s">
        <v>58</v>
      </c>
      <c r="F1196" s="1" t="s">
        <v>3762</v>
      </c>
      <c r="G1196" s="3" t="s">
        <v>1962</v>
      </c>
      <c r="H1196" s="11">
        <f>ROUND(
IF(L1194="GANCHO",
   IF(I1196&lt;=50,I1196*1.1+4,IF(I1196&lt;=120,I1196*1.1+7,IF(I1196&lt;=250,I1196*1.1+11,I1196*1.1+19))),
IF(L1194="NORMAL",
   IF(I1196&lt;=30,I1196*1.15+2,IF(I1196&lt;=80,I1196*1.15+4,IF(I1196&lt;=150,I1196*1.15+6,I1196*1.15+8))),
IF(L1194="COMPLEMENTO",
   IF(I1196&lt;=25,I1196*1.25+1.5,IF(I1196&lt;=60,I1196*1.25+3,IF(I1196&lt;=120,I1196*1.25+4,I1196*1.25+5))),
""))),2)</f>
        <v>72.3</v>
      </c>
      <c r="I1196" s="9">
        <f>($K$2+0.02)*Tabla1[[#This Row],[PRECIO $]]*1.18</f>
        <v>55.436399999999992</v>
      </c>
      <c r="J1196" s="7">
        <f>+Tabla1[[#This Row],[PRECIO EN SOLES]]-Tabla1[[#This Row],[PC]]</f>
        <v>16.863600000000005</v>
      </c>
      <c r="K1196" s="15"/>
      <c r="L1196" s="15" t="str">
        <f>IF(
OR(
ISNUMBER(SEARCH("BACKPACK",B1198)),
ISNUMBER(SEARCH("MOCHILA",B1198)),
ISNUMBER(SEARCH("FUNDA",B1198)),
ISNUMBER(SEARCH("ESTUCHE",B1198)),
ISNUMBER(SEARCH("BOOK COVER",B1198)),
ISNUMBER(SEARCH("KEYBOARD PARA TABLET",B1198)),
ISNUMBER(SEARCH("FLIP TABLET",B1198)),
ISNUMBER(SEARCH("CASE FOR TABLET",B1198)),
ISNUMBER(SEARCH("CABLE",B1198)),
ISNUMBER(SEARCH("ADAPTADOR",B1198)),
ISNUMBER(SEARCH("HUB",B1198)),
ISNUMBER(SEARCH("DOCK",B1198)),
ISNUMBER(SEARCH("MOUSE PAD",B1198)),
ISNUMBER(SEARCH("MOUSEPAD",B1198)),
ISNUMBER(SEARCH("SOPORTE",B1198)),
ISNUMBER(SEARCH("STAND",B1198)),
ISNUMBER(SEARCH("TRAVEL ADAPTER",B1198)),
ISNUMBER(SEARCH("RJ45",B1198)),
ISNUMBER(SEARCH("USB-C",B1198)),
ISNUMBER(SEARCH("USB WIFI",B1198)),
ISNUMBER(SEARCH("POWERBANK",B1198)),
ISNUMBER(SEARCH("CARGADOR",B1198)),
ISNUMBER(SEARCH("COOLER PARA NB",B1198)),
ISNUMBER(SEARCH("SOPORTE PARA NB",B1198)),
ISNUMBER(SEARCH("WEBCAM",B1198)),
ISNUMBER(SEARCH("WEB CAM",B1198)),
ISNUMBER(SEARCH("MOUSE",B1198)),
ISNUMBER(SEARCH("TECLADO",B1198))
),
"COMPLEMENTO",
IF(
OR(
LEFT(A1198,2)="NB",
LEFT(A1198,2)="PC",
LEFT(A1198,2)="WS",
LEFT(A1198,2)="TB",
LEFT(A1198,3)="CEL",
LEFT(A1198,3)="MON",
LEFT(A1198,3)="PRE",
LEFT(A1198,3)="PRH",
ISNUMBER(SEARCH("NOTEBOOK",B1198)),
ISNUMBER(SEARCH("LAPTOP",B1198)),
ISNUMBER(SEARCH("MONITOR",B1198)),
ISNUMBER(SEARCH("TABLET",B1198)),
ISNUMBER(SEARCH("SMARTPH",B1198)),
ISNUMBER(SEARCH("IMPRESORA",B1198)),
ISNUMBER(SEARCH("MULTIFUNCIONAL",B1198)),
ISNUMBER(SEARCH("AIO",B1198))
),
"GANCHO",
"NORMAL"
)
)</f>
        <v>NORMAL</v>
      </c>
    </row>
    <row r="1197" spans="1:12" x14ac:dyDescent="0.25">
      <c r="A1197" s="3" t="s">
        <v>1963</v>
      </c>
      <c r="B1197" s="3" t="s">
        <v>1964</v>
      </c>
      <c r="C1197" s="1">
        <v>2</v>
      </c>
      <c r="D1197" s="1">
        <v>11.7</v>
      </c>
      <c r="E1197" s="1" t="s">
        <v>58</v>
      </c>
      <c r="F1197" s="1" t="s">
        <v>3763</v>
      </c>
      <c r="G1197" s="3" t="s">
        <v>1965</v>
      </c>
      <c r="H1197" s="11">
        <f>ROUND(
IF(L1195="GANCHO",
   IF(I1197&lt;=50,I1197*1.1+4,IF(I1197&lt;=120,I1197*1.1+7,IF(I1197&lt;=250,I1197*1.1+11,I1197*1.1+19))),
IF(L1195="NORMAL",
   IF(I1197&lt;=30,I1197*1.15+2,IF(I1197&lt;=80,I1197*1.15+4,IF(I1197&lt;=150,I1197*1.15+6,I1197*1.15+8))),
IF(L1195="COMPLEMENTO",
   IF(I1197&lt;=25,I1197*1.25+1.5,IF(I1197&lt;=60,I1197*1.25+3,IF(I1197&lt;=120,I1197*1.25+4,I1197*1.25+5))),
""))),2)</f>
        <v>63.06</v>
      </c>
      <c r="I1197" s="9">
        <f>($K$2+0.02)*Tabla1[[#This Row],[PRECIO $]]*1.18</f>
        <v>48.044879999999992</v>
      </c>
      <c r="J1197" s="7">
        <f>+Tabla1[[#This Row],[PRECIO EN SOLES]]-Tabla1[[#This Row],[PC]]</f>
        <v>15.01512000000001</v>
      </c>
      <c r="K1197" s="15"/>
      <c r="L1197" s="15" t="str">
        <f>IF(
OR(
ISNUMBER(SEARCH("BACKPACK",B1199)),
ISNUMBER(SEARCH("MOCHILA",B1199)),
ISNUMBER(SEARCH("FUNDA",B1199)),
ISNUMBER(SEARCH("ESTUCHE",B1199)),
ISNUMBER(SEARCH("BOOK COVER",B1199)),
ISNUMBER(SEARCH("KEYBOARD PARA TABLET",B1199)),
ISNUMBER(SEARCH("FLIP TABLET",B1199)),
ISNUMBER(SEARCH("CASE FOR TABLET",B1199)),
ISNUMBER(SEARCH("CABLE",B1199)),
ISNUMBER(SEARCH("ADAPTADOR",B1199)),
ISNUMBER(SEARCH("HUB",B1199)),
ISNUMBER(SEARCH("DOCK",B1199)),
ISNUMBER(SEARCH("MOUSE PAD",B1199)),
ISNUMBER(SEARCH("MOUSEPAD",B1199)),
ISNUMBER(SEARCH("SOPORTE",B1199)),
ISNUMBER(SEARCH("STAND",B1199)),
ISNUMBER(SEARCH("TRAVEL ADAPTER",B1199)),
ISNUMBER(SEARCH("RJ45",B1199)),
ISNUMBER(SEARCH("USB-C",B1199)),
ISNUMBER(SEARCH("USB WIFI",B1199)),
ISNUMBER(SEARCH("POWERBANK",B1199)),
ISNUMBER(SEARCH("CARGADOR",B1199)),
ISNUMBER(SEARCH("COOLER PARA NB",B1199)),
ISNUMBER(SEARCH("SOPORTE PARA NB",B1199)),
ISNUMBER(SEARCH("WEBCAM",B1199)),
ISNUMBER(SEARCH("WEB CAM",B1199)),
ISNUMBER(SEARCH("MOUSE",B1199)),
ISNUMBER(SEARCH("TECLADO",B1199))
),
"COMPLEMENTO",
IF(
OR(
LEFT(A1199,2)="NB",
LEFT(A1199,2)="PC",
LEFT(A1199,2)="WS",
LEFT(A1199,2)="TB",
LEFT(A1199,3)="CEL",
LEFT(A1199,3)="MON",
LEFT(A1199,3)="PRE",
LEFT(A1199,3)="PRH",
ISNUMBER(SEARCH("NOTEBOOK",B1199)),
ISNUMBER(SEARCH("LAPTOP",B1199)),
ISNUMBER(SEARCH("MONITOR",B1199)),
ISNUMBER(SEARCH("TABLET",B1199)),
ISNUMBER(SEARCH("SMARTPH",B1199)),
ISNUMBER(SEARCH("IMPRESORA",B1199)),
ISNUMBER(SEARCH("MULTIFUNCIONAL",B1199)),
ISNUMBER(SEARCH("AIO",B1199))
),
"GANCHO",
"NORMAL"
)
)</f>
        <v>COMPLEMENTO</v>
      </c>
    </row>
    <row r="1198" spans="1:12" x14ac:dyDescent="0.25">
      <c r="A1198" s="3" t="s">
        <v>1966</v>
      </c>
      <c r="B1198" s="3" t="s">
        <v>1967</v>
      </c>
      <c r="C1198" s="1">
        <v>10</v>
      </c>
      <c r="D1198" s="1">
        <v>92.2</v>
      </c>
      <c r="E1198" s="1" t="s">
        <v>58</v>
      </c>
      <c r="F1198" s="1" t="s">
        <v>3764</v>
      </c>
      <c r="G1198" s="3" t="s">
        <v>1968</v>
      </c>
      <c r="H1198" s="11">
        <f>ROUND(
IF(L1196="GANCHO",
   IF(I1198&lt;=50,I1198*1.1+4,IF(I1198&lt;=120,I1198*1.1+7,IF(I1198&lt;=250,I1198*1.1+11,I1198*1.1+19))),
IF(L1196="NORMAL",
   IF(I1198&lt;=30,I1198*1.15+2,IF(I1198&lt;=80,I1198*1.15+4,IF(I1198&lt;=150,I1198*1.15+6,I1198*1.15+8))),
IF(L1196="COMPLEMENTO",
   IF(I1198&lt;=25,I1198*1.25+1.5,IF(I1198&lt;=60,I1198*1.25+3,IF(I1198&lt;=120,I1198*1.25+4,I1198*1.25+5))),
""))),2)</f>
        <v>443.4</v>
      </c>
      <c r="I1198" s="9">
        <f>($K$2+0.02)*Tabla1[[#This Row],[PRECIO $]]*1.18</f>
        <v>378.61007999999998</v>
      </c>
      <c r="J1198" s="7">
        <f>+Tabla1[[#This Row],[PRECIO EN SOLES]]-Tabla1[[#This Row],[PC]]</f>
        <v>64.789919999999995</v>
      </c>
      <c r="K1198" s="15"/>
      <c r="L1198" s="15" t="str">
        <f>IF(
OR(
ISNUMBER(SEARCH("BACKPACK",B1200)),
ISNUMBER(SEARCH("MOCHILA",B1200)),
ISNUMBER(SEARCH("FUNDA",B1200)),
ISNUMBER(SEARCH("ESTUCHE",B1200)),
ISNUMBER(SEARCH("BOOK COVER",B1200)),
ISNUMBER(SEARCH("KEYBOARD PARA TABLET",B1200)),
ISNUMBER(SEARCH("FLIP TABLET",B1200)),
ISNUMBER(SEARCH("CASE FOR TABLET",B1200)),
ISNUMBER(SEARCH("CABLE",B1200)),
ISNUMBER(SEARCH("ADAPTADOR",B1200)),
ISNUMBER(SEARCH("HUB",B1200)),
ISNUMBER(SEARCH("DOCK",B1200)),
ISNUMBER(SEARCH("MOUSE PAD",B1200)),
ISNUMBER(SEARCH("MOUSEPAD",B1200)),
ISNUMBER(SEARCH("SOPORTE",B1200)),
ISNUMBER(SEARCH("STAND",B1200)),
ISNUMBER(SEARCH("TRAVEL ADAPTER",B1200)),
ISNUMBER(SEARCH("RJ45",B1200)),
ISNUMBER(SEARCH("USB-C",B1200)),
ISNUMBER(SEARCH("USB WIFI",B1200)),
ISNUMBER(SEARCH("POWERBANK",B1200)),
ISNUMBER(SEARCH("CARGADOR",B1200)),
ISNUMBER(SEARCH("COOLER PARA NB",B1200)),
ISNUMBER(SEARCH("SOPORTE PARA NB",B1200)),
ISNUMBER(SEARCH("WEBCAM",B1200)),
ISNUMBER(SEARCH("WEB CAM",B1200)),
ISNUMBER(SEARCH("MOUSE",B1200)),
ISNUMBER(SEARCH("TECLADO",B1200))
),
"COMPLEMENTO",
IF(
OR(
LEFT(A1200,2)="NB",
LEFT(A1200,2)="PC",
LEFT(A1200,2)="WS",
LEFT(A1200,2)="TB",
LEFT(A1200,3)="CEL",
LEFT(A1200,3)="MON",
LEFT(A1200,3)="PRE",
LEFT(A1200,3)="PRH",
ISNUMBER(SEARCH("NOTEBOOK",B1200)),
ISNUMBER(SEARCH("LAPTOP",B1200)),
ISNUMBER(SEARCH("MONITOR",B1200)),
ISNUMBER(SEARCH("TABLET",B1200)),
ISNUMBER(SEARCH("SMARTPH",B1200)),
ISNUMBER(SEARCH("IMPRESORA",B1200)),
ISNUMBER(SEARCH("MULTIFUNCIONAL",B1200)),
ISNUMBER(SEARCH("AIO",B1200))
),
"GANCHO",
"NORMAL"
)
)</f>
        <v>COMPLEMENTO</v>
      </c>
    </row>
    <row r="1199" spans="1:12" x14ac:dyDescent="0.25">
      <c r="A1199" s="3" t="s">
        <v>1969</v>
      </c>
      <c r="B1199" s="3" t="s">
        <v>1970</v>
      </c>
      <c r="C1199" s="1">
        <v>5</v>
      </c>
      <c r="D1199" s="1">
        <v>58.2</v>
      </c>
      <c r="E1199" s="1" t="s">
        <v>58</v>
      </c>
      <c r="F1199" s="1" t="s">
        <v>3765</v>
      </c>
      <c r="G1199" s="3" t="s">
        <v>1971</v>
      </c>
      <c r="H1199" s="11">
        <f>ROUND(
IF(L1197="GANCHO",
   IF(I1199&lt;=50,I1199*1.1+4,IF(I1199&lt;=120,I1199*1.1+7,IF(I1199&lt;=250,I1199*1.1+11,I1199*1.1+19))),
IF(L1197="NORMAL",
   IF(I1199&lt;=30,I1199*1.15+2,IF(I1199&lt;=80,I1199*1.15+4,IF(I1199&lt;=150,I1199*1.15+6,I1199*1.15+8))),
IF(L1197="COMPLEMENTO",
   IF(I1199&lt;=25,I1199*1.25+1.5,IF(I1199&lt;=60,I1199*1.25+3,IF(I1199&lt;=120,I1199*1.25+4,I1199*1.25+5))),
""))),2)</f>
        <v>303.74</v>
      </c>
      <c r="I1199" s="9">
        <f>($K$2+0.02)*Tabla1[[#This Row],[PRECIO $]]*1.18</f>
        <v>238.99248</v>
      </c>
      <c r="J1199" s="7">
        <f>+Tabla1[[#This Row],[PRECIO EN SOLES]]-Tabla1[[#This Row],[PC]]</f>
        <v>64.747520000000009</v>
      </c>
      <c r="K1199" s="15"/>
      <c r="L1199" s="15" t="str">
        <f>IF(
OR(
ISNUMBER(SEARCH("BACKPACK",B1201)),
ISNUMBER(SEARCH("MOCHILA",B1201)),
ISNUMBER(SEARCH("FUNDA",B1201)),
ISNUMBER(SEARCH("ESTUCHE",B1201)),
ISNUMBER(SEARCH("BOOK COVER",B1201)),
ISNUMBER(SEARCH("KEYBOARD PARA TABLET",B1201)),
ISNUMBER(SEARCH("FLIP TABLET",B1201)),
ISNUMBER(SEARCH("CASE FOR TABLET",B1201)),
ISNUMBER(SEARCH("CABLE",B1201)),
ISNUMBER(SEARCH("ADAPTADOR",B1201)),
ISNUMBER(SEARCH("HUB",B1201)),
ISNUMBER(SEARCH("DOCK",B1201)),
ISNUMBER(SEARCH("MOUSE PAD",B1201)),
ISNUMBER(SEARCH("MOUSEPAD",B1201)),
ISNUMBER(SEARCH("SOPORTE",B1201)),
ISNUMBER(SEARCH("STAND",B1201)),
ISNUMBER(SEARCH("TRAVEL ADAPTER",B1201)),
ISNUMBER(SEARCH("RJ45",B1201)),
ISNUMBER(SEARCH("USB-C",B1201)),
ISNUMBER(SEARCH("USB WIFI",B1201)),
ISNUMBER(SEARCH("POWERBANK",B1201)),
ISNUMBER(SEARCH("CARGADOR",B1201)),
ISNUMBER(SEARCH("COOLER PARA NB",B1201)),
ISNUMBER(SEARCH("SOPORTE PARA NB",B1201)),
ISNUMBER(SEARCH("WEBCAM",B1201)),
ISNUMBER(SEARCH("WEB CAM",B1201)),
ISNUMBER(SEARCH("MOUSE",B1201)),
ISNUMBER(SEARCH("TECLADO",B1201))
),
"COMPLEMENTO",
IF(
OR(
LEFT(A1201,2)="NB",
LEFT(A1201,2)="PC",
LEFT(A1201,2)="WS",
LEFT(A1201,2)="TB",
LEFT(A1201,3)="CEL",
LEFT(A1201,3)="MON",
LEFT(A1201,3)="PRE",
LEFT(A1201,3)="PRH",
ISNUMBER(SEARCH("NOTEBOOK",B1201)),
ISNUMBER(SEARCH("LAPTOP",B1201)),
ISNUMBER(SEARCH("MONITOR",B1201)),
ISNUMBER(SEARCH("TABLET",B1201)),
ISNUMBER(SEARCH("SMARTPH",B1201)),
ISNUMBER(SEARCH("IMPRESORA",B1201)),
ISNUMBER(SEARCH("MULTIFUNCIONAL",B1201)),
ISNUMBER(SEARCH("AIO",B1201))
),
"GANCHO",
"NORMAL"
)
)</f>
        <v>COMPLEMENTO</v>
      </c>
    </row>
    <row r="1200" spans="1:12" x14ac:dyDescent="0.25">
      <c r="A1200" s="3" t="s">
        <v>1972</v>
      </c>
      <c r="B1200" s="3" t="s">
        <v>1973</v>
      </c>
      <c r="C1200" s="1">
        <v>20</v>
      </c>
      <c r="D1200" s="1">
        <v>20</v>
      </c>
      <c r="E1200" s="1" t="s">
        <v>170</v>
      </c>
      <c r="F1200" s="1" t="s">
        <v>3766</v>
      </c>
      <c r="G1200" s="3"/>
      <c r="H1200" s="11">
        <f>ROUND(
IF(L1198="GANCHO",
   IF(I1200&lt;=50,I1200*1.1+4,IF(I1200&lt;=120,I1200*1.1+7,IF(I1200&lt;=250,I1200*1.1+11,I1200*1.1+19))),
IF(L1198="NORMAL",
   IF(I1200&lt;=30,I1200*1.15+2,IF(I1200&lt;=80,I1200*1.15+4,IF(I1200&lt;=150,I1200*1.15+6,I1200*1.15+8))),
IF(L1198="COMPLEMENTO",
   IF(I1200&lt;=25,I1200*1.25+1.5,IF(I1200&lt;=60,I1200*1.25+3,IF(I1200&lt;=120,I1200*1.25+4,I1200*1.25+5))),
""))),2)</f>
        <v>106.66</v>
      </c>
      <c r="I1200" s="9">
        <f>($K$2+0.02)*Tabla1[[#This Row],[PRECIO $]]*1.18</f>
        <v>82.127999999999986</v>
      </c>
      <c r="J1200" s="7">
        <f>+Tabla1[[#This Row],[PRECIO EN SOLES]]-Tabla1[[#This Row],[PC]]</f>
        <v>24.532000000000011</v>
      </c>
      <c r="K1200" s="15"/>
      <c r="L1200" s="15" t="str">
        <f>IF(
OR(
ISNUMBER(SEARCH("BACKPACK",B1202)),
ISNUMBER(SEARCH("MOCHILA",B1202)),
ISNUMBER(SEARCH("FUNDA",B1202)),
ISNUMBER(SEARCH("ESTUCHE",B1202)),
ISNUMBER(SEARCH("BOOK COVER",B1202)),
ISNUMBER(SEARCH("KEYBOARD PARA TABLET",B1202)),
ISNUMBER(SEARCH("FLIP TABLET",B1202)),
ISNUMBER(SEARCH("CASE FOR TABLET",B1202)),
ISNUMBER(SEARCH("CABLE",B1202)),
ISNUMBER(SEARCH("ADAPTADOR",B1202)),
ISNUMBER(SEARCH("HUB",B1202)),
ISNUMBER(SEARCH("DOCK",B1202)),
ISNUMBER(SEARCH("MOUSE PAD",B1202)),
ISNUMBER(SEARCH("MOUSEPAD",B1202)),
ISNUMBER(SEARCH("SOPORTE",B1202)),
ISNUMBER(SEARCH("STAND",B1202)),
ISNUMBER(SEARCH("TRAVEL ADAPTER",B1202)),
ISNUMBER(SEARCH("RJ45",B1202)),
ISNUMBER(SEARCH("USB-C",B1202)),
ISNUMBER(SEARCH("USB WIFI",B1202)),
ISNUMBER(SEARCH("POWERBANK",B1202)),
ISNUMBER(SEARCH("CARGADOR",B1202)),
ISNUMBER(SEARCH("COOLER PARA NB",B1202)),
ISNUMBER(SEARCH("SOPORTE PARA NB",B1202)),
ISNUMBER(SEARCH("WEBCAM",B1202)),
ISNUMBER(SEARCH("WEB CAM",B1202)),
ISNUMBER(SEARCH("MOUSE",B1202)),
ISNUMBER(SEARCH("TECLADO",B1202))
),
"COMPLEMENTO",
IF(
OR(
LEFT(A1202,2)="NB",
LEFT(A1202,2)="PC",
LEFT(A1202,2)="WS",
LEFT(A1202,2)="TB",
LEFT(A1202,3)="CEL",
LEFT(A1202,3)="MON",
LEFT(A1202,3)="PRE",
LEFT(A1202,3)="PRH",
ISNUMBER(SEARCH("NOTEBOOK",B1202)),
ISNUMBER(SEARCH("LAPTOP",B1202)),
ISNUMBER(SEARCH("MONITOR",B1202)),
ISNUMBER(SEARCH("TABLET",B1202)),
ISNUMBER(SEARCH("SMARTPH",B1202)),
ISNUMBER(SEARCH("IMPRESORA",B1202)),
ISNUMBER(SEARCH("MULTIFUNCIONAL",B1202)),
ISNUMBER(SEARCH("AIO",B1202))
),
"GANCHO",
"NORMAL"
)
)</f>
        <v>NORMAL</v>
      </c>
    </row>
    <row r="1201" spans="1:12" x14ac:dyDescent="0.25">
      <c r="A1201" s="3" t="s">
        <v>1974</v>
      </c>
      <c r="B1201" s="3" t="s">
        <v>1975</v>
      </c>
      <c r="C1201" s="1">
        <v>20</v>
      </c>
      <c r="D1201" s="1">
        <v>23.7</v>
      </c>
      <c r="E1201" s="1" t="s">
        <v>837</v>
      </c>
      <c r="F1201" s="1" t="s">
        <v>3768</v>
      </c>
      <c r="G1201" s="3" t="s">
        <v>1976</v>
      </c>
      <c r="H1201" s="11">
        <f>ROUND(
IF(L1199="GANCHO",
   IF(I1201&lt;=50,I1201*1.1+4,IF(I1201&lt;=120,I1201*1.1+7,IF(I1201&lt;=250,I1201*1.1+11,I1201*1.1+19))),
IF(L1199="NORMAL",
   IF(I1201&lt;=30,I1201*1.15+2,IF(I1201&lt;=80,I1201*1.15+4,IF(I1201&lt;=150,I1201*1.15+6,I1201*1.15+8))),
IF(L1199="COMPLEMENTO",
   IF(I1201&lt;=25,I1201*1.25+1.5,IF(I1201&lt;=60,I1201*1.25+3,IF(I1201&lt;=120,I1201*1.25+4,I1201*1.25+5))),
""))),2)</f>
        <v>125.65</v>
      </c>
      <c r="I1201" s="9">
        <f>($K$2+0.02)*Tabla1[[#This Row],[PRECIO $]]*1.18</f>
        <v>97.321680000000001</v>
      </c>
      <c r="J1201" s="7">
        <f>+Tabla1[[#This Row],[PRECIO EN SOLES]]-Tabla1[[#This Row],[PC]]</f>
        <v>28.328320000000005</v>
      </c>
      <c r="K1201" s="15"/>
      <c r="L1201" s="15" t="str">
        <f>IF(
OR(
ISNUMBER(SEARCH("BACKPACK",B1203)),
ISNUMBER(SEARCH("MOCHILA",B1203)),
ISNUMBER(SEARCH("FUNDA",B1203)),
ISNUMBER(SEARCH("ESTUCHE",B1203)),
ISNUMBER(SEARCH("BOOK COVER",B1203)),
ISNUMBER(SEARCH("KEYBOARD PARA TABLET",B1203)),
ISNUMBER(SEARCH("FLIP TABLET",B1203)),
ISNUMBER(SEARCH("CASE FOR TABLET",B1203)),
ISNUMBER(SEARCH("CABLE",B1203)),
ISNUMBER(SEARCH("ADAPTADOR",B1203)),
ISNUMBER(SEARCH("HUB",B1203)),
ISNUMBER(SEARCH("DOCK",B1203)),
ISNUMBER(SEARCH("MOUSE PAD",B1203)),
ISNUMBER(SEARCH("MOUSEPAD",B1203)),
ISNUMBER(SEARCH("SOPORTE",B1203)),
ISNUMBER(SEARCH("STAND",B1203)),
ISNUMBER(SEARCH("TRAVEL ADAPTER",B1203)),
ISNUMBER(SEARCH("RJ45",B1203)),
ISNUMBER(SEARCH("USB-C",B1203)),
ISNUMBER(SEARCH("USB WIFI",B1203)),
ISNUMBER(SEARCH("POWERBANK",B1203)),
ISNUMBER(SEARCH("CARGADOR",B1203)),
ISNUMBER(SEARCH("COOLER PARA NB",B1203)),
ISNUMBER(SEARCH("SOPORTE PARA NB",B1203)),
ISNUMBER(SEARCH("WEBCAM",B1203)),
ISNUMBER(SEARCH("WEB CAM",B1203)),
ISNUMBER(SEARCH("MOUSE",B1203)),
ISNUMBER(SEARCH("TECLADO",B1203))
),
"COMPLEMENTO",
IF(
OR(
LEFT(A1203,2)="NB",
LEFT(A1203,2)="PC",
LEFT(A1203,2)="WS",
LEFT(A1203,2)="TB",
LEFT(A1203,3)="CEL",
LEFT(A1203,3)="MON",
LEFT(A1203,3)="PRE",
LEFT(A1203,3)="PRH",
ISNUMBER(SEARCH("NOTEBOOK",B1203)),
ISNUMBER(SEARCH("LAPTOP",B1203)),
ISNUMBER(SEARCH("MONITOR",B1203)),
ISNUMBER(SEARCH("TABLET",B1203)),
ISNUMBER(SEARCH("SMARTPH",B1203)),
ISNUMBER(SEARCH("IMPRESORA",B1203)),
ISNUMBER(SEARCH("MULTIFUNCIONAL",B1203)),
ISNUMBER(SEARCH("AIO",B1203))
),
"GANCHO",
"NORMAL"
)
)</f>
        <v>COMPLEMENTO</v>
      </c>
    </row>
    <row r="1202" spans="1:12" x14ac:dyDescent="0.25">
      <c r="A1202" s="3" t="s">
        <v>1977</v>
      </c>
      <c r="B1202" s="3" t="s">
        <v>1978</v>
      </c>
      <c r="C1202" s="1">
        <v>20</v>
      </c>
      <c r="D1202" s="1">
        <v>44.1</v>
      </c>
      <c r="E1202" s="1" t="s">
        <v>74</v>
      </c>
      <c r="F1202" s="1" t="s">
        <v>3769</v>
      </c>
      <c r="G1202" s="3" t="s">
        <v>1979</v>
      </c>
      <c r="H1202" s="11">
        <f>ROUND(
IF(L1200="GANCHO",
   IF(I1202&lt;=50,I1202*1.1+4,IF(I1202&lt;=120,I1202*1.1+7,IF(I1202&lt;=250,I1202*1.1+11,I1202*1.1+19))),
IF(L1200="NORMAL",
   IF(I1202&lt;=30,I1202*1.15+2,IF(I1202&lt;=80,I1202*1.15+4,IF(I1202&lt;=150,I1202*1.15+6,I1202*1.15+8))),
IF(L1200="COMPLEMENTO",
   IF(I1202&lt;=25,I1202*1.25+1.5,IF(I1202&lt;=60,I1202*1.25+3,IF(I1202&lt;=120,I1202*1.25+4,I1202*1.25+5))),
""))),2)</f>
        <v>216.26</v>
      </c>
      <c r="I1202" s="9">
        <f>($K$2+0.02)*Tabla1[[#This Row],[PRECIO $]]*1.18</f>
        <v>181.09224</v>
      </c>
      <c r="J1202" s="7">
        <f>+Tabla1[[#This Row],[PRECIO EN SOLES]]-Tabla1[[#This Row],[PC]]</f>
        <v>35.167759999999987</v>
      </c>
      <c r="K1202" s="15"/>
      <c r="L1202" s="15" t="str">
        <f>IF(
OR(
ISNUMBER(SEARCH("BACKPACK",B1204)),
ISNUMBER(SEARCH("MOCHILA",B1204)),
ISNUMBER(SEARCH("FUNDA",B1204)),
ISNUMBER(SEARCH("ESTUCHE",B1204)),
ISNUMBER(SEARCH("BOOK COVER",B1204)),
ISNUMBER(SEARCH("KEYBOARD PARA TABLET",B1204)),
ISNUMBER(SEARCH("FLIP TABLET",B1204)),
ISNUMBER(SEARCH("CASE FOR TABLET",B1204)),
ISNUMBER(SEARCH("CABLE",B1204)),
ISNUMBER(SEARCH("ADAPTADOR",B1204)),
ISNUMBER(SEARCH("HUB",B1204)),
ISNUMBER(SEARCH("DOCK",B1204)),
ISNUMBER(SEARCH("MOUSE PAD",B1204)),
ISNUMBER(SEARCH("MOUSEPAD",B1204)),
ISNUMBER(SEARCH("SOPORTE",B1204)),
ISNUMBER(SEARCH("STAND",B1204)),
ISNUMBER(SEARCH("TRAVEL ADAPTER",B1204)),
ISNUMBER(SEARCH("RJ45",B1204)),
ISNUMBER(SEARCH("USB-C",B1204)),
ISNUMBER(SEARCH("USB WIFI",B1204)),
ISNUMBER(SEARCH("POWERBANK",B1204)),
ISNUMBER(SEARCH("CARGADOR",B1204)),
ISNUMBER(SEARCH("COOLER PARA NB",B1204)),
ISNUMBER(SEARCH("SOPORTE PARA NB",B1204)),
ISNUMBER(SEARCH("WEBCAM",B1204)),
ISNUMBER(SEARCH("WEB CAM",B1204)),
ISNUMBER(SEARCH("MOUSE",B1204)),
ISNUMBER(SEARCH("TECLADO",B1204))
),
"COMPLEMENTO",
IF(
OR(
LEFT(A1204,2)="NB",
LEFT(A1204,2)="PC",
LEFT(A1204,2)="WS",
LEFT(A1204,2)="TB",
LEFT(A1204,3)="CEL",
LEFT(A1204,3)="MON",
LEFT(A1204,3)="PRE",
LEFT(A1204,3)="PRH",
ISNUMBER(SEARCH("NOTEBOOK",B1204)),
ISNUMBER(SEARCH("LAPTOP",B1204)),
ISNUMBER(SEARCH("MONITOR",B1204)),
ISNUMBER(SEARCH("TABLET",B1204)),
ISNUMBER(SEARCH("SMARTPH",B1204)),
ISNUMBER(SEARCH("IMPRESORA",B1204)),
ISNUMBER(SEARCH("MULTIFUNCIONAL",B1204)),
ISNUMBER(SEARCH("AIO",B1204))
),
"GANCHO",
"NORMAL"
)
)</f>
        <v>COMPLEMENTO</v>
      </c>
    </row>
    <row r="1203" spans="1:12" x14ac:dyDescent="0.25">
      <c r="A1203" s="3" t="s">
        <v>1980</v>
      </c>
      <c r="B1203" s="3" t="s">
        <v>1981</v>
      </c>
      <c r="C1203" s="1">
        <v>0</v>
      </c>
      <c r="D1203" s="1">
        <v>9999</v>
      </c>
      <c r="E1203" s="1" t="s">
        <v>910</v>
      </c>
      <c r="F1203" s="1" t="s">
        <v>3770</v>
      </c>
      <c r="G1203" s="3"/>
      <c r="H1203" s="11">
        <f>ROUND(
IF(L1201="GANCHO",
   IF(I1203&lt;=50,I1203*1.1+4,IF(I1203&lt;=120,I1203*1.1+7,IF(I1203&lt;=250,I1203*1.1+11,I1203*1.1+19))),
IF(L1201="NORMAL",
   IF(I1203&lt;=30,I1203*1.15+2,IF(I1203&lt;=80,I1203*1.15+4,IF(I1203&lt;=150,I1203*1.15+6,I1203*1.15+8))),
IF(L1201="COMPLEMENTO",
   IF(I1203&lt;=25,I1203*1.25+1.5,IF(I1203&lt;=60,I1203*1.25+3,IF(I1203&lt;=120,I1203*1.25+4,I1203*1.25+5))),
""))),2)</f>
        <v>51329.87</v>
      </c>
      <c r="I1203" s="9">
        <f>($K$2+0.02)*Tabla1[[#This Row],[PRECIO $]]*1.18</f>
        <v>41059.893599999996</v>
      </c>
      <c r="J1203" s="7">
        <f>+Tabla1[[#This Row],[PRECIO EN SOLES]]-Tabla1[[#This Row],[PC]]</f>
        <v>10269.976400000007</v>
      </c>
      <c r="K1203" s="15"/>
      <c r="L1203" s="15" t="str">
        <f>IF(
OR(
ISNUMBER(SEARCH("BACKPACK",B1205)),
ISNUMBER(SEARCH("MOCHILA",B1205)),
ISNUMBER(SEARCH("FUNDA",B1205)),
ISNUMBER(SEARCH("ESTUCHE",B1205)),
ISNUMBER(SEARCH("BOOK COVER",B1205)),
ISNUMBER(SEARCH("KEYBOARD PARA TABLET",B1205)),
ISNUMBER(SEARCH("FLIP TABLET",B1205)),
ISNUMBER(SEARCH("CASE FOR TABLET",B1205)),
ISNUMBER(SEARCH("CABLE",B1205)),
ISNUMBER(SEARCH("ADAPTADOR",B1205)),
ISNUMBER(SEARCH("HUB",B1205)),
ISNUMBER(SEARCH("DOCK",B1205)),
ISNUMBER(SEARCH("MOUSE PAD",B1205)),
ISNUMBER(SEARCH("MOUSEPAD",B1205)),
ISNUMBER(SEARCH("SOPORTE",B1205)),
ISNUMBER(SEARCH("STAND",B1205)),
ISNUMBER(SEARCH("TRAVEL ADAPTER",B1205)),
ISNUMBER(SEARCH("RJ45",B1205)),
ISNUMBER(SEARCH("USB-C",B1205)),
ISNUMBER(SEARCH("USB WIFI",B1205)),
ISNUMBER(SEARCH("POWERBANK",B1205)),
ISNUMBER(SEARCH("CARGADOR",B1205)),
ISNUMBER(SEARCH("COOLER PARA NB",B1205)),
ISNUMBER(SEARCH("SOPORTE PARA NB",B1205)),
ISNUMBER(SEARCH("WEBCAM",B1205)),
ISNUMBER(SEARCH("WEB CAM",B1205)),
ISNUMBER(SEARCH("MOUSE",B1205)),
ISNUMBER(SEARCH("TECLADO",B1205))
),
"COMPLEMENTO",
IF(
OR(
LEFT(A1205,2)="NB",
LEFT(A1205,2)="PC",
LEFT(A1205,2)="WS",
LEFT(A1205,2)="TB",
LEFT(A1205,3)="CEL",
LEFT(A1205,3)="MON",
LEFT(A1205,3)="PRE",
LEFT(A1205,3)="PRH",
ISNUMBER(SEARCH("NOTEBOOK",B1205)),
ISNUMBER(SEARCH("LAPTOP",B1205)),
ISNUMBER(SEARCH("MONITOR",B1205)),
ISNUMBER(SEARCH("TABLET",B1205)),
ISNUMBER(SEARCH("SMARTPH",B1205)),
ISNUMBER(SEARCH("IMPRESORA",B1205)),
ISNUMBER(SEARCH("MULTIFUNCIONAL",B1205)),
ISNUMBER(SEARCH("AIO",B1205))
),
"GANCHO",
"NORMAL"
)
)</f>
        <v>COMPLEMENTO</v>
      </c>
    </row>
    <row r="1204" spans="1:12" x14ac:dyDescent="0.25">
      <c r="A1204" s="3" t="s">
        <v>1982</v>
      </c>
      <c r="B1204" s="3" t="s">
        <v>1983</v>
      </c>
      <c r="C1204" s="1">
        <v>0</v>
      </c>
      <c r="D1204" s="1">
        <v>99</v>
      </c>
      <c r="E1204" s="1" t="s">
        <v>148</v>
      </c>
      <c r="F1204" s="1" t="s">
        <v>3771</v>
      </c>
      <c r="G1204" s="3"/>
      <c r="H1204" s="11">
        <f>ROUND(
IF(L1202="GANCHO",
   IF(I1204&lt;=50,I1204*1.1+4,IF(I1204&lt;=120,I1204*1.1+7,IF(I1204&lt;=250,I1204*1.1+11,I1204*1.1+19))),
IF(L1202="NORMAL",
   IF(I1204&lt;=30,I1204*1.15+2,IF(I1204&lt;=80,I1204*1.15+4,IF(I1204&lt;=150,I1204*1.15+6,I1204*1.15+8))),
IF(L1202="COMPLEMENTO",
   IF(I1204&lt;=25,I1204*1.25+1.5,IF(I1204&lt;=60,I1204*1.25+3,IF(I1204&lt;=120,I1204*1.25+4,I1204*1.25+5))),
""))),2)</f>
        <v>513.16999999999996</v>
      </c>
      <c r="I1204" s="9">
        <f>($K$2+0.02)*Tabla1[[#This Row],[PRECIO $]]*1.18</f>
        <v>406.53359999999998</v>
      </c>
      <c r="J1204" s="7">
        <f>+Tabla1[[#This Row],[PRECIO EN SOLES]]-Tabla1[[#This Row],[PC]]</f>
        <v>106.63639999999998</v>
      </c>
      <c r="K1204" s="15"/>
      <c r="L1204" s="15" t="str">
        <f>IF(
OR(
ISNUMBER(SEARCH("BACKPACK",B1206)),
ISNUMBER(SEARCH("MOCHILA",B1206)),
ISNUMBER(SEARCH("FUNDA",B1206)),
ISNUMBER(SEARCH("ESTUCHE",B1206)),
ISNUMBER(SEARCH("BOOK COVER",B1206)),
ISNUMBER(SEARCH("KEYBOARD PARA TABLET",B1206)),
ISNUMBER(SEARCH("FLIP TABLET",B1206)),
ISNUMBER(SEARCH("CASE FOR TABLET",B1206)),
ISNUMBER(SEARCH("CABLE",B1206)),
ISNUMBER(SEARCH("ADAPTADOR",B1206)),
ISNUMBER(SEARCH("HUB",B1206)),
ISNUMBER(SEARCH("DOCK",B1206)),
ISNUMBER(SEARCH("MOUSE PAD",B1206)),
ISNUMBER(SEARCH("MOUSEPAD",B1206)),
ISNUMBER(SEARCH("SOPORTE",B1206)),
ISNUMBER(SEARCH("STAND",B1206)),
ISNUMBER(SEARCH("TRAVEL ADAPTER",B1206)),
ISNUMBER(SEARCH("RJ45",B1206)),
ISNUMBER(SEARCH("USB-C",B1206)),
ISNUMBER(SEARCH("USB WIFI",B1206)),
ISNUMBER(SEARCH("POWERBANK",B1206)),
ISNUMBER(SEARCH("CARGADOR",B1206)),
ISNUMBER(SEARCH("COOLER PARA NB",B1206)),
ISNUMBER(SEARCH("SOPORTE PARA NB",B1206)),
ISNUMBER(SEARCH("WEBCAM",B1206)),
ISNUMBER(SEARCH("WEB CAM",B1206)),
ISNUMBER(SEARCH("MOUSE",B1206)),
ISNUMBER(SEARCH("TECLADO",B1206))
),
"COMPLEMENTO",
IF(
OR(
LEFT(A1206,2)="NB",
LEFT(A1206,2)="PC",
LEFT(A1206,2)="WS",
LEFT(A1206,2)="TB",
LEFT(A1206,3)="CEL",
LEFT(A1206,3)="MON",
LEFT(A1206,3)="PRE",
LEFT(A1206,3)="PRH",
ISNUMBER(SEARCH("NOTEBOOK",B1206)),
ISNUMBER(SEARCH("LAPTOP",B1206)),
ISNUMBER(SEARCH("MONITOR",B1206)),
ISNUMBER(SEARCH("TABLET",B1206)),
ISNUMBER(SEARCH("SMARTPH",B1206)),
ISNUMBER(SEARCH("IMPRESORA",B1206)),
ISNUMBER(SEARCH("MULTIFUNCIONAL",B1206)),
ISNUMBER(SEARCH("AIO",B1206))
),
"GANCHO",
"NORMAL"
)
)</f>
        <v>COMPLEMENTO</v>
      </c>
    </row>
    <row r="1205" spans="1:12" x14ac:dyDescent="0.25">
      <c r="A1205" s="3" t="s">
        <v>1984</v>
      </c>
      <c r="B1205" s="3" t="s">
        <v>1981</v>
      </c>
      <c r="C1205" s="1">
        <v>0</v>
      </c>
      <c r="D1205" s="1">
        <v>9999</v>
      </c>
      <c r="E1205" s="1" t="s">
        <v>56</v>
      </c>
      <c r="F1205" s="1" t="s">
        <v>3772</v>
      </c>
      <c r="G1205" s="3"/>
      <c r="H1205" s="11">
        <f>ROUND(
IF(L1203="GANCHO",
   IF(I1205&lt;=50,I1205*1.1+4,IF(I1205&lt;=120,I1205*1.1+7,IF(I1205&lt;=250,I1205*1.1+11,I1205*1.1+19))),
IF(L1203="NORMAL",
   IF(I1205&lt;=30,I1205*1.15+2,IF(I1205&lt;=80,I1205*1.15+4,IF(I1205&lt;=150,I1205*1.15+6,I1205*1.15+8))),
IF(L1203="COMPLEMENTO",
   IF(I1205&lt;=25,I1205*1.25+1.5,IF(I1205&lt;=60,I1205*1.25+3,IF(I1205&lt;=120,I1205*1.25+4,I1205*1.25+5))),
""))),2)</f>
        <v>51329.87</v>
      </c>
      <c r="I1205" s="9">
        <f>($K$2+0.02)*Tabla1[[#This Row],[PRECIO $]]*1.18</f>
        <v>41059.893599999996</v>
      </c>
      <c r="J1205" s="7">
        <f>+Tabla1[[#This Row],[PRECIO EN SOLES]]-Tabla1[[#This Row],[PC]]</f>
        <v>10269.976400000007</v>
      </c>
      <c r="K1205" s="15"/>
      <c r="L1205" s="15" t="str">
        <f>IF(
OR(
ISNUMBER(SEARCH("BACKPACK",B1207)),
ISNUMBER(SEARCH("MOCHILA",B1207)),
ISNUMBER(SEARCH("FUNDA",B1207)),
ISNUMBER(SEARCH("ESTUCHE",B1207)),
ISNUMBER(SEARCH("BOOK COVER",B1207)),
ISNUMBER(SEARCH("KEYBOARD PARA TABLET",B1207)),
ISNUMBER(SEARCH("FLIP TABLET",B1207)),
ISNUMBER(SEARCH("CASE FOR TABLET",B1207)),
ISNUMBER(SEARCH("CABLE",B1207)),
ISNUMBER(SEARCH("ADAPTADOR",B1207)),
ISNUMBER(SEARCH("HUB",B1207)),
ISNUMBER(SEARCH("DOCK",B1207)),
ISNUMBER(SEARCH("MOUSE PAD",B1207)),
ISNUMBER(SEARCH("MOUSEPAD",B1207)),
ISNUMBER(SEARCH("SOPORTE",B1207)),
ISNUMBER(SEARCH("STAND",B1207)),
ISNUMBER(SEARCH("TRAVEL ADAPTER",B1207)),
ISNUMBER(SEARCH("RJ45",B1207)),
ISNUMBER(SEARCH("USB-C",B1207)),
ISNUMBER(SEARCH("USB WIFI",B1207)),
ISNUMBER(SEARCH("POWERBANK",B1207)),
ISNUMBER(SEARCH("CARGADOR",B1207)),
ISNUMBER(SEARCH("COOLER PARA NB",B1207)),
ISNUMBER(SEARCH("SOPORTE PARA NB",B1207)),
ISNUMBER(SEARCH("WEBCAM",B1207)),
ISNUMBER(SEARCH("WEB CAM",B1207)),
ISNUMBER(SEARCH("MOUSE",B1207)),
ISNUMBER(SEARCH("TECLADO",B1207))
),
"COMPLEMENTO",
IF(
OR(
LEFT(A1207,2)="NB",
LEFT(A1207,2)="PC",
LEFT(A1207,2)="WS",
LEFT(A1207,2)="TB",
LEFT(A1207,3)="CEL",
LEFT(A1207,3)="MON",
LEFT(A1207,3)="PRE",
LEFT(A1207,3)="PRH",
ISNUMBER(SEARCH("NOTEBOOK",B1207)),
ISNUMBER(SEARCH("LAPTOP",B1207)),
ISNUMBER(SEARCH("MONITOR",B1207)),
ISNUMBER(SEARCH("TABLET",B1207)),
ISNUMBER(SEARCH("SMARTPH",B1207)),
ISNUMBER(SEARCH("IMPRESORA",B1207)),
ISNUMBER(SEARCH("MULTIFUNCIONAL",B1207)),
ISNUMBER(SEARCH("AIO",B1207))
),
"GANCHO",
"NORMAL"
)
)</f>
        <v>GANCHO</v>
      </c>
    </row>
    <row r="1206" spans="1:12" x14ac:dyDescent="0.25">
      <c r="A1206" s="3" t="s">
        <v>4661</v>
      </c>
      <c r="B1206" s="3" t="s">
        <v>4662</v>
      </c>
      <c r="C1206" s="1">
        <v>0</v>
      </c>
      <c r="D1206" s="1">
        <v>999</v>
      </c>
      <c r="E1206" s="1" t="s">
        <v>186</v>
      </c>
      <c r="F1206" s="1" t="s">
        <v>4663</v>
      </c>
      <c r="G1206" s="3"/>
      <c r="H1206" s="11">
        <f>ROUND(
IF(L1204="GANCHO",
   IF(I1206&lt;=50,I1206*1.1+4,IF(I1206&lt;=120,I1206*1.1+7,IF(I1206&lt;=250,I1206*1.1+11,I1206*1.1+19))),
IF(L1204="NORMAL",
   IF(I1206&lt;=30,I1206*1.15+2,IF(I1206&lt;=80,I1206*1.15+4,IF(I1206&lt;=150,I1206*1.15+6,I1206*1.15+8))),
IF(L1204="COMPLEMENTO",
   IF(I1206&lt;=25,I1206*1.25+1.5,IF(I1206&lt;=60,I1206*1.25+3,IF(I1206&lt;=120,I1206*1.25+4,I1206*1.25+5))),
""))),2)</f>
        <v>5132.87</v>
      </c>
      <c r="I1206" s="9">
        <f>($K$2+0.02)*Tabla1[[#This Row],[PRECIO $]]*1.18</f>
        <v>4102.2936</v>
      </c>
      <c r="J1206" s="7">
        <f>+Tabla1[[#This Row],[PRECIO EN SOLES]]-Tabla1[[#This Row],[PC]]</f>
        <v>1030.5763999999999</v>
      </c>
      <c r="K1206" s="15"/>
      <c r="L1206" s="15" t="str">
        <f>IF(
OR(
ISNUMBER(SEARCH("BACKPACK",B1208)),
ISNUMBER(SEARCH("MOCHILA",B1208)),
ISNUMBER(SEARCH("FUNDA",B1208)),
ISNUMBER(SEARCH("ESTUCHE",B1208)),
ISNUMBER(SEARCH("BOOK COVER",B1208)),
ISNUMBER(SEARCH("KEYBOARD PARA TABLET",B1208)),
ISNUMBER(SEARCH("FLIP TABLET",B1208)),
ISNUMBER(SEARCH("CASE FOR TABLET",B1208)),
ISNUMBER(SEARCH("CABLE",B1208)),
ISNUMBER(SEARCH("ADAPTADOR",B1208)),
ISNUMBER(SEARCH("HUB",B1208)),
ISNUMBER(SEARCH("DOCK",B1208)),
ISNUMBER(SEARCH("MOUSE PAD",B1208)),
ISNUMBER(SEARCH("MOUSEPAD",B1208)),
ISNUMBER(SEARCH("SOPORTE",B1208)),
ISNUMBER(SEARCH("STAND",B1208)),
ISNUMBER(SEARCH("TRAVEL ADAPTER",B1208)),
ISNUMBER(SEARCH("RJ45",B1208)),
ISNUMBER(SEARCH("USB-C",B1208)),
ISNUMBER(SEARCH("USB WIFI",B1208)),
ISNUMBER(SEARCH("POWERBANK",B1208)),
ISNUMBER(SEARCH("CARGADOR",B1208)),
ISNUMBER(SEARCH("COOLER PARA NB",B1208)),
ISNUMBER(SEARCH("SOPORTE PARA NB",B1208)),
ISNUMBER(SEARCH("WEBCAM",B1208)),
ISNUMBER(SEARCH("WEB CAM",B1208)),
ISNUMBER(SEARCH("MOUSE",B1208)),
ISNUMBER(SEARCH("TECLADO",B1208))
),
"COMPLEMENTO",
IF(
OR(
LEFT(A1208,2)="NB",
LEFT(A1208,2)="PC",
LEFT(A1208,2)="WS",
LEFT(A1208,2)="TB",
LEFT(A1208,3)="CEL",
LEFT(A1208,3)="MON",
LEFT(A1208,3)="PRE",
LEFT(A1208,3)="PRH",
ISNUMBER(SEARCH("NOTEBOOK",B1208)),
ISNUMBER(SEARCH("LAPTOP",B1208)),
ISNUMBER(SEARCH("MONITOR",B1208)),
ISNUMBER(SEARCH("TABLET",B1208)),
ISNUMBER(SEARCH("SMARTPH",B1208)),
ISNUMBER(SEARCH("IMPRESORA",B1208)),
ISNUMBER(SEARCH("MULTIFUNCIONAL",B1208)),
ISNUMBER(SEARCH("AIO",B1208))
),
"GANCHO",
"NORMAL"
)
)</f>
        <v>NORMAL</v>
      </c>
    </row>
    <row r="1207" spans="1:12" x14ac:dyDescent="0.25">
      <c r="A1207" s="3" t="s">
        <v>4449</v>
      </c>
      <c r="B1207" s="3" t="s">
        <v>4450</v>
      </c>
      <c r="C1207" s="1">
        <v>8</v>
      </c>
      <c r="D1207" s="1">
        <v>485</v>
      </c>
      <c r="E1207" s="1" t="s">
        <v>52</v>
      </c>
      <c r="F1207" s="1" t="s">
        <v>4451</v>
      </c>
      <c r="G1207" s="3" t="s">
        <v>4452</v>
      </c>
      <c r="H1207" s="11">
        <f>ROUND(
IF(L1205="GANCHO",
   IF(I1207&lt;=50,I1207*1.1+4,IF(I1207&lt;=120,I1207*1.1+7,IF(I1207&lt;=250,I1207*1.1+11,I1207*1.1+19))),
IF(L1205="NORMAL",
   IF(I1207&lt;=30,I1207*1.15+2,IF(I1207&lt;=80,I1207*1.15+4,IF(I1207&lt;=150,I1207*1.15+6,I1207*1.15+8))),
IF(L1205="COMPLEMENTO",
   IF(I1207&lt;=25,I1207*1.25+1.5,IF(I1207&lt;=60,I1207*1.25+3,IF(I1207&lt;=120,I1207*1.25+4,I1207*1.25+5))),
""))),2)</f>
        <v>2209.7600000000002</v>
      </c>
      <c r="I1207" s="9">
        <f>($K$2+0.02)*Tabla1[[#This Row],[PRECIO $]]*1.18</f>
        <v>1991.6039999999998</v>
      </c>
      <c r="J1207" s="7">
        <f>+Tabla1[[#This Row],[PRECIO EN SOLES]]-Tabla1[[#This Row],[PC]]</f>
        <v>218.1560000000004</v>
      </c>
      <c r="K1207" s="15"/>
      <c r="L1207" s="15" t="str">
        <f>IF(
OR(
ISNUMBER(SEARCH("BACKPACK",B1209)),
ISNUMBER(SEARCH("MOCHILA",B1209)),
ISNUMBER(SEARCH("FUNDA",B1209)),
ISNUMBER(SEARCH("ESTUCHE",B1209)),
ISNUMBER(SEARCH("BOOK COVER",B1209)),
ISNUMBER(SEARCH("KEYBOARD PARA TABLET",B1209)),
ISNUMBER(SEARCH("FLIP TABLET",B1209)),
ISNUMBER(SEARCH("CASE FOR TABLET",B1209)),
ISNUMBER(SEARCH("CABLE",B1209)),
ISNUMBER(SEARCH("ADAPTADOR",B1209)),
ISNUMBER(SEARCH("HUB",B1209)),
ISNUMBER(SEARCH("DOCK",B1209)),
ISNUMBER(SEARCH("MOUSE PAD",B1209)),
ISNUMBER(SEARCH("MOUSEPAD",B1209)),
ISNUMBER(SEARCH("SOPORTE",B1209)),
ISNUMBER(SEARCH("STAND",B1209)),
ISNUMBER(SEARCH("TRAVEL ADAPTER",B1209)),
ISNUMBER(SEARCH("RJ45",B1209)),
ISNUMBER(SEARCH("USB-C",B1209)),
ISNUMBER(SEARCH("USB WIFI",B1209)),
ISNUMBER(SEARCH("POWERBANK",B1209)),
ISNUMBER(SEARCH("CARGADOR",B1209)),
ISNUMBER(SEARCH("COOLER PARA NB",B1209)),
ISNUMBER(SEARCH("SOPORTE PARA NB",B1209)),
ISNUMBER(SEARCH("WEBCAM",B1209)),
ISNUMBER(SEARCH("WEB CAM",B1209)),
ISNUMBER(SEARCH("MOUSE",B1209)),
ISNUMBER(SEARCH("TECLADO",B1209))
),
"COMPLEMENTO",
IF(
OR(
LEFT(A1209,2)="NB",
LEFT(A1209,2)="PC",
LEFT(A1209,2)="WS",
LEFT(A1209,2)="TB",
LEFT(A1209,3)="CEL",
LEFT(A1209,3)="MON",
LEFT(A1209,3)="PRE",
LEFT(A1209,3)="PRH",
ISNUMBER(SEARCH("NOTEBOOK",B1209)),
ISNUMBER(SEARCH("LAPTOP",B1209)),
ISNUMBER(SEARCH("MONITOR",B1209)),
ISNUMBER(SEARCH("TABLET",B1209)),
ISNUMBER(SEARCH("SMARTPH",B1209)),
ISNUMBER(SEARCH("IMPRESORA",B1209)),
ISNUMBER(SEARCH("MULTIFUNCIONAL",B1209)),
ISNUMBER(SEARCH("AIO",B1209))
),
"GANCHO",
"NORMAL"
)
)</f>
        <v>NORMAL</v>
      </c>
    </row>
    <row r="1208" spans="1:12" x14ac:dyDescent="0.25">
      <c r="A1208" s="3" t="s">
        <v>5018</v>
      </c>
      <c r="B1208" s="3" t="s">
        <v>5019</v>
      </c>
      <c r="C1208" s="1">
        <v>1</v>
      </c>
      <c r="D1208" s="1">
        <v>1629</v>
      </c>
      <c r="E1208" s="1" t="s">
        <v>52</v>
      </c>
      <c r="F1208" s="1" t="s">
        <v>5020</v>
      </c>
      <c r="G1208" s="3" t="s">
        <v>5021</v>
      </c>
      <c r="H1208" s="11">
        <f>ROUND(
IF(L1206="GANCHO",
   IF(I1208&lt;=50,I1208*1.1+4,IF(I1208&lt;=120,I1208*1.1+7,IF(I1208&lt;=250,I1208*1.1+11,I1208*1.1+19))),
IF(L1206="NORMAL",
   IF(I1208&lt;=30,I1208*1.15+2,IF(I1208&lt;=80,I1208*1.15+4,IF(I1208&lt;=150,I1208*1.15+6,I1208*1.15+8))),
IF(L1206="COMPLEMENTO",
   IF(I1208&lt;=25,I1208*1.25+1.5,IF(I1208&lt;=60,I1208*1.25+3,IF(I1208&lt;=120,I1208*1.25+4,I1208*1.25+5))),
""))),2)</f>
        <v>7700.72</v>
      </c>
      <c r="I1208" s="9">
        <f>($K$2+0.02)*Tabla1[[#This Row],[PRECIO $]]*1.18</f>
        <v>6689.3256000000001</v>
      </c>
      <c r="J1208" s="7">
        <f>+Tabla1[[#This Row],[PRECIO EN SOLES]]-Tabla1[[#This Row],[PC]]</f>
        <v>1011.3944000000001</v>
      </c>
      <c r="K1208" s="15"/>
      <c r="L1208" s="15" t="str">
        <f>IF(
OR(
ISNUMBER(SEARCH("BACKPACK",B1210)),
ISNUMBER(SEARCH("MOCHILA",B1210)),
ISNUMBER(SEARCH("FUNDA",B1210)),
ISNUMBER(SEARCH("ESTUCHE",B1210)),
ISNUMBER(SEARCH("BOOK COVER",B1210)),
ISNUMBER(SEARCH("KEYBOARD PARA TABLET",B1210)),
ISNUMBER(SEARCH("FLIP TABLET",B1210)),
ISNUMBER(SEARCH("CASE FOR TABLET",B1210)),
ISNUMBER(SEARCH("CABLE",B1210)),
ISNUMBER(SEARCH("ADAPTADOR",B1210)),
ISNUMBER(SEARCH("HUB",B1210)),
ISNUMBER(SEARCH("DOCK",B1210)),
ISNUMBER(SEARCH("MOUSE PAD",B1210)),
ISNUMBER(SEARCH("MOUSEPAD",B1210)),
ISNUMBER(SEARCH("SOPORTE",B1210)),
ISNUMBER(SEARCH("STAND",B1210)),
ISNUMBER(SEARCH("TRAVEL ADAPTER",B1210)),
ISNUMBER(SEARCH("RJ45",B1210)),
ISNUMBER(SEARCH("USB-C",B1210)),
ISNUMBER(SEARCH("USB WIFI",B1210)),
ISNUMBER(SEARCH("POWERBANK",B1210)),
ISNUMBER(SEARCH("CARGADOR",B1210)),
ISNUMBER(SEARCH("COOLER PARA NB",B1210)),
ISNUMBER(SEARCH("SOPORTE PARA NB",B1210)),
ISNUMBER(SEARCH("WEBCAM",B1210)),
ISNUMBER(SEARCH("WEB CAM",B1210)),
ISNUMBER(SEARCH("MOUSE",B1210)),
ISNUMBER(SEARCH("TECLADO",B1210))
),
"COMPLEMENTO",
IF(
OR(
LEFT(A1210,2)="NB",
LEFT(A1210,2)="PC",
LEFT(A1210,2)="WS",
LEFT(A1210,2)="TB",
LEFT(A1210,3)="CEL",
LEFT(A1210,3)="MON",
LEFT(A1210,3)="PRE",
LEFT(A1210,3)="PRH",
ISNUMBER(SEARCH("NOTEBOOK",B1210)),
ISNUMBER(SEARCH("LAPTOP",B1210)),
ISNUMBER(SEARCH("MONITOR",B1210)),
ISNUMBER(SEARCH("TABLET",B1210)),
ISNUMBER(SEARCH("SMARTPH",B1210)),
ISNUMBER(SEARCH("IMPRESORA",B1210)),
ISNUMBER(SEARCH("MULTIFUNCIONAL",B1210)),
ISNUMBER(SEARCH("AIO",B1210))
),
"GANCHO",
"NORMAL"
)
)</f>
        <v>GANCHO</v>
      </c>
    </row>
    <row r="1209" spans="1:12" x14ac:dyDescent="0.25">
      <c r="A1209" s="3" t="s">
        <v>6634</v>
      </c>
      <c r="B1209" s="3" t="s">
        <v>6635</v>
      </c>
      <c r="C1209" s="1">
        <v>4</v>
      </c>
      <c r="D1209" s="1">
        <v>2242</v>
      </c>
      <c r="E1209" s="1" t="s">
        <v>52</v>
      </c>
      <c r="F1209" s="1" t="s">
        <v>6636</v>
      </c>
      <c r="G1209" s="3" t="s">
        <v>6637</v>
      </c>
      <c r="H1209" s="11">
        <f>ROUND(
IF(L1207="GANCHO",
   IF(I1209&lt;=50,I1209*1.1+4,IF(I1209&lt;=120,I1209*1.1+7,IF(I1209&lt;=250,I1209*1.1+11,I1209*1.1+19))),
IF(L1207="NORMAL",
   IF(I1209&lt;=30,I1209*1.15+2,IF(I1209&lt;=80,I1209*1.15+4,IF(I1209&lt;=150,I1209*1.15+6,I1209*1.15+8))),
IF(L1207="COMPLEMENTO",
   IF(I1209&lt;=25,I1209*1.25+1.5,IF(I1209&lt;=60,I1209*1.25+3,IF(I1209&lt;=120,I1209*1.25+4,I1209*1.25+5))),
""))),2)</f>
        <v>10595.53</v>
      </c>
      <c r="I1209" s="9">
        <f>($K$2+0.02)*Tabla1[[#This Row],[PRECIO $]]*1.18</f>
        <v>9206.5487999999987</v>
      </c>
      <c r="J1209" s="7">
        <f>+Tabla1[[#This Row],[PRECIO EN SOLES]]-Tabla1[[#This Row],[PC]]</f>
        <v>1388.981200000002</v>
      </c>
      <c r="K1209" s="15"/>
      <c r="L1209" s="15" t="str">
        <f>IF(
OR(
ISNUMBER(SEARCH("BACKPACK",B1211)),
ISNUMBER(SEARCH("MOCHILA",B1211)),
ISNUMBER(SEARCH("FUNDA",B1211)),
ISNUMBER(SEARCH("ESTUCHE",B1211)),
ISNUMBER(SEARCH("BOOK COVER",B1211)),
ISNUMBER(SEARCH("KEYBOARD PARA TABLET",B1211)),
ISNUMBER(SEARCH("FLIP TABLET",B1211)),
ISNUMBER(SEARCH("CASE FOR TABLET",B1211)),
ISNUMBER(SEARCH("CABLE",B1211)),
ISNUMBER(SEARCH("ADAPTADOR",B1211)),
ISNUMBER(SEARCH("HUB",B1211)),
ISNUMBER(SEARCH("DOCK",B1211)),
ISNUMBER(SEARCH("MOUSE PAD",B1211)),
ISNUMBER(SEARCH("MOUSEPAD",B1211)),
ISNUMBER(SEARCH("SOPORTE",B1211)),
ISNUMBER(SEARCH("STAND",B1211)),
ISNUMBER(SEARCH("TRAVEL ADAPTER",B1211)),
ISNUMBER(SEARCH("RJ45",B1211)),
ISNUMBER(SEARCH("USB-C",B1211)),
ISNUMBER(SEARCH("USB WIFI",B1211)),
ISNUMBER(SEARCH("POWERBANK",B1211)),
ISNUMBER(SEARCH("CARGADOR",B1211)),
ISNUMBER(SEARCH("COOLER PARA NB",B1211)),
ISNUMBER(SEARCH("SOPORTE PARA NB",B1211)),
ISNUMBER(SEARCH("WEBCAM",B1211)),
ISNUMBER(SEARCH("WEB CAM",B1211)),
ISNUMBER(SEARCH("MOUSE",B1211)),
ISNUMBER(SEARCH("TECLADO",B1211))
),
"COMPLEMENTO",
IF(
OR(
LEFT(A1211,2)="NB",
LEFT(A1211,2)="PC",
LEFT(A1211,2)="WS",
LEFT(A1211,2)="TB",
LEFT(A1211,3)="CEL",
LEFT(A1211,3)="MON",
LEFT(A1211,3)="PRE",
LEFT(A1211,3)="PRH",
ISNUMBER(SEARCH("NOTEBOOK",B1211)),
ISNUMBER(SEARCH("LAPTOP",B1211)),
ISNUMBER(SEARCH("MONITOR",B1211)),
ISNUMBER(SEARCH("TABLET",B1211)),
ISNUMBER(SEARCH("SMARTPH",B1211)),
ISNUMBER(SEARCH("IMPRESORA",B1211)),
ISNUMBER(SEARCH("MULTIFUNCIONAL",B1211)),
ISNUMBER(SEARCH("AIO",B1211))
),
"GANCHO",
"NORMAL"
)
)</f>
        <v>NORMAL</v>
      </c>
    </row>
    <row r="1210" spans="1:12" x14ac:dyDescent="0.25">
      <c r="A1210" s="3" t="s">
        <v>1985</v>
      </c>
      <c r="B1210" s="3" t="s">
        <v>1986</v>
      </c>
      <c r="C1210" s="1">
        <v>4</v>
      </c>
      <c r="D1210" s="1">
        <v>2140</v>
      </c>
      <c r="E1210" s="1" t="s">
        <v>52</v>
      </c>
      <c r="F1210" s="1" t="s">
        <v>3773</v>
      </c>
      <c r="G1210" s="3" t="s">
        <v>1987</v>
      </c>
      <c r="H1210" s="11">
        <f>ROUND(
IF(L1208="GANCHO",
   IF(I1210&lt;=50,I1210*1.1+4,IF(I1210&lt;=120,I1210*1.1+7,IF(I1210&lt;=250,I1210*1.1+11,I1210*1.1+19))),
IF(L1208="NORMAL",
   IF(I1210&lt;=30,I1210*1.15+2,IF(I1210&lt;=80,I1210*1.15+4,IF(I1210&lt;=150,I1210*1.15+6,I1210*1.15+8))),
IF(L1208="COMPLEMENTO",
   IF(I1210&lt;=25,I1210*1.25+1.5,IF(I1210&lt;=60,I1210*1.25+3,IF(I1210&lt;=120,I1210*1.25+4,I1210*1.25+5))),
""))),2)</f>
        <v>9685.4699999999993</v>
      </c>
      <c r="I1210" s="9">
        <f>($K$2+0.02)*Tabla1[[#This Row],[PRECIO $]]*1.18</f>
        <v>8787.6959999999999</v>
      </c>
      <c r="J1210" s="7">
        <f>+Tabla1[[#This Row],[PRECIO EN SOLES]]-Tabla1[[#This Row],[PC]]</f>
        <v>897.77399999999943</v>
      </c>
      <c r="K1210" s="15"/>
      <c r="L1210" s="15" t="str">
        <f>IF(
OR(
ISNUMBER(SEARCH("BACKPACK",B1212)),
ISNUMBER(SEARCH("MOCHILA",B1212)),
ISNUMBER(SEARCH("FUNDA",B1212)),
ISNUMBER(SEARCH("ESTUCHE",B1212)),
ISNUMBER(SEARCH("BOOK COVER",B1212)),
ISNUMBER(SEARCH("KEYBOARD PARA TABLET",B1212)),
ISNUMBER(SEARCH("FLIP TABLET",B1212)),
ISNUMBER(SEARCH("CASE FOR TABLET",B1212)),
ISNUMBER(SEARCH("CABLE",B1212)),
ISNUMBER(SEARCH("ADAPTADOR",B1212)),
ISNUMBER(SEARCH("HUB",B1212)),
ISNUMBER(SEARCH("DOCK",B1212)),
ISNUMBER(SEARCH("MOUSE PAD",B1212)),
ISNUMBER(SEARCH("MOUSEPAD",B1212)),
ISNUMBER(SEARCH("SOPORTE",B1212)),
ISNUMBER(SEARCH("STAND",B1212)),
ISNUMBER(SEARCH("TRAVEL ADAPTER",B1212)),
ISNUMBER(SEARCH("RJ45",B1212)),
ISNUMBER(SEARCH("USB-C",B1212)),
ISNUMBER(SEARCH("USB WIFI",B1212)),
ISNUMBER(SEARCH("POWERBANK",B1212)),
ISNUMBER(SEARCH("CARGADOR",B1212)),
ISNUMBER(SEARCH("COOLER PARA NB",B1212)),
ISNUMBER(SEARCH("SOPORTE PARA NB",B1212)),
ISNUMBER(SEARCH("WEBCAM",B1212)),
ISNUMBER(SEARCH("WEB CAM",B1212)),
ISNUMBER(SEARCH("MOUSE",B1212)),
ISNUMBER(SEARCH("TECLADO",B1212))
),
"COMPLEMENTO",
IF(
OR(
LEFT(A1212,2)="NB",
LEFT(A1212,2)="PC",
LEFT(A1212,2)="WS",
LEFT(A1212,2)="TB",
LEFT(A1212,3)="CEL",
LEFT(A1212,3)="MON",
LEFT(A1212,3)="PRE",
LEFT(A1212,3)="PRH",
ISNUMBER(SEARCH("NOTEBOOK",B1212)),
ISNUMBER(SEARCH("LAPTOP",B1212)),
ISNUMBER(SEARCH("MONITOR",B1212)),
ISNUMBER(SEARCH("TABLET",B1212)),
ISNUMBER(SEARCH("SMARTPH",B1212)),
ISNUMBER(SEARCH("IMPRESORA",B1212)),
ISNUMBER(SEARCH("MULTIFUNCIONAL",B1212)),
ISNUMBER(SEARCH("AIO",B1212))
),
"GANCHO",
"NORMAL"
)
)</f>
        <v>NORMAL</v>
      </c>
    </row>
    <row r="1211" spans="1:12" x14ac:dyDescent="0.25">
      <c r="A1211" s="3" t="s">
        <v>6879</v>
      </c>
      <c r="B1211" s="3" t="s">
        <v>6880</v>
      </c>
      <c r="C1211" s="1">
        <v>20</v>
      </c>
      <c r="D1211" s="1">
        <v>56</v>
      </c>
      <c r="E1211" s="1" t="s">
        <v>6718</v>
      </c>
      <c r="F1211" s="1" t="s">
        <v>6881</v>
      </c>
      <c r="G1211" s="3" t="s">
        <v>6882</v>
      </c>
      <c r="H1211" s="11">
        <f>ROUND(
IF(L1209="GANCHO",
   IF(I1211&lt;=50,I1211*1.1+4,IF(I1211&lt;=120,I1211*1.1+7,IF(I1211&lt;=250,I1211*1.1+11,I1211*1.1+19))),
IF(L1209="NORMAL",
   IF(I1211&lt;=30,I1211*1.15+2,IF(I1211&lt;=80,I1211*1.15+4,IF(I1211&lt;=150,I1211*1.15+6,I1211*1.15+8))),
IF(L1209="COMPLEMENTO",
   IF(I1211&lt;=25,I1211*1.25+1.5,IF(I1211&lt;=60,I1211*1.25+3,IF(I1211&lt;=120,I1211*1.25+4,I1211*1.25+5))),
""))),2)</f>
        <v>272.45</v>
      </c>
      <c r="I1211" s="9">
        <f>($K$2+0.02)*Tabla1[[#This Row],[PRECIO $]]*1.18</f>
        <v>229.95839999999998</v>
      </c>
      <c r="J1211" s="7">
        <f>+Tabla1[[#This Row],[PRECIO EN SOLES]]-Tabla1[[#This Row],[PC]]</f>
        <v>42.491600000000005</v>
      </c>
      <c r="K1211" s="15"/>
      <c r="L1211" s="15" t="str">
        <f>IF(
OR(
ISNUMBER(SEARCH("BACKPACK",B1213)),
ISNUMBER(SEARCH("MOCHILA",B1213)),
ISNUMBER(SEARCH("FUNDA",B1213)),
ISNUMBER(SEARCH("ESTUCHE",B1213)),
ISNUMBER(SEARCH("BOOK COVER",B1213)),
ISNUMBER(SEARCH("KEYBOARD PARA TABLET",B1213)),
ISNUMBER(SEARCH("FLIP TABLET",B1213)),
ISNUMBER(SEARCH("CASE FOR TABLET",B1213)),
ISNUMBER(SEARCH("CABLE",B1213)),
ISNUMBER(SEARCH("ADAPTADOR",B1213)),
ISNUMBER(SEARCH("HUB",B1213)),
ISNUMBER(SEARCH("DOCK",B1213)),
ISNUMBER(SEARCH("MOUSE PAD",B1213)),
ISNUMBER(SEARCH("MOUSEPAD",B1213)),
ISNUMBER(SEARCH("SOPORTE",B1213)),
ISNUMBER(SEARCH("STAND",B1213)),
ISNUMBER(SEARCH("TRAVEL ADAPTER",B1213)),
ISNUMBER(SEARCH("RJ45",B1213)),
ISNUMBER(SEARCH("USB-C",B1213)),
ISNUMBER(SEARCH("USB WIFI",B1213)),
ISNUMBER(SEARCH("POWERBANK",B1213)),
ISNUMBER(SEARCH("CARGADOR",B1213)),
ISNUMBER(SEARCH("COOLER PARA NB",B1213)),
ISNUMBER(SEARCH("SOPORTE PARA NB",B1213)),
ISNUMBER(SEARCH("WEBCAM",B1213)),
ISNUMBER(SEARCH("WEB CAM",B1213)),
ISNUMBER(SEARCH("MOUSE",B1213)),
ISNUMBER(SEARCH("TECLADO",B1213))
),
"COMPLEMENTO",
IF(
OR(
LEFT(A1213,2)="NB",
LEFT(A1213,2)="PC",
LEFT(A1213,2)="WS",
LEFT(A1213,2)="TB",
LEFT(A1213,3)="CEL",
LEFT(A1213,3)="MON",
LEFT(A1213,3)="PRE",
LEFT(A1213,3)="PRH",
ISNUMBER(SEARCH("NOTEBOOK",B1213)),
ISNUMBER(SEARCH("LAPTOP",B1213)),
ISNUMBER(SEARCH("MONITOR",B1213)),
ISNUMBER(SEARCH("TABLET",B1213)),
ISNUMBER(SEARCH("SMARTPH",B1213)),
ISNUMBER(SEARCH("IMPRESORA",B1213)),
ISNUMBER(SEARCH("MULTIFUNCIONAL",B1213)),
ISNUMBER(SEARCH("AIO",B1213))
),
"GANCHO",
"NORMAL"
)
)</f>
        <v>NORMAL</v>
      </c>
    </row>
    <row r="1212" spans="1:12" x14ac:dyDescent="0.25">
      <c r="A1212" s="3" t="s">
        <v>6883</v>
      </c>
      <c r="B1212" s="3" t="s">
        <v>6884</v>
      </c>
      <c r="C1212" s="1">
        <v>20</v>
      </c>
      <c r="D1212" s="1">
        <v>51</v>
      </c>
      <c r="E1212" s="1" t="s">
        <v>6718</v>
      </c>
      <c r="F1212" s="1" t="s">
        <v>6885</v>
      </c>
      <c r="G1212" s="3" t="s">
        <v>6886</v>
      </c>
      <c r="H1212" s="11">
        <f>ROUND(
IF(L1210="GANCHO",
   IF(I1212&lt;=50,I1212*1.1+4,IF(I1212&lt;=120,I1212*1.1+7,IF(I1212&lt;=250,I1212*1.1+11,I1212*1.1+19))),
IF(L1210="NORMAL",
   IF(I1212&lt;=30,I1212*1.15+2,IF(I1212&lt;=80,I1212*1.15+4,IF(I1212&lt;=150,I1212*1.15+6,I1212*1.15+8))),
IF(L1210="COMPLEMENTO",
   IF(I1212&lt;=25,I1212*1.25+1.5,IF(I1212&lt;=60,I1212*1.25+3,IF(I1212&lt;=120,I1212*1.25+4,I1212*1.25+5))),
""))),2)</f>
        <v>248.84</v>
      </c>
      <c r="I1212" s="9">
        <f>($K$2+0.02)*Tabla1[[#This Row],[PRECIO $]]*1.18</f>
        <v>209.42639999999997</v>
      </c>
      <c r="J1212" s="7">
        <f>+Tabla1[[#This Row],[PRECIO EN SOLES]]-Tabla1[[#This Row],[PC]]</f>
        <v>39.413600000000031</v>
      </c>
      <c r="K1212" s="15"/>
      <c r="L1212" s="15" t="str">
        <f>IF(
OR(
ISNUMBER(SEARCH("BACKPACK",B1214)),
ISNUMBER(SEARCH("MOCHILA",B1214)),
ISNUMBER(SEARCH("FUNDA",B1214)),
ISNUMBER(SEARCH("ESTUCHE",B1214)),
ISNUMBER(SEARCH("BOOK COVER",B1214)),
ISNUMBER(SEARCH("KEYBOARD PARA TABLET",B1214)),
ISNUMBER(SEARCH("FLIP TABLET",B1214)),
ISNUMBER(SEARCH("CASE FOR TABLET",B1214)),
ISNUMBER(SEARCH("CABLE",B1214)),
ISNUMBER(SEARCH("ADAPTADOR",B1214)),
ISNUMBER(SEARCH("HUB",B1214)),
ISNUMBER(SEARCH("DOCK",B1214)),
ISNUMBER(SEARCH("MOUSE PAD",B1214)),
ISNUMBER(SEARCH("MOUSEPAD",B1214)),
ISNUMBER(SEARCH("SOPORTE",B1214)),
ISNUMBER(SEARCH("STAND",B1214)),
ISNUMBER(SEARCH("TRAVEL ADAPTER",B1214)),
ISNUMBER(SEARCH("RJ45",B1214)),
ISNUMBER(SEARCH("USB-C",B1214)),
ISNUMBER(SEARCH("USB WIFI",B1214)),
ISNUMBER(SEARCH("POWERBANK",B1214)),
ISNUMBER(SEARCH("CARGADOR",B1214)),
ISNUMBER(SEARCH("COOLER PARA NB",B1214)),
ISNUMBER(SEARCH("SOPORTE PARA NB",B1214)),
ISNUMBER(SEARCH("WEBCAM",B1214)),
ISNUMBER(SEARCH("WEB CAM",B1214)),
ISNUMBER(SEARCH("MOUSE",B1214)),
ISNUMBER(SEARCH("TECLADO",B1214))
),
"COMPLEMENTO",
IF(
OR(
LEFT(A1214,2)="NB",
LEFT(A1214,2)="PC",
LEFT(A1214,2)="WS",
LEFT(A1214,2)="TB",
LEFT(A1214,3)="CEL",
LEFT(A1214,3)="MON",
LEFT(A1214,3)="PRE",
LEFT(A1214,3)="PRH",
ISNUMBER(SEARCH("NOTEBOOK",B1214)),
ISNUMBER(SEARCH("LAPTOP",B1214)),
ISNUMBER(SEARCH("MONITOR",B1214)),
ISNUMBER(SEARCH("TABLET",B1214)),
ISNUMBER(SEARCH("SMARTPH",B1214)),
ISNUMBER(SEARCH("IMPRESORA",B1214)),
ISNUMBER(SEARCH("MULTIFUNCIONAL",B1214)),
ISNUMBER(SEARCH("AIO",B1214))
),
"GANCHO",
"NORMAL"
)
)</f>
        <v>NORMAL</v>
      </c>
    </row>
    <row r="1213" spans="1:12" x14ac:dyDescent="0.25">
      <c r="A1213" s="3" t="s">
        <v>1988</v>
      </c>
      <c r="B1213" s="3" t="s">
        <v>1989</v>
      </c>
      <c r="C1213" s="1">
        <v>2</v>
      </c>
      <c r="D1213" s="1">
        <v>13</v>
      </c>
      <c r="E1213" s="1" t="s">
        <v>1990</v>
      </c>
      <c r="F1213" s="1" t="s">
        <v>3774</v>
      </c>
      <c r="G1213" s="3"/>
      <c r="H1213" s="11">
        <f>ROUND(
IF(L1211="GANCHO",
   IF(I1213&lt;=50,I1213*1.1+4,IF(I1213&lt;=120,I1213*1.1+7,IF(I1213&lt;=250,I1213*1.1+11,I1213*1.1+19))),
IF(L1211="NORMAL",
   IF(I1213&lt;=30,I1213*1.15+2,IF(I1213&lt;=80,I1213*1.15+4,IF(I1213&lt;=150,I1213*1.15+6,I1213*1.15+8))),
IF(L1211="COMPLEMENTO",
   IF(I1213&lt;=25,I1213*1.25+1.5,IF(I1213&lt;=60,I1213*1.25+3,IF(I1213&lt;=120,I1213*1.25+4,I1213*1.25+5))),
""))),2)</f>
        <v>65.39</v>
      </c>
      <c r="I1213" s="9">
        <f>($K$2+0.02)*Tabla1[[#This Row],[PRECIO $]]*1.18</f>
        <v>53.383200000000002</v>
      </c>
      <c r="J1213" s="7">
        <f>+Tabla1[[#This Row],[PRECIO EN SOLES]]-Tabla1[[#This Row],[PC]]</f>
        <v>12.006799999999998</v>
      </c>
      <c r="K1213" s="15"/>
      <c r="L1213" s="15" t="str">
        <f>IF(
OR(
ISNUMBER(SEARCH("BACKPACK",B1215)),
ISNUMBER(SEARCH("MOCHILA",B1215)),
ISNUMBER(SEARCH("FUNDA",B1215)),
ISNUMBER(SEARCH("ESTUCHE",B1215)),
ISNUMBER(SEARCH("BOOK COVER",B1215)),
ISNUMBER(SEARCH("KEYBOARD PARA TABLET",B1215)),
ISNUMBER(SEARCH("FLIP TABLET",B1215)),
ISNUMBER(SEARCH("CASE FOR TABLET",B1215)),
ISNUMBER(SEARCH("CABLE",B1215)),
ISNUMBER(SEARCH("ADAPTADOR",B1215)),
ISNUMBER(SEARCH("HUB",B1215)),
ISNUMBER(SEARCH("DOCK",B1215)),
ISNUMBER(SEARCH("MOUSE PAD",B1215)),
ISNUMBER(SEARCH("MOUSEPAD",B1215)),
ISNUMBER(SEARCH("SOPORTE",B1215)),
ISNUMBER(SEARCH("STAND",B1215)),
ISNUMBER(SEARCH("TRAVEL ADAPTER",B1215)),
ISNUMBER(SEARCH("RJ45",B1215)),
ISNUMBER(SEARCH("USB-C",B1215)),
ISNUMBER(SEARCH("USB WIFI",B1215)),
ISNUMBER(SEARCH("POWERBANK",B1215)),
ISNUMBER(SEARCH("CARGADOR",B1215)),
ISNUMBER(SEARCH("COOLER PARA NB",B1215)),
ISNUMBER(SEARCH("SOPORTE PARA NB",B1215)),
ISNUMBER(SEARCH("WEBCAM",B1215)),
ISNUMBER(SEARCH("WEB CAM",B1215)),
ISNUMBER(SEARCH("MOUSE",B1215)),
ISNUMBER(SEARCH("TECLADO",B1215))
),
"COMPLEMENTO",
IF(
OR(
LEFT(A1215,2)="NB",
LEFT(A1215,2)="PC",
LEFT(A1215,2)="WS",
LEFT(A1215,2)="TB",
LEFT(A1215,3)="CEL",
LEFT(A1215,3)="MON",
LEFT(A1215,3)="PRE",
LEFT(A1215,3)="PRH",
ISNUMBER(SEARCH("NOTEBOOK",B1215)),
ISNUMBER(SEARCH("LAPTOP",B1215)),
ISNUMBER(SEARCH("MONITOR",B1215)),
ISNUMBER(SEARCH("TABLET",B1215)),
ISNUMBER(SEARCH("SMARTPH",B1215)),
ISNUMBER(SEARCH("IMPRESORA",B1215)),
ISNUMBER(SEARCH("MULTIFUNCIONAL",B1215)),
ISNUMBER(SEARCH("AIO",B1215))
),
"GANCHO",
"NORMAL"
)
)</f>
        <v>NORMAL</v>
      </c>
    </row>
    <row r="1214" spans="1:12" x14ac:dyDescent="0.25">
      <c r="A1214" s="3" t="s">
        <v>1991</v>
      </c>
      <c r="B1214" s="3" t="s">
        <v>1992</v>
      </c>
      <c r="C1214" s="1">
        <v>12</v>
      </c>
      <c r="D1214" s="1">
        <v>500</v>
      </c>
      <c r="E1214" s="1" t="s">
        <v>57</v>
      </c>
      <c r="F1214" s="1" t="s">
        <v>3775</v>
      </c>
      <c r="G1214" s="3"/>
      <c r="H1214" s="11">
        <f>ROUND(
IF(L1212="GANCHO",
   IF(I1214&lt;=50,I1214*1.1+4,IF(I1214&lt;=120,I1214*1.1+7,IF(I1214&lt;=250,I1214*1.1+11,I1214*1.1+19))),
IF(L1212="NORMAL",
   IF(I1214&lt;=30,I1214*1.15+2,IF(I1214&lt;=80,I1214*1.15+4,IF(I1214&lt;=150,I1214*1.15+6,I1214*1.15+8))),
IF(L1212="COMPLEMENTO",
   IF(I1214&lt;=25,I1214*1.25+1.5,IF(I1214&lt;=60,I1214*1.25+3,IF(I1214&lt;=120,I1214*1.25+4,I1214*1.25+5))),
""))),2)</f>
        <v>2369.1799999999998</v>
      </c>
      <c r="I1214" s="9">
        <f>($K$2+0.02)*Tabla1[[#This Row],[PRECIO $]]*1.18</f>
        <v>2053.1999999999998</v>
      </c>
      <c r="J1214" s="7">
        <f>+Tabla1[[#This Row],[PRECIO EN SOLES]]-Tabla1[[#This Row],[PC]]</f>
        <v>315.98</v>
      </c>
      <c r="K1214" s="15"/>
      <c r="L1214" s="15" t="str">
        <f>IF(
OR(
ISNUMBER(SEARCH("BACKPACK",B1216)),
ISNUMBER(SEARCH("MOCHILA",B1216)),
ISNUMBER(SEARCH("FUNDA",B1216)),
ISNUMBER(SEARCH("ESTUCHE",B1216)),
ISNUMBER(SEARCH("BOOK COVER",B1216)),
ISNUMBER(SEARCH("KEYBOARD PARA TABLET",B1216)),
ISNUMBER(SEARCH("FLIP TABLET",B1216)),
ISNUMBER(SEARCH("CASE FOR TABLET",B1216)),
ISNUMBER(SEARCH("CABLE",B1216)),
ISNUMBER(SEARCH("ADAPTADOR",B1216)),
ISNUMBER(SEARCH("HUB",B1216)),
ISNUMBER(SEARCH("DOCK",B1216)),
ISNUMBER(SEARCH("MOUSE PAD",B1216)),
ISNUMBER(SEARCH("MOUSEPAD",B1216)),
ISNUMBER(SEARCH("SOPORTE",B1216)),
ISNUMBER(SEARCH("STAND",B1216)),
ISNUMBER(SEARCH("TRAVEL ADAPTER",B1216)),
ISNUMBER(SEARCH("RJ45",B1216)),
ISNUMBER(SEARCH("USB-C",B1216)),
ISNUMBER(SEARCH("USB WIFI",B1216)),
ISNUMBER(SEARCH("POWERBANK",B1216)),
ISNUMBER(SEARCH("CARGADOR",B1216)),
ISNUMBER(SEARCH("COOLER PARA NB",B1216)),
ISNUMBER(SEARCH("SOPORTE PARA NB",B1216)),
ISNUMBER(SEARCH("WEBCAM",B1216)),
ISNUMBER(SEARCH("WEB CAM",B1216)),
ISNUMBER(SEARCH("MOUSE",B1216)),
ISNUMBER(SEARCH("TECLADO",B1216))
),
"COMPLEMENTO",
IF(
OR(
LEFT(A1216,2)="NB",
LEFT(A1216,2)="PC",
LEFT(A1216,2)="WS",
LEFT(A1216,2)="TB",
LEFT(A1216,3)="CEL",
LEFT(A1216,3)="MON",
LEFT(A1216,3)="PRE",
LEFT(A1216,3)="PRH",
ISNUMBER(SEARCH("NOTEBOOK",B1216)),
ISNUMBER(SEARCH("LAPTOP",B1216)),
ISNUMBER(SEARCH("MONITOR",B1216)),
ISNUMBER(SEARCH("TABLET",B1216)),
ISNUMBER(SEARCH("SMARTPH",B1216)),
ISNUMBER(SEARCH("IMPRESORA",B1216)),
ISNUMBER(SEARCH("MULTIFUNCIONAL",B1216)),
ISNUMBER(SEARCH("AIO",B1216))
),
"GANCHO",
"NORMAL"
)
)</f>
        <v>NORMAL</v>
      </c>
    </row>
    <row r="1215" spans="1:12" x14ac:dyDescent="0.25">
      <c r="A1215" s="3" t="s">
        <v>1993</v>
      </c>
      <c r="B1215" s="3" t="s">
        <v>1994</v>
      </c>
      <c r="C1215" s="1">
        <v>12</v>
      </c>
      <c r="D1215" s="1">
        <v>500</v>
      </c>
      <c r="E1215" s="1" t="s">
        <v>57</v>
      </c>
      <c r="F1215" s="1" t="s">
        <v>3776</v>
      </c>
      <c r="G1215" s="3"/>
      <c r="H1215" s="11">
        <f>ROUND(
IF(L1213="GANCHO",
   IF(I1215&lt;=50,I1215*1.1+4,IF(I1215&lt;=120,I1215*1.1+7,IF(I1215&lt;=250,I1215*1.1+11,I1215*1.1+19))),
IF(L1213="NORMAL",
   IF(I1215&lt;=30,I1215*1.15+2,IF(I1215&lt;=80,I1215*1.15+4,IF(I1215&lt;=150,I1215*1.15+6,I1215*1.15+8))),
IF(L1213="COMPLEMENTO",
   IF(I1215&lt;=25,I1215*1.25+1.5,IF(I1215&lt;=60,I1215*1.25+3,IF(I1215&lt;=120,I1215*1.25+4,I1215*1.25+5))),
""))),2)</f>
        <v>2369.1799999999998</v>
      </c>
      <c r="I1215" s="9">
        <f>($K$2+0.02)*Tabla1[[#This Row],[PRECIO $]]*1.18</f>
        <v>2053.1999999999998</v>
      </c>
      <c r="J1215" s="7">
        <f>+Tabla1[[#This Row],[PRECIO EN SOLES]]-Tabla1[[#This Row],[PC]]</f>
        <v>315.98</v>
      </c>
      <c r="K1215" s="15"/>
      <c r="L1215" s="15" t="str">
        <f>IF(
OR(
ISNUMBER(SEARCH("BACKPACK",B1217)),
ISNUMBER(SEARCH("MOCHILA",B1217)),
ISNUMBER(SEARCH("FUNDA",B1217)),
ISNUMBER(SEARCH("ESTUCHE",B1217)),
ISNUMBER(SEARCH("BOOK COVER",B1217)),
ISNUMBER(SEARCH("KEYBOARD PARA TABLET",B1217)),
ISNUMBER(SEARCH("FLIP TABLET",B1217)),
ISNUMBER(SEARCH("CASE FOR TABLET",B1217)),
ISNUMBER(SEARCH("CABLE",B1217)),
ISNUMBER(SEARCH("ADAPTADOR",B1217)),
ISNUMBER(SEARCH("HUB",B1217)),
ISNUMBER(SEARCH("DOCK",B1217)),
ISNUMBER(SEARCH("MOUSE PAD",B1217)),
ISNUMBER(SEARCH("MOUSEPAD",B1217)),
ISNUMBER(SEARCH("SOPORTE",B1217)),
ISNUMBER(SEARCH("STAND",B1217)),
ISNUMBER(SEARCH("TRAVEL ADAPTER",B1217)),
ISNUMBER(SEARCH("RJ45",B1217)),
ISNUMBER(SEARCH("USB-C",B1217)),
ISNUMBER(SEARCH("USB WIFI",B1217)),
ISNUMBER(SEARCH("POWERBANK",B1217)),
ISNUMBER(SEARCH("CARGADOR",B1217)),
ISNUMBER(SEARCH("COOLER PARA NB",B1217)),
ISNUMBER(SEARCH("SOPORTE PARA NB",B1217)),
ISNUMBER(SEARCH("WEBCAM",B1217)),
ISNUMBER(SEARCH("WEB CAM",B1217)),
ISNUMBER(SEARCH("MOUSE",B1217)),
ISNUMBER(SEARCH("TECLADO",B1217))
),
"COMPLEMENTO",
IF(
OR(
LEFT(A1217,2)="NB",
LEFT(A1217,2)="PC",
LEFT(A1217,2)="WS",
LEFT(A1217,2)="TB",
LEFT(A1217,3)="CEL",
LEFT(A1217,3)="MON",
LEFT(A1217,3)="PRE",
LEFT(A1217,3)="PRH",
ISNUMBER(SEARCH("NOTEBOOK",B1217)),
ISNUMBER(SEARCH("LAPTOP",B1217)),
ISNUMBER(SEARCH("MONITOR",B1217)),
ISNUMBER(SEARCH("TABLET",B1217)),
ISNUMBER(SEARCH("SMARTPH",B1217)),
ISNUMBER(SEARCH("IMPRESORA",B1217)),
ISNUMBER(SEARCH("MULTIFUNCIONAL",B1217)),
ISNUMBER(SEARCH("AIO",B1217))
),
"GANCHO",
"NORMAL"
)
)</f>
        <v>NORMAL</v>
      </c>
    </row>
    <row r="1216" spans="1:12" x14ac:dyDescent="0.25">
      <c r="A1216" s="3" t="s">
        <v>1995</v>
      </c>
      <c r="B1216" s="3" t="s">
        <v>1996</v>
      </c>
      <c r="C1216" s="1">
        <v>20</v>
      </c>
      <c r="D1216" s="1">
        <v>1</v>
      </c>
      <c r="E1216" s="1" t="s">
        <v>54</v>
      </c>
      <c r="F1216" s="1" t="s">
        <v>3777</v>
      </c>
      <c r="G1216" s="3"/>
      <c r="H1216" s="11">
        <f>ROUND(
IF(L1214="GANCHO",
   IF(I1216&lt;=50,I1216*1.1+4,IF(I1216&lt;=120,I1216*1.1+7,IF(I1216&lt;=250,I1216*1.1+11,I1216*1.1+19))),
IF(L1214="NORMAL",
   IF(I1216&lt;=30,I1216*1.15+2,IF(I1216&lt;=80,I1216*1.15+4,IF(I1216&lt;=150,I1216*1.15+6,I1216*1.15+8))),
IF(L1214="COMPLEMENTO",
   IF(I1216&lt;=25,I1216*1.25+1.5,IF(I1216&lt;=60,I1216*1.25+3,IF(I1216&lt;=120,I1216*1.25+4,I1216*1.25+5))),
""))),2)</f>
        <v>6.72</v>
      </c>
      <c r="I1216" s="9">
        <f>($K$2+0.02)*Tabla1[[#This Row],[PRECIO $]]*1.18</f>
        <v>4.1063999999999998</v>
      </c>
      <c r="J1216" s="7">
        <f>+Tabla1[[#This Row],[PRECIO EN SOLES]]-Tabla1[[#This Row],[PC]]</f>
        <v>2.6135999999999999</v>
      </c>
      <c r="K1216" s="15"/>
      <c r="L1216" s="15" t="str">
        <f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NORMAL</v>
      </c>
    </row>
    <row r="1217" spans="1:12" x14ac:dyDescent="0.25">
      <c r="A1217" s="3" t="s">
        <v>1997</v>
      </c>
      <c r="B1217" s="3" t="s">
        <v>1998</v>
      </c>
      <c r="C1217" s="1">
        <v>12</v>
      </c>
      <c r="D1217" s="1">
        <v>500</v>
      </c>
      <c r="E1217" s="1" t="s">
        <v>57</v>
      </c>
      <c r="F1217" s="1" t="s">
        <v>3778</v>
      </c>
      <c r="G1217" s="3"/>
      <c r="H1217" s="11">
        <f>ROUND(
IF(L1215="GANCHO",
   IF(I1217&lt;=50,I1217*1.1+4,IF(I1217&lt;=120,I1217*1.1+7,IF(I1217&lt;=250,I1217*1.1+11,I1217*1.1+19))),
IF(L1215="NORMAL",
   IF(I1217&lt;=30,I1217*1.15+2,IF(I1217&lt;=80,I1217*1.15+4,IF(I1217&lt;=150,I1217*1.15+6,I1217*1.15+8))),
IF(L1215="COMPLEMENTO",
   IF(I1217&lt;=25,I1217*1.25+1.5,IF(I1217&lt;=60,I1217*1.25+3,IF(I1217&lt;=120,I1217*1.25+4,I1217*1.25+5))),
""))),2)</f>
        <v>2369.1799999999998</v>
      </c>
      <c r="I1217" s="9">
        <f>($K$2+0.02)*Tabla1[[#This Row],[PRECIO $]]*1.18</f>
        <v>2053.1999999999998</v>
      </c>
      <c r="J1217" s="7">
        <f>+Tabla1[[#This Row],[PRECIO EN SOLES]]-Tabla1[[#This Row],[PC]]</f>
        <v>315.98</v>
      </c>
      <c r="K1217" s="15"/>
      <c r="L1217" s="15" t="str">
        <f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NORMAL</v>
      </c>
    </row>
    <row r="1218" spans="1:12" x14ac:dyDescent="0.25">
      <c r="A1218" s="3" t="s">
        <v>1999</v>
      </c>
      <c r="B1218" s="3" t="s">
        <v>2000</v>
      </c>
      <c r="C1218" s="1">
        <v>9</v>
      </c>
      <c r="D1218" s="1">
        <v>16.8</v>
      </c>
      <c r="E1218" s="1" t="s">
        <v>57</v>
      </c>
      <c r="F1218" s="1" t="s">
        <v>3779</v>
      </c>
      <c r="G1218" s="3" t="s">
        <v>2001</v>
      </c>
      <c r="H1218" s="11">
        <f>ROUND(
IF(L1216="GANCHO",
   IF(I1218&lt;=50,I1218*1.1+4,IF(I1218&lt;=120,I1218*1.1+7,IF(I1218&lt;=250,I1218*1.1+11,I1218*1.1+19))),
IF(L1216="NORMAL",
   IF(I1218&lt;=30,I1218*1.15+2,IF(I1218&lt;=80,I1218*1.15+4,IF(I1218&lt;=150,I1218*1.15+6,I1218*1.15+8))),
IF(L1216="COMPLEMENTO",
   IF(I1218&lt;=25,I1218*1.25+1.5,IF(I1218&lt;=60,I1218*1.25+3,IF(I1218&lt;=120,I1218*1.25+4,I1218*1.25+5))),
""))),2)</f>
        <v>83.34</v>
      </c>
      <c r="I1218" s="9">
        <f>($K$2+0.02)*Tabla1[[#This Row],[PRECIO $]]*1.18</f>
        <v>68.987519999999989</v>
      </c>
      <c r="J1218" s="7">
        <f>+Tabla1[[#This Row],[PRECIO EN SOLES]]-Tabla1[[#This Row],[PC]]</f>
        <v>14.352480000000014</v>
      </c>
      <c r="K1218" s="15"/>
      <c r="L1218" s="15" t="str">
        <f>IF(
OR(
ISNUMBER(SEARCH("BACKPACK",B1220)),
ISNUMBER(SEARCH("MOCHILA",B1220)),
ISNUMBER(SEARCH("FUNDA",B1220)),
ISNUMBER(SEARCH("ESTUCHE",B1220)),
ISNUMBER(SEARCH("BOOK COVER",B1220)),
ISNUMBER(SEARCH("KEYBOARD PARA TABLET",B1220)),
ISNUMBER(SEARCH("FLIP TABLET",B1220)),
ISNUMBER(SEARCH("CASE FOR TABLET",B1220)),
ISNUMBER(SEARCH("CABLE",B1220)),
ISNUMBER(SEARCH("ADAPTADOR",B1220)),
ISNUMBER(SEARCH("HUB",B1220)),
ISNUMBER(SEARCH("DOCK",B1220)),
ISNUMBER(SEARCH("MOUSE PAD",B1220)),
ISNUMBER(SEARCH("MOUSEPAD",B1220)),
ISNUMBER(SEARCH("SOPORTE",B1220)),
ISNUMBER(SEARCH("STAND",B1220)),
ISNUMBER(SEARCH("TRAVEL ADAPTER",B1220)),
ISNUMBER(SEARCH("RJ45",B1220)),
ISNUMBER(SEARCH("USB-C",B1220)),
ISNUMBER(SEARCH("USB WIFI",B1220)),
ISNUMBER(SEARCH("POWERBANK",B1220)),
ISNUMBER(SEARCH("CARGADOR",B1220)),
ISNUMBER(SEARCH("COOLER PARA NB",B1220)),
ISNUMBER(SEARCH("SOPORTE PARA NB",B1220)),
ISNUMBER(SEARCH("WEBCAM",B1220)),
ISNUMBER(SEARCH("WEB CAM",B1220)),
ISNUMBER(SEARCH("MOUSE",B1220)),
ISNUMBER(SEARCH("TECLADO",B1220))
),
"COMPLEMENTO",
IF(
OR(
LEFT(A1220,2)="NB",
LEFT(A1220,2)="PC",
LEFT(A1220,2)="WS",
LEFT(A1220,2)="TB",
LEFT(A1220,3)="CEL",
LEFT(A1220,3)="MON",
LEFT(A1220,3)="PRE",
LEFT(A1220,3)="PRH",
ISNUMBER(SEARCH("NOTEBOOK",B1220)),
ISNUMBER(SEARCH("LAPTOP",B1220)),
ISNUMBER(SEARCH("MONITOR",B1220)),
ISNUMBER(SEARCH("TABLET",B1220)),
ISNUMBER(SEARCH("SMARTPH",B1220)),
ISNUMBER(SEARCH("IMPRESORA",B1220)),
ISNUMBER(SEARCH("MULTIFUNCIONAL",B1220)),
ISNUMBER(SEARCH("AIO",B1220))
),
"GANCHO",
"NORMAL"
)
)</f>
        <v>NORMAL</v>
      </c>
    </row>
    <row r="1219" spans="1:12" x14ac:dyDescent="0.25">
      <c r="A1219" s="3" t="s">
        <v>2003</v>
      </c>
      <c r="B1219" s="3" t="s">
        <v>2004</v>
      </c>
      <c r="C1219" s="1">
        <v>18</v>
      </c>
      <c r="D1219" s="1">
        <v>70.91</v>
      </c>
      <c r="E1219" s="1" t="s">
        <v>2002</v>
      </c>
      <c r="F1219" s="1" t="s">
        <v>3780</v>
      </c>
      <c r="G1219" s="3"/>
      <c r="H1219" s="11">
        <f>ROUND(
IF(L1217="GANCHO",
   IF(I1219&lt;=50,I1219*1.1+4,IF(I1219&lt;=120,I1219*1.1+7,IF(I1219&lt;=250,I1219*1.1+11,I1219*1.1+19))),
IF(L1217="NORMAL",
   IF(I1219&lt;=30,I1219*1.15+2,IF(I1219&lt;=80,I1219*1.15+4,IF(I1219&lt;=150,I1219*1.15+6,I1219*1.15+8))),
IF(L1217="COMPLEMENTO",
   IF(I1219&lt;=25,I1219*1.25+1.5,IF(I1219&lt;=60,I1219*1.25+3,IF(I1219&lt;=120,I1219*1.25+4,I1219*1.25+5))),
""))),2)</f>
        <v>342.86</v>
      </c>
      <c r="I1219" s="9">
        <f>($K$2+0.02)*Tabla1[[#This Row],[PRECIO $]]*1.18</f>
        <v>291.18482399999999</v>
      </c>
      <c r="J1219" s="7">
        <f>+Tabla1[[#This Row],[PRECIO EN SOLES]]-Tabla1[[#This Row],[PC]]</f>
        <v>51.675176000000022</v>
      </c>
      <c r="K1219" s="15"/>
      <c r="L1219" s="15" t="str">
        <f>IF(
OR(
ISNUMBER(SEARCH("BACKPACK",B1221)),
ISNUMBER(SEARCH("MOCHILA",B1221)),
ISNUMBER(SEARCH("FUNDA",B1221)),
ISNUMBER(SEARCH("ESTUCHE",B1221)),
ISNUMBER(SEARCH("BOOK COVER",B1221)),
ISNUMBER(SEARCH("KEYBOARD PARA TABLET",B1221)),
ISNUMBER(SEARCH("FLIP TABLET",B1221)),
ISNUMBER(SEARCH("CASE FOR TABLET",B1221)),
ISNUMBER(SEARCH("CABLE",B1221)),
ISNUMBER(SEARCH("ADAPTADOR",B1221)),
ISNUMBER(SEARCH("HUB",B1221)),
ISNUMBER(SEARCH("DOCK",B1221)),
ISNUMBER(SEARCH("MOUSE PAD",B1221)),
ISNUMBER(SEARCH("MOUSEPAD",B1221)),
ISNUMBER(SEARCH("SOPORTE",B1221)),
ISNUMBER(SEARCH("STAND",B1221)),
ISNUMBER(SEARCH("TRAVEL ADAPTER",B1221)),
ISNUMBER(SEARCH("RJ45",B1221)),
ISNUMBER(SEARCH("USB-C",B1221)),
ISNUMBER(SEARCH("USB WIFI",B1221)),
ISNUMBER(SEARCH("POWERBANK",B1221)),
ISNUMBER(SEARCH("CARGADOR",B1221)),
ISNUMBER(SEARCH("COOLER PARA NB",B1221)),
ISNUMBER(SEARCH("SOPORTE PARA NB",B1221)),
ISNUMBER(SEARCH("WEBCAM",B1221)),
ISNUMBER(SEARCH("WEB CAM",B1221)),
ISNUMBER(SEARCH("MOUSE",B1221)),
ISNUMBER(SEARCH("TECLADO",B1221))
),
"COMPLEMENTO",
IF(
OR(
LEFT(A1221,2)="NB",
LEFT(A1221,2)="PC",
LEFT(A1221,2)="WS",
LEFT(A1221,2)="TB",
LEFT(A1221,3)="CEL",
LEFT(A1221,3)="MON",
LEFT(A1221,3)="PRE",
LEFT(A1221,3)="PRH",
ISNUMBER(SEARCH("NOTEBOOK",B1221)),
ISNUMBER(SEARCH("LAPTOP",B1221)),
ISNUMBER(SEARCH("MONITOR",B1221)),
ISNUMBER(SEARCH("TABLET",B1221)),
ISNUMBER(SEARCH("SMARTPH",B1221)),
ISNUMBER(SEARCH("IMPRESORA",B1221)),
ISNUMBER(SEARCH("MULTIFUNCIONAL",B1221)),
ISNUMBER(SEARCH("AIO",B1221))
),
"GANCHO",
"NORMAL"
)
)</f>
        <v>NORMAL</v>
      </c>
    </row>
    <row r="1220" spans="1:12" x14ac:dyDescent="0.25">
      <c r="A1220" s="3" t="s">
        <v>2005</v>
      </c>
      <c r="B1220" s="3" t="s">
        <v>2006</v>
      </c>
      <c r="C1220" s="1">
        <v>20</v>
      </c>
      <c r="D1220" s="1">
        <v>55</v>
      </c>
      <c r="E1220" s="1" t="s">
        <v>2002</v>
      </c>
      <c r="F1220" s="1" t="s">
        <v>3781</v>
      </c>
      <c r="G1220" s="3"/>
      <c r="H1220" s="11">
        <f>ROUND(
IF(L1218="GANCHO",
   IF(I1220&lt;=50,I1220*1.1+4,IF(I1220&lt;=120,I1220*1.1+7,IF(I1220&lt;=250,I1220*1.1+11,I1220*1.1+19))),
IF(L1218="NORMAL",
   IF(I1220&lt;=30,I1220*1.15+2,IF(I1220&lt;=80,I1220*1.15+4,IF(I1220&lt;=150,I1220*1.15+6,I1220*1.15+8))),
IF(L1218="COMPLEMENTO",
   IF(I1220&lt;=25,I1220*1.25+1.5,IF(I1220&lt;=60,I1220*1.25+3,IF(I1220&lt;=120,I1220*1.25+4,I1220*1.25+5))),
""))),2)</f>
        <v>267.73</v>
      </c>
      <c r="I1220" s="9">
        <f>($K$2+0.02)*Tabla1[[#This Row],[PRECIO $]]*1.18</f>
        <v>225.852</v>
      </c>
      <c r="J1220" s="7">
        <f>+Tabla1[[#This Row],[PRECIO EN SOLES]]-Tabla1[[#This Row],[PC]]</f>
        <v>41.878000000000014</v>
      </c>
      <c r="K1220" s="15"/>
      <c r="L1220" s="15" t="str">
        <f>IF(
OR(
ISNUMBER(SEARCH("BACKPACK",B1222)),
ISNUMBER(SEARCH("MOCHILA",B1222)),
ISNUMBER(SEARCH("FUNDA",B1222)),
ISNUMBER(SEARCH("ESTUCHE",B1222)),
ISNUMBER(SEARCH("BOOK COVER",B1222)),
ISNUMBER(SEARCH("KEYBOARD PARA TABLET",B1222)),
ISNUMBER(SEARCH("FLIP TABLET",B1222)),
ISNUMBER(SEARCH("CASE FOR TABLET",B1222)),
ISNUMBER(SEARCH("CABLE",B1222)),
ISNUMBER(SEARCH("ADAPTADOR",B1222)),
ISNUMBER(SEARCH("HUB",B1222)),
ISNUMBER(SEARCH("DOCK",B1222)),
ISNUMBER(SEARCH("MOUSE PAD",B1222)),
ISNUMBER(SEARCH("MOUSEPAD",B1222)),
ISNUMBER(SEARCH("SOPORTE",B1222)),
ISNUMBER(SEARCH("STAND",B1222)),
ISNUMBER(SEARCH("TRAVEL ADAPTER",B1222)),
ISNUMBER(SEARCH("RJ45",B1222)),
ISNUMBER(SEARCH("USB-C",B1222)),
ISNUMBER(SEARCH("USB WIFI",B1222)),
ISNUMBER(SEARCH("POWERBANK",B1222)),
ISNUMBER(SEARCH("CARGADOR",B1222)),
ISNUMBER(SEARCH("COOLER PARA NB",B1222)),
ISNUMBER(SEARCH("SOPORTE PARA NB",B1222)),
ISNUMBER(SEARCH("WEBCAM",B1222)),
ISNUMBER(SEARCH("WEB CAM",B1222)),
ISNUMBER(SEARCH("MOUSE",B1222)),
ISNUMBER(SEARCH("TECLADO",B1222))
),
"COMPLEMENTO",
IF(
OR(
LEFT(A1222,2)="NB",
LEFT(A1222,2)="PC",
LEFT(A1222,2)="WS",
LEFT(A1222,2)="TB",
LEFT(A1222,3)="CEL",
LEFT(A1222,3)="MON",
LEFT(A1222,3)="PRE",
LEFT(A1222,3)="PRH",
ISNUMBER(SEARCH("NOTEBOOK",B1222)),
ISNUMBER(SEARCH("LAPTOP",B1222)),
ISNUMBER(SEARCH("MONITOR",B1222)),
ISNUMBER(SEARCH("TABLET",B1222)),
ISNUMBER(SEARCH("SMARTPH",B1222)),
ISNUMBER(SEARCH("IMPRESORA",B1222)),
ISNUMBER(SEARCH("MULTIFUNCIONAL",B1222)),
ISNUMBER(SEARCH("AIO",B1222))
),
"GANCHO",
"NORMAL"
)
)</f>
        <v>NORMAL</v>
      </c>
    </row>
    <row r="1221" spans="1:12" x14ac:dyDescent="0.25">
      <c r="A1221" s="3" t="s">
        <v>2007</v>
      </c>
      <c r="B1221" s="3" t="s">
        <v>2008</v>
      </c>
      <c r="C1221" s="1">
        <v>1</v>
      </c>
      <c r="D1221" s="1">
        <v>268</v>
      </c>
      <c r="E1221" s="1" t="s">
        <v>1123</v>
      </c>
      <c r="F1221" s="1" t="s">
        <v>3782</v>
      </c>
      <c r="G1221" s="3" t="s">
        <v>2009</v>
      </c>
      <c r="H1221" s="11">
        <f>ROUND(
IF(L1219="GANCHO",
   IF(I1221&lt;=50,I1221*1.1+4,IF(I1221&lt;=120,I1221*1.1+7,IF(I1221&lt;=250,I1221*1.1+11,I1221*1.1+19))),
IF(L1219="NORMAL",
   IF(I1221&lt;=30,I1221*1.15+2,IF(I1221&lt;=80,I1221*1.15+4,IF(I1221&lt;=150,I1221*1.15+6,I1221*1.15+8))),
IF(L1219="COMPLEMENTO",
   IF(I1221&lt;=25,I1221*1.25+1.5,IF(I1221&lt;=60,I1221*1.25+3,IF(I1221&lt;=120,I1221*1.25+4,I1221*1.25+5))),
""))),2)</f>
        <v>1273.5899999999999</v>
      </c>
      <c r="I1221" s="9">
        <f>($K$2+0.02)*Tabla1[[#This Row],[PRECIO $]]*1.18</f>
        <v>1100.5151999999998</v>
      </c>
      <c r="J1221" s="7">
        <f>+Tabla1[[#This Row],[PRECIO EN SOLES]]-Tabla1[[#This Row],[PC]]</f>
        <v>173.0748000000001</v>
      </c>
      <c r="K1221" s="15"/>
      <c r="L1221" s="15" t="str">
        <f>IF(
OR(
ISNUMBER(SEARCH("BACKPACK",B1223)),
ISNUMBER(SEARCH("MOCHILA",B1223)),
ISNUMBER(SEARCH("FUNDA",B1223)),
ISNUMBER(SEARCH("ESTUCHE",B1223)),
ISNUMBER(SEARCH("BOOK COVER",B1223)),
ISNUMBER(SEARCH("KEYBOARD PARA TABLET",B1223)),
ISNUMBER(SEARCH("FLIP TABLET",B1223)),
ISNUMBER(SEARCH("CASE FOR TABLET",B1223)),
ISNUMBER(SEARCH("CABLE",B1223)),
ISNUMBER(SEARCH("ADAPTADOR",B1223)),
ISNUMBER(SEARCH("HUB",B1223)),
ISNUMBER(SEARCH("DOCK",B1223)),
ISNUMBER(SEARCH("MOUSE PAD",B1223)),
ISNUMBER(SEARCH("MOUSEPAD",B1223)),
ISNUMBER(SEARCH("SOPORTE",B1223)),
ISNUMBER(SEARCH("STAND",B1223)),
ISNUMBER(SEARCH("TRAVEL ADAPTER",B1223)),
ISNUMBER(SEARCH("RJ45",B1223)),
ISNUMBER(SEARCH("USB-C",B1223)),
ISNUMBER(SEARCH("USB WIFI",B1223)),
ISNUMBER(SEARCH("POWERBANK",B1223)),
ISNUMBER(SEARCH("CARGADOR",B1223)),
ISNUMBER(SEARCH("COOLER PARA NB",B1223)),
ISNUMBER(SEARCH("SOPORTE PARA NB",B1223)),
ISNUMBER(SEARCH("WEBCAM",B1223)),
ISNUMBER(SEARCH("WEB CAM",B1223)),
ISNUMBER(SEARCH("MOUSE",B1223)),
ISNUMBER(SEARCH("TECLADO",B1223))
),
"COMPLEMENTO",
IF(
OR(
LEFT(A1223,2)="NB",
LEFT(A1223,2)="PC",
LEFT(A1223,2)="WS",
LEFT(A1223,2)="TB",
LEFT(A1223,3)="CEL",
LEFT(A1223,3)="MON",
LEFT(A1223,3)="PRE",
LEFT(A1223,3)="PRH",
ISNUMBER(SEARCH("NOTEBOOK",B1223)),
ISNUMBER(SEARCH("LAPTOP",B1223)),
ISNUMBER(SEARCH("MONITOR",B1223)),
ISNUMBER(SEARCH("TABLET",B1223)),
ISNUMBER(SEARCH("SMARTPH",B1223)),
ISNUMBER(SEARCH("IMPRESORA",B1223)),
ISNUMBER(SEARCH("MULTIFUNCIONAL",B1223)),
ISNUMBER(SEARCH("AIO",B1223))
),
"GANCHO",
"NORMAL"
)
)</f>
        <v>NORMAL</v>
      </c>
    </row>
    <row r="1222" spans="1:12" x14ac:dyDescent="0.25">
      <c r="A1222" s="3" t="s">
        <v>2010</v>
      </c>
      <c r="B1222" s="3" t="s">
        <v>2011</v>
      </c>
      <c r="C1222" s="1">
        <v>1</v>
      </c>
      <c r="D1222" s="1">
        <v>283</v>
      </c>
      <c r="E1222" s="1" t="s">
        <v>1123</v>
      </c>
      <c r="F1222" s="1" t="s">
        <v>3783</v>
      </c>
      <c r="G1222" s="3" t="s">
        <v>2012</v>
      </c>
      <c r="H1222" s="11">
        <f>ROUND(
IF(L1220="GANCHO",
   IF(I1222&lt;=50,I1222*1.1+4,IF(I1222&lt;=120,I1222*1.1+7,IF(I1222&lt;=250,I1222*1.1+11,I1222*1.1+19))),
IF(L1220="NORMAL",
   IF(I1222&lt;=30,I1222*1.15+2,IF(I1222&lt;=80,I1222*1.15+4,IF(I1222&lt;=150,I1222*1.15+6,I1222*1.15+8))),
IF(L1220="COMPLEMENTO",
   IF(I1222&lt;=25,I1222*1.25+1.5,IF(I1222&lt;=60,I1222*1.25+3,IF(I1222&lt;=120,I1222*1.25+4,I1222*1.25+5))),
""))),2)</f>
        <v>1344.43</v>
      </c>
      <c r="I1222" s="9">
        <f>($K$2+0.02)*Tabla1[[#This Row],[PRECIO $]]*1.18</f>
        <v>1162.1112000000001</v>
      </c>
      <c r="J1222" s="7">
        <f>+Tabla1[[#This Row],[PRECIO EN SOLES]]-Tabla1[[#This Row],[PC]]</f>
        <v>182.31880000000001</v>
      </c>
      <c r="K1222" s="15"/>
      <c r="L1222" s="15" t="str">
        <f>IF(
OR(
ISNUMBER(SEARCH("BACKPACK",B1224)),
ISNUMBER(SEARCH("MOCHILA",B1224)),
ISNUMBER(SEARCH("FUNDA",B1224)),
ISNUMBER(SEARCH("ESTUCHE",B1224)),
ISNUMBER(SEARCH("BOOK COVER",B1224)),
ISNUMBER(SEARCH("KEYBOARD PARA TABLET",B1224)),
ISNUMBER(SEARCH("FLIP TABLET",B1224)),
ISNUMBER(SEARCH("CASE FOR TABLET",B1224)),
ISNUMBER(SEARCH("CABLE",B1224)),
ISNUMBER(SEARCH("ADAPTADOR",B1224)),
ISNUMBER(SEARCH("HUB",B1224)),
ISNUMBER(SEARCH("DOCK",B1224)),
ISNUMBER(SEARCH("MOUSE PAD",B1224)),
ISNUMBER(SEARCH("MOUSEPAD",B1224)),
ISNUMBER(SEARCH("SOPORTE",B1224)),
ISNUMBER(SEARCH("STAND",B1224)),
ISNUMBER(SEARCH("TRAVEL ADAPTER",B1224)),
ISNUMBER(SEARCH("RJ45",B1224)),
ISNUMBER(SEARCH("USB-C",B1224)),
ISNUMBER(SEARCH("USB WIFI",B1224)),
ISNUMBER(SEARCH("POWERBANK",B1224)),
ISNUMBER(SEARCH("CARGADOR",B1224)),
ISNUMBER(SEARCH("COOLER PARA NB",B1224)),
ISNUMBER(SEARCH("SOPORTE PARA NB",B1224)),
ISNUMBER(SEARCH("WEBCAM",B1224)),
ISNUMBER(SEARCH("WEB CAM",B1224)),
ISNUMBER(SEARCH("MOUSE",B1224)),
ISNUMBER(SEARCH("TECLADO",B1224))
),
"COMPLEMENTO",
IF(
OR(
LEFT(A1224,2)="NB",
LEFT(A1224,2)="PC",
LEFT(A1224,2)="WS",
LEFT(A1224,2)="TB",
LEFT(A1224,3)="CEL",
LEFT(A1224,3)="MON",
LEFT(A1224,3)="PRE",
LEFT(A1224,3)="PRH",
ISNUMBER(SEARCH("NOTEBOOK",B1224)),
ISNUMBER(SEARCH("LAPTOP",B1224)),
ISNUMBER(SEARCH("MONITOR",B1224)),
ISNUMBER(SEARCH("TABLET",B1224)),
ISNUMBER(SEARCH("SMARTPH",B1224)),
ISNUMBER(SEARCH("IMPRESORA",B1224)),
ISNUMBER(SEARCH("MULTIFUNCIONAL",B1224)),
ISNUMBER(SEARCH("AIO",B1224))
),
"GANCHO",
"NORMAL"
)
)</f>
        <v>NORMAL</v>
      </c>
    </row>
    <row r="1223" spans="1:12" x14ac:dyDescent="0.25">
      <c r="A1223" s="3" t="s">
        <v>2013</v>
      </c>
      <c r="B1223" s="3" t="s">
        <v>2014</v>
      </c>
      <c r="C1223" s="1">
        <v>3</v>
      </c>
      <c r="D1223" s="1">
        <v>686</v>
      </c>
      <c r="E1223" s="1" t="s">
        <v>1123</v>
      </c>
      <c r="F1223" s="1" t="s">
        <v>3784</v>
      </c>
      <c r="G1223" s="3" t="s">
        <v>2015</v>
      </c>
      <c r="H1223" s="11">
        <f>ROUND(
IF(L1221="GANCHO",
   IF(I1223&lt;=50,I1223*1.1+4,IF(I1223&lt;=120,I1223*1.1+7,IF(I1223&lt;=250,I1223*1.1+11,I1223*1.1+19))),
IF(L1221="NORMAL",
   IF(I1223&lt;=30,I1223*1.15+2,IF(I1223&lt;=80,I1223*1.15+4,IF(I1223&lt;=150,I1223*1.15+6,I1223*1.15+8))),
IF(L1221="COMPLEMENTO",
   IF(I1223&lt;=25,I1223*1.25+1.5,IF(I1223&lt;=60,I1223*1.25+3,IF(I1223&lt;=120,I1223*1.25+4,I1223*1.25+5))),
""))),2)</f>
        <v>3247.54</v>
      </c>
      <c r="I1223" s="9">
        <f>($K$2+0.02)*Tabla1[[#This Row],[PRECIO $]]*1.18</f>
        <v>2816.9904000000001</v>
      </c>
      <c r="J1223" s="7">
        <f>+Tabla1[[#This Row],[PRECIO EN SOLES]]-Tabla1[[#This Row],[PC]]</f>
        <v>430.54959999999983</v>
      </c>
      <c r="K1223" s="15"/>
      <c r="L1223" s="15" t="str">
        <f>IF(
OR(
ISNUMBER(SEARCH("BACKPACK",B1225)),
ISNUMBER(SEARCH("MOCHILA",B1225)),
ISNUMBER(SEARCH("FUNDA",B1225)),
ISNUMBER(SEARCH("ESTUCHE",B1225)),
ISNUMBER(SEARCH("BOOK COVER",B1225)),
ISNUMBER(SEARCH("KEYBOARD PARA TABLET",B1225)),
ISNUMBER(SEARCH("FLIP TABLET",B1225)),
ISNUMBER(SEARCH("CASE FOR TABLET",B1225)),
ISNUMBER(SEARCH("CABLE",B1225)),
ISNUMBER(SEARCH("ADAPTADOR",B1225)),
ISNUMBER(SEARCH("HUB",B1225)),
ISNUMBER(SEARCH("DOCK",B1225)),
ISNUMBER(SEARCH("MOUSE PAD",B1225)),
ISNUMBER(SEARCH("MOUSEPAD",B1225)),
ISNUMBER(SEARCH("SOPORTE",B1225)),
ISNUMBER(SEARCH("STAND",B1225)),
ISNUMBER(SEARCH("TRAVEL ADAPTER",B1225)),
ISNUMBER(SEARCH("RJ45",B1225)),
ISNUMBER(SEARCH("USB-C",B1225)),
ISNUMBER(SEARCH("USB WIFI",B1225)),
ISNUMBER(SEARCH("POWERBANK",B1225)),
ISNUMBER(SEARCH("CARGADOR",B1225)),
ISNUMBER(SEARCH("COOLER PARA NB",B1225)),
ISNUMBER(SEARCH("SOPORTE PARA NB",B1225)),
ISNUMBER(SEARCH("WEBCAM",B1225)),
ISNUMBER(SEARCH("WEB CAM",B1225)),
ISNUMBER(SEARCH("MOUSE",B1225)),
ISNUMBER(SEARCH("TECLADO",B1225))
),
"COMPLEMENTO",
IF(
OR(
LEFT(A1225,2)="NB",
LEFT(A1225,2)="PC",
LEFT(A1225,2)="WS",
LEFT(A1225,2)="TB",
LEFT(A1225,3)="CEL",
LEFT(A1225,3)="MON",
LEFT(A1225,3)="PRE",
LEFT(A1225,3)="PRH",
ISNUMBER(SEARCH("NOTEBOOK",B1225)),
ISNUMBER(SEARCH("LAPTOP",B1225)),
ISNUMBER(SEARCH("MONITOR",B1225)),
ISNUMBER(SEARCH("TABLET",B1225)),
ISNUMBER(SEARCH("SMARTPH",B1225)),
ISNUMBER(SEARCH("IMPRESORA",B1225)),
ISNUMBER(SEARCH("MULTIFUNCIONAL",B1225)),
ISNUMBER(SEARCH("AIO",B1225))
),
"GANCHO",
"NORMAL"
)
)</f>
        <v>NORMAL</v>
      </c>
    </row>
    <row r="1224" spans="1:12" x14ac:dyDescent="0.25">
      <c r="A1224" s="3" t="s">
        <v>2016</v>
      </c>
      <c r="B1224" s="3" t="s">
        <v>2017</v>
      </c>
      <c r="C1224" s="1">
        <v>1</v>
      </c>
      <c r="D1224" s="1">
        <v>948</v>
      </c>
      <c r="E1224" s="1" t="s">
        <v>1123</v>
      </c>
      <c r="F1224" s="1" t="s">
        <v>3785</v>
      </c>
      <c r="G1224" s="3" t="s">
        <v>2018</v>
      </c>
      <c r="H1224" s="11">
        <f>ROUND(
IF(L1222="GANCHO",
   IF(I1224&lt;=50,I1224*1.1+4,IF(I1224&lt;=120,I1224*1.1+7,IF(I1224&lt;=250,I1224*1.1+11,I1224*1.1+19))),
IF(L1222="NORMAL",
   IF(I1224&lt;=30,I1224*1.15+2,IF(I1224&lt;=80,I1224*1.15+4,IF(I1224&lt;=150,I1224*1.15+6,I1224*1.15+8))),
IF(L1222="COMPLEMENTO",
   IF(I1224&lt;=25,I1224*1.25+1.5,IF(I1224&lt;=60,I1224*1.25+3,IF(I1224&lt;=120,I1224*1.25+4,I1224*1.25+5))),
""))),2)</f>
        <v>4484.8</v>
      </c>
      <c r="I1224" s="9">
        <f>($K$2+0.02)*Tabla1[[#This Row],[PRECIO $]]*1.18</f>
        <v>3892.8671999999997</v>
      </c>
      <c r="J1224" s="7">
        <f>+Tabla1[[#This Row],[PRECIO EN SOLES]]-Tabla1[[#This Row],[PC]]</f>
        <v>591.9328000000005</v>
      </c>
      <c r="K1224" s="15"/>
      <c r="L1224" s="15" t="str">
        <f>IF(
OR(
ISNUMBER(SEARCH("BACKPACK",B1226)),
ISNUMBER(SEARCH("MOCHILA",B1226)),
ISNUMBER(SEARCH("FUNDA",B1226)),
ISNUMBER(SEARCH("ESTUCHE",B1226)),
ISNUMBER(SEARCH("BOOK COVER",B1226)),
ISNUMBER(SEARCH("KEYBOARD PARA TABLET",B1226)),
ISNUMBER(SEARCH("FLIP TABLET",B1226)),
ISNUMBER(SEARCH("CASE FOR TABLET",B1226)),
ISNUMBER(SEARCH("CABLE",B1226)),
ISNUMBER(SEARCH("ADAPTADOR",B1226)),
ISNUMBER(SEARCH("HUB",B1226)),
ISNUMBER(SEARCH("DOCK",B1226)),
ISNUMBER(SEARCH("MOUSE PAD",B1226)),
ISNUMBER(SEARCH("MOUSEPAD",B1226)),
ISNUMBER(SEARCH("SOPORTE",B1226)),
ISNUMBER(SEARCH("STAND",B1226)),
ISNUMBER(SEARCH("TRAVEL ADAPTER",B1226)),
ISNUMBER(SEARCH("RJ45",B1226)),
ISNUMBER(SEARCH("USB-C",B1226)),
ISNUMBER(SEARCH("USB WIFI",B1226)),
ISNUMBER(SEARCH("POWERBANK",B1226)),
ISNUMBER(SEARCH("CARGADOR",B1226)),
ISNUMBER(SEARCH("COOLER PARA NB",B1226)),
ISNUMBER(SEARCH("SOPORTE PARA NB",B1226)),
ISNUMBER(SEARCH("WEBCAM",B1226)),
ISNUMBER(SEARCH("WEB CAM",B1226)),
ISNUMBER(SEARCH("MOUSE",B1226)),
ISNUMBER(SEARCH("TECLADO",B1226))
),
"COMPLEMENTO",
IF(
OR(
LEFT(A1226,2)="NB",
LEFT(A1226,2)="PC",
LEFT(A1226,2)="WS",
LEFT(A1226,2)="TB",
LEFT(A1226,3)="CEL",
LEFT(A1226,3)="MON",
LEFT(A1226,3)="PRE",
LEFT(A1226,3)="PRH",
ISNUMBER(SEARCH("NOTEBOOK",B1226)),
ISNUMBER(SEARCH("LAPTOP",B1226)),
ISNUMBER(SEARCH("MONITOR",B1226)),
ISNUMBER(SEARCH("TABLET",B1226)),
ISNUMBER(SEARCH("SMARTPH",B1226)),
ISNUMBER(SEARCH("IMPRESORA",B1226)),
ISNUMBER(SEARCH("MULTIFUNCIONAL",B1226)),
ISNUMBER(SEARCH("AIO",B1226))
),
"GANCHO",
"NORMAL"
)
)</f>
        <v>NORMAL</v>
      </c>
    </row>
    <row r="1225" spans="1:12" x14ac:dyDescent="0.25">
      <c r="A1225" s="3" t="s">
        <v>2019</v>
      </c>
      <c r="B1225" s="3" t="s">
        <v>2020</v>
      </c>
      <c r="C1225" s="1">
        <v>1</v>
      </c>
      <c r="D1225" s="1">
        <v>320</v>
      </c>
      <c r="E1225" s="1" t="s">
        <v>1123</v>
      </c>
      <c r="F1225" s="1" t="s">
        <v>3786</v>
      </c>
      <c r="G1225" s="3" t="s">
        <v>2021</v>
      </c>
      <c r="H1225" s="11">
        <f>ROUND(
IF(L1223="GANCHO",
   IF(I1225&lt;=50,I1225*1.1+4,IF(I1225&lt;=120,I1225*1.1+7,IF(I1225&lt;=250,I1225*1.1+11,I1225*1.1+19))),
IF(L1223="NORMAL",
   IF(I1225&lt;=30,I1225*1.15+2,IF(I1225&lt;=80,I1225*1.15+4,IF(I1225&lt;=150,I1225*1.15+6,I1225*1.15+8))),
IF(L1223="COMPLEMENTO",
   IF(I1225&lt;=25,I1225*1.25+1.5,IF(I1225&lt;=60,I1225*1.25+3,IF(I1225&lt;=120,I1225*1.25+4,I1225*1.25+5))),
""))),2)</f>
        <v>1519.16</v>
      </c>
      <c r="I1225" s="9">
        <f>($K$2+0.02)*Tabla1[[#This Row],[PRECIO $]]*1.18</f>
        <v>1314.0479999999998</v>
      </c>
      <c r="J1225" s="7">
        <f>+Tabla1[[#This Row],[PRECIO EN SOLES]]-Tabla1[[#This Row],[PC]]</f>
        <v>205.11200000000031</v>
      </c>
      <c r="K1225" s="15"/>
      <c r="L1225" s="15" t="str">
        <f>IF(
OR(
ISNUMBER(SEARCH("BACKPACK",B1227)),
ISNUMBER(SEARCH("MOCHILA",B1227)),
ISNUMBER(SEARCH("FUNDA",B1227)),
ISNUMBER(SEARCH("ESTUCHE",B1227)),
ISNUMBER(SEARCH("BOOK COVER",B1227)),
ISNUMBER(SEARCH("KEYBOARD PARA TABLET",B1227)),
ISNUMBER(SEARCH("FLIP TABLET",B1227)),
ISNUMBER(SEARCH("CASE FOR TABLET",B1227)),
ISNUMBER(SEARCH("CABLE",B1227)),
ISNUMBER(SEARCH("ADAPTADOR",B1227)),
ISNUMBER(SEARCH("HUB",B1227)),
ISNUMBER(SEARCH("DOCK",B1227)),
ISNUMBER(SEARCH("MOUSE PAD",B1227)),
ISNUMBER(SEARCH("MOUSEPAD",B1227)),
ISNUMBER(SEARCH("SOPORTE",B1227)),
ISNUMBER(SEARCH("STAND",B1227)),
ISNUMBER(SEARCH("TRAVEL ADAPTER",B1227)),
ISNUMBER(SEARCH("RJ45",B1227)),
ISNUMBER(SEARCH("USB-C",B1227)),
ISNUMBER(SEARCH("USB WIFI",B1227)),
ISNUMBER(SEARCH("POWERBANK",B1227)),
ISNUMBER(SEARCH("CARGADOR",B1227)),
ISNUMBER(SEARCH("COOLER PARA NB",B1227)),
ISNUMBER(SEARCH("SOPORTE PARA NB",B1227)),
ISNUMBER(SEARCH("WEBCAM",B1227)),
ISNUMBER(SEARCH("WEB CAM",B1227)),
ISNUMBER(SEARCH("MOUSE",B1227)),
ISNUMBER(SEARCH("TECLADO",B1227))
),
"COMPLEMENTO",
IF(
OR(
LEFT(A1227,2)="NB",
LEFT(A1227,2)="PC",
LEFT(A1227,2)="WS",
LEFT(A1227,2)="TB",
LEFT(A1227,3)="CEL",
LEFT(A1227,3)="MON",
LEFT(A1227,3)="PRE",
LEFT(A1227,3)="PRH",
ISNUMBER(SEARCH("NOTEBOOK",B1227)),
ISNUMBER(SEARCH("LAPTOP",B1227)),
ISNUMBER(SEARCH("MONITOR",B1227)),
ISNUMBER(SEARCH("TABLET",B1227)),
ISNUMBER(SEARCH("SMARTPH",B1227)),
ISNUMBER(SEARCH("IMPRESORA",B1227)),
ISNUMBER(SEARCH("MULTIFUNCIONAL",B1227)),
ISNUMBER(SEARCH("AIO",B1227))
),
"GANCHO",
"NORMAL"
)
)</f>
        <v>COMPLEMENTO</v>
      </c>
    </row>
    <row r="1226" spans="1:12" x14ac:dyDescent="0.25">
      <c r="A1226" s="3" t="s">
        <v>2022</v>
      </c>
      <c r="B1226" s="3" t="s">
        <v>2023</v>
      </c>
      <c r="C1226" s="1">
        <v>1</v>
      </c>
      <c r="D1226" s="1">
        <v>38.6</v>
      </c>
      <c r="E1226" s="1" t="s">
        <v>1123</v>
      </c>
      <c r="F1226" s="1" t="s">
        <v>3787</v>
      </c>
      <c r="G1226" s="3" t="s">
        <v>2024</v>
      </c>
      <c r="H1226" s="11">
        <f>ROUND(
IF(L1224="GANCHO",
   IF(I1226&lt;=50,I1226*1.1+4,IF(I1226&lt;=120,I1226*1.1+7,IF(I1226&lt;=250,I1226*1.1+11,I1226*1.1+19))),
IF(L1224="NORMAL",
   IF(I1226&lt;=30,I1226*1.15+2,IF(I1226&lt;=80,I1226*1.15+4,IF(I1226&lt;=150,I1226*1.15+6,I1226*1.15+8))),
IF(L1224="COMPLEMENTO",
   IF(I1226&lt;=25,I1226*1.25+1.5,IF(I1226&lt;=60,I1226*1.25+3,IF(I1226&lt;=120,I1226*1.25+4,I1226*1.25+5))),
""))),2)</f>
        <v>190.28</v>
      </c>
      <c r="I1226" s="9">
        <f>($K$2+0.02)*Tabla1[[#This Row],[PRECIO $]]*1.18</f>
        <v>158.50703999999999</v>
      </c>
      <c r="J1226" s="7">
        <f>+Tabla1[[#This Row],[PRECIO EN SOLES]]-Tabla1[[#This Row],[PC]]</f>
        <v>31.772960000000012</v>
      </c>
      <c r="K1226" s="15"/>
      <c r="L1226" s="15" t="str">
        <f>IF(
OR(
ISNUMBER(SEARCH("BACKPACK",B1228)),
ISNUMBER(SEARCH("MOCHILA",B1228)),
ISNUMBER(SEARCH("FUNDA",B1228)),
ISNUMBER(SEARCH("ESTUCHE",B1228)),
ISNUMBER(SEARCH("BOOK COVER",B1228)),
ISNUMBER(SEARCH("KEYBOARD PARA TABLET",B1228)),
ISNUMBER(SEARCH("FLIP TABLET",B1228)),
ISNUMBER(SEARCH("CASE FOR TABLET",B1228)),
ISNUMBER(SEARCH("CABLE",B1228)),
ISNUMBER(SEARCH("ADAPTADOR",B1228)),
ISNUMBER(SEARCH("HUB",B1228)),
ISNUMBER(SEARCH("DOCK",B1228)),
ISNUMBER(SEARCH("MOUSE PAD",B1228)),
ISNUMBER(SEARCH("MOUSEPAD",B1228)),
ISNUMBER(SEARCH("SOPORTE",B1228)),
ISNUMBER(SEARCH("STAND",B1228)),
ISNUMBER(SEARCH("TRAVEL ADAPTER",B1228)),
ISNUMBER(SEARCH("RJ45",B1228)),
ISNUMBER(SEARCH("USB-C",B1228)),
ISNUMBER(SEARCH("USB WIFI",B1228)),
ISNUMBER(SEARCH("POWERBANK",B1228)),
ISNUMBER(SEARCH("CARGADOR",B1228)),
ISNUMBER(SEARCH("COOLER PARA NB",B1228)),
ISNUMBER(SEARCH("SOPORTE PARA NB",B1228)),
ISNUMBER(SEARCH("WEBCAM",B1228)),
ISNUMBER(SEARCH("WEB CAM",B1228)),
ISNUMBER(SEARCH("MOUSE",B1228)),
ISNUMBER(SEARCH("TECLADO",B1228))
),
"COMPLEMENTO",
IF(
OR(
LEFT(A1228,2)="NB",
LEFT(A1228,2)="PC",
LEFT(A1228,2)="WS",
LEFT(A1228,2)="TB",
LEFT(A1228,3)="CEL",
LEFT(A1228,3)="MON",
LEFT(A1228,3)="PRE",
LEFT(A1228,3)="PRH",
ISNUMBER(SEARCH("NOTEBOOK",B1228)),
ISNUMBER(SEARCH("LAPTOP",B1228)),
ISNUMBER(SEARCH("MONITOR",B1228)),
ISNUMBER(SEARCH("TABLET",B1228)),
ISNUMBER(SEARCH("SMARTPH",B1228)),
ISNUMBER(SEARCH("IMPRESORA",B1228)),
ISNUMBER(SEARCH("MULTIFUNCIONAL",B1228)),
ISNUMBER(SEARCH("AIO",B1228))
),
"GANCHO",
"NORMAL"
)
)</f>
        <v>COMPLEMENTO</v>
      </c>
    </row>
    <row r="1227" spans="1:12" x14ac:dyDescent="0.25">
      <c r="A1227" s="3" t="s">
        <v>2025</v>
      </c>
      <c r="B1227" s="3" t="s">
        <v>2026</v>
      </c>
      <c r="C1227" s="1">
        <v>20</v>
      </c>
      <c r="D1227" s="1">
        <v>12.35</v>
      </c>
      <c r="E1227" s="1" t="s">
        <v>424</v>
      </c>
      <c r="F1227" s="1" t="s">
        <v>3788</v>
      </c>
      <c r="G1227" s="3" t="s">
        <v>2027</v>
      </c>
      <c r="H1227" s="11">
        <f>ROUND(
IF(L1225="GANCHO",
   IF(I1227&lt;=50,I1227*1.1+4,IF(I1227&lt;=120,I1227*1.1+7,IF(I1227&lt;=250,I1227*1.1+11,I1227*1.1+19))),
IF(L1225="NORMAL",
   IF(I1227&lt;=30,I1227*1.15+2,IF(I1227&lt;=80,I1227*1.15+4,IF(I1227&lt;=150,I1227*1.15+6,I1227*1.15+8))),
IF(L1225="COMPLEMENTO",
   IF(I1227&lt;=25,I1227*1.25+1.5,IF(I1227&lt;=60,I1227*1.25+3,IF(I1227&lt;=120,I1227*1.25+4,I1227*1.25+5))),
""))),2)</f>
        <v>66.39</v>
      </c>
      <c r="I1227" s="9">
        <f>($K$2+0.02)*Tabla1[[#This Row],[PRECIO $]]*1.18</f>
        <v>50.714039999999997</v>
      </c>
      <c r="J1227" s="7">
        <f>+Tabla1[[#This Row],[PRECIO EN SOLES]]-Tabla1[[#This Row],[PC]]</f>
        <v>15.675960000000003</v>
      </c>
      <c r="K1227" s="15"/>
      <c r="L1227" s="15" t="str">
        <f>IF(
OR(
ISNUMBER(SEARCH("BACKPACK",B1229)),
ISNUMBER(SEARCH("MOCHILA",B1229)),
ISNUMBER(SEARCH("FUNDA",B1229)),
ISNUMBER(SEARCH("ESTUCHE",B1229)),
ISNUMBER(SEARCH("BOOK COVER",B1229)),
ISNUMBER(SEARCH("KEYBOARD PARA TABLET",B1229)),
ISNUMBER(SEARCH("FLIP TABLET",B1229)),
ISNUMBER(SEARCH("CASE FOR TABLET",B1229)),
ISNUMBER(SEARCH("CABLE",B1229)),
ISNUMBER(SEARCH("ADAPTADOR",B1229)),
ISNUMBER(SEARCH("HUB",B1229)),
ISNUMBER(SEARCH("DOCK",B1229)),
ISNUMBER(SEARCH("MOUSE PAD",B1229)),
ISNUMBER(SEARCH("MOUSEPAD",B1229)),
ISNUMBER(SEARCH("SOPORTE",B1229)),
ISNUMBER(SEARCH("STAND",B1229)),
ISNUMBER(SEARCH("TRAVEL ADAPTER",B1229)),
ISNUMBER(SEARCH("RJ45",B1229)),
ISNUMBER(SEARCH("USB-C",B1229)),
ISNUMBER(SEARCH("USB WIFI",B1229)),
ISNUMBER(SEARCH("POWERBANK",B1229)),
ISNUMBER(SEARCH("CARGADOR",B1229)),
ISNUMBER(SEARCH("COOLER PARA NB",B1229)),
ISNUMBER(SEARCH("SOPORTE PARA NB",B1229)),
ISNUMBER(SEARCH("WEBCAM",B1229)),
ISNUMBER(SEARCH("WEB CAM",B1229)),
ISNUMBER(SEARCH("MOUSE",B1229)),
ISNUMBER(SEARCH("TECLADO",B1229))
),
"COMPLEMENTO",
IF(
OR(
LEFT(A1229,2)="NB",
LEFT(A1229,2)="PC",
LEFT(A1229,2)="WS",
LEFT(A1229,2)="TB",
LEFT(A1229,3)="CEL",
LEFT(A1229,3)="MON",
LEFT(A1229,3)="PRE",
LEFT(A1229,3)="PRH",
ISNUMBER(SEARCH("NOTEBOOK",B1229)),
ISNUMBER(SEARCH("LAPTOP",B1229)),
ISNUMBER(SEARCH("MONITOR",B1229)),
ISNUMBER(SEARCH("TABLET",B1229)),
ISNUMBER(SEARCH("SMARTPH",B1229)),
ISNUMBER(SEARCH("IMPRESORA",B1229)),
ISNUMBER(SEARCH("MULTIFUNCIONAL",B1229)),
ISNUMBER(SEARCH("AIO",B1229))
),
"GANCHO",
"NORMAL"
)
)</f>
        <v>COMPLEMENTO</v>
      </c>
    </row>
    <row r="1228" spans="1:12" x14ac:dyDescent="0.25">
      <c r="A1228" s="3" t="s">
        <v>4664</v>
      </c>
      <c r="B1228" s="3" t="s">
        <v>4665</v>
      </c>
      <c r="C1228" s="1">
        <v>20</v>
      </c>
      <c r="D1228" s="1">
        <v>6.2</v>
      </c>
      <c r="E1228" s="1" t="s">
        <v>424</v>
      </c>
      <c r="F1228" s="1" t="s">
        <v>4666</v>
      </c>
      <c r="G1228" s="3" t="s">
        <v>4667</v>
      </c>
      <c r="H1228" s="11">
        <f>ROUND(
IF(L1226="GANCHO",
   IF(I1228&lt;=50,I1228*1.1+4,IF(I1228&lt;=120,I1228*1.1+7,IF(I1228&lt;=250,I1228*1.1+11,I1228*1.1+19))),
IF(L1226="NORMAL",
   IF(I1228&lt;=30,I1228*1.15+2,IF(I1228&lt;=80,I1228*1.15+4,IF(I1228&lt;=150,I1228*1.15+6,I1228*1.15+8))),
IF(L1226="COMPLEMENTO",
   IF(I1228&lt;=25,I1228*1.25+1.5,IF(I1228&lt;=60,I1228*1.25+3,IF(I1228&lt;=120,I1228*1.25+4,I1228*1.25+5))),
""))),2)</f>
        <v>34.82</v>
      </c>
      <c r="I1228" s="9">
        <f>($K$2+0.02)*Tabla1[[#This Row],[PRECIO $]]*1.18</f>
        <v>25.459679999999999</v>
      </c>
      <c r="J1228" s="7">
        <f>+Tabla1[[#This Row],[PRECIO EN SOLES]]-Tabla1[[#This Row],[PC]]</f>
        <v>9.3603200000000015</v>
      </c>
      <c r="K1228" s="15"/>
      <c r="L1228" s="15" t="str">
        <f>IF(
OR(
ISNUMBER(SEARCH("BACKPACK",B1230)),
ISNUMBER(SEARCH("MOCHILA",B1230)),
ISNUMBER(SEARCH("FUNDA",B1230)),
ISNUMBER(SEARCH("ESTUCHE",B1230)),
ISNUMBER(SEARCH("BOOK COVER",B1230)),
ISNUMBER(SEARCH("KEYBOARD PARA TABLET",B1230)),
ISNUMBER(SEARCH("FLIP TABLET",B1230)),
ISNUMBER(SEARCH("CASE FOR TABLET",B1230)),
ISNUMBER(SEARCH("CABLE",B1230)),
ISNUMBER(SEARCH("ADAPTADOR",B1230)),
ISNUMBER(SEARCH("HUB",B1230)),
ISNUMBER(SEARCH("DOCK",B1230)),
ISNUMBER(SEARCH("MOUSE PAD",B1230)),
ISNUMBER(SEARCH("MOUSEPAD",B1230)),
ISNUMBER(SEARCH("SOPORTE",B1230)),
ISNUMBER(SEARCH("STAND",B1230)),
ISNUMBER(SEARCH("TRAVEL ADAPTER",B1230)),
ISNUMBER(SEARCH("RJ45",B1230)),
ISNUMBER(SEARCH("USB-C",B1230)),
ISNUMBER(SEARCH("USB WIFI",B1230)),
ISNUMBER(SEARCH("POWERBANK",B1230)),
ISNUMBER(SEARCH("CARGADOR",B1230)),
ISNUMBER(SEARCH("COOLER PARA NB",B1230)),
ISNUMBER(SEARCH("SOPORTE PARA NB",B1230)),
ISNUMBER(SEARCH("WEBCAM",B1230)),
ISNUMBER(SEARCH("WEB CAM",B1230)),
ISNUMBER(SEARCH("MOUSE",B1230)),
ISNUMBER(SEARCH("TECLADO",B1230))
),
"COMPLEMENTO",
IF(
OR(
LEFT(A1230,2)="NB",
LEFT(A1230,2)="PC",
LEFT(A1230,2)="WS",
LEFT(A1230,2)="TB",
LEFT(A1230,3)="CEL",
LEFT(A1230,3)="MON",
LEFT(A1230,3)="PRE",
LEFT(A1230,3)="PRH",
ISNUMBER(SEARCH("NOTEBOOK",B1230)),
ISNUMBER(SEARCH("LAPTOP",B1230)),
ISNUMBER(SEARCH("MONITOR",B1230)),
ISNUMBER(SEARCH("TABLET",B1230)),
ISNUMBER(SEARCH("SMARTPH",B1230)),
ISNUMBER(SEARCH("IMPRESORA",B1230)),
ISNUMBER(SEARCH("MULTIFUNCIONAL",B1230)),
ISNUMBER(SEARCH("AIO",B1230))
),
"GANCHO",
"NORMAL"
)
)</f>
        <v>NORMAL</v>
      </c>
    </row>
    <row r="1229" spans="1:12" x14ac:dyDescent="0.25">
      <c r="A1229" s="3" t="s">
        <v>425</v>
      </c>
      <c r="B1229" s="3" t="s">
        <v>426</v>
      </c>
      <c r="C1229" s="1">
        <v>20</v>
      </c>
      <c r="D1229" s="1">
        <v>12.41</v>
      </c>
      <c r="E1229" s="1" t="s">
        <v>424</v>
      </c>
      <c r="F1229" s="1" t="s">
        <v>3789</v>
      </c>
      <c r="G1229" s="3" t="s">
        <v>427</v>
      </c>
      <c r="H1229" s="11">
        <f>ROUND(
IF(L1227="GANCHO",
   IF(I1229&lt;=50,I1229*1.1+4,IF(I1229&lt;=120,I1229*1.1+7,IF(I1229&lt;=250,I1229*1.1+11,I1229*1.1+19))),
IF(L1227="NORMAL",
   IF(I1229&lt;=30,I1229*1.15+2,IF(I1229&lt;=80,I1229*1.15+4,IF(I1229&lt;=150,I1229*1.15+6,I1229*1.15+8))),
IF(L1227="COMPLEMENTO",
   IF(I1229&lt;=25,I1229*1.25+1.5,IF(I1229&lt;=60,I1229*1.25+3,IF(I1229&lt;=120,I1229*1.25+4,I1229*1.25+5))),
""))),2)</f>
        <v>66.7</v>
      </c>
      <c r="I1229" s="9">
        <f>($K$2+0.02)*Tabla1[[#This Row],[PRECIO $]]*1.18</f>
        <v>50.960423999999996</v>
      </c>
      <c r="J1229" s="7">
        <f>+Tabla1[[#This Row],[PRECIO EN SOLES]]-Tabla1[[#This Row],[PC]]</f>
        <v>15.739576000000007</v>
      </c>
      <c r="K1229" s="15"/>
      <c r="L1229" s="15" t="str">
        <f>IF(
OR(
ISNUMBER(SEARCH("BACKPACK",B1231)),
ISNUMBER(SEARCH("MOCHILA",B1231)),
ISNUMBER(SEARCH("FUNDA",B1231)),
ISNUMBER(SEARCH("ESTUCHE",B1231)),
ISNUMBER(SEARCH("BOOK COVER",B1231)),
ISNUMBER(SEARCH("KEYBOARD PARA TABLET",B1231)),
ISNUMBER(SEARCH("FLIP TABLET",B1231)),
ISNUMBER(SEARCH("CASE FOR TABLET",B1231)),
ISNUMBER(SEARCH("CABLE",B1231)),
ISNUMBER(SEARCH("ADAPTADOR",B1231)),
ISNUMBER(SEARCH("HUB",B1231)),
ISNUMBER(SEARCH("DOCK",B1231)),
ISNUMBER(SEARCH("MOUSE PAD",B1231)),
ISNUMBER(SEARCH("MOUSEPAD",B1231)),
ISNUMBER(SEARCH("SOPORTE",B1231)),
ISNUMBER(SEARCH("STAND",B1231)),
ISNUMBER(SEARCH("TRAVEL ADAPTER",B1231)),
ISNUMBER(SEARCH("RJ45",B1231)),
ISNUMBER(SEARCH("USB-C",B1231)),
ISNUMBER(SEARCH("USB WIFI",B1231)),
ISNUMBER(SEARCH("POWERBANK",B1231)),
ISNUMBER(SEARCH("CARGADOR",B1231)),
ISNUMBER(SEARCH("COOLER PARA NB",B1231)),
ISNUMBER(SEARCH("SOPORTE PARA NB",B1231)),
ISNUMBER(SEARCH("WEBCAM",B1231)),
ISNUMBER(SEARCH("WEB CAM",B1231)),
ISNUMBER(SEARCH("MOUSE",B1231)),
ISNUMBER(SEARCH("TECLADO",B1231))
),
"COMPLEMENTO",
IF(
OR(
LEFT(A1231,2)="NB",
LEFT(A1231,2)="PC",
LEFT(A1231,2)="WS",
LEFT(A1231,2)="TB",
LEFT(A1231,3)="CEL",
LEFT(A1231,3)="MON",
LEFT(A1231,3)="PRE",
LEFT(A1231,3)="PRH",
ISNUMBER(SEARCH("NOTEBOOK",B1231)),
ISNUMBER(SEARCH("LAPTOP",B1231)),
ISNUMBER(SEARCH("MONITOR",B1231)),
ISNUMBER(SEARCH("TABLET",B1231)),
ISNUMBER(SEARCH("SMARTPH",B1231)),
ISNUMBER(SEARCH("IMPRESORA",B1231)),
ISNUMBER(SEARCH("MULTIFUNCIONAL",B1231)),
ISNUMBER(SEARCH("AIO",B1231))
),
"GANCHO",
"NORMAL"
)
)</f>
        <v>NORMAL</v>
      </c>
    </row>
    <row r="1230" spans="1:12" x14ac:dyDescent="0.25">
      <c r="A1230" s="3" t="s">
        <v>428</v>
      </c>
      <c r="B1230" s="3" t="s">
        <v>429</v>
      </c>
      <c r="C1230" s="1">
        <v>20</v>
      </c>
      <c r="D1230" s="1">
        <v>15.78</v>
      </c>
      <c r="E1230" s="1" t="s">
        <v>424</v>
      </c>
      <c r="F1230" s="1" t="s">
        <v>3790</v>
      </c>
      <c r="G1230" s="3" t="s">
        <v>430</v>
      </c>
      <c r="H1230" s="11">
        <f>ROUND(
IF(L1228="GANCHO",
   IF(I1230&lt;=50,I1230*1.1+4,IF(I1230&lt;=120,I1230*1.1+7,IF(I1230&lt;=250,I1230*1.1+11,I1230*1.1+19))),
IF(L1228="NORMAL",
   IF(I1230&lt;=30,I1230*1.15+2,IF(I1230&lt;=80,I1230*1.15+4,IF(I1230&lt;=150,I1230*1.15+6,I1230*1.15+8))),
IF(L1228="COMPLEMENTO",
   IF(I1230&lt;=25,I1230*1.25+1.5,IF(I1230&lt;=60,I1230*1.25+3,IF(I1230&lt;=120,I1230*1.25+4,I1230*1.25+5))),
""))),2)</f>
        <v>78.52</v>
      </c>
      <c r="I1230" s="9">
        <f>($K$2+0.02)*Tabla1[[#This Row],[PRECIO $]]*1.18</f>
        <v>64.798991999999998</v>
      </c>
      <c r="J1230" s="7">
        <f>+Tabla1[[#This Row],[PRECIO EN SOLES]]-Tabla1[[#This Row],[PC]]</f>
        <v>13.721007999999998</v>
      </c>
      <c r="K1230" s="15"/>
      <c r="L1230" s="15" t="str">
        <f>IF(
OR(
ISNUMBER(SEARCH("BACKPACK",B1232)),
ISNUMBER(SEARCH("MOCHILA",B1232)),
ISNUMBER(SEARCH("FUNDA",B1232)),
ISNUMBER(SEARCH("ESTUCHE",B1232)),
ISNUMBER(SEARCH("BOOK COVER",B1232)),
ISNUMBER(SEARCH("KEYBOARD PARA TABLET",B1232)),
ISNUMBER(SEARCH("FLIP TABLET",B1232)),
ISNUMBER(SEARCH("CASE FOR TABLET",B1232)),
ISNUMBER(SEARCH("CABLE",B1232)),
ISNUMBER(SEARCH("ADAPTADOR",B1232)),
ISNUMBER(SEARCH("HUB",B1232)),
ISNUMBER(SEARCH("DOCK",B1232)),
ISNUMBER(SEARCH("MOUSE PAD",B1232)),
ISNUMBER(SEARCH("MOUSEPAD",B1232)),
ISNUMBER(SEARCH("SOPORTE",B1232)),
ISNUMBER(SEARCH("STAND",B1232)),
ISNUMBER(SEARCH("TRAVEL ADAPTER",B1232)),
ISNUMBER(SEARCH("RJ45",B1232)),
ISNUMBER(SEARCH("USB-C",B1232)),
ISNUMBER(SEARCH("USB WIFI",B1232)),
ISNUMBER(SEARCH("POWERBANK",B1232)),
ISNUMBER(SEARCH("CARGADOR",B1232)),
ISNUMBER(SEARCH("COOLER PARA NB",B1232)),
ISNUMBER(SEARCH("SOPORTE PARA NB",B1232)),
ISNUMBER(SEARCH("WEBCAM",B1232)),
ISNUMBER(SEARCH("WEB CAM",B1232)),
ISNUMBER(SEARCH("MOUSE",B1232)),
ISNUMBER(SEARCH("TECLADO",B1232))
),
"COMPLEMENTO",
IF(
OR(
LEFT(A1232,2)="NB",
LEFT(A1232,2)="PC",
LEFT(A1232,2)="WS",
LEFT(A1232,2)="TB",
LEFT(A1232,3)="CEL",
LEFT(A1232,3)="MON",
LEFT(A1232,3)="PRE",
LEFT(A1232,3)="PRH",
ISNUMBER(SEARCH("NOTEBOOK",B1232)),
ISNUMBER(SEARCH("LAPTOP",B1232)),
ISNUMBER(SEARCH("MONITOR",B1232)),
ISNUMBER(SEARCH("TABLET",B1232)),
ISNUMBER(SEARCH("SMARTPH",B1232)),
ISNUMBER(SEARCH("IMPRESORA",B1232)),
ISNUMBER(SEARCH("MULTIFUNCIONAL",B1232)),
ISNUMBER(SEARCH("AIO",B1232))
),
"GANCHO",
"NORMAL"
)
)</f>
        <v>NORMAL</v>
      </c>
    </row>
    <row r="1231" spans="1:12" x14ac:dyDescent="0.25">
      <c r="A1231" s="3" t="s">
        <v>4668</v>
      </c>
      <c r="B1231" s="3" t="s">
        <v>4669</v>
      </c>
      <c r="C1231" s="1">
        <v>13</v>
      </c>
      <c r="D1231" s="1">
        <v>178.29</v>
      </c>
      <c r="E1231" s="1" t="s">
        <v>424</v>
      </c>
      <c r="F1231" s="1" t="s">
        <v>4670</v>
      </c>
      <c r="G1231" s="3" t="s">
        <v>4671</v>
      </c>
      <c r="H1231" s="11">
        <f>ROUND(
IF(L1229="GANCHO",
   IF(I1231&lt;=50,I1231*1.1+4,IF(I1231&lt;=120,I1231*1.1+7,IF(I1231&lt;=250,I1231*1.1+11,I1231*1.1+19))),
IF(L1229="NORMAL",
   IF(I1231&lt;=30,I1231*1.15+2,IF(I1231&lt;=80,I1231*1.15+4,IF(I1231&lt;=150,I1231*1.15+6,I1231*1.15+8))),
IF(L1229="COMPLEMENTO",
   IF(I1231&lt;=25,I1231*1.25+1.5,IF(I1231&lt;=60,I1231*1.25+3,IF(I1231&lt;=120,I1231*1.25+4,I1231*1.25+5))),
""))),2)</f>
        <v>849.95</v>
      </c>
      <c r="I1231" s="9">
        <f>($K$2+0.02)*Tabla1[[#This Row],[PRECIO $]]*1.18</f>
        <v>732.13005599999997</v>
      </c>
      <c r="J1231" s="7">
        <f>+Tabla1[[#This Row],[PRECIO EN SOLES]]-Tabla1[[#This Row],[PC]]</f>
        <v>117.81994400000008</v>
      </c>
      <c r="K1231" s="15"/>
      <c r="L1231" s="15" t="str">
        <f>IF(
OR(
ISNUMBER(SEARCH("BACKPACK",B1233)),
ISNUMBER(SEARCH("MOCHILA",B1233)),
ISNUMBER(SEARCH("FUNDA",B1233)),
ISNUMBER(SEARCH("ESTUCHE",B1233)),
ISNUMBER(SEARCH("BOOK COVER",B1233)),
ISNUMBER(SEARCH("KEYBOARD PARA TABLET",B1233)),
ISNUMBER(SEARCH("FLIP TABLET",B1233)),
ISNUMBER(SEARCH("CASE FOR TABLET",B1233)),
ISNUMBER(SEARCH("CABLE",B1233)),
ISNUMBER(SEARCH("ADAPTADOR",B1233)),
ISNUMBER(SEARCH("HUB",B1233)),
ISNUMBER(SEARCH("DOCK",B1233)),
ISNUMBER(SEARCH("MOUSE PAD",B1233)),
ISNUMBER(SEARCH("MOUSEPAD",B1233)),
ISNUMBER(SEARCH("SOPORTE",B1233)),
ISNUMBER(SEARCH("STAND",B1233)),
ISNUMBER(SEARCH("TRAVEL ADAPTER",B1233)),
ISNUMBER(SEARCH("RJ45",B1233)),
ISNUMBER(SEARCH("USB-C",B1233)),
ISNUMBER(SEARCH("USB WIFI",B1233)),
ISNUMBER(SEARCH("POWERBANK",B1233)),
ISNUMBER(SEARCH("CARGADOR",B1233)),
ISNUMBER(SEARCH("COOLER PARA NB",B1233)),
ISNUMBER(SEARCH("SOPORTE PARA NB",B1233)),
ISNUMBER(SEARCH("WEBCAM",B1233)),
ISNUMBER(SEARCH("WEB CAM",B1233)),
ISNUMBER(SEARCH("MOUSE",B1233)),
ISNUMBER(SEARCH("TECLADO",B1233))
),
"COMPLEMENTO",
IF(
OR(
LEFT(A1233,2)="NB",
LEFT(A1233,2)="PC",
LEFT(A1233,2)="WS",
LEFT(A1233,2)="TB",
LEFT(A1233,3)="CEL",
LEFT(A1233,3)="MON",
LEFT(A1233,3)="PRE",
LEFT(A1233,3)="PRH",
ISNUMBER(SEARCH("NOTEBOOK",B1233)),
ISNUMBER(SEARCH("LAPTOP",B1233)),
ISNUMBER(SEARCH("MONITOR",B1233)),
ISNUMBER(SEARCH("TABLET",B1233)),
ISNUMBER(SEARCH("SMARTPH",B1233)),
ISNUMBER(SEARCH("IMPRESORA",B1233)),
ISNUMBER(SEARCH("MULTIFUNCIONAL",B1233)),
ISNUMBER(SEARCH("AIO",B1233))
),
"GANCHO",
"NORMAL"
)
)</f>
        <v>NORMAL</v>
      </c>
    </row>
    <row r="1232" spans="1:12" x14ac:dyDescent="0.25">
      <c r="A1232" s="3" t="s">
        <v>2028</v>
      </c>
      <c r="B1232" s="3" t="s">
        <v>2029</v>
      </c>
      <c r="C1232" s="1">
        <v>1</v>
      </c>
      <c r="D1232" s="1">
        <v>162.4</v>
      </c>
      <c r="E1232" s="1" t="s">
        <v>424</v>
      </c>
      <c r="F1232" s="1" t="s">
        <v>3791</v>
      </c>
      <c r="G1232" s="3" t="s">
        <v>2030</v>
      </c>
      <c r="H1232" s="11">
        <f>ROUND(
IF(L1230="GANCHO",
   IF(I1232&lt;=50,I1232*1.1+4,IF(I1232&lt;=120,I1232*1.1+7,IF(I1232&lt;=250,I1232*1.1+11,I1232*1.1+19))),
IF(L1230="NORMAL",
   IF(I1232&lt;=30,I1232*1.15+2,IF(I1232&lt;=80,I1232*1.15+4,IF(I1232&lt;=150,I1232*1.15+6,I1232*1.15+8))),
IF(L1230="COMPLEMENTO",
   IF(I1232&lt;=25,I1232*1.25+1.5,IF(I1232&lt;=60,I1232*1.25+3,IF(I1232&lt;=120,I1232*1.25+4,I1232*1.25+5))),
""))),2)</f>
        <v>774.91</v>
      </c>
      <c r="I1232" s="9">
        <f>($K$2+0.02)*Tabla1[[#This Row],[PRECIO $]]*1.18</f>
        <v>666.87936000000002</v>
      </c>
      <c r="J1232" s="7">
        <f>+Tabla1[[#This Row],[PRECIO EN SOLES]]-Tabla1[[#This Row],[PC]]</f>
        <v>108.03063999999995</v>
      </c>
      <c r="K1232" s="15"/>
      <c r="L1232" s="15" t="str">
        <f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3" spans="1:12" x14ac:dyDescent="0.25">
      <c r="A1233" s="3" t="s">
        <v>2031</v>
      </c>
      <c r="B1233" s="3" t="s">
        <v>2032</v>
      </c>
      <c r="C1233" s="1">
        <v>3</v>
      </c>
      <c r="D1233" s="1">
        <v>857</v>
      </c>
      <c r="E1233" s="1" t="s">
        <v>2002</v>
      </c>
      <c r="F1233" s="1" t="s">
        <v>3792</v>
      </c>
      <c r="G1233" s="3"/>
      <c r="H1233" s="11">
        <f>ROUND(
IF(L1231="GANCHO",
   IF(I1233&lt;=50,I1233*1.1+4,IF(I1233&lt;=120,I1233*1.1+7,IF(I1233&lt;=250,I1233*1.1+11,I1233*1.1+19))),
IF(L1231="NORMAL",
   IF(I1233&lt;=30,I1233*1.15+2,IF(I1233&lt;=80,I1233*1.15+4,IF(I1233&lt;=150,I1233*1.15+6,I1233*1.15+8))),
IF(L1231="COMPLEMENTO",
   IF(I1233&lt;=25,I1233*1.25+1.5,IF(I1233&lt;=60,I1233*1.25+3,IF(I1233&lt;=120,I1233*1.25+4,I1233*1.25+5))),
""))),2)</f>
        <v>4055.06</v>
      </c>
      <c r="I1233" s="9">
        <f>($K$2+0.02)*Tabla1[[#This Row],[PRECIO $]]*1.18</f>
        <v>3519.1848</v>
      </c>
      <c r="J1233" s="7">
        <f>+Tabla1[[#This Row],[PRECIO EN SOLES]]-Tabla1[[#This Row],[PC]]</f>
        <v>535.87519999999995</v>
      </c>
      <c r="K1233" s="15"/>
      <c r="L1233" s="15" t="str">
        <f>IF(
OR(
ISNUMBER(SEARCH("BACKPACK",B1235)),
ISNUMBER(SEARCH("MOCHILA",B1235)),
ISNUMBER(SEARCH("FUNDA",B1235)),
ISNUMBER(SEARCH("ESTUCHE",B1235)),
ISNUMBER(SEARCH("BOOK COVER",B1235)),
ISNUMBER(SEARCH("KEYBOARD PARA TABLET",B1235)),
ISNUMBER(SEARCH("FLIP TABLET",B1235)),
ISNUMBER(SEARCH("CASE FOR TABLET",B1235)),
ISNUMBER(SEARCH("CABLE",B1235)),
ISNUMBER(SEARCH("ADAPTADOR",B1235)),
ISNUMBER(SEARCH("HUB",B1235)),
ISNUMBER(SEARCH("DOCK",B1235)),
ISNUMBER(SEARCH("MOUSE PAD",B1235)),
ISNUMBER(SEARCH("MOUSEPAD",B1235)),
ISNUMBER(SEARCH("SOPORTE",B1235)),
ISNUMBER(SEARCH("STAND",B1235)),
ISNUMBER(SEARCH("TRAVEL ADAPTER",B1235)),
ISNUMBER(SEARCH("RJ45",B1235)),
ISNUMBER(SEARCH("USB-C",B1235)),
ISNUMBER(SEARCH("USB WIFI",B1235)),
ISNUMBER(SEARCH("POWERBANK",B1235)),
ISNUMBER(SEARCH("CARGADOR",B1235)),
ISNUMBER(SEARCH("COOLER PARA NB",B1235)),
ISNUMBER(SEARCH("SOPORTE PARA NB",B1235)),
ISNUMBER(SEARCH("WEBCAM",B1235)),
ISNUMBER(SEARCH("WEB CAM",B1235)),
ISNUMBER(SEARCH("MOUSE",B1235)),
ISNUMBER(SEARCH("TECLADO",B1235))
),
"COMPLEMENTO",
IF(
OR(
LEFT(A1235,2)="NB",
LEFT(A1235,2)="PC",
LEFT(A1235,2)="WS",
LEFT(A1235,2)="TB",
LEFT(A1235,3)="CEL",
LEFT(A1235,3)="MON",
LEFT(A1235,3)="PRE",
LEFT(A1235,3)="PRH",
ISNUMBER(SEARCH("NOTEBOOK",B1235)),
ISNUMBER(SEARCH("LAPTOP",B1235)),
ISNUMBER(SEARCH("MONITOR",B1235)),
ISNUMBER(SEARCH("TABLET",B1235)),
ISNUMBER(SEARCH("SMARTPH",B1235)),
ISNUMBER(SEARCH("IMPRESORA",B1235)),
ISNUMBER(SEARCH("MULTIFUNCIONAL",B1235)),
ISNUMBER(SEARCH("AIO",B1235))
),
"GANCHO",
"NORMAL"
)
)</f>
        <v>NORMAL</v>
      </c>
    </row>
    <row r="1234" spans="1:12" x14ac:dyDescent="0.25">
      <c r="A1234" s="3" t="s">
        <v>2033</v>
      </c>
      <c r="B1234" s="3" t="s">
        <v>2034</v>
      </c>
      <c r="C1234" s="1">
        <v>9</v>
      </c>
      <c r="D1234" s="1">
        <v>527.66</v>
      </c>
      <c r="E1234" s="1" t="s">
        <v>2002</v>
      </c>
      <c r="F1234" s="1" t="s">
        <v>3793</v>
      </c>
      <c r="G1234" s="3" t="s">
        <v>2035</v>
      </c>
      <c r="H1234" s="11">
        <f>ROUND(
IF(L1232="GANCHO",
   IF(I1234&lt;=50,I1234*1.1+4,IF(I1234&lt;=120,I1234*1.1+7,IF(I1234&lt;=250,I1234*1.1+11,I1234*1.1+19))),
IF(L1232="NORMAL",
   IF(I1234&lt;=30,I1234*1.15+2,IF(I1234&lt;=80,I1234*1.15+4,IF(I1234&lt;=150,I1234*1.15+6,I1234*1.15+8))),
IF(L1232="COMPLEMENTO",
   IF(I1234&lt;=25,I1234*1.25+1.5,IF(I1234&lt;=60,I1234*1.25+3,IF(I1234&lt;=120,I1234*1.25+4,I1234*1.25+5))),
""))),2)</f>
        <v>2499.8000000000002</v>
      </c>
      <c r="I1234" s="9">
        <f>($K$2+0.02)*Tabla1[[#This Row],[PRECIO $]]*1.18</f>
        <v>2166.7830239999998</v>
      </c>
      <c r="J1234" s="7">
        <f>+Tabla1[[#This Row],[PRECIO EN SOLES]]-Tabla1[[#This Row],[PC]]</f>
        <v>333.01697600000034</v>
      </c>
      <c r="K1234" s="15"/>
      <c r="L1234" s="15" t="str">
        <f>IF(
OR(
ISNUMBER(SEARCH("BACKPACK",B1236)),
ISNUMBER(SEARCH("MOCHILA",B1236)),
ISNUMBER(SEARCH("FUNDA",B1236)),
ISNUMBER(SEARCH("ESTUCHE",B1236)),
ISNUMBER(SEARCH("BOOK COVER",B1236)),
ISNUMBER(SEARCH("KEYBOARD PARA TABLET",B1236)),
ISNUMBER(SEARCH("FLIP TABLET",B1236)),
ISNUMBER(SEARCH("CASE FOR TABLET",B1236)),
ISNUMBER(SEARCH("CABLE",B1236)),
ISNUMBER(SEARCH("ADAPTADOR",B1236)),
ISNUMBER(SEARCH("HUB",B1236)),
ISNUMBER(SEARCH("DOCK",B1236)),
ISNUMBER(SEARCH("MOUSE PAD",B1236)),
ISNUMBER(SEARCH("MOUSEPAD",B1236)),
ISNUMBER(SEARCH("SOPORTE",B1236)),
ISNUMBER(SEARCH("STAND",B1236)),
ISNUMBER(SEARCH("TRAVEL ADAPTER",B1236)),
ISNUMBER(SEARCH("RJ45",B1236)),
ISNUMBER(SEARCH("USB-C",B1236)),
ISNUMBER(SEARCH("USB WIFI",B1236)),
ISNUMBER(SEARCH("POWERBANK",B1236)),
ISNUMBER(SEARCH("CARGADOR",B1236)),
ISNUMBER(SEARCH("COOLER PARA NB",B1236)),
ISNUMBER(SEARCH("SOPORTE PARA NB",B1236)),
ISNUMBER(SEARCH("WEBCAM",B1236)),
ISNUMBER(SEARCH("WEB CAM",B1236)),
ISNUMBER(SEARCH("MOUSE",B1236)),
ISNUMBER(SEARCH("TECLADO",B1236))
),
"COMPLEMENTO",
IF(
OR(
LEFT(A1236,2)="NB",
LEFT(A1236,2)="PC",
LEFT(A1236,2)="WS",
LEFT(A1236,2)="TB",
LEFT(A1236,3)="CEL",
LEFT(A1236,3)="MON",
LEFT(A1236,3)="PRE",
LEFT(A1236,3)="PRH",
ISNUMBER(SEARCH("NOTEBOOK",B1236)),
ISNUMBER(SEARCH("LAPTOP",B1236)),
ISNUMBER(SEARCH("MONITOR",B1236)),
ISNUMBER(SEARCH("TABLET",B1236)),
ISNUMBER(SEARCH("SMARTPH",B1236)),
ISNUMBER(SEARCH("IMPRESORA",B1236)),
ISNUMBER(SEARCH("MULTIFUNCIONAL",B1236)),
ISNUMBER(SEARCH("AIO",B1236))
),
"GANCHO",
"NORMAL"
)
)</f>
        <v>NORMAL</v>
      </c>
    </row>
    <row r="1235" spans="1:12" x14ac:dyDescent="0.25">
      <c r="A1235" s="3" t="s">
        <v>2036</v>
      </c>
      <c r="B1235" s="3" t="s">
        <v>2037</v>
      </c>
      <c r="C1235" s="1">
        <v>3</v>
      </c>
      <c r="D1235" s="1">
        <v>122.92</v>
      </c>
      <c r="E1235" s="1" t="s">
        <v>424</v>
      </c>
      <c r="F1235" s="1" t="s">
        <v>3794</v>
      </c>
      <c r="G1235" s="3" t="s">
        <v>2038</v>
      </c>
      <c r="H1235" s="11">
        <f>ROUND(
IF(L1233="GANCHO",
   IF(I1235&lt;=50,I1235*1.1+4,IF(I1235&lt;=120,I1235*1.1+7,IF(I1235&lt;=250,I1235*1.1+11,I1235*1.1+19))),
IF(L1233="NORMAL",
   IF(I1235&lt;=30,I1235*1.15+2,IF(I1235&lt;=80,I1235*1.15+4,IF(I1235&lt;=150,I1235*1.15+6,I1235*1.15+8))),
IF(L1233="COMPLEMENTO",
   IF(I1235&lt;=25,I1235*1.25+1.5,IF(I1235&lt;=60,I1235*1.25+3,IF(I1235&lt;=120,I1235*1.25+4,I1235*1.25+5))),
""))),2)</f>
        <v>588.47</v>
      </c>
      <c r="I1235" s="9">
        <f>($K$2+0.02)*Tabla1[[#This Row],[PRECIO $]]*1.18</f>
        <v>504.75868799999995</v>
      </c>
      <c r="J1235" s="7">
        <f>+Tabla1[[#This Row],[PRECIO EN SOLES]]-Tabla1[[#This Row],[PC]]</f>
        <v>83.711312000000078</v>
      </c>
      <c r="K1235" s="15"/>
      <c r="L1235" s="15" t="str">
        <f>IF(
OR(
ISNUMBER(SEARCH("BACKPACK",B1237)),
ISNUMBER(SEARCH("MOCHILA",B1237)),
ISNUMBER(SEARCH("FUNDA",B1237)),
ISNUMBER(SEARCH("ESTUCHE",B1237)),
ISNUMBER(SEARCH("BOOK COVER",B1237)),
ISNUMBER(SEARCH("KEYBOARD PARA TABLET",B1237)),
ISNUMBER(SEARCH("FLIP TABLET",B1237)),
ISNUMBER(SEARCH("CASE FOR TABLET",B1237)),
ISNUMBER(SEARCH("CABLE",B1237)),
ISNUMBER(SEARCH("ADAPTADOR",B1237)),
ISNUMBER(SEARCH("HUB",B1237)),
ISNUMBER(SEARCH("DOCK",B1237)),
ISNUMBER(SEARCH("MOUSE PAD",B1237)),
ISNUMBER(SEARCH("MOUSEPAD",B1237)),
ISNUMBER(SEARCH("SOPORTE",B1237)),
ISNUMBER(SEARCH("STAND",B1237)),
ISNUMBER(SEARCH("TRAVEL ADAPTER",B1237)),
ISNUMBER(SEARCH("RJ45",B1237)),
ISNUMBER(SEARCH("USB-C",B1237)),
ISNUMBER(SEARCH("USB WIFI",B1237)),
ISNUMBER(SEARCH("POWERBANK",B1237)),
ISNUMBER(SEARCH("CARGADOR",B1237)),
ISNUMBER(SEARCH("COOLER PARA NB",B1237)),
ISNUMBER(SEARCH("SOPORTE PARA NB",B1237)),
ISNUMBER(SEARCH("WEBCAM",B1237)),
ISNUMBER(SEARCH("WEB CAM",B1237)),
ISNUMBER(SEARCH("MOUSE",B1237)),
ISNUMBER(SEARCH("TECLADO",B1237))
),
"COMPLEMENTO",
IF(
OR(
LEFT(A1237,2)="NB",
LEFT(A1237,2)="PC",
LEFT(A1237,2)="WS",
LEFT(A1237,2)="TB",
LEFT(A1237,3)="CEL",
LEFT(A1237,3)="MON",
LEFT(A1237,3)="PRE",
LEFT(A1237,3)="PRH",
ISNUMBER(SEARCH("NOTEBOOK",B1237)),
ISNUMBER(SEARCH("LAPTOP",B1237)),
ISNUMBER(SEARCH("MONITOR",B1237)),
ISNUMBER(SEARCH("TABLET",B1237)),
ISNUMBER(SEARCH("SMARTPH",B1237)),
ISNUMBER(SEARCH("IMPRESORA",B1237)),
ISNUMBER(SEARCH("MULTIFUNCIONAL",B1237)),
ISNUMBER(SEARCH("AIO",B1237))
),
"GANCHO",
"NORMAL"
)
)</f>
        <v>NORMAL</v>
      </c>
    </row>
    <row r="1236" spans="1:12" x14ac:dyDescent="0.25">
      <c r="A1236" s="3" t="s">
        <v>2039</v>
      </c>
      <c r="B1236" s="3" t="s">
        <v>2040</v>
      </c>
      <c r="C1236" s="1">
        <v>20</v>
      </c>
      <c r="D1236" s="1">
        <v>137.01</v>
      </c>
      <c r="E1236" s="1" t="s">
        <v>424</v>
      </c>
      <c r="F1236" s="1" t="s">
        <v>3795</v>
      </c>
      <c r="G1236" s="3" t="s">
        <v>6119</v>
      </c>
      <c r="H1236" s="11">
        <f>ROUND(
IF(L1234="GANCHO",
   IF(I1236&lt;=50,I1236*1.1+4,IF(I1236&lt;=120,I1236*1.1+7,IF(I1236&lt;=250,I1236*1.1+11,I1236*1.1+19))),
IF(L1234="NORMAL",
   IF(I1236&lt;=30,I1236*1.15+2,IF(I1236&lt;=80,I1236*1.15+4,IF(I1236&lt;=150,I1236*1.15+6,I1236*1.15+8))),
IF(L1234="COMPLEMENTO",
   IF(I1236&lt;=25,I1236*1.25+1.5,IF(I1236&lt;=60,I1236*1.25+3,IF(I1236&lt;=120,I1236*1.25+4,I1236*1.25+5))),
""))),2)</f>
        <v>655.01</v>
      </c>
      <c r="I1236" s="9">
        <f>($K$2+0.02)*Tabla1[[#This Row],[PRECIO $]]*1.18</f>
        <v>562.61786399999994</v>
      </c>
      <c r="J1236" s="7">
        <f>+Tabla1[[#This Row],[PRECIO EN SOLES]]-Tabla1[[#This Row],[PC]]</f>
        <v>92.39213600000005</v>
      </c>
      <c r="K1236" s="15"/>
      <c r="L1236" s="15" t="str">
        <f>IF(
OR(
ISNUMBER(SEARCH("BACKPACK",B1238)),
ISNUMBER(SEARCH("MOCHILA",B1238)),
ISNUMBER(SEARCH("FUNDA",B1238)),
ISNUMBER(SEARCH("ESTUCHE",B1238)),
ISNUMBER(SEARCH("BOOK COVER",B1238)),
ISNUMBER(SEARCH("KEYBOARD PARA TABLET",B1238)),
ISNUMBER(SEARCH("FLIP TABLET",B1238)),
ISNUMBER(SEARCH("CASE FOR TABLET",B1238)),
ISNUMBER(SEARCH("CABLE",B1238)),
ISNUMBER(SEARCH("ADAPTADOR",B1238)),
ISNUMBER(SEARCH("HUB",B1238)),
ISNUMBER(SEARCH("DOCK",B1238)),
ISNUMBER(SEARCH("MOUSE PAD",B1238)),
ISNUMBER(SEARCH("MOUSEPAD",B1238)),
ISNUMBER(SEARCH("SOPORTE",B1238)),
ISNUMBER(SEARCH("STAND",B1238)),
ISNUMBER(SEARCH("TRAVEL ADAPTER",B1238)),
ISNUMBER(SEARCH("RJ45",B1238)),
ISNUMBER(SEARCH("USB-C",B1238)),
ISNUMBER(SEARCH("USB WIFI",B1238)),
ISNUMBER(SEARCH("POWERBANK",B1238)),
ISNUMBER(SEARCH("CARGADOR",B1238)),
ISNUMBER(SEARCH("COOLER PARA NB",B1238)),
ISNUMBER(SEARCH("SOPORTE PARA NB",B1238)),
ISNUMBER(SEARCH("WEBCAM",B1238)),
ISNUMBER(SEARCH("WEB CAM",B1238)),
ISNUMBER(SEARCH("MOUSE",B1238)),
ISNUMBER(SEARCH("TECLADO",B1238))
),
"COMPLEMENTO",
IF(
OR(
LEFT(A1238,2)="NB",
LEFT(A1238,2)="PC",
LEFT(A1238,2)="WS",
LEFT(A1238,2)="TB",
LEFT(A1238,3)="CEL",
LEFT(A1238,3)="MON",
LEFT(A1238,3)="PRE",
LEFT(A1238,3)="PRH",
ISNUMBER(SEARCH("NOTEBOOK",B1238)),
ISNUMBER(SEARCH("LAPTOP",B1238)),
ISNUMBER(SEARCH("MONITOR",B1238)),
ISNUMBER(SEARCH("TABLET",B1238)),
ISNUMBER(SEARCH("SMARTPH",B1238)),
ISNUMBER(SEARCH("IMPRESORA",B1238)),
ISNUMBER(SEARCH("MULTIFUNCIONAL",B1238)),
ISNUMBER(SEARCH("AIO",B1238))
),
"GANCHO",
"NORMAL"
)
)</f>
        <v>NORMAL</v>
      </c>
    </row>
    <row r="1237" spans="1:12" x14ac:dyDescent="0.25">
      <c r="A1237" s="3" t="s">
        <v>5468</v>
      </c>
      <c r="B1237" s="3" t="s">
        <v>5469</v>
      </c>
      <c r="C1237" s="1">
        <v>14</v>
      </c>
      <c r="D1237" s="1">
        <v>82.7</v>
      </c>
      <c r="E1237" s="1" t="s">
        <v>2002</v>
      </c>
      <c r="F1237" s="1" t="s">
        <v>5470</v>
      </c>
      <c r="G1237" s="3"/>
      <c r="H1237" s="11">
        <f>ROUND(
IF(L1235="GANCHO",
   IF(I1237&lt;=50,I1237*1.1+4,IF(I1237&lt;=120,I1237*1.1+7,IF(I1237&lt;=250,I1237*1.1+11,I1237*1.1+19))),
IF(L1235="NORMAL",
   IF(I1237&lt;=30,I1237*1.15+2,IF(I1237&lt;=80,I1237*1.15+4,IF(I1237&lt;=150,I1237*1.15+6,I1237*1.15+8))),
IF(L1235="COMPLEMENTO",
   IF(I1237&lt;=25,I1237*1.25+1.5,IF(I1237&lt;=60,I1237*1.25+3,IF(I1237&lt;=120,I1237*1.25+4,I1237*1.25+5))),
""))),2)</f>
        <v>398.54</v>
      </c>
      <c r="I1237" s="9">
        <f>($K$2+0.02)*Tabla1[[#This Row],[PRECIO $]]*1.18</f>
        <v>339.59927999999996</v>
      </c>
      <c r="J1237" s="7">
        <f>+Tabla1[[#This Row],[PRECIO EN SOLES]]-Tabla1[[#This Row],[PC]]</f>
        <v>58.940720000000056</v>
      </c>
      <c r="K1237" s="15"/>
      <c r="L1237" s="15" t="str">
        <f>IF(
OR(
ISNUMBER(SEARCH("BACKPACK",B1239)),
ISNUMBER(SEARCH("MOCHILA",B1239)),
ISNUMBER(SEARCH("FUNDA",B1239)),
ISNUMBER(SEARCH("ESTUCHE",B1239)),
ISNUMBER(SEARCH("BOOK COVER",B1239)),
ISNUMBER(SEARCH("KEYBOARD PARA TABLET",B1239)),
ISNUMBER(SEARCH("FLIP TABLET",B1239)),
ISNUMBER(SEARCH("CASE FOR TABLET",B1239)),
ISNUMBER(SEARCH("CABLE",B1239)),
ISNUMBER(SEARCH("ADAPTADOR",B1239)),
ISNUMBER(SEARCH("HUB",B1239)),
ISNUMBER(SEARCH("DOCK",B1239)),
ISNUMBER(SEARCH("MOUSE PAD",B1239)),
ISNUMBER(SEARCH("MOUSEPAD",B1239)),
ISNUMBER(SEARCH("SOPORTE",B1239)),
ISNUMBER(SEARCH("STAND",B1239)),
ISNUMBER(SEARCH("TRAVEL ADAPTER",B1239)),
ISNUMBER(SEARCH("RJ45",B1239)),
ISNUMBER(SEARCH("USB-C",B1239)),
ISNUMBER(SEARCH("USB WIFI",B1239)),
ISNUMBER(SEARCH("POWERBANK",B1239)),
ISNUMBER(SEARCH("CARGADOR",B1239)),
ISNUMBER(SEARCH("COOLER PARA NB",B1239)),
ISNUMBER(SEARCH("SOPORTE PARA NB",B1239)),
ISNUMBER(SEARCH("WEBCAM",B1239)),
ISNUMBER(SEARCH("WEB CAM",B1239)),
ISNUMBER(SEARCH("MOUSE",B1239)),
ISNUMBER(SEARCH("TECLADO",B1239))
),
"COMPLEMENTO",
IF(
OR(
LEFT(A1239,2)="NB",
LEFT(A1239,2)="PC",
LEFT(A1239,2)="WS",
LEFT(A1239,2)="TB",
LEFT(A1239,3)="CEL",
LEFT(A1239,3)="MON",
LEFT(A1239,3)="PRE",
LEFT(A1239,3)="PRH",
ISNUMBER(SEARCH("NOTEBOOK",B1239)),
ISNUMBER(SEARCH("LAPTOP",B1239)),
ISNUMBER(SEARCH("MONITOR",B1239)),
ISNUMBER(SEARCH("TABLET",B1239)),
ISNUMBER(SEARCH("SMARTPH",B1239)),
ISNUMBER(SEARCH("IMPRESORA",B1239)),
ISNUMBER(SEARCH("MULTIFUNCIONAL",B1239)),
ISNUMBER(SEARCH("AIO",B1239))
),
"GANCHO",
"NORMAL"
)
)</f>
        <v>NORMAL</v>
      </c>
    </row>
    <row r="1238" spans="1:12" x14ac:dyDescent="0.25">
      <c r="A1238" s="3" t="s">
        <v>4672</v>
      </c>
      <c r="B1238" s="3" t="s">
        <v>4673</v>
      </c>
      <c r="C1238" s="1">
        <v>20</v>
      </c>
      <c r="D1238" s="1">
        <v>19.86</v>
      </c>
      <c r="E1238" s="1" t="s">
        <v>424</v>
      </c>
      <c r="F1238" s="1" t="s">
        <v>4674</v>
      </c>
      <c r="G1238" s="3" t="s">
        <v>4675</v>
      </c>
      <c r="H1238" s="11">
        <f>ROUND(
IF(L1236="GANCHO",
   IF(I1238&lt;=50,I1238*1.1+4,IF(I1238&lt;=120,I1238*1.1+7,IF(I1238&lt;=250,I1238*1.1+11,I1238*1.1+19))),
IF(L1236="NORMAL",
   IF(I1238&lt;=30,I1238*1.15+2,IF(I1238&lt;=80,I1238*1.15+4,IF(I1238&lt;=150,I1238*1.15+6,I1238*1.15+8))),
IF(L1236="COMPLEMENTO",
   IF(I1238&lt;=25,I1238*1.25+1.5,IF(I1238&lt;=60,I1238*1.25+3,IF(I1238&lt;=120,I1238*1.25+4,I1238*1.25+5))),
""))),2)</f>
        <v>99.79</v>
      </c>
      <c r="I1238" s="9">
        <f>($K$2+0.02)*Tabla1[[#This Row],[PRECIO $]]*1.18</f>
        <v>81.55310399999999</v>
      </c>
      <c r="J1238" s="7">
        <f>+Tabla1[[#This Row],[PRECIO EN SOLES]]-Tabla1[[#This Row],[PC]]</f>
        <v>18.236896000000016</v>
      </c>
      <c r="K1238" s="15"/>
      <c r="L1238" s="15" t="str">
        <f>IF(
OR(
ISNUMBER(SEARCH("BACKPACK",B1240)),
ISNUMBER(SEARCH("MOCHILA",B1240)),
ISNUMBER(SEARCH("FUNDA",B1240)),
ISNUMBER(SEARCH("ESTUCHE",B1240)),
ISNUMBER(SEARCH("BOOK COVER",B1240)),
ISNUMBER(SEARCH("KEYBOARD PARA TABLET",B1240)),
ISNUMBER(SEARCH("FLIP TABLET",B1240)),
ISNUMBER(SEARCH("CASE FOR TABLET",B1240)),
ISNUMBER(SEARCH("CABLE",B1240)),
ISNUMBER(SEARCH("ADAPTADOR",B1240)),
ISNUMBER(SEARCH("HUB",B1240)),
ISNUMBER(SEARCH("DOCK",B1240)),
ISNUMBER(SEARCH("MOUSE PAD",B1240)),
ISNUMBER(SEARCH("MOUSEPAD",B1240)),
ISNUMBER(SEARCH("SOPORTE",B1240)),
ISNUMBER(SEARCH("STAND",B1240)),
ISNUMBER(SEARCH("TRAVEL ADAPTER",B1240)),
ISNUMBER(SEARCH("RJ45",B1240)),
ISNUMBER(SEARCH("USB-C",B1240)),
ISNUMBER(SEARCH("USB WIFI",B1240)),
ISNUMBER(SEARCH("POWERBANK",B1240)),
ISNUMBER(SEARCH("CARGADOR",B1240)),
ISNUMBER(SEARCH("COOLER PARA NB",B1240)),
ISNUMBER(SEARCH("SOPORTE PARA NB",B1240)),
ISNUMBER(SEARCH("WEBCAM",B1240)),
ISNUMBER(SEARCH("WEB CAM",B1240)),
ISNUMBER(SEARCH("MOUSE",B1240)),
ISNUMBER(SEARCH("TECLADO",B1240))
),
"COMPLEMENTO",
IF(
OR(
LEFT(A1240,2)="NB",
LEFT(A1240,2)="PC",
LEFT(A1240,2)="WS",
LEFT(A1240,2)="TB",
LEFT(A1240,3)="CEL",
LEFT(A1240,3)="MON",
LEFT(A1240,3)="PRE",
LEFT(A1240,3)="PRH",
ISNUMBER(SEARCH("NOTEBOOK",B1240)),
ISNUMBER(SEARCH("LAPTOP",B1240)),
ISNUMBER(SEARCH("MONITOR",B1240)),
ISNUMBER(SEARCH("TABLET",B1240)),
ISNUMBER(SEARCH("SMARTPH",B1240)),
ISNUMBER(SEARCH("IMPRESORA",B1240)),
ISNUMBER(SEARCH("MULTIFUNCIONAL",B1240)),
ISNUMBER(SEARCH("AIO",B1240))
),
"GANCHO",
"NORMAL"
)
)</f>
        <v>NORMAL</v>
      </c>
    </row>
    <row r="1239" spans="1:12" x14ac:dyDescent="0.25">
      <c r="A1239" s="3" t="s">
        <v>2041</v>
      </c>
      <c r="B1239" s="3" t="s">
        <v>2042</v>
      </c>
      <c r="C1239" s="1">
        <v>20</v>
      </c>
      <c r="D1239" s="1">
        <v>39.15</v>
      </c>
      <c r="E1239" s="1" t="s">
        <v>424</v>
      </c>
      <c r="F1239" s="1" t="s">
        <v>3796</v>
      </c>
      <c r="G1239" s="3" t="s">
        <v>2043</v>
      </c>
      <c r="H1239" s="11">
        <f>ROUND(
IF(L1237="GANCHO",
   IF(I1239&lt;=50,I1239*1.1+4,IF(I1239&lt;=120,I1239*1.1+7,IF(I1239&lt;=250,I1239*1.1+11,I1239*1.1+19))),
IF(L1237="NORMAL",
   IF(I1239&lt;=30,I1239*1.15+2,IF(I1239&lt;=80,I1239*1.15+4,IF(I1239&lt;=150,I1239*1.15+6,I1239*1.15+8))),
IF(L1237="COMPLEMENTO",
   IF(I1239&lt;=25,I1239*1.25+1.5,IF(I1239&lt;=60,I1239*1.25+3,IF(I1239&lt;=120,I1239*1.25+4,I1239*1.25+5))),
""))),2)</f>
        <v>192.88</v>
      </c>
      <c r="I1239" s="9">
        <f>($K$2+0.02)*Tabla1[[#This Row],[PRECIO $]]*1.18</f>
        <v>160.76555999999999</v>
      </c>
      <c r="J1239" s="7">
        <f>+Tabla1[[#This Row],[PRECIO EN SOLES]]-Tabla1[[#This Row],[PC]]</f>
        <v>32.114440000000002</v>
      </c>
      <c r="K1239" s="15"/>
      <c r="L1239" s="15" t="str">
        <f>IF(
OR(
ISNUMBER(SEARCH("BACKPACK",B1241)),
ISNUMBER(SEARCH("MOCHILA",B1241)),
ISNUMBER(SEARCH("FUNDA",B1241)),
ISNUMBER(SEARCH("ESTUCHE",B1241)),
ISNUMBER(SEARCH("BOOK COVER",B1241)),
ISNUMBER(SEARCH("KEYBOARD PARA TABLET",B1241)),
ISNUMBER(SEARCH("FLIP TABLET",B1241)),
ISNUMBER(SEARCH("CASE FOR TABLET",B1241)),
ISNUMBER(SEARCH("CABLE",B1241)),
ISNUMBER(SEARCH("ADAPTADOR",B1241)),
ISNUMBER(SEARCH("HUB",B1241)),
ISNUMBER(SEARCH("DOCK",B1241)),
ISNUMBER(SEARCH("MOUSE PAD",B1241)),
ISNUMBER(SEARCH("MOUSEPAD",B1241)),
ISNUMBER(SEARCH("SOPORTE",B1241)),
ISNUMBER(SEARCH("STAND",B1241)),
ISNUMBER(SEARCH("TRAVEL ADAPTER",B1241)),
ISNUMBER(SEARCH("RJ45",B1241)),
ISNUMBER(SEARCH("USB-C",B1241)),
ISNUMBER(SEARCH("USB WIFI",B1241)),
ISNUMBER(SEARCH("POWERBANK",B1241)),
ISNUMBER(SEARCH("CARGADOR",B1241)),
ISNUMBER(SEARCH("COOLER PARA NB",B1241)),
ISNUMBER(SEARCH("SOPORTE PARA NB",B1241)),
ISNUMBER(SEARCH("WEBCAM",B1241)),
ISNUMBER(SEARCH("WEB CAM",B1241)),
ISNUMBER(SEARCH("MOUSE",B1241)),
ISNUMBER(SEARCH("TECLADO",B1241))
),
"COMPLEMENTO",
IF(
OR(
LEFT(A1241,2)="NB",
LEFT(A1241,2)="PC",
LEFT(A1241,2)="WS",
LEFT(A1241,2)="TB",
LEFT(A1241,3)="CEL",
LEFT(A1241,3)="MON",
LEFT(A1241,3)="PRE",
LEFT(A1241,3)="PRH",
ISNUMBER(SEARCH("NOTEBOOK",B1241)),
ISNUMBER(SEARCH("LAPTOP",B1241)),
ISNUMBER(SEARCH("MONITOR",B1241)),
ISNUMBER(SEARCH("TABLET",B1241)),
ISNUMBER(SEARCH("SMARTPH",B1241)),
ISNUMBER(SEARCH("IMPRESORA",B1241)),
ISNUMBER(SEARCH("MULTIFUNCIONAL",B1241)),
ISNUMBER(SEARCH("AIO",B1241))
),
"GANCHO",
"NORMAL"
)
)</f>
        <v>NORMAL</v>
      </c>
    </row>
    <row r="1240" spans="1:12" x14ac:dyDescent="0.25">
      <c r="A1240" s="3" t="s">
        <v>2044</v>
      </c>
      <c r="B1240" s="3" t="s">
        <v>2045</v>
      </c>
      <c r="C1240" s="1">
        <v>2</v>
      </c>
      <c r="D1240" s="1">
        <v>5387</v>
      </c>
      <c r="E1240" s="1" t="s">
        <v>2002</v>
      </c>
      <c r="F1240" s="1" t="s">
        <v>3797</v>
      </c>
      <c r="G1240" s="3"/>
      <c r="H1240" s="11">
        <f>ROUND(
IF(L1238="GANCHO",
   IF(I1240&lt;=50,I1240*1.1+4,IF(I1240&lt;=120,I1240*1.1+7,IF(I1240&lt;=250,I1240*1.1+11,I1240*1.1+19))),
IF(L1238="NORMAL",
   IF(I1240&lt;=30,I1240*1.15+2,IF(I1240&lt;=80,I1240*1.15+4,IF(I1240&lt;=150,I1240*1.15+6,I1240*1.15+8))),
IF(L1238="COMPLEMENTO",
   IF(I1240&lt;=25,I1240*1.25+1.5,IF(I1240&lt;=60,I1240*1.25+3,IF(I1240&lt;=120,I1240*1.25+4,I1240*1.25+5))),
""))),2)</f>
        <v>25447.35</v>
      </c>
      <c r="I1240" s="9">
        <f>($K$2+0.02)*Tabla1[[#This Row],[PRECIO $]]*1.18</f>
        <v>22121.176799999997</v>
      </c>
      <c r="J1240" s="7">
        <f>+Tabla1[[#This Row],[PRECIO EN SOLES]]-Tabla1[[#This Row],[PC]]</f>
        <v>3326.1732000000011</v>
      </c>
      <c r="K1240" s="15"/>
      <c r="L1240" s="15" t="str">
        <f>IF(
OR(
ISNUMBER(SEARCH("BACKPACK",B1242)),
ISNUMBER(SEARCH("MOCHILA",B1242)),
ISNUMBER(SEARCH("FUNDA",B1242)),
ISNUMBER(SEARCH("ESTUCHE",B1242)),
ISNUMBER(SEARCH("BOOK COVER",B1242)),
ISNUMBER(SEARCH("KEYBOARD PARA TABLET",B1242)),
ISNUMBER(SEARCH("FLIP TABLET",B1242)),
ISNUMBER(SEARCH("CASE FOR TABLET",B1242)),
ISNUMBER(SEARCH("CABLE",B1242)),
ISNUMBER(SEARCH("ADAPTADOR",B1242)),
ISNUMBER(SEARCH("HUB",B1242)),
ISNUMBER(SEARCH("DOCK",B1242)),
ISNUMBER(SEARCH("MOUSE PAD",B1242)),
ISNUMBER(SEARCH("MOUSEPAD",B1242)),
ISNUMBER(SEARCH("SOPORTE",B1242)),
ISNUMBER(SEARCH("STAND",B1242)),
ISNUMBER(SEARCH("TRAVEL ADAPTER",B1242)),
ISNUMBER(SEARCH("RJ45",B1242)),
ISNUMBER(SEARCH("USB-C",B1242)),
ISNUMBER(SEARCH("USB WIFI",B1242)),
ISNUMBER(SEARCH("POWERBANK",B1242)),
ISNUMBER(SEARCH("CARGADOR",B1242)),
ISNUMBER(SEARCH("COOLER PARA NB",B1242)),
ISNUMBER(SEARCH("SOPORTE PARA NB",B1242)),
ISNUMBER(SEARCH("WEBCAM",B1242)),
ISNUMBER(SEARCH("WEB CAM",B1242)),
ISNUMBER(SEARCH("MOUSE",B1242)),
ISNUMBER(SEARCH("TECLADO",B1242))
),
"COMPLEMENTO",
IF(
OR(
LEFT(A1242,2)="NB",
LEFT(A1242,2)="PC",
LEFT(A1242,2)="WS",
LEFT(A1242,2)="TB",
LEFT(A1242,3)="CEL",
LEFT(A1242,3)="MON",
LEFT(A1242,3)="PRE",
LEFT(A1242,3)="PRH",
ISNUMBER(SEARCH("NOTEBOOK",B1242)),
ISNUMBER(SEARCH("LAPTOP",B1242)),
ISNUMBER(SEARCH("MONITOR",B1242)),
ISNUMBER(SEARCH("TABLET",B1242)),
ISNUMBER(SEARCH("SMARTPH",B1242)),
ISNUMBER(SEARCH("IMPRESORA",B1242)),
ISNUMBER(SEARCH("MULTIFUNCIONAL",B1242)),
ISNUMBER(SEARCH("AIO",B1242))
),
"GANCHO",
"NORMAL"
)
)</f>
        <v>NORMAL</v>
      </c>
    </row>
    <row r="1241" spans="1:12" x14ac:dyDescent="0.25">
      <c r="A1241" s="3" t="s">
        <v>2046</v>
      </c>
      <c r="B1241" s="3" t="s">
        <v>2047</v>
      </c>
      <c r="C1241" s="1">
        <v>1</v>
      </c>
      <c r="D1241" s="1">
        <v>2340</v>
      </c>
      <c r="E1241" s="1" t="s">
        <v>2002</v>
      </c>
      <c r="F1241" s="1" t="s">
        <v>3798</v>
      </c>
      <c r="G1241" s="3"/>
      <c r="H1241" s="11">
        <f>ROUND(
IF(L1239="GANCHO",
   IF(I1241&lt;=50,I1241*1.1+4,IF(I1241&lt;=120,I1241*1.1+7,IF(I1241&lt;=250,I1241*1.1+11,I1241*1.1+19))),
IF(L1239="NORMAL",
   IF(I1241&lt;=30,I1241*1.15+2,IF(I1241&lt;=80,I1241*1.15+4,IF(I1241&lt;=150,I1241*1.15+6,I1241*1.15+8))),
IF(L1239="COMPLEMENTO",
   IF(I1241&lt;=25,I1241*1.25+1.5,IF(I1241&lt;=60,I1241*1.25+3,IF(I1241&lt;=120,I1241*1.25+4,I1241*1.25+5))),
""))),2)</f>
        <v>11058.32</v>
      </c>
      <c r="I1241" s="9">
        <f>($K$2+0.02)*Tabla1[[#This Row],[PRECIO $]]*1.18</f>
        <v>9608.9759999999987</v>
      </c>
      <c r="J1241" s="7">
        <f>+Tabla1[[#This Row],[PRECIO EN SOLES]]-Tabla1[[#This Row],[PC]]</f>
        <v>1449.344000000001</v>
      </c>
      <c r="K1241" s="15"/>
      <c r="L1241" s="15" t="str">
        <f>IF(
OR(
ISNUMBER(SEARCH("BACKPACK",B1243)),
ISNUMBER(SEARCH("MOCHILA",B1243)),
ISNUMBER(SEARCH("FUNDA",B1243)),
ISNUMBER(SEARCH("ESTUCHE",B1243)),
ISNUMBER(SEARCH("BOOK COVER",B1243)),
ISNUMBER(SEARCH("KEYBOARD PARA TABLET",B1243)),
ISNUMBER(SEARCH("FLIP TABLET",B1243)),
ISNUMBER(SEARCH("CASE FOR TABLET",B1243)),
ISNUMBER(SEARCH("CABLE",B1243)),
ISNUMBER(SEARCH("ADAPTADOR",B1243)),
ISNUMBER(SEARCH("HUB",B1243)),
ISNUMBER(SEARCH("DOCK",B1243)),
ISNUMBER(SEARCH("MOUSE PAD",B1243)),
ISNUMBER(SEARCH("MOUSEPAD",B1243)),
ISNUMBER(SEARCH("SOPORTE",B1243)),
ISNUMBER(SEARCH("STAND",B1243)),
ISNUMBER(SEARCH("TRAVEL ADAPTER",B1243)),
ISNUMBER(SEARCH("RJ45",B1243)),
ISNUMBER(SEARCH("USB-C",B1243)),
ISNUMBER(SEARCH("USB WIFI",B1243)),
ISNUMBER(SEARCH("POWERBANK",B1243)),
ISNUMBER(SEARCH("CARGADOR",B1243)),
ISNUMBER(SEARCH("COOLER PARA NB",B1243)),
ISNUMBER(SEARCH("SOPORTE PARA NB",B1243)),
ISNUMBER(SEARCH("WEBCAM",B1243)),
ISNUMBER(SEARCH("WEB CAM",B1243)),
ISNUMBER(SEARCH("MOUSE",B1243)),
ISNUMBER(SEARCH("TECLADO",B1243))
),
"COMPLEMENTO",
IF(
OR(
LEFT(A1243,2)="NB",
LEFT(A1243,2)="PC",
LEFT(A1243,2)="WS",
LEFT(A1243,2)="TB",
LEFT(A1243,3)="CEL",
LEFT(A1243,3)="MON",
LEFT(A1243,3)="PRE",
LEFT(A1243,3)="PRH",
ISNUMBER(SEARCH("NOTEBOOK",B1243)),
ISNUMBER(SEARCH("LAPTOP",B1243)),
ISNUMBER(SEARCH("MONITOR",B1243)),
ISNUMBER(SEARCH("TABLET",B1243)),
ISNUMBER(SEARCH("SMARTPH",B1243)),
ISNUMBER(SEARCH("IMPRESORA",B1243)),
ISNUMBER(SEARCH("MULTIFUNCIONAL",B1243)),
ISNUMBER(SEARCH("AIO",B1243))
),
"GANCHO",
"NORMAL"
)
)</f>
        <v>NORMAL</v>
      </c>
    </row>
    <row r="1242" spans="1:12" x14ac:dyDescent="0.25">
      <c r="A1242" s="3" t="s">
        <v>4676</v>
      </c>
      <c r="B1242" s="3" t="s">
        <v>4677</v>
      </c>
      <c r="C1242" s="1">
        <v>20</v>
      </c>
      <c r="D1242" s="1">
        <v>27.24</v>
      </c>
      <c r="E1242" s="1" t="s">
        <v>424</v>
      </c>
      <c r="F1242" s="1" t="s">
        <v>4678</v>
      </c>
      <c r="G1242" s="3"/>
      <c r="H1242" s="11">
        <f>ROUND(
IF(L1240="GANCHO",
   IF(I1242&lt;=50,I1242*1.1+4,IF(I1242&lt;=120,I1242*1.1+7,IF(I1242&lt;=250,I1242*1.1+11,I1242*1.1+19))),
IF(L1240="NORMAL",
   IF(I1242&lt;=30,I1242*1.15+2,IF(I1242&lt;=80,I1242*1.15+4,IF(I1242&lt;=150,I1242*1.15+6,I1242*1.15+8))),
IF(L1240="COMPLEMENTO",
   IF(I1242&lt;=25,I1242*1.25+1.5,IF(I1242&lt;=60,I1242*1.25+3,IF(I1242&lt;=120,I1242*1.25+4,I1242*1.25+5))),
""))),2)</f>
        <v>134.63999999999999</v>
      </c>
      <c r="I1242" s="9">
        <f>($K$2+0.02)*Tabla1[[#This Row],[PRECIO $]]*1.18</f>
        <v>111.85833599999999</v>
      </c>
      <c r="J1242" s="7">
        <f>+Tabla1[[#This Row],[PRECIO EN SOLES]]-Tabla1[[#This Row],[PC]]</f>
        <v>22.781663999999992</v>
      </c>
      <c r="K1242" s="15"/>
      <c r="L1242" s="15" t="str">
        <f>IF(
OR(
ISNUMBER(SEARCH("BACKPACK",B1244)),
ISNUMBER(SEARCH("MOCHILA",B1244)),
ISNUMBER(SEARCH("FUNDA",B1244)),
ISNUMBER(SEARCH("ESTUCHE",B1244)),
ISNUMBER(SEARCH("BOOK COVER",B1244)),
ISNUMBER(SEARCH("KEYBOARD PARA TABLET",B1244)),
ISNUMBER(SEARCH("FLIP TABLET",B1244)),
ISNUMBER(SEARCH("CASE FOR TABLET",B1244)),
ISNUMBER(SEARCH("CABLE",B1244)),
ISNUMBER(SEARCH("ADAPTADOR",B1244)),
ISNUMBER(SEARCH("HUB",B1244)),
ISNUMBER(SEARCH("DOCK",B1244)),
ISNUMBER(SEARCH("MOUSE PAD",B1244)),
ISNUMBER(SEARCH("MOUSEPAD",B1244)),
ISNUMBER(SEARCH("SOPORTE",B1244)),
ISNUMBER(SEARCH("STAND",B1244)),
ISNUMBER(SEARCH("TRAVEL ADAPTER",B1244)),
ISNUMBER(SEARCH("RJ45",B1244)),
ISNUMBER(SEARCH("USB-C",B1244)),
ISNUMBER(SEARCH("USB WIFI",B1244)),
ISNUMBER(SEARCH("POWERBANK",B1244)),
ISNUMBER(SEARCH("CARGADOR",B1244)),
ISNUMBER(SEARCH("COOLER PARA NB",B1244)),
ISNUMBER(SEARCH("SOPORTE PARA NB",B1244)),
ISNUMBER(SEARCH("WEBCAM",B1244)),
ISNUMBER(SEARCH("WEB CAM",B1244)),
ISNUMBER(SEARCH("MOUSE",B1244)),
ISNUMBER(SEARCH("TECLADO",B1244))
),
"COMPLEMENTO",
IF(
OR(
LEFT(A1244,2)="NB",
LEFT(A1244,2)="PC",
LEFT(A1244,2)="WS",
LEFT(A1244,2)="TB",
LEFT(A1244,3)="CEL",
LEFT(A1244,3)="MON",
LEFT(A1244,3)="PRE",
LEFT(A1244,3)="PRH",
ISNUMBER(SEARCH("NOTEBOOK",B1244)),
ISNUMBER(SEARCH("LAPTOP",B1244)),
ISNUMBER(SEARCH("MONITOR",B1244)),
ISNUMBER(SEARCH("TABLET",B1244)),
ISNUMBER(SEARCH("SMARTPH",B1244)),
ISNUMBER(SEARCH("IMPRESORA",B1244)),
ISNUMBER(SEARCH("MULTIFUNCIONAL",B1244)),
ISNUMBER(SEARCH("AIO",B1244))
),
"GANCHO",
"NORMAL"
)
)</f>
        <v>NORMAL</v>
      </c>
    </row>
    <row r="1243" spans="1:12" x14ac:dyDescent="0.25">
      <c r="A1243" s="3" t="s">
        <v>4331</v>
      </c>
      <c r="B1243" s="3" t="s">
        <v>4332</v>
      </c>
      <c r="C1243" s="1">
        <v>20</v>
      </c>
      <c r="D1243" s="1">
        <v>51.24</v>
      </c>
      <c r="E1243" s="1" t="s">
        <v>424</v>
      </c>
      <c r="F1243" s="1" t="s">
        <v>4333</v>
      </c>
      <c r="G1243" s="3" t="s">
        <v>4334</v>
      </c>
      <c r="H1243" s="11">
        <f>ROUND(
IF(L1241="GANCHO",
   IF(I1243&lt;=50,I1243*1.1+4,IF(I1243&lt;=120,I1243*1.1+7,IF(I1243&lt;=250,I1243*1.1+11,I1243*1.1+19))),
IF(L1241="NORMAL",
   IF(I1243&lt;=30,I1243*1.15+2,IF(I1243&lt;=80,I1243*1.15+4,IF(I1243&lt;=150,I1243*1.15+6,I1243*1.15+8))),
IF(L1241="COMPLEMENTO",
   IF(I1243&lt;=25,I1243*1.25+1.5,IF(I1243&lt;=60,I1243*1.25+3,IF(I1243&lt;=120,I1243*1.25+4,I1243*1.25+5))),
""))),2)</f>
        <v>249.97</v>
      </c>
      <c r="I1243" s="9">
        <f>($K$2+0.02)*Tabla1[[#This Row],[PRECIO $]]*1.18</f>
        <v>210.411936</v>
      </c>
      <c r="J1243" s="7">
        <f>+Tabla1[[#This Row],[PRECIO EN SOLES]]-Tabla1[[#This Row],[PC]]</f>
        <v>39.558064000000002</v>
      </c>
      <c r="K1243" s="15"/>
      <c r="L1243" s="15" t="str">
        <f>IF(
OR(
ISNUMBER(SEARCH("BACKPACK",B1245)),
ISNUMBER(SEARCH("MOCHILA",B1245)),
ISNUMBER(SEARCH("FUNDA",B1245)),
ISNUMBER(SEARCH("ESTUCHE",B1245)),
ISNUMBER(SEARCH("BOOK COVER",B1245)),
ISNUMBER(SEARCH("KEYBOARD PARA TABLET",B1245)),
ISNUMBER(SEARCH("FLIP TABLET",B1245)),
ISNUMBER(SEARCH("CASE FOR TABLET",B1245)),
ISNUMBER(SEARCH("CABLE",B1245)),
ISNUMBER(SEARCH("ADAPTADOR",B1245)),
ISNUMBER(SEARCH("HUB",B1245)),
ISNUMBER(SEARCH("DOCK",B1245)),
ISNUMBER(SEARCH("MOUSE PAD",B1245)),
ISNUMBER(SEARCH("MOUSEPAD",B1245)),
ISNUMBER(SEARCH("SOPORTE",B1245)),
ISNUMBER(SEARCH("STAND",B1245)),
ISNUMBER(SEARCH("TRAVEL ADAPTER",B1245)),
ISNUMBER(SEARCH("RJ45",B1245)),
ISNUMBER(SEARCH("USB-C",B1245)),
ISNUMBER(SEARCH("USB WIFI",B1245)),
ISNUMBER(SEARCH("POWERBANK",B1245)),
ISNUMBER(SEARCH("CARGADOR",B1245)),
ISNUMBER(SEARCH("COOLER PARA NB",B1245)),
ISNUMBER(SEARCH("SOPORTE PARA NB",B1245)),
ISNUMBER(SEARCH("WEBCAM",B1245)),
ISNUMBER(SEARCH("WEB CAM",B1245)),
ISNUMBER(SEARCH("MOUSE",B1245)),
ISNUMBER(SEARCH("TECLADO",B1245))
),
"COMPLEMENTO",
IF(
OR(
LEFT(A1245,2)="NB",
LEFT(A1245,2)="PC",
LEFT(A1245,2)="WS",
LEFT(A1245,2)="TB",
LEFT(A1245,3)="CEL",
LEFT(A1245,3)="MON",
LEFT(A1245,3)="PRE",
LEFT(A1245,3)="PRH",
ISNUMBER(SEARCH("NOTEBOOK",B1245)),
ISNUMBER(SEARCH("LAPTOP",B1245)),
ISNUMBER(SEARCH("MONITOR",B1245)),
ISNUMBER(SEARCH("TABLET",B1245)),
ISNUMBER(SEARCH("SMARTPH",B1245)),
ISNUMBER(SEARCH("IMPRESORA",B1245)),
ISNUMBER(SEARCH("MULTIFUNCIONAL",B1245)),
ISNUMBER(SEARCH("AIO",B1245))
),
"GANCHO",
"NORMAL"
)
)</f>
        <v>NORMAL</v>
      </c>
    </row>
    <row r="1244" spans="1:12" x14ac:dyDescent="0.25">
      <c r="A1244" s="3" t="s">
        <v>2048</v>
      </c>
      <c r="B1244" s="3" t="s">
        <v>2049</v>
      </c>
      <c r="C1244" s="1">
        <v>20</v>
      </c>
      <c r="D1244" s="1">
        <v>63.79</v>
      </c>
      <c r="E1244" s="1" t="s">
        <v>424</v>
      </c>
      <c r="F1244" s="1" t="s">
        <v>3799</v>
      </c>
      <c r="G1244" s="3" t="s">
        <v>2050</v>
      </c>
      <c r="H1244" s="11">
        <f>ROUND(
IF(L1242="GANCHO",
   IF(I1244&lt;=50,I1244*1.1+4,IF(I1244&lt;=120,I1244*1.1+7,IF(I1244&lt;=250,I1244*1.1+11,I1244*1.1+19))),
IF(L1242="NORMAL",
   IF(I1244&lt;=30,I1244*1.15+2,IF(I1244&lt;=80,I1244*1.15+4,IF(I1244&lt;=150,I1244*1.15+6,I1244*1.15+8))),
IF(L1242="COMPLEMENTO",
   IF(I1244&lt;=25,I1244*1.25+1.5,IF(I1244&lt;=60,I1244*1.25+3,IF(I1244&lt;=120,I1244*1.25+4,I1244*1.25+5))),
""))),2)</f>
        <v>309.24</v>
      </c>
      <c r="I1244" s="9">
        <f>($K$2+0.02)*Tabla1[[#This Row],[PRECIO $]]*1.18</f>
        <v>261.94725599999998</v>
      </c>
      <c r="J1244" s="7">
        <f>+Tabla1[[#This Row],[PRECIO EN SOLES]]-Tabla1[[#This Row],[PC]]</f>
        <v>47.292744000000027</v>
      </c>
      <c r="K1244" s="15"/>
      <c r="L1244" s="15" t="str">
        <f>IF(
OR(
ISNUMBER(SEARCH("BACKPACK",B1246)),
ISNUMBER(SEARCH("MOCHILA",B1246)),
ISNUMBER(SEARCH("FUNDA",B1246)),
ISNUMBER(SEARCH("ESTUCHE",B1246)),
ISNUMBER(SEARCH("BOOK COVER",B1246)),
ISNUMBER(SEARCH("KEYBOARD PARA TABLET",B1246)),
ISNUMBER(SEARCH("FLIP TABLET",B1246)),
ISNUMBER(SEARCH("CASE FOR TABLET",B1246)),
ISNUMBER(SEARCH("CABLE",B1246)),
ISNUMBER(SEARCH("ADAPTADOR",B1246)),
ISNUMBER(SEARCH("HUB",B1246)),
ISNUMBER(SEARCH("DOCK",B1246)),
ISNUMBER(SEARCH("MOUSE PAD",B1246)),
ISNUMBER(SEARCH("MOUSEPAD",B1246)),
ISNUMBER(SEARCH("SOPORTE",B1246)),
ISNUMBER(SEARCH("STAND",B1246)),
ISNUMBER(SEARCH("TRAVEL ADAPTER",B1246)),
ISNUMBER(SEARCH("RJ45",B1246)),
ISNUMBER(SEARCH("USB-C",B1246)),
ISNUMBER(SEARCH("USB WIFI",B1246)),
ISNUMBER(SEARCH("POWERBANK",B1246)),
ISNUMBER(SEARCH("CARGADOR",B1246)),
ISNUMBER(SEARCH("COOLER PARA NB",B1246)),
ISNUMBER(SEARCH("SOPORTE PARA NB",B1246)),
ISNUMBER(SEARCH("WEBCAM",B1246)),
ISNUMBER(SEARCH("WEB CAM",B1246)),
ISNUMBER(SEARCH("MOUSE",B1246)),
ISNUMBER(SEARCH("TECLADO",B1246))
),
"COMPLEMENTO",
IF(
OR(
LEFT(A1246,2)="NB",
LEFT(A1246,2)="PC",
LEFT(A1246,2)="WS",
LEFT(A1246,2)="TB",
LEFT(A1246,3)="CEL",
LEFT(A1246,3)="MON",
LEFT(A1246,3)="PRE",
LEFT(A1246,3)="PRH",
ISNUMBER(SEARCH("NOTEBOOK",B1246)),
ISNUMBER(SEARCH("LAPTOP",B1246)),
ISNUMBER(SEARCH("MONITOR",B1246)),
ISNUMBER(SEARCH("TABLET",B1246)),
ISNUMBER(SEARCH("SMARTPH",B1246)),
ISNUMBER(SEARCH("IMPRESORA",B1246)),
ISNUMBER(SEARCH("MULTIFUNCIONAL",B1246)),
ISNUMBER(SEARCH("AIO",B1246))
),
"GANCHO",
"NORMAL"
)
)</f>
        <v>NORMAL</v>
      </c>
    </row>
    <row r="1245" spans="1:12" x14ac:dyDescent="0.25">
      <c r="A1245" s="3" t="s">
        <v>2051</v>
      </c>
      <c r="B1245" s="3" t="s">
        <v>2052</v>
      </c>
      <c r="C1245" s="1">
        <v>0</v>
      </c>
      <c r="D1245" s="1">
        <v>36.39</v>
      </c>
      <c r="E1245" s="1" t="s">
        <v>424</v>
      </c>
      <c r="F1245" s="1" t="s">
        <v>3800</v>
      </c>
      <c r="G1245" s="3" t="s">
        <v>2050</v>
      </c>
      <c r="H1245" s="11">
        <f>ROUND(
IF(L1243="GANCHO",
   IF(I1245&lt;=50,I1245*1.1+4,IF(I1245&lt;=120,I1245*1.1+7,IF(I1245&lt;=250,I1245*1.1+11,I1245*1.1+19))),
IF(L1243="NORMAL",
   IF(I1245&lt;=30,I1245*1.15+2,IF(I1245&lt;=80,I1245*1.15+4,IF(I1245&lt;=150,I1245*1.15+6,I1245*1.15+8))),
IF(L1243="COMPLEMENTO",
   IF(I1245&lt;=25,I1245*1.25+1.5,IF(I1245&lt;=60,I1245*1.25+3,IF(I1245&lt;=120,I1245*1.25+4,I1245*1.25+5))),
""))),2)</f>
        <v>177.85</v>
      </c>
      <c r="I1245" s="9">
        <f>($K$2+0.02)*Tabla1[[#This Row],[PRECIO $]]*1.18</f>
        <v>149.43189599999999</v>
      </c>
      <c r="J1245" s="7">
        <f>+Tabla1[[#This Row],[PRECIO EN SOLES]]-Tabla1[[#This Row],[PC]]</f>
        <v>28.418104</v>
      </c>
      <c r="K1245" s="15"/>
      <c r="L1245" s="15" t="str">
        <f>IF(
OR(
ISNUMBER(SEARCH("BACKPACK",B1247)),
ISNUMBER(SEARCH("MOCHILA",B1247)),
ISNUMBER(SEARCH("FUNDA",B1247)),
ISNUMBER(SEARCH("ESTUCHE",B1247)),
ISNUMBER(SEARCH("BOOK COVER",B1247)),
ISNUMBER(SEARCH("KEYBOARD PARA TABLET",B1247)),
ISNUMBER(SEARCH("FLIP TABLET",B1247)),
ISNUMBER(SEARCH("CASE FOR TABLET",B1247)),
ISNUMBER(SEARCH("CABLE",B1247)),
ISNUMBER(SEARCH("ADAPTADOR",B1247)),
ISNUMBER(SEARCH("HUB",B1247)),
ISNUMBER(SEARCH("DOCK",B1247)),
ISNUMBER(SEARCH("MOUSE PAD",B1247)),
ISNUMBER(SEARCH("MOUSEPAD",B1247)),
ISNUMBER(SEARCH("SOPORTE",B1247)),
ISNUMBER(SEARCH("STAND",B1247)),
ISNUMBER(SEARCH("TRAVEL ADAPTER",B1247)),
ISNUMBER(SEARCH("RJ45",B1247)),
ISNUMBER(SEARCH("USB-C",B1247)),
ISNUMBER(SEARCH("USB WIFI",B1247)),
ISNUMBER(SEARCH("POWERBANK",B1247)),
ISNUMBER(SEARCH("CARGADOR",B1247)),
ISNUMBER(SEARCH("COOLER PARA NB",B1247)),
ISNUMBER(SEARCH("SOPORTE PARA NB",B1247)),
ISNUMBER(SEARCH("WEBCAM",B1247)),
ISNUMBER(SEARCH("WEB CAM",B1247)),
ISNUMBER(SEARCH("MOUSE",B1247)),
ISNUMBER(SEARCH("TECLADO",B1247))
),
"COMPLEMENTO",
IF(
OR(
LEFT(A1247,2)="NB",
LEFT(A1247,2)="PC",
LEFT(A1247,2)="WS",
LEFT(A1247,2)="TB",
LEFT(A1247,3)="CEL",
LEFT(A1247,3)="MON",
LEFT(A1247,3)="PRE",
LEFT(A1247,3)="PRH",
ISNUMBER(SEARCH("NOTEBOOK",B1247)),
ISNUMBER(SEARCH("LAPTOP",B1247)),
ISNUMBER(SEARCH("MONITOR",B1247)),
ISNUMBER(SEARCH("TABLET",B1247)),
ISNUMBER(SEARCH("SMARTPH",B1247)),
ISNUMBER(SEARCH("IMPRESORA",B1247)),
ISNUMBER(SEARCH("MULTIFUNCIONAL",B1247)),
ISNUMBER(SEARCH("AIO",B1247))
),
"GANCHO",
"NORMAL"
)
)</f>
        <v>NORMAL</v>
      </c>
    </row>
    <row r="1246" spans="1:12" x14ac:dyDescent="0.25">
      <c r="A1246" s="3" t="s">
        <v>4679</v>
      </c>
      <c r="B1246" s="3" t="s">
        <v>4680</v>
      </c>
      <c r="C1246" s="1">
        <v>20</v>
      </c>
      <c r="D1246" s="1">
        <v>93.17</v>
      </c>
      <c r="E1246" s="1" t="s">
        <v>424</v>
      </c>
      <c r="F1246" s="1" t="s">
        <v>4681</v>
      </c>
      <c r="G1246" s="3" t="s">
        <v>2050</v>
      </c>
      <c r="H1246" s="11">
        <f>ROUND(
IF(L1244="GANCHO",
   IF(I1246&lt;=50,I1246*1.1+4,IF(I1246&lt;=120,I1246*1.1+7,IF(I1246&lt;=250,I1246*1.1+11,I1246*1.1+19))),
IF(L1244="NORMAL",
   IF(I1246&lt;=30,I1246*1.15+2,IF(I1246&lt;=80,I1246*1.15+4,IF(I1246&lt;=150,I1246*1.15+6,I1246*1.15+8))),
IF(L1244="COMPLEMENTO",
   IF(I1246&lt;=25,I1246*1.25+1.5,IF(I1246&lt;=60,I1246*1.25+3,IF(I1246&lt;=120,I1246*1.25+4,I1246*1.25+5))),
""))),2)</f>
        <v>447.98</v>
      </c>
      <c r="I1246" s="9">
        <f>($K$2+0.02)*Tabla1[[#This Row],[PRECIO $]]*1.18</f>
        <v>382.59328799999997</v>
      </c>
      <c r="J1246" s="7">
        <f>+Tabla1[[#This Row],[PRECIO EN SOLES]]-Tabla1[[#This Row],[PC]]</f>
        <v>65.386712000000045</v>
      </c>
      <c r="K1246" s="15"/>
      <c r="L1246" s="15" t="str">
        <f>IF(
OR(
ISNUMBER(SEARCH("BACKPACK",B1248)),
ISNUMBER(SEARCH("MOCHILA",B1248)),
ISNUMBER(SEARCH("FUNDA",B1248)),
ISNUMBER(SEARCH("ESTUCHE",B1248)),
ISNUMBER(SEARCH("BOOK COVER",B1248)),
ISNUMBER(SEARCH("KEYBOARD PARA TABLET",B1248)),
ISNUMBER(SEARCH("FLIP TABLET",B1248)),
ISNUMBER(SEARCH("CASE FOR TABLET",B1248)),
ISNUMBER(SEARCH("CABLE",B1248)),
ISNUMBER(SEARCH("ADAPTADOR",B1248)),
ISNUMBER(SEARCH("HUB",B1248)),
ISNUMBER(SEARCH("DOCK",B1248)),
ISNUMBER(SEARCH("MOUSE PAD",B1248)),
ISNUMBER(SEARCH("MOUSEPAD",B1248)),
ISNUMBER(SEARCH("SOPORTE",B1248)),
ISNUMBER(SEARCH("STAND",B1248)),
ISNUMBER(SEARCH("TRAVEL ADAPTER",B1248)),
ISNUMBER(SEARCH("RJ45",B1248)),
ISNUMBER(SEARCH("USB-C",B1248)),
ISNUMBER(SEARCH("USB WIFI",B1248)),
ISNUMBER(SEARCH("POWERBANK",B1248)),
ISNUMBER(SEARCH("CARGADOR",B1248)),
ISNUMBER(SEARCH("COOLER PARA NB",B1248)),
ISNUMBER(SEARCH("SOPORTE PARA NB",B1248)),
ISNUMBER(SEARCH("WEBCAM",B1248)),
ISNUMBER(SEARCH("WEB CAM",B1248)),
ISNUMBER(SEARCH("MOUSE",B1248)),
ISNUMBER(SEARCH("TECLADO",B1248))
),
"COMPLEMENTO",
IF(
OR(
LEFT(A1248,2)="NB",
LEFT(A1248,2)="PC",
LEFT(A1248,2)="WS",
LEFT(A1248,2)="TB",
LEFT(A1248,3)="CEL",
LEFT(A1248,3)="MON",
LEFT(A1248,3)="PRE",
LEFT(A1248,3)="PRH",
ISNUMBER(SEARCH("NOTEBOOK",B1248)),
ISNUMBER(SEARCH("LAPTOP",B1248)),
ISNUMBER(SEARCH("MONITOR",B1248)),
ISNUMBER(SEARCH("TABLET",B1248)),
ISNUMBER(SEARCH("SMARTPH",B1248)),
ISNUMBER(SEARCH("IMPRESORA",B1248)),
ISNUMBER(SEARCH("MULTIFUNCIONAL",B1248)),
ISNUMBER(SEARCH("AIO",B1248))
),
"GANCHO",
"NORMAL"
)
)</f>
        <v>NORMAL</v>
      </c>
    </row>
    <row r="1247" spans="1:12" x14ac:dyDescent="0.25">
      <c r="A1247" s="3" t="s">
        <v>2053</v>
      </c>
      <c r="B1247" s="3" t="s">
        <v>2054</v>
      </c>
      <c r="C1247" s="1">
        <v>12</v>
      </c>
      <c r="D1247" s="1">
        <v>47.04</v>
      </c>
      <c r="E1247" s="1" t="s">
        <v>424</v>
      </c>
      <c r="F1247" s="1" t="s">
        <v>3801</v>
      </c>
      <c r="G1247" s="3" t="s">
        <v>6120</v>
      </c>
      <c r="H1247" s="11">
        <f>ROUND(
IF(L1245="GANCHO",
   IF(I1247&lt;=50,I1247*1.1+4,IF(I1247&lt;=120,I1247*1.1+7,IF(I1247&lt;=250,I1247*1.1+11,I1247*1.1+19))),
IF(L1245="NORMAL",
   IF(I1247&lt;=30,I1247*1.15+2,IF(I1247&lt;=80,I1247*1.15+4,IF(I1247&lt;=150,I1247*1.15+6,I1247*1.15+8))),
IF(L1245="COMPLEMENTO",
   IF(I1247&lt;=25,I1247*1.25+1.5,IF(I1247&lt;=60,I1247*1.25+3,IF(I1247&lt;=120,I1247*1.25+4,I1247*1.25+5))),
""))),2)</f>
        <v>230.14</v>
      </c>
      <c r="I1247" s="9">
        <f>($K$2+0.02)*Tabla1[[#This Row],[PRECIO $]]*1.18</f>
        <v>193.16505599999999</v>
      </c>
      <c r="J1247" s="7">
        <f>+Tabla1[[#This Row],[PRECIO EN SOLES]]-Tabla1[[#This Row],[PC]]</f>
        <v>36.974943999999994</v>
      </c>
      <c r="K1247" s="15"/>
      <c r="L1247" s="15" t="str">
        <f>IF(
OR(
ISNUMBER(SEARCH("BACKPACK",B1249)),
ISNUMBER(SEARCH("MOCHILA",B1249)),
ISNUMBER(SEARCH("FUNDA",B1249)),
ISNUMBER(SEARCH("ESTUCHE",B1249)),
ISNUMBER(SEARCH("BOOK COVER",B1249)),
ISNUMBER(SEARCH("KEYBOARD PARA TABLET",B1249)),
ISNUMBER(SEARCH("FLIP TABLET",B1249)),
ISNUMBER(SEARCH("CASE FOR TABLET",B1249)),
ISNUMBER(SEARCH("CABLE",B1249)),
ISNUMBER(SEARCH("ADAPTADOR",B1249)),
ISNUMBER(SEARCH("HUB",B1249)),
ISNUMBER(SEARCH("DOCK",B1249)),
ISNUMBER(SEARCH("MOUSE PAD",B1249)),
ISNUMBER(SEARCH("MOUSEPAD",B1249)),
ISNUMBER(SEARCH("SOPORTE",B1249)),
ISNUMBER(SEARCH("STAND",B1249)),
ISNUMBER(SEARCH("TRAVEL ADAPTER",B1249)),
ISNUMBER(SEARCH("RJ45",B1249)),
ISNUMBER(SEARCH("USB-C",B1249)),
ISNUMBER(SEARCH("USB WIFI",B1249)),
ISNUMBER(SEARCH("POWERBANK",B1249)),
ISNUMBER(SEARCH("CARGADOR",B1249)),
ISNUMBER(SEARCH("COOLER PARA NB",B1249)),
ISNUMBER(SEARCH("SOPORTE PARA NB",B1249)),
ISNUMBER(SEARCH("WEBCAM",B1249)),
ISNUMBER(SEARCH("WEB CAM",B1249)),
ISNUMBER(SEARCH("MOUSE",B1249)),
ISNUMBER(SEARCH("TECLADO",B1249))
),
"COMPLEMENTO",
IF(
OR(
LEFT(A1249,2)="NB",
LEFT(A1249,2)="PC",
LEFT(A1249,2)="WS",
LEFT(A1249,2)="TB",
LEFT(A1249,3)="CEL",
LEFT(A1249,3)="MON",
LEFT(A1249,3)="PRE",
LEFT(A1249,3)="PRH",
ISNUMBER(SEARCH("NOTEBOOK",B1249)),
ISNUMBER(SEARCH("LAPTOP",B1249)),
ISNUMBER(SEARCH("MONITOR",B1249)),
ISNUMBER(SEARCH("TABLET",B1249)),
ISNUMBER(SEARCH("SMARTPH",B1249)),
ISNUMBER(SEARCH("IMPRESORA",B1249)),
ISNUMBER(SEARCH("MULTIFUNCIONAL",B1249)),
ISNUMBER(SEARCH("AIO",B1249))
),
"GANCHO",
"NORMAL"
)
)</f>
        <v>NORMAL</v>
      </c>
    </row>
    <row r="1248" spans="1:12" x14ac:dyDescent="0.25">
      <c r="A1248" s="3" t="s">
        <v>2055</v>
      </c>
      <c r="B1248" s="3" t="s">
        <v>2056</v>
      </c>
      <c r="C1248" s="1">
        <v>16</v>
      </c>
      <c r="D1248" s="1">
        <v>124.12</v>
      </c>
      <c r="E1248" s="1" t="s">
        <v>424</v>
      </c>
      <c r="F1248" s="1" t="s">
        <v>3802</v>
      </c>
      <c r="G1248" s="3" t="s">
        <v>2057</v>
      </c>
      <c r="H1248" s="11">
        <f>ROUND(
IF(L1246="GANCHO",
   IF(I1248&lt;=50,I1248*1.1+4,IF(I1248&lt;=120,I1248*1.1+7,IF(I1248&lt;=250,I1248*1.1+11,I1248*1.1+19))),
IF(L1246="NORMAL",
   IF(I1248&lt;=30,I1248*1.15+2,IF(I1248&lt;=80,I1248*1.15+4,IF(I1248&lt;=150,I1248*1.15+6,I1248*1.15+8))),
IF(L1246="COMPLEMENTO",
   IF(I1248&lt;=25,I1248*1.25+1.5,IF(I1248&lt;=60,I1248*1.25+3,IF(I1248&lt;=120,I1248*1.25+4,I1248*1.25+5))),
""))),2)</f>
        <v>594.14</v>
      </c>
      <c r="I1248" s="9">
        <f>($K$2+0.02)*Tabla1[[#This Row],[PRECIO $]]*1.18</f>
        <v>509.68636800000002</v>
      </c>
      <c r="J1248" s="7">
        <f>+Tabla1[[#This Row],[PRECIO EN SOLES]]-Tabla1[[#This Row],[PC]]</f>
        <v>84.453631999999971</v>
      </c>
      <c r="K1248" s="15"/>
      <c r="L1248" s="15" t="str">
        <f>IF(
OR(
ISNUMBER(SEARCH("BACKPACK",B1250)),
ISNUMBER(SEARCH("MOCHILA",B1250)),
ISNUMBER(SEARCH("FUNDA",B1250)),
ISNUMBER(SEARCH("ESTUCHE",B1250)),
ISNUMBER(SEARCH("BOOK COVER",B1250)),
ISNUMBER(SEARCH("KEYBOARD PARA TABLET",B1250)),
ISNUMBER(SEARCH("FLIP TABLET",B1250)),
ISNUMBER(SEARCH("CASE FOR TABLET",B1250)),
ISNUMBER(SEARCH("CABLE",B1250)),
ISNUMBER(SEARCH("ADAPTADOR",B1250)),
ISNUMBER(SEARCH("HUB",B1250)),
ISNUMBER(SEARCH("DOCK",B1250)),
ISNUMBER(SEARCH("MOUSE PAD",B1250)),
ISNUMBER(SEARCH("MOUSEPAD",B1250)),
ISNUMBER(SEARCH("SOPORTE",B1250)),
ISNUMBER(SEARCH("STAND",B1250)),
ISNUMBER(SEARCH("TRAVEL ADAPTER",B1250)),
ISNUMBER(SEARCH("RJ45",B1250)),
ISNUMBER(SEARCH("USB-C",B1250)),
ISNUMBER(SEARCH("USB WIFI",B1250)),
ISNUMBER(SEARCH("POWERBANK",B1250)),
ISNUMBER(SEARCH("CARGADOR",B1250)),
ISNUMBER(SEARCH("COOLER PARA NB",B1250)),
ISNUMBER(SEARCH("SOPORTE PARA NB",B1250)),
ISNUMBER(SEARCH("WEBCAM",B1250)),
ISNUMBER(SEARCH("WEB CAM",B1250)),
ISNUMBER(SEARCH("MOUSE",B1250)),
ISNUMBER(SEARCH("TECLADO",B1250))
),
"COMPLEMENTO",
IF(
OR(
LEFT(A1250,2)="NB",
LEFT(A1250,2)="PC",
LEFT(A1250,2)="WS",
LEFT(A1250,2)="TB",
LEFT(A1250,3)="CEL",
LEFT(A1250,3)="MON",
LEFT(A1250,3)="PRE",
LEFT(A1250,3)="PRH",
ISNUMBER(SEARCH("NOTEBOOK",B1250)),
ISNUMBER(SEARCH("LAPTOP",B1250)),
ISNUMBER(SEARCH("MONITOR",B1250)),
ISNUMBER(SEARCH("TABLET",B1250)),
ISNUMBER(SEARCH("SMARTPH",B1250)),
ISNUMBER(SEARCH("IMPRESORA",B1250)),
ISNUMBER(SEARCH("MULTIFUNCIONAL",B1250)),
ISNUMBER(SEARCH("AIO",B1250))
),
"GANCHO",
"NORMAL"
)
)</f>
        <v>NORMAL</v>
      </c>
    </row>
    <row r="1249" spans="1:12" x14ac:dyDescent="0.25">
      <c r="A1249" s="3" t="s">
        <v>2058</v>
      </c>
      <c r="B1249" s="3" t="s">
        <v>2059</v>
      </c>
      <c r="C1249" s="1">
        <v>20</v>
      </c>
      <c r="D1249" s="1">
        <v>26.15</v>
      </c>
      <c r="E1249" s="1" t="s">
        <v>424</v>
      </c>
      <c r="F1249" s="1" t="s">
        <v>3803</v>
      </c>
      <c r="G1249" s="3" t="s">
        <v>2060</v>
      </c>
      <c r="H1249" s="11">
        <f>ROUND(
IF(L1247="GANCHO",
   IF(I1249&lt;=50,I1249*1.1+4,IF(I1249&lt;=120,I1249*1.1+7,IF(I1249&lt;=250,I1249*1.1+11,I1249*1.1+19))),
IF(L1247="NORMAL",
   IF(I1249&lt;=30,I1249*1.15+2,IF(I1249&lt;=80,I1249*1.15+4,IF(I1249&lt;=150,I1249*1.15+6,I1249*1.15+8))),
IF(L1247="COMPLEMENTO",
   IF(I1249&lt;=25,I1249*1.25+1.5,IF(I1249&lt;=60,I1249*1.25+3,IF(I1249&lt;=120,I1249*1.25+4,I1249*1.25+5))),
""))),2)</f>
        <v>129.49</v>
      </c>
      <c r="I1249" s="9">
        <f>($K$2+0.02)*Tabla1[[#This Row],[PRECIO $]]*1.18</f>
        <v>107.38235999999999</v>
      </c>
      <c r="J1249" s="7">
        <f>+Tabla1[[#This Row],[PRECIO EN SOLES]]-Tabla1[[#This Row],[PC]]</f>
        <v>22.107640000000018</v>
      </c>
      <c r="K1249" s="15"/>
      <c r="L1249" s="15" t="str">
        <f>IF(
OR(
ISNUMBER(SEARCH("BACKPACK",B1251)),
ISNUMBER(SEARCH("MOCHILA",B1251)),
ISNUMBER(SEARCH("FUNDA",B1251)),
ISNUMBER(SEARCH("ESTUCHE",B1251)),
ISNUMBER(SEARCH("BOOK COVER",B1251)),
ISNUMBER(SEARCH("KEYBOARD PARA TABLET",B1251)),
ISNUMBER(SEARCH("FLIP TABLET",B1251)),
ISNUMBER(SEARCH("CASE FOR TABLET",B1251)),
ISNUMBER(SEARCH("CABLE",B1251)),
ISNUMBER(SEARCH("ADAPTADOR",B1251)),
ISNUMBER(SEARCH("HUB",B1251)),
ISNUMBER(SEARCH("DOCK",B1251)),
ISNUMBER(SEARCH("MOUSE PAD",B1251)),
ISNUMBER(SEARCH("MOUSEPAD",B1251)),
ISNUMBER(SEARCH("SOPORTE",B1251)),
ISNUMBER(SEARCH("STAND",B1251)),
ISNUMBER(SEARCH("TRAVEL ADAPTER",B1251)),
ISNUMBER(SEARCH("RJ45",B1251)),
ISNUMBER(SEARCH("USB-C",B1251)),
ISNUMBER(SEARCH("USB WIFI",B1251)),
ISNUMBER(SEARCH("POWERBANK",B1251)),
ISNUMBER(SEARCH("CARGADOR",B1251)),
ISNUMBER(SEARCH("COOLER PARA NB",B1251)),
ISNUMBER(SEARCH("SOPORTE PARA NB",B1251)),
ISNUMBER(SEARCH("WEBCAM",B1251)),
ISNUMBER(SEARCH("WEB CAM",B1251)),
ISNUMBER(SEARCH("MOUSE",B1251)),
ISNUMBER(SEARCH("TECLADO",B1251))
),
"COMPLEMENTO",
IF(
OR(
LEFT(A1251,2)="NB",
LEFT(A1251,2)="PC",
LEFT(A1251,2)="WS",
LEFT(A1251,2)="TB",
LEFT(A1251,3)="CEL",
LEFT(A1251,3)="MON",
LEFT(A1251,3)="PRE",
LEFT(A1251,3)="PRH",
ISNUMBER(SEARCH("NOTEBOOK",B1251)),
ISNUMBER(SEARCH("LAPTOP",B1251)),
ISNUMBER(SEARCH("MONITOR",B1251)),
ISNUMBER(SEARCH("TABLET",B1251)),
ISNUMBER(SEARCH("SMARTPH",B1251)),
ISNUMBER(SEARCH("IMPRESORA",B1251)),
ISNUMBER(SEARCH("MULTIFUNCIONAL",B1251)),
ISNUMBER(SEARCH("AIO",B1251))
),
"GANCHO",
"NORMAL"
)
)</f>
        <v>NORMAL</v>
      </c>
    </row>
    <row r="1250" spans="1:12" x14ac:dyDescent="0.25">
      <c r="A1250" s="3" t="s">
        <v>2061</v>
      </c>
      <c r="B1250" s="3" t="s">
        <v>2062</v>
      </c>
      <c r="C1250" s="1">
        <v>20</v>
      </c>
      <c r="D1250" s="1">
        <v>32.6</v>
      </c>
      <c r="E1250" s="1" t="s">
        <v>424</v>
      </c>
      <c r="F1250" s="1" t="s">
        <v>3804</v>
      </c>
      <c r="G1250" s="3" t="s">
        <v>2063</v>
      </c>
      <c r="H1250" s="11">
        <f>ROUND(
IF(L1248="GANCHO",
   IF(I1250&lt;=50,I1250*1.1+4,IF(I1250&lt;=120,I1250*1.1+7,IF(I1250&lt;=250,I1250*1.1+11,I1250*1.1+19))),
IF(L1248="NORMAL",
   IF(I1250&lt;=30,I1250*1.15+2,IF(I1250&lt;=80,I1250*1.15+4,IF(I1250&lt;=150,I1250*1.15+6,I1250*1.15+8))),
IF(L1248="COMPLEMENTO",
   IF(I1250&lt;=25,I1250*1.25+1.5,IF(I1250&lt;=60,I1250*1.25+3,IF(I1250&lt;=120,I1250*1.25+4,I1250*1.25+5))),
""))),2)</f>
        <v>159.94999999999999</v>
      </c>
      <c r="I1250" s="9">
        <f>($K$2+0.02)*Tabla1[[#This Row],[PRECIO $]]*1.18</f>
        <v>133.86864</v>
      </c>
      <c r="J1250" s="7">
        <f>+Tabla1[[#This Row],[PRECIO EN SOLES]]-Tabla1[[#This Row],[PC]]</f>
        <v>26.081359999999989</v>
      </c>
      <c r="K1250" s="15"/>
      <c r="L1250" s="15" t="str">
        <f>IF(
OR(
ISNUMBER(SEARCH("BACKPACK",B1252)),
ISNUMBER(SEARCH("MOCHILA",B1252)),
ISNUMBER(SEARCH("FUNDA",B1252)),
ISNUMBER(SEARCH("ESTUCHE",B1252)),
ISNUMBER(SEARCH("BOOK COVER",B1252)),
ISNUMBER(SEARCH("KEYBOARD PARA TABLET",B1252)),
ISNUMBER(SEARCH("FLIP TABLET",B1252)),
ISNUMBER(SEARCH("CASE FOR TABLET",B1252)),
ISNUMBER(SEARCH("CABLE",B1252)),
ISNUMBER(SEARCH("ADAPTADOR",B1252)),
ISNUMBER(SEARCH("HUB",B1252)),
ISNUMBER(SEARCH("DOCK",B1252)),
ISNUMBER(SEARCH("MOUSE PAD",B1252)),
ISNUMBER(SEARCH("MOUSEPAD",B1252)),
ISNUMBER(SEARCH("SOPORTE",B1252)),
ISNUMBER(SEARCH("STAND",B1252)),
ISNUMBER(SEARCH("TRAVEL ADAPTER",B1252)),
ISNUMBER(SEARCH("RJ45",B1252)),
ISNUMBER(SEARCH("USB-C",B1252)),
ISNUMBER(SEARCH("USB WIFI",B1252)),
ISNUMBER(SEARCH("POWERBANK",B1252)),
ISNUMBER(SEARCH("CARGADOR",B1252)),
ISNUMBER(SEARCH("COOLER PARA NB",B1252)),
ISNUMBER(SEARCH("SOPORTE PARA NB",B1252)),
ISNUMBER(SEARCH("WEBCAM",B1252)),
ISNUMBER(SEARCH("WEB CAM",B1252)),
ISNUMBER(SEARCH("MOUSE",B1252)),
ISNUMBER(SEARCH("TECLADO",B1252))
),
"COMPLEMENTO",
IF(
OR(
LEFT(A1252,2)="NB",
LEFT(A1252,2)="PC",
LEFT(A1252,2)="WS",
LEFT(A1252,2)="TB",
LEFT(A1252,3)="CEL",
LEFT(A1252,3)="MON",
LEFT(A1252,3)="PRE",
LEFT(A1252,3)="PRH",
ISNUMBER(SEARCH("NOTEBOOK",B1252)),
ISNUMBER(SEARCH("LAPTOP",B1252)),
ISNUMBER(SEARCH("MONITOR",B1252)),
ISNUMBER(SEARCH("TABLET",B1252)),
ISNUMBER(SEARCH("SMARTPH",B1252)),
ISNUMBER(SEARCH("IMPRESORA",B1252)),
ISNUMBER(SEARCH("MULTIFUNCIONAL",B1252)),
ISNUMBER(SEARCH("AIO",B1252))
),
"GANCHO",
"NORMAL"
)
)</f>
        <v>NORMAL</v>
      </c>
    </row>
    <row r="1251" spans="1:12" x14ac:dyDescent="0.25">
      <c r="A1251" s="3" t="s">
        <v>2064</v>
      </c>
      <c r="B1251" s="3" t="s">
        <v>2065</v>
      </c>
      <c r="C1251" s="1">
        <v>20</v>
      </c>
      <c r="D1251" s="1">
        <v>44.98</v>
      </c>
      <c r="E1251" s="1" t="s">
        <v>424</v>
      </c>
      <c r="F1251" s="1" t="s">
        <v>3805</v>
      </c>
      <c r="G1251" s="3" t="s">
        <v>2066</v>
      </c>
      <c r="H1251" s="11">
        <f>ROUND(
IF(L1249="GANCHO",
   IF(I1251&lt;=50,I1251*1.1+4,IF(I1251&lt;=120,I1251*1.1+7,IF(I1251&lt;=250,I1251*1.1+11,I1251*1.1+19))),
IF(L1249="NORMAL",
   IF(I1251&lt;=30,I1251*1.15+2,IF(I1251&lt;=80,I1251*1.15+4,IF(I1251&lt;=150,I1251*1.15+6,I1251*1.15+8))),
IF(L1249="COMPLEMENTO",
   IF(I1251&lt;=25,I1251*1.25+1.5,IF(I1251&lt;=60,I1251*1.25+3,IF(I1251&lt;=120,I1251*1.25+4,I1251*1.25+5))),
""))),2)</f>
        <v>220.41</v>
      </c>
      <c r="I1251" s="9">
        <f>($K$2+0.02)*Tabla1[[#This Row],[PRECIO $]]*1.18</f>
        <v>184.70587199999997</v>
      </c>
      <c r="J1251" s="7">
        <f>+Tabla1[[#This Row],[PRECIO EN SOLES]]-Tabla1[[#This Row],[PC]]</f>
        <v>35.704128000000026</v>
      </c>
      <c r="K1251" s="15"/>
      <c r="L1251" s="15" t="str">
        <f>IF(
OR(
ISNUMBER(SEARCH("BACKPACK",B1253)),
ISNUMBER(SEARCH("MOCHILA",B1253)),
ISNUMBER(SEARCH("FUNDA",B1253)),
ISNUMBER(SEARCH("ESTUCHE",B1253)),
ISNUMBER(SEARCH("BOOK COVER",B1253)),
ISNUMBER(SEARCH("KEYBOARD PARA TABLET",B1253)),
ISNUMBER(SEARCH("FLIP TABLET",B1253)),
ISNUMBER(SEARCH("CASE FOR TABLET",B1253)),
ISNUMBER(SEARCH("CABLE",B1253)),
ISNUMBER(SEARCH("ADAPTADOR",B1253)),
ISNUMBER(SEARCH("HUB",B1253)),
ISNUMBER(SEARCH("DOCK",B1253)),
ISNUMBER(SEARCH("MOUSE PAD",B1253)),
ISNUMBER(SEARCH("MOUSEPAD",B1253)),
ISNUMBER(SEARCH("SOPORTE",B1253)),
ISNUMBER(SEARCH("STAND",B1253)),
ISNUMBER(SEARCH("TRAVEL ADAPTER",B1253)),
ISNUMBER(SEARCH("RJ45",B1253)),
ISNUMBER(SEARCH("USB-C",B1253)),
ISNUMBER(SEARCH("USB WIFI",B1253)),
ISNUMBER(SEARCH("POWERBANK",B1253)),
ISNUMBER(SEARCH("CARGADOR",B1253)),
ISNUMBER(SEARCH("COOLER PARA NB",B1253)),
ISNUMBER(SEARCH("SOPORTE PARA NB",B1253)),
ISNUMBER(SEARCH("WEBCAM",B1253)),
ISNUMBER(SEARCH("WEB CAM",B1253)),
ISNUMBER(SEARCH("MOUSE",B1253)),
ISNUMBER(SEARCH("TECLADO",B1253))
),
"COMPLEMENTO",
IF(
OR(
LEFT(A1253,2)="NB",
LEFT(A1253,2)="PC",
LEFT(A1253,2)="WS",
LEFT(A1253,2)="TB",
LEFT(A1253,3)="CEL",
LEFT(A1253,3)="MON",
LEFT(A1253,3)="PRE",
LEFT(A1253,3)="PRH",
ISNUMBER(SEARCH("NOTEBOOK",B1253)),
ISNUMBER(SEARCH("LAPTOP",B1253)),
ISNUMBER(SEARCH("MONITOR",B1253)),
ISNUMBER(SEARCH("TABLET",B1253)),
ISNUMBER(SEARCH("SMARTPH",B1253)),
ISNUMBER(SEARCH("IMPRESORA",B1253)),
ISNUMBER(SEARCH("MULTIFUNCIONAL",B1253)),
ISNUMBER(SEARCH("AIO",B1253))
),
"GANCHO",
"NORMAL"
)
)</f>
        <v>NORMAL</v>
      </c>
    </row>
    <row r="1252" spans="1:12" x14ac:dyDescent="0.25">
      <c r="A1252" s="3" t="s">
        <v>2067</v>
      </c>
      <c r="B1252" s="3" t="s">
        <v>2068</v>
      </c>
      <c r="C1252" s="1">
        <v>20</v>
      </c>
      <c r="D1252" s="1">
        <v>33.57</v>
      </c>
      <c r="E1252" s="1" t="s">
        <v>424</v>
      </c>
      <c r="F1252" s="1" t="s">
        <v>3806</v>
      </c>
      <c r="G1252" s="3" t="s">
        <v>2069</v>
      </c>
      <c r="H1252" s="11">
        <f>ROUND(
IF(L1250="GANCHO",
   IF(I1252&lt;=50,I1252*1.1+4,IF(I1252&lt;=120,I1252*1.1+7,IF(I1252&lt;=250,I1252*1.1+11,I1252*1.1+19))),
IF(L1250="NORMAL",
   IF(I1252&lt;=30,I1252*1.15+2,IF(I1252&lt;=80,I1252*1.15+4,IF(I1252&lt;=150,I1252*1.15+6,I1252*1.15+8))),
IF(L1250="COMPLEMENTO",
   IF(I1252&lt;=25,I1252*1.25+1.5,IF(I1252&lt;=60,I1252*1.25+3,IF(I1252&lt;=120,I1252*1.25+4,I1252*1.25+5))),
""))),2)</f>
        <v>164.53</v>
      </c>
      <c r="I1252" s="9">
        <f>($K$2+0.02)*Tabla1[[#This Row],[PRECIO $]]*1.18</f>
        <v>137.85184799999999</v>
      </c>
      <c r="J1252" s="7">
        <f>+Tabla1[[#This Row],[PRECIO EN SOLES]]-Tabla1[[#This Row],[PC]]</f>
        <v>26.678152000000011</v>
      </c>
      <c r="K1252" s="15"/>
      <c r="L1252" s="15" t="str">
        <f>IF(
OR(
ISNUMBER(SEARCH("BACKPACK",B1254)),
ISNUMBER(SEARCH("MOCHILA",B1254)),
ISNUMBER(SEARCH("FUNDA",B1254)),
ISNUMBER(SEARCH("ESTUCHE",B1254)),
ISNUMBER(SEARCH("BOOK COVER",B1254)),
ISNUMBER(SEARCH("KEYBOARD PARA TABLET",B1254)),
ISNUMBER(SEARCH("FLIP TABLET",B1254)),
ISNUMBER(SEARCH("CASE FOR TABLET",B1254)),
ISNUMBER(SEARCH("CABLE",B1254)),
ISNUMBER(SEARCH("ADAPTADOR",B1254)),
ISNUMBER(SEARCH("HUB",B1254)),
ISNUMBER(SEARCH("DOCK",B1254)),
ISNUMBER(SEARCH("MOUSE PAD",B1254)),
ISNUMBER(SEARCH("MOUSEPAD",B1254)),
ISNUMBER(SEARCH("SOPORTE",B1254)),
ISNUMBER(SEARCH("STAND",B1254)),
ISNUMBER(SEARCH("TRAVEL ADAPTER",B1254)),
ISNUMBER(SEARCH("RJ45",B1254)),
ISNUMBER(SEARCH("USB-C",B1254)),
ISNUMBER(SEARCH("USB WIFI",B1254)),
ISNUMBER(SEARCH("POWERBANK",B1254)),
ISNUMBER(SEARCH("CARGADOR",B1254)),
ISNUMBER(SEARCH("COOLER PARA NB",B1254)),
ISNUMBER(SEARCH("SOPORTE PARA NB",B1254)),
ISNUMBER(SEARCH("WEBCAM",B1254)),
ISNUMBER(SEARCH("WEB CAM",B1254)),
ISNUMBER(SEARCH("MOUSE",B1254)),
ISNUMBER(SEARCH("TECLADO",B1254))
),
"COMPLEMENTO",
IF(
OR(
LEFT(A1254,2)="NB",
LEFT(A1254,2)="PC",
LEFT(A1254,2)="WS",
LEFT(A1254,2)="TB",
LEFT(A1254,3)="CEL",
LEFT(A1254,3)="MON",
LEFT(A1254,3)="PRE",
LEFT(A1254,3)="PRH",
ISNUMBER(SEARCH("NOTEBOOK",B1254)),
ISNUMBER(SEARCH("LAPTOP",B1254)),
ISNUMBER(SEARCH("MONITOR",B1254)),
ISNUMBER(SEARCH("TABLET",B1254)),
ISNUMBER(SEARCH("SMARTPH",B1254)),
ISNUMBER(SEARCH("IMPRESORA",B1254)),
ISNUMBER(SEARCH("MULTIFUNCIONAL",B1254)),
ISNUMBER(SEARCH("AIO",B1254))
),
"GANCHO",
"NORMAL"
)
)</f>
        <v>NORMAL</v>
      </c>
    </row>
    <row r="1253" spans="1:12" x14ac:dyDescent="0.25">
      <c r="A1253" s="3" t="s">
        <v>2070</v>
      </c>
      <c r="B1253" s="3" t="s">
        <v>2071</v>
      </c>
      <c r="C1253" s="1">
        <v>20</v>
      </c>
      <c r="D1253" s="1">
        <v>185.77</v>
      </c>
      <c r="E1253" s="1" t="s">
        <v>424</v>
      </c>
      <c r="F1253" s="1" t="s">
        <v>3807</v>
      </c>
      <c r="G1253" s="3" t="s">
        <v>2072</v>
      </c>
      <c r="H1253" s="11">
        <f>ROUND(
IF(L1251="GANCHO",
   IF(I1253&lt;=50,I1253*1.1+4,IF(I1253&lt;=120,I1253*1.1+7,IF(I1253&lt;=250,I1253*1.1+11,I1253*1.1+19))),
IF(L1251="NORMAL",
   IF(I1253&lt;=30,I1253*1.15+2,IF(I1253&lt;=80,I1253*1.15+4,IF(I1253&lt;=150,I1253*1.15+6,I1253*1.15+8))),
IF(L1251="COMPLEMENTO",
   IF(I1253&lt;=25,I1253*1.25+1.5,IF(I1253&lt;=60,I1253*1.25+3,IF(I1253&lt;=120,I1253*1.25+4,I1253*1.25+5))),
""))),2)</f>
        <v>885.27</v>
      </c>
      <c r="I1253" s="9">
        <f>($K$2+0.02)*Tabla1[[#This Row],[PRECIO $]]*1.18</f>
        <v>762.84592799999996</v>
      </c>
      <c r="J1253" s="7">
        <f>+Tabla1[[#This Row],[PRECIO EN SOLES]]-Tabla1[[#This Row],[PC]]</f>
        <v>122.42407200000002</v>
      </c>
      <c r="K1253" s="15"/>
      <c r="L1253" s="15" t="str">
        <f>IF(
OR(
ISNUMBER(SEARCH("BACKPACK",B1255)),
ISNUMBER(SEARCH("MOCHILA",B1255)),
ISNUMBER(SEARCH("FUNDA",B1255)),
ISNUMBER(SEARCH("ESTUCHE",B1255)),
ISNUMBER(SEARCH("BOOK COVER",B1255)),
ISNUMBER(SEARCH("KEYBOARD PARA TABLET",B1255)),
ISNUMBER(SEARCH("FLIP TABLET",B1255)),
ISNUMBER(SEARCH("CASE FOR TABLET",B1255)),
ISNUMBER(SEARCH("CABLE",B1255)),
ISNUMBER(SEARCH("ADAPTADOR",B1255)),
ISNUMBER(SEARCH("HUB",B1255)),
ISNUMBER(SEARCH("DOCK",B1255)),
ISNUMBER(SEARCH("MOUSE PAD",B1255)),
ISNUMBER(SEARCH("MOUSEPAD",B1255)),
ISNUMBER(SEARCH("SOPORTE",B1255)),
ISNUMBER(SEARCH("STAND",B1255)),
ISNUMBER(SEARCH("TRAVEL ADAPTER",B1255)),
ISNUMBER(SEARCH("RJ45",B1255)),
ISNUMBER(SEARCH("USB-C",B1255)),
ISNUMBER(SEARCH("USB WIFI",B1255)),
ISNUMBER(SEARCH("POWERBANK",B1255)),
ISNUMBER(SEARCH("CARGADOR",B1255)),
ISNUMBER(SEARCH("COOLER PARA NB",B1255)),
ISNUMBER(SEARCH("SOPORTE PARA NB",B1255)),
ISNUMBER(SEARCH("WEBCAM",B1255)),
ISNUMBER(SEARCH("WEB CAM",B1255)),
ISNUMBER(SEARCH("MOUSE",B1255)),
ISNUMBER(SEARCH("TECLADO",B1255))
),
"COMPLEMENTO",
IF(
OR(
LEFT(A1255,2)="NB",
LEFT(A1255,2)="PC",
LEFT(A1255,2)="WS",
LEFT(A1255,2)="TB",
LEFT(A1255,3)="CEL",
LEFT(A1255,3)="MON",
LEFT(A1255,3)="PRE",
LEFT(A1255,3)="PRH",
ISNUMBER(SEARCH("NOTEBOOK",B1255)),
ISNUMBER(SEARCH("LAPTOP",B1255)),
ISNUMBER(SEARCH("MONITOR",B1255)),
ISNUMBER(SEARCH("TABLET",B1255)),
ISNUMBER(SEARCH("SMARTPH",B1255)),
ISNUMBER(SEARCH("IMPRESORA",B1255)),
ISNUMBER(SEARCH("MULTIFUNCIONAL",B1255)),
ISNUMBER(SEARCH("AIO",B1255))
),
"GANCHO",
"NORMAL"
)
)</f>
        <v>NORMAL</v>
      </c>
    </row>
    <row r="1254" spans="1:12" x14ac:dyDescent="0.25">
      <c r="A1254" s="3" t="s">
        <v>4682</v>
      </c>
      <c r="B1254" s="3" t="s">
        <v>4683</v>
      </c>
      <c r="C1254" s="1">
        <v>20</v>
      </c>
      <c r="D1254" s="1">
        <v>10.77</v>
      </c>
      <c r="E1254" s="1" t="s">
        <v>424</v>
      </c>
      <c r="F1254" s="1" t="s">
        <v>4684</v>
      </c>
      <c r="G1254" s="3" t="s">
        <v>4685</v>
      </c>
      <c r="H1254" s="11">
        <f>ROUND(
IF(L1252="GANCHO",
   IF(I1254&lt;=50,I1254*1.1+4,IF(I1254&lt;=120,I1254*1.1+7,IF(I1254&lt;=250,I1254*1.1+11,I1254*1.1+19))),
IF(L1252="NORMAL",
   IF(I1254&lt;=30,I1254*1.15+2,IF(I1254&lt;=80,I1254*1.15+4,IF(I1254&lt;=150,I1254*1.15+6,I1254*1.15+8))),
IF(L1252="COMPLEMENTO",
   IF(I1254&lt;=25,I1254*1.25+1.5,IF(I1254&lt;=60,I1254*1.25+3,IF(I1254&lt;=120,I1254*1.25+4,I1254*1.25+5))),
""))),2)</f>
        <v>54.86</v>
      </c>
      <c r="I1254" s="9">
        <f>($K$2+0.02)*Tabla1[[#This Row],[PRECIO $]]*1.18</f>
        <v>44.225927999999996</v>
      </c>
      <c r="J1254" s="7">
        <f>+Tabla1[[#This Row],[PRECIO EN SOLES]]-Tabla1[[#This Row],[PC]]</f>
        <v>10.634072000000003</v>
      </c>
      <c r="K1254" s="15"/>
      <c r="L1254" s="15" t="str">
        <f>IF(
OR(
ISNUMBER(SEARCH("BACKPACK",B1256)),
ISNUMBER(SEARCH("MOCHILA",B1256)),
ISNUMBER(SEARCH("FUNDA",B1256)),
ISNUMBER(SEARCH("ESTUCHE",B1256)),
ISNUMBER(SEARCH("BOOK COVER",B1256)),
ISNUMBER(SEARCH("KEYBOARD PARA TABLET",B1256)),
ISNUMBER(SEARCH("FLIP TABLET",B1256)),
ISNUMBER(SEARCH("CASE FOR TABLET",B1256)),
ISNUMBER(SEARCH("CABLE",B1256)),
ISNUMBER(SEARCH("ADAPTADOR",B1256)),
ISNUMBER(SEARCH("HUB",B1256)),
ISNUMBER(SEARCH("DOCK",B1256)),
ISNUMBER(SEARCH("MOUSE PAD",B1256)),
ISNUMBER(SEARCH("MOUSEPAD",B1256)),
ISNUMBER(SEARCH("SOPORTE",B1256)),
ISNUMBER(SEARCH("STAND",B1256)),
ISNUMBER(SEARCH("TRAVEL ADAPTER",B1256)),
ISNUMBER(SEARCH("RJ45",B1256)),
ISNUMBER(SEARCH("USB-C",B1256)),
ISNUMBER(SEARCH("USB WIFI",B1256)),
ISNUMBER(SEARCH("POWERBANK",B1256)),
ISNUMBER(SEARCH("CARGADOR",B1256)),
ISNUMBER(SEARCH("COOLER PARA NB",B1256)),
ISNUMBER(SEARCH("SOPORTE PARA NB",B1256)),
ISNUMBER(SEARCH("WEBCAM",B1256)),
ISNUMBER(SEARCH("WEB CAM",B1256)),
ISNUMBER(SEARCH("MOUSE",B1256)),
ISNUMBER(SEARCH("TECLADO",B1256))
),
"COMPLEMENTO",
IF(
OR(
LEFT(A1256,2)="NB",
LEFT(A1256,2)="PC",
LEFT(A1256,2)="WS",
LEFT(A1256,2)="TB",
LEFT(A1256,3)="CEL",
LEFT(A1256,3)="MON",
LEFT(A1256,3)="PRE",
LEFT(A1256,3)="PRH",
ISNUMBER(SEARCH("NOTEBOOK",B1256)),
ISNUMBER(SEARCH("LAPTOP",B1256)),
ISNUMBER(SEARCH("MONITOR",B1256)),
ISNUMBER(SEARCH("TABLET",B1256)),
ISNUMBER(SEARCH("SMARTPH",B1256)),
ISNUMBER(SEARCH("IMPRESORA",B1256)),
ISNUMBER(SEARCH("MULTIFUNCIONAL",B1256)),
ISNUMBER(SEARCH("AIO",B1256))
),
"GANCHO",
"NORMAL"
)
)</f>
        <v>NORMAL</v>
      </c>
    </row>
    <row r="1255" spans="1:12" x14ac:dyDescent="0.25">
      <c r="A1255" s="3" t="s">
        <v>431</v>
      </c>
      <c r="B1255" s="3" t="s">
        <v>432</v>
      </c>
      <c r="C1255" s="1">
        <v>20</v>
      </c>
      <c r="D1255" s="1">
        <v>22.08</v>
      </c>
      <c r="E1255" s="1" t="s">
        <v>424</v>
      </c>
      <c r="F1255" s="1" t="s">
        <v>3808</v>
      </c>
      <c r="G1255" s="3" t="s">
        <v>433</v>
      </c>
      <c r="H1255" s="11">
        <f>ROUND(
IF(L1253="GANCHO",
   IF(I1255&lt;=50,I1255*1.1+4,IF(I1255&lt;=120,I1255*1.1+7,IF(I1255&lt;=250,I1255*1.1+11,I1255*1.1+19))),
IF(L1253="NORMAL",
   IF(I1255&lt;=30,I1255*1.15+2,IF(I1255&lt;=80,I1255*1.15+4,IF(I1255&lt;=150,I1255*1.15+6,I1255*1.15+8))),
IF(L1253="COMPLEMENTO",
   IF(I1255&lt;=25,I1255*1.25+1.5,IF(I1255&lt;=60,I1255*1.25+3,IF(I1255&lt;=120,I1255*1.25+4,I1255*1.25+5))),
""))),2)</f>
        <v>110.27</v>
      </c>
      <c r="I1255" s="9">
        <f>($K$2+0.02)*Tabla1[[#This Row],[PRECIO $]]*1.18</f>
        <v>90.669311999999991</v>
      </c>
      <c r="J1255" s="7">
        <f>+Tabla1[[#This Row],[PRECIO EN SOLES]]-Tabla1[[#This Row],[PC]]</f>
        <v>19.600688000000005</v>
      </c>
      <c r="K1255" s="15"/>
      <c r="L1255" s="15" t="str">
        <f>IF(
OR(
ISNUMBER(SEARCH("BACKPACK",B1257)),
ISNUMBER(SEARCH("MOCHILA",B1257)),
ISNUMBER(SEARCH("FUNDA",B1257)),
ISNUMBER(SEARCH("ESTUCHE",B1257)),
ISNUMBER(SEARCH("BOOK COVER",B1257)),
ISNUMBER(SEARCH("KEYBOARD PARA TABLET",B1257)),
ISNUMBER(SEARCH("FLIP TABLET",B1257)),
ISNUMBER(SEARCH("CASE FOR TABLET",B1257)),
ISNUMBER(SEARCH("CABLE",B1257)),
ISNUMBER(SEARCH("ADAPTADOR",B1257)),
ISNUMBER(SEARCH("HUB",B1257)),
ISNUMBER(SEARCH("DOCK",B1257)),
ISNUMBER(SEARCH("MOUSE PAD",B1257)),
ISNUMBER(SEARCH("MOUSEPAD",B1257)),
ISNUMBER(SEARCH("SOPORTE",B1257)),
ISNUMBER(SEARCH("STAND",B1257)),
ISNUMBER(SEARCH("TRAVEL ADAPTER",B1257)),
ISNUMBER(SEARCH("RJ45",B1257)),
ISNUMBER(SEARCH("USB-C",B1257)),
ISNUMBER(SEARCH("USB WIFI",B1257)),
ISNUMBER(SEARCH("POWERBANK",B1257)),
ISNUMBER(SEARCH("CARGADOR",B1257)),
ISNUMBER(SEARCH("COOLER PARA NB",B1257)),
ISNUMBER(SEARCH("SOPORTE PARA NB",B1257)),
ISNUMBER(SEARCH("WEBCAM",B1257)),
ISNUMBER(SEARCH("WEB CAM",B1257)),
ISNUMBER(SEARCH("MOUSE",B1257)),
ISNUMBER(SEARCH("TECLADO",B1257))
),
"COMPLEMENTO",
IF(
OR(
LEFT(A1257,2)="NB",
LEFT(A1257,2)="PC",
LEFT(A1257,2)="WS",
LEFT(A1257,2)="TB",
LEFT(A1257,3)="CEL",
LEFT(A1257,3)="MON",
LEFT(A1257,3)="PRE",
LEFT(A1257,3)="PRH",
ISNUMBER(SEARCH("NOTEBOOK",B1257)),
ISNUMBER(SEARCH("LAPTOP",B1257)),
ISNUMBER(SEARCH("MONITOR",B1257)),
ISNUMBER(SEARCH("TABLET",B1257)),
ISNUMBER(SEARCH("SMARTPH",B1257)),
ISNUMBER(SEARCH("IMPRESORA",B1257)),
ISNUMBER(SEARCH("MULTIFUNCIONAL",B1257)),
ISNUMBER(SEARCH("AIO",B1257))
),
"GANCHO",
"NORMAL"
)
)</f>
        <v>COMPLEMENTO</v>
      </c>
    </row>
    <row r="1256" spans="1:12" x14ac:dyDescent="0.25">
      <c r="A1256" s="3" t="s">
        <v>2073</v>
      </c>
      <c r="B1256" s="3" t="s">
        <v>2074</v>
      </c>
      <c r="C1256" s="1">
        <v>1</v>
      </c>
      <c r="D1256" s="1">
        <v>100</v>
      </c>
      <c r="E1256" s="1" t="s">
        <v>57</v>
      </c>
      <c r="F1256" s="1" t="s">
        <v>3809</v>
      </c>
      <c r="G1256" s="3"/>
      <c r="H1256" s="11">
        <f>ROUND(
IF(L1254="GANCHO",
   IF(I1256&lt;=50,I1256*1.1+4,IF(I1256&lt;=120,I1256*1.1+7,IF(I1256&lt;=250,I1256*1.1+11,I1256*1.1+19))),
IF(L1254="NORMAL",
   IF(I1256&lt;=30,I1256*1.15+2,IF(I1256&lt;=80,I1256*1.15+4,IF(I1256&lt;=150,I1256*1.15+6,I1256*1.15+8))),
IF(L1254="COMPLEMENTO",
   IF(I1256&lt;=25,I1256*1.25+1.5,IF(I1256&lt;=60,I1256*1.25+3,IF(I1256&lt;=120,I1256*1.25+4,I1256*1.25+5))),
""))),2)</f>
        <v>480.24</v>
      </c>
      <c r="I1256" s="9">
        <f>($K$2+0.02)*Tabla1[[#This Row],[PRECIO $]]*1.18</f>
        <v>410.64</v>
      </c>
      <c r="J1256" s="7">
        <f>+Tabla1[[#This Row],[PRECIO EN SOLES]]-Tabla1[[#This Row],[PC]]</f>
        <v>69.600000000000023</v>
      </c>
      <c r="K1256" s="15"/>
      <c r="L1256" s="15" t="str">
        <f>IF(
OR(
ISNUMBER(SEARCH("BACKPACK",B1258)),
ISNUMBER(SEARCH("MOCHILA",B1258)),
ISNUMBER(SEARCH("FUNDA",B1258)),
ISNUMBER(SEARCH("ESTUCHE",B1258)),
ISNUMBER(SEARCH("BOOK COVER",B1258)),
ISNUMBER(SEARCH("KEYBOARD PARA TABLET",B1258)),
ISNUMBER(SEARCH("FLIP TABLET",B1258)),
ISNUMBER(SEARCH("CASE FOR TABLET",B1258)),
ISNUMBER(SEARCH("CABLE",B1258)),
ISNUMBER(SEARCH("ADAPTADOR",B1258)),
ISNUMBER(SEARCH("HUB",B1258)),
ISNUMBER(SEARCH("DOCK",B1258)),
ISNUMBER(SEARCH("MOUSE PAD",B1258)),
ISNUMBER(SEARCH("MOUSEPAD",B1258)),
ISNUMBER(SEARCH("SOPORTE",B1258)),
ISNUMBER(SEARCH("STAND",B1258)),
ISNUMBER(SEARCH("TRAVEL ADAPTER",B1258)),
ISNUMBER(SEARCH("RJ45",B1258)),
ISNUMBER(SEARCH("USB-C",B1258)),
ISNUMBER(SEARCH("USB WIFI",B1258)),
ISNUMBER(SEARCH("POWERBANK",B1258)),
ISNUMBER(SEARCH("CARGADOR",B1258)),
ISNUMBER(SEARCH("COOLER PARA NB",B1258)),
ISNUMBER(SEARCH("SOPORTE PARA NB",B1258)),
ISNUMBER(SEARCH("WEBCAM",B1258)),
ISNUMBER(SEARCH("WEB CAM",B1258)),
ISNUMBER(SEARCH("MOUSE",B1258)),
ISNUMBER(SEARCH("TECLADO",B1258))
),
"COMPLEMENTO",
IF(
OR(
LEFT(A1258,2)="NB",
LEFT(A1258,2)="PC",
LEFT(A1258,2)="WS",
LEFT(A1258,2)="TB",
LEFT(A1258,3)="CEL",
LEFT(A1258,3)="MON",
LEFT(A1258,3)="PRE",
LEFT(A1258,3)="PRH",
ISNUMBER(SEARCH("NOTEBOOK",B1258)),
ISNUMBER(SEARCH("LAPTOP",B1258)),
ISNUMBER(SEARCH("MONITOR",B1258)),
ISNUMBER(SEARCH("TABLET",B1258)),
ISNUMBER(SEARCH("SMARTPH",B1258)),
ISNUMBER(SEARCH("IMPRESORA",B1258)),
ISNUMBER(SEARCH("MULTIFUNCIONAL",B1258)),
ISNUMBER(SEARCH("AIO",B1258))
),
"GANCHO",
"NORMAL"
)
)</f>
        <v>COMPLEMENTO</v>
      </c>
    </row>
    <row r="1257" spans="1:12" x14ac:dyDescent="0.25">
      <c r="A1257" s="3" t="s">
        <v>4686</v>
      </c>
      <c r="B1257" s="3" t="s">
        <v>4687</v>
      </c>
      <c r="C1257" s="1">
        <v>11</v>
      </c>
      <c r="D1257" s="1">
        <v>10.119999999999999</v>
      </c>
      <c r="E1257" s="1" t="s">
        <v>424</v>
      </c>
      <c r="F1257" s="1" t="s">
        <v>4688</v>
      </c>
      <c r="G1257" s="3" t="s">
        <v>4689</v>
      </c>
      <c r="H1257" s="11">
        <f>ROUND(
IF(L1255="GANCHO",
   IF(I1257&lt;=50,I1257*1.1+4,IF(I1257&lt;=120,I1257*1.1+7,IF(I1257&lt;=250,I1257*1.1+11,I1257*1.1+19))),
IF(L1255="NORMAL",
   IF(I1257&lt;=30,I1257*1.15+2,IF(I1257&lt;=80,I1257*1.15+4,IF(I1257&lt;=150,I1257*1.15+6,I1257*1.15+8))),
IF(L1255="COMPLEMENTO",
   IF(I1257&lt;=25,I1257*1.25+1.5,IF(I1257&lt;=60,I1257*1.25+3,IF(I1257&lt;=120,I1257*1.25+4,I1257*1.25+5))),
""))),2)</f>
        <v>54.95</v>
      </c>
      <c r="I1257" s="9">
        <f>($K$2+0.02)*Tabla1[[#This Row],[PRECIO $]]*1.18</f>
        <v>41.556767999999998</v>
      </c>
      <c r="J1257" s="7">
        <f>+Tabla1[[#This Row],[PRECIO EN SOLES]]-Tabla1[[#This Row],[PC]]</f>
        <v>13.393232000000005</v>
      </c>
      <c r="K1257" s="15"/>
      <c r="L1257" s="15" t="str">
        <f>IF(
OR(
ISNUMBER(SEARCH("BACKPACK",B1259)),
ISNUMBER(SEARCH("MOCHILA",B1259)),
ISNUMBER(SEARCH("FUNDA",B1259)),
ISNUMBER(SEARCH("ESTUCHE",B1259)),
ISNUMBER(SEARCH("BOOK COVER",B1259)),
ISNUMBER(SEARCH("KEYBOARD PARA TABLET",B1259)),
ISNUMBER(SEARCH("FLIP TABLET",B1259)),
ISNUMBER(SEARCH("CASE FOR TABLET",B1259)),
ISNUMBER(SEARCH("CABLE",B1259)),
ISNUMBER(SEARCH("ADAPTADOR",B1259)),
ISNUMBER(SEARCH("HUB",B1259)),
ISNUMBER(SEARCH("DOCK",B1259)),
ISNUMBER(SEARCH("MOUSE PAD",B1259)),
ISNUMBER(SEARCH("MOUSEPAD",B1259)),
ISNUMBER(SEARCH("SOPORTE",B1259)),
ISNUMBER(SEARCH("STAND",B1259)),
ISNUMBER(SEARCH("TRAVEL ADAPTER",B1259)),
ISNUMBER(SEARCH("RJ45",B1259)),
ISNUMBER(SEARCH("USB-C",B1259)),
ISNUMBER(SEARCH("USB WIFI",B1259)),
ISNUMBER(SEARCH("POWERBANK",B1259)),
ISNUMBER(SEARCH("CARGADOR",B1259)),
ISNUMBER(SEARCH("COOLER PARA NB",B1259)),
ISNUMBER(SEARCH("SOPORTE PARA NB",B1259)),
ISNUMBER(SEARCH("WEBCAM",B1259)),
ISNUMBER(SEARCH("WEB CAM",B1259)),
ISNUMBER(SEARCH("MOUSE",B1259)),
ISNUMBER(SEARCH("TECLADO",B1259))
),
"COMPLEMENTO",
IF(
OR(
LEFT(A1259,2)="NB",
LEFT(A1259,2)="PC",
LEFT(A1259,2)="WS",
LEFT(A1259,2)="TB",
LEFT(A1259,3)="CEL",
LEFT(A1259,3)="MON",
LEFT(A1259,3)="PRE",
LEFT(A1259,3)="PRH",
ISNUMBER(SEARCH("NOTEBOOK",B1259)),
ISNUMBER(SEARCH("LAPTOP",B1259)),
ISNUMBER(SEARCH("MONITOR",B1259)),
ISNUMBER(SEARCH("TABLET",B1259)),
ISNUMBER(SEARCH("SMARTPH",B1259)),
ISNUMBER(SEARCH("IMPRESORA",B1259)),
ISNUMBER(SEARCH("MULTIFUNCIONAL",B1259)),
ISNUMBER(SEARCH("AIO",B1259))
),
"GANCHO",
"NORMAL"
)
)</f>
        <v>NORMAL</v>
      </c>
    </row>
    <row r="1258" spans="1:12" x14ac:dyDescent="0.25">
      <c r="A1258" s="3" t="s">
        <v>4690</v>
      </c>
      <c r="B1258" s="3" t="s">
        <v>4691</v>
      </c>
      <c r="C1258" s="1">
        <v>20</v>
      </c>
      <c r="D1258" s="1">
        <v>11.18</v>
      </c>
      <c r="E1258" s="1" t="s">
        <v>424</v>
      </c>
      <c r="F1258" s="1" t="s">
        <v>4692</v>
      </c>
      <c r="G1258" s="3" t="s">
        <v>4693</v>
      </c>
      <c r="H1258" s="11">
        <f>ROUND(
IF(L1256="GANCHO",
   IF(I1258&lt;=50,I1258*1.1+4,IF(I1258&lt;=120,I1258*1.1+7,IF(I1258&lt;=250,I1258*1.1+11,I1258*1.1+19))),
IF(L1256="NORMAL",
   IF(I1258&lt;=30,I1258*1.15+2,IF(I1258&lt;=80,I1258*1.15+4,IF(I1258&lt;=150,I1258*1.15+6,I1258*1.15+8))),
IF(L1256="COMPLEMENTO",
   IF(I1258&lt;=25,I1258*1.25+1.5,IF(I1258&lt;=60,I1258*1.25+3,IF(I1258&lt;=120,I1258*1.25+4,I1258*1.25+5))),
""))),2)</f>
        <v>60.39</v>
      </c>
      <c r="I1258" s="9">
        <f>($K$2+0.02)*Tabla1[[#This Row],[PRECIO $]]*1.18</f>
        <v>45.909551999999998</v>
      </c>
      <c r="J1258" s="7">
        <f>+Tabla1[[#This Row],[PRECIO EN SOLES]]-Tabla1[[#This Row],[PC]]</f>
        <v>14.480448000000003</v>
      </c>
      <c r="K1258" s="15"/>
      <c r="L1258" s="15" t="str">
        <f>IF(
OR(
ISNUMBER(SEARCH("BACKPACK",B1260)),
ISNUMBER(SEARCH("MOCHILA",B1260)),
ISNUMBER(SEARCH("FUNDA",B1260)),
ISNUMBER(SEARCH("ESTUCHE",B1260)),
ISNUMBER(SEARCH("BOOK COVER",B1260)),
ISNUMBER(SEARCH("KEYBOARD PARA TABLET",B1260)),
ISNUMBER(SEARCH("FLIP TABLET",B1260)),
ISNUMBER(SEARCH("CASE FOR TABLET",B1260)),
ISNUMBER(SEARCH("CABLE",B1260)),
ISNUMBER(SEARCH("ADAPTADOR",B1260)),
ISNUMBER(SEARCH("HUB",B1260)),
ISNUMBER(SEARCH("DOCK",B1260)),
ISNUMBER(SEARCH("MOUSE PAD",B1260)),
ISNUMBER(SEARCH("MOUSEPAD",B1260)),
ISNUMBER(SEARCH("SOPORTE",B1260)),
ISNUMBER(SEARCH("STAND",B1260)),
ISNUMBER(SEARCH("TRAVEL ADAPTER",B1260)),
ISNUMBER(SEARCH("RJ45",B1260)),
ISNUMBER(SEARCH("USB-C",B1260)),
ISNUMBER(SEARCH("USB WIFI",B1260)),
ISNUMBER(SEARCH("POWERBANK",B1260)),
ISNUMBER(SEARCH("CARGADOR",B1260)),
ISNUMBER(SEARCH("COOLER PARA NB",B1260)),
ISNUMBER(SEARCH("SOPORTE PARA NB",B1260)),
ISNUMBER(SEARCH("WEBCAM",B1260)),
ISNUMBER(SEARCH("WEB CAM",B1260)),
ISNUMBER(SEARCH("MOUSE",B1260)),
ISNUMBER(SEARCH("TECLADO",B1260))
),
"COMPLEMENTO",
IF(
OR(
LEFT(A1260,2)="NB",
LEFT(A1260,2)="PC",
LEFT(A1260,2)="WS",
LEFT(A1260,2)="TB",
LEFT(A1260,3)="CEL",
LEFT(A1260,3)="MON",
LEFT(A1260,3)="PRE",
LEFT(A1260,3)="PRH",
ISNUMBER(SEARCH("NOTEBOOK",B1260)),
ISNUMBER(SEARCH("LAPTOP",B1260)),
ISNUMBER(SEARCH("MONITOR",B1260)),
ISNUMBER(SEARCH("TABLET",B1260)),
ISNUMBER(SEARCH("SMARTPH",B1260)),
ISNUMBER(SEARCH("IMPRESORA",B1260)),
ISNUMBER(SEARCH("MULTIFUNCIONAL",B1260)),
ISNUMBER(SEARCH("AIO",B1260))
),
"GANCHO",
"NORMAL"
)
)</f>
        <v>NORMAL</v>
      </c>
    </row>
    <row r="1259" spans="1:12" x14ac:dyDescent="0.25">
      <c r="A1259" s="3" t="s">
        <v>2075</v>
      </c>
      <c r="B1259" s="3" t="s">
        <v>2076</v>
      </c>
      <c r="C1259" s="1">
        <v>4</v>
      </c>
      <c r="D1259" s="1">
        <v>984.43</v>
      </c>
      <c r="E1259" s="1" t="s">
        <v>2002</v>
      </c>
      <c r="F1259" s="1" t="s">
        <v>3810</v>
      </c>
      <c r="G1259" s="3"/>
      <c r="H1259" s="11">
        <f>ROUND(
IF(L1257="GANCHO",
   IF(I1259&lt;=50,I1259*1.1+4,IF(I1259&lt;=120,I1259*1.1+7,IF(I1259&lt;=250,I1259*1.1+11,I1259*1.1+19))),
IF(L1257="NORMAL",
   IF(I1259&lt;=30,I1259*1.15+2,IF(I1259&lt;=80,I1259*1.15+4,IF(I1259&lt;=150,I1259*1.15+6,I1259*1.15+8))),
IF(L1257="COMPLEMENTO",
   IF(I1259&lt;=25,I1259*1.25+1.5,IF(I1259&lt;=60,I1259*1.25+3,IF(I1259&lt;=120,I1259*1.25+4,I1259*1.25+5))),
""))),2)</f>
        <v>4656.83</v>
      </c>
      <c r="I1259" s="9">
        <f>($K$2+0.02)*Tabla1[[#This Row],[PRECIO $]]*1.18</f>
        <v>4042.4633519999993</v>
      </c>
      <c r="J1259" s="7">
        <f>+Tabla1[[#This Row],[PRECIO EN SOLES]]-Tabla1[[#This Row],[PC]]</f>
        <v>614.36664800000062</v>
      </c>
      <c r="K1259" s="15"/>
      <c r="L1259" s="15" t="str">
        <f>IF(
OR(
ISNUMBER(SEARCH("BACKPACK",B1261)),
ISNUMBER(SEARCH("MOCHILA",B1261)),
ISNUMBER(SEARCH("FUNDA",B1261)),
ISNUMBER(SEARCH("ESTUCHE",B1261)),
ISNUMBER(SEARCH("BOOK COVER",B1261)),
ISNUMBER(SEARCH("KEYBOARD PARA TABLET",B1261)),
ISNUMBER(SEARCH("FLIP TABLET",B1261)),
ISNUMBER(SEARCH("CASE FOR TABLET",B1261)),
ISNUMBER(SEARCH("CABLE",B1261)),
ISNUMBER(SEARCH("ADAPTADOR",B1261)),
ISNUMBER(SEARCH("HUB",B1261)),
ISNUMBER(SEARCH("DOCK",B1261)),
ISNUMBER(SEARCH("MOUSE PAD",B1261)),
ISNUMBER(SEARCH("MOUSEPAD",B1261)),
ISNUMBER(SEARCH("SOPORTE",B1261)),
ISNUMBER(SEARCH("STAND",B1261)),
ISNUMBER(SEARCH("TRAVEL ADAPTER",B1261)),
ISNUMBER(SEARCH("RJ45",B1261)),
ISNUMBER(SEARCH("USB-C",B1261)),
ISNUMBER(SEARCH("USB WIFI",B1261)),
ISNUMBER(SEARCH("POWERBANK",B1261)),
ISNUMBER(SEARCH("CARGADOR",B1261)),
ISNUMBER(SEARCH("COOLER PARA NB",B1261)),
ISNUMBER(SEARCH("SOPORTE PARA NB",B1261)),
ISNUMBER(SEARCH("WEBCAM",B1261)),
ISNUMBER(SEARCH("WEB CAM",B1261)),
ISNUMBER(SEARCH("MOUSE",B1261)),
ISNUMBER(SEARCH("TECLADO",B1261))
),
"COMPLEMENTO",
IF(
OR(
LEFT(A1261,2)="NB",
LEFT(A1261,2)="PC",
LEFT(A1261,2)="WS",
LEFT(A1261,2)="TB",
LEFT(A1261,3)="CEL",
LEFT(A1261,3)="MON",
LEFT(A1261,3)="PRE",
LEFT(A1261,3)="PRH",
ISNUMBER(SEARCH("NOTEBOOK",B1261)),
ISNUMBER(SEARCH("LAPTOP",B1261)),
ISNUMBER(SEARCH("MONITOR",B1261)),
ISNUMBER(SEARCH("TABLET",B1261)),
ISNUMBER(SEARCH("SMARTPH",B1261)),
ISNUMBER(SEARCH("IMPRESORA",B1261)),
ISNUMBER(SEARCH("MULTIFUNCIONAL",B1261)),
ISNUMBER(SEARCH("AIO",B1261))
),
"GANCHO",
"NORMAL"
)
)</f>
        <v>NORMAL</v>
      </c>
    </row>
    <row r="1260" spans="1:12" x14ac:dyDescent="0.25">
      <c r="A1260" s="3" t="s">
        <v>2077</v>
      </c>
      <c r="B1260" s="3" t="s">
        <v>2078</v>
      </c>
      <c r="C1260" s="1">
        <v>1</v>
      </c>
      <c r="D1260" s="1">
        <v>35.299999999999997</v>
      </c>
      <c r="E1260" s="1" t="s">
        <v>2002</v>
      </c>
      <c r="F1260" s="1" t="s">
        <v>3811</v>
      </c>
      <c r="G1260" s="3"/>
      <c r="H1260" s="11">
        <f>ROUND(
IF(L1258="GANCHO",
   IF(I1260&lt;=50,I1260*1.1+4,IF(I1260&lt;=120,I1260*1.1+7,IF(I1260&lt;=250,I1260*1.1+11,I1260*1.1+19))),
IF(L1258="NORMAL",
   IF(I1260&lt;=30,I1260*1.15+2,IF(I1260&lt;=80,I1260*1.15+4,IF(I1260&lt;=150,I1260*1.15+6,I1260*1.15+8))),
IF(L1258="COMPLEMENTO",
   IF(I1260&lt;=25,I1260*1.25+1.5,IF(I1260&lt;=60,I1260*1.25+3,IF(I1260&lt;=120,I1260*1.25+4,I1260*1.25+5))),
""))),2)</f>
        <v>172.7</v>
      </c>
      <c r="I1260" s="9">
        <f>($K$2+0.02)*Tabla1[[#This Row],[PRECIO $]]*1.18</f>
        <v>144.95591999999999</v>
      </c>
      <c r="J1260" s="7">
        <f>+Tabla1[[#This Row],[PRECIO EN SOLES]]-Tabla1[[#This Row],[PC]]</f>
        <v>27.744079999999997</v>
      </c>
      <c r="K1260" s="15"/>
      <c r="L1260" s="15" t="str">
        <f>IF(
OR(
ISNUMBER(SEARCH("BACKPACK",B1262)),
ISNUMBER(SEARCH("MOCHILA",B1262)),
ISNUMBER(SEARCH("FUNDA",B1262)),
ISNUMBER(SEARCH("ESTUCHE",B1262)),
ISNUMBER(SEARCH("BOOK COVER",B1262)),
ISNUMBER(SEARCH("KEYBOARD PARA TABLET",B1262)),
ISNUMBER(SEARCH("FLIP TABLET",B1262)),
ISNUMBER(SEARCH("CASE FOR TABLET",B1262)),
ISNUMBER(SEARCH("CABLE",B1262)),
ISNUMBER(SEARCH("ADAPTADOR",B1262)),
ISNUMBER(SEARCH("HUB",B1262)),
ISNUMBER(SEARCH("DOCK",B1262)),
ISNUMBER(SEARCH("MOUSE PAD",B1262)),
ISNUMBER(SEARCH("MOUSEPAD",B1262)),
ISNUMBER(SEARCH("SOPORTE",B1262)),
ISNUMBER(SEARCH("STAND",B1262)),
ISNUMBER(SEARCH("TRAVEL ADAPTER",B1262)),
ISNUMBER(SEARCH("RJ45",B1262)),
ISNUMBER(SEARCH("USB-C",B1262)),
ISNUMBER(SEARCH("USB WIFI",B1262)),
ISNUMBER(SEARCH("POWERBANK",B1262)),
ISNUMBER(SEARCH("CARGADOR",B1262)),
ISNUMBER(SEARCH("COOLER PARA NB",B1262)),
ISNUMBER(SEARCH("SOPORTE PARA NB",B1262)),
ISNUMBER(SEARCH("WEBCAM",B1262)),
ISNUMBER(SEARCH("WEB CAM",B1262)),
ISNUMBER(SEARCH("MOUSE",B1262)),
ISNUMBER(SEARCH("TECLADO",B1262))
),
"COMPLEMENTO",
IF(
OR(
LEFT(A1262,2)="NB",
LEFT(A1262,2)="PC",
LEFT(A1262,2)="WS",
LEFT(A1262,2)="TB",
LEFT(A1262,3)="CEL",
LEFT(A1262,3)="MON",
LEFT(A1262,3)="PRE",
LEFT(A1262,3)="PRH",
ISNUMBER(SEARCH("NOTEBOOK",B1262)),
ISNUMBER(SEARCH("LAPTOP",B1262)),
ISNUMBER(SEARCH("MONITOR",B1262)),
ISNUMBER(SEARCH("TABLET",B1262)),
ISNUMBER(SEARCH("SMARTPH",B1262)),
ISNUMBER(SEARCH("IMPRESORA",B1262)),
ISNUMBER(SEARCH("MULTIFUNCIONAL",B1262)),
ISNUMBER(SEARCH("AIO",B1262))
),
"GANCHO",
"NORMAL"
)
)</f>
        <v>NORMAL</v>
      </c>
    </row>
    <row r="1261" spans="1:12" x14ac:dyDescent="0.25">
      <c r="A1261" s="3" t="s">
        <v>2079</v>
      </c>
      <c r="B1261" s="3" t="s">
        <v>2080</v>
      </c>
      <c r="C1261" s="1">
        <v>6</v>
      </c>
      <c r="D1261" s="1">
        <v>890</v>
      </c>
      <c r="E1261" s="1" t="s">
        <v>2002</v>
      </c>
      <c r="F1261" s="1" t="s">
        <v>3812</v>
      </c>
      <c r="G1261" s="3"/>
      <c r="H1261" s="11">
        <f>ROUND(
IF(L1259="GANCHO",
   IF(I1261&lt;=50,I1261*1.1+4,IF(I1261&lt;=120,I1261*1.1+7,IF(I1261&lt;=250,I1261*1.1+11,I1261*1.1+19))),
IF(L1259="NORMAL",
   IF(I1261&lt;=30,I1261*1.15+2,IF(I1261&lt;=80,I1261*1.15+4,IF(I1261&lt;=150,I1261*1.15+6,I1261*1.15+8))),
IF(L1259="COMPLEMENTO",
   IF(I1261&lt;=25,I1261*1.25+1.5,IF(I1261&lt;=60,I1261*1.25+3,IF(I1261&lt;=120,I1261*1.25+4,I1261*1.25+5))),
""))),2)</f>
        <v>4210.8999999999996</v>
      </c>
      <c r="I1261" s="9">
        <f>($K$2+0.02)*Tabla1[[#This Row],[PRECIO $]]*1.18</f>
        <v>3654.6959999999995</v>
      </c>
      <c r="J1261" s="7">
        <f>+Tabla1[[#This Row],[PRECIO EN SOLES]]-Tabla1[[#This Row],[PC]]</f>
        <v>556.20400000000018</v>
      </c>
      <c r="K1261" s="15"/>
      <c r="L1261" s="15" t="str">
        <f>IF(
OR(
ISNUMBER(SEARCH("BACKPACK",B1263)),
ISNUMBER(SEARCH("MOCHILA",B1263)),
ISNUMBER(SEARCH("FUNDA",B1263)),
ISNUMBER(SEARCH("ESTUCHE",B1263)),
ISNUMBER(SEARCH("BOOK COVER",B1263)),
ISNUMBER(SEARCH("KEYBOARD PARA TABLET",B1263)),
ISNUMBER(SEARCH("FLIP TABLET",B1263)),
ISNUMBER(SEARCH("CASE FOR TABLET",B1263)),
ISNUMBER(SEARCH("CABLE",B1263)),
ISNUMBER(SEARCH("ADAPTADOR",B1263)),
ISNUMBER(SEARCH("HUB",B1263)),
ISNUMBER(SEARCH("DOCK",B1263)),
ISNUMBER(SEARCH("MOUSE PAD",B1263)),
ISNUMBER(SEARCH("MOUSEPAD",B1263)),
ISNUMBER(SEARCH("SOPORTE",B1263)),
ISNUMBER(SEARCH("STAND",B1263)),
ISNUMBER(SEARCH("TRAVEL ADAPTER",B1263)),
ISNUMBER(SEARCH("RJ45",B1263)),
ISNUMBER(SEARCH("USB-C",B1263)),
ISNUMBER(SEARCH("USB WIFI",B1263)),
ISNUMBER(SEARCH("POWERBANK",B1263)),
ISNUMBER(SEARCH("CARGADOR",B1263)),
ISNUMBER(SEARCH("COOLER PARA NB",B1263)),
ISNUMBER(SEARCH("SOPORTE PARA NB",B1263)),
ISNUMBER(SEARCH("WEBCAM",B1263)),
ISNUMBER(SEARCH("WEB CAM",B1263)),
ISNUMBER(SEARCH("MOUSE",B1263)),
ISNUMBER(SEARCH("TECLADO",B1263))
),
"COMPLEMENTO",
IF(
OR(
LEFT(A1263,2)="NB",
LEFT(A1263,2)="PC",
LEFT(A1263,2)="WS",
LEFT(A1263,2)="TB",
LEFT(A1263,3)="CEL",
LEFT(A1263,3)="MON",
LEFT(A1263,3)="PRE",
LEFT(A1263,3)="PRH",
ISNUMBER(SEARCH("NOTEBOOK",B1263)),
ISNUMBER(SEARCH("LAPTOP",B1263)),
ISNUMBER(SEARCH("MONITOR",B1263)),
ISNUMBER(SEARCH("TABLET",B1263)),
ISNUMBER(SEARCH("SMARTPH",B1263)),
ISNUMBER(SEARCH("IMPRESORA",B1263)),
ISNUMBER(SEARCH("MULTIFUNCIONAL",B1263)),
ISNUMBER(SEARCH("AIO",B1263))
),
"GANCHO",
"NORMAL"
)
)</f>
        <v>NORMAL</v>
      </c>
    </row>
    <row r="1262" spans="1:12" x14ac:dyDescent="0.25">
      <c r="A1262" s="3" t="s">
        <v>2081</v>
      </c>
      <c r="B1262" s="3" t="s">
        <v>2082</v>
      </c>
      <c r="C1262" s="1">
        <v>15</v>
      </c>
      <c r="D1262" s="1">
        <v>56</v>
      </c>
      <c r="E1262" s="1" t="s">
        <v>1123</v>
      </c>
      <c r="F1262" s="1" t="s">
        <v>3813</v>
      </c>
      <c r="G1262" s="3" t="s">
        <v>2083</v>
      </c>
      <c r="H1262" s="11">
        <f>ROUND(
IF(L1260="GANCHO",
   IF(I1262&lt;=50,I1262*1.1+4,IF(I1262&lt;=120,I1262*1.1+7,IF(I1262&lt;=250,I1262*1.1+11,I1262*1.1+19))),
IF(L1260="NORMAL",
   IF(I1262&lt;=30,I1262*1.15+2,IF(I1262&lt;=80,I1262*1.15+4,IF(I1262&lt;=150,I1262*1.15+6,I1262*1.15+8))),
IF(L1260="COMPLEMENTO",
   IF(I1262&lt;=25,I1262*1.25+1.5,IF(I1262&lt;=60,I1262*1.25+3,IF(I1262&lt;=120,I1262*1.25+4,I1262*1.25+5))),
""))),2)</f>
        <v>272.45</v>
      </c>
      <c r="I1262" s="9">
        <f>($K$2+0.02)*Tabla1[[#This Row],[PRECIO $]]*1.18</f>
        <v>229.95839999999998</v>
      </c>
      <c r="J1262" s="7">
        <f>+Tabla1[[#This Row],[PRECIO EN SOLES]]-Tabla1[[#This Row],[PC]]</f>
        <v>42.491600000000005</v>
      </c>
      <c r="K1262" s="15"/>
      <c r="L1262" s="15" t="str">
        <f>IF(
OR(
ISNUMBER(SEARCH("BACKPACK",B1264)),
ISNUMBER(SEARCH("MOCHILA",B1264)),
ISNUMBER(SEARCH("FUNDA",B1264)),
ISNUMBER(SEARCH("ESTUCHE",B1264)),
ISNUMBER(SEARCH("BOOK COVER",B1264)),
ISNUMBER(SEARCH("KEYBOARD PARA TABLET",B1264)),
ISNUMBER(SEARCH("FLIP TABLET",B1264)),
ISNUMBER(SEARCH("CASE FOR TABLET",B1264)),
ISNUMBER(SEARCH("CABLE",B1264)),
ISNUMBER(SEARCH("ADAPTADOR",B1264)),
ISNUMBER(SEARCH("HUB",B1264)),
ISNUMBER(SEARCH("DOCK",B1264)),
ISNUMBER(SEARCH("MOUSE PAD",B1264)),
ISNUMBER(SEARCH("MOUSEPAD",B1264)),
ISNUMBER(SEARCH("SOPORTE",B1264)),
ISNUMBER(SEARCH("STAND",B1264)),
ISNUMBER(SEARCH("TRAVEL ADAPTER",B1264)),
ISNUMBER(SEARCH("RJ45",B1264)),
ISNUMBER(SEARCH("USB-C",B1264)),
ISNUMBER(SEARCH("USB WIFI",B1264)),
ISNUMBER(SEARCH("POWERBANK",B1264)),
ISNUMBER(SEARCH("CARGADOR",B1264)),
ISNUMBER(SEARCH("COOLER PARA NB",B1264)),
ISNUMBER(SEARCH("SOPORTE PARA NB",B1264)),
ISNUMBER(SEARCH("WEBCAM",B1264)),
ISNUMBER(SEARCH("WEB CAM",B1264)),
ISNUMBER(SEARCH("MOUSE",B1264)),
ISNUMBER(SEARCH("TECLADO",B1264))
),
"COMPLEMENTO",
IF(
OR(
LEFT(A1264,2)="NB",
LEFT(A1264,2)="PC",
LEFT(A1264,2)="WS",
LEFT(A1264,2)="TB",
LEFT(A1264,3)="CEL",
LEFT(A1264,3)="MON",
LEFT(A1264,3)="PRE",
LEFT(A1264,3)="PRH",
ISNUMBER(SEARCH("NOTEBOOK",B1264)),
ISNUMBER(SEARCH("LAPTOP",B1264)),
ISNUMBER(SEARCH("MONITOR",B1264)),
ISNUMBER(SEARCH("TABLET",B1264)),
ISNUMBER(SEARCH("SMARTPH",B1264)),
ISNUMBER(SEARCH("IMPRESORA",B1264)),
ISNUMBER(SEARCH("MULTIFUNCIONAL",B1264)),
ISNUMBER(SEARCH("AIO",B1264))
),
"GANCHO",
"NORMAL"
)
)</f>
        <v>NORMAL</v>
      </c>
    </row>
    <row r="1263" spans="1:12" x14ac:dyDescent="0.25">
      <c r="A1263" s="3" t="s">
        <v>2084</v>
      </c>
      <c r="B1263" s="3" t="s">
        <v>2085</v>
      </c>
      <c r="C1263" s="1">
        <v>1</v>
      </c>
      <c r="D1263" s="1">
        <v>101</v>
      </c>
      <c r="E1263" s="1" t="s">
        <v>424</v>
      </c>
      <c r="F1263" s="1" t="s">
        <v>3814</v>
      </c>
      <c r="G1263" s="3" t="s">
        <v>2086</v>
      </c>
      <c r="H1263" s="11">
        <f>ROUND(
IF(L1261="GANCHO",
   IF(I1263&lt;=50,I1263*1.1+4,IF(I1263&lt;=120,I1263*1.1+7,IF(I1263&lt;=250,I1263*1.1+11,I1263*1.1+19))),
IF(L1261="NORMAL",
   IF(I1263&lt;=30,I1263*1.15+2,IF(I1263&lt;=80,I1263*1.15+4,IF(I1263&lt;=150,I1263*1.15+6,I1263*1.15+8))),
IF(L1261="COMPLEMENTO",
   IF(I1263&lt;=25,I1263*1.25+1.5,IF(I1263&lt;=60,I1263*1.25+3,IF(I1263&lt;=120,I1263*1.25+4,I1263*1.25+5))),
""))),2)</f>
        <v>484.96</v>
      </c>
      <c r="I1263" s="9">
        <f>($K$2+0.02)*Tabla1[[#This Row],[PRECIO $]]*1.18</f>
        <v>414.74639999999999</v>
      </c>
      <c r="J1263" s="7">
        <f>+Tabla1[[#This Row],[PRECIO EN SOLES]]-Tabla1[[#This Row],[PC]]</f>
        <v>70.213599999999985</v>
      </c>
      <c r="K1263" s="15"/>
      <c r="L1263" s="15" t="str">
        <f>IF(
OR(
ISNUMBER(SEARCH("BACKPACK",B1265)),
ISNUMBER(SEARCH("MOCHILA",B1265)),
ISNUMBER(SEARCH("FUNDA",B1265)),
ISNUMBER(SEARCH("ESTUCHE",B1265)),
ISNUMBER(SEARCH("BOOK COVER",B1265)),
ISNUMBER(SEARCH("KEYBOARD PARA TABLET",B1265)),
ISNUMBER(SEARCH("FLIP TABLET",B1265)),
ISNUMBER(SEARCH("CASE FOR TABLET",B1265)),
ISNUMBER(SEARCH("CABLE",B1265)),
ISNUMBER(SEARCH("ADAPTADOR",B1265)),
ISNUMBER(SEARCH("HUB",B1265)),
ISNUMBER(SEARCH("DOCK",B1265)),
ISNUMBER(SEARCH("MOUSE PAD",B1265)),
ISNUMBER(SEARCH("MOUSEPAD",B1265)),
ISNUMBER(SEARCH("SOPORTE",B1265)),
ISNUMBER(SEARCH("STAND",B1265)),
ISNUMBER(SEARCH("TRAVEL ADAPTER",B1265)),
ISNUMBER(SEARCH("RJ45",B1265)),
ISNUMBER(SEARCH("USB-C",B1265)),
ISNUMBER(SEARCH("USB WIFI",B1265)),
ISNUMBER(SEARCH("POWERBANK",B1265)),
ISNUMBER(SEARCH("CARGADOR",B1265)),
ISNUMBER(SEARCH("COOLER PARA NB",B1265)),
ISNUMBER(SEARCH("SOPORTE PARA NB",B1265)),
ISNUMBER(SEARCH("WEBCAM",B1265)),
ISNUMBER(SEARCH("WEB CAM",B1265)),
ISNUMBER(SEARCH("MOUSE",B1265)),
ISNUMBER(SEARCH("TECLADO",B1265))
),
"COMPLEMENTO",
IF(
OR(
LEFT(A1265,2)="NB",
LEFT(A1265,2)="PC",
LEFT(A1265,2)="WS",
LEFT(A1265,2)="TB",
LEFT(A1265,3)="CEL",
LEFT(A1265,3)="MON",
LEFT(A1265,3)="PRE",
LEFT(A1265,3)="PRH",
ISNUMBER(SEARCH("NOTEBOOK",B1265)),
ISNUMBER(SEARCH("LAPTOP",B1265)),
ISNUMBER(SEARCH("MONITOR",B1265)),
ISNUMBER(SEARCH("TABLET",B1265)),
ISNUMBER(SEARCH("SMARTPH",B1265)),
ISNUMBER(SEARCH("IMPRESORA",B1265)),
ISNUMBER(SEARCH("MULTIFUNCIONAL",B1265)),
ISNUMBER(SEARCH("AIO",B1265))
),
"GANCHO",
"NORMAL"
)
)</f>
        <v>NORMAL</v>
      </c>
    </row>
    <row r="1264" spans="1:12" x14ac:dyDescent="0.25">
      <c r="A1264" s="3" t="s">
        <v>2087</v>
      </c>
      <c r="B1264" s="3" t="s">
        <v>2088</v>
      </c>
      <c r="C1264" s="1">
        <v>1</v>
      </c>
      <c r="D1264" s="1">
        <v>494.44</v>
      </c>
      <c r="E1264" s="1" t="s">
        <v>424</v>
      </c>
      <c r="F1264" s="1" t="s">
        <v>3815</v>
      </c>
      <c r="G1264" s="3" t="s">
        <v>2089</v>
      </c>
      <c r="H1264" s="11">
        <f>ROUND(
IF(L1262="GANCHO",
   IF(I1264&lt;=50,I1264*1.1+4,IF(I1264&lt;=120,I1264*1.1+7,IF(I1264&lt;=250,I1264*1.1+11,I1264*1.1+19))),
IF(L1262="NORMAL",
   IF(I1264&lt;=30,I1264*1.15+2,IF(I1264&lt;=80,I1264*1.15+4,IF(I1264&lt;=150,I1264*1.15+6,I1264*1.15+8))),
IF(L1262="COMPLEMENTO",
   IF(I1264&lt;=25,I1264*1.25+1.5,IF(I1264&lt;=60,I1264*1.25+3,IF(I1264&lt;=120,I1264*1.25+4,I1264*1.25+5))),
""))),2)</f>
        <v>2342.92</v>
      </c>
      <c r="I1264" s="9">
        <f>($K$2+0.02)*Tabla1[[#This Row],[PRECIO $]]*1.18</f>
        <v>2030.368416</v>
      </c>
      <c r="J1264" s="7">
        <f>+Tabla1[[#This Row],[PRECIO EN SOLES]]-Tabla1[[#This Row],[PC]]</f>
        <v>312.55158400000005</v>
      </c>
      <c r="K1264" s="15"/>
      <c r="L1264" s="15" t="str">
        <f>IF(
OR(
ISNUMBER(SEARCH("BACKPACK",B1266)),
ISNUMBER(SEARCH("MOCHILA",B1266)),
ISNUMBER(SEARCH("FUNDA",B1266)),
ISNUMBER(SEARCH("ESTUCHE",B1266)),
ISNUMBER(SEARCH("BOOK COVER",B1266)),
ISNUMBER(SEARCH("KEYBOARD PARA TABLET",B1266)),
ISNUMBER(SEARCH("FLIP TABLET",B1266)),
ISNUMBER(SEARCH("CASE FOR TABLET",B1266)),
ISNUMBER(SEARCH("CABLE",B1266)),
ISNUMBER(SEARCH("ADAPTADOR",B1266)),
ISNUMBER(SEARCH("HUB",B1266)),
ISNUMBER(SEARCH("DOCK",B1266)),
ISNUMBER(SEARCH("MOUSE PAD",B1266)),
ISNUMBER(SEARCH("MOUSEPAD",B1266)),
ISNUMBER(SEARCH("SOPORTE",B1266)),
ISNUMBER(SEARCH("STAND",B1266)),
ISNUMBER(SEARCH("TRAVEL ADAPTER",B1266)),
ISNUMBER(SEARCH("RJ45",B1266)),
ISNUMBER(SEARCH("USB-C",B1266)),
ISNUMBER(SEARCH("USB WIFI",B1266)),
ISNUMBER(SEARCH("POWERBANK",B1266)),
ISNUMBER(SEARCH("CARGADOR",B1266)),
ISNUMBER(SEARCH("COOLER PARA NB",B1266)),
ISNUMBER(SEARCH("SOPORTE PARA NB",B1266)),
ISNUMBER(SEARCH("WEBCAM",B1266)),
ISNUMBER(SEARCH("WEB CAM",B1266)),
ISNUMBER(SEARCH("MOUSE",B1266)),
ISNUMBER(SEARCH("TECLADO",B1266))
),
"COMPLEMENTO",
IF(
OR(
LEFT(A1266,2)="NB",
LEFT(A1266,2)="PC",
LEFT(A1266,2)="WS",
LEFT(A1266,2)="TB",
LEFT(A1266,3)="CEL",
LEFT(A1266,3)="MON",
LEFT(A1266,3)="PRE",
LEFT(A1266,3)="PRH",
ISNUMBER(SEARCH("NOTEBOOK",B1266)),
ISNUMBER(SEARCH("LAPTOP",B1266)),
ISNUMBER(SEARCH("MONITOR",B1266)),
ISNUMBER(SEARCH("TABLET",B1266)),
ISNUMBER(SEARCH("SMARTPH",B1266)),
ISNUMBER(SEARCH("IMPRESORA",B1266)),
ISNUMBER(SEARCH("MULTIFUNCIONAL",B1266)),
ISNUMBER(SEARCH("AIO",B1266))
),
"GANCHO",
"NORMAL"
)
)</f>
        <v>NORMAL</v>
      </c>
    </row>
    <row r="1265" spans="1:12" x14ac:dyDescent="0.25">
      <c r="A1265" s="3" t="s">
        <v>2090</v>
      </c>
      <c r="B1265" s="3" t="s">
        <v>2091</v>
      </c>
      <c r="C1265" s="1">
        <v>3</v>
      </c>
      <c r="D1265" s="1">
        <v>941.62</v>
      </c>
      <c r="E1265" s="1" t="s">
        <v>2002</v>
      </c>
      <c r="F1265" s="1" t="s">
        <v>3816</v>
      </c>
      <c r="G1265" s="3" t="s">
        <v>2092</v>
      </c>
      <c r="H1265" s="11">
        <f>ROUND(
IF(L1263="GANCHO",
   IF(I1265&lt;=50,I1265*1.1+4,IF(I1265&lt;=120,I1265*1.1+7,IF(I1265&lt;=250,I1265*1.1+11,I1265*1.1+19))),
IF(L1263="NORMAL",
   IF(I1265&lt;=30,I1265*1.15+2,IF(I1265&lt;=80,I1265*1.15+4,IF(I1265&lt;=150,I1265*1.15+6,I1265*1.15+8))),
IF(L1263="COMPLEMENTO",
   IF(I1265&lt;=25,I1265*1.25+1.5,IF(I1265&lt;=60,I1265*1.25+3,IF(I1265&lt;=120,I1265*1.25+4,I1265*1.25+5))),
""))),2)</f>
        <v>4454.67</v>
      </c>
      <c r="I1265" s="9">
        <f>($K$2+0.02)*Tabla1[[#This Row],[PRECIO $]]*1.18</f>
        <v>3866.6683679999996</v>
      </c>
      <c r="J1265" s="7">
        <f>+Tabla1[[#This Row],[PRECIO EN SOLES]]-Tabla1[[#This Row],[PC]]</f>
        <v>588.00163200000043</v>
      </c>
      <c r="K1265" s="15"/>
      <c r="L1265" s="15" t="str">
        <f>IF(
OR(
ISNUMBER(SEARCH("BACKPACK",B1267)),
ISNUMBER(SEARCH("MOCHILA",B1267)),
ISNUMBER(SEARCH("FUNDA",B1267)),
ISNUMBER(SEARCH("ESTUCHE",B1267)),
ISNUMBER(SEARCH("BOOK COVER",B1267)),
ISNUMBER(SEARCH("KEYBOARD PARA TABLET",B1267)),
ISNUMBER(SEARCH("FLIP TABLET",B1267)),
ISNUMBER(SEARCH("CASE FOR TABLET",B1267)),
ISNUMBER(SEARCH("CABLE",B1267)),
ISNUMBER(SEARCH("ADAPTADOR",B1267)),
ISNUMBER(SEARCH("HUB",B1267)),
ISNUMBER(SEARCH("DOCK",B1267)),
ISNUMBER(SEARCH("MOUSE PAD",B1267)),
ISNUMBER(SEARCH("MOUSEPAD",B1267)),
ISNUMBER(SEARCH("SOPORTE",B1267)),
ISNUMBER(SEARCH("STAND",B1267)),
ISNUMBER(SEARCH("TRAVEL ADAPTER",B1267)),
ISNUMBER(SEARCH("RJ45",B1267)),
ISNUMBER(SEARCH("USB-C",B1267)),
ISNUMBER(SEARCH("USB WIFI",B1267)),
ISNUMBER(SEARCH("POWERBANK",B1267)),
ISNUMBER(SEARCH("CARGADOR",B1267)),
ISNUMBER(SEARCH("COOLER PARA NB",B1267)),
ISNUMBER(SEARCH("SOPORTE PARA NB",B1267)),
ISNUMBER(SEARCH("WEBCAM",B1267)),
ISNUMBER(SEARCH("WEB CAM",B1267)),
ISNUMBER(SEARCH("MOUSE",B1267)),
ISNUMBER(SEARCH("TECLADO",B1267))
),
"COMPLEMENTO",
IF(
OR(
LEFT(A1267,2)="NB",
LEFT(A1267,2)="PC",
LEFT(A1267,2)="WS",
LEFT(A1267,2)="TB",
LEFT(A1267,3)="CEL",
LEFT(A1267,3)="MON",
LEFT(A1267,3)="PRE",
LEFT(A1267,3)="PRH",
ISNUMBER(SEARCH("NOTEBOOK",B1267)),
ISNUMBER(SEARCH("LAPTOP",B1267)),
ISNUMBER(SEARCH("MONITOR",B1267)),
ISNUMBER(SEARCH("TABLET",B1267)),
ISNUMBER(SEARCH("SMARTPH",B1267)),
ISNUMBER(SEARCH("IMPRESORA",B1267)),
ISNUMBER(SEARCH("MULTIFUNCIONAL",B1267)),
ISNUMBER(SEARCH("AIO",B1267))
),
"GANCHO",
"NORMAL"
)
)</f>
        <v>COMPLEMENTO</v>
      </c>
    </row>
    <row r="1266" spans="1:12" x14ac:dyDescent="0.25">
      <c r="A1266" s="3" t="s">
        <v>2093</v>
      </c>
      <c r="B1266" s="3" t="s">
        <v>2094</v>
      </c>
      <c r="C1266" s="1">
        <v>20</v>
      </c>
      <c r="D1266" s="1">
        <v>561.24</v>
      </c>
      <c r="E1266" s="1" t="s">
        <v>2002</v>
      </c>
      <c r="F1266" s="1" t="s">
        <v>3817</v>
      </c>
      <c r="G1266" s="3" t="s">
        <v>2095</v>
      </c>
      <c r="H1266" s="11">
        <f>ROUND(
IF(L1264="GANCHO",
   IF(I1266&lt;=50,I1266*1.1+4,IF(I1266&lt;=120,I1266*1.1+7,IF(I1266&lt;=250,I1266*1.1+11,I1266*1.1+19))),
IF(L1264="NORMAL",
   IF(I1266&lt;=30,I1266*1.15+2,IF(I1266&lt;=80,I1266*1.15+4,IF(I1266&lt;=150,I1266*1.15+6,I1266*1.15+8))),
IF(L1264="COMPLEMENTO",
   IF(I1266&lt;=25,I1266*1.25+1.5,IF(I1266&lt;=60,I1266*1.25+3,IF(I1266&lt;=120,I1266*1.25+4,I1266*1.25+5))),
""))),2)</f>
        <v>2658.38</v>
      </c>
      <c r="I1266" s="9">
        <f>($K$2+0.02)*Tabla1[[#This Row],[PRECIO $]]*1.18</f>
        <v>2304.6759359999996</v>
      </c>
      <c r="J1266" s="7">
        <f>+Tabla1[[#This Row],[PRECIO EN SOLES]]-Tabla1[[#This Row],[PC]]</f>
        <v>353.70406400000047</v>
      </c>
      <c r="K1266" s="15"/>
      <c r="L1266" s="15" t="str">
        <f>IF(
OR(
ISNUMBER(SEARCH("BACKPACK",B1268)),
ISNUMBER(SEARCH("MOCHILA",B1268)),
ISNUMBER(SEARCH("FUNDA",B1268)),
ISNUMBER(SEARCH("ESTUCHE",B1268)),
ISNUMBER(SEARCH("BOOK COVER",B1268)),
ISNUMBER(SEARCH("KEYBOARD PARA TABLET",B1268)),
ISNUMBER(SEARCH("FLIP TABLET",B1268)),
ISNUMBER(SEARCH("CASE FOR TABLET",B1268)),
ISNUMBER(SEARCH("CABLE",B1268)),
ISNUMBER(SEARCH("ADAPTADOR",B1268)),
ISNUMBER(SEARCH("HUB",B1268)),
ISNUMBER(SEARCH("DOCK",B1268)),
ISNUMBER(SEARCH("MOUSE PAD",B1268)),
ISNUMBER(SEARCH("MOUSEPAD",B1268)),
ISNUMBER(SEARCH("SOPORTE",B1268)),
ISNUMBER(SEARCH("STAND",B1268)),
ISNUMBER(SEARCH("TRAVEL ADAPTER",B1268)),
ISNUMBER(SEARCH("RJ45",B1268)),
ISNUMBER(SEARCH("USB-C",B1268)),
ISNUMBER(SEARCH("USB WIFI",B1268)),
ISNUMBER(SEARCH("POWERBANK",B1268)),
ISNUMBER(SEARCH("CARGADOR",B1268)),
ISNUMBER(SEARCH("COOLER PARA NB",B1268)),
ISNUMBER(SEARCH("SOPORTE PARA NB",B1268)),
ISNUMBER(SEARCH("WEBCAM",B1268)),
ISNUMBER(SEARCH("WEB CAM",B1268)),
ISNUMBER(SEARCH("MOUSE",B1268)),
ISNUMBER(SEARCH("TECLADO",B1268))
),
"COMPLEMENTO",
IF(
OR(
LEFT(A1268,2)="NB",
LEFT(A1268,2)="PC",
LEFT(A1268,2)="WS",
LEFT(A1268,2)="TB",
LEFT(A1268,3)="CEL",
LEFT(A1268,3)="MON",
LEFT(A1268,3)="PRE",
LEFT(A1268,3)="PRH",
ISNUMBER(SEARCH("NOTEBOOK",B1268)),
ISNUMBER(SEARCH("LAPTOP",B1268)),
ISNUMBER(SEARCH("MONITOR",B1268)),
ISNUMBER(SEARCH("TABLET",B1268)),
ISNUMBER(SEARCH("SMARTPH",B1268)),
ISNUMBER(SEARCH("IMPRESORA",B1268)),
ISNUMBER(SEARCH("MULTIFUNCIONAL",B1268)),
ISNUMBER(SEARCH("AIO",B1268))
),
"GANCHO",
"NORMAL"
)
)</f>
        <v>NORMAL</v>
      </c>
    </row>
    <row r="1267" spans="1:12" x14ac:dyDescent="0.25">
      <c r="A1267" s="3" t="s">
        <v>2096</v>
      </c>
      <c r="B1267" s="3" t="s">
        <v>2097</v>
      </c>
      <c r="C1267" s="1">
        <v>20</v>
      </c>
      <c r="D1267" s="1">
        <v>16.7</v>
      </c>
      <c r="E1267" s="1" t="s">
        <v>2002</v>
      </c>
      <c r="F1267" s="1" t="s">
        <v>3818</v>
      </c>
      <c r="G1267" s="3" t="s">
        <v>2098</v>
      </c>
      <c r="H1267" s="11">
        <f>ROUND(
IF(L1265="GANCHO",
   IF(I1267&lt;=50,I1267*1.1+4,IF(I1267&lt;=120,I1267*1.1+7,IF(I1267&lt;=250,I1267*1.1+11,I1267*1.1+19))),
IF(L1265="NORMAL",
   IF(I1267&lt;=30,I1267*1.15+2,IF(I1267&lt;=80,I1267*1.15+4,IF(I1267&lt;=150,I1267*1.15+6,I1267*1.15+8))),
IF(L1265="COMPLEMENTO",
   IF(I1267&lt;=25,I1267*1.25+1.5,IF(I1267&lt;=60,I1267*1.25+3,IF(I1267&lt;=120,I1267*1.25+4,I1267*1.25+5))),
""))),2)</f>
        <v>89.72</v>
      </c>
      <c r="I1267" s="9">
        <f>($K$2+0.02)*Tabla1[[#This Row],[PRECIO $]]*1.18</f>
        <v>68.576880000000003</v>
      </c>
      <c r="J1267" s="7">
        <f>+Tabla1[[#This Row],[PRECIO EN SOLES]]-Tabla1[[#This Row],[PC]]</f>
        <v>21.143119999999996</v>
      </c>
      <c r="K1267" s="15"/>
      <c r="L1267" s="15" t="str">
        <f>IF(
OR(
ISNUMBER(SEARCH("BACKPACK",B1269)),
ISNUMBER(SEARCH("MOCHILA",B1269)),
ISNUMBER(SEARCH("FUNDA",B1269)),
ISNUMBER(SEARCH("ESTUCHE",B1269)),
ISNUMBER(SEARCH("BOOK COVER",B1269)),
ISNUMBER(SEARCH("KEYBOARD PARA TABLET",B1269)),
ISNUMBER(SEARCH("FLIP TABLET",B1269)),
ISNUMBER(SEARCH("CASE FOR TABLET",B1269)),
ISNUMBER(SEARCH("CABLE",B1269)),
ISNUMBER(SEARCH("ADAPTADOR",B1269)),
ISNUMBER(SEARCH("HUB",B1269)),
ISNUMBER(SEARCH("DOCK",B1269)),
ISNUMBER(SEARCH("MOUSE PAD",B1269)),
ISNUMBER(SEARCH("MOUSEPAD",B1269)),
ISNUMBER(SEARCH("SOPORTE",B1269)),
ISNUMBER(SEARCH("STAND",B1269)),
ISNUMBER(SEARCH("TRAVEL ADAPTER",B1269)),
ISNUMBER(SEARCH("RJ45",B1269)),
ISNUMBER(SEARCH("USB-C",B1269)),
ISNUMBER(SEARCH("USB WIFI",B1269)),
ISNUMBER(SEARCH("POWERBANK",B1269)),
ISNUMBER(SEARCH("CARGADOR",B1269)),
ISNUMBER(SEARCH("COOLER PARA NB",B1269)),
ISNUMBER(SEARCH("SOPORTE PARA NB",B1269)),
ISNUMBER(SEARCH("WEBCAM",B1269)),
ISNUMBER(SEARCH("WEB CAM",B1269)),
ISNUMBER(SEARCH("MOUSE",B1269)),
ISNUMBER(SEARCH("TECLADO",B1269))
),
"COMPLEMENTO",
IF(
OR(
LEFT(A1269,2)="NB",
LEFT(A1269,2)="PC",
LEFT(A1269,2)="WS",
LEFT(A1269,2)="TB",
LEFT(A1269,3)="CEL",
LEFT(A1269,3)="MON",
LEFT(A1269,3)="PRE",
LEFT(A1269,3)="PRH",
ISNUMBER(SEARCH("NOTEBOOK",B1269)),
ISNUMBER(SEARCH("LAPTOP",B1269)),
ISNUMBER(SEARCH("MONITOR",B1269)),
ISNUMBER(SEARCH("TABLET",B1269)),
ISNUMBER(SEARCH("SMARTPH",B1269)),
ISNUMBER(SEARCH("IMPRESORA",B1269)),
ISNUMBER(SEARCH("MULTIFUNCIONAL",B1269)),
ISNUMBER(SEARCH("AIO",B1269))
),
"GANCHO",
"NORMAL"
)
)</f>
        <v>NORMAL</v>
      </c>
    </row>
    <row r="1268" spans="1:12" x14ac:dyDescent="0.25">
      <c r="A1268" s="3" t="s">
        <v>2099</v>
      </c>
      <c r="B1268" s="3" t="s">
        <v>2100</v>
      </c>
      <c r="C1268" s="1">
        <v>1</v>
      </c>
      <c r="D1268" s="1">
        <v>118</v>
      </c>
      <c r="E1268" s="1" t="s">
        <v>2002</v>
      </c>
      <c r="F1268" s="1" t="s">
        <v>3819</v>
      </c>
      <c r="G1268" s="3"/>
      <c r="H1268" s="11">
        <f>ROUND(
IF(L1266="GANCHO",
   IF(I1268&lt;=50,I1268*1.1+4,IF(I1268&lt;=120,I1268*1.1+7,IF(I1268&lt;=250,I1268*1.1+11,I1268*1.1+19))),
IF(L1266="NORMAL",
   IF(I1268&lt;=30,I1268*1.15+2,IF(I1268&lt;=80,I1268*1.15+4,IF(I1268&lt;=150,I1268*1.15+6,I1268*1.15+8))),
IF(L1266="COMPLEMENTO",
   IF(I1268&lt;=25,I1268*1.25+1.5,IF(I1268&lt;=60,I1268*1.25+3,IF(I1268&lt;=120,I1268*1.25+4,I1268*1.25+5))),
""))),2)</f>
        <v>565.24</v>
      </c>
      <c r="I1268" s="9">
        <f>($K$2+0.02)*Tabla1[[#This Row],[PRECIO $]]*1.18</f>
        <v>484.55519999999996</v>
      </c>
      <c r="J1268" s="7">
        <f>+Tabla1[[#This Row],[PRECIO EN SOLES]]-Tabla1[[#This Row],[PC]]</f>
        <v>80.684800000000052</v>
      </c>
      <c r="K1268" s="15"/>
      <c r="L1268" s="15" t="str">
        <f>IF(
OR(
ISNUMBER(SEARCH("BACKPACK",B1270)),
ISNUMBER(SEARCH("MOCHILA",B1270)),
ISNUMBER(SEARCH("FUNDA",B1270)),
ISNUMBER(SEARCH("ESTUCHE",B1270)),
ISNUMBER(SEARCH("BOOK COVER",B1270)),
ISNUMBER(SEARCH("KEYBOARD PARA TABLET",B1270)),
ISNUMBER(SEARCH("FLIP TABLET",B1270)),
ISNUMBER(SEARCH("CASE FOR TABLET",B1270)),
ISNUMBER(SEARCH("CABLE",B1270)),
ISNUMBER(SEARCH("ADAPTADOR",B1270)),
ISNUMBER(SEARCH("HUB",B1270)),
ISNUMBER(SEARCH("DOCK",B1270)),
ISNUMBER(SEARCH("MOUSE PAD",B1270)),
ISNUMBER(SEARCH("MOUSEPAD",B1270)),
ISNUMBER(SEARCH("SOPORTE",B1270)),
ISNUMBER(SEARCH("STAND",B1270)),
ISNUMBER(SEARCH("TRAVEL ADAPTER",B1270)),
ISNUMBER(SEARCH("RJ45",B1270)),
ISNUMBER(SEARCH("USB-C",B1270)),
ISNUMBER(SEARCH("USB WIFI",B1270)),
ISNUMBER(SEARCH("POWERBANK",B1270)),
ISNUMBER(SEARCH("CARGADOR",B1270)),
ISNUMBER(SEARCH("COOLER PARA NB",B1270)),
ISNUMBER(SEARCH("SOPORTE PARA NB",B1270)),
ISNUMBER(SEARCH("WEBCAM",B1270)),
ISNUMBER(SEARCH("WEB CAM",B1270)),
ISNUMBER(SEARCH("MOUSE",B1270)),
ISNUMBER(SEARCH("TECLADO",B1270))
),
"COMPLEMENTO",
IF(
OR(
LEFT(A1270,2)="NB",
LEFT(A1270,2)="PC",
LEFT(A1270,2)="WS",
LEFT(A1270,2)="TB",
LEFT(A1270,3)="CEL",
LEFT(A1270,3)="MON",
LEFT(A1270,3)="PRE",
LEFT(A1270,3)="PRH",
ISNUMBER(SEARCH("NOTEBOOK",B1270)),
ISNUMBER(SEARCH("LAPTOP",B1270)),
ISNUMBER(SEARCH("MONITOR",B1270)),
ISNUMBER(SEARCH("TABLET",B1270)),
ISNUMBER(SEARCH("SMARTPH",B1270)),
ISNUMBER(SEARCH("IMPRESORA",B1270)),
ISNUMBER(SEARCH("MULTIFUNCIONAL",B1270)),
ISNUMBER(SEARCH("AIO",B1270))
),
"GANCHO",
"NORMAL"
)
)</f>
        <v>NORMAL</v>
      </c>
    </row>
    <row r="1269" spans="1:12" x14ac:dyDescent="0.25">
      <c r="A1269" s="3" t="s">
        <v>2101</v>
      </c>
      <c r="B1269" s="3" t="s">
        <v>2102</v>
      </c>
      <c r="C1269" s="1">
        <v>19</v>
      </c>
      <c r="D1269" s="1">
        <v>93</v>
      </c>
      <c r="E1269" s="1" t="s">
        <v>2002</v>
      </c>
      <c r="F1269" s="1" t="s">
        <v>3820</v>
      </c>
      <c r="G1269" s="3" t="s">
        <v>2103</v>
      </c>
      <c r="H1269" s="11">
        <f>ROUND(
IF(L1267="GANCHO",
   IF(I1269&lt;=50,I1269*1.1+4,IF(I1269&lt;=120,I1269*1.1+7,IF(I1269&lt;=250,I1269*1.1+11,I1269*1.1+19))),
IF(L1267="NORMAL",
   IF(I1269&lt;=30,I1269*1.15+2,IF(I1269&lt;=80,I1269*1.15+4,IF(I1269&lt;=150,I1269*1.15+6,I1269*1.15+8))),
IF(L1267="COMPLEMENTO",
   IF(I1269&lt;=25,I1269*1.25+1.5,IF(I1269&lt;=60,I1269*1.25+3,IF(I1269&lt;=120,I1269*1.25+4,I1269*1.25+5))),
""))),2)</f>
        <v>447.18</v>
      </c>
      <c r="I1269" s="9">
        <f>($K$2+0.02)*Tabla1[[#This Row],[PRECIO $]]*1.18</f>
        <v>381.89519999999999</v>
      </c>
      <c r="J1269" s="7">
        <f>+Tabla1[[#This Row],[PRECIO EN SOLES]]-Tabla1[[#This Row],[PC]]</f>
        <v>65.284800000000018</v>
      </c>
      <c r="K1269" s="15"/>
      <c r="L1269" s="15" t="str">
        <f>IF(
OR(
ISNUMBER(SEARCH("BACKPACK",B1271)),
ISNUMBER(SEARCH("MOCHILA",B1271)),
ISNUMBER(SEARCH("FUNDA",B1271)),
ISNUMBER(SEARCH("ESTUCHE",B1271)),
ISNUMBER(SEARCH("BOOK COVER",B1271)),
ISNUMBER(SEARCH("KEYBOARD PARA TABLET",B1271)),
ISNUMBER(SEARCH("FLIP TABLET",B1271)),
ISNUMBER(SEARCH("CASE FOR TABLET",B1271)),
ISNUMBER(SEARCH("CABLE",B1271)),
ISNUMBER(SEARCH("ADAPTADOR",B1271)),
ISNUMBER(SEARCH("HUB",B1271)),
ISNUMBER(SEARCH("DOCK",B1271)),
ISNUMBER(SEARCH("MOUSE PAD",B1271)),
ISNUMBER(SEARCH("MOUSEPAD",B1271)),
ISNUMBER(SEARCH("SOPORTE",B1271)),
ISNUMBER(SEARCH("STAND",B1271)),
ISNUMBER(SEARCH("TRAVEL ADAPTER",B1271)),
ISNUMBER(SEARCH("RJ45",B1271)),
ISNUMBER(SEARCH("USB-C",B1271)),
ISNUMBER(SEARCH("USB WIFI",B1271)),
ISNUMBER(SEARCH("POWERBANK",B1271)),
ISNUMBER(SEARCH("CARGADOR",B1271)),
ISNUMBER(SEARCH("COOLER PARA NB",B1271)),
ISNUMBER(SEARCH("SOPORTE PARA NB",B1271)),
ISNUMBER(SEARCH("WEBCAM",B1271)),
ISNUMBER(SEARCH("WEB CAM",B1271)),
ISNUMBER(SEARCH("MOUSE",B1271)),
ISNUMBER(SEARCH("TECLADO",B1271))
),
"COMPLEMENTO",
IF(
OR(
LEFT(A1271,2)="NB",
LEFT(A1271,2)="PC",
LEFT(A1271,2)="WS",
LEFT(A1271,2)="TB",
LEFT(A1271,3)="CEL",
LEFT(A1271,3)="MON",
LEFT(A1271,3)="PRE",
LEFT(A1271,3)="PRH",
ISNUMBER(SEARCH("NOTEBOOK",B1271)),
ISNUMBER(SEARCH("LAPTOP",B1271)),
ISNUMBER(SEARCH("MONITOR",B1271)),
ISNUMBER(SEARCH("TABLET",B1271)),
ISNUMBER(SEARCH("SMARTPH",B1271)),
ISNUMBER(SEARCH("IMPRESORA",B1271)),
ISNUMBER(SEARCH("MULTIFUNCIONAL",B1271)),
ISNUMBER(SEARCH("AIO",B1271))
),
"GANCHO",
"NORMAL"
)
)</f>
        <v>NORMAL</v>
      </c>
    </row>
    <row r="1270" spans="1:12" x14ac:dyDescent="0.25">
      <c r="A1270" s="3" t="s">
        <v>2104</v>
      </c>
      <c r="B1270" s="3" t="s">
        <v>2105</v>
      </c>
      <c r="C1270" s="1">
        <v>3</v>
      </c>
      <c r="D1270" s="1">
        <v>409.71</v>
      </c>
      <c r="E1270" s="1" t="s">
        <v>2002</v>
      </c>
      <c r="F1270" s="1" t="s">
        <v>3821</v>
      </c>
      <c r="G1270" s="3" t="s">
        <v>2106</v>
      </c>
      <c r="H1270" s="11">
        <f>ROUND(
IF(L1268="GANCHO",
   IF(I1270&lt;=50,I1270*1.1+4,IF(I1270&lt;=120,I1270*1.1+7,IF(I1270&lt;=250,I1270*1.1+11,I1270*1.1+19))),
IF(L1268="NORMAL",
   IF(I1270&lt;=30,I1270*1.15+2,IF(I1270&lt;=80,I1270*1.15+4,IF(I1270&lt;=150,I1270*1.15+6,I1270*1.15+8))),
IF(L1268="COMPLEMENTO",
   IF(I1270&lt;=25,I1270*1.25+1.5,IF(I1270&lt;=60,I1270*1.25+3,IF(I1270&lt;=120,I1270*1.25+4,I1270*1.25+5))),
""))),2)</f>
        <v>1942.8</v>
      </c>
      <c r="I1270" s="9">
        <f>($K$2+0.02)*Tabla1[[#This Row],[PRECIO $]]*1.18</f>
        <v>1682.4331439999999</v>
      </c>
      <c r="J1270" s="7">
        <f>+Tabla1[[#This Row],[PRECIO EN SOLES]]-Tabla1[[#This Row],[PC]]</f>
        <v>260.3668560000001</v>
      </c>
      <c r="K1270" s="15"/>
      <c r="L1270" s="15" t="str">
        <f>IF(
OR(
ISNUMBER(SEARCH("BACKPACK",B1272)),
ISNUMBER(SEARCH("MOCHILA",B1272)),
ISNUMBER(SEARCH("FUNDA",B1272)),
ISNUMBER(SEARCH("ESTUCHE",B1272)),
ISNUMBER(SEARCH("BOOK COVER",B1272)),
ISNUMBER(SEARCH("KEYBOARD PARA TABLET",B1272)),
ISNUMBER(SEARCH("FLIP TABLET",B1272)),
ISNUMBER(SEARCH("CASE FOR TABLET",B1272)),
ISNUMBER(SEARCH("CABLE",B1272)),
ISNUMBER(SEARCH("ADAPTADOR",B1272)),
ISNUMBER(SEARCH("HUB",B1272)),
ISNUMBER(SEARCH("DOCK",B1272)),
ISNUMBER(SEARCH("MOUSE PAD",B1272)),
ISNUMBER(SEARCH("MOUSEPAD",B1272)),
ISNUMBER(SEARCH("SOPORTE",B1272)),
ISNUMBER(SEARCH("STAND",B1272)),
ISNUMBER(SEARCH("TRAVEL ADAPTER",B1272)),
ISNUMBER(SEARCH("RJ45",B1272)),
ISNUMBER(SEARCH("USB-C",B1272)),
ISNUMBER(SEARCH("USB WIFI",B1272)),
ISNUMBER(SEARCH("POWERBANK",B1272)),
ISNUMBER(SEARCH("CARGADOR",B1272)),
ISNUMBER(SEARCH("COOLER PARA NB",B1272)),
ISNUMBER(SEARCH("SOPORTE PARA NB",B1272)),
ISNUMBER(SEARCH("WEBCAM",B1272)),
ISNUMBER(SEARCH("WEB CAM",B1272)),
ISNUMBER(SEARCH("MOUSE",B1272)),
ISNUMBER(SEARCH("TECLADO",B1272))
),
"COMPLEMENTO",
IF(
OR(
LEFT(A1272,2)="NB",
LEFT(A1272,2)="PC",
LEFT(A1272,2)="WS",
LEFT(A1272,2)="TB",
LEFT(A1272,3)="CEL",
LEFT(A1272,3)="MON",
LEFT(A1272,3)="PRE",
LEFT(A1272,3)="PRH",
ISNUMBER(SEARCH("NOTEBOOK",B1272)),
ISNUMBER(SEARCH("LAPTOP",B1272)),
ISNUMBER(SEARCH("MONITOR",B1272)),
ISNUMBER(SEARCH("TABLET",B1272)),
ISNUMBER(SEARCH("SMARTPH",B1272)),
ISNUMBER(SEARCH("IMPRESORA",B1272)),
ISNUMBER(SEARCH("MULTIFUNCIONAL",B1272)),
ISNUMBER(SEARCH("AIO",B1272))
),
"GANCHO",
"NORMAL"
)
)</f>
        <v>NORMAL</v>
      </c>
    </row>
    <row r="1271" spans="1:12" x14ac:dyDescent="0.25">
      <c r="A1271" s="3" t="s">
        <v>6121</v>
      </c>
      <c r="B1271" s="3" t="s">
        <v>6122</v>
      </c>
      <c r="C1271" s="1">
        <v>3</v>
      </c>
      <c r="D1271" s="1">
        <v>500</v>
      </c>
      <c r="E1271" s="1" t="s">
        <v>2002</v>
      </c>
      <c r="F1271" s="1" t="s">
        <v>6123</v>
      </c>
      <c r="G1271" s="3"/>
      <c r="H1271" s="11">
        <f>ROUND(
IF(L1269="GANCHO",
   IF(I1271&lt;=50,I1271*1.1+4,IF(I1271&lt;=120,I1271*1.1+7,IF(I1271&lt;=250,I1271*1.1+11,I1271*1.1+19))),
IF(L1269="NORMAL",
   IF(I1271&lt;=30,I1271*1.15+2,IF(I1271&lt;=80,I1271*1.15+4,IF(I1271&lt;=150,I1271*1.15+6,I1271*1.15+8))),
IF(L1269="COMPLEMENTO",
   IF(I1271&lt;=25,I1271*1.25+1.5,IF(I1271&lt;=60,I1271*1.25+3,IF(I1271&lt;=120,I1271*1.25+4,I1271*1.25+5))),
""))),2)</f>
        <v>2369.1799999999998</v>
      </c>
      <c r="I1271" s="9">
        <f>($K$2+0.02)*Tabla1[[#This Row],[PRECIO $]]*1.18</f>
        <v>2053.1999999999998</v>
      </c>
      <c r="J1271" s="7">
        <f>+Tabla1[[#This Row],[PRECIO EN SOLES]]-Tabla1[[#This Row],[PC]]</f>
        <v>315.98</v>
      </c>
      <c r="K1271" s="15"/>
      <c r="L1271" s="15" t="str">
        <f>IF(
OR(
ISNUMBER(SEARCH("BACKPACK",B1273)),
ISNUMBER(SEARCH("MOCHILA",B1273)),
ISNUMBER(SEARCH("FUNDA",B1273)),
ISNUMBER(SEARCH("ESTUCHE",B1273)),
ISNUMBER(SEARCH("BOOK COVER",B1273)),
ISNUMBER(SEARCH("KEYBOARD PARA TABLET",B1273)),
ISNUMBER(SEARCH("FLIP TABLET",B1273)),
ISNUMBER(SEARCH("CASE FOR TABLET",B1273)),
ISNUMBER(SEARCH("CABLE",B1273)),
ISNUMBER(SEARCH("ADAPTADOR",B1273)),
ISNUMBER(SEARCH("HUB",B1273)),
ISNUMBER(SEARCH("DOCK",B1273)),
ISNUMBER(SEARCH("MOUSE PAD",B1273)),
ISNUMBER(SEARCH("MOUSEPAD",B1273)),
ISNUMBER(SEARCH("SOPORTE",B1273)),
ISNUMBER(SEARCH("STAND",B1273)),
ISNUMBER(SEARCH("TRAVEL ADAPTER",B1273)),
ISNUMBER(SEARCH("RJ45",B1273)),
ISNUMBER(SEARCH("USB-C",B1273)),
ISNUMBER(SEARCH("USB WIFI",B1273)),
ISNUMBER(SEARCH("POWERBANK",B1273)),
ISNUMBER(SEARCH("CARGADOR",B1273)),
ISNUMBER(SEARCH("COOLER PARA NB",B1273)),
ISNUMBER(SEARCH("SOPORTE PARA NB",B1273)),
ISNUMBER(SEARCH("WEBCAM",B1273)),
ISNUMBER(SEARCH("WEB CAM",B1273)),
ISNUMBER(SEARCH("MOUSE",B1273)),
ISNUMBER(SEARCH("TECLADO",B1273))
),
"COMPLEMENTO",
IF(
OR(
LEFT(A1273,2)="NB",
LEFT(A1273,2)="PC",
LEFT(A1273,2)="WS",
LEFT(A1273,2)="TB",
LEFT(A1273,3)="CEL",
LEFT(A1273,3)="MON",
LEFT(A1273,3)="PRE",
LEFT(A1273,3)="PRH",
ISNUMBER(SEARCH("NOTEBOOK",B1273)),
ISNUMBER(SEARCH("LAPTOP",B1273)),
ISNUMBER(SEARCH("MONITOR",B1273)),
ISNUMBER(SEARCH("TABLET",B1273)),
ISNUMBER(SEARCH("SMARTPH",B1273)),
ISNUMBER(SEARCH("IMPRESORA",B1273)),
ISNUMBER(SEARCH("MULTIFUNCIONAL",B1273)),
ISNUMBER(SEARCH("AIO",B1273))
),
"GANCHO",
"NORMAL"
)
)</f>
        <v>NORMAL</v>
      </c>
    </row>
    <row r="1272" spans="1:12" x14ac:dyDescent="0.25">
      <c r="A1272" s="3" t="s">
        <v>2107</v>
      </c>
      <c r="B1272" s="3" t="s">
        <v>2108</v>
      </c>
      <c r="C1272" s="1">
        <v>3</v>
      </c>
      <c r="D1272" s="1">
        <v>228</v>
      </c>
      <c r="E1272" s="1" t="s">
        <v>1123</v>
      </c>
      <c r="F1272" s="1" t="s">
        <v>3822</v>
      </c>
      <c r="G1272" s="3" t="s">
        <v>2109</v>
      </c>
      <c r="H1272" s="11">
        <f>ROUND(
IF(L1270="GANCHO",
   IF(I1272&lt;=50,I1272*1.1+4,IF(I1272&lt;=120,I1272*1.1+7,IF(I1272&lt;=250,I1272*1.1+11,I1272*1.1+19))),
IF(L1270="NORMAL",
   IF(I1272&lt;=30,I1272*1.15+2,IF(I1272&lt;=80,I1272*1.15+4,IF(I1272&lt;=150,I1272*1.15+6,I1272*1.15+8))),
IF(L1270="COMPLEMENTO",
   IF(I1272&lt;=25,I1272*1.25+1.5,IF(I1272&lt;=60,I1272*1.25+3,IF(I1272&lt;=120,I1272*1.25+4,I1272*1.25+5))),
""))),2)</f>
        <v>1084.7</v>
      </c>
      <c r="I1272" s="9">
        <f>($K$2+0.02)*Tabla1[[#This Row],[PRECIO $]]*1.18</f>
        <v>936.25919999999985</v>
      </c>
      <c r="J1272" s="7">
        <f>+Tabla1[[#This Row],[PRECIO EN SOLES]]-Tabla1[[#This Row],[PC]]</f>
        <v>148.44080000000019</v>
      </c>
      <c r="K1272" s="15"/>
      <c r="L1272" s="15" t="str">
        <f>IF(
OR(
ISNUMBER(SEARCH("BACKPACK",B1274)),
ISNUMBER(SEARCH("MOCHILA",B1274)),
ISNUMBER(SEARCH("FUNDA",B1274)),
ISNUMBER(SEARCH("ESTUCHE",B1274)),
ISNUMBER(SEARCH("BOOK COVER",B1274)),
ISNUMBER(SEARCH("KEYBOARD PARA TABLET",B1274)),
ISNUMBER(SEARCH("FLIP TABLET",B1274)),
ISNUMBER(SEARCH("CASE FOR TABLET",B1274)),
ISNUMBER(SEARCH("CABLE",B1274)),
ISNUMBER(SEARCH("ADAPTADOR",B1274)),
ISNUMBER(SEARCH("HUB",B1274)),
ISNUMBER(SEARCH("DOCK",B1274)),
ISNUMBER(SEARCH("MOUSE PAD",B1274)),
ISNUMBER(SEARCH("MOUSEPAD",B1274)),
ISNUMBER(SEARCH("SOPORTE",B1274)),
ISNUMBER(SEARCH("STAND",B1274)),
ISNUMBER(SEARCH("TRAVEL ADAPTER",B1274)),
ISNUMBER(SEARCH("RJ45",B1274)),
ISNUMBER(SEARCH("USB-C",B1274)),
ISNUMBER(SEARCH("USB WIFI",B1274)),
ISNUMBER(SEARCH("POWERBANK",B1274)),
ISNUMBER(SEARCH("CARGADOR",B1274)),
ISNUMBER(SEARCH("COOLER PARA NB",B1274)),
ISNUMBER(SEARCH("SOPORTE PARA NB",B1274)),
ISNUMBER(SEARCH("WEBCAM",B1274)),
ISNUMBER(SEARCH("WEB CAM",B1274)),
ISNUMBER(SEARCH("MOUSE",B1274)),
ISNUMBER(SEARCH("TECLADO",B1274))
),
"COMPLEMENTO",
IF(
OR(
LEFT(A1274,2)="NB",
LEFT(A1274,2)="PC",
LEFT(A1274,2)="WS",
LEFT(A1274,2)="TB",
LEFT(A1274,3)="CEL",
LEFT(A1274,3)="MON",
LEFT(A1274,3)="PRE",
LEFT(A1274,3)="PRH",
ISNUMBER(SEARCH("NOTEBOOK",B1274)),
ISNUMBER(SEARCH("LAPTOP",B1274)),
ISNUMBER(SEARCH("MONITOR",B1274)),
ISNUMBER(SEARCH("TABLET",B1274)),
ISNUMBER(SEARCH("SMARTPH",B1274)),
ISNUMBER(SEARCH("IMPRESORA",B1274)),
ISNUMBER(SEARCH("MULTIFUNCIONAL",B1274)),
ISNUMBER(SEARCH("AIO",B1274))
),
"GANCHO",
"NORMAL"
)
)</f>
        <v>NORMAL</v>
      </c>
    </row>
    <row r="1273" spans="1:12" x14ac:dyDescent="0.25">
      <c r="A1273" s="3" t="s">
        <v>437</v>
      </c>
      <c r="B1273" s="3" t="s">
        <v>438</v>
      </c>
      <c r="C1273" s="1">
        <v>20</v>
      </c>
      <c r="D1273" s="1">
        <v>18.59</v>
      </c>
      <c r="E1273" s="1" t="s">
        <v>424</v>
      </c>
      <c r="F1273" s="1" t="s">
        <v>3935</v>
      </c>
      <c r="G1273" s="3" t="s">
        <v>439</v>
      </c>
      <c r="H1273" s="11">
        <f>ROUND(
IF(L1271="GANCHO",
   IF(I1273&lt;=50,I1273*1.1+4,IF(I1273&lt;=120,I1273*1.1+7,IF(I1273&lt;=250,I1273*1.1+11,I1273*1.1+19))),
IF(L1271="NORMAL",
   IF(I1273&lt;=30,I1273*1.15+2,IF(I1273&lt;=80,I1273*1.15+4,IF(I1273&lt;=150,I1273*1.15+6,I1273*1.15+8))),
IF(L1271="COMPLEMENTO",
   IF(I1273&lt;=25,I1273*1.25+1.5,IF(I1273&lt;=60,I1273*1.25+3,IF(I1273&lt;=120,I1273*1.25+4,I1273*1.25+5))),
""))),2)</f>
        <v>91.79</v>
      </c>
      <c r="I1273" s="9">
        <f>($K$2+0.02)*Tabla1[[#This Row],[PRECIO $]]*1.18</f>
        <v>76.337975999999998</v>
      </c>
      <c r="J1273" s="7">
        <f>+Tabla1[[#This Row],[PRECIO EN SOLES]]-Tabla1[[#This Row],[PC]]</f>
        <v>15.452024000000009</v>
      </c>
      <c r="K1273" s="15"/>
      <c r="L1273" s="15" t="str">
        <f>IF(
OR(
ISNUMBER(SEARCH("BACKPACK",B1275)),
ISNUMBER(SEARCH("MOCHILA",B1275)),
ISNUMBER(SEARCH("FUNDA",B1275)),
ISNUMBER(SEARCH("ESTUCHE",B1275)),
ISNUMBER(SEARCH("BOOK COVER",B1275)),
ISNUMBER(SEARCH("KEYBOARD PARA TABLET",B1275)),
ISNUMBER(SEARCH("FLIP TABLET",B1275)),
ISNUMBER(SEARCH("CASE FOR TABLET",B1275)),
ISNUMBER(SEARCH("CABLE",B1275)),
ISNUMBER(SEARCH("ADAPTADOR",B1275)),
ISNUMBER(SEARCH("HUB",B1275)),
ISNUMBER(SEARCH("DOCK",B1275)),
ISNUMBER(SEARCH("MOUSE PAD",B1275)),
ISNUMBER(SEARCH("MOUSEPAD",B1275)),
ISNUMBER(SEARCH("SOPORTE",B1275)),
ISNUMBER(SEARCH("STAND",B1275)),
ISNUMBER(SEARCH("TRAVEL ADAPTER",B1275)),
ISNUMBER(SEARCH("RJ45",B1275)),
ISNUMBER(SEARCH("USB-C",B1275)),
ISNUMBER(SEARCH("USB WIFI",B1275)),
ISNUMBER(SEARCH("POWERBANK",B1275)),
ISNUMBER(SEARCH("CARGADOR",B1275)),
ISNUMBER(SEARCH("COOLER PARA NB",B1275)),
ISNUMBER(SEARCH("SOPORTE PARA NB",B1275)),
ISNUMBER(SEARCH("WEBCAM",B1275)),
ISNUMBER(SEARCH("WEB CAM",B1275)),
ISNUMBER(SEARCH("MOUSE",B1275)),
ISNUMBER(SEARCH("TECLADO",B1275))
),
"COMPLEMENTO",
IF(
OR(
LEFT(A1275,2)="NB",
LEFT(A1275,2)="PC",
LEFT(A1275,2)="WS",
LEFT(A1275,2)="TB",
LEFT(A1275,3)="CEL",
LEFT(A1275,3)="MON",
LEFT(A1275,3)="PRE",
LEFT(A1275,3)="PRH",
ISNUMBER(SEARCH("NOTEBOOK",B1275)),
ISNUMBER(SEARCH("LAPTOP",B1275)),
ISNUMBER(SEARCH("MONITOR",B1275)),
ISNUMBER(SEARCH("TABLET",B1275)),
ISNUMBER(SEARCH("SMARTPH",B1275)),
ISNUMBER(SEARCH("IMPRESORA",B1275)),
ISNUMBER(SEARCH("MULTIFUNCIONAL",B1275)),
ISNUMBER(SEARCH("AIO",B1275))
),
"GANCHO",
"NORMAL"
)
)</f>
        <v>NORMAL</v>
      </c>
    </row>
    <row r="1274" spans="1:12" x14ac:dyDescent="0.25">
      <c r="A1274" s="3" t="s">
        <v>4694</v>
      </c>
      <c r="B1274" s="3" t="s">
        <v>4695</v>
      </c>
      <c r="C1274" s="1">
        <v>20</v>
      </c>
      <c r="D1274" s="1">
        <v>11.48</v>
      </c>
      <c r="E1274" s="1" t="s">
        <v>424</v>
      </c>
      <c r="F1274" s="1" t="s">
        <v>4696</v>
      </c>
      <c r="G1274" s="3" t="s">
        <v>6124</v>
      </c>
      <c r="H1274" s="11">
        <f>ROUND(
IF(L1272="GANCHO",
   IF(I1274&lt;=50,I1274*1.1+4,IF(I1274&lt;=120,I1274*1.1+7,IF(I1274&lt;=250,I1274*1.1+11,I1274*1.1+19))),
IF(L1272="NORMAL",
   IF(I1274&lt;=30,I1274*1.15+2,IF(I1274&lt;=80,I1274*1.15+4,IF(I1274&lt;=150,I1274*1.15+6,I1274*1.15+8))),
IF(L1272="COMPLEMENTO",
   IF(I1274&lt;=25,I1274*1.25+1.5,IF(I1274&lt;=60,I1274*1.25+3,IF(I1274&lt;=120,I1274*1.25+4,I1274*1.25+5))),
""))),2)</f>
        <v>58.21</v>
      </c>
      <c r="I1274" s="9">
        <f>($K$2+0.02)*Tabla1[[#This Row],[PRECIO $]]*1.18</f>
        <v>47.141472</v>
      </c>
      <c r="J1274" s="7">
        <f>+Tabla1[[#This Row],[PRECIO EN SOLES]]-Tabla1[[#This Row],[PC]]</f>
        <v>11.068528000000001</v>
      </c>
      <c r="K1274" s="15"/>
      <c r="L1274" s="15" t="str">
        <f>IF(
OR(
ISNUMBER(SEARCH("BACKPACK",B1276)),
ISNUMBER(SEARCH("MOCHILA",B1276)),
ISNUMBER(SEARCH("FUNDA",B1276)),
ISNUMBER(SEARCH("ESTUCHE",B1276)),
ISNUMBER(SEARCH("BOOK COVER",B1276)),
ISNUMBER(SEARCH("KEYBOARD PARA TABLET",B1276)),
ISNUMBER(SEARCH("FLIP TABLET",B1276)),
ISNUMBER(SEARCH("CASE FOR TABLET",B1276)),
ISNUMBER(SEARCH("CABLE",B1276)),
ISNUMBER(SEARCH("ADAPTADOR",B1276)),
ISNUMBER(SEARCH("HUB",B1276)),
ISNUMBER(SEARCH("DOCK",B1276)),
ISNUMBER(SEARCH("MOUSE PAD",B1276)),
ISNUMBER(SEARCH("MOUSEPAD",B1276)),
ISNUMBER(SEARCH("SOPORTE",B1276)),
ISNUMBER(SEARCH("STAND",B1276)),
ISNUMBER(SEARCH("TRAVEL ADAPTER",B1276)),
ISNUMBER(SEARCH("RJ45",B1276)),
ISNUMBER(SEARCH("USB-C",B1276)),
ISNUMBER(SEARCH("USB WIFI",B1276)),
ISNUMBER(SEARCH("POWERBANK",B1276)),
ISNUMBER(SEARCH("CARGADOR",B1276)),
ISNUMBER(SEARCH("COOLER PARA NB",B1276)),
ISNUMBER(SEARCH("SOPORTE PARA NB",B1276)),
ISNUMBER(SEARCH("WEBCAM",B1276)),
ISNUMBER(SEARCH("WEB CAM",B1276)),
ISNUMBER(SEARCH("MOUSE",B1276)),
ISNUMBER(SEARCH("TECLADO",B1276))
),
"COMPLEMENTO",
IF(
OR(
LEFT(A1276,2)="NB",
LEFT(A1276,2)="PC",
LEFT(A1276,2)="WS",
LEFT(A1276,2)="TB",
LEFT(A1276,3)="CEL",
LEFT(A1276,3)="MON",
LEFT(A1276,3)="PRE",
LEFT(A1276,3)="PRH",
ISNUMBER(SEARCH("NOTEBOOK",B1276)),
ISNUMBER(SEARCH("LAPTOP",B1276)),
ISNUMBER(SEARCH("MONITOR",B1276)),
ISNUMBER(SEARCH("TABLET",B1276)),
ISNUMBER(SEARCH("SMARTPH",B1276)),
ISNUMBER(SEARCH("IMPRESORA",B1276)),
ISNUMBER(SEARCH("MULTIFUNCIONAL",B1276)),
ISNUMBER(SEARCH("AIO",B1276))
),
"GANCHO",
"NORMAL"
)
)</f>
        <v>NORMAL</v>
      </c>
    </row>
    <row r="1275" spans="1:12" x14ac:dyDescent="0.25">
      <c r="A1275" s="3" t="s">
        <v>2110</v>
      </c>
      <c r="B1275" s="3" t="s">
        <v>2111</v>
      </c>
      <c r="C1275" s="1">
        <v>2</v>
      </c>
      <c r="D1275" s="1">
        <v>3370</v>
      </c>
      <c r="E1275" s="1" t="s">
        <v>1123</v>
      </c>
      <c r="F1275" s="1" t="s">
        <v>3823</v>
      </c>
      <c r="G1275" s="3" t="s">
        <v>2112</v>
      </c>
      <c r="H1275" s="11">
        <f>ROUND(
IF(L1273="GANCHO",
   IF(I1275&lt;=50,I1275*1.1+4,IF(I1275&lt;=120,I1275*1.1+7,IF(I1275&lt;=250,I1275*1.1+11,I1275*1.1+19))),
IF(L1273="NORMAL",
   IF(I1275&lt;=30,I1275*1.15+2,IF(I1275&lt;=80,I1275*1.15+4,IF(I1275&lt;=150,I1275*1.15+6,I1275*1.15+8))),
IF(L1273="COMPLEMENTO",
   IF(I1275&lt;=25,I1275*1.25+1.5,IF(I1275&lt;=60,I1275*1.25+3,IF(I1275&lt;=120,I1275*1.25+4,I1275*1.25+5))),
""))),2)</f>
        <v>15922.35</v>
      </c>
      <c r="I1275" s="9">
        <f>($K$2+0.02)*Tabla1[[#This Row],[PRECIO $]]*1.18</f>
        <v>13838.567999999999</v>
      </c>
      <c r="J1275" s="7">
        <f>+Tabla1[[#This Row],[PRECIO EN SOLES]]-Tabla1[[#This Row],[PC]]</f>
        <v>2083.7820000000011</v>
      </c>
      <c r="K1275" s="15"/>
      <c r="L1275" s="15" t="str">
        <f>IF(
OR(
ISNUMBER(SEARCH("BACKPACK",B1277)),
ISNUMBER(SEARCH("MOCHILA",B1277)),
ISNUMBER(SEARCH("FUNDA",B1277)),
ISNUMBER(SEARCH("ESTUCHE",B1277)),
ISNUMBER(SEARCH("BOOK COVER",B1277)),
ISNUMBER(SEARCH("KEYBOARD PARA TABLET",B1277)),
ISNUMBER(SEARCH("FLIP TABLET",B1277)),
ISNUMBER(SEARCH("CASE FOR TABLET",B1277)),
ISNUMBER(SEARCH("CABLE",B1277)),
ISNUMBER(SEARCH("ADAPTADOR",B1277)),
ISNUMBER(SEARCH("HUB",B1277)),
ISNUMBER(SEARCH("DOCK",B1277)),
ISNUMBER(SEARCH("MOUSE PAD",B1277)),
ISNUMBER(SEARCH("MOUSEPAD",B1277)),
ISNUMBER(SEARCH("SOPORTE",B1277)),
ISNUMBER(SEARCH("STAND",B1277)),
ISNUMBER(SEARCH("TRAVEL ADAPTER",B1277)),
ISNUMBER(SEARCH("RJ45",B1277)),
ISNUMBER(SEARCH("USB-C",B1277)),
ISNUMBER(SEARCH("USB WIFI",B1277)),
ISNUMBER(SEARCH("POWERBANK",B1277)),
ISNUMBER(SEARCH("CARGADOR",B1277)),
ISNUMBER(SEARCH("COOLER PARA NB",B1277)),
ISNUMBER(SEARCH("SOPORTE PARA NB",B1277)),
ISNUMBER(SEARCH("WEBCAM",B1277)),
ISNUMBER(SEARCH("WEB CAM",B1277)),
ISNUMBER(SEARCH("MOUSE",B1277)),
ISNUMBER(SEARCH("TECLADO",B1277))
),
"COMPLEMENTO",
IF(
OR(
LEFT(A1277,2)="NB",
LEFT(A1277,2)="PC",
LEFT(A1277,2)="WS",
LEFT(A1277,2)="TB",
LEFT(A1277,3)="CEL",
LEFT(A1277,3)="MON",
LEFT(A1277,3)="PRE",
LEFT(A1277,3)="PRH",
ISNUMBER(SEARCH("NOTEBOOK",B1277)),
ISNUMBER(SEARCH("LAPTOP",B1277)),
ISNUMBER(SEARCH("MONITOR",B1277)),
ISNUMBER(SEARCH("TABLET",B1277)),
ISNUMBER(SEARCH("SMARTPH",B1277)),
ISNUMBER(SEARCH("IMPRESORA",B1277)),
ISNUMBER(SEARCH("MULTIFUNCIONAL",B1277)),
ISNUMBER(SEARCH("AIO",B1277))
),
"GANCHO",
"NORMAL"
)
)</f>
        <v>NORMAL</v>
      </c>
    </row>
    <row r="1276" spans="1:12" x14ac:dyDescent="0.25">
      <c r="A1276" s="3" t="s">
        <v>2113</v>
      </c>
      <c r="B1276" s="3" t="s">
        <v>2114</v>
      </c>
      <c r="C1276" s="1">
        <v>1</v>
      </c>
      <c r="D1276" s="1">
        <v>138</v>
      </c>
      <c r="E1276" s="1" t="s">
        <v>1123</v>
      </c>
      <c r="F1276" s="1" t="s">
        <v>3824</v>
      </c>
      <c r="G1276" s="3" t="s">
        <v>2115</v>
      </c>
      <c r="H1276" s="11">
        <f>ROUND(
IF(L1274="GANCHO",
   IF(I1276&lt;=50,I1276*1.1+4,IF(I1276&lt;=120,I1276*1.1+7,IF(I1276&lt;=250,I1276*1.1+11,I1276*1.1+19))),
IF(L1274="NORMAL",
   IF(I1276&lt;=30,I1276*1.15+2,IF(I1276&lt;=80,I1276*1.15+4,IF(I1276&lt;=150,I1276*1.15+6,I1276*1.15+8))),
IF(L1274="COMPLEMENTO",
   IF(I1276&lt;=25,I1276*1.25+1.5,IF(I1276&lt;=60,I1276*1.25+3,IF(I1276&lt;=120,I1276*1.25+4,I1276*1.25+5))),
""))),2)</f>
        <v>659.69</v>
      </c>
      <c r="I1276" s="9">
        <f>($K$2+0.02)*Tabla1[[#This Row],[PRECIO $]]*1.18</f>
        <v>566.68319999999994</v>
      </c>
      <c r="J1276" s="7">
        <f>+Tabla1[[#This Row],[PRECIO EN SOLES]]-Tabla1[[#This Row],[PC]]</f>
        <v>93.006800000000112</v>
      </c>
      <c r="K1276" s="15"/>
      <c r="L1276" s="15" t="str">
        <f>IF(
OR(
ISNUMBER(SEARCH("BACKPACK",B1278)),
ISNUMBER(SEARCH("MOCHILA",B1278)),
ISNUMBER(SEARCH("FUNDA",B1278)),
ISNUMBER(SEARCH("ESTUCHE",B1278)),
ISNUMBER(SEARCH("BOOK COVER",B1278)),
ISNUMBER(SEARCH("KEYBOARD PARA TABLET",B1278)),
ISNUMBER(SEARCH("FLIP TABLET",B1278)),
ISNUMBER(SEARCH("CASE FOR TABLET",B1278)),
ISNUMBER(SEARCH("CABLE",B1278)),
ISNUMBER(SEARCH("ADAPTADOR",B1278)),
ISNUMBER(SEARCH("HUB",B1278)),
ISNUMBER(SEARCH("DOCK",B1278)),
ISNUMBER(SEARCH("MOUSE PAD",B1278)),
ISNUMBER(SEARCH("MOUSEPAD",B1278)),
ISNUMBER(SEARCH("SOPORTE",B1278)),
ISNUMBER(SEARCH("STAND",B1278)),
ISNUMBER(SEARCH("TRAVEL ADAPTER",B1278)),
ISNUMBER(SEARCH("RJ45",B1278)),
ISNUMBER(SEARCH("USB-C",B1278)),
ISNUMBER(SEARCH("USB WIFI",B1278)),
ISNUMBER(SEARCH("POWERBANK",B1278)),
ISNUMBER(SEARCH("CARGADOR",B1278)),
ISNUMBER(SEARCH("COOLER PARA NB",B1278)),
ISNUMBER(SEARCH("SOPORTE PARA NB",B1278)),
ISNUMBER(SEARCH("WEBCAM",B1278)),
ISNUMBER(SEARCH("WEB CAM",B1278)),
ISNUMBER(SEARCH("MOUSE",B1278)),
ISNUMBER(SEARCH("TECLADO",B1278))
),
"COMPLEMENTO",
IF(
OR(
LEFT(A1278,2)="NB",
LEFT(A1278,2)="PC",
LEFT(A1278,2)="WS",
LEFT(A1278,2)="TB",
LEFT(A1278,3)="CEL",
LEFT(A1278,3)="MON",
LEFT(A1278,3)="PRE",
LEFT(A1278,3)="PRH",
ISNUMBER(SEARCH("NOTEBOOK",B1278)),
ISNUMBER(SEARCH("LAPTOP",B1278)),
ISNUMBER(SEARCH("MONITOR",B1278)),
ISNUMBER(SEARCH("TABLET",B1278)),
ISNUMBER(SEARCH("SMARTPH",B1278)),
ISNUMBER(SEARCH("IMPRESORA",B1278)),
ISNUMBER(SEARCH("MULTIFUNCIONAL",B1278)),
ISNUMBER(SEARCH("AIO",B1278))
),
"GANCHO",
"NORMAL"
)
)</f>
        <v>NORMAL</v>
      </c>
    </row>
    <row r="1277" spans="1:12" x14ac:dyDescent="0.25">
      <c r="A1277" s="3" t="s">
        <v>2116</v>
      </c>
      <c r="B1277" s="3" t="s">
        <v>2117</v>
      </c>
      <c r="C1277" s="1">
        <v>2</v>
      </c>
      <c r="D1277" s="1">
        <v>418</v>
      </c>
      <c r="E1277" s="1" t="s">
        <v>1123</v>
      </c>
      <c r="F1277" s="1" t="s">
        <v>3825</v>
      </c>
      <c r="G1277" s="3" t="s">
        <v>2118</v>
      </c>
      <c r="H1277" s="11">
        <f>ROUND(
IF(L1275="GANCHO",
   IF(I1277&lt;=50,I1277*1.1+4,IF(I1277&lt;=120,I1277*1.1+7,IF(I1277&lt;=250,I1277*1.1+11,I1277*1.1+19))),
IF(L1275="NORMAL",
   IF(I1277&lt;=30,I1277*1.15+2,IF(I1277&lt;=80,I1277*1.15+4,IF(I1277&lt;=150,I1277*1.15+6,I1277*1.15+8))),
IF(L1275="COMPLEMENTO",
   IF(I1277&lt;=25,I1277*1.25+1.5,IF(I1277&lt;=60,I1277*1.25+3,IF(I1277&lt;=120,I1277*1.25+4,I1277*1.25+5))),
""))),2)</f>
        <v>1981.95</v>
      </c>
      <c r="I1277" s="9">
        <f>($K$2+0.02)*Tabla1[[#This Row],[PRECIO $]]*1.18</f>
        <v>1716.4752000000001</v>
      </c>
      <c r="J1277" s="7">
        <f>+Tabla1[[#This Row],[PRECIO EN SOLES]]-Tabla1[[#This Row],[PC]]</f>
        <v>265.47479999999996</v>
      </c>
      <c r="K1277" s="15"/>
      <c r="L1277" s="15" t="str">
        <f>IF(
OR(
ISNUMBER(SEARCH("BACKPACK",B1279)),
ISNUMBER(SEARCH("MOCHILA",B1279)),
ISNUMBER(SEARCH("FUNDA",B1279)),
ISNUMBER(SEARCH("ESTUCHE",B1279)),
ISNUMBER(SEARCH("BOOK COVER",B1279)),
ISNUMBER(SEARCH("KEYBOARD PARA TABLET",B1279)),
ISNUMBER(SEARCH("FLIP TABLET",B1279)),
ISNUMBER(SEARCH("CASE FOR TABLET",B1279)),
ISNUMBER(SEARCH("CABLE",B1279)),
ISNUMBER(SEARCH("ADAPTADOR",B1279)),
ISNUMBER(SEARCH("HUB",B1279)),
ISNUMBER(SEARCH("DOCK",B1279)),
ISNUMBER(SEARCH("MOUSE PAD",B1279)),
ISNUMBER(SEARCH("MOUSEPAD",B1279)),
ISNUMBER(SEARCH("SOPORTE",B1279)),
ISNUMBER(SEARCH("STAND",B1279)),
ISNUMBER(SEARCH("TRAVEL ADAPTER",B1279)),
ISNUMBER(SEARCH("RJ45",B1279)),
ISNUMBER(SEARCH("USB-C",B1279)),
ISNUMBER(SEARCH("USB WIFI",B1279)),
ISNUMBER(SEARCH("POWERBANK",B1279)),
ISNUMBER(SEARCH("CARGADOR",B1279)),
ISNUMBER(SEARCH("COOLER PARA NB",B1279)),
ISNUMBER(SEARCH("SOPORTE PARA NB",B1279)),
ISNUMBER(SEARCH("WEBCAM",B1279)),
ISNUMBER(SEARCH("WEB CAM",B1279)),
ISNUMBER(SEARCH("MOUSE",B1279)),
ISNUMBER(SEARCH("TECLADO",B1279))
),
"COMPLEMENTO",
IF(
OR(
LEFT(A1279,2)="NB",
LEFT(A1279,2)="PC",
LEFT(A1279,2)="WS",
LEFT(A1279,2)="TB",
LEFT(A1279,3)="CEL",
LEFT(A1279,3)="MON",
LEFT(A1279,3)="PRE",
LEFT(A1279,3)="PRH",
ISNUMBER(SEARCH("NOTEBOOK",B1279)),
ISNUMBER(SEARCH("LAPTOP",B1279)),
ISNUMBER(SEARCH("MONITOR",B1279)),
ISNUMBER(SEARCH("TABLET",B1279)),
ISNUMBER(SEARCH("SMARTPH",B1279)),
ISNUMBER(SEARCH("IMPRESORA",B1279)),
ISNUMBER(SEARCH("MULTIFUNCIONAL",B1279)),
ISNUMBER(SEARCH("AIO",B1279))
),
"GANCHO",
"NORMAL"
)
)</f>
        <v>NORMAL</v>
      </c>
    </row>
    <row r="1278" spans="1:12" x14ac:dyDescent="0.25">
      <c r="A1278" s="3" t="s">
        <v>2119</v>
      </c>
      <c r="B1278" s="3" t="s">
        <v>2120</v>
      </c>
      <c r="C1278" s="1">
        <v>2</v>
      </c>
      <c r="D1278" s="1">
        <v>4398</v>
      </c>
      <c r="E1278" s="1" t="s">
        <v>1123</v>
      </c>
      <c r="F1278" s="1" t="s">
        <v>3826</v>
      </c>
      <c r="G1278" s="3" t="s">
        <v>2121</v>
      </c>
      <c r="H1278" s="11">
        <f>ROUND(
IF(L1276="GANCHO",
   IF(I1278&lt;=50,I1278*1.1+4,IF(I1278&lt;=120,I1278*1.1+7,IF(I1278&lt;=250,I1278*1.1+11,I1278*1.1+19))),
IF(L1276="NORMAL",
   IF(I1278&lt;=30,I1278*1.15+2,IF(I1278&lt;=80,I1278*1.15+4,IF(I1278&lt;=150,I1278*1.15+6,I1278*1.15+8))),
IF(L1276="COMPLEMENTO",
   IF(I1278&lt;=25,I1278*1.25+1.5,IF(I1278&lt;=60,I1278*1.25+3,IF(I1278&lt;=120,I1278*1.25+4,I1278*1.25+5))),
""))),2)</f>
        <v>20776.939999999999</v>
      </c>
      <c r="I1278" s="9">
        <f>($K$2+0.02)*Tabla1[[#This Row],[PRECIO $]]*1.18</f>
        <v>18059.947199999999</v>
      </c>
      <c r="J1278" s="7">
        <f>+Tabla1[[#This Row],[PRECIO EN SOLES]]-Tabla1[[#This Row],[PC]]</f>
        <v>2716.9928</v>
      </c>
      <c r="K1278" s="15"/>
      <c r="L1278" s="15" t="str">
        <f>IF(
OR(
ISNUMBER(SEARCH("BACKPACK",B1280)),
ISNUMBER(SEARCH("MOCHILA",B1280)),
ISNUMBER(SEARCH("FUNDA",B1280)),
ISNUMBER(SEARCH("ESTUCHE",B1280)),
ISNUMBER(SEARCH("BOOK COVER",B1280)),
ISNUMBER(SEARCH("KEYBOARD PARA TABLET",B1280)),
ISNUMBER(SEARCH("FLIP TABLET",B1280)),
ISNUMBER(SEARCH("CASE FOR TABLET",B1280)),
ISNUMBER(SEARCH("CABLE",B1280)),
ISNUMBER(SEARCH("ADAPTADOR",B1280)),
ISNUMBER(SEARCH("HUB",B1280)),
ISNUMBER(SEARCH("DOCK",B1280)),
ISNUMBER(SEARCH("MOUSE PAD",B1280)),
ISNUMBER(SEARCH("MOUSEPAD",B1280)),
ISNUMBER(SEARCH("SOPORTE",B1280)),
ISNUMBER(SEARCH("STAND",B1280)),
ISNUMBER(SEARCH("TRAVEL ADAPTER",B1280)),
ISNUMBER(SEARCH("RJ45",B1280)),
ISNUMBER(SEARCH("USB-C",B1280)),
ISNUMBER(SEARCH("USB WIFI",B1280)),
ISNUMBER(SEARCH("POWERBANK",B1280)),
ISNUMBER(SEARCH("CARGADOR",B1280)),
ISNUMBER(SEARCH("COOLER PARA NB",B1280)),
ISNUMBER(SEARCH("SOPORTE PARA NB",B1280)),
ISNUMBER(SEARCH("WEBCAM",B1280)),
ISNUMBER(SEARCH("WEB CAM",B1280)),
ISNUMBER(SEARCH("MOUSE",B1280)),
ISNUMBER(SEARCH("TECLADO",B1280))
),
"COMPLEMENTO",
IF(
OR(
LEFT(A1280,2)="NB",
LEFT(A1280,2)="PC",
LEFT(A1280,2)="WS",
LEFT(A1280,2)="TB",
LEFT(A1280,3)="CEL",
LEFT(A1280,3)="MON",
LEFT(A1280,3)="PRE",
LEFT(A1280,3)="PRH",
ISNUMBER(SEARCH("NOTEBOOK",B1280)),
ISNUMBER(SEARCH("LAPTOP",B1280)),
ISNUMBER(SEARCH("MONITOR",B1280)),
ISNUMBER(SEARCH("TABLET",B1280)),
ISNUMBER(SEARCH("SMARTPH",B1280)),
ISNUMBER(SEARCH("IMPRESORA",B1280)),
ISNUMBER(SEARCH("MULTIFUNCIONAL",B1280)),
ISNUMBER(SEARCH("AIO",B1280))
),
"GANCHO",
"NORMAL"
)
)</f>
        <v>NORMAL</v>
      </c>
    </row>
    <row r="1279" spans="1:12" x14ac:dyDescent="0.25">
      <c r="A1279" s="3" t="s">
        <v>2122</v>
      </c>
      <c r="B1279" s="3" t="s">
        <v>2123</v>
      </c>
      <c r="C1279" s="1">
        <v>20</v>
      </c>
      <c r="D1279" s="1">
        <v>197</v>
      </c>
      <c r="E1279" s="1" t="s">
        <v>1123</v>
      </c>
      <c r="F1279" s="1" t="s">
        <v>3827</v>
      </c>
      <c r="G1279" s="3" t="s">
        <v>2124</v>
      </c>
      <c r="H1279" s="11">
        <f>ROUND(
IF(L1277="GANCHO",
   IF(I1279&lt;=50,I1279*1.1+4,IF(I1279&lt;=120,I1279*1.1+7,IF(I1279&lt;=250,I1279*1.1+11,I1279*1.1+19))),
IF(L1277="NORMAL",
   IF(I1279&lt;=30,I1279*1.15+2,IF(I1279&lt;=80,I1279*1.15+4,IF(I1279&lt;=150,I1279*1.15+6,I1279*1.15+8))),
IF(L1277="COMPLEMENTO",
   IF(I1279&lt;=25,I1279*1.25+1.5,IF(I1279&lt;=60,I1279*1.25+3,IF(I1279&lt;=120,I1279*1.25+4,I1279*1.25+5))),
""))),2)</f>
        <v>938.3</v>
      </c>
      <c r="I1279" s="9">
        <f>($K$2+0.02)*Tabla1[[#This Row],[PRECIO $]]*1.18</f>
        <v>808.96079999999995</v>
      </c>
      <c r="J1279" s="7">
        <f>+Tabla1[[#This Row],[PRECIO EN SOLES]]-Tabla1[[#This Row],[PC]]</f>
        <v>129.33920000000001</v>
      </c>
      <c r="K1279" s="15"/>
      <c r="L1279" s="15" t="str">
        <f>IF(
OR(
ISNUMBER(SEARCH("BACKPACK",B1281)),
ISNUMBER(SEARCH("MOCHILA",B1281)),
ISNUMBER(SEARCH("FUNDA",B1281)),
ISNUMBER(SEARCH("ESTUCHE",B1281)),
ISNUMBER(SEARCH("BOOK COVER",B1281)),
ISNUMBER(SEARCH("KEYBOARD PARA TABLET",B1281)),
ISNUMBER(SEARCH("FLIP TABLET",B1281)),
ISNUMBER(SEARCH("CASE FOR TABLET",B1281)),
ISNUMBER(SEARCH("CABLE",B1281)),
ISNUMBER(SEARCH("ADAPTADOR",B1281)),
ISNUMBER(SEARCH("HUB",B1281)),
ISNUMBER(SEARCH("DOCK",B1281)),
ISNUMBER(SEARCH("MOUSE PAD",B1281)),
ISNUMBER(SEARCH("MOUSEPAD",B1281)),
ISNUMBER(SEARCH("SOPORTE",B1281)),
ISNUMBER(SEARCH("STAND",B1281)),
ISNUMBER(SEARCH("TRAVEL ADAPTER",B1281)),
ISNUMBER(SEARCH("RJ45",B1281)),
ISNUMBER(SEARCH("USB-C",B1281)),
ISNUMBER(SEARCH("USB WIFI",B1281)),
ISNUMBER(SEARCH("POWERBANK",B1281)),
ISNUMBER(SEARCH("CARGADOR",B1281)),
ISNUMBER(SEARCH("COOLER PARA NB",B1281)),
ISNUMBER(SEARCH("SOPORTE PARA NB",B1281)),
ISNUMBER(SEARCH("WEBCAM",B1281)),
ISNUMBER(SEARCH("WEB CAM",B1281)),
ISNUMBER(SEARCH("MOUSE",B1281)),
ISNUMBER(SEARCH("TECLADO",B1281))
),
"COMPLEMENTO",
IF(
OR(
LEFT(A1281,2)="NB",
LEFT(A1281,2)="PC",
LEFT(A1281,2)="WS",
LEFT(A1281,2)="TB",
LEFT(A1281,3)="CEL",
LEFT(A1281,3)="MON",
LEFT(A1281,3)="PRE",
LEFT(A1281,3)="PRH",
ISNUMBER(SEARCH("NOTEBOOK",B1281)),
ISNUMBER(SEARCH("LAPTOP",B1281)),
ISNUMBER(SEARCH("MONITOR",B1281)),
ISNUMBER(SEARCH("TABLET",B1281)),
ISNUMBER(SEARCH("SMARTPH",B1281)),
ISNUMBER(SEARCH("IMPRESORA",B1281)),
ISNUMBER(SEARCH("MULTIFUNCIONAL",B1281)),
ISNUMBER(SEARCH("AIO",B1281))
),
"GANCHO",
"NORMAL"
)
)</f>
        <v>NORMAL</v>
      </c>
    </row>
    <row r="1280" spans="1:12" x14ac:dyDescent="0.25">
      <c r="A1280" s="3" t="s">
        <v>2125</v>
      </c>
      <c r="B1280" s="3" t="s">
        <v>2023</v>
      </c>
      <c r="C1280" s="1">
        <v>20</v>
      </c>
      <c r="D1280" s="1">
        <v>40</v>
      </c>
      <c r="E1280" s="1" t="s">
        <v>1123</v>
      </c>
      <c r="F1280" s="1" t="s">
        <v>3828</v>
      </c>
      <c r="G1280" s="3" t="s">
        <v>2126</v>
      </c>
      <c r="H1280" s="11">
        <f>ROUND(
IF(L1278="GANCHO",
   IF(I1280&lt;=50,I1280*1.1+4,IF(I1280&lt;=120,I1280*1.1+7,IF(I1280&lt;=250,I1280*1.1+11,I1280*1.1+19))),
IF(L1278="NORMAL",
   IF(I1280&lt;=30,I1280*1.15+2,IF(I1280&lt;=80,I1280*1.15+4,IF(I1280&lt;=150,I1280*1.15+6,I1280*1.15+8))),
IF(L1278="COMPLEMENTO",
   IF(I1280&lt;=25,I1280*1.25+1.5,IF(I1280&lt;=60,I1280*1.25+3,IF(I1280&lt;=120,I1280*1.25+4,I1280*1.25+5))),
""))),2)</f>
        <v>196.89</v>
      </c>
      <c r="I1280" s="9">
        <f>($K$2+0.02)*Tabla1[[#This Row],[PRECIO $]]*1.18</f>
        <v>164.25599999999997</v>
      </c>
      <c r="J1280" s="7">
        <f>+Tabla1[[#This Row],[PRECIO EN SOLES]]-Tabla1[[#This Row],[PC]]</f>
        <v>32.634000000000015</v>
      </c>
      <c r="K1280" s="15"/>
      <c r="L1280" s="15" t="str">
        <f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NORMAL</v>
      </c>
    </row>
    <row r="1281" spans="1:12" x14ac:dyDescent="0.25">
      <c r="A1281" s="3" t="s">
        <v>2127</v>
      </c>
      <c r="B1281" s="3" t="s">
        <v>2128</v>
      </c>
      <c r="C1281" s="1">
        <v>2</v>
      </c>
      <c r="D1281" s="1">
        <v>1798</v>
      </c>
      <c r="E1281" s="1" t="s">
        <v>1123</v>
      </c>
      <c r="F1281" s="1" t="s">
        <v>3829</v>
      </c>
      <c r="G1281" s="3" t="s">
        <v>2129</v>
      </c>
      <c r="H1281" s="11">
        <f>ROUND(
IF(L1279="GANCHO",
   IF(I1281&lt;=50,I1281*1.1+4,IF(I1281&lt;=120,I1281*1.1+7,IF(I1281&lt;=250,I1281*1.1+11,I1281*1.1+19))),
IF(L1279="NORMAL",
   IF(I1281&lt;=30,I1281*1.15+2,IF(I1281&lt;=80,I1281*1.15+4,IF(I1281&lt;=150,I1281*1.15+6,I1281*1.15+8))),
IF(L1279="COMPLEMENTO",
   IF(I1281&lt;=25,I1281*1.25+1.5,IF(I1281&lt;=60,I1281*1.25+3,IF(I1281&lt;=120,I1281*1.25+4,I1281*1.25+5))),
""))),2)</f>
        <v>8498.7999999999993</v>
      </c>
      <c r="I1281" s="9">
        <f>($K$2+0.02)*Tabla1[[#This Row],[PRECIO $]]*1.18</f>
        <v>7383.3071999999993</v>
      </c>
      <c r="J1281" s="7">
        <f>+Tabla1[[#This Row],[PRECIO EN SOLES]]-Tabla1[[#This Row],[PC]]</f>
        <v>1115.4928</v>
      </c>
      <c r="K1281" s="15"/>
      <c r="L1281" s="15" t="str">
        <f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2" spans="1:12" x14ac:dyDescent="0.25">
      <c r="A1282" s="3" t="s">
        <v>2130</v>
      </c>
      <c r="B1282" s="3" t="s">
        <v>2131</v>
      </c>
      <c r="C1282" s="1">
        <v>20</v>
      </c>
      <c r="D1282" s="1">
        <v>45</v>
      </c>
      <c r="E1282" s="1" t="s">
        <v>1123</v>
      </c>
      <c r="F1282" s="1" t="s">
        <v>3830</v>
      </c>
      <c r="G1282" s="3" t="s">
        <v>2132</v>
      </c>
      <c r="H1282" s="11">
        <f>ROUND(
IF(L1280="GANCHO",
   IF(I1282&lt;=50,I1282*1.1+4,IF(I1282&lt;=120,I1282*1.1+7,IF(I1282&lt;=250,I1282*1.1+11,I1282*1.1+19))),
IF(L1280="NORMAL",
   IF(I1282&lt;=30,I1282*1.15+2,IF(I1282&lt;=80,I1282*1.15+4,IF(I1282&lt;=150,I1282*1.15+6,I1282*1.15+8))),
IF(L1280="COMPLEMENTO",
   IF(I1282&lt;=25,I1282*1.25+1.5,IF(I1282&lt;=60,I1282*1.25+3,IF(I1282&lt;=120,I1282*1.25+4,I1282*1.25+5))),
""))),2)</f>
        <v>220.51</v>
      </c>
      <c r="I1282" s="9">
        <f>($K$2+0.02)*Tabla1[[#This Row],[PRECIO $]]*1.18</f>
        <v>184.78799999999998</v>
      </c>
      <c r="J1282" s="7">
        <f>+Tabla1[[#This Row],[PRECIO EN SOLES]]-Tabla1[[#This Row],[PC]]</f>
        <v>35.722000000000008</v>
      </c>
      <c r="K1282" s="15"/>
      <c r="L1282" s="15" t="str">
        <f>IF(
OR(
ISNUMBER(SEARCH("BACKPACK",B1284)),
ISNUMBER(SEARCH("MOCHILA",B1284)),
ISNUMBER(SEARCH("FUNDA",B1284)),
ISNUMBER(SEARCH("ESTUCHE",B1284)),
ISNUMBER(SEARCH("BOOK COVER",B1284)),
ISNUMBER(SEARCH("KEYBOARD PARA TABLET",B1284)),
ISNUMBER(SEARCH("FLIP TABLET",B1284)),
ISNUMBER(SEARCH("CASE FOR TABLET",B1284)),
ISNUMBER(SEARCH("CABLE",B1284)),
ISNUMBER(SEARCH("ADAPTADOR",B1284)),
ISNUMBER(SEARCH("HUB",B1284)),
ISNUMBER(SEARCH("DOCK",B1284)),
ISNUMBER(SEARCH("MOUSE PAD",B1284)),
ISNUMBER(SEARCH("MOUSEPAD",B1284)),
ISNUMBER(SEARCH("SOPORTE",B1284)),
ISNUMBER(SEARCH("STAND",B1284)),
ISNUMBER(SEARCH("TRAVEL ADAPTER",B1284)),
ISNUMBER(SEARCH("RJ45",B1284)),
ISNUMBER(SEARCH("USB-C",B1284)),
ISNUMBER(SEARCH("USB WIFI",B1284)),
ISNUMBER(SEARCH("POWERBANK",B1284)),
ISNUMBER(SEARCH("CARGADOR",B1284)),
ISNUMBER(SEARCH("COOLER PARA NB",B1284)),
ISNUMBER(SEARCH("SOPORTE PARA NB",B1284)),
ISNUMBER(SEARCH("WEBCAM",B1284)),
ISNUMBER(SEARCH("WEB CAM",B1284)),
ISNUMBER(SEARCH("MOUSE",B1284)),
ISNUMBER(SEARCH("TECLADO",B1284))
),
"COMPLEMENTO",
IF(
OR(
LEFT(A1284,2)="NB",
LEFT(A1284,2)="PC",
LEFT(A1284,2)="WS",
LEFT(A1284,2)="TB",
LEFT(A1284,3)="CEL",
LEFT(A1284,3)="MON",
LEFT(A1284,3)="PRE",
LEFT(A1284,3)="PRH",
ISNUMBER(SEARCH("NOTEBOOK",B1284)),
ISNUMBER(SEARCH("LAPTOP",B1284)),
ISNUMBER(SEARCH("MONITOR",B1284)),
ISNUMBER(SEARCH("TABLET",B1284)),
ISNUMBER(SEARCH("SMARTPH",B1284)),
ISNUMBER(SEARCH("IMPRESORA",B1284)),
ISNUMBER(SEARCH("MULTIFUNCIONAL",B1284)),
ISNUMBER(SEARCH("AIO",B1284))
),
"GANCHO",
"NORMAL"
)
)</f>
        <v>NORMAL</v>
      </c>
    </row>
    <row r="1283" spans="1:12" x14ac:dyDescent="0.25">
      <c r="A1283" s="3" t="s">
        <v>2133</v>
      </c>
      <c r="B1283" s="3" t="s">
        <v>2134</v>
      </c>
      <c r="C1283" s="1">
        <v>1</v>
      </c>
      <c r="D1283" s="1">
        <v>2228</v>
      </c>
      <c r="E1283" s="1" t="s">
        <v>1123</v>
      </c>
      <c r="F1283" s="1" t="s">
        <v>3831</v>
      </c>
      <c r="G1283" s="3" t="s">
        <v>2135</v>
      </c>
      <c r="H1283" s="11">
        <f>ROUND(
IF(L1281="GANCHO",
   IF(I1283&lt;=50,I1283*1.1+4,IF(I1283&lt;=120,I1283*1.1+7,IF(I1283&lt;=250,I1283*1.1+11,I1283*1.1+19))),
IF(L1281="NORMAL",
   IF(I1283&lt;=30,I1283*1.15+2,IF(I1283&lt;=80,I1283*1.15+4,IF(I1283&lt;=150,I1283*1.15+6,I1283*1.15+8))),
IF(L1281="COMPLEMENTO",
   IF(I1283&lt;=25,I1283*1.25+1.5,IF(I1283&lt;=60,I1283*1.25+3,IF(I1283&lt;=120,I1283*1.25+4,I1283*1.25+5))),
""))),2)</f>
        <v>10529.42</v>
      </c>
      <c r="I1283" s="9">
        <f>($K$2+0.02)*Tabla1[[#This Row],[PRECIO $]]*1.18</f>
        <v>9149.0591999999997</v>
      </c>
      <c r="J1283" s="7">
        <f>+Tabla1[[#This Row],[PRECIO EN SOLES]]-Tabla1[[#This Row],[PC]]</f>
        <v>1380.3608000000004</v>
      </c>
      <c r="K1283" s="15"/>
      <c r="L1283" s="15" t="str">
        <f>IF(
OR(
ISNUMBER(SEARCH("BACKPACK",B1285)),
ISNUMBER(SEARCH("MOCHILA",B1285)),
ISNUMBER(SEARCH("FUNDA",B1285)),
ISNUMBER(SEARCH("ESTUCHE",B1285)),
ISNUMBER(SEARCH("BOOK COVER",B1285)),
ISNUMBER(SEARCH("KEYBOARD PARA TABLET",B1285)),
ISNUMBER(SEARCH("FLIP TABLET",B1285)),
ISNUMBER(SEARCH("CASE FOR TABLET",B1285)),
ISNUMBER(SEARCH("CABLE",B1285)),
ISNUMBER(SEARCH("ADAPTADOR",B1285)),
ISNUMBER(SEARCH("HUB",B1285)),
ISNUMBER(SEARCH("DOCK",B1285)),
ISNUMBER(SEARCH("MOUSE PAD",B1285)),
ISNUMBER(SEARCH("MOUSEPAD",B1285)),
ISNUMBER(SEARCH("SOPORTE",B1285)),
ISNUMBER(SEARCH("STAND",B1285)),
ISNUMBER(SEARCH("TRAVEL ADAPTER",B1285)),
ISNUMBER(SEARCH("RJ45",B1285)),
ISNUMBER(SEARCH("USB-C",B1285)),
ISNUMBER(SEARCH("USB WIFI",B1285)),
ISNUMBER(SEARCH("POWERBANK",B1285)),
ISNUMBER(SEARCH("CARGADOR",B1285)),
ISNUMBER(SEARCH("COOLER PARA NB",B1285)),
ISNUMBER(SEARCH("SOPORTE PARA NB",B1285)),
ISNUMBER(SEARCH("WEBCAM",B1285)),
ISNUMBER(SEARCH("WEB CAM",B1285)),
ISNUMBER(SEARCH("MOUSE",B1285)),
ISNUMBER(SEARCH("TECLADO",B1285))
),
"COMPLEMENTO",
IF(
OR(
LEFT(A1285,2)="NB",
LEFT(A1285,2)="PC",
LEFT(A1285,2)="WS",
LEFT(A1285,2)="TB",
LEFT(A1285,3)="CEL",
LEFT(A1285,3)="MON",
LEFT(A1285,3)="PRE",
LEFT(A1285,3)="PRH",
ISNUMBER(SEARCH("NOTEBOOK",B1285)),
ISNUMBER(SEARCH("LAPTOP",B1285)),
ISNUMBER(SEARCH("MONITOR",B1285)),
ISNUMBER(SEARCH("TABLET",B1285)),
ISNUMBER(SEARCH("SMARTPH",B1285)),
ISNUMBER(SEARCH("IMPRESORA",B1285)),
ISNUMBER(SEARCH("MULTIFUNCIONAL",B1285)),
ISNUMBER(SEARCH("AIO",B1285))
),
"GANCHO",
"NORMAL"
)
)</f>
        <v>NORMAL</v>
      </c>
    </row>
    <row r="1284" spans="1:12" x14ac:dyDescent="0.25">
      <c r="A1284" s="3" t="s">
        <v>2136</v>
      </c>
      <c r="B1284" s="3" t="s">
        <v>2137</v>
      </c>
      <c r="C1284" s="1">
        <v>20</v>
      </c>
      <c r="D1284" s="1">
        <v>329</v>
      </c>
      <c r="E1284" s="1" t="s">
        <v>2002</v>
      </c>
      <c r="F1284" s="1" t="s">
        <v>3832</v>
      </c>
      <c r="G1284" s="3"/>
      <c r="H1284" s="11">
        <f>ROUND(
IF(L1282="GANCHO",
   IF(I1284&lt;=50,I1284*1.1+4,IF(I1284&lt;=120,I1284*1.1+7,IF(I1284&lt;=250,I1284*1.1+11,I1284*1.1+19))),
IF(L1282="NORMAL",
   IF(I1284&lt;=30,I1284*1.15+2,IF(I1284&lt;=80,I1284*1.15+4,IF(I1284&lt;=150,I1284*1.15+6,I1284*1.15+8))),
IF(L1282="COMPLEMENTO",
   IF(I1284&lt;=25,I1284*1.25+1.5,IF(I1284&lt;=60,I1284*1.25+3,IF(I1284&lt;=120,I1284*1.25+4,I1284*1.25+5))),
""))),2)</f>
        <v>1561.66</v>
      </c>
      <c r="I1284" s="9">
        <f>($K$2+0.02)*Tabla1[[#This Row],[PRECIO $]]*1.18</f>
        <v>1351.0056</v>
      </c>
      <c r="J1284" s="7">
        <f>+Tabla1[[#This Row],[PRECIO EN SOLES]]-Tabla1[[#This Row],[PC]]</f>
        <v>210.65440000000012</v>
      </c>
      <c r="K1284" s="15"/>
      <c r="L1284" s="15" t="str">
        <f>IF(
OR(
ISNUMBER(SEARCH("BACKPACK",B1286)),
ISNUMBER(SEARCH("MOCHILA",B1286)),
ISNUMBER(SEARCH("FUNDA",B1286)),
ISNUMBER(SEARCH("ESTUCHE",B1286)),
ISNUMBER(SEARCH("BOOK COVER",B1286)),
ISNUMBER(SEARCH("KEYBOARD PARA TABLET",B1286)),
ISNUMBER(SEARCH("FLIP TABLET",B1286)),
ISNUMBER(SEARCH("CASE FOR TABLET",B1286)),
ISNUMBER(SEARCH("CABLE",B1286)),
ISNUMBER(SEARCH("ADAPTADOR",B1286)),
ISNUMBER(SEARCH("HUB",B1286)),
ISNUMBER(SEARCH("DOCK",B1286)),
ISNUMBER(SEARCH("MOUSE PAD",B1286)),
ISNUMBER(SEARCH("MOUSEPAD",B1286)),
ISNUMBER(SEARCH("SOPORTE",B1286)),
ISNUMBER(SEARCH("STAND",B1286)),
ISNUMBER(SEARCH("TRAVEL ADAPTER",B1286)),
ISNUMBER(SEARCH("RJ45",B1286)),
ISNUMBER(SEARCH("USB-C",B1286)),
ISNUMBER(SEARCH("USB WIFI",B1286)),
ISNUMBER(SEARCH("POWERBANK",B1286)),
ISNUMBER(SEARCH("CARGADOR",B1286)),
ISNUMBER(SEARCH("COOLER PARA NB",B1286)),
ISNUMBER(SEARCH("SOPORTE PARA NB",B1286)),
ISNUMBER(SEARCH("WEBCAM",B1286)),
ISNUMBER(SEARCH("WEB CAM",B1286)),
ISNUMBER(SEARCH("MOUSE",B1286)),
ISNUMBER(SEARCH("TECLADO",B1286))
),
"COMPLEMENTO",
IF(
OR(
LEFT(A1286,2)="NB",
LEFT(A1286,2)="PC",
LEFT(A1286,2)="WS",
LEFT(A1286,2)="TB",
LEFT(A1286,3)="CEL",
LEFT(A1286,3)="MON",
LEFT(A1286,3)="PRE",
LEFT(A1286,3)="PRH",
ISNUMBER(SEARCH("NOTEBOOK",B1286)),
ISNUMBER(SEARCH("LAPTOP",B1286)),
ISNUMBER(SEARCH("MONITOR",B1286)),
ISNUMBER(SEARCH("TABLET",B1286)),
ISNUMBER(SEARCH("SMARTPH",B1286)),
ISNUMBER(SEARCH("IMPRESORA",B1286)),
ISNUMBER(SEARCH("MULTIFUNCIONAL",B1286)),
ISNUMBER(SEARCH("AIO",B1286))
),
"GANCHO",
"NORMAL"
)
)</f>
        <v>NORMAL</v>
      </c>
    </row>
    <row r="1285" spans="1:12" x14ac:dyDescent="0.25">
      <c r="A1285" s="3" t="s">
        <v>2138</v>
      </c>
      <c r="B1285" s="3" t="s">
        <v>2139</v>
      </c>
      <c r="C1285" s="1">
        <v>20</v>
      </c>
      <c r="D1285" s="1">
        <v>478.67</v>
      </c>
      <c r="E1285" s="1" t="s">
        <v>2002</v>
      </c>
      <c r="F1285" s="1" t="s">
        <v>3833</v>
      </c>
      <c r="G1285" s="3"/>
      <c r="H1285" s="11">
        <f>ROUND(
IF(L1283="GANCHO",
   IF(I1285&lt;=50,I1285*1.1+4,IF(I1285&lt;=120,I1285*1.1+7,IF(I1285&lt;=250,I1285*1.1+11,I1285*1.1+19))),
IF(L1283="NORMAL",
   IF(I1285&lt;=30,I1285*1.15+2,IF(I1285&lt;=80,I1285*1.15+4,IF(I1285&lt;=150,I1285*1.15+6,I1285*1.15+8))),
IF(L1283="COMPLEMENTO",
   IF(I1285&lt;=25,I1285*1.25+1.5,IF(I1285&lt;=60,I1285*1.25+3,IF(I1285&lt;=120,I1285*1.25+4,I1285*1.25+5))),
""))),2)</f>
        <v>2268.4499999999998</v>
      </c>
      <c r="I1285" s="9">
        <f>($K$2+0.02)*Tabla1[[#This Row],[PRECIO $]]*1.18</f>
        <v>1965.610488</v>
      </c>
      <c r="J1285" s="7">
        <f>+Tabla1[[#This Row],[PRECIO EN SOLES]]-Tabla1[[#This Row],[PC]]</f>
        <v>302.83951199999979</v>
      </c>
      <c r="K1285" s="15"/>
      <c r="L1285" s="15" t="str">
        <f>IF(
OR(
ISNUMBER(SEARCH("BACKPACK",B1287)),
ISNUMBER(SEARCH("MOCHILA",B1287)),
ISNUMBER(SEARCH("FUNDA",B1287)),
ISNUMBER(SEARCH("ESTUCHE",B1287)),
ISNUMBER(SEARCH("BOOK COVER",B1287)),
ISNUMBER(SEARCH("KEYBOARD PARA TABLET",B1287)),
ISNUMBER(SEARCH("FLIP TABLET",B1287)),
ISNUMBER(SEARCH("CASE FOR TABLET",B1287)),
ISNUMBER(SEARCH("CABLE",B1287)),
ISNUMBER(SEARCH("ADAPTADOR",B1287)),
ISNUMBER(SEARCH("HUB",B1287)),
ISNUMBER(SEARCH("DOCK",B1287)),
ISNUMBER(SEARCH("MOUSE PAD",B1287)),
ISNUMBER(SEARCH("MOUSEPAD",B1287)),
ISNUMBER(SEARCH("SOPORTE",B1287)),
ISNUMBER(SEARCH("STAND",B1287)),
ISNUMBER(SEARCH("TRAVEL ADAPTER",B1287)),
ISNUMBER(SEARCH("RJ45",B1287)),
ISNUMBER(SEARCH("USB-C",B1287)),
ISNUMBER(SEARCH("USB WIFI",B1287)),
ISNUMBER(SEARCH("POWERBANK",B1287)),
ISNUMBER(SEARCH("CARGADOR",B1287)),
ISNUMBER(SEARCH("COOLER PARA NB",B1287)),
ISNUMBER(SEARCH("SOPORTE PARA NB",B1287)),
ISNUMBER(SEARCH("WEBCAM",B1287)),
ISNUMBER(SEARCH("WEB CAM",B1287)),
ISNUMBER(SEARCH("MOUSE",B1287)),
ISNUMBER(SEARCH("TECLADO",B1287))
),
"COMPLEMENTO",
IF(
OR(
LEFT(A1287,2)="NB",
LEFT(A1287,2)="PC",
LEFT(A1287,2)="WS",
LEFT(A1287,2)="TB",
LEFT(A1287,3)="CEL",
LEFT(A1287,3)="MON",
LEFT(A1287,3)="PRE",
LEFT(A1287,3)="PRH",
ISNUMBER(SEARCH("NOTEBOOK",B1287)),
ISNUMBER(SEARCH("LAPTOP",B1287)),
ISNUMBER(SEARCH("MONITOR",B1287)),
ISNUMBER(SEARCH("TABLET",B1287)),
ISNUMBER(SEARCH("SMARTPH",B1287)),
ISNUMBER(SEARCH("IMPRESORA",B1287)),
ISNUMBER(SEARCH("MULTIFUNCIONAL",B1287)),
ISNUMBER(SEARCH("AIO",B1287))
),
"GANCHO",
"NORMAL"
)
)</f>
        <v>NORMAL</v>
      </c>
    </row>
    <row r="1286" spans="1:12" x14ac:dyDescent="0.25">
      <c r="A1286" s="3" t="s">
        <v>2140</v>
      </c>
      <c r="B1286" s="3" t="s">
        <v>2139</v>
      </c>
      <c r="C1286" s="1">
        <v>1</v>
      </c>
      <c r="D1286" s="1">
        <v>428.3</v>
      </c>
      <c r="E1286" s="1" t="s">
        <v>2002</v>
      </c>
      <c r="F1286" s="1" t="s">
        <v>3834</v>
      </c>
      <c r="G1286" s="3"/>
      <c r="H1286" s="11">
        <f>ROUND(
IF(L1284="GANCHO",
   IF(I1286&lt;=50,I1286*1.1+4,IF(I1286&lt;=120,I1286*1.1+7,IF(I1286&lt;=250,I1286*1.1+11,I1286*1.1+19))),
IF(L1284="NORMAL",
   IF(I1286&lt;=30,I1286*1.15+2,IF(I1286&lt;=80,I1286*1.15+4,IF(I1286&lt;=150,I1286*1.15+6,I1286*1.15+8))),
IF(L1284="COMPLEMENTO",
   IF(I1286&lt;=25,I1286*1.25+1.5,IF(I1286&lt;=60,I1286*1.25+3,IF(I1286&lt;=120,I1286*1.25+4,I1286*1.25+5))),
""))),2)</f>
        <v>2030.59</v>
      </c>
      <c r="I1286" s="9">
        <f>($K$2+0.02)*Tabla1[[#This Row],[PRECIO $]]*1.18</f>
        <v>1758.7711199999999</v>
      </c>
      <c r="J1286" s="7">
        <f>+Tabla1[[#This Row],[PRECIO EN SOLES]]-Tabla1[[#This Row],[PC]]</f>
        <v>271.81888000000004</v>
      </c>
      <c r="K1286" s="15"/>
      <c r="L1286" s="15" t="str">
        <f>IF(
OR(
ISNUMBER(SEARCH("BACKPACK",B1288)),
ISNUMBER(SEARCH("MOCHILA",B1288)),
ISNUMBER(SEARCH("FUNDA",B1288)),
ISNUMBER(SEARCH("ESTUCHE",B1288)),
ISNUMBER(SEARCH("BOOK COVER",B1288)),
ISNUMBER(SEARCH("KEYBOARD PARA TABLET",B1288)),
ISNUMBER(SEARCH("FLIP TABLET",B1288)),
ISNUMBER(SEARCH("CASE FOR TABLET",B1288)),
ISNUMBER(SEARCH("CABLE",B1288)),
ISNUMBER(SEARCH("ADAPTADOR",B1288)),
ISNUMBER(SEARCH("HUB",B1288)),
ISNUMBER(SEARCH("DOCK",B1288)),
ISNUMBER(SEARCH("MOUSE PAD",B1288)),
ISNUMBER(SEARCH("MOUSEPAD",B1288)),
ISNUMBER(SEARCH("SOPORTE",B1288)),
ISNUMBER(SEARCH("STAND",B1288)),
ISNUMBER(SEARCH("TRAVEL ADAPTER",B1288)),
ISNUMBER(SEARCH("RJ45",B1288)),
ISNUMBER(SEARCH("USB-C",B1288)),
ISNUMBER(SEARCH("USB WIFI",B1288)),
ISNUMBER(SEARCH("POWERBANK",B1288)),
ISNUMBER(SEARCH("CARGADOR",B1288)),
ISNUMBER(SEARCH("COOLER PARA NB",B1288)),
ISNUMBER(SEARCH("SOPORTE PARA NB",B1288)),
ISNUMBER(SEARCH("WEBCAM",B1288)),
ISNUMBER(SEARCH("WEB CAM",B1288)),
ISNUMBER(SEARCH("MOUSE",B1288)),
ISNUMBER(SEARCH("TECLADO",B1288))
),
"COMPLEMENTO",
IF(
OR(
LEFT(A1288,2)="NB",
LEFT(A1288,2)="PC",
LEFT(A1288,2)="WS",
LEFT(A1288,2)="TB",
LEFT(A1288,3)="CEL",
LEFT(A1288,3)="MON",
LEFT(A1288,3)="PRE",
LEFT(A1288,3)="PRH",
ISNUMBER(SEARCH("NOTEBOOK",B1288)),
ISNUMBER(SEARCH("LAPTOP",B1288)),
ISNUMBER(SEARCH("MONITOR",B1288)),
ISNUMBER(SEARCH("TABLET",B1288)),
ISNUMBER(SEARCH("SMARTPH",B1288)),
ISNUMBER(SEARCH("IMPRESORA",B1288)),
ISNUMBER(SEARCH("MULTIFUNCIONAL",B1288)),
ISNUMBER(SEARCH("AIO",B1288))
),
"GANCHO",
"NORMAL"
)
)</f>
        <v>NORMAL</v>
      </c>
    </row>
    <row r="1287" spans="1:12" x14ac:dyDescent="0.25">
      <c r="A1287" s="3" t="s">
        <v>4697</v>
      </c>
      <c r="B1287" s="3" t="s">
        <v>4698</v>
      </c>
      <c r="C1287" s="1">
        <v>1</v>
      </c>
      <c r="D1287" s="1">
        <v>108.08</v>
      </c>
      <c r="E1287" s="1" t="s">
        <v>424</v>
      </c>
      <c r="F1287" s="1" t="s">
        <v>4699</v>
      </c>
      <c r="G1287" s="3" t="s">
        <v>4700</v>
      </c>
      <c r="H1287" s="11">
        <f>ROUND(
IF(L1285="GANCHO",
   IF(I1287&lt;=50,I1287*1.1+4,IF(I1287&lt;=120,I1287*1.1+7,IF(I1287&lt;=250,I1287*1.1+11,I1287*1.1+19))),
IF(L1285="NORMAL",
   IF(I1287&lt;=30,I1287*1.15+2,IF(I1287&lt;=80,I1287*1.15+4,IF(I1287&lt;=150,I1287*1.15+6,I1287*1.15+8))),
IF(L1285="COMPLEMENTO",
   IF(I1287&lt;=25,I1287*1.25+1.5,IF(I1287&lt;=60,I1287*1.25+3,IF(I1287&lt;=120,I1287*1.25+4,I1287*1.25+5))),
""))),2)</f>
        <v>518.39</v>
      </c>
      <c r="I1287" s="9">
        <f>($K$2+0.02)*Tabla1[[#This Row],[PRECIO $]]*1.18</f>
        <v>443.81971199999998</v>
      </c>
      <c r="J1287" s="7">
        <f>+Tabla1[[#This Row],[PRECIO EN SOLES]]-Tabla1[[#This Row],[PC]]</f>
        <v>74.570288000000005</v>
      </c>
      <c r="K1287" s="15"/>
      <c r="L1287" s="15" t="str">
        <f>IF(
OR(
ISNUMBER(SEARCH("BACKPACK",B1289)),
ISNUMBER(SEARCH("MOCHILA",B1289)),
ISNUMBER(SEARCH("FUNDA",B1289)),
ISNUMBER(SEARCH("ESTUCHE",B1289)),
ISNUMBER(SEARCH("BOOK COVER",B1289)),
ISNUMBER(SEARCH("KEYBOARD PARA TABLET",B1289)),
ISNUMBER(SEARCH("FLIP TABLET",B1289)),
ISNUMBER(SEARCH("CASE FOR TABLET",B1289)),
ISNUMBER(SEARCH("CABLE",B1289)),
ISNUMBER(SEARCH("ADAPTADOR",B1289)),
ISNUMBER(SEARCH("HUB",B1289)),
ISNUMBER(SEARCH("DOCK",B1289)),
ISNUMBER(SEARCH("MOUSE PAD",B1289)),
ISNUMBER(SEARCH("MOUSEPAD",B1289)),
ISNUMBER(SEARCH("SOPORTE",B1289)),
ISNUMBER(SEARCH("STAND",B1289)),
ISNUMBER(SEARCH("TRAVEL ADAPTER",B1289)),
ISNUMBER(SEARCH("RJ45",B1289)),
ISNUMBER(SEARCH("USB-C",B1289)),
ISNUMBER(SEARCH("USB WIFI",B1289)),
ISNUMBER(SEARCH("POWERBANK",B1289)),
ISNUMBER(SEARCH("CARGADOR",B1289)),
ISNUMBER(SEARCH("COOLER PARA NB",B1289)),
ISNUMBER(SEARCH("SOPORTE PARA NB",B1289)),
ISNUMBER(SEARCH("WEBCAM",B1289)),
ISNUMBER(SEARCH("WEB CAM",B1289)),
ISNUMBER(SEARCH("MOUSE",B1289)),
ISNUMBER(SEARCH("TECLADO",B1289))
),
"COMPLEMENTO",
IF(
OR(
LEFT(A1289,2)="NB",
LEFT(A1289,2)="PC",
LEFT(A1289,2)="WS",
LEFT(A1289,2)="TB",
LEFT(A1289,3)="CEL",
LEFT(A1289,3)="MON",
LEFT(A1289,3)="PRE",
LEFT(A1289,3)="PRH",
ISNUMBER(SEARCH("NOTEBOOK",B1289)),
ISNUMBER(SEARCH("LAPTOP",B1289)),
ISNUMBER(SEARCH("MONITOR",B1289)),
ISNUMBER(SEARCH("TABLET",B1289)),
ISNUMBER(SEARCH("SMARTPH",B1289)),
ISNUMBER(SEARCH("IMPRESORA",B1289)),
ISNUMBER(SEARCH("MULTIFUNCIONAL",B1289)),
ISNUMBER(SEARCH("AIO",B1289))
),
"GANCHO",
"NORMAL"
)
)</f>
        <v>NORMAL</v>
      </c>
    </row>
    <row r="1288" spans="1:12" x14ac:dyDescent="0.25">
      <c r="A1288" s="3" t="s">
        <v>4701</v>
      </c>
      <c r="B1288" s="3" t="s">
        <v>4702</v>
      </c>
      <c r="C1288" s="1">
        <v>2</v>
      </c>
      <c r="D1288" s="1">
        <v>405.01</v>
      </c>
      <c r="E1288" s="1" t="s">
        <v>424</v>
      </c>
      <c r="F1288" s="1" t="s">
        <v>4703</v>
      </c>
      <c r="G1288" s="3" t="s">
        <v>4704</v>
      </c>
      <c r="H1288" s="11">
        <f>ROUND(
IF(L1286="GANCHO",
   IF(I1288&lt;=50,I1288*1.1+4,IF(I1288&lt;=120,I1288*1.1+7,IF(I1288&lt;=250,I1288*1.1+11,I1288*1.1+19))),
IF(L1286="NORMAL",
   IF(I1288&lt;=30,I1288*1.15+2,IF(I1288&lt;=80,I1288*1.15+4,IF(I1288&lt;=150,I1288*1.15+6,I1288*1.15+8))),
IF(L1286="COMPLEMENTO",
   IF(I1288&lt;=25,I1288*1.25+1.5,IF(I1288&lt;=60,I1288*1.25+3,IF(I1288&lt;=120,I1288*1.25+4,I1288*1.25+5))),
""))),2)</f>
        <v>1920.6</v>
      </c>
      <c r="I1288" s="9">
        <f>($K$2+0.02)*Tabla1[[#This Row],[PRECIO $]]*1.18</f>
        <v>1663.1330639999999</v>
      </c>
      <c r="J1288" s="7">
        <f>+Tabla1[[#This Row],[PRECIO EN SOLES]]-Tabla1[[#This Row],[PC]]</f>
        <v>257.46693600000003</v>
      </c>
      <c r="K1288" s="15"/>
      <c r="L1288" s="15" t="str">
        <f>IF(
OR(
ISNUMBER(SEARCH("BACKPACK",B1290)),
ISNUMBER(SEARCH("MOCHILA",B1290)),
ISNUMBER(SEARCH("FUNDA",B1290)),
ISNUMBER(SEARCH("ESTUCHE",B1290)),
ISNUMBER(SEARCH("BOOK COVER",B1290)),
ISNUMBER(SEARCH("KEYBOARD PARA TABLET",B1290)),
ISNUMBER(SEARCH("FLIP TABLET",B1290)),
ISNUMBER(SEARCH("CASE FOR TABLET",B1290)),
ISNUMBER(SEARCH("CABLE",B1290)),
ISNUMBER(SEARCH("ADAPTADOR",B1290)),
ISNUMBER(SEARCH("HUB",B1290)),
ISNUMBER(SEARCH("DOCK",B1290)),
ISNUMBER(SEARCH("MOUSE PAD",B1290)),
ISNUMBER(SEARCH("MOUSEPAD",B1290)),
ISNUMBER(SEARCH("SOPORTE",B1290)),
ISNUMBER(SEARCH("STAND",B1290)),
ISNUMBER(SEARCH("TRAVEL ADAPTER",B1290)),
ISNUMBER(SEARCH("RJ45",B1290)),
ISNUMBER(SEARCH("USB-C",B1290)),
ISNUMBER(SEARCH("USB WIFI",B1290)),
ISNUMBER(SEARCH("POWERBANK",B1290)),
ISNUMBER(SEARCH("CARGADOR",B1290)),
ISNUMBER(SEARCH("COOLER PARA NB",B1290)),
ISNUMBER(SEARCH("SOPORTE PARA NB",B1290)),
ISNUMBER(SEARCH("WEBCAM",B1290)),
ISNUMBER(SEARCH("WEB CAM",B1290)),
ISNUMBER(SEARCH("MOUSE",B1290)),
ISNUMBER(SEARCH("TECLADO",B1290))
),
"COMPLEMENTO",
IF(
OR(
LEFT(A1290,2)="NB",
LEFT(A1290,2)="PC",
LEFT(A1290,2)="WS",
LEFT(A1290,2)="TB",
LEFT(A1290,3)="CEL",
LEFT(A1290,3)="MON",
LEFT(A1290,3)="PRE",
LEFT(A1290,3)="PRH",
ISNUMBER(SEARCH("NOTEBOOK",B1290)),
ISNUMBER(SEARCH("LAPTOP",B1290)),
ISNUMBER(SEARCH("MONITOR",B1290)),
ISNUMBER(SEARCH("TABLET",B1290)),
ISNUMBER(SEARCH("SMARTPH",B1290)),
ISNUMBER(SEARCH("IMPRESORA",B1290)),
ISNUMBER(SEARCH("MULTIFUNCIONAL",B1290)),
ISNUMBER(SEARCH("AIO",B1290))
),
"GANCHO",
"NORMAL"
)
)</f>
        <v>NORMAL</v>
      </c>
    </row>
    <row r="1289" spans="1:12" x14ac:dyDescent="0.25">
      <c r="A1289" s="3" t="s">
        <v>4705</v>
      </c>
      <c r="B1289" s="3" t="s">
        <v>4706</v>
      </c>
      <c r="C1289" s="1">
        <v>7</v>
      </c>
      <c r="D1289" s="1">
        <v>67.13</v>
      </c>
      <c r="E1289" s="1" t="s">
        <v>424</v>
      </c>
      <c r="F1289" s="1" t="s">
        <v>4707</v>
      </c>
      <c r="G1289" s="3" t="s">
        <v>4708</v>
      </c>
      <c r="H1289" s="11">
        <f>ROUND(
IF(L1287="GANCHO",
   IF(I1289&lt;=50,I1289*1.1+4,IF(I1289&lt;=120,I1289*1.1+7,IF(I1289&lt;=250,I1289*1.1+11,I1289*1.1+19))),
IF(L1287="NORMAL",
   IF(I1289&lt;=30,I1289*1.15+2,IF(I1289&lt;=80,I1289*1.15+4,IF(I1289&lt;=150,I1289*1.15+6,I1289*1.15+8))),
IF(L1287="COMPLEMENTO",
   IF(I1289&lt;=25,I1289*1.25+1.5,IF(I1289&lt;=60,I1289*1.25+3,IF(I1289&lt;=120,I1289*1.25+4,I1289*1.25+5))),
""))),2)</f>
        <v>325.01</v>
      </c>
      <c r="I1289" s="9">
        <f>($K$2+0.02)*Tabla1[[#This Row],[PRECIO $]]*1.18</f>
        <v>275.66263199999997</v>
      </c>
      <c r="J1289" s="7">
        <f>+Tabla1[[#This Row],[PRECIO EN SOLES]]-Tabla1[[#This Row],[PC]]</f>
        <v>49.347368000000017</v>
      </c>
      <c r="K1289" s="15"/>
      <c r="L1289" s="15" t="str">
        <f>IF(
OR(
ISNUMBER(SEARCH("BACKPACK",B1291)),
ISNUMBER(SEARCH("MOCHILA",B1291)),
ISNUMBER(SEARCH("FUNDA",B1291)),
ISNUMBER(SEARCH("ESTUCHE",B1291)),
ISNUMBER(SEARCH("BOOK COVER",B1291)),
ISNUMBER(SEARCH("KEYBOARD PARA TABLET",B1291)),
ISNUMBER(SEARCH("FLIP TABLET",B1291)),
ISNUMBER(SEARCH("CASE FOR TABLET",B1291)),
ISNUMBER(SEARCH("CABLE",B1291)),
ISNUMBER(SEARCH("ADAPTADOR",B1291)),
ISNUMBER(SEARCH("HUB",B1291)),
ISNUMBER(SEARCH("DOCK",B1291)),
ISNUMBER(SEARCH("MOUSE PAD",B1291)),
ISNUMBER(SEARCH("MOUSEPAD",B1291)),
ISNUMBER(SEARCH("SOPORTE",B1291)),
ISNUMBER(SEARCH("STAND",B1291)),
ISNUMBER(SEARCH("TRAVEL ADAPTER",B1291)),
ISNUMBER(SEARCH("RJ45",B1291)),
ISNUMBER(SEARCH("USB-C",B1291)),
ISNUMBER(SEARCH("USB WIFI",B1291)),
ISNUMBER(SEARCH("POWERBANK",B1291)),
ISNUMBER(SEARCH("CARGADOR",B1291)),
ISNUMBER(SEARCH("COOLER PARA NB",B1291)),
ISNUMBER(SEARCH("SOPORTE PARA NB",B1291)),
ISNUMBER(SEARCH("WEBCAM",B1291)),
ISNUMBER(SEARCH("WEB CAM",B1291)),
ISNUMBER(SEARCH("MOUSE",B1291)),
ISNUMBER(SEARCH("TECLADO",B1291))
),
"COMPLEMENTO",
IF(
OR(
LEFT(A1291,2)="NB",
LEFT(A1291,2)="PC",
LEFT(A1291,2)="WS",
LEFT(A1291,2)="TB",
LEFT(A1291,3)="CEL",
LEFT(A1291,3)="MON",
LEFT(A1291,3)="PRE",
LEFT(A1291,3)="PRH",
ISNUMBER(SEARCH("NOTEBOOK",B1291)),
ISNUMBER(SEARCH("LAPTOP",B1291)),
ISNUMBER(SEARCH("MONITOR",B1291)),
ISNUMBER(SEARCH("TABLET",B1291)),
ISNUMBER(SEARCH("SMARTPH",B1291)),
ISNUMBER(SEARCH("IMPRESORA",B1291)),
ISNUMBER(SEARCH("MULTIFUNCIONAL",B1291)),
ISNUMBER(SEARCH("AIO",B1291))
),
"GANCHO",
"NORMAL"
)
)</f>
        <v>NORMAL</v>
      </c>
    </row>
    <row r="1290" spans="1:12" x14ac:dyDescent="0.25">
      <c r="A1290" s="3" t="s">
        <v>4335</v>
      </c>
      <c r="B1290" s="3" t="s">
        <v>4336</v>
      </c>
      <c r="C1290" s="1">
        <v>20</v>
      </c>
      <c r="D1290" s="1">
        <v>32.99</v>
      </c>
      <c r="E1290" s="1" t="s">
        <v>424</v>
      </c>
      <c r="F1290" s="1" t="s">
        <v>4337</v>
      </c>
      <c r="G1290" s="3"/>
      <c r="H1290" s="11">
        <f>ROUND(
IF(L1288="GANCHO",
   IF(I1290&lt;=50,I1290*1.1+4,IF(I1290&lt;=120,I1290*1.1+7,IF(I1290&lt;=250,I1290*1.1+11,I1290*1.1+19))),
IF(L1288="NORMAL",
   IF(I1290&lt;=30,I1290*1.15+2,IF(I1290&lt;=80,I1290*1.15+4,IF(I1290&lt;=150,I1290*1.15+6,I1290*1.15+8))),
IF(L1288="COMPLEMENTO",
   IF(I1290&lt;=25,I1290*1.25+1.5,IF(I1290&lt;=60,I1290*1.25+3,IF(I1290&lt;=120,I1290*1.25+4,I1290*1.25+5))),
""))),2)</f>
        <v>161.79</v>
      </c>
      <c r="I1290" s="9">
        <f>($K$2+0.02)*Tabla1[[#This Row],[PRECIO $]]*1.18</f>
        <v>135.470136</v>
      </c>
      <c r="J1290" s="7">
        <f>+Tabla1[[#This Row],[PRECIO EN SOLES]]-Tabla1[[#This Row],[PC]]</f>
        <v>26.319863999999995</v>
      </c>
      <c r="K1290" s="15"/>
      <c r="L1290" s="15" t="str">
        <f>IF(
OR(
ISNUMBER(SEARCH("BACKPACK",B1292)),
ISNUMBER(SEARCH("MOCHILA",B1292)),
ISNUMBER(SEARCH("FUNDA",B1292)),
ISNUMBER(SEARCH("ESTUCHE",B1292)),
ISNUMBER(SEARCH("BOOK COVER",B1292)),
ISNUMBER(SEARCH("KEYBOARD PARA TABLET",B1292)),
ISNUMBER(SEARCH("FLIP TABLET",B1292)),
ISNUMBER(SEARCH("CASE FOR TABLET",B1292)),
ISNUMBER(SEARCH("CABLE",B1292)),
ISNUMBER(SEARCH("ADAPTADOR",B1292)),
ISNUMBER(SEARCH("HUB",B1292)),
ISNUMBER(SEARCH("DOCK",B1292)),
ISNUMBER(SEARCH("MOUSE PAD",B1292)),
ISNUMBER(SEARCH("MOUSEPAD",B1292)),
ISNUMBER(SEARCH("SOPORTE",B1292)),
ISNUMBER(SEARCH("STAND",B1292)),
ISNUMBER(SEARCH("TRAVEL ADAPTER",B1292)),
ISNUMBER(SEARCH("RJ45",B1292)),
ISNUMBER(SEARCH("USB-C",B1292)),
ISNUMBER(SEARCH("USB WIFI",B1292)),
ISNUMBER(SEARCH("POWERBANK",B1292)),
ISNUMBER(SEARCH("CARGADOR",B1292)),
ISNUMBER(SEARCH("COOLER PARA NB",B1292)),
ISNUMBER(SEARCH("SOPORTE PARA NB",B1292)),
ISNUMBER(SEARCH("WEBCAM",B1292)),
ISNUMBER(SEARCH("WEB CAM",B1292)),
ISNUMBER(SEARCH("MOUSE",B1292)),
ISNUMBER(SEARCH("TECLADO",B1292))
),
"COMPLEMENTO",
IF(
OR(
LEFT(A1292,2)="NB",
LEFT(A1292,2)="PC",
LEFT(A1292,2)="WS",
LEFT(A1292,2)="TB",
LEFT(A1292,3)="CEL",
LEFT(A1292,3)="MON",
LEFT(A1292,3)="PRE",
LEFT(A1292,3)="PRH",
ISNUMBER(SEARCH("NOTEBOOK",B1292)),
ISNUMBER(SEARCH("LAPTOP",B1292)),
ISNUMBER(SEARCH("MONITOR",B1292)),
ISNUMBER(SEARCH("TABLET",B1292)),
ISNUMBER(SEARCH("SMARTPH",B1292)),
ISNUMBER(SEARCH("IMPRESORA",B1292)),
ISNUMBER(SEARCH("MULTIFUNCIONAL",B1292)),
ISNUMBER(SEARCH("AIO",B1292))
),
"GANCHO",
"NORMAL"
)
)</f>
        <v>NORMAL</v>
      </c>
    </row>
    <row r="1291" spans="1:12" x14ac:dyDescent="0.25">
      <c r="A1291" s="3" t="s">
        <v>2141</v>
      </c>
      <c r="B1291" s="3" t="s">
        <v>2142</v>
      </c>
      <c r="C1291" s="1">
        <v>15</v>
      </c>
      <c r="D1291" s="1">
        <v>114.41</v>
      </c>
      <c r="E1291" s="1" t="s">
        <v>424</v>
      </c>
      <c r="F1291" s="1" t="s">
        <v>3835</v>
      </c>
      <c r="G1291" s="3" t="s">
        <v>2143</v>
      </c>
      <c r="H1291" s="11">
        <f>ROUND(
IF(L1289="GANCHO",
   IF(I1291&lt;=50,I1291*1.1+4,IF(I1291&lt;=120,I1291*1.1+7,IF(I1291&lt;=250,I1291*1.1+11,I1291*1.1+19))),
IF(L1289="NORMAL",
   IF(I1291&lt;=30,I1291*1.15+2,IF(I1291&lt;=80,I1291*1.15+4,IF(I1291&lt;=150,I1291*1.15+6,I1291*1.15+8))),
IF(L1289="COMPLEMENTO",
   IF(I1291&lt;=25,I1291*1.25+1.5,IF(I1291&lt;=60,I1291*1.25+3,IF(I1291&lt;=120,I1291*1.25+4,I1291*1.25+5))),
""))),2)</f>
        <v>548.29</v>
      </c>
      <c r="I1291" s="9">
        <f>($K$2+0.02)*Tabla1[[#This Row],[PRECIO $]]*1.18</f>
        <v>469.81322399999993</v>
      </c>
      <c r="J1291" s="7">
        <f>+Tabla1[[#This Row],[PRECIO EN SOLES]]-Tabla1[[#This Row],[PC]]</f>
        <v>78.476776000000029</v>
      </c>
      <c r="K1291" s="15"/>
      <c r="L1291" s="15" t="str">
        <f>IF(
OR(
ISNUMBER(SEARCH("BACKPACK",B1293)),
ISNUMBER(SEARCH("MOCHILA",B1293)),
ISNUMBER(SEARCH("FUNDA",B1293)),
ISNUMBER(SEARCH("ESTUCHE",B1293)),
ISNUMBER(SEARCH("BOOK COVER",B1293)),
ISNUMBER(SEARCH("KEYBOARD PARA TABLET",B1293)),
ISNUMBER(SEARCH("FLIP TABLET",B1293)),
ISNUMBER(SEARCH("CASE FOR TABLET",B1293)),
ISNUMBER(SEARCH("CABLE",B1293)),
ISNUMBER(SEARCH("ADAPTADOR",B1293)),
ISNUMBER(SEARCH("HUB",B1293)),
ISNUMBER(SEARCH("DOCK",B1293)),
ISNUMBER(SEARCH("MOUSE PAD",B1293)),
ISNUMBER(SEARCH("MOUSEPAD",B1293)),
ISNUMBER(SEARCH("SOPORTE",B1293)),
ISNUMBER(SEARCH("STAND",B1293)),
ISNUMBER(SEARCH("TRAVEL ADAPTER",B1293)),
ISNUMBER(SEARCH("RJ45",B1293)),
ISNUMBER(SEARCH("USB-C",B1293)),
ISNUMBER(SEARCH("USB WIFI",B1293)),
ISNUMBER(SEARCH("POWERBANK",B1293)),
ISNUMBER(SEARCH("CARGADOR",B1293)),
ISNUMBER(SEARCH("COOLER PARA NB",B1293)),
ISNUMBER(SEARCH("SOPORTE PARA NB",B1293)),
ISNUMBER(SEARCH("WEBCAM",B1293)),
ISNUMBER(SEARCH("WEB CAM",B1293)),
ISNUMBER(SEARCH("MOUSE",B1293)),
ISNUMBER(SEARCH("TECLADO",B1293))
),
"COMPLEMENTO",
IF(
OR(
LEFT(A1293,2)="NB",
LEFT(A1293,2)="PC",
LEFT(A1293,2)="WS",
LEFT(A1293,2)="TB",
LEFT(A1293,3)="CEL",
LEFT(A1293,3)="MON",
LEFT(A1293,3)="PRE",
LEFT(A1293,3)="PRH",
ISNUMBER(SEARCH("NOTEBOOK",B1293)),
ISNUMBER(SEARCH("LAPTOP",B1293)),
ISNUMBER(SEARCH("MONITOR",B1293)),
ISNUMBER(SEARCH("TABLET",B1293)),
ISNUMBER(SEARCH("SMARTPH",B1293)),
ISNUMBER(SEARCH("IMPRESORA",B1293)),
ISNUMBER(SEARCH("MULTIFUNCIONAL",B1293)),
ISNUMBER(SEARCH("AIO",B1293))
),
"GANCHO",
"NORMAL"
)
)</f>
        <v>NORMAL</v>
      </c>
    </row>
    <row r="1292" spans="1:12" x14ac:dyDescent="0.25">
      <c r="A1292" s="3" t="s">
        <v>4709</v>
      </c>
      <c r="B1292" s="3" t="s">
        <v>4710</v>
      </c>
      <c r="C1292" s="1">
        <v>5</v>
      </c>
      <c r="D1292" s="1">
        <v>118.12</v>
      </c>
      <c r="E1292" s="1" t="s">
        <v>424</v>
      </c>
      <c r="F1292" s="1" t="s">
        <v>4711</v>
      </c>
      <c r="G1292" s="3" t="s">
        <v>4712</v>
      </c>
      <c r="H1292" s="11">
        <f>ROUND(
IF(L1290="GANCHO",
   IF(I1292&lt;=50,I1292*1.1+4,IF(I1292&lt;=120,I1292*1.1+7,IF(I1292&lt;=250,I1292*1.1+11,I1292*1.1+19))),
IF(L1290="NORMAL",
   IF(I1292&lt;=30,I1292*1.15+2,IF(I1292&lt;=80,I1292*1.15+4,IF(I1292&lt;=150,I1292*1.15+6,I1292*1.15+8))),
IF(L1290="COMPLEMENTO",
   IF(I1292&lt;=25,I1292*1.25+1.5,IF(I1292&lt;=60,I1292*1.25+3,IF(I1292&lt;=120,I1292*1.25+4,I1292*1.25+5))),
""))),2)</f>
        <v>565.80999999999995</v>
      </c>
      <c r="I1292" s="9">
        <f>($K$2+0.02)*Tabla1[[#This Row],[PRECIO $]]*1.18</f>
        <v>485.04796800000003</v>
      </c>
      <c r="J1292" s="7">
        <f>+Tabla1[[#This Row],[PRECIO EN SOLES]]-Tabla1[[#This Row],[PC]]</f>
        <v>80.76203199999992</v>
      </c>
      <c r="K1292" s="15"/>
      <c r="L1292" s="15" t="str">
        <f>IF(
OR(
ISNUMBER(SEARCH("BACKPACK",B1294)),
ISNUMBER(SEARCH("MOCHILA",B1294)),
ISNUMBER(SEARCH("FUNDA",B1294)),
ISNUMBER(SEARCH("ESTUCHE",B1294)),
ISNUMBER(SEARCH("BOOK COVER",B1294)),
ISNUMBER(SEARCH("KEYBOARD PARA TABLET",B1294)),
ISNUMBER(SEARCH("FLIP TABLET",B1294)),
ISNUMBER(SEARCH("CASE FOR TABLET",B1294)),
ISNUMBER(SEARCH("CABLE",B1294)),
ISNUMBER(SEARCH("ADAPTADOR",B1294)),
ISNUMBER(SEARCH("HUB",B1294)),
ISNUMBER(SEARCH("DOCK",B1294)),
ISNUMBER(SEARCH("MOUSE PAD",B1294)),
ISNUMBER(SEARCH("MOUSEPAD",B1294)),
ISNUMBER(SEARCH("SOPORTE",B1294)),
ISNUMBER(SEARCH("STAND",B1294)),
ISNUMBER(SEARCH("TRAVEL ADAPTER",B1294)),
ISNUMBER(SEARCH("RJ45",B1294)),
ISNUMBER(SEARCH("USB-C",B1294)),
ISNUMBER(SEARCH("USB WIFI",B1294)),
ISNUMBER(SEARCH("POWERBANK",B1294)),
ISNUMBER(SEARCH("CARGADOR",B1294)),
ISNUMBER(SEARCH("COOLER PARA NB",B1294)),
ISNUMBER(SEARCH("SOPORTE PARA NB",B1294)),
ISNUMBER(SEARCH("WEBCAM",B1294)),
ISNUMBER(SEARCH("WEB CAM",B1294)),
ISNUMBER(SEARCH("MOUSE",B1294)),
ISNUMBER(SEARCH("TECLADO",B1294))
),
"COMPLEMENTO",
IF(
OR(
LEFT(A1294,2)="NB",
LEFT(A1294,2)="PC",
LEFT(A1294,2)="WS",
LEFT(A1294,2)="TB",
LEFT(A1294,3)="CEL",
LEFT(A1294,3)="MON",
LEFT(A1294,3)="PRE",
LEFT(A1294,3)="PRH",
ISNUMBER(SEARCH("NOTEBOOK",B1294)),
ISNUMBER(SEARCH("LAPTOP",B1294)),
ISNUMBER(SEARCH("MONITOR",B1294)),
ISNUMBER(SEARCH("TABLET",B1294)),
ISNUMBER(SEARCH("SMARTPH",B1294)),
ISNUMBER(SEARCH("IMPRESORA",B1294)),
ISNUMBER(SEARCH("MULTIFUNCIONAL",B1294)),
ISNUMBER(SEARCH("AIO",B1294))
),
"GANCHO",
"NORMAL"
)
)</f>
        <v>NORMAL</v>
      </c>
    </row>
    <row r="1293" spans="1:12" x14ac:dyDescent="0.25">
      <c r="A1293" s="3" t="s">
        <v>4713</v>
      </c>
      <c r="B1293" s="3" t="s">
        <v>4714</v>
      </c>
      <c r="C1293" s="1">
        <v>5</v>
      </c>
      <c r="D1293" s="1">
        <v>349.61</v>
      </c>
      <c r="E1293" s="1" t="s">
        <v>424</v>
      </c>
      <c r="F1293" s="1" t="s">
        <v>4715</v>
      </c>
      <c r="G1293" s="3" t="s">
        <v>4716</v>
      </c>
      <c r="H1293" s="11">
        <f>ROUND(
IF(L1291="GANCHO",
   IF(I1293&lt;=50,I1293*1.1+4,IF(I1293&lt;=120,I1293*1.1+7,IF(I1293&lt;=250,I1293*1.1+11,I1293*1.1+19))),
IF(L1291="NORMAL",
   IF(I1293&lt;=30,I1293*1.15+2,IF(I1293&lt;=80,I1293*1.15+4,IF(I1293&lt;=150,I1293*1.15+6,I1293*1.15+8))),
IF(L1291="COMPLEMENTO",
   IF(I1293&lt;=25,I1293*1.25+1.5,IF(I1293&lt;=60,I1293*1.25+3,IF(I1293&lt;=120,I1293*1.25+4,I1293*1.25+5))),
""))),2)</f>
        <v>1658.98</v>
      </c>
      <c r="I1293" s="9">
        <f>($K$2+0.02)*Tabla1[[#This Row],[PRECIO $]]*1.18</f>
        <v>1435.638504</v>
      </c>
      <c r="J1293" s="7">
        <f>+Tabla1[[#This Row],[PRECIO EN SOLES]]-Tabla1[[#This Row],[PC]]</f>
        <v>223.34149600000001</v>
      </c>
      <c r="K1293" s="15"/>
      <c r="L1293" s="15" t="str">
        <f>IF(
OR(
ISNUMBER(SEARCH("BACKPACK",B1295)),
ISNUMBER(SEARCH("MOCHILA",B1295)),
ISNUMBER(SEARCH("FUNDA",B1295)),
ISNUMBER(SEARCH("ESTUCHE",B1295)),
ISNUMBER(SEARCH("BOOK COVER",B1295)),
ISNUMBER(SEARCH("KEYBOARD PARA TABLET",B1295)),
ISNUMBER(SEARCH("FLIP TABLET",B1295)),
ISNUMBER(SEARCH("CASE FOR TABLET",B1295)),
ISNUMBER(SEARCH("CABLE",B1295)),
ISNUMBER(SEARCH("ADAPTADOR",B1295)),
ISNUMBER(SEARCH("HUB",B1295)),
ISNUMBER(SEARCH("DOCK",B1295)),
ISNUMBER(SEARCH("MOUSE PAD",B1295)),
ISNUMBER(SEARCH("MOUSEPAD",B1295)),
ISNUMBER(SEARCH("SOPORTE",B1295)),
ISNUMBER(SEARCH("STAND",B1295)),
ISNUMBER(SEARCH("TRAVEL ADAPTER",B1295)),
ISNUMBER(SEARCH("RJ45",B1295)),
ISNUMBER(SEARCH("USB-C",B1295)),
ISNUMBER(SEARCH("USB WIFI",B1295)),
ISNUMBER(SEARCH("POWERBANK",B1295)),
ISNUMBER(SEARCH("CARGADOR",B1295)),
ISNUMBER(SEARCH("COOLER PARA NB",B1295)),
ISNUMBER(SEARCH("SOPORTE PARA NB",B1295)),
ISNUMBER(SEARCH("WEBCAM",B1295)),
ISNUMBER(SEARCH("WEB CAM",B1295)),
ISNUMBER(SEARCH("MOUSE",B1295)),
ISNUMBER(SEARCH("TECLADO",B1295))
),
"COMPLEMENTO",
IF(
OR(
LEFT(A1295,2)="NB",
LEFT(A1295,2)="PC",
LEFT(A1295,2)="WS",
LEFT(A1295,2)="TB",
LEFT(A1295,3)="CEL",
LEFT(A1295,3)="MON",
LEFT(A1295,3)="PRE",
LEFT(A1295,3)="PRH",
ISNUMBER(SEARCH("NOTEBOOK",B1295)),
ISNUMBER(SEARCH("LAPTOP",B1295)),
ISNUMBER(SEARCH("MONITOR",B1295)),
ISNUMBER(SEARCH("TABLET",B1295)),
ISNUMBER(SEARCH("SMARTPH",B1295)),
ISNUMBER(SEARCH("IMPRESORA",B1295)),
ISNUMBER(SEARCH("MULTIFUNCIONAL",B1295)),
ISNUMBER(SEARCH("AIO",B1295))
),
"GANCHO",
"NORMAL"
)
)</f>
        <v>NORMAL</v>
      </c>
    </row>
    <row r="1294" spans="1:12" x14ac:dyDescent="0.25">
      <c r="A1294" s="3" t="s">
        <v>2144</v>
      </c>
      <c r="B1294" s="3" t="s">
        <v>2145</v>
      </c>
      <c r="C1294" s="1">
        <v>20</v>
      </c>
      <c r="D1294" s="1">
        <v>108.59</v>
      </c>
      <c r="E1294" s="1" t="s">
        <v>2002</v>
      </c>
      <c r="F1294" s="1" t="s">
        <v>3836</v>
      </c>
      <c r="G1294" s="3"/>
      <c r="H1294" s="11">
        <f>ROUND(
IF(L1292="GANCHO",
   IF(I1294&lt;=50,I1294*1.1+4,IF(I1294&lt;=120,I1294*1.1+7,IF(I1294&lt;=250,I1294*1.1+11,I1294*1.1+19))),
IF(L1292="NORMAL",
   IF(I1294&lt;=30,I1294*1.15+2,IF(I1294&lt;=80,I1294*1.15+4,IF(I1294&lt;=150,I1294*1.15+6,I1294*1.15+8))),
IF(L1292="COMPLEMENTO",
   IF(I1294&lt;=25,I1294*1.25+1.5,IF(I1294&lt;=60,I1294*1.25+3,IF(I1294&lt;=120,I1294*1.25+4,I1294*1.25+5))),
""))),2)</f>
        <v>520.79999999999995</v>
      </c>
      <c r="I1294" s="9">
        <f>($K$2+0.02)*Tabla1[[#This Row],[PRECIO $]]*1.18</f>
        <v>445.91397599999999</v>
      </c>
      <c r="J1294" s="7">
        <f>+Tabla1[[#This Row],[PRECIO EN SOLES]]-Tabla1[[#This Row],[PC]]</f>
        <v>74.886023999999964</v>
      </c>
      <c r="K1294" s="15"/>
      <c r="L1294" s="15" t="str">
        <f>IF(
OR(
ISNUMBER(SEARCH("BACKPACK",B1296)),
ISNUMBER(SEARCH("MOCHILA",B1296)),
ISNUMBER(SEARCH("FUNDA",B1296)),
ISNUMBER(SEARCH("ESTUCHE",B1296)),
ISNUMBER(SEARCH("BOOK COVER",B1296)),
ISNUMBER(SEARCH("KEYBOARD PARA TABLET",B1296)),
ISNUMBER(SEARCH("FLIP TABLET",B1296)),
ISNUMBER(SEARCH("CASE FOR TABLET",B1296)),
ISNUMBER(SEARCH("CABLE",B1296)),
ISNUMBER(SEARCH("ADAPTADOR",B1296)),
ISNUMBER(SEARCH("HUB",B1296)),
ISNUMBER(SEARCH("DOCK",B1296)),
ISNUMBER(SEARCH("MOUSE PAD",B1296)),
ISNUMBER(SEARCH("MOUSEPAD",B1296)),
ISNUMBER(SEARCH("SOPORTE",B1296)),
ISNUMBER(SEARCH("STAND",B1296)),
ISNUMBER(SEARCH("TRAVEL ADAPTER",B1296)),
ISNUMBER(SEARCH("RJ45",B1296)),
ISNUMBER(SEARCH("USB-C",B1296)),
ISNUMBER(SEARCH("USB WIFI",B1296)),
ISNUMBER(SEARCH("POWERBANK",B1296)),
ISNUMBER(SEARCH("CARGADOR",B1296)),
ISNUMBER(SEARCH("COOLER PARA NB",B1296)),
ISNUMBER(SEARCH("SOPORTE PARA NB",B1296)),
ISNUMBER(SEARCH("WEBCAM",B1296)),
ISNUMBER(SEARCH("WEB CAM",B1296)),
ISNUMBER(SEARCH("MOUSE",B1296)),
ISNUMBER(SEARCH("TECLADO",B1296))
),
"COMPLEMENTO",
IF(
OR(
LEFT(A1296,2)="NB",
LEFT(A1296,2)="PC",
LEFT(A1296,2)="WS",
LEFT(A1296,2)="TB",
LEFT(A1296,3)="CEL",
LEFT(A1296,3)="MON",
LEFT(A1296,3)="PRE",
LEFT(A1296,3)="PRH",
ISNUMBER(SEARCH("NOTEBOOK",B1296)),
ISNUMBER(SEARCH("LAPTOP",B1296)),
ISNUMBER(SEARCH("MONITOR",B1296)),
ISNUMBER(SEARCH("TABLET",B1296)),
ISNUMBER(SEARCH("SMARTPH",B1296)),
ISNUMBER(SEARCH("IMPRESORA",B1296)),
ISNUMBER(SEARCH("MULTIFUNCIONAL",B1296)),
ISNUMBER(SEARCH("AIO",B1296))
),
"GANCHO",
"NORMAL"
)
)</f>
        <v>NORMAL</v>
      </c>
    </row>
    <row r="1295" spans="1:12" x14ac:dyDescent="0.25">
      <c r="A1295" s="3" t="s">
        <v>2983</v>
      </c>
      <c r="B1295" s="3" t="s">
        <v>2984</v>
      </c>
      <c r="C1295" s="1">
        <v>4</v>
      </c>
      <c r="D1295" s="1">
        <v>192.19</v>
      </c>
      <c r="E1295" s="1" t="s">
        <v>2002</v>
      </c>
      <c r="F1295" s="1" t="s">
        <v>3837</v>
      </c>
      <c r="G1295" s="3" t="s">
        <v>2985</v>
      </c>
      <c r="H1295" s="11">
        <f>ROUND(
IF(L1293="GANCHO",
   IF(I1295&lt;=50,I1295*1.1+4,IF(I1295&lt;=120,I1295*1.1+7,IF(I1295&lt;=250,I1295*1.1+11,I1295*1.1+19))),
IF(L1293="NORMAL",
   IF(I1295&lt;=30,I1295*1.15+2,IF(I1295&lt;=80,I1295*1.15+4,IF(I1295&lt;=150,I1295*1.15+6,I1295*1.15+8))),
IF(L1293="COMPLEMENTO",
   IF(I1295&lt;=25,I1295*1.25+1.5,IF(I1295&lt;=60,I1295*1.25+3,IF(I1295&lt;=120,I1295*1.25+4,I1295*1.25+5))),
""))),2)</f>
        <v>915.59</v>
      </c>
      <c r="I1295" s="9">
        <f>($K$2+0.02)*Tabla1[[#This Row],[PRECIO $]]*1.18</f>
        <v>789.20901599999991</v>
      </c>
      <c r="J1295" s="7">
        <f>+Tabla1[[#This Row],[PRECIO EN SOLES]]-Tabla1[[#This Row],[PC]]</f>
        <v>126.38098400000013</v>
      </c>
      <c r="K1295" s="15"/>
      <c r="L1295" s="15" t="str">
        <f>IF(
OR(
ISNUMBER(SEARCH("BACKPACK",B1297)),
ISNUMBER(SEARCH("MOCHILA",B1297)),
ISNUMBER(SEARCH("FUNDA",B1297)),
ISNUMBER(SEARCH("ESTUCHE",B1297)),
ISNUMBER(SEARCH("BOOK COVER",B1297)),
ISNUMBER(SEARCH("KEYBOARD PARA TABLET",B1297)),
ISNUMBER(SEARCH("FLIP TABLET",B1297)),
ISNUMBER(SEARCH("CASE FOR TABLET",B1297)),
ISNUMBER(SEARCH("CABLE",B1297)),
ISNUMBER(SEARCH("ADAPTADOR",B1297)),
ISNUMBER(SEARCH("HUB",B1297)),
ISNUMBER(SEARCH("DOCK",B1297)),
ISNUMBER(SEARCH("MOUSE PAD",B1297)),
ISNUMBER(SEARCH("MOUSEPAD",B1297)),
ISNUMBER(SEARCH("SOPORTE",B1297)),
ISNUMBER(SEARCH("STAND",B1297)),
ISNUMBER(SEARCH("TRAVEL ADAPTER",B1297)),
ISNUMBER(SEARCH("RJ45",B1297)),
ISNUMBER(SEARCH("USB-C",B1297)),
ISNUMBER(SEARCH("USB WIFI",B1297)),
ISNUMBER(SEARCH("POWERBANK",B1297)),
ISNUMBER(SEARCH("CARGADOR",B1297)),
ISNUMBER(SEARCH("COOLER PARA NB",B1297)),
ISNUMBER(SEARCH("SOPORTE PARA NB",B1297)),
ISNUMBER(SEARCH("WEBCAM",B1297)),
ISNUMBER(SEARCH("WEB CAM",B1297)),
ISNUMBER(SEARCH("MOUSE",B1297)),
ISNUMBER(SEARCH("TECLADO",B1297))
),
"COMPLEMENTO",
IF(
OR(
LEFT(A1297,2)="NB",
LEFT(A1297,2)="PC",
LEFT(A1297,2)="WS",
LEFT(A1297,2)="TB",
LEFT(A1297,3)="CEL",
LEFT(A1297,3)="MON",
LEFT(A1297,3)="PRE",
LEFT(A1297,3)="PRH",
ISNUMBER(SEARCH("NOTEBOOK",B1297)),
ISNUMBER(SEARCH("LAPTOP",B1297)),
ISNUMBER(SEARCH("MONITOR",B1297)),
ISNUMBER(SEARCH("TABLET",B1297)),
ISNUMBER(SEARCH("SMARTPH",B1297)),
ISNUMBER(SEARCH("IMPRESORA",B1297)),
ISNUMBER(SEARCH("MULTIFUNCIONAL",B1297)),
ISNUMBER(SEARCH("AIO",B1297))
),
"GANCHO",
"NORMAL"
)
)</f>
        <v>NORMAL</v>
      </c>
    </row>
    <row r="1296" spans="1:12" x14ac:dyDescent="0.25">
      <c r="A1296" s="3" t="s">
        <v>4717</v>
      </c>
      <c r="B1296" s="3" t="s">
        <v>4718</v>
      </c>
      <c r="C1296" s="1">
        <v>5</v>
      </c>
      <c r="D1296" s="1">
        <v>532.46</v>
      </c>
      <c r="E1296" s="1" t="s">
        <v>424</v>
      </c>
      <c r="F1296" s="1" t="s">
        <v>4719</v>
      </c>
      <c r="G1296" s="3"/>
      <c r="H1296" s="11">
        <f>ROUND(
IF(L1294="GANCHO",
   IF(I1296&lt;=50,I1296*1.1+4,IF(I1296&lt;=120,I1296*1.1+7,IF(I1296&lt;=250,I1296*1.1+11,I1296*1.1+19))),
IF(L1294="NORMAL",
   IF(I1296&lt;=30,I1296*1.15+2,IF(I1296&lt;=80,I1296*1.15+4,IF(I1296&lt;=150,I1296*1.15+6,I1296*1.15+8))),
IF(L1294="COMPLEMENTO",
   IF(I1296&lt;=25,I1296*1.25+1.5,IF(I1296&lt;=60,I1296*1.25+3,IF(I1296&lt;=120,I1296*1.25+4,I1296*1.25+5))),
""))),2)</f>
        <v>2522.4699999999998</v>
      </c>
      <c r="I1296" s="9">
        <f>($K$2+0.02)*Tabla1[[#This Row],[PRECIO $]]*1.18</f>
        <v>2186.4937439999999</v>
      </c>
      <c r="J1296" s="7">
        <f>+Tabla1[[#This Row],[PRECIO EN SOLES]]-Tabla1[[#This Row],[PC]]</f>
        <v>335.97625599999992</v>
      </c>
      <c r="K1296" s="15"/>
      <c r="L1296" s="15" t="str">
        <f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7" spans="1:12" x14ac:dyDescent="0.25">
      <c r="A1297" s="3" t="s">
        <v>2146</v>
      </c>
      <c r="B1297" s="3" t="s">
        <v>2147</v>
      </c>
      <c r="C1297" s="1">
        <v>1</v>
      </c>
      <c r="D1297" s="1">
        <v>48.49</v>
      </c>
      <c r="E1297" s="1" t="s">
        <v>424</v>
      </c>
      <c r="F1297" s="1" t="s">
        <v>3838</v>
      </c>
      <c r="G1297" s="3" t="s">
        <v>2148</v>
      </c>
      <c r="H1297" s="11">
        <f>ROUND(
IF(L1295="GANCHO",
   IF(I1297&lt;=50,I1297*1.1+4,IF(I1297&lt;=120,I1297*1.1+7,IF(I1297&lt;=250,I1297*1.1+11,I1297*1.1+19))),
IF(L1295="NORMAL",
   IF(I1297&lt;=30,I1297*1.15+2,IF(I1297&lt;=80,I1297*1.15+4,IF(I1297&lt;=150,I1297*1.15+6,I1297*1.15+8))),
IF(L1295="COMPLEMENTO",
   IF(I1297&lt;=25,I1297*1.25+1.5,IF(I1297&lt;=60,I1297*1.25+3,IF(I1297&lt;=120,I1297*1.25+4,I1297*1.25+5))),
""))),2)</f>
        <v>236.99</v>
      </c>
      <c r="I1297" s="9">
        <f>($K$2+0.02)*Tabla1[[#This Row],[PRECIO $]]*1.18</f>
        <v>199.119336</v>
      </c>
      <c r="J1297" s="7">
        <f>+Tabla1[[#This Row],[PRECIO EN SOLES]]-Tabla1[[#This Row],[PC]]</f>
        <v>37.870664000000005</v>
      </c>
      <c r="K1297" s="15"/>
      <c r="L1297" s="15" t="str">
        <f>IF(
OR(
ISNUMBER(SEARCH("BACKPACK",B1299)),
ISNUMBER(SEARCH("MOCHILA",B1299)),
ISNUMBER(SEARCH("FUNDA",B1299)),
ISNUMBER(SEARCH("ESTUCHE",B1299)),
ISNUMBER(SEARCH("BOOK COVER",B1299)),
ISNUMBER(SEARCH("KEYBOARD PARA TABLET",B1299)),
ISNUMBER(SEARCH("FLIP TABLET",B1299)),
ISNUMBER(SEARCH("CASE FOR TABLET",B1299)),
ISNUMBER(SEARCH("CABLE",B1299)),
ISNUMBER(SEARCH("ADAPTADOR",B1299)),
ISNUMBER(SEARCH("HUB",B1299)),
ISNUMBER(SEARCH("DOCK",B1299)),
ISNUMBER(SEARCH("MOUSE PAD",B1299)),
ISNUMBER(SEARCH("MOUSEPAD",B1299)),
ISNUMBER(SEARCH("SOPORTE",B1299)),
ISNUMBER(SEARCH("STAND",B1299)),
ISNUMBER(SEARCH("TRAVEL ADAPTER",B1299)),
ISNUMBER(SEARCH("RJ45",B1299)),
ISNUMBER(SEARCH("USB-C",B1299)),
ISNUMBER(SEARCH("USB WIFI",B1299)),
ISNUMBER(SEARCH("POWERBANK",B1299)),
ISNUMBER(SEARCH("CARGADOR",B1299)),
ISNUMBER(SEARCH("COOLER PARA NB",B1299)),
ISNUMBER(SEARCH("SOPORTE PARA NB",B1299)),
ISNUMBER(SEARCH("WEBCAM",B1299)),
ISNUMBER(SEARCH("WEB CAM",B1299)),
ISNUMBER(SEARCH("MOUSE",B1299)),
ISNUMBER(SEARCH("TECLADO",B1299))
),
"COMPLEMENTO",
IF(
OR(
LEFT(A1299,2)="NB",
LEFT(A1299,2)="PC",
LEFT(A1299,2)="WS",
LEFT(A1299,2)="TB",
LEFT(A1299,3)="CEL",
LEFT(A1299,3)="MON",
LEFT(A1299,3)="PRE",
LEFT(A1299,3)="PRH",
ISNUMBER(SEARCH("NOTEBOOK",B1299)),
ISNUMBER(SEARCH("LAPTOP",B1299)),
ISNUMBER(SEARCH("MONITOR",B1299)),
ISNUMBER(SEARCH("TABLET",B1299)),
ISNUMBER(SEARCH("SMARTPH",B1299)),
ISNUMBER(SEARCH("IMPRESORA",B1299)),
ISNUMBER(SEARCH("MULTIFUNCIONAL",B1299)),
ISNUMBER(SEARCH("AIO",B1299))
),
"GANCHO",
"NORMAL"
)
)</f>
        <v>NORMAL</v>
      </c>
    </row>
    <row r="1298" spans="1:12" x14ac:dyDescent="0.25">
      <c r="A1298" s="3" t="s">
        <v>2149</v>
      </c>
      <c r="B1298" s="3" t="s">
        <v>2150</v>
      </c>
      <c r="C1298" s="1">
        <v>0</v>
      </c>
      <c r="D1298" s="1">
        <v>1960</v>
      </c>
      <c r="E1298" s="1" t="s">
        <v>2002</v>
      </c>
      <c r="F1298" s="1" t="s">
        <v>3839</v>
      </c>
      <c r="G1298" s="3"/>
      <c r="H1298" s="11">
        <f>ROUND(
IF(L1296="GANCHO",
   IF(I1298&lt;=50,I1298*1.1+4,IF(I1298&lt;=120,I1298*1.1+7,IF(I1298&lt;=250,I1298*1.1+11,I1298*1.1+19))),
IF(L1296="NORMAL",
   IF(I1298&lt;=30,I1298*1.15+2,IF(I1298&lt;=80,I1298*1.15+4,IF(I1298&lt;=150,I1298*1.15+6,I1298*1.15+8))),
IF(L1296="COMPLEMENTO",
   IF(I1298&lt;=25,I1298*1.25+1.5,IF(I1298&lt;=60,I1298*1.25+3,IF(I1298&lt;=120,I1298*1.25+4,I1298*1.25+5))),
""))),2)</f>
        <v>9263.83</v>
      </c>
      <c r="I1298" s="9">
        <f>($K$2+0.02)*Tabla1[[#This Row],[PRECIO $]]*1.18</f>
        <v>8048.5439999999999</v>
      </c>
      <c r="J1298" s="7">
        <f>+Tabla1[[#This Row],[PRECIO EN SOLES]]-Tabla1[[#This Row],[PC]]</f>
        <v>1215.2860000000001</v>
      </c>
      <c r="K1298" s="15"/>
      <c r="L1298" s="15" t="str">
        <f>IF(
OR(
ISNUMBER(SEARCH("BACKPACK",B1300)),
ISNUMBER(SEARCH("MOCHILA",B1300)),
ISNUMBER(SEARCH("FUNDA",B1300)),
ISNUMBER(SEARCH("ESTUCHE",B1300)),
ISNUMBER(SEARCH("BOOK COVER",B1300)),
ISNUMBER(SEARCH("KEYBOARD PARA TABLET",B1300)),
ISNUMBER(SEARCH("FLIP TABLET",B1300)),
ISNUMBER(SEARCH("CASE FOR TABLET",B1300)),
ISNUMBER(SEARCH("CABLE",B1300)),
ISNUMBER(SEARCH("ADAPTADOR",B1300)),
ISNUMBER(SEARCH("HUB",B1300)),
ISNUMBER(SEARCH("DOCK",B1300)),
ISNUMBER(SEARCH("MOUSE PAD",B1300)),
ISNUMBER(SEARCH("MOUSEPAD",B1300)),
ISNUMBER(SEARCH("SOPORTE",B1300)),
ISNUMBER(SEARCH("STAND",B1300)),
ISNUMBER(SEARCH("TRAVEL ADAPTER",B1300)),
ISNUMBER(SEARCH("RJ45",B1300)),
ISNUMBER(SEARCH("USB-C",B1300)),
ISNUMBER(SEARCH("USB WIFI",B1300)),
ISNUMBER(SEARCH("POWERBANK",B1300)),
ISNUMBER(SEARCH("CARGADOR",B1300)),
ISNUMBER(SEARCH("COOLER PARA NB",B1300)),
ISNUMBER(SEARCH("SOPORTE PARA NB",B1300)),
ISNUMBER(SEARCH("WEBCAM",B1300)),
ISNUMBER(SEARCH("WEB CAM",B1300)),
ISNUMBER(SEARCH("MOUSE",B1300)),
ISNUMBER(SEARCH("TECLADO",B1300))
),
"COMPLEMENTO",
IF(
OR(
LEFT(A1300,2)="NB",
LEFT(A1300,2)="PC",
LEFT(A1300,2)="WS",
LEFT(A1300,2)="TB",
LEFT(A1300,3)="CEL",
LEFT(A1300,3)="MON",
LEFT(A1300,3)="PRE",
LEFT(A1300,3)="PRH",
ISNUMBER(SEARCH("NOTEBOOK",B1300)),
ISNUMBER(SEARCH("LAPTOP",B1300)),
ISNUMBER(SEARCH("MONITOR",B1300)),
ISNUMBER(SEARCH("TABLET",B1300)),
ISNUMBER(SEARCH("SMARTPH",B1300)),
ISNUMBER(SEARCH("IMPRESORA",B1300)),
ISNUMBER(SEARCH("MULTIFUNCIONAL",B1300)),
ISNUMBER(SEARCH("AIO",B1300))
),
"GANCHO",
"NORMAL"
)
)</f>
        <v>NORMAL</v>
      </c>
    </row>
    <row r="1299" spans="1:12" x14ac:dyDescent="0.25">
      <c r="A1299" s="3" t="s">
        <v>2151</v>
      </c>
      <c r="B1299" s="3" t="s">
        <v>2152</v>
      </c>
      <c r="C1299" s="1">
        <v>1</v>
      </c>
      <c r="D1299" s="1">
        <v>1548.68</v>
      </c>
      <c r="E1299" s="1" t="s">
        <v>2002</v>
      </c>
      <c r="F1299" s="1" t="s">
        <v>3840</v>
      </c>
      <c r="G1299" s="3"/>
      <c r="H1299" s="11">
        <f>ROUND(
IF(L1297="GANCHO",
   IF(I1299&lt;=50,I1299*1.1+4,IF(I1299&lt;=120,I1299*1.1+7,IF(I1299&lt;=250,I1299*1.1+11,I1299*1.1+19))),
IF(L1297="NORMAL",
   IF(I1299&lt;=30,I1299*1.15+2,IF(I1299&lt;=80,I1299*1.15+4,IF(I1299&lt;=150,I1299*1.15+6,I1299*1.15+8))),
IF(L1297="COMPLEMENTO",
   IF(I1299&lt;=25,I1299*1.25+1.5,IF(I1299&lt;=60,I1299*1.25+3,IF(I1299&lt;=120,I1299*1.25+4,I1299*1.25+5))),
""))),2)</f>
        <v>7321.42</v>
      </c>
      <c r="I1299" s="9">
        <f>($K$2+0.02)*Tabla1[[#This Row],[PRECIO $]]*1.18</f>
        <v>6359.4995519999993</v>
      </c>
      <c r="J1299" s="7">
        <f>+Tabla1[[#This Row],[PRECIO EN SOLES]]-Tabla1[[#This Row],[PC]]</f>
        <v>961.92044800000076</v>
      </c>
      <c r="K1299" s="15"/>
      <c r="L1299" s="15" t="str">
        <f>IF(
OR(
ISNUMBER(SEARCH("BACKPACK",B1301)),
ISNUMBER(SEARCH("MOCHILA",B1301)),
ISNUMBER(SEARCH("FUNDA",B1301)),
ISNUMBER(SEARCH("ESTUCHE",B1301)),
ISNUMBER(SEARCH("BOOK COVER",B1301)),
ISNUMBER(SEARCH("KEYBOARD PARA TABLET",B1301)),
ISNUMBER(SEARCH("FLIP TABLET",B1301)),
ISNUMBER(SEARCH("CASE FOR TABLET",B1301)),
ISNUMBER(SEARCH("CABLE",B1301)),
ISNUMBER(SEARCH("ADAPTADOR",B1301)),
ISNUMBER(SEARCH("HUB",B1301)),
ISNUMBER(SEARCH("DOCK",B1301)),
ISNUMBER(SEARCH("MOUSE PAD",B1301)),
ISNUMBER(SEARCH("MOUSEPAD",B1301)),
ISNUMBER(SEARCH("SOPORTE",B1301)),
ISNUMBER(SEARCH("STAND",B1301)),
ISNUMBER(SEARCH("TRAVEL ADAPTER",B1301)),
ISNUMBER(SEARCH("RJ45",B1301)),
ISNUMBER(SEARCH("USB-C",B1301)),
ISNUMBER(SEARCH("USB WIFI",B1301)),
ISNUMBER(SEARCH("POWERBANK",B1301)),
ISNUMBER(SEARCH("CARGADOR",B1301)),
ISNUMBER(SEARCH("COOLER PARA NB",B1301)),
ISNUMBER(SEARCH("SOPORTE PARA NB",B1301)),
ISNUMBER(SEARCH("WEBCAM",B1301)),
ISNUMBER(SEARCH("WEB CAM",B1301)),
ISNUMBER(SEARCH("MOUSE",B1301)),
ISNUMBER(SEARCH("TECLADO",B1301))
),
"COMPLEMENTO",
IF(
OR(
LEFT(A1301,2)="NB",
LEFT(A1301,2)="PC",
LEFT(A1301,2)="WS",
LEFT(A1301,2)="TB",
LEFT(A1301,3)="CEL",
LEFT(A1301,3)="MON",
LEFT(A1301,3)="PRE",
LEFT(A1301,3)="PRH",
ISNUMBER(SEARCH("NOTEBOOK",B1301)),
ISNUMBER(SEARCH("LAPTOP",B1301)),
ISNUMBER(SEARCH("MONITOR",B1301)),
ISNUMBER(SEARCH("TABLET",B1301)),
ISNUMBER(SEARCH("SMARTPH",B1301)),
ISNUMBER(SEARCH("IMPRESORA",B1301)),
ISNUMBER(SEARCH("MULTIFUNCIONAL",B1301)),
ISNUMBER(SEARCH("AIO",B1301))
),
"GANCHO",
"NORMAL"
)
)</f>
        <v>NORMAL</v>
      </c>
    </row>
    <row r="1300" spans="1:12" x14ac:dyDescent="0.25">
      <c r="A1300" s="3" t="s">
        <v>2153</v>
      </c>
      <c r="B1300" s="3" t="s">
        <v>2154</v>
      </c>
      <c r="C1300" s="1">
        <v>0</v>
      </c>
      <c r="D1300" s="1">
        <v>1382.24</v>
      </c>
      <c r="E1300" s="1" t="s">
        <v>2002</v>
      </c>
      <c r="F1300" s="1" t="s">
        <v>3841</v>
      </c>
      <c r="G1300" s="3"/>
      <c r="H1300" s="11">
        <f>ROUND(
IF(L1298="GANCHO",
   IF(I1300&lt;=50,I1300*1.1+4,IF(I1300&lt;=120,I1300*1.1+7,IF(I1300&lt;=250,I1300*1.1+11,I1300*1.1+19))),
IF(L1298="NORMAL",
   IF(I1300&lt;=30,I1300*1.15+2,IF(I1300&lt;=80,I1300*1.15+4,IF(I1300&lt;=150,I1300*1.15+6,I1300*1.15+8))),
IF(L1298="COMPLEMENTO",
   IF(I1300&lt;=25,I1300*1.25+1.5,IF(I1300&lt;=60,I1300*1.25+3,IF(I1300&lt;=120,I1300*1.25+4,I1300*1.25+5))),
""))),2)</f>
        <v>6535.43</v>
      </c>
      <c r="I1300" s="9">
        <f>($K$2+0.02)*Tabla1[[#This Row],[PRECIO $]]*1.18</f>
        <v>5676.0303359999998</v>
      </c>
      <c r="J1300" s="7">
        <f>+Tabla1[[#This Row],[PRECIO EN SOLES]]-Tabla1[[#This Row],[PC]]</f>
        <v>859.39966400000048</v>
      </c>
      <c r="K1300" s="15"/>
      <c r="L1300" s="15" t="str">
        <f>IF(
OR(
ISNUMBER(SEARCH("BACKPACK",B1302)),
ISNUMBER(SEARCH("MOCHILA",B1302)),
ISNUMBER(SEARCH("FUNDA",B1302)),
ISNUMBER(SEARCH("ESTUCHE",B1302)),
ISNUMBER(SEARCH("BOOK COVER",B1302)),
ISNUMBER(SEARCH("KEYBOARD PARA TABLET",B1302)),
ISNUMBER(SEARCH("FLIP TABLET",B1302)),
ISNUMBER(SEARCH("CASE FOR TABLET",B1302)),
ISNUMBER(SEARCH("CABLE",B1302)),
ISNUMBER(SEARCH("ADAPTADOR",B1302)),
ISNUMBER(SEARCH("HUB",B1302)),
ISNUMBER(SEARCH("DOCK",B1302)),
ISNUMBER(SEARCH("MOUSE PAD",B1302)),
ISNUMBER(SEARCH("MOUSEPAD",B1302)),
ISNUMBER(SEARCH("SOPORTE",B1302)),
ISNUMBER(SEARCH("STAND",B1302)),
ISNUMBER(SEARCH("TRAVEL ADAPTER",B1302)),
ISNUMBER(SEARCH("RJ45",B1302)),
ISNUMBER(SEARCH("USB-C",B1302)),
ISNUMBER(SEARCH("USB WIFI",B1302)),
ISNUMBER(SEARCH("POWERBANK",B1302)),
ISNUMBER(SEARCH("CARGADOR",B1302)),
ISNUMBER(SEARCH("COOLER PARA NB",B1302)),
ISNUMBER(SEARCH("SOPORTE PARA NB",B1302)),
ISNUMBER(SEARCH("WEBCAM",B1302)),
ISNUMBER(SEARCH("WEB CAM",B1302)),
ISNUMBER(SEARCH("MOUSE",B1302)),
ISNUMBER(SEARCH("TECLADO",B1302))
),
"COMPLEMENTO",
IF(
OR(
LEFT(A1302,2)="NB",
LEFT(A1302,2)="PC",
LEFT(A1302,2)="WS",
LEFT(A1302,2)="TB",
LEFT(A1302,3)="CEL",
LEFT(A1302,3)="MON",
LEFT(A1302,3)="PRE",
LEFT(A1302,3)="PRH",
ISNUMBER(SEARCH("NOTEBOOK",B1302)),
ISNUMBER(SEARCH("LAPTOP",B1302)),
ISNUMBER(SEARCH("MONITOR",B1302)),
ISNUMBER(SEARCH("TABLET",B1302)),
ISNUMBER(SEARCH("SMARTPH",B1302)),
ISNUMBER(SEARCH("IMPRESORA",B1302)),
ISNUMBER(SEARCH("MULTIFUNCIONAL",B1302)),
ISNUMBER(SEARCH("AIO",B1302))
),
"GANCHO",
"NORMAL"
)
)</f>
        <v>NORMAL</v>
      </c>
    </row>
    <row r="1301" spans="1:12" x14ac:dyDescent="0.25">
      <c r="A1301" s="3" t="s">
        <v>2155</v>
      </c>
      <c r="B1301" s="3" t="s">
        <v>2156</v>
      </c>
      <c r="C1301" s="1">
        <v>1</v>
      </c>
      <c r="D1301" s="1">
        <v>1086.1199999999999</v>
      </c>
      <c r="E1301" s="1" t="s">
        <v>2002</v>
      </c>
      <c r="F1301" s="1" t="s">
        <v>3842</v>
      </c>
      <c r="G1301" s="3" t="s">
        <v>2157</v>
      </c>
      <c r="H1301" s="11">
        <f>ROUND(
IF(L1299="GANCHO",
   IF(I1301&lt;=50,I1301*1.1+4,IF(I1301&lt;=120,I1301*1.1+7,IF(I1301&lt;=250,I1301*1.1+11,I1301*1.1+19))),
IF(L1299="NORMAL",
   IF(I1301&lt;=30,I1301*1.15+2,IF(I1301&lt;=80,I1301*1.15+4,IF(I1301&lt;=150,I1301*1.15+6,I1301*1.15+8))),
IF(L1299="COMPLEMENTO",
   IF(I1301&lt;=25,I1301*1.25+1.5,IF(I1301&lt;=60,I1301*1.25+3,IF(I1301&lt;=120,I1301*1.25+4,I1301*1.25+5))),
""))),2)</f>
        <v>5137.05</v>
      </c>
      <c r="I1301" s="9">
        <f>($K$2+0.02)*Tabla1[[#This Row],[PRECIO $]]*1.18</f>
        <v>4460.0431679999992</v>
      </c>
      <c r="J1301" s="7">
        <f>+Tabla1[[#This Row],[PRECIO EN SOLES]]-Tabla1[[#This Row],[PC]]</f>
        <v>677.00683200000094</v>
      </c>
      <c r="K1301" s="15"/>
      <c r="L1301" s="15" t="str">
        <f>IF(
OR(
ISNUMBER(SEARCH("BACKPACK",B1303)),
ISNUMBER(SEARCH("MOCHILA",B1303)),
ISNUMBER(SEARCH("FUNDA",B1303)),
ISNUMBER(SEARCH("ESTUCHE",B1303)),
ISNUMBER(SEARCH("BOOK COVER",B1303)),
ISNUMBER(SEARCH("KEYBOARD PARA TABLET",B1303)),
ISNUMBER(SEARCH("FLIP TABLET",B1303)),
ISNUMBER(SEARCH("CASE FOR TABLET",B1303)),
ISNUMBER(SEARCH("CABLE",B1303)),
ISNUMBER(SEARCH("ADAPTADOR",B1303)),
ISNUMBER(SEARCH("HUB",B1303)),
ISNUMBER(SEARCH("DOCK",B1303)),
ISNUMBER(SEARCH("MOUSE PAD",B1303)),
ISNUMBER(SEARCH("MOUSEPAD",B1303)),
ISNUMBER(SEARCH("SOPORTE",B1303)),
ISNUMBER(SEARCH("STAND",B1303)),
ISNUMBER(SEARCH("TRAVEL ADAPTER",B1303)),
ISNUMBER(SEARCH("RJ45",B1303)),
ISNUMBER(SEARCH("USB-C",B1303)),
ISNUMBER(SEARCH("USB WIFI",B1303)),
ISNUMBER(SEARCH("POWERBANK",B1303)),
ISNUMBER(SEARCH("CARGADOR",B1303)),
ISNUMBER(SEARCH("COOLER PARA NB",B1303)),
ISNUMBER(SEARCH("SOPORTE PARA NB",B1303)),
ISNUMBER(SEARCH("WEBCAM",B1303)),
ISNUMBER(SEARCH("WEB CAM",B1303)),
ISNUMBER(SEARCH("MOUSE",B1303)),
ISNUMBER(SEARCH("TECLADO",B1303))
),
"COMPLEMENTO",
IF(
OR(
LEFT(A1303,2)="NB",
LEFT(A1303,2)="PC",
LEFT(A1303,2)="WS",
LEFT(A1303,2)="TB",
LEFT(A1303,3)="CEL",
LEFT(A1303,3)="MON",
LEFT(A1303,3)="PRE",
LEFT(A1303,3)="PRH",
ISNUMBER(SEARCH("NOTEBOOK",B1303)),
ISNUMBER(SEARCH("LAPTOP",B1303)),
ISNUMBER(SEARCH("MONITOR",B1303)),
ISNUMBER(SEARCH("TABLET",B1303)),
ISNUMBER(SEARCH("SMARTPH",B1303)),
ISNUMBER(SEARCH("IMPRESORA",B1303)),
ISNUMBER(SEARCH("MULTIFUNCIONAL",B1303)),
ISNUMBER(SEARCH("AIO",B1303))
),
"GANCHO",
"NORMAL"
)
)</f>
        <v>NORMAL</v>
      </c>
    </row>
    <row r="1302" spans="1:12" x14ac:dyDescent="0.25">
      <c r="A1302" s="3" t="s">
        <v>2158</v>
      </c>
      <c r="B1302" s="3" t="s">
        <v>2159</v>
      </c>
      <c r="C1302" s="1">
        <v>16</v>
      </c>
      <c r="D1302" s="1">
        <v>1361.69</v>
      </c>
      <c r="E1302" s="1" t="s">
        <v>2002</v>
      </c>
      <c r="F1302" s="1" t="s">
        <v>3843</v>
      </c>
      <c r="G1302" s="3"/>
      <c r="H1302" s="11">
        <f>ROUND(
IF(L1300="GANCHO",
   IF(I1302&lt;=50,I1302*1.1+4,IF(I1302&lt;=120,I1302*1.1+7,IF(I1302&lt;=250,I1302*1.1+11,I1302*1.1+19))),
IF(L1300="NORMAL",
   IF(I1302&lt;=30,I1302*1.15+2,IF(I1302&lt;=80,I1302*1.15+4,IF(I1302&lt;=150,I1302*1.15+6,I1302*1.15+8))),
IF(L1300="COMPLEMENTO",
   IF(I1302&lt;=25,I1302*1.25+1.5,IF(I1302&lt;=60,I1302*1.25+3,IF(I1302&lt;=120,I1302*1.25+4,I1302*1.25+5))),
""))),2)</f>
        <v>6438.39</v>
      </c>
      <c r="I1302" s="9">
        <f>($K$2+0.02)*Tabla1[[#This Row],[PRECIO $]]*1.18</f>
        <v>5591.6438159999998</v>
      </c>
      <c r="J1302" s="7">
        <f>+Tabla1[[#This Row],[PRECIO EN SOLES]]-Tabla1[[#This Row],[PC]]</f>
        <v>846.74618400000054</v>
      </c>
      <c r="K1302" s="15"/>
      <c r="L1302" s="15" t="str">
        <f>IF(
OR(
ISNUMBER(SEARCH("BACKPACK",B1304)),
ISNUMBER(SEARCH("MOCHILA",B1304)),
ISNUMBER(SEARCH("FUNDA",B1304)),
ISNUMBER(SEARCH("ESTUCHE",B1304)),
ISNUMBER(SEARCH("BOOK COVER",B1304)),
ISNUMBER(SEARCH("KEYBOARD PARA TABLET",B1304)),
ISNUMBER(SEARCH("FLIP TABLET",B1304)),
ISNUMBER(SEARCH("CASE FOR TABLET",B1304)),
ISNUMBER(SEARCH("CABLE",B1304)),
ISNUMBER(SEARCH("ADAPTADOR",B1304)),
ISNUMBER(SEARCH("HUB",B1304)),
ISNUMBER(SEARCH("DOCK",B1304)),
ISNUMBER(SEARCH("MOUSE PAD",B1304)),
ISNUMBER(SEARCH("MOUSEPAD",B1304)),
ISNUMBER(SEARCH("SOPORTE",B1304)),
ISNUMBER(SEARCH("STAND",B1304)),
ISNUMBER(SEARCH("TRAVEL ADAPTER",B1304)),
ISNUMBER(SEARCH("RJ45",B1304)),
ISNUMBER(SEARCH("USB-C",B1304)),
ISNUMBER(SEARCH("USB WIFI",B1304)),
ISNUMBER(SEARCH("POWERBANK",B1304)),
ISNUMBER(SEARCH("CARGADOR",B1304)),
ISNUMBER(SEARCH("COOLER PARA NB",B1304)),
ISNUMBER(SEARCH("SOPORTE PARA NB",B1304)),
ISNUMBER(SEARCH("WEBCAM",B1304)),
ISNUMBER(SEARCH("WEB CAM",B1304)),
ISNUMBER(SEARCH("MOUSE",B1304)),
ISNUMBER(SEARCH("TECLADO",B1304))
),
"COMPLEMENTO",
IF(
OR(
LEFT(A1304,2)="NB",
LEFT(A1304,2)="PC",
LEFT(A1304,2)="WS",
LEFT(A1304,2)="TB",
LEFT(A1304,3)="CEL",
LEFT(A1304,3)="MON",
LEFT(A1304,3)="PRE",
LEFT(A1304,3)="PRH",
ISNUMBER(SEARCH("NOTEBOOK",B1304)),
ISNUMBER(SEARCH("LAPTOP",B1304)),
ISNUMBER(SEARCH("MONITOR",B1304)),
ISNUMBER(SEARCH("TABLET",B1304)),
ISNUMBER(SEARCH("SMARTPH",B1304)),
ISNUMBER(SEARCH("IMPRESORA",B1304)),
ISNUMBER(SEARCH("MULTIFUNCIONAL",B1304)),
ISNUMBER(SEARCH("AIO",B1304))
),
"GANCHO",
"NORMAL"
)
)</f>
        <v>NORMAL</v>
      </c>
    </row>
    <row r="1303" spans="1:12" x14ac:dyDescent="0.25">
      <c r="A1303" s="3" t="s">
        <v>2160</v>
      </c>
      <c r="B1303" s="3" t="s">
        <v>2161</v>
      </c>
      <c r="C1303" s="1">
        <v>8</v>
      </c>
      <c r="D1303" s="1">
        <v>810</v>
      </c>
      <c r="E1303" s="1" t="s">
        <v>2002</v>
      </c>
      <c r="F1303" s="1" t="s">
        <v>3844</v>
      </c>
      <c r="G1303" s="3"/>
      <c r="H1303" s="11">
        <f>ROUND(
IF(L1301="GANCHO",
   IF(I1303&lt;=50,I1303*1.1+4,IF(I1303&lt;=120,I1303*1.1+7,IF(I1303&lt;=250,I1303*1.1+11,I1303*1.1+19))),
IF(L1301="NORMAL",
   IF(I1303&lt;=30,I1303*1.15+2,IF(I1303&lt;=80,I1303*1.15+4,IF(I1303&lt;=150,I1303*1.15+6,I1303*1.15+8))),
IF(L1301="COMPLEMENTO",
   IF(I1303&lt;=25,I1303*1.25+1.5,IF(I1303&lt;=60,I1303*1.25+3,IF(I1303&lt;=120,I1303*1.25+4,I1303*1.25+5))),
""))),2)</f>
        <v>3833.11</v>
      </c>
      <c r="I1303" s="9">
        <f>($K$2+0.02)*Tabla1[[#This Row],[PRECIO $]]*1.18</f>
        <v>3326.1840000000002</v>
      </c>
      <c r="J1303" s="7">
        <f>+Tabla1[[#This Row],[PRECIO EN SOLES]]-Tabla1[[#This Row],[PC]]</f>
        <v>506.92599999999993</v>
      </c>
      <c r="K1303" s="15"/>
      <c r="L1303" s="15" t="str">
        <f>IF(
OR(
ISNUMBER(SEARCH("BACKPACK",B1305)),
ISNUMBER(SEARCH("MOCHILA",B1305)),
ISNUMBER(SEARCH("FUNDA",B1305)),
ISNUMBER(SEARCH("ESTUCHE",B1305)),
ISNUMBER(SEARCH("BOOK COVER",B1305)),
ISNUMBER(SEARCH("KEYBOARD PARA TABLET",B1305)),
ISNUMBER(SEARCH("FLIP TABLET",B1305)),
ISNUMBER(SEARCH("CASE FOR TABLET",B1305)),
ISNUMBER(SEARCH("CABLE",B1305)),
ISNUMBER(SEARCH("ADAPTADOR",B1305)),
ISNUMBER(SEARCH("HUB",B1305)),
ISNUMBER(SEARCH("DOCK",B1305)),
ISNUMBER(SEARCH("MOUSE PAD",B1305)),
ISNUMBER(SEARCH("MOUSEPAD",B1305)),
ISNUMBER(SEARCH("SOPORTE",B1305)),
ISNUMBER(SEARCH("STAND",B1305)),
ISNUMBER(SEARCH("TRAVEL ADAPTER",B1305)),
ISNUMBER(SEARCH("RJ45",B1305)),
ISNUMBER(SEARCH("USB-C",B1305)),
ISNUMBER(SEARCH("USB WIFI",B1305)),
ISNUMBER(SEARCH("POWERBANK",B1305)),
ISNUMBER(SEARCH("CARGADOR",B1305)),
ISNUMBER(SEARCH("COOLER PARA NB",B1305)),
ISNUMBER(SEARCH("SOPORTE PARA NB",B1305)),
ISNUMBER(SEARCH("WEBCAM",B1305)),
ISNUMBER(SEARCH("WEB CAM",B1305)),
ISNUMBER(SEARCH("MOUSE",B1305)),
ISNUMBER(SEARCH("TECLADO",B1305))
),
"COMPLEMENTO",
IF(
OR(
LEFT(A1305,2)="NB",
LEFT(A1305,2)="PC",
LEFT(A1305,2)="WS",
LEFT(A1305,2)="TB",
LEFT(A1305,3)="CEL",
LEFT(A1305,3)="MON",
LEFT(A1305,3)="PRE",
LEFT(A1305,3)="PRH",
ISNUMBER(SEARCH("NOTEBOOK",B1305)),
ISNUMBER(SEARCH("LAPTOP",B1305)),
ISNUMBER(SEARCH("MONITOR",B1305)),
ISNUMBER(SEARCH("TABLET",B1305)),
ISNUMBER(SEARCH("SMARTPH",B1305)),
ISNUMBER(SEARCH("IMPRESORA",B1305)),
ISNUMBER(SEARCH("MULTIFUNCIONAL",B1305)),
ISNUMBER(SEARCH("AIO",B1305))
),
"GANCHO",
"NORMAL"
)
)</f>
        <v>NORMAL</v>
      </c>
    </row>
    <row r="1304" spans="1:12" x14ac:dyDescent="0.25">
      <c r="A1304" s="3" t="s">
        <v>2162</v>
      </c>
      <c r="B1304" s="3" t="s">
        <v>2163</v>
      </c>
      <c r="C1304" s="1">
        <v>2</v>
      </c>
      <c r="D1304" s="1">
        <v>970</v>
      </c>
      <c r="E1304" s="1" t="s">
        <v>2002</v>
      </c>
      <c r="F1304" s="1" t="s">
        <v>3845</v>
      </c>
      <c r="G1304" s="3" t="s">
        <v>2164</v>
      </c>
      <c r="H1304" s="11">
        <f>ROUND(
IF(L1302="GANCHO",
   IF(I1304&lt;=50,I1304*1.1+4,IF(I1304&lt;=120,I1304*1.1+7,IF(I1304&lt;=250,I1304*1.1+11,I1304*1.1+19))),
IF(L1302="NORMAL",
   IF(I1304&lt;=30,I1304*1.15+2,IF(I1304&lt;=80,I1304*1.15+4,IF(I1304&lt;=150,I1304*1.15+6,I1304*1.15+8))),
IF(L1302="COMPLEMENTO",
   IF(I1304&lt;=25,I1304*1.25+1.5,IF(I1304&lt;=60,I1304*1.25+3,IF(I1304&lt;=120,I1304*1.25+4,I1304*1.25+5))),
""))),2)</f>
        <v>4588.6899999999996</v>
      </c>
      <c r="I1304" s="9">
        <f>($K$2+0.02)*Tabla1[[#This Row],[PRECIO $]]*1.18</f>
        <v>3983.2079999999996</v>
      </c>
      <c r="J1304" s="7">
        <f>+Tabla1[[#This Row],[PRECIO EN SOLES]]-Tabla1[[#This Row],[PC]]</f>
        <v>605.48199999999997</v>
      </c>
      <c r="K1304" s="15"/>
      <c r="L1304" s="15" t="str">
        <f>IF(
OR(
ISNUMBER(SEARCH("BACKPACK",B1306)),
ISNUMBER(SEARCH("MOCHILA",B1306)),
ISNUMBER(SEARCH("FUNDA",B1306)),
ISNUMBER(SEARCH("ESTUCHE",B1306)),
ISNUMBER(SEARCH("BOOK COVER",B1306)),
ISNUMBER(SEARCH("KEYBOARD PARA TABLET",B1306)),
ISNUMBER(SEARCH("FLIP TABLET",B1306)),
ISNUMBER(SEARCH("CASE FOR TABLET",B1306)),
ISNUMBER(SEARCH("CABLE",B1306)),
ISNUMBER(SEARCH("ADAPTADOR",B1306)),
ISNUMBER(SEARCH("HUB",B1306)),
ISNUMBER(SEARCH("DOCK",B1306)),
ISNUMBER(SEARCH("MOUSE PAD",B1306)),
ISNUMBER(SEARCH("MOUSEPAD",B1306)),
ISNUMBER(SEARCH("SOPORTE",B1306)),
ISNUMBER(SEARCH("STAND",B1306)),
ISNUMBER(SEARCH("TRAVEL ADAPTER",B1306)),
ISNUMBER(SEARCH("RJ45",B1306)),
ISNUMBER(SEARCH("USB-C",B1306)),
ISNUMBER(SEARCH("USB WIFI",B1306)),
ISNUMBER(SEARCH("POWERBANK",B1306)),
ISNUMBER(SEARCH("CARGADOR",B1306)),
ISNUMBER(SEARCH("COOLER PARA NB",B1306)),
ISNUMBER(SEARCH("SOPORTE PARA NB",B1306)),
ISNUMBER(SEARCH("WEBCAM",B1306)),
ISNUMBER(SEARCH("WEB CAM",B1306)),
ISNUMBER(SEARCH("MOUSE",B1306)),
ISNUMBER(SEARCH("TECLADO",B1306))
),
"COMPLEMENTO",
IF(
OR(
LEFT(A1306,2)="NB",
LEFT(A1306,2)="PC",
LEFT(A1306,2)="WS",
LEFT(A1306,2)="TB",
LEFT(A1306,3)="CEL",
LEFT(A1306,3)="MON",
LEFT(A1306,3)="PRE",
LEFT(A1306,3)="PRH",
ISNUMBER(SEARCH("NOTEBOOK",B1306)),
ISNUMBER(SEARCH("LAPTOP",B1306)),
ISNUMBER(SEARCH("MONITOR",B1306)),
ISNUMBER(SEARCH("TABLET",B1306)),
ISNUMBER(SEARCH("SMARTPH",B1306)),
ISNUMBER(SEARCH("IMPRESORA",B1306)),
ISNUMBER(SEARCH("MULTIFUNCIONAL",B1306)),
ISNUMBER(SEARCH("AIO",B1306))
),
"GANCHO",
"NORMAL"
)
)</f>
        <v>NORMAL</v>
      </c>
    </row>
    <row r="1305" spans="1:12" x14ac:dyDescent="0.25">
      <c r="A1305" s="3" t="s">
        <v>2165</v>
      </c>
      <c r="B1305" s="3" t="s">
        <v>2166</v>
      </c>
      <c r="C1305" s="1">
        <v>17</v>
      </c>
      <c r="D1305" s="1">
        <v>750</v>
      </c>
      <c r="E1305" s="1" t="s">
        <v>2002</v>
      </c>
      <c r="F1305" s="1" t="s">
        <v>3846</v>
      </c>
      <c r="G1305" s="3"/>
      <c r="H1305" s="11">
        <f>ROUND(
IF(L1303="GANCHO",
   IF(I1305&lt;=50,I1305*1.1+4,IF(I1305&lt;=120,I1305*1.1+7,IF(I1305&lt;=250,I1305*1.1+11,I1305*1.1+19))),
IF(L1303="NORMAL",
   IF(I1305&lt;=30,I1305*1.15+2,IF(I1305&lt;=80,I1305*1.15+4,IF(I1305&lt;=150,I1305*1.15+6,I1305*1.15+8))),
IF(L1303="COMPLEMENTO",
   IF(I1305&lt;=25,I1305*1.25+1.5,IF(I1305&lt;=60,I1305*1.25+3,IF(I1305&lt;=120,I1305*1.25+4,I1305*1.25+5))),
""))),2)</f>
        <v>3549.77</v>
      </c>
      <c r="I1305" s="9">
        <f>($K$2+0.02)*Tabla1[[#This Row],[PRECIO $]]*1.18</f>
        <v>3079.7999999999997</v>
      </c>
      <c r="J1305" s="7">
        <f>+Tabla1[[#This Row],[PRECIO EN SOLES]]-Tabla1[[#This Row],[PC]]</f>
        <v>469.97000000000025</v>
      </c>
      <c r="K1305" s="15"/>
      <c r="L1305" s="15" t="str">
        <f>IF(
OR(
ISNUMBER(SEARCH("BACKPACK",B1307)),
ISNUMBER(SEARCH("MOCHILA",B1307)),
ISNUMBER(SEARCH("FUNDA",B1307)),
ISNUMBER(SEARCH("ESTUCHE",B1307)),
ISNUMBER(SEARCH("BOOK COVER",B1307)),
ISNUMBER(SEARCH("KEYBOARD PARA TABLET",B1307)),
ISNUMBER(SEARCH("FLIP TABLET",B1307)),
ISNUMBER(SEARCH("CASE FOR TABLET",B1307)),
ISNUMBER(SEARCH("CABLE",B1307)),
ISNUMBER(SEARCH("ADAPTADOR",B1307)),
ISNUMBER(SEARCH("HUB",B1307)),
ISNUMBER(SEARCH("DOCK",B1307)),
ISNUMBER(SEARCH("MOUSE PAD",B1307)),
ISNUMBER(SEARCH("MOUSEPAD",B1307)),
ISNUMBER(SEARCH("SOPORTE",B1307)),
ISNUMBER(SEARCH("STAND",B1307)),
ISNUMBER(SEARCH("TRAVEL ADAPTER",B1307)),
ISNUMBER(SEARCH("RJ45",B1307)),
ISNUMBER(SEARCH("USB-C",B1307)),
ISNUMBER(SEARCH("USB WIFI",B1307)),
ISNUMBER(SEARCH("POWERBANK",B1307)),
ISNUMBER(SEARCH("CARGADOR",B1307)),
ISNUMBER(SEARCH("COOLER PARA NB",B1307)),
ISNUMBER(SEARCH("SOPORTE PARA NB",B1307)),
ISNUMBER(SEARCH("WEBCAM",B1307)),
ISNUMBER(SEARCH("WEB CAM",B1307)),
ISNUMBER(SEARCH("MOUSE",B1307)),
ISNUMBER(SEARCH("TECLADO",B1307))
),
"COMPLEMENTO",
IF(
OR(
LEFT(A1307,2)="NB",
LEFT(A1307,2)="PC",
LEFT(A1307,2)="WS",
LEFT(A1307,2)="TB",
LEFT(A1307,3)="CEL",
LEFT(A1307,3)="MON",
LEFT(A1307,3)="PRE",
LEFT(A1307,3)="PRH",
ISNUMBER(SEARCH("NOTEBOOK",B1307)),
ISNUMBER(SEARCH("LAPTOP",B1307)),
ISNUMBER(SEARCH("MONITOR",B1307)),
ISNUMBER(SEARCH("TABLET",B1307)),
ISNUMBER(SEARCH("SMARTPH",B1307)),
ISNUMBER(SEARCH("IMPRESORA",B1307)),
ISNUMBER(SEARCH("MULTIFUNCIONAL",B1307)),
ISNUMBER(SEARCH("AIO",B1307))
),
"GANCHO",
"NORMAL"
)
)</f>
        <v>NORMAL</v>
      </c>
    </row>
    <row r="1306" spans="1:12" x14ac:dyDescent="0.25">
      <c r="A1306" s="3" t="s">
        <v>2167</v>
      </c>
      <c r="B1306" s="3" t="s">
        <v>2168</v>
      </c>
      <c r="C1306" s="1">
        <v>12</v>
      </c>
      <c r="D1306" s="1">
        <v>542.54</v>
      </c>
      <c r="E1306" s="1" t="s">
        <v>2002</v>
      </c>
      <c r="F1306" s="1" t="s">
        <v>3847</v>
      </c>
      <c r="G1306" s="3"/>
      <c r="H1306" s="11">
        <f>ROUND(
IF(L1304="GANCHO",
   IF(I1306&lt;=50,I1306*1.1+4,IF(I1306&lt;=120,I1306*1.1+7,IF(I1306&lt;=250,I1306*1.1+11,I1306*1.1+19))),
IF(L1304="NORMAL",
   IF(I1306&lt;=30,I1306*1.15+2,IF(I1306&lt;=80,I1306*1.15+4,IF(I1306&lt;=150,I1306*1.15+6,I1306*1.15+8))),
IF(L1304="COMPLEMENTO",
   IF(I1306&lt;=25,I1306*1.25+1.5,IF(I1306&lt;=60,I1306*1.25+3,IF(I1306&lt;=120,I1306*1.25+4,I1306*1.25+5))),
""))),2)</f>
        <v>2570.0700000000002</v>
      </c>
      <c r="I1306" s="9">
        <f>($K$2+0.02)*Tabla1[[#This Row],[PRECIO $]]*1.18</f>
        <v>2227.8862559999998</v>
      </c>
      <c r="J1306" s="7">
        <f>+Tabla1[[#This Row],[PRECIO EN SOLES]]-Tabla1[[#This Row],[PC]]</f>
        <v>342.18374400000039</v>
      </c>
      <c r="K1306" s="15"/>
      <c r="L1306" s="15" t="str">
        <f>IF(
OR(
ISNUMBER(SEARCH("BACKPACK",B1308)),
ISNUMBER(SEARCH("MOCHILA",B1308)),
ISNUMBER(SEARCH("FUNDA",B1308)),
ISNUMBER(SEARCH("ESTUCHE",B1308)),
ISNUMBER(SEARCH("BOOK COVER",B1308)),
ISNUMBER(SEARCH("KEYBOARD PARA TABLET",B1308)),
ISNUMBER(SEARCH("FLIP TABLET",B1308)),
ISNUMBER(SEARCH("CASE FOR TABLET",B1308)),
ISNUMBER(SEARCH("CABLE",B1308)),
ISNUMBER(SEARCH("ADAPTADOR",B1308)),
ISNUMBER(SEARCH("HUB",B1308)),
ISNUMBER(SEARCH("DOCK",B1308)),
ISNUMBER(SEARCH("MOUSE PAD",B1308)),
ISNUMBER(SEARCH("MOUSEPAD",B1308)),
ISNUMBER(SEARCH("SOPORTE",B1308)),
ISNUMBER(SEARCH("STAND",B1308)),
ISNUMBER(SEARCH("TRAVEL ADAPTER",B1308)),
ISNUMBER(SEARCH("RJ45",B1308)),
ISNUMBER(SEARCH("USB-C",B1308)),
ISNUMBER(SEARCH("USB WIFI",B1308)),
ISNUMBER(SEARCH("POWERBANK",B1308)),
ISNUMBER(SEARCH("CARGADOR",B1308)),
ISNUMBER(SEARCH("COOLER PARA NB",B1308)),
ISNUMBER(SEARCH("SOPORTE PARA NB",B1308)),
ISNUMBER(SEARCH("WEBCAM",B1308)),
ISNUMBER(SEARCH("WEB CAM",B1308)),
ISNUMBER(SEARCH("MOUSE",B1308)),
ISNUMBER(SEARCH("TECLADO",B1308))
),
"COMPLEMENTO",
IF(
OR(
LEFT(A1308,2)="NB",
LEFT(A1308,2)="PC",
LEFT(A1308,2)="WS",
LEFT(A1308,2)="TB",
LEFT(A1308,3)="CEL",
LEFT(A1308,3)="MON",
LEFT(A1308,3)="PRE",
LEFT(A1308,3)="PRH",
ISNUMBER(SEARCH("NOTEBOOK",B1308)),
ISNUMBER(SEARCH("LAPTOP",B1308)),
ISNUMBER(SEARCH("MONITOR",B1308)),
ISNUMBER(SEARCH("TABLET",B1308)),
ISNUMBER(SEARCH("SMARTPH",B1308)),
ISNUMBER(SEARCH("IMPRESORA",B1308)),
ISNUMBER(SEARCH("MULTIFUNCIONAL",B1308)),
ISNUMBER(SEARCH("AIO",B1308))
),
"GANCHO",
"NORMAL"
)
)</f>
        <v>NORMAL</v>
      </c>
    </row>
    <row r="1307" spans="1:12" x14ac:dyDescent="0.25">
      <c r="A1307" s="3" t="s">
        <v>6887</v>
      </c>
      <c r="B1307" s="3" t="s">
        <v>6888</v>
      </c>
      <c r="C1307" s="1">
        <v>20</v>
      </c>
      <c r="D1307" s="1">
        <v>17</v>
      </c>
      <c r="E1307" s="1" t="s">
        <v>6889</v>
      </c>
      <c r="F1307" s="1" t="s">
        <v>6890</v>
      </c>
      <c r="G1307" s="3" t="s">
        <v>6891</v>
      </c>
      <c r="H1307" s="11">
        <f>ROUND(
IF(L1305="GANCHO",
   IF(I1307&lt;=50,I1307*1.1+4,IF(I1307&lt;=120,I1307*1.1+7,IF(I1307&lt;=250,I1307*1.1+11,I1307*1.1+19))),
IF(L1305="NORMAL",
   IF(I1307&lt;=30,I1307*1.15+2,IF(I1307&lt;=80,I1307*1.15+4,IF(I1307&lt;=150,I1307*1.15+6,I1307*1.15+8))),
IF(L1305="COMPLEMENTO",
   IF(I1307&lt;=25,I1307*1.25+1.5,IF(I1307&lt;=60,I1307*1.25+3,IF(I1307&lt;=120,I1307*1.25+4,I1307*1.25+5))),
""))),2)</f>
        <v>84.28</v>
      </c>
      <c r="I1307" s="9">
        <f>($K$2+0.02)*Tabla1[[#This Row],[PRECIO $]]*1.18</f>
        <v>69.808799999999991</v>
      </c>
      <c r="J1307" s="7">
        <f>+Tabla1[[#This Row],[PRECIO EN SOLES]]-Tabla1[[#This Row],[PC]]</f>
        <v>14.47120000000001</v>
      </c>
      <c r="K1307" s="15"/>
      <c r="L1307" s="15" t="str">
        <f>IF(
OR(
ISNUMBER(SEARCH("BACKPACK",B1309)),
ISNUMBER(SEARCH("MOCHILA",B1309)),
ISNUMBER(SEARCH("FUNDA",B1309)),
ISNUMBER(SEARCH("ESTUCHE",B1309)),
ISNUMBER(SEARCH("BOOK COVER",B1309)),
ISNUMBER(SEARCH("KEYBOARD PARA TABLET",B1309)),
ISNUMBER(SEARCH("FLIP TABLET",B1309)),
ISNUMBER(SEARCH("CASE FOR TABLET",B1309)),
ISNUMBER(SEARCH("CABLE",B1309)),
ISNUMBER(SEARCH("ADAPTADOR",B1309)),
ISNUMBER(SEARCH("HUB",B1309)),
ISNUMBER(SEARCH("DOCK",B1309)),
ISNUMBER(SEARCH("MOUSE PAD",B1309)),
ISNUMBER(SEARCH("MOUSEPAD",B1309)),
ISNUMBER(SEARCH("SOPORTE",B1309)),
ISNUMBER(SEARCH("STAND",B1309)),
ISNUMBER(SEARCH("TRAVEL ADAPTER",B1309)),
ISNUMBER(SEARCH("RJ45",B1309)),
ISNUMBER(SEARCH("USB-C",B1309)),
ISNUMBER(SEARCH("USB WIFI",B1309)),
ISNUMBER(SEARCH("POWERBANK",B1309)),
ISNUMBER(SEARCH("CARGADOR",B1309)),
ISNUMBER(SEARCH("COOLER PARA NB",B1309)),
ISNUMBER(SEARCH("SOPORTE PARA NB",B1309)),
ISNUMBER(SEARCH("WEBCAM",B1309)),
ISNUMBER(SEARCH("WEB CAM",B1309)),
ISNUMBER(SEARCH("MOUSE",B1309)),
ISNUMBER(SEARCH("TECLADO",B1309))
),
"COMPLEMENTO",
IF(
OR(
LEFT(A1309,2)="NB",
LEFT(A1309,2)="PC",
LEFT(A1309,2)="WS",
LEFT(A1309,2)="TB",
LEFT(A1309,3)="CEL",
LEFT(A1309,3)="MON",
LEFT(A1309,3)="PRE",
LEFT(A1309,3)="PRH",
ISNUMBER(SEARCH("NOTEBOOK",B1309)),
ISNUMBER(SEARCH("LAPTOP",B1309)),
ISNUMBER(SEARCH("MONITOR",B1309)),
ISNUMBER(SEARCH("TABLET",B1309)),
ISNUMBER(SEARCH("SMARTPH",B1309)),
ISNUMBER(SEARCH("IMPRESORA",B1309)),
ISNUMBER(SEARCH("MULTIFUNCIONAL",B1309)),
ISNUMBER(SEARCH("AIO",B1309))
),
"GANCHO",
"NORMAL"
)
)</f>
        <v>NORMAL</v>
      </c>
    </row>
    <row r="1308" spans="1:12" x14ac:dyDescent="0.25">
      <c r="A1308" s="3" t="s">
        <v>6892</v>
      </c>
      <c r="B1308" s="3" t="s">
        <v>6893</v>
      </c>
      <c r="C1308" s="1">
        <v>20</v>
      </c>
      <c r="D1308" s="1">
        <v>19</v>
      </c>
      <c r="E1308" s="1" t="s">
        <v>6889</v>
      </c>
      <c r="F1308" s="1" t="s">
        <v>6894</v>
      </c>
      <c r="G1308" s="3" t="s">
        <v>6895</v>
      </c>
      <c r="H1308" s="11">
        <f>ROUND(
IF(L1306="GANCHO",
   IF(I1308&lt;=50,I1308*1.1+4,IF(I1308&lt;=120,I1308*1.1+7,IF(I1308&lt;=250,I1308*1.1+11,I1308*1.1+19))),
IF(L1306="NORMAL",
   IF(I1308&lt;=30,I1308*1.15+2,IF(I1308&lt;=80,I1308*1.15+4,IF(I1308&lt;=150,I1308*1.15+6,I1308*1.15+8))),
IF(L1306="COMPLEMENTO",
   IF(I1308&lt;=25,I1308*1.25+1.5,IF(I1308&lt;=60,I1308*1.25+3,IF(I1308&lt;=120,I1308*1.25+4,I1308*1.25+5))),
""))),2)</f>
        <v>93.72</v>
      </c>
      <c r="I1308" s="9">
        <f>($K$2+0.02)*Tabla1[[#This Row],[PRECIO $]]*1.18</f>
        <v>78.021600000000007</v>
      </c>
      <c r="J1308" s="7">
        <f>+Tabla1[[#This Row],[PRECIO EN SOLES]]-Tabla1[[#This Row],[PC]]</f>
        <v>15.698399999999992</v>
      </c>
      <c r="K1308" s="15"/>
      <c r="L1308" s="15" t="str">
        <f>IF(
OR(
ISNUMBER(SEARCH("BACKPACK",B1310)),
ISNUMBER(SEARCH("MOCHILA",B1310)),
ISNUMBER(SEARCH("FUNDA",B1310)),
ISNUMBER(SEARCH("ESTUCHE",B1310)),
ISNUMBER(SEARCH("BOOK COVER",B1310)),
ISNUMBER(SEARCH("KEYBOARD PARA TABLET",B1310)),
ISNUMBER(SEARCH("FLIP TABLET",B1310)),
ISNUMBER(SEARCH("CASE FOR TABLET",B1310)),
ISNUMBER(SEARCH("CABLE",B1310)),
ISNUMBER(SEARCH("ADAPTADOR",B1310)),
ISNUMBER(SEARCH("HUB",B1310)),
ISNUMBER(SEARCH("DOCK",B1310)),
ISNUMBER(SEARCH("MOUSE PAD",B1310)),
ISNUMBER(SEARCH("MOUSEPAD",B1310)),
ISNUMBER(SEARCH("SOPORTE",B1310)),
ISNUMBER(SEARCH("STAND",B1310)),
ISNUMBER(SEARCH("TRAVEL ADAPTER",B1310)),
ISNUMBER(SEARCH("RJ45",B1310)),
ISNUMBER(SEARCH("USB-C",B1310)),
ISNUMBER(SEARCH("USB WIFI",B1310)),
ISNUMBER(SEARCH("POWERBANK",B1310)),
ISNUMBER(SEARCH("CARGADOR",B1310)),
ISNUMBER(SEARCH("COOLER PARA NB",B1310)),
ISNUMBER(SEARCH("SOPORTE PARA NB",B1310)),
ISNUMBER(SEARCH("WEBCAM",B1310)),
ISNUMBER(SEARCH("WEB CAM",B1310)),
ISNUMBER(SEARCH("MOUSE",B1310)),
ISNUMBER(SEARCH("TECLADO",B1310))
),
"COMPLEMENTO",
IF(
OR(
LEFT(A1310,2)="NB",
LEFT(A1310,2)="PC",
LEFT(A1310,2)="WS",
LEFT(A1310,2)="TB",
LEFT(A1310,3)="CEL",
LEFT(A1310,3)="MON",
LEFT(A1310,3)="PRE",
LEFT(A1310,3)="PRH",
ISNUMBER(SEARCH("NOTEBOOK",B1310)),
ISNUMBER(SEARCH("LAPTOP",B1310)),
ISNUMBER(SEARCH("MONITOR",B1310)),
ISNUMBER(SEARCH("TABLET",B1310)),
ISNUMBER(SEARCH("SMARTPH",B1310)),
ISNUMBER(SEARCH("IMPRESORA",B1310)),
ISNUMBER(SEARCH("MULTIFUNCIONAL",B1310)),
ISNUMBER(SEARCH("AIO",B1310))
),
"GANCHO",
"NORMAL"
)
)</f>
        <v>NORMAL</v>
      </c>
    </row>
    <row r="1309" spans="1:12" x14ac:dyDescent="0.25">
      <c r="A1309" s="3" t="s">
        <v>6896</v>
      </c>
      <c r="B1309" s="3" t="s">
        <v>6897</v>
      </c>
      <c r="C1309" s="1">
        <v>20</v>
      </c>
      <c r="D1309" s="1">
        <v>23.5</v>
      </c>
      <c r="E1309" s="1" t="s">
        <v>6889</v>
      </c>
      <c r="F1309" s="1" t="s">
        <v>6898</v>
      </c>
      <c r="G1309" s="3" t="s">
        <v>6899</v>
      </c>
      <c r="H1309" s="11">
        <f>ROUND(
IF(L1307="GANCHO",
   IF(I1309&lt;=50,I1309*1.1+4,IF(I1309&lt;=120,I1309*1.1+7,IF(I1309&lt;=250,I1309*1.1+11,I1309*1.1+19))),
IF(L1307="NORMAL",
   IF(I1309&lt;=30,I1309*1.15+2,IF(I1309&lt;=80,I1309*1.15+4,IF(I1309&lt;=150,I1309*1.15+6,I1309*1.15+8))),
IF(L1307="COMPLEMENTO",
   IF(I1309&lt;=25,I1309*1.25+1.5,IF(I1309&lt;=60,I1309*1.25+3,IF(I1309&lt;=120,I1309*1.25+4,I1309*1.25+5))),
""))),2)</f>
        <v>116.98</v>
      </c>
      <c r="I1309" s="9">
        <f>($K$2+0.02)*Tabla1[[#This Row],[PRECIO $]]*1.18</f>
        <v>96.500399999999999</v>
      </c>
      <c r="J1309" s="7">
        <f>+Tabla1[[#This Row],[PRECIO EN SOLES]]-Tabla1[[#This Row],[PC]]</f>
        <v>20.479600000000005</v>
      </c>
      <c r="K1309" s="15"/>
      <c r="L1309" s="15" t="str">
        <f>IF(
OR(
ISNUMBER(SEARCH("BACKPACK",B1311)),
ISNUMBER(SEARCH("MOCHILA",B1311)),
ISNUMBER(SEARCH("FUNDA",B1311)),
ISNUMBER(SEARCH("ESTUCHE",B1311)),
ISNUMBER(SEARCH("BOOK COVER",B1311)),
ISNUMBER(SEARCH("KEYBOARD PARA TABLET",B1311)),
ISNUMBER(SEARCH("FLIP TABLET",B1311)),
ISNUMBER(SEARCH("CASE FOR TABLET",B1311)),
ISNUMBER(SEARCH("CABLE",B1311)),
ISNUMBER(SEARCH("ADAPTADOR",B1311)),
ISNUMBER(SEARCH("HUB",B1311)),
ISNUMBER(SEARCH("DOCK",B1311)),
ISNUMBER(SEARCH("MOUSE PAD",B1311)),
ISNUMBER(SEARCH("MOUSEPAD",B1311)),
ISNUMBER(SEARCH("SOPORTE",B1311)),
ISNUMBER(SEARCH("STAND",B1311)),
ISNUMBER(SEARCH("TRAVEL ADAPTER",B1311)),
ISNUMBER(SEARCH("RJ45",B1311)),
ISNUMBER(SEARCH("USB-C",B1311)),
ISNUMBER(SEARCH("USB WIFI",B1311)),
ISNUMBER(SEARCH("POWERBANK",B1311)),
ISNUMBER(SEARCH("CARGADOR",B1311)),
ISNUMBER(SEARCH("COOLER PARA NB",B1311)),
ISNUMBER(SEARCH("SOPORTE PARA NB",B1311)),
ISNUMBER(SEARCH("WEBCAM",B1311)),
ISNUMBER(SEARCH("WEB CAM",B1311)),
ISNUMBER(SEARCH("MOUSE",B1311)),
ISNUMBER(SEARCH("TECLADO",B1311))
),
"COMPLEMENTO",
IF(
OR(
LEFT(A1311,2)="NB",
LEFT(A1311,2)="PC",
LEFT(A1311,2)="WS",
LEFT(A1311,2)="TB",
LEFT(A1311,3)="CEL",
LEFT(A1311,3)="MON",
LEFT(A1311,3)="PRE",
LEFT(A1311,3)="PRH",
ISNUMBER(SEARCH("NOTEBOOK",B1311)),
ISNUMBER(SEARCH("LAPTOP",B1311)),
ISNUMBER(SEARCH("MONITOR",B1311)),
ISNUMBER(SEARCH("TABLET",B1311)),
ISNUMBER(SEARCH("SMARTPH",B1311)),
ISNUMBER(SEARCH("IMPRESORA",B1311)),
ISNUMBER(SEARCH("MULTIFUNCIONAL",B1311)),
ISNUMBER(SEARCH("AIO",B1311))
),
"GANCHO",
"NORMAL"
)
)</f>
        <v>NORMAL</v>
      </c>
    </row>
    <row r="1310" spans="1:12" x14ac:dyDescent="0.25">
      <c r="A1310" s="3" t="s">
        <v>434</v>
      </c>
      <c r="B1310" s="3" t="s">
        <v>435</v>
      </c>
      <c r="C1310" s="1">
        <v>20</v>
      </c>
      <c r="D1310" s="1">
        <v>7.04</v>
      </c>
      <c r="E1310" s="1" t="s">
        <v>424</v>
      </c>
      <c r="F1310" s="1" t="s">
        <v>3848</v>
      </c>
      <c r="G1310" s="3" t="s">
        <v>436</v>
      </c>
      <c r="H1310" s="11">
        <f>ROUND(
IF(L1308="GANCHO",
   IF(I1310&lt;=50,I1310*1.1+4,IF(I1310&lt;=120,I1310*1.1+7,IF(I1310&lt;=250,I1310*1.1+11,I1310*1.1+19))),
IF(L1308="NORMAL",
   IF(I1310&lt;=30,I1310*1.15+2,IF(I1310&lt;=80,I1310*1.15+4,IF(I1310&lt;=150,I1310*1.15+6,I1310*1.15+8))),
IF(L1308="COMPLEMENTO",
   IF(I1310&lt;=25,I1310*1.25+1.5,IF(I1310&lt;=60,I1310*1.25+3,IF(I1310&lt;=120,I1310*1.25+4,I1310*1.25+5))),
""))),2)</f>
        <v>35.25</v>
      </c>
      <c r="I1310" s="9">
        <f>($K$2+0.02)*Tabla1[[#This Row],[PRECIO $]]*1.18</f>
        <v>28.909055999999996</v>
      </c>
      <c r="J1310" s="7">
        <f>+Tabla1[[#This Row],[PRECIO EN SOLES]]-Tabla1[[#This Row],[PC]]</f>
        <v>6.3409440000000039</v>
      </c>
      <c r="K1310" s="15"/>
      <c r="L1310" s="15" t="str">
        <f>IF(
OR(
ISNUMBER(SEARCH("BACKPACK",B1312)),
ISNUMBER(SEARCH("MOCHILA",B1312)),
ISNUMBER(SEARCH("FUNDA",B1312)),
ISNUMBER(SEARCH("ESTUCHE",B1312)),
ISNUMBER(SEARCH("BOOK COVER",B1312)),
ISNUMBER(SEARCH("KEYBOARD PARA TABLET",B1312)),
ISNUMBER(SEARCH("FLIP TABLET",B1312)),
ISNUMBER(SEARCH("CASE FOR TABLET",B1312)),
ISNUMBER(SEARCH("CABLE",B1312)),
ISNUMBER(SEARCH("ADAPTADOR",B1312)),
ISNUMBER(SEARCH("HUB",B1312)),
ISNUMBER(SEARCH("DOCK",B1312)),
ISNUMBER(SEARCH("MOUSE PAD",B1312)),
ISNUMBER(SEARCH("MOUSEPAD",B1312)),
ISNUMBER(SEARCH("SOPORTE",B1312)),
ISNUMBER(SEARCH("STAND",B1312)),
ISNUMBER(SEARCH("TRAVEL ADAPTER",B1312)),
ISNUMBER(SEARCH("RJ45",B1312)),
ISNUMBER(SEARCH("USB-C",B1312)),
ISNUMBER(SEARCH("USB WIFI",B1312)),
ISNUMBER(SEARCH("POWERBANK",B1312)),
ISNUMBER(SEARCH("CARGADOR",B1312)),
ISNUMBER(SEARCH("COOLER PARA NB",B1312)),
ISNUMBER(SEARCH("SOPORTE PARA NB",B1312)),
ISNUMBER(SEARCH("WEBCAM",B1312)),
ISNUMBER(SEARCH("WEB CAM",B1312)),
ISNUMBER(SEARCH("MOUSE",B1312)),
ISNUMBER(SEARCH("TECLADO",B1312))
),
"COMPLEMENTO",
IF(
OR(
LEFT(A1312,2)="NB",
LEFT(A1312,2)="PC",
LEFT(A1312,2)="WS",
LEFT(A1312,2)="TB",
LEFT(A1312,3)="CEL",
LEFT(A1312,3)="MON",
LEFT(A1312,3)="PRE",
LEFT(A1312,3)="PRH",
ISNUMBER(SEARCH("NOTEBOOK",B1312)),
ISNUMBER(SEARCH("LAPTOP",B1312)),
ISNUMBER(SEARCH("MONITOR",B1312)),
ISNUMBER(SEARCH("TABLET",B1312)),
ISNUMBER(SEARCH("SMARTPH",B1312)),
ISNUMBER(SEARCH("IMPRESORA",B1312)),
ISNUMBER(SEARCH("MULTIFUNCIONAL",B1312)),
ISNUMBER(SEARCH("AIO",B1312))
),
"GANCHO",
"NORMAL"
)
)</f>
        <v>NORMAL</v>
      </c>
    </row>
    <row r="1311" spans="1:12" x14ac:dyDescent="0.25">
      <c r="A1311" s="3" t="s">
        <v>4338</v>
      </c>
      <c r="B1311" s="3" t="s">
        <v>4339</v>
      </c>
      <c r="C1311" s="1">
        <v>20</v>
      </c>
      <c r="D1311" s="1">
        <v>5.2</v>
      </c>
      <c r="E1311" s="1" t="s">
        <v>424</v>
      </c>
      <c r="F1311" s="1" t="s">
        <v>4340</v>
      </c>
      <c r="G1311" s="3" t="s">
        <v>4341</v>
      </c>
      <c r="H1311" s="11">
        <f>ROUND(
IF(L1309="GANCHO",
   IF(I1311&lt;=50,I1311*1.1+4,IF(I1311&lt;=120,I1311*1.1+7,IF(I1311&lt;=250,I1311*1.1+11,I1311*1.1+19))),
IF(L1309="NORMAL",
   IF(I1311&lt;=30,I1311*1.15+2,IF(I1311&lt;=80,I1311*1.15+4,IF(I1311&lt;=150,I1311*1.15+6,I1311*1.15+8))),
IF(L1309="COMPLEMENTO",
   IF(I1311&lt;=25,I1311*1.25+1.5,IF(I1311&lt;=60,I1311*1.25+3,IF(I1311&lt;=120,I1311*1.25+4,I1311*1.25+5))),
""))),2)</f>
        <v>26.56</v>
      </c>
      <c r="I1311" s="9">
        <f>($K$2+0.02)*Tabla1[[#This Row],[PRECIO $]]*1.18</f>
        <v>21.353279999999998</v>
      </c>
      <c r="J1311" s="7">
        <f>+Tabla1[[#This Row],[PRECIO EN SOLES]]-Tabla1[[#This Row],[PC]]</f>
        <v>5.2067200000000007</v>
      </c>
      <c r="K1311" s="15"/>
      <c r="L1311" s="15" t="str">
        <f>IF(
OR(
ISNUMBER(SEARCH("BACKPACK",B1313)),
ISNUMBER(SEARCH("MOCHILA",B1313)),
ISNUMBER(SEARCH("FUNDA",B1313)),
ISNUMBER(SEARCH("ESTUCHE",B1313)),
ISNUMBER(SEARCH("BOOK COVER",B1313)),
ISNUMBER(SEARCH("KEYBOARD PARA TABLET",B1313)),
ISNUMBER(SEARCH("FLIP TABLET",B1313)),
ISNUMBER(SEARCH("CASE FOR TABLET",B1313)),
ISNUMBER(SEARCH("CABLE",B1313)),
ISNUMBER(SEARCH("ADAPTADOR",B1313)),
ISNUMBER(SEARCH("HUB",B1313)),
ISNUMBER(SEARCH("DOCK",B1313)),
ISNUMBER(SEARCH("MOUSE PAD",B1313)),
ISNUMBER(SEARCH("MOUSEPAD",B1313)),
ISNUMBER(SEARCH("SOPORTE",B1313)),
ISNUMBER(SEARCH("STAND",B1313)),
ISNUMBER(SEARCH("TRAVEL ADAPTER",B1313)),
ISNUMBER(SEARCH("RJ45",B1313)),
ISNUMBER(SEARCH("USB-C",B1313)),
ISNUMBER(SEARCH("USB WIFI",B1313)),
ISNUMBER(SEARCH("POWERBANK",B1313)),
ISNUMBER(SEARCH("CARGADOR",B1313)),
ISNUMBER(SEARCH("COOLER PARA NB",B1313)),
ISNUMBER(SEARCH("SOPORTE PARA NB",B1313)),
ISNUMBER(SEARCH("WEBCAM",B1313)),
ISNUMBER(SEARCH("WEB CAM",B1313)),
ISNUMBER(SEARCH("MOUSE",B1313)),
ISNUMBER(SEARCH("TECLADO",B1313))
),
"COMPLEMENTO",
IF(
OR(
LEFT(A1313,2)="NB",
LEFT(A1313,2)="PC",
LEFT(A1313,2)="WS",
LEFT(A1313,2)="TB",
LEFT(A1313,3)="CEL",
LEFT(A1313,3)="MON",
LEFT(A1313,3)="PRE",
LEFT(A1313,3)="PRH",
ISNUMBER(SEARCH("NOTEBOOK",B1313)),
ISNUMBER(SEARCH("LAPTOP",B1313)),
ISNUMBER(SEARCH("MONITOR",B1313)),
ISNUMBER(SEARCH("TABLET",B1313)),
ISNUMBER(SEARCH("SMARTPH",B1313)),
ISNUMBER(SEARCH("IMPRESORA",B1313)),
ISNUMBER(SEARCH("MULTIFUNCIONAL",B1313)),
ISNUMBER(SEARCH("AIO",B1313))
),
"GANCHO",
"NORMAL"
)
)</f>
        <v>NORMAL</v>
      </c>
    </row>
    <row r="1312" spans="1:12" x14ac:dyDescent="0.25">
      <c r="A1312" s="3" t="s">
        <v>4720</v>
      </c>
      <c r="B1312" s="3" t="s">
        <v>4721</v>
      </c>
      <c r="C1312" s="1">
        <v>20</v>
      </c>
      <c r="D1312" s="1">
        <v>9.7899999999999991</v>
      </c>
      <c r="E1312" s="1" t="s">
        <v>424</v>
      </c>
      <c r="F1312" s="1" t="s">
        <v>4722</v>
      </c>
      <c r="G1312" s="3" t="s">
        <v>4723</v>
      </c>
      <c r="H1312" s="11">
        <f>ROUND(
IF(L1310="GANCHO",
   IF(I1312&lt;=50,I1312*1.1+4,IF(I1312&lt;=120,I1312*1.1+7,IF(I1312&lt;=250,I1312*1.1+11,I1312*1.1+19))),
IF(L1310="NORMAL",
   IF(I1312&lt;=30,I1312*1.15+2,IF(I1312&lt;=80,I1312*1.15+4,IF(I1312&lt;=150,I1312*1.15+6,I1312*1.15+8))),
IF(L1310="COMPLEMENTO",
   IF(I1312&lt;=25,I1312*1.25+1.5,IF(I1312&lt;=60,I1312*1.25+3,IF(I1312&lt;=120,I1312*1.25+4,I1312*1.25+5))),
""))),2)</f>
        <v>50.23</v>
      </c>
      <c r="I1312" s="9">
        <f>($K$2+0.02)*Tabla1[[#This Row],[PRECIO $]]*1.18</f>
        <v>40.201655999999993</v>
      </c>
      <c r="J1312" s="7">
        <f>+Tabla1[[#This Row],[PRECIO EN SOLES]]-Tabla1[[#This Row],[PC]]</f>
        <v>10.028344000000004</v>
      </c>
      <c r="K1312" s="15"/>
      <c r="L1312" s="15" t="str">
        <f>IF(
OR(
ISNUMBER(SEARCH("BACKPACK",B1314)),
ISNUMBER(SEARCH("MOCHILA",B1314)),
ISNUMBER(SEARCH("FUNDA",B1314)),
ISNUMBER(SEARCH("ESTUCHE",B1314)),
ISNUMBER(SEARCH("BOOK COVER",B1314)),
ISNUMBER(SEARCH("KEYBOARD PARA TABLET",B1314)),
ISNUMBER(SEARCH("FLIP TABLET",B1314)),
ISNUMBER(SEARCH("CASE FOR TABLET",B1314)),
ISNUMBER(SEARCH("CABLE",B1314)),
ISNUMBER(SEARCH("ADAPTADOR",B1314)),
ISNUMBER(SEARCH("HUB",B1314)),
ISNUMBER(SEARCH("DOCK",B1314)),
ISNUMBER(SEARCH("MOUSE PAD",B1314)),
ISNUMBER(SEARCH("MOUSEPAD",B1314)),
ISNUMBER(SEARCH("SOPORTE",B1314)),
ISNUMBER(SEARCH("STAND",B1314)),
ISNUMBER(SEARCH("TRAVEL ADAPTER",B1314)),
ISNUMBER(SEARCH("RJ45",B1314)),
ISNUMBER(SEARCH("USB-C",B1314)),
ISNUMBER(SEARCH("USB WIFI",B1314)),
ISNUMBER(SEARCH("POWERBANK",B1314)),
ISNUMBER(SEARCH("CARGADOR",B1314)),
ISNUMBER(SEARCH("COOLER PARA NB",B1314)),
ISNUMBER(SEARCH("SOPORTE PARA NB",B1314)),
ISNUMBER(SEARCH("WEBCAM",B1314)),
ISNUMBER(SEARCH("WEB CAM",B1314)),
ISNUMBER(SEARCH("MOUSE",B1314)),
ISNUMBER(SEARCH("TECLADO",B1314))
),
"COMPLEMENTO",
IF(
OR(
LEFT(A1314,2)="NB",
LEFT(A1314,2)="PC",
LEFT(A1314,2)="WS",
LEFT(A1314,2)="TB",
LEFT(A1314,3)="CEL",
LEFT(A1314,3)="MON",
LEFT(A1314,3)="PRE",
LEFT(A1314,3)="PRH",
ISNUMBER(SEARCH("NOTEBOOK",B1314)),
ISNUMBER(SEARCH("LAPTOP",B1314)),
ISNUMBER(SEARCH("MONITOR",B1314)),
ISNUMBER(SEARCH("TABLET",B1314)),
ISNUMBER(SEARCH("SMARTPH",B1314)),
ISNUMBER(SEARCH("IMPRESORA",B1314)),
ISNUMBER(SEARCH("MULTIFUNCIONAL",B1314)),
ISNUMBER(SEARCH("AIO",B1314))
),
"GANCHO",
"NORMAL"
)
)</f>
        <v>NORMAL</v>
      </c>
    </row>
    <row r="1313" spans="1:12" x14ac:dyDescent="0.25">
      <c r="A1313" s="3" t="s">
        <v>4724</v>
      </c>
      <c r="B1313" s="3" t="s">
        <v>4725</v>
      </c>
      <c r="C1313" s="1">
        <v>20</v>
      </c>
      <c r="D1313" s="1">
        <v>14.97</v>
      </c>
      <c r="E1313" s="1" t="s">
        <v>424</v>
      </c>
      <c r="F1313" s="1" t="s">
        <v>4726</v>
      </c>
      <c r="G1313" s="3" t="s">
        <v>4727</v>
      </c>
      <c r="H1313" s="11">
        <f>ROUND(
IF(L1311="GANCHO",
   IF(I1313&lt;=50,I1313*1.1+4,IF(I1313&lt;=120,I1313*1.1+7,IF(I1313&lt;=250,I1313*1.1+11,I1313*1.1+19))),
IF(L1311="NORMAL",
   IF(I1313&lt;=30,I1313*1.15+2,IF(I1313&lt;=80,I1313*1.15+4,IF(I1313&lt;=150,I1313*1.15+6,I1313*1.15+8))),
IF(L1311="COMPLEMENTO",
   IF(I1313&lt;=25,I1313*1.25+1.5,IF(I1313&lt;=60,I1313*1.25+3,IF(I1313&lt;=120,I1313*1.25+4,I1313*1.25+5))),
""))),2)</f>
        <v>74.69</v>
      </c>
      <c r="I1313" s="9">
        <f>($K$2+0.02)*Tabla1[[#This Row],[PRECIO $]]*1.18</f>
        <v>61.472808000000001</v>
      </c>
      <c r="J1313" s="7">
        <f>+Tabla1[[#This Row],[PRECIO EN SOLES]]-Tabla1[[#This Row],[PC]]</f>
        <v>13.217191999999997</v>
      </c>
      <c r="K1313" s="15"/>
      <c r="L1313" s="15" t="str">
        <f>IF(
OR(
ISNUMBER(SEARCH("BACKPACK",B1315)),
ISNUMBER(SEARCH("MOCHILA",B1315)),
ISNUMBER(SEARCH("FUNDA",B1315)),
ISNUMBER(SEARCH("ESTUCHE",B1315)),
ISNUMBER(SEARCH("BOOK COVER",B1315)),
ISNUMBER(SEARCH("KEYBOARD PARA TABLET",B1315)),
ISNUMBER(SEARCH("FLIP TABLET",B1315)),
ISNUMBER(SEARCH("CASE FOR TABLET",B1315)),
ISNUMBER(SEARCH("CABLE",B1315)),
ISNUMBER(SEARCH("ADAPTADOR",B1315)),
ISNUMBER(SEARCH("HUB",B1315)),
ISNUMBER(SEARCH("DOCK",B1315)),
ISNUMBER(SEARCH("MOUSE PAD",B1315)),
ISNUMBER(SEARCH("MOUSEPAD",B1315)),
ISNUMBER(SEARCH("SOPORTE",B1315)),
ISNUMBER(SEARCH("STAND",B1315)),
ISNUMBER(SEARCH("TRAVEL ADAPTER",B1315)),
ISNUMBER(SEARCH("RJ45",B1315)),
ISNUMBER(SEARCH("USB-C",B1315)),
ISNUMBER(SEARCH("USB WIFI",B1315)),
ISNUMBER(SEARCH("POWERBANK",B1315)),
ISNUMBER(SEARCH("CARGADOR",B1315)),
ISNUMBER(SEARCH("COOLER PARA NB",B1315)),
ISNUMBER(SEARCH("SOPORTE PARA NB",B1315)),
ISNUMBER(SEARCH("WEBCAM",B1315)),
ISNUMBER(SEARCH("WEB CAM",B1315)),
ISNUMBER(SEARCH("MOUSE",B1315)),
ISNUMBER(SEARCH("TECLADO",B1315))
),
"COMPLEMENTO",
IF(
OR(
LEFT(A1315,2)="NB",
LEFT(A1315,2)="PC",
LEFT(A1315,2)="WS",
LEFT(A1315,2)="TB",
LEFT(A1315,3)="CEL",
LEFT(A1315,3)="MON",
LEFT(A1315,3)="PRE",
LEFT(A1315,3)="PRH",
ISNUMBER(SEARCH("NOTEBOOK",B1315)),
ISNUMBER(SEARCH("LAPTOP",B1315)),
ISNUMBER(SEARCH("MONITOR",B1315)),
ISNUMBER(SEARCH("TABLET",B1315)),
ISNUMBER(SEARCH("SMARTPH",B1315)),
ISNUMBER(SEARCH("IMPRESORA",B1315)),
ISNUMBER(SEARCH("MULTIFUNCIONAL",B1315)),
ISNUMBER(SEARCH("AIO",B1315))
),
"GANCHO",
"NORMAL"
)
)</f>
        <v>NORMAL</v>
      </c>
    </row>
    <row r="1314" spans="1:12" x14ac:dyDescent="0.25">
      <c r="A1314" s="3" t="s">
        <v>2169</v>
      </c>
      <c r="B1314" s="3" t="s">
        <v>2170</v>
      </c>
      <c r="C1314" s="1">
        <v>12</v>
      </c>
      <c r="D1314" s="1">
        <v>74.27</v>
      </c>
      <c r="E1314" s="1" t="s">
        <v>424</v>
      </c>
      <c r="F1314" s="1" t="s">
        <v>3849</v>
      </c>
      <c r="G1314" s="3" t="s">
        <v>2171</v>
      </c>
      <c r="H1314" s="11">
        <f>ROUND(
IF(L1312="GANCHO",
   IF(I1314&lt;=50,I1314*1.1+4,IF(I1314&lt;=120,I1314*1.1+7,IF(I1314&lt;=250,I1314*1.1+11,I1314*1.1+19))),
IF(L1312="NORMAL",
   IF(I1314&lt;=30,I1314*1.15+2,IF(I1314&lt;=80,I1314*1.15+4,IF(I1314&lt;=150,I1314*1.15+6,I1314*1.15+8))),
IF(L1312="COMPLEMENTO",
   IF(I1314&lt;=25,I1314*1.25+1.5,IF(I1314&lt;=60,I1314*1.25+3,IF(I1314&lt;=120,I1314*1.25+4,I1314*1.25+5))),
""))),2)</f>
        <v>358.73</v>
      </c>
      <c r="I1314" s="9">
        <f>($K$2+0.02)*Tabla1[[#This Row],[PRECIO $]]*1.18</f>
        <v>304.98232799999994</v>
      </c>
      <c r="J1314" s="7">
        <f>+Tabla1[[#This Row],[PRECIO EN SOLES]]-Tabla1[[#This Row],[PC]]</f>
        <v>53.74767200000008</v>
      </c>
      <c r="K1314" s="15"/>
      <c r="L1314" s="15" t="str">
        <f>IF(
OR(
ISNUMBER(SEARCH("BACKPACK",B1316)),
ISNUMBER(SEARCH("MOCHILA",B1316)),
ISNUMBER(SEARCH("FUNDA",B1316)),
ISNUMBER(SEARCH("ESTUCHE",B1316)),
ISNUMBER(SEARCH("BOOK COVER",B1316)),
ISNUMBER(SEARCH("KEYBOARD PARA TABLET",B1316)),
ISNUMBER(SEARCH("FLIP TABLET",B1316)),
ISNUMBER(SEARCH("CASE FOR TABLET",B1316)),
ISNUMBER(SEARCH("CABLE",B1316)),
ISNUMBER(SEARCH("ADAPTADOR",B1316)),
ISNUMBER(SEARCH("HUB",B1316)),
ISNUMBER(SEARCH("DOCK",B1316)),
ISNUMBER(SEARCH("MOUSE PAD",B1316)),
ISNUMBER(SEARCH("MOUSEPAD",B1316)),
ISNUMBER(SEARCH("SOPORTE",B1316)),
ISNUMBER(SEARCH("STAND",B1316)),
ISNUMBER(SEARCH("TRAVEL ADAPTER",B1316)),
ISNUMBER(SEARCH("RJ45",B1316)),
ISNUMBER(SEARCH("USB-C",B1316)),
ISNUMBER(SEARCH("USB WIFI",B1316)),
ISNUMBER(SEARCH("POWERBANK",B1316)),
ISNUMBER(SEARCH("CARGADOR",B1316)),
ISNUMBER(SEARCH("COOLER PARA NB",B1316)),
ISNUMBER(SEARCH("SOPORTE PARA NB",B1316)),
ISNUMBER(SEARCH("WEBCAM",B1316)),
ISNUMBER(SEARCH("WEB CAM",B1316)),
ISNUMBER(SEARCH("MOUSE",B1316)),
ISNUMBER(SEARCH("TECLADO",B1316))
),
"COMPLEMENTO",
IF(
OR(
LEFT(A1316,2)="NB",
LEFT(A1316,2)="PC",
LEFT(A1316,2)="WS",
LEFT(A1316,2)="TB",
LEFT(A1316,3)="CEL",
LEFT(A1316,3)="MON",
LEFT(A1316,3)="PRE",
LEFT(A1316,3)="PRH",
ISNUMBER(SEARCH("NOTEBOOK",B1316)),
ISNUMBER(SEARCH("LAPTOP",B1316)),
ISNUMBER(SEARCH("MONITOR",B1316)),
ISNUMBER(SEARCH("TABLET",B1316)),
ISNUMBER(SEARCH("SMARTPH",B1316)),
ISNUMBER(SEARCH("IMPRESORA",B1316)),
ISNUMBER(SEARCH("MULTIFUNCIONAL",B1316)),
ISNUMBER(SEARCH("AIO",B1316))
),
"GANCHO",
"NORMAL"
)
)</f>
        <v>NORMAL</v>
      </c>
    </row>
    <row r="1315" spans="1:12" x14ac:dyDescent="0.25">
      <c r="A1315" s="3" t="s">
        <v>4728</v>
      </c>
      <c r="B1315" s="3" t="s">
        <v>4729</v>
      </c>
      <c r="C1315" s="1">
        <v>20</v>
      </c>
      <c r="D1315" s="1">
        <v>81</v>
      </c>
      <c r="E1315" s="1" t="s">
        <v>424</v>
      </c>
      <c r="F1315" s="1" t="s">
        <v>4730</v>
      </c>
      <c r="G1315" s="3" t="s">
        <v>4731</v>
      </c>
      <c r="H1315" s="11">
        <f>ROUND(
IF(L1313="GANCHO",
   IF(I1315&lt;=50,I1315*1.1+4,IF(I1315&lt;=120,I1315*1.1+7,IF(I1315&lt;=250,I1315*1.1+11,I1315*1.1+19))),
IF(L1313="NORMAL",
   IF(I1315&lt;=30,I1315*1.15+2,IF(I1315&lt;=80,I1315*1.15+4,IF(I1315&lt;=150,I1315*1.15+6,I1315*1.15+8))),
IF(L1313="COMPLEMENTO",
   IF(I1315&lt;=25,I1315*1.25+1.5,IF(I1315&lt;=60,I1315*1.25+3,IF(I1315&lt;=120,I1315*1.25+4,I1315*1.25+5))),
""))),2)</f>
        <v>390.51</v>
      </c>
      <c r="I1315" s="9">
        <f>($K$2+0.02)*Tabla1[[#This Row],[PRECIO $]]*1.18</f>
        <v>332.61839999999995</v>
      </c>
      <c r="J1315" s="7">
        <f>+Tabla1[[#This Row],[PRECIO EN SOLES]]-Tabla1[[#This Row],[PC]]</f>
        <v>57.891600000000039</v>
      </c>
      <c r="K1315" s="15"/>
      <c r="L1315" s="15" t="str">
        <f>IF(
OR(
ISNUMBER(SEARCH("BACKPACK",B1317)),
ISNUMBER(SEARCH("MOCHILA",B1317)),
ISNUMBER(SEARCH("FUNDA",B1317)),
ISNUMBER(SEARCH("ESTUCHE",B1317)),
ISNUMBER(SEARCH("BOOK COVER",B1317)),
ISNUMBER(SEARCH("KEYBOARD PARA TABLET",B1317)),
ISNUMBER(SEARCH("FLIP TABLET",B1317)),
ISNUMBER(SEARCH("CASE FOR TABLET",B1317)),
ISNUMBER(SEARCH("CABLE",B1317)),
ISNUMBER(SEARCH("ADAPTADOR",B1317)),
ISNUMBER(SEARCH("HUB",B1317)),
ISNUMBER(SEARCH("DOCK",B1317)),
ISNUMBER(SEARCH("MOUSE PAD",B1317)),
ISNUMBER(SEARCH("MOUSEPAD",B1317)),
ISNUMBER(SEARCH("SOPORTE",B1317)),
ISNUMBER(SEARCH("STAND",B1317)),
ISNUMBER(SEARCH("TRAVEL ADAPTER",B1317)),
ISNUMBER(SEARCH("RJ45",B1317)),
ISNUMBER(SEARCH("USB-C",B1317)),
ISNUMBER(SEARCH("USB WIFI",B1317)),
ISNUMBER(SEARCH("POWERBANK",B1317)),
ISNUMBER(SEARCH("CARGADOR",B1317)),
ISNUMBER(SEARCH("COOLER PARA NB",B1317)),
ISNUMBER(SEARCH("SOPORTE PARA NB",B1317)),
ISNUMBER(SEARCH("WEBCAM",B1317)),
ISNUMBER(SEARCH("WEB CAM",B1317)),
ISNUMBER(SEARCH("MOUSE",B1317)),
ISNUMBER(SEARCH("TECLADO",B1317))
),
"COMPLEMENTO",
IF(
OR(
LEFT(A1317,2)="NB",
LEFT(A1317,2)="PC",
LEFT(A1317,2)="WS",
LEFT(A1317,2)="TB",
LEFT(A1317,3)="CEL",
LEFT(A1317,3)="MON",
LEFT(A1317,3)="PRE",
LEFT(A1317,3)="PRH",
ISNUMBER(SEARCH("NOTEBOOK",B1317)),
ISNUMBER(SEARCH("LAPTOP",B1317)),
ISNUMBER(SEARCH("MONITOR",B1317)),
ISNUMBER(SEARCH("TABLET",B1317)),
ISNUMBER(SEARCH("SMARTPH",B1317)),
ISNUMBER(SEARCH("IMPRESORA",B1317)),
ISNUMBER(SEARCH("MULTIFUNCIONAL",B1317)),
ISNUMBER(SEARCH("AIO",B1317))
),
"GANCHO",
"NORMAL"
)
)</f>
        <v>NORMAL</v>
      </c>
    </row>
    <row r="1316" spans="1:12" x14ac:dyDescent="0.25">
      <c r="A1316" s="3" t="s">
        <v>4732</v>
      </c>
      <c r="B1316" s="3" t="s">
        <v>4733</v>
      </c>
      <c r="C1316" s="1">
        <v>20</v>
      </c>
      <c r="D1316" s="1">
        <v>14.07</v>
      </c>
      <c r="E1316" s="1" t="s">
        <v>424</v>
      </c>
      <c r="F1316" s="1" t="s">
        <v>4734</v>
      </c>
      <c r="G1316" s="3"/>
      <c r="H1316" s="11">
        <f>ROUND(
IF(L1314="GANCHO",
   IF(I1316&lt;=50,I1316*1.1+4,IF(I1316&lt;=120,I1316*1.1+7,IF(I1316&lt;=250,I1316*1.1+11,I1316*1.1+19))),
IF(L1314="NORMAL",
   IF(I1316&lt;=30,I1316*1.15+2,IF(I1316&lt;=80,I1316*1.15+4,IF(I1316&lt;=150,I1316*1.15+6,I1316*1.15+8))),
IF(L1314="COMPLEMENTO",
   IF(I1316&lt;=25,I1316*1.25+1.5,IF(I1316&lt;=60,I1316*1.25+3,IF(I1316&lt;=120,I1316*1.25+4,I1316*1.25+5))),
""))),2)</f>
        <v>70.44</v>
      </c>
      <c r="I1316" s="9">
        <f>($K$2+0.02)*Tabla1[[#This Row],[PRECIO $]]*1.18</f>
        <v>57.777047999999994</v>
      </c>
      <c r="J1316" s="7">
        <f>+Tabla1[[#This Row],[PRECIO EN SOLES]]-Tabla1[[#This Row],[PC]]</f>
        <v>12.662952000000004</v>
      </c>
      <c r="K1316" s="15"/>
      <c r="L1316" s="15" t="str">
        <f>IF(
OR(
ISNUMBER(SEARCH("BACKPACK",B1318)),
ISNUMBER(SEARCH("MOCHILA",B1318)),
ISNUMBER(SEARCH("FUNDA",B1318)),
ISNUMBER(SEARCH("ESTUCHE",B1318)),
ISNUMBER(SEARCH("BOOK COVER",B1318)),
ISNUMBER(SEARCH("KEYBOARD PARA TABLET",B1318)),
ISNUMBER(SEARCH("FLIP TABLET",B1318)),
ISNUMBER(SEARCH("CASE FOR TABLET",B1318)),
ISNUMBER(SEARCH("CABLE",B1318)),
ISNUMBER(SEARCH("ADAPTADOR",B1318)),
ISNUMBER(SEARCH("HUB",B1318)),
ISNUMBER(SEARCH("DOCK",B1318)),
ISNUMBER(SEARCH("MOUSE PAD",B1318)),
ISNUMBER(SEARCH("MOUSEPAD",B1318)),
ISNUMBER(SEARCH("SOPORTE",B1318)),
ISNUMBER(SEARCH("STAND",B1318)),
ISNUMBER(SEARCH("TRAVEL ADAPTER",B1318)),
ISNUMBER(SEARCH("RJ45",B1318)),
ISNUMBER(SEARCH("USB-C",B1318)),
ISNUMBER(SEARCH("USB WIFI",B1318)),
ISNUMBER(SEARCH("POWERBANK",B1318)),
ISNUMBER(SEARCH("CARGADOR",B1318)),
ISNUMBER(SEARCH("COOLER PARA NB",B1318)),
ISNUMBER(SEARCH("SOPORTE PARA NB",B1318)),
ISNUMBER(SEARCH("WEBCAM",B1318)),
ISNUMBER(SEARCH("WEB CAM",B1318)),
ISNUMBER(SEARCH("MOUSE",B1318)),
ISNUMBER(SEARCH("TECLADO",B1318))
),
"COMPLEMENTO",
IF(
OR(
LEFT(A1318,2)="NB",
LEFT(A1318,2)="PC",
LEFT(A1318,2)="WS",
LEFT(A1318,2)="TB",
LEFT(A1318,3)="CEL",
LEFT(A1318,3)="MON",
LEFT(A1318,3)="PRE",
LEFT(A1318,3)="PRH",
ISNUMBER(SEARCH("NOTEBOOK",B1318)),
ISNUMBER(SEARCH("LAPTOP",B1318)),
ISNUMBER(SEARCH("MONITOR",B1318)),
ISNUMBER(SEARCH("TABLET",B1318)),
ISNUMBER(SEARCH("SMARTPH",B1318)),
ISNUMBER(SEARCH("IMPRESORA",B1318)),
ISNUMBER(SEARCH("MULTIFUNCIONAL",B1318)),
ISNUMBER(SEARCH("AIO",B1318))
),
"GANCHO",
"NORMAL"
)
)</f>
        <v>NORMAL</v>
      </c>
    </row>
    <row r="1317" spans="1:12" x14ac:dyDescent="0.25">
      <c r="A1317" s="3" t="s">
        <v>4735</v>
      </c>
      <c r="B1317" s="3" t="s">
        <v>4736</v>
      </c>
      <c r="C1317" s="1">
        <v>20</v>
      </c>
      <c r="D1317" s="1">
        <v>18</v>
      </c>
      <c r="E1317" s="1" t="s">
        <v>424</v>
      </c>
      <c r="F1317" s="1" t="s">
        <v>4737</v>
      </c>
      <c r="G1317" s="3"/>
      <c r="H1317" s="11">
        <f>ROUND(
IF(L1315="GANCHO",
   IF(I1317&lt;=50,I1317*1.1+4,IF(I1317&lt;=120,I1317*1.1+7,IF(I1317&lt;=250,I1317*1.1+11,I1317*1.1+19))),
IF(L1315="NORMAL",
   IF(I1317&lt;=30,I1317*1.15+2,IF(I1317&lt;=80,I1317*1.15+4,IF(I1317&lt;=150,I1317*1.15+6,I1317*1.15+8))),
IF(L1315="COMPLEMENTO",
   IF(I1317&lt;=25,I1317*1.25+1.5,IF(I1317&lt;=60,I1317*1.25+3,IF(I1317&lt;=120,I1317*1.25+4,I1317*1.25+5))),
""))),2)</f>
        <v>89</v>
      </c>
      <c r="I1317" s="9">
        <f>($K$2+0.02)*Tabla1[[#This Row],[PRECIO $]]*1.18</f>
        <v>73.915199999999999</v>
      </c>
      <c r="J1317" s="7">
        <f>+Tabla1[[#This Row],[PRECIO EN SOLES]]-Tabla1[[#This Row],[PC]]</f>
        <v>15.084800000000001</v>
      </c>
      <c r="K1317" s="15"/>
      <c r="L1317" s="15" t="str">
        <f>IF(
OR(
ISNUMBER(SEARCH("BACKPACK",B1319)),
ISNUMBER(SEARCH("MOCHILA",B1319)),
ISNUMBER(SEARCH("FUNDA",B1319)),
ISNUMBER(SEARCH("ESTUCHE",B1319)),
ISNUMBER(SEARCH("BOOK COVER",B1319)),
ISNUMBER(SEARCH("KEYBOARD PARA TABLET",B1319)),
ISNUMBER(SEARCH("FLIP TABLET",B1319)),
ISNUMBER(SEARCH("CASE FOR TABLET",B1319)),
ISNUMBER(SEARCH("CABLE",B1319)),
ISNUMBER(SEARCH("ADAPTADOR",B1319)),
ISNUMBER(SEARCH("HUB",B1319)),
ISNUMBER(SEARCH("DOCK",B1319)),
ISNUMBER(SEARCH("MOUSE PAD",B1319)),
ISNUMBER(SEARCH("MOUSEPAD",B1319)),
ISNUMBER(SEARCH("SOPORTE",B1319)),
ISNUMBER(SEARCH("STAND",B1319)),
ISNUMBER(SEARCH("TRAVEL ADAPTER",B1319)),
ISNUMBER(SEARCH("RJ45",B1319)),
ISNUMBER(SEARCH("USB-C",B1319)),
ISNUMBER(SEARCH("USB WIFI",B1319)),
ISNUMBER(SEARCH("POWERBANK",B1319)),
ISNUMBER(SEARCH("CARGADOR",B1319)),
ISNUMBER(SEARCH("COOLER PARA NB",B1319)),
ISNUMBER(SEARCH("SOPORTE PARA NB",B1319)),
ISNUMBER(SEARCH("WEBCAM",B1319)),
ISNUMBER(SEARCH("WEB CAM",B1319)),
ISNUMBER(SEARCH("MOUSE",B1319)),
ISNUMBER(SEARCH("TECLADO",B1319))
),
"COMPLEMENTO",
IF(
OR(
LEFT(A1319,2)="NB",
LEFT(A1319,2)="PC",
LEFT(A1319,2)="WS",
LEFT(A1319,2)="TB",
LEFT(A1319,3)="CEL",
LEFT(A1319,3)="MON",
LEFT(A1319,3)="PRE",
LEFT(A1319,3)="PRH",
ISNUMBER(SEARCH("NOTEBOOK",B1319)),
ISNUMBER(SEARCH("LAPTOP",B1319)),
ISNUMBER(SEARCH("MONITOR",B1319)),
ISNUMBER(SEARCH("TABLET",B1319)),
ISNUMBER(SEARCH("SMARTPH",B1319)),
ISNUMBER(SEARCH("IMPRESORA",B1319)),
ISNUMBER(SEARCH("MULTIFUNCIONAL",B1319)),
ISNUMBER(SEARCH("AIO",B1319))
),
"GANCHO",
"NORMAL"
)
)</f>
        <v>NORMAL</v>
      </c>
    </row>
    <row r="1318" spans="1:12" x14ac:dyDescent="0.25">
      <c r="A1318" s="3" t="s">
        <v>4738</v>
      </c>
      <c r="B1318" s="3" t="s">
        <v>4739</v>
      </c>
      <c r="C1318" s="1">
        <v>20</v>
      </c>
      <c r="D1318" s="1">
        <v>45.51</v>
      </c>
      <c r="E1318" s="1" t="s">
        <v>424</v>
      </c>
      <c r="F1318" s="1" t="s">
        <v>4740</v>
      </c>
      <c r="G1318" s="3" t="s">
        <v>4741</v>
      </c>
      <c r="H1318" s="11">
        <f>ROUND(
IF(L1316="GANCHO",
   IF(I1318&lt;=50,I1318*1.1+4,IF(I1318&lt;=120,I1318*1.1+7,IF(I1318&lt;=250,I1318*1.1+11,I1318*1.1+19))),
IF(L1316="NORMAL",
   IF(I1318&lt;=30,I1318*1.15+2,IF(I1318&lt;=80,I1318*1.15+4,IF(I1318&lt;=150,I1318*1.15+6,I1318*1.15+8))),
IF(L1316="COMPLEMENTO",
   IF(I1318&lt;=25,I1318*1.25+1.5,IF(I1318&lt;=60,I1318*1.25+3,IF(I1318&lt;=120,I1318*1.25+4,I1318*1.25+5))),
""))),2)</f>
        <v>222.91</v>
      </c>
      <c r="I1318" s="9">
        <f>($K$2+0.02)*Tabla1[[#This Row],[PRECIO $]]*1.18</f>
        <v>186.88226399999999</v>
      </c>
      <c r="J1318" s="7">
        <f>+Tabla1[[#This Row],[PRECIO EN SOLES]]-Tabla1[[#This Row],[PC]]</f>
        <v>36.027736000000004</v>
      </c>
      <c r="K1318" s="15"/>
      <c r="L1318" s="15" t="str">
        <f>IF(
OR(
ISNUMBER(SEARCH("BACKPACK",B1320)),
ISNUMBER(SEARCH("MOCHILA",B1320)),
ISNUMBER(SEARCH("FUNDA",B1320)),
ISNUMBER(SEARCH("ESTUCHE",B1320)),
ISNUMBER(SEARCH("BOOK COVER",B1320)),
ISNUMBER(SEARCH("KEYBOARD PARA TABLET",B1320)),
ISNUMBER(SEARCH("FLIP TABLET",B1320)),
ISNUMBER(SEARCH("CASE FOR TABLET",B1320)),
ISNUMBER(SEARCH("CABLE",B1320)),
ISNUMBER(SEARCH("ADAPTADOR",B1320)),
ISNUMBER(SEARCH("HUB",B1320)),
ISNUMBER(SEARCH("DOCK",B1320)),
ISNUMBER(SEARCH("MOUSE PAD",B1320)),
ISNUMBER(SEARCH("MOUSEPAD",B1320)),
ISNUMBER(SEARCH("SOPORTE",B1320)),
ISNUMBER(SEARCH("STAND",B1320)),
ISNUMBER(SEARCH("TRAVEL ADAPTER",B1320)),
ISNUMBER(SEARCH("RJ45",B1320)),
ISNUMBER(SEARCH("USB-C",B1320)),
ISNUMBER(SEARCH("USB WIFI",B1320)),
ISNUMBER(SEARCH("POWERBANK",B1320)),
ISNUMBER(SEARCH("CARGADOR",B1320)),
ISNUMBER(SEARCH("COOLER PARA NB",B1320)),
ISNUMBER(SEARCH("SOPORTE PARA NB",B1320)),
ISNUMBER(SEARCH("WEBCAM",B1320)),
ISNUMBER(SEARCH("WEB CAM",B1320)),
ISNUMBER(SEARCH("MOUSE",B1320)),
ISNUMBER(SEARCH("TECLADO",B1320))
),
"COMPLEMENTO",
IF(
OR(
LEFT(A1320,2)="NB",
LEFT(A1320,2)="PC",
LEFT(A1320,2)="WS",
LEFT(A1320,2)="TB",
LEFT(A1320,3)="CEL",
LEFT(A1320,3)="MON",
LEFT(A1320,3)="PRE",
LEFT(A1320,3)="PRH",
ISNUMBER(SEARCH("NOTEBOOK",B1320)),
ISNUMBER(SEARCH("LAPTOP",B1320)),
ISNUMBER(SEARCH("MONITOR",B1320)),
ISNUMBER(SEARCH("TABLET",B1320)),
ISNUMBER(SEARCH("SMARTPH",B1320)),
ISNUMBER(SEARCH("IMPRESORA",B1320)),
ISNUMBER(SEARCH("MULTIFUNCIONAL",B1320)),
ISNUMBER(SEARCH("AIO",B1320))
),
"GANCHO",
"NORMAL"
)
)</f>
        <v>NORMAL</v>
      </c>
    </row>
    <row r="1319" spans="1:12" x14ac:dyDescent="0.25">
      <c r="A1319" s="3" t="s">
        <v>2172</v>
      </c>
      <c r="B1319" s="3" t="s">
        <v>2173</v>
      </c>
      <c r="C1319" s="1">
        <v>20</v>
      </c>
      <c r="D1319" s="1">
        <v>85.5</v>
      </c>
      <c r="E1319" s="1" t="s">
        <v>54</v>
      </c>
      <c r="F1319" s="1" t="s">
        <v>3850</v>
      </c>
      <c r="G1319" s="3" t="s">
        <v>2174</v>
      </c>
      <c r="H1319" s="11">
        <f>ROUND(
IF(L1317="GANCHO",
   IF(I1319&lt;=50,I1319*1.1+4,IF(I1319&lt;=120,I1319*1.1+7,IF(I1319&lt;=250,I1319*1.1+11,I1319*1.1+19))),
IF(L1317="NORMAL",
   IF(I1319&lt;=30,I1319*1.15+2,IF(I1319&lt;=80,I1319*1.15+4,IF(I1319&lt;=150,I1319*1.15+6,I1319*1.15+8))),
IF(L1317="COMPLEMENTO",
   IF(I1319&lt;=25,I1319*1.25+1.5,IF(I1319&lt;=60,I1319*1.25+3,IF(I1319&lt;=120,I1319*1.25+4,I1319*1.25+5))),
""))),2)</f>
        <v>411.76</v>
      </c>
      <c r="I1319" s="9">
        <f>($K$2+0.02)*Tabla1[[#This Row],[PRECIO $]]*1.18</f>
        <v>351.09719999999999</v>
      </c>
      <c r="J1319" s="7">
        <f>+Tabla1[[#This Row],[PRECIO EN SOLES]]-Tabla1[[#This Row],[PC]]</f>
        <v>60.662800000000004</v>
      </c>
      <c r="K1319" s="15"/>
      <c r="L1319" s="15" t="str">
        <f>IF(
OR(
ISNUMBER(SEARCH("BACKPACK",B1321)),
ISNUMBER(SEARCH("MOCHILA",B1321)),
ISNUMBER(SEARCH("FUNDA",B1321)),
ISNUMBER(SEARCH("ESTUCHE",B1321)),
ISNUMBER(SEARCH("BOOK COVER",B1321)),
ISNUMBER(SEARCH("KEYBOARD PARA TABLET",B1321)),
ISNUMBER(SEARCH("FLIP TABLET",B1321)),
ISNUMBER(SEARCH("CASE FOR TABLET",B1321)),
ISNUMBER(SEARCH("CABLE",B1321)),
ISNUMBER(SEARCH("ADAPTADOR",B1321)),
ISNUMBER(SEARCH("HUB",B1321)),
ISNUMBER(SEARCH("DOCK",B1321)),
ISNUMBER(SEARCH("MOUSE PAD",B1321)),
ISNUMBER(SEARCH("MOUSEPAD",B1321)),
ISNUMBER(SEARCH("SOPORTE",B1321)),
ISNUMBER(SEARCH("STAND",B1321)),
ISNUMBER(SEARCH("TRAVEL ADAPTER",B1321)),
ISNUMBER(SEARCH("RJ45",B1321)),
ISNUMBER(SEARCH("USB-C",B1321)),
ISNUMBER(SEARCH("USB WIFI",B1321)),
ISNUMBER(SEARCH("POWERBANK",B1321)),
ISNUMBER(SEARCH("CARGADOR",B1321)),
ISNUMBER(SEARCH("COOLER PARA NB",B1321)),
ISNUMBER(SEARCH("SOPORTE PARA NB",B1321)),
ISNUMBER(SEARCH("WEBCAM",B1321)),
ISNUMBER(SEARCH("WEB CAM",B1321)),
ISNUMBER(SEARCH("MOUSE",B1321)),
ISNUMBER(SEARCH("TECLADO",B1321))
),
"COMPLEMENTO",
IF(
OR(
LEFT(A1321,2)="NB",
LEFT(A1321,2)="PC",
LEFT(A1321,2)="WS",
LEFT(A1321,2)="TB",
LEFT(A1321,3)="CEL",
LEFT(A1321,3)="MON",
LEFT(A1321,3)="PRE",
LEFT(A1321,3)="PRH",
ISNUMBER(SEARCH("NOTEBOOK",B1321)),
ISNUMBER(SEARCH("LAPTOP",B1321)),
ISNUMBER(SEARCH("MONITOR",B1321)),
ISNUMBER(SEARCH("TABLET",B1321)),
ISNUMBER(SEARCH("SMARTPH",B1321)),
ISNUMBER(SEARCH("IMPRESORA",B1321)),
ISNUMBER(SEARCH("MULTIFUNCIONAL",B1321)),
ISNUMBER(SEARCH("AIO",B1321))
),
"GANCHO",
"NORMAL"
)
)</f>
        <v>NORMAL</v>
      </c>
    </row>
    <row r="1320" spans="1:12" x14ac:dyDescent="0.25">
      <c r="A1320" s="3" t="s">
        <v>2175</v>
      </c>
      <c r="B1320" s="3" t="s">
        <v>2176</v>
      </c>
      <c r="C1320" s="1">
        <v>4</v>
      </c>
      <c r="D1320" s="1">
        <v>3480</v>
      </c>
      <c r="E1320" s="1" t="s">
        <v>2002</v>
      </c>
      <c r="F1320" s="1" t="s">
        <v>3851</v>
      </c>
      <c r="G1320" s="3"/>
      <c r="H1320" s="11">
        <f>ROUND(
IF(L1318="GANCHO",
   IF(I1320&lt;=50,I1320*1.1+4,IF(I1320&lt;=120,I1320*1.1+7,IF(I1320&lt;=250,I1320*1.1+11,I1320*1.1+19))),
IF(L1318="NORMAL",
   IF(I1320&lt;=30,I1320*1.15+2,IF(I1320&lt;=80,I1320*1.15+4,IF(I1320&lt;=150,I1320*1.15+6,I1320*1.15+8))),
IF(L1318="COMPLEMENTO",
   IF(I1320&lt;=25,I1320*1.25+1.5,IF(I1320&lt;=60,I1320*1.25+3,IF(I1320&lt;=120,I1320*1.25+4,I1320*1.25+5))),
""))),2)</f>
        <v>16441.810000000001</v>
      </c>
      <c r="I1320" s="9">
        <f>($K$2+0.02)*Tabla1[[#This Row],[PRECIO $]]*1.18</f>
        <v>14290.271999999999</v>
      </c>
      <c r="J1320" s="7">
        <f>+Tabla1[[#This Row],[PRECIO EN SOLES]]-Tabla1[[#This Row],[PC]]</f>
        <v>2151.5380000000023</v>
      </c>
      <c r="K1320" s="15"/>
      <c r="L1320" s="15" t="str">
        <f>IF(
OR(
ISNUMBER(SEARCH("BACKPACK",B1322)),
ISNUMBER(SEARCH("MOCHILA",B1322)),
ISNUMBER(SEARCH("FUNDA",B1322)),
ISNUMBER(SEARCH("ESTUCHE",B1322)),
ISNUMBER(SEARCH("BOOK COVER",B1322)),
ISNUMBER(SEARCH("KEYBOARD PARA TABLET",B1322)),
ISNUMBER(SEARCH("FLIP TABLET",B1322)),
ISNUMBER(SEARCH("CASE FOR TABLET",B1322)),
ISNUMBER(SEARCH("CABLE",B1322)),
ISNUMBER(SEARCH("ADAPTADOR",B1322)),
ISNUMBER(SEARCH("HUB",B1322)),
ISNUMBER(SEARCH("DOCK",B1322)),
ISNUMBER(SEARCH("MOUSE PAD",B1322)),
ISNUMBER(SEARCH("MOUSEPAD",B1322)),
ISNUMBER(SEARCH("SOPORTE",B1322)),
ISNUMBER(SEARCH("STAND",B1322)),
ISNUMBER(SEARCH("TRAVEL ADAPTER",B1322)),
ISNUMBER(SEARCH("RJ45",B1322)),
ISNUMBER(SEARCH("USB-C",B1322)),
ISNUMBER(SEARCH("USB WIFI",B1322)),
ISNUMBER(SEARCH("POWERBANK",B1322)),
ISNUMBER(SEARCH("CARGADOR",B1322)),
ISNUMBER(SEARCH("COOLER PARA NB",B1322)),
ISNUMBER(SEARCH("SOPORTE PARA NB",B1322)),
ISNUMBER(SEARCH("WEBCAM",B1322)),
ISNUMBER(SEARCH("WEB CAM",B1322)),
ISNUMBER(SEARCH("MOUSE",B1322)),
ISNUMBER(SEARCH("TECLADO",B1322))
),
"COMPLEMENTO",
IF(
OR(
LEFT(A1322,2)="NB",
LEFT(A1322,2)="PC",
LEFT(A1322,2)="WS",
LEFT(A1322,2)="TB",
LEFT(A1322,3)="CEL",
LEFT(A1322,3)="MON",
LEFT(A1322,3)="PRE",
LEFT(A1322,3)="PRH",
ISNUMBER(SEARCH("NOTEBOOK",B1322)),
ISNUMBER(SEARCH("LAPTOP",B1322)),
ISNUMBER(SEARCH("MONITOR",B1322)),
ISNUMBER(SEARCH("TABLET",B1322)),
ISNUMBER(SEARCH("SMARTPH",B1322)),
ISNUMBER(SEARCH("IMPRESORA",B1322)),
ISNUMBER(SEARCH("MULTIFUNCIONAL",B1322)),
ISNUMBER(SEARCH("AIO",B1322))
),
"GANCHO",
"NORMAL"
)
)</f>
        <v>NORMAL</v>
      </c>
    </row>
    <row r="1321" spans="1:12" x14ac:dyDescent="0.25">
      <c r="A1321" s="3" t="s">
        <v>2177</v>
      </c>
      <c r="B1321" s="3" t="s">
        <v>2178</v>
      </c>
      <c r="C1321" s="1">
        <v>2</v>
      </c>
      <c r="D1321" s="1">
        <v>6343.56</v>
      </c>
      <c r="E1321" s="1" t="s">
        <v>2002</v>
      </c>
      <c r="F1321" s="1" t="s">
        <v>3852</v>
      </c>
      <c r="G1321" s="3"/>
      <c r="H1321" s="11">
        <f>ROUND(
IF(L1319="GANCHO",
   IF(I1321&lt;=50,I1321*1.1+4,IF(I1321&lt;=120,I1321*1.1+7,IF(I1321&lt;=250,I1321*1.1+11,I1321*1.1+19))),
IF(L1319="NORMAL",
   IF(I1321&lt;=30,I1321*1.15+2,IF(I1321&lt;=80,I1321*1.15+4,IF(I1321&lt;=150,I1321*1.15+6,I1321*1.15+8))),
IF(L1319="COMPLEMENTO",
   IF(I1321&lt;=25,I1321*1.25+1.5,IF(I1321&lt;=60,I1321*1.25+3,IF(I1321&lt;=120,I1321*1.25+4,I1321*1.25+5))),
""))),2)</f>
        <v>29964.57</v>
      </c>
      <c r="I1321" s="9">
        <f>($K$2+0.02)*Tabla1[[#This Row],[PRECIO $]]*1.18</f>
        <v>26049.194783999999</v>
      </c>
      <c r="J1321" s="7">
        <f>+Tabla1[[#This Row],[PRECIO EN SOLES]]-Tabla1[[#This Row],[PC]]</f>
        <v>3915.3752160000004</v>
      </c>
      <c r="K1321" s="15"/>
      <c r="L1321" s="15" t="str">
        <f>IF(
OR(
ISNUMBER(SEARCH("BACKPACK",B1323)),
ISNUMBER(SEARCH("MOCHILA",B1323)),
ISNUMBER(SEARCH("FUNDA",B1323)),
ISNUMBER(SEARCH("ESTUCHE",B1323)),
ISNUMBER(SEARCH("BOOK COVER",B1323)),
ISNUMBER(SEARCH("KEYBOARD PARA TABLET",B1323)),
ISNUMBER(SEARCH("FLIP TABLET",B1323)),
ISNUMBER(SEARCH("CASE FOR TABLET",B1323)),
ISNUMBER(SEARCH("CABLE",B1323)),
ISNUMBER(SEARCH("ADAPTADOR",B1323)),
ISNUMBER(SEARCH("HUB",B1323)),
ISNUMBER(SEARCH("DOCK",B1323)),
ISNUMBER(SEARCH("MOUSE PAD",B1323)),
ISNUMBER(SEARCH("MOUSEPAD",B1323)),
ISNUMBER(SEARCH("SOPORTE",B1323)),
ISNUMBER(SEARCH("STAND",B1323)),
ISNUMBER(SEARCH("TRAVEL ADAPTER",B1323)),
ISNUMBER(SEARCH("RJ45",B1323)),
ISNUMBER(SEARCH("USB-C",B1323)),
ISNUMBER(SEARCH("USB WIFI",B1323)),
ISNUMBER(SEARCH("POWERBANK",B1323)),
ISNUMBER(SEARCH("CARGADOR",B1323)),
ISNUMBER(SEARCH("COOLER PARA NB",B1323)),
ISNUMBER(SEARCH("SOPORTE PARA NB",B1323)),
ISNUMBER(SEARCH("WEBCAM",B1323)),
ISNUMBER(SEARCH("WEB CAM",B1323)),
ISNUMBER(SEARCH("MOUSE",B1323)),
ISNUMBER(SEARCH("TECLADO",B1323))
),
"COMPLEMENTO",
IF(
OR(
LEFT(A1323,2)="NB",
LEFT(A1323,2)="PC",
LEFT(A1323,2)="WS",
LEFT(A1323,2)="TB",
LEFT(A1323,3)="CEL",
LEFT(A1323,3)="MON",
LEFT(A1323,3)="PRE",
LEFT(A1323,3)="PRH",
ISNUMBER(SEARCH("NOTEBOOK",B1323)),
ISNUMBER(SEARCH("LAPTOP",B1323)),
ISNUMBER(SEARCH("MONITOR",B1323)),
ISNUMBER(SEARCH("TABLET",B1323)),
ISNUMBER(SEARCH("SMARTPH",B1323)),
ISNUMBER(SEARCH("IMPRESORA",B1323)),
ISNUMBER(SEARCH("MULTIFUNCIONAL",B1323)),
ISNUMBER(SEARCH("AIO",B1323))
),
"GANCHO",
"NORMAL"
)
)</f>
        <v>NORMAL</v>
      </c>
    </row>
    <row r="1322" spans="1:12" x14ac:dyDescent="0.25">
      <c r="A1322" s="3" t="s">
        <v>2986</v>
      </c>
      <c r="B1322" s="3" t="s">
        <v>2987</v>
      </c>
      <c r="C1322" s="1">
        <v>1</v>
      </c>
      <c r="D1322" s="1">
        <v>2900</v>
      </c>
      <c r="E1322" s="1" t="s">
        <v>2002</v>
      </c>
      <c r="F1322" s="1" t="s">
        <v>3853</v>
      </c>
      <c r="G1322" s="3" t="s">
        <v>2988</v>
      </c>
      <c r="H1322" s="11">
        <f>ROUND(
IF(L1320="GANCHO",
   IF(I1322&lt;=50,I1322*1.1+4,IF(I1322&lt;=120,I1322*1.1+7,IF(I1322&lt;=250,I1322*1.1+11,I1322*1.1+19))),
IF(L1320="NORMAL",
   IF(I1322&lt;=30,I1322*1.15+2,IF(I1322&lt;=80,I1322*1.15+4,IF(I1322&lt;=150,I1322*1.15+6,I1322*1.15+8))),
IF(L1320="COMPLEMENTO",
   IF(I1322&lt;=25,I1322*1.25+1.5,IF(I1322&lt;=60,I1322*1.25+3,IF(I1322&lt;=120,I1322*1.25+4,I1322*1.25+5))),
""))),2)</f>
        <v>13702.84</v>
      </c>
      <c r="I1322" s="9">
        <f>($K$2+0.02)*Tabla1[[#This Row],[PRECIO $]]*1.18</f>
        <v>11908.56</v>
      </c>
      <c r="J1322" s="7">
        <f>+Tabla1[[#This Row],[PRECIO EN SOLES]]-Tabla1[[#This Row],[PC]]</f>
        <v>1794.2800000000007</v>
      </c>
      <c r="K1322" s="15"/>
      <c r="L1322" s="15" t="str">
        <f>IF(
OR(
ISNUMBER(SEARCH("BACKPACK",B1324)),
ISNUMBER(SEARCH("MOCHILA",B1324)),
ISNUMBER(SEARCH("FUNDA",B1324)),
ISNUMBER(SEARCH("ESTUCHE",B1324)),
ISNUMBER(SEARCH("BOOK COVER",B1324)),
ISNUMBER(SEARCH("KEYBOARD PARA TABLET",B1324)),
ISNUMBER(SEARCH("FLIP TABLET",B1324)),
ISNUMBER(SEARCH("CASE FOR TABLET",B1324)),
ISNUMBER(SEARCH("CABLE",B1324)),
ISNUMBER(SEARCH("ADAPTADOR",B1324)),
ISNUMBER(SEARCH("HUB",B1324)),
ISNUMBER(SEARCH("DOCK",B1324)),
ISNUMBER(SEARCH("MOUSE PAD",B1324)),
ISNUMBER(SEARCH("MOUSEPAD",B1324)),
ISNUMBER(SEARCH("SOPORTE",B1324)),
ISNUMBER(SEARCH("STAND",B1324)),
ISNUMBER(SEARCH("TRAVEL ADAPTER",B1324)),
ISNUMBER(SEARCH("RJ45",B1324)),
ISNUMBER(SEARCH("USB-C",B1324)),
ISNUMBER(SEARCH("USB WIFI",B1324)),
ISNUMBER(SEARCH("POWERBANK",B1324)),
ISNUMBER(SEARCH("CARGADOR",B1324)),
ISNUMBER(SEARCH("COOLER PARA NB",B1324)),
ISNUMBER(SEARCH("SOPORTE PARA NB",B1324)),
ISNUMBER(SEARCH("WEBCAM",B1324)),
ISNUMBER(SEARCH("WEB CAM",B1324)),
ISNUMBER(SEARCH("MOUSE",B1324)),
ISNUMBER(SEARCH("TECLADO",B1324))
),
"COMPLEMENTO",
IF(
OR(
LEFT(A1324,2)="NB",
LEFT(A1324,2)="PC",
LEFT(A1324,2)="WS",
LEFT(A1324,2)="TB",
LEFT(A1324,3)="CEL",
LEFT(A1324,3)="MON",
LEFT(A1324,3)="PRE",
LEFT(A1324,3)="PRH",
ISNUMBER(SEARCH("NOTEBOOK",B1324)),
ISNUMBER(SEARCH("LAPTOP",B1324)),
ISNUMBER(SEARCH("MONITOR",B1324)),
ISNUMBER(SEARCH("TABLET",B1324)),
ISNUMBER(SEARCH("SMARTPH",B1324)),
ISNUMBER(SEARCH("IMPRESORA",B1324)),
ISNUMBER(SEARCH("MULTIFUNCIONAL",B1324)),
ISNUMBER(SEARCH("AIO",B1324))
),
"GANCHO",
"NORMAL"
)
)</f>
        <v>NORMAL</v>
      </c>
    </row>
    <row r="1323" spans="1:12" x14ac:dyDescent="0.25">
      <c r="A1323" s="3" t="s">
        <v>6125</v>
      </c>
      <c r="B1323" s="3" t="s">
        <v>6126</v>
      </c>
      <c r="C1323" s="1">
        <v>3</v>
      </c>
      <c r="D1323" s="1">
        <v>4744.43</v>
      </c>
      <c r="E1323" s="1" t="s">
        <v>2002</v>
      </c>
      <c r="F1323" s="1" t="s">
        <v>6127</v>
      </c>
      <c r="G1323" s="3"/>
      <c r="H1323" s="11">
        <f>ROUND(
IF(L1321="GANCHO",
   IF(I1323&lt;=50,I1323*1.1+4,IF(I1323&lt;=120,I1323*1.1+7,IF(I1323&lt;=250,I1323*1.1+11,I1323*1.1+19))),
IF(L1321="NORMAL",
   IF(I1323&lt;=30,I1323*1.15+2,IF(I1323&lt;=80,I1323*1.15+4,IF(I1323&lt;=150,I1323*1.15+6,I1323*1.15+8))),
IF(L1321="COMPLEMENTO",
   IF(I1323&lt;=25,I1323*1.25+1.5,IF(I1323&lt;=60,I1323*1.25+3,IF(I1323&lt;=120,I1323*1.25+4,I1323*1.25+5))),
""))),2)</f>
        <v>22412.91</v>
      </c>
      <c r="I1323" s="9">
        <f>($K$2+0.02)*Tabla1[[#This Row],[PRECIO $]]*1.18</f>
        <v>19482.527352000001</v>
      </c>
      <c r="J1323" s="7">
        <f>+Tabla1[[#This Row],[PRECIO EN SOLES]]-Tabla1[[#This Row],[PC]]</f>
        <v>2930.3826479999989</v>
      </c>
      <c r="K1323" s="15"/>
      <c r="L1323" s="15" t="str">
        <f>IF(
OR(
ISNUMBER(SEARCH("BACKPACK",B1325)),
ISNUMBER(SEARCH("MOCHILA",B1325)),
ISNUMBER(SEARCH("FUNDA",B1325)),
ISNUMBER(SEARCH("ESTUCHE",B1325)),
ISNUMBER(SEARCH("BOOK COVER",B1325)),
ISNUMBER(SEARCH("KEYBOARD PARA TABLET",B1325)),
ISNUMBER(SEARCH("FLIP TABLET",B1325)),
ISNUMBER(SEARCH("CASE FOR TABLET",B1325)),
ISNUMBER(SEARCH("CABLE",B1325)),
ISNUMBER(SEARCH("ADAPTADOR",B1325)),
ISNUMBER(SEARCH("HUB",B1325)),
ISNUMBER(SEARCH("DOCK",B1325)),
ISNUMBER(SEARCH("MOUSE PAD",B1325)),
ISNUMBER(SEARCH("MOUSEPAD",B1325)),
ISNUMBER(SEARCH("SOPORTE",B1325)),
ISNUMBER(SEARCH("STAND",B1325)),
ISNUMBER(SEARCH("TRAVEL ADAPTER",B1325)),
ISNUMBER(SEARCH("RJ45",B1325)),
ISNUMBER(SEARCH("USB-C",B1325)),
ISNUMBER(SEARCH("USB WIFI",B1325)),
ISNUMBER(SEARCH("POWERBANK",B1325)),
ISNUMBER(SEARCH("CARGADOR",B1325)),
ISNUMBER(SEARCH("COOLER PARA NB",B1325)),
ISNUMBER(SEARCH("SOPORTE PARA NB",B1325)),
ISNUMBER(SEARCH("WEBCAM",B1325)),
ISNUMBER(SEARCH("WEB CAM",B1325)),
ISNUMBER(SEARCH("MOUSE",B1325)),
ISNUMBER(SEARCH("TECLADO",B1325))
),
"COMPLEMENTO",
IF(
OR(
LEFT(A1325,2)="NB",
LEFT(A1325,2)="PC",
LEFT(A1325,2)="WS",
LEFT(A1325,2)="TB",
LEFT(A1325,3)="CEL",
LEFT(A1325,3)="MON",
LEFT(A1325,3)="PRE",
LEFT(A1325,3)="PRH",
ISNUMBER(SEARCH("NOTEBOOK",B1325)),
ISNUMBER(SEARCH("LAPTOP",B1325)),
ISNUMBER(SEARCH("MONITOR",B1325)),
ISNUMBER(SEARCH("TABLET",B1325)),
ISNUMBER(SEARCH("SMARTPH",B1325)),
ISNUMBER(SEARCH("IMPRESORA",B1325)),
ISNUMBER(SEARCH("MULTIFUNCIONAL",B1325)),
ISNUMBER(SEARCH("AIO",B1325))
),
"GANCHO",
"NORMAL"
)
)</f>
        <v>NORMAL</v>
      </c>
    </row>
    <row r="1324" spans="1:12" x14ac:dyDescent="0.25">
      <c r="A1324" s="3" t="s">
        <v>2179</v>
      </c>
      <c r="B1324" s="3" t="s">
        <v>2180</v>
      </c>
      <c r="C1324" s="1">
        <v>1</v>
      </c>
      <c r="D1324" s="1">
        <v>2090</v>
      </c>
      <c r="E1324" s="1" t="s">
        <v>2002</v>
      </c>
      <c r="F1324" s="1" t="s">
        <v>3854</v>
      </c>
      <c r="G1324" s="3"/>
      <c r="H1324" s="11">
        <f>ROUND(
IF(L1322="GANCHO",
   IF(I1324&lt;=50,I1324*1.1+4,IF(I1324&lt;=120,I1324*1.1+7,IF(I1324&lt;=250,I1324*1.1+11,I1324*1.1+19))),
IF(L1322="NORMAL",
   IF(I1324&lt;=30,I1324*1.15+2,IF(I1324&lt;=80,I1324*1.15+4,IF(I1324&lt;=150,I1324*1.15+6,I1324*1.15+8))),
IF(L1322="COMPLEMENTO",
   IF(I1324&lt;=25,I1324*1.25+1.5,IF(I1324&lt;=60,I1324*1.25+3,IF(I1324&lt;=120,I1324*1.25+4,I1324*1.25+5))),
""))),2)</f>
        <v>9877.73</v>
      </c>
      <c r="I1324" s="9">
        <f>($K$2+0.02)*Tabla1[[#This Row],[PRECIO $]]*1.18</f>
        <v>8582.3760000000002</v>
      </c>
      <c r="J1324" s="7">
        <f>+Tabla1[[#This Row],[PRECIO EN SOLES]]-Tabla1[[#This Row],[PC]]</f>
        <v>1295.3539999999994</v>
      </c>
      <c r="K1324" s="15"/>
      <c r="L1324" s="15" t="str">
        <f>IF(
OR(
ISNUMBER(SEARCH("BACKPACK",B1326)),
ISNUMBER(SEARCH("MOCHILA",B1326)),
ISNUMBER(SEARCH("FUNDA",B1326)),
ISNUMBER(SEARCH("ESTUCHE",B1326)),
ISNUMBER(SEARCH("BOOK COVER",B1326)),
ISNUMBER(SEARCH("KEYBOARD PARA TABLET",B1326)),
ISNUMBER(SEARCH("FLIP TABLET",B1326)),
ISNUMBER(SEARCH("CASE FOR TABLET",B1326)),
ISNUMBER(SEARCH("CABLE",B1326)),
ISNUMBER(SEARCH("ADAPTADOR",B1326)),
ISNUMBER(SEARCH("HUB",B1326)),
ISNUMBER(SEARCH("DOCK",B1326)),
ISNUMBER(SEARCH("MOUSE PAD",B1326)),
ISNUMBER(SEARCH("MOUSEPAD",B1326)),
ISNUMBER(SEARCH("SOPORTE",B1326)),
ISNUMBER(SEARCH("STAND",B1326)),
ISNUMBER(SEARCH("TRAVEL ADAPTER",B1326)),
ISNUMBER(SEARCH("RJ45",B1326)),
ISNUMBER(SEARCH("USB-C",B1326)),
ISNUMBER(SEARCH("USB WIFI",B1326)),
ISNUMBER(SEARCH("POWERBANK",B1326)),
ISNUMBER(SEARCH("CARGADOR",B1326)),
ISNUMBER(SEARCH("COOLER PARA NB",B1326)),
ISNUMBER(SEARCH("SOPORTE PARA NB",B1326)),
ISNUMBER(SEARCH("WEBCAM",B1326)),
ISNUMBER(SEARCH("WEB CAM",B1326)),
ISNUMBER(SEARCH("MOUSE",B1326)),
ISNUMBER(SEARCH("TECLADO",B1326))
),
"COMPLEMENTO",
IF(
OR(
LEFT(A1326,2)="NB",
LEFT(A1326,2)="PC",
LEFT(A1326,2)="WS",
LEFT(A1326,2)="TB",
LEFT(A1326,3)="CEL",
LEFT(A1326,3)="MON",
LEFT(A1326,3)="PRE",
LEFT(A1326,3)="PRH",
ISNUMBER(SEARCH("NOTEBOOK",B1326)),
ISNUMBER(SEARCH("LAPTOP",B1326)),
ISNUMBER(SEARCH("MONITOR",B1326)),
ISNUMBER(SEARCH("TABLET",B1326)),
ISNUMBER(SEARCH("SMARTPH",B1326)),
ISNUMBER(SEARCH("IMPRESORA",B1326)),
ISNUMBER(SEARCH("MULTIFUNCIONAL",B1326)),
ISNUMBER(SEARCH("AIO",B1326))
),
"GANCHO",
"NORMAL"
)
)</f>
        <v>NORMAL</v>
      </c>
    </row>
    <row r="1325" spans="1:12" x14ac:dyDescent="0.25">
      <c r="A1325" s="3" t="s">
        <v>2181</v>
      </c>
      <c r="B1325" s="3" t="s">
        <v>2182</v>
      </c>
      <c r="C1325" s="1">
        <v>5</v>
      </c>
      <c r="D1325" s="1">
        <v>1440.4</v>
      </c>
      <c r="E1325" s="1" t="s">
        <v>2002</v>
      </c>
      <c r="F1325" s="1" t="s">
        <v>3855</v>
      </c>
      <c r="G1325" s="3" t="s">
        <v>2183</v>
      </c>
      <c r="H1325" s="11">
        <f>ROUND(
IF(L1323="GANCHO",
   IF(I1325&lt;=50,I1325*1.1+4,IF(I1325&lt;=120,I1325*1.1+7,IF(I1325&lt;=250,I1325*1.1+11,I1325*1.1+19))),
IF(L1323="NORMAL",
   IF(I1325&lt;=30,I1325*1.15+2,IF(I1325&lt;=80,I1325*1.15+4,IF(I1325&lt;=150,I1325*1.15+6,I1325*1.15+8))),
IF(L1323="COMPLEMENTO",
   IF(I1325&lt;=25,I1325*1.25+1.5,IF(I1325&lt;=60,I1325*1.25+3,IF(I1325&lt;=120,I1325*1.25+4,I1325*1.25+5))),
""))),2)</f>
        <v>6810.09</v>
      </c>
      <c r="I1325" s="9">
        <f>($K$2+0.02)*Tabla1[[#This Row],[PRECIO $]]*1.18</f>
        <v>5914.8585600000006</v>
      </c>
      <c r="J1325" s="7">
        <f>+Tabla1[[#This Row],[PRECIO EN SOLES]]-Tabla1[[#This Row],[PC]]</f>
        <v>895.23143999999957</v>
      </c>
      <c r="K1325" s="15"/>
      <c r="L1325" s="15" t="str">
        <f>IF(
OR(
ISNUMBER(SEARCH("BACKPACK",B1327)),
ISNUMBER(SEARCH("MOCHILA",B1327)),
ISNUMBER(SEARCH("FUNDA",B1327)),
ISNUMBER(SEARCH("ESTUCHE",B1327)),
ISNUMBER(SEARCH("BOOK COVER",B1327)),
ISNUMBER(SEARCH("KEYBOARD PARA TABLET",B1327)),
ISNUMBER(SEARCH("FLIP TABLET",B1327)),
ISNUMBER(SEARCH("CASE FOR TABLET",B1327)),
ISNUMBER(SEARCH("CABLE",B1327)),
ISNUMBER(SEARCH("ADAPTADOR",B1327)),
ISNUMBER(SEARCH("HUB",B1327)),
ISNUMBER(SEARCH("DOCK",B1327)),
ISNUMBER(SEARCH("MOUSE PAD",B1327)),
ISNUMBER(SEARCH("MOUSEPAD",B1327)),
ISNUMBER(SEARCH("SOPORTE",B1327)),
ISNUMBER(SEARCH("STAND",B1327)),
ISNUMBER(SEARCH("TRAVEL ADAPTER",B1327)),
ISNUMBER(SEARCH("RJ45",B1327)),
ISNUMBER(SEARCH("USB-C",B1327)),
ISNUMBER(SEARCH("USB WIFI",B1327)),
ISNUMBER(SEARCH("POWERBANK",B1327)),
ISNUMBER(SEARCH("CARGADOR",B1327)),
ISNUMBER(SEARCH("COOLER PARA NB",B1327)),
ISNUMBER(SEARCH("SOPORTE PARA NB",B1327)),
ISNUMBER(SEARCH("WEBCAM",B1327)),
ISNUMBER(SEARCH("WEB CAM",B1327)),
ISNUMBER(SEARCH("MOUSE",B1327)),
ISNUMBER(SEARCH("TECLADO",B1327))
),
"COMPLEMENTO",
IF(
OR(
LEFT(A1327,2)="NB",
LEFT(A1327,2)="PC",
LEFT(A1327,2)="WS",
LEFT(A1327,2)="TB",
LEFT(A1327,3)="CEL",
LEFT(A1327,3)="MON",
LEFT(A1327,3)="PRE",
LEFT(A1327,3)="PRH",
ISNUMBER(SEARCH("NOTEBOOK",B1327)),
ISNUMBER(SEARCH("LAPTOP",B1327)),
ISNUMBER(SEARCH("MONITOR",B1327)),
ISNUMBER(SEARCH("TABLET",B1327)),
ISNUMBER(SEARCH("SMARTPH",B1327)),
ISNUMBER(SEARCH("IMPRESORA",B1327)),
ISNUMBER(SEARCH("MULTIFUNCIONAL",B1327)),
ISNUMBER(SEARCH("AIO",B1327))
),
"GANCHO",
"NORMAL"
)
)</f>
        <v>NORMAL</v>
      </c>
    </row>
    <row r="1326" spans="1:12" x14ac:dyDescent="0.25">
      <c r="A1326" s="3" t="s">
        <v>2184</v>
      </c>
      <c r="B1326" s="3" t="s">
        <v>2182</v>
      </c>
      <c r="C1326" s="1">
        <v>1</v>
      </c>
      <c r="D1326" s="1">
        <v>1396</v>
      </c>
      <c r="E1326" s="1" t="s">
        <v>2002</v>
      </c>
      <c r="F1326" s="1" t="s">
        <v>3856</v>
      </c>
      <c r="G1326" s="3"/>
      <c r="H1326" s="11">
        <f>ROUND(
IF(L1324="GANCHO",
   IF(I1326&lt;=50,I1326*1.1+4,IF(I1326&lt;=120,I1326*1.1+7,IF(I1326&lt;=250,I1326*1.1+11,I1326*1.1+19))),
IF(L1324="NORMAL",
   IF(I1326&lt;=30,I1326*1.15+2,IF(I1326&lt;=80,I1326*1.15+4,IF(I1326&lt;=150,I1326*1.15+6,I1326*1.15+8))),
IF(L1324="COMPLEMENTO",
   IF(I1326&lt;=25,I1326*1.25+1.5,IF(I1326&lt;=60,I1326*1.25+3,IF(I1326&lt;=120,I1326*1.25+4,I1326*1.25+5))),
""))),2)</f>
        <v>6600.41</v>
      </c>
      <c r="I1326" s="9">
        <f>($K$2+0.02)*Tabla1[[#This Row],[PRECIO $]]*1.18</f>
        <v>5732.5343999999996</v>
      </c>
      <c r="J1326" s="7">
        <f>+Tabla1[[#This Row],[PRECIO EN SOLES]]-Tabla1[[#This Row],[PC]]</f>
        <v>867.8756000000003</v>
      </c>
      <c r="K1326" s="15"/>
      <c r="L1326" s="15" t="str">
        <f>IF(
OR(
ISNUMBER(SEARCH("BACKPACK",B1328)),
ISNUMBER(SEARCH("MOCHILA",B1328)),
ISNUMBER(SEARCH("FUNDA",B1328)),
ISNUMBER(SEARCH("ESTUCHE",B1328)),
ISNUMBER(SEARCH("BOOK COVER",B1328)),
ISNUMBER(SEARCH("KEYBOARD PARA TABLET",B1328)),
ISNUMBER(SEARCH("FLIP TABLET",B1328)),
ISNUMBER(SEARCH("CASE FOR TABLET",B1328)),
ISNUMBER(SEARCH("CABLE",B1328)),
ISNUMBER(SEARCH("ADAPTADOR",B1328)),
ISNUMBER(SEARCH("HUB",B1328)),
ISNUMBER(SEARCH("DOCK",B1328)),
ISNUMBER(SEARCH("MOUSE PAD",B1328)),
ISNUMBER(SEARCH("MOUSEPAD",B1328)),
ISNUMBER(SEARCH("SOPORTE",B1328)),
ISNUMBER(SEARCH("STAND",B1328)),
ISNUMBER(SEARCH("TRAVEL ADAPTER",B1328)),
ISNUMBER(SEARCH("RJ45",B1328)),
ISNUMBER(SEARCH("USB-C",B1328)),
ISNUMBER(SEARCH("USB WIFI",B1328)),
ISNUMBER(SEARCH("POWERBANK",B1328)),
ISNUMBER(SEARCH("CARGADOR",B1328)),
ISNUMBER(SEARCH("COOLER PARA NB",B1328)),
ISNUMBER(SEARCH("SOPORTE PARA NB",B1328)),
ISNUMBER(SEARCH("WEBCAM",B1328)),
ISNUMBER(SEARCH("WEB CAM",B1328)),
ISNUMBER(SEARCH("MOUSE",B1328)),
ISNUMBER(SEARCH("TECLADO",B1328))
),
"COMPLEMENTO",
IF(
OR(
LEFT(A1328,2)="NB",
LEFT(A1328,2)="PC",
LEFT(A1328,2)="WS",
LEFT(A1328,2)="TB",
LEFT(A1328,3)="CEL",
LEFT(A1328,3)="MON",
LEFT(A1328,3)="PRE",
LEFT(A1328,3)="PRH",
ISNUMBER(SEARCH("NOTEBOOK",B1328)),
ISNUMBER(SEARCH("LAPTOP",B1328)),
ISNUMBER(SEARCH("MONITOR",B1328)),
ISNUMBER(SEARCH("TABLET",B1328)),
ISNUMBER(SEARCH("SMARTPH",B1328)),
ISNUMBER(SEARCH("IMPRESORA",B1328)),
ISNUMBER(SEARCH("MULTIFUNCIONAL",B1328)),
ISNUMBER(SEARCH("AIO",B1328))
),
"GANCHO",
"NORMAL"
)
)</f>
        <v>NORMAL</v>
      </c>
    </row>
    <row r="1327" spans="1:12" x14ac:dyDescent="0.25">
      <c r="A1327" s="3" t="s">
        <v>2758</v>
      </c>
      <c r="B1327" s="3" t="s">
        <v>2186</v>
      </c>
      <c r="C1327" s="1">
        <v>3</v>
      </c>
      <c r="D1327" s="1">
        <v>957.36</v>
      </c>
      <c r="E1327" s="1" t="s">
        <v>2002</v>
      </c>
      <c r="F1327" s="1" t="s">
        <v>3857</v>
      </c>
      <c r="G1327" s="3" t="s">
        <v>2187</v>
      </c>
      <c r="H1327" s="11">
        <f>ROUND(
IF(L1325="GANCHO",
   IF(I1327&lt;=50,I1327*1.1+4,IF(I1327&lt;=120,I1327*1.1+7,IF(I1327&lt;=250,I1327*1.1+11,I1327*1.1+19))),
IF(L1325="NORMAL",
   IF(I1327&lt;=30,I1327*1.15+2,IF(I1327&lt;=80,I1327*1.15+4,IF(I1327&lt;=150,I1327*1.15+6,I1327*1.15+8))),
IF(L1325="COMPLEMENTO",
   IF(I1327&lt;=25,I1327*1.25+1.5,IF(I1327&lt;=60,I1327*1.25+3,IF(I1327&lt;=120,I1327*1.25+4,I1327*1.25+5))),
""))),2)</f>
        <v>4529</v>
      </c>
      <c r="I1327" s="9">
        <f>($K$2+0.02)*Tabla1[[#This Row],[PRECIO $]]*1.18</f>
        <v>3931.3031039999996</v>
      </c>
      <c r="J1327" s="7">
        <f>+Tabla1[[#This Row],[PRECIO EN SOLES]]-Tabla1[[#This Row],[PC]]</f>
        <v>597.69689600000038</v>
      </c>
      <c r="K1327" s="15"/>
      <c r="L1327" s="15" t="str">
        <f>IF(
OR(
ISNUMBER(SEARCH("BACKPACK",B1329)),
ISNUMBER(SEARCH("MOCHILA",B1329)),
ISNUMBER(SEARCH("FUNDA",B1329)),
ISNUMBER(SEARCH("ESTUCHE",B1329)),
ISNUMBER(SEARCH("BOOK COVER",B1329)),
ISNUMBER(SEARCH("KEYBOARD PARA TABLET",B1329)),
ISNUMBER(SEARCH("FLIP TABLET",B1329)),
ISNUMBER(SEARCH("CASE FOR TABLET",B1329)),
ISNUMBER(SEARCH("CABLE",B1329)),
ISNUMBER(SEARCH("ADAPTADOR",B1329)),
ISNUMBER(SEARCH("HUB",B1329)),
ISNUMBER(SEARCH("DOCK",B1329)),
ISNUMBER(SEARCH("MOUSE PAD",B1329)),
ISNUMBER(SEARCH("MOUSEPAD",B1329)),
ISNUMBER(SEARCH("SOPORTE",B1329)),
ISNUMBER(SEARCH("STAND",B1329)),
ISNUMBER(SEARCH("TRAVEL ADAPTER",B1329)),
ISNUMBER(SEARCH("RJ45",B1329)),
ISNUMBER(SEARCH("USB-C",B1329)),
ISNUMBER(SEARCH("USB WIFI",B1329)),
ISNUMBER(SEARCH("POWERBANK",B1329)),
ISNUMBER(SEARCH("CARGADOR",B1329)),
ISNUMBER(SEARCH("COOLER PARA NB",B1329)),
ISNUMBER(SEARCH("SOPORTE PARA NB",B1329)),
ISNUMBER(SEARCH("WEBCAM",B1329)),
ISNUMBER(SEARCH("WEB CAM",B1329)),
ISNUMBER(SEARCH("MOUSE",B1329)),
ISNUMBER(SEARCH("TECLADO",B1329))
),
"COMPLEMENTO",
IF(
OR(
LEFT(A1329,2)="NB",
LEFT(A1329,2)="PC",
LEFT(A1329,2)="WS",
LEFT(A1329,2)="TB",
LEFT(A1329,3)="CEL",
LEFT(A1329,3)="MON",
LEFT(A1329,3)="PRE",
LEFT(A1329,3)="PRH",
ISNUMBER(SEARCH("NOTEBOOK",B1329)),
ISNUMBER(SEARCH("LAPTOP",B1329)),
ISNUMBER(SEARCH("MONITOR",B1329)),
ISNUMBER(SEARCH("TABLET",B1329)),
ISNUMBER(SEARCH("SMARTPH",B1329)),
ISNUMBER(SEARCH("IMPRESORA",B1329)),
ISNUMBER(SEARCH("MULTIFUNCIONAL",B1329)),
ISNUMBER(SEARCH("AIO",B1329))
),
"GANCHO",
"NORMAL"
)
)</f>
        <v>NORMAL</v>
      </c>
    </row>
    <row r="1328" spans="1:12" x14ac:dyDescent="0.25">
      <c r="A1328" s="3" t="s">
        <v>2185</v>
      </c>
      <c r="B1328" s="3" t="s">
        <v>2186</v>
      </c>
      <c r="C1328" s="1">
        <v>1</v>
      </c>
      <c r="D1328" s="1">
        <v>951.02</v>
      </c>
      <c r="E1328" s="1" t="s">
        <v>2002</v>
      </c>
      <c r="F1328" s="1" t="s">
        <v>3858</v>
      </c>
      <c r="G1328" s="3" t="s">
        <v>2187</v>
      </c>
      <c r="H1328" s="11">
        <f>ROUND(
IF(L1326="GANCHO",
   IF(I1328&lt;=50,I1328*1.1+4,IF(I1328&lt;=120,I1328*1.1+7,IF(I1328&lt;=250,I1328*1.1+11,I1328*1.1+19))),
IF(L1326="NORMAL",
   IF(I1328&lt;=30,I1328*1.15+2,IF(I1328&lt;=80,I1328*1.15+4,IF(I1328&lt;=150,I1328*1.15+6,I1328*1.15+8))),
IF(L1326="COMPLEMENTO",
   IF(I1328&lt;=25,I1328*1.25+1.5,IF(I1328&lt;=60,I1328*1.25+3,IF(I1328&lt;=120,I1328*1.25+4,I1328*1.25+5))),
""))),2)</f>
        <v>4499.0600000000004</v>
      </c>
      <c r="I1328" s="9">
        <f>($K$2+0.02)*Tabla1[[#This Row],[PRECIO $]]*1.18</f>
        <v>3905.2685279999996</v>
      </c>
      <c r="J1328" s="7">
        <f>+Tabla1[[#This Row],[PRECIO EN SOLES]]-Tabla1[[#This Row],[PC]]</f>
        <v>593.79147200000079</v>
      </c>
      <c r="K1328" s="15"/>
      <c r="L1328" s="15" t="str">
        <f>IF(
OR(
ISNUMBER(SEARCH("BACKPACK",B1330)),
ISNUMBER(SEARCH("MOCHILA",B1330)),
ISNUMBER(SEARCH("FUNDA",B1330)),
ISNUMBER(SEARCH("ESTUCHE",B1330)),
ISNUMBER(SEARCH("BOOK COVER",B1330)),
ISNUMBER(SEARCH("KEYBOARD PARA TABLET",B1330)),
ISNUMBER(SEARCH("FLIP TABLET",B1330)),
ISNUMBER(SEARCH("CASE FOR TABLET",B1330)),
ISNUMBER(SEARCH("CABLE",B1330)),
ISNUMBER(SEARCH("ADAPTADOR",B1330)),
ISNUMBER(SEARCH("HUB",B1330)),
ISNUMBER(SEARCH("DOCK",B1330)),
ISNUMBER(SEARCH("MOUSE PAD",B1330)),
ISNUMBER(SEARCH("MOUSEPAD",B1330)),
ISNUMBER(SEARCH("SOPORTE",B1330)),
ISNUMBER(SEARCH("STAND",B1330)),
ISNUMBER(SEARCH("TRAVEL ADAPTER",B1330)),
ISNUMBER(SEARCH("RJ45",B1330)),
ISNUMBER(SEARCH("USB-C",B1330)),
ISNUMBER(SEARCH("USB WIFI",B1330)),
ISNUMBER(SEARCH("POWERBANK",B1330)),
ISNUMBER(SEARCH("CARGADOR",B1330)),
ISNUMBER(SEARCH("COOLER PARA NB",B1330)),
ISNUMBER(SEARCH("SOPORTE PARA NB",B1330)),
ISNUMBER(SEARCH("WEBCAM",B1330)),
ISNUMBER(SEARCH("WEB CAM",B1330)),
ISNUMBER(SEARCH("MOUSE",B1330)),
ISNUMBER(SEARCH("TECLADO",B1330))
),
"COMPLEMENTO",
IF(
OR(
LEFT(A1330,2)="NB",
LEFT(A1330,2)="PC",
LEFT(A1330,2)="WS",
LEFT(A1330,2)="TB",
LEFT(A1330,3)="CEL",
LEFT(A1330,3)="MON",
LEFT(A1330,3)="PRE",
LEFT(A1330,3)="PRH",
ISNUMBER(SEARCH("NOTEBOOK",B1330)),
ISNUMBER(SEARCH("LAPTOP",B1330)),
ISNUMBER(SEARCH("MONITOR",B1330)),
ISNUMBER(SEARCH("TABLET",B1330)),
ISNUMBER(SEARCH("SMARTPH",B1330)),
ISNUMBER(SEARCH("IMPRESORA",B1330)),
ISNUMBER(SEARCH("MULTIFUNCIONAL",B1330)),
ISNUMBER(SEARCH("AIO",B1330))
),
"GANCHO",
"NORMAL"
)
)</f>
        <v>NORMAL</v>
      </c>
    </row>
    <row r="1329" spans="1:12" x14ac:dyDescent="0.25">
      <c r="A1329" s="3" t="s">
        <v>2188</v>
      </c>
      <c r="B1329" s="3" t="s">
        <v>2189</v>
      </c>
      <c r="C1329" s="1">
        <v>7</v>
      </c>
      <c r="D1329" s="1">
        <v>1844.5</v>
      </c>
      <c r="E1329" s="1" t="s">
        <v>2002</v>
      </c>
      <c r="F1329" s="1" t="s">
        <v>3859</v>
      </c>
      <c r="G1329" s="3" t="s">
        <v>2190</v>
      </c>
      <c r="H1329" s="11">
        <f>ROUND(
IF(L1327="GANCHO",
   IF(I1329&lt;=50,I1329*1.1+4,IF(I1329&lt;=120,I1329*1.1+7,IF(I1329&lt;=250,I1329*1.1+11,I1329*1.1+19))),
IF(L1327="NORMAL",
   IF(I1329&lt;=30,I1329*1.15+2,IF(I1329&lt;=80,I1329*1.15+4,IF(I1329&lt;=150,I1329*1.15+6,I1329*1.15+8))),
IF(L1327="COMPLEMENTO",
   IF(I1329&lt;=25,I1329*1.25+1.5,IF(I1329&lt;=60,I1329*1.25+3,IF(I1329&lt;=120,I1329*1.25+4,I1329*1.25+5))),
""))),2)</f>
        <v>8718.39</v>
      </c>
      <c r="I1329" s="9">
        <f>($K$2+0.02)*Tabla1[[#This Row],[PRECIO $]]*1.18</f>
        <v>7574.2547999999988</v>
      </c>
      <c r="J1329" s="7">
        <f>+Tabla1[[#This Row],[PRECIO EN SOLES]]-Tabla1[[#This Row],[PC]]</f>
        <v>1144.1352000000006</v>
      </c>
      <c r="K1329" s="15"/>
      <c r="L1329" s="15" t="str">
        <f>IF(
OR(
ISNUMBER(SEARCH("BACKPACK",B1331)),
ISNUMBER(SEARCH("MOCHILA",B1331)),
ISNUMBER(SEARCH("FUNDA",B1331)),
ISNUMBER(SEARCH("ESTUCHE",B1331)),
ISNUMBER(SEARCH("BOOK COVER",B1331)),
ISNUMBER(SEARCH("KEYBOARD PARA TABLET",B1331)),
ISNUMBER(SEARCH("FLIP TABLET",B1331)),
ISNUMBER(SEARCH("CASE FOR TABLET",B1331)),
ISNUMBER(SEARCH("CABLE",B1331)),
ISNUMBER(SEARCH("ADAPTADOR",B1331)),
ISNUMBER(SEARCH("HUB",B1331)),
ISNUMBER(SEARCH("DOCK",B1331)),
ISNUMBER(SEARCH("MOUSE PAD",B1331)),
ISNUMBER(SEARCH("MOUSEPAD",B1331)),
ISNUMBER(SEARCH("SOPORTE",B1331)),
ISNUMBER(SEARCH("STAND",B1331)),
ISNUMBER(SEARCH("TRAVEL ADAPTER",B1331)),
ISNUMBER(SEARCH("RJ45",B1331)),
ISNUMBER(SEARCH("USB-C",B1331)),
ISNUMBER(SEARCH("USB WIFI",B1331)),
ISNUMBER(SEARCH("POWERBANK",B1331)),
ISNUMBER(SEARCH("CARGADOR",B1331)),
ISNUMBER(SEARCH("COOLER PARA NB",B1331)),
ISNUMBER(SEARCH("SOPORTE PARA NB",B1331)),
ISNUMBER(SEARCH("WEBCAM",B1331)),
ISNUMBER(SEARCH("WEB CAM",B1331)),
ISNUMBER(SEARCH("MOUSE",B1331)),
ISNUMBER(SEARCH("TECLADO",B1331))
),
"COMPLEMENTO",
IF(
OR(
LEFT(A1331,2)="NB",
LEFT(A1331,2)="PC",
LEFT(A1331,2)="WS",
LEFT(A1331,2)="TB",
LEFT(A1331,3)="CEL",
LEFT(A1331,3)="MON",
LEFT(A1331,3)="PRE",
LEFT(A1331,3)="PRH",
ISNUMBER(SEARCH("NOTEBOOK",B1331)),
ISNUMBER(SEARCH("LAPTOP",B1331)),
ISNUMBER(SEARCH("MONITOR",B1331)),
ISNUMBER(SEARCH("TABLET",B1331)),
ISNUMBER(SEARCH("SMARTPH",B1331)),
ISNUMBER(SEARCH("IMPRESORA",B1331)),
ISNUMBER(SEARCH("MULTIFUNCIONAL",B1331)),
ISNUMBER(SEARCH("AIO",B1331))
),
"GANCHO",
"NORMAL"
)
)</f>
        <v>NORMAL</v>
      </c>
    </row>
    <row r="1330" spans="1:12" x14ac:dyDescent="0.25">
      <c r="A1330" s="3" t="s">
        <v>2191</v>
      </c>
      <c r="B1330" s="3" t="s">
        <v>2192</v>
      </c>
      <c r="C1330" s="1">
        <v>2</v>
      </c>
      <c r="D1330" s="1">
        <v>1300</v>
      </c>
      <c r="E1330" s="1" t="s">
        <v>2002</v>
      </c>
      <c r="F1330" s="1" t="s">
        <v>3860</v>
      </c>
      <c r="G1330" s="3" t="s">
        <v>2193</v>
      </c>
      <c r="H1330" s="11">
        <f>ROUND(
IF(L1328="GANCHO",
   IF(I1330&lt;=50,I1330*1.1+4,IF(I1330&lt;=120,I1330*1.1+7,IF(I1330&lt;=250,I1330*1.1+11,I1330*1.1+19))),
IF(L1328="NORMAL",
   IF(I1330&lt;=30,I1330*1.15+2,IF(I1330&lt;=80,I1330*1.15+4,IF(I1330&lt;=150,I1330*1.15+6,I1330*1.15+8))),
IF(L1328="COMPLEMENTO",
   IF(I1330&lt;=25,I1330*1.25+1.5,IF(I1330&lt;=60,I1330*1.25+3,IF(I1330&lt;=120,I1330*1.25+4,I1330*1.25+5))),
""))),2)</f>
        <v>6147.07</v>
      </c>
      <c r="I1330" s="9">
        <f>($K$2+0.02)*Tabla1[[#This Row],[PRECIO $]]*1.18</f>
        <v>5338.32</v>
      </c>
      <c r="J1330" s="7">
        <f>+Tabla1[[#This Row],[PRECIO EN SOLES]]-Tabla1[[#This Row],[PC]]</f>
        <v>808.75</v>
      </c>
      <c r="K1330" s="15"/>
      <c r="L1330" s="15" t="str">
        <f>IF(
OR(
ISNUMBER(SEARCH("BACKPACK",B1332)),
ISNUMBER(SEARCH("MOCHILA",B1332)),
ISNUMBER(SEARCH("FUNDA",B1332)),
ISNUMBER(SEARCH("ESTUCHE",B1332)),
ISNUMBER(SEARCH("BOOK COVER",B1332)),
ISNUMBER(SEARCH("KEYBOARD PARA TABLET",B1332)),
ISNUMBER(SEARCH("FLIP TABLET",B1332)),
ISNUMBER(SEARCH("CASE FOR TABLET",B1332)),
ISNUMBER(SEARCH("CABLE",B1332)),
ISNUMBER(SEARCH("ADAPTADOR",B1332)),
ISNUMBER(SEARCH("HUB",B1332)),
ISNUMBER(SEARCH("DOCK",B1332)),
ISNUMBER(SEARCH("MOUSE PAD",B1332)),
ISNUMBER(SEARCH("MOUSEPAD",B1332)),
ISNUMBER(SEARCH("SOPORTE",B1332)),
ISNUMBER(SEARCH("STAND",B1332)),
ISNUMBER(SEARCH("TRAVEL ADAPTER",B1332)),
ISNUMBER(SEARCH("RJ45",B1332)),
ISNUMBER(SEARCH("USB-C",B1332)),
ISNUMBER(SEARCH("USB WIFI",B1332)),
ISNUMBER(SEARCH("POWERBANK",B1332)),
ISNUMBER(SEARCH("CARGADOR",B1332)),
ISNUMBER(SEARCH("COOLER PARA NB",B1332)),
ISNUMBER(SEARCH("SOPORTE PARA NB",B1332)),
ISNUMBER(SEARCH("WEBCAM",B1332)),
ISNUMBER(SEARCH("WEB CAM",B1332)),
ISNUMBER(SEARCH("MOUSE",B1332)),
ISNUMBER(SEARCH("TECLADO",B1332))
),
"COMPLEMENTO",
IF(
OR(
LEFT(A1332,2)="NB",
LEFT(A1332,2)="PC",
LEFT(A1332,2)="WS",
LEFT(A1332,2)="TB",
LEFT(A1332,3)="CEL",
LEFT(A1332,3)="MON",
LEFT(A1332,3)="PRE",
LEFT(A1332,3)="PRH",
ISNUMBER(SEARCH("NOTEBOOK",B1332)),
ISNUMBER(SEARCH("LAPTOP",B1332)),
ISNUMBER(SEARCH("MONITOR",B1332)),
ISNUMBER(SEARCH("TABLET",B1332)),
ISNUMBER(SEARCH("SMARTPH",B1332)),
ISNUMBER(SEARCH("IMPRESORA",B1332)),
ISNUMBER(SEARCH("MULTIFUNCIONAL",B1332)),
ISNUMBER(SEARCH("AIO",B1332))
),
"GANCHO",
"NORMAL"
)
)</f>
        <v>NORMAL</v>
      </c>
    </row>
    <row r="1331" spans="1:12" x14ac:dyDescent="0.25">
      <c r="A1331" s="3" t="s">
        <v>2194</v>
      </c>
      <c r="B1331" s="3" t="s">
        <v>2195</v>
      </c>
      <c r="C1331" s="1">
        <v>0</v>
      </c>
      <c r="D1331" s="1">
        <v>4361.43</v>
      </c>
      <c r="E1331" s="1" t="s">
        <v>2002</v>
      </c>
      <c r="F1331" s="1" t="s">
        <v>3861</v>
      </c>
      <c r="G1331" s="3"/>
      <c r="H1331" s="11">
        <f>ROUND(
IF(L1329="GANCHO",
   IF(I1331&lt;=50,I1331*1.1+4,IF(I1331&lt;=120,I1331*1.1+7,IF(I1331&lt;=250,I1331*1.1+11,I1331*1.1+19))),
IF(L1329="NORMAL",
   IF(I1331&lt;=30,I1331*1.15+2,IF(I1331&lt;=80,I1331*1.15+4,IF(I1331&lt;=150,I1331*1.15+6,I1331*1.15+8))),
IF(L1329="COMPLEMENTO",
   IF(I1331&lt;=25,I1331*1.25+1.5,IF(I1331&lt;=60,I1331*1.25+3,IF(I1331&lt;=120,I1331*1.25+4,I1331*1.25+5))),
""))),2)</f>
        <v>20604.240000000002</v>
      </c>
      <c r="I1331" s="9">
        <f>($K$2+0.02)*Tabla1[[#This Row],[PRECIO $]]*1.18</f>
        <v>17909.776151999999</v>
      </c>
      <c r="J1331" s="7">
        <f>+Tabla1[[#This Row],[PRECIO EN SOLES]]-Tabla1[[#This Row],[PC]]</f>
        <v>2694.4638480000031</v>
      </c>
      <c r="K1331" s="15"/>
      <c r="L1331" s="15" t="str">
        <f>IF(
OR(
ISNUMBER(SEARCH("BACKPACK",B1333)),
ISNUMBER(SEARCH("MOCHILA",B1333)),
ISNUMBER(SEARCH("FUNDA",B1333)),
ISNUMBER(SEARCH("ESTUCHE",B1333)),
ISNUMBER(SEARCH("BOOK COVER",B1333)),
ISNUMBER(SEARCH("KEYBOARD PARA TABLET",B1333)),
ISNUMBER(SEARCH("FLIP TABLET",B1333)),
ISNUMBER(SEARCH("CASE FOR TABLET",B1333)),
ISNUMBER(SEARCH("CABLE",B1333)),
ISNUMBER(SEARCH("ADAPTADOR",B1333)),
ISNUMBER(SEARCH("HUB",B1333)),
ISNUMBER(SEARCH("DOCK",B1333)),
ISNUMBER(SEARCH("MOUSE PAD",B1333)),
ISNUMBER(SEARCH("MOUSEPAD",B1333)),
ISNUMBER(SEARCH("SOPORTE",B1333)),
ISNUMBER(SEARCH("STAND",B1333)),
ISNUMBER(SEARCH("TRAVEL ADAPTER",B1333)),
ISNUMBER(SEARCH("RJ45",B1333)),
ISNUMBER(SEARCH("USB-C",B1333)),
ISNUMBER(SEARCH("USB WIFI",B1333)),
ISNUMBER(SEARCH("POWERBANK",B1333)),
ISNUMBER(SEARCH("CARGADOR",B1333)),
ISNUMBER(SEARCH("COOLER PARA NB",B1333)),
ISNUMBER(SEARCH("SOPORTE PARA NB",B1333)),
ISNUMBER(SEARCH("WEBCAM",B1333)),
ISNUMBER(SEARCH("WEB CAM",B1333)),
ISNUMBER(SEARCH("MOUSE",B1333)),
ISNUMBER(SEARCH("TECLADO",B1333))
),
"COMPLEMENTO",
IF(
OR(
LEFT(A1333,2)="NB",
LEFT(A1333,2)="PC",
LEFT(A1333,2)="WS",
LEFT(A1333,2)="TB",
LEFT(A1333,3)="CEL",
LEFT(A1333,3)="MON",
LEFT(A1333,3)="PRE",
LEFT(A1333,3)="PRH",
ISNUMBER(SEARCH("NOTEBOOK",B1333)),
ISNUMBER(SEARCH("LAPTOP",B1333)),
ISNUMBER(SEARCH("MONITOR",B1333)),
ISNUMBER(SEARCH("TABLET",B1333)),
ISNUMBER(SEARCH("SMARTPH",B1333)),
ISNUMBER(SEARCH("IMPRESORA",B1333)),
ISNUMBER(SEARCH("MULTIFUNCIONAL",B1333)),
ISNUMBER(SEARCH("AIO",B1333))
),
"GANCHO",
"NORMAL"
)
)</f>
        <v>NORMAL</v>
      </c>
    </row>
    <row r="1332" spans="1:12" x14ac:dyDescent="0.25">
      <c r="A1332" s="3" t="s">
        <v>2196</v>
      </c>
      <c r="B1332" s="3" t="s">
        <v>2197</v>
      </c>
      <c r="C1332" s="1">
        <v>1</v>
      </c>
      <c r="D1332" s="1">
        <v>30000</v>
      </c>
      <c r="E1332" s="1" t="s">
        <v>2002</v>
      </c>
      <c r="F1332" s="1" t="s">
        <v>3862</v>
      </c>
      <c r="G1332" s="3"/>
      <c r="H1332" s="11">
        <f>ROUND(
IF(L1330="GANCHO",
   IF(I1332&lt;=50,I1332*1.1+4,IF(I1332&lt;=120,I1332*1.1+7,IF(I1332&lt;=250,I1332*1.1+11,I1332*1.1+19))),
IF(L1330="NORMAL",
   IF(I1332&lt;=30,I1332*1.15+2,IF(I1332&lt;=80,I1332*1.15+4,IF(I1332&lt;=150,I1332*1.15+6,I1332*1.15+8))),
IF(L1330="COMPLEMENTO",
   IF(I1332&lt;=25,I1332*1.25+1.5,IF(I1332&lt;=60,I1332*1.25+3,IF(I1332&lt;=120,I1332*1.25+4,I1332*1.25+5))),
""))),2)</f>
        <v>141678.79999999999</v>
      </c>
      <c r="I1332" s="9">
        <f>($K$2+0.02)*Tabla1[[#This Row],[PRECIO $]]*1.18</f>
        <v>123192</v>
      </c>
      <c r="J1332" s="7">
        <f>+Tabla1[[#This Row],[PRECIO EN SOLES]]-Tabla1[[#This Row],[PC]]</f>
        <v>18486.799999999988</v>
      </c>
      <c r="K1332" s="15"/>
      <c r="L1332" s="15" t="str">
        <f>IF(
OR(
ISNUMBER(SEARCH("BACKPACK",B1334)),
ISNUMBER(SEARCH("MOCHILA",B1334)),
ISNUMBER(SEARCH("FUNDA",B1334)),
ISNUMBER(SEARCH("ESTUCHE",B1334)),
ISNUMBER(SEARCH("BOOK COVER",B1334)),
ISNUMBER(SEARCH("KEYBOARD PARA TABLET",B1334)),
ISNUMBER(SEARCH("FLIP TABLET",B1334)),
ISNUMBER(SEARCH("CASE FOR TABLET",B1334)),
ISNUMBER(SEARCH("CABLE",B1334)),
ISNUMBER(SEARCH("ADAPTADOR",B1334)),
ISNUMBER(SEARCH("HUB",B1334)),
ISNUMBER(SEARCH("DOCK",B1334)),
ISNUMBER(SEARCH("MOUSE PAD",B1334)),
ISNUMBER(SEARCH("MOUSEPAD",B1334)),
ISNUMBER(SEARCH("SOPORTE",B1334)),
ISNUMBER(SEARCH("STAND",B1334)),
ISNUMBER(SEARCH("TRAVEL ADAPTER",B1334)),
ISNUMBER(SEARCH("RJ45",B1334)),
ISNUMBER(SEARCH("USB-C",B1334)),
ISNUMBER(SEARCH("USB WIFI",B1334)),
ISNUMBER(SEARCH("POWERBANK",B1334)),
ISNUMBER(SEARCH("CARGADOR",B1334)),
ISNUMBER(SEARCH("COOLER PARA NB",B1334)),
ISNUMBER(SEARCH("SOPORTE PARA NB",B1334)),
ISNUMBER(SEARCH("WEBCAM",B1334)),
ISNUMBER(SEARCH("WEB CAM",B1334)),
ISNUMBER(SEARCH("MOUSE",B1334)),
ISNUMBER(SEARCH("TECLADO",B1334))
),
"COMPLEMENTO",
IF(
OR(
LEFT(A1334,2)="NB",
LEFT(A1334,2)="PC",
LEFT(A1334,2)="WS",
LEFT(A1334,2)="TB",
LEFT(A1334,3)="CEL",
LEFT(A1334,3)="MON",
LEFT(A1334,3)="PRE",
LEFT(A1334,3)="PRH",
ISNUMBER(SEARCH("NOTEBOOK",B1334)),
ISNUMBER(SEARCH("LAPTOP",B1334)),
ISNUMBER(SEARCH("MONITOR",B1334)),
ISNUMBER(SEARCH("TABLET",B1334)),
ISNUMBER(SEARCH("SMARTPH",B1334)),
ISNUMBER(SEARCH("IMPRESORA",B1334)),
ISNUMBER(SEARCH("MULTIFUNCIONAL",B1334)),
ISNUMBER(SEARCH("AIO",B1334))
),
"GANCHO",
"NORMAL"
)
)</f>
        <v>NORMAL</v>
      </c>
    </row>
    <row r="1333" spans="1:12" x14ac:dyDescent="0.25">
      <c r="A1333" s="3" t="s">
        <v>2198</v>
      </c>
      <c r="B1333" s="3" t="s">
        <v>2199</v>
      </c>
      <c r="C1333" s="1">
        <v>5</v>
      </c>
      <c r="D1333" s="1">
        <v>130.05000000000001</v>
      </c>
      <c r="E1333" s="1" t="s">
        <v>424</v>
      </c>
      <c r="F1333" s="1" t="s">
        <v>3863</v>
      </c>
      <c r="G1333" s="3" t="s">
        <v>2200</v>
      </c>
      <c r="H1333" s="11">
        <f>ROUND(
IF(L1331="GANCHO",
   IF(I1333&lt;=50,I1333*1.1+4,IF(I1333&lt;=120,I1333*1.1+7,IF(I1333&lt;=250,I1333*1.1+11,I1333*1.1+19))),
IF(L1331="NORMAL",
   IF(I1333&lt;=30,I1333*1.15+2,IF(I1333&lt;=80,I1333*1.15+4,IF(I1333&lt;=150,I1333*1.15+6,I1333*1.15+8))),
IF(L1331="COMPLEMENTO",
   IF(I1333&lt;=25,I1333*1.25+1.5,IF(I1333&lt;=60,I1333*1.25+3,IF(I1333&lt;=120,I1333*1.25+4,I1333*1.25+5))),
""))),2)</f>
        <v>622.14</v>
      </c>
      <c r="I1333" s="9">
        <f>($K$2+0.02)*Tabla1[[#This Row],[PRECIO $]]*1.18</f>
        <v>534.03732000000002</v>
      </c>
      <c r="J1333" s="7">
        <f>+Tabla1[[#This Row],[PRECIO EN SOLES]]-Tabla1[[#This Row],[PC]]</f>
        <v>88.102679999999964</v>
      </c>
      <c r="K1333" s="15"/>
      <c r="L1333" s="15" t="str">
        <f>IF(
OR(
ISNUMBER(SEARCH("BACKPACK",B1335)),
ISNUMBER(SEARCH("MOCHILA",B1335)),
ISNUMBER(SEARCH("FUNDA",B1335)),
ISNUMBER(SEARCH("ESTUCHE",B1335)),
ISNUMBER(SEARCH("BOOK COVER",B1335)),
ISNUMBER(SEARCH("KEYBOARD PARA TABLET",B1335)),
ISNUMBER(SEARCH("FLIP TABLET",B1335)),
ISNUMBER(SEARCH("CASE FOR TABLET",B1335)),
ISNUMBER(SEARCH("CABLE",B1335)),
ISNUMBER(SEARCH("ADAPTADOR",B1335)),
ISNUMBER(SEARCH("HUB",B1335)),
ISNUMBER(SEARCH("DOCK",B1335)),
ISNUMBER(SEARCH("MOUSE PAD",B1335)),
ISNUMBER(SEARCH("MOUSEPAD",B1335)),
ISNUMBER(SEARCH("SOPORTE",B1335)),
ISNUMBER(SEARCH("STAND",B1335)),
ISNUMBER(SEARCH("TRAVEL ADAPTER",B1335)),
ISNUMBER(SEARCH("RJ45",B1335)),
ISNUMBER(SEARCH("USB-C",B1335)),
ISNUMBER(SEARCH("USB WIFI",B1335)),
ISNUMBER(SEARCH("POWERBANK",B1335)),
ISNUMBER(SEARCH("CARGADOR",B1335)),
ISNUMBER(SEARCH("COOLER PARA NB",B1335)),
ISNUMBER(SEARCH("SOPORTE PARA NB",B1335)),
ISNUMBER(SEARCH("WEBCAM",B1335)),
ISNUMBER(SEARCH("WEB CAM",B1335)),
ISNUMBER(SEARCH("MOUSE",B1335)),
ISNUMBER(SEARCH("TECLADO",B1335))
),
"COMPLEMENTO",
IF(
OR(
LEFT(A1335,2)="NB",
LEFT(A1335,2)="PC",
LEFT(A1335,2)="WS",
LEFT(A1335,2)="TB",
LEFT(A1335,3)="CEL",
LEFT(A1335,3)="MON",
LEFT(A1335,3)="PRE",
LEFT(A1335,3)="PRH",
ISNUMBER(SEARCH("NOTEBOOK",B1335)),
ISNUMBER(SEARCH("LAPTOP",B1335)),
ISNUMBER(SEARCH("MONITOR",B1335)),
ISNUMBER(SEARCH("TABLET",B1335)),
ISNUMBER(SEARCH("SMARTPH",B1335)),
ISNUMBER(SEARCH("IMPRESORA",B1335)),
ISNUMBER(SEARCH("MULTIFUNCIONAL",B1335)),
ISNUMBER(SEARCH("AIO",B1335))
),
"GANCHO",
"NORMAL"
)
)</f>
        <v>NORMAL</v>
      </c>
    </row>
    <row r="1334" spans="1:12" x14ac:dyDescent="0.25">
      <c r="A1334" s="3" t="s">
        <v>2201</v>
      </c>
      <c r="B1334" s="3" t="s">
        <v>2202</v>
      </c>
      <c r="C1334" s="1">
        <v>3</v>
      </c>
      <c r="D1334" s="1">
        <v>566.42999999999995</v>
      </c>
      <c r="E1334" s="1" t="s">
        <v>2002</v>
      </c>
      <c r="F1334" s="1" t="s">
        <v>3864</v>
      </c>
      <c r="G1334" s="3" t="s">
        <v>2203</v>
      </c>
      <c r="H1334" s="11">
        <f>ROUND(
IF(L1332="GANCHO",
   IF(I1334&lt;=50,I1334*1.1+4,IF(I1334&lt;=120,I1334*1.1+7,IF(I1334&lt;=250,I1334*1.1+11,I1334*1.1+19))),
IF(L1332="NORMAL",
   IF(I1334&lt;=30,I1334*1.15+2,IF(I1334&lt;=80,I1334*1.15+4,IF(I1334&lt;=150,I1334*1.15+6,I1334*1.15+8))),
IF(L1332="COMPLEMENTO",
   IF(I1334&lt;=25,I1334*1.25+1.5,IF(I1334&lt;=60,I1334*1.25+3,IF(I1334&lt;=120,I1334*1.25+4,I1334*1.25+5))),
""))),2)</f>
        <v>2682.89</v>
      </c>
      <c r="I1334" s="9">
        <f>($K$2+0.02)*Tabla1[[#This Row],[PRECIO $]]*1.18</f>
        <v>2325.9881519999999</v>
      </c>
      <c r="J1334" s="7">
        <f>+Tabla1[[#This Row],[PRECIO EN SOLES]]-Tabla1[[#This Row],[PC]]</f>
        <v>356.90184799999997</v>
      </c>
      <c r="K1334" s="15"/>
      <c r="L1334" s="15" t="str">
        <f>IF(
OR(
ISNUMBER(SEARCH("BACKPACK",B1336)),
ISNUMBER(SEARCH("MOCHILA",B1336)),
ISNUMBER(SEARCH("FUNDA",B1336)),
ISNUMBER(SEARCH("ESTUCHE",B1336)),
ISNUMBER(SEARCH("BOOK COVER",B1336)),
ISNUMBER(SEARCH("KEYBOARD PARA TABLET",B1336)),
ISNUMBER(SEARCH("FLIP TABLET",B1336)),
ISNUMBER(SEARCH("CASE FOR TABLET",B1336)),
ISNUMBER(SEARCH("CABLE",B1336)),
ISNUMBER(SEARCH("ADAPTADOR",B1336)),
ISNUMBER(SEARCH("HUB",B1336)),
ISNUMBER(SEARCH("DOCK",B1336)),
ISNUMBER(SEARCH("MOUSE PAD",B1336)),
ISNUMBER(SEARCH("MOUSEPAD",B1336)),
ISNUMBER(SEARCH("SOPORTE",B1336)),
ISNUMBER(SEARCH("STAND",B1336)),
ISNUMBER(SEARCH("TRAVEL ADAPTER",B1336)),
ISNUMBER(SEARCH("RJ45",B1336)),
ISNUMBER(SEARCH("USB-C",B1336)),
ISNUMBER(SEARCH("USB WIFI",B1336)),
ISNUMBER(SEARCH("POWERBANK",B1336)),
ISNUMBER(SEARCH("CARGADOR",B1336)),
ISNUMBER(SEARCH("COOLER PARA NB",B1336)),
ISNUMBER(SEARCH("SOPORTE PARA NB",B1336)),
ISNUMBER(SEARCH("WEBCAM",B1336)),
ISNUMBER(SEARCH("WEB CAM",B1336)),
ISNUMBER(SEARCH("MOUSE",B1336)),
ISNUMBER(SEARCH("TECLADO",B1336))
),
"COMPLEMENTO",
IF(
OR(
LEFT(A1336,2)="NB",
LEFT(A1336,2)="PC",
LEFT(A1336,2)="WS",
LEFT(A1336,2)="TB",
LEFT(A1336,3)="CEL",
LEFT(A1336,3)="MON",
LEFT(A1336,3)="PRE",
LEFT(A1336,3)="PRH",
ISNUMBER(SEARCH("NOTEBOOK",B1336)),
ISNUMBER(SEARCH("LAPTOP",B1336)),
ISNUMBER(SEARCH("MONITOR",B1336)),
ISNUMBER(SEARCH("TABLET",B1336)),
ISNUMBER(SEARCH("SMARTPH",B1336)),
ISNUMBER(SEARCH("IMPRESORA",B1336)),
ISNUMBER(SEARCH("MULTIFUNCIONAL",B1336)),
ISNUMBER(SEARCH("AIO",B1336))
),
"GANCHO",
"NORMAL"
)
)</f>
        <v>NORMAL</v>
      </c>
    </row>
    <row r="1335" spans="1:12" x14ac:dyDescent="0.25">
      <c r="A1335" s="3" t="s">
        <v>2204</v>
      </c>
      <c r="B1335" s="3" t="s">
        <v>2205</v>
      </c>
      <c r="C1335" s="1">
        <v>1</v>
      </c>
      <c r="D1335" s="1">
        <v>19</v>
      </c>
      <c r="E1335" s="1" t="s">
        <v>54</v>
      </c>
      <c r="F1335" s="1" t="s">
        <v>3865</v>
      </c>
      <c r="G1335" s="3"/>
      <c r="H1335" s="11">
        <f>ROUND(
IF(L1333="GANCHO",
   IF(I1335&lt;=50,I1335*1.1+4,IF(I1335&lt;=120,I1335*1.1+7,IF(I1335&lt;=250,I1335*1.1+11,I1335*1.1+19))),
IF(L1333="NORMAL",
   IF(I1335&lt;=30,I1335*1.15+2,IF(I1335&lt;=80,I1335*1.15+4,IF(I1335&lt;=150,I1335*1.15+6,I1335*1.15+8))),
IF(L1333="COMPLEMENTO",
   IF(I1335&lt;=25,I1335*1.25+1.5,IF(I1335&lt;=60,I1335*1.25+3,IF(I1335&lt;=120,I1335*1.25+4,I1335*1.25+5))),
""))),2)</f>
        <v>93.72</v>
      </c>
      <c r="I1335" s="9">
        <f>($K$2+0.02)*Tabla1[[#This Row],[PRECIO $]]*1.18</f>
        <v>78.021600000000007</v>
      </c>
      <c r="J1335" s="7">
        <f>+Tabla1[[#This Row],[PRECIO EN SOLES]]-Tabla1[[#This Row],[PC]]</f>
        <v>15.698399999999992</v>
      </c>
      <c r="K1335" s="15"/>
      <c r="L1335" s="15" t="str">
        <f>IF(
OR(
ISNUMBER(SEARCH("BACKPACK",B1337)),
ISNUMBER(SEARCH("MOCHILA",B1337)),
ISNUMBER(SEARCH("FUNDA",B1337)),
ISNUMBER(SEARCH("ESTUCHE",B1337)),
ISNUMBER(SEARCH("BOOK COVER",B1337)),
ISNUMBER(SEARCH("KEYBOARD PARA TABLET",B1337)),
ISNUMBER(SEARCH("FLIP TABLET",B1337)),
ISNUMBER(SEARCH("CASE FOR TABLET",B1337)),
ISNUMBER(SEARCH("CABLE",B1337)),
ISNUMBER(SEARCH("ADAPTADOR",B1337)),
ISNUMBER(SEARCH("HUB",B1337)),
ISNUMBER(SEARCH("DOCK",B1337)),
ISNUMBER(SEARCH("MOUSE PAD",B1337)),
ISNUMBER(SEARCH("MOUSEPAD",B1337)),
ISNUMBER(SEARCH("SOPORTE",B1337)),
ISNUMBER(SEARCH("STAND",B1337)),
ISNUMBER(SEARCH("TRAVEL ADAPTER",B1337)),
ISNUMBER(SEARCH("RJ45",B1337)),
ISNUMBER(SEARCH("USB-C",B1337)),
ISNUMBER(SEARCH("USB WIFI",B1337)),
ISNUMBER(SEARCH("POWERBANK",B1337)),
ISNUMBER(SEARCH("CARGADOR",B1337)),
ISNUMBER(SEARCH("COOLER PARA NB",B1337)),
ISNUMBER(SEARCH("SOPORTE PARA NB",B1337)),
ISNUMBER(SEARCH("WEBCAM",B1337)),
ISNUMBER(SEARCH("WEB CAM",B1337)),
ISNUMBER(SEARCH("MOUSE",B1337)),
ISNUMBER(SEARCH("TECLADO",B1337))
),
"COMPLEMENTO",
IF(
OR(
LEFT(A1337,2)="NB",
LEFT(A1337,2)="PC",
LEFT(A1337,2)="WS",
LEFT(A1337,2)="TB",
LEFT(A1337,3)="CEL",
LEFT(A1337,3)="MON",
LEFT(A1337,3)="PRE",
LEFT(A1337,3)="PRH",
ISNUMBER(SEARCH("NOTEBOOK",B1337)),
ISNUMBER(SEARCH("LAPTOP",B1337)),
ISNUMBER(SEARCH("MONITOR",B1337)),
ISNUMBER(SEARCH("TABLET",B1337)),
ISNUMBER(SEARCH("SMARTPH",B1337)),
ISNUMBER(SEARCH("IMPRESORA",B1337)),
ISNUMBER(SEARCH("MULTIFUNCIONAL",B1337)),
ISNUMBER(SEARCH("AIO",B1337))
),
"GANCHO",
"NORMAL"
)
)</f>
        <v>NORMAL</v>
      </c>
    </row>
    <row r="1336" spans="1:12" x14ac:dyDescent="0.25">
      <c r="A1336" s="3" t="s">
        <v>2206</v>
      </c>
      <c r="B1336" s="3" t="s">
        <v>2207</v>
      </c>
      <c r="C1336" s="1">
        <v>20</v>
      </c>
      <c r="D1336" s="1">
        <v>1.1000000000000001</v>
      </c>
      <c r="E1336" s="1" t="s">
        <v>54</v>
      </c>
      <c r="F1336" s="1" t="s">
        <v>3866</v>
      </c>
      <c r="G1336" s="3" t="s">
        <v>2208</v>
      </c>
      <c r="H1336" s="11">
        <f>ROUND(
IF(L1334="GANCHO",
   IF(I1336&lt;=50,I1336*1.1+4,IF(I1336&lt;=120,I1336*1.1+7,IF(I1336&lt;=250,I1336*1.1+11,I1336*1.1+19))),
IF(L1334="NORMAL",
   IF(I1336&lt;=30,I1336*1.15+2,IF(I1336&lt;=80,I1336*1.15+4,IF(I1336&lt;=150,I1336*1.15+6,I1336*1.15+8))),
IF(L1334="COMPLEMENTO",
   IF(I1336&lt;=25,I1336*1.25+1.5,IF(I1336&lt;=60,I1336*1.25+3,IF(I1336&lt;=120,I1336*1.25+4,I1336*1.25+5))),
""))),2)</f>
        <v>7.19</v>
      </c>
      <c r="I1336" s="9">
        <f>($K$2+0.02)*Tabla1[[#This Row],[PRECIO $]]*1.18</f>
        <v>4.5170399999999997</v>
      </c>
      <c r="J1336" s="7">
        <f>+Tabla1[[#This Row],[PRECIO EN SOLES]]-Tabla1[[#This Row],[PC]]</f>
        <v>2.6729600000000007</v>
      </c>
      <c r="K1336" s="15"/>
      <c r="L1336" s="15" t="str">
        <f>IF(
OR(
ISNUMBER(SEARCH("BACKPACK",B1338)),
ISNUMBER(SEARCH("MOCHILA",B1338)),
ISNUMBER(SEARCH("FUNDA",B1338)),
ISNUMBER(SEARCH("ESTUCHE",B1338)),
ISNUMBER(SEARCH("BOOK COVER",B1338)),
ISNUMBER(SEARCH("KEYBOARD PARA TABLET",B1338)),
ISNUMBER(SEARCH("FLIP TABLET",B1338)),
ISNUMBER(SEARCH("CASE FOR TABLET",B1338)),
ISNUMBER(SEARCH("CABLE",B1338)),
ISNUMBER(SEARCH("ADAPTADOR",B1338)),
ISNUMBER(SEARCH("HUB",B1338)),
ISNUMBER(SEARCH("DOCK",B1338)),
ISNUMBER(SEARCH("MOUSE PAD",B1338)),
ISNUMBER(SEARCH("MOUSEPAD",B1338)),
ISNUMBER(SEARCH("SOPORTE",B1338)),
ISNUMBER(SEARCH("STAND",B1338)),
ISNUMBER(SEARCH("TRAVEL ADAPTER",B1338)),
ISNUMBER(SEARCH("RJ45",B1338)),
ISNUMBER(SEARCH("USB-C",B1338)),
ISNUMBER(SEARCH("USB WIFI",B1338)),
ISNUMBER(SEARCH("POWERBANK",B1338)),
ISNUMBER(SEARCH("CARGADOR",B1338)),
ISNUMBER(SEARCH("COOLER PARA NB",B1338)),
ISNUMBER(SEARCH("SOPORTE PARA NB",B1338)),
ISNUMBER(SEARCH("WEBCAM",B1338)),
ISNUMBER(SEARCH("WEB CAM",B1338)),
ISNUMBER(SEARCH("MOUSE",B1338)),
ISNUMBER(SEARCH("TECLADO",B1338))
),
"COMPLEMENTO",
IF(
OR(
LEFT(A1338,2)="NB",
LEFT(A1338,2)="PC",
LEFT(A1338,2)="WS",
LEFT(A1338,2)="TB",
LEFT(A1338,3)="CEL",
LEFT(A1338,3)="MON",
LEFT(A1338,3)="PRE",
LEFT(A1338,3)="PRH",
ISNUMBER(SEARCH("NOTEBOOK",B1338)),
ISNUMBER(SEARCH("LAPTOP",B1338)),
ISNUMBER(SEARCH("MONITOR",B1338)),
ISNUMBER(SEARCH("TABLET",B1338)),
ISNUMBER(SEARCH("SMARTPH",B1338)),
ISNUMBER(SEARCH("IMPRESORA",B1338)),
ISNUMBER(SEARCH("MULTIFUNCIONAL",B1338)),
ISNUMBER(SEARCH("AIO",B1338))
),
"GANCHO",
"NORMAL"
)
)</f>
        <v>NORMAL</v>
      </c>
    </row>
    <row r="1337" spans="1:12" x14ac:dyDescent="0.25">
      <c r="A1337" s="3" t="s">
        <v>2209</v>
      </c>
      <c r="B1337" s="3" t="s">
        <v>2210</v>
      </c>
      <c r="C1337" s="1">
        <v>0</v>
      </c>
      <c r="D1337" s="1">
        <v>9999999.9900000002</v>
      </c>
      <c r="E1337" s="1" t="s">
        <v>54</v>
      </c>
      <c r="F1337" s="1" t="s">
        <v>3867</v>
      </c>
      <c r="G1337" s="3"/>
      <c r="H1337" s="11">
        <f>ROUND(
IF(L1335="GANCHO",
   IF(I1337&lt;=50,I1337*1.1+4,IF(I1337&lt;=120,I1337*1.1+7,IF(I1337&lt;=250,I1337*1.1+11,I1337*1.1+19))),
IF(L1335="NORMAL",
   IF(I1337&lt;=30,I1337*1.15+2,IF(I1337&lt;=80,I1337*1.15+4,IF(I1337&lt;=150,I1337*1.15+6,I1337*1.15+8))),
IF(L1335="COMPLEMENTO",
   IF(I1337&lt;=25,I1337*1.25+1.5,IF(I1337&lt;=60,I1337*1.25+3,IF(I1337&lt;=120,I1337*1.25+4,I1337*1.25+5))),
""))),2)</f>
        <v>47223607.950000003</v>
      </c>
      <c r="I1337" s="9">
        <f>($K$2+0.02)*Tabla1[[#This Row],[PRECIO $]]*1.18</f>
        <v>41063999.958935998</v>
      </c>
      <c r="J1337" s="7">
        <f>+Tabla1[[#This Row],[PRECIO EN SOLES]]-Tabla1[[#This Row],[PC]]</f>
        <v>6159607.9910640046</v>
      </c>
      <c r="K1337" s="15"/>
      <c r="L1337" s="15" t="str">
        <f>IF(
OR(
ISNUMBER(SEARCH("BACKPACK",B1339)),
ISNUMBER(SEARCH("MOCHILA",B1339)),
ISNUMBER(SEARCH("FUNDA",B1339)),
ISNUMBER(SEARCH("ESTUCHE",B1339)),
ISNUMBER(SEARCH("BOOK COVER",B1339)),
ISNUMBER(SEARCH("KEYBOARD PARA TABLET",B1339)),
ISNUMBER(SEARCH("FLIP TABLET",B1339)),
ISNUMBER(SEARCH("CASE FOR TABLET",B1339)),
ISNUMBER(SEARCH("CABLE",B1339)),
ISNUMBER(SEARCH("ADAPTADOR",B1339)),
ISNUMBER(SEARCH("HUB",B1339)),
ISNUMBER(SEARCH("DOCK",B1339)),
ISNUMBER(SEARCH("MOUSE PAD",B1339)),
ISNUMBER(SEARCH("MOUSEPAD",B1339)),
ISNUMBER(SEARCH("SOPORTE",B1339)),
ISNUMBER(SEARCH("STAND",B1339)),
ISNUMBER(SEARCH("TRAVEL ADAPTER",B1339)),
ISNUMBER(SEARCH("RJ45",B1339)),
ISNUMBER(SEARCH("USB-C",B1339)),
ISNUMBER(SEARCH("USB WIFI",B1339)),
ISNUMBER(SEARCH("POWERBANK",B1339)),
ISNUMBER(SEARCH("CARGADOR",B1339)),
ISNUMBER(SEARCH("COOLER PARA NB",B1339)),
ISNUMBER(SEARCH("SOPORTE PARA NB",B1339)),
ISNUMBER(SEARCH("WEBCAM",B1339)),
ISNUMBER(SEARCH("WEB CAM",B1339)),
ISNUMBER(SEARCH("MOUSE",B1339)),
ISNUMBER(SEARCH("TECLADO",B1339))
),
"COMPLEMENTO",
IF(
OR(
LEFT(A1339,2)="NB",
LEFT(A1339,2)="PC",
LEFT(A1339,2)="WS",
LEFT(A1339,2)="TB",
LEFT(A1339,3)="CEL",
LEFT(A1339,3)="MON",
LEFT(A1339,3)="PRE",
LEFT(A1339,3)="PRH",
ISNUMBER(SEARCH("NOTEBOOK",B1339)),
ISNUMBER(SEARCH("LAPTOP",B1339)),
ISNUMBER(SEARCH("MONITOR",B1339)),
ISNUMBER(SEARCH("TABLET",B1339)),
ISNUMBER(SEARCH("SMARTPH",B1339)),
ISNUMBER(SEARCH("IMPRESORA",B1339)),
ISNUMBER(SEARCH("MULTIFUNCIONAL",B1339)),
ISNUMBER(SEARCH("AIO",B1339))
),
"GANCHO",
"NORMAL"
)
)</f>
        <v>NORMAL</v>
      </c>
    </row>
    <row r="1338" spans="1:12" x14ac:dyDescent="0.25">
      <c r="A1338" s="3" t="s">
        <v>2211</v>
      </c>
      <c r="B1338" s="3" t="s">
        <v>2212</v>
      </c>
      <c r="C1338" s="1">
        <v>1</v>
      </c>
      <c r="D1338" s="1">
        <v>15</v>
      </c>
      <c r="E1338" s="1" t="s">
        <v>54</v>
      </c>
      <c r="F1338" s="1" t="s">
        <v>3868</v>
      </c>
      <c r="G1338" s="3"/>
      <c r="H1338" s="11">
        <f>ROUND(
IF(L1336="GANCHO",
   IF(I1338&lt;=50,I1338*1.1+4,IF(I1338&lt;=120,I1338*1.1+7,IF(I1338&lt;=250,I1338*1.1+11,I1338*1.1+19))),
IF(L1336="NORMAL",
   IF(I1338&lt;=30,I1338*1.15+2,IF(I1338&lt;=80,I1338*1.15+4,IF(I1338&lt;=150,I1338*1.15+6,I1338*1.15+8))),
IF(L1336="COMPLEMENTO",
   IF(I1338&lt;=25,I1338*1.25+1.5,IF(I1338&lt;=60,I1338*1.25+3,IF(I1338&lt;=120,I1338*1.25+4,I1338*1.25+5))),
""))),2)</f>
        <v>74.84</v>
      </c>
      <c r="I1338" s="9">
        <f>($K$2+0.02)*Tabla1[[#This Row],[PRECIO $]]*1.18</f>
        <v>61.596000000000004</v>
      </c>
      <c r="J1338" s="7">
        <f>+Tabla1[[#This Row],[PRECIO EN SOLES]]-Tabla1[[#This Row],[PC]]</f>
        <v>13.244</v>
      </c>
      <c r="K1338" s="15"/>
      <c r="L1338" s="15" t="str">
        <f>IF(
OR(
ISNUMBER(SEARCH("BACKPACK",B1340)),
ISNUMBER(SEARCH("MOCHILA",B1340)),
ISNUMBER(SEARCH("FUNDA",B1340)),
ISNUMBER(SEARCH("ESTUCHE",B1340)),
ISNUMBER(SEARCH("BOOK COVER",B1340)),
ISNUMBER(SEARCH("KEYBOARD PARA TABLET",B1340)),
ISNUMBER(SEARCH("FLIP TABLET",B1340)),
ISNUMBER(SEARCH("CASE FOR TABLET",B1340)),
ISNUMBER(SEARCH("CABLE",B1340)),
ISNUMBER(SEARCH("ADAPTADOR",B1340)),
ISNUMBER(SEARCH("HUB",B1340)),
ISNUMBER(SEARCH("DOCK",B1340)),
ISNUMBER(SEARCH("MOUSE PAD",B1340)),
ISNUMBER(SEARCH("MOUSEPAD",B1340)),
ISNUMBER(SEARCH("SOPORTE",B1340)),
ISNUMBER(SEARCH("STAND",B1340)),
ISNUMBER(SEARCH("TRAVEL ADAPTER",B1340)),
ISNUMBER(SEARCH("RJ45",B1340)),
ISNUMBER(SEARCH("USB-C",B1340)),
ISNUMBER(SEARCH("USB WIFI",B1340)),
ISNUMBER(SEARCH("POWERBANK",B1340)),
ISNUMBER(SEARCH("CARGADOR",B1340)),
ISNUMBER(SEARCH("COOLER PARA NB",B1340)),
ISNUMBER(SEARCH("SOPORTE PARA NB",B1340)),
ISNUMBER(SEARCH("WEBCAM",B1340)),
ISNUMBER(SEARCH("WEB CAM",B1340)),
ISNUMBER(SEARCH("MOUSE",B1340)),
ISNUMBER(SEARCH("TECLADO",B1340))
),
"COMPLEMENTO",
IF(
OR(
LEFT(A1340,2)="NB",
LEFT(A1340,2)="PC",
LEFT(A1340,2)="WS",
LEFT(A1340,2)="TB",
LEFT(A1340,3)="CEL",
LEFT(A1340,3)="MON",
LEFT(A1340,3)="PRE",
LEFT(A1340,3)="PRH",
ISNUMBER(SEARCH("NOTEBOOK",B1340)),
ISNUMBER(SEARCH("LAPTOP",B1340)),
ISNUMBER(SEARCH("MONITOR",B1340)),
ISNUMBER(SEARCH("TABLET",B1340)),
ISNUMBER(SEARCH("SMARTPH",B1340)),
ISNUMBER(SEARCH("IMPRESORA",B1340)),
ISNUMBER(SEARCH("MULTIFUNCIONAL",B1340)),
ISNUMBER(SEARCH("AIO",B1340))
),
"GANCHO",
"NORMAL"
)
)</f>
        <v>COMPLEMENTO</v>
      </c>
    </row>
    <row r="1339" spans="1:12" x14ac:dyDescent="0.25">
      <c r="A1339" s="3" t="s">
        <v>2213</v>
      </c>
      <c r="B1339" s="3" t="s">
        <v>2214</v>
      </c>
      <c r="C1339" s="1">
        <v>1</v>
      </c>
      <c r="D1339" s="1">
        <v>23</v>
      </c>
      <c r="E1339" s="1" t="s">
        <v>54</v>
      </c>
      <c r="F1339" s="1" t="s">
        <v>3869</v>
      </c>
      <c r="G1339" s="3" t="s">
        <v>2215</v>
      </c>
      <c r="H1339" s="11">
        <f>ROUND(
IF(L1337="GANCHO",
   IF(I1339&lt;=50,I1339*1.1+4,IF(I1339&lt;=120,I1339*1.1+7,IF(I1339&lt;=250,I1339*1.1+11,I1339*1.1+19))),
IF(L1337="NORMAL",
   IF(I1339&lt;=30,I1339*1.15+2,IF(I1339&lt;=80,I1339*1.15+4,IF(I1339&lt;=150,I1339*1.15+6,I1339*1.15+8))),
IF(L1337="COMPLEMENTO",
   IF(I1339&lt;=25,I1339*1.25+1.5,IF(I1339&lt;=60,I1339*1.25+3,IF(I1339&lt;=120,I1339*1.25+4,I1339*1.25+5))),
""))),2)</f>
        <v>114.61</v>
      </c>
      <c r="I1339" s="9">
        <f>($K$2+0.02)*Tabla1[[#This Row],[PRECIO $]]*1.18</f>
        <v>94.447200000000009</v>
      </c>
      <c r="J1339" s="7">
        <f>+Tabla1[[#This Row],[PRECIO EN SOLES]]-Tabla1[[#This Row],[PC]]</f>
        <v>20.16279999999999</v>
      </c>
      <c r="K1339" s="15"/>
      <c r="L1339" s="15" t="str">
        <f>IF(
OR(
ISNUMBER(SEARCH("BACKPACK",B1341)),
ISNUMBER(SEARCH("MOCHILA",B1341)),
ISNUMBER(SEARCH("FUNDA",B1341)),
ISNUMBER(SEARCH("ESTUCHE",B1341)),
ISNUMBER(SEARCH("BOOK COVER",B1341)),
ISNUMBER(SEARCH("KEYBOARD PARA TABLET",B1341)),
ISNUMBER(SEARCH("FLIP TABLET",B1341)),
ISNUMBER(SEARCH("CASE FOR TABLET",B1341)),
ISNUMBER(SEARCH("CABLE",B1341)),
ISNUMBER(SEARCH("ADAPTADOR",B1341)),
ISNUMBER(SEARCH("HUB",B1341)),
ISNUMBER(SEARCH("DOCK",B1341)),
ISNUMBER(SEARCH("MOUSE PAD",B1341)),
ISNUMBER(SEARCH("MOUSEPAD",B1341)),
ISNUMBER(SEARCH("SOPORTE",B1341)),
ISNUMBER(SEARCH("STAND",B1341)),
ISNUMBER(SEARCH("TRAVEL ADAPTER",B1341)),
ISNUMBER(SEARCH("RJ45",B1341)),
ISNUMBER(SEARCH("USB-C",B1341)),
ISNUMBER(SEARCH("USB WIFI",B1341)),
ISNUMBER(SEARCH("POWERBANK",B1341)),
ISNUMBER(SEARCH("CARGADOR",B1341)),
ISNUMBER(SEARCH("COOLER PARA NB",B1341)),
ISNUMBER(SEARCH("SOPORTE PARA NB",B1341)),
ISNUMBER(SEARCH("WEBCAM",B1341)),
ISNUMBER(SEARCH("WEB CAM",B1341)),
ISNUMBER(SEARCH("MOUSE",B1341)),
ISNUMBER(SEARCH("TECLADO",B1341))
),
"COMPLEMENTO",
IF(
OR(
LEFT(A1341,2)="NB",
LEFT(A1341,2)="PC",
LEFT(A1341,2)="WS",
LEFT(A1341,2)="TB",
LEFT(A1341,3)="CEL",
LEFT(A1341,3)="MON",
LEFT(A1341,3)="PRE",
LEFT(A1341,3)="PRH",
ISNUMBER(SEARCH("NOTEBOOK",B1341)),
ISNUMBER(SEARCH("LAPTOP",B1341)),
ISNUMBER(SEARCH("MONITOR",B1341)),
ISNUMBER(SEARCH("TABLET",B1341)),
ISNUMBER(SEARCH("SMARTPH",B1341)),
ISNUMBER(SEARCH("IMPRESORA",B1341)),
ISNUMBER(SEARCH("MULTIFUNCIONAL",B1341)),
ISNUMBER(SEARCH("AIO",B1341))
),
"GANCHO",
"NORMAL"
)
)</f>
        <v>NORMAL</v>
      </c>
    </row>
    <row r="1340" spans="1:12" x14ac:dyDescent="0.25">
      <c r="A1340" s="3" t="s">
        <v>2216</v>
      </c>
      <c r="B1340" s="3" t="s">
        <v>2217</v>
      </c>
      <c r="C1340" s="1">
        <v>0</v>
      </c>
      <c r="D1340" s="1">
        <v>30</v>
      </c>
      <c r="E1340" s="1" t="s">
        <v>54</v>
      </c>
      <c r="F1340" s="1" t="s">
        <v>3870</v>
      </c>
      <c r="G1340" s="3"/>
      <c r="H1340" s="11">
        <f>ROUND(
IF(L1338="GANCHO",
   IF(I1340&lt;=50,I1340*1.1+4,IF(I1340&lt;=120,I1340*1.1+7,IF(I1340&lt;=250,I1340*1.1+11,I1340*1.1+19))),
IF(L1338="NORMAL",
   IF(I1340&lt;=30,I1340*1.15+2,IF(I1340&lt;=80,I1340*1.15+4,IF(I1340&lt;=150,I1340*1.15+6,I1340*1.15+8))),
IF(L1338="COMPLEMENTO",
   IF(I1340&lt;=25,I1340*1.25+1.5,IF(I1340&lt;=60,I1340*1.25+3,IF(I1340&lt;=120,I1340*1.25+4,I1340*1.25+5))),
""))),2)</f>
        <v>158.99</v>
      </c>
      <c r="I1340" s="9">
        <f>($K$2+0.02)*Tabla1[[#This Row],[PRECIO $]]*1.18</f>
        <v>123.19200000000001</v>
      </c>
      <c r="J1340" s="7">
        <f>+Tabla1[[#This Row],[PRECIO EN SOLES]]-Tabla1[[#This Row],[PC]]</f>
        <v>35.798000000000002</v>
      </c>
      <c r="K1340" s="15"/>
      <c r="L1340" s="15" t="str">
        <f>IF(
OR(
ISNUMBER(SEARCH("BACKPACK",B1342)),
ISNUMBER(SEARCH("MOCHILA",B1342)),
ISNUMBER(SEARCH("FUNDA",B1342)),
ISNUMBER(SEARCH("ESTUCHE",B1342)),
ISNUMBER(SEARCH("BOOK COVER",B1342)),
ISNUMBER(SEARCH("KEYBOARD PARA TABLET",B1342)),
ISNUMBER(SEARCH("FLIP TABLET",B1342)),
ISNUMBER(SEARCH("CASE FOR TABLET",B1342)),
ISNUMBER(SEARCH("CABLE",B1342)),
ISNUMBER(SEARCH("ADAPTADOR",B1342)),
ISNUMBER(SEARCH("HUB",B1342)),
ISNUMBER(SEARCH("DOCK",B1342)),
ISNUMBER(SEARCH("MOUSE PAD",B1342)),
ISNUMBER(SEARCH("MOUSEPAD",B1342)),
ISNUMBER(SEARCH("SOPORTE",B1342)),
ISNUMBER(SEARCH("STAND",B1342)),
ISNUMBER(SEARCH("TRAVEL ADAPTER",B1342)),
ISNUMBER(SEARCH("RJ45",B1342)),
ISNUMBER(SEARCH("USB-C",B1342)),
ISNUMBER(SEARCH("USB WIFI",B1342)),
ISNUMBER(SEARCH("POWERBANK",B1342)),
ISNUMBER(SEARCH("CARGADOR",B1342)),
ISNUMBER(SEARCH("COOLER PARA NB",B1342)),
ISNUMBER(SEARCH("SOPORTE PARA NB",B1342)),
ISNUMBER(SEARCH("WEBCAM",B1342)),
ISNUMBER(SEARCH("WEB CAM",B1342)),
ISNUMBER(SEARCH("MOUSE",B1342)),
ISNUMBER(SEARCH("TECLADO",B1342))
),
"COMPLEMENTO",
IF(
OR(
LEFT(A1342,2)="NB",
LEFT(A1342,2)="PC",
LEFT(A1342,2)="WS",
LEFT(A1342,2)="TB",
LEFT(A1342,3)="CEL",
LEFT(A1342,3)="MON",
LEFT(A1342,3)="PRE",
LEFT(A1342,3)="PRH",
ISNUMBER(SEARCH("NOTEBOOK",B1342)),
ISNUMBER(SEARCH("LAPTOP",B1342)),
ISNUMBER(SEARCH("MONITOR",B1342)),
ISNUMBER(SEARCH("TABLET",B1342)),
ISNUMBER(SEARCH("SMARTPH",B1342)),
ISNUMBER(SEARCH("IMPRESORA",B1342)),
ISNUMBER(SEARCH("MULTIFUNCIONAL",B1342)),
ISNUMBER(SEARCH("AIO",B1342))
),
"GANCHO",
"NORMAL"
)
)</f>
        <v>NORMAL</v>
      </c>
    </row>
    <row r="1341" spans="1:12" x14ac:dyDescent="0.25">
      <c r="A1341" s="3" t="s">
        <v>2218</v>
      </c>
      <c r="B1341" s="3" t="s">
        <v>2219</v>
      </c>
      <c r="C1341" s="1">
        <v>1</v>
      </c>
      <c r="D1341" s="1">
        <v>85</v>
      </c>
      <c r="E1341" s="1" t="s">
        <v>837</v>
      </c>
      <c r="F1341" s="1" t="s">
        <v>3871</v>
      </c>
      <c r="G1341" s="3" t="s">
        <v>2220</v>
      </c>
      <c r="H1341" s="11">
        <f>ROUND(
IF(L1339="GANCHO",
   IF(I1341&lt;=50,I1341*1.1+4,IF(I1341&lt;=120,I1341*1.1+7,IF(I1341&lt;=250,I1341*1.1+11,I1341*1.1+19))),
IF(L1339="NORMAL",
   IF(I1341&lt;=30,I1341*1.15+2,IF(I1341&lt;=80,I1341*1.15+4,IF(I1341&lt;=150,I1341*1.15+6,I1341*1.15+8))),
IF(L1339="COMPLEMENTO",
   IF(I1341&lt;=25,I1341*1.25+1.5,IF(I1341&lt;=60,I1341*1.25+3,IF(I1341&lt;=120,I1341*1.25+4,I1341*1.25+5))),
""))),2)</f>
        <v>409.4</v>
      </c>
      <c r="I1341" s="9">
        <f>($K$2+0.02)*Tabla1[[#This Row],[PRECIO $]]*1.18</f>
        <v>349.04399999999998</v>
      </c>
      <c r="J1341" s="7">
        <f>+Tabla1[[#This Row],[PRECIO EN SOLES]]-Tabla1[[#This Row],[PC]]</f>
        <v>60.355999999999995</v>
      </c>
      <c r="K1341" s="15"/>
      <c r="L1341" s="15" t="str">
        <f>IF(
OR(
ISNUMBER(SEARCH("BACKPACK",B1343)),
ISNUMBER(SEARCH("MOCHILA",B1343)),
ISNUMBER(SEARCH("FUNDA",B1343)),
ISNUMBER(SEARCH("ESTUCHE",B1343)),
ISNUMBER(SEARCH("BOOK COVER",B1343)),
ISNUMBER(SEARCH("KEYBOARD PARA TABLET",B1343)),
ISNUMBER(SEARCH("FLIP TABLET",B1343)),
ISNUMBER(SEARCH("CASE FOR TABLET",B1343)),
ISNUMBER(SEARCH("CABLE",B1343)),
ISNUMBER(SEARCH("ADAPTADOR",B1343)),
ISNUMBER(SEARCH("HUB",B1343)),
ISNUMBER(SEARCH("DOCK",B1343)),
ISNUMBER(SEARCH("MOUSE PAD",B1343)),
ISNUMBER(SEARCH("MOUSEPAD",B1343)),
ISNUMBER(SEARCH("SOPORTE",B1343)),
ISNUMBER(SEARCH("STAND",B1343)),
ISNUMBER(SEARCH("TRAVEL ADAPTER",B1343)),
ISNUMBER(SEARCH("RJ45",B1343)),
ISNUMBER(SEARCH("USB-C",B1343)),
ISNUMBER(SEARCH("USB WIFI",B1343)),
ISNUMBER(SEARCH("POWERBANK",B1343)),
ISNUMBER(SEARCH("CARGADOR",B1343)),
ISNUMBER(SEARCH("COOLER PARA NB",B1343)),
ISNUMBER(SEARCH("SOPORTE PARA NB",B1343)),
ISNUMBER(SEARCH("WEBCAM",B1343)),
ISNUMBER(SEARCH("WEB CAM",B1343)),
ISNUMBER(SEARCH("MOUSE",B1343)),
ISNUMBER(SEARCH("TECLADO",B1343))
),
"COMPLEMENTO",
IF(
OR(
LEFT(A1343,2)="NB",
LEFT(A1343,2)="PC",
LEFT(A1343,2)="WS",
LEFT(A1343,2)="TB",
LEFT(A1343,3)="CEL",
LEFT(A1343,3)="MON",
LEFT(A1343,3)="PRE",
LEFT(A1343,3)="PRH",
ISNUMBER(SEARCH("NOTEBOOK",B1343)),
ISNUMBER(SEARCH("LAPTOP",B1343)),
ISNUMBER(SEARCH("MONITOR",B1343)),
ISNUMBER(SEARCH("TABLET",B1343)),
ISNUMBER(SEARCH("SMARTPH",B1343)),
ISNUMBER(SEARCH("IMPRESORA",B1343)),
ISNUMBER(SEARCH("MULTIFUNCIONAL",B1343)),
ISNUMBER(SEARCH("AIO",B1343))
),
"GANCHO",
"NORMAL"
)
)</f>
        <v>NORMAL</v>
      </c>
    </row>
    <row r="1342" spans="1:12" x14ac:dyDescent="0.25">
      <c r="A1342" s="3" t="s">
        <v>2221</v>
      </c>
      <c r="B1342" s="3" t="s">
        <v>2222</v>
      </c>
      <c r="C1342" s="1">
        <v>0</v>
      </c>
      <c r="D1342" s="1">
        <v>48</v>
      </c>
      <c r="E1342" s="1" t="s">
        <v>1102</v>
      </c>
      <c r="F1342" s="1" t="s">
        <v>3872</v>
      </c>
      <c r="G1342" s="3" t="s">
        <v>2223</v>
      </c>
      <c r="H1342" s="11">
        <f>ROUND(
IF(L1340="GANCHO",
   IF(I1342&lt;=50,I1342*1.1+4,IF(I1342&lt;=120,I1342*1.1+7,IF(I1342&lt;=250,I1342*1.1+11,I1342*1.1+19))),
IF(L1340="NORMAL",
   IF(I1342&lt;=30,I1342*1.15+2,IF(I1342&lt;=80,I1342*1.15+4,IF(I1342&lt;=150,I1342*1.15+6,I1342*1.15+8))),
IF(L1340="COMPLEMENTO",
   IF(I1342&lt;=25,I1342*1.25+1.5,IF(I1342&lt;=60,I1342*1.25+3,IF(I1342&lt;=120,I1342*1.25+4,I1342*1.25+5))),
""))),2)</f>
        <v>234.67</v>
      </c>
      <c r="I1342" s="9">
        <f>($K$2+0.02)*Tabla1[[#This Row],[PRECIO $]]*1.18</f>
        <v>197.10719999999998</v>
      </c>
      <c r="J1342" s="7">
        <f>+Tabla1[[#This Row],[PRECIO EN SOLES]]-Tabla1[[#This Row],[PC]]</f>
        <v>37.56280000000001</v>
      </c>
      <c r="K1342" s="15"/>
      <c r="L1342" s="15" t="str">
        <f>IF(
OR(
ISNUMBER(SEARCH("BACKPACK",B1344)),
ISNUMBER(SEARCH("MOCHILA",B1344)),
ISNUMBER(SEARCH("FUNDA",B1344)),
ISNUMBER(SEARCH("ESTUCHE",B1344)),
ISNUMBER(SEARCH("BOOK COVER",B1344)),
ISNUMBER(SEARCH("KEYBOARD PARA TABLET",B1344)),
ISNUMBER(SEARCH("FLIP TABLET",B1344)),
ISNUMBER(SEARCH("CASE FOR TABLET",B1344)),
ISNUMBER(SEARCH("CABLE",B1344)),
ISNUMBER(SEARCH("ADAPTADOR",B1344)),
ISNUMBER(SEARCH("HUB",B1344)),
ISNUMBER(SEARCH("DOCK",B1344)),
ISNUMBER(SEARCH("MOUSE PAD",B1344)),
ISNUMBER(SEARCH("MOUSEPAD",B1344)),
ISNUMBER(SEARCH("SOPORTE",B1344)),
ISNUMBER(SEARCH("STAND",B1344)),
ISNUMBER(SEARCH("TRAVEL ADAPTER",B1344)),
ISNUMBER(SEARCH("RJ45",B1344)),
ISNUMBER(SEARCH("USB-C",B1344)),
ISNUMBER(SEARCH("USB WIFI",B1344)),
ISNUMBER(SEARCH("POWERBANK",B1344)),
ISNUMBER(SEARCH("CARGADOR",B1344)),
ISNUMBER(SEARCH("COOLER PARA NB",B1344)),
ISNUMBER(SEARCH("SOPORTE PARA NB",B1344)),
ISNUMBER(SEARCH("WEBCAM",B1344)),
ISNUMBER(SEARCH("WEB CAM",B1344)),
ISNUMBER(SEARCH("MOUSE",B1344)),
ISNUMBER(SEARCH("TECLADO",B1344))
),
"COMPLEMENTO",
IF(
OR(
LEFT(A1344,2)="NB",
LEFT(A1344,2)="PC",
LEFT(A1344,2)="WS",
LEFT(A1344,2)="TB",
LEFT(A1344,3)="CEL",
LEFT(A1344,3)="MON",
LEFT(A1344,3)="PRE",
LEFT(A1344,3)="PRH",
ISNUMBER(SEARCH("NOTEBOOK",B1344)),
ISNUMBER(SEARCH("LAPTOP",B1344)),
ISNUMBER(SEARCH("MONITOR",B1344)),
ISNUMBER(SEARCH("TABLET",B1344)),
ISNUMBER(SEARCH("SMARTPH",B1344)),
ISNUMBER(SEARCH("IMPRESORA",B1344)),
ISNUMBER(SEARCH("MULTIFUNCIONAL",B1344)),
ISNUMBER(SEARCH("AIO",B1344))
),
"GANCHO",
"NORMAL"
)
)</f>
        <v>NORMAL</v>
      </c>
    </row>
    <row r="1343" spans="1:12" x14ac:dyDescent="0.25">
      <c r="A1343" s="3" t="s">
        <v>2224</v>
      </c>
      <c r="B1343" s="3" t="s">
        <v>2225</v>
      </c>
      <c r="C1343" s="1">
        <v>19</v>
      </c>
      <c r="D1343" s="1">
        <v>427.22</v>
      </c>
      <c r="E1343" s="1" t="s">
        <v>1102</v>
      </c>
      <c r="F1343" s="1" t="s">
        <v>3873</v>
      </c>
      <c r="G1343" s="3" t="s">
        <v>2226</v>
      </c>
      <c r="H1343" s="11">
        <f>ROUND(
IF(L1341="GANCHO",
   IF(I1343&lt;=50,I1343*1.1+4,IF(I1343&lt;=120,I1343*1.1+7,IF(I1343&lt;=250,I1343*1.1+11,I1343*1.1+19))),
IF(L1341="NORMAL",
   IF(I1343&lt;=30,I1343*1.15+2,IF(I1343&lt;=80,I1343*1.15+4,IF(I1343&lt;=150,I1343*1.15+6,I1343*1.15+8))),
IF(L1341="COMPLEMENTO",
   IF(I1343&lt;=25,I1343*1.25+1.5,IF(I1343&lt;=60,I1343*1.25+3,IF(I1343&lt;=120,I1343*1.25+4,I1343*1.25+5))),
""))),2)</f>
        <v>2025.49</v>
      </c>
      <c r="I1343" s="9">
        <f>($K$2+0.02)*Tabla1[[#This Row],[PRECIO $]]*1.18</f>
        <v>1754.3362079999999</v>
      </c>
      <c r="J1343" s="7">
        <f>+Tabla1[[#This Row],[PRECIO EN SOLES]]-Tabla1[[#This Row],[PC]]</f>
        <v>271.15379200000007</v>
      </c>
      <c r="K1343" s="15"/>
      <c r="L1343" s="15" t="str">
        <f>IF(
OR(
ISNUMBER(SEARCH("BACKPACK",B1345)),
ISNUMBER(SEARCH("MOCHILA",B1345)),
ISNUMBER(SEARCH("FUNDA",B1345)),
ISNUMBER(SEARCH("ESTUCHE",B1345)),
ISNUMBER(SEARCH("BOOK COVER",B1345)),
ISNUMBER(SEARCH("KEYBOARD PARA TABLET",B1345)),
ISNUMBER(SEARCH("FLIP TABLET",B1345)),
ISNUMBER(SEARCH("CASE FOR TABLET",B1345)),
ISNUMBER(SEARCH("CABLE",B1345)),
ISNUMBER(SEARCH("ADAPTADOR",B1345)),
ISNUMBER(SEARCH("HUB",B1345)),
ISNUMBER(SEARCH("DOCK",B1345)),
ISNUMBER(SEARCH("MOUSE PAD",B1345)),
ISNUMBER(SEARCH("MOUSEPAD",B1345)),
ISNUMBER(SEARCH("SOPORTE",B1345)),
ISNUMBER(SEARCH("STAND",B1345)),
ISNUMBER(SEARCH("TRAVEL ADAPTER",B1345)),
ISNUMBER(SEARCH("RJ45",B1345)),
ISNUMBER(SEARCH("USB-C",B1345)),
ISNUMBER(SEARCH("USB WIFI",B1345)),
ISNUMBER(SEARCH("POWERBANK",B1345)),
ISNUMBER(SEARCH("CARGADOR",B1345)),
ISNUMBER(SEARCH("COOLER PARA NB",B1345)),
ISNUMBER(SEARCH("SOPORTE PARA NB",B1345)),
ISNUMBER(SEARCH("WEBCAM",B1345)),
ISNUMBER(SEARCH("WEB CAM",B1345)),
ISNUMBER(SEARCH("MOUSE",B1345)),
ISNUMBER(SEARCH("TECLADO",B1345))
),
"COMPLEMENTO",
IF(
OR(
LEFT(A1345,2)="NB",
LEFT(A1345,2)="PC",
LEFT(A1345,2)="WS",
LEFT(A1345,2)="TB",
LEFT(A1345,3)="CEL",
LEFT(A1345,3)="MON",
LEFT(A1345,3)="PRE",
LEFT(A1345,3)="PRH",
ISNUMBER(SEARCH("NOTEBOOK",B1345)),
ISNUMBER(SEARCH("LAPTOP",B1345)),
ISNUMBER(SEARCH("MONITOR",B1345)),
ISNUMBER(SEARCH("TABLET",B1345)),
ISNUMBER(SEARCH("SMARTPH",B1345)),
ISNUMBER(SEARCH("IMPRESORA",B1345)),
ISNUMBER(SEARCH("MULTIFUNCIONAL",B1345)),
ISNUMBER(SEARCH("AIO",B1345))
),
"GANCHO",
"NORMAL"
)
)</f>
        <v>NORMAL</v>
      </c>
    </row>
    <row r="1344" spans="1:12" x14ac:dyDescent="0.25">
      <c r="A1344" s="3" t="s">
        <v>2227</v>
      </c>
      <c r="B1344" s="3" t="s">
        <v>2228</v>
      </c>
      <c r="C1344" s="1">
        <v>1</v>
      </c>
      <c r="D1344" s="1">
        <v>728.07</v>
      </c>
      <c r="E1344" s="1" t="s">
        <v>1102</v>
      </c>
      <c r="F1344" s="1" t="s">
        <v>3874</v>
      </c>
      <c r="G1344" s="3" t="s">
        <v>2229</v>
      </c>
      <c r="H1344" s="11">
        <f>ROUND(
IF(L1342="GANCHO",
   IF(I1344&lt;=50,I1344*1.1+4,IF(I1344&lt;=120,I1344*1.1+7,IF(I1344&lt;=250,I1344*1.1+11,I1344*1.1+19))),
IF(L1342="NORMAL",
   IF(I1344&lt;=30,I1344*1.15+2,IF(I1344&lt;=80,I1344*1.15+4,IF(I1344&lt;=150,I1344*1.15+6,I1344*1.15+8))),
IF(L1342="COMPLEMENTO",
   IF(I1344&lt;=25,I1344*1.25+1.5,IF(I1344&lt;=60,I1344*1.25+3,IF(I1344&lt;=120,I1344*1.25+4,I1344*1.25+5))),
""))),2)</f>
        <v>3446.21</v>
      </c>
      <c r="I1344" s="9">
        <f>($K$2+0.02)*Tabla1[[#This Row],[PRECIO $]]*1.18</f>
        <v>2989.7466480000003</v>
      </c>
      <c r="J1344" s="7">
        <f>+Tabla1[[#This Row],[PRECIO EN SOLES]]-Tabla1[[#This Row],[PC]]</f>
        <v>456.46335199999976</v>
      </c>
      <c r="K1344" s="15"/>
      <c r="L1344" s="15" t="str">
        <f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5" spans="1:12" x14ac:dyDescent="0.25">
      <c r="A1345" s="3" t="s">
        <v>2230</v>
      </c>
      <c r="B1345" s="3" t="s">
        <v>2228</v>
      </c>
      <c r="C1345" s="1">
        <v>20</v>
      </c>
      <c r="D1345" s="1">
        <v>788.86</v>
      </c>
      <c r="E1345" s="1" t="s">
        <v>1102</v>
      </c>
      <c r="F1345" s="1" t="s">
        <v>3875</v>
      </c>
      <c r="G1345" s="3" t="s">
        <v>2229</v>
      </c>
      <c r="H1345" s="11">
        <f>ROUND(
IF(L1343="GANCHO",
   IF(I1345&lt;=50,I1345*1.1+4,IF(I1345&lt;=120,I1345*1.1+7,IF(I1345&lt;=250,I1345*1.1+11,I1345*1.1+19))),
IF(L1343="NORMAL",
   IF(I1345&lt;=30,I1345*1.15+2,IF(I1345&lt;=80,I1345*1.15+4,IF(I1345&lt;=150,I1345*1.15+6,I1345*1.15+8))),
IF(L1343="COMPLEMENTO",
   IF(I1345&lt;=25,I1345*1.25+1.5,IF(I1345&lt;=60,I1345*1.25+3,IF(I1345&lt;=120,I1345*1.25+4,I1345*1.25+5))),
""))),2)</f>
        <v>3733.28</v>
      </c>
      <c r="I1345" s="9">
        <f>($K$2+0.02)*Tabla1[[#This Row],[PRECIO $]]*1.18</f>
        <v>3239.3747040000003</v>
      </c>
      <c r="J1345" s="7">
        <f>+Tabla1[[#This Row],[PRECIO EN SOLES]]-Tabla1[[#This Row],[PC]]</f>
        <v>493.90529599999991</v>
      </c>
      <c r="K1345" s="15"/>
      <c r="L1345" s="15" t="str">
        <f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6" spans="1:12" x14ac:dyDescent="0.25">
      <c r="A1346" s="3" t="s">
        <v>2231</v>
      </c>
      <c r="B1346" s="3" t="s">
        <v>2232</v>
      </c>
      <c r="C1346" s="1">
        <v>4</v>
      </c>
      <c r="D1346" s="1">
        <v>433.17</v>
      </c>
      <c r="E1346" s="1" t="s">
        <v>1102</v>
      </c>
      <c r="F1346" s="1" t="s">
        <v>3876</v>
      </c>
      <c r="G1346" s="3"/>
      <c r="H1346" s="11">
        <f>ROUND(
IF(L1344="GANCHO",
   IF(I1346&lt;=50,I1346*1.1+4,IF(I1346&lt;=120,I1346*1.1+7,IF(I1346&lt;=250,I1346*1.1+11,I1346*1.1+19))),
IF(L1344="NORMAL",
   IF(I1346&lt;=30,I1346*1.15+2,IF(I1346&lt;=80,I1346*1.15+4,IF(I1346&lt;=150,I1346*1.15+6,I1346*1.15+8))),
IF(L1344="COMPLEMENTO",
   IF(I1346&lt;=25,I1346*1.25+1.5,IF(I1346&lt;=60,I1346*1.25+3,IF(I1346&lt;=120,I1346*1.25+4,I1346*1.25+5))),
""))),2)</f>
        <v>2053.58</v>
      </c>
      <c r="I1346" s="9">
        <f>($K$2+0.02)*Tabla1[[#This Row],[PRECIO $]]*1.18</f>
        <v>1778.769288</v>
      </c>
      <c r="J1346" s="7">
        <f>+Tabla1[[#This Row],[PRECIO EN SOLES]]-Tabla1[[#This Row],[PC]]</f>
        <v>274.81071199999997</v>
      </c>
      <c r="K1346" s="15"/>
      <c r="L1346" s="15" t="str">
        <f>IF(
OR(
ISNUMBER(SEARCH("BACKPACK",B1348)),
ISNUMBER(SEARCH("MOCHILA",B1348)),
ISNUMBER(SEARCH("FUNDA",B1348)),
ISNUMBER(SEARCH("ESTUCHE",B1348)),
ISNUMBER(SEARCH("BOOK COVER",B1348)),
ISNUMBER(SEARCH("KEYBOARD PARA TABLET",B1348)),
ISNUMBER(SEARCH("FLIP TABLET",B1348)),
ISNUMBER(SEARCH("CASE FOR TABLET",B1348)),
ISNUMBER(SEARCH("CABLE",B1348)),
ISNUMBER(SEARCH("ADAPTADOR",B1348)),
ISNUMBER(SEARCH("HUB",B1348)),
ISNUMBER(SEARCH("DOCK",B1348)),
ISNUMBER(SEARCH("MOUSE PAD",B1348)),
ISNUMBER(SEARCH("MOUSEPAD",B1348)),
ISNUMBER(SEARCH("SOPORTE",B1348)),
ISNUMBER(SEARCH("STAND",B1348)),
ISNUMBER(SEARCH("TRAVEL ADAPTER",B1348)),
ISNUMBER(SEARCH("RJ45",B1348)),
ISNUMBER(SEARCH("USB-C",B1348)),
ISNUMBER(SEARCH("USB WIFI",B1348)),
ISNUMBER(SEARCH("POWERBANK",B1348)),
ISNUMBER(SEARCH("CARGADOR",B1348)),
ISNUMBER(SEARCH("COOLER PARA NB",B1348)),
ISNUMBER(SEARCH("SOPORTE PARA NB",B1348)),
ISNUMBER(SEARCH("WEBCAM",B1348)),
ISNUMBER(SEARCH("WEB CAM",B1348)),
ISNUMBER(SEARCH("MOUSE",B1348)),
ISNUMBER(SEARCH("TECLADO",B1348))
),
"COMPLEMENTO",
IF(
OR(
LEFT(A1348,2)="NB",
LEFT(A1348,2)="PC",
LEFT(A1348,2)="WS",
LEFT(A1348,2)="TB",
LEFT(A1348,3)="CEL",
LEFT(A1348,3)="MON",
LEFT(A1348,3)="PRE",
LEFT(A1348,3)="PRH",
ISNUMBER(SEARCH("NOTEBOOK",B1348)),
ISNUMBER(SEARCH("LAPTOP",B1348)),
ISNUMBER(SEARCH("MONITOR",B1348)),
ISNUMBER(SEARCH("TABLET",B1348)),
ISNUMBER(SEARCH("SMARTPH",B1348)),
ISNUMBER(SEARCH("IMPRESORA",B1348)),
ISNUMBER(SEARCH("MULTIFUNCIONAL",B1348)),
ISNUMBER(SEARCH("AIO",B1348))
),
"GANCHO",
"NORMAL"
)
)</f>
        <v>NORMAL</v>
      </c>
    </row>
    <row r="1347" spans="1:12" x14ac:dyDescent="0.25">
      <c r="A1347" s="3" t="s">
        <v>2233</v>
      </c>
      <c r="B1347" s="3" t="s">
        <v>2234</v>
      </c>
      <c r="C1347" s="1">
        <v>19</v>
      </c>
      <c r="D1347" s="1">
        <v>491.66</v>
      </c>
      <c r="E1347" s="1" t="s">
        <v>1102</v>
      </c>
      <c r="F1347" s="1" t="s">
        <v>3877</v>
      </c>
      <c r="G1347" s="3"/>
      <c r="H1347" s="11">
        <f>ROUND(
IF(L1345="GANCHO",
   IF(I1347&lt;=50,I1347*1.1+4,IF(I1347&lt;=120,I1347*1.1+7,IF(I1347&lt;=250,I1347*1.1+11,I1347*1.1+19))),
IF(L1345="NORMAL",
   IF(I1347&lt;=30,I1347*1.15+2,IF(I1347&lt;=80,I1347*1.15+4,IF(I1347&lt;=150,I1347*1.15+6,I1347*1.15+8))),
IF(L1345="COMPLEMENTO",
   IF(I1347&lt;=25,I1347*1.25+1.5,IF(I1347&lt;=60,I1347*1.25+3,IF(I1347&lt;=120,I1347*1.25+4,I1347*1.25+5))),
""))),2)</f>
        <v>2329.8000000000002</v>
      </c>
      <c r="I1347" s="9">
        <f>($K$2+0.02)*Tabla1[[#This Row],[PRECIO $]]*1.18</f>
        <v>2018.952624</v>
      </c>
      <c r="J1347" s="7">
        <f>+Tabla1[[#This Row],[PRECIO EN SOLES]]-Tabla1[[#This Row],[PC]]</f>
        <v>310.84737600000017</v>
      </c>
      <c r="K1347" s="15"/>
      <c r="L1347" s="15" t="str">
        <f>IF(
OR(
ISNUMBER(SEARCH("BACKPACK",B1349)),
ISNUMBER(SEARCH("MOCHILA",B1349)),
ISNUMBER(SEARCH("FUNDA",B1349)),
ISNUMBER(SEARCH("ESTUCHE",B1349)),
ISNUMBER(SEARCH("BOOK COVER",B1349)),
ISNUMBER(SEARCH("KEYBOARD PARA TABLET",B1349)),
ISNUMBER(SEARCH("FLIP TABLET",B1349)),
ISNUMBER(SEARCH("CASE FOR TABLET",B1349)),
ISNUMBER(SEARCH("CABLE",B1349)),
ISNUMBER(SEARCH("ADAPTADOR",B1349)),
ISNUMBER(SEARCH("HUB",B1349)),
ISNUMBER(SEARCH("DOCK",B1349)),
ISNUMBER(SEARCH("MOUSE PAD",B1349)),
ISNUMBER(SEARCH("MOUSEPAD",B1349)),
ISNUMBER(SEARCH("SOPORTE",B1349)),
ISNUMBER(SEARCH("STAND",B1349)),
ISNUMBER(SEARCH("TRAVEL ADAPTER",B1349)),
ISNUMBER(SEARCH("RJ45",B1349)),
ISNUMBER(SEARCH("USB-C",B1349)),
ISNUMBER(SEARCH("USB WIFI",B1349)),
ISNUMBER(SEARCH("POWERBANK",B1349)),
ISNUMBER(SEARCH("CARGADOR",B1349)),
ISNUMBER(SEARCH("COOLER PARA NB",B1349)),
ISNUMBER(SEARCH("SOPORTE PARA NB",B1349)),
ISNUMBER(SEARCH("WEBCAM",B1349)),
ISNUMBER(SEARCH("WEB CAM",B1349)),
ISNUMBER(SEARCH("MOUSE",B1349)),
ISNUMBER(SEARCH("TECLADO",B1349))
),
"COMPLEMENTO",
IF(
OR(
LEFT(A1349,2)="NB",
LEFT(A1349,2)="PC",
LEFT(A1349,2)="WS",
LEFT(A1349,2)="TB",
LEFT(A1349,3)="CEL",
LEFT(A1349,3)="MON",
LEFT(A1349,3)="PRE",
LEFT(A1349,3)="PRH",
ISNUMBER(SEARCH("NOTEBOOK",B1349)),
ISNUMBER(SEARCH("LAPTOP",B1349)),
ISNUMBER(SEARCH("MONITOR",B1349)),
ISNUMBER(SEARCH("TABLET",B1349)),
ISNUMBER(SEARCH("SMARTPH",B1349)),
ISNUMBER(SEARCH("IMPRESORA",B1349)),
ISNUMBER(SEARCH("MULTIFUNCIONAL",B1349)),
ISNUMBER(SEARCH("AIO",B1349))
),
"GANCHO",
"NORMAL"
)
)</f>
        <v>NORMAL</v>
      </c>
    </row>
    <row r="1348" spans="1:12" x14ac:dyDescent="0.25">
      <c r="A1348" s="3" t="s">
        <v>2235</v>
      </c>
      <c r="B1348" s="3" t="s">
        <v>2236</v>
      </c>
      <c r="C1348" s="1">
        <v>3</v>
      </c>
      <c r="D1348" s="1">
        <v>748.15</v>
      </c>
      <c r="E1348" s="1" t="s">
        <v>1102</v>
      </c>
      <c r="F1348" s="1" t="s">
        <v>3878</v>
      </c>
      <c r="G1348" s="3" t="s">
        <v>2237</v>
      </c>
      <c r="H1348" s="11">
        <f>ROUND(
IF(L1346="GANCHO",
   IF(I1348&lt;=50,I1348*1.1+4,IF(I1348&lt;=120,I1348*1.1+7,IF(I1348&lt;=250,I1348*1.1+11,I1348*1.1+19))),
IF(L1346="NORMAL",
   IF(I1348&lt;=30,I1348*1.15+2,IF(I1348&lt;=80,I1348*1.15+4,IF(I1348&lt;=150,I1348*1.15+6,I1348*1.15+8))),
IF(L1346="COMPLEMENTO",
   IF(I1348&lt;=25,I1348*1.25+1.5,IF(I1348&lt;=60,I1348*1.25+3,IF(I1348&lt;=120,I1348*1.25+4,I1348*1.25+5))),
""))),2)</f>
        <v>3541.03</v>
      </c>
      <c r="I1348" s="9">
        <f>($K$2+0.02)*Tabla1[[#This Row],[PRECIO $]]*1.18</f>
        <v>3072.2031599999996</v>
      </c>
      <c r="J1348" s="7">
        <f>+Tabla1[[#This Row],[PRECIO EN SOLES]]-Tabla1[[#This Row],[PC]]</f>
        <v>468.82684000000063</v>
      </c>
      <c r="K1348" s="15"/>
      <c r="L1348" s="15" t="str">
        <f>IF(
OR(
ISNUMBER(SEARCH("BACKPACK",B1350)),
ISNUMBER(SEARCH("MOCHILA",B1350)),
ISNUMBER(SEARCH("FUNDA",B1350)),
ISNUMBER(SEARCH("ESTUCHE",B1350)),
ISNUMBER(SEARCH("BOOK COVER",B1350)),
ISNUMBER(SEARCH("KEYBOARD PARA TABLET",B1350)),
ISNUMBER(SEARCH("FLIP TABLET",B1350)),
ISNUMBER(SEARCH("CASE FOR TABLET",B1350)),
ISNUMBER(SEARCH("CABLE",B1350)),
ISNUMBER(SEARCH("ADAPTADOR",B1350)),
ISNUMBER(SEARCH("HUB",B1350)),
ISNUMBER(SEARCH("DOCK",B1350)),
ISNUMBER(SEARCH("MOUSE PAD",B1350)),
ISNUMBER(SEARCH("MOUSEPAD",B1350)),
ISNUMBER(SEARCH("SOPORTE",B1350)),
ISNUMBER(SEARCH("STAND",B1350)),
ISNUMBER(SEARCH("TRAVEL ADAPTER",B1350)),
ISNUMBER(SEARCH("RJ45",B1350)),
ISNUMBER(SEARCH("USB-C",B1350)),
ISNUMBER(SEARCH("USB WIFI",B1350)),
ISNUMBER(SEARCH("POWERBANK",B1350)),
ISNUMBER(SEARCH("CARGADOR",B1350)),
ISNUMBER(SEARCH("COOLER PARA NB",B1350)),
ISNUMBER(SEARCH("SOPORTE PARA NB",B1350)),
ISNUMBER(SEARCH("WEBCAM",B1350)),
ISNUMBER(SEARCH("WEB CAM",B1350)),
ISNUMBER(SEARCH("MOUSE",B1350)),
ISNUMBER(SEARCH("TECLADO",B1350))
),
"COMPLEMENTO",
IF(
OR(
LEFT(A1350,2)="NB",
LEFT(A1350,2)="PC",
LEFT(A1350,2)="WS",
LEFT(A1350,2)="TB",
LEFT(A1350,3)="CEL",
LEFT(A1350,3)="MON",
LEFT(A1350,3)="PRE",
LEFT(A1350,3)="PRH",
ISNUMBER(SEARCH("NOTEBOOK",B1350)),
ISNUMBER(SEARCH("LAPTOP",B1350)),
ISNUMBER(SEARCH("MONITOR",B1350)),
ISNUMBER(SEARCH("TABLET",B1350)),
ISNUMBER(SEARCH("SMARTPH",B1350)),
ISNUMBER(SEARCH("IMPRESORA",B1350)),
ISNUMBER(SEARCH("MULTIFUNCIONAL",B1350)),
ISNUMBER(SEARCH("AIO",B1350))
),
"GANCHO",
"NORMAL"
)
)</f>
        <v>NORMAL</v>
      </c>
    </row>
    <row r="1349" spans="1:12" x14ac:dyDescent="0.25">
      <c r="A1349" s="3" t="s">
        <v>2238</v>
      </c>
      <c r="B1349" s="3" t="s">
        <v>2239</v>
      </c>
      <c r="C1349" s="1">
        <v>3</v>
      </c>
      <c r="D1349" s="1">
        <v>434.04</v>
      </c>
      <c r="E1349" s="1" t="s">
        <v>1166</v>
      </c>
      <c r="F1349" s="1" t="s">
        <v>3879</v>
      </c>
      <c r="G1349" s="3" t="s">
        <v>2240</v>
      </c>
      <c r="H1349" s="11">
        <f>ROUND(
IF(L1347="GANCHO",
   IF(I1349&lt;=50,I1349*1.1+4,IF(I1349&lt;=120,I1349*1.1+7,IF(I1349&lt;=250,I1349*1.1+11,I1349*1.1+19))),
IF(L1347="NORMAL",
   IF(I1349&lt;=30,I1349*1.15+2,IF(I1349&lt;=80,I1349*1.15+4,IF(I1349&lt;=150,I1349*1.15+6,I1349*1.15+8))),
IF(L1347="COMPLEMENTO",
   IF(I1349&lt;=25,I1349*1.25+1.5,IF(I1349&lt;=60,I1349*1.25+3,IF(I1349&lt;=120,I1349*1.25+4,I1349*1.25+5))),
""))),2)</f>
        <v>2057.69</v>
      </c>
      <c r="I1349" s="9">
        <f>($K$2+0.02)*Tabla1[[#This Row],[PRECIO $]]*1.18</f>
        <v>1782.341856</v>
      </c>
      <c r="J1349" s="7">
        <f>+Tabla1[[#This Row],[PRECIO EN SOLES]]-Tabla1[[#This Row],[PC]]</f>
        <v>275.34814400000005</v>
      </c>
      <c r="K1349" s="15"/>
      <c r="L1349" s="15" t="str">
        <f>IF(
OR(
ISNUMBER(SEARCH("BACKPACK",B1351)),
ISNUMBER(SEARCH("MOCHILA",B1351)),
ISNUMBER(SEARCH("FUNDA",B1351)),
ISNUMBER(SEARCH("ESTUCHE",B1351)),
ISNUMBER(SEARCH("BOOK COVER",B1351)),
ISNUMBER(SEARCH("KEYBOARD PARA TABLET",B1351)),
ISNUMBER(SEARCH("FLIP TABLET",B1351)),
ISNUMBER(SEARCH("CASE FOR TABLET",B1351)),
ISNUMBER(SEARCH("CABLE",B1351)),
ISNUMBER(SEARCH("ADAPTADOR",B1351)),
ISNUMBER(SEARCH("HUB",B1351)),
ISNUMBER(SEARCH("DOCK",B1351)),
ISNUMBER(SEARCH("MOUSE PAD",B1351)),
ISNUMBER(SEARCH("MOUSEPAD",B1351)),
ISNUMBER(SEARCH("SOPORTE",B1351)),
ISNUMBER(SEARCH("STAND",B1351)),
ISNUMBER(SEARCH("TRAVEL ADAPTER",B1351)),
ISNUMBER(SEARCH("RJ45",B1351)),
ISNUMBER(SEARCH("USB-C",B1351)),
ISNUMBER(SEARCH("USB WIFI",B1351)),
ISNUMBER(SEARCH("POWERBANK",B1351)),
ISNUMBER(SEARCH("CARGADOR",B1351)),
ISNUMBER(SEARCH("COOLER PARA NB",B1351)),
ISNUMBER(SEARCH("SOPORTE PARA NB",B1351)),
ISNUMBER(SEARCH("WEBCAM",B1351)),
ISNUMBER(SEARCH("WEB CAM",B1351)),
ISNUMBER(SEARCH("MOUSE",B1351)),
ISNUMBER(SEARCH("TECLADO",B1351))
),
"COMPLEMENTO",
IF(
OR(
LEFT(A1351,2)="NB",
LEFT(A1351,2)="PC",
LEFT(A1351,2)="WS",
LEFT(A1351,2)="TB",
LEFT(A1351,3)="CEL",
LEFT(A1351,3)="MON",
LEFT(A1351,3)="PRE",
LEFT(A1351,3)="PRH",
ISNUMBER(SEARCH("NOTEBOOK",B1351)),
ISNUMBER(SEARCH("LAPTOP",B1351)),
ISNUMBER(SEARCH("MONITOR",B1351)),
ISNUMBER(SEARCH("TABLET",B1351)),
ISNUMBER(SEARCH("SMARTPH",B1351)),
ISNUMBER(SEARCH("IMPRESORA",B1351)),
ISNUMBER(SEARCH("MULTIFUNCIONAL",B1351)),
ISNUMBER(SEARCH("AIO",B1351))
),
"GANCHO",
"NORMAL"
)
)</f>
        <v>NORMAL</v>
      </c>
    </row>
    <row r="1350" spans="1:12" x14ac:dyDescent="0.25">
      <c r="A1350" s="3" t="s">
        <v>2241</v>
      </c>
      <c r="B1350" s="3" t="s">
        <v>2242</v>
      </c>
      <c r="C1350" s="1">
        <v>2</v>
      </c>
      <c r="D1350" s="1">
        <v>631.65</v>
      </c>
      <c r="E1350" s="1" t="s">
        <v>1166</v>
      </c>
      <c r="F1350" s="1" t="s">
        <v>3880</v>
      </c>
      <c r="G1350" s="3" t="s">
        <v>2243</v>
      </c>
      <c r="H1350" s="11">
        <f>ROUND(
IF(L1348="GANCHO",
   IF(I1350&lt;=50,I1350*1.1+4,IF(I1350&lt;=120,I1350*1.1+7,IF(I1350&lt;=250,I1350*1.1+11,I1350*1.1+19))),
IF(L1348="NORMAL",
   IF(I1350&lt;=30,I1350*1.15+2,IF(I1350&lt;=80,I1350*1.15+4,IF(I1350&lt;=150,I1350*1.15+6,I1350*1.15+8))),
IF(L1348="COMPLEMENTO",
   IF(I1350&lt;=25,I1350*1.25+1.5,IF(I1350&lt;=60,I1350*1.25+3,IF(I1350&lt;=120,I1350*1.25+4,I1350*1.25+5))),
""))),2)</f>
        <v>2990.88</v>
      </c>
      <c r="I1350" s="9">
        <f>($K$2+0.02)*Tabla1[[#This Row],[PRECIO $]]*1.18</f>
        <v>2593.8075599999997</v>
      </c>
      <c r="J1350" s="7">
        <f>+Tabla1[[#This Row],[PRECIO EN SOLES]]-Tabla1[[#This Row],[PC]]</f>
        <v>397.07244000000037</v>
      </c>
      <c r="K1350" s="15"/>
      <c r="L1350" s="15" t="str">
        <f>IF(
OR(
ISNUMBER(SEARCH("BACKPACK",B1352)),
ISNUMBER(SEARCH("MOCHILA",B1352)),
ISNUMBER(SEARCH("FUNDA",B1352)),
ISNUMBER(SEARCH("ESTUCHE",B1352)),
ISNUMBER(SEARCH("BOOK COVER",B1352)),
ISNUMBER(SEARCH("KEYBOARD PARA TABLET",B1352)),
ISNUMBER(SEARCH("FLIP TABLET",B1352)),
ISNUMBER(SEARCH("CASE FOR TABLET",B1352)),
ISNUMBER(SEARCH("CABLE",B1352)),
ISNUMBER(SEARCH("ADAPTADOR",B1352)),
ISNUMBER(SEARCH("HUB",B1352)),
ISNUMBER(SEARCH("DOCK",B1352)),
ISNUMBER(SEARCH("MOUSE PAD",B1352)),
ISNUMBER(SEARCH("MOUSEPAD",B1352)),
ISNUMBER(SEARCH("SOPORTE",B1352)),
ISNUMBER(SEARCH("STAND",B1352)),
ISNUMBER(SEARCH("TRAVEL ADAPTER",B1352)),
ISNUMBER(SEARCH("RJ45",B1352)),
ISNUMBER(SEARCH("USB-C",B1352)),
ISNUMBER(SEARCH("USB WIFI",B1352)),
ISNUMBER(SEARCH("POWERBANK",B1352)),
ISNUMBER(SEARCH("CARGADOR",B1352)),
ISNUMBER(SEARCH("COOLER PARA NB",B1352)),
ISNUMBER(SEARCH("SOPORTE PARA NB",B1352)),
ISNUMBER(SEARCH("WEBCAM",B1352)),
ISNUMBER(SEARCH("WEB CAM",B1352)),
ISNUMBER(SEARCH("MOUSE",B1352)),
ISNUMBER(SEARCH("TECLADO",B1352))
),
"COMPLEMENTO",
IF(
OR(
LEFT(A1352,2)="NB",
LEFT(A1352,2)="PC",
LEFT(A1352,2)="WS",
LEFT(A1352,2)="TB",
LEFT(A1352,3)="CEL",
LEFT(A1352,3)="MON",
LEFT(A1352,3)="PRE",
LEFT(A1352,3)="PRH",
ISNUMBER(SEARCH("NOTEBOOK",B1352)),
ISNUMBER(SEARCH("LAPTOP",B1352)),
ISNUMBER(SEARCH("MONITOR",B1352)),
ISNUMBER(SEARCH("TABLET",B1352)),
ISNUMBER(SEARCH("SMARTPH",B1352)),
ISNUMBER(SEARCH("IMPRESORA",B1352)),
ISNUMBER(SEARCH("MULTIFUNCIONAL",B1352)),
ISNUMBER(SEARCH("AIO",B1352))
),
"GANCHO",
"NORMAL"
)
)</f>
        <v>NORMAL</v>
      </c>
    </row>
    <row r="1351" spans="1:12" x14ac:dyDescent="0.25">
      <c r="A1351" s="3" t="s">
        <v>2244</v>
      </c>
      <c r="B1351" s="3" t="s">
        <v>2245</v>
      </c>
      <c r="C1351" s="1">
        <v>20</v>
      </c>
      <c r="D1351" s="1">
        <v>2311.17</v>
      </c>
      <c r="E1351" s="1" t="s">
        <v>1102</v>
      </c>
      <c r="F1351" s="1" t="s">
        <v>3881</v>
      </c>
      <c r="G1351" s="3"/>
      <c r="H1351" s="11">
        <f>ROUND(
IF(L1349="GANCHO",
   IF(I1351&lt;=50,I1351*1.1+4,IF(I1351&lt;=120,I1351*1.1+7,IF(I1351&lt;=250,I1351*1.1+11,I1351*1.1+19))),
IF(L1349="NORMAL",
   IF(I1351&lt;=30,I1351*1.15+2,IF(I1351&lt;=80,I1351*1.15+4,IF(I1351&lt;=150,I1351*1.15+6,I1351*1.15+8))),
IF(L1349="COMPLEMENTO",
   IF(I1351&lt;=25,I1351*1.25+1.5,IF(I1351&lt;=60,I1351*1.25+3,IF(I1351&lt;=120,I1351*1.25+4,I1351*1.25+5))),
""))),2)</f>
        <v>10922.18</v>
      </c>
      <c r="I1351" s="9">
        <f>($K$2+0.02)*Tabla1[[#This Row],[PRECIO $]]*1.18</f>
        <v>9490.5884879999994</v>
      </c>
      <c r="J1351" s="7">
        <f>+Tabla1[[#This Row],[PRECIO EN SOLES]]-Tabla1[[#This Row],[PC]]</f>
        <v>1431.5915120000009</v>
      </c>
      <c r="K1351" s="15"/>
      <c r="L1351" s="15" t="str">
        <f>IF(
OR(
ISNUMBER(SEARCH("BACKPACK",B1353)),
ISNUMBER(SEARCH("MOCHILA",B1353)),
ISNUMBER(SEARCH("FUNDA",B1353)),
ISNUMBER(SEARCH("ESTUCHE",B1353)),
ISNUMBER(SEARCH("BOOK COVER",B1353)),
ISNUMBER(SEARCH("KEYBOARD PARA TABLET",B1353)),
ISNUMBER(SEARCH("FLIP TABLET",B1353)),
ISNUMBER(SEARCH("CASE FOR TABLET",B1353)),
ISNUMBER(SEARCH("CABLE",B1353)),
ISNUMBER(SEARCH("ADAPTADOR",B1353)),
ISNUMBER(SEARCH("HUB",B1353)),
ISNUMBER(SEARCH("DOCK",B1353)),
ISNUMBER(SEARCH("MOUSE PAD",B1353)),
ISNUMBER(SEARCH("MOUSEPAD",B1353)),
ISNUMBER(SEARCH("SOPORTE",B1353)),
ISNUMBER(SEARCH("STAND",B1353)),
ISNUMBER(SEARCH("TRAVEL ADAPTER",B1353)),
ISNUMBER(SEARCH("RJ45",B1353)),
ISNUMBER(SEARCH("USB-C",B1353)),
ISNUMBER(SEARCH("USB WIFI",B1353)),
ISNUMBER(SEARCH("POWERBANK",B1353)),
ISNUMBER(SEARCH("CARGADOR",B1353)),
ISNUMBER(SEARCH("COOLER PARA NB",B1353)),
ISNUMBER(SEARCH("SOPORTE PARA NB",B1353)),
ISNUMBER(SEARCH("WEBCAM",B1353)),
ISNUMBER(SEARCH("WEB CAM",B1353)),
ISNUMBER(SEARCH("MOUSE",B1353)),
ISNUMBER(SEARCH("TECLADO",B1353))
),
"COMPLEMENTO",
IF(
OR(
LEFT(A1353,2)="NB",
LEFT(A1353,2)="PC",
LEFT(A1353,2)="WS",
LEFT(A1353,2)="TB",
LEFT(A1353,3)="CEL",
LEFT(A1353,3)="MON",
LEFT(A1353,3)="PRE",
LEFT(A1353,3)="PRH",
ISNUMBER(SEARCH("NOTEBOOK",B1353)),
ISNUMBER(SEARCH("LAPTOP",B1353)),
ISNUMBER(SEARCH("MONITOR",B1353)),
ISNUMBER(SEARCH("TABLET",B1353)),
ISNUMBER(SEARCH("SMARTPH",B1353)),
ISNUMBER(SEARCH("IMPRESORA",B1353)),
ISNUMBER(SEARCH("MULTIFUNCIONAL",B1353)),
ISNUMBER(SEARCH("AIO",B1353))
),
"GANCHO",
"NORMAL"
)
)</f>
        <v>NORMAL</v>
      </c>
    </row>
    <row r="1352" spans="1:12" x14ac:dyDescent="0.25">
      <c r="A1352" s="3" t="s">
        <v>2246</v>
      </c>
      <c r="B1352" s="3" t="s">
        <v>2247</v>
      </c>
      <c r="C1352" s="1">
        <v>19</v>
      </c>
      <c r="D1352" s="1">
        <v>3827.13</v>
      </c>
      <c r="E1352" s="1" t="s">
        <v>1102</v>
      </c>
      <c r="F1352" s="1" t="s">
        <v>3882</v>
      </c>
      <c r="G1352" s="3"/>
      <c r="H1352" s="11">
        <f>ROUND(
IF(L1350="GANCHO",
   IF(I1352&lt;=50,I1352*1.1+4,IF(I1352&lt;=120,I1352*1.1+7,IF(I1352&lt;=250,I1352*1.1+11,I1352*1.1+19))),
IF(L1350="NORMAL",
   IF(I1352&lt;=30,I1352*1.15+2,IF(I1352&lt;=80,I1352*1.15+4,IF(I1352&lt;=150,I1352*1.15+6,I1352*1.15+8))),
IF(L1350="COMPLEMENTO",
   IF(I1352&lt;=25,I1352*1.25+1.5,IF(I1352&lt;=60,I1352*1.25+3,IF(I1352&lt;=120,I1352*1.25+4,I1352*1.25+5))),
""))),2)</f>
        <v>18081.09</v>
      </c>
      <c r="I1352" s="9">
        <f>($K$2+0.02)*Tabla1[[#This Row],[PRECIO $]]*1.18</f>
        <v>15715.726632</v>
      </c>
      <c r="J1352" s="7">
        <f>+Tabla1[[#This Row],[PRECIO EN SOLES]]-Tabla1[[#This Row],[PC]]</f>
        <v>2365.3633680000003</v>
      </c>
      <c r="K1352" s="15"/>
      <c r="L1352" s="15" t="str">
        <f>IF(
OR(
ISNUMBER(SEARCH("BACKPACK",B1354)),
ISNUMBER(SEARCH("MOCHILA",B1354)),
ISNUMBER(SEARCH("FUNDA",B1354)),
ISNUMBER(SEARCH("ESTUCHE",B1354)),
ISNUMBER(SEARCH("BOOK COVER",B1354)),
ISNUMBER(SEARCH("KEYBOARD PARA TABLET",B1354)),
ISNUMBER(SEARCH("FLIP TABLET",B1354)),
ISNUMBER(SEARCH("CASE FOR TABLET",B1354)),
ISNUMBER(SEARCH("CABLE",B1354)),
ISNUMBER(SEARCH("ADAPTADOR",B1354)),
ISNUMBER(SEARCH("HUB",B1354)),
ISNUMBER(SEARCH("DOCK",B1354)),
ISNUMBER(SEARCH("MOUSE PAD",B1354)),
ISNUMBER(SEARCH("MOUSEPAD",B1354)),
ISNUMBER(SEARCH("SOPORTE",B1354)),
ISNUMBER(SEARCH("STAND",B1354)),
ISNUMBER(SEARCH("TRAVEL ADAPTER",B1354)),
ISNUMBER(SEARCH("RJ45",B1354)),
ISNUMBER(SEARCH("USB-C",B1354)),
ISNUMBER(SEARCH("USB WIFI",B1354)),
ISNUMBER(SEARCH("POWERBANK",B1354)),
ISNUMBER(SEARCH("CARGADOR",B1354)),
ISNUMBER(SEARCH("COOLER PARA NB",B1354)),
ISNUMBER(SEARCH("SOPORTE PARA NB",B1354)),
ISNUMBER(SEARCH("WEBCAM",B1354)),
ISNUMBER(SEARCH("WEB CAM",B1354)),
ISNUMBER(SEARCH("MOUSE",B1354)),
ISNUMBER(SEARCH("TECLADO",B1354))
),
"COMPLEMENTO",
IF(
OR(
LEFT(A1354,2)="NB",
LEFT(A1354,2)="PC",
LEFT(A1354,2)="WS",
LEFT(A1354,2)="TB",
LEFT(A1354,3)="CEL",
LEFT(A1354,3)="MON",
LEFT(A1354,3)="PRE",
LEFT(A1354,3)="PRH",
ISNUMBER(SEARCH("NOTEBOOK",B1354)),
ISNUMBER(SEARCH("LAPTOP",B1354)),
ISNUMBER(SEARCH("MONITOR",B1354)),
ISNUMBER(SEARCH("TABLET",B1354)),
ISNUMBER(SEARCH("SMARTPH",B1354)),
ISNUMBER(SEARCH("IMPRESORA",B1354)),
ISNUMBER(SEARCH("MULTIFUNCIONAL",B1354)),
ISNUMBER(SEARCH("AIO",B1354))
),
"GANCHO",
"NORMAL"
)
)</f>
        <v>NORMAL</v>
      </c>
    </row>
    <row r="1353" spans="1:12" x14ac:dyDescent="0.25">
      <c r="A1353" s="3" t="s">
        <v>2248</v>
      </c>
      <c r="B1353" s="3" t="s">
        <v>2249</v>
      </c>
      <c r="C1353" s="1">
        <v>14</v>
      </c>
      <c r="D1353" s="1">
        <v>6452.13</v>
      </c>
      <c r="E1353" s="1" t="s">
        <v>1102</v>
      </c>
      <c r="F1353" s="1" t="s">
        <v>3883</v>
      </c>
      <c r="G1353" s="3"/>
      <c r="H1353" s="11">
        <f>ROUND(
IF(L1351="GANCHO",
   IF(I1353&lt;=50,I1353*1.1+4,IF(I1353&lt;=120,I1353*1.1+7,IF(I1353&lt;=250,I1353*1.1+11,I1353*1.1+19))),
IF(L1351="NORMAL",
   IF(I1353&lt;=30,I1353*1.15+2,IF(I1353&lt;=80,I1353*1.15+4,IF(I1353&lt;=150,I1353*1.15+6,I1353*1.15+8))),
IF(L1351="COMPLEMENTO",
   IF(I1353&lt;=25,I1353*1.25+1.5,IF(I1353&lt;=60,I1353*1.25+3,IF(I1353&lt;=120,I1353*1.25+4,I1353*1.25+5))),
""))),2)</f>
        <v>30477.279999999999</v>
      </c>
      <c r="I1353" s="9">
        <f>($K$2+0.02)*Tabla1[[#This Row],[PRECIO $]]*1.18</f>
        <v>26495.026632000001</v>
      </c>
      <c r="J1353" s="7">
        <f>+Tabla1[[#This Row],[PRECIO EN SOLES]]-Tabla1[[#This Row],[PC]]</f>
        <v>3982.2533679999979</v>
      </c>
      <c r="K1353" s="15"/>
      <c r="L1353" s="15" t="str">
        <f>IF(
OR(
ISNUMBER(SEARCH("BACKPACK",B1355)),
ISNUMBER(SEARCH("MOCHILA",B1355)),
ISNUMBER(SEARCH("FUNDA",B1355)),
ISNUMBER(SEARCH("ESTUCHE",B1355)),
ISNUMBER(SEARCH("BOOK COVER",B1355)),
ISNUMBER(SEARCH("KEYBOARD PARA TABLET",B1355)),
ISNUMBER(SEARCH("FLIP TABLET",B1355)),
ISNUMBER(SEARCH("CASE FOR TABLET",B1355)),
ISNUMBER(SEARCH("CABLE",B1355)),
ISNUMBER(SEARCH("ADAPTADOR",B1355)),
ISNUMBER(SEARCH("HUB",B1355)),
ISNUMBER(SEARCH("DOCK",B1355)),
ISNUMBER(SEARCH("MOUSE PAD",B1355)),
ISNUMBER(SEARCH("MOUSEPAD",B1355)),
ISNUMBER(SEARCH("SOPORTE",B1355)),
ISNUMBER(SEARCH("STAND",B1355)),
ISNUMBER(SEARCH("TRAVEL ADAPTER",B1355)),
ISNUMBER(SEARCH("RJ45",B1355)),
ISNUMBER(SEARCH("USB-C",B1355)),
ISNUMBER(SEARCH("USB WIFI",B1355)),
ISNUMBER(SEARCH("POWERBANK",B1355)),
ISNUMBER(SEARCH("CARGADOR",B1355)),
ISNUMBER(SEARCH("COOLER PARA NB",B1355)),
ISNUMBER(SEARCH("SOPORTE PARA NB",B1355)),
ISNUMBER(SEARCH("WEBCAM",B1355)),
ISNUMBER(SEARCH("WEB CAM",B1355)),
ISNUMBER(SEARCH("MOUSE",B1355)),
ISNUMBER(SEARCH("TECLADO",B1355))
),
"COMPLEMENTO",
IF(
OR(
LEFT(A1355,2)="NB",
LEFT(A1355,2)="PC",
LEFT(A1355,2)="WS",
LEFT(A1355,2)="TB",
LEFT(A1355,3)="CEL",
LEFT(A1355,3)="MON",
LEFT(A1355,3)="PRE",
LEFT(A1355,3)="PRH",
ISNUMBER(SEARCH("NOTEBOOK",B1355)),
ISNUMBER(SEARCH("LAPTOP",B1355)),
ISNUMBER(SEARCH("MONITOR",B1355)),
ISNUMBER(SEARCH("TABLET",B1355)),
ISNUMBER(SEARCH("SMARTPH",B1355)),
ISNUMBER(SEARCH("IMPRESORA",B1355)),
ISNUMBER(SEARCH("MULTIFUNCIONAL",B1355)),
ISNUMBER(SEARCH("AIO",B1355))
),
"GANCHO",
"NORMAL"
)
)</f>
        <v>NORMAL</v>
      </c>
    </row>
    <row r="1354" spans="1:12" x14ac:dyDescent="0.25">
      <c r="A1354" s="3" t="s">
        <v>2250</v>
      </c>
      <c r="B1354" s="3" t="s">
        <v>2251</v>
      </c>
      <c r="C1354" s="1">
        <v>5</v>
      </c>
      <c r="D1354" s="1">
        <v>2723.4</v>
      </c>
      <c r="E1354" s="1" t="s">
        <v>1102</v>
      </c>
      <c r="F1354" s="1" t="s">
        <v>3884</v>
      </c>
      <c r="G1354" s="3"/>
      <c r="H1354" s="11">
        <f>ROUND(
IF(L1352="GANCHO",
   IF(I1354&lt;=50,I1354*1.1+4,IF(I1354&lt;=120,I1354*1.1+7,IF(I1354&lt;=250,I1354*1.1+11,I1354*1.1+19))),
IF(L1352="NORMAL",
   IF(I1354&lt;=30,I1354*1.15+2,IF(I1354&lt;=80,I1354*1.15+4,IF(I1354&lt;=150,I1354*1.15+6,I1354*1.15+8))),
IF(L1352="COMPLEMENTO",
   IF(I1354&lt;=25,I1354*1.25+1.5,IF(I1354&lt;=60,I1354*1.25+3,IF(I1354&lt;=120,I1354*1.25+4,I1354*1.25+5))),
""))),2)</f>
        <v>12868.88</v>
      </c>
      <c r="I1354" s="9">
        <f>($K$2+0.02)*Tabla1[[#This Row],[PRECIO $]]*1.18</f>
        <v>11183.36976</v>
      </c>
      <c r="J1354" s="7">
        <f>+Tabla1[[#This Row],[PRECIO EN SOLES]]-Tabla1[[#This Row],[PC]]</f>
        <v>1685.5102399999996</v>
      </c>
      <c r="K1354" s="15"/>
      <c r="L1354" s="15" t="str">
        <f>IF(
OR(
ISNUMBER(SEARCH("BACKPACK",B1356)),
ISNUMBER(SEARCH("MOCHILA",B1356)),
ISNUMBER(SEARCH("FUNDA",B1356)),
ISNUMBER(SEARCH("ESTUCHE",B1356)),
ISNUMBER(SEARCH("BOOK COVER",B1356)),
ISNUMBER(SEARCH("KEYBOARD PARA TABLET",B1356)),
ISNUMBER(SEARCH("FLIP TABLET",B1356)),
ISNUMBER(SEARCH("CASE FOR TABLET",B1356)),
ISNUMBER(SEARCH("CABLE",B1356)),
ISNUMBER(SEARCH("ADAPTADOR",B1356)),
ISNUMBER(SEARCH("HUB",B1356)),
ISNUMBER(SEARCH("DOCK",B1356)),
ISNUMBER(SEARCH("MOUSE PAD",B1356)),
ISNUMBER(SEARCH("MOUSEPAD",B1356)),
ISNUMBER(SEARCH("SOPORTE",B1356)),
ISNUMBER(SEARCH("STAND",B1356)),
ISNUMBER(SEARCH("TRAVEL ADAPTER",B1356)),
ISNUMBER(SEARCH("RJ45",B1356)),
ISNUMBER(SEARCH("USB-C",B1356)),
ISNUMBER(SEARCH("USB WIFI",B1356)),
ISNUMBER(SEARCH("POWERBANK",B1356)),
ISNUMBER(SEARCH("CARGADOR",B1356)),
ISNUMBER(SEARCH("COOLER PARA NB",B1356)),
ISNUMBER(SEARCH("SOPORTE PARA NB",B1356)),
ISNUMBER(SEARCH("WEBCAM",B1356)),
ISNUMBER(SEARCH("WEB CAM",B1356)),
ISNUMBER(SEARCH("MOUSE",B1356)),
ISNUMBER(SEARCH("TECLADO",B1356))
),
"COMPLEMENTO",
IF(
OR(
LEFT(A1356,2)="NB",
LEFT(A1356,2)="PC",
LEFT(A1356,2)="WS",
LEFT(A1356,2)="TB",
LEFT(A1356,3)="CEL",
LEFT(A1356,3)="MON",
LEFT(A1356,3)="PRE",
LEFT(A1356,3)="PRH",
ISNUMBER(SEARCH("NOTEBOOK",B1356)),
ISNUMBER(SEARCH("LAPTOP",B1356)),
ISNUMBER(SEARCH("MONITOR",B1356)),
ISNUMBER(SEARCH("TABLET",B1356)),
ISNUMBER(SEARCH("SMARTPH",B1356)),
ISNUMBER(SEARCH("IMPRESORA",B1356)),
ISNUMBER(SEARCH("MULTIFUNCIONAL",B1356)),
ISNUMBER(SEARCH("AIO",B1356))
),
"GANCHO",
"NORMAL"
)
)</f>
        <v>NORMAL</v>
      </c>
    </row>
    <row r="1355" spans="1:12" x14ac:dyDescent="0.25">
      <c r="A1355" s="3" t="s">
        <v>2252</v>
      </c>
      <c r="B1355" s="3" t="s">
        <v>2245</v>
      </c>
      <c r="C1355" s="1">
        <v>1</v>
      </c>
      <c r="D1355" s="1">
        <v>2311.17</v>
      </c>
      <c r="E1355" s="1" t="s">
        <v>1102</v>
      </c>
      <c r="F1355" s="1" t="s">
        <v>3885</v>
      </c>
      <c r="G1355" s="3"/>
      <c r="H1355" s="11">
        <f>ROUND(
IF(L1353="GANCHO",
   IF(I1355&lt;=50,I1355*1.1+4,IF(I1355&lt;=120,I1355*1.1+7,IF(I1355&lt;=250,I1355*1.1+11,I1355*1.1+19))),
IF(L1353="NORMAL",
   IF(I1355&lt;=30,I1355*1.15+2,IF(I1355&lt;=80,I1355*1.15+4,IF(I1355&lt;=150,I1355*1.15+6,I1355*1.15+8))),
IF(L1353="COMPLEMENTO",
   IF(I1355&lt;=25,I1355*1.25+1.5,IF(I1355&lt;=60,I1355*1.25+3,IF(I1355&lt;=120,I1355*1.25+4,I1355*1.25+5))),
""))),2)</f>
        <v>10922.18</v>
      </c>
      <c r="I1355" s="9">
        <f>($K$2+0.02)*Tabla1[[#This Row],[PRECIO $]]*1.18</f>
        <v>9490.5884879999994</v>
      </c>
      <c r="J1355" s="7">
        <f>+Tabla1[[#This Row],[PRECIO EN SOLES]]-Tabla1[[#This Row],[PC]]</f>
        <v>1431.5915120000009</v>
      </c>
      <c r="K1355" s="15"/>
      <c r="L1355" s="15" t="str">
        <f>IF(
OR(
ISNUMBER(SEARCH("BACKPACK",B1357)),
ISNUMBER(SEARCH("MOCHILA",B1357)),
ISNUMBER(SEARCH("FUNDA",B1357)),
ISNUMBER(SEARCH("ESTUCHE",B1357)),
ISNUMBER(SEARCH("BOOK COVER",B1357)),
ISNUMBER(SEARCH("KEYBOARD PARA TABLET",B1357)),
ISNUMBER(SEARCH("FLIP TABLET",B1357)),
ISNUMBER(SEARCH("CASE FOR TABLET",B1357)),
ISNUMBER(SEARCH("CABLE",B1357)),
ISNUMBER(SEARCH("ADAPTADOR",B1357)),
ISNUMBER(SEARCH("HUB",B1357)),
ISNUMBER(SEARCH("DOCK",B1357)),
ISNUMBER(SEARCH("MOUSE PAD",B1357)),
ISNUMBER(SEARCH("MOUSEPAD",B1357)),
ISNUMBER(SEARCH("SOPORTE",B1357)),
ISNUMBER(SEARCH("STAND",B1357)),
ISNUMBER(SEARCH("TRAVEL ADAPTER",B1357)),
ISNUMBER(SEARCH("RJ45",B1357)),
ISNUMBER(SEARCH("USB-C",B1357)),
ISNUMBER(SEARCH("USB WIFI",B1357)),
ISNUMBER(SEARCH("POWERBANK",B1357)),
ISNUMBER(SEARCH("CARGADOR",B1357)),
ISNUMBER(SEARCH("COOLER PARA NB",B1357)),
ISNUMBER(SEARCH("SOPORTE PARA NB",B1357)),
ISNUMBER(SEARCH("WEBCAM",B1357)),
ISNUMBER(SEARCH("WEB CAM",B1357)),
ISNUMBER(SEARCH("MOUSE",B1357)),
ISNUMBER(SEARCH("TECLADO",B1357))
),
"COMPLEMENTO",
IF(
OR(
LEFT(A1357,2)="NB",
LEFT(A1357,2)="PC",
LEFT(A1357,2)="WS",
LEFT(A1357,2)="TB",
LEFT(A1357,3)="CEL",
LEFT(A1357,3)="MON",
LEFT(A1357,3)="PRE",
LEFT(A1357,3)="PRH",
ISNUMBER(SEARCH("NOTEBOOK",B1357)),
ISNUMBER(SEARCH("LAPTOP",B1357)),
ISNUMBER(SEARCH("MONITOR",B1357)),
ISNUMBER(SEARCH("TABLET",B1357)),
ISNUMBER(SEARCH("SMARTPH",B1357)),
ISNUMBER(SEARCH("IMPRESORA",B1357)),
ISNUMBER(SEARCH("MULTIFUNCIONAL",B1357)),
ISNUMBER(SEARCH("AIO",B1357))
),
"GANCHO",
"NORMAL"
)
)</f>
        <v>NORMAL</v>
      </c>
    </row>
    <row r="1356" spans="1:12" x14ac:dyDescent="0.25">
      <c r="A1356" s="3" t="s">
        <v>2253</v>
      </c>
      <c r="B1356" s="3" t="s">
        <v>2254</v>
      </c>
      <c r="C1356" s="1">
        <v>7</v>
      </c>
      <c r="D1356" s="1">
        <v>1800</v>
      </c>
      <c r="E1356" s="1" t="s">
        <v>1102</v>
      </c>
      <c r="F1356" s="1" t="s">
        <v>3886</v>
      </c>
      <c r="G1356" s="3"/>
      <c r="H1356" s="11">
        <f>ROUND(
IF(L1354="GANCHO",
   IF(I1356&lt;=50,I1356*1.1+4,IF(I1356&lt;=120,I1356*1.1+7,IF(I1356&lt;=250,I1356*1.1+11,I1356*1.1+19))),
IF(L1354="NORMAL",
   IF(I1356&lt;=30,I1356*1.15+2,IF(I1356&lt;=80,I1356*1.15+4,IF(I1356&lt;=150,I1356*1.15+6,I1356*1.15+8))),
IF(L1354="COMPLEMENTO",
   IF(I1356&lt;=25,I1356*1.25+1.5,IF(I1356&lt;=60,I1356*1.25+3,IF(I1356&lt;=120,I1356*1.25+4,I1356*1.25+5))),
""))),2)</f>
        <v>8508.25</v>
      </c>
      <c r="I1356" s="9">
        <f>($K$2+0.02)*Tabla1[[#This Row],[PRECIO $]]*1.18</f>
        <v>7391.5199999999995</v>
      </c>
      <c r="J1356" s="7">
        <f>+Tabla1[[#This Row],[PRECIO EN SOLES]]-Tabla1[[#This Row],[PC]]</f>
        <v>1116.7300000000005</v>
      </c>
      <c r="K1356" s="15"/>
      <c r="L1356" s="15" t="str">
        <f>IF(
OR(
ISNUMBER(SEARCH("BACKPACK",B1358)),
ISNUMBER(SEARCH("MOCHILA",B1358)),
ISNUMBER(SEARCH("FUNDA",B1358)),
ISNUMBER(SEARCH("ESTUCHE",B1358)),
ISNUMBER(SEARCH("BOOK COVER",B1358)),
ISNUMBER(SEARCH("KEYBOARD PARA TABLET",B1358)),
ISNUMBER(SEARCH("FLIP TABLET",B1358)),
ISNUMBER(SEARCH("CASE FOR TABLET",B1358)),
ISNUMBER(SEARCH("CABLE",B1358)),
ISNUMBER(SEARCH("ADAPTADOR",B1358)),
ISNUMBER(SEARCH("HUB",B1358)),
ISNUMBER(SEARCH("DOCK",B1358)),
ISNUMBER(SEARCH("MOUSE PAD",B1358)),
ISNUMBER(SEARCH("MOUSEPAD",B1358)),
ISNUMBER(SEARCH("SOPORTE",B1358)),
ISNUMBER(SEARCH("STAND",B1358)),
ISNUMBER(SEARCH("TRAVEL ADAPTER",B1358)),
ISNUMBER(SEARCH("RJ45",B1358)),
ISNUMBER(SEARCH("USB-C",B1358)),
ISNUMBER(SEARCH("USB WIFI",B1358)),
ISNUMBER(SEARCH("POWERBANK",B1358)),
ISNUMBER(SEARCH("CARGADOR",B1358)),
ISNUMBER(SEARCH("COOLER PARA NB",B1358)),
ISNUMBER(SEARCH("SOPORTE PARA NB",B1358)),
ISNUMBER(SEARCH("WEBCAM",B1358)),
ISNUMBER(SEARCH("WEB CAM",B1358)),
ISNUMBER(SEARCH("MOUSE",B1358)),
ISNUMBER(SEARCH("TECLADO",B1358))
),
"COMPLEMENTO",
IF(
OR(
LEFT(A1358,2)="NB",
LEFT(A1358,2)="PC",
LEFT(A1358,2)="WS",
LEFT(A1358,2)="TB",
LEFT(A1358,3)="CEL",
LEFT(A1358,3)="MON",
LEFT(A1358,3)="PRE",
LEFT(A1358,3)="PRH",
ISNUMBER(SEARCH("NOTEBOOK",B1358)),
ISNUMBER(SEARCH("LAPTOP",B1358)),
ISNUMBER(SEARCH("MONITOR",B1358)),
ISNUMBER(SEARCH("TABLET",B1358)),
ISNUMBER(SEARCH("SMARTPH",B1358)),
ISNUMBER(SEARCH("IMPRESORA",B1358)),
ISNUMBER(SEARCH("MULTIFUNCIONAL",B1358)),
ISNUMBER(SEARCH("AIO",B1358))
),
"GANCHO",
"NORMAL"
)
)</f>
        <v>NORMAL</v>
      </c>
    </row>
    <row r="1357" spans="1:12" x14ac:dyDescent="0.25">
      <c r="A1357" s="3" t="s">
        <v>2255</v>
      </c>
      <c r="B1357" s="3" t="s">
        <v>2256</v>
      </c>
      <c r="C1357" s="1">
        <v>9</v>
      </c>
      <c r="D1357" s="1">
        <v>2388.3000000000002</v>
      </c>
      <c r="E1357" s="1" t="s">
        <v>1166</v>
      </c>
      <c r="F1357" s="1" t="s">
        <v>3887</v>
      </c>
      <c r="G1357" s="3" t="s">
        <v>2257</v>
      </c>
      <c r="H1357" s="11">
        <f>ROUND(
IF(L1355="GANCHO",
   IF(I1357&lt;=50,I1357*1.1+4,IF(I1357&lt;=120,I1357*1.1+7,IF(I1357&lt;=250,I1357*1.1+11,I1357*1.1+19))),
IF(L1355="NORMAL",
   IF(I1357&lt;=30,I1357*1.15+2,IF(I1357&lt;=80,I1357*1.15+4,IF(I1357&lt;=150,I1357*1.15+6,I1357*1.15+8))),
IF(L1355="COMPLEMENTO",
   IF(I1357&lt;=25,I1357*1.25+1.5,IF(I1357&lt;=60,I1357*1.25+3,IF(I1357&lt;=120,I1357*1.25+4,I1357*1.25+5))),
""))),2)</f>
        <v>11286.41</v>
      </c>
      <c r="I1357" s="9">
        <f>($K$2+0.02)*Tabla1[[#This Row],[PRECIO $]]*1.18</f>
        <v>9807.3151200000011</v>
      </c>
      <c r="J1357" s="7">
        <f>+Tabla1[[#This Row],[PRECIO EN SOLES]]-Tabla1[[#This Row],[PC]]</f>
        <v>1479.0948799999987</v>
      </c>
      <c r="K1357" s="15"/>
      <c r="L1357" s="15" t="str">
        <f>IF(
OR(
ISNUMBER(SEARCH("BACKPACK",B1359)),
ISNUMBER(SEARCH("MOCHILA",B1359)),
ISNUMBER(SEARCH("FUNDA",B1359)),
ISNUMBER(SEARCH("ESTUCHE",B1359)),
ISNUMBER(SEARCH("BOOK COVER",B1359)),
ISNUMBER(SEARCH("KEYBOARD PARA TABLET",B1359)),
ISNUMBER(SEARCH("FLIP TABLET",B1359)),
ISNUMBER(SEARCH("CASE FOR TABLET",B1359)),
ISNUMBER(SEARCH("CABLE",B1359)),
ISNUMBER(SEARCH("ADAPTADOR",B1359)),
ISNUMBER(SEARCH("HUB",B1359)),
ISNUMBER(SEARCH("DOCK",B1359)),
ISNUMBER(SEARCH("MOUSE PAD",B1359)),
ISNUMBER(SEARCH("MOUSEPAD",B1359)),
ISNUMBER(SEARCH("SOPORTE",B1359)),
ISNUMBER(SEARCH("STAND",B1359)),
ISNUMBER(SEARCH("TRAVEL ADAPTER",B1359)),
ISNUMBER(SEARCH("RJ45",B1359)),
ISNUMBER(SEARCH("USB-C",B1359)),
ISNUMBER(SEARCH("USB WIFI",B1359)),
ISNUMBER(SEARCH("POWERBANK",B1359)),
ISNUMBER(SEARCH("CARGADOR",B1359)),
ISNUMBER(SEARCH("COOLER PARA NB",B1359)),
ISNUMBER(SEARCH("SOPORTE PARA NB",B1359)),
ISNUMBER(SEARCH("WEBCAM",B1359)),
ISNUMBER(SEARCH("WEB CAM",B1359)),
ISNUMBER(SEARCH("MOUSE",B1359)),
ISNUMBER(SEARCH("TECLADO",B1359))
),
"COMPLEMENTO",
IF(
OR(
LEFT(A1359,2)="NB",
LEFT(A1359,2)="PC",
LEFT(A1359,2)="WS",
LEFT(A1359,2)="TB",
LEFT(A1359,3)="CEL",
LEFT(A1359,3)="MON",
LEFT(A1359,3)="PRE",
LEFT(A1359,3)="PRH",
ISNUMBER(SEARCH("NOTEBOOK",B1359)),
ISNUMBER(SEARCH("LAPTOP",B1359)),
ISNUMBER(SEARCH("MONITOR",B1359)),
ISNUMBER(SEARCH("TABLET",B1359)),
ISNUMBER(SEARCH("SMARTPH",B1359)),
ISNUMBER(SEARCH("IMPRESORA",B1359)),
ISNUMBER(SEARCH("MULTIFUNCIONAL",B1359)),
ISNUMBER(SEARCH("AIO",B1359))
),
"GANCHO",
"NORMAL"
)
)</f>
        <v>NORMAL</v>
      </c>
    </row>
    <row r="1358" spans="1:12" x14ac:dyDescent="0.25">
      <c r="A1358" s="3" t="s">
        <v>2258</v>
      </c>
      <c r="B1358" s="3" t="s">
        <v>2259</v>
      </c>
      <c r="C1358" s="1">
        <v>1</v>
      </c>
      <c r="D1358" s="1">
        <v>500</v>
      </c>
      <c r="E1358" s="1" t="s">
        <v>1102</v>
      </c>
      <c r="F1358" s="1" t="s">
        <v>3888</v>
      </c>
      <c r="G1358" s="3" t="s">
        <v>2260</v>
      </c>
      <c r="H1358" s="11">
        <f>ROUND(
IF(L1356="GANCHO",
   IF(I1358&lt;=50,I1358*1.1+4,IF(I1358&lt;=120,I1358*1.1+7,IF(I1358&lt;=250,I1358*1.1+11,I1358*1.1+19))),
IF(L1356="NORMAL",
   IF(I1358&lt;=30,I1358*1.15+2,IF(I1358&lt;=80,I1358*1.15+4,IF(I1358&lt;=150,I1358*1.15+6,I1358*1.15+8))),
IF(L1356="COMPLEMENTO",
   IF(I1358&lt;=25,I1358*1.25+1.5,IF(I1358&lt;=60,I1358*1.25+3,IF(I1358&lt;=120,I1358*1.25+4,I1358*1.25+5))),
""))),2)</f>
        <v>2369.1799999999998</v>
      </c>
      <c r="I1358" s="9">
        <f>($K$2+0.02)*Tabla1[[#This Row],[PRECIO $]]*1.18</f>
        <v>2053.1999999999998</v>
      </c>
      <c r="J1358" s="7">
        <f>+Tabla1[[#This Row],[PRECIO EN SOLES]]-Tabla1[[#This Row],[PC]]</f>
        <v>315.98</v>
      </c>
      <c r="K1358" s="15"/>
      <c r="L1358" s="15" t="str">
        <f>IF(
OR(
ISNUMBER(SEARCH("BACKPACK",B1360)),
ISNUMBER(SEARCH("MOCHILA",B1360)),
ISNUMBER(SEARCH("FUNDA",B1360)),
ISNUMBER(SEARCH("ESTUCHE",B1360)),
ISNUMBER(SEARCH("BOOK COVER",B1360)),
ISNUMBER(SEARCH("KEYBOARD PARA TABLET",B1360)),
ISNUMBER(SEARCH("FLIP TABLET",B1360)),
ISNUMBER(SEARCH("CASE FOR TABLET",B1360)),
ISNUMBER(SEARCH("CABLE",B1360)),
ISNUMBER(SEARCH("ADAPTADOR",B1360)),
ISNUMBER(SEARCH("HUB",B1360)),
ISNUMBER(SEARCH("DOCK",B1360)),
ISNUMBER(SEARCH("MOUSE PAD",B1360)),
ISNUMBER(SEARCH("MOUSEPAD",B1360)),
ISNUMBER(SEARCH("SOPORTE",B1360)),
ISNUMBER(SEARCH("STAND",B1360)),
ISNUMBER(SEARCH("TRAVEL ADAPTER",B1360)),
ISNUMBER(SEARCH("RJ45",B1360)),
ISNUMBER(SEARCH("USB-C",B1360)),
ISNUMBER(SEARCH("USB WIFI",B1360)),
ISNUMBER(SEARCH("POWERBANK",B1360)),
ISNUMBER(SEARCH("CARGADOR",B1360)),
ISNUMBER(SEARCH("COOLER PARA NB",B1360)),
ISNUMBER(SEARCH("SOPORTE PARA NB",B1360)),
ISNUMBER(SEARCH("WEBCAM",B1360)),
ISNUMBER(SEARCH("WEB CAM",B1360)),
ISNUMBER(SEARCH("MOUSE",B1360)),
ISNUMBER(SEARCH("TECLADO",B1360))
),
"COMPLEMENTO",
IF(
OR(
LEFT(A1360,2)="NB",
LEFT(A1360,2)="PC",
LEFT(A1360,2)="WS",
LEFT(A1360,2)="TB",
LEFT(A1360,3)="CEL",
LEFT(A1360,3)="MON",
LEFT(A1360,3)="PRE",
LEFT(A1360,3)="PRH",
ISNUMBER(SEARCH("NOTEBOOK",B1360)),
ISNUMBER(SEARCH("LAPTOP",B1360)),
ISNUMBER(SEARCH("MONITOR",B1360)),
ISNUMBER(SEARCH("TABLET",B1360)),
ISNUMBER(SEARCH("SMARTPH",B1360)),
ISNUMBER(SEARCH("IMPRESORA",B1360)),
ISNUMBER(SEARCH("MULTIFUNCIONAL",B1360)),
ISNUMBER(SEARCH("AIO",B1360))
),
"GANCHO",
"NORMAL"
)
)</f>
        <v>NORMAL</v>
      </c>
    </row>
    <row r="1359" spans="1:12" x14ac:dyDescent="0.25">
      <c r="A1359" s="3" t="s">
        <v>2261</v>
      </c>
      <c r="B1359" s="3" t="s">
        <v>2262</v>
      </c>
      <c r="C1359" s="1">
        <v>15</v>
      </c>
      <c r="D1359" s="1">
        <v>800.91</v>
      </c>
      <c r="E1359" s="1" t="s">
        <v>1102</v>
      </c>
      <c r="F1359" s="1" t="s">
        <v>3889</v>
      </c>
      <c r="G1359" s="3"/>
      <c r="H1359" s="11">
        <f>ROUND(
IF(L1357="GANCHO",
   IF(I1359&lt;=50,I1359*1.1+4,IF(I1359&lt;=120,I1359*1.1+7,IF(I1359&lt;=250,I1359*1.1+11,I1359*1.1+19))),
IF(L1357="NORMAL",
   IF(I1359&lt;=30,I1359*1.15+2,IF(I1359&lt;=80,I1359*1.15+4,IF(I1359&lt;=150,I1359*1.15+6,I1359*1.15+8))),
IF(L1357="COMPLEMENTO",
   IF(I1359&lt;=25,I1359*1.25+1.5,IF(I1359&lt;=60,I1359*1.25+3,IF(I1359&lt;=120,I1359*1.25+4,I1359*1.25+5))),
""))),2)</f>
        <v>3790.19</v>
      </c>
      <c r="I1359" s="9">
        <f>($K$2+0.02)*Tabla1[[#This Row],[PRECIO $]]*1.18</f>
        <v>3288.856824</v>
      </c>
      <c r="J1359" s="7">
        <f>+Tabla1[[#This Row],[PRECIO EN SOLES]]-Tabla1[[#This Row],[PC]]</f>
        <v>501.33317600000009</v>
      </c>
      <c r="K1359" s="15"/>
      <c r="L1359" s="15" t="str">
        <f>IF(
OR(
ISNUMBER(SEARCH("BACKPACK",B1361)),
ISNUMBER(SEARCH("MOCHILA",B1361)),
ISNUMBER(SEARCH("FUNDA",B1361)),
ISNUMBER(SEARCH("ESTUCHE",B1361)),
ISNUMBER(SEARCH("BOOK COVER",B1361)),
ISNUMBER(SEARCH("KEYBOARD PARA TABLET",B1361)),
ISNUMBER(SEARCH("FLIP TABLET",B1361)),
ISNUMBER(SEARCH("CASE FOR TABLET",B1361)),
ISNUMBER(SEARCH("CABLE",B1361)),
ISNUMBER(SEARCH("ADAPTADOR",B1361)),
ISNUMBER(SEARCH("HUB",B1361)),
ISNUMBER(SEARCH("DOCK",B1361)),
ISNUMBER(SEARCH("MOUSE PAD",B1361)),
ISNUMBER(SEARCH("MOUSEPAD",B1361)),
ISNUMBER(SEARCH("SOPORTE",B1361)),
ISNUMBER(SEARCH("STAND",B1361)),
ISNUMBER(SEARCH("TRAVEL ADAPTER",B1361)),
ISNUMBER(SEARCH("RJ45",B1361)),
ISNUMBER(SEARCH("USB-C",B1361)),
ISNUMBER(SEARCH("USB WIFI",B1361)),
ISNUMBER(SEARCH("POWERBANK",B1361)),
ISNUMBER(SEARCH("CARGADOR",B1361)),
ISNUMBER(SEARCH("COOLER PARA NB",B1361)),
ISNUMBER(SEARCH("SOPORTE PARA NB",B1361)),
ISNUMBER(SEARCH("WEBCAM",B1361)),
ISNUMBER(SEARCH("WEB CAM",B1361)),
ISNUMBER(SEARCH("MOUSE",B1361)),
ISNUMBER(SEARCH("TECLADO",B1361))
),
"COMPLEMENTO",
IF(
OR(
LEFT(A1361,2)="NB",
LEFT(A1361,2)="PC",
LEFT(A1361,2)="WS",
LEFT(A1361,2)="TB",
LEFT(A1361,3)="CEL",
LEFT(A1361,3)="MON",
LEFT(A1361,3)="PRE",
LEFT(A1361,3)="PRH",
ISNUMBER(SEARCH("NOTEBOOK",B1361)),
ISNUMBER(SEARCH("LAPTOP",B1361)),
ISNUMBER(SEARCH("MONITOR",B1361)),
ISNUMBER(SEARCH("TABLET",B1361)),
ISNUMBER(SEARCH("SMARTPH",B1361)),
ISNUMBER(SEARCH("IMPRESORA",B1361)),
ISNUMBER(SEARCH("MULTIFUNCIONAL",B1361)),
ISNUMBER(SEARCH("AIO",B1361))
),
"GANCHO",
"NORMAL"
)
)</f>
        <v>NORMAL</v>
      </c>
    </row>
    <row r="1360" spans="1:12" x14ac:dyDescent="0.25">
      <c r="A1360" s="3" t="s">
        <v>2263</v>
      </c>
      <c r="B1360" s="3" t="s">
        <v>2264</v>
      </c>
      <c r="C1360" s="1">
        <v>15</v>
      </c>
      <c r="D1360" s="1">
        <v>4901.7</v>
      </c>
      <c r="E1360" s="1" t="s">
        <v>1102</v>
      </c>
      <c r="F1360" s="1" t="s">
        <v>3890</v>
      </c>
      <c r="G1360" s="3"/>
      <c r="H1360" s="11">
        <f>ROUND(
IF(L1358="GANCHO",
   IF(I1360&lt;=50,I1360*1.1+4,IF(I1360&lt;=120,I1360*1.1+7,IF(I1360&lt;=250,I1360*1.1+11,I1360*1.1+19))),
IF(L1358="NORMAL",
   IF(I1360&lt;=30,I1360*1.15+2,IF(I1360&lt;=80,I1360*1.15+4,IF(I1360&lt;=150,I1360*1.15+6,I1360*1.15+8))),
IF(L1358="COMPLEMENTO",
   IF(I1360&lt;=25,I1360*1.25+1.5,IF(I1360&lt;=60,I1360*1.25+3,IF(I1360&lt;=120,I1360*1.25+4,I1360*1.25+5))),
""))),2)</f>
        <v>23155.59</v>
      </c>
      <c r="I1360" s="9">
        <f>($K$2+0.02)*Tabla1[[#This Row],[PRECIO $]]*1.18</f>
        <v>20128.34088</v>
      </c>
      <c r="J1360" s="7">
        <f>+Tabla1[[#This Row],[PRECIO EN SOLES]]-Tabla1[[#This Row],[PC]]</f>
        <v>3027.2491200000004</v>
      </c>
      <c r="K1360" s="15"/>
      <c r="L1360" s="15" t="str">
        <f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61" spans="1:12" x14ac:dyDescent="0.25">
      <c r="A1361" s="3" t="s">
        <v>2265</v>
      </c>
      <c r="B1361" s="3" t="s">
        <v>2266</v>
      </c>
      <c r="C1361" s="1">
        <v>10</v>
      </c>
      <c r="D1361" s="1">
        <v>2587.23</v>
      </c>
      <c r="E1361" s="1" t="s">
        <v>1166</v>
      </c>
      <c r="F1361" s="1" t="s">
        <v>3891</v>
      </c>
      <c r="G1361" s="3" t="s">
        <v>2267</v>
      </c>
      <c r="H1361" s="11">
        <f>ROUND(
IF(L1359="GANCHO",
   IF(I1361&lt;=50,I1361*1.1+4,IF(I1361&lt;=120,I1361*1.1+7,IF(I1361&lt;=250,I1361*1.1+11,I1361*1.1+19))),
IF(L1359="NORMAL",
   IF(I1361&lt;=30,I1361*1.15+2,IF(I1361&lt;=80,I1361*1.15+4,IF(I1361&lt;=150,I1361*1.15+6,I1361*1.15+8))),
IF(L1359="COMPLEMENTO",
   IF(I1361&lt;=25,I1361*1.25+1.5,IF(I1361&lt;=60,I1361*1.25+3,IF(I1361&lt;=120,I1361*1.25+4,I1361*1.25+5))),
""))),2)</f>
        <v>12225.83</v>
      </c>
      <c r="I1361" s="9">
        <f>($K$2+0.02)*Tabla1[[#This Row],[PRECIO $]]*1.18</f>
        <v>10624.201272</v>
      </c>
      <c r="J1361" s="7">
        <f>+Tabla1[[#This Row],[PRECIO EN SOLES]]-Tabla1[[#This Row],[PC]]</f>
        <v>1601.6287279999997</v>
      </c>
      <c r="K1361" s="15"/>
      <c r="L1361" s="15" t="str">
        <f>IF(
OR(
ISNUMBER(SEARCH("BACKPACK",B1363)),
ISNUMBER(SEARCH("MOCHILA",B1363)),
ISNUMBER(SEARCH("FUNDA",B1363)),
ISNUMBER(SEARCH("ESTUCHE",B1363)),
ISNUMBER(SEARCH("BOOK COVER",B1363)),
ISNUMBER(SEARCH("KEYBOARD PARA TABLET",B1363)),
ISNUMBER(SEARCH("FLIP TABLET",B1363)),
ISNUMBER(SEARCH("CASE FOR TABLET",B1363)),
ISNUMBER(SEARCH("CABLE",B1363)),
ISNUMBER(SEARCH("ADAPTADOR",B1363)),
ISNUMBER(SEARCH("HUB",B1363)),
ISNUMBER(SEARCH("DOCK",B1363)),
ISNUMBER(SEARCH("MOUSE PAD",B1363)),
ISNUMBER(SEARCH("MOUSEPAD",B1363)),
ISNUMBER(SEARCH("SOPORTE",B1363)),
ISNUMBER(SEARCH("STAND",B1363)),
ISNUMBER(SEARCH("TRAVEL ADAPTER",B1363)),
ISNUMBER(SEARCH("RJ45",B1363)),
ISNUMBER(SEARCH("USB-C",B1363)),
ISNUMBER(SEARCH("USB WIFI",B1363)),
ISNUMBER(SEARCH("POWERBANK",B1363)),
ISNUMBER(SEARCH("CARGADOR",B1363)),
ISNUMBER(SEARCH("COOLER PARA NB",B1363)),
ISNUMBER(SEARCH("SOPORTE PARA NB",B1363)),
ISNUMBER(SEARCH("WEBCAM",B1363)),
ISNUMBER(SEARCH("WEB CAM",B1363)),
ISNUMBER(SEARCH("MOUSE",B1363)),
ISNUMBER(SEARCH("TECLADO",B1363))
),
"COMPLEMENTO",
IF(
OR(
LEFT(A1363,2)="NB",
LEFT(A1363,2)="PC",
LEFT(A1363,2)="WS",
LEFT(A1363,2)="TB",
LEFT(A1363,3)="CEL",
LEFT(A1363,3)="MON",
LEFT(A1363,3)="PRE",
LEFT(A1363,3)="PRH",
ISNUMBER(SEARCH("NOTEBOOK",B1363)),
ISNUMBER(SEARCH("LAPTOP",B1363)),
ISNUMBER(SEARCH("MONITOR",B1363)),
ISNUMBER(SEARCH("TABLET",B1363)),
ISNUMBER(SEARCH("SMARTPH",B1363)),
ISNUMBER(SEARCH("IMPRESORA",B1363)),
ISNUMBER(SEARCH("MULTIFUNCIONAL",B1363)),
ISNUMBER(SEARCH("AIO",B1363))
),
"GANCHO",
"NORMAL"
)
)</f>
        <v>NORMAL</v>
      </c>
    </row>
    <row r="1362" spans="1:12" x14ac:dyDescent="0.25">
      <c r="A1362" s="3" t="s">
        <v>2268</v>
      </c>
      <c r="B1362" s="3" t="s">
        <v>2269</v>
      </c>
      <c r="C1362" s="1">
        <v>6</v>
      </c>
      <c r="D1362" s="1">
        <v>3404.26</v>
      </c>
      <c r="E1362" s="1" t="s">
        <v>1166</v>
      </c>
      <c r="F1362" s="1" t="s">
        <v>3892</v>
      </c>
      <c r="G1362" s="3" t="s">
        <v>6900</v>
      </c>
      <c r="H1362" s="11">
        <f>ROUND(
IF(L1360="GANCHO",
   IF(I1362&lt;=50,I1362*1.1+4,IF(I1362&lt;=120,I1362*1.1+7,IF(I1362&lt;=250,I1362*1.1+11,I1362*1.1+19))),
IF(L1360="NORMAL",
   IF(I1362&lt;=30,I1362*1.15+2,IF(I1362&lt;=80,I1362*1.15+4,IF(I1362&lt;=150,I1362*1.15+6,I1362*1.15+8))),
IF(L1360="COMPLEMENTO",
   IF(I1362&lt;=25,I1362*1.25+1.5,IF(I1362&lt;=60,I1362*1.25+3,IF(I1362&lt;=120,I1362*1.25+4,I1362*1.25+5))),
""))),2)</f>
        <v>16084.14</v>
      </c>
      <c r="I1362" s="9">
        <f>($K$2+0.02)*Tabla1[[#This Row],[PRECIO $]]*1.18</f>
        <v>13979.253263999999</v>
      </c>
      <c r="J1362" s="7">
        <f>+Tabla1[[#This Row],[PRECIO EN SOLES]]-Tabla1[[#This Row],[PC]]</f>
        <v>2104.8867360000004</v>
      </c>
      <c r="K1362" s="15"/>
      <c r="L1362" s="15" t="str">
        <f>IF(
OR(
ISNUMBER(SEARCH("BACKPACK",B1364)),
ISNUMBER(SEARCH("MOCHILA",B1364)),
ISNUMBER(SEARCH("FUNDA",B1364)),
ISNUMBER(SEARCH("ESTUCHE",B1364)),
ISNUMBER(SEARCH("BOOK COVER",B1364)),
ISNUMBER(SEARCH("KEYBOARD PARA TABLET",B1364)),
ISNUMBER(SEARCH("FLIP TABLET",B1364)),
ISNUMBER(SEARCH("CASE FOR TABLET",B1364)),
ISNUMBER(SEARCH("CABLE",B1364)),
ISNUMBER(SEARCH("ADAPTADOR",B1364)),
ISNUMBER(SEARCH("HUB",B1364)),
ISNUMBER(SEARCH("DOCK",B1364)),
ISNUMBER(SEARCH("MOUSE PAD",B1364)),
ISNUMBER(SEARCH("MOUSEPAD",B1364)),
ISNUMBER(SEARCH("SOPORTE",B1364)),
ISNUMBER(SEARCH("STAND",B1364)),
ISNUMBER(SEARCH("TRAVEL ADAPTER",B1364)),
ISNUMBER(SEARCH("RJ45",B1364)),
ISNUMBER(SEARCH("USB-C",B1364)),
ISNUMBER(SEARCH("USB WIFI",B1364)),
ISNUMBER(SEARCH("POWERBANK",B1364)),
ISNUMBER(SEARCH("CARGADOR",B1364)),
ISNUMBER(SEARCH("COOLER PARA NB",B1364)),
ISNUMBER(SEARCH("SOPORTE PARA NB",B1364)),
ISNUMBER(SEARCH("WEBCAM",B1364)),
ISNUMBER(SEARCH("WEB CAM",B1364)),
ISNUMBER(SEARCH("MOUSE",B1364)),
ISNUMBER(SEARCH("TECLADO",B1364))
),
"COMPLEMENTO",
IF(
OR(
LEFT(A1364,2)="NB",
LEFT(A1364,2)="PC",
LEFT(A1364,2)="WS",
LEFT(A1364,2)="TB",
LEFT(A1364,3)="CEL",
LEFT(A1364,3)="MON",
LEFT(A1364,3)="PRE",
LEFT(A1364,3)="PRH",
ISNUMBER(SEARCH("NOTEBOOK",B1364)),
ISNUMBER(SEARCH("LAPTOP",B1364)),
ISNUMBER(SEARCH("MONITOR",B1364)),
ISNUMBER(SEARCH("TABLET",B1364)),
ISNUMBER(SEARCH("SMARTPH",B1364)),
ISNUMBER(SEARCH("IMPRESORA",B1364)),
ISNUMBER(SEARCH("MULTIFUNCIONAL",B1364)),
ISNUMBER(SEARCH("AIO",B1364))
),
"GANCHO",
"NORMAL"
)
)</f>
        <v>NORMAL</v>
      </c>
    </row>
    <row r="1363" spans="1:12" x14ac:dyDescent="0.25">
      <c r="A1363" s="3" t="s">
        <v>2270</v>
      </c>
      <c r="B1363" s="3" t="s">
        <v>2271</v>
      </c>
      <c r="C1363" s="1">
        <v>8</v>
      </c>
      <c r="D1363" s="1">
        <v>3404.26</v>
      </c>
      <c r="E1363" s="1" t="s">
        <v>1166</v>
      </c>
      <c r="F1363" s="1" t="s">
        <v>3893</v>
      </c>
      <c r="G1363" s="3" t="s">
        <v>6901</v>
      </c>
      <c r="H1363" s="11">
        <f>ROUND(
IF(L1361="GANCHO",
   IF(I1363&lt;=50,I1363*1.1+4,IF(I1363&lt;=120,I1363*1.1+7,IF(I1363&lt;=250,I1363*1.1+11,I1363*1.1+19))),
IF(L1361="NORMAL",
   IF(I1363&lt;=30,I1363*1.15+2,IF(I1363&lt;=80,I1363*1.15+4,IF(I1363&lt;=150,I1363*1.15+6,I1363*1.15+8))),
IF(L1361="COMPLEMENTO",
   IF(I1363&lt;=25,I1363*1.25+1.5,IF(I1363&lt;=60,I1363*1.25+3,IF(I1363&lt;=120,I1363*1.25+4,I1363*1.25+5))),
""))),2)</f>
        <v>16084.14</v>
      </c>
      <c r="I1363" s="9">
        <f>($K$2+0.02)*Tabla1[[#This Row],[PRECIO $]]*1.18</f>
        <v>13979.253263999999</v>
      </c>
      <c r="J1363" s="7">
        <f>+Tabla1[[#This Row],[PRECIO EN SOLES]]-Tabla1[[#This Row],[PC]]</f>
        <v>2104.8867360000004</v>
      </c>
      <c r="K1363" s="15"/>
      <c r="L1363" s="15" t="str">
        <f>IF(
OR(
ISNUMBER(SEARCH("BACKPACK",B1365)),
ISNUMBER(SEARCH("MOCHILA",B1365)),
ISNUMBER(SEARCH("FUNDA",B1365)),
ISNUMBER(SEARCH("ESTUCHE",B1365)),
ISNUMBER(SEARCH("BOOK COVER",B1365)),
ISNUMBER(SEARCH("KEYBOARD PARA TABLET",B1365)),
ISNUMBER(SEARCH("FLIP TABLET",B1365)),
ISNUMBER(SEARCH("CASE FOR TABLET",B1365)),
ISNUMBER(SEARCH("CABLE",B1365)),
ISNUMBER(SEARCH("ADAPTADOR",B1365)),
ISNUMBER(SEARCH("HUB",B1365)),
ISNUMBER(SEARCH("DOCK",B1365)),
ISNUMBER(SEARCH("MOUSE PAD",B1365)),
ISNUMBER(SEARCH("MOUSEPAD",B1365)),
ISNUMBER(SEARCH("SOPORTE",B1365)),
ISNUMBER(SEARCH("STAND",B1365)),
ISNUMBER(SEARCH("TRAVEL ADAPTER",B1365)),
ISNUMBER(SEARCH("RJ45",B1365)),
ISNUMBER(SEARCH("USB-C",B1365)),
ISNUMBER(SEARCH("USB WIFI",B1365)),
ISNUMBER(SEARCH("POWERBANK",B1365)),
ISNUMBER(SEARCH("CARGADOR",B1365)),
ISNUMBER(SEARCH("COOLER PARA NB",B1365)),
ISNUMBER(SEARCH("SOPORTE PARA NB",B1365)),
ISNUMBER(SEARCH("WEBCAM",B1365)),
ISNUMBER(SEARCH("WEB CAM",B1365)),
ISNUMBER(SEARCH("MOUSE",B1365)),
ISNUMBER(SEARCH("TECLADO",B1365))
),
"COMPLEMENTO",
IF(
OR(
LEFT(A1365,2)="NB",
LEFT(A1365,2)="PC",
LEFT(A1365,2)="WS",
LEFT(A1365,2)="TB",
LEFT(A1365,3)="CEL",
LEFT(A1365,3)="MON",
LEFT(A1365,3)="PRE",
LEFT(A1365,3)="PRH",
ISNUMBER(SEARCH("NOTEBOOK",B1365)),
ISNUMBER(SEARCH("LAPTOP",B1365)),
ISNUMBER(SEARCH("MONITOR",B1365)),
ISNUMBER(SEARCH("TABLET",B1365)),
ISNUMBER(SEARCH("SMARTPH",B1365)),
ISNUMBER(SEARCH("IMPRESORA",B1365)),
ISNUMBER(SEARCH("MULTIFUNCIONAL",B1365)),
ISNUMBER(SEARCH("AIO",B1365))
),
"GANCHO",
"NORMAL"
)
)</f>
        <v>NORMAL</v>
      </c>
    </row>
    <row r="1364" spans="1:12" x14ac:dyDescent="0.25">
      <c r="A1364" s="3" t="s">
        <v>2272</v>
      </c>
      <c r="B1364" s="3" t="s">
        <v>2273</v>
      </c>
      <c r="C1364" s="1">
        <v>12</v>
      </c>
      <c r="D1364" s="1">
        <v>1334.04</v>
      </c>
      <c r="E1364" s="1" t="s">
        <v>1166</v>
      </c>
      <c r="F1364" s="1" t="s">
        <v>3894</v>
      </c>
      <c r="G1364" s="3"/>
      <c r="H1364" s="11">
        <f>ROUND(
IF(L1362="GANCHO",
   IF(I1364&lt;=50,I1364*1.1+4,IF(I1364&lt;=120,I1364*1.1+7,IF(I1364&lt;=250,I1364*1.1+11,I1364*1.1+19))),
IF(L1362="NORMAL",
   IF(I1364&lt;=30,I1364*1.15+2,IF(I1364&lt;=80,I1364*1.15+4,IF(I1364&lt;=150,I1364*1.15+6,I1364*1.15+8))),
IF(L1362="COMPLEMENTO",
   IF(I1364&lt;=25,I1364*1.25+1.5,IF(I1364&lt;=60,I1364*1.25+3,IF(I1364&lt;=120,I1364*1.25+4,I1364*1.25+5))),
""))),2)</f>
        <v>6307.82</v>
      </c>
      <c r="I1364" s="9">
        <f>($K$2+0.02)*Tabla1[[#This Row],[PRECIO $]]*1.18</f>
        <v>5478.1018560000002</v>
      </c>
      <c r="J1364" s="7">
        <f>+Tabla1[[#This Row],[PRECIO EN SOLES]]-Tabla1[[#This Row],[PC]]</f>
        <v>829.71814399999948</v>
      </c>
      <c r="K1364" s="15"/>
      <c r="L1364" s="15" t="str">
        <f>IF(
OR(
ISNUMBER(SEARCH("BACKPACK",B1366)),
ISNUMBER(SEARCH("MOCHILA",B1366)),
ISNUMBER(SEARCH("FUNDA",B1366)),
ISNUMBER(SEARCH("ESTUCHE",B1366)),
ISNUMBER(SEARCH("BOOK COVER",B1366)),
ISNUMBER(SEARCH("KEYBOARD PARA TABLET",B1366)),
ISNUMBER(SEARCH("FLIP TABLET",B1366)),
ISNUMBER(SEARCH("CASE FOR TABLET",B1366)),
ISNUMBER(SEARCH("CABLE",B1366)),
ISNUMBER(SEARCH("ADAPTADOR",B1366)),
ISNUMBER(SEARCH("HUB",B1366)),
ISNUMBER(SEARCH("DOCK",B1366)),
ISNUMBER(SEARCH("MOUSE PAD",B1366)),
ISNUMBER(SEARCH("MOUSEPAD",B1366)),
ISNUMBER(SEARCH("SOPORTE",B1366)),
ISNUMBER(SEARCH("STAND",B1366)),
ISNUMBER(SEARCH("TRAVEL ADAPTER",B1366)),
ISNUMBER(SEARCH("RJ45",B1366)),
ISNUMBER(SEARCH("USB-C",B1366)),
ISNUMBER(SEARCH("USB WIFI",B1366)),
ISNUMBER(SEARCH("POWERBANK",B1366)),
ISNUMBER(SEARCH("CARGADOR",B1366)),
ISNUMBER(SEARCH("COOLER PARA NB",B1366)),
ISNUMBER(SEARCH("SOPORTE PARA NB",B1366)),
ISNUMBER(SEARCH("WEBCAM",B1366)),
ISNUMBER(SEARCH("WEB CAM",B1366)),
ISNUMBER(SEARCH("MOUSE",B1366)),
ISNUMBER(SEARCH("TECLADO",B1366))
),
"COMPLEMENTO",
IF(
OR(
LEFT(A1366,2)="NB",
LEFT(A1366,2)="PC",
LEFT(A1366,2)="WS",
LEFT(A1366,2)="TB",
LEFT(A1366,3)="CEL",
LEFT(A1366,3)="MON",
LEFT(A1366,3)="PRE",
LEFT(A1366,3)="PRH",
ISNUMBER(SEARCH("NOTEBOOK",B1366)),
ISNUMBER(SEARCH("LAPTOP",B1366)),
ISNUMBER(SEARCH("MONITOR",B1366)),
ISNUMBER(SEARCH("TABLET",B1366)),
ISNUMBER(SEARCH("SMARTPH",B1366)),
ISNUMBER(SEARCH("IMPRESORA",B1366)),
ISNUMBER(SEARCH("MULTIFUNCIONAL",B1366)),
ISNUMBER(SEARCH("AIO",B1366))
),
"GANCHO",
"NORMAL"
)
)</f>
        <v>NORMAL</v>
      </c>
    </row>
    <row r="1365" spans="1:12" x14ac:dyDescent="0.25">
      <c r="A1365" s="3" t="s">
        <v>5471</v>
      </c>
      <c r="B1365" s="3" t="s">
        <v>5472</v>
      </c>
      <c r="C1365" s="1">
        <v>2</v>
      </c>
      <c r="D1365" s="1">
        <v>4901.7</v>
      </c>
      <c r="E1365" s="1" t="s">
        <v>1102</v>
      </c>
      <c r="F1365" s="1" t="s">
        <v>5473</v>
      </c>
      <c r="G1365" s="3" t="s">
        <v>6128</v>
      </c>
      <c r="H1365" s="11">
        <f>ROUND(
IF(L1363="GANCHO",
   IF(I1365&lt;=50,I1365*1.1+4,IF(I1365&lt;=120,I1365*1.1+7,IF(I1365&lt;=250,I1365*1.1+11,I1365*1.1+19))),
IF(L1363="NORMAL",
   IF(I1365&lt;=30,I1365*1.15+2,IF(I1365&lt;=80,I1365*1.15+4,IF(I1365&lt;=150,I1365*1.15+6,I1365*1.15+8))),
IF(L1363="COMPLEMENTO",
   IF(I1365&lt;=25,I1365*1.25+1.5,IF(I1365&lt;=60,I1365*1.25+3,IF(I1365&lt;=120,I1365*1.25+4,I1365*1.25+5))),
""))),2)</f>
        <v>23155.59</v>
      </c>
      <c r="I1365" s="9">
        <f>($K$2+0.02)*Tabla1[[#This Row],[PRECIO $]]*1.18</f>
        <v>20128.34088</v>
      </c>
      <c r="J1365" s="7">
        <f>+Tabla1[[#This Row],[PRECIO EN SOLES]]-Tabla1[[#This Row],[PC]]</f>
        <v>3027.2491200000004</v>
      </c>
      <c r="K1365" s="15"/>
      <c r="L1365" s="15" t="str">
        <f>IF(
OR(
ISNUMBER(SEARCH("BACKPACK",B1367)),
ISNUMBER(SEARCH("MOCHILA",B1367)),
ISNUMBER(SEARCH("FUNDA",B1367)),
ISNUMBER(SEARCH("ESTUCHE",B1367)),
ISNUMBER(SEARCH("BOOK COVER",B1367)),
ISNUMBER(SEARCH("KEYBOARD PARA TABLET",B1367)),
ISNUMBER(SEARCH("FLIP TABLET",B1367)),
ISNUMBER(SEARCH("CASE FOR TABLET",B1367)),
ISNUMBER(SEARCH("CABLE",B1367)),
ISNUMBER(SEARCH("ADAPTADOR",B1367)),
ISNUMBER(SEARCH("HUB",B1367)),
ISNUMBER(SEARCH("DOCK",B1367)),
ISNUMBER(SEARCH("MOUSE PAD",B1367)),
ISNUMBER(SEARCH("MOUSEPAD",B1367)),
ISNUMBER(SEARCH("SOPORTE",B1367)),
ISNUMBER(SEARCH("STAND",B1367)),
ISNUMBER(SEARCH("TRAVEL ADAPTER",B1367)),
ISNUMBER(SEARCH("RJ45",B1367)),
ISNUMBER(SEARCH("USB-C",B1367)),
ISNUMBER(SEARCH("USB WIFI",B1367)),
ISNUMBER(SEARCH("POWERBANK",B1367)),
ISNUMBER(SEARCH("CARGADOR",B1367)),
ISNUMBER(SEARCH("COOLER PARA NB",B1367)),
ISNUMBER(SEARCH("SOPORTE PARA NB",B1367)),
ISNUMBER(SEARCH("WEBCAM",B1367)),
ISNUMBER(SEARCH("WEB CAM",B1367)),
ISNUMBER(SEARCH("MOUSE",B1367)),
ISNUMBER(SEARCH("TECLADO",B1367))
),
"COMPLEMENTO",
IF(
OR(
LEFT(A1367,2)="NB",
LEFT(A1367,2)="PC",
LEFT(A1367,2)="WS",
LEFT(A1367,2)="TB",
LEFT(A1367,3)="CEL",
LEFT(A1367,3)="MON",
LEFT(A1367,3)="PRE",
LEFT(A1367,3)="PRH",
ISNUMBER(SEARCH("NOTEBOOK",B1367)),
ISNUMBER(SEARCH("LAPTOP",B1367)),
ISNUMBER(SEARCH("MONITOR",B1367)),
ISNUMBER(SEARCH("TABLET",B1367)),
ISNUMBER(SEARCH("SMARTPH",B1367)),
ISNUMBER(SEARCH("IMPRESORA",B1367)),
ISNUMBER(SEARCH("MULTIFUNCIONAL",B1367)),
ISNUMBER(SEARCH("AIO",B1367))
),
"GANCHO",
"NORMAL"
)
)</f>
        <v>NORMAL</v>
      </c>
    </row>
    <row r="1366" spans="1:12" x14ac:dyDescent="0.25">
      <c r="A1366" s="3" t="s">
        <v>2274</v>
      </c>
      <c r="B1366" s="3" t="s">
        <v>2275</v>
      </c>
      <c r="C1366" s="1">
        <v>4</v>
      </c>
      <c r="D1366" s="1">
        <v>3329.79</v>
      </c>
      <c r="E1366" s="1" t="s">
        <v>1166</v>
      </c>
      <c r="F1366" s="1" t="s">
        <v>3895</v>
      </c>
      <c r="G1366" s="3"/>
      <c r="H1366" s="11">
        <f>ROUND(
IF(L1364="GANCHO",
   IF(I1366&lt;=50,I1366*1.1+4,IF(I1366&lt;=120,I1366*1.1+7,IF(I1366&lt;=250,I1366*1.1+11,I1366*1.1+19))),
IF(L1364="NORMAL",
   IF(I1366&lt;=30,I1366*1.15+2,IF(I1366&lt;=80,I1366*1.15+4,IF(I1366&lt;=150,I1366*1.15+6,I1366*1.15+8))),
IF(L1364="COMPLEMENTO",
   IF(I1366&lt;=25,I1366*1.25+1.5,IF(I1366&lt;=60,I1366*1.25+3,IF(I1366&lt;=120,I1366*1.25+4,I1366*1.25+5))),
""))),2)</f>
        <v>15732.47</v>
      </c>
      <c r="I1366" s="9">
        <f>($K$2+0.02)*Tabla1[[#This Row],[PRECIO $]]*1.18</f>
        <v>13673.449655999999</v>
      </c>
      <c r="J1366" s="7">
        <f>+Tabla1[[#This Row],[PRECIO EN SOLES]]-Tabla1[[#This Row],[PC]]</f>
        <v>2059.0203440000005</v>
      </c>
      <c r="K1366" s="15"/>
      <c r="L1366" s="15" t="str">
        <f>IF(
OR(
ISNUMBER(SEARCH("BACKPACK",B1368)),
ISNUMBER(SEARCH("MOCHILA",B1368)),
ISNUMBER(SEARCH("FUNDA",B1368)),
ISNUMBER(SEARCH("ESTUCHE",B1368)),
ISNUMBER(SEARCH("BOOK COVER",B1368)),
ISNUMBER(SEARCH("KEYBOARD PARA TABLET",B1368)),
ISNUMBER(SEARCH("FLIP TABLET",B1368)),
ISNUMBER(SEARCH("CASE FOR TABLET",B1368)),
ISNUMBER(SEARCH("CABLE",B1368)),
ISNUMBER(SEARCH("ADAPTADOR",B1368)),
ISNUMBER(SEARCH("HUB",B1368)),
ISNUMBER(SEARCH("DOCK",B1368)),
ISNUMBER(SEARCH("MOUSE PAD",B1368)),
ISNUMBER(SEARCH("MOUSEPAD",B1368)),
ISNUMBER(SEARCH("SOPORTE",B1368)),
ISNUMBER(SEARCH("STAND",B1368)),
ISNUMBER(SEARCH("TRAVEL ADAPTER",B1368)),
ISNUMBER(SEARCH("RJ45",B1368)),
ISNUMBER(SEARCH("USB-C",B1368)),
ISNUMBER(SEARCH("USB WIFI",B1368)),
ISNUMBER(SEARCH("POWERBANK",B1368)),
ISNUMBER(SEARCH("CARGADOR",B1368)),
ISNUMBER(SEARCH("COOLER PARA NB",B1368)),
ISNUMBER(SEARCH("SOPORTE PARA NB",B1368)),
ISNUMBER(SEARCH("WEBCAM",B1368)),
ISNUMBER(SEARCH("WEB CAM",B1368)),
ISNUMBER(SEARCH("MOUSE",B1368)),
ISNUMBER(SEARCH("TECLADO",B1368))
),
"COMPLEMENTO",
IF(
OR(
LEFT(A1368,2)="NB",
LEFT(A1368,2)="PC",
LEFT(A1368,2)="WS",
LEFT(A1368,2)="TB",
LEFT(A1368,3)="CEL",
LEFT(A1368,3)="MON",
LEFT(A1368,3)="PRE",
LEFT(A1368,3)="PRH",
ISNUMBER(SEARCH("NOTEBOOK",B1368)),
ISNUMBER(SEARCH("LAPTOP",B1368)),
ISNUMBER(SEARCH("MONITOR",B1368)),
ISNUMBER(SEARCH("TABLET",B1368)),
ISNUMBER(SEARCH("SMARTPH",B1368)),
ISNUMBER(SEARCH("IMPRESORA",B1368)),
ISNUMBER(SEARCH("MULTIFUNCIONAL",B1368)),
ISNUMBER(SEARCH("AIO",B1368))
),
"GANCHO",
"NORMAL"
)
)</f>
        <v>NORMAL</v>
      </c>
    </row>
    <row r="1367" spans="1:12" x14ac:dyDescent="0.25">
      <c r="A1367" s="3" t="s">
        <v>2276</v>
      </c>
      <c r="B1367" s="3" t="s">
        <v>2277</v>
      </c>
      <c r="C1367" s="1">
        <v>6</v>
      </c>
      <c r="D1367" s="1">
        <v>1872.34</v>
      </c>
      <c r="E1367" s="1" t="s">
        <v>1166</v>
      </c>
      <c r="F1367" s="1" t="s">
        <v>3896</v>
      </c>
      <c r="G1367" s="3" t="s">
        <v>2278</v>
      </c>
      <c r="H1367" s="11">
        <f>ROUND(
IF(L1365="GANCHO",
   IF(I1367&lt;=50,I1367*1.1+4,IF(I1367&lt;=120,I1367*1.1+7,IF(I1367&lt;=250,I1367*1.1+11,I1367*1.1+19))),
IF(L1365="NORMAL",
   IF(I1367&lt;=30,I1367*1.15+2,IF(I1367&lt;=80,I1367*1.15+4,IF(I1367&lt;=150,I1367*1.15+6,I1367*1.15+8))),
IF(L1365="COMPLEMENTO",
   IF(I1367&lt;=25,I1367*1.25+1.5,IF(I1367&lt;=60,I1367*1.25+3,IF(I1367&lt;=120,I1367*1.25+4,I1367*1.25+5))),
""))),2)</f>
        <v>8849.86</v>
      </c>
      <c r="I1367" s="9">
        <f>($K$2+0.02)*Tabla1[[#This Row],[PRECIO $]]*1.18</f>
        <v>7688.5769759999994</v>
      </c>
      <c r="J1367" s="7">
        <f>+Tabla1[[#This Row],[PRECIO EN SOLES]]-Tabla1[[#This Row],[PC]]</f>
        <v>1161.2830240000012</v>
      </c>
      <c r="K1367" s="15"/>
      <c r="L1367" s="15" t="str">
        <f>IF(
OR(
ISNUMBER(SEARCH("BACKPACK",B1369)),
ISNUMBER(SEARCH("MOCHILA",B1369)),
ISNUMBER(SEARCH("FUNDA",B1369)),
ISNUMBER(SEARCH("ESTUCHE",B1369)),
ISNUMBER(SEARCH("BOOK COVER",B1369)),
ISNUMBER(SEARCH("KEYBOARD PARA TABLET",B1369)),
ISNUMBER(SEARCH("FLIP TABLET",B1369)),
ISNUMBER(SEARCH("CASE FOR TABLET",B1369)),
ISNUMBER(SEARCH("CABLE",B1369)),
ISNUMBER(SEARCH("ADAPTADOR",B1369)),
ISNUMBER(SEARCH("HUB",B1369)),
ISNUMBER(SEARCH("DOCK",B1369)),
ISNUMBER(SEARCH("MOUSE PAD",B1369)),
ISNUMBER(SEARCH("MOUSEPAD",B1369)),
ISNUMBER(SEARCH("SOPORTE",B1369)),
ISNUMBER(SEARCH("STAND",B1369)),
ISNUMBER(SEARCH("TRAVEL ADAPTER",B1369)),
ISNUMBER(SEARCH("RJ45",B1369)),
ISNUMBER(SEARCH("USB-C",B1369)),
ISNUMBER(SEARCH("USB WIFI",B1369)),
ISNUMBER(SEARCH("POWERBANK",B1369)),
ISNUMBER(SEARCH("CARGADOR",B1369)),
ISNUMBER(SEARCH("COOLER PARA NB",B1369)),
ISNUMBER(SEARCH("SOPORTE PARA NB",B1369)),
ISNUMBER(SEARCH("WEBCAM",B1369)),
ISNUMBER(SEARCH("WEB CAM",B1369)),
ISNUMBER(SEARCH("MOUSE",B1369)),
ISNUMBER(SEARCH("TECLADO",B1369))
),
"COMPLEMENTO",
IF(
OR(
LEFT(A1369,2)="NB",
LEFT(A1369,2)="PC",
LEFT(A1369,2)="WS",
LEFT(A1369,2)="TB",
LEFT(A1369,3)="CEL",
LEFT(A1369,3)="MON",
LEFT(A1369,3)="PRE",
LEFT(A1369,3)="PRH",
ISNUMBER(SEARCH("NOTEBOOK",B1369)),
ISNUMBER(SEARCH("LAPTOP",B1369)),
ISNUMBER(SEARCH("MONITOR",B1369)),
ISNUMBER(SEARCH("TABLET",B1369)),
ISNUMBER(SEARCH("SMARTPH",B1369)),
ISNUMBER(SEARCH("IMPRESORA",B1369)),
ISNUMBER(SEARCH("MULTIFUNCIONAL",B1369)),
ISNUMBER(SEARCH("AIO",B1369))
),
"GANCHO",
"NORMAL"
)
)</f>
        <v>NORMAL</v>
      </c>
    </row>
    <row r="1368" spans="1:12" x14ac:dyDescent="0.25">
      <c r="A1368" s="3" t="s">
        <v>6560</v>
      </c>
      <c r="B1368" s="3" t="s">
        <v>6561</v>
      </c>
      <c r="C1368" s="1">
        <v>1</v>
      </c>
      <c r="D1368" s="1">
        <v>328.57</v>
      </c>
      <c r="E1368" s="1" t="s">
        <v>1166</v>
      </c>
      <c r="F1368" s="1" t="s">
        <v>6562</v>
      </c>
      <c r="G1368" s="3"/>
      <c r="H1368" s="11">
        <f>ROUND(
IF(L1366="GANCHO",
   IF(I1368&lt;=50,I1368*1.1+4,IF(I1368&lt;=120,I1368*1.1+7,IF(I1368&lt;=250,I1368*1.1+11,I1368*1.1+19))),
IF(L1366="NORMAL",
   IF(I1368&lt;=30,I1368*1.15+2,IF(I1368&lt;=80,I1368*1.15+4,IF(I1368&lt;=150,I1368*1.15+6,I1368*1.15+8))),
IF(L1366="COMPLEMENTO",
   IF(I1368&lt;=25,I1368*1.25+1.5,IF(I1368&lt;=60,I1368*1.25+3,IF(I1368&lt;=120,I1368*1.25+4,I1368*1.25+5))),
""))),2)</f>
        <v>1559.63</v>
      </c>
      <c r="I1368" s="9">
        <f>($K$2+0.02)*Tabla1[[#This Row],[PRECIO $]]*1.18</f>
        <v>1349.2398479999999</v>
      </c>
      <c r="J1368" s="7">
        <f>+Tabla1[[#This Row],[PRECIO EN SOLES]]-Tabla1[[#This Row],[PC]]</f>
        <v>210.39015200000017</v>
      </c>
      <c r="K1368" s="15"/>
      <c r="L1368" s="15" t="str">
        <f>IF(
OR(
ISNUMBER(SEARCH("BACKPACK",B1370)),
ISNUMBER(SEARCH("MOCHILA",B1370)),
ISNUMBER(SEARCH("FUNDA",B1370)),
ISNUMBER(SEARCH("ESTUCHE",B1370)),
ISNUMBER(SEARCH("BOOK COVER",B1370)),
ISNUMBER(SEARCH("KEYBOARD PARA TABLET",B1370)),
ISNUMBER(SEARCH("FLIP TABLET",B1370)),
ISNUMBER(SEARCH("CASE FOR TABLET",B1370)),
ISNUMBER(SEARCH("CABLE",B1370)),
ISNUMBER(SEARCH("ADAPTADOR",B1370)),
ISNUMBER(SEARCH("HUB",B1370)),
ISNUMBER(SEARCH("DOCK",B1370)),
ISNUMBER(SEARCH("MOUSE PAD",B1370)),
ISNUMBER(SEARCH("MOUSEPAD",B1370)),
ISNUMBER(SEARCH("SOPORTE",B1370)),
ISNUMBER(SEARCH("STAND",B1370)),
ISNUMBER(SEARCH("TRAVEL ADAPTER",B1370)),
ISNUMBER(SEARCH("RJ45",B1370)),
ISNUMBER(SEARCH("USB-C",B1370)),
ISNUMBER(SEARCH("USB WIFI",B1370)),
ISNUMBER(SEARCH("POWERBANK",B1370)),
ISNUMBER(SEARCH("CARGADOR",B1370)),
ISNUMBER(SEARCH("COOLER PARA NB",B1370)),
ISNUMBER(SEARCH("SOPORTE PARA NB",B1370)),
ISNUMBER(SEARCH("WEBCAM",B1370)),
ISNUMBER(SEARCH("WEB CAM",B1370)),
ISNUMBER(SEARCH("MOUSE",B1370)),
ISNUMBER(SEARCH("TECLADO",B1370))
),
"COMPLEMENTO",
IF(
OR(
LEFT(A1370,2)="NB",
LEFT(A1370,2)="PC",
LEFT(A1370,2)="WS",
LEFT(A1370,2)="TB",
LEFT(A1370,3)="CEL",
LEFT(A1370,3)="MON",
LEFT(A1370,3)="PRE",
LEFT(A1370,3)="PRH",
ISNUMBER(SEARCH("NOTEBOOK",B1370)),
ISNUMBER(SEARCH("LAPTOP",B1370)),
ISNUMBER(SEARCH("MONITOR",B1370)),
ISNUMBER(SEARCH("TABLET",B1370)),
ISNUMBER(SEARCH("SMARTPH",B1370)),
ISNUMBER(SEARCH("IMPRESORA",B1370)),
ISNUMBER(SEARCH("MULTIFUNCIONAL",B1370)),
ISNUMBER(SEARCH("AIO",B1370))
),
"GANCHO",
"NORMAL"
)
)</f>
        <v>NORMAL</v>
      </c>
    </row>
    <row r="1369" spans="1:12" x14ac:dyDescent="0.25">
      <c r="A1369" s="3" t="s">
        <v>2279</v>
      </c>
      <c r="B1369" s="3" t="s">
        <v>2280</v>
      </c>
      <c r="C1369" s="1">
        <v>20</v>
      </c>
      <c r="D1369" s="1">
        <v>1</v>
      </c>
      <c r="E1369" s="1" t="s">
        <v>2281</v>
      </c>
      <c r="F1369" s="1" t="s">
        <v>3897</v>
      </c>
      <c r="G1369" s="3"/>
      <c r="H1369" s="11">
        <f>ROUND(
IF(L1367="GANCHO",
   IF(I1369&lt;=50,I1369*1.1+4,IF(I1369&lt;=120,I1369*1.1+7,IF(I1369&lt;=250,I1369*1.1+11,I1369*1.1+19))),
IF(L1367="NORMAL",
   IF(I1369&lt;=30,I1369*1.15+2,IF(I1369&lt;=80,I1369*1.15+4,IF(I1369&lt;=150,I1369*1.15+6,I1369*1.15+8))),
IF(L1367="COMPLEMENTO",
   IF(I1369&lt;=25,I1369*1.25+1.5,IF(I1369&lt;=60,I1369*1.25+3,IF(I1369&lt;=120,I1369*1.25+4,I1369*1.25+5))),
""))),2)</f>
        <v>6.72</v>
      </c>
      <c r="I1369" s="9">
        <f>($K$2+0.02)*Tabla1[[#This Row],[PRECIO $]]*1.18</f>
        <v>4.1063999999999998</v>
      </c>
      <c r="J1369" s="7">
        <f>+Tabla1[[#This Row],[PRECIO EN SOLES]]-Tabla1[[#This Row],[PC]]</f>
        <v>2.6135999999999999</v>
      </c>
      <c r="K1369" s="15"/>
      <c r="L1369" s="15" t="str">
        <f>IF(
OR(
ISNUMBER(SEARCH("BACKPACK",B1371)),
ISNUMBER(SEARCH("MOCHILA",B1371)),
ISNUMBER(SEARCH("FUNDA",B1371)),
ISNUMBER(SEARCH("ESTUCHE",B1371)),
ISNUMBER(SEARCH("BOOK COVER",B1371)),
ISNUMBER(SEARCH("KEYBOARD PARA TABLET",B1371)),
ISNUMBER(SEARCH("FLIP TABLET",B1371)),
ISNUMBER(SEARCH("CASE FOR TABLET",B1371)),
ISNUMBER(SEARCH("CABLE",B1371)),
ISNUMBER(SEARCH("ADAPTADOR",B1371)),
ISNUMBER(SEARCH("HUB",B1371)),
ISNUMBER(SEARCH("DOCK",B1371)),
ISNUMBER(SEARCH("MOUSE PAD",B1371)),
ISNUMBER(SEARCH("MOUSEPAD",B1371)),
ISNUMBER(SEARCH("SOPORTE",B1371)),
ISNUMBER(SEARCH("STAND",B1371)),
ISNUMBER(SEARCH("TRAVEL ADAPTER",B1371)),
ISNUMBER(SEARCH("RJ45",B1371)),
ISNUMBER(SEARCH("USB-C",B1371)),
ISNUMBER(SEARCH("USB WIFI",B1371)),
ISNUMBER(SEARCH("POWERBANK",B1371)),
ISNUMBER(SEARCH("CARGADOR",B1371)),
ISNUMBER(SEARCH("COOLER PARA NB",B1371)),
ISNUMBER(SEARCH("SOPORTE PARA NB",B1371)),
ISNUMBER(SEARCH("WEBCAM",B1371)),
ISNUMBER(SEARCH("WEB CAM",B1371)),
ISNUMBER(SEARCH("MOUSE",B1371)),
ISNUMBER(SEARCH("TECLADO",B1371))
),
"COMPLEMENTO",
IF(
OR(
LEFT(A1371,2)="NB",
LEFT(A1371,2)="PC",
LEFT(A1371,2)="WS",
LEFT(A1371,2)="TB",
LEFT(A1371,3)="CEL",
LEFT(A1371,3)="MON",
LEFT(A1371,3)="PRE",
LEFT(A1371,3)="PRH",
ISNUMBER(SEARCH("NOTEBOOK",B1371)),
ISNUMBER(SEARCH("LAPTOP",B1371)),
ISNUMBER(SEARCH("MONITOR",B1371)),
ISNUMBER(SEARCH("TABLET",B1371)),
ISNUMBER(SEARCH("SMARTPH",B1371)),
ISNUMBER(SEARCH("IMPRESORA",B1371)),
ISNUMBER(SEARCH("MULTIFUNCIONAL",B1371)),
ISNUMBER(SEARCH("AIO",B1371))
),
"GANCHO",
"NORMAL"
)
)</f>
        <v>NORMAL</v>
      </c>
    </row>
    <row r="1370" spans="1:12" x14ac:dyDescent="0.25">
      <c r="A1370" s="3" t="s">
        <v>2282</v>
      </c>
      <c r="B1370" s="3" t="s">
        <v>2283</v>
      </c>
      <c r="C1370" s="1">
        <v>0</v>
      </c>
      <c r="D1370" s="1">
        <v>9999999.9900000002</v>
      </c>
      <c r="E1370" s="1" t="s">
        <v>57</v>
      </c>
      <c r="F1370" s="1" t="s">
        <v>3898</v>
      </c>
      <c r="G1370" s="3"/>
      <c r="H1370" s="11">
        <f>ROUND(
IF(L1368="GANCHO",
   IF(I1370&lt;=50,I1370*1.1+4,IF(I1370&lt;=120,I1370*1.1+7,IF(I1370&lt;=250,I1370*1.1+11,I1370*1.1+19))),
IF(L1368="NORMAL",
   IF(I1370&lt;=30,I1370*1.15+2,IF(I1370&lt;=80,I1370*1.15+4,IF(I1370&lt;=150,I1370*1.15+6,I1370*1.15+8))),
IF(L1368="COMPLEMENTO",
   IF(I1370&lt;=25,I1370*1.25+1.5,IF(I1370&lt;=60,I1370*1.25+3,IF(I1370&lt;=120,I1370*1.25+4,I1370*1.25+5))),
""))),2)</f>
        <v>47223607.950000003</v>
      </c>
      <c r="I1370" s="9">
        <f>($K$2+0.02)*Tabla1[[#This Row],[PRECIO $]]*1.18</f>
        <v>41063999.958935998</v>
      </c>
      <c r="J1370" s="7">
        <f>+Tabla1[[#This Row],[PRECIO EN SOLES]]-Tabla1[[#This Row],[PC]]</f>
        <v>6159607.9910640046</v>
      </c>
      <c r="K1370" s="15"/>
      <c r="L1370" s="15" t="str">
        <f>IF(
OR(
ISNUMBER(SEARCH("BACKPACK",B1372)),
ISNUMBER(SEARCH("MOCHILA",B1372)),
ISNUMBER(SEARCH("FUNDA",B1372)),
ISNUMBER(SEARCH("ESTUCHE",B1372)),
ISNUMBER(SEARCH("BOOK COVER",B1372)),
ISNUMBER(SEARCH("KEYBOARD PARA TABLET",B1372)),
ISNUMBER(SEARCH("FLIP TABLET",B1372)),
ISNUMBER(SEARCH("CASE FOR TABLET",B1372)),
ISNUMBER(SEARCH("CABLE",B1372)),
ISNUMBER(SEARCH("ADAPTADOR",B1372)),
ISNUMBER(SEARCH("HUB",B1372)),
ISNUMBER(SEARCH("DOCK",B1372)),
ISNUMBER(SEARCH("MOUSE PAD",B1372)),
ISNUMBER(SEARCH("MOUSEPAD",B1372)),
ISNUMBER(SEARCH("SOPORTE",B1372)),
ISNUMBER(SEARCH("STAND",B1372)),
ISNUMBER(SEARCH("TRAVEL ADAPTER",B1372)),
ISNUMBER(SEARCH("RJ45",B1372)),
ISNUMBER(SEARCH("USB-C",B1372)),
ISNUMBER(SEARCH("USB WIFI",B1372)),
ISNUMBER(SEARCH("POWERBANK",B1372)),
ISNUMBER(SEARCH("CARGADOR",B1372)),
ISNUMBER(SEARCH("COOLER PARA NB",B1372)),
ISNUMBER(SEARCH("SOPORTE PARA NB",B1372)),
ISNUMBER(SEARCH("WEBCAM",B1372)),
ISNUMBER(SEARCH("WEB CAM",B1372)),
ISNUMBER(SEARCH("MOUSE",B1372)),
ISNUMBER(SEARCH("TECLADO",B1372))
),
"COMPLEMENTO",
IF(
OR(
LEFT(A1372,2)="NB",
LEFT(A1372,2)="PC",
LEFT(A1372,2)="WS",
LEFT(A1372,2)="TB",
LEFT(A1372,3)="CEL",
LEFT(A1372,3)="MON",
LEFT(A1372,3)="PRE",
LEFT(A1372,3)="PRH",
ISNUMBER(SEARCH("NOTEBOOK",B1372)),
ISNUMBER(SEARCH("LAPTOP",B1372)),
ISNUMBER(SEARCH("MONITOR",B1372)),
ISNUMBER(SEARCH("TABLET",B1372)),
ISNUMBER(SEARCH("SMARTPH",B1372)),
ISNUMBER(SEARCH("IMPRESORA",B1372)),
ISNUMBER(SEARCH("MULTIFUNCIONAL",B1372)),
ISNUMBER(SEARCH("AIO",B1372))
),
"GANCHO",
"NORMAL"
)
)</f>
        <v>NORMAL</v>
      </c>
    </row>
    <row r="1371" spans="1:12" x14ac:dyDescent="0.25">
      <c r="A1371" s="3" t="s">
        <v>2284</v>
      </c>
      <c r="B1371" s="3" t="s">
        <v>2285</v>
      </c>
      <c r="C1371" s="1">
        <v>20</v>
      </c>
      <c r="D1371" s="1">
        <v>72.94</v>
      </c>
      <c r="E1371" s="1" t="s">
        <v>2281</v>
      </c>
      <c r="F1371" s="1" t="s">
        <v>3899</v>
      </c>
      <c r="G1371" s="3"/>
      <c r="H1371" s="11">
        <f>ROUND(
IF(L1369="GANCHO",
   IF(I1371&lt;=50,I1371*1.1+4,IF(I1371&lt;=120,I1371*1.1+7,IF(I1371&lt;=250,I1371*1.1+11,I1371*1.1+19))),
IF(L1369="NORMAL",
   IF(I1371&lt;=30,I1371*1.15+2,IF(I1371&lt;=80,I1371*1.15+4,IF(I1371&lt;=150,I1371*1.15+6,I1371*1.15+8))),
IF(L1369="COMPLEMENTO",
   IF(I1371&lt;=25,I1371*1.25+1.5,IF(I1371&lt;=60,I1371*1.25+3,IF(I1371&lt;=120,I1371*1.25+4,I1371*1.25+5))),
""))),2)</f>
        <v>352.45</v>
      </c>
      <c r="I1371" s="9">
        <f>($K$2+0.02)*Tabla1[[#This Row],[PRECIO $]]*1.18</f>
        <v>299.52081599999997</v>
      </c>
      <c r="J1371" s="7">
        <f>+Tabla1[[#This Row],[PRECIO EN SOLES]]-Tabla1[[#This Row],[PC]]</f>
        <v>52.929184000000021</v>
      </c>
      <c r="K1371" s="15"/>
      <c r="L1371" s="15" t="str">
        <f>IF(
OR(
ISNUMBER(SEARCH("BACKPACK",B1373)),
ISNUMBER(SEARCH("MOCHILA",B1373)),
ISNUMBER(SEARCH("FUNDA",B1373)),
ISNUMBER(SEARCH("ESTUCHE",B1373)),
ISNUMBER(SEARCH("BOOK COVER",B1373)),
ISNUMBER(SEARCH("KEYBOARD PARA TABLET",B1373)),
ISNUMBER(SEARCH("FLIP TABLET",B1373)),
ISNUMBER(SEARCH("CASE FOR TABLET",B1373)),
ISNUMBER(SEARCH("CABLE",B1373)),
ISNUMBER(SEARCH("ADAPTADOR",B1373)),
ISNUMBER(SEARCH("HUB",B1373)),
ISNUMBER(SEARCH("DOCK",B1373)),
ISNUMBER(SEARCH("MOUSE PAD",B1373)),
ISNUMBER(SEARCH("MOUSEPAD",B1373)),
ISNUMBER(SEARCH("SOPORTE",B1373)),
ISNUMBER(SEARCH("STAND",B1373)),
ISNUMBER(SEARCH("TRAVEL ADAPTER",B1373)),
ISNUMBER(SEARCH("RJ45",B1373)),
ISNUMBER(SEARCH("USB-C",B1373)),
ISNUMBER(SEARCH("USB WIFI",B1373)),
ISNUMBER(SEARCH("POWERBANK",B1373)),
ISNUMBER(SEARCH("CARGADOR",B1373)),
ISNUMBER(SEARCH("COOLER PARA NB",B1373)),
ISNUMBER(SEARCH("SOPORTE PARA NB",B1373)),
ISNUMBER(SEARCH("WEBCAM",B1373)),
ISNUMBER(SEARCH("WEB CAM",B1373)),
ISNUMBER(SEARCH("MOUSE",B1373)),
ISNUMBER(SEARCH("TECLADO",B1373))
),
"COMPLEMENTO",
IF(
OR(
LEFT(A1373,2)="NB",
LEFT(A1373,2)="PC",
LEFT(A1373,2)="WS",
LEFT(A1373,2)="TB",
LEFT(A1373,3)="CEL",
LEFT(A1373,3)="MON",
LEFT(A1373,3)="PRE",
LEFT(A1373,3)="PRH",
ISNUMBER(SEARCH("NOTEBOOK",B1373)),
ISNUMBER(SEARCH("LAPTOP",B1373)),
ISNUMBER(SEARCH("MONITOR",B1373)),
ISNUMBER(SEARCH("TABLET",B1373)),
ISNUMBER(SEARCH("SMARTPH",B1373)),
ISNUMBER(SEARCH("IMPRESORA",B1373)),
ISNUMBER(SEARCH("MULTIFUNCIONAL",B1373)),
ISNUMBER(SEARCH("AIO",B1373))
),
"GANCHO",
"NORMAL"
)
)</f>
        <v>NORMAL</v>
      </c>
    </row>
    <row r="1372" spans="1:12" x14ac:dyDescent="0.25">
      <c r="A1372" s="3" t="s">
        <v>2286</v>
      </c>
      <c r="B1372" s="3" t="s">
        <v>2287</v>
      </c>
      <c r="C1372" s="1">
        <v>20</v>
      </c>
      <c r="D1372" s="1">
        <v>663.13</v>
      </c>
      <c r="E1372" s="1" t="s">
        <v>2281</v>
      </c>
      <c r="F1372" s="1" t="s">
        <v>3900</v>
      </c>
      <c r="G1372" s="3"/>
      <c r="H1372" s="11">
        <f>ROUND(
IF(L1370="GANCHO",
   IF(I1372&lt;=50,I1372*1.1+4,IF(I1372&lt;=120,I1372*1.1+7,IF(I1372&lt;=250,I1372*1.1+11,I1372*1.1+19))),
IF(L1370="NORMAL",
   IF(I1372&lt;=30,I1372*1.15+2,IF(I1372&lt;=80,I1372*1.15+4,IF(I1372&lt;=150,I1372*1.15+6,I1372*1.15+8))),
IF(L1370="COMPLEMENTO",
   IF(I1372&lt;=25,I1372*1.25+1.5,IF(I1372&lt;=60,I1372*1.25+3,IF(I1372&lt;=120,I1372*1.25+4,I1372*1.25+5))),
""))),2)</f>
        <v>3139.54</v>
      </c>
      <c r="I1372" s="9">
        <f>($K$2+0.02)*Tabla1[[#This Row],[PRECIO $]]*1.18</f>
        <v>2723.0770319999997</v>
      </c>
      <c r="J1372" s="7">
        <f>+Tabla1[[#This Row],[PRECIO EN SOLES]]-Tabla1[[#This Row],[PC]]</f>
        <v>416.46296800000027</v>
      </c>
      <c r="K1372" s="15"/>
      <c r="L1372" s="15" t="str">
        <f>IF(
OR(
ISNUMBER(SEARCH("BACKPACK",B1374)),
ISNUMBER(SEARCH("MOCHILA",B1374)),
ISNUMBER(SEARCH("FUNDA",B1374)),
ISNUMBER(SEARCH("ESTUCHE",B1374)),
ISNUMBER(SEARCH("BOOK COVER",B1374)),
ISNUMBER(SEARCH("KEYBOARD PARA TABLET",B1374)),
ISNUMBER(SEARCH("FLIP TABLET",B1374)),
ISNUMBER(SEARCH("CASE FOR TABLET",B1374)),
ISNUMBER(SEARCH("CABLE",B1374)),
ISNUMBER(SEARCH("ADAPTADOR",B1374)),
ISNUMBER(SEARCH("HUB",B1374)),
ISNUMBER(SEARCH("DOCK",B1374)),
ISNUMBER(SEARCH("MOUSE PAD",B1374)),
ISNUMBER(SEARCH("MOUSEPAD",B1374)),
ISNUMBER(SEARCH("SOPORTE",B1374)),
ISNUMBER(SEARCH("STAND",B1374)),
ISNUMBER(SEARCH("TRAVEL ADAPTER",B1374)),
ISNUMBER(SEARCH("RJ45",B1374)),
ISNUMBER(SEARCH("USB-C",B1374)),
ISNUMBER(SEARCH("USB WIFI",B1374)),
ISNUMBER(SEARCH("POWERBANK",B1374)),
ISNUMBER(SEARCH("CARGADOR",B1374)),
ISNUMBER(SEARCH("COOLER PARA NB",B1374)),
ISNUMBER(SEARCH("SOPORTE PARA NB",B1374)),
ISNUMBER(SEARCH("WEBCAM",B1374)),
ISNUMBER(SEARCH("WEB CAM",B1374)),
ISNUMBER(SEARCH("MOUSE",B1374)),
ISNUMBER(SEARCH("TECLADO",B1374))
),
"COMPLEMENTO",
IF(
OR(
LEFT(A1374,2)="NB",
LEFT(A1374,2)="PC",
LEFT(A1374,2)="WS",
LEFT(A1374,2)="TB",
LEFT(A1374,3)="CEL",
LEFT(A1374,3)="MON",
LEFT(A1374,3)="PRE",
LEFT(A1374,3)="PRH",
ISNUMBER(SEARCH("NOTEBOOK",B1374)),
ISNUMBER(SEARCH("LAPTOP",B1374)),
ISNUMBER(SEARCH("MONITOR",B1374)),
ISNUMBER(SEARCH("TABLET",B1374)),
ISNUMBER(SEARCH("SMARTPH",B1374)),
ISNUMBER(SEARCH("IMPRESORA",B1374)),
ISNUMBER(SEARCH("MULTIFUNCIONAL",B1374)),
ISNUMBER(SEARCH("AIO",B1374))
),
"GANCHO",
"NORMAL"
)
)</f>
        <v>NORMAL</v>
      </c>
    </row>
    <row r="1373" spans="1:12" x14ac:dyDescent="0.25">
      <c r="A1373" s="3" t="s">
        <v>2288</v>
      </c>
      <c r="B1373" s="3" t="s">
        <v>2289</v>
      </c>
      <c r="C1373" s="1">
        <v>20</v>
      </c>
      <c r="D1373" s="1">
        <v>352</v>
      </c>
      <c r="E1373" s="1" t="s">
        <v>2281</v>
      </c>
      <c r="F1373" s="1" t="s">
        <v>3901</v>
      </c>
      <c r="G1373" s="3"/>
      <c r="H1373" s="11">
        <f>ROUND(
IF(L1371="GANCHO",
   IF(I1373&lt;=50,I1373*1.1+4,IF(I1373&lt;=120,I1373*1.1+7,IF(I1373&lt;=250,I1373*1.1+11,I1373*1.1+19))),
IF(L1371="NORMAL",
   IF(I1373&lt;=30,I1373*1.15+2,IF(I1373&lt;=80,I1373*1.15+4,IF(I1373&lt;=150,I1373*1.15+6,I1373*1.15+8))),
IF(L1371="COMPLEMENTO",
   IF(I1373&lt;=25,I1373*1.25+1.5,IF(I1373&lt;=60,I1373*1.25+3,IF(I1373&lt;=120,I1373*1.25+4,I1373*1.25+5))),
""))),2)</f>
        <v>1670.27</v>
      </c>
      <c r="I1373" s="9">
        <f>($K$2+0.02)*Tabla1[[#This Row],[PRECIO $]]*1.18</f>
        <v>1445.4528</v>
      </c>
      <c r="J1373" s="7">
        <f>+Tabla1[[#This Row],[PRECIO EN SOLES]]-Tabla1[[#This Row],[PC]]</f>
        <v>224.81719999999996</v>
      </c>
      <c r="K1373" s="15"/>
      <c r="L1373" s="15" t="str">
        <f>IF(
OR(
ISNUMBER(SEARCH("BACKPACK",B1375)),
ISNUMBER(SEARCH("MOCHILA",B1375)),
ISNUMBER(SEARCH("FUNDA",B1375)),
ISNUMBER(SEARCH("ESTUCHE",B1375)),
ISNUMBER(SEARCH("BOOK COVER",B1375)),
ISNUMBER(SEARCH("KEYBOARD PARA TABLET",B1375)),
ISNUMBER(SEARCH("FLIP TABLET",B1375)),
ISNUMBER(SEARCH("CASE FOR TABLET",B1375)),
ISNUMBER(SEARCH("CABLE",B1375)),
ISNUMBER(SEARCH("ADAPTADOR",B1375)),
ISNUMBER(SEARCH("HUB",B1375)),
ISNUMBER(SEARCH("DOCK",B1375)),
ISNUMBER(SEARCH("MOUSE PAD",B1375)),
ISNUMBER(SEARCH("MOUSEPAD",B1375)),
ISNUMBER(SEARCH("SOPORTE",B1375)),
ISNUMBER(SEARCH("STAND",B1375)),
ISNUMBER(SEARCH("TRAVEL ADAPTER",B1375)),
ISNUMBER(SEARCH("RJ45",B1375)),
ISNUMBER(SEARCH("USB-C",B1375)),
ISNUMBER(SEARCH("USB WIFI",B1375)),
ISNUMBER(SEARCH("POWERBANK",B1375)),
ISNUMBER(SEARCH("CARGADOR",B1375)),
ISNUMBER(SEARCH("COOLER PARA NB",B1375)),
ISNUMBER(SEARCH("SOPORTE PARA NB",B1375)),
ISNUMBER(SEARCH("WEBCAM",B1375)),
ISNUMBER(SEARCH("WEB CAM",B1375)),
ISNUMBER(SEARCH("MOUSE",B1375)),
ISNUMBER(SEARCH("TECLADO",B1375))
),
"COMPLEMENTO",
IF(
OR(
LEFT(A1375,2)="NB",
LEFT(A1375,2)="PC",
LEFT(A1375,2)="WS",
LEFT(A1375,2)="TB",
LEFT(A1375,3)="CEL",
LEFT(A1375,3)="MON",
LEFT(A1375,3)="PRE",
LEFT(A1375,3)="PRH",
ISNUMBER(SEARCH("NOTEBOOK",B1375)),
ISNUMBER(SEARCH("LAPTOP",B1375)),
ISNUMBER(SEARCH("MONITOR",B1375)),
ISNUMBER(SEARCH("TABLET",B1375)),
ISNUMBER(SEARCH("SMARTPH",B1375)),
ISNUMBER(SEARCH("IMPRESORA",B1375)),
ISNUMBER(SEARCH("MULTIFUNCIONAL",B1375)),
ISNUMBER(SEARCH("AIO",B1375))
),
"GANCHO",
"NORMAL"
)
)</f>
        <v>NORMAL</v>
      </c>
    </row>
    <row r="1374" spans="1:12" x14ac:dyDescent="0.25">
      <c r="A1374" s="3" t="s">
        <v>2290</v>
      </c>
      <c r="B1374" s="3" t="s">
        <v>2291</v>
      </c>
      <c r="C1374" s="1">
        <v>20</v>
      </c>
      <c r="D1374" s="1">
        <v>0.01</v>
      </c>
      <c r="E1374" s="1" t="s">
        <v>2281</v>
      </c>
      <c r="F1374" s="1" t="s">
        <v>3902</v>
      </c>
      <c r="G1374" s="3"/>
      <c r="H1374" s="11">
        <f>ROUND(
IF(L1372="GANCHO",
   IF(I1374&lt;=50,I1374*1.1+4,IF(I1374&lt;=120,I1374*1.1+7,IF(I1374&lt;=250,I1374*1.1+11,I1374*1.1+19))),
IF(L1372="NORMAL",
   IF(I1374&lt;=30,I1374*1.15+2,IF(I1374&lt;=80,I1374*1.15+4,IF(I1374&lt;=150,I1374*1.15+6,I1374*1.15+8))),
IF(L1372="COMPLEMENTO",
   IF(I1374&lt;=25,I1374*1.25+1.5,IF(I1374&lt;=60,I1374*1.25+3,IF(I1374&lt;=120,I1374*1.25+4,I1374*1.25+5))),
""))),2)</f>
        <v>2.0499999999999998</v>
      </c>
      <c r="I1374" s="9">
        <f>($K$2+0.02)*Tabla1[[#This Row],[PRECIO $]]*1.18</f>
        <v>4.1063999999999996E-2</v>
      </c>
      <c r="J1374" s="7">
        <f>+Tabla1[[#This Row],[PRECIO EN SOLES]]-Tabla1[[#This Row],[PC]]</f>
        <v>2.0089359999999998</v>
      </c>
      <c r="K1374" s="15"/>
      <c r="L1374" s="15" t="str">
        <f>IF(
OR(
ISNUMBER(SEARCH("BACKPACK",B1376)),
ISNUMBER(SEARCH("MOCHILA",B1376)),
ISNUMBER(SEARCH("FUNDA",B1376)),
ISNUMBER(SEARCH("ESTUCHE",B1376)),
ISNUMBER(SEARCH("BOOK COVER",B1376)),
ISNUMBER(SEARCH("KEYBOARD PARA TABLET",B1376)),
ISNUMBER(SEARCH("FLIP TABLET",B1376)),
ISNUMBER(SEARCH("CASE FOR TABLET",B1376)),
ISNUMBER(SEARCH("CABLE",B1376)),
ISNUMBER(SEARCH("ADAPTADOR",B1376)),
ISNUMBER(SEARCH("HUB",B1376)),
ISNUMBER(SEARCH("DOCK",B1376)),
ISNUMBER(SEARCH("MOUSE PAD",B1376)),
ISNUMBER(SEARCH("MOUSEPAD",B1376)),
ISNUMBER(SEARCH("SOPORTE",B1376)),
ISNUMBER(SEARCH("STAND",B1376)),
ISNUMBER(SEARCH("TRAVEL ADAPTER",B1376)),
ISNUMBER(SEARCH("RJ45",B1376)),
ISNUMBER(SEARCH("USB-C",B1376)),
ISNUMBER(SEARCH("USB WIFI",B1376)),
ISNUMBER(SEARCH("POWERBANK",B1376)),
ISNUMBER(SEARCH("CARGADOR",B1376)),
ISNUMBER(SEARCH("COOLER PARA NB",B1376)),
ISNUMBER(SEARCH("SOPORTE PARA NB",B1376)),
ISNUMBER(SEARCH("WEBCAM",B1376)),
ISNUMBER(SEARCH("WEB CAM",B1376)),
ISNUMBER(SEARCH("MOUSE",B1376)),
ISNUMBER(SEARCH("TECLADO",B1376))
),
"COMPLEMENTO",
IF(
OR(
LEFT(A1376,2)="NB",
LEFT(A1376,2)="PC",
LEFT(A1376,2)="WS",
LEFT(A1376,2)="TB",
LEFT(A1376,3)="CEL",
LEFT(A1376,3)="MON",
LEFT(A1376,3)="PRE",
LEFT(A1376,3)="PRH",
ISNUMBER(SEARCH("NOTEBOOK",B1376)),
ISNUMBER(SEARCH("LAPTOP",B1376)),
ISNUMBER(SEARCH("MONITOR",B1376)),
ISNUMBER(SEARCH("TABLET",B1376)),
ISNUMBER(SEARCH("SMARTPH",B1376)),
ISNUMBER(SEARCH("IMPRESORA",B1376)),
ISNUMBER(SEARCH("MULTIFUNCIONAL",B1376)),
ISNUMBER(SEARCH("AIO",B1376))
),
"GANCHO",
"NORMAL"
)
)</f>
        <v>NORMAL</v>
      </c>
    </row>
    <row r="1375" spans="1:12" x14ac:dyDescent="0.25">
      <c r="A1375" s="3" t="s">
        <v>2292</v>
      </c>
      <c r="B1375" s="3" t="s">
        <v>2293</v>
      </c>
      <c r="C1375" s="1">
        <v>1</v>
      </c>
      <c r="D1375" s="1">
        <v>1025</v>
      </c>
      <c r="E1375" s="1" t="s">
        <v>2294</v>
      </c>
      <c r="F1375" s="1" t="s">
        <v>3903</v>
      </c>
      <c r="G1375" s="3"/>
      <c r="H1375" s="11">
        <f>ROUND(
IF(L1373="GANCHO",
   IF(I1375&lt;=50,I1375*1.1+4,IF(I1375&lt;=120,I1375*1.1+7,IF(I1375&lt;=250,I1375*1.1+11,I1375*1.1+19))),
IF(L1373="NORMAL",
   IF(I1375&lt;=30,I1375*1.15+2,IF(I1375&lt;=80,I1375*1.15+4,IF(I1375&lt;=150,I1375*1.15+6,I1375*1.15+8))),
IF(L1373="COMPLEMENTO",
   IF(I1375&lt;=25,I1375*1.25+1.5,IF(I1375&lt;=60,I1375*1.25+3,IF(I1375&lt;=120,I1375*1.25+4,I1375*1.25+5))),
""))),2)</f>
        <v>4848.42</v>
      </c>
      <c r="I1375" s="9">
        <f>($K$2+0.02)*Tabla1[[#This Row],[PRECIO $]]*1.18</f>
        <v>4209.0599999999995</v>
      </c>
      <c r="J1375" s="7">
        <f>+Tabla1[[#This Row],[PRECIO EN SOLES]]-Tabla1[[#This Row],[PC]]</f>
        <v>639.36000000000058</v>
      </c>
      <c r="K1375" s="15"/>
      <c r="L1375" s="15" t="str">
        <f>IF(
OR(
ISNUMBER(SEARCH("BACKPACK",B1377)),
ISNUMBER(SEARCH("MOCHILA",B1377)),
ISNUMBER(SEARCH("FUNDA",B1377)),
ISNUMBER(SEARCH("ESTUCHE",B1377)),
ISNUMBER(SEARCH("BOOK COVER",B1377)),
ISNUMBER(SEARCH("KEYBOARD PARA TABLET",B1377)),
ISNUMBER(SEARCH("FLIP TABLET",B1377)),
ISNUMBER(SEARCH("CASE FOR TABLET",B1377)),
ISNUMBER(SEARCH("CABLE",B1377)),
ISNUMBER(SEARCH("ADAPTADOR",B1377)),
ISNUMBER(SEARCH("HUB",B1377)),
ISNUMBER(SEARCH("DOCK",B1377)),
ISNUMBER(SEARCH("MOUSE PAD",B1377)),
ISNUMBER(SEARCH("MOUSEPAD",B1377)),
ISNUMBER(SEARCH("SOPORTE",B1377)),
ISNUMBER(SEARCH("STAND",B1377)),
ISNUMBER(SEARCH("TRAVEL ADAPTER",B1377)),
ISNUMBER(SEARCH("RJ45",B1377)),
ISNUMBER(SEARCH("USB-C",B1377)),
ISNUMBER(SEARCH("USB WIFI",B1377)),
ISNUMBER(SEARCH("POWERBANK",B1377)),
ISNUMBER(SEARCH("CARGADOR",B1377)),
ISNUMBER(SEARCH("COOLER PARA NB",B1377)),
ISNUMBER(SEARCH("SOPORTE PARA NB",B1377)),
ISNUMBER(SEARCH("WEBCAM",B1377)),
ISNUMBER(SEARCH("WEB CAM",B1377)),
ISNUMBER(SEARCH("MOUSE",B1377)),
ISNUMBER(SEARCH("TECLADO",B1377))
),
"COMPLEMENTO",
IF(
OR(
LEFT(A1377,2)="NB",
LEFT(A1377,2)="PC",
LEFT(A1377,2)="WS",
LEFT(A1377,2)="TB",
LEFT(A1377,3)="CEL",
LEFT(A1377,3)="MON",
LEFT(A1377,3)="PRE",
LEFT(A1377,3)="PRH",
ISNUMBER(SEARCH("NOTEBOOK",B1377)),
ISNUMBER(SEARCH("LAPTOP",B1377)),
ISNUMBER(SEARCH("MONITOR",B1377)),
ISNUMBER(SEARCH("TABLET",B1377)),
ISNUMBER(SEARCH("SMARTPH",B1377)),
ISNUMBER(SEARCH("IMPRESORA",B1377)),
ISNUMBER(SEARCH("MULTIFUNCIONAL",B1377)),
ISNUMBER(SEARCH("AIO",B1377))
),
"GANCHO",
"NORMAL"
)
)</f>
        <v>NORMAL</v>
      </c>
    </row>
    <row r="1376" spans="1:12" x14ac:dyDescent="0.25">
      <c r="A1376" s="3" t="s">
        <v>2295</v>
      </c>
      <c r="B1376" s="3" t="s">
        <v>2296</v>
      </c>
      <c r="C1376" s="1">
        <v>1</v>
      </c>
      <c r="D1376" s="1">
        <v>309</v>
      </c>
      <c r="E1376" s="1" t="s">
        <v>2297</v>
      </c>
      <c r="F1376" s="1" t="s">
        <v>3904</v>
      </c>
      <c r="G1376" s="3"/>
      <c r="H1376" s="11">
        <f>ROUND(
IF(L1374="GANCHO",
   IF(I1376&lt;=50,I1376*1.1+4,IF(I1376&lt;=120,I1376*1.1+7,IF(I1376&lt;=250,I1376*1.1+11,I1376*1.1+19))),
IF(L1374="NORMAL",
   IF(I1376&lt;=30,I1376*1.15+2,IF(I1376&lt;=80,I1376*1.15+4,IF(I1376&lt;=150,I1376*1.15+6,I1376*1.15+8))),
IF(L1374="COMPLEMENTO",
   IF(I1376&lt;=25,I1376*1.25+1.5,IF(I1376&lt;=60,I1376*1.25+3,IF(I1376&lt;=120,I1376*1.25+4,I1376*1.25+5))),
""))),2)</f>
        <v>1467.21</v>
      </c>
      <c r="I1376" s="9">
        <f>($K$2+0.02)*Tabla1[[#This Row],[PRECIO $]]*1.18</f>
        <v>1268.8775999999998</v>
      </c>
      <c r="J1376" s="7">
        <f>+Tabla1[[#This Row],[PRECIO EN SOLES]]-Tabla1[[#This Row],[PC]]</f>
        <v>198.33240000000023</v>
      </c>
      <c r="K1376" s="15"/>
      <c r="L1376" s="15" t="str">
        <f>IF(
OR(
ISNUMBER(SEARCH("BACKPACK",B1378)),
ISNUMBER(SEARCH("MOCHILA",B1378)),
ISNUMBER(SEARCH("FUNDA",B1378)),
ISNUMBER(SEARCH("ESTUCHE",B1378)),
ISNUMBER(SEARCH("BOOK COVER",B1378)),
ISNUMBER(SEARCH("KEYBOARD PARA TABLET",B1378)),
ISNUMBER(SEARCH("FLIP TABLET",B1378)),
ISNUMBER(SEARCH("CASE FOR TABLET",B1378)),
ISNUMBER(SEARCH("CABLE",B1378)),
ISNUMBER(SEARCH("ADAPTADOR",B1378)),
ISNUMBER(SEARCH("HUB",B1378)),
ISNUMBER(SEARCH("DOCK",B1378)),
ISNUMBER(SEARCH("MOUSE PAD",B1378)),
ISNUMBER(SEARCH("MOUSEPAD",B1378)),
ISNUMBER(SEARCH("SOPORTE",B1378)),
ISNUMBER(SEARCH("STAND",B1378)),
ISNUMBER(SEARCH("TRAVEL ADAPTER",B1378)),
ISNUMBER(SEARCH("RJ45",B1378)),
ISNUMBER(SEARCH("USB-C",B1378)),
ISNUMBER(SEARCH("USB WIFI",B1378)),
ISNUMBER(SEARCH("POWERBANK",B1378)),
ISNUMBER(SEARCH("CARGADOR",B1378)),
ISNUMBER(SEARCH("COOLER PARA NB",B1378)),
ISNUMBER(SEARCH("SOPORTE PARA NB",B1378)),
ISNUMBER(SEARCH("WEBCAM",B1378)),
ISNUMBER(SEARCH("WEB CAM",B1378)),
ISNUMBER(SEARCH("MOUSE",B1378)),
ISNUMBER(SEARCH("TECLADO",B1378))
),
"COMPLEMENTO",
IF(
OR(
LEFT(A1378,2)="NB",
LEFT(A1378,2)="PC",
LEFT(A1378,2)="WS",
LEFT(A1378,2)="TB",
LEFT(A1378,3)="CEL",
LEFT(A1378,3)="MON",
LEFT(A1378,3)="PRE",
LEFT(A1378,3)="PRH",
ISNUMBER(SEARCH("NOTEBOOK",B1378)),
ISNUMBER(SEARCH("LAPTOP",B1378)),
ISNUMBER(SEARCH("MONITOR",B1378)),
ISNUMBER(SEARCH("TABLET",B1378)),
ISNUMBER(SEARCH("SMARTPH",B1378)),
ISNUMBER(SEARCH("IMPRESORA",B1378)),
ISNUMBER(SEARCH("MULTIFUNCIONAL",B1378)),
ISNUMBER(SEARCH("AIO",B1378))
),
"GANCHO",
"NORMAL"
)
)</f>
        <v>NORMAL</v>
      </c>
    </row>
    <row r="1377" spans="1:12" x14ac:dyDescent="0.25">
      <c r="A1377" s="3" t="s">
        <v>2298</v>
      </c>
      <c r="B1377" s="3" t="s">
        <v>2299</v>
      </c>
      <c r="C1377" s="1">
        <v>1</v>
      </c>
      <c r="D1377" s="1">
        <v>288</v>
      </c>
      <c r="E1377" s="1" t="s">
        <v>2297</v>
      </c>
      <c r="F1377" s="1" t="s">
        <v>3905</v>
      </c>
      <c r="G1377" s="3"/>
      <c r="H1377" s="11">
        <f>ROUND(
IF(L1375="GANCHO",
   IF(I1377&lt;=50,I1377*1.1+4,IF(I1377&lt;=120,I1377*1.1+7,IF(I1377&lt;=250,I1377*1.1+11,I1377*1.1+19))),
IF(L1375="NORMAL",
   IF(I1377&lt;=30,I1377*1.15+2,IF(I1377&lt;=80,I1377*1.15+4,IF(I1377&lt;=150,I1377*1.15+6,I1377*1.15+8))),
IF(L1375="COMPLEMENTO",
   IF(I1377&lt;=25,I1377*1.25+1.5,IF(I1377&lt;=60,I1377*1.25+3,IF(I1377&lt;=120,I1377*1.25+4,I1377*1.25+5))),
""))),2)</f>
        <v>1368.04</v>
      </c>
      <c r="I1377" s="9">
        <f>($K$2+0.02)*Tabla1[[#This Row],[PRECIO $]]*1.18</f>
        <v>1182.6432</v>
      </c>
      <c r="J1377" s="7">
        <f>+Tabla1[[#This Row],[PRECIO EN SOLES]]-Tabla1[[#This Row],[PC]]</f>
        <v>185.39679999999998</v>
      </c>
      <c r="K1377" s="15"/>
      <c r="L1377" s="15" t="str">
        <f>IF(
OR(
ISNUMBER(SEARCH("BACKPACK",B1379)),
ISNUMBER(SEARCH("MOCHILA",B1379)),
ISNUMBER(SEARCH("FUNDA",B1379)),
ISNUMBER(SEARCH("ESTUCHE",B1379)),
ISNUMBER(SEARCH("BOOK COVER",B1379)),
ISNUMBER(SEARCH("KEYBOARD PARA TABLET",B1379)),
ISNUMBER(SEARCH("FLIP TABLET",B1379)),
ISNUMBER(SEARCH("CASE FOR TABLET",B1379)),
ISNUMBER(SEARCH("CABLE",B1379)),
ISNUMBER(SEARCH("ADAPTADOR",B1379)),
ISNUMBER(SEARCH("HUB",B1379)),
ISNUMBER(SEARCH("DOCK",B1379)),
ISNUMBER(SEARCH("MOUSE PAD",B1379)),
ISNUMBER(SEARCH("MOUSEPAD",B1379)),
ISNUMBER(SEARCH("SOPORTE",B1379)),
ISNUMBER(SEARCH("STAND",B1379)),
ISNUMBER(SEARCH("TRAVEL ADAPTER",B1379)),
ISNUMBER(SEARCH("RJ45",B1379)),
ISNUMBER(SEARCH("USB-C",B1379)),
ISNUMBER(SEARCH("USB WIFI",B1379)),
ISNUMBER(SEARCH("POWERBANK",B1379)),
ISNUMBER(SEARCH("CARGADOR",B1379)),
ISNUMBER(SEARCH("COOLER PARA NB",B1379)),
ISNUMBER(SEARCH("SOPORTE PARA NB",B1379)),
ISNUMBER(SEARCH("WEBCAM",B1379)),
ISNUMBER(SEARCH("WEB CAM",B1379)),
ISNUMBER(SEARCH("MOUSE",B1379)),
ISNUMBER(SEARCH("TECLADO",B1379))
),
"COMPLEMENTO",
IF(
OR(
LEFT(A1379,2)="NB",
LEFT(A1379,2)="PC",
LEFT(A1379,2)="WS",
LEFT(A1379,2)="TB",
LEFT(A1379,3)="CEL",
LEFT(A1379,3)="MON",
LEFT(A1379,3)="PRE",
LEFT(A1379,3)="PRH",
ISNUMBER(SEARCH("NOTEBOOK",B1379)),
ISNUMBER(SEARCH("LAPTOP",B1379)),
ISNUMBER(SEARCH("MONITOR",B1379)),
ISNUMBER(SEARCH("TABLET",B1379)),
ISNUMBER(SEARCH("SMARTPH",B1379)),
ISNUMBER(SEARCH("IMPRESORA",B1379)),
ISNUMBER(SEARCH("MULTIFUNCIONAL",B1379)),
ISNUMBER(SEARCH("AIO",B1379))
),
"GANCHO",
"NORMAL"
)
)</f>
        <v>NORMAL</v>
      </c>
    </row>
    <row r="1378" spans="1:12" x14ac:dyDescent="0.25">
      <c r="A1378" s="3" t="s">
        <v>2300</v>
      </c>
      <c r="B1378" s="3" t="s">
        <v>2301</v>
      </c>
      <c r="C1378" s="1">
        <v>1</v>
      </c>
      <c r="D1378" s="1">
        <v>153</v>
      </c>
      <c r="E1378" s="1" t="s">
        <v>2297</v>
      </c>
      <c r="F1378" s="1" t="s">
        <v>3906</v>
      </c>
      <c r="G1378" s="3"/>
      <c r="H1378" s="11">
        <f>ROUND(
IF(L1376="GANCHO",
   IF(I1378&lt;=50,I1378*1.1+4,IF(I1378&lt;=120,I1378*1.1+7,IF(I1378&lt;=250,I1378*1.1+11,I1378*1.1+19))),
IF(L1376="NORMAL",
   IF(I1378&lt;=30,I1378*1.15+2,IF(I1378&lt;=80,I1378*1.15+4,IF(I1378&lt;=150,I1378*1.15+6,I1378*1.15+8))),
IF(L1376="COMPLEMENTO",
   IF(I1378&lt;=25,I1378*1.25+1.5,IF(I1378&lt;=60,I1378*1.25+3,IF(I1378&lt;=120,I1378*1.25+4,I1378*1.25+5))),
""))),2)</f>
        <v>730.52</v>
      </c>
      <c r="I1378" s="9">
        <f>($K$2+0.02)*Tabla1[[#This Row],[PRECIO $]]*1.18</f>
        <v>628.27919999999995</v>
      </c>
      <c r="J1378" s="7">
        <f>+Tabla1[[#This Row],[PRECIO EN SOLES]]-Tabla1[[#This Row],[PC]]</f>
        <v>102.24080000000004</v>
      </c>
      <c r="K1378" s="15"/>
      <c r="L1378" s="15" t="str">
        <f>IF(
OR(
ISNUMBER(SEARCH("BACKPACK",B1380)),
ISNUMBER(SEARCH("MOCHILA",B1380)),
ISNUMBER(SEARCH("FUNDA",B1380)),
ISNUMBER(SEARCH("ESTUCHE",B1380)),
ISNUMBER(SEARCH("BOOK COVER",B1380)),
ISNUMBER(SEARCH("KEYBOARD PARA TABLET",B1380)),
ISNUMBER(SEARCH("FLIP TABLET",B1380)),
ISNUMBER(SEARCH("CASE FOR TABLET",B1380)),
ISNUMBER(SEARCH("CABLE",B1380)),
ISNUMBER(SEARCH("ADAPTADOR",B1380)),
ISNUMBER(SEARCH("HUB",B1380)),
ISNUMBER(SEARCH("DOCK",B1380)),
ISNUMBER(SEARCH("MOUSE PAD",B1380)),
ISNUMBER(SEARCH("MOUSEPAD",B1380)),
ISNUMBER(SEARCH("SOPORTE",B1380)),
ISNUMBER(SEARCH("STAND",B1380)),
ISNUMBER(SEARCH("TRAVEL ADAPTER",B1380)),
ISNUMBER(SEARCH("RJ45",B1380)),
ISNUMBER(SEARCH("USB-C",B1380)),
ISNUMBER(SEARCH("USB WIFI",B1380)),
ISNUMBER(SEARCH("POWERBANK",B1380)),
ISNUMBER(SEARCH("CARGADOR",B1380)),
ISNUMBER(SEARCH("COOLER PARA NB",B1380)),
ISNUMBER(SEARCH("SOPORTE PARA NB",B1380)),
ISNUMBER(SEARCH("WEBCAM",B1380)),
ISNUMBER(SEARCH("WEB CAM",B1380)),
ISNUMBER(SEARCH("MOUSE",B1380)),
ISNUMBER(SEARCH("TECLADO",B1380))
),
"COMPLEMENTO",
IF(
OR(
LEFT(A1380,2)="NB",
LEFT(A1380,2)="PC",
LEFT(A1380,2)="WS",
LEFT(A1380,2)="TB",
LEFT(A1380,3)="CEL",
LEFT(A1380,3)="MON",
LEFT(A1380,3)="PRE",
LEFT(A1380,3)="PRH",
ISNUMBER(SEARCH("NOTEBOOK",B1380)),
ISNUMBER(SEARCH("LAPTOP",B1380)),
ISNUMBER(SEARCH("MONITOR",B1380)),
ISNUMBER(SEARCH("TABLET",B1380)),
ISNUMBER(SEARCH("SMARTPH",B1380)),
ISNUMBER(SEARCH("IMPRESORA",B1380)),
ISNUMBER(SEARCH("MULTIFUNCIONAL",B1380)),
ISNUMBER(SEARCH("AIO",B1380))
),
"GANCHO",
"NORMAL"
)
)</f>
        <v>NORMAL</v>
      </c>
    </row>
    <row r="1379" spans="1:12" x14ac:dyDescent="0.25">
      <c r="A1379" s="3" t="s">
        <v>2302</v>
      </c>
      <c r="B1379" s="3" t="s">
        <v>2303</v>
      </c>
      <c r="C1379" s="1">
        <v>1</v>
      </c>
      <c r="D1379" s="1">
        <v>676</v>
      </c>
      <c r="E1379" s="1" t="s">
        <v>2294</v>
      </c>
      <c r="F1379" s="1" t="s">
        <v>3907</v>
      </c>
      <c r="G1379" s="3"/>
      <c r="H1379" s="11">
        <f>ROUND(
IF(L1377="GANCHO",
   IF(I1379&lt;=50,I1379*1.1+4,IF(I1379&lt;=120,I1379*1.1+7,IF(I1379&lt;=250,I1379*1.1+11,I1379*1.1+19))),
IF(L1377="NORMAL",
   IF(I1379&lt;=30,I1379*1.15+2,IF(I1379&lt;=80,I1379*1.15+4,IF(I1379&lt;=150,I1379*1.15+6,I1379*1.15+8))),
IF(L1377="COMPLEMENTO",
   IF(I1379&lt;=25,I1379*1.25+1.5,IF(I1379&lt;=60,I1379*1.25+3,IF(I1379&lt;=120,I1379*1.25+4,I1379*1.25+5))),
""))),2)</f>
        <v>3200.32</v>
      </c>
      <c r="I1379" s="9">
        <f>($K$2+0.02)*Tabla1[[#This Row],[PRECIO $]]*1.18</f>
        <v>2775.9263999999998</v>
      </c>
      <c r="J1379" s="7">
        <f>+Tabla1[[#This Row],[PRECIO EN SOLES]]-Tabla1[[#This Row],[PC]]</f>
        <v>424.39360000000033</v>
      </c>
      <c r="K1379" s="15"/>
      <c r="L1379" s="15" t="str">
        <f>IF(
OR(
ISNUMBER(SEARCH("BACKPACK",B1381)),
ISNUMBER(SEARCH("MOCHILA",B1381)),
ISNUMBER(SEARCH("FUNDA",B1381)),
ISNUMBER(SEARCH("ESTUCHE",B1381)),
ISNUMBER(SEARCH("BOOK COVER",B1381)),
ISNUMBER(SEARCH("KEYBOARD PARA TABLET",B1381)),
ISNUMBER(SEARCH("FLIP TABLET",B1381)),
ISNUMBER(SEARCH("CASE FOR TABLET",B1381)),
ISNUMBER(SEARCH("CABLE",B1381)),
ISNUMBER(SEARCH("ADAPTADOR",B1381)),
ISNUMBER(SEARCH("HUB",B1381)),
ISNUMBER(SEARCH("DOCK",B1381)),
ISNUMBER(SEARCH("MOUSE PAD",B1381)),
ISNUMBER(SEARCH("MOUSEPAD",B1381)),
ISNUMBER(SEARCH("SOPORTE",B1381)),
ISNUMBER(SEARCH("STAND",B1381)),
ISNUMBER(SEARCH("TRAVEL ADAPTER",B1381)),
ISNUMBER(SEARCH("RJ45",B1381)),
ISNUMBER(SEARCH("USB-C",B1381)),
ISNUMBER(SEARCH("USB WIFI",B1381)),
ISNUMBER(SEARCH("POWERBANK",B1381)),
ISNUMBER(SEARCH("CARGADOR",B1381)),
ISNUMBER(SEARCH("COOLER PARA NB",B1381)),
ISNUMBER(SEARCH("SOPORTE PARA NB",B1381)),
ISNUMBER(SEARCH("WEBCAM",B1381)),
ISNUMBER(SEARCH("WEB CAM",B1381)),
ISNUMBER(SEARCH("MOUSE",B1381)),
ISNUMBER(SEARCH("TECLADO",B1381))
),
"COMPLEMENTO",
IF(
OR(
LEFT(A1381,2)="NB",
LEFT(A1381,2)="PC",
LEFT(A1381,2)="WS",
LEFT(A1381,2)="TB",
LEFT(A1381,3)="CEL",
LEFT(A1381,3)="MON",
LEFT(A1381,3)="PRE",
LEFT(A1381,3)="PRH",
ISNUMBER(SEARCH("NOTEBOOK",B1381)),
ISNUMBER(SEARCH("LAPTOP",B1381)),
ISNUMBER(SEARCH("MONITOR",B1381)),
ISNUMBER(SEARCH("TABLET",B1381)),
ISNUMBER(SEARCH("SMARTPH",B1381)),
ISNUMBER(SEARCH("IMPRESORA",B1381)),
ISNUMBER(SEARCH("MULTIFUNCIONAL",B1381)),
ISNUMBER(SEARCH("AIO",B1381))
),
"GANCHO",
"NORMAL"
)
)</f>
        <v>NORMAL</v>
      </c>
    </row>
    <row r="1380" spans="1:12" x14ac:dyDescent="0.25">
      <c r="A1380" s="3" t="s">
        <v>2304</v>
      </c>
      <c r="B1380" s="3" t="s">
        <v>2305</v>
      </c>
      <c r="C1380" s="1">
        <v>20</v>
      </c>
      <c r="D1380" s="1">
        <v>97</v>
      </c>
      <c r="E1380" s="1" t="s">
        <v>2281</v>
      </c>
      <c r="F1380" s="1" t="s">
        <v>3908</v>
      </c>
      <c r="G1380" s="3"/>
      <c r="H1380" s="11">
        <f>ROUND(
IF(L1378="GANCHO",
   IF(I1380&lt;=50,I1380*1.1+4,IF(I1380&lt;=120,I1380*1.1+7,IF(I1380&lt;=250,I1380*1.1+11,I1380*1.1+19))),
IF(L1378="NORMAL",
   IF(I1380&lt;=30,I1380*1.15+2,IF(I1380&lt;=80,I1380*1.15+4,IF(I1380&lt;=150,I1380*1.15+6,I1380*1.15+8))),
IF(L1378="COMPLEMENTO",
   IF(I1380&lt;=25,I1380*1.25+1.5,IF(I1380&lt;=60,I1380*1.25+3,IF(I1380&lt;=120,I1380*1.25+4,I1380*1.25+5))),
""))),2)</f>
        <v>466.07</v>
      </c>
      <c r="I1380" s="9">
        <f>($K$2+0.02)*Tabla1[[#This Row],[PRECIO $]]*1.18</f>
        <v>398.32079999999996</v>
      </c>
      <c r="J1380" s="7">
        <f>+Tabla1[[#This Row],[PRECIO EN SOLES]]-Tabla1[[#This Row],[PC]]</f>
        <v>67.74920000000003</v>
      </c>
      <c r="K1380" s="15"/>
      <c r="L1380" s="15" t="str">
        <f>IF(
OR(
ISNUMBER(SEARCH("BACKPACK",B1382)),
ISNUMBER(SEARCH("MOCHILA",B1382)),
ISNUMBER(SEARCH("FUNDA",B1382)),
ISNUMBER(SEARCH("ESTUCHE",B1382)),
ISNUMBER(SEARCH("BOOK COVER",B1382)),
ISNUMBER(SEARCH("KEYBOARD PARA TABLET",B1382)),
ISNUMBER(SEARCH("FLIP TABLET",B1382)),
ISNUMBER(SEARCH("CASE FOR TABLET",B1382)),
ISNUMBER(SEARCH("CABLE",B1382)),
ISNUMBER(SEARCH("ADAPTADOR",B1382)),
ISNUMBER(SEARCH("HUB",B1382)),
ISNUMBER(SEARCH("DOCK",B1382)),
ISNUMBER(SEARCH("MOUSE PAD",B1382)),
ISNUMBER(SEARCH("MOUSEPAD",B1382)),
ISNUMBER(SEARCH("SOPORTE",B1382)),
ISNUMBER(SEARCH("STAND",B1382)),
ISNUMBER(SEARCH("TRAVEL ADAPTER",B1382)),
ISNUMBER(SEARCH("RJ45",B1382)),
ISNUMBER(SEARCH("USB-C",B1382)),
ISNUMBER(SEARCH("USB WIFI",B1382)),
ISNUMBER(SEARCH("POWERBANK",B1382)),
ISNUMBER(SEARCH("CARGADOR",B1382)),
ISNUMBER(SEARCH("COOLER PARA NB",B1382)),
ISNUMBER(SEARCH("SOPORTE PARA NB",B1382)),
ISNUMBER(SEARCH("WEBCAM",B1382)),
ISNUMBER(SEARCH("WEB CAM",B1382)),
ISNUMBER(SEARCH("MOUSE",B1382)),
ISNUMBER(SEARCH("TECLADO",B1382))
),
"COMPLEMENTO",
IF(
OR(
LEFT(A1382,2)="NB",
LEFT(A1382,2)="PC",
LEFT(A1382,2)="WS",
LEFT(A1382,2)="TB",
LEFT(A1382,3)="CEL",
LEFT(A1382,3)="MON",
LEFT(A1382,3)="PRE",
LEFT(A1382,3)="PRH",
ISNUMBER(SEARCH("NOTEBOOK",B1382)),
ISNUMBER(SEARCH("LAPTOP",B1382)),
ISNUMBER(SEARCH("MONITOR",B1382)),
ISNUMBER(SEARCH("TABLET",B1382)),
ISNUMBER(SEARCH("SMARTPH",B1382)),
ISNUMBER(SEARCH("IMPRESORA",B1382)),
ISNUMBER(SEARCH("MULTIFUNCIONAL",B1382)),
ISNUMBER(SEARCH("AIO",B1382))
),
"GANCHO",
"NORMAL"
)
)</f>
        <v>NORMAL</v>
      </c>
    </row>
    <row r="1381" spans="1:12" x14ac:dyDescent="0.25">
      <c r="A1381" s="3" t="s">
        <v>2306</v>
      </c>
      <c r="B1381" s="3" t="s">
        <v>2307</v>
      </c>
      <c r="C1381" s="1">
        <v>20</v>
      </c>
      <c r="D1381" s="1">
        <v>1380</v>
      </c>
      <c r="E1381" s="1" t="s">
        <v>2281</v>
      </c>
      <c r="F1381" s="1" t="s">
        <v>3909</v>
      </c>
      <c r="G1381" s="3"/>
      <c r="H1381" s="11">
        <f>ROUND(
IF(L1379="GANCHO",
   IF(I1381&lt;=50,I1381*1.1+4,IF(I1381&lt;=120,I1381*1.1+7,IF(I1381&lt;=250,I1381*1.1+11,I1381*1.1+19))),
IF(L1379="NORMAL",
   IF(I1381&lt;=30,I1381*1.15+2,IF(I1381&lt;=80,I1381*1.15+4,IF(I1381&lt;=150,I1381*1.15+6,I1381*1.15+8))),
IF(L1379="COMPLEMENTO",
   IF(I1381&lt;=25,I1381*1.25+1.5,IF(I1381&lt;=60,I1381*1.25+3,IF(I1381&lt;=120,I1381*1.25+4,I1381*1.25+5))),
""))),2)</f>
        <v>6524.86</v>
      </c>
      <c r="I1381" s="9">
        <f>($K$2+0.02)*Tabla1[[#This Row],[PRECIO $]]*1.18</f>
        <v>5666.8319999999994</v>
      </c>
      <c r="J1381" s="7">
        <f>+Tabla1[[#This Row],[PRECIO EN SOLES]]-Tabla1[[#This Row],[PC]]</f>
        <v>858.02800000000025</v>
      </c>
      <c r="K1381" s="15"/>
      <c r="L1381" s="15" t="str">
        <f>IF(
OR(
ISNUMBER(SEARCH("BACKPACK",B1383)),
ISNUMBER(SEARCH("MOCHILA",B1383)),
ISNUMBER(SEARCH("FUNDA",B1383)),
ISNUMBER(SEARCH("ESTUCHE",B1383)),
ISNUMBER(SEARCH("BOOK COVER",B1383)),
ISNUMBER(SEARCH("KEYBOARD PARA TABLET",B1383)),
ISNUMBER(SEARCH("FLIP TABLET",B1383)),
ISNUMBER(SEARCH("CASE FOR TABLET",B1383)),
ISNUMBER(SEARCH("CABLE",B1383)),
ISNUMBER(SEARCH("ADAPTADOR",B1383)),
ISNUMBER(SEARCH("HUB",B1383)),
ISNUMBER(SEARCH("DOCK",B1383)),
ISNUMBER(SEARCH("MOUSE PAD",B1383)),
ISNUMBER(SEARCH("MOUSEPAD",B1383)),
ISNUMBER(SEARCH("SOPORTE",B1383)),
ISNUMBER(SEARCH("STAND",B1383)),
ISNUMBER(SEARCH("TRAVEL ADAPTER",B1383)),
ISNUMBER(SEARCH("RJ45",B1383)),
ISNUMBER(SEARCH("USB-C",B1383)),
ISNUMBER(SEARCH("USB WIFI",B1383)),
ISNUMBER(SEARCH("POWERBANK",B1383)),
ISNUMBER(SEARCH("CARGADOR",B1383)),
ISNUMBER(SEARCH("COOLER PARA NB",B1383)),
ISNUMBER(SEARCH("SOPORTE PARA NB",B1383)),
ISNUMBER(SEARCH("WEBCAM",B1383)),
ISNUMBER(SEARCH("WEB CAM",B1383)),
ISNUMBER(SEARCH("MOUSE",B1383)),
ISNUMBER(SEARCH("TECLADO",B1383))
),
"COMPLEMENTO",
IF(
OR(
LEFT(A1383,2)="NB",
LEFT(A1383,2)="PC",
LEFT(A1383,2)="WS",
LEFT(A1383,2)="TB",
LEFT(A1383,3)="CEL",
LEFT(A1383,3)="MON",
LEFT(A1383,3)="PRE",
LEFT(A1383,3)="PRH",
ISNUMBER(SEARCH("NOTEBOOK",B1383)),
ISNUMBER(SEARCH("LAPTOP",B1383)),
ISNUMBER(SEARCH("MONITOR",B1383)),
ISNUMBER(SEARCH("TABLET",B1383)),
ISNUMBER(SEARCH("SMARTPH",B1383)),
ISNUMBER(SEARCH("IMPRESORA",B1383)),
ISNUMBER(SEARCH("MULTIFUNCIONAL",B1383)),
ISNUMBER(SEARCH("AIO",B1383))
),
"GANCHO",
"NORMAL"
)
)</f>
        <v>NORMAL</v>
      </c>
    </row>
    <row r="1382" spans="1:12" x14ac:dyDescent="0.25">
      <c r="A1382" s="3" t="s">
        <v>2308</v>
      </c>
      <c r="B1382" s="3" t="s">
        <v>2309</v>
      </c>
      <c r="C1382" s="1">
        <v>20</v>
      </c>
      <c r="D1382" s="1">
        <v>10</v>
      </c>
      <c r="E1382" s="1" t="s">
        <v>2281</v>
      </c>
      <c r="F1382" s="1" t="s">
        <v>3910</v>
      </c>
      <c r="G1382" s="3"/>
      <c r="H1382" s="11">
        <f>ROUND(
IF(L1380="GANCHO",
   IF(I1382&lt;=50,I1382*1.1+4,IF(I1382&lt;=120,I1382*1.1+7,IF(I1382&lt;=250,I1382*1.1+11,I1382*1.1+19))),
IF(L1380="NORMAL",
   IF(I1382&lt;=30,I1382*1.15+2,IF(I1382&lt;=80,I1382*1.15+4,IF(I1382&lt;=150,I1382*1.15+6,I1382*1.15+8))),
IF(L1380="COMPLEMENTO",
   IF(I1382&lt;=25,I1382*1.25+1.5,IF(I1382&lt;=60,I1382*1.25+3,IF(I1382&lt;=120,I1382*1.25+4,I1382*1.25+5))),
""))),2)</f>
        <v>51.22</v>
      </c>
      <c r="I1382" s="9">
        <f>($K$2+0.02)*Tabla1[[#This Row],[PRECIO $]]*1.18</f>
        <v>41.063999999999993</v>
      </c>
      <c r="J1382" s="7">
        <f>+Tabla1[[#This Row],[PRECIO EN SOLES]]-Tabla1[[#This Row],[PC]]</f>
        <v>10.156000000000006</v>
      </c>
      <c r="K1382" s="15"/>
      <c r="L1382" s="15" t="str">
        <f>IF(
OR(
ISNUMBER(SEARCH("BACKPACK",B1384)),
ISNUMBER(SEARCH("MOCHILA",B1384)),
ISNUMBER(SEARCH("FUNDA",B1384)),
ISNUMBER(SEARCH("ESTUCHE",B1384)),
ISNUMBER(SEARCH("BOOK COVER",B1384)),
ISNUMBER(SEARCH("KEYBOARD PARA TABLET",B1384)),
ISNUMBER(SEARCH("FLIP TABLET",B1384)),
ISNUMBER(SEARCH("CASE FOR TABLET",B1384)),
ISNUMBER(SEARCH("CABLE",B1384)),
ISNUMBER(SEARCH("ADAPTADOR",B1384)),
ISNUMBER(SEARCH("HUB",B1384)),
ISNUMBER(SEARCH("DOCK",B1384)),
ISNUMBER(SEARCH("MOUSE PAD",B1384)),
ISNUMBER(SEARCH("MOUSEPAD",B1384)),
ISNUMBER(SEARCH("SOPORTE",B1384)),
ISNUMBER(SEARCH("STAND",B1384)),
ISNUMBER(SEARCH("TRAVEL ADAPTER",B1384)),
ISNUMBER(SEARCH("RJ45",B1384)),
ISNUMBER(SEARCH("USB-C",B1384)),
ISNUMBER(SEARCH("USB WIFI",B1384)),
ISNUMBER(SEARCH("POWERBANK",B1384)),
ISNUMBER(SEARCH("CARGADOR",B1384)),
ISNUMBER(SEARCH("COOLER PARA NB",B1384)),
ISNUMBER(SEARCH("SOPORTE PARA NB",B1384)),
ISNUMBER(SEARCH("WEBCAM",B1384)),
ISNUMBER(SEARCH("WEB CAM",B1384)),
ISNUMBER(SEARCH("MOUSE",B1384)),
ISNUMBER(SEARCH("TECLADO",B1384))
),
"COMPLEMENTO",
IF(
OR(
LEFT(A1384,2)="NB",
LEFT(A1384,2)="PC",
LEFT(A1384,2)="WS",
LEFT(A1384,2)="TB",
LEFT(A1384,3)="CEL",
LEFT(A1384,3)="MON",
LEFT(A1384,3)="PRE",
LEFT(A1384,3)="PRH",
ISNUMBER(SEARCH("NOTEBOOK",B1384)),
ISNUMBER(SEARCH("LAPTOP",B1384)),
ISNUMBER(SEARCH("MONITOR",B1384)),
ISNUMBER(SEARCH("TABLET",B1384)),
ISNUMBER(SEARCH("SMARTPH",B1384)),
ISNUMBER(SEARCH("IMPRESORA",B1384)),
ISNUMBER(SEARCH("MULTIFUNCIONAL",B1384)),
ISNUMBER(SEARCH("AIO",B1384))
),
"GANCHO",
"NORMAL"
)
)</f>
        <v>NORMAL</v>
      </c>
    </row>
    <row r="1383" spans="1:12" x14ac:dyDescent="0.25">
      <c r="A1383" s="3" t="s">
        <v>2310</v>
      </c>
      <c r="B1383" s="3" t="s">
        <v>2311</v>
      </c>
      <c r="C1383" s="1">
        <v>1</v>
      </c>
      <c r="D1383" s="1">
        <v>8176.17</v>
      </c>
      <c r="E1383" s="1" t="s">
        <v>1102</v>
      </c>
      <c r="F1383" s="1" t="s">
        <v>3911</v>
      </c>
      <c r="G1383" s="3"/>
      <c r="H1383" s="11">
        <f>ROUND(
IF(L1381="GANCHO",
   IF(I1383&lt;=50,I1383*1.1+4,IF(I1383&lt;=120,I1383*1.1+7,IF(I1383&lt;=250,I1383*1.1+11,I1383*1.1+19))),
IF(L1381="NORMAL",
   IF(I1383&lt;=30,I1383*1.15+2,IF(I1383&lt;=80,I1383*1.15+4,IF(I1383&lt;=150,I1383*1.15+6,I1383*1.15+8))),
IF(L1381="COMPLEMENTO",
   IF(I1383&lt;=25,I1383*1.25+1.5,IF(I1383&lt;=60,I1383*1.25+3,IF(I1383&lt;=120,I1383*1.25+4,I1383*1.25+5))),
""))),2)</f>
        <v>38618.82</v>
      </c>
      <c r="I1383" s="9">
        <f>($K$2+0.02)*Tabla1[[#This Row],[PRECIO $]]*1.18</f>
        <v>33574.624487999994</v>
      </c>
      <c r="J1383" s="7">
        <f>+Tabla1[[#This Row],[PRECIO EN SOLES]]-Tabla1[[#This Row],[PC]]</f>
        <v>5044.1955120000057</v>
      </c>
      <c r="K1383" s="15"/>
      <c r="L1383" s="15" t="str">
        <f>IF(
OR(
ISNUMBER(SEARCH("BACKPACK",B1385)),
ISNUMBER(SEARCH("MOCHILA",B1385)),
ISNUMBER(SEARCH("FUNDA",B1385)),
ISNUMBER(SEARCH("ESTUCHE",B1385)),
ISNUMBER(SEARCH("BOOK COVER",B1385)),
ISNUMBER(SEARCH("KEYBOARD PARA TABLET",B1385)),
ISNUMBER(SEARCH("FLIP TABLET",B1385)),
ISNUMBER(SEARCH("CASE FOR TABLET",B1385)),
ISNUMBER(SEARCH("CABLE",B1385)),
ISNUMBER(SEARCH("ADAPTADOR",B1385)),
ISNUMBER(SEARCH("HUB",B1385)),
ISNUMBER(SEARCH("DOCK",B1385)),
ISNUMBER(SEARCH("MOUSE PAD",B1385)),
ISNUMBER(SEARCH("MOUSEPAD",B1385)),
ISNUMBER(SEARCH("SOPORTE",B1385)),
ISNUMBER(SEARCH("STAND",B1385)),
ISNUMBER(SEARCH("TRAVEL ADAPTER",B1385)),
ISNUMBER(SEARCH("RJ45",B1385)),
ISNUMBER(SEARCH("USB-C",B1385)),
ISNUMBER(SEARCH("USB WIFI",B1385)),
ISNUMBER(SEARCH("POWERBANK",B1385)),
ISNUMBER(SEARCH("CARGADOR",B1385)),
ISNUMBER(SEARCH("COOLER PARA NB",B1385)),
ISNUMBER(SEARCH("SOPORTE PARA NB",B1385)),
ISNUMBER(SEARCH("WEBCAM",B1385)),
ISNUMBER(SEARCH("WEB CAM",B1385)),
ISNUMBER(SEARCH("MOUSE",B1385)),
ISNUMBER(SEARCH("TECLADO",B1385))
),
"COMPLEMENTO",
IF(
OR(
LEFT(A1385,2)="NB",
LEFT(A1385,2)="PC",
LEFT(A1385,2)="WS",
LEFT(A1385,2)="TB",
LEFT(A1385,3)="CEL",
LEFT(A1385,3)="MON",
LEFT(A1385,3)="PRE",
LEFT(A1385,3)="PRH",
ISNUMBER(SEARCH("NOTEBOOK",B1385)),
ISNUMBER(SEARCH("LAPTOP",B1385)),
ISNUMBER(SEARCH("MONITOR",B1385)),
ISNUMBER(SEARCH("TABLET",B1385)),
ISNUMBER(SEARCH("SMARTPH",B1385)),
ISNUMBER(SEARCH("IMPRESORA",B1385)),
ISNUMBER(SEARCH("MULTIFUNCIONAL",B1385)),
ISNUMBER(SEARCH("AIO",B1385))
),
"GANCHO",
"NORMAL"
)
)</f>
        <v>NORMAL</v>
      </c>
    </row>
    <row r="1384" spans="1:12" x14ac:dyDescent="0.25">
      <c r="A1384" s="3" t="s">
        <v>6129</v>
      </c>
      <c r="B1384" s="3" t="s">
        <v>6130</v>
      </c>
      <c r="C1384" s="1">
        <v>1</v>
      </c>
      <c r="D1384" s="1">
        <v>5178.72</v>
      </c>
      <c r="E1384" s="1" t="s">
        <v>1102</v>
      </c>
      <c r="F1384" s="1" t="s">
        <v>6131</v>
      </c>
      <c r="G1384" s="3"/>
      <c r="H1384" s="11">
        <f>ROUND(
IF(L1382="GANCHO",
   IF(I1384&lt;=50,I1384*1.1+4,IF(I1384&lt;=120,I1384*1.1+7,IF(I1384&lt;=250,I1384*1.1+11,I1384*1.1+19))),
IF(L1382="NORMAL",
   IF(I1384&lt;=30,I1384*1.15+2,IF(I1384&lt;=80,I1384*1.15+4,IF(I1384&lt;=150,I1384*1.15+6,I1384*1.15+8))),
IF(L1382="COMPLEMENTO",
   IF(I1384&lt;=25,I1384*1.25+1.5,IF(I1384&lt;=60,I1384*1.25+3,IF(I1384&lt;=120,I1384*1.25+4,I1384*1.25+5))),
""))),2)</f>
        <v>24463.78</v>
      </c>
      <c r="I1384" s="9">
        <f>($K$2+0.02)*Tabla1[[#This Row],[PRECIO $]]*1.18</f>
        <v>21265.895807999997</v>
      </c>
      <c r="J1384" s="7">
        <f>+Tabla1[[#This Row],[PRECIO EN SOLES]]-Tabla1[[#This Row],[PC]]</f>
        <v>3197.8841920000013</v>
      </c>
      <c r="K1384" s="15"/>
      <c r="L1384" s="15" t="str">
        <f>IF(
OR(
ISNUMBER(SEARCH("BACKPACK",B1386)),
ISNUMBER(SEARCH("MOCHILA",B1386)),
ISNUMBER(SEARCH("FUNDA",B1386)),
ISNUMBER(SEARCH("ESTUCHE",B1386)),
ISNUMBER(SEARCH("BOOK COVER",B1386)),
ISNUMBER(SEARCH("KEYBOARD PARA TABLET",B1386)),
ISNUMBER(SEARCH("FLIP TABLET",B1386)),
ISNUMBER(SEARCH("CASE FOR TABLET",B1386)),
ISNUMBER(SEARCH("CABLE",B1386)),
ISNUMBER(SEARCH("ADAPTADOR",B1386)),
ISNUMBER(SEARCH("HUB",B1386)),
ISNUMBER(SEARCH("DOCK",B1386)),
ISNUMBER(SEARCH("MOUSE PAD",B1386)),
ISNUMBER(SEARCH("MOUSEPAD",B1386)),
ISNUMBER(SEARCH("SOPORTE",B1386)),
ISNUMBER(SEARCH("STAND",B1386)),
ISNUMBER(SEARCH("TRAVEL ADAPTER",B1386)),
ISNUMBER(SEARCH("RJ45",B1386)),
ISNUMBER(SEARCH("USB-C",B1386)),
ISNUMBER(SEARCH("USB WIFI",B1386)),
ISNUMBER(SEARCH("POWERBANK",B1386)),
ISNUMBER(SEARCH("CARGADOR",B1386)),
ISNUMBER(SEARCH("COOLER PARA NB",B1386)),
ISNUMBER(SEARCH("SOPORTE PARA NB",B1386)),
ISNUMBER(SEARCH("WEBCAM",B1386)),
ISNUMBER(SEARCH("WEB CAM",B1386)),
ISNUMBER(SEARCH("MOUSE",B1386)),
ISNUMBER(SEARCH("TECLADO",B1386))
),
"COMPLEMENTO",
IF(
OR(
LEFT(A1386,2)="NB",
LEFT(A1386,2)="PC",
LEFT(A1386,2)="WS",
LEFT(A1386,2)="TB",
LEFT(A1386,3)="CEL",
LEFT(A1386,3)="MON",
LEFT(A1386,3)="PRE",
LEFT(A1386,3)="PRH",
ISNUMBER(SEARCH("NOTEBOOK",B1386)),
ISNUMBER(SEARCH("LAPTOP",B1386)),
ISNUMBER(SEARCH("MONITOR",B1386)),
ISNUMBER(SEARCH("TABLET",B1386)),
ISNUMBER(SEARCH("SMARTPH",B1386)),
ISNUMBER(SEARCH("IMPRESORA",B1386)),
ISNUMBER(SEARCH("MULTIFUNCIONAL",B1386)),
ISNUMBER(SEARCH("AIO",B1386))
),
"GANCHO",
"NORMAL"
)
)</f>
        <v>NORMAL</v>
      </c>
    </row>
    <row r="1385" spans="1:12" x14ac:dyDescent="0.25">
      <c r="A1385" s="3" t="s">
        <v>5474</v>
      </c>
      <c r="B1385" s="3" t="s">
        <v>5475</v>
      </c>
      <c r="C1385" s="1">
        <v>8</v>
      </c>
      <c r="D1385" s="1">
        <v>3908.09</v>
      </c>
      <c r="E1385" s="1" t="s">
        <v>1102</v>
      </c>
      <c r="F1385" s="1" t="s">
        <v>5476</v>
      </c>
      <c r="G1385" s="3"/>
      <c r="H1385" s="11">
        <f>ROUND(
IF(L1383="GANCHO",
   IF(I1385&lt;=50,I1385*1.1+4,IF(I1385&lt;=120,I1385*1.1+7,IF(I1385&lt;=250,I1385*1.1+11,I1385*1.1+19))),
IF(L1383="NORMAL",
   IF(I1385&lt;=30,I1385*1.15+2,IF(I1385&lt;=80,I1385*1.15+4,IF(I1385&lt;=150,I1385*1.15+6,I1385*1.15+8))),
IF(L1383="COMPLEMENTO",
   IF(I1385&lt;=25,I1385*1.25+1.5,IF(I1385&lt;=60,I1385*1.25+3,IF(I1385&lt;=120,I1385*1.25+4,I1385*1.25+5))),
""))),2)</f>
        <v>18463.41</v>
      </c>
      <c r="I1385" s="9">
        <f>($K$2+0.02)*Tabla1[[#This Row],[PRECIO $]]*1.18</f>
        <v>16048.180775999999</v>
      </c>
      <c r="J1385" s="7">
        <f>+Tabla1[[#This Row],[PRECIO EN SOLES]]-Tabla1[[#This Row],[PC]]</f>
        <v>2415.2292240000006</v>
      </c>
      <c r="K1385" s="15"/>
      <c r="L1385" s="15" t="str">
        <f>IF(
OR(
ISNUMBER(SEARCH("BACKPACK",B1387)),
ISNUMBER(SEARCH("MOCHILA",B1387)),
ISNUMBER(SEARCH("FUNDA",B1387)),
ISNUMBER(SEARCH("ESTUCHE",B1387)),
ISNUMBER(SEARCH("BOOK COVER",B1387)),
ISNUMBER(SEARCH("KEYBOARD PARA TABLET",B1387)),
ISNUMBER(SEARCH("FLIP TABLET",B1387)),
ISNUMBER(SEARCH("CASE FOR TABLET",B1387)),
ISNUMBER(SEARCH("CABLE",B1387)),
ISNUMBER(SEARCH("ADAPTADOR",B1387)),
ISNUMBER(SEARCH("HUB",B1387)),
ISNUMBER(SEARCH("DOCK",B1387)),
ISNUMBER(SEARCH("MOUSE PAD",B1387)),
ISNUMBER(SEARCH("MOUSEPAD",B1387)),
ISNUMBER(SEARCH("SOPORTE",B1387)),
ISNUMBER(SEARCH("STAND",B1387)),
ISNUMBER(SEARCH("TRAVEL ADAPTER",B1387)),
ISNUMBER(SEARCH("RJ45",B1387)),
ISNUMBER(SEARCH("USB-C",B1387)),
ISNUMBER(SEARCH("USB WIFI",B1387)),
ISNUMBER(SEARCH("POWERBANK",B1387)),
ISNUMBER(SEARCH("CARGADOR",B1387)),
ISNUMBER(SEARCH("COOLER PARA NB",B1387)),
ISNUMBER(SEARCH("SOPORTE PARA NB",B1387)),
ISNUMBER(SEARCH("WEBCAM",B1387)),
ISNUMBER(SEARCH("WEB CAM",B1387)),
ISNUMBER(SEARCH("MOUSE",B1387)),
ISNUMBER(SEARCH("TECLADO",B1387))
),
"COMPLEMENTO",
IF(
OR(
LEFT(A1387,2)="NB",
LEFT(A1387,2)="PC",
LEFT(A1387,2)="WS",
LEFT(A1387,2)="TB",
LEFT(A1387,3)="CEL",
LEFT(A1387,3)="MON",
LEFT(A1387,3)="PRE",
LEFT(A1387,3)="PRH",
ISNUMBER(SEARCH("NOTEBOOK",B1387)),
ISNUMBER(SEARCH("LAPTOP",B1387)),
ISNUMBER(SEARCH("MONITOR",B1387)),
ISNUMBER(SEARCH("TABLET",B1387)),
ISNUMBER(SEARCH("SMARTPH",B1387)),
ISNUMBER(SEARCH("IMPRESORA",B1387)),
ISNUMBER(SEARCH("MULTIFUNCIONAL",B1387)),
ISNUMBER(SEARCH("AIO",B1387))
),
"GANCHO",
"NORMAL"
)
)</f>
        <v>NORMAL</v>
      </c>
    </row>
    <row r="1386" spans="1:12" x14ac:dyDescent="0.25">
      <c r="A1386" s="3" t="s">
        <v>2312</v>
      </c>
      <c r="B1386" s="3" t="s">
        <v>2313</v>
      </c>
      <c r="C1386" s="1">
        <v>6</v>
      </c>
      <c r="D1386" s="1">
        <v>4254.46</v>
      </c>
      <c r="E1386" s="1" t="s">
        <v>1166</v>
      </c>
      <c r="F1386" s="1" t="s">
        <v>3912</v>
      </c>
      <c r="G1386" s="3"/>
      <c r="H1386" s="11">
        <f>ROUND(
IF(L1384="GANCHO",
   IF(I1386&lt;=50,I1386*1.1+4,IF(I1386&lt;=120,I1386*1.1+7,IF(I1386&lt;=250,I1386*1.1+11,I1386*1.1+19))),
IF(L1384="NORMAL",
   IF(I1386&lt;=30,I1386*1.15+2,IF(I1386&lt;=80,I1386*1.15+4,IF(I1386&lt;=150,I1386*1.15+6,I1386*1.15+8))),
IF(L1384="COMPLEMENTO",
   IF(I1386&lt;=25,I1386*1.25+1.5,IF(I1386&lt;=60,I1386*1.25+3,IF(I1386&lt;=120,I1386*1.25+4,I1386*1.25+5))),
""))),2)</f>
        <v>20099.09</v>
      </c>
      <c r="I1386" s="9">
        <f>($K$2+0.02)*Tabla1[[#This Row],[PRECIO $]]*1.18</f>
        <v>17470.514543999998</v>
      </c>
      <c r="J1386" s="7">
        <f>+Tabla1[[#This Row],[PRECIO EN SOLES]]-Tabla1[[#This Row],[PC]]</f>
        <v>2628.5754560000023</v>
      </c>
      <c r="K1386" s="15"/>
      <c r="L1386" s="15" t="str">
        <f>IF(
OR(
ISNUMBER(SEARCH("BACKPACK",B1388)),
ISNUMBER(SEARCH("MOCHILA",B1388)),
ISNUMBER(SEARCH("FUNDA",B1388)),
ISNUMBER(SEARCH("ESTUCHE",B1388)),
ISNUMBER(SEARCH("BOOK COVER",B1388)),
ISNUMBER(SEARCH("KEYBOARD PARA TABLET",B1388)),
ISNUMBER(SEARCH("FLIP TABLET",B1388)),
ISNUMBER(SEARCH("CASE FOR TABLET",B1388)),
ISNUMBER(SEARCH("CABLE",B1388)),
ISNUMBER(SEARCH("ADAPTADOR",B1388)),
ISNUMBER(SEARCH("HUB",B1388)),
ISNUMBER(SEARCH("DOCK",B1388)),
ISNUMBER(SEARCH("MOUSE PAD",B1388)),
ISNUMBER(SEARCH("MOUSEPAD",B1388)),
ISNUMBER(SEARCH("SOPORTE",B1388)),
ISNUMBER(SEARCH("STAND",B1388)),
ISNUMBER(SEARCH("TRAVEL ADAPTER",B1388)),
ISNUMBER(SEARCH("RJ45",B1388)),
ISNUMBER(SEARCH("USB-C",B1388)),
ISNUMBER(SEARCH("USB WIFI",B1388)),
ISNUMBER(SEARCH("POWERBANK",B1388)),
ISNUMBER(SEARCH("CARGADOR",B1388)),
ISNUMBER(SEARCH("COOLER PARA NB",B1388)),
ISNUMBER(SEARCH("SOPORTE PARA NB",B1388)),
ISNUMBER(SEARCH("WEBCAM",B1388)),
ISNUMBER(SEARCH("WEB CAM",B1388)),
ISNUMBER(SEARCH("MOUSE",B1388)),
ISNUMBER(SEARCH("TECLADO",B1388))
),
"COMPLEMENTO",
IF(
OR(
LEFT(A1388,2)="NB",
LEFT(A1388,2)="PC",
LEFT(A1388,2)="WS",
LEFT(A1388,2)="TB",
LEFT(A1388,3)="CEL",
LEFT(A1388,3)="MON",
LEFT(A1388,3)="PRE",
LEFT(A1388,3)="PRH",
ISNUMBER(SEARCH("NOTEBOOK",B1388)),
ISNUMBER(SEARCH("LAPTOP",B1388)),
ISNUMBER(SEARCH("MONITOR",B1388)),
ISNUMBER(SEARCH("TABLET",B1388)),
ISNUMBER(SEARCH("SMARTPH",B1388)),
ISNUMBER(SEARCH("IMPRESORA",B1388)),
ISNUMBER(SEARCH("MULTIFUNCIONAL",B1388)),
ISNUMBER(SEARCH("AIO",B1388))
),
"GANCHO",
"NORMAL"
)
)</f>
        <v>NORMAL</v>
      </c>
    </row>
    <row r="1387" spans="1:12" x14ac:dyDescent="0.25">
      <c r="A1387" s="3" t="s">
        <v>2314</v>
      </c>
      <c r="B1387" s="3" t="s">
        <v>2315</v>
      </c>
      <c r="C1387" s="1">
        <v>20</v>
      </c>
      <c r="D1387" s="1">
        <v>1592.75</v>
      </c>
      <c r="E1387" s="1" t="s">
        <v>1166</v>
      </c>
      <c r="F1387" s="1" t="s">
        <v>3913</v>
      </c>
      <c r="G1387" s="3" t="s">
        <v>2316</v>
      </c>
      <c r="H1387" s="11">
        <f>ROUND(
IF(L1385="GANCHO",
   IF(I1387&lt;=50,I1387*1.1+4,IF(I1387&lt;=120,I1387*1.1+7,IF(I1387&lt;=250,I1387*1.1+11,I1387*1.1+19))),
IF(L1385="NORMAL",
   IF(I1387&lt;=30,I1387*1.15+2,IF(I1387&lt;=80,I1387*1.15+4,IF(I1387&lt;=150,I1387*1.15+6,I1387*1.15+8))),
IF(L1385="COMPLEMENTO",
   IF(I1387&lt;=25,I1387*1.25+1.5,IF(I1387&lt;=60,I1387*1.25+3,IF(I1387&lt;=120,I1387*1.25+4,I1387*1.25+5))),
""))),2)</f>
        <v>7529.54</v>
      </c>
      <c r="I1387" s="9">
        <f>($K$2+0.02)*Tabla1[[#This Row],[PRECIO $]]*1.18</f>
        <v>6540.4685999999992</v>
      </c>
      <c r="J1387" s="7">
        <f>+Tabla1[[#This Row],[PRECIO EN SOLES]]-Tabla1[[#This Row],[PC]]</f>
        <v>989.07140000000072</v>
      </c>
      <c r="K1387" s="15"/>
      <c r="L1387" s="15" t="str">
        <f>IF(
OR(
ISNUMBER(SEARCH("BACKPACK",B1389)),
ISNUMBER(SEARCH("MOCHILA",B1389)),
ISNUMBER(SEARCH("FUNDA",B1389)),
ISNUMBER(SEARCH("ESTUCHE",B1389)),
ISNUMBER(SEARCH("BOOK COVER",B1389)),
ISNUMBER(SEARCH("KEYBOARD PARA TABLET",B1389)),
ISNUMBER(SEARCH("FLIP TABLET",B1389)),
ISNUMBER(SEARCH("CASE FOR TABLET",B1389)),
ISNUMBER(SEARCH("CABLE",B1389)),
ISNUMBER(SEARCH("ADAPTADOR",B1389)),
ISNUMBER(SEARCH("HUB",B1389)),
ISNUMBER(SEARCH("DOCK",B1389)),
ISNUMBER(SEARCH("MOUSE PAD",B1389)),
ISNUMBER(SEARCH("MOUSEPAD",B1389)),
ISNUMBER(SEARCH("SOPORTE",B1389)),
ISNUMBER(SEARCH("STAND",B1389)),
ISNUMBER(SEARCH("TRAVEL ADAPTER",B1389)),
ISNUMBER(SEARCH("RJ45",B1389)),
ISNUMBER(SEARCH("USB-C",B1389)),
ISNUMBER(SEARCH("USB WIFI",B1389)),
ISNUMBER(SEARCH("POWERBANK",B1389)),
ISNUMBER(SEARCH("CARGADOR",B1389)),
ISNUMBER(SEARCH("COOLER PARA NB",B1389)),
ISNUMBER(SEARCH("SOPORTE PARA NB",B1389)),
ISNUMBER(SEARCH("WEBCAM",B1389)),
ISNUMBER(SEARCH("WEB CAM",B1389)),
ISNUMBER(SEARCH("MOUSE",B1389)),
ISNUMBER(SEARCH("TECLADO",B1389))
),
"COMPLEMENTO",
IF(
OR(
LEFT(A1389,2)="NB",
LEFT(A1389,2)="PC",
LEFT(A1389,2)="WS",
LEFT(A1389,2)="TB",
LEFT(A1389,3)="CEL",
LEFT(A1389,3)="MON",
LEFT(A1389,3)="PRE",
LEFT(A1389,3)="PRH",
ISNUMBER(SEARCH("NOTEBOOK",B1389)),
ISNUMBER(SEARCH("LAPTOP",B1389)),
ISNUMBER(SEARCH("MONITOR",B1389)),
ISNUMBER(SEARCH("TABLET",B1389)),
ISNUMBER(SEARCH("SMARTPH",B1389)),
ISNUMBER(SEARCH("IMPRESORA",B1389)),
ISNUMBER(SEARCH("MULTIFUNCIONAL",B1389)),
ISNUMBER(SEARCH("AIO",B1389))
),
"GANCHO",
"NORMAL"
)
)</f>
        <v>NORMAL</v>
      </c>
    </row>
    <row r="1388" spans="1:12" x14ac:dyDescent="0.25">
      <c r="A1388" s="3" t="s">
        <v>2317</v>
      </c>
      <c r="B1388" s="3" t="s">
        <v>2318</v>
      </c>
      <c r="C1388" s="1">
        <v>5</v>
      </c>
      <c r="D1388" s="1">
        <v>6851.06</v>
      </c>
      <c r="E1388" s="1" t="s">
        <v>1166</v>
      </c>
      <c r="F1388" s="1" t="s">
        <v>3914</v>
      </c>
      <c r="G1388" s="3"/>
      <c r="H1388" s="11">
        <f>ROUND(
IF(L1386="GANCHO",
   IF(I1388&lt;=50,I1388*1.1+4,IF(I1388&lt;=120,I1388*1.1+7,IF(I1388&lt;=250,I1388*1.1+11,I1388*1.1+19))),
IF(L1386="NORMAL",
   IF(I1388&lt;=30,I1388*1.15+2,IF(I1388&lt;=80,I1388*1.15+4,IF(I1388&lt;=150,I1388*1.15+6,I1388*1.15+8))),
IF(L1386="COMPLEMENTO",
   IF(I1388&lt;=25,I1388*1.25+1.5,IF(I1388&lt;=60,I1388*1.25+3,IF(I1388&lt;=120,I1388*1.25+4,I1388*1.25+5))),
""))),2)</f>
        <v>32361.17</v>
      </c>
      <c r="I1388" s="9">
        <f>($K$2+0.02)*Tabla1[[#This Row],[PRECIO $]]*1.18</f>
        <v>28133.192783999999</v>
      </c>
      <c r="J1388" s="7">
        <f>+Tabla1[[#This Row],[PRECIO EN SOLES]]-Tabla1[[#This Row],[PC]]</f>
        <v>4227.9772159999993</v>
      </c>
      <c r="K1388" s="15"/>
      <c r="L1388" s="15" t="str">
        <f>IF(
OR(
ISNUMBER(SEARCH("BACKPACK",B1390)),
ISNUMBER(SEARCH("MOCHILA",B1390)),
ISNUMBER(SEARCH("FUNDA",B1390)),
ISNUMBER(SEARCH("ESTUCHE",B1390)),
ISNUMBER(SEARCH("BOOK COVER",B1390)),
ISNUMBER(SEARCH("KEYBOARD PARA TABLET",B1390)),
ISNUMBER(SEARCH("FLIP TABLET",B1390)),
ISNUMBER(SEARCH("CASE FOR TABLET",B1390)),
ISNUMBER(SEARCH("CABLE",B1390)),
ISNUMBER(SEARCH("ADAPTADOR",B1390)),
ISNUMBER(SEARCH("HUB",B1390)),
ISNUMBER(SEARCH("DOCK",B1390)),
ISNUMBER(SEARCH("MOUSE PAD",B1390)),
ISNUMBER(SEARCH("MOUSEPAD",B1390)),
ISNUMBER(SEARCH("SOPORTE",B1390)),
ISNUMBER(SEARCH("STAND",B1390)),
ISNUMBER(SEARCH("TRAVEL ADAPTER",B1390)),
ISNUMBER(SEARCH("RJ45",B1390)),
ISNUMBER(SEARCH("USB-C",B1390)),
ISNUMBER(SEARCH("USB WIFI",B1390)),
ISNUMBER(SEARCH("POWERBANK",B1390)),
ISNUMBER(SEARCH("CARGADOR",B1390)),
ISNUMBER(SEARCH("COOLER PARA NB",B1390)),
ISNUMBER(SEARCH("SOPORTE PARA NB",B1390)),
ISNUMBER(SEARCH("WEBCAM",B1390)),
ISNUMBER(SEARCH("WEB CAM",B1390)),
ISNUMBER(SEARCH("MOUSE",B1390)),
ISNUMBER(SEARCH("TECLADO",B1390))
),
"COMPLEMENTO",
IF(
OR(
LEFT(A1390,2)="NB",
LEFT(A1390,2)="PC",
LEFT(A1390,2)="WS",
LEFT(A1390,2)="TB",
LEFT(A1390,3)="CEL",
LEFT(A1390,3)="MON",
LEFT(A1390,3)="PRE",
LEFT(A1390,3)="PRH",
ISNUMBER(SEARCH("NOTEBOOK",B1390)),
ISNUMBER(SEARCH("LAPTOP",B1390)),
ISNUMBER(SEARCH("MONITOR",B1390)),
ISNUMBER(SEARCH("TABLET",B1390)),
ISNUMBER(SEARCH("SMARTPH",B1390)),
ISNUMBER(SEARCH("IMPRESORA",B1390)),
ISNUMBER(SEARCH("MULTIFUNCIONAL",B1390)),
ISNUMBER(SEARCH("AIO",B1390))
),
"GANCHO",
"NORMAL"
)
)</f>
        <v>NORMAL</v>
      </c>
    </row>
    <row r="1389" spans="1:12" x14ac:dyDescent="0.25">
      <c r="A1389" s="3" t="s">
        <v>6902</v>
      </c>
      <c r="B1389" s="3" t="s">
        <v>6903</v>
      </c>
      <c r="C1389" s="1">
        <v>4</v>
      </c>
      <c r="D1389" s="1">
        <v>6622.58</v>
      </c>
      <c r="E1389" s="1" t="s">
        <v>1166</v>
      </c>
      <c r="F1389" s="1" t="s">
        <v>6904</v>
      </c>
      <c r="G1389" s="3"/>
      <c r="H1389" s="11">
        <f>ROUND(
IF(L1387="GANCHO",
   IF(I1389&lt;=50,I1389*1.1+4,IF(I1389&lt;=120,I1389*1.1+7,IF(I1389&lt;=250,I1389*1.1+11,I1389*1.1+19))),
IF(L1387="NORMAL",
   IF(I1389&lt;=30,I1389*1.15+2,IF(I1389&lt;=80,I1389*1.15+4,IF(I1389&lt;=150,I1389*1.15+6,I1389*1.15+8))),
IF(L1387="COMPLEMENTO",
   IF(I1389&lt;=25,I1389*1.25+1.5,IF(I1389&lt;=60,I1389*1.25+3,IF(I1389&lt;=120,I1389*1.25+4,I1389*1.25+5))),
""))),2)</f>
        <v>31282.21</v>
      </c>
      <c r="I1389" s="9">
        <f>($K$2+0.02)*Tabla1[[#This Row],[PRECIO $]]*1.18</f>
        <v>27194.962511999998</v>
      </c>
      <c r="J1389" s="7">
        <f>+Tabla1[[#This Row],[PRECIO EN SOLES]]-Tabla1[[#This Row],[PC]]</f>
        <v>4087.2474880000009</v>
      </c>
      <c r="K1389" s="15"/>
      <c r="L1389" s="15" t="str">
        <f>IF(
OR(
ISNUMBER(SEARCH("BACKPACK",B1391)),
ISNUMBER(SEARCH("MOCHILA",B1391)),
ISNUMBER(SEARCH("FUNDA",B1391)),
ISNUMBER(SEARCH("ESTUCHE",B1391)),
ISNUMBER(SEARCH("BOOK COVER",B1391)),
ISNUMBER(SEARCH("KEYBOARD PARA TABLET",B1391)),
ISNUMBER(SEARCH("FLIP TABLET",B1391)),
ISNUMBER(SEARCH("CASE FOR TABLET",B1391)),
ISNUMBER(SEARCH("CABLE",B1391)),
ISNUMBER(SEARCH("ADAPTADOR",B1391)),
ISNUMBER(SEARCH("HUB",B1391)),
ISNUMBER(SEARCH("DOCK",B1391)),
ISNUMBER(SEARCH("MOUSE PAD",B1391)),
ISNUMBER(SEARCH("MOUSEPAD",B1391)),
ISNUMBER(SEARCH("SOPORTE",B1391)),
ISNUMBER(SEARCH("STAND",B1391)),
ISNUMBER(SEARCH("TRAVEL ADAPTER",B1391)),
ISNUMBER(SEARCH("RJ45",B1391)),
ISNUMBER(SEARCH("USB-C",B1391)),
ISNUMBER(SEARCH("USB WIFI",B1391)),
ISNUMBER(SEARCH("POWERBANK",B1391)),
ISNUMBER(SEARCH("CARGADOR",B1391)),
ISNUMBER(SEARCH("COOLER PARA NB",B1391)),
ISNUMBER(SEARCH("SOPORTE PARA NB",B1391)),
ISNUMBER(SEARCH("WEBCAM",B1391)),
ISNUMBER(SEARCH("WEB CAM",B1391)),
ISNUMBER(SEARCH("MOUSE",B1391)),
ISNUMBER(SEARCH("TECLADO",B1391))
),
"COMPLEMENTO",
IF(
OR(
LEFT(A1391,2)="NB",
LEFT(A1391,2)="PC",
LEFT(A1391,2)="WS",
LEFT(A1391,2)="TB",
LEFT(A1391,3)="CEL",
LEFT(A1391,3)="MON",
LEFT(A1391,3)="PRE",
LEFT(A1391,3)="PRH",
ISNUMBER(SEARCH("NOTEBOOK",B1391)),
ISNUMBER(SEARCH("LAPTOP",B1391)),
ISNUMBER(SEARCH("MONITOR",B1391)),
ISNUMBER(SEARCH("TABLET",B1391)),
ISNUMBER(SEARCH("SMARTPH",B1391)),
ISNUMBER(SEARCH("IMPRESORA",B1391)),
ISNUMBER(SEARCH("MULTIFUNCIONAL",B1391)),
ISNUMBER(SEARCH("AIO",B1391))
),
"GANCHO",
"NORMAL"
)
)</f>
        <v>COMPLEMENTO</v>
      </c>
    </row>
    <row r="1390" spans="1:12" x14ac:dyDescent="0.25">
      <c r="A1390" s="3" t="s">
        <v>2320</v>
      </c>
      <c r="B1390" s="3" t="s">
        <v>2319</v>
      </c>
      <c r="C1390" s="1">
        <v>20</v>
      </c>
      <c r="D1390" s="1">
        <v>1130</v>
      </c>
      <c r="E1390" s="1" t="s">
        <v>1166</v>
      </c>
      <c r="F1390" s="1" t="s">
        <v>3915</v>
      </c>
      <c r="G1390" s="3" t="s">
        <v>2321</v>
      </c>
      <c r="H1390" s="11">
        <f>ROUND(
IF(L1388="GANCHO",
   IF(I1390&lt;=50,I1390*1.1+4,IF(I1390&lt;=120,I1390*1.1+7,IF(I1390&lt;=250,I1390*1.1+11,I1390*1.1+19))),
IF(L1388="NORMAL",
   IF(I1390&lt;=30,I1390*1.15+2,IF(I1390&lt;=80,I1390*1.15+4,IF(I1390&lt;=150,I1390*1.15+6,I1390*1.15+8))),
IF(L1388="COMPLEMENTO",
   IF(I1390&lt;=25,I1390*1.25+1.5,IF(I1390&lt;=60,I1390*1.25+3,IF(I1390&lt;=120,I1390*1.25+4,I1390*1.25+5))),
""))),2)</f>
        <v>5344.27</v>
      </c>
      <c r="I1390" s="9">
        <f>($K$2+0.02)*Tabla1[[#This Row],[PRECIO $]]*1.18</f>
        <v>4640.232</v>
      </c>
      <c r="J1390" s="7">
        <f>+Tabla1[[#This Row],[PRECIO EN SOLES]]-Tabla1[[#This Row],[PC]]</f>
        <v>704.03800000000047</v>
      </c>
      <c r="K1390" s="15"/>
      <c r="L1390" s="15" t="str">
        <f>IF(
OR(
ISNUMBER(SEARCH("BACKPACK",B1392)),
ISNUMBER(SEARCH("MOCHILA",B1392)),
ISNUMBER(SEARCH("FUNDA",B1392)),
ISNUMBER(SEARCH("ESTUCHE",B1392)),
ISNUMBER(SEARCH("BOOK COVER",B1392)),
ISNUMBER(SEARCH("KEYBOARD PARA TABLET",B1392)),
ISNUMBER(SEARCH("FLIP TABLET",B1392)),
ISNUMBER(SEARCH("CASE FOR TABLET",B1392)),
ISNUMBER(SEARCH("CABLE",B1392)),
ISNUMBER(SEARCH("ADAPTADOR",B1392)),
ISNUMBER(SEARCH("HUB",B1392)),
ISNUMBER(SEARCH("DOCK",B1392)),
ISNUMBER(SEARCH("MOUSE PAD",B1392)),
ISNUMBER(SEARCH("MOUSEPAD",B1392)),
ISNUMBER(SEARCH("SOPORTE",B1392)),
ISNUMBER(SEARCH("STAND",B1392)),
ISNUMBER(SEARCH("TRAVEL ADAPTER",B1392)),
ISNUMBER(SEARCH("RJ45",B1392)),
ISNUMBER(SEARCH("USB-C",B1392)),
ISNUMBER(SEARCH("USB WIFI",B1392)),
ISNUMBER(SEARCH("POWERBANK",B1392)),
ISNUMBER(SEARCH("CARGADOR",B1392)),
ISNUMBER(SEARCH("COOLER PARA NB",B1392)),
ISNUMBER(SEARCH("SOPORTE PARA NB",B1392)),
ISNUMBER(SEARCH("WEBCAM",B1392)),
ISNUMBER(SEARCH("WEB CAM",B1392)),
ISNUMBER(SEARCH("MOUSE",B1392)),
ISNUMBER(SEARCH("TECLADO",B1392))
),
"COMPLEMENTO",
IF(
OR(
LEFT(A1392,2)="NB",
LEFT(A1392,2)="PC",
LEFT(A1392,2)="WS",
LEFT(A1392,2)="TB",
LEFT(A1392,3)="CEL",
LEFT(A1392,3)="MON",
LEFT(A1392,3)="PRE",
LEFT(A1392,3)="PRH",
ISNUMBER(SEARCH("NOTEBOOK",B1392)),
ISNUMBER(SEARCH("LAPTOP",B1392)),
ISNUMBER(SEARCH("MONITOR",B1392)),
ISNUMBER(SEARCH("TABLET",B1392)),
ISNUMBER(SEARCH("SMARTPH",B1392)),
ISNUMBER(SEARCH("IMPRESORA",B1392)),
ISNUMBER(SEARCH("MULTIFUNCIONAL",B1392)),
ISNUMBER(SEARCH("AIO",B1392))
),
"GANCHO",
"NORMAL"
)
)</f>
        <v>NORMAL</v>
      </c>
    </row>
    <row r="1391" spans="1:12" x14ac:dyDescent="0.25">
      <c r="A1391" s="3" t="s">
        <v>2322</v>
      </c>
      <c r="B1391" s="3" t="s">
        <v>2323</v>
      </c>
      <c r="C1391" s="1">
        <v>7</v>
      </c>
      <c r="D1391" s="1">
        <v>15</v>
      </c>
      <c r="E1391" s="1" t="s">
        <v>1102</v>
      </c>
      <c r="F1391" s="1" t="s">
        <v>3916</v>
      </c>
      <c r="G1391" s="3" t="s">
        <v>2324</v>
      </c>
      <c r="H1391" s="11">
        <f>ROUND(
IF(L1389="GANCHO",
   IF(I1391&lt;=50,I1391*1.1+4,IF(I1391&lt;=120,I1391*1.1+7,IF(I1391&lt;=250,I1391*1.1+11,I1391*1.1+19))),
IF(L1389="NORMAL",
   IF(I1391&lt;=30,I1391*1.15+2,IF(I1391&lt;=80,I1391*1.15+4,IF(I1391&lt;=150,I1391*1.15+6,I1391*1.15+8))),
IF(L1389="COMPLEMENTO",
   IF(I1391&lt;=25,I1391*1.25+1.5,IF(I1391&lt;=60,I1391*1.25+3,IF(I1391&lt;=120,I1391*1.25+4,I1391*1.25+5))),
""))),2)</f>
        <v>81</v>
      </c>
      <c r="I1391" s="9">
        <f>($K$2+0.02)*Tabla1[[#This Row],[PRECIO $]]*1.18</f>
        <v>61.596000000000004</v>
      </c>
      <c r="J1391" s="7">
        <f>+Tabla1[[#This Row],[PRECIO EN SOLES]]-Tabla1[[#This Row],[PC]]</f>
        <v>19.403999999999996</v>
      </c>
      <c r="K1391" s="15"/>
      <c r="L1391" s="15" t="str">
        <f>IF(
OR(
ISNUMBER(SEARCH("BACKPACK",B1393)),
ISNUMBER(SEARCH("MOCHILA",B1393)),
ISNUMBER(SEARCH("FUNDA",B1393)),
ISNUMBER(SEARCH("ESTUCHE",B1393)),
ISNUMBER(SEARCH("BOOK COVER",B1393)),
ISNUMBER(SEARCH("KEYBOARD PARA TABLET",B1393)),
ISNUMBER(SEARCH("FLIP TABLET",B1393)),
ISNUMBER(SEARCH("CASE FOR TABLET",B1393)),
ISNUMBER(SEARCH("CABLE",B1393)),
ISNUMBER(SEARCH("ADAPTADOR",B1393)),
ISNUMBER(SEARCH("HUB",B1393)),
ISNUMBER(SEARCH("DOCK",B1393)),
ISNUMBER(SEARCH("MOUSE PAD",B1393)),
ISNUMBER(SEARCH("MOUSEPAD",B1393)),
ISNUMBER(SEARCH("SOPORTE",B1393)),
ISNUMBER(SEARCH("STAND",B1393)),
ISNUMBER(SEARCH("TRAVEL ADAPTER",B1393)),
ISNUMBER(SEARCH("RJ45",B1393)),
ISNUMBER(SEARCH("USB-C",B1393)),
ISNUMBER(SEARCH("USB WIFI",B1393)),
ISNUMBER(SEARCH("POWERBANK",B1393)),
ISNUMBER(SEARCH("CARGADOR",B1393)),
ISNUMBER(SEARCH("COOLER PARA NB",B1393)),
ISNUMBER(SEARCH("SOPORTE PARA NB",B1393)),
ISNUMBER(SEARCH("WEBCAM",B1393)),
ISNUMBER(SEARCH("WEB CAM",B1393)),
ISNUMBER(SEARCH("MOUSE",B1393)),
ISNUMBER(SEARCH("TECLADO",B1393))
),
"COMPLEMENTO",
IF(
OR(
LEFT(A1393,2)="NB",
LEFT(A1393,2)="PC",
LEFT(A1393,2)="WS",
LEFT(A1393,2)="TB",
LEFT(A1393,3)="CEL",
LEFT(A1393,3)="MON",
LEFT(A1393,3)="PRE",
LEFT(A1393,3)="PRH",
ISNUMBER(SEARCH("NOTEBOOK",B1393)),
ISNUMBER(SEARCH("LAPTOP",B1393)),
ISNUMBER(SEARCH("MONITOR",B1393)),
ISNUMBER(SEARCH("TABLET",B1393)),
ISNUMBER(SEARCH("SMARTPH",B1393)),
ISNUMBER(SEARCH("IMPRESORA",B1393)),
ISNUMBER(SEARCH("MULTIFUNCIONAL",B1393)),
ISNUMBER(SEARCH("AIO",B1393))
),
"GANCHO",
"NORMAL"
)
)</f>
        <v>COMPLEMENTO</v>
      </c>
    </row>
    <row r="1392" spans="1:12" x14ac:dyDescent="0.25">
      <c r="A1392" s="3" t="s">
        <v>2325</v>
      </c>
      <c r="B1392" s="3" t="s">
        <v>2326</v>
      </c>
      <c r="C1392" s="1">
        <v>1</v>
      </c>
      <c r="D1392" s="1">
        <v>115.27</v>
      </c>
      <c r="E1392" s="1" t="s">
        <v>1166</v>
      </c>
      <c r="F1392" s="1" t="s">
        <v>3917</v>
      </c>
      <c r="G1392" s="3"/>
      <c r="H1392" s="11">
        <f>ROUND(
IF(L1390="GANCHO",
   IF(I1392&lt;=50,I1392*1.1+4,IF(I1392&lt;=120,I1392*1.1+7,IF(I1392&lt;=250,I1392*1.1+11,I1392*1.1+19))),
IF(L1390="NORMAL",
   IF(I1392&lt;=30,I1392*1.15+2,IF(I1392&lt;=80,I1392*1.15+4,IF(I1392&lt;=150,I1392*1.15+6,I1392*1.15+8))),
IF(L1390="COMPLEMENTO",
   IF(I1392&lt;=25,I1392*1.25+1.5,IF(I1392&lt;=60,I1392*1.25+3,IF(I1392&lt;=120,I1392*1.25+4,I1392*1.25+5))),
""))),2)</f>
        <v>552.35</v>
      </c>
      <c r="I1392" s="9">
        <f>($K$2+0.02)*Tabla1[[#This Row],[PRECIO $]]*1.18</f>
        <v>473.34472799999992</v>
      </c>
      <c r="J1392" s="7">
        <f>+Tabla1[[#This Row],[PRECIO EN SOLES]]-Tabla1[[#This Row],[PC]]</f>
        <v>79.005272000000105</v>
      </c>
      <c r="K1392" s="15"/>
      <c r="L1392" s="15" t="str">
        <f>IF(
OR(
ISNUMBER(SEARCH("BACKPACK",B1394)),
ISNUMBER(SEARCH("MOCHILA",B1394)),
ISNUMBER(SEARCH("FUNDA",B1394)),
ISNUMBER(SEARCH("ESTUCHE",B1394)),
ISNUMBER(SEARCH("BOOK COVER",B1394)),
ISNUMBER(SEARCH("KEYBOARD PARA TABLET",B1394)),
ISNUMBER(SEARCH("FLIP TABLET",B1394)),
ISNUMBER(SEARCH("CASE FOR TABLET",B1394)),
ISNUMBER(SEARCH("CABLE",B1394)),
ISNUMBER(SEARCH("ADAPTADOR",B1394)),
ISNUMBER(SEARCH("HUB",B1394)),
ISNUMBER(SEARCH("DOCK",B1394)),
ISNUMBER(SEARCH("MOUSE PAD",B1394)),
ISNUMBER(SEARCH("MOUSEPAD",B1394)),
ISNUMBER(SEARCH("SOPORTE",B1394)),
ISNUMBER(SEARCH("STAND",B1394)),
ISNUMBER(SEARCH("TRAVEL ADAPTER",B1394)),
ISNUMBER(SEARCH("RJ45",B1394)),
ISNUMBER(SEARCH("USB-C",B1394)),
ISNUMBER(SEARCH("USB WIFI",B1394)),
ISNUMBER(SEARCH("POWERBANK",B1394)),
ISNUMBER(SEARCH("CARGADOR",B1394)),
ISNUMBER(SEARCH("COOLER PARA NB",B1394)),
ISNUMBER(SEARCH("SOPORTE PARA NB",B1394)),
ISNUMBER(SEARCH("WEBCAM",B1394)),
ISNUMBER(SEARCH("WEB CAM",B1394)),
ISNUMBER(SEARCH("MOUSE",B1394)),
ISNUMBER(SEARCH("TECLADO",B1394))
),
"COMPLEMENTO",
IF(
OR(
LEFT(A1394,2)="NB",
LEFT(A1394,2)="PC",
LEFT(A1394,2)="WS",
LEFT(A1394,2)="TB",
LEFT(A1394,3)="CEL",
LEFT(A1394,3)="MON",
LEFT(A1394,3)="PRE",
LEFT(A1394,3)="PRH",
ISNUMBER(SEARCH("NOTEBOOK",B1394)),
ISNUMBER(SEARCH("LAPTOP",B1394)),
ISNUMBER(SEARCH("MONITOR",B1394)),
ISNUMBER(SEARCH("TABLET",B1394)),
ISNUMBER(SEARCH("SMARTPH",B1394)),
ISNUMBER(SEARCH("IMPRESORA",B1394)),
ISNUMBER(SEARCH("MULTIFUNCIONAL",B1394)),
ISNUMBER(SEARCH("AIO",B1394))
),
"GANCHO",
"NORMAL"
)
)</f>
        <v>NORMAL</v>
      </c>
    </row>
    <row r="1393" spans="1:12" x14ac:dyDescent="0.25">
      <c r="A1393" s="3" t="s">
        <v>2327</v>
      </c>
      <c r="B1393" s="3" t="s">
        <v>2328</v>
      </c>
      <c r="C1393" s="1">
        <v>19</v>
      </c>
      <c r="D1393" s="1">
        <v>30.85</v>
      </c>
      <c r="E1393" s="1" t="s">
        <v>1166</v>
      </c>
      <c r="F1393" s="1" t="s">
        <v>3918</v>
      </c>
      <c r="G1393" s="3" t="s">
        <v>2329</v>
      </c>
      <c r="H1393" s="11">
        <f>ROUND(
IF(L1391="GANCHO",
   IF(I1393&lt;=50,I1393*1.1+4,IF(I1393&lt;=120,I1393*1.1+7,IF(I1393&lt;=250,I1393*1.1+11,I1393*1.1+19))),
IF(L1391="NORMAL",
   IF(I1393&lt;=30,I1393*1.15+2,IF(I1393&lt;=80,I1393*1.15+4,IF(I1393&lt;=150,I1393*1.15+6,I1393*1.15+8))),
IF(L1391="COMPLEMENTO",
   IF(I1393&lt;=25,I1393*1.25+1.5,IF(I1393&lt;=60,I1393*1.25+3,IF(I1393&lt;=120,I1393*1.25+4,I1393*1.25+5))),
""))),2)</f>
        <v>163.35</v>
      </c>
      <c r="I1393" s="9">
        <f>($K$2+0.02)*Tabla1[[#This Row],[PRECIO $]]*1.18</f>
        <v>126.68244</v>
      </c>
      <c r="J1393" s="7">
        <f>+Tabla1[[#This Row],[PRECIO EN SOLES]]-Tabla1[[#This Row],[PC]]</f>
        <v>36.667559999999995</v>
      </c>
      <c r="K1393" s="15"/>
      <c r="L1393" s="15" t="str">
        <f>IF(
OR(
ISNUMBER(SEARCH("BACKPACK",B1395)),
ISNUMBER(SEARCH("MOCHILA",B1395)),
ISNUMBER(SEARCH("FUNDA",B1395)),
ISNUMBER(SEARCH("ESTUCHE",B1395)),
ISNUMBER(SEARCH("BOOK COVER",B1395)),
ISNUMBER(SEARCH("KEYBOARD PARA TABLET",B1395)),
ISNUMBER(SEARCH("FLIP TABLET",B1395)),
ISNUMBER(SEARCH("CASE FOR TABLET",B1395)),
ISNUMBER(SEARCH("CABLE",B1395)),
ISNUMBER(SEARCH("ADAPTADOR",B1395)),
ISNUMBER(SEARCH("HUB",B1395)),
ISNUMBER(SEARCH("DOCK",B1395)),
ISNUMBER(SEARCH("MOUSE PAD",B1395)),
ISNUMBER(SEARCH("MOUSEPAD",B1395)),
ISNUMBER(SEARCH("SOPORTE",B1395)),
ISNUMBER(SEARCH("STAND",B1395)),
ISNUMBER(SEARCH("TRAVEL ADAPTER",B1395)),
ISNUMBER(SEARCH("RJ45",B1395)),
ISNUMBER(SEARCH("USB-C",B1395)),
ISNUMBER(SEARCH("USB WIFI",B1395)),
ISNUMBER(SEARCH("POWERBANK",B1395)),
ISNUMBER(SEARCH("CARGADOR",B1395)),
ISNUMBER(SEARCH("COOLER PARA NB",B1395)),
ISNUMBER(SEARCH("SOPORTE PARA NB",B1395)),
ISNUMBER(SEARCH("WEBCAM",B1395)),
ISNUMBER(SEARCH("WEB CAM",B1395)),
ISNUMBER(SEARCH("MOUSE",B1395)),
ISNUMBER(SEARCH("TECLADO",B1395))
),
"COMPLEMENTO",
IF(
OR(
LEFT(A1395,2)="NB",
LEFT(A1395,2)="PC",
LEFT(A1395,2)="WS",
LEFT(A1395,2)="TB",
LEFT(A1395,3)="CEL",
LEFT(A1395,3)="MON",
LEFT(A1395,3)="PRE",
LEFT(A1395,3)="PRH",
ISNUMBER(SEARCH("NOTEBOOK",B1395)),
ISNUMBER(SEARCH("LAPTOP",B1395)),
ISNUMBER(SEARCH("MONITOR",B1395)),
ISNUMBER(SEARCH("TABLET",B1395)),
ISNUMBER(SEARCH("SMARTPH",B1395)),
ISNUMBER(SEARCH("IMPRESORA",B1395)),
ISNUMBER(SEARCH("MULTIFUNCIONAL",B1395)),
ISNUMBER(SEARCH("AIO",B1395))
),
"GANCHO",
"NORMAL"
)
)</f>
        <v>NORMAL</v>
      </c>
    </row>
    <row r="1394" spans="1:12" x14ac:dyDescent="0.25">
      <c r="A1394" s="3" t="s">
        <v>6563</v>
      </c>
      <c r="B1394" s="3" t="s">
        <v>6564</v>
      </c>
      <c r="C1394" s="1">
        <v>3</v>
      </c>
      <c r="D1394" s="1">
        <v>184.78</v>
      </c>
      <c r="E1394" s="1" t="s">
        <v>1166</v>
      </c>
      <c r="F1394" s="1" t="s">
        <v>6565</v>
      </c>
      <c r="G1394" s="3" t="s">
        <v>6566</v>
      </c>
      <c r="H1394" s="11">
        <f>ROUND(
IF(L1392="GANCHO",
   IF(I1394&lt;=50,I1394*1.1+4,IF(I1394&lt;=120,I1394*1.1+7,IF(I1394&lt;=250,I1394*1.1+11,I1394*1.1+19))),
IF(L1392="NORMAL",
   IF(I1394&lt;=30,I1394*1.15+2,IF(I1394&lt;=80,I1394*1.15+4,IF(I1394&lt;=150,I1394*1.15+6,I1394*1.15+8))),
IF(L1392="COMPLEMENTO",
   IF(I1394&lt;=25,I1394*1.25+1.5,IF(I1394&lt;=60,I1394*1.25+3,IF(I1394&lt;=120,I1394*1.25+4,I1394*1.25+5))),
""))),2)</f>
        <v>880.6</v>
      </c>
      <c r="I1394" s="9">
        <f>($K$2+0.02)*Tabla1[[#This Row],[PRECIO $]]*1.18</f>
        <v>758.78059199999996</v>
      </c>
      <c r="J1394" s="7">
        <f>+Tabla1[[#This Row],[PRECIO EN SOLES]]-Tabla1[[#This Row],[PC]]</f>
        <v>121.81940800000007</v>
      </c>
      <c r="K1394" s="15"/>
      <c r="L1394" s="15" t="str">
        <f>IF(
OR(
ISNUMBER(SEARCH("BACKPACK",B1396)),
ISNUMBER(SEARCH("MOCHILA",B1396)),
ISNUMBER(SEARCH("FUNDA",B1396)),
ISNUMBER(SEARCH("ESTUCHE",B1396)),
ISNUMBER(SEARCH("BOOK COVER",B1396)),
ISNUMBER(SEARCH("KEYBOARD PARA TABLET",B1396)),
ISNUMBER(SEARCH("FLIP TABLET",B1396)),
ISNUMBER(SEARCH("CASE FOR TABLET",B1396)),
ISNUMBER(SEARCH("CABLE",B1396)),
ISNUMBER(SEARCH("ADAPTADOR",B1396)),
ISNUMBER(SEARCH("HUB",B1396)),
ISNUMBER(SEARCH("DOCK",B1396)),
ISNUMBER(SEARCH("MOUSE PAD",B1396)),
ISNUMBER(SEARCH("MOUSEPAD",B1396)),
ISNUMBER(SEARCH("SOPORTE",B1396)),
ISNUMBER(SEARCH("STAND",B1396)),
ISNUMBER(SEARCH("TRAVEL ADAPTER",B1396)),
ISNUMBER(SEARCH("RJ45",B1396)),
ISNUMBER(SEARCH("USB-C",B1396)),
ISNUMBER(SEARCH("USB WIFI",B1396)),
ISNUMBER(SEARCH("POWERBANK",B1396)),
ISNUMBER(SEARCH("CARGADOR",B1396)),
ISNUMBER(SEARCH("COOLER PARA NB",B1396)),
ISNUMBER(SEARCH("SOPORTE PARA NB",B1396)),
ISNUMBER(SEARCH("WEBCAM",B1396)),
ISNUMBER(SEARCH("WEB CAM",B1396)),
ISNUMBER(SEARCH("MOUSE",B1396)),
ISNUMBER(SEARCH("TECLADO",B1396))
),
"COMPLEMENTO",
IF(
OR(
LEFT(A1396,2)="NB",
LEFT(A1396,2)="PC",
LEFT(A1396,2)="WS",
LEFT(A1396,2)="TB",
LEFT(A1396,3)="CEL",
LEFT(A1396,3)="MON",
LEFT(A1396,3)="PRE",
LEFT(A1396,3)="PRH",
ISNUMBER(SEARCH("NOTEBOOK",B1396)),
ISNUMBER(SEARCH("LAPTOP",B1396)),
ISNUMBER(SEARCH("MONITOR",B1396)),
ISNUMBER(SEARCH("TABLET",B1396)),
ISNUMBER(SEARCH("SMARTPH",B1396)),
ISNUMBER(SEARCH("IMPRESORA",B1396)),
ISNUMBER(SEARCH("MULTIFUNCIONAL",B1396)),
ISNUMBER(SEARCH("AIO",B1396))
),
"GANCHO",
"NORMAL"
)
)</f>
        <v>NORMAL</v>
      </c>
    </row>
    <row r="1395" spans="1:12" x14ac:dyDescent="0.25">
      <c r="A1395" s="3" t="s">
        <v>2330</v>
      </c>
      <c r="B1395" s="3" t="s">
        <v>2331</v>
      </c>
      <c r="C1395" s="1">
        <v>0</v>
      </c>
      <c r="D1395" s="1">
        <v>72</v>
      </c>
      <c r="E1395" s="1" t="s">
        <v>1102</v>
      </c>
      <c r="F1395" s="1" t="s">
        <v>3919</v>
      </c>
      <c r="G1395" s="3" t="s">
        <v>2332</v>
      </c>
      <c r="H1395" s="11">
        <f>ROUND(
IF(L1393="GANCHO",
   IF(I1395&lt;=50,I1395*1.1+4,IF(I1395&lt;=120,I1395*1.1+7,IF(I1395&lt;=250,I1395*1.1+11,I1395*1.1+19))),
IF(L1393="NORMAL",
   IF(I1395&lt;=30,I1395*1.15+2,IF(I1395&lt;=80,I1395*1.15+4,IF(I1395&lt;=150,I1395*1.15+6,I1395*1.15+8))),
IF(L1393="COMPLEMENTO",
   IF(I1395&lt;=25,I1395*1.25+1.5,IF(I1395&lt;=60,I1395*1.25+3,IF(I1395&lt;=120,I1395*1.25+4,I1395*1.25+5))),
""))),2)</f>
        <v>348.01</v>
      </c>
      <c r="I1395" s="9">
        <f>($K$2+0.02)*Tabla1[[#This Row],[PRECIO $]]*1.18</f>
        <v>295.66079999999999</v>
      </c>
      <c r="J1395" s="7">
        <f>+Tabla1[[#This Row],[PRECIO EN SOLES]]-Tabla1[[#This Row],[PC]]</f>
        <v>52.349199999999996</v>
      </c>
      <c r="K1395" s="15"/>
      <c r="L1395" s="15" t="str">
        <f>IF(
OR(
ISNUMBER(SEARCH("BACKPACK",B1397)),
ISNUMBER(SEARCH("MOCHILA",B1397)),
ISNUMBER(SEARCH("FUNDA",B1397)),
ISNUMBER(SEARCH("ESTUCHE",B1397)),
ISNUMBER(SEARCH("BOOK COVER",B1397)),
ISNUMBER(SEARCH("KEYBOARD PARA TABLET",B1397)),
ISNUMBER(SEARCH("FLIP TABLET",B1397)),
ISNUMBER(SEARCH("CASE FOR TABLET",B1397)),
ISNUMBER(SEARCH("CABLE",B1397)),
ISNUMBER(SEARCH("ADAPTADOR",B1397)),
ISNUMBER(SEARCH("HUB",B1397)),
ISNUMBER(SEARCH("DOCK",B1397)),
ISNUMBER(SEARCH("MOUSE PAD",B1397)),
ISNUMBER(SEARCH("MOUSEPAD",B1397)),
ISNUMBER(SEARCH("SOPORTE",B1397)),
ISNUMBER(SEARCH("STAND",B1397)),
ISNUMBER(SEARCH("TRAVEL ADAPTER",B1397)),
ISNUMBER(SEARCH("RJ45",B1397)),
ISNUMBER(SEARCH("USB-C",B1397)),
ISNUMBER(SEARCH("USB WIFI",B1397)),
ISNUMBER(SEARCH("POWERBANK",B1397)),
ISNUMBER(SEARCH("CARGADOR",B1397)),
ISNUMBER(SEARCH("COOLER PARA NB",B1397)),
ISNUMBER(SEARCH("SOPORTE PARA NB",B1397)),
ISNUMBER(SEARCH("WEBCAM",B1397)),
ISNUMBER(SEARCH("WEB CAM",B1397)),
ISNUMBER(SEARCH("MOUSE",B1397)),
ISNUMBER(SEARCH("TECLADO",B1397))
),
"COMPLEMENTO",
IF(
OR(
LEFT(A1397,2)="NB",
LEFT(A1397,2)="PC",
LEFT(A1397,2)="WS",
LEFT(A1397,2)="TB",
LEFT(A1397,3)="CEL",
LEFT(A1397,3)="MON",
LEFT(A1397,3)="PRE",
LEFT(A1397,3)="PRH",
ISNUMBER(SEARCH("NOTEBOOK",B1397)),
ISNUMBER(SEARCH("LAPTOP",B1397)),
ISNUMBER(SEARCH("MONITOR",B1397)),
ISNUMBER(SEARCH("TABLET",B1397)),
ISNUMBER(SEARCH("SMARTPH",B1397)),
ISNUMBER(SEARCH("IMPRESORA",B1397)),
ISNUMBER(SEARCH("MULTIFUNCIONAL",B1397)),
ISNUMBER(SEARCH("AIO",B1397))
),
"GANCHO",
"NORMAL"
)
)</f>
        <v>NORMAL</v>
      </c>
    </row>
    <row r="1396" spans="1:12" x14ac:dyDescent="0.25">
      <c r="A1396" s="3" t="s">
        <v>2333</v>
      </c>
      <c r="B1396" s="3" t="s">
        <v>2334</v>
      </c>
      <c r="C1396" s="1">
        <v>7</v>
      </c>
      <c r="D1396" s="1">
        <v>510</v>
      </c>
      <c r="E1396" s="1" t="s">
        <v>1102</v>
      </c>
      <c r="F1396" s="1" t="s">
        <v>3920</v>
      </c>
      <c r="G1396" s="3" t="s">
        <v>2335</v>
      </c>
      <c r="H1396" s="11">
        <f>ROUND(
IF(L1394="GANCHO",
   IF(I1396&lt;=50,I1396*1.1+4,IF(I1396&lt;=120,I1396*1.1+7,IF(I1396&lt;=250,I1396*1.1+11,I1396*1.1+19))),
IF(L1394="NORMAL",
   IF(I1396&lt;=30,I1396*1.15+2,IF(I1396&lt;=80,I1396*1.15+4,IF(I1396&lt;=150,I1396*1.15+6,I1396*1.15+8))),
IF(L1394="COMPLEMENTO",
   IF(I1396&lt;=25,I1396*1.25+1.5,IF(I1396&lt;=60,I1396*1.25+3,IF(I1396&lt;=120,I1396*1.25+4,I1396*1.25+5))),
""))),2)</f>
        <v>2416.4</v>
      </c>
      <c r="I1396" s="9">
        <f>($K$2+0.02)*Tabla1[[#This Row],[PRECIO $]]*1.18</f>
        <v>2094.2639999999997</v>
      </c>
      <c r="J1396" s="7">
        <f>+Tabla1[[#This Row],[PRECIO EN SOLES]]-Tabla1[[#This Row],[PC]]</f>
        <v>322.13600000000042</v>
      </c>
      <c r="K1396" s="15"/>
      <c r="L1396" s="15" t="str">
        <f>IF(
OR(
ISNUMBER(SEARCH("BACKPACK",B1398)),
ISNUMBER(SEARCH("MOCHILA",B1398)),
ISNUMBER(SEARCH("FUNDA",B1398)),
ISNUMBER(SEARCH("ESTUCHE",B1398)),
ISNUMBER(SEARCH("BOOK COVER",B1398)),
ISNUMBER(SEARCH("KEYBOARD PARA TABLET",B1398)),
ISNUMBER(SEARCH("FLIP TABLET",B1398)),
ISNUMBER(SEARCH("CASE FOR TABLET",B1398)),
ISNUMBER(SEARCH("CABLE",B1398)),
ISNUMBER(SEARCH("ADAPTADOR",B1398)),
ISNUMBER(SEARCH("HUB",B1398)),
ISNUMBER(SEARCH("DOCK",B1398)),
ISNUMBER(SEARCH("MOUSE PAD",B1398)),
ISNUMBER(SEARCH("MOUSEPAD",B1398)),
ISNUMBER(SEARCH("SOPORTE",B1398)),
ISNUMBER(SEARCH("STAND",B1398)),
ISNUMBER(SEARCH("TRAVEL ADAPTER",B1398)),
ISNUMBER(SEARCH("RJ45",B1398)),
ISNUMBER(SEARCH("USB-C",B1398)),
ISNUMBER(SEARCH("USB WIFI",B1398)),
ISNUMBER(SEARCH("POWERBANK",B1398)),
ISNUMBER(SEARCH("CARGADOR",B1398)),
ISNUMBER(SEARCH("COOLER PARA NB",B1398)),
ISNUMBER(SEARCH("SOPORTE PARA NB",B1398)),
ISNUMBER(SEARCH("WEBCAM",B1398)),
ISNUMBER(SEARCH("WEB CAM",B1398)),
ISNUMBER(SEARCH("MOUSE",B1398)),
ISNUMBER(SEARCH("TECLADO",B1398))
),
"COMPLEMENTO",
IF(
OR(
LEFT(A1398,2)="NB",
LEFT(A1398,2)="PC",
LEFT(A1398,2)="WS",
LEFT(A1398,2)="TB",
LEFT(A1398,3)="CEL",
LEFT(A1398,3)="MON",
LEFT(A1398,3)="PRE",
LEFT(A1398,3)="PRH",
ISNUMBER(SEARCH("NOTEBOOK",B1398)),
ISNUMBER(SEARCH("LAPTOP",B1398)),
ISNUMBER(SEARCH("MONITOR",B1398)),
ISNUMBER(SEARCH("TABLET",B1398)),
ISNUMBER(SEARCH("SMARTPH",B1398)),
ISNUMBER(SEARCH("IMPRESORA",B1398)),
ISNUMBER(SEARCH("MULTIFUNCIONAL",B1398)),
ISNUMBER(SEARCH("AIO",B1398))
),
"GANCHO",
"NORMAL"
)
)</f>
        <v>NORMAL</v>
      </c>
    </row>
    <row r="1397" spans="1:12" x14ac:dyDescent="0.25">
      <c r="A1397" s="3" t="s">
        <v>2336</v>
      </c>
      <c r="B1397" s="3" t="s">
        <v>2337</v>
      </c>
      <c r="C1397" s="1">
        <v>4</v>
      </c>
      <c r="D1397" s="1">
        <v>41</v>
      </c>
      <c r="E1397" s="1" t="s">
        <v>1166</v>
      </c>
      <c r="F1397" s="1" t="s">
        <v>3921</v>
      </c>
      <c r="G1397" s="3"/>
      <c r="H1397" s="11">
        <f>ROUND(
IF(L1395="GANCHO",
   IF(I1397&lt;=50,I1397*1.1+4,IF(I1397&lt;=120,I1397*1.1+7,IF(I1397&lt;=250,I1397*1.1+11,I1397*1.1+19))),
IF(L1395="NORMAL",
   IF(I1397&lt;=30,I1397*1.15+2,IF(I1397&lt;=80,I1397*1.15+4,IF(I1397&lt;=150,I1397*1.15+6,I1397*1.15+8))),
IF(L1395="COMPLEMENTO",
   IF(I1397&lt;=25,I1397*1.25+1.5,IF(I1397&lt;=60,I1397*1.25+3,IF(I1397&lt;=120,I1397*1.25+4,I1397*1.25+5))),
""))),2)</f>
        <v>201.62</v>
      </c>
      <c r="I1397" s="9">
        <f>($K$2+0.02)*Tabla1[[#This Row],[PRECIO $]]*1.18</f>
        <v>168.36240000000001</v>
      </c>
      <c r="J1397" s="7">
        <f>+Tabla1[[#This Row],[PRECIO EN SOLES]]-Tabla1[[#This Row],[PC]]</f>
        <v>33.257599999999996</v>
      </c>
      <c r="K1397" s="15"/>
      <c r="L1397" s="15" t="str">
        <f>IF(
OR(
ISNUMBER(SEARCH("BACKPACK",B1399)),
ISNUMBER(SEARCH("MOCHILA",B1399)),
ISNUMBER(SEARCH("FUNDA",B1399)),
ISNUMBER(SEARCH("ESTUCHE",B1399)),
ISNUMBER(SEARCH("BOOK COVER",B1399)),
ISNUMBER(SEARCH("KEYBOARD PARA TABLET",B1399)),
ISNUMBER(SEARCH("FLIP TABLET",B1399)),
ISNUMBER(SEARCH("CASE FOR TABLET",B1399)),
ISNUMBER(SEARCH("CABLE",B1399)),
ISNUMBER(SEARCH("ADAPTADOR",B1399)),
ISNUMBER(SEARCH("HUB",B1399)),
ISNUMBER(SEARCH("DOCK",B1399)),
ISNUMBER(SEARCH("MOUSE PAD",B1399)),
ISNUMBER(SEARCH("MOUSEPAD",B1399)),
ISNUMBER(SEARCH("SOPORTE",B1399)),
ISNUMBER(SEARCH("STAND",B1399)),
ISNUMBER(SEARCH("TRAVEL ADAPTER",B1399)),
ISNUMBER(SEARCH("RJ45",B1399)),
ISNUMBER(SEARCH("USB-C",B1399)),
ISNUMBER(SEARCH("USB WIFI",B1399)),
ISNUMBER(SEARCH("POWERBANK",B1399)),
ISNUMBER(SEARCH("CARGADOR",B1399)),
ISNUMBER(SEARCH("COOLER PARA NB",B1399)),
ISNUMBER(SEARCH("SOPORTE PARA NB",B1399)),
ISNUMBER(SEARCH("WEBCAM",B1399)),
ISNUMBER(SEARCH("WEB CAM",B1399)),
ISNUMBER(SEARCH("MOUSE",B1399)),
ISNUMBER(SEARCH("TECLADO",B1399))
),
"COMPLEMENTO",
IF(
OR(
LEFT(A1399,2)="NB",
LEFT(A1399,2)="PC",
LEFT(A1399,2)="WS",
LEFT(A1399,2)="TB",
LEFT(A1399,3)="CEL",
LEFT(A1399,3)="MON",
LEFT(A1399,3)="PRE",
LEFT(A1399,3)="PRH",
ISNUMBER(SEARCH("NOTEBOOK",B1399)),
ISNUMBER(SEARCH("LAPTOP",B1399)),
ISNUMBER(SEARCH("MONITOR",B1399)),
ISNUMBER(SEARCH("TABLET",B1399)),
ISNUMBER(SEARCH("SMARTPH",B1399)),
ISNUMBER(SEARCH("IMPRESORA",B1399)),
ISNUMBER(SEARCH("MULTIFUNCIONAL",B1399)),
ISNUMBER(SEARCH("AIO",B1399))
),
"GANCHO",
"NORMAL"
)
)</f>
        <v>NORMAL</v>
      </c>
    </row>
    <row r="1398" spans="1:12" x14ac:dyDescent="0.25">
      <c r="A1398" s="3" t="s">
        <v>2338</v>
      </c>
      <c r="B1398" s="3" t="s">
        <v>2339</v>
      </c>
      <c r="C1398" s="1">
        <v>1</v>
      </c>
      <c r="D1398" s="1">
        <v>163</v>
      </c>
      <c r="E1398" s="1" t="s">
        <v>1102</v>
      </c>
      <c r="F1398" s="1" t="s">
        <v>3922</v>
      </c>
      <c r="G1398" s="3"/>
      <c r="H1398" s="11">
        <f>ROUND(
IF(L1396="GANCHO",
   IF(I1398&lt;=50,I1398*1.1+4,IF(I1398&lt;=120,I1398*1.1+7,IF(I1398&lt;=250,I1398*1.1+11,I1398*1.1+19))),
IF(L1396="NORMAL",
   IF(I1398&lt;=30,I1398*1.15+2,IF(I1398&lt;=80,I1398*1.15+4,IF(I1398&lt;=150,I1398*1.15+6,I1398*1.15+8))),
IF(L1396="COMPLEMENTO",
   IF(I1398&lt;=25,I1398*1.25+1.5,IF(I1398&lt;=60,I1398*1.25+3,IF(I1398&lt;=120,I1398*1.25+4,I1398*1.25+5))),
""))),2)</f>
        <v>777.74</v>
      </c>
      <c r="I1398" s="9">
        <f>($K$2+0.02)*Tabla1[[#This Row],[PRECIO $]]*1.18</f>
        <v>669.34320000000002</v>
      </c>
      <c r="J1398" s="7">
        <f>+Tabla1[[#This Row],[PRECIO EN SOLES]]-Tabla1[[#This Row],[PC]]</f>
        <v>108.39679999999998</v>
      </c>
      <c r="K1398" s="15"/>
      <c r="L1398" s="15" t="str">
        <f>IF(
OR(
ISNUMBER(SEARCH("BACKPACK",B1400)),
ISNUMBER(SEARCH("MOCHILA",B1400)),
ISNUMBER(SEARCH("FUNDA",B1400)),
ISNUMBER(SEARCH("ESTUCHE",B1400)),
ISNUMBER(SEARCH("BOOK COVER",B1400)),
ISNUMBER(SEARCH("KEYBOARD PARA TABLET",B1400)),
ISNUMBER(SEARCH("FLIP TABLET",B1400)),
ISNUMBER(SEARCH("CASE FOR TABLET",B1400)),
ISNUMBER(SEARCH("CABLE",B1400)),
ISNUMBER(SEARCH("ADAPTADOR",B1400)),
ISNUMBER(SEARCH("HUB",B1400)),
ISNUMBER(SEARCH("DOCK",B1400)),
ISNUMBER(SEARCH("MOUSE PAD",B1400)),
ISNUMBER(SEARCH("MOUSEPAD",B1400)),
ISNUMBER(SEARCH("SOPORTE",B1400)),
ISNUMBER(SEARCH("STAND",B1400)),
ISNUMBER(SEARCH("TRAVEL ADAPTER",B1400)),
ISNUMBER(SEARCH("RJ45",B1400)),
ISNUMBER(SEARCH("USB-C",B1400)),
ISNUMBER(SEARCH("USB WIFI",B1400)),
ISNUMBER(SEARCH("POWERBANK",B1400)),
ISNUMBER(SEARCH("CARGADOR",B1400)),
ISNUMBER(SEARCH("COOLER PARA NB",B1400)),
ISNUMBER(SEARCH("SOPORTE PARA NB",B1400)),
ISNUMBER(SEARCH("WEBCAM",B1400)),
ISNUMBER(SEARCH("WEB CAM",B1400)),
ISNUMBER(SEARCH("MOUSE",B1400)),
ISNUMBER(SEARCH("TECLADO",B1400))
),
"COMPLEMENTO",
IF(
OR(
LEFT(A1400,2)="NB",
LEFT(A1400,2)="PC",
LEFT(A1400,2)="WS",
LEFT(A1400,2)="TB",
LEFT(A1400,3)="CEL",
LEFT(A1400,3)="MON",
LEFT(A1400,3)="PRE",
LEFT(A1400,3)="PRH",
ISNUMBER(SEARCH("NOTEBOOK",B1400)),
ISNUMBER(SEARCH("LAPTOP",B1400)),
ISNUMBER(SEARCH("MONITOR",B1400)),
ISNUMBER(SEARCH("TABLET",B1400)),
ISNUMBER(SEARCH("SMARTPH",B1400)),
ISNUMBER(SEARCH("IMPRESORA",B1400)),
ISNUMBER(SEARCH("MULTIFUNCIONAL",B1400)),
ISNUMBER(SEARCH("AIO",B1400))
),
"GANCHO",
"NORMAL"
)
)</f>
        <v>NORMAL</v>
      </c>
    </row>
    <row r="1399" spans="1:12" x14ac:dyDescent="0.25">
      <c r="A1399" s="3" t="s">
        <v>2340</v>
      </c>
      <c r="B1399" s="3" t="s">
        <v>2339</v>
      </c>
      <c r="C1399" s="1">
        <v>20</v>
      </c>
      <c r="D1399" s="1">
        <v>284.77</v>
      </c>
      <c r="E1399" s="1" t="s">
        <v>1102</v>
      </c>
      <c r="F1399" s="1" t="s">
        <v>3923</v>
      </c>
      <c r="G1399" s="3" t="s">
        <v>2341</v>
      </c>
      <c r="H1399" s="11">
        <f>ROUND(
IF(L1397="GANCHO",
   IF(I1399&lt;=50,I1399*1.1+4,IF(I1399&lt;=120,I1399*1.1+7,IF(I1399&lt;=250,I1399*1.1+11,I1399*1.1+19))),
IF(L1397="NORMAL",
   IF(I1399&lt;=30,I1399*1.15+2,IF(I1399&lt;=80,I1399*1.15+4,IF(I1399&lt;=150,I1399*1.15+6,I1399*1.15+8))),
IF(L1397="COMPLEMENTO",
   IF(I1399&lt;=25,I1399*1.25+1.5,IF(I1399&lt;=60,I1399*1.25+3,IF(I1399&lt;=120,I1399*1.25+4,I1399*1.25+5))),
""))),2)</f>
        <v>1352.79</v>
      </c>
      <c r="I1399" s="9">
        <f>($K$2+0.02)*Tabla1[[#This Row],[PRECIO $]]*1.18</f>
        <v>1169.3795279999999</v>
      </c>
      <c r="J1399" s="7">
        <f>+Tabla1[[#This Row],[PRECIO EN SOLES]]-Tabla1[[#This Row],[PC]]</f>
        <v>183.41047200000003</v>
      </c>
      <c r="K1399" s="15"/>
      <c r="L1399" s="15" t="str">
        <f>IF(
OR(
ISNUMBER(SEARCH("BACKPACK",B1401)),
ISNUMBER(SEARCH("MOCHILA",B1401)),
ISNUMBER(SEARCH("FUNDA",B1401)),
ISNUMBER(SEARCH("ESTUCHE",B1401)),
ISNUMBER(SEARCH("BOOK COVER",B1401)),
ISNUMBER(SEARCH("KEYBOARD PARA TABLET",B1401)),
ISNUMBER(SEARCH("FLIP TABLET",B1401)),
ISNUMBER(SEARCH("CASE FOR TABLET",B1401)),
ISNUMBER(SEARCH("CABLE",B1401)),
ISNUMBER(SEARCH("ADAPTADOR",B1401)),
ISNUMBER(SEARCH("HUB",B1401)),
ISNUMBER(SEARCH("DOCK",B1401)),
ISNUMBER(SEARCH("MOUSE PAD",B1401)),
ISNUMBER(SEARCH("MOUSEPAD",B1401)),
ISNUMBER(SEARCH("SOPORTE",B1401)),
ISNUMBER(SEARCH("STAND",B1401)),
ISNUMBER(SEARCH("TRAVEL ADAPTER",B1401)),
ISNUMBER(SEARCH("RJ45",B1401)),
ISNUMBER(SEARCH("USB-C",B1401)),
ISNUMBER(SEARCH("USB WIFI",B1401)),
ISNUMBER(SEARCH("POWERBANK",B1401)),
ISNUMBER(SEARCH("CARGADOR",B1401)),
ISNUMBER(SEARCH("COOLER PARA NB",B1401)),
ISNUMBER(SEARCH("SOPORTE PARA NB",B1401)),
ISNUMBER(SEARCH("WEBCAM",B1401)),
ISNUMBER(SEARCH("WEB CAM",B1401)),
ISNUMBER(SEARCH("MOUSE",B1401)),
ISNUMBER(SEARCH("TECLADO",B1401))
),
"COMPLEMENTO",
IF(
OR(
LEFT(A1401,2)="NB",
LEFT(A1401,2)="PC",
LEFT(A1401,2)="WS",
LEFT(A1401,2)="TB",
LEFT(A1401,3)="CEL",
LEFT(A1401,3)="MON",
LEFT(A1401,3)="PRE",
LEFT(A1401,3)="PRH",
ISNUMBER(SEARCH("NOTEBOOK",B1401)),
ISNUMBER(SEARCH("LAPTOP",B1401)),
ISNUMBER(SEARCH("MONITOR",B1401)),
ISNUMBER(SEARCH("TABLET",B1401)),
ISNUMBER(SEARCH("SMARTPH",B1401)),
ISNUMBER(SEARCH("IMPRESORA",B1401)),
ISNUMBER(SEARCH("MULTIFUNCIONAL",B1401)),
ISNUMBER(SEARCH("AIO",B1401))
),
"GANCHO",
"NORMAL"
)
)</f>
        <v>NORMAL</v>
      </c>
    </row>
    <row r="1400" spans="1:12" x14ac:dyDescent="0.25">
      <c r="A1400" s="3" t="s">
        <v>2342</v>
      </c>
      <c r="B1400" s="3" t="s">
        <v>2343</v>
      </c>
      <c r="C1400" s="1">
        <v>3</v>
      </c>
      <c r="D1400" s="1">
        <v>369</v>
      </c>
      <c r="E1400" s="1" t="s">
        <v>1102</v>
      </c>
      <c r="F1400" s="1" t="s">
        <v>3924</v>
      </c>
      <c r="G1400" s="3" t="s">
        <v>2344</v>
      </c>
      <c r="H1400" s="11">
        <f>ROUND(
IF(L1398="GANCHO",
   IF(I1400&lt;=50,I1400*1.1+4,IF(I1400&lt;=120,I1400*1.1+7,IF(I1400&lt;=250,I1400*1.1+11,I1400*1.1+19))),
IF(L1398="NORMAL",
   IF(I1400&lt;=30,I1400*1.15+2,IF(I1400&lt;=80,I1400*1.15+4,IF(I1400&lt;=150,I1400*1.15+6,I1400*1.15+8))),
IF(L1398="COMPLEMENTO",
   IF(I1400&lt;=25,I1400*1.25+1.5,IF(I1400&lt;=60,I1400*1.25+3,IF(I1400&lt;=120,I1400*1.25+4,I1400*1.25+5))),
""))),2)</f>
        <v>1750.55</v>
      </c>
      <c r="I1400" s="9">
        <f>($K$2+0.02)*Tabla1[[#This Row],[PRECIO $]]*1.18</f>
        <v>1515.2615999999998</v>
      </c>
      <c r="J1400" s="7">
        <f>+Tabla1[[#This Row],[PRECIO EN SOLES]]-Tabla1[[#This Row],[PC]]</f>
        <v>235.28840000000014</v>
      </c>
      <c r="K1400" s="15"/>
      <c r="L1400" s="15" t="str">
        <f>IF(
OR(
ISNUMBER(SEARCH("BACKPACK",B1402)),
ISNUMBER(SEARCH("MOCHILA",B1402)),
ISNUMBER(SEARCH("FUNDA",B1402)),
ISNUMBER(SEARCH("ESTUCHE",B1402)),
ISNUMBER(SEARCH("BOOK COVER",B1402)),
ISNUMBER(SEARCH("KEYBOARD PARA TABLET",B1402)),
ISNUMBER(SEARCH("FLIP TABLET",B1402)),
ISNUMBER(SEARCH("CASE FOR TABLET",B1402)),
ISNUMBER(SEARCH("CABLE",B1402)),
ISNUMBER(SEARCH("ADAPTADOR",B1402)),
ISNUMBER(SEARCH("HUB",B1402)),
ISNUMBER(SEARCH("DOCK",B1402)),
ISNUMBER(SEARCH("MOUSE PAD",B1402)),
ISNUMBER(SEARCH("MOUSEPAD",B1402)),
ISNUMBER(SEARCH("SOPORTE",B1402)),
ISNUMBER(SEARCH("STAND",B1402)),
ISNUMBER(SEARCH("TRAVEL ADAPTER",B1402)),
ISNUMBER(SEARCH("RJ45",B1402)),
ISNUMBER(SEARCH("USB-C",B1402)),
ISNUMBER(SEARCH("USB WIFI",B1402)),
ISNUMBER(SEARCH("POWERBANK",B1402)),
ISNUMBER(SEARCH("CARGADOR",B1402)),
ISNUMBER(SEARCH("COOLER PARA NB",B1402)),
ISNUMBER(SEARCH("SOPORTE PARA NB",B1402)),
ISNUMBER(SEARCH("WEBCAM",B1402)),
ISNUMBER(SEARCH("WEB CAM",B1402)),
ISNUMBER(SEARCH("MOUSE",B1402)),
ISNUMBER(SEARCH("TECLADO",B1402))
),
"COMPLEMENTO",
IF(
OR(
LEFT(A1402,2)="NB",
LEFT(A1402,2)="PC",
LEFT(A1402,2)="WS",
LEFT(A1402,2)="TB",
LEFT(A1402,3)="CEL",
LEFT(A1402,3)="MON",
LEFT(A1402,3)="PRE",
LEFT(A1402,3)="PRH",
ISNUMBER(SEARCH("NOTEBOOK",B1402)),
ISNUMBER(SEARCH("LAPTOP",B1402)),
ISNUMBER(SEARCH("MONITOR",B1402)),
ISNUMBER(SEARCH("TABLET",B1402)),
ISNUMBER(SEARCH("SMARTPH",B1402)),
ISNUMBER(SEARCH("IMPRESORA",B1402)),
ISNUMBER(SEARCH("MULTIFUNCIONAL",B1402)),
ISNUMBER(SEARCH("AIO",B1402))
),
"GANCHO",
"NORMAL"
)
)</f>
        <v>NORMAL</v>
      </c>
    </row>
    <row r="1401" spans="1:12" x14ac:dyDescent="0.25">
      <c r="A1401" s="3" t="s">
        <v>2345</v>
      </c>
      <c r="B1401" s="3" t="s">
        <v>2343</v>
      </c>
      <c r="C1401" s="1">
        <v>20</v>
      </c>
      <c r="D1401" s="1">
        <v>311.06</v>
      </c>
      <c r="E1401" s="1" t="s">
        <v>1102</v>
      </c>
      <c r="F1401" s="1" t="s">
        <v>3925</v>
      </c>
      <c r="G1401" s="3"/>
      <c r="H1401" s="11">
        <f>ROUND(
IF(L1399="GANCHO",
   IF(I1401&lt;=50,I1401*1.1+4,IF(I1401&lt;=120,I1401*1.1+7,IF(I1401&lt;=250,I1401*1.1+11,I1401*1.1+19))),
IF(L1399="NORMAL",
   IF(I1401&lt;=30,I1401*1.15+2,IF(I1401&lt;=80,I1401*1.15+4,IF(I1401&lt;=150,I1401*1.15+6,I1401*1.15+8))),
IF(L1399="COMPLEMENTO",
   IF(I1401&lt;=25,I1401*1.25+1.5,IF(I1401&lt;=60,I1401*1.25+3,IF(I1401&lt;=120,I1401*1.25+4,I1401*1.25+5))),
""))),2)</f>
        <v>1476.94</v>
      </c>
      <c r="I1401" s="9">
        <f>($K$2+0.02)*Tabla1[[#This Row],[PRECIO $]]*1.18</f>
        <v>1277.3367840000001</v>
      </c>
      <c r="J1401" s="7">
        <f>+Tabla1[[#This Row],[PRECIO EN SOLES]]-Tabla1[[#This Row],[PC]]</f>
        <v>199.60321599999997</v>
      </c>
      <c r="K1401" s="15"/>
      <c r="L1401" s="15" t="str">
        <f>IF(
OR(
ISNUMBER(SEARCH("BACKPACK",B1403)),
ISNUMBER(SEARCH("MOCHILA",B1403)),
ISNUMBER(SEARCH("FUNDA",B1403)),
ISNUMBER(SEARCH("ESTUCHE",B1403)),
ISNUMBER(SEARCH("BOOK COVER",B1403)),
ISNUMBER(SEARCH("KEYBOARD PARA TABLET",B1403)),
ISNUMBER(SEARCH("FLIP TABLET",B1403)),
ISNUMBER(SEARCH("CASE FOR TABLET",B1403)),
ISNUMBER(SEARCH("CABLE",B1403)),
ISNUMBER(SEARCH("ADAPTADOR",B1403)),
ISNUMBER(SEARCH("HUB",B1403)),
ISNUMBER(SEARCH("DOCK",B1403)),
ISNUMBER(SEARCH("MOUSE PAD",B1403)),
ISNUMBER(SEARCH("MOUSEPAD",B1403)),
ISNUMBER(SEARCH("SOPORTE",B1403)),
ISNUMBER(SEARCH("STAND",B1403)),
ISNUMBER(SEARCH("TRAVEL ADAPTER",B1403)),
ISNUMBER(SEARCH("RJ45",B1403)),
ISNUMBER(SEARCH("USB-C",B1403)),
ISNUMBER(SEARCH("USB WIFI",B1403)),
ISNUMBER(SEARCH("POWERBANK",B1403)),
ISNUMBER(SEARCH("CARGADOR",B1403)),
ISNUMBER(SEARCH("COOLER PARA NB",B1403)),
ISNUMBER(SEARCH("SOPORTE PARA NB",B1403)),
ISNUMBER(SEARCH("WEBCAM",B1403)),
ISNUMBER(SEARCH("WEB CAM",B1403)),
ISNUMBER(SEARCH("MOUSE",B1403)),
ISNUMBER(SEARCH("TECLADO",B1403))
),
"COMPLEMENTO",
IF(
OR(
LEFT(A1403,2)="NB",
LEFT(A1403,2)="PC",
LEFT(A1403,2)="WS",
LEFT(A1403,2)="TB",
LEFT(A1403,3)="CEL",
LEFT(A1403,3)="MON",
LEFT(A1403,3)="PRE",
LEFT(A1403,3)="PRH",
ISNUMBER(SEARCH("NOTEBOOK",B1403)),
ISNUMBER(SEARCH("LAPTOP",B1403)),
ISNUMBER(SEARCH("MONITOR",B1403)),
ISNUMBER(SEARCH("TABLET",B1403)),
ISNUMBER(SEARCH("SMARTPH",B1403)),
ISNUMBER(SEARCH("IMPRESORA",B1403)),
ISNUMBER(SEARCH("MULTIFUNCIONAL",B1403)),
ISNUMBER(SEARCH("AIO",B1403))
),
"GANCHO",
"NORMAL"
)
)</f>
        <v>NORMAL</v>
      </c>
    </row>
    <row r="1402" spans="1:12" x14ac:dyDescent="0.25">
      <c r="A1402" s="3" t="s">
        <v>2346</v>
      </c>
      <c r="B1402" s="3" t="s">
        <v>2347</v>
      </c>
      <c r="C1402" s="1">
        <v>9</v>
      </c>
      <c r="D1402" s="1">
        <v>172.93</v>
      </c>
      <c r="E1402" s="1" t="s">
        <v>1166</v>
      </c>
      <c r="F1402" s="1" t="s">
        <v>3926</v>
      </c>
      <c r="G1402" s="3" t="s">
        <v>2348</v>
      </c>
      <c r="H1402" s="11">
        <f>ROUND(
IF(L1400="GANCHO",
   IF(I1402&lt;=50,I1402*1.1+4,IF(I1402&lt;=120,I1402*1.1+7,IF(I1402&lt;=250,I1402*1.1+11,I1402*1.1+19))),
IF(L1400="NORMAL",
   IF(I1402&lt;=30,I1402*1.15+2,IF(I1402&lt;=80,I1402*1.15+4,IF(I1402&lt;=150,I1402*1.15+6,I1402*1.15+8))),
IF(L1400="COMPLEMENTO",
   IF(I1402&lt;=25,I1402*1.25+1.5,IF(I1402&lt;=60,I1402*1.25+3,IF(I1402&lt;=120,I1402*1.25+4,I1402*1.25+5))),
""))),2)</f>
        <v>824.64</v>
      </c>
      <c r="I1402" s="9">
        <f>($K$2+0.02)*Tabla1[[#This Row],[PRECIO $]]*1.18</f>
        <v>710.11975200000006</v>
      </c>
      <c r="J1402" s="7">
        <f>+Tabla1[[#This Row],[PRECIO EN SOLES]]-Tabla1[[#This Row],[PC]]</f>
        <v>114.52024799999992</v>
      </c>
      <c r="K1402" s="15"/>
      <c r="L1402" s="15" t="str">
        <f>IF(
OR(
ISNUMBER(SEARCH("BACKPACK",B1404)),
ISNUMBER(SEARCH("MOCHILA",B1404)),
ISNUMBER(SEARCH("FUNDA",B1404)),
ISNUMBER(SEARCH("ESTUCHE",B1404)),
ISNUMBER(SEARCH("BOOK COVER",B1404)),
ISNUMBER(SEARCH("KEYBOARD PARA TABLET",B1404)),
ISNUMBER(SEARCH("FLIP TABLET",B1404)),
ISNUMBER(SEARCH("CASE FOR TABLET",B1404)),
ISNUMBER(SEARCH("CABLE",B1404)),
ISNUMBER(SEARCH("ADAPTADOR",B1404)),
ISNUMBER(SEARCH("HUB",B1404)),
ISNUMBER(SEARCH("DOCK",B1404)),
ISNUMBER(SEARCH("MOUSE PAD",B1404)),
ISNUMBER(SEARCH("MOUSEPAD",B1404)),
ISNUMBER(SEARCH("SOPORTE",B1404)),
ISNUMBER(SEARCH("STAND",B1404)),
ISNUMBER(SEARCH("TRAVEL ADAPTER",B1404)),
ISNUMBER(SEARCH("RJ45",B1404)),
ISNUMBER(SEARCH("USB-C",B1404)),
ISNUMBER(SEARCH("USB WIFI",B1404)),
ISNUMBER(SEARCH("POWERBANK",B1404)),
ISNUMBER(SEARCH("CARGADOR",B1404)),
ISNUMBER(SEARCH("COOLER PARA NB",B1404)),
ISNUMBER(SEARCH("SOPORTE PARA NB",B1404)),
ISNUMBER(SEARCH("WEBCAM",B1404)),
ISNUMBER(SEARCH("WEB CAM",B1404)),
ISNUMBER(SEARCH("MOUSE",B1404)),
ISNUMBER(SEARCH("TECLADO",B1404))
),
"COMPLEMENTO",
IF(
OR(
LEFT(A1404,2)="NB",
LEFT(A1404,2)="PC",
LEFT(A1404,2)="WS",
LEFT(A1404,2)="TB",
LEFT(A1404,3)="CEL",
LEFT(A1404,3)="MON",
LEFT(A1404,3)="PRE",
LEFT(A1404,3)="PRH",
ISNUMBER(SEARCH("NOTEBOOK",B1404)),
ISNUMBER(SEARCH("LAPTOP",B1404)),
ISNUMBER(SEARCH("MONITOR",B1404)),
ISNUMBER(SEARCH("TABLET",B1404)),
ISNUMBER(SEARCH("SMARTPH",B1404)),
ISNUMBER(SEARCH("IMPRESORA",B1404)),
ISNUMBER(SEARCH("MULTIFUNCIONAL",B1404)),
ISNUMBER(SEARCH("AIO",B1404))
),
"GANCHO",
"NORMAL"
)
)</f>
        <v>NORMAL</v>
      </c>
    </row>
    <row r="1403" spans="1:12" x14ac:dyDescent="0.25">
      <c r="A1403" s="3" t="s">
        <v>2352</v>
      </c>
      <c r="B1403" s="3" t="s">
        <v>2353</v>
      </c>
      <c r="C1403" s="1">
        <v>2</v>
      </c>
      <c r="D1403" s="1">
        <v>450</v>
      </c>
      <c r="E1403" s="1" t="s">
        <v>1102</v>
      </c>
      <c r="F1403" s="1" t="s">
        <v>3928</v>
      </c>
      <c r="G1403" s="3" t="s">
        <v>2354</v>
      </c>
      <c r="H1403" s="11">
        <f>ROUND(
IF(L1401="GANCHO",
   IF(I1403&lt;=50,I1403*1.1+4,IF(I1403&lt;=120,I1403*1.1+7,IF(I1403&lt;=250,I1403*1.1+11,I1403*1.1+19))),
IF(L1401="NORMAL",
   IF(I1403&lt;=30,I1403*1.15+2,IF(I1403&lt;=80,I1403*1.15+4,IF(I1403&lt;=150,I1403*1.15+6,I1403*1.15+8))),
IF(L1401="COMPLEMENTO",
   IF(I1403&lt;=25,I1403*1.25+1.5,IF(I1403&lt;=60,I1403*1.25+3,IF(I1403&lt;=120,I1403*1.25+4,I1403*1.25+5))),
""))),2)</f>
        <v>2133.06</v>
      </c>
      <c r="I1403" s="9">
        <f>($K$2+0.02)*Tabla1[[#This Row],[PRECIO $]]*1.18</f>
        <v>1847.8799999999999</v>
      </c>
      <c r="J1403" s="7">
        <f>+Tabla1[[#This Row],[PRECIO EN SOLES]]-Tabla1[[#This Row],[PC]]</f>
        <v>285.18000000000006</v>
      </c>
      <c r="K1403" s="15"/>
      <c r="L1403" s="15" t="str">
        <f>IF(
OR(
ISNUMBER(SEARCH("BACKPACK",B1405)),
ISNUMBER(SEARCH("MOCHILA",B1405)),
ISNUMBER(SEARCH("FUNDA",B1405)),
ISNUMBER(SEARCH("ESTUCHE",B1405)),
ISNUMBER(SEARCH("BOOK COVER",B1405)),
ISNUMBER(SEARCH("KEYBOARD PARA TABLET",B1405)),
ISNUMBER(SEARCH("FLIP TABLET",B1405)),
ISNUMBER(SEARCH("CASE FOR TABLET",B1405)),
ISNUMBER(SEARCH("CABLE",B1405)),
ISNUMBER(SEARCH("ADAPTADOR",B1405)),
ISNUMBER(SEARCH("HUB",B1405)),
ISNUMBER(SEARCH("DOCK",B1405)),
ISNUMBER(SEARCH("MOUSE PAD",B1405)),
ISNUMBER(SEARCH("MOUSEPAD",B1405)),
ISNUMBER(SEARCH("SOPORTE",B1405)),
ISNUMBER(SEARCH("STAND",B1405)),
ISNUMBER(SEARCH("TRAVEL ADAPTER",B1405)),
ISNUMBER(SEARCH("RJ45",B1405)),
ISNUMBER(SEARCH("USB-C",B1405)),
ISNUMBER(SEARCH("USB WIFI",B1405)),
ISNUMBER(SEARCH("POWERBANK",B1405)),
ISNUMBER(SEARCH("CARGADOR",B1405)),
ISNUMBER(SEARCH("COOLER PARA NB",B1405)),
ISNUMBER(SEARCH("SOPORTE PARA NB",B1405)),
ISNUMBER(SEARCH("WEBCAM",B1405)),
ISNUMBER(SEARCH("WEB CAM",B1405)),
ISNUMBER(SEARCH("MOUSE",B1405)),
ISNUMBER(SEARCH("TECLADO",B1405))
),
"COMPLEMENTO",
IF(
OR(
LEFT(A1405,2)="NB",
LEFT(A1405,2)="PC",
LEFT(A1405,2)="WS",
LEFT(A1405,2)="TB",
LEFT(A1405,3)="CEL",
LEFT(A1405,3)="MON",
LEFT(A1405,3)="PRE",
LEFT(A1405,3)="PRH",
ISNUMBER(SEARCH("NOTEBOOK",B1405)),
ISNUMBER(SEARCH("LAPTOP",B1405)),
ISNUMBER(SEARCH("MONITOR",B1405)),
ISNUMBER(SEARCH("TABLET",B1405)),
ISNUMBER(SEARCH("SMARTPH",B1405)),
ISNUMBER(SEARCH("IMPRESORA",B1405)),
ISNUMBER(SEARCH("MULTIFUNCIONAL",B1405)),
ISNUMBER(SEARCH("AIO",B1405))
),
"GANCHO",
"NORMAL"
)
)</f>
        <v>NORMAL</v>
      </c>
    </row>
    <row r="1404" spans="1:12" x14ac:dyDescent="0.25">
      <c r="A1404" s="3" t="s">
        <v>2355</v>
      </c>
      <c r="B1404" s="3" t="s">
        <v>2356</v>
      </c>
      <c r="C1404" s="1">
        <v>7</v>
      </c>
      <c r="D1404" s="1">
        <v>350</v>
      </c>
      <c r="E1404" s="1" t="s">
        <v>1102</v>
      </c>
      <c r="F1404" s="1" t="s">
        <v>3929</v>
      </c>
      <c r="G1404" s="3"/>
      <c r="H1404" s="11">
        <f>ROUND(
IF(L1402="GANCHO",
   IF(I1404&lt;=50,I1404*1.1+4,IF(I1404&lt;=120,I1404*1.1+7,IF(I1404&lt;=250,I1404*1.1+11,I1404*1.1+19))),
IF(L1402="NORMAL",
   IF(I1404&lt;=30,I1404*1.15+2,IF(I1404&lt;=80,I1404*1.15+4,IF(I1404&lt;=150,I1404*1.15+6,I1404*1.15+8))),
IF(L1402="COMPLEMENTO",
   IF(I1404&lt;=25,I1404*1.25+1.5,IF(I1404&lt;=60,I1404*1.25+3,IF(I1404&lt;=120,I1404*1.25+4,I1404*1.25+5))),
""))),2)</f>
        <v>1660.83</v>
      </c>
      <c r="I1404" s="9">
        <f>($K$2+0.02)*Tabla1[[#This Row],[PRECIO $]]*1.18</f>
        <v>1437.24</v>
      </c>
      <c r="J1404" s="7">
        <f>+Tabla1[[#This Row],[PRECIO EN SOLES]]-Tabla1[[#This Row],[PC]]</f>
        <v>223.58999999999992</v>
      </c>
      <c r="K1404" s="15"/>
      <c r="L1404" s="15" t="str">
        <f>IF(
OR(
ISNUMBER(SEARCH("BACKPACK",B1406)),
ISNUMBER(SEARCH("MOCHILA",B1406)),
ISNUMBER(SEARCH("FUNDA",B1406)),
ISNUMBER(SEARCH("ESTUCHE",B1406)),
ISNUMBER(SEARCH("BOOK COVER",B1406)),
ISNUMBER(SEARCH("KEYBOARD PARA TABLET",B1406)),
ISNUMBER(SEARCH("FLIP TABLET",B1406)),
ISNUMBER(SEARCH("CASE FOR TABLET",B1406)),
ISNUMBER(SEARCH("CABLE",B1406)),
ISNUMBER(SEARCH("ADAPTADOR",B1406)),
ISNUMBER(SEARCH("HUB",B1406)),
ISNUMBER(SEARCH("DOCK",B1406)),
ISNUMBER(SEARCH("MOUSE PAD",B1406)),
ISNUMBER(SEARCH("MOUSEPAD",B1406)),
ISNUMBER(SEARCH("SOPORTE",B1406)),
ISNUMBER(SEARCH("STAND",B1406)),
ISNUMBER(SEARCH("TRAVEL ADAPTER",B1406)),
ISNUMBER(SEARCH("RJ45",B1406)),
ISNUMBER(SEARCH("USB-C",B1406)),
ISNUMBER(SEARCH("USB WIFI",B1406)),
ISNUMBER(SEARCH("POWERBANK",B1406)),
ISNUMBER(SEARCH("CARGADOR",B1406)),
ISNUMBER(SEARCH("COOLER PARA NB",B1406)),
ISNUMBER(SEARCH("SOPORTE PARA NB",B1406)),
ISNUMBER(SEARCH("WEBCAM",B1406)),
ISNUMBER(SEARCH("WEB CAM",B1406)),
ISNUMBER(SEARCH("MOUSE",B1406)),
ISNUMBER(SEARCH("TECLADO",B1406))
),
"COMPLEMENTO",
IF(
OR(
LEFT(A1406,2)="NB",
LEFT(A1406,2)="PC",
LEFT(A1406,2)="WS",
LEFT(A1406,2)="TB",
LEFT(A1406,3)="CEL",
LEFT(A1406,3)="MON",
LEFT(A1406,3)="PRE",
LEFT(A1406,3)="PRH",
ISNUMBER(SEARCH("NOTEBOOK",B1406)),
ISNUMBER(SEARCH("LAPTOP",B1406)),
ISNUMBER(SEARCH("MONITOR",B1406)),
ISNUMBER(SEARCH("TABLET",B1406)),
ISNUMBER(SEARCH("SMARTPH",B1406)),
ISNUMBER(SEARCH("IMPRESORA",B1406)),
ISNUMBER(SEARCH("MULTIFUNCIONAL",B1406)),
ISNUMBER(SEARCH("AIO",B1406))
),
"GANCHO",
"NORMAL"
)
)</f>
        <v>NORMAL</v>
      </c>
    </row>
    <row r="1405" spans="1:12" x14ac:dyDescent="0.25">
      <c r="A1405" s="3" t="s">
        <v>2357</v>
      </c>
      <c r="B1405" s="3" t="s">
        <v>2358</v>
      </c>
      <c r="C1405" s="1">
        <v>1</v>
      </c>
      <c r="D1405" s="1">
        <v>168.42</v>
      </c>
      <c r="E1405" s="1" t="s">
        <v>1102</v>
      </c>
      <c r="F1405" s="1" t="s">
        <v>3930</v>
      </c>
      <c r="G1405" s="3"/>
      <c r="H1405" s="11">
        <f>ROUND(
IF(L1403="GANCHO",
   IF(I1405&lt;=50,I1405*1.1+4,IF(I1405&lt;=120,I1405*1.1+7,IF(I1405&lt;=250,I1405*1.1+11,I1405*1.1+19))),
IF(L1403="NORMAL",
   IF(I1405&lt;=30,I1405*1.15+2,IF(I1405&lt;=80,I1405*1.15+4,IF(I1405&lt;=150,I1405*1.15+6,I1405*1.15+8))),
IF(L1403="COMPLEMENTO",
   IF(I1405&lt;=25,I1405*1.25+1.5,IF(I1405&lt;=60,I1405*1.25+3,IF(I1405&lt;=120,I1405*1.25+4,I1405*1.25+5))),
""))),2)</f>
        <v>803.34</v>
      </c>
      <c r="I1405" s="9">
        <f>($K$2+0.02)*Tabla1[[#This Row],[PRECIO $]]*1.18</f>
        <v>691.59988799999996</v>
      </c>
      <c r="J1405" s="7">
        <f>+Tabla1[[#This Row],[PRECIO EN SOLES]]-Tabla1[[#This Row],[PC]]</f>
        <v>111.74011200000007</v>
      </c>
      <c r="K1405" s="15"/>
      <c r="L1405" s="15" t="str">
        <f>IF(
OR(
ISNUMBER(SEARCH("BACKPACK",B1407)),
ISNUMBER(SEARCH("MOCHILA",B1407)),
ISNUMBER(SEARCH("FUNDA",B1407)),
ISNUMBER(SEARCH("ESTUCHE",B1407)),
ISNUMBER(SEARCH("BOOK COVER",B1407)),
ISNUMBER(SEARCH("KEYBOARD PARA TABLET",B1407)),
ISNUMBER(SEARCH("FLIP TABLET",B1407)),
ISNUMBER(SEARCH("CASE FOR TABLET",B1407)),
ISNUMBER(SEARCH("CABLE",B1407)),
ISNUMBER(SEARCH("ADAPTADOR",B1407)),
ISNUMBER(SEARCH("HUB",B1407)),
ISNUMBER(SEARCH("DOCK",B1407)),
ISNUMBER(SEARCH("MOUSE PAD",B1407)),
ISNUMBER(SEARCH("MOUSEPAD",B1407)),
ISNUMBER(SEARCH("SOPORTE",B1407)),
ISNUMBER(SEARCH("STAND",B1407)),
ISNUMBER(SEARCH("TRAVEL ADAPTER",B1407)),
ISNUMBER(SEARCH("RJ45",B1407)),
ISNUMBER(SEARCH("USB-C",B1407)),
ISNUMBER(SEARCH("USB WIFI",B1407)),
ISNUMBER(SEARCH("POWERBANK",B1407)),
ISNUMBER(SEARCH("CARGADOR",B1407)),
ISNUMBER(SEARCH("COOLER PARA NB",B1407)),
ISNUMBER(SEARCH("SOPORTE PARA NB",B1407)),
ISNUMBER(SEARCH("WEBCAM",B1407)),
ISNUMBER(SEARCH("WEB CAM",B1407)),
ISNUMBER(SEARCH("MOUSE",B1407)),
ISNUMBER(SEARCH("TECLADO",B1407))
),
"COMPLEMENTO",
IF(
OR(
LEFT(A1407,2)="NB",
LEFT(A1407,2)="PC",
LEFT(A1407,2)="WS",
LEFT(A1407,2)="TB",
LEFT(A1407,3)="CEL",
LEFT(A1407,3)="MON",
LEFT(A1407,3)="PRE",
LEFT(A1407,3)="PRH",
ISNUMBER(SEARCH("NOTEBOOK",B1407)),
ISNUMBER(SEARCH("LAPTOP",B1407)),
ISNUMBER(SEARCH("MONITOR",B1407)),
ISNUMBER(SEARCH("TABLET",B1407)),
ISNUMBER(SEARCH("SMARTPH",B1407)),
ISNUMBER(SEARCH("IMPRESORA",B1407)),
ISNUMBER(SEARCH("MULTIFUNCIONAL",B1407)),
ISNUMBER(SEARCH("AIO",B1407))
),
"GANCHO",
"NORMAL"
)
)</f>
        <v>NORMAL</v>
      </c>
    </row>
    <row r="1406" spans="1:12" x14ac:dyDescent="0.25">
      <c r="A1406" s="3" t="s">
        <v>2359</v>
      </c>
      <c r="B1406" s="3" t="s">
        <v>2360</v>
      </c>
      <c r="C1406" s="1">
        <v>1</v>
      </c>
      <c r="D1406" s="1">
        <v>678</v>
      </c>
      <c r="E1406" s="1" t="s">
        <v>1102</v>
      </c>
      <c r="F1406" s="1" t="s">
        <v>3931</v>
      </c>
      <c r="G1406" s="3" t="s">
        <v>2361</v>
      </c>
      <c r="H1406" s="11">
        <f>ROUND(
IF(L1404="GANCHO",
   IF(I1406&lt;=50,I1406*1.1+4,IF(I1406&lt;=120,I1406*1.1+7,IF(I1406&lt;=250,I1406*1.1+11,I1406*1.1+19))),
IF(L1404="NORMAL",
   IF(I1406&lt;=30,I1406*1.15+2,IF(I1406&lt;=80,I1406*1.15+4,IF(I1406&lt;=150,I1406*1.15+6,I1406*1.15+8))),
IF(L1404="COMPLEMENTO",
   IF(I1406&lt;=25,I1406*1.25+1.5,IF(I1406&lt;=60,I1406*1.25+3,IF(I1406&lt;=120,I1406*1.25+4,I1406*1.25+5))),
""))),2)</f>
        <v>3209.76</v>
      </c>
      <c r="I1406" s="9">
        <f>($K$2+0.02)*Tabla1[[#This Row],[PRECIO $]]*1.18</f>
        <v>2784.1392000000001</v>
      </c>
      <c r="J1406" s="7">
        <f>+Tabla1[[#This Row],[PRECIO EN SOLES]]-Tabla1[[#This Row],[PC]]</f>
        <v>425.62080000000014</v>
      </c>
      <c r="K1406" s="15"/>
      <c r="L1406" s="15" t="str">
        <f>IF(
OR(
ISNUMBER(SEARCH("BACKPACK",B1408)),
ISNUMBER(SEARCH("MOCHILA",B1408)),
ISNUMBER(SEARCH("FUNDA",B1408)),
ISNUMBER(SEARCH("ESTUCHE",B1408)),
ISNUMBER(SEARCH("BOOK COVER",B1408)),
ISNUMBER(SEARCH("KEYBOARD PARA TABLET",B1408)),
ISNUMBER(SEARCH("FLIP TABLET",B1408)),
ISNUMBER(SEARCH("CASE FOR TABLET",B1408)),
ISNUMBER(SEARCH("CABLE",B1408)),
ISNUMBER(SEARCH("ADAPTADOR",B1408)),
ISNUMBER(SEARCH("HUB",B1408)),
ISNUMBER(SEARCH("DOCK",B1408)),
ISNUMBER(SEARCH("MOUSE PAD",B1408)),
ISNUMBER(SEARCH("MOUSEPAD",B1408)),
ISNUMBER(SEARCH("SOPORTE",B1408)),
ISNUMBER(SEARCH("STAND",B1408)),
ISNUMBER(SEARCH("TRAVEL ADAPTER",B1408)),
ISNUMBER(SEARCH("RJ45",B1408)),
ISNUMBER(SEARCH("USB-C",B1408)),
ISNUMBER(SEARCH("USB WIFI",B1408)),
ISNUMBER(SEARCH("POWERBANK",B1408)),
ISNUMBER(SEARCH("CARGADOR",B1408)),
ISNUMBER(SEARCH("COOLER PARA NB",B1408)),
ISNUMBER(SEARCH("SOPORTE PARA NB",B1408)),
ISNUMBER(SEARCH("WEBCAM",B1408)),
ISNUMBER(SEARCH("WEB CAM",B1408)),
ISNUMBER(SEARCH("MOUSE",B1408)),
ISNUMBER(SEARCH("TECLADO",B1408))
),
"COMPLEMENTO",
IF(
OR(
LEFT(A1408,2)="NB",
LEFT(A1408,2)="PC",
LEFT(A1408,2)="WS",
LEFT(A1408,2)="TB",
LEFT(A1408,3)="CEL",
LEFT(A1408,3)="MON",
LEFT(A1408,3)="PRE",
LEFT(A1408,3)="PRH",
ISNUMBER(SEARCH("NOTEBOOK",B1408)),
ISNUMBER(SEARCH("LAPTOP",B1408)),
ISNUMBER(SEARCH("MONITOR",B1408)),
ISNUMBER(SEARCH("TABLET",B1408)),
ISNUMBER(SEARCH("SMARTPH",B1408)),
ISNUMBER(SEARCH("IMPRESORA",B1408)),
ISNUMBER(SEARCH("MULTIFUNCIONAL",B1408)),
ISNUMBER(SEARCH("AIO",B1408))
),
"GANCHO",
"NORMAL"
)
)</f>
        <v>NORMAL</v>
      </c>
    </row>
    <row r="1407" spans="1:12" x14ac:dyDescent="0.25">
      <c r="A1407" s="3" t="s">
        <v>6567</v>
      </c>
      <c r="B1407" s="3" t="s">
        <v>6568</v>
      </c>
      <c r="C1407" s="1">
        <v>1</v>
      </c>
      <c r="D1407" s="1">
        <v>326</v>
      </c>
      <c r="E1407" s="1" t="s">
        <v>1166</v>
      </c>
      <c r="F1407" s="1" t="s">
        <v>6569</v>
      </c>
      <c r="G1407" s="3" t="s">
        <v>6570</v>
      </c>
      <c r="H1407" s="11">
        <f>ROUND(
IF(L1405="GANCHO",
   IF(I1407&lt;=50,I1407*1.1+4,IF(I1407&lt;=120,I1407*1.1+7,IF(I1407&lt;=250,I1407*1.1+11,I1407*1.1+19))),
IF(L1405="NORMAL",
   IF(I1407&lt;=30,I1407*1.15+2,IF(I1407&lt;=80,I1407*1.15+4,IF(I1407&lt;=150,I1407*1.15+6,I1407*1.15+8))),
IF(L1405="COMPLEMENTO",
   IF(I1407&lt;=25,I1407*1.25+1.5,IF(I1407&lt;=60,I1407*1.25+3,IF(I1407&lt;=120,I1407*1.25+4,I1407*1.25+5))),
""))),2)</f>
        <v>1547.49</v>
      </c>
      <c r="I1407" s="9">
        <f>($K$2+0.02)*Tabla1[[#This Row],[PRECIO $]]*1.18</f>
        <v>1338.6864</v>
      </c>
      <c r="J1407" s="7">
        <f>+Tabla1[[#This Row],[PRECIO EN SOLES]]-Tabla1[[#This Row],[PC]]</f>
        <v>208.80359999999996</v>
      </c>
      <c r="K1407" s="15"/>
      <c r="L1407" s="15" t="str">
        <f>IF(
OR(
ISNUMBER(SEARCH("BACKPACK",B1409)),
ISNUMBER(SEARCH("MOCHILA",B1409)),
ISNUMBER(SEARCH("FUNDA",B1409)),
ISNUMBER(SEARCH("ESTUCHE",B1409)),
ISNUMBER(SEARCH("BOOK COVER",B1409)),
ISNUMBER(SEARCH("KEYBOARD PARA TABLET",B1409)),
ISNUMBER(SEARCH("FLIP TABLET",B1409)),
ISNUMBER(SEARCH("CASE FOR TABLET",B1409)),
ISNUMBER(SEARCH("CABLE",B1409)),
ISNUMBER(SEARCH("ADAPTADOR",B1409)),
ISNUMBER(SEARCH("HUB",B1409)),
ISNUMBER(SEARCH("DOCK",B1409)),
ISNUMBER(SEARCH("MOUSE PAD",B1409)),
ISNUMBER(SEARCH("MOUSEPAD",B1409)),
ISNUMBER(SEARCH("SOPORTE",B1409)),
ISNUMBER(SEARCH("STAND",B1409)),
ISNUMBER(SEARCH("TRAVEL ADAPTER",B1409)),
ISNUMBER(SEARCH("RJ45",B1409)),
ISNUMBER(SEARCH("USB-C",B1409)),
ISNUMBER(SEARCH("USB WIFI",B1409)),
ISNUMBER(SEARCH("POWERBANK",B1409)),
ISNUMBER(SEARCH("CARGADOR",B1409)),
ISNUMBER(SEARCH("COOLER PARA NB",B1409)),
ISNUMBER(SEARCH("SOPORTE PARA NB",B1409)),
ISNUMBER(SEARCH("WEBCAM",B1409)),
ISNUMBER(SEARCH("WEB CAM",B1409)),
ISNUMBER(SEARCH("MOUSE",B1409)),
ISNUMBER(SEARCH("TECLADO",B1409))
),
"COMPLEMENTO",
IF(
OR(
LEFT(A1409,2)="NB",
LEFT(A1409,2)="PC",
LEFT(A1409,2)="WS",
LEFT(A1409,2)="TB",
LEFT(A1409,3)="CEL",
LEFT(A1409,3)="MON",
LEFT(A1409,3)="PRE",
LEFT(A1409,3)="PRH",
ISNUMBER(SEARCH("NOTEBOOK",B1409)),
ISNUMBER(SEARCH("LAPTOP",B1409)),
ISNUMBER(SEARCH("MONITOR",B1409)),
ISNUMBER(SEARCH("TABLET",B1409)),
ISNUMBER(SEARCH("SMARTPH",B1409)),
ISNUMBER(SEARCH("IMPRESORA",B1409)),
ISNUMBER(SEARCH("MULTIFUNCIONAL",B1409)),
ISNUMBER(SEARCH("AIO",B1409))
),
"GANCHO",
"NORMAL"
)
)</f>
        <v>NORMAL</v>
      </c>
    </row>
    <row r="1408" spans="1:12" x14ac:dyDescent="0.25">
      <c r="A1408" s="3" t="s">
        <v>2362</v>
      </c>
      <c r="B1408" s="3" t="s">
        <v>2363</v>
      </c>
      <c r="C1408" s="1">
        <v>7</v>
      </c>
      <c r="D1408" s="1">
        <v>190.15</v>
      </c>
      <c r="E1408" s="1" t="s">
        <v>1166</v>
      </c>
      <c r="F1408" s="1" t="s">
        <v>3932</v>
      </c>
      <c r="G1408" s="3" t="s">
        <v>2364</v>
      </c>
      <c r="H1408" s="11">
        <f>ROUND(
IF(L1406="GANCHO",
   IF(I1408&lt;=50,I1408*1.1+4,IF(I1408&lt;=120,I1408*1.1+7,IF(I1408&lt;=250,I1408*1.1+11,I1408*1.1+19))),
IF(L1406="NORMAL",
   IF(I1408&lt;=30,I1408*1.15+2,IF(I1408&lt;=80,I1408*1.15+4,IF(I1408&lt;=150,I1408*1.15+6,I1408*1.15+8))),
IF(L1406="COMPLEMENTO",
   IF(I1408&lt;=25,I1408*1.25+1.5,IF(I1408&lt;=60,I1408*1.25+3,IF(I1408&lt;=120,I1408*1.25+4,I1408*1.25+5))),
""))),2)</f>
        <v>905.96</v>
      </c>
      <c r="I1408" s="9">
        <f>($K$2+0.02)*Tabla1[[#This Row],[PRECIO $]]*1.18</f>
        <v>780.83195999999998</v>
      </c>
      <c r="J1408" s="7">
        <f>+Tabla1[[#This Row],[PRECIO EN SOLES]]-Tabla1[[#This Row],[PC]]</f>
        <v>125.12804000000006</v>
      </c>
      <c r="K1408" s="15"/>
      <c r="L1408" s="15" t="str">
        <f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09" spans="1:12" x14ac:dyDescent="0.25">
      <c r="A1409" s="3" t="s">
        <v>764</v>
      </c>
      <c r="B1409" s="3" t="s">
        <v>682</v>
      </c>
      <c r="C1409" s="1">
        <v>9</v>
      </c>
      <c r="D1409" s="1">
        <v>106</v>
      </c>
      <c r="E1409" s="1" t="s">
        <v>52</v>
      </c>
      <c r="F1409" s="1" t="s">
        <v>3933</v>
      </c>
      <c r="G1409" s="3" t="s">
        <v>765</v>
      </c>
      <c r="H1409" s="11">
        <f>ROUND(
IF(L1407="GANCHO",
   IF(I1409&lt;=50,I1409*1.1+4,IF(I1409&lt;=120,I1409*1.1+7,IF(I1409&lt;=250,I1409*1.1+11,I1409*1.1+19))),
IF(L1407="NORMAL",
   IF(I1409&lt;=30,I1409*1.15+2,IF(I1409&lt;=80,I1409*1.15+4,IF(I1409&lt;=150,I1409*1.15+6,I1409*1.15+8))),
IF(L1407="COMPLEMENTO",
   IF(I1409&lt;=25,I1409*1.25+1.5,IF(I1409&lt;=60,I1409*1.25+3,IF(I1409&lt;=120,I1409*1.25+4,I1409*1.25+5))),
""))),2)</f>
        <v>508.57</v>
      </c>
      <c r="I1409" s="9">
        <f>($K$2+0.02)*Tabla1[[#This Row],[PRECIO $]]*1.18</f>
        <v>435.27839999999998</v>
      </c>
      <c r="J1409" s="7">
        <f>+Tabla1[[#This Row],[PRECIO EN SOLES]]-Tabla1[[#This Row],[PC]]</f>
        <v>73.291600000000017</v>
      </c>
      <c r="K1409" s="15"/>
      <c r="L1409" s="15" t="str">
        <f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0" spans="1:12" x14ac:dyDescent="0.25">
      <c r="A1410" s="3" t="s">
        <v>2365</v>
      </c>
      <c r="B1410" s="3" t="s">
        <v>682</v>
      </c>
      <c r="C1410" s="1">
        <v>0</v>
      </c>
      <c r="D1410" s="1">
        <v>9999999.9900000002</v>
      </c>
      <c r="E1410" s="1" t="s">
        <v>52</v>
      </c>
      <c r="F1410" s="1" t="s">
        <v>3934</v>
      </c>
      <c r="G1410" s="3"/>
      <c r="H1410" s="11">
        <f>ROUND(
IF(L1408="GANCHO",
   IF(I1410&lt;=50,I1410*1.1+4,IF(I1410&lt;=120,I1410*1.1+7,IF(I1410&lt;=250,I1410*1.1+11,I1410*1.1+19))),
IF(L1408="NORMAL",
   IF(I1410&lt;=30,I1410*1.15+2,IF(I1410&lt;=80,I1410*1.15+4,IF(I1410&lt;=150,I1410*1.15+6,I1410*1.15+8))),
IF(L1408="COMPLEMENTO",
   IF(I1410&lt;=25,I1410*1.25+1.5,IF(I1410&lt;=60,I1410*1.25+3,IF(I1410&lt;=120,I1410*1.25+4,I1410*1.25+5))),
""))),2)</f>
        <v>47223607.950000003</v>
      </c>
      <c r="I1410" s="9">
        <f>($K$2+0.02)*Tabla1[[#This Row],[PRECIO $]]*1.18</f>
        <v>41063999.958935998</v>
      </c>
      <c r="J1410" s="7">
        <f>+Tabla1[[#This Row],[PRECIO EN SOLES]]-Tabla1[[#This Row],[PC]]</f>
        <v>6159607.9910640046</v>
      </c>
      <c r="K1410" s="15"/>
      <c r="L1410" s="15" t="str">
        <f>IF(
OR(
ISNUMBER(SEARCH("BACKPACK",B1412)),
ISNUMBER(SEARCH("MOCHILA",B1412)),
ISNUMBER(SEARCH("FUNDA",B1412)),
ISNUMBER(SEARCH("ESTUCHE",B1412)),
ISNUMBER(SEARCH("BOOK COVER",B1412)),
ISNUMBER(SEARCH("KEYBOARD PARA TABLET",B1412)),
ISNUMBER(SEARCH("FLIP TABLET",B1412)),
ISNUMBER(SEARCH("CASE FOR TABLET",B1412)),
ISNUMBER(SEARCH("CABLE",B1412)),
ISNUMBER(SEARCH("ADAPTADOR",B1412)),
ISNUMBER(SEARCH("HUB",B1412)),
ISNUMBER(SEARCH("DOCK",B1412)),
ISNUMBER(SEARCH("MOUSE PAD",B1412)),
ISNUMBER(SEARCH("MOUSEPAD",B1412)),
ISNUMBER(SEARCH("SOPORTE",B1412)),
ISNUMBER(SEARCH("STAND",B1412)),
ISNUMBER(SEARCH("TRAVEL ADAPTER",B1412)),
ISNUMBER(SEARCH("RJ45",B1412)),
ISNUMBER(SEARCH("USB-C",B1412)),
ISNUMBER(SEARCH("USB WIFI",B1412)),
ISNUMBER(SEARCH("POWERBANK",B1412)),
ISNUMBER(SEARCH("CARGADOR",B1412)),
ISNUMBER(SEARCH("COOLER PARA NB",B1412)),
ISNUMBER(SEARCH("SOPORTE PARA NB",B1412)),
ISNUMBER(SEARCH("WEBCAM",B1412)),
ISNUMBER(SEARCH("WEB CAM",B1412)),
ISNUMBER(SEARCH("MOUSE",B1412)),
ISNUMBER(SEARCH("TECLADO",B1412))
),
"COMPLEMENTO",
IF(
OR(
LEFT(A1412,2)="NB",
LEFT(A1412,2)="PC",
LEFT(A1412,2)="WS",
LEFT(A1412,2)="TB",
LEFT(A1412,3)="CEL",
LEFT(A1412,3)="MON",
LEFT(A1412,3)="PRE",
LEFT(A1412,3)="PRH",
ISNUMBER(SEARCH("NOTEBOOK",B1412)),
ISNUMBER(SEARCH("LAPTOP",B1412)),
ISNUMBER(SEARCH("MONITOR",B1412)),
ISNUMBER(SEARCH("TABLET",B1412)),
ISNUMBER(SEARCH("SMARTPH",B1412)),
ISNUMBER(SEARCH("IMPRESORA",B1412)),
ISNUMBER(SEARCH("MULTIFUNCIONAL",B1412)),
ISNUMBER(SEARCH("AIO",B1412))
),
"GANCHO",
"NORMAL"
)
)</f>
        <v>NORMAL</v>
      </c>
    </row>
    <row r="1411" spans="1:12" x14ac:dyDescent="0.25">
      <c r="A1411" s="3" t="s">
        <v>440</v>
      </c>
      <c r="B1411" s="3" t="s">
        <v>441</v>
      </c>
      <c r="C1411" s="1">
        <v>20</v>
      </c>
      <c r="D1411" s="1">
        <v>12.9</v>
      </c>
      <c r="E1411" s="1" t="s">
        <v>52</v>
      </c>
      <c r="F1411" s="1" t="s">
        <v>3936</v>
      </c>
      <c r="G1411" s="3" t="s">
        <v>442</v>
      </c>
      <c r="H1411" s="11">
        <f>ROUND(
IF(L1409="GANCHO",
   IF(I1411&lt;=50,I1411*1.1+4,IF(I1411&lt;=120,I1411*1.1+7,IF(I1411&lt;=250,I1411*1.1+11,I1411*1.1+19))),
IF(L1409="NORMAL",
   IF(I1411&lt;=30,I1411*1.15+2,IF(I1411&lt;=80,I1411*1.15+4,IF(I1411&lt;=150,I1411*1.15+6,I1411*1.15+8))),
IF(L1409="COMPLEMENTO",
   IF(I1411&lt;=25,I1411*1.25+1.5,IF(I1411&lt;=60,I1411*1.25+3,IF(I1411&lt;=120,I1411*1.25+4,I1411*1.25+5))),
""))),2)</f>
        <v>64.92</v>
      </c>
      <c r="I1411" s="9">
        <f>($K$2+0.02)*Tabla1[[#This Row],[PRECIO $]]*1.18</f>
        <v>52.972560000000001</v>
      </c>
      <c r="J1411" s="7">
        <f>+Tabla1[[#This Row],[PRECIO EN SOLES]]-Tabla1[[#This Row],[PC]]</f>
        <v>11.94744</v>
      </c>
      <c r="K1411" s="15"/>
      <c r="L1411" s="15" t="str">
        <f>IF(
OR(
ISNUMBER(SEARCH("BACKPACK",B1413)),
ISNUMBER(SEARCH("MOCHILA",B1413)),
ISNUMBER(SEARCH("FUNDA",B1413)),
ISNUMBER(SEARCH("ESTUCHE",B1413)),
ISNUMBER(SEARCH("BOOK COVER",B1413)),
ISNUMBER(SEARCH("KEYBOARD PARA TABLET",B1413)),
ISNUMBER(SEARCH("FLIP TABLET",B1413)),
ISNUMBER(SEARCH("CASE FOR TABLET",B1413)),
ISNUMBER(SEARCH("CABLE",B1413)),
ISNUMBER(SEARCH("ADAPTADOR",B1413)),
ISNUMBER(SEARCH("HUB",B1413)),
ISNUMBER(SEARCH("DOCK",B1413)),
ISNUMBER(SEARCH("MOUSE PAD",B1413)),
ISNUMBER(SEARCH("MOUSEPAD",B1413)),
ISNUMBER(SEARCH("SOPORTE",B1413)),
ISNUMBER(SEARCH("STAND",B1413)),
ISNUMBER(SEARCH("TRAVEL ADAPTER",B1413)),
ISNUMBER(SEARCH("RJ45",B1413)),
ISNUMBER(SEARCH("USB-C",B1413)),
ISNUMBER(SEARCH("USB WIFI",B1413)),
ISNUMBER(SEARCH("POWERBANK",B1413)),
ISNUMBER(SEARCH("CARGADOR",B1413)),
ISNUMBER(SEARCH("COOLER PARA NB",B1413)),
ISNUMBER(SEARCH("SOPORTE PARA NB",B1413)),
ISNUMBER(SEARCH("WEBCAM",B1413)),
ISNUMBER(SEARCH("WEB CAM",B1413)),
ISNUMBER(SEARCH("MOUSE",B1413)),
ISNUMBER(SEARCH("TECLADO",B1413))
),
"COMPLEMENTO",
IF(
OR(
LEFT(A1413,2)="NB",
LEFT(A1413,2)="PC",
LEFT(A1413,2)="WS",
LEFT(A1413,2)="TB",
LEFT(A1413,3)="CEL",
LEFT(A1413,3)="MON",
LEFT(A1413,3)="PRE",
LEFT(A1413,3)="PRH",
ISNUMBER(SEARCH("NOTEBOOK",B1413)),
ISNUMBER(SEARCH("LAPTOP",B1413)),
ISNUMBER(SEARCH("MONITOR",B1413)),
ISNUMBER(SEARCH("TABLET",B1413)),
ISNUMBER(SEARCH("SMARTPH",B1413)),
ISNUMBER(SEARCH("IMPRESORA",B1413)),
ISNUMBER(SEARCH("MULTIFUNCIONAL",B1413)),
ISNUMBER(SEARCH("AIO",B1413))
),
"GANCHO",
"NORMAL"
)
)</f>
        <v>NORMAL</v>
      </c>
    </row>
    <row r="1412" spans="1:12" x14ac:dyDescent="0.25">
      <c r="A1412" s="3" t="s">
        <v>443</v>
      </c>
      <c r="B1412" s="3" t="s">
        <v>444</v>
      </c>
      <c r="C1412" s="1">
        <v>20</v>
      </c>
      <c r="D1412" s="1">
        <v>19.399999999999999</v>
      </c>
      <c r="E1412" s="1" t="s">
        <v>52</v>
      </c>
      <c r="F1412" s="1" t="s">
        <v>3937</v>
      </c>
      <c r="G1412" s="3" t="s">
        <v>445</v>
      </c>
      <c r="H1412" s="11">
        <f>ROUND(
IF(L1410="GANCHO",
   IF(I1412&lt;=50,I1412*1.1+4,IF(I1412&lt;=120,I1412*1.1+7,IF(I1412&lt;=250,I1412*1.1+11,I1412*1.1+19))),
IF(L1410="NORMAL",
   IF(I1412&lt;=30,I1412*1.15+2,IF(I1412&lt;=80,I1412*1.15+4,IF(I1412&lt;=150,I1412*1.15+6,I1412*1.15+8))),
IF(L1410="COMPLEMENTO",
   IF(I1412&lt;=25,I1412*1.25+1.5,IF(I1412&lt;=60,I1412*1.25+3,IF(I1412&lt;=120,I1412*1.25+4,I1412*1.25+5))),
""))),2)</f>
        <v>95.61</v>
      </c>
      <c r="I1412" s="9">
        <f>($K$2+0.02)*Tabla1[[#This Row],[PRECIO $]]*1.18</f>
        <v>79.664159999999995</v>
      </c>
      <c r="J1412" s="7">
        <f>+Tabla1[[#This Row],[PRECIO EN SOLES]]-Tabla1[[#This Row],[PC]]</f>
        <v>15.945840000000004</v>
      </c>
      <c r="K1412" s="15"/>
      <c r="L1412" s="15" t="str">
        <f>IF(
OR(
ISNUMBER(SEARCH("BACKPACK",B1414)),
ISNUMBER(SEARCH("MOCHILA",B1414)),
ISNUMBER(SEARCH("FUNDA",B1414)),
ISNUMBER(SEARCH("ESTUCHE",B1414)),
ISNUMBER(SEARCH("BOOK COVER",B1414)),
ISNUMBER(SEARCH("KEYBOARD PARA TABLET",B1414)),
ISNUMBER(SEARCH("FLIP TABLET",B1414)),
ISNUMBER(SEARCH("CASE FOR TABLET",B1414)),
ISNUMBER(SEARCH("CABLE",B1414)),
ISNUMBER(SEARCH("ADAPTADOR",B1414)),
ISNUMBER(SEARCH("HUB",B1414)),
ISNUMBER(SEARCH("DOCK",B1414)),
ISNUMBER(SEARCH("MOUSE PAD",B1414)),
ISNUMBER(SEARCH("MOUSEPAD",B1414)),
ISNUMBER(SEARCH("SOPORTE",B1414)),
ISNUMBER(SEARCH("STAND",B1414)),
ISNUMBER(SEARCH("TRAVEL ADAPTER",B1414)),
ISNUMBER(SEARCH("RJ45",B1414)),
ISNUMBER(SEARCH("USB-C",B1414)),
ISNUMBER(SEARCH("USB WIFI",B1414)),
ISNUMBER(SEARCH("POWERBANK",B1414)),
ISNUMBER(SEARCH("CARGADOR",B1414)),
ISNUMBER(SEARCH("COOLER PARA NB",B1414)),
ISNUMBER(SEARCH("SOPORTE PARA NB",B1414)),
ISNUMBER(SEARCH("WEBCAM",B1414)),
ISNUMBER(SEARCH("WEB CAM",B1414)),
ISNUMBER(SEARCH("MOUSE",B1414)),
ISNUMBER(SEARCH("TECLADO",B1414))
),
"COMPLEMENTO",
IF(
OR(
LEFT(A1414,2)="NB",
LEFT(A1414,2)="PC",
LEFT(A1414,2)="WS",
LEFT(A1414,2)="TB",
LEFT(A1414,3)="CEL",
LEFT(A1414,3)="MON",
LEFT(A1414,3)="PRE",
LEFT(A1414,3)="PRH",
ISNUMBER(SEARCH("NOTEBOOK",B1414)),
ISNUMBER(SEARCH("LAPTOP",B1414)),
ISNUMBER(SEARCH("MONITOR",B1414)),
ISNUMBER(SEARCH("TABLET",B1414)),
ISNUMBER(SEARCH("SMARTPH",B1414)),
ISNUMBER(SEARCH("IMPRESORA",B1414)),
ISNUMBER(SEARCH("MULTIFUNCIONAL",B1414)),
ISNUMBER(SEARCH("AIO",B1414))
),
"GANCHO",
"NORMAL"
)
)</f>
        <v>NORMAL</v>
      </c>
    </row>
    <row r="1413" spans="1:12" x14ac:dyDescent="0.25">
      <c r="A1413" s="3" t="s">
        <v>2366</v>
      </c>
      <c r="B1413" s="3" t="s">
        <v>2367</v>
      </c>
      <c r="C1413" s="1">
        <v>8</v>
      </c>
      <c r="D1413" s="1">
        <v>93</v>
      </c>
      <c r="E1413" s="1" t="s">
        <v>54</v>
      </c>
      <c r="F1413" s="1" t="s">
        <v>3938</v>
      </c>
      <c r="G1413" s="3" t="s">
        <v>2368</v>
      </c>
      <c r="H1413" s="11">
        <f>ROUND(
IF(L1411="GANCHO",
   IF(I1413&lt;=50,I1413*1.1+4,IF(I1413&lt;=120,I1413*1.1+7,IF(I1413&lt;=250,I1413*1.1+11,I1413*1.1+19))),
IF(L1411="NORMAL",
   IF(I1413&lt;=30,I1413*1.15+2,IF(I1413&lt;=80,I1413*1.15+4,IF(I1413&lt;=150,I1413*1.15+6,I1413*1.15+8))),
IF(L1411="COMPLEMENTO",
   IF(I1413&lt;=25,I1413*1.25+1.5,IF(I1413&lt;=60,I1413*1.25+3,IF(I1413&lt;=120,I1413*1.25+4,I1413*1.25+5))),
""))),2)</f>
        <v>447.18</v>
      </c>
      <c r="I1413" s="9">
        <f>($K$2+0.02)*Tabla1[[#This Row],[PRECIO $]]*1.18</f>
        <v>381.89519999999999</v>
      </c>
      <c r="J1413" s="7">
        <f>+Tabla1[[#This Row],[PRECIO EN SOLES]]-Tabla1[[#This Row],[PC]]</f>
        <v>65.284800000000018</v>
      </c>
      <c r="K1413" s="15"/>
      <c r="L1413" s="15" t="str">
        <f>IF(
OR(
ISNUMBER(SEARCH("BACKPACK",B1415)),
ISNUMBER(SEARCH("MOCHILA",B1415)),
ISNUMBER(SEARCH("FUNDA",B1415)),
ISNUMBER(SEARCH("ESTUCHE",B1415)),
ISNUMBER(SEARCH("BOOK COVER",B1415)),
ISNUMBER(SEARCH("KEYBOARD PARA TABLET",B1415)),
ISNUMBER(SEARCH("FLIP TABLET",B1415)),
ISNUMBER(SEARCH("CASE FOR TABLET",B1415)),
ISNUMBER(SEARCH("CABLE",B1415)),
ISNUMBER(SEARCH("ADAPTADOR",B1415)),
ISNUMBER(SEARCH("HUB",B1415)),
ISNUMBER(SEARCH("DOCK",B1415)),
ISNUMBER(SEARCH("MOUSE PAD",B1415)),
ISNUMBER(SEARCH("MOUSEPAD",B1415)),
ISNUMBER(SEARCH("SOPORTE",B1415)),
ISNUMBER(SEARCH("STAND",B1415)),
ISNUMBER(SEARCH("TRAVEL ADAPTER",B1415)),
ISNUMBER(SEARCH("RJ45",B1415)),
ISNUMBER(SEARCH("USB-C",B1415)),
ISNUMBER(SEARCH("USB WIFI",B1415)),
ISNUMBER(SEARCH("POWERBANK",B1415)),
ISNUMBER(SEARCH("CARGADOR",B1415)),
ISNUMBER(SEARCH("COOLER PARA NB",B1415)),
ISNUMBER(SEARCH("SOPORTE PARA NB",B1415)),
ISNUMBER(SEARCH("WEBCAM",B1415)),
ISNUMBER(SEARCH("WEB CAM",B1415)),
ISNUMBER(SEARCH("MOUSE",B1415)),
ISNUMBER(SEARCH("TECLADO",B1415))
),
"COMPLEMENTO",
IF(
OR(
LEFT(A1415,2)="NB",
LEFT(A1415,2)="PC",
LEFT(A1415,2)="WS",
LEFT(A1415,2)="TB",
LEFT(A1415,3)="CEL",
LEFT(A1415,3)="MON",
LEFT(A1415,3)="PRE",
LEFT(A1415,3)="PRH",
ISNUMBER(SEARCH("NOTEBOOK",B1415)),
ISNUMBER(SEARCH("LAPTOP",B1415)),
ISNUMBER(SEARCH("MONITOR",B1415)),
ISNUMBER(SEARCH("TABLET",B1415)),
ISNUMBER(SEARCH("SMARTPH",B1415)),
ISNUMBER(SEARCH("IMPRESORA",B1415)),
ISNUMBER(SEARCH("MULTIFUNCIONAL",B1415)),
ISNUMBER(SEARCH("AIO",B1415))
),
"GANCHO",
"NORMAL"
)
)</f>
        <v>NORMAL</v>
      </c>
    </row>
    <row r="1414" spans="1:12" x14ac:dyDescent="0.25">
      <c r="A1414" s="3" t="s">
        <v>446</v>
      </c>
      <c r="B1414" s="3" t="s">
        <v>447</v>
      </c>
      <c r="C1414" s="1">
        <v>0</v>
      </c>
      <c r="D1414" s="1">
        <v>999</v>
      </c>
      <c r="E1414" s="1" t="s">
        <v>448</v>
      </c>
      <c r="F1414" s="1" t="s">
        <v>3939</v>
      </c>
      <c r="G1414" s="3" t="s">
        <v>449</v>
      </c>
      <c r="H1414" s="11">
        <f>ROUND(
IF(L1412="GANCHO",
   IF(I1414&lt;=50,I1414*1.1+4,IF(I1414&lt;=120,I1414*1.1+7,IF(I1414&lt;=250,I1414*1.1+11,I1414*1.1+19))),
IF(L1412="NORMAL",
   IF(I1414&lt;=30,I1414*1.15+2,IF(I1414&lt;=80,I1414*1.15+4,IF(I1414&lt;=150,I1414*1.15+6,I1414*1.15+8))),
IF(L1412="COMPLEMENTO",
   IF(I1414&lt;=25,I1414*1.25+1.5,IF(I1414&lt;=60,I1414*1.25+3,IF(I1414&lt;=120,I1414*1.25+4,I1414*1.25+5))),
""))),2)</f>
        <v>4725.6400000000003</v>
      </c>
      <c r="I1414" s="9">
        <f>($K$2+0.02)*Tabla1[[#This Row],[PRECIO $]]*1.18</f>
        <v>4102.2936</v>
      </c>
      <c r="J1414" s="7">
        <f>+Tabla1[[#This Row],[PRECIO EN SOLES]]-Tabla1[[#This Row],[PC]]</f>
        <v>623.34640000000036</v>
      </c>
      <c r="K1414" s="15"/>
      <c r="L1414" s="15" t="str">
        <f>IF(
OR(
ISNUMBER(SEARCH("BACKPACK",B1416)),
ISNUMBER(SEARCH("MOCHILA",B1416)),
ISNUMBER(SEARCH("FUNDA",B1416)),
ISNUMBER(SEARCH("ESTUCHE",B1416)),
ISNUMBER(SEARCH("BOOK COVER",B1416)),
ISNUMBER(SEARCH("KEYBOARD PARA TABLET",B1416)),
ISNUMBER(SEARCH("FLIP TABLET",B1416)),
ISNUMBER(SEARCH("CASE FOR TABLET",B1416)),
ISNUMBER(SEARCH("CABLE",B1416)),
ISNUMBER(SEARCH("ADAPTADOR",B1416)),
ISNUMBER(SEARCH("HUB",B1416)),
ISNUMBER(SEARCH("DOCK",B1416)),
ISNUMBER(SEARCH("MOUSE PAD",B1416)),
ISNUMBER(SEARCH("MOUSEPAD",B1416)),
ISNUMBER(SEARCH("SOPORTE",B1416)),
ISNUMBER(SEARCH("STAND",B1416)),
ISNUMBER(SEARCH("TRAVEL ADAPTER",B1416)),
ISNUMBER(SEARCH("RJ45",B1416)),
ISNUMBER(SEARCH("USB-C",B1416)),
ISNUMBER(SEARCH("USB WIFI",B1416)),
ISNUMBER(SEARCH("POWERBANK",B1416)),
ISNUMBER(SEARCH("CARGADOR",B1416)),
ISNUMBER(SEARCH("COOLER PARA NB",B1416)),
ISNUMBER(SEARCH("SOPORTE PARA NB",B1416)),
ISNUMBER(SEARCH("WEBCAM",B1416)),
ISNUMBER(SEARCH("WEB CAM",B1416)),
ISNUMBER(SEARCH("MOUSE",B1416)),
ISNUMBER(SEARCH("TECLADO",B1416))
),
"COMPLEMENTO",
IF(
OR(
LEFT(A1416,2)="NB",
LEFT(A1416,2)="PC",
LEFT(A1416,2)="WS",
LEFT(A1416,2)="TB",
LEFT(A1416,3)="CEL",
LEFT(A1416,3)="MON",
LEFT(A1416,3)="PRE",
LEFT(A1416,3)="PRH",
ISNUMBER(SEARCH("NOTEBOOK",B1416)),
ISNUMBER(SEARCH("LAPTOP",B1416)),
ISNUMBER(SEARCH("MONITOR",B1416)),
ISNUMBER(SEARCH("TABLET",B1416)),
ISNUMBER(SEARCH("SMARTPH",B1416)),
ISNUMBER(SEARCH("IMPRESORA",B1416)),
ISNUMBER(SEARCH("MULTIFUNCIONAL",B1416)),
ISNUMBER(SEARCH("AIO",B1416))
),
"GANCHO",
"NORMAL"
)
)</f>
        <v>NORMAL</v>
      </c>
    </row>
    <row r="1415" spans="1:12" x14ac:dyDescent="0.25">
      <c r="A1415" s="3" t="s">
        <v>2369</v>
      </c>
      <c r="B1415" s="3" t="s">
        <v>2370</v>
      </c>
      <c r="C1415" s="1">
        <v>0</v>
      </c>
      <c r="D1415" s="1">
        <v>999</v>
      </c>
      <c r="E1415" s="1" t="s">
        <v>448</v>
      </c>
      <c r="F1415" s="1" t="s">
        <v>3940</v>
      </c>
      <c r="G1415" s="3" t="s">
        <v>2371</v>
      </c>
      <c r="H1415" s="11">
        <f>ROUND(
IF(L1413="GANCHO",
   IF(I1415&lt;=50,I1415*1.1+4,IF(I1415&lt;=120,I1415*1.1+7,IF(I1415&lt;=250,I1415*1.1+11,I1415*1.1+19))),
IF(L1413="NORMAL",
   IF(I1415&lt;=30,I1415*1.15+2,IF(I1415&lt;=80,I1415*1.15+4,IF(I1415&lt;=150,I1415*1.15+6,I1415*1.15+8))),
IF(L1413="COMPLEMENTO",
   IF(I1415&lt;=25,I1415*1.25+1.5,IF(I1415&lt;=60,I1415*1.25+3,IF(I1415&lt;=120,I1415*1.25+4,I1415*1.25+5))),
""))),2)</f>
        <v>4725.6400000000003</v>
      </c>
      <c r="I1415" s="9">
        <f>($K$2+0.02)*Tabla1[[#This Row],[PRECIO $]]*1.18</f>
        <v>4102.2936</v>
      </c>
      <c r="J1415" s="7">
        <f>+Tabla1[[#This Row],[PRECIO EN SOLES]]-Tabla1[[#This Row],[PC]]</f>
        <v>623.34640000000036</v>
      </c>
      <c r="K1415" s="15"/>
      <c r="L1415" s="15" t="str">
        <f>IF(
OR(
ISNUMBER(SEARCH("BACKPACK",B1417)),
ISNUMBER(SEARCH("MOCHILA",B1417)),
ISNUMBER(SEARCH("FUNDA",B1417)),
ISNUMBER(SEARCH("ESTUCHE",B1417)),
ISNUMBER(SEARCH("BOOK COVER",B1417)),
ISNUMBER(SEARCH("KEYBOARD PARA TABLET",B1417)),
ISNUMBER(SEARCH("FLIP TABLET",B1417)),
ISNUMBER(SEARCH("CASE FOR TABLET",B1417)),
ISNUMBER(SEARCH("CABLE",B1417)),
ISNUMBER(SEARCH("ADAPTADOR",B1417)),
ISNUMBER(SEARCH("HUB",B1417)),
ISNUMBER(SEARCH("DOCK",B1417)),
ISNUMBER(SEARCH("MOUSE PAD",B1417)),
ISNUMBER(SEARCH("MOUSEPAD",B1417)),
ISNUMBER(SEARCH("SOPORTE",B1417)),
ISNUMBER(SEARCH("STAND",B1417)),
ISNUMBER(SEARCH("TRAVEL ADAPTER",B1417)),
ISNUMBER(SEARCH("RJ45",B1417)),
ISNUMBER(SEARCH("USB-C",B1417)),
ISNUMBER(SEARCH("USB WIFI",B1417)),
ISNUMBER(SEARCH("POWERBANK",B1417)),
ISNUMBER(SEARCH("CARGADOR",B1417)),
ISNUMBER(SEARCH("COOLER PARA NB",B1417)),
ISNUMBER(SEARCH("SOPORTE PARA NB",B1417)),
ISNUMBER(SEARCH("WEBCAM",B1417)),
ISNUMBER(SEARCH("WEB CAM",B1417)),
ISNUMBER(SEARCH("MOUSE",B1417)),
ISNUMBER(SEARCH("TECLADO",B1417))
),
"COMPLEMENTO",
IF(
OR(
LEFT(A1417,2)="NB",
LEFT(A1417,2)="PC",
LEFT(A1417,2)="WS",
LEFT(A1417,2)="TB",
LEFT(A1417,3)="CEL",
LEFT(A1417,3)="MON",
LEFT(A1417,3)="PRE",
LEFT(A1417,3)="PRH",
ISNUMBER(SEARCH("NOTEBOOK",B1417)),
ISNUMBER(SEARCH("LAPTOP",B1417)),
ISNUMBER(SEARCH("MONITOR",B1417)),
ISNUMBER(SEARCH("TABLET",B1417)),
ISNUMBER(SEARCH("SMARTPH",B1417)),
ISNUMBER(SEARCH("IMPRESORA",B1417)),
ISNUMBER(SEARCH("MULTIFUNCIONAL",B1417)),
ISNUMBER(SEARCH("AIO",B1417))
),
"GANCHO",
"NORMAL"
)
)</f>
        <v>NORMAL</v>
      </c>
    </row>
    <row r="1416" spans="1:12" x14ac:dyDescent="0.25">
      <c r="A1416" s="3" t="s">
        <v>2372</v>
      </c>
      <c r="B1416" s="3" t="s">
        <v>2373</v>
      </c>
      <c r="C1416" s="1">
        <v>15</v>
      </c>
      <c r="D1416" s="1">
        <v>500</v>
      </c>
      <c r="E1416" s="1" t="s">
        <v>448</v>
      </c>
      <c r="F1416" s="1" t="s">
        <v>3941</v>
      </c>
      <c r="G1416" s="3"/>
      <c r="H1416" s="11">
        <f>ROUND(
IF(L1414="GANCHO",
   IF(I1416&lt;=50,I1416*1.1+4,IF(I1416&lt;=120,I1416*1.1+7,IF(I1416&lt;=250,I1416*1.1+11,I1416*1.1+19))),
IF(L1414="NORMAL",
   IF(I1416&lt;=30,I1416*1.15+2,IF(I1416&lt;=80,I1416*1.15+4,IF(I1416&lt;=150,I1416*1.15+6,I1416*1.15+8))),
IF(L1414="COMPLEMENTO",
   IF(I1416&lt;=25,I1416*1.25+1.5,IF(I1416&lt;=60,I1416*1.25+3,IF(I1416&lt;=120,I1416*1.25+4,I1416*1.25+5))),
""))),2)</f>
        <v>2369.1799999999998</v>
      </c>
      <c r="I1416" s="9">
        <f>($K$2+0.02)*Tabla1[[#This Row],[PRECIO $]]*1.18</f>
        <v>2053.1999999999998</v>
      </c>
      <c r="J1416" s="7">
        <f>+Tabla1[[#This Row],[PRECIO EN SOLES]]-Tabla1[[#This Row],[PC]]</f>
        <v>315.98</v>
      </c>
      <c r="K1416" s="15"/>
      <c r="L1416" s="15" t="str">
        <f>IF(
OR(
ISNUMBER(SEARCH("BACKPACK",B1418)),
ISNUMBER(SEARCH("MOCHILA",B1418)),
ISNUMBER(SEARCH("FUNDA",B1418)),
ISNUMBER(SEARCH("ESTUCHE",B1418)),
ISNUMBER(SEARCH("BOOK COVER",B1418)),
ISNUMBER(SEARCH("KEYBOARD PARA TABLET",B1418)),
ISNUMBER(SEARCH("FLIP TABLET",B1418)),
ISNUMBER(SEARCH("CASE FOR TABLET",B1418)),
ISNUMBER(SEARCH("CABLE",B1418)),
ISNUMBER(SEARCH("ADAPTADOR",B1418)),
ISNUMBER(SEARCH("HUB",B1418)),
ISNUMBER(SEARCH("DOCK",B1418)),
ISNUMBER(SEARCH("MOUSE PAD",B1418)),
ISNUMBER(SEARCH("MOUSEPAD",B1418)),
ISNUMBER(SEARCH("SOPORTE",B1418)),
ISNUMBER(SEARCH("STAND",B1418)),
ISNUMBER(SEARCH("TRAVEL ADAPTER",B1418)),
ISNUMBER(SEARCH("RJ45",B1418)),
ISNUMBER(SEARCH("USB-C",B1418)),
ISNUMBER(SEARCH("USB WIFI",B1418)),
ISNUMBER(SEARCH("POWERBANK",B1418)),
ISNUMBER(SEARCH("CARGADOR",B1418)),
ISNUMBER(SEARCH("COOLER PARA NB",B1418)),
ISNUMBER(SEARCH("SOPORTE PARA NB",B1418)),
ISNUMBER(SEARCH("WEBCAM",B1418)),
ISNUMBER(SEARCH("WEB CAM",B1418)),
ISNUMBER(SEARCH("MOUSE",B1418)),
ISNUMBER(SEARCH("TECLADO",B1418))
),
"COMPLEMENTO",
IF(
OR(
LEFT(A1418,2)="NB",
LEFT(A1418,2)="PC",
LEFT(A1418,2)="WS",
LEFT(A1418,2)="TB",
LEFT(A1418,3)="CEL",
LEFT(A1418,3)="MON",
LEFT(A1418,3)="PRE",
LEFT(A1418,3)="PRH",
ISNUMBER(SEARCH("NOTEBOOK",B1418)),
ISNUMBER(SEARCH("LAPTOP",B1418)),
ISNUMBER(SEARCH("MONITOR",B1418)),
ISNUMBER(SEARCH("TABLET",B1418)),
ISNUMBER(SEARCH("SMARTPH",B1418)),
ISNUMBER(SEARCH("IMPRESORA",B1418)),
ISNUMBER(SEARCH("MULTIFUNCIONAL",B1418)),
ISNUMBER(SEARCH("AIO",B1418))
),
"GANCHO",
"NORMAL"
)
)</f>
        <v>NORMAL</v>
      </c>
    </row>
    <row r="1417" spans="1:12" x14ac:dyDescent="0.25">
      <c r="A1417" s="3" t="s">
        <v>2374</v>
      </c>
      <c r="B1417" s="3" t="s">
        <v>2370</v>
      </c>
      <c r="C1417" s="1">
        <v>20</v>
      </c>
      <c r="D1417" s="1">
        <v>200</v>
      </c>
      <c r="E1417" s="1" t="s">
        <v>448</v>
      </c>
      <c r="F1417" s="1" t="s">
        <v>3942</v>
      </c>
      <c r="G1417" s="3"/>
      <c r="H1417" s="11">
        <f>ROUND(
IF(L1415="GANCHO",
   IF(I1417&lt;=50,I1417*1.1+4,IF(I1417&lt;=120,I1417*1.1+7,IF(I1417&lt;=250,I1417*1.1+11,I1417*1.1+19))),
IF(L1415="NORMAL",
   IF(I1417&lt;=30,I1417*1.15+2,IF(I1417&lt;=80,I1417*1.15+4,IF(I1417&lt;=150,I1417*1.15+6,I1417*1.15+8))),
IF(L1415="COMPLEMENTO",
   IF(I1417&lt;=25,I1417*1.25+1.5,IF(I1417&lt;=60,I1417*1.25+3,IF(I1417&lt;=120,I1417*1.25+4,I1417*1.25+5))),
""))),2)</f>
        <v>952.47</v>
      </c>
      <c r="I1417" s="9">
        <f>($K$2+0.02)*Tabla1[[#This Row],[PRECIO $]]*1.18</f>
        <v>821.28</v>
      </c>
      <c r="J1417" s="7">
        <f>+Tabla1[[#This Row],[PRECIO EN SOLES]]-Tabla1[[#This Row],[PC]]</f>
        <v>131.19000000000005</v>
      </c>
      <c r="K1417" s="15"/>
      <c r="L1417" s="15" t="str">
        <f>IF(
OR(
ISNUMBER(SEARCH("BACKPACK",B1419)),
ISNUMBER(SEARCH("MOCHILA",B1419)),
ISNUMBER(SEARCH("FUNDA",B1419)),
ISNUMBER(SEARCH("ESTUCHE",B1419)),
ISNUMBER(SEARCH("BOOK COVER",B1419)),
ISNUMBER(SEARCH("KEYBOARD PARA TABLET",B1419)),
ISNUMBER(SEARCH("FLIP TABLET",B1419)),
ISNUMBER(SEARCH("CASE FOR TABLET",B1419)),
ISNUMBER(SEARCH("CABLE",B1419)),
ISNUMBER(SEARCH("ADAPTADOR",B1419)),
ISNUMBER(SEARCH("HUB",B1419)),
ISNUMBER(SEARCH("DOCK",B1419)),
ISNUMBER(SEARCH("MOUSE PAD",B1419)),
ISNUMBER(SEARCH("MOUSEPAD",B1419)),
ISNUMBER(SEARCH("SOPORTE",B1419)),
ISNUMBER(SEARCH("STAND",B1419)),
ISNUMBER(SEARCH("TRAVEL ADAPTER",B1419)),
ISNUMBER(SEARCH("RJ45",B1419)),
ISNUMBER(SEARCH("USB-C",B1419)),
ISNUMBER(SEARCH("USB WIFI",B1419)),
ISNUMBER(SEARCH("POWERBANK",B1419)),
ISNUMBER(SEARCH("CARGADOR",B1419)),
ISNUMBER(SEARCH("COOLER PARA NB",B1419)),
ISNUMBER(SEARCH("SOPORTE PARA NB",B1419)),
ISNUMBER(SEARCH("WEBCAM",B1419)),
ISNUMBER(SEARCH("WEB CAM",B1419)),
ISNUMBER(SEARCH("MOUSE",B1419)),
ISNUMBER(SEARCH("TECLADO",B1419))
),
"COMPLEMENTO",
IF(
OR(
LEFT(A1419,2)="NB",
LEFT(A1419,2)="PC",
LEFT(A1419,2)="WS",
LEFT(A1419,2)="TB",
LEFT(A1419,3)="CEL",
LEFT(A1419,3)="MON",
LEFT(A1419,3)="PRE",
LEFT(A1419,3)="PRH",
ISNUMBER(SEARCH("NOTEBOOK",B1419)),
ISNUMBER(SEARCH("LAPTOP",B1419)),
ISNUMBER(SEARCH("MONITOR",B1419)),
ISNUMBER(SEARCH("TABLET",B1419)),
ISNUMBER(SEARCH("SMARTPH",B1419)),
ISNUMBER(SEARCH("IMPRESORA",B1419)),
ISNUMBER(SEARCH("MULTIFUNCIONAL",B1419)),
ISNUMBER(SEARCH("AIO",B1419))
),
"GANCHO",
"NORMAL"
)
)</f>
        <v>NORMAL</v>
      </c>
    </row>
    <row r="1418" spans="1:12" x14ac:dyDescent="0.25">
      <c r="A1418" s="3" t="s">
        <v>2375</v>
      </c>
      <c r="B1418" s="3" t="s">
        <v>2376</v>
      </c>
      <c r="C1418" s="1">
        <v>7</v>
      </c>
      <c r="D1418" s="1">
        <v>70</v>
      </c>
      <c r="E1418" s="1" t="s">
        <v>448</v>
      </c>
      <c r="F1418" s="1" t="s">
        <v>3943</v>
      </c>
      <c r="G1418" s="3"/>
      <c r="H1418" s="11">
        <f>ROUND(
IF(L1416="GANCHO",
   IF(I1418&lt;=50,I1418*1.1+4,IF(I1418&lt;=120,I1418*1.1+7,IF(I1418&lt;=250,I1418*1.1+11,I1418*1.1+19))),
IF(L1416="NORMAL",
   IF(I1418&lt;=30,I1418*1.15+2,IF(I1418&lt;=80,I1418*1.15+4,IF(I1418&lt;=150,I1418*1.15+6,I1418*1.15+8))),
IF(L1416="COMPLEMENTO",
   IF(I1418&lt;=25,I1418*1.25+1.5,IF(I1418&lt;=60,I1418*1.25+3,IF(I1418&lt;=120,I1418*1.25+4,I1418*1.25+5))),
""))),2)</f>
        <v>338.57</v>
      </c>
      <c r="I1418" s="9">
        <f>($K$2+0.02)*Tabla1[[#This Row],[PRECIO $]]*1.18</f>
        <v>287.44799999999998</v>
      </c>
      <c r="J1418" s="7">
        <f>+Tabla1[[#This Row],[PRECIO EN SOLES]]-Tabla1[[#This Row],[PC]]</f>
        <v>51.122000000000014</v>
      </c>
      <c r="K1418" s="15"/>
      <c r="L1418" s="15" t="str">
        <f>IF(
OR(
ISNUMBER(SEARCH("BACKPACK",B1420)),
ISNUMBER(SEARCH("MOCHILA",B1420)),
ISNUMBER(SEARCH("FUNDA",B1420)),
ISNUMBER(SEARCH("ESTUCHE",B1420)),
ISNUMBER(SEARCH("BOOK COVER",B1420)),
ISNUMBER(SEARCH("KEYBOARD PARA TABLET",B1420)),
ISNUMBER(SEARCH("FLIP TABLET",B1420)),
ISNUMBER(SEARCH("CASE FOR TABLET",B1420)),
ISNUMBER(SEARCH("CABLE",B1420)),
ISNUMBER(SEARCH("ADAPTADOR",B1420)),
ISNUMBER(SEARCH("HUB",B1420)),
ISNUMBER(SEARCH("DOCK",B1420)),
ISNUMBER(SEARCH("MOUSE PAD",B1420)),
ISNUMBER(SEARCH("MOUSEPAD",B1420)),
ISNUMBER(SEARCH("SOPORTE",B1420)),
ISNUMBER(SEARCH("STAND",B1420)),
ISNUMBER(SEARCH("TRAVEL ADAPTER",B1420)),
ISNUMBER(SEARCH("RJ45",B1420)),
ISNUMBER(SEARCH("USB-C",B1420)),
ISNUMBER(SEARCH("USB WIFI",B1420)),
ISNUMBER(SEARCH("POWERBANK",B1420)),
ISNUMBER(SEARCH("CARGADOR",B1420)),
ISNUMBER(SEARCH("COOLER PARA NB",B1420)),
ISNUMBER(SEARCH("SOPORTE PARA NB",B1420)),
ISNUMBER(SEARCH("WEBCAM",B1420)),
ISNUMBER(SEARCH("WEB CAM",B1420)),
ISNUMBER(SEARCH("MOUSE",B1420)),
ISNUMBER(SEARCH("TECLADO",B1420))
),
"COMPLEMENTO",
IF(
OR(
LEFT(A1420,2)="NB",
LEFT(A1420,2)="PC",
LEFT(A1420,2)="WS",
LEFT(A1420,2)="TB",
LEFT(A1420,3)="CEL",
LEFT(A1420,3)="MON",
LEFT(A1420,3)="PRE",
LEFT(A1420,3)="PRH",
ISNUMBER(SEARCH("NOTEBOOK",B1420)),
ISNUMBER(SEARCH("LAPTOP",B1420)),
ISNUMBER(SEARCH("MONITOR",B1420)),
ISNUMBER(SEARCH("TABLET",B1420)),
ISNUMBER(SEARCH("SMARTPH",B1420)),
ISNUMBER(SEARCH("IMPRESORA",B1420)),
ISNUMBER(SEARCH("MULTIFUNCIONAL",B1420)),
ISNUMBER(SEARCH("AIO",B1420))
),
"GANCHO",
"NORMAL"
)
)</f>
        <v>NORMAL</v>
      </c>
    </row>
    <row r="1419" spans="1:12" x14ac:dyDescent="0.25">
      <c r="A1419" s="3" t="s">
        <v>6905</v>
      </c>
      <c r="B1419" s="3" t="s">
        <v>6906</v>
      </c>
      <c r="C1419" s="1">
        <v>0</v>
      </c>
      <c r="D1419" s="1">
        <v>9</v>
      </c>
      <c r="E1419" s="1" t="s">
        <v>452</v>
      </c>
      <c r="F1419" s="1" t="s">
        <v>6907</v>
      </c>
      <c r="G1419" s="3"/>
      <c r="H1419" s="11">
        <f>ROUND(
IF(L1417="GANCHO",
   IF(I1419&lt;=50,I1419*1.1+4,IF(I1419&lt;=120,I1419*1.1+7,IF(I1419&lt;=250,I1419*1.1+11,I1419*1.1+19))),
IF(L1417="NORMAL",
   IF(I1419&lt;=30,I1419*1.15+2,IF(I1419&lt;=80,I1419*1.15+4,IF(I1419&lt;=150,I1419*1.15+6,I1419*1.15+8))),
IF(L1417="COMPLEMENTO",
   IF(I1419&lt;=25,I1419*1.25+1.5,IF(I1419&lt;=60,I1419*1.25+3,IF(I1419&lt;=120,I1419*1.25+4,I1419*1.25+5))),
""))),2)</f>
        <v>46.5</v>
      </c>
      <c r="I1419" s="9">
        <f>($K$2+0.02)*Tabla1[[#This Row],[PRECIO $]]*1.18</f>
        <v>36.957599999999999</v>
      </c>
      <c r="J1419" s="7">
        <f>+Tabla1[[#This Row],[PRECIO EN SOLES]]-Tabla1[[#This Row],[PC]]</f>
        <v>9.5424000000000007</v>
      </c>
      <c r="K1419" s="15"/>
      <c r="L1419" s="15" t="str">
        <f>IF(
OR(
ISNUMBER(SEARCH("BACKPACK",B1421)),
ISNUMBER(SEARCH("MOCHILA",B1421)),
ISNUMBER(SEARCH("FUNDA",B1421)),
ISNUMBER(SEARCH("ESTUCHE",B1421)),
ISNUMBER(SEARCH("BOOK COVER",B1421)),
ISNUMBER(SEARCH("KEYBOARD PARA TABLET",B1421)),
ISNUMBER(SEARCH("FLIP TABLET",B1421)),
ISNUMBER(SEARCH("CASE FOR TABLET",B1421)),
ISNUMBER(SEARCH("CABLE",B1421)),
ISNUMBER(SEARCH("ADAPTADOR",B1421)),
ISNUMBER(SEARCH("HUB",B1421)),
ISNUMBER(SEARCH("DOCK",B1421)),
ISNUMBER(SEARCH("MOUSE PAD",B1421)),
ISNUMBER(SEARCH("MOUSEPAD",B1421)),
ISNUMBER(SEARCH("SOPORTE",B1421)),
ISNUMBER(SEARCH("STAND",B1421)),
ISNUMBER(SEARCH("TRAVEL ADAPTER",B1421)),
ISNUMBER(SEARCH("RJ45",B1421)),
ISNUMBER(SEARCH("USB-C",B1421)),
ISNUMBER(SEARCH("USB WIFI",B1421)),
ISNUMBER(SEARCH("POWERBANK",B1421)),
ISNUMBER(SEARCH("CARGADOR",B1421)),
ISNUMBER(SEARCH("COOLER PARA NB",B1421)),
ISNUMBER(SEARCH("SOPORTE PARA NB",B1421)),
ISNUMBER(SEARCH("WEBCAM",B1421)),
ISNUMBER(SEARCH("WEB CAM",B1421)),
ISNUMBER(SEARCH("MOUSE",B1421)),
ISNUMBER(SEARCH("TECLADO",B1421))
),
"COMPLEMENTO",
IF(
OR(
LEFT(A1421,2)="NB",
LEFT(A1421,2)="PC",
LEFT(A1421,2)="WS",
LEFT(A1421,2)="TB",
LEFT(A1421,3)="CEL",
LEFT(A1421,3)="MON",
LEFT(A1421,3)="PRE",
LEFT(A1421,3)="PRH",
ISNUMBER(SEARCH("NOTEBOOK",B1421)),
ISNUMBER(SEARCH("LAPTOP",B1421)),
ISNUMBER(SEARCH("MONITOR",B1421)),
ISNUMBER(SEARCH("TABLET",B1421)),
ISNUMBER(SEARCH("SMARTPH",B1421)),
ISNUMBER(SEARCH("IMPRESORA",B1421)),
ISNUMBER(SEARCH("MULTIFUNCIONAL",B1421)),
ISNUMBER(SEARCH("AIO",B1421))
),
"GANCHO",
"NORMAL"
)
)</f>
        <v>NORMAL</v>
      </c>
    </row>
    <row r="1420" spans="1:12" x14ac:dyDescent="0.25">
      <c r="A1420" s="3" t="s">
        <v>450</v>
      </c>
      <c r="B1420" s="3" t="s">
        <v>451</v>
      </c>
      <c r="C1420" s="1">
        <v>20</v>
      </c>
      <c r="D1420" s="1">
        <v>3.5</v>
      </c>
      <c r="E1420" s="1" t="s">
        <v>452</v>
      </c>
      <c r="F1420" s="1" t="s">
        <v>3944</v>
      </c>
      <c r="G1420" s="3"/>
      <c r="H1420" s="11">
        <f>ROUND(
IF(L1418="GANCHO",
   IF(I1420&lt;=50,I1420*1.1+4,IF(I1420&lt;=120,I1420*1.1+7,IF(I1420&lt;=250,I1420*1.1+11,I1420*1.1+19))),
IF(L1418="NORMAL",
   IF(I1420&lt;=30,I1420*1.15+2,IF(I1420&lt;=80,I1420*1.15+4,IF(I1420&lt;=150,I1420*1.15+6,I1420*1.15+8))),
IF(L1418="COMPLEMENTO",
   IF(I1420&lt;=25,I1420*1.25+1.5,IF(I1420&lt;=60,I1420*1.25+3,IF(I1420&lt;=120,I1420*1.25+4,I1420*1.25+5))),
""))),2)</f>
        <v>18.53</v>
      </c>
      <c r="I1420" s="9">
        <f>($K$2+0.02)*Tabla1[[#This Row],[PRECIO $]]*1.18</f>
        <v>14.372399999999999</v>
      </c>
      <c r="J1420" s="7">
        <f>+Tabla1[[#This Row],[PRECIO EN SOLES]]-Tabla1[[#This Row],[PC]]</f>
        <v>4.1576000000000022</v>
      </c>
      <c r="K1420" s="15"/>
      <c r="L1420" s="15" t="str">
        <f>IF(
OR(
ISNUMBER(SEARCH("BACKPACK",B1422)),
ISNUMBER(SEARCH("MOCHILA",B1422)),
ISNUMBER(SEARCH("FUNDA",B1422)),
ISNUMBER(SEARCH("ESTUCHE",B1422)),
ISNUMBER(SEARCH("BOOK COVER",B1422)),
ISNUMBER(SEARCH("KEYBOARD PARA TABLET",B1422)),
ISNUMBER(SEARCH("FLIP TABLET",B1422)),
ISNUMBER(SEARCH("CASE FOR TABLET",B1422)),
ISNUMBER(SEARCH("CABLE",B1422)),
ISNUMBER(SEARCH("ADAPTADOR",B1422)),
ISNUMBER(SEARCH("HUB",B1422)),
ISNUMBER(SEARCH("DOCK",B1422)),
ISNUMBER(SEARCH("MOUSE PAD",B1422)),
ISNUMBER(SEARCH("MOUSEPAD",B1422)),
ISNUMBER(SEARCH("SOPORTE",B1422)),
ISNUMBER(SEARCH("STAND",B1422)),
ISNUMBER(SEARCH("TRAVEL ADAPTER",B1422)),
ISNUMBER(SEARCH("RJ45",B1422)),
ISNUMBER(SEARCH("USB-C",B1422)),
ISNUMBER(SEARCH("USB WIFI",B1422)),
ISNUMBER(SEARCH("POWERBANK",B1422)),
ISNUMBER(SEARCH("CARGADOR",B1422)),
ISNUMBER(SEARCH("COOLER PARA NB",B1422)),
ISNUMBER(SEARCH("SOPORTE PARA NB",B1422)),
ISNUMBER(SEARCH("WEBCAM",B1422)),
ISNUMBER(SEARCH("WEB CAM",B1422)),
ISNUMBER(SEARCH("MOUSE",B1422)),
ISNUMBER(SEARCH("TECLADO",B1422))
),
"COMPLEMENTO",
IF(
OR(
LEFT(A1422,2)="NB",
LEFT(A1422,2)="PC",
LEFT(A1422,2)="WS",
LEFT(A1422,2)="TB",
LEFT(A1422,3)="CEL",
LEFT(A1422,3)="MON",
LEFT(A1422,3)="PRE",
LEFT(A1422,3)="PRH",
ISNUMBER(SEARCH("NOTEBOOK",B1422)),
ISNUMBER(SEARCH("LAPTOP",B1422)),
ISNUMBER(SEARCH("MONITOR",B1422)),
ISNUMBER(SEARCH("TABLET",B1422)),
ISNUMBER(SEARCH("SMARTPH",B1422)),
ISNUMBER(SEARCH("IMPRESORA",B1422)),
ISNUMBER(SEARCH("MULTIFUNCIONAL",B1422)),
ISNUMBER(SEARCH("AIO",B1422))
),
"GANCHO",
"NORMAL"
)
)</f>
        <v>NORMAL</v>
      </c>
    </row>
    <row r="1421" spans="1:12" x14ac:dyDescent="0.25">
      <c r="A1421" s="3" t="s">
        <v>2377</v>
      </c>
      <c r="B1421" s="3" t="s">
        <v>2378</v>
      </c>
      <c r="C1421" s="1">
        <v>20</v>
      </c>
      <c r="D1421" s="1">
        <v>10.32</v>
      </c>
      <c r="E1421" s="1" t="s">
        <v>452</v>
      </c>
      <c r="F1421" s="1" t="s">
        <v>3945</v>
      </c>
      <c r="G1421" s="3"/>
      <c r="H1421" s="11">
        <f>ROUND(
IF(L1419="GANCHO",
   IF(I1421&lt;=50,I1421*1.1+4,IF(I1421&lt;=120,I1421*1.1+7,IF(I1421&lt;=250,I1421*1.1+11,I1421*1.1+19))),
IF(L1419="NORMAL",
   IF(I1421&lt;=30,I1421*1.15+2,IF(I1421&lt;=80,I1421*1.15+4,IF(I1421&lt;=150,I1421*1.15+6,I1421*1.15+8))),
IF(L1419="COMPLEMENTO",
   IF(I1421&lt;=25,I1421*1.25+1.5,IF(I1421&lt;=60,I1421*1.25+3,IF(I1421&lt;=120,I1421*1.25+4,I1421*1.25+5))),
""))),2)</f>
        <v>52.73</v>
      </c>
      <c r="I1421" s="9">
        <f>($K$2+0.02)*Tabla1[[#This Row],[PRECIO $]]*1.18</f>
        <v>42.378048</v>
      </c>
      <c r="J1421" s="7">
        <f>+Tabla1[[#This Row],[PRECIO EN SOLES]]-Tabla1[[#This Row],[PC]]</f>
        <v>10.351951999999997</v>
      </c>
      <c r="K1421" s="15"/>
      <c r="L1421" s="15" t="str">
        <f>IF(
OR(
ISNUMBER(SEARCH("BACKPACK",B1423)),
ISNUMBER(SEARCH("MOCHILA",B1423)),
ISNUMBER(SEARCH("FUNDA",B1423)),
ISNUMBER(SEARCH("ESTUCHE",B1423)),
ISNUMBER(SEARCH("BOOK COVER",B1423)),
ISNUMBER(SEARCH("KEYBOARD PARA TABLET",B1423)),
ISNUMBER(SEARCH("FLIP TABLET",B1423)),
ISNUMBER(SEARCH("CASE FOR TABLET",B1423)),
ISNUMBER(SEARCH("CABLE",B1423)),
ISNUMBER(SEARCH("ADAPTADOR",B1423)),
ISNUMBER(SEARCH("HUB",B1423)),
ISNUMBER(SEARCH("DOCK",B1423)),
ISNUMBER(SEARCH("MOUSE PAD",B1423)),
ISNUMBER(SEARCH("MOUSEPAD",B1423)),
ISNUMBER(SEARCH("SOPORTE",B1423)),
ISNUMBER(SEARCH("STAND",B1423)),
ISNUMBER(SEARCH("TRAVEL ADAPTER",B1423)),
ISNUMBER(SEARCH("RJ45",B1423)),
ISNUMBER(SEARCH("USB-C",B1423)),
ISNUMBER(SEARCH("USB WIFI",B1423)),
ISNUMBER(SEARCH("POWERBANK",B1423)),
ISNUMBER(SEARCH("CARGADOR",B1423)),
ISNUMBER(SEARCH("COOLER PARA NB",B1423)),
ISNUMBER(SEARCH("SOPORTE PARA NB",B1423)),
ISNUMBER(SEARCH("WEBCAM",B1423)),
ISNUMBER(SEARCH("WEB CAM",B1423)),
ISNUMBER(SEARCH("MOUSE",B1423)),
ISNUMBER(SEARCH("TECLADO",B1423))
),
"COMPLEMENTO",
IF(
OR(
LEFT(A1423,2)="NB",
LEFT(A1423,2)="PC",
LEFT(A1423,2)="WS",
LEFT(A1423,2)="TB",
LEFT(A1423,3)="CEL",
LEFT(A1423,3)="MON",
LEFT(A1423,3)="PRE",
LEFT(A1423,3)="PRH",
ISNUMBER(SEARCH("NOTEBOOK",B1423)),
ISNUMBER(SEARCH("LAPTOP",B1423)),
ISNUMBER(SEARCH("MONITOR",B1423)),
ISNUMBER(SEARCH("TABLET",B1423)),
ISNUMBER(SEARCH("SMARTPH",B1423)),
ISNUMBER(SEARCH("IMPRESORA",B1423)),
ISNUMBER(SEARCH("MULTIFUNCIONAL",B1423)),
ISNUMBER(SEARCH("AIO",B1423))
),
"GANCHO",
"NORMAL"
)
)</f>
        <v>NORMAL</v>
      </c>
    </row>
    <row r="1422" spans="1:12" x14ac:dyDescent="0.25">
      <c r="A1422" s="3" t="s">
        <v>2379</v>
      </c>
      <c r="B1422" s="3" t="s">
        <v>2380</v>
      </c>
      <c r="C1422" s="1">
        <v>20</v>
      </c>
      <c r="D1422" s="1">
        <v>16.8</v>
      </c>
      <c r="E1422" s="1" t="s">
        <v>452</v>
      </c>
      <c r="F1422" s="1" t="s">
        <v>3946</v>
      </c>
      <c r="G1422" s="3" t="s">
        <v>2381</v>
      </c>
      <c r="H1422" s="11">
        <f>ROUND(
IF(L1420="GANCHO",
   IF(I1422&lt;=50,I1422*1.1+4,IF(I1422&lt;=120,I1422*1.1+7,IF(I1422&lt;=250,I1422*1.1+11,I1422*1.1+19))),
IF(L1420="NORMAL",
   IF(I1422&lt;=30,I1422*1.15+2,IF(I1422&lt;=80,I1422*1.15+4,IF(I1422&lt;=150,I1422*1.15+6,I1422*1.15+8))),
IF(L1420="COMPLEMENTO",
   IF(I1422&lt;=25,I1422*1.25+1.5,IF(I1422&lt;=60,I1422*1.25+3,IF(I1422&lt;=120,I1422*1.25+4,I1422*1.25+5))),
""))),2)</f>
        <v>83.34</v>
      </c>
      <c r="I1422" s="9">
        <f>($K$2+0.02)*Tabla1[[#This Row],[PRECIO $]]*1.18</f>
        <v>68.987519999999989</v>
      </c>
      <c r="J1422" s="7">
        <f>+Tabla1[[#This Row],[PRECIO EN SOLES]]-Tabla1[[#This Row],[PC]]</f>
        <v>14.352480000000014</v>
      </c>
      <c r="K1422" s="15"/>
      <c r="L1422" s="15" t="str">
        <f>IF(
OR(
ISNUMBER(SEARCH("BACKPACK",B1424)),
ISNUMBER(SEARCH("MOCHILA",B1424)),
ISNUMBER(SEARCH("FUNDA",B1424)),
ISNUMBER(SEARCH("ESTUCHE",B1424)),
ISNUMBER(SEARCH("BOOK COVER",B1424)),
ISNUMBER(SEARCH("KEYBOARD PARA TABLET",B1424)),
ISNUMBER(SEARCH("FLIP TABLET",B1424)),
ISNUMBER(SEARCH("CASE FOR TABLET",B1424)),
ISNUMBER(SEARCH("CABLE",B1424)),
ISNUMBER(SEARCH("ADAPTADOR",B1424)),
ISNUMBER(SEARCH("HUB",B1424)),
ISNUMBER(SEARCH("DOCK",B1424)),
ISNUMBER(SEARCH("MOUSE PAD",B1424)),
ISNUMBER(SEARCH("MOUSEPAD",B1424)),
ISNUMBER(SEARCH("SOPORTE",B1424)),
ISNUMBER(SEARCH("STAND",B1424)),
ISNUMBER(SEARCH("TRAVEL ADAPTER",B1424)),
ISNUMBER(SEARCH("RJ45",B1424)),
ISNUMBER(SEARCH("USB-C",B1424)),
ISNUMBER(SEARCH("USB WIFI",B1424)),
ISNUMBER(SEARCH("POWERBANK",B1424)),
ISNUMBER(SEARCH("CARGADOR",B1424)),
ISNUMBER(SEARCH("COOLER PARA NB",B1424)),
ISNUMBER(SEARCH("SOPORTE PARA NB",B1424)),
ISNUMBER(SEARCH("WEBCAM",B1424)),
ISNUMBER(SEARCH("WEB CAM",B1424)),
ISNUMBER(SEARCH("MOUSE",B1424)),
ISNUMBER(SEARCH("TECLADO",B1424))
),
"COMPLEMENTO",
IF(
OR(
LEFT(A1424,2)="NB",
LEFT(A1424,2)="PC",
LEFT(A1424,2)="WS",
LEFT(A1424,2)="TB",
LEFT(A1424,3)="CEL",
LEFT(A1424,3)="MON",
LEFT(A1424,3)="PRE",
LEFT(A1424,3)="PRH",
ISNUMBER(SEARCH("NOTEBOOK",B1424)),
ISNUMBER(SEARCH("LAPTOP",B1424)),
ISNUMBER(SEARCH("MONITOR",B1424)),
ISNUMBER(SEARCH("TABLET",B1424)),
ISNUMBER(SEARCH("SMARTPH",B1424)),
ISNUMBER(SEARCH("IMPRESORA",B1424)),
ISNUMBER(SEARCH("MULTIFUNCIONAL",B1424)),
ISNUMBER(SEARCH("AIO",B1424))
),
"GANCHO",
"NORMAL"
)
)</f>
        <v>NORMAL</v>
      </c>
    </row>
    <row r="1423" spans="1:12" x14ac:dyDescent="0.25">
      <c r="A1423" s="3" t="s">
        <v>6908</v>
      </c>
      <c r="B1423" s="3" t="s">
        <v>6909</v>
      </c>
      <c r="C1423" s="1">
        <v>20</v>
      </c>
      <c r="D1423" s="1">
        <v>12</v>
      </c>
      <c r="E1423" s="1" t="s">
        <v>452</v>
      </c>
      <c r="F1423" s="1" t="s">
        <v>6910</v>
      </c>
      <c r="G1423" s="3"/>
      <c r="H1423" s="11">
        <f>ROUND(
IF(L1421="GANCHO",
   IF(I1423&lt;=50,I1423*1.1+4,IF(I1423&lt;=120,I1423*1.1+7,IF(I1423&lt;=250,I1423*1.1+11,I1423*1.1+19))),
IF(L1421="NORMAL",
   IF(I1423&lt;=30,I1423*1.15+2,IF(I1423&lt;=80,I1423*1.15+4,IF(I1423&lt;=150,I1423*1.15+6,I1423*1.15+8))),
IF(L1421="COMPLEMENTO",
   IF(I1423&lt;=25,I1423*1.25+1.5,IF(I1423&lt;=60,I1423*1.25+3,IF(I1423&lt;=120,I1423*1.25+4,I1423*1.25+5))),
""))),2)</f>
        <v>60.67</v>
      </c>
      <c r="I1423" s="9">
        <f>($K$2+0.02)*Tabla1[[#This Row],[PRECIO $]]*1.18</f>
        <v>49.276799999999994</v>
      </c>
      <c r="J1423" s="7">
        <f>+Tabla1[[#This Row],[PRECIO EN SOLES]]-Tabla1[[#This Row],[PC]]</f>
        <v>11.393200000000007</v>
      </c>
      <c r="K1423" s="15"/>
      <c r="L1423" s="15" t="str">
        <f>IF(
OR(
ISNUMBER(SEARCH("BACKPACK",B1425)),
ISNUMBER(SEARCH("MOCHILA",B1425)),
ISNUMBER(SEARCH("FUNDA",B1425)),
ISNUMBER(SEARCH("ESTUCHE",B1425)),
ISNUMBER(SEARCH("BOOK COVER",B1425)),
ISNUMBER(SEARCH("KEYBOARD PARA TABLET",B1425)),
ISNUMBER(SEARCH("FLIP TABLET",B1425)),
ISNUMBER(SEARCH("CASE FOR TABLET",B1425)),
ISNUMBER(SEARCH("CABLE",B1425)),
ISNUMBER(SEARCH("ADAPTADOR",B1425)),
ISNUMBER(SEARCH("HUB",B1425)),
ISNUMBER(SEARCH("DOCK",B1425)),
ISNUMBER(SEARCH("MOUSE PAD",B1425)),
ISNUMBER(SEARCH("MOUSEPAD",B1425)),
ISNUMBER(SEARCH("SOPORTE",B1425)),
ISNUMBER(SEARCH("STAND",B1425)),
ISNUMBER(SEARCH("TRAVEL ADAPTER",B1425)),
ISNUMBER(SEARCH("RJ45",B1425)),
ISNUMBER(SEARCH("USB-C",B1425)),
ISNUMBER(SEARCH("USB WIFI",B1425)),
ISNUMBER(SEARCH("POWERBANK",B1425)),
ISNUMBER(SEARCH("CARGADOR",B1425)),
ISNUMBER(SEARCH("COOLER PARA NB",B1425)),
ISNUMBER(SEARCH("SOPORTE PARA NB",B1425)),
ISNUMBER(SEARCH("WEBCAM",B1425)),
ISNUMBER(SEARCH("WEB CAM",B1425)),
ISNUMBER(SEARCH("MOUSE",B1425)),
ISNUMBER(SEARCH("TECLADO",B1425))
),
"COMPLEMENTO",
IF(
OR(
LEFT(A1425,2)="NB",
LEFT(A1425,2)="PC",
LEFT(A1425,2)="WS",
LEFT(A1425,2)="TB",
LEFT(A1425,3)="CEL",
LEFT(A1425,3)="MON",
LEFT(A1425,3)="PRE",
LEFT(A1425,3)="PRH",
ISNUMBER(SEARCH("NOTEBOOK",B1425)),
ISNUMBER(SEARCH("LAPTOP",B1425)),
ISNUMBER(SEARCH("MONITOR",B1425)),
ISNUMBER(SEARCH("TABLET",B1425)),
ISNUMBER(SEARCH("SMARTPH",B1425)),
ISNUMBER(SEARCH("IMPRESORA",B1425)),
ISNUMBER(SEARCH("MULTIFUNCIONAL",B1425)),
ISNUMBER(SEARCH("AIO",B1425))
),
"GANCHO",
"NORMAL"
)
)</f>
        <v>NORMAL</v>
      </c>
    </row>
    <row r="1424" spans="1:12" x14ac:dyDescent="0.25">
      <c r="A1424" s="3" t="s">
        <v>6911</v>
      </c>
      <c r="B1424" s="3" t="s">
        <v>6912</v>
      </c>
      <c r="C1424" s="1">
        <v>20</v>
      </c>
      <c r="D1424" s="1">
        <v>21.5</v>
      </c>
      <c r="E1424" s="1" t="s">
        <v>452</v>
      </c>
      <c r="F1424" s="1" t="s">
        <v>6913</v>
      </c>
      <c r="G1424" s="3"/>
      <c r="H1424" s="11">
        <f>ROUND(
IF(L1422="GANCHO",
   IF(I1424&lt;=50,I1424*1.1+4,IF(I1424&lt;=120,I1424*1.1+7,IF(I1424&lt;=250,I1424*1.1+11,I1424*1.1+19))),
IF(L1422="NORMAL",
   IF(I1424&lt;=30,I1424*1.15+2,IF(I1424&lt;=80,I1424*1.15+4,IF(I1424&lt;=150,I1424*1.15+6,I1424*1.15+8))),
IF(L1422="COMPLEMENTO",
   IF(I1424&lt;=25,I1424*1.25+1.5,IF(I1424&lt;=60,I1424*1.25+3,IF(I1424&lt;=120,I1424*1.25+4,I1424*1.25+5))),
""))),2)</f>
        <v>107.53</v>
      </c>
      <c r="I1424" s="9">
        <f>($K$2+0.02)*Tabla1[[#This Row],[PRECIO $]]*1.18</f>
        <v>88.287599999999983</v>
      </c>
      <c r="J1424" s="7">
        <f>+Tabla1[[#This Row],[PRECIO EN SOLES]]-Tabla1[[#This Row],[PC]]</f>
        <v>19.242400000000018</v>
      </c>
      <c r="K1424" s="15"/>
      <c r="L1424" s="15" t="str">
        <f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5" spans="1:12" x14ac:dyDescent="0.25">
      <c r="A1425" s="3" t="s">
        <v>453</v>
      </c>
      <c r="B1425" s="3" t="s">
        <v>454</v>
      </c>
      <c r="C1425" s="1">
        <v>20</v>
      </c>
      <c r="D1425" s="1">
        <v>15.1</v>
      </c>
      <c r="E1425" s="1" t="s">
        <v>452</v>
      </c>
      <c r="F1425" s="1" t="s">
        <v>3947</v>
      </c>
      <c r="G1425" s="3" t="s">
        <v>455</v>
      </c>
      <c r="H1425" s="11">
        <f>ROUND(
IF(L1423="GANCHO",
   IF(I1425&lt;=50,I1425*1.1+4,IF(I1425&lt;=120,I1425*1.1+7,IF(I1425&lt;=250,I1425*1.1+11,I1425*1.1+19))),
IF(L1423="NORMAL",
   IF(I1425&lt;=30,I1425*1.15+2,IF(I1425&lt;=80,I1425*1.15+4,IF(I1425&lt;=150,I1425*1.15+6,I1425*1.15+8))),
IF(L1423="COMPLEMENTO",
   IF(I1425&lt;=25,I1425*1.25+1.5,IF(I1425&lt;=60,I1425*1.25+3,IF(I1425&lt;=120,I1425*1.25+4,I1425*1.25+5))),
""))),2)</f>
        <v>75.31</v>
      </c>
      <c r="I1425" s="9">
        <f>($K$2+0.02)*Tabla1[[#This Row],[PRECIO $]]*1.18</f>
        <v>62.006639999999997</v>
      </c>
      <c r="J1425" s="7">
        <f>+Tabla1[[#This Row],[PRECIO EN SOLES]]-Tabla1[[#This Row],[PC]]</f>
        <v>13.303360000000005</v>
      </c>
      <c r="K1425" s="15"/>
      <c r="L1425" s="15" t="str">
        <f>IF(
OR(
ISNUMBER(SEARCH("BACKPACK",B1427)),
ISNUMBER(SEARCH("MOCHILA",B1427)),
ISNUMBER(SEARCH("FUNDA",B1427)),
ISNUMBER(SEARCH("ESTUCHE",B1427)),
ISNUMBER(SEARCH("BOOK COVER",B1427)),
ISNUMBER(SEARCH("KEYBOARD PARA TABLET",B1427)),
ISNUMBER(SEARCH("FLIP TABLET",B1427)),
ISNUMBER(SEARCH("CASE FOR TABLET",B1427)),
ISNUMBER(SEARCH("CABLE",B1427)),
ISNUMBER(SEARCH("ADAPTADOR",B1427)),
ISNUMBER(SEARCH("HUB",B1427)),
ISNUMBER(SEARCH("DOCK",B1427)),
ISNUMBER(SEARCH("MOUSE PAD",B1427)),
ISNUMBER(SEARCH("MOUSEPAD",B1427)),
ISNUMBER(SEARCH("SOPORTE",B1427)),
ISNUMBER(SEARCH("STAND",B1427)),
ISNUMBER(SEARCH("TRAVEL ADAPTER",B1427)),
ISNUMBER(SEARCH("RJ45",B1427)),
ISNUMBER(SEARCH("USB-C",B1427)),
ISNUMBER(SEARCH("USB WIFI",B1427)),
ISNUMBER(SEARCH("POWERBANK",B1427)),
ISNUMBER(SEARCH("CARGADOR",B1427)),
ISNUMBER(SEARCH("COOLER PARA NB",B1427)),
ISNUMBER(SEARCH("SOPORTE PARA NB",B1427)),
ISNUMBER(SEARCH("WEBCAM",B1427)),
ISNUMBER(SEARCH("WEB CAM",B1427)),
ISNUMBER(SEARCH("MOUSE",B1427)),
ISNUMBER(SEARCH("TECLADO",B1427))
),
"COMPLEMENTO",
IF(
OR(
LEFT(A1427,2)="NB",
LEFT(A1427,2)="PC",
LEFT(A1427,2)="WS",
LEFT(A1427,2)="TB",
LEFT(A1427,3)="CEL",
LEFT(A1427,3)="MON",
LEFT(A1427,3)="PRE",
LEFT(A1427,3)="PRH",
ISNUMBER(SEARCH("NOTEBOOK",B1427)),
ISNUMBER(SEARCH("LAPTOP",B1427)),
ISNUMBER(SEARCH("MONITOR",B1427)),
ISNUMBER(SEARCH("TABLET",B1427)),
ISNUMBER(SEARCH("SMARTPH",B1427)),
ISNUMBER(SEARCH("IMPRESORA",B1427)),
ISNUMBER(SEARCH("MULTIFUNCIONAL",B1427)),
ISNUMBER(SEARCH("AIO",B1427))
),
"GANCHO",
"NORMAL"
)
)</f>
        <v>NORMAL</v>
      </c>
    </row>
    <row r="1426" spans="1:12" x14ac:dyDescent="0.25">
      <c r="A1426" s="3" t="s">
        <v>456</v>
      </c>
      <c r="B1426" s="3" t="s">
        <v>457</v>
      </c>
      <c r="C1426" s="1">
        <v>19</v>
      </c>
      <c r="D1426" s="1">
        <v>19.809999999999999</v>
      </c>
      <c r="E1426" s="1" t="s">
        <v>452</v>
      </c>
      <c r="F1426" s="1" t="s">
        <v>3948</v>
      </c>
      <c r="G1426" s="3" t="s">
        <v>458</v>
      </c>
      <c r="H1426" s="11">
        <f>ROUND(
IF(L1424="GANCHO",
   IF(I1426&lt;=50,I1426*1.1+4,IF(I1426&lt;=120,I1426*1.1+7,IF(I1426&lt;=250,I1426*1.1+11,I1426*1.1+19))),
IF(L1424="NORMAL",
   IF(I1426&lt;=30,I1426*1.15+2,IF(I1426&lt;=80,I1426*1.15+4,IF(I1426&lt;=150,I1426*1.15+6,I1426*1.15+8))),
IF(L1424="COMPLEMENTO",
   IF(I1426&lt;=25,I1426*1.25+1.5,IF(I1426&lt;=60,I1426*1.25+3,IF(I1426&lt;=120,I1426*1.25+4,I1426*1.25+5))),
""))),2)</f>
        <v>99.55</v>
      </c>
      <c r="I1426" s="9">
        <f>($K$2+0.02)*Tabla1[[#This Row],[PRECIO $]]*1.18</f>
        <v>81.34778399999999</v>
      </c>
      <c r="J1426" s="7">
        <f>+Tabla1[[#This Row],[PRECIO EN SOLES]]-Tabla1[[#This Row],[PC]]</f>
        <v>18.202216000000007</v>
      </c>
      <c r="K1426" s="15"/>
      <c r="L1426" s="15" t="str">
        <f>IF(
OR(
ISNUMBER(SEARCH("BACKPACK",B1428)),
ISNUMBER(SEARCH("MOCHILA",B1428)),
ISNUMBER(SEARCH("FUNDA",B1428)),
ISNUMBER(SEARCH("ESTUCHE",B1428)),
ISNUMBER(SEARCH("BOOK COVER",B1428)),
ISNUMBER(SEARCH("KEYBOARD PARA TABLET",B1428)),
ISNUMBER(SEARCH("FLIP TABLET",B1428)),
ISNUMBER(SEARCH("CASE FOR TABLET",B1428)),
ISNUMBER(SEARCH("CABLE",B1428)),
ISNUMBER(SEARCH("ADAPTADOR",B1428)),
ISNUMBER(SEARCH("HUB",B1428)),
ISNUMBER(SEARCH("DOCK",B1428)),
ISNUMBER(SEARCH("MOUSE PAD",B1428)),
ISNUMBER(SEARCH("MOUSEPAD",B1428)),
ISNUMBER(SEARCH("SOPORTE",B1428)),
ISNUMBER(SEARCH("STAND",B1428)),
ISNUMBER(SEARCH("TRAVEL ADAPTER",B1428)),
ISNUMBER(SEARCH("RJ45",B1428)),
ISNUMBER(SEARCH("USB-C",B1428)),
ISNUMBER(SEARCH("USB WIFI",B1428)),
ISNUMBER(SEARCH("POWERBANK",B1428)),
ISNUMBER(SEARCH("CARGADOR",B1428)),
ISNUMBER(SEARCH("COOLER PARA NB",B1428)),
ISNUMBER(SEARCH("SOPORTE PARA NB",B1428)),
ISNUMBER(SEARCH("WEBCAM",B1428)),
ISNUMBER(SEARCH("WEB CAM",B1428)),
ISNUMBER(SEARCH("MOUSE",B1428)),
ISNUMBER(SEARCH("TECLADO",B1428))
),
"COMPLEMENTO",
IF(
OR(
LEFT(A1428,2)="NB",
LEFT(A1428,2)="PC",
LEFT(A1428,2)="WS",
LEFT(A1428,2)="TB",
LEFT(A1428,3)="CEL",
LEFT(A1428,3)="MON",
LEFT(A1428,3)="PRE",
LEFT(A1428,3)="PRH",
ISNUMBER(SEARCH("NOTEBOOK",B1428)),
ISNUMBER(SEARCH("LAPTOP",B1428)),
ISNUMBER(SEARCH("MONITOR",B1428)),
ISNUMBER(SEARCH("TABLET",B1428)),
ISNUMBER(SEARCH("SMARTPH",B1428)),
ISNUMBER(SEARCH("IMPRESORA",B1428)),
ISNUMBER(SEARCH("MULTIFUNCIONAL",B1428)),
ISNUMBER(SEARCH("AIO",B1428))
),
"GANCHO",
"NORMAL"
)
)</f>
        <v>NORMAL</v>
      </c>
    </row>
    <row r="1427" spans="1:12" x14ac:dyDescent="0.25">
      <c r="A1427" s="3" t="s">
        <v>2382</v>
      </c>
      <c r="B1427" s="3" t="s">
        <v>2383</v>
      </c>
      <c r="C1427" s="1">
        <v>20</v>
      </c>
      <c r="D1427" s="1">
        <v>4.29</v>
      </c>
      <c r="E1427" s="1" t="s">
        <v>452</v>
      </c>
      <c r="F1427" s="1" t="s">
        <v>3949</v>
      </c>
      <c r="G1427" s="3"/>
      <c r="H1427" s="11">
        <f>ROUND(
IF(L1425="GANCHO",
   IF(I1427&lt;=50,I1427*1.1+4,IF(I1427&lt;=120,I1427*1.1+7,IF(I1427&lt;=250,I1427*1.1+11,I1427*1.1+19))),
IF(L1425="NORMAL",
   IF(I1427&lt;=30,I1427*1.15+2,IF(I1427&lt;=80,I1427*1.15+4,IF(I1427&lt;=150,I1427*1.15+6,I1427*1.15+8))),
IF(L1425="COMPLEMENTO",
   IF(I1427&lt;=25,I1427*1.25+1.5,IF(I1427&lt;=60,I1427*1.25+3,IF(I1427&lt;=120,I1427*1.25+4,I1427*1.25+5))),
""))),2)</f>
        <v>22.26</v>
      </c>
      <c r="I1427" s="9">
        <f>($K$2+0.02)*Tabla1[[#This Row],[PRECIO $]]*1.18</f>
        <v>17.616455999999999</v>
      </c>
      <c r="J1427" s="7">
        <f>+Tabla1[[#This Row],[PRECIO EN SOLES]]-Tabla1[[#This Row],[PC]]</f>
        <v>4.6435440000000021</v>
      </c>
      <c r="K1427" s="15"/>
      <c r="L1427" s="15" t="str">
        <f>IF(
OR(
ISNUMBER(SEARCH("BACKPACK",B1429)),
ISNUMBER(SEARCH("MOCHILA",B1429)),
ISNUMBER(SEARCH("FUNDA",B1429)),
ISNUMBER(SEARCH("ESTUCHE",B1429)),
ISNUMBER(SEARCH("BOOK COVER",B1429)),
ISNUMBER(SEARCH("KEYBOARD PARA TABLET",B1429)),
ISNUMBER(SEARCH("FLIP TABLET",B1429)),
ISNUMBER(SEARCH("CASE FOR TABLET",B1429)),
ISNUMBER(SEARCH("CABLE",B1429)),
ISNUMBER(SEARCH("ADAPTADOR",B1429)),
ISNUMBER(SEARCH("HUB",B1429)),
ISNUMBER(SEARCH("DOCK",B1429)),
ISNUMBER(SEARCH("MOUSE PAD",B1429)),
ISNUMBER(SEARCH("MOUSEPAD",B1429)),
ISNUMBER(SEARCH("SOPORTE",B1429)),
ISNUMBER(SEARCH("STAND",B1429)),
ISNUMBER(SEARCH("TRAVEL ADAPTER",B1429)),
ISNUMBER(SEARCH("RJ45",B1429)),
ISNUMBER(SEARCH("USB-C",B1429)),
ISNUMBER(SEARCH("USB WIFI",B1429)),
ISNUMBER(SEARCH("POWERBANK",B1429)),
ISNUMBER(SEARCH("CARGADOR",B1429)),
ISNUMBER(SEARCH("COOLER PARA NB",B1429)),
ISNUMBER(SEARCH("SOPORTE PARA NB",B1429)),
ISNUMBER(SEARCH("WEBCAM",B1429)),
ISNUMBER(SEARCH("WEB CAM",B1429)),
ISNUMBER(SEARCH("MOUSE",B1429)),
ISNUMBER(SEARCH("TECLADO",B1429))
),
"COMPLEMENTO",
IF(
OR(
LEFT(A1429,2)="NB",
LEFT(A1429,2)="PC",
LEFT(A1429,2)="WS",
LEFT(A1429,2)="TB",
LEFT(A1429,3)="CEL",
LEFT(A1429,3)="MON",
LEFT(A1429,3)="PRE",
LEFT(A1429,3)="PRH",
ISNUMBER(SEARCH("NOTEBOOK",B1429)),
ISNUMBER(SEARCH("LAPTOP",B1429)),
ISNUMBER(SEARCH("MONITOR",B1429)),
ISNUMBER(SEARCH("TABLET",B1429)),
ISNUMBER(SEARCH("SMARTPH",B1429)),
ISNUMBER(SEARCH("IMPRESORA",B1429)),
ISNUMBER(SEARCH("MULTIFUNCIONAL",B1429)),
ISNUMBER(SEARCH("AIO",B1429))
),
"GANCHO",
"NORMAL"
)
)</f>
        <v>NORMAL</v>
      </c>
    </row>
    <row r="1428" spans="1:12" x14ac:dyDescent="0.25">
      <c r="A1428" s="3" t="s">
        <v>2384</v>
      </c>
      <c r="B1428" s="3" t="s">
        <v>2385</v>
      </c>
      <c r="C1428" s="1">
        <v>3</v>
      </c>
      <c r="D1428" s="1">
        <v>23.09</v>
      </c>
      <c r="E1428" s="1" t="s">
        <v>452</v>
      </c>
      <c r="F1428" s="1" t="s">
        <v>3950</v>
      </c>
      <c r="G1428" s="3" t="s">
        <v>2386</v>
      </c>
      <c r="H1428" s="11">
        <f>ROUND(
IF(L1426="GANCHO",
   IF(I1428&lt;=50,I1428*1.1+4,IF(I1428&lt;=120,I1428*1.1+7,IF(I1428&lt;=250,I1428*1.1+11,I1428*1.1+19))),
IF(L1426="NORMAL",
   IF(I1428&lt;=30,I1428*1.15+2,IF(I1428&lt;=80,I1428*1.15+4,IF(I1428&lt;=150,I1428*1.15+6,I1428*1.15+8))),
IF(L1426="COMPLEMENTO",
   IF(I1428&lt;=25,I1428*1.25+1.5,IF(I1428&lt;=60,I1428*1.25+3,IF(I1428&lt;=120,I1428*1.25+4,I1428*1.25+5))),
""))),2)</f>
        <v>115.04</v>
      </c>
      <c r="I1428" s="9">
        <f>($K$2+0.02)*Tabla1[[#This Row],[PRECIO $]]*1.18</f>
        <v>94.81677599999999</v>
      </c>
      <c r="J1428" s="7">
        <f>+Tabla1[[#This Row],[PRECIO EN SOLES]]-Tabla1[[#This Row],[PC]]</f>
        <v>20.223224000000016</v>
      </c>
      <c r="K1428" s="15"/>
      <c r="L1428" s="15" t="str">
        <f>IF(
OR(
ISNUMBER(SEARCH("BACKPACK",B1430)),
ISNUMBER(SEARCH("MOCHILA",B1430)),
ISNUMBER(SEARCH("FUNDA",B1430)),
ISNUMBER(SEARCH("ESTUCHE",B1430)),
ISNUMBER(SEARCH("BOOK COVER",B1430)),
ISNUMBER(SEARCH("KEYBOARD PARA TABLET",B1430)),
ISNUMBER(SEARCH("FLIP TABLET",B1430)),
ISNUMBER(SEARCH("CASE FOR TABLET",B1430)),
ISNUMBER(SEARCH("CABLE",B1430)),
ISNUMBER(SEARCH("ADAPTADOR",B1430)),
ISNUMBER(SEARCH("HUB",B1430)),
ISNUMBER(SEARCH("DOCK",B1430)),
ISNUMBER(SEARCH("MOUSE PAD",B1430)),
ISNUMBER(SEARCH("MOUSEPAD",B1430)),
ISNUMBER(SEARCH("SOPORTE",B1430)),
ISNUMBER(SEARCH("STAND",B1430)),
ISNUMBER(SEARCH("TRAVEL ADAPTER",B1430)),
ISNUMBER(SEARCH("RJ45",B1430)),
ISNUMBER(SEARCH("USB-C",B1430)),
ISNUMBER(SEARCH("USB WIFI",B1430)),
ISNUMBER(SEARCH("POWERBANK",B1430)),
ISNUMBER(SEARCH("CARGADOR",B1430)),
ISNUMBER(SEARCH("COOLER PARA NB",B1430)),
ISNUMBER(SEARCH("SOPORTE PARA NB",B1430)),
ISNUMBER(SEARCH("WEBCAM",B1430)),
ISNUMBER(SEARCH("WEB CAM",B1430)),
ISNUMBER(SEARCH("MOUSE",B1430)),
ISNUMBER(SEARCH("TECLADO",B1430))
),
"COMPLEMENTO",
IF(
OR(
LEFT(A1430,2)="NB",
LEFT(A1430,2)="PC",
LEFT(A1430,2)="WS",
LEFT(A1430,2)="TB",
LEFT(A1430,3)="CEL",
LEFT(A1430,3)="MON",
LEFT(A1430,3)="PRE",
LEFT(A1430,3)="PRH",
ISNUMBER(SEARCH("NOTEBOOK",B1430)),
ISNUMBER(SEARCH("LAPTOP",B1430)),
ISNUMBER(SEARCH("MONITOR",B1430)),
ISNUMBER(SEARCH("TABLET",B1430)),
ISNUMBER(SEARCH("SMARTPH",B1430)),
ISNUMBER(SEARCH("IMPRESORA",B1430)),
ISNUMBER(SEARCH("MULTIFUNCIONAL",B1430)),
ISNUMBER(SEARCH("AIO",B1430))
),
"GANCHO",
"NORMAL"
)
)</f>
        <v>NORMAL</v>
      </c>
    </row>
    <row r="1429" spans="1:12" x14ac:dyDescent="0.25">
      <c r="A1429" s="3" t="s">
        <v>2387</v>
      </c>
      <c r="B1429" s="3" t="s">
        <v>2388</v>
      </c>
      <c r="C1429" s="1">
        <v>9</v>
      </c>
      <c r="D1429" s="1">
        <v>37.6</v>
      </c>
      <c r="E1429" s="1" t="s">
        <v>452</v>
      </c>
      <c r="F1429" s="1" t="s">
        <v>3951</v>
      </c>
      <c r="G1429" s="3"/>
      <c r="H1429" s="11">
        <f>ROUND(
IF(L1427="GANCHO",
   IF(I1429&lt;=50,I1429*1.1+4,IF(I1429&lt;=120,I1429*1.1+7,IF(I1429&lt;=250,I1429*1.1+11,I1429*1.1+19))),
IF(L1427="NORMAL",
   IF(I1429&lt;=30,I1429*1.15+2,IF(I1429&lt;=80,I1429*1.15+4,IF(I1429&lt;=150,I1429*1.15+6,I1429*1.15+8))),
IF(L1427="COMPLEMENTO",
   IF(I1429&lt;=25,I1429*1.25+1.5,IF(I1429&lt;=60,I1429*1.25+3,IF(I1429&lt;=120,I1429*1.25+4,I1429*1.25+5))),
""))),2)</f>
        <v>185.56</v>
      </c>
      <c r="I1429" s="9">
        <f>($K$2+0.02)*Tabla1[[#This Row],[PRECIO $]]*1.18</f>
        <v>154.40064000000001</v>
      </c>
      <c r="J1429" s="7">
        <f>+Tabla1[[#This Row],[PRECIO EN SOLES]]-Tabla1[[#This Row],[PC]]</f>
        <v>31.159359999999992</v>
      </c>
      <c r="K1429" s="15"/>
      <c r="L1429" s="15" t="str">
        <f>IF(
OR(
ISNUMBER(SEARCH("BACKPACK",B1431)),
ISNUMBER(SEARCH("MOCHILA",B1431)),
ISNUMBER(SEARCH("FUNDA",B1431)),
ISNUMBER(SEARCH("ESTUCHE",B1431)),
ISNUMBER(SEARCH("BOOK COVER",B1431)),
ISNUMBER(SEARCH("KEYBOARD PARA TABLET",B1431)),
ISNUMBER(SEARCH("FLIP TABLET",B1431)),
ISNUMBER(SEARCH("CASE FOR TABLET",B1431)),
ISNUMBER(SEARCH("CABLE",B1431)),
ISNUMBER(SEARCH("ADAPTADOR",B1431)),
ISNUMBER(SEARCH("HUB",B1431)),
ISNUMBER(SEARCH("DOCK",B1431)),
ISNUMBER(SEARCH("MOUSE PAD",B1431)),
ISNUMBER(SEARCH("MOUSEPAD",B1431)),
ISNUMBER(SEARCH("SOPORTE",B1431)),
ISNUMBER(SEARCH("STAND",B1431)),
ISNUMBER(SEARCH("TRAVEL ADAPTER",B1431)),
ISNUMBER(SEARCH("RJ45",B1431)),
ISNUMBER(SEARCH("USB-C",B1431)),
ISNUMBER(SEARCH("USB WIFI",B1431)),
ISNUMBER(SEARCH("POWERBANK",B1431)),
ISNUMBER(SEARCH("CARGADOR",B1431)),
ISNUMBER(SEARCH("COOLER PARA NB",B1431)),
ISNUMBER(SEARCH("SOPORTE PARA NB",B1431)),
ISNUMBER(SEARCH("WEBCAM",B1431)),
ISNUMBER(SEARCH("WEB CAM",B1431)),
ISNUMBER(SEARCH("MOUSE",B1431)),
ISNUMBER(SEARCH("TECLADO",B1431))
),
"COMPLEMENTO",
IF(
OR(
LEFT(A1431,2)="NB",
LEFT(A1431,2)="PC",
LEFT(A1431,2)="WS",
LEFT(A1431,2)="TB",
LEFT(A1431,3)="CEL",
LEFT(A1431,3)="MON",
LEFT(A1431,3)="PRE",
LEFT(A1431,3)="PRH",
ISNUMBER(SEARCH("NOTEBOOK",B1431)),
ISNUMBER(SEARCH("LAPTOP",B1431)),
ISNUMBER(SEARCH("MONITOR",B1431)),
ISNUMBER(SEARCH("TABLET",B1431)),
ISNUMBER(SEARCH("SMARTPH",B1431)),
ISNUMBER(SEARCH("IMPRESORA",B1431)),
ISNUMBER(SEARCH("MULTIFUNCIONAL",B1431)),
ISNUMBER(SEARCH("AIO",B1431))
),
"GANCHO",
"NORMAL"
)
)</f>
        <v>NORMAL</v>
      </c>
    </row>
    <row r="1430" spans="1:12" x14ac:dyDescent="0.25">
      <c r="A1430" s="3" t="s">
        <v>6914</v>
      </c>
      <c r="B1430" s="3" t="s">
        <v>6915</v>
      </c>
      <c r="C1430" s="1">
        <v>20</v>
      </c>
      <c r="D1430" s="1">
        <v>29</v>
      </c>
      <c r="E1430" s="1" t="s">
        <v>452</v>
      </c>
      <c r="F1430" s="1" t="s">
        <v>6916</v>
      </c>
      <c r="G1430" s="3"/>
      <c r="H1430" s="11">
        <f>ROUND(
IF(L1428="GANCHO",
   IF(I1430&lt;=50,I1430*1.1+4,IF(I1430&lt;=120,I1430*1.1+7,IF(I1430&lt;=250,I1430*1.1+11,I1430*1.1+19))),
IF(L1428="NORMAL",
   IF(I1430&lt;=30,I1430*1.15+2,IF(I1430&lt;=80,I1430*1.15+4,IF(I1430&lt;=150,I1430*1.15+6,I1430*1.15+8))),
IF(L1428="COMPLEMENTO",
   IF(I1430&lt;=25,I1430*1.25+1.5,IF(I1430&lt;=60,I1430*1.25+3,IF(I1430&lt;=120,I1430*1.25+4,I1430*1.25+5))),
""))),2)</f>
        <v>142.94999999999999</v>
      </c>
      <c r="I1430" s="9">
        <f>($K$2+0.02)*Tabla1[[#This Row],[PRECIO $]]*1.18</f>
        <v>119.0856</v>
      </c>
      <c r="J1430" s="7">
        <f>+Tabla1[[#This Row],[PRECIO EN SOLES]]-Tabla1[[#This Row],[PC]]</f>
        <v>23.864399999999989</v>
      </c>
      <c r="K1430" s="15"/>
      <c r="L1430" s="15" t="str">
        <f>IF(
OR(
ISNUMBER(SEARCH("BACKPACK",B1432)),
ISNUMBER(SEARCH("MOCHILA",B1432)),
ISNUMBER(SEARCH("FUNDA",B1432)),
ISNUMBER(SEARCH("ESTUCHE",B1432)),
ISNUMBER(SEARCH("BOOK COVER",B1432)),
ISNUMBER(SEARCH("KEYBOARD PARA TABLET",B1432)),
ISNUMBER(SEARCH("FLIP TABLET",B1432)),
ISNUMBER(SEARCH("CASE FOR TABLET",B1432)),
ISNUMBER(SEARCH("CABLE",B1432)),
ISNUMBER(SEARCH("ADAPTADOR",B1432)),
ISNUMBER(SEARCH("HUB",B1432)),
ISNUMBER(SEARCH("DOCK",B1432)),
ISNUMBER(SEARCH("MOUSE PAD",B1432)),
ISNUMBER(SEARCH("MOUSEPAD",B1432)),
ISNUMBER(SEARCH("SOPORTE",B1432)),
ISNUMBER(SEARCH("STAND",B1432)),
ISNUMBER(SEARCH("TRAVEL ADAPTER",B1432)),
ISNUMBER(SEARCH("RJ45",B1432)),
ISNUMBER(SEARCH("USB-C",B1432)),
ISNUMBER(SEARCH("USB WIFI",B1432)),
ISNUMBER(SEARCH("POWERBANK",B1432)),
ISNUMBER(SEARCH("CARGADOR",B1432)),
ISNUMBER(SEARCH("COOLER PARA NB",B1432)),
ISNUMBER(SEARCH("SOPORTE PARA NB",B1432)),
ISNUMBER(SEARCH("WEBCAM",B1432)),
ISNUMBER(SEARCH("WEB CAM",B1432)),
ISNUMBER(SEARCH("MOUSE",B1432)),
ISNUMBER(SEARCH("TECLADO",B1432))
),
"COMPLEMENTO",
IF(
OR(
LEFT(A1432,2)="NB",
LEFT(A1432,2)="PC",
LEFT(A1432,2)="WS",
LEFT(A1432,2)="TB",
LEFT(A1432,3)="CEL",
LEFT(A1432,3)="MON",
LEFT(A1432,3)="PRE",
LEFT(A1432,3)="PRH",
ISNUMBER(SEARCH("NOTEBOOK",B1432)),
ISNUMBER(SEARCH("LAPTOP",B1432)),
ISNUMBER(SEARCH("MONITOR",B1432)),
ISNUMBER(SEARCH("TABLET",B1432)),
ISNUMBER(SEARCH("SMARTPH",B1432)),
ISNUMBER(SEARCH("IMPRESORA",B1432)),
ISNUMBER(SEARCH("MULTIFUNCIONAL",B1432)),
ISNUMBER(SEARCH("AIO",B1432))
),
"GANCHO",
"NORMAL"
)
)</f>
        <v>COMPLEMENTO</v>
      </c>
    </row>
    <row r="1431" spans="1:12" x14ac:dyDescent="0.25">
      <c r="A1431" s="3" t="s">
        <v>6917</v>
      </c>
      <c r="B1431" s="3" t="s">
        <v>6918</v>
      </c>
      <c r="C1431" s="1">
        <v>20</v>
      </c>
      <c r="D1431" s="1">
        <v>30</v>
      </c>
      <c r="E1431" s="1" t="s">
        <v>452</v>
      </c>
      <c r="F1431" s="1" t="s">
        <v>6919</v>
      </c>
      <c r="G1431" s="3"/>
      <c r="H1431" s="11">
        <f>ROUND(
IF(L1429="GANCHO",
   IF(I1431&lt;=50,I1431*1.1+4,IF(I1431&lt;=120,I1431*1.1+7,IF(I1431&lt;=250,I1431*1.1+11,I1431*1.1+19))),
IF(L1429="NORMAL",
   IF(I1431&lt;=30,I1431*1.15+2,IF(I1431&lt;=80,I1431*1.15+4,IF(I1431&lt;=150,I1431*1.15+6,I1431*1.15+8))),
IF(L1429="COMPLEMENTO",
   IF(I1431&lt;=25,I1431*1.25+1.5,IF(I1431&lt;=60,I1431*1.25+3,IF(I1431&lt;=120,I1431*1.25+4,I1431*1.25+5))),
""))),2)</f>
        <v>147.66999999999999</v>
      </c>
      <c r="I1431" s="9">
        <f>($K$2+0.02)*Tabla1[[#This Row],[PRECIO $]]*1.18</f>
        <v>123.19200000000001</v>
      </c>
      <c r="J1431" s="7">
        <f>+Tabla1[[#This Row],[PRECIO EN SOLES]]-Tabla1[[#This Row],[PC]]</f>
        <v>24.47799999999998</v>
      </c>
      <c r="K1431" s="15"/>
      <c r="L1431" s="15" t="str">
        <f>IF(
OR(
ISNUMBER(SEARCH("BACKPACK",B1433)),
ISNUMBER(SEARCH("MOCHILA",B1433)),
ISNUMBER(SEARCH("FUNDA",B1433)),
ISNUMBER(SEARCH("ESTUCHE",B1433)),
ISNUMBER(SEARCH("BOOK COVER",B1433)),
ISNUMBER(SEARCH("KEYBOARD PARA TABLET",B1433)),
ISNUMBER(SEARCH("FLIP TABLET",B1433)),
ISNUMBER(SEARCH("CASE FOR TABLET",B1433)),
ISNUMBER(SEARCH("CABLE",B1433)),
ISNUMBER(SEARCH("ADAPTADOR",B1433)),
ISNUMBER(SEARCH("HUB",B1433)),
ISNUMBER(SEARCH("DOCK",B1433)),
ISNUMBER(SEARCH("MOUSE PAD",B1433)),
ISNUMBER(SEARCH("MOUSEPAD",B1433)),
ISNUMBER(SEARCH("SOPORTE",B1433)),
ISNUMBER(SEARCH("STAND",B1433)),
ISNUMBER(SEARCH("TRAVEL ADAPTER",B1433)),
ISNUMBER(SEARCH("RJ45",B1433)),
ISNUMBER(SEARCH("USB-C",B1433)),
ISNUMBER(SEARCH("USB WIFI",B1433)),
ISNUMBER(SEARCH("POWERBANK",B1433)),
ISNUMBER(SEARCH("CARGADOR",B1433)),
ISNUMBER(SEARCH("COOLER PARA NB",B1433)),
ISNUMBER(SEARCH("SOPORTE PARA NB",B1433)),
ISNUMBER(SEARCH("WEBCAM",B1433)),
ISNUMBER(SEARCH("WEB CAM",B1433)),
ISNUMBER(SEARCH("MOUSE",B1433)),
ISNUMBER(SEARCH("TECLADO",B1433))
),
"COMPLEMENTO",
IF(
OR(
LEFT(A1433,2)="NB",
LEFT(A1433,2)="PC",
LEFT(A1433,2)="WS",
LEFT(A1433,2)="TB",
LEFT(A1433,3)="CEL",
LEFT(A1433,3)="MON",
LEFT(A1433,3)="PRE",
LEFT(A1433,3)="PRH",
ISNUMBER(SEARCH("NOTEBOOK",B1433)),
ISNUMBER(SEARCH("LAPTOP",B1433)),
ISNUMBER(SEARCH("MONITOR",B1433)),
ISNUMBER(SEARCH("TABLET",B1433)),
ISNUMBER(SEARCH("SMARTPH",B1433)),
ISNUMBER(SEARCH("IMPRESORA",B1433)),
ISNUMBER(SEARCH("MULTIFUNCIONAL",B1433)),
ISNUMBER(SEARCH("AIO",B1433))
),
"GANCHO",
"NORMAL"
)
)</f>
        <v>COMPLEMENTO</v>
      </c>
    </row>
    <row r="1432" spans="1:12" x14ac:dyDescent="0.25">
      <c r="A1432" s="3" t="s">
        <v>2389</v>
      </c>
      <c r="B1432" s="3" t="s">
        <v>2390</v>
      </c>
      <c r="C1432" s="1">
        <v>1</v>
      </c>
      <c r="D1432" s="1">
        <v>16.2</v>
      </c>
      <c r="E1432" s="1" t="s">
        <v>247</v>
      </c>
      <c r="F1432" s="1" t="s">
        <v>3952</v>
      </c>
      <c r="G1432" s="3"/>
      <c r="H1432" s="11">
        <f>ROUND(
IF(L1430="GANCHO",
   IF(I1432&lt;=50,I1432*1.1+4,IF(I1432&lt;=120,I1432*1.1+7,IF(I1432&lt;=250,I1432*1.1+11,I1432*1.1+19))),
IF(L1430="NORMAL",
   IF(I1432&lt;=30,I1432*1.15+2,IF(I1432&lt;=80,I1432*1.15+4,IF(I1432&lt;=150,I1432*1.15+6,I1432*1.15+8))),
IF(L1430="COMPLEMENTO",
   IF(I1432&lt;=25,I1432*1.25+1.5,IF(I1432&lt;=60,I1432*1.25+3,IF(I1432&lt;=120,I1432*1.25+4,I1432*1.25+5))),
""))),2)</f>
        <v>87.15</v>
      </c>
      <c r="I1432" s="9">
        <f>($K$2+0.02)*Tabla1[[#This Row],[PRECIO $]]*1.18</f>
        <v>66.523679999999999</v>
      </c>
      <c r="J1432" s="7">
        <f>+Tabla1[[#This Row],[PRECIO EN SOLES]]-Tabla1[[#This Row],[PC]]</f>
        <v>20.626320000000007</v>
      </c>
      <c r="K1432" s="15"/>
      <c r="L1432" s="15" t="str">
        <f>IF(
OR(
ISNUMBER(SEARCH("BACKPACK",B1434)),
ISNUMBER(SEARCH("MOCHILA",B1434)),
ISNUMBER(SEARCH("FUNDA",B1434)),
ISNUMBER(SEARCH("ESTUCHE",B1434)),
ISNUMBER(SEARCH("BOOK COVER",B1434)),
ISNUMBER(SEARCH("KEYBOARD PARA TABLET",B1434)),
ISNUMBER(SEARCH("FLIP TABLET",B1434)),
ISNUMBER(SEARCH("CASE FOR TABLET",B1434)),
ISNUMBER(SEARCH("CABLE",B1434)),
ISNUMBER(SEARCH("ADAPTADOR",B1434)),
ISNUMBER(SEARCH("HUB",B1434)),
ISNUMBER(SEARCH("DOCK",B1434)),
ISNUMBER(SEARCH("MOUSE PAD",B1434)),
ISNUMBER(SEARCH("MOUSEPAD",B1434)),
ISNUMBER(SEARCH("SOPORTE",B1434)),
ISNUMBER(SEARCH("STAND",B1434)),
ISNUMBER(SEARCH("TRAVEL ADAPTER",B1434)),
ISNUMBER(SEARCH("RJ45",B1434)),
ISNUMBER(SEARCH("USB-C",B1434)),
ISNUMBER(SEARCH("USB WIFI",B1434)),
ISNUMBER(SEARCH("POWERBANK",B1434)),
ISNUMBER(SEARCH("CARGADOR",B1434)),
ISNUMBER(SEARCH("COOLER PARA NB",B1434)),
ISNUMBER(SEARCH("SOPORTE PARA NB",B1434)),
ISNUMBER(SEARCH("WEBCAM",B1434)),
ISNUMBER(SEARCH("WEB CAM",B1434)),
ISNUMBER(SEARCH("MOUSE",B1434)),
ISNUMBER(SEARCH("TECLADO",B1434))
),
"COMPLEMENTO",
IF(
OR(
LEFT(A1434,2)="NB",
LEFT(A1434,2)="PC",
LEFT(A1434,2)="WS",
LEFT(A1434,2)="TB",
LEFT(A1434,3)="CEL",
LEFT(A1434,3)="MON",
LEFT(A1434,3)="PRE",
LEFT(A1434,3)="PRH",
ISNUMBER(SEARCH("NOTEBOOK",B1434)),
ISNUMBER(SEARCH("LAPTOP",B1434)),
ISNUMBER(SEARCH("MONITOR",B1434)),
ISNUMBER(SEARCH("TABLET",B1434)),
ISNUMBER(SEARCH("SMARTPH",B1434)),
ISNUMBER(SEARCH("IMPRESORA",B1434)),
ISNUMBER(SEARCH("MULTIFUNCIONAL",B1434)),
ISNUMBER(SEARCH("AIO",B1434))
),
"GANCHO",
"NORMAL"
)
)</f>
        <v>COMPLEMENTO</v>
      </c>
    </row>
    <row r="1433" spans="1:12" x14ac:dyDescent="0.25">
      <c r="A1433" s="3" t="s">
        <v>2391</v>
      </c>
      <c r="B1433" s="3" t="s">
        <v>2392</v>
      </c>
      <c r="C1433" s="1">
        <v>4</v>
      </c>
      <c r="D1433" s="1">
        <v>20.9</v>
      </c>
      <c r="E1433" s="1" t="s">
        <v>247</v>
      </c>
      <c r="F1433" s="1" t="s">
        <v>3953</v>
      </c>
      <c r="G1433" s="3"/>
      <c r="H1433" s="11">
        <f>ROUND(
IF(L1431="GANCHO",
   IF(I1433&lt;=50,I1433*1.1+4,IF(I1433&lt;=120,I1433*1.1+7,IF(I1433&lt;=250,I1433*1.1+11,I1433*1.1+19))),
IF(L1431="NORMAL",
   IF(I1433&lt;=30,I1433*1.15+2,IF(I1433&lt;=80,I1433*1.15+4,IF(I1433&lt;=150,I1433*1.15+6,I1433*1.15+8))),
IF(L1431="COMPLEMENTO",
   IF(I1433&lt;=25,I1433*1.25+1.5,IF(I1433&lt;=60,I1433*1.25+3,IF(I1433&lt;=120,I1433*1.25+4,I1433*1.25+5))),
""))),2)</f>
        <v>111.28</v>
      </c>
      <c r="I1433" s="9">
        <f>($K$2+0.02)*Tabla1[[#This Row],[PRECIO $]]*1.18</f>
        <v>85.823759999999993</v>
      </c>
      <c r="J1433" s="7">
        <f>+Tabla1[[#This Row],[PRECIO EN SOLES]]-Tabla1[[#This Row],[PC]]</f>
        <v>25.456240000000008</v>
      </c>
      <c r="K1433" s="15"/>
      <c r="L1433" s="15" t="str">
        <f>IF(
OR(
ISNUMBER(SEARCH("BACKPACK",B1435)),
ISNUMBER(SEARCH("MOCHILA",B1435)),
ISNUMBER(SEARCH("FUNDA",B1435)),
ISNUMBER(SEARCH("ESTUCHE",B1435)),
ISNUMBER(SEARCH("BOOK COVER",B1435)),
ISNUMBER(SEARCH("KEYBOARD PARA TABLET",B1435)),
ISNUMBER(SEARCH("FLIP TABLET",B1435)),
ISNUMBER(SEARCH("CASE FOR TABLET",B1435)),
ISNUMBER(SEARCH("CABLE",B1435)),
ISNUMBER(SEARCH("ADAPTADOR",B1435)),
ISNUMBER(SEARCH("HUB",B1435)),
ISNUMBER(SEARCH("DOCK",B1435)),
ISNUMBER(SEARCH("MOUSE PAD",B1435)),
ISNUMBER(SEARCH("MOUSEPAD",B1435)),
ISNUMBER(SEARCH("SOPORTE",B1435)),
ISNUMBER(SEARCH("STAND",B1435)),
ISNUMBER(SEARCH("TRAVEL ADAPTER",B1435)),
ISNUMBER(SEARCH("RJ45",B1435)),
ISNUMBER(SEARCH("USB-C",B1435)),
ISNUMBER(SEARCH("USB WIFI",B1435)),
ISNUMBER(SEARCH("POWERBANK",B1435)),
ISNUMBER(SEARCH("CARGADOR",B1435)),
ISNUMBER(SEARCH("COOLER PARA NB",B1435)),
ISNUMBER(SEARCH("SOPORTE PARA NB",B1435)),
ISNUMBER(SEARCH("WEBCAM",B1435)),
ISNUMBER(SEARCH("WEB CAM",B1435)),
ISNUMBER(SEARCH("MOUSE",B1435)),
ISNUMBER(SEARCH("TECLADO",B1435))
),
"COMPLEMENTO",
IF(
OR(
LEFT(A1435,2)="NB",
LEFT(A1435,2)="PC",
LEFT(A1435,2)="WS",
LEFT(A1435,2)="TB",
LEFT(A1435,3)="CEL",
LEFT(A1435,3)="MON",
LEFT(A1435,3)="PRE",
LEFT(A1435,3)="PRH",
ISNUMBER(SEARCH("NOTEBOOK",B1435)),
ISNUMBER(SEARCH("LAPTOP",B1435)),
ISNUMBER(SEARCH("MONITOR",B1435)),
ISNUMBER(SEARCH("TABLET",B1435)),
ISNUMBER(SEARCH("SMARTPH",B1435)),
ISNUMBER(SEARCH("IMPRESORA",B1435)),
ISNUMBER(SEARCH("MULTIFUNCIONAL",B1435)),
ISNUMBER(SEARCH("AIO",B1435))
),
"GANCHO",
"NORMAL"
)
)</f>
        <v>COMPLEMENTO</v>
      </c>
    </row>
    <row r="1434" spans="1:12" x14ac:dyDescent="0.25">
      <c r="A1434" s="3" t="s">
        <v>4342</v>
      </c>
      <c r="B1434" s="3" t="s">
        <v>4343</v>
      </c>
      <c r="C1434" s="1">
        <v>16</v>
      </c>
      <c r="D1434" s="1">
        <v>26.7</v>
      </c>
      <c r="E1434" s="1" t="s">
        <v>247</v>
      </c>
      <c r="F1434" s="1" t="s">
        <v>4344</v>
      </c>
      <c r="G1434" s="3"/>
      <c r="H1434" s="11">
        <f>ROUND(
IF(L1432="GANCHO",
   IF(I1434&lt;=50,I1434*1.1+4,IF(I1434&lt;=120,I1434*1.1+7,IF(I1434&lt;=250,I1434*1.1+11,I1434*1.1+19))),
IF(L1432="NORMAL",
   IF(I1434&lt;=30,I1434*1.15+2,IF(I1434&lt;=80,I1434*1.15+4,IF(I1434&lt;=150,I1434*1.15+6,I1434*1.15+8))),
IF(L1432="COMPLEMENTO",
   IF(I1434&lt;=25,I1434*1.25+1.5,IF(I1434&lt;=60,I1434*1.25+3,IF(I1434&lt;=120,I1434*1.25+4,I1434*1.25+5))),
""))),2)</f>
        <v>141.05000000000001</v>
      </c>
      <c r="I1434" s="9">
        <f>($K$2+0.02)*Tabla1[[#This Row],[PRECIO $]]*1.18</f>
        <v>109.64088</v>
      </c>
      <c r="J1434" s="7">
        <f>+Tabla1[[#This Row],[PRECIO EN SOLES]]-Tabla1[[#This Row],[PC]]</f>
        <v>31.409120000000016</v>
      </c>
      <c r="K1434" s="15"/>
      <c r="L1434" s="15" t="str">
        <f>IF(
OR(
ISNUMBER(SEARCH("BACKPACK",B1436)),
ISNUMBER(SEARCH("MOCHILA",B1436)),
ISNUMBER(SEARCH("FUNDA",B1436)),
ISNUMBER(SEARCH("ESTUCHE",B1436)),
ISNUMBER(SEARCH("BOOK COVER",B1436)),
ISNUMBER(SEARCH("KEYBOARD PARA TABLET",B1436)),
ISNUMBER(SEARCH("FLIP TABLET",B1436)),
ISNUMBER(SEARCH("CASE FOR TABLET",B1436)),
ISNUMBER(SEARCH("CABLE",B1436)),
ISNUMBER(SEARCH("ADAPTADOR",B1436)),
ISNUMBER(SEARCH("HUB",B1436)),
ISNUMBER(SEARCH("DOCK",B1436)),
ISNUMBER(SEARCH("MOUSE PAD",B1436)),
ISNUMBER(SEARCH("MOUSEPAD",B1436)),
ISNUMBER(SEARCH("SOPORTE",B1436)),
ISNUMBER(SEARCH("STAND",B1436)),
ISNUMBER(SEARCH("TRAVEL ADAPTER",B1436)),
ISNUMBER(SEARCH("RJ45",B1436)),
ISNUMBER(SEARCH("USB-C",B1436)),
ISNUMBER(SEARCH("USB WIFI",B1436)),
ISNUMBER(SEARCH("POWERBANK",B1436)),
ISNUMBER(SEARCH("CARGADOR",B1436)),
ISNUMBER(SEARCH("COOLER PARA NB",B1436)),
ISNUMBER(SEARCH("SOPORTE PARA NB",B1436)),
ISNUMBER(SEARCH("WEBCAM",B1436)),
ISNUMBER(SEARCH("WEB CAM",B1436)),
ISNUMBER(SEARCH("MOUSE",B1436)),
ISNUMBER(SEARCH("TECLADO",B1436))
),
"COMPLEMENTO",
IF(
OR(
LEFT(A1436,2)="NB",
LEFT(A1436,2)="PC",
LEFT(A1436,2)="WS",
LEFT(A1436,2)="TB",
LEFT(A1436,3)="CEL",
LEFT(A1436,3)="MON",
LEFT(A1436,3)="PRE",
LEFT(A1436,3)="PRH",
ISNUMBER(SEARCH("NOTEBOOK",B1436)),
ISNUMBER(SEARCH("LAPTOP",B1436)),
ISNUMBER(SEARCH("MONITOR",B1436)),
ISNUMBER(SEARCH("TABLET",B1436)),
ISNUMBER(SEARCH("SMARTPH",B1436)),
ISNUMBER(SEARCH("IMPRESORA",B1436)),
ISNUMBER(SEARCH("MULTIFUNCIONAL",B1436)),
ISNUMBER(SEARCH("AIO",B1436))
),
"GANCHO",
"NORMAL"
)
)</f>
        <v>NORMAL</v>
      </c>
    </row>
    <row r="1435" spans="1:12" x14ac:dyDescent="0.25">
      <c r="A1435" s="3" t="s">
        <v>4345</v>
      </c>
      <c r="B1435" s="3" t="s">
        <v>4346</v>
      </c>
      <c r="C1435" s="1">
        <v>20</v>
      </c>
      <c r="D1435" s="1">
        <v>37.46</v>
      </c>
      <c r="E1435" s="1" t="s">
        <v>247</v>
      </c>
      <c r="F1435" s="1" t="s">
        <v>4347</v>
      </c>
      <c r="G1435" s="3"/>
      <c r="H1435" s="11">
        <f>ROUND(
IF(L1433="GANCHO",
   IF(I1435&lt;=50,I1435*1.1+4,IF(I1435&lt;=120,I1435*1.1+7,IF(I1435&lt;=250,I1435*1.1+11,I1435*1.1+19))),
IF(L1433="NORMAL",
   IF(I1435&lt;=30,I1435*1.15+2,IF(I1435&lt;=80,I1435*1.15+4,IF(I1435&lt;=150,I1435*1.15+6,I1435*1.15+8))),
IF(L1433="COMPLEMENTO",
   IF(I1435&lt;=25,I1435*1.25+1.5,IF(I1435&lt;=60,I1435*1.25+3,IF(I1435&lt;=120,I1435*1.25+4,I1435*1.25+5))),
""))),2)</f>
        <v>197.28</v>
      </c>
      <c r="I1435" s="9">
        <f>($K$2+0.02)*Tabla1[[#This Row],[PRECIO $]]*1.18</f>
        <v>153.82574400000001</v>
      </c>
      <c r="J1435" s="7">
        <f>+Tabla1[[#This Row],[PRECIO EN SOLES]]-Tabla1[[#This Row],[PC]]</f>
        <v>43.454255999999987</v>
      </c>
      <c r="K1435" s="15"/>
      <c r="L1435" s="15" t="str">
        <f>IF(
OR(
ISNUMBER(SEARCH("BACKPACK",B1437)),
ISNUMBER(SEARCH("MOCHILA",B1437)),
ISNUMBER(SEARCH("FUNDA",B1437)),
ISNUMBER(SEARCH("ESTUCHE",B1437)),
ISNUMBER(SEARCH("BOOK COVER",B1437)),
ISNUMBER(SEARCH("KEYBOARD PARA TABLET",B1437)),
ISNUMBER(SEARCH("FLIP TABLET",B1437)),
ISNUMBER(SEARCH("CASE FOR TABLET",B1437)),
ISNUMBER(SEARCH("CABLE",B1437)),
ISNUMBER(SEARCH("ADAPTADOR",B1437)),
ISNUMBER(SEARCH("HUB",B1437)),
ISNUMBER(SEARCH("DOCK",B1437)),
ISNUMBER(SEARCH("MOUSE PAD",B1437)),
ISNUMBER(SEARCH("MOUSEPAD",B1437)),
ISNUMBER(SEARCH("SOPORTE",B1437)),
ISNUMBER(SEARCH("STAND",B1437)),
ISNUMBER(SEARCH("TRAVEL ADAPTER",B1437)),
ISNUMBER(SEARCH("RJ45",B1437)),
ISNUMBER(SEARCH("USB-C",B1437)),
ISNUMBER(SEARCH("USB WIFI",B1437)),
ISNUMBER(SEARCH("POWERBANK",B1437)),
ISNUMBER(SEARCH("CARGADOR",B1437)),
ISNUMBER(SEARCH("COOLER PARA NB",B1437)),
ISNUMBER(SEARCH("SOPORTE PARA NB",B1437)),
ISNUMBER(SEARCH("WEBCAM",B1437)),
ISNUMBER(SEARCH("WEB CAM",B1437)),
ISNUMBER(SEARCH("MOUSE",B1437)),
ISNUMBER(SEARCH("TECLADO",B1437))
),
"COMPLEMENTO",
IF(
OR(
LEFT(A1437,2)="NB",
LEFT(A1437,2)="PC",
LEFT(A1437,2)="WS",
LEFT(A1437,2)="TB",
LEFT(A1437,3)="CEL",
LEFT(A1437,3)="MON",
LEFT(A1437,3)="PRE",
LEFT(A1437,3)="PRH",
ISNUMBER(SEARCH("NOTEBOOK",B1437)),
ISNUMBER(SEARCH("LAPTOP",B1437)),
ISNUMBER(SEARCH("MONITOR",B1437)),
ISNUMBER(SEARCH("TABLET",B1437)),
ISNUMBER(SEARCH("SMARTPH",B1437)),
ISNUMBER(SEARCH("IMPRESORA",B1437)),
ISNUMBER(SEARCH("MULTIFUNCIONAL",B1437)),
ISNUMBER(SEARCH("AIO",B1437))
),
"GANCHO",
"NORMAL"
)
)</f>
        <v>NORMAL</v>
      </c>
    </row>
    <row r="1436" spans="1:12" x14ac:dyDescent="0.25">
      <c r="A1436" s="3" t="s">
        <v>2393</v>
      </c>
      <c r="B1436" s="3" t="s">
        <v>2394</v>
      </c>
      <c r="C1436" s="1">
        <v>14</v>
      </c>
      <c r="D1436" s="1">
        <v>24.2</v>
      </c>
      <c r="E1436" s="1" t="s">
        <v>247</v>
      </c>
      <c r="F1436" s="1" t="s">
        <v>3954</v>
      </c>
      <c r="G1436" s="3"/>
      <c r="H1436" s="11">
        <f>ROUND(
IF(L1434="GANCHO",
   IF(I1436&lt;=50,I1436*1.1+4,IF(I1436&lt;=120,I1436*1.1+7,IF(I1436&lt;=250,I1436*1.1+11,I1436*1.1+19))),
IF(L1434="NORMAL",
   IF(I1436&lt;=30,I1436*1.15+2,IF(I1436&lt;=80,I1436*1.15+4,IF(I1436&lt;=150,I1436*1.15+6,I1436*1.15+8))),
IF(L1434="COMPLEMENTO",
   IF(I1436&lt;=25,I1436*1.25+1.5,IF(I1436&lt;=60,I1436*1.25+3,IF(I1436&lt;=120,I1436*1.25+4,I1436*1.25+5))),
""))),2)</f>
        <v>120.28</v>
      </c>
      <c r="I1436" s="9">
        <f>($K$2+0.02)*Tabla1[[#This Row],[PRECIO $]]*1.18</f>
        <v>99.37487999999999</v>
      </c>
      <c r="J1436" s="7">
        <f>+Tabla1[[#This Row],[PRECIO EN SOLES]]-Tabla1[[#This Row],[PC]]</f>
        <v>20.905120000000011</v>
      </c>
      <c r="K1436" s="15"/>
      <c r="L1436" s="15" t="str">
        <f>IF(
OR(
ISNUMBER(SEARCH("BACKPACK",B1438)),
ISNUMBER(SEARCH("MOCHILA",B1438)),
ISNUMBER(SEARCH("FUNDA",B1438)),
ISNUMBER(SEARCH("ESTUCHE",B1438)),
ISNUMBER(SEARCH("BOOK COVER",B1438)),
ISNUMBER(SEARCH("KEYBOARD PARA TABLET",B1438)),
ISNUMBER(SEARCH("FLIP TABLET",B1438)),
ISNUMBER(SEARCH("CASE FOR TABLET",B1438)),
ISNUMBER(SEARCH("CABLE",B1438)),
ISNUMBER(SEARCH("ADAPTADOR",B1438)),
ISNUMBER(SEARCH("HUB",B1438)),
ISNUMBER(SEARCH("DOCK",B1438)),
ISNUMBER(SEARCH("MOUSE PAD",B1438)),
ISNUMBER(SEARCH("MOUSEPAD",B1438)),
ISNUMBER(SEARCH("SOPORTE",B1438)),
ISNUMBER(SEARCH("STAND",B1438)),
ISNUMBER(SEARCH("TRAVEL ADAPTER",B1438)),
ISNUMBER(SEARCH("RJ45",B1438)),
ISNUMBER(SEARCH("USB-C",B1438)),
ISNUMBER(SEARCH("USB WIFI",B1438)),
ISNUMBER(SEARCH("POWERBANK",B1438)),
ISNUMBER(SEARCH("CARGADOR",B1438)),
ISNUMBER(SEARCH("COOLER PARA NB",B1438)),
ISNUMBER(SEARCH("SOPORTE PARA NB",B1438)),
ISNUMBER(SEARCH("WEBCAM",B1438)),
ISNUMBER(SEARCH("WEB CAM",B1438)),
ISNUMBER(SEARCH("MOUSE",B1438)),
ISNUMBER(SEARCH("TECLADO",B1438))
),
"COMPLEMENTO",
IF(
OR(
LEFT(A1438,2)="NB",
LEFT(A1438,2)="PC",
LEFT(A1438,2)="WS",
LEFT(A1438,2)="TB",
LEFT(A1438,3)="CEL",
LEFT(A1438,3)="MON",
LEFT(A1438,3)="PRE",
LEFT(A1438,3)="PRH",
ISNUMBER(SEARCH("NOTEBOOK",B1438)),
ISNUMBER(SEARCH("LAPTOP",B1438)),
ISNUMBER(SEARCH("MONITOR",B1438)),
ISNUMBER(SEARCH("TABLET",B1438)),
ISNUMBER(SEARCH("SMARTPH",B1438)),
ISNUMBER(SEARCH("IMPRESORA",B1438)),
ISNUMBER(SEARCH("MULTIFUNCIONAL",B1438)),
ISNUMBER(SEARCH("AIO",B1438))
),
"GANCHO",
"NORMAL"
)
)</f>
        <v>NORMAL</v>
      </c>
    </row>
    <row r="1437" spans="1:12" x14ac:dyDescent="0.25">
      <c r="A1437" s="3" t="s">
        <v>2395</v>
      </c>
      <c r="B1437" s="3" t="s">
        <v>2396</v>
      </c>
      <c r="C1437" s="1">
        <v>13</v>
      </c>
      <c r="D1437" s="1">
        <v>30.5</v>
      </c>
      <c r="E1437" s="1" t="s">
        <v>247</v>
      </c>
      <c r="F1437" s="1" t="s">
        <v>3955</v>
      </c>
      <c r="G1437" s="3" t="s">
        <v>2397</v>
      </c>
      <c r="H1437" s="11">
        <f>ROUND(
IF(L1435="GANCHO",
   IF(I1437&lt;=50,I1437*1.1+4,IF(I1437&lt;=120,I1437*1.1+7,IF(I1437&lt;=250,I1437*1.1+11,I1437*1.1+19))),
IF(L1435="NORMAL",
   IF(I1437&lt;=30,I1437*1.15+2,IF(I1437&lt;=80,I1437*1.15+4,IF(I1437&lt;=150,I1437*1.15+6,I1437*1.15+8))),
IF(L1435="COMPLEMENTO",
   IF(I1437&lt;=25,I1437*1.25+1.5,IF(I1437&lt;=60,I1437*1.25+3,IF(I1437&lt;=120,I1437*1.25+4,I1437*1.25+5))),
""))),2)</f>
        <v>150.03</v>
      </c>
      <c r="I1437" s="9">
        <f>($K$2+0.02)*Tabla1[[#This Row],[PRECIO $]]*1.18</f>
        <v>125.2452</v>
      </c>
      <c r="J1437" s="7">
        <f>+Tabla1[[#This Row],[PRECIO EN SOLES]]-Tabla1[[#This Row],[PC]]</f>
        <v>24.784800000000004</v>
      </c>
      <c r="K1437" s="15"/>
      <c r="L1437" s="15" t="str">
        <f>IF(
OR(
ISNUMBER(SEARCH("BACKPACK",B1439)),
ISNUMBER(SEARCH("MOCHILA",B1439)),
ISNUMBER(SEARCH("FUNDA",B1439)),
ISNUMBER(SEARCH("ESTUCHE",B1439)),
ISNUMBER(SEARCH("BOOK COVER",B1439)),
ISNUMBER(SEARCH("KEYBOARD PARA TABLET",B1439)),
ISNUMBER(SEARCH("FLIP TABLET",B1439)),
ISNUMBER(SEARCH("CASE FOR TABLET",B1439)),
ISNUMBER(SEARCH("CABLE",B1439)),
ISNUMBER(SEARCH("ADAPTADOR",B1439)),
ISNUMBER(SEARCH("HUB",B1439)),
ISNUMBER(SEARCH("DOCK",B1439)),
ISNUMBER(SEARCH("MOUSE PAD",B1439)),
ISNUMBER(SEARCH("MOUSEPAD",B1439)),
ISNUMBER(SEARCH("SOPORTE",B1439)),
ISNUMBER(SEARCH("STAND",B1439)),
ISNUMBER(SEARCH("TRAVEL ADAPTER",B1439)),
ISNUMBER(SEARCH("RJ45",B1439)),
ISNUMBER(SEARCH("USB-C",B1439)),
ISNUMBER(SEARCH("USB WIFI",B1439)),
ISNUMBER(SEARCH("POWERBANK",B1439)),
ISNUMBER(SEARCH("CARGADOR",B1439)),
ISNUMBER(SEARCH("COOLER PARA NB",B1439)),
ISNUMBER(SEARCH("SOPORTE PARA NB",B1439)),
ISNUMBER(SEARCH("WEBCAM",B1439)),
ISNUMBER(SEARCH("WEB CAM",B1439)),
ISNUMBER(SEARCH("MOUSE",B1439)),
ISNUMBER(SEARCH("TECLADO",B1439))
),
"COMPLEMENTO",
IF(
OR(
LEFT(A1439,2)="NB",
LEFT(A1439,2)="PC",
LEFT(A1439,2)="WS",
LEFT(A1439,2)="TB",
LEFT(A1439,3)="CEL",
LEFT(A1439,3)="MON",
LEFT(A1439,3)="PRE",
LEFT(A1439,3)="PRH",
ISNUMBER(SEARCH("NOTEBOOK",B1439)),
ISNUMBER(SEARCH("LAPTOP",B1439)),
ISNUMBER(SEARCH("MONITOR",B1439)),
ISNUMBER(SEARCH("TABLET",B1439)),
ISNUMBER(SEARCH("SMARTPH",B1439)),
ISNUMBER(SEARCH("IMPRESORA",B1439)),
ISNUMBER(SEARCH("MULTIFUNCIONAL",B1439)),
ISNUMBER(SEARCH("AIO",B1439))
),
"GANCHO",
"NORMAL"
)
)</f>
        <v>NORMAL</v>
      </c>
    </row>
    <row r="1438" spans="1:12" x14ac:dyDescent="0.25">
      <c r="A1438" s="3" t="s">
        <v>2398</v>
      </c>
      <c r="B1438" s="3" t="s">
        <v>2399</v>
      </c>
      <c r="C1438" s="1">
        <v>13</v>
      </c>
      <c r="D1438" s="1">
        <v>28.1</v>
      </c>
      <c r="E1438" s="1" t="s">
        <v>247</v>
      </c>
      <c r="F1438" s="1" t="s">
        <v>3956</v>
      </c>
      <c r="G1438" s="3"/>
      <c r="H1438" s="11">
        <f>ROUND(
IF(L1436="GANCHO",
   IF(I1438&lt;=50,I1438*1.1+4,IF(I1438&lt;=120,I1438*1.1+7,IF(I1438&lt;=250,I1438*1.1+11,I1438*1.1+19))),
IF(L1436="NORMAL",
   IF(I1438&lt;=30,I1438*1.15+2,IF(I1438&lt;=80,I1438*1.15+4,IF(I1438&lt;=150,I1438*1.15+6,I1438*1.15+8))),
IF(L1436="COMPLEMENTO",
   IF(I1438&lt;=25,I1438*1.25+1.5,IF(I1438&lt;=60,I1438*1.25+3,IF(I1438&lt;=120,I1438*1.25+4,I1438*1.25+5))),
""))),2)</f>
        <v>138.69999999999999</v>
      </c>
      <c r="I1438" s="9">
        <f>($K$2+0.02)*Tabla1[[#This Row],[PRECIO $]]*1.18</f>
        <v>115.38984000000001</v>
      </c>
      <c r="J1438" s="7">
        <f>+Tabla1[[#This Row],[PRECIO EN SOLES]]-Tabla1[[#This Row],[PC]]</f>
        <v>23.310159999999982</v>
      </c>
      <c r="K1438" s="15"/>
      <c r="L1438" s="15" t="str">
        <f>IF(
OR(
ISNUMBER(SEARCH("BACKPACK",B1440)),
ISNUMBER(SEARCH("MOCHILA",B1440)),
ISNUMBER(SEARCH("FUNDA",B1440)),
ISNUMBER(SEARCH("ESTUCHE",B1440)),
ISNUMBER(SEARCH("BOOK COVER",B1440)),
ISNUMBER(SEARCH("KEYBOARD PARA TABLET",B1440)),
ISNUMBER(SEARCH("FLIP TABLET",B1440)),
ISNUMBER(SEARCH("CASE FOR TABLET",B1440)),
ISNUMBER(SEARCH("CABLE",B1440)),
ISNUMBER(SEARCH("ADAPTADOR",B1440)),
ISNUMBER(SEARCH("HUB",B1440)),
ISNUMBER(SEARCH("DOCK",B1440)),
ISNUMBER(SEARCH("MOUSE PAD",B1440)),
ISNUMBER(SEARCH("MOUSEPAD",B1440)),
ISNUMBER(SEARCH("SOPORTE",B1440)),
ISNUMBER(SEARCH("STAND",B1440)),
ISNUMBER(SEARCH("TRAVEL ADAPTER",B1440)),
ISNUMBER(SEARCH("RJ45",B1440)),
ISNUMBER(SEARCH("USB-C",B1440)),
ISNUMBER(SEARCH("USB WIFI",B1440)),
ISNUMBER(SEARCH("POWERBANK",B1440)),
ISNUMBER(SEARCH("CARGADOR",B1440)),
ISNUMBER(SEARCH("COOLER PARA NB",B1440)),
ISNUMBER(SEARCH("SOPORTE PARA NB",B1440)),
ISNUMBER(SEARCH("WEBCAM",B1440)),
ISNUMBER(SEARCH("WEB CAM",B1440)),
ISNUMBER(SEARCH("MOUSE",B1440)),
ISNUMBER(SEARCH("TECLADO",B1440))
),
"COMPLEMENTO",
IF(
OR(
LEFT(A1440,2)="NB",
LEFT(A1440,2)="PC",
LEFT(A1440,2)="WS",
LEFT(A1440,2)="TB",
LEFT(A1440,3)="CEL",
LEFT(A1440,3)="MON",
LEFT(A1440,3)="PRE",
LEFT(A1440,3)="PRH",
ISNUMBER(SEARCH("NOTEBOOK",B1440)),
ISNUMBER(SEARCH("LAPTOP",B1440)),
ISNUMBER(SEARCH("MONITOR",B1440)),
ISNUMBER(SEARCH("TABLET",B1440)),
ISNUMBER(SEARCH("SMARTPH",B1440)),
ISNUMBER(SEARCH("IMPRESORA",B1440)),
ISNUMBER(SEARCH("MULTIFUNCIONAL",B1440)),
ISNUMBER(SEARCH("AIO",B1440))
),
"GANCHO",
"NORMAL"
)
)</f>
        <v>NORMAL</v>
      </c>
    </row>
    <row r="1439" spans="1:12" x14ac:dyDescent="0.25">
      <c r="A1439" s="3" t="s">
        <v>2400</v>
      </c>
      <c r="B1439" s="3" t="s">
        <v>2401</v>
      </c>
      <c r="C1439" s="1">
        <v>6</v>
      </c>
      <c r="D1439" s="1">
        <v>35.1</v>
      </c>
      <c r="E1439" s="1" t="s">
        <v>247</v>
      </c>
      <c r="F1439" s="1" t="s">
        <v>3957</v>
      </c>
      <c r="G1439" s="3"/>
      <c r="H1439" s="11">
        <f>ROUND(
IF(L1437="GANCHO",
   IF(I1439&lt;=50,I1439*1.1+4,IF(I1439&lt;=120,I1439*1.1+7,IF(I1439&lt;=250,I1439*1.1+11,I1439*1.1+19))),
IF(L1437="NORMAL",
   IF(I1439&lt;=30,I1439*1.15+2,IF(I1439&lt;=80,I1439*1.15+4,IF(I1439&lt;=150,I1439*1.15+6,I1439*1.15+8))),
IF(L1437="COMPLEMENTO",
   IF(I1439&lt;=25,I1439*1.25+1.5,IF(I1439&lt;=60,I1439*1.25+3,IF(I1439&lt;=120,I1439*1.25+4,I1439*1.25+5))),
""))),2)</f>
        <v>171.75</v>
      </c>
      <c r="I1439" s="9">
        <f>($K$2+0.02)*Tabla1[[#This Row],[PRECIO $]]*1.18</f>
        <v>144.13464000000002</v>
      </c>
      <c r="J1439" s="7">
        <f>+Tabla1[[#This Row],[PRECIO EN SOLES]]-Tabla1[[#This Row],[PC]]</f>
        <v>27.615359999999981</v>
      </c>
      <c r="K1439" s="15"/>
      <c r="L1439" s="15" t="str">
        <f>IF(
OR(
ISNUMBER(SEARCH("BACKPACK",B1441)),
ISNUMBER(SEARCH("MOCHILA",B1441)),
ISNUMBER(SEARCH("FUNDA",B1441)),
ISNUMBER(SEARCH("ESTUCHE",B1441)),
ISNUMBER(SEARCH("BOOK COVER",B1441)),
ISNUMBER(SEARCH("KEYBOARD PARA TABLET",B1441)),
ISNUMBER(SEARCH("FLIP TABLET",B1441)),
ISNUMBER(SEARCH("CASE FOR TABLET",B1441)),
ISNUMBER(SEARCH("CABLE",B1441)),
ISNUMBER(SEARCH("ADAPTADOR",B1441)),
ISNUMBER(SEARCH("HUB",B1441)),
ISNUMBER(SEARCH("DOCK",B1441)),
ISNUMBER(SEARCH("MOUSE PAD",B1441)),
ISNUMBER(SEARCH("MOUSEPAD",B1441)),
ISNUMBER(SEARCH("SOPORTE",B1441)),
ISNUMBER(SEARCH("STAND",B1441)),
ISNUMBER(SEARCH("TRAVEL ADAPTER",B1441)),
ISNUMBER(SEARCH("RJ45",B1441)),
ISNUMBER(SEARCH("USB-C",B1441)),
ISNUMBER(SEARCH("USB WIFI",B1441)),
ISNUMBER(SEARCH("POWERBANK",B1441)),
ISNUMBER(SEARCH("CARGADOR",B1441)),
ISNUMBER(SEARCH("COOLER PARA NB",B1441)),
ISNUMBER(SEARCH("SOPORTE PARA NB",B1441)),
ISNUMBER(SEARCH("WEBCAM",B1441)),
ISNUMBER(SEARCH("WEB CAM",B1441)),
ISNUMBER(SEARCH("MOUSE",B1441)),
ISNUMBER(SEARCH("TECLADO",B1441))
),
"COMPLEMENTO",
IF(
OR(
LEFT(A1441,2)="NB",
LEFT(A1441,2)="PC",
LEFT(A1441,2)="WS",
LEFT(A1441,2)="TB",
LEFT(A1441,3)="CEL",
LEFT(A1441,3)="MON",
LEFT(A1441,3)="PRE",
LEFT(A1441,3)="PRH",
ISNUMBER(SEARCH("NOTEBOOK",B1441)),
ISNUMBER(SEARCH("LAPTOP",B1441)),
ISNUMBER(SEARCH("MONITOR",B1441)),
ISNUMBER(SEARCH("TABLET",B1441)),
ISNUMBER(SEARCH("SMARTPH",B1441)),
ISNUMBER(SEARCH("IMPRESORA",B1441)),
ISNUMBER(SEARCH("MULTIFUNCIONAL",B1441)),
ISNUMBER(SEARCH("AIO",B1441))
),
"GANCHO",
"NORMAL"
)
)</f>
        <v>NORMAL</v>
      </c>
    </row>
    <row r="1440" spans="1:12" x14ac:dyDescent="0.25">
      <c r="A1440" s="3" t="s">
        <v>2402</v>
      </c>
      <c r="B1440" s="3" t="s">
        <v>2403</v>
      </c>
      <c r="C1440" s="1">
        <v>7</v>
      </c>
      <c r="D1440" s="1">
        <v>25.1</v>
      </c>
      <c r="E1440" s="1" t="s">
        <v>247</v>
      </c>
      <c r="F1440" s="1" t="s">
        <v>3958</v>
      </c>
      <c r="G1440" s="3"/>
      <c r="H1440" s="11">
        <f>ROUND(
IF(L1438="GANCHO",
   IF(I1440&lt;=50,I1440*1.1+4,IF(I1440&lt;=120,I1440*1.1+7,IF(I1440&lt;=250,I1440*1.1+11,I1440*1.1+19))),
IF(L1438="NORMAL",
   IF(I1440&lt;=30,I1440*1.15+2,IF(I1440&lt;=80,I1440*1.15+4,IF(I1440&lt;=150,I1440*1.15+6,I1440*1.15+8))),
IF(L1438="COMPLEMENTO",
   IF(I1440&lt;=25,I1440*1.25+1.5,IF(I1440&lt;=60,I1440*1.25+3,IF(I1440&lt;=120,I1440*1.25+4,I1440*1.25+5))),
""))),2)</f>
        <v>124.53</v>
      </c>
      <c r="I1440" s="9">
        <f>($K$2+0.02)*Tabla1[[#This Row],[PRECIO $]]*1.18</f>
        <v>103.07064</v>
      </c>
      <c r="J1440" s="7">
        <f>+Tabla1[[#This Row],[PRECIO EN SOLES]]-Tabla1[[#This Row],[PC]]</f>
        <v>21.459360000000004</v>
      </c>
      <c r="K1440" s="15"/>
      <c r="L1440" s="15" t="str">
        <f>IF(
OR(
ISNUMBER(SEARCH("BACKPACK",B1442)),
ISNUMBER(SEARCH("MOCHILA",B1442)),
ISNUMBER(SEARCH("FUNDA",B1442)),
ISNUMBER(SEARCH("ESTUCHE",B1442)),
ISNUMBER(SEARCH("BOOK COVER",B1442)),
ISNUMBER(SEARCH("KEYBOARD PARA TABLET",B1442)),
ISNUMBER(SEARCH("FLIP TABLET",B1442)),
ISNUMBER(SEARCH("CASE FOR TABLET",B1442)),
ISNUMBER(SEARCH("CABLE",B1442)),
ISNUMBER(SEARCH("ADAPTADOR",B1442)),
ISNUMBER(SEARCH("HUB",B1442)),
ISNUMBER(SEARCH("DOCK",B1442)),
ISNUMBER(SEARCH("MOUSE PAD",B1442)),
ISNUMBER(SEARCH("MOUSEPAD",B1442)),
ISNUMBER(SEARCH("SOPORTE",B1442)),
ISNUMBER(SEARCH("STAND",B1442)),
ISNUMBER(SEARCH("TRAVEL ADAPTER",B1442)),
ISNUMBER(SEARCH("RJ45",B1442)),
ISNUMBER(SEARCH("USB-C",B1442)),
ISNUMBER(SEARCH("USB WIFI",B1442)),
ISNUMBER(SEARCH("POWERBANK",B1442)),
ISNUMBER(SEARCH("CARGADOR",B1442)),
ISNUMBER(SEARCH("COOLER PARA NB",B1442)),
ISNUMBER(SEARCH("SOPORTE PARA NB",B1442)),
ISNUMBER(SEARCH("WEBCAM",B1442)),
ISNUMBER(SEARCH("WEB CAM",B1442)),
ISNUMBER(SEARCH("MOUSE",B1442)),
ISNUMBER(SEARCH("TECLADO",B1442))
),
"COMPLEMENTO",
IF(
OR(
LEFT(A1442,2)="NB",
LEFT(A1442,2)="PC",
LEFT(A1442,2)="WS",
LEFT(A1442,2)="TB",
LEFT(A1442,3)="CEL",
LEFT(A1442,3)="MON",
LEFT(A1442,3)="PRE",
LEFT(A1442,3)="PRH",
ISNUMBER(SEARCH("NOTEBOOK",B1442)),
ISNUMBER(SEARCH("LAPTOP",B1442)),
ISNUMBER(SEARCH("MONITOR",B1442)),
ISNUMBER(SEARCH("TABLET",B1442)),
ISNUMBER(SEARCH("SMARTPH",B1442)),
ISNUMBER(SEARCH("IMPRESORA",B1442)),
ISNUMBER(SEARCH("MULTIFUNCIONAL",B1442)),
ISNUMBER(SEARCH("AIO",B1442))
),
"GANCHO",
"NORMAL"
)
)</f>
        <v>NORMAL</v>
      </c>
    </row>
    <row r="1441" spans="1:12" x14ac:dyDescent="0.25">
      <c r="A1441" s="3" t="s">
        <v>4348</v>
      </c>
      <c r="B1441" s="3" t="s">
        <v>4349</v>
      </c>
      <c r="C1441" s="1">
        <v>20</v>
      </c>
      <c r="D1441" s="1">
        <v>30</v>
      </c>
      <c r="E1441" s="1" t="s">
        <v>247</v>
      </c>
      <c r="F1441" s="1" t="s">
        <v>4350</v>
      </c>
      <c r="G1441" s="3"/>
      <c r="H1441" s="11">
        <f>ROUND(
IF(L1439="GANCHO",
   IF(I1441&lt;=50,I1441*1.1+4,IF(I1441&lt;=120,I1441*1.1+7,IF(I1441&lt;=250,I1441*1.1+11,I1441*1.1+19))),
IF(L1439="NORMAL",
   IF(I1441&lt;=30,I1441*1.15+2,IF(I1441&lt;=80,I1441*1.15+4,IF(I1441&lt;=150,I1441*1.15+6,I1441*1.15+8))),
IF(L1439="COMPLEMENTO",
   IF(I1441&lt;=25,I1441*1.25+1.5,IF(I1441&lt;=60,I1441*1.25+3,IF(I1441&lt;=120,I1441*1.25+4,I1441*1.25+5))),
""))),2)</f>
        <v>147.66999999999999</v>
      </c>
      <c r="I1441" s="9">
        <f>($K$2+0.02)*Tabla1[[#This Row],[PRECIO $]]*1.18</f>
        <v>123.19200000000001</v>
      </c>
      <c r="J1441" s="7">
        <f>+Tabla1[[#This Row],[PRECIO EN SOLES]]-Tabla1[[#This Row],[PC]]</f>
        <v>24.47799999999998</v>
      </c>
      <c r="K1441" s="15"/>
      <c r="L1441" s="15" t="str">
        <f>IF(
OR(
ISNUMBER(SEARCH("BACKPACK",B1443)),
ISNUMBER(SEARCH("MOCHILA",B1443)),
ISNUMBER(SEARCH("FUNDA",B1443)),
ISNUMBER(SEARCH("ESTUCHE",B1443)),
ISNUMBER(SEARCH("BOOK COVER",B1443)),
ISNUMBER(SEARCH("KEYBOARD PARA TABLET",B1443)),
ISNUMBER(SEARCH("FLIP TABLET",B1443)),
ISNUMBER(SEARCH("CASE FOR TABLET",B1443)),
ISNUMBER(SEARCH("CABLE",B1443)),
ISNUMBER(SEARCH("ADAPTADOR",B1443)),
ISNUMBER(SEARCH("HUB",B1443)),
ISNUMBER(SEARCH("DOCK",B1443)),
ISNUMBER(SEARCH("MOUSE PAD",B1443)),
ISNUMBER(SEARCH("MOUSEPAD",B1443)),
ISNUMBER(SEARCH("SOPORTE",B1443)),
ISNUMBER(SEARCH("STAND",B1443)),
ISNUMBER(SEARCH("TRAVEL ADAPTER",B1443)),
ISNUMBER(SEARCH("RJ45",B1443)),
ISNUMBER(SEARCH("USB-C",B1443)),
ISNUMBER(SEARCH("USB WIFI",B1443)),
ISNUMBER(SEARCH("POWERBANK",B1443)),
ISNUMBER(SEARCH("CARGADOR",B1443)),
ISNUMBER(SEARCH("COOLER PARA NB",B1443)),
ISNUMBER(SEARCH("SOPORTE PARA NB",B1443)),
ISNUMBER(SEARCH("WEBCAM",B1443)),
ISNUMBER(SEARCH("WEB CAM",B1443)),
ISNUMBER(SEARCH("MOUSE",B1443)),
ISNUMBER(SEARCH("TECLADO",B1443))
),
"COMPLEMENTO",
IF(
OR(
LEFT(A1443,2)="NB",
LEFT(A1443,2)="PC",
LEFT(A1443,2)="WS",
LEFT(A1443,2)="TB",
LEFT(A1443,3)="CEL",
LEFT(A1443,3)="MON",
LEFT(A1443,3)="PRE",
LEFT(A1443,3)="PRH",
ISNUMBER(SEARCH("NOTEBOOK",B1443)),
ISNUMBER(SEARCH("LAPTOP",B1443)),
ISNUMBER(SEARCH("MONITOR",B1443)),
ISNUMBER(SEARCH("TABLET",B1443)),
ISNUMBER(SEARCH("SMARTPH",B1443)),
ISNUMBER(SEARCH("IMPRESORA",B1443)),
ISNUMBER(SEARCH("MULTIFUNCIONAL",B1443)),
ISNUMBER(SEARCH("AIO",B1443))
),
"GANCHO",
"NORMAL"
)
)</f>
        <v>NORMAL</v>
      </c>
    </row>
    <row r="1442" spans="1:12" x14ac:dyDescent="0.25">
      <c r="A1442" s="3" t="s">
        <v>4351</v>
      </c>
      <c r="B1442" s="3" t="s">
        <v>4352</v>
      </c>
      <c r="C1442" s="1">
        <v>10</v>
      </c>
      <c r="D1442" s="1">
        <v>35.799999999999997</v>
      </c>
      <c r="E1442" s="1" t="s">
        <v>247</v>
      </c>
      <c r="F1442" s="1" t="s">
        <v>4353</v>
      </c>
      <c r="G1442" s="3"/>
      <c r="H1442" s="11">
        <f>ROUND(
IF(L1440="GANCHO",
   IF(I1442&lt;=50,I1442*1.1+4,IF(I1442&lt;=120,I1442*1.1+7,IF(I1442&lt;=250,I1442*1.1+11,I1442*1.1+19))),
IF(L1440="NORMAL",
   IF(I1442&lt;=30,I1442*1.15+2,IF(I1442&lt;=80,I1442*1.15+4,IF(I1442&lt;=150,I1442*1.15+6,I1442*1.15+8))),
IF(L1440="COMPLEMENTO",
   IF(I1442&lt;=25,I1442*1.25+1.5,IF(I1442&lt;=60,I1442*1.25+3,IF(I1442&lt;=120,I1442*1.25+4,I1442*1.25+5))),
""))),2)</f>
        <v>175.06</v>
      </c>
      <c r="I1442" s="9">
        <f>($K$2+0.02)*Tabla1[[#This Row],[PRECIO $]]*1.18</f>
        <v>147.00911999999997</v>
      </c>
      <c r="J1442" s="7">
        <f>+Tabla1[[#This Row],[PRECIO EN SOLES]]-Tabla1[[#This Row],[PC]]</f>
        <v>28.050880000000035</v>
      </c>
      <c r="K1442" s="15"/>
      <c r="L1442" s="15" t="str">
        <f>IF(
OR(
ISNUMBER(SEARCH("BACKPACK",B1444)),
ISNUMBER(SEARCH("MOCHILA",B1444)),
ISNUMBER(SEARCH("FUNDA",B1444)),
ISNUMBER(SEARCH("ESTUCHE",B1444)),
ISNUMBER(SEARCH("BOOK COVER",B1444)),
ISNUMBER(SEARCH("KEYBOARD PARA TABLET",B1444)),
ISNUMBER(SEARCH("FLIP TABLET",B1444)),
ISNUMBER(SEARCH("CASE FOR TABLET",B1444)),
ISNUMBER(SEARCH("CABLE",B1444)),
ISNUMBER(SEARCH("ADAPTADOR",B1444)),
ISNUMBER(SEARCH("HUB",B1444)),
ISNUMBER(SEARCH("DOCK",B1444)),
ISNUMBER(SEARCH("MOUSE PAD",B1444)),
ISNUMBER(SEARCH("MOUSEPAD",B1444)),
ISNUMBER(SEARCH("SOPORTE",B1444)),
ISNUMBER(SEARCH("STAND",B1444)),
ISNUMBER(SEARCH("TRAVEL ADAPTER",B1444)),
ISNUMBER(SEARCH("RJ45",B1444)),
ISNUMBER(SEARCH("USB-C",B1444)),
ISNUMBER(SEARCH("USB WIFI",B1444)),
ISNUMBER(SEARCH("POWERBANK",B1444)),
ISNUMBER(SEARCH("CARGADOR",B1444)),
ISNUMBER(SEARCH("COOLER PARA NB",B1444)),
ISNUMBER(SEARCH("SOPORTE PARA NB",B1444)),
ISNUMBER(SEARCH("WEBCAM",B1444)),
ISNUMBER(SEARCH("WEB CAM",B1444)),
ISNUMBER(SEARCH("MOUSE",B1444)),
ISNUMBER(SEARCH("TECLADO",B1444))
),
"COMPLEMENTO",
IF(
OR(
LEFT(A1444,2)="NB",
LEFT(A1444,2)="PC",
LEFT(A1444,2)="WS",
LEFT(A1444,2)="TB",
LEFT(A1444,3)="CEL",
LEFT(A1444,3)="MON",
LEFT(A1444,3)="PRE",
LEFT(A1444,3)="PRH",
ISNUMBER(SEARCH("NOTEBOOK",B1444)),
ISNUMBER(SEARCH("LAPTOP",B1444)),
ISNUMBER(SEARCH("MONITOR",B1444)),
ISNUMBER(SEARCH("TABLET",B1444)),
ISNUMBER(SEARCH("SMARTPH",B1444)),
ISNUMBER(SEARCH("IMPRESORA",B1444)),
ISNUMBER(SEARCH("MULTIFUNCIONAL",B1444)),
ISNUMBER(SEARCH("AIO",B1444))
),
"GANCHO",
"NORMAL"
)
)</f>
        <v>NORMAL</v>
      </c>
    </row>
    <row r="1443" spans="1:12" x14ac:dyDescent="0.25">
      <c r="A1443" s="3" t="s">
        <v>2404</v>
      </c>
      <c r="B1443" s="3" t="s">
        <v>2405</v>
      </c>
      <c r="C1443" s="1">
        <v>4</v>
      </c>
      <c r="D1443" s="1">
        <v>26.6</v>
      </c>
      <c r="E1443" s="1" t="s">
        <v>448</v>
      </c>
      <c r="F1443" s="1" t="s">
        <v>3959</v>
      </c>
      <c r="G1443" s="3"/>
      <c r="H1443" s="11">
        <f>ROUND(
IF(L1441="GANCHO",
   IF(I1443&lt;=50,I1443*1.1+4,IF(I1443&lt;=120,I1443*1.1+7,IF(I1443&lt;=250,I1443*1.1+11,I1443*1.1+19))),
IF(L1441="NORMAL",
   IF(I1443&lt;=30,I1443*1.15+2,IF(I1443&lt;=80,I1443*1.15+4,IF(I1443&lt;=150,I1443*1.15+6,I1443*1.15+8))),
IF(L1441="COMPLEMENTO",
   IF(I1443&lt;=25,I1443*1.25+1.5,IF(I1443&lt;=60,I1443*1.25+3,IF(I1443&lt;=120,I1443*1.25+4,I1443*1.25+5))),
""))),2)</f>
        <v>131.61000000000001</v>
      </c>
      <c r="I1443" s="9">
        <f>($K$2+0.02)*Tabla1[[#This Row],[PRECIO $]]*1.18</f>
        <v>109.23023999999999</v>
      </c>
      <c r="J1443" s="7">
        <f>+Tabla1[[#This Row],[PRECIO EN SOLES]]-Tabla1[[#This Row],[PC]]</f>
        <v>22.379760000000019</v>
      </c>
      <c r="K1443" s="15"/>
      <c r="L1443" s="15" t="str">
        <f>IF(
OR(
ISNUMBER(SEARCH("BACKPACK",B1445)),
ISNUMBER(SEARCH("MOCHILA",B1445)),
ISNUMBER(SEARCH("FUNDA",B1445)),
ISNUMBER(SEARCH("ESTUCHE",B1445)),
ISNUMBER(SEARCH("BOOK COVER",B1445)),
ISNUMBER(SEARCH("KEYBOARD PARA TABLET",B1445)),
ISNUMBER(SEARCH("FLIP TABLET",B1445)),
ISNUMBER(SEARCH("CASE FOR TABLET",B1445)),
ISNUMBER(SEARCH("CABLE",B1445)),
ISNUMBER(SEARCH("ADAPTADOR",B1445)),
ISNUMBER(SEARCH("HUB",B1445)),
ISNUMBER(SEARCH("DOCK",B1445)),
ISNUMBER(SEARCH("MOUSE PAD",B1445)),
ISNUMBER(SEARCH("MOUSEPAD",B1445)),
ISNUMBER(SEARCH("SOPORTE",B1445)),
ISNUMBER(SEARCH("STAND",B1445)),
ISNUMBER(SEARCH("TRAVEL ADAPTER",B1445)),
ISNUMBER(SEARCH("RJ45",B1445)),
ISNUMBER(SEARCH("USB-C",B1445)),
ISNUMBER(SEARCH("USB WIFI",B1445)),
ISNUMBER(SEARCH("POWERBANK",B1445)),
ISNUMBER(SEARCH("CARGADOR",B1445)),
ISNUMBER(SEARCH("COOLER PARA NB",B1445)),
ISNUMBER(SEARCH("SOPORTE PARA NB",B1445)),
ISNUMBER(SEARCH("WEBCAM",B1445)),
ISNUMBER(SEARCH("WEB CAM",B1445)),
ISNUMBER(SEARCH("MOUSE",B1445)),
ISNUMBER(SEARCH("TECLADO",B1445))
),
"COMPLEMENTO",
IF(
OR(
LEFT(A1445,2)="NB",
LEFT(A1445,2)="PC",
LEFT(A1445,2)="WS",
LEFT(A1445,2)="TB",
LEFT(A1445,3)="CEL",
LEFT(A1445,3)="MON",
LEFT(A1445,3)="PRE",
LEFT(A1445,3)="PRH",
ISNUMBER(SEARCH("NOTEBOOK",B1445)),
ISNUMBER(SEARCH("LAPTOP",B1445)),
ISNUMBER(SEARCH("MONITOR",B1445)),
ISNUMBER(SEARCH("TABLET",B1445)),
ISNUMBER(SEARCH("SMARTPH",B1445)),
ISNUMBER(SEARCH("IMPRESORA",B1445)),
ISNUMBER(SEARCH("MULTIFUNCIONAL",B1445)),
ISNUMBER(SEARCH("AIO",B1445))
),
"GANCHO",
"NORMAL"
)
)</f>
        <v>NORMAL</v>
      </c>
    </row>
    <row r="1444" spans="1:12" x14ac:dyDescent="0.25">
      <c r="A1444" s="3" t="s">
        <v>2406</v>
      </c>
      <c r="B1444" s="3" t="s">
        <v>2407</v>
      </c>
      <c r="C1444" s="1">
        <v>7</v>
      </c>
      <c r="D1444" s="1">
        <v>300</v>
      </c>
      <c r="E1444" s="1" t="s">
        <v>448</v>
      </c>
      <c r="F1444" s="1" t="s">
        <v>3960</v>
      </c>
      <c r="G1444" s="3"/>
      <c r="H1444" s="11">
        <f>ROUND(
IF(L1442="GANCHO",
   IF(I1444&lt;=50,I1444*1.1+4,IF(I1444&lt;=120,I1444*1.1+7,IF(I1444&lt;=250,I1444*1.1+11,I1444*1.1+19))),
IF(L1442="NORMAL",
   IF(I1444&lt;=30,I1444*1.15+2,IF(I1444&lt;=80,I1444*1.15+4,IF(I1444&lt;=150,I1444*1.15+6,I1444*1.15+8))),
IF(L1442="COMPLEMENTO",
   IF(I1444&lt;=25,I1444*1.25+1.5,IF(I1444&lt;=60,I1444*1.25+3,IF(I1444&lt;=120,I1444*1.25+4,I1444*1.25+5))),
""))),2)</f>
        <v>1424.71</v>
      </c>
      <c r="I1444" s="9">
        <f>($K$2+0.02)*Tabla1[[#This Row],[PRECIO $]]*1.18</f>
        <v>1231.9199999999998</v>
      </c>
      <c r="J1444" s="7">
        <f>+Tabla1[[#This Row],[PRECIO EN SOLES]]-Tabla1[[#This Row],[PC]]</f>
        <v>192.79000000000019</v>
      </c>
      <c r="K1444" s="15"/>
      <c r="L1444" s="15" t="str">
        <f>IF(
OR(
ISNUMBER(SEARCH("BACKPACK",B1446)),
ISNUMBER(SEARCH("MOCHILA",B1446)),
ISNUMBER(SEARCH("FUNDA",B1446)),
ISNUMBER(SEARCH("ESTUCHE",B1446)),
ISNUMBER(SEARCH("BOOK COVER",B1446)),
ISNUMBER(SEARCH("KEYBOARD PARA TABLET",B1446)),
ISNUMBER(SEARCH("FLIP TABLET",B1446)),
ISNUMBER(SEARCH("CASE FOR TABLET",B1446)),
ISNUMBER(SEARCH("CABLE",B1446)),
ISNUMBER(SEARCH("ADAPTADOR",B1446)),
ISNUMBER(SEARCH("HUB",B1446)),
ISNUMBER(SEARCH("DOCK",B1446)),
ISNUMBER(SEARCH("MOUSE PAD",B1446)),
ISNUMBER(SEARCH("MOUSEPAD",B1446)),
ISNUMBER(SEARCH("SOPORTE",B1446)),
ISNUMBER(SEARCH("STAND",B1446)),
ISNUMBER(SEARCH("TRAVEL ADAPTER",B1446)),
ISNUMBER(SEARCH("RJ45",B1446)),
ISNUMBER(SEARCH("USB-C",B1446)),
ISNUMBER(SEARCH("USB WIFI",B1446)),
ISNUMBER(SEARCH("POWERBANK",B1446)),
ISNUMBER(SEARCH("CARGADOR",B1446)),
ISNUMBER(SEARCH("COOLER PARA NB",B1446)),
ISNUMBER(SEARCH("SOPORTE PARA NB",B1446)),
ISNUMBER(SEARCH("WEBCAM",B1446)),
ISNUMBER(SEARCH("WEB CAM",B1446)),
ISNUMBER(SEARCH("MOUSE",B1446)),
ISNUMBER(SEARCH("TECLADO",B1446))
),
"COMPLEMENTO",
IF(
OR(
LEFT(A1446,2)="NB",
LEFT(A1446,2)="PC",
LEFT(A1446,2)="WS",
LEFT(A1446,2)="TB",
LEFT(A1446,3)="CEL",
LEFT(A1446,3)="MON",
LEFT(A1446,3)="PRE",
LEFT(A1446,3)="PRH",
ISNUMBER(SEARCH("NOTEBOOK",B1446)),
ISNUMBER(SEARCH("LAPTOP",B1446)),
ISNUMBER(SEARCH("MONITOR",B1446)),
ISNUMBER(SEARCH("TABLET",B1446)),
ISNUMBER(SEARCH("SMARTPH",B1446)),
ISNUMBER(SEARCH("IMPRESORA",B1446)),
ISNUMBER(SEARCH("MULTIFUNCIONAL",B1446)),
ISNUMBER(SEARCH("AIO",B1446))
),
"GANCHO",
"NORMAL"
)
)</f>
        <v>NORMAL</v>
      </c>
    </row>
    <row r="1445" spans="1:12" x14ac:dyDescent="0.25">
      <c r="A1445" s="3" t="s">
        <v>2408</v>
      </c>
      <c r="B1445" s="3" t="s">
        <v>2409</v>
      </c>
      <c r="C1445" s="1">
        <v>1</v>
      </c>
      <c r="D1445" s="1">
        <v>20</v>
      </c>
      <c r="E1445" s="1" t="s">
        <v>448</v>
      </c>
      <c r="F1445" s="1" t="s">
        <v>3961</v>
      </c>
      <c r="G1445" s="3"/>
      <c r="H1445" s="11">
        <f>ROUND(
IF(L1443="GANCHO",
   IF(I1445&lt;=50,I1445*1.1+4,IF(I1445&lt;=120,I1445*1.1+7,IF(I1445&lt;=250,I1445*1.1+11,I1445*1.1+19))),
IF(L1443="NORMAL",
   IF(I1445&lt;=30,I1445*1.15+2,IF(I1445&lt;=80,I1445*1.15+4,IF(I1445&lt;=150,I1445*1.15+6,I1445*1.15+8))),
IF(L1443="COMPLEMENTO",
   IF(I1445&lt;=25,I1445*1.25+1.5,IF(I1445&lt;=60,I1445*1.25+3,IF(I1445&lt;=120,I1445*1.25+4,I1445*1.25+5))),
""))),2)</f>
        <v>100.45</v>
      </c>
      <c r="I1445" s="9">
        <f>($K$2+0.02)*Tabla1[[#This Row],[PRECIO $]]*1.18</f>
        <v>82.127999999999986</v>
      </c>
      <c r="J1445" s="7">
        <f>+Tabla1[[#This Row],[PRECIO EN SOLES]]-Tabla1[[#This Row],[PC]]</f>
        <v>18.322000000000017</v>
      </c>
      <c r="K1445" s="15"/>
      <c r="L1445" s="15" t="str">
        <f>IF(
OR(
ISNUMBER(SEARCH("BACKPACK",B1447)),
ISNUMBER(SEARCH("MOCHILA",B1447)),
ISNUMBER(SEARCH("FUNDA",B1447)),
ISNUMBER(SEARCH("ESTUCHE",B1447)),
ISNUMBER(SEARCH("BOOK COVER",B1447)),
ISNUMBER(SEARCH("KEYBOARD PARA TABLET",B1447)),
ISNUMBER(SEARCH("FLIP TABLET",B1447)),
ISNUMBER(SEARCH("CASE FOR TABLET",B1447)),
ISNUMBER(SEARCH("CABLE",B1447)),
ISNUMBER(SEARCH("ADAPTADOR",B1447)),
ISNUMBER(SEARCH("HUB",B1447)),
ISNUMBER(SEARCH("DOCK",B1447)),
ISNUMBER(SEARCH("MOUSE PAD",B1447)),
ISNUMBER(SEARCH("MOUSEPAD",B1447)),
ISNUMBER(SEARCH("SOPORTE",B1447)),
ISNUMBER(SEARCH("STAND",B1447)),
ISNUMBER(SEARCH("TRAVEL ADAPTER",B1447)),
ISNUMBER(SEARCH("RJ45",B1447)),
ISNUMBER(SEARCH("USB-C",B1447)),
ISNUMBER(SEARCH("USB WIFI",B1447)),
ISNUMBER(SEARCH("POWERBANK",B1447)),
ISNUMBER(SEARCH("CARGADOR",B1447)),
ISNUMBER(SEARCH("COOLER PARA NB",B1447)),
ISNUMBER(SEARCH("SOPORTE PARA NB",B1447)),
ISNUMBER(SEARCH("WEBCAM",B1447)),
ISNUMBER(SEARCH("WEB CAM",B1447)),
ISNUMBER(SEARCH("MOUSE",B1447)),
ISNUMBER(SEARCH("TECLADO",B1447))
),
"COMPLEMENTO",
IF(
OR(
LEFT(A1447,2)="NB",
LEFT(A1447,2)="PC",
LEFT(A1447,2)="WS",
LEFT(A1447,2)="TB",
LEFT(A1447,3)="CEL",
LEFT(A1447,3)="MON",
LEFT(A1447,3)="PRE",
LEFT(A1447,3)="PRH",
ISNUMBER(SEARCH("NOTEBOOK",B1447)),
ISNUMBER(SEARCH("LAPTOP",B1447)),
ISNUMBER(SEARCH("MONITOR",B1447)),
ISNUMBER(SEARCH("TABLET",B1447)),
ISNUMBER(SEARCH("SMARTPH",B1447)),
ISNUMBER(SEARCH("IMPRESORA",B1447)),
ISNUMBER(SEARCH("MULTIFUNCIONAL",B1447)),
ISNUMBER(SEARCH("AIO",B1447))
),
"GANCHO",
"NORMAL"
)
)</f>
        <v>NORMAL</v>
      </c>
    </row>
    <row r="1446" spans="1:12" x14ac:dyDescent="0.25">
      <c r="A1446" s="3" t="s">
        <v>459</v>
      </c>
      <c r="B1446" s="3" t="s">
        <v>460</v>
      </c>
      <c r="C1446" s="1">
        <v>19</v>
      </c>
      <c r="D1446" s="1">
        <v>32.6</v>
      </c>
      <c r="E1446" s="1" t="s">
        <v>448</v>
      </c>
      <c r="F1446" s="1" t="s">
        <v>3962</v>
      </c>
      <c r="G1446" s="3"/>
      <c r="H1446" s="11">
        <f>ROUND(
IF(L1444="GANCHO",
   IF(I1446&lt;=50,I1446*1.1+4,IF(I1446&lt;=120,I1446*1.1+7,IF(I1446&lt;=250,I1446*1.1+11,I1446*1.1+19))),
IF(L1444="NORMAL",
   IF(I1446&lt;=30,I1446*1.15+2,IF(I1446&lt;=80,I1446*1.15+4,IF(I1446&lt;=150,I1446*1.15+6,I1446*1.15+8))),
IF(L1444="COMPLEMENTO",
   IF(I1446&lt;=25,I1446*1.25+1.5,IF(I1446&lt;=60,I1446*1.25+3,IF(I1446&lt;=120,I1446*1.25+4,I1446*1.25+5))),
""))),2)</f>
        <v>159.94999999999999</v>
      </c>
      <c r="I1446" s="9">
        <f>($K$2+0.02)*Tabla1[[#This Row],[PRECIO $]]*1.18</f>
        <v>133.86864</v>
      </c>
      <c r="J1446" s="7">
        <f>+Tabla1[[#This Row],[PRECIO EN SOLES]]-Tabla1[[#This Row],[PC]]</f>
        <v>26.081359999999989</v>
      </c>
      <c r="K1446" s="15"/>
      <c r="L1446" s="15" t="str">
        <f>IF(
OR(
ISNUMBER(SEARCH("BACKPACK",B1448)),
ISNUMBER(SEARCH("MOCHILA",B1448)),
ISNUMBER(SEARCH("FUNDA",B1448)),
ISNUMBER(SEARCH("ESTUCHE",B1448)),
ISNUMBER(SEARCH("BOOK COVER",B1448)),
ISNUMBER(SEARCH("KEYBOARD PARA TABLET",B1448)),
ISNUMBER(SEARCH("FLIP TABLET",B1448)),
ISNUMBER(SEARCH("CASE FOR TABLET",B1448)),
ISNUMBER(SEARCH("CABLE",B1448)),
ISNUMBER(SEARCH("ADAPTADOR",B1448)),
ISNUMBER(SEARCH("HUB",B1448)),
ISNUMBER(SEARCH("DOCK",B1448)),
ISNUMBER(SEARCH("MOUSE PAD",B1448)),
ISNUMBER(SEARCH("MOUSEPAD",B1448)),
ISNUMBER(SEARCH("SOPORTE",B1448)),
ISNUMBER(SEARCH("STAND",B1448)),
ISNUMBER(SEARCH("TRAVEL ADAPTER",B1448)),
ISNUMBER(SEARCH("RJ45",B1448)),
ISNUMBER(SEARCH("USB-C",B1448)),
ISNUMBER(SEARCH("USB WIFI",B1448)),
ISNUMBER(SEARCH("POWERBANK",B1448)),
ISNUMBER(SEARCH("CARGADOR",B1448)),
ISNUMBER(SEARCH("COOLER PARA NB",B1448)),
ISNUMBER(SEARCH("SOPORTE PARA NB",B1448)),
ISNUMBER(SEARCH("WEBCAM",B1448)),
ISNUMBER(SEARCH("WEB CAM",B1448)),
ISNUMBER(SEARCH("MOUSE",B1448)),
ISNUMBER(SEARCH("TECLADO",B1448))
),
"COMPLEMENTO",
IF(
OR(
LEFT(A1448,2)="NB",
LEFT(A1448,2)="PC",
LEFT(A1448,2)="WS",
LEFT(A1448,2)="TB",
LEFT(A1448,3)="CEL",
LEFT(A1448,3)="MON",
LEFT(A1448,3)="PRE",
LEFT(A1448,3)="PRH",
ISNUMBER(SEARCH("NOTEBOOK",B1448)),
ISNUMBER(SEARCH("LAPTOP",B1448)),
ISNUMBER(SEARCH("MONITOR",B1448)),
ISNUMBER(SEARCH("TABLET",B1448)),
ISNUMBER(SEARCH("SMARTPH",B1448)),
ISNUMBER(SEARCH("IMPRESORA",B1448)),
ISNUMBER(SEARCH("MULTIFUNCIONAL",B1448)),
ISNUMBER(SEARCH("AIO",B1448))
),
"GANCHO",
"NORMAL"
)
)</f>
        <v>NORMAL</v>
      </c>
    </row>
    <row r="1447" spans="1:12" x14ac:dyDescent="0.25">
      <c r="A1447" s="3" t="s">
        <v>461</v>
      </c>
      <c r="B1447" s="3" t="s">
        <v>462</v>
      </c>
      <c r="C1447" s="1">
        <v>20</v>
      </c>
      <c r="D1447" s="1">
        <v>47.8</v>
      </c>
      <c r="E1447" s="1" t="s">
        <v>448</v>
      </c>
      <c r="F1447" s="1" t="s">
        <v>3963</v>
      </c>
      <c r="G1447" s="3"/>
      <c r="H1447" s="11">
        <f>ROUND(
IF(L1445="GANCHO",
   IF(I1447&lt;=50,I1447*1.1+4,IF(I1447&lt;=120,I1447*1.1+7,IF(I1447&lt;=250,I1447*1.1+11,I1447*1.1+19))),
IF(L1445="NORMAL",
   IF(I1447&lt;=30,I1447*1.15+2,IF(I1447&lt;=80,I1447*1.15+4,IF(I1447&lt;=150,I1447*1.15+6,I1447*1.15+8))),
IF(L1445="COMPLEMENTO",
   IF(I1447&lt;=25,I1447*1.25+1.5,IF(I1447&lt;=60,I1447*1.25+3,IF(I1447&lt;=120,I1447*1.25+4,I1447*1.25+5))),
""))),2)</f>
        <v>233.73</v>
      </c>
      <c r="I1447" s="9">
        <f>($K$2+0.02)*Tabla1[[#This Row],[PRECIO $]]*1.18</f>
        <v>196.28591999999998</v>
      </c>
      <c r="J1447" s="7">
        <f>+Tabla1[[#This Row],[PRECIO EN SOLES]]-Tabla1[[#This Row],[PC]]</f>
        <v>37.444080000000014</v>
      </c>
      <c r="K1447" s="15"/>
      <c r="L1447" s="15" t="str">
        <f>IF(
OR(
ISNUMBER(SEARCH("BACKPACK",B1449)),
ISNUMBER(SEARCH("MOCHILA",B1449)),
ISNUMBER(SEARCH("FUNDA",B1449)),
ISNUMBER(SEARCH("ESTUCHE",B1449)),
ISNUMBER(SEARCH("BOOK COVER",B1449)),
ISNUMBER(SEARCH("KEYBOARD PARA TABLET",B1449)),
ISNUMBER(SEARCH("FLIP TABLET",B1449)),
ISNUMBER(SEARCH("CASE FOR TABLET",B1449)),
ISNUMBER(SEARCH("CABLE",B1449)),
ISNUMBER(SEARCH("ADAPTADOR",B1449)),
ISNUMBER(SEARCH("HUB",B1449)),
ISNUMBER(SEARCH("DOCK",B1449)),
ISNUMBER(SEARCH("MOUSE PAD",B1449)),
ISNUMBER(SEARCH("MOUSEPAD",B1449)),
ISNUMBER(SEARCH("SOPORTE",B1449)),
ISNUMBER(SEARCH("STAND",B1449)),
ISNUMBER(SEARCH("TRAVEL ADAPTER",B1449)),
ISNUMBER(SEARCH("RJ45",B1449)),
ISNUMBER(SEARCH("USB-C",B1449)),
ISNUMBER(SEARCH("USB WIFI",B1449)),
ISNUMBER(SEARCH("POWERBANK",B1449)),
ISNUMBER(SEARCH("CARGADOR",B1449)),
ISNUMBER(SEARCH("COOLER PARA NB",B1449)),
ISNUMBER(SEARCH("SOPORTE PARA NB",B1449)),
ISNUMBER(SEARCH("WEBCAM",B1449)),
ISNUMBER(SEARCH("WEB CAM",B1449)),
ISNUMBER(SEARCH("MOUSE",B1449)),
ISNUMBER(SEARCH("TECLADO",B1449))
),
"COMPLEMENTO",
IF(
OR(
LEFT(A1449,2)="NB",
LEFT(A1449,2)="PC",
LEFT(A1449,2)="WS",
LEFT(A1449,2)="TB",
LEFT(A1449,3)="CEL",
LEFT(A1449,3)="MON",
LEFT(A1449,3)="PRE",
LEFT(A1449,3)="PRH",
ISNUMBER(SEARCH("NOTEBOOK",B1449)),
ISNUMBER(SEARCH("LAPTOP",B1449)),
ISNUMBER(SEARCH("MONITOR",B1449)),
ISNUMBER(SEARCH("TABLET",B1449)),
ISNUMBER(SEARCH("SMARTPH",B1449)),
ISNUMBER(SEARCH("IMPRESORA",B1449)),
ISNUMBER(SEARCH("MULTIFUNCIONAL",B1449)),
ISNUMBER(SEARCH("AIO",B1449))
),
"GANCHO",
"NORMAL"
)
)</f>
        <v>NORMAL</v>
      </c>
    </row>
    <row r="1448" spans="1:12" x14ac:dyDescent="0.25">
      <c r="A1448" s="3" t="s">
        <v>6356</v>
      </c>
      <c r="B1448" s="3" t="s">
        <v>6357</v>
      </c>
      <c r="C1448" s="1">
        <v>2</v>
      </c>
      <c r="D1448" s="1">
        <v>24.1</v>
      </c>
      <c r="E1448" s="1" t="s">
        <v>448</v>
      </c>
      <c r="F1448" s="1" t="s">
        <v>6358</v>
      </c>
      <c r="G1448" s="3"/>
      <c r="H1448" s="11">
        <f>ROUND(
IF(L1446="GANCHO",
   IF(I1448&lt;=50,I1448*1.1+4,IF(I1448&lt;=120,I1448*1.1+7,IF(I1448&lt;=250,I1448*1.1+11,I1448*1.1+19))),
IF(L1446="NORMAL",
   IF(I1448&lt;=30,I1448*1.15+2,IF(I1448&lt;=80,I1448*1.15+4,IF(I1448&lt;=150,I1448*1.15+6,I1448*1.15+8))),
IF(L1446="COMPLEMENTO",
   IF(I1448&lt;=25,I1448*1.25+1.5,IF(I1448&lt;=60,I1448*1.25+3,IF(I1448&lt;=120,I1448*1.25+4,I1448*1.25+5))),
""))),2)</f>
        <v>119.81</v>
      </c>
      <c r="I1448" s="9">
        <f>($K$2+0.02)*Tabla1[[#This Row],[PRECIO $]]*1.18</f>
        <v>98.964240000000004</v>
      </c>
      <c r="J1448" s="7">
        <f>+Tabla1[[#This Row],[PRECIO EN SOLES]]-Tabla1[[#This Row],[PC]]</f>
        <v>20.845759999999999</v>
      </c>
      <c r="K1448" s="15"/>
      <c r="L1448" s="15" t="str">
        <f>IF(
OR(
ISNUMBER(SEARCH("BACKPACK",B1450)),
ISNUMBER(SEARCH("MOCHILA",B1450)),
ISNUMBER(SEARCH("FUNDA",B1450)),
ISNUMBER(SEARCH("ESTUCHE",B1450)),
ISNUMBER(SEARCH("BOOK COVER",B1450)),
ISNUMBER(SEARCH("KEYBOARD PARA TABLET",B1450)),
ISNUMBER(SEARCH("FLIP TABLET",B1450)),
ISNUMBER(SEARCH("CASE FOR TABLET",B1450)),
ISNUMBER(SEARCH("CABLE",B1450)),
ISNUMBER(SEARCH("ADAPTADOR",B1450)),
ISNUMBER(SEARCH("HUB",B1450)),
ISNUMBER(SEARCH("DOCK",B1450)),
ISNUMBER(SEARCH("MOUSE PAD",B1450)),
ISNUMBER(SEARCH("MOUSEPAD",B1450)),
ISNUMBER(SEARCH("SOPORTE",B1450)),
ISNUMBER(SEARCH("STAND",B1450)),
ISNUMBER(SEARCH("TRAVEL ADAPTER",B1450)),
ISNUMBER(SEARCH("RJ45",B1450)),
ISNUMBER(SEARCH("USB-C",B1450)),
ISNUMBER(SEARCH("USB WIFI",B1450)),
ISNUMBER(SEARCH("POWERBANK",B1450)),
ISNUMBER(SEARCH("CARGADOR",B1450)),
ISNUMBER(SEARCH("COOLER PARA NB",B1450)),
ISNUMBER(SEARCH("SOPORTE PARA NB",B1450)),
ISNUMBER(SEARCH("WEBCAM",B1450)),
ISNUMBER(SEARCH("WEB CAM",B1450)),
ISNUMBER(SEARCH("MOUSE",B1450)),
ISNUMBER(SEARCH("TECLADO",B1450))
),
"COMPLEMENTO",
IF(
OR(
LEFT(A1450,2)="NB",
LEFT(A1450,2)="PC",
LEFT(A1450,2)="WS",
LEFT(A1450,2)="TB",
LEFT(A1450,3)="CEL",
LEFT(A1450,3)="MON",
LEFT(A1450,3)="PRE",
LEFT(A1450,3)="PRH",
ISNUMBER(SEARCH("NOTEBOOK",B1450)),
ISNUMBER(SEARCH("LAPTOP",B1450)),
ISNUMBER(SEARCH("MONITOR",B1450)),
ISNUMBER(SEARCH("TABLET",B1450)),
ISNUMBER(SEARCH("SMARTPH",B1450)),
ISNUMBER(SEARCH("IMPRESORA",B1450)),
ISNUMBER(SEARCH("MULTIFUNCIONAL",B1450)),
ISNUMBER(SEARCH("AIO",B1450))
),
"GANCHO",
"NORMAL"
)
)</f>
        <v>NORMAL</v>
      </c>
    </row>
    <row r="1449" spans="1:12" x14ac:dyDescent="0.25">
      <c r="A1449" s="3" t="s">
        <v>6638</v>
      </c>
      <c r="B1449" s="3" t="s">
        <v>6639</v>
      </c>
      <c r="C1449" s="1">
        <v>0</v>
      </c>
      <c r="D1449" s="1">
        <v>9999999.9900000002</v>
      </c>
      <c r="E1449" s="1" t="s">
        <v>448</v>
      </c>
      <c r="F1449" s="1" t="s">
        <v>6640</v>
      </c>
      <c r="G1449" s="3"/>
      <c r="H1449" s="11">
        <f>ROUND(
IF(L1447="GANCHO",
   IF(I1449&lt;=50,I1449*1.1+4,IF(I1449&lt;=120,I1449*1.1+7,IF(I1449&lt;=250,I1449*1.1+11,I1449*1.1+19))),
IF(L1447="NORMAL",
   IF(I1449&lt;=30,I1449*1.15+2,IF(I1449&lt;=80,I1449*1.15+4,IF(I1449&lt;=150,I1449*1.15+6,I1449*1.15+8))),
IF(L1447="COMPLEMENTO",
   IF(I1449&lt;=25,I1449*1.25+1.5,IF(I1449&lt;=60,I1449*1.25+3,IF(I1449&lt;=120,I1449*1.25+4,I1449*1.25+5))),
""))),2)</f>
        <v>47223607.950000003</v>
      </c>
      <c r="I1449" s="9">
        <f>($K$2+0.02)*Tabla1[[#This Row],[PRECIO $]]*1.18</f>
        <v>41063999.958935998</v>
      </c>
      <c r="J1449" s="7">
        <f>+Tabla1[[#This Row],[PRECIO EN SOLES]]-Tabla1[[#This Row],[PC]]</f>
        <v>6159607.9910640046</v>
      </c>
      <c r="K1449" s="15"/>
      <c r="L1449" s="15" t="str">
        <f>IF(
OR(
ISNUMBER(SEARCH("BACKPACK",B1451)),
ISNUMBER(SEARCH("MOCHILA",B1451)),
ISNUMBER(SEARCH("FUNDA",B1451)),
ISNUMBER(SEARCH("ESTUCHE",B1451)),
ISNUMBER(SEARCH("BOOK COVER",B1451)),
ISNUMBER(SEARCH("KEYBOARD PARA TABLET",B1451)),
ISNUMBER(SEARCH("FLIP TABLET",B1451)),
ISNUMBER(SEARCH("CASE FOR TABLET",B1451)),
ISNUMBER(SEARCH("CABLE",B1451)),
ISNUMBER(SEARCH("ADAPTADOR",B1451)),
ISNUMBER(SEARCH("HUB",B1451)),
ISNUMBER(SEARCH("DOCK",B1451)),
ISNUMBER(SEARCH("MOUSE PAD",B1451)),
ISNUMBER(SEARCH("MOUSEPAD",B1451)),
ISNUMBER(SEARCH("SOPORTE",B1451)),
ISNUMBER(SEARCH("STAND",B1451)),
ISNUMBER(SEARCH("TRAVEL ADAPTER",B1451)),
ISNUMBER(SEARCH("RJ45",B1451)),
ISNUMBER(SEARCH("USB-C",B1451)),
ISNUMBER(SEARCH("USB WIFI",B1451)),
ISNUMBER(SEARCH("POWERBANK",B1451)),
ISNUMBER(SEARCH("CARGADOR",B1451)),
ISNUMBER(SEARCH("COOLER PARA NB",B1451)),
ISNUMBER(SEARCH("SOPORTE PARA NB",B1451)),
ISNUMBER(SEARCH("WEBCAM",B1451)),
ISNUMBER(SEARCH("WEB CAM",B1451)),
ISNUMBER(SEARCH("MOUSE",B1451)),
ISNUMBER(SEARCH("TECLADO",B1451))
),
"COMPLEMENTO",
IF(
OR(
LEFT(A1451,2)="NB",
LEFT(A1451,2)="PC",
LEFT(A1451,2)="WS",
LEFT(A1451,2)="TB",
LEFT(A1451,3)="CEL",
LEFT(A1451,3)="MON",
LEFT(A1451,3)="PRE",
LEFT(A1451,3)="PRH",
ISNUMBER(SEARCH("NOTEBOOK",B1451)),
ISNUMBER(SEARCH("LAPTOP",B1451)),
ISNUMBER(SEARCH("MONITOR",B1451)),
ISNUMBER(SEARCH("TABLET",B1451)),
ISNUMBER(SEARCH("SMARTPH",B1451)),
ISNUMBER(SEARCH("IMPRESORA",B1451)),
ISNUMBER(SEARCH("MULTIFUNCIONAL",B1451)),
ISNUMBER(SEARCH("AIO",B1451))
),
"GANCHO",
"NORMAL"
)
)</f>
        <v>NORMAL</v>
      </c>
    </row>
    <row r="1450" spans="1:12" x14ac:dyDescent="0.25">
      <c r="A1450" s="3" t="s">
        <v>6641</v>
      </c>
      <c r="B1450" s="3" t="s">
        <v>6920</v>
      </c>
      <c r="C1450" s="1">
        <v>20</v>
      </c>
      <c r="D1450" s="1">
        <v>26.4</v>
      </c>
      <c r="E1450" s="1" t="s">
        <v>448</v>
      </c>
      <c r="F1450" s="1" t="s">
        <v>6642</v>
      </c>
      <c r="G1450" s="3"/>
      <c r="H1450" s="11">
        <f>ROUND(
IF(L1448="GANCHO",
   IF(I1450&lt;=50,I1450*1.1+4,IF(I1450&lt;=120,I1450*1.1+7,IF(I1450&lt;=250,I1450*1.1+11,I1450*1.1+19))),
IF(L1448="NORMAL",
   IF(I1450&lt;=30,I1450*1.15+2,IF(I1450&lt;=80,I1450*1.15+4,IF(I1450&lt;=150,I1450*1.15+6,I1450*1.15+8))),
IF(L1448="COMPLEMENTO",
   IF(I1450&lt;=25,I1450*1.25+1.5,IF(I1450&lt;=60,I1450*1.25+3,IF(I1450&lt;=120,I1450*1.25+4,I1450*1.25+5))),
""))),2)</f>
        <v>130.66999999999999</v>
      </c>
      <c r="I1450" s="9">
        <f>($K$2+0.02)*Tabla1[[#This Row],[PRECIO $]]*1.18</f>
        <v>108.40895999999999</v>
      </c>
      <c r="J1450" s="7">
        <f>+Tabla1[[#This Row],[PRECIO EN SOLES]]-Tabla1[[#This Row],[PC]]</f>
        <v>22.261039999999994</v>
      </c>
      <c r="K1450" s="15"/>
      <c r="L1450" s="15" t="str">
        <f>IF(
OR(
ISNUMBER(SEARCH("BACKPACK",B1452)),
ISNUMBER(SEARCH("MOCHILA",B1452)),
ISNUMBER(SEARCH("FUNDA",B1452)),
ISNUMBER(SEARCH("ESTUCHE",B1452)),
ISNUMBER(SEARCH("BOOK COVER",B1452)),
ISNUMBER(SEARCH("KEYBOARD PARA TABLET",B1452)),
ISNUMBER(SEARCH("FLIP TABLET",B1452)),
ISNUMBER(SEARCH("CASE FOR TABLET",B1452)),
ISNUMBER(SEARCH("CABLE",B1452)),
ISNUMBER(SEARCH("ADAPTADOR",B1452)),
ISNUMBER(SEARCH("HUB",B1452)),
ISNUMBER(SEARCH("DOCK",B1452)),
ISNUMBER(SEARCH("MOUSE PAD",B1452)),
ISNUMBER(SEARCH("MOUSEPAD",B1452)),
ISNUMBER(SEARCH("SOPORTE",B1452)),
ISNUMBER(SEARCH("STAND",B1452)),
ISNUMBER(SEARCH("TRAVEL ADAPTER",B1452)),
ISNUMBER(SEARCH("RJ45",B1452)),
ISNUMBER(SEARCH("USB-C",B1452)),
ISNUMBER(SEARCH("USB WIFI",B1452)),
ISNUMBER(SEARCH("POWERBANK",B1452)),
ISNUMBER(SEARCH("CARGADOR",B1452)),
ISNUMBER(SEARCH("COOLER PARA NB",B1452)),
ISNUMBER(SEARCH("SOPORTE PARA NB",B1452)),
ISNUMBER(SEARCH("WEBCAM",B1452)),
ISNUMBER(SEARCH("WEB CAM",B1452)),
ISNUMBER(SEARCH("MOUSE",B1452)),
ISNUMBER(SEARCH("TECLADO",B1452))
),
"COMPLEMENTO",
IF(
OR(
LEFT(A1452,2)="NB",
LEFT(A1452,2)="PC",
LEFT(A1452,2)="WS",
LEFT(A1452,2)="TB",
LEFT(A1452,3)="CEL",
LEFT(A1452,3)="MON",
LEFT(A1452,3)="PRE",
LEFT(A1452,3)="PRH",
ISNUMBER(SEARCH("NOTEBOOK",B1452)),
ISNUMBER(SEARCH("LAPTOP",B1452)),
ISNUMBER(SEARCH("MONITOR",B1452)),
ISNUMBER(SEARCH("TABLET",B1452)),
ISNUMBER(SEARCH("SMARTPH",B1452)),
ISNUMBER(SEARCH("IMPRESORA",B1452)),
ISNUMBER(SEARCH("MULTIFUNCIONAL",B1452)),
ISNUMBER(SEARCH("AIO",B1452))
),
"GANCHO",
"NORMAL"
)
)</f>
        <v>NORMAL</v>
      </c>
    </row>
    <row r="1451" spans="1:12" x14ac:dyDescent="0.25">
      <c r="A1451" s="3" t="s">
        <v>2410</v>
      </c>
      <c r="B1451" s="3" t="s">
        <v>2411</v>
      </c>
      <c r="C1451" s="1">
        <v>20</v>
      </c>
      <c r="D1451" s="1">
        <v>75.599999999999994</v>
      </c>
      <c r="E1451" s="1" t="s">
        <v>448</v>
      </c>
      <c r="F1451" s="1" t="s">
        <v>3964</v>
      </c>
      <c r="G1451" s="3" t="s">
        <v>2412</v>
      </c>
      <c r="H1451" s="11">
        <f>ROUND(
IF(L1449="GANCHO",
   IF(I1451&lt;=50,I1451*1.1+4,IF(I1451&lt;=120,I1451*1.1+7,IF(I1451&lt;=250,I1451*1.1+11,I1451*1.1+19))),
IF(L1449="NORMAL",
   IF(I1451&lt;=30,I1451*1.15+2,IF(I1451&lt;=80,I1451*1.15+4,IF(I1451&lt;=150,I1451*1.15+6,I1451*1.15+8))),
IF(L1449="COMPLEMENTO",
   IF(I1451&lt;=25,I1451*1.25+1.5,IF(I1451&lt;=60,I1451*1.25+3,IF(I1451&lt;=120,I1451*1.25+4,I1451*1.25+5))),
""))),2)</f>
        <v>365.01</v>
      </c>
      <c r="I1451" s="9">
        <f>($K$2+0.02)*Tabla1[[#This Row],[PRECIO $]]*1.18</f>
        <v>310.44383999999997</v>
      </c>
      <c r="J1451" s="7">
        <f>+Tabla1[[#This Row],[PRECIO EN SOLES]]-Tabla1[[#This Row],[PC]]</f>
        <v>54.566160000000025</v>
      </c>
      <c r="K1451" s="15"/>
      <c r="L1451" s="15" t="str">
        <f>IF(
OR(
ISNUMBER(SEARCH("BACKPACK",B1453)),
ISNUMBER(SEARCH("MOCHILA",B1453)),
ISNUMBER(SEARCH("FUNDA",B1453)),
ISNUMBER(SEARCH("ESTUCHE",B1453)),
ISNUMBER(SEARCH("BOOK COVER",B1453)),
ISNUMBER(SEARCH("KEYBOARD PARA TABLET",B1453)),
ISNUMBER(SEARCH("FLIP TABLET",B1453)),
ISNUMBER(SEARCH("CASE FOR TABLET",B1453)),
ISNUMBER(SEARCH("CABLE",B1453)),
ISNUMBER(SEARCH("ADAPTADOR",B1453)),
ISNUMBER(SEARCH("HUB",B1453)),
ISNUMBER(SEARCH("DOCK",B1453)),
ISNUMBER(SEARCH("MOUSE PAD",B1453)),
ISNUMBER(SEARCH("MOUSEPAD",B1453)),
ISNUMBER(SEARCH("SOPORTE",B1453)),
ISNUMBER(SEARCH("STAND",B1453)),
ISNUMBER(SEARCH("TRAVEL ADAPTER",B1453)),
ISNUMBER(SEARCH("RJ45",B1453)),
ISNUMBER(SEARCH("USB-C",B1453)),
ISNUMBER(SEARCH("USB WIFI",B1453)),
ISNUMBER(SEARCH("POWERBANK",B1453)),
ISNUMBER(SEARCH("CARGADOR",B1453)),
ISNUMBER(SEARCH("COOLER PARA NB",B1453)),
ISNUMBER(SEARCH("SOPORTE PARA NB",B1453)),
ISNUMBER(SEARCH("WEBCAM",B1453)),
ISNUMBER(SEARCH("WEB CAM",B1453)),
ISNUMBER(SEARCH("MOUSE",B1453)),
ISNUMBER(SEARCH("TECLADO",B1453))
),
"COMPLEMENTO",
IF(
OR(
LEFT(A1453,2)="NB",
LEFT(A1453,2)="PC",
LEFT(A1453,2)="WS",
LEFT(A1453,2)="TB",
LEFT(A1453,3)="CEL",
LEFT(A1453,3)="MON",
LEFT(A1453,3)="PRE",
LEFT(A1453,3)="PRH",
ISNUMBER(SEARCH("NOTEBOOK",B1453)),
ISNUMBER(SEARCH("LAPTOP",B1453)),
ISNUMBER(SEARCH("MONITOR",B1453)),
ISNUMBER(SEARCH("TABLET",B1453)),
ISNUMBER(SEARCH("SMARTPH",B1453)),
ISNUMBER(SEARCH("IMPRESORA",B1453)),
ISNUMBER(SEARCH("MULTIFUNCIONAL",B1453)),
ISNUMBER(SEARCH("AIO",B1453))
),
"GANCHO",
"NORMAL"
)
)</f>
        <v>NORMAL</v>
      </c>
    </row>
    <row r="1452" spans="1:12" x14ac:dyDescent="0.25">
      <c r="A1452" s="3" t="s">
        <v>6359</v>
      </c>
      <c r="B1452" s="3" t="s">
        <v>6360</v>
      </c>
      <c r="C1452" s="1">
        <v>1</v>
      </c>
      <c r="D1452" s="1">
        <v>23.32</v>
      </c>
      <c r="E1452" s="1" t="s">
        <v>448</v>
      </c>
      <c r="F1452" s="1" t="s">
        <v>6361</v>
      </c>
      <c r="G1452" s="3"/>
      <c r="H1452" s="11">
        <f>ROUND(
IF(L1450="GANCHO",
   IF(I1452&lt;=50,I1452*1.1+4,IF(I1452&lt;=120,I1452*1.1+7,IF(I1452&lt;=250,I1452*1.1+11,I1452*1.1+19))),
IF(L1450="NORMAL",
   IF(I1452&lt;=30,I1452*1.15+2,IF(I1452&lt;=80,I1452*1.15+4,IF(I1452&lt;=150,I1452*1.15+6,I1452*1.15+8))),
IF(L1450="COMPLEMENTO",
   IF(I1452&lt;=25,I1452*1.25+1.5,IF(I1452&lt;=60,I1452*1.25+3,IF(I1452&lt;=120,I1452*1.25+4,I1452*1.25+5))),
""))),2)</f>
        <v>116.13</v>
      </c>
      <c r="I1452" s="9">
        <f>($K$2+0.02)*Tabla1[[#This Row],[PRECIO $]]*1.18</f>
        <v>95.761247999999995</v>
      </c>
      <c r="J1452" s="7">
        <f>+Tabla1[[#This Row],[PRECIO EN SOLES]]-Tabla1[[#This Row],[PC]]</f>
        <v>20.368752000000001</v>
      </c>
      <c r="K1452" s="15"/>
      <c r="L1452" s="15" t="str">
        <f>IF(
OR(
ISNUMBER(SEARCH("BACKPACK",B1454)),
ISNUMBER(SEARCH("MOCHILA",B1454)),
ISNUMBER(SEARCH("FUNDA",B1454)),
ISNUMBER(SEARCH("ESTUCHE",B1454)),
ISNUMBER(SEARCH("BOOK COVER",B1454)),
ISNUMBER(SEARCH("KEYBOARD PARA TABLET",B1454)),
ISNUMBER(SEARCH("FLIP TABLET",B1454)),
ISNUMBER(SEARCH("CASE FOR TABLET",B1454)),
ISNUMBER(SEARCH("CABLE",B1454)),
ISNUMBER(SEARCH("ADAPTADOR",B1454)),
ISNUMBER(SEARCH("HUB",B1454)),
ISNUMBER(SEARCH("DOCK",B1454)),
ISNUMBER(SEARCH("MOUSE PAD",B1454)),
ISNUMBER(SEARCH("MOUSEPAD",B1454)),
ISNUMBER(SEARCH("SOPORTE",B1454)),
ISNUMBER(SEARCH("STAND",B1454)),
ISNUMBER(SEARCH("TRAVEL ADAPTER",B1454)),
ISNUMBER(SEARCH("RJ45",B1454)),
ISNUMBER(SEARCH("USB-C",B1454)),
ISNUMBER(SEARCH("USB WIFI",B1454)),
ISNUMBER(SEARCH("POWERBANK",B1454)),
ISNUMBER(SEARCH("CARGADOR",B1454)),
ISNUMBER(SEARCH("COOLER PARA NB",B1454)),
ISNUMBER(SEARCH("SOPORTE PARA NB",B1454)),
ISNUMBER(SEARCH("WEBCAM",B1454)),
ISNUMBER(SEARCH("WEB CAM",B1454)),
ISNUMBER(SEARCH("MOUSE",B1454)),
ISNUMBER(SEARCH("TECLADO",B1454))
),
"COMPLEMENTO",
IF(
OR(
LEFT(A1454,2)="NB",
LEFT(A1454,2)="PC",
LEFT(A1454,2)="WS",
LEFT(A1454,2)="TB",
LEFT(A1454,3)="CEL",
LEFT(A1454,3)="MON",
LEFT(A1454,3)="PRE",
LEFT(A1454,3)="PRH",
ISNUMBER(SEARCH("NOTEBOOK",B1454)),
ISNUMBER(SEARCH("LAPTOP",B1454)),
ISNUMBER(SEARCH("MONITOR",B1454)),
ISNUMBER(SEARCH("TABLET",B1454)),
ISNUMBER(SEARCH("SMARTPH",B1454)),
ISNUMBER(SEARCH("IMPRESORA",B1454)),
ISNUMBER(SEARCH("MULTIFUNCIONAL",B1454)),
ISNUMBER(SEARCH("AIO",B1454))
),
"GANCHO",
"NORMAL"
)
)</f>
        <v>NORMAL</v>
      </c>
    </row>
    <row r="1453" spans="1:12" x14ac:dyDescent="0.25">
      <c r="A1453" s="3" t="s">
        <v>2413</v>
      </c>
      <c r="B1453" s="3" t="s">
        <v>2414</v>
      </c>
      <c r="C1453" s="1">
        <v>20</v>
      </c>
      <c r="D1453" s="1">
        <v>87.5</v>
      </c>
      <c r="E1453" s="1" t="s">
        <v>448</v>
      </c>
      <c r="F1453" s="1" t="s">
        <v>3965</v>
      </c>
      <c r="G1453" s="3"/>
      <c r="H1453" s="11">
        <f>ROUND(
IF(L1451="GANCHO",
   IF(I1453&lt;=50,I1453*1.1+4,IF(I1453&lt;=120,I1453*1.1+7,IF(I1453&lt;=250,I1453*1.1+11,I1453*1.1+19))),
IF(L1451="NORMAL",
   IF(I1453&lt;=30,I1453*1.15+2,IF(I1453&lt;=80,I1453*1.15+4,IF(I1453&lt;=150,I1453*1.15+6,I1453*1.15+8))),
IF(L1451="COMPLEMENTO",
   IF(I1453&lt;=25,I1453*1.25+1.5,IF(I1453&lt;=60,I1453*1.25+3,IF(I1453&lt;=120,I1453*1.25+4,I1453*1.25+5))),
""))),2)</f>
        <v>421.21</v>
      </c>
      <c r="I1453" s="9">
        <f>($K$2+0.02)*Tabla1[[#This Row],[PRECIO $]]*1.18</f>
        <v>359.31</v>
      </c>
      <c r="J1453" s="7">
        <f>+Tabla1[[#This Row],[PRECIO EN SOLES]]-Tabla1[[#This Row],[PC]]</f>
        <v>61.899999999999977</v>
      </c>
      <c r="K1453" s="15"/>
      <c r="L1453" s="15" t="str">
        <f>IF(
OR(
ISNUMBER(SEARCH("BACKPACK",B1455)),
ISNUMBER(SEARCH("MOCHILA",B1455)),
ISNUMBER(SEARCH("FUNDA",B1455)),
ISNUMBER(SEARCH("ESTUCHE",B1455)),
ISNUMBER(SEARCH("BOOK COVER",B1455)),
ISNUMBER(SEARCH("KEYBOARD PARA TABLET",B1455)),
ISNUMBER(SEARCH("FLIP TABLET",B1455)),
ISNUMBER(SEARCH("CASE FOR TABLET",B1455)),
ISNUMBER(SEARCH("CABLE",B1455)),
ISNUMBER(SEARCH("ADAPTADOR",B1455)),
ISNUMBER(SEARCH("HUB",B1455)),
ISNUMBER(SEARCH("DOCK",B1455)),
ISNUMBER(SEARCH("MOUSE PAD",B1455)),
ISNUMBER(SEARCH("MOUSEPAD",B1455)),
ISNUMBER(SEARCH("SOPORTE",B1455)),
ISNUMBER(SEARCH("STAND",B1455)),
ISNUMBER(SEARCH("TRAVEL ADAPTER",B1455)),
ISNUMBER(SEARCH("RJ45",B1455)),
ISNUMBER(SEARCH("USB-C",B1455)),
ISNUMBER(SEARCH("USB WIFI",B1455)),
ISNUMBER(SEARCH("POWERBANK",B1455)),
ISNUMBER(SEARCH("CARGADOR",B1455)),
ISNUMBER(SEARCH("COOLER PARA NB",B1455)),
ISNUMBER(SEARCH("SOPORTE PARA NB",B1455)),
ISNUMBER(SEARCH("WEBCAM",B1455)),
ISNUMBER(SEARCH("WEB CAM",B1455)),
ISNUMBER(SEARCH("MOUSE",B1455)),
ISNUMBER(SEARCH("TECLADO",B1455))
),
"COMPLEMENTO",
IF(
OR(
LEFT(A1455,2)="NB",
LEFT(A1455,2)="PC",
LEFT(A1455,2)="WS",
LEFT(A1455,2)="TB",
LEFT(A1455,3)="CEL",
LEFT(A1455,3)="MON",
LEFT(A1455,3)="PRE",
LEFT(A1455,3)="PRH",
ISNUMBER(SEARCH("NOTEBOOK",B1455)),
ISNUMBER(SEARCH("LAPTOP",B1455)),
ISNUMBER(SEARCH("MONITOR",B1455)),
ISNUMBER(SEARCH("TABLET",B1455)),
ISNUMBER(SEARCH("SMARTPH",B1455)),
ISNUMBER(SEARCH("IMPRESORA",B1455)),
ISNUMBER(SEARCH("MULTIFUNCIONAL",B1455)),
ISNUMBER(SEARCH("AIO",B1455))
),
"GANCHO",
"NORMAL"
)
)</f>
        <v>NORMAL</v>
      </c>
    </row>
    <row r="1454" spans="1:12" x14ac:dyDescent="0.25">
      <c r="A1454" s="3" t="s">
        <v>4810</v>
      </c>
      <c r="B1454" s="3" t="s">
        <v>4811</v>
      </c>
      <c r="C1454" s="1">
        <v>10</v>
      </c>
      <c r="D1454" s="1">
        <v>108.2</v>
      </c>
      <c r="E1454" s="1" t="s">
        <v>448</v>
      </c>
      <c r="F1454" s="1" t="s">
        <v>4812</v>
      </c>
      <c r="G1454" s="3"/>
      <c r="H1454" s="11">
        <f>ROUND(
IF(L1452="GANCHO",
   IF(I1454&lt;=50,I1454*1.1+4,IF(I1454&lt;=120,I1454*1.1+7,IF(I1454&lt;=250,I1454*1.1+11,I1454*1.1+19))),
IF(L1452="NORMAL",
   IF(I1454&lt;=30,I1454*1.15+2,IF(I1454&lt;=80,I1454*1.15+4,IF(I1454&lt;=150,I1454*1.15+6,I1454*1.15+8))),
IF(L1452="COMPLEMENTO",
   IF(I1454&lt;=25,I1454*1.25+1.5,IF(I1454&lt;=60,I1454*1.25+3,IF(I1454&lt;=120,I1454*1.25+4,I1454*1.25+5))),
""))),2)</f>
        <v>518.96</v>
      </c>
      <c r="I1454" s="9">
        <f>($K$2+0.02)*Tabla1[[#This Row],[PRECIO $]]*1.18</f>
        <v>444.31247999999999</v>
      </c>
      <c r="J1454" s="7">
        <f>+Tabla1[[#This Row],[PRECIO EN SOLES]]-Tabla1[[#This Row],[PC]]</f>
        <v>74.647520000000043</v>
      </c>
      <c r="K1454" s="15"/>
      <c r="L1454" s="15" t="str">
        <f>IF(
OR(
ISNUMBER(SEARCH("BACKPACK",B1456)),
ISNUMBER(SEARCH("MOCHILA",B1456)),
ISNUMBER(SEARCH("FUNDA",B1456)),
ISNUMBER(SEARCH("ESTUCHE",B1456)),
ISNUMBER(SEARCH("BOOK COVER",B1456)),
ISNUMBER(SEARCH("KEYBOARD PARA TABLET",B1456)),
ISNUMBER(SEARCH("FLIP TABLET",B1456)),
ISNUMBER(SEARCH("CASE FOR TABLET",B1456)),
ISNUMBER(SEARCH("CABLE",B1456)),
ISNUMBER(SEARCH("ADAPTADOR",B1456)),
ISNUMBER(SEARCH("HUB",B1456)),
ISNUMBER(SEARCH("DOCK",B1456)),
ISNUMBER(SEARCH("MOUSE PAD",B1456)),
ISNUMBER(SEARCH("MOUSEPAD",B1456)),
ISNUMBER(SEARCH("SOPORTE",B1456)),
ISNUMBER(SEARCH("STAND",B1456)),
ISNUMBER(SEARCH("TRAVEL ADAPTER",B1456)),
ISNUMBER(SEARCH("RJ45",B1456)),
ISNUMBER(SEARCH("USB-C",B1456)),
ISNUMBER(SEARCH("USB WIFI",B1456)),
ISNUMBER(SEARCH("POWERBANK",B1456)),
ISNUMBER(SEARCH("CARGADOR",B1456)),
ISNUMBER(SEARCH("COOLER PARA NB",B1456)),
ISNUMBER(SEARCH("SOPORTE PARA NB",B1456)),
ISNUMBER(SEARCH("WEBCAM",B1456)),
ISNUMBER(SEARCH("WEB CAM",B1456)),
ISNUMBER(SEARCH("MOUSE",B1456)),
ISNUMBER(SEARCH("TECLADO",B1456))
),
"COMPLEMENTO",
IF(
OR(
LEFT(A1456,2)="NB",
LEFT(A1456,2)="PC",
LEFT(A1456,2)="WS",
LEFT(A1456,2)="TB",
LEFT(A1456,3)="CEL",
LEFT(A1456,3)="MON",
LEFT(A1456,3)="PRE",
LEFT(A1456,3)="PRH",
ISNUMBER(SEARCH("NOTEBOOK",B1456)),
ISNUMBER(SEARCH("LAPTOP",B1456)),
ISNUMBER(SEARCH("MONITOR",B1456)),
ISNUMBER(SEARCH("TABLET",B1456)),
ISNUMBER(SEARCH("SMARTPH",B1456)),
ISNUMBER(SEARCH("IMPRESORA",B1456)),
ISNUMBER(SEARCH("MULTIFUNCIONAL",B1456)),
ISNUMBER(SEARCH("AIO",B1456))
),
"GANCHO",
"NORMAL"
)
)</f>
        <v>NORMAL</v>
      </c>
    </row>
    <row r="1455" spans="1:12" x14ac:dyDescent="0.25">
      <c r="A1455" s="3" t="s">
        <v>2415</v>
      </c>
      <c r="B1455" s="3" t="s">
        <v>2416</v>
      </c>
      <c r="C1455" s="1">
        <v>10</v>
      </c>
      <c r="D1455" s="1">
        <v>150.80000000000001</v>
      </c>
      <c r="E1455" s="1" t="s">
        <v>448</v>
      </c>
      <c r="F1455" s="1" t="s">
        <v>3966</v>
      </c>
      <c r="G1455" s="3"/>
      <c r="H1455" s="11">
        <f>ROUND(
IF(L1453="GANCHO",
   IF(I1455&lt;=50,I1455*1.1+4,IF(I1455&lt;=120,I1455*1.1+7,IF(I1455&lt;=250,I1455*1.1+11,I1455*1.1+19))),
IF(L1453="NORMAL",
   IF(I1455&lt;=30,I1455*1.15+2,IF(I1455&lt;=80,I1455*1.15+4,IF(I1455&lt;=150,I1455*1.15+6,I1455*1.15+8))),
IF(L1453="COMPLEMENTO",
   IF(I1455&lt;=25,I1455*1.25+1.5,IF(I1455&lt;=60,I1455*1.25+3,IF(I1455&lt;=120,I1455*1.25+4,I1455*1.25+5))),
""))),2)</f>
        <v>720.13</v>
      </c>
      <c r="I1455" s="9">
        <f>($K$2+0.02)*Tabla1[[#This Row],[PRECIO $]]*1.18</f>
        <v>619.24511999999993</v>
      </c>
      <c r="J1455" s="7">
        <f>+Tabla1[[#This Row],[PRECIO EN SOLES]]-Tabla1[[#This Row],[PC]]</f>
        <v>100.88488000000007</v>
      </c>
      <c r="K1455" s="15"/>
      <c r="L1455" s="15" t="str">
        <f>IF(
OR(
ISNUMBER(SEARCH("BACKPACK",B1457)),
ISNUMBER(SEARCH("MOCHILA",B1457)),
ISNUMBER(SEARCH("FUNDA",B1457)),
ISNUMBER(SEARCH("ESTUCHE",B1457)),
ISNUMBER(SEARCH("BOOK COVER",B1457)),
ISNUMBER(SEARCH("KEYBOARD PARA TABLET",B1457)),
ISNUMBER(SEARCH("FLIP TABLET",B1457)),
ISNUMBER(SEARCH("CASE FOR TABLET",B1457)),
ISNUMBER(SEARCH("CABLE",B1457)),
ISNUMBER(SEARCH("ADAPTADOR",B1457)),
ISNUMBER(SEARCH("HUB",B1457)),
ISNUMBER(SEARCH("DOCK",B1457)),
ISNUMBER(SEARCH("MOUSE PAD",B1457)),
ISNUMBER(SEARCH("MOUSEPAD",B1457)),
ISNUMBER(SEARCH("SOPORTE",B1457)),
ISNUMBER(SEARCH("STAND",B1457)),
ISNUMBER(SEARCH("TRAVEL ADAPTER",B1457)),
ISNUMBER(SEARCH("RJ45",B1457)),
ISNUMBER(SEARCH("USB-C",B1457)),
ISNUMBER(SEARCH("USB WIFI",B1457)),
ISNUMBER(SEARCH("POWERBANK",B1457)),
ISNUMBER(SEARCH("CARGADOR",B1457)),
ISNUMBER(SEARCH("COOLER PARA NB",B1457)),
ISNUMBER(SEARCH("SOPORTE PARA NB",B1457)),
ISNUMBER(SEARCH("WEBCAM",B1457)),
ISNUMBER(SEARCH("WEB CAM",B1457)),
ISNUMBER(SEARCH("MOUSE",B1457)),
ISNUMBER(SEARCH("TECLADO",B1457))
),
"COMPLEMENTO",
IF(
OR(
LEFT(A1457,2)="NB",
LEFT(A1457,2)="PC",
LEFT(A1457,2)="WS",
LEFT(A1457,2)="TB",
LEFT(A1457,3)="CEL",
LEFT(A1457,3)="MON",
LEFT(A1457,3)="PRE",
LEFT(A1457,3)="PRH",
ISNUMBER(SEARCH("NOTEBOOK",B1457)),
ISNUMBER(SEARCH("LAPTOP",B1457)),
ISNUMBER(SEARCH("MONITOR",B1457)),
ISNUMBER(SEARCH("TABLET",B1457)),
ISNUMBER(SEARCH("SMARTPH",B1457)),
ISNUMBER(SEARCH("IMPRESORA",B1457)),
ISNUMBER(SEARCH("MULTIFUNCIONAL",B1457)),
ISNUMBER(SEARCH("AIO",B1457))
),
"GANCHO",
"NORMAL"
)
)</f>
        <v>NORMAL</v>
      </c>
    </row>
    <row r="1456" spans="1:12" x14ac:dyDescent="0.25">
      <c r="A1456" s="3" t="s">
        <v>2417</v>
      </c>
      <c r="B1456" s="3" t="s">
        <v>2418</v>
      </c>
      <c r="C1456" s="1">
        <v>9</v>
      </c>
      <c r="D1456" s="1">
        <v>201.37</v>
      </c>
      <c r="E1456" s="1" t="s">
        <v>448</v>
      </c>
      <c r="F1456" s="1" t="s">
        <v>3967</v>
      </c>
      <c r="G1456" s="3"/>
      <c r="H1456" s="11">
        <f>ROUND(
IF(L1454="GANCHO",
   IF(I1456&lt;=50,I1456*1.1+4,IF(I1456&lt;=120,I1456*1.1+7,IF(I1456&lt;=250,I1456*1.1+11,I1456*1.1+19))),
IF(L1454="NORMAL",
   IF(I1456&lt;=30,I1456*1.15+2,IF(I1456&lt;=80,I1456*1.15+4,IF(I1456&lt;=150,I1456*1.15+6,I1456*1.15+8))),
IF(L1454="COMPLEMENTO",
   IF(I1456&lt;=25,I1456*1.25+1.5,IF(I1456&lt;=60,I1456*1.25+3,IF(I1456&lt;=120,I1456*1.25+4,I1456*1.25+5))),
""))),2)</f>
        <v>958.94</v>
      </c>
      <c r="I1456" s="9">
        <f>($K$2+0.02)*Tabla1[[#This Row],[PRECIO $]]*1.18</f>
        <v>826.90576799999997</v>
      </c>
      <c r="J1456" s="7">
        <f>+Tabla1[[#This Row],[PRECIO EN SOLES]]-Tabla1[[#This Row],[PC]]</f>
        <v>132.03423200000009</v>
      </c>
      <c r="K1456" s="15"/>
      <c r="L1456" s="15" t="str">
        <f>IF(
OR(
ISNUMBER(SEARCH("BACKPACK",B1458)),
ISNUMBER(SEARCH("MOCHILA",B1458)),
ISNUMBER(SEARCH("FUNDA",B1458)),
ISNUMBER(SEARCH("ESTUCHE",B1458)),
ISNUMBER(SEARCH("BOOK COVER",B1458)),
ISNUMBER(SEARCH("KEYBOARD PARA TABLET",B1458)),
ISNUMBER(SEARCH("FLIP TABLET",B1458)),
ISNUMBER(SEARCH("CASE FOR TABLET",B1458)),
ISNUMBER(SEARCH("CABLE",B1458)),
ISNUMBER(SEARCH("ADAPTADOR",B1458)),
ISNUMBER(SEARCH("HUB",B1458)),
ISNUMBER(SEARCH("DOCK",B1458)),
ISNUMBER(SEARCH("MOUSE PAD",B1458)),
ISNUMBER(SEARCH("MOUSEPAD",B1458)),
ISNUMBER(SEARCH("SOPORTE",B1458)),
ISNUMBER(SEARCH("STAND",B1458)),
ISNUMBER(SEARCH("TRAVEL ADAPTER",B1458)),
ISNUMBER(SEARCH("RJ45",B1458)),
ISNUMBER(SEARCH("USB-C",B1458)),
ISNUMBER(SEARCH("USB WIFI",B1458)),
ISNUMBER(SEARCH("POWERBANK",B1458)),
ISNUMBER(SEARCH("CARGADOR",B1458)),
ISNUMBER(SEARCH("COOLER PARA NB",B1458)),
ISNUMBER(SEARCH("SOPORTE PARA NB",B1458)),
ISNUMBER(SEARCH("WEBCAM",B1458)),
ISNUMBER(SEARCH("WEB CAM",B1458)),
ISNUMBER(SEARCH("MOUSE",B1458)),
ISNUMBER(SEARCH("TECLADO",B1458))
),
"COMPLEMENTO",
IF(
OR(
LEFT(A1458,2)="NB",
LEFT(A1458,2)="PC",
LEFT(A1458,2)="WS",
LEFT(A1458,2)="TB",
LEFT(A1458,3)="CEL",
LEFT(A1458,3)="MON",
LEFT(A1458,3)="PRE",
LEFT(A1458,3)="PRH",
ISNUMBER(SEARCH("NOTEBOOK",B1458)),
ISNUMBER(SEARCH("LAPTOP",B1458)),
ISNUMBER(SEARCH("MONITOR",B1458)),
ISNUMBER(SEARCH("TABLET",B1458)),
ISNUMBER(SEARCH("SMARTPH",B1458)),
ISNUMBER(SEARCH("IMPRESORA",B1458)),
ISNUMBER(SEARCH("MULTIFUNCIONAL",B1458)),
ISNUMBER(SEARCH("AIO",B1458))
),
"GANCHO",
"NORMAL"
)
)</f>
        <v>NORMAL</v>
      </c>
    </row>
    <row r="1457" spans="1:12" x14ac:dyDescent="0.25">
      <c r="A1457" s="3" t="s">
        <v>4813</v>
      </c>
      <c r="B1457" s="3" t="s">
        <v>4814</v>
      </c>
      <c r="C1457" s="1">
        <v>5</v>
      </c>
      <c r="D1457" s="1">
        <v>251.5</v>
      </c>
      <c r="E1457" s="1" t="s">
        <v>448</v>
      </c>
      <c r="F1457" s="1" t="s">
        <v>4815</v>
      </c>
      <c r="G1457" s="3"/>
      <c r="H1457" s="11">
        <f>ROUND(
IF(L1455="GANCHO",
   IF(I1457&lt;=50,I1457*1.1+4,IF(I1457&lt;=120,I1457*1.1+7,IF(I1457&lt;=250,I1457*1.1+11,I1457*1.1+19))),
IF(L1455="NORMAL",
   IF(I1457&lt;=30,I1457*1.15+2,IF(I1457&lt;=80,I1457*1.15+4,IF(I1457&lt;=150,I1457*1.15+6,I1457*1.15+8))),
IF(L1455="COMPLEMENTO",
   IF(I1457&lt;=25,I1457*1.25+1.5,IF(I1457&lt;=60,I1457*1.25+3,IF(I1457&lt;=120,I1457*1.25+4,I1457*1.25+5))),
""))),2)</f>
        <v>1195.67</v>
      </c>
      <c r="I1457" s="9">
        <f>($K$2+0.02)*Tabla1[[#This Row],[PRECIO $]]*1.18</f>
        <v>1032.7596000000001</v>
      </c>
      <c r="J1457" s="7">
        <f>+Tabla1[[#This Row],[PRECIO EN SOLES]]-Tabla1[[#This Row],[PC]]</f>
        <v>162.91039999999998</v>
      </c>
      <c r="K1457" s="15"/>
      <c r="L1457" s="15" t="str">
        <f>IF(
OR(
ISNUMBER(SEARCH("BACKPACK",B1459)),
ISNUMBER(SEARCH("MOCHILA",B1459)),
ISNUMBER(SEARCH("FUNDA",B1459)),
ISNUMBER(SEARCH("ESTUCHE",B1459)),
ISNUMBER(SEARCH("BOOK COVER",B1459)),
ISNUMBER(SEARCH("KEYBOARD PARA TABLET",B1459)),
ISNUMBER(SEARCH("FLIP TABLET",B1459)),
ISNUMBER(SEARCH("CASE FOR TABLET",B1459)),
ISNUMBER(SEARCH("CABLE",B1459)),
ISNUMBER(SEARCH("ADAPTADOR",B1459)),
ISNUMBER(SEARCH("HUB",B1459)),
ISNUMBER(SEARCH("DOCK",B1459)),
ISNUMBER(SEARCH("MOUSE PAD",B1459)),
ISNUMBER(SEARCH("MOUSEPAD",B1459)),
ISNUMBER(SEARCH("SOPORTE",B1459)),
ISNUMBER(SEARCH("STAND",B1459)),
ISNUMBER(SEARCH("TRAVEL ADAPTER",B1459)),
ISNUMBER(SEARCH("RJ45",B1459)),
ISNUMBER(SEARCH("USB-C",B1459)),
ISNUMBER(SEARCH("USB WIFI",B1459)),
ISNUMBER(SEARCH("POWERBANK",B1459)),
ISNUMBER(SEARCH("CARGADOR",B1459)),
ISNUMBER(SEARCH("COOLER PARA NB",B1459)),
ISNUMBER(SEARCH("SOPORTE PARA NB",B1459)),
ISNUMBER(SEARCH("WEBCAM",B1459)),
ISNUMBER(SEARCH("WEB CAM",B1459)),
ISNUMBER(SEARCH("MOUSE",B1459)),
ISNUMBER(SEARCH("TECLADO",B1459))
),
"COMPLEMENTO",
IF(
OR(
LEFT(A1459,2)="NB",
LEFT(A1459,2)="PC",
LEFT(A1459,2)="WS",
LEFT(A1459,2)="TB",
LEFT(A1459,3)="CEL",
LEFT(A1459,3)="MON",
LEFT(A1459,3)="PRE",
LEFT(A1459,3)="PRH",
ISNUMBER(SEARCH("NOTEBOOK",B1459)),
ISNUMBER(SEARCH("LAPTOP",B1459)),
ISNUMBER(SEARCH("MONITOR",B1459)),
ISNUMBER(SEARCH("TABLET",B1459)),
ISNUMBER(SEARCH("SMARTPH",B1459)),
ISNUMBER(SEARCH("IMPRESORA",B1459)),
ISNUMBER(SEARCH("MULTIFUNCIONAL",B1459)),
ISNUMBER(SEARCH("AIO",B1459))
),
"GANCHO",
"NORMAL"
)
)</f>
        <v>NORMAL</v>
      </c>
    </row>
    <row r="1458" spans="1:12" x14ac:dyDescent="0.25">
      <c r="A1458" s="3" t="s">
        <v>463</v>
      </c>
      <c r="B1458" s="3" t="s">
        <v>464</v>
      </c>
      <c r="C1458" s="1">
        <v>20</v>
      </c>
      <c r="D1458" s="1">
        <v>32.4</v>
      </c>
      <c r="E1458" s="1" t="s">
        <v>448</v>
      </c>
      <c r="F1458" s="1" t="s">
        <v>3968</v>
      </c>
      <c r="G1458" s="3"/>
      <c r="H1458" s="11">
        <f>ROUND(
IF(L1456="GANCHO",
   IF(I1458&lt;=50,I1458*1.1+4,IF(I1458&lt;=120,I1458*1.1+7,IF(I1458&lt;=250,I1458*1.1+11,I1458*1.1+19))),
IF(L1456="NORMAL",
   IF(I1458&lt;=30,I1458*1.15+2,IF(I1458&lt;=80,I1458*1.15+4,IF(I1458&lt;=150,I1458*1.15+6,I1458*1.15+8))),
IF(L1456="COMPLEMENTO",
   IF(I1458&lt;=25,I1458*1.25+1.5,IF(I1458&lt;=60,I1458*1.25+3,IF(I1458&lt;=120,I1458*1.25+4,I1458*1.25+5))),
""))),2)</f>
        <v>159</v>
      </c>
      <c r="I1458" s="9">
        <f>($K$2+0.02)*Tabla1[[#This Row],[PRECIO $]]*1.18</f>
        <v>133.04736</v>
      </c>
      <c r="J1458" s="7">
        <f>+Tabla1[[#This Row],[PRECIO EN SOLES]]-Tabla1[[#This Row],[PC]]</f>
        <v>25.952640000000002</v>
      </c>
      <c r="K1458" s="15"/>
      <c r="L1458" s="15" t="str">
        <f>IF(
OR(
ISNUMBER(SEARCH("BACKPACK",B1460)),
ISNUMBER(SEARCH("MOCHILA",B1460)),
ISNUMBER(SEARCH("FUNDA",B1460)),
ISNUMBER(SEARCH("ESTUCHE",B1460)),
ISNUMBER(SEARCH("BOOK COVER",B1460)),
ISNUMBER(SEARCH("KEYBOARD PARA TABLET",B1460)),
ISNUMBER(SEARCH("FLIP TABLET",B1460)),
ISNUMBER(SEARCH("CASE FOR TABLET",B1460)),
ISNUMBER(SEARCH("CABLE",B1460)),
ISNUMBER(SEARCH("ADAPTADOR",B1460)),
ISNUMBER(SEARCH("HUB",B1460)),
ISNUMBER(SEARCH("DOCK",B1460)),
ISNUMBER(SEARCH("MOUSE PAD",B1460)),
ISNUMBER(SEARCH("MOUSEPAD",B1460)),
ISNUMBER(SEARCH("SOPORTE",B1460)),
ISNUMBER(SEARCH("STAND",B1460)),
ISNUMBER(SEARCH("TRAVEL ADAPTER",B1460)),
ISNUMBER(SEARCH("RJ45",B1460)),
ISNUMBER(SEARCH("USB-C",B1460)),
ISNUMBER(SEARCH("USB WIFI",B1460)),
ISNUMBER(SEARCH("POWERBANK",B1460)),
ISNUMBER(SEARCH("CARGADOR",B1460)),
ISNUMBER(SEARCH("COOLER PARA NB",B1460)),
ISNUMBER(SEARCH("SOPORTE PARA NB",B1460)),
ISNUMBER(SEARCH("WEBCAM",B1460)),
ISNUMBER(SEARCH("WEB CAM",B1460)),
ISNUMBER(SEARCH("MOUSE",B1460)),
ISNUMBER(SEARCH("TECLADO",B1460))
),
"COMPLEMENTO",
IF(
OR(
LEFT(A1460,2)="NB",
LEFT(A1460,2)="PC",
LEFT(A1460,2)="WS",
LEFT(A1460,2)="TB",
LEFT(A1460,3)="CEL",
LEFT(A1460,3)="MON",
LEFT(A1460,3)="PRE",
LEFT(A1460,3)="PRH",
ISNUMBER(SEARCH("NOTEBOOK",B1460)),
ISNUMBER(SEARCH("LAPTOP",B1460)),
ISNUMBER(SEARCH("MONITOR",B1460)),
ISNUMBER(SEARCH("TABLET",B1460)),
ISNUMBER(SEARCH("SMARTPH",B1460)),
ISNUMBER(SEARCH("IMPRESORA",B1460)),
ISNUMBER(SEARCH("MULTIFUNCIONAL",B1460)),
ISNUMBER(SEARCH("AIO",B1460))
),
"GANCHO",
"NORMAL"
)
)</f>
        <v>NORMAL</v>
      </c>
    </row>
    <row r="1459" spans="1:12" x14ac:dyDescent="0.25">
      <c r="A1459" s="3" t="s">
        <v>465</v>
      </c>
      <c r="B1459" s="3" t="s">
        <v>466</v>
      </c>
      <c r="C1459" s="1">
        <v>20</v>
      </c>
      <c r="D1459" s="1">
        <v>52.6</v>
      </c>
      <c r="E1459" s="1" t="s">
        <v>448</v>
      </c>
      <c r="F1459" s="1" t="s">
        <v>3969</v>
      </c>
      <c r="G1459" s="3"/>
      <c r="H1459" s="11">
        <f>ROUND(
IF(L1457="GANCHO",
   IF(I1459&lt;=50,I1459*1.1+4,IF(I1459&lt;=120,I1459*1.1+7,IF(I1459&lt;=250,I1459*1.1+11,I1459*1.1+19))),
IF(L1457="NORMAL",
   IF(I1459&lt;=30,I1459*1.15+2,IF(I1459&lt;=80,I1459*1.15+4,IF(I1459&lt;=150,I1459*1.15+6,I1459*1.15+8))),
IF(L1457="COMPLEMENTO",
   IF(I1459&lt;=25,I1459*1.25+1.5,IF(I1459&lt;=60,I1459*1.25+3,IF(I1459&lt;=120,I1459*1.25+4,I1459*1.25+5))),
""))),2)</f>
        <v>256.39999999999998</v>
      </c>
      <c r="I1459" s="9">
        <f>($K$2+0.02)*Tabla1[[#This Row],[PRECIO $]]*1.18</f>
        <v>215.99663999999999</v>
      </c>
      <c r="J1459" s="7">
        <f>+Tabla1[[#This Row],[PRECIO EN SOLES]]-Tabla1[[#This Row],[PC]]</f>
        <v>40.403359999999992</v>
      </c>
      <c r="K1459" s="15"/>
      <c r="L1459" s="15" t="str">
        <f>IF(
OR(
ISNUMBER(SEARCH("BACKPACK",B1461)),
ISNUMBER(SEARCH("MOCHILA",B1461)),
ISNUMBER(SEARCH("FUNDA",B1461)),
ISNUMBER(SEARCH("ESTUCHE",B1461)),
ISNUMBER(SEARCH("BOOK COVER",B1461)),
ISNUMBER(SEARCH("KEYBOARD PARA TABLET",B1461)),
ISNUMBER(SEARCH("FLIP TABLET",B1461)),
ISNUMBER(SEARCH("CASE FOR TABLET",B1461)),
ISNUMBER(SEARCH("CABLE",B1461)),
ISNUMBER(SEARCH("ADAPTADOR",B1461)),
ISNUMBER(SEARCH("HUB",B1461)),
ISNUMBER(SEARCH("DOCK",B1461)),
ISNUMBER(SEARCH("MOUSE PAD",B1461)),
ISNUMBER(SEARCH("MOUSEPAD",B1461)),
ISNUMBER(SEARCH("SOPORTE",B1461)),
ISNUMBER(SEARCH("STAND",B1461)),
ISNUMBER(SEARCH("TRAVEL ADAPTER",B1461)),
ISNUMBER(SEARCH("RJ45",B1461)),
ISNUMBER(SEARCH("USB-C",B1461)),
ISNUMBER(SEARCH("USB WIFI",B1461)),
ISNUMBER(SEARCH("POWERBANK",B1461)),
ISNUMBER(SEARCH("CARGADOR",B1461)),
ISNUMBER(SEARCH("COOLER PARA NB",B1461)),
ISNUMBER(SEARCH("SOPORTE PARA NB",B1461)),
ISNUMBER(SEARCH("WEBCAM",B1461)),
ISNUMBER(SEARCH("WEB CAM",B1461)),
ISNUMBER(SEARCH("MOUSE",B1461)),
ISNUMBER(SEARCH("TECLADO",B1461))
),
"COMPLEMENTO",
IF(
OR(
LEFT(A1461,2)="NB",
LEFT(A1461,2)="PC",
LEFT(A1461,2)="WS",
LEFT(A1461,2)="TB",
LEFT(A1461,3)="CEL",
LEFT(A1461,3)="MON",
LEFT(A1461,3)="PRE",
LEFT(A1461,3)="PRH",
ISNUMBER(SEARCH("NOTEBOOK",B1461)),
ISNUMBER(SEARCH("LAPTOP",B1461)),
ISNUMBER(SEARCH("MONITOR",B1461)),
ISNUMBER(SEARCH("TABLET",B1461)),
ISNUMBER(SEARCH("SMARTPH",B1461)),
ISNUMBER(SEARCH("IMPRESORA",B1461)),
ISNUMBER(SEARCH("MULTIFUNCIONAL",B1461)),
ISNUMBER(SEARCH("AIO",B1461))
),
"GANCHO",
"NORMAL"
)
)</f>
        <v>NORMAL</v>
      </c>
    </row>
    <row r="1460" spans="1:12" x14ac:dyDescent="0.25">
      <c r="A1460" s="3" t="s">
        <v>2419</v>
      </c>
      <c r="B1460" s="3" t="s">
        <v>2420</v>
      </c>
      <c r="C1460" s="1">
        <v>20</v>
      </c>
      <c r="D1460" s="1">
        <v>49</v>
      </c>
      <c r="E1460" s="1" t="s">
        <v>448</v>
      </c>
      <c r="F1460" s="1" t="s">
        <v>3970</v>
      </c>
      <c r="G1460" s="3"/>
      <c r="H1460" s="11">
        <f>ROUND(
IF(L1458="GANCHO",
   IF(I1460&lt;=50,I1460*1.1+4,IF(I1460&lt;=120,I1460*1.1+7,IF(I1460&lt;=250,I1460*1.1+11,I1460*1.1+19))),
IF(L1458="NORMAL",
   IF(I1460&lt;=30,I1460*1.15+2,IF(I1460&lt;=80,I1460*1.15+4,IF(I1460&lt;=150,I1460*1.15+6,I1460*1.15+8))),
IF(L1458="COMPLEMENTO",
   IF(I1460&lt;=25,I1460*1.25+1.5,IF(I1460&lt;=60,I1460*1.25+3,IF(I1460&lt;=120,I1460*1.25+4,I1460*1.25+5))),
""))),2)</f>
        <v>239.4</v>
      </c>
      <c r="I1460" s="9">
        <f>($K$2+0.02)*Tabla1[[#This Row],[PRECIO $]]*1.18</f>
        <v>201.21360000000001</v>
      </c>
      <c r="J1460" s="7">
        <f>+Tabla1[[#This Row],[PRECIO EN SOLES]]-Tabla1[[#This Row],[PC]]</f>
        <v>38.186399999999992</v>
      </c>
      <c r="K1460" s="15"/>
      <c r="L1460" s="15" t="str">
        <f>IF(
OR(
ISNUMBER(SEARCH("BACKPACK",B1462)),
ISNUMBER(SEARCH("MOCHILA",B1462)),
ISNUMBER(SEARCH("FUNDA",B1462)),
ISNUMBER(SEARCH("ESTUCHE",B1462)),
ISNUMBER(SEARCH("BOOK COVER",B1462)),
ISNUMBER(SEARCH("KEYBOARD PARA TABLET",B1462)),
ISNUMBER(SEARCH("FLIP TABLET",B1462)),
ISNUMBER(SEARCH("CASE FOR TABLET",B1462)),
ISNUMBER(SEARCH("CABLE",B1462)),
ISNUMBER(SEARCH("ADAPTADOR",B1462)),
ISNUMBER(SEARCH("HUB",B1462)),
ISNUMBER(SEARCH("DOCK",B1462)),
ISNUMBER(SEARCH("MOUSE PAD",B1462)),
ISNUMBER(SEARCH("MOUSEPAD",B1462)),
ISNUMBER(SEARCH("SOPORTE",B1462)),
ISNUMBER(SEARCH("STAND",B1462)),
ISNUMBER(SEARCH("TRAVEL ADAPTER",B1462)),
ISNUMBER(SEARCH("RJ45",B1462)),
ISNUMBER(SEARCH("USB-C",B1462)),
ISNUMBER(SEARCH("USB WIFI",B1462)),
ISNUMBER(SEARCH("POWERBANK",B1462)),
ISNUMBER(SEARCH("CARGADOR",B1462)),
ISNUMBER(SEARCH("COOLER PARA NB",B1462)),
ISNUMBER(SEARCH("SOPORTE PARA NB",B1462)),
ISNUMBER(SEARCH("WEBCAM",B1462)),
ISNUMBER(SEARCH("WEB CAM",B1462)),
ISNUMBER(SEARCH("MOUSE",B1462)),
ISNUMBER(SEARCH("TECLADO",B1462))
),
"COMPLEMENTO",
IF(
OR(
LEFT(A1462,2)="NB",
LEFT(A1462,2)="PC",
LEFT(A1462,2)="WS",
LEFT(A1462,2)="TB",
LEFT(A1462,3)="CEL",
LEFT(A1462,3)="MON",
LEFT(A1462,3)="PRE",
LEFT(A1462,3)="PRH",
ISNUMBER(SEARCH("NOTEBOOK",B1462)),
ISNUMBER(SEARCH("LAPTOP",B1462)),
ISNUMBER(SEARCH("MONITOR",B1462)),
ISNUMBER(SEARCH("TABLET",B1462)),
ISNUMBER(SEARCH("SMARTPH",B1462)),
ISNUMBER(SEARCH("IMPRESORA",B1462)),
ISNUMBER(SEARCH("MULTIFUNCIONAL",B1462)),
ISNUMBER(SEARCH("AIO",B1462))
),
"GANCHO",
"NORMAL"
)
)</f>
        <v>NORMAL</v>
      </c>
    </row>
    <row r="1461" spans="1:12" x14ac:dyDescent="0.25">
      <c r="A1461" s="3" t="s">
        <v>2421</v>
      </c>
      <c r="B1461" s="3" t="s">
        <v>2422</v>
      </c>
      <c r="C1461" s="1">
        <v>20</v>
      </c>
      <c r="D1461" s="1">
        <v>25.65</v>
      </c>
      <c r="E1461" s="1" t="s">
        <v>448</v>
      </c>
      <c r="F1461" s="1" t="s">
        <v>3971</v>
      </c>
      <c r="G1461" s="3"/>
      <c r="H1461" s="11">
        <f>ROUND(
IF(L1459="GANCHO",
   IF(I1461&lt;=50,I1461*1.1+4,IF(I1461&lt;=120,I1461*1.1+7,IF(I1461&lt;=250,I1461*1.1+11,I1461*1.1+19))),
IF(L1459="NORMAL",
   IF(I1461&lt;=30,I1461*1.15+2,IF(I1461&lt;=80,I1461*1.15+4,IF(I1461&lt;=150,I1461*1.15+6,I1461*1.15+8))),
IF(L1459="COMPLEMENTO",
   IF(I1461&lt;=25,I1461*1.25+1.5,IF(I1461&lt;=60,I1461*1.25+3,IF(I1461&lt;=120,I1461*1.25+4,I1461*1.25+5))),
""))),2)</f>
        <v>127.13</v>
      </c>
      <c r="I1461" s="9">
        <f>($K$2+0.02)*Tabla1[[#This Row],[PRECIO $]]*1.18</f>
        <v>105.32916</v>
      </c>
      <c r="J1461" s="7">
        <f>+Tabla1[[#This Row],[PRECIO EN SOLES]]-Tabla1[[#This Row],[PC]]</f>
        <v>21.800839999999994</v>
      </c>
      <c r="K1461" s="15"/>
      <c r="L1461" s="15" t="str">
        <f>IF(
OR(
ISNUMBER(SEARCH("BACKPACK",B1463)),
ISNUMBER(SEARCH("MOCHILA",B1463)),
ISNUMBER(SEARCH("FUNDA",B1463)),
ISNUMBER(SEARCH("ESTUCHE",B1463)),
ISNUMBER(SEARCH("BOOK COVER",B1463)),
ISNUMBER(SEARCH("KEYBOARD PARA TABLET",B1463)),
ISNUMBER(SEARCH("FLIP TABLET",B1463)),
ISNUMBER(SEARCH("CASE FOR TABLET",B1463)),
ISNUMBER(SEARCH("CABLE",B1463)),
ISNUMBER(SEARCH("ADAPTADOR",B1463)),
ISNUMBER(SEARCH("HUB",B1463)),
ISNUMBER(SEARCH("DOCK",B1463)),
ISNUMBER(SEARCH("MOUSE PAD",B1463)),
ISNUMBER(SEARCH("MOUSEPAD",B1463)),
ISNUMBER(SEARCH("SOPORTE",B1463)),
ISNUMBER(SEARCH("STAND",B1463)),
ISNUMBER(SEARCH("TRAVEL ADAPTER",B1463)),
ISNUMBER(SEARCH("RJ45",B1463)),
ISNUMBER(SEARCH("USB-C",B1463)),
ISNUMBER(SEARCH("USB WIFI",B1463)),
ISNUMBER(SEARCH("POWERBANK",B1463)),
ISNUMBER(SEARCH("CARGADOR",B1463)),
ISNUMBER(SEARCH("COOLER PARA NB",B1463)),
ISNUMBER(SEARCH("SOPORTE PARA NB",B1463)),
ISNUMBER(SEARCH("WEBCAM",B1463)),
ISNUMBER(SEARCH("WEB CAM",B1463)),
ISNUMBER(SEARCH("MOUSE",B1463)),
ISNUMBER(SEARCH("TECLADO",B1463))
),
"COMPLEMENTO",
IF(
OR(
LEFT(A1463,2)="NB",
LEFT(A1463,2)="PC",
LEFT(A1463,2)="WS",
LEFT(A1463,2)="TB",
LEFT(A1463,3)="CEL",
LEFT(A1463,3)="MON",
LEFT(A1463,3)="PRE",
LEFT(A1463,3)="PRH",
ISNUMBER(SEARCH("NOTEBOOK",B1463)),
ISNUMBER(SEARCH("LAPTOP",B1463)),
ISNUMBER(SEARCH("MONITOR",B1463)),
ISNUMBER(SEARCH("TABLET",B1463)),
ISNUMBER(SEARCH("SMARTPH",B1463)),
ISNUMBER(SEARCH("IMPRESORA",B1463)),
ISNUMBER(SEARCH("MULTIFUNCIONAL",B1463)),
ISNUMBER(SEARCH("AIO",B1463))
),
"GANCHO",
"NORMAL"
)
)</f>
        <v>NORMAL</v>
      </c>
    </row>
    <row r="1462" spans="1:12" x14ac:dyDescent="0.25">
      <c r="A1462" s="3" t="s">
        <v>2423</v>
      </c>
      <c r="B1462" s="3" t="s">
        <v>2424</v>
      </c>
      <c r="C1462" s="1">
        <v>20</v>
      </c>
      <c r="D1462" s="1">
        <v>20.55</v>
      </c>
      <c r="E1462" s="1" t="s">
        <v>448</v>
      </c>
      <c r="F1462" s="1" t="s">
        <v>3972</v>
      </c>
      <c r="G1462" s="3"/>
      <c r="H1462" s="11">
        <f>ROUND(
IF(L1460="GANCHO",
   IF(I1462&lt;=50,I1462*1.1+4,IF(I1462&lt;=120,I1462*1.1+7,IF(I1462&lt;=250,I1462*1.1+11,I1462*1.1+19))),
IF(L1460="NORMAL",
   IF(I1462&lt;=30,I1462*1.15+2,IF(I1462&lt;=80,I1462*1.15+4,IF(I1462&lt;=150,I1462*1.15+6,I1462*1.15+8))),
IF(L1460="COMPLEMENTO",
   IF(I1462&lt;=25,I1462*1.25+1.5,IF(I1462&lt;=60,I1462*1.25+3,IF(I1462&lt;=120,I1462*1.25+4,I1462*1.25+5))),
""))),2)</f>
        <v>103.04</v>
      </c>
      <c r="I1462" s="9">
        <f>($K$2+0.02)*Tabla1[[#This Row],[PRECIO $]]*1.18</f>
        <v>84.38651999999999</v>
      </c>
      <c r="J1462" s="7">
        <f>+Tabla1[[#This Row],[PRECIO EN SOLES]]-Tabla1[[#This Row],[PC]]</f>
        <v>18.653480000000016</v>
      </c>
      <c r="K1462" s="15"/>
      <c r="L1462" s="15" t="str">
        <f>IF(
OR(
ISNUMBER(SEARCH("BACKPACK",B1464)),
ISNUMBER(SEARCH("MOCHILA",B1464)),
ISNUMBER(SEARCH("FUNDA",B1464)),
ISNUMBER(SEARCH("ESTUCHE",B1464)),
ISNUMBER(SEARCH("BOOK COVER",B1464)),
ISNUMBER(SEARCH("KEYBOARD PARA TABLET",B1464)),
ISNUMBER(SEARCH("FLIP TABLET",B1464)),
ISNUMBER(SEARCH("CASE FOR TABLET",B1464)),
ISNUMBER(SEARCH("CABLE",B1464)),
ISNUMBER(SEARCH("ADAPTADOR",B1464)),
ISNUMBER(SEARCH("HUB",B1464)),
ISNUMBER(SEARCH("DOCK",B1464)),
ISNUMBER(SEARCH("MOUSE PAD",B1464)),
ISNUMBER(SEARCH("MOUSEPAD",B1464)),
ISNUMBER(SEARCH("SOPORTE",B1464)),
ISNUMBER(SEARCH("STAND",B1464)),
ISNUMBER(SEARCH("TRAVEL ADAPTER",B1464)),
ISNUMBER(SEARCH("RJ45",B1464)),
ISNUMBER(SEARCH("USB-C",B1464)),
ISNUMBER(SEARCH("USB WIFI",B1464)),
ISNUMBER(SEARCH("POWERBANK",B1464)),
ISNUMBER(SEARCH("CARGADOR",B1464)),
ISNUMBER(SEARCH("COOLER PARA NB",B1464)),
ISNUMBER(SEARCH("SOPORTE PARA NB",B1464)),
ISNUMBER(SEARCH("WEBCAM",B1464)),
ISNUMBER(SEARCH("WEB CAM",B1464)),
ISNUMBER(SEARCH("MOUSE",B1464)),
ISNUMBER(SEARCH("TECLADO",B1464))
),
"COMPLEMENTO",
IF(
OR(
LEFT(A1464,2)="NB",
LEFT(A1464,2)="PC",
LEFT(A1464,2)="WS",
LEFT(A1464,2)="TB",
LEFT(A1464,3)="CEL",
LEFT(A1464,3)="MON",
LEFT(A1464,3)="PRE",
LEFT(A1464,3)="PRH",
ISNUMBER(SEARCH("NOTEBOOK",B1464)),
ISNUMBER(SEARCH("LAPTOP",B1464)),
ISNUMBER(SEARCH("MONITOR",B1464)),
ISNUMBER(SEARCH("TABLET",B1464)),
ISNUMBER(SEARCH("SMARTPH",B1464)),
ISNUMBER(SEARCH("IMPRESORA",B1464)),
ISNUMBER(SEARCH("MULTIFUNCIONAL",B1464)),
ISNUMBER(SEARCH("AIO",B1464))
),
"GANCHO",
"NORMAL"
)
)</f>
        <v>NORMAL</v>
      </c>
    </row>
    <row r="1463" spans="1:12" x14ac:dyDescent="0.25">
      <c r="A1463" s="3" t="s">
        <v>2425</v>
      </c>
      <c r="B1463" s="3" t="s">
        <v>2426</v>
      </c>
      <c r="C1463" s="1">
        <v>20</v>
      </c>
      <c r="D1463" s="1">
        <v>20.3</v>
      </c>
      <c r="E1463" s="1" t="s">
        <v>448</v>
      </c>
      <c r="F1463" s="1" t="s">
        <v>3973</v>
      </c>
      <c r="G1463" s="3"/>
      <c r="H1463" s="11">
        <f>ROUND(
IF(L1461="GANCHO",
   IF(I1463&lt;=50,I1463*1.1+4,IF(I1463&lt;=120,I1463*1.1+7,IF(I1463&lt;=250,I1463*1.1+11,I1463*1.1+19))),
IF(L1461="NORMAL",
   IF(I1463&lt;=30,I1463*1.15+2,IF(I1463&lt;=80,I1463*1.15+4,IF(I1463&lt;=150,I1463*1.15+6,I1463*1.15+8))),
IF(L1461="COMPLEMENTO",
   IF(I1463&lt;=25,I1463*1.25+1.5,IF(I1463&lt;=60,I1463*1.25+3,IF(I1463&lt;=120,I1463*1.25+4,I1463*1.25+5))),
""))),2)</f>
        <v>101.86</v>
      </c>
      <c r="I1463" s="9">
        <f>($K$2+0.02)*Tabla1[[#This Row],[PRECIO $]]*1.18</f>
        <v>83.359920000000002</v>
      </c>
      <c r="J1463" s="7">
        <f>+Tabla1[[#This Row],[PRECIO EN SOLES]]-Tabla1[[#This Row],[PC]]</f>
        <v>18.500079999999997</v>
      </c>
      <c r="K1463" s="15"/>
      <c r="L1463" s="15" t="str">
        <f>IF(
OR(
ISNUMBER(SEARCH("BACKPACK",B1465)),
ISNUMBER(SEARCH("MOCHILA",B1465)),
ISNUMBER(SEARCH("FUNDA",B1465)),
ISNUMBER(SEARCH("ESTUCHE",B1465)),
ISNUMBER(SEARCH("BOOK COVER",B1465)),
ISNUMBER(SEARCH("KEYBOARD PARA TABLET",B1465)),
ISNUMBER(SEARCH("FLIP TABLET",B1465)),
ISNUMBER(SEARCH("CASE FOR TABLET",B1465)),
ISNUMBER(SEARCH("CABLE",B1465)),
ISNUMBER(SEARCH("ADAPTADOR",B1465)),
ISNUMBER(SEARCH("HUB",B1465)),
ISNUMBER(SEARCH("DOCK",B1465)),
ISNUMBER(SEARCH("MOUSE PAD",B1465)),
ISNUMBER(SEARCH("MOUSEPAD",B1465)),
ISNUMBER(SEARCH("SOPORTE",B1465)),
ISNUMBER(SEARCH("STAND",B1465)),
ISNUMBER(SEARCH("TRAVEL ADAPTER",B1465)),
ISNUMBER(SEARCH("RJ45",B1465)),
ISNUMBER(SEARCH("USB-C",B1465)),
ISNUMBER(SEARCH("USB WIFI",B1465)),
ISNUMBER(SEARCH("POWERBANK",B1465)),
ISNUMBER(SEARCH("CARGADOR",B1465)),
ISNUMBER(SEARCH("COOLER PARA NB",B1465)),
ISNUMBER(SEARCH("SOPORTE PARA NB",B1465)),
ISNUMBER(SEARCH("WEBCAM",B1465)),
ISNUMBER(SEARCH("WEB CAM",B1465)),
ISNUMBER(SEARCH("MOUSE",B1465)),
ISNUMBER(SEARCH("TECLADO",B1465))
),
"COMPLEMENTO",
IF(
OR(
LEFT(A1465,2)="NB",
LEFT(A1465,2)="PC",
LEFT(A1465,2)="WS",
LEFT(A1465,2)="TB",
LEFT(A1465,3)="CEL",
LEFT(A1465,3)="MON",
LEFT(A1465,3)="PRE",
LEFT(A1465,3)="PRH",
ISNUMBER(SEARCH("NOTEBOOK",B1465)),
ISNUMBER(SEARCH("LAPTOP",B1465)),
ISNUMBER(SEARCH("MONITOR",B1465)),
ISNUMBER(SEARCH("TABLET",B1465)),
ISNUMBER(SEARCH("SMARTPH",B1465)),
ISNUMBER(SEARCH("IMPRESORA",B1465)),
ISNUMBER(SEARCH("MULTIFUNCIONAL",B1465)),
ISNUMBER(SEARCH("AIO",B1465))
),
"GANCHO",
"NORMAL"
)
)</f>
        <v>NORMAL</v>
      </c>
    </row>
    <row r="1464" spans="1:12" x14ac:dyDescent="0.25">
      <c r="A1464" s="3" t="s">
        <v>6643</v>
      </c>
      <c r="B1464" s="3" t="s">
        <v>6644</v>
      </c>
      <c r="C1464" s="1">
        <v>0</v>
      </c>
      <c r="D1464" s="1">
        <v>9999999.9900000002</v>
      </c>
      <c r="E1464" s="1" t="s">
        <v>448</v>
      </c>
      <c r="F1464" s="1" t="s">
        <v>6645</v>
      </c>
      <c r="G1464" s="3"/>
      <c r="H1464" s="11">
        <f>ROUND(
IF(L1462="GANCHO",
   IF(I1464&lt;=50,I1464*1.1+4,IF(I1464&lt;=120,I1464*1.1+7,IF(I1464&lt;=250,I1464*1.1+11,I1464*1.1+19))),
IF(L1462="NORMAL",
   IF(I1464&lt;=30,I1464*1.15+2,IF(I1464&lt;=80,I1464*1.15+4,IF(I1464&lt;=150,I1464*1.15+6,I1464*1.15+8))),
IF(L1462="COMPLEMENTO",
   IF(I1464&lt;=25,I1464*1.25+1.5,IF(I1464&lt;=60,I1464*1.25+3,IF(I1464&lt;=120,I1464*1.25+4,I1464*1.25+5))),
""))),2)</f>
        <v>47223607.950000003</v>
      </c>
      <c r="I1464" s="9">
        <f>($K$2+0.02)*Tabla1[[#This Row],[PRECIO $]]*1.18</f>
        <v>41063999.958935998</v>
      </c>
      <c r="J1464" s="7">
        <f>+Tabla1[[#This Row],[PRECIO EN SOLES]]-Tabla1[[#This Row],[PC]]</f>
        <v>6159607.9910640046</v>
      </c>
      <c r="K1464" s="15"/>
      <c r="L1464" s="15" t="str">
        <f>IF(
OR(
ISNUMBER(SEARCH("BACKPACK",B1466)),
ISNUMBER(SEARCH("MOCHILA",B1466)),
ISNUMBER(SEARCH("FUNDA",B1466)),
ISNUMBER(SEARCH("ESTUCHE",B1466)),
ISNUMBER(SEARCH("BOOK COVER",B1466)),
ISNUMBER(SEARCH("KEYBOARD PARA TABLET",B1466)),
ISNUMBER(SEARCH("FLIP TABLET",B1466)),
ISNUMBER(SEARCH("CASE FOR TABLET",B1466)),
ISNUMBER(SEARCH("CABLE",B1466)),
ISNUMBER(SEARCH("ADAPTADOR",B1466)),
ISNUMBER(SEARCH("HUB",B1466)),
ISNUMBER(SEARCH("DOCK",B1466)),
ISNUMBER(SEARCH("MOUSE PAD",B1466)),
ISNUMBER(SEARCH("MOUSEPAD",B1466)),
ISNUMBER(SEARCH("SOPORTE",B1466)),
ISNUMBER(SEARCH("STAND",B1466)),
ISNUMBER(SEARCH("TRAVEL ADAPTER",B1466)),
ISNUMBER(SEARCH("RJ45",B1466)),
ISNUMBER(SEARCH("USB-C",B1466)),
ISNUMBER(SEARCH("USB WIFI",B1466)),
ISNUMBER(SEARCH("POWERBANK",B1466)),
ISNUMBER(SEARCH("CARGADOR",B1466)),
ISNUMBER(SEARCH("COOLER PARA NB",B1466)),
ISNUMBER(SEARCH("SOPORTE PARA NB",B1466)),
ISNUMBER(SEARCH("WEBCAM",B1466)),
ISNUMBER(SEARCH("WEB CAM",B1466)),
ISNUMBER(SEARCH("MOUSE",B1466)),
ISNUMBER(SEARCH("TECLADO",B1466))
),
"COMPLEMENTO",
IF(
OR(
LEFT(A1466,2)="NB",
LEFT(A1466,2)="PC",
LEFT(A1466,2)="WS",
LEFT(A1466,2)="TB",
LEFT(A1466,3)="CEL",
LEFT(A1466,3)="MON",
LEFT(A1466,3)="PRE",
LEFT(A1466,3)="PRH",
ISNUMBER(SEARCH("NOTEBOOK",B1466)),
ISNUMBER(SEARCH("LAPTOP",B1466)),
ISNUMBER(SEARCH("MONITOR",B1466)),
ISNUMBER(SEARCH("TABLET",B1466)),
ISNUMBER(SEARCH("SMARTPH",B1466)),
ISNUMBER(SEARCH("IMPRESORA",B1466)),
ISNUMBER(SEARCH("MULTIFUNCIONAL",B1466)),
ISNUMBER(SEARCH("AIO",B1466))
),
"GANCHO",
"NORMAL"
)
)</f>
        <v>NORMAL</v>
      </c>
    </row>
    <row r="1465" spans="1:12" x14ac:dyDescent="0.25">
      <c r="A1465" s="3" t="s">
        <v>4816</v>
      </c>
      <c r="B1465" s="3" t="s">
        <v>4817</v>
      </c>
      <c r="C1465" s="1">
        <v>20</v>
      </c>
      <c r="D1465" s="1">
        <v>65.3</v>
      </c>
      <c r="E1465" s="1" t="s">
        <v>448</v>
      </c>
      <c r="F1465" s="1" t="s">
        <v>4818</v>
      </c>
      <c r="G1465" s="3"/>
      <c r="H1465" s="11">
        <f>ROUND(
IF(L1463="GANCHO",
   IF(I1465&lt;=50,I1465*1.1+4,IF(I1465&lt;=120,I1465*1.1+7,IF(I1465&lt;=250,I1465*1.1+11,I1465*1.1+19))),
IF(L1463="NORMAL",
   IF(I1465&lt;=30,I1465*1.15+2,IF(I1465&lt;=80,I1465*1.15+4,IF(I1465&lt;=150,I1465*1.15+6,I1465*1.15+8))),
IF(L1463="COMPLEMENTO",
   IF(I1465&lt;=25,I1465*1.25+1.5,IF(I1465&lt;=60,I1465*1.25+3,IF(I1465&lt;=120,I1465*1.25+4,I1465*1.25+5))),
""))),2)</f>
        <v>316.37</v>
      </c>
      <c r="I1465" s="9">
        <f>($K$2+0.02)*Tabla1[[#This Row],[PRECIO $]]*1.18</f>
        <v>268.14792</v>
      </c>
      <c r="J1465" s="7">
        <f>+Tabla1[[#This Row],[PRECIO EN SOLES]]-Tabla1[[#This Row],[PC]]</f>
        <v>48.222080000000005</v>
      </c>
      <c r="K1465" s="15"/>
      <c r="L1465" s="15" t="str">
        <f>IF(
OR(
ISNUMBER(SEARCH("BACKPACK",B1467)),
ISNUMBER(SEARCH("MOCHILA",B1467)),
ISNUMBER(SEARCH("FUNDA",B1467)),
ISNUMBER(SEARCH("ESTUCHE",B1467)),
ISNUMBER(SEARCH("BOOK COVER",B1467)),
ISNUMBER(SEARCH("KEYBOARD PARA TABLET",B1467)),
ISNUMBER(SEARCH("FLIP TABLET",B1467)),
ISNUMBER(SEARCH("CASE FOR TABLET",B1467)),
ISNUMBER(SEARCH("CABLE",B1467)),
ISNUMBER(SEARCH("ADAPTADOR",B1467)),
ISNUMBER(SEARCH("HUB",B1467)),
ISNUMBER(SEARCH("DOCK",B1467)),
ISNUMBER(SEARCH("MOUSE PAD",B1467)),
ISNUMBER(SEARCH("MOUSEPAD",B1467)),
ISNUMBER(SEARCH("SOPORTE",B1467)),
ISNUMBER(SEARCH("STAND",B1467)),
ISNUMBER(SEARCH("TRAVEL ADAPTER",B1467)),
ISNUMBER(SEARCH("RJ45",B1467)),
ISNUMBER(SEARCH("USB-C",B1467)),
ISNUMBER(SEARCH("USB WIFI",B1467)),
ISNUMBER(SEARCH("POWERBANK",B1467)),
ISNUMBER(SEARCH("CARGADOR",B1467)),
ISNUMBER(SEARCH("COOLER PARA NB",B1467)),
ISNUMBER(SEARCH("SOPORTE PARA NB",B1467)),
ISNUMBER(SEARCH("WEBCAM",B1467)),
ISNUMBER(SEARCH("WEB CAM",B1467)),
ISNUMBER(SEARCH("MOUSE",B1467)),
ISNUMBER(SEARCH("TECLADO",B1467))
),
"COMPLEMENTO",
IF(
OR(
LEFT(A1467,2)="NB",
LEFT(A1467,2)="PC",
LEFT(A1467,2)="WS",
LEFT(A1467,2)="TB",
LEFT(A1467,3)="CEL",
LEFT(A1467,3)="MON",
LEFT(A1467,3)="PRE",
LEFT(A1467,3)="PRH",
ISNUMBER(SEARCH("NOTEBOOK",B1467)),
ISNUMBER(SEARCH("LAPTOP",B1467)),
ISNUMBER(SEARCH("MONITOR",B1467)),
ISNUMBER(SEARCH("TABLET",B1467)),
ISNUMBER(SEARCH("SMARTPH",B1467)),
ISNUMBER(SEARCH("IMPRESORA",B1467)),
ISNUMBER(SEARCH("MULTIFUNCIONAL",B1467)),
ISNUMBER(SEARCH("AIO",B1467))
),
"GANCHO",
"NORMAL"
)
)</f>
        <v>NORMAL</v>
      </c>
    </row>
    <row r="1466" spans="1:12" x14ac:dyDescent="0.25">
      <c r="A1466" s="3" t="s">
        <v>6646</v>
      </c>
      <c r="B1466" s="3" t="s">
        <v>6921</v>
      </c>
      <c r="C1466" s="1">
        <v>20</v>
      </c>
      <c r="D1466" s="1">
        <v>29.5</v>
      </c>
      <c r="E1466" s="1" t="s">
        <v>448</v>
      </c>
      <c r="F1466" s="1" t="s">
        <v>6647</v>
      </c>
      <c r="G1466" s="3"/>
      <c r="H1466" s="11">
        <f>ROUND(
IF(L1464="GANCHO",
   IF(I1466&lt;=50,I1466*1.1+4,IF(I1466&lt;=120,I1466*1.1+7,IF(I1466&lt;=250,I1466*1.1+11,I1466*1.1+19))),
IF(L1464="NORMAL",
   IF(I1466&lt;=30,I1466*1.15+2,IF(I1466&lt;=80,I1466*1.15+4,IF(I1466&lt;=150,I1466*1.15+6,I1466*1.15+8))),
IF(L1464="COMPLEMENTO",
   IF(I1466&lt;=25,I1466*1.25+1.5,IF(I1466&lt;=60,I1466*1.25+3,IF(I1466&lt;=120,I1466*1.25+4,I1466*1.25+5))),
""))),2)</f>
        <v>145.31</v>
      </c>
      <c r="I1466" s="9">
        <f>($K$2+0.02)*Tabla1[[#This Row],[PRECIO $]]*1.18</f>
        <v>121.13879999999999</v>
      </c>
      <c r="J1466" s="7">
        <f>+Tabla1[[#This Row],[PRECIO EN SOLES]]-Tabla1[[#This Row],[PC]]</f>
        <v>24.171200000000013</v>
      </c>
      <c r="K1466" s="15"/>
      <c r="L1466" s="15" t="str">
        <f>IF(
OR(
ISNUMBER(SEARCH("BACKPACK",B1468)),
ISNUMBER(SEARCH("MOCHILA",B1468)),
ISNUMBER(SEARCH("FUNDA",B1468)),
ISNUMBER(SEARCH("ESTUCHE",B1468)),
ISNUMBER(SEARCH("BOOK COVER",B1468)),
ISNUMBER(SEARCH("KEYBOARD PARA TABLET",B1468)),
ISNUMBER(SEARCH("FLIP TABLET",B1468)),
ISNUMBER(SEARCH("CASE FOR TABLET",B1468)),
ISNUMBER(SEARCH("CABLE",B1468)),
ISNUMBER(SEARCH("ADAPTADOR",B1468)),
ISNUMBER(SEARCH("HUB",B1468)),
ISNUMBER(SEARCH("DOCK",B1468)),
ISNUMBER(SEARCH("MOUSE PAD",B1468)),
ISNUMBER(SEARCH("MOUSEPAD",B1468)),
ISNUMBER(SEARCH("SOPORTE",B1468)),
ISNUMBER(SEARCH("STAND",B1468)),
ISNUMBER(SEARCH("TRAVEL ADAPTER",B1468)),
ISNUMBER(SEARCH("RJ45",B1468)),
ISNUMBER(SEARCH("USB-C",B1468)),
ISNUMBER(SEARCH("USB WIFI",B1468)),
ISNUMBER(SEARCH("POWERBANK",B1468)),
ISNUMBER(SEARCH("CARGADOR",B1468)),
ISNUMBER(SEARCH("COOLER PARA NB",B1468)),
ISNUMBER(SEARCH("SOPORTE PARA NB",B1468)),
ISNUMBER(SEARCH("WEBCAM",B1468)),
ISNUMBER(SEARCH("WEB CAM",B1468)),
ISNUMBER(SEARCH("MOUSE",B1468)),
ISNUMBER(SEARCH("TECLADO",B1468))
),
"COMPLEMENTO",
IF(
OR(
LEFT(A1468,2)="NB",
LEFT(A1468,2)="PC",
LEFT(A1468,2)="WS",
LEFT(A1468,2)="TB",
LEFT(A1468,3)="CEL",
LEFT(A1468,3)="MON",
LEFT(A1468,3)="PRE",
LEFT(A1468,3)="PRH",
ISNUMBER(SEARCH("NOTEBOOK",B1468)),
ISNUMBER(SEARCH("LAPTOP",B1468)),
ISNUMBER(SEARCH("MONITOR",B1468)),
ISNUMBER(SEARCH("TABLET",B1468)),
ISNUMBER(SEARCH("SMARTPH",B1468)),
ISNUMBER(SEARCH("IMPRESORA",B1468)),
ISNUMBER(SEARCH("MULTIFUNCIONAL",B1468)),
ISNUMBER(SEARCH("AIO",B1468))
),
"GANCHO",
"NORMAL"
)
)</f>
        <v>NORMAL</v>
      </c>
    </row>
    <row r="1467" spans="1:12" x14ac:dyDescent="0.25">
      <c r="A1467" s="3" t="s">
        <v>6648</v>
      </c>
      <c r="B1467" s="3" t="s">
        <v>6922</v>
      </c>
      <c r="C1467" s="1">
        <v>20</v>
      </c>
      <c r="D1467" s="1">
        <v>24.13</v>
      </c>
      <c r="E1467" s="1" t="s">
        <v>448</v>
      </c>
      <c r="F1467" s="1" t="s">
        <v>6649</v>
      </c>
      <c r="G1467" s="3"/>
      <c r="H1467" s="11">
        <f>ROUND(
IF(L1465="GANCHO",
   IF(I1467&lt;=50,I1467*1.1+4,IF(I1467&lt;=120,I1467*1.1+7,IF(I1467&lt;=250,I1467*1.1+11,I1467*1.1+19))),
IF(L1465="NORMAL",
   IF(I1467&lt;=30,I1467*1.15+2,IF(I1467&lt;=80,I1467*1.15+4,IF(I1467&lt;=150,I1467*1.15+6,I1467*1.15+8))),
IF(L1465="COMPLEMENTO",
   IF(I1467&lt;=25,I1467*1.25+1.5,IF(I1467&lt;=60,I1467*1.25+3,IF(I1467&lt;=120,I1467*1.25+4,I1467*1.25+5))),
""))),2)</f>
        <v>119.95</v>
      </c>
      <c r="I1467" s="9">
        <f>($K$2+0.02)*Tabla1[[#This Row],[PRECIO $]]*1.18</f>
        <v>99.087431999999993</v>
      </c>
      <c r="J1467" s="7">
        <f>+Tabla1[[#This Row],[PRECIO EN SOLES]]-Tabla1[[#This Row],[PC]]</f>
        <v>20.86256800000001</v>
      </c>
      <c r="K1467" s="15"/>
      <c r="L1467" s="15" t="str">
        <f>IF(
OR(
ISNUMBER(SEARCH("BACKPACK",B1469)),
ISNUMBER(SEARCH("MOCHILA",B1469)),
ISNUMBER(SEARCH("FUNDA",B1469)),
ISNUMBER(SEARCH("ESTUCHE",B1469)),
ISNUMBER(SEARCH("BOOK COVER",B1469)),
ISNUMBER(SEARCH("KEYBOARD PARA TABLET",B1469)),
ISNUMBER(SEARCH("FLIP TABLET",B1469)),
ISNUMBER(SEARCH("CASE FOR TABLET",B1469)),
ISNUMBER(SEARCH("CABLE",B1469)),
ISNUMBER(SEARCH("ADAPTADOR",B1469)),
ISNUMBER(SEARCH("HUB",B1469)),
ISNUMBER(SEARCH("DOCK",B1469)),
ISNUMBER(SEARCH("MOUSE PAD",B1469)),
ISNUMBER(SEARCH("MOUSEPAD",B1469)),
ISNUMBER(SEARCH("SOPORTE",B1469)),
ISNUMBER(SEARCH("STAND",B1469)),
ISNUMBER(SEARCH("TRAVEL ADAPTER",B1469)),
ISNUMBER(SEARCH("RJ45",B1469)),
ISNUMBER(SEARCH("USB-C",B1469)),
ISNUMBER(SEARCH("USB WIFI",B1469)),
ISNUMBER(SEARCH("POWERBANK",B1469)),
ISNUMBER(SEARCH("CARGADOR",B1469)),
ISNUMBER(SEARCH("COOLER PARA NB",B1469)),
ISNUMBER(SEARCH("SOPORTE PARA NB",B1469)),
ISNUMBER(SEARCH("WEBCAM",B1469)),
ISNUMBER(SEARCH("WEB CAM",B1469)),
ISNUMBER(SEARCH("MOUSE",B1469)),
ISNUMBER(SEARCH("TECLADO",B1469))
),
"COMPLEMENTO",
IF(
OR(
LEFT(A1469,2)="NB",
LEFT(A1469,2)="PC",
LEFT(A1469,2)="WS",
LEFT(A1469,2)="TB",
LEFT(A1469,3)="CEL",
LEFT(A1469,3)="MON",
LEFT(A1469,3)="PRE",
LEFT(A1469,3)="PRH",
ISNUMBER(SEARCH("NOTEBOOK",B1469)),
ISNUMBER(SEARCH("LAPTOP",B1469)),
ISNUMBER(SEARCH("MONITOR",B1469)),
ISNUMBER(SEARCH("TABLET",B1469)),
ISNUMBER(SEARCH("SMARTPH",B1469)),
ISNUMBER(SEARCH("IMPRESORA",B1469)),
ISNUMBER(SEARCH("MULTIFUNCIONAL",B1469)),
ISNUMBER(SEARCH("AIO",B1469))
),
"GANCHO",
"NORMAL"
)
)</f>
        <v>NORMAL</v>
      </c>
    </row>
    <row r="1468" spans="1:12" x14ac:dyDescent="0.25">
      <c r="A1468" s="3" t="s">
        <v>6650</v>
      </c>
      <c r="B1468" s="3" t="s">
        <v>6651</v>
      </c>
      <c r="C1468" s="1">
        <v>0</v>
      </c>
      <c r="D1468" s="1">
        <v>9999999.9900000002</v>
      </c>
      <c r="E1468" s="1" t="s">
        <v>448</v>
      </c>
      <c r="F1468" s="1" t="s">
        <v>6652</v>
      </c>
      <c r="G1468" s="3"/>
      <c r="H1468" s="11">
        <f>ROUND(
IF(L1466="GANCHO",
   IF(I1468&lt;=50,I1468*1.1+4,IF(I1468&lt;=120,I1468*1.1+7,IF(I1468&lt;=250,I1468*1.1+11,I1468*1.1+19))),
IF(L1466="NORMAL",
   IF(I1468&lt;=30,I1468*1.15+2,IF(I1468&lt;=80,I1468*1.15+4,IF(I1468&lt;=150,I1468*1.15+6,I1468*1.15+8))),
IF(L1466="COMPLEMENTO",
   IF(I1468&lt;=25,I1468*1.25+1.5,IF(I1468&lt;=60,I1468*1.25+3,IF(I1468&lt;=120,I1468*1.25+4,I1468*1.25+5))),
""))),2)</f>
        <v>47223607.950000003</v>
      </c>
      <c r="I1468" s="9">
        <f>($K$2+0.02)*Tabla1[[#This Row],[PRECIO $]]*1.18</f>
        <v>41063999.958935998</v>
      </c>
      <c r="J1468" s="7">
        <f>+Tabla1[[#This Row],[PRECIO EN SOLES]]-Tabla1[[#This Row],[PC]]</f>
        <v>6159607.9910640046</v>
      </c>
      <c r="K1468" s="15"/>
      <c r="L1468" s="15" t="str">
        <f>IF(
OR(
ISNUMBER(SEARCH("BACKPACK",B1470)),
ISNUMBER(SEARCH("MOCHILA",B1470)),
ISNUMBER(SEARCH("FUNDA",B1470)),
ISNUMBER(SEARCH("ESTUCHE",B1470)),
ISNUMBER(SEARCH("BOOK COVER",B1470)),
ISNUMBER(SEARCH("KEYBOARD PARA TABLET",B1470)),
ISNUMBER(SEARCH("FLIP TABLET",B1470)),
ISNUMBER(SEARCH("CASE FOR TABLET",B1470)),
ISNUMBER(SEARCH("CABLE",B1470)),
ISNUMBER(SEARCH("ADAPTADOR",B1470)),
ISNUMBER(SEARCH("HUB",B1470)),
ISNUMBER(SEARCH("DOCK",B1470)),
ISNUMBER(SEARCH("MOUSE PAD",B1470)),
ISNUMBER(SEARCH("MOUSEPAD",B1470)),
ISNUMBER(SEARCH("SOPORTE",B1470)),
ISNUMBER(SEARCH("STAND",B1470)),
ISNUMBER(SEARCH("TRAVEL ADAPTER",B1470)),
ISNUMBER(SEARCH("RJ45",B1470)),
ISNUMBER(SEARCH("USB-C",B1470)),
ISNUMBER(SEARCH("USB WIFI",B1470)),
ISNUMBER(SEARCH("POWERBANK",B1470)),
ISNUMBER(SEARCH("CARGADOR",B1470)),
ISNUMBER(SEARCH("COOLER PARA NB",B1470)),
ISNUMBER(SEARCH("SOPORTE PARA NB",B1470)),
ISNUMBER(SEARCH("WEBCAM",B1470)),
ISNUMBER(SEARCH("WEB CAM",B1470)),
ISNUMBER(SEARCH("MOUSE",B1470)),
ISNUMBER(SEARCH("TECLADO",B1470))
),
"COMPLEMENTO",
IF(
OR(
LEFT(A1470,2)="NB",
LEFT(A1470,2)="PC",
LEFT(A1470,2)="WS",
LEFT(A1470,2)="TB",
LEFT(A1470,3)="CEL",
LEFT(A1470,3)="MON",
LEFT(A1470,3)="PRE",
LEFT(A1470,3)="PRH",
ISNUMBER(SEARCH("NOTEBOOK",B1470)),
ISNUMBER(SEARCH("LAPTOP",B1470)),
ISNUMBER(SEARCH("MONITOR",B1470)),
ISNUMBER(SEARCH("TABLET",B1470)),
ISNUMBER(SEARCH("SMARTPH",B1470)),
ISNUMBER(SEARCH("IMPRESORA",B1470)),
ISNUMBER(SEARCH("MULTIFUNCIONAL",B1470)),
ISNUMBER(SEARCH("AIO",B1470))
),
"GANCHO",
"NORMAL"
)
)</f>
        <v>NORMAL</v>
      </c>
    </row>
    <row r="1469" spans="1:12" x14ac:dyDescent="0.25">
      <c r="A1469" s="3" t="s">
        <v>2427</v>
      </c>
      <c r="B1469" s="3" t="s">
        <v>451</v>
      </c>
      <c r="C1469" s="1">
        <v>0</v>
      </c>
      <c r="D1469" s="1">
        <v>999</v>
      </c>
      <c r="E1469" s="1" t="s">
        <v>187</v>
      </c>
      <c r="F1469" s="1" t="s">
        <v>3974</v>
      </c>
      <c r="G1469" s="3"/>
      <c r="H1469" s="11">
        <f>ROUND(
IF(L1467="GANCHO",
   IF(I1469&lt;=50,I1469*1.1+4,IF(I1469&lt;=120,I1469*1.1+7,IF(I1469&lt;=250,I1469*1.1+11,I1469*1.1+19))),
IF(L1467="NORMAL",
   IF(I1469&lt;=30,I1469*1.15+2,IF(I1469&lt;=80,I1469*1.15+4,IF(I1469&lt;=150,I1469*1.15+6,I1469*1.15+8))),
IF(L1467="COMPLEMENTO",
   IF(I1469&lt;=25,I1469*1.25+1.5,IF(I1469&lt;=60,I1469*1.25+3,IF(I1469&lt;=120,I1469*1.25+4,I1469*1.25+5))),
""))),2)</f>
        <v>4725.6400000000003</v>
      </c>
      <c r="I1469" s="9">
        <f>($K$2+0.02)*Tabla1[[#This Row],[PRECIO $]]*1.18</f>
        <v>4102.2936</v>
      </c>
      <c r="J1469" s="7">
        <f>+Tabla1[[#This Row],[PRECIO EN SOLES]]-Tabla1[[#This Row],[PC]]</f>
        <v>623.34640000000036</v>
      </c>
      <c r="K1469" s="15"/>
      <c r="L1469" s="15" t="str">
        <f>IF(
OR(
ISNUMBER(SEARCH("BACKPACK",B1471)),
ISNUMBER(SEARCH("MOCHILA",B1471)),
ISNUMBER(SEARCH("FUNDA",B1471)),
ISNUMBER(SEARCH("ESTUCHE",B1471)),
ISNUMBER(SEARCH("BOOK COVER",B1471)),
ISNUMBER(SEARCH("KEYBOARD PARA TABLET",B1471)),
ISNUMBER(SEARCH("FLIP TABLET",B1471)),
ISNUMBER(SEARCH("CASE FOR TABLET",B1471)),
ISNUMBER(SEARCH("CABLE",B1471)),
ISNUMBER(SEARCH("ADAPTADOR",B1471)),
ISNUMBER(SEARCH("HUB",B1471)),
ISNUMBER(SEARCH("DOCK",B1471)),
ISNUMBER(SEARCH("MOUSE PAD",B1471)),
ISNUMBER(SEARCH("MOUSEPAD",B1471)),
ISNUMBER(SEARCH("SOPORTE",B1471)),
ISNUMBER(SEARCH("STAND",B1471)),
ISNUMBER(SEARCH("TRAVEL ADAPTER",B1471)),
ISNUMBER(SEARCH("RJ45",B1471)),
ISNUMBER(SEARCH("USB-C",B1471)),
ISNUMBER(SEARCH("USB WIFI",B1471)),
ISNUMBER(SEARCH("POWERBANK",B1471)),
ISNUMBER(SEARCH("CARGADOR",B1471)),
ISNUMBER(SEARCH("COOLER PARA NB",B1471)),
ISNUMBER(SEARCH("SOPORTE PARA NB",B1471)),
ISNUMBER(SEARCH("WEBCAM",B1471)),
ISNUMBER(SEARCH("WEB CAM",B1471)),
ISNUMBER(SEARCH("MOUSE",B1471)),
ISNUMBER(SEARCH("TECLADO",B1471))
),
"COMPLEMENTO",
IF(
OR(
LEFT(A1471,2)="NB",
LEFT(A1471,2)="PC",
LEFT(A1471,2)="WS",
LEFT(A1471,2)="TB",
LEFT(A1471,3)="CEL",
LEFT(A1471,3)="MON",
LEFT(A1471,3)="PRE",
LEFT(A1471,3)="PRH",
ISNUMBER(SEARCH("NOTEBOOK",B1471)),
ISNUMBER(SEARCH("LAPTOP",B1471)),
ISNUMBER(SEARCH("MONITOR",B1471)),
ISNUMBER(SEARCH("TABLET",B1471)),
ISNUMBER(SEARCH("SMARTPH",B1471)),
ISNUMBER(SEARCH("IMPRESORA",B1471)),
ISNUMBER(SEARCH("MULTIFUNCIONAL",B1471)),
ISNUMBER(SEARCH("AIO",B1471))
),
"GANCHO",
"NORMAL"
)
)</f>
        <v>NORMAL</v>
      </c>
    </row>
    <row r="1470" spans="1:12" x14ac:dyDescent="0.25">
      <c r="A1470" s="3" t="s">
        <v>2428</v>
      </c>
      <c r="B1470" s="3" t="s">
        <v>2383</v>
      </c>
      <c r="C1470" s="1">
        <v>0</v>
      </c>
      <c r="D1470" s="1">
        <v>999</v>
      </c>
      <c r="E1470" s="1" t="s">
        <v>187</v>
      </c>
      <c r="F1470" s="1" t="s">
        <v>3975</v>
      </c>
      <c r="G1470" s="3"/>
      <c r="H1470" s="11">
        <f>ROUND(
IF(L1468="GANCHO",
   IF(I1470&lt;=50,I1470*1.1+4,IF(I1470&lt;=120,I1470*1.1+7,IF(I1470&lt;=250,I1470*1.1+11,I1470*1.1+19))),
IF(L1468="NORMAL",
   IF(I1470&lt;=30,I1470*1.15+2,IF(I1470&lt;=80,I1470*1.15+4,IF(I1470&lt;=150,I1470*1.15+6,I1470*1.15+8))),
IF(L1468="COMPLEMENTO",
   IF(I1470&lt;=25,I1470*1.25+1.5,IF(I1470&lt;=60,I1470*1.25+3,IF(I1470&lt;=120,I1470*1.25+4,I1470*1.25+5))),
""))),2)</f>
        <v>4725.6400000000003</v>
      </c>
      <c r="I1470" s="9">
        <f>($K$2+0.02)*Tabla1[[#This Row],[PRECIO $]]*1.18</f>
        <v>4102.2936</v>
      </c>
      <c r="J1470" s="7">
        <f>+Tabla1[[#This Row],[PRECIO EN SOLES]]-Tabla1[[#This Row],[PC]]</f>
        <v>623.34640000000036</v>
      </c>
      <c r="K1470" s="15"/>
      <c r="L1470" s="15" t="str">
        <f>IF(
OR(
ISNUMBER(SEARCH("BACKPACK",B1472)),
ISNUMBER(SEARCH("MOCHILA",B1472)),
ISNUMBER(SEARCH("FUNDA",B1472)),
ISNUMBER(SEARCH("ESTUCHE",B1472)),
ISNUMBER(SEARCH("BOOK COVER",B1472)),
ISNUMBER(SEARCH("KEYBOARD PARA TABLET",B1472)),
ISNUMBER(SEARCH("FLIP TABLET",B1472)),
ISNUMBER(SEARCH("CASE FOR TABLET",B1472)),
ISNUMBER(SEARCH("CABLE",B1472)),
ISNUMBER(SEARCH("ADAPTADOR",B1472)),
ISNUMBER(SEARCH("HUB",B1472)),
ISNUMBER(SEARCH("DOCK",B1472)),
ISNUMBER(SEARCH("MOUSE PAD",B1472)),
ISNUMBER(SEARCH("MOUSEPAD",B1472)),
ISNUMBER(SEARCH("SOPORTE",B1472)),
ISNUMBER(SEARCH("STAND",B1472)),
ISNUMBER(SEARCH("TRAVEL ADAPTER",B1472)),
ISNUMBER(SEARCH("RJ45",B1472)),
ISNUMBER(SEARCH("USB-C",B1472)),
ISNUMBER(SEARCH("USB WIFI",B1472)),
ISNUMBER(SEARCH("POWERBANK",B1472)),
ISNUMBER(SEARCH("CARGADOR",B1472)),
ISNUMBER(SEARCH("COOLER PARA NB",B1472)),
ISNUMBER(SEARCH("SOPORTE PARA NB",B1472)),
ISNUMBER(SEARCH("WEBCAM",B1472)),
ISNUMBER(SEARCH("WEB CAM",B1472)),
ISNUMBER(SEARCH("MOUSE",B1472)),
ISNUMBER(SEARCH("TECLADO",B1472))
),
"COMPLEMENTO",
IF(
OR(
LEFT(A1472,2)="NB",
LEFT(A1472,2)="PC",
LEFT(A1472,2)="WS",
LEFT(A1472,2)="TB",
LEFT(A1472,3)="CEL",
LEFT(A1472,3)="MON",
LEFT(A1472,3)="PRE",
LEFT(A1472,3)="PRH",
ISNUMBER(SEARCH("NOTEBOOK",B1472)),
ISNUMBER(SEARCH("LAPTOP",B1472)),
ISNUMBER(SEARCH("MONITOR",B1472)),
ISNUMBER(SEARCH("TABLET",B1472)),
ISNUMBER(SEARCH("SMARTPH",B1472)),
ISNUMBER(SEARCH("IMPRESORA",B1472)),
ISNUMBER(SEARCH("MULTIFUNCIONAL",B1472)),
ISNUMBER(SEARCH("AIO",B1472))
),
"GANCHO",
"NORMAL"
)
)</f>
        <v>NORMAL</v>
      </c>
    </row>
    <row r="1471" spans="1:12" x14ac:dyDescent="0.25">
      <c r="A1471" s="3" t="s">
        <v>2429</v>
      </c>
      <c r="B1471" s="3" t="s">
        <v>2385</v>
      </c>
      <c r="C1471" s="1">
        <v>0</v>
      </c>
      <c r="D1471" s="1">
        <v>9999999.9900000002</v>
      </c>
      <c r="E1471" s="1" t="s">
        <v>249</v>
      </c>
      <c r="F1471" s="1" t="s">
        <v>3976</v>
      </c>
      <c r="G1471" s="3"/>
      <c r="H1471" s="11">
        <f>ROUND(
IF(L1469="GANCHO",
   IF(I1471&lt;=50,I1471*1.1+4,IF(I1471&lt;=120,I1471*1.1+7,IF(I1471&lt;=250,I1471*1.1+11,I1471*1.1+19))),
IF(L1469="NORMAL",
   IF(I1471&lt;=30,I1471*1.15+2,IF(I1471&lt;=80,I1471*1.15+4,IF(I1471&lt;=150,I1471*1.15+6,I1471*1.15+8))),
IF(L1469="COMPLEMENTO",
   IF(I1471&lt;=25,I1471*1.25+1.5,IF(I1471&lt;=60,I1471*1.25+3,IF(I1471&lt;=120,I1471*1.25+4,I1471*1.25+5))),
""))),2)</f>
        <v>47223607.950000003</v>
      </c>
      <c r="I1471" s="9">
        <f>($K$2+0.02)*Tabla1[[#This Row],[PRECIO $]]*1.18</f>
        <v>41063999.958935998</v>
      </c>
      <c r="J1471" s="7">
        <f>+Tabla1[[#This Row],[PRECIO EN SOLES]]-Tabla1[[#This Row],[PC]]</f>
        <v>6159607.9910640046</v>
      </c>
      <c r="K1471" s="15"/>
      <c r="L1471" s="15" t="str">
        <f>IF(
OR(
ISNUMBER(SEARCH("BACKPACK",B1473)),
ISNUMBER(SEARCH("MOCHILA",B1473)),
ISNUMBER(SEARCH("FUNDA",B1473)),
ISNUMBER(SEARCH("ESTUCHE",B1473)),
ISNUMBER(SEARCH("BOOK COVER",B1473)),
ISNUMBER(SEARCH("KEYBOARD PARA TABLET",B1473)),
ISNUMBER(SEARCH("FLIP TABLET",B1473)),
ISNUMBER(SEARCH("CASE FOR TABLET",B1473)),
ISNUMBER(SEARCH("CABLE",B1473)),
ISNUMBER(SEARCH("ADAPTADOR",B1473)),
ISNUMBER(SEARCH("HUB",B1473)),
ISNUMBER(SEARCH("DOCK",B1473)),
ISNUMBER(SEARCH("MOUSE PAD",B1473)),
ISNUMBER(SEARCH("MOUSEPAD",B1473)),
ISNUMBER(SEARCH("SOPORTE",B1473)),
ISNUMBER(SEARCH("STAND",B1473)),
ISNUMBER(SEARCH("TRAVEL ADAPTER",B1473)),
ISNUMBER(SEARCH("RJ45",B1473)),
ISNUMBER(SEARCH("USB-C",B1473)),
ISNUMBER(SEARCH("USB WIFI",B1473)),
ISNUMBER(SEARCH("POWERBANK",B1473)),
ISNUMBER(SEARCH("CARGADOR",B1473)),
ISNUMBER(SEARCH("COOLER PARA NB",B1473)),
ISNUMBER(SEARCH("SOPORTE PARA NB",B1473)),
ISNUMBER(SEARCH("WEBCAM",B1473)),
ISNUMBER(SEARCH("WEB CAM",B1473)),
ISNUMBER(SEARCH("MOUSE",B1473)),
ISNUMBER(SEARCH("TECLADO",B1473))
),
"COMPLEMENTO",
IF(
OR(
LEFT(A1473,2)="NB",
LEFT(A1473,2)="PC",
LEFT(A1473,2)="WS",
LEFT(A1473,2)="TB",
LEFT(A1473,3)="CEL",
LEFT(A1473,3)="MON",
LEFT(A1473,3)="PRE",
LEFT(A1473,3)="PRH",
ISNUMBER(SEARCH("NOTEBOOK",B1473)),
ISNUMBER(SEARCH("LAPTOP",B1473)),
ISNUMBER(SEARCH("MONITOR",B1473)),
ISNUMBER(SEARCH("TABLET",B1473)),
ISNUMBER(SEARCH("SMARTPH",B1473)),
ISNUMBER(SEARCH("IMPRESORA",B1473)),
ISNUMBER(SEARCH("MULTIFUNCIONAL",B1473)),
ISNUMBER(SEARCH("AIO",B1473))
),
"GANCHO",
"NORMAL"
)
)</f>
        <v>NORMAL</v>
      </c>
    </row>
    <row r="1472" spans="1:12" x14ac:dyDescent="0.25">
      <c r="A1472" s="3" t="s">
        <v>2430</v>
      </c>
      <c r="B1472" s="3" t="s">
        <v>2431</v>
      </c>
      <c r="C1472" s="1">
        <v>0</v>
      </c>
      <c r="D1472" s="1">
        <v>999</v>
      </c>
      <c r="E1472" s="1" t="s">
        <v>74</v>
      </c>
      <c r="F1472" s="1" t="s">
        <v>3977</v>
      </c>
      <c r="G1472" s="3"/>
      <c r="H1472" s="11">
        <f>ROUND(
IF(L1470="GANCHO",
   IF(I1472&lt;=50,I1472*1.1+4,IF(I1472&lt;=120,I1472*1.1+7,IF(I1472&lt;=250,I1472*1.1+11,I1472*1.1+19))),
IF(L1470="NORMAL",
   IF(I1472&lt;=30,I1472*1.15+2,IF(I1472&lt;=80,I1472*1.15+4,IF(I1472&lt;=150,I1472*1.15+6,I1472*1.15+8))),
IF(L1470="COMPLEMENTO",
   IF(I1472&lt;=25,I1472*1.25+1.5,IF(I1472&lt;=60,I1472*1.25+3,IF(I1472&lt;=120,I1472*1.25+4,I1472*1.25+5))),
""))),2)</f>
        <v>4725.6400000000003</v>
      </c>
      <c r="I1472" s="9">
        <f>($K$2+0.02)*Tabla1[[#This Row],[PRECIO $]]*1.18</f>
        <v>4102.2936</v>
      </c>
      <c r="J1472" s="7">
        <f>+Tabla1[[#This Row],[PRECIO EN SOLES]]-Tabla1[[#This Row],[PC]]</f>
        <v>623.34640000000036</v>
      </c>
      <c r="K1472" s="15"/>
      <c r="L1472" s="15" t="str">
        <f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3" spans="1:12" x14ac:dyDescent="0.25">
      <c r="A1473" s="3" t="s">
        <v>2432</v>
      </c>
      <c r="B1473" s="3" t="s">
        <v>2433</v>
      </c>
      <c r="C1473" s="1">
        <v>1</v>
      </c>
      <c r="D1473" s="1">
        <v>137</v>
      </c>
      <c r="E1473" s="1" t="s">
        <v>2002</v>
      </c>
      <c r="F1473" s="1" t="s">
        <v>3978</v>
      </c>
      <c r="G1473" s="3"/>
      <c r="H1473" s="11">
        <f>ROUND(
IF(L1471="GANCHO",
   IF(I1473&lt;=50,I1473*1.1+4,IF(I1473&lt;=120,I1473*1.1+7,IF(I1473&lt;=250,I1473*1.1+11,I1473*1.1+19))),
IF(L1471="NORMAL",
   IF(I1473&lt;=30,I1473*1.15+2,IF(I1473&lt;=80,I1473*1.15+4,IF(I1473&lt;=150,I1473*1.15+6,I1473*1.15+8))),
IF(L1471="COMPLEMENTO",
   IF(I1473&lt;=25,I1473*1.25+1.5,IF(I1473&lt;=60,I1473*1.25+3,IF(I1473&lt;=120,I1473*1.25+4,I1473*1.25+5))),
""))),2)</f>
        <v>654.96</v>
      </c>
      <c r="I1473" s="9">
        <f>($K$2+0.02)*Tabla1[[#This Row],[PRECIO $]]*1.18</f>
        <v>562.57679999999993</v>
      </c>
      <c r="J1473" s="7">
        <f>+Tabla1[[#This Row],[PRECIO EN SOLES]]-Tabla1[[#This Row],[PC]]</f>
        <v>92.383200000000102</v>
      </c>
      <c r="K1473" s="15"/>
      <c r="L1473" s="15" t="str">
        <f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4" spans="1:12" x14ac:dyDescent="0.25">
      <c r="A1474" s="3" t="s">
        <v>2434</v>
      </c>
      <c r="B1474" s="3" t="s">
        <v>2435</v>
      </c>
      <c r="C1474" s="1">
        <v>0</v>
      </c>
      <c r="D1474" s="1">
        <v>16.38</v>
      </c>
      <c r="E1474" s="1" t="s">
        <v>56</v>
      </c>
      <c r="F1474" s="1" t="s">
        <v>3979</v>
      </c>
      <c r="G1474" s="3" t="s">
        <v>2436</v>
      </c>
      <c r="H1474" s="11">
        <f>ROUND(
IF(L1472="GANCHO",
   IF(I1474&lt;=50,I1474*1.1+4,IF(I1474&lt;=120,I1474*1.1+7,IF(I1474&lt;=250,I1474*1.1+11,I1474*1.1+19))),
IF(L1472="NORMAL",
   IF(I1474&lt;=30,I1474*1.15+2,IF(I1474&lt;=80,I1474*1.15+4,IF(I1474&lt;=150,I1474*1.15+6,I1474*1.15+8))),
IF(L1472="COMPLEMENTO",
   IF(I1474&lt;=25,I1474*1.25+1.5,IF(I1474&lt;=60,I1474*1.25+3,IF(I1474&lt;=120,I1474*1.25+4,I1474*1.25+5))),
""))),2)</f>
        <v>81.349999999999994</v>
      </c>
      <c r="I1474" s="9">
        <f>($K$2+0.02)*Tabla1[[#This Row],[PRECIO $]]*1.18</f>
        <v>67.262831999999989</v>
      </c>
      <c r="J1474" s="7">
        <f>+Tabla1[[#This Row],[PRECIO EN SOLES]]-Tabla1[[#This Row],[PC]]</f>
        <v>14.087168000000005</v>
      </c>
      <c r="K1474" s="15"/>
      <c r="L1474" s="15" t="str">
        <f>IF(
OR(
ISNUMBER(SEARCH("BACKPACK",B1476)),
ISNUMBER(SEARCH("MOCHILA",B1476)),
ISNUMBER(SEARCH("FUNDA",B1476)),
ISNUMBER(SEARCH("ESTUCHE",B1476)),
ISNUMBER(SEARCH("BOOK COVER",B1476)),
ISNUMBER(SEARCH("KEYBOARD PARA TABLET",B1476)),
ISNUMBER(SEARCH("FLIP TABLET",B1476)),
ISNUMBER(SEARCH("CASE FOR TABLET",B1476)),
ISNUMBER(SEARCH("CABLE",B1476)),
ISNUMBER(SEARCH("ADAPTADOR",B1476)),
ISNUMBER(SEARCH("HUB",B1476)),
ISNUMBER(SEARCH("DOCK",B1476)),
ISNUMBER(SEARCH("MOUSE PAD",B1476)),
ISNUMBER(SEARCH("MOUSEPAD",B1476)),
ISNUMBER(SEARCH("SOPORTE",B1476)),
ISNUMBER(SEARCH("STAND",B1476)),
ISNUMBER(SEARCH("TRAVEL ADAPTER",B1476)),
ISNUMBER(SEARCH("RJ45",B1476)),
ISNUMBER(SEARCH("USB-C",B1476)),
ISNUMBER(SEARCH("USB WIFI",B1476)),
ISNUMBER(SEARCH("POWERBANK",B1476)),
ISNUMBER(SEARCH("CARGADOR",B1476)),
ISNUMBER(SEARCH("COOLER PARA NB",B1476)),
ISNUMBER(SEARCH("SOPORTE PARA NB",B1476)),
ISNUMBER(SEARCH("WEBCAM",B1476)),
ISNUMBER(SEARCH("WEB CAM",B1476)),
ISNUMBER(SEARCH("MOUSE",B1476)),
ISNUMBER(SEARCH("TECLADO",B1476))
),
"COMPLEMENTO",
IF(
OR(
LEFT(A1476,2)="NB",
LEFT(A1476,2)="PC",
LEFT(A1476,2)="WS",
LEFT(A1476,2)="TB",
LEFT(A1476,3)="CEL",
LEFT(A1476,3)="MON",
LEFT(A1476,3)="PRE",
LEFT(A1476,3)="PRH",
ISNUMBER(SEARCH("NOTEBOOK",B1476)),
ISNUMBER(SEARCH("LAPTOP",B1476)),
ISNUMBER(SEARCH("MONITOR",B1476)),
ISNUMBER(SEARCH("TABLET",B1476)),
ISNUMBER(SEARCH("SMARTPH",B1476)),
ISNUMBER(SEARCH("IMPRESORA",B1476)),
ISNUMBER(SEARCH("MULTIFUNCIONAL",B1476)),
ISNUMBER(SEARCH("AIO",B1476))
),
"GANCHO",
"NORMAL"
)
)</f>
        <v>NORMAL</v>
      </c>
    </row>
    <row r="1475" spans="1:12" x14ac:dyDescent="0.25">
      <c r="A1475" s="3" t="s">
        <v>2437</v>
      </c>
      <c r="B1475" s="3" t="s">
        <v>2438</v>
      </c>
      <c r="C1475" s="1">
        <v>0</v>
      </c>
      <c r="D1475" s="1">
        <v>999</v>
      </c>
      <c r="E1475" s="1" t="s">
        <v>247</v>
      </c>
      <c r="F1475" s="1" t="s">
        <v>3980</v>
      </c>
      <c r="G1475" s="3"/>
      <c r="H1475" s="11">
        <f>ROUND(
IF(L1473="GANCHO",
   IF(I1475&lt;=50,I1475*1.1+4,IF(I1475&lt;=120,I1475*1.1+7,IF(I1475&lt;=250,I1475*1.1+11,I1475*1.1+19))),
IF(L1473="NORMAL",
   IF(I1475&lt;=30,I1475*1.15+2,IF(I1475&lt;=80,I1475*1.15+4,IF(I1475&lt;=150,I1475*1.15+6,I1475*1.15+8))),
IF(L1473="COMPLEMENTO",
   IF(I1475&lt;=25,I1475*1.25+1.5,IF(I1475&lt;=60,I1475*1.25+3,IF(I1475&lt;=120,I1475*1.25+4,I1475*1.25+5))),
""))),2)</f>
        <v>4725.6400000000003</v>
      </c>
      <c r="I1475" s="9">
        <f>($K$2+0.02)*Tabla1[[#This Row],[PRECIO $]]*1.18</f>
        <v>4102.2936</v>
      </c>
      <c r="J1475" s="7">
        <f>+Tabla1[[#This Row],[PRECIO EN SOLES]]-Tabla1[[#This Row],[PC]]</f>
        <v>623.34640000000036</v>
      </c>
      <c r="K1475" s="15"/>
      <c r="L1475" s="15" t="str">
        <f>IF(
OR(
ISNUMBER(SEARCH("BACKPACK",B1477)),
ISNUMBER(SEARCH("MOCHILA",B1477)),
ISNUMBER(SEARCH("FUNDA",B1477)),
ISNUMBER(SEARCH("ESTUCHE",B1477)),
ISNUMBER(SEARCH("BOOK COVER",B1477)),
ISNUMBER(SEARCH("KEYBOARD PARA TABLET",B1477)),
ISNUMBER(SEARCH("FLIP TABLET",B1477)),
ISNUMBER(SEARCH("CASE FOR TABLET",B1477)),
ISNUMBER(SEARCH("CABLE",B1477)),
ISNUMBER(SEARCH("ADAPTADOR",B1477)),
ISNUMBER(SEARCH("HUB",B1477)),
ISNUMBER(SEARCH("DOCK",B1477)),
ISNUMBER(SEARCH("MOUSE PAD",B1477)),
ISNUMBER(SEARCH("MOUSEPAD",B1477)),
ISNUMBER(SEARCH("SOPORTE",B1477)),
ISNUMBER(SEARCH("STAND",B1477)),
ISNUMBER(SEARCH("TRAVEL ADAPTER",B1477)),
ISNUMBER(SEARCH("RJ45",B1477)),
ISNUMBER(SEARCH("USB-C",B1477)),
ISNUMBER(SEARCH("USB WIFI",B1477)),
ISNUMBER(SEARCH("POWERBANK",B1477)),
ISNUMBER(SEARCH("CARGADOR",B1477)),
ISNUMBER(SEARCH("COOLER PARA NB",B1477)),
ISNUMBER(SEARCH("SOPORTE PARA NB",B1477)),
ISNUMBER(SEARCH("WEBCAM",B1477)),
ISNUMBER(SEARCH("WEB CAM",B1477)),
ISNUMBER(SEARCH("MOUSE",B1477)),
ISNUMBER(SEARCH("TECLADO",B1477))
),
"COMPLEMENTO",
IF(
OR(
LEFT(A1477,2)="NB",
LEFT(A1477,2)="PC",
LEFT(A1477,2)="WS",
LEFT(A1477,2)="TB",
LEFT(A1477,3)="CEL",
LEFT(A1477,3)="MON",
LEFT(A1477,3)="PRE",
LEFT(A1477,3)="PRH",
ISNUMBER(SEARCH("NOTEBOOK",B1477)),
ISNUMBER(SEARCH("LAPTOP",B1477)),
ISNUMBER(SEARCH("MONITOR",B1477)),
ISNUMBER(SEARCH("TABLET",B1477)),
ISNUMBER(SEARCH("SMARTPH",B1477)),
ISNUMBER(SEARCH("IMPRESORA",B1477)),
ISNUMBER(SEARCH("MULTIFUNCIONAL",B1477)),
ISNUMBER(SEARCH("AIO",B1477))
),
"GANCHO",
"NORMAL"
)
)</f>
        <v>NORMAL</v>
      </c>
    </row>
    <row r="1476" spans="1:12" x14ac:dyDescent="0.25">
      <c r="A1476" s="3" t="s">
        <v>2439</v>
      </c>
      <c r="B1476" s="3" t="s">
        <v>2440</v>
      </c>
      <c r="C1476" s="1">
        <v>2</v>
      </c>
      <c r="D1476" s="1">
        <v>195</v>
      </c>
      <c r="E1476" s="1" t="s">
        <v>247</v>
      </c>
      <c r="F1476" s="1" t="s">
        <v>3981</v>
      </c>
      <c r="G1476" s="3"/>
      <c r="H1476" s="11">
        <f>ROUND(
IF(L1474="GANCHO",
   IF(I1476&lt;=50,I1476*1.1+4,IF(I1476&lt;=120,I1476*1.1+7,IF(I1476&lt;=250,I1476*1.1+11,I1476*1.1+19))),
IF(L1474="NORMAL",
   IF(I1476&lt;=30,I1476*1.15+2,IF(I1476&lt;=80,I1476*1.15+4,IF(I1476&lt;=150,I1476*1.15+6,I1476*1.15+8))),
IF(L1474="COMPLEMENTO",
   IF(I1476&lt;=25,I1476*1.25+1.5,IF(I1476&lt;=60,I1476*1.25+3,IF(I1476&lt;=120,I1476*1.25+4,I1476*1.25+5))),
""))),2)</f>
        <v>928.86</v>
      </c>
      <c r="I1476" s="9">
        <f>($K$2+0.02)*Tabla1[[#This Row],[PRECIO $]]*1.18</f>
        <v>800.74799999999993</v>
      </c>
      <c r="J1476" s="7">
        <f>+Tabla1[[#This Row],[PRECIO EN SOLES]]-Tabla1[[#This Row],[PC]]</f>
        <v>128.11200000000008</v>
      </c>
      <c r="K1476" s="15"/>
      <c r="L1476" s="15" t="str">
        <f>IF(
OR(
ISNUMBER(SEARCH("BACKPACK",B1478)),
ISNUMBER(SEARCH("MOCHILA",B1478)),
ISNUMBER(SEARCH("FUNDA",B1478)),
ISNUMBER(SEARCH("ESTUCHE",B1478)),
ISNUMBER(SEARCH("BOOK COVER",B1478)),
ISNUMBER(SEARCH("KEYBOARD PARA TABLET",B1478)),
ISNUMBER(SEARCH("FLIP TABLET",B1478)),
ISNUMBER(SEARCH("CASE FOR TABLET",B1478)),
ISNUMBER(SEARCH("CABLE",B1478)),
ISNUMBER(SEARCH("ADAPTADOR",B1478)),
ISNUMBER(SEARCH("HUB",B1478)),
ISNUMBER(SEARCH("DOCK",B1478)),
ISNUMBER(SEARCH("MOUSE PAD",B1478)),
ISNUMBER(SEARCH("MOUSEPAD",B1478)),
ISNUMBER(SEARCH("SOPORTE",B1478)),
ISNUMBER(SEARCH("STAND",B1478)),
ISNUMBER(SEARCH("TRAVEL ADAPTER",B1478)),
ISNUMBER(SEARCH("RJ45",B1478)),
ISNUMBER(SEARCH("USB-C",B1478)),
ISNUMBER(SEARCH("USB WIFI",B1478)),
ISNUMBER(SEARCH("POWERBANK",B1478)),
ISNUMBER(SEARCH("CARGADOR",B1478)),
ISNUMBER(SEARCH("COOLER PARA NB",B1478)),
ISNUMBER(SEARCH("SOPORTE PARA NB",B1478)),
ISNUMBER(SEARCH("WEBCAM",B1478)),
ISNUMBER(SEARCH("WEB CAM",B1478)),
ISNUMBER(SEARCH("MOUSE",B1478)),
ISNUMBER(SEARCH("TECLADO",B1478))
),
"COMPLEMENTO",
IF(
OR(
LEFT(A1478,2)="NB",
LEFT(A1478,2)="PC",
LEFT(A1478,2)="WS",
LEFT(A1478,2)="TB",
LEFT(A1478,3)="CEL",
LEFT(A1478,3)="MON",
LEFT(A1478,3)="PRE",
LEFT(A1478,3)="PRH",
ISNUMBER(SEARCH("NOTEBOOK",B1478)),
ISNUMBER(SEARCH("LAPTOP",B1478)),
ISNUMBER(SEARCH("MONITOR",B1478)),
ISNUMBER(SEARCH("TABLET",B1478)),
ISNUMBER(SEARCH("SMARTPH",B1478)),
ISNUMBER(SEARCH("IMPRESORA",B1478)),
ISNUMBER(SEARCH("MULTIFUNCIONAL",B1478)),
ISNUMBER(SEARCH("AIO",B1478))
),
"GANCHO",
"NORMAL"
)
)</f>
        <v>NORMAL</v>
      </c>
    </row>
    <row r="1477" spans="1:12" x14ac:dyDescent="0.25">
      <c r="A1477" s="3" t="s">
        <v>2441</v>
      </c>
      <c r="B1477" s="3" t="s">
        <v>2442</v>
      </c>
      <c r="C1477" s="1">
        <v>2</v>
      </c>
      <c r="D1477" s="1">
        <v>185</v>
      </c>
      <c r="E1477" s="1" t="s">
        <v>247</v>
      </c>
      <c r="F1477" s="1" t="s">
        <v>3982</v>
      </c>
      <c r="G1477" s="3"/>
      <c r="H1477" s="11">
        <f>ROUND(
IF(L1475="GANCHO",
   IF(I1477&lt;=50,I1477*1.1+4,IF(I1477&lt;=120,I1477*1.1+7,IF(I1477&lt;=250,I1477*1.1+11,I1477*1.1+19))),
IF(L1475="NORMAL",
   IF(I1477&lt;=30,I1477*1.15+2,IF(I1477&lt;=80,I1477*1.15+4,IF(I1477&lt;=150,I1477*1.15+6,I1477*1.15+8))),
IF(L1475="COMPLEMENTO",
   IF(I1477&lt;=25,I1477*1.25+1.5,IF(I1477&lt;=60,I1477*1.25+3,IF(I1477&lt;=120,I1477*1.25+4,I1477*1.25+5))),
""))),2)</f>
        <v>881.64</v>
      </c>
      <c r="I1477" s="9">
        <f>($K$2+0.02)*Tabla1[[#This Row],[PRECIO $]]*1.18</f>
        <v>759.68399999999986</v>
      </c>
      <c r="J1477" s="7">
        <f>+Tabla1[[#This Row],[PRECIO EN SOLES]]-Tabla1[[#This Row],[PC]]</f>
        <v>121.95600000000013</v>
      </c>
      <c r="K1477" s="15"/>
      <c r="L1477" s="15" t="str">
        <f>IF(
OR(
ISNUMBER(SEARCH("BACKPACK",B1479)),
ISNUMBER(SEARCH("MOCHILA",B1479)),
ISNUMBER(SEARCH("FUNDA",B1479)),
ISNUMBER(SEARCH("ESTUCHE",B1479)),
ISNUMBER(SEARCH("BOOK COVER",B1479)),
ISNUMBER(SEARCH("KEYBOARD PARA TABLET",B1479)),
ISNUMBER(SEARCH("FLIP TABLET",B1479)),
ISNUMBER(SEARCH("CASE FOR TABLET",B1479)),
ISNUMBER(SEARCH("CABLE",B1479)),
ISNUMBER(SEARCH("ADAPTADOR",B1479)),
ISNUMBER(SEARCH("HUB",B1479)),
ISNUMBER(SEARCH("DOCK",B1479)),
ISNUMBER(SEARCH("MOUSE PAD",B1479)),
ISNUMBER(SEARCH("MOUSEPAD",B1479)),
ISNUMBER(SEARCH("SOPORTE",B1479)),
ISNUMBER(SEARCH("STAND",B1479)),
ISNUMBER(SEARCH("TRAVEL ADAPTER",B1479)),
ISNUMBER(SEARCH("RJ45",B1479)),
ISNUMBER(SEARCH("USB-C",B1479)),
ISNUMBER(SEARCH("USB WIFI",B1479)),
ISNUMBER(SEARCH("POWERBANK",B1479)),
ISNUMBER(SEARCH("CARGADOR",B1479)),
ISNUMBER(SEARCH("COOLER PARA NB",B1479)),
ISNUMBER(SEARCH("SOPORTE PARA NB",B1479)),
ISNUMBER(SEARCH("WEBCAM",B1479)),
ISNUMBER(SEARCH("WEB CAM",B1479)),
ISNUMBER(SEARCH("MOUSE",B1479)),
ISNUMBER(SEARCH("TECLADO",B1479))
),
"COMPLEMENTO",
IF(
OR(
LEFT(A1479,2)="NB",
LEFT(A1479,2)="PC",
LEFT(A1479,2)="WS",
LEFT(A1479,2)="TB",
LEFT(A1479,3)="CEL",
LEFT(A1479,3)="MON",
LEFT(A1479,3)="PRE",
LEFT(A1479,3)="PRH",
ISNUMBER(SEARCH("NOTEBOOK",B1479)),
ISNUMBER(SEARCH("LAPTOP",B1479)),
ISNUMBER(SEARCH("MONITOR",B1479)),
ISNUMBER(SEARCH("TABLET",B1479)),
ISNUMBER(SEARCH("SMARTPH",B1479)),
ISNUMBER(SEARCH("IMPRESORA",B1479)),
ISNUMBER(SEARCH("MULTIFUNCIONAL",B1479)),
ISNUMBER(SEARCH("AIO",B1479))
),
"GANCHO",
"NORMAL"
)
)</f>
        <v>NORMAL</v>
      </c>
    </row>
    <row r="1478" spans="1:12" x14ac:dyDescent="0.25">
      <c r="A1478" s="3" t="s">
        <v>2443</v>
      </c>
      <c r="B1478" s="3" t="s">
        <v>2444</v>
      </c>
      <c r="C1478" s="1">
        <v>5</v>
      </c>
      <c r="D1478" s="1">
        <v>188</v>
      </c>
      <c r="E1478" s="1" t="s">
        <v>1166</v>
      </c>
      <c r="F1478" s="1" t="s">
        <v>3983</v>
      </c>
      <c r="G1478" s="3" t="s">
        <v>2445</v>
      </c>
      <c r="H1478" s="11">
        <f>ROUND(
IF(L1476="GANCHO",
   IF(I1478&lt;=50,I1478*1.1+4,IF(I1478&lt;=120,I1478*1.1+7,IF(I1478&lt;=250,I1478*1.1+11,I1478*1.1+19))),
IF(L1476="NORMAL",
   IF(I1478&lt;=30,I1478*1.15+2,IF(I1478&lt;=80,I1478*1.15+4,IF(I1478&lt;=150,I1478*1.15+6,I1478*1.15+8))),
IF(L1476="COMPLEMENTO",
   IF(I1478&lt;=25,I1478*1.25+1.5,IF(I1478&lt;=60,I1478*1.25+3,IF(I1478&lt;=120,I1478*1.25+4,I1478*1.25+5))),
""))),2)</f>
        <v>895.8</v>
      </c>
      <c r="I1478" s="9">
        <f>($K$2+0.02)*Tabla1[[#This Row],[PRECIO $]]*1.18</f>
        <v>772.00319999999999</v>
      </c>
      <c r="J1478" s="7">
        <f>+Tabla1[[#This Row],[PRECIO EN SOLES]]-Tabla1[[#This Row],[PC]]</f>
        <v>123.79679999999996</v>
      </c>
      <c r="K1478" s="15"/>
      <c r="L1478" s="15" t="str">
        <f>IF(
OR(
ISNUMBER(SEARCH("BACKPACK",B1480)),
ISNUMBER(SEARCH("MOCHILA",B1480)),
ISNUMBER(SEARCH("FUNDA",B1480)),
ISNUMBER(SEARCH("ESTUCHE",B1480)),
ISNUMBER(SEARCH("BOOK COVER",B1480)),
ISNUMBER(SEARCH("KEYBOARD PARA TABLET",B1480)),
ISNUMBER(SEARCH("FLIP TABLET",B1480)),
ISNUMBER(SEARCH("CASE FOR TABLET",B1480)),
ISNUMBER(SEARCH("CABLE",B1480)),
ISNUMBER(SEARCH("ADAPTADOR",B1480)),
ISNUMBER(SEARCH("HUB",B1480)),
ISNUMBER(SEARCH("DOCK",B1480)),
ISNUMBER(SEARCH("MOUSE PAD",B1480)),
ISNUMBER(SEARCH("MOUSEPAD",B1480)),
ISNUMBER(SEARCH("SOPORTE",B1480)),
ISNUMBER(SEARCH("STAND",B1480)),
ISNUMBER(SEARCH("TRAVEL ADAPTER",B1480)),
ISNUMBER(SEARCH("RJ45",B1480)),
ISNUMBER(SEARCH("USB-C",B1480)),
ISNUMBER(SEARCH("USB WIFI",B1480)),
ISNUMBER(SEARCH("POWERBANK",B1480)),
ISNUMBER(SEARCH("CARGADOR",B1480)),
ISNUMBER(SEARCH("COOLER PARA NB",B1480)),
ISNUMBER(SEARCH("SOPORTE PARA NB",B1480)),
ISNUMBER(SEARCH("WEBCAM",B1480)),
ISNUMBER(SEARCH("WEB CAM",B1480)),
ISNUMBER(SEARCH("MOUSE",B1480)),
ISNUMBER(SEARCH("TECLADO",B1480))
),
"COMPLEMENTO",
IF(
OR(
LEFT(A1480,2)="NB",
LEFT(A1480,2)="PC",
LEFT(A1480,2)="WS",
LEFT(A1480,2)="TB",
LEFT(A1480,3)="CEL",
LEFT(A1480,3)="MON",
LEFT(A1480,3)="PRE",
LEFT(A1480,3)="PRH",
ISNUMBER(SEARCH("NOTEBOOK",B1480)),
ISNUMBER(SEARCH("LAPTOP",B1480)),
ISNUMBER(SEARCH("MONITOR",B1480)),
ISNUMBER(SEARCH("TABLET",B1480)),
ISNUMBER(SEARCH("SMARTPH",B1480)),
ISNUMBER(SEARCH("IMPRESORA",B1480)),
ISNUMBER(SEARCH("MULTIFUNCIONAL",B1480)),
ISNUMBER(SEARCH("AIO",B1480))
),
"GANCHO",
"NORMAL"
)
)</f>
        <v>NORMAL</v>
      </c>
    </row>
    <row r="1479" spans="1:12" x14ac:dyDescent="0.25">
      <c r="A1479" s="3" t="s">
        <v>2446</v>
      </c>
      <c r="B1479" s="3" t="s">
        <v>2447</v>
      </c>
      <c r="C1479" s="1">
        <v>1</v>
      </c>
      <c r="D1479" s="1">
        <v>897</v>
      </c>
      <c r="E1479" s="1" t="s">
        <v>57</v>
      </c>
      <c r="F1479" s="1" t="s">
        <v>3984</v>
      </c>
      <c r="G1479" s="3" t="s">
        <v>2448</v>
      </c>
      <c r="H1479" s="11">
        <f>ROUND(
IF(L1477="GANCHO",
   IF(I1479&lt;=50,I1479*1.1+4,IF(I1479&lt;=120,I1479*1.1+7,IF(I1479&lt;=250,I1479*1.1+11,I1479*1.1+19))),
IF(L1477="NORMAL",
   IF(I1479&lt;=30,I1479*1.15+2,IF(I1479&lt;=80,I1479*1.15+4,IF(I1479&lt;=150,I1479*1.15+6,I1479*1.15+8))),
IF(L1477="COMPLEMENTO",
   IF(I1479&lt;=25,I1479*1.25+1.5,IF(I1479&lt;=60,I1479*1.25+3,IF(I1479&lt;=120,I1479*1.25+4,I1479*1.25+5))),
""))),2)</f>
        <v>4243.96</v>
      </c>
      <c r="I1479" s="9">
        <f>($K$2+0.02)*Tabla1[[#This Row],[PRECIO $]]*1.18</f>
        <v>3683.4407999999999</v>
      </c>
      <c r="J1479" s="7">
        <f>+Tabla1[[#This Row],[PRECIO EN SOLES]]-Tabla1[[#This Row],[PC]]</f>
        <v>560.51920000000018</v>
      </c>
      <c r="K1479" s="15"/>
      <c r="L1479" s="15" t="str">
        <f>IF(
OR(
ISNUMBER(SEARCH("BACKPACK",B1481)),
ISNUMBER(SEARCH("MOCHILA",B1481)),
ISNUMBER(SEARCH("FUNDA",B1481)),
ISNUMBER(SEARCH("ESTUCHE",B1481)),
ISNUMBER(SEARCH("BOOK COVER",B1481)),
ISNUMBER(SEARCH("KEYBOARD PARA TABLET",B1481)),
ISNUMBER(SEARCH("FLIP TABLET",B1481)),
ISNUMBER(SEARCH("CASE FOR TABLET",B1481)),
ISNUMBER(SEARCH("CABLE",B1481)),
ISNUMBER(SEARCH("ADAPTADOR",B1481)),
ISNUMBER(SEARCH("HUB",B1481)),
ISNUMBER(SEARCH("DOCK",B1481)),
ISNUMBER(SEARCH("MOUSE PAD",B1481)),
ISNUMBER(SEARCH("MOUSEPAD",B1481)),
ISNUMBER(SEARCH("SOPORTE",B1481)),
ISNUMBER(SEARCH("STAND",B1481)),
ISNUMBER(SEARCH("TRAVEL ADAPTER",B1481)),
ISNUMBER(SEARCH("RJ45",B1481)),
ISNUMBER(SEARCH("USB-C",B1481)),
ISNUMBER(SEARCH("USB WIFI",B1481)),
ISNUMBER(SEARCH("POWERBANK",B1481)),
ISNUMBER(SEARCH("CARGADOR",B1481)),
ISNUMBER(SEARCH("COOLER PARA NB",B1481)),
ISNUMBER(SEARCH("SOPORTE PARA NB",B1481)),
ISNUMBER(SEARCH("WEBCAM",B1481)),
ISNUMBER(SEARCH("WEB CAM",B1481)),
ISNUMBER(SEARCH("MOUSE",B1481)),
ISNUMBER(SEARCH("TECLADO",B1481))
),
"COMPLEMENTO",
IF(
OR(
LEFT(A1481,2)="NB",
LEFT(A1481,2)="PC",
LEFT(A1481,2)="WS",
LEFT(A1481,2)="TB",
LEFT(A1481,3)="CEL",
LEFT(A1481,3)="MON",
LEFT(A1481,3)="PRE",
LEFT(A1481,3)="PRH",
ISNUMBER(SEARCH("NOTEBOOK",B1481)),
ISNUMBER(SEARCH("LAPTOP",B1481)),
ISNUMBER(SEARCH("MONITOR",B1481)),
ISNUMBER(SEARCH("TABLET",B1481)),
ISNUMBER(SEARCH("SMARTPH",B1481)),
ISNUMBER(SEARCH("IMPRESORA",B1481)),
ISNUMBER(SEARCH("MULTIFUNCIONAL",B1481)),
ISNUMBER(SEARCH("AIO",B1481))
),
"GANCHO",
"NORMAL"
)
)</f>
        <v>NORMAL</v>
      </c>
    </row>
    <row r="1480" spans="1:12" x14ac:dyDescent="0.25">
      <c r="A1480" s="3" t="s">
        <v>6923</v>
      </c>
      <c r="B1480" s="3" t="s">
        <v>6924</v>
      </c>
      <c r="C1480" s="1">
        <v>20</v>
      </c>
      <c r="D1480" s="1">
        <v>31.2</v>
      </c>
      <c r="E1480" s="1" t="s">
        <v>467</v>
      </c>
      <c r="F1480" s="1" t="s">
        <v>6925</v>
      </c>
      <c r="G1480" s="3" t="s">
        <v>6926</v>
      </c>
      <c r="H1480" s="11">
        <f>ROUND(
IF(L1478="GANCHO",
   IF(I1480&lt;=50,I1480*1.1+4,IF(I1480&lt;=120,I1480*1.1+7,IF(I1480&lt;=250,I1480*1.1+11,I1480*1.1+19))),
IF(L1478="NORMAL",
   IF(I1480&lt;=30,I1480*1.15+2,IF(I1480&lt;=80,I1480*1.15+4,IF(I1480&lt;=150,I1480*1.15+6,I1480*1.15+8))),
IF(L1478="COMPLEMENTO",
   IF(I1480&lt;=25,I1480*1.25+1.5,IF(I1480&lt;=60,I1480*1.25+3,IF(I1480&lt;=120,I1480*1.25+4,I1480*1.25+5))),
""))),2)</f>
        <v>153.34</v>
      </c>
      <c r="I1480" s="9">
        <f>($K$2+0.02)*Tabla1[[#This Row],[PRECIO $]]*1.18</f>
        <v>128.11967999999999</v>
      </c>
      <c r="J1480" s="7">
        <f>+Tabla1[[#This Row],[PRECIO EN SOLES]]-Tabla1[[#This Row],[PC]]</f>
        <v>25.220320000000015</v>
      </c>
      <c r="K1480" s="15"/>
      <c r="L1480" s="15" t="str">
        <f>IF(
OR(
ISNUMBER(SEARCH("BACKPACK",B1482)),
ISNUMBER(SEARCH("MOCHILA",B1482)),
ISNUMBER(SEARCH("FUNDA",B1482)),
ISNUMBER(SEARCH("ESTUCHE",B1482)),
ISNUMBER(SEARCH("BOOK COVER",B1482)),
ISNUMBER(SEARCH("KEYBOARD PARA TABLET",B1482)),
ISNUMBER(SEARCH("FLIP TABLET",B1482)),
ISNUMBER(SEARCH("CASE FOR TABLET",B1482)),
ISNUMBER(SEARCH("CABLE",B1482)),
ISNUMBER(SEARCH("ADAPTADOR",B1482)),
ISNUMBER(SEARCH("HUB",B1482)),
ISNUMBER(SEARCH("DOCK",B1482)),
ISNUMBER(SEARCH("MOUSE PAD",B1482)),
ISNUMBER(SEARCH("MOUSEPAD",B1482)),
ISNUMBER(SEARCH("SOPORTE",B1482)),
ISNUMBER(SEARCH("STAND",B1482)),
ISNUMBER(SEARCH("TRAVEL ADAPTER",B1482)),
ISNUMBER(SEARCH("RJ45",B1482)),
ISNUMBER(SEARCH("USB-C",B1482)),
ISNUMBER(SEARCH("USB WIFI",B1482)),
ISNUMBER(SEARCH("POWERBANK",B1482)),
ISNUMBER(SEARCH("CARGADOR",B1482)),
ISNUMBER(SEARCH("COOLER PARA NB",B1482)),
ISNUMBER(SEARCH("SOPORTE PARA NB",B1482)),
ISNUMBER(SEARCH("WEBCAM",B1482)),
ISNUMBER(SEARCH("WEB CAM",B1482)),
ISNUMBER(SEARCH("MOUSE",B1482)),
ISNUMBER(SEARCH("TECLADO",B1482))
),
"COMPLEMENTO",
IF(
OR(
LEFT(A1482,2)="NB",
LEFT(A1482,2)="PC",
LEFT(A1482,2)="WS",
LEFT(A1482,2)="TB",
LEFT(A1482,3)="CEL",
LEFT(A1482,3)="MON",
LEFT(A1482,3)="PRE",
LEFT(A1482,3)="PRH",
ISNUMBER(SEARCH("NOTEBOOK",B1482)),
ISNUMBER(SEARCH("LAPTOP",B1482)),
ISNUMBER(SEARCH("MONITOR",B1482)),
ISNUMBER(SEARCH("TABLET",B1482)),
ISNUMBER(SEARCH("SMARTPH",B1482)),
ISNUMBER(SEARCH("IMPRESORA",B1482)),
ISNUMBER(SEARCH("MULTIFUNCIONAL",B1482)),
ISNUMBER(SEARCH("AIO",B1482))
),
"GANCHO",
"NORMAL"
)
)</f>
        <v>NORMAL</v>
      </c>
    </row>
    <row r="1481" spans="1:12" x14ac:dyDescent="0.25">
      <c r="A1481" s="3" t="s">
        <v>6927</v>
      </c>
      <c r="B1481" s="3" t="s">
        <v>6928</v>
      </c>
      <c r="C1481" s="1">
        <v>20</v>
      </c>
      <c r="D1481" s="1">
        <v>121.1</v>
      </c>
      <c r="E1481" s="1" t="s">
        <v>467</v>
      </c>
      <c r="F1481" s="1" t="s">
        <v>6929</v>
      </c>
      <c r="G1481" s="3" t="s">
        <v>6930</v>
      </c>
      <c r="H1481" s="11">
        <f>ROUND(
IF(L1479="GANCHO",
   IF(I1481&lt;=50,I1481*1.1+4,IF(I1481&lt;=120,I1481*1.1+7,IF(I1481&lt;=250,I1481*1.1+11,I1481*1.1+19))),
IF(L1479="NORMAL",
   IF(I1481&lt;=30,I1481*1.15+2,IF(I1481&lt;=80,I1481*1.15+4,IF(I1481&lt;=150,I1481*1.15+6,I1481*1.15+8))),
IF(L1479="COMPLEMENTO",
   IF(I1481&lt;=25,I1481*1.25+1.5,IF(I1481&lt;=60,I1481*1.25+3,IF(I1481&lt;=120,I1481*1.25+4,I1481*1.25+5))),
""))),2)</f>
        <v>579.88</v>
      </c>
      <c r="I1481" s="9">
        <f>($K$2+0.02)*Tabla1[[#This Row],[PRECIO $]]*1.18</f>
        <v>497.28503999999998</v>
      </c>
      <c r="J1481" s="7">
        <f>+Tabla1[[#This Row],[PRECIO EN SOLES]]-Tabla1[[#This Row],[PC]]</f>
        <v>82.594960000000015</v>
      </c>
      <c r="K1481" s="15"/>
      <c r="L1481" s="15" t="str">
        <f>IF(
OR(
ISNUMBER(SEARCH("BACKPACK",B1483)),
ISNUMBER(SEARCH("MOCHILA",B1483)),
ISNUMBER(SEARCH("FUNDA",B1483)),
ISNUMBER(SEARCH("ESTUCHE",B1483)),
ISNUMBER(SEARCH("BOOK COVER",B1483)),
ISNUMBER(SEARCH("KEYBOARD PARA TABLET",B1483)),
ISNUMBER(SEARCH("FLIP TABLET",B1483)),
ISNUMBER(SEARCH("CASE FOR TABLET",B1483)),
ISNUMBER(SEARCH("CABLE",B1483)),
ISNUMBER(SEARCH("ADAPTADOR",B1483)),
ISNUMBER(SEARCH("HUB",B1483)),
ISNUMBER(SEARCH("DOCK",B1483)),
ISNUMBER(SEARCH("MOUSE PAD",B1483)),
ISNUMBER(SEARCH("MOUSEPAD",B1483)),
ISNUMBER(SEARCH("SOPORTE",B1483)),
ISNUMBER(SEARCH("STAND",B1483)),
ISNUMBER(SEARCH("TRAVEL ADAPTER",B1483)),
ISNUMBER(SEARCH("RJ45",B1483)),
ISNUMBER(SEARCH("USB-C",B1483)),
ISNUMBER(SEARCH("USB WIFI",B1483)),
ISNUMBER(SEARCH("POWERBANK",B1483)),
ISNUMBER(SEARCH("CARGADOR",B1483)),
ISNUMBER(SEARCH("COOLER PARA NB",B1483)),
ISNUMBER(SEARCH("SOPORTE PARA NB",B1483)),
ISNUMBER(SEARCH("WEBCAM",B1483)),
ISNUMBER(SEARCH("WEB CAM",B1483)),
ISNUMBER(SEARCH("MOUSE",B1483)),
ISNUMBER(SEARCH("TECLADO",B1483))
),
"COMPLEMENTO",
IF(
OR(
LEFT(A1483,2)="NB",
LEFT(A1483,2)="PC",
LEFT(A1483,2)="WS",
LEFT(A1483,2)="TB",
LEFT(A1483,3)="CEL",
LEFT(A1483,3)="MON",
LEFT(A1483,3)="PRE",
LEFT(A1483,3)="PRH",
ISNUMBER(SEARCH("NOTEBOOK",B1483)),
ISNUMBER(SEARCH("LAPTOP",B1483)),
ISNUMBER(SEARCH("MONITOR",B1483)),
ISNUMBER(SEARCH("TABLET",B1483)),
ISNUMBER(SEARCH("SMARTPH",B1483)),
ISNUMBER(SEARCH("IMPRESORA",B1483)),
ISNUMBER(SEARCH("MULTIFUNCIONAL",B1483)),
ISNUMBER(SEARCH("AIO",B1483))
),
"GANCHO",
"NORMAL"
)
)</f>
        <v>NORMAL</v>
      </c>
    </row>
    <row r="1482" spans="1:12" x14ac:dyDescent="0.25">
      <c r="A1482" s="3" t="s">
        <v>4528</v>
      </c>
      <c r="B1482" s="3" t="s">
        <v>4529</v>
      </c>
      <c r="C1482" s="1">
        <v>20</v>
      </c>
      <c r="D1482" s="1">
        <v>120.8</v>
      </c>
      <c r="E1482" s="1" t="s">
        <v>467</v>
      </c>
      <c r="F1482" s="1" t="s">
        <v>4530</v>
      </c>
      <c r="G1482" s="3" t="s">
        <v>4531</v>
      </c>
      <c r="H1482" s="11">
        <f>ROUND(
IF(L1480="GANCHO",
   IF(I1482&lt;=50,I1482*1.1+4,IF(I1482&lt;=120,I1482*1.1+7,IF(I1482&lt;=250,I1482*1.1+11,I1482*1.1+19))),
IF(L1480="NORMAL",
   IF(I1482&lt;=30,I1482*1.15+2,IF(I1482&lt;=80,I1482*1.15+4,IF(I1482&lt;=150,I1482*1.15+6,I1482*1.15+8))),
IF(L1480="COMPLEMENTO",
   IF(I1482&lt;=25,I1482*1.25+1.5,IF(I1482&lt;=60,I1482*1.25+3,IF(I1482&lt;=120,I1482*1.25+4,I1482*1.25+5))),
""))),2)</f>
        <v>578.46</v>
      </c>
      <c r="I1482" s="9">
        <f>($K$2+0.02)*Tabla1[[#This Row],[PRECIO $]]*1.18</f>
        <v>496.05311999999998</v>
      </c>
      <c r="J1482" s="7">
        <f>+Tabla1[[#This Row],[PRECIO EN SOLES]]-Tabla1[[#This Row],[PC]]</f>
        <v>82.406880000000058</v>
      </c>
      <c r="K1482" s="15"/>
      <c r="L1482" s="15" t="str">
        <f>IF(
OR(
ISNUMBER(SEARCH("BACKPACK",B1484)),
ISNUMBER(SEARCH("MOCHILA",B1484)),
ISNUMBER(SEARCH("FUNDA",B1484)),
ISNUMBER(SEARCH("ESTUCHE",B1484)),
ISNUMBER(SEARCH("BOOK COVER",B1484)),
ISNUMBER(SEARCH("KEYBOARD PARA TABLET",B1484)),
ISNUMBER(SEARCH("FLIP TABLET",B1484)),
ISNUMBER(SEARCH("CASE FOR TABLET",B1484)),
ISNUMBER(SEARCH("CABLE",B1484)),
ISNUMBER(SEARCH("ADAPTADOR",B1484)),
ISNUMBER(SEARCH("HUB",B1484)),
ISNUMBER(SEARCH("DOCK",B1484)),
ISNUMBER(SEARCH("MOUSE PAD",B1484)),
ISNUMBER(SEARCH("MOUSEPAD",B1484)),
ISNUMBER(SEARCH("SOPORTE",B1484)),
ISNUMBER(SEARCH("STAND",B1484)),
ISNUMBER(SEARCH("TRAVEL ADAPTER",B1484)),
ISNUMBER(SEARCH("RJ45",B1484)),
ISNUMBER(SEARCH("USB-C",B1484)),
ISNUMBER(SEARCH("USB WIFI",B1484)),
ISNUMBER(SEARCH("POWERBANK",B1484)),
ISNUMBER(SEARCH("CARGADOR",B1484)),
ISNUMBER(SEARCH("COOLER PARA NB",B1484)),
ISNUMBER(SEARCH("SOPORTE PARA NB",B1484)),
ISNUMBER(SEARCH("WEBCAM",B1484)),
ISNUMBER(SEARCH("WEB CAM",B1484)),
ISNUMBER(SEARCH("MOUSE",B1484)),
ISNUMBER(SEARCH("TECLADO",B1484))
),
"COMPLEMENTO",
IF(
OR(
LEFT(A1484,2)="NB",
LEFT(A1484,2)="PC",
LEFT(A1484,2)="WS",
LEFT(A1484,2)="TB",
LEFT(A1484,3)="CEL",
LEFT(A1484,3)="MON",
LEFT(A1484,3)="PRE",
LEFT(A1484,3)="PRH",
ISNUMBER(SEARCH("NOTEBOOK",B1484)),
ISNUMBER(SEARCH("LAPTOP",B1484)),
ISNUMBER(SEARCH("MONITOR",B1484)),
ISNUMBER(SEARCH("TABLET",B1484)),
ISNUMBER(SEARCH("SMARTPH",B1484)),
ISNUMBER(SEARCH("IMPRESORA",B1484)),
ISNUMBER(SEARCH("MULTIFUNCIONAL",B1484)),
ISNUMBER(SEARCH("AIO",B1484))
),
"GANCHO",
"NORMAL"
)
)</f>
        <v>NORMAL</v>
      </c>
    </row>
    <row r="1483" spans="1:12" x14ac:dyDescent="0.25">
      <c r="A1483" s="3" t="s">
        <v>615</v>
      </c>
      <c r="B1483" s="3" t="s">
        <v>616</v>
      </c>
      <c r="C1483" s="1">
        <v>0</v>
      </c>
      <c r="D1483" s="1">
        <v>96.5</v>
      </c>
      <c r="E1483" s="1" t="s">
        <v>467</v>
      </c>
      <c r="F1483" s="1" t="s">
        <v>3985</v>
      </c>
      <c r="G1483" s="3" t="s">
        <v>617</v>
      </c>
      <c r="H1483" s="11">
        <f>ROUND(
IF(L1481="GANCHO",
   IF(I1483&lt;=50,I1483*1.1+4,IF(I1483&lt;=120,I1483*1.1+7,IF(I1483&lt;=250,I1483*1.1+11,I1483*1.1+19))),
IF(L1481="NORMAL",
   IF(I1483&lt;=30,I1483*1.15+2,IF(I1483&lt;=80,I1483*1.15+4,IF(I1483&lt;=150,I1483*1.15+6,I1483*1.15+8))),
IF(L1481="COMPLEMENTO",
   IF(I1483&lt;=25,I1483*1.25+1.5,IF(I1483&lt;=60,I1483*1.25+3,IF(I1483&lt;=120,I1483*1.25+4,I1483*1.25+5))),
""))),2)</f>
        <v>463.71</v>
      </c>
      <c r="I1483" s="9">
        <f>($K$2+0.02)*Tabla1[[#This Row],[PRECIO $]]*1.18</f>
        <v>396.26759999999996</v>
      </c>
      <c r="J1483" s="7">
        <f>+Tabla1[[#This Row],[PRECIO EN SOLES]]-Tabla1[[#This Row],[PC]]</f>
        <v>67.442400000000021</v>
      </c>
      <c r="K1483" s="15"/>
      <c r="L1483" s="15" t="str">
        <f>IF(
OR(
ISNUMBER(SEARCH("BACKPACK",B1485)),
ISNUMBER(SEARCH("MOCHILA",B1485)),
ISNUMBER(SEARCH("FUNDA",B1485)),
ISNUMBER(SEARCH("ESTUCHE",B1485)),
ISNUMBER(SEARCH("BOOK COVER",B1485)),
ISNUMBER(SEARCH("KEYBOARD PARA TABLET",B1485)),
ISNUMBER(SEARCH("FLIP TABLET",B1485)),
ISNUMBER(SEARCH("CASE FOR TABLET",B1485)),
ISNUMBER(SEARCH("CABLE",B1485)),
ISNUMBER(SEARCH("ADAPTADOR",B1485)),
ISNUMBER(SEARCH("HUB",B1485)),
ISNUMBER(SEARCH("DOCK",B1485)),
ISNUMBER(SEARCH("MOUSE PAD",B1485)),
ISNUMBER(SEARCH("MOUSEPAD",B1485)),
ISNUMBER(SEARCH("SOPORTE",B1485)),
ISNUMBER(SEARCH("STAND",B1485)),
ISNUMBER(SEARCH("TRAVEL ADAPTER",B1485)),
ISNUMBER(SEARCH("RJ45",B1485)),
ISNUMBER(SEARCH("USB-C",B1485)),
ISNUMBER(SEARCH("USB WIFI",B1485)),
ISNUMBER(SEARCH("POWERBANK",B1485)),
ISNUMBER(SEARCH("CARGADOR",B1485)),
ISNUMBER(SEARCH("COOLER PARA NB",B1485)),
ISNUMBER(SEARCH("SOPORTE PARA NB",B1485)),
ISNUMBER(SEARCH("WEBCAM",B1485)),
ISNUMBER(SEARCH("WEB CAM",B1485)),
ISNUMBER(SEARCH("MOUSE",B1485)),
ISNUMBER(SEARCH("TECLADO",B1485))
),
"COMPLEMENTO",
IF(
OR(
LEFT(A1485,2)="NB",
LEFT(A1485,2)="PC",
LEFT(A1485,2)="WS",
LEFT(A1485,2)="TB",
LEFT(A1485,3)="CEL",
LEFT(A1485,3)="MON",
LEFT(A1485,3)="PRE",
LEFT(A1485,3)="PRH",
ISNUMBER(SEARCH("NOTEBOOK",B1485)),
ISNUMBER(SEARCH("LAPTOP",B1485)),
ISNUMBER(SEARCH("MONITOR",B1485)),
ISNUMBER(SEARCH("TABLET",B1485)),
ISNUMBER(SEARCH("SMARTPH",B1485)),
ISNUMBER(SEARCH("IMPRESORA",B1485)),
ISNUMBER(SEARCH("MULTIFUNCIONAL",B1485)),
ISNUMBER(SEARCH("AIO",B1485))
),
"GANCHO",
"NORMAL"
)
)</f>
        <v>NORMAL</v>
      </c>
    </row>
    <row r="1484" spans="1:12" x14ac:dyDescent="0.25">
      <c r="A1484" s="3" t="s">
        <v>4469</v>
      </c>
      <c r="B1484" s="3" t="s">
        <v>4841</v>
      </c>
      <c r="C1484" s="1">
        <v>20</v>
      </c>
      <c r="D1484" s="1">
        <v>48.2</v>
      </c>
      <c r="E1484" s="1" t="s">
        <v>198</v>
      </c>
      <c r="F1484" s="1" t="s">
        <v>4842</v>
      </c>
      <c r="G1484" s="3" t="s">
        <v>4843</v>
      </c>
      <c r="H1484" s="11">
        <f>ROUND(
IF(L1482="GANCHO",
   IF(I1484&lt;=50,I1484*1.1+4,IF(I1484&lt;=120,I1484*1.1+7,IF(I1484&lt;=250,I1484*1.1+11,I1484*1.1+19))),
IF(L1482="NORMAL",
   IF(I1484&lt;=30,I1484*1.15+2,IF(I1484&lt;=80,I1484*1.15+4,IF(I1484&lt;=150,I1484*1.15+6,I1484*1.15+8))),
IF(L1482="COMPLEMENTO",
   IF(I1484&lt;=25,I1484*1.25+1.5,IF(I1484&lt;=60,I1484*1.25+3,IF(I1484&lt;=120,I1484*1.25+4,I1484*1.25+5))),
""))),2)</f>
        <v>235.62</v>
      </c>
      <c r="I1484" s="9">
        <f>($K$2+0.02)*Tabla1[[#This Row],[PRECIO $]]*1.18</f>
        <v>197.92848000000001</v>
      </c>
      <c r="J1484" s="7">
        <f>+Tabla1[[#This Row],[PRECIO EN SOLES]]-Tabla1[[#This Row],[PC]]</f>
        <v>37.691519999999997</v>
      </c>
      <c r="K1484" s="15"/>
      <c r="L1484" s="15" t="str">
        <f>IF(
OR(
ISNUMBER(SEARCH("BACKPACK",B1486)),
ISNUMBER(SEARCH("MOCHILA",B1486)),
ISNUMBER(SEARCH("FUNDA",B1486)),
ISNUMBER(SEARCH("ESTUCHE",B1486)),
ISNUMBER(SEARCH("BOOK COVER",B1486)),
ISNUMBER(SEARCH("KEYBOARD PARA TABLET",B1486)),
ISNUMBER(SEARCH("FLIP TABLET",B1486)),
ISNUMBER(SEARCH("CASE FOR TABLET",B1486)),
ISNUMBER(SEARCH("CABLE",B1486)),
ISNUMBER(SEARCH("ADAPTADOR",B1486)),
ISNUMBER(SEARCH("HUB",B1486)),
ISNUMBER(SEARCH("DOCK",B1486)),
ISNUMBER(SEARCH("MOUSE PAD",B1486)),
ISNUMBER(SEARCH("MOUSEPAD",B1486)),
ISNUMBER(SEARCH("SOPORTE",B1486)),
ISNUMBER(SEARCH("STAND",B1486)),
ISNUMBER(SEARCH("TRAVEL ADAPTER",B1486)),
ISNUMBER(SEARCH("RJ45",B1486)),
ISNUMBER(SEARCH("USB-C",B1486)),
ISNUMBER(SEARCH("USB WIFI",B1486)),
ISNUMBER(SEARCH("POWERBANK",B1486)),
ISNUMBER(SEARCH("CARGADOR",B1486)),
ISNUMBER(SEARCH("COOLER PARA NB",B1486)),
ISNUMBER(SEARCH("SOPORTE PARA NB",B1486)),
ISNUMBER(SEARCH("WEBCAM",B1486)),
ISNUMBER(SEARCH("WEB CAM",B1486)),
ISNUMBER(SEARCH("MOUSE",B1486)),
ISNUMBER(SEARCH("TECLADO",B1486))
),
"COMPLEMENTO",
IF(
OR(
LEFT(A1486,2)="NB",
LEFT(A1486,2)="PC",
LEFT(A1486,2)="WS",
LEFT(A1486,2)="TB",
LEFT(A1486,3)="CEL",
LEFT(A1486,3)="MON",
LEFT(A1486,3)="PRE",
LEFT(A1486,3)="PRH",
ISNUMBER(SEARCH("NOTEBOOK",B1486)),
ISNUMBER(SEARCH("LAPTOP",B1486)),
ISNUMBER(SEARCH("MONITOR",B1486)),
ISNUMBER(SEARCH("TABLET",B1486)),
ISNUMBER(SEARCH("SMARTPH",B1486)),
ISNUMBER(SEARCH("IMPRESORA",B1486)),
ISNUMBER(SEARCH("MULTIFUNCIONAL",B1486)),
ISNUMBER(SEARCH("AIO",B1486))
),
"GANCHO",
"NORMAL"
)
)</f>
        <v>NORMAL</v>
      </c>
    </row>
    <row r="1485" spans="1:12" x14ac:dyDescent="0.25">
      <c r="A1485" s="3" t="s">
        <v>5022</v>
      </c>
      <c r="B1485" s="3" t="s">
        <v>5023</v>
      </c>
      <c r="C1485" s="1">
        <v>20</v>
      </c>
      <c r="D1485" s="1">
        <v>51.25</v>
      </c>
      <c r="E1485" s="1" t="s">
        <v>467</v>
      </c>
      <c r="F1485" s="1" t="s">
        <v>5024</v>
      </c>
      <c r="G1485" s="3" t="s">
        <v>5025</v>
      </c>
      <c r="H1485" s="11">
        <f>ROUND(
IF(L1483="GANCHO",
   IF(I1485&lt;=50,I1485*1.1+4,IF(I1485&lt;=120,I1485*1.1+7,IF(I1485&lt;=250,I1485*1.1+11,I1485*1.1+19))),
IF(L1483="NORMAL",
   IF(I1485&lt;=30,I1485*1.15+2,IF(I1485&lt;=80,I1485*1.15+4,IF(I1485&lt;=150,I1485*1.15+6,I1485*1.15+8))),
IF(L1483="COMPLEMENTO",
   IF(I1485&lt;=25,I1485*1.25+1.5,IF(I1485&lt;=60,I1485*1.25+3,IF(I1485&lt;=120,I1485*1.25+4,I1485*1.25+5))),
""))),2)</f>
        <v>250.02</v>
      </c>
      <c r="I1485" s="9">
        <f>($K$2+0.02)*Tabla1[[#This Row],[PRECIO $]]*1.18</f>
        <v>210.45299999999997</v>
      </c>
      <c r="J1485" s="7">
        <f>+Tabla1[[#This Row],[PRECIO EN SOLES]]-Tabla1[[#This Row],[PC]]</f>
        <v>39.567000000000036</v>
      </c>
      <c r="K1485" s="15"/>
      <c r="L1485" s="15" t="str">
        <f>IF(
OR(
ISNUMBER(SEARCH("BACKPACK",B1487)),
ISNUMBER(SEARCH("MOCHILA",B1487)),
ISNUMBER(SEARCH("FUNDA",B1487)),
ISNUMBER(SEARCH("ESTUCHE",B1487)),
ISNUMBER(SEARCH("BOOK COVER",B1487)),
ISNUMBER(SEARCH("KEYBOARD PARA TABLET",B1487)),
ISNUMBER(SEARCH("FLIP TABLET",B1487)),
ISNUMBER(SEARCH("CASE FOR TABLET",B1487)),
ISNUMBER(SEARCH("CABLE",B1487)),
ISNUMBER(SEARCH("ADAPTADOR",B1487)),
ISNUMBER(SEARCH("HUB",B1487)),
ISNUMBER(SEARCH("DOCK",B1487)),
ISNUMBER(SEARCH("MOUSE PAD",B1487)),
ISNUMBER(SEARCH("MOUSEPAD",B1487)),
ISNUMBER(SEARCH("SOPORTE",B1487)),
ISNUMBER(SEARCH("STAND",B1487)),
ISNUMBER(SEARCH("TRAVEL ADAPTER",B1487)),
ISNUMBER(SEARCH("RJ45",B1487)),
ISNUMBER(SEARCH("USB-C",B1487)),
ISNUMBER(SEARCH("USB WIFI",B1487)),
ISNUMBER(SEARCH("POWERBANK",B1487)),
ISNUMBER(SEARCH("CARGADOR",B1487)),
ISNUMBER(SEARCH("COOLER PARA NB",B1487)),
ISNUMBER(SEARCH("SOPORTE PARA NB",B1487)),
ISNUMBER(SEARCH("WEBCAM",B1487)),
ISNUMBER(SEARCH("WEB CAM",B1487)),
ISNUMBER(SEARCH("MOUSE",B1487)),
ISNUMBER(SEARCH("TECLADO",B1487))
),
"COMPLEMENTO",
IF(
OR(
LEFT(A1487,2)="NB",
LEFT(A1487,2)="PC",
LEFT(A1487,2)="WS",
LEFT(A1487,2)="TB",
LEFT(A1487,3)="CEL",
LEFT(A1487,3)="MON",
LEFT(A1487,3)="PRE",
LEFT(A1487,3)="PRH",
ISNUMBER(SEARCH("NOTEBOOK",B1487)),
ISNUMBER(SEARCH("LAPTOP",B1487)),
ISNUMBER(SEARCH("MONITOR",B1487)),
ISNUMBER(SEARCH("TABLET",B1487)),
ISNUMBER(SEARCH("SMARTPH",B1487)),
ISNUMBER(SEARCH("IMPRESORA",B1487)),
ISNUMBER(SEARCH("MULTIFUNCIONAL",B1487)),
ISNUMBER(SEARCH("AIO",B1487))
),
"GANCHO",
"NORMAL"
)
)</f>
        <v>NORMAL</v>
      </c>
    </row>
    <row r="1486" spans="1:12" x14ac:dyDescent="0.25">
      <c r="A1486" s="3" t="s">
        <v>2449</v>
      </c>
      <c r="B1486" s="3" t="s">
        <v>2450</v>
      </c>
      <c r="C1486" s="1">
        <v>9</v>
      </c>
      <c r="D1486" s="1">
        <v>170.5</v>
      </c>
      <c r="E1486" s="1" t="s">
        <v>198</v>
      </c>
      <c r="F1486" s="1" t="s">
        <v>3986</v>
      </c>
      <c r="G1486" s="3" t="s">
        <v>2451</v>
      </c>
      <c r="H1486" s="11">
        <f>ROUND(
IF(L1484="GANCHO",
   IF(I1486&lt;=50,I1486*1.1+4,IF(I1486&lt;=120,I1486*1.1+7,IF(I1486&lt;=250,I1486*1.1+11,I1486*1.1+19))),
IF(L1484="NORMAL",
   IF(I1486&lt;=30,I1486*1.15+2,IF(I1486&lt;=80,I1486*1.15+4,IF(I1486&lt;=150,I1486*1.15+6,I1486*1.15+8))),
IF(L1484="COMPLEMENTO",
   IF(I1486&lt;=25,I1486*1.25+1.5,IF(I1486&lt;=60,I1486*1.25+3,IF(I1486&lt;=120,I1486*1.25+4,I1486*1.25+5))),
""))),2)</f>
        <v>813.16</v>
      </c>
      <c r="I1486" s="9">
        <f>($K$2+0.02)*Tabla1[[#This Row],[PRECIO $]]*1.18</f>
        <v>700.14120000000003</v>
      </c>
      <c r="J1486" s="7">
        <f>+Tabla1[[#This Row],[PRECIO EN SOLES]]-Tabla1[[#This Row],[PC]]</f>
        <v>113.01879999999994</v>
      </c>
      <c r="K1486" s="15"/>
      <c r="L1486" s="15" t="str">
        <f>IF(
OR(
ISNUMBER(SEARCH("BACKPACK",B1488)),
ISNUMBER(SEARCH("MOCHILA",B1488)),
ISNUMBER(SEARCH("FUNDA",B1488)),
ISNUMBER(SEARCH("ESTUCHE",B1488)),
ISNUMBER(SEARCH("BOOK COVER",B1488)),
ISNUMBER(SEARCH("KEYBOARD PARA TABLET",B1488)),
ISNUMBER(SEARCH("FLIP TABLET",B1488)),
ISNUMBER(SEARCH("CASE FOR TABLET",B1488)),
ISNUMBER(SEARCH("CABLE",B1488)),
ISNUMBER(SEARCH("ADAPTADOR",B1488)),
ISNUMBER(SEARCH("HUB",B1488)),
ISNUMBER(SEARCH("DOCK",B1488)),
ISNUMBER(SEARCH("MOUSE PAD",B1488)),
ISNUMBER(SEARCH("MOUSEPAD",B1488)),
ISNUMBER(SEARCH("SOPORTE",B1488)),
ISNUMBER(SEARCH("STAND",B1488)),
ISNUMBER(SEARCH("TRAVEL ADAPTER",B1488)),
ISNUMBER(SEARCH("RJ45",B1488)),
ISNUMBER(SEARCH("USB-C",B1488)),
ISNUMBER(SEARCH("USB WIFI",B1488)),
ISNUMBER(SEARCH("POWERBANK",B1488)),
ISNUMBER(SEARCH("CARGADOR",B1488)),
ISNUMBER(SEARCH("COOLER PARA NB",B1488)),
ISNUMBER(SEARCH("SOPORTE PARA NB",B1488)),
ISNUMBER(SEARCH("WEBCAM",B1488)),
ISNUMBER(SEARCH("WEB CAM",B1488)),
ISNUMBER(SEARCH("MOUSE",B1488)),
ISNUMBER(SEARCH("TECLADO",B1488))
),
"COMPLEMENTO",
IF(
OR(
LEFT(A1488,2)="NB",
LEFT(A1488,2)="PC",
LEFT(A1488,2)="WS",
LEFT(A1488,2)="TB",
LEFT(A1488,3)="CEL",
LEFT(A1488,3)="MON",
LEFT(A1488,3)="PRE",
LEFT(A1488,3)="PRH",
ISNUMBER(SEARCH("NOTEBOOK",B1488)),
ISNUMBER(SEARCH("LAPTOP",B1488)),
ISNUMBER(SEARCH("MONITOR",B1488)),
ISNUMBER(SEARCH("TABLET",B1488)),
ISNUMBER(SEARCH("SMARTPH",B1488)),
ISNUMBER(SEARCH("IMPRESORA",B1488)),
ISNUMBER(SEARCH("MULTIFUNCIONAL",B1488)),
ISNUMBER(SEARCH("AIO",B1488))
),
"GANCHO",
"NORMAL"
)
)</f>
        <v>NORMAL</v>
      </c>
    </row>
    <row r="1487" spans="1:12" x14ac:dyDescent="0.25">
      <c r="A1487" s="3" t="s">
        <v>683</v>
      </c>
      <c r="B1487" s="3" t="s">
        <v>684</v>
      </c>
      <c r="C1487" s="1">
        <v>3</v>
      </c>
      <c r="D1487" s="1">
        <v>163.9</v>
      </c>
      <c r="E1487" s="1" t="s">
        <v>467</v>
      </c>
      <c r="F1487" s="1" t="s">
        <v>3987</v>
      </c>
      <c r="G1487" s="3" t="s">
        <v>685</v>
      </c>
      <c r="H1487" s="11">
        <f>ROUND(
IF(L1485="GANCHO",
   IF(I1487&lt;=50,I1487*1.1+4,IF(I1487&lt;=120,I1487*1.1+7,IF(I1487&lt;=250,I1487*1.1+11,I1487*1.1+19))),
IF(L1485="NORMAL",
   IF(I1487&lt;=30,I1487*1.15+2,IF(I1487&lt;=80,I1487*1.15+4,IF(I1487&lt;=150,I1487*1.15+6,I1487*1.15+8))),
IF(L1485="COMPLEMENTO",
   IF(I1487&lt;=25,I1487*1.25+1.5,IF(I1487&lt;=60,I1487*1.25+3,IF(I1487&lt;=120,I1487*1.25+4,I1487*1.25+5))),
""))),2)</f>
        <v>781.99</v>
      </c>
      <c r="I1487" s="9">
        <f>($K$2+0.02)*Tabla1[[#This Row],[PRECIO $]]*1.18</f>
        <v>673.03896000000009</v>
      </c>
      <c r="J1487" s="7">
        <f>+Tabla1[[#This Row],[PRECIO EN SOLES]]-Tabla1[[#This Row],[PC]]</f>
        <v>108.95103999999992</v>
      </c>
      <c r="K1487" s="15"/>
      <c r="L1487" s="15" t="str">
        <f>IF(
OR(
ISNUMBER(SEARCH("BACKPACK",B1489)),
ISNUMBER(SEARCH("MOCHILA",B1489)),
ISNUMBER(SEARCH("FUNDA",B1489)),
ISNUMBER(SEARCH("ESTUCHE",B1489)),
ISNUMBER(SEARCH("BOOK COVER",B1489)),
ISNUMBER(SEARCH("KEYBOARD PARA TABLET",B1489)),
ISNUMBER(SEARCH("FLIP TABLET",B1489)),
ISNUMBER(SEARCH("CASE FOR TABLET",B1489)),
ISNUMBER(SEARCH("CABLE",B1489)),
ISNUMBER(SEARCH("ADAPTADOR",B1489)),
ISNUMBER(SEARCH("HUB",B1489)),
ISNUMBER(SEARCH("DOCK",B1489)),
ISNUMBER(SEARCH("MOUSE PAD",B1489)),
ISNUMBER(SEARCH("MOUSEPAD",B1489)),
ISNUMBER(SEARCH("SOPORTE",B1489)),
ISNUMBER(SEARCH("STAND",B1489)),
ISNUMBER(SEARCH("TRAVEL ADAPTER",B1489)),
ISNUMBER(SEARCH("RJ45",B1489)),
ISNUMBER(SEARCH("USB-C",B1489)),
ISNUMBER(SEARCH("USB WIFI",B1489)),
ISNUMBER(SEARCH("POWERBANK",B1489)),
ISNUMBER(SEARCH("CARGADOR",B1489)),
ISNUMBER(SEARCH("COOLER PARA NB",B1489)),
ISNUMBER(SEARCH("SOPORTE PARA NB",B1489)),
ISNUMBER(SEARCH("WEBCAM",B1489)),
ISNUMBER(SEARCH("WEB CAM",B1489)),
ISNUMBER(SEARCH("MOUSE",B1489)),
ISNUMBER(SEARCH("TECLADO",B1489))
),
"COMPLEMENTO",
IF(
OR(
LEFT(A1489,2)="NB",
LEFT(A1489,2)="PC",
LEFT(A1489,2)="WS",
LEFT(A1489,2)="TB",
LEFT(A1489,3)="CEL",
LEFT(A1489,3)="MON",
LEFT(A1489,3)="PRE",
LEFT(A1489,3)="PRH",
ISNUMBER(SEARCH("NOTEBOOK",B1489)),
ISNUMBER(SEARCH("LAPTOP",B1489)),
ISNUMBER(SEARCH("MONITOR",B1489)),
ISNUMBER(SEARCH("TABLET",B1489)),
ISNUMBER(SEARCH("SMARTPH",B1489)),
ISNUMBER(SEARCH("IMPRESORA",B1489)),
ISNUMBER(SEARCH("MULTIFUNCIONAL",B1489)),
ISNUMBER(SEARCH("AIO",B1489))
),
"GANCHO",
"NORMAL"
)
)</f>
        <v>NORMAL</v>
      </c>
    </row>
    <row r="1488" spans="1:12" x14ac:dyDescent="0.25">
      <c r="A1488" s="3" t="s">
        <v>4844</v>
      </c>
      <c r="B1488" s="3" t="s">
        <v>4845</v>
      </c>
      <c r="C1488" s="1">
        <v>20</v>
      </c>
      <c r="D1488" s="1">
        <v>75.3</v>
      </c>
      <c r="E1488" s="1" t="s">
        <v>198</v>
      </c>
      <c r="F1488" s="1" t="s">
        <v>4846</v>
      </c>
      <c r="G1488" s="3" t="s">
        <v>4847</v>
      </c>
      <c r="H1488" s="11">
        <f>ROUND(
IF(L1486="GANCHO",
   IF(I1488&lt;=50,I1488*1.1+4,IF(I1488&lt;=120,I1488*1.1+7,IF(I1488&lt;=250,I1488*1.1+11,I1488*1.1+19))),
IF(L1486="NORMAL",
   IF(I1488&lt;=30,I1488*1.15+2,IF(I1488&lt;=80,I1488*1.15+4,IF(I1488&lt;=150,I1488*1.15+6,I1488*1.15+8))),
IF(L1486="COMPLEMENTO",
   IF(I1488&lt;=25,I1488*1.25+1.5,IF(I1488&lt;=60,I1488*1.25+3,IF(I1488&lt;=120,I1488*1.25+4,I1488*1.25+5))),
""))),2)</f>
        <v>363.59</v>
      </c>
      <c r="I1488" s="9">
        <f>($K$2+0.02)*Tabla1[[#This Row],[PRECIO $]]*1.18</f>
        <v>309.21191999999996</v>
      </c>
      <c r="J1488" s="7">
        <f>+Tabla1[[#This Row],[PRECIO EN SOLES]]-Tabla1[[#This Row],[PC]]</f>
        <v>54.378080000000011</v>
      </c>
      <c r="K1488" s="15"/>
      <c r="L1488" s="15" t="str">
        <f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89" spans="1:12" x14ac:dyDescent="0.25">
      <c r="A1489" s="3" t="s">
        <v>2452</v>
      </c>
      <c r="B1489" s="3" t="s">
        <v>2453</v>
      </c>
      <c r="C1489" s="1">
        <v>0</v>
      </c>
      <c r="D1489" s="1">
        <v>71.400000000000006</v>
      </c>
      <c r="E1489" s="1" t="s">
        <v>467</v>
      </c>
      <c r="F1489" s="1" t="s">
        <v>3988</v>
      </c>
      <c r="G1489" s="3" t="s">
        <v>2454</v>
      </c>
      <c r="H1489" s="11">
        <f>ROUND(
IF(L1487="GANCHO",
   IF(I1489&lt;=50,I1489*1.1+4,IF(I1489&lt;=120,I1489*1.1+7,IF(I1489&lt;=250,I1489*1.1+11,I1489*1.1+19))),
IF(L1487="NORMAL",
   IF(I1489&lt;=30,I1489*1.15+2,IF(I1489&lt;=80,I1489*1.15+4,IF(I1489&lt;=150,I1489*1.15+6,I1489*1.15+8))),
IF(L1487="COMPLEMENTO",
   IF(I1489&lt;=25,I1489*1.25+1.5,IF(I1489&lt;=60,I1489*1.25+3,IF(I1489&lt;=120,I1489*1.25+4,I1489*1.25+5))),
""))),2)</f>
        <v>345.18</v>
      </c>
      <c r="I1489" s="9">
        <f>($K$2+0.02)*Tabla1[[#This Row],[PRECIO $]]*1.18</f>
        <v>293.19695999999999</v>
      </c>
      <c r="J1489" s="7">
        <f>+Tabla1[[#This Row],[PRECIO EN SOLES]]-Tabla1[[#This Row],[PC]]</f>
        <v>51.983040000000017</v>
      </c>
      <c r="K1489" s="15"/>
      <c r="L1489" s="15" t="str">
        <f>IF(
OR(
ISNUMBER(SEARCH("BACKPACK",B1491)),
ISNUMBER(SEARCH("MOCHILA",B1491)),
ISNUMBER(SEARCH("FUNDA",B1491)),
ISNUMBER(SEARCH("ESTUCHE",B1491)),
ISNUMBER(SEARCH("BOOK COVER",B1491)),
ISNUMBER(SEARCH("KEYBOARD PARA TABLET",B1491)),
ISNUMBER(SEARCH("FLIP TABLET",B1491)),
ISNUMBER(SEARCH("CASE FOR TABLET",B1491)),
ISNUMBER(SEARCH("CABLE",B1491)),
ISNUMBER(SEARCH("ADAPTADOR",B1491)),
ISNUMBER(SEARCH("HUB",B1491)),
ISNUMBER(SEARCH("DOCK",B1491)),
ISNUMBER(SEARCH("MOUSE PAD",B1491)),
ISNUMBER(SEARCH("MOUSEPAD",B1491)),
ISNUMBER(SEARCH("SOPORTE",B1491)),
ISNUMBER(SEARCH("STAND",B1491)),
ISNUMBER(SEARCH("TRAVEL ADAPTER",B1491)),
ISNUMBER(SEARCH("RJ45",B1491)),
ISNUMBER(SEARCH("USB-C",B1491)),
ISNUMBER(SEARCH("USB WIFI",B1491)),
ISNUMBER(SEARCH("POWERBANK",B1491)),
ISNUMBER(SEARCH("CARGADOR",B1491)),
ISNUMBER(SEARCH("COOLER PARA NB",B1491)),
ISNUMBER(SEARCH("SOPORTE PARA NB",B1491)),
ISNUMBER(SEARCH("WEBCAM",B1491)),
ISNUMBER(SEARCH("WEB CAM",B1491)),
ISNUMBER(SEARCH("MOUSE",B1491)),
ISNUMBER(SEARCH("TECLADO",B1491))
),
"COMPLEMENTO",
IF(
OR(
LEFT(A1491,2)="NB",
LEFT(A1491,2)="PC",
LEFT(A1491,2)="WS",
LEFT(A1491,2)="TB",
LEFT(A1491,3)="CEL",
LEFT(A1491,3)="MON",
LEFT(A1491,3)="PRE",
LEFT(A1491,3)="PRH",
ISNUMBER(SEARCH("NOTEBOOK",B1491)),
ISNUMBER(SEARCH("LAPTOP",B1491)),
ISNUMBER(SEARCH("MONITOR",B1491)),
ISNUMBER(SEARCH("TABLET",B1491)),
ISNUMBER(SEARCH("SMARTPH",B1491)),
ISNUMBER(SEARCH("IMPRESORA",B1491)),
ISNUMBER(SEARCH("MULTIFUNCIONAL",B1491)),
ISNUMBER(SEARCH("AIO",B1491))
),
"GANCHO",
"NORMAL"
)
)</f>
        <v>NORMAL</v>
      </c>
    </row>
    <row r="1490" spans="1:12" x14ac:dyDescent="0.25">
      <c r="A1490" s="3" t="s">
        <v>5167</v>
      </c>
      <c r="B1490" s="3" t="s">
        <v>5168</v>
      </c>
      <c r="C1490" s="1">
        <v>20</v>
      </c>
      <c r="D1490" s="1">
        <v>47.2</v>
      </c>
      <c r="E1490" s="1" t="s">
        <v>5169</v>
      </c>
      <c r="F1490" s="1" t="s">
        <v>5170</v>
      </c>
      <c r="G1490" s="3" t="s">
        <v>5171</v>
      </c>
      <c r="H1490" s="11">
        <f>ROUND(
IF(L1488="GANCHO",
   IF(I1490&lt;=50,I1490*1.1+4,IF(I1490&lt;=120,I1490*1.1+7,IF(I1490&lt;=250,I1490*1.1+11,I1490*1.1+19))),
IF(L1488="NORMAL",
   IF(I1490&lt;=30,I1490*1.15+2,IF(I1490&lt;=80,I1490*1.15+4,IF(I1490&lt;=150,I1490*1.15+6,I1490*1.15+8))),
IF(L1488="COMPLEMENTO",
   IF(I1490&lt;=25,I1490*1.25+1.5,IF(I1490&lt;=60,I1490*1.25+3,IF(I1490&lt;=120,I1490*1.25+4,I1490*1.25+5))),
""))),2)</f>
        <v>230.9</v>
      </c>
      <c r="I1490" s="9">
        <f>($K$2+0.02)*Tabla1[[#This Row],[PRECIO $]]*1.18</f>
        <v>193.82208</v>
      </c>
      <c r="J1490" s="7">
        <f>+Tabla1[[#This Row],[PRECIO EN SOLES]]-Tabla1[[#This Row],[PC]]</f>
        <v>37.077920000000006</v>
      </c>
      <c r="K1490" s="15"/>
      <c r="L1490" s="15" t="str">
        <f>IF(
OR(
ISNUMBER(SEARCH("BACKPACK",B1492)),
ISNUMBER(SEARCH("MOCHILA",B1492)),
ISNUMBER(SEARCH("FUNDA",B1492)),
ISNUMBER(SEARCH("ESTUCHE",B1492)),
ISNUMBER(SEARCH("BOOK COVER",B1492)),
ISNUMBER(SEARCH("KEYBOARD PARA TABLET",B1492)),
ISNUMBER(SEARCH("FLIP TABLET",B1492)),
ISNUMBER(SEARCH("CASE FOR TABLET",B1492)),
ISNUMBER(SEARCH("CABLE",B1492)),
ISNUMBER(SEARCH("ADAPTADOR",B1492)),
ISNUMBER(SEARCH("HUB",B1492)),
ISNUMBER(SEARCH("DOCK",B1492)),
ISNUMBER(SEARCH("MOUSE PAD",B1492)),
ISNUMBER(SEARCH("MOUSEPAD",B1492)),
ISNUMBER(SEARCH("SOPORTE",B1492)),
ISNUMBER(SEARCH("STAND",B1492)),
ISNUMBER(SEARCH("TRAVEL ADAPTER",B1492)),
ISNUMBER(SEARCH("RJ45",B1492)),
ISNUMBER(SEARCH("USB-C",B1492)),
ISNUMBER(SEARCH("USB WIFI",B1492)),
ISNUMBER(SEARCH("POWERBANK",B1492)),
ISNUMBER(SEARCH("CARGADOR",B1492)),
ISNUMBER(SEARCH("COOLER PARA NB",B1492)),
ISNUMBER(SEARCH("SOPORTE PARA NB",B1492)),
ISNUMBER(SEARCH("WEBCAM",B1492)),
ISNUMBER(SEARCH("WEB CAM",B1492)),
ISNUMBER(SEARCH("MOUSE",B1492)),
ISNUMBER(SEARCH("TECLADO",B1492))
),
"COMPLEMENTO",
IF(
OR(
LEFT(A1492,2)="NB",
LEFT(A1492,2)="PC",
LEFT(A1492,2)="WS",
LEFT(A1492,2)="TB",
LEFT(A1492,3)="CEL",
LEFT(A1492,3)="MON",
LEFT(A1492,3)="PRE",
LEFT(A1492,3)="PRH",
ISNUMBER(SEARCH("NOTEBOOK",B1492)),
ISNUMBER(SEARCH("LAPTOP",B1492)),
ISNUMBER(SEARCH("MONITOR",B1492)),
ISNUMBER(SEARCH("TABLET",B1492)),
ISNUMBER(SEARCH("SMARTPH",B1492)),
ISNUMBER(SEARCH("IMPRESORA",B1492)),
ISNUMBER(SEARCH("MULTIFUNCIONAL",B1492)),
ISNUMBER(SEARCH("AIO",B1492))
),
"GANCHO",
"NORMAL"
)
)</f>
        <v>NORMAL</v>
      </c>
    </row>
    <row r="1491" spans="1:12" x14ac:dyDescent="0.25">
      <c r="A1491" s="3" t="s">
        <v>5172</v>
      </c>
      <c r="B1491" s="3" t="s">
        <v>5173</v>
      </c>
      <c r="C1491" s="1">
        <v>20</v>
      </c>
      <c r="D1491" s="1">
        <v>80.3</v>
      </c>
      <c r="E1491" s="1" t="s">
        <v>5169</v>
      </c>
      <c r="F1491" s="1" t="s">
        <v>5174</v>
      </c>
      <c r="G1491" s="3" t="s">
        <v>5175</v>
      </c>
      <c r="H1491" s="11">
        <f>ROUND(
IF(L1489="GANCHO",
   IF(I1491&lt;=50,I1491*1.1+4,IF(I1491&lt;=120,I1491*1.1+7,IF(I1491&lt;=250,I1491*1.1+11,I1491*1.1+19))),
IF(L1489="NORMAL",
   IF(I1491&lt;=30,I1491*1.15+2,IF(I1491&lt;=80,I1491*1.15+4,IF(I1491&lt;=150,I1491*1.15+6,I1491*1.15+8))),
IF(L1489="COMPLEMENTO",
   IF(I1491&lt;=25,I1491*1.25+1.5,IF(I1491&lt;=60,I1491*1.25+3,IF(I1491&lt;=120,I1491*1.25+4,I1491*1.25+5))),
""))),2)</f>
        <v>387.21</v>
      </c>
      <c r="I1491" s="9">
        <f>($K$2+0.02)*Tabla1[[#This Row],[PRECIO $]]*1.18</f>
        <v>329.74392</v>
      </c>
      <c r="J1491" s="7">
        <f>+Tabla1[[#This Row],[PRECIO EN SOLES]]-Tabla1[[#This Row],[PC]]</f>
        <v>57.466079999999977</v>
      </c>
      <c r="K1491" s="15"/>
      <c r="L1491" s="15" t="str">
        <f>IF(
OR(
ISNUMBER(SEARCH("BACKPACK",B1493)),
ISNUMBER(SEARCH("MOCHILA",B1493)),
ISNUMBER(SEARCH("FUNDA",B1493)),
ISNUMBER(SEARCH("ESTUCHE",B1493)),
ISNUMBER(SEARCH("BOOK COVER",B1493)),
ISNUMBER(SEARCH("KEYBOARD PARA TABLET",B1493)),
ISNUMBER(SEARCH("FLIP TABLET",B1493)),
ISNUMBER(SEARCH("CASE FOR TABLET",B1493)),
ISNUMBER(SEARCH("CABLE",B1493)),
ISNUMBER(SEARCH("ADAPTADOR",B1493)),
ISNUMBER(SEARCH("HUB",B1493)),
ISNUMBER(SEARCH("DOCK",B1493)),
ISNUMBER(SEARCH("MOUSE PAD",B1493)),
ISNUMBER(SEARCH("MOUSEPAD",B1493)),
ISNUMBER(SEARCH("SOPORTE",B1493)),
ISNUMBER(SEARCH("STAND",B1493)),
ISNUMBER(SEARCH("TRAVEL ADAPTER",B1493)),
ISNUMBER(SEARCH("RJ45",B1493)),
ISNUMBER(SEARCH("USB-C",B1493)),
ISNUMBER(SEARCH("USB WIFI",B1493)),
ISNUMBER(SEARCH("POWERBANK",B1493)),
ISNUMBER(SEARCH("CARGADOR",B1493)),
ISNUMBER(SEARCH("COOLER PARA NB",B1493)),
ISNUMBER(SEARCH("SOPORTE PARA NB",B1493)),
ISNUMBER(SEARCH("WEBCAM",B1493)),
ISNUMBER(SEARCH("WEB CAM",B1493)),
ISNUMBER(SEARCH("MOUSE",B1493)),
ISNUMBER(SEARCH("TECLADO",B1493))
),
"COMPLEMENTO",
IF(
OR(
LEFT(A1493,2)="NB",
LEFT(A1493,2)="PC",
LEFT(A1493,2)="WS",
LEFT(A1493,2)="TB",
LEFT(A1493,3)="CEL",
LEFT(A1493,3)="MON",
LEFT(A1493,3)="PRE",
LEFT(A1493,3)="PRH",
ISNUMBER(SEARCH("NOTEBOOK",B1493)),
ISNUMBER(SEARCH("LAPTOP",B1493)),
ISNUMBER(SEARCH("MONITOR",B1493)),
ISNUMBER(SEARCH("TABLET",B1493)),
ISNUMBER(SEARCH("SMARTPH",B1493)),
ISNUMBER(SEARCH("IMPRESORA",B1493)),
ISNUMBER(SEARCH("MULTIFUNCIONAL",B1493)),
ISNUMBER(SEARCH("AIO",B1493))
),
"GANCHO",
"NORMAL"
)
)</f>
        <v>NORMAL</v>
      </c>
    </row>
    <row r="1492" spans="1:12" x14ac:dyDescent="0.25">
      <c r="A1492" s="3" t="s">
        <v>5477</v>
      </c>
      <c r="B1492" s="3" t="s">
        <v>5478</v>
      </c>
      <c r="C1492" s="1">
        <v>20</v>
      </c>
      <c r="D1492" s="1">
        <v>136.30000000000001</v>
      </c>
      <c r="E1492" s="1" t="s">
        <v>199</v>
      </c>
      <c r="F1492" s="1" t="s">
        <v>5479</v>
      </c>
      <c r="G1492" s="3" t="s">
        <v>6132</v>
      </c>
      <c r="H1492" s="11">
        <f>ROUND(
IF(L1490="GANCHO",
   IF(I1492&lt;=50,I1492*1.1+4,IF(I1492&lt;=120,I1492*1.1+7,IF(I1492&lt;=250,I1492*1.1+11,I1492*1.1+19))),
IF(L1490="NORMAL",
   IF(I1492&lt;=30,I1492*1.15+2,IF(I1492&lt;=80,I1492*1.15+4,IF(I1492&lt;=150,I1492*1.15+6,I1492*1.15+8))),
IF(L1490="COMPLEMENTO",
   IF(I1492&lt;=25,I1492*1.25+1.5,IF(I1492&lt;=60,I1492*1.25+3,IF(I1492&lt;=120,I1492*1.25+4,I1492*1.25+5))),
""))),2)</f>
        <v>651.66</v>
      </c>
      <c r="I1492" s="9">
        <f>($K$2+0.02)*Tabla1[[#This Row],[PRECIO $]]*1.18</f>
        <v>559.70231999999999</v>
      </c>
      <c r="J1492" s="7">
        <f>+Tabla1[[#This Row],[PRECIO EN SOLES]]-Tabla1[[#This Row],[PC]]</f>
        <v>91.957679999999982</v>
      </c>
      <c r="K1492" s="15"/>
      <c r="L1492" s="15" t="str">
        <f>IF(
OR(
ISNUMBER(SEARCH("BACKPACK",B1494)),
ISNUMBER(SEARCH("MOCHILA",B1494)),
ISNUMBER(SEARCH("FUNDA",B1494)),
ISNUMBER(SEARCH("ESTUCHE",B1494)),
ISNUMBER(SEARCH("BOOK COVER",B1494)),
ISNUMBER(SEARCH("KEYBOARD PARA TABLET",B1494)),
ISNUMBER(SEARCH("FLIP TABLET",B1494)),
ISNUMBER(SEARCH("CASE FOR TABLET",B1494)),
ISNUMBER(SEARCH("CABLE",B1494)),
ISNUMBER(SEARCH("ADAPTADOR",B1494)),
ISNUMBER(SEARCH("HUB",B1494)),
ISNUMBER(SEARCH("DOCK",B1494)),
ISNUMBER(SEARCH("MOUSE PAD",B1494)),
ISNUMBER(SEARCH("MOUSEPAD",B1494)),
ISNUMBER(SEARCH("SOPORTE",B1494)),
ISNUMBER(SEARCH("STAND",B1494)),
ISNUMBER(SEARCH("TRAVEL ADAPTER",B1494)),
ISNUMBER(SEARCH("RJ45",B1494)),
ISNUMBER(SEARCH("USB-C",B1494)),
ISNUMBER(SEARCH("USB WIFI",B1494)),
ISNUMBER(SEARCH("POWERBANK",B1494)),
ISNUMBER(SEARCH("CARGADOR",B1494)),
ISNUMBER(SEARCH("COOLER PARA NB",B1494)),
ISNUMBER(SEARCH("SOPORTE PARA NB",B1494)),
ISNUMBER(SEARCH("WEBCAM",B1494)),
ISNUMBER(SEARCH("WEB CAM",B1494)),
ISNUMBER(SEARCH("MOUSE",B1494)),
ISNUMBER(SEARCH("TECLADO",B1494))
),
"COMPLEMENTO",
IF(
OR(
LEFT(A1494,2)="NB",
LEFT(A1494,2)="PC",
LEFT(A1494,2)="WS",
LEFT(A1494,2)="TB",
LEFT(A1494,3)="CEL",
LEFT(A1494,3)="MON",
LEFT(A1494,3)="PRE",
LEFT(A1494,3)="PRH",
ISNUMBER(SEARCH("NOTEBOOK",B1494)),
ISNUMBER(SEARCH("LAPTOP",B1494)),
ISNUMBER(SEARCH("MONITOR",B1494)),
ISNUMBER(SEARCH("TABLET",B1494)),
ISNUMBER(SEARCH("SMARTPH",B1494)),
ISNUMBER(SEARCH("IMPRESORA",B1494)),
ISNUMBER(SEARCH("MULTIFUNCIONAL",B1494)),
ISNUMBER(SEARCH("AIO",B1494))
),
"GANCHO",
"NORMAL"
)
)</f>
        <v>NORMAL</v>
      </c>
    </row>
    <row r="1493" spans="1:12" x14ac:dyDescent="0.25">
      <c r="A1493" s="3" t="s">
        <v>5480</v>
      </c>
      <c r="B1493" s="3" t="s">
        <v>5481</v>
      </c>
      <c r="C1493" s="1">
        <v>20</v>
      </c>
      <c r="D1493" s="1">
        <v>47.2</v>
      </c>
      <c r="E1493" s="1" t="s">
        <v>199</v>
      </c>
      <c r="F1493" s="1" t="s">
        <v>5482</v>
      </c>
      <c r="G1493" s="3" t="s">
        <v>5483</v>
      </c>
      <c r="H1493" s="11">
        <f>ROUND(
IF(L1491="GANCHO",
   IF(I1493&lt;=50,I1493*1.1+4,IF(I1493&lt;=120,I1493*1.1+7,IF(I1493&lt;=250,I1493*1.1+11,I1493*1.1+19))),
IF(L1491="NORMAL",
   IF(I1493&lt;=30,I1493*1.15+2,IF(I1493&lt;=80,I1493*1.15+4,IF(I1493&lt;=150,I1493*1.15+6,I1493*1.15+8))),
IF(L1491="COMPLEMENTO",
   IF(I1493&lt;=25,I1493*1.25+1.5,IF(I1493&lt;=60,I1493*1.25+3,IF(I1493&lt;=120,I1493*1.25+4,I1493*1.25+5))),
""))),2)</f>
        <v>230.9</v>
      </c>
      <c r="I1493" s="9">
        <f>($K$2+0.02)*Tabla1[[#This Row],[PRECIO $]]*1.18</f>
        <v>193.82208</v>
      </c>
      <c r="J1493" s="7">
        <f>+Tabla1[[#This Row],[PRECIO EN SOLES]]-Tabla1[[#This Row],[PC]]</f>
        <v>37.077920000000006</v>
      </c>
      <c r="K1493" s="15"/>
      <c r="L1493" s="15" t="str">
        <f>IF(
OR(
ISNUMBER(SEARCH("BACKPACK",B1495)),
ISNUMBER(SEARCH("MOCHILA",B1495)),
ISNUMBER(SEARCH("FUNDA",B1495)),
ISNUMBER(SEARCH("ESTUCHE",B1495)),
ISNUMBER(SEARCH("BOOK COVER",B1495)),
ISNUMBER(SEARCH("KEYBOARD PARA TABLET",B1495)),
ISNUMBER(SEARCH("FLIP TABLET",B1495)),
ISNUMBER(SEARCH("CASE FOR TABLET",B1495)),
ISNUMBER(SEARCH("CABLE",B1495)),
ISNUMBER(SEARCH("ADAPTADOR",B1495)),
ISNUMBER(SEARCH("HUB",B1495)),
ISNUMBER(SEARCH("DOCK",B1495)),
ISNUMBER(SEARCH("MOUSE PAD",B1495)),
ISNUMBER(SEARCH("MOUSEPAD",B1495)),
ISNUMBER(SEARCH("SOPORTE",B1495)),
ISNUMBER(SEARCH("STAND",B1495)),
ISNUMBER(SEARCH("TRAVEL ADAPTER",B1495)),
ISNUMBER(SEARCH("RJ45",B1495)),
ISNUMBER(SEARCH("USB-C",B1495)),
ISNUMBER(SEARCH("USB WIFI",B1495)),
ISNUMBER(SEARCH("POWERBANK",B1495)),
ISNUMBER(SEARCH("CARGADOR",B1495)),
ISNUMBER(SEARCH("COOLER PARA NB",B1495)),
ISNUMBER(SEARCH("SOPORTE PARA NB",B1495)),
ISNUMBER(SEARCH("WEBCAM",B1495)),
ISNUMBER(SEARCH("WEB CAM",B1495)),
ISNUMBER(SEARCH("MOUSE",B1495)),
ISNUMBER(SEARCH("TECLADO",B1495))
),
"COMPLEMENTO",
IF(
OR(
LEFT(A1495,2)="NB",
LEFT(A1495,2)="PC",
LEFT(A1495,2)="WS",
LEFT(A1495,2)="TB",
LEFT(A1495,3)="CEL",
LEFT(A1495,3)="MON",
LEFT(A1495,3)="PRE",
LEFT(A1495,3)="PRH",
ISNUMBER(SEARCH("NOTEBOOK",B1495)),
ISNUMBER(SEARCH("LAPTOP",B1495)),
ISNUMBER(SEARCH("MONITOR",B1495)),
ISNUMBER(SEARCH("TABLET",B1495)),
ISNUMBER(SEARCH("SMARTPH",B1495)),
ISNUMBER(SEARCH("IMPRESORA",B1495)),
ISNUMBER(SEARCH("MULTIFUNCIONAL",B1495)),
ISNUMBER(SEARCH("AIO",B1495))
),
"GANCHO",
"NORMAL"
)
)</f>
        <v>NORMAL</v>
      </c>
    </row>
    <row r="1494" spans="1:12" x14ac:dyDescent="0.25">
      <c r="A1494" s="3" t="s">
        <v>5484</v>
      </c>
      <c r="B1494" s="3" t="s">
        <v>5485</v>
      </c>
      <c r="C1494" s="1">
        <v>20</v>
      </c>
      <c r="D1494" s="1">
        <v>76.3</v>
      </c>
      <c r="E1494" s="1" t="s">
        <v>199</v>
      </c>
      <c r="F1494" s="1" t="s">
        <v>5486</v>
      </c>
      <c r="G1494" s="3" t="s">
        <v>5487</v>
      </c>
      <c r="H1494" s="11">
        <f>ROUND(
IF(L1492="GANCHO",
   IF(I1494&lt;=50,I1494*1.1+4,IF(I1494&lt;=120,I1494*1.1+7,IF(I1494&lt;=250,I1494*1.1+11,I1494*1.1+19))),
IF(L1492="NORMAL",
   IF(I1494&lt;=30,I1494*1.15+2,IF(I1494&lt;=80,I1494*1.15+4,IF(I1494&lt;=150,I1494*1.15+6,I1494*1.15+8))),
IF(L1492="COMPLEMENTO",
   IF(I1494&lt;=25,I1494*1.25+1.5,IF(I1494&lt;=60,I1494*1.25+3,IF(I1494&lt;=120,I1494*1.25+4,I1494*1.25+5))),
""))),2)</f>
        <v>368.32</v>
      </c>
      <c r="I1494" s="9">
        <f>($K$2+0.02)*Tabla1[[#This Row],[PRECIO $]]*1.18</f>
        <v>313.31831999999997</v>
      </c>
      <c r="J1494" s="7">
        <f>+Tabla1[[#This Row],[PRECIO EN SOLES]]-Tabla1[[#This Row],[PC]]</f>
        <v>55.001680000000022</v>
      </c>
      <c r="K1494" s="15"/>
      <c r="L1494" s="15" t="str">
        <f>IF(
OR(
ISNUMBER(SEARCH("BACKPACK",B1496)),
ISNUMBER(SEARCH("MOCHILA",B1496)),
ISNUMBER(SEARCH("FUNDA",B1496)),
ISNUMBER(SEARCH("ESTUCHE",B1496)),
ISNUMBER(SEARCH("BOOK COVER",B1496)),
ISNUMBER(SEARCH("KEYBOARD PARA TABLET",B1496)),
ISNUMBER(SEARCH("FLIP TABLET",B1496)),
ISNUMBER(SEARCH("CASE FOR TABLET",B1496)),
ISNUMBER(SEARCH("CABLE",B1496)),
ISNUMBER(SEARCH("ADAPTADOR",B1496)),
ISNUMBER(SEARCH("HUB",B1496)),
ISNUMBER(SEARCH("DOCK",B1496)),
ISNUMBER(SEARCH("MOUSE PAD",B1496)),
ISNUMBER(SEARCH("MOUSEPAD",B1496)),
ISNUMBER(SEARCH("SOPORTE",B1496)),
ISNUMBER(SEARCH("STAND",B1496)),
ISNUMBER(SEARCH("TRAVEL ADAPTER",B1496)),
ISNUMBER(SEARCH("RJ45",B1496)),
ISNUMBER(SEARCH("USB-C",B1496)),
ISNUMBER(SEARCH("USB WIFI",B1496)),
ISNUMBER(SEARCH("POWERBANK",B1496)),
ISNUMBER(SEARCH("CARGADOR",B1496)),
ISNUMBER(SEARCH("COOLER PARA NB",B1496)),
ISNUMBER(SEARCH("SOPORTE PARA NB",B1496)),
ISNUMBER(SEARCH("WEBCAM",B1496)),
ISNUMBER(SEARCH("WEB CAM",B1496)),
ISNUMBER(SEARCH("MOUSE",B1496)),
ISNUMBER(SEARCH("TECLADO",B1496))
),
"COMPLEMENTO",
IF(
OR(
LEFT(A1496,2)="NB",
LEFT(A1496,2)="PC",
LEFT(A1496,2)="WS",
LEFT(A1496,2)="TB",
LEFT(A1496,3)="CEL",
LEFT(A1496,3)="MON",
LEFT(A1496,3)="PRE",
LEFT(A1496,3)="PRH",
ISNUMBER(SEARCH("NOTEBOOK",B1496)),
ISNUMBER(SEARCH("LAPTOP",B1496)),
ISNUMBER(SEARCH("MONITOR",B1496)),
ISNUMBER(SEARCH("TABLET",B1496)),
ISNUMBER(SEARCH("SMARTPH",B1496)),
ISNUMBER(SEARCH("IMPRESORA",B1496)),
ISNUMBER(SEARCH("MULTIFUNCIONAL",B1496)),
ISNUMBER(SEARCH("AIO",B1496))
),
"GANCHO",
"NORMAL"
)
)</f>
        <v>NORMAL</v>
      </c>
    </row>
    <row r="1495" spans="1:12" x14ac:dyDescent="0.25">
      <c r="A1495" s="3" t="s">
        <v>2898</v>
      </c>
      <c r="B1495" s="3" t="s">
        <v>2899</v>
      </c>
      <c r="C1495" s="1">
        <v>20</v>
      </c>
      <c r="D1495" s="1">
        <v>653.5</v>
      </c>
      <c r="E1495" s="1" t="s">
        <v>196</v>
      </c>
      <c r="F1495" s="1" t="s">
        <v>3989</v>
      </c>
      <c r="G1495" s="3" t="s">
        <v>2900</v>
      </c>
      <c r="H1495" s="11">
        <f>ROUND(
IF(L1493="GANCHO",
   IF(I1495&lt;=50,I1495*1.1+4,IF(I1495&lt;=120,I1495*1.1+7,IF(I1495&lt;=250,I1495*1.1+11,I1495*1.1+19))),
IF(L1493="NORMAL",
   IF(I1495&lt;=30,I1495*1.15+2,IF(I1495&lt;=80,I1495*1.15+4,IF(I1495&lt;=150,I1495*1.15+6,I1495*1.15+8))),
IF(L1493="COMPLEMENTO",
   IF(I1495&lt;=25,I1495*1.25+1.5,IF(I1495&lt;=60,I1495*1.25+3,IF(I1495&lt;=120,I1495*1.25+4,I1495*1.25+5))),
""))),2)</f>
        <v>3094.06</v>
      </c>
      <c r="I1495" s="9">
        <f>($K$2+0.02)*Tabla1[[#This Row],[PRECIO $]]*1.18</f>
        <v>2683.5323999999996</v>
      </c>
      <c r="J1495" s="7">
        <f>+Tabla1[[#This Row],[PRECIO EN SOLES]]-Tabla1[[#This Row],[PC]]</f>
        <v>410.52760000000035</v>
      </c>
      <c r="K1495" s="15"/>
      <c r="L1495" s="15" t="str">
        <f>IF(
OR(
ISNUMBER(SEARCH("BACKPACK",B1497)),
ISNUMBER(SEARCH("MOCHILA",B1497)),
ISNUMBER(SEARCH("FUNDA",B1497)),
ISNUMBER(SEARCH("ESTUCHE",B1497)),
ISNUMBER(SEARCH("BOOK COVER",B1497)),
ISNUMBER(SEARCH("KEYBOARD PARA TABLET",B1497)),
ISNUMBER(SEARCH("FLIP TABLET",B1497)),
ISNUMBER(SEARCH("CASE FOR TABLET",B1497)),
ISNUMBER(SEARCH("CABLE",B1497)),
ISNUMBER(SEARCH("ADAPTADOR",B1497)),
ISNUMBER(SEARCH("HUB",B1497)),
ISNUMBER(SEARCH("DOCK",B1497)),
ISNUMBER(SEARCH("MOUSE PAD",B1497)),
ISNUMBER(SEARCH("MOUSEPAD",B1497)),
ISNUMBER(SEARCH("SOPORTE",B1497)),
ISNUMBER(SEARCH("STAND",B1497)),
ISNUMBER(SEARCH("TRAVEL ADAPTER",B1497)),
ISNUMBER(SEARCH("RJ45",B1497)),
ISNUMBER(SEARCH("USB-C",B1497)),
ISNUMBER(SEARCH("USB WIFI",B1497)),
ISNUMBER(SEARCH("POWERBANK",B1497)),
ISNUMBER(SEARCH("CARGADOR",B1497)),
ISNUMBER(SEARCH("COOLER PARA NB",B1497)),
ISNUMBER(SEARCH("SOPORTE PARA NB",B1497)),
ISNUMBER(SEARCH("WEBCAM",B1497)),
ISNUMBER(SEARCH("WEB CAM",B1497)),
ISNUMBER(SEARCH("MOUSE",B1497)),
ISNUMBER(SEARCH("TECLADO",B1497))
),
"COMPLEMENTO",
IF(
OR(
LEFT(A1497,2)="NB",
LEFT(A1497,2)="PC",
LEFT(A1497,2)="WS",
LEFT(A1497,2)="TB",
LEFT(A1497,3)="CEL",
LEFT(A1497,3)="MON",
LEFT(A1497,3)="PRE",
LEFT(A1497,3)="PRH",
ISNUMBER(SEARCH("NOTEBOOK",B1497)),
ISNUMBER(SEARCH("LAPTOP",B1497)),
ISNUMBER(SEARCH("MONITOR",B1497)),
ISNUMBER(SEARCH("TABLET",B1497)),
ISNUMBER(SEARCH("SMARTPH",B1497)),
ISNUMBER(SEARCH("IMPRESORA",B1497)),
ISNUMBER(SEARCH("MULTIFUNCIONAL",B1497)),
ISNUMBER(SEARCH("AIO",B1497))
),
"GANCHO",
"NORMAL"
)
)</f>
        <v>NORMAL</v>
      </c>
    </row>
    <row r="1496" spans="1:12" x14ac:dyDescent="0.25">
      <c r="A1496" s="3" t="s">
        <v>2901</v>
      </c>
      <c r="B1496" s="3" t="s">
        <v>2902</v>
      </c>
      <c r="C1496" s="1">
        <v>3</v>
      </c>
      <c r="D1496" s="1">
        <v>1291</v>
      </c>
      <c r="E1496" s="1" t="s">
        <v>196</v>
      </c>
      <c r="F1496" s="1" t="s">
        <v>3990</v>
      </c>
      <c r="G1496" s="3" t="s">
        <v>2903</v>
      </c>
      <c r="H1496" s="11">
        <f>ROUND(
IF(L1494="GANCHO",
   IF(I1496&lt;=50,I1496*1.1+4,IF(I1496&lt;=120,I1496*1.1+7,IF(I1496&lt;=250,I1496*1.1+11,I1496*1.1+19))),
IF(L1494="NORMAL",
   IF(I1496&lt;=30,I1496*1.15+2,IF(I1496&lt;=80,I1496*1.15+4,IF(I1496&lt;=150,I1496*1.15+6,I1496*1.15+8))),
IF(L1494="COMPLEMENTO",
   IF(I1496&lt;=25,I1496*1.25+1.5,IF(I1496&lt;=60,I1496*1.25+3,IF(I1496&lt;=120,I1496*1.25+4,I1496*1.25+5))),
""))),2)</f>
        <v>6104.57</v>
      </c>
      <c r="I1496" s="9">
        <f>($K$2+0.02)*Tabla1[[#This Row],[PRECIO $]]*1.18</f>
        <v>5301.3624</v>
      </c>
      <c r="J1496" s="7">
        <f>+Tabla1[[#This Row],[PRECIO EN SOLES]]-Tabla1[[#This Row],[PC]]</f>
        <v>803.20759999999973</v>
      </c>
      <c r="K1496" s="15"/>
      <c r="L1496" s="15" t="str">
        <f>IF(
OR(
ISNUMBER(SEARCH("BACKPACK",B1498)),
ISNUMBER(SEARCH("MOCHILA",B1498)),
ISNUMBER(SEARCH("FUNDA",B1498)),
ISNUMBER(SEARCH("ESTUCHE",B1498)),
ISNUMBER(SEARCH("BOOK COVER",B1498)),
ISNUMBER(SEARCH("KEYBOARD PARA TABLET",B1498)),
ISNUMBER(SEARCH("FLIP TABLET",B1498)),
ISNUMBER(SEARCH("CASE FOR TABLET",B1498)),
ISNUMBER(SEARCH("CABLE",B1498)),
ISNUMBER(SEARCH("ADAPTADOR",B1498)),
ISNUMBER(SEARCH("HUB",B1498)),
ISNUMBER(SEARCH("DOCK",B1498)),
ISNUMBER(SEARCH("MOUSE PAD",B1498)),
ISNUMBER(SEARCH("MOUSEPAD",B1498)),
ISNUMBER(SEARCH("SOPORTE",B1498)),
ISNUMBER(SEARCH("STAND",B1498)),
ISNUMBER(SEARCH("TRAVEL ADAPTER",B1498)),
ISNUMBER(SEARCH("RJ45",B1498)),
ISNUMBER(SEARCH("USB-C",B1498)),
ISNUMBER(SEARCH("USB WIFI",B1498)),
ISNUMBER(SEARCH("POWERBANK",B1498)),
ISNUMBER(SEARCH("CARGADOR",B1498)),
ISNUMBER(SEARCH("COOLER PARA NB",B1498)),
ISNUMBER(SEARCH("SOPORTE PARA NB",B1498)),
ISNUMBER(SEARCH("WEBCAM",B1498)),
ISNUMBER(SEARCH("WEB CAM",B1498)),
ISNUMBER(SEARCH("MOUSE",B1498)),
ISNUMBER(SEARCH("TECLADO",B1498))
),
"COMPLEMENTO",
IF(
OR(
LEFT(A1498,2)="NB",
LEFT(A1498,2)="PC",
LEFT(A1498,2)="WS",
LEFT(A1498,2)="TB",
LEFT(A1498,3)="CEL",
LEFT(A1498,3)="MON",
LEFT(A1498,3)="PRE",
LEFT(A1498,3)="PRH",
ISNUMBER(SEARCH("NOTEBOOK",B1498)),
ISNUMBER(SEARCH("LAPTOP",B1498)),
ISNUMBER(SEARCH("MONITOR",B1498)),
ISNUMBER(SEARCH("TABLET",B1498)),
ISNUMBER(SEARCH("SMARTPH",B1498)),
ISNUMBER(SEARCH("IMPRESORA",B1498)),
ISNUMBER(SEARCH("MULTIFUNCIONAL",B1498)),
ISNUMBER(SEARCH("AIO",B1498))
),
"GANCHO",
"NORMAL"
)
)</f>
        <v>NORMAL</v>
      </c>
    </row>
    <row r="1497" spans="1:12" x14ac:dyDescent="0.25">
      <c r="A1497" s="3" t="s">
        <v>2455</v>
      </c>
      <c r="B1497" s="3" t="s">
        <v>2456</v>
      </c>
      <c r="C1497" s="1">
        <v>12</v>
      </c>
      <c r="D1497" s="1">
        <v>266.5</v>
      </c>
      <c r="E1497" s="1" t="s">
        <v>196</v>
      </c>
      <c r="F1497" s="1" t="s">
        <v>3991</v>
      </c>
      <c r="G1497" s="3" t="s">
        <v>2457</v>
      </c>
      <c r="H1497" s="11">
        <f>ROUND(
IF(L1495="GANCHO",
   IF(I1497&lt;=50,I1497*1.1+4,IF(I1497&lt;=120,I1497*1.1+7,IF(I1497&lt;=250,I1497*1.1+11,I1497*1.1+19))),
IF(L1495="NORMAL",
   IF(I1497&lt;=30,I1497*1.15+2,IF(I1497&lt;=80,I1497*1.15+4,IF(I1497&lt;=150,I1497*1.15+6,I1497*1.15+8))),
IF(L1495="COMPLEMENTO",
   IF(I1497&lt;=25,I1497*1.25+1.5,IF(I1497&lt;=60,I1497*1.25+3,IF(I1497&lt;=120,I1497*1.25+4,I1497*1.25+5))),
""))),2)</f>
        <v>1266.51</v>
      </c>
      <c r="I1497" s="9">
        <f>($K$2+0.02)*Tabla1[[#This Row],[PRECIO $]]*1.18</f>
        <v>1094.3555999999999</v>
      </c>
      <c r="J1497" s="7">
        <f>+Tabla1[[#This Row],[PRECIO EN SOLES]]-Tabla1[[#This Row],[PC]]</f>
        <v>172.15440000000012</v>
      </c>
      <c r="K1497" s="15"/>
      <c r="L1497" s="15" t="str">
        <f>IF(
OR(
ISNUMBER(SEARCH("BACKPACK",B1499)),
ISNUMBER(SEARCH("MOCHILA",B1499)),
ISNUMBER(SEARCH("FUNDA",B1499)),
ISNUMBER(SEARCH("ESTUCHE",B1499)),
ISNUMBER(SEARCH("BOOK COVER",B1499)),
ISNUMBER(SEARCH("KEYBOARD PARA TABLET",B1499)),
ISNUMBER(SEARCH("FLIP TABLET",B1499)),
ISNUMBER(SEARCH("CASE FOR TABLET",B1499)),
ISNUMBER(SEARCH("CABLE",B1499)),
ISNUMBER(SEARCH("ADAPTADOR",B1499)),
ISNUMBER(SEARCH("HUB",B1499)),
ISNUMBER(SEARCH("DOCK",B1499)),
ISNUMBER(SEARCH("MOUSE PAD",B1499)),
ISNUMBER(SEARCH("MOUSEPAD",B1499)),
ISNUMBER(SEARCH("SOPORTE",B1499)),
ISNUMBER(SEARCH("STAND",B1499)),
ISNUMBER(SEARCH("TRAVEL ADAPTER",B1499)),
ISNUMBER(SEARCH("RJ45",B1499)),
ISNUMBER(SEARCH("USB-C",B1499)),
ISNUMBER(SEARCH("USB WIFI",B1499)),
ISNUMBER(SEARCH("POWERBANK",B1499)),
ISNUMBER(SEARCH("CARGADOR",B1499)),
ISNUMBER(SEARCH("COOLER PARA NB",B1499)),
ISNUMBER(SEARCH("SOPORTE PARA NB",B1499)),
ISNUMBER(SEARCH("WEBCAM",B1499)),
ISNUMBER(SEARCH("WEB CAM",B1499)),
ISNUMBER(SEARCH("MOUSE",B1499)),
ISNUMBER(SEARCH("TECLADO",B1499))
),
"COMPLEMENTO",
IF(
OR(
LEFT(A1499,2)="NB",
LEFT(A1499,2)="PC",
LEFT(A1499,2)="WS",
LEFT(A1499,2)="TB",
LEFT(A1499,3)="CEL",
LEFT(A1499,3)="MON",
LEFT(A1499,3)="PRE",
LEFT(A1499,3)="PRH",
ISNUMBER(SEARCH("NOTEBOOK",B1499)),
ISNUMBER(SEARCH("LAPTOP",B1499)),
ISNUMBER(SEARCH("MONITOR",B1499)),
ISNUMBER(SEARCH("TABLET",B1499)),
ISNUMBER(SEARCH("SMARTPH",B1499)),
ISNUMBER(SEARCH("IMPRESORA",B1499)),
ISNUMBER(SEARCH("MULTIFUNCIONAL",B1499)),
ISNUMBER(SEARCH("AIO",B1499))
),
"GANCHO",
"NORMAL"
)
)</f>
        <v>NORMAL</v>
      </c>
    </row>
    <row r="1498" spans="1:12" x14ac:dyDescent="0.25">
      <c r="A1498" s="3" t="s">
        <v>2458</v>
      </c>
      <c r="B1498" s="3" t="s">
        <v>2459</v>
      </c>
      <c r="C1498" s="1">
        <v>20</v>
      </c>
      <c r="D1498" s="1">
        <v>2301</v>
      </c>
      <c r="E1498" s="1" t="s">
        <v>196</v>
      </c>
      <c r="F1498" s="1" t="s">
        <v>3992</v>
      </c>
      <c r="G1498" s="3" t="s">
        <v>2460</v>
      </c>
      <c r="H1498" s="11">
        <f>ROUND(
IF(L1496="GANCHO",
   IF(I1498&lt;=50,I1498*1.1+4,IF(I1498&lt;=120,I1498*1.1+7,IF(I1498&lt;=250,I1498*1.1+11,I1498*1.1+19))),
IF(L1496="NORMAL",
   IF(I1498&lt;=30,I1498*1.15+2,IF(I1498&lt;=80,I1498*1.15+4,IF(I1498&lt;=150,I1498*1.15+6,I1498*1.15+8))),
IF(L1496="COMPLEMENTO",
   IF(I1498&lt;=25,I1498*1.25+1.5,IF(I1498&lt;=60,I1498*1.25+3,IF(I1498&lt;=120,I1498*1.25+4,I1498*1.25+5))),
""))),2)</f>
        <v>10874.15</v>
      </c>
      <c r="I1498" s="9">
        <f>($K$2+0.02)*Tabla1[[#This Row],[PRECIO $]]*1.18</f>
        <v>9448.8263999999981</v>
      </c>
      <c r="J1498" s="7">
        <f>+Tabla1[[#This Row],[PRECIO EN SOLES]]-Tabla1[[#This Row],[PC]]</f>
        <v>1425.3236000000015</v>
      </c>
      <c r="K1498" s="15"/>
      <c r="L1498" s="15" t="str">
        <f>IF(
OR(
ISNUMBER(SEARCH("BACKPACK",B1500)),
ISNUMBER(SEARCH("MOCHILA",B1500)),
ISNUMBER(SEARCH("FUNDA",B1500)),
ISNUMBER(SEARCH("ESTUCHE",B1500)),
ISNUMBER(SEARCH("BOOK COVER",B1500)),
ISNUMBER(SEARCH("KEYBOARD PARA TABLET",B1500)),
ISNUMBER(SEARCH("FLIP TABLET",B1500)),
ISNUMBER(SEARCH("CASE FOR TABLET",B1500)),
ISNUMBER(SEARCH("CABLE",B1500)),
ISNUMBER(SEARCH("ADAPTADOR",B1500)),
ISNUMBER(SEARCH("HUB",B1500)),
ISNUMBER(SEARCH("DOCK",B1500)),
ISNUMBER(SEARCH("MOUSE PAD",B1500)),
ISNUMBER(SEARCH("MOUSEPAD",B1500)),
ISNUMBER(SEARCH("SOPORTE",B1500)),
ISNUMBER(SEARCH("STAND",B1500)),
ISNUMBER(SEARCH("TRAVEL ADAPTER",B1500)),
ISNUMBER(SEARCH("RJ45",B1500)),
ISNUMBER(SEARCH("USB-C",B1500)),
ISNUMBER(SEARCH("USB WIFI",B1500)),
ISNUMBER(SEARCH("POWERBANK",B1500)),
ISNUMBER(SEARCH("CARGADOR",B1500)),
ISNUMBER(SEARCH("COOLER PARA NB",B1500)),
ISNUMBER(SEARCH("SOPORTE PARA NB",B1500)),
ISNUMBER(SEARCH("WEBCAM",B1500)),
ISNUMBER(SEARCH("WEB CAM",B1500)),
ISNUMBER(SEARCH("MOUSE",B1500)),
ISNUMBER(SEARCH("TECLADO",B1500))
),
"COMPLEMENTO",
IF(
OR(
LEFT(A1500,2)="NB",
LEFT(A1500,2)="PC",
LEFT(A1500,2)="WS",
LEFT(A1500,2)="TB",
LEFT(A1500,3)="CEL",
LEFT(A1500,3)="MON",
LEFT(A1500,3)="PRE",
LEFT(A1500,3)="PRH",
ISNUMBER(SEARCH("NOTEBOOK",B1500)),
ISNUMBER(SEARCH("LAPTOP",B1500)),
ISNUMBER(SEARCH("MONITOR",B1500)),
ISNUMBER(SEARCH("TABLET",B1500)),
ISNUMBER(SEARCH("SMARTPH",B1500)),
ISNUMBER(SEARCH("IMPRESORA",B1500)),
ISNUMBER(SEARCH("MULTIFUNCIONAL",B1500)),
ISNUMBER(SEARCH("AIO",B1500))
),
"GANCHO",
"NORMAL"
)
)</f>
        <v>NORMAL</v>
      </c>
    </row>
    <row r="1499" spans="1:12" x14ac:dyDescent="0.25">
      <c r="A1499" s="3" t="s">
        <v>2904</v>
      </c>
      <c r="B1499" s="3" t="s">
        <v>2905</v>
      </c>
      <c r="C1499" s="1">
        <v>0</v>
      </c>
      <c r="D1499" s="1">
        <v>373.5</v>
      </c>
      <c r="E1499" s="1" t="s">
        <v>196</v>
      </c>
      <c r="F1499" s="1" t="s">
        <v>3993</v>
      </c>
      <c r="G1499" s="3" t="s">
        <v>2906</v>
      </c>
      <c r="H1499" s="11">
        <f>ROUND(
IF(L1497="GANCHO",
   IF(I1499&lt;=50,I1499*1.1+4,IF(I1499&lt;=120,I1499*1.1+7,IF(I1499&lt;=250,I1499*1.1+11,I1499*1.1+19))),
IF(L1497="NORMAL",
   IF(I1499&lt;=30,I1499*1.15+2,IF(I1499&lt;=80,I1499*1.15+4,IF(I1499&lt;=150,I1499*1.15+6,I1499*1.15+8))),
IF(L1497="COMPLEMENTO",
   IF(I1499&lt;=25,I1499*1.25+1.5,IF(I1499&lt;=60,I1499*1.25+3,IF(I1499&lt;=120,I1499*1.25+4,I1499*1.25+5))),
""))),2)</f>
        <v>1771.8</v>
      </c>
      <c r="I1499" s="9">
        <f>($K$2+0.02)*Tabla1[[#This Row],[PRECIO $]]*1.18</f>
        <v>1533.7403999999999</v>
      </c>
      <c r="J1499" s="7">
        <f>+Tabla1[[#This Row],[PRECIO EN SOLES]]-Tabla1[[#This Row],[PC]]</f>
        <v>238.05960000000005</v>
      </c>
      <c r="K1499" s="15"/>
      <c r="L1499" s="15" t="str">
        <f>IF(
OR(
ISNUMBER(SEARCH("BACKPACK",B1501)),
ISNUMBER(SEARCH("MOCHILA",B1501)),
ISNUMBER(SEARCH("FUNDA",B1501)),
ISNUMBER(SEARCH("ESTUCHE",B1501)),
ISNUMBER(SEARCH("BOOK COVER",B1501)),
ISNUMBER(SEARCH("KEYBOARD PARA TABLET",B1501)),
ISNUMBER(SEARCH("FLIP TABLET",B1501)),
ISNUMBER(SEARCH("CASE FOR TABLET",B1501)),
ISNUMBER(SEARCH("CABLE",B1501)),
ISNUMBER(SEARCH("ADAPTADOR",B1501)),
ISNUMBER(SEARCH("HUB",B1501)),
ISNUMBER(SEARCH("DOCK",B1501)),
ISNUMBER(SEARCH("MOUSE PAD",B1501)),
ISNUMBER(SEARCH("MOUSEPAD",B1501)),
ISNUMBER(SEARCH("SOPORTE",B1501)),
ISNUMBER(SEARCH("STAND",B1501)),
ISNUMBER(SEARCH("TRAVEL ADAPTER",B1501)),
ISNUMBER(SEARCH("RJ45",B1501)),
ISNUMBER(SEARCH("USB-C",B1501)),
ISNUMBER(SEARCH("USB WIFI",B1501)),
ISNUMBER(SEARCH("POWERBANK",B1501)),
ISNUMBER(SEARCH("CARGADOR",B1501)),
ISNUMBER(SEARCH("COOLER PARA NB",B1501)),
ISNUMBER(SEARCH("SOPORTE PARA NB",B1501)),
ISNUMBER(SEARCH("WEBCAM",B1501)),
ISNUMBER(SEARCH("WEB CAM",B1501)),
ISNUMBER(SEARCH("MOUSE",B1501)),
ISNUMBER(SEARCH("TECLADO",B1501))
),
"COMPLEMENTO",
IF(
OR(
LEFT(A1501,2)="NB",
LEFT(A1501,2)="PC",
LEFT(A1501,2)="WS",
LEFT(A1501,2)="TB",
LEFT(A1501,3)="CEL",
LEFT(A1501,3)="MON",
LEFT(A1501,3)="PRE",
LEFT(A1501,3)="PRH",
ISNUMBER(SEARCH("NOTEBOOK",B1501)),
ISNUMBER(SEARCH("LAPTOP",B1501)),
ISNUMBER(SEARCH("MONITOR",B1501)),
ISNUMBER(SEARCH("TABLET",B1501)),
ISNUMBER(SEARCH("SMARTPH",B1501)),
ISNUMBER(SEARCH("IMPRESORA",B1501)),
ISNUMBER(SEARCH("MULTIFUNCIONAL",B1501)),
ISNUMBER(SEARCH("AIO",B1501))
),
"GANCHO",
"NORMAL"
)
)</f>
        <v>NORMAL</v>
      </c>
    </row>
    <row r="1500" spans="1:12" x14ac:dyDescent="0.25">
      <c r="A1500" s="3" t="s">
        <v>468</v>
      </c>
      <c r="B1500" s="3" t="s">
        <v>469</v>
      </c>
      <c r="C1500" s="1">
        <v>20</v>
      </c>
      <c r="D1500" s="1">
        <v>49.3</v>
      </c>
      <c r="E1500" s="1" t="s">
        <v>196</v>
      </c>
      <c r="F1500" s="1" t="s">
        <v>3994</v>
      </c>
      <c r="G1500" s="3" t="s">
        <v>470</v>
      </c>
      <c r="H1500" s="11">
        <f>ROUND(
IF(L1498="GANCHO",
   IF(I1500&lt;=50,I1500*1.1+4,IF(I1500&lt;=120,I1500*1.1+7,IF(I1500&lt;=250,I1500*1.1+11,I1500*1.1+19))),
IF(L1498="NORMAL",
   IF(I1500&lt;=30,I1500*1.15+2,IF(I1500&lt;=80,I1500*1.15+4,IF(I1500&lt;=150,I1500*1.15+6,I1500*1.15+8))),
IF(L1498="COMPLEMENTO",
   IF(I1500&lt;=25,I1500*1.25+1.5,IF(I1500&lt;=60,I1500*1.25+3,IF(I1500&lt;=120,I1500*1.25+4,I1500*1.25+5))),
""))),2)</f>
        <v>240.81</v>
      </c>
      <c r="I1500" s="9">
        <f>($K$2+0.02)*Tabla1[[#This Row],[PRECIO $]]*1.18</f>
        <v>202.44551999999999</v>
      </c>
      <c r="J1500" s="7">
        <f>+Tabla1[[#This Row],[PRECIO EN SOLES]]-Tabla1[[#This Row],[PC]]</f>
        <v>38.364480000000015</v>
      </c>
      <c r="K1500" s="15"/>
      <c r="L1500" s="15" t="str">
        <f>IF(
OR(
ISNUMBER(SEARCH("BACKPACK",B1502)),
ISNUMBER(SEARCH("MOCHILA",B1502)),
ISNUMBER(SEARCH("FUNDA",B1502)),
ISNUMBER(SEARCH("ESTUCHE",B1502)),
ISNUMBER(SEARCH("BOOK COVER",B1502)),
ISNUMBER(SEARCH("KEYBOARD PARA TABLET",B1502)),
ISNUMBER(SEARCH("FLIP TABLET",B1502)),
ISNUMBER(SEARCH("CASE FOR TABLET",B1502)),
ISNUMBER(SEARCH("CABLE",B1502)),
ISNUMBER(SEARCH("ADAPTADOR",B1502)),
ISNUMBER(SEARCH("HUB",B1502)),
ISNUMBER(SEARCH("DOCK",B1502)),
ISNUMBER(SEARCH("MOUSE PAD",B1502)),
ISNUMBER(SEARCH("MOUSEPAD",B1502)),
ISNUMBER(SEARCH("SOPORTE",B1502)),
ISNUMBER(SEARCH("STAND",B1502)),
ISNUMBER(SEARCH("TRAVEL ADAPTER",B1502)),
ISNUMBER(SEARCH("RJ45",B1502)),
ISNUMBER(SEARCH("USB-C",B1502)),
ISNUMBER(SEARCH("USB WIFI",B1502)),
ISNUMBER(SEARCH("POWERBANK",B1502)),
ISNUMBER(SEARCH("CARGADOR",B1502)),
ISNUMBER(SEARCH("COOLER PARA NB",B1502)),
ISNUMBER(SEARCH("SOPORTE PARA NB",B1502)),
ISNUMBER(SEARCH("WEBCAM",B1502)),
ISNUMBER(SEARCH("WEB CAM",B1502)),
ISNUMBER(SEARCH("MOUSE",B1502)),
ISNUMBER(SEARCH("TECLADO",B1502))
),
"COMPLEMENTO",
IF(
OR(
LEFT(A1502,2)="NB",
LEFT(A1502,2)="PC",
LEFT(A1502,2)="WS",
LEFT(A1502,2)="TB",
LEFT(A1502,3)="CEL",
LEFT(A1502,3)="MON",
LEFT(A1502,3)="PRE",
LEFT(A1502,3)="PRH",
ISNUMBER(SEARCH("NOTEBOOK",B1502)),
ISNUMBER(SEARCH("LAPTOP",B1502)),
ISNUMBER(SEARCH("MONITOR",B1502)),
ISNUMBER(SEARCH("TABLET",B1502)),
ISNUMBER(SEARCH("SMARTPH",B1502)),
ISNUMBER(SEARCH("IMPRESORA",B1502)),
ISNUMBER(SEARCH("MULTIFUNCIONAL",B1502)),
ISNUMBER(SEARCH("AIO",B1502))
),
"GANCHO",
"NORMAL"
)
)</f>
        <v>NORMAL</v>
      </c>
    </row>
    <row r="1501" spans="1:12" x14ac:dyDescent="0.25">
      <c r="A1501" s="3" t="s">
        <v>6133</v>
      </c>
      <c r="B1501" s="3" t="s">
        <v>6134</v>
      </c>
      <c r="C1501" s="1">
        <v>20</v>
      </c>
      <c r="D1501" s="1">
        <v>96.3</v>
      </c>
      <c r="E1501" s="1" t="s">
        <v>196</v>
      </c>
      <c r="F1501" s="1" t="s">
        <v>6135</v>
      </c>
      <c r="G1501" s="3" t="s">
        <v>6136</v>
      </c>
      <c r="H1501" s="11">
        <f>ROUND(
IF(L1499="GANCHO",
   IF(I1501&lt;=50,I1501*1.1+4,IF(I1501&lt;=120,I1501*1.1+7,IF(I1501&lt;=250,I1501*1.1+11,I1501*1.1+19))),
IF(L1499="NORMAL",
   IF(I1501&lt;=30,I1501*1.15+2,IF(I1501&lt;=80,I1501*1.15+4,IF(I1501&lt;=150,I1501*1.15+6,I1501*1.15+8))),
IF(L1499="COMPLEMENTO",
   IF(I1501&lt;=25,I1501*1.25+1.5,IF(I1501&lt;=60,I1501*1.25+3,IF(I1501&lt;=120,I1501*1.25+4,I1501*1.25+5))),
""))),2)</f>
        <v>462.76</v>
      </c>
      <c r="I1501" s="9">
        <f>($K$2+0.02)*Tabla1[[#This Row],[PRECIO $]]*1.18</f>
        <v>395.44631999999996</v>
      </c>
      <c r="J1501" s="7">
        <f>+Tabla1[[#This Row],[PRECIO EN SOLES]]-Tabla1[[#This Row],[PC]]</f>
        <v>67.313680000000033</v>
      </c>
      <c r="K1501" s="15"/>
      <c r="L1501" s="15" t="str">
        <f>IF(
OR(
ISNUMBER(SEARCH("BACKPACK",B1503)),
ISNUMBER(SEARCH("MOCHILA",B1503)),
ISNUMBER(SEARCH("FUNDA",B1503)),
ISNUMBER(SEARCH("ESTUCHE",B1503)),
ISNUMBER(SEARCH("BOOK COVER",B1503)),
ISNUMBER(SEARCH("KEYBOARD PARA TABLET",B1503)),
ISNUMBER(SEARCH("FLIP TABLET",B1503)),
ISNUMBER(SEARCH("CASE FOR TABLET",B1503)),
ISNUMBER(SEARCH("CABLE",B1503)),
ISNUMBER(SEARCH("ADAPTADOR",B1503)),
ISNUMBER(SEARCH("HUB",B1503)),
ISNUMBER(SEARCH("DOCK",B1503)),
ISNUMBER(SEARCH("MOUSE PAD",B1503)),
ISNUMBER(SEARCH("MOUSEPAD",B1503)),
ISNUMBER(SEARCH("SOPORTE",B1503)),
ISNUMBER(SEARCH("STAND",B1503)),
ISNUMBER(SEARCH("TRAVEL ADAPTER",B1503)),
ISNUMBER(SEARCH("RJ45",B1503)),
ISNUMBER(SEARCH("USB-C",B1503)),
ISNUMBER(SEARCH("USB WIFI",B1503)),
ISNUMBER(SEARCH("POWERBANK",B1503)),
ISNUMBER(SEARCH("CARGADOR",B1503)),
ISNUMBER(SEARCH("COOLER PARA NB",B1503)),
ISNUMBER(SEARCH("SOPORTE PARA NB",B1503)),
ISNUMBER(SEARCH("WEBCAM",B1503)),
ISNUMBER(SEARCH("WEB CAM",B1503)),
ISNUMBER(SEARCH("MOUSE",B1503)),
ISNUMBER(SEARCH("TECLADO",B1503))
),
"COMPLEMENTO",
IF(
OR(
LEFT(A1503,2)="NB",
LEFT(A1503,2)="PC",
LEFT(A1503,2)="WS",
LEFT(A1503,2)="TB",
LEFT(A1503,3)="CEL",
LEFT(A1503,3)="MON",
LEFT(A1503,3)="PRE",
LEFT(A1503,3)="PRH",
ISNUMBER(SEARCH("NOTEBOOK",B1503)),
ISNUMBER(SEARCH("LAPTOP",B1503)),
ISNUMBER(SEARCH("MONITOR",B1503)),
ISNUMBER(SEARCH("TABLET",B1503)),
ISNUMBER(SEARCH("SMARTPH",B1503)),
ISNUMBER(SEARCH("IMPRESORA",B1503)),
ISNUMBER(SEARCH("MULTIFUNCIONAL",B1503)),
ISNUMBER(SEARCH("AIO",B1503))
),
"GANCHO",
"NORMAL"
)
)</f>
        <v>NORMAL</v>
      </c>
    </row>
    <row r="1502" spans="1:12" x14ac:dyDescent="0.25">
      <c r="A1502" s="3" t="s">
        <v>471</v>
      </c>
      <c r="B1502" s="3" t="s">
        <v>472</v>
      </c>
      <c r="C1502" s="1">
        <v>20</v>
      </c>
      <c r="D1502" s="1">
        <v>100.3</v>
      </c>
      <c r="E1502" s="1" t="s">
        <v>196</v>
      </c>
      <c r="F1502" s="1" t="s">
        <v>3995</v>
      </c>
      <c r="G1502" s="3" t="s">
        <v>473</v>
      </c>
      <c r="H1502" s="11">
        <f>ROUND(
IF(L1500="GANCHO",
   IF(I1502&lt;=50,I1502*1.1+4,IF(I1502&lt;=120,I1502*1.1+7,IF(I1502&lt;=250,I1502*1.1+11,I1502*1.1+19))),
IF(L1500="NORMAL",
   IF(I1502&lt;=30,I1502*1.15+2,IF(I1502&lt;=80,I1502*1.15+4,IF(I1502&lt;=150,I1502*1.15+6,I1502*1.15+8))),
IF(L1500="COMPLEMENTO",
   IF(I1502&lt;=25,I1502*1.25+1.5,IF(I1502&lt;=60,I1502*1.25+3,IF(I1502&lt;=120,I1502*1.25+4,I1502*1.25+5))),
""))),2)</f>
        <v>481.65</v>
      </c>
      <c r="I1502" s="9">
        <f>($K$2+0.02)*Tabla1[[#This Row],[PRECIO $]]*1.18</f>
        <v>411.87191999999993</v>
      </c>
      <c r="J1502" s="7">
        <f>+Tabla1[[#This Row],[PRECIO EN SOLES]]-Tabla1[[#This Row],[PC]]</f>
        <v>69.778080000000045</v>
      </c>
      <c r="K1502" s="15"/>
      <c r="L1502" s="15" t="str">
        <f>IF(
OR(
ISNUMBER(SEARCH("BACKPACK",B1504)),
ISNUMBER(SEARCH("MOCHILA",B1504)),
ISNUMBER(SEARCH("FUNDA",B1504)),
ISNUMBER(SEARCH("ESTUCHE",B1504)),
ISNUMBER(SEARCH("BOOK COVER",B1504)),
ISNUMBER(SEARCH("KEYBOARD PARA TABLET",B1504)),
ISNUMBER(SEARCH("FLIP TABLET",B1504)),
ISNUMBER(SEARCH("CASE FOR TABLET",B1504)),
ISNUMBER(SEARCH("CABLE",B1504)),
ISNUMBER(SEARCH("ADAPTADOR",B1504)),
ISNUMBER(SEARCH("HUB",B1504)),
ISNUMBER(SEARCH("DOCK",B1504)),
ISNUMBER(SEARCH("MOUSE PAD",B1504)),
ISNUMBER(SEARCH("MOUSEPAD",B1504)),
ISNUMBER(SEARCH("SOPORTE",B1504)),
ISNUMBER(SEARCH("STAND",B1504)),
ISNUMBER(SEARCH("TRAVEL ADAPTER",B1504)),
ISNUMBER(SEARCH("RJ45",B1504)),
ISNUMBER(SEARCH("USB-C",B1504)),
ISNUMBER(SEARCH("USB WIFI",B1504)),
ISNUMBER(SEARCH("POWERBANK",B1504)),
ISNUMBER(SEARCH("CARGADOR",B1504)),
ISNUMBER(SEARCH("COOLER PARA NB",B1504)),
ISNUMBER(SEARCH("SOPORTE PARA NB",B1504)),
ISNUMBER(SEARCH("WEBCAM",B1504)),
ISNUMBER(SEARCH("WEB CAM",B1504)),
ISNUMBER(SEARCH("MOUSE",B1504)),
ISNUMBER(SEARCH("TECLADO",B1504))
),
"COMPLEMENTO",
IF(
OR(
LEFT(A1504,2)="NB",
LEFT(A1504,2)="PC",
LEFT(A1504,2)="WS",
LEFT(A1504,2)="TB",
LEFT(A1504,3)="CEL",
LEFT(A1504,3)="MON",
LEFT(A1504,3)="PRE",
LEFT(A1504,3)="PRH",
ISNUMBER(SEARCH("NOTEBOOK",B1504)),
ISNUMBER(SEARCH("LAPTOP",B1504)),
ISNUMBER(SEARCH("MONITOR",B1504)),
ISNUMBER(SEARCH("TABLET",B1504)),
ISNUMBER(SEARCH("SMARTPH",B1504)),
ISNUMBER(SEARCH("IMPRESORA",B1504)),
ISNUMBER(SEARCH("MULTIFUNCIONAL",B1504)),
ISNUMBER(SEARCH("AIO",B1504))
),
"GANCHO",
"NORMAL"
)
)</f>
        <v>NORMAL</v>
      </c>
    </row>
    <row r="1503" spans="1:12" x14ac:dyDescent="0.25">
      <c r="A1503" s="3" t="s">
        <v>474</v>
      </c>
      <c r="B1503" s="3" t="s">
        <v>475</v>
      </c>
      <c r="C1503" s="1">
        <v>20</v>
      </c>
      <c r="D1503" s="1">
        <v>148.30000000000001</v>
      </c>
      <c r="E1503" s="1" t="s">
        <v>196</v>
      </c>
      <c r="F1503" s="1" t="s">
        <v>3996</v>
      </c>
      <c r="G1503" s="3" t="s">
        <v>476</v>
      </c>
      <c r="H1503" s="11">
        <f>ROUND(
IF(L1501="GANCHO",
   IF(I1503&lt;=50,I1503*1.1+4,IF(I1503&lt;=120,I1503*1.1+7,IF(I1503&lt;=250,I1503*1.1+11,I1503*1.1+19))),
IF(L1501="NORMAL",
   IF(I1503&lt;=30,I1503*1.15+2,IF(I1503&lt;=80,I1503*1.15+4,IF(I1503&lt;=150,I1503*1.15+6,I1503*1.15+8))),
IF(L1501="COMPLEMENTO",
   IF(I1503&lt;=25,I1503*1.25+1.5,IF(I1503&lt;=60,I1503*1.25+3,IF(I1503&lt;=120,I1503*1.25+4,I1503*1.25+5))),
""))),2)</f>
        <v>708.33</v>
      </c>
      <c r="I1503" s="9">
        <f>($K$2+0.02)*Tabla1[[#This Row],[PRECIO $]]*1.18</f>
        <v>608.97912000000008</v>
      </c>
      <c r="J1503" s="7">
        <f>+Tabla1[[#This Row],[PRECIO EN SOLES]]-Tabla1[[#This Row],[PC]]</f>
        <v>99.350879999999961</v>
      </c>
      <c r="K1503" s="15"/>
      <c r="L1503" s="15" t="str">
        <f>IF(
OR(
ISNUMBER(SEARCH("BACKPACK",B1505)),
ISNUMBER(SEARCH("MOCHILA",B1505)),
ISNUMBER(SEARCH("FUNDA",B1505)),
ISNUMBER(SEARCH("ESTUCHE",B1505)),
ISNUMBER(SEARCH("BOOK COVER",B1505)),
ISNUMBER(SEARCH("KEYBOARD PARA TABLET",B1505)),
ISNUMBER(SEARCH("FLIP TABLET",B1505)),
ISNUMBER(SEARCH("CASE FOR TABLET",B1505)),
ISNUMBER(SEARCH("CABLE",B1505)),
ISNUMBER(SEARCH("ADAPTADOR",B1505)),
ISNUMBER(SEARCH("HUB",B1505)),
ISNUMBER(SEARCH("DOCK",B1505)),
ISNUMBER(SEARCH("MOUSE PAD",B1505)),
ISNUMBER(SEARCH("MOUSEPAD",B1505)),
ISNUMBER(SEARCH("SOPORTE",B1505)),
ISNUMBER(SEARCH("STAND",B1505)),
ISNUMBER(SEARCH("TRAVEL ADAPTER",B1505)),
ISNUMBER(SEARCH("RJ45",B1505)),
ISNUMBER(SEARCH("USB-C",B1505)),
ISNUMBER(SEARCH("USB WIFI",B1505)),
ISNUMBER(SEARCH("POWERBANK",B1505)),
ISNUMBER(SEARCH("CARGADOR",B1505)),
ISNUMBER(SEARCH("COOLER PARA NB",B1505)),
ISNUMBER(SEARCH("SOPORTE PARA NB",B1505)),
ISNUMBER(SEARCH("WEBCAM",B1505)),
ISNUMBER(SEARCH("WEB CAM",B1505)),
ISNUMBER(SEARCH("MOUSE",B1505)),
ISNUMBER(SEARCH("TECLADO",B1505))
),
"COMPLEMENTO",
IF(
OR(
LEFT(A1505,2)="NB",
LEFT(A1505,2)="PC",
LEFT(A1505,2)="WS",
LEFT(A1505,2)="TB",
LEFT(A1505,3)="CEL",
LEFT(A1505,3)="MON",
LEFT(A1505,3)="PRE",
LEFT(A1505,3)="PRH",
ISNUMBER(SEARCH("NOTEBOOK",B1505)),
ISNUMBER(SEARCH("LAPTOP",B1505)),
ISNUMBER(SEARCH("MONITOR",B1505)),
ISNUMBER(SEARCH("TABLET",B1505)),
ISNUMBER(SEARCH("SMARTPH",B1505)),
ISNUMBER(SEARCH("IMPRESORA",B1505)),
ISNUMBER(SEARCH("MULTIFUNCIONAL",B1505)),
ISNUMBER(SEARCH("AIO",B1505))
),
"GANCHO",
"NORMAL"
)
)</f>
        <v>NORMAL</v>
      </c>
    </row>
    <row r="1504" spans="1:12" x14ac:dyDescent="0.25">
      <c r="A1504" s="3" t="s">
        <v>477</v>
      </c>
      <c r="B1504" s="3" t="s">
        <v>478</v>
      </c>
      <c r="C1504" s="1">
        <v>20</v>
      </c>
      <c r="D1504" s="1">
        <v>54.3</v>
      </c>
      <c r="E1504" s="1" t="s">
        <v>196</v>
      </c>
      <c r="F1504" s="1" t="s">
        <v>3997</v>
      </c>
      <c r="G1504" s="3" t="s">
        <v>479</v>
      </c>
      <c r="H1504" s="11">
        <f>ROUND(
IF(L1502="GANCHO",
   IF(I1504&lt;=50,I1504*1.1+4,IF(I1504&lt;=120,I1504*1.1+7,IF(I1504&lt;=250,I1504*1.1+11,I1504*1.1+19))),
IF(L1502="NORMAL",
   IF(I1504&lt;=30,I1504*1.15+2,IF(I1504&lt;=80,I1504*1.15+4,IF(I1504&lt;=150,I1504*1.15+6,I1504*1.15+8))),
IF(L1502="COMPLEMENTO",
   IF(I1504&lt;=25,I1504*1.25+1.5,IF(I1504&lt;=60,I1504*1.25+3,IF(I1504&lt;=120,I1504*1.25+4,I1504*1.25+5))),
""))),2)</f>
        <v>264.42</v>
      </c>
      <c r="I1504" s="9">
        <f>($K$2+0.02)*Tabla1[[#This Row],[PRECIO $]]*1.18</f>
        <v>222.97752</v>
      </c>
      <c r="J1504" s="7">
        <f>+Tabla1[[#This Row],[PRECIO EN SOLES]]-Tabla1[[#This Row],[PC]]</f>
        <v>41.442480000000018</v>
      </c>
      <c r="K1504" s="15"/>
      <c r="L1504" s="15" t="str">
        <f>IF(
OR(
ISNUMBER(SEARCH("BACKPACK",B1506)),
ISNUMBER(SEARCH("MOCHILA",B1506)),
ISNUMBER(SEARCH("FUNDA",B1506)),
ISNUMBER(SEARCH("ESTUCHE",B1506)),
ISNUMBER(SEARCH("BOOK COVER",B1506)),
ISNUMBER(SEARCH("KEYBOARD PARA TABLET",B1506)),
ISNUMBER(SEARCH("FLIP TABLET",B1506)),
ISNUMBER(SEARCH("CASE FOR TABLET",B1506)),
ISNUMBER(SEARCH("CABLE",B1506)),
ISNUMBER(SEARCH("ADAPTADOR",B1506)),
ISNUMBER(SEARCH("HUB",B1506)),
ISNUMBER(SEARCH("DOCK",B1506)),
ISNUMBER(SEARCH("MOUSE PAD",B1506)),
ISNUMBER(SEARCH("MOUSEPAD",B1506)),
ISNUMBER(SEARCH("SOPORTE",B1506)),
ISNUMBER(SEARCH("STAND",B1506)),
ISNUMBER(SEARCH("TRAVEL ADAPTER",B1506)),
ISNUMBER(SEARCH("RJ45",B1506)),
ISNUMBER(SEARCH("USB-C",B1506)),
ISNUMBER(SEARCH("USB WIFI",B1506)),
ISNUMBER(SEARCH("POWERBANK",B1506)),
ISNUMBER(SEARCH("CARGADOR",B1506)),
ISNUMBER(SEARCH("COOLER PARA NB",B1506)),
ISNUMBER(SEARCH("SOPORTE PARA NB",B1506)),
ISNUMBER(SEARCH("WEBCAM",B1506)),
ISNUMBER(SEARCH("WEB CAM",B1506)),
ISNUMBER(SEARCH("MOUSE",B1506)),
ISNUMBER(SEARCH("TECLADO",B1506))
),
"COMPLEMENTO",
IF(
OR(
LEFT(A1506,2)="NB",
LEFT(A1506,2)="PC",
LEFT(A1506,2)="WS",
LEFT(A1506,2)="TB",
LEFT(A1506,3)="CEL",
LEFT(A1506,3)="MON",
LEFT(A1506,3)="PRE",
LEFT(A1506,3)="PRH",
ISNUMBER(SEARCH("NOTEBOOK",B1506)),
ISNUMBER(SEARCH("LAPTOP",B1506)),
ISNUMBER(SEARCH("MONITOR",B1506)),
ISNUMBER(SEARCH("TABLET",B1506)),
ISNUMBER(SEARCH("SMARTPH",B1506)),
ISNUMBER(SEARCH("IMPRESORA",B1506)),
ISNUMBER(SEARCH("MULTIFUNCIONAL",B1506)),
ISNUMBER(SEARCH("AIO",B1506))
),
"GANCHO",
"NORMAL"
)
)</f>
        <v>NORMAL</v>
      </c>
    </row>
    <row r="1505" spans="1:12" x14ac:dyDescent="0.25">
      <c r="A1505" s="3" t="s">
        <v>686</v>
      </c>
      <c r="B1505" s="3" t="s">
        <v>687</v>
      </c>
      <c r="C1505" s="1">
        <v>20</v>
      </c>
      <c r="D1505" s="1">
        <v>89.9</v>
      </c>
      <c r="E1505" s="1" t="s">
        <v>196</v>
      </c>
      <c r="F1505" s="1" t="s">
        <v>3998</v>
      </c>
      <c r="G1505" s="3" t="s">
        <v>688</v>
      </c>
      <c r="H1505" s="11">
        <f>ROUND(
IF(L1503="GANCHO",
   IF(I1505&lt;=50,I1505*1.1+4,IF(I1505&lt;=120,I1505*1.1+7,IF(I1505&lt;=250,I1505*1.1+11,I1505*1.1+19))),
IF(L1503="NORMAL",
   IF(I1505&lt;=30,I1505*1.15+2,IF(I1505&lt;=80,I1505*1.15+4,IF(I1505&lt;=150,I1505*1.15+6,I1505*1.15+8))),
IF(L1503="COMPLEMENTO",
   IF(I1505&lt;=25,I1505*1.25+1.5,IF(I1505&lt;=60,I1505*1.25+3,IF(I1505&lt;=120,I1505*1.25+4,I1505*1.25+5))),
""))),2)</f>
        <v>432.54</v>
      </c>
      <c r="I1505" s="9">
        <f>($K$2+0.02)*Tabla1[[#This Row],[PRECIO $]]*1.18</f>
        <v>369.16536000000002</v>
      </c>
      <c r="J1505" s="7">
        <f>+Tabla1[[#This Row],[PRECIO EN SOLES]]-Tabla1[[#This Row],[PC]]</f>
        <v>63.374639999999999</v>
      </c>
      <c r="K1505" s="15"/>
      <c r="L1505" s="15" t="str">
        <f>IF(
OR(
ISNUMBER(SEARCH("BACKPACK",B1507)),
ISNUMBER(SEARCH("MOCHILA",B1507)),
ISNUMBER(SEARCH("FUNDA",B1507)),
ISNUMBER(SEARCH("ESTUCHE",B1507)),
ISNUMBER(SEARCH("BOOK COVER",B1507)),
ISNUMBER(SEARCH("KEYBOARD PARA TABLET",B1507)),
ISNUMBER(SEARCH("FLIP TABLET",B1507)),
ISNUMBER(SEARCH("CASE FOR TABLET",B1507)),
ISNUMBER(SEARCH("CABLE",B1507)),
ISNUMBER(SEARCH("ADAPTADOR",B1507)),
ISNUMBER(SEARCH("HUB",B1507)),
ISNUMBER(SEARCH("DOCK",B1507)),
ISNUMBER(SEARCH("MOUSE PAD",B1507)),
ISNUMBER(SEARCH("MOUSEPAD",B1507)),
ISNUMBER(SEARCH("SOPORTE",B1507)),
ISNUMBER(SEARCH("STAND",B1507)),
ISNUMBER(SEARCH("TRAVEL ADAPTER",B1507)),
ISNUMBER(SEARCH("RJ45",B1507)),
ISNUMBER(SEARCH("USB-C",B1507)),
ISNUMBER(SEARCH("USB WIFI",B1507)),
ISNUMBER(SEARCH("POWERBANK",B1507)),
ISNUMBER(SEARCH("CARGADOR",B1507)),
ISNUMBER(SEARCH("COOLER PARA NB",B1507)),
ISNUMBER(SEARCH("SOPORTE PARA NB",B1507)),
ISNUMBER(SEARCH("WEBCAM",B1507)),
ISNUMBER(SEARCH("WEB CAM",B1507)),
ISNUMBER(SEARCH("MOUSE",B1507)),
ISNUMBER(SEARCH("TECLADO",B1507))
),
"COMPLEMENTO",
IF(
OR(
LEFT(A1507,2)="NB",
LEFT(A1507,2)="PC",
LEFT(A1507,2)="WS",
LEFT(A1507,2)="TB",
LEFT(A1507,3)="CEL",
LEFT(A1507,3)="MON",
LEFT(A1507,3)="PRE",
LEFT(A1507,3)="PRH",
ISNUMBER(SEARCH("NOTEBOOK",B1507)),
ISNUMBER(SEARCH("LAPTOP",B1507)),
ISNUMBER(SEARCH("MONITOR",B1507)),
ISNUMBER(SEARCH("TABLET",B1507)),
ISNUMBER(SEARCH("SMARTPH",B1507)),
ISNUMBER(SEARCH("IMPRESORA",B1507)),
ISNUMBER(SEARCH("MULTIFUNCIONAL",B1507)),
ISNUMBER(SEARCH("AIO",B1507))
),
"GANCHO",
"NORMAL"
)
)</f>
        <v>NORMAL</v>
      </c>
    </row>
    <row r="1506" spans="1:12" x14ac:dyDescent="0.25">
      <c r="A1506" s="3" t="s">
        <v>2797</v>
      </c>
      <c r="B1506" s="3" t="s">
        <v>2798</v>
      </c>
      <c r="C1506" s="1">
        <v>7</v>
      </c>
      <c r="D1506" s="1">
        <v>98.3</v>
      </c>
      <c r="E1506" s="1" t="s">
        <v>218</v>
      </c>
      <c r="F1506" s="1" t="s">
        <v>3999</v>
      </c>
      <c r="G1506" s="3" t="s">
        <v>2799</v>
      </c>
      <c r="H1506" s="11">
        <f>ROUND(
IF(L1504="GANCHO",
   IF(I1506&lt;=50,I1506*1.1+4,IF(I1506&lt;=120,I1506*1.1+7,IF(I1506&lt;=250,I1506*1.1+11,I1506*1.1+19))),
IF(L1504="NORMAL",
   IF(I1506&lt;=30,I1506*1.15+2,IF(I1506&lt;=80,I1506*1.15+4,IF(I1506&lt;=150,I1506*1.15+6,I1506*1.15+8))),
IF(L1504="COMPLEMENTO",
   IF(I1506&lt;=25,I1506*1.25+1.5,IF(I1506&lt;=60,I1506*1.25+3,IF(I1506&lt;=120,I1506*1.25+4,I1506*1.25+5))),
""))),2)</f>
        <v>472.21</v>
      </c>
      <c r="I1506" s="9">
        <f>($K$2+0.02)*Tabla1[[#This Row],[PRECIO $]]*1.18</f>
        <v>403.65911999999997</v>
      </c>
      <c r="J1506" s="7">
        <f>+Tabla1[[#This Row],[PRECIO EN SOLES]]-Tabla1[[#This Row],[PC]]</f>
        <v>68.550880000000006</v>
      </c>
      <c r="K1506" s="15"/>
      <c r="L1506" s="15" t="str">
        <f>IF(
OR(
ISNUMBER(SEARCH("BACKPACK",B1508)),
ISNUMBER(SEARCH("MOCHILA",B1508)),
ISNUMBER(SEARCH("FUNDA",B1508)),
ISNUMBER(SEARCH("ESTUCHE",B1508)),
ISNUMBER(SEARCH("BOOK COVER",B1508)),
ISNUMBER(SEARCH("KEYBOARD PARA TABLET",B1508)),
ISNUMBER(SEARCH("FLIP TABLET",B1508)),
ISNUMBER(SEARCH("CASE FOR TABLET",B1508)),
ISNUMBER(SEARCH("CABLE",B1508)),
ISNUMBER(SEARCH("ADAPTADOR",B1508)),
ISNUMBER(SEARCH("HUB",B1508)),
ISNUMBER(SEARCH("DOCK",B1508)),
ISNUMBER(SEARCH("MOUSE PAD",B1508)),
ISNUMBER(SEARCH("MOUSEPAD",B1508)),
ISNUMBER(SEARCH("SOPORTE",B1508)),
ISNUMBER(SEARCH("STAND",B1508)),
ISNUMBER(SEARCH("TRAVEL ADAPTER",B1508)),
ISNUMBER(SEARCH("RJ45",B1508)),
ISNUMBER(SEARCH("USB-C",B1508)),
ISNUMBER(SEARCH("USB WIFI",B1508)),
ISNUMBER(SEARCH("POWERBANK",B1508)),
ISNUMBER(SEARCH("CARGADOR",B1508)),
ISNUMBER(SEARCH("COOLER PARA NB",B1508)),
ISNUMBER(SEARCH("SOPORTE PARA NB",B1508)),
ISNUMBER(SEARCH("WEBCAM",B1508)),
ISNUMBER(SEARCH("WEB CAM",B1508)),
ISNUMBER(SEARCH("MOUSE",B1508)),
ISNUMBER(SEARCH("TECLADO",B1508))
),
"COMPLEMENTO",
IF(
OR(
LEFT(A1508,2)="NB",
LEFT(A1508,2)="PC",
LEFT(A1508,2)="WS",
LEFT(A1508,2)="TB",
LEFT(A1508,3)="CEL",
LEFT(A1508,3)="MON",
LEFT(A1508,3)="PRE",
LEFT(A1508,3)="PRH",
ISNUMBER(SEARCH("NOTEBOOK",B1508)),
ISNUMBER(SEARCH("LAPTOP",B1508)),
ISNUMBER(SEARCH("MONITOR",B1508)),
ISNUMBER(SEARCH("TABLET",B1508)),
ISNUMBER(SEARCH("SMARTPH",B1508)),
ISNUMBER(SEARCH("IMPRESORA",B1508)),
ISNUMBER(SEARCH("MULTIFUNCIONAL",B1508)),
ISNUMBER(SEARCH("AIO",B1508))
),
"GANCHO",
"NORMAL"
)
)</f>
        <v>NORMAL</v>
      </c>
    </row>
    <row r="1507" spans="1:12" x14ac:dyDescent="0.25">
      <c r="A1507" s="3" t="s">
        <v>5026</v>
      </c>
      <c r="B1507" s="3" t="s">
        <v>5027</v>
      </c>
      <c r="C1507" s="1">
        <v>17</v>
      </c>
      <c r="D1507" s="1">
        <v>71.400000000000006</v>
      </c>
      <c r="E1507" s="1" t="s">
        <v>467</v>
      </c>
      <c r="F1507" s="1" t="s">
        <v>5028</v>
      </c>
      <c r="G1507" s="3" t="s">
        <v>5029</v>
      </c>
      <c r="H1507" s="11">
        <f>ROUND(
IF(L1505="GANCHO",
   IF(I1507&lt;=50,I1507*1.1+4,IF(I1507&lt;=120,I1507*1.1+7,IF(I1507&lt;=250,I1507*1.1+11,I1507*1.1+19))),
IF(L1505="NORMAL",
   IF(I1507&lt;=30,I1507*1.15+2,IF(I1507&lt;=80,I1507*1.15+4,IF(I1507&lt;=150,I1507*1.15+6,I1507*1.15+8))),
IF(L1505="COMPLEMENTO",
   IF(I1507&lt;=25,I1507*1.25+1.5,IF(I1507&lt;=60,I1507*1.25+3,IF(I1507&lt;=120,I1507*1.25+4,I1507*1.25+5))),
""))),2)</f>
        <v>345.18</v>
      </c>
      <c r="I1507" s="9">
        <f>($K$2+0.02)*Tabla1[[#This Row],[PRECIO $]]*1.18</f>
        <v>293.19695999999999</v>
      </c>
      <c r="J1507" s="7">
        <f>+Tabla1[[#This Row],[PRECIO EN SOLES]]-Tabla1[[#This Row],[PC]]</f>
        <v>51.983040000000017</v>
      </c>
      <c r="K1507" s="15"/>
      <c r="L1507" s="15" t="str">
        <f>IF(
OR(
ISNUMBER(SEARCH("BACKPACK",B1509)),
ISNUMBER(SEARCH("MOCHILA",B1509)),
ISNUMBER(SEARCH("FUNDA",B1509)),
ISNUMBER(SEARCH("ESTUCHE",B1509)),
ISNUMBER(SEARCH("BOOK COVER",B1509)),
ISNUMBER(SEARCH("KEYBOARD PARA TABLET",B1509)),
ISNUMBER(SEARCH("FLIP TABLET",B1509)),
ISNUMBER(SEARCH("CASE FOR TABLET",B1509)),
ISNUMBER(SEARCH("CABLE",B1509)),
ISNUMBER(SEARCH("ADAPTADOR",B1509)),
ISNUMBER(SEARCH("HUB",B1509)),
ISNUMBER(SEARCH("DOCK",B1509)),
ISNUMBER(SEARCH("MOUSE PAD",B1509)),
ISNUMBER(SEARCH("MOUSEPAD",B1509)),
ISNUMBER(SEARCH("SOPORTE",B1509)),
ISNUMBER(SEARCH("STAND",B1509)),
ISNUMBER(SEARCH("TRAVEL ADAPTER",B1509)),
ISNUMBER(SEARCH("RJ45",B1509)),
ISNUMBER(SEARCH("USB-C",B1509)),
ISNUMBER(SEARCH("USB WIFI",B1509)),
ISNUMBER(SEARCH("POWERBANK",B1509)),
ISNUMBER(SEARCH("CARGADOR",B1509)),
ISNUMBER(SEARCH("COOLER PARA NB",B1509)),
ISNUMBER(SEARCH("SOPORTE PARA NB",B1509)),
ISNUMBER(SEARCH("WEBCAM",B1509)),
ISNUMBER(SEARCH("WEB CAM",B1509)),
ISNUMBER(SEARCH("MOUSE",B1509)),
ISNUMBER(SEARCH("TECLADO",B1509))
),
"COMPLEMENTO",
IF(
OR(
LEFT(A1509,2)="NB",
LEFT(A1509,2)="PC",
LEFT(A1509,2)="WS",
LEFT(A1509,2)="TB",
LEFT(A1509,3)="CEL",
LEFT(A1509,3)="MON",
LEFT(A1509,3)="PRE",
LEFT(A1509,3)="PRH",
ISNUMBER(SEARCH("NOTEBOOK",B1509)),
ISNUMBER(SEARCH("LAPTOP",B1509)),
ISNUMBER(SEARCH("MONITOR",B1509)),
ISNUMBER(SEARCH("TABLET",B1509)),
ISNUMBER(SEARCH("SMARTPH",B1509)),
ISNUMBER(SEARCH("IMPRESORA",B1509)),
ISNUMBER(SEARCH("MULTIFUNCIONAL",B1509)),
ISNUMBER(SEARCH("AIO",B1509))
),
"GANCHO",
"NORMAL"
)
)</f>
        <v>NORMAL</v>
      </c>
    </row>
    <row r="1508" spans="1:12" x14ac:dyDescent="0.25">
      <c r="A1508" s="3" t="s">
        <v>2461</v>
      </c>
      <c r="B1508" s="3" t="s">
        <v>2462</v>
      </c>
      <c r="C1508" s="1">
        <v>20</v>
      </c>
      <c r="D1508" s="1">
        <v>210.5</v>
      </c>
      <c r="E1508" s="1" t="s">
        <v>218</v>
      </c>
      <c r="F1508" s="1" t="s">
        <v>4000</v>
      </c>
      <c r="G1508" s="3" t="s">
        <v>2463</v>
      </c>
      <c r="H1508" s="11">
        <f>ROUND(
IF(L1506="GANCHO",
   IF(I1508&lt;=50,I1508*1.1+4,IF(I1508&lt;=120,I1508*1.1+7,IF(I1508&lt;=250,I1508*1.1+11,I1508*1.1+19))),
IF(L1506="NORMAL",
   IF(I1508&lt;=30,I1508*1.15+2,IF(I1508&lt;=80,I1508*1.15+4,IF(I1508&lt;=150,I1508*1.15+6,I1508*1.15+8))),
IF(L1506="COMPLEMENTO",
   IF(I1508&lt;=25,I1508*1.25+1.5,IF(I1508&lt;=60,I1508*1.25+3,IF(I1508&lt;=120,I1508*1.25+4,I1508*1.25+5))),
""))),2)</f>
        <v>1002.06</v>
      </c>
      <c r="I1508" s="9">
        <f>($K$2+0.02)*Tabla1[[#This Row],[PRECIO $]]*1.18</f>
        <v>864.39719999999988</v>
      </c>
      <c r="J1508" s="7">
        <f>+Tabla1[[#This Row],[PRECIO EN SOLES]]-Tabla1[[#This Row],[PC]]</f>
        <v>137.66280000000006</v>
      </c>
      <c r="K1508" s="15"/>
      <c r="L1508" s="15" t="str">
        <f>IF(
OR(
ISNUMBER(SEARCH("BACKPACK",B1510)),
ISNUMBER(SEARCH("MOCHILA",B1510)),
ISNUMBER(SEARCH("FUNDA",B1510)),
ISNUMBER(SEARCH("ESTUCHE",B1510)),
ISNUMBER(SEARCH("BOOK COVER",B1510)),
ISNUMBER(SEARCH("KEYBOARD PARA TABLET",B1510)),
ISNUMBER(SEARCH("FLIP TABLET",B1510)),
ISNUMBER(SEARCH("CASE FOR TABLET",B1510)),
ISNUMBER(SEARCH("CABLE",B1510)),
ISNUMBER(SEARCH("ADAPTADOR",B1510)),
ISNUMBER(SEARCH("HUB",B1510)),
ISNUMBER(SEARCH("DOCK",B1510)),
ISNUMBER(SEARCH("MOUSE PAD",B1510)),
ISNUMBER(SEARCH("MOUSEPAD",B1510)),
ISNUMBER(SEARCH("SOPORTE",B1510)),
ISNUMBER(SEARCH("STAND",B1510)),
ISNUMBER(SEARCH("TRAVEL ADAPTER",B1510)),
ISNUMBER(SEARCH("RJ45",B1510)),
ISNUMBER(SEARCH("USB-C",B1510)),
ISNUMBER(SEARCH("USB WIFI",B1510)),
ISNUMBER(SEARCH("POWERBANK",B1510)),
ISNUMBER(SEARCH("CARGADOR",B1510)),
ISNUMBER(SEARCH("COOLER PARA NB",B1510)),
ISNUMBER(SEARCH("SOPORTE PARA NB",B1510)),
ISNUMBER(SEARCH("WEBCAM",B1510)),
ISNUMBER(SEARCH("WEB CAM",B1510)),
ISNUMBER(SEARCH("MOUSE",B1510)),
ISNUMBER(SEARCH("TECLADO",B1510))
),
"COMPLEMENTO",
IF(
OR(
LEFT(A1510,2)="NB",
LEFT(A1510,2)="PC",
LEFT(A1510,2)="WS",
LEFT(A1510,2)="TB",
LEFT(A1510,3)="CEL",
LEFT(A1510,3)="MON",
LEFT(A1510,3)="PRE",
LEFT(A1510,3)="PRH",
ISNUMBER(SEARCH("NOTEBOOK",B1510)),
ISNUMBER(SEARCH("LAPTOP",B1510)),
ISNUMBER(SEARCH("MONITOR",B1510)),
ISNUMBER(SEARCH("TABLET",B1510)),
ISNUMBER(SEARCH("SMARTPH",B1510)),
ISNUMBER(SEARCH("IMPRESORA",B1510)),
ISNUMBER(SEARCH("MULTIFUNCIONAL",B1510)),
ISNUMBER(SEARCH("AIO",B1510))
),
"GANCHO",
"NORMAL"
)
)</f>
        <v>NORMAL</v>
      </c>
    </row>
    <row r="1509" spans="1:12" x14ac:dyDescent="0.25">
      <c r="A1509" s="3" t="s">
        <v>480</v>
      </c>
      <c r="B1509" s="3" t="s">
        <v>481</v>
      </c>
      <c r="C1509" s="1">
        <v>0</v>
      </c>
      <c r="D1509" s="1">
        <v>81.3</v>
      </c>
      <c r="E1509" s="1" t="s">
        <v>218</v>
      </c>
      <c r="F1509" s="1" t="s">
        <v>4001</v>
      </c>
      <c r="G1509" s="3" t="s">
        <v>482</v>
      </c>
      <c r="H1509" s="11">
        <f>ROUND(
IF(L1507="GANCHO",
   IF(I1509&lt;=50,I1509*1.1+4,IF(I1509&lt;=120,I1509*1.1+7,IF(I1509&lt;=250,I1509*1.1+11,I1509*1.1+19))),
IF(L1507="NORMAL",
   IF(I1509&lt;=30,I1509*1.15+2,IF(I1509&lt;=80,I1509*1.15+4,IF(I1509&lt;=150,I1509*1.15+6,I1509*1.15+8))),
IF(L1507="COMPLEMENTO",
   IF(I1509&lt;=25,I1509*1.25+1.5,IF(I1509&lt;=60,I1509*1.25+3,IF(I1509&lt;=120,I1509*1.25+4,I1509*1.25+5))),
""))),2)</f>
        <v>391.93</v>
      </c>
      <c r="I1509" s="9">
        <f>($K$2+0.02)*Tabla1[[#This Row],[PRECIO $]]*1.18</f>
        <v>333.85031999999995</v>
      </c>
      <c r="J1509" s="7">
        <f>+Tabla1[[#This Row],[PRECIO EN SOLES]]-Tabla1[[#This Row],[PC]]</f>
        <v>58.079680000000053</v>
      </c>
      <c r="K1509" s="15"/>
      <c r="L1509" s="15" t="str">
        <f>IF(
OR(
ISNUMBER(SEARCH("BACKPACK",B1511)),
ISNUMBER(SEARCH("MOCHILA",B1511)),
ISNUMBER(SEARCH("FUNDA",B1511)),
ISNUMBER(SEARCH("ESTUCHE",B1511)),
ISNUMBER(SEARCH("BOOK COVER",B1511)),
ISNUMBER(SEARCH("KEYBOARD PARA TABLET",B1511)),
ISNUMBER(SEARCH("FLIP TABLET",B1511)),
ISNUMBER(SEARCH("CASE FOR TABLET",B1511)),
ISNUMBER(SEARCH("CABLE",B1511)),
ISNUMBER(SEARCH("ADAPTADOR",B1511)),
ISNUMBER(SEARCH("HUB",B1511)),
ISNUMBER(SEARCH("DOCK",B1511)),
ISNUMBER(SEARCH("MOUSE PAD",B1511)),
ISNUMBER(SEARCH("MOUSEPAD",B1511)),
ISNUMBER(SEARCH("SOPORTE",B1511)),
ISNUMBER(SEARCH("STAND",B1511)),
ISNUMBER(SEARCH("TRAVEL ADAPTER",B1511)),
ISNUMBER(SEARCH("RJ45",B1511)),
ISNUMBER(SEARCH("USB-C",B1511)),
ISNUMBER(SEARCH("USB WIFI",B1511)),
ISNUMBER(SEARCH("POWERBANK",B1511)),
ISNUMBER(SEARCH("CARGADOR",B1511)),
ISNUMBER(SEARCH("COOLER PARA NB",B1511)),
ISNUMBER(SEARCH("SOPORTE PARA NB",B1511)),
ISNUMBER(SEARCH("WEBCAM",B1511)),
ISNUMBER(SEARCH("WEB CAM",B1511)),
ISNUMBER(SEARCH("MOUSE",B1511)),
ISNUMBER(SEARCH("TECLADO",B1511))
),
"COMPLEMENTO",
IF(
OR(
LEFT(A1511,2)="NB",
LEFT(A1511,2)="PC",
LEFT(A1511,2)="WS",
LEFT(A1511,2)="TB",
LEFT(A1511,3)="CEL",
LEFT(A1511,3)="MON",
LEFT(A1511,3)="PRE",
LEFT(A1511,3)="PRH",
ISNUMBER(SEARCH("NOTEBOOK",B1511)),
ISNUMBER(SEARCH("LAPTOP",B1511)),
ISNUMBER(SEARCH("MONITOR",B1511)),
ISNUMBER(SEARCH("TABLET",B1511)),
ISNUMBER(SEARCH("SMARTPH",B1511)),
ISNUMBER(SEARCH("IMPRESORA",B1511)),
ISNUMBER(SEARCH("MULTIFUNCIONAL",B1511)),
ISNUMBER(SEARCH("AIO",B1511))
),
"GANCHO",
"NORMAL"
)
)</f>
        <v>NORMAL</v>
      </c>
    </row>
    <row r="1510" spans="1:12" x14ac:dyDescent="0.25">
      <c r="A1510" s="3" t="s">
        <v>4848</v>
      </c>
      <c r="B1510" s="3" t="s">
        <v>4849</v>
      </c>
      <c r="C1510" s="1">
        <v>20</v>
      </c>
      <c r="D1510" s="1">
        <v>159.4</v>
      </c>
      <c r="E1510" s="1" t="s">
        <v>198</v>
      </c>
      <c r="F1510" s="1" t="s">
        <v>4850</v>
      </c>
      <c r="G1510" s="3" t="s">
        <v>4851</v>
      </c>
      <c r="H1510" s="11">
        <f>ROUND(
IF(L1508="GANCHO",
   IF(I1510&lt;=50,I1510*1.1+4,IF(I1510&lt;=120,I1510*1.1+7,IF(I1510&lt;=250,I1510*1.1+11,I1510*1.1+19))),
IF(L1508="NORMAL",
   IF(I1510&lt;=30,I1510*1.15+2,IF(I1510&lt;=80,I1510*1.15+4,IF(I1510&lt;=150,I1510*1.15+6,I1510*1.15+8))),
IF(L1508="COMPLEMENTO",
   IF(I1510&lt;=25,I1510*1.25+1.5,IF(I1510&lt;=60,I1510*1.25+3,IF(I1510&lt;=120,I1510*1.25+4,I1510*1.25+5))),
""))),2)</f>
        <v>760.74</v>
      </c>
      <c r="I1510" s="9">
        <f>($K$2+0.02)*Tabla1[[#This Row],[PRECIO $]]*1.18</f>
        <v>654.56016</v>
      </c>
      <c r="J1510" s="7">
        <f>+Tabla1[[#This Row],[PRECIO EN SOLES]]-Tabla1[[#This Row],[PC]]</f>
        <v>106.17984000000001</v>
      </c>
      <c r="K1510" s="15"/>
      <c r="L1510" s="15" t="str">
        <f>IF(
OR(
ISNUMBER(SEARCH("BACKPACK",B1512)),
ISNUMBER(SEARCH("MOCHILA",B1512)),
ISNUMBER(SEARCH("FUNDA",B1512)),
ISNUMBER(SEARCH("ESTUCHE",B1512)),
ISNUMBER(SEARCH("BOOK COVER",B1512)),
ISNUMBER(SEARCH("KEYBOARD PARA TABLET",B1512)),
ISNUMBER(SEARCH("FLIP TABLET",B1512)),
ISNUMBER(SEARCH("CASE FOR TABLET",B1512)),
ISNUMBER(SEARCH("CABLE",B1512)),
ISNUMBER(SEARCH("ADAPTADOR",B1512)),
ISNUMBER(SEARCH("HUB",B1512)),
ISNUMBER(SEARCH("DOCK",B1512)),
ISNUMBER(SEARCH("MOUSE PAD",B1512)),
ISNUMBER(SEARCH("MOUSEPAD",B1512)),
ISNUMBER(SEARCH("SOPORTE",B1512)),
ISNUMBER(SEARCH("STAND",B1512)),
ISNUMBER(SEARCH("TRAVEL ADAPTER",B1512)),
ISNUMBER(SEARCH("RJ45",B1512)),
ISNUMBER(SEARCH("USB-C",B1512)),
ISNUMBER(SEARCH("USB WIFI",B1512)),
ISNUMBER(SEARCH("POWERBANK",B1512)),
ISNUMBER(SEARCH("CARGADOR",B1512)),
ISNUMBER(SEARCH("COOLER PARA NB",B1512)),
ISNUMBER(SEARCH("SOPORTE PARA NB",B1512)),
ISNUMBER(SEARCH("WEBCAM",B1512)),
ISNUMBER(SEARCH("WEB CAM",B1512)),
ISNUMBER(SEARCH("MOUSE",B1512)),
ISNUMBER(SEARCH("TECLADO",B1512))
),
"COMPLEMENTO",
IF(
OR(
LEFT(A1512,2)="NB",
LEFT(A1512,2)="PC",
LEFT(A1512,2)="WS",
LEFT(A1512,2)="TB",
LEFT(A1512,3)="CEL",
LEFT(A1512,3)="MON",
LEFT(A1512,3)="PRE",
LEFT(A1512,3)="PRH",
ISNUMBER(SEARCH("NOTEBOOK",B1512)),
ISNUMBER(SEARCH("LAPTOP",B1512)),
ISNUMBER(SEARCH("MONITOR",B1512)),
ISNUMBER(SEARCH("TABLET",B1512)),
ISNUMBER(SEARCH("SMARTPH",B1512)),
ISNUMBER(SEARCH("IMPRESORA",B1512)),
ISNUMBER(SEARCH("MULTIFUNCIONAL",B1512)),
ISNUMBER(SEARCH("AIO",B1512))
),
"GANCHO",
"NORMAL"
)
)</f>
        <v>NORMAL</v>
      </c>
    </row>
    <row r="1511" spans="1:12" x14ac:dyDescent="0.25">
      <c r="A1511" s="3" t="s">
        <v>5030</v>
      </c>
      <c r="B1511" s="3" t="s">
        <v>5031</v>
      </c>
      <c r="C1511" s="1">
        <v>20</v>
      </c>
      <c r="D1511" s="1">
        <v>157.80000000000001</v>
      </c>
      <c r="E1511" s="1" t="s">
        <v>467</v>
      </c>
      <c r="F1511" s="1" t="s">
        <v>5032</v>
      </c>
      <c r="G1511" s="3" t="s">
        <v>5488</v>
      </c>
      <c r="H1511" s="11">
        <f>ROUND(
IF(L1509="GANCHO",
   IF(I1511&lt;=50,I1511*1.1+4,IF(I1511&lt;=120,I1511*1.1+7,IF(I1511&lt;=250,I1511*1.1+11,I1511*1.1+19))),
IF(L1509="NORMAL",
   IF(I1511&lt;=30,I1511*1.15+2,IF(I1511&lt;=80,I1511*1.15+4,IF(I1511&lt;=150,I1511*1.15+6,I1511*1.15+8))),
IF(L1509="COMPLEMENTO",
   IF(I1511&lt;=25,I1511*1.25+1.5,IF(I1511&lt;=60,I1511*1.25+3,IF(I1511&lt;=120,I1511*1.25+4,I1511*1.25+5))),
""))),2)</f>
        <v>753.19</v>
      </c>
      <c r="I1511" s="9">
        <f>($K$2+0.02)*Tabla1[[#This Row],[PRECIO $]]*1.18</f>
        <v>647.98991999999998</v>
      </c>
      <c r="J1511" s="7">
        <f>+Tabla1[[#This Row],[PRECIO EN SOLES]]-Tabla1[[#This Row],[PC]]</f>
        <v>105.20008000000007</v>
      </c>
      <c r="K1511" s="15"/>
      <c r="L1511" s="15" t="str">
        <f>IF(
OR(
ISNUMBER(SEARCH("BACKPACK",B1513)),
ISNUMBER(SEARCH("MOCHILA",B1513)),
ISNUMBER(SEARCH("FUNDA",B1513)),
ISNUMBER(SEARCH("ESTUCHE",B1513)),
ISNUMBER(SEARCH("BOOK COVER",B1513)),
ISNUMBER(SEARCH("KEYBOARD PARA TABLET",B1513)),
ISNUMBER(SEARCH("FLIP TABLET",B1513)),
ISNUMBER(SEARCH("CASE FOR TABLET",B1513)),
ISNUMBER(SEARCH("CABLE",B1513)),
ISNUMBER(SEARCH("ADAPTADOR",B1513)),
ISNUMBER(SEARCH("HUB",B1513)),
ISNUMBER(SEARCH("DOCK",B1513)),
ISNUMBER(SEARCH("MOUSE PAD",B1513)),
ISNUMBER(SEARCH("MOUSEPAD",B1513)),
ISNUMBER(SEARCH("SOPORTE",B1513)),
ISNUMBER(SEARCH("STAND",B1513)),
ISNUMBER(SEARCH("TRAVEL ADAPTER",B1513)),
ISNUMBER(SEARCH("RJ45",B1513)),
ISNUMBER(SEARCH("USB-C",B1513)),
ISNUMBER(SEARCH("USB WIFI",B1513)),
ISNUMBER(SEARCH("POWERBANK",B1513)),
ISNUMBER(SEARCH("CARGADOR",B1513)),
ISNUMBER(SEARCH("COOLER PARA NB",B1513)),
ISNUMBER(SEARCH("SOPORTE PARA NB",B1513)),
ISNUMBER(SEARCH("WEBCAM",B1513)),
ISNUMBER(SEARCH("WEB CAM",B1513)),
ISNUMBER(SEARCH("MOUSE",B1513)),
ISNUMBER(SEARCH("TECLADO",B1513))
),
"COMPLEMENTO",
IF(
OR(
LEFT(A1513,2)="NB",
LEFT(A1513,2)="PC",
LEFT(A1513,2)="WS",
LEFT(A1513,2)="TB",
LEFT(A1513,3)="CEL",
LEFT(A1513,3)="MON",
LEFT(A1513,3)="PRE",
LEFT(A1513,3)="PRH",
ISNUMBER(SEARCH("NOTEBOOK",B1513)),
ISNUMBER(SEARCH("LAPTOP",B1513)),
ISNUMBER(SEARCH("MONITOR",B1513)),
ISNUMBER(SEARCH("TABLET",B1513)),
ISNUMBER(SEARCH("SMARTPH",B1513)),
ISNUMBER(SEARCH("IMPRESORA",B1513)),
ISNUMBER(SEARCH("MULTIFUNCIONAL",B1513)),
ISNUMBER(SEARCH("AIO",B1513))
),
"GANCHO",
"NORMAL"
)
)</f>
        <v>NORMAL</v>
      </c>
    </row>
    <row r="1512" spans="1:12" x14ac:dyDescent="0.25">
      <c r="A1512" s="3" t="s">
        <v>618</v>
      </c>
      <c r="B1512" s="3" t="s">
        <v>619</v>
      </c>
      <c r="C1512" s="1">
        <v>20</v>
      </c>
      <c r="D1512" s="1">
        <v>62.25</v>
      </c>
      <c r="E1512" s="1" t="s">
        <v>467</v>
      </c>
      <c r="F1512" s="1" t="s">
        <v>4002</v>
      </c>
      <c r="G1512" s="3" t="s">
        <v>620</v>
      </c>
      <c r="H1512" s="11">
        <f>ROUND(
IF(L1510="GANCHO",
   IF(I1512&lt;=50,I1512*1.1+4,IF(I1512&lt;=120,I1512*1.1+7,IF(I1512&lt;=250,I1512*1.1+11,I1512*1.1+19))),
IF(L1510="NORMAL",
   IF(I1512&lt;=30,I1512*1.15+2,IF(I1512&lt;=80,I1512*1.15+4,IF(I1512&lt;=150,I1512*1.15+6,I1512*1.15+8))),
IF(L1510="COMPLEMENTO",
   IF(I1512&lt;=25,I1512*1.25+1.5,IF(I1512&lt;=60,I1512*1.25+3,IF(I1512&lt;=120,I1512*1.25+4,I1512*1.25+5))),
""))),2)</f>
        <v>301.97000000000003</v>
      </c>
      <c r="I1512" s="9">
        <f>($K$2+0.02)*Tabla1[[#This Row],[PRECIO $]]*1.18</f>
        <v>255.62339999999998</v>
      </c>
      <c r="J1512" s="7">
        <f>+Tabla1[[#This Row],[PRECIO EN SOLES]]-Tabla1[[#This Row],[PC]]</f>
        <v>46.346600000000052</v>
      </c>
      <c r="K1512" s="15"/>
      <c r="L1512" s="15" t="str">
        <f>IF(
OR(
ISNUMBER(SEARCH("BACKPACK",B1514)),
ISNUMBER(SEARCH("MOCHILA",B1514)),
ISNUMBER(SEARCH("FUNDA",B1514)),
ISNUMBER(SEARCH("ESTUCHE",B1514)),
ISNUMBER(SEARCH("BOOK COVER",B1514)),
ISNUMBER(SEARCH("KEYBOARD PARA TABLET",B1514)),
ISNUMBER(SEARCH("FLIP TABLET",B1514)),
ISNUMBER(SEARCH("CASE FOR TABLET",B1514)),
ISNUMBER(SEARCH("CABLE",B1514)),
ISNUMBER(SEARCH("ADAPTADOR",B1514)),
ISNUMBER(SEARCH("HUB",B1514)),
ISNUMBER(SEARCH("DOCK",B1514)),
ISNUMBER(SEARCH("MOUSE PAD",B1514)),
ISNUMBER(SEARCH("MOUSEPAD",B1514)),
ISNUMBER(SEARCH("SOPORTE",B1514)),
ISNUMBER(SEARCH("STAND",B1514)),
ISNUMBER(SEARCH("TRAVEL ADAPTER",B1514)),
ISNUMBER(SEARCH("RJ45",B1514)),
ISNUMBER(SEARCH("USB-C",B1514)),
ISNUMBER(SEARCH("USB WIFI",B1514)),
ISNUMBER(SEARCH("POWERBANK",B1514)),
ISNUMBER(SEARCH("CARGADOR",B1514)),
ISNUMBER(SEARCH("COOLER PARA NB",B1514)),
ISNUMBER(SEARCH("SOPORTE PARA NB",B1514)),
ISNUMBER(SEARCH("WEBCAM",B1514)),
ISNUMBER(SEARCH("WEB CAM",B1514)),
ISNUMBER(SEARCH("MOUSE",B1514)),
ISNUMBER(SEARCH("TECLADO",B1514))
),
"COMPLEMENTO",
IF(
OR(
LEFT(A1514,2)="NB",
LEFT(A1514,2)="PC",
LEFT(A1514,2)="WS",
LEFT(A1514,2)="TB",
LEFT(A1514,3)="CEL",
LEFT(A1514,3)="MON",
LEFT(A1514,3)="PRE",
LEFT(A1514,3)="PRH",
ISNUMBER(SEARCH("NOTEBOOK",B1514)),
ISNUMBER(SEARCH("LAPTOP",B1514)),
ISNUMBER(SEARCH("MONITOR",B1514)),
ISNUMBER(SEARCH("TABLET",B1514)),
ISNUMBER(SEARCH("SMARTPH",B1514)),
ISNUMBER(SEARCH("IMPRESORA",B1514)),
ISNUMBER(SEARCH("MULTIFUNCIONAL",B1514)),
ISNUMBER(SEARCH("AIO",B1514))
),
"GANCHO",
"NORMAL"
)
)</f>
        <v>NORMAL</v>
      </c>
    </row>
    <row r="1513" spans="1:12" x14ac:dyDescent="0.25">
      <c r="A1513" s="3" t="s">
        <v>2464</v>
      </c>
      <c r="B1513" s="3" t="s">
        <v>2465</v>
      </c>
      <c r="C1513" s="1">
        <v>20</v>
      </c>
      <c r="D1513" s="1">
        <v>198</v>
      </c>
      <c r="E1513" s="1" t="s">
        <v>467</v>
      </c>
      <c r="F1513" s="1" t="s">
        <v>4003</v>
      </c>
      <c r="G1513" s="3" t="s">
        <v>5489</v>
      </c>
      <c r="H1513" s="11">
        <f>ROUND(
IF(L1511="GANCHO",
   IF(I1513&lt;=50,I1513*1.1+4,IF(I1513&lt;=120,I1513*1.1+7,IF(I1513&lt;=250,I1513*1.1+11,I1513*1.1+19))),
IF(L1511="NORMAL",
   IF(I1513&lt;=30,I1513*1.15+2,IF(I1513&lt;=80,I1513*1.15+4,IF(I1513&lt;=150,I1513*1.15+6,I1513*1.15+8))),
IF(L1511="COMPLEMENTO",
   IF(I1513&lt;=25,I1513*1.25+1.5,IF(I1513&lt;=60,I1513*1.25+3,IF(I1513&lt;=120,I1513*1.25+4,I1513*1.25+5))),
""))),2)</f>
        <v>943.03</v>
      </c>
      <c r="I1513" s="9">
        <f>($K$2+0.02)*Tabla1[[#This Row],[PRECIO $]]*1.18</f>
        <v>813.06719999999996</v>
      </c>
      <c r="J1513" s="7">
        <f>+Tabla1[[#This Row],[PRECIO EN SOLES]]-Tabla1[[#This Row],[PC]]</f>
        <v>129.96280000000002</v>
      </c>
      <c r="K1513" s="15"/>
      <c r="L1513" s="15" t="str">
        <f>IF(
OR(
ISNUMBER(SEARCH("BACKPACK",B1515)),
ISNUMBER(SEARCH("MOCHILA",B1515)),
ISNUMBER(SEARCH("FUNDA",B1515)),
ISNUMBER(SEARCH("ESTUCHE",B1515)),
ISNUMBER(SEARCH("BOOK COVER",B1515)),
ISNUMBER(SEARCH("KEYBOARD PARA TABLET",B1515)),
ISNUMBER(SEARCH("FLIP TABLET",B1515)),
ISNUMBER(SEARCH("CASE FOR TABLET",B1515)),
ISNUMBER(SEARCH("CABLE",B1515)),
ISNUMBER(SEARCH("ADAPTADOR",B1515)),
ISNUMBER(SEARCH("HUB",B1515)),
ISNUMBER(SEARCH("DOCK",B1515)),
ISNUMBER(SEARCH("MOUSE PAD",B1515)),
ISNUMBER(SEARCH("MOUSEPAD",B1515)),
ISNUMBER(SEARCH("SOPORTE",B1515)),
ISNUMBER(SEARCH("STAND",B1515)),
ISNUMBER(SEARCH("TRAVEL ADAPTER",B1515)),
ISNUMBER(SEARCH("RJ45",B1515)),
ISNUMBER(SEARCH("USB-C",B1515)),
ISNUMBER(SEARCH("USB WIFI",B1515)),
ISNUMBER(SEARCH("POWERBANK",B1515)),
ISNUMBER(SEARCH("CARGADOR",B1515)),
ISNUMBER(SEARCH("COOLER PARA NB",B1515)),
ISNUMBER(SEARCH("SOPORTE PARA NB",B1515)),
ISNUMBER(SEARCH("WEBCAM",B1515)),
ISNUMBER(SEARCH("WEB CAM",B1515)),
ISNUMBER(SEARCH("MOUSE",B1515)),
ISNUMBER(SEARCH("TECLADO",B1515))
),
"COMPLEMENTO",
IF(
OR(
LEFT(A1515,2)="NB",
LEFT(A1515,2)="PC",
LEFT(A1515,2)="WS",
LEFT(A1515,2)="TB",
LEFT(A1515,3)="CEL",
LEFT(A1515,3)="MON",
LEFT(A1515,3)="PRE",
LEFT(A1515,3)="PRH",
ISNUMBER(SEARCH("NOTEBOOK",B1515)),
ISNUMBER(SEARCH("LAPTOP",B1515)),
ISNUMBER(SEARCH("MONITOR",B1515)),
ISNUMBER(SEARCH("TABLET",B1515)),
ISNUMBER(SEARCH("SMARTPH",B1515)),
ISNUMBER(SEARCH("IMPRESORA",B1515)),
ISNUMBER(SEARCH("MULTIFUNCIONAL",B1515)),
ISNUMBER(SEARCH("AIO",B1515))
),
"GANCHO",
"NORMAL"
)
)</f>
        <v>NORMAL</v>
      </c>
    </row>
    <row r="1514" spans="1:12" x14ac:dyDescent="0.25">
      <c r="A1514" s="3" t="s">
        <v>4852</v>
      </c>
      <c r="B1514" s="3" t="s">
        <v>4853</v>
      </c>
      <c r="C1514" s="1">
        <v>12</v>
      </c>
      <c r="D1514" s="1">
        <v>71.3</v>
      </c>
      <c r="E1514" s="1" t="s">
        <v>198</v>
      </c>
      <c r="F1514" s="1" t="s">
        <v>4854</v>
      </c>
      <c r="G1514" s="3" t="s">
        <v>4855</v>
      </c>
      <c r="H1514" s="11">
        <f>ROUND(
IF(L1512="GANCHO",
   IF(I1514&lt;=50,I1514*1.1+4,IF(I1514&lt;=120,I1514*1.1+7,IF(I1514&lt;=250,I1514*1.1+11,I1514*1.1+19))),
IF(L1512="NORMAL",
   IF(I1514&lt;=30,I1514*1.15+2,IF(I1514&lt;=80,I1514*1.15+4,IF(I1514&lt;=150,I1514*1.15+6,I1514*1.15+8))),
IF(L1512="COMPLEMENTO",
   IF(I1514&lt;=25,I1514*1.25+1.5,IF(I1514&lt;=60,I1514*1.25+3,IF(I1514&lt;=120,I1514*1.25+4,I1514*1.25+5))),
""))),2)</f>
        <v>344.7</v>
      </c>
      <c r="I1514" s="9">
        <f>($K$2+0.02)*Tabla1[[#This Row],[PRECIO $]]*1.18</f>
        <v>292.78631999999999</v>
      </c>
      <c r="J1514" s="7">
        <f>+Tabla1[[#This Row],[PRECIO EN SOLES]]-Tabla1[[#This Row],[PC]]</f>
        <v>51.913679999999999</v>
      </c>
      <c r="K1514" s="15"/>
      <c r="L1514" s="15" t="str">
        <f>IF(
OR(
ISNUMBER(SEARCH("BACKPACK",B1516)),
ISNUMBER(SEARCH("MOCHILA",B1516)),
ISNUMBER(SEARCH("FUNDA",B1516)),
ISNUMBER(SEARCH("ESTUCHE",B1516)),
ISNUMBER(SEARCH("BOOK COVER",B1516)),
ISNUMBER(SEARCH("KEYBOARD PARA TABLET",B1516)),
ISNUMBER(SEARCH("FLIP TABLET",B1516)),
ISNUMBER(SEARCH("CASE FOR TABLET",B1516)),
ISNUMBER(SEARCH("CABLE",B1516)),
ISNUMBER(SEARCH("ADAPTADOR",B1516)),
ISNUMBER(SEARCH("HUB",B1516)),
ISNUMBER(SEARCH("DOCK",B1516)),
ISNUMBER(SEARCH("MOUSE PAD",B1516)),
ISNUMBER(SEARCH("MOUSEPAD",B1516)),
ISNUMBER(SEARCH("SOPORTE",B1516)),
ISNUMBER(SEARCH("STAND",B1516)),
ISNUMBER(SEARCH("TRAVEL ADAPTER",B1516)),
ISNUMBER(SEARCH("RJ45",B1516)),
ISNUMBER(SEARCH("USB-C",B1516)),
ISNUMBER(SEARCH("USB WIFI",B1516)),
ISNUMBER(SEARCH("POWERBANK",B1516)),
ISNUMBER(SEARCH("CARGADOR",B1516)),
ISNUMBER(SEARCH("COOLER PARA NB",B1516)),
ISNUMBER(SEARCH("SOPORTE PARA NB",B1516)),
ISNUMBER(SEARCH("WEBCAM",B1516)),
ISNUMBER(SEARCH("WEB CAM",B1516)),
ISNUMBER(SEARCH("MOUSE",B1516)),
ISNUMBER(SEARCH("TECLADO",B1516))
),
"COMPLEMENTO",
IF(
OR(
LEFT(A1516,2)="NB",
LEFT(A1516,2)="PC",
LEFT(A1516,2)="WS",
LEFT(A1516,2)="TB",
LEFT(A1516,3)="CEL",
LEFT(A1516,3)="MON",
LEFT(A1516,3)="PRE",
LEFT(A1516,3)="PRH",
ISNUMBER(SEARCH("NOTEBOOK",B1516)),
ISNUMBER(SEARCH("LAPTOP",B1516)),
ISNUMBER(SEARCH("MONITOR",B1516)),
ISNUMBER(SEARCH("TABLET",B1516)),
ISNUMBER(SEARCH("SMARTPH",B1516)),
ISNUMBER(SEARCH("IMPRESORA",B1516)),
ISNUMBER(SEARCH("MULTIFUNCIONAL",B1516)),
ISNUMBER(SEARCH("AIO",B1516))
),
"GANCHO",
"NORMAL"
)
)</f>
        <v>NORMAL</v>
      </c>
    </row>
    <row r="1515" spans="1:12" x14ac:dyDescent="0.25">
      <c r="A1515" s="3" t="s">
        <v>621</v>
      </c>
      <c r="B1515" s="3" t="s">
        <v>622</v>
      </c>
      <c r="C1515" s="1">
        <v>20</v>
      </c>
      <c r="D1515" s="1">
        <v>73.400000000000006</v>
      </c>
      <c r="E1515" s="1" t="s">
        <v>467</v>
      </c>
      <c r="F1515" s="1" t="s">
        <v>4004</v>
      </c>
      <c r="G1515" s="3" t="s">
        <v>623</v>
      </c>
      <c r="H1515" s="11">
        <f>ROUND(
IF(L1513="GANCHO",
   IF(I1515&lt;=50,I1515*1.1+4,IF(I1515&lt;=120,I1515*1.1+7,IF(I1515&lt;=250,I1515*1.1+11,I1515*1.1+19))),
IF(L1513="NORMAL",
   IF(I1515&lt;=30,I1515*1.15+2,IF(I1515&lt;=80,I1515*1.15+4,IF(I1515&lt;=150,I1515*1.15+6,I1515*1.15+8))),
IF(L1513="COMPLEMENTO",
   IF(I1515&lt;=25,I1515*1.25+1.5,IF(I1515&lt;=60,I1515*1.25+3,IF(I1515&lt;=120,I1515*1.25+4,I1515*1.25+5))),
""))),2)</f>
        <v>354.62</v>
      </c>
      <c r="I1515" s="9">
        <f>($K$2+0.02)*Tabla1[[#This Row],[PRECIO $]]*1.18</f>
        <v>301.40976000000001</v>
      </c>
      <c r="J1515" s="7">
        <f>+Tabla1[[#This Row],[PRECIO EN SOLES]]-Tabla1[[#This Row],[PC]]</f>
        <v>53.210239999999999</v>
      </c>
      <c r="K1515" s="15"/>
      <c r="L1515" s="15" t="str">
        <f>IF(
OR(
ISNUMBER(SEARCH("BACKPACK",B1517)),
ISNUMBER(SEARCH("MOCHILA",B1517)),
ISNUMBER(SEARCH("FUNDA",B1517)),
ISNUMBER(SEARCH("ESTUCHE",B1517)),
ISNUMBER(SEARCH("BOOK COVER",B1517)),
ISNUMBER(SEARCH("KEYBOARD PARA TABLET",B1517)),
ISNUMBER(SEARCH("FLIP TABLET",B1517)),
ISNUMBER(SEARCH("CASE FOR TABLET",B1517)),
ISNUMBER(SEARCH("CABLE",B1517)),
ISNUMBER(SEARCH("ADAPTADOR",B1517)),
ISNUMBER(SEARCH("HUB",B1517)),
ISNUMBER(SEARCH("DOCK",B1517)),
ISNUMBER(SEARCH("MOUSE PAD",B1517)),
ISNUMBER(SEARCH("MOUSEPAD",B1517)),
ISNUMBER(SEARCH("SOPORTE",B1517)),
ISNUMBER(SEARCH("STAND",B1517)),
ISNUMBER(SEARCH("TRAVEL ADAPTER",B1517)),
ISNUMBER(SEARCH("RJ45",B1517)),
ISNUMBER(SEARCH("USB-C",B1517)),
ISNUMBER(SEARCH("USB WIFI",B1517)),
ISNUMBER(SEARCH("POWERBANK",B1517)),
ISNUMBER(SEARCH("CARGADOR",B1517)),
ISNUMBER(SEARCH("COOLER PARA NB",B1517)),
ISNUMBER(SEARCH("SOPORTE PARA NB",B1517)),
ISNUMBER(SEARCH("WEBCAM",B1517)),
ISNUMBER(SEARCH("WEB CAM",B1517)),
ISNUMBER(SEARCH("MOUSE",B1517)),
ISNUMBER(SEARCH("TECLADO",B1517))
),
"COMPLEMENTO",
IF(
OR(
LEFT(A1517,2)="NB",
LEFT(A1517,2)="PC",
LEFT(A1517,2)="WS",
LEFT(A1517,2)="TB",
LEFT(A1517,3)="CEL",
LEFT(A1517,3)="MON",
LEFT(A1517,3)="PRE",
LEFT(A1517,3)="PRH",
ISNUMBER(SEARCH("NOTEBOOK",B1517)),
ISNUMBER(SEARCH("LAPTOP",B1517)),
ISNUMBER(SEARCH("MONITOR",B1517)),
ISNUMBER(SEARCH("TABLET",B1517)),
ISNUMBER(SEARCH("SMARTPH",B1517)),
ISNUMBER(SEARCH("IMPRESORA",B1517)),
ISNUMBER(SEARCH("MULTIFUNCIONAL",B1517)),
ISNUMBER(SEARCH("AIO",B1517))
),
"GANCHO",
"NORMAL"
)
)</f>
        <v>NORMAL</v>
      </c>
    </row>
    <row r="1516" spans="1:12" x14ac:dyDescent="0.25">
      <c r="A1516" s="3" t="s">
        <v>5176</v>
      </c>
      <c r="B1516" s="3" t="s">
        <v>5177</v>
      </c>
      <c r="C1516" s="1">
        <v>20</v>
      </c>
      <c r="D1516" s="1">
        <v>85.3</v>
      </c>
      <c r="E1516" s="1" t="s">
        <v>5169</v>
      </c>
      <c r="F1516" s="1" t="s">
        <v>5178</v>
      </c>
      <c r="G1516" s="3" t="s">
        <v>5179</v>
      </c>
      <c r="H1516" s="11">
        <f>ROUND(
IF(L1514="GANCHO",
   IF(I1516&lt;=50,I1516*1.1+4,IF(I1516&lt;=120,I1516*1.1+7,IF(I1516&lt;=250,I1516*1.1+11,I1516*1.1+19))),
IF(L1514="NORMAL",
   IF(I1516&lt;=30,I1516*1.15+2,IF(I1516&lt;=80,I1516*1.15+4,IF(I1516&lt;=150,I1516*1.15+6,I1516*1.15+8))),
IF(L1514="COMPLEMENTO",
   IF(I1516&lt;=25,I1516*1.25+1.5,IF(I1516&lt;=60,I1516*1.25+3,IF(I1516&lt;=120,I1516*1.25+4,I1516*1.25+5))),
""))),2)</f>
        <v>410.82</v>
      </c>
      <c r="I1516" s="9">
        <f>($K$2+0.02)*Tabla1[[#This Row],[PRECIO $]]*1.18</f>
        <v>350.27591999999999</v>
      </c>
      <c r="J1516" s="7">
        <f>+Tabla1[[#This Row],[PRECIO EN SOLES]]-Tabla1[[#This Row],[PC]]</f>
        <v>60.544080000000008</v>
      </c>
      <c r="K1516" s="15"/>
      <c r="L1516" s="15" t="str">
        <f>IF(
OR(
ISNUMBER(SEARCH("BACKPACK",B1518)),
ISNUMBER(SEARCH("MOCHILA",B1518)),
ISNUMBER(SEARCH("FUNDA",B1518)),
ISNUMBER(SEARCH("ESTUCHE",B1518)),
ISNUMBER(SEARCH("BOOK COVER",B1518)),
ISNUMBER(SEARCH("KEYBOARD PARA TABLET",B1518)),
ISNUMBER(SEARCH("FLIP TABLET",B1518)),
ISNUMBER(SEARCH("CASE FOR TABLET",B1518)),
ISNUMBER(SEARCH("CABLE",B1518)),
ISNUMBER(SEARCH("ADAPTADOR",B1518)),
ISNUMBER(SEARCH("HUB",B1518)),
ISNUMBER(SEARCH("DOCK",B1518)),
ISNUMBER(SEARCH("MOUSE PAD",B1518)),
ISNUMBER(SEARCH("MOUSEPAD",B1518)),
ISNUMBER(SEARCH("SOPORTE",B1518)),
ISNUMBER(SEARCH("STAND",B1518)),
ISNUMBER(SEARCH("TRAVEL ADAPTER",B1518)),
ISNUMBER(SEARCH("RJ45",B1518)),
ISNUMBER(SEARCH("USB-C",B1518)),
ISNUMBER(SEARCH("USB WIFI",B1518)),
ISNUMBER(SEARCH("POWERBANK",B1518)),
ISNUMBER(SEARCH("CARGADOR",B1518)),
ISNUMBER(SEARCH("COOLER PARA NB",B1518)),
ISNUMBER(SEARCH("SOPORTE PARA NB",B1518)),
ISNUMBER(SEARCH("WEBCAM",B1518)),
ISNUMBER(SEARCH("WEB CAM",B1518)),
ISNUMBER(SEARCH("MOUSE",B1518)),
ISNUMBER(SEARCH("TECLADO",B1518))
),
"COMPLEMENTO",
IF(
OR(
LEFT(A1518,2)="NB",
LEFT(A1518,2)="PC",
LEFT(A1518,2)="WS",
LEFT(A1518,2)="TB",
LEFT(A1518,3)="CEL",
LEFT(A1518,3)="MON",
LEFT(A1518,3)="PRE",
LEFT(A1518,3)="PRH",
ISNUMBER(SEARCH("NOTEBOOK",B1518)),
ISNUMBER(SEARCH("LAPTOP",B1518)),
ISNUMBER(SEARCH("MONITOR",B1518)),
ISNUMBER(SEARCH("TABLET",B1518)),
ISNUMBER(SEARCH("SMARTPH",B1518)),
ISNUMBER(SEARCH("IMPRESORA",B1518)),
ISNUMBER(SEARCH("MULTIFUNCIONAL",B1518)),
ISNUMBER(SEARCH("AIO",B1518))
),
"GANCHO",
"NORMAL"
)
)</f>
        <v>NORMAL</v>
      </c>
    </row>
    <row r="1517" spans="1:12" x14ac:dyDescent="0.25">
      <c r="A1517" s="3" t="s">
        <v>5490</v>
      </c>
      <c r="B1517" s="3" t="s">
        <v>5491</v>
      </c>
      <c r="C1517" s="1">
        <v>20</v>
      </c>
      <c r="D1517" s="1">
        <v>84.5</v>
      </c>
      <c r="E1517" s="1" t="s">
        <v>199</v>
      </c>
      <c r="F1517" s="1" t="s">
        <v>5492</v>
      </c>
      <c r="G1517" s="3" t="s">
        <v>6137</v>
      </c>
      <c r="H1517" s="11">
        <f>ROUND(
IF(L1515="GANCHO",
   IF(I1517&lt;=50,I1517*1.1+4,IF(I1517&lt;=120,I1517*1.1+7,IF(I1517&lt;=250,I1517*1.1+11,I1517*1.1+19))),
IF(L1515="NORMAL",
   IF(I1517&lt;=30,I1517*1.15+2,IF(I1517&lt;=80,I1517*1.15+4,IF(I1517&lt;=150,I1517*1.15+6,I1517*1.15+8))),
IF(L1515="COMPLEMENTO",
   IF(I1517&lt;=25,I1517*1.25+1.5,IF(I1517&lt;=60,I1517*1.25+3,IF(I1517&lt;=120,I1517*1.25+4,I1517*1.25+5))),
""))),2)</f>
        <v>407.04</v>
      </c>
      <c r="I1517" s="9">
        <f>($K$2+0.02)*Tabla1[[#This Row],[PRECIO $]]*1.18</f>
        <v>346.99079999999998</v>
      </c>
      <c r="J1517" s="7">
        <f>+Tabla1[[#This Row],[PRECIO EN SOLES]]-Tabla1[[#This Row],[PC]]</f>
        <v>60.049200000000042</v>
      </c>
      <c r="K1517" s="15"/>
      <c r="L1517" s="15" t="str">
        <f>IF(
OR(
ISNUMBER(SEARCH("BACKPACK",B1519)),
ISNUMBER(SEARCH("MOCHILA",B1519)),
ISNUMBER(SEARCH("FUNDA",B1519)),
ISNUMBER(SEARCH("ESTUCHE",B1519)),
ISNUMBER(SEARCH("BOOK COVER",B1519)),
ISNUMBER(SEARCH("KEYBOARD PARA TABLET",B1519)),
ISNUMBER(SEARCH("FLIP TABLET",B1519)),
ISNUMBER(SEARCH("CASE FOR TABLET",B1519)),
ISNUMBER(SEARCH("CABLE",B1519)),
ISNUMBER(SEARCH("ADAPTADOR",B1519)),
ISNUMBER(SEARCH("HUB",B1519)),
ISNUMBER(SEARCH("DOCK",B1519)),
ISNUMBER(SEARCH("MOUSE PAD",B1519)),
ISNUMBER(SEARCH("MOUSEPAD",B1519)),
ISNUMBER(SEARCH("SOPORTE",B1519)),
ISNUMBER(SEARCH("STAND",B1519)),
ISNUMBER(SEARCH("TRAVEL ADAPTER",B1519)),
ISNUMBER(SEARCH("RJ45",B1519)),
ISNUMBER(SEARCH("USB-C",B1519)),
ISNUMBER(SEARCH("USB WIFI",B1519)),
ISNUMBER(SEARCH("POWERBANK",B1519)),
ISNUMBER(SEARCH("CARGADOR",B1519)),
ISNUMBER(SEARCH("COOLER PARA NB",B1519)),
ISNUMBER(SEARCH("SOPORTE PARA NB",B1519)),
ISNUMBER(SEARCH("WEBCAM",B1519)),
ISNUMBER(SEARCH("WEB CAM",B1519)),
ISNUMBER(SEARCH("MOUSE",B1519)),
ISNUMBER(SEARCH("TECLADO",B1519))
),
"COMPLEMENTO",
IF(
OR(
LEFT(A1519,2)="NB",
LEFT(A1519,2)="PC",
LEFT(A1519,2)="WS",
LEFT(A1519,2)="TB",
LEFT(A1519,3)="CEL",
LEFT(A1519,3)="MON",
LEFT(A1519,3)="PRE",
LEFT(A1519,3)="PRH",
ISNUMBER(SEARCH("NOTEBOOK",B1519)),
ISNUMBER(SEARCH("LAPTOP",B1519)),
ISNUMBER(SEARCH("MONITOR",B1519)),
ISNUMBER(SEARCH("TABLET",B1519)),
ISNUMBER(SEARCH("SMARTPH",B1519)),
ISNUMBER(SEARCH("IMPRESORA",B1519)),
ISNUMBER(SEARCH("MULTIFUNCIONAL",B1519)),
ISNUMBER(SEARCH("AIO",B1519))
),
"GANCHO",
"NORMAL"
)
)</f>
        <v>NORMAL</v>
      </c>
    </row>
    <row r="1518" spans="1:12" x14ac:dyDescent="0.25">
      <c r="A1518" s="3" t="s">
        <v>5493</v>
      </c>
      <c r="B1518" s="3" t="s">
        <v>5494</v>
      </c>
      <c r="C1518" s="1">
        <v>0</v>
      </c>
      <c r="D1518" s="1">
        <v>140.30000000000001</v>
      </c>
      <c r="E1518" s="1" t="s">
        <v>199</v>
      </c>
      <c r="F1518" s="1" t="s">
        <v>5495</v>
      </c>
      <c r="G1518" s="3" t="s">
        <v>6138</v>
      </c>
      <c r="H1518" s="11">
        <f>ROUND(
IF(L1516="GANCHO",
   IF(I1518&lt;=50,I1518*1.1+4,IF(I1518&lt;=120,I1518*1.1+7,IF(I1518&lt;=250,I1518*1.1+11,I1518*1.1+19))),
IF(L1516="NORMAL",
   IF(I1518&lt;=30,I1518*1.15+2,IF(I1518&lt;=80,I1518*1.15+4,IF(I1518&lt;=150,I1518*1.15+6,I1518*1.15+8))),
IF(L1516="COMPLEMENTO",
   IF(I1518&lt;=25,I1518*1.25+1.5,IF(I1518&lt;=60,I1518*1.25+3,IF(I1518&lt;=120,I1518*1.25+4,I1518*1.25+5))),
""))),2)</f>
        <v>670.55</v>
      </c>
      <c r="I1518" s="9">
        <f>($K$2+0.02)*Tabla1[[#This Row],[PRECIO $]]*1.18</f>
        <v>576.12792000000002</v>
      </c>
      <c r="J1518" s="7">
        <f>+Tabla1[[#This Row],[PRECIO EN SOLES]]-Tabla1[[#This Row],[PC]]</f>
        <v>94.422079999999937</v>
      </c>
      <c r="K1518" s="15"/>
      <c r="L1518" s="15" t="str">
        <f>IF(
OR(
ISNUMBER(SEARCH("BACKPACK",B1520)),
ISNUMBER(SEARCH("MOCHILA",B1520)),
ISNUMBER(SEARCH("FUNDA",B1520)),
ISNUMBER(SEARCH("ESTUCHE",B1520)),
ISNUMBER(SEARCH("BOOK COVER",B1520)),
ISNUMBER(SEARCH("KEYBOARD PARA TABLET",B1520)),
ISNUMBER(SEARCH("FLIP TABLET",B1520)),
ISNUMBER(SEARCH("CASE FOR TABLET",B1520)),
ISNUMBER(SEARCH("CABLE",B1520)),
ISNUMBER(SEARCH("ADAPTADOR",B1520)),
ISNUMBER(SEARCH("HUB",B1520)),
ISNUMBER(SEARCH("DOCK",B1520)),
ISNUMBER(SEARCH("MOUSE PAD",B1520)),
ISNUMBER(SEARCH("MOUSEPAD",B1520)),
ISNUMBER(SEARCH("SOPORTE",B1520)),
ISNUMBER(SEARCH("STAND",B1520)),
ISNUMBER(SEARCH("TRAVEL ADAPTER",B1520)),
ISNUMBER(SEARCH("RJ45",B1520)),
ISNUMBER(SEARCH("USB-C",B1520)),
ISNUMBER(SEARCH("USB WIFI",B1520)),
ISNUMBER(SEARCH("POWERBANK",B1520)),
ISNUMBER(SEARCH("CARGADOR",B1520)),
ISNUMBER(SEARCH("COOLER PARA NB",B1520)),
ISNUMBER(SEARCH("SOPORTE PARA NB",B1520)),
ISNUMBER(SEARCH("WEBCAM",B1520)),
ISNUMBER(SEARCH("WEB CAM",B1520)),
ISNUMBER(SEARCH("MOUSE",B1520)),
ISNUMBER(SEARCH("TECLADO",B1520))
),
"COMPLEMENTO",
IF(
OR(
LEFT(A1520,2)="NB",
LEFT(A1520,2)="PC",
LEFT(A1520,2)="WS",
LEFT(A1520,2)="TB",
LEFT(A1520,3)="CEL",
LEFT(A1520,3)="MON",
LEFT(A1520,3)="PRE",
LEFT(A1520,3)="PRH",
ISNUMBER(SEARCH("NOTEBOOK",B1520)),
ISNUMBER(SEARCH("LAPTOP",B1520)),
ISNUMBER(SEARCH("MONITOR",B1520)),
ISNUMBER(SEARCH("TABLET",B1520)),
ISNUMBER(SEARCH("SMARTPH",B1520)),
ISNUMBER(SEARCH("IMPRESORA",B1520)),
ISNUMBER(SEARCH("MULTIFUNCIONAL",B1520)),
ISNUMBER(SEARCH("AIO",B1520))
),
"GANCHO",
"NORMAL"
)
)</f>
        <v>NORMAL</v>
      </c>
    </row>
    <row r="1519" spans="1:12" x14ac:dyDescent="0.25">
      <c r="A1519" s="3" t="s">
        <v>5496</v>
      </c>
      <c r="B1519" s="3" t="s">
        <v>5497</v>
      </c>
      <c r="C1519" s="1">
        <v>20</v>
      </c>
      <c r="D1519" s="1">
        <v>53.2</v>
      </c>
      <c r="E1519" s="1" t="s">
        <v>199</v>
      </c>
      <c r="F1519" s="1" t="s">
        <v>5498</v>
      </c>
      <c r="G1519" s="3" t="s">
        <v>6139</v>
      </c>
      <c r="H1519" s="11">
        <f>ROUND(
IF(L1517="GANCHO",
   IF(I1519&lt;=50,I1519*1.1+4,IF(I1519&lt;=120,I1519*1.1+7,IF(I1519&lt;=250,I1519*1.1+11,I1519*1.1+19))),
IF(L1517="NORMAL",
   IF(I1519&lt;=30,I1519*1.15+2,IF(I1519&lt;=80,I1519*1.15+4,IF(I1519&lt;=150,I1519*1.15+6,I1519*1.15+8))),
IF(L1517="COMPLEMENTO",
   IF(I1519&lt;=25,I1519*1.25+1.5,IF(I1519&lt;=60,I1519*1.25+3,IF(I1519&lt;=120,I1519*1.25+4,I1519*1.25+5))),
""))),2)</f>
        <v>259.23</v>
      </c>
      <c r="I1519" s="9">
        <f>($K$2+0.02)*Tabla1[[#This Row],[PRECIO $]]*1.18</f>
        <v>218.46047999999999</v>
      </c>
      <c r="J1519" s="7">
        <f>+Tabla1[[#This Row],[PRECIO EN SOLES]]-Tabla1[[#This Row],[PC]]</f>
        <v>40.769520000000028</v>
      </c>
      <c r="K1519" s="15"/>
      <c r="L1519" s="15" t="str">
        <f>IF(
OR(
ISNUMBER(SEARCH("BACKPACK",B1521)),
ISNUMBER(SEARCH("MOCHILA",B1521)),
ISNUMBER(SEARCH("FUNDA",B1521)),
ISNUMBER(SEARCH("ESTUCHE",B1521)),
ISNUMBER(SEARCH("BOOK COVER",B1521)),
ISNUMBER(SEARCH("KEYBOARD PARA TABLET",B1521)),
ISNUMBER(SEARCH("FLIP TABLET",B1521)),
ISNUMBER(SEARCH("CASE FOR TABLET",B1521)),
ISNUMBER(SEARCH("CABLE",B1521)),
ISNUMBER(SEARCH("ADAPTADOR",B1521)),
ISNUMBER(SEARCH("HUB",B1521)),
ISNUMBER(SEARCH("DOCK",B1521)),
ISNUMBER(SEARCH("MOUSE PAD",B1521)),
ISNUMBER(SEARCH("MOUSEPAD",B1521)),
ISNUMBER(SEARCH("SOPORTE",B1521)),
ISNUMBER(SEARCH("STAND",B1521)),
ISNUMBER(SEARCH("TRAVEL ADAPTER",B1521)),
ISNUMBER(SEARCH("RJ45",B1521)),
ISNUMBER(SEARCH("USB-C",B1521)),
ISNUMBER(SEARCH("USB WIFI",B1521)),
ISNUMBER(SEARCH("POWERBANK",B1521)),
ISNUMBER(SEARCH("CARGADOR",B1521)),
ISNUMBER(SEARCH("COOLER PARA NB",B1521)),
ISNUMBER(SEARCH("SOPORTE PARA NB",B1521)),
ISNUMBER(SEARCH("WEBCAM",B1521)),
ISNUMBER(SEARCH("WEB CAM",B1521)),
ISNUMBER(SEARCH("MOUSE",B1521)),
ISNUMBER(SEARCH("TECLADO",B1521))
),
"COMPLEMENTO",
IF(
OR(
LEFT(A1521,2)="NB",
LEFT(A1521,2)="PC",
LEFT(A1521,2)="WS",
LEFT(A1521,2)="TB",
LEFT(A1521,3)="CEL",
LEFT(A1521,3)="MON",
LEFT(A1521,3)="PRE",
LEFT(A1521,3)="PRH",
ISNUMBER(SEARCH("NOTEBOOK",B1521)),
ISNUMBER(SEARCH("LAPTOP",B1521)),
ISNUMBER(SEARCH("MONITOR",B1521)),
ISNUMBER(SEARCH("TABLET",B1521)),
ISNUMBER(SEARCH("SMARTPH",B1521)),
ISNUMBER(SEARCH("IMPRESORA",B1521)),
ISNUMBER(SEARCH("MULTIFUNCIONAL",B1521)),
ISNUMBER(SEARCH("AIO",B1521))
),
"GANCHO",
"NORMAL"
)
)</f>
        <v>NORMAL</v>
      </c>
    </row>
    <row r="1520" spans="1:12" x14ac:dyDescent="0.25">
      <c r="A1520" s="3" t="s">
        <v>5499</v>
      </c>
      <c r="B1520" s="3" t="s">
        <v>5500</v>
      </c>
      <c r="C1520" s="1">
        <v>20</v>
      </c>
      <c r="D1520" s="1">
        <v>81.3</v>
      </c>
      <c r="E1520" s="1" t="s">
        <v>199</v>
      </c>
      <c r="F1520" s="1" t="s">
        <v>5501</v>
      </c>
      <c r="G1520" s="3" t="s">
        <v>6140</v>
      </c>
      <c r="H1520" s="11">
        <f>ROUND(
IF(L1518="GANCHO",
   IF(I1520&lt;=50,I1520*1.1+4,IF(I1520&lt;=120,I1520*1.1+7,IF(I1520&lt;=250,I1520*1.1+11,I1520*1.1+19))),
IF(L1518="NORMAL",
   IF(I1520&lt;=30,I1520*1.15+2,IF(I1520&lt;=80,I1520*1.15+4,IF(I1520&lt;=150,I1520*1.15+6,I1520*1.15+8))),
IF(L1518="COMPLEMENTO",
   IF(I1520&lt;=25,I1520*1.25+1.5,IF(I1520&lt;=60,I1520*1.25+3,IF(I1520&lt;=120,I1520*1.25+4,I1520*1.25+5))),
""))),2)</f>
        <v>391.93</v>
      </c>
      <c r="I1520" s="9">
        <f>($K$2+0.02)*Tabla1[[#This Row],[PRECIO $]]*1.18</f>
        <v>333.85031999999995</v>
      </c>
      <c r="J1520" s="7">
        <f>+Tabla1[[#This Row],[PRECIO EN SOLES]]-Tabla1[[#This Row],[PC]]</f>
        <v>58.079680000000053</v>
      </c>
      <c r="K1520" s="15"/>
      <c r="L1520" s="15" t="str">
        <f>IF(
OR(
ISNUMBER(SEARCH("BACKPACK",B1522)),
ISNUMBER(SEARCH("MOCHILA",B1522)),
ISNUMBER(SEARCH("FUNDA",B1522)),
ISNUMBER(SEARCH("ESTUCHE",B1522)),
ISNUMBER(SEARCH("BOOK COVER",B1522)),
ISNUMBER(SEARCH("KEYBOARD PARA TABLET",B1522)),
ISNUMBER(SEARCH("FLIP TABLET",B1522)),
ISNUMBER(SEARCH("CASE FOR TABLET",B1522)),
ISNUMBER(SEARCH("CABLE",B1522)),
ISNUMBER(SEARCH("ADAPTADOR",B1522)),
ISNUMBER(SEARCH("HUB",B1522)),
ISNUMBER(SEARCH("DOCK",B1522)),
ISNUMBER(SEARCH("MOUSE PAD",B1522)),
ISNUMBER(SEARCH("MOUSEPAD",B1522)),
ISNUMBER(SEARCH("SOPORTE",B1522)),
ISNUMBER(SEARCH("STAND",B1522)),
ISNUMBER(SEARCH("TRAVEL ADAPTER",B1522)),
ISNUMBER(SEARCH("RJ45",B1522)),
ISNUMBER(SEARCH("USB-C",B1522)),
ISNUMBER(SEARCH("USB WIFI",B1522)),
ISNUMBER(SEARCH("POWERBANK",B1522)),
ISNUMBER(SEARCH("CARGADOR",B1522)),
ISNUMBER(SEARCH("COOLER PARA NB",B1522)),
ISNUMBER(SEARCH("SOPORTE PARA NB",B1522)),
ISNUMBER(SEARCH("WEBCAM",B1522)),
ISNUMBER(SEARCH("WEB CAM",B1522)),
ISNUMBER(SEARCH("MOUSE",B1522)),
ISNUMBER(SEARCH("TECLADO",B1522))
),
"COMPLEMENTO",
IF(
OR(
LEFT(A1522,2)="NB",
LEFT(A1522,2)="PC",
LEFT(A1522,2)="WS",
LEFT(A1522,2)="TB",
LEFT(A1522,3)="CEL",
LEFT(A1522,3)="MON",
LEFT(A1522,3)="PRE",
LEFT(A1522,3)="PRH",
ISNUMBER(SEARCH("NOTEBOOK",B1522)),
ISNUMBER(SEARCH("LAPTOP",B1522)),
ISNUMBER(SEARCH("MONITOR",B1522)),
ISNUMBER(SEARCH("TABLET",B1522)),
ISNUMBER(SEARCH("SMARTPH",B1522)),
ISNUMBER(SEARCH("IMPRESORA",B1522)),
ISNUMBER(SEARCH("MULTIFUNCIONAL",B1522)),
ISNUMBER(SEARCH("AIO",B1522))
),
"GANCHO",
"NORMAL"
)
)</f>
        <v>NORMAL</v>
      </c>
    </row>
    <row r="1521" spans="1:12" x14ac:dyDescent="0.25">
      <c r="A1521" s="3" t="s">
        <v>483</v>
      </c>
      <c r="B1521" s="3" t="s">
        <v>484</v>
      </c>
      <c r="C1521" s="1">
        <v>20</v>
      </c>
      <c r="D1521" s="1">
        <v>174.5</v>
      </c>
      <c r="E1521" s="1" t="s">
        <v>196</v>
      </c>
      <c r="F1521" s="1" t="s">
        <v>4005</v>
      </c>
      <c r="G1521" s="3" t="s">
        <v>485</v>
      </c>
      <c r="H1521" s="11">
        <f>ROUND(
IF(L1519="GANCHO",
   IF(I1521&lt;=50,I1521*1.1+4,IF(I1521&lt;=120,I1521*1.1+7,IF(I1521&lt;=250,I1521*1.1+11,I1521*1.1+19))),
IF(L1519="NORMAL",
   IF(I1521&lt;=30,I1521*1.15+2,IF(I1521&lt;=80,I1521*1.15+4,IF(I1521&lt;=150,I1521*1.15+6,I1521*1.15+8))),
IF(L1519="COMPLEMENTO",
   IF(I1521&lt;=25,I1521*1.25+1.5,IF(I1521&lt;=60,I1521*1.25+3,IF(I1521&lt;=120,I1521*1.25+4,I1521*1.25+5))),
""))),2)</f>
        <v>832.05</v>
      </c>
      <c r="I1521" s="9">
        <f>($K$2+0.02)*Tabla1[[#This Row],[PRECIO $]]*1.18</f>
        <v>716.56679999999994</v>
      </c>
      <c r="J1521" s="7">
        <f>+Tabla1[[#This Row],[PRECIO EN SOLES]]-Tabla1[[#This Row],[PC]]</f>
        <v>115.48320000000001</v>
      </c>
      <c r="K1521" s="15"/>
      <c r="L1521" s="15" t="str">
        <f>IF(
OR(
ISNUMBER(SEARCH("BACKPACK",B1523)),
ISNUMBER(SEARCH("MOCHILA",B1523)),
ISNUMBER(SEARCH("FUNDA",B1523)),
ISNUMBER(SEARCH("ESTUCHE",B1523)),
ISNUMBER(SEARCH("BOOK COVER",B1523)),
ISNUMBER(SEARCH("KEYBOARD PARA TABLET",B1523)),
ISNUMBER(SEARCH("FLIP TABLET",B1523)),
ISNUMBER(SEARCH("CASE FOR TABLET",B1523)),
ISNUMBER(SEARCH("CABLE",B1523)),
ISNUMBER(SEARCH("ADAPTADOR",B1523)),
ISNUMBER(SEARCH("HUB",B1523)),
ISNUMBER(SEARCH("DOCK",B1523)),
ISNUMBER(SEARCH("MOUSE PAD",B1523)),
ISNUMBER(SEARCH("MOUSEPAD",B1523)),
ISNUMBER(SEARCH("SOPORTE",B1523)),
ISNUMBER(SEARCH("STAND",B1523)),
ISNUMBER(SEARCH("TRAVEL ADAPTER",B1523)),
ISNUMBER(SEARCH("RJ45",B1523)),
ISNUMBER(SEARCH("USB-C",B1523)),
ISNUMBER(SEARCH("USB WIFI",B1523)),
ISNUMBER(SEARCH("POWERBANK",B1523)),
ISNUMBER(SEARCH("CARGADOR",B1523)),
ISNUMBER(SEARCH("COOLER PARA NB",B1523)),
ISNUMBER(SEARCH("SOPORTE PARA NB",B1523)),
ISNUMBER(SEARCH("WEBCAM",B1523)),
ISNUMBER(SEARCH("WEB CAM",B1523)),
ISNUMBER(SEARCH("MOUSE",B1523)),
ISNUMBER(SEARCH("TECLADO",B1523))
),
"COMPLEMENTO",
IF(
OR(
LEFT(A1523,2)="NB",
LEFT(A1523,2)="PC",
LEFT(A1523,2)="WS",
LEFT(A1523,2)="TB",
LEFT(A1523,3)="CEL",
LEFT(A1523,3)="MON",
LEFT(A1523,3)="PRE",
LEFT(A1523,3)="PRH",
ISNUMBER(SEARCH("NOTEBOOK",B1523)),
ISNUMBER(SEARCH("LAPTOP",B1523)),
ISNUMBER(SEARCH("MONITOR",B1523)),
ISNUMBER(SEARCH("TABLET",B1523)),
ISNUMBER(SEARCH("SMARTPH",B1523)),
ISNUMBER(SEARCH("IMPRESORA",B1523)),
ISNUMBER(SEARCH("MULTIFUNCIONAL",B1523)),
ISNUMBER(SEARCH("AIO",B1523))
),
"GANCHO",
"NORMAL"
)
)</f>
        <v>NORMAL</v>
      </c>
    </row>
    <row r="1522" spans="1:12" x14ac:dyDescent="0.25">
      <c r="A1522" s="3" t="s">
        <v>2466</v>
      </c>
      <c r="B1522" s="3" t="s">
        <v>2467</v>
      </c>
      <c r="C1522" s="1">
        <v>20</v>
      </c>
      <c r="D1522" s="1">
        <v>289.5</v>
      </c>
      <c r="E1522" s="1" t="s">
        <v>196</v>
      </c>
      <c r="F1522" s="1" t="s">
        <v>4006</v>
      </c>
      <c r="G1522" s="3" t="s">
        <v>2468</v>
      </c>
      <c r="H1522" s="11">
        <f>ROUND(
IF(L1520="GANCHO",
   IF(I1522&lt;=50,I1522*1.1+4,IF(I1522&lt;=120,I1522*1.1+7,IF(I1522&lt;=250,I1522*1.1+11,I1522*1.1+19))),
IF(L1520="NORMAL",
   IF(I1522&lt;=30,I1522*1.15+2,IF(I1522&lt;=80,I1522*1.15+4,IF(I1522&lt;=150,I1522*1.15+6,I1522*1.15+8))),
IF(L1520="COMPLEMENTO",
   IF(I1522&lt;=25,I1522*1.25+1.5,IF(I1522&lt;=60,I1522*1.25+3,IF(I1522&lt;=120,I1522*1.25+4,I1522*1.25+5))),
""))),2)</f>
        <v>1375.12</v>
      </c>
      <c r="I1522" s="9">
        <f>($K$2+0.02)*Tabla1[[#This Row],[PRECIO $]]*1.18</f>
        <v>1188.8027999999999</v>
      </c>
      <c r="J1522" s="7">
        <f>+Tabla1[[#This Row],[PRECIO EN SOLES]]-Tabla1[[#This Row],[PC]]</f>
        <v>186.31719999999996</v>
      </c>
      <c r="K1522" s="15"/>
      <c r="L1522" s="15" t="str">
        <f>IF(
OR(
ISNUMBER(SEARCH("BACKPACK",B1524)),
ISNUMBER(SEARCH("MOCHILA",B1524)),
ISNUMBER(SEARCH("FUNDA",B1524)),
ISNUMBER(SEARCH("ESTUCHE",B1524)),
ISNUMBER(SEARCH("BOOK COVER",B1524)),
ISNUMBER(SEARCH("KEYBOARD PARA TABLET",B1524)),
ISNUMBER(SEARCH("FLIP TABLET",B1524)),
ISNUMBER(SEARCH("CASE FOR TABLET",B1524)),
ISNUMBER(SEARCH("CABLE",B1524)),
ISNUMBER(SEARCH("ADAPTADOR",B1524)),
ISNUMBER(SEARCH("HUB",B1524)),
ISNUMBER(SEARCH("DOCK",B1524)),
ISNUMBER(SEARCH("MOUSE PAD",B1524)),
ISNUMBER(SEARCH("MOUSEPAD",B1524)),
ISNUMBER(SEARCH("SOPORTE",B1524)),
ISNUMBER(SEARCH("STAND",B1524)),
ISNUMBER(SEARCH("TRAVEL ADAPTER",B1524)),
ISNUMBER(SEARCH("RJ45",B1524)),
ISNUMBER(SEARCH("USB-C",B1524)),
ISNUMBER(SEARCH("USB WIFI",B1524)),
ISNUMBER(SEARCH("POWERBANK",B1524)),
ISNUMBER(SEARCH("CARGADOR",B1524)),
ISNUMBER(SEARCH("COOLER PARA NB",B1524)),
ISNUMBER(SEARCH("SOPORTE PARA NB",B1524)),
ISNUMBER(SEARCH("WEBCAM",B1524)),
ISNUMBER(SEARCH("WEB CAM",B1524)),
ISNUMBER(SEARCH("MOUSE",B1524)),
ISNUMBER(SEARCH("TECLADO",B1524))
),
"COMPLEMENTO",
IF(
OR(
LEFT(A1524,2)="NB",
LEFT(A1524,2)="PC",
LEFT(A1524,2)="WS",
LEFT(A1524,2)="TB",
LEFT(A1524,3)="CEL",
LEFT(A1524,3)="MON",
LEFT(A1524,3)="PRE",
LEFT(A1524,3)="PRH",
ISNUMBER(SEARCH("NOTEBOOK",B1524)),
ISNUMBER(SEARCH("LAPTOP",B1524)),
ISNUMBER(SEARCH("MONITOR",B1524)),
ISNUMBER(SEARCH("TABLET",B1524)),
ISNUMBER(SEARCH("SMARTPH",B1524)),
ISNUMBER(SEARCH("IMPRESORA",B1524)),
ISNUMBER(SEARCH("MULTIFUNCIONAL",B1524)),
ISNUMBER(SEARCH("AIO",B1524))
),
"GANCHO",
"NORMAL"
)
)</f>
        <v>NORMAL</v>
      </c>
    </row>
    <row r="1523" spans="1:12" x14ac:dyDescent="0.25">
      <c r="A1523" s="3" t="s">
        <v>2469</v>
      </c>
      <c r="B1523" s="3" t="s">
        <v>2470</v>
      </c>
      <c r="C1523" s="1">
        <v>10</v>
      </c>
      <c r="D1523" s="1">
        <v>663</v>
      </c>
      <c r="E1523" s="1" t="s">
        <v>196</v>
      </c>
      <c r="F1523" s="1" t="s">
        <v>4007</v>
      </c>
      <c r="G1523" s="3" t="s">
        <v>2471</v>
      </c>
      <c r="H1523" s="11">
        <f>ROUND(
IF(L1521="GANCHO",
   IF(I1523&lt;=50,I1523*1.1+4,IF(I1523&lt;=120,I1523*1.1+7,IF(I1523&lt;=250,I1523*1.1+11,I1523*1.1+19))),
IF(L1521="NORMAL",
   IF(I1523&lt;=30,I1523*1.15+2,IF(I1523&lt;=80,I1523*1.15+4,IF(I1523&lt;=150,I1523*1.15+6,I1523*1.15+8))),
IF(L1521="COMPLEMENTO",
   IF(I1523&lt;=25,I1523*1.25+1.5,IF(I1523&lt;=60,I1523*1.25+3,IF(I1523&lt;=120,I1523*1.25+4,I1523*1.25+5))),
""))),2)</f>
        <v>3138.92</v>
      </c>
      <c r="I1523" s="9">
        <f>($K$2+0.02)*Tabla1[[#This Row],[PRECIO $]]*1.18</f>
        <v>2722.5431999999996</v>
      </c>
      <c r="J1523" s="7">
        <f>+Tabla1[[#This Row],[PRECIO EN SOLES]]-Tabla1[[#This Row],[PC]]</f>
        <v>416.37680000000046</v>
      </c>
      <c r="K1523" s="15"/>
      <c r="L1523" s="15" t="str">
        <f>IF(
OR(
ISNUMBER(SEARCH("BACKPACK",B1525)),
ISNUMBER(SEARCH("MOCHILA",B1525)),
ISNUMBER(SEARCH("FUNDA",B1525)),
ISNUMBER(SEARCH("ESTUCHE",B1525)),
ISNUMBER(SEARCH("BOOK COVER",B1525)),
ISNUMBER(SEARCH("KEYBOARD PARA TABLET",B1525)),
ISNUMBER(SEARCH("FLIP TABLET",B1525)),
ISNUMBER(SEARCH("CASE FOR TABLET",B1525)),
ISNUMBER(SEARCH("CABLE",B1525)),
ISNUMBER(SEARCH("ADAPTADOR",B1525)),
ISNUMBER(SEARCH("HUB",B1525)),
ISNUMBER(SEARCH("DOCK",B1525)),
ISNUMBER(SEARCH("MOUSE PAD",B1525)),
ISNUMBER(SEARCH("MOUSEPAD",B1525)),
ISNUMBER(SEARCH("SOPORTE",B1525)),
ISNUMBER(SEARCH("STAND",B1525)),
ISNUMBER(SEARCH("TRAVEL ADAPTER",B1525)),
ISNUMBER(SEARCH("RJ45",B1525)),
ISNUMBER(SEARCH("USB-C",B1525)),
ISNUMBER(SEARCH("USB WIFI",B1525)),
ISNUMBER(SEARCH("POWERBANK",B1525)),
ISNUMBER(SEARCH("CARGADOR",B1525)),
ISNUMBER(SEARCH("COOLER PARA NB",B1525)),
ISNUMBER(SEARCH("SOPORTE PARA NB",B1525)),
ISNUMBER(SEARCH("WEBCAM",B1525)),
ISNUMBER(SEARCH("WEB CAM",B1525)),
ISNUMBER(SEARCH("MOUSE",B1525)),
ISNUMBER(SEARCH("TECLADO",B1525))
),
"COMPLEMENTO",
IF(
OR(
LEFT(A1525,2)="NB",
LEFT(A1525,2)="PC",
LEFT(A1525,2)="WS",
LEFT(A1525,2)="TB",
LEFT(A1525,3)="CEL",
LEFT(A1525,3)="MON",
LEFT(A1525,3)="PRE",
LEFT(A1525,3)="PRH",
ISNUMBER(SEARCH("NOTEBOOK",B1525)),
ISNUMBER(SEARCH("LAPTOP",B1525)),
ISNUMBER(SEARCH("MONITOR",B1525)),
ISNUMBER(SEARCH("TABLET",B1525)),
ISNUMBER(SEARCH("SMARTPH",B1525)),
ISNUMBER(SEARCH("IMPRESORA",B1525)),
ISNUMBER(SEARCH("MULTIFUNCIONAL",B1525)),
ISNUMBER(SEARCH("AIO",B1525))
),
"GANCHO",
"NORMAL"
)
)</f>
        <v>NORMAL</v>
      </c>
    </row>
    <row r="1524" spans="1:12" x14ac:dyDescent="0.25">
      <c r="A1524" s="3" t="s">
        <v>2989</v>
      </c>
      <c r="B1524" s="3" t="s">
        <v>2990</v>
      </c>
      <c r="C1524" s="1">
        <v>20</v>
      </c>
      <c r="D1524" s="1">
        <v>194.5</v>
      </c>
      <c r="E1524" s="1" t="s">
        <v>196</v>
      </c>
      <c r="F1524" s="1" t="s">
        <v>4008</v>
      </c>
      <c r="G1524" s="3" t="s">
        <v>2991</v>
      </c>
      <c r="H1524" s="11">
        <f>ROUND(
IF(L1522="GANCHO",
   IF(I1524&lt;=50,I1524*1.1+4,IF(I1524&lt;=120,I1524*1.1+7,IF(I1524&lt;=250,I1524*1.1+11,I1524*1.1+19))),
IF(L1522="NORMAL",
   IF(I1524&lt;=30,I1524*1.15+2,IF(I1524&lt;=80,I1524*1.15+4,IF(I1524&lt;=150,I1524*1.15+6,I1524*1.15+8))),
IF(L1522="COMPLEMENTO",
   IF(I1524&lt;=25,I1524*1.25+1.5,IF(I1524&lt;=60,I1524*1.25+3,IF(I1524&lt;=120,I1524*1.25+4,I1524*1.25+5))),
""))),2)</f>
        <v>926.5</v>
      </c>
      <c r="I1524" s="9">
        <f>($K$2+0.02)*Tabla1[[#This Row],[PRECIO $]]*1.18</f>
        <v>798.69479999999999</v>
      </c>
      <c r="J1524" s="7">
        <f>+Tabla1[[#This Row],[PRECIO EN SOLES]]-Tabla1[[#This Row],[PC]]</f>
        <v>127.80520000000001</v>
      </c>
      <c r="K1524" s="15"/>
      <c r="L1524" s="15" t="str">
        <f>IF(
OR(
ISNUMBER(SEARCH("BACKPACK",B1526)),
ISNUMBER(SEARCH("MOCHILA",B1526)),
ISNUMBER(SEARCH("FUNDA",B1526)),
ISNUMBER(SEARCH("ESTUCHE",B1526)),
ISNUMBER(SEARCH("BOOK COVER",B1526)),
ISNUMBER(SEARCH("KEYBOARD PARA TABLET",B1526)),
ISNUMBER(SEARCH("FLIP TABLET",B1526)),
ISNUMBER(SEARCH("CASE FOR TABLET",B1526)),
ISNUMBER(SEARCH("CABLE",B1526)),
ISNUMBER(SEARCH("ADAPTADOR",B1526)),
ISNUMBER(SEARCH("HUB",B1526)),
ISNUMBER(SEARCH("DOCK",B1526)),
ISNUMBER(SEARCH("MOUSE PAD",B1526)),
ISNUMBER(SEARCH("MOUSEPAD",B1526)),
ISNUMBER(SEARCH("SOPORTE",B1526)),
ISNUMBER(SEARCH("STAND",B1526)),
ISNUMBER(SEARCH("TRAVEL ADAPTER",B1526)),
ISNUMBER(SEARCH("RJ45",B1526)),
ISNUMBER(SEARCH("USB-C",B1526)),
ISNUMBER(SEARCH("USB WIFI",B1526)),
ISNUMBER(SEARCH("POWERBANK",B1526)),
ISNUMBER(SEARCH("CARGADOR",B1526)),
ISNUMBER(SEARCH("COOLER PARA NB",B1526)),
ISNUMBER(SEARCH("SOPORTE PARA NB",B1526)),
ISNUMBER(SEARCH("WEBCAM",B1526)),
ISNUMBER(SEARCH("WEB CAM",B1526)),
ISNUMBER(SEARCH("MOUSE",B1526)),
ISNUMBER(SEARCH("TECLADO",B1526))
),
"COMPLEMENTO",
IF(
OR(
LEFT(A1526,2)="NB",
LEFT(A1526,2)="PC",
LEFT(A1526,2)="WS",
LEFT(A1526,2)="TB",
LEFT(A1526,3)="CEL",
LEFT(A1526,3)="MON",
LEFT(A1526,3)="PRE",
LEFT(A1526,3)="PRH",
ISNUMBER(SEARCH("NOTEBOOK",B1526)),
ISNUMBER(SEARCH("LAPTOP",B1526)),
ISNUMBER(SEARCH("MONITOR",B1526)),
ISNUMBER(SEARCH("TABLET",B1526)),
ISNUMBER(SEARCH("SMARTPH",B1526)),
ISNUMBER(SEARCH("IMPRESORA",B1526)),
ISNUMBER(SEARCH("MULTIFUNCIONAL",B1526)),
ISNUMBER(SEARCH("AIO",B1526))
),
"GANCHO",
"NORMAL"
)
)</f>
        <v>NORMAL</v>
      </c>
    </row>
    <row r="1525" spans="1:12" x14ac:dyDescent="0.25">
      <c r="A1525" s="3" t="s">
        <v>2472</v>
      </c>
      <c r="B1525" s="3" t="s">
        <v>2473</v>
      </c>
      <c r="C1525" s="1">
        <v>20</v>
      </c>
      <c r="D1525" s="1">
        <v>260.5</v>
      </c>
      <c r="E1525" s="1" t="s">
        <v>196</v>
      </c>
      <c r="F1525" s="1" t="s">
        <v>4009</v>
      </c>
      <c r="G1525" s="3" t="s">
        <v>2474</v>
      </c>
      <c r="H1525" s="11">
        <f>ROUND(
IF(L1523="GANCHO",
   IF(I1525&lt;=50,I1525*1.1+4,IF(I1525&lt;=120,I1525*1.1+7,IF(I1525&lt;=250,I1525*1.1+11,I1525*1.1+19))),
IF(L1523="NORMAL",
   IF(I1525&lt;=30,I1525*1.15+2,IF(I1525&lt;=80,I1525*1.15+4,IF(I1525&lt;=150,I1525*1.15+6,I1525*1.15+8))),
IF(L1523="COMPLEMENTO",
   IF(I1525&lt;=25,I1525*1.25+1.5,IF(I1525&lt;=60,I1525*1.25+3,IF(I1525&lt;=120,I1525*1.25+4,I1525*1.25+5))),
""))),2)</f>
        <v>1238.17</v>
      </c>
      <c r="I1525" s="9">
        <f>($K$2+0.02)*Tabla1[[#This Row],[PRECIO $]]*1.18</f>
        <v>1069.7171999999998</v>
      </c>
      <c r="J1525" s="7">
        <f>+Tabla1[[#This Row],[PRECIO EN SOLES]]-Tabla1[[#This Row],[PC]]</f>
        <v>168.45280000000025</v>
      </c>
      <c r="K1525" s="15"/>
      <c r="L1525" s="15" t="str">
        <f>IF(
OR(
ISNUMBER(SEARCH("BACKPACK",B1527)),
ISNUMBER(SEARCH("MOCHILA",B1527)),
ISNUMBER(SEARCH("FUNDA",B1527)),
ISNUMBER(SEARCH("ESTUCHE",B1527)),
ISNUMBER(SEARCH("BOOK COVER",B1527)),
ISNUMBER(SEARCH("KEYBOARD PARA TABLET",B1527)),
ISNUMBER(SEARCH("FLIP TABLET",B1527)),
ISNUMBER(SEARCH("CASE FOR TABLET",B1527)),
ISNUMBER(SEARCH("CABLE",B1527)),
ISNUMBER(SEARCH("ADAPTADOR",B1527)),
ISNUMBER(SEARCH("HUB",B1527)),
ISNUMBER(SEARCH("DOCK",B1527)),
ISNUMBER(SEARCH("MOUSE PAD",B1527)),
ISNUMBER(SEARCH("MOUSEPAD",B1527)),
ISNUMBER(SEARCH("SOPORTE",B1527)),
ISNUMBER(SEARCH("STAND",B1527)),
ISNUMBER(SEARCH("TRAVEL ADAPTER",B1527)),
ISNUMBER(SEARCH("RJ45",B1527)),
ISNUMBER(SEARCH("USB-C",B1527)),
ISNUMBER(SEARCH("USB WIFI",B1527)),
ISNUMBER(SEARCH("POWERBANK",B1527)),
ISNUMBER(SEARCH("CARGADOR",B1527)),
ISNUMBER(SEARCH("COOLER PARA NB",B1527)),
ISNUMBER(SEARCH("SOPORTE PARA NB",B1527)),
ISNUMBER(SEARCH("WEBCAM",B1527)),
ISNUMBER(SEARCH("WEB CAM",B1527)),
ISNUMBER(SEARCH("MOUSE",B1527)),
ISNUMBER(SEARCH("TECLADO",B1527))
),
"COMPLEMENTO",
IF(
OR(
LEFT(A1527,2)="NB",
LEFT(A1527,2)="PC",
LEFT(A1527,2)="WS",
LEFT(A1527,2)="TB",
LEFT(A1527,3)="CEL",
LEFT(A1527,3)="MON",
LEFT(A1527,3)="PRE",
LEFT(A1527,3)="PRH",
ISNUMBER(SEARCH("NOTEBOOK",B1527)),
ISNUMBER(SEARCH("LAPTOP",B1527)),
ISNUMBER(SEARCH("MONITOR",B1527)),
ISNUMBER(SEARCH("TABLET",B1527)),
ISNUMBER(SEARCH("SMARTPH",B1527)),
ISNUMBER(SEARCH("IMPRESORA",B1527)),
ISNUMBER(SEARCH("MULTIFUNCIONAL",B1527)),
ISNUMBER(SEARCH("AIO",B1527))
),
"GANCHO",
"NORMAL"
)
)</f>
        <v>NORMAL</v>
      </c>
    </row>
    <row r="1526" spans="1:12" x14ac:dyDescent="0.25">
      <c r="A1526" s="3" t="s">
        <v>2475</v>
      </c>
      <c r="B1526" s="3" t="s">
        <v>2476</v>
      </c>
      <c r="C1526" s="1">
        <v>20</v>
      </c>
      <c r="D1526" s="1">
        <v>89.3</v>
      </c>
      <c r="E1526" s="1" t="s">
        <v>196</v>
      </c>
      <c r="F1526" s="1" t="s">
        <v>4010</v>
      </c>
      <c r="G1526" s="3" t="s">
        <v>2477</v>
      </c>
      <c r="H1526" s="11">
        <f>ROUND(
IF(L1524="GANCHO",
   IF(I1526&lt;=50,I1526*1.1+4,IF(I1526&lt;=120,I1526*1.1+7,IF(I1526&lt;=250,I1526*1.1+11,I1526*1.1+19))),
IF(L1524="NORMAL",
   IF(I1526&lt;=30,I1526*1.15+2,IF(I1526&lt;=80,I1526*1.15+4,IF(I1526&lt;=150,I1526*1.15+6,I1526*1.15+8))),
IF(L1524="COMPLEMENTO",
   IF(I1526&lt;=25,I1526*1.25+1.5,IF(I1526&lt;=60,I1526*1.25+3,IF(I1526&lt;=120,I1526*1.25+4,I1526*1.25+5))),
""))),2)</f>
        <v>429.71</v>
      </c>
      <c r="I1526" s="9">
        <f>($K$2+0.02)*Tabla1[[#This Row],[PRECIO $]]*1.18</f>
        <v>366.70152000000002</v>
      </c>
      <c r="J1526" s="7">
        <f>+Tabla1[[#This Row],[PRECIO EN SOLES]]-Tabla1[[#This Row],[PC]]</f>
        <v>63.008479999999963</v>
      </c>
      <c r="K1526" s="15"/>
      <c r="L1526" s="15" t="str">
        <f>IF(
OR(
ISNUMBER(SEARCH("BACKPACK",B1528)),
ISNUMBER(SEARCH("MOCHILA",B1528)),
ISNUMBER(SEARCH("FUNDA",B1528)),
ISNUMBER(SEARCH("ESTUCHE",B1528)),
ISNUMBER(SEARCH("BOOK COVER",B1528)),
ISNUMBER(SEARCH("KEYBOARD PARA TABLET",B1528)),
ISNUMBER(SEARCH("FLIP TABLET",B1528)),
ISNUMBER(SEARCH("CASE FOR TABLET",B1528)),
ISNUMBER(SEARCH("CABLE",B1528)),
ISNUMBER(SEARCH("ADAPTADOR",B1528)),
ISNUMBER(SEARCH("HUB",B1528)),
ISNUMBER(SEARCH("DOCK",B1528)),
ISNUMBER(SEARCH("MOUSE PAD",B1528)),
ISNUMBER(SEARCH("MOUSEPAD",B1528)),
ISNUMBER(SEARCH("SOPORTE",B1528)),
ISNUMBER(SEARCH("STAND",B1528)),
ISNUMBER(SEARCH("TRAVEL ADAPTER",B1528)),
ISNUMBER(SEARCH("RJ45",B1528)),
ISNUMBER(SEARCH("USB-C",B1528)),
ISNUMBER(SEARCH("USB WIFI",B1528)),
ISNUMBER(SEARCH("POWERBANK",B1528)),
ISNUMBER(SEARCH("CARGADOR",B1528)),
ISNUMBER(SEARCH("COOLER PARA NB",B1528)),
ISNUMBER(SEARCH("SOPORTE PARA NB",B1528)),
ISNUMBER(SEARCH("WEBCAM",B1528)),
ISNUMBER(SEARCH("WEB CAM",B1528)),
ISNUMBER(SEARCH("MOUSE",B1528)),
ISNUMBER(SEARCH("TECLADO",B1528))
),
"COMPLEMENTO",
IF(
OR(
LEFT(A1528,2)="NB",
LEFT(A1528,2)="PC",
LEFT(A1528,2)="WS",
LEFT(A1528,2)="TB",
LEFT(A1528,3)="CEL",
LEFT(A1528,3)="MON",
LEFT(A1528,3)="PRE",
LEFT(A1528,3)="PRH",
ISNUMBER(SEARCH("NOTEBOOK",B1528)),
ISNUMBER(SEARCH("LAPTOP",B1528)),
ISNUMBER(SEARCH("MONITOR",B1528)),
ISNUMBER(SEARCH("TABLET",B1528)),
ISNUMBER(SEARCH("SMARTPH",B1528)),
ISNUMBER(SEARCH("IMPRESORA",B1528)),
ISNUMBER(SEARCH("MULTIFUNCIONAL",B1528)),
ISNUMBER(SEARCH("AIO",B1528))
),
"GANCHO",
"NORMAL"
)
)</f>
        <v>NORMAL</v>
      </c>
    </row>
    <row r="1527" spans="1:12" x14ac:dyDescent="0.25">
      <c r="A1527" s="3" t="s">
        <v>2478</v>
      </c>
      <c r="B1527" s="3" t="s">
        <v>2479</v>
      </c>
      <c r="C1527" s="1">
        <v>20</v>
      </c>
      <c r="D1527" s="1">
        <v>360.3</v>
      </c>
      <c r="E1527" s="1" t="s">
        <v>196</v>
      </c>
      <c r="F1527" s="1" t="s">
        <v>4011</v>
      </c>
      <c r="G1527" s="3" t="s">
        <v>2480</v>
      </c>
      <c r="H1527" s="11">
        <f>ROUND(
IF(L1525="GANCHO",
   IF(I1527&lt;=50,I1527*1.1+4,IF(I1527&lt;=120,I1527*1.1+7,IF(I1527&lt;=250,I1527*1.1+11,I1527*1.1+19))),
IF(L1525="NORMAL",
   IF(I1527&lt;=30,I1527*1.15+2,IF(I1527&lt;=80,I1527*1.15+4,IF(I1527&lt;=150,I1527*1.15+6,I1527*1.15+8))),
IF(L1525="COMPLEMENTO",
   IF(I1527&lt;=25,I1527*1.25+1.5,IF(I1527&lt;=60,I1527*1.25+3,IF(I1527&lt;=120,I1527*1.25+4,I1527*1.25+5))),
""))),2)</f>
        <v>1709.47</v>
      </c>
      <c r="I1527" s="9">
        <f>($K$2+0.02)*Tabla1[[#This Row],[PRECIO $]]*1.18</f>
        <v>1479.53592</v>
      </c>
      <c r="J1527" s="7">
        <f>+Tabla1[[#This Row],[PRECIO EN SOLES]]-Tabla1[[#This Row],[PC]]</f>
        <v>229.93407999999999</v>
      </c>
      <c r="K1527" s="15"/>
      <c r="L1527" s="15" t="str">
        <f>IF(
OR(
ISNUMBER(SEARCH("BACKPACK",B1529)),
ISNUMBER(SEARCH("MOCHILA",B1529)),
ISNUMBER(SEARCH("FUNDA",B1529)),
ISNUMBER(SEARCH("ESTUCHE",B1529)),
ISNUMBER(SEARCH("BOOK COVER",B1529)),
ISNUMBER(SEARCH("KEYBOARD PARA TABLET",B1529)),
ISNUMBER(SEARCH("FLIP TABLET",B1529)),
ISNUMBER(SEARCH("CASE FOR TABLET",B1529)),
ISNUMBER(SEARCH("CABLE",B1529)),
ISNUMBER(SEARCH("ADAPTADOR",B1529)),
ISNUMBER(SEARCH("HUB",B1529)),
ISNUMBER(SEARCH("DOCK",B1529)),
ISNUMBER(SEARCH("MOUSE PAD",B1529)),
ISNUMBER(SEARCH("MOUSEPAD",B1529)),
ISNUMBER(SEARCH("SOPORTE",B1529)),
ISNUMBER(SEARCH("STAND",B1529)),
ISNUMBER(SEARCH("TRAVEL ADAPTER",B1529)),
ISNUMBER(SEARCH("RJ45",B1529)),
ISNUMBER(SEARCH("USB-C",B1529)),
ISNUMBER(SEARCH("USB WIFI",B1529)),
ISNUMBER(SEARCH("POWERBANK",B1529)),
ISNUMBER(SEARCH("CARGADOR",B1529)),
ISNUMBER(SEARCH("COOLER PARA NB",B1529)),
ISNUMBER(SEARCH("SOPORTE PARA NB",B1529)),
ISNUMBER(SEARCH("WEBCAM",B1529)),
ISNUMBER(SEARCH("WEB CAM",B1529)),
ISNUMBER(SEARCH("MOUSE",B1529)),
ISNUMBER(SEARCH("TECLADO",B1529))
),
"COMPLEMENTO",
IF(
OR(
LEFT(A1529,2)="NB",
LEFT(A1529,2)="PC",
LEFT(A1529,2)="WS",
LEFT(A1529,2)="TB",
LEFT(A1529,3)="CEL",
LEFT(A1529,3)="MON",
LEFT(A1529,3)="PRE",
LEFT(A1529,3)="PRH",
ISNUMBER(SEARCH("NOTEBOOK",B1529)),
ISNUMBER(SEARCH("LAPTOP",B1529)),
ISNUMBER(SEARCH("MONITOR",B1529)),
ISNUMBER(SEARCH("TABLET",B1529)),
ISNUMBER(SEARCH("SMARTPH",B1529)),
ISNUMBER(SEARCH("IMPRESORA",B1529)),
ISNUMBER(SEARCH("MULTIFUNCIONAL",B1529)),
ISNUMBER(SEARCH("AIO",B1529))
),
"GANCHO",
"NORMAL"
)
)</f>
        <v>NORMAL</v>
      </c>
    </row>
    <row r="1528" spans="1:12" x14ac:dyDescent="0.25">
      <c r="A1528" s="3" t="s">
        <v>2907</v>
      </c>
      <c r="B1528" s="3" t="s">
        <v>2908</v>
      </c>
      <c r="C1528" s="1">
        <v>20</v>
      </c>
      <c r="D1528" s="1">
        <v>490</v>
      </c>
      <c r="E1528" s="1" t="s">
        <v>196</v>
      </c>
      <c r="F1528" s="1" t="s">
        <v>4012</v>
      </c>
      <c r="G1528" s="3" t="s">
        <v>2909</v>
      </c>
      <c r="H1528" s="11">
        <f>ROUND(
IF(L1526="GANCHO",
   IF(I1528&lt;=50,I1528*1.1+4,IF(I1528&lt;=120,I1528*1.1+7,IF(I1528&lt;=250,I1528*1.1+11,I1528*1.1+19))),
IF(L1526="NORMAL",
   IF(I1528&lt;=30,I1528*1.15+2,IF(I1528&lt;=80,I1528*1.15+4,IF(I1528&lt;=150,I1528*1.15+6,I1528*1.15+8))),
IF(L1526="COMPLEMENTO",
   IF(I1528&lt;=25,I1528*1.25+1.5,IF(I1528&lt;=60,I1528*1.25+3,IF(I1528&lt;=120,I1528*1.25+4,I1528*1.25+5))),
""))),2)</f>
        <v>2321.96</v>
      </c>
      <c r="I1528" s="9">
        <f>($K$2+0.02)*Tabla1[[#This Row],[PRECIO $]]*1.18</f>
        <v>2012.136</v>
      </c>
      <c r="J1528" s="7">
        <f>+Tabla1[[#This Row],[PRECIO EN SOLES]]-Tabla1[[#This Row],[PC]]</f>
        <v>309.82400000000007</v>
      </c>
      <c r="K1528" s="15"/>
      <c r="L1528" s="15" t="str">
        <f>IF(
OR(
ISNUMBER(SEARCH("BACKPACK",B1530)),
ISNUMBER(SEARCH("MOCHILA",B1530)),
ISNUMBER(SEARCH("FUNDA",B1530)),
ISNUMBER(SEARCH("ESTUCHE",B1530)),
ISNUMBER(SEARCH("BOOK COVER",B1530)),
ISNUMBER(SEARCH("KEYBOARD PARA TABLET",B1530)),
ISNUMBER(SEARCH("FLIP TABLET",B1530)),
ISNUMBER(SEARCH("CASE FOR TABLET",B1530)),
ISNUMBER(SEARCH("CABLE",B1530)),
ISNUMBER(SEARCH("ADAPTADOR",B1530)),
ISNUMBER(SEARCH("HUB",B1530)),
ISNUMBER(SEARCH("DOCK",B1530)),
ISNUMBER(SEARCH("MOUSE PAD",B1530)),
ISNUMBER(SEARCH("MOUSEPAD",B1530)),
ISNUMBER(SEARCH("SOPORTE",B1530)),
ISNUMBER(SEARCH("STAND",B1530)),
ISNUMBER(SEARCH("TRAVEL ADAPTER",B1530)),
ISNUMBER(SEARCH("RJ45",B1530)),
ISNUMBER(SEARCH("USB-C",B1530)),
ISNUMBER(SEARCH("USB WIFI",B1530)),
ISNUMBER(SEARCH("POWERBANK",B1530)),
ISNUMBER(SEARCH("CARGADOR",B1530)),
ISNUMBER(SEARCH("COOLER PARA NB",B1530)),
ISNUMBER(SEARCH("SOPORTE PARA NB",B1530)),
ISNUMBER(SEARCH("WEBCAM",B1530)),
ISNUMBER(SEARCH("WEB CAM",B1530)),
ISNUMBER(SEARCH("MOUSE",B1530)),
ISNUMBER(SEARCH("TECLADO",B1530))
),
"COMPLEMENTO",
IF(
OR(
LEFT(A1530,2)="NB",
LEFT(A1530,2)="PC",
LEFT(A1530,2)="WS",
LEFT(A1530,2)="TB",
LEFT(A1530,3)="CEL",
LEFT(A1530,3)="MON",
LEFT(A1530,3)="PRE",
LEFT(A1530,3)="PRH",
ISNUMBER(SEARCH("NOTEBOOK",B1530)),
ISNUMBER(SEARCH("LAPTOP",B1530)),
ISNUMBER(SEARCH("MONITOR",B1530)),
ISNUMBER(SEARCH("TABLET",B1530)),
ISNUMBER(SEARCH("SMARTPH",B1530)),
ISNUMBER(SEARCH("IMPRESORA",B1530)),
ISNUMBER(SEARCH("MULTIFUNCIONAL",B1530)),
ISNUMBER(SEARCH("AIO",B1530))
),
"GANCHO",
"NORMAL"
)
)</f>
        <v>NORMAL</v>
      </c>
    </row>
    <row r="1529" spans="1:12" x14ac:dyDescent="0.25">
      <c r="A1529" s="3" t="s">
        <v>2481</v>
      </c>
      <c r="B1529" s="3" t="s">
        <v>2482</v>
      </c>
      <c r="C1529" s="1">
        <v>10</v>
      </c>
      <c r="D1529" s="1">
        <v>896</v>
      </c>
      <c r="E1529" s="1" t="s">
        <v>196</v>
      </c>
      <c r="F1529" s="1" t="s">
        <v>4013</v>
      </c>
      <c r="G1529" s="3" t="s">
        <v>2483</v>
      </c>
      <c r="H1529" s="11">
        <f>ROUND(
IF(L1527="GANCHO",
   IF(I1529&lt;=50,I1529*1.1+4,IF(I1529&lt;=120,I1529*1.1+7,IF(I1529&lt;=250,I1529*1.1+11,I1529*1.1+19))),
IF(L1527="NORMAL",
   IF(I1529&lt;=30,I1529*1.15+2,IF(I1529&lt;=80,I1529*1.15+4,IF(I1529&lt;=150,I1529*1.15+6,I1529*1.15+8))),
IF(L1527="COMPLEMENTO",
   IF(I1529&lt;=25,I1529*1.25+1.5,IF(I1529&lt;=60,I1529*1.25+3,IF(I1529&lt;=120,I1529*1.25+4,I1529*1.25+5))),
""))),2)</f>
        <v>4239.2299999999996</v>
      </c>
      <c r="I1529" s="9">
        <f>($K$2+0.02)*Tabla1[[#This Row],[PRECIO $]]*1.18</f>
        <v>3679.3343999999997</v>
      </c>
      <c r="J1529" s="7">
        <f>+Tabla1[[#This Row],[PRECIO EN SOLES]]-Tabla1[[#This Row],[PC]]</f>
        <v>559.89559999999983</v>
      </c>
      <c r="K1529" s="15"/>
      <c r="L1529" s="15" t="str">
        <f>IF(
OR(
ISNUMBER(SEARCH("BACKPACK",B1531)),
ISNUMBER(SEARCH("MOCHILA",B1531)),
ISNUMBER(SEARCH("FUNDA",B1531)),
ISNUMBER(SEARCH("ESTUCHE",B1531)),
ISNUMBER(SEARCH("BOOK COVER",B1531)),
ISNUMBER(SEARCH("KEYBOARD PARA TABLET",B1531)),
ISNUMBER(SEARCH("FLIP TABLET",B1531)),
ISNUMBER(SEARCH("CASE FOR TABLET",B1531)),
ISNUMBER(SEARCH("CABLE",B1531)),
ISNUMBER(SEARCH("ADAPTADOR",B1531)),
ISNUMBER(SEARCH("HUB",B1531)),
ISNUMBER(SEARCH("DOCK",B1531)),
ISNUMBER(SEARCH("MOUSE PAD",B1531)),
ISNUMBER(SEARCH("MOUSEPAD",B1531)),
ISNUMBER(SEARCH("SOPORTE",B1531)),
ISNUMBER(SEARCH("STAND",B1531)),
ISNUMBER(SEARCH("TRAVEL ADAPTER",B1531)),
ISNUMBER(SEARCH("RJ45",B1531)),
ISNUMBER(SEARCH("USB-C",B1531)),
ISNUMBER(SEARCH("USB WIFI",B1531)),
ISNUMBER(SEARCH("POWERBANK",B1531)),
ISNUMBER(SEARCH("CARGADOR",B1531)),
ISNUMBER(SEARCH("COOLER PARA NB",B1531)),
ISNUMBER(SEARCH("SOPORTE PARA NB",B1531)),
ISNUMBER(SEARCH("WEBCAM",B1531)),
ISNUMBER(SEARCH("WEB CAM",B1531)),
ISNUMBER(SEARCH("MOUSE",B1531)),
ISNUMBER(SEARCH("TECLADO",B1531))
),
"COMPLEMENTO",
IF(
OR(
LEFT(A1531,2)="NB",
LEFT(A1531,2)="PC",
LEFT(A1531,2)="WS",
LEFT(A1531,2)="TB",
LEFT(A1531,3)="CEL",
LEFT(A1531,3)="MON",
LEFT(A1531,3)="PRE",
LEFT(A1531,3)="PRH",
ISNUMBER(SEARCH("NOTEBOOK",B1531)),
ISNUMBER(SEARCH("LAPTOP",B1531)),
ISNUMBER(SEARCH("MONITOR",B1531)),
ISNUMBER(SEARCH("TABLET",B1531)),
ISNUMBER(SEARCH("SMARTPH",B1531)),
ISNUMBER(SEARCH("IMPRESORA",B1531)),
ISNUMBER(SEARCH("MULTIFUNCIONAL",B1531)),
ISNUMBER(SEARCH("AIO",B1531))
),
"GANCHO",
"NORMAL"
)
)</f>
        <v>NORMAL</v>
      </c>
    </row>
    <row r="1530" spans="1:12" x14ac:dyDescent="0.25">
      <c r="A1530" s="3" t="s">
        <v>2910</v>
      </c>
      <c r="B1530" s="3" t="s">
        <v>2911</v>
      </c>
      <c r="C1530" s="1">
        <v>20</v>
      </c>
      <c r="D1530" s="1">
        <v>455.5</v>
      </c>
      <c r="E1530" s="1" t="s">
        <v>196</v>
      </c>
      <c r="F1530" s="1" t="s">
        <v>4014</v>
      </c>
      <c r="G1530" s="3" t="s">
        <v>2912</v>
      </c>
      <c r="H1530" s="11">
        <f>ROUND(
IF(L1528="GANCHO",
   IF(I1530&lt;=50,I1530*1.1+4,IF(I1530&lt;=120,I1530*1.1+7,IF(I1530&lt;=250,I1530*1.1+11,I1530*1.1+19))),
IF(L1528="NORMAL",
   IF(I1530&lt;=30,I1530*1.15+2,IF(I1530&lt;=80,I1530*1.15+4,IF(I1530&lt;=150,I1530*1.15+6,I1530*1.15+8))),
IF(L1528="COMPLEMENTO",
   IF(I1530&lt;=25,I1530*1.25+1.5,IF(I1530&lt;=60,I1530*1.25+3,IF(I1530&lt;=120,I1530*1.25+4,I1530*1.25+5))),
""))),2)</f>
        <v>2159.0300000000002</v>
      </c>
      <c r="I1530" s="9">
        <f>($K$2+0.02)*Tabla1[[#This Row],[PRECIO $]]*1.18</f>
        <v>1870.4652000000001</v>
      </c>
      <c r="J1530" s="7">
        <f>+Tabla1[[#This Row],[PRECIO EN SOLES]]-Tabla1[[#This Row],[PC]]</f>
        <v>288.5648000000001</v>
      </c>
      <c r="K1530" s="15"/>
      <c r="L1530" s="15" t="str">
        <f>IF(
OR(
ISNUMBER(SEARCH("BACKPACK",B1532)),
ISNUMBER(SEARCH("MOCHILA",B1532)),
ISNUMBER(SEARCH("FUNDA",B1532)),
ISNUMBER(SEARCH("ESTUCHE",B1532)),
ISNUMBER(SEARCH("BOOK COVER",B1532)),
ISNUMBER(SEARCH("KEYBOARD PARA TABLET",B1532)),
ISNUMBER(SEARCH("FLIP TABLET",B1532)),
ISNUMBER(SEARCH("CASE FOR TABLET",B1532)),
ISNUMBER(SEARCH("CABLE",B1532)),
ISNUMBER(SEARCH("ADAPTADOR",B1532)),
ISNUMBER(SEARCH("HUB",B1532)),
ISNUMBER(SEARCH("DOCK",B1532)),
ISNUMBER(SEARCH("MOUSE PAD",B1532)),
ISNUMBER(SEARCH("MOUSEPAD",B1532)),
ISNUMBER(SEARCH("SOPORTE",B1532)),
ISNUMBER(SEARCH("STAND",B1532)),
ISNUMBER(SEARCH("TRAVEL ADAPTER",B1532)),
ISNUMBER(SEARCH("RJ45",B1532)),
ISNUMBER(SEARCH("USB-C",B1532)),
ISNUMBER(SEARCH("USB WIFI",B1532)),
ISNUMBER(SEARCH("POWERBANK",B1532)),
ISNUMBER(SEARCH("CARGADOR",B1532)),
ISNUMBER(SEARCH("COOLER PARA NB",B1532)),
ISNUMBER(SEARCH("SOPORTE PARA NB",B1532)),
ISNUMBER(SEARCH("WEBCAM",B1532)),
ISNUMBER(SEARCH("WEB CAM",B1532)),
ISNUMBER(SEARCH("MOUSE",B1532)),
ISNUMBER(SEARCH("TECLADO",B1532))
),
"COMPLEMENTO",
IF(
OR(
LEFT(A1532,2)="NB",
LEFT(A1532,2)="PC",
LEFT(A1532,2)="WS",
LEFT(A1532,2)="TB",
LEFT(A1532,3)="CEL",
LEFT(A1532,3)="MON",
LEFT(A1532,3)="PRE",
LEFT(A1532,3)="PRH",
ISNUMBER(SEARCH("NOTEBOOK",B1532)),
ISNUMBER(SEARCH("LAPTOP",B1532)),
ISNUMBER(SEARCH("MONITOR",B1532)),
ISNUMBER(SEARCH("TABLET",B1532)),
ISNUMBER(SEARCH("SMARTPH",B1532)),
ISNUMBER(SEARCH("IMPRESORA",B1532)),
ISNUMBER(SEARCH("MULTIFUNCIONAL",B1532)),
ISNUMBER(SEARCH("AIO",B1532))
),
"GANCHO",
"NORMAL"
)
)</f>
        <v>NORMAL</v>
      </c>
    </row>
    <row r="1531" spans="1:12" x14ac:dyDescent="0.25">
      <c r="A1531" s="3" t="s">
        <v>2484</v>
      </c>
      <c r="B1531" s="3" t="s">
        <v>2485</v>
      </c>
      <c r="C1531" s="1">
        <v>16</v>
      </c>
      <c r="D1531" s="1">
        <v>857</v>
      </c>
      <c r="E1531" s="1" t="s">
        <v>196</v>
      </c>
      <c r="F1531" s="1" t="s">
        <v>4015</v>
      </c>
      <c r="G1531" s="3" t="s">
        <v>2486</v>
      </c>
      <c r="H1531" s="11">
        <f>ROUND(
IF(L1529="GANCHO",
   IF(I1531&lt;=50,I1531*1.1+4,IF(I1531&lt;=120,I1531*1.1+7,IF(I1531&lt;=250,I1531*1.1+11,I1531*1.1+19))),
IF(L1529="NORMAL",
   IF(I1531&lt;=30,I1531*1.15+2,IF(I1531&lt;=80,I1531*1.15+4,IF(I1531&lt;=150,I1531*1.15+6,I1531*1.15+8))),
IF(L1529="COMPLEMENTO",
   IF(I1531&lt;=25,I1531*1.25+1.5,IF(I1531&lt;=60,I1531*1.25+3,IF(I1531&lt;=120,I1531*1.25+4,I1531*1.25+5))),
""))),2)</f>
        <v>4055.06</v>
      </c>
      <c r="I1531" s="9">
        <f>($K$2+0.02)*Tabla1[[#This Row],[PRECIO $]]*1.18</f>
        <v>3519.1848</v>
      </c>
      <c r="J1531" s="7">
        <f>+Tabla1[[#This Row],[PRECIO EN SOLES]]-Tabla1[[#This Row],[PC]]</f>
        <v>535.87519999999995</v>
      </c>
      <c r="K1531" s="15"/>
      <c r="L1531" s="15" t="str">
        <f>IF(
OR(
ISNUMBER(SEARCH("BACKPACK",B1533)),
ISNUMBER(SEARCH("MOCHILA",B1533)),
ISNUMBER(SEARCH("FUNDA",B1533)),
ISNUMBER(SEARCH("ESTUCHE",B1533)),
ISNUMBER(SEARCH("BOOK COVER",B1533)),
ISNUMBER(SEARCH("KEYBOARD PARA TABLET",B1533)),
ISNUMBER(SEARCH("FLIP TABLET",B1533)),
ISNUMBER(SEARCH("CASE FOR TABLET",B1533)),
ISNUMBER(SEARCH("CABLE",B1533)),
ISNUMBER(SEARCH("ADAPTADOR",B1533)),
ISNUMBER(SEARCH("HUB",B1533)),
ISNUMBER(SEARCH("DOCK",B1533)),
ISNUMBER(SEARCH("MOUSE PAD",B1533)),
ISNUMBER(SEARCH("MOUSEPAD",B1533)),
ISNUMBER(SEARCH("SOPORTE",B1533)),
ISNUMBER(SEARCH("STAND",B1533)),
ISNUMBER(SEARCH("TRAVEL ADAPTER",B1533)),
ISNUMBER(SEARCH("RJ45",B1533)),
ISNUMBER(SEARCH("USB-C",B1533)),
ISNUMBER(SEARCH("USB WIFI",B1533)),
ISNUMBER(SEARCH("POWERBANK",B1533)),
ISNUMBER(SEARCH("CARGADOR",B1533)),
ISNUMBER(SEARCH("COOLER PARA NB",B1533)),
ISNUMBER(SEARCH("SOPORTE PARA NB",B1533)),
ISNUMBER(SEARCH("WEBCAM",B1533)),
ISNUMBER(SEARCH("WEB CAM",B1533)),
ISNUMBER(SEARCH("MOUSE",B1533)),
ISNUMBER(SEARCH("TECLADO",B1533))
),
"COMPLEMENTO",
IF(
OR(
LEFT(A1533,2)="NB",
LEFT(A1533,2)="PC",
LEFT(A1533,2)="WS",
LEFT(A1533,2)="TB",
LEFT(A1533,3)="CEL",
LEFT(A1533,3)="MON",
LEFT(A1533,3)="PRE",
LEFT(A1533,3)="PRH",
ISNUMBER(SEARCH("NOTEBOOK",B1533)),
ISNUMBER(SEARCH("LAPTOP",B1533)),
ISNUMBER(SEARCH("MONITOR",B1533)),
ISNUMBER(SEARCH("TABLET",B1533)),
ISNUMBER(SEARCH("SMARTPH",B1533)),
ISNUMBER(SEARCH("IMPRESORA",B1533)),
ISNUMBER(SEARCH("MULTIFUNCIONAL",B1533)),
ISNUMBER(SEARCH("AIO",B1533))
),
"GANCHO",
"NORMAL"
)
)</f>
        <v>NORMAL</v>
      </c>
    </row>
    <row r="1532" spans="1:12" x14ac:dyDescent="0.25">
      <c r="A1532" s="3" t="s">
        <v>486</v>
      </c>
      <c r="B1532" s="3" t="s">
        <v>487</v>
      </c>
      <c r="C1532" s="1">
        <v>20</v>
      </c>
      <c r="D1532" s="1">
        <v>272.5</v>
      </c>
      <c r="E1532" s="1" t="s">
        <v>196</v>
      </c>
      <c r="F1532" s="1" t="s">
        <v>4016</v>
      </c>
      <c r="G1532" s="3" t="s">
        <v>488</v>
      </c>
      <c r="H1532" s="11">
        <f>ROUND(
IF(L1530="GANCHO",
   IF(I1532&lt;=50,I1532*1.1+4,IF(I1532&lt;=120,I1532*1.1+7,IF(I1532&lt;=250,I1532*1.1+11,I1532*1.1+19))),
IF(L1530="NORMAL",
   IF(I1532&lt;=30,I1532*1.15+2,IF(I1532&lt;=80,I1532*1.15+4,IF(I1532&lt;=150,I1532*1.15+6,I1532*1.15+8))),
IF(L1530="COMPLEMENTO",
   IF(I1532&lt;=25,I1532*1.25+1.5,IF(I1532&lt;=60,I1532*1.25+3,IF(I1532&lt;=120,I1532*1.25+4,I1532*1.25+5))),
""))),2)</f>
        <v>1294.8399999999999</v>
      </c>
      <c r="I1532" s="9">
        <f>($K$2+0.02)*Tabla1[[#This Row],[PRECIO $]]*1.18</f>
        <v>1118.9939999999999</v>
      </c>
      <c r="J1532" s="7">
        <f>+Tabla1[[#This Row],[PRECIO EN SOLES]]-Tabla1[[#This Row],[PC]]</f>
        <v>175.846</v>
      </c>
      <c r="K1532" s="15"/>
      <c r="L1532" s="15" t="str">
        <f>IF(
OR(
ISNUMBER(SEARCH("BACKPACK",B1534)),
ISNUMBER(SEARCH("MOCHILA",B1534)),
ISNUMBER(SEARCH("FUNDA",B1534)),
ISNUMBER(SEARCH("ESTUCHE",B1534)),
ISNUMBER(SEARCH("BOOK COVER",B1534)),
ISNUMBER(SEARCH("KEYBOARD PARA TABLET",B1534)),
ISNUMBER(SEARCH("FLIP TABLET",B1534)),
ISNUMBER(SEARCH("CASE FOR TABLET",B1534)),
ISNUMBER(SEARCH("CABLE",B1534)),
ISNUMBER(SEARCH("ADAPTADOR",B1534)),
ISNUMBER(SEARCH("HUB",B1534)),
ISNUMBER(SEARCH("DOCK",B1534)),
ISNUMBER(SEARCH("MOUSE PAD",B1534)),
ISNUMBER(SEARCH("MOUSEPAD",B1534)),
ISNUMBER(SEARCH("SOPORTE",B1534)),
ISNUMBER(SEARCH("STAND",B1534)),
ISNUMBER(SEARCH("TRAVEL ADAPTER",B1534)),
ISNUMBER(SEARCH("RJ45",B1534)),
ISNUMBER(SEARCH("USB-C",B1534)),
ISNUMBER(SEARCH("USB WIFI",B1534)),
ISNUMBER(SEARCH("POWERBANK",B1534)),
ISNUMBER(SEARCH("CARGADOR",B1534)),
ISNUMBER(SEARCH("COOLER PARA NB",B1534)),
ISNUMBER(SEARCH("SOPORTE PARA NB",B1534)),
ISNUMBER(SEARCH("WEBCAM",B1534)),
ISNUMBER(SEARCH("WEB CAM",B1534)),
ISNUMBER(SEARCH("MOUSE",B1534)),
ISNUMBER(SEARCH("TECLADO",B1534))
),
"COMPLEMENTO",
IF(
OR(
LEFT(A1534,2)="NB",
LEFT(A1534,2)="PC",
LEFT(A1534,2)="WS",
LEFT(A1534,2)="TB",
LEFT(A1534,3)="CEL",
LEFT(A1534,3)="MON",
LEFT(A1534,3)="PRE",
LEFT(A1534,3)="PRH",
ISNUMBER(SEARCH("NOTEBOOK",B1534)),
ISNUMBER(SEARCH("LAPTOP",B1534)),
ISNUMBER(SEARCH("MONITOR",B1534)),
ISNUMBER(SEARCH("TABLET",B1534)),
ISNUMBER(SEARCH("SMARTPH",B1534)),
ISNUMBER(SEARCH("IMPRESORA",B1534)),
ISNUMBER(SEARCH("MULTIFUNCIONAL",B1534)),
ISNUMBER(SEARCH("AIO",B1534))
),
"GANCHO",
"NORMAL"
)
)</f>
        <v>NORMAL</v>
      </c>
    </row>
    <row r="1533" spans="1:12" x14ac:dyDescent="0.25">
      <c r="A1533" s="3" t="s">
        <v>2487</v>
      </c>
      <c r="B1533" s="3" t="s">
        <v>2488</v>
      </c>
      <c r="C1533" s="1">
        <v>20</v>
      </c>
      <c r="D1533" s="1">
        <v>140.30000000000001</v>
      </c>
      <c r="E1533" s="1" t="s">
        <v>196</v>
      </c>
      <c r="F1533" s="1" t="s">
        <v>4017</v>
      </c>
      <c r="G1533" s="3" t="s">
        <v>2489</v>
      </c>
      <c r="H1533" s="11">
        <f>ROUND(
IF(L1531="GANCHO",
   IF(I1533&lt;=50,I1533*1.1+4,IF(I1533&lt;=120,I1533*1.1+7,IF(I1533&lt;=250,I1533*1.1+11,I1533*1.1+19))),
IF(L1531="NORMAL",
   IF(I1533&lt;=30,I1533*1.15+2,IF(I1533&lt;=80,I1533*1.15+4,IF(I1533&lt;=150,I1533*1.15+6,I1533*1.15+8))),
IF(L1531="COMPLEMENTO",
   IF(I1533&lt;=25,I1533*1.25+1.5,IF(I1533&lt;=60,I1533*1.25+3,IF(I1533&lt;=120,I1533*1.25+4,I1533*1.25+5))),
""))),2)</f>
        <v>670.55</v>
      </c>
      <c r="I1533" s="9">
        <f>($K$2+0.02)*Tabla1[[#This Row],[PRECIO $]]*1.18</f>
        <v>576.12792000000002</v>
      </c>
      <c r="J1533" s="7">
        <f>+Tabla1[[#This Row],[PRECIO EN SOLES]]-Tabla1[[#This Row],[PC]]</f>
        <v>94.422079999999937</v>
      </c>
      <c r="K1533" s="15"/>
      <c r="L1533" s="15" t="str">
        <f>IF(
OR(
ISNUMBER(SEARCH("BACKPACK",B1535)),
ISNUMBER(SEARCH("MOCHILA",B1535)),
ISNUMBER(SEARCH("FUNDA",B1535)),
ISNUMBER(SEARCH("ESTUCHE",B1535)),
ISNUMBER(SEARCH("BOOK COVER",B1535)),
ISNUMBER(SEARCH("KEYBOARD PARA TABLET",B1535)),
ISNUMBER(SEARCH("FLIP TABLET",B1535)),
ISNUMBER(SEARCH("CASE FOR TABLET",B1535)),
ISNUMBER(SEARCH("CABLE",B1535)),
ISNUMBER(SEARCH("ADAPTADOR",B1535)),
ISNUMBER(SEARCH("HUB",B1535)),
ISNUMBER(SEARCH("DOCK",B1535)),
ISNUMBER(SEARCH("MOUSE PAD",B1535)),
ISNUMBER(SEARCH("MOUSEPAD",B1535)),
ISNUMBER(SEARCH("SOPORTE",B1535)),
ISNUMBER(SEARCH("STAND",B1535)),
ISNUMBER(SEARCH("TRAVEL ADAPTER",B1535)),
ISNUMBER(SEARCH("RJ45",B1535)),
ISNUMBER(SEARCH("USB-C",B1535)),
ISNUMBER(SEARCH("USB WIFI",B1535)),
ISNUMBER(SEARCH("POWERBANK",B1535)),
ISNUMBER(SEARCH("CARGADOR",B1535)),
ISNUMBER(SEARCH("COOLER PARA NB",B1535)),
ISNUMBER(SEARCH("SOPORTE PARA NB",B1535)),
ISNUMBER(SEARCH("WEBCAM",B1535)),
ISNUMBER(SEARCH("WEB CAM",B1535)),
ISNUMBER(SEARCH("MOUSE",B1535)),
ISNUMBER(SEARCH("TECLADO",B1535))
),
"COMPLEMENTO",
IF(
OR(
LEFT(A1535,2)="NB",
LEFT(A1535,2)="PC",
LEFT(A1535,2)="WS",
LEFT(A1535,2)="TB",
LEFT(A1535,3)="CEL",
LEFT(A1535,3)="MON",
LEFT(A1535,3)="PRE",
LEFT(A1535,3)="PRH",
ISNUMBER(SEARCH("NOTEBOOK",B1535)),
ISNUMBER(SEARCH("LAPTOP",B1535)),
ISNUMBER(SEARCH("MONITOR",B1535)),
ISNUMBER(SEARCH("TABLET",B1535)),
ISNUMBER(SEARCH("SMARTPH",B1535)),
ISNUMBER(SEARCH("IMPRESORA",B1535)),
ISNUMBER(SEARCH("MULTIFUNCIONAL",B1535)),
ISNUMBER(SEARCH("AIO",B1535))
),
"GANCHO",
"NORMAL"
)
)</f>
        <v>NORMAL</v>
      </c>
    </row>
    <row r="1534" spans="1:12" x14ac:dyDescent="0.25">
      <c r="A1534" s="3" t="s">
        <v>489</v>
      </c>
      <c r="B1534" s="3" t="s">
        <v>490</v>
      </c>
      <c r="C1534" s="1">
        <v>20</v>
      </c>
      <c r="D1534" s="1">
        <v>218</v>
      </c>
      <c r="E1534" s="1" t="s">
        <v>196</v>
      </c>
      <c r="F1534" s="1" t="s">
        <v>4018</v>
      </c>
      <c r="G1534" s="3" t="s">
        <v>491</v>
      </c>
      <c r="H1534" s="11">
        <f>ROUND(
IF(L1532="GANCHO",
   IF(I1534&lt;=50,I1534*1.1+4,IF(I1534&lt;=120,I1534*1.1+7,IF(I1534&lt;=250,I1534*1.1+11,I1534*1.1+19))),
IF(L1532="NORMAL",
   IF(I1534&lt;=30,I1534*1.15+2,IF(I1534&lt;=80,I1534*1.15+4,IF(I1534&lt;=150,I1534*1.15+6,I1534*1.15+8))),
IF(L1532="COMPLEMENTO",
   IF(I1534&lt;=25,I1534*1.25+1.5,IF(I1534&lt;=60,I1534*1.25+3,IF(I1534&lt;=120,I1534*1.25+4,I1534*1.25+5))),
""))),2)</f>
        <v>1037.47</v>
      </c>
      <c r="I1534" s="9">
        <f>($K$2+0.02)*Tabla1[[#This Row],[PRECIO $]]*1.18</f>
        <v>895.19519999999989</v>
      </c>
      <c r="J1534" s="7">
        <f>+Tabla1[[#This Row],[PRECIO EN SOLES]]-Tabla1[[#This Row],[PC]]</f>
        <v>142.27480000000014</v>
      </c>
      <c r="K1534" s="15"/>
      <c r="L1534" s="15" t="str">
        <f>IF(
OR(
ISNUMBER(SEARCH("BACKPACK",B1536)),
ISNUMBER(SEARCH("MOCHILA",B1536)),
ISNUMBER(SEARCH("FUNDA",B1536)),
ISNUMBER(SEARCH("ESTUCHE",B1536)),
ISNUMBER(SEARCH("BOOK COVER",B1536)),
ISNUMBER(SEARCH("KEYBOARD PARA TABLET",B1536)),
ISNUMBER(SEARCH("FLIP TABLET",B1536)),
ISNUMBER(SEARCH("CASE FOR TABLET",B1536)),
ISNUMBER(SEARCH("CABLE",B1536)),
ISNUMBER(SEARCH("ADAPTADOR",B1536)),
ISNUMBER(SEARCH("HUB",B1536)),
ISNUMBER(SEARCH("DOCK",B1536)),
ISNUMBER(SEARCH("MOUSE PAD",B1536)),
ISNUMBER(SEARCH("MOUSEPAD",B1536)),
ISNUMBER(SEARCH("SOPORTE",B1536)),
ISNUMBER(SEARCH("STAND",B1536)),
ISNUMBER(SEARCH("TRAVEL ADAPTER",B1536)),
ISNUMBER(SEARCH("RJ45",B1536)),
ISNUMBER(SEARCH("USB-C",B1536)),
ISNUMBER(SEARCH("USB WIFI",B1536)),
ISNUMBER(SEARCH("POWERBANK",B1536)),
ISNUMBER(SEARCH("CARGADOR",B1536)),
ISNUMBER(SEARCH("COOLER PARA NB",B1536)),
ISNUMBER(SEARCH("SOPORTE PARA NB",B1536)),
ISNUMBER(SEARCH("WEBCAM",B1536)),
ISNUMBER(SEARCH("WEB CAM",B1536)),
ISNUMBER(SEARCH("MOUSE",B1536)),
ISNUMBER(SEARCH("TECLADO",B1536))
),
"COMPLEMENTO",
IF(
OR(
LEFT(A1536,2)="NB",
LEFT(A1536,2)="PC",
LEFT(A1536,2)="WS",
LEFT(A1536,2)="TB",
LEFT(A1536,3)="CEL",
LEFT(A1536,3)="MON",
LEFT(A1536,3)="PRE",
LEFT(A1536,3)="PRH",
ISNUMBER(SEARCH("NOTEBOOK",B1536)),
ISNUMBER(SEARCH("LAPTOP",B1536)),
ISNUMBER(SEARCH("MONITOR",B1536)),
ISNUMBER(SEARCH("TABLET",B1536)),
ISNUMBER(SEARCH("SMARTPH",B1536)),
ISNUMBER(SEARCH("IMPRESORA",B1536)),
ISNUMBER(SEARCH("MULTIFUNCIONAL",B1536)),
ISNUMBER(SEARCH("AIO",B1536))
),
"GANCHO",
"NORMAL"
)
)</f>
        <v>NORMAL</v>
      </c>
    </row>
    <row r="1535" spans="1:12" x14ac:dyDescent="0.25">
      <c r="A1535" s="3" t="s">
        <v>2490</v>
      </c>
      <c r="B1535" s="3" t="s">
        <v>2491</v>
      </c>
      <c r="C1535" s="1">
        <v>20</v>
      </c>
      <c r="D1535" s="1">
        <v>405.5</v>
      </c>
      <c r="E1535" s="1" t="s">
        <v>196</v>
      </c>
      <c r="F1535" s="1" t="s">
        <v>4019</v>
      </c>
      <c r="G1535" s="3" t="s">
        <v>2492</v>
      </c>
      <c r="H1535" s="11">
        <f>ROUND(
IF(L1533="GANCHO",
   IF(I1535&lt;=50,I1535*1.1+4,IF(I1535&lt;=120,I1535*1.1+7,IF(I1535&lt;=250,I1535*1.1+11,I1535*1.1+19))),
IF(L1533="NORMAL",
   IF(I1535&lt;=30,I1535*1.15+2,IF(I1535&lt;=80,I1535*1.15+4,IF(I1535&lt;=150,I1535*1.15+6,I1535*1.15+8))),
IF(L1533="COMPLEMENTO",
   IF(I1535&lt;=25,I1535*1.25+1.5,IF(I1535&lt;=60,I1535*1.25+3,IF(I1535&lt;=120,I1535*1.25+4,I1535*1.25+5))),
""))),2)</f>
        <v>1922.92</v>
      </c>
      <c r="I1535" s="9">
        <f>($K$2+0.02)*Tabla1[[#This Row],[PRECIO $]]*1.18</f>
        <v>1665.1451999999999</v>
      </c>
      <c r="J1535" s="7">
        <f>+Tabla1[[#This Row],[PRECIO EN SOLES]]-Tabla1[[#This Row],[PC]]</f>
        <v>257.77480000000014</v>
      </c>
      <c r="K1535" s="15"/>
      <c r="L1535" s="15" t="str">
        <f>IF(
OR(
ISNUMBER(SEARCH("BACKPACK",B1537)),
ISNUMBER(SEARCH("MOCHILA",B1537)),
ISNUMBER(SEARCH("FUNDA",B1537)),
ISNUMBER(SEARCH("ESTUCHE",B1537)),
ISNUMBER(SEARCH("BOOK COVER",B1537)),
ISNUMBER(SEARCH("KEYBOARD PARA TABLET",B1537)),
ISNUMBER(SEARCH("FLIP TABLET",B1537)),
ISNUMBER(SEARCH("CASE FOR TABLET",B1537)),
ISNUMBER(SEARCH("CABLE",B1537)),
ISNUMBER(SEARCH("ADAPTADOR",B1537)),
ISNUMBER(SEARCH("HUB",B1537)),
ISNUMBER(SEARCH("DOCK",B1537)),
ISNUMBER(SEARCH("MOUSE PAD",B1537)),
ISNUMBER(SEARCH("MOUSEPAD",B1537)),
ISNUMBER(SEARCH("SOPORTE",B1537)),
ISNUMBER(SEARCH("STAND",B1537)),
ISNUMBER(SEARCH("TRAVEL ADAPTER",B1537)),
ISNUMBER(SEARCH("RJ45",B1537)),
ISNUMBER(SEARCH("USB-C",B1537)),
ISNUMBER(SEARCH("USB WIFI",B1537)),
ISNUMBER(SEARCH("POWERBANK",B1537)),
ISNUMBER(SEARCH("CARGADOR",B1537)),
ISNUMBER(SEARCH("COOLER PARA NB",B1537)),
ISNUMBER(SEARCH("SOPORTE PARA NB",B1537)),
ISNUMBER(SEARCH("WEBCAM",B1537)),
ISNUMBER(SEARCH("WEB CAM",B1537)),
ISNUMBER(SEARCH("MOUSE",B1537)),
ISNUMBER(SEARCH("TECLADO",B1537))
),
"COMPLEMENTO",
IF(
OR(
LEFT(A1537,2)="NB",
LEFT(A1537,2)="PC",
LEFT(A1537,2)="WS",
LEFT(A1537,2)="TB",
LEFT(A1537,3)="CEL",
LEFT(A1537,3)="MON",
LEFT(A1537,3)="PRE",
LEFT(A1537,3)="PRH",
ISNUMBER(SEARCH("NOTEBOOK",B1537)),
ISNUMBER(SEARCH("LAPTOP",B1537)),
ISNUMBER(SEARCH("MONITOR",B1537)),
ISNUMBER(SEARCH("TABLET",B1537)),
ISNUMBER(SEARCH("SMARTPH",B1537)),
ISNUMBER(SEARCH("IMPRESORA",B1537)),
ISNUMBER(SEARCH("MULTIFUNCIONAL",B1537)),
ISNUMBER(SEARCH("AIO",B1537))
),
"GANCHO",
"NORMAL"
)
)</f>
        <v>NORMAL</v>
      </c>
    </row>
    <row r="1536" spans="1:12" x14ac:dyDescent="0.25">
      <c r="A1536" s="3" t="s">
        <v>492</v>
      </c>
      <c r="B1536" s="3" t="s">
        <v>493</v>
      </c>
      <c r="C1536" s="1">
        <v>20</v>
      </c>
      <c r="D1536" s="1">
        <v>94.3</v>
      </c>
      <c r="E1536" s="1" t="s">
        <v>196</v>
      </c>
      <c r="F1536" s="1" t="s">
        <v>4020</v>
      </c>
      <c r="G1536" s="3" t="s">
        <v>494</v>
      </c>
      <c r="H1536" s="11">
        <f>ROUND(
IF(L1534="GANCHO",
   IF(I1536&lt;=50,I1536*1.1+4,IF(I1536&lt;=120,I1536*1.1+7,IF(I1536&lt;=250,I1536*1.1+11,I1536*1.1+19))),
IF(L1534="NORMAL",
   IF(I1536&lt;=30,I1536*1.15+2,IF(I1536&lt;=80,I1536*1.15+4,IF(I1536&lt;=150,I1536*1.15+6,I1536*1.15+8))),
IF(L1534="COMPLEMENTO",
   IF(I1536&lt;=25,I1536*1.25+1.5,IF(I1536&lt;=60,I1536*1.25+3,IF(I1536&lt;=120,I1536*1.25+4,I1536*1.25+5))),
""))),2)</f>
        <v>453.32</v>
      </c>
      <c r="I1536" s="9">
        <f>($K$2+0.02)*Tabla1[[#This Row],[PRECIO $]]*1.18</f>
        <v>387.23351999999994</v>
      </c>
      <c r="J1536" s="7">
        <f>+Tabla1[[#This Row],[PRECIO EN SOLES]]-Tabla1[[#This Row],[PC]]</f>
        <v>66.086480000000051</v>
      </c>
      <c r="K1536" s="15"/>
      <c r="L1536" s="15" t="str">
        <f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7" spans="1:12" x14ac:dyDescent="0.25">
      <c r="A1537" s="3" t="s">
        <v>3062</v>
      </c>
      <c r="B1537" s="3" t="s">
        <v>2493</v>
      </c>
      <c r="C1537" s="1">
        <v>0</v>
      </c>
      <c r="D1537" s="1">
        <v>9999999.9900000002</v>
      </c>
      <c r="E1537" s="1" t="s">
        <v>1447</v>
      </c>
      <c r="F1537" s="1" t="s">
        <v>4021</v>
      </c>
      <c r="G1537" s="3"/>
      <c r="H1537" s="11">
        <f>ROUND(
IF(L1535="GANCHO",
   IF(I1537&lt;=50,I1537*1.1+4,IF(I1537&lt;=120,I1537*1.1+7,IF(I1537&lt;=250,I1537*1.1+11,I1537*1.1+19))),
IF(L1535="NORMAL",
   IF(I1537&lt;=30,I1537*1.15+2,IF(I1537&lt;=80,I1537*1.15+4,IF(I1537&lt;=150,I1537*1.15+6,I1537*1.15+8))),
IF(L1535="COMPLEMENTO",
   IF(I1537&lt;=25,I1537*1.25+1.5,IF(I1537&lt;=60,I1537*1.25+3,IF(I1537&lt;=120,I1537*1.25+4,I1537*1.25+5))),
""))),2)</f>
        <v>47223607.950000003</v>
      </c>
      <c r="I1537" s="9">
        <f>($K$2+0.02)*Tabla1[[#This Row],[PRECIO $]]*1.18</f>
        <v>41063999.958935998</v>
      </c>
      <c r="J1537" s="7">
        <f>+Tabla1[[#This Row],[PRECIO EN SOLES]]-Tabla1[[#This Row],[PC]]</f>
        <v>6159607.9910640046</v>
      </c>
      <c r="K1537" s="15"/>
      <c r="L1537" s="15" t="str">
        <f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38" spans="1:12" x14ac:dyDescent="0.25">
      <c r="A1538" s="3" t="s">
        <v>5033</v>
      </c>
      <c r="B1538" s="3" t="s">
        <v>5034</v>
      </c>
      <c r="C1538" s="1">
        <v>5</v>
      </c>
      <c r="D1538" s="1">
        <v>165.6</v>
      </c>
      <c r="E1538" s="1" t="s">
        <v>838</v>
      </c>
      <c r="F1538" s="1" t="s">
        <v>5035</v>
      </c>
      <c r="G1538" s="3" t="s">
        <v>5036</v>
      </c>
      <c r="H1538" s="11">
        <f>ROUND(
IF(L1536="GANCHO",
   IF(I1538&lt;=50,I1538*1.1+4,IF(I1538&lt;=120,I1538*1.1+7,IF(I1538&lt;=250,I1538*1.1+11,I1538*1.1+19))),
IF(L1536="NORMAL",
   IF(I1538&lt;=30,I1538*1.15+2,IF(I1538&lt;=80,I1538*1.15+4,IF(I1538&lt;=150,I1538*1.15+6,I1538*1.15+8))),
IF(L1536="COMPLEMENTO",
   IF(I1538&lt;=25,I1538*1.25+1.5,IF(I1538&lt;=60,I1538*1.25+3,IF(I1538&lt;=120,I1538*1.25+4,I1538*1.25+5))),
""))),2)</f>
        <v>790.02</v>
      </c>
      <c r="I1538" s="9">
        <f>($K$2+0.02)*Tabla1[[#This Row],[PRECIO $]]*1.18</f>
        <v>680.01983999999993</v>
      </c>
      <c r="J1538" s="7">
        <f>+Tabla1[[#This Row],[PRECIO EN SOLES]]-Tabla1[[#This Row],[PC]]</f>
        <v>110.00016000000005</v>
      </c>
      <c r="K1538" s="15"/>
      <c r="L1538" s="15" t="str">
        <f>IF(
OR(
ISNUMBER(SEARCH("BACKPACK",B1540)),
ISNUMBER(SEARCH("MOCHILA",B1540)),
ISNUMBER(SEARCH("FUNDA",B1540)),
ISNUMBER(SEARCH("ESTUCHE",B1540)),
ISNUMBER(SEARCH("BOOK COVER",B1540)),
ISNUMBER(SEARCH("KEYBOARD PARA TABLET",B1540)),
ISNUMBER(SEARCH("FLIP TABLET",B1540)),
ISNUMBER(SEARCH("CASE FOR TABLET",B1540)),
ISNUMBER(SEARCH("CABLE",B1540)),
ISNUMBER(SEARCH("ADAPTADOR",B1540)),
ISNUMBER(SEARCH("HUB",B1540)),
ISNUMBER(SEARCH("DOCK",B1540)),
ISNUMBER(SEARCH("MOUSE PAD",B1540)),
ISNUMBER(SEARCH("MOUSEPAD",B1540)),
ISNUMBER(SEARCH("SOPORTE",B1540)),
ISNUMBER(SEARCH("STAND",B1540)),
ISNUMBER(SEARCH("TRAVEL ADAPTER",B1540)),
ISNUMBER(SEARCH("RJ45",B1540)),
ISNUMBER(SEARCH("USB-C",B1540)),
ISNUMBER(SEARCH("USB WIFI",B1540)),
ISNUMBER(SEARCH("POWERBANK",B1540)),
ISNUMBER(SEARCH("CARGADOR",B1540)),
ISNUMBER(SEARCH("COOLER PARA NB",B1540)),
ISNUMBER(SEARCH("SOPORTE PARA NB",B1540)),
ISNUMBER(SEARCH("WEBCAM",B1540)),
ISNUMBER(SEARCH("WEB CAM",B1540)),
ISNUMBER(SEARCH("MOUSE",B1540)),
ISNUMBER(SEARCH("TECLADO",B1540))
),
"COMPLEMENTO",
IF(
OR(
LEFT(A1540,2)="NB",
LEFT(A1540,2)="PC",
LEFT(A1540,2)="WS",
LEFT(A1540,2)="TB",
LEFT(A1540,3)="CEL",
LEFT(A1540,3)="MON",
LEFT(A1540,3)="PRE",
LEFT(A1540,3)="PRH",
ISNUMBER(SEARCH("NOTEBOOK",B1540)),
ISNUMBER(SEARCH("LAPTOP",B1540)),
ISNUMBER(SEARCH("MONITOR",B1540)),
ISNUMBER(SEARCH("TABLET",B1540)),
ISNUMBER(SEARCH("SMARTPH",B1540)),
ISNUMBER(SEARCH("IMPRESORA",B1540)),
ISNUMBER(SEARCH("MULTIFUNCIONAL",B1540)),
ISNUMBER(SEARCH("AIO",B1540))
),
"GANCHO",
"NORMAL"
)
)</f>
        <v>NORMAL</v>
      </c>
    </row>
    <row r="1539" spans="1:12" x14ac:dyDescent="0.25">
      <c r="A1539" s="3" t="s">
        <v>5037</v>
      </c>
      <c r="B1539" s="3" t="s">
        <v>5038</v>
      </c>
      <c r="C1539" s="1">
        <v>13</v>
      </c>
      <c r="D1539" s="1">
        <v>327</v>
      </c>
      <c r="E1539" s="1" t="s">
        <v>838</v>
      </c>
      <c r="F1539" s="1" t="s">
        <v>5039</v>
      </c>
      <c r="G1539" s="3" t="s">
        <v>5040</v>
      </c>
      <c r="H1539" s="11">
        <f>ROUND(
IF(L1537="GANCHO",
   IF(I1539&lt;=50,I1539*1.1+4,IF(I1539&lt;=120,I1539*1.1+7,IF(I1539&lt;=250,I1539*1.1+11,I1539*1.1+19))),
IF(L1537="NORMAL",
   IF(I1539&lt;=30,I1539*1.15+2,IF(I1539&lt;=80,I1539*1.15+4,IF(I1539&lt;=150,I1539*1.15+6,I1539*1.15+8))),
IF(L1537="COMPLEMENTO",
   IF(I1539&lt;=25,I1539*1.25+1.5,IF(I1539&lt;=60,I1539*1.25+3,IF(I1539&lt;=120,I1539*1.25+4,I1539*1.25+5))),
""))),2)</f>
        <v>1552.21</v>
      </c>
      <c r="I1539" s="9">
        <f>($K$2+0.02)*Tabla1[[#This Row],[PRECIO $]]*1.18</f>
        <v>1342.7927999999999</v>
      </c>
      <c r="J1539" s="7">
        <f>+Tabla1[[#This Row],[PRECIO EN SOLES]]-Tabla1[[#This Row],[PC]]</f>
        <v>209.41720000000009</v>
      </c>
      <c r="K1539" s="15"/>
      <c r="L1539" s="15" t="str">
        <f>IF(
OR(
ISNUMBER(SEARCH("BACKPACK",B1541)),
ISNUMBER(SEARCH("MOCHILA",B1541)),
ISNUMBER(SEARCH("FUNDA",B1541)),
ISNUMBER(SEARCH("ESTUCHE",B1541)),
ISNUMBER(SEARCH("BOOK COVER",B1541)),
ISNUMBER(SEARCH("KEYBOARD PARA TABLET",B1541)),
ISNUMBER(SEARCH("FLIP TABLET",B1541)),
ISNUMBER(SEARCH("CASE FOR TABLET",B1541)),
ISNUMBER(SEARCH("CABLE",B1541)),
ISNUMBER(SEARCH("ADAPTADOR",B1541)),
ISNUMBER(SEARCH("HUB",B1541)),
ISNUMBER(SEARCH("DOCK",B1541)),
ISNUMBER(SEARCH("MOUSE PAD",B1541)),
ISNUMBER(SEARCH("MOUSEPAD",B1541)),
ISNUMBER(SEARCH("SOPORTE",B1541)),
ISNUMBER(SEARCH("STAND",B1541)),
ISNUMBER(SEARCH("TRAVEL ADAPTER",B1541)),
ISNUMBER(SEARCH("RJ45",B1541)),
ISNUMBER(SEARCH("USB-C",B1541)),
ISNUMBER(SEARCH("USB WIFI",B1541)),
ISNUMBER(SEARCH("POWERBANK",B1541)),
ISNUMBER(SEARCH("CARGADOR",B1541)),
ISNUMBER(SEARCH("COOLER PARA NB",B1541)),
ISNUMBER(SEARCH("SOPORTE PARA NB",B1541)),
ISNUMBER(SEARCH("WEBCAM",B1541)),
ISNUMBER(SEARCH("WEB CAM",B1541)),
ISNUMBER(SEARCH("MOUSE",B1541)),
ISNUMBER(SEARCH("TECLADO",B1541))
),
"COMPLEMENTO",
IF(
OR(
LEFT(A1541,2)="NB",
LEFT(A1541,2)="PC",
LEFT(A1541,2)="WS",
LEFT(A1541,2)="TB",
LEFT(A1541,3)="CEL",
LEFT(A1541,3)="MON",
LEFT(A1541,3)="PRE",
LEFT(A1541,3)="PRH",
ISNUMBER(SEARCH("NOTEBOOK",B1541)),
ISNUMBER(SEARCH("LAPTOP",B1541)),
ISNUMBER(SEARCH("MONITOR",B1541)),
ISNUMBER(SEARCH("TABLET",B1541)),
ISNUMBER(SEARCH("SMARTPH",B1541)),
ISNUMBER(SEARCH("IMPRESORA",B1541)),
ISNUMBER(SEARCH("MULTIFUNCIONAL",B1541)),
ISNUMBER(SEARCH("AIO",B1541))
),
"GANCHO",
"NORMAL"
)
)</f>
        <v>NORMAL</v>
      </c>
    </row>
    <row r="1540" spans="1:12" x14ac:dyDescent="0.25">
      <c r="A1540" s="3" t="s">
        <v>5041</v>
      </c>
      <c r="B1540" s="3" t="s">
        <v>5042</v>
      </c>
      <c r="C1540" s="1">
        <v>20</v>
      </c>
      <c r="D1540" s="1">
        <v>208.2</v>
      </c>
      <c r="E1540" s="1" t="s">
        <v>838</v>
      </c>
      <c r="F1540" s="1" t="s">
        <v>5043</v>
      </c>
      <c r="G1540" s="3" t="s">
        <v>5044</v>
      </c>
      <c r="H1540" s="11">
        <f>ROUND(
IF(L1538="GANCHO",
   IF(I1540&lt;=50,I1540*1.1+4,IF(I1540&lt;=120,I1540*1.1+7,IF(I1540&lt;=250,I1540*1.1+11,I1540*1.1+19))),
IF(L1538="NORMAL",
   IF(I1540&lt;=30,I1540*1.15+2,IF(I1540&lt;=80,I1540*1.15+4,IF(I1540&lt;=150,I1540*1.15+6,I1540*1.15+8))),
IF(L1538="COMPLEMENTO",
   IF(I1540&lt;=25,I1540*1.25+1.5,IF(I1540&lt;=60,I1540*1.25+3,IF(I1540&lt;=120,I1540*1.25+4,I1540*1.25+5))),
""))),2)</f>
        <v>991.2</v>
      </c>
      <c r="I1540" s="9">
        <f>($K$2+0.02)*Tabla1[[#This Row],[PRECIO $]]*1.18</f>
        <v>854.95247999999992</v>
      </c>
      <c r="J1540" s="7">
        <f>+Tabla1[[#This Row],[PRECIO EN SOLES]]-Tabla1[[#This Row],[PC]]</f>
        <v>136.24752000000012</v>
      </c>
      <c r="K1540" s="15"/>
      <c r="L1540" s="15" t="str">
        <f>IF(
OR(
ISNUMBER(SEARCH("BACKPACK",B1542)),
ISNUMBER(SEARCH("MOCHILA",B1542)),
ISNUMBER(SEARCH("FUNDA",B1542)),
ISNUMBER(SEARCH("ESTUCHE",B1542)),
ISNUMBER(SEARCH("BOOK COVER",B1542)),
ISNUMBER(SEARCH("KEYBOARD PARA TABLET",B1542)),
ISNUMBER(SEARCH("FLIP TABLET",B1542)),
ISNUMBER(SEARCH("CASE FOR TABLET",B1542)),
ISNUMBER(SEARCH("CABLE",B1542)),
ISNUMBER(SEARCH("ADAPTADOR",B1542)),
ISNUMBER(SEARCH("HUB",B1542)),
ISNUMBER(SEARCH("DOCK",B1542)),
ISNUMBER(SEARCH("MOUSE PAD",B1542)),
ISNUMBER(SEARCH("MOUSEPAD",B1542)),
ISNUMBER(SEARCH("SOPORTE",B1542)),
ISNUMBER(SEARCH("STAND",B1542)),
ISNUMBER(SEARCH("TRAVEL ADAPTER",B1542)),
ISNUMBER(SEARCH("RJ45",B1542)),
ISNUMBER(SEARCH("USB-C",B1542)),
ISNUMBER(SEARCH("USB WIFI",B1542)),
ISNUMBER(SEARCH("POWERBANK",B1542)),
ISNUMBER(SEARCH("CARGADOR",B1542)),
ISNUMBER(SEARCH("COOLER PARA NB",B1542)),
ISNUMBER(SEARCH("SOPORTE PARA NB",B1542)),
ISNUMBER(SEARCH("WEBCAM",B1542)),
ISNUMBER(SEARCH("WEB CAM",B1542)),
ISNUMBER(SEARCH("MOUSE",B1542)),
ISNUMBER(SEARCH("TECLADO",B1542))
),
"COMPLEMENTO",
IF(
OR(
LEFT(A1542,2)="NB",
LEFT(A1542,2)="PC",
LEFT(A1542,2)="WS",
LEFT(A1542,2)="TB",
LEFT(A1542,3)="CEL",
LEFT(A1542,3)="MON",
LEFT(A1542,3)="PRE",
LEFT(A1542,3)="PRH",
ISNUMBER(SEARCH("NOTEBOOK",B1542)),
ISNUMBER(SEARCH("LAPTOP",B1542)),
ISNUMBER(SEARCH("MONITOR",B1542)),
ISNUMBER(SEARCH("TABLET",B1542)),
ISNUMBER(SEARCH("SMARTPH",B1542)),
ISNUMBER(SEARCH("IMPRESORA",B1542)),
ISNUMBER(SEARCH("MULTIFUNCIONAL",B1542)),
ISNUMBER(SEARCH("AIO",B1542))
),
"GANCHO",
"NORMAL"
)
)</f>
        <v>NORMAL</v>
      </c>
    </row>
    <row r="1541" spans="1:12" x14ac:dyDescent="0.25">
      <c r="A1541" s="3" t="s">
        <v>5045</v>
      </c>
      <c r="B1541" s="3" t="s">
        <v>5046</v>
      </c>
      <c r="C1541" s="1">
        <v>20</v>
      </c>
      <c r="D1541" s="1">
        <v>398.2</v>
      </c>
      <c r="E1541" s="1" t="s">
        <v>838</v>
      </c>
      <c r="F1541" s="1" t="s">
        <v>5047</v>
      </c>
      <c r="G1541" s="3" t="s">
        <v>5048</v>
      </c>
      <c r="H1541" s="11">
        <f>ROUND(
IF(L1539="GANCHO",
   IF(I1541&lt;=50,I1541*1.1+4,IF(I1541&lt;=120,I1541*1.1+7,IF(I1541&lt;=250,I1541*1.1+11,I1541*1.1+19))),
IF(L1539="NORMAL",
   IF(I1541&lt;=30,I1541*1.15+2,IF(I1541&lt;=80,I1541*1.15+4,IF(I1541&lt;=150,I1541*1.15+6,I1541*1.15+8))),
IF(L1539="COMPLEMENTO",
   IF(I1541&lt;=25,I1541*1.25+1.5,IF(I1541&lt;=60,I1541*1.25+3,IF(I1541&lt;=120,I1541*1.25+4,I1541*1.25+5))),
""))),2)</f>
        <v>1888.44</v>
      </c>
      <c r="I1541" s="9">
        <f>($K$2+0.02)*Tabla1[[#This Row],[PRECIO $]]*1.18</f>
        <v>1635.1684799999998</v>
      </c>
      <c r="J1541" s="7">
        <f>+Tabla1[[#This Row],[PRECIO EN SOLES]]-Tabla1[[#This Row],[PC]]</f>
        <v>253.27152000000024</v>
      </c>
      <c r="K1541" s="15"/>
      <c r="L1541" s="15" t="str">
        <f>IF(
OR(
ISNUMBER(SEARCH("BACKPACK",B1543)),
ISNUMBER(SEARCH("MOCHILA",B1543)),
ISNUMBER(SEARCH("FUNDA",B1543)),
ISNUMBER(SEARCH("ESTUCHE",B1543)),
ISNUMBER(SEARCH("BOOK COVER",B1543)),
ISNUMBER(SEARCH("KEYBOARD PARA TABLET",B1543)),
ISNUMBER(SEARCH("FLIP TABLET",B1543)),
ISNUMBER(SEARCH("CASE FOR TABLET",B1543)),
ISNUMBER(SEARCH("CABLE",B1543)),
ISNUMBER(SEARCH("ADAPTADOR",B1543)),
ISNUMBER(SEARCH("HUB",B1543)),
ISNUMBER(SEARCH("DOCK",B1543)),
ISNUMBER(SEARCH("MOUSE PAD",B1543)),
ISNUMBER(SEARCH("MOUSEPAD",B1543)),
ISNUMBER(SEARCH("SOPORTE",B1543)),
ISNUMBER(SEARCH("STAND",B1543)),
ISNUMBER(SEARCH("TRAVEL ADAPTER",B1543)),
ISNUMBER(SEARCH("RJ45",B1543)),
ISNUMBER(SEARCH("USB-C",B1543)),
ISNUMBER(SEARCH("USB WIFI",B1543)),
ISNUMBER(SEARCH("POWERBANK",B1543)),
ISNUMBER(SEARCH("CARGADOR",B1543)),
ISNUMBER(SEARCH("COOLER PARA NB",B1543)),
ISNUMBER(SEARCH("SOPORTE PARA NB",B1543)),
ISNUMBER(SEARCH("WEBCAM",B1543)),
ISNUMBER(SEARCH("WEB CAM",B1543)),
ISNUMBER(SEARCH("MOUSE",B1543)),
ISNUMBER(SEARCH("TECLADO",B1543))
),
"COMPLEMENTO",
IF(
OR(
LEFT(A1543,2)="NB",
LEFT(A1543,2)="PC",
LEFT(A1543,2)="WS",
LEFT(A1543,2)="TB",
LEFT(A1543,3)="CEL",
LEFT(A1543,3)="MON",
LEFT(A1543,3)="PRE",
LEFT(A1543,3)="PRH",
ISNUMBER(SEARCH("NOTEBOOK",B1543)),
ISNUMBER(SEARCH("LAPTOP",B1543)),
ISNUMBER(SEARCH("MONITOR",B1543)),
ISNUMBER(SEARCH("TABLET",B1543)),
ISNUMBER(SEARCH("SMARTPH",B1543)),
ISNUMBER(SEARCH("IMPRESORA",B1543)),
ISNUMBER(SEARCH("MULTIFUNCIONAL",B1543)),
ISNUMBER(SEARCH("AIO",B1543))
),
"GANCHO",
"NORMAL"
)
)</f>
        <v>NORMAL</v>
      </c>
    </row>
    <row r="1542" spans="1:12" x14ac:dyDescent="0.25">
      <c r="A1542" s="3" t="s">
        <v>6362</v>
      </c>
      <c r="B1542" s="3" t="s">
        <v>6363</v>
      </c>
      <c r="C1542" s="1">
        <v>20</v>
      </c>
      <c r="D1542" s="1">
        <v>311</v>
      </c>
      <c r="E1542" s="1" t="s">
        <v>218</v>
      </c>
      <c r="F1542" s="1" t="s">
        <v>6364</v>
      </c>
      <c r="G1542" s="3" t="s">
        <v>6365</v>
      </c>
      <c r="H1542" s="11">
        <f>ROUND(
IF(L1540="GANCHO",
   IF(I1542&lt;=50,I1542*1.1+4,IF(I1542&lt;=120,I1542*1.1+7,IF(I1542&lt;=250,I1542*1.1+11,I1542*1.1+19))),
IF(L1540="NORMAL",
   IF(I1542&lt;=30,I1542*1.15+2,IF(I1542&lt;=80,I1542*1.15+4,IF(I1542&lt;=150,I1542*1.15+6,I1542*1.15+8))),
IF(L1540="COMPLEMENTO",
   IF(I1542&lt;=25,I1542*1.25+1.5,IF(I1542&lt;=60,I1542*1.25+3,IF(I1542&lt;=120,I1542*1.25+4,I1542*1.25+5))),
""))),2)</f>
        <v>1476.65</v>
      </c>
      <c r="I1542" s="9">
        <f>($K$2+0.02)*Tabla1[[#This Row],[PRECIO $]]*1.18</f>
        <v>1277.0903999999998</v>
      </c>
      <c r="J1542" s="7">
        <f>+Tabla1[[#This Row],[PRECIO EN SOLES]]-Tabla1[[#This Row],[PC]]</f>
        <v>199.55960000000027</v>
      </c>
      <c r="K1542" s="15"/>
      <c r="L1542" s="15" t="str">
        <f>IF(
OR(
ISNUMBER(SEARCH("BACKPACK",B1544)),
ISNUMBER(SEARCH("MOCHILA",B1544)),
ISNUMBER(SEARCH("FUNDA",B1544)),
ISNUMBER(SEARCH("ESTUCHE",B1544)),
ISNUMBER(SEARCH("BOOK COVER",B1544)),
ISNUMBER(SEARCH("KEYBOARD PARA TABLET",B1544)),
ISNUMBER(SEARCH("FLIP TABLET",B1544)),
ISNUMBER(SEARCH("CASE FOR TABLET",B1544)),
ISNUMBER(SEARCH("CABLE",B1544)),
ISNUMBER(SEARCH("ADAPTADOR",B1544)),
ISNUMBER(SEARCH("HUB",B1544)),
ISNUMBER(SEARCH("DOCK",B1544)),
ISNUMBER(SEARCH("MOUSE PAD",B1544)),
ISNUMBER(SEARCH("MOUSEPAD",B1544)),
ISNUMBER(SEARCH("SOPORTE",B1544)),
ISNUMBER(SEARCH("STAND",B1544)),
ISNUMBER(SEARCH("TRAVEL ADAPTER",B1544)),
ISNUMBER(SEARCH("RJ45",B1544)),
ISNUMBER(SEARCH("USB-C",B1544)),
ISNUMBER(SEARCH("USB WIFI",B1544)),
ISNUMBER(SEARCH("POWERBANK",B1544)),
ISNUMBER(SEARCH("CARGADOR",B1544)),
ISNUMBER(SEARCH("COOLER PARA NB",B1544)),
ISNUMBER(SEARCH("SOPORTE PARA NB",B1544)),
ISNUMBER(SEARCH("WEBCAM",B1544)),
ISNUMBER(SEARCH("WEB CAM",B1544)),
ISNUMBER(SEARCH("MOUSE",B1544)),
ISNUMBER(SEARCH("TECLADO",B1544))
),
"COMPLEMENTO",
IF(
OR(
LEFT(A1544,2)="NB",
LEFT(A1544,2)="PC",
LEFT(A1544,2)="WS",
LEFT(A1544,2)="TB",
LEFT(A1544,3)="CEL",
LEFT(A1544,3)="MON",
LEFT(A1544,3)="PRE",
LEFT(A1544,3)="PRH",
ISNUMBER(SEARCH("NOTEBOOK",B1544)),
ISNUMBER(SEARCH("LAPTOP",B1544)),
ISNUMBER(SEARCH("MONITOR",B1544)),
ISNUMBER(SEARCH("TABLET",B1544)),
ISNUMBER(SEARCH("SMARTPH",B1544)),
ISNUMBER(SEARCH("IMPRESORA",B1544)),
ISNUMBER(SEARCH("MULTIFUNCIONAL",B1544)),
ISNUMBER(SEARCH("AIO",B1544))
),
"GANCHO",
"NORMAL"
)
)</f>
        <v>NORMAL</v>
      </c>
    </row>
    <row r="1543" spans="1:12" x14ac:dyDescent="0.25">
      <c r="A1543" s="3" t="s">
        <v>689</v>
      </c>
      <c r="B1543" s="3" t="s">
        <v>690</v>
      </c>
      <c r="C1543" s="1">
        <v>20</v>
      </c>
      <c r="D1543" s="1">
        <v>296</v>
      </c>
      <c r="E1543" s="1" t="s">
        <v>218</v>
      </c>
      <c r="F1543" s="1" t="s">
        <v>4022</v>
      </c>
      <c r="G1543" s="3" t="s">
        <v>691</v>
      </c>
      <c r="H1543" s="11">
        <f>ROUND(
IF(L1541="GANCHO",
   IF(I1543&lt;=50,I1543*1.1+4,IF(I1543&lt;=120,I1543*1.1+7,IF(I1543&lt;=250,I1543*1.1+11,I1543*1.1+19))),
IF(L1541="NORMAL",
   IF(I1543&lt;=30,I1543*1.15+2,IF(I1543&lt;=80,I1543*1.15+4,IF(I1543&lt;=150,I1543*1.15+6,I1543*1.15+8))),
IF(L1541="COMPLEMENTO",
   IF(I1543&lt;=25,I1543*1.25+1.5,IF(I1543&lt;=60,I1543*1.25+3,IF(I1543&lt;=120,I1543*1.25+4,I1543*1.25+5))),
""))),2)</f>
        <v>1405.82</v>
      </c>
      <c r="I1543" s="9">
        <f>($K$2+0.02)*Tabla1[[#This Row],[PRECIO $]]*1.18</f>
        <v>1215.4943999999998</v>
      </c>
      <c r="J1543" s="7">
        <f>+Tabla1[[#This Row],[PRECIO EN SOLES]]-Tabla1[[#This Row],[PC]]</f>
        <v>190.32560000000012</v>
      </c>
      <c r="K1543" s="15"/>
      <c r="L1543" s="15" t="str">
        <f>IF(
OR(
ISNUMBER(SEARCH("BACKPACK",B1545)),
ISNUMBER(SEARCH("MOCHILA",B1545)),
ISNUMBER(SEARCH("FUNDA",B1545)),
ISNUMBER(SEARCH("ESTUCHE",B1545)),
ISNUMBER(SEARCH("BOOK COVER",B1545)),
ISNUMBER(SEARCH("KEYBOARD PARA TABLET",B1545)),
ISNUMBER(SEARCH("FLIP TABLET",B1545)),
ISNUMBER(SEARCH("CASE FOR TABLET",B1545)),
ISNUMBER(SEARCH("CABLE",B1545)),
ISNUMBER(SEARCH("ADAPTADOR",B1545)),
ISNUMBER(SEARCH("HUB",B1545)),
ISNUMBER(SEARCH("DOCK",B1545)),
ISNUMBER(SEARCH("MOUSE PAD",B1545)),
ISNUMBER(SEARCH("MOUSEPAD",B1545)),
ISNUMBER(SEARCH("SOPORTE",B1545)),
ISNUMBER(SEARCH("STAND",B1545)),
ISNUMBER(SEARCH("TRAVEL ADAPTER",B1545)),
ISNUMBER(SEARCH("RJ45",B1545)),
ISNUMBER(SEARCH("USB-C",B1545)),
ISNUMBER(SEARCH("USB WIFI",B1545)),
ISNUMBER(SEARCH("POWERBANK",B1545)),
ISNUMBER(SEARCH("CARGADOR",B1545)),
ISNUMBER(SEARCH("COOLER PARA NB",B1545)),
ISNUMBER(SEARCH("SOPORTE PARA NB",B1545)),
ISNUMBER(SEARCH("WEBCAM",B1545)),
ISNUMBER(SEARCH("WEB CAM",B1545)),
ISNUMBER(SEARCH("MOUSE",B1545)),
ISNUMBER(SEARCH("TECLADO",B1545))
),
"COMPLEMENTO",
IF(
OR(
LEFT(A1545,2)="NB",
LEFT(A1545,2)="PC",
LEFT(A1545,2)="WS",
LEFT(A1545,2)="TB",
LEFT(A1545,3)="CEL",
LEFT(A1545,3)="MON",
LEFT(A1545,3)="PRE",
LEFT(A1545,3)="PRH",
ISNUMBER(SEARCH("NOTEBOOK",B1545)),
ISNUMBER(SEARCH("LAPTOP",B1545)),
ISNUMBER(SEARCH("MONITOR",B1545)),
ISNUMBER(SEARCH("TABLET",B1545)),
ISNUMBER(SEARCH("SMARTPH",B1545)),
ISNUMBER(SEARCH("IMPRESORA",B1545)),
ISNUMBER(SEARCH("MULTIFUNCIONAL",B1545)),
ISNUMBER(SEARCH("AIO",B1545))
),
"GANCHO",
"NORMAL"
)
)</f>
        <v>NORMAL</v>
      </c>
    </row>
    <row r="1544" spans="1:12" x14ac:dyDescent="0.25">
      <c r="A1544" s="3" t="s">
        <v>2494</v>
      </c>
      <c r="B1544" s="3" t="s">
        <v>2495</v>
      </c>
      <c r="C1544" s="1">
        <v>15</v>
      </c>
      <c r="D1544" s="1">
        <v>487</v>
      </c>
      <c r="E1544" s="1" t="s">
        <v>218</v>
      </c>
      <c r="F1544" s="1" t="s">
        <v>4023</v>
      </c>
      <c r="G1544" s="3" t="s">
        <v>2496</v>
      </c>
      <c r="H1544" s="11">
        <f>ROUND(
IF(L1542="GANCHO",
   IF(I1544&lt;=50,I1544*1.1+4,IF(I1544&lt;=120,I1544*1.1+7,IF(I1544&lt;=250,I1544*1.1+11,I1544*1.1+19))),
IF(L1542="NORMAL",
   IF(I1544&lt;=30,I1544*1.15+2,IF(I1544&lt;=80,I1544*1.15+4,IF(I1544&lt;=150,I1544*1.15+6,I1544*1.15+8))),
IF(L1542="COMPLEMENTO",
   IF(I1544&lt;=25,I1544*1.25+1.5,IF(I1544&lt;=60,I1544*1.25+3,IF(I1544&lt;=120,I1544*1.25+4,I1544*1.25+5))),
""))),2)</f>
        <v>2307.79</v>
      </c>
      <c r="I1544" s="9">
        <f>($K$2+0.02)*Tabla1[[#This Row],[PRECIO $]]*1.18</f>
        <v>1999.8167999999998</v>
      </c>
      <c r="J1544" s="7">
        <f>+Tabla1[[#This Row],[PRECIO EN SOLES]]-Tabla1[[#This Row],[PC]]</f>
        <v>307.97320000000013</v>
      </c>
      <c r="K1544" s="15"/>
      <c r="L1544" s="15" t="str">
        <f>IF(
OR(
ISNUMBER(SEARCH("BACKPACK",B1546)),
ISNUMBER(SEARCH("MOCHILA",B1546)),
ISNUMBER(SEARCH("FUNDA",B1546)),
ISNUMBER(SEARCH("ESTUCHE",B1546)),
ISNUMBER(SEARCH("BOOK COVER",B1546)),
ISNUMBER(SEARCH("KEYBOARD PARA TABLET",B1546)),
ISNUMBER(SEARCH("FLIP TABLET",B1546)),
ISNUMBER(SEARCH("CASE FOR TABLET",B1546)),
ISNUMBER(SEARCH("CABLE",B1546)),
ISNUMBER(SEARCH("ADAPTADOR",B1546)),
ISNUMBER(SEARCH("HUB",B1546)),
ISNUMBER(SEARCH("DOCK",B1546)),
ISNUMBER(SEARCH("MOUSE PAD",B1546)),
ISNUMBER(SEARCH("MOUSEPAD",B1546)),
ISNUMBER(SEARCH("SOPORTE",B1546)),
ISNUMBER(SEARCH("STAND",B1546)),
ISNUMBER(SEARCH("TRAVEL ADAPTER",B1546)),
ISNUMBER(SEARCH("RJ45",B1546)),
ISNUMBER(SEARCH("USB-C",B1546)),
ISNUMBER(SEARCH("USB WIFI",B1546)),
ISNUMBER(SEARCH("POWERBANK",B1546)),
ISNUMBER(SEARCH("CARGADOR",B1546)),
ISNUMBER(SEARCH("COOLER PARA NB",B1546)),
ISNUMBER(SEARCH("SOPORTE PARA NB",B1546)),
ISNUMBER(SEARCH("WEBCAM",B1546)),
ISNUMBER(SEARCH("WEB CAM",B1546)),
ISNUMBER(SEARCH("MOUSE",B1546)),
ISNUMBER(SEARCH("TECLADO",B1546))
),
"COMPLEMENTO",
IF(
OR(
LEFT(A1546,2)="NB",
LEFT(A1546,2)="PC",
LEFT(A1546,2)="WS",
LEFT(A1546,2)="TB",
LEFT(A1546,3)="CEL",
LEFT(A1546,3)="MON",
LEFT(A1546,3)="PRE",
LEFT(A1546,3)="PRH",
ISNUMBER(SEARCH("NOTEBOOK",B1546)),
ISNUMBER(SEARCH("LAPTOP",B1546)),
ISNUMBER(SEARCH("MONITOR",B1546)),
ISNUMBER(SEARCH("TABLET",B1546)),
ISNUMBER(SEARCH("SMARTPH",B1546)),
ISNUMBER(SEARCH("IMPRESORA",B1546)),
ISNUMBER(SEARCH("MULTIFUNCIONAL",B1546)),
ISNUMBER(SEARCH("AIO",B1546))
),
"GANCHO",
"NORMAL"
)
)</f>
        <v>NORMAL</v>
      </c>
    </row>
    <row r="1545" spans="1:12" x14ac:dyDescent="0.25">
      <c r="A1545" s="3" t="s">
        <v>5685</v>
      </c>
      <c r="B1545" s="3" t="s">
        <v>5686</v>
      </c>
      <c r="C1545" s="1">
        <v>20</v>
      </c>
      <c r="D1545" s="1">
        <v>165.3</v>
      </c>
      <c r="E1545" s="1" t="s">
        <v>218</v>
      </c>
      <c r="F1545" s="1" t="s">
        <v>5687</v>
      </c>
      <c r="G1545" s="3" t="s">
        <v>5688</v>
      </c>
      <c r="H1545" s="11">
        <f>ROUND(
IF(L1543="GANCHO",
   IF(I1545&lt;=50,I1545*1.1+4,IF(I1545&lt;=120,I1545*1.1+7,IF(I1545&lt;=250,I1545*1.1+11,I1545*1.1+19))),
IF(L1543="NORMAL",
   IF(I1545&lt;=30,I1545*1.15+2,IF(I1545&lt;=80,I1545*1.15+4,IF(I1545&lt;=150,I1545*1.15+6,I1545*1.15+8))),
IF(L1543="COMPLEMENTO",
   IF(I1545&lt;=25,I1545*1.25+1.5,IF(I1545&lt;=60,I1545*1.25+3,IF(I1545&lt;=120,I1545*1.25+4,I1545*1.25+5))),
""))),2)</f>
        <v>788.61</v>
      </c>
      <c r="I1545" s="9">
        <f>($K$2+0.02)*Tabla1[[#This Row],[PRECIO $]]*1.18</f>
        <v>678.78791999999999</v>
      </c>
      <c r="J1545" s="7">
        <f>+Tabla1[[#This Row],[PRECIO EN SOLES]]-Tabla1[[#This Row],[PC]]</f>
        <v>109.82208000000003</v>
      </c>
      <c r="K1545" s="15"/>
      <c r="L1545" s="15" t="str">
        <f>IF(
OR(
ISNUMBER(SEARCH("BACKPACK",B1547)),
ISNUMBER(SEARCH("MOCHILA",B1547)),
ISNUMBER(SEARCH("FUNDA",B1547)),
ISNUMBER(SEARCH("ESTUCHE",B1547)),
ISNUMBER(SEARCH("BOOK COVER",B1547)),
ISNUMBER(SEARCH("KEYBOARD PARA TABLET",B1547)),
ISNUMBER(SEARCH("FLIP TABLET",B1547)),
ISNUMBER(SEARCH("CASE FOR TABLET",B1547)),
ISNUMBER(SEARCH("CABLE",B1547)),
ISNUMBER(SEARCH("ADAPTADOR",B1547)),
ISNUMBER(SEARCH("HUB",B1547)),
ISNUMBER(SEARCH("DOCK",B1547)),
ISNUMBER(SEARCH("MOUSE PAD",B1547)),
ISNUMBER(SEARCH("MOUSEPAD",B1547)),
ISNUMBER(SEARCH("SOPORTE",B1547)),
ISNUMBER(SEARCH("STAND",B1547)),
ISNUMBER(SEARCH("TRAVEL ADAPTER",B1547)),
ISNUMBER(SEARCH("RJ45",B1547)),
ISNUMBER(SEARCH("USB-C",B1547)),
ISNUMBER(SEARCH("USB WIFI",B1547)),
ISNUMBER(SEARCH("POWERBANK",B1547)),
ISNUMBER(SEARCH("CARGADOR",B1547)),
ISNUMBER(SEARCH("COOLER PARA NB",B1547)),
ISNUMBER(SEARCH("SOPORTE PARA NB",B1547)),
ISNUMBER(SEARCH("WEBCAM",B1547)),
ISNUMBER(SEARCH("WEB CAM",B1547)),
ISNUMBER(SEARCH("MOUSE",B1547)),
ISNUMBER(SEARCH("TECLADO",B1547))
),
"COMPLEMENTO",
IF(
OR(
LEFT(A1547,2)="NB",
LEFT(A1547,2)="PC",
LEFT(A1547,2)="WS",
LEFT(A1547,2)="TB",
LEFT(A1547,3)="CEL",
LEFT(A1547,3)="MON",
LEFT(A1547,3)="PRE",
LEFT(A1547,3)="PRH",
ISNUMBER(SEARCH("NOTEBOOK",B1547)),
ISNUMBER(SEARCH("LAPTOP",B1547)),
ISNUMBER(SEARCH("MONITOR",B1547)),
ISNUMBER(SEARCH("TABLET",B1547)),
ISNUMBER(SEARCH("SMARTPH",B1547)),
ISNUMBER(SEARCH("IMPRESORA",B1547)),
ISNUMBER(SEARCH("MULTIFUNCIONAL",B1547)),
ISNUMBER(SEARCH("AIO",B1547))
),
"GANCHO",
"NORMAL"
)
)</f>
        <v>NORMAL</v>
      </c>
    </row>
    <row r="1546" spans="1:12" x14ac:dyDescent="0.25">
      <c r="A1546" s="3" t="s">
        <v>5049</v>
      </c>
      <c r="B1546" s="3" t="s">
        <v>5050</v>
      </c>
      <c r="C1546" s="1">
        <v>20</v>
      </c>
      <c r="D1546" s="1">
        <v>130</v>
      </c>
      <c r="E1546" s="1" t="s">
        <v>467</v>
      </c>
      <c r="F1546" s="1" t="s">
        <v>5051</v>
      </c>
      <c r="G1546" s="3" t="s">
        <v>5052</v>
      </c>
      <c r="H1546" s="11">
        <f>ROUND(
IF(L1544="GANCHO",
   IF(I1546&lt;=50,I1546*1.1+4,IF(I1546&lt;=120,I1546*1.1+7,IF(I1546&lt;=250,I1546*1.1+11,I1546*1.1+19))),
IF(L1544="NORMAL",
   IF(I1546&lt;=30,I1546*1.15+2,IF(I1546&lt;=80,I1546*1.15+4,IF(I1546&lt;=150,I1546*1.15+6,I1546*1.15+8))),
IF(L1544="COMPLEMENTO",
   IF(I1546&lt;=25,I1546*1.25+1.5,IF(I1546&lt;=60,I1546*1.25+3,IF(I1546&lt;=120,I1546*1.25+4,I1546*1.25+5))),
""))),2)</f>
        <v>621.91</v>
      </c>
      <c r="I1546" s="9">
        <f>($K$2+0.02)*Tabla1[[#This Row],[PRECIO $]]*1.18</f>
        <v>533.83199999999999</v>
      </c>
      <c r="J1546" s="7">
        <f>+Tabla1[[#This Row],[PRECIO EN SOLES]]-Tabla1[[#This Row],[PC]]</f>
        <v>88.077999999999975</v>
      </c>
      <c r="K1546" s="15"/>
      <c r="L1546" s="15" t="str">
        <f>IF(
OR(
ISNUMBER(SEARCH("BACKPACK",B1548)),
ISNUMBER(SEARCH("MOCHILA",B1548)),
ISNUMBER(SEARCH("FUNDA",B1548)),
ISNUMBER(SEARCH("ESTUCHE",B1548)),
ISNUMBER(SEARCH("BOOK COVER",B1548)),
ISNUMBER(SEARCH("KEYBOARD PARA TABLET",B1548)),
ISNUMBER(SEARCH("FLIP TABLET",B1548)),
ISNUMBER(SEARCH("CASE FOR TABLET",B1548)),
ISNUMBER(SEARCH("CABLE",B1548)),
ISNUMBER(SEARCH("ADAPTADOR",B1548)),
ISNUMBER(SEARCH("HUB",B1548)),
ISNUMBER(SEARCH("DOCK",B1548)),
ISNUMBER(SEARCH("MOUSE PAD",B1548)),
ISNUMBER(SEARCH("MOUSEPAD",B1548)),
ISNUMBER(SEARCH("SOPORTE",B1548)),
ISNUMBER(SEARCH("STAND",B1548)),
ISNUMBER(SEARCH("TRAVEL ADAPTER",B1548)),
ISNUMBER(SEARCH("RJ45",B1548)),
ISNUMBER(SEARCH("USB-C",B1548)),
ISNUMBER(SEARCH("USB WIFI",B1548)),
ISNUMBER(SEARCH("POWERBANK",B1548)),
ISNUMBER(SEARCH("CARGADOR",B1548)),
ISNUMBER(SEARCH("COOLER PARA NB",B1548)),
ISNUMBER(SEARCH("SOPORTE PARA NB",B1548)),
ISNUMBER(SEARCH("WEBCAM",B1548)),
ISNUMBER(SEARCH("WEB CAM",B1548)),
ISNUMBER(SEARCH("MOUSE",B1548)),
ISNUMBER(SEARCH("TECLADO",B1548))
),
"COMPLEMENTO",
IF(
OR(
LEFT(A1548,2)="NB",
LEFT(A1548,2)="PC",
LEFT(A1548,2)="WS",
LEFT(A1548,2)="TB",
LEFT(A1548,3)="CEL",
LEFT(A1548,3)="MON",
LEFT(A1548,3)="PRE",
LEFT(A1548,3)="PRH",
ISNUMBER(SEARCH("NOTEBOOK",B1548)),
ISNUMBER(SEARCH("LAPTOP",B1548)),
ISNUMBER(SEARCH("MONITOR",B1548)),
ISNUMBER(SEARCH("TABLET",B1548)),
ISNUMBER(SEARCH("SMARTPH",B1548)),
ISNUMBER(SEARCH("IMPRESORA",B1548)),
ISNUMBER(SEARCH("MULTIFUNCIONAL",B1548)),
ISNUMBER(SEARCH("AIO",B1548))
),
"GANCHO",
"NORMAL"
)
)</f>
        <v>NORMAL</v>
      </c>
    </row>
    <row r="1547" spans="1:12" x14ac:dyDescent="0.25">
      <c r="A1547" s="3" t="s">
        <v>6931</v>
      </c>
      <c r="B1547" s="3" t="s">
        <v>6932</v>
      </c>
      <c r="C1547" s="1">
        <v>20</v>
      </c>
      <c r="D1547" s="1">
        <v>58.55</v>
      </c>
      <c r="E1547" s="1" t="s">
        <v>467</v>
      </c>
      <c r="F1547" s="1" t="s">
        <v>6933</v>
      </c>
      <c r="G1547" s="3" t="s">
        <v>6934</v>
      </c>
      <c r="H1547" s="11">
        <f>ROUND(
IF(L1545="GANCHO",
   IF(I1547&lt;=50,I1547*1.1+4,IF(I1547&lt;=120,I1547*1.1+7,IF(I1547&lt;=250,I1547*1.1+11,I1547*1.1+19))),
IF(L1545="NORMAL",
   IF(I1547&lt;=30,I1547*1.15+2,IF(I1547&lt;=80,I1547*1.15+4,IF(I1547&lt;=150,I1547*1.15+6,I1547*1.15+8))),
IF(L1545="COMPLEMENTO",
   IF(I1547&lt;=25,I1547*1.25+1.5,IF(I1547&lt;=60,I1547*1.25+3,IF(I1547&lt;=120,I1547*1.25+4,I1547*1.25+5))),
""))),2)</f>
        <v>284.49</v>
      </c>
      <c r="I1547" s="9">
        <f>($K$2+0.02)*Tabla1[[#This Row],[PRECIO $]]*1.18</f>
        <v>240.42971999999997</v>
      </c>
      <c r="J1547" s="7">
        <f>+Tabla1[[#This Row],[PRECIO EN SOLES]]-Tabla1[[#This Row],[PC]]</f>
        <v>44.060280000000034</v>
      </c>
      <c r="K1547" s="15"/>
      <c r="L1547" s="15" t="str">
        <f>IF(
OR(
ISNUMBER(SEARCH("BACKPACK",B1549)),
ISNUMBER(SEARCH("MOCHILA",B1549)),
ISNUMBER(SEARCH("FUNDA",B1549)),
ISNUMBER(SEARCH("ESTUCHE",B1549)),
ISNUMBER(SEARCH("BOOK COVER",B1549)),
ISNUMBER(SEARCH("KEYBOARD PARA TABLET",B1549)),
ISNUMBER(SEARCH("FLIP TABLET",B1549)),
ISNUMBER(SEARCH("CASE FOR TABLET",B1549)),
ISNUMBER(SEARCH("CABLE",B1549)),
ISNUMBER(SEARCH("ADAPTADOR",B1549)),
ISNUMBER(SEARCH("HUB",B1549)),
ISNUMBER(SEARCH("DOCK",B1549)),
ISNUMBER(SEARCH("MOUSE PAD",B1549)),
ISNUMBER(SEARCH("MOUSEPAD",B1549)),
ISNUMBER(SEARCH("SOPORTE",B1549)),
ISNUMBER(SEARCH("STAND",B1549)),
ISNUMBER(SEARCH("TRAVEL ADAPTER",B1549)),
ISNUMBER(SEARCH("RJ45",B1549)),
ISNUMBER(SEARCH("USB-C",B1549)),
ISNUMBER(SEARCH("USB WIFI",B1549)),
ISNUMBER(SEARCH("POWERBANK",B1549)),
ISNUMBER(SEARCH("CARGADOR",B1549)),
ISNUMBER(SEARCH("COOLER PARA NB",B1549)),
ISNUMBER(SEARCH("SOPORTE PARA NB",B1549)),
ISNUMBER(SEARCH("WEBCAM",B1549)),
ISNUMBER(SEARCH("WEB CAM",B1549)),
ISNUMBER(SEARCH("MOUSE",B1549)),
ISNUMBER(SEARCH("TECLADO",B1549))
),
"COMPLEMENTO",
IF(
OR(
LEFT(A1549,2)="NB",
LEFT(A1549,2)="PC",
LEFT(A1549,2)="WS",
LEFT(A1549,2)="TB",
LEFT(A1549,3)="CEL",
LEFT(A1549,3)="MON",
LEFT(A1549,3)="PRE",
LEFT(A1549,3)="PRH",
ISNUMBER(SEARCH("NOTEBOOK",B1549)),
ISNUMBER(SEARCH("LAPTOP",B1549)),
ISNUMBER(SEARCH("MONITOR",B1549)),
ISNUMBER(SEARCH("TABLET",B1549)),
ISNUMBER(SEARCH("SMARTPH",B1549)),
ISNUMBER(SEARCH("IMPRESORA",B1549)),
ISNUMBER(SEARCH("MULTIFUNCIONAL",B1549)),
ISNUMBER(SEARCH("AIO",B1549))
),
"GANCHO",
"NORMAL"
)
)</f>
        <v>NORMAL</v>
      </c>
    </row>
    <row r="1548" spans="1:12" x14ac:dyDescent="0.25">
      <c r="A1548" s="3" t="s">
        <v>5053</v>
      </c>
      <c r="B1548" s="3" t="s">
        <v>5054</v>
      </c>
      <c r="C1548" s="1">
        <v>20</v>
      </c>
      <c r="D1548" s="1">
        <v>75.900000000000006</v>
      </c>
      <c r="E1548" s="1" t="s">
        <v>467</v>
      </c>
      <c r="F1548" s="1" t="s">
        <v>5055</v>
      </c>
      <c r="G1548" s="3" t="s">
        <v>5056</v>
      </c>
      <c r="H1548" s="11">
        <f>ROUND(
IF(L1546="GANCHO",
   IF(I1548&lt;=50,I1548*1.1+4,IF(I1548&lt;=120,I1548*1.1+7,IF(I1548&lt;=250,I1548*1.1+11,I1548*1.1+19))),
IF(L1546="NORMAL",
   IF(I1548&lt;=30,I1548*1.15+2,IF(I1548&lt;=80,I1548*1.15+4,IF(I1548&lt;=150,I1548*1.15+6,I1548*1.15+8))),
IF(L1546="COMPLEMENTO",
   IF(I1548&lt;=25,I1548*1.25+1.5,IF(I1548&lt;=60,I1548*1.25+3,IF(I1548&lt;=120,I1548*1.25+4,I1548*1.25+5))),
""))),2)</f>
        <v>366.43</v>
      </c>
      <c r="I1548" s="9">
        <f>($K$2+0.02)*Tabla1[[#This Row],[PRECIO $]]*1.18</f>
        <v>311.67575999999997</v>
      </c>
      <c r="J1548" s="7">
        <f>+Tabla1[[#This Row],[PRECIO EN SOLES]]-Tabla1[[#This Row],[PC]]</f>
        <v>54.754240000000038</v>
      </c>
      <c r="K1548" s="15"/>
      <c r="L1548" s="15" t="str">
        <f>IF(
OR(
ISNUMBER(SEARCH("BACKPACK",B1550)),
ISNUMBER(SEARCH("MOCHILA",B1550)),
ISNUMBER(SEARCH("FUNDA",B1550)),
ISNUMBER(SEARCH("ESTUCHE",B1550)),
ISNUMBER(SEARCH("BOOK COVER",B1550)),
ISNUMBER(SEARCH("KEYBOARD PARA TABLET",B1550)),
ISNUMBER(SEARCH("FLIP TABLET",B1550)),
ISNUMBER(SEARCH("CASE FOR TABLET",B1550)),
ISNUMBER(SEARCH("CABLE",B1550)),
ISNUMBER(SEARCH("ADAPTADOR",B1550)),
ISNUMBER(SEARCH("HUB",B1550)),
ISNUMBER(SEARCH("DOCK",B1550)),
ISNUMBER(SEARCH("MOUSE PAD",B1550)),
ISNUMBER(SEARCH("MOUSEPAD",B1550)),
ISNUMBER(SEARCH("SOPORTE",B1550)),
ISNUMBER(SEARCH("STAND",B1550)),
ISNUMBER(SEARCH("TRAVEL ADAPTER",B1550)),
ISNUMBER(SEARCH("RJ45",B1550)),
ISNUMBER(SEARCH("USB-C",B1550)),
ISNUMBER(SEARCH("USB WIFI",B1550)),
ISNUMBER(SEARCH("POWERBANK",B1550)),
ISNUMBER(SEARCH("CARGADOR",B1550)),
ISNUMBER(SEARCH("COOLER PARA NB",B1550)),
ISNUMBER(SEARCH("SOPORTE PARA NB",B1550)),
ISNUMBER(SEARCH("WEBCAM",B1550)),
ISNUMBER(SEARCH("WEB CAM",B1550)),
ISNUMBER(SEARCH("MOUSE",B1550)),
ISNUMBER(SEARCH("TECLADO",B1550))
),
"COMPLEMENTO",
IF(
OR(
LEFT(A1550,2)="NB",
LEFT(A1550,2)="PC",
LEFT(A1550,2)="WS",
LEFT(A1550,2)="TB",
LEFT(A1550,3)="CEL",
LEFT(A1550,3)="MON",
LEFT(A1550,3)="PRE",
LEFT(A1550,3)="PRH",
ISNUMBER(SEARCH("NOTEBOOK",B1550)),
ISNUMBER(SEARCH("LAPTOP",B1550)),
ISNUMBER(SEARCH("MONITOR",B1550)),
ISNUMBER(SEARCH("TABLET",B1550)),
ISNUMBER(SEARCH("SMARTPH",B1550)),
ISNUMBER(SEARCH("IMPRESORA",B1550)),
ISNUMBER(SEARCH("MULTIFUNCIONAL",B1550)),
ISNUMBER(SEARCH("AIO",B1550))
),
"GANCHO",
"NORMAL"
)
)</f>
        <v>NORMAL</v>
      </c>
    </row>
    <row r="1549" spans="1:12" x14ac:dyDescent="0.25">
      <c r="A1549" s="3" t="s">
        <v>5502</v>
      </c>
      <c r="B1549" s="3" t="s">
        <v>5503</v>
      </c>
      <c r="C1549" s="1">
        <v>11</v>
      </c>
      <c r="D1549" s="1">
        <v>122.5</v>
      </c>
      <c r="E1549" s="1" t="s">
        <v>2497</v>
      </c>
      <c r="F1549" s="1" t="s">
        <v>5504</v>
      </c>
      <c r="G1549" s="3" t="s">
        <v>5505</v>
      </c>
      <c r="H1549" s="11">
        <f>ROUND(
IF(L1547="GANCHO",
   IF(I1549&lt;=50,I1549*1.1+4,IF(I1549&lt;=120,I1549*1.1+7,IF(I1549&lt;=250,I1549*1.1+11,I1549*1.1+19))),
IF(L1547="NORMAL",
   IF(I1549&lt;=30,I1549*1.15+2,IF(I1549&lt;=80,I1549*1.15+4,IF(I1549&lt;=150,I1549*1.15+6,I1549*1.15+8))),
IF(L1547="COMPLEMENTO",
   IF(I1549&lt;=25,I1549*1.25+1.5,IF(I1549&lt;=60,I1549*1.25+3,IF(I1549&lt;=120,I1549*1.25+4,I1549*1.25+5))),
""))),2)</f>
        <v>586.49</v>
      </c>
      <c r="I1549" s="9">
        <f>($K$2+0.02)*Tabla1[[#This Row],[PRECIO $]]*1.18</f>
        <v>503.03399999999999</v>
      </c>
      <c r="J1549" s="7">
        <f>+Tabla1[[#This Row],[PRECIO EN SOLES]]-Tabla1[[#This Row],[PC]]</f>
        <v>83.456000000000017</v>
      </c>
      <c r="K1549" s="15"/>
      <c r="L1549" s="15" t="str">
        <f>IF(
OR(
ISNUMBER(SEARCH("BACKPACK",B1551)),
ISNUMBER(SEARCH("MOCHILA",B1551)),
ISNUMBER(SEARCH("FUNDA",B1551)),
ISNUMBER(SEARCH("ESTUCHE",B1551)),
ISNUMBER(SEARCH("BOOK COVER",B1551)),
ISNUMBER(SEARCH("KEYBOARD PARA TABLET",B1551)),
ISNUMBER(SEARCH("FLIP TABLET",B1551)),
ISNUMBER(SEARCH("CASE FOR TABLET",B1551)),
ISNUMBER(SEARCH("CABLE",B1551)),
ISNUMBER(SEARCH("ADAPTADOR",B1551)),
ISNUMBER(SEARCH("HUB",B1551)),
ISNUMBER(SEARCH("DOCK",B1551)),
ISNUMBER(SEARCH("MOUSE PAD",B1551)),
ISNUMBER(SEARCH("MOUSEPAD",B1551)),
ISNUMBER(SEARCH("SOPORTE",B1551)),
ISNUMBER(SEARCH("STAND",B1551)),
ISNUMBER(SEARCH("TRAVEL ADAPTER",B1551)),
ISNUMBER(SEARCH("RJ45",B1551)),
ISNUMBER(SEARCH("USB-C",B1551)),
ISNUMBER(SEARCH("USB WIFI",B1551)),
ISNUMBER(SEARCH("POWERBANK",B1551)),
ISNUMBER(SEARCH("CARGADOR",B1551)),
ISNUMBER(SEARCH("COOLER PARA NB",B1551)),
ISNUMBER(SEARCH("SOPORTE PARA NB",B1551)),
ISNUMBER(SEARCH("WEBCAM",B1551)),
ISNUMBER(SEARCH("WEB CAM",B1551)),
ISNUMBER(SEARCH("MOUSE",B1551)),
ISNUMBER(SEARCH("TECLADO",B1551))
),
"COMPLEMENTO",
IF(
OR(
LEFT(A1551,2)="NB",
LEFT(A1551,2)="PC",
LEFT(A1551,2)="WS",
LEFT(A1551,2)="TB",
LEFT(A1551,3)="CEL",
LEFT(A1551,3)="MON",
LEFT(A1551,3)="PRE",
LEFT(A1551,3)="PRH",
ISNUMBER(SEARCH("NOTEBOOK",B1551)),
ISNUMBER(SEARCH("LAPTOP",B1551)),
ISNUMBER(SEARCH("MONITOR",B1551)),
ISNUMBER(SEARCH("TABLET",B1551)),
ISNUMBER(SEARCH("SMARTPH",B1551)),
ISNUMBER(SEARCH("IMPRESORA",B1551)),
ISNUMBER(SEARCH("MULTIFUNCIONAL",B1551)),
ISNUMBER(SEARCH("AIO",B1551))
),
"GANCHO",
"NORMAL"
)
)</f>
        <v>NORMAL</v>
      </c>
    </row>
    <row r="1550" spans="1:12" x14ac:dyDescent="0.25">
      <c r="A1550" s="3" t="s">
        <v>4742</v>
      </c>
      <c r="B1550" s="3" t="s">
        <v>4743</v>
      </c>
      <c r="C1550" s="1">
        <v>7</v>
      </c>
      <c r="D1550" s="1">
        <v>208.5</v>
      </c>
      <c r="E1550" s="1" t="s">
        <v>4744</v>
      </c>
      <c r="F1550" s="1" t="s">
        <v>4745</v>
      </c>
      <c r="G1550" s="3" t="s">
        <v>5057</v>
      </c>
      <c r="H1550" s="11">
        <f>ROUND(
IF(L1548="GANCHO",
   IF(I1550&lt;=50,I1550*1.1+4,IF(I1550&lt;=120,I1550*1.1+7,IF(I1550&lt;=250,I1550*1.1+11,I1550*1.1+19))),
IF(L1548="NORMAL",
   IF(I1550&lt;=30,I1550*1.15+2,IF(I1550&lt;=80,I1550*1.15+4,IF(I1550&lt;=150,I1550*1.15+6,I1550*1.15+8))),
IF(L1548="COMPLEMENTO",
   IF(I1550&lt;=25,I1550*1.25+1.5,IF(I1550&lt;=60,I1550*1.25+3,IF(I1550&lt;=120,I1550*1.25+4,I1550*1.25+5))),
""))),2)</f>
        <v>992.61</v>
      </c>
      <c r="I1550" s="9">
        <f>($K$2+0.02)*Tabla1[[#This Row],[PRECIO $]]*1.18</f>
        <v>856.18439999999998</v>
      </c>
      <c r="J1550" s="7">
        <f>+Tabla1[[#This Row],[PRECIO EN SOLES]]-Tabla1[[#This Row],[PC]]</f>
        <v>136.42560000000003</v>
      </c>
      <c r="K1550" s="15"/>
      <c r="L1550" s="15" t="str">
        <f>IF(
OR(
ISNUMBER(SEARCH("BACKPACK",B1552)),
ISNUMBER(SEARCH("MOCHILA",B1552)),
ISNUMBER(SEARCH("FUNDA",B1552)),
ISNUMBER(SEARCH("ESTUCHE",B1552)),
ISNUMBER(SEARCH("BOOK COVER",B1552)),
ISNUMBER(SEARCH("KEYBOARD PARA TABLET",B1552)),
ISNUMBER(SEARCH("FLIP TABLET",B1552)),
ISNUMBER(SEARCH("CASE FOR TABLET",B1552)),
ISNUMBER(SEARCH("CABLE",B1552)),
ISNUMBER(SEARCH("ADAPTADOR",B1552)),
ISNUMBER(SEARCH("HUB",B1552)),
ISNUMBER(SEARCH("DOCK",B1552)),
ISNUMBER(SEARCH("MOUSE PAD",B1552)),
ISNUMBER(SEARCH("MOUSEPAD",B1552)),
ISNUMBER(SEARCH("SOPORTE",B1552)),
ISNUMBER(SEARCH("STAND",B1552)),
ISNUMBER(SEARCH("TRAVEL ADAPTER",B1552)),
ISNUMBER(SEARCH("RJ45",B1552)),
ISNUMBER(SEARCH("USB-C",B1552)),
ISNUMBER(SEARCH("USB WIFI",B1552)),
ISNUMBER(SEARCH("POWERBANK",B1552)),
ISNUMBER(SEARCH("CARGADOR",B1552)),
ISNUMBER(SEARCH("COOLER PARA NB",B1552)),
ISNUMBER(SEARCH("SOPORTE PARA NB",B1552)),
ISNUMBER(SEARCH("WEBCAM",B1552)),
ISNUMBER(SEARCH("WEB CAM",B1552)),
ISNUMBER(SEARCH("MOUSE",B1552)),
ISNUMBER(SEARCH("TECLADO",B1552))
),
"COMPLEMENTO",
IF(
OR(
LEFT(A1552,2)="NB",
LEFT(A1552,2)="PC",
LEFT(A1552,2)="WS",
LEFT(A1552,2)="TB",
LEFT(A1552,3)="CEL",
LEFT(A1552,3)="MON",
LEFT(A1552,3)="PRE",
LEFT(A1552,3)="PRH",
ISNUMBER(SEARCH("NOTEBOOK",B1552)),
ISNUMBER(SEARCH("LAPTOP",B1552)),
ISNUMBER(SEARCH("MONITOR",B1552)),
ISNUMBER(SEARCH("TABLET",B1552)),
ISNUMBER(SEARCH("SMARTPH",B1552)),
ISNUMBER(SEARCH("IMPRESORA",B1552)),
ISNUMBER(SEARCH("MULTIFUNCIONAL",B1552)),
ISNUMBER(SEARCH("AIO",B1552))
),
"GANCHO",
"NORMAL"
)
)</f>
        <v>NORMAL</v>
      </c>
    </row>
    <row r="1551" spans="1:12" x14ac:dyDescent="0.25">
      <c r="A1551" s="3" t="s">
        <v>4746</v>
      </c>
      <c r="B1551" s="3" t="s">
        <v>4747</v>
      </c>
      <c r="C1551" s="1">
        <v>4</v>
      </c>
      <c r="D1551" s="1">
        <v>283.5</v>
      </c>
      <c r="E1551" s="1" t="s">
        <v>4744</v>
      </c>
      <c r="F1551" s="1" t="s">
        <v>4748</v>
      </c>
      <c r="G1551" s="3" t="s">
        <v>5058</v>
      </c>
      <c r="H1551" s="11">
        <f>ROUND(
IF(L1549="GANCHO",
   IF(I1551&lt;=50,I1551*1.1+4,IF(I1551&lt;=120,I1551*1.1+7,IF(I1551&lt;=250,I1551*1.1+11,I1551*1.1+19))),
IF(L1549="NORMAL",
   IF(I1551&lt;=30,I1551*1.15+2,IF(I1551&lt;=80,I1551*1.15+4,IF(I1551&lt;=150,I1551*1.15+6,I1551*1.15+8))),
IF(L1549="COMPLEMENTO",
   IF(I1551&lt;=25,I1551*1.25+1.5,IF(I1551&lt;=60,I1551*1.25+3,IF(I1551&lt;=120,I1551*1.25+4,I1551*1.25+5))),
""))),2)</f>
        <v>1346.79</v>
      </c>
      <c r="I1551" s="9">
        <f>($K$2+0.02)*Tabla1[[#This Row],[PRECIO $]]*1.18</f>
        <v>1164.1643999999999</v>
      </c>
      <c r="J1551" s="7">
        <f>+Tabla1[[#This Row],[PRECIO EN SOLES]]-Tabla1[[#This Row],[PC]]</f>
        <v>182.62560000000008</v>
      </c>
      <c r="K1551" s="15"/>
      <c r="L1551" s="15" t="str">
        <f>IF(
OR(
ISNUMBER(SEARCH("BACKPACK",B1553)),
ISNUMBER(SEARCH("MOCHILA",B1553)),
ISNUMBER(SEARCH("FUNDA",B1553)),
ISNUMBER(SEARCH("ESTUCHE",B1553)),
ISNUMBER(SEARCH("BOOK COVER",B1553)),
ISNUMBER(SEARCH("KEYBOARD PARA TABLET",B1553)),
ISNUMBER(SEARCH("FLIP TABLET",B1553)),
ISNUMBER(SEARCH("CASE FOR TABLET",B1553)),
ISNUMBER(SEARCH("CABLE",B1553)),
ISNUMBER(SEARCH("ADAPTADOR",B1553)),
ISNUMBER(SEARCH("HUB",B1553)),
ISNUMBER(SEARCH("DOCK",B1553)),
ISNUMBER(SEARCH("MOUSE PAD",B1553)),
ISNUMBER(SEARCH("MOUSEPAD",B1553)),
ISNUMBER(SEARCH("SOPORTE",B1553)),
ISNUMBER(SEARCH("STAND",B1553)),
ISNUMBER(SEARCH("TRAVEL ADAPTER",B1553)),
ISNUMBER(SEARCH("RJ45",B1553)),
ISNUMBER(SEARCH("USB-C",B1553)),
ISNUMBER(SEARCH("USB WIFI",B1553)),
ISNUMBER(SEARCH("POWERBANK",B1553)),
ISNUMBER(SEARCH("CARGADOR",B1553)),
ISNUMBER(SEARCH("COOLER PARA NB",B1553)),
ISNUMBER(SEARCH("SOPORTE PARA NB",B1553)),
ISNUMBER(SEARCH("WEBCAM",B1553)),
ISNUMBER(SEARCH("WEB CAM",B1553)),
ISNUMBER(SEARCH("MOUSE",B1553)),
ISNUMBER(SEARCH("TECLADO",B1553))
),
"COMPLEMENTO",
IF(
OR(
LEFT(A1553,2)="NB",
LEFT(A1553,2)="PC",
LEFT(A1553,2)="WS",
LEFT(A1553,2)="TB",
LEFT(A1553,3)="CEL",
LEFT(A1553,3)="MON",
LEFT(A1553,3)="PRE",
LEFT(A1553,3)="PRH",
ISNUMBER(SEARCH("NOTEBOOK",B1553)),
ISNUMBER(SEARCH("LAPTOP",B1553)),
ISNUMBER(SEARCH("MONITOR",B1553)),
ISNUMBER(SEARCH("TABLET",B1553)),
ISNUMBER(SEARCH("SMARTPH",B1553)),
ISNUMBER(SEARCH("IMPRESORA",B1553)),
ISNUMBER(SEARCH("MULTIFUNCIONAL",B1553)),
ISNUMBER(SEARCH("AIO",B1553))
),
"GANCHO",
"NORMAL"
)
)</f>
        <v>NORMAL</v>
      </c>
    </row>
    <row r="1552" spans="1:12" x14ac:dyDescent="0.25">
      <c r="A1552" s="3" t="s">
        <v>4749</v>
      </c>
      <c r="B1552" s="3" t="s">
        <v>4750</v>
      </c>
      <c r="C1552" s="1">
        <v>4</v>
      </c>
      <c r="D1552" s="1">
        <v>285.5</v>
      </c>
      <c r="E1552" s="1" t="s">
        <v>4744</v>
      </c>
      <c r="F1552" s="1" t="s">
        <v>4751</v>
      </c>
      <c r="G1552" s="3" t="s">
        <v>5059</v>
      </c>
      <c r="H1552" s="11">
        <f>ROUND(
IF(L1550="GANCHO",
   IF(I1552&lt;=50,I1552*1.1+4,IF(I1552&lt;=120,I1552*1.1+7,IF(I1552&lt;=250,I1552*1.1+11,I1552*1.1+19))),
IF(L1550="NORMAL",
   IF(I1552&lt;=30,I1552*1.15+2,IF(I1552&lt;=80,I1552*1.15+4,IF(I1552&lt;=150,I1552*1.15+6,I1552*1.15+8))),
IF(L1550="COMPLEMENTO",
   IF(I1552&lt;=25,I1552*1.25+1.5,IF(I1552&lt;=60,I1552*1.25+3,IF(I1552&lt;=120,I1552*1.25+4,I1552*1.25+5))),
""))),2)</f>
        <v>1356.23</v>
      </c>
      <c r="I1552" s="9">
        <f>($K$2+0.02)*Tabla1[[#This Row],[PRECIO $]]*1.18</f>
        <v>1172.3771999999999</v>
      </c>
      <c r="J1552" s="7">
        <f>+Tabla1[[#This Row],[PRECIO EN SOLES]]-Tabla1[[#This Row],[PC]]</f>
        <v>183.85280000000012</v>
      </c>
      <c r="K1552" s="15"/>
      <c r="L1552" s="15" t="str">
        <f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3" spans="1:12" x14ac:dyDescent="0.25">
      <c r="A1553" s="3" t="s">
        <v>4752</v>
      </c>
      <c r="B1553" s="3" t="s">
        <v>4753</v>
      </c>
      <c r="C1553" s="1">
        <v>3</v>
      </c>
      <c r="D1553" s="1">
        <v>358.5</v>
      </c>
      <c r="E1553" s="1" t="s">
        <v>4744</v>
      </c>
      <c r="F1553" s="1" t="s">
        <v>4754</v>
      </c>
      <c r="G1553" s="3" t="s">
        <v>5060</v>
      </c>
      <c r="H1553" s="11">
        <f>ROUND(
IF(L1551="GANCHO",
   IF(I1553&lt;=50,I1553*1.1+4,IF(I1553&lt;=120,I1553*1.1+7,IF(I1553&lt;=250,I1553*1.1+11,I1553*1.1+19))),
IF(L1551="NORMAL",
   IF(I1553&lt;=30,I1553*1.15+2,IF(I1553&lt;=80,I1553*1.15+4,IF(I1553&lt;=150,I1553*1.15+6,I1553*1.15+8))),
IF(L1551="COMPLEMENTO",
   IF(I1553&lt;=25,I1553*1.25+1.5,IF(I1553&lt;=60,I1553*1.25+3,IF(I1553&lt;=120,I1553*1.25+4,I1553*1.25+5))),
""))),2)</f>
        <v>1700.97</v>
      </c>
      <c r="I1553" s="9">
        <f>($K$2+0.02)*Tabla1[[#This Row],[PRECIO $]]*1.18</f>
        <v>1472.1443999999999</v>
      </c>
      <c r="J1553" s="7">
        <f>+Tabla1[[#This Row],[PRECIO EN SOLES]]-Tabla1[[#This Row],[PC]]</f>
        <v>228.82560000000012</v>
      </c>
      <c r="K1553" s="15"/>
      <c r="L1553" s="15" t="str">
        <f>IF(
OR(
ISNUMBER(SEARCH("BACKPACK",B1555)),
ISNUMBER(SEARCH("MOCHILA",B1555)),
ISNUMBER(SEARCH("FUNDA",B1555)),
ISNUMBER(SEARCH("ESTUCHE",B1555)),
ISNUMBER(SEARCH("BOOK COVER",B1555)),
ISNUMBER(SEARCH("KEYBOARD PARA TABLET",B1555)),
ISNUMBER(SEARCH("FLIP TABLET",B1555)),
ISNUMBER(SEARCH("CASE FOR TABLET",B1555)),
ISNUMBER(SEARCH("CABLE",B1555)),
ISNUMBER(SEARCH("ADAPTADOR",B1555)),
ISNUMBER(SEARCH("HUB",B1555)),
ISNUMBER(SEARCH("DOCK",B1555)),
ISNUMBER(SEARCH("MOUSE PAD",B1555)),
ISNUMBER(SEARCH("MOUSEPAD",B1555)),
ISNUMBER(SEARCH("SOPORTE",B1555)),
ISNUMBER(SEARCH("STAND",B1555)),
ISNUMBER(SEARCH("TRAVEL ADAPTER",B1555)),
ISNUMBER(SEARCH("RJ45",B1555)),
ISNUMBER(SEARCH("USB-C",B1555)),
ISNUMBER(SEARCH("USB WIFI",B1555)),
ISNUMBER(SEARCH("POWERBANK",B1555)),
ISNUMBER(SEARCH("CARGADOR",B1555)),
ISNUMBER(SEARCH("COOLER PARA NB",B1555)),
ISNUMBER(SEARCH("SOPORTE PARA NB",B1555)),
ISNUMBER(SEARCH("WEBCAM",B1555)),
ISNUMBER(SEARCH("WEB CAM",B1555)),
ISNUMBER(SEARCH("MOUSE",B1555)),
ISNUMBER(SEARCH("TECLADO",B1555))
),
"COMPLEMENTO",
IF(
OR(
LEFT(A1555,2)="NB",
LEFT(A1555,2)="PC",
LEFT(A1555,2)="WS",
LEFT(A1555,2)="TB",
LEFT(A1555,3)="CEL",
LEFT(A1555,3)="MON",
LEFT(A1555,3)="PRE",
LEFT(A1555,3)="PRH",
ISNUMBER(SEARCH("NOTEBOOK",B1555)),
ISNUMBER(SEARCH("LAPTOP",B1555)),
ISNUMBER(SEARCH("MONITOR",B1555)),
ISNUMBER(SEARCH("TABLET",B1555)),
ISNUMBER(SEARCH("SMARTPH",B1555)),
ISNUMBER(SEARCH("IMPRESORA",B1555)),
ISNUMBER(SEARCH("MULTIFUNCIONAL",B1555)),
ISNUMBER(SEARCH("AIO",B1555))
),
"GANCHO",
"NORMAL"
)
)</f>
        <v>NORMAL</v>
      </c>
    </row>
    <row r="1554" spans="1:12" x14ac:dyDescent="0.25">
      <c r="A1554" s="3" t="s">
        <v>4755</v>
      </c>
      <c r="B1554" s="3" t="s">
        <v>4756</v>
      </c>
      <c r="C1554" s="1">
        <v>3</v>
      </c>
      <c r="D1554" s="1">
        <v>557.5</v>
      </c>
      <c r="E1554" s="1" t="s">
        <v>4744</v>
      </c>
      <c r="F1554" s="1" t="s">
        <v>4757</v>
      </c>
      <c r="G1554" s="3" t="s">
        <v>5061</v>
      </c>
      <c r="H1554" s="11">
        <f>ROUND(
IF(L1552="GANCHO",
   IF(I1554&lt;=50,I1554*1.1+4,IF(I1554&lt;=120,I1554*1.1+7,IF(I1554&lt;=250,I1554*1.1+11,I1554*1.1+19))),
IF(L1552="NORMAL",
   IF(I1554&lt;=30,I1554*1.15+2,IF(I1554&lt;=80,I1554*1.15+4,IF(I1554&lt;=150,I1554*1.15+6,I1554*1.15+8))),
IF(L1552="COMPLEMENTO",
   IF(I1554&lt;=25,I1554*1.25+1.5,IF(I1554&lt;=60,I1554*1.25+3,IF(I1554&lt;=120,I1554*1.25+4,I1554*1.25+5))),
""))),2)</f>
        <v>2640.72</v>
      </c>
      <c r="I1554" s="9">
        <f>($K$2+0.02)*Tabla1[[#This Row],[PRECIO $]]*1.18</f>
        <v>2289.3179999999998</v>
      </c>
      <c r="J1554" s="7">
        <f>+Tabla1[[#This Row],[PRECIO EN SOLES]]-Tabla1[[#This Row],[PC]]</f>
        <v>351.40200000000004</v>
      </c>
      <c r="K1554" s="15"/>
      <c r="L1554" s="15" t="str">
        <f>IF(
OR(
ISNUMBER(SEARCH("BACKPACK",B1556)),
ISNUMBER(SEARCH("MOCHILA",B1556)),
ISNUMBER(SEARCH("FUNDA",B1556)),
ISNUMBER(SEARCH("ESTUCHE",B1556)),
ISNUMBER(SEARCH("BOOK COVER",B1556)),
ISNUMBER(SEARCH("KEYBOARD PARA TABLET",B1556)),
ISNUMBER(SEARCH("FLIP TABLET",B1556)),
ISNUMBER(SEARCH("CASE FOR TABLET",B1556)),
ISNUMBER(SEARCH("CABLE",B1556)),
ISNUMBER(SEARCH("ADAPTADOR",B1556)),
ISNUMBER(SEARCH("HUB",B1556)),
ISNUMBER(SEARCH("DOCK",B1556)),
ISNUMBER(SEARCH("MOUSE PAD",B1556)),
ISNUMBER(SEARCH("MOUSEPAD",B1556)),
ISNUMBER(SEARCH("SOPORTE",B1556)),
ISNUMBER(SEARCH("STAND",B1556)),
ISNUMBER(SEARCH("TRAVEL ADAPTER",B1556)),
ISNUMBER(SEARCH("RJ45",B1556)),
ISNUMBER(SEARCH("USB-C",B1556)),
ISNUMBER(SEARCH("USB WIFI",B1556)),
ISNUMBER(SEARCH("POWERBANK",B1556)),
ISNUMBER(SEARCH("CARGADOR",B1556)),
ISNUMBER(SEARCH("COOLER PARA NB",B1556)),
ISNUMBER(SEARCH("SOPORTE PARA NB",B1556)),
ISNUMBER(SEARCH("WEBCAM",B1556)),
ISNUMBER(SEARCH("WEB CAM",B1556)),
ISNUMBER(SEARCH("MOUSE",B1556)),
ISNUMBER(SEARCH("TECLADO",B1556))
),
"COMPLEMENTO",
IF(
OR(
LEFT(A1556,2)="NB",
LEFT(A1556,2)="PC",
LEFT(A1556,2)="WS",
LEFT(A1556,2)="TB",
LEFT(A1556,3)="CEL",
LEFT(A1556,3)="MON",
LEFT(A1556,3)="PRE",
LEFT(A1556,3)="PRH",
ISNUMBER(SEARCH("NOTEBOOK",B1556)),
ISNUMBER(SEARCH("LAPTOP",B1556)),
ISNUMBER(SEARCH("MONITOR",B1556)),
ISNUMBER(SEARCH("TABLET",B1556)),
ISNUMBER(SEARCH("SMARTPH",B1556)),
ISNUMBER(SEARCH("IMPRESORA",B1556)),
ISNUMBER(SEARCH("MULTIFUNCIONAL",B1556)),
ISNUMBER(SEARCH("AIO",B1556))
),
"GANCHO",
"NORMAL"
)
)</f>
        <v>NORMAL</v>
      </c>
    </row>
    <row r="1555" spans="1:12" x14ac:dyDescent="0.25">
      <c r="A1555" s="3" t="s">
        <v>4758</v>
      </c>
      <c r="B1555" s="3" t="s">
        <v>4759</v>
      </c>
      <c r="C1555" s="1">
        <v>2</v>
      </c>
      <c r="D1555" s="1">
        <v>922.5</v>
      </c>
      <c r="E1555" s="1" t="s">
        <v>4744</v>
      </c>
      <c r="F1555" s="1" t="s">
        <v>4760</v>
      </c>
      <c r="G1555" s="3" t="s">
        <v>5062</v>
      </c>
      <c r="H1555" s="11">
        <f>ROUND(
IF(L1553="GANCHO",
   IF(I1555&lt;=50,I1555*1.1+4,IF(I1555&lt;=120,I1555*1.1+7,IF(I1555&lt;=250,I1555*1.1+11,I1555*1.1+19))),
IF(L1553="NORMAL",
   IF(I1555&lt;=30,I1555*1.15+2,IF(I1555&lt;=80,I1555*1.15+4,IF(I1555&lt;=150,I1555*1.15+6,I1555*1.15+8))),
IF(L1553="COMPLEMENTO",
   IF(I1555&lt;=25,I1555*1.25+1.5,IF(I1555&lt;=60,I1555*1.25+3,IF(I1555&lt;=120,I1555*1.25+4,I1555*1.25+5))),
""))),2)</f>
        <v>4364.38</v>
      </c>
      <c r="I1555" s="9">
        <f>($K$2+0.02)*Tabla1[[#This Row],[PRECIO $]]*1.18</f>
        <v>3788.154</v>
      </c>
      <c r="J1555" s="7">
        <f>+Tabla1[[#This Row],[PRECIO EN SOLES]]-Tabla1[[#This Row],[PC]]</f>
        <v>576.22600000000011</v>
      </c>
      <c r="K1555" s="15"/>
      <c r="L1555" s="15" t="str">
        <f>IF(
OR(
ISNUMBER(SEARCH("BACKPACK",B1557)),
ISNUMBER(SEARCH("MOCHILA",B1557)),
ISNUMBER(SEARCH("FUNDA",B1557)),
ISNUMBER(SEARCH("ESTUCHE",B1557)),
ISNUMBER(SEARCH("BOOK COVER",B1557)),
ISNUMBER(SEARCH("KEYBOARD PARA TABLET",B1557)),
ISNUMBER(SEARCH("FLIP TABLET",B1557)),
ISNUMBER(SEARCH("CASE FOR TABLET",B1557)),
ISNUMBER(SEARCH("CABLE",B1557)),
ISNUMBER(SEARCH("ADAPTADOR",B1557)),
ISNUMBER(SEARCH("HUB",B1557)),
ISNUMBER(SEARCH("DOCK",B1557)),
ISNUMBER(SEARCH("MOUSE PAD",B1557)),
ISNUMBER(SEARCH("MOUSEPAD",B1557)),
ISNUMBER(SEARCH("SOPORTE",B1557)),
ISNUMBER(SEARCH("STAND",B1557)),
ISNUMBER(SEARCH("TRAVEL ADAPTER",B1557)),
ISNUMBER(SEARCH("RJ45",B1557)),
ISNUMBER(SEARCH("USB-C",B1557)),
ISNUMBER(SEARCH("USB WIFI",B1557)),
ISNUMBER(SEARCH("POWERBANK",B1557)),
ISNUMBER(SEARCH("CARGADOR",B1557)),
ISNUMBER(SEARCH("COOLER PARA NB",B1557)),
ISNUMBER(SEARCH("SOPORTE PARA NB",B1557)),
ISNUMBER(SEARCH("WEBCAM",B1557)),
ISNUMBER(SEARCH("WEB CAM",B1557)),
ISNUMBER(SEARCH("MOUSE",B1557)),
ISNUMBER(SEARCH("TECLADO",B1557))
),
"COMPLEMENTO",
IF(
OR(
LEFT(A1557,2)="NB",
LEFT(A1557,2)="PC",
LEFT(A1557,2)="WS",
LEFT(A1557,2)="TB",
LEFT(A1557,3)="CEL",
LEFT(A1557,3)="MON",
LEFT(A1557,3)="PRE",
LEFT(A1557,3)="PRH",
ISNUMBER(SEARCH("NOTEBOOK",B1557)),
ISNUMBER(SEARCH("LAPTOP",B1557)),
ISNUMBER(SEARCH("MONITOR",B1557)),
ISNUMBER(SEARCH("TABLET",B1557)),
ISNUMBER(SEARCH("SMARTPH",B1557)),
ISNUMBER(SEARCH("IMPRESORA",B1557)),
ISNUMBER(SEARCH("MULTIFUNCIONAL",B1557)),
ISNUMBER(SEARCH("AIO",B1557))
),
"GANCHO",
"NORMAL"
)
)</f>
        <v>NORMAL</v>
      </c>
    </row>
    <row r="1556" spans="1:12" x14ac:dyDescent="0.25">
      <c r="A1556" s="3" t="s">
        <v>4761</v>
      </c>
      <c r="B1556" s="3" t="s">
        <v>4762</v>
      </c>
      <c r="C1556" s="1">
        <v>2</v>
      </c>
      <c r="D1556" s="1">
        <v>1393</v>
      </c>
      <c r="E1556" s="1" t="s">
        <v>4744</v>
      </c>
      <c r="F1556" s="1" t="s">
        <v>4763</v>
      </c>
      <c r="G1556" s="3" t="s">
        <v>5063</v>
      </c>
      <c r="H1556" s="11">
        <f>ROUND(
IF(L1554="GANCHO",
   IF(I1556&lt;=50,I1556*1.1+4,IF(I1556&lt;=120,I1556*1.1+7,IF(I1556&lt;=250,I1556*1.1+11,I1556*1.1+19))),
IF(L1554="NORMAL",
   IF(I1556&lt;=30,I1556*1.15+2,IF(I1556&lt;=80,I1556*1.15+4,IF(I1556&lt;=150,I1556*1.15+6,I1556*1.15+8))),
IF(L1554="COMPLEMENTO",
   IF(I1556&lt;=25,I1556*1.25+1.5,IF(I1556&lt;=60,I1556*1.25+3,IF(I1556&lt;=120,I1556*1.25+4,I1556*1.25+5))),
""))),2)</f>
        <v>6586.25</v>
      </c>
      <c r="I1556" s="9">
        <f>($K$2+0.02)*Tabla1[[#This Row],[PRECIO $]]*1.18</f>
        <v>5720.2151999999996</v>
      </c>
      <c r="J1556" s="7">
        <f>+Tabla1[[#This Row],[PRECIO EN SOLES]]-Tabla1[[#This Row],[PC]]</f>
        <v>866.03480000000036</v>
      </c>
      <c r="K1556" s="15"/>
      <c r="L1556" s="15" t="str">
        <f>IF(
OR(
ISNUMBER(SEARCH("BACKPACK",B1558)),
ISNUMBER(SEARCH("MOCHILA",B1558)),
ISNUMBER(SEARCH("FUNDA",B1558)),
ISNUMBER(SEARCH("ESTUCHE",B1558)),
ISNUMBER(SEARCH("BOOK COVER",B1558)),
ISNUMBER(SEARCH("KEYBOARD PARA TABLET",B1558)),
ISNUMBER(SEARCH("FLIP TABLET",B1558)),
ISNUMBER(SEARCH("CASE FOR TABLET",B1558)),
ISNUMBER(SEARCH("CABLE",B1558)),
ISNUMBER(SEARCH("ADAPTADOR",B1558)),
ISNUMBER(SEARCH("HUB",B1558)),
ISNUMBER(SEARCH("DOCK",B1558)),
ISNUMBER(SEARCH("MOUSE PAD",B1558)),
ISNUMBER(SEARCH("MOUSEPAD",B1558)),
ISNUMBER(SEARCH("SOPORTE",B1558)),
ISNUMBER(SEARCH("STAND",B1558)),
ISNUMBER(SEARCH("TRAVEL ADAPTER",B1558)),
ISNUMBER(SEARCH("RJ45",B1558)),
ISNUMBER(SEARCH("USB-C",B1558)),
ISNUMBER(SEARCH("USB WIFI",B1558)),
ISNUMBER(SEARCH("POWERBANK",B1558)),
ISNUMBER(SEARCH("CARGADOR",B1558)),
ISNUMBER(SEARCH("COOLER PARA NB",B1558)),
ISNUMBER(SEARCH("SOPORTE PARA NB",B1558)),
ISNUMBER(SEARCH("WEBCAM",B1558)),
ISNUMBER(SEARCH("WEB CAM",B1558)),
ISNUMBER(SEARCH("MOUSE",B1558)),
ISNUMBER(SEARCH("TECLADO",B1558))
),
"COMPLEMENTO",
IF(
OR(
LEFT(A1558,2)="NB",
LEFT(A1558,2)="PC",
LEFT(A1558,2)="WS",
LEFT(A1558,2)="TB",
LEFT(A1558,3)="CEL",
LEFT(A1558,3)="MON",
LEFT(A1558,3)="PRE",
LEFT(A1558,3)="PRH",
ISNUMBER(SEARCH("NOTEBOOK",B1558)),
ISNUMBER(SEARCH("LAPTOP",B1558)),
ISNUMBER(SEARCH("MONITOR",B1558)),
ISNUMBER(SEARCH("TABLET",B1558)),
ISNUMBER(SEARCH("SMARTPH",B1558)),
ISNUMBER(SEARCH("IMPRESORA",B1558)),
ISNUMBER(SEARCH("MULTIFUNCIONAL",B1558)),
ISNUMBER(SEARCH("AIO",B1558))
),
"GANCHO",
"NORMAL"
)
)</f>
        <v>NORMAL</v>
      </c>
    </row>
    <row r="1557" spans="1:12" x14ac:dyDescent="0.25">
      <c r="A1557" s="3" t="s">
        <v>5506</v>
      </c>
      <c r="B1557" s="3" t="s">
        <v>5507</v>
      </c>
      <c r="C1557" s="1">
        <v>12</v>
      </c>
      <c r="D1557" s="1">
        <v>303.5</v>
      </c>
      <c r="E1557" s="1" t="s">
        <v>2497</v>
      </c>
      <c r="F1557" s="1" t="s">
        <v>5508</v>
      </c>
      <c r="G1557" s="3" t="s">
        <v>5509</v>
      </c>
      <c r="H1557" s="11">
        <f>ROUND(
IF(L1555="GANCHO",
   IF(I1557&lt;=50,I1557*1.1+4,IF(I1557&lt;=120,I1557*1.1+7,IF(I1557&lt;=250,I1557*1.1+11,I1557*1.1+19))),
IF(L1555="NORMAL",
   IF(I1557&lt;=30,I1557*1.15+2,IF(I1557&lt;=80,I1557*1.15+4,IF(I1557&lt;=150,I1557*1.15+6,I1557*1.15+8))),
IF(L1555="COMPLEMENTO",
   IF(I1557&lt;=25,I1557*1.25+1.5,IF(I1557&lt;=60,I1557*1.25+3,IF(I1557&lt;=120,I1557*1.25+4,I1557*1.25+5))),
""))),2)</f>
        <v>1441.24</v>
      </c>
      <c r="I1557" s="9">
        <f>($K$2+0.02)*Tabla1[[#This Row],[PRECIO $]]*1.18</f>
        <v>1246.2924</v>
      </c>
      <c r="J1557" s="7">
        <f>+Tabla1[[#This Row],[PRECIO EN SOLES]]-Tabla1[[#This Row],[PC]]</f>
        <v>194.94759999999997</v>
      </c>
      <c r="K1557" s="15"/>
      <c r="L1557" s="15" t="str">
        <f>IF(
OR(
ISNUMBER(SEARCH("BACKPACK",B1559)),
ISNUMBER(SEARCH("MOCHILA",B1559)),
ISNUMBER(SEARCH("FUNDA",B1559)),
ISNUMBER(SEARCH("ESTUCHE",B1559)),
ISNUMBER(SEARCH("BOOK COVER",B1559)),
ISNUMBER(SEARCH("KEYBOARD PARA TABLET",B1559)),
ISNUMBER(SEARCH("FLIP TABLET",B1559)),
ISNUMBER(SEARCH("CASE FOR TABLET",B1559)),
ISNUMBER(SEARCH("CABLE",B1559)),
ISNUMBER(SEARCH("ADAPTADOR",B1559)),
ISNUMBER(SEARCH("HUB",B1559)),
ISNUMBER(SEARCH("DOCK",B1559)),
ISNUMBER(SEARCH("MOUSE PAD",B1559)),
ISNUMBER(SEARCH("MOUSEPAD",B1559)),
ISNUMBER(SEARCH("SOPORTE",B1559)),
ISNUMBER(SEARCH("STAND",B1559)),
ISNUMBER(SEARCH("TRAVEL ADAPTER",B1559)),
ISNUMBER(SEARCH("RJ45",B1559)),
ISNUMBER(SEARCH("USB-C",B1559)),
ISNUMBER(SEARCH("USB WIFI",B1559)),
ISNUMBER(SEARCH("POWERBANK",B1559)),
ISNUMBER(SEARCH("CARGADOR",B1559)),
ISNUMBER(SEARCH("COOLER PARA NB",B1559)),
ISNUMBER(SEARCH("SOPORTE PARA NB",B1559)),
ISNUMBER(SEARCH("WEBCAM",B1559)),
ISNUMBER(SEARCH("WEB CAM",B1559)),
ISNUMBER(SEARCH("MOUSE",B1559)),
ISNUMBER(SEARCH("TECLADO",B1559))
),
"COMPLEMENTO",
IF(
OR(
LEFT(A1559,2)="NB",
LEFT(A1559,2)="PC",
LEFT(A1559,2)="WS",
LEFT(A1559,2)="TB",
LEFT(A1559,3)="CEL",
LEFT(A1559,3)="MON",
LEFT(A1559,3)="PRE",
LEFT(A1559,3)="PRH",
ISNUMBER(SEARCH("NOTEBOOK",B1559)),
ISNUMBER(SEARCH("LAPTOP",B1559)),
ISNUMBER(SEARCH("MONITOR",B1559)),
ISNUMBER(SEARCH("TABLET",B1559)),
ISNUMBER(SEARCH("SMARTPH",B1559)),
ISNUMBER(SEARCH("IMPRESORA",B1559)),
ISNUMBER(SEARCH("MULTIFUNCIONAL",B1559)),
ISNUMBER(SEARCH("AIO",B1559))
),
"GANCHO",
"NORMAL"
)
)</f>
        <v>NORMAL</v>
      </c>
    </row>
    <row r="1558" spans="1:12" x14ac:dyDescent="0.25">
      <c r="A1558" s="3" t="s">
        <v>5510</v>
      </c>
      <c r="B1558" s="3" t="s">
        <v>5511</v>
      </c>
      <c r="C1558" s="1">
        <v>9</v>
      </c>
      <c r="D1558" s="1">
        <v>246.5</v>
      </c>
      <c r="E1558" s="1" t="s">
        <v>2497</v>
      </c>
      <c r="F1558" s="1" t="s">
        <v>5512</v>
      </c>
      <c r="G1558" s="3" t="s">
        <v>5513</v>
      </c>
      <c r="H1558" s="11">
        <f>ROUND(
IF(L1556="GANCHO",
   IF(I1558&lt;=50,I1558*1.1+4,IF(I1558&lt;=120,I1558*1.1+7,IF(I1558&lt;=250,I1558*1.1+11,I1558*1.1+19))),
IF(L1556="NORMAL",
   IF(I1558&lt;=30,I1558*1.15+2,IF(I1558&lt;=80,I1558*1.15+4,IF(I1558&lt;=150,I1558*1.15+6,I1558*1.15+8))),
IF(L1556="COMPLEMENTO",
   IF(I1558&lt;=25,I1558*1.25+1.5,IF(I1558&lt;=60,I1558*1.25+3,IF(I1558&lt;=120,I1558*1.25+4,I1558*1.25+5))),
""))),2)</f>
        <v>1172.06</v>
      </c>
      <c r="I1558" s="9">
        <f>($K$2+0.02)*Tabla1[[#This Row],[PRECIO $]]*1.18</f>
        <v>1012.2276000000001</v>
      </c>
      <c r="J1558" s="7">
        <f>+Tabla1[[#This Row],[PRECIO EN SOLES]]-Tabla1[[#This Row],[PC]]</f>
        <v>159.83239999999989</v>
      </c>
      <c r="K1558" s="15"/>
      <c r="L1558" s="15" t="str">
        <f>IF(
OR(
ISNUMBER(SEARCH("BACKPACK",B1560)),
ISNUMBER(SEARCH("MOCHILA",B1560)),
ISNUMBER(SEARCH("FUNDA",B1560)),
ISNUMBER(SEARCH("ESTUCHE",B1560)),
ISNUMBER(SEARCH("BOOK COVER",B1560)),
ISNUMBER(SEARCH("KEYBOARD PARA TABLET",B1560)),
ISNUMBER(SEARCH("FLIP TABLET",B1560)),
ISNUMBER(SEARCH("CASE FOR TABLET",B1560)),
ISNUMBER(SEARCH("CABLE",B1560)),
ISNUMBER(SEARCH("ADAPTADOR",B1560)),
ISNUMBER(SEARCH("HUB",B1560)),
ISNUMBER(SEARCH("DOCK",B1560)),
ISNUMBER(SEARCH("MOUSE PAD",B1560)),
ISNUMBER(SEARCH("MOUSEPAD",B1560)),
ISNUMBER(SEARCH("SOPORTE",B1560)),
ISNUMBER(SEARCH("STAND",B1560)),
ISNUMBER(SEARCH("TRAVEL ADAPTER",B1560)),
ISNUMBER(SEARCH("RJ45",B1560)),
ISNUMBER(SEARCH("USB-C",B1560)),
ISNUMBER(SEARCH("USB WIFI",B1560)),
ISNUMBER(SEARCH("POWERBANK",B1560)),
ISNUMBER(SEARCH("CARGADOR",B1560)),
ISNUMBER(SEARCH("COOLER PARA NB",B1560)),
ISNUMBER(SEARCH("SOPORTE PARA NB",B1560)),
ISNUMBER(SEARCH("WEBCAM",B1560)),
ISNUMBER(SEARCH("WEB CAM",B1560)),
ISNUMBER(SEARCH("MOUSE",B1560)),
ISNUMBER(SEARCH("TECLADO",B1560))
),
"COMPLEMENTO",
IF(
OR(
LEFT(A1560,2)="NB",
LEFT(A1560,2)="PC",
LEFT(A1560,2)="WS",
LEFT(A1560,2)="TB",
LEFT(A1560,3)="CEL",
LEFT(A1560,3)="MON",
LEFT(A1560,3)="PRE",
LEFT(A1560,3)="PRH",
ISNUMBER(SEARCH("NOTEBOOK",B1560)),
ISNUMBER(SEARCH("LAPTOP",B1560)),
ISNUMBER(SEARCH("MONITOR",B1560)),
ISNUMBER(SEARCH("TABLET",B1560)),
ISNUMBER(SEARCH("SMARTPH",B1560)),
ISNUMBER(SEARCH("IMPRESORA",B1560)),
ISNUMBER(SEARCH("MULTIFUNCIONAL",B1560)),
ISNUMBER(SEARCH("AIO",B1560))
),
"GANCHO",
"NORMAL"
)
)</f>
        <v>NORMAL</v>
      </c>
    </row>
    <row r="1559" spans="1:12" x14ac:dyDescent="0.25">
      <c r="A1559" s="3" t="s">
        <v>5514</v>
      </c>
      <c r="B1559" s="3" t="s">
        <v>5515</v>
      </c>
      <c r="C1559" s="1">
        <v>3</v>
      </c>
      <c r="D1559" s="1">
        <v>551.5</v>
      </c>
      <c r="E1559" s="1" t="s">
        <v>2497</v>
      </c>
      <c r="F1559" s="1" t="s">
        <v>5516</v>
      </c>
      <c r="G1559" s="3" t="s">
        <v>5517</v>
      </c>
      <c r="H1559" s="11">
        <f>ROUND(
IF(L1557="GANCHO",
   IF(I1559&lt;=50,I1559*1.1+4,IF(I1559&lt;=120,I1559*1.1+7,IF(I1559&lt;=250,I1559*1.1+11,I1559*1.1+19))),
IF(L1557="NORMAL",
   IF(I1559&lt;=30,I1559*1.15+2,IF(I1559&lt;=80,I1559*1.15+4,IF(I1559&lt;=150,I1559*1.15+6,I1559*1.15+8))),
IF(L1557="COMPLEMENTO",
   IF(I1559&lt;=25,I1559*1.25+1.5,IF(I1559&lt;=60,I1559*1.25+3,IF(I1559&lt;=120,I1559*1.25+4,I1559*1.25+5))),
""))),2)</f>
        <v>2612.38</v>
      </c>
      <c r="I1559" s="9">
        <f>($K$2+0.02)*Tabla1[[#This Row],[PRECIO $]]*1.18</f>
        <v>2264.6795999999999</v>
      </c>
      <c r="J1559" s="7">
        <f>+Tabla1[[#This Row],[PRECIO EN SOLES]]-Tabla1[[#This Row],[PC]]</f>
        <v>347.70040000000017</v>
      </c>
      <c r="K1559" s="15"/>
      <c r="L1559" s="15" t="str">
        <f>IF(
OR(
ISNUMBER(SEARCH("BACKPACK",B1561)),
ISNUMBER(SEARCH("MOCHILA",B1561)),
ISNUMBER(SEARCH("FUNDA",B1561)),
ISNUMBER(SEARCH("ESTUCHE",B1561)),
ISNUMBER(SEARCH("BOOK COVER",B1561)),
ISNUMBER(SEARCH("KEYBOARD PARA TABLET",B1561)),
ISNUMBER(SEARCH("FLIP TABLET",B1561)),
ISNUMBER(SEARCH("CASE FOR TABLET",B1561)),
ISNUMBER(SEARCH("CABLE",B1561)),
ISNUMBER(SEARCH("ADAPTADOR",B1561)),
ISNUMBER(SEARCH("HUB",B1561)),
ISNUMBER(SEARCH("DOCK",B1561)),
ISNUMBER(SEARCH("MOUSE PAD",B1561)),
ISNUMBER(SEARCH("MOUSEPAD",B1561)),
ISNUMBER(SEARCH("SOPORTE",B1561)),
ISNUMBER(SEARCH("STAND",B1561)),
ISNUMBER(SEARCH("TRAVEL ADAPTER",B1561)),
ISNUMBER(SEARCH("RJ45",B1561)),
ISNUMBER(SEARCH("USB-C",B1561)),
ISNUMBER(SEARCH("USB WIFI",B1561)),
ISNUMBER(SEARCH("POWERBANK",B1561)),
ISNUMBER(SEARCH("CARGADOR",B1561)),
ISNUMBER(SEARCH("COOLER PARA NB",B1561)),
ISNUMBER(SEARCH("SOPORTE PARA NB",B1561)),
ISNUMBER(SEARCH("WEBCAM",B1561)),
ISNUMBER(SEARCH("WEB CAM",B1561)),
ISNUMBER(SEARCH("MOUSE",B1561)),
ISNUMBER(SEARCH("TECLADO",B1561))
),
"COMPLEMENTO",
IF(
OR(
LEFT(A1561,2)="NB",
LEFT(A1561,2)="PC",
LEFT(A1561,2)="WS",
LEFT(A1561,2)="TB",
LEFT(A1561,3)="CEL",
LEFT(A1561,3)="MON",
LEFT(A1561,3)="PRE",
LEFT(A1561,3)="PRH",
ISNUMBER(SEARCH("NOTEBOOK",B1561)),
ISNUMBER(SEARCH("LAPTOP",B1561)),
ISNUMBER(SEARCH("MONITOR",B1561)),
ISNUMBER(SEARCH("TABLET",B1561)),
ISNUMBER(SEARCH("SMARTPH",B1561)),
ISNUMBER(SEARCH("IMPRESORA",B1561)),
ISNUMBER(SEARCH("MULTIFUNCIONAL",B1561)),
ISNUMBER(SEARCH("AIO",B1561))
),
"GANCHO",
"NORMAL"
)
)</f>
        <v>NORMAL</v>
      </c>
    </row>
    <row r="1560" spans="1:12" x14ac:dyDescent="0.25">
      <c r="A1560" s="3" t="s">
        <v>5518</v>
      </c>
      <c r="B1560" s="3" t="s">
        <v>5519</v>
      </c>
      <c r="C1560" s="1">
        <v>1</v>
      </c>
      <c r="D1560" s="1">
        <v>710.5</v>
      </c>
      <c r="E1560" s="1" t="s">
        <v>2497</v>
      </c>
      <c r="F1560" s="1" t="s">
        <v>5520</v>
      </c>
      <c r="G1560" s="3" t="s">
        <v>5521</v>
      </c>
      <c r="H1560" s="11">
        <f>ROUND(
IF(L1558="GANCHO",
   IF(I1560&lt;=50,I1560*1.1+4,IF(I1560&lt;=120,I1560*1.1+7,IF(I1560&lt;=250,I1560*1.1+11,I1560*1.1+19))),
IF(L1558="NORMAL",
   IF(I1560&lt;=30,I1560*1.15+2,IF(I1560&lt;=80,I1560*1.15+4,IF(I1560&lt;=150,I1560*1.15+6,I1560*1.15+8))),
IF(L1558="COMPLEMENTO",
   IF(I1560&lt;=25,I1560*1.25+1.5,IF(I1560&lt;=60,I1560*1.25+3,IF(I1560&lt;=120,I1560*1.25+4,I1560*1.25+5))),
""))),2)</f>
        <v>3363.24</v>
      </c>
      <c r="I1560" s="9">
        <f>($K$2+0.02)*Tabla1[[#This Row],[PRECIO $]]*1.18</f>
        <v>2917.5971999999997</v>
      </c>
      <c r="J1560" s="7">
        <f>+Tabla1[[#This Row],[PRECIO EN SOLES]]-Tabla1[[#This Row],[PC]]</f>
        <v>445.64280000000008</v>
      </c>
      <c r="K1560" s="15"/>
      <c r="L1560" s="15" t="str">
        <f>IF(
OR(
ISNUMBER(SEARCH("BACKPACK",B1562)),
ISNUMBER(SEARCH("MOCHILA",B1562)),
ISNUMBER(SEARCH("FUNDA",B1562)),
ISNUMBER(SEARCH("ESTUCHE",B1562)),
ISNUMBER(SEARCH("BOOK COVER",B1562)),
ISNUMBER(SEARCH("KEYBOARD PARA TABLET",B1562)),
ISNUMBER(SEARCH("FLIP TABLET",B1562)),
ISNUMBER(SEARCH("CASE FOR TABLET",B1562)),
ISNUMBER(SEARCH("CABLE",B1562)),
ISNUMBER(SEARCH("ADAPTADOR",B1562)),
ISNUMBER(SEARCH("HUB",B1562)),
ISNUMBER(SEARCH("DOCK",B1562)),
ISNUMBER(SEARCH("MOUSE PAD",B1562)),
ISNUMBER(SEARCH("MOUSEPAD",B1562)),
ISNUMBER(SEARCH("SOPORTE",B1562)),
ISNUMBER(SEARCH("STAND",B1562)),
ISNUMBER(SEARCH("TRAVEL ADAPTER",B1562)),
ISNUMBER(SEARCH("RJ45",B1562)),
ISNUMBER(SEARCH("USB-C",B1562)),
ISNUMBER(SEARCH("USB WIFI",B1562)),
ISNUMBER(SEARCH("POWERBANK",B1562)),
ISNUMBER(SEARCH("CARGADOR",B1562)),
ISNUMBER(SEARCH("COOLER PARA NB",B1562)),
ISNUMBER(SEARCH("SOPORTE PARA NB",B1562)),
ISNUMBER(SEARCH("WEBCAM",B1562)),
ISNUMBER(SEARCH("WEB CAM",B1562)),
ISNUMBER(SEARCH("MOUSE",B1562)),
ISNUMBER(SEARCH("TECLADO",B1562))
),
"COMPLEMENTO",
IF(
OR(
LEFT(A1562,2)="NB",
LEFT(A1562,2)="PC",
LEFT(A1562,2)="WS",
LEFT(A1562,2)="TB",
LEFT(A1562,3)="CEL",
LEFT(A1562,3)="MON",
LEFT(A1562,3)="PRE",
LEFT(A1562,3)="PRH",
ISNUMBER(SEARCH("NOTEBOOK",B1562)),
ISNUMBER(SEARCH("LAPTOP",B1562)),
ISNUMBER(SEARCH("MONITOR",B1562)),
ISNUMBER(SEARCH("TABLET",B1562)),
ISNUMBER(SEARCH("SMARTPH",B1562)),
ISNUMBER(SEARCH("IMPRESORA",B1562)),
ISNUMBER(SEARCH("MULTIFUNCIONAL",B1562)),
ISNUMBER(SEARCH("AIO",B1562))
),
"GANCHO",
"NORMAL"
)
)</f>
        <v>NORMAL</v>
      </c>
    </row>
    <row r="1561" spans="1:12" x14ac:dyDescent="0.25">
      <c r="A1561" s="3" t="s">
        <v>5522</v>
      </c>
      <c r="B1561" s="3" t="s">
        <v>5523</v>
      </c>
      <c r="C1561" s="1">
        <v>5</v>
      </c>
      <c r="D1561" s="1">
        <v>461.5</v>
      </c>
      <c r="E1561" s="1" t="s">
        <v>2497</v>
      </c>
      <c r="F1561" s="1" t="s">
        <v>5524</v>
      </c>
      <c r="G1561" s="3" t="s">
        <v>5525</v>
      </c>
      <c r="H1561" s="11">
        <f>ROUND(
IF(L1559="GANCHO",
   IF(I1561&lt;=50,I1561*1.1+4,IF(I1561&lt;=120,I1561*1.1+7,IF(I1561&lt;=250,I1561*1.1+11,I1561*1.1+19))),
IF(L1559="NORMAL",
   IF(I1561&lt;=30,I1561*1.15+2,IF(I1561&lt;=80,I1561*1.15+4,IF(I1561&lt;=150,I1561*1.15+6,I1561*1.15+8))),
IF(L1559="COMPLEMENTO",
   IF(I1561&lt;=25,I1561*1.25+1.5,IF(I1561&lt;=60,I1561*1.25+3,IF(I1561&lt;=120,I1561*1.25+4,I1561*1.25+5))),
""))),2)</f>
        <v>2187.37</v>
      </c>
      <c r="I1561" s="9">
        <f>($K$2+0.02)*Tabla1[[#This Row],[PRECIO $]]*1.18</f>
        <v>1895.1035999999999</v>
      </c>
      <c r="J1561" s="7">
        <f>+Tabla1[[#This Row],[PRECIO EN SOLES]]-Tabla1[[#This Row],[PC]]</f>
        <v>292.26639999999998</v>
      </c>
      <c r="K1561" s="15"/>
      <c r="L1561" s="15" t="str">
        <f>IF(
OR(
ISNUMBER(SEARCH("BACKPACK",B1563)),
ISNUMBER(SEARCH("MOCHILA",B1563)),
ISNUMBER(SEARCH("FUNDA",B1563)),
ISNUMBER(SEARCH("ESTUCHE",B1563)),
ISNUMBER(SEARCH("BOOK COVER",B1563)),
ISNUMBER(SEARCH("KEYBOARD PARA TABLET",B1563)),
ISNUMBER(SEARCH("FLIP TABLET",B1563)),
ISNUMBER(SEARCH("CASE FOR TABLET",B1563)),
ISNUMBER(SEARCH("CABLE",B1563)),
ISNUMBER(SEARCH("ADAPTADOR",B1563)),
ISNUMBER(SEARCH("HUB",B1563)),
ISNUMBER(SEARCH("DOCK",B1563)),
ISNUMBER(SEARCH("MOUSE PAD",B1563)),
ISNUMBER(SEARCH("MOUSEPAD",B1563)),
ISNUMBER(SEARCH("SOPORTE",B1563)),
ISNUMBER(SEARCH("STAND",B1563)),
ISNUMBER(SEARCH("TRAVEL ADAPTER",B1563)),
ISNUMBER(SEARCH("RJ45",B1563)),
ISNUMBER(SEARCH("USB-C",B1563)),
ISNUMBER(SEARCH("USB WIFI",B1563)),
ISNUMBER(SEARCH("POWERBANK",B1563)),
ISNUMBER(SEARCH("CARGADOR",B1563)),
ISNUMBER(SEARCH("COOLER PARA NB",B1563)),
ISNUMBER(SEARCH("SOPORTE PARA NB",B1563)),
ISNUMBER(SEARCH("WEBCAM",B1563)),
ISNUMBER(SEARCH("WEB CAM",B1563)),
ISNUMBER(SEARCH("MOUSE",B1563)),
ISNUMBER(SEARCH("TECLADO",B1563))
),
"COMPLEMENTO",
IF(
OR(
LEFT(A1563,2)="NB",
LEFT(A1563,2)="PC",
LEFT(A1563,2)="WS",
LEFT(A1563,2)="TB",
LEFT(A1563,3)="CEL",
LEFT(A1563,3)="MON",
LEFT(A1563,3)="PRE",
LEFT(A1563,3)="PRH",
ISNUMBER(SEARCH("NOTEBOOK",B1563)),
ISNUMBER(SEARCH("LAPTOP",B1563)),
ISNUMBER(SEARCH("MONITOR",B1563)),
ISNUMBER(SEARCH("TABLET",B1563)),
ISNUMBER(SEARCH("SMARTPH",B1563)),
ISNUMBER(SEARCH("IMPRESORA",B1563)),
ISNUMBER(SEARCH("MULTIFUNCIONAL",B1563)),
ISNUMBER(SEARCH("AIO",B1563))
),
"GANCHO",
"NORMAL"
)
)</f>
        <v>NORMAL</v>
      </c>
    </row>
    <row r="1562" spans="1:12" x14ac:dyDescent="0.25">
      <c r="A1562" s="3" t="s">
        <v>5526</v>
      </c>
      <c r="B1562" s="3" t="s">
        <v>5527</v>
      </c>
      <c r="C1562" s="1">
        <v>2</v>
      </c>
      <c r="D1562" s="1">
        <v>732.5</v>
      </c>
      <c r="E1562" s="1" t="s">
        <v>2497</v>
      </c>
      <c r="F1562" s="1" t="s">
        <v>5528</v>
      </c>
      <c r="G1562" s="3" t="s">
        <v>5529</v>
      </c>
      <c r="H1562" s="11">
        <f>ROUND(
IF(L1560="GANCHO",
   IF(I1562&lt;=50,I1562*1.1+4,IF(I1562&lt;=120,I1562*1.1+7,IF(I1562&lt;=250,I1562*1.1+11,I1562*1.1+19))),
IF(L1560="NORMAL",
   IF(I1562&lt;=30,I1562*1.15+2,IF(I1562&lt;=80,I1562*1.15+4,IF(I1562&lt;=150,I1562*1.15+6,I1562*1.15+8))),
IF(L1560="COMPLEMENTO",
   IF(I1562&lt;=25,I1562*1.25+1.5,IF(I1562&lt;=60,I1562*1.25+3,IF(I1562&lt;=120,I1562*1.25+4,I1562*1.25+5))),
""))),2)</f>
        <v>3467.13</v>
      </c>
      <c r="I1562" s="9">
        <f>($K$2+0.02)*Tabla1[[#This Row],[PRECIO $]]*1.18</f>
        <v>3007.9379999999996</v>
      </c>
      <c r="J1562" s="7">
        <f>+Tabla1[[#This Row],[PRECIO EN SOLES]]-Tabla1[[#This Row],[PC]]</f>
        <v>459.19200000000046</v>
      </c>
      <c r="K1562" s="15"/>
      <c r="L1562" s="15" t="str">
        <f>IF(
OR(
ISNUMBER(SEARCH("BACKPACK",B1564)),
ISNUMBER(SEARCH("MOCHILA",B1564)),
ISNUMBER(SEARCH("FUNDA",B1564)),
ISNUMBER(SEARCH("ESTUCHE",B1564)),
ISNUMBER(SEARCH("BOOK COVER",B1564)),
ISNUMBER(SEARCH("KEYBOARD PARA TABLET",B1564)),
ISNUMBER(SEARCH("FLIP TABLET",B1564)),
ISNUMBER(SEARCH("CASE FOR TABLET",B1564)),
ISNUMBER(SEARCH("CABLE",B1564)),
ISNUMBER(SEARCH("ADAPTADOR",B1564)),
ISNUMBER(SEARCH("HUB",B1564)),
ISNUMBER(SEARCH("DOCK",B1564)),
ISNUMBER(SEARCH("MOUSE PAD",B1564)),
ISNUMBER(SEARCH("MOUSEPAD",B1564)),
ISNUMBER(SEARCH("SOPORTE",B1564)),
ISNUMBER(SEARCH("STAND",B1564)),
ISNUMBER(SEARCH("TRAVEL ADAPTER",B1564)),
ISNUMBER(SEARCH("RJ45",B1564)),
ISNUMBER(SEARCH("USB-C",B1564)),
ISNUMBER(SEARCH("USB WIFI",B1564)),
ISNUMBER(SEARCH("POWERBANK",B1564)),
ISNUMBER(SEARCH("CARGADOR",B1564)),
ISNUMBER(SEARCH("COOLER PARA NB",B1564)),
ISNUMBER(SEARCH("SOPORTE PARA NB",B1564)),
ISNUMBER(SEARCH("WEBCAM",B1564)),
ISNUMBER(SEARCH("WEB CAM",B1564)),
ISNUMBER(SEARCH("MOUSE",B1564)),
ISNUMBER(SEARCH("TECLADO",B1564))
),
"COMPLEMENTO",
IF(
OR(
LEFT(A1564,2)="NB",
LEFT(A1564,2)="PC",
LEFT(A1564,2)="WS",
LEFT(A1564,2)="TB",
LEFT(A1564,3)="CEL",
LEFT(A1564,3)="MON",
LEFT(A1564,3)="PRE",
LEFT(A1564,3)="PRH",
ISNUMBER(SEARCH("NOTEBOOK",B1564)),
ISNUMBER(SEARCH("LAPTOP",B1564)),
ISNUMBER(SEARCH("MONITOR",B1564)),
ISNUMBER(SEARCH("TABLET",B1564)),
ISNUMBER(SEARCH("SMARTPH",B1564)),
ISNUMBER(SEARCH("IMPRESORA",B1564)),
ISNUMBER(SEARCH("MULTIFUNCIONAL",B1564)),
ISNUMBER(SEARCH("AIO",B1564))
),
"GANCHO",
"NORMAL"
)
)</f>
        <v>NORMAL</v>
      </c>
    </row>
    <row r="1563" spans="1:12" x14ac:dyDescent="0.25">
      <c r="A1563" s="3" t="s">
        <v>5530</v>
      </c>
      <c r="B1563" s="3" t="s">
        <v>5531</v>
      </c>
      <c r="C1563" s="1">
        <v>6</v>
      </c>
      <c r="D1563" s="1">
        <v>941</v>
      </c>
      <c r="E1563" s="1" t="s">
        <v>2497</v>
      </c>
      <c r="F1563" s="1" t="s">
        <v>5532</v>
      </c>
      <c r="G1563" s="3" t="s">
        <v>5533</v>
      </c>
      <c r="H1563" s="11">
        <f>ROUND(
IF(L1561="GANCHO",
   IF(I1563&lt;=50,I1563*1.1+4,IF(I1563&lt;=120,I1563*1.1+7,IF(I1563&lt;=250,I1563*1.1+11,I1563*1.1+19))),
IF(L1561="NORMAL",
   IF(I1563&lt;=30,I1563*1.15+2,IF(I1563&lt;=80,I1563*1.15+4,IF(I1563&lt;=150,I1563*1.15+6,I1563*1.15+8))),
IF(L1561="COMPLEMENTO",
   IF(I1563&lt;=25,I1563*1.25+1.5,IF(I1563&lt;=60,I1563*1.25+3,IF(I1563&lt;=120,I1563*1.25+4,I1563*1.25+5))),
""))),2)</f>
        <v>4451.74</v>
      </c>
      <c r="I1563" s="9">
        <f>($K$2+0.02)*Tabla1[[#This Row],[PRECIO $]]*1.18</f>
        <v>3864.1223999999997</v>
      </c>
      <c r="J1563" s="7">
        <f>+Tabla1[[#This Row],[PRECIO EN SOLES]]-Tabla1[[#This Row],[PC]]</f>
        <v>587.61760000000004</v>
      </c>
      <c r="K1563" s="15"/>
      <c r="L1563" s="15" t="str">
        <f>IF(
OR(
ISNUMBER(SEARCH("BACKPACK",B1565)),
ISNUMBER(SEARCH("MOCHILA",B1565)),
ISNUMBER(SEARCH("FUNDA",B1565)),
ISNUMBER(SEARCH("ESTUCHE",B1565)),
ISNUMBER(SEARCH("BOOK COVER",B1565)),
ISNUMBER(SEARCH("KEYBOARD PARA TABLET",B1565)),
ISNUMBER(SEARCH("FLIP TABLET",B1565)),
ISNUMBER(SEARCH("CASE FOR TABLET",B1565)),
ISNUMBER(SEARCH("CABLE",B1565)),
ISNUMBER(SEARCH("ADAPTADOR",B1565)),
ISNUMBER(SEARCH("HUB",B1565)),
ISNUMBER(SEARCH("DOCK",B1565)),
ISNUMBER(SEARCH("MOUSE PAD",B1565)),
ISNUMBER(SEARCH("MOUSEPAD",B1565)),
ISNUMBER(SEARCH("SOPORTE",B1565)),
ISNUMBER(SEARCH("STAND",B1565)),
ISNUMBER(SEARCH("TRAVEL ADAPTER",B1565)),
ISNUMBER(SEARCH("RJ45",B1565)),
ISNUMBER(SEARCH("USB-C",B1565)),
ISNUMBER(SEARCH("USB WIFI",B1565)),
ISNUMBER(SEARCH("POWERBANK",B1565)),
ISNUMBER(SEARCH("CARGADOR",B1565)),
ISNUMBER(SEARCH("COOLER PARA NB",B1565)),
ISNUMBER(SEARCH("SOPORTE PARA NB",B1565)),
ISNUMBER(SEARCH("WEBCAM",B1565)),
ISNUMBER(SEARCH("WEB CAM",B1565)),
ISNUMBER(SEARCH("MOUSE",B1565)),
ISNUMBER(SEARCH("TECLADO",B1565))
),
"COMPLEMENTO",
IF(
OR(
LEFT(A1565,2)="NB",
LEFT(A1565,2)="PC",
LEFT(A1565,2)="WS",
LEFT(A1565,2)="TB",
LEFT(A1565,3)="CEL",
LEFT(A1565,3)="MON",
LEFT(A1565,3)="PRE",
LEFT(A1565,3)="PRH",
ISNUMBER(SEARCH("NOTEBOOK",B1565)),
ISNUMBER(SEARCH("LAPTOP",B1565)),
ISNUMBER(SEARCH("MONITOR",B1565)),
ISNUMBER(SEARCH("TABLET",B1565)),
ISNUMBER(SEARCH("SMARTPH",B1565)),
ISNUMBER(SEARCH("IMPRESORA",B1565)),
ISNUMBER(SEARCH("MULTIFUNCIONAL",B1565)),
ISNUMBER(SEARCH("AIO",B1565))
),
"GANCHO",
"NORMAL"
)
)</f>
        <v>NORMAL</v>
      </c>
    </row>
    <row r="1564" spans="1:12" x14ac:dyDescent="0.25">
      <c r="A1564" s="3" t="s">
        <v>5534</v>
      </c>
      <c r="B1564" s="3" t="s">
        <v>5535</v>
      </c>
      <c r="C1564" s="1">
        <v>2</v>
      </c>
      <c r="D1564" s="1">
        <v>836.5</v>
      </c>
      <c r="E1564" s="1" t="s">
        <v>2497</v>
      </c>
      <c r="F1564" s="1" t="s">
        <v>5536</v>
      </c>
      <c r="G1564" s="3" t="s">
        <v>5537</v>
      </c>
      <c r="H1564" s="11">
        <f>ROUND(
IF(L1562="GANCHO",
   IF(I1564&lt;=50,I1564*1.1+4,IF(I1564&lt;=120,I1564*1.1+7,IF(I1564&lt;=250,I1564*1.1+11,I1564*1.1+19))),
IF(L1562="NORMAL",
   IF(I1564&lt;=30,I1564*1.15+2,IF(I1564&lt;=80,I1564*1.15+4,IF(I1564&lt;=150,I1564*1.15+6,I1564*1.15+8))),
IF(L1562="COMPLEMENTO",
   IF(I1564&lt;=25,I1564*1.25+1.5,IF(I1564&lt;=60,I1564*1.25+3,IF(I1564&lt;=120,I1564*1.25+4,I1564*1.25+5))),
""))),2)</f>
        <v>3958.25</v>
      </c>
      <c r="I1564" s="9">
        <f>($K$2+0.02)*Tabla1[[#This Row],[PRECIO $]]*1.18</f>
        <v>3435.0036</v>
      </c>
      <c r="J1564" s="7">
        <f>+Tabla1[[#This Row],[PRECIO EN SOLES]]-Tabla1[[#This Row],[PC]]</f>
        <v>523.24639999999999</v>
      </c>
      <c r="K1564" s="15"/>
      <c r="L1564" s="15" t="str">
        <f>IF(
OR(
ISNUMBER(SEARCH("BACKPACK",B1566)),
ISNUMBER(SEARCH("MOCHILA",B1566)),
ISNUMBER(SEARCH("FUNDA",B1566)),
ISNUMBER(SEARCH("ESTUCHE",B1566)),
ISNUMBER(SEARCH("BOOK COVER",B1566)),
ISNUMBER(SEARCH("KEYBOARD PARA TABLET",B1566)),
ISNUMBER(SEARCH("FLIP TABLET",B1566)),
ISNUMBER(SEARCH("CASE FOR TABLET",B1566)),
ISNUMBER(SEARCH("CABLE",B1566)),
ISNUMBER(SEARCH("ADAPTADOR",B1566)),
ISNUMBER(SEARCH("HUB",B1566)),
ISNUMBER(SEARCH("DOCK",B1566)),
ISNUMBER(SEARCH("MOUSE PAD",B1566)),
ISNUMBER(SEARCH("MOUSEPAD",B1566)),
ISNUMBER(SEARCH("SOPORTE",B1566)),
ISNUMBER(SEARCH("STAND",B1566)),
ISNUMBER(SEARCH("TRAVEL ADAPTER",B1566)),
ISNUMBER(SEARCH("RJ45",B1566)),
ISNUMBER(SEARCH("USB-C",B1566)),
ISNUMBER(SEARCH("USB WIFI",B1566)),
ISNUMBER(SEARCH("POWERBANK",B1566)),
ISNUMBER(SEARCH("CARGADOR",B1566)),
ISNUMBER(SEARCH("COOLER PARA NB",B1566)),
ISNUMBER(SEARCH("SOPORTE PARA NB",B1566)),
ISNUMBER(SEARCH("WEBCAM",B1566)),
ISNUMBER(SEARCH("WEB CAM",B1566)),
ISNUMBER(SEARCH("MOUSE",B1566)),
ISNUMBER(SEARCH("TECLADO",B1566))
),
"COMPLEMENTO",
IF(
OR(
LEFT(A1566,2)="NB",
LEFT(A1566,2)="PC",
LEFT(A1566,2)="WS",
LEFT(A1566,2)="TB",
LEFT(A1566,3)="CEL",
LEFT(A1566,3)="MON",
LEFT(A1566,3)="PRE",
LEFT(A1566,3)="PRH",
ISNUMBER(SEARCH("NOTEBOOK",B1566)),
ISNUMBER(SEARCH("LAPTOP",B1566)),
ISNUMBER(SEARCH("MONITOR",B1566)),
ISNUMBER(SEARCH("TABLET",B1566)),
ISNUMBER(SEARCH("SMARTPH",B1566)),
ISNUMBER(SEARCH("IMPRESORA",B1566)),
ISNUMBER(SEARCH("MULTIFUNCIONAL",B1566)),
ISNUMBER(SEARCH("AIO",B1566))
),
"GANCHO",
"NORMAL"
)
)</f>
        <v>NORMAL</v>
      </c>
    </row>
    <row r="1565" spans="1:12" x14ac:dyDescent="0.25">
      <c r="A1565" s="3" t="s">
        <v>2498</v>
      </c>
      <c r="B1565" s="3" t="s">
        <v>2499</v>
      </c>
      <c r="C1565" s="1">
        <v>4</v>
      </c>
      <c r="D1565" s="1">
        <v>1048</v>
      </c>
      <c r="E1565" s="1" t="s">
        <v>2497</v>
      </c>
      <c r="F1565" s="1" t="s">
        <v>4024</v>
      </c>
      <c r="G1565" s="3" t="s">
        <v>2500</v>
      </c>
      <c r="H1565" s="11">
        <f>ROUND(
IF(L1563="GANCHO",
   IF(I1565&lt;=50,I1565*1.1+4,IF(I1565&lt;=120,I1565*1.1+7,IF(I1565&lt;=250,I1565*1.1+11,I1565*1.1+19))),
IF(L1563="NORMAL",
   IF(I1565&lt;=30,I1565*1.15+2,IF(I1565&lt;=80,I1565*1.15+4,IF(I1565&lt;=150,I1565*1.15+6,I1565*1.15+8))),
IF(L1563="COMPLEMENTO",
   IF(I1565&lt;=25,I1565*1.25+1.5,IF(I1565&lt;=60,I1565*1.25+3,IF(I1565&lt;=120,I1565*1.25+4,I1565*1.25+5))),
""))),2)</f>
        <v>4957.03</v>
      </c>
      <c r="I1565" s="9">
        <f>($K$2+0.02)*Tabla1[[#This Row],[PRECIO $]]*1.18</f>
        <v>4303.5072</v>
      </c>
      <c r="J1565" s="7">
        <f>+Tabla1[[#This Row],[PRECIO EN SOLES]]-Tabla1[[#This Row],[PC]]</f>
        <v>653.52279999999973</v>
      </c>
      <c r="K1565" s="15"/>
      <c r="L1565" s="15" t="str">
        <f>IF(
OR(
ISNUMBER(SEARCH("BACKPACK",B1567)),
ISNUMBER(SEARCH("MOCHILA",B1567)),
ISNUMBER(SEARCH("FUNDA",B1567)),
ISNUMBER(SEARCH("ESTUCHE",B1567)),
ISNUMBER(SEARCH("BOOK COVER",B1567)),
ISNUMBER(SEARCH("KEYBOARD PARA TABLET",B1567)),
ISNUMBER(SEARCH("FLIP TABLET",B1567)),
ISNUMBER(SEARCH("CASE FOR TABLET",B1567)),
ISNUMBER(SEARCH("CABLE",B1567)),
ISNUMBER(SEARCH("ADAPTADOR",B1567)),
ISNUMBER(SEARCH("HUB",B1567)),
ISNUMBER(SEARCH("DOCK",B1567)),
ISNUMBER(SEARCH("MOUSE PAD",B1567)),
ISNUMBER(SEARCH("MOUSEPAD",B1567)),
ISNUMBER(SEARCH("SOPORTE",B1567)),
ISNUMBER(SEARCH("STAND",B1567)),
ISNUMBER(SEARCH("TRAVEL ADAPTER",B1567)),
ISNUMBER(SEARCH("RJ45",B1567)),
ISNUMBER(SEARCH("USB-C",B1567)),
ISNUMBER(SEARCH("USB WIFI",B1567)),
ISNUMBER(SEARCH("POWERBANK",B1567)),
ISNUMBER(SEARCH("CARGADOR",B1567)),
ISNUMBER(SEARCH("COOLER PARA NB",B1567)),
ISNUMBER(SEARCH("SOPORTE PARA NB",B1567)),
ISNUMBER(SEARCH("WEBCAM",B1567)),
ISNUMBER(SEARCH("WEB CAM",B1567)),
ISNUMBER(SEARCH("MOUSE",B1567)),
ISNUMBER(SEARCH("TECLADO",B1567))
),
"COMPLEMENTO",
IF(
OR(
LEFT(A1567,2)="NB",
LEFT(A1567,2)="PC",
LEFT(A1567,2)="WS",
LEFT(A1567,2)="TB",
LEFT(A1567,3)="CEL",
LEFT(A1567,3)="MON",
LEFT(A1567,3)="PRE",
LEFT(A1567,3)="PRH",
ISNUMBER(SEARCH("NOTEBOOK",B1567)),
ISNUMBER(SEARCH("LAPTOP",B1567)),
ISNUMBER(SEARCH("MONITOR",B1567)),
ISNUMBER(SEARCH("TABLET",B1567)),
ISNUMBER(SEARCH("SMARTPH",B1567)),
ISNUMBER(SEARCH("IMPRESORA",B1567)),
ISNUMBER(SEARCH("MULTIFUNCIONAL",B1567)),
ISNUMBER(SEARCH("AIO",B1567))
),
"GANCHO",
"NORMAL"
)
)</f>
        <v>NORMAL</v>
      </c>
    </row>
    <row r="1566" spans="1:12" x14ac:dyDescent="0.25">
      <c r="A1566" s="3" t="s">
        <v>5538</v>
      </c>
      <c r="B1566" s="3" t="s">
        <v>5539</v>
      </c>
      <c r="C1566" s="1">
        <v>1</v>
      </c>
      <c r="D1566" s="1">
        <v>789</v>
      </c>
      <c r="E1566" s="1" t="s">
        <v>2497</v>
      </c>
      <c r="F1566" s="1" t="s">
        <v>5540</v>
      </c>
      <c r="G1566" s="3" t="s">
        <v>5541</v>
      </c>
      <c r="H1566" s="11">
        <f>ROUND(
IF(L1564="GANCHO",
   IF(I1566&lt;=50,I1566*1.1+4,IF(I1566&lt;=120,I1566*1.1+7,IF(I1566&lt;=250,I1566*1.1+11,I1566*1.1+19))),
IF(L1564="NORMAL",
   IF(I1566&lt;=30,I1566*1.15+2,IF(I1566&lt;=80,I1566*1.15+4,IF(I1566&lt;=150,I1566*1.15+6,I1566*1.15+8))),
IF(L1564="COMPLEMENTO",
   IF(I1566&lt;=25,I1566*1.25+1.5,IF(I1566&lt;=60,I1566*1.25+3,IF(I1566&lt;=120,I1566*1.25+4,I1566*1.25+5))),
""))),2)</f>
        <v>3733.94</v>
      </c>
      <c r="I1566" s="9">
        <f>($K$2+0.02)*Tabla1[[#This Row],[PRECIO $]]*1.18</f>
        <v>3239.9495999999995</v>
      </c>
      <c r="J1566" s="7">
        <f>+Tabla1[[#This Row],[PRECIO EN SOLES]]-Tabla1[[#This Row],[PC]]</f>
        <v>493.99040000000059</v>
      </c>
      <c r="K1566" s="15"/>
      <c r="L1566" s="15" t="str">
        <f>IF(
OR(
ISNUMBER(SEARCH("BACKPACK",B1568)),
ISNUMBER(SEARCH("MOCHILA",B1568)),
ISNUMBER(SEARCH("FUNDA",B1568)),
ISNUMBER(SEARCH("ESTUCHE",B1568)),
ISNUMBER(SEARCH("BOOK COVER",B1568)),
ISNUMBER(SEARCH("KEYBOARD PARA TABLET",B1568)),
ISNUMBER(SEARCH("FLIP TABLET",B1568)),
ISNUMBER(SEARCH("CASE FOR TABLET",B1568)),
ISNUMBER(SEARCH("CABLE",B1568)),
ISNUMBER(SEARCH("ADAPTADOR",B1568)),
ISNUMBER(SEARCH("HUB",B1568)),
ISNUMBER(SEARCH("DOCK",B1568)),
ISNUMBER(SEARCH("MOUSE PAD",B1568)),
ISNUMBER(SEARCH("MOUSEPAD",B1568)),
ISNUMBER(SEARCH("SOPORTE",B1568)),
ISNUMBER(SEARCH("STAND",B1568)),
ISNUMBER(SEARCH("TRAVEL ADAPTER",B1568)),
ISNUMBER(SEARCH("RJ45",B1568)),
ISNUMBER(SEARCH("USB-C",B1568)),
ISNUMBER(SEARCH("USB WIFI",B1568)),
ISNUMBER(SEARCH("POWERBANK",B1568)),
ISNUMBER(SEARCH("CARGADOR",B1568)),
ISNUMBER(SEARCH("COOLER PARA NB",B1568)),
ISNUMBER(SEARCH("SOPORTE PARA NB",B1568)),
ISNUMBER(SEARCH("WEBCAM",B1568)),
ISNUMBER(SEARCH("WEB CAM",B1568)),
ISNUMBER(SEARCH("MOUSE",B1568)),
ISNUMBER(SEARCH("TECLADO",B1568))
),
"COMPLEMENTO",
IF(
OR(
LEFT(A1568,2)="NB",
LEFT(A1568,2)="PC",
LEFT(A1568,2)="WS",
LEFT(A1568,2)="TB",
LEFT(A1568,3)="CEL",
LEFT(A1568,3)="MON",
LEFT(A1568,3)="PRE",
LEFT(A1568,3)="PRH",
ISNUMBER(SEARCH("NOTEBOOK",B1568)),
ISNUMBER(SEARCH("LAPTOP",B1568)),
ISNUMBER(SEARCH("MONITOR",B1568)),
ISNUMBER(SEARCH("TABLET",B1568)),
ISNUMBER(SEARCH("SMARTPH",B1568)),
ISNUMBER(SEARCH("IMPRESORA",B1568)),
ISNUMBER(SEARCH("MULTIFUNCIONAL",B1568)),
ISNUMBER(SEARCH("AIO",B1568))
),
"GANCHO",
"NORMAL"
)
)</f>
        <v>NORMAL</v>
      </c>
    </row>
    <row r="1567" spans="1:12" x14ac:dyDescent="0.25">
      <c r="A1567" s="3" t="s">
        <v>2349</v>
      </c>
      <c r="B1567" s="3" t="s">
        <v>2350</v>
      </c>
      <c r="C1567" s="1">
        <v>10</v>
      </c>
      <c r="D1567" s="1">
        <v>240.77</v>
      </c>
      <c r="E1567" s="1" t="s">
        <v>57</v>
      </c>
      <c r="F1567" s="1" t="s">
        <v>3927</v>
      </c>
      <c r="G1567" s="3" t="s">
        <v>2351</v>
      </c>
      <c r="H1567" s="11">
        <f>ROUND(
IF(L1565="GANCHO",
   IF(I1567&lt;=50,I1567*1.1+4,IF(I1567&lt;=120,I1567*1.1+7,IF(I1567&lt;=250,I1567*1.1+11,I1567*1.1+19))),
IF(L1565="NORMAL",
   IF(I1567&lt;=30,I1567*1.15+2,IF(I1567&lt;=80,I1567*1.15+4,IF(I1567&lt;=150,I1567*1.15+6,I1567*1.15+8))),
IF(L1565="COMPLEMENTO",
   IF(I1567&lt;=25,I1567*1.25+1.5,IF(I1567&lt;=60,I1567*1.25+3,IF(I1567&lt;=120,I1567*1.25+4,I1567*1.25+5))),
""))),2)</f>
        <v>1145</v>
      </c>
      <c r="I1567" s="9">
        <f>($K$2+0.02)*Tabla1[[#This Row],[PRECIO $]]*1.18</f>
        <v>988.69792799999993</v>
      </c>
      <c r="J1567" s="7">
        <f>+Tabla1[[#This Row],[PRECIO EN SOLES]]-Tabla1[[#This Row],[PC]]</f>
        <v>156.30207200000007</v>
      </c>
      <c r="K1567" s="15"/>
      <c r="L1567" s="15" t="str">
        <f>IF(
OR(
ISNUMBER(SEARCH("BACKPACK",B1569)),
ISNUMBER(SEARCH("MOCHILA",B1569)),
ISNUMBER(SEARCH("FUNDA",B1569)),
ISNUMBER(SEARCH("ESTUCHE",B1569)),
ISNUMBER(SEARCH("BOOK COVER",B1569)),
ISNUMBER(SEARCH("KEYBOARD PARA TABLET",B1569)),
ISNUMBER(SEARCH("FLIP TABLET",B1569)),
ISNUMBER(SEARCH("CASE FOR TABLET",B1569)),
ISNUMBER(SEARCH("CABLE",B1569)),
ISNUMBER(SEARCH("ADAPTADOR",B1569)),
ISNUMBER(SEARCH("HUB",B1569)),
ISNUMBER(SEARCH("DOCK",B1569)),
ISNUMBER(SEARCH("MOUSE PAD",B1569)),
ISNUMBER(SEARCH("MOUSEPAD",B1569)),
ISNUMBER(SEARCH("SOPORTE",B1569)),
ISNUMBER(SEARCH("STAND",B1569)),
ISNUMBER(SEARCH("TRAVEL ADAPTER",B1569)),
ISNUMBER(SEARCH("RJ45",B1569)),
ISNUMBER(SEARCH("USB-C",B1569)),
ISNUMBER(SEARCH("USB WIFI",B1569)),
ISNUMBER(SEARCH("POWERBANK",B1569)),
ISNUMBER(SEARCH("CARGADOR",B1569)),
ISNUMBER(SEARCH("COOLER PARA NB",B1569)),
ISNUMBER(SEARCH("SOPORTE PARA NB",B1569)),
ISNUMBER(SEARCH("WEBCAM",B1569)),
ISNUMBER(SEARCH("WEB CAM",B1569)),
ISNUMBER(SEARCH("MOUSE",B1569)),
ISNUMBER(SEARCH("TECLADO",B1569))
),
"COMPLEMENTO",
IF(
OR(
LEFT(A1569,2)="NB",
LEFT(A1569,2)="PC",
LEFT(A1569,2)="WS",
LEFT(A1569,2)="TB",
LEFT(A1569,3)="CEL",
LEFT(A1569,3)="MON",
LEFT(A1569,3)="PRE",
LEFT(A1569,3)="PRH",
ISNUMBER(SEARCH("NOTEBOOK",B1569)),
ISNUMBER(SEARCH("LAPTOP",B1569)),
ISNUMBER(SEARCH("MONITOR",B1569)),
ISNUMBER(SEARCH("TABLET",B1569)),
ISNUMBER(SEARCH("SMARTPH",B1569)),
ISNUMBER(SEARCH("IMPRESORA",B1569)),
ISNUMBER(SEARCH("MULTIFUNCIONAL",B1569)),
ISNUMBER(SEARCH("AIO",B1569))
),
"GANCHO",
"NORMAL"
)
)</f>
        <v>NORMAL</v>
      </c>
    </row>
    <row r="1568" spans="1:12" x14ac:dyDescent="0.25">
      <c r="A1568" s="3" t="s">
        <v>4532</v>
      </c>
      <c r="B1568" s="3" t="s">
        <v>4533</v>
      </c>
      <c r="C1568" s="1">
        <v>1</v>
      </c>
      <c r="D1568" s="1">
        <v>41.7</v>
      </c>
      <c r="E1568" s="1" t="s">
        <v>141</v>
      </c>
      <c r="F1568" s="1" t="s">
        <v>4534</v>
      </c>
      <c r="G1568" s="3" t="s">
        <v>4535</v>
      </c>
      <c r="H1568" s="11">
        <f>ROUND(
IF(L1566="GANCHO",
   IF(I1568&lt;=50,I1568*1.1+4,IF(I1568&lt;=120,I1568*1.1+7,IF(I1568&lt;=250,I1568*1.1+11,I1568*1.1+19))),
IF(L1566="NORMAL",
   IF(I1568&lt;=30,I1568*1.15+2,IF(I1568&lt;=80,I1568*1.15+4,IF(I1568&lt;=150,I1568*1.15+6,I1568*1.15+8))),
IF(L1566="COMPLEMENTO",
   IF(I1568&lt;=25,I1568*1.25+1.5,IF(I1568&lt;=60,I1568*1.25+3,IF(I1568&lt;=120,I1568*1.25+4,I1568*1.25+5))),
""))),2)</f>
        <v>204.92</v>
      </c>
      <c r="I1568" s="9">
        <f>($K$2+0.02)*Tabla1[[#This Row],[PRECIO $]]*1.18</f>
        <v>171.23688000000001</v>
      </c>
      <c r="J1568" s="7">
        <f>+Tabla1[[#This Row],[PRECIO EN SOLES]]-Tabla1[[#This Row],[PC]]</f>
        <v>33.683119999999974</v>
      </c>
      <c r="K1568" s="15"/>
      <c r="L1568" s="15" t="str">
        <f>IF(
OR(
ISNUMBER(SEARCH("BACKPACK",B1570)),
ISNUMBER(SEARCH("MOCHILA",B1570)),
ISNUMBER(SEARCH("FUNDA",B1570)),
ISNUMBER(SEARCH("ESTUCHE",B1570)),
ISNUMBER(SEARCH("BOOK COVER",B1570)),
ISNUMBER(SEARCH("KEYBOARD PARA TABLET",B1570)),
ISNUMBER(SEARCH("FLIP TABLET",B1570)),
ISNUMBER(SEARCH("CASE FOR TABLET",B1570)),
ISNUMBER(SEARCH("CABLE",B1570)),
ISNUMBER(SEARCH("ADAPTADOR",B1570)),
ISNUMBER(SEARCH("HUB",B1570)),
ISNUMBER(SEARCH("DOCK",B1570)),
ISNUMBER(SEARCH("MOUSE PAD",B1570)),
ISNUMBER(SEARCH("MOUSEPAD",B1570)),
ISNUMBER(SEARCH("SOPORTE",B1570)),
ISNUMBER(SEARCH("STAND",B1570)),
ISNUMBER(SEARCH("TRAVEL ADAPTER",B1570)),
ISNUMBER(SEARCH("RJ45",B1570)),
ISNUMBER(SEARCH("USB-C",B1570)),
ISNUMBER(SEARCH("USB WIFI",B1570)),
ISNUMBER(SEARCH("POWERBANK",B1570)),
ISNUMBER(SEARCH("CARGADOR",B1570)),
ISNUMBER(SEARCH("COOLER PARA NB",B1570)),
ISNUMBER(SEARCH("SOPORTE PARA NB",B1570)),
ISNUMBER(SEARCH("WEBCAM",B1570)),
ISNUMBER(SEARCH("WEB CAM",B1570)),
ISNUMBER(SEARCH("MOUSE",B1570)),
ISNUMBER(SEARCH("TECLADO",B1570))
),
"COMPLEMENTO",
IF(
OR(
LEFT(A1570,2)="NB",
LEFT(A1570,2)="PC",
LEFT(A1570,2)="WS",
LEFT(A1570,2)="TB",
LEFT(A1570,3)="CEL",
LEFT(A1570,3)="MON",
LEFT(A1570,3)="PRE",
LEFT(A1570,3)="PRH",
ISNUMBER(SEARCH("NOTEBOOK",B1570)),
ISNUMBER(SEARCH("LAPTOP",B1570)),
ISNUMBER(SEARCH("MONITOR",B1570)),
ISNUMBER(SEARCH("TABLET",B1570)),
ISNUMBER(SEARCH("SMARTPH",B1570)),
ISNUMBER(SEARCH("IMPRESORA",B1570)),
ISNUMBER(SEARCH("MULTIFUNCIONAL",B1570)),
ISNUMBER(SEARCH("AIO",B1570))
),
"GANCHO",
"NORMAL"
)
)</f>
        <v>NORMAL</v>
      </c>
    </row>
    <row r="1569" spans="1:12" x14ac:dyDescent="0.25">
      <c r="A1569" s="3" t="s">
        <v>4453</v>
      </c>
      <c r="B1569" s="3" t="s">
        <v>4454</v>
      </c>
      <c r="C1569" s="1">
        <v>2</v>
      </c>
      <c r="D1569" s="1">
        <v>100.68</v>
      </c>
      <c r="E1569" s="1" t="s">
        <v>141</v>
      </c>
      <c r="F1569" s="1" t="s">
        <v>4455</v>
      </c>
      <c r="G1569" s="3"/>
      <c r="H1569" s="11">
        <f>ROUND(
IF(L1567="GANCHO",
   IF(I1569&lt;=50,I1569*1.1+4,IF(I1569&lt;=120,I1569*1.1+7,IF(I1569&lt;=250,I1569*1.1+11,I1569*1.1+19))),
IF(L1567="NORMAL",
   IF(I1569&lt;=30,I1569*1.15+2,IF(I1569&lt;=80,I1569*1.15+4,IF(I1569&lt;=150,I1569*1.15+6,I1569*1.15+8))),
IF(L1567="COMPLEMENTO",
   IF(I1569&lt;=25,I1569*1.25+1.5,IF(I1569&lt;=60,I1569*1.25+3,IF(I1569&lt;=120,I1569*1.25+4,I1569*1.25+5))),
""))),2)</f>
        <v>483.45</v>
      </c>
      <c r="I1569" s="9">
        <f>($K$2+0.02)*Tabla1[[#This Row],[PRECIO $]]*1.18</f>
        <v>413.43235199999998</v>
      </c>
      <c r="J1569" s="7">
        <f>+Tabla1[[#This Row],[PRECIO EN SOLES]]-Tabla1[[#This Row],[PC]]</f>
        <v>70.017648000000008</v>
      </c>
      <c r="K1569" s="15"/>
      <c r="L1569" s="15" t="str">
        <f>IF(
OR(
ISNUMBER(SEARCH("BACKPACK",B1571)),
ISNUMBER(SEARCH("MOCHILA",B1571)),
ISNUMBER(SEARCH("FUNDA",B1571)),
ISNUMBER(SEARCH("ESTUCHE",B1571)),
ISNUMBER(SEARCH("BOOK COVER",B1571)),
ISNUMBER(SEARCH("KEYBOARD PARA TABLET",B1571)),
ISNUMBER(SEARCH("FLIP TABLET",B1571)),
ISNUMBER(SEARCH("CASE FOR TABLET",B1571)),
ISNUMBER(SEARCH("CABLE",B1571)),
ISNUMBER(SEARCH("ADAPTADOR",B1571)),
ISNUMBER(SEARCH("HUB",B1571)),
ISNUMBER(SEARCH("DOCK",B1571)),
ISNUMBER(SEARCH("MOUSE PAD",B1571)),
ISNUMBER(SEARCH("MOUSEPAD",B1571)),
ISNUMBER(SEARCH("SOPORTE",B1571)),
ISNUMBER(SEARCH("STAND",B1571)),
ISNUMBER(SEARCH("TRAVEL ADAPTER",B1571)),
ISNUMBER(SEARCH("RJ45",B1571)),
ISNUMBER(SEARCH("USB-C",B1571)),
ISNUMBER(SEARCH("USB WIFI",B1571)),
ISNUMBER(SEARCH("POWERBANK",B1571)),
ISNUMBER(SEARCH("CARGADOR",B1571)),
ISNUMBER(SEARCH("COOLER PARA NB",B1571)),
ISNUMBER(SEARCH("SOPORTE PARA NB",B1571)),
ISNUMBER(SEARCH("WEBCAM",B1571)),
ISNUMBER(SEARCH("WEB CAM",B1571)),
ISNUMBER(SEARCH("MOUSE",B1571)),
ISNUMBER(SEARCH("TECLADO",B1571))
),
"COMPLEMENTO",
IF(
OR(
LEFT(A1571,2)="NB",
LEFT(A1571,2)="PC",
LEFT(A1571,2)="WS",
LEFT(A1571,2)="TB",
LEFT(A1571,3)="CEL",
LEFT(A1571,3)="MON",
LEFT(A1571,3)="PRE",
LEFT(A1571,3)="PRH",
ISNUMBER(SEARCH("NOTEBOOK",B1571)),
ISNUMBER(SEARCH("LAPTOP",B1571)),
ISNUMBER(SEARCH("MONITOR",B1571)),
ISNUMBER(SEARCH("TABLET",B1571)),
ISNUMBER(SEARCH("SMARTPH",B1571)),
ISNUMBER(SEARCH("IMPRESORA",B1571)),
ISNUMBER(SEARCH("MULTIFUNCIONAL",B1571)),
ISNUMBER(SEARCH("AIO",B1571))
),
"GANCHO",
"NORMAL"
)
)</f>
        <v>NORMAL</v>
      </c>
    </row>
    <row r="1570" spans="1:12" x14ac:dyDescent="0.25">
      <c r="A1570" s="3" t="s">
        <v>2501</v>
      </c>
      <c r="B1570" s="3" t="s">
        <v>2502</v>
      </c>
      <c r="C1570" s="1">
        <v>17</v>
      </c>
      <c r="D1570" s="1">
        <v>240.5</v>
      </c>
      <c r="E1570" s="1" t="s">
        <v>141</v>
      </c>
      <c r="F1570" s="1" t="s">
        <v>4025</v>
      </c>
      <c r="G1570" s="3"/>
      <c r="H1570" s="11">
        <f>ROUND(
IF(L1568="GANCHO",
   IF(I1570&lt;=50,I1570*1.1+4,IF(I1570&lt;=120,I1570*1.1+7,IF(I1570&lt;=250,I1570*1.1+11,I1570*1.1+19))),
IF(L1568="NORMAL",
   IF(I1570&lt;=30,I1570*1.15+2,IF(I1570&lt;=80,I1570*1.15+4,IF(I1570&lt;=150,I1570*1.15+6,I1570*1.15+8))),
IF(L1568="COMPLEMENTO",
   IF(I1570&lt;=25,I1570*1.25+1.5,IF(I1570&lt;=60,I1570*1.25+3,IF(I1570&lt;=120,I1570*1.25+4,I1570*1.25+5))),
""))),2)</f>
        <v>1143.73</v>
      </c>
      <c r="I1570" s="9">
        <f>($K$2+0.02)*Tabla1[[#This Row],[PRECIO $]]*1.18</f>
        <v>987.58919999999989</v>
      </c>
      <c r="J1570" s="7">
        <f>+Tabla1[[#This Row],[PRECIO EN SOLES]]-Tabla1[[#This Row],[PC]]</f>
        <v>156.14080000000013</v>
      </c>
      <c r="K1570" s="15"/>
      <c r="L1570" s="15" t="str">
        <f>IF(
OR(
ISNUMBER(SEARCH("BACKPACK",B1572)),
ISNUMBER(SEARCH("MOCHILA",B1572)),
ISNUMBER(SEARCH("FUNDA",B1572)),
ISNUMBER(SEARCH("ESTUCHE",B1572)),
ISNUMBER(SEARCH("BOOK COVER",B1572)),
ISNUMBER(SEARCH("KEYBOARD PARA TABLET",B1572)),
ISNUMBER(SEARCH("FLIP TABLET",B1572)),
ISNUMBER(SEARCH("CASE FOR TABLET",B1572)),
ISNUMBER(SEARCH("CABLE",B1572)),
ISNUMBER(SEARCH("ADAPTADOR",B1572)),
ISNUMBER(SEARCH("HUB",B1572)),
ISNUMBER(SEARCH("DOCK",B1572)),
ISNUMBER(SEARCH("MOUSE PAD",B1572)),
ISNUMBER(SEARCH("MOUSEPAD",B1572)),
ISNUMBER(SEARCH("SOPORTE",B1572)),
ISNUMBER(SEARCH("STAND",B1572)),
ISNUMBER(SEARCH("TRAVEL ADAPTER",B1572)),
ISNUMBER(SEARCH("RJ45",B1572)),
ISNUMBER(SEARCH("USB-C",B1572)),
ISNUMBER(SEARCH("USB WIFI",B1572)),
ISNUMBER(SEARCH("POWERBANK",B1572)),
ISNUMBER(SEARCH("CARGADOR",B1572)),
ISNUMBER(SEARCH("COOLER PARA NB",B1572)),
ISNUMBER(SEARCH("SOPORTE PARA NB",B1572)),
ISNUMBER(SEARCH("WEBCAM",B1572)),
ISNUMBER(SEARCH("WEB CAM",B1572)),
ISNUMBER(SEARCH("MOUSE",B1572)),
ISNUMBER(SEARCH("TECLADO",B1572))
),
"COMPLEMENTO",
IF(
OR(
LEFT(A1572,2)="NB",
LEFT(A1572,2)="PC",
LEFT(A1572,2)="WS",
LEFT(A1572,2)="TB",
LEFT(A1572,3)="CEL",
LEFT(A1572,3)="MON",
LEFT(A1572,3)="PRE",
LEFT(A1572,3)="PRH",
ISNUMBER(SEARCH("NOTEBOOK",B1572)),
ISNUMBER(SEARCH("LAPTOP",B1572)),
ISNUMBER(SEARCH("MONITOR",B1572)),
ISNUMBER(SEARCH("TABLET",B1572)),
ISNUMBER(SEARCH("SMARTPH",B1572)),
ISNUMBER(SEARCH("IMPRESORA",B1572)),
ISNUMBER(SEARCH("MULTIFUNCIONAL",B1572)),
ISNUMBER(SEARCH("AIO",B1572))
),
"GANCHO",
"NORMAL"
)
)</f>
        <v>NORMAL</v>
      </c>
    </row>
    <row r="1571" spans="1:12" x14ac:dyDescent="0.25">
      <c r="A1571" s="3" t="s">
        <v>2503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4026</v>
      </c>
      <c r="G1571" s="3"/>
      <c r="H1571" s="11">
        <f>ROUND(
IF(L1569="GANCHO",
   IF(I1571&lt;=50,I1571*1.1+4,IF(I1571&lt;=120,I1571*1.1+7,IF(I1571&lt;=250,I1571*1.1+11,I1571*1.1+19))),
IF(L1569="NORMAL",
   IF(I1571&lt;=30,I1571*1.15+2,IF(I1571&lt;=80,I1571*1.15+4,IF(I1571&lt;=150,I1571*1.15+6,I1571*1.15+8))),
IF(L1569="COMPLEMENTO",
   IF(I1571&lt;=25,I1571*1.25+1.5,IF(I1571&lt;=60,I1571*1.25+3,IF(I1571&lt;=120,I1571*1.25+4,I1571*1.25+5))),
""))),2)</f>
        <v>1136.6400000000001</v>
      </c>
      <c r="I1571" s="9">
        <f>($K$2+0.02)*Tabla1[[#This Row],[PRECIO $]]*1.18</f>
        <v>981.42959999999994</v>
      </c>
      <c r="J1571" s="7">
        <f>+Tabla1[[#This Row],[PRECIO EN SOLES]]-Tabla1[[#This Row],[PC]]</f>
        <v>155.21040000000016</v>
      </c>
      <c r="K1571" s="15"/>
      <c r="L1571" s="15" t="str">
        <f>IF(
OR(
ISNUMBER(SEARCH("BACKPACK",B1573)),
ISNUMBER(SEARCH("MOCHILA",B1573)),
ISNUMBER(SEARCH("FUNDA",B1573)),
ISNUMBER(SEARCH("ESTUCHE",B1573)),
ISNUMBER(SEARCH("BOOK COVER",B1573)),
ISNUMBER(SEARCH("KEYBOARD PARA TABLET",B1573)),
ISNUMBER(SEARCH("FLIP TABLET",B1573)),
ISNUMBER(SEARCH("CASE FOR TABLET",B1573)),
ISNUMBER(SEARCH("CABLE",B1573)),
ISNUMBER(SEARCH("ADAPTADOR",B1573)),
ISNUMBER(SEARCH("HUB",B1573)),
ISNUMBER(SEARCH("DOCK",B1573)),
ISNUMBER(SEARCH("MOUSE PAD",B1573)),
ISNUMBER(SEARCH("MOUSEPAD",B1573)),
ISNUMBER(SEARCH("SOPORTE",B1573)),
ISNUMBER(SEARCH("STAND",B1573)),
ISNUMBER(SEARCH("TRAVEL ADAPTER",B1573)),
ISNUMBER(SEARCH("RJ45",B1573)),
ISNUMBER(SEARCH("USB-C",B1573)),
ISNUMBER(SEARCH("USB WIFI",B1573)),
ISNUMBER(SEARCH("POWERBANK",B1573)),
ISNUMBER(SEARCH("CARGADOR",B1573)),
ISNUMBER(SEARCH("COOLER PARA NB",B1573)),
ISNUMBER(SEARCH("SOPORTE PARA NB",B1573)),
ISNUMBER(SEARCH("WEBCAM",B1573)),
ISNUMBER(SEARCH("WEB CAM",B1573)),
ISNUMBER(SEARCH("MOUSE",B1573)),
ISNUMBER(SEARCH("TECLADO",B1573))
),
"COMPLEMENTO",
IF(
OR(
LEFT(A1573,2)="NB",
LEFT(A1573,2)="PC",
LEFT(A1573,2)="WS",
LEFT(A1573,2)="TB",
LEFT(A1573,3)="CEL",
LEFT(A1573,3)="MON",
LEFT(A1573,3)="PRE",
LEFT(A1573,3)="PRH",
ISNUMBER(SEARCH("NOTEBOOK",B1573)),
ISNUMBER(SEARCH("LAPTOP",B1573)),
ISNUMBER(SEARCH("MONITOR",B1573)),
ISNUMBER(SEARCH("TABLET",B1573)),
ISNUMBER(SEARCH("SMARTPH",B1573)),
ISNUMBER(SEARCH("IMPRESORA",B1573)),
ISNUMBER(SEARCH("MULTIFUNCIONAL",B1573)),
ISNUMBER(SEARCH("AIO",B1573))
),
"GANCHO",
"NORMAL"
)
)</f>
        <v>NORMAL</v>
      </c>
    </row>
    <row r="1572" spans="1:12" x14ac:dyDescent="0.25">
      <c r="A1572" s="3" t="s">
        <v>2504</v>
      </c>
      <c r="B1572" s="3" t="s">
        <v>2505</v>
      </c>
      <c r="C1572" s="1">
        <v>20</v>
      </c>
      <c r="D1572" s="1">
        <v>239</v>
      </c>
      <c r="E1572" s="1" t="s">
        <v>141</v>
      </c>
      <c r="F1572" s="1" t="s">
        <v>4027</v>
      </c>
      <c r="G1572" s="3"/>
      <c r="H1572" s="11">
        <f>ROUND(
IF(L1570="GANCHO",
   IF(I1572&lt;=50,I1572*1.1+4,IF(I1572&lt;=120,I1572*1.1+7,IF(I1572&lt;=250,I1572*1.1+11,I1572*1.1+19))),
IF(L1570="NORMAL",
   IF(I1572&lt;=30,I1572*1.15+2,IF(I1572&lt;=80,I1572*1.15+4,IF(I1572&lt;=150,I1572*1.15+6,I1572*1.15+8))),
IF(L1570="COMPLEMENTO",
   IF(I1572&lt;=25,I1572*1.25+1.5,IF(I1572&lt;=60,I1572*1.25+3,IF(I1572&lt;=120,I1572*1.25+4,I1572*1.25+5))),
""))),2)</f>
        <v>1136.6400000000001</v>
      </c>
      <c r="I1572" s="9">
        <f>($K$2+0.02)*Tabla1[[#This Row],[PRECIO $]]*1.18</f>
        <v>981.42959999999994</v>
      </c>
      <c r="J1572" s="7">
        <f>+Tabla1[[#This Row],[PRECIO EN SOLES]]-Tabla1[[#This Row],[PC]]</f>
        <v>155.21040000000016</v>
      </c>
      <c r="K1572" s="15"/>
      <c r="L1572" s="15" t="str">
        <f>IF(
OR(
ISNUMBER(SEARCH("BACKPACK",B1574)),
ISNUMBER(SEARCH("MOCHILA",B1574)),
ISNUMBER(SEARCH("FUNDA",B1574)),
ISNUMBER(SEARCH("ESTUCHE",B1574)),
ISNUMBER(SEARCH("BOOK COVER",B1574)),
ISNUMBER(SEARCH("KEYBOARD PARA TABLET",B1574)),
ISNUMBER(SEARCH("FLIP TABLET",B1574)),
ISNUMBER(SEARCH("CASE FOR TABLET",B1574)),
ISNUMBER(SEARCH("CABLE",B1574)),
ISNUMBER(SEARCH("ADAPTADOR",B1574)),
ISNUMBER(SEARCH("HUB",B1574)),
ISNUMBER(SEARCH("DOCK",B1574)),
ISNUMBER(SEARCH("MOUSE PAD",B1574)),
ISNUMBER(SEARCH("MOUSEPAD",B1574)),
ISNUMBER(SEARCH("SOPORTE",B1574)),
ISNUMBER(SEARCH("STAND",B1574)),
ISNUMBER(SEARCH("TRAVEL ADAPTER",B1574)),
ISNUMBER(SEARCH("RJ45",B1574)),
ISNUMBER(SEARCH("USB-C",B1574)),
ISNUMBER(SEARCH("USB WIFI",B1574)),
ISNUMBER(SEARCH("POWERBANK",B1574)),
ISNUMBER(SEARCH("CARGADOR",B1574)),
ISNUMBER(SEARCH("COOLER PARA NB",B1574)),
ISNUMBER(SEARCH("SOPORTE PARA NB",B1574)),
ISNUMBER(SEARCH("WEBCAM",B1574)),
ISNUMBER(SEARCH("WEB CAM",B1574)),
ISNUMBER(SEARCH("MOUSE",B1574)),
ISNUMBER(SEARCH("TECLADO",B1574))
),
"COMPLEMENTO",
IF(
OR(
LEFT(A1574,2)="NB",
LEFT(A1574,2)="PC",
LEFT(A1574,2)="WS",
LEFT(A1574,2)="TB",
LEFT(A1574,3)="CEL",
LEFT(A1574,3)="MON",
LEFT(A1574,3)="PRE",
LEFT(A1574,3)="PRH",
ISNUMBER(SEARCH("NOTEBOOK",B1574)),
ISNUMBER(SEARCH("LAPTOP",B1574)),
ISNUMBER(SEARCH("MONITOR",B1574)),
ISNUMBER(SEARCH("TABLET",B1574)),
ISNUMBER(SEARCH("SMARTPH",B1574)),
ISNUMBER(SEARCH("IMPRESORA",B1574)),
ISNUMBER(SEARCH("MULTIFUNCIONAL",B1574)),
ISNUMBER(SEARCH("AIO",B1574))
),
"GANCHO",
"NORMAL"
)
)</f>
        <v>NORMAL</v>
      </c>
    </row>
    <row r="1573" spans="1:12" x14ac:dyDescent="0.25">
      <c r="A1573" s="3" t="s">
        <v>2506</v>
      </c>
      <c r="B1573" s="3" t="s">
        <v>2502</v>
      </c>
      <c r="C1573" s="1">
        <v>20</v>
      </c>
      <c r="D1573" s="1">
        <v>239</v>
      </c>
      <c r="E1573" s="1" t="s">
        <v>141</v>
      </c>
      <c r="F1573" s="1" t="s">
        <v>4028</v>
      </c>
      <c r="G1573" s="3"/>
      <c r="H1573" s="11">
        <f>ROUND(
IF(L1571="GANCHO",
   IF(I1573&lt;=50,I1573*1.1+4,IF(I1573&lt;=120,I1573*1.1+7,IF(I1573&lt;=250,I1573*1.1+11,I1573*1.1+19))),
IF(L1571="NORMAL",
   IF(I1573&lt;=30,I1573*1.15+2,IF(I1573&lt;=80,I1573*1.15+4,IF(I1573&lt;=150,I1573*1.15+6,I1573*1.15+8))),
IF(L1571="COMPLEMENTO",
   IF(I1573&lt;=25,I1573*1.25+1.5,IF(I1573&lt;=60,I1573*1.25+3,IF(I1573&lt;=120,I1573*1.25+4,I1573*1.25+5))),
""))),2)</f>
        <v>1136.6400000000001</v>
      </c>
      <c r="I1573" s="9">
        <f>($K$2+0.02)*Tabla1[[#This Row],[PRECIO $]]*1.18</f>
        <v>981.42959999999994</v>
      </c>
      <c r="J1573" s="7">
        <f>+Tabla1[[#This Row],[PRECIO EN SOLES]]-Tabla1[[#This Row],[PC]]</f>
        <v>155.21040000000016</v>
      </c>
      <c r="K1573" s="15"/>
      <c r="L1573" s="15" t="str">
        <f>IF(
OR(
ISNUMBER(SEARCH("BACKPACK",B1575)),
ISNUMBER(SEARCH("MOCHILA",B1575)),
ISNUMBER(SEARCH("FUNDA",B1575)),
ISNUMBER(SEARCH("ESTUCHE",B1575)),
ISNUMBER(SEARCH("BOOK COVER",B1575)),
ISNUMBER(SEARCH("KEYBOARD PARA TABLET",B1575)),
ISNUMBER(SEARCH("FLIP TABLET",B1575)),
ISNUMBER(SEARCH("CASE FOR TABLET",B1575)),
ISNUMBER(SEARCH("CABLE",B1575)),
ISNUMBER(SEARCH("ADAPTADOR",B1575)),
ISNUMBER(SEARCH("HUB",B1575)),
ISNUMBER(SEARCH("DOCK",B1575)),
ISNUMBER(SEARCH("MOUSE PAD",B1575)),
ISNUMBER(SEARCH("MOUSEPAD",B1575)),
ISNUMBER(SEARCH("SOPORTE",B1575)),
ISNUMBER(SEARCH("STAND",B1575)),
ISNUMBER(SEARCH("TRAVEL ADAPTER",B1575)),
ISNUMBER(SEARCH("RJ45",B1575)),
ISNUMBER(SEARCH("USB-C",B1575)),
ISNUMBER(SEARCH("USB WIFI",B1575)),
ISNUMBER(SEARCH("POWERBANK",B1575)),
ISNUMBER(SEARCH("CARGADOR",B1575)),
ISNUMBER(SEARCH("COOLER PARA NB",B1575)),
ISNUMBER(SEARCH("SOPORTE PARA NB",B1575)),
ISNUMBER(SEARCH("WEBCAM",B1575)),
ISNUMBER(SEARCH("WEB CAM",B1575)),
ISNUMBER(SEARCH("MOUSE",B1575)),
ISNUMBER(SEARCH("TECLADO",B1575))
),
"COMPLEMENTO",
IF(
OR(
LEFT(A1575,2)="NB",
LEFT(A1575,2)="PC",
LEFT(A1575,2)="WS",
LEFT(A1575,2)="TB",
LEFT(A1575,3)="CEL",
LEFT(A1575,3)="MON",
LEFT(A1575,3)="PRE",
LEFT(A1575,3)="PRH",
ISNUMBER(SEARCH("NOTEBOOK",B1575)),
ISNUMBER(SEARCH("LAPTOP",B1575)),
ISNUMBER(SEARCH("MONITOR",B1575)),
ISNUMBER(SEARCH("TABLET",B1575)),
ISNUMBER(SEARCH("SMARTPH",B1575)),
ISNUMBER(SEARCH("IMPRESORA",B1575)),
ISNUMBER(SEARCH("MULTIFUNCIONAL",B1575)),
ISNUMBER(SEARCH("AIO",B1575))
),
"GANCHO",
"NORMAL"
)
)</f>
        <v>NORMAL</v>
      </c>
    </row>
    <row r="1574" spans="1:12" x14ac:dyDescent="0.25">
      <c r="A1574" s="3" t="s">
        <v>4477</v>
      </c>
      <c r="B1574" s="3" t="s">
        <v>4478</v>
      </c>
      <c r="C1574" s="1">
        <v>7</v>
      </c>
      <c r="D1574" s="1">
        <v>19.7</v>
      </c>
      <c r="E1574" s="1" t="s">
        <v>141</v>
      </c>
      <c r="F1574" s="1" t="s">
        <v>4479</v>
      </c>
      <c r="G1574" s="3" t="s">
        <v>4480</v>
      </c>
      <c r="H1574" s="11">
        <f>ROUND(
IF(L1572="GANCHO",
   IF(I1574&lt;=50,I1574*1.1+4,IF(I1574&lt;=120,I1574*1.1+7,IF(I1574&lt;=250,I1574*1.1+11,I1574*1.1+19))),
IF(L1572="NORMAL",
   IF(I1574&lt;=30,I1574*1.15+2,IF(I1574&lt;=80,I1574*1.15+4,IF(I1574&lt;=150,I1574*1.15+6,I1574*1.15+8))),
IF(L1572="COMPLEMENTO",
   IF(I1574&lt;=25,I1574*1.25+1.5,IF(I1574&lt;=60,I1574*1.25+3,IF(I1574&lt;=120,I1574*1.25+4,I1574*1.25+5))),
""))),2)</f>
        <v>99.03</v>
      </c>
      <c r="I1574" s="9">
        <f>($K$2+0.02)*Tabla1[[#This Row],[PRECIO $]]*1.18</f>
        <v>80.896079999999998</v>
      </c>
      <c r="J1574" s="7">
        <f>+Tabla1[[#This Row],[PRECIO EN SOLES]]-Tabla1[[#This Row],[PC]]</f>
        <v>18.133920000000003</v>
      </c>
      <c r="K1574" s="15"/>
      <c r="L1574" s="15" t="str">
        <f>IF(
OR(
ISNUMBER(SEARCH("BACKPACK",B1576)),
ISNUMBER(SEARCH("MOCHILA",B1576)),
ISNUMBER(SEARCH("FUNDA",B1576)),
ISNUMBER(SEARCH("ESTUCHE",B1576)),
ISNUMBER(SEARCH("BOOK COVER",B1576)),
ISNUMBER(SEARCH("KEYBOARD PARA TABLET",B1576)),
ISNUMBER(SEARCH("FLIP TABLET",B1576)),
ISNUMBER(SEARCH("CASE FOR TABLET",B1576)),
ISNUMBER(SEARCH("CABLE",B1576)),
ISNUMBER(SEARCH("ADAPTADOR",B1576)),
ISNUMBER(SEARCH("HUB",B1576)),
ISNUMBER(SEARCH("DOCK",B1576)),
ISNUMBER(SEARCH("MOUSE PAD",B1576)),
ISNUMBER(SEARCH("MOUSEPAD",B1576)),
ISNUMBER(SEARCH("SOPORTE",B1576)),
ISNUMBER(SEARCH("STAND",B1576)),
ISNUMBER(SEARCH("TRAVEL ADAPTER",B1576)),
ISNUMBER(SEARCH("RJ45",B1576)),
ISNUMBER(SEARCH("USB-C",B1576)),
ISNUMBER(SEARCH("USB WIFI",B1576)),
ISNUMBER(SEARCH("POWERBANK",B1576)),
ISNUMBER(SEARCH("CARGADOR",B1576)),
ISNUMBER(SEARCH("COOLER PARA NB",B1576)),
ISNUMBER(SEARCH("SOPORTE PARA NB",B1576)),
ISNUMBER(SEARCH("WEBCAM",B1576)),
ISNUMBER(SEARCH("WEB CAM",B1576)),
ISNUMBER(SEARCH("MOUSE",B1576)),
ISNUMBER(SEARCH("TECLADO",B1576))
),
"COMPLEMENTO",
IF(
OR(
LEFT(A1576,2)="NB",
LEFT(A1576,2)="PC",
LEFT(A1576,2)="WS",
LEFT(A1576,2)="TB",
LEFT(A1576,3)="CEL",
LEFT(A1576,3)="MON",
LEFT(A1576,3)="PRE",
LEFT(A1576,3)="PRH",
ISNUMBER(SEARCH("NOTEBOOK",B1576)),
ISNUMBER(SEARCH("LAPTOP",B1576)),
ISNUMBER(SEARCH("MONITOR",B1576)),
ISNUMBER(SEARCH("TABLET",B1576)),
ISNUMBER(SEARCH("SMARTPH",B1576)),
ISNUMBER(SEARCH("IMPRESORA",B1576)),
ISNUMBER(SEARCH("MULTIFUNCIONAL",B1576)),
ISNUMBER(SEARCH("AIO",B1576))
),
"GANCHO",
"NORMAL"
)
)</f>
        <v>NORMAL</v>
      </c>
    </row>
    <row r="1575" spans="1:12" x14ac:dyDescent="0.25">
      <c r="A1575" s="3" t="s">
        <v>2507</v>
      </c>
      <c r="B1575" s="3" t="s">
        <v>2508</v>
      </c>
      <c r="C1575" s="1">
        <v>20</v>
      </c>
      <c r="D1575" s="1">
        <v>14</v>
      </c>
      <c r="E1575" s="1" t="s">
        <v>141</v>
      </c>
      <c r="F1575" s="1" t="s">
        <v>4029</v>
      </c>
      <c r="G1575" s="3"/>
      <c r="H1575" s="11">
        <f>ROUND(
IF(L1573="GANCHO",
   IF(I1575&lt;=50,I1575*1.1+4,IF(I1575&lt;=120,I1575*1.1+7,IF(I1575&lt;=250,I1575*1.1+11,I1575*1.1+19))),
IF(L1573="NORMAL",
   IF(I1575&lt;=30,I1575*1.15+2,IF(I1575&lt;=80,I1575*1.15+4,IF(I1575&lt;=150,I1575*1.15+6,I1575*1.15+8))),
IF(L1573="COMPLEMENTO",
   IF(I1575&lt;=25,I1575*1.25+1.5,IF(I1575&lt;=60,I1575*1.25+3,IF(I1575&lt;=120,I1575*1.25+4,I1575*1.25+5))),
""))),2)</f>
        <v>70.11</v>
      </c>
      <c r="I1575" s="9">
        <f>($K$2+0.02)*Tabla1[[#This Row],[PRECIO $]]*1.18</f>
        <v>57.489599999999996</v>
      </c>
      <c r="J1575" s="7">
        <f>+Tabla1[[#This Row],[PRECIO EN SOLES]]-Tabla1[[#This Row],[PC]]</f>
        <v>12.620400000000004</v>
      </c>
      <c r="K1575" s="15"/>
      <c r="L1575" s="15" t="str">
        <f>IF(
OR(
ISNUMBER(SEARCH("BACKPACK",B1577)),
ISNUMBER(SEARCH("MOCHILA",B1577)),
ISNUMBER(SEARCH("FUNDA",B1577)),
ISNUMBER(SEARCH("ESTUCHE",B1577)),
ISNUMBER(SEARCH("BOOK COVER",B1577)),
ISNUMBER(SEARCH("KEYBOARD PARA TABLET",B1577)),
ISNUMBER(SEARCH("FLIP TABLET",B1577)),
ISNUMBER(SEARCH("CASE FOR TABLET",B1577)),
ISNUMBER(SEARCH("CABLE",B1577)),
ISNUMBER(SEARCH("ADAPTADOR",B1577)),
ISNUMBER(SEARCH("HUB",B1577)),
ISNUMBER(SEARCH("DOCK",B1577)),
ISNUMBER(SEARCH("MOUSE PAD",B1577)),
ISNUMBER(SEARCH("MOUSEPAD",B1577)),
ISNUMBER(SEARCH("SOPORTE",B1577)),
ISNUMBER(SEARCH("STAND",B1577)),
ISNUMBER(SEARCH("TRAVEL ADAPTER",B1577)),
ISNUMBER(SEARCH("RJ45",B1577)),
ISNUMBER(SEARCH("USB-C",B1577)),
ISNUMBER(SEARCH("USB WIFI",B1577)),
ISNUMBER(SEARCH("POWERBANK",B1577)),
ISNUMBER(SEARCH("CARGADOR",B1577)),
ISNUMBER(SEARCH("COOLER PARA NB",B1577)),
ISNUMBER(SEARCH("SOPORTE PARA NB",B1577)),
ISNUMBER(SEARCH("WEBCAM",B1577)),
ISNUMBER(SEARCH("WEB CAM",B1577)),
ISNUMBER(SEARCH("MOUSE",B1577)),
ISNUMBER(SEARCH("TECLADO",B1577))
),
"COMPLEMENTO",
IF(
OR(
LEFT(A1577,2)="NB",
LEFT(A1577,2)="PC",
LEFT(A1577,2)="WS",
LEFT(A1577,2)="TB",
LEFT(A1577,3)="CEL",
LEFT(A1577,3)="MON",
LEFT(A1577,3)="PRE",
LEFT(A1577,3)="PRH",
ISNUMBER(SEARCH("NOTEBOOK",B1577)),
ISNUMBER(SEARCH("LAPTOP",B1577)),
ISNUMBER(SEARCH("MONITOR",B1577)),
ISNUMBER(SEARCH("TABLET",B1577)),
ISNUMBER(SEARCH("SMARTPH",B1577)),
ISNUMBER(SEARCH("IMPRESORA",B1577)),
ISNUMBER(SEARCH("MULTIFUNCIONAL",B1577)),
ISNUMBER(SEARCH("AIO",B1577))
),
"GANCHO",
"NORMAL"
)
)</f>
        <v>NORMAL</v>
      </c>
    </row>
    <row r="1576" spans="1:12" x14ac:dyDescent="0.25">
      <c r="A1576" s="3" t="s">
        <v>2509</v>
      </c>
      <c r="B1576" s="3" t="s">
        <v>2510</v>
      </c>
      <c r="C1576" s="1">
        <v>20</v>
      </c>
      <c r="D1576" s="1">
        <v>14</v>
      </c>
      <c r="E1576" s="1" t="s">
        <v>141</v>
      </c>
      <c r="F1576" s="1" t="s">
        <v>4030</v>
      </c>
      <c r="G1576" s="3"/>
      <c r="H1576" s="11">
        <f>ROUND(
IF(L1574="GANCHO",
   IF(I1576&lt;=50,I1576*1.1+4,IF(I1576&lt;=120,I1576*1.1+7,IF(I1576&lt;=250,I1576*1.1+11,I1576*1.1+19))),
IF(L1574="NORMAL",
   IF(I1576&lt;=30,I1576*1.15+2,IF(I1576&lt;=80,I1576*1.15+4,IF(I1576&lt;=150,I1576*1.15+6,I1576*1.15+8))),
IF(L1574="COMPLEMENTO",
   IF(I1576&lt;=25,I1576*1.25+1.5,IF(I1576&lt;=60,I1576*1.25+3,IF(I1576&lt;=120,I1576*1.25+4,I1576*1.25+5))),
""))),2)</f>
        <v>70.11</v>
      </c>
      <c r="I1576" s="9">
        <f>($K$2+0.02)*Tabla1[[#This Row],[PRECIO $]]*1.18</f>
        <v>57.489599999999996</v>
      </c>
      <c r="J1576" s="7">
        <f>+Tabla1[[#This Row],[PRECIO EN SOLES]]-Tabla1[[#This Row],[PC]]</f>
        <v>12.620400000000004</v>
      </c>
      <c r="K1576" s="15"/>
      <c r="L1576" s="15" t="str">
        <f>IF(
OR(
ISNUMBER(SEARCH("BACKPACK",B1578)),
ISNUMBER(SEARCH("MOCHILA",B1578)),
ISNUMBER(SEARCH("FUNDA",B1578)),
ISNUMBER(SEARCH("ESTUCHE",B1578)),
ISNUMBER(SEARCH("BOOK COVER",B1578)),
ISNUMBER(SEARCH("KEYBOARD PARA TABLET",B1578)),
ISNUMBER(SEARCH("FLIP TABLET",B1578)),
ISNUMBER(SEARCH("CASE FOR TABLET",B1578)),
ISNUMBER(SEARCH("CABLE",B1578)),
ISNUMBER(SEARCH("ADAPTADOR",B1578)),
ISNUMBER(SEARCH("HUB",B1578)),
ISNUMBER(SEARCH("DOCK",B1578)),
ISNUMBER(SEARCH("MOUSE PAD",B1578)),
ISNUMBER(SEARCH("MOUSEPAD",B1578)),
ISNUMBER(SEARCH("SOPORTE",B1578)),
ISNUMBER(SEARCH("STAND",B1578)),
ISNUMBER(SEARCH("TRAVEL ADAPTER",B1578)),
ISNUMBER(SEARCH("RJ45",B1578)),
ISNUMBER(SEARCH("USB-C",B1578)),
ISNUMBER(SEARCH("USB WIFI",B1578)),
ISNUMBER(SEARCH("POWERBANK",B1578)),
ISNUMBER(SEARCH("CARGADOR",B1578)),
ISNUMBER(SEARCH("COOLER PARA NB",B1578)),
ISNUMBER(SEARCH("SOPORTE PARA NB",B1578)),
ISNUMBER(SEARCH("WEBCAM",B1578)),
ISNUMBER(SEARCH("WEB CAM",B1578)),
ISNUMBER(SEARCH("MOUSE",B1578)),
ISNUMBER(SEARCH("TECLADO",B1578))
),
"COMPLEMENTO",
IF(
OR(
LEFT(A1578,2)="NB",
LEFT(A1578,2)="PC",
LEFT(A1578,2)="WS",
LEFT(A1578,2)="TB",
LEFT(A1578,3)="CEL",
LEFT(A1578,3)="MON",
LEFT(A1578,3)="PRE",
LEFT(A1578,3)="PRH",
ISNUMBER(SEARCH("NOTEBOOK",B1578)),
ISNUMBER(SEARCH("LAPTOP",B1578)),
ISNUMBER(SEARCH("MONITOR",B1578)),
ISNUMBER(SEARCH("TABLET",B1578)),
ISNUMBER(SEARCH("SMARTPH",B1578)),
ISNUMBER(SEARCH("IMPRESORA",B1578)),
ISNUMBER(SEARCH("MULTIFUNCIONAL",B1578)),
ISNUMBER(SEARCH("AIO",B1578))
),
"GANCHO",
"NORMAL"
)
)</f>
        <v>NORMAL</v>
      </c>
    </row>
    <row r="1577" spans="1:12" x14ac:dyDescent="0.25">
      <c r="A1577" s="3" t="s">
        <v>2511</v>
      </c>
      <c r="B1577" s="3" t="s">
        <v>2512</v>
      </c>
      <c r="C1577" s="1">
        <v>20</v>
      </c>
      <c r="D1577" s="1">
        <v>14.6</v>
      </c>
      <c r="E1577" s="1" t="s">
        <v>141</v>
      </c>
      <c r="F1577" s="1" t="s">
        <v>4031</v>
      </c>
      <c r="G1577" s="3"/>
      <c r="H1577" s="11">
        <f>ROUND(
IF(L1575="GANCHO",
   IF(I1577&lt;=50,I1577*1.1+4,IF(I1577&lt;=120,I1577*1.1+7,IF(I1577&lt;=250,I1577*1.1+11,I1577*1.1+19))),
IF(L1575="NORMAL",
   IF(I1577&lt;=30,I1577*1.15+2,IF(I1577&lt;=80,I1577*1.15+4,IF(I1577&lt;=150,I1577*1.15+6,I1577*1.15+8))),
IF(L1575="COMPLEMENTO",
   IF(I1577&lt;=25,I1577*1.25+1.5,IF(I1577&lt;=60,I1577*1.25+3,IF(I1577&lt;=120,I1577*1.25+4,I1577*1.25+5))),
""))),2)</f>
        <v>72.95</v>
      </c>
      <c r="I1577" s="9">
        <f>($K$2+0.02)*Tabla1[[#This Row],[PRECIO $]]*1.18</f>
        <v>59.953439999999993</v>
      </c>
      <c r="J1577" s="7">
        <f>+Tabla1[[#This Row],[PRECIO EN SOLES]]-Tabla1[[#This Row],[PC]]</f>
        <v>12.996560000000009</v>
      </c>
      <c r="K1577" s="15"/>
      <c r="L1577" s="15" t="str">
        <f>IF(
OR(
ISNUMBER(SEARCH("BACKPACK",B1579)),
ISNUMBER(SEARCH("MOCHILA",B1579)),
ISNUMBER(SEARCH("FUNDA",B1579)),
ISNUMBER(SEARCH("ESTUCHE",B1579)),
ISNUMBER(SEARCH("BOOK COVER",B1579)),
ISNUMBER(SEARCH("KEYBOARD PARA TABLET",B1579)),
ISNUMBER(SEARCH("FLIP TABLET",B1579)),
ISNUMBER(SEARCH("CASE FOR TABLET",B1579)),
ISNUMBER(SEARCH("CABLE",B1579)),
ISNUMBER(SEARCH("ADAPTADOR",B1579)),
ISNUMBER(SEARCH("HUB",B1579)),
ISNUMBER(SEARCH("DOCK",B1579)),
ISNUMBER(SEARCH("MOUSE PAD",B1579)),
ISNUMBER(SEARCH("MOUSEPAD",B1579)),
ISNUMBER(SEARCH("SOPORTE",B1579)),
ISNUMBER(SEARCH("STAND",B1579)),
ISNUMBER(SEARCH("TRAVEL ADAPTER",B1579)),
ISNUMBER(SEARCH("RJ45",B1579)),
ISNUMBER(SEARCH("USB-C",B1579)),
ISNUMBER(SEARCH("USB WIFI",B1579)),
ISNUMBER(SEARCH("POWERBANK",B1579)),
ISNUMBER(SEARCH("CARGADOR",B1579)),
ISNUMBER(SEARCH("COOLER PARA NB",B1579)),
ISNUMBER(SEARCH("SOPORTE PARA NB",B1579)),
ISNUMBER(SEARCH("WEBCAM",B1579)),
ISNUMBER(SEARCH("WEB CAM",B1579)),
ISNUMBER(SEARCH("MOUSE",B1579)),
ISNUMBER(SEARCH("TECLADO",B1579))
),
"COMPLEMENTO",
IF(
OR(
LEFT(A1579,2)="NB",
LEFT(A1579,2)="PC",
LEFT(A1579,2)="WS",
LEFT(A1579,2)="TB",
LEFT(A1579,3)="CEL",
LEFT(A1579,3)="MON",
LEFT(A1579,3)="PRE",
LEFT(A1579,3)="PRH",
ISNUMBER(SEARCH("NOTEBOOK",B1579)),
ISNUMBER(SEARCH("LAPTOP",B1579)),
ISNUMBER(SEARCH("MONITOR",B1579)),
ISNUMBER(SEARCH("TABLET",B1579)),
ISNUMBER(SEARCH("SMARTPH",B1579)),
ISNUMBER(SEARCH("IMPRESORA",B1579)),
ISNUMBER(SEARCH("MULTIFUNCIONAL",B1579)),
ISNUMBER(SEARCH("AIO",B1579))
),
"GANCHO",
"NORMAL"
)
)</f>
        <v>NORMAL</v>
      </c>
    </row>
    <row r="1578" spans="1:12" x14ac:dyDescent="0.25">
      <c r="A1578" s="3" t="s">
        <v>2513</v>
      </c>
      <c r="B1578" s="3" t="s">
        <v>2514</v>
      </c>
      <c r="C1578" s="1">
        <v>20</v>
      </c>
      <c r="D1578" s="1">
        <v>14.8</v>
      </c>
      <c r="E1578" s="1" t="s">
        <v>141</v>
      </c>
      <c r="F1578" s="1" t="s">
        <v>4032</v>
      </c>
      <c r="G1578" s="3"/>
      <c r="H1578" s="11">
        <f>ROUND(
IF(L1576="GANCHO",
   IF(I1578&lt;=50,I1578*1.1+4,IF(I1578&lt;=120,I1578*1.1+7,IF(I1578&lt;=250,I1578*1.1+11,I1578*1.1+19))),
IF(L1576="NORMAL",
   IF(I1578&lt;=30,I1578*1.15+2,IF(I1578&lt;=80,I1578*1.15+4,IF(I1578&lt;=150,I1578*1.15+6,I1578*1.15+8))),
IF(L1576="COMPLEMENTO",
   IF(I1578&lt;=25,I1578*1.25+1.5,IF(I1578&lt;=60,I1578*1.25+3,IF(I1578&lt;=120,I1578*1.25+4,I1578*1.25+5))),
""))),2)</f>
        <v>73.89</v>
      </c>
      <c r="I1578" s="9">
        <f>($K$2+0.02)*Tabla1[[#This Row],[PRECIO $]]*1.18</f>
        <v>60.774720000000002</v>
      </c>
      <c r="J1578" s="7">
        <f>+Tabla1[[#This Row],[PRECIO EN SOLES]]-Tabla1[[#This Row],[PC]]</f>
        <v>13.115279999999998</v>
      </c>
      <c r="K1578" s="15"/>
      <c r="L1578" s="15" t="str">
        <f>IF(
OR(
ISNUMBER(SEARCH("BACKPACK",B1580)),
ISNUMBER(SEARCH("MOCHILA",B1580)),
ISNUMBER(SEARCH("FUNDA",B1580)),
ISNUMBER(SEARCH("ESTUCHE",B1580)),
ISNUMBER(SEARCH("BOOK COVER",B1580)),
ISNUMBER(SEARCH("KEYBOARD PARA TABLET",B1580)),
ISNUMBER(SEARCH("FLIP TABLET",B1580)),
ISNUMBER(SEARCH("CASE FOR TABLET",B1580)),
ISNUMBER(SEARCH("CABLE",B1580)),
ISNUMBER(SEARCH("ADAPTADOR",B1580)),
ISNUMBER(SEARCH("HUB",B1580)),
ISNUMBER(SEARCH("DOCK",B1580)),
ISNUMBER(SEARCH("MOUSE PAD",B1580)),
ISNUMBER(SEARCH("MOUSEPAD",B1580)),
ISNUMBER(SEARCH("SOPORTE",B1580)),
ISNUMBER(SEARCH("STAND",B1580)),
ISNUMBER(SEARCH("TRAVEL ADAPTER",B1580)),
ISNUMBER(SEARCH("RJ45",B1580)),
ISNUMBER(SEARCH("USB-C",B1580)),
ISNUMBER(SEARCH("USB WIFI",B1580)),
ISNUMBER(SEARCH("POWERBANK",B1580)),
ISNUMBER(SEARCH("CARGADOR",B1580)),
ISNUMBER(SEARCH("COOLER PARA NB",B1580)),
ISNUMBER(SEARCH("SOPORTE PARA NB",B1580)),
ISNUMBER(SEARCH("WEBCAM",B1580)),
ISNUMBER(SEARCH("WEB CAM",B1580)),
ISNUMBER(SEARCH("MOUSE",B1580)),
ISNUMBER(SEARCH("TECLADO",B1580))
),
"COMPLEMENTO",
IF(
OR(
LEFT(A1580,2)="NB",
LEFT(A1580,2)="PC",
LEFT(A1580,2)="WS",
LEFT(A1580,2)="TB",
LEFT(A1580,3)="CEL",
LEFT(A1580,3)="MON",
LEFT(A1580,3)="PRE",
LEFT(A1580,3)="PRH",
ISNUMBER(SEARCH("NOTEBOOK",B1580)),
ISNUMBER(SEARCH("LAPTOP",B1580)),
ISNUMBER(SEARCH("MONITOR",B1580)),
ISNUMBER(SEARCH("TABLET",B1580)),
ISNUMBER(SEARCH("SMARTPH",B1580)),
ISNUMBER(SEARCH("IMPRESORA",B1580)),
ISNUMBER(SEARCH("MULTIFUNCIONAL",B1580)),
ISNUMBER(SEARCH("AIO",B1580))
),
"GANCHO",
"NORMAL"
)
)</f>
        <v>NORMAL</v>
      </c>
    </row>
    <row r="1579" spans="1:12" x14ac:dyDescent="0.25">
      <c r="A1579" s="3" t="s">
        <v>2515</v>
      </c>
      <c r="B1579" s="3" t="s">
        <v>2516</v>
      </c>
      <c r="C1579" s="1">
        <v>20</v>
      </c>
      <c r="D1579" s="1">
        <v>14</v>
      </c>
      <c r="E1579" s="1" t="s">
        <v>141</v>
      </c>
      <c r="F1579" s="1" t="s">
        <v>4033</v>
      </c>
      <c r="G1579" s="3"/>
      <c r="H1579" s="11">
        <f>ROUND(
IF(L1577="GANCHO",
   IF(I1579&lt;=50,I1579*1.1+4,IF(I1579&lt;=120,I1579*1.1+7,IF(I1579&lt;=250,I1579*1.1+11,I1579*1.1+19))),
IF(L1577="NORMAL",
   IF(I1579&lt;=30,I1579*1.15+2,IF(I1579&lt;=80,I1579*1.15+4,IF(I1579&lt;=150,I1579*1.15+6,I1579*1.15+8))),
IF(L1577="COMPLEMENTO",
   IF(I1579&lt;=25,I1579*1.25+1.5,IF(I1579&lt;=60,I1579*1.25+3,IF(I1579&lt;=120,I1579*1.25+4,I1579*1.25+5))),
""))),2)</f>
        <v>70.11</v>
      </c>
      <c r="I1579" s="9">
        <f>($K$2+0.02)*Tabla1[[#This Row],[PRECIO $]]*1.18</f>
        <v>57.489599999999996</v>
      </c>
      <c r="J1579" s="7">
        <f>+Tabla1[[#This Row],[PRECIO EN SOLES]]-Tabla1[[#This Row],[PC]]</f>
        <v>12.620400000000004</v>
      </c>
      <c r="K1579" s="15"/>
      <c r="L1579" s="15" t="str">
        <f>IF(
OR(
ISNUMBER(SEARCH("BACKPACK",B1581)),
ISNUMBER(SEARCH("MOCHILA",B1581)),
ISNUMBER(SEARCH("FUNDA",B1581)),
ISNUMBER(SEARCH("ESTUCHE",B1581)),
ISNUMBER(SEARCH("BOOK COVER",B1581)),
ISNUMBER(SEARCH("KEYBOARD PARA TABLET",B1581)),
ISNUMBER(SEARCH("FLIP TABLET",B1581)),
ISNUMBER(SEARCH("CASE FOR TABLET",B1581)),
ISNUMBER(SEARCH("CABLE",B1581)),
ISNUMBER(SEARCH("ADAPTADOR",B1581)),
ISNUMBER(SEARCH("HUB",B1581)),
ISNUMBER(SEARCH("DOCK",B1581)),
ISNUMBER(SEARCH("MOUSE PAD",B1581)),
ISNUMBER(SEARCH("MOUSEPAD",B1581)),
ISNUMBER(SEARCH("SOPORTE",B1581)),
ISNUMBER(SEARCH("STAND",B1581)),
ISNUMBER(SEARCH("TRAVEL ADAPTER",B1581)),
ISNUMBER(SEARCH("RJ45",B1581)),
ISNUMBER(SEARCH("USB-C",B1581)),
ISNUMBER(SEARCH("USB WIFI",B1581)),
ISNUMBER(SEARCH("POWERBANK",B1581)),
ISNUMBER(SEARCH("CARGADOR",B1581)),
ISNUMBER(SEARCH("COOLER PARA NB",B1581)),
ISNUMBER(SEARCH("SOPORTE PARA NB",B1581)),
ISNUMBER(SEARCH("WEBCAM",B1581)),
ISNUMBER(SEARCH("WEB CAM",B1581)),
ISNUMBER(SEARCH("MOUSE",B1581)),
ISNUMBER(SEARCH("TECLADO",B1581))
),
"COMPLEMENTO",
IF(
OR(
LEFT(A1581,2)="NB",
LEFT(A1581,2)="PC",
LEFT(A1581,2)="WS",
LEFT(A1581,2)="TB",
LEFT(A1581,3)="CEL",
LEFT(A1581,3)="MON",
LEFT(A1581,3)="PRE",
LEFT(A1581,3)="PRH",
ISNUMBER(SEARCH("NOTEBOOK",B1581)),
ISNUMBER(SEARCH("LAPTOP",B1581)),
ISNUMBER(SEARCH("MONITOR",B1581)),
ISNUMBER(SEARCH("TABLET",B1581)),
ISNUMBER(SEARCH("SMARTPH",B1581)),
ISNUMBER(SEARCH("IMPRESORA",B1581)),
ISNUMBER(SEARCH("MULTIFUNCIONAL",B1581)),
ISNUMBER(SEARCH("AIO",B1581))
),
"GANCHO",
"NORMAL"
)
)</f>
        <v>NORMAL</v>
      </c>
    </row>
    <row r="1580" spans="1:12" x14ac:dyDescent="0.25">
      <c r="A1580" s="3" t="s">
        <v>495</v>
      </c>
      <c r="B1580" s="3" t="s">
        <v>496</v>
      </c>
      <c r="C1580" s="1">
        <v>20</v>
      </c>
      <c r="D1580" s="1">
        <v>12.3</v>
      </c>
      <c r="E1580" s="1" t="s">
        <v>141</v>
      </c>
      <c r="F1580" s="1" t="s">
        <v>4034</v>
      </c>
      <c r="G1580" s="3"/>
      <c r="H1580" s="11">
        <f>ROUND(
IF(L1578="GANCHO",
   IF(I1580&lt;=50,I1580*1.1+4,IF(I1580&lt;=120,I1580*1.1+7,IF(I1580&lt;=250,I1580*1.1+11,I1580*1.1+19))),
IF(L1578="NORMAL",
   IF(I1580&lt;=30,I1580*1.15+2,IF(I1580&lt;=80,I1580*1.15+4,IF(I1580&lt;=150,I1580*1.15+6,I1580*1.15+8))),
IF(L1578="COMPLEMENTO",
   IF(I1580&lt;=25,I1580*1.25+1.5,IF(I1580&lt;=60,I1580*1.25+3,IF(I1580&lt;=120,I1580*1.25+4,I1580*1.25+5))),
""))),2)</f>
        <v>62.09</v>
      </c>
      <c r="I1580" s="9">
        <f>($K$2+0.02)*Tabla1[[#This Row],[PRECIO $]]*1.18</f>
        <v>50.508719999999997</v>
      </c>
      <c r="J1580" s="7">
        <f>+Tabla1[[#This Row],[PRECIO EN SOLES]]-Tabla1[[#This Row],[PC]]</f>
        <v>11.581280000000007</v>
      </c>
      <c r="K1580" s="15"/>
      <c r="L1580" s="15" t="str">
        <f>IF(
OR(
ISNUMBER(SEARCH("BACKPACK",B1582)),
ISNUMBER(SEARCH("MOCHILA",B1582)),
ISNUMBER(SEARCH("FUNDA",B1582)),
ISNUMBER(SEARCH("ESTUCHE",B1582)),
ISNUMBER(SEARCH("BOOK COVER",B1582)),
ISNUMBER(SEARCH("KEYBOARD PARA TABLET",B1582)),
ISNUMBER(SEARCH("FLIP TABLET",B1582)),
ISNUMBER(SEARCH("CASE FOR TABLET",B1582)),
ISNUMBER(SEARCH("CABLE",B1582)),
ISNUMBER(SEARCH("ADAPTADOR",B1582)),
ISNUMBER(SEARCH("HUB",B1582)),
ISNUMBER(SEARCH("DOCK",B1582)),
ISNUMBER(SEARCH("MOUSE PAD",B1582)),
ISNUMBER(SEARCH("MOUSEPAD",B1582)),
ISNUMBER(SEARCH("SOPORTE",B1582)),
ISNUMBER(SEARCH("STAND",B1582)),
ISNUMBER(SEARCH("TRAVEL ADAPTER",B1582)),
ISNUMBER(SEARCH("RJ45",B1582)),
ISNUMBER(SEARCH("USB-C",B1582)),
ISNUMBER(SEARCH("USB WIFI",B1582)),
ISNUMBER(SEARCH("POWERBANK",B1582)),
ISNUMBER(SEARCH("CARGADOR",B1582)),
ISNUMBER(SEARCH("COOLER PARA NB",B1582)),
ISNUMBER(SEARCH("SOPORTE PARA NB",B1582)),
ISNUMBER(SEARCH("WEBCAM",B1582)),
ISNUMBER(SEARCH("WEB CAM",B1582)),
ISNUMBER(SEARCH("MOUSE",B1582)),
ISNUMBER(SEARCH("TECLADO",B1582))
),
"COMPLEMENTO",
IF(
OR(
LEFT(A1582,2)="NB",
LEFT(A1582,2)="PC",
LEFT(A1582,2)="WS",
LEFT(A1582,2)="TB",
LEFT(A1582,3)="CEL",
LEFT(A1582,3)="MON",
LEFT(A1582,3)="PRE",
LEFT(A1582,3)="PRH",
ISNUMBER(SEARCH("NOTEBOOK",B1582)),
ISNUMBER(SEARCH("LAPTOP",B1582)),
ISNUMBER(SEARCH("MONITOR",B1582)),
ISNUMBER(SEARCH("TABLET",B1582)),
ISNUMBER(SEARCH("SMARTPH",B1582)),
ISNUMBER(SEARCH("IMPRESORA",B1582)),
ISNUMBER(SEARCH("MULTIFUNCIONAL",B1582)),
ISNUMBER(SEARCH("AIO",B1582))
),
"GANCHO",
"NORMAL"
)
)</f>
        <v>NORMAL</v>
      </c>
    </row>
    <row r="1581" spans="1:12" x14ac:dyDescent="0.25">
      <c r="A1581" s="3" t="s">
        <v>497</v>
      </c>
      <c r="B1581" s="3" t="s">
        <v>498</v>
      </c>
      <c r="C1581" s="1">
        <v>0</v>
      </c>
      <c r="D1581" s="1">
        <v>12.3</v>
      </c>
      <c r="E1581" s="1" t="s">
        <v>141</v>
      </c>
      <c r="F1581" s="1" t="s">
        <v>4035</v>
      </c>
      <c r="G1581" s="3"/>
      <c r="H1581" s="11">
        <f>ROUND(
IF(L1579="GANCHO",
   IF(I1581&lt;=50,I1581*1.1+4,IF(I1581&lt;=120,I1581*1.1+7,IF(I1581&lt;=250,I1581*1.1+11,I1581*1.1+19))),
IF(L1579="NORMAL",
   IF(I1581&lt;=30,I1581*1.15+2,IF(I1581&lt;=80,I1581*1.15+4,IF(I1581&lt;=150,I1581*1.15+6,I1581*1.15+8))),
IF(L1579="COMPLEMENTO",
   IF(I1581&lt;=25,I1581*1.25+1.5,IF(I1581&lt;=60,I1581*1.25+3,IF(I1581&lt;=120,I1581*1.25+4,I1581*1.25+5))),
""))),2)</f>
        <v>62.09</v>
      </c>
      <c r="I1581" s="9">
        <f>($K$2+0.02)*Tabla1[[#This Row],[PRECIO $]]*1.18</f>
        <v>50.508719999999997</v>
      </c>
      <c r="J1581" s="7">
        <f>+Tabla1[[#This Row],[PRECIO EN SOLES]]-Tabla1[[#This Row],[PC]]</f>
        <v>11.581280000000007</v>
      </c>
      <c r="K1581" s="15"/>
      <c r="L1581" s="15" t="str">
        <f>IF(
OR(
ISNUMBER(SEARCH("BACKPACK",B1583)),
ISNUMBER(SEARCH("MOCHILA",B1583)),
ISNUMBER(SEARCH("FUNDA",B1583)),
ISNUMBER(SEARCH("ESTUCHE",B1583)),
ISNUMBER(SEARCH("BOOK COVER",B1583)),
ISNUMBER(SEARCH("KEYBOARD PARA TABLET",B1583)),
ISNUMBER(SEARCH("FLIP TABLET",B1583)),
ISNUMBER(SEARCH("CASE FOR TABLET",B1583)),
ISNUMBER(SEARCH("CABLE",B1583)),
ISNUMBER(SEARCH("ADAPTADOR",B1583)),
ISNUMBER(SEARCH("HUB",B1583)),
ISNUMBER(SEARCH("DOCK",B1583)),
ISNUMBER(SEARCH("MOUSE PAD",B1583)),
ISNUMBER(SEARCH("MOUSEPAD",B1583)),
ISNUMBER(SEARCH("SOPORTE",B1583)),
ISNUMBER(SEARCH("STAND",B1583)),
ISNUMBER(SEARCH("TRAVEL ADAPTER",B1583)),
ISNUMBER(SEARCH("RJ45",B1583)),
ISNUMBER(SEARCH("USB-C",B1583)),
ISNUMBER(SEARCH("USB WIFI",B1583)),
ISNUMBER(SEARCH("POWERBANK",B1583)),
ISNUMBER(SEARCH("CARGADOR",B1583)),
ISNUMBER(SEARCH("COOLER PARA NB",B1583)),
ISNUMBER(SEARCH("SOPORTE PARA NB",B1583)),
ISNUMBER(SEARCH("WEBCAM",B1583)),
ISNUMBER(SEARCH("WEB CAM",B1583)),
ISNUMBER(SEARCH("MOUSE",B1583)),
ISNUMBER(SEARCH("TECLADO",B1583))
),
"COMPLEMENTO",
IF(
OR(
LEFT(A1583,2)="NB",
LEFT(A1583,2)="PC",
LEFT(A1583,2)="WS",
LEFT(A1583,2)="TB",
LEFT(A1583,3)="CEL",
LEFT(A1583,3)="MON",
LEFT(A1583,3)="PRE",
LEFT(A1583,3)="PRH",
ISNUMBER(SEARCH("NOTEBOOK",B1583)),
ISNUMBER(SEARCH("LAPTOP",B1583)),
ISNUMBER(SEARCH("MONITOR",B1583)),
ISNUMBER(SEARCH("TABLET",B1583)),
ISNUMBER(SEARCH("SMARTPH",B1583)),
ISNUMBER(SEARCH("IMPRESORA",B1583)),
ISNUMBER(SEARCH("MULTIFUNCIONAL",B1583)),
ISNUMBER(SEARCH("AIO",B1583))
),
"GANCHO",
"NORMAL"
)
)</f>
        <v>NORMAL</v>
      </c>
    </row>
    <row r="1582" spans="1:12" x14ac:dyDescent="0.25">
      <c r="A1582" s="3" t="s">
        <v>499</v>
      </c>
      <c r="B1582" s="3" t="s">
        <v>500</v>
      </c>
      <c r="C1582" s="1">
        <v>20</v>
      </c>
      <c r="D1582" s="1">
        <v>12.2</v>
      </c>
      <c r="E1582" s="1" t="s">
        <v>141</v>
      </c>
      <c r="F1582" s="1" t="s">
        <v>4036</v>
      </c>
      <c r="G1582" s="3"/>
      <c r="H1582" s="11">
        <f>ROUND(
IF(L1580="GANCHO",
   IF(I1582&lt;=50,I1582*1.1+4,IF(I1582&lt;=120,I1582*1.1+7,IF(I1582&lt;=250,I1582*1.1+11,I1582*1.1+19))),
IF(L1580="NORMAL",
   IF(I1582&lt;=30,I1582*1.15+2,IF(I1582&lt;=80,I1582*1.15+4,IF(I1582&lt;=150,I1582*1.15+6,I1582*1.15+8))),
IF(L1580="COMPLEMENTO",
   IF(I1582&lt;=25,I1582*1.25+1.5,IF(I1582&lt;=60,I1582*1.25+3,IF(I1582&lt;=120,I1582*1.25+4,I1582*1.25+5))),
""))),2)</f>
        <v>61.61</v>
      </c>
      <c r="I1582" s="9">
        <f>($K$2+0.02)*Tabla1[[#This Row],[PRECIO $]]*1.18</f>
        <v>50.098079999999996</v>
      </c>
      <c r="J1582" s="7">
        <f>+Tabla1[[#This Row],[PRECIO EN SOLES]]-Tabla1[[#This Row],[PC]]</f>
        <v>11.511920000000003</v>
      </c>
      <c r="K1582" s="15"/>
      <c r="L1582" s="15" t="str">
        <f>IF(
OR(
ISNUMBER(SEARCH("BACKPACK",B1584)),
ISNUMBER(SEARCH("MOCHILA",B1584)),
ISNUMBER(SEARCH("FUNDA",B1584)),
ISNUMBER(SEARCH("ESTUCHE",B1584)),
ISNUMBER(SEARCH("BOOK COVER",B1584)),
ISNUMBER(SEARCH("KEYBOARD PARA TABLET",B1584)),
ISNUMBER(SEARCH("FLIP TABLET",B1584)),
ISNUMBER(SEARCH("CASE FOR TABLET",B1584)),
ISNUMBER(SEARCH("CABLE",B1584)),
ISNUMBER(SEARCH("ADAPTADOR",B1584)),
ISNUMBER(SEARCH("HUB",B1584)),
ISNUMBER(SEARCH("DOCK",B1584)),
ISNUMBER(SEARCH("MOUSE PAD",B1584)),
ISNUMBER(SEARCH("MOUSEPAD",B1584)),
ISNUMBER(SEARCH("SOPORTE",B1584)),
ISNUMBER(SEARCH("STAND",B1584)),
ISNUMBER(SEARCH("TRAVEL ADAPTER",B1584)),
ISNUMBER(SEARCH("RJ45",B1584)),
ISNUMBER(SEARCH("USB-C",B1584)),
ISNUMBER(SEARCH("USB WIFI",B1584)),
ISNUMBER(SEARCH("POWERBANK",B1584)),
ISNUMBER(SEARCH("CARGADOR",B1584)),
ISNUMBER(SEARCH("COOLER PARA NB",B1584)),
ISNUMBER(SEARCH("SOPORTE PARA NB",B1584)),
ISNUMBER(SEARCH("WEBCAM",B1584)),
ISNUMBER(SEARCH("WEB CAM",B1584)),
ISNUMBER(SEARCH("MOUSE",B1584)),
ISNUMBER(SEARCH("TECLADO",B1584))
),
"COMPLEMENTO",
IF(
OR(
LEFT(A1584,2)="NB",
LEFT(A1584,2)="PC",
LEFT(A1584,2)="WS",
LEFT(A1584,2)="TB",
LEFT(A1584,3)="CEL",
LEFT(A1584,3)="MON",
LEFT(A1584,3)="PRE",
LEFT(A1584,3)="PRH",
ISNUMBER(SEARCH("NOTEBOOK",B1584)),
ISNUMBER(SEARCH("LAPTOP",B1584)),
ISNUMBER(SEARCH("MONITOR",B1584)),
ISNUMBER(SEARCH("TABLET",B1584)),
ISNUMBER(SEARCH("SMARTPH",B1584)),
ISNUMBER(SEARCH("IMPRESORA",B1584)),
ISNUMBER(SEARCH("MULTIFUNCIONAL",B1584)),
ISNUMBER(SEARCH("AIO",B1584))
),
"GANCHO",
"NORMAL"
)
)</f>
        <v>NORMAL</v>
      </c>
    </row>
    <row r="1583" spans="1:12" x14ac:dyDescent="0.25">
      <c r="A1583" s="3" t="s">
        <v>2517</v>
      </c>
      <c r="B1583" s="3" t="s">
        <v>2518</v>
      </c>
      <c r="C1583" s="1">
        <v>2</v>
      </c>
      <c r="D1583" s="1">
        <v>22.5</v>
      </c>
      <c r="E1583" s="1" t="s">
        <v>141</v>
      </c>
      <c r="F1583" s="1" t="s">
        <v>4037</v>
      </c>
      <c r="G1583" s="3"/>
      <c r="H1583" s="11">
        <f>ROUND(
IF(L1581="GANCHO",
   IF(I1583&lt;=50,I1583*1.1+4,IF(I1583&lt;=120,I1583*1.1+7,IF(I1583&lt;=250,I1583*1.1+11,I1583*1.1+19))),
IF(L1581="NORMAL",
   IF(I1583&lt;=30,I1583*1.15+2,IF(I1583&lt;=80,I1583*1.15+4,IF(I1583&lt;=150,I1583*1.15+6,I1583*1.15+8))),
IF(L1581="COMPLEMENTO",
   IF(I1583&lt;=25,I1583*1.25+1.5,IF(I1583&lt;=60,I1583*1.25+3,IF(I1583&lt;=120,I1583*1.25+4,I1583*1.25+5))),
""))),2)</f>
        <v>112.25</v>
      </c>
      <c r="I1583" s="9">
        <f>($K$2+0.02)*Tabla1[[#This Row],[PRECIO $]]*1.18</f>
        <v>92.393999999999991</v>
      </c>
      <c r="J1583" s="7">
        <f>+Tabla1[[#This Row],[PRECIO EN SOLES]]-Tabla1[[#This Row],[PC]]</f>
        <v>19.856000000000009</v>
      </c>
      <c r="K1583" s="15"/>
      <c r="L1583" s="15" t="str">
        <f>IF(
OR(
ISNUMBER(SEARCH("BACKPACK",B1585)),
ISNUMBER(SEARCH("MOCHILA",B1585)),
ISNUMBER(SEARCH("FUNDA",B1585)),
ISNUMBER(SEARCH("ESTUCHE",B1585)),
ISNUMBER(SEARCH("BOOK COVER",B1585)),
ISNUMBER(SEARCH("KEYBOARD PARA TABLET",B1585)),
ISNUMBER(SEARCH("FLIP TABLET",B1585)),
ISNUMBER(SEARCH("CASE FOR TABLET",B1585)),
ISNUMBER(SEARCH("CABLE",B1585)),
ISNUMBER(SEARCH("ADAPTADOR",B1585)),
ISNUMBER(SEARCH("HUB",B1585)),
ISNUMBER(SEARCH("DOCK",B1585)),
ISNUMBER(SEARCH("MOUSE PAD",B1585)),
ISNUMBER(SEARCH("MOUSEPAD",B1585)),
ISNUMBER(SEARCH("SOPORTE",B1585)),
ISNUMBER(SEARCH("STAND",B1585)),
ISNUMBER(SEARCH("TRAVEL ADAPTER",B1585)),
ISNUMBER(SEARCH("RJ45",B1585)),
ISNUMBER(SEARCH("USB-C",B1585)),
ISNUMBER(SEARCH("USB WIFI",B1585)),
ISNUMBER(SEARCH("POWERBANK",B1585)),
ISNUMBER(SEARCH("CARGADOR",B1585)),
ISNUMBER(SEARCH("COOLER PARA NB",B1585)),
ISNUMBER(SEARCH("SOPORTE PARA NB",B1585)),
ISNUMBER(SEARCH("WEBCAM",B1585)),
ISNUMBER(SEARCH("WEB CAM",B1585)),
ISNUMBER(SEARCH("MOUSE",B1585)),
ISNUMBER(SEARCH("TECLADO",B1585))
),
"COMPLEMENTO",
IF(
OR(
LEFT(A1585,2)="NB",
LEFT(A1585,2)="PC",
LEFT(A1585,2)="WS",
LEFT(A1585,2)="TB",
LEFT(A1585,3)="CEL",
LEFT(A1585,3)="MON",
LEFT(A1585,3)="PRE",
LEFT(A1585,3)="PRH",
ISNUMBER(SEARCH("NOTEBOOK",B1585)),
ISNUMBER(SEARCH("LAPTOP",B1585)),
ISNUMBER(SEARCH("MONITOR",B1585)),
ISNUMBER(SEARCH("TABLET",B1585)),
ISNUMBER(SEARCH("SMARTPH",B1585)),
ISNUMBER(SEARCH("IMPRESORA",B1585)),
ISNUMBER(SEARCH("MULTIFUNCIONAL",B1585)),
ISNUMBER(SEARCH("AIO",B1585))
),
"GANCHO",
"NORMAL"
)
)</f>
        <v>NORMAL</v>
      </c>
    </row>
    <row r="1584" spans="1:12" x14ac:dyDescent="0.25">
      <c r="A1584" s="3" t="s">
        <v>501</v>
      </c>
      <c r="B1584" s="3" t="s">
        <v>502</v>
      </c>
      <c r="C1584" s="1">
        <v>20</v>
      </c>
      <c r="D1584" s="1">
        <v>8.3000000000000007</v>
      </c>
      <c r="E1584" s="1" t="s">
        <v>154</v>
      </c>
      <c r="F1584" s="1" t="s">
        <v>4038</v>
      </c>
      <c r="G1584" s="3" t="s">
        <v>503</v>
      </c>
      <c r="H1584" s="11">
        <f>ROUND(
IF(L1582="GANCHO",
   IF(I1584&lt;=50,I1584*1.1+4,IF(I1584&lt;=120,I1584*1.1+7,IF(I1584&lt;=250,I1584*1.1+11,I1584*1.1+19))),
IF(L1582="NORMAL",
   IF(I1584&lt;=30,I1584*1.15+2,IF(I1584&lt;=80,I1584*1.15+4,IF(I1584&lt;=150,I1584*1.15+6,I1584*1.15+8))),
IF(L1582="COMPLEMENTO",
   IF(I1584&lt;=25,I1584*1.25+1.5,IF(I1584&lt;=60,I1584*1.25+3,IF(I1584&lt;=120,I1584*1.25+4,I1584*1.25+5))),
""))),2)</f>
        <v>43.2</v>
      </c>
      <c r="I1584" s="9">
        <f>($K$2+0.02)*Tabla1[[#This Row],[PRECIO $]]*1.18</f>
        <v>34.083120000000001</v>
      </c>
      <c r="J1584" s="7">
        <f>+Tabla1[[#This Row],[PRECIO EN SOLES]]-Tabla1[[#This Row],[PC]]</f>
        <v>9.1168800000000019</v>
      </c>
      <c r="K1584" s="15"/>
      <c r="L1584" s="15" t="str">
        <f>IF(
OR(
ISNUMBER(SEARCH("BACKPACK",B1586)),
ISNUMBER(SEARCH("MOCHILA",B1586)),
ISNUMBER(SEARCH("FUNDA",B1586)),
ISNUMBER(SEARCH("ESTUCHE",B1586)),
ISNUMBER(SEARCH("BOOK COVER",B1586)),
ISNUMBER(SEARCH("KEYBOARD PARA TABLET",B1586)),
ISNUMBER(SEARCH("FLIP TABLET",B1586)),
ISNUMBER(SEARCH("CASE FOR TABLET",B1586)),
ISNUMBER(SEARCH("CABLE",B1586)),
ISNUMBER(SEARCH("ADAPTADOR",B1586)),
ISNUMBER(SEARCH("HUB",B1586)),
ISNUMBER(SEARCH("DOCK",B1586)),
ISNUMBER(SEARCH("MOUSE PAD",B1586)),
ISNUMBER(SEARCH("MOUSEPAD",B1586)),
ISNUMBER(SEARCH("SOPORTE",B1586)),
ISNUMBER(SEARCH("STAND",B1586)),
ISNUMBER(SEARCH("TRAVEL ADAPTER",B1586)),
ISNUMBER(SEARCH("RJ45",B1586)),
ISNUMBER(SEARCH("USB-C",B1586)),
ISNUMBER(SEARCH("USB WIFI",B1586)),
ISNUMBER(SEARCH("POWERBANK",B1586)),
ISNUMBER(SEARCH("CARGADOR",B1586)),
ISNUMBER(SEARCH("COOLER PARA NB",B1586)),
ISNUMBER(SEARCH("SOPORTE PARA NB",B1586)),
ISNUMBER(SEARCH("WEBCAM",B1586)),
ISNUMBER(SEARCH("WEB CAM",B1586)),
ISNUMBER(SEARCH("MOUSE",B1586)),
ISNUMBER(SEARCH("TECLADO",B1586))
),
"COMPLEMENTO",
IF(
OR(
LEFT(A1586,2)="NB",
LEFT(A1586,2)="PC",
LEFT(A1586,2)="WS",
LEFT(A1586,2)="TB",
LEFT(A1586,3)="CEL",
LEFT(A1586,3)="MON",
LEFT(A1586,3)="PRE",
LEFT(A1586,3)="PRH",
ISNUMBER(SEARCH("NOTEBOOK",B1586)),
ISNUMBER(SEARCH("LAPTOP",B1586)),
ISNUMBER(SEARCH("MONITOR",B1586)),
ISNUMBER(SEARCH("TABLET",B1586)),
ISNUMBER(SEARCH("SMARTPH",B1586)),
ISNUMBER(SEARCH("IMPRESORA",B1586)),
ISNUMBER(SEARCH("MULTIFUNCIONAL",B1586)),
ISNUMBER(SEARCH("AIO",B1586))
),
"GANCHO",
"NORMAL"
)
)</f>
        <v>NORMAL</v>
      </c>
    </row>
    <row r="1585" spans="1:12" x14ac:dyDescent="0.25">
      <c r="A1585" s="3" t="s">
        <v>504</v>
      </c>
      <c r="B1585" s="3" t="s">
        <v>505</v>
      </c>
      <c r="C1585" s="1">
        <v>20</v>
      </c>
      <c r="D1585" s="1">
        <v>7.65</v>
      </c>
      <c r="E1585" s="1" t="s">
        <v>154</v>
      </c>
      <c r="F1585" s="1" t="s">
        <v>4039</v>
      </c>
      <c r="G1585" s="3" t="s">
        <v>506</v>
      </c>
      <c r="H1585" s="11">
        <f>ROUND(
IF(L1583="GANCHO",
   IF(I1585&lt;=50,I1585*1.1+4,IF(I1585&lt;=120,I1585*1.1+7,IF(I1585&lt;=250,I1585*1.1+11,I1585*1.1+19))),
IF(L1583="NORMAL",
   IF(I1585&lt;=30,I1585*1.15+2,IF(I1585&lt;=80,I1585*1.15+4,IF(I1585&lt;=150,I1585*1.15+6,I1585*1.15+8))),
IF(L1583="COMPLEMENTO",
   IF(I1585&lt;=25,I1585*1.25+1.5,IF(I1585&lt;=60,I1585*1.25+3,IF(I1585&lt;=120,I1585*1.25+4,I1585*1.25+5))),
""))),2)</f>
        <v>40.130000000000003</v>
      </c>
      <c r="I1585" s="9">
        <f>($K$2+0.02)*Tabla1[[#This Row],[PRECIO $]]*1.18</f>
        <v>31.413959999999999</v>
      </c>
      <c r="J1585" s="7">
        <f>+Tabla1[[#This Row],[PRECIO EN SOLES]]-Tabla1[[#This Row],[PC]]</f>
        <v>8.7160400000000031</v>
      </c>
      <c r="K1585" s="15"/>
      <c r="L1585" s="15" t="str">
        <f>IF(
OR(
ISNUMBER(SEARCH("BACKPACK",B1587)),
ISNUMBER(SEARCH("MOCHILA",B1587)),
ISNUMBER(SEARCH("FUNDA",B1587)),
ISNUMBER(SEARCH("ESTUCHE",B1587)),
ISNUMBER(SEARCH("BOOK COVER",B1587)),
ISNUMBER(SEARCH("KEYBOARD PARA TABLET",B1587)),
ISNUMBER(SEARCH("FLIP TABLET",B1587)),
ISNUMBER(SEARCH("CASE FOR TABLET",B1587)),
ISNUMBER(SEARCH("CABLE",B1587)),
ISNUMBER(SEARCH("ADAPTADOR",B1587)),
ISNUMBER(SEARCH("HUB",B1587)),
ISNUMBER(SEARCH("DOCK",B1587)),
ISNUMBER(SEARCH("MOUSE PAD",B1587)),
ISNUMBER(SEARCH("MOUSEPAD",B1587)),
ISNUMBER(SEARCH("SOPORTE",B1587)),
ISNUMBER(SEARCH("STAND",B1587)),
ISNUMBER(SEARCH("TRAVEL ADAPTER",B1587)),
ISNUMBER(SEARCH("RJ45",B1587)),
ISNUMBER(SEARCH("USB-C",B1587)),
ISNUMBER(SEARCH("USB WIFI",B1587)),
ISNUMBER(SEARCH("POWERBANK",B1587)),
ISNUMBER(SEARCH("CARGADOR",B1587)),
ISNUMBER(SEARCH("COOLER PARA NB",B1587)),
ISNUMBER(SEARCH("SOPORTE PARA NB",B1587)),
ISNUMBER(SEARCH("WEBCAM",B1587)),
ISNUMBER(SEARCH("WEB CAM",B1587)),
ISNUMBER(SEARCH("MOUSE",B1587)),
ISNUMBER(SEARCH("TECLADO",B1587))
),
"COMPLEMENTO",
IF(
OR(
LEFT(A1587,2)="NB",
LEFT(A1587,2)="PC",
LEFT(A1587,2)="WS",
LEFT(A1587,2)="TB",
LEFT(A1587,3)="CEL",
LEFT(A1587,3)="MON",
LEFT(A1587,3)="PRE",
LEFT(A1587,3)="PRH",
ISNUMBER(SEARCH("NOTEBOOK",B1587)),
ISNUMBER(SEARCH("LAPTOP",B1587)),
ISNUMBER(SEARCH("MONITOR",B1587)),
ISNUMBER(SEARCH("TABLET",B1587)),
ISNUMBER(SEARCH("SMARTPH",B1587)),
ISNUMBER(SEARCH("IMPRESORA",B1587)),
ISNUMBER(SEARCH("MULTIFUNCIONAL",B1587)),
ISNUMBER(SEARCH("AIO",B1587))
),
"GANCHO",
"NORMAL"
)
)</f>
        <v>NORMAL</v>
      </c>
    </row>
    <row r="1586" spans="1:12" x14ac:dyDescent="0.25">
      <c r="A1586" s="3" t="s">
        <v>4184</v>
      </c>
      <c r="B1586" s="3" t="s">
        <v>4185</v>
      </c>
      <c r="C1586" s="1">
        <v>20</v>
      </c>
      <c r="D1586" s="1">
        <v>7.65</v>
      </c>
      <c r="E1586" s="1" t="s">
        <v>154</v>
      </c>
      <c r="F1586" s="1" t="s">
        <v>4231</v>
      </c>
      <c r="G1586" s="3" t="s">
        <v>4186</v>
      </c>
      <c r="H1586" s="11">
        <f>ROUND(
IF(L1584="GANCHO",
   IF(I1586&lt;=50,I1586*1.1+4,IF(I1586&lt;=120,I1586*1.1+7,IF(I1586&lt;=250,I1586*1.1+11,I1586*1.1+19))),
IF(L1584="NORMAL",
   IF(I1586&lt;=30,I1586*1.15+2,IF(I1586&lt;=80,I1586*1.15+4,IF(I1586&lt;=150,I1586*1.15+6,I1586*1.15+8))),
IF(L1584="COMPLEMENTO",
   IF(I1586&lt;=25,I1586*1.25+1.5,IF(I1586&lt;=60,I1586*1.25+3,IF(I1586&lt;=120,I1586*1.25+4,I1586*1.25+5))),
""))),2)</f>
        <v>40.130000000000003</v>
      </c>
      <c r="I1586" s="9">
        <f>($K$2+0.02)*Tabla1[[#This Row],[PRECIO $]]*1.18</f>
        <v>31.413959999999999</v>
      </c>
      <c r="J1586" s="7">
        <f>+Tabla1[[#This Row],[PRECIO EN SOLES]]-Tabla1[[#This Row],[PC]]</f>
        <v>8.7160400000000031</v>
      </c>
      <c r="K1586" s="15"/>
      <c r="L1586" s="15" t="str">
        <f>IF(
OR(
ISNUMBER(SEARCH("BACKPACK",B1588)),
ISNUMBER(SEARCH("MOCHILA",B1588)),
ISNUMBER(SEARCH("FUNDA",B1588)),
ISNUMBER(SEARCH("ESTUCHE",B1588)),
ISNUMBER(SEARCH("BOOK COVER",B1588)),
ISNUMBER(SEARCH("KEYBOARD PARA TABLET",B1588)),
ISNUMBER(SEARCH("FLIP TABLET",B1588)),
ISNUMBER(SEARCH("CASE FOR TABLET",B1588)),
ISNUMBER(SEARCH("CABLE",B1588)),
ISNUMBER(SEARCH("ADAPTADOR",B1588)),
ISNUMBER(SEARCH("HUB",B1588)),
ISNUMBER(SEARCH("DOCK",B1588)),
ISNUMBER(SEARCH("MOUSE PAD",B1588)),
ISNUMBER(SEARCH("MOUSEPAD",B1588)),
ISNUMBER(SEARCH("SOPORTE",B1588)),
ISNUMBER(SEARCH("STAND",B1588)),
ISNUMBER(SEARCH("TRAVEL ADAPTER",B1588)),
ISNUMBER(SEARCH("RJ45",B1588)),
ISNUMBER(SEARCH("USB-C",B1588)),
ISNUMBER(SEARCH("USB WIFI",B1588)),
ISNUMBER(SEARCH("POWERBANK",B1588)),
ISNUMBER(SEARCH("CARGADOR",B1588)),
ISNUMBER(SEARCH("COOLER PARA NB",B1588)),
ISNUMBER(SEARCH("SOPORTE PARA NB",B1588)),
ISNUMBER(SEARCH("WEBCAM",B1588)),
ISNUMBER(SEARCH("WEB CAM",B1588)),
ISNUMBER(SEARCH("MOUSE",B1588)),
ISNUMBER(SEARCH("TECLADO",B1588))
),
"COMPLEMENTO",
IF(
OR(
LEFT(A1588,2)="NB",
LEFT(A1588,2)="PC",
LEFT(A1588,2)="WS",
LEFT(A1588,2)="TB",
LEFT(A1588,3)="CEL",
LEFT(A1588,3)="MON",
LEFT(A1588,3)="PRE",
LEFT(A1588,3)="PRH",
ISNUMBER(SEARCH("NOTEBOOK",B1588)),
ISNUMBER(SEARCH("LAPTOP",B1588)),
ISNUMBER(SEARCH("MONITOR",B1588)),
ISNUMBER(SEARCH("TABLET",B1588)),
ISNUMBER(SEARCH("SMARTPH",B1588)),
ISNUMBER(SEARCH("IMPRESORA",B1588)),
ISNUMBER(SEARCH("MULTIFUNCIONAL",B1588)),
ISNUMBER(SEARCH("AIO",B1588))
),
"GANCHO",
"NORMAL"
)
)</f>
        <v>NORMAL</v>
      </c>
    </row>
    <row r="1587" spans="1:12" x14ac:dyDescent="0.25">
      <c r="A1587" s="3" t="s">
        <v>4187</v>
      </c>
      <c r="B1587" s="3" t="s">
        <v>4188</v>
      </c>
      <c r="C1587" s="1">
        <v>20</v>
      </c>
      <c r="D1587" s="1">
        <v>7.65</v>
      </c>
      <c r="E1587" s="1" t="s">
        <v>154</v>
      </c>
      <c r="F1587" s="1" t="s">
        <v>4232</v>
      </c>
      <c r="G1587" s="3" t="s">
        <v>4189</v>
      </c>
      <c r="H1587" s="11">
        <f>ROUND(
IF(L1585="GANCHO",
   IF(I1587&lt;=50,I1587*1.1+4,IF(I1587&lt;=120,I1587*1.1+7,IF(I1587&lt;=250,I1587*1.1+11,I1587*1.1+19))),
IF(L1585="NORMAL",
   IF(I1587&lt;=30,I1587*1.15+2,IF(I1587&lt;=80,I1587*1.15+4,IF(I1587&lt;=150,I1587*1.15+6,I1587*1.15+8))),
IF(L1585="COMPLEMENTO",
   IF(I1587&lt;=25,I1587*1.25+1.5,IF(I1587&lt;=60,I1587*1.25+3,IF(I1587&lt;=120,I1587*1.25+4,I1587*1.25+5))),
""))),2)</f>
        <v>40.130000000000003</v>
      </c>
      <c r="I1587" s="9">
        <f>($K$2+0.02)*Tabla1[[#This Row],[PRECIO $]]*1.18</f>
        <v>31.413959999999999</v>
      </c>
      <c r="J1587" s="7">
        <f>+Tabla1[[#This Row],[PRECIO EN SOLES]]-Tabla1[[#This Row],[PC]]</f>
        <v>8.7160400000000031</v>
      </c>
      <c r="K1587" s="15"/>
      <c r="L1587" s="15" t="str">
        <f>IF(
OR(
ISNUMBER(SEARCH("BACKPACK",B1589)),
ISNUMBER(SEARCH("MOCHILA",B1589)),
ISNUMBER(SEARCH("FUNDA",B1589)),
ISNUMBER(SEARCH("ESTUCHE",B1589)),
ISNUMBER(SEARCH("BOOK COVER",B1589)),
ISNUMBER(SEARCH("KEYBOARD PARA TABLET",B1589)),
ISNUMBER(SEARCH("FLIP TABLET",B1589)),
ISNUMBER(SEARCH("CASE FOR TABLET",B1589)),
ISNUMBER(SEARCH("CABLE",B1589)),
ISNUMBER(SEARCH("ADAPTADOR",B1589)),
ISNUMBER(SEARCH("HUB",B1589)),
ISNUMBER(SEARCH("DOCK",B1589)),
ISNUMBER(SEARCH("MOUSE PAD",B1589)),
ISNUMBER(SEARCH("MOUSEPAD",B1589)),
ISNUMBER(SEARCH("SOPORTE",B1589)),
ISNUMBER(SEARCH("STAND",B1589)),
ISNUMBER(SEARCH("TRAVEL ADAPTER",B1589)),
ISNUMBER(SEARCH("RJ45",B1589)),
ISNUMBER(SEARCH("USB-C",B1589)),
ISNUMBER(SEARCH("USB WIFI",B1589)),
ISNUMBER(SEARCH("POWERBANK",B1589)),
ISNUMBER(SEARCH("CARGADOR",B1589)),
ISNUMBER(SEARCH("COOLER PARA NB",B1589)),
ISNUMBER(SEARCH("SOPORTE PARA NB",B1589)),
ISNUMBER(SEARCH("WEBCAM",B1589)),
ISNUMBER(SEARCH("WEB CAM",B1589)),
ISNUMBER(SEARCH("MOUSE",B1589)),
ISNUMBER(SEARCH("TECLADO",B1589))
),
"COMPLEMENTO",
IF(
OR(
LEFT(A1589,2)="NB",
LEFT(A1589,2)="PC",
LEFT(A1589,2)="WS",
LEFT(A1589,2)="TB",
LEFT(A1589,3)="CEL",
LEFT(A1589,3)="MON",
LEFT(A1589,3)="PRE",
LEFT(A1589,3)="PRH",
ISNUMBER(SEARCH("NOTEBOOK",B1589)),
ISNUMBER(SEARCH("LAPTOP",B1589)),
ISNUMBER(SEARCH("MONITOR",B1589)),
ISNUMBER(SEARCH("TABLET",B1589)),
ISNUMBER(SEARCH("SMARTPH",B1589)),
ISNUMBER(SEARCH("IMPRESORA",B1589)),
ISNUMBER(SEARCH("MULTIFUNCIONAL",B1589)),
ISNUMBER(SEARCH("AIO",B1589))
),
"GANCHO",
"NORMAL"
)
)</f>
        <v>NORMAL</v>
      </c>
    </row>
    <row r="1588" spans="1:12" x14ac:dyDescent="0.25">
      <c r="A1588" s="3" t="s">
        <v>507</v>
      </c>
      <c r="B1588" s="3" t="s">
        <v>508</v>
      </c>
      <c r="C1588" s="1">
        <v>20</v>
      </c>
      <c r="D1588" s="1">
        <v>7.64</v>
      </c>
      <c r="E1588" s="1" t="s">
        <v>154</v>
      </c>
      <c r="F1588" s="1" t="s">
        <v>4040</v>
      </c>
      <c r="G1588" s="3" t="s">
        <v>509</v>
      </c>
      <c r="H1588" s="11">
        <f>ROUND(
IF(L1586="GANCHO",
   IF(I1588&lt;=50,I1588*1.1+4,IF(I1588&lt;=120,I1588*1.1+7,IF(I1588&lt;=250,I1588*1.1+11,I1588*1.1+19))),
IF(L1586="NORMAL",
   IF(I1588&lt;=30,I1588*1.15+2,IF(I1588&lt;=80,I1588*1.15+4,IF(I1588&lt;=150,I1588*1.15+6,I1588*1.15+8))),
IF(L1586="COMPLEMENTO",
   IF(I1588&lt;=25,I1588*1.25+1.5,IF(I1588&lt;=60,I1588*1.25+3,IF(I1588&lt;=120,I1588*1.25+4,I1588*1.25+5))),
""))),2)</f>
        <v>40.08</v>
      </c>
      <c r="I1588" s="9">
        <f>($K$2+0.02)*Tabla1[[#This Row],[PRECIO $]]*1.18</f>
        <v>31.372895999999997</v>
      </c>
      <c r="J1588" s="7">
        <f>+Tabla1[[#This Row],[PRECIO EN SOLES]]-Tabla1[[#This Row],[PC]]</f>
        <v>8.7071040000000011</v>
      </c>
      <c r="K1588" s="15"/>
      <c r="L1588" s="15" t="str">
        <f>IF(
OR(
ISNUMBER(SEARCH("BACKPACK",B1590)),
ISNUMBER(SEARCH("MOCHILA",B1590)),
ISNUMBER(SEARCH("FUNDA",B1590)),
ISNUMBER(SEARCH("ESTUCHE",B1590)),
ISNUMBER(SEARCH("BOOK COVER",B1590)),
ISNUMBER(SEARCH("KEYBOARD PARA TABLET",B1590)),
ISNUMBER(SEARCH("FLIP TABLET",B1590)),
ISNUMBER(SEARCH("CASE FOR TABLET",B1590)),
ISNUMBER(SEARCH("CABLE",B1590)),
ISNUMBER(SEARCH("ADAPTADOR",B1590)),
ISNUMBER(SEARCH("HUB",B1590)),
ISNUMBER(SEARCH("DOCK",B1590)),
ISNUMBER(SEARCH("MOUSE PAD",B1590)),
ISNUMBER(SEARCH("MOUSEPAD",B1590)),
ISNUMBER(SEARCH("SOPORTE",B1590)),
ISNUMBER(SEARCH("STAND",B1590)),
ISNUMBER(SEARCH("TRAVEL ADAPTER",B1590)),
ISNUMBER(SEARCH("RJ45",B1590)),
ISNUMBER(SEARCH("USB-C",B1590)),
ISNUMBER(SEARCH("USB WIFI",B1590)),
ISNUMBER(SEARCH("POWERBANK",B1590)),
ISNUMBER(SEARCH("CARGADOR",B1590)),
ISNUMBER(SEARCH("COOLER PARA NB",B1590)),
ISNUMBER(SEARCH("SOPORTE PARA NB",B1590)),
ISNUMBER(SEARCH("WEBCAM",B1590)),
ISNUMBER(SEARCH("WEB CAM",B1590)),
ISNUMBER(SEARCH("MOUSE",B1590)),
ISNUMBER(SEARCH("TECLADO",B1590))
),
"COMPLEMENTO",
IF(
OR(
LEFT(A1590,2)="NB",
LEFT(A1590,2)="PC",
LEFT(A1590,2)="WS",
LEFT(A1590,2)="TB",
LEFT(A1590,3)="CEL",
LEFT(A1590,3)="MON",
LEFT(A1590,3)="PRE",
LEFT(A1590,3)="PRH",
ISNUMBER(SEARCH("NOTEBOOK",B1590)),
ISNUMBER(SEARCH("LAPTOP",B1590)),
ISNUMBER(SEARCH("MONITOR",B1590)),
ISNUMBER(SEARCH("TABLET",B1590)),
ISNUMBER(SEARCH("SMARTPH",B1590)),
ISNUMBER(SEARCH("IMPRESORA",B1590)),
ISNUMBER(SEARCH("MULTIFUNCIONAL",B1590)),
ISNUMBER(SEARCH("AIO",B1590))
),
"GANCHO",
"NORMAL"
)
)</f>
        <v>NORMAL</v>
      </c>
    </row>
    <row r="1589" spans="1:12" x14ac:dyDescent="0.25">
      <c r="A1589" s="3" t="s">
        <v>510</v>
      </c>
      <c r="B1589" s="3" t="s">
        <v>511</v>
      </c>
      <c r="C1589" s="1">
        <v>20</v>
      </c>
      <c r="D1589" s="1">
        <v>7.6</v>
      </c>
      <c r="E1589" s="1" t="s">
        <v>154</v>
      </c>
      <c r="F1589" s="1" t="s">
        <v>4041</v>
      </c>
      <c r="G1589" s="3" t="s">
        <v>512</v>
      </c>
      <c r="H1589" s="11">
        <f>ROUND(
IF(L1587="GANCHO",
   IF(I1589&lt;=50,I1589*1.1+4,IF(I1589&lt;=120,I1589*1.1+7,IF(I1589&lt;=250,I1589*1.1+11,I1589*1.1+19))),
IF(L1587="NORMAL",
   IF(I1589&lt;=30,I1589*1.15+2,IF(I1589&lt;=80,I1589*1.15+4,IF(I1589&lt;=150,I1589*1.15+6,I1589*1.15+8))),
IF(L1587="COMPLEMENTO",
   IF(I1589&lt;=25,I1589*1.25+1.5,IF(I1589&lt;=60,I1589*1.25+3,IF(I1589&lt;=120,I1589*1.25+4,I1589*1.25+5))),
""))),2)</f>
        <v>39.89</v>
      </c>
      <c r="I1589" s="9">
        <f>($K$2+0.02)*Tabla1[[#This Row],[PRECIO $]]*1.18</f>
        <v>31.208639999999999</v>
      </c>
      <c r="J1589" s="7">
        <f>+Tabla1[[#This Row],[PRECIO EN SOLES]]-Tabla1[[#This Row],[PC]]</f>
        <v>8.6813600000000015</v>
      </c>
      <c r="K1589" s="15"/>
      <c r="L1589" s="15" t="str">
        <f>IF(
OR(
ISNUMBER(SEARCH("BACKPACK",B1591)),
ISNUMBER(SEARCH("MOCHILA",B1591)),
ISNUMBER(SEARCH("FUNDA",B1591)),
ISNUMBER(SEARCH("ESTUCHE",B1591)),
ISNUMBER(SEARCH("BOOK COVER",B1591)),
ISNUMBER(SEARCH("KEYBOARD PARA TABLET",B1591)),
ISNUMBER(SEARCH("FLIP TABLET",B1591)),
ISNUMBER(SEARCH("CASE FOR TABLET",B1591)),
ISNUMBER(SEARCH("CABLE",B1591)),
ISNUMBER(SEARCH("ADAPTADOR",B1591)),
ISNUMBER(SEARCH("HUB",B1591)),
ISNUMBER(SEARCH("DOCK",B1591)),
ISNUMBER(SEARCH("MOUSE PAD",B1591)),
ISNUMBER(SEARCH("MOUSEPAD",B1591)),
ISNUMBER(SEARCH("SOPORTE",B1591)),
ISNUMBER(SEARCH("STAND",B1591)),
ISNUMBER(SEARCH("TRAVEL ADAPTER",B1591)),
ISNUMBER(SEARCH("RJ45",B1591)),
ISNUMBER(SEARCH("USB-C",B1591)),
ISNUMBER(SEARCH("USB WIFI",B1591)),
ISNUMBER(SEARCH("POWERBANK",B1591)),
ISNUMBER(SEARCH("CARGADOR",B1591)),
ISNUMBER(SEARCH("COOLER PARA NB",B1591)),
ISNUMBER(SEARCH("SOPORTE PARA NB",B1591)),
ISNUMBER(SEARCH("WEBCAM",B1591)),
ISNUMBER(SEARCH("WEB CAM",B1591)),
ISNUMBER(SEARCH("MOUSE",B1591)),
ISNUMBER(SEARCH("TECLADO",B1591))
),
"COMPLEMENTO",
IF(
OR(
LEFT(A1591,2)="NB",
LEFT(A1591,2)="PC",
LEFT(A1591,2)="WS",
LEFT(A1591,2)="TB",
LEFT(A1591,3)="CEL",
LEFT(A1591,3)="MON",
LEFT(A1591,3)="PRE",
LEFT(A1591,3)="PRH",
ISNUMBER(SEARCH("NOTEBOOK",B1591)),
ISNUMBER(SEARCH("LAPTOP",B1591)),
ISNUMBER(SEARCH("MONITOR",B1591)),
ISNUMBER(SEARCH("TABLET",B1591)),
ISNUMBER(SEARCH("SMARTPH",B1591)),
ISNUMBER(SEARCH("IMPRESORA",B1591)),
ISNUMBER(SEARCH("MULTIFUNCIONAL",B1591)),
ISNUMBER(SEARCH("AIO",B1591))
),
"GANCHO",
"NORMAL"
)
)</f>
        <v>NORMAL</v>
      </c>
    </row>
    <row r="1590" spans="1:12" x14ac:dyDescent="0.25">
      <c r="A1590" s="3" t="s">
        <v>513</v>
      </c>
      <c r="B1590" s="3" t="s">
        <v>514</v>
      </c>
      <c r="C1590" s="1">
        <v>20</v>
      </c>
      <c r="D1590" s="1">
        <v>7.61</v>
      </c>
      <c r="E1590" s="1" t="s">
        <v>154</v>
      </c>
      <c r="F1590" s="1" t="s">
        <v>4042</v>
      </c>
      <c r="G1590" s="3" t="s">
        <v>515</v>
      </c>
      <c r="H1590" s="11">
        <f>ROUND(
IF(L1588="GANCHO",
   IF(I1590&lt;=50,I1590*1.1+4,IF(I1590&lt;=120,I1590*1.1+7,IF(I1590&lt;=250,I1590*1.1+11,I1590*1.1+19))),
IF(L1588="NORMAL",
   IF(I1590&lt;=30,I1590*1.15+2,IF(I1590&lt;=80,I1590*1.15+4,IF(I1590&lt;=150,I1590*1.15+6,I1590*1.15+8))),
IF(L1588="COMPLEMENTO",
   IF(I1590&lt;=25,I1590*1.25+1.5,IF(I1590&lt;=60,I1590*1.25+3,IF(I1590&lt;=120,I1590*1.25+4,I1590*1.25+5))),
""))),2)</f>
        <v>39.94</v>
      </c>
      <c r="I1590" s="9">
        <f>($K$2+0.02)*Tabla1[[#This Row],[PRECIO $]]*1.18</f>
        <v>31.249704000000001</v>
      </c>
      <c r="J1590" s="7">
        <f>+Tabla1[[#This Row],[PRECIO EN SOLES]]-Tabla1[[#This Row],[PC]]</f>
        <v>8.6902959999999965</v>
      </c>
      <c r="K1590" s="15"/>
      <c r="L1590" s="15" t="str">
        <f>IF(
OR(
ISNUMBER(SEARCH("BACKPACK",B1592)),
ISNUMBER(SEARCH("MOCHILA",B1592)),
ISNUMBER(SEARCH("FUNDA",B1592)),
ISNUMBER(SEARCH("ESTUCHE",B1592)),
ISNUMBER(SEARCH("BOOK COVER",B1592)),
ISNUMBER(SEARCH("KEYBOARD PARA TABLET",B1592)),
ISNUMBER(SEARCH("FLIP TABLET",B1592)),
ISNUMBER(SEARCH("CASE FOR TABLET",B1592)),
ISNUMBER(SEARCH("CABLE",B1592)),
ISNUMBER(SEARCH("ADAPTADOR",B1592)),
ISNUMBER(SEARCH("HUB",B1592)),
ISNUMBER(SEARCH("DOCK",B1592)),
ISNUMBER(SEARCH("MOUSE PAD",B1592)),
ISNUMBER(SEARCH("MOUSEPAD",B1592)),
ISNUMBER(SEARCH("SOPORTE",B1592)),
ISNUMBER(SEARCH("STAND",B1592)),
ISNUMBER(SEARCH("TRAVEL ADAPTER",B1592)),
ISNUMBER(SEARCH("RJ45",B1592)),
ISNUMBER(SEARCH("USB-C",B1592)),
ISNUMBER(SEARCH("USB WIFI",B1592)),
ISNUMBER(SEARCH("POWERBANK",B1592)),
ISNUMBER(SEARCH("CARGADOR",B1592)),
ISNUMBER(SEARCH("COOLER PARA NB",B1592)),
ISNUMBER(SEARCH("SOPORTE PARA NB",B1592)),
ISNUMBER(SEARCH("WEBCAM",B1592)),
ISNUMBER(SEARCH("WEB CAM",B1592)),
ISNUMBER(SEARCH("MOUSE",B1592)),
ISNUMBER(SEARCH("TECLADO",B1592))
),
"COMPLEMENTO",
IF(
OR(
LEFT(A1592,2)="NB",
LEFT(A1592,2)="PC",
LEFT(A1592,2)="WS",
LEFT(A1592,2)="TB",
LEFT(A1592,3)="CEL",
LEFT(A1592,3)="MON",
LEFT(A1592,3)="PRE",
LEFT(A1592,3)="PRH",
ISNUMBER(SEARCH("NOTEBOOK",B1592)),
ISNUMBER(SEARCH("LAPTOP",B1592)),
ISNUMBER(SEARCH("MONITOR",B1592)),
ISNUMBER(SEARCH("TABLET",B1592)),
ISNUMBER(SEARCH("SMARTPH",B1592)),
ISNUMBER(SEARCH("IMPRESORA",B1592)),
ISNUMBER(SEARCH("MULTIFUNCIONAL",B1592)),
ISNUMBER(SEARCH("AIO",B1592))
),
"GANCHO",
"NORMAL"
)
)</f>
        <v>NORMAL</v>
      </c>
    </row>
    <row r="1591" spans="1:12" x14ac:dyDescent="0.25">
      <c r="A1591" s="3" t="s">
        <v>516</v>
      </c>
      <c r="B1591" s="3" t="s">
        <v>517</v>
      </c>
      <c r="C1591" s="1">
        <v>20</v>
      </c>
      <c r="D1591" s="1">
        <v>7.6</v>
      </c>
      <c r="E1591" s="1" t="s">
        <v>154</v>
      </c>
      <c r="F1591" s="1" t="s">
        <v>4043</v>
      </c>
      <c r="G1591" s="3" t="s">
        <v>518</v>
      </c>
      <c r="H1591" s="11">
        <f>ROUND(
IF(L1589="GANCHO",
   IF(I1591&lt;=50,I1591*1.1+4,IF(I1591&lt;=120,I1591*1.1+7,IF(I1591&lt;=250,I1591*1.1+11,I1591*1.1+19))),
IF(L1589="NORMAL",
   IF(I1591&lt;=30,I1591*1.15+2,IF(I1591&lt;=80,I1591*1.15+4,IF(I1591&lt;=150,I1591*1.15+6,I1591*1.15+8))),
IF(L1589="COMPLEMENTO",
   IF(I1591&lt;=25,I1591*1.25+1.5,IF(I1591&lt;=60,I1591*1.25+3,IF(I1591&lt;=120,I1591*1.25+4,I1591*1.25+5))),
""))),2)</f>
        <v>39.89</v>
      </c>
      <c r="I1591" s="9">
        <f>($K$2+0.02)*Tabla1[[#This Row],[PRECIO $]]*1.18</f>
        <v>31.208639999999999</v>
      </c>
      <c r="J1591" s="7">
        <f>+Tabla1[[#This Row],[PRECIO EN SOLES]]-Tabla1[[#This Row],[PC]]</f>
        <v>8.6813600000000015</v>
      </c>
      <c r="K1591" s="15"/>
      <c r="L1591" s="15" t="str">
        <f>IF(
OR(
ISNUMBER(SEARCH("BACKPACK",B1593)),
ISNUMBER(SEARCH("MOCHILA",B1593)),
ISNUMBER(SEARCH("FUNDA",B1593)),
ISNUMBER(SEARCH("ESTUCHE",B1593)),
ISNUMBER(SEARCH("BOOK COVER",B1593)),
ISNUMBER(SEARCH("KEYBOARD PARA TABLET",B1593)),
ISNUMBER(SEARCH("FLIP TABLET",B1593)),
ISNUMBER(SEARCH("CASE FOR TABLET",B1593)),
ISNUMBER(SEARCH("CABLE",B1593)),
ISNUMBER(SEARCH("ADAPTADOR",B1593)),
ISNUMBER(SEARCH("HUB",B1593)),
ISNUMBER(SEARCH("DOCK",B1593)),
ISNUMBER(SEARCH("MOUSE PAD",B1593)),
ISNUMBER(SEARCH("MOUSEPAD",B1593)),
ISNUMBER(SEARCH("SOPORTE",B1593)),
ISNUMBER(SEARCH("STAND",B1593)),
ISNUMBER(SEARCH("TRAVEL ADAPTER",B1593)),
ISNUMBER(SEARCH("RJ45",B1593)),
ISNUMBER(SEARCH("USB-C",B1593)),
ISNUMBER(SEARCH("USB WIFI",B1593)),
ISNUMBER(SEARCH("POWERBANK",B1593)),
ISNUMBER(SEARCH("CARGADOR",B1593)),
ISNUMBER(SEARCH("COOLER PARA NB",B1593)),
ISNUMBER(SEARCH("SOPORTE PARA NB",B1593)),
ISNUMBER(SEARCH("WEBCAM",B1593)),
ISNUMBER(SEARCH("WEB CAM",B1593)),
ISNUMBER(SEARCH("MOUSE",B1593)),
ISNUMBER(SEARCH("TECLADO",B1593))
),
"COMPLEMENTO",
IF(
OR(
LEFT(A1593,2)="NB",
LEFT(A1593,2)="PC",
LEFT(A1593,2)="WS",
LEFT(A1593,2)="TB",
LEFT(A1593,3)="CEL",
LEFT(A1593,3)="MON",
LEFT(A1593,3)="PRE",
LEFT(A1593,3)="PRH",
ISNUMBER(SEARCH("NOTEBOOK",B1593)),
ISNUMBER(SEARCH("LAPTOP",B1593)),
ISNUMBER(SEARCH("MONITOR",B1593)),
ISNUMBER(SEARCH("TABLET",B1593)),
ISNUMBER(SEARCH("SMARTPH",B1593)),
ISNUMBER(SEARCH("IMPRESORA",B1593)),
ISNUMBER(SEARCH("MULTIFUNCIONAL",B1593)),
ISNUMBER(SEARCH("AIO",B1593))
),
"GANCHO",
"NORMAL"
)
)</f>
        <v>NORMAL</v>
      </c>
    </row>
    <row r="1592" spans="1:12" x14ac:dyDescent="0.25">
      <c r="A1592" s="3" t="s">
        <v>519</v>
      </c>
      <c r="B1592" s="3" t="s">
        <v>520</v>
      </c>
      <c r="C1592" s="1">
        <v>20</v>
      </c>
      <c r="D1592" s="1">
        <v>16.149999999999999</v>
      </c>
      <c r="E1592" s="1" t="s">
        <v>154</v>
      </c>
      <c r="F1592" s="1" t="s">
        <v>4044</v>
      </c>
      <c r="G1592" s="3"/>
      <c r="H1592" s="11">
        <f>ROUND(
IF(L1590="GANCHO",
   IF(I1592&lt;=50,I1592*1.1+4,IF(I1592&lt;=120,I1592*1.1+7,IF(I1592&lt;=250,I1592*1.1+11,I1592*1.1+19))),
IF(L1590="NORMAL",
   IF(I1592&lt;=30,I1592*1.15+2,IF(I1592&lt;=80,I1592*1.15+4,IF(I1592&lt;=150,I1592*1.15+6,I1592*1.15+8))),
IF(L1590="COMPLEMENTO",
   IF(I1592&lt;=25,I1592*1.25+1.5,IF(I1592&lt;=60,I1592*1.25+3,IF(I1592&lt;=120,I1592*1.25+4,I1592*1.25+5))),
""))),2)</f>
        <v>80.27</v>
      </c>
      <c r="I1592" s="9">
        <f>($K$2+0.02)*Tabla1[[#This Row],[PRECIO $]]*1.18</f>
        <v>66.318359999999998</v>
      </c>
      <c r="J1592" s="7">
        <f>+Tabla1[[#This Row],[PRECIO EN SOLES]]-Tabla1[[#This Row],[PC]]</f>
        <v>13.951639999999998</v>
      </c>
      <c r="K1592" s="15"/>
      <c r="L1592" s="15" t="str">
        <f>IF(
OR(
ISNUMBER(SEARCH("BACKPACK",B1594)),
ISNUMBER(SEARCH("MOCHILA",B1594)),
ISNUMBER(SEARCH("FUNDA",B1594)),
ISNUMBER(SEARCH("ESTUCHE",B1594)),
ISNUMBER(SEARCH("BOOK COVER",B1594)),
ISNUMBER(SEARCH("KEYBOARD PARA TABLET",B1594)),
ISNUMBER(SEARCH("FLIP TABLET",B1594)),
ISNUMBER(SEARCH("CASE FOR TABLET",B1594)),
ISNUMBER(SEARCH("CABLE",B1594)),
ISNUMBER(SEARCH("ADAPTADOR",B1594)),
ISNUMBER(SEARCH("HUB",B1594)),
ISNUMBER(SEARCH("DOCK",B1594)),
ISNUMBER(SEARCH("MOUSE PAD",B1594)),
ISNUMBER(SEARCH("MOUSEPAD",B1594)),
ISNUMBER(SEARCH("SOPORTE",B1594)),
ISNUMBER(SEARCH("STAND",B1594)),
ISNUMBER(SEARCH("TRAVEL ADAPTER",B1594)),
ISNUMBER(SEARCH("RJ45",B1594)),
ISNUMBER(SEARCH("USB-C",B1594)),
ISNUMBER(SEARCH("USB WIFI",B1594)),
ISNUMBER(SEARCH("POWERBANK",B1594)),
ISNUMBER(SEARCH("CARGADOR",B1594)),
ISNUMBER(SEARCH("COOLER PARA NB",B1594)),
ISNUMBER(SEARCH("SOPORTE PARA NB",B1594)),
ISNUMBER(SEARCH("WEBCAM",B1594)),
ISNUMBER(SEARCH("WEB CAM",B1594)),
ISNUMBER(SEARCH("MOUSE",B1594)),
ISNUMBER(SEARCH("TECLADO",B1594))
),
"COMPLEMENTO",
IF(
OR(
LEFT(A1594,2)="NB",
LEFT(A1594,2)="PC",
LEFT(A1594,2)="WS",
LEFT(A1594,2)="TB",
LEFT(A1594,3)="CEL",
LEFT(A1594,3)="MON",
LEFT(A1594,3)="PRE",
LEFT(A1594,3)="PRH",
ISNUMBER(SEARCH("NOTEBOOK",B1594)),
ISNUMBER(SEARCH("LAPTOP",B1594)),
ISNUMBER(SEARCH("MONITOR",B1594)),
ISNUMBER(SEARCH("TABLET",B1594)),
ISNUMBER(SEARCH("SMARTPH",B1594)),
ISNUMBER(SEARCH("IMPRESORA",B1594)),
ISNUMBER(SEARCH("MULTIFUNCIONAL",B1594)),
ISNUMBER(SEARCH("AIO",B1594))
),
"GANCHO",
"NORMAL"
)
)</f>
        <v>NORMAL</v>
      </c>
    </row>
    <row r="1593" spans="1:12" x14ac:dyDescent="0.25">
      <c r="A1593" s="3" t="s">
        <v>4190</v>
      </c>
      <c r="B1593" s="3" t="s">
        <v>4191</v>
      </c>
      <c r="C1593" s="1">
        <v>16</v>
      </c>
      <c r="D1593" s="1">
        <v>16.149999999999999</v>
      </c>
      <c r="E1593" s="1" t="s">
        <v>154</v>
      </c>
      <c r="F1593" s="1" t="s">
        <v>4233</v>
      </c>
      <c r="G1593" s="3"/>
      <c r="H1593" s="11">
        <f>ROUND(
IF(L1591="GANCHO",
   IF(I1593&lt;=50,I1593*1.1+4,IF(I1593&lt;=120,I1593*1.1+7,IF(I1593&lt;=250,I1593*1.1+11,I1593*1.1+19))),
IF(L1591="NORMAL",
   IF(I1593&lt;=30,I1593*1.15+2,IF(I1593&lt;=80,I1593*1.15+4,IF(I1593&lt;=150,I1593*1.15+6,I1593*1.15+8))),
IF(L1591="COMPLEMENTO",
   IF(I1593&lt;=25,I1593*1.25+1.5,IF(I1593&lt;=60,I1593*1.25+3,IF(I1593&lt;=120,I1593*1.25+4,I1593*1.25+5))),
""))),2)</f>
        <v>80.27</v>
      </c>
      <c r="I1593" s="9">
        <f>($K$2+0.02)*Tabla1[[#This Row],[PRECIO $]]*1.18</f>
        <v>66.318359999999998</v>
      </c>
      <c r="J1593" s="7">
        <f>+Tabla1[[#This Row],[PRECIO EN SOLES]]-Tabla1[[#This Row],[PC]]</f>
        <v>13.951639999999998</v>
      </c>
      <c r="K1593" s="15"/>
      <c r="L1593" s="15" t="str">
        <f>IF(
OR(
ISNUMBER(SEARCH("BACKPACK",B1595)),
ISNUMBER(SEARCH("MOCHILA",B1595)),
ISNUMBER(SEARCH("FUNDA",B1595)),
ISNUMBER(SEARCH("ESTUCHE",B1595)),
ISNUMBER(SEARCH("BOOK COVER",B1595)),
ISNUMBER(SEARCH("KEYBOARD PARA TABLET",B1595)),
ISNUMBER(SEARCH("FLIP TABLET",B1595)),
ISNUMBER(SEARCH("CASE FOR TABLET",B1595)),
ISNUMBER(SEARCH("CABLE",B1595)),
ISNUMBER(SEARCH("ADAPTADOR",B1595)),
ISNUMBER(SEARCH("HUB",B1595)),
ISNUMBER(SEARCH("DOCK",B1595)),
ISNUMBER(SEARCH("MOUSE PAD",B1595)),
ISNUMBER(SEARCH("MOUSEPAD",B1595)),
ISNUMBER(SEARCH("SOPORTE",B1595)),
ISNUMBER(SEARCH("STAND",B1595)),
ISNUMBER(SEARCH("TRAVEL ADAPTER",B1595)),
ISNUMBER(SEARCH("RJ45",B1595)),
ISNUMBER(SEARCH("USB-C",B1595)),
ISNUMBER(SEARCH("USB WIFI",B1595)),
ISNUMBER(SEARCH("POWERBANK",B1595)),
ISNUMBER(SEARCH("CARGADOR",B1595)),
ISNUMBER(SEARCH("COOLER PARA NB",B1595)),
ISNUMBER(SEARCH("SOPORTE PARA NB",B1595)),
ISNUMBER(SEARCH("WEBCAM",B1595)),
ISNUMBER(SEARCH("WEB CAM",B1595)),
ISNUMBER(SEARCH("MOUSE",B1595)),
ISNUMBER(SEARCH("TECLADO",B1595))
),
"COMPLEMENTO",
IF(
OR(
LEFT(A1595,2)="NB",
LEFT(A1595,2)="PC",
LEFT(A1595,2)="WS",
LEFT(A1595,2)="TB",
LEFT(A1595,3)="CEL",
LEFT(A1595,3)="MON",
LEFT(A1595,3)="PRE",
LEFT(A1595,3)="PRH",
ISNUMBER(SEARCH("NOTEBOOK",B1595)),
ISNUMBER(SEARCH("LAPTOP",B1595)),
ISNUMBER(SEARCH("MONITOR",B1595)),
ISNUMBER(SEARCH("TABLET",B1595)),
ISNUMBER(SEARCH("SMARTPH",B1595)),
ISNUMBER(SEARCH("IMPRESORA",B1595)),
ISNUMBER(SEARCH("MULTIFUNCIONAL",B1595)),
ISNUMBER(SEARCH("AIO",B1595))
),
"GANCHO",
"NORMAL"
)
)</f>
        <v>NORMAL</v>
      </c>
    </row>
    <row r="1594" spans="1:12" x14ac:dyDescent="0.25">
      <c r="A1594" s="3" t="s">
        <v>2519</v>
      </c>
      <c r="B1594" s="3" t="s">
        <v>2520</v>
      </c>
      <c r="C1594" s="1">
        <v>20</v>
      </c>
      <c r="D1594" s="1">
        <v>16.149999999999999</v>
      </c>
      <c r="E1594" s="1" t="s">
        <v>154</v>
      </c>
      <c r="F1594" s="1" t="s">
        <v>4045</v>
      </c>
      <c r="G1594" s="3"/>
      <c r="H1594" s="11">
        <f>ROUND(
IF(L1592="GANCHO",
   IF(I1594&lt;=50,I1594*1.1+4,IF(I1594&lt;=120,I1594*1.1+7,IF(I1594&lt;=250,I1594*1.1+11,I1594*1.1+19))),
IF(L1592="NORMAL",
   IF(I1594&lt;=30,I1594*1.15+2,IF(I1594&lt;=80,I1594*1.15+4,IF(I1594&lt;=150,I1594*1.15+6,I1594*1.15+8))),
IF(L1592="COMPLEMENTO",
   IF(I1594&lt;=25,I1594*1.25+1.5,IF(I1594&lt;=60,I1594*1.25+3,IF(I1594&lt;=120,I1594*1.25+4,I1594*1.25+5))),
""))),2)</f>
        <v>80.27</v>
      </c>
      <c r="I1594" s="9">
        <f>($K$2+0.02)*Tabla1[[#This Row],[PRECIO $]]*1.18</f>
        <v>66.318359999999998</v>
      </c>
      <c r="J1594" s="7">
        <f>+Tabla1[[#This Row],[PRECIO EN SOLES]]-Tabla1[[#This Row],[PC]]</f>
        <v>13.951639999999998</v>
      </c>
      <c r="K1594" s="15"/>
      <c r="L1594" s="15" t="str">
        <f>IF(
OR(
ISNUMBER(SEARCH("BACKPACK",B1596)),
ISNUMBER(SEARCH("MOCHILA",B1596)),
ISNUMBER(SEARCH("FUNDA",B1596)),
ISNUMBER(SEARCH("ESTUCHE",B1596)),
ISNUMBER(SEARCH("BOOK COVER",B1596)),
ISNUMBER(SEARCH("KEYBOARD PARA TABLET",B1596)),
ISNUMBER(SEARCH("FLIP TABLET",B1596)),
ISNUMBER(SEARCH("CASE FOR TABLET",B1596)),
ISNUMBER(SEARCH("CABLE",B1596)),
ISNUMBER(SEARCH("ADAPTADOR",B1596)),
ISNUMBER(SEARCH("HUB",B1596)),
ISNUMBER(SEARCH("DOCK",B1596)),
ISNUMBER(SEARCH("MOUSE PAD",B1596)),
ISNUMBER(SEARCH("MOUSEPAD",B1596)),
ISNUMBER(SEARCH("SOPORTE",B1596)),
ISNUMBER(SEARCH("STAND",B1596)),
ISNUMBER(SEARCH("TRAVEL ADAPTER",B1596)),
ISNUMBER(SEARCH("RJ45",B1596)),
ISNUMBER(SEARCH("USB-C",B1596)),
ISNUMBER(SEARCH("USB WIFI",B1596)),
ISNUMBER(SEARCH("POWERBANK",B1596)),
ISNUMBER(SEARCH("CARGADOR",B1596)),
ISNUMBER(SEARCH("COOLER PARA NB",B1596)),
ISNUMBER(SEARCH("SOPORTE PARA NB",B1596)),
ISNUMBER(SEARCH("WEBCAM",B1596)),
ISNUMBER(SEARCH("WEB CAM",B1596)),
ISNUMBER(SEARCH("MOUSE",B1596)),
ISNUMBER(SEARCH("TECLADO",B1596))
),
"COMPLEMENTO",
IF(
OR(
LEFT(A1596,2)="NB",
LEFT(A1596,2)="PC",
LEFT(A1596,2)="WS",
LEFT(A1596,2)="TB",
LEFT(A1596,3)="CEL",
LEFT(A1596,3)="MON",
LEFT(A1596,3)="PRE",
LEFT(A1596,3)="PRH",
ISNUMBER(SEARCH("NOTEBOOK",B1596)),
ISNUMBER(SEARCH("LAPTOP",B1596)),
ISNUMBER(SEARCH("MONITOR",B1596)),
ISNUMBER(SEARCH("TABLET",B1596)),
ISNUMBER(SEARCH("SMARTPH",B1596)),
ISNUMBER(SEARCH("IMPRESORA",B1596)),
ISNUMBER(SEARCH("MULTIFUNCIONAL",B1596)),
ISNUMBER(SEARCH("AIO",B1596))
),
"GANCHO",
"NORMAL"
)
)</f>
        <v>NORMAL</v>
      </c>
    </row>
    <row r="1595" spans="1:12" x14ac:dyDescent="0.25">
      <c r="A1595" s="3" t="s">
        <v>4192</v>
      </c>
      <c r="B1595" s="3" t="s">
        <v>4193</v>
      </c>
      <c r="C1595" s="1">
        <v>20</v>
      </c>
      <c r="D1595" s="1">
        <v>16.149999999999999</v>
      </c>
      <c r="E1595" s="1" t="s">
        <v>154</v>
      </c>
      <c r="F1595" s="1" t="s">
        <v>4234</v>
      </c>
      <c r="G1595" s="3"/>
      <c r="H1595" s="11">
        <f>ROUND(
IF(L1593="GANCHO",
   IF(I1595&lt;=50,I1595*1.1+4,IF(I1595&lt;=120,I1595*1.1+7,IF(I1595&lt;=250,I1595*1.1+11,I1595*1.1+19))),
IF(L1593="NORMAL",
   IF(I1595&lt;=30,I1595*1.15+2,IF(I1595&lt;=80,I1595*1.15+4,IF(I1595&lt;=150,I1595*1.15+6,I1595*1.15+8))),
IF(L1593="COMPLEMENTO",
   IF(I1595&lt;=25,I1595*1.25+1.5,IF(I1595&lt;=60,I1595*1.25+3,IF(I1595&lt;=120,I1595*1.25+4,I1595*1.25+5))),
""))),2)</f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>IF(
OR(
ISNUMBER(SEARCH("BACKPACK",B1597)),
ISNUMBER(SEARCH("MOCHILA",B1597)),
ISNUMBER(SEARCH("FUNDA",B1597)),
ISNUMBER(SEARCH("ESTUCHE",B1597)),
ISNUMBER(SEARCH("BOOK COVER",B1597)),
ISNUMBER(SEARCH("KEYBOARD PARA TABLET",B1597)),
ISNUMBER(SEARCH("FLIP TABLET",B1597)),
ISNUMBER(SEARCH("CASE FOR TABLET",B1597)),
ISNUMBER(SEARCH("CABLE",B1597)),
ISNUMBER(SEARCH("ADAPTADOR",B1597)),
ISNUMBER(SEARCH("HUB",B1597)),
ISNUMBER(SEARCH("DOCK",B1597)),
ISNUMBER(SEARCH("MOUSE PAD",B1597)),
ISNUMBER(SEARCH("MOUSEPAD",B1597)),
ISNUMBER(SEARCH("SOPORTE",B1597)),
ISNUMBER(SEARCH("STAND",B1597)),
ISNUMBER(SEARCH("TRAVEL ADAPTER",B1597)),
ISNUMBER(SEARCH("RJ45",B1597)),
ISNUMBER(SEARCH("USB-C",B1597)),
ISNUMBER(SEARCH("USB WIFI",B1597)),
ISNUMBER(SEARCH("POWERBANK",B1597)),
ISNUMBER(SEARCH("CARGADOR",B1597)),
ISNUMBER(SEARCH("COOLER PARA NB",B1597)),
ISNUMBER(SEARCH("SOPORTE PARA NB",B1597)),
ISNUMBER(SEARCH("WEBCAM",B1597)),
ISNUMBER(SEARCH("WEB CAM",B1597)),
ISNUMBER(SEARCH("MOUSE",B1597)),
ISNUMBER(SEARCH("TECLADO",B1597))
),
"COMPLEMENTO",
IF(
OR(
LEFT(A1597,2)="NB",
LEFT(A1597,2)="PC",
LEFT(A1597,2)="WS",
LEFT(A1597,2)="TB",
LEFT(A1597,3)="CEL",
LEFT(A1597,3)="MON",
LEFT(A1597,3)="PRE",
LEFT(A1597,3)="PRH",
ISNUMBER(SEARCH("NOTEBOOK",B1597)),
ISNUMBER(SEARCH("LAPTOP",B1597)),
ISNUMBER(SEARCH("MONITOR",B1597)),
ISNUMBER(SEARCH("TABLET",B1597)),
ISNUMBER(SEARCH("SMARTPH",B1597)),
ISNUMBER(SEARCH("IMPRESORA",B1597)),
ISNUMBER(SEARCH("MULTIFUNCIONAL",B1597)),
ISNUMBER(SEARCH("AIO",B1597))
),
"GANCHO",
"NORMAL"
)
)</f>
        <v>NORMAL</v>
      </c>
    </row>
    <row r="1596" spans="1:12" x14ac:dyDescent="0.25">
      <c r="A1596" s="3" t="s">
        <v>4194</v>
      </c>
      <c r="B1596" s="3" t="s">
        <v>4195</v>
      </c>
      <c r="C1596" s="1">
        <v>5</v>
      </c>
      <c r="D1596" s="1">
        <v>16.149999999999999</v>
      </c>
      <c r="E1596" s="1" t="s">
        <v>154</v>
      </c>
      <c r="F1596" s="1" t="s">
        <v>4235</v>
      </c>
      <c r="G1596" s="3"/>
      <c r="H1596" s="11">
        <f>ROUND(
IF(L1594="GANCHO",
   IF(I1596&lt;=50,I1596*1.1+4,IF(I1596&lt;=120,I1596*1.1+7,IF(I1596&lt;=250,I1596*1.1+11,I1596*1.1+19))),
IF(L1594="NORMAL",
   IF(I1596&lt;=30,I1596*1.15+2,IF(I1596&lt;=80,I1596*1.15+4,IF(I1596&lt;=150,I1596*1.15+6,I1596*1.15+8))),
IF(L1594="COMPLEMENTO",
   IF(I1596&lt;=25,I1596*1.25+1.5,IF(I1596&lt;=60,I1596*1.25+3,IF(I1596&lt;=120,I1596*1.25+4,I1596*1.25+5))),
""))),2)</f>
        <v>80.27</v>
      </c>
      <c r="I1596" s="9">
        <f>($K$2+0.02)*Tabla1[[#This Row],[PRECIO $]]*1.18</f>
        <v>66.318359999999998</v>
      </c>
      <c r="J1596" s="7">
        <f>+Tabla1[[#This Row],[PRECIO EN SOLES]]-Tabla1[[#This Row],[PC]]</f>
        <v>13.951639999999998</v>
      </c>
      <c r="K1596" s="15"/>
      <c r="L1596" s="15" t="str">
        <f>IF(
OR(
ISNUMBER(SEARCH("BACKPACK",B1598)),
ISNUMBER(SEARCH("MOCHILA",B1598)),
ISNUMBER(SEARCH("FUNDA",B1598)),
ISNUMBER(SEARCH("ESTUCHE",B1598)),
ISNUMBER(SEARCH("BOOK COVER",B1598)),
ISNUMBER(SEARCH("KEYBOARD PARA TABLET",B1598)),
ISNUMBER(SEARCH("FLIP TABLET",B1598)),
ISNUMBER(SEARCH("CASE FOR TABLET",B1598)),
ISNUMBER(SEARCH("CABLE",B1598)),
ISNUMBER(SEARCH("ADAPTADOR",B1598)),
ISNUMBER(SEARCH("HUB",B1598)),
ISNUMBER(SEARCH("DOCK",B1598)),
ISNUMBER(SEARCH("MOUSE PAD",B1598)),
ISNUMBER(SEARCH("MOUSEPAD",B1598)),
ISNUMBER(SEARCH("SOPORTE",B1598)),
ISNUMBER(SEARCH("STAND",B1598)),
ISNUMBER(SEARCH("TRAVEL ADAPTER",B1598)),
ISNUMBER(SEARCH("RJ45",B1598)),
ISNUMBER(SEARCH("USB-C",B1598)),
ISNUMBER(SEARCH("USB WIFI",B1598)),
ISNUMBER(SEARCH("POWERBANK",B1598)),
ISNUMBER(SEARCH("CARGADOR",B1598)),
ISNUMBER(SEARCH("COOLER PARA NB",B1598)),
ISNUMBER(SEARCH("SOPORTE PARA NB",B1598)),
ISNUMBER(SEARCH("WEBCAM",B1598)),
ISNUMBER(SEARCH("WEB CAM",B1598)),
ISNUMBER(SEARCH("MOUSE",B1598)),
ISNUMBER(SEARCH("TECLADO",B1598))
),
"COMPLEMENTO",
IF(
OR(
LEFT(A1598,2)="NB",
LEFT(A1598,2)="PC",
LEFT(A1598,2)="WS",
LEFT(A1598,2)="TB",
LEFT(A1598,3)="CEL",
LEFT(A1598,3)="MON",
LEFT(A1598,3)="PRE",
LEFT(A1598,3)="PRH",
ISNUMBER(SEARCH("NOTEBOOK",B1598)),
ISNUMBER(SEARCH("LAPTOP",B1598)),
ISNUMBER(SEARCH("MONITOR",B1598)),
ISNUMBER(SEARCH("TABLET",B1598)),
ISNUMBER(SEARCH("SMARTPH",B1598)),
ISNUMBER(SEARCH("IMPRESORA",B1598)),
ISNUMBER(SEARCH("MULTIFUNCIONAL",B1598)),
ISNUMBER(SEARCH("AIO",B1598))
),
"GANCHO",
"NORMAL"
)
)</f>
        <v>NORMAL</v>
      </c>
    </row>
    <row r="1597" spans="1:12" x14ac:dyDescent="0.25">
      <c r="A1597" s="3" t="s">
        <v>4196</v>
      </c>
      <c r="B1597" s="3" t="s">
        <v>4197</v>
      </c>
      <c r="C1597" s="1">
        <v>20</v>
      </c>
      <c r="D1597" s="1">
        <v>16.149999999999999</v>
      </c>
      <c r="E1597" s="1" t="s">
        <v>154</v>
      </c>
      <c r="F1597" s="1" t="s">
        <v>4236</v>
      </c>
      <c r="G1597" s="3"/>
      <c r="H1597" s="11">
        <f>ROUND(
IF(L1595="GANCHO",
   IF(I1597&lt;=50,I1597*1.1+4,IF(I1597&lt;=120,I1597*1.1+7,IF(I1597&lt;=250,I1597*1.1+11,I1597*1.1+19))),
IF(L1595="NORMAL",
   IF(I1597&lt;=30,I1597*1.15+2,IF(I1597&lt;=80,I1597*1.15+4,IF(I1597&lt;=150,I1597*1.15+6,I1597*1.15+8))),
IF(L1595="COMPLEMENTO",
   IF(I1597&lt;=25,I1597*1.25+1.5,IF(I1597&lt;=60,I1597*1.25+3,IF(I1597&lt;=120,I1597*1.25+4,I1597*1.25+5))),
""))),2)</f>
        <v>80.27</v>
      </c>
      <c r="I1597" s="9">
        <f>($K$2+0.02)*Tabla1[[#This Row],[PRECIO $]]*1.18</f>
        <v>66.318359999999998</v>
      </c>
      <c r="J1597" s="7">
        <f>+Tabla1[[#This Row],[PRECIO EN SOLES]]-Tabla1[[#This Row],[PC]]</f>
        <v>13.951639999999998</v>
      </c>
      <c r="K1597" s="15"/>
      <c r="L1597" s="15" t="str">
        <f>IF(
OR(
ISNUMBER(SEARCH("BACKPACK",B1599)),
ISNUMBER(SEARCH("MOCHILA",B1599)),
ISNUMBER(SEARCH("FUNDA",B1599)),
ISNUMBER(SEARCH("ESTUCHE",B1599)),
ISNUMBER(SEARCH("BOOK COVER",B1599)),
ISNUMBER(SEARCH("KEYBOARD PARA TABLET",B1599)),
ISNUMBER(SEARCH("FLIP TABLET",B1599)),
ISNUMBER(SEARCH("CASE FOR TABLET",B1599)),
ISNUMBER(SEARCH("CABLE",B1599)),
ISNUMBER(SEARCH("ADAPTADOR",B1599)),
ISNUMBER(SEARCH("HUB",B1599)),
ISNUMBER(SEARCH("DOCK",B1599)),
ISNUMBER(SEARCH("MOUSE PAD",B1599)),
ISNUMBER(SEARCH("MOUSEPAD",B1599)),
ISNUMBER(SEARCH("SOPORTE",B1599)),
ISNUMBER(SEARCH("STAND",B1599)),
ISNUMBER(SEARCH("TRAVEL ADAPTER",B1599)),
ISNUMBER(SEARCH("RJ45",B1599)),
ISNUMBER(SEARCH("USB-C",B1599)),
ISNUMBER(SEARCH("USB WIFI",B1599)),
ISNUMBER(SEARCH("POWERBANK",B1599)),
ISNUMBER(SEARCH("CARGADOR",B1599)),
ISNUMBER(SEARCH("COOLER PARA NB",B1599)),
ISNUMBER(SEARCH("SOPORTE PARA NB",B1599)),
ISNUMBER(SEARCH("WEBCAM",B1599)),
ISNUMBER(SEARCH("WEB CAM",B1599)),
ISNUMBER(SEARCH("MOUSE",B1599)),
ISNUMBER(SEARCH("TECLADO",B1599))
),
"COMPLEMENTO",
IF(
OR(
LEFT(A1599,2)="NB",
LEFT(A1599,2)="PC",
LEFT(A1599,2)="WS",
LEFT(A1599,2)="TB",
LEFT(A1599,3)="CEL",
LEFT(A1599,3)="MON",
LEFT(A1599,3)="PRE",
LEFT(A1599,3)="PRH",
ISNUMBER(SEARCH("NOTEBOOK",B1599)),
ISNUMBER(SEARCH("LAPTOP",B1599)),
ISNUMBER(SEARCH("MONITOR",B1599)),
ISNUMBER(SEARCH("TABLET",B1599)),
ISNUMBER(SEARCH("SMARTPH",B1599)),
ISNUMBER(SEARCH("IMPRESORA",B1599)),
ISNUMBER(SEARCH("MULTIFUNCIONAL",B1599)),
ISNUMBER(SEARCH("AIO",B1599))
),
"GANCHO",
"NORMAL"
)
)</f>
        <v>NORMAL</v>
      </c>
    </row>
    <row r="1598" spans="1:12" x14ac:dyDescent="0.25">
      <c r="A1598" s="3" t="s">
        <v>6935</v>
      </c>
      <c r="B1598" s="3" t="s">
        <v>6936</v>
      </c>
      <c r="C1598" s="1">
        <v>20</v>
      </c>
      <c r="D1598" s="1">
        <v>7.52</v>
      </c>
      <c r="E1598" s="1" t="s">
        <v>154</v>
      </c>
      <c r="F1598" s="1" t="s">
        <v>6937</v>
      </c>
      <c r="G1598" s="3"/>
      <c r="H1598" s="11">
        <f>ROUND(
IF(L1596="GANCHO",
   IF(I1598&lt;=50,I1598*1.1+4,IF(I1598&lt;=120,I1598*1.1+7,IF(I1598&lt;=250,I1598*1.1+11,I1598*1.1+19))),
IF(L1596="NORMAL",
   IF(I1598&lt;=30,I1598*1.15+2,IF(I1598&lt;=80,I1598*1.15+4,IF(I1598&lt;=150,I1598*1.15+6,I1598*1.15+8))),
IF(L1596="COMPLEMENTO",
   IF(I1598&lt;=25,I1598*1.25+1.5,IF(I1598&lt;=60,I1598*1.25+3,IF(I1598&lt;=120,I1598*1.25+4,I1598*1.25+5))),
""))),2)</f>
        <v>39.51</v>
      </c>
      <c r="I1598" s="9">
        <f>($K$2+0.02)*Tabla1[[#This Row],[PRECIO $]]*1.18</f>
        <v>30.880127999999996</v>
      </c>
      <c r="J1598" s="7">
        <f>+Tabla1[[#This Row],[PRECIO EN SOLES]]-Tabla1[[#This Row],[PC]]</f>
        <v>8.6298720000000024</v>
      </c>
      <c r="K1598" s="15"/>
      <c r="L1598" s="15" t="str">
        <f>IF(
OR(
ISNUMBER(SEARCH("BACKPACK",B1600)),
ISNUMBER(SEARCH("MOCHILA",B1600)),
ISNUMBER(SEARCH("FUNDA",B1600)),
ISNUMBER(SEARCH("ESTUCHE",B1600)),
ISNUMBER(SEARCH("BOOK COVER",B1600)),
ISNUMBER(SEARCH("KEYBOARD PARA TABLET",B1600)),
ISNUMBER(SEARCH("FLIP TABLET",B1600)),
ISNUMBER(SEARCH("CASE FOR TABLET",B1600)),
ISNUMBER(SEARCH("CABLE",B1600)),
ISNUMBER(SEARCH("ADAPTADOR",B1600)),
ISNUMBER(SEARCH("HUB",B1600)),
ISNUMBER(SEARCH("DOCK",B1600)),
ISNUMBER(SEARCH("MOUSE PAD",B1600)),
ISNUMBER(SEARCH("MOUSEPAD",B1600)),
ISNUMBER(SEARCH("SOPORTE",B1600)),
ISNUMBER(SEARCH("STAND",B1600)),
ISNUMBER(SEARCH("TRAVEL ADAPTER",B1600)),
ISNUMBER(SEARCH("RJ45",B1600)),
ISNUMBER(SEARCH("USB-C",B1600)),
ISNUMBER(SEARCH("USB WIFI",B1600)),
ISNUMBER(SEARCH("POWERBANK",B1600)),
ISNUMBER(SEARCH("CARGADOR",B1600)),
ISNUMBER(SEARCH("COOLER PARA NB",B1600)),
ISNUMBER(SEARCH("SOPORTE PARA NB",B1600)),
ISNUMBER(SEARCH("WEBCAM",B1600)),
ISNUMBER(SEARCH("WEB CAM",B1600)),
ISNUMBER(SEARCH("MOUSE",B1600)),
ISNUMBER(SEARCH("TECLADO",B1600))
),
"COMPLEMENTO",
IF(
OR(
LEFT(A1600,2)="NB",
LEFT(A1600,2)="PC",
LEFT(A1600,2)="WS",
LEFT(A1600,2)="TB",
LEFT(A1600,3)="CEL",
LEFT(A1600,3)="MON",
LEFT(A1600,3)="PRE",
LEFT(A1600,3)="PRH",
ISNUMBER(SEARCH("NOTEBOOK",B1600)),
ISNUMBER(SEARCH("LAPTOP",B1600)),
ISNUMBER(SEARCH("MONITOR",B1600)),
ISNUMBER(SEARCH("TABLET",B1600)),
ISNUMBER(SEARCH("SMARTPH",B1600)),
ISNUMBER(SEARCH("IMPRESORA",B1600)),
ISNUMBER(SEARCH("MULTIFUNCIONAL",B1600)),
ISNUMBER(SEARCH("AIO",B1600))
),
"GANCHO",
"NORMAL"
)
)</f>
        <v>NORMAL</v>
      </c>
    </row>
    <row r="1599" spans="1:12" x14ac:dyDescent="0.25">
      <c r="A1599" s="3" t="s">
        <v>536</v>
      </c>
      <c r="B1599" s="3" t="s">
        <v>537</v>
      </c>
      <c r="C1599" s="1">
        <v>20</v>
      </c>
      <c r="D1599" s="1">
        <v>7.52</v>
      </c>
      <c r="E1599" s="1" t="s">
        <v>154</v>
      </c>
      <c r="F1599" s="1" t="s">
        <v>4046</v>
      </c>
      <c r="G1599" s="3"/>
      <c r="H1599" s="11">
        <f>ROUND(
IF(L1597="GANCHO",
   IF(I1599&lt;=50,I1599*1.1+4,IF(I1599&lt;=120,I1599*1.1+7,IF(I1599&lt;=250,I1599*1.1+11,I1599*1.1+19))),
IF(L1597="NORMAL",
   IF(I1599&lt;=30,I1599*1.15+2,IF(I1599&lt;=80,I1599*1.15+4,IF(I1599&lt;=150,I1599*1.15+6,I1599*1.15+8))),
IF(L1597="COMPLEMENTO",
   IF(I1599&lt;=25,I1599*1.25+1.5,IF(I1599&lt;=60,I1599*1.25+3,IF(I1599&lt;=120,I1599*1.25+4,I1599*1.25+5))),
""))),2)</f>
        <v>39.51</v>
      </c>
      <c r="I1599" s="9">
        <f>($K$2+0.02)*Tabla1[[#This Row],[PRECIO $]]*1.18</f>
        <v>30.880127999999996</v>
      </c>
      <c r="J1599" s="7">
        <f>+Tabla1[[#This Row],[PRECIO EN SOLES]]-Tabla1[[#This Row],[PC]]</f>
        <v>8.6298720000000024</v>
      </c>
      <c r="K1599" s="15"/>
      <c r="L1599" s="15" t="str">
        <f>IF(
OR(
ISNUMBER(SEARCH("BACKPACK",B1601)),
ISNUMBER(SEARCH("MOCHILA",B1601)),
ISNUMBER(SEARCH("FUNDA",B1601)),
ISNUMBER(SEARCH("ESTUCHE",B1601)),
ISNUMBER(SEARCH("BOOK COVER",B1601)),
ISNUMBER(SEARCH("KEYBOARD PARA TABLET",B1601)),
ISNUMBER(SEARCH("FLIP TABLET",B1601)),
ISNUMBER(SEARCH("CASE FOR TABLET",B1601)),
ISNUMBER(SEARCH("CABLE",B1601)),
ISNUMBER(SEARCH("ADAPTADOR",B1601)),
ISNUMBER(SEARCH("HUB",B1601)),
ISNUMBER(SEARCH("DOCK",B1601)),
ISNUMBER(SEARCH("MOUSE PAD",B1601)),
ISNUMBER(SEARCH("MOUSEPAD",B1601)),
ISNUMBER(SEARCH("SOPORTE",B1601)),
ISNUMBER(SEARCH("STAND",B1601)),
ISNUMBER(SEARCH("TRAVEL ADAPTER",B1601)),
ISNUMBER(SEARCH("RJ45",B1601)),
ISNUMBER(SEARCH("USB-C",B1601)),
ISNUMBER(SEARCH("USB WIFI",B1601)),
ISNUMBER(SEARCH("POWERBANK",B1601)),
ISNUMBER(SEARCH("CARGADOR",B1601)),
ISNUMBER(SEARCH("COOLER PARA NB",B1601)),
ISNUMBER(SEARCH("SOPORTE PARA NB",B1601)),
ISNUMBER(SEARCH("WEBCAM",B1601)),
ISNUMBER(SEARCH("WEB CAM",B1601)),
ISNUMBER(SEARCH("MOUSE",B1601)),
ISNUMBER(SEARCH("TECLADO",B1601))
),
"COMPLEMENTO",
IF(
OR(
LEFT(A1601,2)="NB",
LEFT(A1601,2)="PC",
LEFT(A1601,2)="WS",
LEFT(A1601,2)="TB",
LEFT(A1601,3)="CEL",
LEFT(A1601,3)="MON",
LEFT(A1601,3)="PRE",
LEFT(A1601,3)="PRH",
ISNUMBER(SEARCH("NOTEBOOK",B1601)),
ISNUMBER(SEARCH("LAPTOP",B1601)),
ISNUMBER(SEARCH("MONITOR",B1601)),
ISNUMBER(SEARCH("TABLET",B1601)),
ISNUMBER(SEARCH("SMARTPH",B1601)),
ISNUMBER(SEARCH("IMPRESORA",B1601)),
ISNUMBER(SEARCH("MULTIFUNCIONAL",B1601)),
ISNUMBER(SEARCH("AIO",B1601))
),
"GANCHO",
"NORMAL"
)
)</f>
        <v>NORMAL</v>
      </c>
    </row>
    <row r="1600" spans="1:12" x14ac:dyDescent="0.25">
      <c r="A1600" s="3" t="s">
        <v>4198</v>
      </c>
      <c r="B1600" s="3" t="s">
        <v>4199</v>
      </c>
      <c r="C1600" s="1">
        <v>18</v>
      </c>
      <c r="D1600" s="1">
        <v>7.52</v>
      </c>
      <c r="E1600" s="1" t="s">
        <v>154</v>
      </c>
      <c r="F1600" s="1" t="s">
        <v>4237</v>
      </c>
      <c r="G1600" s="3"/>
      <c r="H1600" s="11">
        <f>ROUND(
IF(L1598="GANCHO",
   IF(I1600&lt;=50,I1600*1.1+4,IF(I1600&lt;=120,I1600*1.1+7,IF(I1600&lt;=250,I1600*1.1+11,I1600*1.1+19))),
IF(L1598="NORMAL",
   IF(I1600&lt;=30,I1600*1.15+2,IF(I1600&lt;=80,I1600*1.15+4,IF(I1600&lt;=150,I1600*1.15+6,I1600*1.15+8))),
IF(L1598="COMPLEMENTO",
   IF(I1600&lt;=25,I1600*1.25+1.5,IF(I1600&lt;=60,I1600*1.25+3,IF(I1600&lt;=120,I1600*1.25+4,I1600*1.25+5))),
""))),2)</f>
        <v>39.51</v>
      </c>
      <c r="I1600" s="9">
        <f>($K$2+0.02)*Tabla1[[#This Row],[PRECIO $]]*1.18</f>
        <v>30.880127999999996</v>
      </c>
      <c r="J1600" s="7">
        <f>+Tabla1[[#This Row],[PRECIO EN SOLES]]-Tabla1[[#This Row],[PC]]</f>
        <v>8.6298720000000024</v>
      </c>
      <c r="K1600" s="15"/>
      <c r="L1600" s="15" t="str">
        <f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601" spans="1:12" x14ac:dyDescent="0.25">
      <c r="A1601" s="3" t="s">
        <v>4200</v>
      </c>
      <c r="B1601" s="3" t="s">
        <v>4201</v>
      </c>
      <c r="C1601" s="1">
        <v>0</v>
      </c>
      <c r="D1601" s="1">
        <v>7.57</v>
      </c>
      <c r="E1601" s="1" t="s">
        <v>154</v>
      </c>
      <c r="F1601" s="1" t="s">
        <v>4238</v>
      </c>
      <c r="G1601" s="3" t="s">
        <v>4202</v>
      </c>
      <c r="H1601" s="11">
        <f>ROUND(
IF(L1599="GANCHO",
   IF(I1601&lt;=50,I1601*1.1+4,IF(I1601&lt;=120,I1601*1.1+7,IF(I1601&lt;=250,I1601*1.1+11,I1601*1.1+19))),
IF(L1599="NORMAL",
   IF(I1601&lt;=30,I1601*1.15+2,IF(I1601&lt;=80,I1601*1.15+4,IF(I1601&lt;=150,I1601*1.15+6,I1601*1.15+8))),
IF(L1599="COMPLEMENTO",
   IF(I1601&lt;=25,I1601*1.25+1.5,IF(I1601&lt;=60,I1601*1.25+3,IF(I1601&lt;=120,I1601*1.25+4,I1601*1.25+5))),
""))),2)</f>
        <v>39.75</v>
      </c>
      <c r="I1601" s="9">
        <f>($K$2+0.02)*Tabla1[[#This Row],[PRECIO $]]*1.18</f>
        <v>31.085448</v>
      </c>
      <c r="J1601" s="7">
        <f>+Tabla1[[#This Row],[PRECIO EN SOLES]]-Tabla1[[#This Row],[PC]]</f>
        <v>8.6645520000000005</v>
      </c>
      <c r="K1601" s="15"/>
      <c r="L1601" s="15" t="str">
        <f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2" spans="1:12" x14ac:dyDescent="0.25">
      <c r="A1602" s="3" t="s">
        <v>521</v>
      </c>
      <c r="B1602" s="3" t="s">
        <v>522</v>
      </c>
      <c r="C1602" s="1">
        <v>20</v>
      </c>
      <c r="D1602" s="1">
        <v>7.57</v>
      </c>
      <c r="E1602" s="1" t="s">
        <v>154</v>
      </c>
      <c r="F1602" s="1" t="s">
        <v>4047</v>
      </c>
      <c r="G1602" s="3" t="s">
        <v>523</v>
      </c>
      <c r="H1602" s="11">
        <f>ROUND(
IF(L1600="GANCHO",
   IF(I1602&lt;=50,I1602*1.1+4,IF(I1602&lt;=120,I1602*1.1+7,IF(I1602&lt;=250,I1602*1.1+11,I1602*1.1+19))),
IF(L1600="NORMAL",
   IF(I1602&lt;=30,I1602*1.15+2,IF(I1602&lt;=80,I1602*1.15+4,IF(I1602&lt;=150,I1602*1.15+6,I1602*1.15+8))),
IF(L1600="COMPLEMENTO",
   IF(I1602&lt;=25,I1602*1.25+1.5,IF(I1602&lt;=60,I1602*1.25+3,IF(I1602&lt;=120,I1602*1.25+4,I1602*1.25+5))),
""))),2)</f>
        <v>39.75</v>
      </c>
      <c r="I1602" s="9">
        <f>($K$2+0.02)*Tabla1[[#This Row],[PRECIO $]]*1.18</f>
        <v>31.085448</v>
      </c>
      <c r="J1602" s="7">
        <f>+Tabla1[[#This Row],[PRECIO EN SOLES]]-Tabla1[[#This Row],[PC]]</f>
        <v>8.6645520000000005</v>
      </c>
      <c r="K1602" s="15"/>
      <c r="L1602" s="15" t="str">
        <f>IF(
OR(
ISNUMBER(SEARCH("BACKPACK",B1604)),
ISNUMBER(SEARCH("MOCHILA",B1604)),
ISNUMBER(SEARCH("FUNDA",B1604)),
ISNUMBER(SEARCH("ESTUCHE",B1604)),
ISNUMBER(SEARCH("BOOK COVER",B1604)),
ISNUMBER(SEARCH("KEYBOARD PARA TABLET",B1604)),
ISNUMBER(SEARCH("FLIP TABLET",B1604)),
ISNUMBER(SEARCH("CASE FOR TABLET",B1604)),
ISNUMBER(SEARCH("CABLE",B1604)),
ISNUMBER(SEARCH("ADAPTADOR",B1604)),
ISNUMBER(SEARCH("HUB",B1604)),
ISNUMBER(SEARCH("DOCK",B1604)),
ISNUMBER(SEARCH("MOUSE PAD",B1604)),
ISNUMBER(SEARCH("MOUSEPAD",B1604)),
ISNUMBER(SEARCH("SOPORTE",B1604)),
ISNUMBER(SEARCH("STAND",B1604)),
ISNUMBER(SEARCH("TRAVEL ADAPTER",B1604)),
ISNUMBER(SEARCH("RJ45",B1604)),
ISNUMBER(SEARCH("USB-C",B1604)),
ISNUMBER(SEARCH("USB WIFI",B1604)),
ISNUMBER(SEARCH("POWERBANK",B1604)),
ISNUMBER(SEARCH("CARGADOR",B1604)),
ISNUMBER(SEARCH("COOLER PARA NB",B1604)),
ISNUMBER(SEARCH("SOPORTE PARA NB",B1604)),
ISNUMBER(SEARCH("WEBCAM",B1604)),
ISNUMBER(SEARCH("WEB CAM",B1604)),
ISNUMBER(SEARCH("MOUSE",B1604)),
ISNUMBER(SEARCH("TECLADO",B1604))
),
"COMPLEMENTO",
IF(
OR(
LEFT(A1604,2)="NB",
LEFT(A1604,2)="PC",
LEFT(A1604,2)="WS",
LEFT(A1604,2)="TB",
LEFT(A1604,3)="CEL",
LEFT(A1604,3)="MON",
LEFT(A1604,3)="PRE",
LEFT(A1604,3)="PRH",
ISNUMBER(SEARCH("NOTEBOOK",B1604)),
ISNUMBER(SEARCH("LAPTOP",B1604)),
ISNUMBER(SEARCH("MONITOR",B1604)),
ISNUMBER(SEARCH("TABLET",B1604)),
ISNUMBER(SEARCH("SMARTPH",B1604)),
ISNUMBER(SEARCH("IMPRESORA",B1604)),
ISNUMBER(SEARCH("MULTIFUNCIONAL",B1604)),
ISNUMBER(SEARCH("AIO",B1604))
),
"GANCHO",
"NORMAL"
)
)</f>
        <v>NORMAL</v>
      </c>
    </row>
    <row r="1603" spans="1:12" x14ac:dyDescent="0.25">
      <c r="A1603" s="3" t="s">
        <v>524</v>
      </c>
      <c r="B1603" s="3" t="s">
        <v>525</v>
      </c>
      <c r="C1603" s="1">
        <v>20</v>
      </c>
      <c r="D1603" s="1">
        <v>7.57</v>
      </c>
      <c r="E1603" s="1" t="s">
        <v>154</v>
      </c>
      <c r="F1603" s="1" t="s">
        <v>4048</v>
      </c>
      <c r="G1603" s="3" t="s">
        <v>526</v>
      </c>
      <c r="H1603" s="11">
        <f>ROUND(
IF(L1601="GANCHO",
   IF(I1603&lt;=50,I1603*1.1+4,IF(I1603&lt;=120,I1603*1.1+7,IF(I1603&lt;=250,I1603*1.1+11,I1603*1.1+19))),
IF(L1601="NORMAL",
   IF(I1603&lt;=30,I1603*1.15+2,IF(I1603&lt;=80,I1603*1.15+4,IF(I1603&lt;=150,I1603*1.15+6,I1603*1.15+8))),
IF(L1601="COMPLEMENTO",
   IF(I1603&lt;=25,I1603*1.25+1.5,IF(I1603&lt;=60,I1603*1.25+3,IF(I1603&lt;=120,I1603*1.25+4,I1603*1.25+5))),
""))),2)</f>
        <v>39.75</v>
      </c>
      <c r="I1603" s="9">
        <f>($K$2+0.02)*Tabla1[[#This Row],[PRECIO $]]*1.18</f>
        <v>31.085448</v>
      </c>
      <c r="J1603" s="7">
        <f>+Tabla1[[#This Row],[PRECIO EN SOLES]]-Tabla1[[#This Row],[PC]]</f>
        <v>8.6645520000000005</v>
      </c>
      <c r="K1603" s="15"/>
      <c r="L1603" s="15" t="str">
        <f>IF(
OR(
ISNUMBER(SEARCH("BACKPACK",B1605)),
ISNUMBER(SEARCH("MOCHILA",B1605)),
ISNUMBER(SEARCH("FUNDA",B1605)),
ISNUMBER(SEARCH("ESTUCHE",B1605)),
ISNUMBER(SEARCH("BOOK COVER",B1605)),
ISNUMBER(SEARCH("KEYBOARD PARA TABLET",B1605)),
ISNUMBER(SEARCH("FLIP TABLET",B1605)),
ISNUMBER(SEARCH("CASE FOR TABLET",B1605)),
ISNUMBER(SEARCH("CABLE",B1605)),
ISNUMBER(SEARCH("ADAPTADOR",B1605)),
ISNUMBER(SEARCH("HUB",B1605)),
ISNUMBER(SEARCH("DOCK",B1605)),
ISNUMBER(SEARCH("MOUSE PAD",B1605)),
ISNUMBER(SEARCH("MOUSEPAD",B1605)),
ISNUMBER(SEARCH("SOPORTE",B1605)),
ISNUMBER(SEARCH("STAND",B1605)),
ISNUMBER(SEARCH("TRAVEL ADAPTER",B1605)),
ISNUMBER(SEARCH("RJ45",B1605)),
ISNUMBER(SEARCH("USB-C",B1605)),
ISNUMBER(SEARCH("USB WIFI",B1605)),
ISNUMBER(SEARCH("POWERBANK",B1605)),
ISNUMBER(SEARCH("CARGADOR",B1605)),
ISNUMBER(SEARCH("COOLER PARA NB",B1605)),
ISNUMBER(SEARCH("SOPORTE PARA NB",B1605)),
ISNUMBER(SEARCH("WEBCAM",B1605)),
ISNUMBER(SEARCH("WEB CAM",B1605)),
ISNUMBER(SEARCH("MOUSE",B1605)),
ISNUMBER(SEARCH("TECLADO",B1605))
),
"COMPLEMENTO",
IF(
OR(
LEFT(A1605,2)="NB",
LEFT(A1605,2)="PC",
LEFT(A1605,2)="WS",
LEFT(A1605,2)="TB",
LEFT(A1605,3)="CEL",
LEFT(A1605,3)="MON",
LEFT(A1605,3)="PRE",
LEFT(A1605,3)="PRH",
ISNUMBER(SEARCH("NOTEBOOK",B1605)),
ISNUMBER(SEARCH("LAPTOP",B1605)),
ISNUMBER(SEARCH("MONITOR",B1605)),
ISNUMBER(SEARCH("TABLET",B1605)),
ISNUMBER(SEARCH("SMARTPH",B1605)),
ISNUMBER(SEARCH("IMPRESORA",B1605)),
ISNUMBER(SEARCH("MULTIFUNCIONAL",B1605)),
ISNUMBER(SEARCH("AIO",B1605))
),
"GANCHO",
"NORMAL"
)
)</f>
        <v>NORMAL</v>
      </c>
    </row>
    <row r="1604" spans="1:12" x14ac:dyDescent="0.25">
      <c r="A1604" s="3" t="s">
        <v>6938</v>
      </c>
      <c r="B1604" s="3" t="s">
        <v>6939</v>
      </c>
      <c r="C1604" s="1">
        <v>20</v>
      </c>
      <c r="D1604" s="1">
        <v>7.57</v>
      </c>
      <c r="E1604" s="1" t="s">
        <v>154</v>
      </c>
      <c r="F1604" s="1" t="s">
        <v>6940</v>
      </c>
      <c r="G1604" s="3" t="s">
        <v>6941</v>
      </c>
      <c r="H1604" s="11">
        <f>ROUND(
IF(L1602="GANCHO",
   IF(I1604&lt;=50,I1604*1.1+4,IF(I1604&lt;=120,I1604*1.1+7,IF(I1604&lt;=250,I1604*1.1+11,I1604*1.1+19))),
IF(L1602="NORMAL",
   IF(I1604&lt;=30,I1604*1.15+2,IF(I1604&lt;=80,I1604*1.15+4,IF(I1604&lt;=150,I1604*1.15+6,I1604*1.15+8))),
IF(L1602="COMPLEMENTO",
   IF(I1604&lt;=25,I1604*1.25+1.5,IF(I1604&lt;=60,I1604*1.25+3,IF(I1604&lt;=120,I1604*1.25+4,I1604*1.25+5))),
""))),2)</f>
        <v>39.75</v>
      </c>
      <c r="I1604" s="9">
        <f>($K$2+0.02)*Tabla1[[#This Row],[PRECIO $]]*1.18</f>
        <v>31.085448</v>
      </c>
      <c r="J1604" s="7">
        <f>+Tabla1[[#This Row],[PRECIO EN SOLES]]-Tabla1[[#This Row],[PC]]</f>
        <v>8.6645520000000005</v>
      </c>
      <c r="K1604" s="15"/>
      <c r="L1604" s="15" t="str">
        <f>IF(
OR(
ISNUMBER(SEARCH("BACKPACK",B1606)),
ISNUMBER(SEARCH("MOCHILA",B1606)),
ISNUMBER(SEARCH("FUNDA",B1606)),
ISNUMBER(SEARCH("ESTUCHE",B1606)),
ISNUMBER(SEARCH("BOOK COVER",B1606)),
ISNUMBER(SEARCH("KEYBOARD PARA TABLET",B1606)),
ISNUMBER(SEARCH("FLIP TABLET",B1606)),
ISNUMBER(SEARCH("CASE FOR TABLET",B1606)),
ISNUMBER(SEARCH("CABLE",B1606)),
ISNUMBER(SEARCH("ADAPTADOR",B1606)),
ISNUMBER(SEARCH("HUB",B1606)),
ISNUMBER(SEARCH("DOCK",B1606)),
ISNUMBER(SEARCH("MOUSE PAD",B1606)),
ISNUMBER(SEARCH("MOUSEPAD",B1606)),
ISNUMBER(SEARCH("SOPORTE",B1606)),
ISNUMBER(SEARCH("STAND",B1606)),
ISNUMBER(SEARCH("TRAVEL ADAPTER",B1606)),
ISNUMBER(SEARCH("RJ45",B1606)),
ISNUMBER(SEARCH("USB-C",B1606)),
ISNUMBER(SEARCH("USB WIFI",B1606)),
ISNUMBER(SEARCH("POWERBANK",B1606)),
ISNUMBER(SEARCH("CARGADOR",B1606)),
ISNUMBER(SEARCH("COOLER PARA NB",B1606)),
ISNUMBER(SEARCH("SOPORTE PARA NB",B1606)),
ISNUMBER(SEARCH("WEBCAM",B1606)),
ISNUMBER(SEARCH("WEB CAM",B1606)),
ISNUMBER(SEARCH("MOUSE",B1606)),
ISNUMBER(SEARCH("TECLADO",B1606))
),
"COMPLEMENTO",
IF(
OR(
LEFT(A1606,2)="NB",
LEFT(A1606,2)="PC",
LEFT(A1606,2)="WS",
LEFT(A1606,2)="TB",
LEFT(A1606,3)="CEL",
LEFT(A1606,3)="MON",
LEFT(A1606,3)="PRE",
LEFT(A1606,3)="PRH",
ISNUMBER(SEARCH("NOTEBOOK",B1606)),
ISNUMBER(SEARCH("LAPTOP",B1606)),
ISNUMBER(SEARCH("MONITOR",B1606)),
ISNUMBER(SEARCH("TABLET",B1606)),
ISNUMBER(SEARCH("SMARTPH",B1606)),
ISNUMBER(SEARCH("IMPRESORA",B1606)),
ISNUMBER(SEARCH("MULTIFUNCIONAL",B1606)),
ISNUMBER(SEARCH("AIO",B1606))
),
"GANCHO",
"NORMAL"
)
)</f>
        <v>NORMAL</v>
      </c>
    </row>
    <row r="1605" spans="1:12" x14ac:dyDescent="0.25">
      <c r="A1605" s="3" t="s">
        <v>527</v>
      </c>
      <c r="B1605" s="3" t="s">
        <v>528</v>
      </c>
      <c r="C1605" s="1">
        <v>20</v>
      </c>
      <c r="D1605" s="1">
        <v>10</v>
      </c>
      <c r="E1605" s="1" t="s">
        <v>154</v>
      </c>
      <c r="F1605" s="1" t="s">
        <v>4049</v>
      </c>
      <c r="G1605" s="3" t="s">
        <v>529</v>
      </c>
      <c r="H1605" s="11">
        <f>ROUND(
IF(L1603="GANCHO",
   IF(I1605&lt;=50,I1605*1.1+4,IF(I1605&lt;=120,I1605*1.1+7,IF(I1605&lt;=250,I1605*1.1+11,I1605*1.1+19))),
IF(L1603="NORMAL",
   IF(I1605&lt;=30,I1605*1.15+2,IF(I1605&lt;=80,I1605*1.15+4,IF(I1605&lt;=150,I1605*1.15+6,I1605*1.15+8))),
IF(L1603="COMPLEMENTO",
   IF(I1605&lt;=25,I1605*1.25+1.5,IF(I1605&lt;=60,I1605*1.25+3,IF(I1605&lt;=120,I1605*1.25+4,I1605*1.25+5))),
""))),2)</f>
        <v>51.22</v>
      </c>
      <c r="I1605" s="9">
        <f>($K$2+0.02)*Tabla1[[#This Row],[PRECIO $]]*1.18</f>
        <v>41.063999999999993</v>
      </c>
      <c r="J1605" s="7">
        <f>+Tabla1[[#This Row],[PRECIO EN SOLES]]-Tabla1[[#This Row],[PC]]</f>
        <v>10.156000000000006</v>
      </c>
      <c r="K1605" s="15"/>
      <c r="L1605" s="15" t="str">
        <f>IF(
OR(
ISNUMBER(SEARCH("BACKPACK",B1607)),
ISNUMBER(SEARCH("MOCHILA",B1607)),
ISNUMBER(SEARCH("FUNDA",B1607)),
ISNUMBER(SEARCH("ESTUCHE",B1607)),
ISNUMBER(SEARCH("BOOK COVER",B1607)),
ISNUMBER(SEARCH("KEYBOARD PARA TABLET",B1607)),
ISNUMBER(SEARCH("FLIP TABLET",B1607)),
ISNUMBER(SEARCH("CASE FOR TABLET",B1607)),
ISNUMBER(SEARCH("CABLE",B1607)),
ISNUMBER(SEARCH("ADAPTADOR",B1607)),
ISNUMBER(SEARCH("HUB",B1607)),
ISNUMBER(SEARCH("DOCK",B1607)),
ISNUMBER(SEARCH("MOUSE PAD",B1607)),
ISNUMBER(SEARCH("MOUSEPAD",B1607)),
ISNUMBER(SEARCH("SOPORTE",B1607)),
ISNUMBER(SEARCH("STAND",B1607)),
ISNUMBER(SEARCH("TRAVEL ADAPTER",B1607)),
ISNUMBER(SEARCH("RJ45",B1607)),
ISNUMBER(SEARCH("USB-C",B1607)),
ISNUMBER(SEARCH("USB WIFI",B1607)),
ISNUMBER(SEARCH("POWERBANK",B1607)),
ISNUMBER(SEARCH("CARGADOR",B1607)),
ISNUMBER(SEARCH("COOLER PARA NB",B1607)),
ISNUMBER(SEARCH("SOPORTE PARA NB",B1607)),
ISNUMBER(SEARCH("WEBCAM",B1607)),
ISNUMBER(SEARCH("WEB CAM",B1607)),
ISNUMBER(SEARCH("MOUSE",B1607)),
ISNUMBER(SEARCH("TECLADO",B1607))
),
"COMPLEMENTO",
IF(
OR(
LEFT(A1607,2)="NB",
LEFT(A1607,2)="PC",
LEFT(A1607,2)="WS",
LEFT(A1607,2)="TB",
LEFT(A1607,3)="CEL",
LEFT(A1607,3)="MON",
LEFT(A1607,3)="PRE",
LEFT(A1607,3)="PRH",
ISNUMBER(SEARCH("NOTEBOOK",B1607)),
ISNUMBER(SEARCH("LAPTOP",B1607)),
ISNUMBER(SEARCH("MONITOR",B1607)),
ISNUMBER(SEARCH("TABLET",B1607)),
ISNUMBER(SEARCH("SMARTPH",B1607)),
ISNUMBER(SEARCH("IMPRESORA",B1607)),
ISNUMBER(SEARCH("MULTIFUNCIONAL",B1607)),
ISNUMBER(SEARCH("AIO",B1607))
),
"GANCHO",
"NORMAL"
)
)</f>
        <v>NORMAL</v>
      </c>
    </row>
    <row r="1606" spans="1:12" x14ac:dyDescent="0.25">
      <c r="A1606" s="3" t="s">
        <v>2521</v>
      </c>
      <c r="B1606" s="3" t="s">
        <v>2522</v>
      </c>
      <c r="C1606" s="1">
        <v>20</v>
      </c>
      <c r="D1606" s="1">
        <v>10</v>
      </c>
      <c r="E1606" s="1" t="s">
        <v>154</v>
      </c>
      <c r="F1606" s="1" t="s">
        <v>4050</v>
      </c>
      <c r="G1606" s="3" t="s">
        <v>2523</v>
      </c>
      <c r="H1606" s="11">
        <f>ROUND(
IF(L1604="GANCHO",
   IF(I1606&lt;=50,I1606*1.1+4,IF(I1606&lt;=120,I1606*1.1+7,IF(I1606&lt;=250,I1606*1.1+11,I1606*1.1+19))),
IF(L1604="NORMAL",
   IF(I1606&lt;=30,I1606*1.15+2,IF(I1606&lt;=80,I1606*1.15+4,IF(I1606&lt;=150,I1606*1.15+6,I1606*1.15+8))),
IF(L1604="COMPLEMENTO",
   IF(I1606&lt;=25,I1606*1.25+1.5,IF(I1606&lt;=60,I1606*1.25+3,IF(I1606&lt;=120,I1606*1.25+4,I1606*1.25+5))),
""))),2)</f>
        <v>51.22</v>
      </c>
      <c r="I1606" s="9">
        <f>($K$2+0.02)*Tabla1[[#This Row],[PRECIO $]]*1.18</f>
        <v>41.063999999999993</v>
      </c>
      <c r="J1606" s="7">
        <f>+Tabla1[[#This Row],[PRECIO EN SOLES]]-Tabla1[[#This Row],[PC]]</f>
        <v>10.156000000000006</v>
      </c>
      <c r="K1606" s="15"/>
      <c r="L1606" s="15" t="str">
        <f>IF(
OR(
ISNUMBER(SEARCH("BACKPACK",B1608)),
ISNUMBER(SEARCH("MOCHILA",B1608)),
ISNUMBER(SEARCH("FUNDA",B1608)),
ISNUMBER(SEARCH("ESTUCHE",B1608)),
ISNUMBER(SEARCH("BOOK COVER",B1608)),
ISNUMBER(SEARCH("KEYBOARD PARA TABLET",B1608)),
ISNUMBER(SEARCH("FLIP TABLET",B1608)),
ISNUMBER(SEARCH("CASE FOR TABLET",B1608)),
ISNUMBER(SEARCH("CABLE",B1608)),
ISNUMBER(SEARCH("ADAPTADOR",B1608)),
ISNUMBER(SEARCH("HUB",B1608)),
ISNUMBER(SEARCH("DOCK",B1608)),
ISNUMBER(SEARCH("MOUSE PAD",B1608)),
ISNUMBER(SEARCH("MOUSEPAD",B1608)),
ISNUMBER(SEARCH("SOPORTE",B1608)),
ISNUMBER(SEARCH("STAND",B1608)),
ISNUMBER(SEARCH("TRAVEL ADAPTER",B1608)),
ISNUMBER(SEARCH("RJ45",B1608)),
ISNUMBER(SEARCH("USB-C",B1608)),
ISNUMBER(SEARCH("USB WIFI",B1608)),
ISNUMBER(SEARCH("POWERBANK",B1608)),
ISNUMBER(SEARCH("CARGADOR",B1608)),
ISNUMBER(SEARCH("COOLER PARA NB",B1608)),
ISNUMBER(SEARCH("SOPORTE PARA NB",B1608)),
ISNUMBER(SEARCH("WEBCAM",B1608)),
ISNUMBER(SEARCH("WEB CAM",B1608)),
ISNUMBER(SEARCH("MOUSE",B1608)),
ISNUMBER(SEARCH("TECLADO",B1608))
),
"COMPLEMENTO",
IF(
OR(
LEFT(A1608,2)="NB",
LEFT(A1608,2)="PC",
LEFT(A1608,2)="WS",
LEFT(A1608,2)="TB",
LEFT(A1608,3)="CEL",
LEFT(A1608,3)="MON",
LEFT(A1608,3)="PRE",
LEFT(A1608,3)="PRH",
ISNUMBER(SEARCH("NOTEBOOK",B1608)),
ISNUMBER(SEARCH("LAPTOP",B1608)),
ISNUMBER(SEARCH("MONITOR",B1608)),
ISNUMBER(SEARCH("TABLET",B1608)),
ISNUMBER(SEARCH("SMARTPH",B1608)),
ISNUMBER(SEARCH("IMPRESORA",B1608)),
ISNUMBER(SEARCH("MULTIFUNCIONAL",B1608)),
ISNUMBER(SEARCH("AIO",B1608))
),
"GANCHO",
"NORMAL"
)
)</f>
        <v>NORMAL</v>
      </c>
    </row>
    <row r="1607" spans="1:12" x14ac:dyDescent="0.25">
      <c r="A1607" s="3" t="s">
        <v>4203</v>
      </c>
      <c r="B1607" s="3" t="s">
        <v>4204</v>
      </c>
      <c r="C1607" s="1">
        <v>20</v>
      </c>
      <c r="D1607" s="1">
        <v>10</v>
      </c>
      <c r="E1607" s="1" t="s">
        <v>154</v>
      </c>
      <c r="F1607" s="1" t="s">
        <v>4239</v>
      </c>
      <c r="G1607" s="3" t="s">
        <v>4205</v>
      </c>
      <c r="H1607" s="11">
        <f>ROUND(
IF(L1605="GANCHO",
   IF(I1607&lt;=50,I1607*1.1+4,IF(I1607&lt;=120,I1607*1.1+7,IF(I1607&lt;=250,I1607*1.1+11,I1607*1.1+19))),
IF(L1605="NORMAL",
   IF(I1607&lt;=30,I1607*1.15+2,IF(I1607&lt;=80,I1607*1.15+4,IF(I1607&lt;=150,I1607*1.15+6,I1607*1.15+8))),
IF(L1605="COMPLEMENTO",
   IF(I1607&lt;=25,I1607*1.25+1.5,IF(I1607&lt;=60,I1607*1.25+3,IF(I1607&lt;=120,I1607*1.25+4,I1607*1.25+5))),
""))),2)</f>
        <v>51.22</v>
      </c>
      <c r="I1607" s="9">
        <f>($K$2+0.02)*Tabla1[[#This Row],[PRECIO $]]*1.18</f>
        <v>41.063999999999993</v>
      </c>
      <c r="J1607" s="7">
        <f>+Tabla1[[#This Row],[PRECIO EN SOLES]]-Tabla1[[#This Row],[PC]]</f>
        <v>10.156000000000006</v>
      </c>
      <c r="K1607" s="15"/>
      <c r="L1607" s="15" t="str">
        <f>IF(
OR(
ISNUMBER(SEARCH("BACKPACK",B1609)),
ISNUMBER(SEARCH("MOCHILA",B1609)),
ISNUMBER(SEARCH("FUNDA",B1609)),
ISNUMBER(SEARCH("ESTUCHE",B1609)),
ISNUMBER(SEARCH("BOOK COVER",B1609)),
ISNUMBER(SEARCH("KEYBOARD PARA TABLET",B1609)),
ISNUMBER(SEARCH("FLIP TABLET",B1609)),
ISNUMBER(SEARCH("CASE FOR TABLET",B1609)),
ISNUMBER(SEARCH("CABLE",B1609)),
ISNUMBER(SEARCH("ADAPTADOR",B1609)),
ISNUMBER(SEARCH("HUB",B1609)),
ISNUMBER(SEARCH("DOCK",B1609)),
ISNUMBER(SEARCH("MOUSE PAD",B1609)),
ISNUMBER(SEARCH("MOUSEPAD",B1609)),
ISNUMBER(SEARCH("SOPORTE",B1609)),
ISNUMBER(SEARCH("STAND",B1609)),
ISNUMBER(SEARCH("TRAVEL ADAPTER",B1609)),
ISNUMBER(SEARCH("RJ45",B1609)),
ISNUMBER(SEARCH("USB-C",B1609)),
ISNUMBER(SEARCH("USB WIFI",B1609)),
ISNUMBER(SEARCH("POWERBANK",B1609)),
ISNUMBER(SEARCH("CARGADOR",B1609)),
ISNUMBER(SEARCH("COOLER PARA NB",B1609)),
ISNUMBER(SEARCH("SOPORTE PARA NB",B1609)),
ISNUMBER(SEARCH("WEBCAM",B1609)),
ISNUMBER(SEARCH("WEB CAM",B1609)),
ISNUMBER(SEARCH("MOUSE",B1609)),
ISNUMBER(SEARCH("TECLADO",B1609))
),
"COMPLEMENTO",
IF(
OR(
LEFT(A1609,2)="NB",
LEFT(A1609,2)="PC",
LEFT(A1609,2)="WS",
LEFT(A1609,2)="TB",
LEFT(A1609,3)="CEL",
LEFT(A1609,3)="MON",
LEFT(A1609,3)="PRE",
LEFT(A1609,3)="PRH",
ISNUMBER(SEARCH("NOTEBOOK",B1609)),
ISNUMBER(SEARCH("LAPTOP",B1609)),
ISNUMBER(SEARCH("MONITOR",B1609)),
ISNUMBER(SEARCH("TABLET",B1609)),
ISNUMBER(SEARCH("SMARTPH",B1609)),
ISNUMBER(SEARCH("IMPRESORA",B1609)),
ISNUMBER(SEARCH("MULTIFUNCIONAL",B1609)),
ISNUMBER(SEARCH("AIO",B1609))
),
"GANCHO",
"NORMAL"
)
)</f>
        <v>NORMAL</v>
      </c>
    </row>
    <row r="1608" spans="1:12" x14ac:dyDescent="0.25">
      <c r="A1608" s="3" t="s">
        <v>692</v>
      </c>
      <c r="B1608" s="3" t="s">
        <v>693</v>
      </c>
      <c r="C1608" s="1">
        <v>18</v>
      </c>
      <c r="D1608" s="1">
        <v>10</v>
      </c>
      <c r="E1608" s="1" t="s">
        <v>154</v>
      </c>
      <c r="F1608" s="1" t="s">
        <v>4051</v>
      </c>
      <c r="G1608" s="3" t="s">
        <v>694</v>
      </c>
      <c r="H1608" s="11">
        <f>ROUND(
IF(L1606="GANCHO",
   IF(I1608&lt;=50,I1608*1.1+4,IF(I1608&lt;=120,I1608*1.1+7,IF(I1608&lt;=250,I1608*1.1+11,I1608*1.1+19))),
IF(L1606="NORMAL",
   IF(I1608&lt;=30,I1608*1.15+2,IF(I1608&lt;=80,I1608*1.15+4,IF(I1608&lt;=150,I1608*1.15+6,I1608*1.15+8))),
IF(L1606="COMPLEMENTO",
   IF(I1608&lt;=25,I1608*1.25+1.5,IF(I1608&lt;=60,I1608*1.25+3,IF(I1608&lt;=120,I1608*1.25+4,I1608*1.25+5))),
""))),2)</f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>IF(
OR(
ISNUMBER(SEARCH("BACKPACK",B1610)),
ISNUMBER(SEARCH("MOCHILA",B1610)),
ISNUMBER(SEARCH("FUNDA",B1610)),
ISNUMBER(SEARCH("ESTUCHE",B1610)),
ISNUMBER(SEARCH("BOOK COVER",B1610)),
ISNUMBER(SEARCH("KEYBOARD PARA TABLET",B1610)),
ISNUMBER(SEARCH("FLIP TABLET",B1610)),
ISNUMBER(SEARCH("CASE FOR TABLET",B1610)),
ISNUMBER(SEARCH("CABLE",B1610)),
ISNUMBER(SEARCH("ADAPTADOR",B1610)),
ISNUMBER(SEARCH("HUB",B1610)),
ISNUMBER(SEARCH("DOCK",B1610)),
ISNUMBER(SEARCH("MOUSE PAD",B1610)),
ISNUMBER(SEARCH("MOUSEPAD",B1610)),
ISNUMBER(SEARCH("SOPORTE",B1610)),
ISNUMBER(SEARCH("STAND",B1610)),
ISNUMBER(SEARCH("TRAVEL ADAPTER",B1610)),
ISNUMBER(SEARCH("RJ45",B1610)),
ISNUMBER(SEARCH("USB-C",B1610)),
ISNUMBER(SEARCH("USB WIFI",B1610)),
ISNUMBER(SEARCH("POWERBANK",B1610)),
ISNUMBER(SEARCH("CARGADOR",B1610)),
ISNUMBER(SEARCH("COOLER PARA NB",B1610)),
ISNUMBER(SEARCH("SOPORTE PARA NB",B1610)),
ISNUMBER(SEARCH("WEBCAM",B1610)),
ISNUMBER(SEARCH("WEB CAM",B1610)),
ISNUMBER(SEARCH("MOUSE",B1610)),
ISNUMBER(SEARCH("TECLADO",B1610))
),
"COMPLEMENTO",
IF(
OR(
LEFT(A1610,2)="NB",
LEFT(A1610,2)="PC",
LEFT(A1610,2)="WS",
LEFT(A1610,2)="TB",
LEFT(A1610,3)="CEL",
LEFT(A1610,3)="MON",
LEFT(A1610,3)="PRE",
LEFT(A1610,3)="PRH",
ISNUMBER(SEARCH("NOTEBOOK",B1610)),
ISNUMBER(SEARCH("LAPTOP",B1610)),
ISNUMBER(SEARCH("MONITOR",B1610)),
ISNUMBER(SEARCH("TABLET",B1610)),
ISNUMBER(SEARCH("SMARTPH",B1610)),
ISNUMBER(SEARCH("IMPRESORA",B1610)),
ISNUMBER(SEARCH("MULTIFUNCIONAL",B1610)),
ISNUMBER(SEARCH("AIO",B1610))
),
"GANCHO",
"NORMAL"
)
)</f>
        <v>NORMAL</v>
      </c>
    </row>
    <row r="1609" spans="1:12" x14ac:dyDescent="0.25">
      <c r="A1609" s="3" t="s">
        <v>695</v>
      </c>
      <c r="B1609" s="3" t="s">
        <v>696</v>
      </c>
      <c r="C1609" s="1">
        <v>12</v>
      </c>
      <c r="D1609" s="1">
        <v>10</v>
      </c>
      <c r="E1609" s="1" t="s">
        <v>154</v>
      </c>
      <c r="F1609" s="1" t="s">
        <v>4052</v>
      </c>
      <c r="G1609" s="3" t="s">
        <v>697</v>
      </c>
      <c r="H1609" s="11">
        <f>ROUND(
IF(L1607="GANCHO",
   IF(I1609&lt;=50,I1609*1.1+4,IF(I1609&lt;=120,I1609*1.1+7,IF(I1609&lt;=250,I1609*1.1+11,I1609*1.1+19))),
IF(L1607="NORMAL",
   IF(I1609&lt;=30,I1609*1.15+2,IF(I1609&lt;=80,I1609*1.15+4,IF(I1609&lt;=150,I1609*1.15+6,I1609*1.15+8))),
IF(L1607="COMPLEMENTO",
   IF(I1609&lt;=25,I1609*1.25+1.5,IF(I1609&lt;=60,I1609*1.25+3,IF(I1609&lt;=120,I1609*1.25+4,I1609*1.25+5))),
""))),2)</f>
        <v>51.22</v>
      </c>
      <c r="I1609" s="9">
        <f>($K$2+0.02)*Tabla1[[#This Row],[PRECIO $]]*1.18</f>
        <v>41.063999999999993</v>
      </c>
      <c r="J1609" s="7">
        <f>+Tabla1[[#This Row],[PRECIO EN SOLES]]-Tabla1[[#This Row],[PC]]</f>
        <v>10.156000000000006</v>
      </c>
      <c r="K1609" s="15"/>
      <c r="L1609" s="15" t="str">
        <f>IF(
OR(
ISNUMBER(SEARCH("BACKPACK",B1611)),
ISNUMBER(SEARCH("MOCHILA",B1611)),
ISNUMBER(SEARCH("FUNDA",B1611)),
ISNUMBER(SEARCH("ESTUCHE",B1611)),
ISNUMBER(SEARCH("BOOK COVER",B1611)),
ISNUMBER(SEARCH("KEYBOARD PARA TABLET",B1611)),
ISNUMBER(SEARCH("FLIP TABLET",B1611)),
ISNUMBER(SEARCH("CASE FOR TABLET",B1611)),
ISNUMBER(SEARCH("CABLE",B1611)),
ISNUMBER(SEARCH("ADAPTADOR",B1611)),
ISNUMBER(SEARCH("HUB",B1611)),
ISNUMBER(SEARCH("DOCK",B1611)),
ISNUMBER(SEARCH("MOUSE PAD",B1611)),
ISNUMBER(SEARCH("MOUSEPAD",B1611)),
ISNUMBER(SEARCH("SOPORTE",B1611)),
ISNUMBER(SEARCH("STAND",B1611)),
ISNUMBER(SEARCH("TRAVEL ADAPTER",B1611)),
ISNUMBER(SEARCH("RJ45",B1611)),
ISNUMBER(SEARCH("USB-C",B1611)),
ISNUMBER(SEARCH("USB WIFI",B1611)),
ISNUMBER(SEARCH("POWERBANK",B1611)),
ISNUMBER(SEARCH("CARGADOR",B1611)),
ISNUMBER(SEARCH("COOLER PARA NB",B1611)),
ISNUMBER(SEARCH("SOPORTE PARA NB",B1611)),
ISNUMBER(SEARCH("WEBCAM",B1611)),
ISNUMBER(SEARCH("WEB CAM",B1611)),
ISNUMBER(SEARCH("MOUSE",B1611)),
ISNUMBER(SEARCH("TECLADO",B1611))
),
"COMPLEMENTO",
IF(
OR(
LEFT(A1611,2)="NB",
LEFT(A1611,2)="PC",
LEFT(A1611,2)="WS",
LEFT(A1611,2)="TB",
LEFT(A1611,3)="CEL",
LEFT(A1611,3)="MON",
LEFT(A1611,3)="PRE",
LEFT(A1611,3)="PRH",
ISNUMBER(SEARCH("NOTEBOOK",B1611)),
ISNUMBER(SEARCH("LAPTOP",B1611)),
ISNUMBER(SEARCH("MONITOR",B1611)),
ISNUMBER(SEARCH("TABLET",B1611)),
ISNUMBER(SEARCH("SMARTPH",B1611)),
ISNUMBER(SEARCH("IMPRESORA",B1611)),
ISNUMBER(SEARCH("MULTIFUNCIONAL",B1611)),
ISNUMBER(SEARCH("AIO",B1611))
),
"GANCHO",
"NORMAL"
)
)</f>
        <v>NORMAL</v>
      </c>
    </row>
    <row r="1610" spans="1:12" x14ac:dyDescent="0.25">
      <c r="A1610" s="3" t="s">
        <v>4206</v>
      </c>
      <c r="B1610" s="3" t="s">
        <v>4207</v>
      </c>
      <c r="C1610" s="1">
        <v>20</v>
      </c>
      <c r="D1610" s="1">
        <v>10</v>
      </c>
      <c r="E1610" s="1" t="s">
        <v>154</v>
      </c>
      <c r="F1610" s="1" t="s">
        <v>4240</v>
      </c>
      <c r="G1610" s="3" t="s">
        <v>4208</v>
      </c>
      <c r="H1610" s="11">
        <f>ROUND(
IF(L1608="GANCHO",
   IF(I1610&lt;=50,I1610*1.1+4,IF(I1610&lt;=120,I1610*1.1+7,IF(I1610&lt;=250,I1610*1.1+11,I1610*1.1+19))),
IF(L1608="NORMAL",
   IF(I1610&lt;=30,I1610*1.15+2,IF(I1610&lt;=80,I1610*1.15+4,IF(I1610&lt;=150,I1610*1.15+6,I1610*1.15+8))),
IF(L1608="COMPLEMENTO",
   IF(I1610&lt;=25,I1610*1.25+1.5,IF(I1610&lt;=60,I1610*1.25+3,IF(I1610&lt;=120,I1610*1.25+4,I1610*1.25+5))),
""))),2)</f>
        <v>51.22</v>
      </c>
      <c r="I1610" s="9">
        <f>($K$2+0.02)*Tabla1[[#This Row],[PRECIO $]]*1.18</f>
        <v>41.063999999999993</v>
      </c>
      <c r="J1610" s="7">
        <f>+Tabla1[[#This Row],[PRECIO EN SOLES]]-Tabla1[[#This Row],[PC]]</f>
        <v>10.156000000000006</v>
      </c>
      <c r="K1610" s="15"/>
      <c r="L1610" s="15" t="str">
        <f>IF(
OR(
ISNUMBER(SEARCH("BACKPACK",B1612)),
ISNUMBER(SEARCH("MOCHILA",B1612)),
ISNUMBER(SEARCH("FUNDA",B1612)),
ISNUMBER(SEARCH("ESTUCHE",B1612)),
ISNUMBER(SEARCH("BOOK COVER",B1612)),
ISNUMBER(SEARCH("KEYBOARD PARA TABLET",B1612)),
ISNUMBER(SEARCH("FLIP TABLET",B1612)),
ISNUMBER(SEARCH("CASE FOR TABLET",B1612)),
ISNUMBER(SEARCH("CABLE",B1612)),
ISNUMBER(SEARCH("ADAPTADOR",B1612)),
ISNUMBER(SEARCH("HUB",B1612)),
ISNUMBER(SEARCH("DOCK",B1612)),
ISNUMBER(SEARCH("MOUSE PAD",B1612)),
ISNUMBER(SEARCH("MOUSEPAD",B1612)),
ISNUMBER(SEARCH("SOPORTE",B1612)),
ISNUMBER(SEARCH("STAND",B1612)),
ISNUMBER(SEARCH("TRAVEL ADAPTER",B1612)),
ISNUMBER(SEARCH("RJ45",B1612)),
ISNUMBER(SEARCH("USB-C",B1612)),
ISNUMBER(SEARCH("USB WIFI",B1612)),
ISNUMBER(SEARCH("POWERBANK",B1612)),
ISNUMBER(SEARCH("CARGADOR",B1612)),
ISNUMBER(SEARCH("COOLER PARA NB",B1612)),
ISNUMBER(SEARCH("SOPORTE PARA NB",B1612)),
ISNUMBER(SEARCH("WEBCAM",B1612)),
ISNUMBER(SEARCH("WEB CAM",B1612)),
ISNUMBER(SEARCH("MOUSE",B1612)),
ISNUMBER(SEARCH("TECLADO",B1612))
),
"COMPLEMENTO",
IF(
OR(
LEFT(A1612,2)="NB",
LEFT(A1612,2)="PC",
LEFT(A1612,2)="WS",
LEFT(A1612,2)="TB",
LEFT(A1612,3)="CEL",
LEFT(A1612,3)="MON",
LEFT(A1612,3)="PRE",
LEFT(A1612,3)="PRH",
ISNUMBER(SEARCH("NOTEBOOK",B1612)),
ISNUMBER(SEARCH("LAPTOP",B1612)),
ISNUMBER(SEARCH("MONITOR",B1612)),
ISNUMBER(SEARCH("TABLET",B1612)),
ISNUMBER(SEARCH("SMARTPH",B1612)),
ISNUMBER(SEARCH("IMPRESORA",B1612)),
ISNUMBER(SEARCH("MULTIFUNCIONAL",B1612)),
ISNUMBER(SEARCH("AIO",B1612))
),
"GANCHO",
"NORMAL"
)
)</f>
        <v>NORMAL</v>
      </c>
    </row>
    <row r="1611" spans="1:12" x14ac:dyDescent="0.25">
      <c r="A1611" s="3" t="s">
        <v>2524</v>
      </c>
      <c r="B1611" s="3" t="s">
        <v>2525</v>
      </c>
      <c r="C1611" s="1">
        <v>20</v>
      </c>
      <c r="D1611" s="1">
        <v>17.25</v>
      </c>
      <c r="E1611" s="1" t="s">
        <v>154</v>
      </c>
      <c r="F1611" s="1" t="s">
        <v>4053</v>
      </c>
      <c r="G1611" s="3" t="s">
        <v>2526</v>
      </c>
      <c r="H1611" s="11">
        <f>ROUND(
IF(L1609="GANCHO",
   IF(I1611&lt;=50,I1611*1.1+4,IF(I1611&lt;=120,I1611*1.1+7,IF(I1611&lt;=250,I1611*1.1+11,I1611*1.1+19))),
IF(L1609="NORMAL",
   IF(I1611&lt;=30,I1611*1.15+2,IF(I1611&lt;=80,I1611*1.15+4,IF(I1611&lt;=150,I1611*1.15+6,I1611*1.15+8))),
IF(L1609="COMPLEMENTO",
   IF(I1611&lt;=25,I1611*1.25+1.5,IF(I1611&lt;=60,I1611*1.25+3,IF(I1611&lt;=120,I1611*1.25+4,I1611*1.25+5))),
""))),2)</f>
        <v>85.46</v>
      </c>
      <c r="I1611" s="9">
        <f>($K$2+0.02)*Tabla1[[#This Row],[PRECIO $]]*1.18</f>
        <v>70.835399999999993</v>
      </c>
      <c r="J1611" s="7">
        <f>+Tabla1[[#This Row],[PRECIO EN SOLES]]-Tabla1[[#This Row],[PC]]</f>
        <v>14.624600000000001</v>
      </c>
      <c r="K1611" s="15"/>
      <c r="L1611" s="15" t="str">
        <f>IF(
OR(
ISNUMBER(SEARCH("BACKPACK",B1613)),
ISNUMBER(SEARCH("MOCHILA",B1613)),
ISNUMBER(SEARCH("FUNDA",B1613)),
ISNUMBER(SEARCH("ESTUCHE",B1613)),
ISNUMBER(SEARCH("BOOK COVER",B1613)),
ISNUMBER(SEARCH("KEYBOARD PARA TABLET",B1613)),
ISNUMBER(SEARCH("FLIP TABLET",B1613)),
ISNUMBER(SEARCH("CASE FOR TABLET",B1613)),
ISNUMBER(SEARCH("CABLE",B1613)),
ISNUMBER(SEARCH("ADAPTADOR",B1613)),
ISNUMBER(SEARCH("HUB",B1613)),
ISNUMBER(SEARCH("DOCK",B1613)),
ISNUMBER(SEARCH("MOUSE PAD",B1613)),
ISNUMBER(SEARCH("MOUSEPAD",B1613)),
ISNUMBER(SEARCH("SOPORTE",B1613)),
ISNUMBER(SEARCH("STAND",B1613)),
ISNUMBER(SEARCH("TRAVEL ADAPTER",B1613)),
ISNUMBER(SEARCH("RJ45",B1613)),
ISNUMBER(SEARCH("USB-C",B1613)),
ISNUMBER(SEARCH("USB WIFI",B1613)),
ISNUMBER(SEARCH("POWERBANK",B1613)),
ISNUMBER(SEARCH("CARGADOR",B1613)),
ISNUMBER(SEARCH("COOLER PARA NB",B1613)),
ISNUMBER(SEARCH("SOPORTE PARA NB",B1613)),
ISNUMBER(SEARCH("WEBCAM",B1613)),
ISNUMBER(SEARCH("WEB CAM",B1613)),
ISNUMBER(SEARCH("MOUSE",B1613)),
ISNUMBER(SEARCH("TECLADO",B1613))
),
"COMPLEMENTO",
IF(
OR(
LEFT(A1613,2)="NB",
LEFT(A1613,2)="PC",
LEFT(A1613,2)="WS",
LEFT(A1613,2)="TB",
LEFT(A1613,3)="CEL",
LEFT(A1613,3)="MON",
LEFT(A1613,3)="PRE",
LEFT(A1613,3)="PRH",
ISNUMBER(SEARCH("NOTEBOOK",B1613)),
ISNUMBER(SEARCH("LAPTOP",B1613)),
ISNUMBER(SEARCH("MONITOR",B1613)),
ISNUMBER(SEARCH("TABLET",B1613)),
ISNUMBER(SEARCH("SMARTPH",B1613)),
ISNUMBER(SEARCH("IMPRESORA",B1613)),
ISNUMBER(SEARCH("MULTIFUNCIONAL",B1613)),
ISNUMBER(SEARCH("AIO",B1613))
),
"GANCHO",
"NORMAL"
)
)</f>
        <v>NORMAL</v>
      </c>
    </row>
    <row r="1612" spans="1:12" x14ac:dyDescent="0.25">
      <c r="A1612" s="3" t="s">
        <v>530</v>
      </c>
      <c r="B1612" s="3" t="s">
        <v>531</v>
      </c>
      <c r="C1612" s="1">
        <v>20</v>
      </c>
      <c r="D1612" s="1">
        <v>17.2</v>
      </c>
      <c r="E1612" s="1" t="s">
        <v>154</v>
      </c>
      <c r="F1612" s="1" t="s">
        <v>4054</v>
      </c>
      <c r="G1612" s="3" t="s">
        <v>532</v>
      </c>
      <c r="H1612" s="11">
        <f>ROUND(
IF(L1610="GANCHO",
   IF(I1612&lt;=50,I1612*1.1+4,IF(I1612&lt;=120,I1612*1.1+7,IF(I1612&lt;=250,I1612*1.1+11,I1612*1.1+19))),
IF(L1610="NORMAL",
   IF(I1612&lt;=30,I1612*1.15+2,IF(I1612&lt;=80,I1612*1.15+4,IF(I1612&lt;=150,I1612*1.15+6,I1612*1.15+8))),
IF(L1610="COMPLEMENTO",
   IF(I1612&lt;=25,I1612*1.25+1.5,IF(I1612&lt;=60,I1612*1.25+3,IF(I1612&lt;=120,I1612*1.25+4,I1612*1.25+5))),
""))),2)</f>
        <v>85.22</v>
      </c>
      <c r="I1612" s="9">
        <f>($K$2+0.02)*Tabla1[[#This Row],[PRECIO $]]*1.18</f>
        <v>70.630079999999992</v>
      </c>
      <c r="J1612" s="7">
        <f>+Tabla1[[#This Row],[PRECIO EN SOLES]]-Tabla1[[#This Row],[PC]]</f>
        <v>14.589920000000006</v>
      </c>
      <c r="K1612" s="15"/>
      <c r="L1612" s="15" t="str">
        <f>IF(
OR(
ISNUMBER(SEARCH("BACKPACK",B1614)),
ISNUMBER(SEARCH("MOCHILA",B1614)),
ISNUMBER(SEARCH("FUNDA",B1614)),
ISNUMBER(SEARCH("ESTUCHE",B1614)),
ISNUMBER(SEARCH("BOOK COVER",B1614)),
ISNUMBER(SEARCH("KEYBOARD PARA TABLET",B1614)),
ISNUMBER(SEARCH("FLIP TABLET",B1614)),
ISNUMBER(SEARCH("CASE FOR TABLET",B1614)),
ISNUMBER(SEARCH("CABLE",B1614)),
ISNUMBER(SEARCH("ADAPTADOR",B1614)),
ISNUMBER(SEARCH("HUB",B1614)),
ISNUMBER(SEARCH("DOCK",B1614)),
ISNUMBER(SEARCH("MOUSE PAD",B1614)),
ISNUMBER(SEARCH("MOUSEPAD",B1614)),
ISNUMBER(SEARCH("SOPORTE",B1614)),
ISNUMBER(SEARCH("STAND",B1614)),
ISNUMBER(SEARCH("TRAVEL ADAPTER",B1614)),
ISNUMBER(SEARCH("RJ45",B1614)),
ISNUMBER(SEARCH("USB-C",B1614)),
ISNUMBER(SEARCH("USB WIFI",B1614)),
ISNUMBER(SEARCH("POWERBANK",B1614)),
ISNUMBER(SEARCH("CARGADOR",B1614)),
ISNUMBER(SEARCH("COOLER PARA NB",B1614)),
ISNUMBER(SEARCH("SOPORTE PARA NB",B1614)),
ISNUMBER(SEARCH("WEBCAM",B1614)),
ISNUMBER(SEARCH("WEB CAM",B1614)),
ISNUMBER(SEARCH("MOUSE",B1614)),
ISNUMBER(SEARCH("TECLADO",B1614))
),
"COMPLEMENTO",
IF(
OR(
LEFT(A1614,2)="NB",
LEFT(A1614,2)="PC",
LEFT(A1614,2)="WS",
LEFT(A1614,2)="TB",
LEFT(A1614,3)="CEL",
LEFT(A1614,3)="MON",
LEFT(A1614,3)="PRE",
LEFT(A1614,3)="PRH",
ISNUMBER(SEARCH("NOTEBOOK",B1614)),
ISNUMBER(SEARCH("LAPTOP",B1614)),
ISNUMBER(SEARCH("MONITOR",B1614)),
ISNUMBER(SEARCH("TABLET",B1614)),
ISNUMBER(SEARCH("SMARTPH",B1614)),
ISNUMBER(SEARCH("IMPRESORA",B1614)),
ISNUMBER(SEARCH("MULTIFUNCIONAL",B1614)),
ISNUMBER(SEARCH("AIO",B1614))
),
"GANCHO",
"NORMAL"
)
)</f>
        <v>NORMAL</v>
      </c>
    </row>
    <row r="1613" spans="1:12" x14ac:dyDescent="0.25">
      <c r="A1613" s="3" t="s">
        <v>4209</v>
      </c>
      <c r="B1613" s="3" t="s">
        <v>4210</v>
      </c>
      <c r="C1613" s="1">
        <v>2</v>
      </c>
      <c r="D1613" s="1">
        <v>33.700000000000003</v>
      </c>
      <c r="E1613" s="1" t="s">
        <v>141</v>
      </c>
      <c r="F1613" s="1" t="s">
        <v>4241</v>
      </c>
      <c r="G1613" s="3"/>
      <c r="H1613" s="11">
        <f>ROUND(
IF(L1611="GANCHO",
   IF(I1613&lt;=50,I1613*1.1+4,IF(I1613&lt;=120,I1613*1.1+7,IF(I1613&lt;=250,I1613*1.1+11,I1613*1.1+19))),
IF(L1611="NORMAL",
   IF(I1613&lt;=30,I1613*1.15+2,IF(I1613&lt;=80,I1613*1.15+4,IF(I1613&lt;=150,I1613*1.15+6,I1613*1.15+8))),
IF(L1611="COMPLEMENTO",
   IF(I1613&lt;=25,I1613*1.25+1.5,IF(I1613&lt;=60,I1613*1.25+3,IF(I1613&lt;=120,I1613*1.25+4,I1613*1.25+5))),
""))),2)</f>
        <v>165.14</v>
      </c>
      <c r="I1613" s="9">
        <f>($K$2+0.02)*Tabla1[[#This Row],[PRECIO $]]*1.18</f>
        <v>138.38568000000001</v>
      </c>
      <c r="J1613" s="7">
        <f>+Tabla1[[#This Row],[PRECIO EN SOLES]]-Tabla1[[#This Row],[PC]]</f>
        <v>26.754319999999979</v>
      </c>
      <c r="K1613" s="15"/>
      <c r="L1613" s="15" t="str">
        <f>IF(
OR(
ISNUMBER(SEARCH("BACKPACK",B1615)),
ISNUMBER(SEARCH("MOCHILA",B1615)),
ISNUMBER(SEARCH("FUNDA",B1615)),
ISNUMBER(SEARCH("ESTUCHE",B1615)),
ISNUMBER(SEARCH("BOOK COVER",B1615)),
ISNUMBER(SEARCH("KEYBOARD PARA TABLET",B1615)),
ISNUMBER(SEARCH("FLIP TABLET",B1615)),
ISNUMBER(SEARCH("CASE FOR TABLET",B1615)),
ISNUMBER(SEARCH("CABLE",B1615)),
ISNUMBER(SEARCH("ADAPTADOR",B1615)),
ISNUMBER(SEARCH("HUB",B1615)),
ISNUMBER(SEARCH("DOCK",B1615)),
ISNUMBER(SEARCH("MOUSE PAD",B1615)),
ISNUMBER(SEARCH("MOUSEPAD",B1615)),
ISNUMBER(SEARCH("SOPORTE",B1615)),
ISNUMBER(SEARCH("STAND",B1615)),
ISNUMBER(SEARCH("TRAVEL ADAPTER",B1615)),
ISNUMBER(SEARCH("RJ45",B1615)),
ISNUMBER(SEARCH("USB-C",B1615)),
ISNUMBER(SEARCH("USB WIFI",B1615)),
ISNUMBER(SEARCH("POWERBANK",B1615)),
ISNUMBER(SEARCH("CARGADOR",B1615)),
ISNUMBER(SEARCH("COOLER PARA NB",B1615)),
ISNUMBER(SEARCH("SOPORTE PARA NB",B1615)),
ISNUMBER(SEARCH("WEBCAM",B1615)),
ISNUMBER(SEARCH("WEB CAM",B1615)),
ISNUMBER(SEARCH("MOUSE",B1615)),
ISNUMBER(SEARCH("TECLADO",B1615))
),
"COMPLEMENTO",
IF(
OR(
LEFT(A1615,2)="NB",
LEFT(A1615,2)="PC",
LEFT(A1615,2)="WS",
LEFT(A1615,2)="TB",
LEFT(A1615,3)="CEL",
LEFT(A1615,3)="MON",
LEFT(A1615,3)="PRE",
LEFT(A1615,3)="PRH",
ISNUMBER(SEARCH("NOTEBOOK",B1615)),
ISNUMBER(SEARCH("LAPTOP",B1615)),
ISNUMBER(SEARCH("MONITOR",B1615)),
ISNUMBER(SEARCH("TABLET",B1615)),
ISNUMBER(SEARCH("SMARTPH",B1615)),
ISNUMBER(SEARCH("IMPRESORA",B1615)),
ISNUMBER(SEARCH("MULTIFUNCIONAL",B1615)),
ISNUMBER(SEARCH("AIO",B1615))
),
"GANCHO",
"NORMAL"
)
)</f>
        <v>NORMAL</v>
      </c>
    </row>
    <row r="1614" spans="1:12" x14ac:dyDescent="0.25">
      <c r="A1614" s="3" t="s">
        <v>4211</v>
      </c>
      <c r="B1614" s="3" t="s">
        <v>4212</v>
      </c>
      <c r="C1614" s="1">
        <v>8</v>
      </c>
      <c r="D1614" s="1">
        <v>33.6</v>
      </c>
      <c r="E1614" s="1" t="s">
        <v>141</v>
      </c>
      <c r="F1614" s="1" t="s">
        <v>4242</v>
      </c>
      <c r="G1614" s="3"/>
      <c r="H1614" s="11">
        <f>ROUND(
IF(L1612="GANCHO",
   IF(I1614&lt;=50,I1614*1.1+4,IF(I1614&lt;=120,I1614*1.1+7,IF(I1614&lt;=250,I1614*1.1+11,I1614*1.1+19))),
IF(L1612="NORMAL",
   IF(I1614&lt;=30,I1614*1.15+2,IF(I1614&lt;=80,I1614*1.15+4,IF(I1614&lt;=150,I1614*1.15+6,I1614*1.15+8))),
IF(L1612="COMPLEMENTO",
   IF(I1614&lt;=25,I1614*1.25+1.5,IF(I1614&lt;=60,I1614*1.25+3,IF(I1614&lt;=120,I1614*1.25+4,I1614*1.25+5))),
""))),2)</f>
        <v>164.67</v>
      </c>
      <c r="I1614" s="9">
        <f>($K$2+0.02)*Tabla1[[#This Row],[PRECIO $]]*1.18</f>
        <v>137.97503999999998</v>
      </c>
      <c r="J1614" s="7">
        <f>+Tabla1[[#This Row],[PRECIO EN SOLES]]-Tabla1[[#This Row],[PC]]</f>
        <v>26.694960000000009</v>
      </c>
      <c r="K1614" s="15"/>
      <c r="L1614" s="15" t="str">
        <f>IF(
OR(
ISNUMBER(SEARCH("BACKPACK",B1616)),
ISNUMBER(SEARCH("MOCHILA",B1616)),
ISNUMBER(SEARCH("FUNDA",B1616)),
ISNUMBER(SEARCH("ESTUCHE",B1616)),
ISNUMBER(SEARCH("BOOK COVER",B1616)),
ISNUMBER(SEARCH("KEYBOARD PARA TABLET",B1616)),
ISNUMBER(SEARCH("FLIP TABLET",B1616)),
ISNUMBER(SEARCH("CASE FOR TABLET",B1616)),
ISNUMBER(SEARCH("CABLE",B1616)),
ISNUMBER(SEARCH("ADAPTADOR",B1616)),
ISNUMBER(SEARCH("HUB",B1616)),
ISNUMBER(SEARCH("DOCK",B1616)),
ISNUMBER(SEARCH("MOUSE PAD",B1616)),
ISNUMBER(SEARCH("MOUSEPAD",B1616)),
ISNUMBER(SEARCH("SOPORTE",B1616)),
ISNUMBER(SEARCH("STAND",B1616)),
ISNUMBER(SEARCH("TRAVEL ADAPTER",B1616)),
ISNUMBER(SEARCH("RJ45",B1616)),
ISNUMBER(SEARCH("USB-C",B1616)),
ISNUMBER(SEARCH("USB WIFI",B1616)),
ISNUMBER(SEARCH("POWERBANK",B1616)),
ISNUMBER(SEARCH("CARGADOR",B1616)),
ISNUMBER(SEARCH("COOLER PARA NB",B1616)),
ISNUMBER(SEARCH("SOPORTE PARA NB",B1616)),
ISNUMBER(SEARCH("WEBCAM",B1616)),
ISNUMBER(SEARCH("WEB CAM",B1616)),
ISNUMBER(SEARCH("MOUSE",B1616)),
ISNUMBER(SEARCH("TECLADO",B1616))
),
"COMPLEMENTO",
IF(
OR(
LEFT(A1616,2)="NB",
LEFT(A1616,2)="PC",
LEFT(A1616,2)="WS",
LEFT(A1616,2)="TB",
LEFT(A1616,3)="CEL",
LEFT(A1616,3)="MON",
LEFT(A1616,3)="PRE",
LEFT(A1616,3)="PRH",
ISNUMBER(SEARCH("NOTEBOOK",B1616)),
ISNUMBER(SEARCH("LAPTOP",B1616)),
ISNUMBER(SEARCH("MONITOR",B1616)),
ISNUMBER(SEARCH("TABLET",B1616)),
ISNUMBER(SEARCH("SMARTPH",B1616)),
ISNUMBER(SEARCH("IMPRESORA",B1616)),
ISNUMBER(SEARCH("MULTIFUNCIONAL",B1616)),
ISNUMBER(SEARCH("AIO",B1616))
),
"GANCHO",
"NORMAL"
)
)</f>
        <v>NORMAL</v>
      </c>
    </row>
    <row r="1615" spans="1:12" x14ac:dyDescent="0.25">
      <c r="A1615" s="3" t="s">
        <v>4354</v>
      </c>
      <c r="B1615" s="3" t="s">
        <v>4355</v>
      </c>
      <c r="C1615" s="1">
        <v>20</v>
      </c>
      <c r="D1615" s="1">
        <v>62</v>
      </c>
      <c r="E1615" s="1" t="s">
        <v>141</v>
      </c>
      <c r="F1615" s="1" t="s">
        <v>4356</v>
      </c>
      <c r="G1615" s="3"/>
      <c r="H1615" s="11">
        <f>ROUND(
IF(L1613="GANCHO",
   IF(I1615&lt;=50,I1615*1.1+4,IF(I1615&lt;=120,I1615*1.1+7,IF(I1615&lt;=250,I1615*1.1+11,I1615*1.1+19))),
IF(L1613="NORMAL",
   IF(I1615&lt;=30,I1615*1.15+2,IF(I1615&lt;=80,I1615*1.15+4,IF(I1615&lt;=150,I1615*1.15+6,I1615*1.15+8))),
IF(L1613="COMPLEMENTO",
   IF(I1615&lt;=25,I1615*1.25+1.5,IF(I1615&lt;=60,I1615*1.25+3,IF(I1615&lt;=120,I1615*1.25+4,I1615*1.25+5))),
""))),2)</f>
        <v>300.79000000000002</v>
      </c>
      <c r="I1615" s="9">
        <f>($K$2+0.02)*Tabla1[[#This Row],[PRECIO $]]*1.18</f>
        <v>254.59679999999997</v>
      </c>
      <c r="J1615" s="7">
        <f>+Tabla1[[#This Row],[PRECIO EN SOLES]]-Tabla1[[#This Row],[PC]]</f>
        <v>46.193200000000047</v>
      </c>
      <c r="K1615" s="15"/>
      <c r="L1615" s="15" t="str">
        <f>IF(
OR(
ISNUMBER(SEARCH("BACKPACK",B1617)),
ISNUMBER(SEARCH("MOCHILA",B1617)),
ISNUMBER(SEARCH("FUNDA",B1617)),
ISNUMBER(SEARCH("ESTUCHE",B1617)),
ISNUMBER(SEARCH("BOOK COVER",B1617)),
ISNUMBER(SEARCH("KEYBOARD PARA TABLET",B1617)),
ISNUMBER(SEARCH("FLIP TABLET",B1617)),
ISNUMBER(SEARCH("CASE FOR TABLET",B1617)),
ISNUMBER(SEARCH("CABLE",B1617)),
ISNUMBER(SEARCH("ADAPTADOR",B1617)),
ISNUMBER(SEARCH("HUB",B1617)),
ISNUMBER(SEARCH("DOCK",B1617)),
ISNUMBER(SEARCH("MOUSE PAD",B1617)),
ISNUMBER(SEARCH("MOUSEPAD",B1617)),
ISNUMBER(SEARCH("SOPORTE",B1617)),
ISNUMBER(SEARCH("STAND",B1617)),
ISNUMBER(SEARCH("TRAVEL ADAPTER",B1617)),
ISNUMBER(SEARCH("RJ45",B1617)),
ISNUMBER(SEARCH("USB-C",B1617)),
ISNUMBER(SEARCH("USB WIFI",B1617)),
ISNUMBER(SEARCH("POWERBANK",B1617)),
ISNUMBER(SEARCH("CARGADOR",B1617)),
ISNUMBER(SEARCH("COOLER PARA NB",B1617)),
ISNUMBER(SEARCH("SOPORTE PARA NB",B1617)),
ISNUMBER(SEARCH("WEBCAM",B1617)),
ISNUMBER(SEARCH("WEB CAM",B1617)),
ISNUMBER(SEARCH("MOUSE",B1617)),
ISNUMBER(SEARCH("TECLADO",B1617))
),
"COMPLEMENTO",
IF(
OR(
LEFT(A1617,2)="NB",
LEFT(A1617,2)="PC",
LEFT(A1617,2)="WS",
LEFT(A1617,2)="TB",
LEFT(A1617,3)="CEL",
LEFT(A1617,3)="MON",
LEFT(A1617,3)="PRE",
LEFT(A1617,3)="PRH",
ISNUMBER(SEARCH("NOTEBOOK",B1617)),
ISNUMBER(SEARCH("LAPTOP",B1617)),
ISNUMBER(SEARCH("MONITOR",B1617)),
ISNUMBER(SEARCH("TABLET",B1617)),
ISNUMBER(SEARCH("SMARTPH",B1617)),
ISNUMBER(SEARCH("IMPRESORA",B1617)),
ISNUMBER(SEARCH("MULTIFUNCIONAL",B1617)),
ISNUMBER(SEARCH("AIO",B1617))
),
"GANCHO",
"NORMAL"
)
)</f>
        <v>NORMAL</v>
      </c>
    </row>
    <row r="1616" spans="1:12" x14ac:dyDescent="0.25">
      <c r="A1616" s="3" t="s">
        <v>4213</v>
      </c>
      <c r="B1616" s="3" t="s">
        <v>4214</v>
      </c>
      <c r="C1616" s="1">
        <v>20</v>
      </c>
      <c r="D1616" s="1">
        <v>105</v>
      </c>
      <c r="E1616" s="1" t="s">
        <v>141</v>
      </c>
      <c r="F1616" s="1" t="s">
        <v>4243</v>
      </c>
      <c r="G1616" s="3"/>
      <c r="H1616" s="11">
        <f>ROUND(
IF(L1614="GANCHO",
   IF(I1616&lt;=50,I1616*1.1+4,IF(I1616&lt;=120,I1616*1.1+7,IF(I1616&lt;=250,I1616*1.1+11,I1616*1.1+19))),
IF(L1614="NORMAL",
   IF(I1616&lt;=30,I1616*1.15+2,IF(I1616&lt;=80,I1616*1.15+4,IF(I1616&lt;=150,I1616*1.15+6,I1616*1.15+8))),
IF(L1614="COMPLEMENTO",
   IF(I1616&lt;=25,I1616*1.25+1.5,IF(I1616&lt;=60,I1616*1.25+3,IF(I1616&lt;=120,I1616*1.25+4,I1616*1.25+5))),
""))),2)</f>
        <v>503.85</v>
      </c>
      <c r="I1616" s="9">
        <f>($K$2+0.02)*Tabla1[[#This Row],[PRECIO $]]*1.18</f>
        <v>431.17199999999997</v>
      </c>
      <c r="J1616" s="7">
        <f>+Tabla1[[#This Row],[PRECIO EN SOLES]]-Tabla1[[#This Row],[PC]]</f>
        <v>72.678000000000054</v>
      </c>
      <c r="K1616" s="15"/>
      <c r="L1616" s="15" t="str">
        <f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7" spans="1:12" x14ac:dyDescent="0.25">
      <c r="A1617" s="3" t="s">
        <v>4215</v>
      </c>
      <c r="B1617" s="3" t="s">
        <v>4216</v>
      </c>
      <c r="C1617" s="1">
        <v>20</v>
      </c>
      <c r="D1617" s="1">
        <v>107</v>
      </c>
      <c r="E1617" s="1" t="s">
        <v>141</v>
      </c>
      <c r="F1617" s="1" t="s">
        <v>4244</v>
      </c>
      <c r="G1617" s="3"/>
      <c r="H1617" s="11">
        <f>ROUND(
IF(L1615="GANCHO",
   IF(I1617&lt;=50,I1617*1.1+4,IF(I1617&lt;=120,I1617*1.1+7,IF(I1617&lt;=250,I1617*1.1+11,I1617*1.1+19))),
IF(L1615="NORMAL",
   IF(I1617&lt;=30,I1617*1.15+2,IF(I1617&lt;=80,I1617*1.15+4,IF(I1617&lt;=150,I1617*1.15+6,I1617*1.15+8))),
IF(L1615="COMPLEMENTO",
   IF(I1617&lt;=25,I1617*1.25+1.5,IF(I1617&lt;=60,I1617*1.25+3,IF(I1617&lt;=120,I1617*1.25+4,I1617*1.25+5))),
""))),2)</f>
        <v>513.29</v>
      </c>
      <c r="I1617" s="9">
        <f>($K$2+0.02)*Tabla1[[#This Row],[PRECIO $]]*1.18</f>
        <v>439.38479999999998</v>
      </c>
      <c r="J1617" s="7">
        <f>+Tabla1[[#This Row],[PRECIO EN SOLES]]-Tabla1[[#This Row],[PC]]</f>
        <v>73.905199999999979</v>
      </c>
      <c r="K1617" s="15"/>
      <c r="L1617" s="15" t="str">
        <f>IF(
OR(
ISNUMBER(SEARCH("BACKPACK",B1619)),
ISNUMBER(SEARCH("MOCHILA",B1619)),
ISNUMBER(SEARCH("FUNDA",B1619)),
ISNUMBER(SEARCH("ESTUCHE",B1619)),
ISNUMBER(SEARCH("BOOK COVER",B1619)),
ISNUMBER(SEARCH("KEYBOARD PARA TABLET",B1619)),
ISNUMBER(SEARCH("FLIP TABLET",B1619)),
ISNUMBER(SEARCH("CASE FOR TABLET",B1619)),
ISNUMBER(SEARCH("CABLE",B1619)),
ISNUMBER(SEARCH("ADAPTADOR",B1619)),
ISNUMBER(SEARCH("HUB",B1619)),
ISNUMBER(SEARCH("DOCK",B1619)),
ISNUMBER(SEARCH("MOUSE PAD",B1619)),
ISNUMBER(SEARCH("MOUSEPAD",B1619)),
ISNUMBER(SEARCH("SOPORTE",B1619)),
ISNUMBER(SEARCH("STAND",B1619)),
ISNUMBER(SEARCH("TRAVEL ADAPTER",B1619)),
ISNUMBER(SEARCH("RJ45",B1619)),
ISNUMBER(SEARCH("USB-C",B1619)),
ISNUMBER(SEARCH("USB WIFI",B1619)),
ISNUMBER(SEARCH("POWERBANK",B1619)),
ISNUMBER(SEARCH("CARGADOR",B1619)),
ISNUMBER(SEARCH("COOLER PARA NB",B1619)),
ISNUMBER(SEARCH("SOPORTE PARA NB",B1619)),
ISNUMBER(SEARCH("WEBCAM",B1619)),
ISNUMBER(SEARCH("WEB CAM",B1619)),
ISNUMBER(SEARCH("MOUSE",B1619)),
ISNUMBER(SEARCH("TECLADO",B1619))
),
"COMPLEMENTO",
IF(
OR(
LEFT(A1619,2)="NB",
LEFT(A1619,2)="PC",
LEFT(A1619,2)="WS",
LEFT(A1619,2)="TB",
LEFT(A1619,3)="CEL",
LEFT(A1619,3)="MON",
LEFT(A1619,3)="PRE",
LEFT(A1619,3)="PRH",
ISNUMBER(SEARCH("NOTEBOOK",B1619)),
ISNUMBER(SEARCH("LAPTOP",B1619)),
ISNUMBER(SEARCH("MONITOR",B1619)),
ISNUMBER(SEARCH("TABLET",B1619)),
ISNUMBER(SEARCH("SMARTPH",B1619)),
ISNUMBER(SEARCH("IMPRESORA",B1619)),
ISNUMBER(SEARCH("MULTIFUNCIONAL",B1619)),
ISNUMBER(SEARCH("AIO",B1619))
),
"GANCHO",
"NORMAL"
)
)</f>
        <v>NORMAL</v>
      </c>
    </row>
    <row r="1618" spans="1:12" x14ac:dyDescent="0.25">
      <c r="A1618" s="3" t="s">
        <v>2527</v>
      </c>
      <c r="B1618" s="3" t="s">
        <v>2528</v>
      </c>
      <c r="C1618" s="1">
        <v>0</v>
      </c>
      <c r="D1618" s="1">
        <v>114</v>
      </c>
      <c r="E1618" s="1" t="s">
        <v>141</v>
      </c>
      <c r="F1618" s="1" t="s">
        <v>4055</v>
      </c>
      <c r="G1618" s="3"/>
      <c r="H1618" s="11">
        <f>ROUND(
IF(L1616="GANCHO",
   IF(I1618&lt;=50,I1618*1.1+4,IF(I1618&lt;=120,I1618*1.1+7,IF(I1618&lt;=250,I1618*1.1+11,I1618*1.1+19))),
IF(L1616="NORMAL",
   IF(I1618&lt;=30,I1618*1.15+2,IF(I1618&lt;=80,I1618*1.15+4,IF(I1618&lt;=150,I1618*1.15+6,I1618*1.15+8))),
IF(L1616="COMPLEMENTO",
   IF(I1618&lt;=25,I1618*1.25+1.5,IF(I1618&lt;=60,I1618*1.25+3,IF(I1618&lt;=120,I1618*1.25+4,I1618*1.25+5))),
""))),2)</f>
        <v>546.35</v>
      </c>
      <c r="I1618" s="9">
        <f>($K$2+0.02)*Tabla1[[#This Row],[PRECIO $]]*1.18</f>
        <v>468.12959999999993</v>
      </c>
      <c r="J1618" s="7">
        <f>+Tabla1[[#This Row],[PRECIO EN SOLES]]-Tabla1[[#This Row],[PC]]</f>
        <v>78.220400000000097</v>
      </c>
      <c r="K1618" s="15"/>
      <c r="L1618" s="15" t="str">
        <f>IF(
OR(
ISNUMBER(SEARCH("BACKPACK",B1620)),
ISNUMBER(SEARCH("MOCHILA",B1620)),
ISNUMBER(SEARCH("FUNDA",B1620)),
ISNUMBER(SEARCH("ESTUCHE",B1620)),
ISNUMBER(SEARCH("BOOK COVER",B1620)),
ISNUMBER(SEARCH("KEYBOARD PARA TABLET",B1620)),
ISNUMBER(SEARCH("FLIP TABLET",B1620)),
ISNUMBER(SEARCH("CASE FOR TABLET",B1620)),
ISNUMBER(SEARCH("CABLE",B1620)),
ISNUMBER(SEARCH("ADAPTADOR",B1620)),
ISNUMBER(SEARCH("HUB",B1620)),
ISNUMBER(SEARCH("DOCK",B1620)),
ISNUMBER(SEARCH("MOUSE PAD",B1620)),
ISNUMBER(SEARCH("MOUSEPAD",B1620)),
ISNUMBER(SEARCH("SOPORTE",B1620)),
ISNUMBER(SEARCH("STAND",B1620)),
ISNUMBER(SEARCH("TRAVEL ADAPTER",B1620)),
ISNUMBER(SEARCH("RJ45",B1620)),
ISNUMBER(SEARCH("USB-C",B1620)),
ISNUMBER(SEARCH("USB WIFI",B1620)),
ISNUMBER(SEARCH("POWERBANK",B1620)),
ISNUMBER(SEARCH("CARGADOR",B1620)),
ISNUMBER(SEARCH("COOLER PARA NB",B1620)),
ISNUMBER(SEARCH("SOPORTE PARA NB",B1620)),
ISNUMBER(SEARCH("WEBCAM",B1620)),
ISNUMBER(SEARCH("WEB CAM",B1620)),
ISNUMBER(SEARCH("MOUSE",B1620)),
ISNUMBER(SEARCH("TECLADO",B1620))
),
"COMPLEMENTO",
IF(
OR(
LEFT(A1620,2)="NB",
LEFT(A1620,2)="PC",
LEFT(A1620,2)="WS",
LEFT(A1620,2)="TB",
LEFT(A1620,3)="CEL",
LEFT(A1620,3)="MON",
LEFT(A1620,3)="PRE",
LEFT(A1620,3)="PRH",
ISNUMBER(SEARCH("NOTEBOOK",B1620)),
ISNUMBER(SEARCH("LAPTOP",B1620)),
ISNUMBER(SEARCH("MONITOR",B1620)),
ISNUMBER(SEARCH("TABLET",B1620)),
ISNUMBER(SEARCH("SMARTPH",B1620)),
ISNUMBER(SEARCH("IMPRESORA",B1620)),
ISNUMBER(SEARCH("MULTIFUNCIONAL",B1620)),
ISNUMBER(SEARCH("AIO",B1620))
),
"GANCHO",
"NORMAL"
)
)</f>
        <v>NORMAL</v>
      </c>
    </row>
    <row r="1619" spans="1:12" x14ac:dyDescent="0.25">
      <c r="A1619" s="3" t="s">
        <v>4217</v>
      </c>
      <c r="B1619" s="3" t="s">
        <v>4218</v>
      </c>
      <c r="C1619" s="1">
        <v>20</v>
      </c>
      <c r="D1619" s="1">
        <v>38.299999999999997</v>
      </c>
      <c r="E1619" s="1" t="s">
        <v>141</v>
      </c>
      <c r="F1619" s="1" t="s">
        <v>4245</v>
      </c>
      <c r="G1619" s="3" t="s">
        <v>4219</v>
      </c>
      <c r="H1619" s="11">
        <f>ROUND(
IF(L1617="GANCHO",
   IF(I1619&lt;=50,I1619*1.1+4,IF(I1619&lt;=120,I1619*1.1+7,IF(I1619&lt;=250,I1619*1.1+11,I1619*1.1+19))),
IF(L1617="NORMAL",
   IF(I1619&lt;=30,I1619*1.15+2,IF(I1619&lt;=80,I1619*1.15+4,IF(I1619&lt;=150,I1619*1.15+6,I1619*1.15+8))),
IF(L1617="COMPLEMENTO",
   IF(I1619&lt;=25,I1619*1.25+1.5,IF(I1619&lt;=60,I1619*1.25+3,IF(I1619&lt;=120,I1619*1.25+4,I1619*1.25+5))),
""))),2)</f>
        <v>188.87</v>
      </c>
      <c r="I1619" s="9">
        <f>($K$2+0.02)*Tabla1[[#This Row],[PRECIO $]]*1.18</f>
        <v>157.27511999999999</v>
      </c>
      <c r="J1619" s="7">
        <f>+Tabla1[[#This Row],[PRECIO EN SOLES]]-Tabla1[[#This Row],[PC]]</f>
        <v>31.594880000000018</v>
      </c>
      <c r="K1619" s="15"/>
      <c r="L1619" s="15" t="str">
        <f>IF(
OR(
ISNUMBER(SEARCH("BACKPACK",B1621)),
ISNUMBER(SEARCH("MOCHILA",B1621)),
ISNUMBER(SEARCH("FUNDA",B1621)),
ISNUMBER(SEARCH("ESTUCHE",B1621)),
ISNUMBER(SEARCH("BOOK COVER",B1621)),
ISNUMBER(SEARCH("KEYBOARD PARA TABLET",B1621)),
ISNUMBER(SEARCH("FLIP TABLET",B1621)),
ISNUMBER(SEARCH("CASE FOR TABLET",B1621)),
ISNUMBER(SEARCH("CABLE",B1621)),
ISNUMBER(SEARCH("ADAPTADOR",B1621)),
ISNUMBER(SEARCH("HUB",B1621)),
ISNUMBER(SEARCH("DOCK",B1621)),
ISNUMBER(SEARCH("MOUSE PAD",B1621)),
ISNUMBER(SEARCH("MOUSEPAD",B1621)),
ISNUMBER(SEARCH("SOPORTE",B1621)),
ISNUMBER(SEARCH("STAND",B1621)),
ISNUMBER(SEARCH("TRAVEL ADAPTER",B1621)),
ISNUMBER(SEARCH("RJ45",B1621)),
ISNUMBER(SEARCH("USB-C",B1621)),
ISNUMBER(SEARCH("USB WIFI",B1621)),
ISNUMBER(SEARCH("POWERBANK",B1621)),
ISNUMBER(SEARCH("CARGADOR",B1621)),
ISNUMBER(SEARCH("COOLER PARA NB",B1621)),
ISNUMBER(SEARCH("SOPORTE PARA NB",B1621)),
ISNUMBER(SEARCH("WEBCAM",B1621)),
ISNUMBER(SEARCH("WEB CAM",B1621)),
ISNUMBER(SEARCH("MOUSE",B1621)),
ISNUMBER(SEARCH("TECLADO",B1621))
),
"COMPLEMENTO",
IF(
OR(
LEFT(A1621,2)="NB",
LEFT(A1621,2)="PC",
LEFT(A1621,2)="WS",
LEFT(A1621,2)="TB",
LEFT(A1621,3)="CEL",
LEFT(A1621,3)="MON",
LEFT(A1621,3)="PRE",
LEFT(A1621,3)="PRH",
ISNUMBER(SEARCH("NOTEBOOK",B1621)),
ISNUMBER(SEARCH("LAPTOP",B1621)),
ISNUMBER(SEARCH("MONITOR",B1621)),
ISNUMBER(SEARCH("TABLET",B1621)),
ISNUMBER(SEARCH("SMARTPH",B1621)),
ISNUMBER(SEARCH("IMPRESORA",B1621)),
ISNUMBER(SEARCH("MULTIFUNCIONAL",B1621)),
ISNUMBER(SEARCH("AIO",B1621))
),
"GANCHO",
"NORMAL"
)
)</f>
        <v>NORMAL</v>
      </c>
    </row>
    <row r="1620" spans="1:12" x14ac:dyDescent="0.25">
      <c r="A1620" s="3" t="s">
        <v>533</v>
      </c>
      <c r="B1620" s="3" t="s">
        <v>534</v>
      </c>
      <c r="C1620" s="1">
        <v>0</v>
      </c>
      <c r="D1620" s="1">
        <v>40.5</v>
      </c>
      <c r="E1620" s="1" t="s">
        <v>141</v>
      </c>
      <c r="F1620" s="1" t="s">
        <v>4056</v>
      </c>
      <c r="G1620" s="3" t="s">
        <v>535</v>
      </c>
      <c r="H1620" s="11">
        <f>ROUND(
IF(L1618="GANCHO",
   IF(I1620&lt;=50,I1620*1.1+4,IF(I1620&lt;=120,I1620*1.1+7,IF(I1620&lt;=250,I1620*1.1+11,I1620*1.1+19))),
IF(L1618="NORMAL",
   IF(I1620&lt;=30,I1620*1.15+2,IF(I1620&lt;=80,I1620*1.15+4,IF(I1620&lt;=150,I1620*1.15+6,I1620*1.15+8))),
IF(L1618="COMPLEMENTO",
   IF(I1620&lt;=25,I1620*1.25+1.5,IF(I1620&lt;=60,I1620*1.25+3,IF(I1620&lt;=120,I1620*1.25+4,I1620*1.25+5))),
""))),2)</f>
        <v>199.26</v>
      </c>
      <c r="I1620" s="9">
        <f>($K$2+0.02)*Tabla1[[#This Row],[PRECIO $]]*1.18</f>
        <v>166.30919999999998</v>
      </c>
      <c r="J1620" s="7">
        <f>+Tabla1[[#This Row],[PRECIO EN SOLES]]-Tabla1[[#This Row],[PC]]</f>
        <v>32.950800000000015</v>
      </c>
      <c r="K1620" s="15"/>
      <c r="L1620" s="15" t="str">
        <f>IF(
OR(
ISNUMBER(SEARCH("BACKPACK",B1622)),
ISNUMBER(SEARCH("MOCHILA",B1622)),
ISNUMBER(SEARCH("FUNDA",B1622)),
ISNUMBER(SEARCH("ESTUCHE",B1622)),
ISNUMBER(SEARCH("BOOK COVER",B1622)),
ISNUMBER(SEARCH("KEYBOARD PARA TABLET",B1622)),
ISNUMBER(SEARCH("FLIP TABLET",B1622)),
ISNUMBER(SEARCH("CASE FOR TABLET",B1622)),
ISNUMBER(SEARCH("CABLE",B1622)),
ISNUMBER(SEARCH("ADAPTADOR",B1622)),
ISNUMBER(SEARCH("HUB",B1622)),
ISNUMBER(SEARCH("DOCK",B1622)),
ISNUMBER(SEARCH("MOUSE PAD",B1622)),
ISNUMBER(SEARCH("MOUSEPAD",B1622)),
ISNUMBER(SEARCH("SOPORTE",B1622)),
ISNUMBER(SEARCH("STAND",B1622)),
ISNUMBER(SEARCH("TRAVEL ADAPTER",B1622)),
ISNUMBER(SEARCH("RJ45",B1622)),
ISNUMBER(SEARCH("USB-C",B1622)),
ISNUMBER(SEARCH("USB WIFI",B1622)),
ISNUMBER(SEARCH("POWERBANK",B1622)),
ISNUMBER(SEARCH("CARGADOR",B1622)),
ISNUMBER(SEARCH("COOLER PARA NB",B1622)),
ISNUMBER(SEARCH("SOPORTE PARA NB",B1622)),
ISNUMBER(SEARCH("WEBCAM",B1622)),
ISNUMBER(SEARCH("WEB CAM",B1622)),
ISNUMBER(SEARCH("MOUSE",B1622)),
ISNUMBER(SEARCH("TECLADO",B1622))
),
"COMPLEMENTO",
IF(
OR(
LEFT(A1622,2)="NB",
LEFT(A1622,2)="PC",
LEFT(A1622,2)="WS",
LEFT(A1622,2)="TB",
LEFT(A1622,3)="CEL",
LEFT(A1622,3)="MON",
LEFT(A1622,3)="PRE",
LEFT(A1622,3)="PRH",
ISNUMBER(SEARCH("NOTEBOOK",B1622)),
ISNUMBER(SEARCH("LAPTOP",B1622)),
ISNUMBER(SEARCH("MONITOR",B1622)),
ISNUMBER(SEARCH("TABLET",B1622)),
ISNUMBER(SEARCH("SMARTPH",B1622)),
ISNUMBER(SEARCH("IMPRESORA",B1622)),
ISNUMBER(SEARCH("MULTIFUNCIONAL",B1622)),
ISNUMBER(SEARCH("AIO",B1622))
),
"GANCHO",
"NORMAL"
)
)</f>
        <v>COMPLEMENTO</v>
      </c>
    </row>
    <row r="1621" spans="1:12" x14ac:dyDescent="0.25">
      <c r="A1621" s="3" t="s">
        <v>2529</v>
      </c>
      <c r="B1621" s="3" t="s">
        <v>2530</v>
      </c>
      <c r="C1621" s="1">
        <v>6</v>
      </c>
      <c r="D1621" s="1">
        <v>110</v>
      </c>
      <c r="E1621" s="1" t="s">
        <v>141</v>
      </c>
      <c r="F1621" s="1" t="s">
        <v>4057</v>
      </c>
      <c r="G1621" s="3" t="s">
        <v>2531</v>
      </c>
      <c r="H1621" s="11">
        <f>ROUND(
IF(L1619="GANCHO",
   IF(I1621&lt;=50,I1621*1.1+4,IF(I1621&lt;=120,I1621*1.1+7,IF(I1621&lt;=250,I1621*1.1+11,I1621*1.1+19))),
IF(L1619="NORMAL",
   IF(I1621&lt;=30,I1621*1.15+2,IF(I1621&lt;=80,I1621*1.15+4,IF(I1621&lt;=150,I1621*1.15+6,I1621*1.15+8))),
IF(L1619="COMPLEMENTO",
   IF(I1621&lt;=25,I1621*1.25+1.5,IF(I1621&lt;=60,I1621*1.25+3,IF(I1621&lt;=120,I1621*1.25+4,I1621*1.25+5))),
""))),2)</f>
        <v>527.46</v>
      </c>
      <c r="I1621" s="9">
        <f>($K$2+0.02)*Tabla1[[#This Row],[PRECIO $]]*1.18</f>
        <v>451.70400000000001</v>
      </c>
      <c r="J1621" s="7">
        <f>+Tabla1[[#This Row],[PRECIO EN SOLES]]-Tabla1[[#This Row],[PC]]</f>
        <v>75.756000000000029</v>
      </c>
      <c r="K1621" s="15"/>
      <c r="L1621" s="15" t="str">
        <f>IF(
OR(
ISNUMBER(SEARCH("BACKPACK",B1623)),
ISNUMBER(SEARCH("MOCHILA",B1623)),
ISNUMBER(SEARCH("FUNDA",B1623)),
ISNUMBER(SEARCH("ESTUCHE",B1623)),
ISNUMBER(SEARCH("BOOK COVER",B1623)),
ISNUMBER(SEARCH("KEYBOARD PARA TABLET",B1623)),
ISNUMBER(SEARCH("FLIP TABLET",B1623)),
ISNUMBER(SEARCH("CASE FOR TABLET",B1623)),
ISNUMBER(SEARCH("CABLE",B1623)),
ISNUMBER(SEARCH("ADAPTADOR",B1623)),
ISNUMBER(SEARCH("HUB",B1623)),
ISNUMBER(SEARCH("DOCK",B1623)),
ISNUMBER(SEARCH("MOUSE PAD",B1623)),
ISNUMBER(SEARCH("MOUSEPAD",B1623)),
ISNUMBER(SEARCH("SOPORTE",B1623)),
ISNUMBER(SEARCH("STAND",B1623)),
ISNUMBER(SEARCH("TRAVEL ADAPTER",B1623)),
ISNUMBER(SEARCH("RJ45",B1623)),
ISNUMBER(SEARCH("USB-C",B1623)),
ISNUMBER(SEARCH("USB WIFI",B1623)),
ISNUMBER(SEARCH("POWERBANK",B1623)),
ISNUMBER(SEARCH("CARGADOR",B1623)),
ISNUMBER(SEARCH("COOLER PARA NB",B1623)),
ISNUMBER(SEARCH("SOPORTE PARA NB",B1623)),
ISNUMBER(SEARCH("WEBCAM",B1623)),
ISNUMBER(SEARCH("WEB CAM",B1623)),
ISNUMBER(SEARCH("MOUSE",B1623)),
ISNUMBER(SEARCH("TECLADO",B1623))
),
"COMPLEMENTO",
IF(
OR(
LEFT(A1623,2)="NB",
LEFT(A1623,2)="PC",
LEFT(A1623,2)="WS",
LEFT(A1623,2)="TB",
LEFT(A1623,3)="CEL",
LEFT(A1623,3)="MON",
LEFT(A1623,3)="PRE",
LEFT(A1623,3)="PRH",
ISNUMBER(SEARCH("NOTEBOOK",B1623)),
ISNUMBER(SEARCH("LAPTOP",B1623)),
ISNUMBER(SEARCH("MONITOR",B1623)),
ISNUMBER(SEARCH("TABLET",B1623)),
ISNUMBER(SEARCH("SMARTPH",B1623)),
ISNUMBER(SEARCH("IMPRESORA",B1623)),
ISNUMBER(SEARCH("MULTIFUNCIONAL",B1623)),
ISNUMBER(SEARCH("AIO",B1623))
),
"GANCHO",
"NORMAL"
)
)</f>
        <v>NORMAL</v>
      </c>
    </row>
    <row r="1622" spans="1:12" x14ac:dyDescent="0.25">
      <c r="A1622" s="3" t="s">
        <v>2532</v>
      </c>
      <c r="B1622" s="3" t="s">
        <v>2533</v>
      </c>
      <c r="C1622" s="1">
        <v>9</v>
      </c>
      <c r="D1622" s="1">
        <v>114</v>
      </c>
      <c r="E1622" s="1" t="s">
        <v>141</v>
      </c>
      <c r="F1622" s="1" t="s">
        <v>4058</v>
      </c>
      <c r="G1622" s="3" t="s">
        <v>2534</v>
      </c>
      <c r="H1622" s="11">
        <f>ROUND(
IF(L1620="GANCHO",
   IF(I1622&lt;=50,I1622*1.1+4,IF(I1622&lt;=120,I1622*1.1+7,IF(I1622&lt;=250,I1622*1.1+11,I1622*1.1+19))),
IF(L1620="NORMAL",
   IF(I1622&lt;=30,I1622*1.15+2,IF(I1622&lt;=80,I1622*1.15+4,IF(I1622&lt;=150,I1622*1.15+6,I1622*1.15+8))),
IF(L1620="COMPLEMENTO",
   IF(I1622&lt;=25,I1622*1.25+1.5,IF(I1622&lt;=60,I1622*1.25+3,IF(I1622&lt;=120,I1622*1.25+4,I1622*1.25+5))),
""))),2)</f>
        <v>590.16</v>
      </c>
      <c r="I1622" s="9">
        <f>($K$2+0.02)*Tabla1[[#This Row],[PRECIO $]]*1.18</f>
        <v>468.12959999999993</v>
      </c>
      <c r="J1622" s="7">
        <f>+Tabla1[[#This Row],[PRECIO EN SOLES]]-Tabla1[[#This Row],[PC]]</f>
        <v>122.03040000000004</v>
      </c>
      <c r="K1622" s="15"/>
      <c r="L1622" s="15" t="str">
        <f>IF(
OR(
ISNUMBER(SEARCH("BACKPACK",B1624)),
ISNUMBER(SEARCH("MOCHILA",B1624)),
ISNUMBER(SEARCH("FUNDA",B1624)),
ISNUMBER(SEARCH("ESTUCHE",B1624)),
ISNUMBER(SEARCH("BOOK COVER",B1624)),
ISNUMBER(SEARCH("KEYBOARD PARA TABLET",B1624)),
ISNUMBER(SEARCH("FLIP TABLET",B1624)),
ISNUMBER(SEARCH("CASE FOR TABLET",B1624)),
ISNUMBER(SEARCH("CABLE",B1624)),
ISNUMBER(SEARCH("ADAPTADOR",B1624)),
ISNUMBER(SEARCH("HUB",B1624)),
ISNUMBER(SEARCH("DOCK",B1624)),
ISNUMBER(SEARCH("MOUSE PAD",B1624)),
ISNUMBER(SEARCH("MOUSEPAD",B1624)),
ISNUMBER(SEARCH("SOPORTE",B1624)),
ISNUMBER(SEARCH("STAND",B1624)),
ISNUMBER(SEARCH("TRAVEL ADAPTER",B1624)),
ISNUMBER(SEARCH("RJ45",B1624)),
ISNUMBER(SEARCH("USB-C",B1624)),
ISNUMBER(SEARCH("USB WIFI",B1624)),
ISNUMBER(SEARCH("POWERBANK",B1624)),
ISNUMBER(SEARCH("CARGADOR",B1624)),
ISNUMBER(SEARCH("COOLER PARA NB",B1624)),
ISNUMBER(SEARCH("SOPORTE PARA NB",B1624)),
ISNUMBER(SEARCH("WEBCAM",B1624)),
ISNUMBER(SEARCH("WEB CAM",B1624)),
ISNUMBER(SEARCH("MOUSE",B1624)),
ISNUMBER(SEARCH("TECLADO",B1624))
),
"COMPLEMENTO",
IF(
OR(
LEFT(A1624,2)="NB",
LEFT(A1624,2)="PC",
LEFT(A1624,2)="WS",
LEFT(A1624,2)="TB",
LEFT(A1624,3)="CEL",
LEFT(A1624,3)="MON",
LEFT(A1624,3)="PRE",
LEFT(A1624,3)="PRH",
ISNUMBER(SEARCH("NOTEBOOK",B1624)),
ISNUMBER(SEARCH("LAPTOP",B1624)),
ISNUMBER(SEARCH("MONITOR",B1624)),
ISNUMBER(SEARCH("TABLET",B1624)),
ISNUMBER(SEARCH("SMARTPH",B1624)),
ISNUMBER(SEARCH("IMPRESORA",B1624)),
ISNUMBER(SEARCH("MULTIFUNCIONAL",B1624)),
ISNUMBER(SEARCH("AIO",B1624))
),
"GANCHO",
"NORMAL"
)
)</f>
        <v>NORMAL</v>
      </c>
    </row>
    <row r="1623" spans="1:12" x14ac:dyDescent="0.25">
      <c r="A1623" s="3" t="s">
        <v>2535</v>
      </c>
      <c r="B1623" s="3" t="s">
        <v>2536</v>
      </c>
      <c r="C1623" s="1">
        <v>4</v>
      </c>
      <c r="D1623" s="1">
        <v>3.7</v>
      </c>
      <c r="E1623" s="1" t="s">
        <v>141</v>
      </c>
      <c r="F1623" s="1" t="s">
        <v>4059</v>
      </c>
      <c r="G1623" s="3" t="s">
        <v>2537</v>
      </c>
      <c r="H1623" s="11">
        <f>ROUND(
IF(L1621="GANCHO",
   IF(I1623&lt;=50,I1623*1.1+4,IF(I1623&lt;=120,I1623*1.1+7,IF(I1623&lt;=250,I1623*1.1+11,I1623*1.1+19))),
IF(L1621="NORMAL",
   IF(I1623&lt;=30,I1623*1.15+2,IF(I1623&lt;=80,I1623*1.15+4,IF(I1623&lt;=150,I1623*1.15+6,I1623*1.15+8))),
IF(L1621="COMPLEMENTO",
   IF(I1623&lt;=25,I1623*1.25+1.5,IF(I1623&lt;=60,I1623*1.25+3,IF(I1623&lt;=120,I1623*1.25+4,I1623*1.25+5))),
""))),2)</f>
        <v>19.47</v>
      </c>
      <c r="I1623" s="9">
        <f>($K$2+0.02)*Tabla1[[#This Row],[PRECIO $]]*1.18</f>
        <v>15.193680000000001</v>
      </c>
      <c r="J1623" s="7">
        <f>+Tabla1[[#This Row],[PRECIO EN SOLES]]-Tabla1[[#This Row],[PC]]</f>
        <v>4.2763199999999983</v>
      </c>
      <c r="K1623" s="15"/>
      <c r="L1623" s="15" t="str">
        <f>IF(
OR(
ISNUMBER(SEARCH("BACKPACK",B1625)),
ISNUMBER(SEARCH("MOCHILA",B1625)),
ISNUMBER(SEARCH("FUNDA",B1625)),
ISNUMBER(SEARCH("ESTUCHE",B1625)),
ISNUMBER(SEARCH("BOOK COVER",B1625)),
ISNUMBER(SEARCH("KEYBOARD PARA TABLET",B1625)),
ISNUMBER(SEARCH("FLIP TABLET",B1625)),
ISNUMBER(SEARCH("CASE FOR TABLET",B1625)),
ISNUMBER(SEARCH("CABLE",B1625)),
ISNUMBER(SEARCH("ADAPTADOR",B1625)),
ISNUMBER(SEARCH("HUB",B1625)),
ISNUMBER(SEARCH("DOCK",B1625)),
ISNUMBER(SEARCH("MOUSE PAD",B1625)),
ISNUMBER(SEARCH("MOUSEPAD",B1625)),
ISNUMBER(SEARCH("SOPORTE",B1625)),
ISNUMBER(SEARCH("STAND",B1625)),
ISNUMBER(SEARCH("TRAVEL ADAPTER",B1625)),
ISNUMBER(SEARCH("RJ45",B1625)),
ISNUMBER(SEARCH("USB-C",B1625)),
ISNUMBER(SEARCH("USB WIFI",B1625)),
ISNUMBER(SEARCH("POWERBANK",B1625)),
ISNUMBER(SEARCH("CARGADOR",B1625)),
ISNUMBER(SEARCH("COOLER PARA NB",B1625)),
ISNUMBER(SEARCH("SOPORTE PARA NB",B1625)),
ISNUMBER(SEARCH("WEBCAM",B1625)),
ISNUMBER(SEARCH("WEB CAM",B1625)),
ISNUMBER(SEARCH("MOUSE",B1625)),
ISNUMBER(SEARCH("TECLADO",B1625))
),
"COMPLEMENTO",
IF(
OR(
LEFT(A1625,2)="NB",
LEFT(A1625,2)="PC",
LEFT(A1625,2)="WS",
LEFT(A1625,2)="TB",
LEFT(A1625,3)="CEL",
LEFT(A1625,3)="MON",
LEFT(A1625,3)="PRE",
LEFT(A1625,3)="PRH",
ISNUMBER(SEARCH("NOTEBOOK",B1625)),
ISNUMBER(SEARCH("LAPTOP",B1625)),
ISNUMBER(SEARCH("MONITOR",B1625)),
ISNUMBER(SEARCH("TABLET",B1625)),
ISNUMBER(SEARCH("SMARTPH",B1625)),
ISNUMBER(SEARCH("IMPRESORA",B1625)),
ISNUMBER(SEARCH("MULTIFUNCIONAL",B1625)),
ISNUMBER(SEARCH("AIO",B1625))
),
"GANCHO",
"NORMAL"
)
)</f>
        <v>NORMAL</v>
      </c>
    </row>
    <row r="1624" spans="1:12" x14ac:dyDescent="0.25">
      <c r="A1624" s="3" t="s">
        <v>2538</v>
      </c>
      <c r="B1624" s="3" t="s">
        <v>2539</v>
      </c>
      <c r="C1624" s="1">
        <v>0</v>
      </c>
      <c r="D1624" s="1">
        <v>2.1800000000000002</v>
      </c>
      <c r="E1624" s="1" t="s">
        <v>141</v>
      </c>
      <c r="F1624" s="1" t="s">
        <v>4060</v>
      </c>
      <c r="G1624" s="3" t="s">
        <v>2540</v>
      </c>
      <c r="H1624" s="11">
        <f>ROUND(
IF(L1622="GANCHO",
   IF(I1624&lt;=50,I1624*1.1+4,IF(I1624&lt;=120,I1624*1.1+7,IF(I1624&lt;=250,I1624*1.1+11,I1624*1.1+19))),
IF(L1622="NORMAL",
   IF(I1624&lt;=30,I1624*1.15+2,IF(I1624&lt;=80,I1624*1.15+4,IF(I1624&lt;=150,I1624*1.15+6,I1624*1.15+8))),
IF(L1622="COMPLEMENTO",
   IF(I1624&lt;=25,I1624*1.25+1.5,IF(I1624&lt;=60,I1624*1.25+3,IF(I1624&lt;=120,I1624*1.25+4,I1624*1.25+5))),
""))),2)</f>
        <v>12.29</v>
      </c>
      <c r="I1624" s="9">
        <f>($K$2+0.02)*Tabla1[[#This Row],[PRECIO $]]*1.18</f>
        <v>8.9519520000000004</v>
      </c>
      <c r="J1624" s="7">
        <f>+Tabla1[[#This Row],[PRECIO EN SOLES]]-Tabla1[[#This Row],[PC]]</f>
        <v>3.3380479999999988</v>
      </c>
      <c r="K1624" s="15"/>
      <c r="L1624" s="15" t="str">
        <f>IF(
OR(
ISNUMBER(SEARCH("BACKPACK",B1626)),
ISNUMBER(SEARCH("MOCHILA",B1626)),
ISNUMBER(SEARCH("FUNDA",B1626)),
ISNUMBER(SEARCH("ESTUCHE",B1626)),
ISNUMBER(SEARCH("BOOK COVER",B1626)),
ISNUMBER(SEARCH("KEYBOARD PARA TABLET",B1626)),
ISNUMBER(SEARCH("FLIP TABLET",B1626)),
ISNUMBER(SEARCH("CASE FOR TABLET",B1626)),
ISNUMBER(SEARCH("CABLE",B1626)),
ISNUMBER(SEARCH("ADAPTADOR",B1626)),
ISNUMBER(SEARCH("HUB",B1626)),
ISNUMBER(SEARCH("DOCK",B1626)),
ISNUMBER(SEARCH("MOUSE PAD",B1626)),
ISNUMBER(SEARCH("MOUSEPAD",B1626)),
ISNUMBER(SEARCH("SOPORTE",B1626)),
ISNUMBER(SEARCH("STAND",B1626)),
ISNUMBER(SEARCH("TRAVEL ADAPTER",B1626)),
ISNUMBER(SEARCH("RJ45",B1626)),
ISNUMBER(SEARCH("USB-C",B1626)),
ISNUMBER(SEARCH("USB WIFI",B1626)),
ISNUMBER(SEARCH("POWERBANK",B1626)),
ISNUMBER(SEARCH("CARGADOR",B1626)),
ISNUMBER(SEARCH("COOLER PARA NB",B1626)),
ISNUMBER(SEARCH("SOPORTE PARA NB",B1626)),
ISNUMBER(SEARCH("WEBCAM",B1626)),
ISNUMBER(SEARCH("WEB CAM",B1626)),
ISNUMBER(SEARCH("MOUSE",B1626)),
ISNUMBER(SEARCH("TECLADO",B1626))
),
"COMPLEMENTO",
IF(
OR(
LEFT(A1626,2)="NB",
LEFT(A1626,2)="PC",
LEFT(A1626,2)="WS",
LEFT(A1626,2)="TB",
LEFT(A1626,3)="CEL",
LEFT(A1626,3)="MON",
LEFT(A1626,3)="PRE",
LEFT(A1626,3)="PRH",
ISNUMBER(SEARCH("NOTEBOOK",B1626)),
ISNUMBER(SEARCH("LAPTOP",B1626)),
ISNUMBER(SEARCH("MONITOR",B1626)),
ISNUMBER(SEARCH("TABLET",B1626)),
ISNUMBER(SEARCH("SMARTPH",B1626)),
ISNUMBER(SEARCH("IMPRESORA",B1626)),
ISNUMBER(SEARCH("MULTIFUNCIONAL",B1626)),
ISNUMBER(SEARCH("AIO",B1626))
),
"GANCHO",
"NORMAL"
)
)</f>
        <v>NORMAL</v>
      </c>
    </row>
    <row r="1625" spans="1:12" x14ac:dyDescent="0.25">
      <c r="A1625" s="3" t="s">
        <v>2541</v>
      </c>
      <c r="B1625" s="3" t="s">
        <v>2542</v>
      </c>
      <c r="C1625" s="1">
        <v>8</v>
      </c>
      <c r="D1625" s="1">
        <v>28.5</v>
      </c>
      <c r="E1625" s="1" t="s">
        <v>141</v>
      </c>
      <c r="F1625" s="1" t="s">
        <v>4061</v>
      </c>
      <c r="G1625" s="3"/>
      <c r="H1625" s="11">
        <f>ROUND(
IF(L1623="GANCHO",
   IF(I1625&lt;=50,I1625*1.1+4,IF(I1625&lt;=120,I1625*1.1+7,IF(I1625&lt;=250,I1625*1.1+11,I1625*1.1+19))),
IF(L1623="NORMAL",
   IF(I1625&lt;=30,I1625*1.15+2,IF(I1625&lt;=80,I1625*1.15+4,IF(I1625&lt;=150,I1625*1.15+6,I1625*1.15+8))),
IF(L1623="COMPLEMENTO",
   IF(I1625&lt;=25,I1625*1.25+1.5,IF(I1625&lt;=60,I1625*1.25+3,IF(I1625&lt;=120,I1625*1.25+4,I1625*1.25+5))),
""))),2)</f>
        <v>140.59</v>
      </c>
      <c r="I1625" s="9">
        <f>($K$2+0.02)*Tabla1[[#This Row],[PRECIO $]]*1.18</f>
        <v>117.03239999999998</v>
      </c>
      <c r="J1625" s="7">
        <f>+Tabla1[[#This Row],[PRECIO EN SOLES]]-Tabla1[[#This Row],[PC]]</f>
        <v>23.557600000000022</v>
      </c>
      <c r="K1625" s="15"/>
      <c r="L1625" s="15" t="str">
        <f>IF(
OR(
ISNUMBER(SEARCH("BACKPACK",B1627)),
ISNUMBER(SEARCH("MOCHILA",B1627)),
ISNUMBER(SEARCH("FUNDA",B1627)),
ISNUMBER(SEARCH("ESTUCHE",B1627)),
ISNUMBER(SEARCH("BOOK COVER",B1627)),
ISNUMBER(SEARCH("KEYBOARD PARA TABLET",B1627)),
ISNUMBER(SEARCH("FLIP TABLET",B1627)),
ISNUMBER(SEARCH("CASE FOR TABLET",B1627)),
ISNUMBER(SEARCH("CABLE",B1627)),
ISNUMBER(SEARCH("ADAPTADOR",B1627)),
ISNUMBER(SEARCH("HUB",B1627)),
ISNUMBER(SEARCH("DOCK",B1627)),
ISNUMBER(SEARCH("MOUSE PAD",B1627)),
ISNUMBER(SEARCH("MOUSEPAD",B1627)),
ISNUMBER(SEARCH("SOPORTE",B1627)),
ISNUMBER(SEARCH("STAND",B1627)),
ISNUMBER(SEARCH("TRAVEL ADAPTER",B1627)),
ISNUMBER(SEARCH("RJ45",B1627)),
ISNUMBER(SEARCH("USB-C",B1627)),
ISNUMBER(SEARCH("USB WIFI",B1627)),
ISNUMBER(SEARCH("POWERBANK",B1627)),
ISNUMBER(SEARCH("CARGADOR",B1627)),
ISNUMBER(SEARCH("COOLER PARA NB",B1627)),
ISNUMBER(SEARCH("SOPORTE PARA NB",B1627)),
ISNUMBER(SEARCH("WEBCAM",B1627)),
ISNUMBER(SEARCH("WEB CAM",B1627)),
ISNUMBER(SEARCH("MOUSE",B1627)),
ISNUMBER(SEARCH("TECLADO",B1627))
),
"COMPLEMENTO",
IF(
OR(
LEFT(A1627,2)="NB",
LEFT(A1627,2)="PC",
LEFT(A1627,2)="WS",
LEFT(A1627,2)="TB",
LEFT(A1627,3)="CEL",
LEFT(A1627,3)="MON",
LEFT(A1627,3)="PRE",
LEFT(A1627,3)="PRH",
ISNUMBER(SEARCH("NOTEBOOK",B1627)),
ISNUMBER(SEARCH("LAPTOP",B1627)),
ISNUMBER(SEARCH("MONITOR",B1627)),
ISNUMBER(SEARCH("TABLET",B1627)),
ISNUMBER(SEARCH("SMARTPH",B1627)),
ISNUMBER(SEARCH("IMPRESORA",B1627)),
ISNUMBER(SEARCH("MULTIFUNCIONAL",B1627)),
ISNUMBER(SEARCH("AIO",B1627))
),
"GANCHO",
"NORMAL"
)
)</f>
        <v>NORMAL</v>
      </c>
    </row>
    <row r="1626" spans="1:12" x14ac:dyDescent="0.25">
      <c r="A1626" s="3" t="s">
        <v>2543</v>
      </c>
      <c r="B1626" s="3" t="s">
        <v>2544</v>
      </c>
      <c r="C1626" s="1">
        <v>9</v>
      </c>
      <c r="D1626" s="1">
        <v>28.5</v>
      </c>
      <c r="E1626" s="1" t="s">
        <v>141</v>
      </c>
      <c r="F1626" s="1" t="s">
        <v>4062</v>
      </c>
      <c r="G1626" s="3"/>
      <c r="H1626" s="11">
        <f>ROUND(
IF(L1624="GANCHO",
   IF(I1626&lt;=50,I1626*1.1+4,IF(I1626&lt;=120,I1626*1.1+7,IF(I1626&lt;=250,I1626*1.1+11,I1626*1.1+19))),
IF(L1624="NORMAL",
   IF(I1626&lt;=30,I1626*1.15+2,IF(I1626&lt;=80,I1626*1.15+4,IF(I1626&lt;=150,I1626*1.15+6,I1626*1.15+8))),
IF(L1624="COMPLEMENTO",
   IF(I1626&lt;=25,I1626*1.25+1.5,IF(I1626&lt;=60,I1626*1.25+3,IF(I1626&lt;=120,I1626*1.25+4,I1626*1.25+5))),
""))),2)</f>
        <v>140.59</v>
      </c>
      <c r="I1626" s="9">
        <f>($K$2+0.02)*Tabla1[[#This Row],[PRECIO $]]*1.18</f>
        <v>117.03239999999998</v>
      </c>
      <c r="J1626" s="7">
        <f>+Tabla1[[#This Row],[PRECIO EN SOLES]]-Tabla1[[#This Row],[PC]]</f>
        <v>23.557600000000022</v>
      </c>
      <c r="K1626" s="15"/>
      <c r="L1626" s="15" t="str">
        <f>IF(
OR(
ISNUMBER(SEARCH("BACKPACK",B1628)),
ISNUMBER(SEARCH("MOCHILA",B1628)),
ISNUMBER(SEARCH("FUNDA",B1628)),
ISNUMBER(SEARCH("ESTUCHE",B1628)),
ISNUMBER(SEARCH("BOOK COVER",B1628)),
ISNUMBER(SEARCH("KEYBOARD PARA TABLET",B1628)),
ISNUMBER(SEARCH("FLIP TABLET",B1628)),
ISNUMBER(SEARCH("CASE FOR TABLET",B1628)),
ISNUMBER(SEARCH("CABLE",B1628)),
ISNUMBER(SEARCH("ADAPTADOR",B1628)),
ISNUMBER(SEARCH("HUB",B1628)),
ISNUMBER(SEARCH("DOCK",B1628)),
ISNUMBER(SEARCH("MOUSE PAD",B1628)),
ISNUMBER(SEARCH("MOUSEPAD",B1628)),
ISNUMBER(SEARCH("SOPORTE",B1628)),
ISNUMBER(SEARCH("STAND",B1628)),
ISNUMBER(SEARCH("TRAVEL ADAPTER",B1628)),
ISNUMBER(SEARCH("RJ45",B1628)),
ISNUMBER(SEARCH("USB-C",B1628)),
ISNUMBER(SEARCH("USB WIFI",B1628)),
ISNUMBER(SEARCH("POWERBANK",B1628)),
ISNUMBER(SEARCH("CARGADOR",B1628)),
ISNUMBER(SEARCH("COOLER PARA NB",B1628)),
ISNUMBER(SEARCH("SOPORTE PARA NB",B1628)),
ISNUMBER(SEARCH("WEBCAM",B1628)),
ISNUMBER(SEARCH("WEB CAM",B1628)),
ISNUMBER(SEARCH("MOUSE",B1628)),
ISNUMBER(SEARCH("TECLADO",B1628))
),
"COMPLEMENTO",
IF(
OR(
LEFT(A1628,2)="NB",
LEFT(A1628,2)="PC",
LEFT(A1628,2)="WS",
LEFT(A1628,2)="TB",
LEFT(A1628,3)="CEL",
LEFT(A1628,3)="MON",
LEFT(A1628,3)="PRE",
LEFT(A1628,3)="PRH",
ISNUMBER(SEARCH("NOTEBOOK",B1628)),
ISNUMBER(SEARCH("LAPTOP",B1628)),
ISNUMBER(SEARCH("MONITOR",B1628)),
ISNUMBER(SEARCH("TABLET",B1628)),
ISNUMBER(SEARCH("SMARTPH",B1628)),
ISNUMBER(SEARCH("IMPRESORA",B1628)),
ISNUMBER(SEARCH("MULTIFUNCIONAL",B1628)),
ISNUMBER(SEARCH("AIO",B1628))
),
"GANCHO",
"NORMAL"
)
)</f>
        <v>NORMAL</v>
      </c>
    </row>
    <row r="1627" spans="1:12" x14ac:dyDescent="0.25">
      <c r="A1627" s="3" t="s">
        <v>2545</v>
      </c>
      <c r="B1627" s="3" t="s">
        <v>2546</v>
      </c>
      <c r="C1627" s="1">
        <v>9</v>
      </c>
      <c r="D1627" s="1">
        <v>28.5</v>
      </c>
      <c r="E1627" s="1" t="s">
        <v>141</v>
      </c>
      <c r="F1627" s="1" t="s">
        <v>4063</v>
      </c>
      <c r="G1627" s="3"/>
      <c r="H1627" s="11">
        <f>ROUND(
IF(L1625="GANCHO",
   IF(I1627&lt;=50,I1627*1.1+4,IF(I1627&lt;=120,I1627*1.1+7,IF(I1627&lt;=250,I1627*1.1+11,I1627*1.1+19))),
IF(L1625="NORMAL",
   IF(I1627&lt;=30,I1627*1.15+2,IF(I1627&lt;=80,I1627*1.15+4,IF(I1627&lt;=150,I1627*1.15+6,I1627*1.15+8))),
IF(L1625="COMPLEMENTO",
   IF(I1627&lt;=25,I1627*1.25+1.5,IF(I1627&lt;=60,I1627*1.25+3,IF(I1627&lt;=120,I1627*1.25+4,I1627*1.25+5))),
""))),2)</f>
        <v>140.59</v>
      </c>
      <c r="I1627" s="9">
        <f>($K$2+0.02)*Tabla1[[#This Row],[PRECIO $]]*1.18</f>
        <v>117.03239999999998</v>
      </c>
      <c r="J1627" s="7">
        <f>+Tabla1[[#This Row],[PRECIO EN SOLES]]-Tabla1[[#This Row],[PC]]</f>
        <v>23.557600000000022</v>
      </c>
      <c r="K1627" s="15"/>
      <c r="L1627" s="15" t="str">
        <f>IF(
OR(
ISNUMBER(SEARCH("BACKPACK",B1629)),
ISNUMBER(SEARCH("MOCHILA",B1629)),
ISNUMBER(SEARCH("FUNDA",B1629)),
ISNUMBER(SEARCH("ESTUCHE",B1629)),
ISNUMBER(SEARCH("BOOK COVER",B1629)),
ISNUMBER(SEARCH("KEYBOARD PARA TABLET",B1629)),
ISNUMBER(SEARCH("FLIP TABLET",B1629)),
ISNUMBER(SEARCH("CASE FOR TABLET",B1629)),
ISNUMBER(SEARCH("CABLE",B1629)),
ISNUMBER(SEARCH("ADAPTADOR",B1629)),
ISNUMBER(SEARCH("HUB",B1629)),
ISNUMBER(SEARCH("DOCK",B1629)),
ISNUMBER(SEARCH("MOUSE PAD",B1629)),
ISNUMBER(SEARCH("MOUSEPAD",B1629)),
ISNUMBER(SEARCH("SOPORTE",B1629)),
ISNUMBER(SEARCH("STAND",B1629)),
ISNUMBER(SEARCH("TRAVEL ADAPTER",B1629)),
ISNUMBER(SEARCH("RJ45",B1629)),
ISNUMBER(SEARCH("USB-C",B1629)),
ISNUMBER(SEARCH("USB WIFI",B1629)),
ISNUMBER(SEARCH("POWERBANK",B1629)),
ISNUMBER(SEARCH("CARGADOR",B1629)),
ISNUMBER(SEARCH("COOLER PARA NB",B1629)),
ISNUMBER(SEARCH("SOPORTE PARA NB",B1629)),
ISNUMBER(SEARCH("WEBCAM",B1629)),
ISNUMBER(SEARCH("WEB CAM",B1629)),
ISNUMBER(SEARCH("MOUSE",B1629)),
ISNUMBER(SEARCH("TECLADO",B1629))
),
"COMPLEMENTO",
IF(
OR(
LEFT(A1629,2)="NB",
LEFT(A1629,2)="PC",
LEFT(A1629,2)="WS",
LEFT(A1629,2)="TB",
LEFT(A1629,3)="CEL",
LEFT(A1629,3)="MON",
LEFT(A1629,3)="PRE",
LEFT(A1629,3)="PRH",
ISNUMBER(SEARCH("NOTEBOOK",B1629)),
ISNUMBER(SEARCH("LAPTOP",B1629)),
ISNUMBER(SEARCH("MONITOR",B1629)),
ISNUMBER(SEARCH("TABLET",B1629)),
ISNUMBER(SEARCH("SMARTPH",B1629)),
ISNUMBER(SEARCH("IMPRESORA",B1629)),
ISNUMBER(SEARCH("MULTIFUNCIONAL",B1629)),
ISNUMBER(SEARCH("AIO",B1629))
),
"GANCHO",
"NORMAL"
)
)</f>
        <v>NORMAL</v>
      </c>
    </row>
    <row r="1628" spans="1:12" x14ac:dyDescent="0.25">
      <c r="A1628" s="3" t="s">
        <v>2547</v>
      </c>
      <c r="B1628" s="3" t="s">
        <v>2548</v>
      </c>
      <c r="C1628" s="1">
        <v>9</v>
      </c>
      <c r="D1628" s="1">
        <v>28.5</v>
      </c>
      <c r="E1628" s="1" t="s">
        <v>141</v>
      </c>
      <c r="F1628" s="1" t="s">
        <v>4064</v>
      </c>
      <c r="G1628" s="3"/>
      <c r="H1628" s="11">
        <f>ROUND(
IF(L1626="GANCHO",
   IF(I1628&lt;=50,I1628*1.1+4,IF(I1628&lt;=120,I1628*1.1+7,IF(I1628&lt;=250,I1628*1.1+11,I1628*1.1+19))),
IF(L1626="NORMAL",
   IF(I1628&lt;=30,I1628*1.15+2,IF(I1628&lt;=80,I1628*1.15+4,IF(I1628&lt;=150,I1628*1.15+6,I1628*1.15+8))),
IF(L1626="COMPLEMENTO",
   IF(I1628&lt;=25,I1628*1.25+1.5,IF(I1628&lt;=60,I1628*1.25+3,IF(I1628&lt;=120,I1628*1.25+4,I1628*1.25+5))),
""))),2)</f>
        <v>140.59</v>
      </c>
      <c r="I1628" s="9">
        <f>($K$2+0.02)*Tabla1[[#This Row],[PRECIO $]]*1.18</f>
        <v>117.03239999999998</v>
      </c>
      <c r="J1628" s="7">
        <f>+Tabla1[[#This Row],[PRECIO EN SOLES]]-Tabla1[[#This Row],[PC]]</f>
        <v>23.557600000000022</v>
      </c>
      <c r="K1628" s="15"/>
      <c r="L1628" s="15" t="str">
        <f>IF(
OR(
ISNUMBER(SEARCH("BACKPACK",B1630)),
ISNUMBER(SEARCH("MOCHILA",B1630)),
ISNUMBER(SEARCH("FUNDA",B1630)),
ISNUMBER(SEARCH("ESTUCHE",B1630)),
ISNUMBER(SEARCH("BOOK COVER",B1630)),
ISNUMBER(SEARCH("KEYBOARD PARA TABLET",B1630)),
ISNUMBER(SEARCH("FLIP TABLET",B1630)),
ISNUMBER(SEARCH("CASE FOR TABLET",B1630)),
ISNUMBER(SEARCH("CABLE",B1630)),
ISNUMBER(SEARCH("ADAPTADOR",B1630)),
ISNUMBER(SEARCH("HUB",B1630)),
ISNUMBER(SEARCH("DOCK",B1630)),
ISNUMBER(SEARCH("MOUSE PAD",B1630)),
ISNUMBER(SEARCH("MOUSEPAD",B1630)),
ISNUMBER(SEARCH("SOPORTE",B1630)),
ISNUMBER(SEARCH("STAND",B1630)),
ISNUMBER(SEARCH("TRAVEL ADAPTER",B1630)),
ISNUMBER(SEARCH("RJ45",B1630)),
ISNUMBER(SEARCH("USB-C",B1630)),
ISNUMBER(SEARCH("USB WIFI",B1630)),
ISNUMBER(SEARCH("POWERBANK",B1630)),
ISNUMBER(SEARCH("CARGADOR",B1630)),
ISNUMBER(SEARCH("COOLER PARA NB",B1630)),
ISNUMBER(SEARCH("SOPORTE PARA NB",B1630)),
ISNUMBER(SEARCH("WEBCAM",B1630)),
ISNUMBER(SEARCH("WEB CAM",B1630)),
ISNUMBER(SEARCH("MOUSE",B1630)),
ISNUMBER(SEARCH("TECLADO",B1630))
),
"COMPLEMENTO",
IF(
OR(
LEFT(A1630,2)="NB",
LEFT(A1630,2)="PC",
LEFT(A1630,2)="WS",
LEFT(A1630,2)="TB",
LEFT(A1630,3)="CEL",
LEFT(A1630,3)="MON",
LEFT(A1630,3)="PRE",
LEFT(A1630,3)="PRH",
ISNUMBER(SEARCH("NOTEBOOK",B1630)),
ISNUMBER(SEARCH("LAPTOP",B1630)),
ISNUMBER(SEARCH("MONITOR",B1630)),
ISNUMBER(SEARCH("TABLET",B1630)),
ISNUMBER(SEARCH("SMARTPH",B1630)),
ISNUMBER(SEARCH("IMPRESORA",B1630)),
ISNUMBER(SEARCH("MULTIFUNCIONAL",B1630)),
ISNUMBER(SEARCH("AIO",B1630))
),
"GANCHO",
"NORMAL"
)
)</f>
        <v>NORMAL</v>
      </c>
    </row>
    <row r="1629" spans="1:12" x14ac:dyDescent="0.25">
      <c r="A1629" s="3" t="s">
        <v>2549</v>
      </c>
      <c r="B1629" s="3" t="s">
        <v>2550</v>
      </c>
      <c r="C1629" s="1">
        <v>10</v>
      </c>
      <c r="D1629" s="1">
        <v>28.4</v>
      </c>
      <c r="E1629" s="1" t="s">
        <v>141</v>
      </c>
      <c r="F1629" s="1" t="s">
        <v>4065</v>
      </c>
      <c r="G1629" s="3"/>
      <c r="H1629" s="11">
        <f>ROUND(
IF(L1627="GANCHO",
   IF(I1629&lt;=50,I1629*1.1+4,IF(I1629&lt;=120,I1629*1.1+7,IF(I1629&lt;=250,I1629*1.1+11,I1629*1.1+19))),
IF(L1627="NORMAL",
   IF(I1629&lt;=30,I1629*1.15+2,IF(I1629&lt;=80,I1629*1.15+4,IF(I1629&lt;=150,I1629*1.15+6,I1629*1.15+8))),
IF(L1627="COMPLEMENTO",
   IF(I1629&lt;=25,I1629*1.25+1.5,IF(I1629&lt;=60,I1629*1.25+3,IF(I1629&lt;=120,I1629*1.25+4,I1629*1.25+5))),
""))),2)</f>
        <v>140.12</v>
      </c>
      <c r="I1629" s="9">
        <f>($K$2+0.02)*Tabla1[[#This Row],[PRECIO $]]*1.18</f>
        <v>116.62175999999998</v>
      </c>
      <c r="J1629" s="7">
        <f>+Tabla1[[#This Row],[PRECIO EN SOLES]]-Tabla1[[#This Row],[PC]]</f>
        <v>23.498240000000024</v>
      </c>
      <c r="K1629" s="15"/>
      <c r="L1629" s="15" t="str">
        <f>IF(
OR(
ISNUMBER(SEARCH("BACKPACK",B1631)),
ISNUMBER(SEARCH("MOCHILA",B1631)),
ISNUMBER(SEARCH("FUNDA",B1631)),
ISNUMBER(SEARCH("ESTUCHE",B1631)),
ISNUMBER(SEARCH("BOOK COVER",B1631)),
ISNUMBER(SEARCH("KEYBOARD PARA TABLET",B1631)),
ISNUMBER(SEARCH("FLIP TABLET",B1631)),
ISNUMBER(SEARCH("CASE FOR TABLET",B1631)),
ISNUMBER(SEARCH("CABLE",B1631)),
ISNUMBER(SEARCH("ADAPTADOR",B1631)),
ISNUMBER(SEARCH("HUB",B1631)),
ISNUMBER(SEARCH("DOCK",B1631)),
ISNUMBER(SEARCH("MOUSE PAD",B1631)),
ISNUMBER(SEARCH("MOUSEPAD",B1631)),
ISNUMBER(SEARCH("SOPORTE",B1631)),
ISNUMBER(SEARCH("STAND",B1631)),
ISNUMBER(SEARCH("TRAVEL ADAPTER",B1631)),
ISNUMBER(SEARCH("RJ45",B1631)),
ISNUMBER(SEARCH("USB-C",B1631)),
ISNUMBER(SEARCH("USB WIFI",B1631)),
ISNUMBER(SEARCH("POWERBANK",B1631)),
ISNUMBER(SEARCH("CARGADOR",B1631)),
ISNUMBER(SEARCH("COOLER PARA NB",B1631)),
ISNUMBER(SEARCH("SOPORTE PARA NB",B1631)),
ISNUMBER(SEARCH("WEBCAM",B1631)),
ISNUMBER(SEARCH("WEB CAM",B1631)),
ISNUMBER(SEARCH("MOUSE",B1631)),
ISNUMBER(SEARCH("TECLADO",B1631))
),
"COMPLEMENTO",
IF(
OR(
LEFT(A1631,2)="NB",
LEFT(A1631,2)="PC",
LEFT(A1631,2)="WS",
LEFT(A1631,2)="TB",
LEFT(A1631,3)="CEL",
LEFT(A1631,3)="MON",
LEFT(A1631,3)="PRE",
LEFT(A1631,3)="PRH",
ISNUMBER(SEARCH("NOTEBOOK",B1631)),
ISNUMBER(SEARCH("LAPTOP",B1631)),
ISNUMBER(SEARCH("MONITOR",B1631)),
ISNUMBER(SEARCH("TABLET",B1631)),
ISNUMBER(SEARCH("SMARTPH",B1631)),
ISNUMBER(SEARCH("IMPRESORA",B1631)),
ISNUMBER(SEARCH("MULTIFUNCIONAL",B1631)),
ISNUMBER(SEARCH("AIO",B1631))
),
"GANCHO",
"NORMAL"
)
)</f>
        <v>NORMAL</v>
      </c>
    </row>
    <row r="1630" spans="1:12" x14ac:dyDescent="0.25">
      <c r="A1630" s="3" t="s">
        <v>2551</v>
      </c>
      <c r="B1630" s="3" t="s">
        <v>2552</v>
      </c>
      <c r="C1630" s="1">
        <v>10</v>
      </c>
      <c r="D1630" s="1">
        <v>36</v>
      </c>
      <c r="E1630" s="1" t="s">
        <v>141</v>
      </c>
      <c r="F1630" s="1" t="s">
        <v>4066</v>
      </c>
      <c r="G1630" s="3"/>
      <c r="H1630" s="11">
        <f>ROUND(
IF(L1628="GANCHO",
   IF(I1630&lt;=50,I1630*1.1+4,IF(I1630&lt;=120,I1630*1.1+7,IF(I1630&lt;=250,I1630*1.1+11,I1630*1.1+19))),
IF(L1628="NORMAL",
   IF(I1630&lt;=30,I1630*1.15+2,IF(I1630&lt;=80,I1630*1.15+4,IF(I1630&lt;=150,I1630*1.15+6,I1630*1.15+8))),
IF(L1628="COMPLEMENTO",
   IF(I1630&lt;=25,I1630*1.25+1.5,IF(I1630&lt;=60,I1630*1.25+3,IF(I1630&lt;=120,I1630*1.25+4,I1630*1.25+5))),
""))),2)</f>
        <v>176</v>
      </c>
      <c r="I1630" s="9">
        <f>($K$2+0.02)*Tabla1[[#This Row],[PRECIO $]]*1.18</f>
        <v>147.8304</v>
      </c>
      <c r="J1630" s="7">
        <f>+Tabla1[[#This Row],[PRECIO EN SOLES]]-Tabla1[[#This Row],[PC]]</f>
        <v>28.169600000000003</v>
      </c>
      <c r="K1630" s="15"/>
      <c r="L1630" s="15" t="str">
        <f>IF(
OR(
ISNUMBER(SEARCH("BACKPACK",B1632)),
ISNUMBER(SEARCH("MOCHILA",B1632)),
ISNUMBER(SEARCH("FUNDA",B1632)),
ISNUMBER(SEARCH("ESTUCHE",B1632)),
ISNUMBER(SEARCH("BOOK COVER",B1632)),
ISNUMBER(SEARCH("KEYBOARD PARA TABLET",B1632)),
ISNUMBER(SEARCH("FLIP TABLET",B1632)),
ISNUMBER(SEARCH("CASE FOR TABLET",B1632)),
ISNUMBER(SEARCH("CABLE",B1632)),
ISNUMBER(SEARCH("ADAPTADOR",B1632)),
ISNUMBER(SEARCH("HUB",B1632)),
ISNUMBER(SEARCH("DOCK",B1632)),
ISNUMBER(SEARCH("MOUSE PAD",B1632)),
ISNUMBER(SEARCH("MOUSEPAD",B1632)),
ISNUMBER(SEARCH("SOPORTE",B1632)),
ISNUMBER(SEARCH("STAND",B1632)),
ISNUMBER(SEARCH("TRAVEL ADAPTER",B1632)),
ISNUMBER(SEARCH("RJ45",B1632)),
ISNUMBER(SEARCH("USB-C",B1632)),
ISNUMBER(SEARCH("USB WIFI",B1632)),
ISNUMBER(SEARCH("POWERBANK",B1632)),
ISNUMBER(SEARCH("CARGADOR",B1632)),
ISNUMBER(SEARCH("COOLER PARA NB",B1632)),
ISNUMBER(SEARCH("SOPORTE PARA NB",B1632)),
ISNUMBER(SEARCH("WEBCAM",B1632)),
ISNUMBER(SEARCH("WEB CAM",B1632)),
ISNUMBER(SEARCH("MOUSE",B1632)),
ISNUMBER(SEARCH("TECLADO",B1632))
),
"COMPLEMENTO",
IF(
OR(
LEFT(A1632,2)="NB",
LEFT(A1632,2)="PC",
LEFT(A1632,2)="WS",
LEFT(A1632,2)="TB",
LEFT(A1632,3)="CEL",
LEFT(A1632,3)="MON",
LEFT(A1632,3)="PRE",
LEFT(A1632,3)="PRH",
ISNUMBER(SEARCH("NOTEBOOK",B1632)),
ISNUMBER(SEARCH("LAPTOP",B1632)),
ISNUMBER(SEARCH("MONITOR",B1632)),
ISNUMBER(SEARCH("TABLET",B1632)),
ISNUMBER(SEARCH("SMARTPH",B1632)),
ISNUMBER(SEARCH("IMPRESORA",B1632)),
ISNUMBER(SEARCH("MULTIFUNCIONAL",B1632)),
ISNUMBER(SEARCH("AIO",B1632))
),
"GANCHO",
"NORMAL"
)
)</f>
        <v>NORMAL</v>
      </c>
    </row>
    <row r="1631" spans="1:12" x14ac:dyDescent="0.25">
      <c r="A1631" s="3" t="s">
        <v>4220</v>
      </c>
      <c r="B1631" s="3" t="s">
        <v>4221</v>
      </c>
      <c r="C1631" s="1">
        <v>2</v>
      </c>
      <c r="D1631" s="1">
        <v>151.4</v>
      </c>
      <c r="E1631" s="1" t="s">
        <v>141</v>
      </c>
      <c r="F1631" s="1" t="s">
        <v>4246</v>
      </c>
      <c r="G1631" s="3"/>
      <c r="H1631" s="11">
        <f>ROUND(
IF(L1629="GANCHO",
   IF(I1631&lt;=50,I1631*1.1+4,IF(I1631&lt;=120,I1631*1.1+7,IF(I1631&lt;=250,I1631*1.1+11,I1631*1.1+19))),
IF(L1629="NORMAL",
   IF(I1631&lt;=30,I1631*1.15+2,IF(I1631&lt;=80,I1631*1.15+4,IF(I1631&lt;=150,I1631*1.15+6,I1631*1.15+8))),
IF(L1629="COMPLEMENTO",
   IF(I1631&lt;=25,I1631*1.25+1.5,IF(I1631&lt;=60,I1631*1.25+3,IF(I1631&lt;=120,I1631*1.25+4,I1631*1.25+5))),
""))),2)</f>
        <v>722.97</v>
      </c>
      <c r="I1631" s="9">
        <f>($K$2+0.02)*Tabla1[[#This Row],[PRECIO $]]*1.18</f>
        <v>621.70896000000005</v>
      </c>
      <c r="J1631" s="7">
        <f>+Tabla1[[#This Row],[PRECIO EN SOLES]]-Tabla1[[#This Row],[PC]]</f>
        <v>101.26103999999998</v>
      </c>
      <c r="K1631" s="15"/>
      <c r="L1631" s="15" t="str">
        <f>IF(
OR(
ISNUMBER(SEARCH("BACKPACK",B1633)),
ISNUMBER(SEARCH("MOCHILA",B1633)),
ISNUMBER(SEARCH("FUNDA",B1633)),
ISNUMBER(SEARCH("ESTUCHE",B1633)),
ISNUMBER(SEARCH("BOOK COVER",B1633)),
ISNUMBER(SEARCH("KEYBOARD PARA TABLET",B1633)),
ISNUMBER(SEARCH("FLIP TABLET",B1633)),
ISNUMBER(SEARCH("CASE FOR TABLET",B1633)),
ISNUMBER(SEARCH("CABLE",B1633)),
ISNUMBER(SEARCH("ADAPTADOR",B1633)),
ISNUMBER(SEARCH("HUB",B1633)),
ISNUMBER(SEARCH("DOCK",B1633)),
ISNUMBER(SEARCH("MOUSE PAD",B1633)),
ISNUMBER(SEARCH("MOUSEPAD",B1633)),
ISNUMBER(SEARCH("SOPORTE",B1633)),
ISNUMBER(SEARCH("STAND",B1633)),
ISNUMBER(SEARCH("TRAVEL ADAPTER",B1633)),
ISNUMBER(SEARCH("RJ45",B1633)),
ISNUMBER(SEARCH("USB-C",B1633)),
ISNUMBER(SEARCH("USB WIFI",B1633)),
ISNUMBER(SEARCH("POWERBANK",B1633)),
ISNUMBER(SEARCH("CARGADOR",B1633)),
ISNUMBER(SEARCH("COOLER PARA NB",B1633)),
ISNUMBER(SEARCH("SOPORTE PARA NB",B1633)),
ISNUMBER(SEARCH("WEBCAM",B1633)),
ISNUMBER(SEARCH("WEB CAM",B1633)),
ISNUMBER(SEARCH("MOUSE",B1633)),
ISNUMBER(SEARCH("TECLADO",B1633))
),
"COMPLEMENTO",
IF(
OR(
LEFT(A1633,2)="NB",
LEFT(A1633,2)="PC",
LEFT(A1633,2)="WS",
LEFT(A1633,2)="TB",
LEFT(A1633,3)="CEL",
LEFT(A1633,3)="MON",
LEFT(A1633,3)="PRE",
LEFT(A1633,3)="PRH",
ISNUMBER(SEARCH("NOTEBOOK",B1633)),
ISNUMBER(SEARCH("LAPTOP",B1633)),
ISNUMBER(SEARCH("MONITOR",B1633)),
ISNUMBER(SEARCH("TABLET",B1633)),
ISNUMBER(SEARCH("SMARTPH",B1633)),
ISNUMBER(SEARCH("IMPRESORA",B1633)),
ISNUMBER(SEARCH("MULTIFUNCIONAL",B1633)),
ISNUMBER(SEARCH("AIO",B1633))
),
"GANCHO",
"NORMAL"
)
)</f>
        <v>NORMAL</v>
      </c>
    </row>
    <row r="1632" spans="1:12" x14ac:dyDescent="0.25">
      <c r="A1632" s="3" t="s">
        <v>2553</v>
      </c>
      <c r="B1632" s="3" t="s">
        <v>2554</v>
      </c>
      <c r="C1632" s="1">
        <v>3</v>
      </c>
      <c r="D1632" s="1">
        <v>117</v>
      </c>
      <c r="E1632" s="1" t="s">
        <v>141</v>
      </c>
      <c r="F1632" s="1" t="s">
        <v>4067</v>
      </c>
      <c r="G1632" s="3"/>
      <c r="H1632" s="11">
        <f>ROUND(
IF(L1630="GANCHO",
   IF(I1632&lt;=50,I1632*1.1+4,IF(I1632&lt;=120,I1632*1.1+7,IF(I1632&lt;=250,I1632*1.1+11,I1632*1.1+19))),
IF(L1630="NORMAL",
   IF(I1632&lt;=30,I1632*1.15+2,IF(I1632&lt;=80,I1632*1.15+4,IF(I1632&lt;=150,I1632*1.15+6,I1632*1.15+8))),
IF(L1630="COMPLEMENTO",
   IF(I1632&lt;=25,I1632*1.25+1.5,IF(I1632&lt;=60,I1632*1.25+3,IF(I1632&lt;=120,I1632*1.25+4,I1632*1.25+5))),
""))),2)</f>
        <v>560.52</v>
      </c>
      <c r="I1632" s="9">
        <f>($K$2+0.02)*Tabla1[[#This Row],[PRECIO $]]*1.18</f>
        <v>480.44880000000001</v>
      </c>
      <c r="J1632" s="7">
        <f>+Tabla1[[#This Row],[PRECIO EN SOLES]]-Tabla1[[#This Row],[PC]]</f>
        <v>80.071199999999976</v>
      </c>
      <c r="K1632" s="15"/>
      <c r="L1632" s="15" t="str">
        <f>IF(
OR(
ISNUMBER(SEARCH("BACKPACK",B1634)),
ISNUMBER(SEARCH("MOCHILA",B1634)),
ISNUMBER(SEARCH("FUNDA",B1634)),
ISNUMBER(SEARCH("ESTUCHE",B1634)),
ISNUMBER(SEARCH("BOOK COVER",B1634)),
ISNUMBER(SEARCH("KEYBOARD PARA TABLET",B1634)),
ISNUMBER(SEARCH("FLIP TABLET",B1634)),
ISNUMBER(SEARCH("CASE FOR TABLET",B1634)),
ISNUMBER(SEARCH("CABLE",B1634)),
ISNUMBER(SEARCH("ADAPTADOR",B1634)),
ISNUMBER(SEARCH("HUB",B1634)),
ISNUMBER(SEARCH("DOCK",B1634)),
ISNUMBER(SEARCH("MOUSE PAD",B1634)),
ISNUMBER(SEARCH("MOUSEPAD",B1634)),
ISNUMBER(SEARCH("SOPORTE",B1634)),
ISNUMBER(SEARCH("STAND",B1634)),
ISNUMBER(SEARCH("TRAVEL ADAPTER",B1634)),
ISNUMBER(SEARCH("RJ45",B1634)),
ISNUMBER(SEARCH("USB-C",B1634)),
ISNUMBER(SEARCH("USB WIFI",B1634)),
ISNUMBER(SEARCH("POWERBANK",B1634)),
ISNUMBER(SEARCH("CARGADOR",B1634)),
ISNUMBER(SEARCH("COOLER PARA NB",B1634)),
ISNUMBER(SEARCH("SOPORTE PARA NB",B1634)),
ISNUMBER(SEARCH("WEBCAM",B1634)),
ISNUMBER(SEARCH("WEB CAM",B1634)),
ISNUMBER(SEARCH("MOUSE",B1634)),
ISNUMBER(SEARCH("TECLADO",B1634))
),
"COMPLEMENTO",
IF(
OR(
LEFT(A1634,2)="NB",
LEFT(A1634,2)="PC",
LEFT(A1634,2)="WS",
LEFT(A1634,2)="TB",
LEFT(A1634,3)="CEL",
LEFT(A1634,3)="MON",
LEFT(A1634,3)="PRE",
LEFT(A1634,3)="PRH",
ISNUMBER(SEARCH("NOTEBOOK",B1634)),
ISNUMBER(SEARCH("LAPTOP",B1634)),
ISNUMBER(SEARCH("MONITOR",B1634)),
ISNUMBER(SEARCH("TABLET",B1634)),
ISNUMBER(SEARCH("SMARTPH",B1634)),
ISNUMBER(SEARCH("IMPRESORA",B1634)),
ISNUMBER(SEARCH("MULTIFUNCIONAL",B1634)),
ISNUMBER(SEARCH("AIO",B1634))
),
"GANCHO",
"NORMAL"
)
)</f>
        <v>NORMAL</v>
      </c>
    </row>
    <row r="1633" spans="1:12" x14ac:dyDescent="0.25">
      <c r="A1633" s="3" t="s">
        <v>2555</v>
      </c>
      <c r="B1633" s="3" t="s">
        <v>2556</v>
      </c>
      <c r="C1633" s="1">
        <v>4</v>
      </c>
      <c r="D1633" s="1">
        <v>117</v>
      </c>
      <c r="E1633" s="1" t="s">
        <v>141</v>
      </c>
      <c r="F1633" s="1" t="s">
        <v>4068</v>
      </c>
      <c r="G1633" s="3"/>
      <c r="H1633" s="11">
        <f>ROUND(
IF(L1631="GANCHO",
   IF(I1633&lt;=50,I1633*1.1+4,IF(I1633&lt;=120,I1633*1.1+7,IF(I1633&lt;=250,I1633*1.1+11,I1633*1.1+19))),
IF(L1631="NORMAL",
   IF(I1633&lt;=30,I1633*1.15+2,IF(I1633&lt;=80,I1633*1.15+4,IF(I1633&lt;=150,I1633*1.15+6,I1633*1.15+8))),
IF(L1631="COMPLEMENTO",
   IF(I1633&lt;=25,I1633*1.25+1.5,IF(I1633&lt;=60,I1633*1.25+3,IF(I1633&lt;=120,I1633*1.25+4,I1633*1.25+5))),
""))),2)</f>
        <v>560.52</v>
      </c>
      <c r="I1633" s="9">
        <f>($K$2+0.02)*Tabla1[[#This Row],[PRECIO $]]*1.18</f>
        <v>480.44880000000001</v>
      </c>
      <c r="J1633" s="7">
        <f>+Tabla1[[#This Row],[PRECIO EN SOLES]]-Tabla1[[#This Row],[PC]]</f>
        <v>80.071199999999976</v>
      </c>
      <c r="K1633" s="15"/>
      <c r="L1633" s="15" t="str">
        <f>IF(
OR(
ISNUMBER(SEARCH("BACKPACK",B1635)),
ISNUMBER(SEARCH("MOCHILA",B1635)),
ISNUMBER(SEARCH("FUNDA",B1635)),
ISNUMBER(SEARCH("ESTUCHE",B1635)),
ISNUMBER(SEARCH("BOOK COVER",B1635)),
ISNUMBER(SEARCH("KEYBOARD PARA TABLET",B1635)),
ISNUMBER(SEARCH("FLIP TABLET",B1635)),
ISNUMBER(SEARCH("CASE FOR TABLET",B1635)),
ISNUMBER(SEARCH("CABLE",B1635)),
ISNUMBER(SEARCH("ADAPTADOR",B1635)),
ISNUMBER(SEARCH("HUB",B1635)),
ISNUMBER(SEARCH("DOCK",B1635)),
ISNUMBER(SEARCH("MOUSE PAD",B1635)),
ISNUMBER(SEARCH("MOUSEPAD",B1635)),
ISNUMBER(SEARCH("SOPORTE",B1635)),
ISNUMBER(SEARCH("STAND",B1635)),
ISNUMBER(SEARCH("TRAVEL ADAPTER",B1635)),
ISNUMBER(SEARCH("RJ45",B1635)),
ISNUMBER(SEARCH("USB-C",B1635)),
ISNUMBER(SEARCH("USB WIFI",B1635)),
ISNUMBER(SEARCH("POWERBANK",B1635)),
ISNUMBER(SEARCH("CARGADOR",B1635)),
ISNUMBER(SEARCH("COOLER PARA NB",B1635)),
ISNUMBER(SEARCH("SOPORTE PARA NB",B1635)),
ISNUMBER(SEARCH("WEBCAM",B1635)),
ISNUMBER(SEARCH("WEB CAM",B1635)),
ISNUMBER(SEARCH("MOUSE",B1635)),
ISNUMBER(SEARCH("TECLADO",B1635))
),
"COMPLEMENTO",
IF(
OR(
LEFT(A1635,2)="NB",
LEFT(A1635,2)="PC",
LEFT(A1635,2)="WS",
LEFT(A1635,2)="TB",
LEFT(A1635,3)="CEL",
LEFT(A1635,3)="MON",
LEFT(A1635,3)="PRE",
LEFT(A1635,3)="PRH",
ISNUMBER(SEARCH("NOTEBOOK",B1635)),
ISNUMBER(SEARCH("LAPTOP",B1635)),
ISNUMBER(SEARCH("MONITOR",B1635)),
ISNUMBER(SEARCH("TABLET",B1635)),
ISNUMBER(SEARCH("SMARTPH",B1635)),
ISNUMBER(SEARCH("IMPRESORA",B1635)),
ISNUMBER(SEARCH("MULTIFUNCIONAL",B1635)),
ISNUMBER(SEARCH("AIO",B1635))
),
"GANCHO",
"NORMAL"
)
)</f>
        <v>NORMAL</v>
      </c>
    </row>
    <row r="1634" spans="1:12" x14ac:dyDescent="0.25">
      <c r="A1634" s="3" t="s">
        <v>4222</v>
      </c>
      <c r="B1634" s="3" t="s">
        <v>4223</v>
      </c>
      <c r="C1634" s="1">
        <v>20</v>
      </c>
      <c r="D1634" s="1">
        <v>49.5</v>
      </c>
      <c r="E1634" s="1" t="s">
        <v>141</v>
      </c>
      <c r="F1634" s="1" t="s">
        <v>4247</v>
      </c>
      <c r="G1634" s="3" t="s">
        <v>4224</v>
      </c>
      <c r="H1634" s="11">
        <f>ROUND(
IF(L1632="GANCHO",
   IF(I1634&lt;=50,I1634*1.1+4,IF(I1634&lt;=120,I1634*1.1+7,IF(I1634&lt;=250,I1634*1.1+11,I1634*1.1+19))),
IF(L1632="NORMAL",
   IF(I1634&lt;=30,I1634*1.15+2,IF(I1634&lt;=80,I1634*1.15+4,IF(I1634&lt;=150,I1634*1.15+6,I1634*1.15+8))),
IF(L1632="COMPLEMENTO",
   IF(I1634&lt;=25,I1634*1.25+1.5,IF(I1634&lt;=60,I1634*1.25+3,IF(I1634&lt;=120,I1634*1.25+4,I1634*1.25+5))),
""))),2)</f>
        <v>241.76</v>
      </c>
      <c r="I1634" s="9">
        <f>($K$2+0.02)*Tabla1[[#This Row],[PRECIO $]]*1.18</f>
        <v>203.26679999999999</v>
      </c>
      <c r="J1634" s="7">
        <f>+Tabla1[[#This Row],[PRECIO EN SOLES]]-Tabla1[[#This Row],[PC]]</f>
        <v>38.493200000000002</v>
      </c>
      <c r="K1634" s="15"/>
      <c r="L1634" s="15" t="str">
        <f>IF(
OR(
ISNUMBER(SEARCH("BACKPACK",B1636)),
ISNUMBER(SEARCH("MOCHILA",B1636)),
ISNUMBER(SEARCH("FUNDA",B1636)),
ISNUMBER(SEARCH("ESTUCHE",B1636)),
ISNUMBER(SEARCH("BOOK COVER",B1636)),
ISNUMBER(SEARCH("KEYBOARD PARA TABLET",B1636)),
ISNUMBER(SEARCH("FLIP TABLET",B1636)),
ISNUMBER(SEARCH("CASE FOR TABLET",B1636)),
ISNUMBER(SEARCH("CABLE",B1636)),
ISNUMBER(SEARCH("ADAPTADOR",B1636)),
ISNUMBER(SEARCH("HUB",B1636)),
ISNUMBER(SEARCH("DOCK",B1636)),
ISNUMBER(SEARCH("MOUSE PAD",B1636)),
ISNUMBER(SEARCH("MOUSEPAD",B1636)),
ISNUMBER(SEARCH("SOPORTE",B1636)),
ISNUMBER(SEARCH("STAND",B1636)),
ISNUMBER(SEARCH("TRAVEL ADAPTER",B1636)),
ISNUMBER(SEARCH("RJ45",B1636)),
ISNUMBER(SEARCH("USB-C",B1636)),
ISNUMBER(SEARCH("USB WIFI",B1636)),
ISNUMBER(SEARCH("POWERBANK",B1636)),
ISNUMBER(SEARCH("CARGADOR",B1636)),
ISNUMBER(SEARCH("COOLER PARA NB",B1636)),
ISNUMBER(SEARCH("SOPORTE PARA NB",B1636)),
ISNUMBER(SEARCH("WEBCAM",B1636)),
ISNUMBER(SEARCH("WEB CAM",B1636)),
ISNUMBER(SEARCH("MOUSE",B1636)),
ISNUMBER(SEARCH("TECLADO",B1636))
),
"COMPLEMENTO",
IF(
OR(
LEFT(A1636,2)="NB",
LEFT(A1636,2)="PC",
LEFT(A1636,2)="WS",
LEFT(A1636,2)="TB",
LEFT(A1636,3)="CEL",
LEFT(A1636,3)="MON",
LEFT(A1636,3)="PRE",
LEFT(A1636,3)="PRH",
ISNUMBER(SEARCH("NOTEBOOK",B1636)),
ISNUMBER(SEARCH("LAPTOP",B1636)),
ISNUMBER(SEARCH("MONITOR",B1636)),
ISNUMBER(SEARCH("TABLET",B1636)),
ISNUMBER(SEARCH("SMARTPH",B1636)),
ISNUMBER(SEARCH("IMPRESORA",B1636)),
ISNUMBER(SEARCH("MULTIFUNCIONAL",B1636)),
ISNUMBER(SEARCH("AIO",B1636))
),
"GANCHO",
"NORMAL"
)
)</f>
        <v>NORMAL</v>
      </c>
    </row>
    <row r="1635" spans="1:12" x14ac:dyDescent="0.25">
      <c r="A1635" s="3" t="s">
        <v>4225</v>
      </c>
      <c r="B1635" s="3" t="s">
        <v>4226</v>
      </c>
      <c r="C1635" s="1">
        <v>2</v>
      </c>
      <c r="D1635" s="1">
        <v>49.7</v>
      </c>
      <c r="E1635" s="1" t="s">
        <v>141</v>
      </c>
      <c r="F1635" s="1" t="s">
        <v>4248</v>
      </c>
      <c r="G1635" s="3" t="s">
        <v>4227</v>
      </c>
      <c r="H1635" s="11">
        <f>ROUND(
IF(L1633="GANCHO",
   IF(I1635&lt;=50,I1635*1.1+4,IF(I1635&lt;=120,I1635*1.1+7,IF(I1635&lt;=250,I1635*1.1+11,I1635*1.1+19))),
IF(L1633="NORMAL",
   IF(I1635&lt;=30,I1635*1.15+2,IF(I1635&lt;=80,I1635*1.15+4,IF(I1635&lt;=150,I1635*1.15+6,I1635*1.15+8))),
IF(L1633="COMPLEMENTO",
   IF(I1635&lt;=25,I1635*1.25+1.5,IF(I1635&lt;=60,I1635*1.25+3,IF(I1635&lt;=120,I1635*1.25+4,I1635*1.25+5))),
""))),2)</f>
        <v>242.7</v>
      </c>
      <c r="I1635" s="9">
        <f>($K$2+0.02)*Tabla1[[#This Row],[PRECIO $]]*1.18</f>
        <v>204.08808000000002</v>
      </c>
      <c r="J1635" s="7">
        <f>+Tabla1[[#This Row],[PRECIO EN SOLES]]-Tabla1[[#This Row],[PC]]</f>
        <v>38.611919999999969</v>
      </c>
      <c r="K1635" s="15"/>
      <c r="L1635" s="15" t="str">
        <f>IF(
OR(
ISNUMBER(SEARCH("BACKPACK",B1637)),
ISNUMBER(SEARCH("MOCHILA",B1637)),
ISNUMBER(SEARCH("FUNDA",B1637)),
ISNUMBER(SEARCH("ESTUCHE",B1637)),
ISNUMBER(SEARCH("BOOK COVER",B1637)),
ISNUMBER(SEARCH("KEYBOARD PARA TABLET",B1637)),
ISNUMBER(SEARCH("FLIP TABLET",B1637)),
ISNUMBER(SEARCH("CASE FOR TABLET",B1637)),
ISNUMBER(SEARCH("CABLE",B1637)),
ISNUMBER(SEARCH("ADAPTADOR",B1637)),
ISNUMBER(SEARCH("HUB",B1637)),
ISNUMBER(SEARCH("DOCK",B1637)),
ISNUMBER(SEARCH("MOUSE PAD",B1637)),
ISNUMBER(SEARCH("MOUSEPAD",B1637)),
ISNUMBER(SEARCH("SOPORTE",B1637)),
ISNUMBER(SEARCH("STAND",B1637)),
ISNUMBER(SEARCH("TRAVEL ADAPTER",B1637)),
ISNUMBER(SEARCH("RJ45",B1637)),
ISNUMBER(SEARCH("USB-C",B1637)),
ISNUMBER(SEARCH("USB WIFI",B1637)),
ISNUMBER(SEARCH("POWERBANK",B1637)),
ISNUMBER(SEARCH("CARGADOR",B1637)),
ISNUMBER(SEARCH("COOLER PARA NB",B1637)),
ISNUMBER(SEARCH("SOPORTE PARA NB",B1637)),
ISNUMBER(SEARCH("WEBCAM",B1637)),
ISNUMBER(SEARCH("WEB CAM",B1637)),
ISNUMBER(SEARCH("MOUSE",B1637)),
ISNUMBER(SEARCH("TECLADO",B1637))
),
"COMPLEMENTO",
IF(
OR(
LEFT(A1637,2)="NB",
LEFT(A1637,2)="PC",
LEFT(A1637,2)="WS",
LEFT(A1637,2)="TB",
LEFT(A1637,3)="CEL",
LEFT(A1637,3)="MON",
LEFT(A1637,3)="PRE",
LEFT(A1637,3)="PRH",
ISNUMBER(SEARCH("NOTEBOOK",B1637)),
ISNUMBER(SEARCH("LAPTOP",B1637)),
ISNUMBER(SEARCH("MONITOR",B1637)),
ISNUMBER(SEARCH("TABLET",B1637)),
ISNUMBER(SEARCH("SMARTPH",B1637)),
ISNUMBER(SEARCH("IMPRESORA",B1637)),
ISNUMBER(SEARCH("MULTIFUNCIONAL",B1637)),
ISNUMBER(SEARCH("AIO",B1637))
),
"GANCHO",
"NORMAL"
)
)</f>
        <v>NORMAL</v>
      </c>
    </row>
    <row r="1636" spans="1:12" x14ac:dyDescent="0.25">
      <c r="A1636" s="3" t="s">
        <v>698</v>
      </c>
      <c r="B1636" s="3" t="s">
        <v>699</v>
      </c>
      <c r="C1636" s="1">
        <v>4</v>
      </c>
      <c r="D1636" s="1">
        <v>49.7</v>
      </c>
      <c r="E1636" s="1" t="s">
        <v>141</v>
      </c>
      <c r="F1636" s="1" t="s">
        <v>4069</v>
      </c>
      <c r="G1636" s="3" t="s">
        <v>700</v>
      </c>
      <c r="H1636" s="11">
        <f>ROUND(
IF(L1634="GANCHO",
   IF(I1636&lt;=50,I1636*1.1+4,IF(I1636&lt;=120,I1636*1.1+7,IF(I1636&lt;=250,I1636*1.1+11,I1636*1.1+19))),
IF(L1634="NORMAL",
   IF(I1636&lt;=30,I1636*1.15+2,IF(I1636&lt;=80,I1636*1.15+4,IF(I1636&lt;=150,I1636*1.15+6,I1636*1.15+8))),
IF(L1634="COMPLEMENTO",
   IF(I1636&lt;=25,I1636*1.25+1.5,IF(I1636&lt;=60,I1636*1.25+3,IF(I1636&lt;=120,I1636*1.25+4,I1636*1.25+5))),
""))),2)</f>
        <v>242.7</v>
      </c>
      <c r="I1636" s="9">
        <f>($K$2+0.02)*Tabla1[[#This Row],[PRECIO $]]*1.18</f>
        <v>204.08808000000002</v>
      </c>
      <c r="J1636" s="7">
        <f>+Tabla1[[#This Row],[PRECIO EN SOLES]]-Tabla1[[#This Row],[PC]]</f>
        <v>38.611919999999969</v>
      </c>
      <c r="K1636" s="15"/>
      <c r="L1636" s="15" t="str">
        <f>IF(
OR(
ISNUMBER(SEARCH("BACKPACK",B1638)),
ISNUMBER(SEARCH("MOCHILA",B1638)),
ISNUMBER(SEARCH("FUNDA",B1638)),
ISNUMBER(SEARCH("ESTUCHE",B1638)),
ISNUMBER(SEARCH("BOOK COVER",B1638)),
ISNUMBER(SEARCH("KEYBOARD PARA TABLET",B1638)),
ISNUMBER(SEARCH("FLIP TABLET",B1638)),
ISNUMBER(SEARCH("CASE FOR TABLET",B1638)),
ISNUMBER(SEARCH("CABLE",B1638)),
ISNUMBER(SEARCH("ADAPTADOR",B1638)),
ISNUMBER(SEARCH("HUB",B1638)),
ISNUMBER(SEARCH("DOCK",B1638)),
ISNUMBER(SEARCH("MOUSE PAD",B1638)),
ISNUMBER(SEARCH("MOUSEPAD",B1638)),
ISNUMBER(SEARCH("SOPORTE",B1638)),
ISNUMBER(SEARCH("STAND",B1638)),
ISNUMBER(SEARCH("TRAVEL ADAPTER",B1638)),
ISNUMBER(SEARCH("RJ45",B1638)),
ISNUMBER(SEARCH("USB-C",B1638)),
ISNUMBER(SEARCH("USB WIFI",B1638)),
ISNUMBER(SEARCH("POWERBANK",B1638)),
ISNUMBER(SEARCH("CARGADOR",B1638)),
ISNUMBER(SEARCH("COOLER PARA NB",B1638)),
ISNUMBER(SEARCH("SOPORTE PARA NB",B1638)),
ISNUMBER(SEARCH("WEBCAM",B1638)),
ISNUMBER(SEARCH("WEB CAM",B1638)),
ISNUMBER(SEARCH("MOUSE",B1638)),
ISNUMBER(SEARCH("TECLADO",B1638))
),
"COMPLEMENTO",
IF(
OR(
LEFT(A1638,2)="NB",
LEFT(A1638,2)="PC",
LEFT(A1638,2)="WS",
LEFT(A1638,2)="TB",
LEFT(A1638,3)="CEL",
LEFT(A1638,3)="MON",
LEFT(A1638,3)="PRE",
LEFT(A1638,3)="PRH",
ISNUMBER(SEARCH("NOTEBOOK",B1638)),
ISNUMBER(SEARCH("LAPTOP",B1638)),
ISNUMBER(SEARCH("MONITOR",B1638)),
ISNUMBER(SEARCH("TABLET",B1638)),
ISNUMBER(SEARCH("SMARTPH",B1638)),
ISNUMBER(SEARCH("IMPRESORA",B1638)),
ISNUMBER(SEARCH("MULTIFUNCIONAL",B1638)),
ISNUMBER(SEARCH("AIO",B1638))
),
"GANCHO",
"NORMAL"
)
)</f>
        <v>NORMAL</v>
      </c>
    </row>
    <row r="1637" spans="1:12" x14ac:dyDescent="0.25">
      <c r="A1637" s="3" t="s">
        <v>2557</v>
      </c>
      <c r="B1637" s="3" t="s">
        <v>2558</v>
      </c>
      <c r="C1637" s="1">
        <v>1</v>
      </c>
      <c r="D1637" s="1">
        <v>93.42</v>
      </c>
      <c r="E1637" s="1" t="s">
        <v>141</v>
      </c>
      <c r="F1637" s="1" t="s">
        <v>4070</v>
      </c>
      <c r="G1637" s="3" t="s">
        <v>2559</v>
      </c>
      <c r="H1637" s="11">
        <f>ROUND(
IF(L1635="GANCHO",
   IF(I1637&lt;=50,I1637*1.1+4,IF(I1637&lt;=120,I1637*1.1+7,IF(I1637&lt;=250,I1637*1.1+11,I1637*1.1+19))),
IF(L1635="NORMAL",
   IF(I1637&lt;=30,I1637*1.15+2,IF(I1637&lt;=80,I1637*1.15+4,IF(I1637&lt;=150,I1637*1.15+6,I1637*1.15+8))),
IF(L1635="COMPLEMENTO",
   IF(I1637&lt;=25,I1637*1.25+1.5,IF(I1637&lt;=60,I1637*1.25+3,IF(I1637&lt;=120,I1637*1.25+4,I1637*1.25+5))),
""))),2)</f>
        <v>449.16</v>
      </c>
      <c r="I1637" s="9">
        <f>($K$2+0.02)*Tabla1[[#This Row],[PRECIO $]]*1.18</f>
        <v>383.619888</v>
      </c>
      <c r="J1637" s="7">
        <f>+Tabla1[[#This Row],[PRECIO EN SOLES]]-Tabla1[[#This Row],[PC]]</f>
        <v>65.540112000000022</v>
      </c>
      <c r="K1637" s="15"/>
      <c r="L1637" s="15" t="str">
        <f>IF(
OR(
ISNUMBER(SEARCH("BACKPACK",B1639)),
ISNUMBER(SEARCH("MOCHILA",B1639)),
ISNUMBER(SEARCH("FUNDA",B1639)),
ISNUMBER(SEARCH("ESTUCHE",B1639)),
ISNUMBER(SEARCH("BOOK COVER",B1639)),
ISNUMBER(SEARCH("KEYBOARD PARA TABLET",B1639)),
ISNUMBER(SEARCH("FLIP TABLET",B1639)),
ISNUMBER(SEARCH("CASE FOR TABLET",B1639)),
ISNUMBER(SEARCH("CABLE",B1639)),
ISNUMBER(SEARCH("ADAPTADOR",B1639)),
ISNUMBER(SEARCH("HUB",B1639)),
ISNUMBER(SEARCH("DOCK",B1639)),
ISNUMBER(SEARCH("MOUSE PAD",B1639)),
ISNUMBER(SEARCH("MOUSEPAD",B1639)),
ISNUMBER(SEARCH("SOPORTE",B1639)),
ISNUMBER(SEARCH("STAND",B1639)),
ISNUMBER(SEARCH("TRAVEL ADAPTER",B1639)),
ISNUMBER(SEARCH("RJ45",B1639)),
ISNUMBER(SEARCH("USB-C",B1639)),
ISNUMBER(SEARCH("USB WIFI",B1639)),
ISNUMBER(SEARCH("POWERBANK",B1639)),
ISNUMBER(SEARCH("CARGADOR",B1639)),
ISNUMBER(SEARCH("COOLER PARA NB",B1639)),
ISNUMBER(SEARCH("SOPORTE PARA NB",B1639)),
ISNUMBER(SEARCH("WEBCAM",B1639)),
ISNUMBER(SEARCH("WEB CAM",B1639)),
ISNUMBER(SEARCH("MOUSE",B1639)),
ISNUMBER(SEARCH("TECLADO",B1639))
),
"COMPLEMENTO",
IF(
OR(
LEFT(A1639,2)="NB",
LEFT(A1639,2)="PC",
LEFT(A1639,2)="WS",
LEFT(A1639,2)="TB",
LEFT(A1639,3)="CEL",
LEFT(A1639,3)="MON",
LEFT(A1639,3)="PRE",
LEFT(A1639,3)="PRH",
ISNUMBER(SEARCH("NOTEBOOK",B1639)),
ISNUMBER(SEARCH("LAPTOP",B1639)),
ISNUMBER(SEARCH("MONITOR",B1639)),
ISNUMBER(SEARCH("TABLET",B1639)),
ISNUMBER(SEARCH("SMARTPH",B1639)),
ISNUMBER(SEARCH("IMPRESORA",B1639)),
ISNUMBER(SEARCH("MULTIFUNCIONAL",B1639)),
ISNUMBER(SEARCH("AIO",B1639))
),
"GANCHO",
"NORMAL"
)
)</f>
        <v>NORMAL</v>
      </c>
    </row>
    <row r="1638" spans="1:12" x14ac:dyDescent="0.25">
      <c r="A1638" s="3" t="s">
        <v>2992</v>
      </c>
      <c r="B1638" s="3" t="s">
        <v>2993</v>
      </c>
      <c r="C1638" s="1">
        <v>20</v>
      </c>
      <c r="D1638" s="1">
        <v>7.33</v>
      </c>
      <c r="E1638" s="1" t="s">
        <v>148</v>
      </c>
      <c r="F1638" s="1" t="s">
        <v>4071</v>
      </c>
      <c r="G1638" s="3" t="s">
        <v>2994</v>
      </c>
      <c r="H1638" s="11">
        <f>ROUND(
IF(L1636="GANCHO",
   IF(I1638&lt;=50,I1638*1.1+4,IF(I1638&lt;=120,I1638*1.1+7,IF(I1638&lt;=250,I1638*1.1+11,I1638*1.1+19))),
IF(L1636="NORMAL",
   IF(I1638&lt;=30,I1638*1.15+2,IF(I1638&lt;=80,I1638*1.15+4,IF(I1638&lt;=150,I1638*1.15+6,I1638*1.15+8))),
IF(L1636="COMPLEMENTO",
   IF(I1638&lt;=25,I1638*1.25+1.5,IF(I1638&lt;=60,I1638*1.25+3,IF(I1638&lt;=120,I1638*1.25+4,I1638*1.25+5))),
""))),2)</f>
        <v>38.61</v>
      </c>
      <c r="I1638" s="9">
        <f>($K$2+0.02)*Tabla1[[#This Row],[PRECIO $]]*1.18</f>
        <v>30.099912</v>
      </c>
      <c r="J1638" s="7">
        <f>+Tabla1[[#This Row],[PRECIO EN SOLES]]-Tabla1[[#This Row],[PC]]</f>
        <v>8.5100879999999997</v>
      </c>
      <c r="K1638" s="15"/>
      <c r="L1638" s="15" t="str">
        <f>IF(
OR(
ISNUMBER(SEARCH("BACKPACK",B1640)),
ISNUMBER(SEARCH("MOCHILA",B1640)),
ISNUMBER(SEARCH("FUNDA",B1640)),
ISNUMBER(SEARCH("ESTUCHE",B1640)),
ISNUMBER(SEARCH("BOOK COVER",B1640)),
ISNUMBER(SEARCH("KEYBOARD PARA TABLET",B1640)),
ISNUMBER(SEARCH("FLIP TABLET",B1640)),
ISNUMBER(SEARCH("CASE FOR TABLET",B1640)),
ISNUMBER(SEARCH("CABLE",B1640)),
ISNUMBER(SEARCH("ADAPTADOR",B1640)),
ISNUMBER(SEARCH("HUB",B1640)),
ISNUMBER(SEARCH("DOCK",B1640)),
ISNUMBER(SEARCH("MOUSE PAD",B1640)),
ISNUMBER(SEARCH("MOUSEPAD",B1640)),
ISNUMBER(SEARCH("SOPORTE",B1640)),
ISNUMBER(SEARCH("STAND",B1640)),
ISNUMBER(SEARCH("TRAVEL ADAPTER",B1640)),
ISNUMBER(SEARCH("RJ45",B1640)),
ISNUMBER(SEARCH("USB-C",B1640)),
ISNUMBER(SEARCH("USB WIFI",B1640)),
ISNUMBER(SEARCH("POWERBANK",B1640)),
ISNUMBER(SEARCH("CARGADOR",B1640)),
ISNUMBER(SEARCH("COOLER PARA NB",B1640)),
ISNUMBER(SEARCH("SOPORTE PARA NB",B1640)),
ISNUMBER(SEARCH("WEBCAM",B1640)),
ISNUMBER(SEARCH("WEB CAM",B1640)),
ISNUMBER(SEARCH("MOUSE",B1640)),
ISNUMBER(SEARCH("TECLADO",B1640))
),
"COMPLEMENTO",
IF(
OR(
LEFT(A1640,2)="NB",
LEFT(A1640,2)="PC",
LEFT(A1640,2)="WS",
LEFT(A1640,2)="TB",
LEFT(A1640,3)="CEL",
LEFT(A1640,3)="MON",
LEFT(A1640,3)="PRE",
LEFT(A1640,3)="PRH",
ISNUMBER(SEARCH("NOTEBOOK",B1640)),
ISNUMBER(SEARCH("LAPTOP",B1640)),
ISNUMBER(SEARCH("MONITOR",B1640)),
ISNUMBER(SEARCH("TABLET",B1640)),
ISNUMBER(SEARCH("SMARTPH",B1640)),
ISNUMBER(SEARCH("IMPRESORA",B1640)),
ISNUMBER(SEARCH("MULTIFUNCIONAL",B1640)),
ISNUMBER(SEARCH("AIO",B1640))
),
"GANCHO",
"NORMAL"
)
)</f>
        <v>NORMAL</v>
      </c>
    </row>
    <row r="1639" spans="1:12" x14ac:dyDescent="0.25">
      <c r="A1639" s="3" t="s">
        <v>2995</v>
      </c>
      <c r="B1639" s="3" t="s">
        <v>2996</v>
      </c>
      <c r="C1639" s="1">
        <v>0</v>
      </c>
      <c r="D1639" s="1">
        <v>7.33</v>
      </c>
      <c r="E1639" s="1" t="s">
        <v>148</v>
      </c>
      <c r="F1639" s="1" t="s">
        <v>4072</v>
      </c>
      <c r="G1639" s="3" t="s">
        <v>2997</v>
      </c>
      <c r="H1639" s="11">
        <f>ROUND(
IF(L1637="GANCHO",
   IF(I1639&lt;=50,I1639*1.1+4,IF(I1639&lt;=120,I1639*1.1+7,IF(I1639&lt;=250,I1639*1.1+11,I1639*1.1+19))),
IF(L1637="NORMAL",
   IF(I1639&lt;=30,I1639*1.15+2,IF(I1639&lt;=80,I1639*1.15+4,IF(I1639&lt;=150,I1639*1.15+6,I1639*1.15+8))),
IF(L1637="COMPLEMENTO",
   IF(I1639&lt;=25,I1639*1.25+1.5,IF(I1639&lt;=60,I1639*1.25+3,IF(I1639&lt;=120,I1639*1.25+4,I1639*1.25+5))),
""))),2)</f>
        <v>38.61</v>
      </c>
      <c r="I1639" s="9">
        <f>($K$2+0.02)*Tabla1[[#This Row],[PRECIO $]]*1.18</f>
        <v>30.099912</v>
      </c>
      <c r="J1639" s="7">
        <f>+Tabla1[[#This Row],[PRECIO EN SOLES]]-Tabla1[[#This Row],[PC]]</f>
        <v>8.5100879999999997</v>
      </c>
      <c r="K1639" s="15"/>
      <c r="L1639" s="15" t="str">
        <f>IF(
OR(
ISNUMBER(SEARCH("BACKPACK",B1641)),
ISNUMBER(SEARCH("MOCHILA",B1641)),
ISNUMBER(SEARCH("FUNDA",B1641)),
ISNUMBER(SEARCH("ESTUCHE",B1641)),
ISNUMBER(SEARCH("BOOK COVER",B1641)),
ISNUMBER(SEARCH("KEYBOARD PARA TABLET",B1641)),
ISNUMBER(SEARCH("FLIP TABLET",B1641)),
ISNUMBER(SEARCH("CASE FOR TABLET",B1641)),
ISNUMBER(SEARCH("CABLE",B1641)),
ISNUMBER(SEARCH("ADAPTADOR",B1641)),
ISNUMBER(SEARCH("HUB",B1641)),
ISNUMBER(SEARCH("DOCK",B1641)),
ISNUMBER(SEARCH("MOUSE PAD",B1641)),
ISNUMBER(SEARCH("MOUSEPAD",B1641)),
ISNUMBER(SEARCH("SOPORTE",B1641)),
ISNUMBER(SEARCH("STAND",B1641)),
ISNUMBER(SEARCH("TRAVEL ADAPTER",B1641)),
ISNUMBER(SEARCH("RJ45",B1641)),
ISNUMBER(SEARCH("USB-C",B1641)),
ISNUMBER(SEARCH("USB WIFI",B1641)),
ISNUMBER(SEARCH("POWERBANK",B1641)),
ISNUMBER(SEARCH("CARGADOR",B1641)),
ISNUMBER(SEARCH("COOLER PARA NB",B1641)),
ISNUMBER(SEARCH("SOPORTE PARA NB",B1641)),
ISNUMBER(SEARCH("WEBCAM",B1641)),
ISNUMBER(SEARCH("WEB CAM",B1641)),
ISNUMBER(SEARCH("MOUSE",B1641)),
ISNUMBER(SEARCH("TECLADO",B1641))
),
"COMPLEMENTO",
IF(
OR(
LEFT(A1641,2)="NB",
LEFT(A1641,2)="PC",
LEFT(A1641,2)="WS",
LEFT(A1641,2)="TB",
LEFT(A1641,3)="CEL",
LEFT(A1641,3)="MON",
LEFT(A1641,3)="PRE",
LEFT(A1641,3)="PRH",
ISNUMBER(SEARCH("NOTEBOOK",B1641)),
ISNUMBER(SEARCH("LAPTOP",B1641)),
ISNUMBER(SEARCH("MONITOR",B1641)),
ISNUMBER(SEARCH("TABLET",B1641)),
ISNUMBER(SEARCH("SMARTPH",B1641)),
ISNUMBER(SEARCH("IMPRESORA",B1641)),
ISNUMBER(SEARCH("MULTIFUNCIONAL",B1641)),
ISNUMBER(SEARCH("AIO",B1641))
),
"GANCHO",
"NORMAL"
)
)</f>
        <v>NORMAL</v>
      </c>
    </row>
    <row r="1640" spans="1:12" x14ac:dyDescent="0.25">
      <c r="A1640" s="3" t="s">
        <v>2560</v>
      </c>
      <c r="B1640" s="3" t="s">
        <v>2561</v>
      </c>
      <c r="C1640" s="1">
        <v>20</v>
      </c>
      <c r="D1640" s="1">
        <v>7.33</v>
      </c>
      <c r="E1640" s="1" t="s">
        <v>148</v>
      </c>
      <c r="F1640" s="1" t="s">
        <v>4073</v>
      </c>
      <c r="G1640" s="3" t="s">
        <v>2562</v>
      </c>
      <c r="H1640" s="11">
        <f>ROUND(
IF(L1638="GANCHO",
   IF(I1640&lt;=50,I1640*1.1+4,IF(I1640&lt;=120,I1640*1.1+7,IF(I1640&lt;=250,I1640*1.1+11,I1640*1.1+19))),
IF(L1638="NORMAL",
   IF(I1640&lt;=30,I1640*1.15+2,IF(I1640&lt;=80,I1640*1.15+4,IF(I1640&lt;=150,I1640*1.15+6,I1640*1.15+8))),
IF(L1638="COMPLEMENTO",
   IF(I1640&lt;=25,I1640*1.25+1.5,IF(I1640&lt;=60,I1640*1.25+3,IF(I1640&lt;=120,I1640*1.25+4,I1640*1.25+5))),
""))),2)</f>
        <v>38.61</v>
      </c>
      <c r="I1640" s="9">
        <f>($K$2+0.02)*Tabla1[[#This Row],[PRECIO $]]*1.18</f>
        <v>30.099912</v>
      </c>
      <c r="J1640" s="7">
        <f>+Tabla1[[#This Row],[PRECIO EN SOLES]]-Tabla1[[#This Row],[PC]]</f>
        <v>8.5100879999999997</v>
      </c>
      <c r="K1640" s="15"/>
      <c r="L1640" s="15" t="str">
        <f>IF(
OR(
ISNUMBER(SEARCH("BACKPACK",B1642)),
ISNUMBER(SEARCH("MOCHILA",B1642)),
ISNUMBER(SEARCH("FUNDA",B1642)),
ISNUMBER(SEARCH("ESTUCHE",B1642)),
ISNUMBER(SEARCH("BOOK COVER",B1642)),
ISNUMBER(SEARCH("KEYBOARD PARA TABLET",B1642)),
ISNUMBER(SEARCH("FLIP TABLET",B1642)),
ISNUMBER(SEARCH("CASE FOR TABLET",B1642)),
ISNUMBER(SEARCH("CABLE",B1642)),
ISNUMBER(SEARCH("ADAPTADOR",B1642)),
ISNUMBER(SEARCH("HUB",B1642)),
ISNUMBER(SEARCH("DOCK",B1642)),
ISNUMBER(SEARCH("MOUSE PAD",B1642)),
ISNUMBER(SEARCH("MOUSEPAD",B1642)),
ISNUMBER(SEARCH("SOPORTE",B1642)),
ISNUMBER(SEARCH("STAND",B1642)),
ISNUMBER(SEARCH("TRAVEL ADAPTER",B1642)),
ISNUMBER(SEARCH("RJ45",B1642)),
ISNUMBER(SEARCH("USB-C",B1642)),
ISNUMBER(SEARCH("USB WIFI",B1642)),
ISNUMBER(SEARCH("POWERBANK",B1642)),
ISNUMBER(SEARCH("CARGADOR",B1642)),
ISNUMBER(SEARCH("COOLER PARA NB",B1642)),
ISNUMBER(SEARCH("SOPORTE PARA NB",B1642)),
ISNUMBER(SEARCH("WEBCAM",B1642)),
ISNUMBER(SEARCH("WEB CAM",B1642)),
ISNUMBER(SEARCH("MOUSE",B1642)),
ISNUMBER(SEARCH("TECLADO",B1642))
),
"COMPLEMENTO",
IF(
OR(
LEFT(A1642,2)="NB",
LEFT(A1642,2)="PC",
LEFT(A1642,2)="WS",
LEFT(A1642,2)="TB",
LEFT(A1642,3)="CEL",
LEFT(A1642,3)="MON",
LEFT(A1642,3)="PRE",
LEFT(A1642,3)="PRH",
ISNUMBER(SEARCH("NOTEBOOK",B1642)),
ISNUMBER(SEARCH("LAPTOP",B1642)),
ISNUMBER(SEARCH("MONITOR",B1642)),
ISNUMBER(SEARCH("TABLET",B1642)),
ISNUMBER(SEARCH("SMARTPH",B1642)),
ISNUMBER(SEARCH("IMPRESORA",B1642)),
ISNUMBER(SEARCH("MULTIFUNCIONAL",B1642)),
ISNUMBER(SEARCH("AIO",B1642))
),
"GANCHO",
"NORMAL"
)
)</f>
        <v>NORMAL</v>
      </c>
    </row>
    <row r="1641" spans="1:12" x14ac:dyDescent="0.25">
      <c r="A1641" s="3" t="s">
        <v>2998</v>
      </c>
      <c r="B1641" s="3" t="s">
        <v>2999</v>
      </c>
      <c r="C1641" s="1">
        <v>0</v>
      </c>
      <c r="D1641" s="1">
        <v>7.33</v>
      </c>
      <c r="E1641" s="1" t="s">
        <v>148</v>
      </c>
      <c r="F1641" s="1" t="s">
        <v>4074</v>
      </c>
      <c r="G1641" s="3" t="s">
        <v>3000</v>
      </c>
      <c r="H1641" s="11">
        <f>ROUND(
IF(L1639="GANCHO",
   IF(I1641&lt;=50,I1641*1.1+4,IF(I1641&lt;=120,I1641*1.1+7,IF(I1641&lt;=250,I1641*1.1+11,I1641*1.1+19))),
IF(L1639="NORMAL",
   IF(I1641&lt;=30,I1641*1.15+2,IF(I1641&lt;=80,I1641*1.15+4,IF(I1641&lt;=150,I1641*1.15+6,I1641*1.15+8))),
IF(L1639="COMPLEMENTO",
   IF(I1641&lt;=25,I1641*1.25+1.5,IF(I1641&lt;=60,I1641*1.25+3,IF(I1641&lt;=120,I1641*1.25+4,I1641*1.25+5))),
""))),2)</f>
        <v>38.61</v>
      </c>
      <c r="I1641" s="9">
        <f>($K$2+0.02)*Tabla1[[#This Row],[PRECIO $]]*1.18</f>
        <v>30.099912</v>
      </c>
      <c r="J1641" s="7">
        <f>+Tabla1[[#This Row],[PRECIO EN SOLES]]-Tabla1[[#This Row],[PC]]</f>
        <v>8.5100879999999997</v>
      </c>
      <c r="K1641" s="15"/>
      <c r="L1641" s="15" t="str">
        <f>IF(
OR(
ISNUMBER(SEARCH("BACKPACK",B1643)),
ISNUMBER(SEARCH("MOCHILA",B1643)),
ISNUMBER(SEARCH("FUNDA",B1643)),
ISNUMBER(SEARCH("ESTUCHE",B1643)),
ISNUMBER(SEARCH("BOOK COVER",B1643)),
ISNUMBER(SEARCH("KEYBOARD PARA TABLET",B1643)),
ISNUMBER(SEARCH("FLIP TABLET",B1643)),
ISNUMBER(SEARCH("CASE FOR TABLET",B1643)),
ISNUMBER(SEARCH("CABLE",B1643)),
ISNUMBER(SEARCH("ADAPTADOR",B1643)),
ISNUMBER(SEARCH("HUB",B1643)),
ISNUMBER(SEARCH("DOCK",B1643)),
ISNUMBER(SEARCH("MOUSE PAD",B1643)),
ISNUMBER(SEARCH("MOUSEPAD",B1643)),
ISNUMBER(SEARCH("SOPORTE",B1643)),
ISNUMBER(SEARCH("STAND",B1643)),
ISNUMBER(SEARCH("TRAVEL ADAPTER",B1643)),
ISNUMBER(SEARCH("RJ45",B1643)),
ISNUMBER(SEARCH("USB-C",B1643)),
ISNUMBER(SEARCH("USB WIFI",B1643)),
ISNUMBER(SEARCH("POWERBANK",B1643)),
ISNUMBER(SEARCH("CARGADOR",B1643)),
ISNUMBER(SEARCH("COOLER PARA NB",B1643)),
ISNUMBER(SEARCH("SOPORTE PARA NB",B1643)),
ISNUMBER(SEARCH("WEBCAM",B1643)),
ISNUMBER(SEARCH("WEB CAM",B1643)),
ISNUMBER(SEARCH("MOUSE",B1643)),
ISNUMBER(SEARCH("TECLADO",B1643))
),
"COMPLEMENTO",
IF(
OR(
LEFT(A1643,2)="NB",
LEFT(A1643,2)="PC",
LEFT(A1643,2)="WS",
LEFT(A1643,2)="TB",
LEFT(A1643,3)="CEL",
LEFT(A1643,3)="MON",
LEFT(A1643,3)="PRE",
LEFT(A1643,3)="PRH",
ISNUMBER(SEARCH("NOTEBOOK",B1643)),
ISNUMBER(SEARCH("LAPTOP",B1643)),
ISNUMBER(SEARCH("MONITOR",B1643)),
ISNUMBER(SEARCH("TABLET",B1643)),
ISNUMBER(SEARCH("SMARTPH",B1643)),
ISNUMBER(SEARCH("IMPRESORA",B1643)),
ISNUMBER(SEARCH("MULTIFUNCIONAL",B1643)),
ISNUMBER(SEARCH("AIO",B1643))
),
"GANCHO",
"NORMAL"
)
)</f>
        <v>NORMAL</v>
      </c>
    </row>
    <row r="1642" spans="1:12" x14ac:dyDescent="0.25">
      <c r="A1642" s="3" t="s">
        <v>538</v>
      </c>
      <c r="B1642" s="3" t="s">
        <v>539</v>
      </c>
      <c r="C1642" s="1">
        <v>20</v>
      </c>
      <c r="D1642" s="1">
        <v>15</v>
      </c>
      <c r="E1642" s="1" t="s">
        <v>540</v>
      </c>
      <c r="F1642" s="1" t="s">
        <v>4075</v>
      </c>
      <c r="G1642" s="3" t="s">
        <v>541</v>
      </c>
      <c r="H1642" s="11">
        <f>ROUND(
IF(L1640="GANCHO",
   IF(I1642&lt;=50,I1642*1.1+4,IF(I1642&lt;=120,I1642*1.1+7,IF(I1642&lt;=250,I1642*1.1+11,I1642*1.1+19))),
IF(L1640="NORMAL",
   IF(I1642&lt;=30,I1642*1.15+2,IF(I1642&lt;=80,I1642*1.15+4,IF(I1642&lt;=150,I1642*1.15+6,I1642*1.15+8))),
IF(L1640="COMPLEMENTO",
   IF(I1642&lt;=25,I1642*1.25+1.5,IF(I1642&lt;=60,I1642*1.25+3,IF(I1642&lt;=120,I1642*1.25+4,I1642*1.25+5))),
""))),2)</f>
        <v>74.84</v>
      </c>
      <c r="I1642" s="9">
        <f>($K$2+0.02)*Tabla1[[#This Row],[PRECIO $]]*1.18</f>
        <v>61.596000000000004</v>
      </c>
      <c r="J1642" s="7">
        <f>+Tabla1[[#This Row],[PRECIO EN SOLES]]-Tabla1[[#This Row],[PC]]</f>
        <v>13.244</v>
      </c>
      <c r="K1642" s="15"/>
      <c r="L1642" s="15" t="str">
        <f>IF(
OR(
ISNUMBER(SEARCH("BACKPACK",B1644)),
ISNUMBER(SEARCH("MOCHILA",B1644)),
ISNUMBER(SEARCH("FUNDA",B1644)),
ISNUMBER(SEARCH("ESTUCHE",B1644)),
ISNUMBER(SEARCH("BOOK COVER",B1644)),
ISNUMBER(SEARCH("KEYBOARD PARA TABLET",B1644)),
ISNUMBER(SEARCH("FLIP TABLET",B1644)),
ISNUMBER(SEARCH("CASE FOR TABLET",B1644)),
ISNUMBER(SEARCH("CABLE",B1644)),
ISNUMBER(SEARCH("ADAPTADOR",B1644)),
ISNUMBER(SEARCH("HUB",B1644)),
ISNUMBER(SEARCH("DOCK",B1644)),
ISNUMBER(SEARCH("MOUSE PAD",B1644)),
ISNUMBER(SEARCH("MOUSEPAD",B1644)),
ISNUMBER(SEARCH("SOPORTE",B1644)),
ISNUMBER(SEARCH("STAND",B1644)),
ISNUMBER(SEARCH("TRAVEL ADAPTER",B1644)),
ISNUMBER(SEARCH("RJ45",B1644)),
ISNUMBER(SEARCH("USB-C",B1644)),
ISNUMBER(SEARCH("USB WIFI",B1644)),
ISNUMBER(SEARCH("POWERBANK",B1644)),
ISNUMBER(SEARCH("CARGADOR",B1644)),
ISNUMBER(SEARCH("COOLER PARA NB",B1644)),
ISNUMBER(SEARCH("SOPORTE PARA NB",B1644)),
ISNUMBER(SEARCH("WEBCAM",B1644)),
ISNUMBER(SEARCH("WEB CAM",B1644)),
ISNUMBER(SEARCH("MOUSE",B1644)),
ISNUMBER(SEARCH("TECLADO",B1644))
),
"COMPLEMENTO",
IF(
OR(
LEFT(A1644,2)="NB",
LEFT(A1644,2)="PC",
LEFT(A1644,2)="WS",
LEFT(A1644,2)="TB",
LEFT(A1644,3)="CEL",
LEFT(A1644,3)="MON",
LEFT(A1644,3)="PRE",
LEFT(A1644,3)="PRH",
ISNUMBER(SEARCH("NOTEBOOK",B1644)),
ISNUMBER(SEARCH("LAPTOP",B1644)),
ISNUMBER(SEARCH("MONITOR",B1644)),
ISNUMBER(SEARCH("TABLET",B1644)),
ISNUMBER(SEARCH("SMARTPH",B1644)),
ISNUMBER(SEARCH("IMPRESORA",B1644)),
ISNUMBER(SEARCH("MULTIFUNCIONAL",B1644)),
ISNUMBER(SEARCH("AIO",B1644))
),
"GANCHO",
"NORMAL"
)
)</f>
        <v>NORMAL</v>
      </c>
    </row>
    <row r="1643" spans="1:12" x14ac:dyDescent="0.25">
      <c r="A1643" s="3" t="s">
        <v>6942</v>
      </c>
      <c r="B1643" s="3" t="s">
        <v>6943</v>
      </c>
      <c r="C1643" s="1">
        <v>20</v>
      </c>
      <c r="D1643" s="1">
        <v>9.8000000000000007</v>
      </c>
      <c r="E1643" s="1" t="s">
        <v>154</v>
      </c>
      <c r="F1643" s="1" t="s">
        <v>6944</v>
      </c>
      <c r="G1643" s="3" t="s">
        <v>6945</v>
      </c>
      <c r="H1643" s="11">
        <f>ROUND(
IF(L1641="GANCHO",
   IF(I1643&lt;=50,I1643*1.1+4,IF(I1643&lt;=120,I1643*1.1+7,IF(I1643&lt;=250,I1643*1.1+11,I1643*1.1+19))),
IF(L1641="NORMAL",
   IF(I1643&lt;=30,I1643*1.15+2,IF(I1643&lt;=80,I1643*1.15+4,IF(I1643&lt;=150,I1643*1.15+6,I1643*1.15+8))),
IF(L1641="COMPLEMENTO",
   IF(I1643&lt;=25,I1643*1.25+1.5,IF(I1643&lt;=60,I1643*1.25+3,IF(I1643&lt;=120,I1643*1.25+4,I1643*1.25+5))),
""))),2)</f>
        <v>50.28</v>
      </c>
      <c r="I1643" s="9">
        <f>($K$2+0.02)*Tabla1[[#This Row],[PRECIO $]]*1.18</f>
        <v>40.242719999999998</v>
      </c>
      <c r="J1643" s="7">
        <f>+Tabla1[[#This Row],[PRECIO EN SOLES]]-Tabla1[[#This Row],[PC]]</f>
        <v>10.037280000000003</v>
      </c>
      <c r="K1643" s="15"/>
      <c r="L1643" s="15" t="str">
        <f>IF(
OR(
ISNUMBER(SEARCH("BACKPACK",B1645)),
ISNUMBER(SEARCH("MOCHILA",B1645)),
ISNUMBER(SEARCH("FUNDA",B1645)),
ISNUMBER(SEARCH("ESTUCHE",B1645)),
ISNUMBER(SEARCH("BOOK COVER",B1645)),
ISNUMBER(SEARCH("KEYBOARD PARA TABLET",B1645)),
ISNUMBER(SEARCH("FLIP TABLET",B1645)),
ISNUMBER(SEARCH("CASE FOR TABLET",B1645)),
ISNUMBER(SEARCH("CABLE",B1645)),
ISNUMBER(SEARCH("ADAPTADOR",B1645)),
ISNUMBER(SEARCH("HUB",B1645)),
ISNUMBER(SEARCH("DOCK",B1645)),
ISNUMBER(SEARCH("MOUSE PAD",B1645)),
ISNUMBER(SEARCH("MOUSEPAD",B1645)),
ISNUMBER(SEARCH("SOPORTE",B1645)),
ISNUMBER(SEARCH("STAND",B1645)),
ISNUMBER(SEARCH("TRAVEL ADAPTER",B1645)),
ISNUMBER(SEARCH("RJ45",B1645)),
ISNUMBER(SEARCH("USB-C",B1645)),
ISNUMBER(SEARCH("USB WIFI",B1645)),
ISNUMBER(SEARCH("POWERBANK",B1645)),
ISNUMBER(SEARCH("CARGADOR",B1645)),
ISNUMBER(SEARCH("COOLER PARA NB",B1645)),
ISNUMBER(SEARCH("SOPORTE PARA NB",B1645)),
ISNUMBER(SEARCH("WEBCAM",B1645)),
ISNUMBER(SEARCH("WEB CAM",B1645)),
ISNUMBER(SEARCH("MOUSE",B1645)),
ISNUMBER(SEARCH("TECLADO",B1645))
),
"COMPLEMENTO",
IF(
OR(
LEFT(A1645,2)="NB",
LEFT(A1645,2)="PC",
LEFT(A1645,2)="WS",
LEFT(A1645,2)="TB",
LEFT(A1645,3)="CEL",
LEFT(A1645,3)="MON",
LEFT(A1645,3)="PRE",
LEFT(A1645,3)="PRH",
ISNUMBER(SEARCH("NOTEBOOK",B1645)),
ISNUMBER(SEARCH("LAPTOP",B1645)),
ISNUMBER(SEARCH("MONITOR",B1645)),
ISNUMBER(SEARCH("TABLET",B1645)),
ISNUMBER(SEARCH("SMARTPH",B1645)),
ISNUMBER(SEARCH("IMPRESORA",B1645)),
ISNUMBER(SEARCH("MULTIFUNCIONAL",B1645)),
ISNUMBER(SEARCH("AIO",B1645))
),
"GANCHO",
"NORMAL"
)
)</f>
        <v>NORMAL</v>
      </c>
    </row>
    <row r="1644" spans="1:12" x14ac:dyDescent="0.25">
      <c r="A1644" s="3" t="s">
        <v>2563</v>
      </c>
      <c r="B1644" s="3" t="s">
        <v>2564</v>
      </c>
      <c r="C1644" s="1">
        <v>12</v>
      </c>
      <c r="D1644" s="1">
        <v>16.8</v>
      </c>
      <c r="E1644" s="1" t="s">
        <v>141</v>
      </c>
      <c r="F1644" s="1" t="s">
        <v>4076</v>
      </c>
      <c r="G1644" s="3" t="s">
        <v>2565</v>
      </c>
      <c r="H1644" s="11">
        <f>ROUND(
IF(L1642="GANCHO",
   IF(I1644&lt;=50,I1644*1.1+4,IF(I1644&lt;=120,I1644*1.1+7,IF(I1644&lt;=250,I1644*1.1+11,I1644*1.1+19))),
IF(L1642="NORMAL",
   IF(I1644&lt;=30,I1644*1.15+2,IF(I1644&lt;=80,I1644*1.15+4,IF(I1644&lt;=150,I1644*1.15+6,I1644*1.15+8))),
IF(L1642="COMPLEMENTO",
   IF(I1644&lt;=25,I1644*1.25+1.5,IF(I1644&lt;=60,I1644*1.25+3,IF(I1644&lt;=120,I1644*1.25+4,I1644*1.25+5))),
""))),2)</f>
        <v>83.34</v>
      </c>
      <c r="I1644" s="9">
        <f>($K$2+0.02)*Tabla1[[#This Row],[PRECIO $]]*1.18</f>
        <v>68.987519999999989</v>
      </c>
      <c r="J1644" s="7">
        <f>+Tabla1[[#This Row],[PRECIO EN SOLES]]-Tabla1[[#This Row],[PC]]</f>
        <v>14.352480000000014</v>
      </c>
      <c r="K1644" s="15"/>
      <c r="L1644" s="15" t="str">
        <f>IF(
OR(
ISNUMBER(SEARCH("BACKPACK",B1646)),
ISNUMBER(SEARCH("MOCHILA",B1646)),
ISNUMBER(SEARCH("FUNDA",B1646)),
ISNUMBER(SEARCH("ESTUCHE",B1646)),
ISNUMBER(SEARCH("BOOK COVER",B1646)),
ISNUMBER(SEARCH("KEYBOARD PARA TABLET",B1646)),
ISNUMBER(SEARCH("FLIP TABLET",B1646)),
ISNUMBER(SEARCH("CASE FOR TABLET",B1646)),
ISNUMBER(SEARCH("CABLE",B1646)),
ISNUMBER(SEARCH("ADAPTADOR",B1646)),
ISNUMBER(SEARCH("HUB",B1646)),
ISNUMBER(SEARCH("DOCK",B1646)),
ISNUMBER(SEARCH("MOUSE PAD",B1646)),
ISNUMBER(SEARCH("MOUSEPAD",B1646)),
ISNUMBER(SEARCH("SOPORTE",B1646)),
ISNUMBER(SEARCH("STAND",B1646)),
ISNUMBER(SEARCH("TRAVEL ADAPTER",B1646)),
ISNUMBER(SEARCH("RJ45",B1646)),
ISNUMBER(SEARCH("USB-C",B1646)),
ISNUMBER(SEARCH("USB WIFI",B1646)),
ISNUMBER(SEARCH("POWERBANK",B1646)),
ISNUMBER(SEARCH("CARGADOR",B1646)),
ISNUMBER(SEARCH("COOLER PARA NB",B1646)),
ISNUMBER(SEARCH("SOPORTE PARA NB",B1646)),
ISNUMBER(SEARCH("WEBCAM",B1646)),
ISNUMBER(SEARCH("WEB CAM",B1646)),
ISNUMBER(SEARCH("MOUSE",B1646)),
ISNUMBER(SEARCH("TECLADO",B1646))
),
"COMPLEMENTO",
IF(
OR(
LEFT(A1646,2)="NB",
LEFT(A1646,2)="PC",
LEFT(A1646,2)="WS",
LEFT(A1646,2)="TB",
LEFT(A1646,3)="CEL",
LEFT(A1646,3)="MON",
LEFT(A1646,3)="PRE",
LEFT(A1646,3)="PRH",
ISNUMBER(SEARCH("NOTEBOOK",B1646)),
ISNUMBER(SEARCH("LAPTOP",B1646)),
ISNUMBER(SEARCH("MONITOR",B1646)),
ISNUMBER(SEARCH("TABLET",B1646)),
ISNUMBER(SEARCH("SMARTPH",B1646)),
ISNUMBER(SEARCH("IMPRESORA",B1646)),
ISNUMBER(SEARCH("MULTIFUNCIONAL",B1646)),
ISNUMBER(SEARCH("AIO",B1646))
),
"GANCHO",
"NORMAL"
)
)</f>
        <v>NORMAL</v>
      </c>
    </row>
    <row r="1645" spans="1:12" x14ac:dyDescent="0.25">
      <c r="A1645" s="3" t="s">
        <v>2566</v>
      </c>
      <c r="B1645" s="3" t="s">
        <v>2567</v>
      </c>
      <c r="C1645" s="1">
        <v>1</v>
      </c>
      <c r="D1645" s="1">
        <v>16.75</v>
      </c>
      <c r="E1645" s="1" t="s">
        <v>141</v>
      </c>
      <c r="F1645" s="1" t="s">
        <v>4077</v>
      </c>
      <c r="G1645" s="3" t="s">
        <v>2568</v>
      </c>
      <c r="H1645" s="11">
        <f>ROUND(
IF(L1643="GANCHO",
   IF(I1645&lt;=50,I1645*1.1+4,IF(I1645&lt;=120,I1645*1.1+7,IF(I1645&lt;=250,I1645*1.1+11,I1645*1.1+19))),
IF(L1643="NORMAL",
   IF(I1645&lt;=30,I1645*1.15+2,IF(I1645&lt;=80,I1645*1.15+4,IF(I1645&lt;=150,I1645*1.15+6,I1645*1.15+8))),
IF(L1643="COMPLEMENTO",
   IF(I1645&lt;=25,I1645*1.25+1.5,IF(I1645&lt;=60,I1645*1.25+3,IF(I1645&lt;=120,I1645*1.25+4,I1645*1.25+5))),
""))),2)</f>
        <v>83.1</v>
      </c>
      <c r="I1645" s="9">
        <f>($K$2+0.02)*Tabla1[[#This Row],[PRECIO $]]*1.18</f>
        <v>68.782199999999989</v>
      </c>
      <c r="J1645" s="7">
        <f>+Tabla1[[#This Row],[PRECIO EN SOLES]]-Tabla1[[#This Row],[PC]]</f>
        <v>14.317800000000005</v>
      </c>
      <c r="K1645" s="15"/>
      <c r="L1645" s="15" t="str">
        <f>IF(
OR(
ISNUMBER(SEARCH("BACKPACK",B1647)),
ISNUMBER(SEARCH("MOCHILA",B1647)),
ISNUMBER(SEARCH("FUNDA",B1647)),
ISNUMBER(SEARCH("ESTUCHE",B1647)),
ISNUMBER(SEARCH("BOOK COVER",B1647)),
ISNUMBER(SEARCH("KEYBOARD PARA TABLET",B1647)),
ISNUMBER(SEARCH("FLIP TABLET",B1647)),
ISNUMBER(SEARCH("CASE FOR TABLET",B1647)),
ISNUMBER(SEARCH("CABLE",B1647)),
ISNUMBER(SEARCH("ADAPTADOR",B1647)),
ISNUMBER(SEARCH("HUB",B1647)),
ISNUMBER(SEARCH("DOCK",B1647)),
ISNUMBER(SEARCH("MOUSE PAD",B1647)),
ISNUMBER(SEARCH("MOUSEPAD",B1647)),
ISNUMBER(SEARCH("SOPORTE",B1647)),
ISNUMBER(SEARCH("STAND",B1647)),
ISNUMBER(SEARCH("TRAVEL ADAPTER",B1647)),
ISNUMBER(SEARCH("RJ45",B1647)),
ISNUMBER(SEARCH("USB-C",B1647)),
ISNUMBER(SEARCH("USB WIFI",B1647)),
ISNUMBER(SEARCH("POWERBANK",B1647)),
ISNUMBER(SEARCH("CARGADOR",B1647)),
ISNUMBER(SEARCH("COOLER PARA NB",B1647)),
ISNUMBER(SEARCH("SOPORTE PARA NB",B1647)),
ISNUMBER(SEARCH("WEBCAM",B1647)),
ISNUMBER(SEARCH("WEB CAM",B1647)),
ISNUMBER(SEARCH("MOUSE",B1647)),
ISNUMBER(SEARCH("TECLADO",B1647))
),
"COMPLEMENTO",
IF(
OR(
LEFT(A1647,2)="NB",
LEFT(A1647,2)="PC",
LEFT(A1647,2)="WS",
LEFT(A1647,2)="TB",
LEFT(A1647,3)="CEL",
LEFT(A1647,3)="MON",
LEFT(A1647,3)="PRE",
LEFT(A1647,3)="PRH",
ISNUMBER(SEARCH("NOTEBOOK",B1647)),
ISNUMBER(SEARCH("LAPTOP",B1647)),
ISNUMBER(SEARCH("MONITOR",B1647)),
ISNUMBER(SEARCH("TABLET",B1647)),
ISNUMBER(SEARCH("SMARTPH",B1647)),
ISNUMBER(SEARCH("IMPRESORA",B1647)),
ISNUMBER(SEARCH("MULTIFUNCIONAL",B1647)),
ISNUMBER(SEARCH("AIO",B1647))
),
"GANCHO",
"NORMAL"
)
)</f>
        <v>NORMAL</v>
      </c>
    </row>
    <row r="1646" spans="1:12" x14ac:dyDescent="0.25">
      <c r="A1646" s="3" t="s">
        <v>2569</v>
      </c>
      <c r="B1646" s="3" t="s">
        <v>2570</v>
      </c>
      <c r="C1646" s="1">
        <v>2</v>
      </c>
      <c r="D1646" s="1">
        <v>16.75</v>
      </c>
      <c r="E1646" s="1" t="s">
        <v>141</v>
      </c>
      <c r="F1646" s="1" t="s">
        <v>4078</v>
      </c>
      <c r="G1646" s="3" t="s">
        <v>2571</v>
      </c>
      <c r="H1646" s="11">
        <f>ROUND(
IF(L1644="GANCHO",
   IF(I1646&lt;=50,I1646*1.1+4,IF(I1646&lt;=120,I1646*1.1+7,IF(I1646&lt;=250,I1646*1.1+11,I1646*1.1+19))),
IF(L1644="NORMAL",
   IF(I1646&lt;=30,I1646*1.15+2,IF(I1646&lt;=80,I1646*1.15+4,IF(I1646&lt;=150,I1646*1.15+6,I1646*1.15+8))),
IF(L1644="COMPLEMENTO",
   IF(I1646&lt;=25,I1646*1.25+1.5,IF(I1646&lt;=60,I1646*1.25+3,IF(I1646&lt;=120,I1646*1.25+4,I1646*1.25+5))),
""))),2)</f>
        <v>83.1</v>
      </c>
      <c r="I1646" s="9">
        <f>($K$2+0.02)*Tabla1[[#This Row],[PRECIO $]]*1.18</f>
        <v>68.782199999999989</v>
      </c>
      <c r="J1646" s="7">
        <f>+Tabla1[[#This Row],[PRECIO EN SOLES]]-Tabla1[[#This Row],[PC]]</f>
        <v>14.317800000000005</v>
      </c>
      <c r="K1646" s="15"/>
      <c r="L1646" s="15" t="str">
        <f>IF(
OR(
ISNUMBER(SEARCH("BACKPACK",B1648)),
ISNUMBER(SEARCH("MOCHILA",B1648)),
ISNUMBER(SEARCH("FUNDA",B1648)),
ISNUMBER(SEARCH("ESTUCHE",B1648)),
ISNUMBER(SEARCH("BOOK COVER",B1648)),
ISNUMBER(SEARCH("KEYBOARD PARA TABLET",B1648)),
ISNUMBER(SEARCH("FLIP TABLET",B1648)),
ISNUMBER(SEARCH("CASE FOR TABLET",B1648)),
ISNUMBER(SEARCH("CABLE",B1648)),
ISNUMBER(SEARCH("ADAPTADOR",B1648)),
ISNUMBER(SEARCH("HUB",B1648)),
ISNUMBER(SEARCH("DOCK",B1648)),
ISNUMBER(SEARCH("MOUSE PAD",B1648)),
ISNUMBER(SEARCH("MOUSEPAD",B1648)),
ISNUMBER(SEARCH("SOPORTE",B1648)),
ISNUMBER(SEARCH("STAND",B1648)),
ISNUMBER(SEARCH("TRAVEL ADAPTER",B1648)),
ISNUMBER(SEARCH("RJ45",B1648)),
ISNUMBER(SEARCH("USB-C",B1648)),
ISNUMBER(SEARCH("USB WIFI",B1648)),
ISNUMBER(SEARCH("POWERBANK",B1648)),
ISNUMBER(SEARCH("CARGADOR",B1648)),
ISNUMBER(SEARCH("COOLER PARA NB",B1648)),
ISNUMBER(SEARCH("SOPORTE PARA NB",B1648)),
ISNUMBER(SEARCH("WEBCAM",B1648)),
ISNUMBER(SEARCH("WEB CAM",B1648)),
ISNUMBER(SEARCH("MOUSE",B1648)),
ISNUMBER(SEARCH("TECLADO",B1648))
),
"COMPLEMENTO",
IF(
OR(
LEFT(A1648,2)="NB",
LEFT(A1648,2)="PC",
LEFT(A1648,2)="WS",
LEFT(A1648,2)="TB",
LEFT(A1648,3)="CEL",
LEFT(A1648,3)="MON",
LEFT(A1648,3)="PRE",
LEFT(A1648,3)="PRH",
ISNUMBER(SEARCH("NOTEBOOK",B1648)),
ISNUMBER(SEARCH("LAPTOP",B1648)),
ISNUMBER(SEARCH("MONITOR",B1648)),
ISNUMBER(SEARCH("TABLET",B1648)),
ISNUMBER(SEARCH("SMARTPH",B1648)),
ISNUMBER(SEARCH("IMPRESORA",B1648)),
ISNUMBER(SEARCH("MULTIFUNCIONAL",B1648)),
ISNUMBER(SEARCH("AIO",B1648))
),
"GANCHO",
"NORMAL"
)
)</f>
        <v>NORMAL</v>
      </c>
    </row>
    <row r="1647" spans="1:12" x14ac:dyDescent="0.25">
      <c r="A1647" s="3" t="s">
        <v>2572</v>
      </c>
      <c r="B1647" s="3" t="s">
        <v>2573</v>
      </c>
      <c r="C1647" s="1">
        <v>2</v>
      </c>
      <c r="D1647" s="1">
        <v>16.75</v>
      </c>
      <c r="E1647" s="1" t="s">
        <v>141</v>
      </c>
      <c r="F1647" s="1" t="s">
        <v>4079</v>
      </c>
      <c r="G1647" s="3" t="s">
        <v>2574</v>
      </c>
      <c r="H1647" s="11">
        <f>ROUND(
IF(L1645="GANCHO",
   IF(I1647&lt;=50,I1647*1.1+4,IF(I1647&lt;=120,I1647*1.1+7,IF(I1647&lt;=250,I1647*1.1+11,I1647*1.1+19))),
IF(L1645="NORMAL",
   IF(I1647&lt;=30,I1647*1.15+2,IF(I1647&lt;=80,I1647*1.15+4,IF(I1647&lt;=150,I1647*1.15+6,I1647*1.15+8))),
IF(L1645="COMPLEMENTO",
   IF(I1647&lt;=25,I1647*1.25+1.5,IF(I1647&lt;=60,I1647*1.25+3,IF(I1647&lt;=120,I1647*1.25+4,I1647*1.25+5))),
""))),2)</f>
        <v>83.1</v>
      </c>
      <c r="I1647" s="9">
        <f>($K$2+0.02)*Tabla1[[#This Row],[PRECIO $]]*1.18</f>
        <v>68.782199999999989</v>
      </c>
      <c r="J1647" s="7">
        <f>+Tabla1[[#This Row],[PRECIO EN SOLES]]-Tabla1[[#This Row],[PC]]</f>
        <v>14.317800000000005</v>
      </c>
      <c r="K1647" s="15"/>
      <c r="L1647" s="15" t="str">
        <f>IF(
OR(
ISNUMBER(SEARCH("BACKPACK",B1649)),
ISNUMBER(SEARCH("MOCHILA",B1649)),
ISNUMBER(SEARCH("FUNDA",B1649)),
ISNUMBER(SEARCH("ESTUCHE",B1649)),
ISNUMBER(SEARCH("BOOK COVER",B1649)),
ISNUMBER(SEARCH("KEYBOARD PARA TABLET",B1649)),
ISNUMBER(SEARCH("FLIP TABLET",B1649)),
ISNUMBER(SEARCH("CASE FOR TABLET",B1649)),
ISNUMBER(SEARCH("CABLE",B1649)),
ISNUMBER(SEARCH("ADAPTADOR",B1649)),
ISNUMBER(SEARCH("HUB",B1649)),
ISNUMBER(SEARCH("DOCK",B1649)),
ISNUMBER(SEARCH("MOUSE PAD",B1649)),
ISNUMBER(SEARCH("MOUSEPAD",B1649)),
ISNUMBER(SEARCH("SOPORTE",B1649)),
ISNUMBER(SEARCH("STAND",B1649)),
ISNUMBER(SEARCH("TRAVEL ADAPTER",B1649)),
ISNUMBER(SEARCH("RJ45",B1649)),
ISNUMBER(SEARCH("USB-C",B1649)),
ISNUMBER(SEARCH("USB WIFI",B1649)),
ISNUMBER(SEARCH("POWERBANK",B1649)),
ISNUMBER(SEARCH("CARGADOR",B1649)),
ISNUMBER(SEARCH("COOLER PARA NB",B1649)),
ISNUMBER(SEARCH("SOPORTE PARA NB",B1649)),
ISNUMBER(SEARCH("WEBCAM",B1649)),
ISNUMBER(SEARCH("WEB CAM",B1649)),
ISNUMBER(SEARCH("MOUSE",B1649)),
ISNUMBER(SEARCH("TECLADO",B1649))
),
"COMPLEMENTO",
IF(
OR(
LEFT(A1649,2)="NB",
LEFT(A1649,2)="PC",
LEFT(A1649,2)="WS",
LEFT(A1649,2)="TB",
LEFT(A1649,3)="CEL",
LEFT(A1649,3)="MON",
LEFT(A1649,3)="PRE",
LEFT(A1649,3)="PRH",
ISNUMBER(SEARCH("NOTEBOOK",B1649)),
ISNUMBER(SEARCH("LAPTOP",B1649)),
ISNUMBER(SEARCH("MONITOR",B1649)),
ISNUMBER(SEARCH("TABLET",B1649)),
ISNUMBER(SEARCH("SMARTPH",B1649)),
ISNUMBER(SEARCH("IMPRESORA",B1649)),
ISNUMBER(SEARCH("MULTIFUNCIONAL",B1649)),
ISNUMBER(SEARCH("AIO",B1649))
),
"GANCHO",
"NORMAL"
)
)</f>
        <v>NORMAL</v>
      </c>
    </row>
    <row r="1648" spans="1:12" x14ac:dyDescent="0.25">
      <c r="A1648" s="3" t="s">
        <v>4456</v>
      </c>
      <c r="B1648" s="3" t="s">
        <v>4457</v>
      </c>
      <c r="C1648" s="1">
        <v>20</v>
      </c>
      <c r="D1648" s="1">
        <v>14.48</v>
      </c>
      <c r="E1648" s="1" t="s">
        <v>852</v>
      </c>
      <c r="F1648" s="1" t="s">
        <v>4458</v>
      </c>
      <c r="G1648" s="3" t="s">
        <v>4459</v>
      </c>
      <c r="H1648" s="11">
        <f>ROUND(
IF(L1646="GANCHO",
   IF(I1648&lt;=50,I1648*1.1+4,IF(I1648&lt;=120,I1648*1.1+7,IF(I1648&lt;=250,I1648*1.1+11,I1648*1.1+19))),
IF(L1646="NORMAL",
   IF(I1648&lt;=30,I1648*1.15+2,IF(I1648&lt;=80,I1648*1.15+4,IF(I1648&lt;=150,I1648*1.15+6,I1648*1.15+8))),
IF(L1646="COMPLEMENTO",
   IF(I1648&lt;=25,I1648*1.25+1.5,IF(I1648&lt;=60,I1648*1.25+3,IF(I1648&lt;=120,I1648*1.25+4,I1648*1.25+5))),
""))),2)</f>
        <v>72.38</v>
      </c>
      <c r="I1648" s="9">
        <f>($K$2+0.02)*Tabla1[[#This Row],[PRECIO $]]*1.18</f>
        <v>59.460671999999995</v>
      </c>
      <c r="J1648" s="7">
        <f>+Tabla1[[#This Row],[PRECIO EN SOLES]]-Tabla1[[#This Row],[PC]]</f>
        <v>12.919328</v>
      </c>
      <c r="K1648" s="15"/>
      <c r="L1648" s="15" t="str">
        <f>IF(
OR(
ISNUMBER(SEARCH("BACKPACK",B1650)),
ISNUMBER(SEARCH("MOCHILA",B1650)),
ISNUMBER(SEARCH("FUNDA",B1650)),
ISNUMBER(SEARCH("ESTUCHE",B1650)),
ISNUMBER(SEARCH("BOOK COVER",B1650)),
ISNUMBER(SEARCH("KEYBOARD PARA TABLET",B1650)),
ISNUMBER(SEARCH("FLIP TABLET",B1650)),
ISNUMBER(SEARCH("CASE FOR TABLET",B1650)),
ISNUMBER(SEARCH("CABLE",B1650)),
ISNUMBER(SEARCH("ADAPTADOR",B1650)),
ISNUMBER(SEARCH("HUB",B1650)),
ISNUMBER(SEARCH("DOCK",B1650)),
ISNUMBER(SEARCH("MOUSE PAD",B1650)),
ISNUMBER(SEARCH("MOUSEPAD",B1650)),
ISNUMBER(SEARCH("SOPORTE",B1650)),
ISNUMBER(SEARCH("STAND",B1650)),
ISNUMBER(SEARCH("TRAVEL ADAPTER",B1650)),
ISNUMBER(SEARCH("RJ45",B1650)),
ISNUMBER(SEARCH("USB-C",B1650)),
ISNUMBER(SEARCH("USB WIFI",B1650)),
ISNUMBER(SEARCH("POWERBANK",B1650)),
ISNUMBER(SEARCH("CARGADOR",B1650)),
ISNUMBER(SEARCH("COOLER PARA NB",B1650)),
ISNUMBER(SEARCH("SOPORTE PARA NB",B1650)),
ISNUMBER(SEARCH("WEBCAM",B1650)),
ISNUMBER(SEARCH("WEB CAM",B1650)),
ISNUMBER(SEARCH("MOUSE",B1650)),
ISNUMBER(SEARCH("TECLADO",B1650))
),
"COMPLEMENTO",
IF(
OR(
LEFT(A1650,2)="NB",
LEFT(A1650,2)="PC",
LEFT(A1650,2)="WS",
LEFT(A1650,2)="TB",
LEFT(A1650,3)="CEL",
LEFT(A1650,3)="MON",
LEFT(A1650,3)="PRE",
LEFT(A1650,3)="PRH",
ISNUMBER(SEARCH("NOTEBOOK",B1650)),
ISNUMBER(SEARCH("LAPTOP",B1650)),
ISNUMBER(SEARCH("MONITOR",B1650)),
ISNUMBER(SEARCH("TABLET",B1650)),
ISNUMBER(SEARCH("SMARTPH",B1650)),
ISNUMBER(SEARCH("IMPRESORA",B1650)),
ISNUMBER(SEARCH("MULTIFUNCIONAL",B1650)),
ISNUMBER(SEARCH("AIO",B1650))
),
"GANCHO",
"NORMAL"
)
)</f>
        <v>COMPLEMENTO</v>
      </c>
    </row>
    <row r="1649" spans="1:12" x14ac:dyDescent="0.25">
      <c r="A1649" s="3" t="s">
        <v>5064</v>
      </c>
      <c r="B1649" s="3" t="s">
        <v>5065</v>
      </c>
      <c r="C1649" s="1">
        <v>20</v>
      </c>
      <c r="D1649" s="1">
        <v>20</v>
      </c>
      <c r="E1649" s="1" t="s">
        <v>838</v>
      </c>
      <c r="F1649" s="1" t="s">
        <v>5066</v>
      </c>
      <c r="G1649" s="3" t="s">
        <v>5067</v>
      </c>
      <c r="H1649" s="11">
        <f>ROUND(
IF(L1647="GANCHO",
   IF(I1649&lt;=50,I1649*1.1+4,IF(I1649&lt;=120,I1649*1.1+7,IF(I1649&lt;=250,I1649*1.1+11,I1649*1.1+19))),
IF(L1647="NORMAL",
   IF(I1649&lt;=30,I1649*1.15+2,IF(I1649&lt;=80,I1649*1.15+4,IF(I1649&lt;=150,I1649*1.15+6,I1649*1.15+8))),
IF(L1647="COMPLEMENTO",
   IF(I1649&lt;=25,I1649*1.25+1.5,IF(I1649&lt;=60,I1649*1.25+3,IF(I1649&lt;=120,I1649*1.25+4,I1649*1.25+5))),
""))),2)</f>
        <v>100.45</v>
      </c>
      <c r="I1649" s="9">
        <f>($K$2+0.02)*Tabla1[[#This Row],[PRECIO $]]*1.18</f>
        <v>82.127999999999986</v>
      </c>
      <c r="J1649" s="7">
        <f>+Tabla1[[#This Row],[PRECIO EN SOLES]]-Tabla1[[#This Row],[PC]]</f>
        <v>18.322000000000017</v>
      </c>
      <c r="K1649" s="15"/>
      <c r="L1649" s="15" t="str">
        <f>IF(
OR(
ISNUMBER(SEARCH("BACKPACK",B1651)),
ISNUMBER(SEARCH("MOCHILA",B1651)),
ISNUMBER(SEARCH("FUNDA",B1651)),
ISNUMBER(SEARCH("ESTUCHE",B1651)),
ISNUMBER(SEARCH("BOOK COVER",B1651)),
ISNUMBER(SEARCH("KEYBOARD PARA TABLET",B1651)),
ISNUMBER(SEARCH("FLIP TABLET",B1651)),
ISNUMBER(SEARCH("CASE FOR TABLET",B1651)),
ISNUMBER(SEARCH("CABLE",B1651)),
ISNUMBER(SEARCH("ADAPTADOR",B1651)),
ISNUMBER(SEARCH("HUB",B1651)),
ISNUMBER(SEARCH("DOCK",B1651)),
ISNUMBER(SEARCH("MOUSE PAD",B1651)),
ISNUMBER(SEARCH("MOUSEPAD",B1651)),
ISNUMBER(SEARCH("SOPORTE",B1651)),
ISNUMBER(SEARCH("STAND",B1651)),
ISNUMBER(SEARCH("TRAVEL ADAPTER",B1651)),
ISNUMBER(SEARCH("RJ45",B1651)),
ISNUMBER(SEARCH("USB-C",B1651)),
ISNUMBER(SEARCH("USB WIFI",B1651)),
ISNUMBER(SEARCH("POWERBANK",B1651)),
ISNUMBER(SEARCH("CARGADOR",B1651)),
ISNUMBER(SEARCH("COOLER PARA NB",B1651)),
ISNUMBER(SEARCH("SOPORTE PARA NB",B1651)),
ISNUMBER(SEARCH("WEBCAM",B1651)),
ISNUMBER(SEARCH("WEB CAM",B1651)),
ISNUMBER(SEARCH("MOUSE",B1651)),
ISNUMBER(SEARCH("TECLADO",B1651))
),
"COMPLEMENTO",
IF(
OR(
LEFT(A1651,2)="NB",
LEFT(A1651,2)="PC",
LEFT(A1651,2)="WS",
LEFT(A1651,2)="TB",
LEFT(A1651,3)="CEL",
LEFT(A1651,3)="MON",
LEFT(A1651,3)="PRE",
LEFT(A1651,3)="PRH",
ISNUMBER(SEARCH("NOTEBOOK",B1651)),
ISNUMBER(SEARCH("LAPTOP",B1651)),
ISNUMBER(SEARCH("MONITOR",B1651)),
ISNUMBER(SEARCH("TABLET",B1651)),
ISNUMBER(SEARCH("SMARTPH",B1651)),
ISNUMBER(SEARCH("IMPRESORA",B1651)),
ISNUMBER(SEARCH("MULTIFUNCIONAL",B1651)),
ISNUMBER(SEARCH("AIO",B1651))
),
"GANCHO",
"NORMAL"
)
)</f>
        <v>COMPLEMENTO</v>
      </c>
    </row>
    <row r="1650" spans="1:12" x14ac:dyDescent="0.25">
      <c r="A1650" s="3" t="s">
        <v>542</v>
      </c>
      <c r="B1650" s="3" t="s">
        <v>543</v>
      </c>
      <c r="C1650" s="1">
        <v>20</v>
      </c>
      <c r="D1650" s="1">
        <v>18.7</v>
      </c>
      <c r="E1650" s="1" t="s">
        <v>52</v>
      </c>
      <c r="F1650" s="1" t="s">
        <v>4080</v>
      </c>
      <c r="G1650" s="3" t="s">
        <v>544</v>
      </c>
      <c r="H1650" s="11">
        <f>ROUND(
IF(L1648="GANCHO",
   IF(I1650&lt;=50,I1650*1.1+4,IF(I1650&lt;=120,I1650*1.1+7,IF(I1650&lt;=250,I1650*1.1+11,I1650*1.1+19))),
IF(L1648="NORMAL",
   IF(I1650&lt;=30,I1650*1.15+2,IF(I1650&lt;=80,I1650*1.15+4,IF(I1650&lt;=150,I1650*1.15+6,I1650*1.15+8))),
IF(L1648="COMPLEMENTO",
   IF(I1650&lt;=25,I1650*1.25+1.5,IF(I1650&lt;=60,I1650*1.25+3,IF(I1650&lt;=120,I1650*1.25+4,I1650*1.25+5))),
""))),2)</f>
        <v>99.99</v>
      </c>
      <c r="I1650" s="9">
        <f>($K$2+0.02)*Tabla1[[#This Row],[PRECIO $]]*1.18</f>
        <v>76.78967999999999</v>
      </c>
      <c r="J1650" s="7">
        <f>+Tabla1[[#This Row],[PRECIO EN SOLES]]-Tabla1[[#This Row],[PC]]</f>
        <v>23.200320000000005</v>
      </c>
      <c r="K1650" s="15"/>
      <c r="L1650" s="15" t="str">
        <f>IF(
OR(
ISNUMBER(SEARCH("BACKPACK",B1652)),
ISNUMBER(SEARCH("MOCHILA",B1652)),
ISNUMBER(SEARCH("FUNDA",B1652)),
ISNUMBER(SEARCH("ESTUCHE",B1652)),
ISNUMBER(SEARCH("BOOK COVER",B1652)),
ISNUMBER(SEARCH("KEYBOARD PARA TABLET",B1652)),
ISNUMBER(SEARCH("FLIP TABLET",B1652)),
ISNUMBER(SEARCH("CASE FOR TABLET",B1652)),
ISNUMBER(SEARCH("CABLE",B1652)),
ISNUMBER(SEARCH("ADAPTADOR",B1652)),
ISNUMBER(SEARCH("HUB",B1652)),
ISNUMBER(SEARCH("DOCK",B1652)),
ISNUMBER(SEARCH("MOUSE PAD",B1652)),
ISNUMBER(SEARCH("MOUSEPAD",B1652)),
ISNUMBER(SEARCH("SOPORTE",B1652)),
ISNUMBER(SEARCH("STAND",B1652)),
ISNUMBER(SEARCH("TRAVEL ADAPTER",B1652)),
ISNUMBER(SEARCH("RJ45",B1652)),
ISNUMBER(SEARCH("USB-C",B1652)),
ISNUMBER(SEARCH("USB WIFI",B1652)),
ISNUMBER(SEARCH("POWERBANK",B1652)),
ISNUMBER(SEARCH("CARGADOR",B1652)),
ISNUMBER(SEARCH("COOLER PARA NB",B1652)),
ISNUMBER(SEARCH("SOPORTE PARA NB",B1652)),
ISNUMBER(SEARCH("WEBCAM",B1652)),
ISNUMBER(SEARCH("WEB CAM",B1652)),
ISNUMBER(SEARCH("MOUSE",B1652)),
ISNUMBER(SEARCH("TECLADO",B1652))
),
"COMPLEMENTO",
IF(
OR(
LEFT(A1652,2)="NB",
LEFT(A1652,2)="PC",
LEFT(A1652,2)="WS",
LEFT(A1652,2)="TB",
LEFT(A1652,3)="CEL",
LEFT(A1652,3)="MON",
LEFT(A1652,3)="PRE",
LEFT(A1652,3)="PRH",
ISNUMBER(SEARCH("NOTEBOOK",B1652)),
ISNUMBER(SEARCH("LAPTOP",B1652)),
ISNUMBER(SEARCH("MONITOR",B1652)),
ISNUMBER(SEARCH("TABLET",B1652)),
ISNUMBER(SEARCH("SMARTPH",B1652)),
ISNUMBER(SEARCH("IMPRESORA",B1652)),
ISNUMBER(SEARCH("MULTIFUNCIONAL",B1652)),
ISNUMBER(SEARCH("AIO",B1652))
),
"GANCHO",
"NORMAL"
)
)</f>
        <v>COMPLEMENTO</v>
      </c>
    </row>
    <row r="1651" spans="1:12" x14ac:dyDescent="0.25">
      <c r="A1651" s="3" t="s">
        <v>545</v>
      </c>
      <c r="B1651" s="3" t="s">
        <v>546</v>
      </c>
      <c r="C1651" s="1">
        <v>20</v>
      </c>
      <c r="D1651" s="1">
        <v>20.399999999999999</v>
      </c>
      <c r="E1651" s="1" t="s">
        <v>52</v>
      </c>
      <c r="F1651" s="1" t="s">
        <v>4081</v>
      </c>
      <c r="G1651" s="3" t="s">
        <v>547</v>
      </c>
      <c r="H1651" s="11">
        <f>ROUND(
IF(L1649="GANCHO",
   IF(I1651&lt;=50,I1651*1.1+4,IF(I1651&lt;=120,I1651*1.1+7,IF(I1651&lt;=250,I1651*1.1+11,I1651*1.1+19))),
IF(L1649="NORMAL",
   IF(I1651&lt;=30,I1651*1.15+2,IF(I1651&lt;=80,I1651*1.15+4,IF(I1651&lt;=150,I1651*1.15+6,I1651*1.15+8))),
IF(L1649="COMPLEMENTO",
   IF(I1651&lt;=25,I1651*1.25+1.5,IF(I1651&lt;=60,I1651*1.25+3,IF(I1651&lt;=120,I1651*1.25+4,I1651*1.25+5))),
""))),2)</f>
        <v>108.71</v>
      </c>
      <c r="I1651" s="9">
        <f>($K$2+0.02)*Tabla1[[#This Row],[PRECIO $]]*1.18</f>
        <v>83.770559999999989</v>
      </c>
      <c r="J1651" s="7">
        <f>+Tabla1[[#This Row],[PRECIO EN SOLES]]-Tabla1[[#This Row],[PC]]</f>
        <v>24.939440000000005</v>
      </c>
      <c r="K1651" s="15"/>
      <c r="L1651" s="15" t="str">
        <f>IF(
OR(
ISNUMBER(SEARCH("BACKPACK",B1653)),
ISNUMBER(SEARCH("MOCHILA",B1653)),
ISNUMBER(SEARCH("FUNDA",B1653)),
ISNUMBER(SEARCH("ESTUCHE",B1653)),
ISNUMBER(SEARCH("BOOK COVER",B1653)),
ISNUMBER(SEARCH("KEYBOARD PARA TABLET",B1653)),
ISNUMBER(SEARCH("FLIP TABLET",B1653)),
ISNUMBER(SEARCH("CASE FOR TABLET",B1653)),
ISNUMBER(SEARCH("CABLE",B1653)),
ISNUMBER(SEARCH("ADAPTADOR",B1653)),
ISNUMBER(SEARCH("HUB",B1653)),
ISNUMBER(SEARCH("DOCK",B1653)),
ISNUMBER(SEARCH("MOUSE PAD",B1653)),
ISNUMBER(SEARCH("MOUSEPAD",B1653)),
ISNUMBER(SEARCH("SOPORTE",B1653)),
ISNUMBER(SEARCH("STAND",B1653)),
ISNUMBER(SEARCH("TRAVEL ADAPTER",B1653)),
ISNUMBER(SEARCH("RJ45",B1653)),
ISNUMBER(SEARCH("USB-C",B1653)),
ISNUMBER(SEARCH("USB WIFI",B1653)),
ISNUMBER(SEARCH("POWERBANK",B1653)),
ISNUMBER(SEARCH("CARGADOR",B1653)),
ISNUMBER(SEARCH("COOLER PARA NB",B1653)),
ISNUMBER(SEARCH("SOPORTE PARA NB",B1653)),
ISNUMBER(SEARCH("WEBCAM",B1653)),
ISNUMBER(SEARCH("WEB CAM",B1653)),
ISNUMBER(SEARCH("MOUSE",B1653)),
ISNUMBER(SEARCH("TECLADO",B1653))
),
"COMPLEMENTO",
IF(
OR(
LEFT(A1653,2)="NB",
LEFT(A1653,2)="PC",
LEFT(A1653,2)="WS",
LEFT(A1653,2)="TB",
LEFT(A1653,3)="CEL",
LEFT(A1653,3)="MON",
LEFT(A1653,3)="PRE",
LEFT(A1653,3)="PRH",
ISNUMBER(SEARCH("NOTEBOOK",B1653)),
ISNUMBER(SEARCH("LAPTOP",B1653)),
ISNUMBER(SEARCH("MONITOR",B1653)),
ISNUMBER(SEARCH("TABLET",B1653)),
ISNUMBER(SEARCH("SMARTPH",B1653)),
ISNUMBER(SEARCH("IMPRESORA",B1653)),
ISNUMBER(SEARCH("MULTIFUNCIONAL",B1653)),
ISNUMBER(SEARCH("AIO",B1653))
),
"GANCHO",
"NORMAL"
)
)</f>
        <v>COMPLEMENTO</v>
      </c>
    </row>
    <row r="1652" spans="1:12" x14ac:dyDescent="0.25">
      <c r="A1652" s="3" t="s">
        <v>548</v>
      </c>
      <c r="B1652" s="3" t="s">
        <v>549</v>
      </c>
      <c r="C1652" s="1">
        <v>20</v>
      </c>
      <c r="D1652" s="1">
        <v>15.1</v>
      </c>
      <c r="E1652" s="1" t="s">
        <v>52</v>
      </c>
      <c r="F1652" s="1" t="s">
        <v>4082</v>
      </c>
      <c r="G1652" s="3" t="s">
        <v>550</v>
      </c>
      <c r="H1652" s="11">
        <f>ROUND(
IF(L1650="GANCHO",
   IF(I1652&lt;=50,I1652*1.1+4,IF(I1652&lt;=120,I1652*1.1+7,IF(I1652&lt;=250,I1652*1.1+11,I1652*1.1+19))),
IF(L1650="NORMAL",
   IF(I1652&lt;=30,I1652*1.15+2,IF(I1652&lt;=80,I1652*1.15+4,IF(I1652&lt;=150,I1652*1.15+6,I1652*1.15+8))),
IF(L1650="COMPLEMENTO",
   IF(I1652&lt;=25,I1652*1.25+1.5,IF(I1652&lt;=60,I1652*1.25+3,IF(I1652&lt;=120,I1652*1.25+4,I1652*1.25+5))),
""))),2)</f>
        <v>81.510000000000005</v>
      </c>
      <c r="I1652" s="9">
        <f>($K$2+0.02)*Tabla1[[#This Row],[PRECIO $]]*1.18</f>
        <v>62.006639999999997</v>
      </c>
      <c r="J1652" s="7">
        <f>+Tabla1[[#This Row],[PRECIO EN SOLES]]-Tabla1[[#This Row],[PC]]</f>
        <v>19.503360000000008</v>
      </c>
      <c r="K1652" s="15"/>
      <c r="L1652" s="15" t="str">
        <f>IF(
OR(
ISNUMBER(SEARCH("BACKPACK",B1654)),
ISNUMBER(SEARCH("MOCHILA",B1654)),
ISNUMBER(SEARCH("FUNDA",B1654)),
ISNUMBER(SEARCH("ESTUCHE",B1654)),
ISNUMBER(SEARCH("BOOK COVER",B1654)),
ISNUMBER(SEARCH("KEYBOARD PARA TABLET",B1654)),
ISNUMBER(SEARCH("FLIP TABLET",B1654)),
ISNUMBER(SEARCH("CASE FOR TABLET",B1654)),
ISNUMBER(SEARCH("CABLE",B1654)),
ISNUMBER(SEARCH("ADAPTADOR",B1654)),
ISNUMBER(SEARCH("HUB",B1654)),
ISNUMBER(SEARCH("DOCK",B1654)),
ISNUMBER(SEARCH("MOUSE PAD",B1654)),
ISNUMBER(SEARCH("MOUSEPAD",B1654)),
ISNUMBER(SEARCH("SOPORTE",B1654)),
ISNUMBER(SEARCH("STAND",B1654)),
ISNUMBER(SEARCH("TRAVEL ADAPTER",B1654)),
ISNUMBER(SEARCH("RJ45",B1654)),
ISNUMBER(SEARCH("USB-C",B1654)),
ISNUMBER(SEARCH("USB WIFI",B1654)),
ISNUMBER(SEARCH("POWERBANK",B1654)),
ISNUMBER(SEARCH("CARGADOR",B1654)),
ISNUMBER(SEARCH("COOLER PARA NB",B1654)),
ISNUMBER(SEARCH("SOPORTE PARA NB",B1654)),
ISNUMBER(SEARCH("WEBCAM",B1654)),
ISNUMBER(SEARCH("WEB CAM",B1654)),
ISNUMBER(SEARCH("MOUSE",B1654)),
ISNUMBER(SEARCH("TECLADO",B1654))
),
"COMPLEMENTO",
IF(
OR(
LEFT(A1654,2)="NB",
LEFT(A1654,2)="PC",
LEFT(A1654,2)="WS",
LEFT(A1654,2)="TB",
LEFT(A1654,3)="CEL",
LEFT(A1654,3)="MON",
LEFT(A1654,3)="PRE",
LEFT(A1654,3)="PRH",
ISNUMBER(SEARCH("NOTEBOOK",B1654)),
ISNUMBER(SEARCH("LAPTOP",B1654)),
ISNUMBER(SEARCH("MONITOR",B1654)),
ISNUMBER(SEARCH("TABLET",B1654)),
ISNUMBER(SEARCH("SMARTPH",B1654)),
ISNUMBER(SEARCH("IMPRESORA",B1654)),
ISNUMBER(SEARCH("MULTIFUNCIONAL",B1654)),
ISNUMBER(SEARCH("AIO",B1654))
),
"GANCHO",
"NORMAL"
)
)</f>
        <v>NORMAL</v>
      </c>
    </row>
    <row r="1653" spans="1:12" x14ac:dyDescent="0.25">
      <c r="A1653" s="3" t="s">
        <v>2575</v>
      </c>
      <c r="B1653" s="3" t="s">
        <v>2576</v>
      </c>
      <c r="C1653" s="1">
        <v>20</v>
      </c>
      <c r="D1653" s="1">
        <v>28.4</v>
      </c>
      <c r="E1653" s="1" t="s">
        <v>52</v>
      </c>
      <c r="F1653" s="1" t="s">
        <v>4083</v>
      </c>
      <c r="G1653" s="3" t="s">
        <v>2577</v>
      </c>
      <c r="H1653" s="11">
        <f>ROUND(
IF(L1651="GANCHO",
   IF(I1653&lt;=50,I1653*1.1+4,IF(I1653&lt;=120,I1653*1.1+7,IF(I1653&lt;=250,I1653*1.1+11,I1653*1.1+19))),
IF(L1651="NORMAL",
   IF(I1653&lt;=30,I1653*1.15+2,IF(I1653&lt;=80,I1653*1.15+4,IF(I1653&lt;=150,I1653*1.15+6,I1653*1.15+8))),
IF(L1651="COMPLEMENTO",
   IF(I1653&lt;=25,I1653*1.25+1.5,IF(I1653&lt;=60,I1653*1.25+3,IF(I1653&lt;=120,I1653*1.25+4,I1653*1.25+5))),
""))),2)</f>
        <v>149.78</v>
      </c>
      <c r="I1653" s="9">
        <f>($K$2+0.02)*Tabla1[[#This Row],[PRECIO $]]*1.18</f>
        <v>116.62175999999998</v>
      </c>
      <c r="J1653" s="7">
        <f>+Tabla1[[#This Row],[PRECIO EN SOLES]]-Tabla1[[#This Row],[PC]]</f>
        <v>33.158240000000021</v>
      </c>
      <c r="K1653" s="15"/>
      <c r="L1653" s="15" t="str">
        <f>IF(
OR(
ISNUMBER(SEARCH("BACKPACK",B1655)),
ISNUMBER(SEARCH("MOCHILA",B1655)),
ISNUMBER(SEARCH("FUNDA",B1655)),
ISNUMBER(SEARCH("ESTUCHE",B1655)),
ISNUMBER(SEARCH("BOOK COVER",B1655)),
ISNUMBER(SEARCH("KEYBOARD PARA TABLET",B1655)),
ISNUMBER(SEARCH("FLIP TABLET",B1655)),
ISNUMBER(SEARCH("CASE FOR TABLET",B1655)),
ISNUMBER(SEARCH("CABLE",B1655)),
ISNUMBER(SEARCH("ADAPTADOR",B1655)),
ISNUMBER(SEARCH("HUB",B1655)),
ISNUMBER(SEARCH("DOCK",B1655)),
ISNUMBER(SEARCH("MOUSE PAD",B1655)),
ISNUMBER(SEARCH("MOUSEPAD",B1655)),
ISNUMBER(SEARCH("SOPORTE",B1655)),
ISNUMBER(SEARCH("STAND",B1655)),
ISNUMBER(SEARCH("TRAVEL ADAPTER",B1655)),
ISNUMBER(SEARCH("RJ45",B1655)),
ISNUMBER(SEARCH("USB-C",B1655)),
ISNUMBER(SEARCH("USB WIFI",B1655)),
ISNUMBER(SEARCH("POWERBANK",B1655)),
ISNUMBER(SEARCH("CARGADOR",B1655)),
ISNUMBER(SEARCH("COOLER PARA NB",B1655)),
ISNUMBER(SEARCH("SOPORTE PARA NB",B1655)),
ISNUMBER(SEARCH("WEBCAM",B1655)),
ISNUMBER(SEARCH("WEB CAM",B1655)),
ISNUMBER(SEARCH("MOUSE",B1655)),
ISNUMBER(SEARCH("TECLADO",B1655))
),
"COMPLEMENTO",
IF(
OR(
LEFT(A1655,2)="NB",
LEFT(A1655,2)="PC",
LEFT(A1655,2)="WS",
LEFT(A1655,2)="TB",
LEFT(A1655,3)="CEL",
LEFT(A1655,3)="MON",
LEFT(A1655,3)="PRE",
LEFT(A1655,3)="PRH",
ISNUMBER(SEARCH("NOTEBOOK",B1655)),
ISNUMBER(SEARCH("LAPTOP",B1655)),
ISNUMBER(SEARCH("MONITOR",B1655)),
ISNUMBER(SEARCH("TABLET",B1655)),
ISNUMBER(SEARCH("SMARTPH",B1655)),
ISNUMBER(SEARCH("IMPRESORA",B1655)),
ISNUMBER(SEARCH("MULTIFUNCIONAL",B1655)),
ISNUMBER(SEARCH("AIO",B1655))
),
"GANCHO",
"NORMAL"
)
)</f>
        <v>NORMAL</v>
      </c>
    </row>
    <row r="1654" spans="1:12" x14ac:dyDescent="0.25">
      <c r="A1654" s="3" t="s">
        <v>551</v>
      </c>
      <c r="B1654" s="3" t="s">
        <v>552</v>
      </c>
      <c r="C1654" s="1">
        <v>20</v>
      </c>
      <c r="D1654" s="1">
        <v>52.4</v>
      </c>
      <c r="E1654" s="1" t="s">
        <v>57</v>
      </c>
      <c r="F1654" s="1" t="s">
        <v>4084</v>
      </c>
      <c r="G1654" s="3" t="s">
        <v>553</v>
      </c>
      <c r="H1654" s="11">
        <f>ROUND(
IF(L1652="GANCHO",
   IF(I1654&lt;=50,I1654*1.1+4,IF(I1654&lt;=120,I1654*1.1+7,IF(I1654&lt;=250,I1654*1.1+11,I1654*1.1+19))),
IF(L1652="NORMAL",
   IF(I1654&lt;=30,I1654*1.15+2,IF(I1654&lt;=80,I1654*1.15+4,IF(I1654&lt;=150,I1654*1.15+6,I1654*1.15+8))),
IF(L1652="COMPLEMENTO",
   IF(I1654&lt;=25,I1654*1.25+1.5,IF(I1654&lt;=60,I1654*1.25+3,IF(I1654&lt;=120,I1654*1.25+4,I1654*1.25+5))),
""))),2)</f>
        <v>255.45</v>
      </c>
      <c r="I1654" s="9">
        <f>($K$2+0.02)*Tabla1[[#This Row],[PRECIO $]]*1.18</f>
        <v>215.17535999999998</v>
      </c>
      <c r="J1654" s="7">
        <f>+Tabla1[[#This Row],[PRECIO EN SOLES]]-Tabla1[[#This Row],[PC]]</f>
        <v>40.274640000000005</v>
      </c>
      <c r="K1654" s="15"/>
      <c r="L1654" s="15" t="str">
        <f>IF(
OR(
ISNUMBER(SEARCH("BACKPACK",B1656)),
ISNUMBER(SEARCH("MOCHILA",B1656)),
ISNUMBER(SEARCH("FUNDA",B1656)),
ISNUMBER(SEARCH("ESTUCHE",B1656)),
ISNUMBER(SEARCH("BOOK COVER",B1656)),
ISNUMBER(SEARCH("KEYBOARD PARA TABLET",B1656)),
ISNUMBER(SEARCH("FLIP TABLET",B1656)),
ISNUMBER(SEARCH("CASE FOR TABLET",B1656)),
ISNUMBER(SEARCH("CABLE",B1656)),
ISNUMBER(SEARCH("ADAPTADOR",B1656)),
ISNUMBER(SEARCH("HUB",B1656)),
ISNUMBER(SEARCH("DOCK",B1656)),
ISNUMBER(SEARCH("MOUSE PAD",B1656)),
ISNUMBER(SEARCH("MOUSEPAD",B1656)),
ISNUMBER(SEARCH("SOPORTE",B1656)),
ISNUMBER(SEARCH("STAND",B1656)),
ISNUMBER(SEARCH("TRAVEL ADAPTER",B1656)),
ISNUMBER(SEARCH("RJ45",B1656)),
ISNUMBER(SEARCH("USB-C",B1656)),
ISNUMBER(SEARCH("USB WIFI",B1656)),
ISNUMBER(SEARCH("POWERBANK",B1656)),
ISNUMBER(SEARCH("CARGADOR",B1656)),
ISNUMBER(SEARCH("COOLER PARA NB",B1656)),
ISNUMBER(SEARCH("SOPORTE PARA NB",B1656)),
ISNUMBER(SEARCH("WEBCAM",B1656)),
ISNUMBER(SEARCH("WEB CAM",B1656)),
ISNUMBER(SEARCH("MOUSE",B1656)),
ISNUMBER(SEARCH("TECLADO",B1656))
),
"COMPLEMENTO",
IF(
OR(
LEFT(A1656,2)="NB",
LEFT(A1656,2)="PC",
LEFT(A1656,2)="WS",
LEFT(A1656,2)="TB",
LEFT(A1656,3)="CEL",
LEFT(A1656,3)="MON",
LEFT(A1656,3)="PRE",
LEFT(A1656,3)="PRH",
ISNUMBER(SEARCH("NOTEBOOK",B1656)),
ISNUMBER(SEARCH("LAPTOP",B1656)),
ISNUMBER(SEARCH("MONITOR",B1656)),
ISNUMBER(SEARCH("TABLET",B1656)),
ISNUMBER(SEARCH("SMARTPH",B1656)),
ISNUMBER(SEARCH("IMPRESORA",B1656)),
ISNUMBER(SEARCH("MULTIFUNCIONAL",B1656)),
ISNUMBER(SEARCH("AIO",B1656))
),
"GANCHO",
"NORMAL"
)
)</f>
        <v>COMPLEMENTO</v>
      </c>
    </row>
    <row r="1655" spans="1:12" x14ac:dyDescent="0.25">
      <c r="A1655" s="3" t="s">
        <v>554</v>
      </c>
      <c r="B1655" s="3" t="s">
        <v>555</v>
      </c>
      <c r="C1655" s="1">
        <v>20</v>
      </c>
      <c r="D1655" s="1">
        <v>57</v>
      </c>
      <c r="E1655" s="1" t="s">
        <v>52</v>
      </c>
      <c r="F1655" s="1" t="s">
        <v>4085</v>
      </c>
      <c r="G1655" s="3" t="s">
        <v>556</v>
      </c>
      <c r="H1655" s="11">
        <f>ROUND(
IF(L1653="GANCHO",
   IF(I1655&lt;=50,I1655*1.1+4,IF(I1655&lt;=120,I1655*1.1+7,IF(I1655&lt;=250,I1655*1.1+11,I1655*1.1+19))),
IF(L1653="NORMAL",
   IF(I1655&lt;=30,I1655*1.15+2,IF(I1655&lt;=80,I1655*1.15+4,IF(I1655&lt;=150,I1655*1.15+6,I1655*1.15+8))),
IF(L1653="COMPLEMENTO",
   IF(I1655&lt;=25,I1655*1.25+1.5,IF(I1655&lt;=60,I1655*1.25+3,IF(I1655&lt;=120,I1655*1.25+4,I1655*1.25+5))),
""))),2)</f>
        <v>277.17</v>
      </c>
      <c r="I1655" s="9">
        <f>($K$2+0.02)*Tabla1[[#This Row],[PRECIO $]]*1.18</f>
        <v>234.06479999999996</v>
      </c>
      <c r="J1655" s="7">
        <f>+Tabla1[[#This Row],[PRECIO EN SOLES]]-Tabla1[[#This Row],[PC]]</f>
        <v>43.105200000000053</v>
      </c>
      <c r="K1655" s="15"/>
      <c r="L1655" s="15" t="str">
        <f>IF(
OR(
ISNUMBER(SEARCH("BACKPACK",B1657)),
ISNUMBER(SEARCH("MOCHILA",B1657)),
ISNUMBER(SEARCH("FUNDA",B1657)),
ISNUMBER(SEARCH("ESTUCHE",B1657)),
ISNUMBER(SEARCH("BOOK COVER",B1657)),
ISNUMBER(SEARCH("KEYBOARD PARA TABLET",B1657)),
ISNUMBER(SEARCH("FLIP TABLET",B1657)),
ISNUMBER(SEARCH("CASE FOR TABLET",B1657)),
ISNUMBER(SEARCH("CABLE",B1657)),
ISNUMBER(SEARCH("ADAPTADOR",B1657)),
ISNUMBER(SEARCH("HUB",B1657)),
ISNUMBER(SEARCH("DOCK",B1657)),
ISNUMBER(SEARCH("MOUSE PAD",B1657)),
ISNUMBER(SEARCH("MOUSEPAD",B1657)),
ISNUMBER(SEARCH("SOPORTE",B1657)),
ISNUMBER(SEARCH("STAND",B1657)),
ISNUMBER(SEARCH("TRAVEL ADAPTER",B1657)),
ISNUMBER(SEARCH("RJ45",B1657)),
ISNUMBER(SEARCH("USB-C",B1657)),
ISNUMBER(SEARCH("USB WIFI",B1657)),
ISNUMBER(SEARCH("POWERBANK",B1657)),
ISNUMBER(SEARCH("CARGADOR",B1657)),
ISNUMBER(SEARCH("COOLER PARA NB",B1657)),
ISNUMBER(SEARCH("SOPORTE PARA NB",B1657)),
ISNUMBER(SEARCH("WEBCAM",B1657)),
ISNUMBER(SEARCH("WEB CAM",B1657)),
ISNUMBER(SEARCH("MOUSE",B1657)),
ISNUMBER(SEARCH("TECLADO",B1657))
),
"COMPLEMENTO",
IF(
OR(
LEFT(A1657,2)="NB",
LEFT(A1657,2)="PC",
LEFT(A1657,2)="WS",
LEFT(A1657,2)="TB",
LEFT(A1657,3)="CEL",
LEFT(A1657,3)="MON",
LEFT(A1657,3)="PRE",
LEFT(A1657,3)="PRH",
ISNUMBER(SEARCH("NOTEBOOK",B1657)),
ISNUMBER(SEARCH("LAPTOP",B1657)),
ISNUMBER(SEARCH("MONITOR",B1657)),
ISNUMBER(SEARCH("TABLET",B1657)),
ISNUMBER(SEARCH("SMARTPH",B1657)),
ISNUMBER(SEARCH("IMPRESORA",B1657)),
ISNUMBER(SEARCH("MULTIFUNCIONAL",B1657)),
ISNUMBER(SEARCH("AIO",B1657))
),
"GANCHO",
"NORMAL"
)
)</f>
        <v>GANCHO</v>
      </c>
    </row>
    <row r="1656" spans="1:12" x14ac:dyDescent="0.25">
      <c r="A1656" s="3" t="s">
        <v>2578</v>
      </c>
      <c r="B1656" s="3" t="s">
        <v>546</v>
      </c>
      <c r="C1656" s="1">
        <v>0</v>
      </c>
      <c r="D1656" s="1">
        <v>999</v>
      </c>
      <c r="E1656" s="1" t="s">
        <v>187</v>
      </c>
      <c r="F1656" s="1" t="s">
        <v>4086</v>
      </c>
      <c r="G1656" s="3"/>
      <c r="H1656" s="11">
        <f>ROUND(
IF(L1654="GANCHO",
   IF(I1656&lt;=50,I1656*1.1+4,IF(I1656&lt;=120,I1656*1.1+7,IF(I1656&lt;=250,I1656*1.1+11,I1656*1.1+19))),
IF(L1654="NORMAL",
   IF(I1656&lt;=30,I1656*1.15+2,IF(I1656&lt;=80,I1656*1.15+4,IF(I1656&lt;=150,I1656*1.15+6,I1656*1.15+8))),
IF(L1654="COMPLEMENTO",
   IF(I1656&lt;=25,I1656*1.25+1.5,IF(I1656&lt;=60,I1656*1.25+3,IF(I1656&lt;=120,I1656*1.25+4,I1656*1.25+5))),
""))),2)</f>
        <v>5132.87</v>
      </c>
      <c r="I1656" s="9">
        <f>($K$2+0.02)*Tabla1[[#This Row],[PRECIO $]]*1.18</f>
        <v>4102.2936</v>
      </c>
      <c r="J1656" s="7">
        <f>+Tabla1[[#This Row],[PRECIO EN SOLES]]-Tabla1[[#This Row],[PC]]</f>
        <v>1030.5763999999999</v>
      </c>
      <c r="K1656" s="15"/>
      <c r="L1656" s="15" t="str">
        <f>IF(
OR(
ISNUMBER(SEARCH("BACKPACK",B1658)),
ISNUMBER(SEARCH("MOCHILA",B1658)),
ISNUMBER(SEARCH("FUNDA",B1658)),
ISNUMBER(SEARCH("ESTUCHE",B1658)),
ISNUMBER(SEARCH("BOOK COVER",B1658)),
ISNUMBER(SEARCH("KEYBOARD PARA TABLET",B1658)),
ISNUMBER(SEARCH("FLIP TABLET",B1658)),
ISNUMBER(SEARCH("CASE FOR TABLET",B1658)),
ISNUMBER(SEARCH("CABLE",B1658)),
ISNUMBER(SEARCH("ADAPTADOR",B1658)),
ISNUMBER(SEARCH("HUB",B1658)),
ISNUMBER(SEARCH("DOCK",B1658)),
ISNUMBER(SEARCH("MOUSE PAD",B1658)),
ISNUMBER(SEARCH("MOUSEPAD",B1658)),
ISNUMBER(SEARCH("SOPORTE",B1658)),
ISNUMBER(SEARCH("STAND",B1658)),
ISNUMBER(SEARCH("TRAVEL ADAPTER",B1658)),
ISNUMBER(SEARCH("RJ45",B1658)),
ISNUMBER(SEARCH("USB-C",B1658)),
ISNUMBER(SEARCH("USB WIFI",B1658)),
ISNUMBER(SEARCH("POWERBANK",B1658)),
ISNUMBER(SEARCH("CARGADOR",B1658)),
ISNUMBER(SEARCH("COOLER PARA NB",B1658)),
ISNUMBER(SEARCH("SOPORTE PARA NB",B1658)),
ISNUMBER(SEARCH("WEBCAM",B1658)),
ISNUMBER(SEARCH("WEB CAM",B1658)),
ISNUMBER(SEARCH("MOUSE",B1658)),
ISNUMBER(SEARCH("TECLADO",B1658))
),
"COMPLEMENTO",
IF(
OR(
LEFT(A1658,2)="NB",
LEFT(A1658,2)="PC",
LEFT(A1658,2)="WS",
LEFT(A1658,2)="TB",
LEFT(A1658,3)="CEL",
LEFT(A1658,3)="MON",
LEFT(A1658,3)="PRE",
LEFT(A1658,3)="PRH",
ISNUMBER(SEARCH("NOTEBOOK",B1658)),
ISNUMBER(SEARCH("LAPTOP",B1658)),
ISNUMBER(SEARCH("MONITOR",B1658)),
ISNUMBER(SEARCH("TABLET",B1658)),
ISNUMBER(SEARCH("SMARTPH",B1658)),
ISNUMBER(SEARCH("IMPRESORA",B1658)),
ISNUMBER(SEARCH("MULTIFUNCIONAL",B1658)),
ISNUMBER(SEARCH("AIO",B1658))
),
"GANCHO",
"NORMAL"
)
)</f>
        <v>GANCHO</v>
      </c>
    </row>
    <row r="1657" spans="1:12" x14ac:dyDescent="0.25">
      <c r="A1657" s="3" t="s">
        <v>6366</v>
      </c>
      <c r="B1657" s="3" t="s">
        <v>6367</v>
      </c>
      <c r="C1657" s="1">
        <v>4</v>
      </c>
      <c r="D1657" s="1">
        <v>180.25</v>
      </c>
      <c r="E1657" s="1" t="s">
        <v>557</v>
      </c>
      <c r="F1657" s="1" t="s">
        <v>6368</v>
      </c>
      <c r="G1657" s="3" t="s">
        <v>6369</v>
      </c>
      <c r="H1657" s="11">
        <f>ROUND(
IF(L1655="GANCHO",
   IF(I1657&lt;=50,I1657*1.1+4,IF(I1657&lt;=120,I1657*1.1+7,IF(I1657&lt;=250,I1657*1.1+11,I1657*1.1+19))),
IF(L1655="NORMAL",
   IF(I1657&lt;=30,I1657*1.15+2,IF(I1657&lt;=80,I1657*1.15+4,IF(I1657&lt;=150,I1657*1.15+6,I1657*1.15+8))),
IF(L1655="COMPLEMENTO",
   IF(I1657&lt;=25,I1657*1.25+1.5,IF(I1657&lt;=60,I1657*1.25+3,IF(I1657&lt;=120,I1657*1.25+4,I1657*1.25+5))),
""))),2)</f>
        <v>833.2</v>
      </c>
      <c r="I1657" s="9">
        <f>($K$2+0.02)*Tabla1[[#This Row],[PRECIO $]]*1.18</f>
        <v>740.17859999999996</v>
      </c>
      <c r="J1657" s="7">
        <f>+Tabla1[[#This Row],[PRECIO EN SOLES]]-Tabla1[[#This Row],[PC]]</f>
        <v>93.021400000000085</v>
      </c>
      <c r="K1657" s="15"/>
      <c r="L1657" s="15" t="str">
        <f>IF(
OR(
ISNUMBER(SEARCH("BACKPACK",B1659)),
ISNUMBER(SEARCH("MOCHILA",B1659)),
ISNUMBER(SEARCH("FUNDA",B1659)),
ISNUMBER(SEARCH("ESTUCHE",B1659)),
ISNUMBER(SEARCH("BOOK COVER",B1659)),
ISNUMBER(SEARCH("KEYBOARD PARA TABLET",B1659)),
ISNUMBER(SEARCH("FLIP TABLET",B1659)),
ISNUMBER(SEARCH("CASE FOR TABLET",B1659)),
ISNUMBER(SEARCH("CABLE",B1659)),
ISNUMBER(SEARCH("ADAPTADOR",B1659)),
ISNUMBER(SEARCH("HUB",B1659)),
ISNUMBER(SEARCH("DOCK",B1659)),
ISNUMBER(SEARCH("MOUSE PAD",B1659)),
ISNUMBER(SEARCH("MOUSEPAD",B1659)),
ISNUMBER(SEARCH("SOPORTE",B1659)),
ISNUMBER(SEARCH("STAND",B1659)),
ISNUMBER(SEARCH("TRAVEL ADAPTER",B1659)),
ISNUMBER(SEARCH("RJ45",B1659)),
ISNUMBER(SEARCH("USB-C",B1659)),
ISNUMBER(SEARCH("USB WIFI",B1659)),
ISNUMBER(SEARCH("POWERBANK",B1659)),
ISNUMBER(SEARCH("CARGADOR",B1659)),
ISNUMBER(SEARCH("COOLER PARA NB",B1659)),
ISNUMBER(SEARCH("SOPORTE PARA NB",B1659)),
ISNUMBER(SEARCH("WEBCAM",B1659)),
ISNUMBER(SEARCH("WEB CAM",B1659)),
ISNUMBER(SEARCH("MOUSE",B1659)),
ISNUMBER(SEARCH("TECLADO",B1659))
),
"COMPLEMENTO",
IF(
OR(
LEFT(A1659,2)="NB",
LEFT(A1659,2)="PC",
LEFT(A1659,2)="WS",
LEFT(A1659,2)="TB",
LEFT(A1659,3)="CEL",
LEFT(A1659,3)="MON",
LEFT(A1659,3)="PRE",
LEFT(A1659,3)="PRH",
ISNUMBER(SEARCH("NOTEBOOK",B1659)),
ISNUMBER(SEARCH("LAPTOP",B1659)),
ISNUMBER(SEARCH("MONITOR",B1659)),
ISNUMBER(SEARCH("TABLET",B1659)),
ISNUMBER(SEARCH("SMARTPH",B1659)),
ISNUMBER(SEARCH("IMPRESORA",B1659)),
ISNUMBER(SEARCH("MULTIFUNCIONAL",B1659)),
ISNUMBER(SEARCH("AIO",B1659))
),
"GANCHO",
"NORMAL"
)
)</f>
        <v>GANCHO</v>
      </c>
    </row>
    <row r="1658" spans="1:12" x14ac:dyDescent="0.25">
      <c r="A1658" s="3" t="s">
        <v>559</v>
      </c>
      <c r="B1658" s="3" t="s">
        <v>560</v>
      </c>
      <c r="C1658" s="1">
        <v>20</v>
      </c>
      <c r="D1658" s="1">
        <v>90.6</v>
      </c>
      <c r="E1658" s="1" t="s">
        <v>557</v>
      </c>
      <c r="F1658" s="1" t="s">
        <v>4087</v>
      </c>
      <c r="G1658" s="3" t="s">
        <v>561</v>
      </c>
      <c r="H1658" s="11">
        <f>ROUND(
IF(L1656="GANCHO",
   IF(I1658&lt;=50,I1658*1.1+4,IF(I1658&lt;=120,I1658*1.1+7,IF(I1658&lt;=250,I1658*1.1+11,I1658*1.1+19))),
IF(L1656="NORMAL",
   IF(I1658&lt;=30,I1658*1.15+2,IF(I1658&lt;=80,I1658*1.15+4,IF(I1658&lt;=150,I1658*1.15+6,I1658*1.15+8))),
IF(L1656="COMPLEMENTO",
   IF(I1658&lt;=25,I1658*1.25+1.5,IF(I1658&lt;=60,I1658*1.25+3,IF(I1658&lt;=120,I1658*1.25+4,I1658*1.25+5))),
""))),2)</f>
        <v>428.24</v>
      </c>
      <c r="I1658" s="9">
        <f>($K$2+0.02)*Tabla1[[#This Row],[PRECIO $]]*1.18</f>
        <v>372.03983999999991</v>
      </c>
      <c r="J1658" s="7">
        <f>+Tabla1[[#This Row],[PRECIO EN SOLES]]-Tabla1[[#This Row],[PC]]</f>
        <v>56.200160000000096</v>
      </c>
      <c r="K1658" s="15"/>
      <c r="L1658" s="15" t="str">
        <f>IF(
OR(
ISNUMBER(SEARCH("BACKPACK",B1660)),
ISNUMBER(SEARCH("MOCHILA",B1660)),
ISNUMBER(SEARCH("FUNDA",B1660)),
ISNUMBER(SEARCH("ESTUCHE",B1660)),
ISNUMBER(SEARCH("BOOK COVER",B1660)),
ISNUMBER(SEARCH("KEYBOARD PARA TABLET",B1660)),
ISNUMBER(SEARCH("FLIP TABLET",B1660)),
ISNUMBER(SEARCH("CASE FOR TABLET",B1660)),
ISNUMBER(SEARCH("CABLE",B1660)),
ISNUMBER(SEARCH("ADAPTADOR",B1660)),
ISNUMBER(SEARCH("HUB",B1660)),
ISNUMBER(SEARCH("DOCK",B1660)),
ISNUMBER(SEARCH("MOUSE PAD",B1660)),
ISNUMBER(SEARCH("MOUSEPAD",B1660)),
ISNUMBER(SEARCH("SOPORTE",B1660)),
ISNUMBER(SEARCH("STAND",B1660)),
ISNUMBER(SEARCH("TRAVEL ADAPTER",B1660)),
ISNUMBER(SEARCH("RJ45",B1660)),
ISNUMBER(SEARCH("USB-C",B1660)),
ISNUMBER(SEARCH("USB WIFI",B1660)),
ISNUMBER(SEARCH("POWERBANK",B1660)),
ISNUMBER(SEARCH("CARGADOR",B1660)),
ISNUMBER(SEARCH("COOLER PARA NB",B1660)),
ISNUMBER(SEARCH("SOPORTE PARA NB",B1660)),
ISNUMBER(SEARCH("WEBCAM",B1660)),
ISNUMBER(SEARCH("WEB CAM",B1660)),
ISNUMBER(SEARCH("MOUSE",B1660)),
ISNUMBER(SEARCH("TECLADO",B1660))
),
"COMPLEMENTO",
IF(
OR(
LEFT(A1660,2)="NB",
LEFT(A1660,2)="PC",
LEFT(A1660,2)="WS",
LEFT(A1660,2)="TB",
LEFT(A1660,3)="CEL",
LEFT(A1660,3)="MON",
LEFT(A1660,3)="PRE",
LEFT(A1660,3)="PRH",
ISNUMBER(SEARCH("NOTEBOOK",B1660)),
ISNUMBER(SEARCH("LAPTOP",B1660)),
ISNUMBER(SEARCH("MONITOR",B1660)),
ISNUMBER(SEARCH("TABLET",B1660)),
ISNUMBER(SEARCH("SMARTPH",B1660)),
ISNUMBER(SEARCH("IMPRESORA",B1660)),
ISNUMBER(SEARCH("MULTIFUNCIONAL",B1660)),
ISNUMBER(SEARCH("AIO",B1660))
),
"GANCHO",
"NORMAL"
)
)</f>
        <v>GANCHO</v>
      </c>
    </row>
    <row r="1659" spans="1:12" x14ac:dyDescent="0.25">
      <c r="A1659" s="3" t="s">
        <v>562</v>
      </c>
      <c r="B1659" s="3" t="s">
        <v>563</v>
      </c>
      <c r="C1659" s="1">
        <v>20</v>
      </c>
      <c r="D1659" s="1">
        <v>90.6</v>
      </c>
      <c r="E1659" s="1" t="s">
        <v>557</v>
      </c>
      <c r="F1659" s="1" t="s">
        <v>4088</v>
      </c>
      <c r="G1659" s="3" t="s">
        <v>558</v>
      </c>
      <c r="H1659" s="11">
        <f>ROUND(
IF(L1657="GANCHO",
   IF(I1659&lt;=50,I1659*1.1+4,IF(I1659&lt;=120,I1659*1.1+7,IF(I1659&lt;=250,I1659*1.1+11,I1659*1.1+19))),
IF(L1657="NORMAL",
   IF(I1659&lt;=30,I1659*1.15+2,IF(I1659&lt;=80,I1659*1.15+4,IF(I1659&lt;=150,I1659*1.15+6,I1659*1.15+8))),
IF(L1657="COMPLEMENTO",
   IF(I1659&lt;=25,I1659*1.25+1.5,IF(I1659&lt;=60,I1659*1.25+3,IF(I1659&lt;=120,I1659*1.25+4,I1659*1.25+5))),
""))),2)</f>
        <v>428.24</v>
      </c>
      <c r="I1659" s="9">
        <f>($K$2+0.02)*Tabla1[[#This Row],[PRECIO $]]*1.18</f>
        <v>372.03983999999991</v>
      </c>
      <c r="J1659" s="7">
        <f>+Tabla1[[#This Row],[PRECIO EN SOLES]]-Tabla1[[#This Row],[PC]]</f>
        <v>56.200160000000096</v>
      </c>
      <c r="K1659" s="15"/>
      <c r="L1659" s="15" t="str">
        <f>IF(
OR(
ISNUMBER(SEARCH("BACKPACK",B1661)),
ISNUMBER(SEARCH("MOCHILA",B1661)),
ISNUMBER(SEARCH("FUNDA",B1661)),
ISNUMBER(SEARCH("ESTUCHE",B1661)),
ISNUMBER(SEARCH("BOOK COVER",B1661)),
ISNUMBER(SEARCH("KEYBOARD PARA TABLET",B1661)),
ISNUMBER(SEARCH("FLIP TABLET",B1661)),
ISNUMBER(SEARCH("CASE FOR TABLET",B1661)),
ISNUMBER(SEARCH("CABLE",B1661)),
ISNUMBER(SEARCH("ADAPTADOR",B1661)),
ISNUMBER(SEARCH("HUB",B1661)),
ISNUMBER(SEARCH("DOCK",B1661)),
ISNUMBER(SEARCH("MOUSE PAD",B1661)),
ISNUMBER(SEARCH("MOUSEPAD",B1661)),
ISNUMBER(SEARCH("SOPORTE",B1661)),
ISNUMBER(SEARCH("STAND",B1661)),
ISNUMBER(SEARCH("TRAVEL ADAPTER",B1661)),
ISNUMBER(SEARCH("RJ45",B1661)),
ISNUMBER(SEARCH("USB-C",B1661)),
ISNUMBER(SEARCH("USB WIFI",B1661)),
ISNUMBER(SEARCH("POWERBANK",B1661)),
ISNUMBER(SEARCH("CARGADOR",B1661)),
ISNUMBER(SEARCH("COOLER PARA NB",B1661)),
ISNUMBER(SEARCH("SOPORTE PARA NB",B1661)),
ISNUMBER(SEARCH("WEBCAM",B1661)),
ISNUMBER(SEARCH("WEB CAM",B1661)),
ISNUMBER(SEARCH("MOUSE",B1661)),
ISNUMBER(SEARCH("TECLADO",B1661))
),
"COMPLEMENTO",
IF(
OR(
LEFT(A1661,2)="NB",
LEFT(A1661,2)="PC",
LEFT(A1661,2)="WS",
LEFT(A1661,2)="TB",
LEFT(A1661,3)="CEL",
LEFT(A1661,3)="MON",
LEFT(A1661,3)="PRE",
LEFT(A1661,3)="PRH",
ISNUMBER(SEARCH("NOTEBOOK",B1661)),
ISNUMBER(SEARCH("LAPTOP",B1661)),
ISNUMBER(SEARCH("MONITOR",B1661)),
ISNUMBER(SEARCH("TABLET",B1661)),
ISNUMBER(SEARCH("SMARTPH",B1661)),
ISNUMBER(SEARCH("IMPRESORA",B1661)),
ISNUMBER(SEARCH("MULTIFUNCIONAL",B1661)),
ISNUMBER(SEARCH("AIO",B1661))
),
"GANCHO",
"NORMAL"
)
)</f>
        <v>GANCHO</v>
      </c>
    </row>
    <row r="1660" spans="1:12" x14ac:dyDescent="0.25">
      <c r="A1660" s="3" t="s">
        <v>2579</v>
      </c>
      <c r="B1660" s="3" t="s">
        <v>2580</v>
      </c>
      <c r="C1660" s="1">
        <v>20</v>
      </c>
      <c r="D1660" s="1">
        <v>80.099999999999994</v>
      </c>
      <c r="E1660" s="1" t="s">
        <v>557</v>
      </c>
      <c r="F1660" s="1" t="s">
        <v>4089</v>
      </c>
      <c r="G1660" s="10" t="s">
        <v>2581</v>
      </c>
      <c r="H1660" s="11">
        <f>ROUND(
IF(L1658="GANCHO",
   IF(I1660&lt;=50,I1660*1.1+4,IF(I1660&lt;=120,I1660*1.1+7,IF(I1660&lt;=250,I1660*1.1+11,I1660*1.1+19))),
IF(L1658="NORMAL",
   IF(I1660&lt;=30,I1660*1.15+2,IF(I1660&lt;=80,I1660*1.15+4,IF(I1660&lt;=150,I1660*1.15+6,I1660*1.15+8))),
IF(L1658="COMPLEMENTO",
   IF(I1660&lt;=25,I1660*1.25+1.5,IF(I1660&lt;=60,I1660*1.25+3,IF(I1660&lt;=120,I1660*1.25+4,I1660*1.25+5))),
""))),2)</f>
        <v>380.81</v>
      </c>
      <c r="I1660" s="9">
        <f>($K$2+0.02)*Tabla1[[#This Row],[PRECIO $]]*1.18</f>
        <v>328.92263999999994</v>
      </c>
      <c r="J1660" s="7">
        <f>+Tabla1[[#This Row],[PRECIO EN SOLES]]-Tabla1[[#This Row],[PC]]</f>
        <v>51.887360000000058</v>
      </c>
      <c r="K1660" s="15"/>
      <c r="L1660" s="15" t="str">
        <f>IF(
OR(
ISNUMBER(SEARCH("BACKPACK",B1662)),
ISNUMBER(SEARCH("MOCHILA",B1662)),
ISNUMBER(SEARCH("FUNDA",B1662)),
ISNUMBER(SEARCH("ESTUCHE",B1662)),
ISNUMBER(SEARCH("BOOK COVER",B1662)),
ISNUMBER(SEARCH("KEYBOARD PARA TABLET",B1662)),
ISNUMBER(SEARCH("FLIP TABLET",B1662)),
ISNUMBER(SEARCH("CASE FOR TABLET",B1662)),
ISNUMBER(SEARCH("CABLE",B1662)),
ISNUMBER(SEARCH("ADAPTADOR",B1662)),
ISNUMBER(SEARCH("HUB",B1662)),
ISNUMBER(SEARCH("DOCK",B1662)),
ISNUMBER(SEARCH("MOUSE PAD",B1662)),
ISNUMBER(SEARCH("MOUSEPAD",B1662)),
ISNUMBER(SEARCH("SOPORTE",B1662)),
ISNUMBER(SEARCH("STAND",B1662)),
ISNUMBER(SEARCH("TRAVEL ADAPTER",B1662)),
ISNUMBER(SEARCH("RJ45",B1662)),
ISNUMBER(SEARCH("USB-C",B1662)),
ISNUMBER(SEARCH("USB WIFI",B1662)),
ISNUMBER(SEARCH("POWERBANK",B1662)),
ISNUMBER(SEARCH("CARGADOR",B1662)),
ISNUMBER(SEARCH("COOLER PARA NB",B1662)),
ISNUMBER(SEARCH("SOPORTE PARA NB",B1662)),
ISNUMBER(SEARCH("WEBCAM",B1662)),
ISNUMBER(SEARCH("WEB CAM",B1662)),
ISNUMBER(SEARCH("MOUSE",B1662)),
ISNUMBER(SEARCH("TECLADO",B1662))
),
"COMPLEMENTO",
IF(
OR(
LEFT(A1662,2)="NB",
LEFT(A1662,2)="PC",
LEFT(A1662,2)="WS",
LEFT(A1662,2)="TB",
LEFT(A1662,3)="CEL",
LEFT(A1662,3)="MON",
LEFT(A1662,3)="PRE",
LEFT(A1662,3)="PRH",
ISNUMBER(SEARCH("NOTEBOOK",B1662)),
ISNUMBER(SEARCH("LAPTOP",B1662)),
ISNUMBER(SEARCH("MONITOR",B1662)),
ISNUMBER(SEARCH("TABLET",B1662)),
ISNUMBER(SEARCH("SMARTPH",B1662)),
ISNUMBER(SEARCH("IMPRESORA",B1662)),
ISNUMBER(SEARCH("MULTIFUNCIONAL",B1662)),
ISNUMBER(SEARCH("AIO",B1662))
),
"GANCHO",
"NORMAL"
)
)</f>
        <v>GANCHO</v>
      </c>
    </row>
    <row r="1661" spans="1:12" x14ac:dyDescent="0.25">
      <c r="A1661" s="3" t="s">
        <v>564</v>
      </c>
      <c r="B1661" s="3" t="s">
        <v>565</v>
      </c>
      <c r="C1661" s="1">
        <v>7</v>
      </c>
      <c r="D1661" s="1">
        <v>80.099999999999994</v>
      </c>
      <c r="E1661" s="1" t="s">
        <v>557</v>
      </c>
      <c r="F1661" s="1" t="s">
        <v>4090</v>
      </c>
      <c r="G1661" s="3" t="s">
        <v>566</v>
      </c>
      <c r="H1661" s="11">
        <f>ROUND(
IF(L1659="GANCHO",
   IF(I1661&lt;=50,I1661*1.1+4,IF(I1661&lt;=120,I1661*1.1+7,IF(I1661&lt;=250,I1661*1.1+11,I1661*1.1+19))),
IF(L1659="NORMAL",
   IF(I1661&lt;=30,I1661*1.15+2,IF(I1661&lt;=80,I1661*1.15+4,IF(I1661&lt;=150,I1661*1.15+6,I1661*1.15+8))),
IF(L1659="COMPLEMENTO",
   IF(I1661&lt;=25,I1661*1.25+1.5,IF(I1661&lt;=60,I1661*1.25+3,IF(I1661&lt;=120,I1661*1.25+4,I1661*1.25+5))),
""))),2)</f>
        <v>380.81</v>
      </c>
      <c r="I1661" s="9">
        <f>($K$2+0.02)*Tabla1[[#This Row],[PRECIO $]]*1.18</f>
        <v>328.92263999999994</v>
      </c>
      <c r="J1661" s="7">
        <f>+Tabla1[[#This Row],[PRECIO EN SOLES]]-Tabla1[[#This Row],[PC]]</f>
        <v>51.887360000000058</v>
      </c>
      <c r="K1661" s="15"/>
      <c r="L1661" s="15" t="str">
        <f>IF(
OR(
ISNUMBER(SEARCH("BACKPACK",B1663)),
ISNUMBER(SEARCH("MOCHILA",B1663)),
ISNUMBER(SEARCH("FUNDA",B1663)),
ISNUMBER(SEARCH("ESTUCHE",B1663)),
ISNUMBER(SEARCH("BOOK COVER",B1663)),
ISNUMBER(SEARCH("KEYBOARD PARA TABLET",B1663)),
ISNUMBER(SEARCH("FLIP TABLET",B1663)),
ISNUMBER(SEARCH("CASE FOR TABLET",B1663)),
ISNUMBER(SEARCH("CABLE",B1663)),
ISNUMBER(SEARCH("ADAPTADOR",B1663)),
ISNUMBER(SEARCH("HUB",B1663)),
ISNUMBER(SEARCH("DOCK",B1663)),
ISNUMBER(SEARCH("MOUSE PAD",B1663)),
ISNUMBER(SEARCH("MOUSEPAD",B1663)),
ISNUMBER(SEARCH("SOPORTE",B1663)),
ISNUMBER(SEARCH("STAND",B1663)),
ISNUMBER(SEARCH("TRAVEL ADAPTER",B1663)),
ISNUMBER(SEARCH("RJ45",B1663)),
ISNUMBER(SEARCH("USB-C",B1663)),
ISNUMBER(SEARCH("USB WIFI",B1663)),
ISNUMBER(SEARCH("POWERBANK",B1663)),
ISNUMBER(SEARCH("CARGADOR",B1663)),
ISNUMBER(SEARCH("COOLER PARA NB",B1663)),
ISNUMBER(SEARCH("SOPORTE PARA NB",B1663)),
ISNUMBER(SEARCH("WEBCAM",B1663)),
ISNUMBER(SEARCH("WEB CAM",B1663)),
ISNUMBER(SEARCH("MOUSE",B1663)),
ISNUMBER(SEARCH("TECLADO",B1663))
),
"COMPLEMENTO",
IF(
OR(
LEFT(A1663,2)="NB",
LEFT(A1663,2)="PC",
LEFT(A1663,2)="WS",
LEFT(A1663,2)="TB",
LEFT(A1663,3)="CEL",
LEFT(A1663,3)="MON",
LEFT(A1663,3)="PRE",
LEFT(A1663,3)="PRH",
ISNUMBER(SEARCH("NOTEBOOK",B1663)),
ISNUMBER(SEARCH("LAPTOP",B1663)),
ISNUMBER(SEARCH("MONITOR",B1663)),
ISNUMBER(SEARCH("TABLET",B1663)),
ISNUMBER(SEARCH("SMARTPH",B1663)),
ISNUMBER(SEARCH("IMPRESORA",B1663)),
ISNUMBER(SEARCH("MULTIFUNCIONAL",B1663)),
ISNUMBER(SEARCH("AIO",B1663))
),
"GANCHO",
"NORMAL"
)
)</f>
        <v>GANCHO</v>
      </c>
    </row>
    <row r="1662" spans="1:12" x14ac:dyDescent="0.25">
      <c r="A1662" s="3" t="s">
        <v>6141</v>
      </c>
      <c r="B1662" s="3" t="s">
        <v>6142</v>
      </c>
      <c r="C1662" s="1">
        <v>0</v>
      </c>
      <c r="D1662" s="1">
        <v>177</v>
      </c>
      <c r="E1662" s="1" t="s">
        <v>54</v>
      </c>
      <c r="F1662" s="1" t="s">
        <v>6143</v>
      </c>
      <c r="G1662" s="3" t="s">
        <v>6144</v>
      </c>
      <c r="H1662" s="11">
        <f>ROUND(
IF(L1660="GANCHO",
   IF(I1662&lt;=50,I1662*1.1+4,IF(I1662&lt;=120,I1662*1.1+7,IF(I1662&lt;=250,I1662*1.1+11,I1662*1.1+19))),
IF(L1660="NORMAL",
   IF(I1662&lt;=30,I1662*1.15+2,IF(I1662&lt;=80,I1662*1.15+4,IF(I1662&lt;=150,I1662*1.15+6,I1662*1.15+8))),
IF(L1660="COMPLEMENTO",
   IF(I1662&lt;=25,I1662*1.25+1.5,IF(I1662&lt;=60,I1662*1.25+3,IF(I1662&lt;=120,I1662*1.25+4,I1662*1.25+5))),
""))),2)</f>
        <v>818.52</v>
      </c>
      <c r="I1662" s="9">
        <f>($K$2+0.02)*Tabla1[[#This Row],[PRECIO $]]*1.18</f>
        <v>726.83280000000002</v>
      </c>
      <c r="J1662" s="7">
        <f>+Tabla1[[#This Row],[PRECIO EN SOLES]]-Tabla1[[#This Row],[PC]]</f>
        <v>91.687199999999962</v>
      </c>
      <c r="K1662" s="15"/>
      <c r="L1662" s="15" t="str">
        <f>IF(
OR(
ISNUMBER(SEARCH("BACKPACK",B1664)),
ISNUMBER(SEARCH("MOCHILA",B1664)),
ISNUMBER(SEARCH("FUNDA",B1664)),
ISNUMBER(SEARCH("ESTUCHE",B1664)),
ISNUMBER(SEARCH("BOOK COVER",B1664)),
ISNUMBER(SEARCH("KEYBOARD PARA TABLET",B1664)),
ISNUMBER(SEARCH("FLIP TABLET",B1664)),
ISNUMBER(SEARCH("CASE FOR TABLET",B1664)),
ISNUMBER(SEARCH("CABLE",B1664)),
ISNUMBER(SEARCH("ADAPTADOR",B1664)),
ISNUMBER(SEARCH("HUB",B1664)),
ISNUMBER(SEARCH("DOCK",B1664)),
ISNUMBER(SEARCH("MOUSE PAD",B1664)),
ISNUMBER(SEARCH("MOUSEPAD",B1664)),
ISNUMBER(SEARCH("SOPORTE",B1664)),
ISNUMBER(SEARCH("STAND",B1664)),
ISNUMBER(SEARCH("TRAVEL ADAPTER",B1664)),
ISNUMBER(SEARCH("RJ45",B1664)),
ISNUMBER(SEARCH("USB-C",B1664)),
ISNUMBER(SEARCH("USB WIFI",B1664)),
ISNUMBER(SEARCH("POWERBANK",B1664)),
ISNUMBER(SEARCH("CARGADOR",B1664)),
ISNUMBER(SEARCH("COOLER PARA NB",B1664)),
ISNUMBER(SEARCH("SOPORTE PARA NB",B1664)),
ISNUMBER(SEARCH("WEBCAM",B1664)),
ISNUMBER(SEARCH("WEB CAM",B1664)),
ISNUMBER(SEARCH("MOUSE",B1664)),
ISNUMBER(SEARCH("TECLADO",B1664))
),
"COMPLEMENTO",
IF(
OR(
LEFT(A1664,2)="NB",
LEFT(A1664,2)="PC",
LEFT(A1664,2)="WS",
LEFT(A1664,2)="TB",
LEFT(A1664,3)="CEL",
LEFT(A1664,3)="MON",
LEFT(A1664,3)="PRE",
LEFT(A1664,3)="PRH",
ISNUMBER(SEARCH("NOTEBOOK",B1664)),
ISNUMBER(SEARCH("LAPTOP",B1664)),
ISNUMBER(SEARCH("MONITOR",B1664)),
ISNUMBER(SEARCH("TABLET",B1664)),
ISNUMBER(SEARCH("SMARTPH",B1664)),
ISNUMBER(SEARCH("IMPRESORA",B1664)),
ISNUMBER(SEARCH("MULTIFUNCIONAL",B1664)),
ISNUMBER(SEARCH("AIO",B1664))
),
"GANCHO",
"NORMAL"
)
)</f>
        <v>GANCHO</v>
      </c>
    </row>
    <row r="1663" spans="1:12" x14ac:dyDescent="0.25">
      <c r="A1663" s="3" t="s">
        <v>6370</v>
      </c>
      <c r="B1663" s="3" t="s">
        <v>6371</v>
      </c>
      <c r="C1663" s="1">
        <v>20</v>
      </c>
      <c r="D1663" s="1">
        <v>97</v>
      </c>
      <c r="E1663" s="1" t="s">
        <v>54</v>
      </c>
      <c r="F1663" s="1" t="s">
        <v>6372</v>
      </c>
      <c r="G1663" s="3" t="s">
        <v>6373</v>
      </c>
      <c r="H1663" s="11">
        <f>ROUND(
IF(L1661="GANCHO",
   IF(I1663&lt;=50,I1663*1.1+4,IF(I1663&lt;=120,I1663*1.1+7,IF(I1663&lt;=250,I1663*1.1+11,I1663*1.1+19))),
IF(L1661="NORMAL",
   IF(I1663&lt;=30,I1663*1.15+2,IF(I1663&lt;=80,I1663*1.15+4,IF(I1663&lt;=150,I1663*1.15+6,I1663*1.15+8))),
IF(L1661="COMPLEMENTO",
   IF(I1663&lt;=25,I1663*1.25+1.5,IF(I1663&lt;=60,I1663*1.25+3,IF(I1663&lt;=120,I1663*1.25+4,I1663*1.25+5))),
""))),2)</f>
        <v>457.15</v>
      </c>
      <c r="I1663" s="9">
        <f>($K$2+0.02)*Tabla1[[#This Row],[PRECIO $]]*1.18</f>
        <v>398.32079999999996</v>
      </c>
      <c r="J1663" s="7">
        <f>+Tabla1[[#This Row],[PRECIO EN SOLES]]-Tabla1[[#This Row],[PC]]</f>
        <v>58.829200000000014</v>
      </c>
      <c r="K1663" s="15"/>
      <c r="L1663" s="15" t="str">
        <f>IF(
OR(
ISNUMBER(SEARCH("BACKPACK",B1665)),
ISNUMBER(SEARCH("MOCHILA",B1665)),
ISNUMBER(SEARCH("FUNDA",B1665)),
ISNUMBER(SEARCH("ESTUCHE",B1665)),
ISNUMBER(SEARCH("BOOK COVER",B1665)),
ISNUMBER(SEARCH("KEYBOARD PARA TABLET",B1665)),
ISNUMBER(SEARCH("FLIP TABLET",B1665)),
ISNUMBER(SEARCH("CASE FOR TABLET",B1665)),
ISNUMBER(SEARCH("CABLE",B1665)),
ISNUMBER(SEARCH("ADAPTADOR",B1665)),
ISNUMBER(SEARCH("HUB",B1665)),
ISNUMBER(SEARCH("DOCK",B1665)),
ISNUMBER(SEARCH("MOUSE PAD",B1665)),
ISNUMBER(SEARCH("MOUSEPAD",B1665)),
ISNUMBER(SEARCH("SOPORTE",B1665)),
ISNUMBER(SEARCH("STAND",B1665)),
ISNUMBER(SEARCH("TRAVEL ADAPTER",B1665)),
ISNUMBER(SEARCH("RJ45",B1665)),
ISNUMBER(SEARCH("USB-C",B1665)),
ISNUMBER(SEARCH("USB WIFI",B1665)),
ISNUMBER(SEARCH("POWERBANK",B1665)),
ISNUMBER(SEARCH("CARGADOR",B1665)),
ISNUMBER(SEARCH("COOLER PARA NB",B1665)),
ISNUMBER(SEARCH("SOPORTE PARA NB",B1665)),
ISNUMBER(SEARCH("WEBCAM",B1665)),
ISNUMBER(SEARCH("WEB CAM",B1665)),
ISNUMBER(SEARCH("MOUSE",B1665)),
ISNUMBER(SEARCH("TECLADO",B1665))
),
"COMPLEMENTO",
IF(
OR(
LEFT(A1665,2)="NB",
LEFT(A1665,2)="PC",
LEFT(A1665,2)="WS",
LEFT(A1665,2)="TB",
LEFT(A1665,3)="CEL",
LEFT(A1665,3)="MON",
LEFT(A1665,3)="PRE",
LEFT(A1665,3)="PRH",
ISNUMBER(SEARCH("NOTEBOOK",B1665)),
ISNUMBER(SEARCH("LAPTOP",B1665)),
ISNUMBER(SEARCH("MONITOR",B1665)),
ISNUMBER(SEARCH("TABLET",B1665)),
ISNUMBER(SEARCH("SMARTPH",B1665)),
ISNUMBER(SEARCH("IMPRESORA",B1665)),
ISNUMBER(SEARCH("MULTIFUNCIONAL",B1665)),
ISNUMBER(SEARCH("AIO",B1665))
),
"GANCHO",
"NORMAL"
)
)</f>
        <v>GANCHO</v>
      </c>
    </row>
    <row r="1664" spans="1:12" x14ac:dyDescent="0.25">
      <c r="A1664" s="3" t="s">
        <v>6145</v>
      </c>
      <c r="B1664" s="3" t="s">
        <v>2583</v>
      </c>
      <c r="C1664" s="1">
        <v>20</v>
      </c>
      <c r="D1664" s="1">
        <v>144.19999999999999</v>
      </c>
      <c r="E1664" s="1" t="s">
        <v>54</v>
      </c>
      <c r="F1664" s="1" t="s">
        <v>6146</v>
      </c>
      <c r="G1664" s="3" t="s">
        <v>6147</v>
      </c>
      <c r="H1664" s="11">
        <f>ROUND(
IF(L1662="GANCHO",
   IF(I1664&lt;=50,I1664*1.1+4,IF(I1664&lt;=120,I1664*1.1+7,IF(I1664&lt;=250,I1664*1.1+11,I1664*1.1+19))),
IF(L1662="NORMAL",
   IF(I1664&lt;=30,I1664*1.15+2,IF(I1664&lt;=80,I1664*1.15+4,IF(I1664&lt;=150,I1664*1.15+6,I1664*1.15+8))),
IF(L1662="COMPLEMENTO",
   IF(I1664&lt;=25,I1664*1.25+1.5,IF(I1664&lt;=60,I1664*1.25+3,IF(I1664&lt;=120,I1664*1.25+4,I1664*1.25+5))),
""))),2)</f>
        <v>670.36</v>
      </c>
      <c r="I1664" s="9">
        <f>($K$2+0.02)*Tabla1[[#This Row],[PRECIO $]]*1.18</f>
        <v>592.14287999999999</v>
      </c>
      <c r="J1664" s="7">
        <f>+Tabla1[[#This Row],[PRECIO EN SOLES]]-Tabla1[[#This Row],[PC]]</f>
        <v>78.217120000000023</v>
      </c>
      <c r="K1664" s="15"/>
      <c r="L1664" s="15" t="str">
        <f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GANCHO</v>
      </c>
    </row>
    <row r="1665" spans="1:12" x14ac:dyDescent="0.25">
      <c r="A1665" s="3" t="s">
        <v>2582</v>
      </c>
      <c r="B1665" s="3" t="s">
        <v>2583</v>
      </c>
      <c r="C1665" s="1">
        <v>20</v>
      </c>
      <c r="D1665" s="1">
        <v>107</v>
      </c>
      <c r="E1665" s="1" t="s">
        <v>54</v>
      </c>
      <c r="F1665" s="1" t="s">
        <v>4091</v>
      </c>
      <c r="G1665" s="3" t="s">
        <v>2584</v>
      </c>
      <c r="H1665" s="11">
        <f>ROUND(
IF(L1663="GANCHO",
   IF(I1665&lt;=50,I1665*1.1+4,IF(I1665&lt;=120,I1665*1.1+7,IF(I1665&lt;=250,I1665*1.1+11,I1665*1.1+19))),
IF(L1663="NORMAL",
   IF(I1665&lt;=30,I1665*1.15+2,IF(I1665&lt;=80,I1665*1.15+4,IF(I1665&lt;=150,I1665*1.15+6,I1665*1.15+8))),
IF(L1663="COMPLEMENTO",
   IF(I1665&lt;=25,I1665*1.25+1.5,IF(I1665&lt;=60,I1665*1.25+3,IF(I1665&lt;=120,I1665*1.25+4,I1665*1.25+5))),
""))),2)</f>
        <v>502.32</v>
      </c>
      <c r="I1665" s="9">
        <f>($K$2+0.02)*Tabla1[[#This Row],[PRECIO $]]*1.18</f>
        <v>439.38479999999998</v>
      </c>
      <c r="J1665" s="7">
        <f>+Tabla1[[#This Row],[PRECIO EN SOLES]]-Tabla1[[#This Row],[PC]]</f>
        <v>62.935200000000009</v>
      </c>
      <c r="K1665" s="15"/>
      <c r="L1665" s="15" t="str">
        <f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GANCHO</v>
      </c>
    </row>
    <row r="1666" spans="1:12" x14ac:dyDescent="0.25">
      <c r="A1666" s="3" t="s">
        <v>2585</v>
      </c>
      <c r="B1666" s="3" t="s">
        <v>2586</v>
      </c>
      <c r="C1666" s="1">
        <v>1</v>
      </c>
      <c r="D1666" s="1">
        <v>72</v>
      </c>
      <c r="E1666" s="1" t="s">
        <v>54</v>
      </c>
      <c r="F1666" s="1" t="s">
        <v>4092</v>
      </c>
      <c r="G1666" s="3"/>
      <c r="H1666" s="11">
        <f>ROUND(
IF(L1664="GANCHO",
   IF(I1666&lt;=50,I1666*1.1+4,IF(I1666&lt;=120,I1666*1.1+7,IF(I1666&lt;=250,I1666*1.1+11,I1666*1.1+19))),
IF(L1664="NORMAL",
   IF(I1666&lt;=30,I1666*1.15+2,IF(I1666&lt;=80,I1666*1.15+4,IF(I1666&lt;=150,I1666*1.15+6,I1666*1.15+8))),
IF(L1664="COMPLEMENTO",
   IF(I1666&lt;=25,I1666*1.25+1.5,IF(I1666&lt;=60,I1666*1.25+3,IF(I1666&lt;=120,I1666*1.25+4,I1666*1.25+5))),
""))),2)</f>
        <v>344.23</v>
      </c>
      <c r="I1666" s="9">
        <f>($K$2+0.02)*Tabla1[[#This Row],[PRECIO $]]*1.18</f>
        <v>295.66079999999999</v>
      </c>
      <c r="J1666" s="7">
        <f>+Tabla1[[#This Row],[PRECIO EN SOLES]]-Tabla1[[#This Row],[PC]]</f>
        <v>48.569200000000023</v>
      </c>
      <c r="K1666" s="15"/>
      <c r="L1666" s="15" t="str">
        <f>IF(
OR(
ISNUMBER(SEARCH("BACKPACK",B1668)),
ISNUMBER(SEARCH("MOCHILA",B1668)),
ISNUMBER(SEARCH("FUNDA",B1668)),
ISNUMBER(SEARCH("ESTUCHE",B1668)),
ISNUMBER(SEARCH("BOOK COVER",B1668)),
ISNUMBER(SEARCH("KEYBOARD PARA TABLET",B1668)),
ISNUMBER(SEARCH("FLIP TABLET",B1668)),
ISNUMBER(SEARCH("CASE FOR TABLET",B1668)),
ISNUMBER(SEARCH("CABLE",B1668)),
ISNUMBER(SEARCH("ADAPTADOR",B1668)),
ISNUMBER(SEARCH("HUB",B1668)),
ISNUMBER(SEARCH("DOCK",B1668)),
ISNUMBER(SEARCH("MOUSE PAD",B1668)),
ISNUMBER(SEARCH("MOUSEPAD",B1668)),
ISNUMBER(SEARCH("SOPORTE",B1668)),
ISNUMBER(SEARCH("STAND",B1668)),
ISNUMBER(SEARCH("TRAVEL ADAPTER",B1668)),
ISNUMBER(SEARCH("RJ45",B1668)),
ISNUMBER(SEARCH("USB-C",B1668)),
ISNUMBER(SEARCH("USB WIFI",B1668)),
ISNUMBER(SEARCH("POWERBANK",B1668)),
ISNUMBER(SEARCH("CARGADOR",B1668)),
ISNUMBER(SEARCH("COOLER PARA NB",B1668)),
ISNUMBER(SEARCH("SOPORTE PARA NB",B1668)),
ISNUMBER(SEARCH("WEBCAM",B1668)),
ISNUMBER(SEARCH("WEB CAM",B1668)),
ISNUMBER(SEARCH("MOUSE",B1668)),
ISNUMBER(SEARCH("TECLADO",B1668))
),
"COMPLEMENTO",
IF(
OR(
LEFT(A1668,2)="NB",
LEFT(A1668,2)="PC",
LEFT(A1668,2)="WS",
LEFT(A1668,2)="TB",
LEFT(A1668,3)="CEL",
LEFT(A1668,3)="MON",
LEFT(A1668,3)="PRE",
LEFT(A1668,3)="PRH",
ISNUMBER(SEARCH("NOTEBOOK",B1668)),
ISNUMBER(SEARCH("LAPTOP",B1668)),
ISNUMBER(SEARCH("MONITOR",B1668)),
ISNUMBER(SEARCH("TABLET",B1668)),
ISNUMBER(SEARCH("SMARTPH",B1668)),
ISNUMBER(SEARCH("IMPRESORA",B1668)),
ISNUMBER(SEARCH("MULTIFUNCIONAL",B1668)),
ISNUMBER(SEARCH("AIO",B1668))
),
"GANCHO",
"NORMAL"
)
)</f>
        <v>GANCHO</v>
      </c>
    </row>
    <row r="1667" spans="1:12" x14ac:dyDescent="0.25">
      <c r="A1667" s="3" t="s">
        <v>6374</v>
      </c>
      <c r="B1667" s="3" t="s">
        <v>6375</v>
      </c>
      <c r="C1667" s="1">
        <v>3</v>
      </c>
      <c r="D1667" s="1">
        <v>109</v>
      </c>
      <c r="E1667" s="1" t="s">
        <v>54</v>
      </c>
      <c r="F1667" s="1" t="s">
        <v>6376</v>
      </c>
      <c r="G1667" s="3" t="s">
        <v>6377</v>
      </c>
      <c r="H1667" s="11">
        <f>ROUND(
IF(L1665="GANCHO",
   IF(I1667&lt;=50,I1667*1.1+4,IF(I1667&lt;=120,I1667*1.1+7,IF(I1667&lt;=250,I1667*1.1+11,I1667*1.1+19))),
IF(L1665="NORMAL",
   IF(I1667&lt;=30,I1667*1.15+2,IF(I1667&lt;=80,I1667*1.15+4,IF(I1667&lt;=150,I1667*1.15+6,I1667*1.15+8))),
IF(L1665="COMPLEMENTO",
   IF(I1667&lt;=25,I1667*1.25+1.5,IF(I1667&lt;=60,I1667*1.25+3,IF(I1667&lt;=120,I1667*1.25+4,I1667*1.25+5))),
""))),2)</f>
        <v>511.36</v>
      </c>
      <c r="I1667" s="9">
        <f>($K$2+0.02)*Tabla1[[#This Row],[PRECIO $]]*1.18</f>
        <v>447.59759999999994</v>
      </c>
      <c r="J1667" s="7">
        <f>+Tabla1[[#This Row],[PRECIO EN SOLES]]-Tabla1[[#This Row],[PC]]</f>
        <v>63.762400000000071</v>
      </c>
      <c r="K1667" s="15"/>
      <c r="L1667" s="15" t="str">
        <f>IF(
OR(
ISNUMBER(SEARCH("BACKPACK",B1669)),
ISNUMBER(SEARCH("MOCHILA",B1669)),
ISNUMBER(SEARCH("FUNDA",B1669)),
ISNUMBER(SEARCH("ESTUCHE",B1669)),
ISNUMBER(SEARCH("BOOK COVER",B1669)),
ISNUMBER(SEARCH("KEYBOARD PARA TABLET",B1669)),
ISNUMBER(SEARCH("FLIP TABLET",B1669)),
ISNUMBER(SEARCH("CASE FOR TABLET",B1669)),
ISNUMBER(SEARCH("CABLE",B1669)),
ISNUMBER(SEARCH("ADAPTADOR",B1669)),
ISNUMBER(SEARCH("HUB",B1669)),
ISNUMBER(SEARCH("DOCK",B1669)),
ISNUMBER(SEARCH("MOUSE PAD",B1669)),
ISNUMBER(SEARCH("MOUSEPAD",B1669)),
ISNUMBER(SEARCH("SOPORTE",B1669)),
ISNUMBER(SEARCH("STAND",B1669)),
ISNUMBER(SEARCH("TRAVEL ADAPTER",B1669)),
ISNUMBER(SEARCH("RJ45",B1669)),
ISNUMBER(SEARCH("USB-C",B1669)),
ISNUMBER(SEARCH("USB WIFI",B1669)),
ISNUMBER(SEARCH("POWERBANK",B1669)),
ISNUMBER(SEARCH("CARGADOR",B1669)),
ISNUMBER(SEARCH("COOLER PARA NB",B1669)),
ISNUMBER(SEARCH("SOPORTE PARA NB",B1669)),
ISNUMBER(SEARCH("WEBCAM",B1669)),
ISNUMBER(SEARCH("WEB CAM",B1669)),
ISNUMBER(SEARCH("MOUSE",B1669)),
ISNUMBER(SEARCH("TECLADO",B1669))
),
"COMPLEMENTO",
IF(
OR(
LEFT(A1669,2)="NB",
LEFT(A1669,2)="PC",
LEFT(A1669,2)="WS",
LEFT(A1669,2)="TB",
LEFT(A1669,3)="CEL",
LEFT(A1669,3)="MON",
LEFT(A1669,3)="PRE",
LEFT(A1669,3)="PRH",
ISNUMBER(SEARCH("NOTEBOOK",B1669)),
ISNUMBER(SEARCH("LAPTOP",B1669)),
ISNUMBER(SEARCH("MONITOR",B1669)),
ISNUMBER(SEARCH("TABLET",B1669)),
ISNUMBER(SEARCH("SMARTPH",B1669)),
ISNUMBER(SEARCH("IMPRESORA",B1669)),
ISNUMBER(SEARCH("MULTIFUNCIONAL",B1669)),
ISNUMBER(SEARCH("AIO",B1669))
),
"GANCHO",
"NORMAL"
)
)</f>
        <v>GANCHO</v>
      </c>
    </row>
    <row r="1668" spans="1:12" x14ac:dyDescent="0.25">
      <c r="A1668" s="3" t="s">
        <v>5689</v>
      </c>
      <c r="B1668" s="3" t="s">
        <v>5690</v>
      </c>
      <c r="C1668" s="1">
        <v>20</v>
      </c>
      <c r="D1668" s="1">
        <v>67</v>
      </c>
      <c r="E1668" s="1" t="s">
        <v>54</v>
      </c>
      <c r="F1668" s="1" t="s">
        <v>5691</v>
      </c>
      <c r="G1668" s="3" t="s">
        <v>5692</v>
      </c>
      <c r="H1668" s="11">
        <f>ROUND(
IF(L1666="GANCHO",
   IF(I1668&lt;=50,I1668*1.1+4,IF(I1668&lt;=120,I1668*1.1+7,IF(I1668&lt;=250,I1668*1.1+11,I1668*1.1+19))),
IF(L1666="NORMAL",
   IF(I1668&lt;=30,I1668*1.15+2,IF(I1668&lt;=80,I1668*1.15+4,IF(I1668&lt;=150,I1668*1.15+6,I1668*1.15+8))),
IF(L1666="COMPLEMENTO",
   IF(I1668&lt;=25,I1668*1.25+1.5,IF(I1668&lt;=60,I1668*1.25+3,IF(I1668&lt;=120,I1668*1.25+4,I1668*1.25+5))),
""))),2)</f>
        <v>321.64</v>
      </c>
      <c r="I1668" s="9">
        <f>($K$2+0.02)*Tabla1[[#This Row],[PRECIO $]]*1.18</f>
        <v>275.12879999999996</v>
      </c>
      <c r="J1668" s="7">
        <f>+Tabla1[[#This Row],[PRECIO EN SOLES]]-Tabla1[[#This Row],[PC]]</f>
        <v>46.511200000000031</v>
      </c>
      <c r="K1668" s="15"/>
      <c r="L1668" s="15" t="str">
        <f>IF(
OR(
ISNUMBER(SEARCH("BACKPACK",B1670)),
ISNUMBER(SEARCH("MOCHILA",B1670)),
ISNUMBER(SEARCH("FUNDA",B1670)),
ISNUMBER(SEARCH("ESTUCHE",B1670)),
ISNUMBER(SEARCH("BOOK COVER",B1670)),
ISNUMBER(SEARCH("KEYBOARD PARA TABLET",B1670)),
ISNUMBER(SEARCH("FLIP TABLET",B1670)),
ISNUMBER(SEARCH("CASE FOR TABLET",B1670)),
ISNUMBER(SEARCH("CABLE",B1670)),
ISNUMBER(SEARCH("ADAPTADOR",B1670)),
ISNUMBER(SEARCH("HUB",B1670)),
ISNUMBER(SEARCH("DOCK",B1670)),
ISNUMBER(SEARCH("MOUSE PAD",B1670)),
ISNUMBER(SEARCH("MOUSEPAD",B1670)),
ISNUMBER(SEARCH("SOPORTE",B1670)),
ISNUMBER(SEARCH("STAND",B1670)),
ISNUMBER(SEARCH("TRAVEL ADAPTER",B1670)),
ISNUMBER(SEARCH("RJ45",B1670)),
ISNUMBER(SEARCH("USB-C",B1670)),
ISNUMBER(SEARCH("USB WIFI",B1670)),
ISNUMBER(SEARCH("POWERBANK",B1670)),
ISNUMBER(SEARCH("CARGADOR",B1670)),
ISNUMBER(SEARCH("COOLER PARA NB",B1670)),
ISNUMBER(SEARCH("SOPORTE PARA NB",B1670)),
ISNUMBER(SEARCH("WEBCAM",B1670)),
ISNUMBER(SEARCH("WEB CAM",B1670)),
ISNUMBER(SEARCH("MOUSE",B1670)),
ISNUMBER(SEARCH("TECLADO",B1670))
),
"COMPLEMENTO",
IF(
OR(
LEFT(A1670,2)="NB",
LEFT(A1670,2)="PC",
LEFT(A1670,2)="WS",
LEFT(A1670,2)="TB",
LEFT(A1670,3)="CEL",
LEFT(A1670,3)="MON",
LEFT(A1670,3)="PRE",
LEFT(A1670,3)="PRH",
ISNUMBER(SEARCH("NOTEBOOK",B1670)),
ISNUMBER(SEARCH("LAPTOP",B1670)),
ISNUMBER(SEARCH("MONITOR",B1670)),
ISNUMBER(SEARCH("TABLET",B1670)),
ISNUMBER(SEARCH("SMARTPH",B1670)),
ISNUMBER(SEARCH("IMPRESORA",B1670)),
ISNUMBER(SEARCH("MULTIFUNCIONAL",B1670)),
ISNUMBER(SEARCH("AIO",B1670))
),
"GANCHO",
"NORMAL"
)
)</f>
        <v>GANCHO</v>
      </c>
    </row>
    <row r="1669" spans="1:12" x14ac:dyDescent="0.25">
      <c r="A1669" s="3" t="s">
        <v>5693</v>
      </c>
      <c r="B1669" s="3" t="s">
        <v>5694</v>
      </c>
      <c r="C1669" s="1">
        <v>20</v>
      </c>
      <c r="D1669" s="1">
        <v>67</v>
      </c>
      <c r="E1669" s="1" t="s">
        <v>54</v>
      </c>
      <c r="F1669" s="1" t="s">
        <v>5695</v>
      </c>
      <c r="G1669" s="3" t="s">
        <v>5696</v>
      </c>
      <c r="H1669" s="11">
        <f>ROUND(
IF(L1667="GANCHO",
   IF(I1669&lt;=50,I1669*1.1+4,IF(I1669&lt;=120,I1669*1.1+7,IF(I1669&lt;=250,I1669*1.1+11,I1669*1.1+19))),
IF(L1667="NORMAL",
   IF(I1669&lt;=30,I1669*1.15+2,IF(I1669&lt;=80,I1669*1.15+4,IF(I1669&lt;=150,I1669*1.15+6,I1669*1.15+8))),
IF(L1667="COMPLEMENTO",
   IF(I1669&lt;=25,I1669*1.25+1.5,IF(I1669&lt;=60,I1669*1.25+3,IF(I1669&lt;=120,I1669*1.25+4,I1669*1.25+5))),
""))),2)</f>
        <v>321.64</v>
      </c>
      <c r="I1669" s="9">
        <f>($K$2+0.02)*Tabla1[[#This Row],[PRECIO $]]*1.18</f>
        <v>275.12879999999996</v>
      </c>
      <c r="J1669" s="7">
        <f>+Tabla1[[#This Row],[PRECIO EN SOLES]]-Tabla1[[#This Row],[PC]]</f>
        <v>46.511200000000031</v>
      </c>
      <c r="K1669" s="15"/>
      <c r="L1669" s="15" t="str">
        <f>IF(
OR(
ISNUMBER(SEARCH("BACKPACK",B1671)),
ISNUMBER(SEARCH("MOCHILA",B1671)),
ISNUMBER(SEARCH("FUNDA",B1671)),
ISNUMBER(SEARCH("ESTUCHE",B1671)),
ISNUMBER(SEARCH("BOOK COVER",B1671)),
ISNUMBER(SEARCH("KEYBOARD PARA TABLET",B1671)),
ISNUMBER(SEARCH("FLIP TABLET",B1671)),
ISNUMBER(SEARCH("CASE FOR TABLET",B1671)),
ISNUMBER(SEARCH("CABLE",B1671)),
ISNUMBER(SEARCH("ADAPTADOR",B1671)),
ISNUMBER(SEARCH("HUB",B1671)),
ISNUMBER(SEARCH("DOCK",B1671)),
ISNUMBER(SEARCH("MOUSE PAD",B1671)),
ISNUMBER(SEARCH("MOUSEPAD",B1671)),
ISNUMBER(SEARCH("SOPORTE",B1671)),
ISNUMBER(SEARCH("STAND",B1671)),
ISNUMBER(SEARCH("TRAVEL ADAPTER",B1671)),
ISNUMBER(SEARCH("RJ45",B1671)),
ISNUMBER(SEARCH("USB-C",B1671)),
ISNUMBER(SEARCH("USB WIFI",B1671)),
ISNUMBER(SEARCH("POWERBANK",B1671)),
ISNUMBER(SEARCH("CARGADOR",B1671)),
ISNUMBER(SEARCH("COOLER PARA NB",B1671)),
ISNUMBER(SEARCH("SOPORTE PARA NB",B1671)),
ISNUMBER(SEARCH("WEBCAM",B1671)),
ISNUMBER(SEARCH("WEB CAM",B1671)),
ISNUMBER(SEARCH("MOUSE",B1671)),
ISNUMBER(SEARCH("TECLADO",B1671))
),
"COMPLEMENTO",
IF(
OR(
LEFT(A1671,2)="NB",
LEFT(A1671,2)="PC",
LEFT(A1671,2)="WS",
LEFT(A1671,2)="TB",
LEFT(A1671,3)="CEL",
LEFT(A1671,3)="MON",
LEFT(A1671,3)="PRE",
LEFT(A1671,3)="PRH",
ISNUMBER(SEARCH("NOTEBOOK",B1671)),
ISNUMBER(SEARCH("LAPTOP",B1671)),
ISNUMBER(SEARCH("MONITOR",B1671)),
ISNUMBER(SEARCH("TABLET",B1671)),
ISNUMBER(SEARCH("SMARTPH",B1671)),
ISNUMBER(SEARCH("IMPRESORA",B1671)),
ISNUMBER(SEARCH("MULTIFUNCIONAL",B1671)),
ISNUMBER(SEARCH("AIO",B1671))
),
"GANCHO",
"NORMAL"
)
)</f>
        <v>GANCHO</v>
      </c>
    </row>
    <row r="1670" spans="1:12" x14ac:dyDescent="0.25">
      <c r="A1670" s="3" t="s">
        <v>5542</v>
      </c>
      <c r="B1670" s="3" t="s">
        <v>5543</v>
      </c>
      <c r="C1670" s="1">
        <v>20</v>
      </c>
      <c r="D1670" s="1">
        <v>243</v>
      </c>
      <c r="E1670" s="1" t="s">
        <v>74</v>
      </c>
      <c r="F1670" s="1" t="s">
        <v>5544</v>
      </c>
      <c r="G1670" s="3" t="s">
        <v>5545</v>
      </c>
      <c r="H1670" s="11">
        <f>ROUND(
IF(L1668="GANCHO",
   IF(I1670&lt;=50,I1670*1.1+4,IF(I1670&lt;=120,I1670*1.1+7,IF(I1670&lt;=250,I1670*1.1+11,I1670*1.1+19))),
IF(L1668="NORMAL",
   IF(I1670&lt;=30,I1670*1.15+2,IF(I1670&lt;=80,I1670*1.15+4,IF(I1670&lt;=150,I1670*1.15+6,I1670*1.15+8))),
IF(L1668="COMPLEMENTO",
   IF(I1670&lt;=25,I1670*1.25+1.5,IF(I1670&lt;=60,I1670*1.25+3,IF(I1670&lt;=120,I1670*1.25+4,I1670*1.25+5))),
""))),2)</f>
        <v>1116.6400000000001</v>
      </c>
      <c r="I1670" s="9">
        <f>($K$2+0.02)*Tabla1[[#This Row],[PRECIO $]]*1.18</f>
        <v>997.85519999999997</v>
      </c>
      <c r="J1670" s="7">
        <f>+Tabla1[[#This Row],[PRECIO EN SOLES]]-Tabla1[[#This Row],[PC]]</f>
        <v>118.78480000000013</v>
      </c>
      <c r="K1670" s="15"/>
      <c r="L1670" s="15" t="str">
        <f>IF(
OR(
ISNUMBER(SEARCH("BACKPACK",B1672)),
ISNUMBER(SEARCH("MOCHILA",B1672)),
ISNUMBER(SEARCH("FUNDA",B1672)),
ISNUMBER(SEARCH("ESTUCHE",B1672)),
ISNUMBER(SEARCH("BOOK COVER",B1672)),
ISNUMBER(SEARCH("KEYBOARD PARA TABLET",B1672)),
ISNUMBER(SEARCH("FLIP TABLET",B1672)),
ISNUMBER(SEARCH("CASE FOR TABLET",B1672)),
ISNUMBER(SEARCH("CABLE",B1672)),
ISNUMBER(SEARCH("ADAPTADOR",B1672)),
ISNUMBER(SEARCH("HUB",B1672)),
ISNUMBER(SEARCH("DOCK",B1672)),
ISNUMBER(SEARCH("MOUSE PAD",B1672)),
ISNUMBER(SEARCH("MOUSEPAD",B1672)),
ISNUMBER(SEARCH("SOPORTE",B1672)),
ISNUMBER(SEARCH("STAND",B1672)),
ISNUMBER(SEARCH("TRAVEL ADAPTER",B1672)),
ISNUMBER(SEARCH("RJ45",B1672)),
ISNUMBER(SEARCH("USB-C",B1672)),
ISNUMBER(SEARCH("USB WIFI",B1672)),
ISNUMBER(SEARCH("POWERBANK",B1672)),
ISNUMBER(SEARCH("CARGADOR",B1672)),
ISNUMBER(SEARCH("COOLER PARA NB",B1672)),
ISNUMBER(SEARCH("SOPORTE PARA NB",B1672)),
ISNUMBER(SEARCH("WEBCAM",B1672)),
ISNUMBER(SEARCH("WEB CAM",B1672)),
ISNUMBER(SEARCH("MOUSE",B1672)),
ISNUMBER(SEARCH("TECLADO",B1672))
),
"COMPLEMENTO",
IF(
OR(
LEFT(A1672,2)="NB",
LEFT(A1672,2)="PC",
LEFT(A1672,2)="WS",
LEFT(A1672,2)="TB",
LEFT(A1672,3)="CEL",
LEFT(A1672,3)="MON",
LEFT(A1672,3)="PRE",
LEFT(A1672,3)="PRH",
ISNUMBER(SEARCH("NOTEBOOK",B1672)),
ISNUMBER(SEARCH("LAPTOP",B1672)),
ISNUMBER(SEARCH("MONITOR",B1672)),
ISNUMBER(SEARCH("TABLET",B1672)),
ISNUMBER(SEARCH("SMARTPH",B1672)),
ISNUMBER(SEARCH("IMPRESORA",B1672)),
ISNUMBER(SEARCH("MULTIFUNCIONAL",B1672)),
ISNUMBER(SEARCH("AIO",B1672))
),
"GANCHO",
"NORMAL"
)
)</f>
        <v>GANCHO</v>
      </c>
    </row>
    <row r="1671" spans="1:12" x14ac:dyDescent="0.25">
      <c r="A1671" s="3" t="s">
        <v>6571</v>
      </c>
      <c r="B1671" s="3" t="s">
        <v>6572</v>
      </c>
      <c r="C1671" s="1">
        <v>0</v>
      </c>
      <c r="D1671" s="1">
        <v>471</v>
      </c>
      <c r="E1671" s="1" t="s">
        <v>74</v>
      </c>
      <c r="F1671" s="1" t="s">
        <v>6573</v>
      </c>
      <c r="G1671" s="3" t="s">
        <v>6574</v>
      </c>
      <c r="H1671" s="11">
        <f>ROUND(
IF(L1669="GANCHO",
   IF(I1671&lt;=50,I1671*1.1+4,IF(I1671&lt;=120,I1671*1.1+7,IF(I1671&lt;=250,I1671*1.1+11,I1671*1.1+19))),
IF(L1669="NORMAL",
   IF(I1671&lt;=30,I1671*1.15+2,IF(I1671&lt;=80,I1671*1.15+4,IF(I1671&lt;=150,I1671*1.15+6,I1671*1.15+8))),
IF(L1669="COMPLEMENTO",
   IF(I1671&lt;=25,I1671*1.25+1.5,IF(I1671&lt;=60,I1671*1.25+3,IF(I1671&lt;=120,I1671*1.25+4,I1671*1.25+5))),
""))),2)</f>
        <v>2146.5300000000002</v>
      </c>
      <c r="I1671" s="9">
        <f>($K$2+0.02)*Tabla1[[#This Row],[PRECIO $]]*1.18</f>
        <v>1934.1143999999997</v>
      </c>
      <c r="J1671" s="7">
        <f>+Tabla1[[#This Row],[PRECIO EN SOLES]]-Tabla1[[#This Row],[PC]]</f>
        <v>212.4156000000005</v>
      </c>
      <c r="K1671" s="15"/>
      <c r="L1671" s="15" t="str">
        <f>IF(
OR(
ISNUMBER(SEARCH("BACKPACK",B1673)),
ISNUMBER(SEARCH("MOCHILA",B1673)),
ISNUMBER(SEARCH("FUNDA",B1673)),
ISNUMBER(SEARCH("ESTUCHE",B1673)),
ISNUMBER(SEARCH("BOOK COVER",B1673)),
ISNUMBER(SEARCH("KEYBOARD PARA TABLET",B1673)),
ISNUMBER(SEARCH("FLIP TABLET",B1673)),
ISNUMBER(SEARCH("CASE FOR TABLET",B1673)),
ISNUMBER(SEARCH("CABLE",B1673)),
ISNUMBER(SEARCH("ADAPTADOR",B1673)),
ISNUMBER(SEARCH("HUB",B1673)),
ISNUMBER(SEARCH("DOCK",B1673)),
ISNUMBER(SEARCH("MOUSE PAD",B1673)),
ISNUMBER(SEARCH("MOUSEPAD",B1673)),
ISNUMBER(SEARCH("SOPORTE",B1673)),
ISNUMBER(SEARCH("STAND",B1673)),
ISNUMBER(SEARCH("TRAVEL ADAPTER",B1673)),
ISNUMBER(SEARCH("RJ45",B1673)),
ISNUMBER(SEARCH("USB-C",B1673)),
ISNUMBER(SEARCH("USB WIFI",B1673)),
ISNUMBER(SEARCH("POWERBANK",B1673)),
ISNUMBER(SEARCH("CARGADOR",B1673)),
ISNUMBER(SEARCH("COOLER PARA NB",B1673)),
ISNUMBER(SEARCH("SOPORTE PARA NB",B1673)),
ISNUMBER(SEARCH("WEBCAM",B1673)),
ISNUMBER(SEARCH("WEB CAM",B1673)),
ISNUMBER(SEARCH("MOUSE",B1673)),
ISNUMBER(SEARCH("TECLADO",B1673))
),
"COMPLEMENTO",
IF(
OR(
LEFT(A1673,2)="NB",
LEFT(A1673,2)="PC",
LEFT(A1673,2)="WS",
LEFT(A1673,2)="TB",
LEFT(A1673,3)="CEL",
LEFT(A1673,3)="MON",
LEFT(A1673,3)="PRE",
LEFT(A1673,3)="PRH",
ISNUMBER(SEARCH("NOTEBOOK",B1673)),
ISNUMBER(SEARCH("LAPTOP",B1673)),
ISNUMBER(SEARCH("MONITOR",B1673)),
ISNUMBER(SEARCH("TABLET",B1673)),
ISNUMBER(SEARCH("SMARTPH",B1673)),
ISNUMBER(SEARCH("IMPRESORA",B1673)),
ISNUMBER(SEARCH("MULTIFUNCIONAL",B1673)),
ISNUMBER(SEARCH("AIO",B1673))
),
"GANCHO",
"NORMAL"
)
)</f>
        <v>GANCHO</v>
      </c>
    </row>
    <row r="1672" spans="1:12" x14ac:dyDescent="0.25">
      <c r="A1672" s="3" t="s">
        <v>5546</v>
      </c>
      <c r="B1672" s="3" t="s">
        <v>5547</v>
      </c>
      <c r="C1672" s="1">
        <v>20</v>
      </c>
      <c r="D1672" s="1">
        <v>180</v>
      </c>
      <c r="E1672" s="1" t="s">
        <v>74</v>
      </c>
      <c r="F1672" s="1" t="s">
        <v>5548</v>
      </c>
      <c r="G1672" s="3" t="s">
        <v>5549</v>
      </c>
      <c r="H1672" s="11">
        <f>ROUND(
IF(L1670="GANCHO",
   IF(I1672&lt;=50,I1672*1.1+4,IF(I1672&lt;=120,I1672*1.1+7,IF(I1672&lt;=250,I1672*1.1+11,I1672*1.1+19))),
IF(L1670="NORMAL",
   IF(I1672&lt;=30,I1672*1.15+2,IF(I1672&lt;=80,I1672*1.15+4,IF(I1672&lt;=150,I1672*1.15+6,I1672*1.15+8))),
IF(L1670="COMPLEMENTO",
   IF(I1672&lt;=25,I1672*1.25+1.5,IF(I1672&lt;=60,I1672*1.25+3,IF(I1672&lt;=120,I1672*1.25+4,I1672*1.25+5))),
""))),2)</f>
        <v>832.07</v>
      </c>
      <c r="I1672" s="9">
        <f>($K$2+0.02)*Tabla1[[#This Row],[PRECIO $]]*1.18</f>
        <v>739.15199999999993</v>
      </c>
      <c r="J1672" s="7">
        <f>+Tabla1[[#This Row],[PRECIO EN SOLES]]-Tabla1[[#This Row],[PC]]</f>
        <v>92.91800000000012</v>
      </c>
      <c r="K1672" s="15"/>
      <c r="L1672" s="15" t="str">
        <f>IF(
OR(
ISNUMBER(SEARCH("BACKPACK",B1674)),
ISNUMBER(SEARCH("MOCHILA",B1674)),
ISNUMBER(SEARCH("FUNDA",B1674)),
ISNUMBER(SEARCH("ESTUCHE",B1674)),
ISNUMBER(SEARCH("BOOK COVER",B1674)),
ISNUMBER(SEARCH("KEYBOARD PARA TABLET",B1674)),
ISNUMBER(SEARCH("FLIP TABLET",B1674)),
ISNUMBER(SEARCH("CASE FOR TABLET",B1674)),
ISNUMBER(SEARCH("CABLE",B1674)),
ISNUMBER(SEARCH("ADAPTADOR",B1674)),
ISNUMBER(SEARCH("HUB",B1674)),
ISNUMBER(SEARCH("DOCK",B1674)),
ISNUMBER(SEARCH("MOUSE PAD",B1674)),
ISNUMBER(SEARCH("MOUSEPAD",B1674)),
ISNUMBER(SEARCH("SOPORTE",B1674)),
ISNUMBER(SEARCH("STAND",B1674)),
ISNUMBER(SEARCH("TRAVEL ADAPTER",B1674)),
ISNUMBER(SEARCH("RJ45",B1674)),
ISNUMBER(SEARCH("USB-C",B1674)),
ISNUMBER(SEARCH("USB WIFI",B1674)),
ISNUMBER(SEARCH("POWERBANK",B1674)),
ISNUMBER(SEARCH("CARGADOR",B1674)),
ISNUMBER(SEARCH("COOLER PARA NB",B1674)),
ISNUMBER(SEARCH("SOPORTE PARA NB",B1674)),
ISNUMBER(SEARCH("WEBCAM",B1674)),
ISNUMBER(SEARCH("WEB CAM",B1674)),
ISNUMBER(SEARCH("MOUSE",B1674)),
ISNUMBER(SEARCH("TECLADO",B1674))
),
"COMPLEMENTO",
IF(
OR(
LEFT(A1674,2)="NB",
LEFT(A1674,2)="PC",
LEFT(A1674,2)="WS",
LEFT(A1674,2)="TB",
LEFT(A1674,3)="CEL",
LEFT(A1674,3)="MON",
LEFT(A1674,3)="PRE",
LEFT(A1674,3)="PRH",
ISNUMBER(SEARCH("NOTEBOOK",B1674)),
ISNUMBER(SEARCH("LAPTOP",B1674)),
ISNUMBER(SEARCH("MONITOR",B1674)),
ISNUMBER(SEARCH("TABLET",B1674)),
ISNUMBER(SEARCH("SMARTPH",B1674)),
ISNUMBER(SEARCH("IMPRESORA",B1674)),
ISNUMBER(SEARCH("MULTIFUNCIONAL",B1674)),
ISNUMBER(SEARCH("AIO",B1674))
),
"GANCHO",
"NORMAL"
)
)</f>
        <v>GANCHO</v>
      </c>
    </row>
    <row r="1673" spans="1:12" x14ac:dyDescent="0.25">
      <c r="A1673" s="3" t="s">
        <v>5550</v>
      </c>
      <c r="B1673" s="3" t="s">
        <v>5551</v>
      </c>
      <c r="C1673" s="1">
        <v>20</v>
      </c>
      <c r="D1673" s="1">
        <v>162</v>
      </c>
      <c r="E1673" s="1" t="s">
        <v>74</v>
      </c>
      <c r="F1673" s="1" t="s">
        <v>5552</v>
      </c>
      <c r="G1673" s="3" t="s">
        <v>5553</v>
      </c>
      <c r="H1673" s="11">
        <f>ROUND(
IF(L1671="GANCHO",
   IF(I1673&lt;=50,I1673*1.1+4,IF(I1673&lt;=120,I1673*1.1+7,IF(I1673&lt;=250,I1673*1.1+11,I1673*1.1+19))),
IF(L1671="NORMAL",
   IF(I1673&lt;=30,I1673*1.15+2,IF(I1673&lt;=80,I1673*1.15+4,IF(I1673&lt;=150,I1673*1.15+6,I1673*1.15+8))),
IF(L1671="COMPLEMENTO",
   IF(I1673&lt;=25,I1673*1.25+1.5,IF(I1673&lt;=60,I1673*1.25+3,IF(I1673&lt;=120,I1673*1.25+4,I1673*1.25+5))),
""))),2)</f>
        <v>750.76</v>
      </c>
      <c r="I1673" s="9">
        <f>($K$2+0.02)*Tabla1[[#This Row],[PRECIO $]]*1.18</f>
        <v>665.2367999999999</v>
      </c>
      <c r="J1673" s="7">
        <f>+Tabla1[[#This Row],[PRECIO EN SOLES]]-Tabla1[[#This Row],[PC]]</f>
        <v>85.523200000000088</v>
      </c>
      <c r="K1673" s="15"/>
      <c r="L1673" s="15" t="str">
        <f>IF(
OR(
ISNUMBER(SEARCH("BACKPACK",B1675)),
ISNUMBER(SEARCH("MOCHILA",B1675)),
ISNUMBER(SEARCH("FUNDA",B1675)),
ISNUMBER(SEARCH("ESTUCHE",B1675)),
ISNUMBER(SEARCH("BOOK COVER",B1675)),
ISNUMBER(SEARCH("KEYBOARD PARA TABLET",B1675)),
ISNUMBER(SEARCH("FLIP TABLET",B1675)),
ISNUMBER(SEARCH("CASE FOR TABLET",B1675)),
ISNUMBER(SEARCH("CABLE",B1675)),
ISNUMBER(SEARCH("ADAPTADOR",B1675)),
ISNUMBER(SEARCH("HUB",B1675)),
ISNUMBER(SEARCH("DOCK",B1675)),
ISNUMBER(SEARCH("MOUSE PAD",B1675)),
ISNUMBER(SEARCH("MOUSEPAD",B1675)),
ISNUMBER(SEARCH("SOPORTE",B1675)),
ISNUMBER(SEARCH("STAND",B1675)),
ISNUMBER(SEARCH("TRAVEL ADAPTER",B1675)),
ISNUMBER(SEARCH("RJ45",B1675)),
ISNUMBER(SEARCH("USB-C",B1675)),
ISNUMBER(SEARCH("USB WIFI",B1675)),
ISNUMBER(SEARCH("POWERBANK",B1675)),
ISNUMBER(SEARCH("CARGADOR",B1675)),
ISNUMBER(SEARCH("COOLER PARA NB",B1675)),
ISNUMBER(SEARCH("SOPORTE PARA NB",B1675)),
ISNUMBER(SEARCH("WEBCAM",B1675)),
ISNUMBER(SEARCH("WEB CAM",B1675)),
ISNUMBER(SEARCH("MOUSE",B1675)),
ISNUMBER(SEARCH("TECLADO",B1675))
),
"COMPLEMENTO",
IF(
OR(
LEFT(A1675,2)="NB",
LEFT(A1675,2)="PC",
LEFT(A1675,2)="WS",
LEFT(A1675,2)="TB",
LEFT(A1675,3)="CEL",
LEFT(A1675,3)="MON",
LEFT(A1675,3)="PRE",
LEFT(A1675,3)="PRH",
ISNUMBER(SEARCH("NOTEBOOK",B1675)),
ISNUMBER(SEARCH("LAPTOP",B1675)),
ISNUMBER(SEARCH("MONITOR",B1675)),
ISNUMBER(SEARCH("TABLET",B1675)),
ISNUMBER(SEARCH("SMARTPH",B1675)),
ISNUMBER(SEARCH("IMPRESORA",B1675)),
ISNUMBER(SEARCH("MULTIFUNCIONAL",B1675)),
ISNUMBER(SEARCH("AIO",B1675))
),
"GANCHO",
"NORMAL"
)
)</f>
        <v>GANCHO</v>
      </c>
    </row>
    <row r="1674" spans="1:12" x14ac:dyDescent="0.25">
      <c r="A1674" s="3" t="s">
        <v>5180</v>
      </c>
      <c r="B1674" s="3" t="s">
        <v>5181</v>
      </c>
      <c r="C1674" s="1">
        <v>20</v>
      </c>
      <c r="D1674" s="1">
        <v>119</v>
      </c>
      <c r="E1674" s="1" t="s">
        <v>838</v>
      </c>
      <c r="F1674" s="1" t="s">
        <v>5182</v>
      </c>
      <c r="G1674" s="3" t="s">
        <v>5183</v>
      </c>
      <c r="H1674" s="11">
        <f>ROUND(
IF(L1672="GANCHO",
   IF(I1674&lt;=50,I1674*1.1+4,IF(I1674&lt;=120,I1674*1.1+7,IF(I1674&lt;=250,I1674*1.1+11,I1674*1.1+19))),
IF(L1672="NORMAL",
   IF(I1674&lt;=30,I1674*1.15+2,IF(I1674&lt;=80,I1674*1.15+4,IF(I1674&lt;=150,I1674*1.15+6,I1674*1.15+8))),
IF(L1672="COMPLEMENTO",
   IF(I1674&lt;=25,I1674*1.25+1.5,IF(I1674&lt;=60,I1674*1.25+3,IF(I1674&lt;=120,I1674*1.25+4,I1674*1.25+5))),
""))),2)</f>
        <v>556.53</v>
      </c>
      <c r="I1674" s="9">
        <f>($K$2+0.02)*Tabla1[[#This Row],[PRECIO $]]*1.18</f>
        <v>488.66159999999996</v>
      </c>
      <c r="J1674" s="7">
        <f>+Tabla1[[#This Row],[PRECIO EN SOLES]]-Tabla1[[#This Row],[PC]]</f>
        <v>67.868400000000008</v>
      </c>
      <c r="K1674" s="15"/>
      <c r="L1674" s="15" t="str">
        <f>IF(
OR(
ISNUMBER(SEARCH("BACKPACK",B1676)),
ISNUMBER(SEARCH("MOCHILA",B1676)),
ISNUMBER(SEARCH("FUNDA",B1676)),
ISNUMBER(SEARCH("ESTUCHE",B1676)),
ISNUMBER(SEARCH("BOOK COVER",B1676)),
ISNUMBER(SEARCH("KEYBOARD PARA TABLET",B1676)),
ISNUMBER(SEARCH("FLIP TABLET",B1676)),
ISNUMBER(SEARCH("CASE FOR TABLET",B1676)),
ISNUMBER(SEARCH("CABLE",B1676)),
ISNUMBER(SEARCH("ADAPTADOR",B1676)),
ISNUMBER(SEARCH("HUB",B1676)),
ISNUMBER(SEARCH("DOCK",B1676)),
ISNUMBER(SEARCH("MOUSE PAD",B1676)),
ISNUMBER(SEARCH("MOUSEPAD",B1676)),
ISNUMBER(SEARCH("SOPORTE",B1676)),
ISNUMBER(SEARCH("STAND",B1676)),
ISNUMBER(SEARCH("TRAVEL ADAPTER",B1676)),
ISNUMBER(SEARCH("RJ45",B1676)),
ISNUMBER(SEARCH("USB-C",B1676)),
ISNUMBER(SEARCH("USB WIFI",B1676)),
ISNUMBER(SEARCH("POWERBANK",B1676)),
ISNUMBER(SEARCH("CARGADOR",B1676)),
ISNUMBER(SEARCH("COOLER PARA NB",B1676)),
ISNUMBER(SEARCH("SOPORTE PARA NB",B1676)),
ISNUMBER(SEARCH("WEBCAM",B1676)),
ISNUMBER(SEARCH("WEB CAM",B1676)),
ISNUMBER(SEARCH("MOUSE",B1676)),
ISNUMBER(SEARCH("TECLADO",B1676))
),
"COMPLEMENTO",
IF(
OR(
LEFT(A1676,2)="NB",
LEFT(A1676,2)="PC",
LEFT(A1676,2)="WS",
LEFT(A1676,2)="TB",
LEFT(A1676,3)="CEL",
LEFT(A1676,3)="MON",
LEFT(A1676,3)="PRE",
LEFT(A1676,3)="PRH",
ISNUMBER(SEARCH("NOTEBOOK",B1676)),
ISNUMBER(SEARCH("LAPTOP",B1676)),
ISNUMBER(SEARCH("MONITOR",B1676)),
ISNUMBER(SEARCH("TABLET",B1676)),
ISNUMBER(SEARCH("SMARTPH",B1676)),
ISNUMBER(SEARCH("IMPRESORA",B1676)),
ISNUMBER(SEARCH("MULTIFUNCIONAL",B1676)),
ISNUMBER(SEARCH("AIO",B1676))
),
"GANCHO",
"NORMAL"
)
)</f>
        <v>GANCHO</v>
      </c>
    </row>
    <row r="1675" spans="1:12" x14ac:dyDescent="0.25">
      <c r="A1675" s="3" t="s">
        <v>6148</v>
      </c>
      <c r="B1675" s="3" t="s">
        <v>6149</v>
      </c>
      <c r="C1675" s="1">
        <v>20</v>
      </c>
      <c r="D1675" s="1">
        <v>204</v>
      </c>
      <c r="E1675" s="1" t="s">
        <v>838</v>
      </c>
      <c r="F1675" s="1" t="s">
        <v>6150</v>
      </c>
      <c r="G1675" s="3" t="s">
        <v>6151</v>
      </c>
      <c r="H1675" s="11">
        <f>ROUND(
IF(L1673="GANCHO",
   IF(I1675&lt;=50,I1675*1.1+4,IF(I1675&lt;=120,I1675*1.1+7,IF(I1675&lt;=250,I1675*1.1+11,I1675*1.1+19))),
IF(L1673="NORMAL",
   IF(I1675&lt;=30,I1675*1.15+2,IF(I1675&lt;=80,I1675*1.15+4,IF(I1675&lt;=150,I1675*1.15+6,I1675*1.15+8))),
IF(L1673="COMPLEMENTO",
   IF(I1675&lt;=25,I1675*1.25+1.5,IF(I1675&lt;=60,I1675*1.25+3,IF(I1675&lt;=120,I1675*1.25+4,I1675*1.25+5))),
""))),2)</f>
        <v>940.48</v>
      </c>
      <c r="I1675" s="9">
        <f>($K$2+0.02)*Tabla1[[#This Row],[PRECIO $]]*1.18</f>
        <v>837.70559999999989</v>
      </c>
      <c r="J1675" s="7">
        <f>+Tabla1[[#This Row],[PRECIO EN SOLES]]-Tabla1[[#This Row],[PC]]</f>
        <v>102.77440000000013</v>
      </c>
      <c r="K1675" s="15"/>
      <c r="L1675" s="15" t="str">
        <f>IF(
OR(
ISNUMBER(SEARCH("BACKPACK",B1677)),
ISNUMBER(SEARCH("MOCHILA",B1677)),
ISNUMBER(SEARCH("FUNDA",B1677)),
ISNUMBER(SEARCH("ESTUCHE",B1677)),
ISNUMBER(SEARCH("BOOK COVER",B1677)),
ISNUMBER(SEARCH("KEYBOARD PARA TABLET",B1677)),
ISNUMBER(SEARCH("FLIP TABLET",B1677)),
ISNUMBER(SEARCH("CASE FOR TABLET",B1677)),
ISNUMBER(SEARCH("CABLE",B1677)),
ISNUMBER(SEARCH("ADAPTADOR",B1677)),
ISNUMBER(SEARCH("HUB",B1677)),
ISNUMBER(SEARCH("DOCK",B1677)),
ISNUMBER(SEARCH("MOUSE PAD",B1677)),
ISNUMBER(SEARCH("MOUSEPAD",B1677)),
ISNUMBER(SEARCH("SOPORTE",B1677)),
ISNUMBER(SEARCH("STAND",B1677)),
ISNUMBER(SEARCH("TRAVEL ADAPTER",B1677)),
ISNUMBER(SEARCH("RJ45",B1677)),
ISNUMBER(SEARCH("USB-C",B1677)),
ISNUMBER(SEARCH("USB WIFI",B1677)),
ISNUMBER(SEARCH("POWERBANK",B1677)),
ISNUMBER(SEARCH("CARGADOR",B1677)),
ISNUMBER(SEARCH("COOLER PARA NB",B1677)),
ISNUMBER(SEARCH("SOPORTE PARA NB",B1677)),
ISNUMBER(SEARCH("WEBCAM",B1677)),
ISNUMBER(SEARCH("WEB CAM",B1677)),
ISNUMBER(SEARCH("MOUSE",B1677)),
ISNUMBER(SEARCH("TECLADO",B1677))
),
"COMPLEMENTO",
IF(
OR(
LEFT(A1677,2)="NB",
LEFT(A1677,2)="PC",
LEFT(A1677,2)="WS",
LEFT(A1677,2)="TB",
LEFT(A1677,3)="CEL",
LEFT(A1677,3)="MON",
LEFT(A1677,3)="PRE",
LEFT(A1677,3)="PRH",
ISNUMBER(SEARCH("NOTEBOOK",B1677)),
ISNUMBER(SEARCH("LAPTOP",B1677)),
ISNUMBER(SEARCH("MONITOR",B1677)),
ISNUMBER(SEARCH("TABLET",B1677)),
ISNUMBER(SEARCH("SMARTPH",B1677)),
ISNUMBER(SEARCH("IMPRESORA",B1677)),
ISNUMBER(SEARCH("MULTIFUNCIONAL",B1677)),
ISNUMBER(SEARCH("AIO",B1677))
),
"GANCHO",
"NORMAL"
)
)</f>
        <v>GANCHO</v>
      </c>
    </row>
    <row r="1676" spans="1:12" x14ac:dyDescent="0.25">
      <c r="A1676" s="3" t="s">
        <v>5184</v>
      </c>
      <c r="B1676" s="3" t="s">
        <v>5185</v>
      </c>
      <c r="C1676" s="1">
        <v>20</v>
      </c>
      <c r="D1676" s="1">
        <v>229</v>
      </c>
      <c r="E1676" s="1" t="s">
        <v>838</v>
      </c>
      <c r="F1676" s="1" t="s">
        <v>5186</v>
      </c>
      <c r="G1676" s="3" t="s">
        <v>5187</v>
      </c>
      <c r="H1676" s="11">
        <f>ROUND(
IF(L1674="GANCHO",
   IF(I1676&lt;=50,I1676*1.1+4,IF(I1676&lt;=120,I1676*1.1+7,IF(I1676&lt;=250,I1676*1.1+11,I1676*1.1+19))),
IF(L1674="NORMAL",
   IF(I1676&lt;=30,I1676*1.15+2,IF(I1676&lt;=80,I1676*1.15+4,IF(I1676&lt;=150,I1676*1.15+6,I1676*1.15+8))),
IF(L1674="COMPLEMENTO",
   IF(I1676&lt;=25,I1676*1.25+1.5,IF(I1676&lt;=60,I1676*1.25+3,IF(I1676&lt;=120,I1676*1.25+4,I1676*1.25+5))),
""))),2)</f>
        <v>1053.4000000000001</v>
      </c>
      <c r="I1676" s="9">
        <f>($K$2+0.02)*Tabla1[[#This Row],[PRECIO $]]*1.18</f>
        <v>940.36559999999986</v>
      </c>
      <c r="J1676" s="7">
        <f>+Tabla1[[#This Row],[PRECIO EN SOLES]]-Tabla1[[#This Row],[PC]]</f>
        <v>113.03440000000023</v>
      </c>
      <c r="K1676" s="15"/>
      <c r="L1676" s="15" t="str">
        <f>IF(
OR(
ISNUMBER(SEARCH("BACKPACK",B1678)),
ISNUMBER(SEARCH("MOCHILA",B1678)),
ISNUMBER(SEARCH("FUNDA",B1678)),
ISNUMBER(SEARCH("ESTUCHE",B1678)),
ISNUMBER(SEARCH("BOOK COVER",B1678)),
ISNUMBER(SEARCH("KEYBOARD PARA TABLET",B1678)),
ISNUMBER(SEARCH("FLIP TABLET",B1678)),
ISNUMBER(SEARCH("CASE FOR TABLET",B1678)),
ISNUMBER(SEARCH("CABLE",B1678)),
ISNUMBER(SEARCH("ADAPTADOR",B1678)),
ISNUMBER(SEARCH("HUB",B1678)),
ISNUMBER(SEARCH("DOCK",B1678)),
ISNUMBER(SEARCH("MOUSE PAD",B1678)),
ISNUMBER(SEARCH("MOUSEPAD",B1678)),
ISNUMBER(SEARCH("SOPORTE",B1678)),
ISNUMBER(SEARCH("STAND",B1678)),
ISNUMBER(SEARCH("TRAVEL ADAPTER",B1678)),
ISNUMBER(SEARCH("RJ45",B1678)),
ISNUMBER(SEARCH("USB-C",B1678)),
ISNUMBER(SEARCH("USB WIFI",B1678)),
ISNUMBER(SEARCH("POWERBANK",B1678)),
ISNUMBER(SEARCH("CARGADOR",B1678)),
ISNUMBER(SEARCH("COOLER PARA NB",B1678)),
ISNUMBER(SEARCH("SOPORTE PARA NB",B1678)),
ISNUMBER(SEARCH("WEBCAM",B1678)),
ISNUMBER(SEARCH("WEB CAM",B1678)),
ISNUMBER(SEARCH("MOUSE",B1678)),
ISNUMBER(SEARCH("TECLADO",B1678))
),
"COMPLEMENTO",
IF(
OR(
LEFT(A1678,2)="NB",
LEFT(A1678,2)="PC",
LEFT(A1678,2)="WS",
LEFT(A1678,2)="TB",
LEFT(A1678,3)="CEL",
LEFT(A1678,3)="MON",
LEFT(A1678,3)="PRE",
LEFT(A1678,3)="PRH",
ISNUMBER(SEARCH("NOTEBOOK",B1678)),
ISNUMBER(SEARCH("LAPTOP",B1678)),
ISNUMBER(SEARCH("MONITOR",B1678)),
ISNUMBER(SEARCH("TABLET",B1678)),
ISNUMBER(SEARCH("SMARTPH",B1678)),
ISNUMBER(SEARCH("IMPRESORA",B1678)),
ISNUMBER(SEARCH("MULTIFUNCIONAL",B1678)),
ISNUMBER(SEARCH("AIO",B1678))
),
"GANCHO",
"NORMAL"
)
)</f>
        <v>GANCHO</v>
      </c>
    </row>
    <row r="1677" spans="1:12" x14ac:dyDescent="0.25">
      <c r="A1677" s="3" t="s">
        <v>6152</v>
      </c>
      <c r="B1677" s="3" t="s">
        <v>6153</v>
      </c>
      <c r="C1677" s="1">
        <v>20</v>
      </c>
      <c r="D1677" s="1">
        <v>239</v>
      </c>
      <c r="E1677" s="1" t="s">
        <v>838</v>
      </c>
      <c r="F1677" s="1" t="s">
        <v>6154</v>
      </c>
      <c r="G1677" s="3" t="s">
        <v>6155</v>
      </c>
      <c r="H1677" s="11">
        <f>ROUND(
IF(L1675="GANCHO",
   IF(I1677&lt;=50,I1677*1.1+4,IF(I1677&lt;=120,I1677*1.1+7,IF(I1677&lt;=250,I1677*1.1+11,I1677*1.1+19))),
IF(L1675="NORMAL",
   IF(I1677&lt;=30,I1677*1.15+2,IF(I1677&lt;=80,I1677*1.15+4,IF(I1677&lt;=150,I1677*1.15+6,I1677*1.15+8))),
IF(L1675="COMPLEMENTO",
   IF(I1677&lt;=25,I1677*1.25+1.5,IF(I1677&lt;=60,I1677*1.25+3,IF(I1677&lt;=120,I1677*1.25+4,I1677*1.25+5))),
""))),2)</f>
        <v>1098.57</v>
      </c>
      <c r="I1677" s="9">
        <f>($K$2+0.02)*Tabla1[[#This Row],[PRECIO $]]*1.18</f>
        <v>981.42959999999994</v>
      </c>
      <c r="J1677" s="7">
        <f>+Tabla1[[#This Row],[PRECIO EN SOLES]]-Tabla1[[#This Row],[PC]]</f>
        <v>117.1404</v>
      </c>
      <c r="K1677" s="15"/>
      <c r="L1677" s="15" t="str">
        <f>IF(
OR(
ISNUMBER(SEARCH("BACKPACK",B1679)),
ISNUMBER(SEARCH("MOCHILA",B1679)),
ISNUMBER(SEARCH("FUNDA",B1679)),
ISNUMBER(SEARCH("ESTUCHE",B1679)),
ISNUMBER(SEARCH("BOOK COVER",B1679)),
ISNUMBER(SEARCH("KEYBOARD PARA TABLET",B1679)),
ISNUMBER(SEARCH("FLIP TABLET",B1679)),
ISNUMBER(SEARCH("CASE FOR TABLET",B1679)),
ISNUMBER(SEARCH("CABLE",B1679)),
ISNUMBER(SEARCH("ADAPTADOR",B1679)),
ISNUMBER(SEARCH("HUB",B1679)),
ISNUMBER(SEARCH("DOCK",B1679)),
ISNUMBER(SEARCH("MOUSE PAD",B1679)),
ISNUMBER(SEARCH("MOUSEPAD",B1679)),
ISNUMBER(SEARCH("SOPORTE",B1679)),
ISNUMBER(SEARCH("STAND",B1679)),
ISNUMBER(SEARCH("TRAVEL ADAPTER",B1679)),
ISNUMBER(SEARCH("RJ45",B1679)),
ISNUMBER(SEARCH("USB-C",B1679)),
ISNUMBER(SEARCH("USB WIFI",B1679)),
ISNUMBER(SEARCH("POWERBANK",B1679)),
ISNUMBER(SEARCH("CARGADOR",B1679)),
ISNUMBER(SEARCH("COOLER PARA NB",B1679)),
ISNUMBER(SEARCH("SOPORTE PARA NB",B1679)),
ISNUMBER(SEARCH("WEBCAM",B1679)),
ISNUMBER(SEARCH("WEB CAM",B1679)),
ISNUMBER(SEARCH("MOUSE",B1679)),
ISNUMBER(SEARCH("TECLADO",B1679))
),
"COMPLEMENTO",
IF(
OR(
LEFT(A1679,2)="NB",
LEFT(A1679,2)="PC",
LEFT(A1679,2)="WS",
LEFT(A1679,2)="TB",
LEFT(A1679,3)="CEL",
LEFT(A1679,3)="MON",
LEFT(A1679,3)="PRE",
LEFT(A1679,3)="PRH",
ISNUMBER(SEARCH("NOTEBOOK",B1679)),
ISNUMBER(SEARCH("LAPTOP",B1679)),
ISNUMBER(SEARCH("MONITOR",B1679)),
ISNUMBER(SEARCH("TABLET",B1679)),
ISNUMBER(SEARCH("SMARTPH",B1679)),
ISNUMBER(SEARCH("IMPRESORA",B1679)),
ISNUMBER(SEARCH("MULTIFUNCIONAL",B1679)),
ISNUMBER(SEARCH("AIO",B1679))
),
"GANCHO",
"NORMAL"
)
)</f>
        <v>GANCHO</v>
      </c>
    </row>
    <row r="1678" spans="1:12" x14ac:dyDescent="0.25">
      <c r="A1678" s="3" t="s">
        <v>3001</v>
      </c>
      <c r="B1678" s="3" t="s">
        <v>3002</v>
      </c>
      <c r="C1678" s="1">
        <v>20</v>
      </c>
      <c r="D1678" s="1">
        <v>525</v>
      </c>
      <c r="E1678" s="1" t="s">
        <v>838</v>
      </c>
      <c r="F1678" s="1" t="s">
        <v>4093</v>
      </c>
      <c r="G1678" s="3" t="s">
        <v>3003</v>
      </c>
      <c r="H1678" s="11">
        <f>ROUND(
IF(L1676="GANCHO",
   IF(I1678&lt;=50,I1678*1.1+4,IF(I1678&lt;=120,I1678*1.1+7,IF(I1678&lt;=250,I1678*1.1+11,I1678*1.1+19))),
IF(L1676="NORMAL",
   IF(I1678&lt;=30,I1678*1.15+2,IF(I1678&lt;=80,I1678*1.15+4,IF(I1678&lt;=150,I1678*1.15+6,I1678*1.15+8))),
IF(L1676="COMPLEMENTO",
   IF(I1678&lt;=25,I1678*1.25+1.5,IF(I1678&lt;=60,I1678*1.25+3,IF(I1678&lt;=120,I1678*1.25+4,I1678*1.25+5))),
""))),2)</f>
        <v>2390.4499999999998</v>
      </c>
      <c r="I1678" s="9">
        <f>($K$2+0.02)*Tabla1[[#This Row],[PRECIO $]]*1.18</f>
        <v>2155.8599999999997</v>
      </c>
      <c r="J1678" s="7">
        <f>+Tabla1[[#This Row],[PRECIO EN SOLES]]-Tabla1[[#This Row],[PC]]</f>
        <v>234.59000000000015</v>
      </c>
      <c r="K1678" s="15"/>
      <c r="L1678" s="15" t="str">
        <f>IF(
OR(
ISNUMBER(SEARCH("BACKPACK",B1680)),
ISNUMBER(SEARCH("MOCHILA",B1680)),
ISNUMBER(SEARCH("FUNDA",B1680)),
ISNUMBER(SEARCH("ESTUCHE",B1680)),
ISNUMBER(SEARCH("BOOK COVER",B1680)),
ISNUMBER(SEARCH("KEYBOARD PARA TABLET",B1680)),
ISNUMBER(SEARCH("FLIP TABLET",B1680)),
ISNUMBER(SEARCH("CASE FOR TABLET",B1680)),
ISNUMBER(SEARCH("CABLE",B1680)),
ISNUMBER(SEARCH("ADAPTADOR",B1680)),
ISNUMBER(SEARCH("HUB",B1680)),
ISNUMBER(SEARCH("DOCK",B1680)),
ISNUMBER(SEARCH("MOUSE PAD",B1680)),
ISNUMBER(SEARCH("MOUSEPAD",B1680)),
ISNUMBER(SEARCH("SOPORTE",B1680)),
ISNUMBER(SEARCH("STAND",B1680)),
ISNUMBER(SEARCH("TRAVEL ADAPTER",B1680)),
ISNUMBER(SEARCH("RJ45",B1680)),
ISNUMBER(SEARCH("USB-C",B1680)),
ISNUMBER(SEARCH("USB WIFI",B1680)),
ISNUMBER(SEARCH("POWERBANK",B1680)),
ISNUMBER(SEARCH("CARGADOR",B1680)),
ISNUMBER(SEARCH("COOLER PARA NB",B1680)),
ISNUMBER(SEARCH("SOPORTE PARA NB",B1680)),
ISNUMBER(SEARCH("WEBCAM",B1680)),
ISNUMBER(SEARCH("WEB CAM",B1680)),
ISNUMBER(SEARCH("MOUSE",B1680)),
ISNUMBER(SEARCH("TECLADO",B1680))
),
"COMPLEMENTO",
IF(
OR(
LEFT(A1680,2)="NB",
LEFT(A1680,2)="PC",
LEFT(A1680,2)="WS",
LEFT(A1680,2)="TB",
LEFT(A1680,3)="CEL",
LEFT(A1680,3)="MON",
LEFT(A1680,3)="PRE",
LEFT(A1680,3)="PRH",
ISNUMBER(SEARCH("NOTEBOOK",B1680)),
ISNUMBER(SEARCH("LAPTOP",B1680)),
ISNUMBER(SEARCH("MONITOR",B1680)),
ISNUMBER(SEARCH("TABLET",B1680)),
ISNUMBER(SEARCH("SMARTPH",B1680)),
ISNUMBER(SEARCH("IMPRESORA",B1680)),
ISNUMBER(SEARCH("MULTIFUNCIONAL",B1680)),
ISNUMBER(SEARCH("AIO",B1680))
),
"GANCHO",
"NORMAL"
)
)</f>
        <v>GANCHO</v>
      </c>
    </row>
    <row r="1679" spans="1:12" x14ac:dyDescent="0.25">
      <c r="A1679" s="3" t="s">
        <v>6156</v>
      </c>
      <c r="B1679" s="3" t="s">
        <v>6157</v>
      </c>
      <c r="C1679" s="1">
        <v>0</v>
      </c>
      <c r="D1679" s="1">
        <v>298</v>
      </c>
      <c r="E1679" s="1" t="s">
        <v>838</v>
      </c>
      <c r="F1679" s="1" t="s">
        <v>6158</v>
      </c>
      <c r="G1679" s="3" t="s">
        <v>2587</v>
      </c>
      <c r="H1679" s="11">
        <f>ROUND(
IF(L1677="GANCHO",
   IF(I1679&lt;=50,I1679*1.1+4,IF(I1679&lt;=120,I1679*1.1+7,IF(I1679&lt;=250,I1679*1.1+11,I1679*1.1+19))),
IF(L1677="NORMAL",
   IF(I1679&lt;=30,I1679*1.15+2,IF(I1679&lt;=80,I1679*1.15+4,IF(I1679&lt;=150,I1679*1.15+6,I1679*1.15+8))),
IF(L1677="COMPLEMENTO",
   IF(I1679&lt;=25,I1679*1.25+1.5,IF(I1679&lt;=60,I1679*1.25+3,IF(I1679&lt;=120,I1679*1.25+4,I1679*1.25+5))),
""))),2)</f>
        <v>1365.08</v>
      </c>
      <c r="I1679" s="9">
        <f>($K$2+0.02)*Tabla1[[#This Row],[PRECIO $]]*1.18</f>
        <v>1223.7071999999998</v>
      </c>
      <c r="J1679" s="7">
        <f>+Tabla1[[#This Row],[PRECIO EN SOLES]]-Tabla1[[#This Row],[PC]]</f>
        <v>141.3728000000001</v>
      </c>
      <c r="K1679" s="15"/>
      <c r="L1679" s="15" t="str">
        <f>IF(
OR(
ISNUMBER(SEARCH("BACKPACK",B1681)),
ISNUMBER(SEARCH("MOCHILA",B1681)),
ISNUMBER(SEARCH("FUNDA",B1681)),
ISNUMBER(SEARCH("ESTUCHE",B1681)),
ISNUMBER(SEARCH("BOOK COVER",B1681)),
ISNUMBER(SEARCH("KEYBOARD PARA TABLET",B1681)),
ISNUMBER(SEARCH("FLIP TABLET",B1681)),
ISNUMBER(SEARCH("CASE FOR TABLET",B1681)),
ISNUMBER(SEARCH("CABLE",B1681)),
ISNUMBER(SEARCH("ADAPTADOR",B1681)),
ISNUMBER(SEARCH("HUB",B1681)),
ISNUMBER(SEARCH("DOCK",B1681)),
ISNUMBER(SEARCH("MOUSE PAD",B1681)),
ISNUMBER(SEARCH("MOUSEPAD",B1681)),
ISNUMBER(SEARCH("SOPORTE",B1681)),
ISNUMBER(SEARCH("STAND",B1681)),
ISNUMBER(SEARCH("TRAVEL ADAPTER",B1681)),
ISNUMBER(SEARCH("RJ45",B1681)),
ISNUMBER(SEARCH("USB-C",B1681)),
ISNUMBER(SEARCH("USB WIFI",B1681)),
ISNUMBER(SEARCH("POWERBANK",B1681)),
ISNUMBER(SEARCH("CARGADOR",B1681)),
ISNUMBER(SEARCH("COOLER PARA NB",B1681)),
ISNUMBER(SEARCH("SOPORTE PARA NB",B1681)),
ISNUMBER(SEARCH("WEBCAM",B1681)),
ISNUMBER(SEARCH("WEB CAM",B1681)),
ISNUMBER(SEARCH("MOUSE",B1681)),
ISNUMBER(SEARCH("TECLADO",B1681))
),
"COMPLEMENTO",
IF(
OR(
LEFT(A1681,2)="NB",
LEFT(A1681,2)="PC",
LEFT(A1681,2)="WS",
LEFT(A1681,2)="TB",
LEFT(A1681,3)="CEL",
LEFT(A1681,3)="MON",
LEFT(A1681,3)="PRE",
LEFT(A1681,3)="PRH",
ISNUMBER(SEARCH("NOTEBOOK",B1681)),
ISNUMBER(SEARCH("LAPTOP",B1681)),
ISNUMBER(SEARCH("MONITOR",B1681)),
ISNUMBER(SEARCH("TABLET",B1681)),
ISNUMBER(SEARCH("SMARTPH",B1681)),
ISNUMBER(SEARCH("IMPRESORA",B1681)),
ISNUMBER(SEARCH("MULTIFUNCIONAL",B1681)),
ISNUMBER(SEARCH("AIO",B1681))
),
"GANCHO",
"NORMAL"
)
)</f>
        <v>GANCHO</v>
      </c>
    </row>
    <row r="1680" spans="1:12" x14ac:dyDescent="0.25">
      <c r="A1680" s="3" t="s">
        <v>6159</v>
      </c>
      <c r="B1680" s="3" t="s">
        <v>6160</v>
      </c>
      <c r="C1680" s="1">
        <v>10</v>
      </c>
      <c r="D1680" s="1">
        <v>358</v>
      </c>
      <c r="E1680" s="1" t="s">
        <v>838</v>
      </c>
      <c r="F1680" s="1" t="s">
        <v>6161</v>
      </c>
      <c r="G1680" s="3" t="s">
        <v>6162</v>
      </c>
      <c r="H1680" s="11">
        <f>ROUND(
IF(L1678="GANCHO",
   IF(I1680&lt;=50,I1680*1.1+4,IF(I1680&lt;=120,I1680*1.1+7,IF(I1680&lt;=250,I1680*1.1+11,I1680*1.1+19))),
IF(L1678="NORMAL",
   IF(I1680&lt;=30,I1680*1.15+2,IF(I1680&lt;=80,I1680*1.15+4,IF(I1680&lt;=150,I1680*1.15+6,I1680*1.15+8))),
IF(L1678="COMPLEMENTO",
   IF(I1680&lt;=25,I1680*1.25+1.5,IF(I1680&lt;=60,I1680*1.25+3,IF(I1680&lt;=120,I1680*1.25+4,I1680*1.25+5))),
""))),2)</f>
        <v>1636.1</v>
      </c>
      <c r="I1680" s="9">
        <f>($K$2+0.02)*Tabla1[[#This Row],[PRECIO $]]*1.18</f>
        <v>1470.0911999999998</v>
      </c>
      <c r="J1680" s="7">
        <f>+Tabla1[[#This Row],[PRECIO EN SOLES]]-Tabla1[[#This Row],[PC]]</f>
        <v>166.00880000000006</v>
      </c>
      <c r="K1680" s="15"/>
      <c r="L1680" s="15" t="str">
        <f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GANCHO</v>
      </c>
    </row>
    <row r="1681" spans="1:12" x14ac:dyDescent="0.25">
      <c r="A1681" s="3" t="s">
        <v>2588</v>
      </c>
      <c r="B1681" s="3" t="s">
        <v>2589</v>
      </c>
      <c r="C1681" s="1">
        <v>20</v>
      </c>
      <c r="D1681" s="1">
        <v>369</v>
      </c>
      <c r="E1681" s="1" t="s">
        <v>838</v>
      </c>
      <c r="F1681" s="1" t="s">
        <v>4094</v>
      </c>
      <c r="G1681" s="3" t="s">
        <v>2587</v>
      </c>
      <c r="H1681" s="11">
        <f>ROUND(
IF(L1679="GANCHO",
   IF(I1681&lt;=50,I1681*1.1+4,IF(I1681&lt;=120,I1681*1.1+7,IF(I1681&lt;=250,I1681*1.1+11,I1681*1.1+19))),
IF(L1679="NORMAL",
   IF(I1681&lt;=30,I1681*1.15+2,IF(I1681&lt;=80,I1681*1.15+4,IF(I1681&lt;=150,I1681*1.15+6,I1681*1.15+8))),
IF(L1679="COMPLEMENTO",
   IF(I1681&lt;=25,I1681*1.25+1.5,IF(I1681&lt;=60,I1681*1.25+3,IF(I1681&lt;=120,I1681*1.25+4,I1681*1.25+5))),
""))),2)</f>
        <v>1685.79</v>
      </c>
      <c r="I1681" s="9">
        <f>($K$2+0.02)*Tabla1[[#This Row],[PRECIO $]]*1.18</f>
        <v>1515.2615999999998</v>
      </c>
      <c r="J1681" s="7">
        <f>+Tabla1[[#This Row],[PRECIO EN SOLES]]-Tabla1[[#This Row],[PC]]</f>
        <v>170.52840000000015</v>
      </c>
      <c r="K1681" s="15"/>
      <c r="L1681" s="15" t="str">
        <f>IF(
OR(
ISNUMBER(SEARCH("BACKPACK",B1683)),
ISNUMBER(SEARCH("MOCHILA",B1683)),
ISNUMBER(SEARCH("FUNDA",B1683)),
ISNUMBER(SEARCH("ESTUCHE",B1683)),
ISNUMBER(SEARCH("BOOK COVER",B1683)),
ISNUMBER(SEARCH("KEYBOARD PARA TABLET",B1683)),
ISNUMBER(SEARCH("FLIP TABLET",B1683)),
ISNUMBER(SEARCH("CASE FOR TABLET",B1683)),
ISNUMBER(SEARCH("CABLE",B1683)),
ISNUMBER(SEARCH("ADAPTADOR",B1683)),
ISNUMBER(SEARCH("HUB",B1683)),
ISNUMBER(SEARCH("DOCK",B1683)),
ISNUMBER(SEARCH("MOUSE PAD",B1683)),
ISNUMBER(SEARCH("MOUSEPAD",B1683)),
ISNUMBER(SEARCH("SOPORTE",B1683)),
ISNUMBER(SEARCH("STAND",B1683)),
ISNUMBER(SEARCH("TRAVEL ADAPTER",B1683)),
ISNUMBER(SEARCH("RJ45",B1683)),
ISNUMBER(SEARCH("USB-C",B1683)),
ISNUMBER(SEARCH("USB WIFI",B1683)),
ISNUMBER(SEARCH("POWERBANK",B1683)),
ISNUMBER(SEARCH("CARGADOR",B1683)),
ISNUMBER(SEARCH("COOLER PARA NB",B1683)),
ISNUMBER(SEARCH("SOPORTE PARA NB",B1683)),
ISNUMBER(SEARCH("WEBCAM",B1683)),
ISNUMBER(SEARCH("WEB CAM",B1683)),
ISNUMBER(SEARCH("MOUSE",B1683)),
ISNUMBER(SEARCH("TECLADO",B1683))
),
"COMPLEMENTO",
IF(
OR(
LEFT(A1683,2)="NB",
LEFT(A1683,2)="PC",
LEFT(A1683,2)="WS",
LEFT(A1683,2)="TB",
LEFT(A1683,3)="CEL",
LEFT(A1683,3)="MON",
LEFT(A1683,3)="PRE",
LEFT(A1683,3)="PRH",
ISNUMBER(SEARCH("NOTEBOOK",B1683)),
ISNUMBER(SEARCH("LAPTOP",B1683)),
ISNUMBER(SEARCH("MONITOR",B1683)),
ISNUMBER(SEARCH("TABLET",B1683)),
ISNUMBER(SEARCH("SMARTPH",B1683)),
ISNUMBER(SEARCH("IMPRESORA",B1683)),
ISNUMBER(SEARCH("MULTIFUNCIONAL",B1683)),
ISNUMBER(SEARCH("AIO",B1683))
),
"GANCHO",
"NORMAL"
)
)</f>
        <v>GANCHO</v>
      </c>
    </row>
    <row r="1682" spans="1:12" x14ac:dyDescent="0.25">
      <c r="A1682" s="3" t="s">
        <v>5188</v>
      </c>
      <c r="B1682" s="3" t="s">
        <v>5189</v>
      </c>
      <c r="C1682" s="1">
        <v>20</v>
      </c>
      <c r="D1682" s="1">
        <v>429</v>
      </c>
      <c r="E1682" s="1" t="s">
        <v>838</v>
      </c>
      <c r="F1682" s="1" t="s">
        <v>5190</v>
      </c>
      <c r="G1682" s="3" t="s">
        <v>5191</v>
      </c>
      <c r="H1682" s="11">
        <f>ROUND(
IF(L1680="GANCHO",
   IF(I1682&lt;=50,I1682*1.1+4,IF(I1682&lt;=120,I1682*1.1+7,IF(I1682&lt;=250,I1682*1.1+11,I1682*1.1+19))),
IF(L1680="NORMAL",
   IF(I1682&lt;=30,I1682*1.15+2,IF(I1682&lt;=80,I1682*1.15+4,IF(I1682&lt;=150,I1682*1.15+6,I1682*1.15+8))),
IF(L1680="COMPLEMENTO",
   IF(I1682&lt;=25,I1682*1.25+1.5,IF(I1682&lt;=60,I1682*1.25+3,IF(I1682&lt;=120,I1682*1.25+4,I1682*1.25+5))),
""))),2)</f>
        <v>1956.81</v>
      </c>
      <c r="I1682" s="9">
        <f>($K$2+0.02)*Tabla1[[#This Row],[PRECIO $]]*1.18</f>
        <v>1761.6456000000001</v>
      </c>
      <c r="J1682" s="7">
        <f>+Tabla1[[#This Row],[PRECIO EN SOLES]]-Tabla1[[#This Row],[PC]]</f>
        <v>195.16439999999989</v>
      </c>
      <c r="K1682" s="15"/>
      <c r="L1682" s="15" t="str">
        <f>IF(
OR(
ISNUMBER(SEARCH("BACKPACK",B1684)),
ISNUMBER(SEARCH("MOCHILA",B1684)),
ISNUMBER(SEARCH("FUNDA",B1684)),
ISNUMBER(SEARCH("ESTUCHE",B1684)),
ISNUMBER(SEARCH("BOOK COVER",B1684)),
ISNUMBER(SEARCH("KEYBOARD PARA TABLET",B1684)),
ISNUMBER(SEARCH("FLIP TABLET",B1684)),
ISNUMBER(SEARCH("CASE FOR TABLET",B1684)),
ISNUMBER(SEARCH("CABLE",B1684)),
ISNUMBER(SEARCH("ADAPTADOR",B1684)),
ISNUMBER(SEARCH("HUB",B1684)),
ISNUMBER(SEARCH("DOCK",B1684)),
ISNUMBER(SEARCH("MOUSE PAD",B1684)),
ISNUMBER(SEARCH("MOUSEPAD",B1684)),
ISNUMBER(SEARCH("SOPORTE",B1684)),
ISNUMBER(SEARCH("STAND",B1684)),
ISNUMBER(SEARCH("TRAVEL ADAPTER",B1684)),
ISNUMBER(SEARCH("RJ45",B1684)),
ISNUMBER(SEARCH("USB-C",B1684)),
ISNUMBER(SEARCH("USB WIFI",B1684)),
ISNUMBER(SEARCH("POWERBANK",B1684)),
ISNUMBER(SEARCH("CARGADOR",B1684)),
ISNUMBER(SEARCH("COOLER PARA NB",B1684)),
ISNUMBER(SEARCH("SOPORTE PARA NB",B1684)),
ISNUMBER(SEARCH("WEBCAM",B1684)),
ISNUMBER(SEARCH("WEB CAM",B1684)),
ISNUMBER(SEARCH("MOUSE",B1684)),
ISNUMBER(SEARCH("TECLADO",B1684))
),
"COMPLEMENTO",
IF(
OR(
LEFT(A1684,2)="NB",
LEFT(A1684,2)="PC",
LEFT(A1684,2)="WS",
LEFT(A1684,2)="TB",
LEFT(A1684,3)="CEL",
LEFT(A1684,3)="MON",
LEFT(A1684,3)="PRE",
LEFT(A1684,3)="PRH",
ISNUMBER(SEARCH("NOTEBOOK",B1684)),
ISNUMBER(SEARCH("LAPTOP",B1684)),
ISNUMBER(SEARCH("MONITOR",B1684)),
ISNUMBER(SEARCH("TABLET",B1684)),
ISNUMBER(SEARCH("SMARTPH",B1684)),
ISNUMBER(SEARCH("IMPRESORA",B1684)),
ISNUMBER(SEARCH("MULTIFUNCIONAL",B1684)),
ISNUMBER(SEARCH("AIO",B1684))
),
"GANCHO",
"NORMAL"
)
)</f>
        <v>GANCHO</v>
      </c>
    </row>
    <row r="1683" spans="1:12" x14ac:dyDescent="0.25">
      <c r="A1683" s="3" t="s">
        <v>6163</v>
      </c>
      <c r="B1683" s="3" t="s">
        <v>6164</v>
      </c>
      <c r="C1683" s="1">
        <v>3</v>
      </c>
      <c r="D1683" s="1">
        <v>478</v>
      </c>
      <c r="E1683" s="1" t="s">
        <v>838</v>
      </c>
      <c r="F1683" s="1" t="s">
        <v>6165</v>
      </c>
      <c r="G1683" s="3" t="s">
        <v>6166</v>
      </c>
      <c r="H1683" s="11">
        <f>ROUND(
IF(L1681="GANCHO",
   IF(I1683&lt;=50,I1683*1.1+4,IF(I1683&lt;=120,I1683*1.1+7,IF(I1683&lt;=250,I1683*1.1+11,I1683*1.1+19))),
IF(L1681="NORMAL",
   IF(I1683&lt;=30,I1683*1.15+2,IF(I1683&lt;=80,I1683*1.15+4,IF(I1683&lt;=150,I1683*1.15+6,I1683*1.15+8))),
IF(L1681="COMPLEMENTO",
   IF(I1683&lt;=25,I1683*1.25+1.5,IF(I1683&lt;=60,I1683*1.25+3,IF(I1683&lt;=120,I1683*1.25+4,I1683*1.25+5))),
""))),2)</f>
        <v>2178.15</v>
      </c>
      <c r="I1683" s="9">
        <f>($K$2+0.02)*Tabla1[[#This Row],[PRECIO $]]*1.18</f>
        <v>1962.8591999999999</v>
      </c>
      <c r="J1683" s="7">
        <f>+Tabla1[[#This Row],[PRECIO EN SOLES]]-Tabla1[[#This Row],[PC]]</f>
        <v>215.29080000000022</v>
      </c>
      <c r="K1683" s="15"/>
      <c r="L1683" s="15" t="str">
        <f>IF(
OR(
ISNUMBER(SEARCH("BACKPACK",B1685)),
ISNUMBER(SEARCH("MOCHILA",B1685)),
ISNUMBER(SEARCH("FUNDA",B1685)),
ISNUMBER(SEARCH("ESTUCHE",B1685)),
ISNUMBER(SEARCH("BOOK COVER",B1685)),
ISNUMBER(SEARCH("KEYBOARD PARA TABLET",B1685)),
ISNUMBER(SEARCH("FLIP TABLET",B1685)),
ISNUMBER(SEARCH("CASE FOR TABLET",B1685)),
ISNUMBER(SEARCH("CABLE",B1685)),
ISNUMBER(SEARCH("ADAPTADOR",B1685)),
ISNUMBER(SEARCH("HUB",B1685)),
ISNUMBER(SEARCH("DOCK",B1685)),
ISNUMBER(SEARCH("MOUSE PAD",B1685)),
ISNUMBER(SEARCH("MOUSEPAD",B1685)),
ISNUMBER(SEARCH("SOPORTE",B1685)),
ISNUMBER(SEARCH("STAND",B1685)),
ISNUMBER(SEARCH("TRAVEL ADAPTER",B1685)),
ISNUMBER(SEARCH("RJ45",B1685)),
ISNUMBER(SEARCH("USB-C",B1685)),
ISNUMBER(SEARCH("USB WIFI",B1685)),
ISNUMBER(SEARCH("POWERBANK",B1685)),
ISNUMBER(SEARCH("CARGADOR",B1685)),
ISNUMBER(SEARCH("COOLER PARA NB",B1685)),
ISNUMBER(SEARCH("SOPORTE PARA NB",B1685)),
ISNUMBER(SEARCH("WEBCAM",B1685)),
ISNUMBER(SEARCH("WEB CAM",B1685)),
ISNUMBER(SEARCH("MOUSE",B1685)),
ISNUMBER(SEARCH("TECLADO",B1685))
),
"COMPLEMENTO",
IF(
OR(
LEFT(A1685,2)="NB",
LEFT(A1685,2)="PC",
LEFT(A1685,2)="WS",
LEFT(A1685,2)="TB",
LEFT(A1685,3)="CEL",
LEFT(A1685,3)="MON",
LEFT(A1685,3)="PRE",
LEFT(A1685,3)="PRH",
ISNUMBER(SEARCH("NOTEBOOK",B1685)),
ISNUMBER(SEARCH("LAPTOP",B1685)),
ISNUMBER(SEARCH("MONITOR",B1685)),
ISNUMBER(SEARCH("TABLET",B1685)),
ISNUMBER(SEARCH("SMARTPH",B1685)),
ISNUMBER(SEARCH("IMPRESORA",B1685)),
ISNUMBER(SEARCH("MULTIFUNCIONAL",B1685)),
ISNUMBER(SEARCH("AIO",B1685))
),
"GANCHO",
"NORMAL"
)
)</f>
        <v>GANCHO</v>
      </c>
    </row>
    <row r="1684" spans="1:12" x14ac:dyDescent="0.25">
      <c r="A1684" s="3" t="s">
        <v>3004</v>
      </c>
      <c r="B1684" s="3" t="s">
        <v>3005</v>
      </c>
      <c r="C1684" s="1">
        <v>20</v>
      </c>
      <c r="D1684" s="1">
        <v>517</v>
      </c>
      <c r="E1684" s="1" t="s">
        <v>838</v>
      </c>
      <c r="F1684" s="1" t="s">
        <v>4095</v>
      </c>
      <c r="G1684" s="3" t="s">
        <v>3006</v>
      </c>
      <c r="H1684" s="11">
        <f>ROUND(
IF(L1682="GANCHO",
   IF(I1684&lt;=50,I1684*1.1+4,IF(I1684&lt;=120,I1684*1.1+7,IF(I1684&lt;=250,I1684*1.1+11,I1684*1.1+19))),
IF(L1682="NORMAL",
   IF(I1684&lt;=30,I1684*1.15+2,IF(I1684&lt;=80,I1684*1.15+4,IF(I1684&lt;=150,I1684*1.15+6,I1684*1.15+8))),
IF(L1682="COMPLEMENTO",
   IF(I1684&lt;=25,I1684*1.25+1.5,IF(I1684&lt;=60,I1684*1.25+3,IF(I1684&lt;=120,I1684*1.25+4,I1684*1.25+5))),
""))),2)</f>
        <v>2354.31</v>
      </c>
      <c r="I1684" s="9">
        <f>($K$2+0.02)*Tabla1[[#This Row],[PRECIO $]]*1.18</f>
        <v>2123.0088000000001</v>
      </c>
      <c r="J1684" s="7">
        <f>+Tabla1[[#This Row],[PRECIO EN SOLES]]-Tabla1[[#This Row],[PC]]</f>
        <v>231.30119999999988</v>
      </c>
      <c r="K1684" s="15"/>
      <c r="L1684" s="15" t="str">
        <f>IF(
OR(
ISNUMBER(SEARCH("BACKPACK",B1686)),
ISNUMBER(SEARCH("MOCHILA",B1686)),
ISNUMBER(SEARCH("FUNDA",B1686)),
ISNUMBER(SEARCH("ESTUCHE",B1686)),
ISNUMBER(SEARCH("BOOK COVER",B1686)),
ISNUMBER(SEARCH("KEYBOARD PARA TABLET",B1686)),
ISNUMBER(SEARCH("FLIP TABLET",B1686)),
ISNUMBER(SEARCH("CASE FOR TABLET",B1686)),
ISNUMBER(SEARCH("CABLE",B1686)),
ISNUMBER(SEARCH("ADAPTADOR",B1686)),
ISNUMBER(SEARCH("HUB",B1686)),
ISNUMBER(SEARCH("DOCK",B1686)),
ISNUMBER(SEARCH("MOUSE PAD",B1686)),
ISNUMBER(SEARCH("MOUSEPAD",B1686)),
ISNUMBER(SEARCH("SOPORTE",B1686)),
ISNUMBER(SEARCH("STAND",B1686)),
ISNUMBER(SEARCH("TRAVEL ADAPTER",B1686)),
ISNUMBER(SEARCH("RJ45",B1686)),
ISNUMBER(SEARCH("USB-C",B1686)),
ISNUMBER(SEARCH("USB WIFI",B1686)),
ISNUMBER(SEARCH("POWERBANK",B1686)),
ISNUMBER(SEARCH("CARGADOR",B1686)),
ISNUMBER(SEARCH("COOLER PARA NB",B1686)),
ISNUMBER(SEARCH("SOPORTE PARA NB",B1686)),
ISNUMBER(SEARCH("WEBCAM",B1686)),
ISNUMBER(SEARCH("WEB CAM",B1686)),
ISNUMBER(SEARCH("MOUSE",B1686)),
ISNUMBER(SEARCH("TECLADO",B1686))
),
"COMPLEMENTO",
IF(
OR(
LEFT(A1686,2)="NB",
LEFT(A1686,2)="PC",
LEFT(A1686,2)="WS",
LEFT(A1686,2)="TB",
LEFT(A1686,3)="CEL",
LEFT(A1686,3)="MON",
LEFT(A1686,3)="PRE",
LEFT(A1686,3)="PRH",
ISNUMBER(SEARCH("NOTEBOOK",B1686)),
ISNUMBER(SEARCH("LAPTOP",B1686)),
ISNUMBER(SEARCH("MONITOR",B1686)),
ISNUMBER(SEARCH("TABLET",B1686)),
ISNUMBER(SEARCH("SMARTPH",B1686)),
ISNUMBER(SEARCH("IMPRESORA",B1686)),
ISNUMBER(SEARCH("MULTIFUNCIONAL",B1686)),
ISNUMBER(SEARCH("AIO",B1686))
),
"GANCHO",
"NORMAL"
)
)</f>
        <v>GANCHO</v>
      </c>
    </row>
    <row r="1685" spans="1:12" x14ac:dyDescent="0.25">
      <c r="A1685" s="3" t="s">
        <v>4536</v>
      </c>
      <c r="B1685" s="3" t="s">
        <v>2591</v>
      </c>
      <c r="C1685" s="1">
        <v>20</v>
      </c>
      <c r="D1685" s="1">
        <v>579</v>
      </c>
      <c r="E1685" s="1" t="s">
        <v>838</v>
      </c>
      <c r="F1685" s="1" t="s">
        <v>4537</v>
      </c>
      <c r="G1685" s="3" t="s">
        <v>5068</v>
      </c>
      <c r="H1685" s="11">
        <f>ROUND(
IF(L1683="GANCHO",
   IF(I1685&lt;=50,I1685*1.1+4,IF(I1685&lt;=120,I1685*1.1+7,IF(I1685&lt;=250,I1685*1.1+11,I1685*1.1+19))),
IF(L1683="NORMAL",
   IF(I1685&lt;=30,I1685*1.15+2,IF(I1685&lt;=80,I1685*1.15+4,IF(I1685&lt;=150,I1685*1.15+6,I1685*1.15+8))),
IF(L1683="COMPLEMENTO",
   IF(I1685&lt;=25,I1685*1.25+1.5,IF(I1685&lt;=60,I1685*1.25+3,IF(I1685&lt;=120,I1685*1.25+4,I1685*1.25+5))),
""))),2)</f>
        <v>2634.37</v>
      </c>
      <c r="I1685" s="9">
        <f>($K$2+0.02)*Tabla1[[#This Row],[PRECIO $]]*1.18</f>
        <v>2377.6055999999999</v>
      </c>
      <c r="J1685" s="7">
        <f>+Tabla1[[#This Row],[PRECIO EN SOLES]]-Tabla1[[#This Row],[PC]]</f>
        <v>256.76440000000002</v>
      </c>
      <c r="K1685" s="15"/>
      <c r="L1685" s="15" t="str">
        <f>IF(
OR(
ISNUMBER(SEARCH("BACKPACK",B1687)),
ISNUMBER(SEARCH("MOCHILA",B1687)),
ISNUMBER(SEARCH("FUNDA",B1687)),
ISNUMBER(SEARCH("ESTUCHE",B1687)),
ISNUMBER(SEARCH("BOOK COVER",B1687)),
ISNUMBER(SEARCH("KEYBOARD PARA TABLET",B1687)),
ISNUMBER(SEARCH("FLIP TABLET",B1687)),
ISNUMBER(SEARCH("CASE FOR TABLET",B1687)),
ISNUMBER(SEARCH("CABLE",B1687)),
ISNUMBER(SEARCH("ADAPTADOR",B1687)),
ISNUMBER(SEARCH("HUB",B1687)),
ISNUMBER(SEARCH("DOCK",B1687)),
ISNUMBER(SEARCH("MOUSE PAD",B1687)),
ISNUMBER(SEARCH("MOUSEPAD",B1687)),
ISNUMBER(SEARCH("SOPORTE",B1687)),
ISNUMBER(SEARCH("STAND",B1687)),
ISNUMBER(SEARCH("TRAVEL ADAPTER",B1687)),
ISNUMBER(SEARCH("RJ45",B1687)),
ISNUMBER(SEARCH("USB-C",B1687)),
ISNUMBER(SEARCH("USB WIFI",B1687)),
ISNUMBER(SEARCH("POWERBANK",B1687)),
ISNUMBER(SEARCH("CARGADOR",B1687)),
ISNUMBER(SEARCH("COOLER PARA NB",B1687)),
ISNUMBER(SEARCH("SOPORTE PARA NB",B1687)),
ISNUMBER(SEARCH("WEBCAM",B1687)),
ISNUMBER(SEARCH("WEB CAM",B1687)),
ISNUMBER(SEARCH("MOUSE",B1687)),
ISNUMBER(SEARCH("TECLADO",B1687))
),
"COMPLEMENTO",
IF(
OR(
LEFT(A1687,2)="NB",
LEFT(A1687,2)="PC",
LEFT(A1687,2)="WS",
LEFT(A1687,2)="TB",
LEFT(A1687,3)="CEL",
LEFT(A1687,3)="MON",
LEFT(A1687,3)="PRE",
LEFT(A1687,3)="PRH",
ISNUMBER(SEARCH("NOTEBOOK",B1687)),
ISNUMBER(SEARCH("LAPTOP",B1687)),
ISNUMBER(SEARCH("MONITOR",B1687)),
ISNUMBER(SEARCH("TABLET",B1687)),
ISNUMBER(SEARCH("SMARTPH",B1687)),
ISNUMBER(SEARCH("IMPRESORA",B1687)),
ISNUMBER(SEARCH("MULTIFUNCIONAL",B1687)),
ISNUMBER(SEARCH("AIO",B1687))
),
"GANCHO",
"NORMAL"
)
)</f>
        <v>GANCHO</v>
      </c>
    </row>
    <row r="1686" spans="1:12" x14ac:dyDescent="0.25">
      <c r="A1686" s="3" t="s">
        <v>2590</v>
      </c>
      <c r="B1686" s="3" t="s">
        <v>2591</v>
      </c>
      <c r="C1686" s="1">
        <v>10</v>
      </c>
      <c r="D1686" s="1">
        <v>589</v>
      </c>
      <c r="E1686" s="1" t="s">
        <v>838</v>
      </c>
      <c r="F1686" s="1" t="s">
        <v>4096</v>
      </c>
      <c r="G1686" s="3" t="s">
        <v>2592</v>
      </c>
      <c r="H1686" s="11">
        <f>ROUND(
IF(L1684="GANCHO",
   IF(I1686&lt;=50,I1686*1.1+4,IF(I1686&lt;=120,I1686*1.1+7,IF(I1686&lt;=250,I1686*1.1+11,I1686*1.1+19))),
IF(L1684="NORMAL",
   IF(I1686&lt;=30,I1686*1.15+2,IF(I1686&lt;=80,I1686*1.15+4,IF(I1686&lt;=150,I1686*1.15+6,I1686*1.15+8))),
IF(L1684="COMPLEMENTO",
   IF(I1686&lt;=25,I1686*1.25+1.5,IF(I1686&lt;=60,I1686*1.25+3,IF(I1686&lt;=120,I1686*1.25+4,I1686*1.25+5))),
""))),2)</f>
        <v>2679.54</v>
      </c>
      <c r="I1686" s="9">
        <f>($K$2+0.02)*Tabla1[[#This Row],[PRECIO $]]*1.18</f>
        <v>2418.6695999999997</v>
      </c>
      <c r="J1686" s="7">
        <f>+Tabla1[[#This Row],[PRECIO EN SOLES]]-Tabla1[[#This Row],[PC]]</f>
        <v>260.87040000000025</v>
      </c>
      <c r="K1686" s="15"/>
      <c r="L1686" s="15" t="str">
        <f>IF(
OR(
ISNUMBER(SEARCH("BACKPACK",B1688)),
ISNUMBER(SEARCH("MOCHILA",B1688)),
ISNUMBER(SEARCH("FUNDA",B1688)),
ISNUMBER(SEARCH("ESTUCHE",B1688)),
ISNUMBER(SEARCH("BOOK COVER",B1688)),
ISNUMBER(SEARCH("KEYBOARD PARA TABLET",B1688)),
ISNUMBER(SEARCH("FLIP TABLET",B1688)),
ISNUMBER(SEARCH("CASE FOR TABLET",B1688)),
ISNUMBER(SEARCH("CABLE",B1688)),
ISNUMBER(SEARCH("ADAPTADOR",B1688)),
ISNUMBER(SEARCH("HUB",B1688)),
ISNUMBER(SEARCH("DOCK",B1688)),
ISNUMBER(SEARCH("MOUSE PAD",B1688)),
ISNUMBER(SEARCH("MOUSEPAD",B1688)),
ISNUMBER(SEARCH("SOPORTE",B1688)),
ISNUMBER(SEARCH("STAND",B1688)),
ISNUMBER(SEARCH("TRAVEL ADAPTER",B1688)),
ISNUMBER(SEARCH("RJ45",B1688)),
ISNUMBER(SEARCH("USB-C",B1688)),
ISNUMBER(SEARCH("USB WIFI",B1688)),
ISNUMBER(SEARCH("POWERBANK",B1688)),
ISNUMBER(SEARCH("CARGADOR",B1688)),
ISNUMBER(SEARCH("COOLER PARA NB",B1688)),
ISNUMBER(SEARCH("SOPORTE PARA NB",B1688)),
ISNUMBER(SEARCH("WEBCAM",B1688)),
ISNUMBER(SEARCH("WEB CAM",B1688)),
ISNUMBER(SEARCH("MOUSE",B1688)),
ISNUMBER(SEARCH("TECLADO",B1688))
),
"COMPLEMENTO",
IF(
OR(
LEFT(A1688,2)="NB",
LEFT(A1688,2)="PC",
LEFT(A1688,2)="WS",
LEFT(A1688,2)="TB",
LEFT(A1688,3)="CEL",
LEFT(A1688,3)="MON",
LEFT(A1688,3)="PRE",
LEFT(A1688,3)="PRH",
ISNUMBER(SEARCH("NOTEBOOK",B1688)),
ISNUMBER(SEARCH("LAPTOP",B1688)),
ISNUMBER(SEARCH("MONITOR",B1688)),
ISNUMBER(SEARCH("TABLET",B1688)),
ISNUMBER(SEARCH("SMARTPH",B1688)),
ISNUMBER(SEARCH("IMPRESORA",B1688)),
ISNUMBER(SEARCH("MULTIFUNCIONAL",B1688)),
ISNUMBER(SEARCH("AIO",B1688))
),
"GANCHO",
"NORMAL"
)
)</f>
        <v>GANCHO</v>
      </c>
    </row>
    <row r="1687" spans="1:12" x14ac:dyDescent="0.25">
      <c r="A1687" s="3" t="s">
        <v>2593</v>
      </c>
      <c r="B1687" s="3" t="s">
        <v>2594</v>
      </c>
      <c r="C1687" s="1">
        <v>9</v>
      </c>
      <c r="D1687" s="1">
        <v>678</v>
      </c>
      <c r="E1687" s="1" t="s">
        <v>838</v>
      </c>
      <c r="F1687" s="1" t="s">
        <v>4097</v>
      </c>
      <c r="G1687" s="3" t="s">
        <v>2595</v>
      </c>
      <c r="H1687" s="11">
        <f>ROUND(
IF(L1685="GANCHO",
   IF(I1687&lt;=50,I1687*1.1+4,IF(I1687&lt;=120,I1687*1.1+7,IF(I1687&lt;=250,I1687*1.1+11,I1687*1.1+19))),
IF(L1685="NORMAL",
   IF(I1687&lt;=30,I1687*1.15+2,IF(I1687&lt;=80,I1687*1.15+4,IF(I1687&lt;=150,I1687*1.15+6,I1687*1.15+8))),
IF(L1685="COMPLEMENTO",
   IF(I1687&lt;=25,I1687*1.25+1.5,IF(I1687&lt;=60,I1687*1.25+3,IF(I1687&lt;=120,I1687*1.25+4,I1687*1.25+5))),
""))),2)</f>
        <v>3081.55</v>
      </c>
      <c r="I1687" s="9">
        <f>($K$2+0.02)*Tabla1[[#This Row],[PRECIO $]]*1.18</f>
        <v>2784.1392000000001</v>
      </c>
      <c r="J1687" s="7">
        <f>+Tabla1[[#This Row],[PRECIO EN SOLES]]-Tabla1[[#This Row],[PC]]</f>
        <v>297.41080000000011</v>
      </c>
      <c r="K1687" s="15"/>
      <c r="L1687" s="15" t="str">
        <f>IF(
OR(
ISNUMBER(SEARCH("BACKPACK",B1689)),
ISNUMBER(SEARCH("MOCHILA",B1689)),
ISNUMBER(SEARCH("FUNDA",B1689)),
ISNUMBER(SEARCH("ESTUCHE",B1689)),
ISNUMBER(SEARCH("BOOK COVER",B1689)),
ISNUMBER(SEARCH("KEYBOARD PARA TABLET",B1689)),
ISNUMBER(SEARCH("FLIP TABLET",B1689)),
ISNUMBER(SEARCH("CASE FOR TABLET",B1689)),
ISNUMBER(SEARCH("CABLE",B1689)),
ISNUMBER(SEARCH("ADAPTADOR",B1689)),
ISNUMBER(SEARCH("HUB",B1689)),
ISNUMBER(SEARCH("DOCK",B1689)),
ISNUMBER(SEARCH("MOUSE PAD",B1689)),
ISNUMBER(SEARCH("MOUSEPAD",B1689)),
ISNUMBER(SEARCH("SOPORTE",B1689)),
ISNUMBER(SEARCH("STAND",B1689)),
ISNUMBER(SEARCH("TRAVEL ADAPTER",B1689)),
ISNUMBER(SEARCH("RJ45",B1689)),
ISNUMBER(SEARCH("USB-C",B1689)),
ISNUMBER(SEARCH("USB WIFI",B1689)),
ISNUMBER(SEARCH("POWERBANK",B1689)),
ISNUMBER(SEARCH("CARGADOR",B1689)),
ISNUMBER(SEARCH("COOLER PARA NB",B1689)),
ISNUMBER(SEARCH("SOPORTE PARA NB",B1689)),
ISNUMBER(SEARCH("WEBCAM",B1689)),
ISNUMBER(SEARCH("WEB CAM",B1689)),
ISNUMBER(SEARCH("MOUSE",B1689)),
ISNUMBER(SEARCH("TECLADO",B1689))
),
"COMPLEMENTO",
IF(
OR(
LEFT(A1689,2)="NB",
LEFT(A1689,2)="PC",
LEFT(A1689,2)="WS",
LEFT(A1689,2)="TB",
LEFT(A1689,3)="CEL",
LEFT(A1689,3)="MON",
LEFT(A1689,3)="PRE",
LEFT(A1689,3)="PRH",
ISNUMBER(SEARCH("NOTEBOOK",B1689)),
ISNUMBER(SEARCH("LAPTOP",B1689)),
ISNUMBER(SEARCH("MONITOR",B1689)),
ISNUMBER(SEARCH("TABLET",B1689)),
ISNUMBER(SEARCH("SMARTPH",B1689)),
ISNUMBER(SEARCH("IMPRESORA",B1689)),
ISNUMBER(SEARCH("MULTIFUNCIONAL",B1689)),
ISNUMBER(SEARCH("AIO",B1689))
),
"GANCHO",
"NORMAL"
)
)</f>
        <v>GANCHO</v>
      </c>
    </row>
    <row r="1688" spans="1:12" x14ac:dyDescent="0.25">
      <c r="A1688" s="3" t="s">
        <v>3007</v>
      </c>
      <c r="B1688" s="3" t="s">
        <v>3008</v>
      </c>
      <c r="C1688" s="1">
        <v>2</v>
      </c>
      <c r="D1688" s="1">
        <v>980</v>
      </c>
      <c r="E1688" s="1" t="s">
        <v>838</v>
      </c>
      <c r="F1688" s="1" t="s">
        <v>4098</v>
      </c>
      <c r="G1688" s="3" t="s">
        <v>3009</v>
      </c>
      <c r="H1688" s="11">
        <f>ROUND(
IF(L1686="GANCHO",
   IF(I1688&lt;=50,I1688*1.1+4,IF(I1688&lt;=120,I1688*1.1+7,IF(I1688&lt;=250,I1688*1.1+11,I1688*1.1+19))),
IF(L1686="NORMAL",
   IF(I1688&lt;=30,I1688*1.15+2,IF(I1688&lt;=80,I1688*1.15+4,IF(I1688&lt;=150,I1688*1.15+6,I1688*1.15+8))),
IF(L1686="COMPLEMENTO",
   IF(I1688&lt;=25,I1688*1.25+1.5,IF(I1688&lt;=60,I1688*1.25+3,IF(I1688&lt;=120,I1688*1.25+4,I1688*1.25+5))),
""))),2)</f>
        <v>4445.7</v>
      </c>
      <c r="I1688" s="9">
        <f>($K$2+0.02)*Tabla1[[#This Row],[PRECIO $]]*1.18</f>
        <v>4024.2719999999999</v>
      </c>
      <c r="J1688" s="7">
        <f>+Tabla1[[#This Row],[PRECIO EN SOLES]]-Tabla1[[#This Row],[PC]]</f>
        <v>421.42799999999988</v>
      </c>
      <c r="K1688" s="15"/>
      <c r="L1688" s="15" t="str">
        <f>IF(
OR(
ISNUMBER(SEARCH("BACKPACK",B1690)),
ISNUMBER(SEARCH("MOCHILA",B1690)),
ISNUMBER(SEARCH("FUNDA",B1690)),
ISNUMBER(SEARCH("ESTUCHE",B1690)),
ISNUMBER(SEARCH("BOOK COVER",B1690)),
ISNUMBER(SEARCH("KEYBOARD PARA TABLET",B1690)),
ISNUMBER(SEARCH("FLIP TABLET",B1690)),
ISNUMBER(SEARCH("CASE FOR TABLET",B1690)),
ISNUMBER(SEARCH("CABLE",B1690)),
ISNUMBER(SEARCH("ADAPTADOR",B1690)),
ISNUMBER(SEARCH("HUB",B1690)),
ISNUMBER(SEARCH("DOCK",B1690)),
ISNUMBER(SEARCH("MOUSE PAD",B1690)),
ISNUMBER(SEARCH("MOUSEPAD",B1690)),
ISNUMBER(SEARCH("SOPORTE",B1690)),
ISNUMBER(SEARCH("STAND",B1690)),
ISNUMBER(SEARCH("TRAVEL ADAPTER",B1690)),
ISNUMBER(SEARCH("RJ45",B1690)),
ISNUMBER(SEARCH("USB-C",B1690)),
ISNUMBER(SEARCH("USB WIFI",B1690)),
ISNUMBER(SEARCH("POWERBANK",B1690)),
ISNUMBER(SEARCH("CARGADOR",B1690)),
ISNUMBER(SEARCH("COOLER PARA NB",B1690)),
ISNUMBER(SEARCH("SOPORTE PARA NB",B1690)),
ISNUMBER(SEARCH("WEBCAM",B1690)),
ISNUMBER(SEARCH("WEB CAM",B1690)),
ISNUMBER(SEARCH("MOUSE",B1690)),
ISNUMBER(SEARCH("TECLADO",B1690))
),
"COMPLEMENTO",
IF(
OR(
LEFT(A1690,2)="NB",
LEFT(A1690,2)="PC",
LEFT(A1690,2)="WS",
LEFT(A1690,2)="TB",
LEFT(A1690,3)="CEL",
LEFT(A1690,3)="MON",
LEFT(A1690,3)="PRE",
LEFT(A1690,3)="PRH",
ISNUMBER(SEARCH("NOTEBOOK",B1690)),
ISNUMBER(SEARCH("LAPTOP",B1690)),
ISNUMBER(SEARCH("MONITOR",B1690)),
ISNUMBER(SEARCH("TABLET",B1690)),
ISNUMBER(SEARCH("SMARTPH",B1690)),
ISNUMBER(SEARCH("IMPRESORA",B1690)),
ISNUMBER(SEARCH("MULTIFUNCIONAL",B1690)),
ISNUMBER(SEARCH("AIO",B1690))
),
"GANCHO",
"NORMAL"
)
)</f>
        <v>GANCHO</v>
      </c>
    </row>
    <row r="1689" spans="1:12" x14ac:dyDescent="0.25">
      <c r="A1689" s="3" t="s">
        <v>4538</v>
      </c>
      <c r="B1689" s="3" t="s">
        <v>4539</v>
      </c>
      <c r="C1689" s="1">
        <v>1</v>
      </c>
      <c r="D1689" s="1">
        <v>831.5</v>
      </c>
      <c r="E1689" s="1" t="s">
        <v>838</v>
      </c>
      <c r="F1689" s="1" t="s">
        <v>4540</v>
      </c>
      <c r="G1689" s="3" t="s">
        <v>3009</v>
      </c>
      <c r="H1689" s="11">
        <f>ROUND(
IF(L1687="GANCHO",
   IF(I1689&lt;=50,I1689*1.1+4,IF(I1689&lt;=120,I1689*1.1+7,IF(I1689&lt;=250,I1689*1.1+11,I1689*1.1+19))),
IF(L1687="NORMAL",
   IF(I1689&lt;=30,I1689*1.15+2,IF(I1689&lt;=80,I1689*1.15+4,IF(I1689&lt;=150,I1689*1.15+6,I1689*1.15+8))),
IF(L1687="COMPLEMENTO",
   IF(I1689&lt;=25,I1689*1.25+1.5,IF(I1689&lt;=60,I1689*1.25+3,IF(I1689&lt;=120,I1689*1.25+4,I1689*1.25+5))),
""))),2)</f>
        <v>3774.92</v>
      </c>
      <c r="I1689" s="9">
        <f>($K$2+0.02)*Tabla1[[#This Row],[PRECIO $]]*1.18</f>
        <v>3414.4715999999999</v>
      </c>
      <c r="J1689" s="7">
        <f>+Tabla1[[#This Row],[PRECIO EN SOLES]]-Tabla1[[#This Row],[PC]]</f>
        <v>360.44840000000022</v>
      </c>
      <c r="K1689" s="15"/>
      <c r="L1689" s="15" t="str">
        <f>IF(
OR(
ISNUMBER(SEARCH("BACKPACK",B1691)),
ISNUMBER(SEARCH("MOCHILA",B1691)),
ISNUMBER(SEARCH("FUNDA",B1691)),
ISNUMBER(SEARCH("ESTUCHE",B1691)),
ISNUMBER(SEARCH("BOOK COVER",B1691)),
ISNUMBER(SEARCH("KEYBOARD PARA TABLET",B1691)),
ISNUMBER(SEARCH("FLIP TABLET",B1691)),
ISNUMBER(SEARCH("CASE FOR TABLET",B1691)),
ISNUMBER(SEARCH("CABLE",B1691)),
ISNUMBER(SEARCH("ADAPTADOR",B1691)),
ISNUMBER(SEARCH("HUB",B1691)),
ISNUMBER(SEARCH("DOCK",B1691)),
ISNUMBER(SEARCH("MOUSE PAD",B1691)),
ISNUMBER(SEARCH("MOUSEPAD",B1691)),
ISNUMBER(SEARCH("SOPORTE",B1691)),
ISNUMBER(SEARCH("STAND",B1691)),
ISNUMBER(SEARCH("TRAVEL ADAPTER",B1691)),
ISNUMBER(SEARCH("RJ45",B1691)),
ISNUMBER(SEARCH("USB-C",B1691)),
ISNUMBER(SEARCH("USB WIFI",B1691)),
ISNUMBER(SEARCH("POWERBANK",B1691)),
ISNUMBER(SEARCH("CARGADOR",B1691)),
ISNUMBER(SEARCH("COOLER PARA NB",B1691)),
ISNUMBER(SEARCH("SOPORTE PARA NB",B1691)),
ISNUMBER(SEARCH("WEBCAM",B1691)),
ISNUMBER(SEARCH("WEB CAM",B1691)),
ISNUMBER(SEARCH("MOUSE",B1691)),
ISNUMBER(SEARCH("TECLADO",B1691))
),
"COMPLEMENTO",
IF(
OR(
LEFT(A1691,2)="NB",
LEFT(A1691,2)="PC",
LEFT(A1691,2)="WS",
LEFT(A1691,2)="TB",
LEFT(A1691,3)="CEL",
LEFT(A1691,3)="MON",
LEFT(A1691,3)="PRE",
LEFT(A1691,3)="PRH",
ISNUMBER(SEARCH("NOTEBOOK",B1691)),
ISNUMBER(SEARCH("LAPTOP",B1691)),
ISNUMBER(SEARCH("MONITOR",B1691)),
ISNUMBER(SEARCH("TABLET",B1691)),
ISNUMBER(SEARCH("SMARTPH",B1691)),
ISNUMBER(SEARCH("IMPRESORA",B1691)),
ISNUMBER(SEARCH("MULTIFUNCIONAL",B1691)),
ISNUMBER(SEARCH("AIO",B1691))
),
"GANCHO",
"NORMAL"
)
)</f>
        <v>GANCHO</v>
      </c>
    </row>
    <row r="1690" spans="1:12" x14ac:dyDescent="0.25">
      <c r="A1690" s="3" t="s">
        <v>5069</v>
      </c>
      <c r="B1690" s="3" t="s">
        <v>5070</v>
      </c>
      <c r="C1690" s="1">
        <v>0</v>
      </c>
      <c r="D1690" s="1">
        <v>1310</v>
      </c>
      <c r="E1690" s="1" t="s">
        <v>838</v>
      </c>
      <c r="F1690" s="1" t="s">
        <v>5071</v>
      </c>
      <c r="G1690" s="3" t="s">
        <v>5192</v>
      </c>
      <c r="H1690" s="11">
        <f>ROUND(
IF(L1688="GANCHO",
   IF(I1690&lt;=50,I1690*1.1+4,IF(I1690&lt;=120,I1690*1.1+7,IF(I1690&lt;=250,I1690*1.1+11,I1690*1.1+19))),
IF(L1688="NORMAL",
   IF(I1690&lt;=30,I1690*1.15+2,IF(I1690&lt;=80,I1690*1.15+4,IF(I1690&lt;=150,I1690*1.15+6,I1690*1.15+8))),
IF(L1688="COMPLEMENTO",
   IF(I1690&lt;=25,I1690*1.25+1.5,IF(I1690&lt;=60,I1690*1.25+3,IF(I1690&lt;=120,I1690*1.25+4,I1690*1.25+5))),
""))),2)</f>
        <v>5936.32</v>
      </c>
      <c r="I1690" s="9">
        <f>($K$2+0.02)*Tabla1[[#This Row],[PRECIO $]]*1.18</f>
        <v>5379.384</v>
      </c>
      <c r="J1690" s="7">
        <f>+Tabla1[[#This Row],[PRECIO EN SOLES]]-Tabla1[[#This Row],[PC]]</f>
        <v>556.93599999999969</v>
      </c>
      <c r="K1690" s="15"/>
      <c r="L1690" s="15" t="str">
        <f>IF(
OR(
ISNUMBER(SEARCH("BACKPACK",B1692)),
ISNUMBER(SEARCH("MOCHILA",B1692)),
ISNUMBER(SEARCH("FUNDA",B1692)),
ISNUMBER(SEARCH("ESTUCHE",B1692)),
ISNUMBER(SEARCH("BOOK COVER",B1692)),
ISNUMBER(SEARCH("KEYBOARD PARA TABLET",B1692)),
ISNUMBER(SEARCH("FLIP TABLET",B1692)),
ISNUMBER(SEARCH("CASE FOR TABLET",B1692)),
ISNUMBER(SEARCH("CABLE",B1692)),
ISNUMBER(SEARCH("ADAPTADOR",B1692)),
ISNUMBER(SEARCH("HUB",B1692)),
ISNUMBER(SEARCH("DOCK",B1692)),
ISNUMBER(SEARCH("MOUSE PAD",B1692)),
ISNUMBER(SEARCH("MOUSEPAD",B1692)),
ISNUMBER(SEARCH("SOPORTE",B1692)),
ISNUMBER(SEARCH("STAND",B1692)),
ISNUMBER(SEARCH("TRAVEL ADAPTER",B1692)),
ISNUMBER(SEARCH("RJ45",B1692)),
ISNUMBER(SEARCH("USB-C",B1692)),
ISNUMBER(SEARCH("USB WIFI",B1692)),
ISNUMBER(SEARCH("POWERBANK",B1692)),
ISNUMBER(SEARCH("CARGADOR",B1692)),
ISNUMBER(SEARCH("COOLER PARA NB",B1692)),
ISNUMBER(SEARCH("SOPORTE PARA NB",B1692)),
ISNUMBER(SEARCH("WEBCAM",B1692)),
ISNUMBER(SEARCH("WEB CAM",B1692)),
ISNUMBER(SEARCH("MOUSE",B1692)),
ISNUMBER(SEARCH("TECLADO",B1692))
),
"COMPLEMENTO",
IF(
OR(
LEFT(A1692,2)="NB",
LEFT(A1692,2)="PC",
LEFT(A1692,2)="WS",
LEFT(A1692,2)="TB",
LEFT(A1692,3)="CEL",
LEFT(A1692,3)="MON",
LEFT(A1692,3)="PRE",
LEFT(A1692,3)="PRH",
ISNUMBER(SEARCH("NOTEBOOK",B1692)),
ISNUMBER(SEARCH("LAPTOP",B1692)),
ISNUMBER(SEARCH("MONITOR",B1692)),
ISNUMBER(SEARCH("TABLET",B1692)),
ISNUMBER(SEARCH("SMARTPH",B1692)),
ISNUMBER(SEARCH("IMPRESORA",B1692)),
ISNUMBER(SEARCH("MULTIFUNCIONAL",B1692)),
ISNUMBER(SEARCH("AIO",B1692))
),
"GANCHO",
"NORMAL"
)
)</f>
        <v>NORMAL</v>
      </c>
    </row>
    <row r="1691" spans="1:12" x14ac:dyDescent="0.25">
      <c r="A1691" s="3" t="s">
        <v>5554</v>
      </c>
      <c r="B1691" s="3" t="s">
        <v>5555</v>
      </c>
      <c r="C1691" s="1">
        <v>20</v>
      </c>
      <c r="D1691" s="1">
        <v>205</v>
      </c>
      <c r="E1691" s="1" t="s">
        <v>74</v>
      </c>
      <c r="F1691" s="1" t="s">
        <v>5556</v>
      </c>
      <c r="G1691" s="3" t="s">
        <v>5557</v>
      </c>
      <c r="H1691" s="11">
        <f>ROUND(
IF(L1689="GANCHO",
   IF(I1691&lt;=50,I1691*1.1+4,IF(I1691&lt;=120,I1691*1.1+7,IF(I1691&lt;=250,I1691*1.1+11,I1691*1.1+19))),
IF(L1689="NORMAL",
   IF(I1691&lt;=30,I1691*1.15+2,IF(I1691&lt;=80,I1691*1.15+4,IF(I1691&lt;=150,I1691*1.15+6,I1691*1.15+8))),
IF(L1689="COMPLEMENTO",
   IF(I1691&lt;=25,I1691*1.25+1.5,IF(I1691&lt;=60,I1691*1.25+3,IF(I1691&lt;=120,I1691*1.25+4,I1691*1.25+5))),
""))),2)</f>
        <v>944.99</v>
      </c>
      <c r="I1691" s="9">
        <f>($K$2+0.02)*Tabla1[[#This Row],[PRECIO $]]*1.18</f>
        <v>841.8119999999999</v>
      </c>
      <c r="J1691" s="7">
        <f>+Tabla1[[#This Row],[PRECIO EN SOLES]]-Tabla1[[#This Row],[PC]]</f>
        <v>103.17800000000011</v>
      </c>
      <c r="K1691" s="15"/>
      <c r="L1691" s="15" t="str">
        <f>IF(
OR(
ISNUMBER(SEARCH("BACKPACK",B1693)),
ISNUMBER(SEARCH("MOCHILA",B1693)),
ISNUMBER(SEARCH("FUNDA",B1693)),
ISNUMBER(SEARCH("ESTUCHE",B1693)),
ISNUMBER(SEARCH("BOOK COVER",B1693)),
ISNUMBER(SEARCH("KEYBOARD PARA TABLET",B1693)),
ISNUMBER(SEARCH("FLIP TABLET",B1693)),
ISNUMBER(SEARCH("CASE FOR TABLET",B1693)),
ISNUMBER(SEARCH("CABLE",B1693)),
ISNUMBER(SEARCH("ADAPTADOR",B1693)),
ISNUMBER(SEARCH("HUB",B1693)),
ISNUMBER(SEARCH("DOCK",B1693)),
ISNUMBER(SEARCH("MOUSE PAD",B1693)),
ISNUMBER(SEARCH("MOUSEPAD",B1693)),
ISNUMBER(SEARCH("SOPORTE",B1693)),
ISNUMBER(SEARCH("STAND",B1693)),
ISNUMBER(SEARCH("TRAVEL ADAPTER",B1693)),
ISNUMBER(SEARCH("RJ45",B1693)),
ISNUMBER(SEARCH("USB-C",B1693)),
ISNUMBER(SEARCH("USB WIFI",B1693)),
ISNUMBER(SEARCH("POWERBANK",B1693)),
ISNUMBER(SEARCH("CARGADOR",B1693)),
ISNUMBER(SEARCH("COOLER PARA NB",B1693)),
ISNUMBER(SEARCH("SOPORTE PARA NB",B1693)),
ISNUMBER(SEARCH("WEBCAM",B1693)),
ISNUMBER(SEARCH("WEB CAM",B1693)),
ISNUMBER(SEARCH("MOUSE",B1693)),
ISNUMBER(SEARCH("TECLADO",B1693))
),
"COMPLEMENTO",
IF(
OR(
LEFT(A1693,2)="NB",
LEFT(A1693,2)="PC",
LEFT(A1693,2)="WS",
LEFT(A1693,2)="TB",
LEFT(A1693,3)="CEL",
LEFT(A1693,3)="MON",
LEFT(A1693,3)="PRE",
LEFT(A1693,3)="PRH",
ISNUMBER(SEARCH("NOTEBOOK",B1693)),
ISNUMBER(SEARCH("LAPTOP",B1693)),
ISNUMBER(SEARCH("MONITOR",B1693)),
ISNUMBER(SEARCH("TABLET",B1693)),
ISNUMBER(SEARCH("SMARTPH",B1693)),
ISNUMBER(SEARCH("IMPRESORA",B1693)),
ISNUMBER(SEARCH("MULTIFUNCIONAL",B1693)),
ISNUMBER(SEARCH("AIO",B1693))
),
"GANCHO",
"NORMAL"
)
)</f>
        <v>NORMAL</v>
      </c>
    </row>
    <row r="1692" spans="1:12" x14ac:dyDescent="0.25">
      <c r="A1692" s="3" t="s">
        <v>6167</v>
      </c>
      <c r="B1692" s="3" t="s">
        <v>6168</v>
      </c>
      <c r="C1692" s="1">
        <v>20</v>
      </c>
      <c r="D1692" s="1">
        <v>697</v>
      </c>
      <c r="E1692" s="1" t="s">
        <v>838</v>
      </c>
      <c r="F1692" s="1" t="s">
        <v>6169</v>
      </c>
      <c r="G1692" s="3" t="s">
        <v>6170</v>
      </c>
      <c r="H1692" s="11">
        <f>ROUND(
IF(L1690="GANCHO",
   IF(I1692&lt;=50,I1692*1.1+4,IF(I1692&lt;=120,I1692*1.1+7,IF(I1692&lt;=250,I1692*1.1+11,I1692*1.1+19))),
IF(L1690="NORMAL",
   IF(I1692&lt;=30,I1692*1.15+2,IF(I1692&lt;=80,I1692*1.15+4,IF(I1692&lt;=150,I1692*1.15+6,I1692*1.15+8))),
IF(L1690="COMPLEMENTO",
   IF(I1692&lt;=25,I1692*1.25+1.5,IF(I1692&lt;=60,I1692*1.25+3,IF(I1692&lt;=120,I1692*1.25+4,I1692*1.25+5))),
""))),2)</f>
        <v>3299.48</v>
      </c>
      <c r="I1692" s="9">
        <f>($K$2+0.02)*Tabla1[[#This Row],[PRECIO $]]*1.18</f>
        <v>2862.1607999999997</v>
      </c>
      <c r="J1692" s="7">
        <f>+Tabla1[[#This Row],[PRECIO EN SOLES]]-Tabla1[[#This Row],[PC]]</f>
        <v>437.31920000000036</v>
      </c>
      <c r="K1692" s="15"/>
      <c r="L1692" s="15" t="str">
        <f>IF(
OR(
ISNUMBER(SEARCH("BACKPACK",B1694)),
ISNUMBER(SEARCH("MOCHILA",B1694)),
ISNUMBER(SEARCH("FUNDA",B1694)),
ISNUMBER(SEARCH("ESTUCHE",B1694)),
ISNUMBER(SEARCH("BOOK COVER",B1694)),
ISNUMBER(SEARCH("KEYBOARD PARA TABLET",B1694)),
ISNUMBER(SEARCH("FLIP TABLET",B1694)),
ISNUMBER(SEARCH("CASE FOR TABLET",B1694)),
ISNUMBER(SEARCH("CABLE",B1694)),
ISNUMBER(SEARCH("ADAPTADOR",B1694)),
ISNUMBER(SEARCH("HUB",B1694)),
ISNUMBER(SEARCH("DOCK",B1694)),
ISNUMBER(SEARCH("MOUSE PAD",B1694)),
ISNUMBER(SEARCH("MOUSEPAD",B1694)),
ISNUMBER(SEARCH("SOPORTE",B1694)),
ISNUMBER(SEARCH("STAND",B1694)),
ISNUMBER(SEARCH("TRAVEL ADAPTER",B1694)),
ISNUMBER(SEARCH("RJ45",B1694)),
ISNUMBER(SEARCH("USB-C",B1694)),
ISNUMBER(SEARCH("USB WIFI",B1694)),
ISNUMBER(SEARCH("POWERBANK",B1694)),
ISNUMBER(SEARCH("CARGADOR",B1694)),
ISNUMBER(SEARCH("COOLER PARA NB",B1694)),
ISNUMBER(SEARCH("SOPORTE PARA NB",B1694)),
ISNUMBER(SEARCH("WEBCAM",B1694)),
ISNUMBER(SEARCH("WEB CAM",B1694)),
ISNUMBER(SEARCH("MOUSE",B1694)),
ISNUMBER(SEARCH("TECLADO",B1694))
),
"COMPLEMENTO",
IF(
OR(
LEFT(A1694,2)="NB",
LEFT(A1694,2)="PC",
LEFT(A1694,2)="WS",
LEFT(A1694,2)="TB",
LEFT(A1694,3)="CEL",
LEFT(A1694,3)="MON",
LEFT(A1694,3)="PRE",
LEFT(A1694,3)="PRH",
ISNUMBER(SEARCH("NOTEBOOK",B1694)),
ISNUMBER(SEARCH("LAPTOP",B1694)),
ISNUMBER(SEARCH("MONITOR",B1694)),
ISNUMBER(SEARCH("TABLET",B1694)),
ISNUMBER(SEARCH("SMARTPH",B1694)),
ISNUMBER(SEARCH("IMPRESORA",B1694)),
ISNUMBER(SEARCH("MULTIFUNCIONAL",B1694)),
ISNUMBER(SEARCH("AIO",B1694))
),
"GANCHO",
"NORMAL"
)
)</f>
        <v>GANCHO</v>
      </c>
    </row>
    <row r="1693" spans="1:12" x14ac:dyDescent="0.25">
      <c r="A1693" s="3" t="s">
        <v>2596</v>
      </c>
      <c r="B1693" s="3" t="s">
        <v>2597</v>
      </c>
      <c r="C1693" s="1">
        <v>20</v>
      </c>
      <c r="D1693" s="1">
        <v>400</v>
      </c>
      <c r="E1693" s="1" t="s">
        <v>54</v>
      </c>
      <c r="F1693" s="1" t="s">
        <v>4099</v>
      </c>
      <c r="G1693" s="3"/>
      <c r="H1693" s="11">
        <f>ROUND(
IF(L1691="GANCHO",
   IF(I1693&lt;=50,I1693*1.1+4,IF(I1693&lt;=120,I1693*1.1+7,IF(I1693&lt;=250,I1693*1.1+11,I1693*1.1+19))),
IF(L1691="NORMAL",
   IF(I1693&lt;=30,I1693*1.15+2,IF(I1693&lt;=80,I1693*1.15+4,IF(I1693&lt;=150,I1693*1.15+6,I1693*1.15+8))),
IF(L1691="COMPLEMENTO",
   IF(I1693&lt;=25,I1693*1.25+1.5,IF(I1693&lt;=60,I1693*1.25+3,IF(I1693&lt;=120,I1693*1.25+4,I1693*1.25+5))),
""))),2)</f>
        <v>1896.94</v>
      </c>
      <c r="I1693" s="9">
        <f>($K$2+0.02)*Tabla1[[#This Row],[PRECIO $]]*1.18</f>
        <v>1642.56</v>
      </c>
      <c r="J1693" s="7">
        <f>+Tabla1[[#This Row],[PRECIO EN SOLES]]-Tabla1[[#This Row],[PC]]</f>
        <v>254.38000000000011</v>
      </c>
      <c r="K1693" s="15"/>
      <c r="L1693" s="15" t="str">
        <f>IF(
OR(
ISNUMBER(SEARCH("BACKPACK",B1695)),
ISNUMBER(SEARCH("MOCHILA",B1695)),
ISNUMBER(SEARCH("FUNDA",B1695)),
ISNUMBER(SEARCH("ESTUCHE",B1695)),
ISNUMBER(SEARCH("BOOK COVER",B1695)),
ISNUMBER(SEARCH("KEYBOARD PARA TABLET",B1695)),
ISNUMBER(SEARCH("FLIP TABLET",B1695)),
ISNUMBER(SEARCH("CASE FOR TABLET",B1695)),
ISNUMBER(SEARCH("CABLE",B1695)),
ISNUMBER(SEARCH("ADAPTADOR",B1695)),
ISNUMBER(SEARCH("HUB",B1695)),
ISNUMBER(SEARCH("DOCK",B1695)),
ISNUMBER(SEARCH("MOUSE PAD",B1695)),
ISNUMBER(SEARCH("MOUSEPAD",B1695)),
ISNUMBER(SEARCH("SOPORTE",B1695)),
ISNUMBER(SEARCH("STAND",B1695)),
ISNUMBER(SEARCH("TRAVEL ADAPTER",B1695)),
ISNUMBER(SEARCH("RJ45",B1695)),
ISNUMBER(SEARCH("USB-C",B1695)),
ISNUMBER(SEARCH("USB WIFI",B1695)),
ISNUMBER(SEARCH("POWERBANK",B1695)),
ISNUMBER(SEARCH("CARGADOR",B1695)),
ISNUMBER(SEARCH("COOLER PARA NB",B1695)),
ISNUMBER(SEARCH("SOPORTE PARA NB",B1695)),
ISNUMBER(SEARCH("WEBCAM",B1695)),
ISNUMBER(SEARCH("WEB CAM",B1695)),
ISNUMBER(SEARCH("MOUSE",B1695)),
ISNUMBER(SEARCH("TECLADO",B1695))
),
"COMPLEMENTO",
IF(
OR(
LEFT(A1695,2)="NB",
LEFT(A1695,2)="PC",
LEFT(A1695,2)="WS",
LEFT(A1695,2)="TB",
LEFT(A1695,3)="CEL",
LEFT(A1695,3)="MON",
LEFT(A1695,3)="PRE",
LEFT(A1695,3)="PRH",
ISNUMBER(SEARCH("NOTEBOOK",B1695)),
ISNUMBER(SEARCH("LAPTOP",B1695)),
ISNUMBER(SEARCH("MONITOR",B1695)),
ISNUMBER(SEARCH("TABLET",B1695)),
ISNUMBER(SEARCH("SMARTPH",B1695)),
ISNUMBER(SEARCH("IMPRESORA",B1695)),
ISNUMBER(SEARCH("MULTIFUNCIONAL",B1695)),
ISNUMBER(SEARCH("AIO",B1695))
),
"GANCHO",
"NORMAL"
)
)</f>
        <v>COMPLEMENTO</v>
      </c>
    </row>
    <row r="1694" spans="1:12" x14ac:dyDescent="0.25">
      <c r="A1694" s="3" t="s">
        <v>2598</v>
      </c>
      <c r="B1694" s="3" t="s">
        <v>2599</v>
      </c>
      <c r="C1694" s="1">
        <v>1</v>
      </c>
      <c r="D1694" s="1">
        <v>200</v>
      </c>
      <c r="E1694" s="1" t="s">
        <v>57</v>
      </c>
      <c r="F1694" s="1" t="s">
        <v>4100</v>
      </c>
      <c r="G1694" s="3"/>
      <c r="H1694" s="11">
        <f>ROUND(
IF(L1692="GANCHO",
   IF(I1694&lt;=50,I1694*1.1+4,IF(I1694&lt;=120,I1694*1.1+7,IF(I1694&lt;=250,I1694*1.1+11,I1694*1.1+19))),
IF(L1692="NORMAL",
   IF(I1694&lt;=30,I1694*1.15+2,IF(I1694&lt;=80,I1694*1.15+4,IF(I1694&lt;=150,I1694*1.15+6,I1694*1.15+8))),
IF(L1692="COMPLEMENTO",
   IF(I1694&lt;=25,I1694*1.25+1.5,IF(I1694&lt;=60,I1694*1.25+3,IF(I1694&lt;=120,I1694*1.25+4,I1694*1.25+5))),
""))),2)</f>
        <v>922.41</v>
      </c>
      <c r="I1694" s="9">
        <f>($K$2+0.02)*Tabla1[[#This Row],[PRECIO $]]*1.18</f>
        <v>821.28</v>
      </c>
      <c r="J1694" s="7">
        <f>+Tabla1[[#This Row],[PRECIO EN SOLES]]-Tabla1[[#This Row],[PC]]</f>
        <v>101.13</v>
      </c>
      <c r="K1694" s="15"/>
      <c r="L1694" s="15" t="str">
        <f>IF(
OR(
ISNUMBER(SEARCH("BACKPACK",B1696)),
ISNUMBER(SEARCH("MOCHILA",B1696)),
ISNUMBER(SEARCH("FUNDA",B1696)),
ISNUMBER(SEARCH("ESTUCHE",B1696)),
ISNUMBER(SEARCH("BOOK COVER",B1696)),
ISNUMBER(SEARCH("KEYBOARD PARA TABLET",B1696)),
ISNUMBER(SEARCH("FLIP TABLET",B1696)),
ISNUMBER(SEARCH("CASE FOR TABLET",B1696)),
ISNUMBER(SEARCH("CABLE",B1696)),
ISNUMBER(SEARCH("ADAPTADOR",B1696)),
ISNUMBER(SEARCH("HUB",B1696)),
ISNUMBER(SEARCH("DOCK",B1696)),
ISNUMBER(SEARCH("MOUSE PAD",B1696)),
ISNUMBER(SEARCH("MOUSEPAD",B1696)),
ISNUMBER(SEARCH("SOPORTE",B1696)),
ISNUMBER(SEARCH("STAND",B1696)),
ISNUMBER(SEARCH("TRAVEL ADAPTER",B1696)),
ISNUMBER(SEARCH("RJ45",B1696)),
ISNUMBER(SEARCH("USB-C",B1696)),
ISNUMBER(SEARCH("USB WIFI",B1696)),
ISNUMBER(SEARCH("POWERBANK",B1696)),
ISNUMBER(SEARCH("CARGADOR",B1696)),
ISNUMBER(SEARCH("COOLER PARA NB",B1696)),
ISNUMBER(SEARCH("SOPORTE PARA NB",B1696)),
ISNUMBER(SEARCH("WEBCAM",B1696)),
ISNUMBER(SEARCH("WEB CAM",B1696)),
ISNUMBER(SEARCH("MOUSE",B1696)),
ISNUMBER(SEARCH("TECLADO",B1696))
),
"COMPLEMENTO",
IF(
OR(
LEFT(A1696,2)="NB",
LEFT(A1696,2)="PC",
LEFT(A1696,2)="WS",
LEFT(A1696,2)="TB",
LEFT(A1696,3)="CEL",
LEFT(A1696,3)="MON",
LEFT(A1696,3)="PRE",
LEFT(A1696,3)="PRH",
ISNUMBER(SEARCH("NOTEBOOK",B1696)),
ISNUMBER(SEARCH("LAPTOP",B1696)),
ISNUMBER(SEARCH("MONITOR",B1696)),
ISNUMBER(SEARCH("TABLET",B1696)),
ISNUMBER(SEARCH("SMARTPH",B1696)),
ISNUMBER(SEARCH("IMPRESORA",B1696)),
ISNUMBER(SEARCH("MULTIFUNCIONAL",B1696)),
ISNUMBER(SEARCH("AIO",B1696))
),
"GANCHO",
"NORMAL"
)
)</f>
        <v>NORMAL</v>
      </c>
    </row>
    <row r="1695" spans="1:12" x14ac:dyDescent="0.25">
      <c r="A1695" s="3" t="s">
        <v>2600</v>
      </c>
      <c r="B1695" s="3" t="s">
        <v>2601</v>
      </c>
      <c r="C1695" s="1">
        <v>17</v>
      </c>
      <c r="D1695" s="1">
        <v>2.5</v>
      </c>
      <c r="E1695" s="1" t="s">
        <v>54</v>
      </c>
      <c r="F1695" s="1" t="s">
        <v>4101</v>
      </c>
      <c r="G1695" s="3" t="s">
        <v>2602</v>
      </c>
      <c r="H1695" s="11">
        <f>ROUND(
IF(L1693="GANCHO",
   IF(I1695&lt;=50,I1695*1.1+4,IF(I1695&lt;=120,I1695*1.1+7,IF(I1695&lt;=250,I1695*1.1+11,I1695*1.1+19))),
IF(L1693="NORMAL",
   IF(I1695&lt;=30,I1695*1.15+2,IF(I1695&lt;=80,I1695*1.15+4,IF(I1695&lt;=150,I1695*1.15+6,I1695*1.15+8))),
IF(L1693="COMPLEMENTO",
   IF(I1695&lt;=25,I1695*1.25+1.5,IF(I1695&lt;=60,I1695*1.25+3,IF(I1695&lt;=120,I1695*1.25+4,I1695*1.25+5))),
""))),2)</f>
        <v>14.33</v>
      </c>
      <c r="I1695" s="9">
        <f>($K$2+0.02)*Tabla1[[#This Row],[PRECIO $]]*1.18</f>
        <v>10.265999999999998</v>
      </c>
      <c r="J1695" s="7">
        <f>+Tabla1[[#This Row],[PRECIO EN SOLES]]-Tabla1[[#This Row],[PC]]</f>
        <v>4.0640000000000018</v>
      </c>
      <c r="K1695" s="15"/>
      <c r="L1695" s="15" t="str">
        <f>IF(
OR(
ISNUMBER(SEARCH("BACKPACK",B1697)),
ISNUMBER(SEARCH("MOCHILA",B1697)),
ISNUMBER(SEARCH("FUNDA",B1697)),
ISNUMBER(SEARCH("ESTUCHE",B1697)),
ISNUMBER(SEARCH("BOOK COVER",B1697)),
ISNUMBER(SEARCH("KEYBOARD PARA TABLET",B1697)),
ISNUMBER(SEARCH("FLIP TABLET",B1697)),
ISNUMBER(SEARCH("CASE FOR TABLET",B1697)),
ISNUMBER(SEARCH("CABLE",B1697)),
ISNUMBER(SEARCH("ADAPTADOR",B1697)),
ISNUMBER(SEARCH("HUB",B1697)),
ISNUMBER(SEARCH("DOCK",B1697)),
ISNUMBER(SEARCH("MOUSE PAD",B1697)),
ISNUMBER(SEARCH("MOUSEPAD",B1697)),
ISNUMBER(SEARCH("SOPORTE",B1697)),
ISNUMBER(SEARCH("STAND",B1697)),
ISNUMBER(SEARCH("TRAVEL ADAPTER",B1697)),
ISNUMBER(SEARCH("RJ45",B1697)),
ISNUMBER(SEARCH("USB-C",B1697)),
ISNUMBER(SEARCH("USB WIFI",B1697)),
ISNUMBER(SEARCH("POWERBANK",B1697)),
ISNUMBER(SEARCH("CARGADOR",B1697)),
ISNUMBER(SEARCH("COOLER PARA NB",B1697)),
ISNUMBER(SEARCH("SOPORTE PARA NB",B1697)),
ISNUMBER(SEARCH("WEBCAM",B1697)),
ISNUMBER(SEARCH("WEB CAM",B1697)),
ISNUMBER(SEARCH("MOUSE",B1697)),
ISNUMBER(SEARCH("TECLADO",B1697))
),
"COMPLEMENTO",
IF(
OR(
LEFT(A1697,2)="NB",
LEFT(A1697,2)="PC",
LEFT(A1697,2)="WS",
LEFT(A1697,2)="TB",
LEFT(A1697,3)="CEL",
LEFT(A1697,3)="MON",
LEFT(A1697,3)="PRE",
LEFT(A1697,3)="PRH",
ISNUMBER(SEARCH("NOTEBOOK",B1697)),
ISNUMBER(SEARCH("LAPTOP",B1697)),
ISNUMBER(SEARCH("MONITOR",B1697)),
ISNUMBER(SEARCH("TABLET",B1697)),
ISNUMBER(SEARCH("SMARTPH",B1697)),
ISNUMBER(SEARCH("IMPRESORA",B1697)),
ISNUMBER(SEARCH("MULTIFUNCIONAL",B1697)),
ISNUMBER(SEARCH("AIO",B1697))
),
"GANCHO",
"NORMAL"
)
)</f>
        <v>NORMAL</v>
      </c>
    </row>
    <row r="1696" spans="1:12" x14ac:dyDescent="0.25">
      <c r="A1696" s="3" t="s">
        <v>2603</v>
      </c>
      <c r="B1696" s="3" t="s">
        <v>2604</v>
      </c>
      <c r="C1696" s="1">
        <v>20</v>
      </c>
      <c r="D1696" s="1">
        <v>100</v>
      </c>
      <c r="E1696" s="1" t="s">
        <v>54</v>
      </c>
      <c r="F1696" s="1" t="s">
        <v>4102</v>
      </c>
      <c r="G1696" s="3" t="s">
        <v>2605</v>
      </c>
      <c r="H1696" s="11">
        <f>ROUND(
IF(L1694="GANCHO",
   IF(I1696&lt;=50,I1696*1.1+4,IF(I1696&lt;=120,I1696*1.1+7,IF(I1696&lt;=250,I1696*1.1+11,I1696*1.1+19))),
IF(L1694="NORMAL",
   IF(I1696&lt;=30,I1696*1.15+2,IF(I1696&lt;=80,I1696*1.15+4,IF(I1696&lt;=150,I1696*1.15+6,I1696*1.15+8))),
IF(L1694="COMPLEMENTO",
   IF(I1696&lt;=25,I1696*1.25+1.5,IF(I1696&lt;=60,I1696*1.25+3,IF(I1696&lt;=120,I1696*1.25+4,I1696*1.25+5))),
""))),2)</f>
        <v>480.24</v>
      </c>
      <c r="I1696" s="9">
        <f>($K$2+0.02)*Tabla1[[#This Row],[PRECIO $]]*1.18</f>
        <v>410.64</v>
      </c>
      <c r="J1696" s="7">
        <f>+Tabla1[[#This Row],[PRECIO EN SOLES]]-Tabla1[[#This Row],[PC]]</f>
        <v>69.600000000000023</v>
      </c>
      <c r="K1696" s="15"/>
      <c r="L1696" s="15" t="str">
        <f>IF(
OR(
ISNUMBER(SEARCH("BACKPACK",B1698)),
ISNUMBER(SEARCH("MOCHILA",B1698)),
ISNUMBER(SEARCH("FUNDA",B1698)),
ISNUMBER(SEARCH("ESTUCHE",B1698)),
ISNUMBER(SEARCH("BOOK COVER",B1698)),
ISNUMBER(SEARCH("KEYBOARD PARA TABLET",B1698)),
ISNUMBER(SEARCH("FLIP TABLET",B1698)),
ISNUMBER(SEARCH("CASE FOR TABLET",B1698)),
ISNUMBER(SEARCH("CABLE",B1698)),
ISNUMBER(SEARCH("ADAPTADOR",B1698)),
ISNUMBER(SEARCH("HUB",B1698)),
ISNUMBER(SEARCH("DOCK",B1698)),
ISNUMBER(SEARCH("MOUSE PAD",B1698)),
ISNUMBER(SEARCH("MOUSEPAD",B1698)),
ISNUMBER(SEARCH("SOPORTE",B1698)),
ISNUMBER(SEARCH("STAND",B1698)),
ISNUMBER(SEARCH("TRAVEL ADAPTER",B1698)),
ISNUMBER(SEARCH("RJ45",B1698)),
ISNUMBER(SEARCH("USB-C",B1698)),
ISNUMBER(SEARCH("USB WIFI",B1698)),
ISNUMBER(SEARCH("POWERBANK",B1698)),
ISNUMBER(SEARCH("CARGADOR",B1698)),
ISNUMBER(SEARCH("COOLER PARA NB",B1698)),
ISNUMBER(SEARCH("SOPORTE PARA NB",B1698)),
ISNUMBER(SEARCH("WEBCAM",B1698)),
ISNUMBER(SEARCH("WEB CAM",B1698)),
ISNUMBER(SEARCH("MOUSE",B1698)),
ISNUMBER(SEARCH("TECLADO",B1698))
),
"COMPLEMENTO",
IF(
OR(
LEFT(A1698,2)="NB",
LEFT(A1698,2)="PC",
LEFT(A1698,2)="WS",
LEFT(A1698,2)="TB",
LEFT(A1698,3)="CEL",
LEFT(A1698,3)="MON",
LEFT(A1698,3)="PRE",
LEFT(A1698,3)="PRH",
ISNUMBER(SEARCH("NOTEBOOK",B1698)),
ISNUMBER(SEARCH("LAPTOP",B1698)),
ISNUMBER(SEARCH("MONITOR",B1698)),
ISNUMBER(SEARCH("TABLET",B1698)),
ISNUMBER(SEARCH("SMARTPH",B1698)),
ISNUMBER(SEARCH("IMPRESORA",B1698)),
ISNUMBER(SEARCH("MULTIFUNCIONAL",B1698)),
ISNUMBER(SEARCH("AIO",B1698))
),
"GANCHO",
"NORMAL"
)
)</f>
        <v>NORMAL</v>
      </c>
    </row>
    <row r="1697" spans="1:12" x14ac:dyDescent="0.25">
      <c r="A1697" s="3" t="s">
        <v>3010</v>
      </c>
      <c r="B1697" s="3" t="s">
        <v>3011</v>
      </c>
      <c r="C1697" s="1">
        <v>20</v>
      </c>
      <c r="D1697" s="1">
        <v>8</v>
      </c>
      <c r="E1697" s="1" t="s">
        <v>54</v>
      </c>
      <c r="F1697" s="1" t="s">
        <v>4103</v>
      </c>
      <c r="G1697" s="3"/>
      <c r="H1697" s="11">
        <f>ROUND(
IF(L1695="GANCHO",
   IF(I1697&lt;=50,I1697*1.1+4,IF(I1697&lt;=120,I1697*1.1+7,IF(I1697&lt;=250,I1697*1.1+11,I1697*1.1+19))),
IF(L1695="NORMAL",
   IF(I1697&lt;=30,I1697*1.15+2,IF(I1697&lt;=80,I1697*1.15+4,IF(I1697&lt;=150,I1697*1.15+6,I1697*1.15+8))),
IF(L1695="COMPLEMENTO",
   IF(I1697&lt;=25,I1697*1.25+1.5,IF(I1697&lt;=60,I1697*1.25+3,IF(I1697&lt;=120,I1697*1.25+4,I1697*1.25+5))),
""))),2)</f>
        <v>41.78</v>
      </c>
      <c r="I1697" s="9">
        <f>($K$2+0.02)*Tabla1[[#This Row],[PRECIO $]]*1.18</f>
        <v>32.851199999999999</v>
      </c>
      <c r="J1697" s="7">
        <f>+Tabla1[[#This Row],[PRECIO EN SOLES]]-Tabla1[[#This Row],[PC]]</f>
        <v>8.9288000000000025</v>
      </c>
      <c r="K1697" s="15"/>
      <c r="L1697" s="15" t="str">
        <f>IF(
OR(
ISNUMBER(SEARCH("BACKPACK",B1699)),
ISNUMBER(SEARCH("MOCHILA",B1699)),
ISNUMBER(SEARCH("FUNDA",B1699)),
ISNUMBER(SEARCH("ESTUCHE",B1699)),
ISNUMBER(SEARCH("BOOK COVER",B1699)),
ISNUMBER(SEARCH("KEYBOARD PARA TABLET",B1699)),
ISNUMBER(SEARCH("FLIP TABLET",B1699)),
ISNUMBER(SEARCH("CASE FOR TABLET",B1699)),
ISNUMBER(SEARCH("CABLE",B1699)),
ISNUMBER(SEARCH("ADAPTADOR",B1699)),
ISNUMBER(SEARCH("HUB",B1699)),
ISNUMBER(SEARCH("DOCK",B1699)),
ISNUMBER(SEARCH("MOUSE PAD",B1699)),
ISNUMBER(SEARCH("MOUSEPAD",B1699)),
ISNUMBER(SEARCH("SOPORTE",B1699)),
ISNUMBER(SEARCH("STAND",B1699)),
ISNUMBER(SEARCH("TRAVEL ADAPTER",B1699)),
ISNUMBER(SEARCH("RJ45",B1699)),
ISNUMBER(SEARCH("USB-C",B1699)),
ISNUMBER(SEARCH("USB WIFI",B1699)),
ISNUMBER(SEARCH("POWERBANK",B1699)),
ISNUMBER(SEARCH("CARGADOR",B1699)),
ISNUMBER(SEARCH("COOLER PARA NB",B1699)),
ISNUMBER(SEARCH("SOPORTE PARA NB",B1699)),
ISNUMBER(SEARCH("WEBCAM",B1699)),
ISNUMBER(SEARCH("WEB CAM",B1699)),
ISNUMBER(SEARCH("MOUSE",B1699)),
ISNUMBER(SEARCH("TECLADO",B1699))
),
"COMPLEMENTO",
IF(
OR(
LEFT(A1699,2)="NB",
LEFT(A1699,2)="PC",
LEFT(A1699,2)="WS",
LEFT(A1699,2)="TB",
LEFT(A1699,3)="CEL",
LEFT(A1699,3)="MON",
LEFT(A1699,3)="PRE",
LEFT(A1699,3)="PRH",
ISNUMBER(SEARCH("NOTEBOOK",B1699)),
ISNUMBER(SEARCH("LAPTOP",B1699)),
ISNUMBER(SEARCH("MONITOR",B1699)),
ISNUMBER(SEARCH("TABLET",B1699)),
ISNUMBER(SEARCH("SMARTPH",B1699)),
ISNUMBER(SEARCH("IMPRESORA",B1699)),
ISNUMBER(SEARCH("MULTIFUNCIONAL",B1699)),
ISNUMBER(SEARCH("AIO",B1699))
),
"GANCHO",
"NORMAL"
)
)</f>
        <v>COMPLEMENTO</v>
      </c>
    </row>
    <row r="1698" spans="1:12" x14ac:dyDescent="0.25">
      <c r="A1698" s="3" t="s">
        <v>2606</v>
      </c>
      <c r="B1698" s="3" t="s">
        <v>2607</v>
      </c>
      <c r="C1698" s="1">
        <v>7</v>
      </c>
      <c r="D1698" s="1">
        <v>40</v>
      </c>
      <c r="E1698" s="1" t="s">
        <v>838</v>
      </c>
      <c r="F1698" s="1" t="s">
        <v>4104</v>
      </c>
      <c r="G1698" s="3" t="s">
        <v>2608</v>
      </c>
      <c r="H1698" s="11">
        <f>ROUND(
IF(L1696="GANCHO",
   IF(I1698&lt;=50,I1698*1.1+4,IF(I1698&lt;=120,I1698*1.1+7,IF(I1698&lt;=250,I1698*1.1+11,I1698*1.1+19))),
IF(L1696="NORMAL",
   IF(I1698&lt;=30,I1698*1.15+2,IF(I1698&lt;=80,I1698*1.15+4,IF(I1698&lt;=150,I1698*1.15+6,I1698*1.15+8))),
IF(L1696="COMPLEMENTO",
   IF(I1698&lt;=25,I1698*1.25+1.5,IF(I1698&lt;=60,I1698*1.25+3,IF(I1698&lt;=120,I1698*1.25+4,I1698*1.25+5))),
""))),2)</f>
        <v>196.89</v>
      </c>
      <c r="I1698" s="9">
        <f>($K$2+0.02)*Tabla1[[#This Row],[PRECIO $]]*1.18</f>
        <v>164.25599999999997</v>
      </c>
      <c r="J1698" s="7">
        <f>+Tabla1[[#This Row],[PRECIO EN SOLES]]-Tabla1[[#This Row],[PC]]</f>
        <v>32.634000000000015</v>
      </c>
      <c r="K1698" s="15"/>
      <c r="L1698" s="15" t="str">
        <f>IF(
OR(
ISNUMBER(SEARCH("BACKPACK",B1700)),
ISNUMBER(SEARCH("MOCHILA",B1700)),
ISNUMBER(SEARCH("FUNDA",B1700)),
ISNUMBER(SEARCH("ESTUCHE",B1700)),
ISNUMBER(SEARCH("BOOK COVER",B1700)),
ISNUMBER(SEARCH("KEYBOARD PARA TABLET",B1700)),
ISNUMBER(SEARCH("FLIP TABLET",B1700)),
ISNUMBER(SEARCH("CASE FOR TABLET",B1700)),
ISNUMBER(SEARCH("CABLE",B1700)),
ISNUMBER(SEARCH("ADAPTADOR",B1700)),
ISNUMBER(SEARCH("HUB",B1700)),
ISNUMBER(SEARCH("DOCK",B1700)),
ISNUMBER(SEARCH("MOUSE PAD",B1700)),
ISNUMBER(SEARCH("MOUSEPAD",B1700)),
ISNUMBER(SEARCH("SOPORTE",B1700)),
ISNUMBER(SEARCH("STAND",B1700)),
ISNUMBER(SEARCH("TRAVEL ADAPTER",B1700)),
ISNUMBER(SEARCH("RJ45",B1700)),
ISNUMBER(SEARCH("USB-C",B1700)),
ISNUMBER(SEARCH("USB WIFI",B1700)),
ISNUMBER(SEARCH("POWERBANK",B1700)),
ISNUMBER(SEARCH("CARGADOR",B1700)),
ISNUMBER(SEARCH("COOLER PARA NB",B1700)),
ISNUMBER(SEARCH("SOPORTE PARA NB",B1700)),
ISNUMBER(SEARCH("WEBCAM",B1700)),
ISNUMBER(SEARCH("WEB CAM",B1700)),
ISNUMBER(SEARCH("MOUSE",B1700)),
ISNUMBER(SEARCH("TECLADO",B1700))
),
"COMPLEMENTO",
IF(
OR(
LEFT(A1700,2)="NB",
LEFT(A1700,2)="PC",
LEFT(A1700,2)="WS",
LEFT(A1700,2)="TB",
LEFT(A1700,3)="CEL",
LEFT(A1700,3)="MON",
LEFT(A1700,3)="PRE",
LEFT(A1700,3)="PRH",
ISNUMBER(SEARCH("NOTEBOOK",B1700)),
ISNUMBER(SEARCH("LAPTOP",B1700)),
ISNUMBER(SEARCH("MONITOR",B1700)),
ISNUMBER(SEARCH("TABLET",B1700)),
ISNUMBER(SEARCH("SMARTPH",B1700)),
ISNUMBER(SEARCH("IMPRESORA",B1700)),
ISNUMBER(SEARCH("MULTIFUNCIONAL",B1700)),
ISNUMBER(SEARCH("AIO",B1700))
),
"GANCHO",
"NORMAL"
)
)</f>
        <v>COMPLEMENTO</v>
      </c>
    </row>
    <row r="1699" spans="1:12" x14ac:dyDescent="0.25">
      <c r="A1699" s="3" t="s">
        <v>2609</v>
      </c>
      <c r="B1699" s="3" t="s">
        <v>2610</v>
      </c>
      <c r="C1699" s="1">
        <v>12</v>
      </c>
      <c r="D1699" s="1">
        <v>7</v>
      </c>
      <c r="E1699" s="1" t="s">
        <v>54</v>
      </c>
      <c r="F1699" s="1" t="s">
        <v>4105</v>
      </c>
      <c r="G1699" s="3" t="s">
        <v>2611</v>
      </c>
      <c r="H1699" s="11">
        <f>ROUND(
IF(L1697="GANCHO",
   IF(I1699&lt;=50,I1699*1.1+4,IF(I1699&lt;=120,I1699*1.1+7,IF(I1699&lt;=250,I1699*1.1+11,I1699*1.1+19))),
IF(L1697="NORMAL",
   IF(I1699&lt;=30,I1699*1.15+2,IF(I1699&lt;=80,I1699*1.15+4,IF(I1699&lt;=150,I1699*1.15+6,I1699*1.15+8))),
IF(L1697="COMPLEMENTO",
   IF(I1699&lt;=25,I1699*1.25+1.5,IF(I1699&lt;=60,I1699*1.25+3,IF(I1699&lt;=120,I1699*1.25+4,I1699*1.25+5))),
""))),2)</f>
        <v>38.93</v>
      </c>
      <c r="I1699" s="9">
        <f>($K$2+0.02)*Tabla1[[#This Row],[PRECIO $]]*1.18</f>
        <v>28.744799999999998</v>
      </c>
      <c r="J1699" s="7">
        <f>+Tabla1[[#This Row],[PRECIO EN SOLES]]-Tabla1[[#This Row],[PC]]</f>
        <v>10.185200000000002</v>
      </c>
      <c r="K1699" s="15"/>
      <c r="L1699" s="15" t="str">
        <f>IF(
OR(
ISNUMBER(SEARCH("BACKPACK",B1701)),
ISNUMBER(SEARCH("MOCHILA",B1701)),
ISNUMBER(SEARCH("FUNDA",B1701)),
ISNUMBER(SEARCH("ESTUCHE",B1701)),
ISNUMBER(SEARCH("BOOK COVER",B1701)),
ISNUMBER(SEARCH("KEYBOARD PARA TABLET",B1701)),
ISNUMBER(SEARCH("FLIP TABLET",B1701)),
ISNUMBER(SEARCH("CASE FOR TABLET",B1701)),
ISNUMBER(SEARCH("CABLE",B1701)),
ISNUMBER(SEARCH("ADAPTADOR",B1701)),
ISNUMBER(SEARCH("HUB",B1701)),
ISNUMBER(SEARCH("DOCK",B1701)),
ISNUMBER(SEARCH("MOUSE PAD",B1701)),
ISNUMBER(SEARCH("MOUSEPAD",B1701)),
ISNUMBER(SEARCH("SOPORTE",B1701)),
ISNUMBER(SEARCH("STAND",B1701)),
ISNUMBER(SEARCH("TRAVEL ADAPTER",B1701)),
ISNUMBER(SEARCH("RJ45",B1701)),
ISNUMBER(SEARCH("USB-C",B1701)),
ISNUMBER(SEARCH("USB WIFI",B1701)),
ISNUMBER(SEARCH("POWERBANK",B1701)),
ISNUMBER(SEARCH("CARGADOR",B1701)),
ISNUMBER(SEARCH("COOLER PARA NB",B1701)),
ISNUMBER(SEARCH("SOPORTE PARA NB",B1701)),
ISNUMBER(SEARCH("WEBCAM",B1701)),
ISNUMBER(SEARCH("WEB CAM",B1701)),
ISNUMBER(SEARCH("MOUSE",B1701)),
ISNUMBER(SEARCH("TECLADO",B1701))
),
"COMPLEMENTO",
IF(
OR(
LEFT(A1701,2)="NB",
LEFT(A1701,2)="PC",
LEFT(A1701,2)="WS",
LEFT(A1701,2)="TB",
LEFT(A1701,3)="CEL",
LEFT(A1701,3)="MON",
LEFT(A1701,3)="PRE",
LEFT(A1701,3)="PRH",
ISNUMBER(SEARCH("NOTEBOOK",B1701)),
ISNUMBER(SEARCH("LAPTOP",B1701)),
ISNUMBER(SEARCH("MONITOR",B1701)),
ISNUMBER(SEARCH("TABLET",B1701)),
ISNUMBER(SEARCH("SMARTPH",B1701)),
ISNUMBER(SEARCH("IMPRESORA",B1701)),
ISNUMBER(SEARCH("MULTIFUNCIONAL",B1701)),
ISNUMBER(SEARCH("AIO",B1701))
),
"GANCHO",
"NORMAL"
)
)</f>
        <v>NORMAL</v>
      </c>
    </row>
    <row r="1700" spans="1:12" x14ac:dyDescent="0.25">
      <c r="A1700" s="3" t="s">
        <v>5072</v>
      </c>
      <c r="B1700" s="3" t="s">
        <v>5073</v>
      </c>
      <c r="C1700" s="1">
        <v>2</v>
      </c>
      <c r="D1700" s="1">
        <v>110</v>
      </c>
      <c r="E1700" s="1" t="s">
        <v>838</v>
      </c>
      <c r="F1700" s="1" t="s">
        <v>5074</v>
      </c>
      <c r="G1700" s="3" t="s">
        <v>5075</v>
      </c>
      <c r="H1700" s="11">
        <f>ROUND(
IF(L1698="GANCHO",
   IF(I1700&lt;=50,I1700*1.1+4,IF(I1700&lt;=120,I1700*1.1+7,IF(I1700&lt;=250,I1700*1.1+11,I1700*1.1+19))),
IF(L1698="NORMAL",
   IF(I1700&lt;=30,I1700*1.15+2,IF(I1700&lt;=80,I1700*1.15+4,IF(I1700&lt;=150,I1700*1.15+6,I1700*1.15+8))),
IF(L1698="COMPLEMENTO",
   IF(I1700&lt;=25,I1700*1.25+1.5,IF(I1700&lt;=60,I1700*1.25+3,IF(I1700&lt;=120,I1700*1.25+4,I1700*1.25+5))),
""))),2)</f>
        <v>569.63</v>
      </c>
      <c r="I1700" s="9">
        <f>($K$2+0.02)*Tabla1[[#This Row],[PRECIO $]]*1.18</f>
        <v>451.70400000000001</v>
      </c>
      <c r="J1700" s="7">
        <f>+Tabla1[[#This Row],[PRECIO EN SOLES]]-Tabla1[[#This Row],[PC]]</f>
        <v>117.92599999999999</v>
      </c>
      <c r="K1700" s="15"/>
      <c r="L1700" s="15" t="str">
        <f>IF(
OR(
ISNUMBER(SEARCH("BACKPACK",B1702)),
ISNUMBER(SEARCH("MOCHILA",B1702)),
ISNUMBER(SEARCH("FUNDA",B1702)),
ISNUMBER(SEARCH("ESTUCHE",B1702)),
ISNUMBER(SEARCH("BOOK COVER",B1702)),
ISNUMBER(SEARCH("KEYBOARD PARA TABLET",B1702)),
ISNUMBER(SEARCH("FLIP TABLET",B1702)),
ISNUMBER(SEARCH("CASE FOR TABLET",B1702)),
ISNUMBER(SEARCH("CABLE",B1702)),
ISNUMBER(SEARCH("ADAPTADOR",B1702)),
ISNUMBER(SEARCH("HUB",B1702)),
ISNUMBER(SEARCH("DOCK",B1702)),
ISNUMBER(SEARCH("MOUSE PAD",B1702)),
ISNUMBER(SEARCH("MOUSEPAD",B1702)),
ISNUMBER(SEARCH("SOPORTE",B1702)),
ISNUMBER(SEARCH("STAND",B1702)),
ISNUMBER(SEARCH("TRAVEL ADAPTER",B1702)),
ISNUMBER(SEARCH("RJ45",B1702)),
ISNUMBER(SEARCH("USB-C",B1702)),
ISNUMBER(SEARCH("USB WIFI",B1702)),
ISNUMBER(SEARCH("POWERBANK",B1702)),
ISNUMBER(SEARCH("CARGADOR",B1702)),
ISNUMBER(SEARCH("COOLER PARA NB",B1702)),
ISNUMBER(SEARCH("SOPORTE PARA NB",B1702)),
ISNUMBER(SEARCH("WEBCAM",B1702)),
ISNUMBER(SEARCH("WEB CAM",B1702)),
ISNUMBER(SEARCH("MOUSE",B1702)),
ISNUMBER(SEARCH("TECLADO",B1702))
),
"COMPLEMENTO",
IF(
OR(
LEFT(A1702,2)="NB",
LEFT(A1702,2)="PC",
LEFT(A1702,2)="WS",
LEFT(A1702,2)="TB",
LEFT(A1702,3)="CEL",
LEFT(A1702,3)="MON",
LEFT(A1702,3)="PRE",
LEFT(A1702,3)="PRH",
ISNUMBER(SEARCH("NOTEBOOK",B1702)),
ISNUMBER(SEARCH("LAPTOP",B1702)),
ISNUMBER(SEARCH("MONITOR",B1702)),
ISNUMBER(SEARCH("TABLET",B1702)),
ISNUMBER(SEARCH("SMARTPH",B1702)),
ISNUMBER(SEARCH("IMPRESORA",B1702)),
ISNUMBER(SEARCH("MULTIFUNCIONAL",B1702)),
ISNUMBER(SEARCH("AIO",B1702))
),
"GANCHO",
"NORMAL"
)
)</f>
        <v>COMPLEMENTO</v>
      </c>
    </row>
    <row r="1701" spans="1:12" x14ac:dyDescent="0.25">
      <c r="A1701" s="3" t="s">
        <v>5076</v>
      </c>
      <c r="B1701" s="3" t="s">
        <v>5077</v>
      </c>
      <c r="C1701" s="1">
        <v>4</v>
      </c>
      <c r="D1701" s="1">
        <v>96</v>
      </c>
      <c r="E1701" s="1" t="s">
        <v>838</v>
      </c>
      <c r="F1701" s="1" t="s">
        <v>5078</v>
      </c>
      <c r="G1701" s="3" t="s">
        <v>5079</v>
      </c>
      <c r="H1701" s="11">
        <f>ROUND(
IF(L1699="GANCHO",
   IF(I1701&lt;=50,I1701*1.1+4,IF(I1701&lt;=120,I1701*1.1+7,IF(I1701&lt;=250,I1701*1.1+11,I1701*1.1+19))),
IF(L1699="NORMAL",
   IF(I1701&lt;=30,I1701*1.15+2,IF(I1701&lt;=80,I1701*1.15+4,IF(I1701&lt;=150,I1701*1.15+6,I1701*1.15+8))),
IF(L1699="COMPLEMENTO",
   IF(I1701&lt;=25,I1701*1.25+1.5,IF(I1701&lt;=60,I1701*1.25+3,IF(I1701&lt;=120,I1701*1.25+4,I1701*1.25+5))),
""))),2)</f>
        <v>461.35</v>
      </c>
      <c r="I1701" s="9">
        <f>($K$2+0.02)*Tabla1[[#This Row],[PRECIO $]]*1.18</f>
        <v>394.21439999999996</v>
      </c>
      <c r="J1701" s="7">
        <f>+Tabla1[[#This Row],[PRECIO EN SOLES]]-Tabla1[[#This Row],[PC]]</f>
        <v>67.135600000000068</v>
      </c>
      <c r="K1701" s="15"/>
      <c r="L1701" s="15" t="str">
        <f>IF(
OR(
ISNUMBER(SEARCH("BACKPACK",B1703)),
ISNUMBER(SEARCH("MOCHILA",B1703)),
ISNUMBER(SEARCH("FUNDA",B1703)),
ISNUMBER(SEARCH("ESTUCHE",B1703)),
ISNUMBER(SEARCH("BOOK COVER",B1703)),
ISNUMBER(SEARCH("KEYBOARD PARA TABLET",B1703)),
ISNUMBER(SEARCH("FLIP TABLET",B1703)),
ISNUMBER(SEARCH("CASE FOR TABLET",B1703)),
ISNUMBER(SEARCH("CABLE",B1703)),
ISNUMBER(SEARCH("ADAPTADOR",B1703)),
ISNUMBER(SEARCH("HUB",B1703)),
ISNUMBER(SEARCH("DOCK",B1703)),
ISNUMBER(SEARCH("MOUSE PAD",B1703)),
ISNUMBER(SEARCH("MOUSEPAD",B1703)),
ISNUMBER(SEARCH("SOPORTE",B1703)),
ISNUMBER(SEARCH("STAND",B1703)),
ISNUMBER(SEARCH("TRAVEL ADAPTER",B1703)),
ISNUMBER(SEARCH("RJ45",B1703)),
ISNUMBER(SEARCH("USB-C",B1703)),
ISNUMBER(SEARCH("USB WIFI",B1703)),
ISNUMBER(SEARCH("POWERBANK",B1703)),
ISNUMBER(SEARCH("CARGADOR",B1703)),
ISNUMBER(SEARCH("COOLER PARA NB",B1703)),
ISNUMBER(SEARCH("SOPORTE PARA NB",B1703)),
ISNUMBER(SEARCH("WEBCAM",B1703)),
ISNUMBER(SEARCH("WEB CAM",B1703)),
ISNUMBER(SEARCH("MOUSE",B1703)),
ISNUMBER(SEARCH("TECLADO",B1703))
),
"COMPLEMENTO",
IF(
OR(
LEFT(A1703,2)="NB",
LEFT(A1703,2)="PC",
LEFT(A1703,2)="WS",
LEFT(A1703,2)="TB",
LEFT(A1703,3)="CEL",
LEFT(A1703,3)="MON",
LEFT(A1703,3)="PRE",
LEFT(A1703,3)="PRH",
ISNUMBER(SEARCH("NOTEBOOK",B1703)),
ISNUMBER(SEARCH("LAPTOP",B1703)),
ISNUMBER(SEARCH("MONITOR",B1703)),
ISNUMBER(SEARCH("TABLET",B1703)),
ISNUMBER(SEARCH("SMARTPH",B1703)),
ISNUMBER(SEARCH("IMPRESORA",B1703)),
ISNUMBER(SEARCH("MULTIFUNCIONAL",B1703)),
ISNUMBER(SEARCH("AIO",B1703))
),
"GANCHO",
"NORMAL"
)
)</f>
        <v>NORMAL</v>
      </c>
    </row>
    <row r="1702" spans="1:12" x14ac:dyDescent="0.25">
      <c r="A1702" s="3" t="s">
        <v>2612</v>
      </c>
      <c r="B1702" s="3" t="s">
        <v>2613</v>
      </c>
      <c r="C1702" s="1">
        <v>3</v>
      </c>
      <c r="D1702" s="1">
        <v>18.399999999999999</v>
      </c>
      <c r="E1702" s="1" t="s">
        <v>54</v>
      </c>
      <c r="F1702" s="1" t="s">
        <v>4106</v>
      </c>
      <c r="G1702" s="3" t="s">
        <v>2614</v>
      </c>
      <c r="H1702" s="11">
        <f>ROUND(
IF(L1700="GANCHO",
   IF(I1702&lt;=50,I1702*1.1+4,IF(I1702&lt;=120,I1702*1.1+7,IF(I1702&lt;=250,I1702*1.1+11,I1702*1.1+19))),
IF(L1700="NORMAL",
   IF(I1702&lt;=30,I1702*1.15+2,IF(I1702&lt;=80,I1702*1.15+4,IF(I1702&lt;=150,I1702*1.15+6,I1702*1.15+8))),
IF(L1700="COMPLEMENTO",
   IF(I1702&lt;=25,I1702*1.25+1.5,IF(I1702&lt;=60,I1702*1.25+3,IF(I1702&lt;=120,I1702*1.25+4,I1702*1.25+5))),
""))),2)</f>
        <v>98.45</v>
      </c>
      <c r="I1702" s="9">
        <f>($K$2+0.02)*Tabla1[[#This Row],[PRECIO $]]*1.18</f>
        <v>75.557759999999988</v>
      </c>
      <c r="J1702" s="7">
        <f>+Tabla1[[#This Row],[PRECIO EN SOLES]]-Tabla1[[#This Row],[PC]]</f>
        <v>22.892240000000015</v>
      </c>
      <c r="K1702" s="15"/>
      <c r="L1702" s="15" t="str">
        <f>IF(
OR(
ISNUMBER(SEARCH("BACKPACK",B1704)),
ISNUMBER(SEARCH("MOCHILA",B1704)),
ISNUMBER(SEARCH("FUNDA",B1704)),
ISNUMBER(SEARCH("ESTUCHE",B1704)),
ISNUMBER(SEARCH("BOOK COVER",B1704)),
ISNUMBER(SEARCH("KEYBOARD PARA TABLET",B1704)),
ISNUMBER(SEARCH("FLIP TABLET",B1704)),
ISNUMBER(SEARCH("CASE FOR TABLET",B1704)),
ISNUMBER(SEARCH("CABLE",B1704)),
ISNUMBER(SEARCH("ADAPTADOR",B1704)),
ISNUMBER(SEARCH("HUB",B1704)),
ISNUMBER(SEARCH("DOCK",B1704)),
ISNUMBER(SEARCH("MOUSE PAD",B1704)),
ISNUMBER(SEARCH("MOUSEPAD",B1704)),
ISNUMBER(SEARCH("SOPORTE",B1704)),
ISNUMBER(SEARCH("STAND",B1704)),
ISNUMBER(SEARCH("TRAVEL ADAPTER",B1704)),
ISNUMBER(SEARCH("RJ45",B1704)),
ISNUMBER(SEARCH("USB-C",B1704)),
ISNUMBER(SEARCH("USB WIFI",B1704)),
ISNUMBER(SEARCH("POWERBANK",B1704)),
ISNUMBER(SEARCH("CARGADOR",B1704)),
ISNUMBER(SEARCH("COOLER PARA NB",B1704)),
ISNUMBER(SEARCH("SOPORTE PARA NB",B1704)),
ISNUMBER(SEARCH("WEBCAM",B1704)),
ISNUMBER(SEARCH("WEB CAM",B1704)),
ISNUMBER(SEARCH("MOUSE",B1704)),
ISNUMBER(SEARCH("TECLADO",B1704))
),
"COMPLEMENTO",
IF(
OR(
LEFT(A1704,2)="NB",
LEFT(A1704,2)="PC",
LEFT(A1704,2)="WS",
LEFT(A1704,2)="TB",
LEFT(A1704,3)="CEL",
LEFT(A1704,3)="MON",
LEFT(A1704,3)="PRE",
LEFT(A1704,3)="PRH",
ISNUMBER(SEARCH("NOTEBOOK",B1704)),
ISNUMBER(SEARCH("LAPTOP",B1704)),
ISNUMBER(SEARCH("MONITOR",B1704)),
ISNUMBER(SEARCH("TABLET",B1704)),
ISNUMBER(SEARCH("SMARTPH",B1704)),
ISNUMBER(SEARCH("IMPRESORA",B1704)),
ISNUMBER(SEARCH("MULTIFUNCIONAL",B1704)),
ISNUMBER(SEARCH("AIO",B1704))
),
"GANCHO",
"NORMAL"
)
)</f>
        <v>NORMAL</v>
      </c>
    </row>
    <row r="1703" spans="1:12" x14ac:dyDescent="0.25">
      <c r="A1703" s="3" t="s">
        <v>2615</v>
      </c>
      <c r="B1703" s="3" t="s">
        <v>2616</v>
      </c>
      <c r="C1703" s="1">
        <v>10</v>
      </c>
      <c r="D1703" s="1">
        <v>6.4</v>
      </c>
      <c r="E1703" s="1" t="s">
        <v>54</v>
      </c>
      <c r="F1703" s="1" t="s">
        <v>4107</v>
      </c>
      <c r="G1703" s="3" t="s">
        <v>2617</v>
      </c>
      <c r="H1703" s="11">
        <f>ROUND(
IF(L1701="GANCHO",
   IF(I1703&lt;=50,I1703*1.1+4,IF(I1703&lt;=120,I1703*1.1+7,IF(I1703&lt;=250,I1703*1.1+11,I1703*1.1+19))),
IF(L1701="NORMAL",
   IF(I1703&lt;=30,I1703*1.15+2,IF(I1703&lt;=80,I1703*1.15+4,IF(I1703&lt;=150,I1703*1.15+6,I1703*1.15+8))),
IF(L1701="COMPLEMENTO",
   IF(I1703&lt;=25,I1703*1.25+1.5,IF(I1703&lt;=60,I1703*1.25+3,IF(I1703&lt;=120,I1703*1.25+4,I1703*1.25+5))),
""))),2)</f>
        <v>32.22</v>
      </c>
      <c r="I1703" s="9">
        <f>($K$2+0.02)*Tabla1[[#This Row],[PRECIO $]]*1.18</f>
        <v>26.28096</v>
      </c>
      <c r="J1703" s="7">
        <f>+Tabla1[[#This Row],[PRECIO EN SOLES]]-Tabla1[[#This Row],[PC]]</f>
        <v>5.9390399999999985</v>
      </c>
      <c r="K1703" s="15"/>
      <c r="L1703" s="15" t="str">
        <f>IF(
OR(
ISNUMBER(SEARCH("BACKPACK",B1705)),
ISNUMBER(SEARCH("MOCHILA",B1705)),
ISNUMBER(SEARCH("FUNDA",B1705)),
ISNUMBER(SEARCH("ESTUCHE",B1705)),
ISNUMBER(SEARCH("BOOK COVER",B1705)),
ISNUMBER(SEARCH("KEYBOARD PARA TABLET",B1705)),
ISNUMBER(SEARCH("FLIP TABLET",B1705)),
ISNUMBER(SEARCH("CASE FOR TABLET",B1705)),
ISNUMBER(SEARCH("CABLE",B1705)),
ISNUMBER(SEARCH("ADAPTADOR",B1705)),
ISNUMBER(SEARCH("HUB",B1705)),
ISNUMBER(SEARCH("DOCK",B1705)),
ISNUMBER(SEARCH("MOUSE PAD",B1705)),
ISNUMBER(SEARCH("MOUSEPAD",B1705)),
ISNUMBER(SEARCH("SOPORTE",B1705)),
ISNUMBER(SEARCH("STAND",B1705)),
ISNUMBER(SEARCH("TRAVEL ADAPTER",B1705)),
ISNUMBER(SEARCH("RJ45",B1705)),
ISNUMBER(SEARCH("USB-C",B1705)),
ISNUMBER(SEARCH("USB WIFI",B1705)),
ISNUMBER(SEARCH("POWERBANK",B1705)),
ISNUMBER(SEARCH("CARGADOR",B1705)),
ISNUMBER(SEARCH("COOLER PARA NB",B1705)),
ISNUMBER(SEARCH("SOPORTE PARA NB",B1705)),
ISNUMBER(SEARCH("WEBCAM",B1705)),
ISNUMBER(SEARCH("WEB CAM",B1705)),
ISNUMBER(SEARCH("MOUSE",B1705)),
ISNUMBER(SEARCH("TECLADO",B1705))
),
"COMPLEMENTO",
IF(
OR(
LEFT(A1705,2)="NB",
LEFT(A1705,2)="PC",
LEFT(A1705,2)="WS",
LEFT(A1705,2)="TB",
LEFT(A1705,3)="CEL",
LEFT(A1705,3)="MON",
LEFT(A1705,3)="PRE",
LEFT(A1705,3)="PRH",
ISNUMBER(SEARCH("NOTEBOOK",B1705)),
ISNUMBER(SEARCH("LAPTOP",B1705)),
ISNUMBER(SEARCH("MONITOR",B1705)),
ISNUMBER(SEARCH("TABLET",B1705)),
ISNUMBER(SEARCH("SMARTPH",B1705)),
ISNUMBER(SEARCH("IMPRESORA",B1705)),
ISNUMBER(SEARCH("MULTIFUNCIONAL",B1705)),
ISNUMBER(SEARCH("AIO",B1705))
),
"GANCHO",
"NORMAL"
)
)</f>
        <v>COMPLEMENTO</v>
      </c>
    </row>
    <row r="1704" spans="1:12" x14ac:dyDescent="0.25">
      <c r="A1704" s="3" t="s">
        <v>2618</v>
      </c>
      <c r="B1704" s="3" t="s">
        <v>2619</v>
      </c>
      <c r="C1704" s="1">
        <v>1</v>
      </c>
      <c r="D1704" s="1">
        <v>2.54</v>
      </c>
      <c r="E1704" s="1" t="s">
        <v>54</v>
      </c>
      <c r="F1704" s="1" t="s">
        <v>4108</v>
      </c>
      <c r="G1704" s="3" t="s">
        <v>2620</v>
      </c>
      <c r="H1704" s="11">
        <f>ROUND(
IF(L1702="GANCHO",
   IF(I1704&lt;=50,I1704*1.1+4,IF(I1704&lt;=120,I1704*1.1+7,IF(I1704&lt;=250,I1704*1.1+11,I1704*1.1+19))),
IF(L1702="NORMAL",
   IF(I1704&lt;=30,I1704*1.15+2,IF(I1704&lt;=80,I1704*1.15+4,IF(I1704&lt;=150,I1704*1.15+6,I1704*1.15+8))),
IF(L1702="COMPLEMENTO",
   IF(I1704&lt;=25,I1704*1.25+1.5,IF(I1704&lt;=60,I1704*1.25+3,IF(I1704&lt;=120,I1704*1.25+4,I1704*1.25+5))),
""))),2)</f>
        <v>13.99</v>
      </c>
      <c r="I1704" s="9">
        <f>($K$2+0.02)*Tabla1[[#This Row],[PRECIO $]]*1.18</f>
        <v>10.430256</v>
      </c>
      <c r="J1704" s="7">
        <f>+Tabla1[[#This Row],[PRECIO EN SOLES]]-Tabla1[[#This Row],[PC]]</f>
        <v>3.5597440000000002</v>
      </c>
      <c r="K1704" s="15"/>
      <c r="L1704" s="15" t="str">
        <f>IF(
OR(
ISNUMBER(SEARCH("BACKPACK",B1706)),
ISNUMBER(SEARCH("MOCHILA",B1706)),
ISNUMBER(SEARCH("FUNDA",B1706)),
ISNUMBER(SEARCH("ESTUCHE",B1706)),
ISNUMBER(SEARCH("BOOK COVER",B1706)),
ISNUMBER(SEARCH("KEYBOARD PARA TABLET",B1706)),
ISNUMBER(SEARCH("FLIP TABLET",B1706)),
ISNUMBER(SEARCH("CASE FOR TABLET",B1706)),
ISNUMBER(SEARCH("CABLE",B1706)),
ISNUMBER(SEARCH("ADAPTADOR",B1706)),
ISNUMBER(SEARCH("HUB",B1706)),
ISNUMBER(SEARCH("DOCK",B1706)),
ISNUMBER(SEARCH("MOUSE PAD",B1706)),
ISNUMBER(SEARCH("MOUSEPAD",B1706)),
ISNUMBER(SEARCH("SOPORTE",B1706)),
ISNUMBER(SEARCH("STAND",B1706)),
ISNUMBER(SEARCH("TRAVEL ADAPTER",B1706)),
ISNUMBER(SEARCH("RJ45",B1706)),
ISNUMBER(SEARCH("USB-C",B1706)),
ISNUMBER(SEARCH("USB WIFI",B1706)),
ISNUMBER(SEARCH("POWERBANK",B1706)),
ISNUMBER(SEARCH("CARGADOR",B1706)),
ISNUMBER(SEARCH("COOLER PARA NB",B1706)),
ISNUMBER(SEARCH("SOPORTE PARA NB",B1706)),
ISNUMBER(SEARCH("WEBCAM",B1706)),
ISNUMBER(SEARCH("WEB CAM",B1706)),
ISNUMBER(SEARCH("MOUSE",B1706)),
ISNUMBER(SEARCH("TECLADO",B1706))
),
"COMPLEMENTO",
IF(
OR(
LEFT(A1706,2)="NB",
LEFT(A1706,2)="PC",
LEFT(A1706,2)="WS",
LEFT(A1706,2)="TB",
LEFT(A1706,3)="CEL",
LEFT(A1706,3)="MON",
LEFT(A1706,3)="PRE",
LEFT(A1706,3)="PRH",
ISNUMBER(SEARCH("NOTEBOOK",B1706)),
ISNUMBER(SEARCH("LAPTOP",B1706)),
ISNUMBER(SEARCH("MONITOR",B1706)),
ISNUMBER(SEARCH("TABLET",B1706)),
ISNUMBER(SEARCH("SMARTPH",B1706)),
ISNUMBER(SEARCH("IMPRESORA",B1706)),
ISNUMBER(SEARCH("MULTIFUNCIONAL",B1706)),
ISNUMBER(SEARCH("AIO",B1706))
),
"GANCHO",
"NORMAL"
)
)</f>
        <v>COMPLEMENTO</v>
      </c>
    </row>
    <row r="1705" spans="1:12" x14ac:dyDescent="0.25">
      <c r="A1705" s="3" t="s">
        <v>4541</v>
      </c>
      <c r="B1705" s="3" t="s">
        <v>4542</v>
      </c>
      <c r="C1705" s="1">
        <v>20</v>
      </c>
      <c r="D1705" s="1">
        <v>10</v>
      </c>
      <c r="E1705" s="1" t="s">
        <v>838</v>
      </c>
      <c r="F1705" s="1" t="s">
        <v>4543</v>
      </c>
      <c r="G1705" s="3" t="s">
        <v>4544</v>
      </c>
      <c r="H1705" s="11">
        <f>ROUND(
IF(L1703="GANCHO",
   IF(I1705&lt;=50,I1705*1.1+4,IF(I1705&lt;=120,I1705*1.1+7,IF(I1705&lt;=250,I1705*1.1+11,I1705*1.1+19))),
IF(L1703="NORMAL",
   IF(I1705&lt;=30,I1705*1.15+2,IF(I1705&lt;=80,I1705*1.15+4,IF(I1705&lt;=150,I1705*1.15+6,I1705*1.15+8))),
IF(L1703="COMPLEMENTO",
   IF(I1705&lt;=25,I1705*1.25+1.5,IF(I1705&lt;=60,I1705*1.25+3,IF(I1705&lt;=120,I1705*1.25+4,I1705*1.25+5))),
""))),2)</f>
        <v>54.33</v>
      </c>
      <c r="I1705" s="9">
        <f>($K$2+0.02)*Tabla1[[#This Row],[PRECIO $]]*1.18</f>
        <v>41.063999999999993</v>
      </c>
      <c r="J1705" s="7">
        <f>+Tabla1[[#This Row],[PRECIO EN SOLES]]-Tabla1[[#This Row],[PC]]</f>
        <v>13.266000000000005</v>
      </c>
      <c r="K1705" s="15"/>
      <c r="L1705" s="15" t="str">
        <f>IF(
OR(
ISNUMBER(SEARCH("BACKPACK",B1707)),
ISNUMBER(SEARCH("MOCHILA",B1707)),
ISNUMBER(SEARCH("FUNDA",B1707)),
ISNUMBER(SEARCH("ESTUCHE",B1707)),
ISNUMBER(SEARCH("BOOK COVER",B1707)),
ISNUMBER(SEARCH("KEYBOARD PARA TABLET",B1707)),
ISNUMBER(SEARCH("FLIP TABLET",B1707)),
ISNUMBER(SEARCH("CASE FOR TABLET",B1707)),
ISNUMBER(SEARCH("CABLE",B1707)),
ISNUMBER(SEARCH("ADAPTADOR",B1707)),
ISNUMBER(SEARCH("HUB",B1707)),
ISNUMBER(SEARCH("DOCK",B1707)),
ISNUMBER(SEARCH("MOUSE PAD",B1707)),
ISNUMBER(SEARCH("MOUSEPAD",B1707)),
ISNUMBER(SEARCH("SOPORTE",B1707)),
ISNUMBER(SEARCH("STAND",B1707)),
ISNUMBER(SEARCH("TRAVEL ADAPTER",B1707)),
ISNUMBER(SEARCH("RJ45",B1707)),
ISNUMBER(SEARCH("USB-C",B1707)),
ISNUMBER(SEARCH("USB WIFI",B1707)),
ISNUMBER(SEARCH("POWERBANK",B1707)),
ISNUMBER(SEARCH("CARGADOR",B1707)),
ISNUMBER(SEARCH("COOLER PARA NB",B1707)),
ISNUMBER(SEARCH("SOPORTE PARA NB",B1707)),
ISNUMBER(SEARCH("WEBCAM",B1707)),
ISNUMBER(SEARCH("WEB CAM",B1707)),
ISNUMBER(SEARCH("MOUSE",B1707)),
ISNUMBER(SEARCH("TECLADO",B1707))
),
"COMPLEMENTO",
IF(
OR(
LEFT(A1707,2)="NB",
LEFT(A1707,2)="PC",
LEFT(A1707,2)="WS",
LEFT(A1707,2)="TB",
LEFT(A1707,3)="CEL",
LEFT(A1707,3)="MON",
LEFT(A1707,3)="PRE",
LEFT(A1707,3)="PRH",
ISNUMBER(SEARCH("NOTEBOOK",B1707)),
ISNUMBER(SEARCH("LAPTOP",B1707)),
ISNUMBER(SEARCH("MONITOR",B1707)),
ISNUMBER(SEARCH("TABLET",B1707)),
ISNUMBER(SEARCH("SMARTPH",B1707)),
ISNUMBER(SEARCH("IMPRESORA",B1707)),
ISNUMBER(SEARCH("MULTIFUNCIONAL",B1707)),
ISNUMBER(SEARCH("AIO",B1707))
),
"GANCHO",
"NORMAL"
)
)</f>
        <v>COMPLEMENTO</v>
      </c>
    </row>
    <row r="1706" spans="1:12" x14ac:dyDescent="0.25">
      <c r="A1706" s="3" t="s">
        <v>2621</v>
      </c>
      <c r="B1706" s="3" t="s">
        <v>2622</v>
      </c>
      <c r="C1706" s="1">
        <v>12</v>
      </c>
      <c r="D1706" s="1">
        <v>22</v>
      </c>
      <c r="E1706" s="1" t="s">
        <v>838</v>
      </c>
      <c r="F1706" s="1" t="s">
        <v>4109</v>
      </c>
      <c r="G1706" s="3" t="s">
        <v>2623</v>
      </c>
      <c r="H1706" s="11">
        <f>ROUND(
IF(L1704="GANCHO",
   IF(I1706&lt;=50,I1706*1.1+4,IF(I1706&lt;=120,I1706*1.1+7,IF(I1706&lt;=250,I1706*1.1+11,I1706*1.1+19))),
IF(L1704="NORMAL",
   IF(I1706&lt;=30,I1706*1.15+2,IF(I1706&lt;=80,I1706*1.15+4,IF(I1706&lt;=150,I1706*1.15+6,I1706*1.15+8))),
IF(L1704="COMPLEMENTO",
   IF(I1706&lt;=25,I1706*1.25+1.5,IF(I1706&lt;=60,I1706*1.25+3,IF(I1706&lt;=120,I1706*1.25+4,I1706*1.25+5))),
""))),2)</f>
        <v>116.93</v>
      </c>
      <c r="I1706" s="9">
        <f>($K$2+0.02)*Tabla1[[#This Row],[PRECIO $]]*1.18</f>
        <v>90.340800000000002</v>
      </c>
      <c r="J1706" s="7">
        <f>+Tabla1[[#This Row],[PRECIO EN SOLES]]-Tabla1[[#This Row],[PC]]</f>
        <v>26.589200000000005</v>
      </c>
      <c r="K1706" s="15"/>
      <c r="L1706" s="15" t="str">
        <f>IF(
OR(
ISNUMBER(SEARCH("BACKPACK",B1708)),
ISNUMBER(SEARCH("MOCHILA",B1708)),
ISNUMBER(SEARCH("FUNDA",B1708)),
ISNUMBER(SEARCH("ESTUCHE",B1708)),
ISNUMBER(SEARCH("BOOK COVER",B1708)),
ISNUMBER(SEARCH("KEYBOARD PARA TABLET",B1708)),
ISNUMBER(SEARCH("FLIP TABLET",B1708)),
ISNUMBER(SEARCH("CASE FOR TABLET",B1708)),
ISNUMBER(SEARCH("CABLE",B1708)),
ISNUMBER(SEARCH("ADAPTADOR",B1708)),
ISNUMBER(SEARCH("HUB",B1708)),
ISNUMBER(SEARCH("DOCK",B1708)),
ISNUMBER(SEARCH("MOUSE PAD",B1708)),
ISNUMBER(SEARCH("MOUSEPAD",B1708)),
ISNUMBER(SEARCH("SOPORTE",B1708)),
ISNUMBER(SEARCH("STAND",B1708)),
ISNUMBER(SEARCH("TRAVEL ADAPTER",B1708)),
ISNUMBER(SEARCH("RJ45",B1708)),
ISNUMBER(SEARCH("USB-C",B1708)),
ISNUMBER(SEARCH("USB WIFI",B1708)),
ISNUMBER(SEARCH("POWERBANK",B1708)),
ISNUMBER(SEARCH("CARGADOR",B1708)),
ISNUMBER(SEARCH("COOLER PARA NB",B1708)),
ISNUMBER(SEARCH("SOPORTE PARA NB",B1708)),
ISNUMBER(SEARCH("WEBCAM",B1708)),
ISNUMBER(SEARCH("WEB CAM",B1708)),
ISNUMBER(SEARCH("MOUSE",B1708)),
ISNUMBER(SEARCH("TECLADO",B1708))
),
"COMPLEMENTO",
IF(
OR(
LEFT(A1708,2)="NB",
LEFT(A1708,2)="PC",
LEFT(A1708,2)="WS",
LEFT(A1708,2)="TB",
LEFT(A1708,3)="CEL",
LEFT(A1708,3)="MON",
LEFT(A1708,3)="PRE",
LEFT(A1708,3)="PRH",
ISNUMBER(SEARCH("NOTEBOOK",B1708)),
ISNUMBER(SEARCH("LAPTOP",B1708)),
ISNUMBER(SEARCH("MONITOR",B1708)),
ISNUMBER(SEARCH("TABLET",B1708)),
ISNUMBER(SEARCH("SMARTPH",B1708)),
ISNUMBER(SEARCH("IMPRESORA",B1708)),
ISNUMBER(SEARCH("MULTIFUNCIONAL",B1708)),
ISNUMBER(SEARCH("AIO",B1708))
),
"GANCHO",
"NORMAL"
)
)</f>
        <v>COMPLEMENTO</v>
      </c>
    </row>
    <row r="1707" spans="1:12" x14ac:dyDescent="0.25">
      <c r="A1707" s="3" t="s">
        <v>2624</v>
      </c>
      <c r="B1707" s="3" t="s">
        <v>2625</v>
      </c>
      <c r="C1707" s="1">
        <v>9</v>
      </c>
      <c r="D1707" s="1">
        <v>29</v>
      </c>
      <c r="E1707" s="1" t="s">
        <v>838</v>
      </c>
      <c r="F1707" s="1" t="s">
        <v>4110</v>
      </c>
      <c r="G1707" s="3" t="s">
        <v>2626</v>
      </c>
      <c r="H1707" s="11">
        <f>ROUND(
IF(L1705="GANCHO",
   IF(I1707&lt;=50,I1707*1.1+4,IF(I1707&lt;=120,I1707*1.1+7,IF(I1707&lt;=250,I1707*1.1+11,I1707*1.1+19))),
IF(L1705="NORMAL",
   IF(I1707&lt;=30,I1707*1.15+2,IF(I1707&lt;=80,I1707*1.15+4,IF(I1707&lt;=150,I1707*1.15+6,I1707*1.15+8))),
IF(L1705="COMPLEMENTO",
   IF(I1707&lt;=25,I1707*1.25+1.5,IF(I1707&lt;=60,I1707*1.25+3,IF(I1707&lt;=120,I1707*1.25+4,I1707*1.25+5))),
""))),2)</f>
        <v>152.86000000000001</v>
      </c>
      <c r="I1707" s="9">
        <f>($K$2+0.02)*Tabla1[[#This Row],[PRECIO $]]*1.18</f>
        <v>119.0856</v>
      </c>
      <c r="J1707" s="7">
        <f>+Tabla1[[#This Row],[PRECIO EN SOLES]]-Tabla1[[#This Row],[PC]]</f>
        <v>33.774400000000014</v>
      </c>
      <c r="K1707" s="15"/>
      <c r="L1707" s="15" t="str">
        <f>IF(
OR(
ISNUMBER(SEARCH("BACKPACK",B1709)),
ISNUMBER(SEARCH("MOCHILA",B1709)),
ISNUMBER(SEARCH("FUNDA",B1709)),
ISNUMBER(SEARCH("ESTUCHE",B1709)),
ISNUMBER(SEARCH("BOOK COVER",B1709)),
ISNUMBER(SEARCH("KEYBOARD PARA TABLET",B1709)),
ISNUMBER(SEARCH("FLIP TABLET",B1709)),
ISNUMBER(SEARCH("CASE FOR TABLET",B1709)),
ISNUMBER(SEARCH("CABLE",B1709)),
ISNUMBER(SEARCH("ADAPTADOR",B1709)),
ISNUMBER(SEARCH("HUB",B1709)),
ISNUMBER(SEARCH("DOCK",B1709)),
ISNUMBER(SEARCH("MOUSE PAD",B1709)),
ISNUMBER(SEARCH("MOUSEPAD",B1709)),
ISNUMBER(SEARCH("SOPORTE",B1709)),
ISNUMBER(SEARCH("STAND",B1709)),
ISNUMBER(SEARCH("TRAVEL ADAPTER",B1709)),
ISNUMBER(SEARCH("RJ45",B1709)),
ISNUMBER(SEARCH("USB-C",B1709)),
ISNUMBER(SEARCH("USB WIFI",B1709)),
ISNUMBER(SEARCH("POWERBANK",B1709)),
ISNUMBER(SEARCH("CARGADOR",B1709)),
ISNUMBER(SEARCH("COOLER PARA NB",B1709)),
ISNUMBER(SEARCH("SOPORTE PARA NB",B1709)),
ISNUMBER(SEARCH("WEBCAM",B1709)),
ISNUMBER(SEARCH("WEB CAM",B1709)),
ISNUMBER(SEARCH("MOUSE",B1709)),
ISNUMBER(SEARCH("TECLADO",B1709))
),
"COMPLEMENTO",
IF(
OR(
LEFT(A1709,2)="NB",
LEFT(A1709,2)="PC",
LEFT(A1709,2)="WS",
LEFT(A1709,2)="TB",
LEFT(A1709,3)="CEL",
LEFT(A1709,3)="MON",
LEFT(A1709,3)="PRE",
LEFT(A1709,3)="PRH",
ISNUMBER(SEARCH("NOTEBOOK",B1709)),
ISNUMBER(SEARCH("LAPTOP",B1709)),
ISNUMBER(SEARCH("MONITOR",B1709)),
ISNUMBER(SEARCH("TABLET",B1709)),
ISNUMBER(SEARCH("SMARTPH",B1709)),
ISNUMBER(SEARCH("IMPRESORA",B1709)),
ISNUMBER(SEARCH("MULTIFUNCIONAL",B1709)),
ISNUMBER(SEARCH("AIO",B1709))
),
"GANCHO",
"NORMAL"
)
)</f>
        <v>NORMAL</v>
      </c>
    </row>
    <row r="1708" spans="1:12" x14ac:dyDescent="0.25">
      <c r="A1708" s="3" t="s">
        <v>2627</v>
      </c>
      <c r="B1708" s="3" t="s">
        <v>2628</v>
      </c>
      <c r="C1708" s="1">
        <v>1</v>
      </c>
      <c r="D1708" s="1">
        <v>1</v>
      </c>
      <c r="E1708" s="1" t="s">
        <v>54</v>
      </c>
      <c r="F1708" s="1" t="s">
        <v>4111</v>
      </c>
      <c r="G1708" s="3" t="s">
        <v>2629</v>
      </c>
      <c r="H1708" s="11">
        <f>ROUND(
IF(L1706="GANCHO",
   IF(I1708&lt;=50,I1708*1.1+4,IF(I1708&lt;=120,I1708*1.1+7,IF(I1708&lt;=250,I1708*1.1+11,I1708*1.1+19))),
IF(L1706="NORMAL",
   IF(I1708&lt;=30,I1708*1.15+2,IF(I1708&lt;=80,I1708*1.15+4,IF(I1708&lt;=150,I1708*1.15+6,I1708*1.15+8))),
IF(L1706="COMPLEMENTO",
   IF(I1708&lt;=25,I1708*1.25+1.5,IF(I1708&lt;=60,I1708*1.25+3,IF(I1708&lt;=120,I1708*1.25+4,I1708*1.25+5))),
""))),2)</f>
        <v>6.63</v>
      </c>
      <c r="I1708" s="9">
        <f>($K$2+0.02)*Tabla1[[#This Row],[PRECIO $]]*1.18</f>
        <v>4.1063999999999998</v>
      </c>
      <c r="J1708" s="7">
        <f>+Tabla1[[#This Row],[PRECIO EN SOLES]]-Tabla1[[#This Row],[PC]]</f>
        <v>2.5236000000000001</v>
      </c>
      <c r="K1708" s="15"/>
      <c r="L1708" s="15" t="str">
        <f>IF(
OR(
ISNUMBER(SEARCH("BACKPACK",B1710)),
ISNUMBER(SEARCH("MOCHILA",B1710)),
ISNUMBER(SEARCH("FUNDA",B1710)),
ISNUMBER(SEARCH("ESTUCHE",B1710)),
ISNUMBER(SEARCH("BOOK COVER",B1710)),
ISNUMBER(SEARCH("KEYBOARD PARA TABLET",B1710)),
ISNUMBER(SEARCH("FLIP TABLET",B1710)),
ISNUMBER(SEARCH("CASE FOR TABLET",B1710)),
ISNUMBER(SEARCH("CABLE",B1710)),
ISNUMBER(SEARCH("ADAPTADOR",B1710)),
ISNUMBER(SEARCH("HUB",B1710)),
ISNUMBER(SEARCH("DOCK",B1710)),
ISNUMBER(SEARCH("MOUSE PAD",B1710)),
ISNUMBER(SEARCH("MOUSEPAD",B1710)),
ISNUMBER(SEARCH("SOPORTE",B1710)),
ISNUMBER(SEARCH("STAND",B1710)),
ISNUMBER(SEARCH("TRAVEL ADAPTER",B1710)),
ISNUMBER(SEARCH("RJ45",B1710)),
ISNUMBER(SEARCH("USB-C",B1710)),
ISNUMBER(SEARCH("USB WIFI",B1710)),
ISNUMBER(SEARCH("POWERBANK",B1710)),
ISNUMBER(SEARCH("CARGADOR",B1710)),
ISNUMBER(SEARCH("COOLER PARA NB",B1710)),
ISNUMBER(SEARCH("SOPORTE PARA NB",B1710)),
ISNUMBER(SEARCH("WEBCAM",B1710)),
ISNUMBER(SEARCH("WEB CAM",B1710)),
ISNUMBER(SEARCH("MOUSE",B1710)),
ISNUMBER(SEARCH("TECLADO",B1710))
),
"COMPLEMENTO",
IF(
OR(
LEFT(A1710,2)="NB",
LEFT(A1710,2)="PC",
LEFT(A1710,2)="WS",
LEFT(A1710,2)="TB",
LEFT(A1710,3)="CEL",
LEFT(A1710,3)="MON",
LEFT(A1710,3)="PRE",
LEFT(A1710,3)="PRH",
ISNUMBER(SEARCH("NOTEBOOK",B1710)),
ISNUMBER(SEARCH("LAPTOP",B1710)),
ISNUMBER(SEARCH("MONITOR",B1710)),
ISNUMBER(SEARCH("TABLET",B1710)),
ISNUMBER(SEARCH("SMARTPH",B1710)),
ISNUMBER(SEARCH("IMPRESORA",B1710)),
ISNUMBER(SEARCH("MULTIFUNCIONAL",B1710)),
ISNUMBER(SEARCH("AIO",B1710))
),
"GANCHO",
"NORMAL"
)
)</f>
        <v>COMPLEMENTO</v>
      </c>
    </row>
    <row r="1709" spans="1:12" x14ac:dyDescent="0.25">
      <c r="A1709" s="3" t="s">
        <v>6946</v>
      </c>
      <c r="B1709" s="3" t="s">
        <v>6947</v>
      </c>
      <c r="C1709" s="1">
        <v>0</v>
      </c>
      <c r="D1709" s="1">
        <v>39</v>
      </c>
      <c r="E1709" s="1" t="s">
        <v>837</v>
      </c>
      <c r="F1709" s="1" t="s">
        <v>6948</v>
      </c>
      <c r="G1709" s="3" t="s">
        <v>6949</v>
      </c>
      <c r="H1709" s="11">
        <f>ROUND(
IF(L1707="GANCHO",
   IF(I1709&lt;=50,I1709*1.1+4,IF(I1709&lt;=120,I1709*1.1+7,IF(I1709&lt;=250,I1709*1.1+11,I1709*1.1+19))),
IF(L1707="NORMAL",
   IF(I1709&lt;=30,I1709*1.15+2,IF(I1709&lt;=80,I1709*1.15+4,IF(I1709&lt;=150,I1709*1.15+6,I1709*1.15+8))),
IF(L1707="COMPLEMENTO",
   IF(I1709&lt;=25,I1709*1.25+1.5,IF(I1709&lt;=60,I1709*1.25+3,IF(I1709&lt;=120,I1709*1.25+4,I1709*1.25+5))),
""))),2)</f>
        <v>192.17</v>
      </c>
      <c r="I1709" s="9">
        <f>($K$2+0.02)*Tabla1[[#This Row],[PRECIO $]]*1.18</f>
        <v>160.14959999999999</v>
      </c>
      <c r="J1709" s="7">
        <f>+Tabla1[[#This Row],[PRECIO EN SOLES]]-Tabla1[[#This Row],[PC]]</f>
        <v>32.020399999999995</v>
      </c>
      <c r="K1709" s="15"/>
      <c r="L1709" s="15" t="str">
        <f>IF(
OR(
ISNUMBER(SEARCH("BACKPACK",B1711)),
ISNUMBER(SEARCH("MOCHILA",B1711)),
ISNUMBER(SEARCH("FUNDA",B1711)),
ISNUMBER(SEARCH("ESTUCHE",B1711)),
ISNUMBER(SEARCH("BOOK COVER",B1711)),
ISNUMBER(SEARCH("KEYBOARD PARA TABLET",B1711)),
ISNUMBER(SEARCH("FLIP TABLET",B1711)),
ISNUMBER(SEARCH("CASE FOR TABLET",B1711)),
ISNUMBER(SEARCH("CABLE",B1711)),
ISNUMBER(SEARCH("ADAPTADOR",B1711)),
ISNUMBER(SEARCH("HUB",B1711)),
ISNUMBER(SEARCH("DOCK",B1711)),
ISNUMBER(SEARCH("MOUSE PAD",B1711)),
ISNUMBER(SEARCH("MOUSEPAD",B1711)),
ISNUMBER(SEARCH("SOPORTE",B1711)),
ISNUMBER(SEARCH("STAND",B1711)),
ISNUMBER(SEARCH("TRAVEL ADAPTER",B1711)),
ISNUMBER(SEARCH("RJ45",B1711)),
ISNUMBER(SEARCH("USB-C",B1711)),
ISNUMBER(SEARCH("USB WIFI",B1711)),
ISNUMBER(SEARCH("POWERBANK",B1711)),
ISNUMBER(SEARCH("CARGADOR",B1711)),
ISNUMBER(SEARCH("COOLER PARA NB",B1711)),
ISNUMBER(SEARCH("SOPORTE PARA NB",B1711)),
ISNUMBER(SEARCH("WEBCAM",B1711)),
ISNUMBER(SEARCH("WEB CAM",B1711)),
ISNUMBER(SEARCH("MOUSE",B1711)),
ISNUMBER(SEARCH("TECLADO",B1711))
),
"COMPLEMENTO",
IF(
OR(
LEFT(A1711,2)="NB",
LEFT(A1711,2)="PC",
LEFT(A1711,2)="WS",
LEFT(A1711,2)="TB",
LEFT(A1711,3)="CEL",
LEFT(A1711,3)="MON",
LEFT(A1711,3)="PRE",
LEFT(A1711,3)="PRH",
ISNUMBER(SEARCH("NOTEBOOK",B1711)),
ISNUMBER(SEARCH("LAPTOP",B1711)),
ISNUMBER(SEARCH("MONITOR",B1711)),
ISNUMBER(SEARCH("TABLET",B1711)),
ISNUMBER(SEARCH("SMARTPH",B1711)),
ISNUMBER(SEARCH("IMPRESORA",B1711)),
ISNUMBER(SEARCH("MULTIFUNCIONAL",B1711)),
ISNUMBER(SEARCH("AIO",B1711))
),
"GANCHO",
"NORMAL"
)
)</f>
        <v>COMPLEMENTO</v>
      </c>
    </row>
    <row r="1710" spans="1:12" x14ac:dyDescent="0.25">
      <c r="A1710" s="3" t="s">
        <v>567</v>
      </c>
      <c r="B1710" s="3" t="s">
        <v>568</v>
      </c>
      <c r="C1710" s="1">
        <v>20</v>
      </c>
      <c r="D1710" s="1">
        <v>9.6999999999999993</v>
      </c>
      <c r="E1710" s="1" t="s">
        <v>52</v>
      </c>
      <c r="F1710" s="1" t="s">
        <v>4112</v>
      </c>
      <c r="G1710" s="3" t="s">
        <v>569</v>
      </c>
      <c r="H1710" s="11">
        <f>ROUND(
IF(L1708="GANCHO",
   IF(I1710&lt;=50,I1710*1.1+4,IF(I1710&lt;=120,I1710*1.1+7,IF(I1710&lt;=250,I1710*1.1+11,I1710*1.1+19))),
IF(L1708="NORMAL",
   IF(I1710&lt;=30,I1710*1.15+2,IF(I1710&lt;=80,I1710*1.15+4,IF(I1710&lt;=150,I1710*1.15+6,I1710*1.15+8))),
IF(L1708="COMPLEMENTO",
   IF(I1710&lt;=25,I1710*1.25+1.5,IF(I1710&lt;=60,I1710*1.25+3,IF(I1710&lt;=120,I1710*1.25+4,I1710*1.25+5))),
""))),2)</f>
        <v>52.79</v>
      </c>
      <c r="I1710" s="9">
        <f>($K$2+0.02)*Tabla1[[#This Row],[PRECIO $]]*1.18</f>
        <v>39.832079999999998</v>
      </c>
      <c r="J1710" s="7">
        <f>+Tabla1[[#This Row],[PRECIO EN SOLES]]-Tabla1[[#This Row],[PC]]</f>
        <v>12.957920000000001</v>
      </c>
      <c r="K1710" s="15"/>
      <c r="L1710" s="15" t="str">
        <f>IF(
OR(
ISNUMBER(SEARCH("BACKPACK",B1712)),
ISNUMBER(SEARCH("MOCHILA",B1712)),
ISNUMBER(SEARCH("FUNDA",B1712)),
ISNUMBER(SEARCH("ESTUCHE",B1712)),
ISNUMBER(SEARCH("BOOK COVER",B1712)),
ISNUMBER(SEARCH("KEYBOARD PARA TABLET",B1712)),
ISNUMBER(SEARCH("FLIP TABLET",B1712)),
ISNUMBER(SEARCH("CASE FOR TABLET",B1712)),
ISNUMBER(SEARCH("CABLE",B1712)),
ISNUMBER(SEARCH("ADAPTADOR",B1712)),
ISNUMBER(SEARCH("HUB",B1712)),
ISNUMBER(SEARCH("DOCK",B1712)),
ISNUMBER(SEARCH("MOUSE PAD",B1712)),
ISNUMBER(SEARCH("MOUSEPAD",B1712)),
ISNUMBER(SEARCH("SOPORTE",B1712)),
ISNUMBER(SEARCH("STAND",B1712)),
ISNUMBER(SEARCH("TRAVEL ADAPTER",B1712)),
ISNUMBER(SEARCH("RJ45",B1712)),
ISNUMBER(SEARCH("USB-C",B1712)),
ISNUMBER(SEARCH("USB WIFI",B1712)),
ISNUMBER(SEARCH("POWERBANK",B1712)),
ISNUMBER(SEARCH("CARGADOR",B1712)),
ISNUMBER(SEARCH("COOLER PARA NB",B1712)),
ISNUMBER(SEARCH("SOPORTE PARA NB",B1712)),
ISNUMBER(SEARCH("WEBCAM",B1712)),
ISNUMBER(SEARCH("WEB CAM",B1712)),
ISNUMBER(SEARCH("MOUSE",B1712)),
ISNUMBER(SEARCH("TECLADO",B1712))
),
"COMPLEMENTO",
IF(
OR(
LEFT(A1712,2)="NB",
LEFT(A1712,2)="PC",
LEFT(A1712,2)="WS",
LEFT(A1712,2)="TB",
LEFT(A1712,3)="CEL",
LEFT(A1712,3)="MON",
LEFT(A1712,3)="PRE",
LEFT(A1712,3)="PRH",
ISNUMBER(SEARCH("NOTEBOOK",B1712)),
ISNUMBER(SEARCH("LAPTOP",B1712)),
ISNUMBER(SEARCH("MONITOR",B1712)),
ISNUMBER(SEARCH("TABLET",B1712)),
ISNUMBER(SEARCH("SMARTPH",B1712)),
ISNUMBER(SEARCH("IMPRESORA",B1712)),
ISNUMBER(SEARCH("MULTIFUNCIONAL",B1712)),
ISNUMBER(SEARCH("AIO",B1712))
),
"GANCHO",
"NORMAL"
)
)</f>
        <v>COMPLEMENTO</v>
      </c>
    </row>
    <row r="1711" spans="1:12" x14ac:dyDescent="0.25">
      <c r="A1711" s="3" t="s">
        <v>2630</v>
      </c>
      <c r="B1711" s="3" t="s">
        <v>2631</v>
      </c>
      <c r="C1711" s="1">
        <v>20</v>
      </c>
      <c r="D1711" s="1">
        <v>8.6999999999999993</v>
      </c>
      <c r="E1711" s="1" t="s">
        <v>52</v>
      </c>
      <c r="F1711" s="1" t="s">
        <v>4113</v>
      </c>
      <c r="G1711" s="3" t="s">
        <v>2632</v>
      </c>
      <c r="H1711" s="11">
        <f>ROUND(
IF(L1709="GANCHO",
   IF(I1711&lt;=50,I1711*1.1+4,IF(I1711&lt;=120,I1711*1.1+7,IF(I1711&lt;=250,I1711*1.1+11,I1711*1.1+19))),
IF(L1709="NORMAL",
   IF(I1711&lt;=30,I1711*1.15+2,IF(I1711&lt;=80,I1711*1.15+4,IF(I1711&lt;=150,I1711*1.15+6,I1711*1.15+8))),
IF(L1709="COMPLEMENTO",
   IF(I1711&lt;=25,I1711*1.25+1.5,IF(I1711&lt;=60,I1711*1.25+3,IF(I1711&lt;=120,I1711*1.25+4,I1711*1.25+5))),
""))),2)</f>
        <v>47.66</v>
      </c>
      <c r="I1711" s="9">
        <f>($K$2+0.02)*Tabla1[[#This Row],[PRECIO $]]*1.18</f>
        <v>35.725679999999997</v>
      </c>
      <c r="J1711" s="7">
        <f>+Tabla1[[#This Row],[PRECIO EN SOLES]]-Tabla1[[#This Row],[PC]]</f>
        <v>11.93432</v>
      </c>
      <c r="K1711" s="15"/>
      <c r="L1711" s="15" t="str">
        <f>IF(
OR(
ISNUMBER(SEARCH("BACKPACK",B1713)),
ISNUMBER(SEARCH("MOCHILA",B1713)),
ISNUMBER(SEARCH("FUNDA",B1713)),
ISNUMBER(SEARCH("ESTUCHE",B1713)),
ISNUMBER(SEARCH("BOOK COVER",B1713)),
ISNUMBER(SEARCH("KEYBOARD PARA TABLET",B1713)),
ISNUMBER(SEARCH("FLIP TABLET",B1713)),
ISNUMBER(SEARCH("CASE FOR TABLET",B1713)),
ISNUMBER(SEARCH("CABLE",B1713)),
ISNUMBER(SEARCH("ADAPTADOR",B1713)),
ISNUMBER(SEARCH("HUB",B1713)),
ISNUMBER(SEARCH("DOCK",B1713)),
ISNUMBER(SEARCH("MOUSE PAD",B1713)),
ISNUMBER(SEARCH("MOUSEPAD",B1713)),
ISNUMBER(SEARCH("SOPORTE",B1713)),
ISNUMBER(SEARCH("STAND",B1713)),
ISNUMBER(SEARCH("TRAVEL ADAPTER",B1713)),
ISNUMBER(SEARCH("RJ45",B1713)),
ISNUMBER(SEARCH("USB-C",B1713)),
ISNUMBER(SEARCH("USB WIFI",B1713)),
ISNUMBER(SEARCH("POWERBANK",B1713)),
ISNUMBER(SEARCH("CARGADOR",B1713)),
ISNUMBER(SEARCH("COOLER PARA NB",B1713)),
ISNUMBER(SEARCH("SOPORTE PARA NB",B1713)),
ISNUMBER(SEARCH("WEBCAM",B1713)),
ISNUMBER(SEARCH("WEB CAM",B1713)),
ISNUMBER(SEARCH("MOUSE",B1713)),
ISNUMBER(SEARCH("TECLADO",B1713))
),
"COMPLEMENTO",
IF(
OR(
LEFT(A1713,2)="NB",
LEFT(A1713,2)="PC",
LEFT(A1713,2)="WS",
LEFT(A1713,2)="TB",
LEFT(A1713,3)="CEL",
LEFT(A1713,3)="MON",
LEFT(A1713,3)="PRE",
LEFT(A1713,3)="PRH",
ISNUMBER(SEARCH("NOTEBOOK",B1713)),
ISNUMBER(SEARCH("LAPTOP",B1713)),
ISNUMBER(SEARCH("MONITOR",B1713)),
ISNUMBER(SEARCH("TABLET",B1713)),
ISNUMBER(SEARCH("SMARTPH",B1713)),
ISNUMBER(SEARCH("IMPRESORA",B1713)),
ISNUMBER(SEARCH("MULTIFUNCIONAL",B1713)),
ISNUMBER(SEARCH("AIO",B1713))
),
"GANCHO",
"NORMAL"
)
)</f>
        <v>COMPLEMENTO</v>
      </c>
    </row>
    <row r="1712" spans="1:12" x14ac:dyDescent="0.25">
      <c r="A1712" s="3" t="s">
        <v>2633</v>
      </c>
      <c r="B1712" s="3" t="s">
        <v>2631</v>
      </c>
      <c r="C1712" s="1">
        <v>20</v>
      </c>
      <c r="D1712" s="1">
        <v>14.3</v>
      </c>
      <c r="E1712" s="1" t="s">
        <v>52</v>
      </c>
      <c r="F1712" s="1" t="s">
        <v>4114</v>
      </c>
      <c r="G1712" s="3" t="s">
        <v>2634</v>
      </c>
      <c r="H1712" s="11">
        <f>ROUND(
IF(L1710="GANCHO",
   IF(I1712&lt;=50,I1712*1.1+4,IF(I1712&lt;=120,I1712*1.1+7,IF(I1712&lt;=250,I1712*1.1+11,I1712*1.1+19))),
IF(L1710="NORMAL",
   IF(I1712&lt;=30,I1712*1.15+2,IF(I1712&lt;=80,I1712*1.15+4,IF(I1712&lt;=150,I1712*1.15+6,I1712*1.15+8))),
IF(L1710="COMPLEMENTO",
   IF(I1712&lt;=25,I1712*1.25+1.5,IF(I1712&lt;=60,I1712*1.25+3,IF(I1712&lt;=120,I1712*1.25+4,I1712*1.25+5))),
""))),2)</f>
        <v>76.400000000000006</v>
      </c>
      <c r="I1712" s="9">
        <f>($K$2+0.02)*Tabla1[[#This Row],[PRECIO $]]*1.18</f>
        <v>58.721519999999998</v>
      </c>
      <c r="J1712" s="7">
        <f>+Tabla1[[#This Row],[PRECIO EN SOLES]]-Tabla1[[#This Row],[PC]]</f>
        <v>17.678480000000008</v>
      </c>
      <c r="K1712" s="15"/>
      <c r="L1712" s="15" t="str">
        <f>IF(
OR(
ISNUMBER(SEARCH("BACKPACK",B1714)),
ISNUMBER(SEARCH("MOCHILA",B1714)),
ISNUMBER(SEARCH("FUNDA",B1714)),
ISNUMBER(SEARCH("ESTUCHE",B1714)),
ISNUMBER(SEARCH("BOOK COVER",B1714)),
ISNUMBER(SEARCH("KEYBOARD PARA TABLET",B1714)),
ISNUMBER(SEARCH("FLIP TABLET",B1714)),
ISNUMBER(SEARCH("CASE FOR TABLET",B1714)),
ISNUMBER(SEARCH("CABLE",B1714)),
ISNUMBER(SEARCH("ADAPTADOR",B1714)),
ISNUMBER(SEARCH("HUB",B1714)),
ISNUMBER(SEARCH("DOCK",B1714)),
ISNUMBER(SEARCH("MOUSE PAD",B1714)),
ISNUMBER(SEARCH("MOUSEPAD",B1714)),
ISNUMBER(SEARCH("SOPORTE",B1714)),
ISNUMBER(SEARCH("STAND",B1714)),
ISNUMBER(SEARCH("TRAVEL ADAPTER",B1714)),
ISNUMBER(SEARCH("RJ45",B1714)),
ISNUMBER(SEARCH("USB-C",B1714)),
ISNUMBER(SEARCH("USB WIFI",B1714)),
ISNUMBER(SEARCH("POWERBANK",B1714)),
ISNUMBER(SEARCH("CARGADOR",B1714)),
ISNUMBER(SEARCH("COOLER PARA NB",B1714)),
ISNUMBER(SEARCH("SOPORTE PARA NB",B1714)),
ISNUMBER(SEARCH("WEBCAM",B1714)),
ISNUMBER(SEARCH("WEB CAM",B1714)),
ISNUMBER(SEARCH("MOUSE",B1714)),
ISNUMBER(SEARCH("TECLADO",B1714))
),
"COMPLEMENTO",
IF(
OR(
LEFT(A1714,2)="NB",
LEFT(A1714,2)="PC",
LEFT(A1714,2)="WS",
LEFT(A1714,2)="TB",
LEFT(A1714,3)="CEL",
LEFT(A1714,3)="MON",
LEFT(A1714,3)="PRE",
LEFT(A1714,3)="PRH",
ISNUMBER(SEARCH("NOTEBOOK",B1714)),
ISNUMBER(SEARCH("LAPTOP",B1714)),
ISNUMBER(SEARCH("MONITOR",B1714)),
ISNUMBER(SEARCH("TABLET",B1714)),
ISNUMBER(SEARCH("SMARTPH",B1714)),
ISNUMBER(SEARCH("IMPRESORA",B1714)),
ISNUMBER(SEARCH("MULTIFUNCIONAL",B1714)),
ISNUMBER(SEARCH("AIO",B1714))
),
"GANCHO",
"NORMAL"
)
)</f>
        <v>COMPLEMENTO</v>
      </c>
    </row>
    <row r="1713" spans="1:12" x14ac:dyDescent="0.25">
      <c r="A1713" s="3" t="s">
        <v>570</v>
      </c>
      <c r="B1713" s="3" t="s">
        <v>571</v>
      </c>
      <c r="C1713" s="1">
        <v>0</v>
      </c>
      <c r="D1713" s="1">
        <v>15.5</v>
      </c>
      <c r="E1713" s="1" t="s">
        <v>52</v>
      </c>
      <c r="F1713" s="1" t="s">
        <v>4115</v>
      </c>
      <c r="G1713" s="3" t="s">
        <v>572</v>
      </c>
      <c r="H1713" s="11">
        <f>ROUND(
IF(L1711="GANCHO",
   IF(I1713&lt;=50,I1713*1.1+4,IF(I1713&lt;=120,I1713*1.1+7,IF(I1713&lt;=250,I1713*1.1+11,I1713*1.1+19))),
IF(L1711="NORMAL",
   IF(I1713&lt;=30,I1713*1.15+2,IF(I1713&lt;=80,I1713*1.15+4,IF(I1713&lt;=150,I1713*1.15+6,I1713*1.15+8))),
IF(L1711="COMPLEMENTO",
   IF(I1713&lt;=25,I1713*1.25+1.5,IF(I1713&lt;=60,I1713*1.25+3,IF(I1713&lt;=120,I1713*1.25+4,I1713*1.25+5))),
""))),2)</f>
        <v>83.56</v>
      </c>
      <c r="I1713" s="9">
        <f>($K$2+0.02)*Tabla1[[#This Row],[PRECIO $]]*1.18</f>
        <v>63.649199999999993</v>
      </c>
      <c r="J1713" s="7">
        <f>+Tabla1[[#This Row],[PRECIO EN SOLES]]-Tabla1[[#This Row],[PC]]</f>
        <v>19.910800000000009</v>
      </c>
      <c r="K1713" s="15"/>
      <c r="L1713" s="15" t="str">
        <f>IF(
OR(
ISNUMBER(SEARCH("BACKPACK",B1715)),
ISNUMBER(SEARCH("MOCHILA",B1715)),
ISNUMBER(SEARCH("FUNDA",B1715)),
ISNUMBER(SEARCH("ESTUCHE",B1715)),
ISNUMBER(SEARCH("BOOK COVER",B1715)),
ISNUMBER(SEARCH("KEYBOARD PARA TABLET",B1715)),
ISNUMBER(SEARCH("FLIP TABLET",B1715)),
ISNUMBER(SEARCH("CASE FOR TABLET",B1715)),
ISNUMBER(SEARCH("CABLE",B1715)),
ISNUMBER(SEARCH("ADAPTADOR",B1715)),
ISNUMBER(SEARCH("HUB",B1715)),
ISNUMBER(SEARCH("DOCK",B1715)),
ISNUMBER(SEARCH("MOUSE PAD",B1715)),
ISNUMBER(SEARCH("MOUSEPAD",B1715)),
ISNUMBER(SEARCH("SOPORTE",B1715)),
ISNUMBER(SEARCH("STAND",B1715)),
ISNUMBER(SEARCH("TRAVEL ADAPTER",B1715)),
ISNUMBER(SEARCH("RJ45",B1715)),
ISNUMBER(SEARCH("USB-C",B1715)),
ISNUMBER(SEARCH("USB WIFI",B1715)),
ISNUMBER(SEARCH("POWERBANK",B1715)),
ISNUMBER(SEARCH("CARGADOR",B1715)),
ISNUMBER(SEARCH("COOLER PARA NB",B1715)),
ISNUMBER(SEARCH("SOPORTE PARA NB",B1715)),
ISNUMBER(SEARCH("WEBCAM",B1715)),
ISNUMBER(SEARCH("WEB CAM",B1715)),
ISNUMBER(SEARCH("MOUSE",B1715)),
ISNUMBER(SEARCH("TECLADO",B1715))
),
"COMPLEMENTO",
IF(
OR(
LEFT(A1715,2)="NB",
LEFT(A1715,2)="PC",
LEFT(A1715,2)="WS",
LEFT(A1715,2)="TB",
LEFT(A1715,3)="CEL",
LEFT(A1715,3)="MON",
LEFT(A1715,3)="PRE",
LEFT(A1715,3)="PRH",
ISNUMBER(SEARCH("NOTEBOOK",B1715)),
ISNUMBER(SEARCH("LAPTOP",B1715)),
ISNUMBER(SEARCH("MONITOR",B1715)),
ISNUMBER(SEARCH("TABLET",B1715)),
ISNUMBER(SEARCH("SMARTPH",B1715)),
ISNUMBER(SEARCH("IMPRESORA",B1715)),
ISNUMBER(SEARCH("MULTIFUNCIONAL",B1715)),
ISNUMBER(SEARCH("AIO",B1715))
),
"GANCHO",
"NORMAL"
)
)</f>
        <v>COMPLEMENTO</v>
      </c>
    </row>
    <row r="1714" spans="1:12" x14ac:dyDescent="0.25">
      <c r="A1714" s="3" t="s">
        <v>573</v>
      </c>
      <c r="B1714" s="3" t="s">
        <v>574</v>
      </c>
      <c r="C1714" s="1">
        <v>20</v>
      </c>
      <c r="D1714" s="1">
        <v>5.3</v>
      </c>
      <c r="E1714" s="1" t="s">
        <v>52</v>
      </c>
      <c r="F1714" s="1" t="s">
        <v>4116</v>
      </c>
      <c r="G1714" s="3" t="s">
        <v>575</v>
      </c>
      <c r="H1714" s="11">
        <f>ROUND(
IF(L1712="GANCHO",
   IF(I1714&lt;=50,I1714*1.1+4,IF(I1714&lt;=120,I1714*1.1+7,IF(I1714&lt;=250,I1714*1.1+11,I1714*1.1+19))),
IF(L1712="NORMAL",
   IF(I1714&lt;=30,I1714*1.15+2,IF(I1714&lt;=80,I1714*1.15+4,IF(I1714&lt;=150,I1714*1.15+6,I1714*1.15+8))),
IF(L1712="COMPLEMENTO",
   IF(I1714&lt;=25,I1714*1.25+1.5,IF(I1714&lt;=60,I1714*1.25+3,IF(I1714&lt;=120,I1714*1.25+4,I1714*1.25+5))),
""))),2)</f>
        <v>28.7</v>
      </c>
      <c r="I1714" s="9">
        <f>($K$2+0.02)*Tabla1[[#This Row],[PRECIO $]]*1.18</f>
        <v>21.763919999999999</v>
      </c>
      <c r="J1714" s="7">
        <f>+Tabla1[[#This Row],[PRECIO EN SOLES]]-Tabla1[[#This Row],[PC]]</f>
        <v>6.9360800000000005</v>
      </c>
      <c r="K1714" s="15"/>
      <c r="L1714" s="15" t="str">
        <f>IF(
OR(
ISNUMBER(SEARCH("BACKPACK",B1716)),
ISNUMBER(SEARCH("MOCHILA",B1716)),
ISNUMBER(SEARCH("FUNDA",B1716)),
ISNUMBER(SEARCH("ESTUCHE",B1716)),
ISNUMBER(SEARCH("BOOK COVER",B1716)),
ISNUMBER(SEARCH("KEYBOARD PARA TABLET",B1716)),
ISNUMBER(SEARCH("FLIP TABLET",B1716)),
ISNUMBER(SEARCH("CASE FOR TABLET",B1716)),
ISNUMBER(SEARCH("CABLE",B1716)),
ISNUMBER(SEARCH("ADAPTADOR",B1716)),
ISNUMBER(SEARCH("HUB",B1716)),
ISNUMBER(SEARCH("DOCK",B1716)),
ISNUMBER(SEARCH("MOUSE PAD",B1716)),
ISNUMBER(SEARCH("MOUSEPAD",B1716)),
ISNUMBER(SEARCH("SOPORTE",B1716)),
ISNUMBER(SEARCH("STAND",B1716)),
ISNUMBER(SEARCH("TRAVEL ADAPTER",B1716)),
ISNUMBER(SEARCH("RJ45",B1716)),
ISNUMBER(SEARCH("USB-C",B1716)),
ISNUMBER(SEARCH("USB WIFI",B1716)),
ISNUMBER(SEARCH("POWERBANK",B1716)),
ISNUMBER(SEARCH("CARGADOR",B1716)),
ISNUMBER(SEARCH("COOLER PARA NB",B1716)),
ISNUMBER(SEARCH("SOPORTE PARA NB",B1716)),
ISNUMBER(SEARCH("WEBCAM",B1716)),
ISNUMBER(SEARCH("WEB CAM",B1716)),
ISNUMBER(SEARCH("MOUSE",B1716)),
ISNUMBER(SEARCH("TECLADO",B1716))
),
"COMPLEMENTO",
IF(
OR(
LEFT(A1716,2)="NB",
LEFT(A1716,2)="PC",
LEFT(A1716,2)="WS",
LEFT(A1716,2)="TB",
LEFT(A1716,3)="CEL",
LEFT(A1716,3)="MON",
LEFT(A1716,3)="PRE",
LEFT(A1716,3)="PRH",
ISNUMBER(SEARCH("NOTEBOOK",B1716)),
ISNUMBER(SEARCH("LAPTOP",B1716)),
ISNUMBER(SEARCH("MONITOR",B1716)),
ISNUMBER(SEARCH("TABLET",B1716)),
ISNUMBER(SEARCH("SMARTPH",B1716)),
ISNUMBER(SEARCH("IMPRESORA",B1716)),
ISNUMBER(SEARCH("MULTIFUNCIONAL",B1716)),
ISNUMBER(SEARCH("AIO",B1716))
),
"GANCHO",
"NORMAL"
)
)</f>
        <v>COMPLEMENTO</v>
      </c>
    </row>
    <row r="1715" spans="1:12" x14ac:dyDescent="0.25">
      <c r="A1715" s="3" t="s">
        <v>576</v>
      </c>
      <c r="B1715" s="3" t="s">
        <v>577</v>
      </c>
      <c r="C1715" s="1">
        <v>20</v>
      </c>
      <c r="D1715" s="1">
        <v>15.5</v>
      </c>
      <c r="E1715" s="1" t="s">
        <v>52</v>
      </c>
      <c r="F1715" s="1" t="s">
        <v>4117</v>
      </c>
      <c r="G1715" s="3" t="s">
        <v>578</v>
      </c>
      <c r="H1715" s="11">
        <f>ROUND(
IF(L1713="GANCHO",
   IF(I1715&lt;=50,I1715*1.1+4,IF(I1715&lt;=120,I1715*1.1+7,IF(I1715&lt;=250,I1715*1.1+11,I1715*1.1+19))),
IF(L1713="NORMAL",
   IF(I1715&lt;=30,I1715*1.15+2,IF(I1715&lt;=80,I1715*1.15+4,IF(I1715&lt;=150,I1715*1.15+6,I1715*1.15+8))),
IF(L1713="COMPLEMENTO",
   IF(I1715&lt;=25,I1715*1.25+1.5,IF(I1715&lt;=60,I1715*1.25+3,IF(I1715&lt;=120,I1715*1.25+4,I1715*1.25+5))),
""))),2)</f>
        <v>83.56</v>
      </c>
      <c r="I1715" s="9">
        <f>($K$2+0.02)*Tabla1[[#This Row],[PRECIO $]]*1.18</f>
        <v>63.649199999999993</v>
      </c>
      <c r="J1715" s="7">
        <f>+Tabla1[[#This Row],[PRECIO EN SOLES]]-Tabla1[[#This Row],[PC]]</f>
        <v>19.910800000000009</v>
      </c>
      <c r="K1715" s="15"/>
      <c r="L1715" s="15" t="str">
        <f>IF(
OR(
ISNUMBER(SEARCH("BACKPACK",B1717)),
ISNUMBER(SEARCH("MOCHILA",B1717)),
ISNUMBER(SEARCH("FUNDA",B1717)),
ISNUMBER(SEARCH("ESTUCHE",B1717)),
ISNUMBER(SEARCH("BOOK COVER",B1717)),
ISNUMBER(SEARCH("KEYBOARD PARA TABLET",B1717)),
ISNUMBER(SEARCH("FLIP TABLET",B1717)),
ISNUMBER(SEARCH("CASE FOR TABLET",B1717)),
ISNUMBER(SEARCH("CABLE",B1717)),
ISNUMBER(SEARCH("ADAPTADOR",B1717)),
ISNUMBER(SEARCH("HUB",B1717)),
ISNUMBER(SEARCH("DOCK",B1717)),
ISNUMBER(SEARCH("MOUSE PAD",B1717)),
ISNUMBER(SEARCH("MOUSEPAD",B1717)),
ISNUMBER(SEARCH("SOPORTE",B1717)),
ISNUMBER(SEARCH("STAND",B1717)),
ISNUMBER(SEARCH("TRAVEL ADAPTER",B1717)),
ISNUMBER(SEARCH("RJ45",B1717)),
ISNUMBER(SEARCH("USB-C",B1717)),
ISNUMBER(SEARCH("USB WIFI",B1717)),
ISNUMBER(SEARCH("POWERBANK",B1717)),
ISNUMBER(SEARCH("CARGADOR",B1717)),
ISNUMBER(SEARCH("COOLER PARA NB",B1717)),
ISNUMBER(SEARCH("SOPORTE PARA NB",B1717)),
ISNUMBER(SEARCH("WEBCAM",B1717)),
ISNUMBER(SEARCH("WEB CAM",B1717)),
ISNUMBER(SEARCH("MOUSE",B1717)),
ISNUMBER(SEARCH("TECLADO",B1717))
),
"COMPLEMENTO",
IF(
OR(
LEFT(A1717,2)="NB",
LEFT(A1717,2)="PC",
LEFT(A1717,2)="WS",
LEFT(A1717,2)="TB",
LEFT(A1717,3)="CEL",
LEFT(A1717,3)="MON",
LEFT(A1717,3)="PRE",
LEFT(A1717,3)="PRH",
ISNUMBER(SEARCH("NOTEBOOK",B1717)),
ISNUMBER(SEARCH("LAPTOP",B1717)),
ISNUMBER(SEARCH("MONITOR",B1717)),
ISNUMBER(SEARCH("TABLET",B1717)),
ISNUMBER(SEARCH("SMARTPH",B1717)),
ISNUMBER(SEARCH("IMPRESORA",B1717)),
ISNUMBER(SEARCH("MULTIFUNCIONAL",B1717)),
ISNUMBER(SEARCH("AIO",B1717))
),
"GANCHO",
"NORMAL"
)
)</f>
        <v>COMPLEMENTO</v>
      </c>
    </row>
    <row r="1716" spans="1:12" x14ac:dyDescent="0.25">
      <c r="A1716" s="3" t="s">
        <v>5080</v>
      </c>
      <c r="B1716" s="3" t="s">
        <v>5081</v>
      </c>
      <c r="C1716" s="1">
        <v>20</v>
      </c>
      <c r="D1716" s="1">
        <v>10</v>
      </c>
      <c r="E1716" s="1" t="s">
        <v>52</v>
      </c>
      <c r="F1716" s="1" t="s">
        <v>5082</v>
      </c>
      <c r="G1716" s="3" t="s">
        <v>5083</v>
      </c>
      <c r="H1716" s="11">
        <f>ROUND(
IF(L1714="GANCHO",
   IF(I1716&lt;=50,I1716*1.1+4,IF(I1716&lt;=120,I1716*1.1+7,IF(I1716&lt;=250,I1716*1.1+11,I1716*1.1+19))),
IF(L1714="NORMAL",
   IF(I1716&lt;=30,I1716*1.15+2,IF(I1716&lt;=80,I1716*1.15+4,IF(I1716&lt;=150,I1716*1.15+6,I1716*1.15+8))),
IF(L1714="COMPLEMENTO",
   IF(I1716&lt;=25,I1716*1.25+1.5,IF(I1716&lt;=60,I1716*1.25+3,IF(I1716&lt;=120,I1716*1.25+4,I1716*1.25+5))),
""))),2)</f>
        <v>54.33</v>
      </c>
      <c r="I1716" s="9">
        <f>($K$2+0.02)*Tabla1[[#This Row],[PRECIO $]]*1.18</f>
        <v>41.063999999999993</v>
      </c>
      <c r="J1716" s="7">
        <f>+Tabla1[[#This Row],[PRECIO EN SOLES]]-Tabla1[[#This Row],[PC]]</f>
        <v>13.266000000000005</v>
      </c>
      <c r="K1716" s="15"/>
      <c r="L1716" s="15" t="str">
        <f>IF(
OR(
ISNUMBER(SEARCH("BACKPACK",B1718)),
ISNUMBER(SEARCH("MOCHILA",B1718)),
ISNUMBER(SEARCH("FUNDA",B1718)),
ISNUMBER(SEARCH("ESTUCHE",B1718)),
ISNUMBER(SEARCH("BOOK COVER",B1718)),
ISNUMBER(SEARCH("KEYBOARD PARA TABLET",B1718)),
ISNUMBER(SEARCH("FLIP TABLET",B1718)),
ISNUMBER(SEARCH("CASE FOR TABLET",B1718)),
ISNUMBER(SEARCH("CABLE",B1718)),
ISNUMBER(SEARCH("ADAPTADOR",B1718)),
ISNUMBER(SEARCH("HUB",B1718)),
ISNUMBER(SEARCH("DOCK",B1718)),
ISNUMBER(SEARCH("MOUSE PAD",B1718)),
ISNUMBER(SEARCH("MOUSEPAD",B1718)),
ISNUMBER(SEARCH("SOPORTE",B1718)),
ISNUMBER(SEARCH("STAND",B1718)),
ISNUMBER(SEARCH("TRAVEL ADAPTER",B1718)),
ISNUMBER(SEARCH("RJ45",B1718)),
ISNUMBER(SEARCH("USB-C",B1718)),
ISNUMBER(SEARCH("USB WIFI",B1718)),
ISNUMBER(SEARCH("POWERBANK",B1718)),
ISNUMBER(SEARCH("CARGADOR",B1718)),
ISNUMBER(SEARCH("COOLER PARA NB",B1718)),
ISNUMBER(SEARCH("SOPORTE PARA NB",B1718)),
ISNUMBER(SEARCH("WEBCAM",B1718)),
ISNUMBER(SEARCH("WEB CAM",B1718)),
ISNUMBER(SEARCH("MOUSE",B1718)),
ISNUMBER(SEARCH("TECLADO",B1718))
),
"COMPLEMENTO",
IF(
OR(
LEFT(A1718,2)="NB",
LEFT(A1718,2)="PC",
LEFT(A1718,2)="WS",
LEFT(A1718,2)="TB",
LEFT(A1718,3)="CEL",
LEFT(A1718,3)="MON",
LEFT(A1718,3)="PRE",
LEFT(A1718,3)="PRH",
ISNUMBER(SEARCH("NOTEBOOK",B1718)),
ISNUMBER(SEARCH("LAPTOP",B1718)),
ISNUMBER(SEARCH("MONITOR",B1718)),
ISNUMBER(SEARCH("TABLET",B1718)),
ISNUMBER(SEARCH("SMARTPH",B1718)),
ISNUMBER(SEARCH("IMPRESORA",B1718)),
ISNUMBER(SEARCH("MULTIFUNCIONAL",B1718)),
ISNUMBER(SEARCH("AIO",B1718))
),
"GANCHO",
"NORMAL"
)
)</f>
        <v>COMPLEMENTO</v>
      </c>
    </row>
    <row r="1717" spans="1:12" x14ac:dyDescent="0.25">
      <c r="A1717" s="3" t="s">
        <v>579</v>
      </c>
      <c r="B1717" s="3" t="s">
        <v>580</v>
      </c>
      <c r="C1717" s="1">
        <v>0</v>
      </c>
      <c r="D1717" s="1">
        <v>6.6</v>
      </c>
      <c r="E1717" s="1" t="s">
        <v>52</v>
      </c>
      <c r="F1717" s="1" t="s">
        <v>4118</v>
      </c>
      <c r="G1717" s="3" t="s">
        <v>581</v>
      </c>
      <c r="H1717" s="11">
        <f>ROUND(
IF(L1715="GANCHO",
   IF(I1717&lt;=50,I1717*1.1+4,IF(I1717&lt;=120,I1717*1.1+7,IF(I1717&lt;=250,I1717*1.1+11,I1717*1.1+19))),
IF(L1715="NORMAL",
   IF(I1717&lt;=30,I1717*1.15+2,IF(I1717&lt;=80,I1717*1.15+4,IF(I1717&lt;=150,I1717*1.15+6,I1717*1.15+8))),
IF(L1715="COMPLEMENTO",
   IF(I1717&lt;=25,I1717*1.25+1.5,IF(I1717&lt;=60,I1717*1.25+3,IF(I1717&lt;=120,I1717*1.25+4,I1717*1.25+5))),
""))),2)</f>
        <v>36.880000000000003</v>
      </c>
      <c r="I1717" s="9">
        <f>($K$2+0.02)*Tabla1[[#This Row],[PRECIO $]]*1.18</f>
        <v>27.102239999999998</v>
      </c>
      <c r="J1717" s="7">
        <f>+Tabla1[[#This Row],[PRECIO EN SOLES]]-Tabla1[[#This Row],[PC]]</f>
        <v>9.7777600000000042</v>
      </c>
      <c r="K1717" s="15"/>
      <c r="L1717" s="15" t="str">
        <f>IF(
OR(
ISNUMBER(SEARCH("BACKPACK",B1719)),
ISNUMBER(SEARCH("MOCHILA",B1719)),
ISNUMBER(SEARCH("FUNDA",B1719)),
ISNUMBER(SEARCH("ESTUCHE",B1719)),
ISNUMBER(SEARCH("BOOK COVER",B1719)),
ISNUMBER(SEARCH("KEYBOARD PARA TABLET",B1719)),
ISNUMBER(SEARCH("FLIP TABLET",B1719)),
ISNUMBER(SEARCH("CASE FOR TABLET",B1719)),
ISNUMBER(SEARCH("CABLE",B1719)),
ISNUMBER(SEARCH("ADAPTADOR",B1719)),
ISNUMBER(SEARCH("HUB",B1719)),
ISNUMBER(SEARCH("DOCK",B1719)),
ISNUMBER(SEARCH("MOUSE PAD",B1719)),
ISNUMBER(SEARCH("MOUSEPAD",B1719)),
ISNUMBER(SEARCH("SOPORTE",B1719)),
ISNUMBER(SEARCH("STAND",B1719)),
ISNUMBER(SEARCH("TRAVEL ADAPTER",B1719)),
ISNUMBER(SEARCH("RJ45",B1719)),
ISNUMBER(SEARCH("USB-C",B1719)),
ISNUMBER(SEARCH("USB WIFI",B1719)),
ISNUMBER(SEARCH("POWERBANK",B1719)),
ISNUMBER(SEARCH("CARGADOR",B1719)),
ISNUMBER(SEARCH("COOLER PARA NB",B1719)),
ISNUMBER(SEARCH("SOPORTE PARA NB",B1719)),
ISNUMBER(SEARCH("WEBCAM",B1719)),
ISNUMBER(SEARCH("WEB CAM",B1719)),
ISNUMBER(SEARCH("MOUSE",B1719)),
ISNUMBER(SEARCH("TECLADO",B1719))
),
"COMPLEMENTO",
IF(
OR(
LEFT(A1719,2)="NB",
LEFT(A1719,2)="PC",
LEFT(A1719,2)="WS",
LEFT(A1719,2)="TB",
LEFT(A1719,3)="CEL",
LEFT(A1719,3)="MON",
LEFT(A1719,3)="PRE",
LEFT(A1719,3)="PRH",
ISNUMBER(SEARCH("NOTEBOOK",B1719)),
ISNUMBER(SEARCH("LAPTOP",B1719)),
ISNUMBER(SEARCH("MONITOR",B1719)),
ISNUMBER(SEARCH("TABLET",B1719)),
ISNUMBER(SEARCH("SMARTPH",B1719)),
ISNUMBER(SEARCH("IMPRESORA",B1719)),
ISNUMBER(SEARCH("MULTIFUNCIONAL",B1719)),
ISNUMBER(SEARCH("AIO",B1719))
),
"GANCHO",
"NORMAL"
)
)</f>
        <v>COMPLEMENTO</v>
      </c>
    </row>
    <row r="1718" spans="1:12" x14ac:dyDescent="0.25">
      <c r="A1718" s="3" t="s">
        <v>582</v>
      </c>
      <c r="B1718" s="3" t="s">
        <v>583</v>
      </c>
      <c r="C1718" s="1">
        <v>0</v>
      </c>
      <c r="D1718" s="1">
        <v>4.59</v>
      </c>
      <c r="E1718" s="1" t="s">
        <v>52</v>
      </c>
      <c r="F1718" s="1" t="s">
        <v>4119</v>
      </c>
      <c r="G1718" s="3" t="s">
        <v>584</v>
      </c>
      <c r="H1718" s="11">
        <f>ROUND(
IF(L1716="GANCHO",
   IF(I1718&lt;=50,I1718*1.1+4,IF(I1718&lt;=120,I1718*1.1+7,IF(I1718&lt;=250,I1718*1.1+11,I1718*1.1+19))),
IF(L1716="NORMAL",
   IF(I1718&lt;=30,I1718*1.15+2,IF(I1718&lt;=80,I1718*1.15+4,IF(I1718&lt;=150,I1718*1.15+6,I1718*1.15+8))),
IF(L1716="COMPLEMENTO",
   IF(I1718&lt;=25,I1718*1.25+1.5,IF(I1718&lt;=60,I1718*1.25+3,IF(I1718&lt;=120,I1718*1.25+4,I1718*1.25+5))),
""))),2)</f>
        <v>25.06</v>
      </c>
      <c r="I1718" s="9">
        <f>($K$2+0.02)*Tabla1[[#This Row],[PRECIO $]]*1.18</f>
        <v>18.848375999999998</v>
      </c>
      <c r="J1718" s="7">
        <f>+Tabla1[[#This Row],[PRECIO EN SOLES]]-Tabla1[[#This Row],[PC]]</f>
        <v>6.2116240000000005</v>
      </c>
      <c r="K1718" s="15"/>
      <c r="L1718" s="15" t="str">
        <f>IF(
OR(
ISNUMBER(SEARCH("BACKPACK",B1720)),
ISNUMBER(SEARCH("MOCHILA",B1720)),
ISNUMBER(SEARCH("FUNDA",B1720)),
ISNUMBER(SEARCH("ESTUCHE",B1720)),
ISNUMBER(SEARCH("BOOK COVER",B1720)),
ISNUMBER(SEARCH("KEYBOARD PARA TABLET",B1720)),
ISNUMBER(SEARCH("FLIP TABLET",B1720)),
ISNUMBER(SEARCH("CASE FOR TABLET",B1720)),
ISNUMBER(SEARCH("CABLE",B1720)),
ISNUMBER(SEARCH("ADAPTADOR",B1720)),
ISNUMBER(SEARCH("HUB",B1720)),
ISNUMBER(SEARCH("DOCK",B1720)),
ISNUMBER(SEARCH("MOUSE PAD",B1720)),
ISNUMBER(SEARCH("MOUSEPAD",B1720)),
ISNUMBER(SEARCH("SOPORTE",B1720)),
ISNUMBER(SEARCH("STAND",B1720)),
ISNUMBER(SEARCH("TRAVEL ADAPTER",B1720)),
ISNUMBER(SEARCH("RJ45",B1720)),
ISNUMBER(SEARCH("USB-C",B1720)),
ISNUMBER(SEARCH("USB WIFI",B1720)),
ISNUMBER(SEARCH("POWERBANK",B1720)),
ISNUMBER(SEARCH("CARGADOR",B1720)),
ISNUMBER(SEARCH("COOLER PARA NB",B1720)),
ISNUMBER(SEARCH("SOPORTE PARA NB",B1720)),
ISNUMBER(SEARCH("WEBCAM",B1720)),
ISNUMBER(SEARCH("WEB CAM",B1720)),
ISNUMBER(SEARCH("MOUSE",B1720)),
ISNUMBER(SEARCH("TECLADO",B1720))
),
"COMPLEMENTO",
IF(
OR(
LEFT(A1720,2)="NB",
LEFT(A1720,2)="PC",
LEFT(A1720,2)="WS",
LEFT(A1720,2)="TB",
LEFT(A1720,3)="CEL",
LEFT(A1720,3)="MON",
LEFT(A1720,3)="PRE",
LEFT(A1720,3)="PRH",
ISNUMBER(SEARCH("NOTEBOOK",B1720)),
ISNUMBER(SEARCH("LAPTOP",B1720)),
ISNUMBER(SEARCH("MONITOR",B1720)),
ISNUMBER(SEARCH("TABLET",B1720)),
ISNUMBER(SEARCH("SMARTPH",B1720)),
ISNUMBER(SEARCH("IMPRESORA",B1720)),
ISNUMBER(SEARCH("MULTIFUNCIONAL",B1720)),
ISNUMBER(SEARCH("AIO",B1720))
),
"GANCHO",
"NORMAL"
)
)</f>
        <v>COMPLEMENTO</v>
      </c>
    </row>
    <row r="1719" spans="1:12" x14ac:dyDescent="0.25">
      <c r="A1719" s="3" t="s">
        <v>585</v>
      </c>
      <c r="B1719" s="3" t="s">
        <v>586</v>
      </c>
      <c r="C1719" s="1">
        <v>0</v>
      </c>
      <c r="D1719" s="1">
        <v>6.3</v>
      </c>
      <c r="E1719" s="1" t="s">
        <v>52</v>
      </c>
      <c r="F1719" s="1" t="s">
        <v>4120</v>
      </c>
      <c r="G1719" s="3" t="s">
        <v>587</v>
      </c>
      <c r="H1719" s="11">
        <f>ROUND(
IF(L1717="GANCHO",
   IF(I1719&lt;=50,I1719*1.1+4,IF(I1719&lt;=120,I1719*1.1+7,IF(I1719&lt;=250,I1719*1.1+11,I1719*1.1+19))),
IF(L1717="NORMAL",
   IF(I1719&lt;=30,I1719*1.15+2,IF(I1719&lt;=80,I1719*1.15+4,IF(I1719&lt;=150,I1719*1.15+6,I1719*1.15+8))),
IF(L1717="COMPLEMENTO",
   IF(I1719&lt;=25,I1719*1.25+1.5,IF(I1719&lt;=60,I1719*1.25+3,IF(I1719&lt;=120,I1719*1.25+4,I1719*1.25+5))),
""))),2)</f>
        <v>35.340000000000003</v>
      </c>
      <c r="I1719" s="9">
        <f>($K$2+0.02)*Tabla1[[#This Row],[PRECIO $]]*1.18</f>
        <v>25.87032</v>
      </c>
      <c r="J1719" s="7">
        <f>+Tabla1[[#This Row],[PRECIO EN SOLES]]-Tabla1[[#This Row],[PC]]</f>
        <v>9.4696800000000039</v>
      </c>
      <c r="K1719" s="15"/>
      <c r="L1719" s="15" t="str">
        <f>IF(
OR(
ISNUMBER(SEARCH("BACKPACK",B1721)),
ISNUMBER(SEARCH("MOCHILA",B1721)),
ISNUMBER(SEARCH("FUNDA",B1721)),
ISNUMBER(SEARCH("ESTUCHE",B1721)),
ISNUMBER(SEARCH("BOOK COVER",B1721)),
ISNUMBER(SEARCH("KEYBOARD PARA TABLET",B1721)),
ISNUMBER(SEARCH("FLIP TABLET",B1721)),
ISNUMBER(SEARCH("CASE FOR TABLET",B1721)),
ISNUMBER(SEARCH("CABLE",B1721)),
ISNUMBER(SEARCH("ADAPTADOR",B1721)),
ISNUMBER(SEARCH("HUB",B1721)),
ISNUMBER(SEARCH("DOCK",B1721)),
ISNUMBER(SEARCH("MOUSE PAD",B1721)),
ISNUMBER(SEARCH("MOUSEPAD",B1721)),
ISNUMBER(SEARCH("SOPORTE",B1721)),
ISNUMBER(SEARCH("STAND",B1721)),
ISNUMBER(SEARCH("TRAVEL ADAPTER",B1721)),
ISNUMBER(SEARCH("RJ45",B1721)),
ISNUMBER(SEARCH("USB-C",B1721)),
ISNUMBER(SEARCH("USB WIFI",B1721)),
ISNUMBER(SEARCH("POWERBANK",B1721)),
ISNUMBER(SEARCH("CARGADOR",B1721)),
ISNUMBER(SEARCH("COOLER PARA NB",B1721)),
ISNUMBER(SEARCH("SOPORTE PARA NB",B1721)),
ISNUMBER(SEARCH("WEBCAM",B1721)),
ISNUMBER(SEARCH("WEB CAM",B1721)),
ISNUMBER(SEARCH("MOUSE",B1721)),
ISNUMBER(SEARCH("TECLADO",B1721))
),
"COMPLEMENTO",
IF(
OR(
LEFT(A1721,2)="NB",
LEFT(A1721,2)="PC",
LEFT(A1721,2)="WS",
LEFT(A1721,2)="TB",
LEFT(A1721,3)="CEL",
LEFT(A1721,3)="MON",
LEFT(A1721,3)="PRE",
LEFT(A1721,3)="PRH",
ISNUMBER(SEARCH("NOTEBOOK",B1721)),
ISNUMBER(SEARCH("LAPTOP",B1721)),
ISNUMBER(SEARCH("MONITOR",B1721)),
ISNUMBER(SEARCH("TABLET",B1721)),
ISNUMBER(SEARCH("SMARTPH",B1721)),
ISNUMBER(SEARCH("IMPRESORA",B1721)),
ISNUMBER(SEARCH("MULTIFUNCIONAL",B1721)),
ISNUMBER(SEARCH("AIO",B1721))
),
"GANCHO",
"NORMAL"
)
)</f>
        <v>COMPLEMENTO</v>
      </c>
    </row>
    <row r="1720" spans="1:12" x14ac:dyDescent="0.25">
      <c r="A1720" s="3" t="s">
        <v>588</v>
      </c>
      <c r="B1720" s="3" t="s">
        <v>589</v>
      </c>
      <c r="C1720" s="1">
        <v>0</v>
      </c>
      <c r="D1720" s="1">
        <v>6.5</v>
      </c>
      <c r="E1720" s="1" t="s">
        <v>52</v>
      </c>
      <c r="F1720" s="1" t="s">
        <v>4121</v>
      </c>
      <c r="G1720" s="3" t="s">
        <v>590</v>
      </c>
      <c r="H1720" s="11">
        <f>ROUND(
IF(L1718="GANCHO",
   IF(I1720&lt;=50,I1720*1.1+4,IF(I1720&lt;=120,I1720*1.1+7,IF(I1720&lt;=250,I1720*1.1+11,I1720*1.1+19))),
IF(L1718="NORMAL",
   IF(I1720&lt;=30,I1720*1.15+2,IF(I1720&lt;=80,I1720*1.15+4,IF(I1720&lt;=150,I1720*1.15+6,I1720*1.15+8))),
IF(L1718="COMPLEMENTO",
   IF(I1720&lt;=25,I1720*1.25+1.5,IF(I1720&lt;=60,I1720*1.25+3,IF(I1720&lt;=120,I1720*1.25+4,I1720*1.25+5))),
""))),2)</f>
        <v>36.36</v>
      </c>
      <c r="I1720" s="9">
        <f>($K$2+0.02)*Tabla1[[#This Row],[PRECIO $]]*1.18</f>
        <v>26.691600000000001</v>
      </c>
      <c r="J1720" s="7">
        <f>+Tabla1[[#This Row],[PRECIO EN SOLES]]-Tabla1[[#This Row],[PC]]</f>
        <v>9.6683999999999983</v>
      </c>
      <c r="K1720" s="15"/>
      <c r="L1720" s="15" t="str">
        <f>IF(
OR(
ISNUMBER(SEARCH("BACKPACK",B1722)),
ISNUMBER(SEARCH("MOCHILA",B1722)),
ISNUMBER(SEARCH("FUNDA",B1722)),
ISNUMBER(SEARCH("ESTUCHE",B1722)),
ISNUMBER(SEARCH("BOOK COVER",B1722)),
ISNUMBER(SEARCH("KEYBOARD PARA TABLET",B1722)),
ISNUMBER(SEARCH("FLIP TABLET",B1722)),
ISNUMBER(SEARCH("CASE FOR TABLET",B1722)),
ISNUMBER(SEARCH("CABLE",B1722)),
ISNUMBER(SEARCH("ADAPTADOR",B1722)),
ISNUMBER(SEARCH("HUB",B1722)),
ISNUMBER(SEARCH("DOCK",B1722)),
ISNUMBER(SEARCH("MOUSE PAD",B1722)),
ISNUMBER(SEARCH("MOUSEPAD",B1722)),
ISNUMBER(SEARCH("SOPORTE",B1722)),
ISNUMBER(SEARCH("STAND",B1722)),
ISNUMBER(SEARCH("TRAVEL ADAPTER",B1722)),
ISNUMBER(SEARCH("RJ45",B1722)),
ISNUMBER(SEARCH("USB-C",B1722)),
ISNUMBER(SEARCH("USB WIFI",B1722)),
ISNUMBER(SEARCH("POWERBANK",B1722)),
ISNUMBER(SEARCH("CARGADOR",B1722)),
ISNUMBER(SEARCH("COOLER PARA NB",B1722)),
ISNUMBER(SEARCH("SOPORTE PARA NB",B1722)),
ISNUMBER(SEARCH("WEBCAM",B1722)),
ISNUMBER(SEARCH("WEB CAM",B1722)),
ISNUMBER(SEARCH("MOUSE",B1722)),
ISNUMBER(SEARCH("TECLADO",B1722))
),
"COMPLEMENTO",
IF(
OR(
LEFT(A1722,2)="NB",
LEFT(A1722,2)="PC",
LEFT(A1722,2)="WS",
LEFT(A1722,2)="TB",
LEFT(A1722,3)="CEL",
LEFT(A1722,3)="MON",
LEFT(A1722,3)="PRE",
LEFT(A1722,3)="PRH",
ISNUMBER(SEARCH("NOTEBOOK",B1722)),
ISNUMBER(SEARCH("LAPTOP",B1722)),
ISNUMBER(SEARCH("MONITOR",B1722)),
ISNUMBER(SEARCH("TABLET",B1722)),
ISNUMBER(SEARCH("SMARTPH",B1722)),
ISNUMBER(SEARCH("IMPRESORA",B1722)),
ISNUMBER(SEARCH("MULTIFUNCIONAL",B1722)),
ISNUMBER(SEARCH("AIO",B1722))
),
"GANCHO",
"NORMAL"
)
)</f>
        <v>NORMAL</v>
      </c>
    </row>
    <row r="1721" spans="1:12" x14ac:dyDescent="0.25">
      <c r="A1721" s="3" t="s">
        <v>2635</v>
      </c>
      <c r="B1721" s="3" t="s">
        <v>2636</v>
      </c>
      <c r="C1721" s="1">
        <v>0</v>
      </c>
      <c r="D1721" s="1">
        <v>9999999.9900000002</v>
      </c>
      <c r="E1721" s="1" t="s">
        <v>187</v>
      </c>
      <c r="F1721" s="1" t="s">
        <v>4122</v>
      </c>
      <c r="G1721" s="3"/>
      <c r="H1721" s="11">
        <f>ROUND(
IF(L1719="GANCHO",
   IF(I1721&lt;=50,I1721*1.1+4,IF(I1721&lt;=120,I1721*1.1+7,IF(I1721&lt;=250,I1721*1.1+11,I1721*1.1+19))),
IF(L1719="NORMAL",
   IF(I1721&lt;=30,I1721*1.15+2,IF(I1721&lt;=80,I1721*1.15+4,IF(I1721&lt;=150,I1721*1.15+6,I1721*1.15+8))),
IF(L1719="COMPLEMENTO",
   IF(I1721&lt;=25,I1721*1.25+1.5,IF(I1721&lt;=60,I1721*1.25+3,IF(I1721&lt;=120,I1721*1.25+4,I1721*1.25+5))),
""))),2)</f>
        <v>51330004.950000003</v>
      </c>
      <c r="I1721" s="9">
        <f>($K$2+0.02)*Tabla1[[#This Row],[PRECIO $]]*1.18</f>
        <v>41063999.958935998</v>
      </c>
      <c r="J1721" s="7">
        <f>+Tabla1[[#This Row],[PRECIO EN SOLES]]-Tabla1[[#This Row],[PC]]</f>
        <v>10266004.991064005</v>
      </c>
      <c r="K1721" s="15"/>
      <c r="L1721" s="15" t="str">
        <f>IF(
OR(
ISNUMBER(SEARCH("BACKPACK",B1723)),
ISNUMBER(SEARCH("MOCHILA",B1723)),
ISNUMBER(SEARCH("FUNDA",B1723)),
ISNUMBER(SEARCH("ESTUCHE",B1723)),
ISNUMBER(SEARCH("BOOK COVER",B1723)),
ISNUMBER(SEARCH("KEYBOARD PARA TABLET",B1723)),
ISNUMBER(SEARCH("FLIP TABLET",B1723)),
ISNUMBER(SEARCH("CASE FOR TABLET",B1723)),
ISNUMBER(SEARCH("CABLE",B1723)),
ISNUMBER(SEARCH("ADAPTADOR",B1723)),
ISNUMBER(SEARCH("HUB",B1723)),
ISNUMBER(SEARCH("DOCK",B1723)),
ISNUMBER(SEARCH("MOUSE PAD",B1723)),
ISNUMBER(SEARCH("MOUSEPAD",B1723)),
ISNUMBER(SEARCH("SOPORTE",B1723)),
ISNUMBER(SEARCH("STAND",B1723)),
ISNUMBER(SEARCH("TRAVEL ADAPTER",B1723)),
ISNUMBER(SEARCH("RJ45",B1723)),
ISNUMBER(SEARCH("USB-C",B1723)),
ISNUMBER(SEARCH("USB WIFI",B1723)),
ISNUMBER(SEARCH("POWERBANK",B1723)),
ISNUMBER(SEARCH("CARGADOR",B1723)),
ISNUMBER(SEARCH("COOLER PARA NB",B1723)),
ISNUMBER(SEARCH("SOPORTE PARA NB",B1723)),
ISNUMBER(SEARCH("WEBCAM",B1723)),
ISNUMBER(SEARCH("WEB CAM",B1723)),
ISNUMBER(SEARCH("MOUSE",B1723)),
ISNUMBER(SEARCH("TECLADO",B1723))
),
"COMPLEMENTO",
IF(
OR(
LEFT(A1723,2)="NB",
LEFT(A1723,2)="PC",
LEFT(A1723,2)="WS",
LEFT(A1723,2)="TB",
LEFT(A1723,3)="CEL",
LEFT(A1723,3)="MON",
LEFT(A1723,3)="PRE",
LEFT(A1723,3)="PRH",
ISNUMBER(SEARCH("NOTEBOOK",B1723)),
ISNUMBER(SEARCH("LAPTOP",B1723)),
ISNUMBER(SEARCH("MONITOR",B1723)),
ISNUMBER(SEARCH("TABLET",B1723)),
ISNUMBER(SEARCH("SMARTPH",B1723)),
ISNUMBER(SEARCH("IMPRESORA",B1723)),
ISNUMBER(SEARCH("MULTIFUNCIONAL",B1723)),
ISNUMBER(SEARCH("AIO",B1723))
),
"GANCHO",
"NORMAL"
)
)</f>
        <v>NORMAL</v>
      </c>
    </row>
    <row r="1722" spans="1:12" x14ac:dyDescent="0.25">
      <c r="A1722" s="3" t="s">
        <v>591</v>
      </c>
      <c r="B1722" s="3" t="s">
        <v>592</v>
      </c>
      <c r="C1722" s="1">
        <v>20</v>
      </c>
      <c r="D1722" s="1">
        <v>8</v>
      </c>
      <c r="E1722" s="1" t="s">
        <v>52</v>
      </c>
      <c r="F1722" s="1" t="s">
        <v>4123</v>
      </c>
      <c r="G1722" s="3" t="s">
        <v>593</v>
      </c>
      <c r="H1722" s="11">
        <f>ROUND(
IF(L1720="GANCHO",
   IF(I1722&lt;=50,I1722*1.1+4,IF(I1722&lt;=120,I1722*1.1+7,IF(I1722&lt;=250,I1722*1.1+11,I1722*1.1+19))),
IF(L1720="NORMAL",
   IF(I1722&lt;=30,I1722*1.15+2,IF(I1722&lt;=80,I1722*1.15+4,IF(I1722&lt;=150,I1722*1.15+6,I1722*1.15+8))),
IF(L1720="COMPLEMENTO",
   IF(I1722&lt;=25,I1722*1.25+1.5,IF(I1722&lt;=60,I1722*1.25+3,IF(I1722&lt;=120,I1722*1.25+4,I1722*1.25+5))),
""))),2)</f>
        <v>41.78</v>
      </c>
      <c r="I1722" s="9">
        <f>($K$2+0.02)*Tabla1[[#This Row],[PRECIO $]]*1.18</f>
        <v>32.851199999999999</v>
      </c>
      <c r="J1722" s="7">
        <f>+Tabla1[[#This Row],[PRECIO EN SOLES]]-Tabla1[[#This Row],[PC]]</f>
        <v>8.9288000000000025</v>
      </c>
      <c r="K1722" s="15"/>
      <c r="L1722" s="15" t="str">
        <f>IF(
OR(
ISNUMBER(SEARCH("BACKPACK",B1724)),
ISNUMBER(SEARCH("MOCHILA",B1724)),
ISNUMBER(SEARCH("FUNDA",B1724)),
ISNUMBER(SEARCH("ESTUCHE",B1724)),
ISNUMBER(SEARCH("BOOK COVER",B1724)),
ISNUMBER(SEARCH("KEYBOARD PARA TABLET",B1724)),
ISNUMBER(SEARCH("FLIP TABLET",B1724)),
ISNUMBER(SEARCH("CASE FOR TABLET",B1724)),
ISNUMBER(SEARCH("CABLE",B1724)),
ISNUMBER(SEARCH("ADAPTADOR",B1724)),
ISNUMBER(SEARCH("HUB",B1724)),
ISNUMBER(SEARCH("DOCK",B1724)),
ISNUMBER(SEARCH("MOUSE PAD",B1724)),
ISNUMBER(SEARCH("MOUSEPAD",B1724)),
ISNUMBER(SEARCH("SOPORTE",B1724)),
ISNUMBER(SEARCH("STAND",B1724)),
ISNUMBER(SEARCH("TRAVEL ADAPTER",B1724)),
ISNUMBER(SEARCH("RJ45",B1724)),
ISNUMBER(SEARCH("USB-C",B1724)),
ISNUMBER(SEARCH("USB WIFI",B1724)),
ISNUMBER(SEARCH("POWERBANK",B1724)),
ISNUMBER(SEARCH("CARGADOR",B1724)),
ISNUMBER(SEARCH("COOLER PARA NB",B1724)),
ISNUMBER(SEARCH("SOPORTE PARA NB",B1724)),
ISNUMBER(SEARCH("WEBCAM",B1724)),
ISNUMBER(SEARCH("WEB CAM",B1724)),
ISNUMBER(SEARCH("MOUSE",B1724)),
ISNUMBER(SEARCH("TECLADO",B1724))
),
"COMPLEMENTO",
IF(
OR(
LEFT(A1724,2)="NB",
LEFT(A1724,2)="PC",
LEFT(A1724,2)="WS",
LEFT(A1724,2)="TB",
LEFT(A1724,3)="CEL",
LEFT(A1724,3)="MON",
LEFT(A1724,3)="PRE",
LEFT(A1724,3)="PRH",
ISNUMBER(SEARCH("NOTEBOOK",B1724)),
ISNUMBER(SEARCH("LAPTOP",B1724)),
ISNUMBER(SEARCH("MONITOR",B1724)),
ISNUMBER(SEARCH("TABLET",B1724)),
ISNUMBER(SEARCH("SMARTPH",B1724)),
ISNUMBER(SEARCH("IMPRESORA",B1724)),
ISNUMBER(SEARCH("MULTIFUNCIONAL",B1724)),
ISNUMBER(SEARCH("AIO",B1724))
),
"GANCHO",
"NORMAL"
)
)</f>
        <v>NORMAL</v>
      </c>
    </row>
    <row r="1723" spans="1:12" x14ac:dyDescent="0.25">
      <c r="A1723" s="3" t="s">
        <v>2637</v>
      </c>
      <c r="B1723" s="3" t="s">
        <v>2638</v>
      </c>
      <c r="C1723" s="1">
        <v>20</v>
      </c>
      <c r="D1723" s="1">
        <v>19.3</v>
      </c>
      <c r="E1723" s="1" t="s">
        <v>52</v>
      </c>
      <c r="F1723" s="1" t="s">
        <v>4124</v>
      </c>
      <c r="G1723" s="3" t="s">
        <v>2639</v>
      </c>
      <c r="H1723" s="11">
        <f>ROUND(
IF(L1721="GANCHO",
   IF(I1723&lt;=50,I1723*1.1+4,IF(I1723&lt;=120,I1723*1.1+7,IF(I1723&lt;=250,I1723*1.1+11,I1723*1.1+19))),
IF(L1721="NORMAL",
   IF(I1723&lt;=30,I1723*1.15+2,IF(I1723&lt;=80,I1723*1.15+4,IF(I1723&lt;=150,I1723*1.15+6,I1723*1.15+8))),
IF(L1721="COMPLEMENTO",
   IF(I1723&lt;=25,I1723*1.25+1.5,IF(I1723&lt;=60,I1723*1.25+3,IF(I1723&lt;=120,I1723*1.25+4,I1723*1.25+5))),
""))),2)</f>
        <v>95.14</v>
      </c>
      <c r="I1723" s="9">
        <f>($K$2+0.02)*Tabla1[[#This Row],[PRECIO $]]*1.18</f>
        <v>79.253519999999995</v>
      </c>
      <c r="J1723" s="7">
        <f>+Tabla1[[#This Row],[PRECIO EN SOLES]]-Tabla1[[#This Row],[PC]]</f>
        <v>15.886480000000006</v>
      </c>
      <c r="K1723" s="15"/>
      <c r="L1723" s="15" t="str">
        <f>IF(
OR(
ISNUMBER(SEARCH("BACKPACK",B1725)),
ISNUMBER(SEARCH("MOCHILA",B1725)),
ISNUMBER(SEARCH("FUNDA",B1725)),
ISNUMBER(SEARCH("ESTUCHE",B1725)),
ISNUMBER(SEARCH("BOOK COVER",B1725)),
ISNUMBER(SEARCH("KEYBOARD PARA TABLET",B1725)),
ISNUMBER(SEARCH("FLIP TABLET",B1725)),
ISNUMBER(SEARCH("CASE FOR TABLET",B1725)),
ISNUMBER(SEARCH("CABLE",B1725)),
ISNUMBER(SEARCH("ADAPTADOR",B1725)),
ISNUMBER(SEARCH("HUB",B1725)),
ISNUMBER(SEARCH("DOCK",B1725)),
ISNUMBER(SEARCH("MOUSE PAD",B1725)),
ISNUMBER(SEARCH("MOUSEPAD",B1725)),
ISNUMBER(SEARCH("SOPORTE",B1725)),
ISNUMBER(SEARCH("STAND",B1725)),
ISNUMBER(SEARCH("TRAVEL ADAPTER",B1725)),
ISNUMBER(SEARCH("RJ45",B1725)),
ISNUMBER(SEARCH("USB-C",B1725)),
ISNUMBER(SEARCH("USB WIFI",B1725)),
ISNUMBER(SEARCH("POWERBANK",B1725)),
ISNUMBER(SEARCH("CARGADOR",B1725)),
ISNUMBER(SEARCH("COOLER PARA NB",B1725)),
ISNUMBER(SEARCH("SOPORTE PARA NB",B1725)),
ISNUMBER(SEARCH("WEBCAM",B1725)),
ISNUMBER(SEARCH("WEB CAM",B1725)),
ISNUMBER(SEARCH("MOUSE",B1725)),
ISNUMBER(SEARCH("TECLADO",B1725))
),
"COMPLEMENTO",
IF(
OR(
LEFT(A1725,2)="NB",
LEFT(A1725,2)="PC",
LEFT(A1725,2)="WS",
LEFT(A1725,2)="TB",
LEFT(A1725,3)="CEL",
LEFT(A1725,3)="MON",
LEFT(A1725,3)="PRE",
LEFT(A1725,3)="PRH",
ISNUMBER(SEARCH("NOTEBOOK",B1725)),
ISNUMBER(SEARCH("LAPTOP",B1725)),
ISNUMBER(SEARCH("MONITOR",B1725)),
ISNUMBER(SEARCH("TABLET",B1725)),
ISNUMBER(SEARCH("SMARTPH",B1725)),
ISNUMBER(SEARCH("IMPRESORA",B1725)),
ISNUMBER(SEARCH("MULTIFUNCIONAL",B1725)),
ISNUMBER(SEARCH("AIO",B1725))
),
"GANCHO",
"NORMAL"
)
)</f>
        <v>NORMAL</v>
      </c>
    </row>
    <row r="1724" spans="1:12" x14ac:dyDescent="0.25">
      <c r="A1724" s="3" t="s">
        <v>2640</v>
      </c>
      <c r="B1724" s="3" t="s">
        <v>2641</v>
      </c>
      <c r="C1724" s="1">
        <v>1</v>
      </c>
      <c r="D1724" s="1">
        <v>145</v>
      </c>
      <c r="E1724" s="1" t="s">
        <v>57</v>
      </c>
      <c r="F1724" s="1" t="s">
        <v>4125</v>
      </c>
      <c r="G1724" s="3"/>
      <c r="H1724" s="11">
        <f>ROUND(
IF(L1722="GANCHO",
   IF(I1724&lt;=50,I1724*1.1+4,IF(I1724&lt;=120,I1724*1.1+7,IF(I1724&lt;=250,I1724*1.1+11,I1724*1.1+19))),
IF(L1722="NORMAL",
   IF(I1724&lt;=30,I1724*1.15+2,IF(I1724&lt;=80,I1724*1.15+4,IF(I1724&lt;=150,I1724*1.15+6,I1724*1.15+8))),
IF(L1722="COMPLEMENTO",
   IF(I1724&lt;=25,I1724*1.25+1.5,IF(I1724&lt;=60,I1724*1.25+3,IF(I1724&lt;=120,I1724*1.25+4,I1724*1.25+5))),
""))),2)</f>
        <v>692.74</v>
      </c>
      <c r="I1724" s="9">
        <f>($K$2+0.02)*Tabla1[[#This Row],[PRECIO $]]*1.18</f>
        <v>595.428</v>
      </c>
      <c r="J1724" s="7">
        <f>+Tabla1[[#This Row],[PRECIO EN SOLES]]-Tabla1[[#This Row],[PC]]</f>
        <v>97.312000000000012</v>
      </c>
      <c r="K1724" s="15"/>
      <c r="L1724" s="15" t="str">
        <f>IF(
OR(
ISNUMBER(SEARCH("BACKPACK",B1726)),
ISNUMBER(SEARCH("MOCHILA",B1726)),
ISNUMBER(SEARCH("FUNDA",B1726)),
ISNUMBER(SEARCH("ESTUCHE",B1726)),
ISNUMBER(SEARCH("BOOK COVER",B1726)),
ISNUMBER(SEARCH("KEYBOARD PARA TABLET",B1726)),
ISNUMBER(SEARCH("FLIP TABLET",B1726)),
ISNUMBER(SEARCH("CASE FOR TABLET",B1726)),
ISNUMBER(SEARCH("CABLE",B1726)),
ISNUMBER(SEARCH("ADAPTADOR",B1726)),
ISNUMBER(SEARCH("HUB",B1726)),
ISNUMBER(SEARCH("DOCK",B1726)),
ISNUMBER(SEARCH("MOUSE PAD",B1726)),
ISNUMBER(SEARCH("MOUSEPAD",B1726)),
ISNUMBER(SEARCH("SOPORTE",B1726)),
ISNUMBER(SEARCH("STAND",B1726)),
ISNUMBER(SEARCH("TRAVEL ADAPTER",B1726)),
ISNUMBER(SEARCH("RJ45",B1726)),
ISNUMBER(SEARCH("USB-C",B1726)),
ISNUMBER(SEARCH("USB WIFI",B1726)),
ISNUMBER(SEARCH("POWERBANK",B1726)),
ISNUMBER(SEARCH("CARGADOR",B1726)),
ISNUMBER(SEARCH("COOLER PARA NB",B1726)),
ISNUMBER(SEARCH("SOPORTE PARA NB",B1726)),
ISNUMBER(SEARCH("WEBCAM",B1726)),
ISNUMBER(SEARCH("WEB CAM",B1726)),
ISNUMBER(SEARCH("MOUSE",B1726)),
ISNUMBER(SEARCH("TECLADO",B1726))
),
"COMPLEMENTO",
IF(
OR(
LEFT(A1726,2)="NB",
LEFT(A1726,2)="PC",
LEFT(A1726,2)="WS",
LEFT(A1726,2)="TB",
LEFT(A1726,3)="CEL",
LEFT(A1726,3)="MON",
LEFT(A1726,3)="PRE",
LEFT(A1726,3)="PRH",
ISNUMBER(SEARCH("NOTEBOOK",B1726)),
ISNUMBER(SEARCH("LAPTOP",B1726)),
ISNUMBER(SEARCH("MONITOR",B1726)),
ISNUMBER(SEARCH("TABLET",B1726)),
ISNUMBER(SEARCH("SMARTPH",B1726)),
ISNUMBER(SEARCH("IMPRESORA",B1726)),
ISNUMBER(SEARCH("MULTIFUNCIONAL",B1726)),
ISNUMBER(SEARCH("AIO",B1726))
),
"GANCHO",
"NORMAL"
)
)</f>
        <v>NORMAL</v>
      </c>
    </row>
    <row r="1725" spans="1:12" x14ac:dyDescent="0.25">
      <c r="A1725" s="3" t="s">
        <v>6950</v>
      </c>
      <c r="B1725" s="3" t="s">
        <v>6951</v>
      </c>
      <c r="C1725" s="1">
        <v>20</v>
      </c>
      <c r="D1725" s="1">
        <v>66.400000000000006</v>
      </c>
      <c r="E1725" s="1" t="s">
        <v>224</v>
      </c>
      <c r="F1725" s="1" t="s">
        <v>6952</v>
      </c>
      <c r="G1725" s="3" t="s">
        <v>6953</v>
      </c>
      <c r="H1725" s="11">
        <f>ROUND(
IF(L1723="GANCHO",
   IF(I1725&lt;=50,I1725*1.1+4,IF(I1725&lt;=120,I1725*1.1+7,IF(I1725&lt;=250,I1725*1.1+11,I1725*1.1+19))),
IF(L1723="NORMAL",
   IF(I1725&lt;=30,I1725*1.15+2,IF(I1725&lt;=80,I1725*1.15+4,IF(I1725&lt;=150,I1725*1.15+6,I1725*1.15+8))),
IF(L1723="COMPLEMENTO",
   IF(I1725&lt;=25,I1725*1.25+1.5,IF(I1725&lt;=60,I1725*1.25+3,IF(I1725&lt;=120,I1725*1.25+4,I1725*1.25+5))),
""))),2)</f>
        <v>321.56</v>
      </c>
      <c r="I1725" s="9">
        <f>($K$2+0.02)*Tabla1[[#This Row],[PRECIO $]]*1.18</f>
        <v>272.66496000000001</v>
      </c>
      <c r="J1725" s="7">
        <f>+Tabla1[[#This Row],[PRECIO EN SOLES]]-Tabla1[[#This Row],[PC]]</f>
        <v>48.895039999999995</v>
      </c>
      <c r="K1725" s="15"/>
      <c r="L1725" s="15" t="str">
        <f>IF(
OR(
ISNUMBER(SEARCH("BACKPACK",B1727)),
ISNUMBER(SEARCH("MOCHILA",B1727)),
ISNUMBER(SEARCH("FUNDA",B1727)),
ISNUMBER(SEARCH("ESTUCHE",B1727)),
ISNUMBER(SEARCH("BOOK COVER",B1727)),
ISNUMBER(SEARCH("KEYBOARD PARA TABLET",B1727)),
ISNUMBER(SEARCH("FLIP TABLET",B1727)),
ISNUMBER(SEARCH("CASE FOR TABLET",B1727)),
ISNUMBER(SEARCH("CABLE",B1727)),
ISNUMBER(SEARCH("ADAPTADOR",B1727)),
ISNUMBER(SEARCH("HUB",B1727)),
ISNUMBER(SEARCH("DOCK",B1727)),
ISNUMBER(SEARCH("MOUSE PAD",B1727)),
ISNUMBER(SEARCH("MOUSEPAD",B1727)),
ISNUMBER(SEARCH("SOPORTE",B1727)),
ISNUMBER(SEARCH("STAND",B1727)),
ISNUMBER(SEARCH("TRAVEL ADAPTER",B1727)),
ISNUMBER(SEARCH("RJ45",B1727)),
ISNUMBER(SEARCH("USB-C",B1727)),
ISNUMBER(SEARCH("USB WIFI",B1727)),
ISNUMBER(SEARCH("POWERBANK",B1727)),
ISNUMBER(SEARCH("CARGADOR",B1727)),
ISNUMBER(SEARCH("COOLER PARA NB",B1727)),
ISNUMBER(SEARCH("SOPORTE PARA NB",B1727)),
ISNUMBER(SEARCH("WEBCAM",B1727)),
ISNUMBER(SEARCH("WEB CAM",B1727)),
ISNUMBER(SEARCH("MOUSE",B1727)),
ISNUMBER(SEARCH("TECLADO",B1727))
),
"COMPLEMENTO",
IF(
OR(
LEFT(A1727,2)="NB",
LEFT(A1727,2)="PC",
LEFT(A1727,2)="WS",
LEFT(A1727,2)="TB",
LEFT(A1727,3)="CEL",
LEFT(A1727,3)="MON",
LEFT(A1727,3)="PRE",
LEFT(A1727,3)="PRH",
ISNUMBER(SEARCH("NOTEBOOK",B1727)),
ISNUMBER(SEARCH("LAPTOP",B1727)),
ISNUMBER(SEARCH("MONITOR",B1727)),
ISNUMBER(SEARCH("TABLET",B1727)),
ISNUMBER(SEARCH("SMARTPH",B1727)),
ISNUMBER(SEARCH("IMPRESORA",B1727)),
ISNUMBER(SEARCH("MULTIFUNCIONAL",B1727)),
ISNUMBER(SEARCH("AIO",B1727))
),
"GANCHO",
"NORMAL"
)
)</f>
        <v>NORMAL</v>
      </c>
    </row>
    <row r="1726" spans="1:12" x14ac:dyDescent="0.25">
      <c r="A1726" s="3" t="s">
        <v>3012</v>
      </c>
      <c r="B1726" s="3" t="s">
        <v>3013</v>
      </c>
      <c r="C1726" s="1">
        <v>15</v>
      </c>
      <c r="D1726" s="1">
        <v>115</v>
      </c>
      <c r="E1726" s="1" t="s">
        <v>220</v>
      </c>
      <c r="F1726" s="1" t="s">
        <v>4126</v>
      </c>
      <c r="G1726" s="3" t="s">
        <v>3014</v>
      </c>
      <c r="H1726" s="11">
        <f>ROUND(
IF(L1724="GANCHO",
   IF(I1726&lt;=50,I1726*1.1+4,IF(I1726&lt;=120,I1726*1.1+7,IF(I1726&lt;=250,I1726*1.1+11,I1726*1.1+19))),
IF(L1724="NORMAL",
   IF(I1726&lt;=30,I1726*1.15+2,IF(I1726&lt;=80,I1726*1.15+4,IF(I1726&lt;=150,I1726*1.15+6,I1726*1.15+8))),
IF(L1724="COMPLEMENTO",
   IF(I1726&lt;=25,I1726*1.25+1.5,IF(I1726&lt;=60,I1726*1.25+3,IF(I1726&lt;=120,I1726*1.25+4,I1726*1.25+5))),
""))),2)</f>
        <v>551.07000000000005</v>
      </c>
      <c r="I1726" s="9">
        <f>($K$2+0.02)*Tabla1[[#This Row],[PRECIO $]]*1.18</f>
        <v>472.23599999999999</v>
      </c>
      <c r="J1726" s="7">
        <f>+Tabla1[[#This Row],[PRECIO EN SOLES]]-Tabla1[[#This Row],[PC]]</f>
        <v>78.83400000000006</v>
      </c>
      <c r="K1726" s="15"/>
      <c r="L1726" s="15" t="str">
        <f>IF(
OR(
ISNUMBER(SEARCH("BACKPACK",B1728)),
ISNUMBER(SEARCH("MOCHILA",B1728)),
ISNUMBER(SEARCH("FUNDA",B1728)),
ISNUMBER(SEARCH("ESTUCHE",B1728)),
ISNUMBER(SEARCH("BOOK COVER",B1728)),
ISNUMBER(SEARCH("KEYBOARD PARA TABLET",B1728)),
ISNUMBER(SEARCH("FLIP TABLET",B1728)),
ISNUMBER(SEARCH("CASE FOR TABLET",B1728)),
ISNUMBER(SEARCH("CABLE",B1728)),
ISNUMBER(SEARCH("ADAPTADOR",B1728)),
ISNUMBER(SEARCH("HUB",B1728)),
ISNUMBER(SEARCH("DOCK",B1728)),
ISNUMBER(SEARCH("MOUSE PAD",B1728)),
ISNUMBER(SEARCH("MOUSEPAD",B1728)),
ISNUMBER(SEARCH("SOPORTE",B1728)),
ISNUMBER(SEARCH("STAND",B1728)),
ISNUMBER(SEARCH("TRAVEL ADAPTER",B1728)),
ISNUMBER(SEARCH("RJ45",B1728)),
ISNUMBER(SEARCH("USB-C",B1728)),
ISNUMBER(SEARCH("USB WIFI",B1728)),
ISNUMBER(SEARCH("POWERBANK",B1728)),
ISNUMBER(SEARCH("CARGADOR",B1728)),
ISNUMBER(SEARCH("COOLER PARA NB",B1728)),
ISNUMBER(SEARCH("SOPORTE PARA NB",B1728)),
ISNUMBER(SEARCH("WEBCAM",B1728)),
ISNUMBER(SEARCH("WEB CAM",B1728)),
ISNUMBER(SEARCH("MOUSE",B1728)),
ISNUMBER(SEARCH("TECLADO",B1728))
),
"COMPLEMENTO",
IF(
OR(
LEFT(A1728,2)="NB",
LEFT(A1728,2)="PC",
LEFT(A1728,2)="WS",
LEFT(A1728,2)="TB",
LEFT(A1728,3)="CEL",
LEFT(A1728,3)="MON",
LEFT(A1728,3)="PRE",
LEFT(A1728,3)="PRH",
ISNUMBER(SEARCH("NOTEBOOK",B1728)),
ISNUMBER(SEARCH("LAPTOP",B1728)),
ISNUMBER(SEARCH("MONITOR",B1728)),
ISNUMBER(SEARCH("TABLET",B1728)),
ISNUMBER(SEARCH("SMARTPH",B1728)),
ISNUMBER(SEARCH("IMPRESORA",B1728)),
ISNUMBER(SEARCH("MULTIFUNCIONAL",B1728)),
ISNUMBER(SEARCH("AIO",B1728))
),
"GANCHO",
"NORMAL"
)
)</f>
        <v>NORMAL</v>
      </c>
    </row>
    <row r="1727" spans="1:12" x14ac:dyDescent="0.25">
      <c r="A1727" s="3" t="s">
        <v>6954</v>
      </c>
      <c r="B1727" s="3" t="s">
        <v>6955</v>
      </c>
      <c r="C1727" s="1">
        <v>20</v>
      </c>
      <c r="D1727" s="1">
        <v>125</v>
      </c>
      <c r="E1727" s="1" t="s">
        <v>220</v>
      </c>
      <c r="F1727" s="1" t="s">
        <v>6956</v>
      </c>
      <c r="G1727" s="3" t="s">
        <v>6957</v>
      </c>
      <c r="H1727" s="11">
        <f>ROUND(
IF(L1725="GANCHO",
   IF(I1727&lt;=50,I1727*1.1+4,IF(I1727&lt;=120,I1727*1.1+7,IF(I1727&lt;=250,I1727*1.1+11,I1727*1.1+19))),
IF(L1725="NORMAL",
   IF(I1727&lt;=30,I1727*1.15+2,IF(I1727&lt;=80,I1727*1.15+4,IF(I1727&lt;=150,I1727*1.15+6,I1727*1.15+8))),
IF(L1725="COMPLEMENTO",
   IF(I1727&lt;=25,I1727*1.25+1.5,IF(I1727&lt;=60,I1727*1.25+3,IF(I1727&lt;=120,I1727*1.25+4,I1727*1.25+5))),
""))),2)</f>
        <v>598.29999999999995</v>
      </c>
      <c r="I1727" s="9">
        <f>($K$2+0.02)*Tabla1[[#This Row],[PRECIO $]]*1.18</f>
        <v>513.29999999999995</v>
      </c>
      <c r="J1727" s="7">
        <f>+Tabla1[[#This Row],[PRECIO EN SOLES]]-Tabla1[[#This Row],[PC]]</f>
        <v>85</v>
      </c>
      <c r="K1727" s="15"/>
      <c r="L1727" s="15" t="str">
        <f>IF(
OR(
ISNUMBER(SEARCH("BACKPACK",B1729)),
ISNUMBER(SEARCH("MOCHILA",B1729)),
ISNUMBER(SEARCH("FUNDA",B1729)),
ISNUMBER(SEARCH("ESTUCHE",B1729)),
ISNUMBER(SEARCH("BOOK COVER",B1729)),
ISNUMBER(SEARCH("KEYBOARD PARA TABLET",B1729)),
ISNUMBER(SEARCH("FLIP TABLET",B1729)),
ISNUMBER(SEARCH("CASE FOR TABLET",B1729)),
ISNUMBER(SEARCH("CABLE",B1729)),
ISNUMBER(SEARCH("ADAPTADOR",B1729)),
ISNUMBER(SEARCH("HUB",B1729)),
ISNUMBER(SEARCH("DOCK",B1729)),
ISNUMBER(SEARCH("MOUSE PAD",B1729)),
ISNUMBER(SEARCH("MOUSEPAD",B1729)),
ISNUMBER(SEARCH("SOPORTE",B1729)),
ISNUMBER(SEARCH("STAND",B1729)),
ISNUMBER(SEARCH("TRAVEL ADAPTER",B1729)),
ISNUMBER(SEARCH("RJ45",B1729)),
ISNUMBER(SEARCH("USB-C",B1729)),
ISNUMBER(SEARCH("USB WIFI",B1729)),
ISNUMBER(SEARCH("POWERBANK",B1729)),
ISNUMBER(SEARCH("CARGADOR",B1729)),
ISNUMBER(SEARCH("COOLER PARA NB",B1729)),
ISNUMBER(SEARCH("SOPORTE PARA NB",B1729)),
ISNUMBER(SEARCH("WEBCAM",B1729)),
ISNUMBER(SEARCH("WEB CAM",B1729)),
ISNUMBER(SEARCH("MOUSE",B1729)),
ISNUMBER(SEARCH("TECLADO",B1729))
),
"COMPLEMENTO",
IF(
OR(
LEFT(A1729,2)="NB",
LEFT(A1729,2)="PC",
LEFT(A1729,2)="WS",
LEFT(A1729,2)="TB",
LEFT(A1729,3)="CEL",
LEFT(A1729,3)="MON",
LEFT(A1729,3)="PRE",
LEFT(A1729,3)="PRH",
ISNUMBER(SEARCH("NOTEBOOK",B1729)),
ISNUMBER(SEARCH("LAPTOP",B1729)),
ISNUMBER(SEARCH("MONITOR",B1729)),
ISNUMBER(SEARCH("TABLET",B1729)),
ISNUMBER(SEARCH("SMARTPH",B1729)),
ISNUMBER(SEARCH("IMPRESORA",B1729)),
ISNUMBER(SEARCH("MULTIFUNCIONAL",B1729)),
ISNUMBER(SEARCH("AIO",B1729))
),
"GANCHO",
"NORMAL"
)
)</f>
        <v>NORMAL</v>
      </c>
    </row>
    <row r="1728" spans="1:12" x14ac:dyDescent="0.25">
      <c r="A1728" s="3" t="s">
        <v>6958</v>
      </c>
      <c r="B1728" s="3" t="s">
        <v>6959</v>
      </c>
      <c r="C1728" s="1">
        <v>20</v>
      </c>
      <c r="D1728" s="1">
        <v>151.6</v>
      </c>
      <c r="E1728" s="1" t="s">
        <v>220</v>
      </c>
      <c r="F1728" s="1" t="s">
        <v>6960</v>
      </c>
      <c r="G1728" s="3" t="s">
        <v>6961</v>
      </c>
      <c r="H1728" s="11">
        <f>ROUND(
IF(L1726="GANCHO",
   IF(I1728&lt;=50,I1728*1.1+4,IF(I1728&lt;=120,I1728*1.1+7,IF(I1728&lt;=250,I1728*1.1+11,I1728*1.1+19))),
IF(L1726="NORMAL",
   IF(I1728&lt;=30,I1728*1.15+2,IF(I1728&lt;=80,I1728*1.15+4,IF(I1728&lt;=150,I1728*1.15+6,I1728*1.15+8))),
IF(L1726="COMPLEMENTO",
   IF(I1728&lt;=25,I1728*1.25+1.5,IF(I1728&lt;=60,I1728*1.25+3,IF(I1728&lt;=120,I1728*1.25+4,I1728*1.25+5))),
""))),2)</f>
        <v>723.91</v>
      </c>
      <c r="I1728" s="9">
        <f>($K$2+0.02)*Tabla1[[#This Row],[PRECIO $]]*1.18</f>
        <v>622.53023999999994</v>
      </c>
      <c r="J1728" s="7">
        <f>+Tabla1[[#This Row],[PRECIO EN SOLES]]-Tabla1[[#This Row],[PC]]</f>
        <v>101.37976000000003</v>
      </c>
      <c r="K1728" s="15"/>
      <c r="L1728" s="15" t="str">
        <f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NORMAL</v>
      </c>
    </row>
    <row r="1729" spans="1:12" x14ac:dyDescent="0.25">
      <c r="A1729" s="3" t="s">
        <v>594</v>
      </c>
      <c r="B1729" s="3" t="s">
        <v>595</v>
      </c>
      <c r="C1729" s="1">
        <v>20</v>
      </c>
      <c r="D1729" s="1">
        <v>62</v>
      </c>
      <c r="E1729" s="1" t="s">
        <v>220</v>
      </c>
      <c r="F1729" s="1" t="s">
        <v>4127</v>
      </c>
      <c r="G1729" s="3" t="s">
        <v>596</v>
      </c>
      <c r="H1729" s="11">
        <f>ROUND(
IF(L1727="GANCHO",
   IF(I1729&lt;=50,I1729*1.1+4,IF(I1729&lt;=120,I1729*1.1+7,IF(I1729&lt;=250,I1729*1.1+11,I1729*1.1+19))),
IF(L1727="NORMAL",
   IF(I1729&lt;=30,I1729*1.15+2,IF(I1729&lt;=80,I1729*1.15+4,IF(I1729&lt;=150,I1729*1.15+6,I1729*1.15+8))),
IF(L1727="COMPLEMENTO",
   IF(I1729&lt;=25,I1729*1.25+1.5,IF(I1729&lt;=60,I1729*1.25+3,IF(I1729&lt;=120,I1729*1.25+4,I1729*1.25+5))),
""))),2)</f>
        <v>300.79000000000002</v>
      </c>
      <c r="I1729" s="9">
        <f>($K$2+0.02)*Tabla1[[#This Row],[PRECIO $]]*1.18</f>
        <v>254.59679999999997</v>
      </c>
      <c r="J1729" s="7">
        <f>+Tabla1[[#This Row],[PRECIO EN SOLES]]-Tabla1[[#This Row],[PC]]</f>
        <v>46.193200000000047</v>
      </c>
      <c r="K1729" s="15"/>
      <c r="L1729" s="15" t="str">
        <f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NORMAL</v>
      </c>
    </row>
    <row r="1730" spans="1:12" x14ac:dyDescent="0.25">
      <c r="A1730" s="3" t="s">
        <v>2800</v>
      </c>
      <c r="B1730" s="3" t="s">
        <v>2654</v>
      </c>
      <c r="C1730" s="1">
        <v>20</v>
      </c>
      <c r="D1730" s="1">
        <v>78.099999999999994</v>
      </c>
      <c r="E1730" s="1" t="s">
        <v>220</v>
      </c>
      <c r="F1730" s="1" t="s">
        <v>4128</v>
      </c>
      <c r="G1730" s="3" t="s">
        <v>2801</v>
      </c>
      <c r="H1730" s="11">
        <f>ROUND(
IF(L1728="GANCHO",
   IF(I1730&lt;=50,I1730*1.1+4,IF(I1730&lt;=120,I1730*1.1+7,IF(I1730&lt;=250,I1730*1.1+11,I1730*1.1+19))),
IF(L1728="NORMAL",
   IF(I1730&lt;=30,I1730*1.15+2,IF(I1730&lt;=80,I1730*1.15+4,IF(I1730&lt;=150,I1730*1.15+6,I1730*1.15+8))),
IF(L1728="COMPLEMENTO",
   IF(I1730&lt;=25,I1730*1.25+1.5,IF(I1730&lt;=60,I1730*1.25+3,IF(I1730&lt;=120,I1730*1.25+4,I1730*1.25+5))),
""))),2)</f>
        <v>376.82</v>
      </c>
      <c r="I1730" s="9">
        <f>($K$2+0.02)*Tabla1[[#This Row],[PRECIO $]]*1.18</f>
        <v>320.70983999999993</v>
      </c>
      <c r="J1730" s="7">
        <f>+Tabla1[[#This Row],[PRECIO EN SOLES]]-Tabla1[[#This Row],[PC]]</f>
        <v>56.110160000000064</v>
      </c>
      <c r="K1730" s="15"/>
      <c r="L1730" s="15" t="str">
        <f>IF(
OR(
ISNUMBER(SEARCH("BACKPACK",B1732)),
ISNUMBER(SEARCH("MOCHILA",B1732)),
ISNUMBER(SEARCH("FUNDA",B1732)),
ISNUMBER(SEARCH("ESTUCHE",B1732)),
ISNUMBER(SEARCH("BOOK COVER",B1732)),
ISNUMBER(SEARCH("KEYBOARD PARA TABLET",B1732)),
ISNUMBER(SEARCH("FLIP TABLET",B1732)),
ISNUMBER(SEARCH("CASE FOR TABLET",B1732)),
ISNUMBER(SEARCH("CABLE",B1732)),
ISNUMBER(SEARCH("ADAPTADOR",B1732)),
ISNUMBER(SEARCH("HUB",B1732)),
ISNUMBER(SEARCH("DOCK",B1732)),
ISNUMBER(SEARCH("MOUSE PAD",B1732)),
ISNUMBER(SEARCH("MOUSEPAD",B1732)),
ISNUMBER(SEARCH("SOPORTE",B1732)),
ISNUMBER(SEARCH("STAND",B1732)),
ISNUMBER(SEARCH("TRAVEL ADAPTER",B1732)),
ISNUMBER(SEARCH("RJ45",B1732)),
ISNUMBER(SEARCH("USB-C",B1732)),
ISNUMBER(SEARCH("USB WIFI",B1732)),
ISNUMBER(SEARCH("POWERBANK",B1732)),
ISNUMBER(SEARCH("CARGADOR",B1732)),
ISNUMBER(SEARCH("COOLER PARA NB",B1732)),
ISNUMBER(SEARCH("SOPORTE PARA NB",B1732)),
ISNUMBER(SEARCH("WEBCAM",B1732)),
ISNUMBER(SEARCH("WEB CAM",B1732)),
ISNUMBER(SEARCH("MOUSE",B1732)),
ISNUMBER(SEARCH("TECLADO",B1732))
),
"COMPLEMENTO",
IF(
OR(
LEFT(A1732,2)="NB",
LEFT(A1732,2)="PC",
LEFT(A1732,2)="WS",
LEFT(A1732,2)="TB",
LEFT(A1732,3)="CEL",
LEFT(A1732,3)="MON",
LEFT(A1732,3)="PRE",
LEFT(A1732,3)="PRH",
ISNUMBER(SEARCH("NOTEBOOK",B1732)),
ISNUMBER(SEARCH("LAPTOP",B1732)),
ISNUMBER(SEARCH("MONITOR",B1732)),
ISNUMBER(SEARCH("TABLET",B1732)),
ISNUMBER(SEARCH("SMARTPH",B1732)),
ISNUMBER(SEARCH("IMPRESORA",B1732)),
ISNUMBER(SEARCH("MULTIFUNCIONAL",B1732)),
ISNUMBER(SEARCH("AIO",B1732))
),
"GANCHO",
"NORMAL"
)
)</f>
        <v>NORMAL</v>
      </c>
    </row>
    <row r="1731" spans="1:12" x14ac:dyDescent="0.25">
      <c r="A1731" s="3" t="s">
        <v>2642</v>
      </c>
      <c r="B1731" s="3" t="s">
        <v>2643</v>
      </c>
      <c r="C1731" s="1">
        <v>20</v>
      </c>
      <c r="D1731" s="1">
        <v>56.6</v>
      </c>
      <c r="E1731" s="1" t="s">
        <v>220</v>
      </c>
      <c r="F1731" s="1" t="s">
        <v>4129</v>
      </c>
      <c r="G1731" s="3" t="s">
        <v>2644</v>
      </c>
      <c r="H1731" s="11">
        <f>ROUND(
IF(L1729="GANCHO",
   IF(I1731&lt;=50,I1731*1.1+4,IF(I1731&lt;=120,I1731*1.1+7,IF(I1731&lt;=250,I1731*1.1+11,I1731*1.1+19))),
IF(L1729="NORMAL",
   IF(I1731&lt;=30,I1731*1.15+2,IF(I1731&lt;=80,I1731*1.15+4,IF(I1731&lt;=150,I1731*1.15+6,I1731*1.15+8))),
IF(L1729="COMPLEMENTO",
   IF(I1731&lt;=25,I1731*1.25+1.5,IF(I1731&lt;=60,I1731*1.25+3,IF(I1731&lt;=120,I1731*1.25+4,I1731*1.25+5))),
""))),2)</f>
        <v>275.29000000000002</v>
      </c>
      <c r="I1731" s="9">
        <f>($K$2+0.02)*Tabla1[[#This Row],[PRECIO $]]*1.18</f>
        <v>232.42224000000002</v>
      </c>
      <c r="J1731" s="7">
        <f>+Tabla1[[#This Row],[PRECIO EN SOLES]]-Tabla1[[#This Row],[PC]]</f>
        <v>42.867760000000004</v>
      </c>
      <c r="K1731" s="15"/>
      <c r="L1731" s="15" t="str">
        <f>IF(
OR(
ISNUMBER(SEARCH("BACKPACK",B1733)),
ISNUMBER(SEARCH("MOCHILA",B1733)),
ISNUMBER(SEARCH("FUNDA",B1733)),
ISNUMBER(SEARCH("ESTUCHE",B1733)),
ISNUMBER(SEARCH("BOOK COVER",B1733)),
ISNUMBER(SEARCH("KEYBOARD PARA TABLET",B1733)),
ISNUMBER(SEARCH("FLIP TABLET",B1733)),
ISNUMBER(SEARCH("CASE FOR TABLET",B1733)),
ISNUMBER(SEARCH("CABLE",B1733)),
ISNUMBER(SEARCH("ADAPTADOR",B1733)),
ISNUMBER(SEARCH("HUB",B1733)),
ISNUMBER(SEARCH("DOCK",B1733)),
ISNUMBER(SEARCH("MOUSE PAD",B1733)),
ISNUMBER(SEARCH("MOUSEPAD",B1733)),
ISNUMBER(SEARCH("SOPORTE",B1733)),
ISNUMBER(SEARCH("STAND",B1733)),
ISNUMBER(SEARCH("TRAVEL ADAPTER",B1733)),
ISNUMBER(SEARCH("RJ45",B1733)),
ISNUMBER(SEARCH("USB-C",B1733)),
ISNUMBER(SEARCH("USB WIFI",B1733)),
ISNUMBER(SEARCH("POWERBANK",B1733)),
ISNUMBER(SEARCH("CARGADOR",B1733)),
ISNUMBER(SEARCH("COOLER PARA NB",B1733)),
ISNUMBER(SEARCH("SOPORTE PARA NB",B1733)),
ISNUMBER(SEARCH("WEBCAM",B1733)),
ISNUMBER(SEARCH("WEB CAM",B1733)),
ISNUMBER(SEARCH("MOUSE",B1733)),
ISNUMBER(SEARCH("TECLADO",B1733))
),
"COMPLEMENTO",
IF(
OR(
LEFT(A1733,2)="NB",
LEFT(A1733,2)="PC",
LEFT(A1733,2)="WS",
LEFT(A1733,2)="TB",
LEFT(A1733,3)="CEL",
LEFT(A1733,3)="MON",
LEFT(A1733,3)="PRE",
LEFT(A1733,3)="PRH",
ISNUMBER(SEARCH("NOTEBOOK",B1733)),
ISNUMBER(SEARCH("LAPTOP",B1733)),
ISNUMBER(SEARCH("MONITOR",B1733)),
ISNUMBER(SEARCH("TABLET",B1733)),
ISNUMBER(SEARCH("SMARTPH",B1733)),
ISNUMBER(SEARCH("IMPRESORA",B1733)),
ISNUMBER(SEARCH("MULTIFUNCIONAL",B1733)),
ISNUMBER(SEARCH("AIO",B1733))
),
"GANCHO",
"NORMAL"
)
)</f>
        <v>NORMAL</v>
      </c>
    </row>
    <row r="1732" spans="1:12" x14ac:dyDescent="0.25">
      <c r="A1732" s="3" t="s">
        <v>5558</v>
      </c>
      <c r="B1732" s="3" t="s">
        <v>5559</v>
      </c>
      <c r="C1732" s="1">
        <v>20</v>
      </c>
      <c r="D1732" s="1">
        <v>132</v>
      </c>
      <c r="E1732" s="1" t="s">
        <v>58</v>
      </c>
      <c r="F1732" s="1" t="s">
        <v>5560</v>
      </c>
      <c r="G1732" s="3" t="s">
        <v>5561</v>
      </c>
      <c r="H1732" s="11">
        <f>ROUND(
IF(L1730="GANCHO",
   IF(I1732&lt;=50,I1732*1.1+4,IF(I1732&lt;=120,I1732*1.1+7,IF(I1732&lt;=250,I1732*1.1+11,I1732*1.1+19))),
IF(L1730="NORMAL",
   IF(I1732&lt;=30,I1732*1.15+2,IF(I1732&lt;=80,I1732*1.15+4,IF(I1732&lt;=150,I1732*1.15+6,I1732*1.15+8))),
IF(L1730="COMPLEMENTO",
   IF(I1732&lt;=25,I1732*1.25+1.5,IF(I1732&lt;=60,I1732*1.25+3,IF(I1732&lt;=120,I1732*1.25+4,I1732*1.25+5))),
""))),2)</f>
        <v>631.35</v>
      </c>
      <c r="I1732" s="9">
        <f>($K$2+0.02)*Tabla1[[#This Row],[PRECIO $]]*1.18</f>
        <v>542.04480000000001</v>
      </c>
      <c r="J1732" s="7">
        <f>+Tabla1[[#This Row],[PRECIO EN SOLES]]-Tabla1[[#This Row],[PC]]</f>
        <v>89.305200000000013</v>
      </c>
      <c r="K1732" s="15"/>
      <c r="L1732" s="15" t="str">
        <f>IF(
OR(
ISNUMBER(SEARCH("BACKPACK",B1734)),
ISNUMBER(SEARCH("MOCHILA",B1734)),
ISNUMBER(SEARCH("FUNDA",B1734)),
ISNUMBER(SEARCH("ESTUCHE",B1734)),
ISNUMBER(SEARCH("BOOK COVER",B1734)),
ISNUMBER(SEARCH("KEYBOARD PARA TABLET",B1734)),
ISNUMBER(SEARCH("FLIP TABLET",B1734)),
ISNUMBER(SEARCH("CASE FOR TABLET",B1734)),
ISNUMBER(SEARCH("CABLE",B1734)),
ISNUMBER(SEARCH("ADAPTADOR",B1734)),
ISNUMBER(SEARCH("HUB",B1734)),
ISNUMBER(SEARCH("DOCK",B1734)),
ISNUMBER(SEARCH("MOUSE PAD",B1734)),
ISNUMBER(SEARCH("MOUSEPAD",B1734)),
ISNUMBER(SEARCH("SOPORTE",B1734)),
ISNUMBER(SEARCH("STAND",B1734)),
ISNUMBER(SEARCH("TRAVEL ADAPTER",B1734)),
ISNUMBER(SEARCH("RJ45",B1734)),
ISNUMBER(SEARCH("USB-C",B1734)),
ISNUMBER(SEARCH("USB WIFI",B1734)),
ISNUMBER(SEARCH("POWERBANK",B1734)),
ISNUMBER(SEARCH("CARGADOR",B1734)),
ISNUMBER(SEARCH("COOLER PARA NB",B1734)),
ISNUMBER(SEARCH("SOPORTE PARA NB",B1734)),
ISNUMBER(SEARCH("WEBCAM",B1734)),
ISNUMBER(SEARCH("WEB CAM",B1734)),
ISNUMBER(SEARCH("MOUSE",B1734)),
ISNUMBER(SEARCH("TECLADO",B1734))
),
"COMPLEMENTO",
IF(
OR(
LEFT(A1734,2)="NB",
LEFT(A1734,2)="PC",
LEFT(A1734,2)="WS",
LEFT(A1734,2)="TB",
LEFT(A1734,3)="CEL",
LEFT(A1734,3)="MON",
LEFT(A1734,3)="PRE",
LEFT(A1734,3)="PRH",
ISNUMBER(SEARCH("NOTEBOOK",B1734)),
ISNUMBER(SEARCH("LAPTOP",B1734)),
ISNUMBER(SEARCH("MONITOR",B1734)),
ISNUMBER(SEARCH("TABLET",B1734)),
ISNUMBER(SEARCH("SMARTPH",B1734)),
ISNUMBER(SEARCH("IMPRESORA",B1734)),
ISNUMBER(SEARCH("MULTIFUNCIONAL",B1734)),
ISNUMBER(SEARCH("AIO",B1734))
),
"GANCHO",
"NORMAL"
)
)</f>
        <v>NORMAL</v>
      </c>
    </row>
    <row r="1733" spans="1:12" x14ac:dyDescent="0.25">
      <c r="A1733" s="3" t="s">
        <v>3015</v>
      </c>
      <c r="B1733" s="3" t="s">
        <v>3016</v>
      </c>
      <c r="C1733" s="1">
        <v>20</v>
      </c>
      <c r="D1733" s="1">
        <v>56.5</v>
      </c>
      <c r="E1733" s="1" t="s">
        <v>224</v>
      </c>
      <c r="F1733" s="1" t="s">
        <v>4130</v>
      </c>
      <c r="G1733" s="3" t="s">
        <v>3017</v>
      </c>
      <c r="H1733" s="11">
        <f>ROUND(
IF(L1731="GANCHO",
   IF(I1733&lt;=50,I1733*1.1+4,IF(I1733&lt;=120,I1733*1.1+7,IF(I1733&lt;=250,I1733*1.1+11,I1733*1.1+19))),
IF(L1731="NORMAL",
   IF(I1733&lt;=30,I1733*1.15+2,IF(I1733&lt;=80,I1733*1.15+4,IF(I1733&lt;=150,I1733*1.15+6,I1733*1.15+8))),
IF(L1731="COMPLEMENTO",
   IF(I1733&lt;=25,I1733*1.25+1.5,IF(I1733&lt;=60,I1733*1.25+3,IF(I1733&lt;=120,I1733*1.25+4,I1733*1.25+5))),
""))),2)</f>
        <v>274.81</v>
      </c>
      <c r="I1733" s="9">
        <f>($K$2+0.02)*Tabla1[[#This Row],[PRECIO $]]*1.18</f>
        <v>232.01159999999999</v>
      </c>
      <c r="J1733" s="7">
        <f>+Tabla1[[#This Row],[PRECIO EN SOLES]]-Tabla1[[#This Row],[PC]]</f>
        <v>42.798400000000015</v>
      </c>
      <c r="K1733" s="15"/>
      <c r="L1733" s="15" t="str">
        <f>IF(
OR(
ISNUMBER(SEARCH("BACKPACK",B1735)),
ISNUMBER(SEARCH("MOCHILA",B1735)),
ISNUMBER(SEARCH("FUNDA",B1735)),
ISNUMBER(SEARCH("ESTUCHE",B1735)),
ISNUMBER(SEARCH("BOOK COVER",B1735)),
ISNUMBER(SEARCH("KEYBOARD PARA TABLET",B1735)),
ISNUMBER(SEARCH("FLIP TABLET",B1735)),
ISNUMBER(SEARCH("CASE FOR TABLET",B1735)),
ISNUMBER(SEARCH("CABLE",B1735)),
ISNUMBER(SEARCH("ADAPTADOR",B1735)),
ISNUMBER(SEARCH("HUB",B1735)),
ISNUMBER(SEARCH("DOCK",B1735)),
ISNUMBER(SEARCH("MOUSE PAD",B1735)),
ISNUMBER(SEARCH("MOUSEPAD",B1735)),
ISNUMBER(SEARCH("SOPORTE",B1735)),
ISNUMBER(SEARCH("STAND",B1735)),
ISNUMBER(SEARCH("TRAVEL ADAPTER",B1735)),
ISNUMBER(SEARCH("RJ45",B1735)),
ISNUMBER(SEARCH("USB-C",B1735)),
ISNUMBER(SEARCH("USB WIFI",B1735)),
ISNUMBER(SEARCH("POWERBANK",B1735)),
ISNUMBER(SEARCH("CARGADOR",B1735)),
ISNUMBER(SEARCH("COOLER PARA NB",B1735)),
ISNUMBER(SEARCH("SOPORTE PARA NB",B1735)),
ISNUMBER(SEARCH("WEBCAM",B1735)),
ISNUMBER(SEARCH("WEB CAM",B1735)),
ISNUMBER(SEARCH("MOUSE",B1735)),
ISNUMBER(SEARCH("TECLADO",B1735))
),
"COMPLEMENTO",
IF(
OR(
LEFT(A1735,2)="NB",
LEFT(A1735,2)="PC",
LEFT(A1735,2)="WS",
LEFT(A1735,2)="TB",
LEFT(A1735,3)="CEL",
LEFT(A1735,3)="MON",
LEFT(A1735,3)="PRE",
LEFT(A1735,3)="PRH",
ISNUMBER(SEARCH("NOTEBOOK",B1735)),
ISNUMBER(SEARCH("LAPTOP",B1735)),
ISNUMBER(SEARCH("MONITOR",B1735)),
ISNUMBER(SEARCH("TABLET",B1735)),
ISNUMBER(SEARCH("SMARTPH",B1735)),
ISNUMBER(SEARCH("IMPRESORA",B1735)),
ISNUMBER(SEARCH("MULTIFUNCIONAL",B1735)),
ISNUMBER(SEARCH("AIO",B1735))
),
"GANCHO",
"NORMAL"
)
)</f>
        <v>NORMAL</v>
      </c>
    </row>
    <row r="1734" spans="1:12" x14ac:dyDescent="0.25">
      <c r="A1734" s="3" t="s">
        <v>5562</v>
      </c>
      <c r="B1734" s="3" t="s">
        <v>5563</v>
      </c>
      <c r="C1734" s="1">
        <v>20</v>
      </c>
      <c r="D1734" s="1">
        <v>182</v>
      </c>
      <c r="E1734" s="1" t="s">
        <v>58</v>
      </c>
      <c r="F1734" s="1" t="s">
        <v>5564</v>
      </c>
      <c r="G1734" s="3" t="s">
        <v>5565</v>
      </c>
      <c r="H1734" s="11">
        <f>ROUND(
IF(L1732="GANCHO",
   IF(I1734&lt;=50,I1734*1.1+4,IF(I1734&lt;=120,I1734*1.1+7,IF(I1734&lt;=250,I1734*1.1+11,I1734*1.1+19))),
IF(L1732="NORMAL",
   IF(I1734&lt;=30,I1734*1.15+2,IF(I1734&lt;=80,I1734*1.15+4,IF(I1734&lt;=150,I1734*1.15+6,I1734*1.15+8))),
IF(L1732="COMPLEMENTO",
   IF(I1734&lt;=25,I1734*1.25+1.5,IF(I1734&lt;=60,I1734*1.25+3,IF(I1734&lt;=120,I1734*1.25+4,I1734*1.25+5))),
""))),2)</f>
        <v>867.47</v>
      </c>
      <c r="I1734" s="9">
        <f>($K$2+0.02)*Tabla1[[#This Row],[PRECIO $]]*1.18</f>
        <v>747.36479999999995</v>
      </c>
      <c r="J1734" s="7">
        <f>+Tabla1[[#This Row],[PRECIO EN SOLES]]-Tabla1[[#This Row],[PC]]</f>
        <v>120.10520000000008</v>
      </c>
      <c r="K1734" s="15"/>
      <c r="L1734" s="15" t="str">
        <f>IF(
OR(
ISNUMBER(SEARCH("BACKPACK",B1736)),
ISNUMBER(SEARCH("MOCHILA",B1736)),
ISNUMBER(SEARCH("FUNDA",B1736)),
ISNUMBER(SEARCH("ESTUCHE",B1736)),
ISNUMBER(SEARCH("BOOK COVER",B1736)),
ISNUMBER(SEARCH("KEYBOARD PARA TABLET",B1736)),
ISNUMBER(SEARCH("FLIP TABLET",B1736)),
ISNUMBER(SEARCH("CASE FOR TABLET",B1736)),
ISNUMBER(SEARCH("CABLE",B1736)),
ISNUMBER(SEARCH("ADAPTADOR",B1736)),
ISNUMBER(SEARCH("HUB",B1736)),
ISNUMBER(SEARCH("DOCK",B1736)),
ISNUMBER(SEARCH("MOUSE PAD",B1736)),
ISNUMBER(SEARCH("MOUSEPAD",B1736)),
ISNUMBER(SEARCH("SOPORTE",B1736)),
ISNUMBER(SEARCH("STAND",B1736)),
ISNUMBER(SEARCH("TRAVEL ADAPTER",B1736)),
ISNUMBER(SEARCH("RJ45",B1736)),
ISNUMBER(SEARCH("USB-C",B1736)),
ISNUMBER(SEARCH("USB WIFI",B1736)),
ISNUMBER(SEARCH("POWERBANK",B1736)),
ISNUMBER(SEARCH("CARGADOR",B1736)),
ISNUMBER(SEARCH("COOLER PARA NB",B1736)),
ISNUMBER(SEARCH("SOPORTE PARA NB",B1736)),
ISNUMBER(SEARCH("WEBCAM",B1736)),
ISNUMBER(SEARCH("WEB CAM",B1736)),
ISNUMBER(SEARCH("MOUSE",B1736)),
ISNUMBER(SEARCH("TECLADO",B1736))
),
"COMPLEMENTO",
IF(
OR(
LEFT(A1736,2)="NB",
LEFT(A1736,2)="PC",
LEFT(A1736,2)="WS",
LEFT(A1736,2)="TB",
LEFT(A1736,3)="CEL",
LEFT(A1736,3)="MON",
LEFT(A1736,3)="PRE",
LEFT(A1736,3)="PRH",
ISNUMBER(SEARCH("NOTEBOOK",B1736)),
ISNUMBER(SEARCH("LAPTOP",B1736)),
ISNUMBER(SEARCH("MONITOR",B1736)),
ISNUMBER(SEARCH("TABLET",B1736)),
ISNUMBER(SEARCH("SMARTPH",B1736)),
ISNUMBER(SEARCH("IMPRESORA",B1736)),
ISNUMBER(SEARCH("MULTIFUNCIONAL",B1736)),
ISNUMBER(SEARCH("AIO",B1736))
),
"GANCHO",
"NORMAL"
)
)</f>
        <v>NORMAL</v>
      </c>
    </row>
    <row r="1735" spans="1:12" x14ac:dyDescent="0.25">
      <c r="A1735" s="3" t="s">
        <v>6171</v>
      </c>
      <c r="B1735" s="3" t="s">
        <v>6172</v>
      </c>
      <c r="C1735" s="1">
        <v>13</v>
      </c>
      <c r="D1735" s="1">
        <v>164</v>
      </c>
      <c r="E1735" s="1" t="s">
        <v>224</v>
      </c>
      <c r="F1735" s="1" t="s">
        <v>6173</v>
      </c>
      <c r="G1735" s="3" t="s">
        <v>6174</v>
      </c>
      <c r="H1735" s="11">
        <f>ROUND(
IF(L1733="GANCHO",
   IF(I1735&lt;=50,I1735*1.1+4,IF(I1735&lt;=120,I1735*1.1+7,IF(I1735&lt;=250,I1735*1.1+11,I1735*1.1+19))),
IF(L1733="NORMAL",
   IF(I1735&lt;=30,I1735*1.15+2,IF(I1735&lt;=80,I1735*1.15+4,IF(I1735&lt;=150,I1735*1.15+6,I1735*1.15+8))),
IF(L1733="COMPLEMENTO",
   IF(I1735&lt;=25,I1735*1.25+1.5,IF(I1735&lt;=60,I1735*1.25+3,IF(I1735&lt;=120,I1735*1.25+4,I1735*1.25+5))),
""))),2)</f>
        <v>782.47</v>
      </c>
      <c r="I1735" s="9">
        <f>($K$2+0.02)*Tabla1[[#This Row],[PRECIO $]]*1.18</f>
        <v>673.44960000000003</v>
      </c>
      <c r="J1735" s="7">
        <f>+Tabla1[[#This Row],[PRECIO EN SOLES]]-Tabla1[[#This Row],[PC]]</f>
        <v>109.0204</v>
      </c>
      <c r="K1735" s="15"/>
      <c r="L1735" s="15" t="str">
        <f>IF(
OR(
ISNUMBER(SEARCH("BACKPACK",B1737)),
ISNUMBER(SEARCH("MOCHILA",B1737)),
ISNUMBER(SEARCH("FUNDA",B1737)),
ISNUMBER(SEARCH("ESTUCHE",B1737)),
ISNUMBER(SEARCH("BOOK COVER",B1737)),
ISNUMBER(SEARCH("KEYBOARD PARA TABLET",B1737)),
ISNUMBER(SEARCH("FLIP TABLET",B1737)),
ISNUMBER(SEARCH("CASE FOR TABLET",B1737)),
ISNUMBER(SEARCH("CABLE",B1737)),
ISNUMBER(SEARCH("ADAPTADOR",B1737)),
ISNUMBER(SEARCH("HUB",B1737)),
ISNUMBER(SEARCH("DOCK",B1737)),
ISNUMBER(SEARCH("MOUSE PAD",B1737)),
ISNUMBER(SEARCH("MOUSEPAD",B1737)),
ISNUMBER(SEARCH("SOPORTE",B1737)),
ISNUMBER(SEARCH("STAND",B1737)),
ISNUMBER(SEARCH("TRAVEL ADAPTER",B1737)),
ISNUMBER(SEARCH("RJ45",B1737)),
ISNUMBER(SEARCH("USB-C",B1737)),
ISNUMBER(SEARCH("USB WIFI",B1737)),
ISNUMBER(SEARCH("POWERBANK",B1737)),
ISNUMBER(SEARCH("CARGADOR",B1737)),
ISNUMBER(SEARCH("COOLER PARA NB",B1737)),
ISNUMBER(SEARCH("SOPORTE PARA NB",B1737)),
ISNUMBER(SEARCH("WEBCAM",B1737)),
ISNUMBER(SEARCH("WEB CAM",B1737)),
ISNUMBER(SEARCH("MOUSE",B1737)),
ISNUMBER(SEARCH("TECLADO",B1737))
),
"COMPLEMENTO",
IF(
OR(
LEFT(A1737,2)="NB",
LEFT(A1737,2)="PC",
LEFT(A1737,2)="WS",
LEFT(A1737,2)="TB",
LEFT(A1737,3)="CEL",
LEFT(A1737,3)="MON",
LEFT(A1737,3)="PRE",
LEFT(A1737,3)="PRH",
ISNUMBER(SEARCH("NOTEBOOK",B1737)),
ISNUMBER(SEARCH("LAPTOP",B1737)),
ISNUMBER(SEARCH("MONITOR",B1737)),
ISNUMBER(SEARCH("TABLET",B1737)),
ISNUMBER(SEARCH("SMARTPH",B1737)),
ISNUMBER(SEARCH("IMPRESORA",B1737)),
ISNUMBER(SEARCH("MULTIFUNCIONAL",B1737)),
ISNUMBER(SEARCH("AIO",B1737))
),
"GANCHO",
"NORMAL"
)
)</f>
        <v>NORMAL</v>
      </c>
    </row>
    <row r="1736" spans="1:12" x14ac:dyDescent="0.25">
      <c r="A1736" s="3" t="s">
        <v>3018</v>
      </c>
      <c r="B1736" s="3" t="s">
        <v>3019</v>
      </c>
      <c r="C1736" s="1">
        <v>15</v>
      </c>
      <c r="D1736" s="1">
        <v>136</v>
      </c>
      <c r="E1736" s="1" t="s">
        <v>224</v>
      </c>
      <c r="F1736" s="1" t="s">
        <v>4131</v>
      </c>
      <c r="G1736" s="3" t="s">
        <v>3020</v>
      </c>
      <c r="H1736" s="11">
        <f>ROUND(
IF(L1734="GANCHO",
   IF(I1736&lt;=50,I1736*1.1+4,IF(I1736&lt;=120,I1736*1.1+7,IF(I1736&lt;=250,I1736*1.1+11,I1736*1.1+19))),
IF(L1734="NORMAL",
   IF(I1736&lt;=30,I1736*1.15+2,IF(I1736&lt;=80,I1736*1.15+4,IF(I1736&lt;=150,I1736*1.15+6,I1736*1.15+8))),
IF(L1734="COMPLEMENTO",
   IF(I1736&lt;=25,I1736*1.25+1.5,IF(I1736&lt;=60,I1736*1.25+3,IF(I1736&lt;=120,I1736*1.25+4,I1736*1.25+5))),
""))),2)</f>
        <v>650.24</v>
      </c>
      <c r="I1736" s="9">
        <f>($K$2+0.02)*Tabla1[[#This Row],[PRECIO $]]*1.18</f>
        <v>558.47039999999993</v>
      </c>
      <c r="J1736" s="7">
        <f>+Tabla1[[#This Row],[PRECIO EN SOLES]]-Tabla1[[#This Row],[PC]]</f>
        <v>91.769600000000082</v>
      </c>
      <c r="K1736" s="15"/>
      <c r="L1736" s="15" t="str">
        <f>IF(
OR(
ISNUMBER(SEARCH("BACKPACK",B1738)),
ISNUMBER(SEARCH("MOCHILA",B1738)),
ISNUMBER(SEARCH("FUNDA",B1738)),
ISNUMBER(SEARCH("ESTUCHE",B1738)),
ISNUMBER(SEARCH("BOOK COVER",B1738)),
ISNUMBER(SEARCH("KEYBOARD PARA TABLET",B1738)),
ISNUMBER(SEARCH("FLIP TABLET",B1738)),
ISNUMBER(SEARCH("CASE FOR TABLET",B1738)),
ISNUMBER(SEARCH("CABLE",B1738)),
ISNUMBER(SEARCH("ADAPTADOR",B1738)),
ISNUMBER(SEARCH("HUB",B1738)),
ISNUMBER(SEARCH("DOCK",B1738)),
ISNUMBER(SEARCH("MOUSE PAD",B1738)),
ISNUMBER(SEARCH("MOUSEPAD",B1738)),
ISNUMBER(SEARCH("SOPORTE",B1738)),
ISNUMBER(SEARCH("STAND",B1738)),
ISNUMBER(SEARCH("TRAVEL ADAPTER",B1738)),
ISNUMBER(SEARCH("RJ45",B1738)),
ISNUMBER(SEARCH("USB-C",B1738)),
ISNUMBER(SEARCH("USB WIFI",B1738)),
ISNUMBER(SEARCH("POWERBANK",B1738)),
ISNUMBER(SEARCH("CARGADOR",B1738)),
ISNUMBER(SEARCH("COOLER PARA NB",B1738)),
ISNUMBER(SEARCH("SOPORTE PARA NB",B1738)),
ISNUMBER(SEARCH("WEBCAM",B1738)),
ISNUMBER(SEARCH("WEB CAM",B1738)),
ISNUMBER(SEARCH("MOUSE",B1738)),
ISNUMBER(SEARCH("TECLADO",B1738))
),
"COMPLEMENTO",
IF(
OR(
LEFT(A1738,2)="NB",
LEFT(A1738,2)="PC",
LEFT(A1738,2)="WS",
LEFT(A1738,2)="TB",
LEFT(A1738,3)="CEL",
LEFT(A1738,3)="MON",
LEFT(A1738,3)="PRE",
LEFT(A1738,3)="PRH",
ISNUMBER(SEARCH("NOTEBOOK",B1738)),
ISNUMBER(SEARCH("LAPTOP",B1738)),
ISNUMBER(SEARCH("MONITOR",B1738)),
ISNUMBER(SEARCH("TABLET",B1738)),
ISNUMBER(SEARCH("SMARTPH",B1738)),
ISNUMBER(SEARCH("IMPRESORA",B1738)),
ISNUMBER(SEARCH("MULTIFUNCIONAL",B1738)),
ISNUMBER(SEARCH("AIO",B1738))
),
"GANCHO",
"NORMAL"
)
)</f>
        <v>NORMAL</v>
      </c>
    </row>
    <row r="1737" spans="1:12" x14ac:dyDescent="0.25">
      <c r="A1737" s="3" t="s">
        <v>3021</v>
      </c>
      <c r="B1737" s="3" t="s">
        <v>3022</v>
      </c>
      <c r="C1737" s="1">
        <v>13</v>
      </c>
      <c r="D1737" s="1">
        <v>55</v>
      </c>
      <c r="E1737" s="1" t="s">
        <v>224</v>
      </c>
      <c r="F1737" s="1" t="s">
        <v>4132</v>
      </c>
      <c r="G1737" s="3" t="s">
        <v>3023</v>
      </c>
      <c r="H1737" s="11">
        <f>ROUND(
IF(L1735="GANCHO",
   IF(I1737&lt;=50,I1737*1.1+4,IF(I1737&lt;=120,I1737*1.1+7,IF(I1737&lt;=250,I1737*1.1+11,I1737*1.1+19))),
IF(L1735="NORMAL",
   IF(I1737&lt;=30,I1737*1.15+2,IF(I1737&lt;=80,I1737*1.15+4,IF(I1737&lt;=150,I1737*1.15+6,I1737*1.15+8))),
IF(L1735="COMPLEMENTO",
   IF(I1737&lt;=25,I1737*1.25+1.5,IF(I1737&lt;=60,I1737*1.25+3,IF(I1737&lt;=120,I1737*1.25+4,I1737*1.25+5))),
""))),2)</f>
        <v>267.73</v>
      </c>
      <c r="I1737" s="9">
        <f>($K$2+0.02)*Tabla1[[#This Row],[PRECIO $]]*1.18</f>
        <v>225.852</v>
      </c>
      <c r="J1737" s="7">
        <f>+Tabla1[[#This Row],[PRECIO EN SOLES]]-Tabla1[[#This Row],[PC]]</f>
        <v>41.878000000000014</v>
      </c>
      <c r="K1737" s="15"/>
      <c r="L1737" s="15" t="str">
        <f>IF(
OR(
ISNUMBER(SEARCH("BACKPACK",B1739)),
ISNUMBER(SEARCH("MOCHILA",B1739)),
ISNUMBER(SEARCH("FUNDA",B1739)),
ISNUMBER(SEARCH("ESTUCHE",B1739)),
ISNUMBER(SEARCH("BOOK COVER",B1739)),
ISNUMBER(SEARCH("KEYBOARD PARA TABLET",B1739)),
ISNUMBER(SEARCH("FLIP TABLET",B1739)),
ISNUMBER(SEARCH("CASE FOR TABLET",B1739)),
ISNUMBER(SEARCH("CABLE",B1739)),
ISNUMBER(SEARCH("ADAPTADOR",B1739)),
ISNUMBER(SEARCH("HUB",B1739)),
ISNUMBER(SEARCH("DOCK",B1739)),
ISNUMBER(SEARCH("MOUSE PAD",B1739)),
ISNUMBER(SEARCH("MOUSEPAD",B1739)),
ISNUMBER(SEARCH("SOPORTE",B1739)),
ISNUMBER(SEARCH("STAND",B1739)),
ISNUMBER(SEARCH("TRAVEL ADAPTER",B1739)),
ISNUMBER(SEARCH("RJ45",B1739)),
ISNUMBER(SEARCH("USB-C",B1739)),
ISNUMBER(SEARCH("USB WIFI",B1739)),
ISNUMBER(SEARCH("POWERBANK",B1739)),
ISNUMBER(SEARCH("CARGADOR",B1739)),
ISNUMBER(SEARCH("COOLER PARA NB",B1739)),
ISNUMBER(SEARCH("SOPORTE PARA NB",B1739)),
ISNUMBER(SEARCH("WEBCAM",B1739)),
ISNUMBER(SEARCH("WEB CAM",B1739)),
ISNUMBER(SEARCH("MOUSE",B1739)),
ISNUMBER(SEARCH("TECLADO",B1739))
),
"COMPLEMENTO",
IF(
OR(
LEFT(A1739,2)="NB",
LEFT(A1739,2)="PC",
LEFT(A1739,2)="WS",
LEFT(A1739,2)="TB",
LEFT(A1739,3)="CEL",
LEFT(A1739,3)="MON",
LEFT(A1739,3)="PRE",
LEFT(A1739,3)="PRH",
ISNUMBER(SEARCH("NOTEBOOK",B1739)),
ISNUMBER(SEARCH("LAPTOP",B1739)),
ISNUMBER(SEARCH("MONITOR",B1739)),
ISNUMBER(SEARCH("TABLET",B1739)),
ISNUMBER(SEARCH("SMARTPH",B1739)),
ISNUMBER(SEARCH("IMPRESORA",B1739)),
ISNUMBER(SEARCH("MULTIFUNCIONAL",B1739)),
ISNUMBER(SEARCH("AIO",B1739))
),
"GANCHO",
"NORMAL"
)
)</f>
        <v>NORMAL</v>
      </c>
    </row>
    <row r="1738" spans="1:12" x14ac:dyDescent="0.25">
      <c r="A1738" s="3" t="s">
        <v>597</v>
      </c>
      <c r="B1738" s="3" t="s">
        <v>598</v>
      </c>
      <c r="C1738" s="1">
        <v>0</v>
      </c>
      <c r="D1738" s="1">
        <v>33</v>
      </c>
      <c r="E1738" s="1" t="s">
        <v>224</v>
      </c>
      <c r="F1738" s="1" t="s">
        <v>4133</v>
      </c>
      <c r="G1738" s="3" t="s">
        <v>599</v>
      </c>
      <c r="H1738" s="11">
        <f>ROUND(
IF(L1736="GANCHO",
   IF(I1738&lt;=50,I1738*1.1+4,IF(I1738&lt;=120,I1738*1.1+7,IF(I1738&lt;=250,I1738*1.1+11,I1738*1.1+19))),
IF(L1736="NORMAL",
   IF(I1738&lt;=30,I1738*1.15+2,IF(I1738&lt;=80,I1738*1.15+4,IF(I1738&lt;=150,I1738*1.15+6,I1738*1.15+8))),
IF(L1736="COMPLEMENTO",
   IF(I1738&lt;=25,I1738*1.25+1.5,IF(I1738&lt;=60,I1738*1.25+3,IF(I1738&lt;=120,I1738*1.25+4,I1738*1.25+5))),
""))),2)</f>
        <v>161.84</v>
      </c>
      <c r="I1738" s="9">
        <f>($K$2+0.02)*Tabla1[[#This Row],[PRECIO $]]*1.18</f>
        <v>135.5112</v>
      </c>
      <c r="J1738" s="7">
        <f>+Tabla1[[#This Row],[PRECIO EN SOLES]]-Tabla1[[#This Row],[PC]]</f>
        <v>26.328800000000001</v>
      </c>
      <c r="K1738" s="15"/>
      <c r="L1738" s="15" t="str">
        <f>IF(
OR(
ISNUMBER(SEARCH("BACKPACK",B1740)),
ISNUMBER(SEARCH("MOCHILA",B1740)),
ISNUMBER(SEARCH("FUNDA",B1740)),
ISNUMBER(SEARCH("ESTUCHE",B1740)),
ISNUMBER(SEARCH("BOOK COVER",B1740)),
ISNUMBER(SEARCH("KEYBOARD PARA TABLET",B1740)),
ISNUMBER(SEARCH("FLIP TABLET",B1740)),
ISNUMBER(SEARCH("CASE FOR TABLET",B1740)),
ISNUMBER(SEARCH("CABLE",B1740)),
ISNUMBER(SEARCH("ADAPTADOR",B1740)),
ISNUMBER(SEARCH("HUB",B1740)),
ISNUMBER(SEARCH("DOCK",B1740)),
ISNUMBER(SEARCH("MOUSE PAD",B1740)),
ISNUMBER(SEARCH("MOUSEPAD",B1740)),
ISNUMBER(SEARCH("SOPORTE",B1740)),
ISNUMBER(SEARCH("STAND",B1740)),
ISNUMBER(SEARCH("TRAVEL ADAPTER",B1740)),
ISNUMBER(SEARCH("RJ45",B1740)),
ISNUMBER(SEARCH("USB-C",B1740)),
ISNUMBER(SEARCH("USB WIFI",B1740)),
ISNUMBER(SEARCH("POWERBANK",B1740)),
ISNUMBER(SEARCH("CARGADOR",B1740)),
ISNUMBER(SEARCH("COOLER PARA NB",B1740)),
ISNUMBER(SEARCH("SOPORTE PARA NB",B1740)),
ISNUMBER(SEARCH("WEBCAM",B1740)),
ISNUMBER(SEARCH("WEB CAM",B1740)),
ISNUMBER(SEARCH("MOUSE",B1740)),
ISNUMBER(SEARCH("TECLADO",B1740))
),
"COMPLEMENTO",
IF(
OR(
LEFT(A1740,2)="NB",
LEFT(A1740,2)="PC",
LEFT(A1740,2)="WS",
LEFT(A1740,2)="TB",
LEFT(A1740,3)="CEL",
LEFT(A1740,3)="MON",
LEFT(A1740,3)="PRE",
LEFT(A1740,3)="PRH",
ISNUMBER(SEARCH("NOTEBOOK",B1740)),
ISNUMBER(SEARCH("LAPTOP",B1740)),
ISNUMBER(SEARCH("MONITOR",B1740)),
ISNUMBER(SEARCH("TABLET",B1740)),
ISNUMBER(SEARCH("SMARTPH",B1740)),
ISNUMBER(SEARCH("IMPRESORA",B1740)),
ISNUMBER(SEARCH("MULTIFUNCIONAL",B1740)),
ISNUMBER(SEARCH("AIO",B1740))
),
"GANCHO",
"NORMAL"
)
)</f>
        <v>NORMAL</v>
      </c>
    </row>
    <row r="1739" spans="1:12" x14ac:dyDescent="0.25">
      <c r="A1739" s="3" t="s">
        <v>6962</v>
      </c>
      <c r="B1739" s="3" t="s">
        <v>6963</v>
      </c>
      <c r="C1739" s="1">
        <v>5</v>
      </c>
      <c r="D1739" s="1">
        <v>44</v>
      </c>
      <c r="E1739" s="1" t="s">
        <v>224</v>
      </c>
      <c r="F1739" s="1" t="s">
        <v>6964</v>
      </c>
      <c r="G1739" s="3" t="s">
        <v>6965</v>
      </c>
      <c r="H1739" s="11">
        <f>ROUND(
IF(L1737="GANCHO",
   IF(I1739&lt;=50,I1739*1.1+4,IF(I1739&lt;=120,I1739*1.1+7,IF(I1739&lt;=250,I1739*1.1+11,I1739*1.1+19))),
IF(L1737="NORMAL",
   IF(I1739&lt;=30,I1739*1.15+2,IF(I1739&lt;=80,I1739*1.15+4,IF(I1739&lt;=150,I1739*1.15+6,I1739*1.15+8))),
IF(L1737="COMPLEMENTO",
   IF(I1739&lt;=25,I1739*1.25+1.5,IF(I1739&lt;=60,I1739*1.25+3,IF(I1739&lt;=120,I1739*1.25+4,I1739*1.25+5))),
""))),2)</f>
        <v>215.78</v>
      </c>
      <c r="I1739" s="9">
        <f>($K$2+0.02)*Tabla1[[#This Row],[PRECIO $]]*1.18</f>
        <v>180.6816</v>
      </c>
      <c r="J1739" s="7">
        <f>+Tabla1[[#This Row],[PRECIO EN SOLES]]-Tabla1[[#This Row],[PC]]</f>
        <v>35.098399999999998</v>
      </c>
      <c r="K1739" s="15"/>
      <c r="L1739" s="15" t="str">
        <f>IF(
OR(
ISNUMBER(SEARCH("BACKPACK",B1741)),
ISNUMBER(SEARCH("MOCHILA",B1741)),
ISNUMBER(SEARCH("FUNDA",B1741)),
ISNUMBER(SEARCH("ESTUCHE",B1741)),
ISNUMBER(SEARCH("BOOK COVER",B1741)),
ISNUMBER(SEARCH("KEYBOARD PARA TABLET",B1741)),
ISNUMBER(SEARCH("FLIP TABLET",B1741)),
ISNUMBER(SEARCH("CASE FOR TABLET",B1741)),
ISNUMBER(SEARCH("CABLE",B1741)),
ISNUMBER(SEARCH("ADAPTADOR",B1741)),
ISNUMBER(SEARCH("HUB",B1741)),
ISNUMBER(SEARCH("DOCK",B1741)),
ISNUMBER(SEARCH("MOUSE PAD",B1741)),
ISNUMBER(SEARCH("MOUSEPAD",B1741)),
ISNUMBER(SEARCH("SOPORTE",B1741)),
ISNUMBER(SEARCH("STAND",B1741)),
ISNUMBER(SEARCH("TRAVEL ADAPTER",B1741)),
ISNUMBER(SEARCH("RJ45",B1741)),
ISNUMBER(SEARCH("USB-C",B1741)),
ISNUMBER(SEARCH("USB WIFI",B1741)),
ISNUMBER(SEARCH("POWERBANK",B1741)),
ISNUMBER(SEARCH("CARGADOR",B1741)),
ISNUMBER(SEARCH("COOLER PARA NB",B1741)),
ISNUMBER(SEARCH("SOPORTE PARA NB",B1741)),
ISNUMBER(SEARCH("WEBCAM",B1741)),
ISNUMBER(SEARCH("WEB CAM",B1741)),
ISNUMBER(SEARCH("MOUSE",B1741)),
ISNUMBER(SEARCH("TECLADO",B1741))
),
"COMPLEMENTO",
IF(
OR(
LEFT(A1741,2)="NB",
LEFT(A1741,2)="PC",
LEFT(A1741,2)="WS",
LEFT(A1741,2)="TB",
LEFT(A1741,3)="CEL",
LEFT(A1741,3)="MON",
LEFT(A1741,3)="PRE",
LEFT(A1741,3)="PRH",
ISNUMBER(SEARCH("NOTEBOOK",B1741)),
ISNUMBER(SEARCH("LAPTOP",B1741)),
ISNUMBER(SEARCH("MONITOR",B1741)),
ISNUMBER(SEARCH("TABLET",B1741)),
ISNUMBER(SEARCH("SMARTPH",B1741)),
ISNUMBER(SEARCH("IMPRESORA",B1741)),
ISNUMBER(SEARCH("MULTIFUNCIONAL",B1741)),
ISNUMBER(SEARCH("AIO",B1741))
),
"GANCHO",
"NORMAL"
)
)</f>
        <v>NORMAL</v>
      </c>
    </row>
    <row r="1740" spans="1:12" x14ac:dyDescent="0.25">
      <c r="A1740" s="3" t="s">
        <v>3024</v>
      </c>
      <c r="B1740" s="3" t="s">
        <v>3025</v>
      </c>
      <c r="C1740" s="1">
        <v>4</v>
      </c>
      <c r="D1740" s="1">
        <v>107</v>
      </c>
      <c r="E1740" s="1" t="s">
        <v>224</v>
      </c>
      <c r="F1740" s="1" t="s">
        <v>4134</v>
      </c>
      <c r="G1740" s="3" t="s">
        <v>3026</v>
      </c>
      <c r="H1740" s="11">
        <f>ROUND(
IF(L1738="GANCHO",
   IF(I1740&lt;=50,I1740*1.1+4,IF(I1740&lt;=120,I1740*1.1+7,IF(I1740&lt;=250,I1740*1.1+11,I1740*1.1+19))),
IF(L1738="NORMAL",
   IF(I1740&lt;=30,I1740*1.15+2,IF(I1740&lt;=80,I1740*1.15+4,IF(I1740&lt;=150,I1740*1.15+6,I1740*1.15+8))),
IF(L1738="COMPLEMENTO",
   IF(I1740&lt;=25,I1740*1.25+1.5,IF(I1740&lt;=60,I1740*1.25+3,IF(I1740&lt;=120,I1740*1.25+4,I1740*1.25+5))),
""))),2)</f>
        <v>513.29</v>
      </c>
      <c r="I1740" s="9">
        <f>($K$2+0.02)*Tabla1[[#This Row],[PRECIO $]]*1.18</f>
        <v>439.38479999999998</v>
      </c>
      <c r="J1740" s="7">
        <f>+Tabla1[[#This Row],[PRECIO EN SOLES]]-Tabla1[[#This Row],[PC]]</f>
        <v>73.905199999999979</v>
      </c>
      <c r="K1740" s="15"/>
      <c r="L1740" s="15" t="str">
        <f>IF(
OR(
ISNUMBER(SEARCH("BACKPACK",B1742)),
ISNUMBER(SEARCH("MOCHILA",B1742)),
ISNUMBER(SEARCH("FUNDA",B1742)),
ISNUMBER(SEARCH("ESTUCHE",B1742)),
ISNUMBER(SEARCH("BOOK COVER",B1742)),
ISNUMBER(SEARCH("KEYBOARD PARA TABLET",B1742)),
ISNUMBER(SEARCH("FLIP TABLET",B1742)),
ISNUMBER(SEARCH("CASE FOR TABLET",B1742)),
ISNUMBER(SEARCH("CABLE",B1742)),
ISNUMBER(SEARCH("ADAPTADOR",B1742)),
ISNUMBER(SEARCH("HUB",B1742)),
ISNUMBER(SEARCH("DOCK",B1742)),
ISNUMBER(SEARCH("MOUSE PAD",B1742)),
ISNUMBER(SEARCH("MOUSEPAD",B1742)),
ISNUMBER(SEARCH("SOPORTE",B1742)),
ISNUMBER(SEARCH("STAND",B1742)),
ISNUMBER(SEARCH("TRAVEL ADAPTER",B1742)),
ISNUMBER(SEARCH("RJ45",B1742)),
ISNUMBER(SEARCH("USB-C",B1742)),
ISNUMBER(SEARCH("USB WIFI",B1742)),
ISNUMBER(SEARCH("POWERBANK",B1742)),
ISNUMBER(SEARCH("CARGADOR",B1742)),
ISNUMBER(SEARCH("COOLER PARA NB",B1742)),
ISNUMBER(SEARCH("SOPORTE PARA NB",B1742)),
ISNUMBER(SEARCH("WEBCAM",B1742)),
ISNUMBER(SEARCH("WEB CAM",B1742)),
ISNUMBER(SEARCH("MOUSE",B1742)),
ISNUMBER(SEARCH("TECLADO",B1742))
),
"COMPLEMENTO",
IF(
OR(
LEFT(A1742,2)="NB",
LEFT(A1742,2)="PC",
LEFT(A1742,2)="WS",
LEFT(A1742,2)="TB",
LEFT(A1742,3)="CEL",
LEFT(A1742,3)="MON",
LEFT(A1742,3)="PRE",
LEFT(A1742,3)="PRH",
ISNUMBER(SEARCH("NOTEBOOK",B1742)),
ISNUMBER(SEARCH("LAPTOP",B1742)),
ISNUMBER(SEARCH("MONITOR",B1742)),
ISNUMBER(SEARCH("TABLET",B1742)),
ISNUMBER(SEARCH("SMARTPH",B1742)),
ISNUMBER(SEARCH("IMPRESORA",B1742)),
ISNUMBER(SEARCH("MULTIFUNCIONAL",B1742)),
ISNUMBER(SEARCH("AIO",B1742))
),
"GANCHO",
"NORMAL"
)
)</f>
        <v>NORMAL</v>
      </c>
    </row>
    <row r="1741" spans="1:12" x14ac:dyDescent="0.25">
      <c r="A1741" s="3" t="s">
        <v>2645</v>
      </c>
      <c r="B1741" s="3" t="s">
        <v>2646</v>
      </c>
      <c r="C1741" s="1">
        <v>20</v>
      </c>
      <c r="D1741" s="1">
        <v>100.6</v>
      </c>
      <c r="E1741" s="1" t="s">
        <v>220</v>
      </c>
      <c r="F1741" s="1" t="s">
        <v>4135</v>
      </c>
      <c r="G1741" s="3" t="s">
        <v>2647</v>
      </c>
      <c r="H1741" s="11">
        <f>ROUND(
IF(L1739="GANCHO",
   IF(I1741&lt;=50,I1741*1.1+4,IF(I1741&lt;=120,I1741*1.1+7,IF(I1741&lt;=250,I1741*1.1+11,I1741*1.1+19))),
IF(L1739="NORMAL",
   IF(I1741&lt;=30,I1741*1.15+2,IF(I1741&lt;=80,I1741*1.15+4,IF(I1741&lt;=150,I1741*1.15+6,I1741*1.15+8))),
IF(L1739="COMPLEMENTO",
   IF(I1741&lt;=25,I1741*1.25+1.5,IF(I1741&lt;=60,I1741*1.25+3,IF(I1741&lt;=120,I1741*1.25+4,I1741*1.25+5))),
""))),2)</f>
        <v>483.07</v>
      </c>
      <c r="I1741" s="9">
        <f>($K$2+0.02)*Tabla1[[#This Row],[PRECIO $]]*1.18</f>
        <v>413.10383999999993</v>
      </c>
      <c r="J1741" s="7">
        <f>+Tabla1[[#This Row],[PRECIO EN SOLES]]-Tabla1[[#This Row],[PC]]</f>
        <v>69.966160000000059</v>
      </c>
      <c r="K1741" s="15"/>
      <c r="L1741" s="15" t="str">
        <f>IF(
OR(
ISNUMBER(SEARCH("BACKPACK",B1743)),
ISNUMBER(SEARCH("MOCHILA",B1743)),
ISNUMBER(SEARCH("FUNDA",B1743)),
ISNUMBER(SEARCH("ESTUCHE",B1743)),
ISNUMBER(SEARCH("BOOK COVER",B1743)),
ISNUMBER(SEARCH("KEYBOARD PARA TABLET",B1743)),
ISNUMBER(SEARCH("FLIP TABLET",B1743)),
ISNUMBER(SEARCH("CASE FOR TABLET",B1743)),
ISNUMBER(SEARCH("CABLE",B1743)),
ISNUMBER(SEARCH("ADAPTADOR",B1743)),
ISNUMBER(SEARCH("HUB",B1743)),
ISNUMBER(SEARCH("DOCK",B1743)),
ISNUMBER(SEARCH("MOUSE PAD",B1743)),
ISNUMBER(SEARCH("MOUSEPAD",B1743)),
ISNUMBER(SEARCH("SOPORTE",B1743)),
ISNUMBER(SEARCH("STAND",B1743)),
ISNUMBER(SEARCH("TRAVEL ADAPTER",B1743)),
ISNUMBER(SEARCH("RJ45",B1743)),
ISNUMBER(SEARCH("USB-C",B1743)),
ISNUMBER(SEARCH("USB WIFI",B1743)),
ISNUMBER(SEARCH("POWERBANK",B1743)),
ISNUMBER(SEARCH("CARGADOR",B1743)),
ISNUMBER(SEARCH("COOLER PARA NB",B1743)),
ISNUMBER(SEARCH("SOPORTE PARA NB",B1743)),
ISNUMBER(SEARCH("WEBCAM",B1743)),
ISNUMBER(SEARCH("WEB CAM",B1743)),
ISNUMBER(SEARCH("MOUSE",B1743)),
ISNUMBER(SEARCH("TECLADO",B1743))
),
"COMPLEMENTO",
IF(
OR(
LEFT(A1743,2)="NB",
LEFT(A1743,2)="PC",
LEFT(A1743,2)="WS",
LEFT(A1743,2)="TB",
LEFT(A1743,3)="CEL",
LEFT(A1743,3)="MON",
LEFT(A1743,3)="PRE",
LEFT(A1743,3)="PRH",
ISNUMBER(SEARCH("NOTEBOOK",B1743)),
ISNUMBER(SEARCH("LAPTOP",B1743)),
ISNUMBER(SEARCH("MONITOR",B1743)),
ISNUMBER(SEARCH("TABLET",B1743)),
ISNUMBER(SEARCH("SMARTPH",B1743)),
ISNUMBER(SEARCH("IMPRESORA",B1743)),
ISNUMBER(SEARCH("MULTIFUNCIONAL",B1743)),
ISNUMBER(SEARCH("AIO",B1743))
),
"GANCHO",
"NORMAL"
)
)</f>
        <v>NORMAL</v>
      </c>
    </row>
    <row r="1742" spans="1:12" x14ac:dyDescent="0.25">
      <c r="A1742" s="3" t="s">
        <v>2759</v>
      </c>
      <c r="B1742" s="3" t="s">
        <v>2760</v>
      </c>
      <c r="C1742" s="1">
        <v>20</v>
      </c>
      <c r="D1742" s="1">
        <v>65.599999999999994</v>
      </c>
      <c r="E1742" s="1" t="s">
        <v>220</v>
      </c>
      <c r="F1742" s="1" t="s">
        <v>4136</v>
      </c>
      <c r="G1742" s="3" t="s">
        <v>2769</v>
      </c>
      <c r="H1742" s="11">
        <f>ROUND(
IF(L1740="GANCHO",
   IF(I1742&lt;=50,I1742*1.1+4,IF(I1742&lt;=120,I1742*1.1+7,IF(I1742&lt;=250,I1742*1.1+11,I1742*1.1+19))),
IF(L1740="NORMAL",
   IF(I1742&lt;=30,I1742*1.15+2,IF(I1742&lt;=80,I1742*1.15+4,IF(I1742&lt;=150,I1742*1.15+6,I1742*1.15+8))),
IF(L1740="COMPLEMENTO",
   IF(I1742&lt;=25,I1742*1.25+1.5,IF(I1742&lt;=60,I1742*1.25+3,IF(I1742&lt;=120,I1742*1.25+4,I1742*1.25+5))),
""))),2)</f>
        <v>317.79000000000002</v>
      </c>
      <c r="I1742" s="9">
        <f>($K$2+0.02)*Tabla1[[#This Row],[PRECIO $]]*1.18</f>
        <v>269.37983999999994</v>
      </c>
      <c r="J1742" s="7">
        <f>+Tabla1[[#This Row],[PRECIO EN SOLES]]-Tabla1[[#This Row],[PC]]</f>
        <v>48.410160000000076</v>
      </c>
      <c r="K1742" s="15"/>
      <c r="L1742" s="15" t="str">
        <f>IF(
OR(
ISNUMBER(SEARCH("BACKPACK",B1744)),
ISNUMBER(SEARCH("MOCHILA",B1744)),
ISNUMBER(SEARCH("FUNDA",B1744)),
ISNUMBER(SEARCH("ESTUCHE",B1744)),
ISNUMBER(SEARCH("BOOK COVER",B1744)),
ISNUMBER(SEARCH("KEYBOARD PARA TABLET",B1744)),
ISNUMBER(SEARCH("FLIP TABLET",B1744)),
ISNUMBER(SEARCH("CASE FOR TABLET",B1744)),
ISNUMBER(SEARCH("CABLE",B1744)),
ISNUMBER(SEARCH("ADAPTADOR",B1744)),
ISNUMBER(SEARCH("HUB",B1744)),
ISNUMBER(SEARCH("DOCK",B1744)),
ISNUMBER(SEARCH("MOUSE PAD",B1744)),
ISNUMBER(SEARCH("MOUSEPAD",B1744)),
ISNUMBER(SEARCH("SOPORTE",B1744)),
ISNUMBER(SEARCH("STAND",B1744)),
ISNUMBER(SEARCH("TRAVEL ADAPTER",B1744)),
ISNUMBER(SEARCH("RJ45",B1744)),
ISNUMBER(SEARCH("USB-C",B1744)),
ISNUMBER(SEARCH("USB WIFI",B1744)),
ISNUMBER(SEARCH("POWERBANK",B1744)),
ISNUMBER(SEARCH("CARGADOR",B1744)),
ISNUMBER(SEARCH("COOLER PARA NB",B1744)),
ISNUMBER(SEARCH("SOPORTE PARA NB",B1744)),
ISNUMBER(SEARCH("WEBCAM",B1744)),
ISNUMBER(SEARCH("WEB CAM",B1744)),
ISNUMBER(SEARCH("MOUSE",B1744)),
ISNUMBER(SEARCH("TECLADO",B1744))
),
"COMPLEMENTO",
IF(
OR(
LEFT(A1744,2)="NB",
LEFT(A1744,2)="PC",
LEFT(A1744,2)="WS",
LEFT(A1744,2)="TB",
LEFT(A1744,3)="CEL",
LEFT(A1744,3)="MON",
LEFT(A1744,3)="PRE",
LEFT(A1744,3)="PRH",
ISNUMBER(SEARCH("NOTEBOOK",B1744)),
ISNUMBER(SEARCH("LAPTOP",B1744)),
ISNUMBER(SEARCH("MONITOR",B1744)),
ISNUMBER(SEARCH("TABLET",B1744)),
ISNUMBER(SEARCH("SMARTPH",B1744)),
ISNUMBER(SEARCH("IMPRESORA",B1744)),
ISNUMBER(SEARCH("MULTIFUNCIONAL",B1744)),
ISNUMBER(SEARCH("AIO",B1744))
),
"GANCHO",
"NORMAL"
)
)</f>
        <v>NORMAL</v>
      </c>
    </row>
    <row r="1743" spans="1:12" x14ac:dyDescent="0.25">
      <c r="A1743" s="3" t="s">
        <v>2913</v>
      </c>
      <c r="B1743" s="3" t="s">
        <v>2649</v>
      </c>
      <c r="C1743" s="1">
        <v>1</v>
      </c>
      <c r="D1743" s="1">
        <v>54.6</v>
      </c>
      <c r="E1743" s="1" t="s">
        <v>220</v>
      </c>
      <c r="F1743" s="1" t="s">
        <v>4137</v>
      </c>
      <c r="G1743" s="3" t="s">
        <v>2914</v>
      </c>
      <c r="H1743" s="11">
        <f>ROUND(
IF(L1741="GANCHO",
   IF(I1743&lt;=50,I1743*1.1+4,IF(I1743&lt;=120,I1743*1.1+7,IF(I1743&lt;=250,I1743*1.1+11,I1743*1.1+19))),
IF(L1741="NORMAL",
   IF(I1743&lt;=30,I1743*1.15+2,IF(I1743&lt;=80,I1743*1.15+4,IF(I1743&lt;=150,I1743*1.15+6,I1743*1.15+8))),
IF(L1741="COMPLEMENTO",
   IF(I1743&lt;=25,I1743*1.25+1.5,IF(I1743&lt;=60,I1743*1.25+3,IF(I1743&lt;=120,I1743*1.25+4,I1743*1.25+5))),
""))),2)</f>
        <v>265.83999999999997</v>
      </c>
      <c r="I1743" s="9">
        <f>($K$2+0.02)*Tabla1[[#This Row],[PRECIO $]]*1.18</f>
        <v>224.20944</v>
      </c>
      <c r="J1743" s="7">
        <f>+Tabla1[[#This Row],[PRECIO EN SOLES]]-Tabla1[[#This Row],[PC]]</f>
        <v>41.630559999999974</v>
      </c>
      <c r="K1743" s="15"/>
      <c r="L1743" s="15" t="str">
        <f>IF(
OR(
ISNUMBER(SEARCH("BACKPACK",B1745)),
ISNUMBER(SEARCH("MOCHILA",B1745)),
ISNUMBER(SEARCH("FUNDA",B1745)),
ISNUMBER(SEARCH("ESTUCHE",B1745)),
ISNUMBER(SEARCH("BOOK COVER",B1745)),
ISNUMBER(SEARCH("KEYBOARD PARA TABLET",B1745)),
ISNUMBER(SEARCH("FLIP TABLET",B1745)),
ISNUMBER(SEARCH("CASE FOR TABLET",B1745)),
ISNUMBER(SEARCH("CABLE",B1745)),
ISNUMBER(SEARCH("ADAPTADOR",B1745)),
ISNUMBER(SEARCH("HUB",B1745)),
ISNUMBER(SEARCH("DOCK",B1745)),
ISNUMBER(SEARCH("MOUSE PAD",B1745)),
ISNUMBER(SEARCH("MOUSEPAD",B1745)),
ISNUMBER(SEARCH("SOPORTE",B1745)),
ISNUMBER(SEARCH("STAND",B1745)),
ISNUMBER(SEARCH("TRAVEL ADAPTER",B1745)),
ISNUMBER(SEARCH("RJ45",B1745)),
ISNUMBER(SEARCH("USB-C",B1745)),
ISNUMBER(SEARCH("USB WIFI",B1745)),
ISNUMBER(SEARCH("POWERBANK",B1745)),
ISNUMBER(SEARCH("CARGADOR",B1745)),
ISNUMBER(SEARCH("COOLER PARA NB",B1745)),
ISNUMBER(SEARCH("SOPORTE PARA NB",B1745)),
ISNUMBER(SEARCH("WEBCAM",B1745)),
ISNUMBER(SEARCH("WEB CAM",B1745)),
ISNUMBER(SEARCH("MOUSE",B1745)),
ISNUMBER(SEARCH("TECLADO",B1745))
),
"COMPLEMENTO",
IF(
OR(
LEFT(A1745,2)="NB",
LEFT(A1745,2)="PC",
LEFT(A1745,2)="WS",
LEFT(A1745,2)="TB",
LEFT(A1745,3)="CEL",
LEFT(A1745,3)="MON",
LEFT(A1745,3)="PRE",
LEFT(A1745,3)="PRH",
ISNUMBER(SEARCH("NOTEBOOK",B1745)),
ISNUMBER(SEARCH("LAPTOP",B1745)),
ISNUMBER(SEARCH("MONITOR",B1745)),
ISNUMBER(SEARCH("TABLET",B1745)),
ISNUMBER(SEARCH("SMARTPH",B1745)),
ISNUMBER(SEARCH("IMPRESORA",B1745)),
ISNUMBER(SEARCH("MULTIFUNCIONAL",B1745)),
ISNUMBER(SEARCH("AIO",B1745))
),
"GANCHO",
"NORMAL"
)
)</f>
        <v>NORMAL</v>
      </c>
    </row>
    <row r="1744" spans="1:12" x14ac:dyDescent="0.25">
      <c r="A1744" s="3" t="s">
        <v>2648</v>
      </c>
      <c r="B1744" s="3" t="s">
        <v>2649</v>
      </c>
      <c r="C1744" s="1">
        <v>20</v>
      </c>
      <c r="D1744" s="1">
        <v>103.2</v>
      </c>
      <c r="E1744" s="1" t="s">
        <v>220</v>
      </c>
      <c r="F1744" s="1" t="s">
        <v>4138</v>
      </c>
      <c r="G1744" s="3" t="s">
        <v>2650</v>
      </c>
      <c r="H1744" s="11">
        <f>ROUND(
IF(L1742="GANCHO",
   IF(I1744&lt;=50,I1744*1.1+4,IF(I1744&lt;=120,I1744*1.1+7,IF(I1744&lt;=250,I1744*1.1+11,I1744*1.1+19))),
IF(L1742="NORMAL",
   IF(I1744&lt;=30,I1744*1.15+2,IF(I1744&lt;=80,I1744*1.15+4,IF(I1744&lt;=150,I1744*1.15+6,I1744*1.15+8))),
IF(L1742="COMPLEMENTO",
   IF(I1744&lt;=25,I1744*1.25+1.5,IF(I1744&lt;=60,I1744*1.25+3,IF(I1744&lt;=120,I1744*1.25+4,I1744*1.25+5))),
""))),2)</f>
        <v>495.35</v>
      </c>
      <c r="I1744" s="9">
        <f>($K$2+0.02)*Tabla1[[#This Row],[PRECIO $]]*1.18</f>
        <v>423.78048000000001</v>
      </c>
      <c r="J1744" s="7">
        <f>+Tabla1[[#This Row],[PRECIO EN SOLES]]-Tabla1[[#This Row],[PC]]</f>
        <v>71.569520000000011</v>
      </c>
      <c r="K1744" s="15"/>
      <c r="L1744" s="15" t="str">
        <f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NORMAL</v>
      </c>
    </row>
    <row r="1745" spans="1:12" x14ac:dyDescent="0.25">
      <c r="A1745" s="3" t="s">
        <v>2915</v>
      </c>
      <c r="B1745" s="3" t="s">
        <v>2649</v>
      </c>
      <c r="C1745" s="1">
        <v>20</v>
      </c>
      <c r="D1745" s="1">
        <v>142.1</v>
      </c>
      <c r="E1745" s="1" t="s">
        <v>220</v>
      </c>
      <c r="F1745" s="1" t="s">
        <v>4139</v>
      </c>
      <c r="G1745" s="3" t="s">
        <v>2916</v>
      </c>
      <c r="H1745" s="11">
        <f>ROUND(
IF(L1743="GANCHO",
   IF(I1745&lt;=50,I1745*1.1+4,IF(I1745&lt;=120,I1745*1.1+7,IF(I1745&lt;=250,I1745*1.1+11,I1745*1.1+19))),
IF(L1743="NORMAL",
   IF(I1745&lt;=30,I1745*1.15+2,IF(I1745&lt;=80,I1745*1.15+4,IF(I1745&lt;=150,I1745*1.15+6,I1745*1.15+8))),
IF(L1743="COMPLEMENTO",
   IF(I1745&lt;=25,I1745*1.25+1.5,IF(I1745&lt;=60,I1745*1.25+3,IF(I1745&lt;=120,I1745*1.25+4,I1745*1.25+5))),
""))),2)</f>
        <v>679.05</v>
      </c>
      <c r="I1745" s="9">
        <f>($K$2+0.02)*Tabla1[[#This Row],[PRECIO $]]*1.18</f>
        <v>583.51943999999992</v>
      </c>
      <c r="J1745" s="7">
        <f>+Tabla1[[#This Row],[PRECIO EN SOLES]]-Tabla1[[#This Row],[PC]]</f>
        <v>95.530560000000037</v>
      </c>
      <c r="K1745" s="15"/>
      <c r="L1745" s="15" t="str">
        <f>IF(
OR(
ISNUMBER(SEARCH("BACKPACK",B1747)),
ISNUMBER(SEARCH("MOCHILA",B1747)),
ISNUMBER(SEARCH("FUNDA",B1747)),
ISNUMBER(SEARCH("ESTUCHE",B1747)),
ISNUMBER(SEARCH("BOOK COVER",B1747)),
ISNUMBER(SEARCH("KEYBOARD PARA TABLET",B1747)),
ISNUMBER(SEARCH("FLIP TABLET",B1747)),
ISNUMBER(SEARCH("CASE FOR TABLET",B1747)),
ISNUMBER(SEARCH("CABLE",B1747)),
ISNUMBER(SEARCH("ADAPTADOR",B1747)),
ISNUMBER(SEARCH("HUB",B1747)),
ISNUMBER(SEARCH("DOCK",B1747)),
ISNUMBER(SEARCH("MOUSE PAD",B1747)),
ISNUMBER(SEARCH("MOUSEPAD",B1747)),
ISNUMBER(SEARCH("SOPORTE",B1747)),
ISNUMBER(SEARCH("STAND",B1747)),
ISNUMBER(SEARCH("TRAVEL ADAPTER",B1747)),
ISNUMBER(SEARCH("RJ45",B1747)),
ISNUMBER(SEARCH("USB-C",B1747)),
ISNUMBER(SEARCH("USB WIFI",B1747)),
ISNUMBER(SEARCH("POWERBANK",B1747)),
ISNUMBER(SEARCH("CARGADOR",B1747)),
ISNUMBER(SEARCH("COOLER PARA NB",B1747)),
ISNUMBER(SEARCH("SOPORTE PARA NB",B1747)),
ISNUMBER(SEARCH("WEBCAM",B1747)),
ISNUMBER(SEARCH("WEB CAM",B1747)),
ISNUMBER(SEARCH("MOUSE",B1747)),
ISNUMBER(SEARCH("TECLADO",B1747))
),
"COMPLEMENTO",
IF(
OR(
LEFT(A1747,2)="NB",
LEFT(A1747,2)="PC",
LEFT(A1747,2)="WS",
LEFT(A1747,2)="TB",
LEFT(A1747,3)="CEL",
LEFT(A1747,3)="MON",
LEFT(A1747,3)="PRE",
LEFT(A1747,3)="PRH",
ISNUMBER(SEARCH("NOTEBOOK",B1747)),
ISNUMBER(SEARCH("LAPTOP",B1747)),
ISNUMBER(SEARCH("MONITOR",B1747)),
ISNUMBER(SEARCH("TABLET",B1747)),
ISNUMBER(SEARCH("SMARTPH",B1747)),
ISNUMBER(SEARCH("IMPRESORA",B1747)),
ISNUMBER(SEARCH("MULTIFUNCIONAL",B1747)),
ISNUMBER(SEARCH("AIO",B1747))
),
"GANCHO",
"NORMAL"
)
)</f>
        <v>NORMAL</v>
      </c>
    </row>
    <row r="1746" spans="1:12" x14ac:dyDescent="0.25">
      <c r="A1746" s="3" t="s">
        <v>2651</v>
      </c>
      <c r="B1746" s="3" t="s">
        <v>2649</v>
      </c>
      <c r="C1746" s="1">
        <v>3</v>
      </c>
      <c r="D1746" s="1">
        <v>70.400000000000006</v>
      </c>
      <c r="E1746" s="1" t="s">
        <v>220</v>
      </c>
      <c r="F1746" s="1" t="s">
        <v>4140</v>
      </c>
      <c r="G1746" s="3" t="s">
        <v>2652</v>
      </c>
      <c r="H1746" s="11">
        <f>ROUND(
IF(L1744="GANCHO",
   IF(I1746&lt;=50,I1746*1.1+4,IF(I1746&lt;=120,I1746*1.1+7,IF(I1746&lt;=250,I1746*1.1+11,I1746*1.1+19))),
IF(L1744="NORMAL",
   IF(I1746&lt;=30,I1746*1.15+2,IF(I1746&lt;=80,I1746*1.15+4,IF(I1746&lt;=150,I1746*1.15+6,I1746*1.15+8))),
IF(L1744="COMPLEMENTO",
   IF(I1746&lt;=25,I1746*1.25+1.5,IF(I1746&lt;=60,I1746*1.25+3,IF(I1746&lt;=120,I1746*1.25+4,I1746*1.25+5))),
""))),2)</f>
        <v>340.45</v>
      </c>
      <c r="I1746" s="9">
        <f>($K$2+0.02)*Tabla1[[#This Row],[PRECIO $]]*1.18</f>
        <v>289.09055999999998</v>
      </c>
      <c r="J1746" s="7">
        <f>+Tabla1[[#This Row],[PRECIO EN SOLES]]-Tabla1[[#This Row],[PC]]</f>
        <v>51.359440000000006</v>
      </c>
      <c r="K1746" s="15"/>
      <c r="L1746" s="15" t="str">
        <f>IF(
OR(
ISNUMBER(SEARCH("BACKPACK",B1748)),
ISNUMBER(SEARCH("MOCHILA",B1748)),
ISNUMBER(SEARCH("FUNDA",B1748)),
ISNUMBER(SEARCH("ESTUCHE",B1748)),
ISNUMBER(SEARCH("BOOK COVER",B1748)),
ISNUMBER(SEARCH("KEYBOARD PARA TABLET",B1748)),
ISNUMBER(SEARCH("FLIP TABLET",B1748)),
ISNUMBER(SEARCH("CASE FOR TABLET",B1748)),
ISNUMBER(SEARCH("CABLE",B1748)),
ISNUMBER(SEARCH("ADAPTADOR",B1748)),
ISNUMBER(SEARCH("HUB",B1748)),
ISNUMBER(SEARCH("DOCK",B1748)),
ISNUMBER(SEARCH("MOUSE PAD",B1748)),
ISNUMBER(SEARCH("MOUSEPAD",B1748)),
ISNUMBER(SEARCH("SOPORTE",B1748)),
ISNUMBER(SEARCH("STAND",B1748)),
ISNUMBER(SEARCH("TRAVEL ADAPTER",B1748)),
ISNUMBER(SEARCH("RJ45",B1748)),
ISNUMBER(SEARCH("USB-C",B1748)),
ISNUMBER(SEARCH("USB WIFI",B1748)),
ISNUMBER(SEARCH("POWERBANK",B1748)),
ISNUMBER(SEARCH("CARGADOR",B1748)),
ISNUMBER(SEARCH("COOLER PARA NB",B1748)),
ISNUMBER(SEARCH("SOPORTE PARA NB",B1748)),
ISNUMBER(SEARCH("WEBCAM",B1748)),
ISNUMBER(SEARCH("WEB CAM",B1748)),
ISNUMBER(SEARCH("MOUSE",B1748)),
ISNUMBER(SEARCH("TECLADO",B1748))
),
"COMPLEMENTO",
IF(
OR(
LEFT(A1748,2)="NB",
LEFT(A1748,2)="PC",
LEFT(A1748,2)="WS",
LEFT(A1748,2)="TB",
LEFT(A1748,3)="CEL",
LEFT(A1748,3)="MON",
LEFT(A1748,3)="PRE",
LEFT(A1748,3)="PRH",
ISNUMBER(SEARCH("NOTEBOOK",B1748)),
ISNUMBER(SEARCH("LAPTOP",B1748)),
ISNUMBER(SEARCH("MONITOR",B1748)),
ISNUMBER(SEARCH("TABLET",B1748)),
ISNUMBER(SEARCH("SMARTPH",B1748)),
ISNUMBER(SEARCH("IMPRESORA",B1748)),
ISNUMBER(SEARCH("MULTIFUNCIONAL",B1748)),
ISNUMBER(SEARCH("AIO",B1748))
),
"GANCHO",
"NORMAL"
)
)</f>
        <v>NORMAL</v>
      </c>
    </row>
    <row r="1747" spans="1:12" x14ac:dyDescent="0.25">
      <c r="A1747" s="3" t="s">
        <v>2653</v>
      </c>
      <c r="B1747" s="3" t="s">
        <v>2654</v>
      </c>
      <c r="C1747" s="1">
        <v>14</v>
      </c>
      <c r="D1747" s="1">
        <v>163.6</v>
      </c>
      <c r="E1747" s="1" t="s">
        <v>220</v>
      </c>
      <c r="F1747" s="1" t="s">
        <v>4141</v>
      </c>
      <c r="G1747" s="3" t="s">
        <v>2655</v>
      </c>
      <c r="H1747" s="11">
        <f>ROUND(
IF(L1745="GANCHO",
   IF(I1747&lt;=50,I1747*1.1+4,IF(I1747&lt;=120,I1747*1.1+7,IF(I1747&lt;=250,I1747*1.1+11,I1747*1.1+19))),
IF(L1745="NORMAL",
   IF(I1747&lt;=30,I1747*1.15+2,IF(I1747&lt;=80,I1747*1.15+4,IF(I1747&lt;=150,I1747*1.15+6,I1747*1.15+8))),
IF(L1745="COMPLEMENTO",
   IF(I1747&lt;=25,I1747*1.25+1.5,IF(I1747&lt;=60,I1747*1.25+3,IF(I1747&lt;=120,I1747*1.25+4,I1747*1.25+5))),
""))),2)</f>
        <v>780.58</v>
      </c>
      <c r="I1747" s="9">
        <f>($K$2+0.02)*Tabla1[[#This Row],[PRECIO $]]*1.18</f>
        <v>671.80703999999992</v>
      </c>
      <c r="J1747" s="7">
        <f>+Tabla1[[#This Row],[PRECIO EN SOLES]]-Tabla1[[#This Row],[PC]]</f>
        <v>108.77296000000013</v>
      </c>
      <c r="K1747" s="15"/>
      <c r="L1747" s="15" t="str">
        <f>IF(
OR(
ISNUMBER(SEARCH("BACKPACK",B1749)),
ISNUMBER(SEARCH("MOCHILA",B1749)),
ISNUMBER(SEARCH("FUNDA",B1749)),
ISNUMBER(SEARCH("ESTUCHE",B1749)),
ISNUMBER(SEARCH("BOOK COVER",B1749)),
ISNUMBER(SEARCH("KEYBOARD PARA TABLET",B1749)),
ISNUMBER(SEARCH("FLIP TABLET",B1749)),
ISNUMBER(SEARCH("CASE FOR TABLET",B1749)),
ISNUMBER(SEARCH("CABLE",B1749)),
ISNUMBER(SEARCH("ADAPTADOR",B1749)),
ISNUMBER(SEARCH("HUB",B1749)),
ISNUMBER(SEARCH("DOCK",B1749)),
ISNUMBER(SEARCH("MOUSE PAD",B1749)),
ISNUMBER(SEARCH("MOUSEPAD",B1749)),
ISNUMBER(SEARCH("SOPORTE",B1749)),
ISNUMBER(SEARCH("STAND",B1749)),
ISNUMBER(SEARCH("TRAVEL ADAPTER",B1749)),
ISNUMBER(SEARCH("RJ45",B1749)),
ISNUMBER(SEARCH("USB-C",B1749)),
ISNUMBER(SEARCH("USB WIFI",B1749)),
ISNUMBER(SEARCH("POWERBANK",B1749)),
ISNUMBER(SEARCH("CARGADOR",B1749)),
ISNUMBER(SEARCH("COOLER PARA NB",B1749)),
ISNUMBER(SEARCH("SOPORTE PARA NB",B1749)),
ISNUMBER(SEARCH("WEBCAM",B1749)),
ISNUMBER(SEARCH("WEB CAM",B1749)),
ISNUMBER(SEARCH("MOUSE",B1749)),
ISNUMBER(SEARCH("TECLADO",B1749))
),
"COMPLEMENTO",
IF(
OR(
LEFT(A1749,2)="NB",
LEFT(A1749,2)="PC",
LEFT(A1749,2)="WS",
LEFT(A1749,2)="TB",
LEFT(A1749,3)="CEL",
LEFT(A1749,3)="MON",
LEFT(A1749,3)="PRE",
LEFT(A1749,3)="PRH",
ISNUMBER(SEARCH("NOTEBOOK",B1749)),
ISNUMBER(SEARCH("LAPTOP",B1749)),
ISNUMBER(SEARCH("MONITOR",B1749)),
ISNUMBER(SEARCH("TABLET",B1749)),
ISNUMBER(SEARCH("SMARTPH",B1749)),
ISNUMBER(SEARCH("IMPRESORA",B1749)),
ISNUMBER(SEARCH("MULTIFUNCIONAL",B1749)),
ISNUMBER(SEARCH("AIO",B1749))
),
"GANCHO",
"NORMAL"
)
)</f>
        <v>NORMAL</v>
      </c>
    </row>
    <row r="1748" spans="1:12" x14ac:dyDescent="0.25">
      <c r="A1748" s="3" t="s">
        <v>6175</v>
      </c>
      <c r="B1748" s="3" t="s">
        <v>3019</v>
      </c>
      <c r="C1748" s="1">
        <v>20</v>
      </c>
      <c r="D1748" s="1">
        <v>155</v>
      </c>
      <c r="E1748" s="1" t="s">
        <v>224</v>
      </c>
      <c r="F1748" s="1" t="s">
        <v>6176</v>
      </c>
      <c r="G1748" s="3" t="s">
        <v>6575</v>
      </c>
      <c r="H1748" s="11">
        <f>ROUND(
IF(L1746="GANCHO",
   IF(I1748&lt;=50,I1748*1.1+4,IF(I1748&lt;=120,I1748*1.1+7,IF(I1748&lt;=250,I1748*1.1+11,I1748*1.1+19))),
IF(L1746="NORMAL",
   IF(I1748&lt;=30,I1748*1.15+2,IF(I1748&lt;=80,I1748*1.15+4,IF(I1748&lt;=150,I1748*1.15+6,I1748*1.15+8))),
IF(L1746="COMPLEMENTO",
   IF(I1748&lt;=25,I1748*1.25+1.5,IF(I1748&lt;=60,I1748*1.25+3,IF(I1748&lt;=120,I1748*1.25+4,I1748*1.25+5))),
""))),2)</f>
        <v>739.97</v>
      </c>
      <c r="I1748" s="9">
        <f>($K$2+0.02)*Tabla1[[#This Row],[PRECIO $]]*1.18</f>
        <v>636.49199999999996</v>
      </c>
      <c r="J1748" s="7">
        <f>+Tabla1[[#This Row],[PRECIO EN SOLES]]-Tabla1[[#This Row],[PC]]</f>
        <v>103.47800000000007</v>
      </c>
      <c r="K1748" s="15"/>
      <c r="L1748" s="15" t="str">
        <f>IF(
OR(
ISNUMBER(SEARCH("BACKPACK",B1750)),
ISNUMBER(SEARCH("MOCHILA",B1750)),
ISNUMBER(SEARCH("FUNDA",B1750)),
ISNUMBER(SEARCH("ESTUCHE",B1750)),
ISNUMBER(SEARCH("BOOK COVER",B1750)),
ISNUMBER(SEARCH("KEYBOARD PARA TABLET",B1750)),
ISNUMBER(SEARCH("FLIP TABLET",B1750)),
ISNUMBER(SEARCH("CASE FOR TABLET",B1750)),
ISNUMBER(SEARCH("CABLE",B1750)),
ISNUMBER(SEARCH("ADAPTADOR",B1750)),
ISNUMBER(SEARCH("HUB",B1750)),
ISNUMBER(SEARCH("DOCK",B1750)),
ISNUMBER(SEARCH("MOUSE PAD",B1750)),
ISNUMBER(SEARCH("MOUSEPAD",B1750)),
ISNUMBER(SEARCH("SOPORTE",B1750)),
ISNUMBER(SEARCH("STAND",B1750)),
ISNUMBER(SEARCH("TRAVEL ADAPTER",B1750)),
ISNUMBER(SEARCH("RJ45",B1750)),
ISNUMBER(SEARCH("USB-C",B1750)),
ISNUMBER(SEARCH("USB WIFI",B1750)),
ISNUMBER(SEARCH("POWERBANK",B1750)),
ISNUMBER(SEARCH("CARGADOR",B1750)),
ISNUMBER(SEARCH("COOLER PARA NB",B1750)),
ISNUMBER(SEARCH("SOPORTE PARA NB",B1750)),
ISNUMBER(SEARCH("WEBCAM",B1750)),
ISNUMBER(SEARCH("WEB CAM",B1750)),
ISNUMBER(SEARCH("MOUSE",B1750)),
ISNUMBER(SEARCH("TECLADO",B1750))
),
"COMPLEMENTO",
IF(
OR(
LEFT(A1750,2)="NB",
LEFT(A1750,2)="PC",
LEFT(A1750,2)="WS",
LEFT(A1750,2)="TB",
LEFT(A1750,3)="CEL",
LEFT(A1750,3)="MON",
LEFT(A1750,3)="PRE",
LEFT(A1750,3)="PRH",
ISNUMBER(SEARCH("NOTEBOOK",B1750)),
ISNUMBER(SEARCH("LAPTOP",B1750)),
ISNUMBER(SEARCH("MONITOR",B1750)),
ISNUMBER(SEARCH("TABLET",B1750)),
ISNUMBER(SEARCH("SMARTPH",B1750)),
ISNUMBER(SEARCH("IMPRESORA",B1750)),
ISNUMBER(SEARCH("MULTIFUNCIONAL",B1750)),
ISNUMBER(SEARCH("AIO",B1750))
),
"GANCHO",
"NORMAL"
)
)</f>
        <v>NORMAL</v>
      </c>
    </row>
    <row r="1749" spans="1:12" x14ac:dyDescent="0.25">
      <c r="A1749" s="3" t="s">
        <v>6966</v>
      </c>
      <c r="B1749" s="3" t="s">
        <v>6967</v>
      </c>
      <c r="C1749" s="1">
        <v>5</v>
      </c>
      <c r="D1749" s="1">
        <v>185</v>
      </c>
      <c r="E1749" s="1" t="s">
        <v>224</v>
      </c>
      <c r="F1749" s="1" t="s">
        <v>6968</v>
      </c>
      <c r="G1749" s="3" t="s">
        <v>6969</v>
      </c>
      <c r="H1749" s="11">
        <f>ROUND(
IF(L1747="GANCHO",
   IF(I1749&lt;=50,I1749*1.1+4,IF(I1749&lt;=120,I1749*1.1+7,IF(I1749&lt;=250,I1749*1.1+11,I1749*1.1+19))),
IF(L1747="NORMAL",
   IF(I1749&lt;=30,I1749*1.15+2,IF(I1749&lt;=80,I1749*1.15+4,IF(I1749&lt;=150,I1749*1.15+6,I1749*1.15+8))),
IF(L1747="COMPLEMENTO",
   IF(I1749&lt;=25,I1749*1.25+1.5,IF(I1749&lt;=60,I1749*1.25+3,IF(I1749&lt;=120,I1749*1.25+4,I1749*1.25+5))),
""))),2)</f>
        <v>881.64</v>
      </c>
      <c r="I1749" s="9">
        <f>($K$2+0.02)*Tabla1[[#This Row],[PRECIO $]]*1.18</f>
        <v>759.68399999999986</v>
      </c>
      <c r="J1749" s="7">
        <f>+Tabla1[[#This Row],[PRECIO EN SOLES]]-Tabla1[[#This Row],[PC]]</f>
        <v>121.95600000000013</v>
      </c>
      <c r="K1749" s="15"/>
      <c r="L1749" s="15" t="str">
        <f>IF(
OR(
ISNUMBER(SEARCH("BACKPACK",B1751)),
ISNUMBER(SEARCH("MOCHILA",B1751)),
ISNUMBER(SEARCH("FUNDA",B1751)),
ISNUMBER(SEARCH("ESTUCHE",B1751)),
ISNUMBER(SEARCH("BOOK COVER",B1751)),
ISNUMBER(SEARCH("KEYBOARD PARA TABLET",B1751)),
ISNUMBER(SEARCH("FLIP TABLET",B1751)),
ISNUMBER(SEARCH("CASE FOR TABLET",B1751)),
ISNUMBER(SEARCH("CABLE",B1751)),
ISNUMBER(SEARCH("ADAPTADOR",B1751)),
ISNUMBER(SEARCH("HUB",B1751)),
ISNUMBER(SEARCH("DOCK",B1751)),
ISNUMBER(SEARCH("MOUSE PAD",B1751)),
ISNUMBER(SEARCH("MOUSEPAD",B1751)),
ISNUMBER(SEARCH("SOPORTE",B1751)),
ISNUMBER(SEARCH("STAND",B1751)),
ISNUMBER(SEARCH("TRAVEL ADAPTER",B1751)),
ISNUMBER(SEARCH("RJ45",B1751)),
ISNUMBER(SEARCH("USB-C",B1751)),
ISNUMBER(SEARCH("USB WIFI",B1751)),
ISNUMBER(SEARCH("POWERBANK",B1751)),
ISNUMBER(SEARCH("CARGADOR",B1751)),
ISNUMBER(SEARCH("COOLER PARA NB",B1751)),
ISNUMBER(SEARCH("SOPORTE PARA NB",B1751)),
ISNUMBER(SEARCH("WEBCAM",B1751)),
ISNUMBER(SEARCH("WEB CAM",B1751)),
ISNUMBER(SEARCH("MOUSE",B1751)),
ISNUMBER(SEARCH("TECLADO",B1751))
),
"COMPLEMENTO",
IF(
OR(
LEFT(A1751,2)="NB",
LEFT(A1751,2)="PC",
LEFT(A1751,2)="WS",
LEFT(A1751,2)="TB",
LEFT(A1751,3)="CEL",
LEFT(A1751,3)="MON",
LEFT(A1751,3)="PRE",
LEFT(A1751,3)="PRH",
ISNUMBER(SEARCH("NOTEBOOK",B1751)),
ISNUMBER(SEARCH("LAPTOP",B1751)),
ISNUMBER(SEARCH("MONITOR",B1751)),
ISNUMBER(SEARCH("TABLET",B1751)),
ISNUMBER(SEARCH("SMARTPH",B1751)),
ISNUMBER(SEARCH("IMPRESORA",B1751)),
ISNUMBER(SEARCH("MULTIFUNCIONAL",B1751)),
ISNUMBER(SEARCH("AIO",B1751))
),
"GANCHO",
"NORMAL"
)
)</f>
        <v>NORMAL</v>
      </c>
    </row>
    <row r="1750" spans="1:12" x14ac:dyDescent="0.25">
      <c r="A1750" s="3" t="s">
        <v>6177</v>
      </c>
      <c r="B1750" s="3" t="s">
        <v>6178</v>
      </c>
      <c r="C1750" s="1">
        <v>6</v>
      </c>
      <c r="D1750" s="1">
        <v>315</v>
      </c>
      <c r="E1750" s="1" t="s">
        <v>224</v>
      </c>
      <c r="F1750" s="1" t="s">
        <v>6179</v>
      </c>
      <c r="G1750" s="3" t="s">
        <v>6180</v>
      </c>
      <c r="H1750" s="11">
        <f>ROUND(
IF(L1748="GANCHO",
   IF(I1750&lt;=50,I1750*1.1+4,IF(I1750&lt;=120,I1750*1.1+7,IF(I1750&lt;=250,I1750*1.1+11,I1750*1.1+19))),
IF(L1748="NORMAL",
   IF(I1750&lt;=30,I1750*1.15+2,IF(I1750&lt;=80,I1750*1.15+4,IF(I1750&lt;=150,I1750*1.15+6,I1750*1.15+8))),
IF(L1748="COMPLEMENTO",
   IF(I1750&lt;=25,I1750*1.25+1.5,IF(I1750&lt;=60,I1750*1.25+3,IF(I1750&lt;=120,I1750*1.25+4,I1750*1.25+5))),
""))),2)</f>
        <v>1495.54</v>
      </c>
      <c r="I1750" s="9">
        <f>($K$2+0.02)*Tabla1[[#This Row],[PRECIO $]]*1.18</f>
        <v>1293.5160000000001</v>
      </c>
      <c r="J1750" s="7">
        <f>+Tabla1[[#This Row],[PRECIO EN SOLES]]-Tabla1[[#This Row],[PC]]</f>
        <v>202.02399999999989</v>
      </c>
      <c r="K1750" s="15"/>
      <c r="L1750" s="15" t="str">
        <f>IF(
OR(
ISNUMBER(SEARCH("BACKPACK",B1752)),
ISNUMBER(SEARCH("MOCHILA",B1752)),
ISNUMBER(SEARCH("FUNDA",B1752)),
ISNUMBER(SEARCH("ESTUCHE",B1752)),
ISNUMBER(SEARCH("BOOK COVER",B1752)),
ISNUMBER(SEARCH("KEYBOARD PARA TABLET",B1752)),
ISNUMBER(SEARCH("FLIP TABLET",B1752)),
ISNUMBER(SEARCH("CASE FOR TABLET",B1752)),
ISNUMBER(SEARCH("CABLE",B1752)),
ISNUMBER(SEARCH("ADAPTADOR",B1752)),
ISNUMBER(SEARCH("HUB",B1752)),
ISNUMBER(SEARCH("DOCK",B1752)),
ISNUMBER(SEARCH("MOUSE PAD",B1752)),
ISNUMBER(SEARCH("MOUSEPAD",B1752)),
ISNUMBER(SEARCH("SOPORTE",B1752)),
ISNUMBER(SEARCH("STAND",B1752)),
ISNUMBER(SEARCH("TRAVEL ADAPTER",B1752)),
ISNUMBER(SEARCH("RJ45",B1752)),
ISNUMBER(SEARCH("USB-C",B1752)),
ISNUMBER(SEARCH("USB WIFI",B1752)),
ISNUMBER(SEARCH("POWERBANK",B1752)),
ISNUMBER(SEARCH("CARGADOR",B1752)),
ISNUMBER(SEARCH("COOLER PARA NB",B1752)),
ISNUMBER(SEARCH("SOPORTE PARA NB",B1752)),
ISNUMBER(SEARCH("WEBCAM",B1752)),
ISNUMBER(SEARCH("WEB CAM",B1752)),
ISNUMBER(SEARCH("MOUSE",B1752)),
ISNUMBER(SEARCH("TECLADO",B1752))
),
"COMPLEMENTO",
IF(
OR(
LEFT(A1752,2)="NB",
LEFT(A1752,2)="PC",
LEFT(A1752,2)="WS",
LEFT(A1752,2)="TB",
LEFT(A1752,3)="CEL",
LEFT(A1752,3)="MON",
LEFT(A1752,3)="PRE",
LEFT(A1752,3)="PRH",
ISNUMBER(SEARCH("NOTEBOOK",B1752)),
ISNUMBER(SEARCH("LAPTOP",B1752)),
ISNUMBER(SEARCH("MONITOR",B1752)),
ISNUMBER(SEARCH("TABLET",B1752)),
ISNUMBER(SEARCH("SMARTPH",B1752)),
ISNUMBER(SEARCH("IMPRESORA",B1752)),
ISNUMBER(SEARCH("MULTIFUNCIONAL",B1752)),
ISNUMBER(SEARCH("AIO",B1752))
),
"GANCHO",
"NORMAL"
)
)</f>
        <v>NORMAL</v>
      </c>
    </row>
    <row r="1751" spans="1:12" x14ac:dyDescent="0.25">
      <c r="A1751" s="3" t="s">
        <v>2656</v>
      </c>
      <c r="B1751" s="3" t="s">
        <v>2657</v>
      </c>
      <c r="C1751" s="1">
        <v>3</v>
      </c>
      <c r="D1751" s="1">
        <v>1950</v>
      </c>
      <c r="E1751" s="1" t="s">
        <v>220</v>
      </c>
      <c r="F1751" s="1" t="s">
        <v>4142</v>
      </c>
      <c r="G1751" s="3" t="s">
        <v>2658</v>
      </c>
      <c r="H1751" s="11">
        <f>ROUND(
IF(L1749="GANCHO",
   IF(I1751&lt;=50,I1751*1.1+4,IF(I1751&lt;=120,I1751*1.1+7,IF(I1751&lt;=250,I1751*1.1+11,I1751*1.1+19))),
IF(L1749="NORMAL",
   IF(I1751&lt;=30,I1751*1.15+2,IF(I1751&lt;=80,I1751*1.15+4,IF(I1751&lt;=150,I1751*1.15+6,I1751*1.15+8))),
IF(L1749="COMPLEMENTO",
   IF(I1751&lt;=25,I1751*1.25+1.5,IF(I1751&lt;=60,I1751*1.25+3,IF(I1751&lt;=120,I1751*1.25+4,I1751*1.25+5))),
""))),2)</f>
        <v>9216.6</v>
      </c>
      <c r="I1751" s="9">
        <f>($K$2+0.02)*Tabla1[[#This Row],[PRECIO $]]*1.18</f>
        <v>8007.48</v>
      </c>
      <c r="J1751" s="7">
        <f>+Tabla1[[#This Row],[PRECIO EN SOLES]]-Tabla1[[#This Row],[PC]]</f>
        <v>1209.1200000000008</v>
      </c>
      <c r="K1751" s="15"/>
      <c r="L1751" s="15" t="str">
        <f>IF(
OR(
ISNUMBER(SEARCH("BACKPACK",B1753)),
ISNUMBER(SEARCH("MOCHILA",B1753)),
ISNUMBER(SEARCH("FUNDA",B1753)),
ISNUMBER(SEARCH("ESTUCHE",B1753)),
ISNUMBER(SEARCH("BOOK COVER",B1753)),
ISNUMBER(SEARCH("KEYBOARD PARA TABLET",B1753)),
ISNUMBER(SEARCH("FLIP TABLET",B1753)),
ISNUMBER(SEARCH("CASE FOR TABLET",B1753)),
ISNUMBER(SEARCH("CABLE",B1753)),
ISNUMBER(SEARCH("ADAPTADOR",B1753)),
ISNUMBER(SEARCH("HUB",B1753)),
ISNUMBER(SEARCH("DOCK",B1753)),
ISNUMBER(SEARCH("MOUSE PAD",B1753)),
ISNUMBER(SEARCH("MOUSEPAD",B1753)),
ISNUMBER(SEARCH("SOPORTE",B1753)),
ISNUMBER(SEARCH("STAND",B1753)),
ISNUMBER(SEARCH("TRAVEL ADAPTER",B1753)),
ISNUMBER(SEARCH("RJ45",B1753)),
ISNUMBER(SEARCH("USB-C",B1753)),
ISNUMBER(SEARCH("USB WIFI",B1753)),
ISNUMBER(SEARCH("POWERBANK",B1753)),
ISNUMBER(SEARCH("CARGADOR",B1753)),
ISNUMBER(SEARCH("COOLER PARA NB",B1753)),
ISNUMBER(SEARCH("SOPORTE PARA NB",B1753)),
ISNUMBER(SEARCH("WEBCAM",B1753)),
ISNUMBER(SEARCH("WEB CAM",B1753)),
ISNUMBER(SEARCH("MOUSE",B1753)),
ISNUMBER(SEARCH("TECLADO",B1753))
),
"COMPLEMENTO",
IF(
OR(
LEFT(A1753,2)="NB",
LEFT(A1753,2)="PC",
LEFT(A1753,2)="WS",
LEFT(A1753,2)="TB",
LEFT(A1753,3)="CEL",
LEFT(A1753,3)="MON",
LEFT(A1753,3)="PRE",
LEFT(A1753,3)="PRH",
ISNUMBER(SEARCH("NOTEBOOK",B1753)),
ISNUMBER(SEARCH("LAPTOP",B1753)),
ISNUMBER(SEARCH("MONITOR",B1753)),
ISNUMBER(SEARCH("TABLET",B1753)),
ISNUMBER(SEARCH("SMARTPH",B1753)),
ISNUMBER(SEARCH("IMPRESORA",B1753)),
ISNUMBER(SEARCH("MULTIFUNCIONAL",B1753)),
ISNUMBER(SEARCH("AIO",B1753))
),
"GANCHO",
"NORMAL"
)
)</f>
        <v>NORMAL</v>
      </c>
    </row>
    <row r="1752" spans="1:12" x14ac:dyDescent="0.25">
      <c r="A1752" s="3" t="s">
        <v>6970</v>
      </c>
      <c r="B1752" s="3" t="s">
        <v>6971</v>
      </c>
      <c r="C1752" s="1">
        <v>9</v>
      </c>
      <c r="D1752" s="1">
        <v>312.60000000000002</v>
      </c>
      <c r="E1752" s="1" t="s">
        <v>220</v>
      </c>
      <c r="F1752" s="1" t="s">
        <v>6972</v>
      </c>
      <c r="G1752" s="3" t="s">
        <v>6973</v>
      </c>
      <c r="H1752" s="11">
        <f>ROUND(
IF(L1750="GANCHO",
   IF(I1752&lt;=50,I1752*1.1+4,IF(I1752&lt;=120,I1752*1.1+7,IF(I1752&lt;=250,I1752*1.1+11,I1752*1.1+19))),
IF(L1750="NORMAL",
   IF(I1752&lt;=30,I1752*1.15+2,IF(I1752&lt;=80,I1752*1.15+4,IF(I1752&lt;=150,I1752*1.15+6,I1752*1.15+8))),
IF(L1750="COMPLEMENTO",
   IF(I1752&lt;=25,I1752*1.25+1.5,IF(I1752&lt;=60,I1752*1.25+3,IF(I1752&lt;=120,I1752*1.25+4,I1752*1.25+5))),
""))),2)</f>
        <v>1484.21</v>
      </c>
      <c r="I1752" s="9">
        <f>($K$2+0.02)*Tabla1[[#This Row],[PRECIO $]]*1.18</f>
        <v>1283.6606400000001</v>
      </c>
      <c r="J1752" s="7">
        <f>+Tabla1[[#This Row],[PRECIO EN SOLES]]-Tabla1[[#This Row],[PC]]</f>
        <v>200.54935999999998</v>
      </c>
      <c r="K1752" s="15"/>
      <c r="L1752" s="15" t="str">
        <f>IF(
OR(
ISNUMBER(SEARCH("BACKPACK",B1754)),
ISNUMBER(SEARCH("MOCHILA",B1754)),
ISNUMBER(SEARCH("FUNDA",B1754)),
ISNUMBER(SEARCH("ESTUCHE",B1754)),
ISNUMBER(SEARCH("BOOK COVER",B1754)),
ISNUMBER(SEARCH("KEYBOARD PARA TABLET",B1754)),
ISNUMBER(SEARCH("FLIP TABLET",B1754)),
ISNUMBER(SEARCH("CASE FOR TABLET",B1754)),
ISNUMBER(SEARCH("CABLE",B1754)),
ISNUMBER(SEARCH("ADAPTADOR",B1754)),
ISNUMBER(SEARCH("HUB",B1754)),
ISNUMBER(SEARCH("DOCK",B1754)),
ISNUMBER(SEARCH("MOUSE PAD",B1754)),
ISNUMBER(SEARCH("MOUSEPAD",B1754)),
ISNUMBER(SEARCH("SOPORTE",B1754)),
ISNUMBER(SEARCH("STAND",B1754)),
ISNUMBER(SEARCH("TRAVEL ADAPTER",B1754)),
ISNUMBER(SEARCH("RJ45",B1754)),
ISNUMBER(SEARCH("USB-C",B1754)),
ISNUMBER(SEARCH("USB WIFI",B1754)),
ISNUMBER(SEARCH("POWERBANK",B1754)),
ISNUMBER(SEARCH("CARGADOR",B1754)),
ISNUMBER(SEARCH("COOLER PARA NB",B1754)),
ISNUMBER(SEARCH("SOPORTE PARA NB",B1754)),
ISNUMBER(SEARCH("WEBCAM",B1754)),
ISNUMBER(SEARCH("WEB CAM",B1754)),
ISNUMBER(SEARCH("MOUSE",B1754)),
ISNUMBER(SEARCH("TECLADO",B1754))
),
"COMPLEMENTO",
IF(
OR(
LEFT(A1754,2)="NB",
LEFT(A1754,2)="PC",
LEFT(A1754,2)="WS",
LEFT(A1754,2)="TB",
LEFT(A1754,3)="CEL",
LEFT(A1754,3)="MON",
LEFT(A1754,3)="PRE",
LEFT(A1754,3)="PRH",
ISNUMBER(SEARCH("NOTEBOOK",B1754)),
ISNUMBER(SEARCH("LAPTOP",B1754)),
ISNUMBER(SEARCH("MONITOR",B1754)),
ISNUMBER(SEARCH("TABLET",B1754)),
ISNUMBER(SEARCH("SMARTPH",B1754)),
ISNUMBER(SEARCH("IMPRESORA",B1754)),
ISNUMBER(SEARCH("MULTIFUNCIONAL",B1754)),
ISNUMBER(SEARCH("AIO",B1754))
),
"GANCHO",
"NORMAL"
)
)</f>
        <v>NORMAL</v>
      </c>
    </row>
    <row r="1753" spans="1:12" x14ac:dyDescent="0.25">
      <c r="A1753" s="3" t="s">
        <v>2659</v>
      </c>
      <c r="B1753" s="3" t="s">
        <v>2660</v>
      </c>
      <c r="C1753" s="1">
        <v>13</v>
      </c>
      <c r="D1753" s="1">
        <v>585.4</v>
      </c>
      <c r="E1753" s="1" t="s">
        <v>220</v>
      </c>
      <c r="F1753" s="1" t="s">
        <v>4143</v>
      </c>
      <c r="G1753" s="3" t="s">
        <v>2661</v>
      </c>
      <c r="H1753" s="11">
        <f>ROUND(
IF(L1751="GANCHO",
   IF(I1753&lt;=50,I1753*1.1+4,IF(I1753&lt;=120,I1753*1.1+7,IF(I1753&lt;=250,I1753*1.1+11,I1753*1.1+19))),
IF(L1751="NORMAL",
   IF(I1753&lt;=30,I1753*1.15+2,IF(I1753&lt;=80,I1753*1.15+4,IF(I1753&lt;=150,I1753*1.15+6,I1753*1.15+8))),
IF(L1751="COMPLEMENTO",
   IF(I1753&lt;=25,I1753*1.25+1.5,IF(I1753&lt;=60,I1753*1.25+3,IF(I1753&lt;=120,I1753*1.25+4,I1753*1.25+5))),
""))),2)</f>
        <v>2772.47</v>
      </c>
      <c r="I1753" s="9">
        <f>($K$2+0.02)*Tabla1[[#This Row],[PRECIO $]]*1.18</f>
        <v>2403.8865599999999</v>
      </c>
      <c r="J1753" s="7">
        <f>+Tabla1[[#This Row],[PRECIO EN SOLES]]-Tabla1[[#This Row],[PC]]</f>
        <v>368.58343999999988</v>
      </c>
      <c r="K1753" s="15"/>
      <c r="L1753" s="15" t="str">
        <f>IF(
OR(
ISNUMBER(SEARCH("BACKPACK",B1755)),
ISNUMBER(SEARCH("MOCHILA",B1755)),
ISNUMBER(SEARCH("FUNDA",B1755)),
ISNUMBER(SEARCH("ESTUCHE",B1755)),
ISNUMBER(SEARCH("BOOK COVER",B1755)),
ISNUMBER(SEARCH("KEYBOARD PARA TABLET",B1755)),
ISNUMBER(SEARCH("FLIP TABLET",B1755)),
ISNUMBER(SEARCH("CASE FOR TABLET",B1755)),
ISNUMBER(SEARCH("CABLE",B1755)),
ISNUMBER(SEARCH("ADAPTADOR",B1755)),
ISNUMBER(SEARCH("HUB",B1755)),
ISNUMBER(SEARCH("DOCK",B1755)),
ISNUMBER(SEARCH("MOUSE PAD",B1755)),
ISNUMBER(SEARCH("MOUSEPAD",B1755)),
ISNUMBER(SEARCH("SOPORTE",B1755)),
ISNUMBER(SEARCH("STAND",B1755)),
ISNUMBER(SEARCH("TRAVEL ADAPTER",B1755)),
ISNUMBER(SEARCH("RJ45",B1755)),
ISNUMBER(SEARCH("USB-C",B1755)),
ISNUMBER(SEARCH("USB WIFI",B1755)),
ISNUMBER(SEARCH("POWERBANK",B1755)),
ISNUMBER(SEARCH("CARGADOR",B1755)),
ISNUMBER(SEARCH("COOLER PARA NB",B1755)),
ISNUMBER(SEARCH("SOPORTE PARA NB",B1755)),
ISNUMBER(SEARCH("WEBCAM",B1755)),
ISNUMBER(SEARCH("WEB CAM",B1755)),
ISNUMBER(SEARCH("MOUSE",B1755)),
ISNUMBER(SEARCH("TECLADO",B1755))
),
"COMPLEMENTO",
IF(
OR(
LEFT(A1755,2)="NB",
LEFT(A1755,2)="PC",
LEFT(A1755,2)="WS",
LEFT(A1755,2)="TB",
LEFT(A1755,3)="CEL",
LEFT(A1755,3)="MON",
LEFT(A1755,3)="PRE",
LEFT(A1755,3)="PRH",
ISNUMBER(SEARCH("NOTEBOOK",B1755)),
ISNUMBER(SEARCH("LAPTOP",B1755)),
ISNUMBER(SEARCH("MONITOR",B1755)),
ISNUMBER(SEARCH("TABLET",B1755)),
ISNUMBER(SEARCH("SMARTPH",B1755)),
ISNUMBER(SEARCH("IMPRESORA",B1755)),
ISNUMBER(SEARCH("MULTIFUNCIONAL",B1755)),
ISNUMBER(SEARCH("AIO",B1755))
),
"GANCHO",
"NORMAL"
)
)</f>
        <v>NORMAL</v>
      </c>
    </row>
    <row r="1754" spans="1:12" x14ac:dyDescent="0.25">
      <c r="A1754" s="3" t="s">
        <v>2802</v>
      </c>
      <c r="B1754" s="3" t="s">
        <v>2803</v>
      </c>
      <c r="C1754" s="1">
        <v>15</v>
      </c>
      <c r="D1754" s="1">
        <v>729</v>
      </c>
      <c r="E1754" s="1" t="s">
        <v>220</v>
      </c>
      <c r="F1754" s="1" t="s">
        <v>4144</v>
      </c>
      <c r="G1754" s="3" t="s">
        <v>2804</v>
      </c>
      <c r="H1754" s="11">
        <f>ROUND(
IF(L1752="GANCHO",
   IF(I1754&lt;=50,I1754*1.1+4,IF(I1754&lt;=120,I1754*1.1+7,IF(I1754&lt;=250,I1754*1.1+11,I1754*1.1+19))),
IF(L1752="NORMAL",
   IF(I1754&lt;=30,I1754*1.15+2,IF(I1754&lt;=80,I1754*1.15+4,IF(I1754&lt;=150,I1754*1.15+6,I1754*1.15+8))),
IF(L1752="COMPLEMENTO",
   IF(I1754&lt;=25,I1754*1.25+1.5,IF(I1754&lt;=60,I1754*1.25+3,IF(I1754&lt;=120,I1754*1.25+4,I1754*1.25+5))),
""))),2)</f>
        <v>3450.6</v>
      </c>
      <c r="I1754" s="9">
        <f>($K$2+0.02)*Tabla1[[#This Row],[PRECIO $]]*1.18</f>
        <v>2993.5655999999999</v>
      </c>
      <c r="J1754" s="7">
        <f>+Tabla1[[#This Row],[PRECIO EN SOLES]]-Tabla1[[#This Row],[PC]]</f>
        <v>457.03440000000001</v>
      </c>
      <c r="K1754" s="15"/>
      <c r="L1754" s="15" t="str">
        <f>IF(
OR(
ISNUMBER(SEARCH("BACKPACK",B1756)),
ISNUMBER(SEARCH("MOCHILA",B1756)),
ISNUMBER(SEARCH("FUNDA",B1756)),
ISNUMBER(SEARCH("ESTUCHE",B1756)),
ISNUMBER(SEARCH("BOOK COVER",B1756)),
ISNUMBER(SEARCH("KEYBOARD PARA TABLET",B1756)),
ISNUMBER(SEARCH("FLIP TABLET",B1756)),
ISNUMBER(SEARCH("CASE FOR TABLET",B1756)),
ISNUMBER(SEARCH("CABLE",B1756)),
ISNUMBER(SEARCH("ADAPTADOR",B1756)),
ISNUMBER(SEARCH("HUB",B1756)),
ISNUMBER(SEARCH("DOCK",B1756)),
ISNUMBER(SEARCH("MOUSE PAD",B1756)),
ISNUMBER(SEARCH("MOUSEPAD",B1756)),
ISNUMBER(SEARCH("SOPORTE",B1756)),
ISNUMBER(SEARCH("STAND",B1756)),
ISNUMBER(SEARCH("TRAVEL ADAPTER",B1756)),
ISNUMBER(SEARCH("RJ45",B1756)),
ISNUMBER(SEARCH("USB-C",B1756)),
ISNUMBER(SEARCH("USB WIFI",B1756)),
ISNUMBER(SEARCH("POWERBANK",B1756)),
ISNUMBER(SEARCH("CARGADOR",B1756)),
ISNUMBER(SEARCH("COOLER PARA NB",B1756)),
ISNUMBER(SEARCH("SOPORTE PARA NB",B1756)),
ISNUMBER(SEARCH("WEBCAM",B1756)),
ISNUMBER(SEARCH("WEB CAM",B1756)),
ISNUMBER(SEARCH("MOUSE",B1756)),
ISNUMBER(SEARCH("TECLADO",B1756))
),
"COMPLEMENTO",
IF(
OR(
LEFT(A1756,2)="NB",
LEFT(A1756,2)="PC",
LEFT(A1756,2)="WS",
LEFT(A1756,2)="TB",
LEFT(A1756,3)="CEL",
LEFT(A1756,3)="MON",
LEFT(A1756,3)="PRE",
LEFT(A1756,3)="PRH",
ISNUMBER(SEARCH("NOTEBOOK",B1756)),
ISNUMBER(SEARCH("LAPTOP",B1756)),
ISNUMBER(SEARCH("MONITOR",B1756)),
ISNUMBER(SEARCH("TABLET",B1756)),
ISNUMBER(SEARCH("SMARTPH",B1756)),
ISNUMBER(SEARCH("IMPRESORA",B1756)),
ISNUMBER(SEARCH("MULTIFUNCIONAL",B1756)),
ISNUMBER(SEARCH("AIO",B1756))
),
"GANCHO",
"NORMAL"
)
)</f>
        <v>NORMAL</v>
      </c>
    </row>
    <row r="1755" spans="1:12" x14ac:dyDescent="0.25">
      <c r="A1755" s="3" t="s">
        <v>4357</v>
      </c>
      <c r="B1755" s="3" t="s">
        <v>4358</v>
      </c>
      <c r="C1755" s="1">
        <v>1</v>
      </c>
      <c r="D1755" s="1">
        <v>1528</v>
      </c>
      <c r="E1755" s="1" t="s">
        <v>220</v>
      </c>
      <c r="F1755" s="1" t="s">
        <v>4359</v>
      </c>
      <c r="G1755" s="3" t="s">
        <v>4360</v>
      </c>
      <c r="H1755" s="11">
        <f>ROUND(
IF(L1753="GANCHO",
   IF(I1755&lt;=50,I1755*1.1+4,IF(I1755&lt;=120,I1755*1.1+7,IF(I1755&lt;=250,I1755*1.1+11,I1755*1.1+19))),
IF(L1753="NORMAL",
   IF(I1755&lt;=30,I1755*1.15+2,IF(I1755&lt;=80,I1755*1.15+4,IF(I1755&lt;=150,I1755*1.15+6,I1755*1.15+8))),
IF(L1753="COMPLEMENTO",
   IF(I1755&lt;=25,I1755*1.25+1.5,IF(I1755&lt;=60,I1755*1.25+3,IF(I1755&lt;=120,I1755*1.25+4,I1755*1.25+5))),
""))),2)</f>
        <v>7223.77</v>
      </c>
      <c r="I1755" s="9">
        <f>($K$2+0.02)*Tabla1[[#This Row],[PRECIO $]]*1.18</f>
        <v>6274.5791999999992</v>
      </c>
      <c r="J1755" s="7">
        <f>+Tabla1[[#This Row],[PRECIO EN SOLES]]-Tabla1[[#This Row],[PC]]</f>
        <v>949.19080000000122</v>
      </c>
      <c r="K1755" s="15"/>
      <c r="L1755" s="15" t="str">
        <f>IF(
OR(
ISNUMBER(SEARCH("BACKPACK",B1757)),
ISNUMBER(SEARCH("MOCHILA",B1757)),
ISNUMBER(SEARCH("FUNDA",B1757)),
ISNUMBER(SEARCH("ESTUCHE",B1757)),
ISNUMBER(SEARCH("BOOK COVER",B1757)),
ISNUMBER(SEARCH("KEYBOARD PARA TABLET",B1757)),
ISNUMBER(SEARCH("FLIP TABLET",B1757)),
ISNUMBER(SEARCH("CASE FOR TABLET",B1757)),
ISNUMBER(SEARCH("CABLE",B1757)),
ISNUMBER(SEARCH("ADAPTADOR",B1757)),
ISNUMBER(SEARCH("HUB",B1757)),
ISNUMBER(SEARCH("DOCK",B1757)),
ISNUMBER(SEARCH("MOUSE PAD",B1757)),
ISNUMBER(SEARCH("MOUSEPAD",B1757)),
ISNUMBER(SEARCH("SOPORTE",B1757)),
ISNUMBER(SEARCH("STAND",B1757)),
ISNUMBER(SEARCH("TRAVEL ADAPTER",B1757)),
ISNUMBER(SEARCH("RJ45",B1757)),
ISNUMBER(SEARCH("USB-C",B1757)),
ISNUMBER(SEARCH("USB WIFI",B1757)),
ISNUMBER(SEARCH("POWERBANK",B1757)),
ISNUMBER(SEARCH("CARGADOR",B1757)),
ISNUMBER(SEARCH("COOLER PARA NB",B1757)),
ISNUMBER(SEARCH("SOPORTE PARA NB",B1757)),
ISNUMBER(SEARCH("WEBCAM",B1757)),
ISNUMBER(SEARCH("WEB CAM",B1757)),
ISNUMBER(SEARCH("MOUSE",B1757)),
ISNUMBER(SEARCH("TECLADO",B1757))
),
"COMPLEMENTO",
IF(
OR(
LEFT(A1757,2)="NB",
LEFT(A1757,2)="PC",
LEFT(A1757,2)="WS",
LEFT(A1757,2)="TB",
LEFT(A1757,3)="CEL",
LEFT(A1757,3)="MON",
LEFT(A1757,3)="PRE",
LEFT(A1757,3)="PRH",
ISNUMBER(SEARCH("NOTEBOOK",B1757)),
ISNUMBER(SEARCH("LAPTOP",B1757)),
ISNUMBER(SEARCH("MONITOR",B1757)),
ISNUMBER(SEARCH("TABLET",B1757)),
ISNUMBER(SEARCH("SMARTPH",B1757)),
ISNUMBER(SEARCH("IMPRESORA",B1757)),
ISNUMBER(SEARCH("MULTIFUNCIONAL",B1757)),
ISNUMBER(SEARCH("AIO",B1757))
),
"GANCHO",
"NORMAL"
)
)</f>
        <v>NORMAL</v>
      </c>
    </row>
    <row r="1756" spans="1:12" x14ac:dyDescent="0.25">
      <c r="A1756" s="3" t="s">
        <v>2662</v>
      </c>
      <c r="B1756" s="3" t="s">
        <v>2663</v>
      </c>
      <c r="C1756" s="1">
        <v>20</v>
      </c>
      <c r="D1756" s="1">
        <v>427.6</v>
      </c>
      <c r="E1756" s="1" t="s">
        <v>220</v>
      </c>
      <c r="F1756" s="1" t="s">
        <v>4145</v>
      </c>
      <c r="G1756" s="3" t="s">
        <v>2664</v>
      </c>
      <c r="H1756" s="11">
        <f>ROUND(
IF(L1754="GANCHO",
   IF(I1756&lt;=50,I1756*1.1+4,IF(I1756&lt;=120,I1756*1.1+7,IF(I1756&lt;=250,I1756*1.1+11,I1756*1.1+19))),
IF(L1754="NORMAL",
   IF(I1756&lt;=30,I1756*1.15+2,IF(I1756&lt;=80,I1756*1.15+4,IF(I1756&lt;=150,I1756*1.15+6,I1756*1.15+8))),
IF(L1754="COMPLEMENTO",
   IF(I1756&lt;=25,I1756*1.25+1.5,IF(I1756&lt;=60,I1756*1.25+3,IF(I1756&lt;=120,I1756*1.25+4,I1756*1.25+5))),
""))),2)</f>
        <v>2027.28</v>
      </c>
      <c r="I1756" s="9">
        <f>($K$2+0.02)*Tabla1[[#This Row],[PRECIO $]]*1.18</f>
        <v>1755.8966399999999</v>
      </c>
      <c r="J1756" s="7">
        <f>+Tabla1[[#This Row],[PRECIO EN SOLES]]-Tabla1[[#This Row],[PC]]</f>
        <v>271.38336000000004</v>
      </c>
      <c r="K1756" s="15"/>
      <c r="L1756" s="15" t="str">
        <f>IF(
OR(
ISNUMBER(SEARCH("BACKPACK",B1758)),
ISNUMBER(SEARCH("MOCHILA",B1758)),
ISNUMBER(SEARCH("FUNDA",B1758)),
ISNUMBER(SEARCH("ESTUCHE",B1758)),
ISNUMBER(SEARCH("BOOK COVER",B1758)),
ISNUMBER(SEARCH("KEYBOARD PARA TABLET",B1758)),
ISNUMBER(SEARCH("FLIP TABLET",B1758)),
ISNUMBER(SEARCH("CASE FOR TABLET",B1758)),
ISNUMBER(SEARCH("CABLE",B1758)),
ISNUMBER(SEARCH("ADAPTADOR",B1758)),
ISNUMBER(SEARCH("HUB",B1758)),
ISNUMBER(SEARCH("DOCK",B1758)),
ISNUMBER(SEARCH("MOUSE PAD",B1758)),
ISNUMBER(SEARCH("MOUSEPAD",B1758)),
ISNUMBER(SEARCH("SOPORTE",B1758)),
ISNUMBER(SEARCH("STAND",B1758)),
ISNUMBER(SEARCH("TRAVEL ADAPTER",B1758)),
ISNUMBER(SEARCH("RJ45",B1758)),
ISNUMBER(SEARCH("USB-C",B1758)),
ISNUMBER(SEARCH("USB WIFI",B1758)),
ISNUMBER(SEARCH("POWERBANK",B1758)),
ISNUMBER(SEARCH("CARGADOR",B1758)),
ISNUMBER(SEARCH("COOLER PARA NB",B1758)),
ISNUMBER(SEARCH("SOPORTE PARA NB",B1758)),
ISNUMBER(SEARCH("WEBCAM",B1758)),
ISNUMBER(SEARCH("WEB CAM",B1758)),
ISNUMBER(SEARCH("MOUSE",B1758)),
ISNUMBER(SEARCH("TECLADO",B1758))
),
"COMPLEMENTO",
IF(
OR(
LEFT(A1758,2)="NB",
LEFT(A1758,2)="PC",
LEFT(A1758,2)="WS",
LEFT(A1758,2)="TB",
LEFT(A1758,3)="CEL",
LEFT(A1758,3)="MON",
LEFT(A1758,3)="PRE",
LEFT(A1758,3)="PRH",
ISNUMBER(SEARCH("NOTEBOOK",B1758)),
ISNUMBER(SEARCH("LAPTOP",B1758)),
ISNUMBER(SEARCH("MONITOR",B1758)),
ISNUMBER(SEARCH("TABLET",B1758)),
ISNUMBER(SEARCH("SMARTPH",B1758)),
ISNUMBER(SEARCH("IMPRESORA",B1758)),
ISNUMBER(SEARCH("MULTIFUNCIONAL",B1758)),
ISNUMBER(SEARCH("AIO",B1758))
),
"GANCHO",
"NORMAL"
)
)</f>
        <v>NORMAL</v>
      </c>
    </row>
    <row r="1757" spans="1:12" x14ac:dyDescent="0.25">
      <c r="A1757" s="3" t="s">
        <v>2665</v>
      </c>
      <c r="B1757" s="3" t="s">
        <v>2666</v>
      </c>
      <c r="C1757" s="1">
        <v>14</v>
      </c>
      <c r="D1757" s="1">
        <v>739.7</v>
      </c>
      <c r="E1757" s="1" t="s">
        <v>220</v>
      </c>
      <c r="F1757" s="1" t="s">
        <v>4146</v>
      </c>
      <c r="G1757" s="3" t="s">
        <v>2667</v>
      </c>
      <c r="H1757" s="11">
        <f>ROUND(
IF(L1755="GANCHO",
   IF(I1757&lt;=50,I1757*1.1+4,IF(I1757&lt;=120,I1757*1.1+7,IF(I1757&lt;=250,I1757*1.1+11,I1757*1.1+19))),
IF(L1755="NORMAL",
   IF(I1757&lt;=30,I1757*1.15+2,IF(I1757&lt;=80,I1757*1.15+4,IF(I1757&lt;=150,I1757*1.15+6,I1757*1.15+8))),
IF(L1755="COMPLEMENTO",
   IF(I1757&lt;=25,I1757*1.25+1.5,IF(I1757&lt;=60,I1757*1.25+3,IF(I1757&lt;=120,I1757*1.25+4,I1757*1.25+5))),
""))),2)</f>
        <v>3501.13</v>
      </c>
      <c r="I1757" s="9">
        <f>($K$2+0.02)*Tabla1[[#This Row],[PRECIO $]]*1.18</f>
        <v>3037.5040799999997</v>
      </c>
      <c r="J1757" s="7">
        <f>+Tabla1[[#This Row],[PRECIO EN SOLES]]-Tabla1[[#This Row],[PC]]</f>
        <v>463.62592000000041</v>
      </c>
      <c r="K1757" s="15"/>
      <c r="L1757" s="15" t="str">
        <f>IF(
OR(
ISNUMBER(SEARCH("BACKPACK",B1759)),
ISNUMBER(SEARCH("MOCHILA",B1759)),
ISNUMBER(SEARCH("FUNDA",B1759)),
ISNUMBER(SEARCH("ESTUCHE",B1759)),
ISNUMBER(SEARCH("BOOK COVER",B1759)),
ISNUMBER(SEARCH("KEYBOARD PARA TABLET",B1759)),
ISNUMBER(SEARCH("FLIP TABLET",B1759)),
ISNUMBER(SEARCH("CASE FOR TABLET",B1759)),
ISNUMBER(SEARCH("CABLE",B1759)),
ISNUMBER(SEARCH("ADAPTADOR",B1759)),
ISNUMBER(SEARCH("HUB",B1759)),
ISNUMBER(SEARCH("DOCK",B1759)),
ISNUMBER(SEARCH("MOUSE PAD",B1759)),
ISNUMBER(SEARCH("MOUSEPAD",B1759)),
ISNUMBER(SEARCH("SOPORTE",B1759)),
ISNUMBER(SEARCH("STAND",B1759)),
ISNUMBER(SEARCH("TRAVEL ADAPTER",B1759)),
ISNUMBER(SEARCH("RJ45",B1759)),
ISNUMBER(SEARCH("USB-C",B1759)),
ISNUMBER(SEARCH("USB WIFI",B1759)),
ISNUMBER(SEARCH("POWERBANK",B1759)),
ISNUMBER(SEARCH("CARGADOR",B1759)),
ISNUMBER(SEARCH("COOLER PARA NB",B1759)),
ISNUMBER(SEARCH("SOPORTE PARA NB",B1759)),
ISNUMBER(SEARCH("WEBCAM",B1759)),
ISNUMBER(SEARCH("WEB CAM",B1759)),
ISNUMBER(SEARCH("MOUSE",B1759)),
ISNUMBER(SEARCH("TECLADO",B1759))
),
"COMPLEMENTO",
IF(
OR(
LEFT(A1759,2)="NB",
LEFT(A1759,2)="PC",
LEFT(A1759,2)="WS",
LEFT(A1759,2)="TB",
LEFT(A1759,3)="CEL",
LEFT(A1759,3)="MON",
LEFT(A1759,3)="PRE",
LEFT(A1759,3)="PRH",
ISNUMBER(SEARCH("NOTEBOOK",B1759)),
ISNUMBER(SEARCH("LAPTOP",B1759)),
ISNUMBER(SEARCH("MONITOR",B1759)),
ISNUMBER(SEARCH("TABLET",B1759)),
ISNUMBER(SEARCH("SMARTPH",B1759)),
ISNUMBER(SEARCH("IMPRESORA",B1759)),
ISNUMBER(SEARCH("MULTIFUNCIONAL",B1759)),
ISNUMBER(SEARCH("AIO",B1759))
),
"GANCHO",
"NORMAL"
)
)</f>
        <v>NORMAL</v>
      </c>
    </row>
    <row r="1758" spans="1:12" x14ac:dyDescent="0.25">
      <c r="A1758" s="3" t="s">
        <v>2668</v>
      </c>
      <c r="B1758" s="3" t="s">
        <v>2669</v>
      </c>
      <c r="C1758" s="1">
        <v>4</v>
      </c>
      <c r="D1758" s="1">
        <v>1542</v>
      </c>
      <c r="E1758" s="1" t="s">
        <v>220</v>
      </c>
      <c r="F1758" s="1" t="s">
        <v>4147</v>
      </c>
      <c r="G1758" s="3" t="s">
        <v>2670</v>
      </c>
      <c r="H1758" s="11">
        <f>ROUND(
IF(L1756="GANCHO",
   IF(I1758&lt;=50,I1758*1.1+4,IF(I1758&lt;=120,I1758*1.1+7,IF(I1758&lt;=250,I1758*1.1+11,I1758*1.1+19))),
IF(L1756="NORMAL",
   IF(I1758&lt;=30,I1758*1.15+2,IF(I1758&lt;=80,I1758*1.15+4,IF(I1758&lt;=150,I1758*1.15+6,I1758*1.15+8))),
IF(L1756="COMPLEMENTO",
   IF(I1758&lt;=25,I1758*1.25+1.5,IF(I1758&lt;=60,I1758*1.25+3,IF(I1758&lt;=120,I1758*1.25+4,I1758*1.25+5))),
""))),2)</f>
        <v>7289.88</v>
      </c>
      <c r="I1758" s="9">
        <f>($K$2+0.02)*Tabla1[[#This Row],[PRECIO $]]*1.18</f>
        <v>6332.0687999999991</v>
      </c>
      <c r="J1758" s="7">
        <f>+Tabla1[[#This Row],[PRECIO EN SOLES]]-Tabla1[[#This Row],[PC]]</f>
        <v>957.81120000000101</v>
      </c>
      <c r="K1758" s="15"/>
      <c r="L1758" s="15" t="str">
        <f>IF(
OR(
ISNUMBER(SEARCH("BACKPACK",B1760)),
ISNUMBER(SEARCH("MOCHILA",B1760)),
ISNUMBER(SEARCH("FUNDA",B1760)),
ISNUMBER(SEARCH("ESTUCHE",B1760)),
ISNUMBER(SEARCH("BOOK COVER",B1760)),
ISNUMBER(SEARCH("KEYBOARD PARA TABLET",B1760)),
ISNUMBER(SEARCH("FLIP TABLET",B1760)),
ISNUMBER(SEARCH("CASE FOR TABLET",B1760)),
ISNUMBER(SEARCH("CABLE",B1760)),
ISNUMBER(SEARCH("ADAPTADOR",B1760)),
ISNUMBER(SEARCH("HUB",B1760)),
ISNUMBER(SEARCH("DOCK",B1760)),
ISNUMBER(SEARCH("MOUSE PAD",B1760)),
ISNUMBER(SEARCH("MOUSEPAD",B1760)),
ISNUMBER(SEARCH("SOPORTE",B1760)),
ISNUMBER(SEARCH("STAND",B1760)),
ISNUMBER(SEARCH("TRAVEL ADAPTER",B1760)),
ISNUMBER(SEARCH("RJ45",B1760)),
ISNUMBER(SEARCH("USB-C",B1760)),
ISNUMBER(SEARCH("USB WIFI",B1760)),
ISNUMBER(SEARCH("POWERBANK",B1760)),
ISNUMBER(SEARCH("CARGADOR",B1760)),
ISNUMBER(SEARCH("COOLER PARA NB",B1760)),
ISNUMBER(SEARCH("SOPORTE PARA NB",B1760)),
ISNUMBER(SEARCH("WEBCAM",B1760)),
ISNUMBER(SEARCH("WEB CAM",B1760)),
ISNUMBER(SEARCH("MOUSE",B1760)),
ISNUMBER(SEARCH("TECLADO",B1760))
),
"COMPLEMENTO",
IF(
OR(
LEFT(A1760,2)="NB",
LEFT(A1760,2)="PC",
LEFT(A1760,2)="WS",
LEFT(A1760,2)="TB",
LEFT(A1760,3)="CEL",
LEFT(A1760,3)="MON",
LEFT(A1760,3)="PRE",
LEFT(A1760,3)="PRH",
ISNUMBER(SEARCH("NOTEBOOK",B1760)),
ISNUMBER(SEARCH("LAPTOP",B1760)),
ISNUMBER(SEARCH("MONITOR",B1760)),
ISNUMBER(SEARCH("TABLET",B1760)),
ISNUMBER(SEARCH("SMARTPH",B1760)),
ISNUMBER(SEARCH("IMPRESORA",B1760)),
ISNUMBER(SEARCH("MULTIFUNCIONAL",B1760)),
ISNUMBER(SEARCH("AIO",B1760))
),
"GANCHO",
"NORMAL"
)
)</f>
        <v>NORMAL</v>
      </c>
    </row>
    <row r="1759" spans="1:12" x14ac:dyDescent="0.25">
      <c r="A1759" s="3" t="s">
        <v>6974</v>
      </c>
      <c r="B1759" s="3" t="s">
        <v>6975</v>
      </c>
      <c r="C1759" s="1">
        <v>20</v>
      </c>
      <c r="D1759" s="1">
        <v>233</v>
      </c>
      <c r="E1759" s="1" t="s">
        <v>220</v>
      </c>
      <c r="F1759" s="1" t="s">
        <v>6976</v>
      </c>
      <c r="G1759" s="3" t="s">
        <v>6977</v>
      </c>
      <c r="H1759" s="11">
        <f>ROUND(
IF(L1757="GANCHO",
   IF(I1759&lt;=50,I1759*1.1+4,IF(I1759&lt;=120,I1759*1.1+7,IF(I1759&lt;=250,I1759*1.1+11,I1759*1.1+19))),
IF(L1757="NORMAL",
   IF(I1759&lt;=30,I1759*1.15+2,IF(I1759&lt;=80,I1759*1.15+4,IF(I1759&lt;=150,I1759*1.15+6,I1759*1.15+8))),
IF(L1757="COMPLEMENTO",
   IF(I1759&lt;=25,I1759*1.25+1.5,IF(I1759&lt;=60,I1759*1.25+3,IF(I1759&lt;=120,I1759*1.25+4,I1759*1.25+5))),
""))),2)</f>
        <v>1108.31</v>
      </c>
      <c r="I1759" s="9">
        <f>($K$2+0.02)*Tabla1[[#This Row],[PRECIO $]]*1.18</f>
        <v>956.7912</v>
      </c>
      <c r="J1759" s="7">
        <f>+Tabla1[[#This Row],[PRECIO EN SOLES]]-Tabla1[[#This Row],[PC]]</f>
        <v>151.51879999999994</v>
      </c>
      <c r="K1759" s="15"/>
      <c r="L1759" s="15" t="str">
        <f>IF(
OR(
ISNUMBER(SEARCH("BACKPACK",B1761)),
ISNUMBER(SEARCH("MOCHILA",B1761)),
ISNUMBER(SEARCH("FUNDA",B1761)),
ISNUMBER(SEARCH("ESTUCHE",B1761)),
ISNUMBER(SEARCH("BOOK COVER",B1761)),
ISNUMBER(SEARCH("KEYBOARD PARA TABLET",B1761)),
ISNUMBER(SEARCH("FLIP TABLET",B1761)),
ISNUMBER(SEARCH("CASE FOR TABLET",B1761)),
ISNUMBER(SEARCH("CABLE",B1761)),
ISNUMBER(SEARCH("ADAPTADOR",B1761)),
ISNUMBER(SEARCH("HUB",B1761)),
ISNUMBER(SEARCH("DOCK",B1761)),
ISNUMBER(SEARCH("MOUSE PAD",B1761)),
ISNUMBER(SEARCH("MOUSEPAD",B1761)),
ISNUMBER(SEARCH("SOPORTE",B1761)),
ISNUMBER(SEARCH("STAND",B1761)),
ISNUMBER(SEARCH("TRAVEL ADAPTER",B1761)),
ISNUMBER(SEARCH("RJ45",B1761)),
ISNUMBER(SEARCH("USB-C",B1761)),
ISNUMBER(SEARCH("USB WIFI",B1761)),
ISNUMBER(SEARCH("POWERBANK",B1761)),
ISNUMBER(SEARCH("CARGADOR",B1761)),
ISNUMBER(SEARCH("COOLER PARA NB",B1761)),
ISNUMBER(SEARCH("SOPORTE PARA NB",B1761)),
ISNUMBER(SEARCH("WEBCAM",B1761)),
ISNUMBER(SEARCH("WEB CAM",B1761)),
ISNUMBER(SEARCH("MOUSE",B1761)),
ISNUMBER(SEARCH("TECLADO",B1761))
),
"COMPLEMENTO",
IF(
OR(
LEFT(A1761,2)="NB",
LEFT(A1761,2)="PC",
LEFT(A1761,2)="WS",
LEFT(A1761,2)="TB",
LEFT(A1761,3)="CEL",
LEFT(A1761,3)="MON",
LEFT(A1761,3)="PRE",
LEFT(A1761,3)="PRH",
ISNUMBER(SEARCH("NOTEBOOK",B1761)),
ISNUMBER(SEARCH("LAPTOP",B1761)),
ISNUMBER(SEARCH("MONITOR",B1761)),
ISNUMBER(SEARCH("TABLET",B1761)),
ISNUMBER(SEARCH("SMARTPH",B1761)),
ISNUMBER(SEARCH("IMPRESORA",B1761)),
ISNUMBER(SEARCH("MULTIFUNCIONAL",B1761)),
ISNUMBER(SEARCH("AIO",B1761))
),
"GANCHO",
"NORMAL"
)
)</f>
        <v>NORMAL</v>
      </c>
    </row>
    <row r="1760" spans="1:12" x14ac:dyDescent="0.25">
      <c r="A1760" s="3" t="s">
        <v>2671</v>
      </c>
      <c r="B1760" s="3" t="s">
        <v>2672</v>
      </c>
      <c r="C1760" s="1">
        <v>20</v>
      </c>
      <c r="D1760" s="1">
        <v>391.3</v>
      </c>
      <c r="E1760" s="1" t="s">
        <v>220</v>
      </c>
      <c r="F1760" s="1" t="s">
        <v>4148</v>
      </c>
      <c r="G1760" s="3" t="s">
        <v>2673</v>
      </c>
      <c r="H1760" s="11">
        <f>ROUND(
IF(L1758="GANCHO",
   IF(I1760&lt;=50,I1760*1.1+4,IF(I1760&lt;=120,I1760*1.1+7,IF(I1760&lt;=250,I1760*1.1+11,I1760*1.1+19))),
IF(L1758="NORMAL",
   IF(I1760&lt;=30,I1760*1.15+2,IF(I1760&lt;=80,I1760*1.15+4,IF(I1760&lt;=150,I1760*1.15+6,I1760*1.15+8))),
IF(L1758="COMPLEMENTO",
   IF(I1760&lt;=25,I1760*1.25+1.5,IF(I1760&lt;=60,I1760*1.25+3,IF(I1760&lt;=120,I1760*1.25+4,I1760*1.25+5))),
""))),2)</f>
        <v>1855.86</v>
      </c>
      <c r="I1760" s="9">
        <f>($K$2+0.02)*Tabla1[[#This Row],[PRECIO $]]*1.18</f>
        <v>1606.8343199999999</v>
      </c>
      <c r="J1760" s="7">
        <f>+Tabla1[[#This Row],[PRECIO EN SOLES]]-Tabla1[[#This Row],[PC]]</f>
        <v>249.02567999999997</v>
      </c>
      <c r="K1760" s="15"/>
      <c r="L1760" s="15" t="str">
        <f>IF(
OR(
ISNUMBER(SEARCH("BACKPACK",B1762)),
ISNUMBER(SEARCH("MOCHILA",B1762)),
ISNUMBER(SEARCH("FUNDA",B1762)),
ISNUMBER(SEARCH("ESTUCHE",B1762)),
ISNUMBER(SEARCH("BOOK COVER",B1762)),
ISNUMBER(SEARCH("KEYBOARD PARA TABLET",B1762)),
ISNUMBER(SEARCH("FLIP TABLET",B1762)),
ISNUMBER(SEARCH("CASE FOR TABLET",B1762)),
ISNUMBER(SEARCH("CABLE",B1762)),
ISNUMBER(SEARCH("ADAPTADOR",B1762)),
ISNUMBER(SEARCH("HUB",B1762)),
ISNUMBER(SEARCH("DOCK",B1762)),
ISNUMBER(SEARCH("MOUSE PAD",B1762)),
ISNUMBER(SEARCH("MOUSEPAD",B1762)),
ISNUMBER(SEARCH("SOPORTE",B1762)),
ISNUMBER(SEARCH("STAND",B1762)),
ISNUMBER(SEARCH("TRAVEL ADAPTER",B1762)),
ISNUMBER(SEARCH("RJ45",B1762)),
ISNUMBER(SEARCH("USB-C",B1762)),
ISNUMBER(SEARCH("USB WIFI",B1762)),
ISNUMBER(SEARCH("POWERBANK",B1762)),
ISNUMBER(SEARCH("CARGADOR",B1762)),
ISNUMBER(SEARCH("COOLER PARA NB",B1762)),
ISNUMBER(SEARCH("SOPORTE PARA NB",B1762)),
ISNUMBER(SEARCH("WEBCAM",B1762)),
ISNUMBER(SEARCH("WEB CAM",B1762)),
ISNUMBER(SEARCH("MOUSE",B1762)),
ISNUMBER(SEARCH("TECLADO",B1762))
),
"COMPLEMENTO",
IF(
OR(
LEFT(A1762,2)="NB",
LEFT(A1762,2)="PC",
LEFT(A1762,2)="WS",
LEFT(A1762,2)="TB",
LEFT(A1762,3)="CEL",
LEFT(A1762,3)="MON",
LEFT(A1762,3)="PRE",
LEFT(A1762,3)="PRH",
ISNUMBER(SEARCH("NOTEBOOK",B1762)),
ISNUMBER(SEARCH("LAPTOP",B1762)),
ISNUMBER(SEARCH("MONITOR",B1762)),
ISNUMBER(SEARCH("TABLET",B1762)),
ISNUMBER(SEARCH("SMARTPH",B1762)),
ISNUMBER(SEARCH("IMPRESORA",B1762)),
ISNUMBER(SEARCH("MULTIFUNCIONAL",B1762)),
ISNUMBER(SEARCH("AIO",B1762))
),
"GANCHO",
"NORMAL"
)
)</f>
        <v>NORMAL</v>
      </c>
    </row>
    <row r="1761" spans="1:12" x14ac:dyDescent="0.25">
      <c r="A1761" s="3" t="s">
        <v>2674</v>
      </c>
      <c r="B1761" s="3" t="s">
        <v>2675</v>
      </c>
      <c r="C1761" s="1">
        <v>20</v>
      </c>
      <c r="D1761" s="1">
        <v>591</v>
      </c>
      <c r="E1761" s="1" t="s">
        <v>220</v>
      </c>
      <c r="F1761" s="1" t="s">
        <v>4149</v>
      </c>
      <c r="G1761" s="3" t="s">
        <v>2676</v>
      </c>
      <c r="H1761" s="11">
        <f>ROUND(
IF(L1759="GANCHO",
   IF(I1761&lt;=50,I1761*1.1+4,IF(I1761&lt;=120,I1761*1.1+7,IF(I1761&lt;=250,I1761*1.1+11,I1761*1.1+19))),
IF(L1759="NORMAL",
   IF(I1761&lt;=30,I1761*1.15+2,IF(I1761&lt;=80,I1761*1.15+4,IF(I1761&lt;=150,I1761*1.15+6,I1761*1.15+8))),
IF(L1759="COMPLEMENTO",
   IF(I1761&lt;=25,I1761*1.25+1.5,IF(I1761&lt;=60,I1761*1.25+3,IF(I1761&lt;=120,I1761*1.25+4,I1761*1.25+5))),
""))),2)</f>
        <v>2798.91</v>
      </c>
      <c r="I1761" s="9">
        <f>($K$2+0.02)*Tabla1[[#This Row],[PRECIO $]]*1.18</f>
        <v>2426.8823999999995</v>
      </c>
      <c r="J1761" s="7">
        <f>+Tabla1[[#This Row],[PRECIO EN SOLES]]-Tabla1[[#This Row],[PC]]</f>
        <v>372.02760000000035</v>
      </c>
      <c r="K1761" s="15"/>
      <c r="L1761" s="15" t="str">
        <f>IF(
OR(
ISNUMBER(SEARCH("BACKPACK",B1763)),
ISNUMBER(SEARCH("MOCHILA",B1763)),
ISNUMBER(SEARCH("FUNDA",B1763)),
ISNUMBER(SEARCH("ESTUCHE",B1763)),
ISNUMBER(SEARCH("BOOK COVER",B1763)),
ISNUMBER(SEARCH("KEYBOARD PARA TABLET",B1763)),
ISNUMBER(SEARCH("FLIP TABLET",B1763)),
ISNUMBER(SEARCH("CASE FOR TABLET",B1763)),
ISNUMBER(SEARCH("CABLE",B1763)),
ISNUMBER(SEARCH("ADAPTADOR",B1763)),
ISNUMBER(SEARCH("HUB",B1763)),
ISNUMBER(SEARCH("DOCK",B1763)),
ISNUMBER(SEARCH("MOUSE PAD",B1763)),
ISNUMBER(SEARCH("MOUSEPAD",B1763)),
ISNUMBER(SEARCH("SOPORTE",B1763)),
ISNUMBER(SEARCH("STAND",B1763)),
ISNUMBER(SEARCH("TRAVEL ADAPTER",B1763)),
ISNUMBER(SEARCH("RJ45",B1763)),
ISNUMBER(SEARCH("USB-C",B1763)),
ISNUMBER(SEARCH("USB WIFI",B1763)),
ISNUMBER(SEARCH("POWERBANK",B1763)),
ISNUMBER(SEARCH("CARGADOR",B1763)),
ISNUMBER(SEARCH("COOLER PARA NB",B1763)),
ISNUMBER(SEARCH("SOPORTE PARA NB",B1763)),
ISNUMBER(SEARCH("WEBCAM",B1763)),
ISNUMBER(SEARCH("WEB CAM",B1763)),
ISNUMBER(SEARCH("MOUSE",B1763)),
ISNUMBER(SEARCH("TECLADO",B1763))
),
"COMPLEMENTO",
IF(
OR(
LEFT(A1763,2)="NB",
LEFT(A1763,2)="PC",
LEFT(A1763,2)="WS",
LEFT(A1763,2)="TB",
LEFT(A1763,3)="CEL",
LEFT(A1763,3)="MON",
LEFT(A1763,3)="PRE",
LEFT(A1763,3)="PRH",
ISNUMBER(SEARCH("NOTEBOOK",B1763)),
ISNUMBER(SEARCH("LAPTOP",B1763)),
ISNUMBER(SEARCH("MONITOR",B1763)),
ISNUMBER(SEARCH("TABLET",B1763)),
ISNUMBER(SEARCH("SMARTPH",B1763)),
ISNUMBER(SEARCH("IMPRESORA",B1763)),
ISNUMBER(SEARCH("MULTIFUNCIONAL",B1763)),
ISNUMBER(SEARCH("AIO",B1763))
),
"GANCHO",
"NORMAL"
)
)</f>
        <v>NORMAL</v>
      </c>
    </row>
    <row r="1762" spans="1:12" x14ac:dyDescent="0.25">
      <c r="A1762" s="3" t="s">
        <v>4460</v>
      </c>
      <c r="B1762" s="3" t="s">
        <v>4461</v>
      </c>
      <c r="C1762" s="1">
        <v>1</v>
      </c>
      <c r="D1762" s="1">
        <v>2342</v>
      </c>
      <c r="E1762" s="1" t="s">
        <v>220</v>
      </c>
      <c r="F1762" s="1" t="s">
        <v>4462</v>
      </c>
      <c r="G1762" s="3" t="s">
        <v>4463</v>
      </c>
      <c r="H1762" s="11">
        <f>ROUND(
IF(L1760="GANCHO",
   IF(I1762&lt;=50,I1762*1.1+4,IF(I1762&lt;=120,I1762*1.1+7,IF(I1762&lt;=250,I1762*1.1+11,I1762*1.1+19))),
IF(L1760="NORMAL",
   IF(I1762&lt;=30,I1762*1.15+2,IF(I1762&lt;=80,I1762*1.15+4,IF(I1762&lt;=150,I1762*1.15+6,I1762*1.15+8))),
IF(L1760="COMPLEMENTO",
   IF(I1762&lt;=25,I1762*1.25+1.5,IF(I1762&lt;=60,I1762*1.25+3,IF(I1762&lt;=120,I1762*1.25+4,I1762*1.25+5))),
""))),2)</f>
        <v>11067.77</v>
      </c>
      <c r="I1762" s="9">
        <f>($K$2+0.02)*Tabla1[[#This Row],[PRECIO $]]*1.18</f>
        <v>9617.1887999999999</v>
      </c>
      <c r="J1762" s="7">
        <f>+Tabla1[[#This Row],[PRECIO EN SOLES]]-Tabla1[[#This Row],[PC]]</f>
        <v>1450.5812000000005</v>
      </c>
      <c r="K1762" s="15"/>
      <c r="L1762" s="15" t="str">
        <f>IF(
OR(
ISNUMBER(SEARCH("BACKPACK",B1764)),
ISNUMBER(SEARCH("MOCHILA",B1764)),
ISNUMBER(SEARCH("FUNDA",B1764)),
ISNUMBER(SEARCH("ESTUCHE",B1764)),
ISNUMBER(SEARCH("BOOK COVER",B1764)),
ISNUMBER(SEARCH("KEYBOARD PARA TABLET",B1764)),
ISNUMBER(SEARCH("FLIP TABLET",B1764)),
ISNUMBER(SEARCH("CASE FOR TABLET",B1764)),
ISNUMBER(SEARCH("CABLE",B1764)),
ISNUMBER(SEARCH("ADAPTADOR",B1764)),
ISNUMBER(SEARCH("HUB",B1764)),
ISNUMBER(SEARCH("DOCK",B1764)),
ISNUMBER(SEARCH("MOUSE PAD",B1764)),
ISNUMBER(SEARCH("MOUSEPAD",B1764)),
ISNUMBER(SEARCH("SOPORTE",B1764)),
ISNUMBER(SEARCH("STAND",B1764)),
ISNUMBER(SEARCH("TRAVEL ADAPTER",B1764)),
ISNUMBER(SEARCH("RJ45",B1764)),
ISNUMBER(SEARCH("USB-C",B1764)),
ISNUMBER(SEARCH("USB WIFI",B1764)),
ISNUMBER(SEARCH("POWERBANK",B1764)),
ISNUMBER(SEARCH("CARGADOR",B1764)),
ISNUMBER(SEARCH("COOLER PARA NB",B1764)),
ISNUMBER(SEARCH("SOPORTE PARA NB",B1764)),
ISNUMBER(SEARCH("WEBCAM",B1764)),
ISNUMBER(SEARCH("WEB CAM",B1764)),
ISNUMBER(SEARCH("MOUSE",B1764)),
ISNUMBER(SEARCH("TECLADO",B1764))
),
"COMPLEMENTO",
IF(
OR(
LEFT(A1764,2)="NB",
LEFT(A1764,2)="PC",
LEFT(A1764,2)="WS",
LEFT(A1764,2)="TB",
LEFT(A1764,3)="CEL",
LEFT(A1764,3)="MON",
LEFT(A1764,3)="PRE",
LEFT(A1764,3)="PRH",
ISNUMBER(SEARCH("NOTEBOOK",B1764)),
ISNUMBER(SEARCH("LAPTOP",B1764)),
ISNUMBER(SEARCH("MONITOR",B1764)),
ISNUMBER(SEARCH("TABLET",B1764)),
ISNUMBER(SEARCH("SMARTPH",B1764)),
ISNUMBER(SEARCH("IMPRESORA",B1764)),
ISNUMBER(SEARCH("MULTIFUNCIONAL",B1764)),
ISNUMBER(SEARCH("AIO",B1764))
),
"GANCHO",
"NORMAL"
)
)</f>
        <v>NORMAL</v>
      </c>
    </row>
    <row r="1763" spans="1:12" x14ac:dyDescent="0.25">
      <c r="A1763" s="3" t="s">
        <v>5566</v>
      </c>
      <c r="B1763" s="3" t="s">
        <v>5567</v>
      </c>
      <c r="C1763" s="1">
        <v>9</v>
      </c>
      <c r="D1763" s="1">
        <v>840</v>
      </c>
      <c r="E1763" s="1" t="s">
        <v>58</v>
      </c>
      <c r="F1763" s="1" t="s">
        <v>5568</v>
      </c>
      <c r="G1763" s="3" t="s">
        <v>5569</v>
      </c>
      <c r="H1763" s="11">
        <f>ROUND(
IF(L1761="GANCHO",
   IF(I1763&lt;=50,I1763*1.1+4,IF(I1763&lt;=120,I1763*1.1+7,IF(I1763&lt;=250,I1763*1.1+11,I1763*1.1+19))),
IF(L1761="NORMAL",
   IF(I1763&lt;=30,I1763*1.15+2,IF(I1763&lt;=80,I1763*1.15+4,IF(I1763&lt;=150,I1763*1.15+6,I1763*1.15+8))),
IF(L1761="COMPLEMENTO",
   IF(I1763&lt;=25,I1763*1.25+1.5,IF(I1763&lt;=60,I1763*1.25+3,IF(I1763&lt;=120,I1763*1.25+4,I1763*1.25+5))),
""))),2)</f>
        <v>3974.78</v>
      </c>
      <c r="I1763" s="9">
        <f>($K$2+0.02)*Tabla1[[#This Row],[PRECIO $]]*1.18</f>
        <v>3449.3759999999997</v>
      </c>
      <c r="J1763" s="7">
        <f>+Tabla1[[#This Row],[PRECIO EN SOLES]]-Tabla1[[#This Row],[PC]]</f>
        <v>525.40400000000045</v>
      </c>
      <c r="K1763" s="15"/>
      <c r="L1763" s="15" t="str">
        <f>IF(
OR(
ISNUMBER(SEARCH("BACKPACK",B1765)),
ISNUMBER(SEARCH("MOCHILA",B1765)),
ISNUMBER(SEARCH("FUNDA",B1765)),
ISNUMBER(SEARCH("ESTUCHE",B1765)),
ISNUMBER(SEARCH("BOOK COVER",B1765)),
ISNUMBER(SEARCH("KEYBOARD PARA TABLET",B1765)),
ISNUMBER(SEARCH("FLIP TABLET",B1765)),
ISNUMBER(SEARCH("CASE FOR TABLET",B1765)),
ISNUMBER(SEARCH("CABLE",B1765)),
ISNUMBER(SEARCH("ADAPTADOR",B1765)),
ISNUMBER(SEARCH("HUB",B1765)),
ISNUMBER(SEARCH("DOCK",B1765)),
ISNUMBER(SEARCH("MOUSE PAD",B1765)),
ISNUMBER(SEARCH("MOUSEPAD",B1765)),
ISNUMBER(SEARCH("SOPORTE",B1765)),
ISNUMBER(SEARCH("STAND",B1765)),
ISNUMBER(SEARCH("TRAVEL ADAPTER",B1765)),
ISNUMBER(SEARCH("RJ45",B1765)),
ISNUMBER(SEARCH("USB-C",B1765)),
ISNUMBER(SEARCH("USB WIFI",B1765)),
ISNUMBER(SEARCH("POWERBANK",B1765)),
ISNUMBER(SEARCH("CARGADOR",B1765)),
ISNUMBER(SEARCH("COOLER PARA NB",B1765)),
ISNUMBER(SEARCH("SOPORTE PARA NB",B1765)),
ISNUMBER(SEARCH("WEBCAM",B1765)),
ISNUMBER(SEARCH("WEB CAM",B1765)),
ISNUMBER(SEARCH("MOUSE",B1765)),
ISNUMBER(SEARCH("TECLADO",B1765))
),
"COMPLEMENTO",
IF(
OR(
LEFT(A1765,2)="NB",
LEFT(A1765,2)="PC",
LEFT(A1765,2)="WS",
LEFT(A1765,2)="TB",
LEFT(A1765,3)="CEL",
LEFT(A1765,3)="MON",
LEFT(A1765,3)="PRE",
LEFT(A1765,3)="PRH",
ISNUMBER(SEARCH("NOTEBOOK",B1765)),
ISNUMBER(SEARCH("LAPTOP",B1765)),
ISNUMBER(SEARCH("MONITOR",B1765)),
ISNUMBER(SEARCH("TABLET",B1765)),
ISNUMBER(SEARCH("SMARTPH",B1765)),
ISNUMBER(SEARCH("IMPRESORA",B1765)),
ISNUMBER(SEARCH("MULTIFUNCIONAL",B1765)),
ISNUMBER(SEARCH("AIO",B1765))
),
"GANCHO",
"NORMAL"
)
)</f>
        <v>NORMAL</v>
      </c>
    </row>
    <row r="1764" spans="1:12" x14ac:dyDescent="0.25">
      <c r="A1764" s="3" t="s">
        <v>5570</v>
      </c>
      <c r="B1764" s="3" t="s">
        <v>5571</v>
      </c>
      <c r="C1764" s="1">
        <v>8</v>
      </c>
      <c r="D1764" s="1">
        <v>913</v>
      </c>
      <c r="E1764" s="1" t="s">
        <v>58</v>
      </c>
      <c r="F1764" s="1" t="s">
        <v>5572</v>
      </c>
      <c r="G1764" s="3" t="s">
        <v>5573</v>
      </c>
      <c r="H1764" s="11">
        <f>ROUND(
IF(L1762="GANCHO",
   IF(I1764&lt;=50,I1764*1.1+4,IF(I1764&lt;=120,I1764*1.1+7,IF(I1764&lt;=250,I1764*1.1+11,I1764*1.1+19))),
IF(L1762="NORMAL",
   IF(I1764&lt;=30,I1764*1.15+2,IF(I1764&lt;=80,I1764*1.15+4,IF(I1764&lt;=150,I1764*1.15+6,I1764*1.15+8))),
IF(L1762="COMPLEMENTO",
   IF(I1764&lt;=25,I1764*1.25+1.5,IF(I1764&lt;=60,I1764*1.25+3,IF(I1764&lt;=120,I1764*1.25+4,I1764*1.25+5))),
""))),2)</f>
        <v>4319.51</v>
      </c>
      <c r="I1764" s="9">
        <f>($K$2+0.02)*Tabla1[[#This Row],[PRECIO $]]*1.18</f>
        <v>3749.1431999999995</v>
      </c>
      <c r="J1764" s="7">
        <f>+Tabla1[[#This Row],[PRECIO EN SOLES]]-Tabla1[[#This Row],[PC]]</f>
        <v>570.36680000000069</v>
      </c>
      <c r="K1764" s="15"/>
      <c r="L1764" s="15" t="str">
        <f>IF(
OR(
ISNUMBER(SEARCH("BACKPACK",B1766)),
ISNUMBER(SEARCH("MOCHILA",B1766)),
ISNUMBER(SEARCH("FUNDA",B1766)),
ISNUMBER(SEARCH("ESTUCHE",B1766)),
ISNUMBER(SEARCH("BOOK COVER",B1766)),
ISNUMBER(SEARCH("KEYBOARD PARA TABLET",B1766)),
ISNUMBER(SEARCH("FLIP TABLET",B1766)),
ISNUMBER(SEARCH("CASE FOR TABLET",B1766)),
ISNUMBER(SEARCH("CABLE",B1766)),
ISNUMBER(SEARCH("ADAPTADOR",B1766)),
ISNUMBER(SEARCH("HUB",B1766)),
ISNUMBER(SEARCH("DOCK",B1766)),
ISNUMBER(SEARCH("MOUSE PAD",B1766)),
ISNUMBER(SEARCH("MOUSEPAD",B1766)),
ISNUMBER(SEARCH("SOPORTE",B1766)),
ISNUMBER(SEARCH("STAND",B1766)),
ISNUMBER(SEARCH("TRAVEL ADAPTER",B1766)),
ISNUMBER(SEARCH("RJ45",B1766)),
ISNUMBER(SEARCH("USB-C",B1766)),
ISNUMBER(SEARCH("USB WIFI",B1766)),
ISNUMBER(SEARCH("POWERBANK",B1766)),
ISNUMBER(SEARCH("CARGADOR",B1766)),
ISNUMBER(SEARCH("COOLER PARA NB",B1766)),
ISNUMBER(SEARCH("SOPORTE PARA NB",B1766)),
ISNUMBER(SEARCH("WEBCAM",B1766)),
ISNUMBER(SEARCH("WEB CAM",B1766)),
ISNUMBER(SEARCH("MOUSE",B1766)),
ISNUMBER(SEARCH("TECLADO",B1766))
),
"COMPLEMENTO",
IF(
OR(
LEFT(A1766,2)="NB",
LEFT(A1766,2)="PC",
LEFT(A1766,2)="WS",
LEFT(A1766,2)="TB",
LEFT(A1766,3)="CEL",
LEFT(A1766,3)="MON",
LEFT(A1766,3)="PRE",
LEFT(A1766,3)="PRH",
ISNUMBER(SEARCH("NOTEBOOK",B1766)),
ISNUMBER(SEARCH("LAPTOP",B1766)),
ISNUMBER(SEARCH("MONITOR",B1766)),
ISNUMBER(SEARCH("TABLET",B1766)),
ISNUMBER(SEARCH("SMARTPH",B1766)),
ISNUMBER(SEARCH("IMPRESORA",B1766)),
ISNUMBER(SEARCH("MULTIFUNCIONAL",B1766)),
ISNUMBER(SEARCH("AIO",B1766))
),
"GANCHO",
"NORMAL"
)
)</f>
        <v>NORMAL</v>
      </c>
    </row>
    <row r="1765" spans="1:12" x14ac:dyDescent="0.25">
      <c r="A1765" s="3" t="s">
        <v>2677</v>
      </c>
      <c r="B1765" s="3" t="s">
        <v>2678</v>
      </c>
      <c r="C1765" s="1">
        <v>1</v>
      </c>
      <c r="D1765" s="1">
        <v>250</v>
      </c>
      <c r="E1765" s="1" t="s">
        <v>224</v>
      </c>
      <c r="F1765" s="1" t="s">
        <v>4150</v>
      </c>
      <c r="G1765" s="3" t="s">
        <v>2679</v>
      </c>
      <c r="H1765" s="11">
        <f>ROUND(
IF(L1763="GANCHO",
   IF(I1765&lt;=50,I1765*1.1+4,IF(I1765&lt;=120,I1765*1.1+7,IF(I1765&lt;=250,I1765*1.1+11,I1765*1.1+19))),
IF(L1763="NORMAL",
   IF(I1765&lt;=30,I1765*1.15+2,IF(I1765&lt;=80,I1765*1.15+4,IF(I1765&lt;=150,I1765*1.15+6,I1765*1.15+8))),
IF(L1763="COMPLEMENTO",
   IF(I1765&lt;=25,I1765*1.25+1.5,IF(I1765&lt;=60,I1765*1.25+3,IF(I1765&lt;=120,I1765*1.25+4,I1765*1.25+5))),
""))),2)</f>
        <v>1188.5899999999999</v>
      </c>
      <c r="I1765" s="9">
        <f>($K$2+0.02)*Tabla1[[#This Row],[PRECIO $]]*1.18</f>
        <v>1026.5999999999999</v>
      </c>
      <c r="J1765" s="7">
        <f>+Tabla1[[#This Row],[PRECIO EN SOLES]]-Tabla1[[#This Row],[PC]]</f>
        <v>161.99</v>
      </c>
      <c r="K1765" s="15"/>
      <c r="L1765" s="15" t="str">
        <f>IF(
OR(
ISNUMBER(SEARCH("BACKPACK",B1767)),
ISNUMBER(SEARCH("MOCHILA",B1767)),
ISNUMBER(SEARCH("FUNDA",B1767)),
ISNUMBER(SEARCH("ESTUCHE",B1767)),
ISNUMBER(SEARCH("BOOK COVER",B1767)),
ISNUMBER(SEARCH("KEYBOARD PARA TABLET",B1767)),
ISNUMBER(SEARCH("FLIP TABLET",B1767)),
ISNUMBER(SEARCH("CASE FOR TABLET",B1767)),
ISNUMBER(SEARCH("CABLE",B1767)),
ISNUMBER(SEARCH("ADAPTADOR",B1767)),
ISNUMBER(SEARCH("HUB",B1767)),
ISNUMBER(SEARCH("DOCK",B1767)),
ISNUMBER(SEARCH("MOUSE PAD",B1767)),
ISNUMBER(SEARCH("MOUSEPAD",B1767)),
ISNUMBER(SEARCH("SOPORTE",B1767)),
ISNUMBER(SEARCH("STAND",B1767)),
ISNUMBER(SEARCH("TRAVEL ADAPTER",B1767)),
ISNUMBER(SEARCH("RJ45",B1767)),
ISNUMBER(SEARCH("USB-C",B1767)),
ISNUMBER(SEARCH("USB WIFI",B1767)),
ISNUMBER(SEARCH("POWERBANK",B1767)),
ISNUMBER(SEARCH("CARGADOR",B1767)),
ISNUMBER(SEARCH("COOLER PARA NB",B1767)),
ISNUMBER(SEARCH("SOPORTE PARA NB",B1767)),
ISNUMBER(SEARCH("WEBCAM",B1767)),
ISNUMBER(SEARCH("WEB CAM",B1767)),
ISNUMBER(SEARCH("MOUSE",B1767)),
ISNUMBER(SEARCH("TECLADO",B1767))
),
"COMPLEMENTO",
IF(
OR(
LEFT(A1767,2)="NB",
LEFT(A1767,2)="PC",
LEFT(A1767,2)="WS",
LEFT(A1767,2)="TB",
LEFT(A1767,3)="CEL",
LEFT(A1767,3)="MON",
LEFT(A1767,3)="PRE",
LEFT(A1767,3)="PRH",
ISNUMBER(SEARCH("NOTEBOOK",B1767)),
ISNUMBER(SEARCH("LAPTOP",B1767)),
ISNUMBER(SEARCH("MONITOR",B1767)),
ISNUMBER(SEARCH("TABLET",B1767)),
ISNUMBER(SEARCH("SMARTPH",B1767)),
ISNUMBER(SEARCH("IMPRESORA",B1767)),
ISNUMBER(SEARCH("MULTIFUNCIONAL",B1767)),
ISNUMBER(SEARCH("AIO",B1767))
),
"GANCHO",
"NORMAL"
)
)</f>
        <v>NORMAL</v>
      </c>
    </row>
    <row r="1766" spans="1:12" x14ac:dyDescent="0.25">
      <c r="A1766" s="3" t="s">
        <v>6181</v>
      </c>
      <c r="B1766" s="3" t="s">
        <v>6182</v>
      </c>
      <c r="C1766" s="1">
        <v>6</v>
      </c>
      <c r="D1766" s="1">
        <v>541</v>
      </c>
      <c r="E1766" s="1" t="s">
        <v>224</v>
      </c>
      <c r="F1766" s="1" t="s">
        <v>6183</v>
      </c>
      <c r="G1766" s="3" t="s">
        <v>6184</v>
      </c>
      <c r="H1766" s="11">
        <f>ROUND(
IF(L1764="GANCHO",
   IF(I1766&lt;=50,I1766*1.1+4,IF(I1766&lt;=120,I1766*1.1+7,IF(I1766&lt;=250,I1766*1.1+11,I1766*1.1+19))),
IF(L1764="NORMAL",
   IF(I1766&lt;=30,I1766*1.15+2,IF(I1766&lt;=80,I1766*1.15+4,IF(I1766&lt;=150,I1766*1.15+6,I1766*1.15+8))),
IF(L1764="COMPLEMENTO",
   IF(I1766&lt;=25,I1766*1.25+1.5,IF(I1766&lt;=60,I1766*1.25+3,IF(I1766&lt;=120,I1766*1.25+4,I1766*1.25+5))),
""))),2)</f>
        <v>2562.8000000000002</v>
      </c>
      <c r="I1766" s="9">
        <f>($K$2+0.02)*Tabla1[[#This Row],[PRECIO $]]*1.18</f>
        <v>2221.5623999999998</v>
      </c>
      <c r="J1766" s="7">
        <f>+Tabla1[[#This Row],[PRECIO EN SOLES]]-Tabla1[[#This Row],[PC]]</f>
        <v>341.23760000000038</v>
      </c>
      <c r="K1766" s="15"/>
      <c r="L1766" s="15" t="str">
        <f>IF(
OR(
ISNUMBER(SEARCH("BACKPACK",B1768)),
ISNUMBER(SEARCH("MOCHILA",B1768)),
ISNUMBER(SEARCH("FUNDA",B1768)),
ISNUMBER(SEARCH("ESTUCHE",B1768)),
ISNUMBER(SEARCH("BOOK COVER",B1768)),
ISNUMBER(SEARCH("KEYBOARD PARA TABLET",B1768)),
ISNUMBER(SEARCH("FLIP TABLET",B1768)),
ISNUMBER(SEARCH("CASE FOR TABLET",B1768)),
ISNUMBER(SEARCH("CABLE",B1768)),
ISNUMBER(SEARCH("ADAPTADOR",B1768)),
ISNUMBER(SEARCH("HUB",B1768)),
ISNUMBER(SEARCH("DOCK",B1768)),
ISNUMBER(SEARCH("MOUSE PAD",B1768)),
ISNUMBER(SEARCH("MOUSEPAD",B1768)),
ISNUMBER(SEARCH("SOPORTE",B1768)),
ISNUMBER(SEARCH("STAND",B1768)),
ISNUMBER(SEARCH("TRAVEL ADAPTER",B1768)),
ISNUMBER(SEARCH("RJ45",B1768)),
ISNUMBER(SEARCH("USB-C",B1768)),
ISNUMBER(SEARCH("USB WIFI",B1768)),
ISNUMBER(SEARCH("POWERBANK",B1768)),
ISNUMBER(SEARCH("CARGADOR",B1768)),
ISNUMBER(SEARCH("COOLER PARA NB",B1768)),
ISNUMBER(SEARCH("SOPORTE PARA NB",B1768)),
ISNUMBER(SEARCH("WEBCAM",B1768)),
ISNUMBER(SEARCH("WEB CAM",B1768)),
ISNUMBER(SEARCH("MOUSE",B1768)),
ISNUMBER(SEARCH("TECLADO",B1768))
),
"COMPLEMENTO",
IF(
OR(
LEFT(A1768,2)="NB",
LEFT(A1768,2)="PC",
LEFT(A1768,2)="WS",
LEFT(A1768,2)="TB",
LEFT(A1768,3)="CEL",
LEFT(A1768,3)="MON",
LEFT(A1768,3)="PRE",
LEFT(A1768,3)="PRH",
ISNUMBER(SEARCH("NOTEBOOK",B1768)),
ISNUMBER(SEARCH("LAPTOP",B1768)),
ISNUMBER(SEARCH("MONITOR",B1768)),
ISNUMBER(SEARCH("TABLET",B1768)),
ISNUMBER(SEARCH("SMARTPH",B1768)),
ISNUMBER(SEARCH("IMPRESORA",B1768)),
ISNUMBER(SEARCH("MULTIFUNCIONAL",B1768)),
ISNUMBER(SEARCH("AIO",B1768))
),
"GANCHO",
"NORMAL"
)
)</f>
        <v>NORMAL</v>
      </c>
    </row>
    <row r="1767" spans="1:12" x14ac:dyDescent="0.25">
      <c r="A1767" s="3" t="s">
        <v>6185</v>
      </c>
      <c r="B1767" s="3" t="s">
        <v>6186</v>
      </c>
      <c r="C1767" s="1">
        <v>11</v>
      </c>
      <c r="D1767" s="1">
        <v>450</v>
      </c>
      <c r="E1767" s="1" t="s">
        <v>224</v>
      </c>
      <c r="F1767" s="1" t="s">
        <v>6187</v>
      </c>
      <c r="G1767" s="3"/>
      <c r="H1767" s="11">
        <f>ROUND(
IF(L1765="GANCHO",
   IF(I1767&lt;=50,I1767*1.1+4,IF(I1767&lt;=120,I1767*1.1+7,IF(I1767&lt;=250,I1767*1.1+11,I1767*1.1+19))),
IF(L1765="NORMAL",
   IF(I1767&lt;=30,I1767*1.15+2,IF(I1767&lt;=80,I1767*1.15+4,IF(I1767&lt;=150,I1767*1.15+6,I1767*1.15+8))),
IF(L1765="COMPLEMENTO",
   IF(I1767&lt;=25,I1767*1.25+1.5,IF(I1767&lt;=60,I1767*1.25+3,IF(I1767&lt;=120,I1767*1.25+4,I1767*1.25+5))),
""))),2)</f>
        <v>2133.06</v>
      </c>
      <c r="I1767" s="9">
        <f>($K$2+0.02)*Tabla1[[#This Row],[PRECIO $]]*1.18</f>
        <v>1847.8799999999999</v>
      </c>
      <c r="J1767" s="7">
        <f>+Tabla1[[#This Row],[PRECIO EN SOLES]]-Tabla1[[#This Row],[PC]]</f>
        <v>285.18000000000006</v>
      </c>
      <c r="K1767" s="15"/>
      <c r="L1767" s="15" t="str">
        <f>IF(
OR(
ISNUMBER(SEARCH("BACKPACK",B1769)),
ISNUMBER(SEARCH("MOCHILA",B1769)),
ISNUMBER(SEARCH("FUNDA",B1769)),
ISNUMBER(SEARCH("ESTUCHE",B1769)),
ISNUMBER(SEARCH("BOOK COVER",B1769)),
ISNUMBER(SEARCH("KEYBOARD PARA TABLET",B1769)),
ISNUMBER(SEARCH("FLIP TABLET",B1769)),
ISNUMBER(SEARCH("CASE FOR TABLET",B1769)),
ISNUMBER(SEARCH("CABLE",B1769)),
ISNUMBER(SEARCH("ADAPTADOR",B1769)),
ISNUMBER(SEARCH("HUB",B1769)),
ISNUMBER(SEARCH("DOCK",B1769)),
ISNUMBER(SEARCH("MOUSE PAD",B1769)),
ISNUMBER(SEARCH("MOUSEPAD",B1769)),
ISNUMBER(SEARCH("SOPORTE",B1769)),
ISNUMBER(SEARCH("STAND",B1769)),
ISNUMBER(SEARCH("TRAVEL ADAPTER",B1769)),
ISNUMBER(SEARCH("RJ45",B1769)),
ISNUMBER(SEARCH("USB-C",B1769)),
ISNUMBER(SEARCH("USB WIFI",B1769)),
ISNUMBER(SEARCH("POWERBANK",B1769)),
ISNUMBER(SEARCH("CARGADOR",B1769)),
ISNUMBER(SEARCH("COOLER PARA NB",B1769)),
ISNUMBER(SEARCH("SOPORTE PARA NB",B1769)),
ISNUMBER(SEARCH("WEBCAM",B1769)),
ISNUMBER(SEARCH("WEB CAM",B1769)),
ISNUMBER(SEARCH("MOUSE",B1769)),
ISNUMBER(SEARCH("TECLADO",B1769))
),
"COMPLEMENTO",
IF(
OR(
LEFT(A1769,2)="NB",
LEFT(A1769,2)="PC",
LEFT(A1769,2)="WS",
LEFT(A1769,2)="TB",
LEFT(A1769,3)="CEL",
LEFT(A1769,3)="MON",
LEFT(A1769,3)="PRE",
LEFT(A1769,3)="PRH",
ISNUMBER(SEARCH("NOTEBOOK",B1769)),
ISNUMBER(SEARCH("LAPTOP",B1769)),
ISNUMBER(SEARCH("MONITOR",B1769)),
ISNUMBER(SEARCH("TABLET",B1769)),
ISNUMBER(SEARCH("SMARTPH",B1769)),
ISNUMBER(SEARCH("IMPRESORA",B1769)),
ISNUMBER(SEARCH("MULTIFUNCIONAL",B1769)),
ISNUMBER(SEARCH("AIO",B1769))
),
"GANCHO",
"NORMAL"
)
)</f>
        <v>NORMAL</v>
      </c>
    </row>
    <row r="1768" spans="1:12" x14ac:dyDescent="0.25">
      <c r="A1768" s="3" t="s">
        <v>6978</v>
      </c>
      <c r="B1768" s="3" t="s">
        <v>6979</v>
      </c>
      <c r="C1768" s="1">
        <v>2</v>
      </c>
      <c r="D1768" s="1">
        <v>1770</v>
      </c>
      <c r="E1768" s="1" t="s">
        <v>224</v>
      </c>
      <c r="F1768" s="1" t="s">
        <v>6980</v>
      </c>
      <c r="G1768" s="3" t="s">
        <v>6981</v>
      </c>
      <c r="H1768" s="11">
        <f>ROUND(
IF(L1766="GANCHO",
   IF(I1768&lt;=50,I1768*1.1+4,IF(I1768&lt;=120,I1768*1.1+7,IF(I1768&lt;=250,I1768*1.1+11,I1768*1.1+19))),
IF(L1766="NORMAL",
   IF(I1768&lt;=30,I1768*1.15+2,IF(I1768&lt;=80,I1768*1.15+4,IF(I1768&lt;=150,I1768*1.15+6,I1768*1.15+8))),
IF(L1766="COMPLEMENTO",
   IF(I1768&lt;=25,I1768*1.25+1.5,IF(I1768&lt;=60,I1768*1.25+3,IF(I1768&lt;=120,I1768*1.25+4,I1768*1.25+5))),
""))),2)</f>
        <v>8366.58</v>
      </c>
      <c r="I1768" s="9">
        <f>($K$2+0.02)*Tabla1[[#This Row],[PRECIO $]]*1.18</f>
        <v>7268.3280000000004</v>
      </c>
      <c r="J1768" s="7">
        <f>+Tabla1[[#This Row],[PRECIO EN SOLES]]-Tabla1[[#This Row],[PC]]</f>
        <v>1098.2519999999995</v>
      </c>
      <c r="K1768" s="15"/>
      <c r="L1768" s="15" t="str">
        <f>IF(
OR(
ISNUMBER(SEARCH("BACKPACK",B1770)),
ISNUMBER(SEARCH("MOCHILA",B1770)),
ISNUMBER(SEARCH("FUNDA",B1770)),
ISNUMBER(SEARCH("ESTUCHE",B1770)),
ISNUMBER(SEARCH("BOOK COVER",B1770)),
ISNUMBER(SEARCH("KEYBOARD PARA TABLET",B1770)),
ISNUMBER(SEARCH("FLIP TABLET",B1770)),
ISNUMBER(SEARCH("CASE FOR TABLET",B1770)),
ISNUMBER(SEARCH("CABLE",B1770)),
ISNUMBER(SEARCH("ADAPTADOR",B1770)),
ISNUMBER(SEARCH("HUB",B1770)),
ISNUMBER(SEARCH("DOCK",B1770)),
ISNUMBER(SEARCH("MOUSE PAD",B1770)),
ISNUMBER(SEARCH("MOUSEPAD",B1770)),
ISNUMBER(SEARCH("SOPORTE",B1770)),
ISNUMBER(SEARCH("STAND",B1770)),
ISNUMBER(SEARCH("TRAVEL ADAPTER",B1770)),
ISNUMBER(SEARCH("RJ45",B1770)),
ISNUMBER(SEARCH("USB-C",B1770)),
ISNUMBER(SEARCH("USB WIFI",B1770)),
ISNUMBER(SEARCH("POWERBANK",B1770)),
ISNUMBER(SEARCH("CARGADOR",B1770)),
ISNUMBER(SEARCH("COOLER PARA NB",B1770)),
ISNUMBER(SEARCH("SOPORTE PARA NB",B1770)),
ISNUMBER(SEARCH("WEBCAM",B1770)),
ISNUMBER(SEARCH("WEB CAM",B1770)),
ISNUMBER(SEARCH("MOUSE",B1770)),
ISNUMBER(SEARCH("TECLADO",B1770))
),
"COMPLEMENTO",
IF(
OR(
LEFT(A1770,2)="NB",
LEFT(A1770,2)="PC",
LEFT(A1770,2)="WS",
LEFT(A1770,2)="TB",
LEFT(A1770,3)="CEL",
LEFT(A1770,3)="MON",
LEFT(A1770,3)="PRE",
LEFT(A1770,3)="PRH",
ISNUMBER(SEARCH("NOTEBOOK",B1770)),
ISNUMBER(SEARCH("LAPTOP",B1770)),
ISNUMBER(SEARCH("MONITOR",B1770)),
ISNUMBER(SEARCH("TABLET",B1770)),
ISNUMBER(SEARCH("SMARTPH",B1770)),
ISNUMBER(SEARCH("IMPRESORA",B1770)),
ISNUMBER(SEARCH("MULTIFUNCIONAL",B1770)),
ISNUMBER(SEARCH("AIO",B1770))
),
"GANCHO",
"NORMAL"
)
)</f>
        <v>NORMAL</v>
      </c>
    </row>
    <row r="1769" spans="1:12" x14ac:dyDescent="0.25">
      <c r="A1769" s="3" t="s">
        <v>2680</v>
      </c>
      <c r="B1769" s="3" t="s">
        <v>2681</v>
      </c>
      <c r="C1769" s="1">
        <v>0</v>
      </c>
      <c r="D1769" s="1">
        <v>4680</v>
      </c>
      <c r="E1769" s="1" t="s">
        <v>220</v>
      </c>
      <c r="F1769" s="1" t="s">
        <v>4151</v>
      </c>
      <c r="G1769" s="3"/>
      <c r="H1769" s="11">
        <f>ROUND(
IF(L1767="GANCHO",
   IF(I1769&lt;=50,I1769*1.1+4,IF(I1769&lt;=120,I1769*1.1+7,IF(I1769&lt;=250,I1769*1.1+11,I1769*1.1+19))),
IF(L1767="NORMAL",
   IF(I1769&lt;=30,I1769*1.15+2,IF(I1769&lt;=80,I1769*1.15+4,IF(I1769&lt;=150,I1769*1.15+6,I1769*1.15+8))),
IF(L1767="COMPLEMENTO",
   IF(I1769&lt;=25,I1769*1.25+1.5,IF(I1769&lt;=60,I1769*1.25+3,IF(I1769&lt;=120,I1769*1.25+4,I1769*1.25+5))),
""))),2)</f>
        <v>22108.639999999999</v>
      </c>
      <c r="I1769" s="9">
        <f>($K$2+0.02)*Tabla1[[#This Row],[PRECIO $]]*1.18</f>
        <v>19217.951999999997</v>
      </c>
      <c r="J1769" s="7">
        <f>+Tabla1[[#This Row],[PRECIO EN SOLES]]-Tabla1[[#This Row],[PC]]</f>
        <v>2890.6880000000019</v>
      </c>
      <c r="K1769" s="15"/>
      <c r="L1769" s="15" t="str">
        <f>IF(
OR(
ISNUMBER(SEARCH("BACKPACK",B1771)),
ISNUMBER(SEARCH("MOCHILA",B1771)),
ISNUMBER(SEARCH("FUNDA",B1771)),
ISNUMBER(SEARCH("ESTUCHE",B1771)),
ISNUMBER(SEARCH("BOOK COVER",B1771)),
ISNUMBER(SEARCH("KEYBOARD PARA TABLET",B1771)),
ISNUMBER(SEARCH("FLIP TABLET",B1771)),
ISNUMBER(SEARCH("CASE FOR TABLET",B1771)),
ISNUMBER(SEARCH("CABLE",B1771)),
ISNUMBER(SEARCH("ADAPTADOR",B1771)),
ISNUMBER(SEARCH("HUB",B1771)),
ISNUMBER(SEARCH("DOCK",B1771)),
ISNUMBER(SEARCH("MOUSE PAD",B1771)),
ISNUMBER(SEARCH("MOUSEPAD",B1771)),
ISNUMBER(SEARCH("SOPORTE",B1771)),
ISNUMBER(SEARCH("STAND",B1771)),
ISNUMBER(SEARCH("TRAVEL ADAPTER",B1771)),
ISNUMBER(SEARCH("RJ45",B1771)),
ISNUMBER(SEARCH("USB-C",B1771)),
ISNUMBER(SEARCH("USB WIFI",B1771)),
ISNUMBER(SEARCH("POWERBANK",B1771)),
ISNUMBER(SEARCH("CARGADOR",B1771)),
ISNUMBER(SEARCH("COOLER PARA NB",B1771)),
ISNUMBER(SEARCH("SOPORTE PARA NB",B1771)),
ISNUMBER(SEARCH("WEBCAM",B1771)),
ISNUMBER(SEARCH("WEB CAM",B1771)),
ISNUMBER(SEARCH("MOUSE",B1771)),
ISNUMBER(SEARCH("TECLADO",B1771))
),
"COMPLEMENTO",
IF(
OR(
LEFT(A1771,2)="NB",
LEFT(A1771,2)="PC",
LEFT(A1771,2)="WS",
LEFT(A1771,2)="TB",
LEFT(A1771,3)="CEL",
LEFT(A1771,3)="MON",
LEFT(A1771,3)="PRE",
LEFT(A1771,3)="PRH",
ISNUMBER(SEARCH("NOTEBOOK",B1771)),
ISNUMBER(SEARCH("LAPTOP",B1771)),
ISNUMBER(SEARCH("MONITOR",B1771)),
ISNUMBER(SEARCH("TABLET",B1771)),
ISNUMBER(SEARCH("SMARTPH",B1771)),
ISNUMBER(SEARCH("IMPRESORA",B1771)),
ISNUMBER(SEARCH("MULTIFUNCIONAL",B1771)),
ISNUMBER(SEARCH("AIO",B1771))
),
"GANCHO",
"NORMAL"
)
)</f>
        <v>NORMAL</v>
      </c>
    </row>
    <row r="1770" spans="1:12" x14ac:dyDescent="0.25">
      <c r="A1770" s="3" t="s">
        <v>2682</v>
      </c>
      <c r="B1770" s="3" t="s">
        <v>2683</v>
      </c>
      <c r="C1770" s="1">
        <v>0</v>
      </c>
      <c r="D1770" s="1">
        <v>4332.5</v>
      </c>
      <c r="E1770" s="1" t="s">
        <v>220</v>
      </c>
      <c r="F1770" s="1" t="s">
        <v>4152</v>
      </c>
      <c r="G1770" s="3" t="s">
        <v>2684</v>
      </c>
      <c r="H1770" s="11">
        <f>ROUND(
IF(L1768="GANCHO",
   IF(I1770&lt;=50,I1770*1.1+4,IF(I1770&lt;=120,I1770*1.1+7,IF(I1770&lt;=250,I1770*1.1+11,I1770*1.1+19))),
IF(L1768="NORMAL",
   IF(I1770&lt;=30,I1770*1.15+2,IF(I1770&lt;=80,I1770*1.15+4,IF(I1770&lt;=150,I1770*1.15+6,I1770*1.15+8))),
IF(L1768="COMPLEMENTO",
   IF(I1770&lt;=25,I1770*1.25+1.5,IF(I1770&lt;=60,I1770*1.25+3,IF(I1770&lt;=120,I1770*1.25+4,I1770*1.25+5))),
""))),2)</f>
        <v>20467.62</v>
      </c>
      <c r="I1770" s="9">
        <f>($K$2+0.02)*Tabla1[[#This Row],[PRECIO $]]*1.18</f>
        <v>17790.977999999999</v>
      </c>
      <c r="J1770" s="7">
        <f>+Tabla1[[#This Row],[PRECIO EN SOLES]]-Tabla1[[#This Row],[PC]]</f>
        <v>2676.6419999999998</v>
      </c>
      <c r="K1770" s="15"/>
      <c r="L1770" s="15" t="str">
        <f>IF(
OR(
ISNUMBER(SEARCH("BACKPACK",B1772)),
ISNUMBER(SEARCH("MOCHILA",B1772)),
ISNUMBER(SEARCH("FUNDA",B1772)),
ISNUMBER(SEARCH("ESTUCHE",B1772)),
ISNUMBER(SEARCH("BOOK COVER",B1772)),
ISNUMBER(SEARCH("KEYBOARD PARA TABLET",B1772)),
ISNUMBER(SEARCH("FLIP TABLET",B1772)),
ISNUMBER(SEARCH("CASE FOR TABLET",B1772)),
ISNUMBER(SEARCH("CABLE",B1772)),
ISNUMBER(SEARCH("ADAPTADOR",B1772)),
ISNUMBER(SEARCH("HUB",B1772)),
ISNUMBER(SEARCH("DOCK",B1772)),
ISNUMBER(SEARCH("MOUSE PAD",B1772)),
ISNUMBER(SEARCH("MOUSEPAD",B1772)),
ISNUMBER(SEARCH("SOPORTE",B1772)),
ISNUMBER(SEARCH("STAND",B1772)),
ISNUMBER(SEARCH("TRAVEL ADAPTER",B1772)),
ISNUMBER(SEARCH("RJ45",B1772)),
ISNUMBER(SEARCH("USB-C",B1772)),
ISNUMBER(SEARCH("USB WIFI",B1772)),
ISNUMBER(SEARCH("POWERBANK",B1772)),
ISNUMBER(SEARCH("CARGADOR",B1772)),
ISNUMBER(SEARCH("COOLER PARA NB",B1772)),
ISNUMBER(SEARCH("SOPORTE PARA NB",B1772)),
ISNUMBER(SEARCH("WEBCAM",B1772)),
ISNUMBER(SEARCH("WEB CAM",B1772)),
ISNUMBER(SEARCH("MOUSE",B1772)),
ISNUMBER(SEARCH("TECLADO",B1772))
),
"COMPLEMENTO",
IF(
OR(
LEFT(A1772,2)="NB",
LEFT(A1772,2)="PC",
LEFT(A1772,2)="WS",
LEFT(A1772,2)="TB",
LEFT(A1772,3)="CEL",
LEFT(A1772,3)="MON",
LEFT(A1772,3)="PRE",
LEFT(A1772,3)="PRH",
ISNUMBER(SEARCH("NOTEBOOK",B1772)),
ISNUMBER(SEARCH("LAPTOP",B1772)),
ISNUMBER(SEARCH("MONITOR",B1772)),
ISNUMBER(SEARCH("TABLET",B1772)),
ISNUMBER(SEARCH("SMARTPH",B1772)),
ISNUMBER(SEARCH("IMPRESORA",B1772)),
ISNUMBER(SEARCH("MULTIFUNCIONAL",B1772)),
ISNUMBER(SEARCH("AIO",B1772))
),
"GANCHO",
"NORMAL"
)
)</f>
        <v>NORMAL</v>
      </c>
    </row>
    <row r="1771" spans="1:12" x14ac:dyDescent="0.25">
      <c r="A1771" s="3" t="s">
        <v>2686</v>
      </c>
      <c r="B1771" s="3" t="s">
        <v>2687</v>
      </c>
      <c r="C1771" s="1">
        <v>8</v>
      </c>
      <c r="D1771" s="1">
        <v>56.5</v>
      </c>
      <c r="E1771" s="1" t="s">
        <v>224</v>
      </c>
      <c r="F1771" s="1" t="s">
        <v>4153</v>
      </c>
      <c r="G1771" s="3"/>
      <c r="H1771" s="11">
        <f>ROUND(
IF(L1769="GANCHO",
   IF(I1771&lt;=50,I1771*1.1+4,IF(I1771&lt;=120,I1771*1.1+7,IF(I1771&lt;=250,I1771*1.1+11,I1771*1.1+19))),
IF(L1769="NORMAL",
   IF(I1771&lt;=30,I1771*1.15+2,IF(I1771&lt;=80,I1771*1.15+4,IF(I1771&lt;=150,I1771*1.15+6,I1771*1.15+8))),
IF(L1769="COMPLEMENTO",
   IF(I1771&lt;=25,I1771*1.25+1.5,IF(I1771&lt;=60,I1771*1.25+3,IF(I1771&lt;=120,I1771*1.25+4,I1771*1.25+5))),
""))),2)</f>
        <v>274.81</v>
      </c>
      <c r="I1771" s="9">
        <f>($K$2+0.02)*Tabla1[[#This Row],[PRECIO $]]*1.18</f>
        <v>232.01159999999999</v>
      </c>
      <c r="J1771" s="7">
        <f>+Tabla1[[#This Row],[PRECIO EN SOLES]]-Tabla1[[#This Row],[PC]]</f>
        <v>42.798400000000015</v>
      </c>
      <c r="K1771" s="15"/>
      <c r="L1771" s="15" t="str">
        <f>IF(
OR(
ISNUMBER(SEARCH("BACKPACK",B1773)),
ISNUMBER(SEARCH("MOCHILA",B1773)),
ISNUMBER(SEARCH("FUNDA",B1773)),
ISNUMBER(SEARCH("ESTUCHE",B1773)),
ISNUMBER(SEARCH("BOOK COVER",B1773)),
ISNUMBER(SEARCH("KEYBOARD PARA TABLET",B1773)),
ISNUMBER(SEARCH("FLIP TABLET",B1773)),
ISNUMBER(SEARCH("CASE FOR TABLET",B1773)),
ISNUMBER(SEARCH("CABLE",B1773)),
ISNUMBER(SEARCH("ADAPTADOR",B1773)),
ISNUMBER(SEARCH("HUB",B1773)),
ISNUMBER(SEARCH("DOCK",B1773)),
ISNUMBER(SEARCH("MOUSE PAD",B1773)),
ISNUMBER(SEARCH("MOUSEPAD",B1773)),
ISNUMBER(SEARCH("SOPORTE",B1773)),
ISNUMBER(SEARCH("STAND",B1773)),
ISNUMBER(SEARCH("TRAVEL ADAPTER",B1773)),
ISNUMBER(SEARCH("RJ45",B1773)),
ISNUMBER(SEARCH("USB-C",B1773)),
ISNUMBER(SEARCH("USB WIFI",B1773)),
ISNUMBER(SEARCH("POWERBANK",B1773)),
ISNUMBER(SEARCH("CARGADOR",B1773)),
ISNUMBER(SEARCH("COOLER PARA NB",B1773)),
ISNUMBER(SEARCH("SOPORTE PARA NB",B1773)),
ISNUMBER(SEARCH("WEBCAM",B1773)),
ISNUMBER(SEARCH("WEB CAM",B1773)),
ISNUMBER(SEARCH("MOUSE",B1773)),
ISNUMBER(SEARCH("TECLADO",B1773))
),
"COMPLEMENTO",
IF(
OR(
LEFT(A1773,2)="NB",
LEFT(A1773,2)="PC",
LEFT(A1773,2)="WS",
LEFT(A1773,2)="TB",
LEFT(A1773,3)="CEL",
LEFT(A1773,3)="MON",
LEFT(A1773,3)="PRE",
LEFT(A1773,3)="PRH",
ISNUMBER(SEARCH("NOTEBOOK",B1773)),
ISNUMBER(SEARCH("LAPTOP",B1773)),
ISNUMBER(SEARCH("MONITOR",B1773)),
ISNUMBER(SEARCH("TABLET",B1773)),
ISNUMBER(SEARCH("SMARTPH",B1773)),
ISNUMBER(SEARCH("IMPRESORA",B1773)),
ISNUMBER(SEARCH("MULTIFUNCIONAL",B1773)),
ISNUMBER(SEARCH("AIO",B1773))
),
"GANCHO",
"NORMAL"
)
)</f>
        <v>NORMAL</v>
      </c>
    </row>
    <row r="1772" spans="1:12" x14ac:dyDescent="0.25">
      <c r="A1772" s="3" t="s">
        <v>2688</v>
      </c>
      <c r="B1772" s="3" t="s">
        <v>2689</v>
      </c>
      <c r="C1772" s="1">
        <v>1</v>
      </c>
      <c r="D1772" s="1">
        <v>49</v>
      </c>
      <c r="E1772" s="1" t="s">
        <v>58</v>
      </c>
      <c r="F1772" s="1" t="s">
        <v>4154</v>
      </c>
      <c r="G1772" s="3" t="s">
        <v>2690</v>
      </c>
      <c r="H1772" s="11">
        <f>ROUND(
IF(L1770="GANCHO",
   IF(I1772&lt;=50,I1772*1.1+4,IF(I1772&lt;=120,I1772*1.1+7,IF(I1772&lt;=250,I1772*1.1+11,I1772*1.1+19))),
IF(L1770="NORMAL",
   IF(I1772&lt;=30,I1772*1.15+2,IF(I1772&lt;=80,I1772*1.15+4,IF(I1772&lt;=150,I1772*1.15+6,I1772*1.15+8))),
IF(L1770="COMPLEMENTO",
   IF(I1772&lt;=25,I1772*1.25+1.5,IF(I1772&lt;=60,I1772*1.25+3,IF(I1772&lt;=120,I1772*1.25+4,I1772*1.25+5))),
""))),2)</f>
        <v>239.4</v>
      </c>
      <c r="I1772" s="9">
        <f>($K$2+0.02)*Tabla1[[#This Row],[PRECIO $]]*1.18</f>
        <v>201.21360000000001</v>
      </c>
      <c r="J1772" s="7">
        <f>+Tabla1[[#This Row],[PRECIO EN SOLES]]-Tabla1[[#This Row],[PC]]</f>
        <v>38.186399999999992</v>
      </c>
      <c r="K1772" s="15"/>
      <c r="L1772" s="15" t="str">
        <f>IF(
OR(
ISNUMBER(SEARCH("BACKPACK",B1774)),
ISNUMBER(SEARCH("MOCHILA",B1774)),
ISNUMBER(SEARCH("FUNDA",B1774)),
ISNUMBER(SEARCH("ESTUCHE",B1774)),
ISNUMBER(SEARCH("BOOK COVER",B1774)),
ISNUMBER(SEARCH("KEYBOARD PARA TABLET",B1774)),
ISNUMBER(SEARCH("FLIP TABLET",B1774)),
ISNUMBER(SEARCH("CASE FOR TABLET",B1774)),
ISNUMBER(SEARCH("CABLE",B1774)),
ISNUMBER(SEARCH("ADAPTADOR",B1774)),
ISNUMBER(SEARCH("HUB",B1774)),
ISNUMBER(SEARCH("DOCK",B1774)),
ISNUMBER(SEARCH("MOUSE PAD",B1774)),
ISNUMBER(SEARCH("MOUSEPAD",B1774)),
ISNUMBER(SEARCH("SOPORTE",B1774)),
ISNUMBER(SEARCH("STAND",B1774)),
ISNUMBER(SEARCH("TRAVEL ADAPTER",B1774)),
ISNUMBER(SEARCH("RJ45",B1774)),
ISNUMBER(SEARCH("USB-C",B1774)),
ISNUMBER(SEARCH("USB WIFI",B1774)),
ISNUMBER(SEARCH("POWERBANK",B1774)),
ISNUMBER(SEARCH("CARGADOR",B1774)),
ISNUMBER(SEARCH("COOLER PARA NB",B1774)),
ISNUMBER(SEARCH("SOPORTE PARA NB",B1774)),
ISNUMBER(SEARCH("WEBCAM",B1774)),
ISNUMBER(SEARCH("WEB CAM",B1774)),
ISNUMBER(SEARCH("MOUSE",B1774)),
ISNUMBER(SEARCH("TECLADO",B1774))
),
"COMPLEMENTO",
IF(
OR(
LEFT(A1774,2)="NB",
LEFT(A1774,2)="PC",
LEFT(A1774,2)="WS",
LEFT(A1774,2)="TB",
LEFT(A1774,3)="CEL",
LEFT(A1774,3)="MON",
LEFT(A1774,3)="PRE",
LEFT(A1774,3)="PRH",
ISNUMBER(SEARCH("NOTEBOOK",B1774)),
ISNUMBER(SEARCH("LAPTOP",B1774)),
ISNUMBER(SEARCH("MONITOR",B1774)),
ISNUMBER(SEARCH("TABLET",B1774)),
ISNUMBER(SEARCH("SMARTPH",B1774)),
ISNUMBER(SEARCH("IMPRESORA",B1774)),
ISNUMBER(SEARCH("MULTIFUNCIONAL",B1774)),
ISNUMBER(SEARCH("AIO",B1774))
),
"GANCHO",
"NORMAL"
)
)</f>
        <v>NORMAL</v>
      </c>
    </row>
    <row r="1773" spans="1:12" x14ac:dyDescent="0.25">
      <c r="A1773" s="3" t="s">
        <v>5574</v>
      </c>
      <c r="B1773" s="3" t="s">
        <v>5575</v>
      </c>
      <c r="C1773" s="1">
        <v>1</v>
      </c>
      <c r="D1773" s="1">
        <v>122</v>
      </c>
      <c r="E1773" s="1" t="s">
        <v>58</v>
      </c>
      <c r="F1773" s="1" t="s">
        <v>5576</v>
      </c>
      <c r="G1773" s="3" t="s">
        <v>5577</v>
      </c>
      <c r="H1773" s="11">
        <f>ROUND(
IF(L1771="GANCHO",
   IF(I1773&lt;=50,I1773*1.1+4,IF(I1773&lt;=120,I1773*1.1+7,IF(I1773&lt;=250,I1773*1.1+11,I1773*1.1+19))),
IF(L1771="NORMAL",
   IF(I1773&lt;=30,I1773*1.15+2,IF(I1773&lt;=80,I1773*1.15+4,IF(I1773&lt;=150,I1773*1.15+6,I1773*1.15+8))),
IF(L1771="COMPLEMENTO",
   IF(I1773&lt;=25,I1773*1.25+1.5,IF(I1773&lt;=60,I1773*1.25+3,IF(I1773&lt;=120,I1773*1.25+4,I1773*1.25+5))),
""))),2)</f>
        <v>584.13</v>
      </c>
      <c r="I1773" s="9">
        <f>($K$2+0.02)*Tabla1[[#This Row],[PRECIO $]]*1.18</f>
        <v>500.98079999999999</v>
      </c>
      <c r="J1773" s="7">
        <f>+Tabla1[[#This Row],[PRECIO EN SOLES]]-Tabla1[[#This Row],[PC]]</f>
        <v>83.149200000000008</v>
      </c>
      <c r="K1773" s="15"/>
      <c r="L1773" s="15" t="str">
        <f>IF(
OR(
ISNUMBER(SEARCH("BACKPACK",B1775)),
ISNUMBER(SEARCH("MOCHILA",B1775)),
ISNUMBER(SEARCH("FUNDA",B1775)),
ISNUMBER(SEARCH("ESTUCHE",B1775)),
ISNUMBER(SEARCH("BOOK COVER",B1775)),
ISNUMBER(SEARCH("KEYBOARD PARA TABLET",B1775)),
ISNUMBER(SEARCH("FLIP TABLET",B1775)),
ISNUMBER(SEARCH("CASE FOR TABLET",B1775)),
ISNUMBER(SEARCH("CABLE",B1775)),
ISNUMBER(SEARCH("ADAPTADOR",B1775)),
ISNUMBER(SEARCH("HUB",B1775)),
ISNUMBER(SEARCH("DOCK",B1775)),
ISNUMBER(SEARCH("MOUSE PAD",B1775)),
ISNUMBER(SEARCH("MOUSEPAD",B1775)),
ISNUMBER(SEARCH("SOPORTE",B1775)),
ISNUMBER(SEARCH("STAND",B1775)),
ISNUMBER(SEARCH("TRAVEL ADAPTER",B1775)),
ISNUMBER(SEARCH("RJ45",B1775)),
ISNUMBER(SEARCH("USB-C",B1775)),
ISNUMBER(SEARCH("USB WIFI",B1775)),
ISNUMBER(SEARCH("POWERBANK",B1775)),
ISNUMBER(SEARCH("CARGADOR",B1775)),
ISNUMBER(SEARCH("COOLER PARA NB",B1775)),
ISNUMBER(SEARCH("SOPORTE PARA NB",B1775)),
ISNUMBER(SEARCH("WEBCAM",B1775)),
ISNUMBER(SEARCH("WEB CAM",B1775)),
ISNUMBER(SEARCH("MOUSE",B1775)),
ISNUMBER(SEARCH("TECLADO",B1775))
),
"COMPLEMENTO",
IF(
OR(
LEFT(A1775,2)="NB",
LEFT(A1775,2)="PC",
LEFT(A1775,2)="WS",
LEFT(A1775,2)="TB",
LEFT(A1775,3)="CEL",
LEFT(A1775,3)="MON",
LEFT(A1775,3)="PRE",
LEFT(A1775,3)="PRH",
ISNUMBER(SEARCH("NOTEBOOK",B1775)),
ISNUMBER(SEARCH("LAPTOP",B1775)),
ISNUMBER(SEARCH("MONITOR",B1775)),
ISNUMBER(SEARCH("TABLET",B1775)),
ISNUMBER(SEARCH("SMARTPH",B1775)),
ISNUMBER(SEARCH("IMPRESORA",B1775)),
ISNUMBER(SEARCH("MULTIFUNCIONAL",B1775)),
ISNUMBER(SEARCH("AIO",B1775))
),
"GANCHO",
"NORMAL"
)
)</f>
        <v>NORMAL</v>
      </c>
    </row>
    <row r="1774" spans="1:12" x14ac:dyDescent="0.25">
      <c r="A1774" s="3" t="s">
        <v>5578</v>
      </c>
      <c r="B1774" s="3" t="s">
        <v>5579</v>
      </c>
      <c r="C1774" s="1">
        <v>5</v>
      </c>
      <c r="D1774" s="1">
        <v>500</v>
      </c>
      <c r="E1774" s="1" t="s">
        <v>58</v>
      </c>
      <c r="F1774" s="1" t="s">
        <v>5580</v>
      </c>
      <c r="G1774" s="3"/>
      <c r="H1774" s="11">
        <f>ROUND(
IF(L1772="GANCHO",
   IF(I1774&lt;=50,I1774*1.1+4,IF(I1774&lt;=120,I1774*1.1+7,IF(I1774&lt;=250,I1774*1.1+11,I1774*1.1+19))),
IF(L1772="NORMAL",
   IF(I1774&lt;=30,I1774*1.15+2,IF(I1774&lt;=80,I1774*1.15+4,IF(I1774&lt;=150,I1774*1.15+6,I1774*1.15+8))),
IF(L1772="COMPLEMENTO",
   IF(I1774&lt;=25,I1774*1.25+1.5,IF(I1774&lt;=60,I1774*1.25+3,IF(I1774&lt;=120,I1774*1.25+4,I1774*1.25+5))),
""))),2)</f>
        <v>2369.1799999999998</v>
      </c>
      <c r="I1774" s="9">
        <f>($K$2+0.02)*Tabla1[[#This Row],[PRECIO $]]*1.18</f>
        <v>2053.1999999999998</v>
      </c>
      <c r="J1774" s="7">
        <f>+Tabla1[[#This Row],[PRECIO EN SOLES]]-Tabla1[[#This Row],[PC]]</f>
        <v>315.98</v>
      </c>
      <c r="K1774" s="15"/>
      <c r="L1774" s="15" t="str">
        <f>IF(
OR(
ISNUMBER(SEARCH("BACKPACK",B1776)),
ISNUMBER(SEARCH("MOCHILA",B1776)),
ISNUMBER(SEARCH("FUNDA",B1776)),
ISNUMBER(SEARCH("ESTUCHE",B1776)),
ISNUMBER(SEARCH("BOOK COVER",B1776)),
ISNUMBER(SEARCH("KEYBOARD PARA TABLET",B1776)),
ISNUMBER(SEARCH("FLIP TABLET",B1776)),
ISNUMBER(SEARCH("CASE FOR TABLET",B1776)),
ISNUMBER(SEARCH("CABLE",B1776)),
ISNUMBER(SEARCH("ADAPTADOR",B1776)),
ISNUMBER(SEARCH("HUB",B1776)),
ISNUMBER(SEARCH("DOCK",B1776)),
ISNUMBER(SEARCH("MOUSE PAD",B1776)),
ISNUMBER(SEARCH("MOUSEPAD",B1776)),
ISNUMBER(SEARCH("SOPORTE",B1776)),
ISNUMBER(SEARCH("STAND",B1776)),
ISNUMBER(SEARCH("TRAVEL ADAPTER",B1776)),
ISNUMBER(SEARCH("RJ45",B1776)),
ISNUMBER(SEARCH("USB-C",B1776)),
ISNUMBER(SEARCH("USB WIFI",B1776)),
ISNUMBER(SEARCH("POWERBANK",B1776)),
ISNUMBER(SEARCH("CARGADOR",B1776)),
ISNUMBER(SEARCH("COOLER PARA NB",B1776)),
ISNUMBER(SEARCH("SOPORTE PARA NB",B1776)),
ISNUMBER(SEARCH("WEBCAM",B1776)),
ISNUMBER(SEARCH("WEB CAM",B1776)),
ISNUMBER(SEARCH("MOUSE",B1776)),
ISNUMBER(SEARCH("TECLADO",B1776))
),
"COMPLEMENTO",
IF(
OR(
LEFT(A1776,2)="NB",
LEFT(A1776,2)="PC",
LEFT(A1776,2)="WS",
LEFT(A1776,2)="TB",
LEFT(A1776,3)="CEL",
LEFT(A1776,3)="MON",
LEFT(A1776,3)="PRE",
LEFT(A1776,3)="PRH",
ISNUMBER(SEARCH("NOTEBOOK",B1776)),
ISNUMBER(SEARCH("LAPTOP",B1776)),
ISNUMBER(SEARCH("MONITOR",B1776)),
ISNUMBER(SEARCH("TABLET",B1776)),
ISNUMBER(SEARCH("SMARTPH",B1776)),
ISNUMBER(SEARCH("IMPRESORA",B1776)),
ISNUMBER(SEARCH("MULTIFUNCIONAL",B1776)),
ISNUMBER(SEARCH("AIO",B1776))
),
"GANCHO",
"NORMAL"
)
)</f>
        <v>NORMAL</v>
      </c>
    </row>
    <row r="1775" spans="1:12" x14ac:dyDescent="0.25">
      <c r="A1775" s="3" t="s">
        <v>2691</v>
      </c>
      <c r="B1775" s="3" t="s">
        <v>2692</v>
      </c>
      <c r="C1775" s="1">
        <v>4</v>
      </c>
      <c r="D1775" s="1">
        <v>177</v>
      </c>
      <c r="E1775" s="1" t="s">
        <v>220</v>
      </c>
      <c r="F1775" s="1" t="s">
        <v>4155</v>
      </c>
      <c r="G1775" s="3"/>
      <c r="H1775" s="11">
        <f>ROUND(
IF(L1773="GANCHO",
   IF(I1775&lt;=50,I1775*1.1+4,IF(I1775&lt;=120,I1775*1.1+7,IF(I1775&lt;=250,I1775*1.1+11,I1775*1.1+19))),
IF(L1773="NORMAL",
   IF(I1775&lt;=30,I1775*1.15+2,IF(I1775&lt;=80,I1775*1.15+4,IF(I1775&lt;=150,I1775*1.15+6,I1775*1.15+8))),
IF(L1773="COMPLEMENTO",
   IF(I1775&lt;=25,I1775*1.25+1.5,IF(I1775&lt;=60,I1775*1.25+3,IF(I1775&lt;=120,I1775*1.25+4,I1775*1.25+5))),
""))),2)</f>
        <v>843.86</v>
      </c>
      <c r="I1775" s="9">
        <f>($K$2+0.02)*Tabla1[[#This Row],[PRECIO $]]*1.18</f>
        <v>726.83280000000002</v>
      </c>
      <c r="J1775" s="7">
        <f>+Tabla1[[#This Row],[PRECIO EN SOLES]]-Tabla1[[#This Row],[PC]]</f>
        <v>117.02719999999999</v>
      </c>
      <c r="K1775" s="15"/>
      <c r="L1775" s="15" t="str">
        <f>IF(
OR(
ISNUMBER(SEARCH("BACKPACK",B1777)),
ISNUMBER(SEARCH("MOCHILA",B1777)),
ISNUMBER(SEARCH("FUNDA",B1777)),
ISNUMBER(SEARCH("ESTUCHE",B1777)),
ISNUMBER(SEARCH("BOOK COVER",B1777)),
ISNUMBER(SEARCH("KEYBOARD PARA TABLET",B1777)),
ISNUMBER(SEARCH("FLIP TABLET",B1777)),
ISNUMBER(SEARCH("CASE FOR TABLET",B1777)),
ISNUMBER(SEARCH("CABLE",B1777)),
ISNUMBER(SEARCH("ADAPTADOR",B1777)),
ISNUMBER(SEARCH("HUB",B1777)),
ISNUMBER(SEARCH("DOCK",B1777)),
ISNUMBER(SEARCH("MOUSE PAD",B1777)),
ISNUMBER(SEARCH("MOUSEPAD",B1777)),
ISNUMBER(SEARCH("SOPORTE",B1777)),
ISNUMBER(SEARCH("STAND",B1777)),
ISNUMBER(SEARCH("TRAVEL ADAPTER",B1777)),
ISNUMBER(SEARCH("RJ45",B1777)),
ISNUMBER(SEARCH("USB-C",B1777)),
ISNUMBER(SEARCH("USB WIFI",B1777)),
ISNUMBER(SEARCH("POWERBANK",B1777)),
ISNUMBER(SEARCH("CARGADOR",B1777)),
ISNUMBER(SEARCH("COOLER PARA NB",B1777)),
ISNUMBER(SEARCH("SOPORTE PARA NB",B1777)),
ISNUMBER(SEARCH("WEBCAM",B1777)),
ISNUMBER(SEARCH("WEB CAM",B1777)),
ISNUMBER(SEARCH("MOUSE",B1777)),
ISNUMBER(SEARCH("TECLADO",B1777))
),
"COMPLEMENTO",
IF(
OR(
LEFT(A1777,2)="NB",
LEFT(A1777,2)="PC",
LEFT(A1777,2)="WS",
LEFT(A1777,2)="TB",
LEFT(A1777,3)="CEL",
LEFT(A1777,3)="MON",
LEFT(A1777,3)="PRE",
LEFT(A1777,3)="PRH",
ISNUMBER(SEARCH("NOTEBOOK",B1777)),
ISNUMBER(SEARCH("LAPTOP",B1777)),
ISNUMBER(SEARCH("MONITOR",B1777)),
ISNUMBER(SEARCH("TABLET",B1777)),
ISNUMBER(SEARCH("SMARTPH",B1777)),
ISNUMBER(SEARCH("IMPRESORA",B1777)),
ISNUMBER(SEARCH("MULTIFUNCIONAL",B1777)),
ISNUMBER(SEARCH("AIO",B1777))
),
"GANCHO",
"NORMAL"
)
)</f>
        <v>NORMAL</v>
      </c>
    </row>
    <row r="1776" spans="1:12" x14ac:dyDescent="0.25">
      <c r="A1776" s="3" t="s">
        <v>2693</v>
      </c>
      <c r="B1776" s="3" t="s">
        <v>2694</v>
      </c>
      <c r="C1776" s="1">
        <v>6</v>
      </c>
      <c r="D1776" s="1">
        <v>107.9</v>
      </c>
      <c r="E1776" s="1" t="s">
        <v>220</v>
      </c>
      <c r="F1776" s="1" t="s">
        <v>4156</v>
      </c>
      <c r="G1776" s="3" t="s">
        <v>2695</v>
      </c>
      <c r="H1776" s="11">
        <f>ROUND(
IF(L1774="GANCHO",
   IF(I1776&lt;=50,I1776*1.1+4,IF(I1776&lt;=120,I1776*1.1+7,IF(I1776&lt;=250,I1776*1.1+11,I1776*1.1+19))),
IF(L1774="NORMAL",
   IF(I1776&lt;=30,I1776*1.15+2,IF(I1776&lt;=80,I1776*1.15+4,IF(I1776&lt;=150,I1776*1.15+6,I1776*1.15+8))),
IF(L1774="COMPLEMENTO",
   IF(I1776&lt;=25,I1776*1.25+1.5,IF(I1776&lt;=60,I1776*1.25+3,IF(I1776&lt;=120,I1776*1.25+4,I1776*1.25+5))),
""))),2)</f>
        <v>517.54</v>
      </c>
      <c r="I1776" s="9">
        <f>($K$2+0.02)*Tabla1[[#This Row],[PRECIO $]]*1.18</f>
        <v>443.08055999999999</v>
      </c>
      <c r="J1776" s="7">
        <f>+Tabla1[[#This Row],[PRECIO EN SOLES]]-Tabla1[[#This Row],[PC]]</f>
        <v>74.459439999999972</v>
      </c>
      <c r="K1776" s="15"/>
      <c r="L1776" s="15" t="str">
        <f>IF(
OR(
ISNUMBER(SEARCH("BACKPACK",B1778)),
ISNUMBER(SEARCH("MOCHILA",B1778)),
ISNUMBER(SEARCH("FUNDA",B1778)),
ISNUMBER(SEARCH("ESTUCHE",B1778)),
ISNUMBER(SEARCH("BOOK COVER",B1778)),
ISNUMBER(SEARCH("KEYBOARD PARA TABLET",B1778)),
ISNUMBER(SEARCH("FLIP TABLET",B1778)),
ISNUMBER(SEARCH("CASE FOR TABLET",B1778)),
ISNUMBER(SEARCH("CABLE",B1778)),
ISNUMBER(SEARCH("ADAPTADOR",B1778)),
ISNUMBER(SEARCH("HUB",B1778)),
ISNUMBER(SEARCH("DOCK",B1778)),
ISNUMBER(SEARCH("MOUSE PAD",B1778)),
ISNUMBER(SEARCH("MOUSEPAD",B1778)),
ISNUMBER(SEARCH("SOPORTE",B1778)),
ISNUMBER(SEARCH("STAND",B1778)),
ISNUMBER(SEARCH("TRAVEL ADAPTER",B1778)),
ISNUMBER(SEARCH("RJ45",B1778)),
ISNUMBER(SEARCH("USB-C",B1778)),
ISNUMBER(SEARCH("USB WIFI",B1778)),
ISNUMBER(SEARCH("POWERBANK",B1778)),
ISNUMBER(SEARCH("CARGADOR",B1778)),
ISNUMBER(SEARCH("COOLER PARA NB",B1778)),
ISNUMBER(SEARCH("SOPORTE PARA NB",B1778)),
ISNUMBER(SEARCH("WEBCAM",B1778)),
ISNUMBER(SEARCH("WEB CAM",B1778)),
ISNUMBER(SEARCH("MOUSE",B1778)),
ISNUMBER(SEARCH("TECLADO",B1778))
),
"COMPLEMENTO",
IF(
OR(
LEFT(A1778,2)="NB",
LEFT(A1778,2)="PC",
LEFT(A1778,2)="WS",
LEFT(A1778,2)="TB",
LEFT(A1778,3)="CEL",
LEFT(A1778,3)="MON",
LEFT(A1778,3)="PRE",
LEFT(A1778,3)="PRH",
ISNUMBER(SEARCH("NOTEBOOK",B1778)),
ISNUMBER(SEARCH("LAPTOP",B1778)),
ISNUMBER(SEARCH("MONITOR",B1778)),
ISNUMBER(SEARCH("TABLET",B1778)),
ISNUMBER(SEARCH("SMARTPH",B1778)),
ISNUMBER(SEARCH("IMPRESORA",B1778)),
ISNUMBER(SEARCH("MULTIFUNCIONAL",B1778)),
ISNUMBER(SEARCH("AIO",B1778))
),
"GANCHO",
"NORMAL"
)
)</f>
        <v>NORMAL</v>
      </c>
    </row>
    <row r="1777" spans="1:12" x14ac:dyDescent="0.25">
      <c r="A1777" s="3" t="s">
        <v>2696</v>
      </c>
      <c r="B1777" s="3" t="s">
        <v>2697</v>
      </c>
      <c r="C1777" s="1">
        <v>10</v>
      </c>
      <c r="D1777" s="1">
        <v>127.7</v>
      </c>
      <c r="E1777" s="1" t="s">
        <v>220</v>
      </c>
      <c r="F1777" s="1" t="s">
        <v>4157</v>
      </c>
      <c r="G1777" s="3" t="s">
        <v>2698</v>
      </c>
      <c r="H1777" s="11">
        <f>ROUND(
IF(L1775="GANCHO",
   IF(I1777&lt;=50,I1777*1.1+4,IF(I1777&lt;=120,I1777*1.1+7,IF(I1777&lt;=250,I1777*1.1+11,I1777*1.1+19))),
IF(L1775="NORMAL",
   IF(I1777&lt;=30,I1777*1.15+2,IF(I1777&lt;=80,I1777*1.15+4,IF(I1777&lt;=150,I1777*1.15+6,I1777*1.15+8))),
IF(L1775="COMPLEMENTO",
   IF(I1777&lt;=25,I1777*1.25+1.5,IF(I1777&lt;=60,I1777*1.25+3,IF(I1777&lt;=120,I1777*1.25+4,I1777*1.25+5))),
""))),2)</f>
        <v>611.04999999999995</v>
      </c>
      <c r="I1777" s="9">
        <f>($K$2+0.02)*Tabla1[[#This Row],[PRECIO $]]*1.18</f>
        <v>524.38728000000003</v>
      </c>
      <c r="J1777" s="7">
        <f>+Tabla1[[#This Row],[PRECIO EN SOLES]]-Tabla1[[#This Row],[PC]]</f>
        <v>86.662719999999922</v>
      </c>
      <c r="K1777" s="15"/>
      <c r="L1777" s="15" t="str">
        <f>IF(
OR(
ISNUMBER(SEARCH("BACKPACK",B1779)),
ISNUMBER(SEARCH("MOCHILA",B1779)),
ISNUMBER(SEARCH("FUNDA",B1779)),
ISNUMBER(SEARCH("ESTUCHE",B1779)),
ISNUMBER(SEARCH("BOOK COVER",B1779)),
ISNUMBER(SEARCH("KEYBOARD PARA TABLET",B1779)),
ISNUMBER(SEARCH("FLIP TABLET",B1779)),
ISNUMBER(SEARCH("CASE FOR TABLET",B1779)),
ISNUMBER(SEARCH("CABLE",B1779)),
ISNUMBER(SEARCH("ADAPTADOR",B1779)),
ISNUMBER(SEARCH("HUB",B1779)),
ISNUMBER(SEARCH("DOCK",B1779)),
ISNUMBER(SEARCH("MOUSE PAD",B1779)),
ISNUMBER(SEARCH("MOUSEPAD",B1779)),
ISNUMBER(SEARCH("SOPORTE",B1779)),
ISNUMBER(SEARCH("STAND",B1779)),
ISNUMBER(SEARCH("TRAVEL ADAPTER",B1779)),
ISNUMBER(SEARCH("RJ45",B1779)),
ISNUMBER(SEARCH("USB-C",B1779)),
ISNUMBER(SEARCH("USB WIFI",B1779)),
ISNUMBER(SEARCH("POWERBANK",B1779)),
ISNUMBER(SEARCH("CARGADOR",B1779)),
ISNUMBER(SEARCH("COOLER PARA NB",B1779)),
ISNUMBER(SEARCH("SOPORTE PARA NB",B1779)),
ISNUMBER(SEARCH("WEBCAM",B1779)),
ISNUMBER(SEARCH("WEB CAM",B1779)),
ISNUMBER(SEARCH("MOUSE",B1779)),
ISNUMBER(SEARCH("TECLADO",B1779))
),
"COMPLEMENTO",
IF(
OR(
LEFT(A1779,2)="NB",
LEFT(A1779,2)="PC",
LEFT(A1779,2)="WS",
LEFT(A1779,2)="TB",
LEFT(A1779,3)="CEL",
LEFT(A1779,3)="MON",
LEFT(A1779,3)="PRE",
LEFT(A1779,3)="PRH",
ISNUMBER(SEARCH("NOTEBOOK",B1779)),
ISNUMBER(SEARCH("LAPTOP",B1779)),
ISNUMBER(SEARCH("MONITOR",B1779)),
ISNUMBER(SEARCH("TABLET",B1779)),
ISNUMBER(SEARCH("SMARTPH",B1779)),
ISNUMBER(SEARCH("IMPRESORA",B1779)),
ISNUMBER(SEARCH("MULTIFUNCIONAL",B1779)),
ISNUMBER(SEARCH("AIO",B1779))
),
"GANCHO",
"NORMAL"
)
)</f>
        <v>NORMAL</v>
      </c>
    </row>
    <row r="1778" spans="1:12" x14ac:dyDescent="0.25">
      <c r="A1778" s="3" t="s">
        <v>2699</v>
      </c>
      <c r="B1778" s="3" t="s">
        <v>2700</v>
      </c>
      <c r="C1778" s="1">
        <v>6</v>
      </c>
      <c r="D1778" s="1">
        <v>143.4</v>
      </c>
      <c r="E1778" s="1" t="s">
        <v>220</v>
      </c>
      <c r="F1778" s="1" t="s">
        <v>4158</v>
      </c>
      <c r="G1778" s="3" t="s">
        <v>2701</v>
      </c>
      <c r="H1778" s="11">
        <f>ROUND(
IF(L1776="GANCHO",
   IF(I1778&lt;=50,I1778*1.1+4,IF(I1778&lt;=120,I1778*1.1+7,IF(I1778&lt;=250,I1778*1.1+11,I1778*1.1+19))),
IF(L1776="NORMAL",
   IF(I1778&lt;=30,I1778*1.15+2,IF(I1778&lt;=80,I1778*1.15+4,IF(I1778&lt;=150,I1778*1.15+6,I1778*1.15+8))),
IF(L1776="COMPLEMENTO",
   IF(I1778&lt;=25,I1778*1.25+1.5,IF(I1778&lt;=60,I1778*1.25+3,IF(I1778&lt;=120,I1778*1.25+4,I1778*1.25+5))),
""))),2)</f>
        <v>685.19</v>
      </c>
      <c r="I1778" s="9">
        <f>($K$2+0.02)*Tabla1[[#This Row],[PRECIO $]]*1.18</f>
        <v>588.85775999999998</v>
      </c>
      <c r="J1778" s="7">
        <f>+Tabla1[[#This Row],[PRECIO EN SOLES]]-Tabla1[[#This Row],[PC]]</f>
        <v>96.33224000000007</v>
      </c>
      <c r="K1778" s="15"/>
      <c r="L1778" s="15" t="str">
        <f>IF(
OR(
ISNUMBER(SEARCH("BACKPACK",B1780)),
ISNUMBER(SEARCH("MOCHILA",B1780)),
ISNUMBER(SEARCH("FUNDA",B1780)),
ISNUMBER(SEARCH("ESTUCHE",B1780)),
ISNUMBER(SEARCH("BOOK COVER",B1780)),
ISNUMBER(SEARCH("KEYBOARD PARA TABLET",B1780)),
ISNUMBER(SEARCH("FLIP TABLET",B1780)),
ISNUMBER(SEARCH("CASE FOR TABLET",B1780)),
ISNUMBER(SEARCH("CABLE",B1780)),
ISNUMBER(SEARCH("ADAPTADOR",B1780)),
ISNUMBER(SEARCH("HUB",B1780)),
ISNUMBER(SEARCH("DOCK",B1780)),
ISNUMBER(SEARCH("MOUSE PAD",B1780)),
ISNUMBER(SEARCH("MOUSEPAD",B1780)),
ISNUMBER(SEARCH("SOPORTE",B1780)),
ISNUMBER(SEARCH("STAND",B1780)),
ISNUMBER(SEARCH("TRAVEL ADAPTER",B1780)),
ISNUMBER(SEARCH("RJ45",B1780)),
ISNUMBER(SEARCH("USB-C",B1780)),
ISNUMBER(SEARCH("USB WIFI",B1780)),
ISNUMBER(SEARCH("POWERBANK",B1780)),
ISNUMBER(SEARCH("CARGADOR",B1780)),
ISNUMBER(SEARCH("COOLER PARA NB",B1780)),
ISNUMBER(SEARCH("SOPORTE PARA NB",B1780)),
ISNUMBER(SEARCH("WEBCAM",B1780)),
ISNUMBER(SEARCH("WEB CAM",B1780)),
ISNUMBER(SEARCH("MOUSE",B1780)),
ISNUMBER(SEARCH("TECLADO",B1780))
),
"COMPLEMENTO",
IF(
OR(
LEFT(A1780,2)="NB",
LEFT(A1780,2)="PC",
LEFT(A1780,2)="WS",
LEFT(A1780,2)="TB",
LEFT(A1780,3)="CEL",
LEFT(A1780,3)="MON",
LEFT(A1780,3)="PRE",
LEFT(A1780,3)="PRH",
ISNUMBER(SEARCH("NOTEBOOK",B1780)),
ISNUMBER(SEARCH("LAPTOP",B1780)),
ISNUMBER(SEARCH("MONITOR",B1780)),
ISNUMBER(SEARCH("TABLET",B1780)),
ISNUMBER(SEARCH("SMARTPH",B1780)),
ISNUMBER(SEARCH("IMPRESORA",B1780)),
ISNUMBER(SEARCH("MULTIFUNCIONAL",B1780)),
ISNUMBER(SEARCH("AIO",B1780))
),
"GANCHO",
"NORMAL"
)
)</f>
        <v>COMPLEMENTO</v>
      </c>
    </row>
    <row r="1779" spans="1:12" x14ac:dyDescent="0.25">
      <c r="A1779" s="3" t="s">
        <v>5581</v>
      </c>
      <c r="B1779" s="3" t="s">
        <v>5582</v>
      </c>
      <c r="C1779" s="1">
        <v>3</v>
      </c>
      <c r="D1779" s="1">
        <v>555</v>
      </c>
      <c r="E1779" s="1" t="s">
        <v>58</v>
      </c>
      <c r="F1779" s="1" t="s">
        <v>5583</v>
      </c>
      <c r="G1779" s="3" t="s">
        <v>5584</v>
      </c>
      <c r="H1779" s="11">
        <f>ROUND(
IF(L1777="GANCHO",
   IF(I1779&lt;=50,I1779*1.1+4,IF(I1779&lt;=120,I1779*1.1+7,IF(I1779&lt;=250,I1779*1.1+11,I1779*1.1+19))),
IF(L1777="NORMAL",
   IF(I1779&lt;=30,I1779*1.15+2,IF(I1779&lt;=80,I1779*1.15+4,IF(I1779&lt;=150,I1779*1.15+6,I1779*1.15+8))),
IF(L1777="COMPLEMENTO",
   IF(I1779&lt;=25,I1779*1.25+1.5,IF(I1779&lt;=60,I1779*1.25+3,IF(I1779&lt;=120,I1779*1.25+4,I1779*1.25+5))),
""))),2)</f>
        <v>2628.91</v>
      </c>
      <c r="I1779" s="9">
        <f>($K$2+0.02)*Tabla1[[#This Row],[PRECIO $]]*1.18</f>
        <v>2279.0520000000001</v>
      </c>
      <c r="J1779" s="7">
        <f>+Tabla1[[#This Row],[PRECIO EN SOLES]]-Tabla1[[#This Row],[PC]]</f>
        <v>349.85799999999972</v>
      </c>
      <c r="K1779" s="15"/>
      <c r="L1779" s="15" t="str">
        <f>IF(
OR(
ISNUMBER(SEARCH("BACKPACK",B1781)),
ISNUMBER(SEARCH("MOCHILA",B1781)),
ISNUMBER(SEARCH("FUNDA",B1781)),
ISNUMBER(SEARCH("ESTUCHE",B1781)),
ISNUMBER(SEARCH("BOOK COVER",B1781)),
ISNUMBER(SEARCH("KEYBOARD PARA TABLET",B1781)),
ISNUMBER(SEARCH("FLIP TABLET",B1781)),
ISNUMBER(SEARCH("CASE FOR TABLET",B1781)),
ISNUMBER(SEARCH("CABLE",B1781)),
ISNUMBER(SEARCH("ADAPTADOR",B1781)),
ISNUMBER(SEARCH("HUB",B1781)),
ISNUMBER(SEARCH("DOCK",B1781)),
ISNUMBER(SEARCH("MOUSE PAD",B1781)),
ISNUMBER(SEARCH("MOUSEPAD",B1781)),
ISNUMBER(SEARCH("SOPORTE",B1781)),
ISNUMBER(SEARCH("STAND",B1781)),
ISNUMBER(SEARCH("TRAVEL ADAPTER",B1781)),
ISNUMBER(SEARCH("RJ45",B1781)),
ISNUMBER(SEARCH("USB-C",B1781)),
ISNUMBER(SEARCH("USB WIFI",B1781)),
ISNUMBER(SEARCH("POWERBANK",B1781)),
ISNUMBER(SEARCH("CARGADOR",B1781)),
ISNUMBER(SEARCH("COOLER PARA NB",B1781)),
ISNUMBER(SEARCH("SOPORTE PARA NB",B1781)),
ISNUMBER(SEARCH("WEBCAM",B1781)),
ISNUMBER(SEARCH("WEB CAM",B1781)),
ISNUMBER(SEARCH("MOUSE",B1781)),
ISNUMBER(SEARCH("TECLADO",B1781))
),
"COMPLEMENTO",
IF(
OR(
LEFT(A1781,2)="NB",
LEFT(A1781,2)="PC",
LEFT(A1781,2)="WS",
LEFT(A1781,2)="TB",
LEFT(A1781,3)="CEL",
LEFT(A1781,3)="MON",
LEFT(A1781,3)="PRE",
LEFT(A1781,3)="PRH",
ISNUMBER(SEARCH("NOTEBOOK",B1781)),
ISNUMBER(SEARCH("LAPTOP",B1781)),
ISNUMBER(SEARCH("MONITOR",B1781)),
ISNUMBER(SEARCH("TABLET",B1781)),
ISNUMBER(SEARCH("SMARTPH",B1781)),
ISNUMBER(SEARCH("IMPRESORA",B1781)),
ISNUMBER(SEARCH("MULTIFUNCIONAL",B1781)),
ISNUMBER(SEARCH("AIO",B1781))
),
"GANCHO",
"NORMAL"
)
)</f>
        <v>NORMAL</v>
      </c>
    </row>
    <row r="1780" spans="1:12" x14ac:dyDescent="0.25">
      <c r="A1780" s="3" t="s">
        <v>2702</v>
      </c>
      <c r="B1780" s="3" t="s">
        <v>2703</v>
      </c>
      <c r="C1780" s="1">
        <v>1</v>
      </c>
      <c r="D1780" s="1">
        <v>2.2999999999999998</v>
      </c>
      <c r="E1780" s="1" t="s">
        <v>58</v>
      </c>
      <c r="F1780" s="1" t="s">
        <v>4159</v>
      </c>
      <c r="G1780" s="3" t="s">
        <v>2704</v>
      </c>
      <c r="H1780" s="11">
        <f>ROUND(
IF(L1778="GANCHO",
   IF(I1780&lt;=50,I1780*1.1+4,IF(I1780&lt;=120,I1780*1.1+7,IF(I1780&lt;=250,I1780*1.1+11,I1780*1.1+19))),
IF(L1778="NORMAL",
   IF(I1780&lt;=30,I1780*1.15+2,IF(I1780&lt;=80,I1780*1.15+4,IF(I1780&lt;=150,I1780*1.15+6,I1780*1.15+8))),
IF(L1778="COMPLEMENTO",
   IF(I1780&lt;=25,I1780*1.25+1.5,IF(I1780&lt;=60,I1780*1.25+3,IF(I1780&lt;=120,I1780*1.25+4,I1780*1.25+5))),
""))),2)</f>
        <v>13.31</v>
      </c>
      <c r="I1780" s="9">
        <f>($K$2+0.02)*Tabla1[[#This Row],[PRECIO $]]*1.18</f>
        <v>9.4447199999999984</v>
      </c>
      <c r="J1780" s="7">
        <f>+Tabla1[[#This Row],[PRECIO EN SOLES]]-Tabla1[[#This Row],[PC]]</f>
        <v>3.865280000000002</v>
      </c>
      <c r="K1780" s="15"/>
      <c r="L1780" s="15" t="str">
        <f>IF(
OR(
ISNUMBER(SEARCH("BACKPACK",B1782)),
ISNUMBER(SEARCH("MOCHILA",B1782)),
ISNUMBER(SEARCH("FUNDA",B1782)),
ISNUMBER(SEARCH("ESTUCHE",B1782)),
ISNUMBER(SEARCH("BOOK COVER",B1782)),
ISNUMBER(SEARCH("KEYBOARD PARA TABLET",B1782)),
ISNUMBER(SEARCH("FLIP TABLET",B1782)),
ISNUMBER(SEARCH("CASE FOR TABLET",B1782)),
ISNUMBER(SEARCH("CABLE",B1782)),
ISNUMBER(SEARCH("ADAPTADOR",B1782)),
ISNUMBER(SEARCH("HUB",B1782)),
ISNUMBER(SEARCH("DOCK",B1782)),
ISNUMBER(SEARCH("MOUSE PAD",B1782)),
ISNUMBER(SEARCH("MOUSEPAD",B1782)),
ISNUMBER(SEARCH("SOPORTE",B1782)),
ISNUMBER(SEARCH("STAND",B1782)),
ISNUMBER(SEARCH("TRAVEL ADAPTER",B1782)),
ISNUMBER(SEARCH("RJ45",B1782)),
ISNUMBER(SEARCH("USB-C",B1782)),
ISNUMBER(SEARCH("USB WIFI",B1782)),
ISNUMBER(SEARCH("POWERBANK",B1782)),
ISNUMBER(SEARCH("CARGADOR",B1782)),
ISNUMBER(SEARCH("COOLER PARA NB",B1782)),
ISNUMBER(SEARCH("SOPORTE PARA NB",B1782)),
ISNUMBER(SEARCH("WEBCAM",B1782)),
ISNUMBER(SEARCH("WEB CAM",B1782)),
ISNUMBER(SEARCH("MOUSE",B1782)),
ISNUMBER(SEARCH("TECLADO",B1782))
),
"COMPLEMENTO",
IF(
OR(
LEFT(A1782,2)="NB",
LEFT(A1782,2)="PC",
LEFT(A1782,2)="WS",
LEFT(A1782,2)="TB",
LEFT(A1782,3)="CEL",
LEFT(A1782,3)="MON",
LEFT(A1782,3)="PRE",
LEFT(A1782,3)="PRH",
ISNUMBER(SEARCH("NOTEBOOK",B1782)),
ISNUMBER(SEARCH("LAPTOP",B1782)),
ISNUMBER(SEARCH("MONITOR",B1782)),
ISNUMBER(SEARCH("TABLET",B1782)),
ISNUMBER(SEARCH("SMARTPH",B1782)),
ISNUMBER(SEARCH("IMPRESORA",B1782)),
ISNUMBER(SEARCH("MULTIFUNCIONAL",B1782)),
ISNUMBER(SEARCH("AIO",B1782))
),
"GANCHO",
"NORMAL"
)
)</f>
        <v>NORMAL</v>
      </c>
    </row>
    <row r="1781" spans="1:12" x14ac:dyDescent="0.25">
      <c r="A1781" s="3" t="s">
        <v>2705</v>
      </c>
      <c r="B1781" s="3" t="s">
        <v>2706</v>
      </c>
      <c r="C1781" s="1">
        <v>1</v>
      </c>
      <c r="D1781" s="1">
        <v>367</v>
      </c>
      <c r="E1781" s="1" t="s">
        <v>58</v>
      </c>
      <c r="F1781" s="1" t="s">
        <v>4160</v>
      </c>
      <c r="G1781" s="3" t="s">
        <v>2707</v>
      </c>
      <c r="H1781" s="11">
        <f>ROUND(
IF(L1779="GANCHO",
   IF(I1781&lt;=50,I1781*1.1+4,IF(I1781&lt;=120,I1781*1.1+7,IF(I1781&lt;=250,I1781*1.1+11,I1781*1.1+19))),
IF(L1779="NORMAL",
   IF(I1781&lt;=30,I1781*1.15+2,IF(I1781&lt;=80,I1781*1.15+4,IF(I1781&lt;=150,I1781*1.15+6,I1781*1.15+8))),
IF(L1779="COMPLEMENTO",
   IF(I1781&lt;=25,I1781*1.25+1.5,IF(I1781&lt;=60,I1781*1.25+3,IF(I1781&lt;=120,I1781*1.25+4,I1781*1.25+5))),
""))),2)</f>
        <v>1741.11</v>
      </c>
      <c r="I1781" s="9">
        <f>($K$2+0.02)*Tabla1[[#This Row],[PRECIO $]]*1.18</f>
        <v>1507.0488</v>
      </c>
      <c r="J1781" s="7">
        <f>+Tabla1[[#This Row],[PRECIO EN SOLES]]-Tabla1[[#This Row],[PC]]</f>
        <v>234.06119999999987</v>
      </c>
      <c r="K1781" s="15"/>
      <c r="L1781" s="15" t="str">
        <f>IF(
OR(
ISNUMBER(SEARCH("BACKPACK",B1783)),
ISNUMBER(SEARCH("MOCHILA",B1783)),
ISNUMBER(SEARCH("FUNDA",B1783)),
ISNUMBER(SEARCH("ESTUCHE",B1783)),
ISNUMBER(SEARCH("BOOK COVER",B1783)),
ISNUMBER(SEARCH("KEYBOARD PARA TABLET",B1783)),
ISNUMBER(SEARCH("FLIP TABLET",B1783)),
ISNUMBER(SEARCH("CASE FOR TABLET",B1783)),
ISNUMBER(SEARCH("CABLE",B1783)),
ISNUMBER(SEARCH("ADAPTADOR",B1783)),
ISNUMBER(SEARCH("HUB",B1783)),
ISNUMBER(SEARCH("DOCK",B1783)),
ISNUMBER(SEARCH("MOUSE PAD",B1783)),
ISNUMBER(SEARCH("MOUSEPAD",B1783)),
ISNUMBER(SEARCH("SOPORTE",B1783)),
ISNUMBER(SEARCH("STAND",B1783)),
ISNUMBER(SEARCH("TRAVEL ADAPTER",B1783)),
ISNUMBER(SEARCH("RJ45",B1783)),
ISNUMBER(SEARCH("USB-C",B1783)),
ISNUMBER(SEARCH("USB WIFI",B1783)),
ISNUMBER(SEARCH("POWERBANK",B1783)),
ISNUMBER(SEARCH("CARGADOR",B1783)),
ISNUMBER(SEARCH("COOLER PARA NB",B1783)),
ISNUMBER(SEARCH("SOPORTE PARA NB",B1783)),
ISNUMBER(SEARCH("WEBCAM",B1783)),
ISNUMBER(SEARCH("WEB CAM",B1783)),
ISNUMBER(SEARCH("MOUSE",B1783)),
ISNUMBER(SEARCH("TECLADO",B1783))
),
"COMPLEMENTO",
IF(
OR(
LEFT(A1783,2)="NB",
LEFT(A1783,2)="PC",
LEFT(A1783,2)="WS",
LEFT(A1783,2)="TB",
LEFT(A1783,3)="CEL",
LEFT(A1783,3)="MON",
LEFT(A1783,3)="PRE",
LEFT(A1783,3)="PRH",
ISNUMBER(SEARCH("NOTEBOOK",B1783)),
ISNUMBER(SEARCH("LAPTOP",B1783)),
ISNUMBER(SEARCH("MONITOR",B1783)),
ISNUMBER(SEARCH("TABLET",B1783)),
ISNUMBER(SEARCH("SMARTPH",B1783)),
ISNUMBER(SEARCH("IMPRESORA",B1783)),
ISNUMBER(SEARCH("MULTIFUNCIONAL",B1783)),
ISNUMBER(SEARCH("AIO",B1783))
),
"GANCHO",
"NORMAL"
)
)</f>
        <v>NORMAL</v>
      </c>
    </row>
    <row r="1782" spans="1:12" x14ac:dyDescent="0.25">
      <c r="A1782" s="3" t="s">
        <v>2708</v>
      </c>
      <c r="B1782" s="3" t="s">
        <v>2709</v>
      </c>
      <c r="C1782" s="1">
        <v>10</v>
      </c>
      <c r="D1782" s="1">
        <v>18.3</v>
      </c>
      <c r="E1782" s="1" t="s">
        <v>58</v>
      </c>
      <c r="F1782" s="1" t="s">
        <v>4161</v>
      </c>
      <c r="G1782" s="3" t="s">
        <v>2710</v>
      </c>
      <c r="H1782" s="11">
        <f>ROUND(
IF(L1780="GANCHO",
   IF(I1782&lt;=50,I1782*1.1+4,IF(I1782&lt;=120,I1782*1.1+7,IF(I1782&lt;=250,I1782*1.1+11,I1782*1.1+19))),
IF(L1780="NORMAL",
   IF(I1782&lt;=30,I1782*1.15+2,IF(I1782&lt;=80,I1782*1.15+4,IF(I1782&lt;=150,I1782*1.15+6,I1782*1.15+8))),
IF(L1780="COMPLEMENTO",
   IF(I1782&lt;=25,I1782*1.25+1.5,IF(I1782&lt;=60,I1782*1.25+3,IF(I1782&lt;=120,I1782*1.25+4,I1782*1.25+5))),
""))),2)</f>
        <v>90.42</v>
      </c>
      <c r="I1782" s="9">
        <f>($K$2+0.02)*Tabla1[[#This Row],[PRECIO $]]*1.18</f>
        <v>75.147120000000001</v>
      </c>
      <c r="J1782" s="7">
        <f>+Tabla1[[#This Row],[PRECIO EN SOLES]]-Tabla1[[#This Row],[PC]]</f>
        <v>15.272880000000001</v>
      </c>
      <c r="K1782" s="15"/>
      <c r="L1782" s="15" t="str">
        <f>IF(
OR(
ISNUMBER(SEARCH("BACKPACK",B1784)),
ISNUMBER(SEARCH("MOCHILA",B1784)),
ISNUMBER(SEARCH("FUNDA",B1784)),
ISNUMBER(SEARCH("ESTUCHE",B1784)),
ISNUMBER(SEARCH("BOOK COVER",B1784)),
ISNUMBER(SEARCH("KEYBOARD PARA TABLET",B1784)),
ISNUMBER(SEARCH("FLIP TABLET",B1784)),
ISNUMBER(SEARCH("CASE FOR TABLET",B1784)),
ISNUMBER(SEARCH("CABLE",B1784)),
ISNUMBER(SEARCH("ADAPTADOR",B1784)),
ISNUMBER(SEARCH("HUB",B1784)),
ISNUMBER(SEARCH("DOCK",B1784)),
ISNUMBER(SEARCH("MOUSE PAD",B1784)),
ISNUMBER(SEARCH("MOUSEPAD",B1784)),
ISNUMBER(SEARCH("SOPORTE",B1784)),
ISNUMBER(SEARCH("STAND",B1784)),
ISNUMBER(SEARCH("TRAVEL ADAPTER",B1784)),
ISNUMBER(SEARCH("RJ45",B1784)),
ISNUMBER(SEARCH("USB-C",B1784)),
ISNUMBER(SEARCH("USB WIFI",B1784)),
ISNUMBER(SEARCH("POWERBANK",B1784)),
ISNUMBER(SEARCH("CARGADOR",B1784)),
ISNUMBER(SEARCH("COOLER PARA NB",B1784)),
ISNUMBER(SEARCH("SOPORTE PARA NB",B1784)),
ISNUMBER(SEARCH("WEBCAM",B1784)),
ISNUMBER(SEARCH("WEB CAM",B1784)),
ISNUMBER(SEARCH("MOUSE",B1784)),
ISNUMBER(SEARCH("TECLADO",B1784))
),
"COMPLEMENTO",
IF(
OR(
LEFT(A1784,2)="NB",
LEFT(A1784,2)="PC",
LEFT(A1784,2)="WS",
LEFT(A1784,2)="TB",
LEFT(A1784,3)="CEL",
LEFT(A1784,3)="MON",
LEFT(A1784,3)="PRE",
LEFT(A1784,3)="PRH",
ISNUMBER(SEARCH("NOTEBOOK",B1784)),
ISNUMBER(SEARCH("LAPTOP",B1784)),
ISNUMBER(SEARCH("MONITOR",B1784)),
ISNUMBER(SEARCH("TABLET",B1784)),
ISNUMBER(SEARCH("SMARTPH",B1784)),
ISNUMBER(SEARCH("IMPRESORA",B1784)),
ISNUMBER(SEARCH("MULTIFUNCIONAL",B1784)),
ISNUMBER(SEARCH("AIO",B1784))
),
"GANCHO",
"NORMAL"
)
)</f>
        <v>NORMAL</v>
      </c>
    </row>
    <row r="1783" spans="1:12" x14ac:dyDescent="0.25">
      <c r="A1783" s="3" t="s">
        <v>2711</v>
      </c>
      <c r="B1783" s="3" t="s">
        <v>2712</v>
      </c>
      <c r="C1783" s="1">
        <v>10</v>
      </c>
      <c r="D1783" s="1">
        <v>207</v>
      </c>
      <c r="E1783" s="1" t="s">
        <v>58</v>
      </c>
      <c r="F1783" s="1" t="s">
        <v>4162</v>
      </c>
      <c r="G1783" s="3" t="s">
        <v>2713</v>
      </c>
      <c r="H1783" s="11">
        <f>ROUND(
IF(L1781="GANCHO",
   IF(I1783&lt;=50,I1783*1.1+4,IF(I1783&lt;=120,I1783*1.1+7,IF(I1783&lt;=250,I1783*1.1+11,I1783*1.1+19))),
IF(L1781="NORMAL",
   IF(I1783&lt;=30,I1783*1.15+2,IF(I1783&lt;=80,I1783*1.15+4,IF(I1783&lt;=150,I1783*1.15+6,I1783*1.15+8))),
IF(L1781="COMPLEMENTO",
   IF(I1783&lt;=25,I1783*1.25+1.5,IF(I1783&lt;=60,I1783*1.25+3,IF(I1783&lt;=120,I1783*1.25+4,I1783*1.25+5))),
""))),2)</f>
        <v>985.53</v>
      </c>
      <c r="I1783" s="9">
        <f>($K$2+0.02)*Tabla1[[#This Row],[PRECIO $]]*1.18</f>
        <v>850.02480000000003</v>
      </c>
      <c r="J1783" s="7">
        <f>+Tabla1[[#This Row],[PRECIO EN SOLES]]-Tabla1[[#This Row],[PC]]</f>
        <v>135.50519999999995</v>
      </c>
      <c r="K1783" s="15"/>
      <c r="L1783" s="15" t="str">
        <f>IF(
OR(
ISNUMBER(SEARCH("BACKPACK",B1785)),
ISNUMBER(SEARCH("MOCHILA",B1785)),
ISNUMBER(SEARCH("FUNDA",B1785)),
ISNUMBER(SEARCH("ESTUCHE",B1785)),
ISNUMBER(SEARCH("BOOK COVER",B1785)),
ISNUMBER(SEARCH("KEYBOARD PARA TABLET",B1785)),
ISNUMBER(SEARCH("FLIP TABLET",B1785)),
ISNUMBER(SEARCH("CASE FOR TABLET",B1785)),
ISNUMBER(SEARCH("CABLE",B1785)),
ISNUMBER(SEARCH("ADAPTADOR",B1785)),
ISNUMBER(SEARCH("HUB",B1785)),
ISNUMBER(SEARCH("DOCK",B1785)),
ISNUMBER(SEARCH("MOUSE PAD",B1785)),
ISNUMBER(SEARCH("MOUSEPAD",B1785)),
ISNUMBER(SEARCH("SOPORTE",B1785)),
ISNUMBER(SEARCH("STAND",B1785)),
ISNUMBER(SEARCH("TRAVEL ADAPTER",B1785)),
ISNUMBER(SEARCH("RJ45",B1785)),
ISNUMBER(SEARCH("USB-C",B1785)),
ISNUMBER(SEARCH("USB WIFI",B1785)),
ISNUMBER(SEARCH("POWERBANK",B1785)),
ISNUMBER(SEARCH("CARGADOR",B1785)),
ISNUMBER(SEARCH("COOLER PARA NB",B1785)),
ISNUMBER(SEARCH("SOPORTE PARA NB",B1785)),
ISNUMBER(SEARCH("WEBCAM",B1785)),
ISNUMBER(SEARCH("WEB CAM",B1785)),
ISNUMBER(SEARCH("MOUSE",B1785)),
ISNUMBER(SEARCH("TECLADO",B1785))
),
"COMPLEMENTO",
IF(
OR(
LEFT(A1785,2)="NB",
LEFT(A1785,2)="PC",
LEFT(A1785,2)="WS",
LEFT(A1785,2)="TB",
LEFT(A1785,3)="CEL",
LEFT(A1785,3)="MON",
LEFT(A1785,3)="PRE",
LEFT(A1785,3)="PRH",
ISNUMBER(SEARCH("NOTEBOOK",B1785)),
ISNUMBER(SEARCH("LAPTOP",B1785)),
ISNUMBER(SEARCH("MONITOR",B1785)),
ISNUMBER(SEARCH("TABLET",B1785)),
ISNUMBER(SEARCH("SMARTPH",B1785)),
ISNUMBER(SEARCH("IMPRESORA",B1785)),
ISNUMBER(SEARCH("MULTIFUNCIONAL",B1785)),
ISNUMBER(SEARCH("AIO",B1785))
),
"GANCHO",
"NORMAL"
)
)</f>
        <v>NORMAL</v>
      </c>
    </row>
    <row r="1784" spans="1:12" x14ac:dyDescent="0.25">
      <c r="A1784" s="3" t="s">
        <v>2714</v>
      </c>
      <c r="B1784" s="3" t="s">
        <v>2715</v>
      </c>
      <c r="C1784" s="1">
        <v>20</v>
      </c>
      <c r="D1784" s="1">
        <v>160</v>
      </c>
      <c r="E1784" s="1" t="s">
        <v>2685</v>
      </c>
      <c r="F1784" s="1" t="s">
        <v>4163</v>
      </c>
      <c r="G1784" s="3" t="s">
        <v>2716</v>
      </c>
      <c r="H1784" s="11">
        <f>ROUND(
IF(L1782="GANCHO",
   IF(I1784&lt;=50,I1784*1.1+4,IF(I1784&lt;=120,I1784*1.1+7,IF(I1784&lt;=250,I1784*1.1+11,I1784*1.1+19))),
IF(L1782="NORMAL",
   IF(I1784&lt;=30,I1784*1.15+2,IF(I1784&lt;=80,I1784*1.15+4,IF(I1784&lt;=150,I1784*1.15+6,I1784*1.15+8))),
IF(L1782="COMPLEMENTO",
   IF(I1784&lt;=25,I1784*1.25+1.5,IF(I1784&lt;=60,I1784*1.25+3,IF(I1784&lt;=120,I1784*1.25+4,I1784*1.25+5))),
""))),2)</f>
        <v>763.58</v>
      </c>
      <c r="I1784" s="9">
        <f>($K$2+0.02)*Tabla1[[#This Row],[PRECIO $]]*1.18</f>
        <v>657.02399999999989</v>
      </c>
      <c r="J1784" s="7">
        <f>+Tabla1[[#This Row],[PRECIO EN SOLES]]-Tabla1[[#This Row],[PC]]</f>
        <v>106.55600000000015</v>
      </c>
      <c r="K1784" s="15"/>
      <c r="L1784" s="15" t="str">
        <f>IF(
OR(
ISNUMBER(SEARCH("BACKPACK",B1786)),
ISNUMBER(SEARCH("MOCHILA",B1786)),
ISNUMBER(SEARCH("FUNDA",B1786)),
ISNUMBER(SEARCH("ESTUCHE",B1786)),
ISNUMBER(SEARCH("BOOK COVER",B1786)),
ISNUMBER(SEARCH("KEYBOARD PARA TABLET",B1786)),
ISNUMBER(SEARCH("FLIP TABLET",B1786)),
ISNUMBER(SEARCH("CASE FOR TABLET",B1786)),
ISNUMBER(SEARCH("CABLE",B1786)),
ISNUMBER(SEARCH("ADAPTADOR",B1786)),
ISNUMBER(SEARCH("HUB",B1786)),
ISNUMBER(SEARCH("DOCK",B1786)),
ISNUMBER(SEARCH("MOUSE PAD",B1786)),
ISNUMBER(SEARCH("MOUSEPAD",B1786)),
ISNUMBER(SEARCH("SOPORTE",B1786)),
ISNUMBER(SEARCH("STAND",B1786)),
ISNUMBER(SEARCH("TRAVEL ADAPTER",B1786)),
ISNUMBER(SEARCH("RJ45",B1786)),
ISNUMBER(SEARCH("USB-C",B1786)),
ISNUMBER(SEARCH("USB WIFI",B1786)),
ISNUMBER(SEARCH("POWERBANK",B1786)),
ISNUMBER(SEARCH("CARGADOR",B1786)),
ISNUMBER(SEARCH("COOLER PARA NB",B1786)),
ISNUMBER(SEARCH("SOPORTE PARA NB",B1786)),
ISNUMBER(SEARCH("WEBCAM",B1786)),
ISNUMBER(SEARCH("WEB CAM",B1786)),
ISNUMBER(SEARCH("MOUSE",B1786)),
ISNUMBER(SEARCH("TECLADO",B1786))
),
"COMPLEMENTO",
IF(
OR(
LEFT(A1786,2)="NB",
LEFT(A1786,2)="PC",
LEFT(A1786,2)="WS",
LEFT(A1786,2)="TB",
LEFT(A1786,3)="CEL",
LEFT(A1786,3)="MON",
LEFT(A1786,3)="PRE",
LEFT(A1786,3)="PRH",
ISNUMBER(SEARCH("NOTEBOOK",B1786)),
ISNUMBER(SEARCH("LAPTOP",B1786)),
ISNUMBER(SEARCH("MONITOR",B1786)),
ISNUMBER(SEARCH("TABLET",B1786)),
ISNUMBER(SEARCH("SMARTPH",B1786)),
ISNUMBER(SEARCH("IMPRESORA",B1786)),
ISNUMBER(SEARCH("MULTIFUNCIONAL",B1786)),
ISNUMBER(SEARCH("AIO",B1786))
),
"GANCHO",
"NORMAL"
)
)</f>
        <v>NORMAL</v>
      </c>
    </row>
    <row r="1785" spans="1:12" x14ac:dyDescent="0.25">
      <c r="A1785" s="3" t="s">
        <v>2717</v>
      </c>
      <c r="B1785" s="3" t="s">
        <v>2718</v>
      </c>
      <c r="C1785" s="1">
        <v>20</v>
      </c>
      <c r="D1785" s="1">
        <v>110</v>
      </c>
      <c r="E1785" s="1" t="s">
        <v>224</v>
      </c>
      <c r="F1785" s="1" t="s">
        <v>4164</v>
      </c>
      <c r="G1785" s="3" t="s">
        <v>2719</v>
      </c>
      <c r="H1785" s="11">
        <f>ROUND(
IF(L1783="GANCHO",
   IF(I1785&lt;=50,I1785*1.1+4,IF(I1785&lt;=120,I1785*1.1+7,IF(I1785&lt;=250,I1785*1.1+11,I1785*1.1+19))),
IF(L1783="NORMAL",
   IF(I1785&lt;=30,I1785*1.15+2,IF(I1785&lt;=80,I1785*1.15+4,IF(I1785&lt;=150,I1785*1.15+6,I1785*1.15+8))),
IF(L1783="COMPLEMENTO",
   IF(I1785&lt;=25,I1785*1.25+1.5,IF(I1785&lt;=60,I1785*1.25+3,IF(I1785&lt;=120,I1785*1.25+4,I1785*1.25+5))),
""))),2)</f>
        <v>527.46</v>
      </c>
      <c r="I1785" s="9">
        <f>($K$2+0.02)*Tabla1[[#This Row],[PRECIO $]]*1.18</f>
        <v>451.70400000000001</v>
      </c>
      <c r="J1785" s="7">
        <f>+Tabla1[[#This Row],[PRECIO EN SOLES]]-Tabla1[[#This Row],[PC]]</f>
        <v>75.756000000000029</v>
      </c>
      <c r="K1785" s="15"/>
      <c r="L1785" s="15" t="str">
        <f>IF(
OR(
ISNUMBER(SEARCH("BACKPACK",B1787)),
ISNUMBER(SEARCH("MOCHILA",B1787)),
ISNUMBER(SEARCH("FUNDA",B1787)),
ISNUMBER(SEARCH("ESTUCHE",B1787)),
ISNUMBER(SEARCH("BOOK COVER",B1787)),
ISNUMBER(SEARCH("KEYBOARD PARA TABLET",B1787)),
ISNUMBER(SEARCH("FLIP TABLET",B1787)),
ISNUMBER(SEARCH("CASE FOR TABLET",B1787)),
ISNUMBER(SEARCH("CABLE",B1787)),
ISNUMBER(SEARCH("ADAPTADOR",B1787)),
ISNUMBER(SEARCH("HUB",B1787)),
ISNUMBER(SEARCH("DOCK",B1787)),
ISNUMBER(SEARCH("MOUSE PAD",B1787)),
ISNUMBER(SEARCH("MOUSEPAD",B1787)),
ISNUMBER(SEARCH("SOPORTE",B1787)),
ISNUMBER(SEARCH("STAND",B1787)),
ISNUMBER(SEARCH("TRAVEL ADAPTER",B1787)),
ISNUMBER(SEARCH("RJ45",B1787)),
ISNUMBER(SEARCH("USB-C",B1787)),
ISNUMBER(SEARCH("USB WIFI",B1787)),
ISNUMBER(SEARCH("POWERBANK",B1787)),
ISNUMBER(SEARCH("CARGADOR",B1787)),
ISNUMBER(SEARCH("COOLER PARA NB",B1787)),
ISNUMBER(SEARCH("SOPORTE PARA NB",B1787)),
ISNUMBER(SEARCH("WEBCAM",B1787)),
ISNUMBER(SEARCH("WEB CAM",B1787)),
ISNUMBER(SEARCH("MOUSE",B1787)),
ISNUMBER(SEARCH("TECLADO",B1787))
),
"COMPLEMENTO",
IF(
OR(
LEFT(A1787,2)="NB",
LEFT(A1787,2)="PC",
LEFT(A1787,2)="WS",
LEFT(A1787,2)="TB",
LEFT(A1787,3)="CEL",
LEFT(A1787,3)="MON",
LEFT(A1787,3)="PRE",
LEFT(A1787,3)="PRH",
ISNUMBER(SEARCH("NOTEBOOK",B1787)),
ISNUMBER(SEARCH("LAPTOP",B1787)),
ISNUMBER(SEARCH("MONITOR",B1787)),
ISNUMBER(SEARCH("TABLET",B1787)),
ISNUMBER(SEARCH("SMARTPH",B1787)),
ISNUMBER(SEARCH("IMPRESORA",B1787)),
ISNUMBER(SEARCH("MULTIFUNCIONAL",B1787)),
ISNUMBER(SEARCH("AIO",B1787))
),
"GANCHO",
"NORMAL"
)
)</f>
        <v>NORMAL</v>
      </c>
    </row>
    <row r="1786" spans="1:12" x14ac:dyDescent="0.25">
      <c r="A1786" s="3" t="s">
        <v>2720</v>
      </c>
      <c r="B1786" s="3" t="s">
        <v>2721</v>
      </c>
      <c r="C1786" s="1">
        <v>1</v>
      </c>
      <c r="D1786" s="1">
        <v>75</v>
      </c>
      <c r="E1786" s="1" t="s">
        <v>1990</v>
      </c>
      <c r="F1786" s="1" t="s">
        <v>4165</v>
      </c>
      <c r="G1786" s="3"/>
      <c r="H1786" s="11">
        <f>ROUND(
IF(L1784="GANCHO",
   IF(I1786&lt;=50,I1786*1.1+4,IF(I1786&lt;=120,I1786*1.1+7,IF(I1786&lt;=250,I1786*1.1+11,I1786*1.1+19))),
IF(L1784="NORMAL",
   IF(I1786&lt;=30,I1786*1.15+2,IF(I1786&lt;=80,I1786*1.15+4,IF(I1786&lt;=150,I1786*1.15+6,I1786*1.15+8))),
IF(L1784="COMPLEMENTO",
   IF(I1786&lt;=25,I1786*1.25+1.5,IF(I1786&lt;=60,I1786*1.25+3,IF(I1786&lt;=120,I1786*1.25+4,I1786*1.25+5))),
""))),2)</f>
        <v>362.18</v>
      </c>
      <c r="I1786" s="9">
        <f>($K$2+0.02)*Tabla1[[#This Row],[PRECIO $]]*1.18</f>
        <v>307.97999999999996</v>
      </c>
      <c r="J1786" s="7">
        <f>+Tabla1[[#This Row],[PRECIO EN SOLES]]-Tabla1[[#This Row],[PC]]</f>
        <v>54.200000000000045</v>
      </c>
      <c r="K1786" s="15"/>
      <c r="L1786" s="15" t="str">
        <f>IF(
OR(
ISNUMBER(SEARCH("BACKPACK",B1788)),
ISNUMBER(SEARCH("MOCHILA",B1788)),
ISNUMBER(SEARCH("FUNDA",B1788)),
ISNUMBER(SEARCH("ESTUCHE",B1788)),
ISNUMBER(SEARCH("BOOK COVER",B1788)),
ISNUMBER(SEARCH("KEYBOARD PARA TABLET",B1788)),
ISNUMBER(SEARCH("FLIP TABLET",B1788)),
ISNUMBER(SEARCH("CASE FOR TABLET",B1788)),
ISNUMBER(SEARCH("CABLE",B1788)),
ISNUMBER(SEARCH("ADAPTADOR",B1788)),
ISNUMBER(SEARCH("HUB",B1788)),
ISNUMBER(SEARCH("DOCK",B1788)),
ISNUMBER(SEARCH("MOUSE PAD",B1788)),
ISNUMBER(SEARCH("MOUSEPAD",B1788)),
ISNUMBER(SEARCH("SOPORTE",B1788)),
ISNUMBER(SEARCH("STAND",B1788)),
ISNUMBER(SEARCH("TRAVEL ADAPTER",B1788)),
ISNUMBER(SEARCH("RJ45",B1788)),
ISNUMBER(SEARCH("USB-C",B1788)),
ISNUMBER(SEARCH("USB WIFI",B1788)),
ISNUMBER(SEARCH("POWERBANK",B1788)),
ISNUMBER(SEARCH("CARGADOR",B1788)),
ISNUMBER(SEARCH("COOLER PARA NB",B1788)),
ISNUMBER(SEARCH("SOPORTE PARA NB",B1788)),
ISNUMBER(SEARCH("WEBCAM",B1788)),
ISNUMBER(SEARCH("WEB CAM",B1788)),
ISNUMBER(SEARCH("MOUSE",B1788)),
ISNUMBER(SEARCH("TECLADO",B1788))
),
"COMPLEMENTO",
IF(
OR(
LEFT(A1788,2)="NB",
LEFT(A1788,2)="PC",
LEFT(A1788,2)="WS",
LEFT(A1788,2)="TB",
LEFT(A1788,3)="CEL",
LEFT(A1788,3)="MON",
LEFT(A1788,3)="PRE",
LEFT(A1788,3)="PRH",
ISNUMBER(SEARCH("NOTEBOOK",B1788)),
ISNUMBER(SEARCH("LAPTOP",B1788)),
ISNUMBER(SEARCH("MONITOR",B1788)),
ISNUMBER(SEARCH("TABLET",B1788)),
ISNUMBER(SEARCH("SMARTPH",B1788)),
ISNUMBER(SEARCH("IMPRESORA",B1788)),
ISNUMBER(SEARCH("MULTIFUNCIONAL",B1788)),
ISNUMBER(SEARCH("AIO",B1788))
),
"GANCHO",
"NORMAL"
)
)</f>
        <v>NORMAL</v>
      </c>
    </row>
    <row r="1787" spans="1:12" x14ac:dyDescent="0.25">
      <c r="A1787" s="3" t="s">
        <v>2722</v>
      </c>
      <c r="B1787" s="3" t="s">
        <v>2723</v>
      </c>
      <c r="C1787" s="1">
        <v>20</v>
      </c>
      <c r="D1787" s="1">
        <v>16</v>
      </c>
      <c r="E1787" s="1" t="s">
        <v>58</v>
      </c>
      <c r="F1787" s="1" t="s">
        <v>4166</v>
      </c>
      <c r="G1787" s="3" t="s">
        <v>2724</v>
      </c>
      <c r="H1787" s="11">
        <f>ROUND(
IF(L1785="GANCHO",
   IF(I1787&lt;=50,I1787*1.1+4,IF(I1787&lt;=120,I1787*1.1+7,IF(I1787&lt;=250,I1787*1.1+11,I1787*1.1+19))),
IF(L1785="NORMAL",
   IF(I1787&lt;=30,I1787*1.15+2,IF(I1787&lt;=80,I1787*1.15+4,IF(I1787&lt;=150,I1787*1.15+6,I1787*1.15+8))),
IF(L1785="COMPLEMENTO",
   IF(I1787&lt;=25,I1787*1.25+1.5,IF(I1787&lt;=60,I1787*1.25+3,IF(I1787&lt;=120,I1787*1.25+4,I1787*1.25+5))),
""))),2)</f>
        <v>79.56</v>
      </c>
      <c r="I1787" s="9">
        <f>($K$2+0.02)*Tabla1[[#This Row],[PRECIO $]]*1.18</f>
        <v>65.702399999999997</v>
      </c>
      <c r="J1787" s="7">
        <f>+Tabla1[[#This Row],[PRECIO EN SOLES]]-Tabla1[[#This Row],[PC]]</f>
        <v>13.857600000000005</v>
      </c>
      <c r="K1787" s="15"/>
      <c r="L1787" s="15" t="str">
        <f>IF(
OR(
ISNUMBER(SEARCH("BACKPACK",B1789)),
ISNUMBER(SEARCH("MOCHILA",B1789)),
ISNUMBER(SEARCH("FUNDA",B1789)),
ISNUMBER(SEARCH("ESTUCHE",B1789)),
ISNUMBER(SEARCH("BOOK COVER",B1789)),
ISNUMBER(SEARCH("KEYBOARD PARA TABLET",B1789)),
ISNUMBER(SEARCH("FLIP TABLET",B1789)),
ISNUMBER(SEARCH("CASE FOR TABLET",B1789)),
ISNUMBER(SEARCH("CABLE",B1789)),
ISNUMBER(SEARCH("ADAPTADOR",B1789)),
ISNUMBER(SEARCH("HUB",B1789)),
ISNUMBER(SEARCH("DOCK",B1789)),
ISNUMBER(SEARCH("MOUSE PAD",B1789)),
ISNUMBER(SEARCH("MOUSEPAD",B1789)),
ISNUMBER(SEARCH("SOPORTE",B1789)),
ISNUMBER(SEARCH("STAND",B1789)),
ISNUMBER(SEARCH("TRAVEL ADAPTER",B1789)),
ISNUMBER(SEARCH("RJ45",B1789)),
ISNUMBER(SEARCH("USB-C",B1789)),
ISNUMBER(SEARCH("USB WIFI",B1789)),
ISNUMBER(SEARCH("POWERBANK",B1789)),
ISNUMBER(SEARCH("CARGADOR",B1789)),
ISNUMBER(SEARCH("COOLER PARA NB",B1789)),
ISNUMBER(SEARCH("SOPORTE PARA NB",B1789)),
ISNUMBER(SEARCH("WEBCAM",B1789)),
ISNUMBER(SEARCH("WEB CAM",B1789)),
ISNUMBER(SEARCH("MOUSE",B1789)),
ISNUMBER(SEARCH("TECLADO",B1789))
),
"COMPLEMENTO",
IF(
OR(
LEFT(A1789,2)="NB",
LEFT(A1789,2)="PC",
LEFT(A1789,2)="WS",
LEFT(A1789,2)="TB",
LEFT(A1789,3)="CEL",
LEFT(A1789,3)="MON",
LEFT(A1789,3)="PRE",
LEFT(A1789,3)="PRH",
ISNUMBER(SEARCH("NOTEBOOK",B1789)),
ISNUMBER(SEARCH("LAPTOP",B1789)),
ISNUMBER(SEARCH("MONITOR",B1789)),
ISNUMBER(SEARCH("TABLET",B1789)),
ISNUMBER(SEARCH("SMARTPH",B1789)),
ISNUMBER(SEARCH("IMPRESORA",B1789)),
ISNUMBER(SEARCH("MULTIFUNCIONAL",B1789)),
ISNUMBER(SEARCH("AIO",B1789))
),
"GANCHO",
"NORMAL"
)
)</f>
        <v>NORMAL</v>
      </c>
    </row>
    <row r="1788" spans="1:12" x14ac:dyDescent="0.25">
      <c r="A1788" s="3" t="s">
        <v>2725</v>
      </c>
      <c r="B1788" s="3" t="s">
        <v>2726</v>
      </c>
      <c r="C1788" s="1">
        <v>19</v>
      </c>
      <c r="D1788" s="1">
        <v>36.200000000000003</v>
      </c>
      <c r="E1788" s="1" t="s">
        <v>58</v>
      </c>
      <c r="F1788" s="1" t="s">
        <v>4167</v>
      </c>
      <c r="G1788" s="3" t="s">
        <v>2727</v>
      </c>
      <c r="H1788" s="11">
        <f>ROUND(
IF(L1786="GANCHO",
   IF(I1788&lt;=50,I1788*1.1+4,IF(I1788&lt;=120,I1788*1.1+7,IF(I1788&lt;=250,I1788*1.1+11,I1788*1.1+19))),
IF(L1786="NORMAL",
   IF(I1788&lt;=30,I1788*1.15+2,IF(I1788&lt;=80,I1788*1.15+4,IF(I1788&lt;=150,I1788*1.15+6,I1788*1.15+8))),
IF(L1786="COMPLEMENTO",
   IF(I1788&lt;=25,I1788*1.25+1.5,IF(I1788&lt;=60,I1788*1.25+3,IF(I1788&lt;=120,I1788*1.25+4,I1788*1.25+5))),
""))),2)</f>
        <v>176.95</v>
      </c>
      <c r="I1788" s="9">
        <f>($K$2+0.02)*Tabla1[[#This Row],[PRECIO $]]*1.18</f>
        <v>148.65168</v>
      </c>
      <c r="J1788" s="7">
        <f>+Tabla1[[#This Row],[PRECIO EN SOLES]]-Tabla1[[#This Row],[PC]]</f>
        <v>28.29831999999999</v>
      </c>
      <c r="K1788" s="15"/>
      <c r="L1788" s="15" t="str">
        <f>IF(
OR(
ISNUMBER(SEARCH("BACKPACK",B1790)),
ISNUMBER(SEARCH("MOCHILA",B1790)),
ISNUMBER(SEARCH("FUNDA",B1790)),
ISNUMBER(SEARCH("ESTUCHE",B1790)),
ISNUMBER(SEARCH("BOOK COVER",B1790)),
ISNUMBER(SEARCH("KEYBOARD PARA TABLET",B1790)),
ISNUMBER(SEARCH("FLIP TABLET",B1790)),
ISNUMBER(SEARCH("CASE FOR TABLET",B1790)),
ISNUMBER(SEARCH("CABLE",B1790)),
ISNUMBER(SEARCH("ADAPTADOR",B1790)),
ISNUMBER(SEARCH("HUB",B1790)),
ISNUMBER(SEARCH("DOCK",B1790)),
ISNUMBER(SEARCH("MOUSE PAD",B1790)),
ISNUMBER(SEARCH("MOUSEPAD",B1790)),
ISNUMBER(SEARCH("SOPORTE",B1790)),
ISNUMBER(SEARCH("STAND",B1790)),
ISNUMBER(SEARCH("TRAVEL ADAPTER",B1790)),
ISNUMBER(SEARCH("RJ45",B1790)),
ISNUMBER(SEARCH("USB-C",B1790)),
ISNUMBER(SEARCH("USB WIFI",B1790)),
ISNUMBER(SEARCH("POWERBANK",B1790)),
ISNUMBER(SEARCH("CARGADOR",B1790)),
ISNUMBER(SEARCH("COOLER PARA NB",B1790)),
ISNUMBER(SEARCH("SOPORTE PARA NB",B1790)),
ISNUMBER(SEARCH("WEBCAM",B1790)),
ISNUMBER(SEARCH("WEB CAM",B1790)),
ISNUMBER(SEARCH("MOUSE",B1790)),
ISNUMBER(SEARCH("TECLADO",B1790))
),
"COMPLEMENTO",
IF(
OR(
LEFT(A1790,2)="NB",
LEFT(A1790,2)="PC",
LEFT(A1790,2)="WS",
LEFT(A1790,2)="TB",
LEFT(A1790,3)="CEL",
LEFT(A1790,3)="MON",
LEFT(A1790,3)="PRE",
LEFT(A1790,3)="PRH",
ISNUMBER(SEARCH("NOTEBOOK",B1790)),
ISNUMBER(SEARCH("LAPTOP",B1790)),
ISNUMBER(SEARCH("MONITOR",B1790)),
ISNUMBER(SEARCH("TABLET",B1790)),
ISNUMBER(SEARCH("SMARTPH",B1790)),
ISNUMBER(SEARCH("IMPRESORA",B1790)),
ISNUMBER(SEARCH("MULTIFUNCIONAL",B1790)),
ISNUMBER(SEARCH("AIO",B1790))
),
"GANCHO",
"NORMAL"
)
)</f>
        <v>NORMAL</v>
      </c>
    </row>
    <row r="1789" spans="1:12" x14ac:dyDescent="0.25">
      <c r="A1789" s="3" t="s">
        <v>6188</v>
      </c>
      <c r="B1789" s="3" t="s">
        <v>6189</v>
      </c>
      <c r="C1789" s="1">
        <v>20</v>
      </c>
      <c r="D1789" s="1">
        <v>252.58</v>
      </c>
      <c r="E1789" s="1" t="s">
        <v>906</v>
      </c>
      <c r="F1789" s="1" t="s">
        <v>6190</v>
      </c>
      <c r="G1789" s="3" t="s">
        <v>6191</v>
      </c>
      <c r="H1789" s="11">
        <f>ROUND(
IF(L1787="GANCHO",
   IF(I1789&lt;=50,I1789*1.1+4,IF(I1789&lt;=120,I1789*1.1+7,IF(I1789&lt;=250,I1789*1.1+11,I1789*1.1+19))),
IF(L1787="NORMAL",
   IF(I1789&lt;=30,I1789*1.15+2,IF(I1789&lt;=80,I1789*1.15+4,IF(I1789&lt;=150,I1789*1.15+6,I1789*1.15+8))),
IF(L1787="COMPLEMENTO",
   IF(I1789&lt;=25,I1789*1.25+1.5,IF(I1789&lt;=60,I1789*1.25+3,IF(I1789&lt;=120,I1789*1.25+4,I1789*1.25+5))),
""))),2)</f>
        <v>1200.77</v>
      </c>
      <c r="I1789" s="9">
        <f>($K$2+0.02)*Tabla1[[#This Row],[PRECIO $]]*1.18</f>
        <v>1037.194512</v>
      </c>
      <c r="J1789" s="7">
        <f>+Tabla1[[#This Row],[PRECIO EN SOLES]]-Tabla1[[#This Row],[PC]]</f>
        <v>163.57548799999995</v>
      </c>
      <c r="K1789" s="15"/>
      <c r="L1789" s="15" t="str">
        <f>IF(
OR(
ISNUMBER(SEARCH("BACKPACK",B1791)),
ISNUMBER(SEARCH("MOCHILA",B1791)),
ISNUMBER(SEARCH("FUNDA",B1791)),
ISNUMBER(SEARCH("ESTUCHE",B1791)),
ISNUMBER(SEARCH("BOOK COVER",B1791)),
ISNUMBER(SEARCH("KEYBOARD PARA TABLET",B1791)),
ISNUMBER(SEARCH("FLIP TABLET",B1791)),
ISNUMBER(SEARCH("CASE FOR TABLET",B1791)),
ISNUMBER(SEARCH("CABLE",B1791)),
ISNUMBER(SEARCH("ADAPTADOR",B1791)),
ISNUMBER(SEARCH("HUB",B1791)),
ISNUMBER(SEARCH("DOCK",B1791)),
ISNUMBER(SEARCH("MOUSE PAD",B1791)),
ISNUMBER(SEARCH("MOUSEPAD",B1791)),
ISNUMBER(SEARCH("SOPORTE",B1791)),
ISNUMBER(SEARCH("STAND",B1791)),
ISNUMBER(SEARCH("TRAVEL ADAPTER",B1791)),
ISNUMBER(SEARCH("RJ45",B1791)),
ISNUMBER(SEARCH("USB-C",B1791)),
ISNUMBER(SEARCH("USB WIFI",B1791)),
ISNUMBER(SEARCH("POWERBANK",B1791)),
ISNUMBER(SEARCH("CARGADOR",B1791)),
ISNUMBER(SEARCH("COOLER PARA NB",B1791)),
ISNUMBER(SEARCH("SOPORTE PARA NB",B1791)),
ISNUMBER(SEARCH("WEBCAM",B1791)),
ISNUMBER(SEARCH("WEB CAM",B1791)),
ISNUMBER(SEARCH("MOUSE",B1791)),
ISNUMBER(SEARCH("TECLADO",B1791))
),
"COMPLEMENTO",
IF(
OR(
LEFT(A1791,2)="NB",
LEFT(A1791,2)="PC",
LEFT(A1791,2)="WS",
LEFT(A1791,2)="TB",
LEFT(A1791,3)="CEL",
LEFT(A1791,3)="MON",
LEFT(A1791,3)="PRE",
LEFT(A1791,3)="PRH",
ISNUMBER(SEARCH("NOTEBOOK",B1791)),
ISNUMBER(SEARCH("LAPTOP",B1791)),
ISNUMBER(SEARCH("MONITOR",B1791)),
ISNUMBER(SEARCH("TABLET",B1791)),
ISNUMBER(SEARCH("SMARTPH",B1791)),
ISNUMBER(SEARCH("IMPRESORA",B1791)),
ISNUMBER(SEARCH("MULTIFUNCIONAL",B1791)),
ISNUMBER(SEARCH("AIO",B1791))
),
"GANCHO",
"NORMAL"
)
)</f>
        <v>NORMAL</v>
      </c>
    </row>
    <row r="1790" spans="1:12" x14ac:dyDescent="0.25">
      <c r="A1790" s="3" t="s">
        <v>6192</v>
      </c>
      <c r="B1790" s="3" t="s">
        <v>6193</v>
      </c>
      <c r="C1790" s="1">
        <v>0</v>
      </c>
      <c r="D1790" s="1">
        <v>304.7</v>
      </c>
      <c r="E1790" s="1" t="s">
        <v>906</v>
      </c>
      <c r="F1790" s="1" t="s">
        <v>6194</v>
      </c>
      <c r="G1790" s="3" t="s">
        <v>6195</v>
      </c>
      <c r="H1790" s="11">
        <f>ROUND(
IF(L1788="GANCHO",
   IF(I1790&lt;=50,I1790*1.1+4,IF(I1790&lt;=120,I1790*1.1+7,IF(I1790&lt;=250,I1790*1.1+11,I1790*1.1+19))),
IF(L1788="NORMAL",
   IF(I1790&lt;=30,I1790*1.15+2,IF(I1790&lt;=80,I1790*1.15+4,IF(I1790&lt;=150,I1790*1.15+6,I1790*1.15+8))),
IF(L1788="COMPLEMENTO",
   IF(I1790&lt;=25,I1790*1.25+1.5,IF(I1790&lt;=60,I1790*1.25+3,IF(I1790&lt;=120,I1790*1.25+4,I1790*1.25+5))),
""))),2)</f>
        <v>1446.9</v>
      </c>
      <c r="I1790" s="9">
        <f>($K$2+0.02)*Tabla1[[#This Row],[PRECIO $]]*1.18</f>
        <v>1251.2200799999998</v>
      </c>
      <c r="J1790" s="7">
        <f>+Tabla1[[#This Row],[PRECIO EN SOLES]]-Tabla1[[#This Row],[PC]]</f>
        <v>195.67992000000027</v>
      </c>
      <c r="K1790" s="15"/>
      <c r="L1790" s="15" t="str">
        <f>IF(
OR(
ISNUMBER(SEARCH("BACKPACK",B1792)),
ISNUMBER(SEARCH("MOCHILA",B1792)),
ISNUMBER(SEARCH("FUNDA",B1792)),
ISNUMBER(SEARCH("ESTUCHE",B1792)),
ISNUMBER(SEARCH("BOOK COVER",B1792)),
ISNUMBER(SEARCH("KEYBOARD PARA TABLET",B1792)),
ISNUMBER(SEARCH("FLIP TABLET",B1792)),
ISNUMBER(SEARCH("CASE FOR TABLET",B1792)),
ISNUMBER(SEARCH("CABLE",B1792)),
ISNUMBER(SEARCH("ADAPTADOR",B1792)),
ISNUMBER(SEARCH("HUB",B1792)),
ISNUMBER(SEARCH("DOCK",B1792)),
ISNUMBER(SEARCH("MOUSE PAD",B1792)),
ISNUMBER(SEARCH("MOUSEPAD",B1792)),
ISNUMBER(SEARCH("SOPORTE",B1792)),
ISNUMBER(SEARCH("STAND",B1792)),
ISNUMBER(SEARCH("TRAVEL ADAPTER",B1792)),
ISNUMBER(SEARCH("RJ45",B1792)),
ISNUMBER(SEARCH("USB-C",B1792)),
ISNUMBER(SEARCH("USB WIFI",B1792)),
ISNUMBER(SEARCH("POWERBANK",B1792)),
ISNUMBER(SEARCH("CARGADOR",B1792)),
ISNUMBER(SEARCH("COOLER PARA NB",B1792)),
ISNUMBER(SEARCH("SOPORTE PARA NB",B1792)),
ISNUMBER(SEARCH("WEBCAM",B1792)),
ISNUMBER(SEARCH("WEB CAM",B1792)),
ISNUMBER(SEARCH("MOUSE",B1792)),
ISNUMBER(SEARCH("TECLADO",B1792))
),
"COMPLEMENTO",
IF(
OR(
LEFT(A1792,2)="NB",
LEFT(A1792,2)="PC",
LEFT(A1792,2)="WS",
LEFT(A1792,2)="TB",
LEFT(A1792,3)="CEL",
LEFT(A1792,3)="MON",
LEFT(A1792,3)="PRE",
LEFT(A1792,3)="PRH",
ISNUMBER(SEARCH("NOTEBOOK",B1792)),
ISNUMBER(SEARCH("LAPTOP",B1792)),
ISNUMBER(SEARCH("MONITOR",B1792)),
ISNUMBER(SEARCH("TABLET",B1792)),
ISNUMBER(SEARCH("SMARTPH",B1792)),
ISNUMBER(SEARCH("IMPRESORA",B1792)),
ISNUMBER(SEARCH("MULTIFUNCIONAL",B1792)),
ISNUMBER(SEARCH("AIO",B1792))
),
"GANCHO",
"NORMAL"
)
)</f>
        <v>NORMAL</v>
      </c>
    </row>
    <row r="1791" spans="1:12" x14ac:dyDescent="0.25">
      <c r="A1791" s="3" t="s">
        <v>6196</v>
      </c>
      <c r="B1791" s="3" t="s">
        <v>6197</v>
      </c>
      <c r="C1791" s="1">
        <v>10</v>
      </c>
      <c r="D1791" s="1">
        <v>317.5</v>
      </c>
      <c r="E1791" s="1" t="s">
        <v>906</v>
      </c>
      <c r="F1791" s="1" t="s">
        <v>6198</v>
      </c>
      <c r="G1791" s="3" t="s">
        <v>6199</v>
      </c>
      <c r="H1791" s="11">
        <f>ROUND(
IF(L1789="GANCHO",
   IF(I1791&lt;=50,I1791*1.1+4,IF(I1791&lt;=120,I1791*1.1+7,IF(I1791&lt;=250,I1791*1.1+11,I1791*1.1+19))),
IF(L1789="NORMAL",
   IF(I1791&lt;=30,I1791*1.15+2,IF(I1791&lt;=80,I1791*1.15+4,IF(I1791&lt;=150,I1791*1.15+6,I1791*1.15+8))),
IF(L1789="COMPLEMENTO",
   IF(I1791&lt;=25,I1791*1.25+1.5,IF(I1791&lt;=60,I1791*1.25+3,IF(I1791&lt;=120,I1791*1.25+4,I1791*1.25+5))),
""))),2)</f>
        <v>1507.35</v>
      </c>
      <c r="I1791" s="9">
        <f>($K$2+0.02)*Tabla1[[#This Row],[PRECIO $]]*1.18</f>
        <v>1303.7819999999999</v>
      </c>
      <c r="J1791" s="7">
        <f>+Tabla1[[#This Row],[PRECIO EN SOLES]]-Tabla1[[#This Row],[PC]]</f>
        <v>203.56799999999998</v>
      </c>
      <c r="K1791" s="15"/>
      <c r="L1791" s="15" t="str">
        <f>IF(
OR(
ISNUMBER(SEARCH("BACKPACK",B1793)),
ISNUMBER(SEARCH("MOCHILA",B1793)),
ISNUMBER(SEARCH("FUNDA",B1793)),
ISNUMBER(SEARCH("ESTUCHE",B1793)),
ISNUMBER(SEARCH("BOOK COVER",B1793)),
ISNUMBER(SEARCH("KEYBOARD PARA TABLET",B1793)),
ISNUMBER(SEARCH("FLIP TABLET",B1793)),
ISNUMBER(SEARCH("CASE FOR TABLET",B1793)),
ISNUMBER(SEARCH("CABLE",B1793)),
ISNUMBER(SEARCH("ADAPTADOR",B1793)),
ISNUMBER(SEARCH("HUB",B1793)),
ISNUMBER(SEARCH("DOCK",B1793)),
ISNUMBER(SEARCH("MOUSE PAD",B1793)),
ISNUMBER(SEARCH("MOUSEPAD",B1793)),
ISNUMBER(SEARCH("SOPORTE",B1793)),
ISNUMBER(SEARCH("STAND",B1793)),
ISNUMBER(SEARCH("TRAVEL ADAPTER",B1793)),
ISNUMBER(SEARCH("RJ45",B1793)),
ISNUMBER(SEARCH("USB-C",B1793)),
ISNUMBER(SEARCH("USB WIFI",B1793)),
ISNUMBER(SEARCH("POWERBANK",B1793)),
ISNUMBER(SEARCH("CARGADOR",B1793)),
ISNUMBER(SEARCH("COOLER PARA NB",B1793)),
ISNUMBER(SEARCH("SOPORTE PARA NB",B1793)),
ISNUMBER(SEARCH("WEBCAM",B1793)),
ISNUMBER(SEARCH("WEB CAM",B1793)),
ISNUMBER(SEARCH("MOUSE",B1793)),
ISNUMBER(SEARCH("TECLADO",B1793))
),
"COMPLEMENTO",
IF(
OR(
LEFT(A1793,2)="NB",
LEFT(A1793,2)="PC",
LEFT(A1793,2)="WS",
LEFT(A1793,2)="TB",
LEFT(A1793,3)="CEL",
LEFT(A1793,3)="MON",
LEFT(A1793,3)="PRE",
LEFT(A1793,3)="PRH",
ISNUMBER(SEARCH("NOTEBOOK",B1793)),
ISNUMBER(SEARCH("LAPTOP",B1793)),
ISNUMBER(SEARCH("MONITOR",B1793)),
ISNUMBER(SEARCH("TABLET",B1793)),
ISNUMBER(SEARCH("SMARTPH",B1793)),
ISNUMBER(SEARCH("IMPRESORA",B1793)),
ISNUMBER(SEARCH("MULTIFUNCIONAL",B1793)),
ISNUMBER(SEARCH("AIO",B1793))
),
"GANCHO",
"NORMAL"
)
)</f>
        <v>NORMAL</v>
      </c>
    </row>
    <row r="1792" spans="1:12" x14ac:dyDescent="0.25">
      <c r="A1792" s="3" t="s">
        <v>6200</v>
      </c>
      <c r="B1792" s="3" t="s">
        <v>6201</v>
      </c>
      <c r="C1792" s="1">
        <v>20</v>
      </c>
      <c r="D1792" s="1">
        <v>144</v>
      </c>
      <c r="E1792" s="1" t="s">
        <v>906</v>
      </c>
      <c r="F1792" s="1" t="s">
        <v>6202</v>
      </c>
      <c r="G1792" s="3" t="s">
        <v>6203</v>
      </c>
      <c r="H1792" s="11">
        <f>ROUND(
IF(L1790="GANCHO",
   IF(I1792&lt;=50,I1792*1.1+4,IF(I1792&lt;=120,I1792*1.1+7,IF(I1792&lt;=250,I1792*1.1+11,I1792*1.1+19))),
IF(L1790="NORMAL",
   IF(I1792&lt;=30,I1792*1.15+2,IF(I1792&lt;=80,I1792*1.15+4,IF(I1792&lt;=150,I1792*1.15+6,I1792*1.15+8))),
IF(L1790="COMPLEMENTO",
   IF(I1792&lt;=25,I1792*1.25+1.5,IF(I1792&lt;=60,I1792*1.25+3,IF(I1792&lt;=120,I1792*1.25+4,I1792*1.25+5))),
""))),2)</f>
        <v>688.02</v>
      </c>
      <c r="I1792" s="9">
        <f>($K$2+0.02)*Tabla1[[#This Row],[PRECIO $]]*1.18</f>
        <v>591.32159999999999</v>
      </c>
      <c r="J1792" s="7">
        <f>+Tabla1[[#This Row],[PRECIO EN SOLES]]-Tabla1[[#This Row],[PC]]</f>
        <v>96.698399999999992</v>
      </c>
      <c r="K1792" s="15"/>
      <c r="L1792" s="15" t="str">
        <f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3" spans="1:12" x14ac:dyDescent="0.25">
      <c r="A1793" s="3" t="s">
        <v>6378</v>
      </c>
      <c r="B1793" s="3" t="s">
        <v>6201</v>
      </c>
      <c r="C1793" s="1">
        <v>0</v>
      </c>
      <c r="D1793" s="1">
        <v>9999999.9900000002</v>
      </c>
      <c r="E1793" s="1" t="s">
        <v>906</v>
      </c>
      <c r="F1793" s="1" t="s">
        <v>6379</v>
      </c>
      <c r="G1793" s="3"/>
      <c r="H1793" s="11">
        <f>ROUND(
IF(L1791="GANCHO",
   IF(I1793&lt;=50,I1793*1.1+4,IF(I1793&lt;=120,I1793*1.1+7,IF(I1793&lt;=250,I1793*1.1+11,I1793*1.1+19))),
IF(L1791="NORMAL",
   IF(I1793&lt;=30,I1793*1.15+2,IF(I1793&lt;=80,I1793*1.15+4,IF(I1793&lt;=150,I1793*1.15+6,I1793*1.15+8))),
IF(L1791="COMPLEMENTO",
   IF(I1793&lt;=25,I1793*1.25+1.5,IF(I1793&lt;=60,I1793*1.25+3,IF(I1793&lt;=120,I1793*1.25+4,I1793*1.25+5))),
""))),2)</f>
        <v>47223607.950000003</v>
      </c>
      <c r="I1793" s="9">
        <f>($K$2+0.02)*Tabla1[[#This Row],[PRECIO $]]*1.18</f>
        <v>41063999.958935998</v>
      </c>
      <c r="J1793" s="7">
        <f>+Tabla1[[#This Row],[PRECIO EN SOLES]]-Tabla1[[#This Row],[PC]]</f>
        <v>6159607.9910640046</v>
      </c>
      <c r="K1793" s="15"/>
      <c r="L1793" s="15" t="str">
        <f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4" spans="1:12" x14ac:dyDescent="0.25">
      <c r="A1794" s="3" t="s">
        <v>5084</v>
      </c>
      <c r="B1794" s="3" t="s">
        <v>5085</v>
      </c>
      <c r="C1794" s="1">
        <v>2</v>
      </c>
      <c r="D1794" s="1">
        <v>1345</v>
      </c>
      <c r="E1794" s="1" t="s">
        <v>226</v>
      </c>
      <c r="F1794" s="1" t="s">
        <v>5086</v>
      </c>
      <c r="G1794" s="3" t="s">
        <v>5087</v>
      </c>
      <c r="H1794" s="11">
        <f>ROUND(
IF(L1792="GANCHO",
   IF(I1794&lt;=50,I1794*1.1+4,IF(I1794&lt;=120,I1794*1.1+7,IF(I1794&lt;=250,I1794*1.1+11,I1794*1.1+19))),
IF(L1792="NORMAL",
   IF(I1794&lt;=30,I1794*1.15+2,IF(I1794&lt;=80,I1794*1.15+4,IF(I1794&lt;=150,I1794*1.15+6,I1794*1.15+8))),
IF(L1792="COMPLEMENTO",
   IF(I1794&lt;=25,I1794*1.25+1.5,IF(I1794&lt;=60,I1794*1.25+3,IF(I1794&lt;=120,I1794*1.25+4,I1794*1.25+5))),
""))),2)</f>
        <v>6359.57</v>
      </c>
      <c r="I1794" s="9">
        <f>($K$2+0.02)*Tabla1[[#This Row],[PRECIO $]]*1.18</f>
        <v>5523.1080000000002</v>
      </c>
      <c r="J1794" s="7">
        <f>+Tabla1[[#This Row],[PRECIO EN SOLES]]-Tabla1[[#This Row],[PC]]</f>
        <v>836.46199999999953</v>
      </c>
      <c r="K1794" s="15"/>
      <c r="L1794" s="15" t="str">
        <f>IF(
OR(
ISNUMBER(SEARCH("BACKPACK",B1796)),
ISNUMBER(SEARCH("MOCHILA",B1796)),
ISNUMBER(SEARCH("FUNDA",B1796)),
ISNUMBER(SEARCH("ESTUCHE",B1796)),
ISNUMBER(SEARCH("BOOK COVER",B1796)),
ISNUMBER(SEARCH("KEYBOARD PARA TABLET",B1796)),
ISNUMBER(SEARCH("FLIP TABLET",B1796)),
ISNUMBER(SEARCH("CASE FOR TABLET",B1796)),
ISNUMBER(SEARCH("CABLE",B1796)),
ISNUMBER(SEARCH("ADAPTADOR",B1796)),
ISNUMBER(SEARCH("HUB",B1796)),
ISNUMBER(SEARCH("DOCK",B1796)),
ISNUMBER(SEARCH("MOUSE PAD",B1796)),
ISNUMBER(SEARCH("MOUSEPAD",B1796)),
ISNUMBER(SEARCH("SOPORTE",B1796)),
ISNUMBER(SEARCH("STAND",B1796)),
ISNUMBER(SEARCH("TRAVEL ADAPTER",B1796)),
ISNUMBER(SEARCH("RJ45",B1796)),
ISNUMBER(SEARCH("USB-C",B1796)),
ISNUMBER(SEARCH("USB WIFI",B1796)),
ISNUMBER(SEARCH("POWERBANK",B1796)),
ISNUMBER(SEARCH("CARGADOR",B1796)),
ISNUMBER(SEARCH("COOLER PARA NB",B1796)),
ISNUMBER(SEARCH("SOPORTE PARA NB",B1796)),
ISNUMBER(SEARCH("WEBCAM",B1796)),
ISNUMBER(SEARCH("WEB CAM",B1796)),
ISNUMBER(SEARCH("MOUSE",B1796)),
ISNUMBER(SEARCH("TECLADO",B1796))
),
"COMPLEMENTO",
IF(
OR(
LEFT(A1796,2)="NB",
LEFT(A1796,2)="PC",
LEFT(A1796,2)="WS",
LEFT(A1796,2)="TB",
LEFT(A1796,3)="CEL",
LEFT(A1796,3)="MON",
LEFT(A1796,3)="PRE",
LEFT(A1796,3)="PRH",
ISNUMBER(SEARCH("NOTEBOOK",B1796)),
ISNUMBER(SEARCH("LAPTOP",B1796)),
ISNUMBER(SEARCH("MONITOR",B1796)),
ISNUMBER(SEARCH("TABLET",B1796)),
ISNUMBER(SEARCH("SMARTPH",B1796)),
ISNUMBER(SEARCH("IMPRESORA",B1796)),
ISNUMBER(SEARCH("MULTIFUNCIONAL",B1796)),
ISNUMBER(SEARCH("AIO",B1796))
),
"GANCHO",
"NORMAL"
)
)</f>
        <v>NORMAL</v>
      </c>
    </row>
    <row r="1795" spans="1:12" x14ac:dyDescent="0.25">
      <c r="A1795" s="3" t="s">
        <v>5088</v>
      </c>
      <c r="B1795" s="3" t="s">
        <v>5089</v>
      </c>
      <c r="C1795" s="1">
        <v>0</v>
      </c>
      <c r="D1795" s="1">
        <v>821</v>
      </c>
      <c r="E1795" s="1" t="s">
        <v>121</v>
      </c>
      <c r="F1795" s="1" t="s">
        <v>5090</v>
      </c>
      <c r="G1795" s="3" t="s">
        <v>5091</v>
      </c>
      <c r="H1795" s="11">
        <f>ROUND(
IF(L1793="GANCHO",
   IF(I1795&lt;=50,I1795*1.1+4,IF(I1795&lt;=120,I1795*1.1+7,IF(I1795&lt;=250,I1795*1.1+11,I1795*1.1+19))),
IF(L1793="NORMAL",
   IF(I1795&lt;=30,I1795*1.15+2,IF(I1795&lt;=80,I1795*1.15+4,IF(I1795&lt;=150,I1795*1.15+6,I1795*1.15+8))),
IF(L1793="COMPLEMENTO",
   IF(I1795&lt;=25,I1795*1.25+1.5,IF(I1795&lt;=60,I1795*1.25+3,IF(I1795&lt;=120,I1795*1.25+4,I1795*1.25+5))),
""))),2)</f>
        <v>3885.06</v>
      </c>
      <c r="I1795" s="9">
        <f>($K$2+0.02)*Tabla1[[#This Row],[PRECIO $]]*1.18</f>
        <v>3371.3543999999997</v>
      </c>
      <c r="J1795" s="7">
        <f>+Tabla1[[#This Row],[PRECIO EN SOLES]]-Tabla1[[#This Row],[PC]]</f>
        <v>513.70560000000023</v>
      </c>
      <c r="K1795" s="15"/>
      <c r="L1795" s="15" t="str">
        <f>IF(
OR(
ISNUMBER(SEARCH("BACKPACK",B1797)),
ISNUMBER(SEARCH("MOCHILA",B1797)),
ISNUMBER(SEARCH("FUNDA",B1797)),
ISNUMBER(SEARCH("ESTUCHE",B1797)),
ISNUMBER(SEARCH("BOOK COVER",B1797)),
ISNUMBER(SEARCH("KEYBOARD PARA TABLET",B1797)),
ISNUMBER(SEARCH("FLIP TABLET",B1797)),
ISNUMBER(SEARCH("CASE FOR TABLET",B1797)),
ISNUMBER(SEARCH("CABLE",B1797)),
ISNUMBER(SEARCH("ADAPTADOR",B1797)),
ISNUMBER(SEARCH("HUB",B1797)),
ISNUMBER(SEARCH("DOCK",B1797)),
ISNUMBER(SEARCH("MOUSE PAD",B1797)),
ISNUMBER(SEARCH("MOUSEPAD",B1797)),
ISNUMBER(SEARCH("SOPORTE",B1797)),
ISNUMBER(SEARCH("STAND",B1797)),
ISNUMBER(SEARCH("TRAVEL ADAPTER",B1797)),
ISNUMBER(SEARCH("RJ45",B1797)),
ISNUMBER(SEARCH("USB-C",B1797)),
ISNUMBER(SEARCH("USB WIFI",B1797)),
ISNUMBER(SEARCH("POWERBANK",B1797)),
ISNUMBER(SEARCH("CARGADOR",B1797)),
ISNUMBER(SEARCH("COOLER PARA NB",B1797)),
ISNUMBER(SEARCH("SOPORTE PARA NB",B1797)),
ISNUMBER(SEARCH("WEBCAM",B1797)),
ISNUMBER(SEARCH("WEB CAM",B1797)),
ISNUMBER(SEARCH("MOUSE",B1797)),
ISNUMBER(SEARCH("TECLADO",B1797))
),
"COMPLEMENTO",
IF(
OR(
LEFT(A1797,2)="NB",
LEFT(A1797,2)="PC",
LEFT(A1797,2)="WS",
LEFT(A1797,2)="TB",
LEFT(A1797,3)="CEL",
LEFT(A1797,3)="MON",
LEFT(A1797,3)="PRE",
LEFT(A1797,3)="PRH",
ISNUMBER(SEARCH("NOTEBOOK",B1797)),
ISNUMBER(SEARCH("LAPTOP",B1797)),
ISNUMBER(SEARCH("MONITOR",B1797)),
ISNUMBER(SEARCH("TABLET",B1797)),
ISNUMBER(SEARCH("SMARTPH",B1797)),
ISNUMBER(SEARCH("IMPRESORA",B1797)),
ISNUMBER(SEARCH("MULTIFUNCIONAL",B1797)),
ISNUMBER(SEARCH("AIO",B1797))
),
"GANCHO",
"NORMAL"
)
)</f>
        <v>NORMAL</v>
      </c>
    </row>
    <row r="1796" spans="1:12" x14ac:dyDescent="0.25">
      <c r="A1796" s="3" t="s">
        <v>5092</v>
      </c>
      <c r="B1796" s="3" t="s">
        <v>5093</v>
      </c>
      <c r="C1796" s="1">
        <v>19</v>
      </c>
      <c r="D1796" s="1">
        <v>785</v>
      </c>
      <c r="E1796" s="1" t="s">
        <v>121</v>
      </c>
      <c r="F1796" s="1" t="s">
        <v>5094</v>
      </c>
      <c r="G1796" s="3" t="s">
        <v>5095</v>
      </c>
      <c r="H1796" s="11">
        <f>ROUND(
IF(L1794="GANCHO",
   IF(I1796&lt;=50,I1796*1.1+4,IF(I1796&lt;=120,I1796*1.1+7,IF(I1796&lt;=250,I1796*1.1+11,I1796*1.1+19))),
IF(L1794="NORMAL",
   IF(I1796&lt;=30,I1796*1.15+2,IF(I1796&lt;=80,I1796*1.15+4,IF(I1796&lt;=150,I1796*1.15+6,I1796*1.15+8))),
IF(L1794="COMPLEMENTO",
   IF(I1796&lt;=25,I1796*1.25+1.5,IF(I1796&lt;=60,I1796*1.25+3,IF(I1796&lt;=120,I1796*1.25+4,I1796*1.25+5))),
""))),2)</f>
        <v>3715.05</v>
      </c>
      <c r="I1796" s="9">
        <f>($K$2+0.02)*Tabla1[[#This Row],[PRECIO $]]*1.18</f>
        <v>3223.5239999999999</v>
      </c>
      <c r="J1796" s="7">
        <f>+Tabla1[[#This Row],[PRECIO EN SOLES]]-Tabla1[[#This Row],[PC]]</f>
        <v>491.52600000000029</v>
      </c>
      <c r="K1796" s="15"/>
      <c r="L1796" s="15" t="str">
        <f>IF(
OR(
ISNUMBER(SEARCH("BACKPACK",B1798)),
ISNUMBER(SEARCH("MOCHILA",B1798)),
ISNUMBER(SEARCH("FUNDA",B1798)),
ISNUMBER(SEARCH("ESTUCHE",B1798)),
ISNUMBER(SEARCH("BOOK COVER",B1798)),
ISNUMBER(SEARCH("KEYBOARD PARA TABLET",B1798)),
ISNUMBER(SEARCH("FLIP TABLET",B1798)),
ISNUMBER(SEARCH("CASE FOR TABLET",B1798)),
ISNUMBER(SEARCH("CABLE",B1798)),
ISNUMBER(SEARCH("ADAPTADOR",B1798)),
ISNUMBER(SEARCH("HUB",B1798)),
ISNUMBER(SEARCH("DOCK",B1798)),
ISNUMBER(SEARCH("MOUSE PAD",B1798)),
ISNUMBER(SEARCH("MOUSEPAD",B1798)),
ISNUMBER(SEARCH("SOPORTE",B1798)),
ISNUMBER(SEARCH("STAND",B1798)),
ISNUMBER(SEARCH("TRAVEL ADAPTER",B1798)),
ISNUMBER(SEARCH("RJ45",B1798)),
ISNUMBER(SEARCH("USB-C",B1798)),
ISNUMBER(SEARCH("USB WIFI",B1798)),
ISNUMBER(SEARCH("POWERBANK",B1798)),
ISNUMBER(SEARCH("CARGADOR",B1798)),
ISNUMBER(SEARCH("COOLER PARA NB",B1798)),
ISNUMBER(SEARCH("SOPORTE PARA NB",B1798)),
ISNUMBER(SEARCH("WEBCAM",B1798)),
ISNUMBER(SEARCH("WEB CAM",B1798)),
ISNUMBER(SEARCH("MOUSE",B1798)),
ISNUMBER(SEARCH("TECLADO",B1798))
),
"COMPLEMENTO",
IF(
OR(
LEFT(A1798,2)="NB",
LEFT(A1798,2)="PC",
LEFT(A1798,2)="WS",
LEFT(A1798,2)="TB",
LEFT(A1798,3)="CEL",
LEFT(A1798,3)="MON",
LEFT(A1798,3)="PRE",
LEFT(A1798,3)="PRH",
ISNUMBER(SEARCH("NOTEBOOK",B1798)),
ISNUMBER(SEARCH("LAPTOP",B1798)),
ISNUMBER(SEARCH("MONITOR",B1798)),
ISNUMBER(SEARCH("TABLET",B1798)),
ISNUMBER(SEARCH("SMARTPH",B1798)),
ISNUMBER(SEARCH("IMPRESORA",B1798)),
ISNUMBER(SEARCH("MULTIFUNCIONAL",B1798)),
ISNUMBER(SEARCH("AIO",B1798))
),
"GANCHO",
"NORMAL"
)
)</f>
        <v>NORMAL</v>
      </c>
    </row>
    <row r="1797" spans="1:12" x14ac:dyDescent="0.25">
      <c r="A1797" s="3" t="s">
        <v>6204</v>
      </c>
      <c r="B1797" s="3" t="s">
        <v>6205</v>
      </c>
      <c r="C1797" s="1">
        <v>20</v>
      </c>
      <c r="D1797" s="1">
        <v>655</v>
      </c>
      <c r="E1797" s="1" t="s">
        <v>226</v>
      </c>
      <c r="F1797" s="1" t="s">
        <v>6206</v>
      </c>
      <c r="G1797" s="3" t="s">
        <v>6207</v>
      </c>
      <c r="H1797" s="11">
        <f>ROUND(
IF(L1795="GANCHO",
   IF(I1797&lt;=50,I1797*1.1+4,IF(I1797&lt;=120,I1797*1.1+7,IF(I1797&lt;=250,I1797*1.1+11,I1797*1.1+19))),
IF(L1795="NORMAL",
   IF(I1797&lt;=30,I1797*1.15+2,IF(I1797&lt;=80,I1797*1.15+4,IF(I1797&lt;=150,I1797*1.15+6,I1797*1.15+8))),
IF(L1795="COMPLEMENTO",
   IF(I1797&lt;=25,I1797*1.25+1.5,IF(I1797&lt;=60,I1797*1.25+3,IF(I1797&lt;=120,I1797*1.25+4,I1797*1.25+5))),
""))),2)</f>
        <v>3101.15</v>
      </c>
      <c r="I1797" s="9">
        <f>($K$2+0.02)*Tabla1[[#This Row],[PRECIO $]]*1.18</f>
        <v>2689.692</v>
      </c>
      <c r="J1797" s="7">
        <f>+Tabla1[[#This Row],[PRECIO EN SOLES]]-Tabla1[[#This Row],[PC]]</f>
        <v>411.45800000000008</v>
      </c>
      <c r="K1797" s="15"/>
      <c r="L1797" s="15" t="str">
        <f>IF(
OR(
ISNUMBER(SEARCH("BACKPACK",B1799)),
ISNUMBER(SEARCH("MOCHILA",B1799)),
ISNUMBER(SEARCH("FUNDA",B1799)),
ISNUMBER(SEARCH("ESTUCHE",B1799)),
ISNUMBER(SEARCH("BOOK COVER",B1799)),
ISNUMBER(SEARCH("KEYBOARD PARA TABLET",B1799)),
ISNUMBER(SEARCH("FLIP TABLET",B1799)),
ISNUMBER(SEARCH("CASE FOR TABLET",B1799)),
ISNUMBER(SEARCH("CABLE",B1799)),
ISNUMBER(SEARCH("ADAPTADOR",B1799)),
ISNUMBER(SEARCH("HUB",B1799)),
ISNUMBER(SEARCH("DOCK",B1799)),
ISNUMBER(SEARCH("MOUSE PAD",B1799)),
ISNUMBER(SEARCH("MOUSEPAD",B1799)),
ISNUMBER(SEARCH("SOPORTE",B1799)),
ISNUMBER(SEARCH("STAND",B1799)),
ISNUMBER(SEARCH("TRAVEL ADAPTER",B1799)),
ISNUMBER(SEARCH("RJ45",B1799)),
ISNUMBER(SEARCH("USB-C",B1799)),
ISNUMBER(SEARCH("USB WIFI",B1799)),
ISNUMBER(SEARCH("POWERBANK",B1799)),
ISNUMBER(SEARCH("CARGADOR",B1799)),
ISNUMBER(SEARCH("COOLER PARA NB",B1799)),
ISNUMBER(SEARCH("SOPORTE PARA NB",B1799)),
ISNUMBER(SEARCH("WEBCAM",B1799)),
ISNUMBER(SEARCH("WEB CAM",B1799)),
ISNUMBER(SEARCH("MOUSE",B1799)),
ISNUMBER(SEARCH("TECLADO",B1799))
),
"COMPLEMENTO",
IF(
OR(
LEFT(A1799,2)="NB",
LEFT(A1799,2)="PC",
LEFT(A1799,2)="WS",
LEFT(A1799,2)="TB",
LEFT(A1799,3)="CEL",
LEFT(A1799,3)="MON",
LEFT(A1799,3)="PRE",
LEFT(A1799,3)="PRH",
ISNUMBER(SEARCH("NOTEBOOK",B1799)),
ISNUMBER(SEARCH("LAPTOP",B1799)),
ISNUMBER(SEARCH("MONITOR",B1799)),
ISNUMBER(SEARCH("TABLET",B1799)),
ISNUMBER(SEARCH("SMARTPH",B1799)),
ISNUMBER(SEARCH("IMPRESORA",B1799)),
ISNUMBER(SEARCH("MULTIFUNCIONAL",B1799)),
ISNUMBER(SEARCH("AIO",B1799))
),
"GANCHO",
"NORMAL"
)
)</f>
        <v>NORMAL</v>
      </c>
    </row>
    <row r="1798" spans="1:12" x14ac:dyDescent="0.25">
      <c r="A1798" s="3" t="s">
        <v>6208</v>
      </c>
      <c r="B1798" s="3" t="s">
        <v>6209</v>
      </c>
      <c r="C1798" s="1">
        <v>20</v>
      </c>
      <c r="D1798" s="1">
        <v>655</v>
      </c>
      <c r="E1798" s="1" t="s">
        <v>226</v>
      </c>
      <c r="F1798" s="1" t="s">
        <v>6210</v>
      </c>
      <c r="G1798" s="3" t="s">
        <v>6211</v>
      </c>
      <c r="H1798" s="11">
        <f>ROUND(
IF(L1796="GANCHO",
   IF(I1798&lt;=50,I1798*1.1+4,IF(I1798&lt;=120,I1798*1.1+7,IF(I1798&lt;=250,I1798*1.1+11,I1798*1.1+19))),
IF(L1796="NORMAL",
   IF(I1798&lt;=30,I1798*1.15+2,IF(I1798&lt;=80,I1798*1.15+4,IF(I1798&lt;=150,I1798*1.15+6,I1798*1.15+8))),
IF(L1796="COMPLEMENTO",
   IF(I1798&lt;=25,I1798*1.25+1.5,IF(I1798&lt;=60,I1798*1.25+3,IF(I1798&lt;=120,I1798*1.25+4,I1798*1.25+5))),
""))),2)</f>
        <v>3101.15</v>
      </c>
      <c r="I1798" s="9">
        <f>($K$2+0.02)*Tabla1[[#This Row],[PRECIO $]]*1.18</f>
        <v>2689.692</v>
      </c>
      <c r="J1798" s="7">
        <f>+Tabla1[[#This Row],[PRECIO EN SOLES]]-Tabla1[[#This Row],[PC]]</f>
        <v>411.45800000000008</v>
      </c>
      <c r="K1798" s="15"/>
      <c r="L1798" s="15" t="str">
        <f>IF(
OR(
ISNUMBER(SEARCH("BACKPACK",B1800)),
ISNUMBER(SEARCH("MOCHILA",B1800)),
ISNUMBER(SEARCH("FUNDA",B1800)),
ISNUMBER(SEARCH("ESTUCHE",B1800)),
ISNUMBER(SEARCH("BOOK COVER",B1800)),
ISNUMBER(SEARCH("KEYBOARD PARA TABLET",B1800)),
ISNUMBER(SEARCH("FLIP TABLET",B1800)),
ISNUMBER(SEARCH("CASE FOR TABLET",B1800)),
ISNUMBER(SEARCH("CABLE",B1800)),
ISNUMBER(SEARCH("ADAPTADOR",B1800)),
ISNUMBER(SEARCH("HUB",B1800)),
ISNUMBER(SEARCH("DOCK",B1800)),
ISNUMBER(SEARCH("MOUSE PAD",B1800)),
ISNUMBER(SEARCH("MOUSEPAD",B1800)),
ISNUMBER(SEARCH("SOPORTE",B1800)),
ISNUMBER(SEARCH("STAND",B1800)),
ISNUMBER(SEARCH("TRAVEL ADAPTER",B1800)),
ISNUMBER(SEARCH("RJ45",B1800)),
ISNUMBER(SEARCH("USB-C",B1800)),
ISNUMBER(SEARCH("USB WIFI",B1800)),
ISNUMBER(SEARCH("POWERBANK",B1800)),
ISNUMBER(SEARCH("CARGADOR",B1800)),
ISNUMBER(SEARCH("COOLER PARA NB",B1800)),
ISNUMBER(SEARCH("SOPORTE PARA NB",B1800)),
ISNUMBER(SEARCH("WEBCAM",B1800)),
ISNUMBER(SEARCH("WEB CAM",B1800)),
ISNUMBER(SEARCH("MOUSE",B1800)),
ISNUMBER(SEARCH("TECLADO",B1800))
),
"COMPLEMENTO",
IF(
OR(
LEFT(A1800,2)="NB",
LEFT(A1800,2)="PC",
LEFT(A1800,2)="WS",
LEFT(A1800,2)="TB",
LEFT(A1800,3)="CEL",
LEFT(A1800,3)="MON",
LEFT(A1800,3)="PRE",
LEFT(A1800,3)="PRH",
ISNUMBER(SEARCH("NOTEBOOK",B1800)),
ISNUMBER(SEARCH("LAPTOP",B1800)),
ISNUMBER(SEARCH("MONITOR",B1800)),
ISNUMBER(SEARCH("TABLET",B1800)),
ISNUMBER(SEARCH("SMARTPH",B1800)),
ISNUMBER(SEARCH("IMPRESORA",B1800)),
ISNUMBER(SEARCH("MULTIFUNCIONAL",B1800)),
ISNUMBER(SEARCH("AIO",B1800))
),
"GANCHO",
"NORMAL"
)
)</f>
        <v>NORMAL</v>
      </c>
    </row>
    <row r="1799" spans="1:12" x14ac:dyDescent="0.25">
      <c r="A1799" s="3" t="s">
        <v>6212</v>
      </c>
      <c r="B1799" s="3" t="s">
        <v>5085</v>
      </c>
      <c r="C1799" s="1">
        <v>1</v>
      </c>
      <c r="D1799" s="1">
        <v>1350</v>
      </c>
      <c r="E1799" s="1" t="s">
        <v>226</v>
      </c>
      <c r="F1799" s="1" t="s">
        <v>6213</v>
      </c>
      <c r="G1799" s="3" t="s">
        <v>5087</v>
      </c>
      <c r="H1799" s="11">
        <f>ROUND(
IF(L1797="GANCHO",
   IF(I1799&lt;=50,I1799*1.1+4,IF(I1799&lt;=120,I1799*1.1+7,IF(I1799&lt;=250,I1799*1.1+11,I1799*1.1+19))),
IF(L1797="NORMAL",
   IF(I1799&lt;=30,I1799*1.15+2,IF(I1799&lt;=80,I1799*1.15+4,IF(I1799&lt;=150,I1799*1.15+6,I1799*1.15+8))),
IF(L1797="COMPLEMENTO",
   IF(I1799&lt;=25,I1799*1.25+1.5,IF(I1799&lt;=60,I1799*1.25+3,IF(I1799&lt;=120,I1799*1.25+4,I1799*1.25+5))),
""))),2)</f>
        <v>6383.19</v>
      </c>
      <c r="I1799" s="9">
        <f>($K$2+0.02)*Tabla1[[#This Row],[PRECIO $]]*1.18</f>
        <v>5543.6399999999994</v>
      </c>
      <c r="J1799" s="7">
        <f>+Tabla1[[#This Row],[PRECIO EN SOLES]]-Tabla1[[#This Row],[PC]]</f>
        <v>839.55000000000018</v>
      </c>
      <c r="K1799" s="15"/>
      <c r="L1799" s="15" t="str">
        <f>IF(
OR(
ISNUMBER(SEARCH("BACKPACK",B1801)),
ISNUMBER(SEARCH("MOCHILA",B1801)),
ISNUMBER(SEARCH("FUNDA",B1801)),
ISNUMBER(SEARCH("ESTUCHE",B1801)),
ISNUMBER(SEARCH("BOOK COVER",B1801)),
ISNUMBER(SEARCH("KEYBOARD PARA TABLET",B1801)),
ISNUMBER(SEARCH("FLIP TABLET",B1801)),
ISNUMBER(SEARCH("CASE FOR TABLET",B1801)),
ISNUMBER(SEARCH("CABLE",B1801)),
ISNUMBER(SEARCH("ADAPTADOR",B1801)),
ISNUMBER(SEARCH("HUB",B1801)),
ISNUMBER(SEARCH("DOCK",B1801)),
ISNUMBER(SEARCH("MOUSE PAD",B1801)),
ISNUMBER(SEARCH("MOUSEPAD",B1801)),
ISNUMBER(SEARCH("SOPORTE",B1801)),
ISNUMBER(SEARCH("STAND",B1801)),
ISNUMBER(SEARCH("TRAVEL ADAPTER",B1801)),
ISNUMBER(SEARCH("RJ45",B1801)),
ISNUMBER(SEARCH("USB-C",B1801)),
ISNUMBER(SEARCH("USB WIFI",B1801)),
ISNUMBER(SEARCH("POWERBANK",B1801)),
ISNUMBER(SEARCH("CARGADOR",B1801)),
ISNUMBER(SEARCH("COOLER PARA NB",B1801)),
ISNUMBER(SEARCH("SOPORTE PARA NB",B1801)),
ISNUMBER(SEARCH("WEBCAM",B1801)),
ISNUMBER(SEARCH("WEB CAM",B1801)),
ISNUMBER(SEARCH("MOUSE",B1801)),
ISNUMBER(SEARCH("TECLADO",B1801))
),
"COMPLEMENTO",
IF(
OR(
LEFT(A1801,2)="NB",
LEFT(A1801,2)="PC",
LEFT(A1801,2)="WS",
LEFT(A1801,2)="TB",
LEFT(A1801,3)="CEL",
LEFT(A1801,3)="MON",
LEFT(A1801,3)="PRE",
LEFT(A1801,3)="PRH",
ISNUMBER(SEARCH("NOTEBOOK",B1801)),
ISNUMBER(SEARCH("LAPTOP",B1801)),
ISNUMBER(SEARCH("MONITOR",B1801)),
ISNUMBER(SEARCH("TABLET",B1801)),
ISNUMBER(SEARCH("SMARTPH",B1801)),
ISNUMBER(SEARCH("IMPRESORA",B1801)),
ISNUMBER(SEARCH("MULTIFUNCIONAL",B1801)),
ISNUMBER(SEARCH("AIO",B1801))
),
"GANCHO",
"NORMAL"
)
)</f>
        <v>NORMAL</v>
      </c>
    </row>
    <row r="1800" spans="1:12" x14ac:dyDescent="0.25">
      <c r="A1800" s="3" t="s">
        <v>5096</v>
      </c>
      <c r="B1800" s="3" t="s">
        <v>5097</v>
      </c>
      <c r="C1800" s="1">
        <v>0</v>
      </c>
      <c r="D1800" s="1">
        <v>1294</v>
      </c>
      <c r="E1800" s="1" t="s">
        <v>226</v>
      </c>
      <c r="F1800" s="1" t="s">
        <v>5098</v>
      </c>
      <c r="G1800" s="3" t="s">
        <v>5099</v>
      </c>
      <c r="H1800" s="11">
        <f>ROUND(
IF(L1798="GANCHO",
   IF(I1800&lt;=50,I1800*1.1+4,IF(I1800&lt;=120,I1800*1.1+7,IF(I1800&lt;=250,I1800*1.1+11,I1800*1.1+19))),
IF(L1798="NORMAL",
   IF(I1800&lt;=30,I1800*1.15+2,IF(I1800&lt;=80,I1800*1.15+4,IF(I1800&lt;=150,I1800*1.15+6,I1800*1.15+8))),
IF(L1798="COMPLEMENTO",
   IF(I1800&lt;=25,I1800*1.25+1.5,IF(I1800&lt;=60,I1800*1.25+3,IF(I1800&lt;=120,I1800*1.25+4,I1800*1.25+5))),
""))),2)</f>
        <v>6118.73</v>
      </c>
      <c r="I1800" s="9">
        <f>($K$2+0.02)*Tabla1[[#This Row],[PRECIO $]]*1.18</f>
        <v>5313.6815999999999</v>
      </c>
      <c r="J1800" s="7">
        <f>+Tabla1[[#This Row],[PRECIO EN SOLES]]-Tabla1[[#This Row],[PC]]</f>
        <v>805.04839999999967</v>
      </c>
      <c r="K1800" s="15"/>
      <c r="L1800" s="15" t="str">
        <f>IF(
OR(
ISNUMBER(SEARCH("BACKPACK",B1802)),
ISNUMBER(SEARCH("MOCHILA",B1802)),
ISNUMBER(SEARCH("FUNDA",B1802)),
ISNUMBER(SEARCH("ESTUCHE",B1802)),
ISNUMBER(SEARCH("BOOK COVER",B1802)),
ISNUMBER(SEARCH("KEYBOARD PARA TABLET",B1802)),
ISNUMBER(SEARCH("FLIP TABLET",B1802)),
ISNUMBER(SEARCH("CASE FOR TABLET",B1802)),
ISNUMBER(SEARCH("CABLE",B1802)),
ISNUMBER(SEARCH("ADAPTADOR",B1802)),
ISNUMBER(SEARCH("HUB",B1802)),
ISNUMBER(SEARCH("DOCK",B1802)),
ISNUMBER(SEARCH("MOUSE PAD",B1802)),
ISNUMBER(SEARCH("MOUSEPAD",B1802)),
ISNUMBER(SEARCH("SOPORTE",B1802)),
ISNUMBER(SEARCH("STAND",B1802)),
ISNUMBER(SEARCH("TRAVEL ADAPTER",B1802)),
ISNUMBER(SEARCH("RJ45",B1802)),
ISNUMBER(SEARCH("USB-C",B1802)),
ISNUMBER(SEARCH("USB WIFI",B1802)),
ISNUMBER(SEARCH("POWERBANK",B1802)),
ISNUMBER(SEARCH("CARGADOR",B1802)),
ISNUMBER(SEARCH("COOLER PARA NB",B1802)),
ISNUMBER(SEARCH("SOPORTE PARA NB",B1802)),
ISNUMBER(SEARCH("WEBCAM",B1802)),
ISNUMBER(SEARCH("WEB CAM",B1802)),
ISNUMBER(SEARCH("MOUSE",B1802)),
ISNUMBER(SEARCH("TECLADO",B1802))
),
"COMPLEMENTO",
IF(
OR(
LEFT(A1802,2)="NB",
LEFT(A1802,2)="PC",
LEFT(A1802,2)="WS",
LEFT(A1802,2)="TB",
LEFT(A1802,3)="CEL",
LEFT(A1802,3)="MON",
LEFT(A1802,3)="PRE",
LEFT(A1802,3)="PRH",
ISNUMBER(SEARCH("NOTEBOOK",B1802)),
ISNUMBER(SEARCH("LAPTOP",B1802)),
ISNUMBER(SEARCH("MONITOR",B1802)),
ISNUMBER(SEARCH("TABLET",B1802)),
ISNUMBER(SEARCH("SMARTPH",B1802)),
ISNUMBER(SEARCH("IMPRESORA",B1802)),
ISNUMBER(SEARCH("MULTIFUNCIONAL",B1802)),
ISNUMBER(SEARCH("AIO",B1802))
),
"GANCHO",
"NORMAL"
)
)</f>
        <v>NORMAL</v>
      </c>
    </row>
    <row r="1801" spans="1:12" x14ac:dyDescent="0.25">
      <c r="A1801" s="3" t="s">
        <v>6982</v>
      </c>
      <c r="B1801" s="3" t="s">
        <v>6983</v>
      </c>
      <c r="C1801" s="1">
        <v>0</v>
      </c>
      <c r="D1801" s="1">
        <v>1240</v>
      </c>
      <c r="E1801" s="1" t="s">
        <v>226</v>
      </c>
      <c r="F1801" s="1" t="s">
        <v>6984</v>
      </c>
      <c r="G1801" s="3"/>
      <c r="H1801" s="11">
        <f>ROUND(
IF(L1799="GANCHO",
   IF(I1801&lt;=50,I1801*1.1+4,IF(I1801&lt;=120,I1801*1.1+7,IF(I1801&lt;=250,I1801*1.1+11,I1801*1.1+19))),
IF(L1799="NORMAL",
   IF(I1801&lt;=30,I1801*1.15+2,IF(I1801&lt;=80,I1801*1.15+4,IF(I1801&lt;=150,I1801*1.15+6,I1801*1.15+8))),
IF(L1799="COMPLEMENTO",
   IF(I1801&lt;=25,I1801*1.25+1.5,IF(I1801&lt;=60,I1801*1.25+3,IF(I1801&lt;=120,I1801*1.25+4,I1801*1.25+5))),
""))),2)</f>
        <v>5863.73</v>
      </c>
      <c r="I1801" s="9">
        <f>($K$2+0.02)*Tabla1[[#This Row],[PRECIO $]]*1.18</f>
        <v>5091.9359999999997</v>
      </c>
      <c r="J1801" s="7">
        <f>+Tabla1[[#This Row],[PRECIO EN SOLES]]-Tabla1[[#This Row],[PC]]</f>
        <v>771.79399999999987</v>
      </c>
      <c r="K1801" s="15"/>
      <c r="L1801" s="15" t="str">
        <f>IF(
OR(
ISNUMBER(SEARCH("BACKPACK",B1803)),
ISNUMBER(SEARCH("MOCHILA",B1803)),
ISNUMBER(SEARCH("FUNDA",B1803)),
ISNUMBER(SEARCH("ESTUCHE",B1803)),
ISNUMBER(SEARCH("BOOK COVER",B1803)),
ISNUMBER(SEARCH("KEYBOARD PARA TABLET",B1803)),
ISNUMBER(SEARCH("FLIP TABLET",B1803)),
ISNUMBER(SEARCH("CASE FOR TABLET",B1803)),
ISNUMBER(SEARCH("CABLE",B1803)),
ISNUMBER(SEARCH("ADAPTADOR",B1803)),
ISNUMBER(SEARCH("HUB",B1803)),
ISNUMBER(SEARCH("DOCK",B1803)),
ISNUMBER(SEARCH("MOUSE PAD",B1803)),
ISNUMBER(SEARCH("MOUSEPAD",B1803)),
ISNUMBER(SEARCH("SOPORTE",B1803)),
ISNUMBER(SEARCH("STAND",B1803)),
ISNUMBER(SEARCH("TRAVEL ADAPTER",B1803)),
ISNUMBER(SEARCH("RJ45",B1803)),
ISNUMBER(SEARCH("USB-C",B1803)),
ISNUMBER(SEARCH("USB WIFI",B1803)),
ISNUMBER(SEARCH("POWERBANK",B1803)),
ISNUMBER(SEARCH("CARGADOR",B1803)),
ISNUMBER(SEARCH("COOLER PARA NB",B1803)),
ISNUMBER(SEARCH("SOPORTE PARA NB",B1803)),
ISNUMBER(SEARCH("WEBCAM",B1803)),
ISNUMBER(SEARCH("WEB CAM",B1803)),
ISNUMBER(SEARCH("MOUSE",B1803)),
ISNUMBER(SEARCH("TECLADO",B1803))
),
"COMPLEMENTO",
IF(
OR(
LEFT(A1803,2)="NB",
LEFT(A1803,2)="PC",
LEFT(A1803,2)="WS",
LEFT(A1803,2)="TB",
LEFT(A1803,3)="CEL",
LEFT(A1803,3)="MON",
LEFT(A1803,3)="PRE",
LEFT(A1803,3)="PRH",
ISNUMBER(SEARCH("NOTEBOOK",B1803)),
ISNUMBER(SEARCH("LAPTOP",B1803)),
ISNUMBER(SEARCH("MONITOR",B1803)),
ISNUMBER(SEARCH("TABLET",B1803)),
ISNUMBER(SEARCH("SMARTPH",B1803)),
ISNUMBER(SEARCH("IMPRESORA",B1803)),
ISNUMBER(SEARCH("MULTIFUNCIONAL",B1803)),
ISNUMBER(SEARCH("AIO",B1803))
),
"GANCHO",
"NORMAL"
)
)</f>
        <v>NORMAL</v>
      </c>
    </row>
    <row r="1802" spans="1:12" x14ac:dyDescent="0.25">
      <c r="A1802" s="3" t="s">
        <v>4764</v>
      </c>
      <c r="B1802" s="3" t="s">
        <v>4765</v>
      </c>
      <c r="C1802" s="1">
        <v>1</v>
      </c>
      <c r="D1802" s="1">
        <v>1450</v>
      </c>
      <c r="E1802" s="1" t="s">
        <v>226</v>
      </c>
      <c r="F1802" s="1" t="s">
        <v>4766</v>
      </c>
      <c r="G1802" s="3" t="s">
        <v>4767</v>
      </c>
      <c r="H1802" s="11">
        <f>ROUND(
IF(L1800="GANCHO",
   IF(I1802&lt;=50,I1802*1.1+4,IF(I1802&lt;=120,I1802*1.1+7,IF(I1802&lt;=250,I1802*1.1+11,I1802*1.1+19))),
IF(L1800="NORMAL",
   IF(I1802&lt;=30,I1802*1.15+2,IF(I1802&lt;=80,I1802*1.15+4,IF(I1802&lt;=150,I1802*1.15+6,I1802*1.15+8))),
IF(L1800="COMPLEMENTO",
   IF(I1802&lt;=25,I1802*1.25+1.5,IF(I1802&lt;=60,I1802*1.25+3,IF(I1802&lt;=120,I1802*1.25+4,I1802*1.25+5))),
""))),2)</f>
        <v>6855.42</v>
      </c>
      <c r="I1802" s="9">
        <f>($K$2+0.02)*Tabla1[[#This Row],[PRECIO $]]*1.18</f>
        <v>5954.28</v>
      </c>
      <c r="J1802" s="7">
        <f>+Tabla1[[#This Row],[PRECIO EN SOLES]]-Tabla1[[#This Row],[PC]]</f>
        <v>901.14000000000033</v>
      </c>
      <c r="K1802" s="15"/>
      <c r="L1802" s="15" t="str">
        <f>IF(
OR(
ISNUMBER(SEARCH("BACKPACK",B1804)),
ISNUMBER(SEARCH("MOCHILA",B1804)),
ISNUMBER(SEARCH("FUNDA",B1804)),
ISNUMBER(SEARCH("ESTUCHE",B1804)),
ISNUMBER(SEARCH("BOOK COVER",B1804)),
ISNUMBER(SEARCH("KEYBOARD PARA TABLET",B1804)),
ISNUMBER(SEARCH("FLIP TABLET",B1804)),
ISNUMBER(SEARCH("CASE FOR TABLET",B1804)),
ISNUMBER(SEARCH("CABLE",B1804)),
ISNUMBER(SEARCH("ADAPTADOR",B1804)),
ISNUMBER(SEARCH("HUB",B1804)),
ISNUMBER(SEARCH("DOCK",B1804)),
ISNUMBER(SEARCH("MOUSE PAD",B1804)),
ISNUMBER(SEARCH("MOUSEPAD",B1804)),
ISNUMBER(SEARCH("SOPORTE",B1804)),
ISNUMBER(SEARCH("STAND",B1804)),
ISNUMBER(SEARCH("TRAVEL ADAPTER",B1804)),
ISNUMBER(SEARCH("RJ45",B1804)),
ISNUMBER(SEARCH("USB-C",B1804)),
ISNUMBER(SEARCH("USB WIFI",B1804)),
ISNUMBER(SEARCH("POWERBANK",B1804)),
ISNUMBER(SEARCH("CARGADOR",B1804)),
ISNUMBER(SEARCH("COOLER PARA NB",B1804)),
ISNUMBER(SEARCH("SOPORTE PARA NB",B1804)),
ISNUMBER(SEARCH("WEBCAM",B1804)),
ISNUMBER(SEARCH("WEB CAM",B1804)),
ISNUMBER(SEARCH("MOUSE",B1804)),
ISNUMBER(SEARCH("TECLADO",B1804))
),
"COMPLEMENTO",
IF(
OR(
LEFT(A1804,2)="NB",
LEFT(A1804,2)="PC",
LEFT(A1804,2)="WS",
LEFT(A1804,2)="TB",
LEFT(A1804,3)="CEL",
LEFT(A1804,3)="MON",
LEFT(A1804,3)="PRE",
LEFT(A1804,3)="PRH",
ISNUMBER(SEARCH("NOTEBOOK",B1804)),
ISNUMBER(SEARCH("LAPTOP",B1804)),
ISNUMBER(SEARCH("MONITOR",B1804)),
ISNUMBER(SEARCH("TABLET",B1804)),
ISNUMBER(SEARCH("SMARTPH",B1804)),
ISNUMBER(SEARCH("IMPRESORA",B1804)),
ISNUMBER(SEARCH("MULTIFUNCIONAL",B1804)),
ISNUMBER(SEARCH("AIO",B1804))
),
"GANCHO",
"NORMAL"
)
)</f>
        <v>NORMAL</v>
      </c>
    </row>
    <row r="1803" spans="1:12" x14ac:dyDescent="0.25">
      <c r="A1803" s="3" t="s">
        <v>5585</v>
      </c>
      <c r="B1803" s="3" t="s">
        <v>5586</v>
      </c>
      <c r="C1803" s="1">
        <v>14</v>
      </c>
      <c r="D1803" s="1">
        <v>3150</v>
      </c>
      <c r="E1803" s="1" t="s">
        <v>226</v>
      </c>
      <c r="F1803" s="1" t="s">
        <v>5587</v>
      </c>
      <c r="G1803" s="3" t="s">
        <v>5588</v>
      </c>
      <c r="H1803" s="11">
        <f>ROUND(
IF(L1801="GANCHO",
   IF(I1803&lt;=50,I1803*1.1+4,IF(I1803&lt;=120,I1803*1.1+7,IF(I1803&lt;=250,I1803*1.1+11,I1803*1.1+19))),
IF(L1801="NORMAL",
   IF(I1803&lt;=30,I1803*1.15+2,IF(I1803&lt;=80,I1803*1.15+4,IF(I1803&lt;=150,I1803*1.15+6,I1803*1.15+8))),
IF(L1801="COMPLEMENTO",
   IF(I1803&lt;=25,I1803*1.25+1.5,IF(I1803&lt;=60,I1803*1.25+3,IF(I1803&lt;=120,I1803*1.25+4,I1803*1.25+5))),
""))),2)</f>
        <v>14883.43</v>
      </c>
      <c r="I1803" s="9">
        <f>($K$2+0.02)*Tabla1[[#This Row],[PRECIO $]]*1.18</f>
        <v>12935.16</v>
      </c>
      <c r="J1803" s="7">
        <f>+Tabla1[[#This Row],[PRECIO EN SOLES]]-Tabla1[[#This Row],[PC]]</f>
        <v>1948.2700000000004</v>
      </c>
      <c r="K1803" s="15"/>
      <c r="L1803" s="15" t="str">
        <f>IF(
OR(
ISNUMBER(SEARCH("BACKPACK",B1805)),
ISNUMBER(SEARCH("MOCHILA",B1805)),
ISNUMBER(SEARCH("FUNDA",B1805)),
ISNUMBER(SEARCH("ESTUCHE",B1805)),
ISNUMBER(SEARCH("BOOK COVER",B1805)),
ISNUMBER(SEARCH("KEYBOARD PARA TABLET",B1805)),
ISNUMBER(SEARCH("FLIP TABLET",B1805)),
ISNUMBER(SEARCH("CASE FOR TABLET",B1805)),
ISNUMBER(SEARCH("CABLE",B1805)),
ISNUMBER(SEARCH("ADAPTADOR",B1805)),
ISNUMBER(SEARCH("HUB",B1805)),
ISNUMBER(SEARCH("DOCK",B1805)),
ISNUMBER(SEARCH("MOUSE PAD",B1805)),
ISNUMBER(SEARCH("MOUSEPAD",B1805)),
ISNUMBER(SEARCH("SOPORTE",B1805)),
ISNUMBER(SEARCH("STAND",B1805)),
ISNUMBER(SEARCH("TRAVEL ADAPTER",B1805)),
ISNUMBER(SEARCH("RJ45",B1805)),
ISNUMBER(SEARCH("USB-C",B1805)),
ISNUMBER(SEARCH("USB WIFI",B1805)),
ISNUMBER(SEARCH("POWERBANK",B1805)),
ISNUMBER(SEARCH("CARGADOR",B1805)),
ISNUMBER(SEARCH("COOLER PARA NB",B1805)),
ISNUMBER(SEARCH("SOPORTE PARA NB",B1805)),
ISNUMBER(SEARCH("WEBCAM",B1805)),
ISNUMBER(SEARCH("WEB CAM",B1805)),
ISNUMBER(SEARCH("MOUSE",B1805)),
ISNUMBER(SEARCH("TECLADO",B1805))
),
"COMPLEMENTO",
IF(
OR(
LEFT(A1805,2)="NB",
LEFT(A1805,2)="PC",
LEFT(A1805,2)="WS",
LEFT(A1805,2)="TB",
LEFT(A1805,3)="CEL",
LEFT(A1805,3)="MON",
LEFT(A1805,3)="PRE",
LEFT(A1805,3)="PRH",
ISNUMBER(SEARCH("NOTEBOOK",B1805)),
ISNUMBER(SEARCH("LAPTOP",B1805)),
ISNUMBER(SEARCH("MONITOR",B1805)),
ISNUMBER(SEARCH("TABLET",B1805)),
ISNUMBER(SEARCH("SMARTPH",B1805)),
ISNUMBER(SEARCH("IMPRESORA",B1805)),
ISNUMBER(SEARCH("MULTIFUNCIONAL",B1805)),
ISNUMBER(SEARCH("AIO",B1805))
),
"GANCHO",
"NORMAL"
)
)</f>
        <v>NORMAL</v>
      </c>
    </row>
    <row r="1804" spans="1:12" x14ac:dyDescent="0.25">
      <c r="A1804" s="3" t="s">
        <v>6985</v>
      </c>
      <c r="B1804" s="3" t="s">
        <v>6986</v>
      </c>
      <c r="C1804" s="1">
        <v>20</v>
      </c>
      <c r="D1804" s="1">
        <v>280</v>
      </c>
      <c r="E1804" s="1" t="s">
        <v>121</v>
      </c>
      <c r="F1804" s="1" t="s">
        <v>6987</v>
      </c>
      <c r="G1804" s="3" t="s">
        <v>6988</v>
      </c>
      <c r="H1804" s="11">
        <f>ROUND(
IF(L1802="GANCHO",
   IF(I1804&lt;=50,I1804*1.1+4,IF(I1804&lt;=120,I1804*1.1+7,IF(I1804&lt;=250,I1804*1.1+11,I1804*1.1+19))),
IF(L1802="NORMAL",
   IF(I1804&lt;=30,I1804*1.15+2,IF(I1804&lt;=80,I1804*1.15+4,IF(I1804&lt;=150,I1804*1.15+6,I1804*1.15+8))),
IF(L1802="COMPLEMENTO",
   IF(I1804&lt;=25,I1804*1.25+1.5,IF(I1804&lt;=60,I1804*1.25+3,IF(I1804&lt;=120,I1804*1.25+4,I1804*1.25+5))),
""))),2)</f>
        <v>1330.26</v>
      </c>
      <c r="I1804" s="9">
        <f>($K$2+0.02)*Tabla1[[#This Row],[PRECIO $]]*1.18</f>
        <v>1149.7919999999999</v>
      </c>
      <c r="J1804" s="7">
        <f>+Tabla1[[#This Row],[PRECIO EN SOLES]]-Tabla1[[#This Row],[PC]]</f>
        <v>180.46800000000007</v>
      </c>
      <c r="K1804" s="15"/>
      <c r="L1804" s="15" t="str">
        <f>IF(
OR(
ISNUMBER(SEARCH("BACKPACK",B1806)),
ISNUMBER(SEARCH("MOCHILA",B1806)),
ISNUMBER(SEARCH("FUNDA",B1806)),
ISNUMBER(SEARCH("ESTUCHE",B1806)),
ISNUMBER(SEARCH("BOOK COVER",B1806)),
ISNUMBER(SEARCH("KEYBOARD PARA TABLET",B1806)),
ISNUMBER(SEARCH("FLIP TABLET",B1806)),
ISNUMBER(SEARCH("CASE FOR TABLET",B1806)),
ISNUMBER(SEARCH("CABLE",B1806)),
ISNUMBER(SEARCH("ADAPTADOR",B1806)),
ISNUMBER(SEARCH("HUB",B1806)),
ISNUMBER(SEARCH("DOCK",B1806)),
ISNUMBER(SEARCH("MOUSE PAD",B1806)),
ISNUMBER(SEARCH("MOUSEPAD",B1806)),
ISNUMBER(SEARCH("SOPORTE",B1806)),
ISNUMBER(SEARCH("STAND",B1806)),
ISNUMBER(SEARCH("TRAVEL ADAPTER",B1806)),
ISNUMBER(SEARCH("RJ45",B1806)),
ISNUMBER(SEARCH("USB-C",B1806)),
ISNUMBER(SEARCH("USB WIFI",B1806)),
ISNUMBER(SEARCH("POWERBANK",B1806)),
ISNUMBER(SEARCH("CARGADOR",B1806)),
ISNUMBER(SEARCH("COOLER PARA NB",B1806)),
ISNUMBER(SEARCH("SOPORTE PARA NB",B1806)),
ISNUMBER(SEARCH("WEBCAM",B1806)),
ISNUMBER(SEARCH("WEB CAM",B1806)),
ISNUMBER(SEARCH("MOUSE",B1806)),
ISNUMBER(SEARCH("TECLADO",B1806))
),
"COMPLEMENTO",
IF(
OR(
LEFT(A1806,2)="NB",
LEFT(A1806,2)="PC",
LEFT(A1806,2)="WS",
LEFT(A1806,2)="TB",
LEFT(A1806,3)="CEL",
LEFT(A1806,3)="MON",
LEFT(A1806,3)="PRE",
LEFT(A1806,3)="PRH",
ISNUMBER(SEARCH("NOTEBOOK",B1806)),
ISNUMBER(SEARCH("LAPTOP",B1806)),
ISNUMBER(SEARCH("MONITOR",B1806)),
ISNUMBER(SEARCH("TABLET",B1806)),
ISNUMBER(SEARCH("SMARTPH",B1806)),
ISNUMBER(SEARCH("IMPRESORA",B1806)),
ISNUMBER(SEARCH("MULTIFUNCIONAL",B1806)),
ISNUMBER(SEARCH("AIO",B1806))
),
"GANCHO",
"NORMAL"
)
)</f>
        <v>NORMAL</v>
      </c>
    </row>
    <row r="1805" spans="1:12" x14ac:dyDescent="0.25">
      <c r="A1805" s="3" t="s">
        <v>6989</v>
      </c>
      <c r="B1805" s="3" t="s">
        <v>6990</v>
      </c>
      <c r="C1805" s="1">
        <v>20</v>
      </c>
      <c r="D1805" s="1">
        <v>280</v>
      </c>
      <c r="E1805" s="1" t="s">
        <v>121</v>
      </c>
      <c r="F1805" s="1" t="s">
        <v>6991</v>
      </c>
      <c r="G1805" s="3" t="s">
        <v>6992</v>
      </c>
      <c r="H1805" s="11">
        <f>ROUND(
IF(L1803="GANCHO",
   IF(I1805&lt;=50,I1805*1.1+4,IF(I1805&lt;=120,I1805*1.1+7,IF(I1805&lt;=250,I1805*1.1+11,I1805*1.1+19))),
IF(L1803="NORMAL",
   IF(I1805&lt;=30,I1805*1.15+2,IF(I1805&lt;=80,I1805*1.15+4,IF(I1805&lt;=150,I1805*1.15+6,I1805*1.15+8))),
IF(L1803="COMPLEMENTO",
   IF(I1805&lt;=25,I1805*1.25+1.5,IF(I1805&lt;=60,I1805*1.25+3,IF(I1805&lt;=120,I1805*1.25+4,I1805*1.25+5))),
""))),2)</f>
        <v>1330.26</v>
      </c>
      <c r="I1805" s="9">
        <f>($K$2+0.02)*Tabla1[[#This Row],[PRECIO $]]*1.18</f>
        <v>1149.7919999999999</v>
      </c>
      <c r="J1805" s="7">
        <f>+Tabla1[[#This Row],[PRECIO EN SOLES]]-Tabla1[[#This Row],[PC]]</f>
        <v>180.46800000000007</v>
      </c>
      <c r="K1805" s="15"/>
      <c r="L1805" s="15" t="str">
        <f>IF(
OR(
ISNUMBER(SEARCH("BACKPACK",B1807)),
ISNUMBER(SEARCH("MOCHILA",B1807)),
ISNUMBER(SEARCH("FUNDA",B1807)),
ISNUMBER(SEARCH("ESTUCHE",B1807)),
ISNUMBER(SEARCH("BOOK COVER",B1807)),
ISNUMBER(SEARCH("KEYBOARD PARA TABLET",B1807)),
ISNUMBER(SEARCH("FLIP TABLET",B1807)),
ISNUMBER(SEARCH("CASE FOR TABLET",B1807)),
ISNUMBER(SEARCH("CABLE",B1807)),
ISNUMBER(SEARCH("ADAPTADOR",B1807)),
ISNUMBER(SEARCH("HUB",B1807)),
ISNUMBER(SEARCH("DOCK",B1807)),
ISNUMBER(SEARCH("MOUSE PAD",B1807)),
ISNUMBER(SEARCH("MOUSEPAD",B1807)),
ISNUMBER(SEARCH("SOPORTE",B1807)),
ISNUMBER(SEARCH("STAND",B1807)),
ISNUMBER(SEARCH("TRAVEL ADAPTER",B1807)),
ISNUMBER(SEARCH("RJ45",B1807)),
ISNUMBER(SEARCH("USB-C",B1807)),
ISNUMBER(SEARCH("USB WIFI",B1807)),
ISNUMBER(SEARCH("POWERBANK",B1807)),
ISNUMBER(SEARCH("CARGADOR",B1807)),
ISNUMBER(SEARCH("COOLER PARA NB",B1807)),
ISNUMBER(SEARCH("SOPORTE PARA NB",B1807)),
ISNUMBER(SEARCH("WEBCAM",B1807)),
ISNUMBER(SEARCH("WEB CAM",B1807)),
ISNUMBER(SEARCH("MOUSE",B1807)),
ISNUMBER(SEARCH("TECLADO",B1807))
),
"COMPLEMENTO",
IF(
OR(
LEFT(A1807,2)="NB",
LEFT(A1807,2)="PC",
LEFT(A1807,2)="WS",
LEFT(A1807,2)="TB",
LEFT(A1807,3)="CEL",
LEFT(A1807,3)="MON",
LEFT(A1807,3)="PRE",
LEFT(A1807,3)="PRH",
ISNUMBER(SEARCH("NOTEBOOK",B1807)),
ISNUMBER(SEARCH("LAPTOP",B1807)),
ISNUMBER(SEARCH("MONITOR",B1807)),
ISNUMBER(SEARCH("TABLET",B1807)),
ISNUMBER(SEARCH("SMARTPH",B1807)),
ISNUMBER(SEARCH("IMPRESORA",B1807)),
ISNUMBER(SEARCH("MULTIFUNCIONAL",B1807)),
ISNUMBER(SEARCH("AIO",B1807))
),
"GANCHO",
"NORMAL"
)
)</f>
        <v>NORMAL</v>
      </c>
    </row>
    <row r="1806" spans="1:12" x14ac:dyDescent="0.25">
      <c r="A1806" s="3" t="s">
        <v>4464</v>
      </c>
      <c r="B1806" s="3" t="s">
        <v>4465</v>
      </c>
      <c r="C1806" s="1">
        <v>0</v>
      </c>
      <c r="D1806" s="1">
        <v>542</v>
      </c>
      <c r="E1806" s="1" t="s">
        <v>115</v>
      </c>
      <c r="F1806" s="1" t="s">
        <v>4466</v>
      </c>
      <c r="G1806" s="3" t="s">
        <v>4467</v>
      </c>
      <c r="H1806" s="11">
        <f>ROUND(
IF(L1804="GANCHO",
   IF(I1806&lt;=50,I1806*1.1+4,IF(I1806&lt;=120,I1806*1.1+7,IF(I1806&lt;=250,I1806*1.1+11,I1806*1.1+19))),
IF(L1804="NORMAL",
   IF(I1806&lt;=30,I1806*1.15+2,IF(I1806&lt;=80,I1806*1.15+4,IF(I1806&lt;=150,I1806*1.15+6,I1806*1.15+8))),
IF(L1804="COMPLEMENTO",
   IF(I1806&lt;=25,I1806*1.25+1.5,IF(I1806&lt;=60,I1806*1.25+3,IF(I1806&lt;=120,I1806*1.25+4,I1806*1.25+5))),
""))),2)</f>
        <v>2567.52</v>
      </c>
      <c r="I1806" s="9">
        <f>($K$2+0.02)*Tabla1[[#This Row],[PRECIO $]]*1.18</f>
        <v>2225.6687999999999</v>
      </c>
      <c r="J1806" s="7">
        <f>+Tabla1[[#This Row],[PRECIO EN SOLES]]-Tabla1[[#This Row],[PC]]</f>
        <v>341.85120000000006</v>
      </c>
      <c r="K1806" s="15"/>
      <c r="L1806" s="15" t="str">
        <f>IF(
OR(
ISNUMBER(SEARCH("BACKPACK",B1808)),
ISNUMBER(SEARCH("MOCHILA",B1808)),
ISNUMBER(SEARCH("FUNDA",B1808)),
ISNUMBER(SEARCH("ESTUCHE",B1808)),
ISNUMBER(SEARCH("BOOK COVER",B1808)),
ISNUMBER(SEARCH("KEYBOARD PARA TABLET",B1808)),
ISNUMBER(SEARCH("FLIP TABLET",B1808)),
ISNUMBER(SEARCH("CASE FOR TABLET",B1808)),
ISNUMBER(SEARCH("CABLE",B1808)),
ISNUMBER(SEARCH("ADAPTADOR",B1808)),
ISNUMBER(SEARCH("HUB",B1808)),
ISNUMBER(SEARCH("DOCK",B1808)),
ISNUMBER(SEARCH("MOUSE PAD",B1808)),
ISNUMBER(SEARCH("MOUSEPAD",B1808)),
ISNUMBER(SEARCH("SOPORTE",B1808)),
ISNUMBER(SEARCH("STAND",B1808)),
ISNUMBER(SEARCH("TRAVEL ADAPTER",B1808)),
ISNUMBER(SEARCH("RJ45",B1808)),
ISNUMBER(SEARCH("USB-C",B1808)),
ISNUMBER(SEARCH("USB WIFI",B1808)),
ISNUMBER(SEARCH("POWERBANK",B1808)),
ISNUMBER(SEARCH("CARGADOR",B1808)),
ISNUMBER(SEARCH("COOLER PARA NB",B1808)),
ISNUMBER(SEARCH("SOPORTE PARA NB",B1808)),
ISNUMBER(SEARCH("WEBCAM",B1808)),
ISNUMBER(SEARCH("WEB CAM",B1808)),
ISNUMBER(SEARCH("MOUSE",B1808)),
ISNUMBER(SEARCH("TECLADO",B1808))
),
"COMPLEMENTO",
IF(
OR(
LEFT(A1808,2)="NB",
LEFT(A1808,2)="PC",
LEFT(A1808,2)="WS",
LEFT(A1808,2)="TB",
LEFT(A1808,3)="CEL",
LEFT(A1808,3)="MON",
LEFT(A1808,3)="PRE",
LEFT(A1808,3)="PRH",
ISNUMBER(SEARCH("NOTEBOOK",B1808)),
ISNUMBER(SEARCH("LAPTOP",B1808)),
ISNUMBER(SEARCH("MONITOR",B1808)),
ISNUMBER(SEARCH("TABLET",B1808)),
ISNUMBER(SEARCH("SMARTPH",B1808)),
ISNUMBER(SEARCH("IMPRESORA",B1808)),
ISNUMBER(SEARCH("MULTIFUNCIONAL",B1808)),
ISNUMBER(SEARCH("AIO",B1808))
),
"GANCHO",
"NORMAL"
)
)</f>
        <v>NORMAL</v>
      </c>
    </row>
    <row r="1807" spans="1:12" x14ac:dyDescent="0.25">
      <c r="A1807" s="3" t="s">
        <v>6214</v>
      </c>
      <c r="B1807" s="3" t="s">
        <v>6215</v>
      </c>
      <c r="C1807" s="1">
        <v>20</v>
      </c>
      <c r="D1807" s="1">
        <v>406</v>
      </c>
      <c r="E1807" s="1" t="s">
        <v>226</v>
      </c>
      <c r="F1807" s="1" t="s">
        <v>6216</v>
      </c>
      <c r="G1807" s="3" t="s">
        <v>6217</v>
      </c>
      <c r="H1807" s="11">
        <f>ROUND(
IF(L1805="GANCHO",
   IF(I1807&lt;=50,I1807*1.1+4,IF(I1807&lt;=120,I1807*1.1+7,IF(I1807&lt;=250,I1807*1.1+11,I1807*1.1+19))),
IF(L1805="NORMAL",
   IF(I1807&lt;=30,I1807*1.15+2,IF(I1807&lt;=80,I1807*1.15+4,IF(I1807&lt;=150,I1807*1.15+6,I1807*1.15+8))),
IF(L1805="COMPLEMENTO",
   IF(I1807&lt;=25,I1807*1.25+1.5,IF(I1807&lt;=60,I1807*1.25+3,IF(I1807&lt;=120,I1807*1.25+4,I1807*1.25+5))),
""))),2)</f>
        <v>1925.28</v>
      </c>
      <c r="I1807" s="9">
        <f>($K$2+0.02)*Tabla1[[#This Row],[PRECIO $]]*1.18</f>
        <v>1667.1983999999998</v>
      </c>
      <c r="J1807" s="7">
        <f>+Tabla1[[#This Row],[PRECIO EN SOLES]]-Tabla1[[#This Row],[PC]]</f>
        <v>258.08160000000021</v>
      </c>
      <c r="K1807" s="15"/>
      <c r="L1807" s="15" t="str">
        <f>IF(
OR(
ISNUMBER(SEARCH("BACKPACK",B1809)),
ISNUMBER(SEARCH("MOCHILA",B1809)),
ISNUMBER(SEARCH("FUNDA",B1809)),
ISNUMBER(SEARCH("ESTUCHE",B1809)),
ISNUMBER(SEARCH("BOOK COVER",B1809)),
ISNUMBER(SEARCH("KEYBOARD PARA TABLET",B1809)),
ISNUMBER(SEARCH("FLIP TABLET",B1809)),
ISNUMBER(SEARCH("CASE FOR TABLET",B1809)),
ISNUMBER(SEARCH("CABLE",B1809)),
ISNUMBER(SEARCH("ADAPTADOR",B1809)),
ISNUMBER(SEARCH("HUB",B1809)),
ISNUMBER(SEARCH("DOCK",B1809)),
ISNUMBER(SEARCH("MOUSE PAD",B1809)),
ISNUMBER(SEARCH("MOUSEPAD",B1809)),
ISNUMBER(SEARCH("SOPORTE",B1809)),
ISNUMBER(SEARCH("STAND",B1809)),
ISNUMBER(SEARCH("TRAVEL ADAPTER",B1809)),
ISNUMBER(SEARCH("RJ45",B1809)),
ISNUMBER(SEARCH("USB-C",B1809)),
ISNUMBER(SEARCH("USB WIFI",B1809)),
ISNUMBER(SEARCH("POWERBANK",B1809)),
ISNUMBER(SEARCH("CARGADOR",B1809)),
ISNUMBER(SEARCH("COOLER PARA NB",B1809)),
ISNUMBER(SEARCH("SOPORTE PARA NB",B1809)),
ISNUMBER(SEARCH("WEBCAM",B1809)),
ISNUMBER(SEARCH("WEB CAM",B1809)),
ISNUMBER(SEARCH("MOUSE",B1809)),
ISNUMBER(SEARCH("TECLADO",B1809))
),
"COMPLEMENTO",
IF(
OR(
LEFT(A1809,2)="NB",
LEFT(A1809,2)="PC",
LEFT(A1809,2)="WS",
LEFT(A1809,2)="TB",
LEFT(A1809,3)="CEL",
LEFT(A1809,3)="MON",
LEFT(A1809,3)="PRE",
LEFT(A1809,3)="PRH",
ISNUMBER(SEARCH("NOTEBOOK",B1809)),
ISNUMBER(SEARCH("LAPTOP",B1809)),
ISNUMBER(SEARCH("MONITOR",B1809)),
ISNUMBER(SEARCH("TABLET",B1809)),
ISNUMBER(SEARCH("SMARTPH",B1809)),
ISNUMBER(SEARCH("IMPRESORA",B1809)),
ISNUMBER(SEARCH("MULTIFUNCIONAL",B1809)),
ISNUMBER(SEARCH("AIO",B1809))
),
"GANCHO",
"NORMAL"
)
)</f>
        <v>NORMAL</v>
      </c>
    </row>
    <row r="1808" spans="1:12" x14ac:dyDescent="0.25">
      <c r="A1808" s="3" t="s">
        <v>5589</v>
      </c>
      <c r="B1808" s="3" t="s">
        <v>5590</v>
      </c>
      <c r="C1808" s="1">
        <v>20</v>
      </c>
      <c r="D1808" s="1">
        <v>393</v>
      </c>
      <c r="E1808" s="1" t="s">
        <v>226</v>
      </c>
      <c r="F1808" s="1" t="s">
        <v>5591</v>
      </c>
      <c r="G1808" s="3" t="s">
        <v>5592</v>
      </c>
      <c r="H1808" s="11">
        <f>ROUND(
IF(L1806="GANCHO",
   IF(I1808&lt;=50,I1808*1.1+4,IF(I1808&lt;=120,I1808*1.1+7,IF(I1808&lt;=250,I1808*1.1+11,I1808*1.1+19))),
IF(L1806="NORMAL",
   IF(I1808&lt;=30,I1808*1.15+2,IF(I1808&lt;=80,I1808*1.15+4,IF(I1808&lt;=150,I1808*1.15+6,I1808*1.15+8))),
IF(L1806="COMPLEMENTO",
   IF(I1808&lt;=25,I1808*1.25+1.5,IF(I1808&lt;=60,I1808*1.25+3,IF(I1808&lt;=120,I1808*1.25+4,I1808*1.25+5))),
""))),2)</f>
        <v>1863.89</v>
      </c>
      <c r="I1808" s="9">
        <f>($K$2+0.02)*Tabla1[[#This Row],[PRECIO $]]*1.18</f>
        <v>1613.8152</v>
      </c>
      <c r="J1808" s="7">
        <f>+Tabla1[[#This Row],[PRECIO EN SOLES]]-Tabla1[[#This Row],[PC]]</f>
        <v>250.0748000000001</v>
      </c>
      <c r="K1808" s="15"/>
      <c r="L1808" s="15" t="str">
        <f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09" spans="1:12" x14ac:dyDescent="0.25">
      <c r="A1809" s="3" t="s">
        <v>6218</v>
      </c>
      <c r="B1809" s="3" t="s">
        <v>6219</v>
      </c>
      <c r="C1809" s="1">
        <v>11</v>
      </c>
      <c r="D1809" s="1">
        <v>467</v>
      </c>
      <c r="E1809" s="1" t="s">
        <v>226</v>
      </c>
      <c r="F1809" s="1" t="s">
        <v>6220</v>
      </c>
      <c r="G1809" s="3" t="s">
        <v>6221</v>
      </c>
      <c r="H1809" s="11">
        <f>ROUND(
IF(L1807="GANCHO",
   IF(I1809&lt;=50,I1809*1.1+4,IF(I1809&lt;=120,I1809*1.1+7,IF(I1809&lt;=250,I1809*1.1+11,I1809*1.1+19))),
IF(L1807="NORMAL",
   IF(I1809&lt;=30,I1809*1.15+2,IF(I1809&lt;=80,I1809*1.15+4,IF(I1809&lt;=150,I1809*1.15+6,I1809*1.15+8))),
IF(L1807="COMPLEMENTO",
   IF(I1809&lt;=25,I1809*1.25+1.5,IF(I1809&lt;=60,I1809*1.25+3,IF(I1809&lt;=120,I1809*1.25+4,I1809*1.25+5))),
""))),2)</f>
        <v>2213.34</v>
      </c>
      <c r="I1809" s="9">
        <f>($K$2+0.02)*Tabla1[[#This Row],[PRECIO $]]*1.18</f>
        <v>1917.6887999999999</v>
      </c>
      <c r="J1809" s="7">
        <f>+Tabla1[[#This Row],[PRECIO EN SOLES]]-Tabla1[[#This Row],[PC]]</f>
        <v>295.65120000000024</v>
      </c>
      <c r="K1809" s="15"/>
      <c r="L1809" s="15" t="str">
        <f>IF(
OR(
ISNUMBER(SEARCH("BACKPACK",B1811)),
ISNUMBER(SEARCH("MOCHILA",B1811)),
ISNUMBER(SEARCH("FUNDA",B1811)),
ISNUMBER(SEARCH("ESTUCHE",B1811)),
ISNUMBER(SEARCH("BOOK COVER",B1811)),
ISNUMBER(SEARCH("KEYBOARD PARA TABLET",B1811)),
ISNUMBER(SEARCH("FLIP TABLET",B1811)),
ISNUMBER(SEARCH("CASE FOR TABLET",B1811)),
ISNUMBER(SEARCH("CABLE",B1811)),
ISNUMBER(SEARCH("ADAPTADOR",B1811)),
ISNUMBER(SEARCH("HUB",B1811)),
ISNUMBER(SEARCH("DOCK",B1811)),
ISNUMBER(SEARCH("MOUSE PAD",B1811)),
ISNUMBER(SEARCH("MOUSEPAD",B1811)),
ISNUMBER(SEARCH("SOPORTE",B1811)),
ISNUMBER(SEARCH("STAND",B1811)),
ISNUMBER(SEARCH("TRAVEL ADAPTER",B1811)),
ISNUMBER(SEARCH("RJ45",B1811)),
ISNUMBER(SEARCH("USB-C",B1811)),
ISNUMBER(SEARCH("USB WIFI",B1811)),
ISNUMBER(SEARCH("POWERBANK",B1811)),
ISNUMBER(SEARCH("CARGADOR",B1811)),
ISNUMBER(SEARCH("COOLER PARA NB",B1811)),
ISNUMBER(SEARCH("SOPORTE PARA NB",B1811)),
ISNUMBER(SEARCH("WEBCAM",B1811)),
ISNUMBER(SEARCH("WEB CAM",B1811)),
ISNUMBER(SEARCH("MOUSE",B1811)),
ISNUMBER(SEARCH("TECLADO",B1811))
),
"COMPLEMENTO",
IF(
OR(
LEFT(A1811,2)="NB",
LEFT(A1811,2)="PC",
LEFT(A1811,2)="WS",
LEFT(A1811,2)="TB",
LEFT(A1811,3)="CEL",
LEFT(A1811,3)="MON",
LEFT(A1811,3)="PRE",
LEFT(A1811,3)="PRH",
ISNUMBER(SEARCH("NOTEBOOK",B1811)),
ISNUMBER(SEARCH("LAPTOP",B1811)),
ISNUMBER(SEARCH("MONITOR",B1811)),
ISNUMBER(SEARCH("TABLET",B1811)),
ISNUMBER(SEARCH("SMARTPH",B1811)),
ISNUMBER(SEARCH("IMPRESORA",B1811)),
ISNUMBER(SEARCH("MULTIFUNCIONAL",B1811)),
ISNUMBER(SEARCH("AIO",B1811))
),
"GANCHO",
"NORMAL"
)
)</f>
        <v>NORMAL</v>
      </c>
    </row>
    <row r="1810" spans="1:12" x14ac:dyDescent="0.25">
      <c r="A1810" s="3" t="s">
        <v>6222</v>
      </c>
      <c r="B1810" s="3" t="s">
        <v>6223</v>
      </c>
      <c r="C1810" s="1">
        <v>8</v>
      </c>
      <c r="D1810" s="1">
        <v>472</v>
      </c>
      <c r="E1810" s="1" t="s">
        <v>226</v>
      </c>
      <c r="F1810" s="1" t="s">
        <v>6224</v>
      </c>
      <c r="G1810" s="3" t="s">
        <v>6225</v>
      </c>
      <c r="H1810" s="11">
        <f>ROUND(
IF(L1808="GANCHO",
   IF(I1810&lt;=50,I1810*1.1+4,IF(I1810&lt;=120,I1810*1.1+7,IF(I1810&lt;=250,I1810*1.1+11,I1810*1.1+19))),
IF(L1808="NORMAL",
   IF(I1810&lt;=30,I1810*1.15+2,IF(I1810&lt;=80,I1810*1.15+4,IF(I1810&lt;=150,I1810*1.15+6,I1810*1.15+8))),
IF(L1808="COMPLEMENTO",
   IF(I1810&lt;=25,I1810*1.25+1.5,IF(I1810&lt;=60,I1810*1.25+3,IF(I1810&lt;=120,I1810*1.25+4,I1810*1.25+5))),
""))),2)</f>
        <v>2236.9499999999998</v>
      </c>
      <c r="I1810" s="9">
        <f>($K$2+0.02)*Tabla1[[#This Row],[PRECIO $]]*1.18</f>
        <v>1938.2207999999998</v>
      </c>
      <c r="J1810" s="7">
        <f>+Tabla1[[#This Row],[PRECIO EN SOLES]]-Tabla1[[#This Row],[PC]]</f>
        <v>298.72919999999999</v>
      </c>
      <c r="K1810" s="15"/>
      <c r="L1810" s="15" t="str">
        <f>IF(
OR(
ISNUMBER(SEARCH("BACKPACK",B1812)),
ISNUMBER(SEARCH("MOCHILA",B1812)),
ISNUMBER(SEARCH("FUNDA",B1812)),
ISNUMBER(SEARCH("ESTUCHE",B1812)),
ISNUMBER(SEARCH("BOOK COVER",B1812)),
ISNUMBER(SEARCH("KEYBOARD PARA TABLET",B1812)),
ISNUMBER(SEARCH("FLIP TABLET",B1812)),
ISNUMBER(SEARCH("CASE FOR TABLET",B1812)),
ISNUMBER(SEARCH("CABLE",B1812)),
ISNUMBER(SEARCH("ADAPTADOR",B1812)),
ISNUMBER(SEARCH("HUB",B1812)),
ISNUMBER(SEARCH("DOCK",B1812)),
ISNUMBER(SEARCH("MOUSE PAD",B1812)),
ISNUMBER(SEARCH("MOUSEPAD",B1812)),
ISNUMBER(SEARCH("SOPORTE",B1812)),
ISNUMBER(SEARCH("STAND",B1812)),
ISNUMBER(SEARCH("TRAVEL ADAPTER",B1812)),
ISNUMBER(SEARCH("RJ45",B1812)),
ISNUMBER(SEARCH("USB-C",B1812)),
ISNUMBER(SEARCH("USB WIFI",B1812)),
ISNUMBER(SEARCH("POWERBANK",B1812)),
ISNUMBER(SEARCH("CARGADOR",B1812)),
ISNUMBER(SEARCH("COOLER PARA NB",B1812)),
ISNUMBER(SEARCH("SOPORTE PARA NB",B1812)),
ISNUMBER(SEARCH("WEBCAM",B1812)),
ISNUMBER(SEARCH("WEB CAM",B1812)),
ISNUMBER(SEARCH("MOUSE",B1812)),
ISNUMBER(SEARCH("TECLADO",B1812))
),
"COMPLEMENTO",
IF(
OR(
LEFT(A1812,2)="NB",
LEFT(A1812,2)="PC",
LEFT(A1812,2)="WS",
LEFT(A1812,2)="TB",
LEFT(A1812,3)="CEL",
LEFT(A1812,3)="MON",
LEFT(A1812,3)="PRE",
LEFT(A1812,3)="PRH",
ISNUMBER(SEARCH("NOTEBOOK",B1812)),
ISNUMBER(SEARCH("LAPTOP",B1812)),
ISNUMBER(SEARCH("MONITOR",B1812)),
ISNUMBER(SEARCH("TABLET",B1812)),
ISNUMBER(SEARCH("SMARTPH",B1812)),
ISNUMBER(SEARCH("IMPRESORA",B1812)),
ISNUMBER(SEARCH("MULTIFUNCIONAL",B1812)),
ISNUMBER(SEARCH("AIO",B1812))
),
"GANCHO",
"NORMAL"
)
)</f>
        <v>NORMAL</v>
      </c>
    </row>
    <row r="1811" spans="1:12" x14ac:dyDescent="0.25">
      <c r="A1811" s="3" t="s">
        <v>6993</v>
      </c>
      <c r="B1811" s="3" t="s">
        <v>6994</v>
      </c>
      <c r="C1811" s="1">
        <v>20</v>
      </c>
      <c r="D1811" s="1">
        <v>447</v>
      </c>
      <c r="E1811" s="1" t="s">
        <v>226</v>
      </c>
      <c r="F1811" s="1" t="s">
        <v>6995</v>
      </c>
      <c r="G1811" s="3" t="s">
        <v>6996</v>
      </c>
      <c r="H1811" s="11">
        <f>ROUND(
IF(L1809="GANCHO",
   IF(I1811&lt;=50,I1811*1.1+4,IF(I1811&lt;=120,I1811*1.1+7,IF(I1811&lt;=250,I1811*1.1+11,I1811*1.1+19))),
IF(L1809="NORMAL",
   IF(I1811&lt;=30,I1811*1.15+2,IF(I1811&lt;=80,I1811*1.15+4,IF(I1811&lt;=150,I1811*1.15+6,I1811*1.15+8))),
IF(L1809="COMPLEMENTO",
   IF(I1811&lt;=25,I1811*1.25+1.5,IF(I1811&lt;=60,I1811*1.25+3,IF(I1811&lt;=120,I1811*1.25+4,I1811*1.25+5))),
""))),2)</f>
        <v>2118.89</v>
      </c>
      <c r="I1811" s="9">
        <f>($K$2+0.02)*Tabla1[[#This Row],[PRECIO $]]*1.18</f>
        <v>1835.5607999999997</v>
      </c>
      <c r="J1811" s="7">
        <f>+Tabla1[[#This Row],[PRECIO EN SOLES]]-Tabla1[[#This Row],[PC]]</f>
        <v>283.32920000000013</v>
      </c>
      <c r="K1811" s="15"/>
      <c r="L1811" s="15" t="str">
        <f>IF(
OR(
ISNUMBER(SEARCH("BACKPACK",B1813)),
ISNUMBER(SEARCH("MOCHILA",B1813)),
ISNUMBER(SEARCH("FUNDA",B1813)),
ISNUMBER(SEARCH("ESTUCHE",B1813)),
ISNUMBER(SEARCH("BOOK COVER",B1813)),
ISNUMBER(SEARCH("KEYBOARD PARA TABLET",B1813)),
ISNUMBER(SEARCH("FLIP TABLET",B1813)),
ISNUMBER(SEARCH("CASE FOR TABLET",B1813)),
ISNUMBER(SEARCH("CABLE",B1813)),
ISNUMBER(SEARCH("ADAPTADOR",B1813)),
ISNUMBER(SEARCH("HUB",B1813)),
ISNUMBER(SEARCH("DOCK",B1813)),
ISNUMBER(SEARCH("MOUSE PAD",B1813)),
ISNUMBER(SEARCH("MOUSEPAD",B1813)),
ISNUMBER(SEARCH("SOPORTE",B1813)),
ISNUMBER(SEARCH("STAND",B1813)),
ISNUMBER(SEARCH("TRAVEL ADAPTER",B1813)),
ISNUMBER(SEARCH("RJ45",B1813)),
ISNUMBER(SEARCH("USB-C",B1813)),
ISNUMBER(SEARCH("USB WIFI",B1813)),
ISNUMBER(SEARCH("POWERBANK",B1813)),
ISNUMBER(SEARCH("CARGADOR",B1813)),
ISNUMBER(SEARCH("COOLER PARA NB",B1813)),
ISNUMBER(SEARCH("SOPORTE PARA NB",B1813)),
ISNUMBER(SEARCH("WEBCAM",B1813)),
ISNUMBER(SEARCH("WEB CAM",B1813)),
ISNUMBER(SEARCH("MOUSE",B1813)),
ISNUMBER(SEARCH("TECLADO",B1813))
),
"COMPLEMENTO",
IF(
OR(
LEFT(A1813,2)="NB",
LEFT(A1813,2)="PC",
LEFT(A1813,2)="WS",
LEFT(A1813,2)="TB",
LEFT(A1813,3)="CEL",
LEFT(A1813,3)="MON",
LEFT(A1813,3)="PRE",
LEFT(A1813,3)="PRH",
ISNUMBER(SEARCH("NOTEBOOK",B1813)),
ISNUMBER(SEARCH("LAPTOP",B1813)),
ISNUMBER(SEARCH("MONITOR",B1813)),
ISNUMBER(SEARCH("TABLET",B1813)),
ISNUMBER(SEARCH("SMARTPH",B1813)),
ISNUMBER(SEARCH("IMPRESORA",B1813)),
ISNUMBER(SEARCH("MULTIFUNCIONAL",B1813)),
ISNUMBER(SEARCH("AIO",B1813))
),
"GANCHO",
"NORMAL"
)
)</f>
        <v>NORMAL</v>
      </c>
    </row>
    <row r="1812" spans="1:12" x14ac:dyDescent="0.25">
      <c r="A1812" s="3" t="s">
        <v>5593</v>
      </c>
      <c r="B1812" s="3" t="s">
        <v>5594</v>
      </c>
      <c r="C1812" s="1">
        <v>20</v>
      </c>
      <c r="D1812" s="1">
        <v>441</v>
      </c>
      <c r="E1812" s="1" t="s">
        <v>226</v>
      </c>
      <c r="F1812" s="1" t="s">
        <v>5595</v>
      </c>
      <c r="G1812" s="3" t="s">
        <v>5596</v>
      </c>
      <c r="H1812" s="11">
        <f>ROUND(
IF(L1810="GANCHO",
   IF(I1812&lt;=50,I1812*1.1+4,IF(I1812&lt;=120,I1812*1.1+7,IF(I1812&lt;=250,I1812*1.1+11,I1812*1.1+19))),
IF(L1810="NORMAL",
   IF(I1812&lt;=30,I1812*1.15+2,IF(I1812&lt;=80,I1812*1.15+4,IF(I1812&lt;=150,I1812*1.15+6,I1812*1.15+8))),
IF(L1810="COMPLEMENTO",
   IF(I1812&lt;=25,I1812*1.25+1.5,IF(I1812&lt;=60,I1812*1.25+3,IF(I1812&lt;=120,I1812*1.25+4,I1812*1.25+5))),
""))),2)</f>
        <v>2090.56</v>
      </c>
      <c r="I1812" s="9">
        <f>($K$2+0.02)*Tabla1[[#This Row],[PRECIO $]]*1.18</f>
        <v>1810.9223999999999</v>
      </c>
      <c r="J1812" s="7">
        <f>+Tabla1[[#This Row],[PRECIO EN SOLES]]-Tabla1[[#This Row],[PC]]</f>
        <v>279.63760000000002</v>
      </c>
      <c r="K1812" s="15"/>
      <c r="L1812" s="15" t="str">
        <f>IF(
OR(
ISNUMBER(SEARCH("BACKPACK",B1814)),
ISNUMBER(SEARCH("MOCHILA",B1814)),
ISNUMBER(SEARCH("FUNDA",B1814)),
ISNUMBER(SEARCH("ESTUCHE",B1814)),
ISNUMBER(SEARCH("BOOK COVER",B1814)),
ISNUMBER(SEARCH("KEYBOARD PARA TABLET",B1814)),
ISNUMBER(SEARCH("FLIP TABLET",B1814)),
ISNUMBER(SEARCH("CASE FOR TABLET",B1814)),
ISNUMBER(SEARCH("CABLE",B1814)),
ISNUMBER(SEARCH("ADAPTADOR",B1814)),
ISNUMBER(SEARCH("HUB",B1814)),
ISNUMBER(SEARCH("DOCK",B1814)),
ISNUMBER(SEARCH("MOUSE PAD",B1814)),
ISNUMBER(SEARCH("MOUSEPAD",B1814)),
ISNUMBER(SEARCH("SOPORTE",B1814)),
ISNUMBER(SEARCH("STAND",B1814)),
ISNUMBER(SEARCH("TRAVEL ADAPTER",B1814)),
ISNUMBER(SEARCH("RJ45",B1814)),
ISNUMBER(SEARCH("USB-C",B1814)),
ISNUMBER(SEARCH("USB WIFI",B1814)),
ISNUMBER(SEARCH("POWERBANK",B1814)),
ISNUMBER(SEARCH("CARGADOR",B1814)),
ISNUMBER(SEARCH("COOLER PARA NB",B1814)),
ISNUMBER(SEARCH("SOPORTE PARA NB",B1814)),
ISNUMBER(SEARCH("WEBCAM",B1814)),
ISNUMBER(SEARCH("WEB CAM",B1814)),
ISNUMBER(SEARCH("MOUSE",B1814)),
ISNUMBER(SEARCH("TECLADO",B1814))
),
"COMPLEMENTO",
IF(
OR(
LEFT(A1814,2)="NB",
LEFT(A1814,2)="PC",
LEFT(A1814,2)="WS",
LEFT(A1814,2)="TB",
LEFT(A1814,3)="CEL",
LEFT(A1814,3)="MON",
LEFT(A1814,3)="PRE",
LEFT(A1814,3)="PRH",
ISNUMBER(SEARCH("NOTEBOOK",B1814)),
ISNUMBER(SEARCH("LAPTOP",B1814)),
ISNUMBER(SEARCH("MONITOR",B1814)),
ISNUMBER(SEARCH("TABLET",B1814)),
ISNUMBER(SEARCH("SMARTPH",B1814)),
ISNUMBER(SEARCH("IMPRESORA",B1814)),
ISNUMBER(SEARCH("MULTIFUNCIONAL",B1814)),
ISNUMBER(SEARCH("AIO",B1814))
),
"GANCHO",
"NORMAL"
)
)</f>
        <v>NORMAL</v>
      </c>
    </row>
    <row r="1813" spans="1:12" x14ac:dyDescent="0.25">
      <c r="A1813" s="3" t="s">
        <v>5100</v>
      </c>
      <c r="B1813" s="3" t="s">
        <v>5101</v>
      </c>
      <c r="C1813" s="1">
        <v>7</v>
      </c>
      <c r="D1813" s="1">
        <v>579</v>
      </c>
      <c r="E1813" s="1" t="s">
        <v>226</v>
      </c>
      <c r="F1813" s="1" t="s">
        <v>5102</v>
      </c>
      <c r="G1813" s="3" t="s">
        <v>5103</v>
      </c>
      <c r="H1813" s="11">
        <f>ROUND(
IF(L1811="GANCHO",
   IF(I1813&lt;=50,I1813*1.1+4,IF(I1813&lt;=120,I1813*1.1+7,IF(I1813&lt;=250,I1813*1.1+11,I1813*1.1+19))),
IF(L1811="NORMAL",
   IF(I1813&lt;=30,I1813*1.15+2,IF(I1813&lt;=80,I1813*1.15+4,IF(I1813&lt;=150,I1813*1.15+6,I1813*1.15+8))),
IF(L1811="COMPLEMENTO",
   IF(I1813&lt;=25,I1813*1.25+1.5,IF(I1813&lt;=60,I1813*1.25+3,IF(I1813&lt;=120,I1813*1.25+4,I1813*1.25+5))),
""))),2)</f>
        <v>2742.25</v>
      </c>
      <c r="I1813" s="9">
        <f>($K$2+0.02)*Tabla1[[#This Row],[PRECIO $]]*1.18</f>
        <v>2377.6055999999999</v>
      </c>
      <c r="J1813" s="7">
        <f>+Tabla1[[#This Row],[PRECIO EN SOLES]]-Tabla1[[#This Row],[PC]]</f>
        <v>364.64440000000013</v>
      </c>
      <c r="K1813" s="15"/>
      <c r="L1813" s="15" t="str">
        <f>IF(
OR(
ISNUMBER(SEARCH("BACKPACK",B1815)),
ISNUMBER(SEARCH("MOCHILA",B1815)),
ISNUMBER(SEARCH("FUNDA",B1815)),
ISNUMBER(SEARCH("ESTUCHE",B1815)),
ISNUMBER(SEARCH("BOOK COVER",B1815)),
ISNUMBER(SEARCH("KEYBOARD PARA TABLET",B1815)),
ISNUMBER(SEARCH("FLIP TABLET",B1815)),
ISNUMBER(SEARCH("CASE FOR TABLET",B1815)),
ISNUMBER(SEARCH("CABLE",B1815)),
ISNUMBER(SEARCH("ADAPTADOR",B1815)),
ISNUMBER(SEARCH("HUB",B1815)),
ISNUMBER(SEARCH("DOCK",B1815)),
ISNUMBER(SEARCH("MOUSE PAD",B1815)),
ISNUMBER(SEARCH("MOUSEPAD",B1815)),
ISNUMBER(SEARCH("SOPORTE",B1815)),
ISNUMBER(SEARCH("STAND",B1815)),
ISNUMBER(SEARCH("TRAVEL ADAPTER",B1815)),
ISNUMBER(SEARCH("RJ45",B1815)),
ISNUMBER(SEARCH("USB-C",B1815)),
ISNUMBER(SEARCH("USB WIFI",B1815)),
ISNUMBER(SEARCH("POWERBANK",B1815)),
ISNUMBER(SEARCH("CARGADOR",B1815)),
ISNUMBER(SEARCH("COOLER PARA NB",B1815)),
ISNUMBER(SEARCH("SOPORTE PARA NB",B1815)),
ISNUMBER(SEARCH("WEBCAM",B1815)),
ISNUMBER(SEARCH("WEB CAM",B1815)),
ISNUMBER(SEARCH("MOUSE",B1815)),
ISNUMBER(SEARCH("TECLADO",B1815))
),
"COMPLEMENTO",
IF(
OR(
LEFT(A1815,2)="NB",
LEFT(A1815,2)="PC",
LEFT(A1815,2)="WS",
LEFT(A1815,2)="TB",
LEFT(A1815,3)="CEL",
LEFT(A1815,3)="MON",
LEFT(A1815,3)="PRE",
LEFT(A1815,3)="PRH",
ISNUMBER(SEARCH("NOTEBOOK",B1815)),
ISNUMBER(SEARCH("LAPTOP",B1815)),
ISNUMBER(SEARCH("MONITOR",B1815)),
ISNUMBER(SEARCH("TABLET",B1815)),
ISNUMBER(SEARCH("SMARTPH",B1815)),
ISNUMBER(SEARCH("IMPRESORA",B1815)),
ISNUMBER(SEARCH("MULTIFUNCIONAL",B1815)),
ISNUMBER(SEARCH("AIO",B1815))
),
"GANCHO",
"NORMAL"
)
)</f>
        <v>NORMAL</v>
      </c>
    </row>
    <row r="1814" spans="1:12" x14ac:dyDescent="0.25">
      <c r="A1814" s="3" t="s">
        <v>5104</v>
      </c>
      <c r="B1814" s="3" t="s">
        <v>5105</v>
      </c>
      <c r="C1814" s="1">
        <v>20</v>
      </c>
      <c r="D1814" s="1">
        <v>565</v>
      </c>
      <c r="E1814" s="1" t="s">
        <v>226</v>
      </c>
      <c r="F1814" s="1" t="s">
        <v>5106</v>
      </c>
      <c r="G1814" s="3" t="s">
        <v>5107</v>
      </c>
      <c r="H1814" s="11">
        <f>ROUND(
IF(L1812="GANCHO",
   IF(I1814&lt;=50,I1814*1.1+4,IF(I1814&lt;=120,I1814*1.1+7,IF(I1814&lt;=250,I1814*1.1+11,I1814*1.1+19))),
IF(L1812="NORMAL",
   IF(I1814&lt;=30,I1814*1.15+2,IF(I1814&lt;=80,I1814*1.15+4,IF(I1814&lt;=150,I1814*1.15+6,I1814*1.15+8))),
IF(L1812="COMPLEMENTO",
   IF(I1814&lt;=25,I1814*1.25+1.5,IF(I1814&lt;=60,I1814*1.25+3,IF(I1814&lt;=120,I1814*1.25+4,I1814*1.25+5))),
""))),2)</f>
        <v>2676.13</v>
      </c>
      <c r="I1814" s="9">
        <f>($K$2+0.02)*Tabla1[[#This Row],[PRECIO $]]*1.18</f>
        <v>2320.116</v>
      </c>
      <c r="J1814" s="7">
        <f>+Tabla1[[#This Row],[PRECIO EN SOLES]]-Tabla1[[#This Row],[PC]]</f>
        <v>356.01400000000012</v>
      </c>
      <c r="K1814" s="15"/>
      <c r="L1814" s="15" t="str">
        <f>IF(
OR(
ISNUMBER(SEARCH("BACKPACK",B1816)),
ISNUMBER(SEARCH("MOCHILA",B1816)),
ISNUMBER(SEARCH("FUNDA",B1816)),
ISNUMBER(SEARCH("ESTUCHE",B1816)),
ISNUMBER(SEARCH("BOOK COVER",B1816)),
ISNUMBER(SEARCH("KEYBOARD PARA TABLET",B1816)),
ISNUMBER(SEARCH("FLIP TABLET",B1816)),
ISNUMBER(SEARCH("CASE FOR TABLET",B1816)),
ISNUMBER(SEARCH("CABLE",B1816)),
ISNUMBER(SEARCH("ADAPTADOR",B1816)),
ISNUMBER(SEARCH("HUB",B1816)),
ISNUMBER(SEARCH("DOCK",B1816)),
ISNUMBER(SEARCH("MOUSE PAD",B1816)),
ISNUMBER(SEARCH("MOUSEPAD",B1816)),
ISNUMBER(SEARCH("SOPORTE",B1816)),
ISNUMBER(SEARCH("STAND",B1816)),
ISNUMBER(SEARCH("TRAVEL ADAPTER",B1816)),
ISNUMBER(SEARCH("RJ45",B1816)),
ISNUMBER(SEARCH("USB-C",B1816)),
ISNUMBER(SEARCH("USB WIFI",B1816)),
ISNUMBER(SEARCH("POWERBANK",B1816)),
ISNUMBER(SEARCH("CARGADOR",B1816)),
ISNUMBER(SEARCH("COOLER PARA NB",B1816)),
ISNUMBER(SEARCH("SOPORTE PARA NB",B1816)),
ISNUMBER(SEARCH("WEBCAM",B1816)),
ISNUMBER(SEARCH("WEB CAM",B1816)),
ISNUMBER(SEARCH("MOUSE",B1816)),
ISNUMBER(SEARCH("TECLADO",B1816))
),
"COMPLEMENTO",
IF(
OR(
LEFT(A1816,2)="NB",
LEFT(A1816,2)="PC",
LEFT(A1816,2)="WS",
LEFT(A1816,2)="TB",
LEFT(A1816,3)="CEL",
LEFT(A1816,3)="MON",
LEFT(A1816,3)="PRE",
LEFT(A1816,3)="PRH",
ISNUMBER(SEARCH("NOTEBOOK",B1816)),
ISNUMBER(SEARCH("LAPTOP",B1816)),
ISNUMBER(SEARCH("MONITOR",B1816)),
ISNUMBER(SEARCH("TABLET",B1816)),
ISNUMBER(SEARCH("SMARTPH",B1816)),
ISNUMBER(SEARCH("IMPRESORA",B1816)),
ISNUMBER(SEARCH("MULTIFUNCIONAL",B1816)),
ISNUMBER(SEARCH("AIO",B1816))
),
"GANCHO",
"NORMAL"
)
)</f>
        <v>NORMAL</v>
      </c>
    </row>
    <row r="1815" spans="1:12" x14ac:dyDescent="0.25">
      <c r="A1815" s="3" t="s">
        <v>5108</v>
      </c>
      <c r="B1815" s="3" t="s">
        <v>5109</v>
      </c>
      <c r="C1815" s="1">
        <v>19</v>
      </c>
      <c r="D1815" s="1">
        <v>565</v>
      </c>
      <c r="E1815" s="1" t="s">
        <v>226</v>
      </c>
      <c r="F1815" s="1" t="s">
        <v>5110</v>
      </c>
      <c r="G1815" s="3" t="s">
        <v>5111</v>
      </c>
      <c r="H1815" s="11">
        <f>ROUND(
IF(L1813="GANCHO",
   IF(I1815&lt;=50,I1815*1.1+4,IF(I1815&lt;=120,I1815*1.1+7,IF(I1815&lt;=250,I1815*1.1+11,I1815*1.1+19))),
IF(L1813="NORMAL",
   IF(I1815&lt;=30,I1815*1.15+2,IF(I1815&lt;=80,I1815*1.15+4,IF(I1815&lt;=150,I1815*1.15+6,I1815*1.15+8))),
IF(L1813="COMPLEMENTO",
   IF(I1815&lt;=25,I1815*1.25+1.5,IF(I1815&lt;=60,I1815*1.25+3,IF(I1815&lt;=120,I1815*1.25+4,I1815*1.25+5))),
""))),2)</f>
        <v>2676.13</v>
      </c>
      <c r="I1815" s="9">
        <f>($K$2+0.02)*Tabla1[[#This Row],[PRECIO $]]*1.18</f>
        <v>2320.116</v>
      </c>
      <c r="J1815" s="7">
        <f>+Tabla1[[#This Row],[PRECIO EN SOLES]]-Tabla1[[#This Row],[PC]]</f>
        <v>356.01400000000012</v>
      </c>
      <c r="K1815" s="15"/>
      <c r="L1815" s="15" t="str">
        <f>IF(
OR(
ISNUMBER(SEARCH("BACKPACK",B1817)),
ISNUMBER(SEARCH("MOCHILA",B1817)),
ISNUMBER(SEARCH("FUNDA",B1817)),
ISNUMBER(SEARCH("ESTUCHE",B1817)),
ISNUMBER(SEARCH("BOOK COVER",B1817)),
ISNUMBER(SEARCH("KEYBOARD PARA TABLET",B1817)),
ISNUMBER(SEARCH("FLIP TABLET",B1817)),
ISNUMBER(SEARCH("CASE FOR TABLET",B1817)),
ISNUMBER(SEARCH("CABLE",B1817)),
ISNUMBER(SEARCH("ADAPTADOR",B1817)),
ISNUMBER(SEARCH("HUB",B1817)),
ISNUMBER(SEARCH("DOCK",B1817)),
ISNUMBER(SEARCH("MOUSE PAD",B1817)),
ISNUMBER(SEARCH("MOUSEPAD",B1817)),
ISNUMBER(SEARCH("SOPORTE",B1817)),
ISNUMBER(SEARCH("STAND",B1817)),
ISNUMBER(SEARCH("TRAVEL ADAPTER",B1817)),
ISNUMBER(SEARCH("RJ45",B1817)),
ISNUMBER(SEARCH("USB-C",B1817)),
ISNUMBER(SEARCH("USB WIFI",B1817)),
ISNUMBER(SEARCH("POWERBANK",B1817)),
ISNUMBER(SEARCH("CARGADOR",B1817)),
ISNUMBER(SEARCH("COOLER PARA NB",B1817)),
ISNUMBER(SEARCH("SOPORTE PARA NB",B1817)),
ISNUMBER(SEARCH("WEBCAM",B1817)),
ISNUMBER(SEARCH("WEB CAM",B1817)),
ISNUMBER(SEARCH("MOUSE",B1817)),
ISNUMBER(SEARCH("TECLADO",B1817))
),
"COMPLEMENTO",
IF(
OR(
LEFT(A1817,2)="NB",
LEFT(A1817,2)="PC",
LEFT(A1817,2)="WS",
LEFT(A1817,2)="TB",
LEFT(A1817,3)="CEL",
LEFT(A1817,3)="MON",
LEFT(A1817,3)="PRE",
LEFT(A1817,3)="PRH",
ISNUMBER(SEARCH("NOTEBOOK",B1817)),
ISNUMBER(SEARCH("LAPTOP",B1817)),
ISNUMBER(SEARCH("MONITOR",B1817)),
ISNUMBER(SEARCH("TABLET",B1817)),
ISNUMBER(SEARCH("SMARTPH",B1817)),
ISNUMBER(SEARCH("IMPRESORA",B1817)),
ISNUMBER(SEARCH("MULTIFUNCIONAL",B1817)),
ISNUMBER(SEARCH("AIO",B1817))
),
"GANCHO",
"NORMAL"
)
)</f>
        <v>NORMAL</v>
      </c>
    </row>
    <row r="1816" spans="1:12" x14ac:dyDescent="0.25">
      <c r="A1816" s="3" t="s">
        <v>5112</v>
      </c>
      <c r="B1816" s="3" t="s">
        <v>5113</v>
      </c>
      <c r="C1816" s="1">
        <v>20</v>
      </c>
      <c r="D1816" s="1">
        <v>561</v>
      </c>
      <c r="E1816" s="1" t="s">
        <v>226</v>
      </c>
      <c r="F1816" s="1" t="s">
        <v>5114</v>
      </c>
      <c r="G1816" s="3" t="s">
        <v>5115</v>
      </c>
      <c r="H1816" s="11">
        <f>ROUND(
IF(L1814="GANCHO",
   IF(I1816&lt;=50,I1816*1.1+4,IF(I1816&lt;=120,I1816*1.1+7,IF(I1816&lt;=250,I1816*1.1+11,I1816*1.1+19))),
IF(L1814="NORMAL",
   IF(I1816&lt;=30,I1816*1.15+2,IF(I1816&lt;=80,I1816*1.15+4,IF(I1816&lt;=150,I1816*1.15+6,I1816*1.15+8))),
IF(L1814="COMPLEMENTO",
   IF(I1816&lt;=25,I1816*1.25+1.5,IF(I1816&lt;=60,I1816*1.25+3,IF(I1816&lt;=120,I1816*1.25+4,I1816*1.25+5))),
""))),2)</f>
        <v>2657.24</v>
      </c>
      <c r="I1816" s="9">
        <f>($K$2+0.02)*Tabla1[[#This Row],[PRECIO $]]*1.18</f>
        <v>2303.6904</v>
      </c>
      <c r="J1816" s="7">
        <f>+Tabla1[[#This Row],[PRECIO EN SOLES]]-Tabla1[[#This Row],[PC]]</f>
        <v>353.54959999999983</v>
      </c>
      <c r="K1816" s="15"/>
      <c r="L1816" s="15" t="str">
        <f>IF(
OR(
ISNUMBER(SEARCH("BACKPACK",B1818)),
ISNUMBER(SEARCH("MOCHILA",B1818)),
ISNUMBER(SEARCH("FUNDA",B1818)),
ISNUMBER(SEARCH("ESTUCHE",B1818)),
ISNUMBER(SEARCH("BOOK COVER",B1818)),
ISNUMBER(SEARCH("KEYBOARD PARA TABLET",B1818)),
ISNUMBER(SEARCH("FLIP TABLET",B1818)),
ISNUMBER(SEARCH("CASE FOR TABLET",B1818)),
ISNUMBER(SEARCH("CABLE",B1818)),
ISNUMBER(SEARCH("ADAPTADOR",B1818)),
ISNUMBER(SEARCH("HUB",B1818)),
ISNUMBER(SEARCH("DOCK",B1818)),
ISNUMBER(SEARCH("MOUSE PAD",B1818)),
ISNUMBER(SEARCH("MOUSEPAD",B1818)),
ISNUMBER(SEARCH("SOPORTE",B1818)),
ISNUMBER(SEARCH("STAND",B1818)),
ISNUMBER(SEARCH("TRAVEL ADAPTER",B1818)),
ISNUMBER(SEARCH("RJ45",B1818)),
ISNUMBER(SEARCH("USB-C",B1818)),
ISNUMBER(SEARCH("USB WIFI",B1818)),
ISNUMBER(SEARCH("POWERBANK",B1818)),
ISNUMBER(SEARCH("CARGADOR",B1818)),
ISNUMBER(SEARCH("COOLER PARA NB",B1818)),
ISNUMBER(SEARCH("SOPORTE PARA NB",B1818)),
ISNUMBER(SEARCH("WEBCAM",B1818)),
ISNUMBER(SEARCH("WEB CAM",B1818)),
ISNUMBER(SEARCH("MOUSE",B1818)),
ISNUMBER(SEARCH("TECLADO",B1818))
),
"COMPLEMENTO",
IF(
OR(
LEFT(A1818,2)="NB",
LEFT(A1818,2)="PC",
LEFT(A1818,2)="WS",
LEFT(A1818,2)="TB",
LEFT(A1818,3)="CEL",
LEFT(A1818,3)="MON",
LEFT(A1818,3)="PRE",
LEFT(A1818,3)="PRH",
ISNUMBER(SEARCH("NOTEBOOK",B1818)),
ISNUMBER(SEARCH("LAPTOP",B1818)),
ISNUMBER(SEARCH("MONITOR",B1818)),
ISNUMBER(SEARCH("TABLET",B1818)),
ISNUMBER(SEARCH("SMARTPH",B1818)),
ISNUMBER(SEARCH("IMPRESORA",B1818)),
ISNUMBER(SEARCH("MULTIFUNCIONAL",B1818)),
ISNUMBER(SEARCH("AIO",B1818))
),
"GANCHO",
"NORMAL"
)
)</f>
        <v>NORMAL</v>
      </c>
    </row>
    <row r="1817" spans="1:12" x14ac:dyDescent="0.25">
      <c r="A1817" s="3" t="s">
        <v>5116</v>
      </c>
      <c r="B1817" s="3" t="s">
        <v>5117</v>
      </c>
      <c r="C1817" s="1">
        <v>20</v>
      </c>
      <c r="D1817" s="1">
        <v>367.35</v>
      </c>
      <c r="E1817" s="1" t="s">
        <v>121</v>
      </c>
      <c r="F1817" s="1" t="s">
        <v>5118</v>
      </c>
      <c r="G1817" s="3" t="s">
        <v>5119</v>
      </c>
      <c r="H1817" s="11">
        <f>ROUND(
IF(L1815="GANCHO",
   IF(I1817&lt;=50,I1817*1.1+4,IF(I1817&lt;=120,I1817*1.1+7,IF(I1817&lt;=250,I1817*1.1+11,I1817*1.1+19))),
IF(L1815="NORMAL",
   IF(I1817&lt;=30,I1817*1.15+2,IF(I1817&lt;=80,I1817*1.15+4,IF(I1817&lt;=150,I1817*1.15+6,I1817*1.15+8))),
IF(L1815="COMPLEMENTO",
   IF(I1817&lt;=25,I1817*1.25+1.5,IF(I1817&lt;=60,I1817*1.25+3,IF(I1817&lt;=120,I1817*1.25+4,I1817*1.25+5))),
""))),2)</f>
        <v>1742.76</v>
      </c>
      <c r="I1817" s="9">
        <f>($K$2+0.02)*Tabla1[[#This Row],[PRECIO $]]*1.18</f>
        <v>1508.48604</v>
      </c>
      <c r="J1817" s="7">
        <f>+Tabla1[[#This Row],[PRECIO EN SOLES]]-Tabla1[[#This Row],[PC]]</f>
        <v>234.27395999999999</v>
      </c>
      <c r="K1817" s="15"/>
      <c r="L1817" s="15" t="str">
        <f>IF(
OR(
ISNUMBER(SEARCH("BACKPACK",B1819)),
ISNUMBER(SEARCH("MOCHILA",B1819)),
ISNUMBER(SEARCH("FUNDA",B1819)),
ISNUMBER(SEARCH("ESTUCHE",B1819)),
ISNUMBER(SEARCH("BOOK COVER",B1819)),
ISNUMBER(SEARCH("KEYBOARD PARA TABLET",B1819)),
ISNUMBER(SEARCH("FLIP TABLET",B1819)),
ISNUMBER(SEARCH("CASE FOR TABLET",B1819)),
ISNUMBER(SEARCH("CABLE",B1819)),
ISNUMBER(SEARCH("ADAPTADOR",B1819)),
ISNUMBER(SEARCH("HUB",B1819)),
ISNUMBER(SEARCH("DOCK",B1819)),
ISNUMBER(SEARCH("MOUSE PAD",B1819)),
ISNUMBER(SEARCH("MOUSEPAD",B1819)),
ISNUMBER(SEARCH("SOPORTE",B1819)),
ISNUMBER(SEARCH("STAND",B1819)),
ISNUMBER(SEARCH("TRAVEL ADAPTER",B1819)),
ISNUMBER(SEARCH("RJ45",B1819)),
ISNUMBER(SEARCH("USB-C",B1819)),
ISNUMBER(SEARCH("USB WIFI",B1819)),
ISNUMBER(SEARCH("POWERBANK",B1819)),
ISNUMBER(SEARCH("CARGADOR",B1819)),
ISNUMBER(SEARCH("COOLER PARA NB",B1819)),
ISNUMBER(SEARCH("SOPORTE PARA NB",B1819)),
ISNUMBER(SEARCH("WEBCAM",B1819)),
ISNUMBER(SEARCH("WEB CAM",B1819)),
ISNUMBER(SEARCH("MOUSE",B1819)),
ISNUMBER(SEARCH("TECLADO",B1819))
),
"COMPLEMENTO",
IF(
OR(
LEFT(A1819,2)="NB",
LEFT(A1819,2)="PC",
LEFT(A1819,2)="WS",
LEFT(A1819,2)="TB",
LEFT(A1819,3)="CEL",
LEFT(A1819,3)="MON",
LEFT(A1819,3)="PRE",
LEFT(A1819,3)="PRH",
ISNUMBER(SEARCH("NOTEBOOK",B1819)),
ISNUMBER(SEARCH("LAPTOP",B1819)),
ISNUMBER(SEARCH("MONITOR",B1819)),
ISNUMBER(SEARCH("TABLET",B1819)),
ISNUMBER(SEARCH("SMARTPH",B1819)),
ISNUMBER(SEARCH("IMPRESORA",B1819)),
ISNUMBER(SEARCH("MULTIFUNCIONAL",B1819)),
ISNUMBER(SEARCH("AIO",B1819))
),
"GANCHO",
"NORMAL"
)
)</f>
        <v>NORMAL</v>
      </c>
    </row>
    <row r="1818" spans="1:12" x14ac:dyDescent="0.25">
      <c r="A1818" s="3" t="s">
        <v>5120</v>
      </c>
      <c r="B1818" s="3" t="s">
        <v>5121</v>
      </c>
      <c r="C1818" s="1">
        <v>0</v>
      </c>
      <c r="D1818" s="1">
        <v>319</v>
      </c>
      <c r="E1818" s="1" t="s">
        <v>121</v>
      </c>
      <c r="F1818" s="1" t="s">
        <v>5122</v>
      </c>
      <c r="G1818" s="3" t="s">
        <v>5123</v>
      </c>
      <c r="H1818" s="11">
        <f>ROUND(
IF(L1816="GANCHO",
   IF(I1818&lt;=50,I1818*1.1+4,IF(I1818&lt;=120,I1818*1.1+7,IF(I1818&lt;=250,I1818*1.1+11,I1818*1.1+19))),
IF(L1816="NORMAL",
   IF(I1818&lt;=30,I1818*1.15+2,IF(I1818&lt;=80,I1818*1.15+4,IF(I1818&lt;=150,I1818*1.15+6,I1818*1.15+8))),
IF(L1816="COMPLEMENTO",
   IF(I1818&lt;=25,I1818*1.25+1.5,IF(I1818&lt;=60,I1818*1.25+3,IF(I1818&lt;=120,I1818*1.25+4,I1818*1.25+5))),
""))),2)</f>
        <v>1514.43</v>
      </c>
      <c r="I1818" s="9">
        <f>($K$2+0.02)*Tabla1[[#This Row],[PRECIO $]]*1.18</f>
        <v>1309.9415999999999</v>
      </c>
      <c r="J1818" s="7">
        <f>+Tabla1[[#This Row],[PRECIO EN SOLES]]-Tabla1[[#This Row],[PC]]</f>
        <v>204.48840000000018</v>
      </c>
      <c r="K1818" s="15"/>
      <c r="L1818" s="15" t="str">
        <f>IF(
OR(
ISNUMBER(SEARCH("BACKPACK",B1820)),
ISNUMBER(SEARCH("MOCHILA",B1820)),
ISNUMBER(SEARCH("FUNDA",B1820)),
ISNUMBER(SEARCH("ESTUCHE",B1820)),
ISNUMBER(SEARCH("BOOK COVER",B1820)),
ISNUMBER(SEARCH("KEYBOARD PARA TABLET",B1820)),
ISNUMBER(SEARCH("FLIP TABLET",B1820)),
ISNUMBER(SEARCH("CASE FOR TABLET",B1820)),
ISNUMBER(SEARCH("CABLE",B1820)),
ISNUMBER(SEARCH("ADAPTADOR",B1820)),
ISNUMBER(SEARCH("HUB",B1820)),
ISNUMBER(SEARCH("DOCK",B1820)),
ISNUMBER(SEARCH("MOUSE PAD",B1820)),
ISNUMBER(SEARCH("MOUSEPAD",B1820)),
ISNUMBER(SEARCH("SOPORTE",B1820)),
ISNUMBER(SEARCH("STAND",B1820)),
ISNUMBER(SEARCH("TRAVEL ADAPTER",B1820)),
ISNUMBER(SEARCH("RJ45",B1820)),
ISNUMBER(SEARCH("USB-C",B1820)),
ISNUMBER(SEARCH("USB WIFI",B1820)),
ISNUMBER(SEARCH("POWERBANK",B1820)),
ISNUMBER(SEARCH("CARGADOR",B1820)),
ISNUMBER(SEARCH("COOLER PARA NB",B1820)),
ISNUMBER(SEARCH("SOPORTE PARA NB",B1820)),
ISNUMBER(SEARCH("WEBCAM",B1820)),
ISNUMBER(SEARCH("WEB CAM",B1820)),
ISNUMBER(SEARCH("MOUSE",B1820)),
ISNUMBER(SEARCH("TECLADO",B1820))
),
"COMPLEMENTO",
IF(
OR(
LEFT(A1820,2)="NB",
LEFT(A1820,2)="PC",
LEFT(A1820,2)="WS",
LEFT(A1820,2)="TB",
LEFT(A1820,3)="CEL",
LEFT(A1820,3)="MON",
LEFT(A1820,3)="PRE",
LEFT(A1820,3)="PRH",
ISNUMBER(SEARCH("NOTEBOOK",B1820)),
ISNUMBER(SEARCH("LAPTOP",B1820)),
ISNUMBER(SEARCH("MONITOR",B1820)),
ISNUMBER(SEARCH("TABLET",B1820)),
ISNUMBER(SEARCH("SMARTPH",B1820)),
ISNUMBER(SEARCH("IMPRESORA",B1820)),
ISNUMBER(SEARCH("MULTIFUNCIONAL",B1820)),
ISNUMBER(SEARCH("AIO",B1820))
),
"GANCHO",
"NORMAL"
)
)</f>
        <v>NORMAL</v>
      </c>
    </row>
    <row r="1819" spans="1:12" x14ac:dyDescent="0.25">
      <c r="A1819" s="3" t="s">
        <v>5598</v>
      </c>
      <c r="B1819" s="3" t="s">
        <v>6226</v>
      </c>
      <c r="C1819" s="1">
        <v>20</v>
      </c>
      <c r="D1819" s="1">
        <v>352</v>
      </c>
      <c r="E1819" s="1" t="s">
        <v>121</v>
      </c>
      <c r="F1819" s="1" t="s">
        <v>5599</v>
      </c>
      <c r="G1819" s="3" t="s">
        <v>5600</v>
      </c>
      <c r="H1819" s="11">
        <f>ROUND(
IF(L1817="GANCHO",
   IF(I1819&lt;=50,I1819*1.1+4,IF(I1819&lt;=120,I1819*1.1+7,IF(I1819&lt;=250,I1819*1.1+11,I1819*1.1+19))),
IF(L1817="NORMAL",
   IF(I1819&lt;=30,I1819*1.15+2,IF(I1819&lt;=80,I1819*1.15+4,IF(I1819&lt;=150,I1819*1.15+6,I1819*1.15+8))),
IF(L1817="COMPLEMENTO",
   IF(I1819&lt;=25,I1819*1.25+1.5,IF(I1819&lt;=60,I1819*1.25+3,IF(I1819&lt;=120,I1819*1.25+4,I1819*1.25+5))),
""))),2)</f>
        <v>1670.27</v>
      </c>
      <c r="I1819" s="9">
        <f>($K$2+0.02)*Tabla1[[#This Row],[PRECIO $]]*1.18</f>
        <v>1445.4528</v>
      </c>
      <c r="J1819" s="7">
        <f>+Tabla1[[#This Row],[PRECIO EN SOLES]]-Tabla1[[#This Row],[PC]]</f>
        <v>224.81719999999996</v>
      </c>
      <c r="K1819" s="15"/>
      <c r="L1819" s="15" t="str">
        <f>IF(
OR(
ISNUMBER(SEARCH("BACKPACK",B1821)),
ISNUMBER(SEARCH("MOCHILA",B1821)),
ISNUMBER(SEARCH("FUNDA",B1821)),
ISNUMBER(SEARCH("ESTUCHE",B1821)),
ISNUMBER(SEARCH("BOOK COVER",B1821)),
ISNUMBER(SEARCH("KEYBOARD PARA TABLET",B1821)),
ISNUMBER(SEARCH("FLIP TABLET",B1821)),
ISNUMBER(SEARCH("CASE FOR TABLET",B1821)),
ISNUMBER(SEARCH("CABLE",B1821)),
ISNUMBER(SEARCH("ADAPTADOR",B1821)),
ISNUMBER(SEARCH("HUB",B1821)),
ISNUMBER(SEARCH("DOCK",B1821)),
ISNUMBER(SEARCH("MOUSE PAD",B1821)),
ISNUMBER(SEARCH("MOUSEPAD",B1821)),
ISNUMBER(SEARCH("SOPORTE",B1821)),
ISNUMBER(SEARCH("STAND",B1821)),
ISNUMBER(SEARCH("TRAVEL ADAPTER",B1821)),
ISNUMBER(SEARCH("RJ45",B1821)),
ISNUMBER(SEARCH("USB-C",B1821)),
ISNUMBER(SEARCH("USB WIFI",B1821)),
ISNUMBER(SEARCH("POWERBANK",B1821)),
ISNUMBER(SEARCH("CARGADOR",B1821)),
ISNUMBER(SEARCH("COOLER PARA NB",B1821)),
ISNUMBER(SEARCH("SOPORTE PARA NB",B1821)),
ISNUMBER(SEARCH("WEBCAM",B1821)),
ISNUMBER(SEARCH("WEB CAM",B1821)),
ISNUMBER(SEARCH("MOUSE",B1821)),
ISNUMBER(SEARCH("TECLADO",B1821))
),
"COMPLEMENTO",
IF(
OR(
LEFT(A1821,2)="NB",
LEFT(A1821,2)="PC",
LEFT(A1821,2)="WS",
LEFT(A1821,2)="TB",
LEFT(A1821,3)="CEL",
LEFT(A1821,3)="MON",
LEFT(A1821,3)="PRE",
LEFT(A1821,3)="PRH",
ISNUMBER(SEARCH("NOTEBOOK",B1821)),
ISNUMBER(SEARCH("LAPTOP",B1821)),
ISNUMBER(SEARCH("MONITOR",B1821)),
ISNUMBER(SEARCH("TABLET",B1821)),
ISNUMBER(SEARCH("SMARTPH",B1821)),
ISNUMBER(SEARCH("IMPRESORA",B1821)),
ISNUMBER(SEARCH("MULTIFUNCIONAL",B1821)),
ISNUMBER(SEARCH("AIO",B1821))
),
"GANCHO",
"NORMAL"
)
)</f>
        <v>NORMAL</v>
      </c>
    </row>
    <row r="1820" spans="1:12" x14ac:dyDescent="0.25">
      <c r="A1820" s="3" t="s">
        <v>5601</v>
      </c>
      <c r="B1820" s="3" t="s">
        <v>5597</v>
      </c>
      <c r="C1820" s="1">
        <v>20</v>
      </c>
      <c r="D1820" s="1">
        <v>463.85</v>
      </c>
      <c r="E1820" s="1" t="s">
        <v>121</v>
      </c>
      <c r="F1820" s="1" t="s">
        <v>5602</v>
      </c>
      <c r="G1820" s="3" t="s">
        <v>5603</v>
      </c>
      <c r="H1820" s="11">
        <f>ROUND(
IF(L1818="GANCHO",
   IF(I1820&lt;=50,I1820*1.1+4,IF(I1820&lt;=120,I1820*1.1+7,IF(I1820&lt;=250,I1820*1.1+11,I1820*1.1+19))),
IF(L1818="NORMAL",
   IF(I1820&lt;=30,I1820*1.15+2,IF(I1820&lt;=80,I1820*1.15+4,IF(I1820&lt;=150,I1820*1.15+6,I1820*1.15+8))),
IF(L1818="COMPLEMENTO",
   IF(I1820&lt;=25,I1820*1.25+1.5,IF(I1820&lt;=60,I1820*1.25+3,IF(I1820&lt;=120,I1820*1.25+4,I1820*1.25+5))),
""))),2)</f>
        <v>2198.4699999999998</v>
      </c>
      <c r="I1820" s="9">
        <f>($K$2+0.02)*Tabla1[[#This Row],[PRECIO $]]*1.18</f>
        <v>1904.7536399999999</v>
      </c>
      <c r="J1820" s="7">
        <f>+Tabla1[[#This Row],[PRECIO EN SOLES]]-Tabla1[[#This Row],[PC]]</f>
        <v>293.7163599999999</v>
      </c>
      <c r="K1820" s="15"/>
      <c r="L1820" s="15" t="str">
        <f>IF(
OR(
ISNUMBER(SEARCH("BACKPACK",B1822)),
ISNUMBER(SEARCH("MOCHILA",B1822)),
ISNUMBER(SEARCH("FUNDA",B1822)),
ISNUMBER(SEARCH("ESTUCHE",B1822)),
ISNUMBER(SEARCH("BOOK COVER",B1822)),
ISNUMBER(SEARCH("KEYBOARD PARA TABLET",B1822)),
ISNUMBER(SEARCH("FLIP TABLET",B1822)),
ISNUMBER(SEARCH("CASE FOR TABLET",B1822)),
ISNUMBER(SEARCH("CABLE",B1822)),
ISNUMBER(SEARCH("ADAPTADOR",B1822)),
ISNUMBER(SEARCH("HUB",B1822)),
ISNUMBER(SEARCH("DOCK",B1822)),
ISNUMBER(SEARCH("MOUSE PAD",B1822)),
ISNUMBER(SEARCH("MOUSEPAD",B1822)),
ISNUMBER(SEARCH("SOPORTE",B1822)),
ISNUMBER(SEARCH("STAND",B1822)),
ISNUMBER(SEARCH("TRAVEL ADAPTER",B1822)),
ISNUMBER(SEARCH("RJ45",B1822)),
ISNUMBER(SEARCH("USB-C",B1822)),
ISNUMBER(SEARCH("USB WIFI",B1822)),
ISNUMBER(SEARCH("POWERBANK",B1822)),
ISNUMBER(SEARCH("CARGADOR",B1822)),
ISNUMBER(SEARCH("COOLER PARA NB",B1822)),
ISNUMBER(SEARCH("SOPORTE PARA NB",B1822)),
ISNUMBER(SEARCH("WEBCAM",B1822)),
ISNUMBER(SEARCH("WEB CAM",B1822)),
ISNUMBER(SEARCH("MOUSE",B1822)),
ISNUMBER(SEARCH("TECLADO",B1822))
),
"COMPLEMENTO",
IF(
OR(
LEFT(A1822,2)="NB",
LEFT(A1822,2)="PC",
LEFT(A1822,2)="WS",
LEFT(A1822,2)="TB",
LEFT(A1822,3)="CEL",
LEFT(A1822,3)="MON",
LEFT(A1822,3)="PRE",
LEFT(A1822,3)="PRH",
ISNUMBER(SEARCH("NOTEBOOK",B1822)),
ISNUMBER(SEARCH("LAPTOP",B1822)),
ISNUMBER(SEARCH("MONITOR",B1822)),
ISNUMBER(SEARCH("TABLET",B1822)),
ISNUMBER(SEARCH("SMARTPH",B1822)),
ISNUMBER(SEARCH("IMPRESORA",B1822)),
ISNUMBER(SEARCH("MULTIFUNCIONAL",B1822)),
ISNUMBER(SEARCH("AIO",B1822))
),
"GANCHO",
"NORMAL"
)
)</f>
        <v>NORMAL</v>
      </c>
    </row>
    <row r="1821" spans="1:12" x14ac:dyDescent="0.25">
      <c r="A1821" s="3" t="s">
        <v>5604</v>
      </c>
      <c r="B1821" s="3" t="s">
        <v>5605</v>
      </c>
      <c r="C1821" s="1">
        <v>20</v>
      </c>
      <c r="D1821" s="1">
        <v>473.35</v>
      </c>
      <c r="E1821" s="1" t="s">
        <v>121</v>
      </c>
      <c r="F1821" s="1" t="s">
        <v>5606</v>
      </c>
      <c r="G1821" s="3" t="s">
        <v>5607</v>
      </c>
      <c r="H1821" s="11">
        <f>ROUND(
IF(L1819="GANCHO",
   IF(I1821&lt;=50,I1821*1.1+4,IF(I1821&lt;=120,I1821*1.1+7,IF(I1821&lt;=250,I1821*1.1+11,I1821*1.1+19))),
IF(L1819="NORMAL",
   IF(I1821&lt;=30,I1821*1.15+2,IF(I1821&lt;=80,I1821*1.15+4,IF(I1821&lt;=150,I1821*1.15+6,I1821*1.15+8))),
IF(L1819="COMPLEMENTO",
   IF(I1821&lt;=25,I1821*1.25+1.5,IF(I1821&lt;=60,I1821*1.25+3,IF(I1821&lt;=120,I1821*1.25+4,I1821*1.25+5))),
""))),2)</f>
        <v>2243.33</v>
      </c>
      <c r="I1821" s="9">
        <f>($K$2+0.02)*Tabla1[[#This Row],[PRECIO $]]*1.18</f>
        <v>1943.7644399999999</v>
      </c>
      <c r="J1821" s="7">
        <f>+Tabla1[[#This Row],[PRECIO EN SOLES]]-Tabla1[[#This Row],[PC]]</f>
        <v>299.56556</v>
      </c>
      <c r="K1821" s="15"/>
      <c r="L1821" s="15" t="str">
        <f>IF(
OR(
ISNUMBER(SEARCH("BACKPACK",B1823)),
ISNUMBER(SEARCH("MOCHILA",B1823)),
ISNUMBER(SEARCH("FUNDA",B1823)),
ISNUMBER(SEARCH("ESTUCHE",B1823)),
ISNUMBER(SEARCH("BOOK COVER",B1823)),
ISNUMBER(SEARCH("KEYBOARD PARA TABLET",B1823)),
ISNUMBER(SEARCH("FLIP TABLET",B1823)),
ISNUMBER(SEARCH("CASE FOR TABLET",B1823)),
ISNUMBER(SEARCH("CABLE",B1823)),
ISNUMBER(SEARCH("ADAPTADOR",B1823)),
ISNUMBER(SEARCH("HUB",B1823)),
ISNUMBER(SEARCH("DOCK",B1823)),
ISNUMBER(SEARCH("MOUSE PAD",B1823)),
ISNUMBER(SEARCH("MOUSEPAD",B1823)),
ISNUMBER(SEARCH("SOPORTE",B1823)),
ISNUMBER(SEARCH("STAND",B1823)),
ISNUMBER(SEARCH("TRAVEL ADAPTER",B1823)),
ISNUMBER(SEARCH("RJ45",B1823)),
ISNUMBER(SEARCH("USB-C",B1823)),
ISNUMBER(SEARCH("USB WIFI",B1823)),
ISNUMBER(SEARCH("POWERBANK",B1823)),
ISNUMBER(SEARCH("CARGADOR",B1823)),
ISNUMBER(SEARCH("COOLER PARA NB",B1823)),
ISNUMBER(SEARCH("SOPORTE PARA NB",B1823)),
ISNUMBER(SEARCH("WEBCAM",B1823)),
ISNUMBER(SEARCH("WEB CAM",B1823)),
ISNUMBER(SEARCH("MOUSE",B1823)),
ISNUMBER(SEARCH("TECLADO",B1823))
),
"COMPLEMENTO",
IF(
OR(
LEFT(A1823,2)="NB",
LEFT(A1823,2)="PC",
LEFT(A1823,2)="WS",
LEFT(A1823,2)="TB",
LEFT(A1823,3)="CEL",
LEFT(A1823,3)="MON",
LEFT(A1823,3)="PRE",
LEFT(A1823,3)="PRH",
ISNUMBER(SEARCH("NOTEBOOK",B1823)),
ISNUMBER(SEARCH("LAPTOP",B1823)),
ISNUMBER(SEARCH("MONITOR",B1823)),
ISNUMBER(SEARCH("TABLET",B1823)),
ISNUMBER(SEARCH("SMARTPH",B1823)),
ISNUMBER(SEARCH("IMPRESORA",B1823)),
ISNUMBER(SEARCH("MULTIFUNCIONAL",B1823)),
ISNUMBER(SEARCH("AIO",B1823))
),
"GANCHO",
"NORMAL"
)
)</f>
        <v>NORMAL</v>
      </c>
    </row>
    <row r="1822" spans="1:12" x14ac:dyDescent="0.25">
      <c r="A1822" s="3" t="s">
        <v>5124</v>
      </c>
      <c r="B1822" s="3" t="s">
        <v>5125</v>
      </c>
      <c r="C1822" s="1">
        <v>20</v>
      </c>
      <c r="D1822" s="1">
        <v>411.35</v>
      </c>
      <c r="E1822" s="1" t="s">
        <v>121</v>
      </c>
      <c r="F1822" s="1" t="s">
        <v>5126</v>
      </c>
      <c r="G1822" s="3" t="s">
        <v>5127</v>
      </c>
      <c r="H1822" s="11">
        <f>ROUND(
IF(L1820="GANCHO",
   IF(I1822&lt;=50,I1822*1.1+4,IF(I1822&lt;=120,I1822*1.1+7,IF(I1822&lt;=250,I1822*1.1+11,I1822*1.1+19))),
IF(L1820="NORMAL",
   IF(I1822&lt;=30,I1822*1.15+2,IF(I1822&lt;=80,I1822*1.15+4,IF(I1822&lt;=150,I1822*1.15+6,I1822*1.15+8))),
IF(L1820="COMPLEMENTO",
   IF(I1822&lt;=25,I1822*1.25+1.5,IF(I1822&lt;=60,I1822*1.25+3,IF(I1822&lt;=120,I1822*1.25+4,I1822*1.25+5))),
""))),2)</f>
        <v>1950.54</v>
      </c>
      <c r="I1822" s="9">
        <f>($K$2+0.02)*Tabla1[[#This Row],[PRECIO $]]*1.18</f>
        <v>1689.1676399999999</v>
      </c>
      <c r="J1822" s="7">
        <f>+Tabla1[[#This Row],[PRECIO EN SOLES]]-Tabla1[[#This Row],[PC]]</f>
        <v>261.37236000000007</v>
      </c>
      <c r="K1822" s="15"/>
      <c r="L1822" s="15" t="str">
        <f>IF(
OR(
ISNUMBER(SEARCH("BACKPACK",B1824)),
ISNUMBER(SEARCH("MOCHILA",B1824)),
ISNUMBER(SEARCH("FUNDA",B1824)),
ISNUMBER(SEARCH("ESTUCHE",B1824)),
ISNUMBER(SEARCH("BOOK COVER",B1824)),
ISNUMBER(SEARCH("KEYBOARD PARA TABLET",B1824)),
ISNUMBER(SEARCH("FLIP TABLET",B1824)),
ISNUMBER(SEARCH("CASE FOR TABLET",B1824)),
ISNUMBER(SEARCH("CABLE",B1824)),
ISNUMBER(SEARCH("ADAPTADOR",B1824)),
ISNUMBER(SEARCH("HUB",B1824)),
ISNUMBER(SEARCH("DOCK",B1824)),
ISNUMBER(SEARCH("MOUSE PAD",B1824)),
ISNUMBER(SEARCH("MOUSEPAD",B1824)),
ISNUMBER(SEARCH("SOPORTE",B1824)),
ISNUMBER(SEARCH("STAND",B1824)),
ISNUMBER(SEARCH("TRAVEL ADAPTER",B1824)),
ISNUMBER(SEARCH("RJ45",B1824)),
ISNUMBER(SEARCH("USB-C",B1824)),
ISNUMBER(SEARCH("USB WIFI",B1824)),
ISNUMBER(SEARCH("POWERBANK",B1824)),
ISNUMBER(SEARCH("CARGADOR",B1824)),
ISNUMBER(SEARCH("COOLER PARA NB",B1824)),
ISNUMBER(SEARCH("SOPORTE PARA NB",B1824)),
ISNUMBER(SEARCH("WEBCAM",B1824)),
ISNUMBER(SEARCH("WEB CAM",B1824)),
ISNUMBER(SEARCH("MOUSE",B1824)),
ISNUMBER(SEARCH("TECLADO",B1824))
),
"COMPLEMENTO",
IF(
OR(
LEFT(A1824,2)="NB",
LEFT(A1824,2)="PC",
LEFT(A1824,2)="WS",
LEFT(A1824,2)="TB",
LEFT(A1824,3)="CEL",
LEFT(A1824,3)="MON",
LEFT(A1824,3)="PRE",
LEFT(A1824,3)="PRH",
ISNUMBER(SEARCH("NOTEBOOK",B1824)),
ISNUMBER(SEARCH("LAPTOP",B1824)),
ISNUMBER(SEARCH("MONITOR",B1824)),
ISNUMBER(SEARCH("TABLET",B1824)),
ISNUMBER(SEARCH("SMARTPH",B1824)),
ISNUMBER(SEARCH("IMPRESORA",B1824)),
ISNUMBER(SEARCH("MULTIFUNCIONAL",B1824)),
ISNUMBER(SEARCH("AIO",B1824))
),
"GANCHO",
"NORMAL"
)
)</f>
        <v>NORMAL</v>
      </c>
    </row>
    <row r="1823" spans="1:12" x14ac:dyDescent="0.25">
      <c r="A1823" s="3" t="s">
        <v>5128</v>
      </c>
      <c r="B1823" s="3" t="s">
        <v>5129</v>
      </c>
      <c r="C1823" s="1">
        <v>6</v>
      </c>
      <c r="D1823" s="1">
        <v>543</v>
      </c>
      <c r="E1823" s="1" t="s">
        <v>121</v>
      </c>
      <c r="F1823" s="1" t="s">
        <v>5130</v>
      </c>
      <c r="G1823" s="3" t="s">
        <v>5131</v>
      </c>
      <c r="H1823" s="11">
        <f>ROUND(
IF(L1821="GANCHO",
   IF(I1823&lt;=50,I1823*1.1+4,IF(I1823&lt;=120,I1823*1.1+7,IF(I1823&lt;=250,I1823*1.1+11,I1823*1.1+19))),
IF(L1821="NORMAL",
   IF(I1823&lt;=30,I1823*1.15+2,IF(I1823&lt;=80,I1823*1.15+4,IF(I1823&lt;=150,I1823*1.15+6,I1823*1.15+8))),
IF(L1821="COMPLEMENTO",
   IF(I1823&lt;=25,I1823*1.25+1.5,IF(I1823&lt;=60,I1823*1.25+3,IF(I1823&lt;=120,I1823*1.25+4,I1823*1.25+5))),
""))),2)</f>
        <v>2572.2399999999998</v>
      </c>
      <c r="I1823" s="9">
        <f>($K$2+0.02)*Tabla1[[#This Row],[PRECIO $]]*1.18</f>
        <v>2229.7752</v>
      </c>
      <c r="J1823" s="7">
        <f>+Tabla1[[#This Row],[PRECIO EN SOLES]]-Tabla1[[#This Row],[PC]]</f>
        <v>342.46479999999974</v>
      </c>
      <c r="K1823" s="15"/>
      <c r="L1823" s="15" t="str">
        <f>IF(
OR(
ISNUMBER(SEARCH("BACKPACK",B1825)),
ISNUMBER(SEARCH("MOCHILA",B1825)),
ISNUMBER(SEARCH("FUNDA",B1825)),
ISNUMBER(SEARCH("ESTUCHE",B1825)),
ISNUMBER(SEARCH("BOOK COVER",B1825)),
ISNUMBER(SEARCH("KEYBOARD PARA TABLET",B1825)),
ISNUMBER(SEARCH("FLIP TABLET",B1825)),
ISNUMBER(SEARCH("CASE FOR TABLET",B1825)),
ISNUMBER(SEARCH("CABLE",B1825)),
ISNUMBER(SEARCH("ADAPTADOR",B1825)),
ISNUMBER(SEARCH("HUB",B1825)),
ISNUMBER(SEARCH("DOCK",B1825)),
ISNUMBER(SEARCH("MOUSE PAD",B1825)),
ISNUMBER(SEARCH("MOUSEPAD",B1825)),
ISNUMBER(SEARCH("SOPORTE",B1825)),
ISNUMBER(SEARCH("STAND",B1825)),
ISNUMBER(SEARCH("TRAVEL ADAPTER",B1825)),
ISNUMBER(SEARCH("RJ45",B1825)),
ISNUMBER(SEARCH("USB-C",B1825)),
ISNUMBER(SEARCH("USB WIFI",B1825)),
ISNUMBER(SEARCH("POWERBANK",B1825)),
ISNUMBER(SEARCH("CARGADOR",B1825)),
ISNUMBER(SEARCH("COOLER PARA NB",B1825)),
ISNUMBER(SEARCH("SOPORTE PARA NB",B1825)),
ISNUMBER(SEARCH("WEBCAM",B1825)),
ISNUMBER(SEARCH("WEB CAM",B1825)),
ISNUMBER(SEARCH("MOUSE",B1825)),
ISNUMBER(SEARCH("TECLADO",B1825))
),
"COMPLEMENTO",
IF(
OR(
LEFT(A1825,2)="NB",
LEFT(A1825,2)="PC",
LEFT(A1825,2)="WS",
LEFT(A1825,2)="TB",
LEFT(A1825,3)="CEL",
LEFT(A1825,3)="MON",
LEFT(A1825,3)="PRE",
LEFT(A1825,3)="PRH",
ISNUMBER(SEARCH("NOTEBOOK",B1825)),
ISNUMBER(SEARCH("LAPTOP",B1825)),
ISNUMBER(SEARCH("MONITOR",B1825)),
ISNUMBER(SEARCH("TABLET",B1825)),
ISNUMBER(SEARCH("SMARTPH",B1825)),
ISNUMBER(SEARCH("IMPRESORA",B1825)),
ISNUMBER(SEARCH("MULTIFUNCIONAL",B1825)),
ISNUMBER(SEARCH("AIO",B1825))
),
"GANCHO",
"NORMAL"
)
)</f>
        <v>NORMAL</v>
      </c>
    </row>
    <row r="1824" spans="1:12" x14ac:dyDescent="0.25">
      <c r="A1824" s="3" t="s">
        <v>5132</v>
      </c>
      <c r="B1824" s="3" t="s">
        <v>5133</v>
      </c>
      <c r="C1824" s="1">
        <v>2</v>
      </c>
      <c r="D1824" s="1">
        <v>626</v>
      </c>
      <c r="E1824" s="1" t="s">
        <v>121</v>
      </c>
      <c r="F1824" s="1" t="s">
        <v>5134</v>
      </c>
      <c r="G1824" s="3" t="s">
        <v>5135</v>
      </c>
      <c r="H1824" s="11">
        <f>ROUND(
IF(L1822="GANCHO",
   IF(I1824&lt;=50,I1824*1.1+4,IF(I1824&lt;=120,I1824*1.1+7,IF(I1824&lt;=250,I1824*1.1+11,I1824*1.1+19))),
IF(L1822="NORMAL",
   IF(I1824&lt;=30,I1824*1.15+2,IF(I1824&lt;=80,I1824*1.15+4,IF(I1824&lt;=150,I1824*1.15+6,I1824*1.15+8))),
IF(L1822="COMPLEMENTO",
   IF(I1824&lt;=25,I1824*1.25+1.5,IF(I1824&lt;=60,I1824*1.25+3,IF(I1824&lt;=120,I1824*1.25+4,I1824*1.25+5))),
""))),2)</f>
        <v>2964.2</v>
      </c>
      <c r="I1824" s="9">
        <f>($K$2+0.02)*Tabla1[[#This Row],[PRECIO $]]*1.18</f>
        <v>2570.6063999999997</v>
      </c>
      <c r="J1824" s="7">
        <f>+Tabla1[[#This Row],[PRECIO EN SOLES]]-Tabla1[[#This Row],[PC]]</f>
        <v>393.59360000000015</v>
      </c>
      <c r="K1824" s="15"/>
      <c r="L1824" s="15" t="str">
        <f>IF(
OR(
ISNUMBER(SEARCH("BACKPACK",B1826)),
ISNUMBER(SEARCH("MOCHILA",B1826)),
ISNUMBER(SEARCH("FUNDA",B1826)),
ISNUMBER(SEARCH("ESTUCHE",B1826)),
ISNUMBER(SEARCH("BOOK COVER",B1826)),
ISNUMBER(SEARCH("KEYBOARD PARA TABLET",B1826)),
ISNUMBER(SEARCH("FLIP TABLET",B1826)),
ISNUMBER(SEARCH("CASE FOR TABLET",B1826)),
ISNUMBER(SEARCH("CABLE",B1826)),
ISNUMBER(SEARCH("ADAPTADOR",B1826)),
ISNUMBER(SEARCH("HUB",B1826)),
ISNUMBER(SEARCH("DOCK",B1826)),
ISNUMBER(SEARCH("MOUSE PAD",B1826)),
ISNUMBER(SEARCH("MOUSEPAD",B1826)),
ISNUMBER(SEARCH("SOPORTE",B1826)),
ISNUMBER(SEARCH("STAND",B1826)),
ISNUMBER(SEARCH("TRAVEL ADAPTER",B1826)),
ISNUMBER(SEARCH("RJ45",B1826)),
ISNUMBER(SEARCH("USB-C",B1826)),
ISNUMBER(SEARCH("USB WIFI",B1826)),
ISNUMBER(SEARCH("POWERBANK",B1826)),
ISNUMBER(SEARCH("CARGADOR",B1826)),
ISNUMBER(SEARCH("COOLER PARA NB",B1826)),
ISNUMBER(SEARCH("SOPORTE PARA NB",B1826)),
ISNUMBER(SEARCH("WEBCAM",B1826)),
ISNUMBER(SEARCH("WEB CAM",B1826)),
ISNUMBER(SEARCH("MOUSE",B1826)),
ISNUMBER(SEARCH("TECLADO",B1826))
),
"COMPLEMENTO",
IF(
OR(
LEFT(A1826,2)="NB",
LEFT(A1826,2)="PC",
LEFT(A1826,2)="WS",
LEFT(A1826,2)="TB",
LEFT(A1826,3)="CEL",
LEFT(A1826,3)="MON",
LEFT(A1826,3)="PRE",
LEFT(A1826,3)="PRH",
ISNUMBER(SEARCH("NOTEBOOK",B1826)),
ISNUMBER(SEARCH("LAPTOP",B1826)),
ISNUMBER(SEARCH("MONITOR",B1826)),
ISNUMBER(SEARCH("TABLET",B1826)),
ISNUMBER(SEARCH("SMARTPH",B1826)),
ISNUMBER(SEARCH("IMPRESORA",B1826)),
ISNUMBER(SEARCH("MULTIFUNCIONAL",B1826)),
ISNUMBER(SEARCH("AIO",B1826))
),
"GANCHO",
"NORMAL"
)
)</f>
        <v>NORMAL</v>
      </c>
    </row>
    <row r="1825" spans="1:12" x14ac:dyDescent="0.25">
      <c r="A1825" s="3" t="s">
        <v>5608</v>
      </c>
      <c r="B1825" s="3" t="s">
        <v>5609</v>
      </c>
      <c r="C1825" s="1">
        <v>4</v>
      </c>
      <c r="D1825" s="1">
        <v>444</v>
      </c>
      <c r="E1825" s="1" t="s">
        <v>121</v>
      </c>
      <c r="F1825" s="1" t="s">
        <v>5610</v>
      </c>
      <c r="G1825" s="3" t="s">
        <v>5611</v>
      </c>
      <c r="H1825" s="11">
        <f>ROUND(
IF(L1823="GANCHO",
   IF(I1825&lt;=50,I1825*1.1+4,IF(I1825&lt;=120,I1825*1.1+7,IF(I1825&lt;=250,I1825*1.1+11,I1825*1.1+19))),
IF(L1823="NORMAL",
   IF(I1825&lt;=30,I1825*1.15+2,IF(I1825&lt;=80,I1825*1.15+4,IF(I1825&lt;=150,I1825*1.15+6,I1825*1.15+8))),
IF(L1823="COMPLEMENTO",
   IF(I1825&lt;=25,I1825*1.25+1.5,IF(I1825&lt;=60,I1825*1.25+3,IF(I1825&lt;=120,I1825*1.25+4,I1825*1.25+5))),
""))),2)</f>
        <v>2104.73</v>
      </c>
      <c r="I1825" s="9">
        <f>($K$2+0.02)*Tabla1[[#This Row],[PRECIO $]]*1.18</f>
        <v>1823.2415999999998</v>
      </c>
      <c r="J1825" s="7">
        <f>+Tabla1[[#This Row],[PRECIO EN SOLES]]-Tabla1[[#This Row],[PC]]</f>
        <v>281.48840000000018</v>
      </c>
      <c r="K1825" s="15"/>
      <c r="L1825" s="15" t="str">
        <f>IF(
OR(
ISNUMBER(SEARCH("BACKPACK",B1827)),
ISNUMBER(SEARCH("MOCHILA",B1827)),
ISNUMBER(SEARCH("FUNDA",B1827)),
ISNUMBER(SEARCH("ESTUCHE",B1827)),
ISNUMBER(SEARCH("BOOK COVER",B1827)),
ISNUMBER(SEARCH("KEYBOARD PARA TABLET",B1827)),
ISNUMBER(SEARCH("FLIP TABLET",B1827)),
ISNUMBER(SEARCH("CASE FOR TABLET",B1827)),
ISNUMBER(SEARCH("CABLE",B1827)),
ISNUMBER(SEARCH("ADAPTADOR",B1827)),
ISNUMBER(SEARCH("HUB",B1827)),
ISNUMBER(SEARCH("DOCK",B1827)),
ISNUMBER(SEARCH("MOUSE PAD",B1827)),
ISNUMBER(SEARCH("MOUSEPAD",B1827)),
ISNUMBER(SEARCH("SOPORTE",B1827)),
ISNUMBER(SEARCH("STAND",B1827)),
ISNUMBER(SEARCH("TRAVEL ADAPTER",B1827)),
ISNUMBER(SEARCH("RJ45",B1827)),
ISNUMBER(SEARCH("USB-C",B1827)),
ISNUMBER(SEARCH("USB WIFI",B1827)),
ISNUMBER(SEARCH("POWERBANK",B1827)),
ISNUMBER(SEARCH("CARGADOR",B1827)),
ISNUMBER(SEARCH("COOLER PARA NB",B1827)),
ISNUMBER(SEARCH("SOPORTE PARA NB",B1827)),
ISNUMBER(SEARCH("WEBCAM",B1827)),
ISNUMBER(SEARCH("WEB CAM",B1827)),
ISNUMBER(SEARCH("MOUSE",B1827)),
ISNUMBER(SEARCH("TECLADO",B1827))
),
"COMPLEMENTO",
IF(
OR(
LEFT(A1827,2)="NB",
LEFT(A1827,2)="PC",
LEFT(A1827,2)="WS",
LEFT(A1827,2)="TB",
LEFT(A1827,3)="CEL",
LEFT(A1827,3)="MON",
LEFT(A1827,3)="PRE",
LEFT(A1827,3)="PRH",
ISNUMBER(SEARCH("NOTEBOOK",B1827)),
ISNUMBER(SEARCH("LAPTOP",B1827)),
ISNUMBER(SEARCH("MONITOR",B1827)),
ISNUMBER(SEARCH("TABLET",B1827)),
ISNUMBER(SEARCH("SMARTPH",B1827)),
ISNUMBER(SEARCH("IMPRESORA",B1827)),
ISNUMBER(SEARCH("MULTIFUNCIONAL",B1827)),
ISNUMBER(SEARCH("AIO",B1827))
),
"GANCHO",
"NORMAL"
)
)</f>
        <v>NORMAL</v>
      </c>
    </row>
    <row r="1826" spans="1:12" x14ac:dyDescent="0.25">
      <c r="A1826" s="3" t="s">
        <v>6227</v>
      </c>
      <c r="B1826" s="3" t="s">
        <v>6228</v>
      </c>
      <c r="C1826" s="1">
        <v>20</v>
      </c>
      <c r="D1826" s="1">
        <v>353.5</v>
      </c>
      <c r="E1826" s="1" t="s">
        <v>6229</v>
      </c>
      <c r="F1826" s="1" t="s">
        <v>6230</v>
      </c>
      <c r="G1826" s="3" t="s">
        <v>6231</v>
      </c>
      <c r="H1826" s="11">
        <f>ROUND(
IF(L1824="GANCHO",
   IF(I1826&lt;=50,I1826*1.1+4,IF(I1826&lt;=120,I1826*1.1+7,IF(I1826&lt;=250,I1826*1.1+11,I1826*1.1+19))),
IF(L1824="NORMAL",
   IF(I1826&lt;=30,I1826*1.15+2,IF(I1826&lt;=80,I1826*1.15+4,IF(I1826&lt;=150,I1826*1.15+6,I1826*1.15+8))),
IF(L1824="COMPLEMENTO",
   IF(I1826&lt;=25,I1826*1.25+1.5,IF(I1826&lt;=60,I1826*1.25+3,IF(I1826&lt;=120,I1826*1.25+4,I1826*1.25+5))),
""))),2)</f>
        <v>1677.35</v>
      </c>
      <c r="I1826" s="9">
        <f>($K$2+0.02)*Tabla1[[#This Row],[PRECIO $]]*1.18</f>
        <v>1451.6124</v>
      </c>
      <c r="J1826" s="7">
        <f>+Tabla1[[#This Row],[PRECIO EN SOLES]]-Tabla1[[#This Row],[PC]]</f>
        <v>225.73759999999993</v>
      </c>
      <c r="K1826" s="15"/>
      <c r="L1826" s="15" t="str">
        <f>IF(
OR(
ISNUMBER(SEARCH("BACKPACK",B1828)),
ISNUMBER(SEARCH("MOCHILA",B1828)),
ISNUMBER(SEARCH("FUNDA",B1828)),
ISNUMBER(SEARCH("ESTUCHE",B1828)),
ISNUMBER(SEARCH("BOOK COVER",B1828)),
ISNUMBER(SEARCH("KEYBOARD PARA TABLET",B1828)),
ISNUMBER(SEARCH("FLIP TABLET",B1828)),
ISNUMBER(SEARCH("CASE FOR TABLET",B1828)),
ISNUMBER(SEARCH("CABLE",B1828)),
ISNUMBER(SEARCH("ADAPTADOR",B1828)),
ISNUMBER(SEARCH("HUB",B1828)),
ISNUMBER(SEARCH("DOCK",B1828)),
ISNUMBER(SEARCH("MOUSE PAD",B1828)),
ISNUMBER(SEARCH("MOUSEPAD",B1828)),
ISNUMBER(SEARCH("SOPORTE",B1828)),
ISNUMBER(SEARCH("STAND",B1828)),
ISNUMBER(SEARCH("TRAVEL ADAPTER",B1828)),
ISNUMBER(SEARCH("RJ45",B1828)),
ISNUMBER(SEARCH("USB-C",B1828)),
ISNUMBER(SEARCH("USB WIFI",B1828)),
ISNUMBER(SEARCH("POWERBANK",B1828)),
ISNUMBER(SEARCH("CARGADOR",B1828)),
ISNUMBER(SEARCH("COOLER PARA NB",B1828)),
ISNUMBER(SEARCH("SOPORTE PARA NB",B1828)),
ISNUMBER(SEARCH("WEBCAM",B1828)),
ISNUMBER(SEARCH("WEB CAM",B1828)),
ISNUMBER(SEARCH("MOUSE",B1828)),
ISNUMBER(SEARCH("TECLADO",B1828))
),
"COMPLEMENTO",
IF(
OR(
LEFT(A1828,2)="NB",
LEFT(A1828,2)="PC",
LEFT(A1828,2)="WS",
LEFT(A1828,2)="TB",
LEFT(A1828,3)="CEL",
LEFT(A1828,3)="MON",
LEFT(A1828,3)="PRE",
LEFT(A1828,3)="PRH",
ISNUMBER(SEARCH("NOTEBOOK",B1828)),
ISNUMBER(SEARCH("LAPTOP",B1828)),
ISNUMBER(SEARCH("MONITOR",B1828)),
ISNUMBER(SEARCH("TABLET",B1828)),
ISNUMBER(SEARCH("SMARTPH",B1828)),
ISNUMBER(SEARCH("IMPRESORA",B1828)),
ISNUMBER(SEARCH("MULTIFUNCIONAL",B1828)),
ISNUMBER(SEARCH("AIO",B1828))
),
"GANCHO",
"NORMAL"
)
)</f>
        <v>NORMAL</v>
      </c>
    </row>
    <row r="1827" spans="1:12" x14ac:dyDescent="0.25">
      <c r="A1827" s="3" t="s">
        <v>6232</v>
      </c>
      <c r="B1827" s="3" t="s">
        <v>6233</v>
      </c>
      <c r="C1827" s="1">
        <v>20</v>
      </c>
      <c r="D1827" s="1">
        <v>470.85</v>
      </c>
      <c r="E1827" s="1" t="s">
        <v>6229</v>
      </c>
      <c r="F1827" s="1" t="s">
        <v>6234</v>
      </c>
      <c r="G1827" s="3" t="s">
        <v>6380</v>
      </c>
      <c r="H1827" s="11">
        <f>ROUND(
IF(L1825="GANCHO",
   IF(I1827&lt;=50,I1827*1.1+4,IF(I1827&lt;=120,I1827*1.1+7,IF(I1827&lt;=250,I1827*1.1+11,I1827*1.1+19))),
IF(L1825="NORMAL",
   IF(I1827&lt;=30,I1827*1.15+2,IF(I1827&lt;=80,I1827*1.15+4,IF(I1827&lt;=150,I1827*1.15+6,I1827*1.15+8))),
IF(L1825="COMPLEMENTO",
   IF(I1827&lt;=25,I1827*1.25+1.5,IF(I1827&lt;=60,I1827*1.25+3,IF(I1827&lt;=120,I1827*1.25+4,I1827*1.25+5))),
""))),2)</f>
        <v>2231.52</v>
      </c>
      <c r="I1827" s="9">
        <f>($K$2+0.02)*Tabla1[[#This Row],[PRECIO $]]*1.18</f>
        <v>1933.4984399999998</v>
      </c>
      <c r="J1827" s="7">
        <f>+Tabla1[[#This Row],[PRECIO EN SOLES]]-Tabla1[[#This Row],[PC]]</f>
        <v>298.02156000000014</v>
      </c>
      <c r="K1827" s="15"/>
      <c r="L1827" s="15" t="str">
        <f>IF(
OR(
ISNUMBER(SEARCH("BACKPACK",B1829)),
ISNUMBER(SEARCH("MOCHILA",B1829)),
ISNUMBER(SEARCH("FUNDA",B1829)),
ISNUMBER(SEARCH("ESTUCHE",B1829)),
ISNUMBER(SEARCH("BOOK COVER",B1829)),
ISNUMBER(SEARCH("KEYBOARD PARA TABLET",B1829)),
ISNUMBER(SEARCH("FLIP TABLET",B1829)),
ISNUMBER(SEARCH("CASE FOR TABLET",B1829)),
ISNUMBER(SEARCH("CABLE",B1829)),
ISNUMBER(SEARCH("ADAPTADOR",B1829)),
ISNUMBER(SEARCH("HUB",B1829)),
ISNUMBER(SEARCH("DOCK",B1829)),
ISNUMBER(SEARCH("MOUSE PAD",B1829)),
ISNUMBER(SEARCH("MOUSEPAD",B1829)),
ISNUMBER(SEARCH("SOPORTE",B1829)),
ISNUMBER(SEARCH("STAND",B1829)),
ISNUMBER(SEARCH("TRAVEL ADAPTER",B1829)),
ISNUMBER(SEARCH("RJ45",B1829)),
ISNUMBER(SEARCH("USB-C",B1829)),
ISNUMBER(SEARCH("USB WIFI",B1829)),
ISNUMBER(SEARCH("POWERBANK",B1829)),
ISNUMBER(SEARCH("CARGADOR",B1829)),
ISNUMBER(SEARCH("COOLER PARA NB",B1829)),
ISNUMBER(SEARCH("SOPORTE PARA NB",B1829)),
ISNUMBER(SEARCH("WEBCAM",B1829)),
ISNUMBER(SEARCH("WEB CAM",B1829)),
ISNUMBER(SEARCH("MOUSE",B1829)),
ISNUMBER(SEARCH("TECLADO",B1829))
),
"COMPLEMENTO",
IF(
OR(
LEFT(A1829,2)="NB",
LEFT(A1829,2)="PC",
LEFT(A1829,2)="WS",
LEFT(A1829,2)="TB",
LEFT(A1829,3)="CEL",
LEFT(A1829,3)="MON",
LEFT(A1829,3)="PRE",
LEFT(A1829,3)="PRH",
ISNUMBER(SEARCH("NOTEBOOK",B1829)),
ISNUMBER(SEARCH("LAPTOP",B1829)),
ISNUMBER(SEARCH("MONITOR",B1829)),
ISNUMBER(SEARCH("TABLET",B1829)),
ISNUMBER(SEARCH("SMARTPH",B1829)),
ISNUMBER(SEARCH("IMPRESORA",B1829)),
ISNUMBER(SEARCH("MULTIFUNCIONAL",B1829)),
ISNUMBER(SEARCH("AIO",B1829))
),
"GANCHO",
"NORMAL"
)
)</f>
        <v>NORMAL</v>
      </c>
    </row>
    <row r="1828" spans="1:12" x14ac:dyDescent="0.25">
      <c r="A1828" s="3" t="s">
        <v>5612</v>
      </c>
      <c r="B1828" s="3" t="s">
        <v>5613</v>
      </c>
      <c r="C1828" s="1">
        <v>20</v>
      </c>
      <c r="D1828" s="1">
        <v>439</v>
      </c>
      <c r="E1828" s="1" t="s">
        <v>226</v>
      </c>
      <c r="F1828" s="1" t="s">
        <v>5614</v>
      </c>
      <c r="G1828" s="3" t="s">
        <v>5615</v>
      </c>
      <c r="H1828" s="11">
        <f>ROUND(
IF(L1826="GANCHO",
   IF(I1828&lt;=50,I1828*1.1+4,IF(I1828&lt;=120,I1828*1.1+7,IF(I1828&lt;=250,I1828*1.1+11,I1828*1.1+19))),
IF(L1826="NORMAL",
   IF(I1828&lt;=30,I1828*1.15+2,IF(I1828&lt;=80,I1828*1.15+4,IF(I1828&lt;=150,I1828*1.15+6,I1828*1.15+8))),
IF(L1826="COMPLEMENTO",
   IF(I1828&lt;=25,I1828*1.25+1.5,IF(I1828&lt;=60,I1828*1.25+3,IF(I1828&lt;=120,I1828*1.25+4,I1828*1.25+5))),
""))),2)</f>
        <v>2081.12</v>
      </c>
      <c r="I1828" s="9">
        <f>($K$2+0.02)*Tabla1[[#This Row],[PRECIO $]]*1.18</f>
        <v>1802.7095999999999</v>
      </c>
      <c r="J1828" s="7">
        <f>+Tabla1[[#This Row],[PRECIO EN SOLES]]-Tabla1[[#This Row],[PC]]</f>
        <v>278.41039999999998</v>
      </c>
      <c r="K1828" s="15"/>
      <c r="L1828" s="15" t="str">
        <f>IF(
OR(
ISNUMBER(SEARCH("BACKPACK",B1830)),
ISNUMBER(SEARCH("MOCHILA",B1830)),
ISNUMBER(SEARCH("FUNDA",B1830)),
ISNUMBER(SEARCH("ESTUCHE",B1830)),
ISNUMBER(SEARCH("BOOK COVER",B1830)),
ISNUMBER(SEARCH("KEYBOARD PARA TABLET",B1830)),
ISNUMBER(SEARCH("FLIP TABLET",B1830)),
ISNUMBER(SEARCH("CASE FOR TABLET",B1830)),
ISNUMBER(SEARCH("CABLE",B1830)),
ISNUMBER(SEARCH("ADAPTADOR",B1830)),
ISNUMBER(SEARCH("HUB",B1830)),
ISNUMBER(SEARCH("DOCK",B1830)),
ISNUMBER(SEARCH("MOUSE PAD",B1830)),
ISNUMBER(SEARCH("MOUSEPAD",B1830)),
ISNUMBER(SEARCH("SOPORTE",B1830)),
ISNUMBER(SEARCH("STAND",B1830)),
ISNUMBER(SEARCH("TRAVEL ADAPTER",B1830)),
ISNUMBER(SEARCH("RJ45",B1830)),
ISNUMBER(SEARCH("USB-C",B1830)),
ISNUMBER(SEARCH("USB WIFI",B1830)),
ISNUMBER(SEARCH("POWERBANK",B1830)),
ISNUMBER(SEARCH("CARGADOR",B1830)),
ISNUMBER(SEARCH("COOLER PARA NB",B1830)),
ISNUMBER(SEARCH("SOPORTE PARA NB",B1830)),
ISNUMBER(SEARCH("WEBCAM",B1830)),
ISNUMBER(SEARCH("WEB CAM",B1830)),
ISNUMBER(SEARCH("MOUSE",B1830)),
ISNUMBER(SEARCH("TECLADO",B1830))
),
"COMPLEMENTO",
IF(
OR(
LEFT(A1830,2)="NB",
LEFT(A1830,2)="PC",
LEFT(A1830,2)="WS",
LEFT(A1830,2)="TB",
LEFT(A1830,3)="CEL",
LEFT(A1830,3)="MON",
LEFT(A1830,3)="PRE",
LEFT(A1830,3)="PRH",
ISNUMBER(SEARCH("NOTEBOOK",B1830)),
ISNUMBER(SEARCH("LAPTOP",B1830)),
ISNUMBER(SEARCH("MONITOR",B1830)),
ISNUMBER(SEARCH("TABLET",B1830)),
ISNUMBER(SEARCH("SMARTPH",B1830)),
ISNUMBER(SEARCH("IMPRESORA",B1830)),
ISNUMBER(SEARCH("MULTIFUNCIONAL",B1830)),
ISNUMBER(SEARCH("AIO",B1830))
),
"GANCHO",
"NORMAL"
)
)</f>
        <v>NORMAL</v>
      </c>
    </row>
    <row r="1829" spans="1:12" x14ac:dyDescent="0.25">
      <c r="A1829" s="3" t="s">
        <v>2728</v>
      </c>
      <c r="B1829" s="3" t="s">
        <v>2729</v>
      </c>
      <c r="C1829" s="1">
        <v>20</v>
      </c>
      <c r="D1829" s="1">
        <v>475</v>
      </c>
      <c r="E1829" s="1" t="s">
        <v>906</v>
      </c>
      <c r="F1829" s="1" t="s">
        <v>4168</v>
      </c>
      <c r="G1829" s="3" t="s">
        <v>2730</v>
      </c>
      <c r="H1829" s="11">
        <f>ROUND(
IF(L1827="GANCHO",
   IF(I1829&lt;=50,I1829*1.1+4,IF(I1829&lt;=120,I1829*1.1+7,IF(I1829&lt;=250,I1829*1.1+11,I1829*1.1+19))),
IF(L1827="NORMAL",
   IF(I1829&lt;=30,I1829*1.15+2,IF(I1829&lt;=80,I1829*1.15+4,IF(I1829&lt;=150,I1829*1.15+6,I1829*1.15+8))),
IF(L1827="COMPLEMENTO",
   IF(I1829&lt;=25,I1829*1.25+1.5,IF(I1829&lt;=60,I1829*1.25+3,IF(I1829&lt;=120,I1829*1.25+4,I1829*1.25+5))),
""))),2)</f>
        <v>2251.12</v>
      </c>
      <c r="I1829" s="9">
        <f>($K$2+0.02)*Tabla1[[#This Row],[PRECIO $]]*1.18</f>
        <v>1950.54</v>
      </c>
      <c r="J1829" s="7">
        <f>+Tabla1[[#This Row],[PRECIO EN SOLES]]-Tabla1[[#This Row],[PC]]</f>
        <v>300.57999999999993</v>
      </c>
      <c r="K1829" s="15"/>
      <c r="L1829" s="15" t="str">
        <f>IF(
OR(
ISNUMBER(SEARCH("BACKPACK",B1831)),
ISNUMBER(SEARCH("MOCHILA",B1831)),
ISNUMBER(SEARCH("FUNDA",B1831)),
ISNUMBER(SEARCH("ESTUCHE",B1831)),
ISNUMBER(SEARCH("BOOK COVER",B1831)),
ISNUMBER(SEARCH("KEYBOARD PARA TABLET",B1831)),
ISNUMBER(SEARCH("FLIP TABLET",B1831)),
ISNUMBER(SEARCH("CASE FOR TABLET",B1831)),
ISNUMBER(SEARCH("CABLE",B1831)),
ISNUMBER(SEARCH("ADAPTADOR",B1831)),
ISNUMBER(SEARCH("HUB",B1831)),
ISNUMBER(SEARCH("DOCK",B1831)),
ISNUMBER(SEARCH("MOUSE PAD",B1831)),
ISNUMBER(SEARCH("MOUSEPAD",B1831)),
ISNUMBER(SEARCH("SOPORTE",B1831)),
ISNUMBER(SEARCH("STAND",B1831)),
ISNUMBER(SEARCH("TRAVEL ADAPTER",B1831)),
ISNUMBER(SEARCH("RJ45",B1831)),
ISNUMBER(SEARCH("USB-C",B1831)),
ISNUMBER(SEARCH("USB WIFI",B1831)),
ISNUMBER(SEARCH("POWERBANK",B1831)),
ISNUMBER(SEARCH("CARGADOR",B1831)),
ISNUMBER(SEARCH("COOLER PARA NB",B1831)),
ISNUMBER(SEARCH("SOPORTE PARA NB",B1831)),
ISNUMBER(SEARCH("WEBCAM",B1831)),
ISNUMBER(SEARCH("WEB CAM",B1831)),
ISNUMBER(SEARCH("MOUSE",B1831)),
ISNUMBER(SEARCH("TECLADO",B1831))
),
"COMPLEMENTO",
IF(
OR(
LEFT(A1831,2)="NB",
LEFT(A1831,2)="PC",
LEFT(A1831,2)="WS",
LEFT(A1831,2)="TB",
LEFT(A1831,3)="CEL",
LEFT(A1831,3)="MON",
LEFT(A1831,3)="PRE",
LEFT(A1831,3)="PRH",
ISNUMBER(SEARCH("NOTEBOOK",B1831)),
ISNUMBER(SEARCH("LAPTOP",B1831)),
ISNUMBER(SEARCH("MONITOR",B1831)),
ISNUMBER(SEARCH("TABLET",B1831)),
ISNUMBER(SEARCH("SMARTPH",B1831)),
ISNUMBER(SEARCH("IMPRESORA",B1831)),
ISNUMBER(SEARCH("MULTIFUNCIONAL",B1831)),
ISNUMBER(SEARCH("AIO",B1831))
),
"GANCHO",
"NORMAL"
)
)</f>
        <v>NORMAL</v>
      </c>
    </row>
    <row r="1830" spans="1:12" x14ac:dyDescent="0.25">
      <c r="A1830" s="3" t="s">
        <v>2731</v>
      </c>
      <c r="B1830" s="3" t="s">
        <v>2732</v>
      </c>
      <c r="C1830" s="1">
        <v>20</v>
      </c>
      <c r="D1830" s="1">
        <v>499</v>
      </c>
      <c r="E1830" s="1" t="s">
        <v>906</v>
      </c>
      <c r="F1830" s="1" t="s">
        <v>4169</v>
      </c>
      <c r="G1830" s="3" t="s">
        <v>2733</v>
      </c>
      <c r="H1830" s="11">
        <f>ROUND(
IF(L1828="GANCHO",
   IF(I1830&lt;=50,I1830*1.1+4,IF(I1830&lt;=120,I1830*1.1+7,IF(I1830&lt;=250,I1830*1.1+11,I1830*1.1+19))),
IF(L1828="NORMAL",
   IF(I1830&lt;=30,I1830*1.15+2,IF(I1830&lt;=80,I1830*1.15+4,IF(I1830&lt;=150,I1830*1.15+6,I1830*1.15+8))),
IF(L1828="COMPLEMENTO",
   IF(I1830&lt;=25,I1830*1.25+1.5,IF(I1830&lt;=60,I1830*1.25+3,IF(I1830&lt;=120,I1830*1.25+4,I1830*1.25+5))),
""))),2)</f>
        <v>2364.46</v>
      </c>
      <c r="I1830" s="9">
        <f>($K$2+0.02)*Tabla1[[#This Row],[PRECIO $]]*1.18</f>
        <v>2049.0935999999997</v>
      </c>
      <c r="J1830" s="7">
        <f>+Tabla1[[#This Row],[PRECIO EN SOLES]]-Tabla1[[#This Row],[PC]]</f>
        <v>315.36640000000034</v>
      </c>
      <c r="K1830" s="15"/>
      <c r="L1830" s="15" t="str">
        <f>IF(
OR(
ISNUMBER(SEARCH("BACKPACK",B1832)),
ISNUMBER(SEARCH("MOCHILA",B1832)),
ISNUMBER(SEARCH("FUNDA",B1832)),
ISNUMBER(SEARCH("ESTUCHE",B1832)),
ISNUMBER(SEARCH("BOOK COVER",B1832)),
ISNUMBER(SEARCH("KEYBOARD PARA TABLET",B1832)),
ISNUMBER(SEARCH("FLIP TABLET",B1832)),
ISNUMBER(SEARCH("CASE FOR TABLET",B1832)),
ISNUMBER(SEARCH("CABLE",B1832)),
ISNUMBER(SEARCH("ADAPTADOR",B1832)),
ISNUMBER(SEARCH("HUB",B1832)),
ISNUMBER(SEARCH("DOCK",B1832)),
ISNUMBER(SEARCH("MOUSE PAD",B1832)),
ISNUMBER(SEARCH("MOUSEPAD",B1832)),
ISNUMBER(SEARCH("SOPORTE",B1832)),
ISNUMBER(SEARCH("STAND",B1832)),
ISNUMBER(SEARCH("TRAVEL ADAPTER",B1832)),
ISNUMBER(SEARCH("RJ45",B1832)),
ISNUMBER(SEARCH("USB-C",B1832)),
ISNUMBER(SEARCH("USB WIFI",B1832)),
ISNUMBER(SEARCH("POWERBANK",B1832)),
ISNUMBER(SEARCH("CARGADOR",B1832)),
ISNUMBER(SEARCH("COOLER PARA NB",B1832)),
ISNUMBER(SEARCH("SOPORTE PARA NB",B1832)),
ISNUMBER(SEARCH("WEBCAM",B1832)),
ISNUMBER(SEARCH("WEB CAM",B1832)),
ISNUMBER(SEARCH("MOUSE",B1832)),
ISNUMBER(SEARCH("TECLADO",B1832))
),
"COMPLEMENTO",
IF(
OR(
LEFT(A1832,2)="NB",
LEFT(A1832,2)="PC",
LEFT(A1832,2)="WS",
LEFT(A1832,2)="TB",
LEFT(A1832,3)="CEL",
LEFT(A1832,3)="MON",
LEFT(A1832,3)="PRE",
LEFT(A1832,3)="PRH",
ISNUMBER(SEARCH("NOTEBOOK",B1832)),
ISNUMBER(SEARCH("LAPTOP",B1832)),
ISNUMBER(SEARCH("MONITOR",B1832)),
ISNUMBER(SEARCH("TABLET",B1832)),
ISNUMBER(SEARCH("SMARTPH",B1832)),
ISNUMBER(SEARCH("IMPRESORA",B1832)),
ISNUMBER(SEARCH("MULTIFUNCIONAL",B1832)),
ISNUMBER(SEARCH("AIO",B1832))
),
"GANCHO",
"NORMAL"
)
)</f>
        <v>NORMAL</v>
      </c>
    </row>
    <row r="1831" spans="1:12" x14ac:dyDescent="0.25">
      <c r="A1831" s="3" t="s">
        <v>6235</v>
      </c>
      <c r="B1831" s="3" t="s">
        <v>6236</v>
      </c>
      <c r="C1831" s="1">
        <v>9</v>
      </c>
      <c r="D1831" s="1">
        <v>689</v>
      </c>
      <c r="E1831" s="1" t="s">
        <v>906</v>
      </c>
      <c r="F1831" s="1" t="s">
        <v>6237</v>
      </c>
      <c r="G1831" s="3" t="s">
        <v>6238</v>
      </c>
      <c r="H1831" s="11">
        <f>ROUND(
IF(L1829="GANCHO",
   IF(I1831&lt;=50,I1831*1.1+4,IF(I1831&lt;=120,I1831*1.1+7,IF(I1831&lt;=250,I1831*1.1+11,I1831*1.1+19))),
IF(L1829="NORMAL",
   IF(I1831&lt;=30,I1831*1.15+2,IF(I1831&lt;=80,I1831*1.15+4,IF(I1831&lt;=150,I1831*1.15+6,I1831*1.15+8))),
IF(L1829="COMPLEMENTO",
   IF(I1831&lt;=25,I1831*1.25+1.5,IF(I1831&lt;=60,I1831*1.25+3,IF(I1831&lt;=120,I1831*1.25+4,I1831*1.25+5))),
""))),2)</f>
        <v>3261.71</v>
      </c>
      <c r="I1831" s="9">
        <f>($K$2+0.02)*Tabla1[[#This Row],[PRECIO $]]*1.18</f>
        <v>2829.3095999999996</v>
      </c>
      <c r="J1831" s="7">
        <f>+Tabla1[[#This Row],[PRECIO EN SOLES]]-Tabla1[[#This Row],[PC]]</f>
        <v>432.40040000000045</v>
      </c>
      <c r="K1831" s="15"/>
      <c r="L1831" s="15" t="str">
        <f>IF(
OR(
ISNUMBER(SEARCH("BACKPACK",B1833)),
ISNUMBER(SEARCH("MOCHILA",B1833)),
ISNUMBER(SEARCH("FUNDA",B1833)),
ISNUMBER(SEARCH("ESTUCHE",B1833)),
ISNUMBER(SEARCH("BOOK COVER",B1833)),
ISNUMBER(SEARCH("KEYBOARD PARA TABLET",B1833)),
ISNUMBER(SEARCH("FLIP TABLET",B1833)),
ISNUMBER(SEARCH("CASE FOR TABLET",B1833)),
ISNUMBER(SEARCH("CABLE",B1833)),
ISNUMBER(SEARCH("ADAPTADOR",B1833)),
ISNUMBER(SEARCH("HUB",B1833)),
ISNUMBER(SEARCH("DOCK",B1833)),
ISNUMBER(SEARCH("MOUSE PAD",B1833)),
ISNUMBER(SEARCH("MOUSEPAD",B1833)),
ISNUMBER(SEARCH("SOPORTE",B1833)),
ISNUMBER(SEARCH("STAND",B1833)),
ISNUMBER(SEARCH("TRAVEL ADAPTER",B1833)),
ISNUMBER(SEARCH("RJ45",B1833)),
ISNUMBER(SEARCH("USB-C",B1833)),
ISNUMBER(SEARCH("USB WIFI",B1833)),
ISNUMBER(SEARCH("POWERBANK",B1833)),
ISNUMBER(SEARCH("CARGADOR",B1833)),
ISNUMBER(SEARCH("COOLER PARA NB",B1833)),
ISNUMBER(SEARCH("SOPORTE PARA NB",B1833)),
ISNUMBER(SEARCH("WEBCAM",B1833)),
ISNUMBER(SEARCH("WEB CAM",B1833)),
ISNUMBER(SEARCH("MOUSE",B1833)),
ISNUMBER(SEARCH("TECLADO",B1833))
),
"COMPLEMENTO",
IF(
OR(
LEFT(A1833,2)="NB",
LEFT(A1833,2)="PC",
LEFT(A1833,2)="WS",
LEFT(A1833,2)="TB",
LEFT(A1833,3)="CEL",
LEFT(A1833,3)="MON",
LEFT(A1833,3)="PRE",
LEFT(A1833,3)="PRH",
ISNUMBER(SEARCH("NOTEBOOK",B1833)),
ISNUMBER(SEARCH("LAPTOP",B1833)),
ISNUMBER(SEARCH("MONITOR",B1833)),
ISNUMBER(SEARCH("TABLET",B1833)),
ISNUMBER(SEARCH("SMARTPH",B1833)),
ISNUMBER(SEARCH("IMPRESORA",B1833)),
ISNUMBER(SEARCH("MULTIFUNCIONAL",B1833)),
ISNUMBER(SEARCH("AIO",B1833))
),
"GANCHO",
"NORMAL"
)
)</f>
        <v>NORMAL</v>
      </c>
    </row>
    <row r="1832" spans="1:12" x14ac:dyDescent="0.25">
      <c r="A1832" s="3" t="s">
        <v>6239</v>
      </c>
      <c r="B1832" s="3" t="s">
        <v>6240</v>
      </c>
      <c r="C1832" s="1">
        <v>5</v>
      </c>
      <c r="D1832" s="1">
        <v>775</v>
      </c>
      <c r="E1832" s="1" t="s">
        <v>906</v>
      </c>
      <c r="F1832" s="1" t="s">
        <v>6241</v>
      </c>
      <c r="G1832" s="3" t="s">
        <v>6242</v>
      </c>
      <c r="H1832" s="11">
        <f>ROUND(
IF(L1830="GANCHO",
   IF(I1832&lt;=50,I1832*1.1+4,IF(I1832&lt;=120,I1832*1.1+7,IF(I1832&lt;=250,I1832*1.1+11,I1832*1.1+19))),
IF(L1830="NORMAL",
   IF(I1832&lt;=30,I1832*1.15+2,IF(I1832&lt;=80,I1832*1.15+4,IF(I1832&lt;=150,I1832*1.15+6,I1832*1.15+8))),
IF(L1830="COMPLEMENTO",
   IF(I1832&lt;=25,I1832*1.25+1.5,IF(I1832&lt;=60,I1832*1.25+3,IF(I1832&lt;=120,I1832*1.25+4,I1832*1.25+5))),
""))),2)</f>
        <v>3667.83</v>
      </c>
      <c r="I1832" s="9">
        <f>($K$2+0.02)*Tabla1[[#This Row],[PRECIO $]]*1.18</f>
        <v>3182.46</v>
      </c>
      <c r="J1832" s="7">
        <f>+Tabla1[[#This Row],[PRECIO EN SOLES]]-Tabla1[[#This Row],[PC]]</f>
        <v>485.36999999999989</v>
      </c>
      <c r="K1832" s="15"/>
      <c r="L1832" s="15" t="str">
        <f>IF(
OR(
ISNUMBER(SEARCH("BACKPACK",B1834)),
ISNUMBER(SEARCH("MOCHILA",B1834)),
ISNUMBER(SEARCH("FUNDA",B1834)),
ISNUMBER(SEARCH("ESTUCHE",B1834)),
ISNUMBER(SEARCH("BOOK COVER",B1834)),
ISNUMBER(SEARCH("KEYBOARD PARA TABLET",B1834)),
ISNUMBER(SEARCH("FLIP TABLET",B1834)),
ISNUMBER(SEARCH("CASE FOR TABLET",B1834)),
ISNUMBER(SEARCH("CABLE",B1834)),
ISNUMBER(SEARCH("ADAPTADOR",B1834)),
ISNUMBER(SEARCH("HUB",B1834)),
ISNUMBER(SEARCH("DOCK",B1834)),
ISNUMBER(SEARCH("MOUSE PAD",B1834)),
ISNUMBER(SEARCH("MOUSEPAD",B1834)),
ISNUMBER(SEARCH("SOPORTE",B1834)),
ISNUMBER(SEARCH("STAND",B1834)),
ISNUMBER(SEARCH("TRAVEL ADAPTER",B1834)),
ISNUMBER(SEARCH("RJ45",B1834)),
ISNUMBER(SEARCH("USB-C",B1834)),
ISNUMBER(SEARCH("USB WIFI",B1834)),
ISNUMBER(SEARCH("POWERBANK",B1834)),
ISNUMBER(SEARCH("CARGADOR",B1834)),
ISNUMBER(SEARCH("COOLER PARA NB",B1834)),
ISNUMBER(SEARCH("SOPORTE PARA NB",B1834)),
ISNUMBER(SEARCH("WEBCAM",B1834)),
ISNUMBER(SEARCH("WEB CAM",B1834)),
ISNUMBER(SEARCH("MOUSE",B1834)),
ISNUMBER(SEARCH("TECLADO",B1834))
),
"COMPLEMENTO",
IF(
OR(
LEFT(A1834,2)="NB",
LEFT(A1834,2)="PC",
LEFT(A1834,2)="WS",
LEFT(A1834,2)="TB",
LEFT(A1834,3)="CEL",
LEFT(A1834,3)="MON",
LEFT(A1834,3)="PRE",
LEFT(A1834,3)="PRH",
ISNUMBER(SEARCH("NOTEBOOK",B1834)),
ISNUMBER(SEARCH("LAPTOP",B1834)),
ISNUMBER(SEARCH("MONITOR",B1834)),
ISNUMBER(SEARCH("TABLET",B1834)),
ISNUMBER(SEARCH("SMARTPH",B1834)),
ISNUMBER(SEARCH("IMPRESORA",B1834)),
ISNUMBER(SEARCH("MULTIFUNCIONAL",B1834)),
ISNUMBER(SEARCH("AIO",B1834))
),
"GANCHO",
"NORMAL"
)
)</f>
        <v>NORMAL</v>
      </c>
    </row>
    <row r="1833" spans="1:12" x14ac:dyDescent="0.25">
      <c r="A1833" s="3" t="s">
        <v>6243</v>
      </c>
      <c r="B1833" s="3" t="s">
        <v>6244</v>
      </c>
      <c r="C1833" s="1">
        <v>18</v>
      </c>
      <c r="D1833" s="1">
        <v>771</v>
      </c>
      <c r="E1833" s="1" t="s">
        <v>906</v>
      </c>
      <c r="F1833" s="1" t="s">
        <v>6245</v>
      </c>
      <c r="G1833" s="3" t="s">
        <v>6246</v>
      </c>
      <c r="H1833" s="11">
        <f>ROUND(
IF(L1831="GANCHO",
   IF(I1833&lt;=50,I1833*1.1+4,IF(I1833&lt;=120,I1833*1.1+7,IF(I1833&lt;=250,I1833*1.1+11,I1833*1.1+19))),
IF(L1831="NORMAL",
   IF(I1833&lt;=30,I1833*1.15+2,IF(I1833&lt;=80,I1833*1.15+4,IF(I1833&lt;=150,I1833*1.15+6,I1833*1.15+8))),
IF(L1831="COMPLEMENTO",
   IF(I1833&lt;=25,I1833*1.25+1.5,IF(I1833&lt;=60,I1833*1.25+3,IF(I1833&lt;=120,I1833*1.25+4,I1833*1.25+5))),
""))),2)</f>
        <v>3648.94</v>
      </c>
      <c r="I1833" s="9">
        <f>($K$2+0.02)*Tabla1[[#This Row],[PRECIO $]]*1.18</f>
        <v>3166.0343999999996</v>
      </c>
      <c r="J1833" s="7">
        <f>+Tabla1[[#This Row],[PRECIO EN SOLES]]-Tabla1[[#This Row],[PC]]</f>
        <v>482.9056000000005</v>
      </c>
      <c r="K1833" s="15"/>
      <c r="L1833" s="15" t="str">
        <f>IF(
OR(
ISNUMBER(SEARCH("BACKPACK",B1835)),
ISNUMBER(SEARCH("MOCHILA",B1835)),
ISNUMBER(SEARCH("FUNDA",B1835)),
ISNUMBER(SEARCH("ESTUCHE",B1835)),
ISNUMBER(SEARCH("BOOK COVER",B1835)),
ISNUMBER(SEARCH("KEYBOARD PARA TABLET",B1835)),
ISNUMBER(SEARCH("FLIP TABLET",B1835)),
ISNUMBER(SEARCH("CASE FOR TABLET",B1835)),
ISNUMBER(SEARCH("CABLE",B1835)),
ISNUMBER(SEARCH("ADAPTADOR",B1835)),
ISNUMBER(SEARCH("HUB",B1835)),
ISNUMBER(SEARCH("DOCK",B1835)),
ISNUMBER(SEARCH("MOUSE PAD",B1835)),
ISNUMBER(SEARCH("MOUSEPAD",B1835)),
ISNUMBER(SEARCH("SOPORTE",B1835)),
ISNUMBER(SEARCH("STAND",B1835)),
ISNUMBER(SEARCH("TRAVEL ADAPTER",B1835)),
ISNUMBER(SEARCH("RJ45",B1835)),
ISNUMBER(SEARCH("USB-C",B1835)),
ISNUMBER(SEARCH("USB WIFI",B1835)),
ISNUMBER(SEARCH("POWERBANK",B1835)),
ISNUMBER(SEARCH("CARGADOR",B1835)),
ISNUMBER(SEARCH("COOLER PARA NB",B1835)),
ISNUMBER(SEARCH("SOPORTE PARA NB",B1835)),
ISNUMBER(SEARCH("WEBCAM",B1835)),
ISNUMBER(SEARCH("WEB CAM",B1835)),
ISNUMBER(SEARCH("MOUSE",B1835)),
ISNUMBER(SEARCH("TECLADO",B1835))
),
"COMPLEMENTO",
IF(
OR(
LEFT(A1835,2)="NB",
LEFT(A1835,2)="PC",
LEFT(A1835,2)="WS",
LEFT(A1835,2)="TB",
LEFT(A1835,3)="CEL",
LEFT(A1835,3)="MON",
LEFT(A1835,3)="PRE",
LEFT(A1835,3)="PRH",
ISNUMBER(SEARCH("NOTEBOOK",B1835)),
ISNUMBER(SEARCH("LAPTOP",B1835)),
ISNUMBER(SEARCH("MONITOR",B1835)),
ISNUMBER(SEARCH("TABLET",B1835)),
ISNUMBER(SEARCH("SMARTPH",B1835)),
ISNUMBER(SEARCH("IMPRESORA",B1835)),
ISNUMBER(SEARCH("MULTIFUNCIONAL",B1835)),
ISNUMBER(SEARCH("AIO",B1835))
),
"GANCHO",
"NORMAL"
)
)</f>
        <v>NORMAL</v>
      </c>
    </row>
    <row r="1834" spans="1:12" x14ac:dyDescent="0.25">
      <c r="A1834" s="3" t="s">
        <v>6247</v>
      </c>
      <c r="B1834" s="3" t="s">
        <v>6248</v>
      </c>
      <c r="C1834" s="1">
        <v>20</v>
      </c>
      <c r="D1834" s="1">
        <v>771</v>
      </c>
      <c r="E1834" s="1" t="s">
        <v>906</v>
      </c>
      <c r="F1834" s="1" t="s">
        <v>6249</v>
      </c>
      <c r="G1834" s="3" t="s">
        <v>6250</v>
      </c>
      <c r="H1834" s="11">
        <f>ROUND(
IF(L1832="GANCHO",
   IF(I1834&lt;=50,I1834*1.1+4,IF(I1834&lt;=120,I1834*1.1+7,IF(I1834&lt;=250,I1834*1.1+11,I1834*1.1+19))),
IF(L1832="NORMAL",
   IF(I1834&lt;=30,I1834*1.15+2,IF(I1834&lt;=80,I1834*1.15+4,IF(I1834&lt;=150,I1834*1.15+6,I1834*1.15+8))),
IF(L1832="COMPLEMENTO",
   IF(I1834&lt;=25,I1834*1.25+1.5,IF(I1834&lt;=60,I1834*1.25+3,IF(I1834&lt;=120,I1834*1.25+4,I1834*1.25+5))),
""))),2)</f>
        <v>3648.94</v>
      </c>
      <c r="I1834" s="9">
        <f>($K$2+0.02)*Tabla1[[#This Row],[PRECIO $]]*1.18</f>
        <v>3166.0343999999996</v>
      </c>
      <c r="J1834" s="7">
        <f>+Tabla1[[#This Row],[PRECIO EN SOLES]]-Tabla1[[#This Row],[PC]]</f>
        <v>482.9056000000005</v>
      </c>
      <c r="K1834" s="15"/>
      <c r="L1834" s="15" t="str">
        <f>IF(
OR(
ISNUMBER(SEARCH("BACKPACK",B1836)),
ISNUMBER(SEARCH("MOCHILA",B1836)),
ISNUMBER(SEARCH("FUNDA",B1836)),
ISNUMBER(SEARCH("ESTUCHE",B1836)),
ISNUMBER(SEARCH("BOOK COVER",B1836)),
ISNUMBER(SEARCH("KEYBOARD PARA TABLET",B1836)),
ISNUMBER(SEARCH("FLIP TABLET",B1836)),
ISNUMBER(SEARCH("CASE FOR TABLET",B1836)),
ISNUMBER(SEARCH("CABLE",B1836)),
ISNUMBER(SEARCH("ADAPTADOR",B1836)),
ISNUMBER(SEARCH("HUB",B1836)),
ISNUMBER(SEARCH("DOCK",B1836)),
ISNUMBER(SEARCH("MOUSE PAD",B1836)),
ISNUMBER(SEARCH("MOUSEPAD",B1836)),
ISNUMBER(SEARCH("SOPORTE",B1836)),
ISNUMBER(SEARCH("STAND",B1836)),
ISNUMBER(SEARCH("TRAVEL ADAPTER",B1836)),
ISNUMBER(SEARCH("RJ45",B1836)),
ISNUMBER(SEARCH("USB-C",B1836)),
ISNUMBER(SEARCH("USB WIFI",B1836)),
ISNUMBER(SEARCH("POWERBANK",B1836)),
ISNUMBER(SEARCH("CARGADOR",B1836)),
ISNUMBER(SEARCH("COOLER PARA NB",B1836)),
ISNUMBER(SEARCH("SOPORTE PARA NB",B1836)),
ISNUMBER(SEARCH("WEBCAM",B1836)),
ISNUMBER(SEARCH("WEB CAM",B1836)),
ISNUMBER(SEARCH("MOUSE",B1836)),
ISNUMBER(SEARCH("TECLADO",B1836))
),
"COMPLEMENTO",
IF(
OR(
LEFT(A1836,2)="NB",
LEFT(A1836,2)="PC",
LEFT(A1836,2)="WS",
LEFT(A1836,2)="TB",
LEFT(A1836,3)="CEL",
LEFT(A1836,3)="MON",
LEFT(A1836,3)="PRE",
LEFT(A1836,3)="PRH",
ISNUMBER(SEARCH("NOTEBOOK",B1836)),
ISNUMBER(SEARCH("LAPTOP",B1836)),
ISNUMBER(SEARCH("MONITOR",B1836)),
ISNUMBER(SEARCH("TABLET",B1836)),
ISNUMBER(SEARCH("SMARTPH",B1836)),
ISNUMBER(SEARCH("IMPRESORA",B1836)),
ISNUMBER(SEARCH("MULTIFUNCIONAL",B1836)),
ISNUMBER(SEARCH("AIO",B1836))
),
"GANCHO",
"NORMAL"
)
)</f>
        <v>NORMAL</v>
      </c>
    </row>
    <row r="1835" spans="1:12" x14ac:dyDescent="0.25">
      <c r="A1835" s="3" t="s">
        <v>5136</v>
      </c>
      <c r="B1835" s="3" t="s">
        <v>5137</v>
      </c>
      <c r="C1835" s="1">
        <v>20</v>
      </c>
      <c r="D1835" s="1">
        <v>512.5</v>
      </c>
      <c r="E1835" s="1" t="s">
        <v>226</v>
      </c>
      <c r="F1835" s="1" t="s">
        <v>5138</v>
      </c>
      <c r="G1835" s="3" t="s">
        <v>5139</v>
      </c>
      <c r="H1835" s="11">
        <f>ROUND(
IF(L1833="GANCHO",
   IF(I1835&lt;=50,I1835*1.1+4,IF(I1835&lt;=120,I1835*1.1+7,IF(I1835&lt;=250,I1835*1.1+11,I1835*1.1+19))),
IF(L1833="NORMAL",
   IF(I1835&lt;=30,I1835*1.15+2,IF(I1835&lt;=80,I1835*1.15+4,IF(I1835&lt;=150,I1835*1.15+6,I1835*1.15+8))),
IF(L1833="COMPLEMENTO",
   IF(I1835&lt;=25,I1835*1.25+1.5,IF(I1835&lt;=60,I1835*1.25+3,IF(I1835&lt;=120,I1835*1.25+4,I1835*1.25+5))),
""))),2)</f>
        <v>2428.21</v>
      </c>
      <c r="I1835" s="9">
        <f>($K$2+0.02)*Tabla1[[#This Row],[PRECIO $]]*1.18</f>
        <v>2104.5299999999997</v>
      </c>
      <c r="J1835" s="7">
        <f>+Tabla1[[#This Row],[PRECIO EN SOLES]]-Tabla1[[#This Row],[PC]]</f>
        <v>323.68000000000029</v>
      </c>
      <c r="K1835" s="15"/>
      <c r="L1835" s="15" t="str">
        <f>IF(
OR(
ISNUMBER(SEARCH("BACKPACK",B1837)),
ISNUMBER(SEARCH("MOCHILA",B1837)),
ISNUMBER(SEARCH("FUNDA",B1837)),
ISNUMBER(SEARCH("ESTUCHE",B1837)),
ISNUMBER(SEARCH("BOOK COVER",B1837)),
ISNUMBER(SEARCH("KEYBOARD PARA TABLET",B1837)),
ISNUMBER(SEARCH("FLIP TABLET",B1837)),
ISNUMBER(SEARCH("CASE FOR TABLET",B1837)),
ISNUMBER(SEARCH("CABLE",B1837)),
ISNUMBER(SEARCH("ADAPTADOR",B1837)),
ISNUMBER(SEARCH("HUB",B1837)),
ISNUMBER(SEARCH("DOCK",B1837)),
ISNUMBER(SEARCH("MOUSE PAD",B1837)),
ISNUMBER(SEARCH("MOUSEPAD",B1837)),
ISNUMBER(SEARCH("SOPORTE",B1837)),
ISNUMBER(SEARCH("STAND",B1837)),
ISNUMBER(SEARCH("TRAVEL ADAPTER",B1837)),
ISNUMBER(SEARCH("RJ45",B1837)),
ISNUMBER(SEARCH("USB-C",B1837)),
ISNUMBER(SEARCH("USB WIFI",B1837)),
ISNUMBER(SEARCH("POWERBANK",B1837)),
ISNUMBER(SEARCH("CARGADOR",B1837)),
ISNUMBER(SEARCH("COOLER PARA NB",B1837)),
ISNUMBER(SEARCH("SOPORTE PARA NB",B1837)),
ISNUMBER(SEARCH("WEBCAM",B1837)),
ISNUMBER(SEARCH("WEB CAM",B1837)),
ISNUMBER(SEARCH("MOUSE",B1837)),
ISNUMBER(SEARCH("TECLADO",B1837))
),
"COMPLEMENTO",
IF(
OR(
LEFT(A1837,2)="NB",
LEFT(A1837,2)="PC",
LEFT(A1837,2)="WS",
LEFT(A1837,2)="TB",
LEFT(A1837,3)="CEL",
LEFT(A1837,3)="MON",
LEFT(A1837,3)="PRE",
LEFT(A1837,3)="PRH",
ISNUMBER(SEARCH("NOTEBOOK",B1837)),
ISNUMBER(SEARCH("LAPTOP",B1837)),
ISNUMBER(SEARCH("MONITOR",B1837)),
ISNUMBER(SEARCH("TABLET",B1837)),
ISNUMBER(SEARCH("SMARTPH",B1837)),
ISNUMBER(SEARCH("IMPRESORA",B1837)),
ISNUMBER(SEARCH("MULTIFUNCIONAL",B1837)),
ISNUMBER(SEARCH("AIO",B1837))
),
"GANCHO",
"NORMAL"
)
)</f>
        <v>NORMAL</v>
      </c>
    </row>
    <row r="1836" spans="1:12" x14ac:dyDescent="0.25">
      <c r="A1836" s="3" t="s">
        <v>4768</v>
      </c>
      <c r="B1836" s="3" t="s">
        <v>4769</v>
      </c>
      <c r="C1836" s="1">
        <v>20</v>
      </c>
      <c r="D1836" s="1">
        <v>780</v>
      </c>
      <c r="E1836" s="1" t="s">
        <v>226</v>
      </c>
      <c r="F1836" s="1" t="s">
        <v>4770</v>
      </c>
      <c r="G1836" s="3" t="s">
        <v>4771</v>
      </c>
      <c r="H1836" s="11">
        <f>ROUND(
IF(L1834="GANCHO",
   IF(I1836&lt;=50,I1836*1.1+4,IF(I1836&lt;=120,I1836*1.1+7,IF(I1836&lt;=250,I1836*1.1+11,I1836*1.1+19))),
IF(L1834="NORMAL",
   IF(I1836&lt;=30,I1836*1.15+2,IF(I1836&lt;=80,I1836*1.15+4,IF(I1836&lt;=150,I1836*1.15+6,I1836*1.15+8))),
IF(L1834="COMPLEMENTO",
   IF(I1836&lt;=25,I1836*1.25+1.5,IF(I1836&lt;=60,I1836*1.25+3,IF(I1836&lt;=120,I1836*1.25+4,I1836*1.25+5))),
""))),2)</f>
        <v>3691.44</v>
      </c>
      <c r="I1836" s="9">
        <f>($K$2+0.02)*Tabla1[[#This Row],[PRECIO $]]*1.18</f>
        <v>3202.9919999999997</v>
      </c>
      <c r="J1836" s="7">
        <f>+Tabla1[[#This Row],[PRECIO EN SOLES]]-Tabla1[[#This Row],[PC]]</f>
        <v>488.44800000000032</v>
      </c>
      <c r="K1836" s="15"/>
      <c r="L1836" s="15" t="str">
        <f>IF(
OR(
ISNUMBER(SEARCH("BACKPACK",B1838)),
ISNUMBER(SEARCH("MOCHILA",B1838)),
ISNUMBER(SEARCH("FUNDA",B1838)),
ISNUMBER(SEARCH("ESTUCHE",B1838)),
ISNUMBER(SEARCH("BOOK COVER",B1838)),
ISNUMBER(SEARCH("KEYBOARD PARA TABLET",B1838)),
ISNUMBER(SEARCH("FLIP TABLET",B1838)),
ISNUMBER(SEARCH("CASE FOR TABLET",B1838)),
ISNUMBER(SEARCH("CABLE",B1838)),
ISNUMBER(SEARCH("ADAPTADOR",B1838)),
ISNUMBER(SEARCH("HUB",B1838)),
ISNUMBER(SEARCH("DOCK",B1838)),
ISNUMBER(SEARCH("MOUSE PAD",B1838)),
ISNUMBER(SEARCH("MOUSEPAD",B1838)),
ISNUMBER(SEARCH("SOPORTE",B1838)),
ISNUMBER(SEARCH("STAND",B1838)),
ISNUMBER(SEARCH("TRAVEL ADAPTER",B1838)),
ISNUMBER(SEARCH("RJ45",B1838)),
ISNUMBER(SEARCH("USB-C",B1838)),
ISNUMBER(SEARCH("USB WIFI",B1838)),
ISNUMBER(SEARCH("POWERBANK",B1838)),
ISNUMBER(SEARCH("CARGADOR",B1838)),
ISNUMBER(SEARCH("COOLER PARA NB",B1838)),
ISNUMBER(SEARCH("SOPORTE PARA NB",B1838)),
ISNUMBER(SEARCH("WEBCAM",B1838)),
ISNUMBER(SEARCH("WEB CAM",B1838)),
ISNUMBER(SEARCH("MOUSE",B1838)),
ISNUMBER(SEARCH("TECLADO",B1838))
),
"COMPLEMENTO",
IF(
OR(
LEFT(A1838,2)="NB",
LEFT(A1838,2)="PC",
LEFT(A1838,2)="WS",
LEFT(A1838,2)="TB",
LEFT(A1838,3)="CEL",
LEFT(A1838,3)="MON",
LEFT(A1838,3)="PRE",
LEFT(A1838,3)="PRH",
ISNUMBER(SEARCH("NOTEBOOK",B1838)),
ISNUMBER(SEARCH("LAPTOP",B1838)),
ISNUMBER(SEARCH("MONITOR",B1838)),
ISNUMBER(SEARCH("TABLET",B1838)),
ISNUMBER(SEARCH("SMARTPH",B1838)),
ISNUMBER(SEARCH("IMPRESORA",B1838)),
ISNUMBER(SEARCH("MULTIFUNCIONAL",B1838)),
ISNUMBER(SEARCH("AIO",B1838))
),
"GANCHO",
"NORMAL"
)
)</f>
        <v>NORMAL</v>
      </c>
    </row>
    <row r="1837" spans="1:12" x14ac:dyDescent="0.25">
      <c r="A1837" s="3" t="s">
        <v>4772</v>
      </c>
      <c r="B1837" s="3" t="s">
        <v>4773</v>
      </c>
      <c r="C1837" s="1">
        <v>17</v>
      </c>
      <c r="D1837" s="1">
        <v>904</v>
      </c>
      <c r="E1837" s="1" t="s">
        <v>226</v>
      </c>
      <c r="F1837" s="1" t="s">
        <v>4774</v>
      </c>
      <c r="G1837" s="3" t="s">
        <v>4775</v>
      </c>
      <c r="H1837" s="11">
        <f>ROUND(
IF(L1835="GANCHO",
   IF(I1837&lt;=50,I1837*1.1+4,IF(I1837&lt;=120,I1837*1.1+7,IF(I1837&lt;=250,I1837*1.1+11,I1837*1.1+19))),
IF(L1835="NORMAL",
   IF(I1837&lt;=30,I1837*1.15+2,IF(I1837&lt;=80,I1837*1.15+4,IF(I1837&lt;=150,I1837*1.15+6,I1837*1.15+8))),
IF(L1835="COMPLEMENTO",
   IF(I1837&lt;=25,I1837*1.25+1.5,IF(I1837&lt;=60,I1837*1.25+3,IF(I1837&lt;=120,I1837*1.25+4,I1837*1.25+5))),
""))),2)</f>
        <v>4277.01</v>
      </c>
      <c r="I1837" s="9">
        <f>($K$2+0.02)*Tabla1[[#This Row],[PRECIO $]]*1.18</f>
        <v>3712.1855999999998</v>
      </c>
      <c r="J1837" s="7">
        <f>+Tabla1[[#This Row],[PRECIO EN SOLES]]-Tabla1[[#This Row],[PC]]</f>
        <v>564.82440000000042</v>
      </c>
      <c r="K1837" s="15"/>
      <c r="L1837" s="15" t="str">
        <f>IF(
OR(
ISNUMBER(SEARCH("BACKPACK",B1839)),
ISNUMBER(SEARCH("MOCHILA",B1839)),
ISNUMBER(SEARCH("FUNDA",B1839)),
ISNUMBER(SEARCH("ESTUCHE",B1839)),
ISNUMBER(SEARCH("BOOK COVER",B1839)),
ISNUMBER(SEARCH("KEYBOARD PARA TABLET",B1839)),
ISNUMBER(SEARCH("FLIP TABLET",B1839)),
ISNUMBER(SEARCH("CASE FOR TABLET",B1839)),
ISNUMBER(SEARCH("CABLE",B1839)),
ISNUMBER(SEARCH("ADAPTADOR",B1839)),
ISNUMBER(SEARCH("HUB",B1839)),
ISNUMBER(SEARCH("DOCK",B1839)),
ISNUMBER(SEARCH("MOUSE PAD",B1839)),
ISNUMBER(SEARCH("MOUSEPAD",B1839)),
ISNUMBER(SEARCH("SOPORTE",B1839)),
ISNUMBER(SEARCH("STAND",B1839)),
ISNUMBER(SEARCH("TRAVEL ADAPTER",B1839)),
ISNUMBER(SEARCH("RJ45",B1839)),
ISNUMBER(SEARCH("USB-C",B1839)),
ISNUMBER(SEARCH("USB WIFI",B1839)),
ISNUMBER(SEARCH("POWERBANK",B1839)),
ISNUMBER(SEARCH("CARGADOR",B1839)),
ISNUMBER(SEARCH("COOLER PARA NB",B1839)),
ISNUMBER(SEARCH("SOPORTE PARA NB",B1839)),
ISNUMBER(SEARCH("WEBCAM",B1839)),
ISNUMBER(SEARCH("WEB CAM",B1839)),
ISNUMBER(SEARCH("MOUSE",B1839)),
ISNUMBER(SEARCH("TECLADO",B1839))
),
"COMPLEMENTO",
IF(
OR(
LEFT(A1839,2)="NB",
LEFT(A1839,2)="PC",
LEFT(A1839,2)="WS",
LEFT(A1839,2)="TB",
LEFT(A1839,3)="CEL",
LEFT(A1839,3)="MON",
LEFT(A1839,3)="PRE",
LEFT(A1839,3)="PRH",
ISNUMBER(SEARCH("NOTEBOOK",B1839)),
ISNUMBER(SEARCH("LAPTOP",B1839)),
ISNUMBER(SEARCH("MONITOR",B1839)),
ISNUMBER(SEARCH("TABLET",B1839)),
ISNUMBER(SEARCH("SMARTPH",B1839)),
ISNUMBER(SEARCH("IMPRESORA",B1839)),
ISNUMBER(SEARCH("MULTIFUNCIONAL",B1839)),
ISNUMBER(SEARCH("AIO",B1839))
),
"GANCHO",
"NORMAL"
)
)</f>
        <v>NORMAL</v>
      </c>
    </row>
    <row r="1838" spans="1:12" x14ac:dyDescent="0.25">
      <c r="A1838" s="3" t="s">
        <v>5193</v>
      </c>
      <c r="B1838" s="3" t="s">
        <v>5194</v>
      </c>
      <c r="C1838" s="1">
        <v>20</v>
      </c>
      <c r="D1838" s="1">
        <v>512</v>
      </c>
      <c r="E1838" s="1" t="s">
        <v>2736</v>
      </c>
      <c r="F1838" s="1" t="s">
        <v>5195</v>
      </c>
      <c r="G1838" s="3" t="s">
        <v>5196</v>
      </c>
      <c r="H1838" s="11">
        <f>ROUND(
IF(L1836="GANCHO",
   IF(I1838&lt;=50,I1838*1.1+4,IF(I1838&lt;=120,I1838*1.1+7,IF(I1838&lt;=250,I1838*1.1+11,I1838*1.1+19))),
IF(L1836="NORMAL",
   IF(I1838&lt;=30,I1838*1.15+2,IF(I1838&lt;=80,I1838*1.15+4,IF(I1838&lt;=150,I1838*1.15+6,I1838*1.15+8))),
IF(L1836="COMPLEMENTO",
   IF(I1838&lt;=25,I1838*1.25+1.5,IF(I1838&lt;=60,I1838*1.25+3,IF(I1838&lt;=120,I1838*1.25+4,I1838*1.25+5))),
""))),2)</f>
        <v>2425.85</v>
      </c>
      <c r="I1838" s="9">
        <f>($K$2+0.02)*Tabla1[[#This Row],[PRECIO $]]*1.18</f>
        <v>2102.4767999999999</v>
      </c>
      <c r="J1838" s="7">
        <f>+Tabla1[[#This Row],[PRECIO EN SOLES]]-Tabla1[[#This Row],[PC]]</f>
        <v>323.3732</v>
      </c>
      <c r="K1838" s="15"/>
      <c r="L1838" s="15" t="str">
        <f>IF(
OR(
ISNUMBER(SEARCH("BACKPACK",B1840)),
ISNUMBER(SEARCH("MOCHILA",B1840)),
ISNUMBER(SEARCH("FUNDA",B1840)),
ISNUMBER(SEARCH("ESTUCHE",B1840)),
ISNUMBER(SEARCH("BOOK COVER",B1840)),
ISNUMBER(SEARCH("KEYBOARD PARA TABLET",B1840)),
ISNUMBER(SEARCH("FLIP TABLET",B1840)),
ISNUMBER(SEARCH("CASE FOR TABLET",B1840)),
ISNUMBER(SEARCH("CABLE",B1840)),
ISNUMBER(SEARCH("ADAPTADOR",B1840)),
ISNUMBER(SEARCH("HUB",B1840)),
ISNUMBER(SEARCH("DOCK",B1840)),
ISNUMBER(SEARCH("MOUSE PAD",B1840)),
ISNUMBER(SEARCH("MOUSEPAD",B1840)),
ISNUMBER(SEARCH("SOPORTE",B1840)),
ISNUMBER(SEARCH("STAND",B1840)),
ISNUMBER(SEARCH("TRAVEL ADAPTER",B1840)),
ISNUMBER(SEARCH("RJ45",B1840)),
ISNUMBER(SEARCH("USB-C",B1840)),
ISNUMBER(SEARCH("USB WIFI",B1840)),
ISNUMBER(SEARCH("POWERBANK",B1840)),
ISNUMBER(SEARCH("CARGADOR",B1840)),
ISNUMBER(SEARCH("COOLER PARA NB",B1840)),
ISNUMBER(SEARCH("SOPORTE PARA NB",B1840)),
ISNUMBER(SEARCH("WEBCAM",B1840)),
ISNUMBER(SEARCH("WEB CAM",B1840)),
ISNUMBER(SEARCH("MOUSE",B1840)),
ISNUMBER(SEARCH("TECLADO",B1840))
),
"COMPLEMENTO",
IF(
OR(
LEFT(A1840,2)="NB",
LEFT(A1840,2)="PC",
LEFT(A1840,2)="WS",
LEFT(A1840,2)="TB",
LEFT(A1840,3)="CEL",
LEFT(A1840,3)="MON",
LEFT(A1840,3)="PRE",
LEFT(A1840,3)="PRH",
ISNUMBER(SEARCH("NOTEBOOK",B1840)),
ISNUMBER(SEARCH("LAPTOP",B1840)),
ISNUMBER(SEARCH("MONITOR",B1840)),
ISNUMBER(SEARCH("TABLET",B1840)),
ISNUMBER(SEARCH("SMARTPH",B1840)),
ISNUMBER(SEARCH("IMPRESORA",B1840)),
ISNUMBER(SEARCH("MULTIFUNCIONAL",B1840)),
ISNUMBER(SEARCH("AIO",B1840))
),
"GANCHO",
"NORMAL"
)
)</f>
        <v>NORMAL</v>
      </c>
    </row>
    <row r="1839" spans="1:12" x14ac:dyDescent="0.25">
      <c r="A1839" s="3" t="s">
        <v>5197</v>
      </c>
      <c r="B1839" s="3" t="s">
        <v>5198</v>
      </c>
      <c r="C1839" s="1">
        <v>20</v>
      </c>
      <c r="D1839" s="1">
        <v>498</v>
      </c>
      <c r="E1839" s="1" t="s">
        <v>2736</v>
      </c>
      <c r="F1839" s="1" t="s">
        <v>5199</v>
      </c>
      <c r="G1839" s="3" t="s">
        <v>5200</v>
      </c>
      <c r="H1839" s="11">
        <f>ROUND(
IF(L1837="GANCHO",
   IF(I1839&lt;=50,I1839*1.1+4,IF(I1839&lt;=120,I1839*1.1+7,IF(I1839&lt;=250,I1839*1.1+11,I1839*1.1+19))),
IF(L1837="NORMAL",
   IF(I1839&lt;=30,I1839*1.15+2,IF(I1839&lt;=80,I1839*1.15+4,IF(I1839&lt;=150,I1839*1.15+6,I1839*1.15+8))),
IF(L1837="COMPLEMENTO",
   IF(I1839&lt;=25,I1839*1.25+1.5,IF(I1839&lt;=60,I1839*1.25+3,IF(I1839&lt;=120,I1839*1.25+4,I1839*1.25+5))),
""))),2)</f>
        <v>2359.7399999999998</v>
      </c>
      <c r="I1839" s="9">
        <f>($K$2+0.02)*Tabla1[[#This Row],[PRECIO $]]*1.18</f>
        <v>2044.9871999999998</v>
      </c>
      <c r="J1839" s="7">
        <f>+Tabla1[[#This Row],[PRECIO EN SOLES]]-Tabla1[[#This Row],[PC]]</f>
        <v>314.75279999999998</v>
      </c>
      <c r="K1839" s="15"/>
      <c r="L1839" s="15" t="str">
        <f>IF(
OR(
ISNUMBER(SEARCH("BACKPACK",B1841)),
ISNUMBER(SEARCH("MOCHILA",B1841)),
ISNUMBER(SEARCH("FUNDA",B1841)),
ISNUMBER(SEARCH("ESTUCHE",B1841)),
ISNUMBER(SEARCH("BOOK COVER",B1841)),
ISNUMBER(SEARCH("KEYBOARD PARA TABLET",B1841)),
ISNUMBER(SEARCH("FLIP TABLET",B1841)),
ISNUMBER(SEARCH("CASE FOR TABLET",B1841)),
ISNUMBER(SEARCH("CABLE",B1841)),
ISNUMBER(SEARCH("ADAPTADOR",B1841)),
ISNUMBER(SEARCH("HUB",B1841)),
ISNUMBER(SEARCH("DOCK",B1841)),
ISNUMBER(SEARCH("MOUSE PAD",B1841)),
ISNUMBER(SEARCH("MOUSEPAD",B1841)),
ISNUMBER(SEARCH("SOPORTE",B1841)),
ISNUMBER(SEARCH("STAND",B1841)),
ISNUMBER(SEARCH("TRAVEL ADAPTER",B1841)),
ISNUMBER(SEARCH("RJ45",B1841)),
ISNUMBER(SEARCH("USB-C",B1841)),
ISNUMBER(SEARCH("USB WIFI",B1841)),
ISNUMBER(SEARCH("POWERBANK",B1841)),
ISNUMBER(SEARCH("CARGADOR",B1841)),
ISNUMBER(SEARCH("COOLER PARA NB",B1841)),
ISNUMBER(SEARCH("SOPORTE PARA NB",B1841)),
ISNUMBER(SEARCH("WEBCAM",B1841)),
ISNUMBER(SEARCH("WEB CAM",B1841)),
ISNUMBER(SEARCH("MOUSE",B1841)),
ISNUMBER(SEARCH("TECLADO",B1841))
),
"COMPLEMENTO",
IF(
OR(
LEFT(A1841,2)="NB",
LEFT(A1841,2)="PC",
LEFT(A1841,2)="WS",
LEFT(A1841,2)="TB",
LEFT(A1841,3)="CEL",
LEFT(A1841,3)="MON",
LEFT(A1841,3)="PRE",
LEFT(A1841,3)="PRH",
ISNUMBER(SEARCH("NOTEBOOK",B1841)),
ISNUMBER(SEARCH("LAPTOP",B1841)),
ISNUMBER(SEARCH("MONITOR",B1841)),
ISNUMBER(SEARCH("TABLET",B1841)),
ISNUMBER(SEARCH("SMARTPH",B1841)),
ISNUMBER(SEARCH("IMPRESORA",B1841)),
ISNUMBER(SEARCH("MULTIFUNCIONAL",B1841)),
ISNUMBER(SEARCH("AIO",B1841))
),
"GANCHO",
"NORMAL"
)
)</f>
        <v>NORMAL</v>
      </c>
    </row>
    <row r="1840" spans="1:12" x14ac:dyDescent="0.25">
      <c r="A1840" s="3" t="s">
        <v>5616</v>
      </c>
      <c r="B1840" s="3" t="s">
        <v>5617</v>
      </c>
      <c r="C1840" s="1">
        <v>20</v>
      </c>
      <c r="D1840" s="1">
        <v>504</v>
      </c>
      <c r="E1840" s="1" t="s">
        <v>2736</v>
      </c>
      <c r="F1840" s="1" t="s">
        <v>5618</v>
      </c>
      <c r="G1840" s="3" t="s">
        <v>5619</v>
      </c>
      <c r="H1840" s="11">
        <f>ROUND(
IF(L1838="GANCHO",
   IF(I1840&lt;=50,I1840*1.1+4,IF(I1840&lt;=120,I1840*1.1+7,IF(I1840&lt;=250,I1840*1.1+11,I1840*1.1+19))),
IF(L1838="NORMAL",
   IF(I1840&lt;=30,I1840*1.15+2,IF(I1840&lt;=80,I1840*1.15+4,IF(I1840&lt;=150,I1840*1.15+6,I1840*1.15+8))),
IF(L1838="COMPLEMENTO",
   IF(I1840&lt;=25,I1840*1.25+1.5,IF(I1840&lt;=60,I1840*1.25+3,IF(I1840&lt;=120,I1840*1.25+4,I1840*1.25+5))),
""))),2)</f>
        <v>2388.0700000000002</v>
      </c>
      <c r="I1840" s="9">
        <f>($K$2+0.02)*Tabla1[[#This Row],[PRECIO $]]*1.18</f>
        <v>2069.6255999999998</v>
      </c>
      <c r="J1840" s="7">
        <f>+Tabla1[[#This Row],[PRECIO EN SOLES]]-Tabla1[[#This Row],[PC]]</f>
        <v>318.44440000000031</v>
      </c>
      <c r="K1840" s="15"/>
      <c r="L1840" s="15" t="str">
        <f>IF(
OR(
ISNUMBER(SEARCH("BACKPACK",B1842)),
ISNUMBER(SEARCH("MOCHILA",B1842)),
ISNUMBER(SEARCH("FUNDA",B1842)),
ISNUMBER(SEARCH("ESTUCHE",B1842)),
ISNUMBER(SEARCH("BOOK COVER",B1842)),
ISNUMBER(SEARCH("KEYBOARD PARA TABLET",B1842)),
ISNUMBER(SEARCH("FLIP TABLET",B1842)),
ISNUMBER(SEARCH("CASE FOR TABLET",B1842)),
ISNUMBER(SEARCH("CABLE",B1842)),
ISNUMBER(SEARCH("ADAPTADOR",B1842)),
ISNUMBER(SEARCH("HUB",B1842)),
ISNUMBER(SEARCH("DOCK",B1842)),
ISNUMBER(SEARCH("MOUSE PAD",B1842)),
ISNUMBER(SEARCH("MOUSEPAD",B1842)),
ISNUMBER(SEARCH("SOPORTE",B1842)),
ISNUMBER(SEARCH("STAND",B1842)),
ISNUMBER(SEARCH("TRAVEL ADAPTER",B1842)),
ISNUMBER(SEARCH("RJ45",B1842)),
ISNUMBER(SEARCH("USB-C",B1842)),
ISNUMBER(SEARCH("USB WIFI",B1842)),
ISNUMBER(SEARCH("POWERBANK",B1842)),
ISNUMBER(SEARCH("CARGADOR",B1842)),
ISNUMBER(SEARCH("COOLER PARA NB",B1842)),
ISNUMBER(SEARCH("SOPORTE PARA NB",B1842)),
ISNUMBER(SEARCH("WEBCAM",B1842)),
ISNUMBER(SEARCH("WEB CAM",B1842)),
ISNUMBER(SEARCH("MOUSE",B1842)),
ISNUMBER(SEARCH("TECLADO",B1842))
),
"COMPLEMENTO",
IF(
OR(
LEFT(A1842,2)="NB",
LEFT(A1842,2)="PC",
LEFT(A1842,2)="WS",
LEFT(A1842,2)="TB",
LEFT(A1842,3)="CEL",
LEFT(A1842,3)="MON",
LEFT(A1842,3)="PRE",
LEFT(A1842,3)="PRH",
ISNUMBER(SEARCH("NOTEBOOK",B1842)),
ISNUMBER(SEARCH("LAPTOP",B1842)),
ISNUMBER(SEARCH("MONITOR",B1842)),
ISNUMBER(SEARCH("TABLET",B1842)),
ISNUMBER(SEARCH("SMARTPH",B1842)),
ISNUMBER(SEARCH("IMPRESORA",B1842)),
ISNUMBER(SEARCH("MULTIFUNCIONAL",B1842)),
ISNUMBER(SEARCH("AIO",B1842))
),
"GANCHO",
"NORMAL"
)
)</f>
        <v>NORMAL</v>
      </c>
    </row>
    <row r="1841" spans="1:12" x14ac:dyDescent="0.25">
      <c r="A1841" s="3" t="s">
        <v>2734</v>
      </c>
      <c r="B1841" s="3" t="s">
        <v>2735</v>
      </c>
      <c r="C1841" s="1">
        <v>11</v>
      </c>
      <c r="D1841" s="1">
        <v>638</v>
      </c>
      <c r="E1841" s="1" t="s">
        <v>2736</v>
      </c>
      <c r="F1841" s="1" t="s">
        <v>4170</v>
      </c>
      <c r="G1841" s="3" t="s">
        <v>2737</v>
      </c>
      <c r="H1841" s="11">
        <f>ROUND(
IF(L1839="GANCHO",
   IF(I1841&lt;=50,I1841*1.1+4,IF(I1841&lt;=120,I1841*1.1+7,IF(I1841&lt;=250,I1841*1.1+11,I1841*1.1+19))),
IF(L1839="NORMAL",
   IF(I1841&lt;=30,I1841*1.15+2,IF(I1841&lt;=80,I1841*1.15+4,IF(I1841&lt;=150,I1841*1.15+6,I1841*1.15+8))),
IF(L1839="COMPLEMENTO",
   IF(I1841&lt;=25,I1841*1.25+1.5,IF(I1841&lt;=60,I1841*1.25+3,IF(I1841&lt;=120,I1841*1.25+4,I1841*1.25+5))),
""))),2)</f>
        <v>3020.87</v>
      </c>
      <c r="I1841" s="9">
        <f>($K$2+0.02)*Tabla1[[#This Row],[PRECIO $]]*1.18</f>
        <v>2619.8831999999998</v>
      </c>
      <c r="J1841" s="7">
        <f>+Tabla1[[#This Row],[PRECIO EN SOLES]]-Tabla1[[#This Row],[PC]]</f>
        <v>400.98680000000013</v>
      </c>
      <c r="K1841" s="15"/>
      <c r="L1841" s="15" t="str">
        <f>IF(
OR(
ISNUMBER(SEARCH("BACKPACK",B1843)),
ISNUMBER(SEARCH("MOCHILA",B1843)),
ISNUMBER(SEARCH("FUNDA",B1843)),
ISNUMBER(SEARCH("ESTUCHE",B1843)),
ISNUMBER(SEARCH("BOOK COVER",B1843)),
ISNUMBER(SEARCH("KEYBOARD PARA TABLET",B1843)),
ISNUMBER(SEARCH("FLIP TABLET",B1843)),
ISNUMBER(SEARCH("CASE FOR TABLET",B1843)),
ISNUMBER(SEARCH("CABLE",B1843)),
ISNUMBER(SEARCH("ADAPTADOR",B1843)),
ISNUMBER(SEARCH("HUB",B1843)),
ISNUMBER(SEARCH("DOCK",B1843)),
ISNUMBER(SEARCH("MOUSE PAD",B1843)),
ISNUMBER(SEARCH("MOUSEPAD",B1843)),
ISNUMBER(SEARCH("SOPORTE",B1843)),
ISNUMBER(SEARCH("STAND",B1843)),
ISNUMBER(SEARCH("TRAVEL ADAPTER",B1843)),
ISNUMBER(SEARCH("RJ45",B1843)),
ISNUMBER(SEARCH("USB-C",B1843)),
ISNUMBER(SEARCH("USB WIFI",B1843)),
ISNUMBER(SEARCH("POWERBANK",B1843)),
ISNUMBER(SEARCH("CARGADOR",B1843)),
ISNUMBER(SEARCH("COOLER PARA NB",B1843)),
ISNUMBER(SEARCH("SOPORTE PARA NB",B1843)),
ISNUMBER(SEARCH("WEBCAM",B1843)),
ISNUMBER(SEARCH("WEB CAM",B1843)),
ISNUMBER(SEARCH("MOUSE",B1843)),
ISNUMBER(SEARCH("TECLADO",B1843))
),
"COMPLEMENTO",
IF(
OR(
LEFT(A1843,2)="NB",
LEFT(A1843,2)="PC",
LEFT(A1843,2)="WS",
LEFT(A1843,2)="TB",
LEFT(A1843,3)="CEL",
LEFT(A1843,3)="MON",
LEFT(A1843,3)="PRE",
LEFT(A1843,3)="PRH",
ISNUMBER(SEARCH("NOTEBOOK",B1843)),
ISNUMBER(SEARCH("LAPTOP",B1843)),
ISNUMBER(SEARCH("MONITOR",B1843)),
ISNUMBER(SEARCH("TABLET",B1843)),
ISNUMBER(SEARCH("SMARTPH",B1843)),
ISNUMBER(SEARCH("IMPRESORA",B1843)),
ISNUMBER(SEARCH("MULTIFUNCIONAL",B1843)),
ISNUMBER(SEARCH("AIO",B1843))
),
"GANCHO",
"NORMAL"
)
)</f>
        <v>NORMAL</v>
      </c>
    </row>
    <row r="1842" spans="1:12" x14ac:dyDescent="0.25">
      <c r="A1842" s="3" t="s">
        <v>2738</v>
      </c>
      <c r="B1842" s="3" t="s">
        <v>2739</v>
      </c>
      <c r="C1842" s="1">
        <v>2</v>
      </c>
      <c r="D1842" s="1">
        <v>617</v>
      </c>
      <c r="E1842" s="1" t="s">
        <v>2736</v>
      </c>
      <c r="F1842" s="1" t="s">
        <v>4171</v>
      </c>
      <c r="G1842" s="3" t="s">
        <v>2740</v>
      </c>
      <c r="H1842" s="11">
        <f>ROUND(
IF(L1840="GANCHO",
   IF(I1842&lt;=50,I1842*1.1+4,IF(I1842&lt;=120,I1842*1.1+7,IF(I1842&lt;=250,I1842*1.1+11,I1842*1.1+19))),
IF(L1840="NORMAL",
   IF(I1842&lt;=30,I1842*1.15+2,IF(I1842&lt;=80,I1842*1.15+4,IF(I1842&lt;=150,I1842*1.15+6,I1842*1.15+8))),
IF(L1840="COMPLEMENTO",
   IF(I1842&lt;=25,I1842*1.25+1.5,IF(I1842&lt;=60,I1842*1.25+3,IF(I1842&lt;=120,I1842*1.25+4,I1842*1.25+5))),
""))),2)</f>
        <v>2921.7</v>
      </c>
      <c r="I1842" s="9">
        <f>($K$2+0.02)*Tabla1[[#This Row],[PRECIO $]]*1.18</f>
        <v>2533.6487999999995</v>
      </c>
      <c r="J1842" s="7">
        <f>+Tabla1[[#This Row],[PRECIO EN SOLES]]-Tabla1[[#This Row],[PC]]</f>
        <v>388.05120000000034</v>
      </c>
      <c r="K1842" s="15"/>
      <c r="L1842" s="15" t="str">
        <f>IF(
OR(
ISNUMBER(SEARCH("BACKPACK",B1844)),
ISNUMBER(SEARCH("MOCHILA",B1844)),
ISNUMBER(SEARCH("FUNDA",B1844)),
ISNUMBER(SEARCH("ESTUCHE",B1844)),
ISNUMBER(SEARCH("BOOK COVER",B1844)),
ISNUMBER(SEARCH("KEYBOARD PARA TABLET",B1844)),
ISNUMBER(SEARCH("FLIP TABLET",B1844)),
ISNUMBER(SEARCH("CASE FOR TABLET",B1844)),
ISNUMBER(SEARCH("CABLE",B1844)),
ISNUMBER(SEARCH("ADAPTADOR",B1844)),
ISNUMBER(SEARCH("HUB",B1844)),
ISNUMBER(SEARCH("DOCK",B1844)),
ISNUMBER(SEARCH("MOUSE PAD",B1844)),
ISNUMBER(SEARCH("MOUSEPAD",B1844)),
ISNUMBER(SEARCH("SOPORTE",B1844)),
ISNUMBER(SEARCH("STAND",B1844)),
ISNUMBER(SEARCH("TRAVEL ADAPTER",B1844)),
ISNUMBER(SEARCH("RJ45",B1844)),
ISNUMBER(SEARCH("USB-C",B1844)),
ISNUMBER(SEARCH("USB WIFI",B1844)),
ISNUMBER(SEARCH("POWERBANK",B1844)),
ISNUMBER(SEARCH("CARGADOR",B1844)),
ISNUMBER(SEARCH("COOLER PARA NB",B1844)),
ISNUMBER(SEARCH("SOPORTE PARA NB",B1844)),
ISNUMBER(SEARCH("WEBCAM",B1844)),
ISNUMBER(SEARCH("WEB CAM",B1844)),
ISNUMBER(SEARCH("MOUSE",B1844)),
ISNUMBER(SEARCH("TECLADO",B1844))
),
"COMPLEMENTO",
IF(
OR(
LEFT(A1844,2)="NB",
LEFT(A1844,2)="PC",
LEFT(A1844,2)="WS",
LEFT(A1844,2)="TB",
LEFT(A1844,3)="CEL",
LEFT(A1844,3)="MON",
LEFT(A1844,3)="PRE",
LEFT(A1844,3)="PRH",
ISNUMBER(SEARCH("NOTEBOOK",B1844)),
ISNUMBER(SEARCH("LAPTOP",B1844)),
ISNUMBER(SEARCH("MONITOR",B1844)),
ISNUMBER(SEARCH("TABLET",B1844)),
ISNUMBER(SEARCH("SMARTPH",B1844)),
ISNUMBER(SEARCH("IMPRESORA",B1844)),
ISNUMBER(SEARCH("MULTIFUNCIONAL",B1844)),
ISNUMBER(SEARCH("AIO",B1844))
),
"GANCHO",
"NORMAL"
)
)</f>
        <v>NORMAL</v>
      </c>
    </row>
    <row r="1843" spans="1:12" x14ac:dyDescent="0.25">
      <c r="A1843" s="3" t="s">
        <v>5620</v>
      </c>
      <c r="B1843" s="3" t="s">
        <v>5621</v>
      </c>
      <c r="C1843" s="1">
        <v>12</v>
      </c>
      <c r="D1843" s="1">
        <v>802</v>
      </c>
      <c r="E1843" s="1" t="s">
        <v>2736</v>
      </c>
      <c r="F1843" s="1" t="s">
        <v>5622</v>
      </c>
      <c r="G1843" s="3" t="s">
        <v>5623</v>
      </c>
      <c r="H1843" s="11">
        <f>ROUND(
IF(L1841="GANCHO",
   IF(I1843&lt;=50,I1843*1.1+4,IF(I1843&lt;=120,I1843*1.1+7,IF(I1843&lt;=250,I1843*1.1+11,I1843*1.1+19))),
IF(L1841="NORMAL",
   IF(I1843&lt;=30,I1843*1.15+2,IF(I1843&lt;=80,I1843*1.15+4,IF(I1843&lt;=150,I1843*1.15+6,I1843*1.15+8))),
IF(L1841="COMPLEMENTO",
   IF(I1843&lt;=25,I1843*1.25+1.5,IF(I1843&lt;=60,I1843*1.25+3,IF(I1843&lt;=120,I1843*1.25+4,I1843*1.25+5))),
""))),2)</f>
        <v>3795.33</v>
      </c>
      <c r="I1843" s="9">
        <f>($K$2+0.02)*Tabla1[[#This Row],[PRECIO $]]*1.18</f>
        <v>3293.3327999999997</v>
      </c>
      <c r="J1843" s="7">
        <f>+Tabla1[[#This Row],[PRECIO EN SOLES]]-Tabla1[[#This Row],[PC]]</f>
        <v>501.99720000000025</v>
      </c>
      <c r="K1843" s="15"/>
      <c r="L1843" s="15" t="str">
        <f>IF(
OR(
ISNUMBER(SEARCH("BACKPACK",B1845)),
ISNUMBER(SEARCH("MOCHILA",B1845)),
ISNUMBER(SEARCH("FUNDA",B1845)),
ISNUMBER(SEARCH("ESTUCHE",B1845)),
ISNUMBER(SEARCH("BOOK COVER",B1845)),
ISNUMBER(SEARCH("KEYBOARD PARA TABLET",B1845)),
ISNUMBER(SEARCH("FLIP TABLET",B1845)),
ISNUMBER(SEARCH("CASE FOR TABLET",B1845)),
ISNUMBER(SEARCH("CABLE",B1845)),
ISNUMBER(SEARCH("ADAPTADOR",B1845)),
ISNUMBER(SEARCH("HUB",B1845)),
ISNUMBER(SEARCH("DOCK",B1845)),
ISNUMBER(SEARCH("MOUSE PAD",B1845)),
ISNUMBER(SEARCH("MOUSEPAD",B1845)),
ISNUMBER(SEARCH("SOPORTE",B1845)),
ISNUMBER(SEARCH("STAND",B1845)),
ISNUMBER(SEARCH("TRAVEL ADAPTER",B1845)),
ISNUMBER(SEARCH("RJ45",B1845)),
ISNUMBER(SEARCH("USB-C",B1845)),
ISNUMBER(SEARCH("USB WIFI",B1845)),
ISNUMBER(SEARCH("POWERBANK",B1845)),
ISNUMBER(SEARCH("CARGADOR",B1845)),
ISNUMBER(SEARCH("COOLER PARA NB",B1845)),
ISNUMBER(SEARCH("SOPORTE PARA NB",B1845)),
ISNUMBER(SEARCH("WEBCAM",B1845)),
ISNUMBER(SEARCH("WEB CAM",B1845)),
ISNUMBER(SEARCH("MOUSE",B1845)),
ISNUMBER(SEARCH("TECLADO",B1845))
),
"COMPLEMENTO",
IF(
OR(
LEFT(A1845,2)="NB",
LEFT(A1845,2)="PC",
LEFT(A1845,2)="WS",
LEFT(A1845,2)="TB",
LEFT(A1845,3)="CEL",
LEFT(A1845,3)="MON",
LEFT(A1845,3)="PRE",
LEFT(A1845,3)="PRH",
ISNUMBER(SEARCH("NOTEBOOK",B1845)),
ISNUMBER(SEARCH("LAPTOP",B1845)),
ISNUMBER(SEARCH("MONITOR",B1845)),
ISNUMBER(SEARCH("TABLET",B1845)),
ISNUMBER(SEARCH("SMARTPH",B1845)),
ISNUMBER(SEARCH("IMPRESORA",B1845)),
ISNUMBER(SEARCH("MULTIFUNCIONAL",B1845)),
ISNUMBER(SEARCH("AIO",B1845))
),
"GANCHO",
"NORMAL"
)
)</f>
        <v>NORMAL</v>
      </c>
    </row>
    <row r="1844" spans="1:12" x14ac:dyDescent="0.25">
      <c r="A1844" s="3" t="s">
        <v>5201</v>
      </c>
      <c r="B1844" s="3" t="s">
        <v>5202</v>
      </c>
      <c r="C1844" s="1">
        <v>6</v>
      </c>
      <c r="D1844" s="1">
        <v>885</v>
      </c>
      <c r="E1844" s="1" t="s">
        <v>2736</v>
      </c>
      <c r="F1844" s="1" t="s">
        <v>5203</v>
      </c>
      <c r="G1844" s="3" t="s">
        <v>5204</v>
      </c>
      <c r="H1844" s="11">
        <f>ROUND(
IF(L1842="GANCHO",
   IF(I1844&lt;=50,I1844*1.1+4,IF(I1844&lt;=120,I1844*1.1+7,IF(I1844&lt;=250,I1844*1.1+11,I1844*1.1+19))),
IF(L1842="NORMAL",
   IF(I1844&lt;=30,I1844*1.15+2,IF(I1844&lt;=80,I1844*1.15+4,IF(I1844&lt;=150,I1844*1.15+6,I1844*1.15+8))),
IF(L1842="COMPLEMENTO",
   IF(I1844&lt;=25,I1844*1.25+1.5,IF(I1844&lt;=60,I1844*1.25+3,IF(I1844&lt;=120,I1844*1.25+4,I1844*1.25+5))),
""))),2)</f>
        <v>4187.29</v>
      </c>
      <c r="I1844" s="9">
        <f>($K$2+0.02)*Tabla1[[#This Row],[PRECIO $]]*1.18</f>
        <v>3634.1640000000002</v>
      </c>
      <c r="J1844" s="7">
        <f>+Tabla1[[#This Row],[PRECIO EN SOLES]]-Tabla1[[#This Row],[PC]]</f>
        <v>553.12599999999975</v>
      </c>
      <c r="K1844" s="15"/>
      <c r="L1844" s="15" t="str">
        <f>IF(
OR(
ISNUMBER(SEARCH("BACKPACK",B1846)),
ISNUMBER(SEARCH("MOCHILA",B1846)),
ISNUMBER(SEARCH("FUNDA",B1846)),
ISNUMBER(SEARCH("ESTUCHE",B1846)),
ISNUMBER(SEARCH("BOOK COVER",B1846)),
ISNUMBER(SEARCH("KEYBOARD PARA TABLET",B1846)),
ISNUMBER(SEARCH("FLIP TABLET",B1846)),
ISNUMBER(SEARCH("CASE FOR TABLET",B1846)),
ISNUMBER(SEARCH("CABLE",B1846)),
ISNUMBER(SEARCH("ADAPTADOR",B1846)),
ISNUMBER(SEARCH("HUB",B1846)),
ISNUMBER(SEARCH("DOCK",B1846)),
ISNUMBER(SEARCH("MOUSE PAD",B1846)),
ISNUMBER(SEARCH("MOUSEPAD",B1846)),
ISNUMBER(SEARCH("SOPORTE",B1846)),
ISNUMBER(SEARCH("STAND",B1846)),
ISNUMBER(SEARCH("TRAVEL ADAPTER",B1846)),
ISNUMBER(SEARCH("RJ45",B1846)),
ISNUMBER(SEARCH("USB-C",B1846)),
ISNUMBER(SEARCH("USB WIFI",B1846)),
ISNUMBER(SEARCH("POWERBANK",B1846)),
ISNUMBER(SEARCH("CARGADOR",B1846)),
ISNUMBER(SEARCH("COOLER PARA NB",B1846)),
ISNUMBER(SEARCH("SOPORTE PARA NB",B1846)),
ISNUMBER(SEARCH("WEBCAM",B1846)),
ISNUMBER(SEARCH("WEB CAM",B1846)),
ISNUMBER(SEARCH("MOUSE",B1846)),
ISNUMBER(SEARCH("TECLADO",B1846))
),
"COMPLEMENTO",
IF(
OR(
LEFT(A1846,2)="NB",
LEFT(A1846,2)="PC",
LEFT(A1846,2)="WS",
LEFT(A1846,2)="TB",
LEFT(A1846,3)="CEL",
LEFT(A1846,3)="MON",
LEFT(A1846,3)="PRE",
LEFT(A1846,3)="PRH",
ISNUMBER(SEARCH("NOTEBOOK",B1846)),
ISNUMBER(SEARCH("LAPTOP",B1846)),
ISNUMBER(SEARCH("MONITOR",B1846)),
ISNUMBER(SEARCH("TABLET",B1846)),
ISNUMBER(SEARCH("SMARTPH",B1846)),
ISNUMBER(SEARCH("IMPRESORA",B1846)),
ISNUMBER(SEARCH("MULTIFUNCIONAL",B1846)),
ISNUMBER(SEARCH("AIO",B1846))
),
"GANCHO",
"NORMAL"
)
)</f>
        <v>NORMAL</v>
      </c>
    </row>
    <row r="1845" spans="1:12" x14ac:dyDescent="0.25">
      <c r="A1845" s="3" t="s">
        <v>5205</v>
      </c>
      <c r="B1845" s="3" t="s">
        <v>5206</v>
      </c>
      <c r="C1845" s="1">
        <v>6</v>
      </c>
      <c r="D1845" s="1">
        <v>850</v>
      </c>
      <c r="E1845" s="1" t="s">
        <v>2736</v>
      </c>
      <c r="F1845" s="1" t="s">
        <v>5207</v>
      </c>
      <c r="G1845" s="3" t="s">
        <v>5208</v>
      </c>
      <c r="H1845" s="11">
        <f>ROUND(
IF(L1843="GANCHO",
   IF(I1845&lt;=50,I1845*1.1+4,IF(I1845&lt;=120,I1845*1.1+7,IF(I1845&lt;=250,I1845*1.1+11,I1845*1.1+19))),
IF(L1843="NORMAL",
   IF(I1845&lt;=30,I1845*1.15+2,IF(I1845&lt;=80,I1845*1.15+4,IF(I1845&lt;=150,I1845*1.15+6,I1845*1.15+8))),
IF(L1843="COMPLEMENTO",
   IF(I1845&lt;=25,I1845*1.25+1.5,IF(I1845&lt;=60,I1845*1.25+3,IF(I1845&lt;=120,I1845*1.25+4,I1845*1.25+5))),
""))),2)</f>
        <v>4022.01</v>
      </c>
      <c r="I1845" s="9">
        <f>($K$2+0.02)*Tabla1[[#This Row],[PRECIO $]]*1.18</f>
        <v>3490.4399999999996</v>
      </c>
      <c r="J1845" s="7">
        <f>+Tabla1[[#This Row],[PRECIO EN SOLES]]-Tabla1[[#This Row],[PC]]</f>
        <v>531.57000000000062</v>
      </c>
      <c r="K1845" s="15"/>
      <c r="L1845" s="15" t="str">
        <f>IF(
OR(
ISNUMBER(SEARCH("BACKPACK",B1847)),
ISNUMBER(SEARCH("MOCHILA",B1847)),
ISNUMBER(SEARCH("FUNDA",B1847)),
ISNUMBER(SEARCH("ESTUCHE",B1847)),
ISNUMBER(SEARCH("BOOK COVER",B1847)),
ISNUMBER(SEARCH("KEYBOARD PARA TABLET",B1847)),
ISNUMBER(SEARCH("FLIP TABLET",B1847)),
ISNUMBER(SEARCH("CASE FOR TABLET",B1847)),
ISNUMBER(SEARCH("CABLE",B1847)),
ISNUMBER(SEARCH("ADAPTADOR",B1847)),
ISNUMBER(SEARCH("HUB",B1847)),
ISNUMBER(SEARCH("DOCK",B1847)),
ISNUMBER(SEARCH("MOUSE PAD",B1847)),
ISNUMBER(SEARCH("MOUSEPAD",B1847)),
ISNUMBER(SEARCH("SOPORTE",B1847)),
ISNUMBER(SEARCH("STAND",B1847)),
ISNUMBER(SEARCH("TRAVEL ADAPTER",B1847)),
ISNUMBER(SEARCH("RJ45",B1847)),
ISNUMBER(SEARCH("USB-C",B1847)),
ISNUMBER(SEARCH("USB WIFI",B1847)),
ISNUMBER(SEARCH("POWERBANK",B1847)),
ISNUMBER(SEARCH("CARGADOR",B1847)),
ISNUMBER(SEARCH("COOLER PARA NB",B1847)),
ISNUMBER(SEARCH("SOPORTE PARA NB",B1847)),
ISNUMBER(SEARCH("WEBCAM",B1847)),
ISNUMBER(SEARCH("WEB CAM",B1847)),
ISNUMBER(SEARCH("MOUSE",B1847)),
ISNUMBER(SEARCH("TECLADO",B1847))
),
"COMPLEMENTO",
IF(
OR(
LEFT(A1847,2)="NB",
LEFT(A1847,2)="PC",
LEFT(A1847,2)="WS",
LEFT(A1847,2)="TB",
LEFT(A1847,3)="CEL",
LEFT(A1847,3)="MON",
LEFT(A1847,3)="PRE",
LEFT(A1847,3)="PRH",
ISNUMBER(SEARCH("NOTEBOOK",B1847)),
ISNUMBER(SEARCH("LAPTOP",B1847)),
ISNUMBER(SEARCH("MONITOR",B1847)),
ISNUMBER(SEARCH("TABLET",B1847)),
ISNUMBER(SEARCH("SMARTPH",B1847)),
ISNUMBER(SEARCH("IMPRESORA",B1847)),
ISNUMBER(SEARCH("MULTIFUNCIONAL",B1847)),
ISNUMBER(SEARCH("AIO",B1847))
),
"GANCHO",
"NORMAL"
)
)</f>
        <v>NORMAL</v>
      </c>
    </row>
    <row r="1846" spans="1:12" x14ac:dyDescent="0.25">
      <c r="A1846" s="3" t="s">
        <v>5209</v>
      </c>
      <c r="B1846" s="3" t="s">
        <v>5210</v>
      </c>
      <c r="C1846" s="1">
        <v>3</v>
      </c>
      <c r="D1846" s="1">
        <v>807</v>
      </c>
      <c r="E1846" s="1" t="s">
        <v>2736</v>
      </c>
      <c r="F1846" s="1" t="s">
        <v>5211</v>
      </c>
      <c r="G1846" s="3" t="s">
        <v>5212</v>
      </c>
      <c r="H1846" s="11">
        <f>ROUND(
IF(L1844="GANCHO",
   IF(I1846&lt;=50,I1846*1.1+4,IF(I1846&lt;=120,I1846*1.1+7,IF(I1846&lt;=250,I1846*1.1+11,I1846*1.1+19))),
IF(L1844="NORMAL",
   IF(I1846&lt;=30,I1846*1.15+2,IF(I1846&lt;=80,I1846*1.15+4,IF(I1846&lt;=150,I1846*1.15+6,I1846*1.15+8))),
IF(L1844="COMPLEMENTO",
   IF(I1846&lt;=25,I1846*1.25+1.5,IF(I1846&lt;=60,I1846*1.25+3,IF(I1846&lt;=120,I1846*1.25+4,I1846*1.25+5))),
""))),2)</f>
        <v>3818.94</v>
      </c>
      <c r="I1846" s="9">
        <f>($K$2+0.02)*Tabla1[[#This Row],[PRECIO $]]*1.18</f>
        <v>3313.8647999999998</v>
      </c>
      <c r="J1846" s="7">
        <f>+Tabla1[[#This Row],[PRECIO EN SOLES]]-Tabla1[[#This Row],[PC]]</f>
        <v>505.07520000000022</v>
      </c>
      <c r="K1846" s="15"/>
      <c r="L1846" s="15" t="str">
        <f>IF(
OR(
ISNUMBER(SEARCH("BACKPACK",B1848)),
ISNUMBER(SEARCH("MOCHILA",B1848)),
ISNUMBER(SEARCH("FUNDA",B1848)),
ISNUMBER(SEARCH("ESTUCHE",B1848)),
ISNUMBER(SEARCH("BOOK COVER",B1848)),
ISNUMBER(SEARCH("KEYBOARD PARA TABLET",B1848)),
ISNUMBER(SEARCH("FLIP TABLET",B1848)),
ISNUMBER(SEARCH("CASE FOR TABLET",B1848)),
ISNUMBER(SEARCH("CABLE",B1848)),
ISNUMBER(SEARCH("ADAPTADOR",B1848)),
ISNUMBER(SEARCH("HUB",B1848)),
ISNUMBER(SEARCH("DOCK",B1848)),
ISNUMBER(SEARCH("MOUSE PAD",B1848)),
ISNUMBER(SEARCH("MOUSEPAD",B1848)),
ISNUMBER(SEARCH("SOPORTE",B1848)),
ISNUMBER(SEARCH("STAND",B1848)),
ISNUMBER(SEARCH("TRAVEL ADAPTER",B1848)),
ISNUMBER(SEARCH("RJ45",B1848)),
ISNUMBER(SEARCH("USB-C",B1848)),
ISNUMBER(SEARCH("USB WIFI",B1848)),
ISNUMBER(SEARCH("POWERBANK",B1848)),
ISNUMBER(SEARCH("CARGADOR",B1848)),
ISNUMBER(SEARCH("COOLER PARA NB",B1848)),
ISNUMBER(SEARCH("SOPORTE PARA NB",B1848)),
ISNUMBER(SEARCH("WEBCAM",B1848)),
ISNUMBER(SEARCH("WEB CAM",B1848)),
ISNUMBER(SEARCH("MOUSE",B1848)),
ISNUMBER(SEARCH("TECLADO",B1848))
),
"COMPLEMENTO",
IF(
OR(
LEFT(A1848,2)="NB",
LEFT(A1848,2)="PC",
LEFT(A1848,2)="WS",
LEFT(A1848,2)="TB",
LEFT(A1848,3)="CEL",
LEFT(A1848,3)="MON",
LEFT(A1848,3)="PRE",
LEFT(A1848,3)="PRH",
ISNUMBER(SEARCH("NOTEBOOK",B1848)),
ISNUMBER(SEARCH("LAPTOP",B1848)),
ISNUMBER(SEARCH("MONITOR",B1848)),
ISNUMBER(SEARCH("TABLET",B1848)),
ISNUMBER(SEARCH("SMARTPH",B1848)),
ISNUMBER(SEARCH("IMPRESORA",B1848)),
ISNUMBER(SEARCH("MULTIFUNCIONAL",B1848)),
ISNUMBER(SEARCH("AIO",B1848))
),
"GANCHO",
"NORMAL"
)
)</f>
        <v>NORMAL</v>
      </c>
    </row>
    <row r="1847" spans="1:12" x14ac:dyDescent="0.25">
      <c r="A1847" s="3" t="s">
        <v>5213</v>
      </c>
      <c r="B1847" s="3" t="s">
        <v>5214</v>
      </c>
      <c r="C1847" s="1">
        <v>3</v>
      </c>
      <c r="D1847" s="1">
        <v>855</v>
      </c>
      <c r="E1847" s="1" t="s">
        <v>2736</v>
      </c>
      <c r="F1847" s="1" t="s">
        <v>5215</v>
      </c>
      <c r="G1847" s="3" t="s">
        <v>5216</v>
      </c>
      <c r="H1847" s="11">
        <f>ROUND(
IF(L1845="GANCHO",
   IF(I1847&lt;=50,I1847*1.1+4,IF(I1847&lt;=120,I1847*1.1+7,IF(I1847&lt;=250,I1847*1.1+11,I1847*1.1+19))),
IF(L1845="NORMAL",
   IF(I1847&lt;=30,I1847*1.15+2,IF(I1847&lt;=80,I1847*1.15+4,IF(I1847&lt;=150,I1847*1.15+6,I1847*1.15+8))),
IF(L1845="COMPLEMENTO",
   IF(I1847&lt;=25,I1847*1.25+1.5,IF(I1847&lt;=60,I1847*1.25+3,IF(I1847&lt;=120,I1847*1.25+4,I1847*1.25+5))),
""))),2)</f>
        <v>4045.62</v>
      </c>
      <c r="I1847" s="9">
        <f>($K$2+0.02)*Tabla1[[#This Row],[PRECIO $]]*1.18</f>
        <v>3510.9719999999998</v>
      </c>
      <c r="J1847" s="7">
        <f>+Tabla1[[#This Row],[PRECIO EN SOLES]]-Tabla1[[#This Row],[PC]]</f>
        <v>534.64800000000014</v>
      </c>
      <c r="K1847" s="15"/>
      <c r="L1847" s="15" t="str">
        <f>IF(
OR(
ISNUMBER(SEARCH("BACKPACK",B1849)),
ISNUMBER(SEARCH("MOCHILA",B1849)),
ISNUMBER(SEARCH("FUNDA",B1849)),
ISNUMBER(SEARCH("ESTUCHE",B1849)),
ISNUMBER(SEARCH("BOOK COVER",B1849)),
ISNUMBER(SEARCH("KEYBOARD PARA TABLET",B1849)),
ISNUMBER(SEARCH("FLIP TABLET",B1849)),
ISNUMBER(SEARCH("CASE FOR TABLET",B1849)),
ISNUMBER(SEARCH("CABLE",B1849)),
ISNUMBER(SEARCH("ADAPTADOR",B1849)),
ISNUMBER(SEARCH("HUB",B1849)),
ISNUMBER(SEARCH("DOCK",B1849)),
ISNUMBER(SEARCH("MOUSE PAD",B1849)),
ISNUMBER(SEARCH("MOUSEPAD",B1849)),
ISNUMBER(SEARCH("SOPORTE",B1849)),
ISNUMBER(SEARCH("STAND",B1849)),
ISNUMBER(SEARCH("TRAVEL ADAPTER",B1849)),
ISNUMBER(SEARCH("RJ45",B1849)),
ISNUMBER(SEARCH("USB-C",B1849)),
ISNUMBER(SEARCH("USB WIFI",B1849)),
ISNUMBER(SEARCH("POWERBANK",B1849)),
ISNUMBER(SEARCH("CARGADOR",B1849)),
ISNUMBER(SEARCH("COOLER PARA NB",B1849)),
ISNUMBER(SEARCH("SOPORTE PARA NB",B1849)),
ISNUMBER(SEARCH("WEBCAM",B1849)),
ISNUMBER(SEARCH("WEB CAM",B1849)),
ISNUMBER(SEARCH("MOUSE",B1849)),
ISNUMBER(SEARCH("TECLADO",B1849))
),
"COMPLEMENTO",
IF(
OR(
LEFT(A1849,2)="NB",
LEFT(A1849,2)="PC",
LEFT(A1849,2)="WS",
LEFT(A1849,2)="TB",
LEFT(A1849,3)="CEL",
LEFT(A1849,3)="MON",
LEFT(A1849,3)="PRE",
LEFT(A1849,3)="PRH",
ISNUMBER(SEARCH("NOTEBOOK",B1849)),
ISNUMBER(SEARCH("LAPTOP",B1849)),
ISNUMBER(SEARCH("MONITOR",B1849)),
ISNUMBER(SEARCH("TABLET",B1849)),
ISNUMBER(SEARCH("SMARTPH",B1849)),
ISNUMBER(SEARCH("IMPRESORA",B1849)),
ISNUMBER(SEARCH("MULTIFUNCIONAL",B1849)),
ISNUMBER(SEARCH("AIO",B1849))
),
"GANCHO",
"NORMAL"
)
)</f>
        <v>NORMAL</v>
      </c>
    </row>
    <row r="1848" spans="1:12" x14ac:dyDescent="0.25">
      <c r="A1848" s="3" t="s">
        <v>6251</v>
      </c>
      <c r="B1848" s="3" t="s">
        <v>6252</v>
      </c>
      <c r="C1848" s="1">
        <v>20</v>
      </c>
      <c r="D1848" s="1">
        <v>344</v>
      </c>
      <c r="E1848" s="1" t="s">
        <v>906</v>
      </c>
      <c r="F1848" s="1" t="s">
        <v>6253</v>
      </c>
      <c r="G1848" s="3" t="s">
        <v>6254</v>
      </c>
      <c r="H1848" s="11">
        <f>ROUND(
IF(L1846="GANCHO",
   IF(I1848&lt;=50,I1848*1.1+4,IF(I1848&lt;=120,I1848*1.1+7,IF(I1848&lt;=250,I1848*1.1+11,I1848*1.1+19))),
IF(L1846="NORMAL",
   IF(I1848&lt;=30,I1848*1.15+2,IF(I1848&lt;=80,I1848*1.15+4,IF(I1848&lt;=150,I1848*1.15+6,I1848*1.15+8))),
IF(L1846="COMPLEMENTO",
   IF(I1848&lt;=25,I1848*1.25+1.5,IF(I1848&lt;=60,I1848*1.25+3,IF(I1848&lt;=120,I1848*1.25+4,I1848*1.25+5))),
""))),2)</f>
        <v>1632.49</v>
      </c>
      <c r="I1848" s="9">
        <f>($K$2+0.02)*Tabla1[[#This Row],[PRECIO $]]*1.18</f>
        <v>1412.6015999999997</v>
      </c>
      <c r="J1848" s="7">
        <f>+Tabla1[[#This Row],[PRECIO EN SOLES]]-Tabla1[[#This Row],[PC]]</f>
        <v>219.88840000000027</v>
      </c>
      <c r="K1848" s="15"/>
      <c r="L1848" s="15" t="str">
        <f>IF(
OR(
ISNUMBER(SEARCH("BACKPACK",B1850)),
ISNUMBER(SEARCH("MOCHILA",B1850)),
ISNUMBER(SEARCH("FUNDA",B1850)),
ISNUMBER(SEARCH("ESTUCHE",B1850)),
ISNUMBER(SEARCH("BOOK COVER",B1850)),
ISNUMBER(SEARCH("KEYBOARD PARA TABLET",B1850)),
ISNUMBER(SEARCH("FLIP TABLET",B1850)),
ISNUMBER(SEARCH("CASE FOR TABLET",B1850)),
ISNUMBER(SEARCH("CABLE",B1850)),
ISNUMBER(SEARCH("ADAPTADOR",B1850)),
ISNUMBER(SEARCH("HUB",B1850)),
ISNUMBER(SEARCH("DOCK",B1850)),
ISNUMBER(SEARCH("MOUSE PAD",B1850)),
ISNUMBER(SEARCH("MOUSEPAD",B1850)),
ISNUMBER(SEARCH("SOPORTE",B1850)),
ISNUMBER(SEARCH("STAND",B1850)),
ISNUMBER(SEARCH("TRAVEL ADAPTER",B1850)),
ISNUMBER(SEARCH("RJ45",B1850)),
ISNUMBER(SEARCH("USB-C",B1850)),
ISNUMBER(SEARCH("USB WIFI",B1850)),
ISNUMBER(SEARCH("POWERBANK",B1850)),
ISNUMBER(SEARCH("CARGADOR",B1850)),
ISNUMBER(SEARCH("COOLER PARA NB",B1850)),
ISNUMBER(SEARCH("SOPORTE PARA NB",B1850)),
ISNUMBER(SEARCH("WEBCAM",B1850)),
ISNUMBER(SEARCH("WEB CAM",B1850)),
ISNUMBER(SEARCH("MOUSE",B1850)),
ISNUMBER(SEARCH("TECLADO",B1850))
),
"COMPLEMENTO",
IF(
OR(
LEFT(A1850,2)="NB",
LEFT(A1850,2)="PC",
LEFT(A1850,2)="WS",
LEFT(A1850,2)="TB",
LEFT(A1850,3)="CEL",
LEFT(A1850,3)="MON",
LEFT(A1850,3)="PRE",
LEFT(A1850,3)="PRH",
ISNUMBER(SEARCH("NOTEBOOK",B1850)),
ISNUMBER(SEARCH("LAPTOP",B1850)),
ISNUMBER(SEARCH("MONITOR",B1850)),
ISNUMBER(SEARCH("TABLET",B1850)),
ISNUMBER(SEARCH("SMARTPH",B1850)),
ISNUMBER(SEARCH("IMPRESORA",B1850)),
ISNUMBER(SEARCH("MULTIFUNCIONAL",B1850)),
ISNUMBER(SEARCH("AIO",B1850))
),
"GANCHO",
"NORMAL"
)
)</f>
        <v>NORMAL</v>
      </c>
    </row>
    <row r="1849" spans="1:12" x14ac:dyDescent="0.25">
      <c r="A1849" s="3" t="s">
        <v>5624</v>
      </c>
      <c r="B1849" s="3" t="s">
        <v>5625</v>
      </c>
      <c r="C1849" s="1">
        <v>20</v>
      </c>
      <c r="D1849" s="1">
        <v>333</v>
      </c>
      <c r="E1849" s="1" t="s">
        <v>226</v>
      </c>
      <c r="F1849" s="1" t="s">
        <v>5626</v>
      </c>
      <c r="G1849" s="3" t="s">
        <v>5627</v>
      </c>
      <c r="H1849" s="11">
        <f>ROUND(
IF(L1847="GANCHO",
   IF(I1849&lt;=50,I1849*1.1+4,IF(I1849&lt;=120,I1849*1.1+7,IF(I1849&lt;=250,I1849*1.1+11,I1849*1.1+19))),
IF(L1847="NORMAL",
   IF(I1849&lt;=30,I1849*1.15+2,IF(I1849&lt;=80,I1849*1.15+4,IF(I1849&lt;=150,I1849*1.15+6,I1849*1.15+8))),
IF(L1847="COMPLEMENTO",
   IF(I1849&lt;=25,I1849*1.25+1.5,IF(I1849&lt;=60,I1849*1.25+3,IF(I1849&lt;=120,I1849*1.25+4,I1849*1.25+5))),
""))),2)</f>
        <v>1580.55</v>
      </c>
      <c r="I1849" s="9">
        <f>($K$2+0.02)*Tabla1[[#This Row],[PRECIO $]]*1.18</f>
        <v>1367.4311999999998</v>
      </c>
      <c r="J1849" s="7">
        <f>+Tabla1[[#This Row],[PRECIO EN SOLES]]-Tabla1[[#This Row],[PC]]</f>
        <v>213.11880000000019</v>
      </c>
      <c r="K1849" s="15"/>
      <c r="L1849" s="15" t="str">
        <f>IF(
OR(
ISNUMBER(SEARCH("BACKPACK",B1851)),
ISNUMBER(SEARCH("MOCHILA",B1851)),
ISNUMBER(SEARCH("FUNDA",B1851)),
ISNUMBER(SEARCH("ESTUCHE",B1851)),
ISNUMBER(SEARCH("BOOK COVER",B1851)),
ISNUMBER(SEARCH("KEYBOARD PARA TABLET",B1851)),
ISNUMBER(SEARCH("FLIP TABLET",B1851)),
ISNUMBER(SEARCH("CASE FOR TABLET",B1851)),
ISNUMBER(SEARCH("CABLE",B1851)),
ISNUMBER(SEARCH("ADAPTADOR",B1851)),
ISNUMBER(SEARCH("HUB",B1851)),
ISNUMBER(SEARCH("DOCK",B1851)),
ISNUMBER(SEARCH("MOUSE PAD",B1851)),
ISNUMBER(SEARCH("MOUSEPAD",B1851)),
ISNUMBER(SEARCH("SOPORTE",B1851)),
ISNUMBER(SEARCH("STAND",B1851)),
ISNUMBER(SEARCH("TRAVEL ADAPTER",B1851)),
ISNUMBER(SEARCH("RJ45",B1851)),
ISNUMBER(SEARCH("USB-C",B1851)),
ISNUMBER(SEARCH("USB WIFI",B1851)),
ISNUMBER(SEARCH("POWERBANK",B1851)),
ISNUMBER(SEARCH("CARGADOR",B1851)),
ISNUMBER(SEARCH("COOLER PARA NB",B1851)),
ISNUMBER(SEARCH("SOPORTE PARA NB",B1851)),
ISNUMBER(SEARCH("WEBCAM",B1851)),
ISNUMBER(SEARCH("WEB CAM",B1851)),
ISNUMBER(SEARCH("MOUSE",B1851)),
ISNUMBER(SEARCH("TECLADO",B1851))
),
"COMPLEMENTO",
IF(
OR(
LEFT(A1851,2)="NB",
LEFT(A1851,2)="PC",
LEFT(A1851,2)="WS",
LEFT(A1851,2)="TB",
LEFT(A1851,3)="CEL",
LEFT(A1851,3)="MON",
LEFT(A1851,3)="PRE",
LEFT(A1851,3)="PRH",
ISNUMBER(SEARCH("NOTEBOOK",B1851)),
ISNUMBER(SEARCH("LAPTOP",B1851)),
ISNUMBER(SEARCH("MONITOR",B1851)),
ISNUMBER(SEARCH("TABLET",B1851)),
ISNUMBER(SEARCH("SMARTPH",B1851)),
ISNUMBER(SEARCH("IMPRESORA",B1851)),
ISNUMBER(SEARCH("MULTIFUNCIONAL",B1851)),
ISNUMBER(SEARCH("AIO",B1851))
),
"GANCHO",
"NORMAL"
)
)</f>
        <v>NORMAL</v>
      </c>
    </row>
    <row r="1850" spans="1:12" x14ac:dyDescent="0.25">
      <c r="A1850" s="3" t="s">
        <v>5140</v>
      </c>
      <c r="B1850" s="3" t="s">
        <v>5141</v>
      </c>
      <c r="C1850" s="1">
        <v>20</v>
      </c>
      <c r="D1850" s="1">
        <v>402</v>
      </c>
      <c r="E1850" s="1" t="s">
        <v>226</v>
      </c>
      <c r="F1850" s="1" t="s">
        <v>5142</v>
      </c>
      <c r="G1850" s="3" t="s">
        <v>5143</v>
      </c>
      <c r="H1850" s="11">
        <f>ROUND(
IF(L1848="GANCHO",
   IF(I1850&lt;=50,I1850*1.1+4,IF(I1850&lt;=120,I1850*1.1+7,IF(I1850&lt;=250,I1850*1.1+11,I1850*1.1+19))),
IF(L1848="NORMAL",
   IF(I1850&lt;=30,I1850*1.15+2,IF(I1850&lt;=80,I1850*1.15+4,IF(I1850&lt;=150,I1850*1.15+6,I1850*1.15+8))),
IF(L1848="COMPLEMENTO",
   IF(I1850&lt;=25,I1850*1.25+1.5,IF(I1850&lt;=60,I1850*1.25+3,IF(I1850&lt;=120,I1850*1.25+4,I1850*1.25+5))),
""))),2)</f>
        <v>1906.39</v>
      </c>
      <c r="I1850" s="9">
        <f>($K$2+0.02)*Tabla1[[#This Row],[PRECIO $]]*1.18</f>
        <v>1650.7728</v>
      </c>
      <c r="J1850" s="7">
        <f>+Tabla1[[#This Row],[PRECIO EN SOLES]]-Tabla1[[#This Row],[PC]]</f>
        <v>255.61720000000014</v>
      </c>
      <c r="K1850" s="15"/>
      <c r="L1850" s="15" t="str">
        <f>IF(
OR(
ISNUMBER(SEARCH("BACKPACK",B1852)),
ISNUMBER(SEARCH("MOCHILA",B1852)),
ISNUMBER(SEARCH("FUNDA",B1852)),
ISNUMBER(SEARCH("ESTUCHE",B1852)),
ISNUMBER(SEARCH("BOOK COVER",B1852)),
ISNUMBER(SEARCH("KEYBOARD PARA TABLET",B1852)),
ISNUMBER(SEARCH("FLIP TABLET",B1852)),
ISNUMBER(SEARCH("CASE FOR TABLET",B1852)),
ISNUMBER(SEARCH("CABLE",B1852)),
ISNUMBER(SEARCH("ADAPTADOR",B1852)),
ISNUMBER(SEARCH("HUB",B1852)),
ISNUMBER(SEARCH("DOCK",B1852)),
ISNUMBER(SEARCH("MOUSE PAD",B1852)),
ISNUMBER(SEARCH("MOUSEPAD",B1852)),
ISNUMBER(SEARCH("SOPORTE",B1852)),
ISNUMBER(SEARCH("STAND",B1852)),
ISNUMBER(SEARCH("TRAVEL ADAPTER",B1852)),
ISNUMBER(SEARCH("RJ45",B1852)),
ISNUMBER(SEARCH("USB-C",B1852)),
ISNUMBER(SEARCH("USB WIFI",B1852)),
ISNUMBER(SEARCH("POWERBANK",B1852)),
ISNUMBER(SEARCH("CARGADOR",B1852)),
ISNUMBER(SEARCH("COOLER PARA NB",B1852)),
ISNUMBER(SEARCH("SOPORTE PARA NB",B1852)),
ISNUMBER(SEARCH("WEBCAM",B1852)),
ISNUMBER(SEARCH("WEB CAM",B1852)),
ISNUMBER(SEARCH("MOUSE",B1852)),
ISNUMBER(SEARCH("TECLADO",B1852))
),
"COMPLEMENTO",
IF(
OR(
LEFT(A1852,2)="NB",
LEFT(A1852,2)="PC",
LEFT(A1852,2)="WS",
LEFT(A1852,2)="TB",
LEFT(A1852,3)="CEL",
LEFT(A1852,3)="MON",
LEFT(A1852,3)="PRE",
LEFT(A1852,3)="PRH",
ISNUMBER(SEARCH("NOTEBOOK",B1852)),
ISNUMBER(SEARCH("LAPTOP",B1852)),
ISNUMBER(SEARCH("MONITOR",B1852)),
ISNUMBER(SEARCH("TABLET",B1852)),
ISNUMBER(SEARCH("SMARTPH",B1852)),
ISNUMBER(SEARCH("IMPRESORA",B1852)),
ISNUMBER(SEARCH("MULTIFUNCIONAL",B1852)),
ISNUMBER(SEARCH("AIO",B1852))
),
"GANCHO",
"NORMAL"
)
)</f>
        <v>NORMAL</v>
      </c>
    </row>
    <row r="1851" spans="1:12" x14ac:dyDescent="0.25">
      <c r="A1851" s="3" t="s">
        <v>5217</v>
      </c>
      <c r="B1851" s="3" t="s">
        <v>5218</v>
      </c>
      <c r="C1851" s="1">
        <v>20</v>
      </c>
      <c r="D1851" s="1">
        <v>296</v>
      </c>
      <c r="E1851" s="1" t="s">
        <v>2736</v>
      </c>
      <c r="F1851" s="1" t="s">
        <v>5219</v>
      </c>
      <c r="G1851" s="3" t="s">
        <v>5220</v>
      </c>
      <c r="H1851" s="11">
        <f>ROUND(
IF(L1849="GANCHO",
   IF(I1851&lt;=50,I1851*1.1+4,IF(I1851&lt;=120,I1851*1.1+7,IF(I1851&lt;=250,I1851*1.1+11,I1851*1.1+19))),
IF(L1849="NORMAL",
   IF(I1851&lt;=30,I1851*1.15+2,IF(I1851&lt;=80,I1851*1.15+4,IF(I1851&lt;=150,I1851*1.15+6,I1851*1.15+8))),
IF(L1849="COMPLEMENTO",
   IF(I1851&lt;=25,I1851*1.25+1.5,IF(I1851&lt;=60,I1851*1.25+3,IF(I1851&lt;=120,I1851*1.25+4,I1851*1.25+5))),
""))),2)</f>
        <v>1405.82</v>
      </c>
      <c r="I1851" s="9">
        <f>($K$2+0.02)*Tabla1[[#This Row],[PRECIO $]]*1.18</f>
        <v>1215.4943999999998</v>
      </c>
      <c r="J1851" s="7">
        <f>+Tabla1[[#This Row],[PRECIO EN SOLES]]-Tabla1[[#This Row],[PC]]</f>
        <v>190.32560000000012</v>
      </c>
      <c r="K1851" s="15"/>
      <c r="L1851" s="15" t="str">
        <f>IF(
OR(
ISNUMBER(SEARCH("BACKPACK",B1853)),
ISNUMBER(SEARCH("MOCHILA",B1853)),
ISNUMBER(SEARCH("FUNDA",B1853)),
ISNUMBER(SEARCH("ESTUCHE",B1853)),
ISNUMBER(SEARCH("BOOK COVER",B1853)),
ISNUMBER(SEARCH("KEYBOARD PARA TABLET",B1853)),
ISNUMBER(SEARCH("FLIP TABLET",B1853)),
ISNUMBER(SEARCH("CASE FOR TABLET",B1853)),
ISNUMBER(SEARCH("CABLE",B1853)),
ISNUMBER(SEARCH("ADAPTADOR",B1853)),
ISNUMBER(SEARCH("HUB",B1853)),
ISNUMBER(SEARCH("DOCK",B1853)),
ISNUMBER(SEARCH("MOUSE PAD",B1853)),
ISNUMBER(SEARCH("MOUSEPAD",B1853)),
ISNUMBER(SEARCH("SOPORTE",B1853)),
ISNUMBER(SEARCH("STAND",B1853)),
ISNUMBER(SEARCH("TRAVEL ADAPTER",B1853)),
ISNUMBER(SEARCH("RJ45",B1853)),
ISNUMBER(SEARCH("USB-C",B1853)),
ISNUMBER(SEARCH("USB WIFI",B1853)),
ISNUMBER(SEARCH("POWERBANK",B1853)),
ISNUMBER(SEARCH("CARGADOR",B1853)),
ISNUMBER(SEARCH("COOLER PARA NB",B1853)),
ISNUMBER(SEARCH("SOPORTE PARA NB",B1853)),
ISNUMBER(SEARCH("WEBCAM",B1853)),
ISNUMBER(SEARCH("WEB CAM",B1853)),
ISNUMBER(SEARCH("MOUSE",B1853)),
ISNUMBER(SEARCH("TECLADO",B1853))
),
"COMPLEMENTO",
IF(
OR(
LEFT(A1853,2)="NB",
LEFT(A1853,2)="PC",
LEFT(A1853,2)="WS",
LEFT(A1853,2)="TB",
LEFT(A1853,3)="CEL",
LEFT(A1853,3)="MON",
LEFT(A1853,3)="PRE",
LEFT(A1853,3)="PRH",
ISNUMBER(SEARCH("NOTEBOOK",B1853)),
ISNUMBER(SEARCH("LAPTOP",B1853)),
ISNUMBER(SEARCH("MONITOR",B1853)),
ISNUMBER(SEARCH("TABLET",B1853)),
ISNUMBER(SEARCH("SMARTPH",B1853)),
ISNUMBER(SEARCH("IMPRESORA",B1853)),
ISNUMBER(SEARCH("MULTIFUNCIONAL",B1853)),
ISNUMBER(SEARCH("AIO",B1853))
),
"GANCHO",
"NORMAL"
)
)</f>
        <v>NORMAL</v>
      </c>
    </row>
    <row r="1852" spans="1:12" x14ac:dyDescent="0.25">
      <c r="A1852" s="3" t="s">
        <v>5144</v>
      </c>
      <c r="B1852" s="3" t="s">
        <v>5145</v>
      </c>
      <c r="C1852" s="1">
        <v>20</v>
      </c>
      <c r="D1852" s="1">
        <v>51.3</v>
      </c>
      <c r="E1852" s="1" t="s">
        <v>121</v>
      </c>
      <c r="F1852" s="1" t="s">
        <v>5146</v>
      </c>
      <c r="G1852" s="3" t="s">
        <v>5147</v>
      </c>
      <c r="H1852" s="11">
        <f>ROUND(
IF(L1850="GANCHO",
   IF(I1852&lt;=50,I1852*1.1+4,IF(I1852&lt;=120,I1852*1.1+7,IF(I1852&lt;=250,I1852*1.1+11,I1852*1.1+19))),
IF(L1850="NORMAL",
   IF(I1852&lt;=30,I1852*1.15+2,IF(I1852&lt;=80,I1852*1.15+4,IF(I1852&lt;=150,I1852*1.15+6,I1852*1.15+8))),
IF(L1850="COMPLEMENTO",
   IF(I1852&lt;=25,I1852*1.25+1.5,IF(I1852&lt;=60,I1852*1.25+3,IF(I1852&lt;=120,I1852*1.25+4,I1852*1.25+5))),
""))),2)</f>
        <v>250.26</v>
      </c>
      <c r="I1852" s="9">
        <f>($K$2+0.02)*Tabla1[[#This Row],[PRECIO $]]*1.18</f>
        <v>210.65832</v>
      </c>
      <c r="J1852" s="7">
        <f>+Tabla1[[#This Row],[PRECIO EN SOLES]]-Tabla1[[#This Row],[PC]]</f>
        <v>39.601679999999988</v>
      </c>
      <c r="K1852" s="15"/>
      <c r="L1852" s="15" t="str">
        <f>IF(
OR(
ISNUMBER(SEARCH("BACKPACK",B1854)),
ISNUMBER(SEARCH("MOCHILA",B1854)),
ISNUMBER(SEARCH("FUNDA",B1854)),
ISNUMBER(SEARCH("ESTUCHE",B1854)),
ISNUMBER(SEARCH("BOOK COVER",B1854)),
ISNUMBER(SEARCH("KEYBOARD PARA TABLET",B1854)),
ISNUMBER(SEARCH("FLIP TABLET",B1854)),
ISNUMBER(SEARCH("CASE FOR TABLET",B1854)),
ISNUMBER(SEARCH("CABLE",B1854)),
ISNUMBER(SEARCH("ADAPTADOR",B1854)),
ISNUMBER(SEARCH("HUB",B1854)),
ISNUMBER(SEARCH("DOCK",B1854)),
ISNUMBER(SEARCH("MOUSE PAD",B1854)),
ISNUMBER(SEARCH("MOUSEPAD",B1854)),
ISNUMBER(SEARCH("SOPORTE",B1854)),
ISNUMBER(SEARCH("STAND",B1854)),
ISNUMBER(SEARCH("TRAVEL ADAPTER",B1854)),
ISNUMBER(SEARCH("RJ45",B1854)),
ISNUMBER(SEARCH("USB-C",B1854)),
ISNUMBER(SEARCH("USB WIFI",B1854)),
ISNUMBER(SEARCH("POWERBANK",B1854)),
ISNUMBER(SEARCH("CARGADOR",B1854)),
ISNUMBER(SEARCH("COOLER PARA NB",B1854)),
ISNUMBER(SEARCH("SOPORTE PARA NB",B1854)),
ISNUMBER(SEARCH("WEBCAM",B1854)),
ISNUMBER(SEARCH("WEB CAM",B1854)),
ISNUMBER(SEARCH("MOUSE",B1854)),
ISNUMBER(SEARCH("TECLADO",B1854))
),
"COMPLEMENTO",
IF(
OR(
LEFT(A1854,2)="NB",
LEFT(A1854,2)="PC",
LEFT(A1854,2)="WS",
LEFT(A1854,2)="TB",
LEFT(A1854,3)="CEL",
LEFT(A1854,3)="MON",
LEFT(A1854,3)="PRE",
LEFT(A1854,3)="PRH",
ISNUMBER(SEARCH("NOTEBOOK",B1854)),
ISNUMBER(SEARCH("LAPTOP",B1854)),
ISNUMBER(SEARCH("MONITOR",B1854)),
ISNUMBER(SEARCH("TABLET",B1854)),
ISNUMBER(SEARCH("SMARTPH",B1854)),
ISNUMBER(SEARCH("IMPRESORA",B1854)),
ISNUMBER(SEARCH("MULTIFUNCIONAL",B1854)),
ISNUMBER(SEARCH("AIO",B1854))
),
"GANCHO",
"NORMAL"
)
)</f>
        <v>NORMAL</v>
      </c>
    </row>
    <row r="1853" spans="1:12" x14ac:dyDescent="0.25">
      <c r="A1853" s="3" t="s">
        <v>5221</v>
      </c>
      <c r="B1853" s="3" t="s">
        <v>5222</v>
      </c>
      <c r="C1853" s="1">
        <v>20</v>
      </c>
      <c r="D1853" s="1">
        <v>118</v>
      </c>
      <c r="E1853" s="1" t="s">
        <v>121</v>
      </c>
      <c r="F1853" s="1" t="s">
        <v>5223</v>
      </c>
      <c r="G1853" s="3" t="s">
        <v>5224</v>
      </c>
      <c r="H1853" s="11">
        <f>ROUND(
IF(L1851="GANCHO",
   IF(I1853&lt;=50,I1853*1.1+4,IF(I1853&lt;=120,I1853*1.1+7,IF(I1853&lt;=250,I1853*1.1+11,I1853*1.1+19))),
IF(L1851="NORMAL",
   IF(I1853&lt;=30,I1853*1.15+2,IF(I1853&lt;=80,I1853*1.15+4,IF(I1853&lt;=150,I1853*1.15+6,I1853*1.15+8))),
IF(L1851="COMPLEMENTO",
   IF(I1853&lt;=25,I1853*1.25+1.5,IF(I1853&lt;=60,I1853*1.25+3,IF(I1853&lt;=120,I1853*1.25+4,I1853*1.25+5))),
""))),2)</f>
        <v>565.24</v>
      </c>
      <c r="I1853" s="9">
        <f>($K$2+0.02)*Tabla1[[#This Row],[PRECIO $]]*1.18</f>
        <v>484.55519999999996</v>
      </c>
      <c r="J1853" s="7">
        <f>+Tabla1[[#This Row],[PRECIO EN SOLES]]-Tabla1[[#This Row],[PC]]</f>
        <v>80.684800000000052</v>
      </c>
      <c r="K1853" s="15"/>
      <c r="L1853" s="15" t="str">
        <f>IF(
OR(
ISNUMBER(SEARCH("BACKPACK",B1855)),
ISNUMBER(SEARCH("MOCHILA",B1855)),
ISNUMBER(SEARCH("FUNDA",B1855)),
ISNUMBER(SEARCH("ESTUCHE",B1855)),
ISNUMBER(SEARCH("BOOK COVER",B1855)),
ISNUMBER(SEARCH("KEYBOARD PARA TABLET",B1855)),
ISNUMBER(SEARCH("FLIP TABLET",B1855)),
ISNUMBER(SEARCH("CASE FOR TABLET",B1855)),
ISNUMBER(SEARCH("CABLE",B1855)),
ISNUMBER(SEARCH("ADAPTADOR",B1855)),
ISNUMBER(SEARCH("HUB",B1855)),
ISNUMBER(SEARCH("DOCK",B1855)),
ISNUMBER(SEARCH("MOUSE PAD",B1855)),
ISNUMBER(SEARCH("MOUSEPAD",B1855)),
ISNUMBER(SEARCH("SOPORTE",B1855)),
ISNUMBER(SEARCH("STAND",B1855)),
ISNUMBER(SEARCH("TRAVEL ADAPTER",B1855)),
ISNUMBER(SEARCH("RJ45",B1855)),
ISNUMBER(SEARCH("USB-C",B1855)),
ISNUMBER(SEARCH("USB WIFI",B1855)),
ISNUMBER(SEARCH("POWERBANK",B1855)),
ISNUMBER(SEARCH("CARGADOR",B1855)),
ISNUMBER(SEARCH("COOLER PARA NB",B1855)),
ISNUMBER(SEARCH("SOPORTE PARA NB",B1855)),
ISNUMBER(SEARCH("WEBCAM",B1855)),
ISNUMBER(SEARCH("WEB CAM",B1855)),
ISNUMBER(SEARCH("MOUSE",B1855)),
ISNUMBER(SEARCH("TECLADO",B1855))
),
"COMPLEMENTO",
IF(
OR(
LEFT(A1855,2)="NB",
LEFT(A1855,2)="PC",
LEFT(A1855,2)="WS",
LEFT(A1855,2)="TB",
LEFT(A1855,3)="CEL",
LEFT(A1855,3)="MON",
LEFT(A1855,3)="PRE",
LEFT(A1855,3)="PRH",
ISNUMBER(SEARCH("NOTEBOOK",B1855)),
ISNUMBER(SEARCH("LAPTOP",B1855)),
ISNUMBER(SEARCH("MONITOR",B1855)),
ISNUMBER(SEARCH("TABLET",B1855)),
ISNUMBER(SEARCH("SMARTPH",B1855)),
ISNUMBER(SEARCH("IMPRESORA",B1855)),
ISNUMBER(SEARCH("MULTIFUNCIONAL",B1855)),
ISNUMBER(SEARCH("AIO",B1855))
),
"GANCHO",
"NORMAL"
)
)</f>
        <v>COMPLEMENTO</v>
      </c>
    </row>
    <row r="1854" spans="1:12" x14ac:dyDescent="0.25">
      <c r="A1854" s="3" t="s">
        <v>5628</v>
      </c>
      <c r="B1854" s="3" t="s">
        <v>5629</v>
      </c>
      <c r="C1854" s="1">
        <v>6</v>
      </c>
      <c r="D1854" s="1">
        <v>1200</v>
      </c>
      <c r="E1854" s="1" t="s">
        <v>58</v>
      </c>
      <c r="F1854" s="1" t="s">
        <v>5630</v>
      </c>
      <c r="G1854" s="3" t="s">
        <v>5631</v>
      </c>
      <c r="H1854" s="11">
        <f>ROUND(
IF(L1852="GANCHO",
   IF(I1854&lt;=50,I1854*1.1+4,IF(I1854&lt;=120,I1854*1.1+7,IF(I1854&lt;=250,I1854*1.1+11,I1854*1.1+19))),
IF(L1852="NORMAL",
   IF(I1854&lt;=30,I1854*1.15+2,IF(I1854&lt;=80,I1854*1.15+4,IF(I1854&lt;=150,I1854*1.15+6,I1854*1.15+8))),
IF(L1852="COMPLEMENTO",
   IF(I1854&lt;=25,I1854*1.25+1.5,IF(I1854&lt;=60,I1854*1.25+3,IF(I1854&lt;=120,I1854*1.25+4,I1854*1.25+5))),
""))),2)</f>
        <v>5674.83</v>
      </c>
      <c r="I1854" s="9">
        <f>($K$2+0.02)*Tabla1[[#This Row],[PRECIO $]]*1.18</f>
        <v>4927.6799999999994</v>
      </c>
      <c r="J1854" s="7">
        <f>+Tabla1[[#This Row],[PRECIO EN SOLES]]-Tabla1[[#This Row],[PC]]</f>
        <v>747.15000000000055</v>
      </c>
      <c r="K1854" s="15"/>
      <c r="L1854" s="15" t="str">
        <f>IF(
OR(
ISNUMBER(SEARCH("BACKPACK",B1856)),
ISNUMBER(SEARCH("MOCHILA",B1856)),
ISNUMBER(SEARCH("FUNDA",B1856)),
ISNUMBER(SEARCH("ESTUCHE",B1856)),
ISNUMBER(SEARCH("BOOK COVER",B1856)),
ISNUMBER(SEARCH("KEYBOARD PARA TABLET",B1856)),
ISNUMBER(SEARCH("FLIP TABLET",B1856)),
ISNUMBER(SEARCH("CASE FOR TABLET",B1856)),
ISNUMBER(SEARCH("CABLE",B1856)),
ISNUMBER(SEARCH("ADAPTADOR",B1856)),
ISNUMBER(SEARCH("HUB",B1856)),
ISNUMBER(SEARCH("DOCK",B1856)),
ISNUMBER(SEARCH("MOUSE PAD",B1856)),
ISNUMBER(SEARCH("MOUSEPAD",B1856)),
ISNUMBER(SEARCH("SOPORTE",B1856)),
ISNUMBER(SEARCH("STAND",B1856)),
ISNUMBER(SEARCH("TRAVEL ADAPTER",B1856)),
ISNUMBER(SEARCH("RJ45",B1856)),
ISNUMBER(SEARCH("USB-C",B1856)),
ISNUMBER(SEARCH("USB WIFI",B1856)),
ISNUMBER(SEARCH("POWERBANK",B1856)),
ISNUMBER(SEARCH("CARGADOR",B1856)),
ISNUMBER(SEARCH("COOLER PARA NB",B1856)),
ISNUMBER(SEARCH("SOPORTE PARA NB",B1856)),
ISNUMBER(SEARCH("WEBCAM",B1856)),
ISNUMBER(SEARCH("WEB CAM",B1856)),
ISNUMBER(SEARCH("MOUSE",B1856)),
ISNUMBER(SEARCH("TECLADO",B1856))
),
"COMPLEMENTO",
IF(
OR(
LEFT(A1856,2)="NB",
LEFT(A1856,2)="PC",
LEFT(A1856,2)="WS",
LEFT(A1856,2)="TB",
LEFT(A1856,3)="CEL",
LEFT(A1856,3)="MON",
LEFT(A1856,3)="PRE",
LEFT(A1856,3)="PRH",
ISNUMBER(SEARCH("NOTEBOOK",B1856)),
ISNUMBER(SEARCH("LAPTOP",B1856)),
ISNUMBER(SEARCH("MONITOR",B1856)),
ISNUMBER(SEARCH("TABLET",B1856)),
ISNUMBER(SEARCH("SMARTPH",B1856)),
ISNUMBER(SEARCH("IMPRESORA",B1856)),
ISNUMBER(SEARCH("MULTIFUNCIONAL",B1856)),
ISNUMBER(SEARCH("AIO",B1856))
),
"GANCHO",
"NORMAL"
)
)</f>
        <v>NORMAL</v>
      </c>
    </row>
    <row r="1855" spans="1:12" x14ac:dyDescent="0.25">
      <c r="A1855" s="3" t="s">
        <v>2741</v>
      </c>
      <c r="B1855" s="3" t="s">
        <v>2742</v>
      </c>
      <c r="C1855" s="1">
        <v>20</v>
      </c>
      <c r="D1855" s="1">
        <v>6.1</v>
      </c>
      <c r="E1855" s="1" t="s">
        <v>58</v>
      </c>
      <c r="F1855" s="1" t="s">
        <v>4172</v>
      </c>
      <c r="G1855" s="3" t="s">
        <v>2743</v>
      </c>
      <c r="H1855" s="11">
        <f>ROUND(
IF(L1853="GANCHO",
   IF(I1855&lt;=50,I1855*1.1+4,IF(I1855&lt;=120,I1855*1.1+7,IF(I1855&lt;=250,I1855*1.1+11,I1855*1.1+19))),
IF(L1853="NORMAL",
   IF(I1855&lt;=30,I1855*1.15+2,IF(I1855&lt;=80,I1855*1.15+4,IF(I1855&lt;=150,I1855*1.15+6,I1855*1.15+8))),
IF(L1853="COMPLEMENTO",
   IF(I1855&lt;=25,I1855*1.25+1.5,IF(I1855&lt;=60,I1855*1.25+3,IF(I1855&lt;=120,I1855*1.25+4,I1855*1.25+5))),
""))),2)</f>
        <v>34.31</v>
      </c>
      <c r="I1855" s="9">
        <f>($K$2+0.02)*Tabla1[[#This Row],[PRECIO $]]*1.18</f>
        <v>25.049039999999998</v>
      </c>
      <c r="J1855" s="7">
        <f>+Tabla1[[#This Row],[PRECIO EN SOLES]]-Tabla1[[#This Row],[PC]]</f>
        <v>9.2609600000000043</v>
      </c>
      <c r="K1855" s="15"/>
      <c r="L1855" s="15" t="str">
        <f>IF(
OR(
ISNUMBER(SEARCH("BACKPACK",B1857)),
ISNUMBER(SEARCH("MOCHILA",B1857)),
ISNUMBER(SEARCH("FUNDA",B1857)),
ISNUMBER(SEARCH("ESTUCHE",B1857)),
ISNUMBER(SEARCH("BOOK COVER",B1857)),
ISNUMBER(SEARCH("KEYBOARD PARA TABLET",B1857)),
ISNUMBER(SEARCH("FLIP TABLET",B1857)),
ISNUMBER(SEARCH("CASE FOR TABLET",B1857)),
ISNUMBER(SEARCH("CABLE",B1857)),
ISNUMBER(SEARCH("ADAPTADOR",B1857)),
ISNUMBER(SEARCH("HUB",B1857)),
ISNUMBER(SEARCH("DOCK",B1857)),
ISNUMBER(SEARCH("MOUSE PAD",B1857)),
ISNUMBER(SEARCH("MOUSEPAD",B1857)),
ISNUMBER(SEARCH("SOPORTE",B1857)),
ISNUMBER(SEARCH("STAND",B1857)),
ISNUMBER(SEARCH("TRAVEL ADAPTER",B1857)),
ISNUMBER(SEARCH("RJ45",B1857)),
ISNUMBER(SEARCH("USB-C",B1857)),
ISNUMBER(SEARCH("USB WIFI",B1857)),
ISNUMBER(SEARCH("POWERBANK",B1857)),
ISNUMBER(SEARCH("CARGADOR",B1857)),
ISNUMBER(SEARCH("COOLER PARA NB",B1857)),
ISNUMBER(SEARCH("SOPORTE PARA NB",B1857)),
ISNUMBER(SEARCH("WEBCAM",B1857)),
ISNUMBER(SEARCH("WEB CAM",B1857)),
ISNUMBER(SEARCH("MOUSE",B1857)),
ISNUMBER(SEARCH("TECLADO",B1857))
),
"COMPLEMENTO",
IF(
OR(
LEFT(A1857,2)="NB",
LEFT(A1857,2)="PC",
LEFT(A1857,2)="WS",
LEFT(A1857,2)="TB",
LEFT(A1857,3)="CEL",
LEFT(A1857,3)="MON",
LEFT(A1857,3)="PRE",
LEFT(A1857,3)="PRH",
ISNUMBER(SEARCH("NOTEBOOK",B1857)),
ISNUMBER(SEARCH("LAPTOP",B1857)),
ISNUMBER(SEARCH("MONITOR",B1857)),
ISNUMBER(SEARCH("TABLET",B1857)),
ISNUMBER(SEARCH("SMARTPH",B1857)),
ISNUMBER(SEARCH("IMPRESORA",B1857)),
ISNUMBER(SEARCH("MULTIFUNCIONAL",B1857)),
ISNUMBER(SEARCH("AIO",B1857))
),
"GANCHO",
"NORMAL"
)
)</f>
        <v>NORMAL</v>
      </c>
    </row>
    <row r="1856" spans="1:12" x14ac:dyDescent="0.25">
      <c r="A1856" s="3" t="s">
        <v>2744</v>
      </c>
      <c r="B1856" s="3" t="s">
        <v>2745</v>
      </c>
      <c r="C1856" s="1">
        <v>20</v>
      </c>
      <c r="D1856" s="1">
        <v>4.8</v>
      </c>
      <c r="E1856" s="1" t="s">
        <v>58</v>
      </c>
      <c r="F1856" s="1" t="s">
        <v>4173</v>
      </c>
      <c r="G1856" s="3" t="s">
        <v>2746</v>
      </c>
      <c r="H1856" s="11">
        <f>ROUND(
IF(L1854="GANCHO",
   IF(I1856&lt;=50,I1856*1.1+4,IF(I1856&lt;=120,I1856*1.1+7,IF(I1856&lt;=250,I1856*1.1+11,I1856*1.1+19))),
IF(L1854="NORMAL",
   IF(I1856&lt;=30,I1856*1.15+2,IF(I1856&lt;=80,I1856*1.15+4,IF(I1856&lt;=150,I1856*1.15+6,I1856*1.15+8))),
IF(L1854="COMPLEMENTO",
   IF(I1856&lt;=25,I1856*1.25+1.5,IF(I1856&lt;=60,I1856*1.25+3,IF(I1856&lt;=120,I1856*1.25+4,I1856*1.25+5))),
""))),2)</f>
        <v>24.67</v>
      </c>
      <c r="I1856" s="9">
        <f>($K$2+0.02)*Tabla1[[#This Row],[PRECIO $]]*1.18</f>
        <v>19.710719999999998</v>
      </c>
      <c r="J1856" s="7">
        <f>+Tabla1[[#This Row],[PRECIO EN SOLES]]-Tabla1[[#This Row],[PC]]</f>
        <v>4.9592800000000032</v>
      </c>
      <c r="K1856" s="15"/>
      <c r="L1856" s="15" t="str">
        <f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COMPLEMENTO</v>
      </c>
    </row>
    <row r="1857" spans="1:12" x14ac:dyDescent="0.25">
      <c r="A1857" s="3" t="s">
        <v>2747</v>
      </c>
      <c r="B1857" s="3" t="s">
        <v>2748</v>
      </c>
      <c r="C1857" s="1">
        <v>2</v>
      </c>
      <c r="D1857" s="1">
        <v>296</v>
      </c>
      <c r="E1857" s="1" t="s">
        <v>58</v>
      </c>
      <c r="F1857" s="1" t="s">
        <v>4174</v>
      </c>
      <c r="G1857" s="3" t="s">
        <v>2749</v>
      </c>
      <c r="H1857" s="11">
        <f>ROUND(
IF(L1855="GANCHO",
   IF(I1857&lt;=50,I1857*1.1+4,IF(I1857&lt;=120,I1857*1.1+7,IF(I1857&lt;=250,I1857*1.1+11,I1857*1.1+19))),
IF(L1855="NORMAL",
   IF(I1857&lt;=30,I1857*1.15+2,IF(I1857&lt;=80,I1857*1.15+4,IF(I1857&lt;=150,I1857*1.15+6,I1857*1.15+8))),
IF(L1855="COMPLEMENTO",
   IF(I1857&lt;=25,I1857*1.25+1.5,IF(I1857&lt;=60,I1857*1.25+3,IF(I1857&lt;=120,I1857*1.25+4,I1857*1.25+5))),
""))),2)</f>
        <v>1405.82</v>
      </c>
      <c r="I1857" s="9">
        <f>($K$2+0.02)*Tabla1[[#This Row],[PRECIO $]]*1.18</f>
        <v>1215.4943999999998</v>
      </c>
      <c r="J1857" s="7">
        <f>+Tabla1[[#This Row],[PRECIO EN SOLES]]-Tabla1[[#This Row],[PC]]</f>
        <v>190.32560000000012</v>
      </c>
      <c r="K1857" s="15"/>
      <c r="L1857" s="15" t="str">
        <f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58" spans="1:12" x14ac:dyDescent="0.25">
      <c r="A1858" s="3" t="s">
        <v>5632</v>
      </c>
      <c r="B1858" s="3" t="s">
        <v>5633</v>
      </c>
      <c r="C1858" s="1">
        <v>4</v>
      </c>
      <c r="D1858" s="1">
        <v>374</v>
      </c>
      <c r="E1858" s="1" t="s">
        <v>58</v>
      </c>
      <c r="F1858" s="1" t="s">
        <v>5634</v>
      </c>
      <c r="G1858" s="3" t="s">
        <v>5635</v>
      </c>
      <c r="H1858" s="11">
        <f>ROUND(
IF(L1856="GANCHO",
   IF(I1858&lt;=50,I1858*1.1+4,IF(I1858&lt;=120,I1858*1.1+7,IF(I1858&lt;=250,I1858*1.1+11,I1858*1.1+19))),
IF(L1856="NORMAL",
   IF(I1858&lt;=30,I1858*1.15+2,IF(I1858&lt;=80,I1858*1.15+4,IF(I1858&lt;=150,I1858*1.15+6,I1858*1.15+8))),
IF(L1856="COMPLEMENTO",
   IF(I1858&lt;=25,I1858*1.25+1.5,IF(I1858&lt;=60,I1858*1.25+3,IF(I1858&lt;=120,I1858*1.25+4,I1858*1.25+5))),
""))),2)</f>
        <v>1924.74</v>
      </c>
      <c r="I1858" s="9">
        <f>($K$2+0.02)*Tabla1[[#This Row],[PRECIO $]]*1.18</f>
        <v>1535.7936</v>
      </c>
      <c r="J1858" s="7">
        <f>+Tabla1[[#This Row],[PRECIO EN SOLES]]-Tabla1[[#This Row],[PC]]</f>
        <v>388.94640000000004</v>
      </c>
      <c r="K1858" s="15"/>
      <c r="L1858" s="15" t="str">
        <f>IF(
OR(
ISNUMBER(SEARCH("BACKPACK",B1860)),
ISNUMBER(SEARCH("MOCHILA",B1860)),
ISNUMBER(SEARCH("FUNDA",B1860)),
ISNUMBER(SEARCH("ESTUCHE",B1860)),
ISNUMBER(SEARCH("BOOK COVER",B1860)),
ISNUMBER(SEARCH("KEYBOARD PARA TABLET",B1860)),
ISNUMBER(SEARCH("FLIP TABLET",B1860)),
ISNUMBER(SEARCH("CASE FOR TABLET",B1860)),
ISNUMBER(SEARCH("CABLE",B1860)),
ISNUMBER(SEARCH("ADAPTADOR",B1860)),
ISNUMBER(SEARCH("HUB",B1860)),
ISNUMBER(SEARCH("DOCK",B1860)),
ISNUMBER(SEARCH("MOUSE PAD",B1860)),
ISNUMBER(SEARCH("MOUSEPAD",B1860)),
ISNUMBER(SEARCH("SOPORTE",B1860)),
ISNUMBER(SEARCH("STAND",B1860)),
ISNUMBER(SEARCH("TRAVEL ADAPTER",B1860)),
ISNUMBER(SEARCH("RJ45",B1860)),
ISNUMBER(SEARCH("USB-C",B1860)),
ISNUMBER(SEARCH("USB WIFI",B1860)),
ISNUMBER(SEARCH("POWERBANK",B1860)),
ISNUMBER(SEARCH("CARGADOR",B1860)),
ISNUMBER(SEARCH("COOLER PARA NB",B1860)),
ISNUMBER(SEARCH("SOPORTE PARA NB",B1860)),
ISNUMBER(SEARCH("WEBCAM",B1860)),
ISNUMBER(SEARCH("WEB CAM",B1860)),
ISNUMBER(SEARCH("MOUSE",B1860)),
ISNUMBER(SEARCH("TECLADO",B1860))
),
"COMPLEMENTO",
IF(
OR(
LEFT(A1860,2)="NB",
LEFT(A1860,2)="PC",
LEFT(A1860,2)="WS",
LEFT(A1860,2)="TB",
LEFT(A1860,3)="CEL",
LEFT(A1860,3)="MON",
LEFT(A1860,3)="PRE",
LEFT(A1860,3)="PRH",
ISNUMBER(SEARCH("NOTEBOOK",B1860)),
ISNUMBER(SEARCH("LAPTOP",B1860)),
ISNUMBER(SEARCH("MONITOR",B1860)),
ISNUMBER(SEARCH("TABLET",B1860)),
ISNUMBER(SEARCH("SMARTPH",B1860)),
ISNUMBER(SEARCH("IMPRESORA",B1860)),
ISNUMBER(SEARCH("MULTIFUNCIONAL",B1860)),
ISNUMBER(SEARCH("AIO",B1860))
),
"GANCHO",
"NORMAL"
)
)</f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>ROUND(
IF(L1857="GANCHO",
   IF(I1859&lt;=50,I1859*1.1+4,IF(I1859&lt;=120,I1859*1.1+7,IF(I1859&lt;=250,I1859*1.1+11,I1859*1.1+19))),
IF(L1857="NORMAL",
   IF(I1859&lt;=30,I1859*1.15+2,IF(I1859&lt;=80,I1859*1.15+4,IF(I1859&lt;=150,I1859*1.15+6,I1859*1.15+8))),
IF(L1857="COMPLEMENTO",
   IF(I1859&lt;=25,I1859*1.25+1.5,IF(I1859&lt;=60,I1859*1.25+3,IF(I1859&lt;=120,I1859*1.25+4,I1859*1.25+5))),
""))),2)</f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>IF(
OR(
ISNUMBER(SEARCH("BACKPACK",B1861)),
ISNUMBER(SEARCH("MOCHILA",B1861)),
ISNUMBER(SEARCH("FUNDA",B1861)),
ISNUMBER(SEARCH("ESTUCHE",B1861)),
ISNUMBER(SEARCH("BOOK COVER",B1861)),
ISNUMBER(SEARCH("KEYBOARD PARA TABLET",B1861)),
ISNUMBER(SEARCH("FLIP TABLET",B1861)),
ISNUMBER(SEARCH("CASE FOR TABLET",B1861)),
ISNUMBER(SEARCH("CABLE",B1861)),
ISNUMBER(SEARCH("ADAPTADOR",B1861)),
ISNUMBER(SEARCH("HUB",B1861)),
ISNUMBER(SEARCH("DOCK",B1861)),
ISNUMBER(SEARCH("MOUSE PAD",B1861)),
ISNUMBER(SEARCH("MOUSEPAD",B1861)),
ISNUMBER(SEARCH("SOPORTE",B1861)),
ISNUMBER(SEARCH("STAND",B1861)),
ISNUMBER(SEARCH("TRAVEL ADAPTER",B1861)),
ISNUMBER(SEARCH("RJ45",B1861)),
ISNUMBER(SEARCH("USB-C",B1861)),
ISNUMBER(SEARCH("USB WIFI",B1861)),
ISNUMBER(SEARCH("POWERBANK",B1861)),
ISNUMBER(SEARCH("CARGADOR",B1861)),
ISNUMBER(SEARCH("COOLER PARA NB",B1861)),
ISNUMBER(SEARCH("SOPORTE PARA NB",B1861)),
ISNUMBER(SEARCH("WEBCAM",B1861)),
ISNUMBER(SEARCH("WEB CAM",B1861)),
ISNUMBER(SEARCH("MOUSE",B1861)),
ISNUMBER(SEARCH("TECLADO",B1861))
),
"COMPLEMENTO",
IF(
OR(
LEFT(A1861,2)="NB",
LEFT(A1861,2)="PC",
LEFT(A1861,2)="WS",
LEFT(A1861,2)="TB",
LEFT(A1861,3)="CEL",
LEFT(A1861,3)="MON",
LEFT(A1861,3)="PRE",
LEFT(A1861,3)="PRH",
ISNUMBER(SEARCH("NOTEBOOK",B1861)),
ISNUMBER(SEARCH("LAPTOP",B1861)),
ISNUMBER(SEARCH("MONITOR",B1861)),
ISNUMBER(SEARCH("TABLET",B1861)),
ISNUMBER(SEARCH("SMARTPH",B1861)),
ISNUMBER(SEARCH("IMPRESORA",B1861)),
ISNUMBER(SEARCH("MULTIFUNCIONAL",B1861)),
ISNUMBER(SEARCH("AIO",B1861))
),
"GANCHO",
"NORMAL"
)
)</f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>ROUND(
IF(L1858="GANCHO",
   IF(I1860&lt;=50,I1860*1.1+4,IF(I1860&lt;=120,I1860*1.1+7,IF(I1860&lt;=250,I1860*1.1+11,I1860*1.1+19))),
IF(L1858="NORMAL",
   IF(I1860&lt;=30,I1860*1.15+2,IF(I1860&lt;=80,I1860*1.15+4,IF(I1860&lt;=150,I1860*1.15+6,I1860*1.15+8))),
IF(L1858="COMPLEMENTO",
   IF(I1860&lt;=25,I1860*1.25+1.5,IF(I1860&lt;=60,I1860*1.25+3,IF(I1860&lt;=120,I1860*1.25+4,I1860*1.25+5))),
""))),2)</f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>IF(
OR(
ISNUMBER(SEARCH("BACKPACK",B1862)),
ISNUMBER(SEARCH("MOCHILA",B1862)),
ISNUMBER(SEARCH("FUNDA",B1862)),
ISNUMBER(SEARCH("ESTUCHE",B1862)),
ISNUMBER(SEARCH("BOOK COVER",B1862)),
ISNUMBER(SEARCH("KEYBOARD PARA TABLET",B1862)),
ISNUMBER(SEARCH("FLIP TABLET",B1862)),
ISNUMBER(SEARCH("CASE FOR TABLET",B1862)),
ISNUMBER(SEARCH("CABLE",B1862)),
ISNUMBER(SEARCH("ADAPTADOR",B1862)),
ISNUMBER(SEARCH("HUB",B1862)),
ISNUMBER(SEARCH("DOCK",B1862)),
ISNUMBER(SEARCH("MOUSE PAD",B1862)),
ISNUMBER(SEARCH("MOUSEPAD",B1862)),
ISNUMBER(SEARCH("SOPORTE",B1862)),
ISNUMBER(SEARCH("STAND",B1862)),
ISNUMBER(SEARCH("TRAVEL ADAPTER",B1862)),
ISNUMBER(SEARCH("RJ45",B1862)),
ISNUMBER(SEARCH("USB-C",B1862)),
ISNUMBER(SEARCH("USB WIFI",B1862)),
ISNUMBER(SEARCH("POWERBANK",B1862)),
ISNUMBER(SEARCH("CARGADOR",B1862)),
ISNUMBER(SEARCH("COOLER PARA NB",B1862)),
ISNUMBER(SEARCH("SOPORTE PARA NB",B1862)),
ISNUMBER(SEARCH("WEBCAM",B1862)),
ISNUMBER(SEARCH("WEB CAM",B1862)),
ISNUMBER(SEARCH("MOUSE",B1862)),
ISNUMBER(SEARCH("TECLADO",B1862))
),
"COMPLEMENTO",
IF(
OR(
LEFT(A1862,2)="NB",
LEFT(A1862,2)="PC",
LEFT(A1862,2)="WS",
LEFT(A1862,2)="TB",
LEFT(A1862,3)="CEL",
LEFT(A1862,3)="MON",
LEFT(A1862,3)="PRE",
LEFT(A1862,3)="PRH",
ISNUMBER(SEARCH("NOTEBOOK",B1862)),
ISNUMBER(SEARCH("LAPTOP",B1862)),
ISNUMBER(SEARCH("MONITOR",B1862)),
ISNUMBER(SEARCH("TABLET",B1862)),
ISNUMBER(SEARCH("SMARTPH",B1862)),
ISNUMBER(SEARCH("IMPRESORA",B1862)),
ISNUMBER(SEARCH("MULTIFUNCIONAL",B1862)),
ISNUMBER(SEARCH("AIO",B1862))
),
"GANCHO",
"NORMAL"
)
)</f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>ROUND(
IF(L1859="GANCHO",
   IF(I1861&lt;=50,I1861*1.1+4,IF(I1861&lt;=120,I1861*1.1+7,IF(I1861&lt;=250,I1861*1.1+11,I1861*1.1+19))),
IF(L1859="NORMAL",
   IF(I1861&lt;=30,I1861*1.15+2,IF(I1861&lt;=80,I1861*1.15+4,IF(I1861&lt;=150,I1861*1.15+6,I1861*1.15+8))),
IF(L1859="COMPLEMENTO",
   IF(I1861&lt;=25,I1861*1.25+1.5,IF(I1861&lt;=60,I1861*1.25+3,IF(I1861&lt;=120,I1861*1.25+4,I1861*1.25+5))),
""))),2)</f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>IF(
OR(
ISNUMBER(SEARCH("BACKPACK",B1863)),
ISNUMBER(SEARCH("MOCHILA",B1863)),
ISNUMBER(SEARCH("FUNDA",B1863)),
ISNUMBER(SEARCH("ESTUCHE",B1863)),
ISNUMBER(SEARCH("BOOK COVER",B1863)),
ISNUMBER(SEARCH("KEYBOARD PARA TABLET",B1863)),
ISNUMBER(SEARCH("FLIP TABLET",B1863)),
ISNUMBER(SEARCH("CASE FOR TABLET",B1863)),
ISNUMBER(SEARCH("CABLE",B1863)),
ISNUMBER(SEARCH("ADAPTADOR",B1863)),
ISNUMBER(SEARCH("HUB",B1863)),
ISNUMBER(SEARCH("DOCK",B1863)),
ISNUMBER(SEARCH("MOUSE PAD",B1863)),
ISNUMBER(SEARCH("MOUSEPAD",B1863)),
ISNUMBER(SEARCH("SOPORTE",B1863)),
ISNUMBER(SEARCH("STAND",B1863)),
ISNUMBER(SEARCH("TRAVEL ADAPTER",B1863)),
ISNUMBER(SEARCH("RJ45",B1863)),
ISNUMBER(SEARCH("USB-C",B1863)),
ISNUMBER(SEARCH("USB WIFI",B1863)),
ISNUMBER(SEARCH("POWERBANK",B1863)),
ISNUMBER(SEARCH("CARGADOR",B1863)),
ISNUMBER(SEARCH("COOLER PARA NB",B1863)),
ISNUMBER(SEARCH("SOPORTE PARA NB",B1863)),
ISNUMBER(SEARCH("WEBCAM",B1863)),
ISNUMBER(SEARCH("WEB CAM",B1863)),
ISNUMBER(SEARCH("MOUSE",B1863)),
ISNUMBER(SEARCH("TECLADO",B1863))
),
"COMPLEMENTO",
IF(
OR(
LEFT(A1863,2)="NB",
LEFT(A1863,2)="PC",
LEFT(A1863,2)="WS",
LEFT(A1863,2)="TB",
LEFT(A1863,3)="CEL",
LEFT(A1863,3)="MON",
LEFT(A1863,3)="PRE",
LEFT(A1863,3)="PRH",
ISNUMBER(SEARCH("NOTEBOOK",B1863)),
ISNUMBER(SEARCH("LAPTOP",B1863)),
ISNUMBER(SEARCH("MONITOR",B1863)),
ISNUMBER(SEARCH("TABLET",B1863)),
ISNUMBER(SEARCH("SMARTPH",B1863)),
ISNUMBER(SEARCH("IMPRESORA",B1863)),
ISNUMBER(SEARCH("MULTIFUNCIONAL",B1863)),
ISNUMBER(SEARCH("AIO",B1863))
),
"GANCHO",
"NORMAL"
)
)</f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>ROUND(
IF(L1860="GANCHO",
   IF(I1862&lt;=50,I1862*1.1+4,IF(I1862&lt;=120,I1862*1.1+7,IF(I1862&lt;=250,I1862*1.1+11,I1862*1.1+19))),
IF(L1860="NORMAL",
   IF(I1862&lt;=30,I1862*1.15+2,IF(I1862&lt;=80,I1862*1.15+4,IF(I1862&lt;=150,I1862*1.15+6,I1862*1.15+8))),
IF(L1860="COMPLEMENTO",
   IF(I1862&lt;=25,I1862*1.25+1.5,IF(I1862&lt;=60,I1862*1.25+3,IF(I1862&lt;=120,I1862*1.25+4,I1862*1.25+5))),
""))),2)</f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>IF(
OR(
ISNUMBER(SEARCH("BACKPACK",B1864)),
ISNUMBER(SEARCH("MOCHILA",B1864)),
ISNUMBER(SEARCH("FUNDA",B1864)),
ISNUMBER(SEARCH("ESTUCHE",B1864)),
ISNUMBER(SEARCH("BOOK COVER",B1864)),
ISNUMBER(SEARCH("KEYBOARD PARA TABLET",B1864)),
ISNUMBER(SEARCH("FLIP TABLET",B1864)),
ISNUMBER(SEARCH("CASE FOR TABLET",B1864)),
ISNUMBER(SEARCH("CABLE",B1864)),
ISNUMBER(SEARCH("ADAPTADOR",B1864)),
ISNUMBER(SEARCH("HUB",B1864)),
ISNUMBER(SEARCH("DOCK",B1864)),
ISNUMBER(SEARCH("MOUSE PAD",B1864)),
ISNUMBER(SEARCH("MOUSEPAD",B1864)),
ISNUMBER(SEARCH("SOPORTE",B1864)),
ISNUMBER(SEARCH("STAND",B1864)),
ISNUMBER(SEARCH("TRAVEL ADAPTER",B1864)),
ISNUMBER(SEARCH("RJ45",B1864)),
ISNUMBER(SEARCH("USB-C",B1864)),
ISNUMBER(SEARCH("USB WIFI",B1864)),
ISNUMBER(SEARCH("POWERBANK",B1864)),
ISNUMBER(SEARCH("CARGADOR",B1864)),
ISNUMBER(SEARCH("COOLER PARA NB",B1864)),
ISNUMBER(SEARCH("SOPORTE PARA NB",B1864)),
ISNUMBER(SEARCH("WEBCAM",B1864)),
ISNUMBER(SEARCH("WEB CAM",B1864)),
ISNUMBER(SEARCH("MOUSE",B1864)),
ISNUMBER(SEARCH("TECLADO",B1864))
),
"COMPLEMENTO",
IF(
OR(
LEFT(A1864,2)="NB",
LEFT(A1864,2)="PC",
LEFT(A1864,2)="WS",
LEFT(A1864,2)="TB",
LEFT(A1864,3)="CEL",
LEFT(A1864,3)="MON",
LEFT(A1864,3)="PRE",
LEFT(A1864,3)="PRH",
ISNUMBER(SEARCH("NOTEBOOK",B1864)),
ISNUMBER(SEARCH("LAPTOP",B1864)),
ISNUMBER(SEARCH("MONITOR",B1864)),
ISNUMBER(SEARCH("TABLET",B1864)),
ISNUMBER(SEARCH("SMARTPH",B1864)),
ISNUMBER(SEARCH("IMPRESORA",B1864)),
ISNUMBER(SEARCH("MULTIFUNCIONAL",B1864)),
ISNUMBER(SEARCH("AIO",B1864))
),
"GANCHO",
"NORMAL"
)
)</f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>ROUND(
IF(L1861="GANCHO",
   IF(I1863&lt;=50,I1863*1.1+4,IF(I1863&lt;=120,I1863*1.1+7,IF(I1863&lt;=250,I1863*1.1+11,I1863*1.1+19))),
IF(L1861="NORMAL",
   IF(I1863&lt;=30,I1863*1.15+2,IF(I1863&lt;=80,I1863*1.15+4,IF(I1863&lt;=150,I1863*1.15+6,I1863*1.15+8))),
IF(L1861="COMPLEMENTO",
   IF(I1863&lt;=25,I1863*1.25+1.5,IF(I1863&lt;=60,I1863*1.25+3,IF(I1863&lt;=120,I1863*1.25+4,I1863*1.25+5))),
""))),2)</f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>IF(
OR(
ISNUMBER(SEARCH("BACKPACK",B1865)),
ISNUMBER(SEARCH("MOCHILA",B1865)),
ISNUMBER(SEARCH("FUNDA",B1865)),
ISNUMBER(SEARCH("ESTUCHE",B1865)),
ISNUMBER(SEARCH("BOOK COVER",B1865)),
ISNUMBER(SEARCH("KEYBOARD PARA TABLET",B1865)),
ISNUMBER(SEARCH("FLIP TABLET",B1865)),
ISNUMBER(SEARCH("CASE FOR TABLET",B1865)),
ISNUMBER(SEARCH("CABLE",B1865)),
ISNUMBER(SEARCH("ADAPTADOR",B1865)),
ISNUMBER(SEARCH("HUB",B1865)),
ISNUMBER(SEARCH("DOCK",B1865)),
ISNUMBER(SEARCH("MOUSE PAD",B1865)),
ISNUMBER(SEARCH("MOUSEPAD",B1865)),
ISNUMBER(SEARCH("SOPORTE",B1865)),
ISNUMBER(SEARCH("STAND",B1865)),
ISNUMBER(SEARCH("TRAVEL ADAPTER",B1865)),
ISNUMBER(SEARCH("RJ45",B1865)),
ISNUMBER(SEARCH("USB-C",B1865)),
ISNUMBER(SEARCH("USB WIFI",B1865)),
ISNUMBER(SEARCH("POWERBANK",B1865)),
ISNUMBER(SEARCH("CARGADOR",B1865)),
ISNUMBER(SEARCH("COOLER PARA NB",B1865)),
ISNUMBER(SEARCH("SOPORTE PARA NB",B1865)),
ISNUMBER(SEARCH("WEBCAM",B1865)),
ISNUMBER(SEARCH("WEB CAM",B1865)),
ISNUMBER(SEARCH("MOUSE",B1865)),
ISNUMBER(SEARCH("TECLADO",B1865))
),
"COMPLEMENTO",
IF(
OR(
LEFT(A1865,2)="NB",
LEFT(A1865,2)="PC",
LEFT(A1865,2)="WS",
LEFT(A1865,2)="TB",
LEFT(A1865,3)="CEL",
LEFT(A1865,3)="MON",
LEFT(A1865,3)="PRE",
LEFT(A1865,3)="PRH",
ISNUMBER(SEARCH("NOTEBOOK",B1865)),
ISNUMBER(SEARCH("LAPTOP",B1865)),
ISNUMBER(SEARCH("MONITOR",B1865)),
ISNUMBER(SEARCH("TABLET",B1865)),
ISNUMBER(SEARCH("SMARTPH",B1865)),
ISNUMBER(SEARCH("IMPRESORA",B1865)),
ISNUMBER(SEARCH("MULTIFUNCIONAL",B1865)),
ISNUMBER(SEARCH("AIO",B1865))
),
"GANCHO",
"NORMAL"
)
)</f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>ROUND(
IF(L1862="GANCHO",
   IF(I1864&lt;=50,I1864*1.1+4,IF(I1864&lt;=120,I1864*1.1+7,IF(I1864&lt;=250,I1864*1.1+11,I1864*1.1+19))),
IF(L1862="NORMAL",
   IF(I1864&lt;=30,I1864*1.15+2,IF(I1864&lt;=80,I1864*1.15+4,IF(I1864&lt;=150,I1864*1.15+6,I1864*1.15+8))),
IF(L1862="COMPLEMENTO",
   IF(I1864&lt;=25,I1864*1.25+1.5,IF(I1864&lt;=60,I1864*1.25+3,IF(I1864&lt;=120,I1864*1.25+4,I1864*1.25+5))),
""))),2)</f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>IF(
OR(
ISNUMBER(SEARCH("BACKPACK",B1866)),
ISNUMBER(SEARCH("MOCHILA",B1866)),
ISNUMBER(SEARCH("FUNDA",B1866)),
ISNUMBER(SEARCH("ESTUCHE",B1866)),
ISNUMBER(SEARCH("BOOK COVER",B1866)),
ISNUMBER(SEARCH("KEYBOARD PARA TABLET",B1866)),
ISNUMBER(SEARCH("FLIP TABLET",B1866)),
ISNUMBER(SEARCH("CASE FOR TABLET",B1866)),
ISNUMBER(SEARCH("CABLE",B1866)),
ISNUMBER(SEARCH("ADAPTADOR",B1866)),
ISNUMBER(SEARCH("HUB",B1866)),
ISNUMBER(SEARCH("DOCK",B1866)),
ISNUMBER(SEARCH("MOUSE PAD",B1866)),
ISNUMBER(SEARCH("MOUSEPAD",B1866)),
ISNUMBER(SEARCH("SOPORTE",B1866)),
ISNUMBER(SEARCH("STAND",B1866)),
ISNUMBER(SEARCH("TRAVEL ADAPTER",B1866)),
ISNUMBER(SEARCH("RJ45",B1866)),
ISNUMBER(SEARCH("USB-C",B1866)),
ISNUMBER(SEARCH("USB WIFI",B1866)),
ISNUMBER(SEARCH("POWERBANK",B1866)),
ISNUMBER(SEARCH("CARGADOR",B1866)),
ISNUMBER(SEARCH("COOLER PARA NB",B1866)),
ISNUMBER(SEARCH("SOPORTE PARA NB",B1866)),
ISNUMBER(SEARCH("WEBCAM",B1866)),
ISNUMBER(SEARCH("WEB CAM",B1866)),
ISNUMBER(SEARCH("MOUSE",B1866)),
ISNUMBER(SEARCH("TECLADO",B1866))
),
"COMPLEMENTO",
IF(
OR(
LEFT(A1866,2)="NB",
LEFT(A1866,2)="PC",
LEFT(A1866,2)="WS",
LEFT(A1866,2)="TB",
LEFT(A1866,3)="CEL",
LEFT(A1866,3)="MON",
LEFT(A1866,3)="PRE",
LEFT(A1866,3)="PRH",
ISNUMBER(SEARCH("NOTEBOOK",B1866)),
ISNUMBER(SEARCH("LAPTOP",B1866)),
ISNUMBER(SEARCH("MONITOR",B1866)),
ISNUMBER(SEARCH("TABLET",B1866)),
ISNUMBER(SEARCH("SMARTPH",B1866)),
ISNUMBER(SEARCH("IMPRESORA",B1866)),
ISNUMBER(SEARCH("MULTIFUNCIONAL",B1866)),
ISNUMBER(SEARCH("AIO",B1866))
),
"GANCHO",
"NORMAL"
)
)</f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>ROUND(
IF(L1863="GANCHO",
   IF(I1865&lt;=50,I1865*1.1+4,IF(I1865&lt;=120,I1865*1.1+7,IF(I1865&lt;=250,I1865*1.1+11,I1865*1.1+19))),
IF(L1863="NORMAL",
   IF(I1865&lt;=30,I1865*1.15+2,IF(I1865&lt;=80,I1865*1.15+4,IF(I1865&lt;=150,I1865*1.15+6,I1865*1.15+8))),
IF(L1863="COMPLEMENTO",
   IF(I1865&lt;=25,I1865*1.25+1.5,IF(I1865&lt;=60,I1865*1.25+3,IF(I1865&lt;=120,I1865*1.25+4,I1865*1.25+5))),
""))),2)</f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>IF(
OR(
ISNUMBER(SEARCH("BACKPACK",B1867)),
ISNUMBER(SEARCH("MOCHILA",B1867)),
ISNUMBER(SEARCH("FUNDA",B1867)),
ISNUMBER(SEARCH("ESTUCHE",B1867)),
ISNUMBER(SEARCH("BOOK COVER",B1867)),
ISNUMBER(SEARCH("KEYBOARD PARA TABLET",B1867)),
ISNUMBER(SEARCH("FLIP TABLET",B1867)),
ISNUMBER(SEARCH("CASE FOR TABLET",B1867)),
ISNUMBER(SEARCH("CABLE",B1867)),
ISNUMBER(SEARCH("ADAPTADOR",B1867)),
ISNUMBER(SEARCH("HUB",B1867)),
ISNUMBER(SEARCH("DOCK",B1867)),
ISNUMBER(SEARCH("MOUSE PAD",B1867)),
ISNUMBER(SEARCH("MOUSEPAD",B1867)),
ISNUMBER(SEARCH("SOPORTE",B1867)),
ISNUMBER(SEARCH("STAND",B1867)),
ISNUMBER(SEARCH("TRAVEL ADAPTER",B1867)),
ISNUMBER(SEARCH("RJ45",B1867)),
ISNUMBER(SEARCH("USB-C",B1867)),
ISNUMBER(SEARCH("USB WIFI",B1867)),
ISNUMBER(SEARCH("POWERBANK",B1867)),
ISNUMBER(SEARCH("CARGADOR",B1867)),
ISNUMBER(SEARCH("COOLER PARA NB",B1867)),
ISNUMBER(SEARCH("SOPORTE PARA NB",B1867)),
ISNUMBER(SEARCH("WEBCAM",B1867)),
ISNUMBER(SEARCH("WEB CAM",B1867)),
ISNUMBER(SEARCH("MOUSE",B1867)),
ISNUMBER(SEARCH("TECLADO",B1867))
),
"COMPLEMENTO",
IF(
OR(
LEFT(A1867,2)="NB",
LEFT(A1867,2)="PC",
LEFT(A1867,2)="WS",
LEFT(A1867,2)="TB",
LEFT(A1867,3)="CEL",
LEFT(A1867,3)="MON",
LEFT(A1867,3)="PRE",
LEFT(A1867,3)="PRH",
ISNUMBER(SEARCH("NOTEBOOK",B1867)),
ISNUMBER(SEARCH("LAPTOP",B1867)),
ISNUMBER(SEARCH("MONITOR",B1867)),
ISNUMBER(SEARCH("TABLET",B1867)),
ISNUMBER(SEARCH("SMARTPH",B1867)),
ISNUMBER(SEARCH("IMPRESORA",B1867)),
ISNUMBER(SEARCH("MULTIFUNCIONAL",B1867)),
ISNUMBER(SEARCH("AIO",B1867))
),
"GANCHO",
"NORMAL"
)
)</f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>ROUND(
IF(L1864="GANCHO",
   IF(I1866&lt;=50,I1866*1.1+4,IF(I1866&lt;=120,I1866*1.1+7,IF(I1866&lt;=250,I1866*1.1+11,I1866*1.1+19))),
IF(L1864="NORMAL",
   IF(I1866&lt;=30,I1866*1.15+2,IF(I1866&lt;=80,I1866*1.15+4,IF(I1866&lt;=150,I1866*1.15+6,I1866*1.15+8))),
IF(L1864="COMPLEMENTO",
   IF(I1866&lt;=25,I1866*1.25+1.5,IF(I1866&lt;=60,I1866*1.25+3,IF(I1866&lt;=120,I1866*1.25+4,I1866*1.25+5))),
""))),2)</f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>IF(
OR(
ISNUMBER(SEARCH("BACKPACK",B1868)),
ISNUMBER(SEARCH("MOCHILA",B1868)),
ISNUMBER(SEARCH("FUNDA",B1868)),
ISNUMBER(SEARCH("ESTUCHE",B1868)),
ISNUMBER(SEARCH("BOOK COVER",B1868)),
ISNUMBER(SEARCH("KEYBOARD PARA TABLET",B1868)),
ISNUMBER(SEARCH("FLIP TABLET",B1868)),
ISNUMBER(SEARCH("CASE FOR TABLET",B1868)),
ISNUMBER(SEARCH("CABLE",B1868)),
ISNUMBER(SEARCH("ADAPTADOR",B1868)),
ISNUMBER(SEARCH("HUB",B1868)),
ISNUMBER(SEARCH("DOCK",B1868)),
ISNUMBER(SEARCH("MOUSE PAD",B1868)),
ISNUMBER(SEARCH("MOUSEPAD",B1868)),
ISNUMBER(SEARCH("SOPORTE",B1868)),
ISNUMBER(SEARCH("STAND",B1868)),
ISNUMBER(SEARCH("TRAVEL ADAPTER",B1868)),
ISNUMBER(SEARCH("RJ45",B1868)),
ISNUMBER(SEARCH("USB-C",B1868)),
ISNUMBER(SEARCH("USB WIFI",B1868)),
ISNUMBER(SEARCH("POWERBANK",B1868)),
ISNUMBER(SEARCH("CARGADOR",B1868)),
ISNUMBER(SEARCH("COOLER PARA NB",B1868)),
ISNUMBER(SEARCH("SOPORTE PARA NB",B1868)),
ISNUMBER(SEARCH("WEBCAM",B1868)),
ISNUMBER(SEARCH("WEB CAM",B1868)),
ISNUMBER(SEARCH("MOUSE",B1868)),
ISNUMBER(SEARCH("TECLADO",B1868))
),
"COMPLEMENTO",
IF(
OR(
LEFT(A1868,2)="NB",
LEFT(A1868,2)="PC",
LEFT(A1868,2)="WS",
LEFT(A1868,2)="TB",
LEFT(A1868,3)="CEL",
LEFT(A1868,3)="MON",
LEFT(A1868,3)="PRE",
LEFT(A1868,3)="PRH",
ISNUMBER(SEARCH("NOTEBOOK",B1868)),
ISNUMBER(SEARCH("LAPTOP",B1868)),
ISNUMBER(SEARCH("MONITOR",B1868)),
ISNUMBER(SEARCH("TABLET",B1868)),
ISNUMBER(SEARCH("SMARTPH",B1868)),
ISNUMBER(SEARCH("IMPRESORA",B1868)),
ISNUMBER(SEARCH("MULTIFUNCIONAL",B1868)),
ISNUMBER(SEARCH("AIO",B1868))
),
"GANCHO",
"NORMAL"
)
)</f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>ROUND(
IF(L1865="GANCHO",
   IF(I1867&lt;=50,I1867*1.1+4,IF(I1867&lt;=120,I1867*1.1+7,IF(I1867&lt;=250,I1867*1.1+11,I1867*1.1+19))),
IF(L1865="NORMAL",
   IF(I1867&lt;=30,I1867*1.15+2,IF(I1867&lt;=80,I1867*1.15+4,IF(I1867&lt;=150,I1867*1.15+6,I1867*1.15+8))),
IF(L1865="COMPLEMENTO",
   IF(I1867&lt;=25,I1867*1.25+1.5,IF(I1867&lt;=60,I1867*1.25+3,IF(I1867&lt;=120,I1867*1.25+4,I1867*1.25+5))),
""))),2)</f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>IF(
OR(
ISNUMBER(SEARCH("BACKPACK",B1869)),
ISNUMBER(SEARCH("MOCHILA",B1869)),
ISNUMBER(SEARCH("FUNDA",B1869)),
ISNUMBER(SEARCH("ESTUCHE",B1869)),
ISNUMBER(SEARCH("BOOK COVER",B1869)),
ISNUMBER(SEARCH("KEYBOARD PARA TABLET",B1869)),
ISNUMBER(SEARCH("FLIP TABLET",B1869)),
ISNUMBER(SEARCH("CASE FOR TABLET",B1869)),
ISNUMBER(SEARCH("CABLE",B1869)),
ISNUMBER(SEARCH("ADAPTADOR",B1869)),
ISNUMBER(SEARCH("HUB",B1869)),
ISNUMBER(SEARCH("DOCK",B1869)),
ISNUMBER(SEARCH("MOUSE PAD",B1869)),
ISNUMBER(SEARCH("MOUSEPAD",B1869)),
ISNUMBER(SEARCH("SOPORTE",B1869)),
ISNUMBER(SEARCH("STAND",B1869)),
ISNUMBER(SEARCH("TRAVEL ADAPTER",B1869)),
ISNUMBER(SEARCH("RJ45",B1869)),
ISNUMBER(SEARCH("USB-C",B1869)),
ISNUMBER(SEARCH("USB WIFI",B1869)),
ISNUMBER(SEARCH("POWERBANK",B1869)),
ISNUMBER(SEARCH("CARGADOR",B1869)),
ISNUMBER(SEARCH("COOLER PARA NB",B1869)),
ISNUMBER(SEARCH("SOPORTE PARA NB",B1869)),
ISNUMBER(SEARCH("WEBCAM",B1869)),
ISNUMBER(SEARCH("WEB CAM",B1869)),
ISNUMBER(SEARCH("MOUSE",B1869)),
ISNUMBER(SEARCH("TECLADO",B1869))
),
"COMPLEMENTO",
IF(
OR(
LEFT(A1869,2)="NB",
LEFT(A1869,2)="PC",
LEFT(A1869,2)="WS",
LEFT(A1869,2)="TB",
LEFT(A1869,3)="CEL",
LEFT(A1869,3)="MON",
LEFT(A1869,3)="PRE",
LEFT(A1869,3)="PRH",
ISNUMBER(SEARCH("NOTEBOOK",B1869)),
ISNUMBER(SEARCH("LAPTOP",B1869)),
ISNUMBER(SEARCH("MONITOR",B1869)),
ISNUMBER(SEARCH("TABLET",B1869)),
ISNUMBER(SEARCH("SMARTPH",B1869)),
ISNUMBER(SEARCH("IMPRESORA",B1869)),
ISNUMBER(SEARCH("MULTIFUNCIONAL",B1869)),
ISNUMBER(SEARCH("AIO",B1869))
),
"GANCHO",
"NORMAL"
)
)</f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>ROUND(
IF(L1866="GANCHO",
   IF(I1868&lt;=50,I1868*1.1+4,IF(I1868&lt;=120,I1868*1.1+7,IF(I1868&lt;=250,I1868*1.1+11,I1868*1.1+19))),
IF(L1866="NORMAL",
   IF(I1868&lt;=30,I1868*1.15+2,IF(I1868&lt;=80,I1868*1.15+4,IF(I1868&lt;=150,I1868*1.15+6,I1868*1.15+8))),
IF(L1866="COMPLEMENTO",
   IF(I1868&lt;=25,I1868*1.25+1.5,IF(I1868&lt;=60,I1868*1.25+3,IF(I1868&lt;=120,I1868*1.25+4,I1868*1.25+5))),
""))),2)</f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>IF(
OR(
ISNUMBER(SEARCH("BACKPACK",B1870)),
ISNUMBER(SEARCH("MOCHILA",B1870)),
ISNUMBER(SEARCH("FUNDA",B1870)),
ISNUMBER(SEARCH("ESTUCHE",B1870)),
ISNUMBER(SEARCH("BOOK COVER",B1870)),
ISNUMBER(SEARCH("KEYBOARD PARA TABLET",B1870)),
ISNUMBER(SEARCH("FLIP TABLET",B1870)),
ISNUMBER(SEARCH("CASE FOR TABLET",B1870)),
ISNUMBER(SEARCH("CABLE",B1870)),
ISNUMBER(SEARCH("ADAPTADOR",B1870)),
ISNUMBER(SEARCH("HUB",B1870)),
ISNUMBER(SEARCH("DOCK",B1870)),
ISNUMBER(SEARCH("MOUSE PAD",B1870)),
ISNUMBER(SEARCH("MOUSEPAD",B1870)),
ISNUMBER(SEARCH("SOPORTE",B1870)),
ISNUMBER(SEARCH("STAND",B1870)),
ISNUMBER(SEARCH("TRAVEL ADAPTER",B1870)),
ISNUMBER(SEARCH("RJ45",B1870)),
ISNUMBER(SEARCH("USB-C",B1870)),
ISNUMBER(SEARCH("USB WIFI",B1870)),
ISNUMBER(SEARCH("POWERBANK",B1870)),
ISNUMBER(SEARCH("CARGADOR",B1870)),
ISNUMBER(SEARCH("COOLER PARA NB",B1870)),
ISNUMBER(SEARCH("SOPORTE PARA NB",B1870)),
ISNUMBER(SEARCH("WEBCAM",B1870)),
ISNUMBER(SEARCH("WEB CAM",B1870)),
ISNUMBER(SEARCH("MOUSE",B1870)),
ISNUMBER(SEARCH("TECLADO",B1870))
),
"COMPLEMENTO",
IF(
OR(
LEFT(A1870,2)="NB",
LEFT(A1870,2)="PC",
LEFT(A1870,2)="WS",
LEFT(A1870,2)="TB",
LEFT(A1870,3)="CEL",
LEFT(A1870,3)="MON",
LEFT(A1870,3)="PRE",
LEFT(A1870,3)="PRH",
ISNUMBER(SEARCH("NOTEBOOK",B1870)),
ISNUMBER(SEARCH("LAPTOP",B1870)),
ISNUMBER(SEARCH("MONITOR",B1870)),
ISNUMBER(SEARCH("TABLET",B1870)),
ISNUMBER(SEARCH("SMARTPH",B1870)),
ISNUMBER(SEARCH("IMPRESORA",B1870)),
ISNUMBER(SEARCH("MULTIFUNCIONAL",B1870)),
ISNUMBER(SEARCH("AIO",B1870))
),
"GANCHO",
"NORMAL"
)
)</f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>ROUND(
IF(L1867="GANCHO",
   IF(I1869&lt;=50,I1869*1.1+4,IF(I1869&lt;=120,I1869*1.1+7,IF(I1869&lt;=250,I1869*1.1+11,I1869*1.1+19))),
IF(L1867="NORMAL",
   IF(I1869&lt;=30,I1869*1.15+2,IF(I1869&lt;=80,I1869*1.15+4,IF(I1869&lt;=150,I1869*1.15+6,I1869*1.15+8))),
IF(L1867="COMPLEMENTO",
   IF(I1869&lt;=25,I1869*1.25+1.5,IF(I1869&lt;=60,I1869*1.25+3,IF(I1869&lt;=120,I1869*1.25+4,I1869*1.25+5))),
""))),2)</f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>IF(
OR(
ISNUMBER(SEARCH("BACKPACK",B1871)),
ISNUMBER(SEARCH("MOCHILA",B1871)),
ISNUMBER(SEARCH("FUNDA",B1871)),
ISNUMBER(SEARCH("ESTUCHE",B1871)),
ISNUMBER(SEARCH("BOOK COVER",B1871)),
ISNUMBER(SEARCH("KEYBOARD PARA TABLET",B1871)),
ISNUMBER(SEARCH("FLIP TABLET",B1871)),
ISNUMBER(SEARCH("CASE FOR TABLET",B1871)),
ISNUMBER(SEARCH("CABLE",B1871)),
ISNUMBER(SEARCH("ADAPTADOR",B1871)),
ISNUMBER(SEARCH("HUB",B1871)),
ISNUMBER(SEARCH("DOCK",B1871)),
ISNUMBER(SEARCH("MOUSE PAD",B1871)),
ISNUMBER(SEARCH("MOUSEPAD",B1871)),
ISNUMBER(SEARCH("SOPORTE",B1871)),
ISNUMBER(SEARCH("STAND",B1871)),
ISNUMBER(SEARCH("TRAVEL ADAPTER",B1871)),
ISNUMBER(SEARCH("RJ45",B1871)),
ISNUMBER(SEARCH("USB-C",B1871)),
ISNUMBER(SEARCH("USB WIFI",B1871)),
ISNUMBER(SEARCH("POWERBANK",B1871)),
ISNUMBER(SEARCH("CARGADOR",B1871)),
ISNUMBER(SEARCH("COOLER PARA NB",B1871)),
ISNUMBER(SEARCH("SOPORTE PARA NB",B1871)),
ISNUMBER(SEARCH("WEBCAM",B1871)),
ISNUMBER(SEARCH("WEB CAM",B1871)),
ISNUMBER(SEARCH("MOUSE",B1871)),
ISNUMBER(SEARCH("TECLADO",B1871))
),
"COMPLEMENTO",
IF(
OR(
LEFT(A1871,2)="NB",
LEFT(A1871,2)="PC",
LEFT(A1871,2)="WS",
LEFT(A1871,2)="TB",
LEFT(A1871,3)="CEL",
LEFT(A1871,3)="MON",
LEFT(A1871,3)="PRE",
LEFT(A1871,3)="PRH",
ISNUMBER(SEARCH("NOTEBOOK",B1871)),
ISNUMBER(SEARCH("LAPTOP",B1871)),
ISNUMBER(SEARCH("MONITOR",B1871)),
ISNUMBER(SEARCH("TABLET",B1871)),
ISNUMBER(SEARCH("SMARTPH",B1871)),
ISNUMBER(SEARCH("IMPRESORA",B1871)),
ISNUMBER(SEARCH("MULTIFUNCIONAL",B1871)),
ISNUMBER(SEARCH("AIO",B1871))
),
"GANCHO",
"NORMAL"
)
)</f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>ROUND(
IF(L1868="GANCHO",
   IF(I1870&lt;=50,I1870*1.1+4,IF(I1870&lt;=120,I1870*1.1+7,IF(I1870&lt;=250,I1870*1.1+11,I1870*1.1+19))),
IF(L1868="NORMAL",
   IF(I1870&lt;=30,I1870*1.15+2,IF(I1870&lt;=80,I1870*1.15+4,IF(I1870&lt;=150,I1870*1.15+6,I1870*1.15+8))),
IF(L1868="COMPLEMENTO",
   IF(I1870&lt;=25,I1870*1.25+1.5,IF(I1870&lt;=60,I1870*1.25+3,IF(I1870&lt;=120,I1870*1.25+4,I1870*1.25+5))),
""))),2)</f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>IF(
OR(
ISNUMBER(SEARCH("BACKPACK",B1872)),
ISNUMBER(SEARCH("MOCHILA",B1872)),
ISNUMBER(SEARCH("FUNDA",B1872)),
ISNUMBER(SEARCH("ESTUCHE",B1872)),
ISNUMBER(SEARCH("BOOK COVER",B1872)),
ISNUMBER(SEARCH("KEYBOARD PARA TABLET",B1872)),
ISNUMBER(SEARCH("FLIP TABLET",B1872)),
ISNUMBER(SEARCH("CASE FOR TABLET",B1872)),
ISNUMBER(SEARCH("CABLE",B1872)),
ISNUMBER(SEARCH("ADAPTADOR",B1872)),
ISNUMBER(SEARCH("HUB",B1872)),
ISNUMBER(SEARCH("DOCK",B1872)),
ISNUMBER(SEARCH("MOUSE PAD",B1872)),
ISNUMBER(SEARCH("MOUSEPAD",B1872)),
ISNUMBER(SEARCH("SOPORTE",B1872)),
ISNUMBER(SEARCH("STAND",B1872)),
ISNUMBER(SEARCH("TRAVEL ADAPTER",B1872)),
ISNUMBER(SEARCH("RJ45",B1872)),
ISNUMBER(SEARCH("USB-C",B1872)),
ISNUMBER(SEARCH("USB WIFI",B1872)),
ISNUMBER(SEARCH("POWERBANK",B1872)),
ISNUMBER(SEARCH("CARGADOR",B1872)),
ISNUMBER(SEARCH("COOLER PARA NB",B1872)),
ISNUMBER(SEARCH("SOPORTE PARA NB",B1872)),
ISNUMBER(SEARCH("WEBCAM",B1872)),
ISNUMBER(SEARCH("WEB CAM",B1872)),
ISNUMBER(SEARCH("MOUSE",B1872)),
ISNUMBER(SEARCH("TECLADO",B1872))
),
"COMPLEMENTO",
IF(
OR(
LEFT(A1872,2)="NB",
LEFT(A1872,2)="PC",
LEFT(A1872,2)="WS",
LEFT(A1872,2)="TB",
LEFT(A1872,3)="CEL",
LEFT(A1872,3)="MON",
LEFT(A1872,3)="PRE",
LEFT(A1872,3)="PRH",
ISNUMBER(SEARCH("NOTEBOOK",B1872)),
ISNUMBER(SEARCH("LAPTOP",B1872)),
ISNUMBER(SEARCH("MONITOR",B1872)),
ISNUMBER(SEARCH("TABLET",B1872)),
ISNUMBER(SEARCH("SMARTPH",B1872)),
ISNUMBER(SEARCH("IMPRESORA",B1872)),
ISNUMBER(SEARCH("MULTIFUNCIONAL",B1872)),
ISNUMBER(SEARCH("AIO",B1872))
),
"GANCHO",
"NORMAL"
)
)</f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>ROUND(
IF(L1869="GANCHO",
   IF(I1871&lt;=50,I1871*1.1+4,IF(I1871&lt;=120,I1871*1.1+7,IF(I1871&lt;=250,I1871*1.1+11,I1871*1.1+19))),
IF(L1869="NORMAL",
   IF(I1871&lt;=30,I1871*1.15+2,IF(I1871&lt;=80,I1871*1.15+4,IF(I1871&lt;=150,I1871*1.15+6,I1871*1.15+8))),
IF(L1869="COMPLEMENTO",
   IF(I1871&lt;=25,I1871*1.25+1.5,IF(I1871&lt;=60,I1871*1.25+3,IF(I1871&lt;=120,I1871*1.25+4,I1871*1.25+5))),
""))),2)</f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>IF(
OR(
ISNUMBER(SEARCH("BACKPACK",B1873)),
ISNUMBER(SEARCH("MOCHILA",B1873)),
ISNUMBER(SEARCH("FUNDA",B1873)),
ISNUMBER(SEARCH("ESTUCHE",B1873)),
ISNUMBER(SEARCH("BOOK COVER",B1873)),
ISNUMBER(SEARCH("KEYBOARD PARA TABLET",B1873)),
ISNUMBER(SEARCH("FLIP TABLET",B1873)),
ISNUMBER(SEARCH("CASE FOR TABLET",B1873)),
ISNUMBER(SEARCH("CABLE",B1873)),
ISNUMBER(SEARCH("ADAPTADOR",B1873)),
ISNUMBER(SEARCH("HUB",B1873)),
ISNUMBER(SEARCH("DOCK",B1873)),
ISNUMBER(SEARCH("MOUSE PAD",B1873)),
ISNUMBER(SEARCH("MOUSEPAD",B1873)),
ISNUMBER(SEARCH("SOPORTE",B1873)),
ISNUMBER(SEARCH("STAND",B1873)),
ISNUMBER(SEARCH("TRAVEL ADAPTER",B1873)),
ISNUMBER(SEARCH("RJ45",B1873)),
ISNUMBER(SEARCH("USB-C",B1873)),
ISNUMBER(SEARCH("USB WIFI",B1873)),
ISNUMBER(SEARCH("POWERBANK",B1873)),
ISNUMBER(SEARCH("CARGADOR",B1873)),
ISNUMBER(SEARCH("COOLER PARA NB",B1873)),
ISNUMBER(SEARCH("SOPORTE PARA NB",B1873)),
ISNUMBER(SEARCH("WEBCAM",B1873)),
ISNUMBER(SEARCH("WEB CAM",B1873)),
ISNUMBER(SEARCH("MOUSE",B1873)),
ISNUMBER(SEARCH("TECLADO",B1873))
),
"COMPLEMENTO",
IF(
OR(
LEFT(A1873,2)="NB",
LEFT(A1873,2)="PC",
LEFT(A1873,2)="WS",
LEFT(A1873,2)="TB",
LEFT(A1873,3)="CEL",
LEFT(A1873,3)="MON",
LEFT(A1873,3)="PRE",
LEFT(A1873,3)="PRH",
ISNUMBER(SEARCH("NOTEBOOK",B1873)),
ISNUMBER(SEARCH("LAPTOP",B1873)),
ISNUMBER(SEARCH("MONITOR",B1873)),
ISNUMBER(SEARCH("TABLET",B1873)),
ISNUMBER(SEARCH("SMARTPH",B1873)),
ISNUMBER(SEARCH("IMPRESORA",B1873)),
ISNUMBER(SEARCH("MULTIFUNCIONAL",B1873)),
ISNUMBER(SEARCH("AIO",B1873))
),
"GANCHO",
"NORMAL"
)
)</f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>ROUND(
IF(L1870="GANCHO",
   IF(I1872&lt;=50,I1872*1.1+4,IF(I1872&lt;=120,I1872*1.1+7,IF(I1872&lt;=250,I1872*1.1+11,I1872*1.1+19))),
IF(L1870="NORMAL",
   IF(I1872&lt;=30,I1872*1.15+2,IF(I1872&lt;=80,I1872*1.15+4,IF(I1872&lt;=150,I1872*1.15+6,I1872*1.15+8))),
IF(L1870="COMPLEMENTO",
   IF(I1872&lt;=25,I1872*1.25+1.5,IF(I1872&lt;=60,I1872*1.25+3,IF(I1872&lt;=120,I1872*1.25+4,I1872*1.25+5))),
""))),2)</f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>ROUND(
IF(L1871="GANCHO",
   IF(I1873&lt;=50,I1873*1.1+4,IF(I1873&lt;=120,I1873*1.1+7,IF(I1873&lt;=250,I1873*1.1+11,I1873*1.1+19))),
IF(L1871="NORMAL",
   IF(I1873&lt;=30,I1873*1.15+2,IF(I1873&lt;=80,I1873*1.15+4,IF(I1873&lt;=150,I1873*1.15+6,I1873*1.15+8))),
IF(L1871="COMPLEMENTO",
   IF(I1873&lt;=25,I1873*1.25+1.5,IF(I1873&lt;=60,I1873*1.25+3,IF(I1873&lt;=120,I1873*1.25+4,I1873*1.25+5))),
""))),2)</f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>IF(
OR(
ISNUMBER(SEARCH("BACKPACK",B1875)),
ISNUMBER(SEARCH("MOCHILA",B1875)),
ISNUMBER(SEARCH("FUNDA",B1875)),
ISNUMBER(SEARCH("ESTUCHE",B1875)),
ISNUMBER(SEARCH("BOOK COVER",B1875)),
ISNUMBER(SEARCH("KEYBOARD PARA TABLET",B1875)),
ISNUMBER(SEARCH("FLIP TABLET",B1875)),
ISNUMBER(SEARCH("CASE FOR TABLET",B1875)),
ISNUMBER(SEARCH("CABLE",B1875)),
ISNUMBER(SEARCH("ADAPTADOR",B1875)),
ISNUMBER(SEARCH("HUB",B1875)),
ISNUMBER(SEARCH("DOCK",B1875)),
ISNUMBER(SEARCH("MOUSE PAD",B1875)),
ISNUMBER(SEARCH("MOUSEPAD",B1875)),
ISNUMBER(SEARCH("SOPORTE",B1875)),
ISNUMBER(SEARCH("STAND",B1875)),
ISNUMBER(SEARCH("TRAVEL ADAPTER",B1875)),
ISNUMBER(SEARCH("RJ45",B1875)),
ISNUMBER(SEARCH("USB-C",B1875)),
ISNUMBER(SEARCH("USB WIFI",B1875)),
ISNUMBER(SEARCH("POWERBANK",B1875)),
ISNUMBER(SEARCH("CARGADOR",B1875)),
ISNUMBER(SEARCH("COOLER PARA NB",B1875)),
ISNUMBER(SEARCH("SOPORTE PARA NB",B1875)),
ISNUMBER(SEARCH("WEBCAM",B1875)),
ISNUMBER(SEARCH("WEB CAM",B1875)),
ISNUMBER(SEARCH("MOUSE",B1875)),
ISNUMBER(SEARCH("TECLADO",B1875))
),
"COMPLEMENTO",
IF(
OR(
LEFT(A1875,2)="NB",
LEFT(A1875,2)="PC",
LEFT(A1875,2)="WS",
LEFT(A1875,2)="TB",
LEFT(A1875,3)="CEL",
LEFT(A1875,3)="MON",
LEFT(A1875,3)="PRE",
LEFT(A1875,3)="PRH",
ISNUMBER(SEARCH("NOTEBOOK",B1875)),
ISNUMBER(SEARCH("LAPTOP",B1875)),
ISNUMBER(SEARCH("MONITOR",B1875)),
ISNUMBER(SEARCH("TABLET",B1875)),
ISNUMBER(SEARCH("SMARTPH",B1875)),
ISNUMBER(SEARCH("IMPRESORA",B1875)),
ISNUMBER(SEARCH("MULTIFUNCIONAL",B1875)),
ISNUMBER(SEARCH("AIO",B1875))
),
"GANCHO",
"NORMAL"
)
)</f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>ROUND(
IF(L1872="GANCHO",
   IF(I1874&lt;=50,I1874*1.1+4,IF(I1874&lt;=120,I1874*1.1+7,IF(I1874&lt;=250,I1874*1.1+11,I1874*1.1+19))),
IF(L1872="NORMAL",
   IF(I1874&lt;=30,I1874*1.15+2,IF(I1874&lt;=80,I1874*1.15+4,IF(I1874&lt;=150,I1874*1.15+6,I1874*1.15+8))),
IF(L1872="COMPLEMENTO",
   IF(I1874&lt;=25,I1874*1.25+1.5,IF(I1874&lt;=60,I1874*1.25+3,IF(I1874&lt;=120,I1874*1.25+4,I1874*1.25+5))),
""))),2)</f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>IF(
OR(
ISNUMBER(SEARCH("BACKPACK",B1876)),
ISNUMBER(SEARCH("MOCHILA",B1876)),
ISNUMBER(SEARCH("FUNDA",B1876)),
ISNUMBER(SEARCH("ESTUCHE",B1876)),
ISNUMBER(SEARCH("BOOK COVER",B1876)),
ISNUMBER(SEARCH("KEYBOARD PARA TABLET",B1876)),
ISNUMBER(SEARCH("FLIP TABLET",B1876)),
ISNUMBER(SEARCH("CASE FOR TABLET",B1876)),
ISNUMBER(SEARCH("CABLE",B1876)),
ISNUMBER(SEARCH("ADAPTADOR",B1876)),
ISNUMBER(SEARCH("HUB",B1876)),
ISNUMBER(SEARCH("DOCK",B1876)),
ISNUMBER(SEARCH("MOUSE PAD",B1876)),
ISNUMBER(SEARCH("MOUSEPAD",B1876)),
ISNUMBER(SEARCH("SOPORTE",B1876)),
ISNUMBER(SEARCH("STAND",B1876)),
ISNUMBER(SEARCH("TRAVEL ADAPTER",B1876)),
ISNUMBER(SEARCH("RJ45",B1876)),
ISNUMBER(SEARCH("USB-C",B1876)),
ISNUMBER(SEARCH("USB WIFI",B1876)),
ISNUMBER(SEARCH("POWERBANK",B1876)),
ISNUMBER(SEARCH("CARGADOR",B1876)),
ISNUMBER(SEARCH("COOLER PARA NB",B1876)),
ISNUMBER(SEARCH("SOPORTE PARA NB",B1876)),
ISNUMBER(SEARCH("WEBCAM",B1876)),
ISNUMBER(SEARCH("WEB CAM",B1876)),
ISNUMBER(SEARCH("MOUSE",B1876)),
ISNUMBER(SEARCH("TECLADO",B1876))
),
"COMPLEMENTO",
IF(
OR(
LEFT(A1876,2)="NB",
LEFT(A1876,2)="PC",
LEFT(A1876,2)="WS",
LEFT(A1876,2)="TB",
LEFT(A1876,3)="CEL",
LEFT(A1876,3)="MON",
LEFT(A1876,3)="PRE",
LEFT(A1876,3)="PRH",
ISNUMBER(SEARCH("NOTEBOOK",B1876)),
ISNUMBER(SEARCH("LAPTOP",B1876)),
ISNUMBER(SEARCH("MONITOR",B1876)),
ISNUMBER(SEARCH("TABLET",B1876)),
ISNUMBER(SEARCH("SMARTPH",B1876)),
ISNUMBER(SEARCH("IMPRESORA",B1876)),
ISNUMBER(SEARCH("MULTIFUNCIONAL",B1876)),
ISNUMBER(SEARCH("AIO",B1876))
),
"GANCHO",
"NORMAL"
)
)</f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>ROUND(
IF(L1873="GANCHO",
   IF(I1875&lt;=50,I1875*1.1+4,IF(I1875&lt;=120,I1875*1.1+7,IF(I1875&lt;=250,I1875*1.1+11,I1875*1.1+19))),
IF(L1873="NORMAL",
   IF(I1875&lt;=30,I1875*1.15+2,IF(I1875&lt;=80,I1875*1.15+4,IF(I1875&lt;=150,I1875*1.15+6,I1875*1.15+8))),
IF(L1873="COMPLEMENTO",
   IF(I1875&lt;=25,I1875*1.25+1.5,IF(I1875&lt;=60,I1875*1.25+3,IF(I1875&lt;=120,I1875*1.25+4,I1875*1.25+5))),
""))),2)</f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>IF(
OR(
ISNUMBER(SEARCH("BACKPACK",B1877)),
ISNUMBER(SEARCH("MOCHILA",B1877)),
ISNUMBER(SEARCH("FUNDA",B1877)),
ISNUMBER(SEARCH("ESTUCHE",B1877)),
ISNUMBER(SEARCH("BOOK COVER",B1877)),
ISNUMBER(SEARCH("KEYBOARD PARA TABLET",B1877)),
ISNUMBER(SEARCH("FLIP TABLET",B1877)),
ISNUMBER(SEARCH("CASE FOR TABLET",B1877)),
ISNUMBER(SEARCH("CABLE",B1877)),
ISNUMBER(SEARCH("ADAPTADOR",B1877)),
ISNUMBER(SEARCH("HUB",B1877)),
ISNUMBER(SEARCH("DOCK",B1877)),
ISNUMBER(SEARCH("MOUSE PAD",B1877)),
ISNUMBER(SEARCH("MOUSEPAD",B1877)),
ISNUMBER(SEARCH("SOPORTE",B1877)),
ISNUMBER(SEARCH("STAND",B1877)),
ISNUMBER(SEARCH("TRAVEL ADAPTER",B1877)),
ISNUMBER(SEARCH("RJ45",B1877)),
ISNUMBER(SEARCH("USB-C",B1877)),
ISNUMBER(SEARCH("USB WIFI",B1877)),
ISNUMBER(SEARCH("POWERBANK",B1877)),
ISNUMBER(SEARCH("CARGADOR",B1877)),
ISNUMBER(SEARCH("COOLER PARA NB",B1877)),
ISNUMBER(SEARCH("SOPORTE PARA NB",B1877)),
ISNUMBER(SEARCH("WEBCAM",B1877)),
ISNUMBER(SEARCH("WEB CAM",B1877)),
ISNUMBER(SEARCH("MOUSE",B1877)),
ISNUMBER(SEARCH("TECLADO",B1877))
),
"COMPLEMENTO",
IF(
OR(
LEFT(A1877,2)="NB",
LEFT(A1877,2)="PC",
LEFT(A1877,2)="WS",
LEFT(A1877,2)="TB",
LEFT(A1877,3)="CEL",
LEFT(A1877,3)="MON",
LEFT(A1877,3)="PRE",
LEFT(A1877,3)="PRH",
ISNUMBER(SEARCH("NOTEBOOK",B1877)),
ISNUMBER(SEARCH("LAPTOP",B1877)),
ISNUMBER(SEARCH("MONITOR",B1877)),
ISNUMBER(SEARCH("TABLET",B1877)),
ISNUMBER(SEARCH("SMARTPH",B1877)),
ISNUMBER(SEARCH("IMPRESORA",B1877)),
ISNUMBER(SEARCH("MULTIFUNCIONAL",B1877)),
ISNUMBER(SEARCH("AIO",B1877))
),
"GANCHO",
"NORMAL"
)
)</f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>ROUND(
IF(L1874="GANCHO",
   IF(I1876&lt;=50,I1876*1.1+4,IF(I1876&lt;=120,I1876*1.1+7,IF(I1876&lt;=250,I1876*1.1+11,I1876*1.1+19))),
IF(L1874="NORMAL",
   IF(I1876&lt;=30,I1876*1.15+2,IF(I1876&lt;=80,I1876*1.15+4,IF(I1876&lt;=150,I1876*1.15+6,I1876*1.15+8))),
IF(L1874="COMPLEMENTO",
   IF(I1876&lt;=25,I1876*1.25+1.5,IF(I1876&lt;=60,I1876*1.25+3,IF(I1876&lt;=120,I1876*1.25+4,I1876*1.25+5))),
""))),2)</f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>IF(
OR(
ISNUMBER(SEARCH("BACKPACK",B1878)),
ISNUMBER(SEARCH("MOCHILA",B1878)),
ISNUMBER(SEARCH("FUNDA",B1878)),
ISNUMBER(SEARCH("ESTUCHE",B1878)),
ISNUMBER(SEARCH("BOOK COVER",B1878)),
ISNUMBER(SEARCH("KEYBOARD PARA TABLET",B1878)),
ISNUMBER(SEARCH("FLIP TABLET",B1878)),
ISNUMBER(SEARCH("CASE FOR TABLET",B1878)),
ISNUMBER(SEARCH("CABLE",B1878)),
ISNUMBER(SEARCH("ADAPTADOR",B1878)),
ISNUMBER(SEARCH("HUB",B1878)),
ISNUMBER(SEARCH("DOCK",B1878)),
ISNUMBER(SEARCH("MOUSE PAD",B1878)),
ISNUMBER(SEARCH("MOUSEPAD",B1878)),
ISNUMBER(SEARCH("SOPORTE",B1878)),
ISNUMBER(SEARCH("STAND",B1878)),
ISNUMBER(SEARCH("TRAVEL ADAPTER",B1878)),
ISNUMBER(SEARCH("RJ45",B1878)),
ISNUMBER(SEARCH("USB-C",B1878)),
ISNUMBER(SEARCH("USB WIFI",B1878)),
ISNUMBER(SEARCH("POWERBANK",B1878)),
ISNUMBER(SEARCH("CARGADOR",B1878)),
ISNUMBER(SEARCH("COOLER PARA NB",B1878)),
ISNUMBER(SEARCH("SOPORTE PARA NB",B1878)),
ISNUMBER(SEARCH("WEBCAM",B1878)),
ISNUMBER(SEARCH("WEB CAM",B1878)),
ISNUMBER(SEARCH("MOUSE",B1878)),
ISNUMBER(SEARCH("TECLADO",B1878))
),
"COMPLEMENTO",
IF(
OR(
LEFT(A1878,2)="NB",
LEFT(A1878,2)="PC",
LEFT(A1878,2)="WS",
LEFT(A1878,2)="TB",
LEFT(A1878,3)="CEL",
LEFT(A1878,3)="MON",
LEFT(A1878,3)="PRE",
LEFT(A1878,3)="PRH",
ISNUMBER(SEARCH("NOTEBOOK",B1878)),
ISNUMBER(SEARCH("LAPTOP",B1878)),
ISNUMBER(SEARCH("MONITOR",B1878)),
ISNUMBER(SEARCH("TABLET",B1878)),
ISNUMBER(SEARCH("SMARTPH",B1878)),
ISNUMBER(SEARCH("IMPRESORA",B1878)),
ISNUMBER(SEARCH("MULTIFUNCIONAL",B1878)),
ISNUMBER(SEARCH("AIO",B1878))
),
"GANCHO",
"NORMAL"
)
)</f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>ROUND(
IF(L1875="GANCHO",
   IF(I1877&lt;=50,I1877*1.1+4,IF(I1877&lt;=120,I1877*1.1+7,IF(I1877&lt;=250,I1877*1.1+11,I1877*1.1+19))),
IF(L1875="NORMAL",
   IF(I1877&lt;=30,I1877*1.15+2,IF(I1877&lt;=80,I1877*1.15+4,IF(I1877&lt;=150,I1877*1.15+6,I1877*1.15+8))),
IF(L1875="COMPLEMENTO",
   IF(I1877&lt;=25,I1877*1.25+1.5,IF(I1877&lt;=60,I1877*1.25+3,IF(I1877&lt;=120,I1877*1.25+4,I1877*1.25+5))),
""))),2)</f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>IF(
OR(
ISNUMBER(SEARCH("BACKPACK",B1879)),
ISNUMBER(SEARCH("MOCHILA",B1879)),
ISNUMBER(SEARCH("FUNDA",B1879)),
ISNUMBER(SEARCH("ESTUCHE",B1879)),
ISNUMBER(SEARCH("BOOK COVER",B1879)),
ISNUMBER(SEARCH("KEYBOARD PARA TABLET",B1879)),
ISNUMBER(SEARCH("FLIP TABLET",B1879)),
ISNUMBER(SEARCH("CASE FOR TABLET",B1879)),
ISNUMBER(SEARCH("CABLE",B1879)),
ISNUMBER(SEARCH("ADAPTADOR",B1879)),
ISNUMBER(SEARCH("HUB",B1879)),
ISNUMBER(SEARCH("DOCK",B1879)),
ISNUMBER(SEARCH("MOUSE PAD",B1879)),
ISNUMBER(SEARCH("MOUSEPAD",B1879)),
ISNUMBER(SEARCH("SOPORTE",B1879)),
ISNUMBER(SEARCH("STAND",B1879)),
ISNUMBER(SEARCH("TRAVEL ADAPTER",B1879)),
ISNUMBER(SEARCH("RJ45",B1879)),
ISNUMBER(SEARCH("USB-C",B1879)),
ISNUMBER(SEARCH("USB WIFI",B1879)),
ISNUMBER(SEARCH("POWERBANK",B1879)),
ISNUMBER(SEARCH("CARGADOR",B1879)),
ISNUMBER(SEARCH("COOLER PARA NB",B1879)),
ISNUMBER(SEARCH("SOPORTE PARA NB",B1879)),
ISNUMBER(SEARCH("WEBCAM",B1879)),
ISNUMBER(SEARCH("WEB CAM",B1879)),
ISNUMBER(SEARCH("MOUSE",B1879)),
ISNUMBER(SEARCH("TECLADO",B1879))
),
"COMPLEMENTO",
IF(
OR(
LEFT(A1879,2)="NB",
LEFT(A1879,2)="PC",
LEFT(A1879,2)="WS",
LEFT(A1879,2)="TB",
LEFT(A1879,3)="CEL",
LEFT(A1879,3)="MON",
LEFT(A1879,3)="PRE",
LEFT(A1879,3)="PRH",
ISNUMBER(SEARCH("NOTEBOOK",B1879)),
ISNUMBER(SEARCH("LAPTOP",B1879)),
ISNUMBER(SEARCH("MONITOR",B1879)),
ISNUMBER(SEARCH("TABLET",B1879)),
ISNUMBER(SEARCH("SMARTPH",B1879)),
ISNUMBER(SEARCH("IMPRESORA",B1879)),
ISNUMBER(SEARCH("MULTIFUNCIONAL",B1879)),
ISNUMBER(SEARCH("AIO",B1879))
),
"GANCHO",
"NORMAL"
)
)</f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>ROUND(
IF(L1876="GANCHO",
   IF(I1878&lt;=50,I1878*1.1+4,IF(I1878&lt;=120,I1878*1.1+7,IF(I1878&lt;=250,I1878*1.1+11,I1878*1.1+19))),
IF(L1876="NORMAL",
   IF(I1878&lt;=30,I1878*1.15+2,IF(I1878&lt;=80,I1878*1.15+4,IF(I1878&lt;=150,I1878*1.15+6,I1878*1.15+8))),
IF(L1876="COMPLEMENTO",
   IF(I1878&lt;=25,I1878*1.25+1.5,IF(I1878&lt;=60,I1878*1.25+3,IF(I1878&lt;=120,I1878*1.25+4,I1878*1.25+5))),
""))),2)</f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>IF(
OR(
ISNUMBER(SEARCH("BACKPACK",B1880)),
ISNUMBER(SEARCH("MOCHILA",B1880)),
ISNUMBER(SEARCH("FUNDA",B1880)),
ISNUMBER(SEARCH("ESTUCHE",B1880)),
ISNUMBER(SEARCH("BOOK COVER",B1880)),
ISNUMBER(SEARCH("KEYBOARD PARA TABLET",B1880)),
ISNUMBER(SEARCH("FLIP TABLET",B1880)),
ISNUMBER(SEARCH("CASE FOR TABLET",B1880)),
ISNUMBER(SEARCH("CABLE",B1880)),
ISNUMBER(SEARCH("ADAPTADOR",B1880)),
ISNUMBER(SEARCH("HUB",B1880)),
ISNUMBER(SEARCH("DOCK",B1880)),
ISNUMBER(SEARCH("MOUSE PAD",B1880)),
ISNUMBER(SEARCH("MOUSEPAD",B1880)),
ISNUMBER(SEARCH("SOPORTE",B1880)),
ISNUMBER(SEARCH("STAND",B1880)),
ISNUMBER(SEARCH("TRAVEL ADAPTER",B1880)),
ISNUMBER(SEARCH("RJ45",B1880)),
ISNUMBER(SEARCH("USB-C",B1880)),
ISNUMBER(SEARCH("USB WIFI",B1880)),
ISNUMBER(SEARCH("POWERBANK",B1880)),
ISNUMBER(SEARCH("CARGADOR",B1880)),
ISNUMBER(SEARCH("COOLER PARA NB",B1880)),
ISNUMBER(SEARCH("SOPORTE PARA NB",B1880)),
ISNUMBER(SEARCH("WEBCAM",B1880)),
ISNUMBER(SEARCH("WEB CAM",B1880)),
ISNUMBER(SEARCH("MOUSE",B1880)),
ISNUMBER(SEARCH("TECLADO",B1880))
),
"COMPLEMENTO",
IF(
OR(
LEFT(A1880,2)="NB",
LEFT(A1880,2)="PC",
LEFT(A1880,2)="WS",
LEFT(A1880,2)="TB",
LEFT(A1880,3)="CEL",
LEFT(A1880,3)="MON",
LEFT(A1880,3)="PRE",
LEFT(A1880,3)="PRH",
ISNUMBER(SEARCH("NOTEBOOK",B1880)),
ISNUMBER(SEARCH("LAPTOP",B1880)),
ISNUMBER(SEARCH("MONITOR",B1880)),
ISNUMBER(SEARCH("TABLET",B1880)),
ISNUMBER(SEARCH("SMARTPH",B1880)),
ISNUMBER(SEARCH("IMPRESORA",B1880)),
ISNUMBER(SEARCH("MULTIFUNCIONAL",B1880)),
ISNUMBER(SEARCH("AIO",B1880))
),
"GANCHO",
"NORMAL"
)
)</f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>ROUND(
IF(L1877="GANCHO",
   IF(I1879&lt;=50,I1879*1.1+4,IF(I1879&lt;=120,I1879*1.1+7,IF(I1879&lt;=250,I1879*1.1+11,I1879*1.1+19))),
IF(L1877="NORMAL",
   IF(I1879&lt;=30,I1879*1.15+2,IF(I1879&lt;=80,I1879*1.15+4,IF(I1879&lt;=150,I1879*1.15+6,I1879*1.15+8))),
IF(L1877="COMPLEMENTO",
   IF(I1879&lt;=25,I1879*1.25+1.5,IF(I1879&lt;=60,I1879*1.25+3,IF(I1879&lt;=120,I1879*1.25+4,I1879*1.25+5))),
""))),2)</f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>IF(
OR(
ISNUMBER(SEARCH("BACKPACK",B1881)),
ISNUMBER(SEARCH("MOCHILA",B1881)),
ISNUMBER(SEARCH("FUNDA",B1881)),
ISNUMBER(SEARCH("ESTUCHE",B1881)),
ISNUMBER(SEARCH("BOOK COVER",B1881)),
ISNUMBER(SEARCH("KEYBOARD PARA TABLET",B1881)),
ISNUMBER(SEARCH("FLIP TABLET",B1881)),
ISNUMBER(SEARCH("CASE FOR TABLET",B1881)),
ISNUMBER(SEARCH("CABLE",B1881)),
ISNUMBER(SEARCH("ADAPTADOR",B1881)),
ISNUMBER(SEARCH("HUB",B1881)),
ISNUMBER(SEARCH("DOCK",B1881)),
ISNUMBER(SEARCH("MOUSE PAD",B1881)),
ISNUMBER(SEARCH("MOUSEPAD",B1881)),
ISNUMBER(SEARCH("SOPORTE",B1881)),
ISNUMBER(SEARCH("STAND",B1881)),
ISNUMBER(SEARCH("TRAVEL ADAPTER",B1881)),
ISNUMBER(SEARCH("RJ45",B1881)),
ISNUMBER(SEARCH("USB-C",B1881)),
ISNUMBER(SEARCH("USB WIFI",B1881)),
ISNUMBER(SEARCH("POWERBANK",B1881)),
ISNUMBER(SEARCH("CARGADOR",B1881)),
ISNUMBER(SEARCH("COOLER PARA NB",B1881)),
ISNUMBER(SEARCH("SOPORTE PARA NB",B1881)),
ISNUMBER(SEARCH("WEBCAM",B1881)),
ISNUMBER(SEARCH("WEB CAM",B1881)),
ISNUMBER(SEARCH("MOUSE",B1881)),
ISNUMBER(SEARCH("TECLADO",B1881))
),
"COMPLEMENTO",
IF(
OR(
LEFT(A1881,2)="NB",
LEFT(A1881,2)="PC",
LEFT(A1881,2)="WS",
LEFT(A1881,2)="TB",
LEFT(A1881,3)="CEL",
LEFT(A1881,3)="MON",
LEFT(A1881,3)="PRE",
LEFT(A1881,3)="PRH",
ISNUMBER(SEARCH("NOTEBOOK",B1881)),
ISNUMBER(SEARCH("LAPTOP",B1881)),
ISNUMBER(SEARCH("MONITOR",B1881)),
ISNUMBER(SEARCH("TABLET",B1881)),
ISNUMBER(SEARCH("SMARTPH",B1881)),
ISNUMBER(SEARCH("IMPRESORA",B1881)),
ISNUMBER(SEARCH("MULTIFUNCIONAL",B1881)),
ISNUMBER(SEARCH("AIO",B1881))
),
"GANCHO",
"NORMAL"
)
)</f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>ROUND(
IF(L1878="GANCHO",
   IF(I1880&lt;=50,I1880*1.1+4,IF(I1880&lt;=120,I1880*1.1+7,IF(I1880&lt;=250,I1880*1.1+11,I1880*1.1+19))),
IF(L1878="NORMAL",
   IF(I1880&lt;=30,I1880*1.15+2,IF(I1880&lt;=80,I1880*1.15+4,IF(I1880&lt;=150,I1880*1.15+6,I1880*1.15+8))),
IF(L1878="COMPLEMENTO",
   IF(I1880&lt;=25,I1880*1.25+1.5,IF(I1880&lt;=60,I1880*1.25+3,IF(I1880&lt;=120,I1880*1.25+4,I1880*1.25+5))),
""))),2)</f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>IF(
OR(
ISNUMBER(SEARCH("BACKPACK",B1882)),
ISNUMBER(SEARCH("MOCHILA",B1882)),
ISNUMBER(SEARCH("FUNDA",B1882)),
ISNUMBER(SEARCH("ESTUCHE",B1882)),
ISNUMBER(SEARCH("BOOK COVER",B1882)),
ISNUMBER(SEARCH("KEYBOARD PARA TABLET",B1882)),
ISNUMBER(SEARCH("FLIP TABLET",B1882)),
ISNUMBER(SEARCH("CASE FOR TABLET",B1882)),
ISNUMBER(SEARCH("CABLE",B1882)),
ISNUMBER(SEARCH("ADAPTADOR",B1882)),
ISNUMBER(SEARCH("HUB",B1882)),
ISNUMBER(SEARCH("DOCK",B1882)),
ISNUMBER(SEARCH("MOUSE PAD",B1882)),
ISNUMBER(SEARCH("MOUSEPAD",B1882)),
ISNUMBER(SEARCH("SOPORTE",B1882)),
ISNUMBER(SEARCH("STAND",B1882)),
ISNUMBER(SEARCH("TRAVEL ADAPTER",B1882)),
ISNUMBER(SEARCH("RJ45",B1882)),
ISNUMBER(SEARCH("USB-C",B1882)),
ISNUMBER(SEARCH("USB WIFI",B1882)),
ISNUMBER(SEARCH("POWERBANK",B1882)),
ISNUMBER(SEARCH("CARGADOR",B1882)),
ISNUMBER(SEARCH("COOLER PARA NB",B1882)),
ISNUMBER(SEARCH("SOPORTE PARA NB",B1882)),
ISNUMBER(SEARCH("WEBCAM",B1882)),
ISNUMBER(SEARCH("WEB CAM",B1882)),
ISNUMBER(SEARCH("MOUSE",B1882)),
ISNUMBER(SEARCH("TECLADO",B1882))
),
"COMPLEMENTO",
IF(
OR(
LEFT(A1882,2)="NB",
LEFT(A1882,2)="PC",
LEFT(A1882,2)="WS",
LEFT(A1882,2)="TB",
LEFT(A1882,3)="CEL",
LEFT(A1882,3)="MON",
LEFT(A1882,3)="PRE",
LEFT(A1882,3)="PRH",
ISNUMBER(SEARCH("NOTEBOOK",B1882)),
ISNUMBER(SEARCH("LAPTOP",B1882)),
ISNUMBER(SEARCH("MONITOR",B1882)),
ISNUMBER(SEARCH("TABLET",B1882)),
ISNUMBER(SEARCH("SMARTPH",B1882)),
ISNUMBER(SEARCH("IMPRESORA",B1882)),
ISNUMBER(SEARCH("MULTIFUNCIONAL",B1882)),
ISNUMBER(SEARCH("AIO",B1882))
),
"GANCHO",
"NORMAL"
)
)</f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>ROUND(
IF(L1879="GANCHO",
   IF(I1881&lt;=50,I1881*1.1+4,IF(I1881&lt;=120,I1881*1.1+7,IF(I1881&lt;=250,I1881*1.1+11,I1881*1.1+19))),
IF(L1879="NORMAL",
   IF(I1881&lt;=30,I1881*1.15+2,IF(I1881&lt;=80,I1881*1.15+4,IF(I1881&lt;=150,I1881*1.15+6,I1881*1.15+8))),
IF(L1879="COMPLEMENTO",
   IF(I1881&lt;=25,I1881*1.25+1.5,IF(I1881&lt;=60,I1881*1.25+3,IF(I1881&lt;=120,I1881*1.25+4,I1881*1.25+5))),
""))),2)</f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>IF(
OR(
ISNUMBER(SEARCH("BACKPACK",B1883)),
ISNUMBER(SEARCH("MOCHILA",B1883)),
ISNUMBER(SEARCH("FUNDA",B1883)),
ISNUMBER(SEARCH("ESTUCHE",B1883)),
ISNUMBER(SEARCH("BOOK COVER",B1883)),
ISNUMBER(SEARCH("KEYBOARD PARA TABLET",B1883)),
ISNUMBER(SEARCH("FLIP TABLET",B1883)),
ISNUMBER(SEARCH("CASE FOR TABLET",B1883)),
ISNUMBER(SEARCH("CABLE",B1883)),
ISNUMBER(SEARCH("ADAPTADOR",B1883)),
ISNUMBER(SEARCH("HUB",B1883)),
ISNUMBER(SEARCH("DOCK",B1883)),
ISNUMBER(SEARCH("MOUSE PAD",B1883)),
ISNUMBER(SEARCH("MOUSEPAD",B1883)),
ISNUMBER(SEARCH("SOPORTE",B1883)),
ISNUMBER(SEARCH("STAND",B1883)),
ISNUMBER(SEARCH("TRAVEL ADAPTER",B1883)),
ISNUMBER(SEARCH("RJ45",B1883)),
ISNUMBER(SEARCH("USB-C",B1883)),
ISNUMBER(SEARCH("USB WIFI",B1883)),
ISNUMBER(SEARCH("POWERBANK",B1883)),
ISNUMBER(SEARCH("CARGADOR",B1883)),
ISNUMBER(SEARCH("COOLER PARA NB",B1883)),
ISNUMBER(SEARCH("SOPORTE PARA NB",B1883)),
ISNUMBER(SEARCH("WEBCAM",B1883)),
ISNUMBER(SEARCH("WEB CAM",B1883)),
ISNUMBER(SEARCH("MOUSE",B1883)),
ISNUMBER(SEARCH("TECLADO",B1883))
),
"COMPLEMENTO",
IF(
OR(
LEFT(A1883,2)="NB",
LEFT(A1883,2)="PC",
LEFT(A1883,2)="WS",
LEFT(A1883,2)="TB",
LEFT(A1883,3)="CEL",
LEFT(A1883,3)="MON",
LEFT(A1883,3)="PRE",
LEFT(A1883,3)="PRH",
ISNUMBER(SEARCH("NOTEBOOK",B1883)),
ISNUMBER(SEARCH("LAPTOP",B1883)),
ISNUMBER(SEARCH("MONITOR",B1883)),
ISNUMBER(SEARCH("TABLET",B1883)),
ISNUMBER(SEARCH("SMARTPH",B1883)),
ISNUMBER(SEARCH("IMPRESORA",B1883)),
ISNUMBER(SEARCH("MULTIFUNCIONAL",B1883)),
ISNUMBER(SEARCH("AIO",B1883))
),
"GANCHO",
"NORMAL"
)
)</f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>ROUND(
IF(L1880="GANCHO",
   IF(I1882&lt;=50,I1882*1.1+4,IF(I1882&lt;=120,I1882*1.1+7,IF(I1882&lt;=250,I1882*1.1+11,I1882*1.1+19))),
IF(L1880="NORMAL",
   IF(I1882&lt;=30,I1882*1.15+2,IF(I1882&lt;=80,I1882*1.15+4,IF(I1882&lt;=150,I1882*1.15+6,I1882*1.15+8))),
IF(L1880="COMPLEMENTO",
   IF(I1882&lt;=25,I1882*1.25+1.5,IF(I1882&lt;=60,I1882*1.25+3,IF(I1882&lt;=120,I1882*1.25+4,I1882*1.25+5))),
""))),2)</f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>IF(
OR(
ISNUMBER(SEARCH("BACKPACK",B1884)),
ISNUMBER(SEARCH("MOCHILA",B1884)),
ISNUMBER(SEARCH("FUNDA",B1884)),
ISNUMBER(SEARCH("ESTUCHE",B1884)),
ISNUMBER(SEARCH("BOOK COVER",B1884)),
ISNUMBER(SEARCH("KEYBOARD PARA TABLET",B1884)),
ISNUMBER(SEARCH("FLIP TABLET",B1884)),
ISNUMBER(SEARCH("CASE FOR TABLET",B1884)),
ISNUMBER(SEARCH("CABLE",B1884)),
ISNUMBER(SEARCH("ADAPTADOR",B1884)),
ISNUMBER(SEARCH("HUB",B1884)),
ISNUMBER(SEARCH("DOCK",B1884)),
ISNUMBER(SEARCH("MOUSE PAD",B1884)),
ISNUMBER(SEARCH("MOUSEPAD",B1884)),
ISNUMBER(SEARCH("SOPORTE",B1884)),
ISNUMBER(SEARCH("STAND",B1884)),
ISNUMBER(SEARCH("TRAVEL ADAPTER",B1884)),
ISNUMBER(SEARCH("RJ45",B1884)),
ISNUMBER(SEARCH("USB-C",B1884)),
ISNUMBER(SEARCH("USB WIFI",B1884)),
ISNUMBER(SEARCH("POWERBANK",B1884)),
ISNUMBER(SEARCH("CARGADOR",B1884)),
ISNUMBER(SEARCH("COOLER PARA NB",B1884)),
ISNUMBER(SEARCH("SOPORTE PARA NB",B1884)),
ISNUMBER(SEARCH("WEBCAM",B1884)),
ISNUMBER(SEARCH("WEB CAM",B1884)),
ISNUMBER(SEARCH("MOUSE",B1884)),
ISNUMBER(SEARCH("TECLADO",B1884))
),
"COMPLEMENTO",
IF(
OR(
LEFT(A1884,2)="NB",
LEFT(A1884,2)="PC",
LEFT(A1884,2)="WS",
LEFT(A1884,2)="TB",
LEFT(A1884,3)="CEL",
LEFT(A1884,3)="MON",
LEFT(A1884,3)="PRE",
LEFT(A1884,3)="PRH",
ISNUMBER(SEARCH("NOTEBOOK",B1884)),
ISNUMBER(SEARCH("LAPTOP",B1884)),
ISNUMBER(SEARCH("MONITOR",B1884)),
ISNUMBER(SEARCH("TABLET",B1884)),
ISNUMBER(SEARCH("SMARTPH",B1884)),
ISNUMBER(SEARCH("IMPRESORA",B1884)),
ISNUMBER(SEARCH("MULTIFUNCIONAL",B1884)),
ISNUMBER(SEARCH("AIO",B1884))
),
"GANCHO",
"NORMAL"
)
)</f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>ROUND(
IF(L1881="GANCHO",
   IF(I1883&lt;=50,I1883*1.1+4,IF(I1883&lt;=120,I1883*1.1+7,IF(I1883&lt;=250,I1883*1.1+11,I1883*1.1+19))),
IF(L1881="NORMAL",
   IF(I1883&lt;=30,I1883*1.15+2,IF(I1883&lt;=80,I1883*1.15+4,IF(I1883&lt;=150,I1883*1.15+6,I1883*1.15+8))),
IF(L1881="COMPLEMENTO",
   IF(I1883&lt;=25,I1883*1.25+1.5,IF(I1883&lt;=60,I1883*1.25+3,IF(I1883&lt;=120,I1883*1.25+4,I1883*1.25+5))),
""))),2)</f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>IF(
OR(
ISNUMBER(SEARCH("BACKPACK",B1885)),
ISNUMBER(SEARCH("MOCHILA",B1885)),
ISNUMBER(SEARCH("FUNDA",B1885)),
ISNUMBER(SEARCH("ESTUCHE",B1885)),
ISNUMBER(SEARCH("BOOK COVER",B1885)),
ISNUMBER(SEARCH("KEYBOARD PARA TABLET",B1885)),
ISNUMBER(SEARCH("FLIP TABLET",B1885)),
ISNUMBER(SEARCH("CASE FOR TABLET",B1885)),
ISNUMBER(SEARCH("CABLE",B1885)),
ISNUMBER(SEARCH("ADAPTADOR",B1885)),
ISNUMBER(SEARCH("HUB",B1885)),
ISNUMBER(SEARCH("DOCK",B1885)),
ISNUMBER(SEARCH("MOUSE PAD",B1885)),
ISNUMBER(SEARCH("MOUSEPAD",B1885)),
ISNUMBER(SEARCH("SOPORTE",B1885)),
ISNUMBER(SEARCH("STAND",B1885)),
ISNUMBER(SEARCH("TRAVEL ADAPTER",B1885)),
ISNUMBER(SEARCH("RJ45",B1885)),
ISNUMBER(SEARCH("USB-C",B1885)),
ISNUMBER(SEARCH("USB WIFI",B1885)),
ISNUMBER(SEARCH("POWERBANK",B1885)),
ISNUMBER(SEARCH("CARGADOR",B1885)),
ISNUMBER(SEARCH("COOLER PARA NB",B1885)),
ISNUMBER(SEARCH("SOPORTE PARA NB",B1885)),
ISNUMBER(SEARCH("WEBCAM",B1885)),
ISNUMBER(SEARCH("WEB CAM",B1885)),
ISNUMBER(SEARCH("MOUSE",B1885)),
ISNUMBER(SEARCH("TECLADO",B1885))
),
"COMPLEMENTO",
IF(
OR(
LEFT(A1885,2)="NB",
LEFT(A1885,2)="PC",
LEFT(A1885,2)="WS",
LEFT(A1885,2)="TB",
LEFT(A1885,3)="CEL",
LEFT(A1885,3)="MON",
LEFT(A1885,3)="PRE",
LEFT(A1885,3)="PRH",
ISNUMBER(SEARCH("NOTEBOOK",B1885)),
ISNUMBER(SEARCH("LAPTOP",B1885)),
ISNUMBER(SEARCH("MONITOR",B1885)),
ISNUMBER(SEARCH("TABLET",B1885)),
ISNUMBER(SEARCH("SMARTPH",B1885)),
ISNUMBER(SEARCH("IMPRESORA",B1885)),
ISNUMBER(SEARCH("MULTIFUNCIONAL",B1885)),
ISNUMBER(SEARCH("AIO",B1885))
),
"GANCHO",
"NORMAL"
)
)</f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>ROUND(
IF(L1882="GANCHO",
   IF(I1884&lt;=50,I1884*1.1+4,IF(I1884&lt;=120,I1884*1.1+7,IF(I1884&lt;=250,I1884*1.1+11,I1884*1.1+19))),
IF(L1882="NORMAL",
   IF(I1884&lt;=30,I1884*1.15+2,IF(I1884&lt;=80,I1884*1.15+4,IF(I1884&lt;=150,I1884*1.15+6,I1884*1.15+8))),
IF(L1882="COMPLEMENTO",
   IF(I1884&lt;=25,I1884*1.25+1.5,IF(I1884&lt;=60,I1884*1.25+3,IF(I1884&lt;=120,I1884*1.25+4,I1884*1.25+5))),
""))),2)</f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>IF(
OR(
ISNUMBER(SEARCH("BACKPACK",B1886)),
ISNUMBER(SEARCH("MOCHILA",B1886)),
ISNUMBER(SEARCH("FUNDA",B1886)),
ISNUMBER(SEARCH("ESTUCHE",B1886)),
ISNUMBER(SEARCH("BOOK COVER",B1886)),
ISNUMBER(SEARCH("KEYBOARD PARA TABLET",B1886)),
ISNUMBER(SEARCH("FLIP TABLET",B1886)),
ISNUMBER(SEARCH("CASE FOR TABLET",B1886)),
ISNUMBER(SEARCH("CABLE",B1886)),
ISNUMBER(SEARCH("ADAPTADOR",B1886)),
ISNUMBER(SEARCH("HUB",B1886)),
ISNUMBER(SEARCH("DOCK",B1886)),
ISNUMBER(SEARCH("MOUSE PAD",B1886)),
ISNUMBER(SEARCH("MOUSEPAD",B1886)),
ISNUMBER(SEARCH("SOPORTE",B1886)),
ISNUMBER(SEARCH("STAND",B1886)),
ISNUMBER(SEARCH("TRAVEL ADAPTER",B1886)),
ISNUMBER(SEARCH("RJ45",B1886)),
ISNUMBER(SEARCH("USB-C",B1886)),
ISNUMBER(SEARCH("USB WIFI",B1886)),
ISNUMBER(SEARCH("POWERBANK",B1886)),
ISNUMBER(SEARCH("CARGADOR",B1886)),
ISNUMBER(SEARCH("COOLER PARA NB",B1886)),
ISNUMBER(SEARCH("SOPORTE PARA NB",B1886)),
ISNUMBER(SEARCH("WEBCAM",B1886)),
ISNUMBER(SEARCH("WEB CAM",B1886)),
ISNUMBER(SEARCH("MOUSE",B1886)),
ISNUMBER(SEARCH("TECLADO",B1886))
),
"COMPLEMENTO",
IF(
OR(
LEFT(A1886,2)="NB",
LEFT(A1886,2)="PC",
LEFT(A1886,2)="WS",
LEFT(A1886,2)="TB",
LEFT(A1886,3)="CEL",
LEFT(A1886,3)="MON",
LEFT(A1886,3)="PRE",
LEFT(A1886,3)="PRH",
ISNUMBER(SEARCH("NOTEBOOK",B1886)),
ISNUMBER(SEARCH("LAPTOP",B1886)),
ISNUMBER(SEARCH("MONITOR",B1886)),
ISNUMBER(SEARCH("TABLET",B1886)),
ISNUMBER(SEARCH("SMARTPH",B1886)),
ISNUMBER(SEARCH("IMPRESORA",B1886)),
ISNUMBER(SEARCH("MULTIFUNCIONAL",B1886)),
ISNUMBER(SEARCH("AIO",B1886))
),
"GANCHO",
"NORMAL"
)
)</f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>ROUND(
IF(L1883="GANCHO",
   IF(I1885&lt;=50,I1885*1.1+4,IF(I1885&lt;=120,I1885*1.1+7,IF(I1885&lt;=250,I1885*1.1+11,I1885*1.1+19))),
IF(L1883="NORMAL",
   IF(I1885&lt;=30,I1885*1.15+2,IF(I1885&lt;=80,I1885*1.15+4,IF(I1885&lt;=150,I1885*1.15+6,I1885*1.15+8))),
IF(L1883="COMPLEMENTO",
   IF(I1885&lt;=25,I1885*1.25+1.5,IF(I1885&lt;=60,I1885*1.25+3,IF(I1885&lt;=120,I1885*1.25+4,I1885*1.25+5))),
""))),2)</f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>IF(
OR(
ISNUMBER(SEARCH("BACKPACK",B1887)),
ISNUMBER(SEARCH("MOCHILA",B1887)),
ISNUMBER(SEARCH("FUNDA",B1887)),
ISNUMBER(SEARCH("ESTUCHE",B1887)),
ISNUMBER(SEARCH("BOOK COVER",B1887)),
ISNUMBER(SEARCH("KEYBOARD PARA TABLET",B1887)),
ISNUMBER(SEARCH("FLIP TABLET",B1887)),
ISNUMBER(SEARCH("CASE FOR TABLET",B1887)),
ISNUMBER(SEARCH("CABLE",B1887)),
ISNUMBER(SEARCH("ADAPTADOR",B1887)),
ISNUMBER(SEARCH("HUB",B1887)),
ISNUMBER(SEARCH("DOCK",B1887)),
ISNUMBER(SEARCH("MOUSE PAD",B1887)),
ISNUMBER(SEARCH("MOUSEPAD",B1887)),
ISNUMBER(SEARCH("SOPORTE",B1887)),
ISNUMBER(SEARCH("STAND",B1887)),
ISNUMBER(SEARCH("TRAVEL ADAPTER",B1887)),
ISNUMBER(SEARCH("RJ45",B1887)),
ISNUMBER(SEARCH("USB-C",B1887)),
ISNUMBER(SEARCH("USB WIFI",B1887)),
ISNUMBER(SEARCH("POWERBANK",B1887)),
ISNUMBER(SEARCH("CARGADOR",B1887)),
ISNUMBER(SEARCH("COOLER PARA NB",B1887)),
ISNUMBER(SEARCH("SOPORTE PARA NB",B1887)),
ISNUMBER(SEARCH("WEBCAM",B1887)),
ISNUMBER(SEARCH("WEB CAM",B1887)),
ISNUMBER(SEARCH("MOUSE",B1887)),
ISNUMBER(SEARCH("TECLADO",B1887))
),
"COMPLEMENTO",
IF(
OR(
LEFT(A1887,2)="NB",
LEFT(A1887,2)="PC",
LEFT(A1887,2)="WS",
LEFT(A1887,2)="TB",
LEFT(A1887,3)="CEL",
LEFT(A1887,3)="MON",
LEFT(A1887,3)="PRE",
LEFT(A1887,3)="PRH",
ISNUMBER(SEARCH("NOTEBOOK",B1887)),
ISNUMBER(SEARCH("LAPTOP",B1887)),
ISNUMBER(SEARCH("MONITOR",B1887)),
ISNUMBER(SEARCH("TABLET",B1887)),
ISNUMBER(SEARCH("SMARTPH",B1887)),
ISNUMBER(SEARCH("IMPRESORA",B1887)),
ISNUMBER(SEARCH("MULTIFUNCIONAL",B1887)),
ISNUMBER(SEARCH("AIO",B1887))
),
"GANCHO",
"NORMAL"
)
)</f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>ROUND(
IF(L1884="GANCHO",
   IF(I1886&lt;=50,I1886*1.1+4,IF(I1886&lt;=120,I1886*1.1+7,IF(I1886&lt;=250,I1886*1.1+11,I1886*1.1+19))),
IF(L1884="NORMAL",
   IF(I1886&lt;=30,I1886*1.15+2,IF(I1886&lt;=80,I1886*1.15+4,IF(I1886&lt;=150,I1886*1.15+6,I1886*1.15+8))),
IF(L1884="COMPLEMENTO",
   IF(I1886&lt;=25,I1886*1.25+1.5,IF(I1886&lt;=60,I1886*1.25+3,IF(I1886&lt;=120,I1886*1.25+4,I1886*1.25+5))),
""))),2)</f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>IF(
OR(
ISNUMBER(SEARCH("BACKPACK",B1888)),
ISNUMBER(SEARCH("MOCHILA",B1888)),
ISNUMBER(SEARCH("FUNDA",B1888)),
ISNUMBER(SEARCH("ESTUCHE",B1888)),
ISNUMBER(SEARCH("BOOK COVER",B1888)),
ISNUMBER(SEARCH("KEYBOARD PARA TABLET",B1888)),
ISNUMBER(SEARCH("FLIP TABLET",B1888)),
ISNUMBER(SEARCH("CASE FOR TABLET",B1888)),
ISNUMBER(SEARCH("CABLE",B1888)),
ISNUMBER(SEARCH("ADAPTADOR",B1888)),
ISNUMBER(SEARCH("HUB",B1888)),
ISNUMBER(SEARCH("DOCK",B1888)),
ISNUMBER(SEARCH("MOUSE PAD",B1888)),
ISNUMBER(SEARCH("MOUSEPAD",B1888)),
ISNUMBER(SEARCH("SOPORTE",B1888)),
ISNUMBER(SEARCH("STAND",B1888)),
ISNUMBER(SEARCH("TRAVEL ADAPTER",B1888)),
ISNUMBER(SEARCH("RJ45",B1888)),
ISNUMBER(SEARCH("USB-C",B1888)),
ISNUMBER(SEARCH("USB WIFI",B1888)),
ISNUMBER(SEARCH("POWERBANK",B1888)),
ISNUMBER(SEARCH("CARGADOR",B1888)),
ISNUMBER(SEARCH("COOLER PARA NB",B1888)),
ISNUMBER(SEARCH("SOPORTE PARA NB",B1888)),
ISNUMBER(SEARCH("WEBCAM",B1888)),
ISNUMBER(SEARCH("WEB CAM",B1888)),
ISNUMBER(SEARCH("MOUSE",B1888)),
ISNUMBER(SEARCH("TECLADO",B1888))
),
"COMPLEMENTO",
IF(
OR(
LEFT(A1888,2)="NB",
LEFT(A1888,2)="PC",
LEFT(A1888,2)="WS",
LEFT(A1888,2)="TB",
LEFT(A1888,3)="CEL",
LEFT(A1888,3)="MON",
LEFT(A1888,3)="PRE",
LEFT(A1888,3)="PRH",
ISNUMBER(SEARCH("NOTEBOOK",B1888)),
ISNUMBER(SEARCH("LAPTOP",B1888)),
ISNUMBER(SEARCH("MONITOR",B1888)),
ISNUMBER(SEARCH("TABLET",B1888)),
ISNUMBER(SEARCH("SMARTPH",B1888)),
ISNUMBER(SEARCH("IMPRESORA",B1888)),
ISNUMBER(SEARCH("MULTIFUNCIONAL",B1888)),
ISNUMBER(SEARCH("AIO",B1888))
),
"GANCHO",
"NORMAL"
)
)</f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>ROUND(
IF(L1885="GANCHO",
   IF(I1887&lt;=50,I1887*1.1+4,IF(I1887&lt;=120,I1887*1.1+7,IF(I1887&lt;=250,I1887*1.1+11,I1887*1.1+19))),
IF(L1885="NORMAL",
   IF(I1887&lt;=30,I1887*1.15+2,IF(I1887&lt;=80,I1887*1.15+4,IF(I1887&lt;=150,I1887*1.15+6,I1887*1.15+8))),
IF(L1885="COMPLEMENTO",
   IF(I1887&lt;=25,I1887*1.25+1.5,IF(I1887&lt;=60,I1887*1.25+3,IF(I1887&lt;=120,I1887*1.25+4,I1887*1.25+5))),
""))),2)</f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>IF(
OR(
ISNUMBER(SEARCH("BACKPACK",B1889)),
ISNUMBER(SEARCH("MOCHILA",B1889)),
ISNUMBER(SEARCH("FUNDA",B1889)),
ISNUMBER(SEARCH("ESTUCHE",B1889)),
ISNUMBER(SEARCH("BOOK COVER",B1889)),
ISNUMBER(SEARCH("KEYBOARD PARA TABLET",B1889)),
ISNUMBER(SEARCH("FLIP TABLET",B1889)),
ISNUMBER(SEARCH("CASE FOR TABLET",B1889)),
ISNUMBER(SEARCH("CABLE",B1889)),
ISNUMBER(SEARCH("ADAPTADOR",B1889)),
ISNUMBER(SEARCH("HUB",B1889)),
ISNUMBER(SEARCH("DOCK",B1889)),
ISNUMBER(SEARCH("MOUSE PAD",B1889)),
ISNUMBER(SEARCH("MOUSEPAD",B1889)),
ISNUMBER(SEARCH("SOPORTE",B1889)),
ISNUMBER(SEARCH("STAND",B1889)),
ISNUMBER(SEARCH("TRAVEL ADAPTER",B1889)),
ISNUMBER(SEARCH("RJ45",B1889)),
ISNUMBER(SEARCH("USB-C",B1889)),
ISNUMBER(SEARCH("USB WIFI",B1889)),
ISNUMBER(SEARCH("POWERBANK",B1889)),
ISNUMBER(SEARCH("CARGADOR",B1889)),
ISNUMBER(SEARCH("COOLER PARA NB",B1889)),
ISNUMBER(SEARCH("SOPORTE PARA NB",B1889)),
ISNUMBER(SEARCH("WEBCAM",B1889)),
ISNUMBER(SEARCH("WEB CAM",B1889)),
ISNUMBER(SEARCH("MOUSE",B1889)),
ISNUMBER(SEARCH("TECLADO",B1889))
),
"COMPLEMENTO",
IF(
OR(
LEFT(A1889,2)="NB",
LEFT(A1889,2)="PC",
LEFT(A1889,2)="WS",
LEFT(A1889,2)="TB",
LEFT(A1889,3)="CEL",
LEFT(A1889,3)="MON",
LEFT(A1889,3)="PRE",
LEFT(A1889,3)="PRH",
ISNUMBER(SEARCH("NOTEBOOK",B1889)),
ISNUMBER(SEARCH("LAPTOP",B1889)),
ISNUMBER(SEARCH("MONITOR",B1889)),
ISNUMBER(SEARCH("TABLET",B1889)),
ISNUMBER(SEARCH("SMARTPH",B1889)),
ISNUMBER(SEARCH("IMPRESORA",B1889)),
ISNUMBER(SEARCH("MULTIFUNCIONAL",B1889)),
ISNUMBER(SEARCH("AIO",B1889))
),
"GANCHO",
"NORMAL"
)
)</f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>ROUND(
IF(L1886="GANCHO",
   IF(I1888&lt;=50,I1888*1.1+4,IF(I1888&lt;=120,I1888*1.1+7,IF(I1888&lt;=250,I1888*1.1+11,I1888*1.1+19))),
IF(L1886="NORMAL",
   IF(I1888&lt;=30,I1888*1.15+2,IF(I1888&lt;=80,I1888*1.15+4,IF(I1888&lt;=150,I1888*1.15+6,I1888*1.15+8))),
IF(L1886="COMPLEMENTO",
   IF(I1888&lt;=25,I1888*1.25+1.5,IF(I1888&lt;=60,I1888*1.25+3,IF(I1888&lt;=120,I1888*1.25+4,I1888*1.25+5))),
""))),2)</f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>IF(
OR(
ISNUMBER(SEARCH("BACKPACK",B1890)),
ISNUMBER(SEARCH("MOCHILA",B1890)),
ISNUMBER(SEARCH("FUNDA",B1890)),
ISNUMBER(SEARCH("ESTUCHE",B1890)),
ISNUMBER(SEARCH("BOOK COVER",B1890)),
ISNUMBER(SEARCH("KEYBOARD PARA TABLET",B1890)),
ISNUMBER(SEARCH("FLIP TABLET",B1890)),
ISNUMBER(SEARCH("CASE FOR TABLET",B1890)),
ISNUMBER(SEARCH("CABLE",B1890)),
ISNUMBER(SEARCH("ADAPTADOR",B1890)),
ISNUMBER(SEARCH("HUB",B1890)),
ISNUMBER(SEARCH("DOCK",B1890)),
ISNUMBER(SEARCH("MOUSE PAD",B1890)),
ISNUMBER(SEARCH("MOUSEPAD",B1890)),
ISNUMBER(SEARCH("SOPORTE",B1890)),
ISNUMBER(SEARCH("STAND",B1890)),
ISNUMBER(SEARCH("TRAVEL ADAPTER",B1890)),
ISNUMBER(SEARCH("RJ45",B1890)),
ISNUMBER(SEARCH("USB-C",B1890)),
ISNUMBER(SEARCH("USB WIFI",B1890)),
ISNUMBER(SEARCH("POWERBANK",B1890)),
ISNUMBER(SEARCH("CARGADOR",B1890)),
ISNUMBER(SEARCH("COOLER PARA NB",B1890)),
ISNUMBER(SEARCH("SOPORTE PARA NB",B1890)),
ISNUMBER(SEARCH("WEBCAM",B1890)),
ISNUMBER(SEARCH("WEB CAM",B1890)),
ISNUMBER(SEARCH("MOUSE",B1890)),
ISNUMBER(SEARCH("TECLADO",B1890))
),
"COMPLEMENTO",
IF(
OR(
LEFT(A1890,2)="NB",
LEFT(A1890,2)="PC",
LEFT(A1890,2)="WS",
LEFT(A1890,2)="TB",
LEFT(A1890,3)="CEL",
LEFT(A1890,3)="MON",
LEFT(A1890,3)="PRE",
LEFT(A1890,3)="PRH",
ISNUMBER(SEARCH("NOTEBOOK",B1890)),
ISNUMBER(SEARCH("LAPTOP",B1890)),
ISNUMBER(SEARCH("MONITOR",B1890)),
ISNUMBER(SEARCH("TABLET",B1890)),
ISNUMBER(SEARCH("SMARTPH",B1890)),
ISNUMBER(SEARCH("IMPRESORA",B1890)),
ISNUMBER(SEARCH("MULTIFUNCIONAL",B1890)),
ISNUMBER(SEARCH("AIO",B1890))
),
"GANCHO",
"NORMAL"
)
)</f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>ROUND(
IF(L1887="GANCHO",
   IF(I1889&lt;=50,I1889*1.1+4,IF(I1889&lt;=120,I1889*1.1+7,IF(I1889&lt;=250,I1889*1.1+11,I1889*1.1+19))),
IF(L1887="NORMAL",
   IF(I1889&lt;=30,I1889*1.15+2,IF(I1889&lt;=80,I1889*1.15+4,IF(I1889&lt;=150,I1889*1.15+6,I1889*1.15+8))),
IF(L1887="COMPLEMENTO",
   IF(I1889&lt;=25,I1889*1.25+1.5,IF(I1889&lt;=60,I1889*1.25+3,IF(I1889&lt;=120,I1889*1.25+4,I1889*1.25+5))),
""))),2)</f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>IF(
OR(
ISNUMBER(SEARCH("BACKPACK",B1891)),
ISNUMBER(SEARCH("MOCHILA",B1891)),
ISNUMBER(SEARCH("FUNDA",B1891)),
ISNUMBER(SEARCH("ESTUCHE",B1891)),
ISNUMBER(SEARCH("BOOK COVER",B1891)),
ISNUMBER(SEARCH("KEYBOARD PARA TABLET",B1891)),
ISNUMBER(SEARCH("FLIP TABLET",B1891)),
ISNUMBER(SEARCH("CASE FOR TABLET",B1891)),
ISNUMBER(SEARCH("CABLE",B1891)),
ISNUMBER(SEARCH("ADAPTADOR",B1891)),
ISNUMBER(SEARCH("HUB",B1891)),
ISNUMBER(SEARCH("DOCK",B1891)),
ISNUMBER(SEARCH("MOUSE PAD",B1891)),
ISNUMBER(SEARCH("MOUSEPAD",B1891)),
ISNUMBER(SEARCH("SOPORTE",B1891)),
ISNUMBER(SEARCH("STAND",B1891)),
ISNUMBER(SEARCH("TRAVEL ADAPTER",B1891)),
ISNUMBER(SEARCH("RJ45",B1891)),
ISNUMBER(SEARCH("USB-C",B1891)),
ISNUMBER(SEARCH("USB WIFI",B1891)),
ISNUMBER(SEARCH("POWERBANK",B1891)),
ISNUMBER(SEARCH("CARGADOR",B1891)),
ISNUMBER(SEARCH("COOLER PARA NB",B1891)),
ISNUMBER(SEARCH("SOPORTE PARA NB",B1891)),
ISNUMBER(SEARCH("WEBCAM",B1891)),
ISNUMBER(SEARCH("WEB CAM",B1891)),
ISNUMBER(SEARCH("MOUSE",B1891)),
ISNUMBER(SEARCH("TECLADO",B1891))
),
"COMPLEMENTO",
IF(
OR(
LEFT(A1891,2)="NB",
LEFT(A1891,2)="PC",
LEFT(A1891,2)="WS",
LEFT(A1891,2)="TB",
LEFT(A1891,3)="CEL",
LEFT(A1891,3)="MON",
LEFT(A1891,3)="PRE",
LEFT(A1891,3)="PRH",
ISNUMBER(SEARCH("NOTEBOOK",B1891)),
ISNUMBER(SEARCH("LAPTOP",B1891)),
ISNUMBER(SEARCH("MONITOR",B1891)),
ISNUMBER(SEARCH("TABLET",B1891)),
ISNUMBER(SEARCH("SMARTPH",B1891)),
ISNUMBER(SEARCH("IMPRESORA",B1891)),
ISNUMBER(SEARCH("MULTIFUNCIONAL",B1891)),
ISNUMBER(SEARCH("AIO",B1891))
),
"GANCHO",
"NORMAL"
)
)</f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>ROUND(
IF(L1888="GANCHO",
   IF(I1890&lt;=50,I1890*1.1+4,IF(I1890&lt;=120,I1890*1.1+7,IF(I1890&lt;=250,I1890*1.1+11,I1890*1.1+19))),
IF(L1888="NORMAL",
   IF(I1890&lt;=30,I1890*1.15+2,IF(I1890&lt;=80,I1890*1.15+4,IF(I1890&lt;=150,I1890*1.15+6,I1890*1.15+8))),
IF(L1888="COMPLEMENTO",
   IF(I1890&lt;=25,I1890*1.25+1.5,IF(I1890&lt;=60,I1890*1.25+3,IF(I1890&lt;=120,I1890*1.25+4,I1890*1.25+5))),
""))),2)</f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>IF(
OR(
ISNUMBER(SEARCH("BACKPACK",B1892)),
ISNUMBER(SEARCH("MOCHILA",B1892)),
ISNUMBER(SEARCH("FUNDA",B1892)),
ISNUMBER(SEARCH("ESTUCHE",B1892)),
ISNUMBER(SEARCH("BOOK COVER",B1892)),
ISNUMBER(SEARCH("KEYBOARD PARA TABLET",B1892)),
ISNUMBER(SEARCH("FLIP TABLET",B1892)),
ISNUMBER(SEARCH("CASE FOR TABLET",B1892)),
ISNUMBER(SEARCH("CABLE",B1892)),
ISNUMBER(SEARCH("ADAPTADOR",B1892)),
ISNUMBER(SEARCH("HUB",B1892)),
ISNUMBER(SEARCH("DOCK",B1892)),
ISNUMBER(SEARCH("MOUSE PAD",B1892)),
ISNUMBER(SEARCH("MOUSEPAD",B1892)),
ISNUMBER(SEARCH("SOPORTE",B1892)),
ISNUMBER(SEARCH("STAND",B1892)),
ISNUMBER(SEARCH("TRAVEL ADAPTER",B1892)),
ISNUMBER(SEARCH("RJ45",B1892)),
ISNUMBER(SEARCH("USB-C",B1892)),
ISNUMBER(SEARCH("USB WIFI",B1892)),
ISNUMBER(SEARCH("POWERBANK",B1892)),
ISNUMBER(SEARCH("CARGADOR",B1892)),
ISNUMBER(SEARCH("COOLER PARA NB",B1892)),
ISNUMBER(SEARCH("SOPORTE PARA NB",B1892)),
ISNUMBER(SEARCH("WEBCAM",B1892)),
ISNUMBER(SEARCH("WEB CAM",B1892)),
ISNUMBER(SEARCH("MOUSE",B1892)),
ISNUMBER(SEARCH("TECLADO",B1892))
),
"COMPLEMENTO",
IF(
OR(
LEFT(A1892,2)="NB",
LEFT(A1892,2)="PC",
LEFT(A1892,2)="WS",
LEFT(A1892,2)="TB",
LEFT(A1892,3)="CEL",
LEFT(A1892,3)="MON",
LEFT(A1892,3)="PRE",
LEFT(A1892,3)="PRH",
ISNUMBER(SEARCH("NOTEBOOK",B1892)),
ISNUMBER(SEARCH("LAPTOP",B1892)),
ISNUMBER(SEARCH("MONITOR",B1892)),
ISNUMBER(SEARCH("TABLET",B1892)),
ISNUMBER(SEARCH("SMARTPH",B1892)),
ISNUMBER(SEARCH("IMPRESORA",B1892)),
ISNUMBER(SEARCH("MULTIFUNCIONAL",B1892)),
ISNUMBER(SEARCH("AIO",B1892))
),
"GANCHO",
"NORMAL"
)
)</f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>ROUND(
IF(L1889="GANCHO",
   IF(I1891&lt;=50,I1891*1.1+4,IF(I1891&lt;=120,I1891*1.1+7,IF(I1891&lt;=250,I1891*1.1+11,I1891*1.1+19))),
IF(L1889="NORMAL",
   IF(I1891&lt;=30,I1891*1.15+2,IF(I1891&lt;=80,I1891*1.15+4,IF(I1891&lt;=150,I1891*1.15+6,I1891*1.15+8))),
IF(L1889="COMPLEMENTO",
   IF(I1891&lt;=25,I1891*1.25+1.5,IF(I1891&lt;=60,I1891*1.25+3,IF(I1891&lt;=120,I1891*1.25+4,I1891*1.25+5))),
""))),2)</f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>IF(
OR(
ISNUMBER(SEARCH("BACKPACK",B1893)),
ISNUMBER(SEARCH("MOCHILA",B1893)),
ISNUMBER(SEARCH("FUNDA",B1893)),
ISNUMBER(SEARCH("ESTUCHE",B1893)),
ISNUMBER(SEARCH("BOOK COVER",B1893)),
ISNUMBER(SEARCH("KEYBOARD PARA TABLET",B1893)),
ISNUMBER(SEARCH("FLIP TABLET",B1893)),
ISNUMBER(SEARCH("CASE FOR TABLET",B1893)),
ISNUMBER(SEARCH("CABLE",B1893)),
ISNUMBER(SEARCH("ADAPTADOR",B1893)),
ISNUMBER(SEARCH("HUB",B1893)),
ISNUMBER(SEARCH("DOCK",B1893)),
ISNUMBER(SEARCH("MOUSE PAD",B1893)),
ISNUMBER(SEARCH("MOUSEPAD",B1893)),
ISNUMBER(SEARCH("SOPORTE",B1893)),
ISNUMBER(SEARCH("STAND",B1893)),
ISNUMBER(SEARCH("TRAVEL ADAPTER",B1893)),
ISNUMBER(SEARCH("RJ45",B1893)),
ISNUMBER(SEARCH("USB-C",B1893)),
ISNUMBER(SEARCH("USB WIFI",B1893)),
ISNUMBER(SEARCH("POWERBANK",B1893)),
ISNUMBER(SEARCH("CARGADOR",B1893)),
ISNUMBER(SEARCH("COOLER PARA NB",B1893)),
ISNUMBER(SEARCH("SOPORTE PARA NB",B1893)),
ISNUMBER(SEARCH("WEBCAM",B1893)),
ISNUMBER(SEARCH("WEB CAM",B1893)),
ISNUMBER(SEARCH("MOUSE",B1893)),
ISNUMBER(SEARCH("TECLADO",B1893))
),
"COMPLEMENTO",
IF(
OR(
LEFT(A1893,2)="NB",
LEFT(A1893,2)="PC",
LEFT(A1893,2)="WS",
LEFT(A1893,2)="TB",
LEFT(A1893,3)="CEL",
LEFT(A1893,3)="MON",
LEFT(A1893,3)="PRE",
LEFT(A1893,3)="PRH",
ISNUMBER(SEARCH("NOTEBOOK",B1893)),
ISNUMBER(SEARCH("LAPTOP",B1893)),
ISNUMBER(SEARCH("MONITOR",B1893)),
ISNUMBER(SEARCH("TABLET",B1893)),
ISNUMBER(SEARCH("SMARTPH",B1893)),
ISNUMBER(SEARCH("IMPRESORA",B1893)),
ISNUMBER(SEARCH("MULTIFUNCIONAL",B1893)),
ISNUMBER(SEARCH("AIO",B1893))
),
"GANCHO",
"NORMAL"
)
)</f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>ROUND(
IF(L1890="GANCHO",
   IF(I1892&lt;=50,I1892*1.1+4,IF(I1892&lt;=120,I1892*1.1+7,IF(I1892&lt;=250,I1892*1.1+11,I1892*1.1+19))),
IF(L1890="NORMAL",
   IF(I1892&lt;=30,I1892*1.15+2,IF(I1892&lt;=80,I1892*1.15+4,IF(I1892&lt;=150,I1892*1.15+6,I1892*1.15+8))),
IF(L1890="COMPLEMENTO",
   IF(I1892&lt;=25,I1892*1.25+1.5,IF(I1892&lt;=60,I1892*1.25+3,IF(I1892&lt;=120,I1892*1.25+4,I1892*1.25+5))),
""))),2)</f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>IF(
OR(
ISNUMBER(SEARCH("BACKPACK",B1894)),
ISNUMBER(SEARCH("MOCHILA",B1894)),
ISNUMBER(SEARCH("FUNDA",B1894)),
ISNUMBER(SEARCH("ESTUCHE",B1894)),
ISNUMBER(SEARCH("BOOK COVER",B1894)),
ISNUMBER(SEARCH("KEYBOARD PARA TABLET",B1894)),
ISNUMBER(SEARCH("FLIP TABLET",B1894)),
ISNUMBER(SEARCH("CASE FOR TABLET",B1894)),
ISNUMBER(SEARCH("CABLE",B1894)),
ISNUMBER(SEARCH("ADAPTADOR",B1894)),
ISNUMBER(SEARCH("HUB",B1894)),
ISNUMBER(SEARCH("DOCK",B1894)),
ISNUMBER(SEARCH("MOUSE PAD",B1894)),
ISNUMBER(SEARCH("MOUSEPAD",B1894)),
ISNUMBER(SEARCH("SOPORTE",B1894)),
ISNUMBER(SEARCH("STAND",B1894)),
ISNUMBER(SEARCH("TRAVEL ADAPTER",B1894)),
ISNUMBER(SEARCH("RJ45",B1894)),
ISNUMBER(SEARCH("USB-C",B1894)),
ISNUMBER(SEARCH("USB WIFI",B1894)),
ISNUMBER(SEARCH("POWERBANK",B1894)),
ISNUMBER(SEARCH("CARGADOR",B1894)),
ISNUMBER(SEARCH("COOLER PARA NB",B1894)),
ISNUMBER(SEARCH("SOPORTE PARA NB",B1894)),
ISNUMBER(SEARCH("WEBCAM",B1894)),
ISNUMBER(SEARCH("WEB CAM",B1894)),
ISNUMBER(SEARCH("MOUSE",B1894)),
ISNUMBER(SEARCH("TECLADO",B1894))
),
"COMPLEMENTO",
IF(
OR(
LEFT(A1894,2)="NB",
LEFT(A1894,2)="PC",
LEFT(A1894,2)="WS",
LEFT(A1894,2)="TB",
LEFT(A1894,3)="CEL",
LEFT(A1894,3)="MON",
LEFT(A1894,3)="PRE",
LEFT(A1894,3)="PRH",
ISNUMBER(SEARCH("NOTEBOOK",B1894)),
ISNUMBER(SEARCH("LAPTOP",B1894)),
ISNUMBER(SEARCH("MONITOR",B1894)),
ISNUMBER(SEARCH("TABLET",B1894)),
ISNUMBER(SEARCH("SMARTPH",B1894)),
ISNUMBER(SEARCH("IMPRESORA",B1894)),
ISNUMBER(SEARCH("MULTIFUNCIONAL",B1894)),
ISNUMBER(SEARCH("AIO",B1894))
),
"GANCHO",
"NORMAL"
)
)</f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>ROUND(
IF(L1891="GANCHO",
   IF(I1893&lt;=50,I1893*1.1+4,IF(I1893&lt;=120,I1893*1.1+7,IF(I1893&lt;=250,I1893*1.1+11,I1893*1.1+19))),
IF(L1891="NORMAL",
   IF(I1893&lt;=30,I1893*1.15+2,IF(I1893&lt;=80,I1893*1.15+4,IF(I1893&lt;=150,I1893*1.15+6,I1893*1.15+8))),
IF(L1891="COMPLEMENTO",
   IF(I1893&lt;=25,I1893*1.25+1.5,IF(I1893&lt;=60,I1893*1.25+3,IF(I1893&lt;=120,I1893*1.25+4,I1893*1.25+5))),
""))),2)</f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>IF(
OR(
ISNUMBER(SEARCH("BACKPACK",B1895)),
ISNUMBER(SEARCH("MOCHILA",B1895)),
ISNUMBER(SEARCH("FUNDA",B1895)),
ISNUMBER(SEARCH("ESTUCHE",B1895)),
ISNUMBER(SEARCH("BOOK COVER",B1895)),
ISNUMBER(SEARCH("KEYBOARD PARA TABLET",B1895)),
ISNUMBER(SEARCH("FLIP TABLET",B1895)),
ISNUMBER(SEARCH("CASE FOR TABLET",B1895)),
ISNUMBER(SEARCH("CABLE",B1895)),
ISNUMBER(SEARCH("ADAPTADOR",B1895)),
ISNUMBER(SEARCH("HUB",B1895)),
ISNUMBER(SEARCH("DOCK",B1895)),
ISNUMBER(SEARCH("MOUSE PAD",B1895)),
ISNUMBER(SEARCH("MOUSEPAD",B1895)),
ISNUMBER(SEARCH("SOPORTE",B1895)),
ISNUMBER(SEARCH("STAND",B1895)),
ISNUMBER(SEARCH("TRAVEL ADAPTER",B1895)),
ISNUMBER(SEARCH("RJ45",B1895)),
ISNUMBER(SEARCH("USB-C",B1895)),
ISNUMBER(SEARCH("USB WIFI",B1895)),
ISNUMBER(SEARCH("POWERBANK",B1895)),
ISNUMBER(SEARCH("CARGADOR",B1895)),
ISNUMBER(SEARCH("COOLER PARA NB",B1895)),
ISNUMBER(SEARCH("SOPORTE PARA NB",B1895)),
ISNUMBER(SEARCH("WEBCAM",B1895)),
ISNUMBER(SEARCH("WEB CAM",B1895)),
ISNUMBER(SEARCH("MOUSE",B1895)),
ISNUMBER(SEARCH("TECLADO",B1895))
),
"COMPLEMENTO",
IF(
OR(
LEFT(A1895,2)="NB",
LEFT(A1895,2)="PC",
LEFT(A1895,2)="WS",
LEFT(A1895,2)="TB",
LEFT(A1895,3)="CEL",
LEFT(A1895,3)="MON",
LEFT(A1895,3)="PRE",
LEFT(A1895,3)="PRH",
ISNUMBER(SEARCH("NOTEBOOK",B1895)),
ISNUMBER(SEARCH("LAPTOP",B1895)),
ISNUMBER(SEARCH("MONITOR",B1895)),
ISNUMBER(SEARCH("TABLET",B1895)),
ISNUMBER(SEARCH("SMARTPH",B1895)),
ISNUMBER(SEARCH("IMPRESORA",B1895)),
ISNUMBER(SEARCH("MULTIFUNCIONAL",B1895)),
ISNUMBER(SEARCH("AIO",B1895))
),
"GANCHO",
"NORMAL"
)
)</f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>ROUND(
IF(L1892="GANCHO",
   IF(I1894&lt;=50,I1894*1.1+4,IF(I1894&lt;=120,I1894*1.1+7,IF(I1894&lt;=250,I1894*1.1+11,I1894*1.1+19))),
IF(L1892="NORMAL",
   IF(I1894&lt;=30,I1894*1.15+2,IF(I1894&lt;=80,I1894*1.15+4,IF(I1894&lt;=150,I1894*1.15+6,I1894*1.15+8))),
IF(L1892="COMPLEMENTO",
   IF(I1894&lt;=25,I1894*1.25+1.5,IF(I1894&lt;=60,I1894*1.25+3,IF(I1894&lt;=120,I1894*1.25+4,I1894*1.25+5))),
""))),2)</f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>IF(
OR(
ISNUMBER(SEARCH("BACKPACK",B1896)),
ISNUMBER(SEARCH("MOCHILA",B1896)),
ISNUMBER(SEARCH("FUNDA",B1896)),
ISNUMBER(SEARCH("ESTUCHE",B1896)),
ISNUMBER(SEARCH("BOOK COVER",B1896)),
ISNUMBER(SEARCH("KEYBOARD PARA TABLET",B1896)),
ISNUMBER(SEARCH("FLIP TABLET",B1896)),
ISNUMBER(SEARCH("CASE FOR TABLET",B1896)),
ISNUMBER(SEARCH("CABLE",B1896)),
ISNUMBER(SEARCH("ADAPTADOR",B1896)),
ISNUMBER(SEARCH("HUB",B1896)),
ISNUMBER(SEARCH("DOCK",B1896)),
ISNUMBER(SEARCH("MOUSE PAD",B1896)),
ISNUMBER(SEARCH("MOUSEPAD",B1896)),
ISNUMBER(SEARCH("SOPORTE",B1896)),
ISNUMBER(SEARCH("STAND",B1896)),
ISNUMBER(SEARCH("TRAVEL ADAPTER",B1896)),
ISNUMBER(SEARCH("RJ45",B1896)),
ISNUMBER(SEARCH("USB-C",B1896)),
ISNUMBER(SEARCH("USB WIFI",B1896)),
ISNUMBER(SEARCH("POWERBANK",B1896)),
ISNUMBER(SEARCH("CARGADOR",B1896)),
ISNUMBER(SEARCH("COOLER PARA NB",B1896)),
ISNUMBER(SEARCH("SOPORTE PARA NB",B1896)),
ISNUMBER(SEARCH("WEBCAM",B1896)),
ISNUMBER(SEARCH("WEB CAM",B1896)),
ISNUMBER(SEARCH("MOUSE",B1896)),
ISNUMBER(SEARCH("TECLADO",B1896))
),
"COMPLEMENTO",
IF(
OR(
LEFT(A1896,2)="NB",
LEFT(A1896,2)="PC",
LEFT(A1896,2)="WS",
LEFT(A1896,2)="TB",
LEFT(A1896,3)="CEL",
LEFT(A1896,3)="MON",
LEFT(A1896,3)="PRE",
LEFT(A1896,3)="PRH",
ISNUMBER(SEARCH("NOTEBOOK",B1896)),
ISNUMBER(SEARCH("LAPTOP",B1896)),
ISNUMBER(SEARCH("MONITOR",B1896)),
ISNUMBER(SEARCH("TABLET",B1896)),
ISNUMBER(SEARCH("SMARTPH",B1896)),
ISNUMBER(SEARCH("IMPRESORA",B1896)),
ISNUMBER(SEARCH("MULTIFUNCIONAL",B1896)),
ISNUMBER(SEARCH("AIO",B1896))
),
"GANCHO",
"NORMAL"
)
)</f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>ROUND(
IF(L1893="GANCHO",
   IF(I1895&lt;=50,I1895*1.1+4,IF(I1895&lt;=120,I1895*1.1+7,IF(I1895&lt;=250,I1895*1.1+11,I1895*1.1+19))),
IF(L1893="NORMAL",
   IF(I1895&lt;=30,I1895*1.15+2,IF(I1895&lt;=80,I1895*1.15+4,IF(I1895&lt;=150,I1895*1.15+6,I1895*1.15+8))),
IF(L1893="COMPLEMENTO",
   IF(I1895&lt;=25,I1895*1.25+1.5,IF(I1895&lt;=60,I1895*1.25+3,IF(I1895&lt;=120,I1895*1.25+4,I1895*1.25+5))),
""))),2)</f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>IF(
OR(
ISNUMBER(SEARCH("BACKPACK",B1897)),
ISNUMBER(SEARCH("MOCHILA",B1897)),
ISNUMBER(SEARCH("FUNDA",B1897)),
ISNUMBER(SEARCH("ESTUCHE",B1897)),
ISNUMBER(SEARCH("BOOK COVER",B1897)),
ISNUMBER(SEARCH("KEYBOARD PARA TABLET",B1897)),
ISNUMBER(SEARCH("FLIP TABLET",B1897)),
ISNUMBER(SEARCH("CASE FOR TABLET",B1897)),
ISNUMBER(SEARCH("CABLE",B1897)),
ISNUMBER(SEARCH("ADAPTADOR",B1897)),
ISNUMBER(SEARCH("HUB",B1897)),
ISNUMBER(SEARCH("DOCK",B1897)),
ISNUMBER(SEARCH("MOUSE PAD",B1897)),
ISNUMBER(SEARCH("MOUSEPAD",B1897)),
ISNUMBER(SEARCH("SOPORTE",B1897)),
ISNUMBER(SEARCH("STAND",B1897)),
ISNUMBER(SEARCH("TRAVEL ADAPTER",B1897)),
ISNUMBER(SEARCH("RJ45",B1897)),
ISNUMBER(SEARCH("USB-C",B1897)),
ISNUMBER(SEARCH("USB WIFI",B1897)),
ISNUMBER(SEARCH("POWERBANK",B1897)),
ISNUMBER(SEARCH("CARGADOR",B1897)),
ISNUMBER(SEARCH("COOLER PARA NB",B1897)),
ISNUMBER(SEARCH("SOPORTE PARA NB",B1897)),
ISNUMBER(SEARCH("WEBCAM",B1897)),
ISNUMBER(SEARCH("WEB CAM",B1897)),
ISNUMBER(SEARCH("MOUSE",B1897)),
ISNUMBER(SEARCH("TECLADO",B1897))
),
"COMPLEMENTO",
IF(
OR(
LEFT(A1897,2)="NB",
LEFT(A1897,2)="PC",
LEFT(A1897,2)="WS",
LEFT(A1897,2)="TB",
LEFT(A1897,3)="CEL",
LEFT(A1897,3)="MON",
LEFT(A1897,3)="PRE",
LEFT(A1897,3)="PRH",
ISNUMBER(SEARCH("NOTEBOOK",B1897)),
ISNUMBER(SEARCH("LAPTOP",B1897)),
ISNUMBER(SEARCH("MONITOR",B1897)),
ISNUMBER(SEARCH("TABLET",B1897)),
ISNUMBER(SEARCH("SMARTPH",B1897)),
ISNUMBER(SEARCH("IMPRESORA",B1897)),
ISNUMBER(SEARCH("MULTIFUNCIONAL",B1897)),
ISNUMBER(SEARCH("AIO",B1897))
),
"GANCHO",
"NORMAL"
)
)</f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>ROUND(
IF(L1894="GANCHO",
   IF(I1896&lt;=50,I1896*1.1+4,IF(I1896&lt;=120,I1896*1.1+7,IF(I1896&lt;=250,I1896*1.1+11,I1896*1.1+19))),
IF(L1894="NORMAL",
   IF(I1896&lt;=30,I1896*1.15+2,IF(I1896&lt;=80,I1896*1.15+4,IF(I1896&lt;=150,I1896*1.15+6,I1896*1.15+8))),
IF(L1894="COMPLEMENTO",
   IF(I1896&lt;=25,I1896*1.25+1.5,IF(I1896&lt;=60,I1896*1.25+3,IF(I1896&lt;=120,I1896*1.25+4,I1896*1.25+5))),
""))),2)</f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>IF(
OR(
ISNUMBER(SEARCH("BACKPACK",B1898)),
ISNUMBER(SEARCH("MOCHILA",B1898)),
ISNUMBER(SEARCH("FUNDA",B1898)),
ISNUMBER(SEARCH("ESTUCHE",B1898)),
ISNUMBER(SEARCH("BOOK COVER",B1898)),
ISNUMBER(SEARCH("KEYBOARD PARA TABLET",B1898)),
ISNUMBER(SEARCH("FLIP TABLET",B1898)),
ISNUMBER(SEARCH("CASE FOR TABLET",B1898)),
ISNUMBER(SEARCH("CABLE",B1898)),
ISNUMBER(SEARCH("ADAPTADOR",B1898)),
ISNUMBER(SEARCH("HUB",B1898)),
ISNUMBER(SEARCH("DOCK",B1898)),
ISNUMBER(SEARCH("MOUSE PAD",B1898)),
ISNUMBER(SEARCH("MOUSEPAD",B1898)),
ISNUMBER(SEARCH("SOPORTE",B1898)),
ISNUMBER(SEARCH("STAND",B1898)),
ISNUMBER(SEARCH("TRAVEL ADAPTER",B1898)),
ISNUMBER(SEARCH("RJ45",B1898)),
ISNUMBER(SEARCH("USB-C",B1898)),
ISNUMBER(SEARCH("USB WIFI",B1898)),
ISNUMBER(SEARCH("POWERBANK",B1898)),
ISNUMBER(SEARCH("CARGADOR",B1898)),
ISNUMBER(SEARCH("COOLER PARA NB",B1898)),
ISNUMBER(SEARCH("SOPORTE PARA NB",B1898)),
ISNUMBER(SEARCH("WEBCAM",B1898)),
ISNUMBER(SEARCH("WEB CAM",B1898)),
ISNUMBER(SEARCH("MOUSE",B1898)),
ISNUMBER(SEARCH("TECLADO",B1898))
),
"COMPLEMENTO",
IF(
OR(
LEFT(A1898,2)="NB",
LEFT(A1898,2)="PC",
LEFT(A1898,2)="WS",
LEFT(A1898,2)="TB",
LEFT(A1898,3)="CEL",
LEFT(A1898,3)="MON",
LEFT(A1898,3)="PRE",
LEFT(A1898,3)="PRH",
ISNUMBER(SEARCH("NOTEBOOK",B1898)),
ISNUMBER(SEARCH("LAPTOP",B1898)),
ISNUMBER(SEARCH("MONITOR",B1898)),
ISNUMBER(SEARCH("TABLET",B1898)),
ISNUMBER(SEARCH("SMARTPH",B1898)),
ISNUMBER(SEARCH("IMPRESORA",B1898)),
ISNUMBER(SEARCH("MULTIFUNCIONAL",B1898)),
ISNUMBER(SEARCH("AIO",B1898))
),
"GANCHO",
"NORMAL"
)
)</f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>ROUND(
IF(L1895="GANCHO",
   IF(I1897&lt;=50,I1897*1.1+4,IF(I1897&lt;=120,I1897*1.1+7,IF(I1897&lt;=250,I1897*1.1+11,I1897*1.1+19))),
IF(L1895="NORMAL",
   IF(I1897&lt;=30,I1897*1.15+2,IF(I1897&lt;=80,I1897*1.15+4,IF(I1897&lt;=150,I1897*1.15+6,I1897*1.15+8))),
IF(L1895="COMPLEMENTO",
   IF(I1897&lt;=25,I1897*1.25+1.5,IF(I1897&lt;=60,I1897*1.25+3,IF(I1897&lt;=120,I1897*1.25+4,I1897*1.25+5))),
""))),2)</f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>IF(
OR(
ISNUMBER(SEARCH("BACKPACK",B1899)),
ISNUMBER(SEARCH("MOCHILA",B1899)),
ISNUMBER(SEARCH("FUNDA",B1899)),
ISNUMBER(SEARCH("ESTUCHE",B1899)),
ISNUMBER(SEARCH("BOOK COVER",B1899)),
ISNUMBER(SEARCH("KEYBOARD PARA TABLET",B1899)),
ISNUMBER(SEARCH("FLIP TABLET",B1899)),
ISNUMBER(SEARCH("CASE FOR TABLET",B1899)),
ISNUMBER(SEARCH("CABLE",B1899)),
ISNUMBER(SEARCH("ADAPTADOR",B1899)),
ISNUMBER(SEARCH("HUB",B1899)),
ISNUMBER(SEARCH("DOCK",B1899)),
ISNUMBER(SEARCH("MOUSE PAD",B1899)),
ISNUMBER(SEARCH("MOUSEPAD",B1899)),
ISNUMBER(SEARCH("SOPORTE",B1899)),
ISNUMBER(SEARCH("STAND",B1899)),
ISNUMBER(SEARCH("TRAVEL ADAPTER",B1899)),
ISNUMBER(SEARCH("RJ45",B1899)),
ISNUMBER(SEARCH("USB-C",B1899)),
ISNUMBER(SEARCH("USB WIFI",B1899)),
ISNUMBER(SEARCH("POWERBANK",B1899)),
ISNUMBER(SEARCH("CARGADOR",B1899)),
ISNUMBER(SEARCH("COOLER PARA NB",B1899)),
ISNUMBER(SEARCH("SOPORTE PARA NB",B1899)),
ISNUMBER(SEARCH("WEBCAM",B1899)),
ISNUMBER(SEARCH("WEB CAM",B1899)),
ISNUMBER(SEARCH("MOUSE",B1899)),
ISNUMBER(SEARCH("TECLADO",B1899))
),
"COMPLEMENTO",
IF(
OR(
LEFT(A1899,2)="NB",
LEFT(A1899,2)="PC",
LEFT(A1899,2)="WS",
LEFT(A1899,2)="TB",
LEFT(A1899,3)="CEL",
LEFT(A1899,3)="MON",
LEFT(A1899,3)="PRE",
LEFT(A1899,3)="PRH",
ISNUMBER(SEARCH("NOTEBOOK",B1899)),
ISNUMBER(SEARCH("LAPTOP",B1899)),
ISNUMBER(SEARCH("MONITOR",B1899)),
ISNUMBER(SEARCH("TABLET",B1899)),
ISNUMBER(SEARCH("SMARTPH",B1899)),
ISNUMBER(SEARCH("IMPRESORA",B1899)),
ISNUMBER(SEARCH("MULTIFUNCIONAL",B1899)),
ISNUMBER(SEARCH("AIO",B1899))
),
"GANCHO",
"NORMAL"
)
)</f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>ROUND(
IF(L1896="GANCHO",
   IF(I1898&lt;=50,I1898*1.1+4,IF(I1898&lt;=120,I1898*1.1+7,IF(I1898&lt;=250,I1898*1.1+11,I1898*1.1+19))),
IF(L1896="NORMAL",
   IF(I1898&lt;=30,I1898*1.15+2,IF(I1898&lt;=80,I1898*1.15+4,IF(I1898&lt;=150,I1898*1.15+6,I1898*1.15+8))),
IF(L1896="COMPLEMENTO",
   IF(I1898&lt;=25,I1898*1.25+1.5,IF(I1898&lt;=60,I1898*1.25+3,IF(I1898&lt;=120,I1898*1.25+4,I1898*1.25+5))),
""))),2)</f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>IF(
OR(
ISNUMBER(SEARCH("BACKPACK",B1900)),
ISNUMBER(SEARCH("MOCHILA",B1900)),
ISNUMBER(SEARCH("FUNDA",B1900)),
ISNUMBER(SEARCH("ESTUCHE",B1900)),
ISNUMBER(SEARCH("BOOK COVER",B1900)),
ISNUMBER(SEARCH("KEYBOARD PARA TABLET",B1900)),
ISNUMBER(SEARCH("FLIP TABLET",B1900)),
ISNUMBER(SEARCH("CASE FOR TABLET",B1900)),
ISNUMBER(SEARCH("CABLE",B1900)),
ISNUMBER(SEARCH("ADAPTADOR",B1900)),
ISNUMBER(SEARCH("HUB",B1900)),
ISNUMBER(SEARCH("DOCK",B1900)),
ISNUMBER(SEARCH("MOUSE PAD",B1900)),
ISNUMBER(SEARCH("MOUSEPAD",B1900)),
ISNUMBER(SEARCH("SOPORTE",B1900)),
ISNUMBER(SEARCH("STAND",B1900)),
ISNUMBER(SEARCH("TRAVEL ADAPTER",B1900)),
ISNUMBER(SEARCH("RJ45",B1900)),
ISNUMBER(SEARCH("USB-C",B1900)),
ISNUMBER(SEARCH("USB WIFI",B1900)),
ISNUMBER(SEARCH("POWERBANK",B1900)),
ISNUMBER(SEARCH("CARGADOR",B1900)),
ISNUMBER(SEARCH("COOLER PARA NB",B1900)),
ISNUMBER(SEARCH("SOPORTE PARA NB",B1900)),
ISNUMBER(SEARCH("WEBCAM",B1900)),
ISNUMBER(SEARCH("WEB CAM",B1900)),
ISNUMBER(SEARCH("MOUSE",B1900)),
ISNUMBER(SEARCH("TECLADO",B1900))
),
"COMPLEMENTO",
IF(
OR(
LEFT(A1900,2)="NB",
LEFT(A1900,2)="PC",
LEFT(A1900,2)="WS",
LEFT(A1900,2)="TB",
LEFT(A1900,3)="CEL",
LEFT(A1900,3)="MON",
LEFT(A1900,3)="PRE",
LEFT(A1900,3)="PRH",
ISNUMBER(SEARCH("NOTEBOOK",B1900)),
ISNUMBER(SEARCH("LAPTOP",B1900)),
ISNUMBER(SEARCH("MONITOR",B1900)),
ISNUMBER(SEARCH("TABLET",B1900)),
ISNUMBER(SEARCH("SMARTPH",B1900)),
ISNUMBER(SEARCH("IMPRESORA",B1900)),
ISNUMBER(SEARCH("MULTIFUNCIONAL",B1900)),
ISNUMBER(SEARCH("AIO",B1900))
),
"GANCHO",
"NORMAL"
)
)</f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>ROUND(
IF(L1897="GANCHO",
   IF(I1899&lt;=50,I1899*1.1+4,IF(I1899&lt;=120,I1899*1.1+7,IF(I1899&lt;=250,I1899*1.1+11,I1899*1.1+19))),
IF(L1897="NORMAL",
   IF(I1899&lt;=30,I1899*1.15+2,IF(I1899&lt;=80,I1899*1.15+4,IF(I1899&lt;=150,I1899*1.15+6,I1899*1.15+8))),
IF(L1897="COMPLEMENTO",
   IF(I1899&lt;=25,I1899*1.25+1.5,IF(I1899&lt;=60,I1899*1.25+3,IF(I1899&lt;=120,I1899*1.25+4,I1899*1.25+5))),
""))),2)</f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>IF(
OR(
ISNUMBER(SEARCH("BACKPACK",B1901)),
ISNUMBER(SEARCH("MOCHILA",B1901)),
ISNUMBER(SEARCH("FUNDA",B1901)),
ISNUMBER(SEARCH("ESTUCHE",B1901)),
ISNUMBER(SEARCH("BOOK COVER",B1901)),
ISNUMBER(SEARCH("KEYBOARD PARA TABLET",B1901)),
ISNUMBER(SEARCH("FLIP TABLET",B1901)),
ISNUMBER(SEARCH("CASE FOR TABLET",B1901)),
ISNUMBER(SEARCH("CABLE",B1901)),
ISNUMBER(SEARCH("ADAPTADOR",B1901)),
ISNUMBER(SEARCH("HUB",B1901)),
ISNUMBER(SEARCH("DOCK",B1901)),
ISNUMBER(SEARCH("MOUSE PAD",B1901)),
ISNUMBER(SEARCH("MOUSEPAD",B1901)),
ISNUMBER(SEARCH("SOPORTE",B1901)),
ISNUMBER(SEARCH("STAND",B1901)),
ISNUMBER(SEARCH("TRAVEL ADAPTER",B1901)),
ISNUMBER(SEARCH("RJ45",B1901)),
ISNUMBER(SEARCH("USB-C",B1901)),
ISNUMBER(SEARCH("USB WIFI",B1901)),
ISNUMBER(SEARCH("POWERBANK",B1901)),
ISNUMBER(SEARCH("CARGADOR",B1901)),
ISNUMBER(SEARCH("COOLER PARA NB",B1901)),
ISNUMBER(SEARCH("SOPORTE PARA NB",B1901)),
ISNUMBER(SEARCH("WEBCAM",B1901)),
ISNUMBER(SEARCH("WEB CAM",B1901)),
ISNUMBER(SEARCH("MOUSE",B1901)),
ISNUMBER(SEARCH("TECLADO",B1901))
),
"COMPLEMENTO",
IF(
OR(
LEFT(A1901,2)="NB",
LEFT(A1901,2)="PC",
LEFT(A1901,2)="WS",
LEFT(A1901,2)="TB",
LEFT(A1901,3)="CEL",
LEFT(A1901,3)="MON",
LEFT(A1901,3)="PRE",
LEFT(A1901,3)="PRH",
ISNUMBER(SEARCH("NOTEBOOK",B1901)),
ISNUMBER(SEARCH("LAPTOP",B1901)),
ISNUMBER(SEARCH("MONITOR",B1901)),
ISNUMBER(SEARCH("TABLET",B1901)),
ISNUMBER(SEARCH("SMARTPH",B1901)),
ISNUMBER(SEARCH("IMPRESORA",B1901)),
ISNUMBER(SEARCH("MULTIFUNCIONAL",B1901)),
ISNUMBER(SEARCH("AIO",B1901))
),
"GANCHO",
"NORMAL"
)
)</f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>ROUND(
IF(L1898="GANCHO",
   IF(I1900&lt;=50,I1900*1.1+4,IF(I1900&lt;=120,I1900*1.1+7,IF(I1900&lt;=250,I1900*1.1+11,I1900*1.1+19))),
IF(L1898="NORMAL",
   IF(I1900&lt;=30,I1900*1.15+2,IF(I1900&lt;=80,I1900*1.15+4,IF(I1900&lt;=150,I1900*1.15+6,I1900*1.15+8))),
IF(L1898="COMPLEMENTO",
   IF(I1900&lt;=25,I1900*1.25+1.5,IF(I1900&lt;=60,I1900*1.25+3,IF(I1900&lt;=120,I1900*1.25+4,I1900*1.25+5))),
""))),2)</f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>IF(
OR(
ISNUMBER(SEARCH("BACKPACK",B1902)),
ISNUMBER(SEARCH("MOCHILA",B1902)),
ISNUMBER(SEARCH("FUNDA",B1902)),
ISNUMBER(SEARCH("ESTUCHE",B1902)),
ISNUMBER(SEARCH("BOOK COVER",B1902)),
ISNUMBER(SEARCH("KEYBOARD PARA TABLET",B1902)),
ISNUMBER(SEARCH("FLIP TABLET",B1902)),
ISNUMBER(SEARCH("CASE FOR TABLET",B1902)),
ISNUMBER(SEARCH("CABLE",B1902)),
ISNUMBER(SEARCH("ADAPTADOR",B1902)),
ISNUMBER(SEARCH("HUB",B1902)),
ISNUMBER(SEARCH("DOCK",B1902)),
ISNUMBER(SEARCH("MOUSE PAD",B1902)),
ISNUMBER(SEARCH("MOUSEPAD",B1902)),
ISNUMBER(SEARCH("SOPORTE",B1902)),
ISNUMBER(SEARCH("STAND",B1902)),
ISNUMBER(SEARCH("TRAVEL ADAPTER",B1902)),
ISNUMBER(SEARCH("RJ45",B1902)),
ISNUMBER(SEARCH("USB-C",B1902)),
ISNUMBER(SEARCH("USB WIFI",B1902)),
ISNUMBER(SEARCH("POWERBANK",B1902)),
ISNUMBER(SEARCH("CARGADOR",B1902)),
ISNUMBER(SEARCH("COOLER PARA NB",B1902)),
ISNUMBER(SEARCH("SOPORTE PARA NB",B1902)),
ISNUMBER(SEARCH("WEBCAM",B1902)),
ISNUMBER(SEARCH("WEB CAM",B1902)),
ISNUMBER(SEARCH("MOUSE",B1902)),
ISNUMBER(SEARCH("TECLADO",B1902))
),
"COMPLEMENTO",
IF(
OR(
LEFT(A1902,2)="NB",
LEFT(A1902,2)="PC",
LEFT(A1902,2)="WS",
LEFT(A1902,2)="TB",
LEFT(A1902,3)="CEL",
LEFT(A1902,3)="MON",
LEFT(A1902,3)="PRE",
LEFT(A1902,3)="PRH",
ISNUMBER(SEARCH("NOTEBOOK",B1902)),
ISNUMBER(SEARCH("LAPTOP",B1902)),
ISNUMBER(SEARCH("MONITOR",B1902)),
ISNUMBER(SEARCH("TABLET",B1902)),
ISNUMBER(SEARCH("SMARTPH",B1902)),
ISNUMBER(SEARCH("IMPRESORA",B1902)),
ISNUMBER(SEARCH("MULTIFUNCIONAL",B1902)),
ISNUMBER(SEARCH("AIO",B1902))
),
"GANCHO",
"NORMAL"
)
)</f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>ROUND(
IF(L1899="GANCHO",
   IF(I1901&lt;=50,I1901*1.1+4,IF(I1901&lt;=120,I1901*1.1+7,IF(I1901&lt;=250,I1901*1.1+11,I1901*1.1+19))),
IF(L1899="NORMAL",
   IF(I1901&lt;=30,I1901*1.15+2,IF(I1901&lt;=80,I1901*1.15+4,IF(I1901&lt;=150,I1901*1.15+6,I1901*1.15+8))),
IF(L1899="COMPLEMENTO",
   IF(I1901&lt;=25,I1901*1.25+1.5,IF(I1901&lt;=60,I1901*1.25+3,IF(I1901&lt;=120,I1901*1.25+4,I1901*1.25+5))),
""))),2)</f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>IF(
OR(
ISNUMBER(SEARCH("BACKPACK",B1903)),
ISNUMBER(SEARCH("MOCHILA",B1903)),
ISNUMBER(SEARCH("FUNDA",B1903)),
ISNUMBER(SEARCH("ESTUCHE",B1903)),
ISNUMBER(SEARCH("BOOK COVER",B1903)),
ISNUMBER(SEARCH("KEYBOARD PARA TABLET",B1903)),
ISNUMBER(SEARCH("FLIP TABLET",B1903)),
ISNUMBER(SEARCH("CASE FOR TABLET",B1903)),
ISNUMBER(SEARCH("CABLE",B1903)),
ISNUMBER(SEARCH("ADAPTADOR",B1903)),
ISNUMBER(SEARCH("HUB",B1903)),
ISNUMBER(SEARCH("DOCK",B1903)),
ISNUMBER(SEARCH("MOUSE PAD",B1903)),
ISNUMBER(SEARCH("MOUSEPAD",B1903)),
ISNUMBER(SEARCH("SOPORTE",B1903)),
ISNUMBER(SEARCH("STAND",B1903)),
ISNUMBER(SEARCH("TRAVEL ADAPTER",B1903)),
ISNUMBER(SEARCH("RJ45",B1903)),
ISNUMBER(SEARCH("USB-C",B1903)),
ISNUMBER(SEARCH("USB WIFI",B1903)),
ISNUMBER(SEARCH("POWERBANK",B1903)),
ISNUMBER(SEARCH("CARGADOR",B1903)),
ISNUMBER(SEARCH("COOLER PARA NB",B1903)),
ISNUMBER(SEARCH("SOPORTE PARA NB",B1903)),
ISNUMBER(SEARCH("WEBCAM",B1903)),
ISNUMBER(SEARCH("WEB CAM",B1903)),
ISNUMBER(SEARCH("MOUSE",B1903)),
ISNUMBER(SEARCH("TECLADO",B1903))
),
"COMPLEMENTO",
IF(
OR(
LEFT(A1903,2)="NB",
LEFT(A1903,2)="PC",
LEFT(A1903,2)="WS",
LEFT(A1903,2)="TB",
LEFT(A1903,3)="CEL",
LEFT(A1903,3)="MON",
LEFT(A1903,3)="PRE",
LEFT(A1903,3)="PRH",
ISNUMBER(SEARCH("NOTEBOOK",B1903)),
ISNUMBER(SEARCH("LAPTOP",B1903)),
ISNUMBER(SEARCH("MONITOR",B1903)),
ISNUMBER(SEARCH("TABLET",B1903)),
ISNUMBER(SEARCH("SMARTPH",B1903)),
ISNUMBER(SEARCH("IMPRESORA",B1903)),
ISNUMBER(SEARCH("MULTIFUNCIONAL",B1903)),
ISNUMBER(SEARCH("AIO",B1903))
),
"GANCHO",
"NORMAL"
)
)</f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>ROUND(
IF(L1900="GANCHO",
   IF(I1902&lt;=50,I1902*1.1+4,IF(I1902&lt;=120,I1902*1.1+7,IF(I1902&lt;=250,I1902*1.1+11,I1902*1.1+19))),
IF(L1900="NORMAL",
   IF(I1902&lt;=30,I1902*1.15+2,IF(I1902&lt;=80,I1902*1.15+4,IF(I1902&lt;=150,I1902*1.15+6,I1902*1.15+8))),
IF(L1900="COMPLEMENTO",
   IF(I1902&lt;=25,I1902*1.25+1.5,IF(I1902&lt;=60,I1902*1.25+3,IF(I1902&lt;=120,I1902*1.25+4,I1902*1.25+5))),
""))),2)</f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>IF(
OR(
ISNUMBER(SEARCH("BACKPACK",B1904)),
ISNUMBER(SEARCH("MOCHILA",B1904)),
ISNUMBER(SEARCH("FUNDA",B1904)),
ISNUMBER(SEARCH("ESTUCHE",B1904)),
ISNUMBER(SEARCH("BOOK COVER",B1904)),
ISNUMBER(SEARCH("KEYBOARD PARA TABLET",B1904)),
ISNUMBER(SEARCH("FLIP TABLET",B1904)),
ISNUMBER(SEARCH("CASE FOR TABLET",B1904)),
ISNUMBER(SEARCH("CABLE",B1904)),
ISNUMBER(SEARCH("ADAPTADOR",B1904)),
ISNUMBER(SEARCH("HUB",B1904)),
ISNUMBER(SEARCH("DOCK",B1904)),
ISNUMBER(SEARCH("MOUSE PAD",B1904)),
ISNUMBER(SEARCH("MOUSEPAD",B1904)),
ISNUMBER(SEARCH("SOPORTE",B1904)),
ISNUMBER(SEARCH("STAND",B1904)),
ISNUMBER(SEARCH("TRAVEL ADAPTER",B1904)),
ISNUMBER(SEARCH("RJ45",B1904)),
ISNUMBER(SEARCH("USB-C",B1904)),
ISNUMBER(SEARCH("USB WIFI",B1904)),
ISNUMBER(SEARCH("POWERBANK",B1904)),
ISNUMBER(SEARCH("CARGADOR",B1904)),
ISNUMBER(SEARCH("COOLER PARA NB",B1904)),
ISNUMBER(SEARCH("SOPORTE PARA NB",B1904)),
ISNUMBER(SEARCH("WEBCAM",B1904)),
ISNUMBER(SEARCH("WEB CAM",B1904)),
ISNUMBER(SEARCH("MOUSE",B1904)),
ISNUMBER(SEARCH("TECLADO",B1904))
),
"COMPLEMENTO",
IF(
OR(
LEFT(A1904,2)="NB",
LEFT(A1904,2)="PC",
LEFT(A1904,2)="WS",
LEFT(A1904,2)="TB",
LEFT(A1904,3)="CEL",
LEFT(A1904,3)="MON",
LEFT(A1904,3)="PRE",
LEFT(A1904,3)="PRH",
ISNUMBER(SEARCH("NOTEBOOK",B1904)),
ISNUMBER(SEARCH("LAPTOP",B1904)),
ISNUMBER(SEARCH("MONITOR",B1904)),
ISNUMBER(SEARCH("TABLET",B1904)),
ISNUMBER(SEARCH("SMARTPH",B1904)),
ISNUMBER(SEARCH("IMPRESORA",B1904)),
ISNUMBER(SEARCH("MULTIFUNCIONAL",B1904)),
ISNUMBER(SEARCH("AIO",B1904))
),
"GANCHO",
"NORMAL"
)
)</f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>ROUND(
IF(L1901="GANCHO",
   IF(I1903&lt;=50,I1903*1.1+4,IF(I1903&lt;=120,I1903*1.1+7,IF(I1903&lt;=250,I1903*1.1+11,I1903*1.1+19))),
IF(L1901="NORMAL",
   IF(I1903&lt;=30,I1903*1.15+2,IF(I1903&lt;=80,I1903*1.15+4,IF(I1903&lt;=150,I1903*1.15+6,I1903*1.15+8))),
IF(L1901="COMPLEMENTO",
   IF(I1903&lt;=25,I1903*1.25+1.5,IF(I1903&lt;=60,I1903*1.25+3,IF(I1903&lt;=120,I1903*1.25+4,I1903*1.25+5))),
""))),2)</f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>IF(
OR(
ISNUMBER(SEARCH("BACKPACK",B1905)),
ISNUMBER(SEARCH("MOCHILA",B1905)),
ISNUMBER(SEARCH("FUNDA",B1905)),
ISNUMBER(SEARCH("ESTUCHE",B1905)),
ISNUMBER(SEARCH("BOOK COVER",B1905)),
ISNUMBER(SEARCH("KEYBOARD PARA TABLET",B1905)),
ISNUMBER(SEARCH("FLIP TABLET",B1905)),
ISNUMBER(SEARCH("CASE FOR TABLET",B1905)),
ISNUMBER(SEARCH("CABLE",B1905)),
ISNUMBER(SEARCH("ADAPTADOR",B1905)),
ISNUMBER(SEARCH("HUB",B1905)),
ISNUMBER(SEARCH("DOCK",B1905)),
ISNUMBER(SEARCH("MOUSE PAD",B1905)),
ISNUMBER(SEARCH("MOUSEPAD",B1905)),
ISNUMBER(SEARCH("SOPORTE",B1905)),
ISNUMBER(SEARCH("STAND",B1905)),
ISNUMBER(SEARCH("TRAVEL ADAPTER",B1905)),
ISNUMBER(SEARCH("RJ45",B1905)),
ISNUMBER(SEARCH("USB-C",B1905)),
ISNUMBER(SEARCH("USB WIFI",B1905)),
ISNUMBER(SEARCH("POWERBANK",B1905)),
ISNUMBER(SEARCH("CARGADOR",B1905)),
ISNUMBER(SEARCH("COOLER PARA NB",B1905)),
ISNUMBER(SEARCH("SOPORTE PARA NB",B1905)),
ISNUMBER(SEARCH("WEBCAM",B1905)),
ISNUMBER(SEARCH("WEB CAM",B1905)),
ISNUMBER(SEARCH("MOUSE",B1905)),
ISNUMBER(SEARCH("TECLADO",B1905))
),
"COMPLEMENTO",
IF(
OR(
LEFT(A1905,2)="NB",
LEFT(A1905,2)="PC",
LEFT(A1905,2)="WS",
LEFT(A1905,2)="TB",
LEFT(A1905,3)="CEL",
LEFT(A1905,3)="MON",
LEFT(A1905,3)="PRE",
LEFT(A1905,3)="PRH",
ISNUMBER(SEARCH("NOTEBOOK",B1905)),
ISNUMBER(SEARCH("LAPTOP",B1905)),
ISNUMBER(SEARCH("MONITOR",B1905)),
ISNUMBER(SEARCH("TABLET",B1905)),
ISNUMBER(SEARCH("SMARTPH",B1905)),
ISNUMBER(SEARCH("IMPRESORA",B1905)),
ISNUMBER(SEARCH("MULTIFUNCIONAL",B1905)),
ISNUMBER(SEARCH("AIO",B1905))
),
"GANCHO",
"NORMAL"
)
)</f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>ROUND(
IF(L1902="GANCHO",
   IF(I1904&lt;=50,I1904*1.1+4,IF(I1904&lt;=120,I1904*1.1+7,IF(I1904&lt;=250,I1904*1.1+11,I1904*1.1+19))),
IF(L1902="NORMAL",
   IF(I1904&lt;=30,I1904*1.15+2,IF(I1904&lt;=80,I1904*1.15+4,IF(I1904&lt;=150,I1904*1.15+6,I1904*1.15+8))),
IF(L1902="COMPLEMENTO",
   IF(I1904&lt;=25,I1904*1.25+1.5,IF(I1904&lt;=60,I1904*1.25+3,IF(I1904&lt;=120,I1904*1.25+4,I1904*1.25+5))),
""))),2)</f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>IF(
OR(
ISNUMBER(SEARCH("BACKPACK",B1906)),
ISNUMBER(SEARCH("MOCHILA",B1906)),
ISNUMBER(SEARCH("FUNDA",B1906)),
ISNUMBER(SEARCH("ESTUCHE",B1906)),
ISNUMBER(SEARCH("BOOK COVER",B1906)),
ISNUMBER(SEARCH("KEYBOARD PARA TABLET",B1906)),
ISNUMBER(SEARCH("FLIP TABLET",B1906)),
ISNUMBER(SEARCH("CASE FOR TABLET",B1906)),
ISNUMBER(SEARCH("CABLE",B1906)),
ISNUMBER(SEARCH("ADAPTADOR",B1906)),
ISNUMBER(SEARCH("HUB",B1906)),
ISNUMBER(SEARCH("DOCK",B1906)),
ISNUMBER(SEARCH("MOUSE PAD",B1906)),
ISNUMBER(SEARCH("MOUSEPAD",B1906)),
ISNUMBER(SEARCH("SOPORTE",B1906)),
ISNUMBER(SEARCH("STAND",B1906)),
ISNUMBER(SEARCH("TRAVEL ADAPTER",B1906)),
ISNUMBER(SEARCH("RJ45",B1906)),
ISNUMBER(SEARCH("USB-C",B1906)),
ISNUMBER(SEARCH("USB WIFI",B1906)),
ISNUMBER(SEARCH("POWERBANK",B1906)),
ISNUMBER(SEARCH("CARGADOR",B1906)),
ISNUMBER(SEARCH("COOLER PARA NB",B1906)),
ISNUMBER(SEARCH("SOPORTE PARA NB",B1906)),
ISNUMBER(SEARCH("WEBCAM",B1906)),
ISNUMBER(SEARCH("WEB CAM",B1906)),
ISNUMBER(SEARCH("MOUSE",B1906)),
ISNUMBER(SEARCH("TECLADO",B1906))
),
"COMPLEMENTO",
IF(
OR(
LEFT(A1906,2)="NB",
LEFT(A1906,2)="PC",
LEFT(A1906,2)="WS",
LEFT(A1906,2)="TB",
LEFT(A1906,3)="CEL",
LEFT(A1906,3)="MON",
LEFT(A1906,3)="PRE",
LEFT(A1906,3)="PRH",
ISNUMBER(SEARCH("NOTEBOOK",B1906)),
ISNUMBER(SEARCH("LAPTOP",B1906)),
ISNUMBER(SEARCH("MONITOR",B1906)),
ISNUMBER(SEARCH("TABLET",B1906)),
ISNUMBER(SEARCH("SMARTPH",B1906)),
ISNUMBER(SEARCH("IMPRESORA",B1906)),
ISNUMBER(SEARCH("MULTIFUNCIONAL",B1906)),
ISNUMBER(SEARCH("AIO",B1906))
),
"GANCHO",
"NORMAL"
)
)</f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>ROUND(
IF(L1903="GANCHO",
   IF(I1905&lt;=50,I1905*1.1+4,IF(I1905&lt;=120,I1905*1.1+7,IF(I1905&lt;=250,I1905*1.1+11,I1905*1.1+19))),
IF(L1903="NORMAL",
   IF(I1905&lt;=30,I1905*1.15+2,IF(I1905&lt;=80,I1905*1.15+4,IF(I1905&lt;=150,I1905*1.15+6,I1905*1.15+8))),
IF(L1903="COMPLEMENTO",
   IF(I1905&lt;=25,I1905*1.25+1.5,IF(I1905&lt;=60,I1905*1.25+3,IF(I1905&lt;=120,I1905*1.25+4,I1905*1.25+5))),
""))),2)</f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>IF(
OR(
ISNUMBER(SEARCH("BACKPACK",B1907)),
ISNUMBER(SEARCH("MOCHILA",B1907)),
ISNUMBER(SEARCH("FUNDA",B1907)),
ISNUMBER(SEARCH("ESTUCHE",B1907)),
ISNUMBER(SEARCH("BOOK COVER",B1907)),
ISNUMBER(SEARCH("KEYBOARD PARA TABLET",B1907)),
ISNUMBER(SEARCH("FLIP TABLET",B1907)),
ISNUMBER(SEARCH("CASE FOR TABLET",B1907)),
ISNUMBER(SEARCH("CABLE",B1907)),
ISNUMBER(SEARCH("ADAPTADOR",B1907)),
ISNUMBER(SEARCH("HUB",B1907)),
ISNUMBER(SEARCH("DOCK",B1907)),
ISNUMBER(SEARCH("MOUSE PAD",B1907)),
ISNUMBER(SEARCH("MOUSEPAD",B1907)),
ISNUMBER(SEARCH("SOPORTE",B1907)),
ISNUMBER(SEARCH("STAND",B1907)),
ISNUMBER(SEARCH("TRAVEL ADAPTER",B1907)),
ISNUMBER(SEARCH("RJ45",B1907)),
ISNUMBER(SEARCH("USB-C",B1907)),
ISNUMBER(SEARCH("USB WIFI",B1907)),
ISNUMBER(SEARCH("POWERBANK",B1907)),
ISNUMBER(SEARCH("CARGADOR",B1907)),
ISNUMBER(SEARCH("COOLER PARA NB",B1907)),
ISNUMBER(SEARCH("SOPORTE PARA NB",B1907)),
ISNUMBER(SEARCH("WEBCAM",B1907)),
ISNUMBER(SEARCH("WEB CAM",B1907)),
ISNUMBER(SEARCH("MOUSE",B1907)),
ISNUMBER(SEARCH("TECLADO",B1907))
),
"COMPLEMENTO",
IF(
OR(
LEFT(A1907,2)="NB",
LEFT(A1907,2)="PC",
LEFT(A1907,2)="WS",
LEFT(A1907,2)="TB",
LEFT(A1907,3)="CEL",
LEFT(A1907,3)="MON",
LEFT(A1907,3)="PRE",
LEFT(A1907,3)="PRH",
ISNUMBER(SEARCH("NOTEBOOK",B1907)),
ISNUMBER(SEARCH("LAPTOP",B1907)),
ISNUMBER(SEARCH("MONITOR",B1907)),
ISNUMBER(SEARCH("TABLET",B1907)),
ISNUMBER(SEARCH("SMARTPH",B1907)),
ISNUMBER(SEARCH("IMPRESORA",B1907)),
ISNUMBER(SEARCH("MULTIFUNCIONAL",B1907)),
ISNUMBER(SEARCH("AIO",B1907))
),
"GANCHO",
"NORMAL"
)
)</f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>ROUND(
IF(L1904="GANCHO",
   IF(I1906&lt;=50,I1906*1.1+4,IF(I1906&lt;=120,I1906*1.1+7,IF(I1906&lt;=250,I1906*1.1+11,I1906*1.1+19))),
IF(L1904="NORMAL",
   IF(I1906&lt;=30,I1906*1.15+2,IF(I1906&lt;=80,I1906*1.15+4,IF(I1906&lt;=150,I1906*1.15+6,I1906*1.15+8))),
IF(L1904="COMPLEMENTO",
   IF(I1906&lt;=25,I1906*1.25+1.5,IF(I1906&lt;=60,I1906*1.25+3,IF(I1906&lt;=120,I1906*1.25+4,I1906*1.25+5))),
""))),2)</f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>IF(
OR(
ISNUMBER(SEARCH("BACKPACK",B1908)),
ISNUMBER(SEARCH("MOCHILA",B1908)),
ISNUMBER(SEARCH("FUNDA",B1908)),
ISNUMBER(SEARCH("ESTUCHE",B1908)),
ISNUMBER(SEARCH("BOOK COVER",B1908)),
ISNUMBER(SEARCH("KEYBOARD PARA TABLET",B1908)),
ISNUMBER(SEARCH("FLIP TABLET",B1908)),
ISNUMBER(SEARCH("CASE FOR TABLET",B1908)),
ISNUMBER(SEARCH("CABLE",B1908)),
ISNUMBER(SEARCH("ADAPTADOR",B1908)),
ISNUMBER(SEARCH("HUB",B1908)),
ISNUMBER(SEARCH("DOCK",B1908)),
ISNUMBER(SEARCH("MOUSE PAD",B1908)),
ISNUMBER(SEARCH("MOUSEPAD",B1908)),
ISNUMBER(SEARCH("SOPORTE",B1908)),
ISNUMBER(SEARCH("STAND",B1908)),
ISNUMBER(SEARCH("TRAVEL ADAPTER",B1908)),
ISNUMBER(SEARCH("RJ45",B1908)),
ISNUMBER(SEARCH("USB-C",B1908)),
ISNUMBER(SEARCH("USB WIFI",B1908)),
ISNUMBER(SEARCH("POWERBANK",B1908)),
ISNUMBER(SEARCH("CARGADOR",B1908)),
ISNUMBER(SEARCH("COOLER PARA NB",B1908)),
ISNUMBER(SEARCH("SOPORTE PARA NB",B1908)),
ISNUMBER(SEARCH("WEBCAM",B1908)),
ISNUMBER(SEARCH("WEB CAM",B1908)),
ISNUMBER(SEARCH("MOUSE",B1908)),
ISNUMBER(SEARCH("TECLADO",B1908))
),
"COMPLEMENTO",
IF(
OR(
LEFT(A1908,2)="NB",
LEFT(A1908,2)="PC",
LEFT(A1908,2)="WS",
LEFT(A1908,2)="TB",
LEFT(A1908,3)="CEL",
LEFT(A1908,3)="MON",
LEFT(A1908,3)="PRE",
LEFT(A1908,3)="PRH",
ISNUMBER(SEARCH("NOTEBOOK",B1908)),
ISNUMBER(SEARCH("LAPTOP",B1908)),
ISNUMBER(SEARCH("MONITOR",B1908)),
ISNUMBER(SEARCH("TABLET",B1908)),
ISNUMBER(SEARCH("SMARTPH",B1908)),
ISNUMBER(SEARCH("IMPRESORA",B1908)),
ISNUMBER(SEARCH("MULTIFUNCIONAL",B1908)),
ISNUMBER(SEARCH("AIO",B1908))
),
"GANCHO",
"NORMAL"
)
)</f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>ROUND(
IF(L1905="GANCHO",
   IF(I1907&lt;=50,I1907*1.1+4,IF(I1907&lt;=120,I1907*1.1+7,IF(I1907&lt;=250,I1907*1.1+11,I1907*1.1+19))),
IF(L1905="NORMAL",
   IF(I1907&lt;=30,I1907*1.15+2,IF(I1907&lt;=80,I1907*1.15+4,IF(I1907&lt;=150,I1907*1.15+6,I1907*1.15+8))),
IF(L1905="COMPLEMENTO",
   IF(I1907&lt;=25,I1907*1.25+1.5,IF(I1907&lt;=60,I1907*1.25+3,IF(I1907&lt;=120,I1907*1.25+4,I1907*1.25+5))),
""))),2)</f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>IF(
OR(
ISNUMBER(SEARCH("BACKPACK",B1909)),
ISNUMBER(SEARCH("MOCHILA",B1909)),
ISNUMBER(SEARCH("FUNDA",B1909)),
ISNUMBER(SEARCH("ESTUCHE",B1909)),
ISNUMBER(SEARCH("BOOK COVER",B1909)),
ISNUMBER(SEARCH("KEYBOARD PARA TABLET",B1909)),
ISNUMBER(SEARCH("FLIP TABLET",B1909)),
ISNUMBER(SEARCH("CASE FOR TABLET",B1909)),
ISNUMBER(SEARCH("CABLE",B1909)),
ISNUMBER(SEARCH("ADAPTADOR",B1909)),
ISNUMBER(SEARCH("HUB",B1909)),
ISNUMBER(SEARCH("DOCK",B1909)),
ISNUMBER(SEARCH("MOUSE PAD",B1909)),
ISNUMBER(SEARCH("MOUSEPAD",B1909)),
ISNUMBER(SEARCH("SOPORTE",B1909)),
ISNUMBER(SEARCH("STAND",B1909)),
ISNUMBER(SEARCH("TRAVEL ADAPTER",B1909)),
ISNUMBER(SEARCH("RJ45",B1909)),
ISNUMBER(SEARCH("USB-C",B1909)),
ISNUMBER(SEARCH("USB WIFI",B1909)),
ISNUMBER(SEARCH("POWERBANK",B1909)),
ISNUMBER(SEARCH("CARGADOR",B1909)),
ISNUMBER(SEARCH("COOLER PARA NB",B1909)),
ISNUMBER(SEARCH("SOPORTE PARA NB",B1909)),
ISNUMBER(SEARCH("WEBCAM",B1909)),
ISNUMBER(SEARCH("WEB CAM",B1909)),
ISNUMBER(SEARCH("MOUSE",B1909)),
ISNUMBER(SEARCH("TECLADO",B1909))
),
"COMPLEMENTO",
IF(
OR(
LEFT(A1909,2)="NB",
LEFT(A1909,2)="PC",
LEFT(A1909,2)="WS",
LEFT(A1909,2)="TB",
LEFT(A1909,3)="CEL",
LEFT(A1909,3)="MON",
LEFT(A1909,3)="PRE",
LEFT(A1909,3)="PRH",
ISNUMBER(SEARCH("NOTEBOOK",B1909)),
ISNUMBER(SEARCH("LAPTOP",B1909)),
ISNUMBER(SEARCH("MONITOR",B1909)),
ISNUMBER(SEARCH("TABLET",B1909)),
ISNUMBER(SEARCH("SMARTPH",B1909)),
ISNUMBER(SEARCH("IMPRESORA",B1909)),
ISNUMBER(SEARCH("MULTIFUNCIONAL",B1909)),
ISNUMBER(SEARCH("AIO",B1909))
),
"GANCHO",
"NORMAL"
)
)</f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>ROUND(
IF(L1906="GANCHO",
   IF(I1908&lt;=50,I1908*1.1+4,IF(I1908&lt;=120,I1908*1.1+7,IF(I1908&lt;=250,I1908*1.1+11,I1908*1.1+19))),
IF(L1906="NORMAL",
   IF(I1908&lt;=30,I1908*1.15+2,IF(I1908&lt;=80,I1908*1.15+4,IF(I1908&lt;=150,I1908*1.15+6,I1908*1.15+8))),
IF(L1906="COMPLEMENTO",
   IF(I1908&lt;=25,I1908*1.25+1.5,IF(I1908&lt;=60,I1908*1.25+3,IF(I1908&lt;=120,I1908*1.25+4,I1908*1.25+5))),
""))),2)</f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>IF(
OR(
ISNUMBER(SEARCH("BACKPACK",B1910)),
ISNUMBER(SEARCH("MOCHILA",B1910)),
ISNUMBER(SEARCH("FUNDA",B1910)),
ISNUMBER(SEARCH("ESTUCHE",B1910)),
ISNUMBER(SEARCH("BOOK COVER",B1910)),
ISNUMBER(SEARCH("KEYBOARD PARA TABLET",B1910)),
ISNUMBER(SEARCH("FLIP TABLET",B1910)),
ISNUMBER(SEARCH("CASE FOR TABLET",B1910)),
ISNUMBER(SEARCH("CABLE",B1910)),
ISNUMBER(SEARCH("ADAPTADOR",B1910)),
ISNUMBER(SEARCH("HUB",B1910)),
ISNUMBER(SEARCH("DOCK",B1910)),
ISNUMBER(SEARCH("MOUSE PAD",B1910)),
ISNUMBER(SEARCH("MOUSEPAD",B1910)),
ISNUMBER(SEARCH("SOPORTE",B1910)),
ISNUMBER(SEARCH("STAND",B1910)),
ISNUMBER(SEARCH("TRAVEL ADAPTER",B1910)),
ISNUMBER(SEARCH("RJ45",B1910)),
ISNUMBER(SEARCH("USB-C",B1910)),
ISNUMBER(SEARCH("USB WIFI",B1910)),
ISNUMBER(SEARCH("POWERBANK",B1910)),
ISNUMBER(SEARCH("CARGADOR",B1910)),
ISNUMBER(SEARCH("COOLER PARA NB",B1910)),
ISNUMBER(SEARCH("SOPORTE PARA NB",B1910)),
ISNUMBER(SEARCH("WEBCAM",B1910)),
ISNUMBER(SEARCH("WEB CAM",B1910)),
ISNUMBER(SEARCH("MOUSE",B1910)),
ISNUMBER(SEARCH("TECLADO",B1910))
),
"COMPLEMENTO",
IF(
OR(
LEFT(A1910,2)="NB",
LEFT(A1910,2)="PC",
LEFT(A1910,2)="WS",
LEFT(A1910,2)="TB",
LEFT(A1910,3)="CEL",
LEFT(A1910,3)="MON",
LEFT(A1910,3)="PRE",
LEFT(A1910,3)="PRH",
ISNUMBER(SEARCH("NOTEBOOK",B1910)),
ISNUMBER(SEARCH("LAPTOP",B1910)),
ISNUMBER(SEARCH("MONITOR",B1910)),
ISNUMBER(SEARCH("TABLET",B1910)),
ISNUMBER(SEARCH("SMARTPH",B1910)),
ISNUMBER(SEARCH("IMPRESORA",B1910)),
ISNUMBER(SEARCH("MULTIFUNCIONAL",B1910)),
ISNUMBER(SEARCH("AIO",B1910))
),
"GANCHO",
"NORMAL"
)
)</f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>ROUND(
IF(L1907="GANCHO",
   IF(I1909&lt;=50,I1909*1.1+4,IF(I1909&lt;=120,I1909*1.1+7,IF(I1909&lt;=250,I1909*1.1+11,I1909*1.1+19))),
IF(L1907="NORMAL",
   IF(I1909&lt;=30,I1909*1.15+2,IF(I1909&lt;=80,I1909*1.15+4,IF(I1909&lt;=150,I1909*1.15+6,I1909*1.15+8))),
IF(L1907="COMPLEMENTO",
   IF(I1909&lt;=25,I1909*1.25+1.5,IF(I1909&lt;=60,I1909*1.25+3,IF(I1909&lt;=120,I1909*1.25+4,I1909*1.25+5))),
""))),2)</f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>IF(
OR(
ISNUMBER(SEARCH("BACKPACK",B1911)),
ISNUMBER(SEARCH("MOCHILA",B1911)),
ISNUMBER(SEARCH("FUNDA",B1911)),
ISNUMBER(SEARCH("ESTUCHE",B1911)),
ISNUMBER(SEARCH("BOOK COVER",B1911)),
ISNUMBER(SEARCH("KEYBOARD PARA TABLET",B1911)),
ISNUMBER(SEARCH("FLIP TABLET",B1911)),
ISNUMBER(SEARCH("CASE FOR TABLET",B1911)),
ISNUMBER(SEARCH("CABLE",B1911)),
ISNUMBER(SEARCH("ADAPTADOR",B1911)),
ISNUMBER(SEARCH("HUB",B1911)),
ISNUMBER(SEARCH("DOCK",B1911)),
ISNUMBER(SEARCH("MOUSE PAD",B1911)),
ISNUMBER(SEARCH("MOUSEPAD",B1911)),
ISNUMBER(SEARCH("SOPORTE",B1911)),
ISNUMBER(SEARCH("STAND",B1911)),
ISNUMBER(SEARCH("TRAVEL ADAPTER",B1911)),
ISNUMBER(SEARCH("RJ45",B1911)),
ISNUMBER(SEARCH("USB-C",B1911)),
ISNUMBER(SEARCH("USB WIFI",B1911)),
ISNUMBER(SEARCH("POWERBANK",B1911)),
ISNUMBER(SEARCH("CARGADOR",B1911)),
ISNUMBER(SEARCH("COOLER PARA NB",B1911)),
ISNUMBER(SEARCH("SOPORTE PARA NB",B1911)),
ISNUMBER(SEARCH("WEBCAM",B1911)),
ISNUMBER(SEARCH("WEB CAM",B1911)),
ISNUMBER(SEARCH("MOUSE",B1911)),
ISNUMBER(SEARCH("TECLADO",B1911))
),
"COMPLEMENTO",
IF(
OR(
LEFT(A1911,2)="NB",
LEFT(A1911,2)="PC",
LEFT(A1911,2)="WS",
LEFT(A1911,2)="TB",
LEFT(A1911,3)="CEL",
LEFT(A1911,3)="MON",
LEFT(A1911,3)="PRE",
LEFT(A1911,3)="PRH",
ISNUMBER(SEARCH("NOTEBOOK",B1911)),
ISNUMBER(SEARCH("LAPTOP",B1911)),
ISNUMBER(SEARCH("MONITOR",B1911)),
ISNUMBER(SEARCH("TABLET",B1911)),
ISNUMBER(SEARCH("SMARTPH",B1911)),
ISNUMBER(SEARCH("IMPRESORA",B1911)),
ISNUMBER(SEARCH("MULTIFUNCIONAL",B1911)),
ISNUMBER(SEARCH("AIO",B1911))
),
"GANCHO",
"NORMAL"
)
)</f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>ROUND(
IF(L1908="GANCHO",
   IF(I1910&lt;=50,I1910*1.1+4,IF(I1910&lt;=120,I1910*1.1+7,IF(I1910&lt;=250,I1910*1.1+11,I1910*1.1+19))),
IF(L1908="NORMAL",
   IF(I1910&lt;=30,I1910*1.15+2,IF(I1910&lt;=80,I1910*1.15+4,IF(I1910&lt;=150,I1910*1.15+6,I1910*1.15+8))),
IF(L1908="COMPLEMENTO",
   IF(I1910&lt;=25,I1910*1.25+1.5,IF(I1910&lt;=60,I1910*1.25+3,IF(I1910&lt;=120,I1910*1.25+4,I1910*1.25+5))),
""))),2)</f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>IF(
OR(
ISNUMBER(SEARCH("BACKPACK",B1912)),
ISNUMBER(SEARCH("MOCHILA",B1912)),
ISNUMBER(SEARCH("FUNDA",B1912)),
ISNUMBER(SEARCH("ESTUCHE",B1912)),
ISNUMBER(SEARCH("BOOK COVER",B1912)),
ISNUMBER(SEARCH("KEYBOARD PARA TABLET",B1912)),
ISNUMBER(SEARCH("FLIP TABLET",B1912)),
ISNUMBER(SEARCH("CASE FOR TABLET",B1912)),
ISNUMBER(SEARCH("CABLE",B1912)),
ISNUMBER(SEARCH("ADAPTADOR",B1912)),
ISNUMBER(SEARCH("HUB",B1912)),
ISNUMBER(SEARCH("DOCK",B1912)),
ISNUMBER(SEARCH("MOUSE PAD",B1912)),
ISNUMBER(SEARCH("MOUSEPAD",B1912)),
ISNUMBER(SEARCH("SOPORTE",B1912)),
ISNUMBER(SEARCH("STAND",B1912)),
ISNUMBER(SEARCH("TRAVEL ADAPTER",B1912)),
ISNUMBER(SEARCH("RJ45",B1912)),
ISNUMBER(SEARCH("USB-C",B1912)),
ISNUMBER(SEARCH("USB WIFI",B1912)),
ISNUMBER(SEARCH("POWERBANK",B1912)),
ISNUMBER(SEARCH("CARGADOR",B1912)),
ISNUMBER(SEARCH("COOLER PARA NB",B1912)),
ISNUMBER(SEARCH("SOPORTE PARA NB",B1912)),
ISNUMBER(SEARCH("WEBCAM",B1912)),
ISNUMBER(SEARCH("WEB CAM",B1912)),
ISNUMBER(SEARCH("MOUSE",B1912)),
ISNUMBER(SEARCH("TECLADO",B1912))
),
"COMPLEMENTO",
IF(
OR(
LEFT(A1912,2)="NB",
LEFT(A1912,2)="PC",
LEFT(A1912,2)="WS",
LEFT(A1912,2)="TB",
LEFT(A1912,3)="CEL",
LEFT(A1912,3)="MON",
LEFT(A1912,3)="PRE",
LEFT(A1912,3)="PRH",
ISNUMBER(SEARCH("NOTEBOOK",B1912)),
ISNUMBER(SEARCH("LAPTOP",B1912)),
ISNUMBER(SEARCH("MONITOR",B1912)),
ISNUMBER(SEARCH("TABLET",B1912)),
ISNUMBER(SEARCH("SMARTPH",B1912)),
ISNUMBER(SEARCH("IMPRESORA",B1912)),
ISNUMBER(SEARCH("MULTIFUNCIONAL",B1912)),
ISNUMBER(SEARCH("AIO",B1912))
),
"GANCHO",
"NORMAL"
)
)</f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>ROUND(
IF(L1909="GANCHO",
   IF(I1911&lt;=50,I1911*1.1+4,IF(I1911&lt;=120,I1911*1.1+7,IF(I1911&lt;=250,I1911*1.1+11,I1911*1.1+19))),
IF(L1909="NORMAL",
   IF(I1911&lt;=30,I1911*1.15+2,IF(I1911&lt;=80,I1911*1.15+4,IF(I1911&lt;=150,I1911*1.15+6,I1911*1.15+8))),
IF(L1909="COMPLEMENTO",
   IF(I1911&lt;=25,I1911*1.25+1.5,IF(I1911&lt;=60,I1911*1.25+3,IF(I1911&lt;=120,I1911*1.25+4,I1911*1.25+5))),
""))),2)</f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>IF(
OR(
ISNUMBER(SEARCH("BACKPACK",B1913)),
ISNUMBER(SEARCH("MOCHILA",B1913)),
ISNUMBER(SEARCH("FUNDA",B1913)),
ISNUMBER(SEARCH("ESTUCHE",B1913)),
ISNUMBER(SEARCH("BOOK COVER",B1913)),
ISNUMBER(SEARCH("KEYBOARD PARA TABLET",B1913)),
ISNUMBER(SEARCH("FLIP TABLET",B1913)),
ISNUMBER(SEARCH("CASE FOR TABLET",B1913)),
ISNUMBER(SEARCH("CABLE",B1913)),
ISNUMBER(SEARCH("ADAPTADOR",B1913)),
ISNUMBER(SEARCH("HUB",B1913)),
ISNUMBER(SEARCH("DOCK",B1913)),
ISNUMBER(SEARCH("MOUSE PAD",B1913)),
ISNUMBER(SEARCH("MOUSEPAD",B1913)),
ISNUMBER(SEARCH("SOPORTE",B1913)),
ISNUMBER(SEARCH("STAND",B1913)),
ISNUMBER(SEARCH("TRAVEL ADAPTER",B1913)),
ISNUMBER(SEARCH("RJ45",B1913)),
ISNUMBER(SEARCH("USB-C",B1913)),
ISNUMBER(SEARCH("USB WIFI",B1913)),
ISNUMBER(SEARCH("POWERBANK",B1913)),
ISNUMBER(SEARCH("CARGADOR",B1913)),
ISNUMBER(SEARCH("COOLER PARA NB",B1913)),
ISNUMBER(SEARCH("SOPORTE PARA NB",B1913)),
ISNUMBER(SEARCH("WEBCAM",B1913)),
ISNUMBER(SEARCH("WEB CAM",B1913)),
ISNUMBER(SEARCH("MOUSE",B1913)),
ISNUMBER(SEARCH("TECLADO",B1913))
),
"COMPLEMENTO",
IF(
OR(
LEFT(A1913,2)="NB",
LEFT(A1913,2)="PC",
LEFT(A1913,2)="WS",
LEFT(A1913,2)="TB",
LEFT(A1913,3)="CEL",
LEFT(A1913,3)="MON",
LEFT(A1913,3)="PRE",
LEFT(A1913,3)="PRH",
ISNUMBER(SEARCH("NOTEBOOK",B1913)),
ISNUMBER(SEARCH("LAPTOP",B1913)),
ISNUMBER(SEARCH("MONITOR",B1913)),
ISNUMBER(SEARCH("TABLET",B1913)),
ISNUMBER(SEARCH("SMARTPH",B1913)),
ISNUMBER(SEARCH("IMPRESORA",B1913)),
ISNUMBER(SEARCH("MULTIFUNCIONAL",B1913)),
ISNUMBER(SEARCH("AIO",B1913))
),
"GANCHO",
"NORMAL"
)
)</f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>ROUND(
IF(L1910="GANCHO",
   IF(I1912&lt;=50,I1912*1.1+4,IF(I1912&lt;=120,I1912*1.1+7,IF(I1912&lt;=250,I1912*1.1+11,I1912*1.1+19))),
IF(L1910="NORMAL",
   IF(I1912&lt;=30,I1912*1.15+2,IF(I1912&lt;=80,I1912*1.15+4,IF(I1912&lt;=150,I1912*1.15+6,I1912*1.15+8))),
IF(L1910="COMPLEMENTO",
   IF(I1912&lt;=25,I1912*1.25+1.5,IF(I1912&lt;=60,I1912*1.25+3,IF(I1912&lt;=120,I1912*1.25+4,I1912*1.25+5))),
""))),2)</f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>IF(
OR(
ISNUMBER(SEARCH("BACKPACK",B1914)),
ISNUMBER(SEARCH("MOCHILA",B1914)),
ISNUMBER(SEARCH("FUNDA",B1914)),
ISNUMBER(SEARCH("ESTUCHE",B1914)),
ISNUMBER(SEARCH("BOOK COVER",B1914)),
ISNUMBER(SEARCH("KEYBOARD PARA TABLET",B1914)),
ISNUMBER(SEARCH("FLIP TABLET",B1914)),
ISNUMBER(SEARCH("CASE FOR TABLET",B1914)),
ISNUMBER(SEARCH("CABLE",B1914)),
ISNUMBER(SEARCH("ADAPTADOR",B1914)),
ISNUMBER(SEARCH("HUB",B1914)),
ISNUMBER(SEARCH("DOCK",B1914)),
ISNUMBER(SEARCH("MOUSE PAD",B1914)),
ISNUMBER(SEARCH("MOUSEPAD",B1914)),
ISNUMBER(SEARCH("SOPORTE",B1914)),
ISNUMBER(SEARCH("STAND",B1914)),
ISNUMBER(SEARCH("TRAVEL ADAPTER",B1914)),
ISNUMBER(SEARCH("RJ45",B1914)),
ISNUMBER(SEARCH("USB-C",B1914)),
ISNUMBER(SEARCH("USB WIFI",B1914)),
ISNUMBER(SEARCH("POWERBANK",B1914)),
ISNUMBER(SEARCH("CARGADOR",B1914)),
ISNUMBER(SEARCH("COOLER PARA NB",B1914)),
ISNUMBER(SEARCH("SOPORTE PARA NB",B1914)),
ISNUMBER(SEARCH("WEBCAM",B1914)),
ISNUMBER(SEARCH("WEB CAM",B1914)),
ISNUMBER(SEARCH("MOUSE",B1914)),
ISNUMBER(SEARCH("TECLADO",B1914))
),
"COMPLEMENTO",
IF(
OR(
LEFT(A1914,2)="NB",
LEFT(A1914,2)="PC",
LEFT(A1914,2)="WS",
LEFT(A1914,2)="TB",
LEFT(A1914,3)="CEL",
LEFT(A1914,3)="MON",
LEFT(A1914,3)="PRE",
LEFT(A1914,3)="PRH",
ISNUMBER(SEARCH("NOTEBOOK",B1914)),
ISNUMBER(SEARCH("LAPTOP",B1914)),
ISNUMBER(SEARCH("MONITOR",B1914)),
ISNUMBER(SEARCH("TABLET",B1914)),
ISNUMBER(SEARCH("SMARTPH",B1914)),
ISNUMBER(SEARCH("IMPRESORA",B1914)),
ISNUMBER(SEARCH("MULTIFUNCIONAL",B1914)),
ISNUMBER(SEARCH("AIO",B1914))
),
"GANCHO",
"NORMAL"
)
)</f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>ROUND(
IF(L1911="GANCHO",
   IF(I1913&lt;=50,I1913*1.1+4,IF(I1913&lt;=120,I1913*1.1+7,IF(I1913&lt;=250,I1913*1.1+11,I1913*1.1+19))),
IF(L1911="NORMAL",
   IF(I1913&lt;=30,I1913*1.15+2,IF(I1913&lt;=80,I1913*1.15+4,IF(I1913&lt;=150,I1913*1.15+6,I1913*1.15+8))),
IF(L1911="COMPLEMENTO",
   IF(I1913&lt;=25,I1913*1.25+1.5,IF(I1913&lt;=60,I1913*1.25+3,IF(I1913&lt;=120,I1913*1.25+4,I1913*1.25+5))),
""))),2)</f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>IF(
OR(
ISNUMBER(SEARCH("BACKPACK",B1915)),
ISNUMBER(SEARCH("MOCHILA",B1915)),
ISNUMBER(SEARCH("FUNDA",B1915)),
ISNUMBER(SEARCH("ESTUCHE",B1915)),
ISNUMBER(SEARCH("BOOK COVER",B1915)),
ISNUMBER(SEARCH("KEYBOARD PARA TABLET",B1915)),
ISNUMBER(SEARCH("FLIP TABLET",B1915)),
ISNUMBER(SEARCH("CASE FOR TABLET",B1915)),
ISNUMBER(SEARCH("CABLE",B1915)),
ISNUMBER(SEARCH("ADAPTADOR",B1915)),
ISNUMBER(SEARCH("HUB",B1915)),
ISNUMBER(SEARCH("DOCK",B1915)),
ISNUMBER(SEARCH("MOUSE PAD",B1915)),
ISNUMBER(SEARCH("MOUSEPAD",B1915)),
ISNUMBER(SEARCH("SOPORTE",B1915)),
ISNUMBER(SEARCH("STAND",B1915)),
ISNUMBER(SEARCH("TRAVEL ADAPTER",B1915)),
ISNUMBER(SEARCH("RJ45",B1915)),
ISNUMBER(SEARCH("USB-C",B1915)),
ISNUMBER(SEARCH("USB WIFI",B1915)),
ISNUMBER(SEARCH("POWERBANK",B1915)),
ISNUMBER(SEARCH("CARGADOR",B1915)),
ISNUMBER(SEARCH("COOLER PARA NB",B1915)),
ISNUMBER(SEARCH("SOPORTE PARA NB",B1915)),
ISNUMBER(SEARCH("WEBCAM",B1915)),
ISNUMBER(SEARCH("WEB CAM",B1915)),
ISNUMBER(SEARCH("MOUSE",B1915)),
ISNUMBER(SEARCH("TECLADO",B1915))
),
"COMPLEMENTO",
IF(
OR(
LEFT(A1915,2)="NB",
LEFT(A1915,2)="PC",
LEFT(A1915,2)="WS",
LEFT(A1915,2)="TB",
LEFT(A1915,3)="CEL",
LEFT(A1915,3)="MON",
LEFT(A1915,3)="PRE",
LEFT(A1915,3)="PRH",
ISNUMBER(SEARCH("NOTEBOOK",B1915)),
ISNUMBER(SEARCH("LAPTOP",B1915)),
ISNUMBER(SEARCH("MONITOR",B1915)),
ISNUMBER(SEARCH("TABLET",B1915)),
ISNUMBER(SEARCH("SMARTPH",B1915)),
ISNUMBER(SEARCH("IMPRESORA",B1915)),
ISNUMBER(SEARCH("MULTIFUNCIONAL",B1915)),
ISNUMBER(SEARCH("AIO",B1915))
),
"GANCHO",
"NORMAL"
)
)</f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>ROUND(
IF(L1912="GANCHO",
   IF(I1914&lt;=50,I1914*1.1+4,IF(I1914&lt;=120,I1914*1.1+7,IF(I1914&lt;=250,I1914*1.1+11,I1914*1.1+19))),
IF(L1912="NORMAL",
   IF(I1914&lt;=30,I1914*1.15+2,IF(I1914&lt;=80,I1914*1.15+4,IF(I1914&lt;=150,I1914*1.15+6,I1914*1.15+8))),
IF(L1912="COMPLEMENTO",
   IF(I1914&lt;=25,I1914*1.25+1.5,IF(I1914&lt;=60,I1914*1.25+3,IF(I1914&lt;=120,I1914*1.25+4,I1914*1.25+5))),
""))),2)</f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>IF(
OR(
ISNUMBER(SEARCH("BACKPACK",B1916)),
ISNUMBER(SEARCH("MOCHILA",B1916)),
ISNUMBER(SEARCH("FUNDA",B1916)),
ISNUMBER(SEARCH("ESTUCHE",B1916)),
ISNUMBER(SEARCH("BOOK COVER",B1916)),
ISNUMBER(SEARCH("KEYBOARD PARA TABLET",B1916)),
ISNUMBER(SEARCH("FLIP TABLET",B1916)),
ISNUMBER(SEARCH("CASE FOR TABLET",B1916)),
ISNUMBER(SEARCH("CABLE",B1916)),
ISNUMBER(SEARCH("ADAPTADOR",B1916)),
ISNUMBER(SEARCH("HUB",B1916)),
ISNUMBER(SEARCH("DOCK",B1916)),
ISNUMBER(SEARCH("MOUSE PAD",B1916)),
ISNUMBER(SEARCH("MOUSEPAD",B1916)),
ISNUMBER(SEARCH("SOPORTE",B1916)),
ISNUMBER(SEARCH("STAND",B1916)),
ISNUMBER(SEARCH("TRAVEL ADAPTER",B1916)),
ISNUMBER(SEARCH("RJ45",B1916)),
ISNUMBER(SEARCH("USB-C",B1916)),
ISNUMBER(SEARCH("USB WIFI",B1916)),
ISNUMBER(SEARCH("POWERBANK",B1916)),
ISNUMBER(SEARCH("CARGADOR",B1916)),
ISNUMBER(SEARCH("COOLER PARA NB",B1916)),
ISNUMBER(SEARCH("SOPORTE PARA NB",B1916)),
ISNUMBER(SEARCH("WEBCAM",B1916)),
ISNUMBER(SEARCH("WEB CAM",B1916)),
ISNUMBER(SEARCH("MOUSE",B1916)),
ISNUMBER(SEARCH("TECLADO",B1916))
),
"COMPLEMENTO",
IF(
OR(
LEFT(A1916,2)="NB",
LEFT(A1916,2)="PC",
LEFT(A1916,2)="WS",
LEFT(A1916,2)="TB",
LEFT(A1916,3)="CEL",
LEFT(A1916,3)="MON",
LEFT(A1916,3)="PRE",
LEFT(A1916,3)="PRH",
ISNUMBER(SEARCH("NOTEBOOK",B1916)),
ISNUMBER(SEARCH("LAPTOP",B1916)),
ISNUMBER(SEARCH("MONITOR",B1916)),
ISNUMBER(SEARCH("TABLET",B1916)),
ISNUMBER(SEARCH("SMARTPH",B1916)),
ISNUMBER(SEARCH("IMPRESORA",B1916)),
ISNUMBER(SEARCH("MULTIFUNCIONAL",B1916)),
ISNUMBER(SEARCH("AIO",B1916))
),
"GANCHO",
"NORMAL"
)
)</f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>ROUND(
IF(L1913="GANCHO",
   IF(I1915&lt;=50,I1915*1.1+4,IF(I1915&lt;=120,I1915*1.1+7,IF(I1915&lt;=250,I1915*1.1+11,I1915*1.1+19))),
IF(L1913="NORMAL",
   IF(I1915&lt;=30,I1915*1.15+2,IF(I1915&lt;=80,I1915*1.15+4,IF(I1915&lt;=150,I1915*1.15+6,I1915*1.15+8))),
IF(L1913="COMPLEMENTO",
   IF(I1915&lt;=25,I1915*1.25+1.5,IF(I1915&lt;=60,I1915*1.25+3,IF(I1915&lt;=120,I1915*1.25+4,I1915*1.25+5))),
""))),2)</f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>IF(
OR(
ISNUMBER(SEARCH("BACKPACK",B1917)),
ISNUMBER(SEARCH("MOCHILA",B1917)),
ISNUMBER(SEARCH("FUNDA",B1917)),
ISNUMBER(SEARCH("ESTUCHE",B1917)),
ISNUMBER(SEARCH("BOOK COVER",B1917)),
ISNUMBER(SEARCH("KEYBOARD PARA TABLET",B1917)),
ISNUMBER(SEARCH("FLIP TABLET",B1917)),
ISNUMBER(SEARCH("CASE FOR TABLET",B1917)),
ISNUMBER(SEARCH("CABLE",B1917)),
ISNUMBER(SEARCH("ADAPTADOR",B1917)),
ISNUMBER(SEARCH("HUB",B1917)),
ISNUMBER(SEARCH("DOCK",B1917)),
ISNUMBER(SEARCH("MOUSE PAD",B1917)),
ISNUMBER(SEARCH("MOUSEPAD",B1917)),
ISNUMBER(SEARCH("SOPORTE",B1917)),
ISNUMBER(SEARCH("STAND",B1917)),
ISNUMBER(SEARCH("TRAVEL ADAPTER",B1917)),
ISNUMBER(SEARCH("RJ45",B1917)),
ISNUMBER(SEARCH("USB-C",B1917)),
ISNUMBER(SEARCH("USB WIFI",B1917)),
ISNUMBER(SEARCH("POWERBANK",B1917)),
ISNUMBER(SEARCH("CARGADOR",B1917)),
ISNUMBER(SEARCH("COOLER PARA NB",B1917)),
ISNUMBER(SEARCH("SOPORTE PARA NB",B1917)),
ISNUMBER(SEARCH("WEBCAM",B1917)),
ISNUMBER(SEARCH("WEB CAM",B1917)),
ISNUMBER(SEARCH("MOUSE",B1917)),
ISNUMBER(SEARCH("TECLADO",B1917))
),
"COMPLEMENTO",
IF(
OR(
LEFT(A1917,2)="NB",
LEFT(A1917,2)="PC",
LEFT(A1917,2)="WS",
LEFT(A1917,2)="TB",
LEFT(A1917,3)="CEL",
LEFT(A1917,3)="MON",
LEFT(A1917,3)="PRE",
LEFT(A1917,3)="PRH",
ISNUMBER(SEARCH("NOTEBOOK",B1917)),
ISNUMBER(SEARCH("LAPTOP",B1917)),
ISNUMBER(SEARCH("MONITOR",B1917)),
ISNUMBER(SEARCH("TABLET",B1917)),
ISNUMBER(SEARCH("SMARTPH",B1917)),
ISNUMBER(SEARCH("IMPRESORA",B1917)),
ISNUMBER(SEARCH("MULTIFUNCIONAL",B1917)),
ISNUMBER(SEARCH("AIO",B1917))
),
"GANCHO",
"NORMAL"
)
)</f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>ROUND(
IF(L1914="GANCHO",
   IF(I1916&lt;=50,I1916*1.1+4,IF(I1916&lt;=120,I1916*1.1+7,IF(I1916&lt;=250,I1916*1.1+11,I1916*1.1+19))),
IF(L1914="NORMAL",
   IF(I1916&lt;=30,I1916*1.15+2,IF(I1916&lt;=80,I1916*1.15+4,IF(I1916&lt;=150,I1916*1.15+6,I1916*1.15+8))),
IF(L1914="COMPLEMENTO",
   IF(I1916&lt;=25,I1916*1.25+1.5,IF(I1916&lt;=60,I1916*1.25+3,IF(I1916&lt;=120,I1916*1.25+4,I1916*1.25+5))),
""))),2)</f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>IF(
OR(
ISNUMBER(SEARCH("BACKPACK",B1918)),
ISNUMBER(SEARCH("MOCHILA",B1918)),
ISNUMBER(SEARCH("FUNDA",B1918)),
ISNUMBER(SEARCH("ESTUCHE",B1918)),
ISNUMBER(SEARCH("BOOK COVER",B1918)),
ISNUMBER(SEARCH("KEYBOARD PARA TABLET",B1918)),
ISNUMBER(SEARCH("FLIP TABLET",B1918)),
ISNUMBER(SEARCH("CASE FOR TABLET",B1918)),
ISNUMBER(SEARCH("CABLE",B1918)),
ISNUMBER(SEARCH("ADAPTADOR",B1918)),
ISNUMBER(SEARCH("HUB",B1918)),
ISNUMBER(SEARCH("DOCK",B1918)),
ISNUMBER(SEARCH("MOUSE PAD",B1918)),
ISNUMBER(SEARCH("MOUSEPAD",B1918)),
ISNUMBER(SEARCH("SOPORTE",B1918)),
ISNUMBER(SEARCH("STAND",B1918)),
ISNUMBER(SEARCH("TRAVEL ADAPTER",B1918)),
ISNUMBER(SEARCH("RJ45",B1918)),
ISNUMBER(SEARCH("USB-C",B1918)),
ISNUMBER(SEARCH("USB WIFI",B1918)),
ISNUMBER(SEARCH("POWERBANK",B1918)),
ISNUMBER(SEARCH("CARGADOR",B1918)),
ISNUMBER(SEARCH("COOLER PARA NB",B1918)),
ISNUMBER(SEARCH("SOPORTE PARA NB",B1918)),
ISNUMBER(SEARCH("WEBCAM",B1918)),
ISNUMBER(SEARCH("WEB CAM",B1918)),
ISNUMBER(SEARCH("MOUSE",B1918)),
ISNUMBER(SEARCH("TECLADO",B1918))
),
"COMPLEMENTO",
IF(
OR(
LEFT(A1918,2)="NB",
LEFT(A1918,2)="PC",
LEFT(A1918,2)="WS",
LEFT(A1918,2)="TB",
LEFT(A1918,3)="CEL",
LEFT(A1918,3)="MON",
LEFT(A1918,3)="PRE",
LEFT(A1918,3)="PRH",
ISNUMBER(SEARCH("NOTEBOOK",B1918)),
ISNUMBER(SEARCH("LAPTOP",B1918)),
ISNUMBER(SEARCH("MONITOR",B1918)),
ISNUMBER(SEARCH("TABLET",B1918)),
ISNUMBER(SEARCH("SMARTPH",B1918)),
ISNUMBER(SEARCH("IMPRESORA",B1918)),
ISNUMBER(SEARCH("MULTIFUNCIONAL",B1918)),
ISNUMBER(SEARCH("AIO",B1918))
),
"GANCHO",
"NORMAL"
)
)</f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>ROUND(
IF(L1915="GANCHO",
   IF(I1917&lt;=50,I1917*1.1+4,IF(I1917&lt;=120,I1917*1.1+7,IF(I1917&lt;=250,I1917*1.1+11,I1917*1.1+19))),
IF(L1915="NORMAL",
   IF(I1917&lt;=30,I1917*1.15+2,IF(I1917&lt;=80,I1917*1.15+4,IF(I1917&lt;=150,I1917*1.15+6,I1917*1.15+8))),
IF(L1915="COMPLEMENTO",
   IF(I1917&lt;=25,I1917*1.25+1.5,IF(I1917&lt;=60,I1917*1.25+3,IF(I1917&lt;=120,I1917*1.25+4,I1917*1.25+5))),
""))),2)</f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>IF(
OR(
ISNUMBER(SEARCH("BACKPACK",B1919)),
ISNUMBER(SEARCH("MOCHILA",B1919)),
ISNUMBER(SEARCH("FUNDA",B1919)),
ISNUMBER(SEARCH("ESTUCHE",B1919)),
ISNUMBER(SEARCH("BOOK COVER",B1919)),
ISNUMBER(SEARCH("KEYBOARD PARA TABLET",B1919)),
ISNUMBER(SEARCH("FLIP TABLET",B1919)),
ISNUMBER(SEARCH("CASE FOR TABLET",B1919)),
ISNUMBER(SEARCH("CABLE",B1919)),
ISNUMBER(SEARCH("ADAPTADOR",B1919)),
ISNUMBER(SEARCH("HUB",B1919)),
ISNUMBER(SEARCH("DOCK",B1919)),
ISNUMBER(SEARCH("MOUSE PAD",B1919)),
ISNUMBER(SEARCH("MOUSEPAD",B1919)),
ISNUMBER(SEARCH("SOPORTE",B1919)),
ISNUMBER(SEARCH("STAND",B1919)),
ISNUMBER(SEARCH("TRAVEL ADAPTER",B1919)),
ISNUMBER(SEARCH("RJ45",B1919)),
ISNUMBER(SEARCH("USB-C",B1919)),
ISNUMBER(SEARCH("USB WIFI",B1919)),
ISNUMBER(SEARCH("POWERBANK",B1919)),
ISNUMBER(SEARCH("CARGADOR",B1919)),
ISNUMBER(SEARCH("COOLER PARA NB",B1919)),
ISNUMBER(SEARCH("SOPORTE PARA NB",B1919)),
ISNUMBER(SEARCH("WEBCAM",B1919)),
ISNUMBER(SEARCH("WEB CAM",B1919)),
ISNUMBER(SEARCH("MOUSE",B1919)),
ISNUMBER(SEARCH("TECLADO",B1919))
),
"COMPLEMENTO",
IF(
OR(
LEFT(A1919,2)="NB",
LEFT(A1919,2)="PC",
LEFT(A1919,2)="WS",
LEFT(A1919,2)="TB",
LEFT(A1919,3)="CEL",
LEFT(A1919,3)="MON",
LEFT(A1919,3)="PRE",
LEFT(A1919,3)="PRH",
ISNUMBER(SEARCH("NOTEBOOK",B1919)),
ISNUMBER(SEARCH("LAPTOP",B1919)),
ISNUMBER(SEARCH("MONITOR",B1919)),
ISNUMBER(SEARCH("TABLET",B1919)),
ISNUMBER(SEARCH("SMARTPH",B1919)),
ISNUMBER(SEARCH("IMPRESORA",B1919)),
ISNUMBER(SEARCH("MULTIFUNCIONAL",B1919)),
ISNUMBER(SEARCH("AIO",B1919))
),
"GANCHO",
"NORMAL"
)
)</f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>ROUND(
IF(L1916="GANCHO",
   IF(I1918&lt;=50,I1918*1.1+4,IF(I1918&lt;=120,I1918*1.1+7,IF(I1918&lt;=250,I1918*1.1+11,I1918*1.1+19))),
IF(L1916="NORMAL",
   IF(I1918&lt;=30,I1918*1.15+2,IF(I1918&lt;=80,I1918*1.15+4,IF(I1918&lt;=150,I1918*1.15+6,I1918*1.15+8))),
IF(L1916="COMPLEMENTO",
   IF(I1918&lt;=25,I1918*1.25+1.5,IF(I1918&lt;=60,I1918*1.25+3,IF(I1918&lt;=120,I1918*1.25+4,I1918*1.25+5))),
""))),2)</f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>IF(
OR(
ISNUMBER(SEARCH("BACKPACK",B1920)),
ISNUMBER(SEARCH("MOCHILA",B1920)),
ISNUMBER(SEARCH("FUNDA",B1920)),
ISNUMBER(SEARCH("ESTUCHE",B1920)),
ISNUMBER(SEARCH("BOOK COVER",B1920)),
ISNUMBER(SEARCH("KEYBOARD PARA TABLET",B1920)),
ISNUMBER(SEARCH("FLIP TABLET",B1920)),
ISNUMBER(SEARCH("CASE FOR TABLET",B1920)),
ISNUMBER(SEARCH("CABLE",B1920)),
ISNUMBER(SEARCH("ADAPTADOR",B1920)),
ISNUMBER(SEARCH("HUB",B1920)),
ISNUMBER(SEARCH("DOCK",B1920)),
ISNUMBER(SEARCH("MOUSE PAD",B1920)),
ISNUMBER(SEARCH("MOUSEPAD",B1920)),
ISNUMBER(SEARCH("SOPORTE",B1920)),
ISNUMBER(SEARCH("STAND",B1920)),
ISNUMBER(SEARCH("TRAVEL ADAPTER",B1920)),
ISNUMBER(SEARCH("RJ45",B1920)),
ISNUMBER(SEARCH("USB-C",B1920)),
ISNUMBER(SEARCH("USB WIFI",B1920)),
ISNUMBER(SEARCH("POWERBANK",B1920)),
ISNUMBER(SEARCH("CARGADOR",B1920)),
ISNUMBER(SEARCH("COOLER PARA NB",B1920)),
ISNUMBER(SEARCH("SOPORTE PARA NB",B1920)),
ISNUMBER(SEARCH("WEBCAM",B1920)),
ISNUMBER(SEARCH("WEB CAM",B1920)),
ISNUMBER(SEARCH("MOUSE",B1920)),
ISNUMBER(SEARCH("TECLADO",B1920))
),
"COMPLEMENTO",
IF(
OR(
LEFT(A1920,2)="NB",
LEFT(A1920,2)="PC",
LEFT(A1920,2)="WS",
LEFT(A1920,2)="TB",
LEFT(A1920,3)="CEL",
LEFT(A1920,3)="MON",
LEFT(A1920,3)="PRE",
LEFT(A1920,3)="PRH",
ISNUMBER(SEARCH("NOTEBOOK",B1920)),
ISNUMBER(SEARCH("LAPTOP",B1920)),
ISNUMBER(SEARCH("MONITOR",B1920)),
ISNUMBER(SEARCH("TABLET",B1920)),
ISNUMBER(SEARCH("SMARTPH",B1920)),
ISNUMBER(SEARCH("IMPRESORA",B1920)),
ISNUMBER(SEARCH("MULTIFUNCIONAL",B1920)),
ISNUMBER(SEARCH("AIO",B1920))
),
"GANCHO",
"NORMAL"
)
)</f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>ROUND(
IF(L1917="GANCHO",
   IF(I1919&lt;=50,I1919*1.1+4,IF(I1919&lt;=120,I1919*1.1+7,IF(I1919&lt;=250,I1919*1.1+11,I1919*1.1+19))),
IF(L1917="NORMAL",
   IF(I1919&lt;=30,I1919*1.15+2,IF(I1919&lt;=80,I1919*1.15+4,IF(I1919&lt;=150,I1919*1.15+6,I1919*1.15+8))),
IF(L1917="COMPLEMENTO",
   IF(I1919&lt;=25,I1919*1.25+1.5,IF(I1919&lt;=60,I1919*1.25+3,IF(I1919&lt;=120,I1919*1.25+4,I1919*1.25+5))),
""))),2)</f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>IF(
OR(
ISNUMBER(SEARCH("BACKPACK",B1921)),
ISNUMBER(SEARCH("MOCHILA",B1921)),
ISNUMBER(SEARCH("FUNDA",B1921)),
ISNUMBER(SEARCH("ESTUCHE",B1921)),
ISNUMBER(SEARCH("BOOK COVER",B1921)),
ISNUMBER(SEARCH("KEYBOARD PARA TABLET",B1921)),
ISNUMBER(SEARCH("FLIP TABLET",B1921)),
ISNUMBER(SEARCH("CASE FOR TABLET",B1921)),
ISNUMBER(SEARCH("CABLE",B1921)),
ISNUMBER(SEARCH("ADAPTADOR",B1921)),
ISNUMBER(SEARCH("HUB",B1921)),
ISNUMBER(SEARCH("DOCK",B1921)),
ISNUMBER(SEARCH("MOUSE PAD",B1921)),
ISNUMBER(SEARCH("MOUSEPAD",B1921)),
ISNUMBER(SEARCH("SOPORTE",B1921)),
ISNUMBER(SEARCH("STAND",B1921)),
ISNUMBER(SEARCH("TRAVEL ADAPTER",B1921)),
ISNUMBER(SEARCH("RJ45",B1921)),
ISNUMBER(SEARCH("USB-C",B1921)),
ISNUMBER(SEARCH("USB WIFI",B1921)),
ISNUMBER(SEARCH("POWERBANK",B1921)),
ISNUMBER(SEARCH("CARGADOR",B1921)),
ISNUMBER(SEARCH("COOLER PARA NB",B1921)),
ISNUMBER(SEARCH("SOPORTE PARA NB",B1921)),
ISNUMBER(SEARCH("WEBCAM",B1921)),
ISNUMBER(SEARCH("WEB CAM",B1921)),
ISNUMBER(SEARCH("MOUSE",B1921)),
ISNUMBER(SEARCH("TECLADO",B1921))
),
"COMPLEMENTO",
IF(
OR(
LEFT(A1921,2)="NB",
LEFT(A1921,2)="PC",
LEFT(A1921,2)="WS",
LEFT(A1921,2)="TB",
LEFT(A1921,3)="CEL",
LEFT(A1921,3)="MON",
LEFT(A1921,3)="PRE",
LEFT(A1921,3)="PRH",
ISNUMBER(SEARCH("NOTEBOOK",B1921)),
ISNUMBER(SEARCH("LAPTOP",B1921)),
ISNUMBER(SEARCH("MONITOR",B1921)),
ISNUMBER(SEARCH("TABLET",B1921)),
ISNUMBER(SEARCH("SMARTPH",B1921)),
ISNUMBER(SEARCH("IMPRESORA",B1921)),
ISNUMBER(SEARCH("MULTIFUNCIONAL",B1921)),
ISNUMBER(SEARCH("AIO",B1921))
),
"GANCHO",
"NORMAL"
)
)</f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>ROUND(
IF(L1918="GANCHO",
   IF(I1920&lt;=50,I1920*1.1+4,IF(I1920&lt;=120,I1920*1.1+7,IF(I1920&lt;=250,I1920*1.1+11,I1920*1.1+19))),
IF(L1918="NORMAL",
   IF(I1920&lt;=30,I1920*1.15+2,IF(I1920&lt;=80,I1920*1.15+4,IF(I1920&lt;=150,I1920*1.15+6,I1920*1.15+8))),
IF(L1918="COMPLEMENTO",
   IF(I1920&lt;=25,I1920*1.25+1.5,IF(I1920&lt;=60,I1920*1.25+3,IF(I1920&lt;=120,I1920*1.25+4,I1920*1.25+5))),
""))),2)</f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>ROUND(
IF(L1919="GANCHO",
   IF(I1921&lt;=50,I1921*1.1+4,IF(I1921&lt;=120,I1921*1.1+7,IF(I1921&lt;=250,I1921*1.1+11,I1921*1.1+19))),
IF(L1919="NORMAL",
   IF(I1921&lt;=30,I1921*1.15+2,IF(I1921&lt;=80,I1921*1.15+4,IF(I1921&lt;=150,I1921*1.15+6,I1921*1.15+8))),
IF(L1919="COMPLEMENTO",
   IF(I1921&lt;=25,I1921*1.25+1.5,IF(I1921&lt;=60,I1921*1.25+3,IF(I1921&lt;=120,I1921*1.25+4,I1921*1.25+5))),
""))),2)</f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>ROUND(
IF(L1920="GANCHO",
   IF(I1922&lt;=50,I1922*1.1+4,IF(I1922&lt;=120,I1922*1.1+7,IF(I1922&lt;=250,I1922*1.1+11,I1922*1.1+19))),
IF(L1920="NORMAL",
   IF(I1922&lt;=30,I1922*1.15+2,IF(I1922&lt;=80,I1922*1.15+4,IF(I1922&lt;=150,I1922*1.15+6,I1922*1.15+8))),
IF(L1920="COMPLEMENTO",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>IF(
OR(
ISNUMBER(SEARCH("BACKPACK",B1924)),
ISNUMBER(SEARCH("MOCHILA",B1924)),
ISNUMBER(SEARCH("FUNDA",B1924)),
ISNUMBER(SEARCH("ESTUCHE",B1924)),
ISNUMBER(SEARCH("BOOK COVER",B1924)),
ISNUMBER(SEARCH("KEYBOARD PARA TABLET",B1924)),
ISNUMBER(SEARCH("FLIP TABLET",B1924)),
ISNUMBER(SEARCH("CASE FOR TABLET",B1924)),
ISNUMBER(SEARCH("CABLE",B1924)),
ISNUMBER(SEARCH("ADAPTADOR",B1924)),
ISNUMBER(SEARCH("HUB",B1924)),
ISNUMBER(SEARCH("DOCK",B1924)),
ISNUMBER(SEARCH("MOUSE PAD",B1924)),
ISNUMBER(SEARCH("MOUSEPAD",B1924)),
ISNUMBER(SEARCH("SOPORTE",B1924)),
ISNUMBER(SEARCH("STAND",B1924)),
ISNUMBER(SEARCH("TRAVEL ADAPTER",B1924)),
ISNUMBER(SEARCH("RJ45",B1924)),
ISNUMBER(SEARCH("USB-C",B1924)),
ISNUMBER(SEARCH("USB WIFI",B1924)),
ISNUMBER(SEARCH("POWERBANK",B1924)),
ISNUMBER(SEARCH("CARGADOR",B1924)),
ISNUMBER(SEARCH("COOLER PARA NB",B1924)),
ISNUMBER(SEARCH("SOPORTE PARA NB",B1924)),
ISNUMBER(SEARCH("WEBCAM",B1924)),
ISNUMBER(SEARCH("WEB CAM",B1924)),
ISNUMBER(SEARCH("MOUSE",B1924)),
ISNUMBER(SEARCH("TECLADO",B1924))
),
"COMPLEMENTO",
IF(
OR(
LEFT(A1924,2)="NB",
LEFT(A1924,2)="PC",
LEFT(A1924,2)="WS",
LEFT(A1924,2)="TB",
LEFT(A1924,3)="CEL",
LEFT(A1924,3)="MON",
LEFT(A1924,3)="PRE",
LEFT(A1924,3)="PRH",
ISNUMBER(SEARCH("NOTEBOOK",B1924)),
ISNUMBER(SEARCH("LAPTOP",B1924)),
ISNUMBER(SEARCH("MONITOR",B1924)),
ISNUMBER(SEARCH("TABLET",B1924)),
ISNUMBER(SEARCH("SMARTPH",B1924)),
ISNUMBER(SEARCH("IMPRESORA",B1924)),
ISNUMBER(SEARCH("MULTIFUNCIONAL",B1924)),
ISNUMBER(SEARCH("AIO",B1924))
),
"GANCHO",
"NORMAL"
)
)</f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>ROUND(
IF(L1921="GANCHO",
   IF(I1923&lt;=50,I1923*1.1+4,IF(I1923&lt;=120,I1923*1.1+7,IF(I1923&lt;=250,I1923*1.1+11,I1923*1.1+19))),
IF(L1921="NORMAL",
   IF(I1923&lt;=30,I1923*1.15+2,IF(I1923&lt;=80,I1923*1.15+4,IF(I1923&lt;=150,I1923*1.15+6,I1923*1.15+8))),
IF(L1921="COMPLEMENTO",
   IF(I1923&lt;=25,I1923*1.25+1.5,IF(I1923&lt;=60,I1923*1.25+3,IF(I1923&lt;=120,I1923*1.25+4,I1923*1.25+5))),
""))),2)</f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>IF(
OR(
ISNUMBER(SEARCH("BACKPACK",B1925)),
ISNUMBER(SEARCH("MOCHILA",B1925)),
ISNUMBER(SEARCH("FUNDA",B1925)),
ISNUMBER(SEARCH("ESTUCHE",B1925)),
ISNUMBER(SEARCH("BOOK COVER",B1925)),
ISNUMBER(SEARCH("KEYBOARD PARA TABLET",B1925)),
ISNUMBER(SEARCH("FLIP TABLET",B1925)),
ISNUMBER(SEARCH("CASE FOR TABLET",B1925)),
ISNUMBER(SEARCH("CABLE",B1925)),
ISNUMBER(SEARCH("ADAPTADOR",B1925)),
ISNUMBER(SEARCH("HUB",B1925)),
ISNUMBER(SEARCH("DOCK",B1925)),
ISNUMBER(SEARCH("MOUSE PAD",B1925)),
ISNUMBER(SEARCH("MOUSEPAD",B1925)),
ISNUMBER(SEARCH("SOPORTE",B1925)),
ISNUMBER(SEARCH("STAND",B1925)),
ISNUMBER(SEARCH("TRAVEL ADAPTER",B1925)),
ISNUMBER(SEARCH("RJ45",B1925)),
ISNUMBER(SEARCH("USB-C",B1925)),
ISNUMBER(SEARCH("USB WIFI",B1925)),
ISNUMBER(SEARCH("POWERBANK",B1925)),
ISNUMBER(SEARCH("CARGADOR",B1925)),
ISNUMBER(SEARCH("COOLER PARA NB",B1925)),
ISNUMBER(SEARCH("SOPORTE PARA NB",B1925)),
ISNUMBER(SEARCH("WEBCAM",B1925)),
ISNUMBER(SEARCH("WEB CAM",B1925)),
ISNUMBER(SEARCH("MOUSE",B1925)),
ISNUMBER(SEARCH("TECLADO",B1925))
),
"COMPLEMENTO",
IF(
OR(
LEFT(A1925,2)="NB",
LEFT(A1925,2)="PC",
LEFT(A1925,2)="WS",
LEFT(A1925,2)="TB",
LEFT(A1925,3)="CEL",
LEFT(A1925,3)="MON",
LEFT(A1925,3)="PRE",
LEFT(A1925,3)="PRH",
ISNUMBER(SEARCH("NOTEBOOK",B1925)),
ISNUMBER(SEARCH("LAPTOP",B1925)),
ISNUMBER(SEARCH("MONITOR",B1925)),
ISNUMBER(SEARCH("TABLET",B1925)),
ISNUMBER(SEARCH("SMARTPH",B1925)),
ISNUMBER(SEARCH("IMPRESORA",B1925)),
ISNUMBER(SEARCH("MULTIFUNCIONAL",B1925)),
ISNUMBER(SEARCH("AIO",B1925))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>ROUND(
IF(L1922="GANCHO",
   IF(I1924&lt;=50,I1924*1.1+4,IF(I1924&lt;=120,I1924*1.1+7,IF(I1924&lt;=250,I1924*1.1+11,I1924*1.1+19))),
IF(L1922="NORMAL",
   IF(I1924&lt;=30,I1924*1.15+2,IF(I1924&lt;=80,I1924*1.15+4,IF(I1924&lt;=150,I1924*1.15+6,I1924*1.15+8))),
IF(L1922="COMPLEMENTO",
   IF(I1924&lt;=25,I1924*1.25+1.5,IF(I1924&lt;=60,I1924*1.25+3,IF(I1924&lt;=120,I1924*1.25+4,I1924*1.25+5))),
""))),2)</f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>IF(
OR(
ISNUMBER(SEARCH("BACKPACK",B1926)),
ISNUMBER(SEARCH("MOCHILA",B1926)),
ISNUMBER(SEARCH("FUNDA",B1926)),
ISNUMBER(SEARCH("ESTUCHE",B1926)),
ISNUMBER(SEARCH("BOOK COVER",B1926)),
ISNUMBER(SEARCH("KEYBOARD PARA TABLET",B1926)),
ISNUMBER(SEARCH("FLIP TABLET",B1926)),
ISNUMBER(SEARCH("CASE FOR TABLET",B1926)),
ISNUMBER(SEARCH("CABLE",B1926)),
ISNUMBER(SEARCH("ADAPTADOR",B1926)),
ISNUMBER(SEARCH("HUB",B1926)),
ISNUMBER(SEARCH("DOCK",B1926)),
ISNUMBER(SEARCH("MOUSE PAD",B1926)),
ISNUMBER(SEARCH("MOUSEPAD",B1926)),
ISNUMBER(SEARCH("SOPORTE",B1926)),
ISNUMBER(SEARCH("STAND",B1926)),
ISNUMBER(SEARCH("TRAVEL ADAPTER",B1926)),
ISNUMBER(SEARCH("RJ45",B1926)),
ISNUMBER(SEARCH("USB-C",B1926)),
ISNUMBER(SEARCH("USB WIFI",B1926)),
ISNUMBER(SEARCH("POWERBANK",B1926)),
ISNUMBER(SEARCH("CARGADOR",B1926)),
ISNUMBER(SEARCH("COOLER PARA NB",B1926)),
ISNUMBER(SEARCH("SOPORTE PARA NB",B1926)),
ISNUMBER(SEARCH("WEBCAM",B1926)),
ISNUMBER(SEARCH("WEB CAM",B1926)),
ISNUMBER(SEARCH("MOUSE",B1926)),
ISNUMBER(SEARCH("TECLADO",B1926))
),
"COMPLEMENTO",
IF(
OR(
LEFT(A1926,2)="NB",
LEFT(A1926,2)="PC",
LEFT(A1926,2)="WS",
LEFT(A1926,2)="TB",
LEFT(A1926,3)="CEL",
LEFT(A1926,3)="MON",
LEFT(A1926,3)="PRE",
LEFT(A1926,3)="PRH",
ISNUMBER(SEARCH("NOTEBOOK",B1926)),
ISNUMBER(SEARCH("LAPTOP",B1926)),
ISNUMBER(SEARCH("MONITOR",B1926)),
ISNUMBER(SEARCH("TABLET",B1926)),
ISNUMBER(SEARCH("SMARTPH",B1926)),
ISNUMBER(SEARCH("IMPRESORA",B1926)),
ISNUMBER(SEARCH("MULTIFUNCIONAL",B1926)),
ISNUMBER(SEARCH("AIO",B1926))
),
"GANCHO",
"NORMAL"
)
)</f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>ROUND(
IF(L1923="GANCHO",
   IF(I1925&lt;=50,I1925*1.1+4,IF(I1925&lt;=120,I1925*1.1+7,IF(I1925&lt;=250,I1925*1.1+11,I1925*1.1+19))),
IF(L1923="NORMAL",
   IF(I1925&lt;=30,I1925*1.15+2,IF(I1925&lt;=80,I1925*1.15+4,IF(I1925&lt;=150,I1925*1.15+6,I1925*1.15+8))),
IF(L1923="COMPLEMENTO",
   IF(I1925&lt;=25,I1925*1.25+1.5,IF(I1925&lt;=60,I1925*1.25+3,IF(I1925&lt;=120,I1925*1.25+4,I1925*1.25+5))),
""))),2)</f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>IF(
OR(
ISNUMBER(SEARCH("BACKPACK",B1927)),
ISNUMBER(SEARCH("MOCHILA",B1927)),
ISNUMBER(SEARCH("FUNDA",B1927)),
ISNUMBER(SEARCH("ESTUCHE",B1927)),
ISNUMBER(SEARCH("BOOK COVER",B1927)),
ISNUMBER(SEARCH("KEYBOARD PARA TABLET",B1927)),
ISNUMBER(SEARCH("FLIP TABLET",B1927)),
ISNUMBER(SEARCH("CASE FOR TABLET",B1927)),
ISNUMBER(SEARCH("CABLE",B1927)),
ISNUMBER(SEARCH("ADAPTADOR",B1927)),
ISNUMBER(SEARCH("HUB",B1927)),
ISNUMBER(SEARCH("DOCK",B1927)),
ISNUMBER(SEARCH("MOUSE PAD",B1927)),
ISNUMBER(SEARCH("MOUSEPAD",B1927)),
ISNUMBER(SEARCH("SOPORTE",B1927)),
ISNUMBER(SEARCH("STAND",B1927)),
ISNUMBER(SEARCH("TRAVEL ADAPTER",B1927)),
ISNUMBER(SEARCH("RJ45",B1927)),
ISNUMBER(SEARCH("USB-C",B1927)),
ISNUMBER(SEARCH("USB WIFI",B1927)),
ISNUMBER(SEARCH("POWERBANK",B1927)),
ISNUMBER(SEARCH("CARGADOR",B1927)),
ISNUMBER(SEARCH("COOLER PARA NB",B1927)),
ISNUMBER(SEARCH("SOPORTE PARA NB",B1927)),
ISNUMBER(SEARCH("WEBCAM",B1927)),
ISNUMBER(SEARCH("WEB CAM",B1927)),
ISNUMBER(SEARCH("MOUSE",B1927)),
ISNUMBER(SEARCH("TECLADO",B1927))
),
"COMPLEMENTO",
IF(
OR(
LEFT(A1927,2)="NB",
LEFT(A1927,2)="PC",
LEFT(A1927,2)="WS",
LEFT(A1927,2)="TB",
LEFT(A1927,3)="CEL",
LEFT(A1927,3)="MON",
LEFT(A1927,3)="PRE",
LEFT(A1927,3)="PRH",
ISNUMBER(SEARCH("NOTEBOOK",B1927)),
ISNUMBER(SEARCH("LAPTOP",B1927)),
ISNUMBER(SEARCH("MONITOR",B1927)),
ISNUMBER(SEARCH("TABLET",B1927)),
ISNUMBER(SEARCH("SMARTPH",B1927)),
ISNUMBER(SEARCH("IMPRESORA",B1927)),
ISNUMBER(SEARCH("MULTIFUNCIONAL",B1927)),
ISNUMBER(SEARCH("AIO",B1927))
),
"GANCHO",
"NORMAL"
)
)</f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>ROUND(
IF(L1924="GANCHO",
   IF(I1926&lt;=50,I1926*1.1+4,IF(I1926&lt;=120,I1926*1.1+7,IF(I1926&lt;=250,I1926*1.1+11,I1926*1.1+19))),
IF(L1924="NORMAL",
   IF(I1926&lt;=30,I1926*1.15+2,IF(I1926&lt;=80,I1926*1.15+4,IF(I1926&lt;=150,I1926*1.15+6,I1926*1.15+8))),
IF(L1924="COMPLEMENTO",
   IF(I1926&lt;=25,I1926*1.25+1.5,IF(I1926&lt;=60,I1926*1.25+3,IF(I1926&lt;=120,I1926*1.25+4,I1926*1.25+5))),
""))),2)</f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>IF(
OR(
ISNUMBER(SEARCH("BACKPACK",B1928)),
ISNUMBER(SEARCH("MOCHILA",B1928)),
ISNUMBER(SEARCH("FUNDA",B1928)),
ISNUMBER(SEARCH("ESTUCHE",B1928)),
ISNUMBER(SEARCH("BOOK COVER",B1928)),
ISNUMBER(SEARCH("KEYBOARD PARA TABLET",B1928)),
ISNUMBER(SEARCH("FLIP TABLET",B1928)),
ISNUMBER(SEARCH("CASE FOR TABLET",B1928)),
ISNUMBER(SEARCH("CABLE",B1928)),
ISNUMBER(SEARCH("ADAPTADOR",B1928)),
ISNUMBER(SEARCH("HUB",B1928)),
ISNUMBER(SEARCH("DOCK",B1928)),
ISNUMBER(SEARCH("MOUSE PAD",B1928)),
ISNUMBER(SEARCH("MOUSEPAD",B1928)),
ISNUMBER(SEARCH("SOPORTE",B1928)),
ISNUMBER(SEARCH("STAND",B1928)),
ISNUMBER(SEARCH("TRAVEL ADAPTER",B1928)),
ISNUMBER(SEARCH("RJ45",B1928)),
ISNUMBER(SEARCH("USB-C",B1928)),
ISNUMBER(SEARCH("USB WIFI",B1928)),
ISNUMBER(SEARCH("POWERBANK",B1928)),
ISNUMBER(SEARCH("CARGADOR",B1928)),
ISNUMBER(SEARCH("COOLER PARA NB",B1928)),
ISNUMBER(SEARCH("SOPORTE PARA NB",B1928)),
ISNUMBER(SEARCH("WEBCAM",B1928)),
ISNUMBER(SEARCH("WEB CAM",B1928)),
ISNUMBER(SEARCH("MOUSE",B1928)),
ISNUMBER(SEARCH("TECLADO",B1928))
),
"COMPLEMENTO",
IF(
OR(
LEFT(A1928,2)="NB",
LEFT(A1928,2)="PC",
LEFT(A1928,2)="WS",
LEFT(A1928,2)="TB",
LEFT(A1928,3)="CEL",
LEFT(A1928,3)="MON",
LEFT(A1928,3)="PRE",
LEFT(A1928,3)="PRH",
ISNUMBER(SEARCH("NOTEBOOK",B1928)),
ISNUMBER(SEARCH("LAPTOP",B1928)),
ISNUMBER(SEARCH("MONITOR",B1928)),
ISNUMBER(SEARCH("TABLET",B1928)),
ISNUMBER(SEARCH("SMARTPH",B1928)),
ISNUMBER(SEARCH("IMPRESORA",B1928)),
ISNUMBER(SEARCH("MULTIFUNCIONAL",B1928)),
ISNUMBER(SEARCH("AIO",B1928))
),
"GANCHO",
"NORMAL"
)
)</f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>ROUND(
IF(L1925="GANCHO",
   IF(I1927&lt;=50,I1927*1.1+4,IF(I1927&lt;=120,I1927*1.1+7,IF(I1927&lt;=250,I1927*1.1+11,I1927*1.1+19))),
IF(L1925="NORMAL",
   IF(I1927&lt;=30,I1927*1.15+2,IF(I1927&lt;=80,I1927*1.15+4,IF(I1927&lt;=150,I1927*1.15+6,I1927*1.15+8))),
IF(L1925="COMPLEMENTO",
   IF(I1927&lt;=25,I1927*1.25+1.5,IF(I1927&lt;=60,I1927*1.25+3,IF(I1927&lt;=120,I1927*1.25+4,I1927*1.25+5))),
""))),2)</f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>IF(
OR(
ISNUMBER(SEARCH("BACKPACK",B1929)),
ISNUMBER(SEARCH("MOCHILA",B1929)),
ISNUMBER(SEARCH("FUNDA",B1929)),
ISNUMBER(SEARCH("ESTUCHE",B1929)),
ISNUMBER(SEARCH("BOOK COVER",B1929)),
ISNUMBER(SEARCH("KEYBOARD PARA TABLET",B1929)),
ISNUMBER(SEARCH("FLIP TABLET",B1929)),
ISNUMBER(SEARCH("CASE FOR TABLET",B1929)),
ISNUMBER(SEARCH("CABLE",B1929)),
ISNUMBER(SEARCH("ADAPTADOR",B1929)),
ISNUMBER(SEARCH("HUB",B1929)),
ISNUMBER(SEARCH("DOCK",B1929)),
ISNUMBER(SEARCH("MOUSE PAD",B1929)),
ISNUMBER(SEARCH("MOUSEPAD",B1929)),
ISNUMBER(SEARCH("SOPORTE",B1929)),
ISNUMBER(SEARCH("STAND",B1929)),
ISNUMBER(SEARCH("TRAVEL ADAPTER",B1929)),
ISNUMBER(SEARCH("RJ45",B1929)),
ISNUMBER(SEARCH("USB-C",B1929)),
ISNUMBER(SEARCH("USB WIFI",B1929)),
ISNUMBER(SEARCH("POWERBANK",B1929)),
ISNUMBER(SEARCH("CARGADOR",B1929)),
ISNUMBER(SEARCH("COOLER PARA NB",B1929)),
ISNUMBER(SEARCH("SOPORTE PARA NB",B1929)),
ISNUMBER(SEARCH("WEBCAM",B1929)),
ISNUMBER(SEARCH("WEB CAM",B1929)),
ISNUMBER(SEARCH("MOUSE",B1929)),
ISNUMBER(SEARCH("TECLADO",B1929))
),
"COMPLEMENTO",
IF(
OR(
LEFT(A1929,2)="NB",
LEFT(A1929,2)="PC",
LEFT(A1929,2)="WS",
LEFT(A1929,2)="TB",
LEFT(A1929,3)="CEL",
LEFT(A1929,3)="MON",
LEFT(A1929,3)="PRE",
LEFT(A1929,3)="PRH",
ISNUMBER(SEARCH("NOTEBOOK",B1929)),
ISNUMBER(SEARCH("LAPTOP",B1929)),
ISNUMBER(SEARCH("MONITOR",B1929)),
ISNUMBER(SEARCH("TABLET",B1929)),
ISNUMBER(SEARCH("SMARTPH",B1929)),
ISNUMBER(SEARCH("IMPRESORA",B1929)),
ISNUMBER(SEARCH("MULTIFUNCIONAL",B1929)),
ISNUMBER(SEARCH("AIO",B1929))
),
"GANCHO",
"NORMAL"
)
)</f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>ROUND(
IF(L1926="GANCHO",
   IF(I1928&lt;=50,I1928*1.1+4,IF(I1928&lt;=120,I1928*1.1+7,IF(I1928&lt;=250,I1928*1.1+11,I1928*1.1+19))),
IF(L1926="NORMAL",
   IF(I1928&lt;=30,I1928*1.15+2,IF(I1928&lt;=80,I1928*1.15+4,IF(I1928&lt;=150,I1928*1.15+6,I1928*1.15+8))),
IF(L1926="COMPLEMENTO",
   IF(I1928&lt;=25,I1928*1.25+1.5,IF(I1928&lt;=60,I1928*1.25+3,IF(I1928&lt;=120,I1928*1.25+4,I1928*1.25+5))),
""))),2)</f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>IF(
OR(
ISNUMBER(SEARCH("BACKPACK",B1930)),
ISNUMBER(SEARCH("MOCHILA",B1930)),
ISNUMBER(SEARCH("FUNDA",B1930)),
ISNUMBER(SEARCH("ESTUCHE",B1930)),
ISNUMBER(SEARCH("BOOK COVER",B1930)),
ISNUMBER(SEARCH("KEYBOARD PARA TABLET",B1930)),
ISNUMBER(SEARCH("FLIP TABLET",B1930)),
ISNUMBER(SEARCH("CASE FOR TABLET",B1930)),
ISNUMBER(SEARCH("CABLE",B1930)),
ISNUMBER(SEARCH("ADAPTADOR",B1930)),
ISNUMBER(SEARCH("HUB",B1930)),
ISNUMBER(SEARCH("DOCK",B1930)),
ISNUMBER(SEARCH("MOUSE PAD",B1930)),
ISNUMBER(SEARCH("MOUSEPAD",B1930)),
ISNUMBER(SEARCH("SOPORTE",B1930)),
ISNUMBER(SEARCH("STAND",B1930)),
ISNUMBER(SEARCH("TRAVEL ADAPTER",B1930)),
ISNUMBER(SEARCH("RJ45",B1930)),
ISNUMBER(SEARCH("USB-C",B1930)),
ISNUMBER(SEARCH("USB WIFI",B1930)),
ISNUMBER(SEARCH("POWERBANK",B1930)),
ISNUMBER(SEARCH("CARGADOR",B1930)),
ISNUMBER(SEARCH("COOLER PARA NB",B1930)),
ISNUMBER(SEARCH("SOPORTE PARA NB",B1930)),
ISNUMBER(SEARCH("WEBCAM",B1930)),
ISNUMBER(SEARCH("WEB CAM",B1930)),
ISNUMBER(SEARCH("MOUSE",B1930)),
ISNUMBER(SEARCH("TECLADO",B1930))
),
"COMPLEMENTO",
IF(
OR(
LEFT(A1930,2)="NB",
LEFT(A1930,2)="PC",
LEFT(A1930,2)="WS",
LEFT(A1930,2)="TB",
LEFT(A1930,3)="CEL",
LEFT(A1930,3)="MON",
LEFT(A1930,3)="PRE",
LEFT(A1930,3)="PRH",
ISNUMBER(SEARCH("NOTEBOOK",B1930)),
ISNUMBER(SEARCH("LAPTOP",B1930)),
ISNUMBER(SEARCH("MONITOR",B1930)),
ISNUMBER(SEARCH("TABLET",B1930)),
ISNUMBER(SEARCH("SMARTPH",B1930)),
ISNUMBER(SEARCH("IMPRESORA",B1930)),
ISNUMBER(SEARCH("MULTIFUNCIONAL",B1930)),
ISNUMBER(SEARCH("AIO",B1930))
),
"GANCHO",
"NORMAL"
)
)</f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>ROUND(
IF(L1927="GANCHO",
   IF(I1929&lt;=50,I1929*1.1+4,IF(I1929&lt;=120,I1929*1.1+7,IF(I1929&lt;=250,I1929*1.1+11,I1929*1.1+19))),
IF(L1927="NORMAL",
   IF(I1929&lt;=30,I1929*1.15+2,IF(I1929&lt;=80,I1929*1.15+4,IF(I1929&lt;=150,I1929*1.15+6,I1929*1.15+8))),
IF(L1927="COMPLEMENTO",
   IF(I1929&lt;=25,I1929*1.25+1.5,IF(I1929&lt;=60,I1929*1.25+3,IF(I1929&lt;=120,I1929*1.25+4,I1929*1.25+5))),
""))),2)</f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>IF(
OR(
ISNUMBER(SEARCH("BACKPACK",B1931)),
ISNUMBER(SEARCH("MOCHILA",B1931)),
ISNUMBER(SEARCH("FUNDA",B1931)),
ISNUMBER(SEARCH("ESTUCHE",B1931)),
ISNUMBER(SEARCH("BOOK COVER",B1931)),
ISNUMBER(SEARCH("KEYBOARD PARA TABLET",B1931)),
ISNUMBER(SEARCH("FLIP TABLET",B1931)),
ISNUMBER(SEARCH("CASE FOR TABLET",B1931)),
ISNUMBER(SEARCH("CABLE",B1931)),
ISNUMBER(SEARCH("ADAPTADOR",B1931)),
ISNUMBER(SEARCH("HUB",B1931)),
ISNUMBER(SEARCH("DOCK",B1931)),
ISNUMBER(SEARCH("MOUSE PAD",B1931)),
ISNUMBER(SEARCH("MOUSEPAD",B1931)),
ISNUMBER(SEARCH("SOPORTE",B1931)),
ISNUMBER(SEARCH("STAND",B1931)),
ISNUMBER(SEARCH("TRAVEL ADAPTER",B1931)),
ISNUMBER(SEARCH("RJ45",B1931)),
ISNUMBER(SEARCH("USB-C",B1931)),
ISNUMBER(SEARCH("USB WIFI",B1931)),
ISNUMBER(SEARCH("POWERBANK",B1931)),
ISNUMBER(SEARCH("CARGADOR",B1931)),
ISNUMBER(SEARCH("COOLER PARA NB",B1931)),
ISNUMBER(SEARCH("SOPORTE PARA NB",B1931)),
ISNUMBER(SEARCH("WEBCAM",B1931)),
ISNUMBER(SEARCH("WEB CAM",B1931)),
ISNUMBER(SEARCH("MOUSE",B1931)),
ISNUMBER(SEARCH("TECLADO",B1931))
),
"COMPLEMENTO",
IF(
OR(
LEFT(A1931,2)="NB",
LEFT(A1931,2)="PC",
LEFT(A1931,2)="WS",
LEFT(A1931,2)="TB",
LEFT(A1931,3)="CEL",
LEFT(A1931,3)="MON",
LEFT(A1931,3)="PRE",
LEFT(A1931,3)="PRH",
ISNUMBER(SEARCH("NOTEBOOK",B1931)),
ISNUMBER(SEARCH("LAPTOP",B1931)),
ISNUMBER(SEARCH("MONITOR",B1931)),
ISNUMBER(SEARCH("TABLET",B1931)),
ISNUMBER(SEARCH("SMARTPH",B1931)),
ISNUMBER(SEARCH("IMPRESORA",B1931)),
ISNUMBER(SEARCH("MULTIFUNCIONAL",B1931)),
ISNUMBER(SEARCH("AIO",B1931))
),
"GANCHO",
"NORMAL"
)
)</f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>ROUND(
IF(L1928="GANCHO",
   IF(I1930&lt;=50,I1930*1.1+4,IF(I1930&lt;=120,I1930*1.1+7,IF(I1930&lt;=250,I1930*1.1+11,I1930*1.1+19))),
IF(L1928="NORMAL",
   IF(I1930&lt;=30,I1930*1.15+2,IF(I1930&lt;=80,I1930*1.15+4,IF(I1930&lt;=150,I1930*1.15+6,I1930*1.15+8))),
IF(L1928="COMPLEMENTO",
   IF(I1930&lt;=25,I1930*1.25+1.5,IF(I1930&lt;=60,I1930*1.25+3,IF(I1930&lt;=120,I1930*1.25+4,I1930*1.25+5))),
""))),2)</f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>IF(
OR(
ISNUMBER(SEARCH("BACKPACK",B1932)),
ISNUMBER(SEARCH("MOCHILA",B1932)),
ISNUMBER(SEARCH("FUNDA",B1932)),
ISNUMBER(SEARCH("ESTUCHE",B1932)),
ISNUMBER(SEARCH("BOOK COVER",B1932)),
ISNUMBER(SEARCH("KEYBOARD PARA TABLET",B1932)),
ISNUMBER(SEARCH("FLIP TABLET",B1932)),
ISNUMBER(SEARCH("CASE FOR TABLET",B1932)),
ISNUMBER(SEARCH("CABLE",B1932)),
ISNUMBER(SEARCH("ADAPTADOR",B1932)),
ISNUMBER(SEARCH("HUB",B1932)),
ISNUMBER(SEARCH("DOCK",B1932)),
ISNUMBER(SEARCH("MOUSE PAD",B1932)),
ISNUMBER(SEARCH("MOUSEPAD",B1932)),
ISNUMBER(SEARCH("SOPORTE",B1932)),
ISNUMBER(SEARCH("STAND",B1932)),
ISNUMBER(SEARCH("TRAVEL ADAPTER",B1932)),
ISNUMBER(SEARCH("RJ45",B1932)),
ISNUMBER(SEARCH("USB-C",B1932)),
ISNUMBER(SEARCH("USB WIFI",B1932)),
ISNUMBER(SEARCH("POWERBANK",B1932)),
ISNUMBER(SEARCH("CARGADOR",B1932)),
ISNUMBER(SEARCH("COOLER PARA NB",B1932)),
ISNUMBER(SEARCH("SOPORTE PARA NB",B1932)),
ISNUMBER(SEARCH("WEBCAM",B1932)),
ISNUMBER(SEARCH("WEB CAM",B1932)),
ISNUMBER(SEARCH("MOUSE",B1932)),
ISNUMBER(SEARCH("TECLADO",B1932))
),
"COMPLEMENTO",
IF(
OR(
LEFT(A1932,2)="NB",
LEFT(A1932,2)="PC",
LEFT(A1932,2)="WS",
LEFT(A1932,2)="TB",
LEFT(A1932,3)="CEL",
LEFT(A1932,3)="MON",
LEFT(A1932,3)="PRE",
LEFT(A1932,3)="PRH",
ISNUMBER(SEARCH("NOTEBOOK",B1932)),
ISNUMBER(SEARCH("LAPTOP",B1932)),
ISNUMBER(SEARCH("MONITOR",B1932)),
ISNUMBER(SEARCH("TABLET",B1932)),
ISNUMBER(SEARCH("SMARTPH",B1932)),
ISNUMBER(SEARCH("IMPRESORA",B1932)),
ISNUMBER(SEARCH("MULTIFUNCIONAL",B1932)),
ISNUMBER(SEARCH("AIO",B1932))
),
"GANCHO",
"NORMAL"
)
)</f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>ROUND(
IF(L1929="GANCHO",
   IF(I1931&lt;=50,I1931*1.1+4,IF(I1931&lt;=120,I1931*1.1+7,IF(I1931&lt;=250,I1931*1.1+11,I1931*1.1+19))),
IF(L1929="NORMAL",
   IF(I1931&lt;=30,I1931*1.15+2,IF(I1931&lt;=80,I1931*1.15+4,IF(I1931&lt;=150,I1931*1.15+6,I1931*1.15+8))),
IF(L1929="COMPLEMENTO",
   IF(I1931&lt;=25,I1931*1.25+1.5,IF(I1931&lt;=60,I1931*1.25+3,IF(I1931&lt;=120,I1931*1.25+4,I1931*1.25+5))),
""))),2)</f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>IF(
OR(
ISNUMBER(SEARCH("BACKPACK",B1933)),
ISNUMBER(SEARCH("MOCHILA",B1933)),
ISNUMBER(SEARCH("FUNDA",B1933)),
ISNUMBER(SEARCH("ESTUCHE",B1933)),
ISNUMBER(SEARCH("BOOK COVER",B1933)),
ISNUMBER(SEARCH("KEYBOARD PARA TABLET",B1933)),
ISNUMBER(SEARCH("FLIP TABLET",B1933)),
ISNUMBER(SEARCH("CASE FOR TABLET",B1933)),
ISNUMBER(SEARCH("CABLE",B1933)),
ISNUMBER(SEARCH("ADAPTADOR",B1933)),
ISNUMBER(SEARCH("HUB",B1933)),
ISNUMBER(SEARCH("DOCK",B1933)),
ISNUMBER(SEARCH("MOUSE PAD",B1933)),
ISNUMBER(SEARCH("MOUSEPAD",B1933)),
ISNUMBER(SEARCH("SOPORTE",B1933)),
ISNUMBER(SEARCH("STAND",B1933)),
ISNUMBER(SEARCH("TRAVEL ADAPTER",B1933)),
ISNUMBER(SEARCH("RJ45",B1933)),
ISNUMBER(SEARCH("USB-C",B1933)),
ISNUMBER(SEARCH("USB WIFI",B1933)),
ISNUMBER(SEARCH("POWERBANK",B1933)),
ISNUMBER(SEARCH("CARGADOR",B1933)),
ISNUMBER(SEARCH("COOLER PARA NB",B1933)),
ISNUMBER(SEARCH("SOPORTE PARA NB",B1933)),
ISNUMBER(SEARCH("WEBCAM",B1933)),
ISNUMBER(SEARCH("WEB CAM",B1933)),
ISNUMBER(SEARCH("MOUSE",B1933)),
ISNUMBER(SEARCH("TECLADO",B1933))
),
"COMPLEMENTO",
IF(
OR(
LEFT(A1933,2)="NB",
LEFT(A1933,2)="PC",
LEFT(A1933,2)="WS",
LEFT(A1933,2)="TB",
LEFT(A1933,3)="CEL",
LEFT(A1933,3)="MON",
LEFT(A1933,3)="PRE",
LEFT(A1933,3)="PRH",
ISNUMBER(SEARCH("NOTEBOOK",B1933)),
ISNUMBER(SEARCH("LAPTOP",B1933)),
ISNUMBER(SEARCH("MONITOR",B1933)),
ISNUMBER(SEARCH("TABLET",B1933)),
ISNUMBER(SEARCH("SMARTPH",B1933)),
ISNUMBER(SEARCH("IMPRESORA",B1933)),
ISNUMBER(SEARCH("MULTIFUNCIONAL",B1933)),
ISNUMBER(SEARCH("AIO",B1933))
),
"GANCHO",
"NORMAL"
)
)</f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>ROUND(
IF(L1930="GANCHO",
   IF(I1932&lt;=50,I1932*1.1+4,IF(I1932&lt;=120,I1932*1.1+7,IF(I1932&lt;=250,I1932*1.1+11,I1932*1.1+19))),
IF(L1930="NORMAL",
   IF(I1932&lt;=30,I1932*1.15+2,IF(I1932&lt;=80,I1932*1.15+4,IF(I1932&lt;=150,I1932*1.15+6,I1932*1.15+8))),
IF(L1930="COMPLEMENTO",
   IF(I1932&lt;=25,I1932*1.25+1.5,IF(I1932&lt;=60,I1932*1.25+3,IF(I1932&lt;=120,I1932*1.25+4,I1932*1.25+5))),
""))),2)</f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>IF(
OR(
ISNUMBER(SEARCH("BACKPACK",B1934)),
ISNUMBER(SEARCH("MOCHILA",B1934)),
ISNUMBER(SEARCH("FUNDA",B1934)),
ISNUMBER(SEARCH("ESTUCHE",B1934)),
ISNUMBER(SEARCH("BOOK COVER",B1934)),
ISNUMBER(SEARCH("KEYBOARD PARA TABLET",B1934)),
ISNUMBER(SEARCH("FLIP TABLET",B1934)),
ISNUMBER(SEARCH("CASE FOR TABLET",B1934)),
ISNUMBER(SEARCH("CABLE",B1934)),
ISNUMBER(SEARCH("ADAPTADOR",B1934)),
ISNUMBER(SEARCH("HUB",B1934)),
ISNUMBER(SEARCH("DOCK",B1934)),
ISNUMBER(SEARCH("MOUSE PAD",B1934)),
ISNUMBER(SEARCH("MOUSEPAD",B1934)),
ISNUMBER(SEARCH("SOPORTE",B1934)),
ISNUMBER(SEARCH("STAND",B1934)),
ISNUMBER(SEARCH("TRAVEL ADAPTER",B1934)),
ISNUMBER(SEARCH("RJ45",B1934)),
ISNUMBER(SEARCH("USB-C",B1934)),
ISNUMBER(SEARCH("USB WIFI",B1934)),
ISNUMBER(SEARCH("POWERBANK",B1934)),
ISNUMBER(SEARCH("CARGADOR",B1934)),
ISNUMBER(SEARCH("COOLER PARA NB",B1934)),
ISNUMBER(SEARCH("SOPORTE PARA NB",B1934)),
ISNUMBER(SEARCH("WEBCAM",B1934)),
ISNUMBER(SEARCH("WEB CAM",B1934)),
ISNUMBER(SEARCH("MOUSE",B1934)),
ISNUMBER(SEARCH("TECLADO",B1934))
),
"COMPLEMENTO",
IF(
OR(
LEFT(A1934,2)="NB",
LEFT(A1934,2)="PC",
LEFT(A1934,2)="WS",
LEFT(A1934,2)="TB",
LEFT(A1934,3)="CEL",
LEFT(A1934,3)="MON",
LEFT(A1934,3)="PRE",
LEFT(A1934,3)="PRH",
ISNUMBER(SEARCH("NOTEBOOK",B1934)),
ISNUMBER(SEARCH("LAPTOP",B1934)),
ISNUMBER(SEARCH("MONITOR",B1934)),
ISNUMBER(SEARCH("TABLET",B1934)),
ISNUMBER(SEARCH("SMARTPH",B1934)),
ISNUMBER(SEARCH("IMPRESORA",B1934)),
ISNUMBER(SEARCH("MULTIFUNCIONAL",B1934)),
ISNUMBER(SEARCH("AIO",B1934))
),
"GANCHO",
"NORMAL"
)
)</f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>ROUND(
IF(L1931="GANCHO",
   IF(I1933&lt;=50,I1933*1.1+4,IF(I1933&lt;=120,I1933*1.1+7,IF(I1933&lt;=250,I1933*1.1+11,I1933*1.1+19))),
IF(L1931="NORMAL",
   IF(I1933&lt;=30,I1933*1.15+2,IF(I1933&lt;=80,I1933*1.15+4,IF(I1933&lt;=150,I1933*1.15+6,I1933*1.15+8))),
IF(L1931="COMPLEMENTO",
   IF(I1933&lt;=25,I1933*1.25+1.5,IF(I1933&lt;=60,I1933*1.25+3,IF(I1933&lt;=120,I1933*1.25+4,I1933*1.25+5))),
""))),2)</f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>IF(
OR(
ISNUMBER(SEARCH("BACKPACK",B1935)),
ISNUMBER(SEARCH("MOCHILA",B1935)),
ISNUMBER(SEARCH("FUNDA",B1935)),
ISNUMBER(SEARCH("ESTUCHE",B1935)),
ISNUMBER(SEARCH("BOOK COVER",B1935)),
ISNUMBER(SEARCH("KEYBOARD PARA TABLET",B1935)),
ISNUMBER(SEARCH("FLIP TABLET",B1935)),
ISNUMBER(SEARCH("CASE FOR TABLET",B1935)),
ISNUMBER(SEARCH("CABLE",B1935)),
ISNUMBER(SEARCH("ADAPTADOR",B1935)),
ISNUMBER(SEARCH("HUB",B1935)),
ISNUMBER(SEARCH("DOCK",B1935)),
ISNUMBER(SEARCH("MOUSE PAD",B1935)),
ISNUMBER(SEARCH("MOUSEPAD",B1935)),
ISNUMBER(SEARCH("SOPORTE",B1935)),
ISNUMBER(SEARCH("STAND",B1935)),
ISNUMBER(SEARCH("TRAVEL ADAPTER",B1935)),
ISNUMBER(SEARCH("RJ45",B1935)),
ISNUMBER(SEARCH("USB-C",B1935)),
ISNUMBER(SEARCH("USB WIFI",B1935)),
ISNUMBER(SEARCH("POWERBANK",B1935)),
ISNUMBER(SEARCH("CARGADOR",B1935)),
ISNUMBER(SEARCH("COOLER PARA NB",B1935)),
ISNUMBER(SEARCH("SOPORTE PARA NB",B1935)),
ISNUMBER(SEARCH("WEBCAM",B1935)),
ISNUMBER(SEARCH("WEB CAM",B1935)),
ISNUMBER(SEARCH("MOUSE",B1935)),
ISNUMBER(SEARCH("TECLADO",B1935))
),
"COMPLEMENTO",
IF(
OR(
LEFT(A1935,2)="NB",
LEFT(A1935,2)="PC",
LEFT(A1935,2)="WS",
LEFT(A1935,2)="TB",
LEFT(A1935,3)="CEL",
LEFT(A1935,3)="MON",
LEFT(A1935,3)="PRE",
LEFT(A1935,3)="PRH",
ISNUMBER(SEARCH("NOTEBOOK",B1935)),
ISNUMBER(SEARCH("LAPTOP",B1935)),
ISNUMBER(SEARCH("MONITOR",B1935)),
ISNUMBER(SEARCH("TABLET",B1935)),
ISNUMBER(SEARCH("SMARTPH",B1935)),
ISNUMBER(SEARCH("IMPRESORA",B1935)),
ISNUMBER(SEARCH("MULTIFUNCIONAL",B1935)),
ISNUMBER(SEARCH("AIO",B1935))
),
"GANCHO",
"NORMAL"
)
)</f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>ROUND(
IF(L1932="GANCHO",
   IF(I1934&lt;=50,I1934*1.1+4,IF(I1934&lt;=120,I1934*1.1+7,IF(I1934&lt;=250,I1934*1.1+11,I1934*1.1+19))),
IF(L1932="NORMAL",
   IF(I1934&lt;=30,I1934*1.15+2,IF(I1934&lt;=80,I1934*1.15+4,IF(I1934&lt;=150,I1934*1.15+6,I1934*1.15+8))),
IF(L1932="COMPLEMENTO",
   IF(I1934&lt;=25,I1934*1.25+1.5,IF(I1934&lt;=60,I1934*1.25+3,IF(I1934&lt;=120,I1934*1.25+4,I1934*1.25+5))),
""))),2)</f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>IF(
OR(
ISNUMBER(SEARCH("BACKPACK",B1936)),
ISNUMBER(SEARCH("MOCHILA",B1936)),
ISNUMBER(SEARCH("FUNDA",B1936)),
ISNUMBER(SEARCH("ESTUCHE",B1936)),
ISNUMBER(SEARCH("BOOK COVER",B1936)),
ISNUMBER(SEARCH("KEYBOARD PARA TABLET",B1936)),
ISNUMBER(SEARCH("FLIP TABLET",B1936)),
ISNUMBER(SEARCH("CASE FOR TABLET",B1936)),
ISNUMBER(SEARCH("CABLE",B1936)),
ISNUMBER(SEARCH("ADAPTADOR",B1936)),
ISNUMBER(SEARCH("HUB",B1936)),
ISNUMBER(SEARCH("DOCK",B1936)),
ISNUMBER(SEARCH("MOUSE PAD",B1936)),
ISNUMBER(SEARCH("MOUSEPAD",B1936)),
ISNUMBER(SEARCH("SOPORTE",B1936)),
ISNUMBER(SEARCH("STAND",B1936)),
ISNUMBER(SEARCH("TRAVEL ADAPTER",B1936)),
ISNUMBER(SEARCH("RJ45",B1936)),
ISNUMBER(SEARCH("USB-C",B1936)),
ISNUMBER(SEARCH("USB WIFI",B1936)),
ISNUMBER(SEARCH("POWERBANK",B1936)),
ISNUMBER(SEARCH("CARGADOR",B1936)),
ISNUMBER(SEARCH("COOLER PARA NB",B1936)),
ISNUMBER(SEARCH("SOPORTE PARA NB",B1936)),
ISNUMBER(SEARCH("WEBCAM",B1936)),
ISNUMBER(SEARCH("WEB CAM",B1936)),
ISNUMBER(SEARCH("MOUSE",B1936)),
ISNUMBER(SEARCH("TECLADO",B1936))
),
"COMPLEMENTO",
IF(
OR(
LEFT(A1936,2)="NB",
LEFT(A1936,2)="PC",
LEFT(A1936,2)="WS",
LEFT(A1936,2)="TB",
LEFT(A1936,3)="CEL",
LEFT(A1936,3)="MON",
LEFT(A1936,3)="PRE",
LEFT(A1936,3)="PRH",
ISNUMBER(SEARCH("NOTEBOOK",B1936)),
ISNUMBER(SEARCH("LAPTOP",B1936)),
ISNUMBER(SEARCH("MONITOR",B1936)),
ISNUMBER(SEARCH("TABLET",B1936)),
ISNUMBER(SEARCH("SMARTPH",B1936)),
ISNUMBER(SEARCH("IMPRESORA",B1936)),
ISNUMBER(SEARCH("MULTIFUNCIONAL",B1936)),
ISNUMBER(SEARCH("AIO",B1936))
),
"GANCHO",
"NORMAL"
)
)</f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>ROUND(
IF(L1933="GANCHO",
   IF(I1935&lt;=50,I1935*1.1+4,IF(I1935&lt;=120,I1935*1.1+7,IF(I1935&lt;=250,I1935*1.1+11,I1935*1.1+19))),
IF(L1933="NORMAL",
   IF(I1935&lt;=30,I1935*1.15+2,IF(I1935&lt;=80,I1935*1.15+4,IF(I1935&lt;=150,I1935*1.15+6,I1935*1.15+8))),
IF(L1933="COMPLEMENTO",
   IF(I1935&lt;=25,I1935*1.25+1.5,IF(I1935&lt;=60,I1935*1.25+3,IF(I1935&lt;=120,I1935*1.25+4,I1935*1.25+5))),
""))),2)</f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>IF(
OR(
ISNUMBER(SEARCH("BACKPACK",B1937)),
ISNUMBER(SEARCH("MOCHILA",B1937)),
ISNUMBER(SEARCH("FUNDA",B1937)),
ISNUMBER(SEARCH("ESTUCHE",B1937)),
ISNUMBER(SEARCH("BOOK COVER",B1937)),
ISNUMBER(SEARCH("KEYBOARD PARA TABLET",B1937)),
ISNUMBER(SEARCH("FLIP TABLET",B1937)),
ISNUMBER(SEARCH("CASE FOR TABLET",B1937)),
ISNUMBER(SEARCH("CABLE",B1937)),
ISNUMBER(SEARCH("ADAPTADOR",B1937)),
ISNUMBER(SEARCH("HUB",B1937)),
ISNUMBER(SEARCH("DOCK",B1937)),
ISNUMBER(SEARCH("MOUSE PAD",B1937)),
ISNUMBER(SEARCH("MOUSEPAD",B1937)),
ISNUMBER(SEARCH("SOPORTE",B1937)),
ISNUMBER(SEARCH("STAND",B1937)),
ISNUMBER(SEARCH("TRAVEL ADAPTER",B1937)),
ISNUMBER(SEARCH("RJ45",B1937)),
ISNUMBER(SEARCH("USB-C",B1937)),
ISNUMBER(SEARCH("USB WIFI",B1937)),
ISNUMBER(SEARCH("POWERBANK",B1937)),
ISNUMBER(SEARCH("CARGADOR",B1937)),
ISNUMBER(SEARCH("COOLER PARA NB",B1937)),
ISNUMBER(SEARCH("SOPORTE PARA NB",B1937)),
ISNUMBER(SEARCH("WEBCAM",B1937)),
ISNUMBER(SEARCH("WEB CAM",B1937)),
ISNUMBER(SEARCH("MOUSE",B1937)),
ISNUMBER(SEARCH("TECLADO",B1937))
),
"COMPLEMENTO",
IF(
OR(
LEFT(A1937,2)="NB",
LEFT(A1937,2)="PC",
LEFT(A1937,2)="WS",
LEFT(A1937,2)="TB",
LEFT(A1937,3)="CEL",
LEFT(A1937,3)="MON",
LEFT(A1937,3)="PRE",
LEFT(A1937,3)="PRH",
ISNUMBER(SEARCH("NOTEBOOK",B1937)),
ISNUMBER(SEARCH("LAPTOP",B1937)),
ISNUMBER(SEARCH("MONITOR",B1937)),
ISNUMBER(SEARCH("TABLET",B1937)),
ISNUMBER(SEARCH("SMARTPH",B1937)),
ISNUMBER(SEARCH("IMPRESORA",B1937)),
ISNUMBER(SEARCH("MULTIFUNCIONAL",B1937)),
ISNUMBER(SEARCH("AIO",B1937))
),
"GANCHO",
"NORMAL"
)
)</f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>ROUND(
IF(L1934="GANCHO",
   IF(I1936&lt;=50,I1936*1.1+4,IF(I1936&lt;=120,I1936*1.1+7,IF(I1936&lt;=250,I1936*1.1+11,I1936*1.1+19))),
IF(L1934="NORMAL",
   IF(I1936&lt;=30,I1936*1.15+2,IF(I1936&lt;=80,I1936*1.15+4,IF(I1936&lt;=150,I1936*1.15+6,I1936*1.15+8))),
IF(L1934="COMPLEMENTO",
   IF(I1936&lt;=25,I1936*1.25+1.5,IF(I1936&lt;=60,I1936*1.25+3,IF(I1936&lt;=120,I1936*1.25+4,I1936*1.25+5))),
""))),2)</f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>ROUND(
IF(L1935="GANCHO",
   IF(I1937&lt;=50,I1937*1.1+4,IF(I1937&lt;=120,I1937*1.1+7,IF(I1937&lt;=250,I1937*1.1+11,I1937*1.1+19))),
IF(L1935="NORMAL",
   IF(I1937&lt;=30,I1937*1.15+2,IF(I1937&lt;=80,I1937*1.15+4,IF(I1937&lt;=150,I1937*1.15+6,I1937*1.15+8))),
IF(L1935="COMPLEMENTO",
   IF(I1937&lt;=25,I1937*1.25+1.5,IF(I1937&lt;=60,I1937*1.25+3,IF(I1937&lt;=120,I1937*1.25+4,I1937*1.25+5))),
""))),2)</f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>IF(
OR(
ISNUMBER(SEARCH("BACKPACK",B1939)),
ISNUMBER(SEARCH("MOCHILA",B1939)),
ISNUMBER(SEARCH("FUNDA",B1939)),
ISNUMBER(SEARCH("ESTUCHE",B1939)),
ISNUMBER(SEARCH("BOOK COVER",B1939)),
ISNUMBER(SEARCH("KEYBOARD PARA TABLET",B1939)),
ISNUMBER(SEARCH("FLIP TABLET",B1939)),
ISNUMBER(SEARCH("CASE FOR TABLET",B1939)),
ISNUMBER(SEARCH("CABLE",B1939)),
ISNUMBER(SEARCH("ADAPTADOR",B1939)),
ISNUMBER(SEARCH("HUB",B1939)),
ISNUMBER(SEARCH("DOCK",B1939)),
ISNUMBER(SEARCH("MOUSE PAD",B1939)),
ISNUMBER(SEARCH("MOUSEPAD",B1939)),
ISNUMBER(SEARCH("SOPORTE",B1939)),
ISNUMBER(SEARCH("STAND",B1939)),
ISNUMBER(SEARCH("TRAVEL ADAPTER",B1939)),
ISNUMBER(SEARCH("RJ45",B1939)),
ISNUMBER(SEARCH("USB-C",B1939)),
ISNUMBER(SEARCH("USB WIFI",B1939)),
ISNUMBER(SEARCH("POWERBANK",B1939)),
ISNUMBER(SEARCH("CARGADOR",B1939)),
ISNUMBER(SEARCH("COOLER PARA NB",B1939)),
ISNUMBER(SEARCH("SOPORTE PARA NB",B1939)),
ISNUMBER(SEARCH("WEBCAM",B1939)),
ISNUMBER(SEARCH("WEB CAM",B1939)),
ISNUMBER(SEARCH("MOUSE",B1939)),
ISNUMBER(SEARCH("TECLADO",B1939))
),
"COMPLEMENTO",
IF(
OR(
LEFT(A1939,2)="NB",
LEFT(A1939,2)="PC",
LEFT(A1939,2)="WS",
LEFT(A1939,2)="TB",
LEFT(A1939,3)="CEL",
LEFT(A1939,3)="MON",
LEFT(A1939,3)="PRE",
LEFT(A1939,3)="PRH",
ISNUMBER(SEARCH("NOTEBOOK",B1939)),
ISNUMBER(SEARCH("LAPTOP",B1939)),
ISNUMBER(SEARCH("MONITOR",B1939)),
ISNUMBER(SEARCH("TABLET",B1939)),
ISNUMBER(SEARCH("SMARTPH",B1939)),
ISNUMBER(SEARCH("IMPRESORA",B1939)),
ISNUMBER(SEARCH("MULTIFUNCIONAL",B1939)),
ISNUMBER(SEARCH("AIO",B1939))
),
"GANCHO",
"NORMAL"
)
)</f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>ROUND(
IF(L1936="GANCHO",
   IF(I1938&lt;=50,I1938*1.1+4,IF(I1938&lt;=120,I1938*1.1+7,IF(I1938&lt;=250,I1938*1.1+11,I1938*1.1+19))),
IF(L1936="NORMAL",
   IF(I1938&lt;=30,I1938*1.15+2,IF(I1938&lt;=80,I1938*1.15+4,IF(I1938&lt;=150,I1938*1.15+6,I1938*1.15+8))),
IF(L1936="COMPLEMENTO",
   IF(I1938&lt;=25,I1938*1.25+1.5,IF(I1938&lt;=60,I1938*1.25+3,IF(I1938&lt;=120,I1938*1.25+4,I1938*1.25+5))),
""))),2)</f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>IF(
OR(
ISNUMBER(SEARCH("BACKPACK",B1940)),
ISNUMBER(SEARCH("MOCHILA",B1940)),
ISNUMBER(SEARCH("FUNDA",B1940)),
ISNUMBER(SEARCH("ESTUCHE",B1940)),
ISNUMBER(SEARCH("BOOK COVER",B1940)),
ISNUMBER(SEARCH("KEYBOARD PARA TABLET",B1940)),
ISNUMBER(SEARCH("FLIP TABLET",B1940)),
ISNUMBER(SEARCH("CASE FOR TABLET",B1940)),
ISNUMBER(SEARCH("CABLE",B1940)),
ISNUMBER(SEARCH("ADAPTADOR",B1940)),
ISNUMBER(SEARCH("HUB",B1940)),
ISNUMBER(SEARCH("DOCK",B1940)),
ISNUMBER(SEARCH("MOUSE PAD",B1940)),
ISNUMBER(SEARCH("MOUSEPAD",B1940)),
ISNUMBER(SEARCH("SOPORTE",B1940)),
ISNUMBER(SEARCH("STAND",B1940)),
ISNUMBER(SEARCH("TRAVEL ADAPTER",B1940)),
ISNUMBER(SEARCH("RJ45",B1940)),
ISNUMBER(SEARCH("USB-C",B1940)),
ISNUMBER(SEARCH("USB WIFI",B1940)),
ISNUMBER(SEARCH("POWERBANK",B1940)),
ISNUMBER(SEARCH("CARGADOR",B1940)),
ISNUMBER(SEARCH("COOLER PARA NB",B1940)),
ISNUMBER(SEARCH("SOPORTE PARA NB",B1940)),
ISNUMBER(SEARCH("WEBCAM",B1940)),
ISNUMBER(SEARCH("WEB CAM",B1940)),
ISNUMBER(SEARCH("MOUSE",B1940)),
ISNUMBER(SEARCH("TECLADO",B1940))
),
"COMPLEMENTO",
IF(
OR(
LEFT(A1940,2)="NB",
LEFT(A1940,2)="PC",
LEFT(A1940,2)="WS",
LEFT(A1940,2)="TB",
LEFT(A1940,3)="CEL",
LEFT(A1940,3)="MON",
LEFT(A1940,3)="PRE",
LEFT(A1940,3)="PRH",
ISNUMBER(SEARCH("NOTEBOOK",B1940)),
ISNUMBER(SEARCH("LAPTOP",B1940)),
ISNUMBER(SEARCH("MONITOR",B1940)),
ISNUMBER(SEARCH("TABLET",B1940)),
ISNUMBER(SEARCH("SMARTPH",B1940)),
ISNUMBER(SEARCH("IMPRESORA",B1940)),
ISNUMBER(SEARCH("MULTIFUNCIONAL",B1940)),
ISNUMBER(SEARCH("AIO",B1940))
),
"GANCHO",
"NORMAL"
)
)</f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>ROUND(
IF(L1937="GANCHO",
   IF(I1939&lt;=50,I1939*1.1+4,IF(I1939&lt;=120,I1939*1.1+7,IF(I1939&lt;=250,I1939*1.1+11,I1939*1.1+19))),
IF(L1937="NORMAL",
   IF(I1939&lt;=30,I1939*1.15+2,IF(I1939&lt;=80,I1939*1.15+4,IF(I1939&lt;=150,I1939*1.15+6,I1939*1.15+8))),
IF(L1937="COMPLEMENTO",
   IF(I1939&lt;=25,I1939*1.25+1.5,IF(I1939&lt;=60,I1939*1.25+3,IF(I1939&lt;=120,I1939*1.25+4,I1939*1.25+5))),
""))),2)</f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>IF(
OR(
ISNUMBER(SEARCH("BACKPACK",B1941)),
ISNUMBER(SEARCH("MOCHILA",B1941)),
ISNUMBER(SEARCH("FUNDA",B1941)),
ISNUMBER(SEARCH("ESTUCHE",B1941)),
ISNUMBER(SEARCH("BOOK COVER",B1941)),
ISNUMBER(SEARCH("KEYBOARD PARA TABLET",B1941)),
ISNUMBER(SEARCH("FLIP TABLET",B1941)),
ISNUMBER(SEARCH("CASE FOR TABLET",B1941)),
ISNUMBER(SEARCH("CABLE",B1941)),
ISNUMBER(SEARCH("ADAPTADOR",B1941)),
ISNUMBER(SEARCH("HUB",B1941)),
ISNUMBER(SEARCH("DOCK",B1941)),
ISNUMBER(SEARCH("MOUSE PAD",B1941)),
ISNUMBER(SEARCH("MOUSEPAD",B1941)),
ISNUMBER(SEARCH("SOPORTE",B1941)),
ISNUMBER(SEARCH("STAND",B1941)),
ISNUMBER(SEARCH("TRAVEL ADAPTER",B1941)),
ISNUMBER(SEARCH("RJ45",B1941)),
ISNUMBER(SEARCH("USB-C",B1941)),
ISNUMBER(SEARCH("USB WIFI",B1941)),
ISNUMBER(SEARCH("POWERBANK",B1941)),
ISNUMBER(SEARCH("CARGADOR",B1941)),
ISNUMBER(SEARCH("COOLER PARA NB",B1941)),
ISNUMBER(SEARCH("SOPORTE PARA NB",B1941)),
ISNUMBER(SEARCH("WEBCAM",B1941)),
ISNUMBER(SEARCH("WEB CAM",B1941)),
ISNUMBER(SEARCH("MOUSE",B1941)),
ISNUMBER(SEARCH("TECLADO",B1941))
),
"COMPLEMENTO",
IF(
OR(
LEFT(A1941,2)="NB",
LEFT(A1941,2)="PC",
LEFT(A1941,2)="WS",
LEFT(A1941,2)="TB",
LEFT(A1941,3)="CEL",
LEFT(A1941,3)="MON",
LEFT(A1941,3)="PRE",
LEFT(A1941,3)="PRH",
ISNUMBER(SEARCH("NOTEBOOK",B1941)),
ISNUMBER(SEARCH("LAPTOP",B1941)),
ISNUMBER(SEARCH("MONITOR",B1941)),
ISNUMBER(SEARCH("TABLET",B1941)),
ISNUMBER(SEARCH("SMARTPH",B1941)),
ISNUMBER(SEARCH("IMPRESORA",B1941)),
ISNUMBER(SEARCH("MULTIFUNCIONAL",B1941)),
ISNUMBER(SEARCH("AIO",B1941))
),
"GANCHO",
"NORMAL"
)
)</f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>ROUND(
IF(L1938="GANCHO",
   IF(I1940&lt;=50,I1940*1.1+4,IF(I1940&lt;=120,I1940*1.1+7,IF(I1940&lt;=250,I1940*1.1+11,I1940*1.1+19))),
IF(L1938="NORMAL",
   IF(I1940&lt;=30,I1940*1.15+2,IF(I1940&lt;=80,I1940*1.15+4,IF(I1940&lt;=150,I1940*1.15+6,I1940*1.15+8))),
IF(L1938="COMPLEMENTO",
   IF(I1940&lt;=25,I1940*1.25+1.5,IF(I1940&lt;=60,I1940*1.25+3,IF(I1940&lt;=120,I1940*1.25+4,I1940*1.25+5))),
""))),2)</f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>IF(
OR(
ISNUMBER(SEARCH("BACKPACK",B1942)),
ISNUMBER(SEARCH("MOCHILA",B1942)),
ISNUMBER(SEARCH("FUNDA",B1942)),
ISNUMBER(SEARCH("ESTUCHE",B1942)),
ISNUMBER(SEARCH("BOOK COVER",B1942)),
ISNUMBER(SEARCH("KEYBOARD PARA TABLET",B1942)),
ISNUMBER(SEARCH("FLIP TABLET",B1942)),
ISNUMBER(SEARCH("CASE FOR TABLET",B1942)),
ISNUMBER(SEARCH("CABLE",B1942)),
ISNUMBER(SEARCH("ADAPTADOR",B1942)),
ISNUMBER(SEARCH("HUB",B1942)),
ISNUMBER(SEARCH("DOCK",B1942)),
ISNUMBER(SEARCH("MOUSE PAD",B1942)),
ISNUMBER(SEARCH("MOUSEPAD",B1942)),
ISNUMBER(SEARCH("SOPORTE",B1942)),
ISNUMBER(SEARCH("STAND",B1942)),
ISNUMBER(SEARCH("TRAVEL ADAPTER",B1942)),
ISNUMBER(SEARCH("RJ45",B1942)),
ISNUMBER(SEARCH("USB-C",B1942)),
ISNUMBER(SEARCH("USB WIFI",B1942)),
ISNUMBER(SEARCH("POWERBANK",B1942)),
ISNUMBER(SEARCH("CARGADOR",B1942)),
ISNUMBER(SEARCH("COOLER PARA NB",B1942)),
ISNUMBER(SEARCH("SOPORTE PARA NB",B1942)),
ISNUMBER(SEARCH("WEBCAM",B1942)),
ISNUMBER(SEARCH("WEB CAM",B1942)),
ISNUMBER(SEARCH("MOUSE",B1942)),
ISNUMBER(SEARCH("TECLADO",B1942))
),
"COMPLEMENTO",
IF(
OR(
LEFT(A1942,2)="NB",
LEFT(A1942,2)="PC",
LEFT(A1942,2)="WS",
LEFT(A1942,2)="TB",
LEFT(A1942,3)="CEL",
LEFT(A1942,3)="MON",
LEFT(A1942,3)="PRE",
LEFT(A1942,3)="PRH",
ISNUMBER(SEARCH("NOTEBOOK",B1942)),
ISNUMBER(SEARCH("LAPTOP",B1942)),
ISNUMBER(SEARCH("MONITOR",B1942)),
ISNUMBER(SEARCH("TABLET",B1942)),
ISNUMBER(SEARCH("SMARTPH",B1942)),
ISNUMBER(SEARCH("IMPRESORA",B1942)),
ISNUMBER(SEARCH("MULTIFUNCIONAL",B1942)),
ISNUMBER(SEARCH("AIO",B1942))
),
"GANCHO",
"NORMAL"
)
)</f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>ROUND(
IF(L1939="GANCHO",
   IF(I1941&lt;=50,I1941*1.1+4,IF(I1941&lt;=120,I1941*1.1+7,IF(I1941&lt;=250,I1941*1.1+11,I1941*1.1+19))),
IF(L1939="NORMAL",
   IF(I1941&lt;=30,I1941*1.15+2,IF(I1941&lt;=80,I1941*1.15+4,IF(I1941&lt;=150,I1941*1.15+6,I1941*1.15+8))),
IF(L1939="COMPLEMENTO",
   IF(I1941&lt;=25,I1941*1.25+1.5,IF(I1941&lt;=60,I1941*1.25+3,IF(I1941&lt;=120,I1941*1.25+4,I1941*1.25+5))),
""))),2)</f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>IF(
OR(
ISNUMBER(SEARCH("BACKPACK",B1943)),
ISNUMBER(SEARCH("MOCHILA",B1943)),
ISNUMBER(SEARCH("FUNDA",B1943)),
ISNUMBER(SEARCH("ESTUCHE",B1943)),
ISNUMBER(SEARCH("BOOK COVER",B1943)),
ISNUMBER(SEARCH("KEYBOARD PARA TABLET",B1943)),
ISNUMBER(SEARCH("FLIP TABLET",B1943)),
ISNUMBER(SEARCH("CASE FOR TABLET",B1943)),
ISNUMBER(SEARCH("CABLE",B1943)),
ISNUMBER(SEARCH("ADAPTADOR",B1943)),
ISNUMBER(SEARCH("HUB",B1943)),
ISNUMBER(SEARCH("DOCK",B1943)),
ISNUMBER(SEARCH("MOUSE PAD",B1943)),
ISNUMBER(SEARCH("MOUSEPAD",B1943)),
ISNUMBER(SEARCH("SOPORTE",B1943)),
ISNUMBER(SEARCH("STAND",B1943)),
ISNUMBER(SEARCH("TRAVEL ADAPTER",B1943)),
ISNUMBER(SEARCH("RJ45",B1943)),
ISNUMBER(SEARCH("USB-C",B1943)),
ISNUMBER(SEARCH("USB WIFI",B1943)),
ISNUMBER(SEARCH("POWERBANK",B1943)),
ISNUMBER(SEARCH("CARGADOR",B1943)),
ISNUMBER(SEARCH("COOLER PARA NB",B1943)),
ISNUMBER(SEARCH("SOPORTE PARA NB",B1943)),
ISNUMBER(SEARCH("WEBCAM",B1943)),
ISNUMBER(SEARCH("WEB CAM",B1943)),
ISNUMBER(SEARCH("MOUSE",B1943)),
ISNUMBER(SEARCH("TECLADO",B1943))
),
"COMPLEMENTO",
IF(
OR(
LEFT(A1943,2)="NB",
LEFT(A1943,2)="PC",
LEFT(A1943,2)="WS",
LEFT(A1943,2)="TB",
LEFT(A1943,3)="CEL",
LEFT(A1943,3)="MON",
LEFT(A1943,3)="PRE",
LEFT(A1943,3)="PRH",
ISNUMBER(SEARCH("NOTEBOOK",B1943)),
ISNUMBER(SEARCH("LAPTOP",B1943)),
ISNUMBER(SEARCH("MONITOR",B1943)),
ISNUMBER(SEARCH("TABLET",B1943)),
ISNUMBER(SEARCH("SMARTPH",B1943)),
ISNUMBER(SEARCH("IMPRESORA",B1943)),
ISNUMBER(SEARCH("MULTIFUNCIONAL",B1943)),
ISNUMBER(SEARCH("AIO",B1943))
),
"GANCHO",
"NORMAL"
)
)</f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>ROUND(
IF(L1940="GANCHO",
   IF(I1942&lt;=50,I1942*1.1+4,IF(I1942&lt;=120,I1942*1.1+7,IF(I1942&lt;=250,I1942*1.1+11,I1942*1.1+19))),
IF(L1940="NORMAL",
   IF(I1942&lt;=30,I1942*1.15+2,IF(I1942&lt;=80,I1942*1.15+4,IF(I1942&lt;=150,I1942*1.15+6,I1942*1.15+8))),
IF(L1940="COMPLEMENTO",
   IF(I1942&lt;=25,I1942*1.25+1.5,IF(I1942&lt;=60,I1942*1.25+3,IF(I1942&lt;=120,I1942*1.25+4,I1942*1.25+5))),
""))),2)</f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>IF(
OR(
ISNUMBER(SEARCH("BACKPACK",B1944)),
ISNUMBER(SEARCH("MOCHILA",B1944)),
ISNUMBER(SEARCH("FUNDA",B1944)),
ISNUMBER(SEARCH("ESTUCHE",B1944)),
ISNUMBER(SEARCH("BOOK COVER",B1944)),
ISNUMBER(SEARCH("KEYBOARD PARA TABLET",B1944)),
ISNUMBER(SEARCH("FLIP TABLET",B1944)),
ISNUMBER(SEARCH("CASE FOR TABLET",B1944)),
ISNUMBER(SEARCH("CABLE",B1944)),
ISNUMBER(SEARCH("ADAPTADOR",B1944)),
ISNUMBER(SEARCH("HUB",B1944)),
ISNUMBER(SEARCH("DOCK",B1944)),
ISNUMBER(SEARCH("MOUSE PAD",B1944)),
ISNUMBER(SEARCH("MOUSEPAD",B1944)),
ISNUMBER(SEARCH("SOPORTE",B1944)),
ISNUMBER(SEARCH("STAND",B1944)),
ISNUMBER(SEARCH("TRAVEL ADAPTER",B1944)),
ISNUMBER(SEARCH("RJ45",B1944)),
ISNUMBER(SEARCH("USB-C",B1944)),
ISNUMBER(SEARCH("USB WIFI",B1944)),
ISNUMBER(SEARCH("POWERBANK",B1944)),
ISNUMBER(SEARCH("CARGADOR",B1944)),
ISNUMBER(SEARCH("COOLER PARA NB",B1944)),
ISNUMBER(SEARCH("SOPORTE PARA NB",B1944)),
ISNUMBER(SEARCH("WEBCAM",B1944)),
ISNUMBER(SEARCH("WEB CAM",B1944)),
ISNUMBER(SEARCH("MOUSE",B1944)),
ISNUMBER(SEARCH("TECLADO",B1944))
),
"COMPLEMENTO",
IF(
OR(
LEFT(A1944,2)="NB",
LEFT(A1944,2)="PC",
LEFT(A1944,2)="WS",
LEFT(A1944,2)="TB",
LEFT(A1944,3)="CEL",
LEFT(A1944,3)="MON",
LEFT(A1944,3)="PRE",
LEFT(A1944,3)="PRH",
ISNUMBER(SEARCH("NOTEBOOK",B1944)),
ISNUMBER(SEARCH("LAPTOP",B1944)),
ISNUMBER(SEARCH("MONITOR",B1944)),
ISNUMBER(SEARCH("TABLET",B1944)),
ISNUMBER(SEARCH("SMARTPH",B1944)),
ISNUMBER(SEARCH("IMPRESORA",B1944)),
ISNUMBER(SEARCH("MULTIFUNCIONAL",B1944)),
ISNUMBER(SEARCH("AIO",B1944))
),
"GANCHO",
"NORMAL"
)
)</f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>ROUND(
IF(L1941="GANCHO",
   IF(I1943&lt;=50,I1943*1.1+4,IF(I1943&lt;=120,I1943*1.1+7,IF(I1943&lt;=250,I1943*1.1+11,I1943*1.1+19))),
IF(L1941="NORMAL",
   IF(I1943&lt;=30,I1943*1.15+2,IF(I1943&lt;=80,I1943*1.15+4,IF(I1943&lt;=150,I1943*1.15+6,I1943*1.15+8))),
IF(L1941="COMPLEMENTO",
   IF(I1943&lt;=25,I1943*1.25+1.5,IF(I1943&lt;=60,I1943*1.25+3,IF(I1943&lt;=120,I1943*1.25+4,I1943*1.25+5))),
""))),2)</f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>IF(
OR(
ISNUMBER(SEARCH("BACKPACK",B1945)),
ISNUMBER(SEARCH("MOCHILA",B1945)),
ISNUMBER(SEARCH("FUNDA",B1945)),
ISNUMBER(SEARCH("ESTUCHE",B1945)),
ISNUMBER(SEARCH("BOOK COVER",B1945)),
ISNUMBER(SEARCH("KEYBOARD PARA TABLET",B1945)),
ISNUMBER(SEARCH("FLIP TABLET",B1945)),
ISNUMBER(SEARCH("CASE FOR TABLET",B1945)),
ISNUMBER(SEARCH("CABLE",B1945)),
ISNUMBER(SEARCH("ADAPTADOR",B1945)),
ISNUMBER(SEARCH("HUB",B1945)),
ISNUMBER(SEARCH("DOCK",B1945)),
ISNUMBER(SEARCH("MOUSE PAD",B1945)),
ISNUMBER(SEARCH("MOUSEPAD",B1945)),
ISNUMBER(SEARCH("SOPORTE",B1945)),
ISNUMBER(SEARCH("STAND",B1945)),
ISNUMBER(SEARCH("TRAVEL ADAPTER",B1945)),
ISNUMBER(SEARCH("RJ45",B1945)),
ISNUMBER(SEARCH("USB-C",B1945)),
ISNUMBER(SEARCH("USB WIFI",B1945)),
ISNUMBER(SEARCH("POWERBANK",B1945)),
ISNUMBER(SEARCH("CARGADOR",B1945)),
ISNUMBER(SEARCH("COOLER PARA NB",B1945)),
ISNUMBER(SEARCH("SOPORTE PARA NB",B1945)),
ISNUMBER(SEARCH("WEBCAM",B1945)),
ISNUMBER(SEARCH("WEB CAM",B1945)),
ISNUMBER(SEARCH("MOUSE",B1945)),
ISNUMBER(SEARCH("TECLADO",B1945))
),
"COMPLEMENTO",
IF(
OR(
LEFT(A1945,2)="NB",
LEFT(A1945,2)="PC",
LEFT(A1945,2)="WS",
LEFT(A1945,2)="TB",
LEFT(A1945,3)="CEL",
LEFT(A1945,3)="MON",
LEFT(A1945,3)="PRE",
LEFT(A1945,3)="PRH",
ISNUMBER(SEARCH("NOTEBOOK",B1945)),
ISNUMBER(SEARCH("LAPTOP",B1945)),
ISNUMBER(SEARCH("MONITOR",B1945)),
ISNUMBER(SEARCH("TABLET",B1945)),
ISNUMBER(SEARCH("SMARTPH",B1945)),
ISNUMBER(SEARCH("IMPRESORA",B1945)),
ISNUMBER(SEARCH("MULTIFUNCIONAL",B1945)),
ISNUMBER(SEARCH("AIO",B1945))
),
"GANCHO",
"NORMAL"
)
)</f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>ROUND(
IF(L1942="GANCHO",
   IF(I1944&lt;=50,I1944*1.1+4,IF(I1944&lt;=120,I1944*1.1+7,IF(I1944&lt;=250,I1944*1.1+11,I1944*1.1+19))),
IF(L1942="NORMAL",
   IF(I1944&lt;=30,I1944*1.15+2,IF(I1944&lt;=80,I1944*1.15+4,IF(I1944&lt;=150,I1944*1.15+6,I1944*1.15+8))),
IF(L1942="COMPLEMENTO",
   IF(I1944&lt;=25,I1944*1.25+1.5,IF(I1944&lt;=60,I1944*1.25+3,IF(I1944&lt;=120,I1944*1.25+4,I1944*1.25+5))),
""))),2)</f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>IF(
OR(
ISNUMBER(SEARCH("BACKPACK",B1946)),
ISNUMBER(SEARCH("MOCHILA",B1946)),
ISNUMBER(SEARCH("FUNDA",B1946)),
ISNUMBER(SEARCH("ESTUCHE",B1946)),
ISNUMBER(SEARCH("BOOK COVER",B1946)),
ISNUMBER(SEARCH("KEYBOARD PARA TABLET",B1946)),
ISNUMBER(SEARCH("FLIP TABLET",B1946)),
ISNUMBER(SEARCH("CASE FOR TABLET",B1946)),
ISNUMBER(SEARCH("CABLE",B1946)),
ISNUMBER(SEARCH("ADAPTADOR",B1946)),
ISNUMBER(SEARCH("HUB",B1946)),
ISNUMBER(SEARCH("DOCK",B1946)),
ISNUMBER(SEARCH("MOUSE PAD",B1946)),
ISNUMBER(SEARCH("MOUSEPAD",B1946)),
ISNUMBER(SEARCH("SOPORTE",B1946)),
ISNUMBER(SEARCH("STAND",B1946)),
ISNUMBER(SEARCH("TRAVEL ADAPTER",B1946)),
ISNUMBER(SEARCH("RJ45",B1946)),
ISNUMBER(SEARCH("USB-C",B1946)),
ISNUMBER(SEARCH("USB WIFI",B1946)),
ISNUMBER(SEARCH("POWERBANK",B1946)),
ISNUMBER(SEARCH("CARGADOR",B1946)),
ISNUMBER(SEARCH("COOLER PARA NB",B1946)),
ISNUMBER(SEARCH("SOPORTE PARA NB",B1946)),
ISNUMBER(SEARCH("WEBCAM",B1946)),
ISNUMBER(SEARCH("WEB CAM",B1946)),
ISNUMBER(SEARCH("MOUSE",B1946)),
ISNUMBER(SEARCH("TECLADO",B1946))
),
"COMPLEMENTO",
IF(
OR(
LEFT(A1946,2)="NB",
LEFT(A1946,2)="PC",
LEFT(A1946,2)="WS",
LEFT(A1946,2)="TB",
LEFT(A1946,3)="CEL",
LEFT(A1946,3)="MON",
LEFT(A1946,3)="PRE",
LEFT(A1946,3)="PRH",
ISNUMBER(SEARCH("NOTEBOOK",B1946)),
ISNUMBER(SEARCH("LAPTOP",B1946)),
ISNUMBER(SEARCH("MONITOR",B1946)),
ISNUMBER(SEARCH("TABLET",B1946)),
ISNUMBER(SEARCH("SMARTPH",B1946)),
ISNUMBER(SEARCH("IMPRESORA",B1946)),
ISNUMBER(SEARCH("MULTIFUNCIONAL",B1946)),
ISNUMBER(SEARCH("AIO",B1946))
),
"GANCHO",
"NORMAL"
)
)</f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>ROUND(
IF(L1943="GANCHO",
   IF(I1945&lt;=50,I1945*1.1+4,IF(I1945&lt;=120,I1945*1.1+7,IF(I1945&lt;=250,I1945*1.1+11,I1945*1.1+19))),
IF(L1943="NORMAL",
   IF(I1945&lt;=30,I1945*1.15+2,IF(I1945&lt;=80,I1945*1.15+4,IF(I1945&lt;=150,I1945*1.15+6,I1945*1.15+8))),
IF(L1943="COMPLEMENTO",
   IF(I1945&lt;=25,I1945*1.25+1.5,IF(I1945&lt;=60,I1945*1.25+3,IF(I1945&lt;=120,I1945*1.25+4,I1945*1.25+5))),
""))),2)</f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>IF(
OR(
ISNUMBER(SEARCH("BACKPACK",B1947)),
ISNUMBER(SEARCH("MOCHILA",B1947)),
ISNUMBER(SEARCH("FUNDA",B1947)),
ISNUMBER(SEARCH("ESTUCHE",B1947)),
ISNUMBER(SEARCH("BOOK COVER",B1947)),
ISNUMBER(SEARCH("KEYBOARD PARA TABLET",B1947)),
ISNUMBER(SEARCH("FLIP TABLET",B1947)),
ISNUMBER(SEARCH("CASE FOR TABLET",B1947)),
ISNUMBER(SEARCH("CABLE",B1947)),
ISNUMBER(SEARCH("ADAPTADOR",B1947)),
ISNUMBER(SEARCH("HUB",B1947)),
ISNUMBER(SEARCH("DOCK",B1947)),
ISNUMBER(SEARCH("MOUSE PAD",B1947)),
ISNUMBER(SEARCH("MOUSEPAD",B1947)),
ISNUMBER(SEARCH("SOPORTE",B1947)),
ISNUMBER(SEARCH("STAND",B1947)),
ISNUMBER(SEARCH("TRAVEL ADAPTER",B1947)),
ISNUMBER(SEARCH("RJ45",B1947)),
ISNUMBER(SEARCH("USB-C",B1947)),
ISNUMBER(SEARCH("USB WIFI",B1947)),
ISNUMBER(SEARCH("POWERBANK",B1947)),
ISNUMBER(SEARCH("CARGADOR",B1947)),
ISNUMBER(SEARCH("COOLER PARA NB",B1947)),
ISNUMBER(SEARCH("SOPORTE PARA NB",B1947)),
ISNUMBER(SEARCH("WEBCAM",B1947)),
ISNUMBER(SEARCH("WEB CAM",B1947)),
ISNUMBER(SEARCH("MOUSE",B1947)),
ISNUMBER(SEARCH("TECLADO",B1947))
),
"COMPLEMENTO",
IF(
OR(
LEFT(A1947,2)="NB",
LEFT(A1947,2)="PC",
LEFT(A1947,2)="WS",
LEFT(A1947,2)="TB",
LEFT(A1947,3)="CEL",
LEFT(A1947,3)="MON",
LEFT(A1947,3)="PRE",
LEFT(A1947,3)="PRH",
ISNUMBER(SEARCH("NOTEBOOK",B1947)),
ISNUMBER(SEARCH("LAPTOP",B1947)),
ISNUMBER(SEARCH("MONITOR",B1947)),
ISNUMBER(SEARCH("TABLET",B1947)),
ISNUMBER(SEARCH("SMARTPH",B1947)),
ISNUMBER(SEARCH("IMPRESORA",B1947)),
ISNUMBER(SEARCH("MULTIFUNCIONAL",B1947)),
ISNUMBER(SEARCH("AIO",B1947))
),
"GANCHO",
"NORMAL"
)
)</f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>ROUND(
IF(L1944="GANCHO",
   IF(I1946&lt;=50,I1946*1.1+4,IF(I1946&lt;=120,I1946*1.1+7,IF(I1946&lt;=250,I1946*1.1+11,I1946*1.1+19))),
IF(L1944="NORMAL",
   IF(I1946&lt;=30,I1946*1.15+2,IF(I1946&lt;=80,I1946*1.15+4,IF(I1946&lt;=150,I1946*1.15+6,I1946*1.15+8))),
IF(L1944="COMPLEMENTO",
   IF(I1946&lt;=25,I1946*1.25+1.5,IF(I1946&lt;=60,I1946*1.25+3,IF(I1946&lt;=120,I1946*1.25+4,I1946*1.25+5))),
""))),2)</f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>IF(
OR(
ISNUMBER(SEARCH("BACKPACK",B1948)),
ISNUMBER(SEARCH("MOCHILA",B1948)),
ISNUMBER(SEARCH("FUNDA",B1948)),
ISNUMBER(SEARCH("ESTUCHE",B1948)),
ISNUMBER(SEARCH("BOOK COVER",B1948)),
ISNUMBER(SEARCH("KEYBOARD PARA TABLET",B1948)),
ISNUMBER(SEARCH("FLIP TABLET",B1948)),
ISNUMBER(SEARCH("CASE FOR TABLET",B1948)),
ISNUMBER(SEARCH("CABLE",B1948)),
ISNUMBER(SEARCH("ADAPTADOR",B1948)),
ISNUMBER(SEARCH("HUB",B1948)),
ISNUMBER(SEARCH("DOCK",B1948)),
ISNUMBER(SEARCH("MOUSE PAD",B1948)),
ISNUMBER(SEARCH("MOUSEPAD",B1948)),
ISNUMBER(SEARCH("SOPORTE",B1948)),
ISNUMBER(SEARCH("STAND",B1948)),
ISNUMBER(SEARCH("TRAVEL ADAPTER",B1948)),
ISNUMBER(SEARCH("RJ45",B1948)),
ISNUMBER(SEARCH("USB-C",B1948)),
ISNUMBER(SEARCH("USB WIFI",B1948)),
ISNUMBER(SEARCH("POWERBANK",B1948)),
ISNUMBER(SEARCH("CARGADOR",B1948)),
ISNUMBER(SEARCH("COOLER PARA NB",B1948)),
ISNUMBER(SEARCH("SOPORTE PARA NB",B1948)),
ISNUMBER(SEARCH("WEBCAM",B1948)),
ISNUMBER(SEARCH("WEB CAM",B1948)),
ISNUMBER(SEARCH("MOUSE",B1948)),
ISNUMBER(SEARCH("TECLADO",B1948))
),
"COMPLEMENTO",
IF(
OR(
LEFT(A1948,2)="NB",
LEFT(A1948,2)="PC",
LEFT(A1948,2)="WS",
LEFT(A1948,2)="TB",
LEFT(A1948,3)="CEL",
LEFT(A1948,3)="MON",
LEFT(A1948,3)="PRE",
LEFT(A1948,3)="PRH",
ISNUMBER(SEARCH("NOTEBOOK",B1948)),
ISNUMBER(SEARCH("LAPTOP",B1948)),
ISNUMBER(SEARCH("MONITOR",B1948)),
ISNUMBER(SEARCH("TABLET",B1948)),
ISNUMBER(SEARCH("SMARTPH",B1948)),
ISNUMBER(SEARCH("IMPRESORA",B1948)),
ISNUMBER(SEARCH("MULTIFUNCIONAL",B1948)),
ISNUMBER(SEARCH("AIO",B1948))
),
"GANCHO",
"NORMAL"
)
)</f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>ROUND(
IF(L1945="GANCHO",
   IF(I1947&lt;=50,I1947*1.1+4,IF(I1947&lt;=120,I1947*1.1+7,IF(I1947&lt;=250,I1947*1.1+11,I1947*1.1+19))),
IF(L1945="NORMAL",
   IF(I1947&lt;=30,I1947*1.15+2,IF(I1947&lt;=80,I1947*1.15+4,IF(I1947&lt;=150,I1947*1.15+6,I1947*1.15+8))),
IF(L1945="COMPLEMENTO",
   IF(I1947&lt;=25,I1947*1.25+1.5,IF(I1947&lt;=60,I1947*1.25+3,IF(I1947&lt;=120,I1947*1.25+4,I1947*1.25+5))),
""))),2)</f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>IF(
OR(
ISNUMBER(SEARCH("BACKPACK",B1949)),
ISNUMBER(SEARCH("MOCHILA",B1949)),
ISNUMBER(SEARCH("FUNDA",B1949)),
ISNUMBER(SEARCH("ESTUCHE",B1949)),
ISNUMBER(SEARCH("BOOK COVER",B1949)),
ISNUMBER(SEARCH("KEYBOARD PARA TABLET",B1949)),
ISNUMBER(SEARCH("FLIP TABLET",B1949)),
ISNUMBER(SEARCH("CASE FOR TABLET",B1949)),
ISNUMBER(SEARCH("CABLE",B1949)),
ISNUMBER(SEARCH("ADAPTADOR",B1949)),
ISNUMBER(SEARCH("HUB",B1949)),
ISNUMBER(SEARCH("DOCK",B1949)),
ISNUMBER(SEARCH("MOUSE PAD",B1949)),
ISNUMBER(SEARCH("MOUSEPAD",B1949)),
ISNUMBER(SEARCH("SOPORTE",B1949)),
ISNUMBER(SEARCH("STAND",B1949)),
ISNUMBER(SEARCH("TRAVEL ADAPTER",B1949)),
ISNUMBER(SEARCH("RJ45",B1949)),
ISNUMBER(SEARCH("USB-C",B1949)),
ISNUMBER(SEARCH("USB WIFI",B1949)),
ISNUMBER(SEARCH("POWERBANK",B1949)),
ISNUMBER(SEARCH("CARGADOR",B1949)),
ISNUMBER(SEARCH("COOLER PARA NB",B1949)),
ISNUMBER(SEARCH("SOPORTE PARA NB",B1949)),
ISNUMBER(SEARCH("WEBCAM",B1949)),
ISNUMBER(SEARCH("WEB CAM",B1949)),
ISNUMBER(SEARCH("MOUSE",B1949)),
ISNUMBER(SEARCH("TECLADO",B1949))
),
"COMPLEMENTO",
IF(
OR(
LEFT(A1949,2)="NB",
LEFT(A1949,2)="PC",
LEFT(A1949,2)="WS",
LEFT(A1949,2)="TB",
LEFT(A1949,3)="CEL",
LEFT(A1949,3)="MON",
LEFT(A1949,3)="PRE",
LEFT(A1949,3)="PRH",
ISNUMBER(SEARCH("NOTEBOOK",B1949)),
ISNUMBER(SEARCH("LAPTOP",B1949)),
ISNUMBER(SEARCH("MONITOR",B1949)),
ISNUMBER(SEARCH("TABLET",B1949)),
ISNUMBER(SEARCH("SMARTPH",B1949)),
ISNUMBER(SEARCH("IMPRESORA",B1949)),
ISNUMBER(SEARCH("MULTIFUNCIONAL",B1949)),
ISNUMBER(SEARCH("AIO",B1949))
),
"GANCHO",
"NORMAL"
)
)</f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>ROUND(
IF(L1946="GANCHO",
   IF(I1948&lt;=50,I1948*1.1+4,IF(I1948&lt;=120,I1948*1.1+7,IF(I1948&lt;=250,I1948*1.1+11,I1948*1.1+19))),
IF(L1946="NORMAL",
   IF(I1948&lt;=30,I1948*1.15+2,IF(I1948&lt;=80,I1948*1.15+4,IF(I1948&lt;=150,I1948*1.15+6,I1948*1.15+8))),
IF(L1946="COMPLEMENTO",
   IF(I1948&lt;=25,I1948*1.25+1.5,IF(I1948&lt;=60,I1948*1.25+3,IF(I1948&lt;=120,I1948*1.25+4,I1948*1.25+5))),
""))),2)</f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>IF(
OR(
ISNUMBER(SEARCH("BACKPACK",B1950)),
ISNUMBER(SEARCH("MOCHILA",B1950)),
ISNUMBER(SEARCH("FUNDA",B1950)),
ISNUMBER(SEARCH("ESTUCHE",B1950)),
ISNUMBER(SEARCH("BOOK COVER",B1950)),
ISNUMBER(SEARCH("KEYBOARD PARA TABLET",B1950)),
ISNUMBER(SEARCH("FLIP TABLET",B1950)),
ISNUMBER(SEARCH("CASE FOR TABLET",B1950)),
ISNUMBER(SEARCH("CABLE",B1950)),
ISNUMBER(SEARCH("ADAPTADOR",B1950)),
ISNUMBER(SEARCH("HUB",B1950)),
ISNUMBER(SEARCH("DOCK",B1950)),
ISNUMBER(SEARCH("MOUSE PAD",B1950)),
ISNUMBER(SEARCH("MOUSEPAD",B1950)),
ISNUMBER(SEARCH("SOPORTE",B1950)),
ISNUMBER(SEARCH("STAND",B1950)),
ISNUMBER(SEARCH("TRAVEL ADAPTER",B1950)),
ISNUMBER(SEARCH("RJ45",B1950)),
ISNUMBER(SEARCH("USB-C",B1950)),
ISNUMBER(SEARCH("USB WIFI",B1950)),
ISNUMBER(SEARCH("POWERBANK",B1950)),
ISNUMBER(SEARCH("CARGADOR",B1950)),
ISNUMBER(SEARCH("COOLER PARA NB",B1950)),
ISNUMBER(SEARCH("SOPORTE PARA NB",B1950)),
ISNUMBER(SEARCH("WEBCAM",B1950)),
ISNUMBER(SEARCH("WEB CAM",B1950)),
ISNUMBER(SEARCH("MOUSE",B1950)),
ISNUMBER(SEARCH("TECLADO",B1950))
),
"COMPLEMENTO",
IF(
OR(
LEFT(A1950,2)="NB",
LEFT(A1950,2)="PC",
LEFT(A1950,2)="WS",
LEFT(A1950,2)="TB",
LEFT(A1950,3)="CEL",
LEFT(A1950,3)="MON",
LEFT(A1950,3)="PRE",
LEFT(A1950,3)="PRH",
ISNUMBER(SEARCH("NOTEBOOK",B1950)),
ISNUMBER(SEARCH("LAPTOP",B1950)),
ISNUMBER(SEARCH("MONITOR",B1950)),
ISNUMBER(SEARCH("TABLET",B1950)),
ISNUMBER(SEARCH("SMARTPH",B1950)),
ISNUMBER(SEARCH("IMPRESORA",B1950)),
ISNUMBER(SEARCH("MULTIFUNCIONAL",B1950)),
ISNUMBER(SEARCH("AIO",B1950))
),
"GANCHO",
"NORMAL"
)
)</f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>ROUND(
IF(L1947="GANCHO",
   IF(I1949&lt;=50,I1949*1.1+4,IF(I1949&lt;=120,I1949*1.1+7,IF(I1949&lt;=250,I1949*1.1+11,I1949*1.1+19))),
IF(L1947="NORMAL",
   IF(I1949&lt;=30,I1949*1.15+2,IF(I1949&lt;=80,I1949*1.15+4,IF(I1949&lt;=150,I1949*1.15+6,I1949*1.15+8))),
IF(L1947="COMPLEMENTO",
   IF(I1949&lt;=25,I1949*1.25+1.5,IF(I1949&lt;=60,I1949*1.25+3,IF(I1949&lt;=120,I1949*1.25+4,I1949*1.25+5))),
""))),2)</f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>IF(
OR(
ISNUMBER(SEARCH("BACKPACK",B1951)),
ISNUMBER(SEARCH("MOCHILA",B1951)),
ISNUMBER(SEARCH("FUNDA",B1951)),
ISNUMBER(SEARCH("ESTUCHE",B1951)),
ISNUMBER(SEARCH("BOOK COVER",B1951)),
ISNUMBER(SEARCH("KEYBOARD PARA TABLET",B1951)),
ISNUMBER(SEARCH("FLIP TABLET",B1951)),
ISNUMBER(SEARCH("CASE FOR TABLET",B1951)),
ISNUMBER(SEARCH("CABLE",B1951)),
ISNUMBER(SEARCH("ADAPTADOR",B1951)),
ISNUMBER(SEARCH("HUB",B1951)),
ISNUMBER(SEARCH("DOCK",B1951)),
ISNUMBER(SEARCH("MOUSE PAD",B1951)),
ISNUMBER(SEARCH("MOUSEPAD",B1951)),
ISNUMBER(SEARCH("SOPORTE",B1951)),
ISNUMBER(SEARCH("STAND",B1951)),
ISNUMBER(SEARCH("TRAVEL ADAPTER",B1951)),
ISNUMBER(SEARCH("RJ45",B1951)),
ISNUMBER(SEARCH("USB-C",B1951)),
ISNUMBER(SEARCH("USB WIFI",B1951)),
ISNUMBER(SEARCH("POWERBANK",B1951)),
ISNUMBER(SEARCH("CARGADOR",B1951)),
ISNUMBER(SEARCH("COOLER PARA NB",B1951)),
ISNUMBER(SEARCH("SOPORTE PARA NB",B1951)),
ISNUMBER(SEARCH("WEBCAM",B1951)),
ISNUMBER(SEARCH("WEB CAM",B1951)),
ISNUMBER(SEARCH("MOUSE",B1951)),
ISNUMBER(SEARCH("TECLADO",B1951))
),
"COMPLEMENTO",
IF(
OR(
LEFT(A1951,2)="NB",
LEFT(A1951,2)="PC",
LEFT(A1951,2)="WS",
LEFT(A1951,2)="TB",
LEFT(A1951,3)="CEL",
LEFT(A1951,3)="MON",
LEFT(A1951,3)="PRE",
LEFT(A1951,3)="PRH",
ISNUMBER(SEARCH("NOTEBOOK",B1951)),
ISNUMBER(SEARCH("LAPTOP",B1951)),
ISNUMBER(SEARCH("MONITOR",B1951)),
ISNUMBER(SEARCH("TABLET",B1951)),
ISNUMBER(SEARCH("SMARTPH",B1951)),
ISNUMBER(SEARCH("IMPRESORA",B1951)),
ISNUMBER(SEARCH("MULTIFUNCIONAL",B1951)),
ISNUMBER(SEARCH("AIO",B1951))
),
"GANCHO",
"NORMAL"
)
)</f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>ROUND(
IF(L1948="GANCHO",
   IF(I1950&lt;=50,I1950*1.1+4,IF(I1950&lt;=120,I1950*1.1+7,IF(I1950&lt;=250,I1950*1.1+11,I1950*1.1+19))),
IF(L1948="NORMAL",
   IF(I1950&lt;=30,I1950*1.15+2,IF(I1950&lt;=80,I1950*1.15+4,IF(I1950&lt;=150,I1950*1.15+6,I1950*1.15+8))),
IF(L1948="COMPLEMENTO",
   IF(I1950&lt;=25,I1950*1.25+1.5,IF(I1950&lt;=60,I1950*1.25+3,IF(I1950&lt;=120,I1950*1.25+4,I1950*1.25+5))),
""))),2)</f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>IF(
OR(
ISNUMBER(SEARCH("BACKPACK",B1952)),
ISNUMBER(SEARCH("MOCHILA",B1952)),
ISNUMBER(SEARCH("FUNDA",B1952)),
ISNUMBER(SEARCH("ESTUCHE",B1952)),
ISNUMBER(SEARCH("BOOK COVER",B1952)),
ISNUMBER(SEARCH("KEYBOARD PARA TABLET",B1952)),
ISNUMBER(SEARCH("FLIP TABLET",B1952)),
ISNUMBER(SEARCH("CASE FOR TABLET",B1952)),
ISNUMBER(SEARCH("CABLE",B1952)),
ISNUMBER(SEARCH("ADAPTADOR",B1952)),
ISNUMBER(SEARCH("HUB",B1952)),
ISNUMBER(SEARCH("DOCK",B1952)),
ISNUMBER(SEARCH("MOUSE PAD",B1952)),
ISNUMBER(SEARCH("MOUSEPAD",B1952)),
ISNUMBER(SEARCH("SOPORTE",B1952)),
ISNUMBER(SEARCH("STAND",B1952)),
ISNUMBER(SEARCH("TRAVEL ADAPTER",B1952)),
ISNUMBER(SEARCH("RJ45",B1952)),
ISNUMBER(SEARCH("USB-C",B1952)),
ISNUMBER(SEARCH("USB WIFI",B1952)),
ISNUMBER(SEARCH("POWERBANK",B1952)),
ISNUMBER(SEARCH("CARGADOR",B1952)),
ISNUMBER(SEARCH("COOLER PARA NB",B1952)),
ISNUMBER(SEARCH("SOPORTE PARA NB",B1952)),
ISNUMBER(SEARCH("WEBCAM",B1952)),
ISNUMBER(SEARCH("WEB CAM",B1952)),
ISNUMBER(SEARCH("MOUSE",B1952)),
ISNUMBER(SEARCH("TECLADO",B1952))
),
"COMPLEMENTO",
IF(
OR(
LEFT(A1952,2)="NB",
LEFT(A1952,2)="PC",
LEFT(A1952,2)="WS",
LEFT(A1952,2)="TB",
LEFT(A1952,3)="CEL",
LEFT(A1952,3)="MON",
LEFT(A1952,3)="PRE",
LEFT(A1952,3)="PRH",
ISNUMBER(SEARCH("NOTEBOOK",B1952)),
ISNUMBER(SEARCH("LAPTOP",B1952)),
ISNUMBER(SEARCH("MONITOR",B1952)),
ISNUMBER(SEARCH("TABLET",B1952)),
ISNUMBER(SEARCH("SMARTPH",B1952)),
ISNUMBER(SEARCH("IMPRESORA",B1952)),
ISNUMBER(SEARCH("MULTIFUNCIONAL",B1952)),
ISNUMBER(SEARCH("AIO",B1952))
),
"GANCHO",
"NORMAL"
)
)</f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>ROUND(
IF(L1949="GANCHO",
   IF(I1951&lt;=50,I1951*1.1+4,IF(I1951&lt;=120,I1951*1.1+7,IF(I1951&lt;=250,I1951*1.1+11,I1951*1.1+19))),
IF(L1949="NORMAL",
   IF(I1951&lt;=30,I1951*1.15+2,IF(I1951&lt;=80,I1951*1.15+4,IF(I1951&lt;=150,I1951*1.15+6,I1951*1.15+8))),
IF(L1949="COMPLEMENTO",
   IF(I1951&lt;=25,I1951*1.25+1.5,IF(I1951&lt;=60,I1951*1.25+3,IF(I1951&lt;=120,I1951*1.25+4,I1951*1.25+5))),
""))),2)</f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>IF(
OR(
ISNUMBER(SEARCH("BACKPACK",B1953)),
ISNUMBER(SEARCH("MOCHILA",B1953)),
ISNUMBER(SEARCH("FUNDA",B1953)),
ISNUMBER(SEARCH("ESTUCHE",B1953)),
ISNUMBER(SEARCH("BOOK COVER",B1953)),
ISNUMBER(SEARCH("KEYBOARD PARA TABLET",B1953)),
ISNUMBER(SEARCH("FLIP TABLET",B1953)),
ISNUMBER(SEARCH("CASE FOR TABLET",B1953)),
ISNUMBER(SEARCH("CABLE",B1953)),
ISNUMBER(SEARCH("ADAPTADOR",B1953)),
ISNUMBER(SEARCH("HUB",B1953)),
ISNUMBER(SEARCH("DOCK",B1953)),
ISNUMBER(SEARCH("MOUSE PAD",B1953)),
ISNUMBER(SEARCH("MOUSEPAD",B1953)),
ISNUMBER(SEARCH("SOPORTE",B1953)),
ISNUMBER(SEARCH("STAND",B1953)),
ISNUMBER(SEARCH("TRAVEL ADAPTER",B1953)),
ISNUMBER(SEARCH("RJ45",B1953)),
ISNUMBER(SEARCH("USB-C",B1953)),
ISNUMBER(SEARCH("USB WIFI",B1953)),
ISNUMBER(SEARCH("POWERBANK",B1953)),
ISNUMBER(SEARCH("CARGADOR",B1953)),
ISNUMBER(SEARCH("COOLER PARA NB",B1953)),
ISNUMBER(SEARCH("SOPORTE PARA NB",B1953)),
ISNUMBER(SEARCH("WEBCAM",B1953)),
ISNUMBER(SEARCH("WEB CAM",B1953)),
ISNUMBER(SEARCH("MOUSE",B1953)),
ISNUMBER(SEARCH("TECLADO",B1953))
),
"COMPLEMENTO",
IF(
OR(
LEFT(A1953,2)="NB",
LEFT(A1953,2)="PC",
LEFT(A1953,2)="WS",
LEFT(A1953,2)="TB",
LEFT(A1953,3)="CEL",
LEFT(A1953,3)="MON",
LEFT(A1953,3)="PRE",
LEFT(A1953,3)="PRH",
ISNUMBER(SEARCH("NOTEBOOK",B1953)),
ISNUMBER(SEARCH("LAPTOP",B1953)),
ISNUMBER(SEARCH("MONITOR",B1953)),
ISNUMBER(SEARCH("TABLET",B1953)),
ISNUMBER(SEARCH("SMARTPH",B1953)),
ISNUMBER(SEARCH("IMPRESORA",B1953)),
ISNUMBER(SEARCH("MULTIFUNCIONAL",B1953)),
ISNUMBER(SEARCH("AIO",B1953))
),
"GANCHO",
"NORMAL"
)
)</f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>ROUND(
IF(L1950="GANCHO",
   IF(I1952&lt;=50,I1952*1.1+4,IF(I1952&lt;=120,I1952*1.1+7,IF(I1952&lt;=250,I1952*1.1+11,I1952*1.1+19))),
IF(L1950="NORMAL",
   IF(I1952&lt;=30,I1952*1.15+2,IF(I1952&lt;=80,I1952*1.15+4,IF(I1952&lt;=150,I1952*1.15+6,I1952*1.15+8))),
IF(L1950="COMPLEMENTO",
   IF(I1952&lt;=25,I1952*1.25+1.5,IF(I1952&lt;=60,I1952*1.25+3,IF(I1952&lt;=120,I1952*1.25+4,I1952*1.25+5))),
""))),2)</f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>IF(
OR(
ISNUMBER(SEARCH("BACKPACK",B1954)),
ISNUMBER(SEARCH("MOCHILA",B1954)),
ISNUMBER(SEARCH("FUNDA",B1954)),
ISNUMBER(SEARCH("ESTUCHE",B1954)),
ISNUMBER(SEARCH("BOOK COVER",B1954)),
ISNUMBER(SEARCH("KEYBOARD PARA TABLET",B1954)),
ISNUMBER(SEARCH("FLIP TABLET",B1954)),
ISNUMBER(SEARCH("CASE FOR TABLET",B1954)),
ISNUMBER(SEARCH("CABLE",B1954)),
ISNUMBER(SEARCH("ADAPTADOR",B1954)),
ISNUMBER(SEARCH("HUB",B1954)),
ISNUMBER(SEARCH("DOCK",B1954)),
ISNUMBER(SEARCH("MOUSE PAD",B1954)),
ISNUMBER(SEARCH("MOUSEPAD",B1954)),
ISNUMBER(SEARCH("SOPORTE",B1954)),
ISNUMBER(SEARCH("STAND",B1954)),
ISNUMBER(SEARCH("TRAVEL ADAPTER",B1954)),
ISNUMBER(SEARCH("RJ45",B1954)),
ISNUMBER(SEARCH("USB-C",B1954)),
ISNUMBER(SEARCH("USB WIFI",B1954)),
ISNUMBER(SEARCH("POWERBANK",B1954)),
ISNUMBER(SEARCH("CARGADOR",B1954)),
ISNUMBER(SEARCH("COOLER PARA NB",B1954)),
ISNUMBER(SEARCH("SOPORTE PARA NB",B1954)),
ISNUMBER(SEARCH("WEBCAM",B1954)),
ISNUMBER(SEARCH("WEB CAM",B1954)),
ISNUMBER(SEARCH("MOUSE",B1954)),
ISNUMBER(SEARCH("TECLADO",B1954))
),
"COMPLEMENTO",
IF(
OR(
LEFT(A1954,2)="NB",
LEFT(A1954,2)="PC",
LEFT(A1954,2)="WS",
LEFT(A1954,2)="TB",
LEFT(A1954,3)="CEL",
LEFT(A1954,3)="MON",
LEFT(A1954,3)="PRE",
LEFT(A1954,3)="PRH",
ISNUMBER(SEARCH("NOTEBOOK",B1954)),
ISNUMBER(SEARCH("LAPTOP",B1954)),
ISNUMBER(SEARCH("MONITOR",B1954)),
ISNUMBER(SEARCH("TABLET",B1954)),
ISNUMBER(SEARCH("SMARTPH",B1954)),
ISNUMBER(SEARCH("IMPRESORA",B1954)),
ISNUMBER(SEARCH("MULTIFUNCIONAL",B1954)),
ISNUMBER(SEARCH("AIO",B1954))
),
"GANCHO",
"NORMAL"
)
)</f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>ROUND(
IF(L1951="GANCHO",
   IF(I1953&lt;=50,I1953*1.1+4,IF(I1953&lt;=120,I1953*1.1+7,IF(I1953&lt;=250,I1953*1.1+11,I1953*1.1+19))),
IF(L1951="NORMAL",
   IF(I1953&lt;=30,I1953*1.15+2,IF(I1953&lt;=80,I1953*1.15+4,IF(I1953&lt;=150,I1953*1.15+6,I1953*1.15+8))),
IF(L1951="COMPLEMENTO",
   IF(I1953&lt;=25,I1953*1.25+1.5,IF(I1953&lt;=60,I1953*1.25+3,IF(I1953&lt;=120,I1953*1.25+4,I1953*1.25+5))),
""))),2)</f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>IF(
OR(
ISNUMBER(SEARCH("BACKPACK",B1955)),
ISNUMBER(SEARCH("MOCHILA",B1955)),
ISNUMBER(SEARCH("FUNDA",B1955)),
ISNUMBER(SEARCH("ESTUCHE",B1955)),
ISNUMBER(SEARCH("BOOK COVER",B1955)),
ISNUMBER(SEARCH("KEYBOARD PARA TABLET",B1955)),
ISNUMBER(SEARCH("FLIP TABLET",B1955)),
ISNUMBER(SEARCH("CASE FOR TABLET",B1955)),
ISNUMBER(SEARCH("CABLE",B1955)),
ISNUMBER(SEARCH("ADAPTADOR",B1955)),
ISNUMBER(SEARCH("HUB",B1955)),
ISNUMBER(SEARCH("DOCK",B1955)),
ISNUMBER(SEARCH("MOUSE PAD",B1955)),
ISNUMBER(SEARCH("MOUSEPAD",B1955)),
ISNUMBER(SEARCH("SOPORTE",B1955)),
ISNUMBER(SEARCH("STAND",B1955)),
ISNUMBER(SEARCH("TRAVEL ADAPTER",B1955)),
ISNUMBER(SEARCH("RJ45",B1955)),
ISNUMBER(SEARCH("USB-C",B1955)),
ISNUMBER(SEARCH("USB WIFI",B1955)),
ISNUMBER(SEARCH("POWERBANK",B1955)),
ISNUMBER(SEARCH("CARGADOR",B1955)),
ISNUMBER(SEARCH("COOLER PARA NB",B1955)),
ISNUMBER(SEARCH("SOPORTE PARA NB",B1955)),
ISNUMBER(SEARCH("WEBCAM",B1955)),
ISNUMBER(SEARCH("WEB CAM",B1955)),
ISNUMBER(SEARCH("MOUSE",B1955)),
ISNUMBER(SEARCH("TECLADO",B1955))
),
"COMPLEMENTO",
IF(
OR(
LEFT(A1955,2)="NB",
LEFT(A1955,2)="PC",
LEFT(A1955,2)="WS",
LEFT(A1955,2)="TB",
LEFT(A1955,3)="CEL",
LEFT(A1955,3)="MON",
LEFT(A1955,3)="PRE",
LEFT(A1955,3)="PRH",
ISNUMBER(SEARCH("NOTEBOOK",B1955)),
ISNUMBER(SEARCH("LAPTOP",B1955)),
ISNUMBER(SEARCH("MONITOR",B1955)),
ISNUMBER(SEARCH("TABLET",B1955)),
ISNUMBER(SEARCH("SMARTPH",B1955)),
ISNUMBER(SEARCH("IMPRESORA",B1955)),
ISNUMBER(SEARCH("MULTIFUNCIONAL",B1955)),
ISNUMBER(SEARCH("AIO",B1955))
),
"GANCHO",
"NORMAL"
)
)</f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>ROUND(
IF(L1952="GANCHO",
   IF(I1954&lt;=50,I1954*1.1+4,IF(I1954&lt;=120,I1954*1.1+7,IF(I1954&lt;=250,I1954*1.1+11,I1954*1.1+19))),
IF(L1952="NORMAL",
   IF(I1954&lt;=30,I1954*1.15+2,IF(I1954&lt;=80,I1954*1.15+4,IF(I1954&lt;=150,I1954*1.15+6,I1954*1.15+8))),
IF(L1952="COMPLEMENTO",
   IF(I1954&lt;=25,I1954*1.25+1.5,IF(I1954&lt;=60,I1954*1.25+3,IF(I1954&lt;=120,I1954*1.25+4,I1954*1.25+5))),
""))),2)</f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>IF(
OR(
ISNUMBER(SEARCH("BACKPACK",B1956)),
ISNUMBER(SEARCH("MOCHILA",B1956)),
ISNUMBER(SEARCH("FUNDA",B1956)),
ISNUMBER(SEARCH("ESTUCHE",B1956)),
ISNUMBER(SEARCH("BOOK COVER",B1956)),
ISNUMBER(SEARCH("KEYBOARD PARA TABLET",B1956)),
ISNUMBER(SEARCH("FLIP TABLET",B1956)),
ISNUMBER(SEARCH("CASE FOR TABLET",B1956)),
ISNUMBER(SEARCH("CABLE",B1956)),
ISNUMBER(SEARCH("ADAPTADOR",B1956)),
ISNUMBER(SEARCH("HUB",B1956)),
ISNUMBER(SEARCH("DOCK",B1956)),
ISNUMBER(SEARCH("MOUSE PAD",B1956)),
ISNUMBER(SEARCH("MOUSEPAD",B1956)),
ISNUMBER(SEARCH("SOPORTE",B1956)),
ISNUMBER(SEARCH("STAND",B1956)),
ISNUMBER(SEARCH("TRAVEL ADAPTER",B1956)),
ISNUMBER(SEARCH("RJ45",B1956)),
ISNUMBER(SEARCH("USB-C",B1956)),
ISNUMBER(SEARCH("USB WIFI",B1956)),
ISNUMBER(SEARCH("POWERBANK",B1956)),
ISNUMBER(SEARCH("CARGADOR",B1956)),
ISNUMBER(SEARCH("COOLER PARA NB",B1956)),
ISNUMBER(SEARCH("SOPORTE PARA NB",B1956)),
ISNUMBER(SEARCH("WEBCAM",B1956)),
ISNUMBER(SEARCH("WEB CAM",B1956)),
ISNUMBER(SEARCH("MOUSE",B1956)),
ISNUMBER(SEARCH("TECLADO",B1956))
),
"COMPLEMENTO",
IF(
OR(
LEFT(A1956,2)="NB",
LEFT(A1956,2)="PC",
LEFT(A1956,2)="WS",
LEFT(A1956,2)="TB",
LEFT(A1956,3)="CEL",
LEFT(A1956,3)="MON",
LEFT(A1956,3)="PRE",
LEFT(A1956,3)="PRH",
ISNUMBER(SEARCH("NOTEBOOK",B1956)),
ISNUMBER(SEARCH("LAPTOP",B1956)),
ISNUMBER(SEARCH("MONITOR",B1956)),
ISNUMBER(SEARCH("TABLET",B1956)),
ISNUMBER(SEARCH("SMARTPH",B1956)),
ISNUMBER(SEARCH("IMPRESORA",B1956)),
ISNUMBER(SEARCH("MULTIFUNCIONAL",B1956)),
ISNUMBER(SEARCH("AIO",B1956))
),
"GANCHO",
"NORMAL"
)
)</f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>ROUND(
IF(L1953="GANCHO",
   IF(I1955&lt;=50,I1955*1.1+4,IF(I1955&lt;=120,I1955*1.1+7,IF(I1955&lt;=250,I1955*1.1+11,I1955*1.1+19))),
IF(L1953="NORMAL",
   IF(I1955&lt;=30,I1955*1.15+2,IF(I1955&lt;=80,I1955*1.15+4,IF(I1955&lt;=150,I1955*1.15+6,I1955*1.15+8))),
IF(L1953="COMPLEMENTO",
   IF(I1955&lt;=25,I1955*1.25+1.5,IF(I1955&lt;=60,I1955*1.25+3,IF(I1955&lt;=120,I1955*1.25+4,I1955*1.25+5))),
""))),2)</f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>IF(
OR(
ISNUMBER(SEARCH("BACKPACK",B1957)),
ISNUMBER(SEARCH("MOCHILA",B1957)),
ISNUMBER(SEARCH("FUNDA",B1957)),
ISNUMBER(SEARCH("ESTUCHE",B1957)),
ISNUMBER(SEARCH("BOOK COVER",B1957)),
ISNUMBER(SEARCH("KEYBOARD PARA TABLET",B1957)),
ISNUMBER(SEARCH("FLIP TABLET",B1957)),
ISNUMBER(SEARCH("CASE FOR TABLET",B1957)),
ISNUMBER(SEARCH("CABLE",B1957)),
ISNUMBER(SEARCH("ADAPTADOR",B1957)),
ISNUMBER(SEARCH("HUB",B1957)),
ISNUMBER(SEARCH("DOCK",B1957)),
ISNUMBER(SEARCH("MOUSE PAD",B1957)),
ISNUMBER(SEARCH("MOUSEPAD",B1957)),
ISNUMBER(SEARCH("SOPORTE",B1957)),
ISNUMBER(SEARCH("STAND",B1957)),
ISNUMBER(SEARCH("TRAVEL ADAPTER",B1957)),
ISNUMBER(SEARCH("RJ45",B1957)),
ISNUMBER(SEARCH("USB-C",B1957)),
ISNUMBER(SEARCH("USB WIFI",B1957)),
ISNUMBER(SEARCH("POWERBANK",B1957)),
ISNUMBER(SEARCH("CARGADOR",B1957)),
ISNUMBER(SEARCH("COOLER PARA NB",B1957)),
ISNUMBER(SEARCH("SOPORTE PARA NB",B1957)),
ISNUMBER(SEARCH("WEBCAM",B1957)),
ISNUMBER(SEARCH("WEB CAM",B1957)),
ISNUMBER(SEARCH("MOUSE",B1957)),
ISNUMBER(SEARCH("TECLADO",B1957))
),
"COMPLEMENTO",
IF(
OR(
LEFT(A1957,2)="NB",
LEFT(A1957,2)="PC",
LEFT(A1957,2)="WS",
LEFT(A1957,2)="TB",
LEFT(A1957,3)="CEL",
LEFT(A1957,3)="MON",
LEFT(A1957,3)="PRE",
LEFT(A1957,3)="PRH",
ISNUMBER(SEARCH("NOTEBOOK",B1957)),
ISNUMBER(SEARCH("LAPTOP",B1957)),
ISNUMBER(SEARCH("MONITOR",B1957)),
ISNUMBER(SEARCH("TABLET",B1957)),
ISNUMBER(SEARCH("SMARTPH",B1957)),
ISNUMBER(SEARCH("IMPRESORA",B1957)),
ISNUMBER(SEARCH("MULTIFUNCIONAL",B1957)),
ISNUMBER(SEARCH("AIO",B1957))
),
"GANCHO",
"NORMAL"
)
)</f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>ROUND(
IF(L1954="GANCHO",
   IF(I1956&lt;=50,I1956*1.1+4,IF(I1956&lt;=120,I1956*1.1+7,IF(I1956&lt;=250,I1956*1.1+11,I1956*1.1+19))),
IF(L1954="NORMAL",
   IF(I1956&lt;=30,I1956*1.15+2,IF(I1956&lt;=80,I1956*1.15+4,IF(I1956&lt;=150,I1956*1.15+6,I1956*1.15+8))),
IF(L1954="COMPLEMENTO",
   IF(I1956&lt;=25,I1956*1.25+1.5,IF(I1956&lt;=60,I1956*1.25+3,IF(I1956&lt;=120,I1956*1.25+4,I1956*1.25+5))),
""))),2)</f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>IF(
OR(
ISNUMBER(SEARCH("BACKPACK",B1958)),
ISNUMBER(SEARCH("MOCHILA",B1958)),
ISNUMBER(SEARCH("FUNDA",B1958)),
ISNUMBER(SEARCH("ESTUCHE",B1958)),
ISNUMBER(SEARCH("BOOK COVER",B1958)),
ISNUMBER(SEARCH("KEYBOARD PARA TABLET",B1958)),
ISNUMBER(SEARCH("FLIP TABLET",B1958)),
ISNUMBER(SEARCH("CASE FOR TABLET",B1958)),
ISNUMBER(SEARCH("CABLE",B1958)),
ISNUMBER(SEARCH("ADAPTADOR",B1958)),
ISNUMBER(SEARCH("HUB",B1958)),
ISNUMBER(SEARCH("DOCK",B1958)),
ISNUMBER(SEARCH("MOUSE PAD",B1958)),
ISNUMBER(SEARCH("MOUSEPAD",B1958)),
ISNUMBER(SEARCH("SOPORTE",B1958)),
ISNUMBER(SEARCH("STAND",B1958)),
ISNUMBER(SEARCH("TRAVEL ADAPTER",B1958)),
ISNUMBER(SEARCH("RJ45",B1958)),
ISNUMBER(SEARCH("USB-C",B1958)),
ISNUMBER(SEARCH("USB WIFI",B1958)),
ISNUMBER(SEARCH("POWERBANK",B1958)),
ISNUMBER(SEARCH("CARGADOR",B1958)),
ISNUMBER(SEARCH("COOLER PARA NB",B1958)),
ISNUMBER(SEARCH("SOPORTE PARA NB",B1958)),
ISNUMBER(SEARCH("WEBCAM",B1958)),
ISNUMBER(SEARCH("WEB CAM",B1958)),
ISNUMBER(SEARCH("MOUSE",B1958)),
ISNUMBER(SEARCH("TECLADO",B1958))
),
"COMPLEMENTO",
IF(
OR(
LEFT(A1958,2)="NB",
LEFT(A1958,2)="PC",
LEFT(A1958,2)="WS",
LEFT(A1958,2)="TB",
LEFT(A1958,3)="CEL",
LEFT(A1958,3)="MON",
LEFT(A1958,3)="PRE",
LEFT(A1958,3)="PRH",
ISNUMBER(SEARCH("NOTEBOOK",B1958)),
ISNUMBER(SEARCH("LAPTOP",B1958)),
ISNUMBER(SEARCH("MONITOR",B1958)),
ISNUMBER(SEARCH("TABLET",B1958)),
ISNUMBER(SEARCH("SMARTPH",B1958)),
ISNUMBER(SEARCH("IMPRESORA",B1958)),
ISNUMBER(SEARCH("MULTIFUNCIONAL",B1958)),
ISNUMBER(SEARCH("AIO",B1958))
),
"GANCHO",
"NORMAL"
)
)</f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>ROUND(
IF(L1955="GANCHO",
   IF(I1957&lt;=50,I1957*1.1+4,IF(I1957&lt;=120,I1957*1.1+7,IF(I1957&lt;=250,I1957*1.1+11,I1957*1.1+19))),
IF(L1955="NORMAL",
   IF(I1957&lt;=30,I1957*1.15+2,IF(I1957&lt;=80,I1957*1.15+4,IF(I1957&lt;=150,I1957*1.15+6,I1957*1.15+8))),
IF(L1955="COMPLEMENTO",
   IF(I1957&lt;=25,I1957*1.25+1.5,IF(I1957&lt;=60,I1957*1.25+3,IF(I1957&lt;=120,I1957*1.25+4,I1957*1.25+5))),
""))),2)</f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>IF(
OR(
ISNUMBER(SEARCH("BACKPACK",B1959)),
ISNUMBER(SEARCH("MOCHILA",B1959)),
ISNUMBER(SEARCH("FUNDA",B1959)),
ISNUMBER(SEARCH("ESTUCHE",B1959)),
ISNUMBER(SEARCH("BOOK COVER",B1959)),
ISNUMBER(SEARCH("KEYBOARD PARA TABLET",B1959)),
ISNUMBER(SEARCH("FLIP TABLET",B1959)),
ISNUMBER(SEARCH("CASE FOR TABLET",B1959)),
ISNUMBER(SEARCH("CABLE",B1959)),
ISNUMBER(SEARCH("ADAPTADOR",B1959)),
ISNUMBER(SEARCH("HUB",B1959)),
ISNUMBER(SEARCH("DOCK",B1959)),
ISNUMBER(SEARCH("MOUSE PAD",B1959)),
ISNUMBER(SEARCH("MOUSEPAD",B1959)),
ISNUMBER(SEARCH("SOPORTE",B1959)),
ISNUMBER(SEARCH("STAND",B1959)),
ISNUMBER(SEARCH("TRAVEL ADAPTER",B1959)),
ISNUMBER(SEARCH("RJ45",B1959)),
ISNUMBER(SEARCH("USB-C",B1959)),
ISNUMBER(SEARCH("USB WIFI",B1959)),
ISNUMBER(SEARCH("POWERBANK",B1959)),
ISNUMBER(SEARCH("CARGADOR",B1959)),
ISNUMBER(SEARCH("COOLER PARA NB",B1959)),
ISNUMBER(SEARCH("SOPORTE PARA NB",B1959)),
ISNUMBER(SEARCH("WEBCAM",B1959)),
ISNUMBER(SEARCH("WEB CAM",B1959)),
ISNUMBER(SEARCH("MOUSE",B1959)),
ISNUMBER(SEARCH("TECLADO",B1959))
),
"COMPLEMENTO",
IF(
OR(
LEFT(A1959,2)="NB",
LEFT(A1959,2)="PC",
LEFT(A1959,2)="WS",
LEFT(A1959,2)="TB",
LEFT(A1959,3)="CEL",
LEFT(A1959,3)="MON",
LEFT(A1959,3)="PRE",
LEFT(A1959,3)="PRH",
ISNUMBER(SEARCH("NOTEBOOK",B1959)),
ISNUMBER(SEARCH("LAPTOP",B1959)),
ISNUMBER(SEARCH("MONITOR",B1959)),
ISNUMBER(SEARCH("TABLET",B1959)),
ISNUMBER(SEARCH("SMARTPH",B1959)),
ISNUMBER(SEARCH("IMPRESORA",B1959)),
ISNUMBER(SEARCH("MULTIFUNCIONAL",B1959)),
ISNUMBER(SEARCH("AIO",B1959))
),
"GANCHO",
"NORMAL"
)
)</f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>ROUND(
IF(L1956="GANCHO",
   IF(I1958&lt;=50,I1958*1.1+4,IF(I1958&lt;=120,I1958*1.1+7,IF(I1958&lt;=250,I1958*1.1+11,I1958*1.1+19))),
IF(L1956="NORMAL",
   IF(I1958&lt;=30,I1958*1.15+2,IF(I1958&lt;=80,I1958*1.15+4,IF(I1958&lt;=150,I1958*1.15+6,I1958*1.15+8))),
IF(L1956="COMPLEMENTO",
   IF(I1958&lt;=25,I1958*1.25+1.5,IF(I1958&lt;=60,I1958*1.25+3,IF(I1958&lt;=120,I1958*1.25+4,I1958*1.25+5))),
""))),2)</f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>IF(
OR(
ISNUMBER(SEARCH("BACKPACK",B1960)),
ISNUMBER(SEARCH("MOCHILA",B1960)),
ISNUMBER(SEARCH("FUNDA",B1960)),
ISNUMBER(SEARCH("ESTUCHE",B1960)),
ISNUMBER(SEARCH("BOOK COVER",B1960)),
ISNUMBER(SEARCH("KEYBOARD PARA TABLET",B1960)),
ISNUMBER(SEARCH("FLIP TABLET",B1960)),
ISNUMBER(SEARCH("CASE FOR TABLET",B1960)),
ISNUMBER(SEARCH("CABLE",B1960)),
ISNUMBER(SEARCH("ADAPTADOR",B1960)),
ISNUMBER(SEARCH("HUB",B1960)),
ISNUMBER(SEARCH("DOCK",B1960)),
ISNUMBER(SEARCH("MOUSE PAD",B1960)),
ISNUMBER(SEARCH("MOUSEPAD",B1960)),
ISNUMBER(SEARCH("SOPORTE",B1960)),
ISNUMBER(SEARCH("STAND",B1960)),
ISNUMBER(SEARCH("TRAVEL ADAPTER",B1960)),
ISNUMBER(SEARCH("RJ45",B1960)),
ISNUMBER(SEARCH("USB-C",B1960)),
ISNUMBER(SEARCH("USB WIFI",B1960)),
ISNUMBER(SEARCH("POWERBANK",B1960)),
ISNUMBER(SEARCH("CARGADOR",B1960)),
ISNUMBER(SEARCH("COOLER PARA NB",B1960)),
ISNUMBER(SEARCH("SOPORTE PARA NB",B1960)),
ISNUMBER(SEARCH("WEBCAM",B1960)),
ISNUMBER(SEARCH("WEB CAM",B1960)),
ISNUMBER(SEARCH("MOUSE",B1960)),
ISNUMBER(SEARCH("TECLADO",B1960))
),
"COMPLEMENTO",
IF(
OR(
LEFT(A1960,2)="NB",
LEFT(A1960,2)="PC",
LEFT(A1960,2)="WS",
LEFT(A1960,2)="TB",
LEFT(A1960,3)="CEL",
LEFT(A1960,3)="MON",
LEFT(A1960,3)="PRE",
LEFT(A1960,3)="PRH",
ISNUMBER(SEARCH("NOTEBOOK",B1960)),
ISNUMBER(SEARCH("LAPTOP",B1960)),
ISNUMBER(SEARCH("MONITOR",B1960)),
ISNUMBER(SEARCH("TABLET",B1960)),
ISNUMBER(SEARCH("SMARTPH",B1960)),
ISNUMBER(SEARCH("IMPRESORA",B1960)),
ISNUMBER(SEARCH("MULTIFUNCIONAL",B1960)),
ISNUMBER(SEARCH("AIO",B1960))
),
"GANCHO",
"NORMAL"
)
)</f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>ROUND(
IF(L1957="GANCHO",
   IF(I1959&lt;=50,I1959*1.1+4,IF(I1959&lt;=120,I1959*1.1+7,IF(I1959&lt;=250,I1959*1.1+11,I1959*1.1+19))),
IF(L1957="NORMAL",
   IF(I1959&lt;=30,I1959*1.15+2,IF(I1959&lt;=80,I1959*1.15+4,IF(I1959&lt;=150,I1959*1.15+6,I1959*1.15+8))),
IF(L1957="COMPLEMENTO",
   IF(I1959&lt;=25,I1959*1.25+1.5,IF(I1959&lt;=60,I1959*1.25+3,IF(I1959&lt;=120,I1959*1.25+4,I1959*1.25+5))),
""))),2)</f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>IF(
OR(
ISNUMBER(SEARCH("BACKPACK",B1961)),
ISNUMBER(SEARCH("MOCHILA",B1961)),
ISNUMBER(SEARCH("FUNDA",B1961)),
ISNUMBER(SEARCH("ESTUCHE",B1961)),
ISNUMBER(SEARCH("BOOK COVER",B1961)),
ISNUMBER(SEARCH("KEYBOARD PARA TABLET",B1961)),
ISNUMBER(SEARCH("FLIP TABLET",B1961)),
ISNUMBER(SEARCH("CASE FOR TABLET",B1961)),
ISNUMBER(SEARCH("CABLE",B1961)),
ISNUMBER(SEARCH("ADAPTADOR",B1961)),
ISNUMBER(SEARCH("HUB",B1961)),
ISNUMBER(SEARCH("DOCK",B1961)),
ISNUMBER(SEARCH("MOUSE PAD",B1961)),
ISNUMBER(SEARCH("MOUSEPAD",B1961)),
ISNUMBER(SEARCH("SOPORTE",B1961)),
ISNUMBER(SEARCH("STAND",B1961)),
ISNUMBER(SEARCH("TRAVEL ADAPTER",B1961)),
ISNUMBER(SEARCH("RJ45",B1961)),
ISNUMBER(SEARCH("USB-C",B1961)),
ISNUMBER(SEARCH("USB WIFI",B1961)),
ISNUMBER(SEARCH("POWERBANK",B1961)),
ISNUMBER(SEARCH("CARGADOR",B1961)),
ISNUMBER(SEARCH("COOLER PARA NB",B1961)),
ISNUMBER(SEARCH("SOPORTE PARA NB",B1961)),
ISNUMBER(SEARCH("WEBCAM",B1961)),
ISNUMBER(SEARCH("WEB CAM",B1961)),
ISNUMBER(SEARCH("MOUSE",B1961)),
ISNUMBER(SEARCH("TECLADO",B1961))
),
"COMPLEMENTO",
IF(
OR(
LEFT(A1961,2)="NB",
LEFT(A1961,2)="PC",
LEFT(A1961,2)="WS",
LEFT(A1961,2)="TB",
LEFT(A1961,3)="CEL",
LEFT(A1961,3)="MON",
LEFT(A1961,3)="PRE",
LEFT(A1961,3)="PRH",
ISNUMBER(SEARCH("NOTEBOOK",B1961)),
ISNUMBER(SEARCH("LAPTOP",B1961)),
ISNUMBER(SEARCH("MONITOR",B1961)),
ISNUMBER(SEARCH("TABLET",B1961)),
ISNUMBER(SEARCH("SMARTPH",B1961)),
ISNUMBER(SEARCH("IMPRESORA",B1961)),
ISNUMBER(SEARCH("MULTIFUNCIONAL",B1961)),
ISNUMBER(SEARCH("AIO",B1961))
),
"GANCHO",
"NORMAL"
)
)</f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>ROUND(
IF(L1958="GANCHO",
   IF(I1960&lt;=50,I1960*1.1+4,IF(I1960&lt;=120,I1960*1.1+7,IF(I1960&lt;=250,I1960*1.1+11,I1960*1.1+19))),
IF(L1958="NORMAL",
   IF(I1960&lt;=30,I1960*1.15+2,IF(I1960&lt;=80,I1960*1.15+4,IF(I1960&lt;=150,I1960*1.15+6,I1960*1.15+8))),
IF(L1958="COMPLEMENTO",
   IF(I1960&lt;=25,I1960*1.25+1.5,IF(I1960&lt;=60,I1960*1.25+3,IF(I1960&lt;=120,I1960*1.25+4,I1960*1.25+5))),
""))),2)</f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>IF(
OR(
ISNUMBER(SEARCH("BACKPACK",B1962)),
ISNUMBER(SEARCH("MOCHILA",B1962)),
ISNUMBER(SEARCH("FUNDA",B1962)),
ISNUMBER(SEARCH("ESTUCHE",B1962)),
ISNUMBER(SEARCH("BOOK COVER",B1962)),
ISNUMBER(SEARCH("KEYBOARD PARA TABLET",B1962)),
ISNUMBER(SEARCH("FLIP TABLET",B1962)),
ISNUMBER(SEARCH("CASE FOR TABLET",B1962)),
ISNUMBER(SEARCH("CABLE",B1962)),
ISNUMBER(SEARCH("ADAPTADOR",B1962)),
ISNUMBER(SEARCH("HUB",B1962)),
ISNUMBER(SEARCH("DOCK",B1962)),
ISNUMBER(SEARCH("MOUSE PAD",B1962)),
ISNUMBER(SEARCH("MOUSEPAD",B1962)),
ISNUMBER(SEARCH("SOPORTE",B1962)),
ISNUMBER(SEARCH("STAND",B1962)),
ISNUMBER(SEARCH("TRAVEL ADAPTER",B1962)),
ISNUMBER(SEARCH("RJ45",B1962)),
ISNUMBER(SEARCH("USB-C",B1962)),
ISNUMBER(SEARCH("USB WIFI",B1962)),
ISNUMBER(SEARCH("POWERBANK",B1962)),
ISNUMBER(SEARCH("CARGADOR",B1962)),
ISNUMBER(SEARCH("COOLER PARA NB",B1962)),
ISNUMBER(SEARCH("SOPORTE PARA NB",B1962)),
ISNUMBER(SEARCH("WEBCAM",B1962)),
ISNUMBER(SEARCH("WEB CAM",B1962)),
ISNUMBER(SEARCH("MOUSE",B1962)),
ISNUMBER(SEARCH("TECLADO",B1962))
),
"COMPLEMENTO",
IF(
OR(
LEFT(A1962,2)="NB",
LEFT(A1962,2)="PC",
LEFT(A1962,2)="WS",
LEFT(A1962,2)="TB",
LEFT(A1962,3)="CEL",
LEFT(A1962,3)="MON",
LEFT(A1962,3)="PRE",
LEFT(A1962,3)="PRH",
ISNUMBER(SEARCH("NOTEBOOK",B1962)),
ISNUMBER(SEARCH("LAPTOP",B1962)),
ISNUMBER(SEARCH("MONITOR",B1962)),
ISNUMBER(SEARCH("TABLET",B1962)),
ISNUMBER(SEARCH("SMARTPH",B1962)),
ISNUMBER(SEARCH("IMPRESORA",B1962)),
ISNUMBER(SEARCH("MULTIFUNCIONAL",B1962)),
ISNUMBER(SEARCH("AIO",B1962))
),
"GANCHO",
"NORMAL"
)
)</f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>ROUND(
IF(L1959="GANCHO",
   IF(I1961&lt;=50,I1961*1.1+4,IF(I1961&lt;=120,I1961*1.1+7,IF(I1961&lt;=250,I1961*1.1+11,I1961*1.1+19))),
IF(L1959="NORMAL",
   IF(I1961&lt;=30,I1961*1.15+2,IF(I1961&lt;=80,I1961*1.15+4,IF(I1961&lt;=150,I1961*1.15+6,I1961*1.15+8))),
IF(L1959="COMPLEMENTO",
   IF(I1961&lt;=25,I1961*1.25+1.5,IF(I1961&lt;=60,I1961*1.25+3,IF(I1961&lt;=120,I1961*1.25+4,I1961*1.25+5))),
""))),2)</f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>IF(
OR(
ISNUMBER(SEARCH("BACKPACK",B1963)),
ISNUMBER(SEARCH("MOCHILA",B1963)),
ISNUMBER(SEARCH("FUNDA",B1963)),
ISNUMBER(SEARCH("ESTUCHE",B1963)),
ISNUMBER(SEARCH("BOOK COVER",B1963)),
ISNUMBER(SEARCH("KEYBOARD PARA TABLET",B1963)),
ISNUMBER(SEARCH("FLIP TABLET",B1963)),
ISNUMBER(SEARCH("CASE FOR TABLET",B1963)),
ISNUMBER(SEARCH("CABLE",B1963)),
ISNUMBER(SEARCH("ADAPTADOR",B1963)),
ISNUMBER(SEARCH("HUB",B1963)),
ISNUMBER(SEARCH("DOCK",B1963)),
ISNUMBER(SEARCH("MOUSE PAD",B1963)),
ISNUMBER(SEARCH("MOUSEPAD",B1963)),
ISNUMBER(SEARCH("SOPORTE",B1963)),
ISNUMBER(SEARCH("STAND",B1963)),
ISNUMBER(SEARCH("TRAVEL ADAPTER",B1963)),
ISNUMBER(SEARCH("RJ45",B1963)),
ISNUMBER(SEARCH("USB-C",B1963)),
ISNUMBER(SEARCH("USB WIFI",B1963)),
ISNUMBER(SEARCH("POWERBANK",B1963)),
ISNUMBER(SEARCH("CARGADOR",B1963)),
ISNUMBER(SEARCH("COOLER PARA NB",B1963)),
ISNUMBER(SEARCH("SOPORTE PARA NB",B1963)),
ISNUMBER(SEARCH("WEBCAM",B1963)),
ISNUMBER(SEARCH("WEB CAM",B1963)),
ISNUMBER(SEARCH("MOUSE",B1963)),
ISNUMBER(SEARCH("TECLADO",B1963))
),
"COMPLEMENTO",
IF(
OR(
LEFT(A1963,2)="NB",
LEFT(A1963,2)="PC",
LEFT(A1963,2)="WS",
LEFT(A1963,2)="TB",
LEFT(A1963,3)="CEL",
LEFT(A1963,3)="MON",
LEFT(A1963,3)="PRE",
LEFT(A1963,3)="PRH",
ISNUMBER(SEARCH("NOTEBOOK",B1963)),
ISNUMBER(SEARCH("LAPTOP",B1963)),
ISNUMBER(SEARCH("MONITOR",B1963)),
ISNUMBER(SEARCH("TABLET",B1963)),
ISNUMBER(SEARCH("SMARTPH",B1963)),
ISNUMBER(SEARCH("IMPRESORA",B1963)),
ISNUMBER(SEARCH("MULTIFUNCIONAL",B1963)),
ISNUMBER(SEARCH("AIO",B1963))
),
"GANCHO",
"NORMAL"
)
)</f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>ROUND(
IF(L1960="GANCHO",
   IF(I1962&lt;=50,I1962*1.1+4,IF(I1962&lt;=120,I1962*1.1+7,IF(I1962&lt;=250,I1962*1.1+11,I1962*1.1+19))),
IF(L1960="NORMAL",
   IF(I1962&lt;=30,I1962*1.15+2,IF(I1962&lt;=80,I1962*1.15+4,IF(I1962&lt;=150,I1962*1.15+6,I1962*1.15+8))),
IF(L1960="COMPLEMENTO",
   IF(I1962&lt;=25,I1962*1.25+1.5,IF(I1962&lt;=60,I1962*1.25+3,IF(I1962&lt;=120,I1962*1.25+4,I1962*1.25+5))),
""))),2)</f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>IF(
OR(
ISNUMBER(SEARCH("BACKPACK",B1964)),
ISNUMBER(SEARCH("MOCHILA",B1964)),
ISNUMBER(SEARCH("FUNDA",B1964)),
ISNUMBER(SEARCH("ESTUCHE",B1964)),
ISNUMBER(SEARCH("BOOK COVER",B1964)),
ISNUMBER(SEARCH("KEYBOARD PARA TABLET",B1964)),
ISNUMBER(SEARCH("FLIP TABLET",B1964)),
ISNUMBER(SEARCH("CASE FOR TABLET",B1964)),
ISNUMBER(SEARCH("CABLE",B1964)),
ISNUMBER(SEARCH("ADAPTADOR",B1964)),
ISNUMBER(SEARCH("HUB",B1964)),
ISNUMBER(SEARCH("DOCK",B1964)),
ISNUMBER(SEARCH("MOUSE PAD",B1964)),
ISNUMBER(SEARCH("MOUSEPAD",B1964)),
ISNUMBER(SEARCH("SOPORTE",B1964)),
ISNUMBER(SEARCH("STAND",B1964)),
ISNUMBER(SEARCH("TRAVEL ADAPTER",B1964)),
ISNUMBER(SEARCH("RJ45",B1964)),
ISNUMBER(SEARCH("USB-C",B1964)),
ISNUMBER(SEARCH("USB WIFI",B1964)),
ISNUMBER(SEARCH("POWERBANK",B1964)),
ISNUMBER(SEARCH("CARGADOR",B1964)),
ISNUMBER(SEARCH("COOLER PARA NB",B1964)),
ISNUMBER(SEARCH("SOPORTE PARA NB",B1964)),
ISNUMBER(SEARCH("WEBCAM",B1964)),
ISNUMBER(SEARCH("WEB CAM",B1964)),
ISNUMBER(SEARCH("MOUSE",B1964)),
ISNUMBER(SEARCH("TECLADO",B1964))
),
"COMPLEMENTO",
IF(
OR(
LEFT(A1964,2)="NB",
LEFT(A1964,2)="PC",
LEFT(A1964,2)="WS",
LEFT(A1964,2)="TB",
LEFT(A1964,3)="CEL",
LEFT(A1964,3)="MON",
LEFT(A1964,3)="PRE",
LEFT(A1964,3)="PRH",
ISNUMBER(SEARCH("NOTEBOOK",B1964)),
ISNUMBER(SEARCH("LAPTOP",B1964)),
ISNUMBER(SEARCH("MONITOR",B1964)),
ISNUMBER(SEARCH("TABLET",B1964)),
ISNUMBER(SEARCH("SMARTPH",B1964)),
ISNUMBER(SEARCH("IMPRESORA",B1964)),
ISNUMBER(SEARCH("MULTIFUNCIONAL",B1964)),
ISNUMBER(SEARCH("AIO",B1964))
),
"GANCHO",
"NORMAL"
)
)</f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>ROUND(
IF(L1961="GANCHO",
   IF(I1963&lt;=50,I1963*1.1+4,IF(I1963&lt;=120,I1963*1.1+7,IF(I1963&lt;=250,I1963*1.1+11,I1963*1.1+19))),
IF(L1961="NORMAL",
   IF(I1963&lt;=30,I1963*1.15+2,IF(I1963&lt;=80,I1963*1.15+4,IF(I1963&lt;=150,I1963*1.15+6,I1963*1.15+8))),
IF(L1961="COMPLEMENTO",
   IF(I1963&lt;=25,I1963*1.25+1.5,IF(I1963&lt;=60,I1963*1.25+3,IF(I1963&lt;=120,I1963*1.25+4,I1963*1.25+5))),
""))),2)</f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>IF(
OR(
ISNUMBER(SEARCH("BACKPACK",B1965)),
ISNUMBER(SEARCH("MOCHILA",B1965)),
ISNUMBER(SEARCH("FUNDA",B1965)),
ISNUMBER(SEARCH("ESTUCHE",B1965)),
ISNUMBER(SEARCH("BOOK COVER",B1965)),
ISNUMBER(SEARCH("KEYBOARD PARA TABLET",B1965)),
ISNUMBER(SEARCH("FLIP TABLET",B1965)),
ISNUMBER(SEARCH("CASE FOR TABLET",B1965)),
ISNUMBER(SEARCH("CABLE",B1965)),
ISNUMBER(SEARCH("ADAPTADOR",B1965)),
ISNUMBER(SEARCH("HUB",B1965)),
ISNUMBER(SEARCH("DOCK",B1965)),
ISNUMBER(SEARCH("MOUSE PAD",B1965)),
ISNUMBER(SEARCH("MOUSEPAD",B1965)),
ISNUMBER(SEARCH("SOPORTE",B1965)),
ISNUMBER(SEARCH("STAND",B1965)),
ISNUMBER(SEARCH("TRAVEL ADAPTER",B1965)),
ISNUMBER(SEARCH("RJ45",B1965)),
ISNUMBER(SEARCH("USB-C",B1965)),
ISNUMBER(SEARCH("USB WIFI",B1965)),
ISNUMBER(SEARCH("POWERBANK",B1965)),
ISNUMBER(SEARCH("CARGADOR",B1965)),
ISNUMBER(SEARCH("COOLER PARA NB",B1965)),
ISNUMBER(SEARCH("SOPORTE PARA NB",B1965)),
ISNUMBER(SEARCH("WEBCAM",B1965)),
ISNUMBER(SEARCH("WEB CAM",B1965)),
ISNUMBER(SEARCH("MOUSE",B1965)),
ISNUMBER(SEARCH("TECLADO",B1965))
),
"COMPLEMENTO",
IF(
OR(
LEFT(A1965,2)="NB",
LEFT(A1965,2)="PC",
LEFT(A1965,2)="WS",
LEFT(A1965,2)="TB",
LEFT(A1965,3)="CEL",
LEFT(A1965,3)="MON",
LEFT(A1965,3)="PRE",
LEFT(A1965,3)="PRH",
ISNUMBER(SEARCH("NOTEBOOK",B1965)),
ISNUMBER(SEARCH("LAPTOP",B1965)),
ISNUMBER(SEARCH("MONITOR",B1965)),
ISNUMBER(SEARCH("TABLET",B1965)),
ISNUMBER(SEARCH("SMARTPH",B1965)),
ISNUMBER(SEARCH("IMPRESORA",B1965)),
ISNUMBER(SEARCH("MULTIFUNCIONAL",B1965)),
ISNUMBER(SEARCH("AIO",B1965))
),
"GANCHO",
"NORMAL"
)
)</f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>ROUND(
IF(L1962="GANCHO",
   IF(I1964&lt;=50,I1964*1.1+4,IF(I1964&lt;=120,I1964*1.1+7,IF(I1964&lt;=250,I1964*1.1+11,I1964*1.1+19))),
IF(L1962="NORMAL",
   IF(I1964&lt;=30,I1964*1.15+2,IF(I1964&lt;=80,I1964*1.15+4,IF(I1964&lt;=150,I1964*1.15+6,I1964*1.15+8))),
IF(L1962="COMPLEMENTO",
   IF(I1964&lt;=25,I1964*1.25+1.5,IF(I1964&lt;=60,I1964*1.25+3,IF(I1964&lt;=120,I1964*1.25+4,I1964*1.25+5))),
""))),2)</f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>IF(
OR(
ISNUMBER(SEARCH("BACKPACK",B1966)),
ISNUMBER(SEARCH("MOCHILA",B1966)),
ISNUMBER(SEARCH("FUNDA",B1966)),
ISNUMBER(SEARCH("ESTUCHE",B1966)),
ISNUMBER(SEARCH("BOOK COVER",B1966)),
ISNUMBER(SEARCH("KEYBOARD PARA TABLET",B1966)),
ISNUMBER(SEARCH("FLIP TABLET",B1966)),
ISNUMBER(SEARCH("CASE FOR TABLET",B1966)),
ISNUMBER(SEARCH("CABLE",B1966)),
ISNUMBER(SEARCH("ADAPTADOR",B1966)),
ISNUMBER(SEARCH("HUB",B1966)),
ISNUMBER(SEARCH("DOCK",B1966)),
ISNUMBER(SEARCH("MOUSE PAD",B1966)),
ISNUMBER(SEARCH("MOUSEPAD",B1966)),
ISNUMBER(SEARCH("SOPORTE",B1966)),
ISNUMBER(SEARCH("STAND",B1966)),
ISNUMBER(SEARCH("TRAVEL ADAPTER",B1966)),
ISNUMBER(SEARCH("RJ45",B1966)),
ISNUMBER(SEARCH("USB-C",B1966)),
ISNUMBER(SEARCH("USB WIFI",B1966)),
ISNUMBER(SEARCH("POWERBANK",B1966)),
ISNUMBER(SEARCH("CARGADOR",B1966)),
ISNUMBER(SEARCH("COOLER PARA NB",B1966)),
ISNUMBER(SEARCH("SOPORTE PARA NB",B1966)),
ISNUMBER(SEARCH("WEBCAM",B1966)),
ISNUMBER(SEARCH("WEB CAM",B1966)),
ISNUMBER(SEARCH("MOUSE",B1966)),
ISNUMBER(SEARCH("TECLADO",B1966))
),
"COMPLEMENTO",
IF(
OR(
LEFT(A1966,2)="NB",
LEFT(A1966,2)="PC",
LEFT(A1966,2)="WS",
LEFT(A1966,2)="TB",
LEFT(A1966,3)="CEL",
LEFT(A1966,3)="MON",
LEFT(A1966,3)="PRE",
LEFT(A1966,3)="PRH",
ISNUMBER(SEARCH("NOTEBOOK",B1966)),
ISNUMBER(SEARCH("LAPTOP",B1966)),
ISNUMBER(SEARCH("MONITOR",B1966)),
ISNUMBER(SEARCH("TABLET",B1966)),
ISNUMBER(SEARCH("SMARTPH",B1966)),
ISNUMBER(SEARCH("IMPRESORA",B1966)),
ISNUMBER(SEARCH("MULTIFUNCIONAL",B1966)),
ISNUMBER(SEARCH("AIO",B1966))
),
"GANCHO",
"NORMAL"
)
)</f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>ROUND(
IF(L1963="GANCHO",
   IF(I1965&lt;=50,I1965*1.1+4,IF(I1965&lt;=120,I1965*1.1+7,IF(I1965&lt;=250,I1965*1.1+11,I1965*1.1+19))),
IF(L1963="NORMAL",
   IF(I1965&lt;=30,I1965*1.15+2,IF(I1965&lt;=80,I1965*1.15+4,IF(I1965&lt;=150,I1965*1.15+6,I1965*1.15+8))),
IF(L1963="COMPLEMENTO",
   IF(I1965&lt;=25,I1965*1.25+1.5,IF(I1965&lt;=60,I1965*1.25+3,IF(I1965&lt;=120,I1965*1.25+4,I1965*1.25+5))),
""))),2)</f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>IF(
OR(
ISNUMBER(SEARCH("BACKPACK",B1967)),
ISNUMBER(SEARCH("MOCHILA",B1967)),
ISNUMBER(SEARCH("FUNDA",B1967)),
ISNUMBER(SEARCH("ESTUCHE",B1967)),
ISNUMBER(SEARCH("BOOK COVER",B1967)),
ISNUMBER(SEARCH("KEYBOARD PARA TABLET",B1967)),
ISNUMBER(SEARCH("FLIP TABLET",B1967)),
ISNUMBER(SEARCH("CASE FOR TABLET",B1967)),
ISNUMBER(SEARCH("CABLE",B1967)),
ISNUMBER(SEARCH("ADAPTADOR",B1967)),
ISNUMBER(SEARCH("HUB",B1967)),
ISNUMBER(SEARCH("DOCK",B1967)),
ISNUMBER(SEARCH("MOUSE PAD",B1967)),
ISNUMBER(SEARCH("MOUSEPAD",B1967)),
ISNUMBER(SEARCH("SOPORTE",B1967)),
ISNUMBER(SEARCH("STAND",B1967)),
ISNUMBER(SEARCH("TRAVEL ADAPTER",B1967)),
ISNUMBER(SEARCH("RJ45",B1967)),
ISNUMBER(SEARCH("USB-C",B1967)),
ISNUMBER(SEARCH("USB WIFI",B1967)),
ISNUMBER(SEARCH("POWERBANK",B1967)),
ISNUMBER(SEARCH("CARGADOR",B1967)),
ISNUMBER(SEARCH("COOLER PARA NB",B1967)),
ISNUMBER(SEARCH("SOPORTE PARA NB",B1967)),
ISNUMBER(SEARCH("WEBCAM",B1967)),
ISNUMBER(SEARCH("WEB CAM",B1967)),
ISNUMBER(SEARCH("MOUSE",B1967)),
ISNUMBER(SEARCH("TECLADO",B1967))
),
"COMPLEMENTO",
IF(
OR(
LEFT(A1967,2)="NB",
LEFT(A1967,2)="PC",
LEFT(A1967,2)="WS",
LEFT(A1967,2)="TB",
LEFT(A1967,3)="CEL",
LEFT(A1967,3)="MON",
LEFT(A1967,3)="PRE",
LEFT(A1967,3)="PRH",
ISNUMBER(SEARCH("NOTEBOOK",B1967)),
ISNUMBER(SEARCH("LAPTOP",B1967)),
ISNUMBER(SEARCH("MONITOR",B1967)),
ISNUMBER(SEARCH("TABLET",B1967)),
ISNUMBER(SEARCH("SMARTPH",B1967)),
ISNUMBER(SEARCH("IMPRESORA",B1967)),
ISNUMBER(SEARCH("MULTIFUNCIONAL",B1967)),
ISNUMBER(SEARCH("AIO",B1967))
),
"GANCHO",
"NORMAL"
)
)</f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>ROUND(
IF(L1964="GANCHO",
   IF(I1966&lt;=50,I1966*1.1+4,IF(I1966&lt;=120,I1966*1.1+7,IF(I1966&lt;=250,I1966*1.1+11,I1966*1.1+19))),
IF(L1964="NORMAL",
   IF(I1966&lt;=30,I1966*1.15+2,IF(I1966&lt;=80,I1966*1.15+4,IF(I1966&lt;=150,I1966*1.15+6,I1966*1.15+8))),
IF(L1964="COMPLEMENTO",
   IF(I1966&lt;=25,I1966*1.25+1.5,IF(I1966&lt;=60,I1966*1.25+3,IF(I1966&lt;=120,I1966*1.25+4,I1966*1.25+5))),
""))),2)</f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>IF(
OR(
ISNUMBER(SEARCH("BACKPACK",B1968)),
ISNUMBER(SEARCH("MOCHILA",B1968)),
ISNUMBER(SEARCH("FUNDA",B1968)),
ISNUMBER(SEARCH("ESTUCHE",B1968)),
ISNUMBER(SEARCH("BOOK COVER",B1968)),
ISNUMBER(SEARCH("KEYBOARD PARA TABLET",B1968)),
ISNUMBER(SEARCH("FLIP TABLET",B1968)),
ISNUMBER(SEARCH("CASE FOR TABLET",B1968)),
ISNUMBER(SEARCH("CABLE",B1968)),
ISNUMBER(SEARCH("ADAPTADOR",B1968)),
ISNUMBER(SEARCH("HUB",B1968)),
ISNUMBER(SEARCH("DOCK",B1968)),
ISNUMBER(SEARCH("MOUSE PAD",B1968)),
ISNUMBER(SEARCH("MOUSEPAD",B1968)),
ISNUMBER(SEARCH("SOPORTE",B1968)),
ISNUMBER(SEARCH("STAND",B1968)),
ISNUMBER(SEARCH("TRAVEL ADAPTER",B1968)),
ISNUMBER(SEARCH("RJ45",B1968)),
ISNUMBER(SEARCH("USB-C",B1968)),
ISNUMBER(SEARCH("USB WIFI",B1968)),
ISNUMBER(SEARCH("POWERBANK",B1968)),
ISNUMBER(SEARCH("CARGADOR",B1968)),
ISNUMBER(SEARCH("COOLER PARA NB",B1968)),
ISNUMBER(SEARCH("SOPORTE PARA NB",B1968)),
ISNUMBER(SEARCH("WEBCAM",B1968)),
ISNUMBER(SEARCH("WEB CAM",B1968)),
ISNUMBER(SEARCH("MOUSE",B1968)),
ISNUMBER(SEARCH("TECLADO",B1968))
),
"COMPLEMENTO",
IF(
OR(
LEFT(A1968,2)="NB",
LEFT(A1968,2)="PC",
LEFT(A1968,2)="WS",
LEFT(A1968,2)="TB",
LEFT(A1968,3)="CEL",
LEFT(A1968,3)="MON",
LEFT(A1968,3)="PRE",
LEFT(A1968,3)="PRH",
ISNUMBER(SEARCH("NOTEBOOK",B1968)),
ISNUMBER(SEARCH("LAPTOP",B1968)),
ISNUMBER(SEARCH("MONITOR",B1968)),
ISNUMBER(SEARCH("TABLET",B1968)),
ISNUMBER(SEARCH("SMARTPH",B1968)),
ISNUMBER(SEARCH("IMPRESORA",B1968)),
ISNUMBER(SEARCH("MULTIFUNCIONAL",B1968)),
ISNUMBER(SEARCH("AIO",B1968))
),
"GANCHO",
"NORMAL"
)
)</f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>ROUND(
IF(L1965="GANCHO",
   IF(I1967&lt;=50,I1967*1.1+4,IF(I1967&lt;=120,I1967*1.1+7,IF(I1967&lt;=250,I1967*1.1+11,I1967*1.1+19))),
IF(L1965="NORMAL",
   IF(I1967&lt;=30,I1967*1.15+2,IF(I1967&lt;=80,I1967*1.15+4,IF(I1967&lt;=150,I1967*1.15+6,I1967*1.15+8))),
IF(L1965="COMPLEMENTO",
   IF(I1967&lt;=25,I1967*1.25+1.5,IF(I1967&lt;=60,I1967*1.25+3,IF(I1967&lt;=120,I1967*1.25+4,I1967*1.25+5))),
""))),2)</f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>IF(
OR(
ISNUMBER(SEARCH("BACKPACK",B1969)),
ISNUMBER(SEARCH("MOCHILA",B1969)),
ISNUMBER(SEARCH("FUNDA",B1969)),
ISNUMBER(SEARCH("ESTUCHE",B1969)),
ISNUMBER(SEARCH("BOOK COVER",B1969)),
ISNUMBER(SEARCH("KEYBOARD PARA TABLET",B1969)),
ISNUMBER(SEARCH("FLIP TABLET",B1969)),
ISNUMBER(SEARCH("CASE FOR TABLET",B1969)),
ISNUMBER(SEARCH("CABLE",B1969)),
ISNUMBER(SEARCH("ADAPTADOR",B1969)),
ISNUMBER(SEARCH("HUB",B1969)),
ISNUMBER(SEARCH("DOCK",B1969)),
ISNUMBER(SEARCH("MOUSE PAD",B1969)),
ISNUMBER(SEARCH("MOUSEPAD",B1969)),
ISNUMBER(SEARCH("SOPORTE",B1969)),
ISNUMBER(SEARCH("STAND",B1969)),
ISNUMBER(SEARCH("TRAVEL ADAPTER",B1969)),
ISNUMBER(SEARCH("RJ45",B1969)),
ISNUMBER(SEARCH("USB-C",B1969)),
ISNUMBER(SEARCH("USB WIFI",B1969)),
ISNUMBER(SEARCH("POWERBANK",B1969)),
ISNUMBER(SEARCH("CARGADOR",B1969)),
ISNUMBER(SEARCH("COOLER PARA NB",B1969)),
ISNUMBER(SEARCH("SOPORTE PARA NB",B1969)),
ISNUMBER(SEARCH("WEBCAM",B1969)),
ISNUMBER(SEARCH("WEB CAM",B1969)),
ISNUMBER(SEARCH("MOUSE",B1969)),
ISNUMBER(SEARCH("TECLADO",B1969))
),
"COMPLEMENTO",
IF(
OR(
LEFT(A1969,2)="NB",
LEFT(A1969,2)="PC",
LEFT(A1969,2)="WS",
LEFT(A1969,2)="TB",
LEFT(A1969,3)="CEL",
LEFT(A1969,3)="MON",
LEFT(A1969,3)="PRE",
LEFT(A1969,3)="PRH",
ISNUMBER(SEARCH("NOTEBOOK",B1969)),
ISNUMBER(SEARCH("LAPTOP",B1969)),
ISNUMBER(SEARCH("MONITOR",B1969)),
ISNUMBER(SEARCH("TABLET",B1969)),
ISNUMBER(SEARCH("SMARTPH",B1969)),
ISNUMBER(SEARCH("IMPRESORA",B1969)),
ISNUMBER(SEARCH("MULTIFUNCIONAL",B1969)),
ISNUMBER(SEARCH("AIO",B1969))
),
"GANCHO",
"NORMAL"
)
)</f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>ROUND(
IF(L1966="GANCHO",
   IF(I1968&lt;=50,I1968*1.1+4,IF(I1968&lt;=120,I1968*1.1+7,IF(I1968&lt;=250,I1968*1.1+11,I1968*1.1+19))),
IF(L1966="NORMAL",
   IF(I1968&lt;=30,I1968*1.15+2,IF(I1968&lt;=80,I1968*1.15+4,IF(I1968&lt;=150,I1968*1.15+6,I1968*1.15+8))),
IF(L1966="COMPLEMENTO",
   IF(I1968&lt;=25,I1968*1.25+1.5,IF(I1968&lt;=60,I1968*1.25+3,IF(I1968&lt;=120,I1968*1.25+4,I1968*1.25+5))),
""))),2)</f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>IF(
OR(
ISNUMBER(SEARCH("BACKPACK",B1970)),
ISNUMBER(SEARCH("MOCHILA",B1970)),
ISNUMBER(SEARCH("FUNDA",B1970)),
ISNUMBER(SEARCH("ESTUCHE",B1970)),
ISNUMBER(SEARCH("BOOK COVER",B1970)),
ISNUMBER(SEARCH("KEYBOARD PARA TABLET",B1970)),
ISNUMBER(SEARCH("FLIP TABLET",B1970)),
ISNUMBER(SEARCH("CASE FOR TABLET",B1970)),
ISNUMBER(SEARCH("CABLE",B1970)),
ISNUMBER(SEARCH("ADAPTADOR",B1970)),
ISNUMBER(SEARCH("HUB",B1970)),
ISNUMBER(SEARCH("DOCK",B1970)),
ISNUMBER(SEARCH("MOUSE PAD",B1970)),
ISNUMBER(SEARCH("MOUSEPAD",B1970)),
ISNUMBER(SEARCH("SOPORTE",B1970)),
ISNUMBER(SEARCH("STAND",B1970)),
ISNUMBER(SEARCH("TRAVEL ADAPTER",B1970)),
ISNUMBER(SEARCH("RJ45",B1970)),
ISNUMBER(SEARCH("USB-C",B1970)),
ISNUMBER(SEARCH("USB WIFI",B1970)),
ISNUMBER(SEARCH("POWERBANK",B1970)),
ISNUMBER(SEARCH("CARGADOR",B1970)),
ISNUMBER(SEARCH("COOLER PARA NB",B1970)),
ISNUMBER(SEARCH("SOPORTE PARA NB",B1970)),
ISNUMBER(SEARCH("WEBCAM",B1970)),
ISNUMBER(SEARCH("WEB CAM",B1970)),
ISNUMBER(SEARCH("MOUSE",B1970)),
ISNUMBER(SEARCH("TECLADO",B1970))
),
"COMPLEMENTO",
IF(
OR(
LEFT(A1970,2)="NB",
LEFT(A1970,2)="PC",
LEFT(A1970,2)="WS",
LEFT(A1970,2)="TB",
LEFT(A1970,3)="CEL",
LEFT(A1970,3)="MON",
LEFT(A1970,3)="PRE",
LEFT(A1970,3)="PRH",
ISNUMBER(SEARCH("NOTEBOOK",B1970)),
ISNUMBER(SEARCH("LAPTOP",B1970)),
ISNUMBER(SEARCH("MONITOR",B1970)),
ISNUMBER(SEARCH("TABLET",B1970)),
ISNUMBER(SEARCH("SMARTPH",B1970)),
ISNUMBER(SEARCH("IMPRESORA",B1970)),
ISNUMBER(SEARCH("MULTIFUNCIONAL",B1970)),
ISNUMBER(SEARCH("AIO",B1970))
),
"GANCHO",
"NORMAL"
)
)</f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>ROUND(
IF(L1967="GANCHO",
   IF(I1969&lt;=50,I1969*1.1+4,IF(I1969&lt;=120,I1969*1.1+7,IF(I1969&lt;=250,I1969*1.1+11,I1969*1.1+19))),
IF(L1967="NORMAL",
   IF(I1969&lt;=30,I1969*1.15+2,IF(I1969&lt;=80,I1969*1.15+4,IF(I1969&lt;=150,I1969*1.15+6,I1969*1.15+8))),
IF(L1967="COMPLEMENTO",
   IF(I1969&lt;=25,I1969*1.25+1.5,IF(I1969&lt;=60,I1969*1.25+3,IF(I1969&lt;=120,I1969*1.25+4,I1969*1.25+5))),
""))),2)</f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>IF(
OR(
ISNUMBER(SEARCH("BACKPACK",B1971)),
ISNUMBER(SEARCH("MOCHILA",B1971)),
ISNUMBER(SEARCH("FUNDA",B1971)),
ISNUMBER(SEARCH("ESTUCHE",B1971)),
ISNUMBER(SEARCH("BOOK COVER",B1971)),
ISNUMBER(SEARCH("KEYBOARD PARA TABLET",B1971)),
ISNUMBER(SEARCH("FLIP TABLET",B1971)),
ISNUMBER(SEARCH("CASE FOR TABLET",B1971)),
ISNUMBER(SEARCH("CABLE",B1971)),
ISNUMBER(SEARCH("ADAPTADOR",B1971)),
ISNUMBER(SEARCH("HUB",B1971)),
ISNUMBER(SEARCH("DOCK",B1971)),
ISNUMBER(SEARCH("MOUSE PAD",B1971)),
ISNUMBER(SEARCH("MOUSEPAD",B1971)),
ISNUMBER(SEARCH("SOPORTE",B1971)),
ISNUMBER(SEARCH("STAND",B1971)),
ISNUMBER(SEARCH("TRAVEL ADAPTER",B1971)),
ISNUMBER(SEARCH("RJ45",B1971)),
ISNUMBER(SEARCH("USB-C",B1971)),
ISNUMBER(SEARCH("USB WIFI",B1971)),
ISNUMBER(SEARCH("POWERBANK",B1971)),
ISNUMBER(SEARCH("CARGADOR",B1971)),
ISNUMBER(SEARCH("COOLER PARA NB",B1971)),
ISNUMBER(SEARCH("SOPORTE PARA NB",B1971)),
ISNUMBER(SEARCH("WEBCAM",B1971)),
ISNUMBER(SEARCH("WEB CAM",B1971)),
ISNUMBER(SEARCH("MOUSE",B1971)),
ISNUMBER(SEARCH("TECLADO",B1971))
),
"COMPLEMENTO",
IF(
OR(
LEFT(A1971,2)="NB",
LEFT(A1971,2)="PC",
LEFT(A1971,2)="WS",
LEFT(A1971,2)="TB",
LEFT(A1971,3)="CEL",
LEFT(A1971,3)="MON",
LEFT(A1971,3)="PRE",
LEFT(A1971,3)="PRH",
ISNUMBER(SEARCH("NOTEBOOK",B1971)),
ISNUMBER(SEARCH("LAPTOP",B1971)),
ISNUMBER(SEARCH("MONITOR",B1971)),
ISNUMBER(SEARCH("TABLET",B1971)),
ISNUMBER(SEARCH("SMARTPH",B1971)),
ISNUMBER(SEARCH("IMPRESORA",B1971)),
ISNUMBER(SEARCH("MULTIFUNCIONAL",B1971)),
ISNUMBER(SEARCH("AIO",B1971))
),
"GANCHO",
"NORMAL"
)
)</f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>ROUND(
IF(L1968="GANCHO",
   IF(I1970&lt;=50,I1970*1.1+4,IF(I1970&lt;=120,I1970*1.1+7,IF(I1970&lt;=250,I1970*1.1+11,I1970*1.1+19))),
IF(L1968="NORMAL",
   IF(I1970&lt;=30,I1970*1.15+2,IF(I1970&lt;=80,I1970*1.15+4,IF(I1970&lt;=150,I1970*1.15+6,I1970*1.15+8))),
IF(L1968="COMPLEMENTO",
   IF(I1970&lt;=25,I1970*1.25+1.5,IF(I1970&lt;=60,I1970*1.25+3,IF(I1970&lt;=120,I1970*1.25+4,I1970*1.25+5))),
""))),2)</f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>IF(
OR(
ISNUMBER(SEARCH("BACKPACK",B1972)),
ISNUMBER(SEARCH("MOCHILA",B1972)),
ISNUMBER(SEARCH("FUNDA",B1972)),
ISNUMBER(SEARCH("ESTUCHE",B1972)),
ISNUMBER(SEARCH("BOOK COVER",B1972)),
ISNUMBER(SEARCH("KEYBOARD PARA TABLET",B1972)),
ISNUMBER(SEARCH("FLIP TABLET",B1972)),
ISNUMBER(SEARCH("CASE FOR TABLET",B1972)),
ISNUMBER(SEARCH("CABLE",B1972)),
ISNUMBER(SEARCH("ADAPTADOR",B1972)),
ISNUMBER(SEARCH("HUB",B1972)),
ISNUMBER(SEARCH("DOCK",B1972)),
ISNUMBER(SEARCH("MOUSE PAD",B1972)),
ISNUMBER(SEARCH("MOUSEPAD",B1972)),
ISNUMBER(SEARCH("SOPORTE",B1972)),
ISNUMBER(SEARCH("STAND",B1972)),
ISNUMBER(SEARCH("TRAVEL ADAPTER",B1972)),
ISNUMBER(SEARCH("RJ45",B1972)),
ISNUMBER(SEARCH("USB-C",B1972)),
ISNUMBER(SEARCH("USB WIFI",B1972)),
ISNUMBER(SEARCH("POWERBANK",B1972)),
ISNUMBER(SEARCH("CARGADOR",B1972)),
ISNUMBER(SEARCH("COOLER PARA NB",B1972)),
ISNUMBER(SEARCH("SOPORTE PARA NB",B1972)),
ISNUMBER(SEARCH("WEBCAM",B1972)),
ISNUMBER(SEARCH("WEB CAM",B1972)),
ISNUMBER(SEARCH("MOUSE",B1972)),
ISNUMBER(SEARCH("TECLADO",B1972))
),
"COMPLEMENTO",
IF(
OR(
LEFT(A1972,2)="NB",
LEFT(A1972,2)="PC",
LEFT(A1972,2)="WS",
LEFT(A1972,2)="TB",
LEFT(A1972,3)="CEL",
LEFT(A1972,3)="MON",
LEFT(A1972,3)="PRE",
LEFT(A1972,3)="PRH",
ISNUMBER(SEARCH("NOTEBOOK",B1972)),
ISNUMBER(SEARCH("LAPTOP",B1972)),
ISNUMBER(SEARCH("MONITOR",B1972)),
ISNUMBER(SEARCH("TABLET",B1972)),
ISNUMBER(SEARCH("SMARTPH",B1972)),
ISNUMBER(SEARCH("IMPRESORA",B1972)),
ISNUMBER(SEARCH("MULTIFUNCIONAL",B1972)),
ISNUMBER(SEARCH("AIO",B1972))
),
"GANCHO",
"NORMAL"
)
)</f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>ROUND(
IF(L1969="GANCHO",
   IF(I1971&lt;=50,I1971*1.1+4,IF(I1971&lt;=120,I1971*1.1+7,IF(I1971&lt;=250,I1971*1.1+11,I1971*1.1+19))),
IF(L1969="NORMAL",
   IF(I1971&lt;=30,I1971*1.15+2,IF(I1971&lt;=80,I1971*1.15+4,IF(I1971&lt;=150,I1971*1.15+6,I1971*1.15+8))),
IF(L1969="COMPLEMENTO",
   IF(I1971&lt;=25,I1971*1.25+1.5,IF(I1971&lt;=60,I1971*1.25+3,IF(I1971&lt;=120,I1971*1.25+4,I1971*1.25+5))),
""))),2)</f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>IF(
OR(
ISNUMBER(SEARCH("BACKPACK",B1973)),
ISNUMBER(SEARCH("MOCHILA",B1973)),
ISNUMBER(SEARCH("FUNDA",B1973)),
ISNUMBER(SEARCH("ESTUCHE",B1973)),
ISNUMBER(SEARCH("BOOK COVER",B1973)),
ISNUMBER(SEARCH("KEYBOARD PARA TABLET",B1973)),
ISNUMBER(SEARCH("FLIP TABLET",B1973)),
ISNUMBER(SEARCH("CASE FOR TABLET",B1973)),
ISNUMBER(SEARCH("CABLE",B1973)),
ISNUMBER(SEARCH("ADAPTADOR",B1973)),
ISNUMBER(SEARCH("HUB",B1973)),
ISNUMBER(SEARCH("DOCK",B1973)),
ISNUMBER(SEARCH("MOUSE PAD",B1973)),
ISNUMBER(SEARCH("MOUSEPAD",B1973)),
ISNUMBER(SEARCH("SOPORTE",B1973)),
ISNUMBER(SEARCH("STAND",B1973)),
ISNUMBER(SEARCH("TRAVEL ADAPTER",B1973)),
ISNUMBER(SEARCH("RJ45",B1973)),
ISNUMBER(SEARCH("USB-C",B1973)),
ISNUMBER(SEARCH("USB WIFI",B1973)),
ISNUMBER(SEARCH("POWERBANK",B1973)),
ISNUMBER(SEARCH("CARGADOR",B1973)),
ISNUMBER(SEARCH("COOLER PARA NB",B1973)),
ISNUMBER(SEARCH("SOPORTE PARA NB",B1973)),
ISNUMBER(SEARCH("WEBCAM",B1973)),
ISNUMBER(SEARCH("WEB CAM",B1973)),
ISNUMBER(SEARCH("MOUSE",B1973)),
ISNUMBER(SEARCH("TECLADO",B1973))
),
"COMPLEMENTO",
IF(
OR(
LEFT(A1973,2)="NB",
LEFT(A1973,2)="PC",
LEFT(A1973,2)="WS",
LEFT(A1973,2)="TB",
LEFT(A1973,3)="CEL",
LEFT(A1973,3)="MON",
LEFT(A1973,3)="PRE",
LEFT(A1973,3)="PRH",
ISNUMBER(SEARCH("NOTEBOOK",B1973)),
ISNUMBER(SEARCH("LAPTOP",B1973)),
ISNUMBER(SEARCH("MONITOR",B1973)),
ISNUMBER(SEARCH("TABLET",B1973)),
ISNUMBER(SEARCH("SMARTPH",B1973)),
ISNUMBER(SEARCH("IMPRESORA",B1973)),
ISNUMBER(SEARCH("MULTIFUNCIONAL",B1973)),
ISNUMBER(SEARCH("AIO",B1973))
),
"GANCHO",
"NORMAL"
)
)</f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>ROUND(
IF(L1970="GANCHO",
   IF(I1972&lt;=50,I1972*1.1+4,IF(I1972&lt;=120,I1972*1.1+7,IF(I1972&lt;=250,I1972*1.1+11,I1972*1.1+19))),
IF(L1970="NORMAL",
   IF(I1972&lt;=30,I1972*1.15+2,IF(I1972&lt;=80,I1972*1.15+4,IF(I1972&lt;=150,I1972*1.15+6,I1972*1.15+8))),
IF(L1970="COMPLEMENTO",
   IF(I1972&lt;=25,I1972*1.25+1.5,IF(I1972&lt;=60,I1972*1.25+3,IF(I1972&lt;=120,I1972*1.25+4,I1972*1.25+5))),
""))),2)</f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>IF(
OR(
ISNUMBER(SEARCH("BACKPACK",B1974)),
ISNUMBER(SEARCH("MOCHILA",B1974)),
ISNUMBER(SEARCH("FUNDA",B1974)),
ISNUMBER(SEARCH("ESTUCHE",B1974)),
ISNUMBER(SEARCH("BOOK COVER",B1974)),
ISNUMBER(SEARCH("KEYBOARD PARA TABLET",B1974)),
ISNUMBER(SEARCH("FLIP TABLET",B1974)),
ISNUMBER(SEARCH("CASE FOR TABLET",B1974)),
ISNUMBER(SEARCH("CABLE",B1974)),
ISNUMBER(SEARCH("ADAPTADOR",B1974)),
ISNUMBER(SEARCH("HUB",B1974)),
ISNUMBER(SEARCH("DOCK",B1974)),
ISNUMBER(SEARCH("MOUSE PAD",B1974)),
ISNUMBER(SEARCH("MOUSEPAD",B1974)),
ISNUMBER(SEARCH("SOPORTE",B1974)),
ISNUMBER(SEARCH("STAND",B1974)),
ISNUMBER(SEARCH("TRAVEL ADAPTER",B1974)),
ISNUMBER(SEARCH("RJ45",B1974)),
ISNUMBER(SEARCH("USB-C",B1974)),
ISNUMBER(SEARCH("USB WIFI",B1974)),
ISNUMBER(SEARCH("POWERBANK",B1974)),
ISNUMBER(SEARCH("CARGADOR",B1974)),
ISNUMBER(SEARCH("COOLER PARA NB",B1974)),
ISNUMBER(SEARCH("SOPORTE PARA NB",B1974)),
ISNUMBER(SEARCH("WEBCAM",B1974)),
ISNUMBER(SEARCH("WEB CAM",B1974)),
ISNUMBER(SEARCH("MOUSE",B1974)),
ISNUMBER(SEARCH("TECLADO",B1974))
),
"COMPLEMENTO",
IF(
OR(
LEFT(A1974,2)="NB",
LEFT(A1974,2)="PC",
LEFT(A1974,2)="WS",
LEFT(A1974,2)="TB",
LEFT(A1974,3)="CEL",
LEFT(A1974,3)="MON",
LEFT(A1974,3)="PRE",
LEFT(A1974,3)="PRH",
ISNUMBER(SEARCH("NOTEBOOK",B1974)),
ISNUMBER(SEARCH("LAPTOP",B1974)),
ISNUMBER(SEARCH("MONITOR",B1974)),
ISNUMBER(SEARCH("TABLET",B1974)),
ISNUMBER(SEARCH("SMARTPH",B1974)),
ISNUMBER(SEARCH("IMPRESORA",B1974)),
ISNUMBER(SEARCH("MULTIFUNCIONAL",B1974)),
ISNUMBER(SEARCH("AIO",B1974))
),
"GANCHO",
"NORMAL"
)
)</f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>ROUND(
IF(L1971="GANCHO",
   IF(I1973&lt;=50,I1973*1.1+4,IF(I1973&lt;=120,I1973*1.1+7,IF(I1973&lt;=250,I1973*1.1+11,I1973*1.1+19))),
IF(L1971="NORMAL",
   IF(I1973&lt;=30,I1973*1.15+2,IF(I1973&lt;=80,I1973*1.15+4,IF(I1973&lt;=150,I1973*1.15+6,I1973*1.15+8))),
IF(L1971="COMPLEMENTO",
   IF(I1973&lt;=25,I1973*1.25+1.5,IF(I1973&lt;=60,I1973*1.25+3,IF(I1973&lt;=120,I1973*1.25+4,I1973*1.25+5))),
""))),2)</f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>IF(
OR(
ISNUMBER(SEARCH("BACKPACK",B1975)),
ISNUMBER(SEARCH("MOCHILA",B1975)),
ISNUMBER(SEARCH("FUNDA",B1975)),
ISNUMBER(SEARCH("ESTUCHE",B1975)),
ISNUMBER(SEARCH("BOOK COVER",B1975)),
ISNUMBER(SEARCH("KEYBOARD PARA TABLET",B1975)),
ISNUMBER(SEARCH("FLIP TABLET",B1975)),
ISNUMBER(SEARCH("CASE FOR TABLET",B1975)),
ISNUMBER(SEARCH("CABLE",B1975)),
ISNUMBER(SEARCH("ADAPTADOR",B1975)),
ISNUMBER(SEARCH("HUB",B1975)),
ISNUMBER(SEARCH("DOCK",B1975)),
ISNUMBER(SEARCH("MOUSE PAD",B1975)),
ISNUMBER(SEARCH("MOUSEPAD",B1975)),
ISNUMBER(SEARCH("SOPORTE",B1975)),
ISNUMBER(SEARCH("STAND",B1975)),
ISNUMBER(SEARCH("TRAVEL ADAPTER",B1975)),
ISNUMBER(SEARCH("RJ45",B1975)),
ISNUMBER(SEARCH("USB-C",B1975)),
ISNUMBER(SEARCH("USB WIFI",B1975)),
ISNUMBER(SEARCH("POWERBANK",B1975)),
ISNUMBER(SEARCH("CARGADOR",B1975)),
ISNUMBER(SEARCH("COOLER PARA NB",B1975)),
ISNUMBER(SEARCH("SOPORTE PARA NB",B1975)),
ISNUMBER(SEARCH("WEBCAM",B1975)),
ISNUMBER(SEARCH("WEB CAM",B1975)),
ISNUMBER(SEARCH("MOUSE",B1975)),
ISNUMBER(SEARCH("TECLADO",B1975))
),
"COMPLEMENTO",
IF(
OR(
LEFT(A1975,2)="NB",
LEFT(A1975,2)="PC",
LEFT(A1975,2)="WS",
LEFT(A1975,2)="TB",
LEFT(A1975,3)="CEL",
LEFT(A1975,3)="MON",
LEFT(A1975,3)="PRE",
LEFT(A1975,3)="PRH",
ISNUMBER(SEARCH("NOTEBOOK",B1975)),
ISNUMBER(SEARCH("LAPTOP",B1975)),
ISNUMBER(SEARCH("MONITOR",B1975)),
ISNUMBER(SEARCH("TABLET",B1975)),
ISNUMBER(SEARCH("SMARTPH",B1975)),
ISNUMBER(SEARCH("IMPRESORA",B1975)),
ISNUMBER(SEARCH("MULTIFUNCIONAL",B1975)),
ISNUMBER(SEARCH("AIO",B1975))
),
"GANCHO",
"NORMAL"
)
)</f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>ROUND(
IF(L1972="GANCHO",
   IF(I1974&lt;=50,I1974*1.1+4,IF(I1974&lt;=120,I1974*1.1+7,IF(I1974&lt;=250,I1974*1.1+11,I1974*1.1+19))),
IF(L1972="NORMAL",
   IF(I1974&lt;=30,I1974*1.15+2,IF(I1974&lt;=80,I1974*1.15+4,IF(I1974&lt;=150,I1974*1.15+6,I1974*1.15+8))),
IF(L1972="COMPLEMENTO",
   IF(I1974&lt;=25,I1974*1.25+1.5,IF(I1974&lt;=60,I1974*1.25+3,IF(I1974&lt;=120,I1974*1.25+4,I1974*1.25+5))),
""))),2)</f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>IF(
OR(
ISNUMBER(SEARCH("BACKPACK",B1976)),
ISNUMBER(SEARCH("MOCHILA",B1976)),
ISNUMBER(SEARCH("FUNDA",B1976)),
ISNUMBER(SEARCH("ESTUCHE",B1976)),
ISNUMBER(SEARCH("BOOK COVER",B1976)),
ISNUMBER(SEARCH("KEYBOARD PARA TABLET",B1976)),
ISNUMBER(SEARCH("FLIP TABLET",B1976)),
ISNUMBER(SEARCH("CASE FOR TABLET",B1976)),
ISNUMBER(SEARCH("CABLE",B1976)),
ISNUMBER(SEARCH("ADAPTADOR",B1976)),
ISNUMBER(SEARCH("HUB",B1976)),
ISNUMBER(SEARCH("DOCK",B1976)),
ISNUMBER(SEARCH("MOUSE PAD",B1976)),
ISNUMBER(SEARCH("MOUSEPAD",B1976)),
ISNUMBER(SEARCH("SOPORTE",B1976)),
ISNUMBER(SEARCH("STAND",B1976)),
ISNUMBER(SEARCH("TRAVEL ADAPTER",B1976)),
ISNUMBER(SEARCH("RJ45",B1976)),
ISNUMBER(SEARCH("USB-C",B1976)),
ISNUMBER(SEARCH("USB WIFI",B1976)),
ISNUMBER(SEARCH("POWERBANK",B1976)),
ISNUMBER(SEARCH("CARGADOR",B1976)),
ISNUMBER(SEARCH("COOLER PARA NB",B1976)),
ISNUMBER(SEARCH("SOPORTE PARA NB",B1976)),
ISNUMBER(SEARCH("WEBCAM",B1976)),
ISNUMBER(SEARCH("WEB CAM",B1976)),
ISNUMBER(SEARCH("MOUSE",B1976)),
ISNUMBER(SEARCH("TECLADO",B1976))
),
"COMPLEMENTO",
IF(
OR(
LEFT(A1976,2)="NB",
LEFT(A1976,2)="PC",
LEFT(A1976,2)="WS",
LEFT(A1976,2)="TB",
LEFT(A1976,3)="CEL",
LEFT(A1976,3)="MON",
LEFT(A1976,3)="PRE",
LEFT(A1976,3)="PRH",
ISNUMBER(SEARCH("NOTEBOOK",B1976)),
ISNUMBER(SEARCH("LAPTOP",B1976)),
ISNUMBER(SEARCH("MONITOR",B1976)),
ISNUMBER(SEARCH("TABLET",B1976)),
ISNUMBER(SEARCH("SMARTPH",B1976)),
ISNUMBER(SEARCH("IMPRESORA",B1976)),
ISNUMBER(SEARCH("MULTIFUNCIONAL",B1976)),
ISNUMBER(SEARCH("AIO",B1976))
),
"GANCHO",
"NORMAL"
)
)</f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>ROUND(
IF(L1973="GANCHO",
   IF(I1975&lt;=50,I1975*1.1+4,IF(I1975&lt;=120,I1975*1.1+7,IF(I1975&lt;=250,I1975*1.1+11,I1975*1.1+19))),
IF(L1973="NORMAL",
   IF(I1975&lt;=30,I1975*1.15+2,IF(I1975&lt;=80,I1975*1.15+4,IF(I1975&lt;=150,I1975*1.15+6,I1975*1.15+8))),
IF(L1973="COMPLEMENTO",
   IF(I1975&lt;=25,I1975*1.25+1.5,IF(I1975&lt;=60,I1975*1.25+3,IF(I1975&lt;=120,I1975*1.25+4,I1975*1.25+5))),
""))),2)</f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>IF(
OR(
ISNUMBER(SEARCH("BACKPACK",B1977)),
ISNUMBER(SEARCH("MOCHILA",B1977)),
ISNUMBER(SEARCH("FUNDA",B1977)),
ISNUMBER(SEARCH("ESTUCHE",B1977)),
ISNUMBER(SEARCH("BOOK COVER",B1977)),
ISNUMBER(SEARCH("KEYBOARD PARA TABLET",B1977)),
ISNUMBER(SEARCH("FLIP TABLET",B1977)),
ISNUMBER(SEARCH("CASE FOR TABLET",B1977)),
ISNUMBER(SEARCH("CABLE",B1977)),
ISNUMBER(SEARCH("ADAPTADOR",B1977)),
ISNUMBER(SEARCH("HUB",B1977)),
ISNUMBER(SEARCH("DOCK",B1977)),
ISNUMBER(SEARCH("MOUSE PAD",B1977)),
ISNUMBER(SEARCH("MOUSEPAD",B1977)),
ISNUMBER(SEARCH("SOPORTE",B1977)),
ISNUMBER(SEARCH("STAND",B1977)),
ISNUMBER(SEARCH("TRAVEL ADAPTER",B1977)),
ISNUMBER(SEARCH("RJ45",B1977)),
ISNUMBER(SEARCH("USB-C",B1977)),
ISNUMBER(SEARCH("USB WIFI",B1977)),
ISNUMBER(SEARCH("POWERBANK",B1977)),
ISNUMBER(SEARCH("CARGADOR",B1977)),
ISNUMBER(SEARCH("COOLER PARA NB",B1977)),
ISNUMBER(SEARCH("SOPORTE PARA NB",B1977)),
ISNUMBER(SEARCH("WEBCAM",B1977)),
ISNUMBER(SEARCH("WEB CAM",B1977)),
ISNUMBER(SEARCH("MOUSE",B1977)),
ISNUMBER(SEARCH("TECLADO",B1977))
),
"COMPLEMENTO",
IF(
OR(
LEFT(A1977,2)="NB",
LEFT(A1977,2)="PC",
LEFT(A1977,2)="WS",
LEFT(A1977,2)="TB",
LEFT(A1977,3)="CEL",
LEFT(A1977,3)="MON",
LEFT(A1977,3)="PRE",
LEFT(A1977,3)="PRH",
ISNUMBER(SEARCH("NOTEBOOK",B1977)),
ISNUMBER(SEARCH("LAPTOP",B1977)),
ISNUMBER(SEARCH("MONITOR",B1977)),
ISNUMBER(SEARCH("TABLET",B1977)),
ISNUMBER(SEARCH("SMARTPH",B1977)),
ISNUMBER(SEARCH("IMPRESORA",B1977)),
ISNUMBER(SEARCH("MULTIFUNCIONAL",B1977)),
ISNUMBER(SEARCH("AIO",B1977))
),
"GANCHO",
"NORMAL"
)
)</f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>ROUND(
IF(L1974="GANCHO",
   IF(I1976&lt;=50,I1976*1.1+4,IF(I1976&lt;=120,I1976*1.1+7,IF(I1976&lt;=250,I1976*1.1+11,I1976*1.1+19))),
IF(L1974="NORMAL",
   IF(I1976&lt;=30,I1976*1.15+2,IF(I1976&lt;=80,I1976*1.15+4,IF(I1976&lt;=150,I1976*1.15+6,I1976*1.15+8))),
IF(L1974="COMPLEMENTO",
   IF(I1976&lt;=25,I1976*1.25+1.5,IF(I1976&lt;=60,I1976*1.25+3,IF(I1976&lt;=120,I1976*1.25+4,I1976*1.25+5))),
""))),2)</f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>IF(
OR(
ISNUMBER(SEARCH("BACKPACK",B1978)),
ISNUMBER(SEARCH("MOCHILA",B1978)),
ISNUMBER(SEARCH("FUNDA",B1978)),
ISNUMBER(SEARCH("ESTUCHE",B1978)),
ISNUMBER(SEARCH("BOOK COVER",B1978)),
ISNUMBER(SEARCH("KEYBOARD PARA TABLET",B1978)),
ISNUMBER(SEARCH("FLIP TABLET",B1978)),
ISNUMBER(SEARCH("CASE FOR TABLET",B1978)),
ISNUMBER(SEARCH("CABLE",B1978)),
ISNUMBER(SEARCH("ADAPTADOR",B1978)),
ISNUMBER(SEARCH("HUB",B1978)),
ISNUMBER(SEARCH("DOCK",B1978)),
ISNUMBER(SEARCH("MOUSE PAD",B1978)),
ISNUMBER(SEARCH("MOUSEPAD",B1978)),
ISNUMBER(SEARCH("SOPORTE",B1978)),
ISNUMBER(SEARCH("STAND",B1978)),
ISNUMBER(SEARCH("TRAVEL ADAPTER",B1978)),
ISNUMBER(SEARCH("RJ45",B1978)),
ISNUMBER(SEARCH("USB-C",B1978)),
ISNUMBER(SEARCH("USB WIFI",B1978)),
ISNUMBER(SEARCH("POWERBANK",B1978)),
ISNUMBER(SEARCH("CARGADOR",B1978)),
ISNUMBER(SEARCH("COOLER PARA NB",B1978)),
ISNUMBER(SEARCH("SOPORTE PARA NB",B1978)),
ISNUMBER(SEARCH("WEBCAM",B1978)),
ISNUMBER(SEARCH("WEB CAM",B1978)),
ISNUMBER(SEARCH("MOUSE",B1978)),
ISNUMBER(SEARCH("TECLADO",B1978))
),
"COMPLEMENTO",
IF(
OR(
LEFT(A1978,2)="NB",
LEFT(A1978,2)="PC",
LEFT(A1978,2)="WS",
LEFT(A1978,2)="TB",
LEFT(A1978,3)="CEL",
LEFT(A1978,3)="MON",
LEFT(A1978,3)="PRE",
LEFT(A1978,3)="PRH",
ISNUMBER(SEARCH("NOTEBOOK",B1978)),
ISNUMBER(SEARCH("LAPTOP",B1978)),
ISNUMBER(SEARCH("MONITOR",B1978)),
ISNUMBER(SEARCH("TABLET",B1978)),
ISNUMBER(SEARCH("SMARTPH",B1978)),
ISNUMBER(SEARCH("IMPRESORA",B1978)),
ISNUMBER(SEARCH("MULTIFUNCIONAL",B1978)),
ISNUMBER(SEARCH("AIO",B1978))
),
"GANCHO",
"NORMAL"
)
)</f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>ROUND(
IF(L1975="GANCHO",
   IF(I1977&lt;=50,I1977*1.1+4,IF(I1977&lt;=120,I1977*1.1+7,IF(I1977&lt;=250,I1977*1.1+11,I1977*1.1+19))),
IF(L1975="NORMAL",
   IF(I1977&lt;=30,I1977*1.15+2,IF(I1977&lt;=80,I1977*1.15+4,IF(I1977&lt;=150,I1977*1.15+6,I1977*1.15+8))),
IF(L1975="COMPLEMENTO",
   IF(I1977&lt;=25,I1977*1.25+1.5,IF(I1977&lt;=60,I1977*1.25+3,IF(I1977&lt;=120,I1977*1.25+4,I1977*1.25+5))),
""))),2)</f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>IF(
OR(
ISNUMBER(SEARCH("BACKPACK",B1979)),
ISNUMBER(SEARCH("MOCHILA",B1979)),
ISNUMBER(SEARCH("FUNDA",B1979)),
ISNUMBER(SEARCH("ESTUCHE",B1979)),
ISNUMBER(SEARCH("BOOK COVER",B1979)),
ISNUMBER(SEARCH("KEYBOARD PARA TABLET",B1979)),
ISNUMBER(SEARCH("FLIP TABLET",B1979)),
ISNUMBER(SEARCH("CASE FOR TABLET",B1979)),
ISNUMBER(SEARCH("CABLE",B1979)),
ISNUMBER(SEARCH("ADAPTADOR",B1979)),
ISNUMBER(SEARCH("HUB",B1979)),
ISNUMBER(SEARCH("DOCK",B1979)),
ISNUMBER(SEARCH("MOUSE PAD",B1979)),
ISNUMBER(SEARCH("MOUSEPAD",B1979)),
ISNUMBER(SEARCH("SOPORTE",B1979)),
ISNUMBER(SEARCH("STAND",B1979)),
ISNUMBER(SEARCH("TRAVEL ADAPTER",B1979)),
ISNUMBER(SEARCH("RJ45",B1979)),
ISNUMBER(SEARCH("USB-C",B1979)),
ISNUMBER(SEARCH("USB WIFI",B1979)),
ISNUMBER(SEARCH("POWERBANK",B1979)),
ISNUMBER(SEARCH("CARGADOR",B1979)),
ISNUMBER(SEARCH("COOLER PARA NB",B1979)),
ISNUMBER(SEARCH("SOPORTE PARA NB",B1979)),
ISNUMBER(SEARCH("WEBCAM",B1979)),
ISNUMBER(SEARCH("WEB CAM",B1979)),
ISNUMBER(SEARCH("MOUSE",B1979)),
ISNUMBER(SEARCH("TECLADO",B1979))
),
"COMPLEMENTO",
IF(
OR(
LEFT(A1979,2)="NB",
LEFT(A1979,2)="PC",
LEFT(A1979,2)="WS",
LEFT(A1979,2)="TB",
LEFT(A1979,3)="CEL",
LEFT(A1979,3)="MON",
LEFT(A1979,3)="PRE",
LEFT(A1979,3)="PRH",
ISNUMBER(SEARCH("NOTEBOOK",B1979)),
ISNUMBER(SEARCH("LAPTOP",B1979)),
ISNUMBER(SEARCH("MONITOR",B1979)),
ISNUMBER(SEARCH("TABLET",B1979)),
ISNUMBER(SEARCH("SMARTPH",B1979)),
ISNUMBER(SEARCH("IMPRESORA",B1979)),
ISNUMBER(SEARCH("MULTIFUNCIONAL",B1979)),
ISNUMBER(SEARCH("AIO",B1979))
),
"GANCHO",
"NORMAL"
)
)</f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>ROUND(
IF(L1976="GANCHO",
   IF(I1978&lt;=50,I1978*1.1+4,IF(I1978&lt;=120,I1978*1.1+7,IF(I1978&lt;=250,I1978*1.1+11,I1978*1.1+19))),
IF(L1976="NORMAL",
   IF(I1978&lt;=30,I1978*1.15+2,IF(I1978&lt;=80,I1978*1.15+4,IF(I1978&lt;=150,I1978*1.15+6,I1978*1.15+8))),
IF(L1976="COMPLEMENTO",
   IF(I1978&lt;=25,I1978*1.25+1.5,IF(I1978&lt;=60,I1978*1.25+3,IF(I1978&lt;=120,I1978*1.25+4,I1978*1.25+5))),
""))),2)</f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>IF(
OR(
ISNUMBER(SEARCH("BACKPACK",B1980)),
ISNUMBER(SEARCH("MOCHILA",B1980)),
ISNUMBER(SEARCH("FUNDA",B1980)),
ISNUMBER(SEARCH("ESTUCHE",B1980)),
ISNUMBER(SEARCH("BOOK COVER",B1980)),
ISNUMBER(SEARCH("KEYBOARD PARA TABLET",B1980)),
ISNUMBER(SEARCH("FLIP TABLET",B1980)),
ISNUMBER(SEARCH("CASE FOR TABLET",B1980)),
ISNUMBER(SEARCH("CABLE",B1980)),
ISNUMBER(SEARCH("ADAPTADOR",B1980)),
ISNUMBER(SEARCH("HUB",B1980)),
ISNUMBER(SEARCH("DOCK",B1980)),
ISNUMBER(SEARCH("MOUSE PAD",B1980)),
ISNUMBER(SEARCH("MOUSEPAD",B1980)),
ISNUMBER(SEARCH("SOPORTE",B1980)),
ISNUMBER(SEARCH("STAND",B1980)),
ISNUMBER(SEARCH("TRAVEL ADAPTER",B1980)),
ISNUMBER(SEARCH("RJ45",B1980)),
ISNUMBER(SEARCH("USB-C",B1980)),
ISNUMBER(SEARCH("USB WIFI",B1980)),
ISNUMBER(SEARCH("POWERBANK",B1980)),
ISNUMBER(SEARCH("CARGADOR",B1980)),
ISNUMBER(SEARCH("COOLER PARA NB",B1980)),
ISNUMBER(SEARCH("SOPORTE PARA NB",B1980)),
ISNUMBER(SEARCH("WEBCAM",B1980)),
ISNUMBER(SEARCH("WEB CAM",B1980)),
ISNUMBER(SEARCH("MOUSE",B1980)),
ISNUMBER(SEARCH("TECLADO",B1980))
),
"COMPLEMENTO",
IF(
OR(
LEFT(A1980,2)="NB",
LEFT(A1980,2)="PC",
LEFT(A1980,2)="WS",
LEFT(A1980,2)="TB",
LEFT(A1980,3)="CEL",
LEFT(A1980,3)="MON",
LEFT(A1980,3)="PRE",
LEFT(A1980,3)="PRH",
ISNUMBER(SEARCH("NOTEBOOK",B1980)),
ISNUMBER(SEARCH("LAPTOP",B1980)),
ISNUMBER(SEARCH("MONITOR",B1980)),
ISNUMBER(SEARCH("TABLET",B1980)),
ISNUMBER(SEARCH("SMARTPH",B1980)),
ISNUMBER(SEARCH("IMPRESORA",B1980)),
ISNUMBER(SEARCH("MULTIFUNCIONAL",B1980)),
ISNUMBER(SEARCH("AIO",B1980))
),
"GANCHO",
"NORMAL"
)
)</f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>ROUND(
IF(L1977="GANCHO",
   IF(I1979&lt;=50,I1979*1.1+4,IF(I1979&lt;=120,I1979*1.1+7,IF(I1979&lt;=250,I1979*1.1+11,I1979*1.1+19))),
IF(L1977="NORMAL",
   IF(I1979&lt;=30,I1979*1.15+2,IF(I1979&lt;=80,I1979*1.15+4,IF(I1979&lt;=150,I1979*1.15+6,I1979*1.15+8))),
IF(L1977="COMPLEMENTO",
   IF(I1979&lt;=25,I1979*1.25+1.5,IF(I1979&lt;=60,I1979*1.25+3,IF(I1979&lt;=120,I1979*1.25+4,I1979*1.25+5))),
""))),2)</f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>IF(
OR(
ISNUMBER(SEARCH("BACKPACK",B1981)),
ISNUMBER(SEARCH("MOCHILA",B1981)),
ISNUMBER(SEARCH("FUNDA",B1981)),
ISNUMBER(SEARCH("ESTUCHE",B1981)),
ISNUMBER(SEARCH("BOOK COVER",B1981)),
ISNUMBER(SEARCH("KEYBOARD PARA TABLET",B1981)),
ISNUMBER(SEARCH("FLIP TABLET",B1981)),
ISNUMBER(SEARCH("CASE FOR TABLET",B1981)),
ISNUMBER(SEARCH("CABLE",B1981)),
ISNUMBER(SEARCH("ADAPTADOR",B1981)),
ISNUMBER(SEARCH("HUB",B1981)),
ISNUMBER(SEARCH("DOCK",B1981)),
ISNUMBER(SEARCH("MOUSE PAD",B1981)),
ISNUMBER(SEARCH("MOUSEPAD",B1981)),
ISNUMBER(SEARCH("SOPORTE",B1981)),
ISNUMBER(SEARCH("STAND",B1981)),
ISNUMBER(SEARCH("TRAVEL ADAPTER",B1981)),
ISNUMBER(SEARCH("RJ45",B1981)),
ISNUMBER(SEARCH("USB-C",B1981)),
ISNUMBER(SEARCH("USB WIFI",B1981)),
ISNUMBER(SEARCH("POWERBANK",B1981)),
ISNUMBER(SEARCH("CARGADOR",B1981)),
ISNUMBER(SEARCH("COOLER PARA NB",B1981)),
ISNUMBER(SEARCH("SOPORTE PARA NB",B1981)),
ISNUMBER(SEARCH("WEBCAM",B1981)),
ISNUMBER(SEARCH("WEB CAM",B1981)),
ISNUMBER(SEARCH("MOUSE",B1981)),
ISNUMBER(SEARCH("TECLADO",B1981))
),
"COMPLEMENTO",
IF(
OR(
LEFT(A1981,2)="NB",
LEFT(A1981,2)="PC",
LEFT(A1981,2)="WS",
LEFT(A1981,2)="TB",
LEFT(A1981,3)="CEL",
LEFT(A1981,3)="MON",
LEFT(A1981,3)="PRE",
LEFT(A1981,3)="PRH",
ISNUMBER(SEARCH("NOTEBOOK",B1981)),
ISNUMBER(SEARCH("LAPTOP",B1981)),
ISNUMBER(SEARCH("MONITOR",B1981)),
ISNUMBER(SEARCH("TABLET",B1981)),
ISNUMBER(SEARCH("SMARTPH",B1981)),
ISNUMBER(SEARCH("IMPRESORA",B1981)),
ISNUMBER(SEARCH("MULTIFUNCIONAL",B1981)),
ISNUMBER(SEARCH("AIO",B1981))
),
"GANCHO",
"NORMAL"
)
)</f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>ROUND(
IF(L1978="GANCHO",
   IF(I1980&lt;=50,I1980*1.1+4,IF(I1980&lt;=120,I1980*1.1+7,IF(I1980&lt;=250,I1980*1.1+11,I1980*1.1+19))),
IF(L1978="NORMAL",
   IF(I1980&lt;=30,I1980*1.15+2,IF(I1980&lt;=80,I1980*1.15+4,IF(I1980&lt;=150,I1980*1.15+6,I1980*1.15+8))),
IF(L1978="COMPLEMENTO",
   IF(I1980&lt;=25,I1980*1.25+1.5,IF(I1980&lt;=60,I1980*1.25+3,IF(I1980&lt;=120,I1980*1.25+4,I1980*1.25+5))),
""))),2)</f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>IF(
OR(
ISNUMBER(SEARCH("BACKPACK",B1982)),
ISNUMBER(SEARCH("MOCHILA",B1982)),
ISNUMBER(SEARCH("FUNDA",B1982)),
ISNUMBER(SEARCH("ESTUCHE",B1982)),
ISNUMBER(SEARCH("BOOK COVER",B1982)),
ISNUMBER(SEARCH("KEYBOARD PARA TABLET",B1982)),
ISNUMBER(SEARCH("FLIP TABLET",B1982)),
ISNUMBER(SEARCH("CASE FOR TABLET",B1982)),
ISNUMBER(SEARCH("CABLE",B1982)),
ISNUMBER(SEARCH("ADAPTADOR",B1982)),
ISNUMBER(SEARCH("HUB",B1982)),
ISNUMBER(SEARCH("DOCK",B1982)),
ISNUMBER(SEARCH("MOUSE PAD",B1982)),
ISNUMBER(SEARCH("MOUSEPAD",B1982)),
ISNUMBER(SEARCH("SOPORTE",B1982)),
ISNUMBER(SEARCH("STAND",B1982)),
ISNUMBER(SEARCH("TRAVEL ADAPTER",B1982)),
ISNUMBER(SEARCH("RJ45",B1982)),
ISNUMBER(SEARCH("USB-C",B1982)),
ISNUMBER(SEARCH("USB WIFI",B1982)),
ISNUMBER(SEARCH("POWERBANK",B1982)),
ISNUMBER(SEARCH("CARGADOR",B1982)),
ISNUMBER(SEARCH("COOLER PARA NB",B1982)),
ISNUMBER(SEARCH("SOPORTE PARA NB",B1982)),
ISNUMBER(SEARCH("WEBCAM",B1982)),
ISNUMBER(SEARCH("WEB CAM",B1982)),
ISNUMBER(SEARCH("MOUSE",B1982)),
ISNUMBER(SEARCH("TECLADO",B1982))
),
"COMPLEMENTO",
IF(
OR(
LEFT(A1982,2)="NB",
LEFT(A1982,2)="PC",
LEFT(A1982,2)="WS",
LEFT(A1982,2)="TB",
LEFT(A1982,3)="CEL",
LEFT(A1982,3)="MON",
LEFT(A1982,3)="PRE",
LEFT(A1982,3)="PRH",
ISNUMBER(SEARCH("NOTEBOOK",B1982)),
ISNUMBER(SEARCH("LAPTOP",B1982)),
ISNUMBER(SEARCH("MONITOR",B1982)),
ISNUMBER(SEARCH("TABLET",B1982)),
ISNUMBER(SEARCH("SMARTPH",B1982)),
ISNUMBER(SEARCH("IMPRESORA",B1982)),
ISNUMBER(SEARCH("MULTIFUNCIONAL",B1982)),
ISNUMBER(SEARCH("AIO",B1982))
),
"GANCHO",
"NORMAL"
)
)</f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>ROUND(
IF(L1979="GANCHO",
   IF(I1981&lt;=50,I1981*1.1+4,IF(I1981&lt;=120,I1981*1.1+7,IF(I1981&lt;=250,I1981*1.1+11,I1981*1.1+19))),
IF(L1979="NORMAL",
   IF(I1981&lt;=30,I1981*1.15+2,IF(I1981&lt;=80,I1981*1.15+4,IF(I1981&lt;=150,I1981*1.15+6,I1981*1.15+8))),
IF(L1979="COMPLEMENTO",
   IF(I1981&lt;=25,I1981*1.25+1.5,IF(I1981&lt;=60,I1981*1.25+3,IF(I1981&lt;=120,I1981*1.25+4,I1981*1.25+5))),
""))),2)</f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>IF(
OR(
ISNUMBER(SEARCH("BACKPACK",B1983)),
ISNUMBER(SEARCH("MOCHILA",B1983)),
ISNUMBER(SEARCH("FUNDA",B1983)),
ISNUMBER(SEARCH("ESTUCHE",B1983)),
ISNUMBER(SEARCH("BOOK COVER",B1983)),
ISNUMBER(SEARCH("KEYBOARD PARA TABLET",B1983)),
ISNUMBER(SEARCH("FLIP TABLET",B1983)),
ISNUMBER(SEARCH("CASE FOR TABLET",B1983)),
ISNUMBER(SEARCH("CABLE",B1983)),
ISNUMBER(SEARCH("ADAPTADOR",B1983)),
ISNUMBER(SEARCH("HUB",B1983)),
ISNUMBER(SEARCH("DOCK",B1983)),
ISNUMBER(SEARCH("MOUSE PAD",B1983)),
ISNUMBER(SEARCH("MOUSEPAD",B1983)),
ISNUMBER(SEARCH("SOPORTE",B1983)),
ISNUMBER(SEARCH("STAND",B1983)),
ISNUMBER(SEARCH("TRAVEL ADAPTER",B1983)),
ISNUMBER(SEARCH("RJ45",B1983)),
ISNUMBER(SEARCH("USB-C",B1983)),
ISNUMBER(SEARCH("USB WIFI",B1983)),
ISNUMBER(SEARCH("POWERBANK",B1983)),
ISNUMBER(SEARCH("CARGADOR",B1983)),
ISNUMBER(SEARCH("COOLER PARA NB",B1983)),
ISNUMBER(SEARCH("SOPORTE PARA NB",B1983)),
ISNUMBER(SEARCH("WEBCAM",B1983)),
ISNUMBER(SEARCH("WEB CAM",B1983)),
ISNUMBER(SEARCH("MOUSE",B1983)),
ISNUMBER(SEARCH("TECLADO",B1983))
),
"COMPLEMENTO",
IF(
OR(
LEFT(A1983,2)="NB",
LEFT(A1983,2)="PC",
LEFT(A1983,2)="WS",
LEFT(A1983,2)="TB",
LEFT(A1983,3)="CEL",
LEFT(A1983,3)="MON",
LEFT(A1983,3)="PRE",
LEFT(A1983,3)="PRH",
ISNUMBER(SEARCH("NOTEBOOK",B1983)),
ISNUMBER(SEARCH("LAPTOP",B1983)),
ISNUMBER(SEARCH("MONITOR",B1983)),
ISNUMBER(SEARCH("TABLET",B1983)),
ISNUMBER(SEARCH("SMARTPH",B1983)),
ISNUMBER(SEARCH("IMPRESORA",B1983)),
ISNUMBER(SEARCH("MULTIFUNCIONAL",B1983)),
ISNUMBER(SEARCH("AIO",B1983))
),
"GANCHO",
"NORMAL"
)
)</f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>ROUND(
IF(L1980="GANCHO",
   IF(I1982&lt;=50,I1982*1.1+4,IF(I1982&lt;=120,I1982*1.1+7,IF(I1982&lt;=250,I1982*1.1+11,I1982*1.1+19))),
IF(L1980="NORMAL",
   IF(I1982&lt;=30,I1982*1.15+2,IF(I1982&lt;=80,I1982*1.15+4,IF(I1982&lt;=150,I1982*1.15+6,I1982*1.15+8))),
IF(L1980="COMPLEMENTO",
   IF(I1982&lt;=25,I1982*1.25+1.5,IF(I1982&lt;=60,I1982*1.25+3,IF(I1982&lt;=120,I1982*1.25+4,I1982*1.25+5))),
""))),2)</f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>IF(
OR(
ISNUMBER(SEARCH("BACKPACK",B1984)),
ISNUMBER(SEARCH("MOCHILA",B1984)),
ISNUMBER(SEARCH("FUNDA",B1984)),
ISNUMBER(SEARCH("ESTUCHE",B1984)),
ISNUMBER(SEARCH("BOOK COVER",B1984)),
ISNUMBER(SEARCH("KEYBOARD PARA TABLET",B1984)),
ISNUMBER(SEARCH("FLIP TABLET",B1984)),
ISNUMBER(SEARCH("CASE FOR TABLET",B1984)),
ISNUMBER(SEARCH("CABLE",B1984)),
ISNUMBER(SEARCH("ADAPTADOR",B1984)),
ISNUMBER(SEARCH("HUB",B1984)),
ISNUMBER(SEARCH("DOCK",B1984)),
ISNUMBER(SEARCH("MOUSE PAD",B1984)),
ISNUMBER(SEARCH("MOUSEPAD",B1984)),
ISNUMBER(SEARCH("SOPORTE",B1984)),
ISNUMBER(SEARCH("STAND",B1984)),
ISNUMBER(SEARCH("TRAVEL ADAPTER",B1984)),
ISNUMBER(SEARCH("RJ45",B1984)),
ISNUMBER(SEARCH("USB-C",B1984)),
ISNUMBER(SEARCH("USB WIFI",B1984)),
ISNUMBER(SEARCH("POWERBANK",B1984)),
ISNUMBER(SEARCH("CARGADOR",B1984)),
ISNUMBER(SEARCH("COOLER PARA NB",B1984)),
ISNUMBER(SEARCH("SOPORTE PARA NB",B1984)),
ISNUMBER(SEARCH("WEBCAM",B1984)),
ISNUMBER(SEARCH("WEB CAM",B1984)),
ISNUMBER(SEARCH("MOUSE",B1984)),
ISNUMBER(SEARCH("TECLADO",B1984))
),
"COMPLEMENTO",
IF(
OR(
LEFT(A1984,2)="NB",
LEFT(A1984,2)="PC",
LEFT(A1984,2)="WS",
LEFT(A1984,2)="TB",
LEFT(A1984,3)="CEL",
LEFT(A1984,3)="MON",
LEFT(A1984,3)="PRE",
LEFT(A1984,3)="PRH",
ISNUMBER(SEARCH("NOTEBOOK",B1984)),
ISNUMBER(SEARCH("LAPTOP",B1984)),
ISNUMBER(SEARCH("MONITOR",B1984)),
ISNUMBER(SEARCH("TABLET",B1984)),
ISNUMBER(SEARCH("SMARTPH",B1984)),
ISNUMBER(SEARCH("IMPRESORA",B1984)),
ISNUMBER(SEARCH("MULTIFUNCIONAL",B1984)),
ISNUMBER(SEARCH("AIO",B1984))
),
"GANCHO",
"NORMAL"
)
)</f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>ROUND(
IF(L1981="GANCHO",
   IF(I1983&lt;=50,I1983*1.1+4,IF(I1983&lt;=120,I1983*1.1+7,IF(I1983&lt;=250,I1983*1.1+11,I1983*1.1+19))),
IF(L1981="NORMAL",
   IF(I1983&lt;=30,I1983*1.15+2,IF(I1983&lt;=80,I1983*1.15+4,IF(I1983&lt;=150,I1983*1.15+6,I1983*1.15+8))),
IF(L1981="COMPLEMENTO",
   IF(I1983&lt;=25,I1983*1.25+1.5,IF(I1983&lt;=60,I1983*1.25+3,IF(I1983&lt;=120,I1983*1.25+4,I1983*1.25+5))),
""))),2)</f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>IF(
OR(
ISNUMBER(SEARCH("BACKPACK",B1985)),
ISNUMBER(SEARCH("MOCHILA",B1985)),
ISNUMBER(SEARCH("FUNDA",B1985)),
ISNUMBER(SEARCH("ESTUCHE",B1985)),
ISNUMBER(SEARCH("BOOK COVER",B1985)),
ISNUMBER(SEARCH("KEYBOARD PARA TABLET",B1985)),
ISNUMBER(SEARCH("FLIP TABLET",B1985)),
ISNUMBER(SEARCH("CASE FOR TABLET",B1985)),
ISNUMBER(SEARCH("CABLE",B1985)),
ISNUMBER(SEARCH("ADAPTADOR",B1985)),
ISNUMBER(SEARCH("HUB",B1985)),
ISNUMBER(SEARCH("DOCK",B1985)),
ISNUMBER(SEARCH("MOUSE PAD",B1985)),
ISNUMBER(SEARCH("MOUSEPAD",B1985)),
ISNUMBER(SEARCH("SOPORTE",B1985)),
ISNUMBER(SEARCH("STAND",B1985)),
ISNUMBER(SEARCH("TRAVEL ADAPTER",B1985)),
ISNUMBER(SEARCH("RJ45",B1985)),
ISNUMBER(SEARCH("USB-C",B1985)),
ISNUMBER(SEARCH("USB WIFI",B1985)),
ISNUMBER(SEARCH("POWERBANK",B1985)),
ISNUMBER(SEARCH("CARGADOR",B1985)),
ISNUMBER(SEARCH("COOLER PARA NB",B1985)),
ISNUMBER(SEARCH("SOPORTE PARA NB",B1985)),
ISNUMBER(SEARCH("WEBCAM",B1985)),
ISNUMBER(SEARCH("WEB CAM",B1985)),
ISNUMBER(SEARCH("MOUSE",B1985)),
ISNUMBER(SEARCH("TECLADO",B1985))
),
"COMPLEMENTO",
IF(
OR(
LEFT(A1985,2)="NB",
LEFT(A1985,2)="PC",
LEFT(A1985,2)="WS",
LEFT(A1985,2)="TB",
LEFT(A1985,3)="CEL",
LEFT(A1985,3)="MON",
LEFT(A1985,3)="PRE",
LEFT(A1985,3)="PRH",
ISNUMBER(SEARCH("NOTEBOOK",B1985)),
ISNUMBER(SEARCH("LAPTOP",B1985)),
ISNUMBER(SEARCH("MONITOR",B1985)),
ISNUMBER(SEARCH("TABLET",B1985)),
ISNUMBER(SEARCH("SMARTPH",B1985)),
ISNUMBER(SEARCH("IMPRESORA",B1985)),
ISNUMBER(SEARCH("MULTIFUNCIONAL",B1985)),
ISNUMBER(SEARCH("AIO",B1985))
),
"GANCHO",
"NORMAL"
)
)</f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>ROUND(
IF(L1982="GANCHO",
   IF(I1984&lt;=50,I1984*1.1+4,IF(I1984&lt;=120,I1984*1.1+7,IF(I1984&lt;=250,I1984*1.1+11,I1984*1.1+19))),
IF(L1982="NORMAL",
   IF(I1984&lt;=30,I1984*1.15+2,IF(I1984&lt;=80,I1984*1.15+4,IF(I1984&lt;=150,I1984*1.15+6,I1984*1.15+8))),
IF(L1982="COMPLEMENTO",
   IF(I1984&lt;=25,I1984*1.25+1.5,IF(I1984&lt;=60,I1984*1.25+3,IF(I1984&lt;=120,I1984*1.25+4,I1984*1.25+5))),
""))),2)</f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>ROUND(
IF(L1983="GANCHO",
   IF(I1985&lt;=50,I1985*1.1+4,IF(I1985&lt;=120,I1985*1.1+7,IF(I1985&lt;=250,I1985*1.1+11,I1985*1.1+19))),
IF(L1983="NORMAL",
   IF(I1985&lt;=30,I1985*1.15+2,IF(I1985&lt;=80,I1985*1.15+4,IF(I1985&lt;=150,I1985*1.15+6,I1985*1.15+8))),
IF(L1983="COMPLEMENTO",
   IF(I1985&lt;=25,I1985*1.25+1.5,IF(I1985&lt;=60,I1985*1.25+3,IF(I1985&lt;=120,I1985*1.25+4,I1985*1.25+5))),
""))),2)</f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>ROUND(
IF(L1984="GANCHO",
   IF(I1986&lt;=50,I1986*1.1+4,IF(I1986&lt;=120,I1986*1.1+7,IF(I1986&lt;=250,I1986*1.1+11,I1986*1.1+19))),
IF(L1984="NORMAL",
   IF(I1986&lt;=30,I1986*1.15+2,IF(I1986&lt;=80,I1986*1.15+4,IF(I1986&lt;=150,I1986*1.15+6,I1986*1.15+8))),
IF(L1984="COMPLEMENTO",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>IF(
OR(
ISNUMBER(SEARCH("BACKPACK",B1988)),
ISNUMBER(SEARCH("MOCHILA",B1988)),
ISNUMBER(SEARCH("FUNDA",B1988)),
ISNUMBER(SEARCH("ESTUCHE",B1988)),
ISNUMBER(SEARCH("BOOK COVER",B1988)),
ISNUMBER(SEARCH("KEYBOARD PARA TABLET",B1988)),
ISNUMBER(SEARCH("FLIP TABLET",B1988)),
ISNUMBER(SEARCH("CASE FOR TABLET",B1988)),
ISNUMBER(SEARCH("CABLE",B1988)),
ISNUMBER(SEARCH("ADAPTADOR",B1988)),
ISNUMBER(SEARCH("HUB",B1988)),
ISNUMBER(SEARCH("DOCK",B1988)),
ISNUMBER(SEARCH("MOUSE PAD",B1988)),
ISNUMBER(SEARCH("MOUSEPAD",B1988)),
ISNUMBER(SEARCH("SOPORTE",B1988)),
ISNUMBER(SEARCH("STAND",B1988)),
ISNUMBER(SEARCH("TRAVEL ADAPTER",B1988)),
ISNUMBER(SEARCH("RJ45",B1988)),
ISNUMBER(SEARCH("USB-C",B1988)),
ISNUMBER(SEARCH("USB WIFI",B1988)),
ISNUMBER(SEARCH("POWERBANK",B1988)),
ISNUMBER(SEARCH("CARGADOR",B1988)),
ISNUMBER(SEARCH("COOLER PARA NB",B1988)),
ISNUMBER(SEARCH("SOPORTE PARA NB",B1988)),
ISNUMBER(SEARCH("WEBCAM",B1988)),
ISNUMBER(SEARCH("WEB CAM",B1988)),
ISNUMBER(SEARCH("MOUSE",B1988)),
ISNUMBER(SEARCH("TECLADO",B1988))
),
"COMPLEMENTO",
IF(
OR(
LEFT(A1988,2)="NB",
LEFT(A1988,2)="PC",
LEFT(A1988,2)="WS",
LEFT(A1988,2)="TB",
LEFT(A1988,3)="CEL",
LEFT(A1988,3)="MON",
LEFT(A1988,3)="PRE",
LEFT(A1988,3)="PRH",
ISNUMBER(SEARCH("NOTEBOOK",B1988)),
ISNUMBER(SEARCH("LAPTOP",B1988)),
ISNUMBER(SEARCH("MONITOR",B1988)),
ISNUMBER(SEARCH("TABLET",B1988)),
ISNUMBER(SEARCH("SMARTPH",B1988)),
ISNUMBER(SEARCH("IMPRESORA",B1988)),
ISNUMBER(SEARCH("MULTIFUNCIONAL",B1988)),
ISNUMBER(SEARCH("AIO",B1988))
),
"GANCHO",
"NORMAL"
)
)</f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>ROUND(
IF(L1985="GANCHO",
   IF(I1987&lt;=50,I1987*1.1+4,IF(I1987&lt;=120,I1987*1.1+7,IF(I1987&lt;=250,I1987*1.1+11,I1987*1.1+19))),
IF(L1985="NORMAL",
   IF(I1987&lt;=30,I1987*1.15+2,IF(I1987&lt;=80,I1987*1.15+4,IF(I1987&lt;=150,I1987*1.15+6,I1987*1.15+8))),
IF(L1985="COMPLEMENTO",
   IF(I1987&lt;=25,I1987*1.25+1.5,IF(I1987&lt;=60,I1987*1.25+3,IF(I1987&lt;=120,I1987*1.25+4,I1987*1.25+5))),
""))),2)</f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>IF(
OR(
ISNUMBER(SEARCH("BACKPACK",B1989)),
ISNUMBER(SEARCH("MOCHILA",B1989)),
ISNUMBER(SEARCH("FUNDA",B1989)),
ISNUMBER(SEARCH("ESTUCHE",B1989)),
ISNUMBER(SEARCH("BOOK COVER",B1989)),
ISNUMBER(SEARCH("KEYBOARD PARA TABLET",B1989)),
ISNUMBER(SEARCH("FLIP TABLET",B1989)),
ISNUMBER(SEARCH("CASE FOR TABLET",B1989)),
ISNUMBER(SEARCH("CABLE",B1989)),
ISNUMBER(SEARCH("ADAPTADOR",B1989)),
ISNUMBER(SEARCH("HUB",B1989)),
ISNUMBER(SEARCH("DOCK",B1989)),
ISNUMBER(SEARCH("MOUSE PAD",B1989)),
ISNUMBER(SEARCH("MOUSEPAD",B1989)),
ISNUMBER(SEARCH("SOPORTE",B1989)),
ISNUMBER(SEARCH("STAND",B1989)),
ISNUMBER(SEARCH("TRAVEL ADAPTER",B1989)),
ISNUMBER(SEARCH("RJ45",B1989)),
ISNUMBER(SEARCH("USB-C",B1989)),
ISNUMBER(SEARCH("USB WIFI",B1989)),
ISNUMBER(SEARCH("POWERBANK",B1989)),
ISNUMBER(SEARCH("CARGADOR",B1989)),
ISNUMBER(SEARCH("COOLER PARA NB",B1989)),
ISNUMBER(SEARCH("SOPORTE PARA NB",B1989)),
ISNUMBER(SEARCH("WEBCAM",B1989)),
ISNUMBER(SEARCH("WEB CAM",B1989)),
ISNUMBER(SEARCH("MOUSE",B1989)),
ISNUMBER(SEARCH("TECLADO",B1989))
),
"COMPLEMENTO",
IF(
OR(
LEFT(A1989,2)="NB",
LEFT(A1989,2)="PC",
LEFT(A1989,2)="WS",
LEFT(A1989,2)="TB",
LEFT(A1989,3)="CEL",
LEFT(A1989,3)="MON",
LEFT(A1989,3)="PRE",
LEFT(A1989,3)="PRH",
ISNUMBER(SEARCH("NOTEBOOK",B1989)),
ISNUMBER(SEARCH("LAPTOP",B1989)),
ISNUMBER(SEARCH("MONITOR",B1989)),
ISNUMBER(SEARCH("TABLET",B1989)),
ISNUMBER(SEARCH("SMARTPH",B1989)),
ISNUMBER(SEARCH("IMPRESORA",B1989)),
ISNUMBER(SEARCH("MULTIFUNCIONAL",B1989)),
ISNUMBER(SEARCH("AIO",B1989))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>ROUND(
IF(L1986="GANCHO",
   IF(I1988&lt;=50,I1988*1.1+4,IF(I1988&lt;=120,I1988*1.1+7,IF(I1988&lt;=250,I1988*1.1+11,I1988*1.1+19))),
IF(L1986="NORMAL",
   IF(I1988&lt;=30,I1988*1.15+2,IF(I1988&lt;=80,I1988*1.15+4,IF(I1988&lt;=150,I1988*1.15+6,I1988*1.15+8))),
IF(L1986="COMPLEMENTO",
   IF(I1988&lt;=25,I1988*1.25+1.5,IF(I1988&lt;=60,I1988*1.25+3,IF(I1988&lt;=120,I1988*1.25+4,I1988*1.25+5))),
""))),2)</f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>IF(
OR(
ISNUMBER(SEARCH("BACKPACK",B1990)),
ISNUMBER(SEARCH("MOCHILA",B1990)),
ISNUMBER(SEARCH("FUNDA",B1990)),
ISNUMBER(SEARCH("ESTUCHE",B1990)),
ISNUMBER(SEARCH("BOOK COVER",B1990)),
ISNUMBER(SEARCH("KEYBOARD PARA TABLET",B1990)),
ISNUMBER(SEARCH("FLIP TABLET",B1990)),
ISNUMBER(SEARCH("CASE FOR TABLET",B1990)),
ISNUMBER(SEARCH("CABLE",B1990)),
ISNUMBER(SEARCH("ADAPTADOR",B1990)),
ISNUMBER(SEARCH("HUB",B1990)),
ISNUMBER(SEARCH("DOCK",B1990)),
ISNUMBER(SEARCH("MOUSE PAD",B1990)),
ISNUMBER(SEARCH("MOUSEPAD",B1990)),
ISNUMBER(SEARCH("SOPORTE",B1990)),
ISNUMBER(SEARCH("STAND",B1990)),
ISNUMBER(SEARCH("TRAVEL ADAPTER",B1990)),
ISNUMBER(SEARCH("RJ45",B1990)),
ISNUMBER(SEARCH("USB-C",B1990)),
ISNUMBER(SEARCH("USB WIFI",B1990)),
ISNUMBER(SEARCH("POWERBANK",B1990)),
ISNUMBER(SEARCH("CARGADOR",B1990)),
ISNUMBER(SEARCH("COOLER PARA NB",B1990)),
ISNUMBER(SEARCH("SOPORTE PARA NB",B1990)),
ISNUMBER(SEARCH("WEBCAM",B1990)),
ISNUMBER(SEARCH("WEB CAM",B1990)),
ISNUMBER(SEARCH("MOUSE",B1990)),
ISNUMBER(SEARCH("TECLADO",B1990))
),
"COMPLEMENTO",
IF(
OR(
LEFT(A1990,2)="NB",
LEFT(A1990,2)="PC",
LEFT(A1990,2)="WS",
LEFT(A1990,2)="TB",
LEFT(A1990,3)="CEL",
LEFT(A1990,3)="MON",
LEFT(A1990,3)="PRE",
LEFT(A1990,3)="PRH",
ISNUMBER(SEARCH("NOTEBOOK",B1990)),
ISNUMBER(SEARCH("LAPTOP",B1990)),
ISNUMBER(SEARCH("MONITOR",B1990)),
ISNUMBER(SEARCH("TABLET",B1990)),
ISNUMBER(SEARCH("SMARTPH",B1990)),
ISNUMBER(SEARCH("IMPRESORA",B1990)),
ISNUMBER(SEARCH("MULTIFUNCIONAL",B1990)),
ISNUMBER(SEARCH("AIO",B1990))
),
"GANCHO",
"NORMAL"
)
)</f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>ROUND(
IF(L1987="GANCHO",
   IF(I1989&lt;=50,I1989*1.1+4,IF(I1989&lt;=120,I1989*1.1+7,IF(I1989&lt;=250,I1989*1.1+11,I1989*1.1+19))),
IF(L1987="NORMAL",
   IF(I1989&lt;=30,I1989*1.15+2,IF(I1989&lt;=80,I1989*1.15+4,IF(I1989&lt;=150,I1989*1.15+6,I1989*1.15+8))),
IF(L1987="COMPLEMENTO",
   IF(I1989&lt;=25,I1989*1.25+1.5,IF(I1989&lt;=60,I1989*1.25+3,IF(I1989&lt;=120,I1989*1.25+4,I1989*1.25+5))),
""))),2)</f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>IF(
OR(
ISNUMBER(SEARCH("BACKPACK",B1991)),
ISNUMBER(SEARCH("MOCHILA",B1991)),
ISNUMBER(SEARCH("FUNDA",B1991)),
ISNUMBER(SEARCH("ESTUCHE",B1991)),
ISNUMBER(SEARCH("BOOK COVER",B1991)),
ISNUMBER(SEARCH("KEYBOARD PARA TABLET",B1991)),
ISNUMBER(SEARCH("FLIP TABLET",B1991)),
ISNUMBER(SEARCH("CASE FOR TABLET",B1991)),
ISNUMBER(SEARCH("CABLE",B1991)),
ISNUMBER(SEARCH("ADAPTADOR",B1991)),
ISNUMBER(SEARCH("HUB",B1991)),
ISNUMBER(SEARCH("DOCK",B1991)),
ISNUMBER(SEARCH("MOUSE PAD",B1991)),
ISNUMBER(SEARCH("MOUSEPAD",B1991)),
ISNUMBER(SEARCH("SOPORTE",B1991)),
ISNUMBER(SEARCH("STAND",B1991)),
ISNUMBER(SEARCH("TRAVEL ADAPTER",B1991)),
ISNUMBER(SEARCH("RJ45",B1991)),
ISNUMBER(SEARCH("USB-C",B1991)),
ISNUMBER(SEARCH("USB WIFI",B1991)),
ISNUMBER(SEARCH("POWERBANK",B1991)),
ISNUMBER(SEARCH("CARGADOR",B1991)),
ISNUMBER(SEARCH("COOLER PARA NB",B1991)),
ISNUMBER(SEARCH("SOPORTE PARA NB",B1991)),
ISNUMBER(SEARCH("WEBCAM",B1991)),
ISNUMBER(SEARCH("WEB CAM",B1991)),
ISNUMBER(SEARCH("MOUSE",B1991)),
ISNUMBER(SEARCH("TECLADO",B1991))
),
"COMPLEMENTO",
IF(
OR(
LEFT(A1991,2)="NB",
LEFT(A1991,2)="PC",
LEFT(A1991,2)="WS",
LEFT(A1991,2)="TB",
LEFT(A1991,3)="CEL",
LEFT(A1991,3)="MON",
LEFT(A1991,3)="PRE",
LEFT(A1991,3)="PRH",
ISNUMBER(SEARCH("NOTEBOOK",B1991)),
ISNUMBER(SEARCH("LAPTOP",B1991)),
ISNUMBER(SEARCH("MONITOR",B1991)),
ISNUMBER(SEARCH("TABLET",B1991)),
ISNUMBER(SEARCH("SMARTPH",B1991)),
ISNUMBER(SEARCH("IMPRESORA",B1991)),
ISNUMBER(SEARCH("MULTIFUNCIONAL",B1991)),
ISNUMBER(SEARCH("AIO",B1991))
),
"GANCHO",
"NORMAL"
)
)</f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>ROUND(
IF(L1988="GANCHO",
   IF(I1990&lt;=50,I1990*1.1+4,IF(I1990&lt;=120,I1990*1.1+7,IF(I1990&lt;=250,I1990*1.1+11,I1990*1.1+19))),
IF(L1988="NORMAL",
   IF(I1990&lt;=30,I1990*1.15+2,IF(I1990&lt;=80,I1990*1.15+4,IF(I1990&lt;=150,I1990*1.15+6,I1990*1.15+8))),
IF(L1988="COMPLEMENTO",
   IF(I1990&lt;=25,I1990*1.25+1.5,IF(I1990&lt;=60,I1990*1.25+3,IF(I1990&lt;=120,I1990*1.25+4,I1990*1.25+5))),
""))),2)</f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>IF(
OR(
ISNUMBER(SEARCH("BACKPACK",B1992)),
ISNUMBER(SEARCH("MOCHILA",B1992)),
ISNUMBER(SEARCH("FUNDA",B1992)),
ISNUMBER(SEARCH("ESTUCHE",B1992)),
ISNUMBER(SEARCH("BOOK COVER",B1992)),
ISNUMBER(SEARCH("KEYBOARD PARA TABLET",B1992)),
ISNUMBER(SEARCH("FLIP TABLET",B1992)),
ISNUMBER(SEARCH("CASE FOR TABLET",B1992)),
ISNUMBER(SEARCH("CABLE",B1992)),
ISNUMBER(SEARCH("ADAPTADOR",B1992)),
ISNUMBER(SEARCH("HUB",B1992)),
ISNUMBER(SEARCH("DOCK",B1992)),
ISNUMBER(SEARCH("MOUSE PAD",B1992)),
ISNUMBER(SEARCH("MOUSEPAD",B1992)),
ISNUMBER(SEARCH("SOPORTE",B1992)),
ISNUMBER(SEARCH("STAND",B1992)),
ISNUMBER(SEARCH("TRAVEL ADAPTER",B1992)),
ISNUMBER(SEARCH("RJ45",B1992)),
ISNUMBER(SEARCH("USB-C",B1992)),
ISNUMBER(SEARCH("USB WIFI",B1992)),
ISNUMBER(SEARCH("POWERBANK",B1992)),
ISNUMBER(SEARCH("CARGADOR",B1992)),
ISNUMBER(SEARCH("COOLER PARA NB",B1992)),
ISNUMBER(SEARCH("SOPORTE PARA NB",B1992)),
ISNUMBER(SEARCH("WEBCAM",B1992)),
ISNUMBER(SEARCH("WEB CAM",B1992)),
ISNUMBER(SEARCH("MOUSE",B1992)),
ISNUMBER(SEARCH("TECLADO",B1992))
),
"COMPLEMENTO",
IF(
OR(
LEFT(A1992,2)="NB",
LEFT(A1992,2)="PC",
LEFT(A1992,2)="WS",
LEFT(A1992,2)="TB",
LEFT(A1992,3)="CEL",
LEFT(A1992,3)="MON",
LEFT(A1992,3)="PRE",
LEFT(A1992,3)="PRH",
ISNUMBER(SEARCH("NOTEBOOK",B1992)),
ISNUMBER(SEARCH("LAPTOP",B1992)),
ISNUMBER(SEARCH("MONITOR",B1992)),
ISNUMBER(SEARCH("TABLET",B1992)),
ISNUMBER(SEARCH("SMARTPH",B1992)),
ISNUMBER(SEARCH("IMPRESORA",B1992)),
ISNUMBER(SEARCH("MULTIFUNCIONAL",B1992)),
ISNUMBER(SEARCH("AIO",B1992))
),
"GANCHO",
"NORMAL"
)
)</f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>ROUND(
IF(L1989="GANCHO",
   IF(I1991&lt;=50,I1991*1.1+4,IF(I1991&lt;=120,I1991*1.1+7,IF(I1991&lt;=250,I1991*1.1+11,I1991*1.1+19))),
IF(L1989="NORMAL",
   IF(I1991&lt;=30,I1991*1.15+2,IF(I1991&lt;=80,I1991*1.15+4,IF(I1991&lt;=150,I1991*1.15+6,I1991*1.15+8))),
IF(L1989="COMPLEMENTO",
   IF(I1991&lt;=25,I1991*1.25+1.5,IF(I1991&lt;=60,I1991*1.25+3,IF(I1991&lt;=120,I1991*1.25+4,I1991*1.25+5))),
""))),2)</f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>IF(
OR(
ISNUMBER(SEARCH("BACKPACK",B1993)),
ISNUMBER(SEARCH("MOCHILA",B1993)),
ISNUMBER(SEARCH("FUNDA",B1993)),
ISNUMBER(SEARCH("ESTUCHE",B1993)),
ISNUMBER(SEARCH("BOOK COVER",B1993)),
ISNUMBER(SEARCH("KEYBOARD PARA TABLET",B1993)),
ISNUMBER(SEARCH("FLIP TABLET",B1993)),
ISNUMBER(SEARCH("CASE FOR TABLET",B1993)),
ISNUMBER(SEARCH("CABLE",B1993)),
ISNUMBER(SEARCH("ADAPTADOR",B1993)),
ISNUMBER(SEARCH("HUB",B1993)),
ISNUMBER(SEARCH("DOCK",B1993)),
ISNUMBER(SEARCH("MOUSE PAD",B1993)),
ISNUMBER(SEARCH("MOUSEPAD",B1993)),
ISNUMBER(SEARCH("SOPORTE",B1993)),
ISNUMBER(SEARCH("STAND",B1993)),
ISNUMBER(SEARCH("TRAVEL ADAPTER",B1993)),
ISNUMBER(SEARCH("RJ45",B1993)),
ISNUMBER(SEARCH("USB-C",B1993)),
ISNUMBER(SEARCH("USB WIFI",B1993)),
ISNUMBER(SEARCH("POWERBANK",B1993)),
ISNUMBER(SEARCH("CARGADOR",B1993)),
ISNUMBER(SEARCH("COOLER PARA NB",B1993)),
ISNUMBER(SEARCH("SOPORTE PARA NB",B1993)),
ISNUMBER(SEARCH("WEBCAM",B1993)),
ISNUMBER(SEARCH("WEB CAM",B1993)),
ISNUMBER(SEARCH("MOUSE",B1993)),
ISNUMBER(SEARCH("TECLADO",B1993))
),
"COMPLEMENTO",
IF(
OR(
LEFT(A1993,2)="NB",
LEFT(A1993,2)="PC",
LEFT(A1993,2)="WS",
LEFT(A1993,2)="TB",
LEFT(A1993,3)="CEL",
LEFT(A1993,3)="MON",
LEFT(A1993,3)="PRE",
LEFT(A1993,3)="PRH",
ISNUMBER(SEARCH("NOTEBOOK",B1993)),
ISNUMBER(SEARCH("LAPTOP",B1993)),
ISNUMBER(SEARCH("MONITOR",B1993)),
ISNUMBER(SEARCH("TABLET",B1993)),
ISNUMBER(SEARCH("SMARTPH",B1993)),
ISNUMBER(SEARCH("IMPRESORA",B1993)),
ISNUMBER(SEARCH("MULTIFUNCIONAL",B1993)),
ISNUMBER(SEARCH("AIO",B1993))
),
"GANCHO",
"NORMAL"
)
)</f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>ROUND(
IF(L1990="GANCHO",
   IF(I1992&lt;=50,I1992*1.1+4,IF(I1992&lt;=120,I1992*1.1+7,IF(I1992&lt;=250,I1992*1.1+11,I1992*1.1+19))),
IF(L1990="NORMAL",
   IF(I1992&lt;=30,I1992*1.15+2,IF(I1992&lt;=80,I1992*1.15+4,IF(I1992&lt;=150,I1992*1.15+6,I1992*1.15+8))),
IF(L1990="COMPLEMENTO",
   IF(I1992&lt;=25,I1992*1.25+1.5,IF(I1992&lt;=60,I1992*1.25+3,IF(I1992&lt;=120,I1992*1.25+4,I1992*1.25+5))),
""))),2)</f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>IF(
OR(
ISNUMBER(SEARCH("BACKPACK",B1994)),
ISNUMBER(SEARCH("MOCHILA",B1994)),
ISNUMBER(SEARCH("FUNDA",B1994)),
ISNUMBER(SEARCH("ESTUCHE",B1994)),
ISNUMBER(SEARCH("BOOK COVER",B1994)),
ISNUMBER(SEARCH("KEYBOARD PARA TABLET",B1994)),
ISNUMBER(SEARCH("FLIP TABLET",B1994)),
ISNUMBER(SEARCH("CASE FOR TABLET",B1994)),
ISNUMBER(SEARCH("CABLE",B1994)),
ISNUMBER(SEARCH("ADAPTADOR",B1994)),
ISNUMBER(SEARCH("HUB",B1994)),
ISNUMBER(SEARCH("DOCK",B1994)),
ISNUMBER(SEARCH("MOUSE PAD",B1994)),
ISNUMBER(SEARCH("MOUSEPAD",B1994)),
ISNUMBER(SEARCH("SOPORTE",B1994)),
ISNUMBER(SEARCH("STAND",B1994)),
ISNUMBER(SEARCH("TRAVEL ADAPTER",B1994)),
ISNUMBER(SEARCH("RJ45",B1994)),
ISNUMBER(SEARCH("USB-C",B1994)),
ISNUMBER(SEARCH("USB WIFI",B1994)),
ISNUMBER(SEARCH("POWERBANK",B1994)),
ISNUMBER(SEARCH("CARGADOR",B1994)),
ISNUMBER(SEARCH("COOLER PARA NB",B1994)),
ISNUMBER(SEARCH("SOPORTE PARA NB",B1994)),
ISNUMBER(SEARCH("WEBCAM",B1994)),
ISNUMBER(SEARCH("WEB CAM",B1994)),
ISNUMBER(SEARCH("MOUSE",B1994)),
ISNUMBER(SEARCH("TECLADO",B1994))
),
"COMPLEMENTO",
IF(
OR(
LEFT(A1994,2)="NB",
LEFT(A1994,2)="PC",
LEFT(A1994,2)="WS",
LEFT(A1994,2)="TB",
LEFT(A1994,3)="CEL",
LEFT(A1994,3)="MON",
LEFT(A1994,3)="PRE",
LEFT(A1994,3)="PRH",
ISNUMBER(SEARCH("NOTEBOOK",B1994)),
ISNUMBER(SEARCH("LAPTOP",B1994)),
ISNUMBER(SEARCH("MONITOR",B1994)),
ISNUMBER(SEARCH("TABLET",B1994)),
ISNUMBER(SEARCH("SMARTPH",B1994)),
ISNUMBER(SEARCH("IMPRESORA",B1994)),
ISNUMBER(SEARCH("MULTIFUNCIONAL",B1994)),
ISNUMBER(SEARCH("AIO",B1994))
),
"GANCHO",
"NORMAL"
)
)</f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>ROUND(
IF(L1991="GANCHO",
   IF(I1993&lt;=50,I1993*1.1+4,IF(I1993&lt;=120,I1993*1.1+7,IF(I1993&lt;=250,I1993*1.1+11,I1993*1.1+19))),
IF(L1991="NORMAL",
   IF(I1993&lt;=30,I1993*1.15+2,IF(I1993&lt;=80,I1993*1.15+4,IF(I1993&lt;=150,I1993*1.15+6,I1993*1.15+8))),
IF(L1991="COMPLEMENTO",
   IF(I1993&lt;=25,I1993*1.25+1.5,IF(I1993&lt;=60,I1993*1.25+3,IF(I1993&lt;=120,I1993*1.25+4,I1993*1.25+5))),
""))),2)</f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>IF(
OR(
ISNUMBER(SEARCH("BACKPACK",B1995)),
ISNUMBER(SEARCH("MOCHILA",B1995)),
ISNUMBER(SEARCH("FUNDA",B1995)),
ISNUMBER(SEARCH("ESTUCHE",B1995)),
ISNUMBER(SEARCH("BOOK COVER",B1995)),
ISNUMBER(SEARCH("KEYBOARD PARA TABLET",B1995)),
ISNUMBER(SEARCH("FLIP TABLET",B1995)),
ISNUMBER(SEARCH("CASE FOR TABLET",B1995)),
ISNUMBER(SEARCH("CABLE",B1995)),
ISNUMBER(SEARCH("ADAPTADOR",B1995)),
ISNUMBER(SEARCH("HUB",B1995)),
ISNUMBER(SEARCH("DOCK",B1995)),
ISNUMBER(SEARCH("MOUSE PAD",B1995)),
ISNUMBER(SEARCH("MOUSEPAD",B1995)),
ISNUMBER(SEARCH("SOPORTE",B1995)),
ISNUMBER(SEARCH("STAND",B1995)),
ISNUMBER(SEARCH("TRAVEL ADAPTER",B1995)),
ISNUMBER(SEARCH("RJ45",B1995)),
ISNUMBER(SEARCH("USB-C",B1995)),
ISNUMBER(SEARCH("USB WIFI",B1995)),
ISNUMBER(SEARCH("POWERBANK",B1995)),
ISNUMBER(SEARCH("CARGADOR",B1995)),
ISNUMBER(SEARCH("COOLER PARA NB",B1995)),
ISNUMBER(SEARCH("SOPORTE PARA NB",B1995)),
ISNUMBER(SEARCH("WEBCAM",B1995)),
ISNUMBER(SEARCH("WEB CAM",B1995)),
ISNUMBER(SEARCH("MOUSE",B1995)),
ISNUMBER(SEARCH("TECLADO",B1995))
),
"COMPLEMENTO",
IF(
OR(
LEFT(A1995,2)="NB",
LEFT(A1995,2)="PC",
LEFT(A1995,2)="WS",
LEFT(A1995,2)="TB",
LEFT(A1995,3)="CEL",
LEFT(A1995,3)="MON",
LEFT(A1995,3)="PRE",
LEFT(A1995,3)="PRH",
ISNUMBER(SEARCH("NOTEBOOK",B1995)),
ISNUMBER(SEARCH("LAPTOP",B1995)),
ISNUMBER(SEARCH("MONITOR",B1995)),
ISNUMBER(SEARCH("TABLET",B1995)),
ISNUMBER(SEARCH("SMARTPH",B1995)),
ISNUMBER(SEARCH("IMPRESORA",B1995)),
ISNUMBER(SEARCH("MULTIFUNCIONAL",B1995)),
ISNUMBER(SEARCH("AIO",B1995))
),
"GANCHO",
"NORMAL"
)
)</f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>ROUND(
IF(L1992="GANCHO",
   IF(I1994&lt;=50,I1994*1.1+4,IF(I1994&lt;=120,I1994*1.1+7,IF(I1994&lt;=250,I1994*1.1+11,I1994*1.1+19))),
IF(L1992="NORMAL",
   IF(I1994&lt;=30,I1994*1.15+2,IF(I1994&lt;=80,I1994*1.15+4,IF(I1994&lt;=150,I1994*1.15+6,I1994*1.15+8))),
IF(L1992="COMPLEMENTO",
   IF(I1994&lt;=25,I1994*1.25+1.5,IF(I1994&lt;=60,I1994*1.25+3,IF(I1994&lt;=120,I1994*1.25+4,I1994*1.25+5))),
""))),2)</f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>IF(
OR(
ISNUMBER(SEARCH("BACKPACK",B1996)),
ISNUMBER(SEARCH("MOCHILA",B1996)),
ISNUMBER(SEARCH("FUNDA",B1996)),
ISNUMBER(SEARCH("ESTUCHE",B1996)),
ISNUMBER(SEARCH("BOOK COVER",B1996)),
ISNUMBER(SEARCH("KEYBOARD PARA TABLET",B1996)),
ISNUMBER(SEARCH("FLIP TABLET",B1996)),
ISNUMBER(SEARCH("CASE FOR TABLET",B1996)),
ISNUMBER(SEARCH("CABLE",B1996)),
ISNUMBER(SEARCH("ADAPTADOR",B1996)),
ISNUMBER(SEARCH("HUB",B1996)),
ISNUMBER(SEARCH("DOCK",B1996)),
ISNUMBER(SEARCH("MOUSE PAD",B1996)),
ISNUMBER(SEARCH("MOUSEPAD",B1996)),
ISNUMBER(SEARCH("SOPORTE",B1996)),
ISNUMBER(SEARCH("STAND",B1996)),
ISNUMBER(SEARCH("TRAVEL ADAPTER",B1996)),
ISNUMBER(SEARCH("RJ45",B1996)),
ISNUMBER(SEARCH("USB-C",B1996)),
ISNUMBER(SEARCH("USB WIFI",B1996)),
ISNUMBER(SEARCH("POWERBANK",B1996)),
ISNUMBER(SEARCH("CARGADOR",B1996)),
ISNUMBER(SEARCH("COOLER PARA NB",B1996)),
ISNUMBER(SEARCH("SOPORTE PARA NB",B1996)),
ISNUMBER(SEARCH("WEBCAM",B1996)),
ISNUMBER(SEARCH("WEB CAM",B1996)),
ISNUMBER(SEARCH("MOUSE",B1996)),
ISNUMBER(SEARCH("TECLADO",B1996))
),
"COMPLEMENTO",
IF(
OR(
LEFT(A1996,2)="NB",
LEFT(A1996,2)="PC",
LEFT(A1996,2)="WS",
LEFT(A1996,2)="TB",
LEFT(A1996,3)="CEL",
LEFT(A1996,3)="MON",
LEFT(A1996,3)="PRE",
LEFT(A1996,3)="PRH",
ISNUMBER(SEARCH("NOTEBOOK",B1996)),
ISNUMBER(SEARCH("LAPTOP",B1996)),
ISNUMBER(SEARCH("MONITOR",B1996)),
ISNUMBER(SEARCH("TABLET",B1996)),
ISNUMBER(SEARCH("SMARTPH",B1996)),
ISNUMBER(SEARCH("IMPRESORA",B1996)),
ISNUMBER(SEARCH("MULTIFUNCIONAL",B1996)),
ISNUMBER(SEARCH("AIO",B1996))
),
"GANCHO",
"NORMAL"
)
)</f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>ROUND(
IF(L1993="GANCHO",
   IF(I1995&lt;=50,I1995*1.1+4,IF(I1995&lt;=120,I1995*1.1+7,IF(I1995&lt;=250,I1995*1.1+11,I1995*1.1+19))),
IF(L1993="NORMAL",
   IF(I1995&lt;=30,I1995*1.15+2,IF(I1995&lt;=80,I1995*1.15+4,IF(I1995&lt;=150,I1995*1.15+6,I1995*1.15+8))),
IF(L1993="COMPLEMENTO",
   IF(I1995&lt;=25,I1995*1.25+1.5,IF(I1995&lt;=60,I1995*1.25+3,IF(I1995&lt;=120,I1995*1.25+4,I1995*1.25+5))),
""))),2)</f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>IF(
OR(
ISNUMBER(SEARCH("BACKPACK",B1997)),
ISNUMBER(SEARCH("MOCHILA",B1997)),
ISNUMBER(SEARCH("FUNDA",B1997)),
ISNUMBER(SEARCH("ESTUCHE",B1997)),
ISNUMBER(SEARCH("BOOK COVER",B1997)),
ISNUMBER(SEARCH("KEYBOARD PARA TABLET",B1997)),
ISNUMBER(SEARCH("FLIP TABLET",B1997)),
ISNUMBER(SEARCH("CASE FOR TABLET",B1997)),
ISNUMBER(SEARCH("CABLE",B1997)),
ISNUMBER(SEARCH("ADAPTADOR",B1997)),
ISNUMBER(SEARCH("HUB",B1997)),
ISNUMBER(SEARCH("DOCK",B1997)),
ISNUMBER(SEARCH("MOUSE PAD",B1997)),
ISNUMBER(SEARCH("MOUSEPAD",B1997)),
ISNUMBER(SEARCH("SOPORTE",B1997)),
ISNUMBER(SEARCH("STAND",B1997)),
ISNUMBER(SEARCH("TRAVEL ADAPTER",B1997)),
ISNUMBER(SEARCH("RJ45",B1997)),
ISNUMBER(SEARCH("USB-C",B1997)),
ISNUMBER(SEARCH("USB WIFI",B1997)),
ISNUMBER(SEARCH("POWERBANK",B1997)),
ISNUMBER(SEARCH("CARGADOR",B1997)),
ISNUMBER(SEARCH("COOLER PARA NB",B1997)),
ISNUMBER(SEARCH("SOPORTE PARA NB",B1997)),
ISNUMBER(SEARCH("WEBCAM",B1997)),
ISNUMBER(SEARCH("WEB CAM",B1997)),
ISNUMBER(SEARCH("MOUSE",B1997)),
ISNUMBER(SEARCH("TECLADO",B1997))
),
"COMPLEMENTO",
IF(
OR(
LEFT(A1997,2)="NB",
LEFT(A1997,2)="PC",
LEFT(A1997,2)="WS",
LEFT(A1997,2)="TB",
LEFT(A1997,3)="CEL",
LEFT(A1997,3)="MON",
LEFT(A1997,3)="PRE",
LEFT(A1997,3)="PRH",
ISNUMBER(SEARCH("NOTEBOOK",B1997)),
ISNUMBER(SEARCH("LAPTOP",B1997)),
ISNUMBER(SEARCH("MONITOR",B1997)),
ISNUMBER(SEARCH("TABLET",B1997)),
ISNUMBER(SEARCH("SMARTPH",B1997)),
ISNUMBER(SEARCH("IMPRESORA",B1997)),
ISNUMBER(SEARCH("MULTIFUNCIONAL",B1997)),
ISNUMBER(SEARCH("AIO",B1997))
),
"GANCHO",
"NORMAL"
)
)</f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>ROUND(
IF(L1994="GANCHO",
   IF(I1996&lt;=50,I1996*1.1+4,IF(I1996&lt;=120,I1996*1.1+7,IF(I1996&lt;=250,I1996*1.1+11,I1996*1.1+19))),
IF(L1994="NORMAL",
   IF(I1996&lt;=30,I1996*1.15+2,IF(I1996&lt;=80,I1996*1.15+4,IF(I1996&lt;=150,I1996*1.15+6,I1996*1.15+8))),
IF(L1994="COMPLEMENTO",
   IF(I1996&lt;=25,I1996*1.25+1.5,IF(I1996&lt;=60,I1996*1.25+3,IF(I1996&lt;=120,I1996*1.25+4,I1996*1.25+5))),
""))),2)</f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>IF(
OR(
ISNUMBER(SEARCH("BACKPACK",B1998)),
ISNUMBER(SEARCH("MOCHILA",B1998)),
ISNUMBER(SEARCH("FUNDA",B1998)),
ISNUMBER(SEARCH("ESTUCHE",B1998)),
ISNUMBER(SEARCH("BOOK COVER",B1998)),
ISNUMBER(SEARCH("KEYBOARD PARA TABLET",B1998)),
ISNUMBER(SEARCH("FLIP TABLET",B1998)),
ISNUMBER(SEARCH("CASE FOR TABLET",B1998)),
ISNUMBER(SEARCH("CABLE",B1998)),
ISNUMBER(SEARCH("ADAPTADOR",B1998)),
ISNUMBER(SEARCH("HUB",B1998)),
ISNUMBER(SEARCH("DOCK",B1998)),
ISNUMBER(SEARCH("MOUSE PAD",B1998)),
ISNUMBER(SEARCH("MOUSEPAD",B1998)),
ISNUMBER(SEARCH("SOPORTE",B1998)),
ISNUMBER(SEARCH("STAND",B1998)),
ISNUMBER(SEARCH("TRAVEL ADAPTER",B1998)),
ISNUMBER(SEARCH("RJ45",B1998)),
ISNUMBER(SEARCH("USB-C",B1998)),
ISNUMBER(SEARCH("USB WIFI",B1998)),
ISNUMBER(SEARCH("POWERBANK",B1998)),
ISNUMBER(SEARCH("CARGADOR",B1998)),
ISNUMBER(SEARCH("COOLER PARA NB",B1998)),
ISNUMBER(SEARCH("SOPORTE PARA NB",B1998)),
ISNUMBER(SEARCH("WEBCAM",B1998)),
ISNUMBER(SEARCH("WEB CAM",B1998)),
ISNUMBER(SEARCH("MOUSE",B1998)),
ISNUMBER(SEARCH("TECLADO",B1998))
),
"COMPLEMENTO",
IF(
OR(
LEFT(A1998,2)="NB",
LEFT(A1998,2)="PC",
LEFT(A1998,2)="WS",
LEFT(A1998,2)="TB",
LEFT(A1998,3)="CEL",
LEFT(A1998,3)="MON",
LEFT(A1998,3)="PRE",
LEFT(A1998,3)="PRH",
ISNUMBER(SEARCH("NOTEBOOK",B1998)),
ISNUMBER(SEARCH("LAPTOP",B1998)),
ISNUMBER(SEARCH("MONITOR",B1998)),
ISNUMBER(SEARCH("TABLET",B1998)),
ISNUMBER(SEARCH("SMARTPH",B1998)),
ISNUMBER(SEARCH("IMPRESORA",B1998)),
ISNUMBER(SEARCH("MULTIFUNCIONAL",B1998)),
ISNUMBER(SEARCH("AIO",B1998))
),
"GANCHO",
"NORMAL"
)
)</f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>ROUND(
IF(L1995="GANCHO",
   IF(I1997&lt;=50,I1997*1.1+4,IF(I1997&lt;=120,I1997*1.1+7,IF(I1997&lt;=250,I1997*1.1+11,I1997*1.1+19))),
IF(L1995="NORMAL",
   IF(I1997&lt;=30,I1997*1.15+2,IF(I1997&lt;=80,I1997*1.15+4,IF(I1997&lt;=150,I1997*1.15+6,I1997*1.15+8))),
IF(L1995="COMPLEMENTO",
   IF(I1997&lt;=25,I1997*1.25+1.5,IF(I1997&lt;=60,I1997*1.25+3,IF(I1997&lt;=120,I1997*1.25+4,I1997*1.25+5))),
""))),2)</f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>IF(
OR(
ISNUMBER(SEARCH("BACKPACK",B1999)),
ISNUMBER(SEARCH("MOCHILA",B1999)),
ISNUMBER(SEARCH("FUNDA",B1999)),
ISNUMBER(SEARCH("ESTUCHE",B1999)),
ISNUMBER(SEARCH("BOOK COVER",B1999)),
ISNUMBER(SEARCH("KEYBOARD PARA TABLET",B1999)),
ISNUMBER(SEARCH("FLIP TABLET",B1999)),
ISNUMBER(SEARCH("CASE FOR TABLET",B1999)),
ISNUMBER(SEARCH("CABLE",B1999)),
ISNUMBER(SEARCH("ADAPTADOR",B1999)),
ISNUMBER(SEARCH("HUB",B1999)),
ISNUMBER(SEARCH("DOCK",B1999)),
ISNUMBER(SEARCH("MOUSE PAD",B1999)),
ISNUMBER(SEARCH("MOUSEPAD",B1999)),
ISNUMBER(SEARCH("SOPORTE",B1999)),
ISNUMBER(SEARCH("STAND",B1999)),
ISNUMBER(SEARCH("TRAVEL ADAPTER",B1999)),
ISNUMBER(SEARCH("RJ45",B1999)),
ISNUMBER(SEARCH("USB-C",B1999)),
ISNUMBER(SEARCH("USB WIFI",B1999)),
ISNUMBER(SEARCH("POWERBANK",B1999)),
ISNUMBER(SEARCH("CARGADOR",B1999)),
ISNUMBER(SEARCH("COOLER PARA NB",B1999)),
ISNUMBER(SEARCH("SOPORTE PARA NB",B1999)),
ISNUMBER(SEARCH("WEBCAM",B1999)),
ISNUMBER(SEARCH("WEB CAM",B1999)),
ISNUMBER(SEARCH("MOUSE",B1999)),
ISNUMBER(SEARCH("TECLADO",B1999))
),
"COMPLEMENTO",
IF(
OR(
LEFT(A1999,2)="NB",
LEFT(A1999,2)="PC",
LEFT(A1999,2)="WS",
LEFT(A1999,2)="TB",
LEFT(A1999,3)="CEL",
LEFT(A1999,3)="MON",
LEFT(A1999,3)="PRE",
LEFT(A1999,3)="PRH",
ISNUMBER(SEARCH("NOTEBOOK",B1999)),
ISNUMBER(SEARCH("LAPTOP",B1999)),
ISNUMBER(SEARCH("MONITOR",B1999)),
ISNUMBER(SEARCH("TABLET",B1999)),
ISNUMBER(SEARCH("SMARTPH",B1999)),
ISNUMBER(SEARCH("IMPRESORA",B1999)),
ISNUMBER(SEARCH("MULTIFUNCIONAL",B1999)),
ISNUMBER(SEARCH("AIO",B1999))
),
"GANCHO",
"NORMAL"
)
)</f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>ROUND(
IF(L1996="GANCHO",
   IF(I1998&lt;=50,I1998*1.1+4,IF(I1998&lt;=120,I1998*1.1+7,IF(I1998&lt;=250,I1998*1.1+11,I1998*1.1+19))),
IF(L1996="NORMAL",
   IF(I1998&lt;=30,I1998*1.15+2,IF(I1998&lt;=80,I1998*1.15+4,IF(I1998&lt;=150,I1998*1.15+6,I1998*1.15+8))),
IF(L1996="COMPLEMENTO",
   IF(I1998&lt;=25,I1998*1.25+1.5,IF(I1998&lt;=60,I1998*1.25+3,IF(I1998&lt;=120,I1998*1.25+4,I1998*1.25+5))),
""))),2)</f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>IF(
OR(
ISNUMBER(SEARCH("BACKPACK",B2000)),
ISNUMBER(SEARCH("MOCHILA",B2000)),
ISNUMBER(SEARCH("FUNDA",B2000)),
ISNUMBER(SEARCH("ESTUCHE",B2000)),
ISNUMBER(SEARCH("BOOK COVER",B2000)),
ISNUMBER(SEARCH("KEYBOARD PARA TABLET",B2000)),
ISNUMBER(SEARCH("FLIP TABLET",B2000)),
ISNUMBER(SEARCH("CASE FOR TABLET",B2000)),
ISNUMBER(SEARCH("CABLE",B2000)),
ISNUMBER(SEARCH("ADAPTADOR",B2000)),
ISNUMBER(SEARCH("HUB",B2000)),
ISNUMBER(SEARCH("DOCK",B2000)),
ISNUMBER(SEARCH("MOUSE PAD",B2000)),
ISNUMBER(SEARCH("MOUSEPAD",B2000)),
ISNUMBER(SEARCH("SOPORTE",B2000)),
ISNUMBER(SEARCH("STAND",B2000)),
ISNUMBER(SEARCH("TRAVEL ADAPTER",B2000)),
ISNUMBER(SEARCH("RJ45",B2000)),
ISNUMBER(SEARCH("USB-C",B2000)),
ISNUMBER(SEARCH("USB WIFI",B2000)),
ISNUMBER(SEARCH("POWERBANK",B2000)),
ISNUMBER(SEARCH("CARGADOR",B2000)),
ISNUMBER(SEARCH("COOLER PARA NB",B2000)),
ISNUMBER(SEARCH("SOPORTE PARA NB",B2000)),
ISNUMBER(SEARCH("WEBCAM",B2000)),
ISNUMBER(SEARCH("WEB CAM",B2000)),
ISNUMBER(SEARCH("MOUSE",B2000)),
ISNUMBER(SEARCH("TECLADO",B2000))
),
"COMPLEMENTO",
IF(
OR(
LEFT(A2000,2)="NB",
LEFT(A2000,2)="PC",
LEFT(A2000,2)="WS",
LEFT(A2000,2)="TB",
LEFT(A2000,3)="CEL",
LEFT(A2000,3)="MON",
LEFT(A2000,3)="PRE",
LEFT(A2000,3)="PRH",
ISNUMBER(SEARCH("NOTEBOOK",B2000)),
ISNUMBER(SEARCH("LAPTOP",B2000)),
ISNUMBER(SEARCH("MONITOR",B2000)),
ISNUMBER(SEARCH("TABLET",B2000)),
ISNUMBER(SEARCH("SMARTPH",B2000)),
ISNUMBER(SEARCH("IMPRESORA",B2000)),
ISNUMBER(SEARCH("MULTIFUNCIONAL",B2000)),
ISNUMBER(SEARCH("AIO",B2000))
),
"GANCHO",
"NORMAL"
)
)</f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>ROUND(
IF(L1997="GANCHO",
   IF(I1999&lt;=50,I1999*1.1+4,IF(I1999&lt;=120,I1999*1.1+7,IF(I1999&lt;=250,I1999*1.1+11,I1999*1.1+19))),
IF(L1997="NORMAL",
   IF(I1999&lt;=30,I1999*1.15+2,IF(I1999&lt;=80,I1999*1.15+4,IF(I1999&lt;=150,I1999*1.15+6,I1999*1.15+8))),
IF(L1997="COMPLEMENTO",
   IF(I1999&lt;=25,I1999*1.25+1.5,IF(I1999&lt;=60,I1999*1.25+3,IF(I1999&lt;=120,I1999*1.25+4,I1999*1.25+5))),
""))),2)</f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>IF(
OR(
ISNUMBER(SEARCH("BACKPACK",B2001)),
ISNUMBER(SEARCH("MOCHILA",B2001)),
ISNUMBER(SEARCH("FUNDA",B2001)),
ISNUMBER(SEARCH("ESTUCHE",B2001)),
ISNUMBER(SEARCH("BOOK COVER",B2001)),
ISNUMBER(SEARCH("KEYBOARD PARA TABLET",B2001)),
ISNUMBER(SEARCH("FLIP TABLET",B2001)),
ISNUMBER(SEARCH("CASE FOR TABLET",B2001)),
ISNUMBER(SEARCH("CABLE",B2001)),
ISNUMBER(SEARCH("ADAPTADOR",B2001)),
ISNUMBER(SEARCH("HUB",B2001)),
ISNUMBER(SEARCH("DOCK",B2001)),
ISNUMBER(SEARCH("MOUSE PAD",B2001)),
ISNUMBER(SEARCH("MOUSEPAD",B2001)),
ISNUMBER(SEARCH("SOPORTE",B2001)),
ISNUMBER(SEARCH("STAND",B2001)),
ISNUMBER(SEARCH("TRAVEL ADAPTER",B2001)),
ISNUMBER(SEARCH("RJ45",B2001)),
ISNUMBER(SEARCH("USB-C",B2001)),
ISNUMBER(SEARCH("USB WIFI",B2001)),
ISNUMBER(SEARCH("POWERBANK",B2001)),
ISNUMBER(SEARCH("CARGADOR",B2001)),
ISNUMBER(SEARCH("COOLER PARA NB",B2001)),
ISNUMBER(SEARCH("SOPORTE PARA NB",B2001)),
ISNUMBER(SEARCH("WEBCAM",B2001)),
ISNUMBER(SEARCH("WEB CAM",B2001)),
ISNUMBER(SEARCH("MOUSE",B2001)),
ISNUMBER(SEARCH("TECLADO",B2001))
),
"COMPLEMENTO",
IF(
OR(
LEFT(A2001,2)="NB",
LEFT(A2001,2)="PC",
LEFT(A2001,2)="WS",
LEFT(A2001,2)="TB",
LEFT(A2001,3)="CEL",
LEFT(A2001,3)="MON",
LEFT(A2001,3)="PRE",
LEFT(A2001,3)="PRH",
ISNUMBER(SEARCH("NOTEBOOK",B2001)),
ISNUMBER(SEARCH("LAPTOP",B2001)),
ISNUMBER(SEARCH("MONITOR",B2001)),
ISNUMBER(SEARCH("TABLET",B2001)),
ISNUMBER(SEARCH("SMARTPH",B2001)),
ISNUMBER(SEARCH("IMPRESORA",B2001)),
ISNUMBER(SEARCH("MULTIFUNCIONAL",B2001)),
ISNUMBER(SEARCH("AIO",B2001))
),
"GANCHO",
"NORMAL"
)
)</f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>ROUND(
IF(L1998="GANCHO",
   IF(I2000&lt;=50,I2000*1.1+4,IF(I2000&lt;=120,I2000*1.1+7,IF(I2000&lt;=250,I2000*1.1+11,I2000*1.1+19))),
IF(L1998="NORMAL",
   IF(I2000&lt;=30,I2000*1.15+2,IF(I2000&lt;=80,I2000*1.15+4,IF(I2000&lt;=150,I2000*1.15+6,I2000*1.15+8))),
IF(L1998="COMPLEMENTO",
   IF(I2000&lt;=25,I2000*1.25+1.5,IF(I2000&lt;=60,I2000*1.25+3,IF(I2000&lt;=120,I2000*1.25+4,I2000*1.25+5))),
""))),2)</f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>ROUND(
IF(L1999="GANCHO",
   IF(I2001&lt;=50,I2001*1.1+4,IF(I2001&lt;=120,I2001*1.1+7,IF(I2001&lt;=250,I2001*1.1+11,I2001*1.1+19))),
IF(L1999="NORMAL",
   IF(I2001&lt;=30,I2001*1.15+2,IF(I2001&lt;=80,I2001*1.15+4,IF(I2001&lt;=150,I2001*1.15+6,I2001*1.15+8))),
IF(L1999="COMPLEMENTO",
   IF(I2001&lt;=25,I2001*1.25+1.5,IF(I2001&lt;=60,I2001*1.25+3,IF(I2001&lt;=120,I2001*1.25+4,I2001*1.25+5))),
""))),2)</f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>IF(
OR(
ISNUMBER(SEARCH("BACKPACK",B2003)),
ISNUMBER(SEARCH("MOCHILA",B2003)),
ISNUMBER(SEARCH("FUNDA",B2003)),
ISNUMBER(SEARCH("ESTUCHE",B2003)),
ISNUMBER(SEARCH("BOOK COVER",B2003)),
ISNUMBER(SEARCH("KEYBOARD PARA TABLET",B2003)),
ISNUMBER(SEARCH("FLIP TABLET",B2003)),
ISNUMBER(SEARCH("CASE FOR TABLET",B2003)),
ISNUMBER(SEARCH("CABLE",B2003)),
ISNUMBER(SEARCH("ADAPTADOR",B2003)),
ISNUMBER(SEARCH("HUB",B2003)),
ISNUMBER(SEARCH("DOCK",B2003)),
ISNUMBER(SEARCH("MOUSE PAD",B2003)),
ISNUMBER(SEARCH("MOUSEPAD",B2003)),
ISNUMBER(SEARCH("SOPORTE",B2003)),
ISNUMBER(SEARCH("STAND",B2003)),
ISNUMBER(SEARCH("TRAVEL ADAPTER",B2003)),
ISNUMBER(SEARCH("RJ45",B2003)),
ISNUMBER(SEARCH("USB-C",B2003)),
ISNUMBER(SEARCH("USB WIFI",B2003)),
ISNUMBER(SEARCH("POWERBANK",B2003)),
ISNUMBER(SEARCH("CARGADOR",B2003)),
ISNUMBER(SEARCH("COOLER PARA NB",B2003)),
ISNUMBER(SEARCH("SOPORTE PARA NB",B2003)),
ISNUMBER(SEARCH("WEBCAM",B2003)),
ISNUMBER(SEARCH("WEB CAM",B2003)),
ISNUMBER(SEARCH("MOUSE",B2003)),
ISNUMBER(SEARCH("TECLADO",B2003))
),
"COMPLEMENTO",
IF(
OR(
LEFT(A2003,2)="NB",
LEFT(A2003,2)="PC",
LEFT(A2003,2)="WS",
LEFT(A2003,2)="TB",
LEFT(A2003,3)="CEL",
LEFT(A2003,3)="MON",
LEFT(A2003,3)="PRE",
LEFT(A2003,3)="PRH",
ISNUMBER(SEARCH("NOTEBOOK",B2003)),
ISNUMBER(SEARCH("LAPTOP",B2003)),
ISNUMBER(SEARCH("MONITOR",B2003)),
ISNUMBER(SEARCH("TABLET",B2003)),
ISNUMBER(SEARCH("SMARTPH",B2003)),
ISNUMBER(SEARCH("IMPRESORA",B2003)),
ISNUMBER(SEARCH("MULTIFUNCIONAL",B2003)),
ISNUMBER(SEARCH("AIO",B2003))
),
"GANCHO",
"NORMAL"
)
)</f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>ROUND(
IF(L2000="GANCHO",
   IF(I2002&lt;=50,I2002*1.1+4,IF(I2002&lt;=120,I2002*1.1+7,IF(I2002&lt;=250,I2002*1.1+11,I2002*1.1+19))),
IF(L2000="NORMAL",
   IF(I2002&lt;=30,I2002*1.15+2,IF(I2002&lt;=80,I2002*1.15+4,IF(I2002&lt;=150,I2002*1.15+6,I2002*1.15+8))),
IF(L2000="COMPLEMENTO",
   IF(I2002&lt;=25,I2002*1.25+1.5,IF(I2002&lt;=60,I2002*1.25+3,IF(I2002&lt;=120,I2002*1.25+4,I2002*1.25+5))),
""))),2)</f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>IF(
OR(
ISNUMBER(SEARCH("BACKPACK",B2004)),
ISNUMBER(SEARCH("MOCHILA",B2004)),
ISNUMBER(SEARCH("FUNDA",B2004)),
ISNUMBER(SEARCH("ESTUCHE",B2004)),
ISNUMBER(SEARCH("BOOK COVER",B2004)),
ISNUMBER(SEARCH("KEYBOARD PARA TABLET",B2004)),
ISNUMBER(SEARCH("FLIP TABLET",B2004)),
ISNUMBER(SEARCH("CASE FOR TABLET",B2004)),
ISNUMBER(SEARCH("CABLE",B2004)),
ISNUMBER(SEARCH("ADAPTADOR",B2004)),
ISNUMBER(SEARCH("HUB",B2004)),
ISNUMBER(SEARCH("DOCK",B2004)),
ISNUMBER(SEARCH("MOUSE PAD",B2004)),
ISNUMBER(SEARCH("MOUSEPAD",B2004)),
ISNUMBER(SEARCH("SOPORTE",B2004)),
ISNUMBER(SEARCH("STAND",B2004)),
ISNUMBER(SEARCH("TRAVEL ADAPTER",B2004)),
ISNUMBER(SEARCH("RJ45",B2004)),
ISNUMBER(SEARCH("USB-C",B2004)),
ISNUMBER(SEARCH("USB WIFI",B2004)),
ISNUMBER(SEARCH("POWERBANK",B2004)),
ISNUMBER(SEARCH("CARGADOR",B2004)),
ISNUMBER(SEARCH("COOLER PARA NB",B2004)),
ISNUMBER(SEARCH("SOPORTE PARA NB",B2004)),
ISNUMBER(SEARCH("WEBCAM",B2004)),
ISNUMBER(SEARCH("WEB CAM",B2004)),
ISNUMBER(SEARCH("MOUSE",B2004)),
ISNUMBER(SEARCH("TECLADO",B2004))
),
"COMPLEMENTO",
IF(
OR(
LEFT(A2004,2)="NB",
LEFT(A2004,2)="PC",
LEFT(A2004,2)="WS",
LEFT(A2004,2)="TB",
LEFT(A2004,3)="CEL",
LEFT(A2004,3)="MON",
LEFT(A2004,3)="PRE",
LEFT(A2004,3)="PRH",
ISNUMBER(SEARCH("NOTEBOOK",B2004)),
ISNUMBER(SEARCH("LAPTOP",B2004)),
ISNUMBER(SEARCH("MONITOR",B2004)),
ISNUMBER(SEARCH("TABLET",B2004)),
ISNUMBER(SEARCH("SMARTPH",B2004)),
ISNUMBER(SEARCH("IMPRESORA",B2004)),
ISNUMBER(SEARCH("MULTIFUNCIONAL",B2004)),
ISNUMBER(SEARCH("AIO",B2004))
),
"GANCHO",
"NORMAL"
)
)</f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>ROUND(
IF(L2001="GANCHO",
   IF(I2003&lt;=50,I2003*1.1+4,IF(I2003&lt;=120,I2003*1.1+7,IF(I2003&lt;=250,I2003*1.1+11,I2003*1.1+19))),
IF(L2001="NORMAL",
   IF(I2003&lt;=30,I2003*1.15+2,IF(I2003&lt;=80,I2003*1.15+4,IF(I2003&lt;=150,I2003*1.15+6,I2003*1.15+8))),
IF(L2001="COMPLEMENTO",
   IF(I2003&lt;=25,I2003*1.25+1.5,IF(I2003&lt;=60,I2003*1.25+3,IF(I2003&lt;=120,I2003*1.25+4,I2003*1.25+5))),
""))),2)</f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>IF(
OR(
ISNUMBER(SEARCH("BACKPACK",B2005)),
ISNUMBER(SEARCH("MOCHILA",B2005)),
ISNUMBER(SEARCH("FUNDA",B2005)),
ISNUMBER(SEARCH("ESTUCHE",B2005)),
ISNUMBER(SEARCH("BOOK COVER",B2005)),
ISNUMBER(SEARCH("KEYBOARD PARA TABLET",B2005)),
ISNUMBER(SEARCH("FLIP TABLET",B2005)),
ISNUMBER(SEARCH("CASE FOR TABLET",B2005)),
ISNUMBER(SEARCH("CABLE",B2005)),
ISNUMBER(SEARCH("ADAPTADOR",B2005)),
ISNUMBER(SEARCH("HUB",B2005)),
ISNUMBER(SEARCH("DOCK",B2005)),
ISNUMBER(SEARCH("MOUSE PAD",B2005)),
ISNUMBER(SEARCH("MOUSEPAD",B2005)),
ISNUMBER(SEARCH("SOPORTE",B2005)),
ISNUMBER(SEARCH("STAND",B2005)),
ISNUMBER(SEARCH("TRAVEL ADAPTER",B2005)),
ISNUMBER(SEARCH("RJ45",B2005)),
ISNUMBER(SEARCH("USB-C",B2005)),
ISNUMBER(SEARCH("USB WIFI",B2005)),
ISNUMBER(SEARCH("POWERBANK",B2005)),
ISNUMBER(SEARCH("CARGADOR",B2005)),
ISNUMBER(SEARCH("COOLER PARA NB",B2005)),
ISNUMBER(SEARCH("SOPORTE PARA NB",B2005)),
ISNUMBER(SEARCH("WEBCAM",B2005)),
ISNUMBER(SEARCH("WEB CAM",B2005)),
ISNUMBER(SEARCH("MOUSE",B2005)),
ISNUMBER(SEARCH("TECLADO",B2005))
),
"COMPLEMENTO",
IF(
OR(
LEFT(A2005,2)="NB",
LEFT(A2005,2)="PC",
LEFT(A2005,2)="WS",
LEFT(A2005,2)="TB",
LEFT(A2005,3)="CEL",
LEFT(A2005,3)="MON",
LEFT(A2005,3)="PRE",
LEFT(A2005,3)="PRH",
ISNUMBER(SEARCH("NOTEBOOK",B2005)),
ISNUMBER(SEARCH("LAPTOP",B2005)),
ISNUMBER(SEARCH("MONITOR",B2005)),
ISNUMBER(SEARCH("TABLET",B2005)),
ISNUMBER(SEARCH("SMARTPH",B2005)),
ISNUMBER(SEARCH("IMPRESORA",B2005)),
ISNUMBER(SEARCH("MULTIFUNCIONAL",B2005)),
ISNUMBER(SEARCH("AIO",B2005))
),
"GANCHO",
"NORMAL"
)
)</f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>ROUND(
IF(L2002="GANCHO",
   IF(I2004&lt;=50,I2004*1.1+4,IF(I2004&lt;=120,I2004*1.1+7,IF(I2004&lt;=250,I2004*1.1+11,I2004*1.1+19))),
IF(L2002="NORMAL",
   IF(I2004&lt;=30,I2004*1.15+2,IF(I2004&lt;=80,I2004*1.15+4,IF(I2004&lt;=150,I2004*1.15+6,I2004*1.15+8))),
IF(L2002="COMPLEMENTO",
   IF(I2004&lt;=25,I2004*1.25+1.5,IF(I2004&lt;=60,I2004*1.25+3,IF(I2004&lt;=120,I2004*1.25+4,I2004*1.25+5))),
""))),2)</f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>IF(
OR(
ISNUMBER(SEARCH("BACKPACK",B2006)),
ISNUMBER(SEARCH("MOCHILA",B2006)),
ISNUMBER(SEARCH("FUNDA",B2006)),
ISNUMBER(SEARCH("ESTUCHE",B2006)),
ISNUMBER(SEARCH("BOOK COVER",B2006)),
ISNUMBER(SEARCH("KEYBOARD PARA TABLET",B2006)),
ISNUMBER(SEARCH("FLIP TABLET",B2006)),
ISNUMBER(SEARCH("CASE FOR TABLET",B2006)),
ISNUMBER(SEARCH("CABLE",B2006)),
ISNUMBER(SEARCH("ADAPTADOR",B2006)),
ISNUMBER(SEARCH("HUB",B2006)),
ISNUMBER(SEARCH("DOCK",B2006)),
ISNUMBER(SEARCH("MOUSE PAD",B2006)),
ISNUMBER(SEARCH("MOUSEPAD",B2006)),
ISNUMBER(SEARCH("SOPORTE",B2006)),
ISNUMBER(SEARCH("STAND",B2006)),
ISNUMBER(SEARCH("TRAVEL ADAPTER",B2006)),
ISNUMBER(SEARCH("RJ45",B2006)),
ISNUMBER(SEARCH("USB-C",B2006)),
ISNUMBER(SEARCH("USB WIFI",B2006)),
ISNUMBER(SEARCH("POWERBANK",B2006)),
ISNUMBER(SEARCH("CARGADOR",B2006)),
ISNUMBER(SEARCH("COOLER PARA NB",B2006)),
ISNUMBER(SEARCH("SOPORTE PARA NB",B2006)),
ISNUMBER(SEARCH("WEBCAM",B2006)),
ISNUMBER(SEARCH("WEB CAM",B2006)),
ISNUMBER(SEARCH("MOUSE",B2006)),
ISNUMBER(SEARCH("TECLADO",B2006))
),
"COMPLEMENTO",
IF(
OR(
LEFT(A2006,2)="NB",
LEFT(A2006,2)="PC",
LEFT(A2006,2)="WS",
LEFT(A2006,2)="TB",
LEFT(A2006,3)="CEL",
LEFT(A2006,3)="MON",
LEFT(A2006,3)="PRE",
LEFT(A2006,3)="PRH",
ISNUMBER(SEARCH("NOTEBOOK",B2006)),
ISNUMBER(SEARCH("LAPTOP",B2006)),
ISNUMBER(SEARCH("MONITOR",B2006)),
ISNUMBER(SEARCH("TABLET",B2006)),
ISNUMBER(SEARCH("SMARTPH",B2006)),
ISNUMBER(SEARCH("IMPRESORA",B2006)),
ISNUMBER(SEARCH("MULTIFUNCIONAL",B2006)),
ISNUMBER(SEARCH("AIO",B2006))
),
"GANCHO",
"NORMAL"
)
)</f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>ROUND(
IF(L2003="GANCHO",
   IF(I2005&lt;=50,I2005*1.1+4,IF(I2005&lt;=120,I2005*1.1+7,IF(I2005&lt;=250,I2005*1.1+11,I2005*1.1+19))),
IF(L2003="NORMAL",
   IF(I2005&lt;=30,I2005*1.15+2,IF(I2005&lt;=80,I2005*1.15+4,IF(I2005&lt;=150,I2005*1.15+6,I2005*1.15+8))),
IF(L2003="COMPLEMENTO",
   IF(I2005&lt;=25,I2005*1.25+1.5,IF(I2005&lt;=60,I2005*1.25+3,IF(I2005&lt;=120,I2005*1.25+4,I2005*1.25+5))),
""))),2)</f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>IF(
OR(
ISNUMBER(SEARCH("BACKPACK",B2007)),
ISNUMBER(SEARCH("MOCHILA",B2007)),
ISNUMBER(SEARCH("FUNDA",B2007)),
ISNUMBER(SEARCH("ESTUCHE",B2007)),
ISNUMBER(SEARCH("BOOK COVER",B2007)),
ISNUMBER(SEARCH("KEYBOARD PARA TABLET",B2007)),
ISNUMBER(SEARCH("FLIP TABLET",B2007)),
ISNUMBER(SEARCH("CASE FOR TABLET",B2007)),
ISNUMBER(SEARCH("CABLE",B2007)),
ISNUMBER(SEARCH("ADAPTADOR",B2007)),
ISNUMBER(SEARCH("HUB",B2007)),
ISNUMBER(SEARCH("DOCK",B2007)),
ISNUMBER(SEARCH("MOUSE PAD",B2007)),
ISNUMBER(SEARCH("MOUSEPAD",B2007)),
ISNUMBER(SEARCH("SOPORTE",B2007)),
ISNUMBER(SEARCH("STAND",B2007)),
ISNUMBER(SEARCH("TRAVEL ADAPTER",B2007)),
ISNUMBER(SEARCH("RJ45",B2007)),
ISNUMBER(SEARCH("USB-C",B2007)),
ISNUMBER(SEARCH("USB WIFI",B2007)),
ISNUMBER(SEARCH("POWERBANK",B2007)),
ISNUMBER(SEARCH("CARGADOR",B2007)),
ISNUMBER(SEARCH("COOLER PARA NB",B2007)),
ISNUMBER(SEARCH("SOPORTE PARA NB",B2007)),
ISNUMBER(SEARCH("WEBCAM",B2007)),
ISNUMBER(SEARCH("WEB CAM",B2007)),
ISNUMBER(SEARCH("MOUSE",B2007)),
ISNUMBER(SEARCH("TECLADO",B2007))
),
"COMPLEMENTO",
IF(
OR(
LEFT(A2007,2)="NB",
LEFT(A2007,2)="PC",
LEFT(A2007,2)="WS",
LEFT(A2007,2)="TB",
LEFT(A2007,3)="CEL",
LEFT(A2007,3)="MON",
LEFT(A2007,3)="PRE",
LEFT(A2007,3)="PRH",
ISNUMBER(SEARCH("NOTEBOOK",B2007)),
ISNUMBER(SEARCH("LAPTOP",B2007)),
ISNUMBER(SEARCH("MONITOR",B2007)),
ISNUMBER(SEARCH("TABLET",B2007)),
ISNUMBER(SEARCH("SMARTPH",B2007)),
ISNUMBER(SEARCH("IMPRESORA",B2007)),
ISNUMBER(SEARCH("MULTIFUNCIONAL",B2007)),
ISNUMBER(SEARCH("AIO",B2007))
),
"GANCHO",
"NORMAL"
)
)</f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>ROUND(
IF(L2004="GANCHO",
   IF(I2006&lt;=50,I2006*1.1+4,IF(I2006&lt;=120,I2006*1.1+7,IF(I2006&lt;=250,I2006*1.1+11,I2006*1.1+19))),
IF(L2004="NORMAL",
   IF(I2006&lt;=30,I2006*1.15+2,IF(I2006&lt;=80,I2006*1.15+4,IF(I2006&lt;=150,I2006*1.15+6,I2006*1.15+8))),
IF(L2004="COMPLEMENTO",
   IF(I2006&lt;=25,I2006*1.25+1.5,IF(I2006&lt;=60,I2006*1.25+3,IF(I2006&lt;=120,I2006*1.25+4,I2006*1.25+5))),
""))),2)</f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>IF(
OR(
ISNUMBER(SEARCH("BACKPACK",B2008)),
ISNUMBER(SEARCH("MOCHILA",B2008)),
ISNUMBER(SEARCH("FUNDA",B2008)),
ISNUMBER(SEARCH("ESTUCHE",B2008)),
ISNUMBER(SEARCH("BOOK COVER",B2008)),
ISNUMBER(SEARCH("KEYBOARD PARA TABLET",B2008)),
ISNUMBER(SEARCH("FLIP TABLET",B2008)),
ISNUMBER(SEARCH("CASE FOR TABLET",B2008)),
ISNUMBER(SEARCH("CABLE",B2008)),
ISNUMBER(SEARCH("ADAPTADOR",B2008)),
ISNUMBER(SEARCH("HUB",B2008)),
ISNUMBER(SEARCH("DOCK",B2008)),
ISNUMBER(SEARCH("MOUSE PAD",B2008)),
ISNUMBER(SEARCH("MOUSEPAD",B2008)),
ISNUMBER(SEARCH("SOPORTE",B2008)),
ISNUMBER(SEARCH("STAND",B2008)),
ISNUMBER(SEARCH("TRAVEL ADAPTER",B2008)),
ISNUMBER(SEARCH("RJ45",B2008)),
ISNUMBER(SEARCH("USB-C",B2008)),
ISNUMBER(SEARCH("USB WIFI",B2008)),
ISNUMBER(SEARCH("POWERBANK",B2008)),
ISNUMBER(SEARCH("CARGADOR",B2008)),
ISNUMBER(SEARCH("COOLER PARA NB",B2008)),
ISNUMBER(SEARCH("SOPORTE PARA NB",B2008)),
ISNUMBER(SEARCH("WEBCAM",B2008)),
ISNUMBER(SEARCH("WEB CAM",B2008)),
ISNUMBER(SEARCH("MOUSE",B2008)),
ISNUMBER(SEARCH("TECLADO",B2008))
),
"COMPLEMENTO",
IF(
OR(
LEFT(A2008,2)="NB",
LEFT(A2008,2)="PC",
LEFT(A2008,2)="WS",
LEFT(A2008,2)="TB",
LEFT(A2008,3)="CEL",
LEFT(A2008,3)="MON",
LEFT(A2008,3)="PRE",
LEFT(A2008,3)="PRH",
ISNUMBER(SEARCH("NOTEBOOK",B2008)),
ISNUMBER(SEARCH("LAPTOP",B2008)),
ISNUMBER(SEARCH("MONITOR",B2008)),
ISNUMBER(SEARCH("TABLET",B2008)),
ISNUMBER(SEARCH("SMARTPH",B2008)),
ISNUMBER(SEARCH("IMPRESORA",B2008)),
ISNUMBER(SEARCH("MULTIFUNCIONAL",B2008)),
ISNUMBER(SEARCH("AIO",B2008))
),
"GANCHO",
"NORMAL"
)
)</f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>ROUND(
IF(L2005="GANCHO",
   IF(I2007&lt;=50,I2007*1.1+4,IF(I2007&lt;=120,I2007*1.1+7,IF(I2007&lt;=250,I2007*1.1+11,I2007*1.1+19))),
IF(L2005="NORMAL",
   IF(I2007&lt;=30,I2007*1.15+2,IF(I2007&lt;=80,I2007*1.15+4,IF(I2007&lt;=150,I2007*1.15+6,I2007*1.15+8))),
IF(L2005="COMPLEMENTO",
   IF(I2007&lt;=25,I2007*1.25+1.5,IF(I2007&lt;=60,I2007*1.25+3,IF(I2007&lt;=120,I2007*1.25+4,I2007*1.25+5))),
""))),2)</f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>IF(
OR(
ISNUMBER(SEARCH("BACKPACK",B2009)),
ISNUMBER(SEARCH("MOCHILA",B2009)),
ISNUMBER(SEARCH("FUNDA",B2009)),
ISNUMBER(SEARCH("ESTUCHE",B2009)),
ISNUMBER(SEARCH("BOOK COVER",B2009)),
ISNUMBER(SEARCH("KEYBOARD PARA TABLET",B2009)),
ISNUMBER(SEARCH("FLIP TABLET",B2009)),
ISNUMBER(SEARCH("CASE FOR TABLET",B2009)),
ISNUMBER(SEARCH("CABLE",B2009)),
ISNUMBER(SEARCH("ADAPTADOR",B2009)),
ISNUMBER(SEARCH("HUB",B2009)),
ISNUMBER(SEARCH("DOCK",B2009)),
ISNUMBER(SEARCH("MOUSE PAD",B2009)),
ISNUMBER(SEARCH("MOUSEPAD",B2009)),
ISNUMBER(SEARCH("SOPORTE",B2009)),
ISNUMBER(SEARCH("STAND",B2009)),
ISNUMBER(SEARCH("TRAVEL ADAPTER",B2009)),
ISNUMBER(SEARCH("RJ45",B2009)),
ISNUMBER(SEARCH("USB-C",B2009)),
ISNUMBER(SEARCH("USB WIFI",B2009)),
ISNUMBER(SEARCH("POWERBANK",B2009)),
ISNUMBER(SEARCH("CARGADOR",B2009)),
ISNUMBER(SEARCH("COOLER PARA NB",B2009)),
ISNUMBER(SEARCH("SOPORTE PARA NB",B2009)),
ISNUMBER(SEARCH("WEBCAM",B2009)),
ISNUMBER(SEARCH("WEB CAM",B2009)),
ISNUMBER(SEARCH("MOUSE",B2009)),
ISNUMBER(SEARCH("TECLADO",B2009))
),
"COMPLEMENTO",
IF(
OR(
LEFT(A2009,2)="NB",
LEFT(A2009,2)="PC",
LEFT(A2009,2)="WS",
LEFT(A2009,2)="TB",
LEFT(A2009,3)="CEL",
LEFT(A2009,3)="MON",
LEFT(A2009,3)="PRE",
LEFT(A2009,3)="PRH",
ISNUMBER(SEARCH("NOTEBOOK",B2009)),
ISNUMBER(SEARCH("LAPTOP",B2009)),
ISNUMBER(SEARCH("MONITOR",B2009)),
ISNUMBER(SEARCH("TABLET",B2009)),
ISNUMBER(SEARCH("SMARTPH",B2009)),
ISNUMBER(SEARCH("IMPRESORA",B2009)),
ISNUMBER(SEARCH("MULTIFUNCIONAL",B2009)),
ISNUMBER(SEARCH("AIO",B2009))
),
"GANCHO",
"NORMAL"
)
)</f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>ROUND(
IF(L2006="GANCHO",
   IF(I2008&lt;=50,I2008*1.1+4,IF(I2008&lt;=120,I2008*1.1+7,IF(I2008&lt;=250,I2008*1.1+11,I2008*1.1+19))),
IF(L2006="NORMAL",
   IF(I2008&lt;=30,I2008*1.15+2,IF(I2008&lt;=80,I2008*1.15+4,IF(I2008&lt;=150,I2008*1.15+6,I2008*1.15+8))),
IF(L2006="COMPLEMENTO",
   IF(I2008&lt;=25,I2008*1.25+1.5,IF(I2008&lt;=60,I2008*1.25+3,IF(I2008&lt;=120,I2008*1.25+4,I2008*1.25+5))),
""))),2)</f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>IF(
OR(
ISNUMBER(SEARCH("BACKPACK",B2010)),
ISNUMBER(SEARCH("MOCHILA",B2010)),
ISNUMBER(SEARCH("FUNDA",B2010)),
ISNUMBER(SEARCH("ESTUCHE",B2010)),
ISNUMBER(SEARCH("BOOK COVER",B2010)),
ISNUMBER(SEARCH("KEYBOARD PARA TABLET",B2010)),
ISNUMBER(SEARCH("FLIP TABLET",B2010)),
ISNUMBER(SEARCH("CASE FOR TABLET",B2010)),
ISNUMBER(SEARCH("CABLE",B2010)),
ISNUMBER(SEARCH("ADAPTADOR",B2010)),
ISNUMBER(SEARCH("HUB",B2010)),
ISNUMBER(SEARCH("DOCK",B2010)),
ISNUMBER(SEARCH("MOUSE PAD",B2010)),
ISNUMBER(SEARCH("MOUSEPAD",B2010)),
ISNUMBER(SEARCH("SOPORTE",B2010)),
ISNUMBER(SEARCH("STAND",B2010)),
ISNUMBER(SEARCH("TRAVEL ADAPTER",B2010)),
ISNUMBER(SEARCH("RJ45",B2010)),
ISNUMBER(SEARCH("USB-C",B2010)),
ISNUMBER(SEARCH("USB WIFI",B2010)),
ISNUMBER(SEARCH("POWERBANK",B2010)),
ISNUMBER(SEARCH("CARGADOR",B2010)),
ISNUMBER(SEARCH("COOLER PARA NB",B2010)),
ISNUMBER(SEARCH("SOPORTE PARA NB",B2010)),
ISNUMBER(SEARCH("WEBCAM",B2010)),
ISNUMBER(SEARCH("WEB CAM",B2010)),
ISNUMBER(SEARCH("MOUSE",B2010)),
ISNUMBER(SEARCH("TECLADO",B2010))
),
"COMPLEMENTO",
IF(
OR(
LEFT(A2010,2)="NB",
LEFT(A2010,2)="PC",
LEFT(A2010,2)="WS",
LEFT(A2010,2)="TB",
LEFT(A2010,3)="CEL",
LEFT(A2010,3)="MON",
LEFT(A2010,3)="PRE",
LEFT(A2010,3)="PRH",
ISNUMBER(SEARCH("NOTEBOOK",B2010)),
ISNUMBER(SEARCH("LAPTOP",B2010)),
ISNUMBER(SEARCH("MONITOR",B2010)),
ISNUMBER(SEARCH("TABLET",B2010)),
ISNUMBER(SEARCH("SMARTPH",B2010)),
ISNUMBER(SEARCH("IMPRESORA",B2010)),
ISNUMBER(SEARCH("MULTIFUNCIONAL",B2010)),
ISNUMBER(SEARCH("AIO",B2010))
),
"GANCHO",
"NORMAL"
)
)</f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>ROUND(
IF(L2007="GANCHO",
   IF(I2009&lt;=50,I2009*1.1+4,IF(I2009&lt;=120,I2009*1.1+7,IF(I2009&lt;=250,I2009*1.1+11,I2009*1.1+19))),
IF(L2007="NORMAL",
   IF(I2009&lt;=30,I2009*1.15+2,IF(I2009&lt;=80,I2009*1.15+4,IF(I2009&lt;=150,I2009*1.15+6,I2009*1.15+8))),
IF(L2007="COMPLEMENTO",
   IF(I2009&lt;=25,I2009*1.25+1.5,IF(I2009&lt;=60,I2009*1.25+3,IF(I2009&lt;=120,I2009*1.25+4,I2009*1.25+5))),
""))),2)</f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>IF(
OR(
ISNUMBER(SEARCH("BACKPACK",B2011)),
ISNUMBER(SEARCH("MOCHILA",B2011)),
ISNUMBER(SEARCH("FUNDA",B2011)),
ISNUMBER(SEARCH("ESTUCHE",B2011)),
ISNUMBER(SEARCH("BOOK COVER",B2011)),
ISNUMBER(SEARCH("KEYBOARD PARA TABLET",B2011)),
ISNUMBER(SEARCH("FLIP TABLET",B2011)),
ISNUMBER(SEARCH("CASE FOR TABLET",B2011)),
ISNUMBER(SEARCH("CABLE",B2011)),
ISNUMBER(SEARCH("ADAPTADOR",B2011)),
ISNUMBER(SEARCH("HUB",B2011)),
ISNUMBER(SEARCH("DOCK",B2011)),
ISNUMBER(SEARCH("MOUSE PAD",B2011)),
ISNUMBER(SEARCH("MOUSEPAD",B2011)),
ISNUMBER(SEARCH("SOPORTE",B2011)),
ISNUMBER(SEARCH("STAND",B2011)),
ISNUMBER(SEARCH("TRAVEL ADAPTER",B2011)),
ISNUMBER(SEARCH("RJ45",B2011)),
ISNUMBER(SEARCH("USB-C",B2011)),
ISNUMBER(SEARCH("USB WIFI",B2011)),
ISNUMBER(SEARCH("POWERBANK",B2011)),
ISNUMBER(SEARCH("CARGADOR",B2011)),
ISNUMBER(SEARCH("COOLER PARA NB",B2011)),
ISNUMBER(SEARCH("SOPORTE PARA NB",B2011)),
ISNUMBER(SEARCH("WEBCAM",B2011)),
ISNUMBER(SEARCH("WEB CAM",B2011)),
ISNUMBER(SEARCH("MOUSE",B2011)),
ISNUMBER(SEARCH("TECLADO",B2011))
),
"COMPLEMENTO",
IF(
OR(
LEFT(A2011,2)="NB",
LEFT(A2011,2)="PC",
LEFT(A2011,2)="WS",
LEFT(A2011,2)="TB",
LEFT(A2011,3)="CEL",
LEFT(A2011,3)="MON",
LEFT(A2011,3)="PRE",
LEFT(A2011,3)="PRH",
ISNUMBER(SEARCH("NOTEBOOK",B2011)),
ISNUMBER(SEARCH("LAPTOP",B2011)),
ISNUMBER(SEARCH("MONITOR",B2011)),
ISNUMBER(SEARCH("TABLET",B2011)),
ISNUMBER(SEARCH("SMARTPH",B2011)),
ISNUMBER(SEARCH("IMPRESORA",B2011)),
ISNUMBER(SEARCH("MULTIFUNCIONAL",B2011)),
ISNUMBER(SEARCH("AIO",B2011))
),
"GANCHO",
"NORMAL"
)
)</f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>ROUND(
IF(L2008="GANCHO",
   IF(I2010&lt;=50,I2010*1.1+4,IF(I2010&lt;=120,I2010*1.1+7,IF(I2010&lt;=250,I2010*1.1+11,I2010*1.1+19))),
IF(L2008="NORMAL",
   IF(I2010&lt;=30,I2010*1.15+2,IF(I2010&lt;=80,I2010*1.15+4,IF(I2010&lt;=150,I2010*1.15+6,I2010*1.15+8))),
IF(L2008="COMPLEMENTO",
   IF(I2010&lt;=25,I2010*1.25+1.5,IF(I2010&lt;=60,I2010*1.25+3,IF(I2010&lt;=120,I2010*1.25+4,I2010*1.25+5))),
""))),2)</f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>IF(
OR(
ISNUMBER(SEARCH("BACKPACK",B2012)),
ISNUMBER(SEARCH("MOCHILA",B2012)),
ISNUMBER(SEARCH("FUNDA",B2012)),
ISNUMBER(SEARCH("ESTUCHE",B2012)),
ISNUMBER(SEARCH("BOOK COVER",B2012)),
ISNUMBER(SEARCH("KEYBOARD PARA TABLET",B2012)),
ISNUMBER(SEARCH("FLIP TABLET",B2012)),
ISNUMBER(SEARCH("CASE FOR TABLET",B2012)),
ISNUMBER(SEARCH("CABLE",B2012)),
ISNUMBER(SEARCH("ADAPTADOR",B2012)),
ISNUMBER(SEARCH("HUB",B2012)),
ISNUMBER(SEARCH("DOCK",B2012)),
ISNUMBER(SEARCH("MOUSE PAD",B2012)),
ISNUMBER(SEARCH("MOUSEPAD",B2012)),
ISNUMBER(SEARCH("SOPORTE",B2012)),
ISNUMBER(SEARCH("STAND",B2012)),
ISNUMBER(SEARCH("TRAVEL ADAPTER",B2012)),
ISNUMBER(SEARCH("RJ45",B2012)),
ISNUMBER(SEARCH("USB-C",B2012)),
ISNUMBER(SEARCH("USB WIFI",B2012)),
ISNUMBER(SEARCH("POWERBANK",B2012)),
ISNUMBER(SEARCH("CARGADOR",B2012)),
ISNUMBER(SEARCH("COOLER PARA NB",B2012)),
ISNUMBER(SEARCH("SOPORTE PARA NB",B2012)),
ISNUMBER(SEARCH("WEBCAM",B2012)),
ISNUMBER(SEARCH("WEB CAM",B2012)),
ISNUMBER(SEARCH("MOUSE",B2012)),
ISNUMBER(SEARCH("TECLADO",B2012))
),
"COMPLEMENTO",
IF(
OR(
LEFT(A2012,2)="NB",
LEFT(A2012,2)="PC",
LEFT(A2012,2)="WS",
LEFT(A2012,2)="TB",
LEFT(A2012,3)="CEL",
LEFT(A2012,3)="MON",
LEFT(A2012,3)="PRE",
LEFT(A2012,3)="PRH",
ISNUMBER(SEARCH("NOTEBOOK",B2012)),
ISNUMBER(SEARCH("LAPTOP",B2012)),
ISNUMBER(SEARCH("MONITOR",B2012)),
ISNUMBER(SEARCH("TABLET",B2012)),
ISNUMBER(SEARCH("SMARTPH",B2012)),
ISNUMBER(SEARCH("IMPRESORA",B2012)),
ISNUMBER(SEARCH("MULTIFUNCIONAL",B2012)),
ISNUMBER(SEARCH("AIO",B2012))
),
"GANCHO",
"NORMAL"
)
)</f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>ROUND(
IF(L2009="GANCHO",
   IF(I2011&lt;=50,I2011*1.1+4,IF(I2011&lt;=120,I2011*1.1+7,IF(I2011&lt;=250,I2011*1.1+11,I2011*1.1+19))),
IF(L2009="NORMAL",
   IF(I2011&lt;=30,I2011*1.15+2,IF(I2011&lt;=80,I2011*1.15+4,IF(I2011&lt;=150,I2011*1.15+6,I2011*1.15+8))),
IF(L2009="COMPLEMENTO",
   IF(I2011&lt;=25,I2011*1.25+1.5,IF(I2011&lt;=60,I2011*1.25+3,IF(I2011&lt;=120,I2011*1.25+4,I2011*1.25+5))),
""))),2)</f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>IF(
OR(
ISNUMBER(SEARCH("BACKPACK",B2013)),
ISNUMBER(SEARCH("MOCHILA",B2013)),
ISNUMBER(SEARCH("FUNDA",B2013)),
ISNUMBER(SEARCH("ESTUCHE",B2013)),
ISNUMBER(SEARCH("BOOK COVER",B2013)),
ISNUMBER(SEARCH("KEYBOARD PARA TABLET",B2013)),
ISNUMBER(SEARCH("FLIP TABLET",B2013)),
ISNUMBER(SEARCH("CASE FOR TABLET",B2013)),
ISNUMBER(SEARCH("CABLE",B2013)),
ISNUMBER(SEARCH("ADAPTADOR",B2013)),
ISNUMBER(SEARCH("HUB",B2013)),
ISNUMBER(SEARCH("DOCK",B2013)),
ISNUMBER(SEARCH("MOUSE PAD",B2013)),
ISNUMBER(SEARCH("MOUSEPAD",B2013)),
ISNUMBER(SEARCH("SOPORTE",B2013)),
ISNUMBER(SEARCH("STAND",B2013)),
ISNUMBER(SEARCH("TRAVEL ADAPTER",B2013)),
ISNUMBER(SEARCH("RJ45",B2013)),
ISNUMBER(SEARCH("USB-C",B2013)),
ISNUMBER(SEARCH("USB WIFI",B2013)),
ISNUMBER(SEARCH("POWERBANK",B2013)),
ISNUMBER(SEARCH("CARGADOR",B2013)),
ISNUMBER(SEARCH("COOLER PARA NB",B2013)),
ISNUMBER(SEARCH("SOPORTE PARA NB",B2013)),
ISNUMBER(SEARCH("WEBCAM",B2013)),
ISNUMBER(SEARCH("WEB CAM",B2013)),
ISNUMBER(SEARCH("MOUSE",B2013)),
ISNUMBER(SEARCH("TECLADO",B2013))
),
"COMPLEMENTO",
IF(
OR(
LEFT(A2013,2)="NB",
LEFT(A2013,2)="PC",
LEFT(A2013,2)="WS",
LEFT(A2013,2)="TB",
LEFT(A2013,3)="CEL",
LEFT(A2013,3)="MON",
LEFT(A2013,3)="PRE",
LEFT(A2013,3)="PRH",
ISNUMBER(SEARCH("NOTEBOOK",B2013)),
ISNUMBER(SEARCH("LAPTOP",B2013)),
ISNUMBER(SEARCH("MONITOR",B2013)),
ISNUMBER(SEARCH("TABLET",B2013)),
ISNUMBER(SEARCH("SMARTPH",B2013)),
ISNUMBER(SEARCH("IMPRESORA",B2013)),
ISNUMBER(SEARCH("MULTIFUNCIONAL",B2013)),
ISNUMBER(SEARCH("AIO",B2013))
),
"GANCHO",
"NORMAL"
)
)</f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>ROUND(
IF(L2010="GANCHO",
   IF(I2012&lt;=50,I2012*1.1+4,IF(I2012&lt;=120,I2012*1.1+7,IF(I2012&lt;=250,I2012*1.1+11,I2012*1.1+19))),
IF(L2010="NORMAL",
   IF(I2012&lt;=30,I2012*1.15+2,IF(I2012&lt;=80,I2012*1.15+4,IF(I2012&lt;=150,I2012*1.15+6,I2012*1.15+8))),
IF(L2010="COMPLEMENTO",
   IF(I2012&lt;=25,I2012*1.25+1.5,IF(I2012&lt;=60,I2012*1.25+3,IF(I2012&lt;=120,I2012*1.25+4,I2012*1.25+5))),
""))),2)</f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>IF(
OR(
ISNUMBER(SEARCH("BACKPACK",B2014)),
ISNUMBER(SEARCH("MOCHILA",B2014)),
ISNUMBER(SEARCH("FUNDA",B2014)),
ISNUMBER(SEARCH("ESTUCHE",B2014)),
ISNUMBER(SEARCH("BOOK COVER",B2014)),
ISNUMBER(SEARCH("KEYBOARD PARA TABLET",B2014)),
ISNUMBER(SEARCH("FLIP TABLET",B2014)),
ISNUMBER(SEARCH("CASE FOR TABLET",B2014)),
ISNUMBER(SEARCH("CABLE",B2014)),
ISNUMBER(SEARCH("ADAPTADOR",B2014)),
ISNUMBER(SEARCH("HUB",B2014)),
ISNUMBER(SEARCH("DOCK",B2014)),
ISNUMBER(SEARCH("MOUSE PAD",B2014)),
ISNUMBER(SEARCH("MOUSEPAD",B2014)),
ISNUMBER(SEARCH("SOPORTE",B2014)),
ISNUMBER(SEARCH("STAND",B2014)),
ISNUMBER(SEARCH("TRAVEL ADAPTER",B2014)),
ISNUMBER(SEARCH("RJ45",B2014)),
ISNUMBER(SEARCH("USB-C",B2014)),
ISNUMBER(SEARCH("USB WIFI",B2014)),
ISNUMBER(SEARCH("POWERBANK",B2014)),
ISNUMBER(SEARCH("CARGADOR",B2014)),
ISNUMBER(SEARCH("COOLER PARA NB",B2014)),
ISNUMBER(SEARCH("SOPORTE PARA NB",B2014)),
ISNUMBER(SEARCH("WEBCAM",B2014)),
ISNUMBER(SEARCH("WEB CAM",B2014)),
ISNUMBER(SEARCH("MOUSE",B2014)),
ISNUMBER(SEARCH("TECLADO",B2014))
),
"COMPLEMENTO",
IF(
OR(
LEFT(A2014,2)="NB",
LEFT(A2014,2)="PC",
LEFT(A2014,2)="WS",
LEFT(A2014,2)="TB",
LEFT(A2014,3)="CEL",
LEFT(A2014,3)="MON",
LEFT(A2014,3)="PRE",
LEFT(A2014,3)="PRH",
ISNUMBER(SEARCH("NOTEBOOK",B2014)),
ISNUMBER(SEARCH("LAPTOP",B2014)),
ISNUMBER(SEARCH("MONITOR",B2014)),
ISNUMBER(SEARCH("TABLET",B2014)),
ISNUMBER(SEARCH("SMARTPH",B2014)),
ISNUMBER(SEARCH("IMPRESORA",B2014)),
ISNUMBER(SEARCH("MULTIFUNCIONAL",B2014)),
ISNUMBER(SEARCH("AIO",B2014))
),
"GANCHO",
"NORMAL"
)
)</f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>ROUND(
IF(L2011="GANCHO",
   IF(I2013&lt;=50,I2013*1.1+4,IF(I2013&lt;=120,I2013*1.1+7,IF(I2013&lt;=250,I2013*1.1+11,I2013*1.1+19))),
IF(L2011="NORMAL",
   IF(I2013&lt;=30,I2013*1.15+2,IF(I2013&lt;=80,I2013*1.15+4,IF(I2013&lt;=150,I2013*1.15+6,I2013*1.15+8))),
IF(L2011="COMPLEMENTO",
   IF(I2013&lt;=25,I2013*1.25+1.5,IF(I2013&lt;=60,I2013*1.25+3,IF(I2013&lt;=120,I2013*1.25+4,I2013*1.25+5))),
""))),2)</f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>IF(
OR(
ISNUMBER(SEARCH("BACKPACK",B2015)),
ISNUMBER(SEARCH("MOCHILA",B2015)),
ISNUMBER(SEARCH("FUNDA",B2015)),
ISNUMBER(SEARCH("ESTUCHE",B2015)),
ISNUMBER(SEARCH("BOOK COVER",B2015)),
ISNUMBER(SEARCH("KEYBOARD PARA TABLET",B2015)),
ISNUMBER(SEARCH("FLIP TABLET",B2015)),
ISNUMBER(SEARCH("CASE FOR TABLET",B2015)),
ISNUMBER(SEARCH("CABLE",B2015)),
ISNUMBER(SEARCH("ADAPTADOR",B2015)),
ISNUMBER(SEARCH("HUB",B2015)),
ISNUMBER(SEARCH("DOCK",B2015)),
ISNUMBER(SEARCH("MOUSE PAD",B2015)),
ISNUMBER(SEARCH("MOUSEPAD",B2015)),
ISNUMBER(SEARCH("SOPORTE",B2015)),
ISNUMBER(SEARCH("STAND",B2015)),
ISNUMBER(SEARCH("TRAVEL ADAPTER",B2015)),
ISNUMBER(SEARCH("RJ45",B2015)),
ISNUMBER(SEARCH("USB-C",B2015)),
ISNUMBER(SEARCH("USB WIFI",B2015)),
ISNUMBER(SEARCH("POWERBANK",B2015)),
ISNUMBER(SEARCH("CARGADOR",B2015)),
ISNUMBER(SEARCH("COOLER PARA NB",B2015)),
ISNUMBER(SEARCH("SOPORTE PARA NB",B2015)),
ISNUMBER(SEARCH("WEBCAM",B2015)),
ISNUMBER(SEARCH("WEB CAM",B2015)),
ISNUMBER(SEARCH("MOUSE",B2015)),
ISNUMBER(SEARCH("TECLADO",B2015))
),
"COMPLEMENTO",
IF(
OR(
LEFT(A2015,2)="NB",
LEFT(A2015,2)="PC",
LEFT(A2015,2)="WS",
LEFT(A2015,2)="TB",
LEFT(A2015,3)="CEL",
LEFT(A2015,3)="MON",
LEFT(A2015,3)="PRE",
LEFT(A2015,3)="PRH",
ISNUMBER(SEARCH("NOTEBOOK",B2015)),
ISNUMBER(SEARCH("LAPTOP",B2015)),
ISNUMBER(SEARCH("MONITOR",B2015)),
ISNUMBER(SEARCH("TABLET",B2015)),
ISNUMBER(SEARCH("SMARTPH",B2015)),
ISNUMBER(SEARCH("IMPRESORA",B2015)),
ISNUMBER(SEARCH("MULTIFUNCIONAL",B2015)),
ISNUMBER(SEARCH("AIO",B2015))
),
"GANCHO",
"NORMAL"
)
)</f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>ROUND(
IF(L2012="GANCHO",
   IF(I2014&lt;=50,I2014*1.1+4,IF(I2014&lt;=120,I2014*1.1+7,IF(I2014&lt;=250,I2014*1.1+11,I2014*1.1+19))),
IF(L2012="NORMAL",
   IF(I2014&lt;=30,I2014*1.15+2,IF(I2014&lt;=80,I2014*1.15+4,IF(I2014&lt;=150,I2014*1.15+6,I2014*1.15+8))),
IF(L2012="COMPLEMENTO",
   IF(I2014&lt;=25,I2014*1.25+1.5,IF(I2014&lt;=60,I2014*1.25+3,IF(I2014&lt;=120,I2014*1.25+4,I2014*1.25+5))),
""))),2)</f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>IF(
OR(
ISNUMBER(SEARCH("BACKPACK",B2016)),
ISNUMBER(SEARCH("MOCHILA",B2016)),
ISNUMBER(SEARCH("FUNDA",B2016)),
ISNUMBER(SEARCH("ESTUCHE",B2016)),
ISNUMBER(SEARCH("BOOK COVER",B2016)),
ISNUMBER(SEARCH("KEYBOARD PARA TABLET",B2016)),
ISNUMBER(SEARCH("FLIP TABLET",B2016)),
ISNUMBER(SEARCH("CASE FOR TABLET",B2016)),
ISNUMBER(SEARCH("CABLE",B2016)),
ISNUMBER(SEARCH("ADAPTADOR",B2016)),
ISNUMBER(SEARCH("HUB",B2016)),
ISNUMBER(SEARCH("DOCK",B2016)),
ISNUMBER(SEARCH("MOUSE PAD",B2016)),
ISNUMBER(SEARCH("MOUSEPAD",B2016)),
ISNUMBER(SEARCH("SOPORTE",B2016)),
ISNUMBER(SEARCH("STAND",B2016)),
ISNUMBER(SEARCH("TRAVEL ADAPTER",B2016)),
ISNUMBER(SEARCH("RJ45",B2016)),
ISNUMBER(SEARCH("USB-C",B2016)),
ISNUMBER(SEARCH("USB WIFI",B2016)),
ISNUMBER(SEARCH("POWERBANK",B2016)),
ISNUMBER(SEARCH("CARGADOR",B2016)),
ISNUMBER(SEARCH("COOLER PARA NB",B2016)),
ISNUMBER(SEARCH("SOPORTE PARA NB",B2016)),
ISNUMBER(SEARCH("WEBCAM",B2016)),
ISNUMBER(SEARCH("WEB CAM",B2016)),
ISNUMBER(SEARCH("MOUSE",B2016)),
ISNUMBER(SEARCH("TECLADO",B2016))
),
"COMPLEMENTO",
IF(
OR(
LEFT(A2016,2)="NB",
LEFT(A2016,2)="PC",
LEFT(A2016,2)="WS",
LEFT(A2016,2)="TB",
LEFT(A2016,3)="CEL",
LEFT(A2016,3)="MON",
LEFT(A2016,3)="PRE",
LEFT(A2016,3)="PRH",
ISNUMBER(SEARCH("NOTEBOOK",B2016)),
ISNUMBER(SEARCH("LAPTOP",B2016)),
ISNUMBER(SEARCH("MONITOR",B2016)),
ISNUMBER(SEARCH("TABLET",B2016)),
ISNUMBER(SEARCH("SMARTPH",B2016)),
ISNUMBER(SEARCH("IMPRESORA",B2016)),
ISNUMBER(SEARCH("MULTIFUNCIONAL",B2016)),
ISNUMBER(SEARCH("AIO",B2016))
),
"GANCHO",
"NORMAL"
)
)</f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>ROUND(
IF(L2013="GANCHO",
   IF(I2015&lt;=50,I2015*1.1+4,IF(I2015&lt;=120,I2015*1.1+7,IF(I2015&lt;=250,I2015*1.1+11,I2015*1.1+19))),
IF(L2013="NORMAL",
   IF(I2015&lt;=30,I2015*1.15+2,IF(I2015&lt;=80,I2015*1.15+4,IF(I2015&lt;=150,I2015*1.15+6,I2015*1.15+8))),
IF(L2013="COMPLEMENTO",
   IF(I2015&lt;=25,I2015*1.25+1.5,IF(I2015&lt;=60,I2015*1.25+3,IF(I2015&lt;=120,I2015*1.25+4,I2015*1.25+5))),
""))),2)</f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>IF(
OR(
ISNUMBER(SEARCH("BACKPACK",B2017)),
ISNUMBER(SEARCH("MOCHILA",B2017)),
ISNUMBER(SEARCH("FUNDA",B2017)),
ISNUMBER(SEARCH("ESTUCHE",B2017)),
ISNUMBER(SEARCH("BOOK COVER",B2017)),
ISNUMBER(SEARCH("KEYBOARD PARA TABLET",B2017)),
ISNUMBER(SEARCH("FLIP TABLET",B2017)),
ISNUMBER(SEARCH("CASE FOR TABLET",B2017)),
ISNUMBER(SEARCH("CABLE",B2017)),
ISNUMBER(SEARCH("ADAPTADOR",B2017)),
ISNUMBER(SEARCH("HUB",B2017)),
ISNUMBER(SEARCH("DOCK",B2017)),
ISNUMBER(SEARCH("MOUSE PAD",B2017)),
ISNUMBER(SEARCH("MOUSEPAD",B2017)),
ISNUMBER(SEARCH("SOPORTE",B2017)),
ISNUMBER(SEARCH("STAND",B2017)),
ISNUMBER(SEARCH("TRAVEL ADAPTER",B2017)),
ISNUMBER(SEARCH("RJ45",B2017)),
ISNUMBER(SEARCH("USB-C",B2017)),
ISNUMBER(SEARCH("USB WIFI",B2017)),
ISNUMBER(SEARCH("POWERBANK",B2017)),
ISNUMBER(SEARCH("CARGADOR",B2017)),
ISNUMBER(SEARCH("COOLER PARA NB",B2017)),
ISNUMBER(SEARCH("SOPORTE PARA NB",B2017)),
ISNUMBER(SEARCH("WEBCAM",B2017)),
ISNUMBER(SEARCH("WEB CAM",B2017)),
ISNUMBER(SEARCH("MOUSE",B2017)),
ISNUMBER(SEARCH("TECLADO",B2017))
),
"COMPLEMENTO",
IF(
OR(
LEFT(A2017,2)="NB",
LEFT(A2017,2)="PC",
LEFT(A2017,2)="WS",
LEFT(A2017,2)="TB",
LEFT(A2017,3)="CEL",
LEFT(A2017,3)="MON",
LEFT(A2017,3)="PRE",
LEFT(A2017,3)="PRH",
ISNUMBER(SEARCH("NOTEBOOK",B2017)),
ISNUMBER(SEARCH("LAPTOP",B2017)),
ISNUMBER(SEARCH("MONITOR",B2017)),
ISNUMBER(SEARCH("TABLET",B2017)),
ISNUMBER(SEARCH("SMARTPH",B2017)),
ISNUMBER(SEARCH("IMPRESORA",B2017)),
ISNUMBER(SEARCH("MULTIFUNCIONAL",B2017)),
ISNUMBER(SEARCH("AIO",B2017))
),
"GANCHO",
"NORMAL"
)
)</f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>ROUND(
IF(L2014="GANCHO",
   IF(I2016&lt;=50,I2016*1.1+4,IF(I2016&lt;=120,I2016*1.1+7,IF(I2016&lt;=250,I2016*1.1+11,I2016*1.1+19))),
IF(L2014="NORMAL",
   IF(I2016&lt;=30,I2016*1.15+2,IF(I2016&lt;=80,I2016*1.15+4,IF(I2016&lt;=150,I2016*1.15+6,I2016*1.15+8))),
IF(L2014="COMPLEMENTO",
   IF(I2016&lt;=25,I2016*1.25+1.5,IF(I2016&lt;=60,I2016*1.25+3,IF(I2016&lt;=120,I2016*1.25+4,I2016*1.25+5))),
""))),2)</f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>IF(
OR(
ISNUMBER(SEARCH("BACKPACK",B2018)),
ISNUMBER(SEARCH("MOCHILA",B2018)),
ISNUMBER(SEARCH("FUNDA",B2018)),
ISNUMBER(SEARCH("ESTUCHE",B2018)),
ISNUMBER(SEARCH("BOOK COVER",B2018)),
ISNUMBER(SEARCH("KEYBOARD PARA TABLET",B2018)),
ISNUMBER(SEARCH("FLIP TABLET",B2018)),
ISNUMBER(SEARCH("CASE FOR TABLET",B2018)),
ISNUMBER(SEARCH("CABLE",B2018)),
ISNUMBER(SEARCH("ADAPTADOR",B2018)),
ISNUMBER(SEARCH("HUB",B2018)),
ISNUMBER(SEARCH("DOCK",B2018)),
ISNUMBER(SEARCH("MOUSE PAD",B2018)),
ISNUMBER(SEARCH("MOUSEPAD",B2018)),
ISNUMBER(SEARCH("SOPORTE",B2018)),
ISNUMBER(SEARCH("STAND",B2018)),
ISNUMBER(SEARCH("TRAVEL ADAPTER",B2018)),
ISNUMBER(SEARCH("RJ45",B2018)),
ISNUMBER(SEARCH("USB-C",B2018)),
ISNUMBER(SEARCH("USB WIFI",B2018)),
ISNUMBER(SEARCH("POWERBANK",B2018)),
ISNUMBER(SEARCH("CARGADOR",B2018)),
ISNUMBER(SEARCH("COOLER PARA NB",B2018)),
ISNUMBER(SEARCH("SOPORTE PARA NB",B2018)),
ISNUMBER(SEARCH("WEBCAM",B2018)),
ISNUMBER(SEARCH("WEB CAM",B2018)),
ISNUMBER(SEARCH("MOUSE",B2018)),
ISNUMBER(SEARCH("TECLADO",B2018))
),
"COMPLEMENTO",
IF(
OR(
LEFT(A2018,2)="NB",
LEFT(A2018,2)="PC",
LEFT(A2018,2)="WS",
LEFT(A2018,2)="TB",
LEFT(A2018,3)="CEL",
LEFT(A2018,3)="MON",
LEFT(A2018,3)="PRE",
LEFT(A2018,3)="PRH",
ISNUMBER(SEARCH("NOTEBOOK",B2018)),
ISNUMBER(SEARCH("LAPTOP",B2018)),
ISNUMBER(SEARCH("MONITOR",B2018)),
ISNUMBER(SEARCH("TABLET",B2018)),
ISNUMBER(SEARCH("SMARTPH",B2018)),
ISNUMBER(SEARCH("IMPRESORA",B2018)),
ISNUMBER(SEARCH("MULTIFUNCIONAL",B2018)),
ISNUMBER(SEARCH("AIO",B2018))
),
"GANCHO",
"NORMAL"
)
)</f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>ROUND(
IF(L2015="GANCHO",
   IF(I2017&lt;=50,I2017*1.1+4,IF(I2017&lt;=120,I2017*1.1+7,IF(I2017&lt;=250,I2017*1.1+11,I2017*1.1+19))),
IF(L2015="NORMAL",
   IF(I2017&lt;=30,I2017*1.15+2,IF(I2017&lt;=80,I2017*1.15+4,IF(I2017&lt;=150,I2017*1.15+6,I2017*1.15+8))),
IF(L2015="COMPLEMENTO",
   IF(I2017&lt;=25,I2017*1.25+1.5,IF(I2017&lt;=60,I2017*1.25+3,IF(I2017&lt;=120,I2017*1.25+4,I2017*1.25+5))),
""))),2)</f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>IF(
OR(
ISNUMBER(SEARCH("BACKPACK",B2019)),
ISNUMBER(SEARCH("MOCHILA",B2019)),
ISNUMBER(SEARCH("FUNDA",B2019)),
ISNUMBER(SEARCH("ESTUCHE",B2019)),
ISNUMBER(SEARCH("BOOK COVER",B2019)),
ISNUMBER(SEARCH("KEYBOARD PARA TABLET",B2019)),
ISNUMBER(SEARCH("FLIP TABLET",B2019)),
ISNUMBER(SEARCH("CASE FOR TABLET",B2019)),
ISNUMBER(SEARCH("CABLE",B2019)),
ISNUMBER(SEARCH("ADAPTADOR",B2019)),
ISNUMBER(SEARCH("HUB",B2019)),
ISNUMBER(SEARCH("DOCK",B2019)),
ISNUMBER(SEARCH("MOUSE PAD",B2019)),
ISNUMBER(SEARCH("MOUSEPAD",B2019)),
ISNUMBER(SEARCH("SOPORTE",B2019)),
ISNUMBER(SEARCH("STAND",B2019)),
ISNUMBER(SEARCH("TRAVEL ADAPTER",B2019)),
ISNUMBER(SEARCH("RJ45",B2019)),
ISNUMBER(SEARCH("USB-C",B2019)),
ISNUMBER(SEARCH("USB WIFI",B2019)),
ISNUMBER(SEARCH("POWERBANK",B2019)),
ISNUMBER(SEARCH("CARGADOR",B2019)),
ISNUMBER(SEARCH("COOLER PARA NB",B2019)),
ISNUMBER(SEARCH("SOPORTE PARA NB",B2019)),
ISNUMBER(SEARCH("WEBCAM",B2019)),
ISNUMBER(SEARCH("WEB CAM",B2019)),
ISNUMBER(SEARCH("MOUSE",B2019)),
ISNUMBER(SEARCH("TECLADO",B2019))
),
"COMPLEMENTO",
IF(
OR(
LEFT(A2019,2)="NB",
LEFT(A2019,2)="PC",
LEFT(A2019,2)="WS",
LEFT(A2019,2)="TB",
LEFT(A2019,3)="CEL",
LEFT(A2019,3)="MON",
LEFT(A2019,3)="PRE",
LEFT(A2019,3)="PRH",
ISNUMBER(SEARCH("NOTEBOOK",B2019)),
ISNUMBER(SEARCH("LAPTOP",B2019)),
ISNUMBER(SEARCH("MONITOR",B2019)),
ISNUMBER(SEARCH("TABLET",B2019)),
ISNUMBER(SEARCH("SMARTPH",B2019)),
ISNUMBER(SEARCH("IMPRESORA",B2019)),
ISNUMBER(SEARCH("MULTIFUNCIONAL",B2019)),
ISNUMBER(SEARCH("AIO",B2019))
),
"GANCHO",
"NORMAL"
)
)</f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>ROUND(
IF(L2016="GANCHO",
   IF(I2018&lt;=50,I2018*1.1+4,IF(I2018&lt;=120,I2018*1.1+7,IF(I2018&lt;=250,I2018*1.1+11,I2018*1.1+19))),
IF(L2016="NORMAL",
   IF(I2018&lt;=30,I2018*1.15+2,IF(I2018&lt;=80,I2018*1.15+4,IF(I2018&lt;=150,I2018*1.15+6,I2018*1.15+8))),
IF(L2016="COMPLEMENTO",
   IF(I2018&lt;=25,I2018*1.25+1.5,IF(I2018&lt;=60,I2018*1.25+3,IF(I2018&lt;=120,I2018*1.25+4,I2018*1.25+5))),
""))),2)</f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>IF(
OR(
ISNUMBER(SEARCH("BACKPACK",B2020)),
ISNUMBER(SEARCH("MOCHILA",B2020)),
ISNUMBER(SEARCH("FUNDA",B2020)),
ISNUMBER(SEARCH("ESTUCHE",B2020)),
ISNUMBER(SEARCH("BOOK COVER",B2020)),
ISNUMBER(SEARCH("KEYBOARD PARA TABLET",B2020)),
ISNUMBER(SEARCH("FLIP TABLET",B2020)),
ISNUMBER(SEARCH("CASE FOR TABLET",B2020)),
ISNUMBER(SEARCH("CABLE",B2020)),
ISNUMBER(SEARCH("ADAPTADOR",B2020)),
ISNUMBER(SEARCH("HUB",B2020)),
ISNUMBER(SEARCH("DOCK",B2020)),
ISNUMBER(SEARCH("MOUSE PAD",B2020)),
ISNUMBER(SEARCH("MOUSEPAD",B2020)),
ISNUMBER(SEARCH("SOPORTE",B2020)),
ISNUMBER(SEARCH("STAND",B2020)),
ISNUMBER(SEARCH("TRAVEL ADAPTER",B2020)),
ISNUMBER(SEARCH("RJ45",B2020)),
ISNUMBER(SEARCH("USB-C",B2020)),
ISNUMBER(SEARCH("USB WIFI",B2020)),
ISNUMBER(SEARCH("POWERBANK",B2020)),
ISNUMBER(SEARCH("CARGADOR",B2020)),
ISNUMBER(SEARCH("COOLER PARA NB",B2020)),
ISNUMBER(SEARCH("SOPORTE PARA NB",B2020)),
ISNUMBER(SEARCH("WEBCAM",B2020)),
ISNUMBER(SEARCH("WEB CAM",B2020)),
ISNUMBER(SEARCH("MOUSE",B2020)),
ISNUMBER(SEARCH("TECLADO",B2020))
),
"COMPLEMENTO",
IF(
OR(
LEFT(A2020,2)="NB",
LEFT(A2020,2)="PC",
LEFT(A2020,2)="WS",
LEFT(A2020,2)="TB",
LEFT(A2020,3)="CEL",
LEFT(A2020,3)="MON",
LEFT(A2020,3)="PRE",
LEFT(A2020,3)="PRH",
ISNUMBER(SEARCH("NOTEBOOK",B2020)),
ISNUMBER(SEARCH("LAPTOP",B2020)),
ISNUMBER(SEARCH("MONITOR",B2020)),
ISNUMBER(SEARCH("TABLET",B2020)),
ISNUMBER(SEARCH("SMARTPH",B2020)),
ISNUMBER(SEARCH("IMPRESORA",B2020)),
ISNUMBER(SEARCH("MULTIFUNCIONAL",B2020)),
ISNUMBER(SEARCH("AIO",B2020))
),
"GANCHO",
"NORMAL"
)
)</f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>ROUND(
IF(L2017="GANCHO",
   IF(I2019&lt;=50,I2019*1.1+4,IF(I2019&lt;=120,I2019*1.1+7,IF(I2019&lt;=250,I2019*1.1+11,I2019*1.1+19))),
IF(L2017="NORMAL",
   IF(I2019&lt;=30,I2019*1.15+2,IF(I2019&lt;=80,I2019*1.15+4,IF(I2019&lt;=150,I2019*1.15+6,I2019*1.15+8))),
IF(L2017="COMPLEMENTO",
   IF(I2019&lt;=25,I2019*1.25+1.5,IF(I2019&lt;=60,I2019*1.25+3,IF(I2019&lt;=120,I2019*1.25+4,I2019*1.25+5))),
""))),2)</f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>IF(
OR(
ISNUMBER(SEARCH("BACKPACK",B2021)),
ISNUMBER(SEARCH("MOCHILA",B2021)),
ISNUMBER(SEARCH("FUNDA",B2021)),
ISNUMBER(SEARCH("ESTUCHE",B2021)),
ISNUMBER(SEARCH("BOOK COVER",B2021)),
ISNUMBER(SEARCH("KEYBOARD PARA TABLET",B2021)),
ISNUMBER(SEARCH("FLIP TABLET",B2021)),
ISNUMBER(SEARCH("CASE FOR TABLET",B2021)),
ISNUMBER(SEARCH("CABLE",B2021)),
ISNUMBER(SEARCH("ADAPTADOR",B2021)),
ISNUMBER(SEARCH("HUB",B2021)),
ISNUMBER(SEARCH("DOCK",B2021)),
ISNUMBER(SEARCH("MOUSE PAD",B2021)),
ISNUMBER(SEARCH("MOUSEPAD",B2021)),
ISNUMBER(SEARCH("SOPORTE",B2021)),
ISNUMBER(SEARCH("STAND",B2021)),
ISNUMBER(SEARCH("TRAVEL ADAPTER",B2021)),
ISNUMBER(SEARCH("RJ45",B2021)),
ISNUMBER(SEARCH("USB-C",B2021)),
ISNUMBER(SEARCH("USB WIFI",B2021)),
ISNUMBER(SEARCH("POWERBANK",B2021)),
ISNUMBER(SEARCH("CARGADOR",B2021)),
ISNUMBER(SEARCH("COOLER PARA NB",B2021)),
ISNUMBER(SEARCH("SOPORTE PARA NB",B2021)),
ISNUMBER(SEARCH("WEBCAM",B2021)),
ISNUMBER(SEARCH("WEB CAM",B2021)),
ISNUMBER(SEARCH("MOUSE",B2021)),
ISNUMBER(SEARCH("TECLADO",B2021))
),
"COMPLEMENTO",
IF(
OR(
LEFT(A2021,2)="NB",
LEFT(A2021,2)="PC",
LEFT(A2021,2)="WS",
LEFT(A2021,2)="TB",
LEFT(A2021,3)="CEL",
LEFT(A2021,3)="MON",
LEFT(A2021,3)="PRE",
LEFT(A2021,3)="PRH",
ISNUMBER(SEARCH("NOTEBOOK",B2021)),
ISNUMBER(SEARCH("LAPTOP",B2021)),
ISNUMBER(SEARCH("MONITOR",B2021)),
ISNUMBER(SEARCH("TABLET",B2021)),
ISNUMBER(SEARCH("SMARTPH",B2021)),
ISNUMBER(SEARCH("IMPRESORA",B2021)),
ISNUMBER(SEARCH("MULTIFUNCIONAL",B2021)),
ISNUMBER(SEARCH("AIO",B2021))
),
"GANCHO",
"NORMAL"
)
)</f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>ROUND(
IF(L2018="GANCHO",
   IF(I2020&lt;=50,I2020*1.1+4,IF(I2020&lt;=120,I2020*1.1+7,IF(I2020&lt;=250,I2020*1.1+11,I2020*1.1+19))),
IF(L2018="NORMAL",
   IF(I2020&lt;=30,I2020*1.15+2,IF(I2020&lt;=80,I2020*1.15+4,IF(I2020&lt;=150,I2020*1.15+6,I2020*1.15+8))),
IF(L2018="COMPLEMENTO",
   IF(I2020&lt;=25,I2020*1.25+1.5,IF(I2020&lt;=60,I2020*1.25+3,IF(I2020&lt;=120,I2020*1.25+4,I2020*1.25+5))),
""))),2)</f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>IF(
OR(
ISNUMBER(SEARCH("BACKPACK",B2022)),
ISNUMBER(SEARCH("MOCHILA",B2022)),
ISNUMBER(SEARCH("FUNDA",B2022)),
ISNUMBER(SEARCH("ESTUCHE",B2022)),
ISNUMBER(SEARCH("BOOK COVER",B2022)),
ISNUMBER(SEARCH("KEYBOARD PARA TABLET",B2022)),
ISNUMBER(SEARCH("FLIP TABLET",B2022)),
ISNUMBER(SEARCH("CASE FOR TABLET",B2022)),
ISNUMBER(SEARCH("CABLE",B2022)),
ISNUMBER(SEARCH("ADAPTADOR",B2022)),
ISNUMBER(SEARCH("HUB",B2022)),
ISNUMBER(SEARCH("DOCK",B2022)),
ISNUMBER(SEARCH("MOUSE PAD",B2022)),
ISNUMBER(SEARCH("MOUSEPAD",B2022)),
ISNUMBER(SEARCH("SOPORTE",B2022)),
ISNUMBER(SEARCH("STAND",B2022)),
ISNUMBER(SEARCH("TRAVEL ADAPTER",B2022)),
ISNUMBER(SEARCH("RJ45",B2022)),
ISNUMBER(SEARCH("USB-C",B2022)),
ISNUMBER(SEARCH("USB WIFI",B2022)),
ISNUMBER(SEARCH("POWERBANK",B2022)),
ISNUMBER(SEARCH("CARGADOR",B2022)),
ISNUMBER(SEARCH("COOLER PARA NB",B2022)),
ISNUMBER(SEARCH("SOPORTE PARA NB",B2022)),
ISNUMBER(SEARCH("WEBCAM",B2022)),
ISNUMBER(SEARCH("WEB CAM",B2022)),
ISNUMBER(SEARCH("MOUSE",B2022)),
ISNUMBER(SEARCH("TECLADO",B2022))
),
"COMPLEMENTO",
IF(
OR(
LEFT(A2022,2)="NB",
LEFT(A2022,2)="PC",
LEFT(A2022,2)="WS",
LEFT(A2022,2)="TB",
LEFT(A2022,3)="CEL",
LEFT(A2022,3)="MON",
LEFT(A2022,3)="PRE",
LEFT(A2022,3)="PRH",
ISNUMBER(SEARCH("NOTEBOOK",B2022)),
ISNUMBER(SEARCH("LAPTOP",B2022)),
ISNUMBER(SEARCH("MONITOR",B2022)),
ISNUMBER(SEARCH("TABLET",B2022)),
ISNUMBER(SEARCH("SMARTPH",B2022)),
ISNUMBER(SEARCH("IMPRESORA",B2022)),
ISNUMBER(SEARCH("MULTIFUNCIONAL",B2022)),
ISNUMBER(SEARCH("AIO",B2022))
),
"GANCHO",
"NORMAL"
)
)</f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>ROUND(
IF(L2019="GANCHO",
   IF(I2021&lt;=50,I2021*1.1+4,IF(I2021&lt;=120,I2021*1.1+7,IF(I2021&lt;=250,I2021*1.1+11,I2021*1.1+19))),
IF(L2019="NORMAL",
   IF(I2021&lt;=30,I2021*1.15+2,IF(I2021&lt;=80,I2021*1.15+4,IF(I2021&lt;=150,I2021*1.15+6,I2021*1.15+8))),
IF(L2019="COMPLEMENTO",
   IF(I2021&lt;=25,I2021*1.25+1.5,IF(I2021&lt;=60,I2021*1.25+3,IF(I2021&lt;=120,I2021*1.25+4,I2021*1.25+5))),
""))),2)</f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>IF(
OR(
ISNUMBER(SEARCH("BACKPACK",B2023)),
ISNUMBER(SEARCH("MOCHILA",B2023)),
ISNUMBER(SEARCH("FUNDA",B2023)),
ISNUMBER(SEARCH("ESTUCHE",B2023)),
ISNUMBER(SEARCH("BOOK COVER",B2023)),
ISNUMBER(SEARCH("KEYBOARD PARA TABLET",B2023)),
ISNUMBER(SEARCH("FLIP TABLET",B2023)),
ISNUMBER(SEARCH("CASE FOR TABLET",B2023)),
ISNUMBER(SEARCH("CABLE",B2023)),
ISNUMBER(SEARCH("ADAPTADOR",B2023)),
ISNUMBER(SEARCH("HUB",B2023)),
ISNUMBER(SEARCH("DOCK",B2023)),
ISNUMBER(SEARCH("MOUSE PAD",B2023)),
ISNUMBER(SEARCH("MOUSEPAD",B2023)),
ISNUMBER(SEARCH("SOPORTE",B2023)),
ISNUMBER(SEARCH("STAND",B2023)),
ISNUMBER(SEARCH("TRAVEL ADAPTER",B2023)),
ISNUMBER(SEARCH("RJ45",B2023)),
ISNUMBER(SEARCH("USB-C",B2023)),
ISNUMBER(SEARCH("USB WIFI",B2023)),
ISNUMBER(SEARCH("POWERBANK",B2023)),
ISNUMBER(SEARCH("CARGADOR",B2023)),
ISNUMBER(SEARCH("COOLER PARA NB",B2023)),
ISNUMBER(SEARCH("SOPORTE PARA NB",B2023)),
ISNUMBER(SEARCH("WEBCAM",B2023)),
ISNUMBER(SEARCH("WEB CAM",B2023)),
ISNUMBER(SEARCH("MOUSE",B2023)),
ISNUMBER(SEARCH("TECLADO",B2023))
),
"COMPLEMENTO",
IF(
OR(
LEFT(A2023,2)="NB",
LEFT(A2023,2)="PC",
LEFT(A2023,2)="WS",
LEFT(A2023,2)="TB",
LEFT(A2023,3)="CEL",
LEFT(A2023,3)="MON",
LEFT(A2023,3)="PRE",
LEFT(A2023,3)="PRH",
ISNUMBER(SEARCH("NOTEBOOK",B2023)),
ISNUMBER(SEARCH("LAPTOP",B2023)),
ISNUMBER(SEARCH("MONITOR",B2023)),
ISNUMBER(SEARCH("TABLET",B2023)),
ISNUMBER(SEARCH("SMARTPH",B2023)),
ISNUMBER(SEARCH("IMPRESORA",B2023)),
ISNUMBER(SEARCH("MULTIFUNCIONAL",B2023)),
ISNUMBER(SEARCH("AIO",B2023))
),
"GANCHO",
"NORMAL"
)
)</f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>ROUND(
IF(L2020="GANCHO",
   IF(I2022&lt;=50,I2022*1.1+4,IF(I2022&lt;=120,I2022*1.1+7,IF(I2022&lt;=250,I2022*1.1+11,I2022*1.1+19))),
IF(L2020="NORMAL",
   IF(I2022&lt;=30,I2022*1.15+2,IF(I2022&lt;=80,I2022*1.15+4,IF(I2022&lt;=150,I2022*1.15+6,I2022*1.15+8))),
IF(L2020="COMPLEMENTO",
   IF(I2022&lt;=25,I2022*1.25+1.5,IF(I2022&lt;=60,I2022*1.25+3,IF(I2022&lt;=120,I2022*1.25+4,I2022*1.25+5))),
""))),2)</f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>IF(
OR(
ISNUMBER(SEARCH("BACKPACK",B2024)),
ISNUMBER(SEARCH("MOCHILA",B2024)),
ISNUMBER(SEARCH("FUNDA",B2024)),
ISNUMBER(SEARCH("ESTUCHE",B2024)),
ISNUMBER(SEARCH("BOOK COVER",B2024)),
ISNUMBER(SEARCH("KEYBOARD PARA TABLET",B2024)),
ISNUMBER(SEARCH("FLIP TABLET",B2024)),
ISNUMBER(SEARCH("CASE FOR TABLET",B2024)),
ISNUMBER(SEARCH("CABLE",B2024)),
ISNUMBER(SEARCH("ADAPTADOR",B2024)),
ISNUMBER(SEARCH("HUB",B2024)),
ISNUMBER(SEARCH("DOCK",B2024)),
ISNUMBER(SEARCH("MOUSE PAD",B2024)),
ISNUMBER(SEARCH("MOUSEPAD",B2024)),
ISNUMBER(SEARCH("SOPORTE",B2024)),
ISNUMBER(SEARCH("STAND",B2024)),
ISNUMBER(SEARCH("TRAVEL ADAPTER",B2024)),
ISNUMBER(SEARCH("RJ45",B2024)),
ISNUMBER(SEARCH("USB-C",B2024)),
ISNUMBER(SEARCH("USB WIFI",B2024)),
ISNUMBER(SEARCH("POWERBANK",B2024)),
ISNUMBER(SEARCH("CARGADOR",B2024)),
ISNUMBER(SEARCH("COOLER PARA NB",B2024)),
ISNUMBER(SEARCH("SOPORTE PARA NB",B2024)),
ISNUMBER(SEARCH("WEBCAM",B2024)),
ISNUMBER(SEARCH("WEB CAM",B2024)),
ISNUMBER(SEARCH("MOUSE",B2024)),
ISNUMBER(SEARCH("TECLADO",B2024))
),
"COMPLEMENTO",
IF(
OR(
LEFT(A2024,2)="NB",
LEFT(A2024,2)="PC",
LEFT(A2024,2)="WS",
LEFT(A2024,2)="TB",
LEFT(A2024,3)="CEL",
LEFT(A2024,3)="MON",
LEFT(A2024,3)="PRE",
LEFT(A2024,3)="PRH",
ISNUMBER(SEARCH("NOTEBOOK",B2024)),
ISNUMBER(SEARCH("LAPTOP",B2024)),
ISNUMBER(SEARCH("MONITOR",B2024)),
ISNUMBER(SEARCH("TABLET",B2024)),
ISNUMBER(SEARCH("SMARTPH",B2024)),
ISNUMBER(SEARCH("IMPRESORA",B2024)),
ISNUMBER(SEARCH("MULTIFUNCIONAL",B2024)),
ISNUMBER(SEARCH("AIO",B2024))
),
"GANCHO",
"NORMAL"
)
)</f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>ROUND(
IF(L2021="GANCHO",
   IF(I2023&lt;=50,I2023*1.1+4,IF(I2023&lt;=120,I2023*1.1+7,IF(I2023&lt;=250,I2023*1.1+11,I2023*1.1+19))),
IF(L2021="NORMAL",
   IF(I2023&lt;=30,I2023*1.15+2,IF(I2023&lt;=80,I2023*1.15+4,IF(I2023&lt;=150,I2023*1.15+6,I2023*1.15+8))),
IF(L2021="COMPLEMENTO",
   IF(I2023&lt;=25,I2023*1.25+1.5,IF(I2023&lt;=60,I2023*1.25+3,IF(I2023&lt;=120,I2023*1.25+4,I2023*1.25+5))),
""))),2)</f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>IF(
OR(
ISNUMBER(SEARCH("BACKPACK",B2025)),
ISNUMBER(SEARCH("MOCHILA",B2025)),
ISNUMBER(SEARCH("FUNDA",B2025)),
ISNUMBER(SEARCH("ESTUCHE",B2025)),
ISNUMBER(SEARCH("BOOK COVER",B2025)),
ISNUMBER(SEARCH("KEYBOARD PARA TABLET",B2025)),
ISNUMBER(SEARCH("FLIP TABLET",B2025)),
ISNUMBER(SEARCH("CASE FOR TABLET",B2025)),
ISNUMBER(SEARCH("CABLE",B2025)),
ISNUMBER(SEARCH("ADAPTADOR",B2025)),
ISNUMBER(SEARCH("HUB",B2025)),
ISNUMBER(SEARCH("DOCK",B2025)),
ISNUMBER(SEARCH("MOUSE PAD",B2025)),
ISNUMBER(SEARCH("MOUSEPAD",B2025)),
ISNUMBER(SEARCH("SOPORTE",B2025)),
ISNUMBER(SEARCH("STAND",B2025)),
ISNUMBER(SEARCH("TRAVEL ADAPTER",B2025)),
ISNUMBER(SEARCH("RJ45",B2025)),
ISNUMBER(SEARCH("USB-C",B2025)),
ISNUMBER(SEARCH("USB WIFI",B2025)),
ISNUMBER(SEARCH("POWERBANK",B2025)),
ISNUMBER(SEARCH("CARGADOR",B2025)),
ISNUMBER(SEARCH("COOLER PARA NB",B2025)),
ISNUMBER(SEARCH("SOPORTE PARA NB",B2025)),
ISNUMBER(SEARCH("WEBCAM",B2025)),
ISNUMBER(SEARCH("WEB CAM",B2025)),
ISNUMBER(SEARCH("MOUSE",B2025)),
ISNUMBER(SEARCH("TECLADO",B2025))
),
"COMPLEMENTO",
IF(
OR(
LEFT(A2025,2)="NB",
LEFT(A2025,2)="PC",
LEFT(A2025,2)="WS",
LEFT(A2025,2)="TB",
LEFT(A2025,3)="CEL",
LEFT(A2025,3)="MON",
LEFT(A2025,3)="PRE",
LEFT(A2025,3)="PRH",
ISNUMBER(SEARCH("NOTEBOOK",B2025)),
ISNUMBER(SEARCH("LAPTOP",B2025)),
ISNUMBER(SEARCH("MONITOR",B2025)),
ISNUMBER(SEARCH("TABLET",B2025)),
ISNUMBER(SEARCH("SMARTPH",B2025)),
ISNUMBER(SEARCH("IMPRESORA",B2025)),
ISNUMBER(SEARCH("MULTIFUNCIONAL",B2025)),
ISNUMBER(SEARCH("AIO",B2025))
),
"GANCHO",
"NORMAL"
)
)</f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>ROUND(
IF(L2022="GANCHO",
   IF(I2024&lt;=50,I2024*1.1+4,IF(I2024&lt;=120,I2024*1.1+7,IF(I2024&lt;=250,I2024*1.1+11,I2024*1.1+19))),
IF(L2022="NORMAL",
   IF(I2024&lt;=30,I2024*1.15+2,IF(I2024&lt;=80,I2024*1.15+4,IF(I2024&lt;=150,I2024*1.15+6,I2024*1.15+8))),
IF(L2022="COMPLEMENTO",
   IF(I2024&lt;=25,I2024*1.25+1.5,IF(I2024&lt;=60,I2024*1.25+3,IF(I2024&lt;=120,I2024*1.25+4,I2024*1.25+5))),
""))),2)</f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>IF(
OR(
ISNUMBER(SEARCH("BACKPACK",B2026)),
ISNUMBER(SEARCH("MOCHILA",B2026)),
ISNUMBER(SEARCH("FUNDA",B2026)),
ISNUMBER(SEARCH("ESTUCHE",B2026)),
ISNUMBER(SEARCH("BOOK COVER",B2026)),
ISNUMBER(SEARCH("KEYBOARD PARA TABLET",B2026)),
ISNUMBER(SEARCH("FLIP TABLET",B2026)),
ISNUMBER(SEARCH("CASE FOR TABLET",B2026)),
ISNUMBER(SEARCH("CABLE",B2026)),
ISNUMBER(SEARCH("ADAPTADOR",B2026)),
ISNUMBER(SEARCH("HUB",B2026)),
ISNUMBER(SEARCH("DOCK",B2026)),
ISNUMBER(SEARCH("MOUSE PAD",B2026)),
ISNUMBER(SEARCH("MOUSEPAD",B2026)),
ISNUMBER(SEARCH("SOPORTE",B2026)),
ISNUMBER(SEARCH("STAND",B2026)),
ISNUMBER(SEARCH("TRAVEL ADAPTER",B2026)),
ISNUMBER(SEARCH("RJ45",B2026)),
ISNUMBER(SEARCH("USB-C",B2026)),
ISNUMBER(SEARCH("USB WIFI",B2026)),
ISNUMBER(SEARCH("POWERBANK",B2026)),
ISNUMBER(SEARCH("CARGADOR",B2026)),
ISNUMBER(SEARCH("COOLER PARA NB",B2026)),
ISNUMBER(SEARCH("SOPORTE PARA NB",B2026)),
ISNUMBER(SEARCH("WEBCAM",B2026)),
ISNUMBER(SEARCH("WEB CAM",B2026)),
ISNUMBER(SEARCH("MOUSE",B2026)),
ISNUMBER(SEARCH("TECLADO",B2026))
),
"COMPLEMENTO",
IF(
OR(
LEFT(A2026,2)="NB",
LEFT(A2026,2)="PC",
LEFT(A2026,2)="WS",
LEFT(A2026,2)="TB",
LEFT(A2026,3)="CEL",
LEFT(A2026,3)="MON",
LEFT(A2026,3)="PRE",
LEFT(A2026,3)="PRH",
ISNUMBER(SEARCH("NOTEBOOK",B2026)),
ISNUMBER(SEARCH("LAPTOP",B2026)),
ISNUMBER(SEARCH("MONITOR",B2026)),
ISNUMBER(SEARCH("TABLET",B2026)),
ISNUMBER(SEARCH("SMARTPH",B2026)),
ISNUMBER(SEARCH("IMPRESORA",B2026)),
ISNUMBER(SEARCH("MULTIFUNCIONAL",B2026)),
ISNUMBER(SEARCH("AIO",B2026))
),
"GANCHO",
"NORMAL"
)
)</f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>ROUND(
IF(L2023="GANCHO",
   IF(I2025&lt;=50,I2025*1.1+4,IF(I2025&lt;=120,I2025*1.1+7,IF(I2025&lt;=250,I2025*1.1+11,I2025*1.1+19))),
IF(L2023="NORMAL",
   IF(I2025&lt;=30,I2025*1.15+2,IF(I2025&lt;=80,I2025*1.15+4,IF(I2025&lt;=150,I2025*1.15+6,I2025*1.15+8))),
IF(L2023="COMPLEMENTO",
   IF(I2025&lt;=25,I2025*1.25+1.5,IF(I2025&lt;=60,I2025*1.25+3,IF(I2025&lt;=120,I2025*1.25+4,I2025*1.25+5))),
""))),2)</f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>IF(
OR(
ISNUMBER(SEARCH("BACKPACK",B2027)),
ISNUMBER(SEARCH("MOCHILA",B2027)),
ISNUMBER(SEARCH("FUNDA",B2027)),
ISNUMBER(SEARCH("ESTUCHE",B2027)),
ISNUMBER(SEARCH("BOOK COVER",B2027)),
ISNUMBER(SEARCH("KEYBOARD PARA TABLET",B2027)),
ISNUMBER(SEARCH("FLIP TABLET",B2027)),
ISNUMBER(SEARCH("CASE FOR TABLET",B2027)),
ISNUMBER(SEARCH("CABLE",B2027)),
ISNUMBER(SEARCH("ADAPTADOR",B2027)),
ISNUMBER(SEARCH("HUB",B2027)),
ISNUMBER(SEARCH("DOCK",B2027)),
ISNUMBER(SEARCH("MOUSE PAD",B2027)),
ISNUMBER(SEARCH("MOUSEPAD",B2027)),
ISNUMBER(SEARCH("SOPORTE",B2027)),
ISNUMBER(SEARCH("STAND",B2027)),
ISNUMBER(SEARCH("TRAVEL ADAPTER",B2027)),
ISNUMBER(SEARCH("RJ45",B2027)),
ISNUMBER(SEARCH("USB-C",B2027)),
ISNUMBER(SEARCH("USB WIFI",B2027)),
ISNUMBER(SEARCH("POWERBANK",B2027)),
ISNUMBER(SEARCH("CARGADOR",B2027)),
ISNUMBER(SEARCH("COOLER PARA NB",B2027)),
ISNUMBER(SEARCH("SOPORTE PARA NB",B2027)),
ISNUMBER(SEARCH("WEBCAM",B2027)),
ISNUMBER(SEARCH("WEB CAM",B2027)),
ISNUMBER(SEARCH("MOUSE",B2027)),
ISNUMBER(SEARCH("TECLADO",B2027))
),
"COMPLEMENTO",
IF(
OR(
LEFT(A2027,2)="NB",
LEFT(A2027,2)="PC",
LEFT(A2027,2)="WS",
LEFT(A2027,2)="TB",
LEFT(A2027,3)="CEL",
LEFT(A2027,3)="MON",
LEFT(A2027,3)="PRE",
LEFT(A2027,3)="PRH",
ISNUMBER(SEARCH("NOTEBOOK",B2027)),
ISNUMBER(SEARCH("LAPTOP",B2027)),
ISNUMBER(SEARCH("MONITOR",B2027)),
ISNUMBER(SEARCH("TABLET",B2027)),
ISNUMBER(SEARCH("SMARTPH",B2027)),
ISNUMBER(SEARCH("IMPRESORA",B2027)),
ISNUMBER(SEARCH("MULTIFUNCIONAL",B2027)),
ISNUMBER(SEARCH("AIO",B2027))
),
"GANCHO",
"NORMAL"
)
)</f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>ROUND(
IF(L2024="GANCHO",
   IF(I2026&lt;=50,I2026*1.1+4,IF(I2026&lt;=120,I2026*1.1+7,IF(I2026&lt;=250,I2026*1.1+11,I2026*1.1+19))),
IF(L2024="NORMAL",
   IF(I2026&lt;=30,I2026*1.15+2,IF(I2026&lt;=80,I2026*1.15+4,IF(I2026&lt;=150,I2026*1.15+6,I2026*1.15+8))),
IF(L2024="COMPLEMENTO",
   IF(I2026&lt;=25,I2026*1.25+1.5,IF(I2026&lt;=60,I2026*1.25+3,IF(I2026&lt;=120,I2026*1.25+4,I2026*1.25+5))),
""))),2)</f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>IF(
OR(
ISNUMBER(SEARCH("BACKPACK",B2028)),
ISNUMBER(SEARCH("MOCHILA",B2028)),
ISNUMBER(SEARCH("FUNDA",B2028)),
ISNUMBER(SEARCH("ESTUCHE",B2028)),
ISNUMBER(SEARCH("BOOK COVER",B2028)),
ISNUMBER(SEARCH("KEYBOARD PARA TABLET",B2028)),
ISNUMBER(SEARCH("FLIP TABLET",B2028)),
ISNUMBER(SEARCH("CASE FOR TABLET",B2028)),
ISNUMBER(SEARCH("CABLE",B2028)),
ISNUMBER(SEARCH("ADAPTADOR",B2028)),
ISNUMBER(SEARCH("HUB",B2028)),
ISNUMBER(SEARCH("DOCK",B2028)),
ISNUMBER(SEARCH("MOUSE PAD",B2028)),
ISNUMBER(SEARCH("MOUSEPAD",B2028)),
ISNUMBER(SEARCH("SOPORTE",B2028)),
ISNUMBER(SEARCH("STAND",B2028)),
ISNUMBER(SEARCH("TRAVEL ADAPTER",B2028)),
ISNUMBER(SEARCH("RJ45",B2028)),
ISNUMBER(SEARCH("USB-C",B2028)),
ISNUMBER(SEARCH("USB WIFI",B2028)),
ISNUMBER(SEARCH("POWERBANK",B2028)),
ISNUMBER(SEARCH("CARGADOR",B2028)),
ISNUMBER(SEARCH("COOLER PARA NB",B2028)),
ISNUMBER(SEARCH("SOPORTE PARA NB",B2028)),
ISNUMBER(SEARCH("WEBCAM",B2028)),
ISNUMBER(SEARCH("WEB CAM",B2028)),
ISNUMBER(SEARCH("MOUSE",B2028)),
ISNUMBER(SEARCH("TECLADO",B2028))
),
"COMPLEMENTO",
IF(
OR(
LEFT(A2028,2)="NB",
LEFT(A2028,2)="PC",
LEFT(A2028,2)="WS",
LEFT(A2028,2)="TB",
LEFT(A2028,3)="CEL",
LEFT(A2028,3)="MON",
LEFT(A2028,3)="PRE",
LEFT(A2028,3)="PRH",
ISNUMBER(SEARCH("NOTEBOOK",B2028)),
ISNUMBER(SEARCH("LAPTOP",B2028)),
ISNUMBER(SEARCH("MONITOR",B2028)),
ISNUMBER(SEARCH("TABLET",B2028)),
ISNUMBER(SEARCH("SMARTPH",B2028)),
ISNUMBER(SEARCH("IMPRESORA",B2028)),
ISNUMBER(SEARCH("MULTIFUNCIONAL",B2028)),
ISNUMBER(SEARCH("AIO",B2028))
),
"GANCHO",
"NORMAL"
)
)</f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>ROUND(
IF(L2025="GANCHO",
   IF(I2027&lt;=50,I2027*1.1+4,IF(I2027&lt;=120,I2027*1.1+7,IF(I2027&lt;=250,I2027*1.1+11,I2027*1.1+19))),
IF(L2025="NORMAL",
   IF(I2027&lt;=30,I2027*1.15+2,IF(I2027&lt;=80,I2027*1.15+4,IF(I2027&lt;=150,I2027*1.15+6,I2027*1.15+8))),
IF(L2025="COMPLEMENTO",
   IF(I2027&lt;=25,I2027*1.25+1.5,IF(I2027&lt;=60,I2027*1.25+3,IF(I2027&lt;=120,I2027*1.25+4,I2027*1.25+5))),
""))),2)</f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>IF(
OR(
ISNUMBER(SEARCH("BACKPACK",B2029)),
ISNUMBER(SEARCH("MOCHILA",B2029)),
ISNUMBER(SEARCH("FUNDA",B2029)),
ISNUMBER(SEARCH("ESTUCHE",B2029)),
ISNUMBER(SEARCH("BOOK COVER",B2029)),
ISNUMBER(SEARCH("KEYBOARD PARA TABLET",B2029)),
ISNUMBER(SEARCH("FLIP TABLET",B2029)),
ISNUMBER(SEARCH("CASE FOR TABLET",B2029)),
ISNUMBER(SEARCH("CABLE",B2029)),
ISNUMBER(SEARCH("ADAPTADOR",B2029)),
ISNUMBER(SEARCH("HUB",B2029)),
ISNUMBER(SEARCH("DOCK",B2029)),
ISNUMBER(SEARCH("MOUSE PAD",B2029)),
ISNUMBER(SEARCH("MOUSEPAD",B2029)),
ISNUMBER(SEARCH("SOPORTE",B2029)),
ISNUMBER(SEARCH("STAND",B2029)),
ISNUMBER(SEARCH("TRAVEL ADAPTER",B2029)),
ISNUMBER(SEARCH("RJ45",B2029)),
ISNUMBER(SEARCH("USB-C",B2029)),
ISNUMBER(SEARCH("USB WIFI",B2029)),
ISNUMBER(SEARCH("POWERBANK",B2029)),
ISNUMBER(SEARCH("CARGADOR",B2029)),
ISNUMBER(SEARCH("COOLER PARA NB",B2029)),
ISNUMBER(SEARCH("SOPORTE PARA NB",B2029)),
ISNUMBER(SEARCH("WEBCAM",B2029)),
ISNUMBER(SEARCH("WEB CAM",B2029)),
ISNUMBER(SEARCH("MOUSE",B2029)),
ISNUMBER(SEARCH("TECLADO",B2029))
),
"COMPLEMENTO",
IF(
OR(
LEFT(A2029,2)="NB",
LEFT(A2029,2)="PC",
LEFT(A2029,2)="WS",
LEFT(A2029,2)="TB",
LEFT(A2029,3)="CEL",
LEFT(A2029,3)="MON",
LEFT(A2029,3)="PRE",
LEFT(A2029,3)="PRH",
ISNUMBER(SEARCH("NOTEBOOK",B2029)),
ISNUMBER(SEARCH("LAPTOP",B2029)),
ISNUMBER(SEARCH("MONITOR",B2029)),
ISNUMBER(SEARCH("TABLET",B2029)),
ISNUMBER(SEARCH("SMARTPH",B2029)),
ISNUMBER(SEARCH("IMPRESORA",B2029)),
ISNUMBER(SEARCH("MULTIFUNCIONAL",B2029)),
ISNUMBER(SEARCH("AIO",B2029))
),
"GANCHO",
"NORMAL"
)
)</f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>ROUND(
IF(L2026="GANCHO",
   IF(I2028&lt;=50,I2028*1.1+4,IF(I2028&lt;=120,I2028*1.1+7,IF(I2028&lt;=250,I2028*1.1+11,I2028*1.1+19))),
IF(L2026="NORMAL",
   IF(I2028&lt;=30,I2028*1.15+2,IF(I2028&lt;=80,I2028*1.15+4,IF(I2028&lt;=150,I2028*1.15+6,I2028*1.15+8))),
IF(L2026="COMPLEMENTO",
   IF(I2028&lt;=25,I2028*1.25+1.5,IF(I2028&lt;=60,I2028*1.25+3,IF(I2028&lt;=120,I2028*1.25+4,I2028*1.25+5))),
""))),2)</f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>IF(
OR(
ISNUMBER(SEARCH("BACKPACK",B2030)),
ISNUMBER(SEARCH("MOCHILA",B2030)),
ISNUMBER(SEARCH("FUNDA",B2030)),
ISNUMBER(SEARCH("ESTUCHE",B2030)),
ISNUMBER(SEARCH("BOOK COVER",B2030)),
ISNUMBER(SEARCH("KEYBOARD PARA TABLET",B2030)),
ISNUMBER(SEARCH("FLIP TABLET",B2030)),
ISNUMBER(SEARCH("CASE FOR TABLET",B2030)),
ISNUMBER(SEARCH("CABLE",B2030)),
ISNUMBER(SEARCH("ADAPTADOR",B2030)),
ISNUMBER(SEARCH("HUB",B2030)),
ISNUMBER(SEARCH("DOCK",B2030)),
ISNUMBER(SEARCH("MOUSE PAD",B2030)),
ISNUMBER(SEARCH("MOUSEPAD",B2030)),
ISNUMBER(SEARCH("SOPORTE",B2030)),
ISNUMBER(SEARCH("STAND",B2030)),
ISNUMBER(SEARCH("TRAVEL ADAPTER",B2030)),
ISNUMBER(SEARCH("RJ45",B2030)),
ISNUMBER(SEARCH("USB-C",B2030)),
ISNUMBER(SEARCH("USB WIFI",B2030)),
ISNUMBER(SEARCH("POWERBANK",B2030)),
ISNUMBER(SEARCH("CARGADOR",B2030)),
ISNUMBER(SEARCH("COOLER PARA NB",B2030)),
ISNUMBER(SEARCH("SOPORTE PARA NB",B2030)),
ISNUMBER(SEARCH("WEBCAM",B2030)),
ISNUMBER(SEARCH("WEB CAM",B2030)),
ISNUMBER(SEARCH("MOUSE",B2030)),
ISNUMBER(SEARCH("TECLADO",B2030))
),
"COMPLEMENTO",
IF(
OR(
LEFT(A2030,2)="NB",
LEFT(A2030,2)="PC",
LEFT(A2030,2)="WS",
LEFT(A2030,2)="TB",
LEFT(A2030,3)="CEL",
LEFT(A2030,3)="MON",
LEFT(A2030,3)="PRE",
LEFT(A2030,3)="PRH",
ISNUMBER(SEARCH("NOTEBOOK",B2030)),
ISNUMBER(SEARCH("LAPTOP",B2030)),
ISNUMBER(SEARCH("MONITOR",B2030)),
ISNUMBER(SEARCH("TABLET",B2030)),
ISNUMBER(SEARCH("SMARTPH",B2030)),
ISNUMBER(SEARCH("IMPRESORA",B2030)),
ISNUMBER(SEARCH("MULTIFUNCIONAL",B2030)),
ISNUMBER(SEARCH("AIO",B2030))
),
"GANCHO",
"NORMAL"
)
)</f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>ROUND(
IF(L2027="GANCHO",
   IF(I2029&lt;=50,I2029*1.1+4,IF(I2029&lt;=120,I2029*1.1+7,IF(I2029&lt;=250,I2029*1.1+11,I2029*1.1+19))),
IF(L2027="NORMAL",
   IF(I2029&lt;=30,I2029*1.15+2,IF(I2029&lt;=80,I2029*1.15+4,IF(I2029&lt;=150,I2029*1.15+6,I2029*1.15+8))),
IF(L2027="COMPLEMENTO",
   IF(I2029&lt;=25,I2029*1.25+1.5,IF(I2029&lt;=60,I2029*1.25+3,IF(I2029&lt;=120,I2029*1.25+4,I2029*1.25+5))),
""))),2)</f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>IF(
OR(
ISNUMBER(SEARCH("BACKPACK",B2031)),
ISNUMBER(SEARCH("MOCHILA",B2031)),
ISNUMBER(SEARCH("FUNDA",B2031)),
ISNUMBER(SEARCH("ESTUCHE",B2031)),
ISNUMBER(SEARCH("BOOK COVER",B2031)),
ISNUMBER(SEARCH("KEYBOARD PARA TABLET",B2031)),
ISNUMBER(SEARCH("FLIP TABLET",B2031)),
ISNUMBER(SEARCH("CASE FOR TABLET",B2031)),
ISNUMBER(SEARCH("CABLE",B2031)),
ISNUMBER(SEARCH("ADAPTADOR",B2031)),
ISNUMBER(SEARCH("HUB",B2031)),
ISNUMBER(SEARCH("DOCK",B2031)),
ISNUMBER(SEARCH("MOUSE PAD",B2031)),
ISNUMBER(SEARCH("MOUSEPAD",B2031)),
ISNUMBER(SEARCH("SOPORTE",B2031)),
ISNUMBER(SEARCH("STAND",B2031)),
ISNUMBER(SEARCH("TRAVEL ADAPTER",B2031)),
ISNUMBER(SEARCH("RJ45",B2031)),
ISNUMBER(SEARCH("USB-C",B2031)),
ISNUMBER(SEARCH("USB WIFI",B2031)),
ISNUMBER(SEARCH("POWERBANK",B2031)),
ISNUMBER(SEARCH("CARGADOR",B2031)),
ISNUMBER(SEARCH("COOLER PARA NB",B2031)),
ISNUMBER(SEARCH("SOPORTE PARA NB",B2031)),
ISNUMBER(SEARCH("WEBCAM",B2031)),
ISNUMBER(SEARCH("WEB CAM",B2031)),
ISNUMBER(SEARCH("MOUSE",B2031)),
ISNUMBER(SEARCH("TECLADO",B2031))
),
"COMPLEMENTO",
IF(
OR(
LEFT(A2031,2)="NB",
LEFT(A2031,2)="PC",
LEFT(A2031,2)="WS",
LEFT(A2031,2)="TB",
LEFT(A2031,3)="CEL",
LEFT(A2031,3)="MON",
LEFT(A2031,3)="PRE",
LEFT(A2031,3)="PRH",
ISNUMBER(SEARCH("NOTEBOOK",B2031)),
ISNUMBER(SEARCH("LAPTOP",B2031)),
ISNUMBER(SEARCH("MONITOR",B2031)),
ISNUMBER(SEARCH("TABLET",B2031)),
ISNUMBER(SEARCH("SMARTPH",B2031)),
ISNUMBER(SEARCH("IMPRESORA",B2031)),
ISNUMBER(SEARCH("MULTIFUNCIONAL",B2031)),
ISNUMBER(SEARCH("AIO",B2031))
),
"GANCHO",
"NORMAL"
)
)</f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>ROUND(
IF(L2028="GANCHO",
   IF(I2030&lt;=50,I2030*1.1+4,IF(I2030&lt;=120,I2030*1.1+7,IF(I2030&lt;=250,I2030*1.1+11,I2030*1.1+19))),
IF(L2028="NORMAL",
   IF(I2030&lt;=30,I2030*1.15+2,IF(I2030&lt;=80,I2030*1.15+4,IF(I2030&lt;=150,I2030*1.15+6,I2030*1.15+8))),
IF(L2028="COMPLEMENTO",
   IF(I2030&lt;=25,I2030*1.25+1.5,IF(I2030&lt;=60,I2030*1.25+3,IF(I2030&lt;=120,I2030*1.25+4,I2030*1.25+5))),
""))),2)</f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>IF(
OR(
ISNUMBER(SEARCH("BACKPACK",B2032)),
ISNUMBER(SEARCH("MOCHILA",B2032)),
ISNUMBER(SEARCH("FUNDA",B2032)),
ISNUMBER(SEARCH("ESTUCHE",B2032)),
ISNUMBER(SEARCH("BOOK COVER",B2032)),
ISNUMBER(SEARCH("KEYBOARD PARA TABLET",B2032)),
ISNUMBER(SEARCH("FLIP TABLET",B2032)),
ISNUMBER(SEARCH("CASE FOR TABLET",B2032)),
ISNUMBER(SEARCH("CABLE",B2032)),
ISNUMBER(SEARCH("ADAPTADOR",B2032)),
ISNUMBER(SEARCH("HUB",B2032)),
ISNUMBER(SEARCH("DOCK",B2032)),
ISNUMBER(SEARCH("MOUSE PAD",B2032)),
ISNUMBER(SEARCH("MOUSEPAD",B2032)),
ISNUMBER(SEARCH("SOPORTE",B2032)),
ISNUMBER(SEARCH("STAND",B2032)),
ISNUMBER(SEARCH("TRAVEL ADAPTER",B2032)),
ISNUMBER(SEARCH("RJ45",B2032)),
ISNUMBER(SEARCH("USB-C",B2032)),
ISNUMBER(SEARCH("USB WIFI",B2032)),
ISNUMBER(SEARCH("POWERBANK",B2032)),
ISNUMBER(SEARCH("CARGADOR",B2032)),
ISNUMBER(SEARCH("COOLER PARA NB",B2032)),
ISNUMBER(SEARCH("SOPORTE PARA NB",B2032)),
ISNUMBER(SEARCH("WEBCAM",B2032)),
ISNUMBER(SEARCH("WEB CAM",B2032)),
ISNUMBER(SEARCH("MOUSE",B2032)),
ISNUMBER(SEARCH("TECLADO",B2032))
),
"COMPLEMENTO",
IF(
OR(
LEFT(A2032,2)="NB",
LEFT(A2032,2)="PC",
LEFT(A2032,2)="WS",
LEFT(A2032,2)="TB",
LEFT(A2032,3)="CEL",
LEFT(A2032,3)="MON",
LEFT(A2032,3)="PRE",
LEFT(A2032,3)="PRH",
ISNUMBER(SEARCH("NOTEBOOK",B2032)),
ISNUMBER(SEARCH("LAPTOP",B2032)),
ISNUMBER(SEARCH("MONITOR",B2032)),
ISNUMBER(SEARCH("TABLET",B2032)),
ISNUMBER(SEARCH("SMARTPH",B2032)),
ISNUMBER(SEARCH("IMPRESORA",B2032)),
ISNUMBER(SEARCH("MULTIFUNCIONAL",B2032)),
ISNUMBER(SEARCH("AIO",B2032))
),
"GANCHO",
"NORMAL"
)
)</f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>ROUND(
IF(L2029="GANCHO",
   IF(I2031&lt;=50,I2031*1.1+4,IF(I2031&lt;=120,I2031*1.1+7,IF(I2031&lt;=250,I2031*1.1+11,I2031*1.1+19))),
IF(L2029="NORMAL",
   IF(I2031&lt;=30,I2031*1.15+2,IF(I2031&lt;=80,I2031*1.15+4,IF(I2031&lt;=150,I2031*1.15+6,I2031*1.15+8))),
IF(L2029="COMPLEMENTO",
   IF(I2031&lt;=25,I2031*1.25+1.5,IF(I2031&lt;=60,I2031*1.25+3,IF(I2031&lt;=120,I2031*1.25+4,I2031*1.25+5))),
""))),2)</f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>IF(
OR(
ISNUMBER(SEARCH("BACKPACK",B2033)),
ISNUMBER(SEARCH("MOCHILA",B2033)),
ISNUMBER(SEARCH("FUNDA",B2033)),
ISNUMBER(SEARCH("ESTUCHE",B2033)),
ISNUMBER(SEARCH("BOOK COVER",B2033)),
ISNUMBER(SEARCH("KEYBOARD PARA TABLET",B2033)),
ISNUMBER(SEARCH("FLIP TABLET",B2033)),
ISNUMBER(SEARCH("CASE FOR TABLET",B2033)),
ISNUMBER(SEARCH("CABLE",B2033)),
ISNUMBER(SEARCH("ADAPTADOR",B2033)),
ISNUMBER(SEARCH("HUB",B2033)),
ISNUMBER(SEARCH("DOCK",B2033)),
ISNUMBER(SEARCH("MOUSE PAD",B2033)),
ISNUMBER(SEARCH("MOUSEPAD",B2033)),
ISNUMBER(SEARCH("SOPORTE",B2033)),
ISNUMBER(SEARCH("STAND",B2033)),
ISNUMBER(SEARCH("TRAVEL ADAPTER",B2033)),
ISNUMBER(SEARCH("RJ45",B2033)),
ISNUMBER(SEARCH("USB-C",B2033)),
ISNUMBER(SEARCH("USB WIFI",B2033)),
ISNUMBER(SEARCH("POWERBANK",B2033)),
ISNUMBER(SEARCH("CARGADOR",B2033)),
ISNUMBER(SEARCH("COOLER PARA NB",B2033)),
ISNUMBER(SEARCH("SOPORTE PARA NB",B2033)),
ISNUMBER(SEARCH("WEBCAM",B2033)),
ISNUMBER(SEARCH("WEB CAM",B2033)),
ISNUMBER(SEARCH("MOUSE",B2033)),
ISNUMBER(SEARCH("TECLADO",B2033))
),
"COMPLEMENTO",
IF(
OR(
LEFT(A2033,2)="NB",
LEFT(A2033,2)="PC",
LEFT(A2033,2)="WS",
LEFT(A2033,2)="TB",
LEFT(A2033,3)="CEL",
LEFT(A2033,3)="MON",
LEFT(A2033,3)="PRE",
LEFT(A2033,3)="PRH",
ISNUMBER(SEARCH("NOTEBOOK",B2033)),
ISNUMBER(SEARCH("LAPTOP",B2033)),
ISNUMBER(SEARCH("MONITOR",B2033)),
ISNUMBER(SEARCH("TABLET",B2033)),
ISNUMBER(SEARCH("SMARTPH",B2033)),
ISNUMBER(SEARCH("IMPRESORA",B2033)),
ISNUMBER(SEARCH("MULTIFUNCIONAL",B2033)),
ISNUMBER(SEARCH("AIO",B2033))
),
"GANCHO",
"NORMAL"
)
)</f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>ROUND(
IF(L2030="GANCHO",
   IF(I2032&lt;=50,I2032*1.1+4,IF(I2032&lt;=120,I2032*1.1+7,IF(I2032&lt;=250,I2032*1.1+11,I2032*1.1+19))),
IF(L2030="NORMAL",
   IF(I2032&lt;=30,I2032*1.15+2,IF(I2032&lt;=80,I2032*1.15+4,IF(I2032&lt;=150,I2032*1.15+6,I2032*1.15+8))),
IF(L2030="COMPLEMENTO",
   IF(I2032&lt;=25,I2032*1.25+1.5,IF(I2032&lt;=60,I2032*1.25+3,IF(I2032&lt;=120,I2032*1.25+4,I2032*1.25+5))),
""))),2)</f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>IF(
OR(
ISNUMBER(SEARCH("BACKPACK",B2034)),
ISNUMBER(SEARCH("MOCHILA",B2034)),
ISNUMBER(SEARCH("FUNDA",B2034)),
ISNUMBER(SEARCH("ESTUCHE",B2034)),
ISNUMBER(SEARCH("BOOK COVER",B2034)),
ISNUMBER(SEARCH("KEYBOARD PARA TABLET",B2034)),
ISNUMBER(SEARCH("FLIP TABLET",B2034)),
ISNUMBER(SEARCH("CASE FOR TABLET",B2034)),
ISNUMBER(SEARCH("CABLE",B2034)),
ISNUMBER(SEARCH("ADAPTADOR",B2034)),
ISNUMBER(SEARCH("HUB",B2034)),
ISNUMBER(SEARCH("DOCK",B2034)),
ISNUMBER(SEARCH("MOUSE PAD",B2034)),
ISNUMBER(SEARCH("MOUSEPAD",B2034)),
ISNUMBER(SEARCH("SOPORTE",B2034)),
ISNUMBER(SEARCH("STAND",B2034)),
ISNUMBER(SEARCH("TRAVEL ADAPTER",B2034)),
ISNUMBER(SEARCH("RJ45",B2034)),
ISNUMBER(SEARCH("USB-C",B2034)),
ISNUMBER(SEARCH("USB WIFI",B2034)),
ISNUMBER(SEARCH("POWERBANK",B2034)),
ISNUMBER(SEARCH("CARGADOR",B2034)),
ISNUMBER(SEARCH("COOLER PARA NB",B2034)),
ISNUMBER(SEARCH("SOPORTE PARA NB",B2034)),
ISNUMBER(SEARCH("WEBCAM",B2034)),
ISNUMBER(SEARCH("WEB CAM",B2034)),
ISNUMBER(SEARCH("MOUSE",B2034)),
ISNUMBER(SEARCH("TECLADO",B2034))
),
"COMPLEMENTO",
IF(
OR(
LEFT(A2034,2)="NB",
LEFT(A2034,2)="PC",
LEFT(A2034,2)="WS",
LEFT(A2034,2)="TB",
LEFT(A2034,3)="CEL",
LEFT(A2034,3)="MON",
LEFT(A2034,3)="PRE",
LEFT(A2034,3)="PRH",
ISNUMBER(SEARCH("NOTEBOOK",B2034)),
ISNUMBER(SEARCH("LAPTOP",B2034)),
ISNUMBER(SEARCH("MONITOR",B2034)),
ISNUMBER(SEARCH("TABLET",B2034)),
ISNUMBER(SEARCH("SMARTPH",B2034)),
ISNUMBER(SEARCH("IMPRESORA",B2034)),
ISNUMBER(SEARCH("MULTIFUNCIONAL",B2034)),
ISNUMBER(SEARCH("AIO",B2034))
),
"GANCHO",
"NORMAL"
)
)</f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>ROUND(
IF(L2031="GANCHO",
   IF(I2033&lt;=50,I2033*1.1+4,IF(I2033&lt;=120,I2033*1.1+7,IF(I2033&lt;=250,I2033*1.1+11,I2033*1.1+19))),
IF(L2031="NORMAL",
   IF(I2033&lt;=30,I2033*1.15+2,IF(I2033&lt;=80,I2033*1.15+4,IF(I2033&lt;=150,I2033*1.15+6,I2033*1.15+8))),
IF(L2031="COMPLEMENTO",
   IF(I2033&lt;=25,I2033*1.25+1.5,IF(I2033&lt;=60,I2033*1.25+3,IF(I2033&lt;=120,I2033*1.25+4,I2033*1.25+5))),
""))),2)</f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>IF(
OR(
ISNUMBER(SEARCH("BACKPACK",B2035)),
ISNUMBER(SEARCH("MOCHILA",B2035)),
ISNUMBER(SEARCH("FUNDA",B2035)),
ISNUMBER(SEARCH("ESTUCHE",B2035)),
ISNUMBER(SEARCH("BOOK COVER",B2035)),
ISNUMBER(SEARCH("KEYBOARD PARA TABLET",B2035)),
ISNUMBER(SEARCH("FLIP TABLET",B2035)),
ISNUMBER(SEARCH("CASE FOR TABLET",B2035)),
ISNUMBER(SEARCH("CABLE",B2035)),
ISNUMBER(SEARCH("ADAPTADOR",B2035)),
ISNUMBER(SEARCH("HUB",B2035)),
ISNUMBER(SEARCH("DOCK",B2035)),
ISNUMBER(SEARCH("MOUSE PAD",B2035)),
ISNUMBER(SEARCH("MOUSEPAD",B2035)),
ISNUMBER(SEARCH("SOPORTE",B2035)),
ISNUMBER(SEARCH("STAND",B2035)),
ISNUMBER(SEARCH("TRAVEL ADAPTER",B2035)),
ISNUMBER(SEARCH("RJ45",B2035)),
ISNUMBER(SEARCH("USB-C",B2035)),
ISNUMBER(SEARCH("USB WIFI",B2035)),
ISNUMBER(SEARCH("POWERBANK",B2035)),
ISNUMBER(SEARCH("CARGADOR",B2035)),
ISNUMBER(SEARCH("COOLER PARA NB",B2035)),
ISNUMBER(SEARCH("SOPORTE PARA NB",B2035)),
ISNUMBER(SEARCH("WEBCAM",B2035)),
ISNUMBER(SEARCH("WEB CAM",B2035)),
ISNUMBER(SEARCH("MOUSE",B2035)),
ISNUMBER(SEARCH("TECLADO",B2035))
),
"COMPLEMENTO",
IF(
OR(
LEFT(A2035,2)="NB",
LEFT(A2035,2)="PC",
LEFT(A2035,2)="WS",
LEFT(A2035,2)="TB",
LEFT(A2035,3)="CEL",
LEFT(A2035,3)="MON",
LEFT(A2035,3)="PRE",
LEFT(A2035,3)="PRH",
ISNUMBER(SEARCH("NOTEBOOK",B2035)),
ISNUMBER(SEARCH("LAPTOP",B2035)),
ISNUMBER(SEARCH("MONITOR",B2035)),
ISNUMBER(SEARCH("TABLET",B2035)),
ISNUMBER(SEARCH("SMARTPH",B2035)),
ISNUMBER(SEARCH("IMPRESORA",B2035)),
ISNUMBER(SEARCH("MULTIFUNCIONAL",B2035)),
ISNUMBER(SEARCH("AIO",B2035))
),
"GANCHO",
"NORMAL"
)
)</f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>ROUND(
IF(L2032="GANCHO",
   IF(I2034&lt;=50,I2034*1.1+4,IF(I2034&lt;=120,I2034*1.1+7,IF(I2034&lt;=250,I2034*1.1+11,I2034*1.1+19))),
IF(L2032="NORMAL",
   IF(I2034&lt;=30,I2034*1.15+2,IF(I2034&lt;=80,I2034*1.15+4,IF(I2034&lt;=150,I2034*1.15+6,I2034*1.15+8))),
IF(L2032="COMPLEMENTO",
   IF(I2034&lt;=25,I2034*1.25+1.5,IF(I2034&lt;=60,I2034*1.25+3,IF(I2034&lt;=120,I2034*1.25+4,I2034*1.25+5))),
""))),2)</f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>IF(
OR(
ISNUMBER(SEARCH("BACKPACK",B2036)),
ISNUMBER(SEARCH("MOCHILA",B2036)),
ISNUMBER(SEARCH("FUNDA",B2036)),
ISNUMBER(SEARCH("ESTUCHE",B2036)),
ISNUMBER(SEARCH("BOOK COVER",B2036)),
ISNUMBER(SEARCH("KEYBOARD PARA TABLET",B2036)),
ISNUMBER(SEARCH("FLIP TABLET",B2036)),
ISNUMBER(SEARCH("CASE FOR TABLET",B2036)),
ISNUMBER(SEARCH("CABLE",B2036)),
ISNUMBER(SEARCH("ADAPTADOR",B2036)),
ISNUMBER(SEARCH("HUB",B2036)),
ISNUMBER(SEARCH("DOCK",B2036)),
ISNUMBER(SEARCH("MOUSE PAD",B2036)),
ISNUMBER(SEARCH("MOUSEPAD",B2036)),
ISNUMBER(SEARCH("SOPORTE",B2036)),
ISNUMBER(SEARCH("STAND",B2036)),
ISNUMBER(SEARCH("TRAVEL ADAPTER",B2036)),
ISNUMBER(SEARCH("RJ45",B2036)),
ISNUMBER(SEARCH("USB-C",B2036)),
ISNUMBER(SEARCH("USB WIFI",B2036)),
ISNUMBER(SEARCH("POWERBANK",B2036)),
ISNUMBER(SEARCH("CARGADOR",B2036)),
ISNUMBER(SEARCH("COOLER PARA NB",B2036)),
ISNUMBER(SEARCH("SOPORTE PARA NB",B2036)),
ISNUMBER(SEARCH("WEBCAM",B2036)),
ISNUMBER(SEARCH("WEB CAM",B2036)),
ISNUMBER(SEARCH("MOUSE",B2036)),
ISNUMBER(SEARCH("TECLADO",B2036))
),
"COMPLEMENTO",
IF(
OR(
LEFT(A2036,2)="NB",
LEFT(A2036,2)="PC",
LEFT(A2036,2)="WS",
LEFT(A2036,2)="TB",
LEFT(A2036,3)="CEL",
LEFT(A2036,3)="MON",
LEFT(A2036,3)="PRE",
LEFT(A2036,3)="PRH",
ISNUMBER(SEARCH("NOTEBOOK",B2036)),
ISNUMBER(SEARCH("LAPTOP",B2036)),
ISNUMBER(SEARCH("MONITOR",B2036)),
ISNUMBER(SEARCH("TABLET",B2036)),
ISNUMBER(SEARCH("SMARTPH",B2036)),
ISNUMBER(SEARCH("IMPRESORA",B2036)),
ISNUMBER(SEARCH("MULTIFUNCIONAL",B2036)),
ISNUMBER(SEARCH("AIO",B2036))
),
"GANCHO",
"NORMAL"
)
)</f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>ROUND(
IF(L2033="GANCHO",
   IF(I2035&lt;=50,I2035*1.1+4,IF(I2035&lt;=120,I2035*1.1+7,IF(I2035&lt;=250,I2035*1.1+11,I2035*1.1+19))),
IF(L2033="NORMAL",
   IF(I2035&lt;=30,I2035*1.15+2,IF(I2035&lt;=80,I2035*1.15+4,IF(I2035&lt;=150,I2035*1.15+6,I2035*1.15+8))),
IF(L2033="COMPLEMENTO",
   IF(I2035&lt;=25,I2035*1.25+1.5,IF(I2035&lt;=60,I2035*1.25+3,IF(I2035&lt;=120,I2035*1.25+4,I2035*1.25+5))),
""))),2)</f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>IF(
OR(
ISNUMBER(SEARCH("BACKPACK",B2037)),
ISNUMBER(SEARCH("MOCHILA",B2037)),
ISNUMBER(SEARCH("FUNDA",B2037)),
ISNUMBER(SEARCH("ESTUCHE",B2037)),
ISNUMBER(SEARCH("BOOK COVER",B2037)),
ISNUMBER(SEARCH("KEYBOARD PARA TABLET",B2037)),
ISNUMBER(SEARCH("FLIP TABLET",B2037)),
ISNUMBER(SEARCH("CASE FOR TABLET",B2037)),
ISNUMBER(SEARCH("CABLE",B2037)),
ISNUMBER(SEARCH("ADAPTADOR",B2037)),
ISNUMBER(SEARCH("HUB",B2037)),
ISNUMBER(SEARCH("DOCK",B2037)),
ISNUMBER(SEARCH("MOUSE PAD",B2037)),
ISNUMBER(SEARCH("MOUSEPAD",B2037)),
ISNUMBER(SEARCH("SOPORTE",B2037)),
ISNUMBER(SEARCH("STAND",B2037)),
ISNUMBER(SEARCH("TRAVEL ADAPTER",B2037)),
ISNUMBER(SEARCH("RJ45",B2037)),
ISNUMBER(SEARCH("USB-C",B2037)),
ISNUMBER(SEARCH("USB WIFI",B2037)),
ISNUMBER(SEARCH("POWERBANK",B2037)),
ISNUMBER(SEARCH("CARGADOR",B2037)),
ISNUMBER(SEARCH("COOLER PARA NB",B2037)),
ISNUMBER(SEARCH("SOPORTE PARA NB",B2037)),
ISNUMBER(SEARCH("WEBCAM",B2037)),
ISNUMBER(SEARCH("WEB CAM",B2037)),
ISNUMBER(SEARCH("MOUSE",B2037)),
ISNUMBER(SEARCH("TECLADO",B2037))
),
"COMPLEMENTO",
IF(
OR(
LEFT(A2037,2)="NB",
LEFT(A2037,2)="PC",
LEFT(A2037,2)="WS",
LEFT(A2037,2)="TB",
LEFT(A2037,3)="CEL",
LEFT(A2037,3)="MON",
LEFT(A2037,3)="PRE",
LEFT(A2037,3)="PRH",
ISNUMBER(SEARCH("NOTEBOOK",B2037)),
ISNUMBER(SEARCH("LAPTOP",B2037)),
ISNUMBER(SEARCH("MONITOR",B2037)),
ISNUMBER(SEARCH("TABLET",B2037)),
ISNUMBER(SEARCH("SMARTPH",B2037)),
ISNUMBER(SEARCH("IMPRESORA",B2037)),
ISNUMBER(SEARCH("MULTIFUNCIONAL",B2037)),
ISNUMBER(SEARCH("AIO",B2037))
),
"GANCHO",
"NORMAL"
)
)</f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>ROUND(
IF(L2034="GANCHO",
   IF(I2036&lt;=50,I2036*1.1+4,IF(I2036&lt;=120,I2036*1.1+7,IF(I2036&lt;=250,I2036*1.1+11,I2036*1.1+19))),
IF(L2034="NORMAL",
   IF(I2036&lt;=30,I2036*1.15+2,IF(I2036&lt;=80,I2036*1.15+4,IF(I2036&lt;=150,I2036*1.15+6,I2036*1.15+8))),
IF(L2034="COMPLEMENTO",
   IF(I2036&lt;=25,I2036*1.25+1.5,IF(I2036&lt;=60,I2036*1.25+3,IF(I2036&lt;=120,I2036*1.25+4,I2036*1.25+5))),
""))),2)</f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>IF(
OR(
ISNUMBER(SEARCH("BACKPACK",B2038)),
ISNUMBER(SEARCH("MOCHILA",B2038)),
ISNUMBER(SEARCH("FUNDA",B2038)),
ISNUMBER(SEARCH("ESTUCHE",B2038)),
ISNUMBER(SEARCH("BOOK COVER",B2038)),
ISNUMBER(SEARCH("KEYBOARD PARA TABLET",B2038)),
ISNUMBER(SEARCH("FLIP TABLET",B2038)),
ISNUMBER(SEARCH("CASE FOR TABLET",B2038)),
ISNUMBER(SEARCH("CABLE",B2038)),
ISNUMBER(SEARCH("ADAPTADOR",B2038)),
ISNUMBER(SEARCH("HUB",B2038)),
ISNUMBER(SEARCH("DOCK",B2038)),
ISNUMBER(SEARCH("MOUSE PAD",B2038)),
ISNUMBER(SEARCH("MOUSEPAD",B2038)),
ISNUMBER(SEARCH("SOPORTE",B2038)),
ISNUMBER(SEARCH("STAND",B2038)),
ISNUMBER(SEARCH("TRAVEL ADAPTER",B2038)),
ISNUMBER(SEARCH("RJ45",B2038)),
ISNUMBER(SEARCH("USB-C",B2038)),
ISNUMBER(SEARCH("USB WIFI",B2038)),
ISNUMBER(SEARCH("POWERBANK",B2038)),
ISNUMBER(SEARCH("CARGADOR",B2038)),
ISNUMBER(SEARCH("COOLER PARA NB",B2038)),
ISNUMBER(SEARCH("SOPORTE PARA NB",B2038)),
ISNUMBER(SEARCH("WEBCAM",B2038)),
ISNUMBER(SEARCH("WEB CAM",B2038)),
ISNUMBER(SEARCH("MOUSE",B2038)),
ISNUMBER(SEARCH("TECLADO",B2038))
),
"COMPLEMENTO",
IF(
OR(
LEFT(A2038,2)="NB",
LEFT(A2038,2)="PC",
LEFT(A2038,2)="WS",
LEFT(A2038,2)="TB",
LEFT(A2038,3)="CEL",
LEFT(A2038,3)="MON",
LEFT(A2038,3)="PRE",
LEFT(A2038,3)="PRH",
ISNUMBER(SEARCH("NOTEBOOK",B2038)),
ISNUMBER(SEARCH("LAPTOP",B2038)),
ISNUMBER(SEARCH("MONITOR",B2038)),
ISNUMBER(SEARCH("TABLET",B2038)),
ISNUMBER(SEARCH("SMARTPH",B2038)),
ISNUMBER(SEARCH("IMPRESORA",B2038)),
ISNUMBER(SEARCH("MULTIFUNCIONAL",B2038)),
ISNUMBER(SEARCH("AIO",B2038))
),
"GANCHO",
"NORMAL"
)
)</f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>ROUND(
IF(L2035="GANCHO",
   IF(I2037&lt;=50,I2037*1.1+4,IF(I2037&lt;=120,I2037*1.1+7,IF(I2037&lt;=250,I2037*1.1+11,I2037*1.1+19))),
IF(L2035="NORMAL",
   IF(I2037&lt;=30,I2037*1.15+2,IF(I2037&lt;=80,I2037*1.15+4,IF(I2037&lt;=150,I2037*1.15+6,I2037*1.15+8))),
IF(L2035="COMPLEMENTO",
   IF(I2037&lt;=25,I2037*1.25+1.5,IF(I2037&lt;=60,I2037*1.25+3,IF(I2037&lt;=120,I2037*1.25+4,I2037*1.25+5))),
""))),2)</f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>IF(
OR(
ISNUMBER(SEARCH("BACKPACK",B2039)),
ISNUMBER(SEARCH("MOCHILA",B2039)),
ISNUMBER(SEARCH("FUNDA",B2039)),
ISNUMBER(SEARCH("ESTUCHE",B2039)),
ISNUMBER(SEARCH("BOOK COVER",B2039)),
ISNUMBER(SEARCH("KEYBOARD PARA TABLET",B2039)),
ISNUMBER(SEARCH("FLIP TABLET",B2039)),
ISNUMBER(SEARCH("CASE FOR TABLET",B2039)),
ISNUMBER(SEARCH("CABLE",B2039)),
ISNUMBER(SEARCH("ADAPTADOR",B2039)),
ISNUMBER(SEARCH("HUB",B2039)),
ISNUMBER(SEARCH("DOCK",B2039)),
ISNUMBER(SEARCH("MOUSE PAD",B2039)),
ISNUMBER(SEARCH("MOUSEPAD",B2039)),
ISNUMBER(SEARCH("SOPORTE",B2039)),
ISNUMBER(SEARCH("STAND",B2039)),
ISNUMBER(SEARCH("TRAVEL ADAPTER",B2039)),
ISNUMBER(SEARCH("RJ45",B2039)),
ISNUMBER(SEARCH("USB-C",B2039)),
ISNUMBER(SEARCH("USB WIFI",B2039)),
ISNUMBER(SEARCH("POWERBANK",B2039)),
ISNUMBER(SEARCH("CARGADOR",B2039)),
ISNUMBER(SEARCH("COOLER PARA NB",B2039)),
ISNUMBER(SEARCH("SOPORTE PARA NB",B2039)),
ISNUMBER(SEARCH("WEBCAM",B2039)),
ISNUMBER(SEARCH("WEB CAM",B2039)),
ISNUMBER(SEARCH("MOUSE",B2039)),
ISNUMBER(SEARCH("TECLADO",B2039))
),
"COMPLEMENTO",
IF(
OR(
LEFT(A2039,2)="NB",
LEFT(A2039,2)="PC",
LEFT(A2039,2)="WS",
LEFT(A2039,2)="TB",
LEFT(A2039,3)="CEL",
LEFT(A2039,3)="MON",
LEFT(A2039,3)="PRE",
LEFT(A2039,3)="PRH",
ISNUMBER(SEARCH("NOTEBOOK",B2039)),
ISNUMBER(SEARCH("LAPTOP",B2039)),
ISNUMBER(SEARCH("MONITOR",B2039)),
ISNUMBER(SEARCH("TABLET",B2039)),
ISNUMBER(SEARCH("SMARTPH",B2039)),
ISNUMBER(SEARCH("IMPRESORA",B2039)),
ISNUMBER(SEARCH("MULTIFUNCIONAL",B2039)),
ISNUMBER(SEARCH("AIO",B2039))
),
"GANCHO",
"NORMAL"
)
)</f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>ROUND(
IF(L2036="GANCHO",
   IF(I2038&lt;=50,I2038*1.1+4,IF(I2038&lt;=120,I2038*1.1+7,IF(I2038&lt;=250,I2038*1.1+11,I2038*1.1+19))),
IF(L2036="NORMAL",
   IF(I2038&lt;=30,I2038*1.15+2,IF(I2038&lt;=80,I2038*1.15+4,IF(I2038&lt;=150,I2038*1.15+6,I2038*1.15+8))),
IF(L2036="COMPLEMENTO",
   IF(I2038&lt;=25,I2038*1.25+1.5,IF(I2038&lt;=60,I2038*1.25+3,IF(I2038&lt;=120,I2038*1.25+4,I2038*1.25+5))),
""))),2)</f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>IF(
OR(
ISNUMBER(SEARCH("BACKPACK",B2040)),
ISNUMBER(SEARCH("MOCHILA",B2040)),
ISNUMBER(SEARCH("FUNDA",B2040)),
ISNUMBER(SEARCH("ESTUCHE",B2040)),
ISNUMBER(SEARCH("BOOK COVER",B2040)),
ISNUMBER(SEARCH("KEYBOARD PARA TABLET",B2040)),
ISNUMBER(SEARCH("FLIP TABLET",B2040)),
ISNUMBER(SEARCH("CASE FOR TABLET",B2040)),
ISNUMBER(SEARCH("CABLE",B2040)),
ISNUMBER(SEARCH("ADAPTADOR",B2040)),
ISNUMBER(SEARCH("HUB",B2040)),
ISNUMBER(SEARCH("DOCK",B2040)),
ISNUMBER(SEARCH("MOUSE PAD",B2040)),
ISNUMBER(SEARCH("MOUSEPAD",B2040)),
ISNUMBER(SEARCH("SOPORTE",B2040)),
ISNUMBER(SEARCH("STAND",B2040)),
ISNUMBER(SEARCH("TRAVEL ADAPTER",B2040)),
ISNUMBER(SEARCH("RJ45",B2040)),
ISNUMBER(SEARCH("USB-C",B2040)),
ISNUMBER(SEARCH("USB WIFI",B2040)),
ISNUMBER(SEARCH("POWERBANK",B2040)),
ISNUMBER(SEARCH("CARGADOR",B2040)),
ISNUMBER(SEARCH("COOLER PARA NB",B2040)),
ISNUMBER(SEARCH("SOPORTE PARA NB",B2040)),
ISNUMBER(SEARCH("WEBCAM",B2040)),
ISNUMBER(SEARCH("WEB CAM",B2040)),
ISNUMBER(SEARCH("MOUSE",B2040)),
ISNUMBER(SEARCH("TECLADO",B2040))
),
"COMPLEMENTO",
IF(
OR(
LEFT(A2040,2)="NB",
LEFT(A2040,2)="PC",
LEFT(A2040,2)="WS",
LEFT(A2040,2)="TB",
LEFT(A2040,3)="CEL",
LEFT(A2040,3)="MON",
LEFT(A2040,3)="PRE",
LEFT(A2040,3)="PRH",
ISNUMBER(SEARCH("NOTEBOOK",B2040)),
ISNUMBER(SEARCH("LAPTOP",B2040)),
ISNUMBER(SEARCH("MONITOR",B2040)),
ISNUMBER(SEARCH("TABLET",B2040)),
ISNUMBER(SEARCH("SMARTPH",B2040)),
ISNUMBER(SEARCH("IMPRESORA",B2040)),
ISNUMBER(SEARCH("MULTIFUNCIONAL",B2040)),
ISNUMBER(SEARCH("AIO",B2040))
),
"GANCHO",
"NORMAL"
)
)</f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>ROUND(
IF(L2037="GANCHO",
   IF(I2039&lt;=50,I2039*1.1+4,IF(I2039&lt;=120,I2039*1.1+7,IF(I2039&lt;=250,I2039*1.1+11,I2039*1.1+19))),
IF(L2037="NORMAL",
   IF(I2039&lt;=30,I2039*1.15+2,IF(I2039&lt;=80,I2039*1.15+4,IF(I2039&lt;=150,I2039*1.15+6,I2039*1.15+8))),
IF(L2037="COMPLEMENTO",
   IF(I2039&lt;=25,I2039*1.25+1.5,IF(I2039&lt;=60,I2039*1.25+3,IF(I2039&lt;=120,I2039*1.25+4,I2039*1.25+5))),
""))),2)</f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>IF(
OR(
ISNUMBER(SEARCH("BACKPACK",B2041)),
ISNUMBER(SEARCH("MOCHILA",B2041)),
ISNUMBER(SEARCH("FUNDA",B2041)),
ISNUMBER(SEARCH("ESTUCHE",B2041)),
ISNUMBER(SEARCH("BOOK COVER",B2041)),
ISNUMBER(SEARCH("KEYBOARD PARA TABLET",B2041)),
ISNUMBER(SEARCH("FLIP TABLET",B2041)),
ISNUMBER(SEARCH("CASE FOR TABLET",B2041)),
ISNUMBER(SEARCH("CABLE",B2041)),
ISNUMBER(SEARCH("ADAPTADOR",B2041)),
ISNUMBER(SEARCH("HUB",B2041)),
ISNUMBER(SEARCH("DOCK",B2041)),
ISNUMBER(SEARCH("MOUSE PAD",B2041)),
ISNUMBER(SEARCH("MOUSEPAD",B2041)),
ISNUMBER(SEARCH("SOPORTE",B2041)),
ISNUMBER(SEARCH("STAND",B2041)),
ISNUMBER(SEARCH("TRAVEL ADAPTER",B2041)),
ISNUMBER(SEARCH("RJ45",B2041)),
ISNUMBER(SEARCH("USB-C",B2041)),
ISNUMBER(SEARCH("USB WIFI",B2041)),
ISNUMBER(SEARCH("POWERBANK",B2041)),
ISNUMBER(SEARCH("CARGADOR",B2041)),
ISNUMBER(SEARCH("COOLER PARA NB",B2041)),
ISNUMBER(SEARCH("SOPORTE PARA NB",B2041)),
ISNUMBER(SEARCH("WEBCAM",B2041)),
ISNUMBER(SEARCH("WEB CAM",B2041)),
ISNUMBER(SEARCH("MOUSE",B2041)),
ISNUMBER(SEARCH("TECLADO",B2041))
),
"COMPLEMENTO",
IF(
OR(
LEFT(A2041,2)="NB",
LEFT(A2041,2)="PC",
LEFT(A2041,2)="WS",
LEFT(A2041,2)="TB",
LEFT(A2041,3)="CEL",
LEFT(A2041,3)="MON",
LEFT(A2041,3)="PRE",
LEFT(A2041,3)="PRH",
ISNUMBER(SEARCH("NOTEBOOK",B2041)),
ISNUMBER(SEARCH("LAPTOP",B2041)),
ISNUMBER(SEARCH("MONITOR",B2041)),
ISNUMBER(SEARCH("TABLET",B2041)),
ISNUMBER(SEARCH("SMARTPH",B2041)),
ISNUMBER(SEARCH("IMPRESORA",B2041)),
ISNUMBER(SEARCH("MULTIFUNCIONAL",B2041)),
ISNUMBER(SEARCH("AIO",B2041))
),
"GANCHO",
"NORMAL"
)
)</f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>ROUND(
IF(L2038="GANCHO",
   IF(I2040&lt;=50,I2040*1.1+4,IF(I2040&lt;=120,I2040*1.1+7,IF(I2040&lt;=250,I2040*1.1+11,I2040*1.1+19))),
IF(L2038="NORMAL",
   IF(I2040&lt;=30,I2040*1.15+2,IF(I2040&lt;=80,I2040*1.15+4,IF(I2040&lt;=150,I2040*1.15+6,I2040*1.15+8))),
IF(L2038="COMPLEMENTO",
   IF(I2040&lt;=25,I2040*1.25+1.5,IF(I2040&lt;=60,I2040*1.25+3,IF(I2040&lt;=120,I2040*1.25+4,I2040*1.25+5))),
""))),2)</f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>IF(
OR(
ISNUMBER(SEARCH("BACKPACK",B2042)),
ISNUMBER(SEARCH("MOCHILA",B2042)),
ISNUMBER(SEARCH("FUNDA",B2042)),
ISNUMBER(SEARCH("ESTUCHE",B2042)),
ISNUMBER(SEARCH("BOOK COVER",B2042)),
ISNUMBER(SEARCH("KEYBOARD PARA TABLET",B2042)),
ISNUMBER(SEARCH("FLIP TABLET",B2042)),
ISNUMBER(SEARCH("CASE FOR TABLET",B2042)),
ISNUMBER(SEARCH("CABLE",B2042)),
ISNUMBER(SEARCH("ADAPTADOR",B2042)),
ISNUMBER(SEARCH("HUB",B2042)),
ISNUMBER(SEARCH("DOCK",B2042)),
ISNUMBER(SEARCH("MOUSE PAD",B2042)),
ISNUMBER(SEARCH("MOUSEPAD",B2042)),
ISNUMBER(SEARCH("SOPORTE",B2042)),
ISNUMBER(SEARCH("STAND",B2042)),
ISNUMBER(SEARCH("TRAVEL ADAPTER",B2042)),
ISNUMBER(SEARCH("RJ45",B2042)),
ISNUMBER(SEARCH("USB-C",B2042)),
ISNUMBER(SEARCH("USB WIFI",B2042)),
ISNUMBER(SEARCH("POWERBANK",B2042)),
ISNUMBER(SEARCH("CARGADOR",B2042)),
ISNUMBER(SEARCH("COOLER PARA NB",B2042)),
ISNUMBER(SEARCH("SOPORTE PARA NB",B2042)),
ISNUMBER(SEARCH("WEBCAM",B2042)),
ISNUMBER(SEARCH("WEB CAM",B2042)),
ISNUMBER(SEARCH("MOUSE",B2042)),
ISNUMBER(SEARCH("TECLADO",B2042))
),
"COMPLEMENTO",
IF(
OR(
LEFT(A2042,2)="NB",
LEFT(A2042,2)="PC",
LEFT(A2042,2)="WS",
LEFT(A2042,2)="TB",
LEFT(A2042,3)="CEL",
LEFT(A2042,3)="MON",
LEFT(A2042,3)="PRE",
LEFT(A2042,3)="PRH",
ISNUMBER(SEARCH("NOTEBOOK",B2042)),
ISNUMBER(SEARCH("LAPTOP",B2042)),
ISNUMBER(SEARCH("MONITOR",B2042)),
ISNUMBER(SEARCH("TABLET",B2042)),
ISNUMBER(SEARCH("SMARTPH",B2042)),
ISNUMBER(SEARCH("IMPRESORA",B2042)),
ISNUMBER(SEARCH("MULTIFUNCIONAL",B2042)),
ISNUMBER(SEARCH("AIO",B2042))
),
"GANCHO",
"NORMAL"
)
)</f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>ROUND(
IF(L2039="GANCHO",
   IF(I2041&lt;=50,I2041*1.1+4,IF(I2041&lt;=120,I2041*1.1+7,IF(I2041&lt;=250,I2041*1.1+11,I2041*1.1+19))),
IF(L2039="NORMAL",
   IF(I2041&lt;=30,I2041*1.15+2,IF(I2041&lt;=80,I2041*1.15+4,IF(I2041&lt;=150,I2041*1.15+6,I2041*1.15+8))),
IF(L2039="COMPLEMENTO",
   IF(I2041&lt;=25,I2041*1.25+1.5,IF(I2041&lt;=60,I2041*1.25+3,IF(I2041&lt;=120,I2041*1.25+4,I2041*1.25+5))),
""))),2)</f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>IF(
OR(
ISNUMBER(SEARCH("BACKPACK",B2043)),
ISNUMBER(SEARCH("MOCHILA",B2043)),
ISNUMBER(SEARCH("FUNDA",B2043)),
ISNUMBER(SEARCH("ESTUCHE",B2043)),
ISNUMBER(SEARCH("BOOK COVER",B2043)),
ISNUMBER(SEARCH("KEYBOARD PARA TABLET",B2043)),
ISNUMBER(SEARCH("FLIP TABLET",B2043)),
ISNUMBER(SEARCH("CASE FOR TABLET",B2043)),
ISNUMBER(SEARCH("CABLE",B2043)),
ISNUMBER(SEARCH("ADAPTADOR",B2043)),
ISNUMBER(SEARCH("HUB",B2043)),
ISNUMBER(SEARCH("DOCK",B2043)),
ISNUMBER(SEARCH("MOUSE PAD",B2043)),
ISNUMBER(SEARCH("MOUSEPAD",B2043)),
ISNUMBER(SEARCH("SOPORTE",B2043)),
ISNUMBER(SEARCH("STAND",B2043)),
ISNUMBER(SEARCH("TRAVEL ADAPTER",B2043)),
ISNUMBER(SEARCH("RJ45",B2043)),
ISNUMBER(SEARCH("USB-C",B2043)),
ISNUMBER(SEARCH("USB WIFI",B2043)),
ISNUMBER(SEARCH("POWERBANK",B2043)),
ISNUMBER(SEARCH("CARGADOR",B2043)),
ISNUMBER(SEARCH("COOLER PARA NB",B2043)),
ISNUMBER(SEARCH("SOPORTE PARA NB",B2043)),
ISNUMBER(SEARCH("WEBCAM",B2043)),
ISNUMBER(SEARCH("WEB CAM",B2043)),
ISNUMBER(SEARCH("MOUSE",B2043)),
ISNUMBER(SEARCH("TECLADO",B2043))
),
"COMPLEMENTO",
IF(
OR(
LEFT(A2043,2)="NB",
LEFT(A2043,2)="PC",
LEFT(A2043,2)="WS",
LEFT(A2043,2)="TB",
LEFT(A2043,3)="CEL",
LEFT(A2043,3)="MON",
LEFT(A2043,3)="PRE",
LEFT(A2043,3)="PRH",
ISNUMBER(SEARCH("NOTEBOOK",B2043)),
ISNUMBER(SEARCH("LAPTOP",B2043)),
ISNUMBER(SEARCH("MONITOR",B2043)),
ISNUMBER(SEARCH("TABLET",B2043)),
ISNUMBER(SEARCH("SMARTPH",B2043)),
ISNUMBER(SEARCH("IMPRESORA",B2043)),
ISNUMBER(SEARCH("MULTIFUNCIONAL",B2043)),
ISNUMBER(SEARCH("AIO",B2043))
),
"GANCHO",
"NORMAL"
)
)</f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>ROUND(
IF(L2040="GANCHO",
   IF(I2042&lt;=50,I2042*1.1+4,IF(I2042&lt;=120,I2042*1.1+7,IF(I2042&lt;=250,I2042*1.1+11,I2042*1.1+19))),
IF(L2040="NORMAL",
   IF(I2042&lt;=30,I2042*1.15+2,IF(I2042&lt;=80,I2042*1.15+4,IF(I2042&lt;=150,I2042*1.15+6,I2042*1.15+8))),
IF(L2040="COMPLEMENTO",
   IF(I2042&lt;=25,I2042*1.25+1.5,IF(I2042&lt;=60,I2042*1.25+3,IF(I2042&lt;=120,I2042*1.25+4,I2042*1.25+5))),
""))),2)</f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>IF(
OR(
ISNUMBER(SEARCH("BACKPACK",B2044)),
ISNUMBER(SEARCH("MOCHILA",B2044)),
ISNUMBER(SEARCH("FUNDA",B2044)),
ISNUMBER(SEARCH("ESTUCHE",B2044)),
ISNUMBER(SEARCH("BOOK COVER",B2044)),
ISNUMBER(SEARCH("KEYBOARD PARA TABLET",B2044)),
ISNUMBER(SEARCH("FLIP TABLET",B2044)),
ISNUMBER(SEARCH("CASE FOR TABLET",B2044)),
ISNUMBER(SEARCH("CABLE",B2044)),
ISNUMBER(SEARCH("ADAPTADOR",B2044)),
ISNUMBER(SEARCH("HUB",B2044)),
ISNUMBER(SEARCH("DOCK",B2044)),
ISNUMBER(SEARCH("MOUSE PAD",B2044)),
ISNUMBER(SEARCH("MOUSEPAD",B2044)),
ISNUMBER(SEARCH("SOPORTE",B2044)),
ISNUMBER(SEARCH("STAND",B2044)),
ISNUMBER(SEARCH("TRAVEL ADAPTER",B2044)),
ISNUMBER(SEARCH("RJ45",B2044)),
ISNUMBER(SEARCH("USB-C",B2044)),
ISNUMBER(SEARCH("USB WIFI",B2044)),
ISNUMBER(SEARCH("POWERBANK",B2044)),
ISNUMBER(SEARCH("CARGADOR",B2044)),
ISNUMBER(SEARCH("COOLER PARA NB",B2044)),
ISNUMBER(SEARCH("SOPORTE PARA NB",B2044)),
ISNUMBER(SEARCH("WEBCAM",B2044)),
ISNUMBER(SEARCH("WEB CAM",B2044)),
ISNUMBER(SEARCH("MOUSE",B2044)),
ISNUMBER(SEARCH("TECLADO",B2044))
),
"COMPLEMENTO",
IF(
OR(
LEFT(A2044,2)="NB",
LEFT(A2044,2)="PC",
LEFT(A2044,2)="WS",
LEFT(A2044,2)="TB",
LEFT(A2044,3)="CEL",
LEFT(A2044,3)="MON",
LEFT(A2044,3)="PRE",
LEFT(A2044,3)="PRH",
ISNUMBER(SEARCH("NOTEBOOK",B2044)),
ISNUMBER(SEARCH("LAPTOP",B2044)),
ISNUMBER(SEARCH("MONITOR",B2044)),
ISNUMBER(SEARCH("TABLET",B2044)),
ISNUMBER(SEARCH("SMARTPH",B2044)),
ISNUMBER(SEARCH("IMPRESORA",B2044)),
ISNUMBER(SEARCH("MULTIFUNCIONAL",B2044)),
ISNUMBER(SEARCH("AIO",B2044))
),
"GANCHO",
"NORMAL"
)
)</f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>ROUND(
IF(L2041="GANCHO",
   IF(I2043&lt;=50,I2043*1.1+4,IF(I2043&lt;=120,I2043*1.1+7,IF(I2043&lt;=250,I2043*1.1+11,I2043*1.1+19))),
IF(L2041="NORMAL",
   IF(I2043&lt;=30,I2043*1.15+2,IF(I2043&lt;=80,I2043*1.15+4,IF(I2043&lt;=150,I2043*1.15+6,I2043*1.15+8))),
IF(L2041="COMPLEMENTO",
   IF(I2043&lt;=25,I2043*1.25+1.5,IF(I2043&lt;=60,I2043*1.25+3,IF(I2043&lt;=120,I2043*1.25+4,I2043*1.25+5))),
""))),2)</f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>IF(
OR(
ISNUMBER(SEARCH("BACKPACK",B2045)),
ISNUMBER(SEARCH("MOCHILA",B2045)),
ISNUMBER(SEARCH("FUNDA",B2045)),
ISNUMBER(SEARCH("ESTUCHE",B2045)),
ISNUMBER(SEARCH("BOOK COVER",B2045)),
ISNUMBER(SEARCH("KEYBOARD PARA TABLET",B2045)),
ISNUMBER(SEARCH("FLIP TABLET",B2045)),
ISNUMBER(SEARCH("CASE FOR TABLET",B2045)),
ISNUMBER(SEARCH("CABLE",B2045)),
ISNUMBER(SEARCH("ADAPTADOR",B2045)),
ISNUMBER(SEARCH("HUB",B2045)),
ISNUMBER(SEARCH("DOCK",B2045)),
ISNUMBER(SEARCH("MOUSE PAD",B2045)),
ISNUMBER(SEARCH("MOUSEPAD",B2045)),
ISNUMBER(SEARCH("SOPORTE",B2045)),
ISNUMBER(SEARCH("STAND",B2045)),
ISNUMBER(SEARCH("TRAVEL ADAPTER",B2045)),
ISNUMBER(SEARCH("RJ45",B2045)),
ISNUMBER(SEARCH("USB-C",B2045)),
ISNUMBER(SEARCH("USB WIFI",B2045)),
ISNUMBER(SEARCH("POWERBANK",B2045)),
ISNUMBER(SEARCH("CARGADOR",B2045)),
ISNUMBER(SEARCH("COOLER PARA NB",B2045)),
ISNUMBER(SEARCH("SOPORTE PARA NB",B2045)),
ISNUMBER(SEARCH("WEBCAM",B2045)),
ISNUMBER(SEARCH("WEB CAM",B2045)),
ISNUMBER(SEARCH("MOUSE",B2045)),
ISNUMBER(SEARCH("TECLADO",B2045))
),
"COMPLEMENTO",
IF(
OR(
LEFT(A2045,2)="NB",
LEFT(A2045,2)="PC",
LEFT(A2045,2)="WS",
LEFT(A2045,2)="TB",
LEFT(A2045,3)="CEL",
LEFT(A2045,3)="MON",
LEFT(A2045,3)="PRE",
LEFT(A2045,3)="PRH",
ISNUMBER(SEARCH("NOTEBOOK",B2045)),
ISNUMBER(SEARCH("LAPTOP",B2045)),
ISNUMBER(SEARCH("MONITOR",B2045)),
ISNUMBER(SEARCH("TABLET",B2045)),
ISNUMBER(SEARCH("SMARTPH",B2045)),
ISNUMBER(SEARCH("IMPRESORA",B2045)),
ISNUMBER(SEARCH("MULTIFUNCIONAL",B2045)),
ISNUMBER(SEARCH("AIO",B2045))
),
"GANCHO",
"NORMAL"
)
)</f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>ROUND(
IF(L2042="GANCHO",
   IF(I2044&lt;=50,I2044*1.1+4,IF(I2044&lt;=120,I2044*1.1+7,IF(I2044&lt;=250,I2044*1.1+11,I2044*1.1+19))),
IF(L2042="NORMAL",
   IF(I2044&lt;=30,I2044*1.15+2,IF(I2044&lt;=80,I2044*1.15+4,IF(I2044&lt;=150,I2044*1.15+6,I2044*1.15+8))),
IF(L2042="COMPLEMENTO",
   IF(I2044&lt;=25,I2044*1.25+1.5,IF(I2044&lt;=60,I2044*1.25+3,IF(I2044&lt;=120,I2044*1.25+4,I2044*1.25+5))),
""))),2)</f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>IF(
OR(
ISNUMBER(SEARCH("BACKPACK",B2046)),
ISNUMBER(SEARCH("MOCHILA",B2046)),
ISNUMBER(SEARCH("FUNDA",B2046)),
ISNUMBER(SEARCH("ESTUCHE",B2046)),
ISNUMBER(SEARCH("BOOK COVER",B2046)),
ISNUMBER(SEARCH("KEYBOARD PARA TABLET",B2046)),
ISNUMBER(SEARCH("FLIP TABLET",B2046)),
ISNUMBER(SEARCH("CASE FOR TABLET",B2046)),
ISNUMBER(SEARCH("CABLE",B2046)),
ISNUMBER(SEARCH("ADAPTADOR",B2046)),
ISNUMBER(SEARCH("HUB",B2046)),
ISNUMBER(SEARCH("DOCK",B2046)),
ISNUMBER(SEARCH("MOUSE PAD",B2046)),
ISNUMBER(SEARCH("MOUSEPAD",B2046)),
ISNUMBER(SEARCH("SOPORTE",B2046)),
ISNUMBER(SEARCH("STAND",B2046)),
ISNUMBER(SEARCH("TRAVEL ADAPTER",B2046)),
ISNUMBER(SEARCH("RJ45",B2046)),
ISNUMBER(SEARCH("USB-C",B2046)),
ISNUMBER(SEARCH("USB WIFI",B2046)),
ISNUMBER(SEARCH("POWERBANK",B2046)),
ISNUMBER(SEARCH("CARGADOR",B2046)),
ISNUMBER(SEARCH("COOLER PARA NB",B2046)),
ISNUMBER(SEARCH("SOPORTE PARA NB",B2046)),
ISNUMBER(SEARCH("WEBCAM",B2046)),
ISNUMBER(SEARCH("WEB CAM",B2046)),
ISNUMBER(SEARCH("MOUSE",B2046)),
ISNUMBER(SEARCH("TECLADO",B2046))
),
"COMPLEMENTO",
IF(
OR(
LEFT(A2046,2)="NB",
LEFT(A2046,2)="PC",
LEFT(A2046,2)="WS",
LEFT(A2046,2)="TB",
LEFT(A2046,3)="CEL",
LEFT(A2046,3)="MON",
LEFT(A2046,3)="PRE",
LEFT(A2046,3)="PRH",
ISNUMBER(SEARCH("NOTEBOOK",B2046)),
ISNUMBER(SEARCH("LAPTOP",B2046)),
ISNUMBER(SEARCH("MONITOR",B2046)),
ISNUMBER(SEARCH("TABLET",B2046)),
ISNUMBER(SEARCH("SMARTPH",B2046)),
ISNUMBER(SEARCH("IMPRESORA",B2046)),
ISNUMBER(SEARCH("MULTIFUNCIONAL",B2046)),
ISNUMBER(SEARCH("AIO",B2046))
),
"GANCHO",
"NORMAL"
)
)</f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>ROUND(
IF(L2043="GANCHO",
   IF(I2045&lt;=50,I2045*1.1+4,IF(I2045&lt;=120,I2045*1.1+7,IF(I2045&lt;=250,I2045*1.1+11,I2045*1.1+19))),
IF(L2043="NORMAL",
   IF(I2045&lt;=30,I2045*1.15+2,IF(I2045&lt;=80,I2045*1.15+4,IF(I2045&lt;=150,I2045*1.15+6,I2045*1.15+8))),
IF(L2043="COMPLEMENTO",
   IF(I2045&lt;=25,I2045*1.25+1.5,IF(I2045&lt;=60,I2045*1.25+3,IF(I2045&lt;=120,I2045*1.25+4,I2045*1.25+5))),
""))),2)</f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>IF(
OR(
ISNUMBER(SEARCH("BACKPACK",B2047)),
ISNUMBER(SEARCH("MOCHILA",B2047)),
ISNUMBER(SEARCH("FUNDA",B2047)),
ISNUMBER(SEARCH("ESTUCHE",B2047)),
ISNUMBER(SEARCH("BOOK COVER",B2047)),
ISNUMBER(SEARCH("KEYBOARD PARA TABLET",B2047)),
ISNUMBER(SEARCH("FLIP TABLET",B2047)),
ISNUMBER(SEARCH("CASE FOR TABLET",B2047)),
ISNUMBER(SEARCH("CABLE",B2047)),
ISNUMBER(SEARCH("ADAPTADOR",B2047)),
ISNUMBER(SEARCH("HUB",B2047)),
ISNUMBER(SEARCH("DOCK",B2047)),
ISNUMBER(SEARCH("MOUSE PAD",B2047)),
ISNUMBER(SEARCH("MOUSEPAD",B2047)),
ISNUMBER(SEARCH("SOPORTE",B2047)),
ISNUMBER(SEARCH("STAND",B2047)),
ISNUMBER(SEARCH("TRAVEL ADAPTER",B2047)),
ISNUMBER(SEARCH("RJ45",B2047)),
ISNUMBER(SEARCH("USB-C",B2047)),
ISNUMBER(SEARCH("USB WIFI",B2047)),
ISNUMBER(SEARCH("POWERBANK",B2047)),
ISNUMBER(SEARCH("CARGADOR",B2047)),
ISNUMBER(SEARCH("COOLER PARA NB",B2047)),
ISNUMBER(SEARCH("SOPORTE PARA NB",B2047)),
ISNUMBER(SEARCH("WEBCAM",B2047)),
ISNUMBER(SEARCH("WEB CAM",B2047)),
ISNUMBER(SEARCH("MOUSE",B2047)),
ISNUMBER(SEARCH("TECLADO",B2047))
),
"COMPLEMENTO",
IF(
OR(
LEFT(A2047,2)="NB",
LEFT(A2047,2)="PC",
LEFT(A2047,2)="WS",
LEFT(A2047,2)="TB",
LEFT(A2047,3)="CEL",
LEFT(A2047,3)="MON",
LEFT(A2047,3)="PRE",
LEFT(A2047,3)="PRH",
ISNUMBER(SEARCH("NOTEBOOK",B2047)),
ISNUMBER(SEARCH("LAPTOP",B2047)),
ISNUMBER(SEARCH("MONITOR",B2047)),
ISNUMBER(SEARCH("TABLET",B2047)),
ISNUMBER(SEARCH("SMARTPH",B2047)),
ISNUMBER(SEARCH("IMPRESORA",B2047)),
ISNUMBER(SEARCH("MULTIFUNCIONAL",B2047)),
ISNUMBER(SEARCH("AIO",B2047))
),
"GANCHO",
"NORMAL"
)
)</f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>ROUND(
IF(L2044="GANCHO",
   IF(I2046&lt;=50,I2046*1.1+4,IF(I2046&lt;=120,I2046*1.1+7,IF(I2046&lt;=250,I2046*1.1+11,I2046*1.1+19))),
IF(L2044="NORMAL",
   IF(I2046&lt;=30,I2046*1.15+2,IF(I2046&lt;=80,I2046*1.15+4,IF(I2046&lt;=150,I2046*1.15+6,I2046*1.15+8))),
IF(L2044="COMPLEMENTO",
   IF(I2046&lt;=25,I2046*1.25+1.5,IF(I2046&lt;=60,I2046*1.25+3,IF(I2046&lt;=120,I2046*1.25+4,I2046*1.25+5))),
""))),2)</f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>IF(
OR(
ISNUMBER(SEARCH("BACKPACK",B2048)),
ISNUMBER(SEARCH("MOCHILA",B2048)),
ISNUMBER(SEARCH("FUNDA",B2048)),
ISNUMBER(SEARCH("ESTUCHE",B2048)),
ISNUMBER(SEARCH("BOOK COVER",B2048)),
ISNUMBER(SEARCH("KEYBOARD PARA TABLET",B2048)),
ISNUMBER(SEARCH("FLIP TABLET",B2048)),
ISNUMBER(SEARCH("CASE FOR TABLET",B2048)),
ISNUMBER(SEARCH("CABLE",B2048)),
ISNUMBER(SEARCH("ADAPTADOR",B2048)),
ISNUMBER(SEARCH("HUB",B2048)),
ISNUMBER(SEARCH("DOCK",B2048)),
ISNUMBER(SEARCH("MOUSE PAD",B2048)),
ISNUMBER(SEARCH("MOUSEPAD",B2048)),
ISNUMBER(SEARCH("SOPORTE",B2048)),
ISNUMBER(SEARCH("STAND",B2048)),
ISNUMBER(SEARCH("TRAVEL ADAPTER",B2048)),
ISNUMBER(SEARCH("RJ45",B2048)),
ISNUMBER(SEARCH("USB-C",B2048)),
ISNUMBER(SEARCH("USB WIFI",B2048)),
ISNUMBER(SEARCH("POWERBANK",B2048)),
ISNUMBER(SEARCH("CARGADOR",B2048)),
ISNUMBER(SEARCH("COOLER PARA NB",B2048)),
ISNUMBER(SEARCH("SOPORTE PARA NB",B2048)),
ISNUMBER(SEARCH("WEBCAM",B2048)),
ISNUMBER(SEARCH("WEB CAM",B2048)),
ISNUMBER(SEARCH("MOUSE",B2048)),
ISNUMBER(SEARCH("TECLADO",B2048))
),
"COMPLEMENTO",
IF(
OR(
LEFT(A2048,2)="NB",
LEFT(A2048,2)="PC",
LEFT(A2048,2)="WS",
LEFT(A2048,2)="TB",
LEFT(A2048,3)="CEL",
LEFT(A2048,3)="MON",
LEFT(A2048,3)="PRE",
LEFT(A2048,3)="PRH",
ISNUMBER(SEARCH("NOTEBOOK",B2048)),
ISNUMBER(SEARCH("LAPTOP",B2048)),
ISNUMBER(SEARCH("MONITOR",B2048)),
ISNUMBER(SEARCH("TABLET",B2048)),
ISNUMBER(SEARCH("SMARTPH",B2048)),
ISNUMBER(SEARCH("IMPRESORA",B2048)),
ISNUMBER(SEARCH("MULTIFUNCIONAL",B2048)),
ISNUMBER(SEARCH("AIO",B2048))
),
"GANCHO",
"NORMAL"
)
)</f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>ROUND(
IF(L2045="GANCHO",
   IF(I2047&lt;=50,I2047*1.1+4,IF(I2047&lt;=120,I2047*1.1+7,IF(I2047&lt;=250,I2047*1.1+11,I2047*1.1+19))),
IF(L2045="NORMAL",
   IF(I2047&lt;=30,I2047*1.15+2,IF(I2047&lt;=80,I2047*1.15+4,IF(I2047&lt;=150,I2047*1.15+6,I2047*1.15+8))),
IF(L2045="COMPLEMENTO",
   IF(I2047&lt;=25,I2047*1.25+1.5,IF(I2047&lt;=60,I2047*1.25+3,IF(I2047&lt;=120,I2047*1.25+4,I2047*1.25+5))),
""))),2)</f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>IF(
OR(
ISNUMBER(SEARCH("BACKPACK",B2049)),
ISNUMBER(SEARCH("MOCHILA",B2049)),
ISNUMBER(SEARCH("FUNDA",B2049)),
ISNUMBER(SEARCH("ESTUCHE",B2049)),
ISNUMBER(SEARCH("BOOK COVER",B2049)),
ISNUMBER(SEARCH("KEYBOARD PARA TABLET",B2049)),
ISNUMBER(SEARCH("FLIP TABLET",B2049)),
ISNUMBER(SEARCH("CASE FOR TABLET",B2049)),
ISNUMBER(SEARCH("CABLE",B2049)),
ISNUMBER(SEARCH("ADAPTADOR",B2049)),
ISNUMBER(SEARCH("HUB",B2049)),
ISNUMBER(SEARCH("DOCK",B2049)),
ISNUMBER(SEARCH("MOUSE PAD",B2049)),
ISNUMBER(SEARCH("MOUSEPAD",B2049)),
ISNUMBER(SEARCH("SOPORTE",B2049)),
ISNUMBER(SEARCH("STAND",B2049)),
ISNUMBER(SEARCH("TRAVEL ADAPTER",B2049)),
ISNUMBER(SEARCH("RJ45",B2049)),
ISNUMBER(SEARCH("USB-C",B2049)),
ISNUMBER(SEARCH("USB WIFI",B2049)),
ISNUMBER(SEARCH("POWERBANK",B2049)),
ISNUMBER(SEARCH("CARGADOR",B2049)),
ISNUMBER(SEARCH("COOLER PARA NB",B2049)),
ISNUMBER(SEARCH("SOPORTE PARA NB",B2049)),
ISNUMBER(SEARCH("WEBCAM",B2049)),
ISNUMBER(SEARCH("WEB CAM",B2049)),
ISNUMBER(SEARCH("MOUSE",B2049)),
ISNUMBER(SEARCH("TECLADO",B2049))
),
"COMPLEMENTO",
IF(
OR(
LEFT(A2049,2)="NB",
LEFT(A2049,2)="PC",
LEFT(A2049,2)="WS",
LEFT(A2049,2)="TB",
LEFT(A2049,3)="CEL",
LEFT(A2049,3)="MON",
LEFT(A2049,3)="PRE",
LEFT(A2049,3)="PRH",
ISNUMBER(SEARCH("NOTEBOOK",B2049)),
ISNUMBER(SEARCH("LAPTOP",B2049)),
ISNUMBER(SEARCH("MONITOR",B2049)),
ISNUMBER(SEARCH("TABLET",B2049)),
ISNUMBER(SEARCH("SMARTPH",B2049)),
ISNUMBER(SEARCH("IMPRESORA",B2049)),
ISNUMBER(SEARCH("MULTIFUNCIONAL",B2049)),
ISNUMBER(SEARCH("AIO",B2049))
),
"GANCHO",
"NORMAL"
)
)</f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>ROUND(
IF(L2046="GANCHO",
   IF(I2048&lt;=50,I2048*1.1+4,IF(I2048&lt;=120,I2048*1.1+7,IF(I2048&lt;=250,I2048*1.1+11,I2048*1.1+19))),
IF(L2046="NORMAL",
   IF(I2048&lt;=30,I2048*1.15+2,IF(I2048&lt;=80,I2048*1.15+4,IF(I2048&lt;=150,I2048*1.15+6,I2048*1.15+8))),
IF(L2046="COMPLEMENTO",
   IF(I2048&lt;=25,I2048*1.25+1.5,IF(I2048&lt;=60,I2048*1.25+3,IF(I2048&lt;=120,I2048*1.25+4,I2048*1.25+5))),
""))),2)</f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>ROUND(
IF(L2047="GANCHO",
   IF(I2049&lt;=50,I2049*1.1+4,IF(I2049&lt;=120,I2049*1.1+7,IF(I2049&lt;=250,I2049*1.1+11,I2049*1.1+19))),
IF(L2047="NORMAL",
   IF(I2049&lt;=30,I2049*1.15+2,IF(I2049&lt;=80,I2049*1.15+4,IF(I2049&lt;=150,I2049*1.15+6,I2049*1.15+8))),
IF(L2047="COMPLEMENTO",
   IF(I2049&lt;=25,I2049*1.25+1.5,IF(I2049&lt;=60,I2049*1.25+3,IF(I2049&lt;=120,I2049*1.25+4,I2049*1.25+5))),
""))),2)</f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>ROUND(
IF(L2048="GANCHO",
   IF(I2050&lt;=50,I2050*1.1+4,IF(I2050&lt;=120,I2050*1.1+7,IF(I2050&lt;=250,I2050*1.1+11,I2050*1.1+19))),
IF(L2048="NORMAL",
   IF(I2050&lt;=30,I2050*1.15+2,IF(I2050&lt;=80,I2050*1.15+4,IF(I2050&lt;=150,I2050*1.15+6,I2050*1.15+8))),
IF(L2048="COMPLEMENTO",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>IF(
OR(
ISNUMBER(SEARCH("BACKPACK",B2052)),
ISNUMBER(SEARCH("MOCHILA",B2052)),
ISNUMBER(SEARCH("FUNDA",B2052)),
ISNUMBER(SEARCH("ESTUCHE",B2052)),
ISNUMBER(SEARCH("BOOK COVER",B2052)),
ISNUMBER(SEARCH("KEYBOARD PARA TABLET",B2052)),
ISNUMBER(SEARCH("FLIP TABLET",B2052)),
ISNUMBER(SEARCH("CASE FOR TABLET",B2052)),
ISNUMBER(SEARCH("CABLE",B2052)),
ISNUMBER(SEARCH("ADAPTADOR",B2052)),
ISNUMBER(SEARCH("HUB",B2052)),
ISNUMBER(SEARCH("DOCK",B2052)),
ISNUMBER(SEARCH("MOUSE PAD",B2052)),
ISNUMBER(SEARCH("MOUSEPAD",B2052)),
ISNUMBER(SEARCH("SOPORTE",B2052)),
ISNUMBER(SEARCH("STAND",B2052)),
ISNUMBER(SEARCH("TRAVEL ADAPTER",B2052)),
ISNUMBER(SEARCH("RJ45",B2052)),
ISNUMBER(SEARCH("USB-C",B2052)),
ISNUMBER(SEARCH("USB WIFI",B2052)),
ISNUMBER(SEARCH("POWERBANK",B2052)),
ISNUMBER(SEARCH("CARGADOR",B2052)),
ISNUMBER(SEARCH("COOLER PARA NB",B2052)),
ISNUMBER(SEARCH("SOPORTE PARA NB",B2052)),
ISNUMBER(SEARCH("WEBCAM",B2052)),
ISNUMBER(SEARCH("WEB CAM",B2052)),
ISNUMBER(SEARCH("MOUSE",B2052)),
ISNUMBER(SEARCH("TECLADO",B2052))
),
"COMPLEMENTO",
IF(
OR(
LEFT(A2052,2)="NB",
LEFT(A2052,2)="PC",
LEFT(A2052,2)="WS",
LEFT(A2052,2)="TB",
LEFT(A2052,3)="CEL",
LEFT(A2052,3)="MON",
LEFT(A2052,3)="PRE",
LEFT(A2052,3)="PRH",
ISNUMBER(SEARCH("NOTEBOOK",B2052)),
ISNUMBER(SEARCH("LAPTOP",B2052)),
ISNUMBER(SEARCH("MONITOR",B2052)),
ISNUMBER(SEARCH("TABLET",B2052)),
ISNUMBER(SEARCH("SMARTPH",B2052)),
ISNUMBER(SEARCH("IMPRESORA",B2052)),
ISNUMBER(SEARCH("MULTIFUNCIONAL",B2052)),
ISNUMBER(SEARCH("AIO",B2052))
),
"GANCHO",
"NORMAL"
)
)</f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>ROUND(
IF(L2049="GANCHO",
   IF(I2051&lt;=50,I2051*1.1+4,IF(I2051&lt;=120,I2051*1.1+7,IF(I2051&lt;=250,I2051*1.1+11,I2051*1.1+19))),
IF(L2049="NORMAL",
   IF(I2051&lt;=30,I2051*1.15+2,IF(I2051&lt;=80,I2051*1.15+4,IF(I2051&lt;=150,I2051*1.15+6,I2051*1.15+8))),
IF(L2049="COMPLEMENTO",
   IF(I2051&lt;=25,I2051*1.25+1.5,IF(I2051&lt;=60,I2051*1.25+3,IF(I2051&lt;=120,I2051*1.25+4,I2051*1.25+5))),
""))),2)</f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>IF(
OR(
ISNUMBER(SEARCH("BACKPACK",B2053)),
ISNUMBER(SEARCH("MOCHILA",B2053)),
ISNUMBER(SEARCH("FUNDA",B2053)),
ISNUMBER(SEARCH("ESTUCHE",B2053)),
ISNUMBER(SEARCH("BOOK COVER",B2053)),
ISNUMBER(SEARCH("KEYBOARD PARA TABLET",B2053)),
ISNUMBER(SEARCH("FLIP TABLET",B2053)),
ISNUMBER(SEARCH("CASE FOR TABLET",B2053)),
ISNUMBER(SEARCH("CABLE",B2053)),
ISNUMBER(SEARCH("ADAPTADOR",B2053)),
ISNUMBER(SEARCH("HUB",B2053)),
ISNUMBER(SEARCH("DOCK",B2053)),
ISNUMBER(SEARCH("MOUSE PAD",B2053)),
ISNUMBER(SEARCH("MOUSEPAD",B2053)),
ISNUMBER(SEARCH("SOPORTE",B2053)),
ISNUMBER(SEARCH("STAND",B2053)),
ISNUMBER(SEARCH("TRAVEL ADAPTER",B2053)),
ISNUMBER(SEARCH("RJ45",B2053)),
ISNUMBER(SEARCH("USB-C",B2053)),
ISNUMBER(SEARCH("USB WIFI",B2053)),
ISNUMBER(SEARCH("POWERBANK",B2053)),
ISNUMBER(SEARCH("CARGADOR",B2053)),
ISNUMBER(SEARCH("COOLER PARA NB",B2053)),
ISNUMBER(SEARCH("SOPORTE PARA NB",B2053)),
ISNUMBER(SEARCH("WEBCAM",B2053)),
ISNUMBER(SEARCH("WEB CAM",B2053)),
ISNUMBER(SEARCH("MOUSE",B2053)),
ISNUMBER(SEARCH("TECLADO",B2053))
),
"COMPLEMENTO",
IF(
OR(
LEFT(A2053,2)="NB",
LEFT(A2053,2)="PC",
LEFT(A2053,2)="WS",
LEFT(A2053,2)="TB",
LEFT(A2053,3)="CEL",
LEFT(A2053,3)="MON",
LEFT(A2053,3)="PRE",
LEFT(A2053,3)="PRH",
ISNUMBER(SEARCH("NOTEBOOK",B2053)),
ISNUMBER(SEARCH("LAPTOP",B2053)),
ISNUMBER(SEARCH("MONITOR",B2053)),
ISNUMBER(SEARCH("TABLET",B2053)),
ISNUMBER(SEARCH("SMARTPH",B2053)),
ISNUMBER(SEARCH("IMPRESORA",B2053)),
ISNUMBER(SEARCH("MULTIFUNCIONAL",B2053)),
ISNUMBER(SEARCH("AIO",B2053))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>ROUND(
IF(L2050="GANCHO",
   IF(I2052&lt;=50,I2052*1.1+4,IF(I2052&lt;=120,I2052*1.1+7,IF(I2052&lt;=250,I2052*1.1+11,I2052*1.1+19))),
IF(L2050="NORMAL",
   IF(I2052&lt;=30,I2052*1.15+2,IF(I2052&lt;=80,I2052*1.15+4,IF(I2052&lt;=150,I2052*1.15+6,I2052*1.15+8))),
IF(L2050="COMPLEMENTO",
   IF(I2052&lt;=25,I2052*1.25+1.5,IF(I2052&lt;=60,I2052*1.25+3,IF(I2052&lt;=120,I2052*1.25+4,I2052*1.25+5))),
""))),2)</f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>IF(
OR(
ISNUMBER(SEARCH("BACKPACK",B2054)),
ISNUMBER(SEARCH("MOCHILA",B2054)),
ISNUMBER(SEARCH("FUNDA",B2054)),
ISNUMBER(SEARCH("ESTUCHE",B2054)),
ISNUMBER(SEARCH("BOOK COVER",B2054)),
ISNUMBER(SEARCH("KEYBOARD PARA TABLET",B2054)),
ISNUMBER(SEARCH("FLIP TABLET",B2054)),
ISNUMBER(SEARCH("CASE FOR TABLET",B2054)),
ISNUMBER(SEARCH("CABLE",B2054)),
ISNUMBER(SEARCH("ADAPTADOR",B2054)),
ISNUMBER(SEARCH("HUB",B2054)),
ISNUMBER(SEARCH("DOCK",B2054)),
ISNUMBER(SEARCH("MOUSE PAD",B2054)),
ISNUMBER(SEARCH("MOUSEPAD",B2054)),
ISNUMBER(SEARCH("SOPORTE",B2054)),
ISNUMBER(SEARCH("STAND",B2054)),
ISNUMBER(SEARCH("TRAVEL ADAPTER",B2054)),
ISNUMBER(SEARCH("RJ45",B2054)),
ISNUMBER(SEARCH("USB-C",B2054)),
ISNUMBER(SEARCH("USB WIFI",B2054)),
ISNUMBER(SEARCH("POWERBANK",B2054)),
ISNUMBER(SEARCH("CARGADOR",B2054)),
ISNUMBER(SEARCH("COOLER PARA NB",B2054)),
ISNUMBER(SEARCH("SOPORTE PARA NB",B2054)),
ISNUMBER(SEARCH("WEBCAM",B2054)),
ISNUMBER(SEARCH("WEB CAM",B2054)),
ISNUMBER(SEARCH("MOUSE",B2054)),
ISNUMBER(SEARCH("TECLADO",B2054))
),
"COMPLEMENTO",
IF(
OR(
LEFT(A2054,2)="NB",
LEFT(A2054,2)="PC",
LEFT(A2054,2)="WS",
LEFT(A2054,2)="TB",
LEFT(A2054,3)="CEL",
LEFT(A2054,3)="MON",
LEFT(A2054,3)="PRE",
LEFT(A2054,3)="PRH",
ISNUMBER(SEARCH("NOTEBOOK",B2054)),
ISNUMBER(SEARCH("LAPTOP",B2054)),
ISNUMBER(SEARCH("MONITOR",B2054)),
ISNUMBER(SEARCH("TABLET",B2054)),
ISNUMBER(SEARCH("SMARTPH",B2054)),
ISNUMBER(SEARCH("IMPRESORA",B2054)),
ISNUMBER(SEARCH("MULTIFUNCIONAL",B2054)),
ISNUMBER(SEARCH("AIO",B2054))
),
"GANCHO",
"NORMAL"
)
)</f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>ROUND(
IF(L2051="GANCHO",
   IF(I2053&lt;=50,I2053*1.1+4,IF(I2053&lt;=120,I2053*1.1+7,IF(I2053&lt;=250,I2053*1.1+11,I2053*1.1+19))),
IF(L2051="NORMAL",
   IF(I2053&lt;=30,I2053*1.15+2,IF(I2053&lt;=80,I2053*1.15+4,IF(I2053&lt;=150,I2053*1.15+6,I2053*1.15+8))),
IF(L2051="COMPLEMENTO",
   IF(I2053&lt;=25,I2053*1.25+1.5,IF(I2053&lt;=60,I2053*1.25+3,IF(I2053&lt;=120,I2053*1.25+4,I2053*1.25+5))),
""))),2)</f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>IF(
OR(
ISNUMBER(SEARCH("BACKPACK",B2055)),
ISNUMBER(SEARCH("MOCHILA",B2055)),
ISNUMBER(SEARCH("FUNDA",B2055)),
ISNUMBER(SEARCH("ESTUCHE",B2055)),
ISNUMBER(SEARCH("BOOK COVER",B2055)),
ISNUMBER(SEARCH("KEYBOARD PARA TABLET",B2055)),
ISNUMBER(SEARCH("FLIP TABLET",B2055)),
ISNUMBER(SEARCH("CASE FOR TABLET",B2055)),
ISNUMBER(SEARCH("CABLE",B2055)),
ISNUMBER(SEARCH("ADAPTADOR",B2055)),
ISNUMBER(SEARCH("HUB",B2055)),
ISNUMBER(SEARCH("DOCK",B2055)),
ISNUMBER(SEARCH("MOUSE PAD",B2055)),
ISNUMBER(SEARCH("MOUSEPAD",B2055)),
ISNUMBER(SEARCH("SOPORTE",B2055)),
ISNUMBER(SEARCH("STAND",B2055)),
ISNUMBER(SEARCH("TRAVEL ADAPTER",B2055)),
ISNUMBER(SEARCH("RJ45",B2055)),
ISNUMBER(SEARCH("USB-C",B2055)),
ISNUMBER(SEARCH("USB WIFI",B2055)),
ISNUMBER(SEARCH("POWERBANK",B2055)),
ISNUMBER(SEARCH("CARGADOR",B2055)),
ISNUMBER(SEARCH("COOLER PARA NB",B2055)),
ISNUMBER(SEARCH("SOPORTE PARA NB",B2055)),
ISNUMBER(SEARCH("WEBCAM",B2055)),
ISNUMBER(SEARCH("WEB CAM",B2055)),
ISNUMBER(SEARCH("MOUSE",B2055)),
ISNUMBER(SEARCH("TECLADO",B2055))
),
"COMPLEMENTO",
IF(
OR(
LEFT(A2055,2)="NB",
LEFT(A2055,2)="PC",
LEFT(A2055,2)="WS",
LEFT(A2055,2)="TB",
LEFT(A2055,3)="CEL",
LEFT(A2055,3)="MON",
LEFT(A2055,3)="PRE",
LEFT(A2055,3)="PRH",
ISNUMBER(SEARCH("NOTEBOOK",B2055)),
ISNUMBER(SEARCH("LAPTOP",B2055)),
ISNUMBER(SEARCH("MONITOR",B2055)),
ISNUMBER(SEARCH("TABLET",B2055)),
ISNUMBER(SEARCH("SMARTPH",B2055)),
ISNUMBER(SEARCH("IMPRESORA",B2055)),
ISNUMBER(SEARCH("MULTIFUNCIONAL",B2055)),
ISNUMBER(SEARCH("AIO",B2055))
),
"GANCHO",
"NORMAL"
)
)</f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>ROUND(
IF(L2052="GANCHO",
   IF(I2054&lt;=50,I2054*1.1+4,IF(I2054&lt;=120,I2054*1.1+7,IF(I2054&lt;=250,I2054*1.1+11,I2054*1.1+19))),
IF(L2052="NORMAL",
   IF(I2054&lt;=30,I2054*1.15+2,IF(I2054&lt;=80,I2054*1.15+4,IF(I2054&lt;=150,I2054*1.15+6,I2054*1.15+8))),
IF(L2052="COMPLEMENTO",
   IF(I2054&lt;=25,I2054*1.25+1.5,IF(I2054&lt;=60,I2054*1.25+3,IF(I2054&lt;=120,I2054*1.25+4,I2054*1.25+5))),
""))),2)</f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>IF(
OR(
ISNUMBER(SEARCH("BACKPACK",B2056)),
ISNUMBER(SEARCH("MOCHILA",B2056)),
ISNUMBER(SEARCH("FUNDA",B2056)),
ISNUMBER(SEARCH("ESTUCHE",B2056)),
ISNUMBER(SEARCH("BOOK COVER",B2056)),
ISNUMBER(SEARCH("KEYBOARD PARA TABLET",B2056)),
ISNUMBER(SEARCH("FLIP TABLET",B2056)),
ISNUMBER(SEARCH("CASE FOR TABLET",B2056)),
ISNUMBER(SEARCH("CABLE",B2056)),
ISNUMBER(SEARCH("ADAPTADOR",B2056)),
ISNUMBER(SEARCH("HUB",B2056)),
ISNUMBER(SEARCH("DOCK",B2056)),
ISNUMBER(SEARCH("MOUSE PAD",B2056)),
ISNUMBER(SEARCH("MOUSEPAD",B2056)),
ISNUMBER(SEARCH("SOPORTE",B2056)),
ISNUMBER(SEARCH("STAND",B2056)),
ISNUMBER(SEARCH("TRAVEL ADAPTER",B2056)),
ISNUMBER(SEARCH("RJ45",B2056)),
ISNUMBER(SEARCH("USB-C",B2056)),
ISNUMBER(SEARCH("USB WIFI",B2056)),
ISNUMBER(SEARCH("POWERBANK",B2056)),
ISNUMBER(SEARCH("CARGADOR",B2056)),
ISNUMBER(SEARCH("COOLER PARA NB",B2056)),
ISNUMBER(SEARCH("SOPORTE PARA NB",B2056)),
ISNUMBER(SEARCH("WEBCAM",B2056)),
ISNUMBER(SEARCH("WEB CAM",B2056)),
ISNUMBER(SEARCH("MOUSE",B2056)),
ISNUMBER(SEARCH("TECLADO",B2056))
),
"COMPLEMENTO",
IF(
OR(
LEFT(A2056,2)="NB",
LEFT(A2056,2)="PC",
LEFT(A2056,2)="WS",
LEFT(A2056,2)="TB",
LEFT(A2056,3)="CEL",
LEFT(A2056,3)="MON",
LEFT(A2056,3)="PRE",
LEFT(A2056,3)="PRH",
ISNUMBER(SEARCH("NOTEBOOK",B2056)),
ISNUMBER(SEARCH("LAPTOP",B2056)),
ISNUMBER(SEARCH("MONITOR",B2056)),
ISNUMBER(SEARCH("TABLET",B2056)),
ISNUMBER(SEARCH("SMARTPH",B2056)),
ISNUMBER(SEARCH("IMPRESORA",B2056)),
ISNUMBER(SEARCH("MULTIFUNCIONAL",B2056)),
ISNUMBER(SEARCH("AIO",B2056))
),
"GANCHO",
"NORMAL"
)
)</f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>ROUND(
IF(L2053="GANCHO",
   IF(I2055&lt;=50,I2055*1.1+4,IF(I2055&lt;=120,I2055*1.1+7,IF(I2055&lt;=250,I2055*1.1+11,I2055*1.1+19))),
IF(L2053="NORMAL",
   IF(I2055&lt;=30,I2055*1.15+2,IF(I2055&lt;=80,I2055*1.15+4,IF(I2055&lt;=150,I2055*1.15+6,I2055*1.15+8))),
IF(L2053="COMPLEMENTO",
   IF(I2055&lt;=25,I2055*1.25+1.5,IF(I2055&lt;=60,I2055*1.25+3,IF(I2055&lt;=120,I2055*1.25+4,I2055*1.25+5))),
""))),2)</f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>IF(
OR(
ISNUMBER(SEARCH("BACKPACK",B2057)),
ISNUMBER(SEARCH("MOCHILA",B2057)),
ISNUMBER(SEARCH("FUNDA",B2057)),
ISNUMBER(SEARCH("ESTUCHE",B2057)),
ISNUMBER(SEARCH("BOOK COVER",B2057)),
ISNUMBER(SEARCH("KEYBOARD PARA TABLET",B2057)),
ISNUMBER(SEARCH("FLIP TABLET",B2057)),
ISNUMBER(SEARCH("CASE FOR TABLET",B2057)),
ISNUMBER(SEARCH("CABLE",B2057)),
ISNUMBER(SEARCH("ADAPTADOR",B2057)),
ISNUMBER(SEARCH("HUB",B2057)),
ISNUMBER(SEARCH("DOCK",B2057)),
ISNUMBER(SEARCH("MOUSE PAD",B2057)),
ISNUMBER(SEARCH("MOUSEPAD",B2057)),
ISNUMBER(SEARCH("SOPORTE",B2057)),
ISNUMBER(SEARCH("STAND",B2057)),
ISNUMBER(SEARCH("TRAVEL ADAPTER",B2057)),
ISNUMBER(SEARCH("RJ45",B2057)),
ISNUMBER(SEARCH("USB-C",B2057)),
ISNUMBER(SEARCH("USB WIFI",B2057)),
ISNUMBER(SEARCH("POWERBANK",B2057)),
ISNUMBER(SEARCH("CARGADOR",B2057)),
ISNUMBER(SEARCH("COOLER PARA NB",B2057)),
ISNUMBER(SEARCH("SOPORTE PARA NB",B2057)),
ISNUMBER(SEARCH("WEBCAM",B2057)),
ISNUMBER(SEARCH("WEB CAM",B2057)),
ISNUMBER(SEARCH("MOUSE",B2057)),
ISNUMBER(SEARCH("TECLADO",B2057))
),
"COMPLEMENTO",
IF(
OR(
LEFT(A2057,2)="NB",
LEFT(A2057,2)="PC",
LEFT(A2057,2)="WS",
LEFT(A2057,2)="TB",
LEFT(A2057,3)="CEL",
LEFT(A2057,3)="MON",
LEFT(A2057,3)="PRE",
LEFT(A2057,3)="PRH",
ISNUMBER(SEARCH("NOTEBOOK",B2057)),
ISNUMBER(SEARCH("LAPTOP",B2057)),
ISNUMBER(SEARCH("MONITOR",B2057)),
ISNUMBER(SEARCH("TABLET",B2057)),
ISNUMBER(SEARCH("SMARTPH",B2057)),
ISNUMBER(SEARCH("IMPRESORA",B2057)),
ISNUMBER(SEARCH("MULTIFUNCIONAL",B2057)),
ISNUMBER(SEARCH("AIO",B2057))
),
"GANCHO",
"NORMAL"
)
)</f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>ROUND(
IF(L2054="GANCHO",
   IF(I2056&lt;=50,I2056*1.1+4,IF(I2056&lt;=120,I2056*1.1+7,IF(I2056&lt;=250,I2056*1.1+11,I2056*1.1+19))),
IF(L2054="NORMAL",
   IF(I2056&lt;=30,I2056*1.15+2,IF(I2056&lt;=80,I2056*1.15+4,IF(I2056&lt;=150,I2056*1.15+6,I2056*1.15+8))),
IF(L2054="COMPLEMENTO",
   IF(I2056&lt;=25,I2056*1.25+1.5,IF(I2056&lt;=60,I2056*1.25+3,IF(I2056&lt;=120,I2056*1.25+4,I2056*1.25+5))),
""))),2)</f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>IF(
OR(
ISNUMBER(SEARCH("BACKPACK",B2058)),
ISNUMBER(SEARCH("MOCHILA",B2058)),
ISNUMBER(SEARCH("FUNDA",B2058)),
ISNUMBER(SEARCH("ESTUCHE",B2058)),
ISNUMBER(SEARCH("BOOK COVER",B2058)),
ISNUMBER(SEARCH("KEYBOARD PARA TABLET",B2058)),
ISNUMBER(SEARCH("FLIP TABLET",B2058)),
ISNUMBER(SEARCH("CASE FOR TABLET",B2058)),
ISNUMBER(SEARCH("CABLE",B2058)),
ISNUMBER(SEARCH("ADAPTADOR",B2058)),
ISNUMBER(SEARCH("HUB",B2058)),
ISNUMBER(SEARCH("DOCK",B2058)),
ISNUMBER(SEARCH("MOUSE PAD",B2058)),
ISNUMBER(SEARCH("MOUSEPAD",B2058)),
ISNUMBER(SEARCH("SOPORTE",B2058)),
ISNUMBER(SEARCH("STAND",B2058)),
ISNUMBER(SEARCH("TRAVEL ADAPTER",B2058)),
ISNUMBER(SEARCH("RJ45",B2058)),
ISNUMBER(SEARCH("USB-C",B2058)),
ISNUMBER(SEARCH("USB WIFI",B2058)),
ISNUMBER(SEARCH("POWERBANK",B2058)),
ISNUMBER(SEARCH("CARGADOR",B2058)),
ISNUMBER(SEARCH("COOLER PARA NB",B2058)),
ISNUMBER(SEARCH("SOPORTE PARA NB",B2058)),
ISNUMBER(SEARCH("WEBCAM",B2058)),
ISNUMBER(SEARCH("WEB CAM",B2058)),
ISNUMBER(SEARCH("MOUSE",B2058)),
ISNUMBER(SEARCH("TECLADO",B2058))
),
"COMPLEMENTO",
IF(
OR(
LEFT(A2058,2)="NB",
LEFT(A2058,2)="PC",
LEFT(A2058,2)="WS",
LEFT(A2058,2)="TB",
LEFT(A2058,3)="CEL",
LEFT(A2058,3)="MON",
LEFT(A2058,3)="PRE",
LEFT(A2058,3)="PRH",
ISNUMBER(SEARCH("NOTEBOOK",B2058)),
ISNUMBER(SEARCH("LAPTOP",B2058)),
ISNUMBER(SEARCH("MONITOR",B2058)),
ISNUMBER(SEARCH("TABLET",B2058)),
ISNUMBER(SEARCH("SMARTPH",B2058)),
ISNUMBER(SEARCH("IMPRESORA",B2058)),
ISNUMBER(SEARCH("MULTIFUNCIONAL",B2058)),
ISNUMBER(SEARCH("AIO",B2058))
),
"GANCHO",
"NORMAL"
)
)</f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>ROUND(
IF(L2055="GANCHO",
   IF(I2057&lt;=50,I2057*1.1+4,IF(I2057&lt;=120,I2057*1.1+7,IF(I2057&lt;=250,I2057*1.1+11,I2057*1.1+19))),
IF(L2055="NORMAL",
   IF(I2057&lt;=30,I2057*1.15+2,IF(I2057&lt;=80,I2057*1.15+4,IF(I2057&lt;=150,I2057*1.15+6,I2057*1.15+8))),
IF(L2055="COMPLEMENTO",
   IF(I2057&lt;=25,I2057*1.25+1.5,IF(I2057&lt;=60,I2057*1.25+3,IF(I2057&lt;=120,I2057*1.25+4,I2057*1.25+5))),
""))),2)</f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>IF(
OR(
ISNUMBER(SEARCH("BACKPACK",B2059)),
ISNUMBER(SEARCH("MOCHILA",B2059)),
ISNUMBER(SEARCH("FUNDA",B2059)),
ISNUMBER(SEARCH("ESTUCHE",B2059)),
ISNUMBER(SEARCH("BOOK COVER",B2059)),
ISNUMBER(SEARCH("KEYBOARD PARA TABLET",B2059)),
ISNUMBER(SEARCH("FLIP TABLET",B2059)),
ISNUMBER(SEARCH("CASE FOR TABLET",B2059)),
ISNUMBER(SEARCH("CABLE",B2059)),
ISNUMBER(SEARCH("ADAPTADOR",B2059)),
ISNUMBER(SEARCH("HUB",B2059)),
ISNUMBER(SEARCH("DOCK",B2059)),
ISNUMBER(SEARCH("MOUSE PAD",B2059)),
ISNUMBER(SEARCH("MOUSEPAD",B2059)),
ISNUMBER(SEARCH("SOPORTE",B2059)),
ISNUMBER(SEARCH("STAND",B2059)),
ISNUMBER(SEARCH("TRAVEL ADAPTER",B2059)),
ISNUMBER(SEARCH("RJ45",B2059)),
ISNUMBER(SEARCH("USB-C",B2059)),
ISNUMBER(SEARCH("USB WIFI",B2059)),
ISNUMBER(SEARCH("POWERBANK",B2059)),
ISNUMBER(SEARCH("CARGADOR",B2059)),
ISNUMBER(SEARCH("COOLER PARA NB",B2059)),
ISNUMBER(SEARCH("SOPORTE PARA NB",B2059)),
ISNUMBER(SEARCH("WEBCAM",B2059)),
ISNUMBER(SEARCH("WEB CAM",B2059)),
ISNUMBER(SEARCH("MOUSE",B2059)),
ISNUMBER(SEARCH("TECLADO",B2059))
),
"COMPLEMENTO",
IF(
OR(
LEFT(A2059,2)="NB",
LEFT(A2059,2)="PC",
LEFT(A2059,2)="WS",
LEFT(A2059,2)="TB",
LEFT(A2059,3)="CEL",
LEFT(A2059,3)="MON",
LEFT(A2059,3)="PRE",
LEFT(A2059,3)="PRH",
ISNUMBER(SEARCH("NOTEBOOK",B2059)),
ISNUMBER(SEARCH("LAPTOP",B2059)),
ISNUMBER(SEARCH("MONITOR",B2059)),
ISNUMBER(SEARCH("TABLET",B2059)),
ISNUMBER(SEARCH("SMARTPH",B2059)),
ISNUMBER(SEARCH("IMPRESORA",B2059)),
ISNUMBER(SEARCH("MULTIFUNCIONAL",B2059)),
ISNUMBER(SEARCH("AIO",B2059))
),
"GANCHO",
"NORMAL"
)
)</f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>ROUND(
IF(L2056="GANCHO",
   IF(I2058&lt;=50,I2058*1.1+4,IF(I2058&lt;=120,I2058*1.1+7,IF(I2058&lt;=250,I2058*1.1+11,I2058*1.1+19))),
IF(L2056="NORMAL",
   IF(I2058&lt;=30,I2058*1.15+2,IF(I2058&lt;=80,I2058*1.15+4,IF(I2058&lt;=150,I2058*1.15+6,I2058*1.15+8))),
IF(L2056="COMPLEMENTO",
   IF(I2058&lt;=25,I2058*1.25+1.5,IF(I2058&lt;=60,I2058*1.25+3,IF(I2058&lt;=120,I2058*1.25+4,I2058*1.25+5))),
""))),2)</f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>IF(
OR(
ISNUMBER(SEARCH("BACKPACK",B2060)),
ISNUMBER(SEARCH("MOCHILA",B2060)),
ISNUMBER(SEARCH("FUNDA",B2060)),
ISNUMBER(SEARCH("ESTUCHE",B2060)),
ISNUMBER(SEARCH("BOOK COVER",B2060)),
ISNUMBER(SEARCH("KEYBOARD PARA TABLET",B2060)),
ISNUMBER(SEARCH("FLIP TABLET",B2060)),
ISNUMBER(SEARCH("CASE FOR TABLET",B2060)),
ISNUMBER(SEARCH("CABLE",B2060)),
ISNUMBER(SEARCH("ADAPTADOR",B2060)),
ISNUMBER(SEARCH("HUB",B2060)),
ISNUMBER(SEARCH("DOCK",B2060)),
ISNUMBER(SEARCH("MOUSE PAD",B2060)),
ISNUMBER(SEARCH("MOUSEPAD",B2060)),
ISNUMBER(SEARCH("SOPORTE",B2060)),
ISNUMBER(SEARCH("STAND",B2060)),
ISNUMBER(SEARCH("TRAVEL ADAPTER",B2060)),
ISNUMBER(SEARCH("RJ45",B2060)),
ISNUMBER(SEARCH("USB-C",B2060)),
ISNUMBER(SEARCH("USB WIFI",B2060)),
ISNUMBER(SEARCH("POWERBANK",B2060)),
ISNUMBER(SEARCH("CARGADOR",B2060)),
ISNUMBER(SEARCH("COOLER PARA NB",B2060)),
ISNUMBER(SEARCH("SOPORTE PARA NB",B2060)),
ISNUMBER(SEARCH("WEBCAM",B2060)),
ISNUMBER(SEARCH("WEB CAM",B2060)),
ISNUMBER(SEARCH("MOUSE",B2060)),
ISNUMBER(SEARCH("TECLADO",B2060))
),
"COMPLEMENTO",
IF(
OR(
LEFT(A2060,2)="NB",
LEFT(A2060,2)="PC",
LEFT(A2060,2)="WS",
LEFT(A2060,2)="TB",
LEFT(A2060,3)="CEL",
LEFT(A2060,3)="MON",
LEFT(A2060,3)="PRE",
LEFT(A2060,3)="PRH",
ISNUMBER(SEARCH("NOTEBOOK",B2060)),
ISNUMBER(SEARCH("LAPTOP",B2060)),
ISNUMBER(SEARCH("MONITOR",B2060)),
ISNUMBER(SEARCH("TABLET",B2060)),
ISNUMBER(SEARCH("SMARTPH",B2060)),
ISNUMBER(SEARCH("IMPRESORA",B2060)),
ISNUMBER(SEARCH("MULTIFUNCIONAL",B2060)),
ISNUMBER(SEARCH("AIO",B2060))
),
"GANCHO",
"NORMAL"
)
)</f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>ROUND(
IF(L2057="GANCHO",
   IF(I2059&lt;=50,I2059*1.1+4,IF(I2059&lt;=120,I2059*1.1+7,IF(I2059&lt;=250,I2059*1.1+11,I2059*1.1+19))),
IF(L2057="NORMAL",
   IF(I2059&lt;=30,I2059*1.15+2,IF(I2059&lt;=80,I2059*1.15+4,IF(I2059&lt;=150,I2059*1.15+6,I2059*1.15+8))),
IF(L2057="COMPLEMENTO",
   IF(I2059&lt;=25,I2059*1.25+1.5,IF(I2059&lt;=60,I2059*1.25+3,IF(I2059&lt;=120,I2059*1.25+4,I2059*1.25+5))),
""))),2)</f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>IF(
OR(
ISNUMBER(SEARCH("BACKPACK",B2061)),
ISNUMBER(SEARCH("MOCHILA",B2061)),
ISNUMBER(SEARCH("FUNDA",B2061)),
ISNUMBER(SEARCH("ESTUCHE",B2061)),
ISNUMBER(SEARCH("BOOK COVER",B2061)),
ISNUMBER(SEARCH("KEYBOARD PARA TABLET",B2061)),
ISNUMBER(SEARCH("FLIP TABLET",B2061)),
ISNUMBER(SEARCH("CASE FOR TABLET",B2061)),
ISNUMBER(SEARCH("CABLE",B2061)),
ISNUMBER(SEARCH("ADAPTADOR",B2061)),
ISNUMBER(SEARCH("HUB",B2061)),
ISNUMBER(SEARCH("DOCK",B2061)),
ISNUMBER(SEARCH("MOUSE PAD",B2061)),
ISNUMBER(SEARCH("MOUSEPAD",B2061)),
ISNUMBER(SEARCH("SOPORTE",B2061)),
ISNUMBER(SEARCH("STAND",B2061)),
ISNUMBER(SEARCH("TRAVEL ADAPTER",B2061)),
ISNUMBER(SEARCH("RJ45",B2061)),
ISNUMBER(SEARCH("USB-C",B2061)),
ISNUMBER(SEARCH("USB WIFI",B2061)),
ISNUMBER(SEARCH("POWERBANK",B2061)),
ISNUMBER(SEARCH("CARGADOR",B2061)),
ISNUMBER(SEARCH("COOLER PARA NB",B2061)),
ISNUMBER(SEARCH("SOPORTE PARA NB",B2061)),
ISNUMBER(SEARCH("WEBCAM",B2061)),
ISNUMBER(SEARCH("WEB CAM",B2061)),
ISNUMBER(SEARCH("MOUSE",B2061)),
ISNUMBER(SEARCH("TECLADO",B2061))
),
"COMPLEMENTO",
IF(
OR(
LEFT(A2061,2)="NB",
LEFT(A2061,2)="PC",
LEFT(A2061,2)="WS",
LEFT(A2061,2)="TB",
LEFT(A2061,3)="CEL",
LEFT(A2061,3)="MON",
LEFT(A2061,3)="PRE",
LEFT(A2061,3)="PRH",
ISNUMBER(SEARCH("NOTEBOOK",B2061)),
ISNUMBER(SEARCH("LAPTOP",B2061)),
ISNUMBER(SEARCH("MONITOR",B2061)),
ISNUMBER(SEARCH("TABLET",B2061)),
ISNUMBER(SEARCH("SMARTPH",B2061)),
ISNUMBER(SEARCH("IMPRESORA",B2061)),
ISNUMBER(SEARCH("MULTIFUNCIONAL",B2061)),
ISNUMBER(SEARCH("AIO",B2061))
),
"GANCHO",
"NORMAL"
)
)</f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>ROUND(
IF(L2058="GANCHO",
   IF(I2060&lt;=50,I2060*1.1+4,IF(I2060&lt;=120,I2060*1.1+7,IF(I2060&lt;=250,I2060*1.1+11,I2060*1.1+19))),
IF(L2058="NORMAL",
   IF(I2060&lt;=30,I2060*1.15+2,IF(I2060&lt;=80,I2060*1.15+4,IF(I2060&lt;=150,I2060*1.15+6,I2060*1.15+8))),
IF(L2058="COMPLEMENTO",
   IF(I2060&lt;=25,I2060*1.25+1.5,IF(I2060&lt;=60,I2060*1.25+3,IF(I2060&lt;=120,I2060*1.25+4,I2060*1.25+5))),
""))),2)</f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>IF(
OR(
ISNUMBER(SEARCH("BACKPACK",B2062)),
ISNUMBER(SEARCH("MOCHILA",B2062)),
ISNUMBER(SEARCH("FUNDA",B2062)),
ISNUMBER(SEARCH("ESTUCHE",B2062)),
ISNUMBER(SEARCH("BOOK COVER",B2062)),
ISNUMBER(SEARCH("KEYBOARD PARA TABLET",B2062)),
ISNUMBER(SEARCH("FLIP TABLET",B2062)),
ISNUMBER(SEARCH("CASE FOR TABLET",B2062)),
ISNUMBER(SEARCH("CABLE",B2062)),
ISNUMBER(SEARCH("ADAPTADOR",B2062)),
ISNUMBER(SEARCH("HUB",B2062)),
ISNUMBER(SEARCH("DOCK",B2062)),
ISNUMBER(SEARCH("MOUSE PAD",B2062)),
ISNUMBER(SEARCH("MOUSEPAD",B2062)),
ISNUMBER(SEARCH("SOPORTE",B2062)),
ISNUMBER(SEARCH("STAND",B2062)),
ISNUMBER(SEARCH("TRAVEL ADAPTER",B2062)),
ISNUMBER(SEARCH("RJ45",B2062)),
ISNUMBER(SEARCH("USB-C",B2062)),
ISNUMBER(SEARCH("USB WIFI",B2062)),
ISNUMBER(SEARCH("POWERBANK",B2062)),
ISNUMBER(SEARCH("CARGADOR",B2062)),
ISNUMBER(SEARCH("COOLER PARA NB",B2062)),
ISNUMBER(SEARCH("SOPORTE PARA NB",B2062)),
ISNUMBER(SEARCH("WEBCAM",B2062)),
ISNUMBER(SEARCH("WEB CAM",B2062)),
ISNUMBER(SEARCH("MOUSE",B2062)),
ISNUMBER(SEARCH("TECLADO",B2062))
),
"COMPLEMENTO",
IF(
OR(
LEFT(A2062,2)="NB",
LEFT(A2062,2)="PC",
LEFT(A2062,2)="WS",
LEFT(A2062,2)="TB",
LEFT(A2062,3)="CEL",
LEFT(A2062,3)="MON",
LEFT(A2062,3)="PRE",
LEFT(A2062,3)="PRH",
ISNUMBER(SEARCH("NOTEBOOK",B2062)),
ISNUMBER(SEARCH("LAPTOP",B2062)),
ISNUMBER(SEARCH("MONITOR",B2062)),
ISNUMBER(SEARCH("TABLET",B2062)),
ISNUMBER(SEARCH("SMARTPH",B2062)),
ISNUMBER(SEARCH("IMPRESORA",B2062)),
ISNUMBER(SEARCH("MULTIFUNCIONAL",B2062)),
ISNUMBER(SEARCH("AIO",B2062))
),
"GANCHO",
"NORMAL"
)
)</f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>ROUND(
IF(L2059="GANCHO",
   IF(I2061&lt;=50,I2061*1.1+4,IF(I2061&lt;=120,I2061*1.1+7,IF(I2061&lt;=250,I2061*1.1+11,I2061*1.1+19))),
IF(L2059="NORMAL",
   IF(I2061&lt;=30,I2061*1.15+2,IF(I2061&lt;=80,I2061*1.15+4,IF(I2061&lt;=150,I2061*1.15+6,I2061*1.15+8))),
IF(L2059="COMPLEMENTO",
   IF(I2061&lt;=25,I2061*1.25+1.5,IF(I2061&lt;=60,I2061*1.25+3,IF(I2061&lt;=120,I2061*1.25+4,I2061*1.25+5))),
""))),2)</f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>IF(
OR(
ISNUMBER(SEARCH("BACKPACK",B2063)),
ISNUMBER(SEARCH("MOCHILA",B2063)),
ISNUMBER(SEARCH("FUNDA",B2063)),
ISNUMBER(SEARCH("ESTUCHE",B2063)),
ISNUMBER(SEARCH("BOOK COVER",B2063)),
ISNUMBER(SEARCH("KEYBOARD PARA TABLET",B2063)),
ISNUMBER(SEARCH("FLIP TABLET",B2063)),
ISNUMBER(SEARCH("CASE FOR TABLET",B2063)),
ISNUMBER(SEARCH("CABLE",B2063)),
ISNUMBER(SEARCH("ADAPTADOR",B2063)),
ISNUMBER(SEARCH("HUB",B2063)),
ISNUMBER(SEARCH("DOCK",B2063)),
ISNUMBER(SEARCH("MOUSE PAD",B2063)),
ISNUMBER(SEARCH("MOUSEPAD",B2063)),
ISNUMBER(SEARCH("SOPORTE",B2063)),
ISNUMBER(SEARCH("STAND",B2063)),
ISNUMBER(SEARCH("TRAVEL ADAPTER",B2063)),
ISNUMBER(SEARCH("RJ45",B2063)),
ISNUMBER(SEARCH("USB-C",B2063)),
ISNUMBER(SEARCH("USB WIFI",B2063)),
ISNUMBER(SEARCH("POWERBANK",B2063)),
ISNUMBER(SEARCH("CARGADOR",B2063)),
ISNUMBER(SEARCH("COOLER PARA NB",B2063)),
ISNUMBER(SEARCH("SOPORTE PARA NB",B2063)),
ISNUMBER(SEARCH("WEBCAM",B2063)),
ISNUMBER(SEARCH("WEB CAM",B2063)),
ISNUMBER(SEARCH("MOUSE",B2063)),
ISNUMBER(SEARCH("TECLADO",B2063))
),
"COMPLEMENTO",
IF(
OR(
LEFT(A2063,2)="NB",
LEFT(A2063,2)="PC",
LEFT(A2063,2)="WS",
LEFT(A2063,2)="TB",
LEFT(A2063,3)="CEL",
LEFT(A2063,3)="MON",
LEFT(A2063,3)="PRE",
LEFT(A2063,3)="PRH",
ISNUMBER(SEARCH("NOTEBOOK",B2063)),
ISNUMBER(SEARCH("LAPTOP",B2063)),
ISNUMBER(SEARCH("MONITOR",B2063)),
ISNUMBER(SEARCH("TABLET",B2063)),
ISNUMBER(SEARCH("SMARTPH",B2063)),
ISNUMBER(SEARCH("IMPRESORA",B2063)),
ISNUMBER(SEARCH("MULTIFUNCIONAL",B2063)),
ISNUMBER(SEARCH("AIO",B2063))
),
"GANCHO",
"NORMAL"
)
)</f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>ROUND(
IF(L2060="GANCHO",
   IF(I2062&lt;=50,I2062*1.1+4,IF(I2062&lt;=120,I2062*1.1+7,IF(I2062&lt;=250,I2062*1.1+11,I2062*1.1+19))),
IF(L2060="NORMAL",
   IF(I2062&lt;=30,I2062*1.15+2,IF(I2062&lt;=80,I2062*1.15+4,IF(I2062&lt;=150,I2062*1.15+6,I2062*1.15+8))),
IF(L2060="COMPLEMENTO",
   IF(I2062&lt;=25,I2062*1.25+1.5,IF(I2062&lt;=60,I2062*1.25+3,IF(I2062&lt;=120,I2062*1.25+4,I2062*1.25+5))),
""))),2)</f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>IF(
OR(
ISNUMBER(SEARCH("BACKPACK",B2064)),
ISNUMBER(SEARCH("MOCHILA",B2064)),
ISNUMBER(SEARCH("FUNDA",B2064)),
ISNUMBER(SEARCH("ESTUCHE",B2064)),
ISNUMBER(SEARCH("BOOK COVER",B2064)),
ISNUMBER(SEARCH("KEYBOARD PARA TABLET",B2064)),
ISNUMBER(SEARCH("FLIP TABLET",B2064)),
ISNUMBER(SEARCH("CASE FOR TABLET",B2064)),
ISNUMBER(SEARCH("CABLE",B2064)),
ISNUMBER(SEARCH("ADAPTADOR",B2064)),
ISNUMBER(SEARCH("HUB",B2064)),
ISNUMBER(SEARCH("DOCK",B2064)),
ISNUMBER(SEARCH("MOUSE PAD",B2064)),
ISNUMBER(SEARCH("MOUSEPAD",B2064)),
ISNUMBER(SEARCH("SOPORTE",B2064)),
ISNUMBER(SEARCH("STAND",B2064)),
ISNUMBER(SEARCH("TRAVEL ADAPTER",B2064)),
ISNUMBER(SEARCH("RJ45",B2064)),
ISNUMBER(SEARCH("USB-C",B2064)),
ISNUMBER(SEARCH("USB WIFI",B2064)),
ISNUMBER(SEARCH("POWERBANK",B2064)),
ISNUMBER(SEARCH("CARGADOR",B2064)),
ISNUMBER(SEARCH("COOLER PARA NB",B2064)),
ISNUMBER(SEARCH("SOPORTE PARA NB",B2064)),
ISNUMBER(SEARCH("WEBCAM",B2064)),
ISNUMBER(SEARCH("WEB CAM",B2064)),
ISNUMBER(SEARCH("MOUSE",B2064)),
ISNUMBER(SEARCH("TECLADO",B2064))
),
"COMPLEMENTO",
IF(
OR(
LEFT(A2064,2)="NB",
LEFT(A2064,2)="PC",
LEFT(A2064,2)="WS",
LEFT(A2064,2)="TB",
LEFT(A2064,3)="CEL",
LEFT(A2064,3)="MON",
LEFT(A2064,3)="PRE",
LEFT(A2064,3)="PRH",
ISNUMBER(SEARCH("NOTEBOOK",B2064)),
ISNUMBER(SEARCH("LAPTOP",B2064)),
ISNUMBER(SEARCH("MONITOR",B2064)),
ISNUMBER(SEARCH("TABLET",B2064)),
ISNUMBER(SEARCH("SMARTPH",B2064)),
ISNUMBER(SEARCH("IMPRESORA",B2064)),
ISNUMBER(SEARCH("MULTIFUNCIONAL",B2064)),
ISNUMBER(SEARCH("AIO",B2064))
),
"GANCHO",
"NORMAL"
)
)</f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>ROUND(
IF(L2061="GANCHO",
   IF(I2063&lt;=50,I2063*1.1+4,IF(I2063&lt;=120,I2063*1.1+7,IF(I2063&lt;=250,I2063*1.1+11,I2063*1.1+19))),
IF(L2061="NORMAL",
   IF(I2063&lt;=30,I2063*1.15+2,IF(I2063&lt;=80,I2063*1.15+4,IF(I2063&lt;=150,I2063*1.15+6,I2063*1.15+8))),
IF(L2061="COMPLEMENTO",
   IF(I2063&lt;=25,I2063*1.25+1.5,IF(I2063&lt;=60,I2063*1.25+3,IF(I2063&lt;=120,I2063*1.25+4,I2063*1.25+5))),
""))),2)</f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>IF(
OR(
ISNUMBER(SEARCH("BACKPACK",B2065)),
ISNUMBER(SEARCH("MOCHILA",B2065)),
ISNUMBER(SEARCH("FUNDA",B2065)),
ISNUMBER(SEARCH("ESTUCHE",B2065)),
ISNUMBER(SEARCH("BOOK COVER",B2065)),
ISNUMBER(SEARCH("KEYBOARD PARA TABLET",B2065)),
ISNUMBER(SEARCH("FLIP TABLET",B2065)),
ISNUMBER(SEARCH("CASE FOR TABLET",B2065)),
ISNUMBER(SEARCH("CABLE",B2065)),
ISNUMBER(SEARCH("ADAPTADOR",B2065)),
ISNUMBER(SEARCH("HUB",B2065)),
ISNUMBER(SEARCH("DOCK",B2065)),
ISNUMBER(SEARCH("MOUSE PAD",B2065)),
ISNUMBER(SEARCH("MOUSEPAD",B2065)),
ISNUMBER(SEARCH("SOPORTE",B2065)),
ISNUMBER(SEARCH("STAND",B2065)),
ISNUMBER(SEARCH("TRAVEL ADAPTER",B2065)),
ISNUMBER(SEARCH("RJ45",B2065)),
ISNUMBER(SEARCH("USB-C",B2065)),
ISNUMBER(SEARCH("USB WIFI",B2065)),
ISNUMBER(SEARCH("POWERBANK",B2065)),
ISNUMBER(SEARCH("CARGADOR",B2065)),
ISNUMBER(SEARCH("COOLER PARA NB",B2065)),
ISNUMBER(SEARCH("SOPORTE PARA NB",B2065)),
ISNUMBER(SEARCH("WEBCAM",B2065)),
ISNUMBER(SEARCH("WEB CAM",B2065)),
ISNUMBER(SEARCH("MOUSE",B2065)),
ISNUMBER(SEARCH("TECLADO",B2065))
),
"COMPLEMENTO",
IF(
OR(
LEFT(A2065,2)="NB",
LEFT(A2065,2)="PC",
LEFT(A2065,2)="WS",
LEFT(A2065,2)="TB",
LEFT(A2065,3)="CEL",
LEFT(A2065,3)="MON",
LEFT(A2065,3)="PRE",
LEFT(A2065,3)="PRH",
ISNUMBER(SEARCH("NOTEBOOK",B2065)),
ISNUMBER(SEARCH("LAPTOP",B2065)),
ISNUMBER(SEARCH("MONITOR",B2065)),
ISNUMBER(SEARCH("TABLET",B2065)),
ISNUMBER(SEARCH("SMARTPH",B2065)),
ISNUMBER(SEARCH("IMPRESORA",B2065)),
ISNUMBER(SEARCH("MULTIFUNCIONAL",B2065)),
ISNUMBER(SEARCH("AIO",B2065))
),
"GANCHO",
"NORMAL"
)
)</f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>ROUND(
IF(L2062="GANCHO",
   IF(I2064&lt;=50,I2064*1.1+4,IF(I2064&lt;=120,I2064*1.1+7,IF(I2064&lt;=250,I2064*1.1+11,I2064*1.1+19))),
IF(L2062="NORMAL",
   IF(I2064&lt;=30,I2064*1.15+2,IF(I2064&lt;=80,I2064*1.15+4,IF(I2064&lt;=150,I2064*1.15+6,I2064*1.15+8))),
IF(L2062="COMPLEMENTO",
   IF(I2064&lt;=25,I2064*1.25+1.5,IF(I2064&lt;=60,I2064*1.25+3,IF(I2064&lt;=120,I2064*1.25+4,I2064*1.25+5))),
""))),2)</f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>ROUND(
IF(L2063="GANCHO",
   IF(I2065&lt;=50,I2065*1.1+4,IF(I2065&lt;=120,I2065*1.1+7,IF(I2065&lt;=250,I2065*1.1+11,I2065*1.1+19))),
IF(L2063="NORMAL",
   IF(I2065&lt;=30,I2065*1.15+2,IF(I2065&lt;=80,I2065*1.15+4,IF(I2065&lt;=150,I2065*1.15+6,I2065*1.15+8))),
IF(L2063="COMPLEMENTO",
   IF(I2065&lt;=25,I2065*1.25+1.5,IF(I2065&lt;=60,I2065*1.25+3,IF(I2065&lt;=120,I2065*1.25+4,I2065*1.25+5))),
""))),2)</f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>IF(
OR(
ISNUMBER(SEARCH("BACKPACK",B2067)),
ISNUMBER(SEARCH("MOCHILA",B2067)),
ISNUMBER(SEARCH("FUNDA",B2067)),
ISNUMBER(SEARCH("ESTUCHE",B2067)),
ISNUMBER(SEARCH("BOOK COVER",B2067)),
ISNUMBER(SEARCH("KEYBOARD PARA TABLET",B2067)),
ISNUMBER(SEARCH("FLIP TABLET",B2067)),
ISNUMBER(SEARCH("CASE FOR TABLET",B2067)),
ISNUMBER(SEARCH("CABLE",B2067)),
ISNUMBER(SEARCH("ADAPTADOR",B2067)),
ISNUMBER(SEARCH("HUB",B2067)),
ISNUMBER(SEARCH("DOCK",B2067)),
ISNUMBER(SEARCH("MOUSE PAD",B2067)),
ISNUMBER(SEARCH("MOUSEPAD",B2067)),
ISNUMBER(SEARCH("SOPORTE",B2067)),
ISNUMBER(SEARCH("STAND",B2067)),
ISNUMBER(SEARCH("TRAVEL ADAPTER",B2067)),
ISNUMBER(SEARCH("RJ45",B2067)),
ISNUMBER(SEARCH("USB-C",B2067)),
ISNUMBER(SEARCH("USB WIFI",B2067)),
ISNUMBER(SEARCH("POWERBANK",B2067)),
ISNUMBER(SEARCH("CARGADOR",B2067)),
ISNUMBER(SEARCH("COOLER PARA NB",B2067)),
ISNUMBER(SEARCH("SOPORTE PARA NB",B2067)),
ISNUMBER(SEARCH("WEBCAM",B2067)),
ISNUMBER(SEARCH("WEB CAM",B2067)),
ISNUMBER(SEARCH("MOUSE",B2067)),
ISNUMBER(SEARCH("TECLADO",B2067))
),
"COMPLEMENTO",
IF(
OR(
LEFT(A2067,2)="NB",
LEFT(A2067,2)="PC",
LEFT(A2067,2)="WS",
LEFT(A2067,2)="TB",
LEFT(A2067,3)="CEL",
LEFT(A2067,3)="MON",
LEFT(A2067,3)="PRE",
LEFT(A2067,3)="PRH",
ISNUMBER(SEARCH("NOTEBOOK",B2067)),
ISNUMBER(SEARCH("LAPTOP",B2067)),
ISNUMBER(SEARCH("MONITOR",B2067)),
ISNUMBER(SEARCH("TABLET",B2067)),
ISNUMBER(SEARCH("SMARTPH",B2067)),
ISNUMBER(SEARCH("IMPRESORA",B2067)),
ISNUMBER(SEARCH("MULTIFUNCIONAL",B2067)),
ISNUMBER(SEARCH("AIO",B2067))
),
"GANCHO",
"NORMAL"
)
)</f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>ROUND(
IF(L2064="GANCHO",
   IF(I2066&lt;=50,I2066*1.1+4,IF(I2066&lt;=120,I2066*1.1+7,IF(I2066&lt;=250,I2066*1.1+11,I2066*1.1+19))),
IF(L2064="NORMAL",
   IF(I2066&lt;=30,I2066*1.15+2,IF(I2066&lt;=80,I2066*1.15+4,IF(I2066&lt;=150,I2066*1.15+6,I2066*1.15+8))),
IF(L2064="COMPLEMENTO",
   IF(I2066&lt;=25,I2066*1.25+1.5,IF(I2066&lt;=60,I2066*1.25+3,IF(I2066&lt;=120,I2066*1.25+4,I2066*1.25+5))),
""))),2)</f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>IF(
OR(
ISNUMBER(SEARCH("BACKPACK",B2068)),
ISNUMBER(SEARCH("MOCHILA",B2068)),
ISNUMBER(SEARCH("FUNDA",B2068)),
ISNUMBER(SEARCH("ESTUCHE",B2068)),
ISNUMBER(SEARCH("BOOK COVER",B2068)),
ISNUMBER(SEARCH("KEYBOARD PARA TABLET",B2068)),
ISNUMBER(SEARCH("FLIP TABLET",B2068)),
ISNUMBER(SEARCH("CASE FOR TABLET",B2068)),
ISNUMBER(SEARCH("CABLE",B2068)),
ISNUMBER(SEARCH("ADAPTADOR",B2068)),
ISNUMBER(SEARCH("HUB",B2068)),
ISNUMBER(SEARCH("DOCK",B2068)),
ISNUMBER(SEARCH("MOUSE PAD",B2068)),
ISNUMBER(SEARCH("MOUSEPAD",B2068)),
ISNUMBER(SEARCH("SOPORTE",B2068)),
ISNUMBER(SEARCH("STAND",B2068)),
ISNUMBER(SEARCH("TRAVEL ADAPTER",B2068)),
ISNUMBER(SEARCH("RJ45",B2068)),
ISNUMBER(SEARCH("USB-C",B2068)),
ISNUMBER(SEARCH("USB WIFI",B2068)),
ISNUMBER(SEARCH("POWERBANK",B2068)),
ISNUMBER(SEARCH("CARGADOR",B2068)),
ISNUMBER(SEARCH("COOLER PARA NB",B2068)),
ISNUMBER(SEARCH("SOPORTE PARA NB",B2068)),
ISNUMBER(SEARCH("WEBCAM",B2068)),
ISNUMBER(SEARCH("WEB CAM",B2068)),
ISNUMBER(SEARCH("MOUSE",B2068)),
ISNUMBER(SEARCH("TECLADO",B2068))
),
"COMPLEMENTO",
IF(
OR(
LEFT(A2068,2)="NB",
LEFT(A2068,2)="PC",
LEFT(A2068,2)="WS",
LEFT(A2068,2)="TB",
LEFT(A2068,3)="CEL",
LEFT(A2068,3)="MON",
LEFT(A2068,3)="PRE",
LEFT(A2068,3)="PRH",
ISNUMBER(SEARCH("NOTEBOOK",B2068)),
ISNUMBER(SEARCH("LAPTOP",B2068)),
ISNUMBER(SEARCH("MONITOR",B2068)),
ISNUMBER(SEARCH("TABLET",B2068)),
ISNUMBER(SEARCH("SMARTPH",B2068)),
ISNUMBER(SEARCH("IMPRESORA",B2068)),
ISNUMBER(SEARCH("MULTIFUNCIONAL",B2068)),
ISNUMBER(SEARCH("AIO",B2068))
),
"GANCHO",
"NORMAL"
)
)</f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>ROUND(
IF(L2065="GANCHO",
   IF(I2067&lt;=50,I2067*1.1+4,IF(I2067&lt;=120,I2067*1.1+7,IF(I2067&lt;=250,I2067*1.1+11,I2067*1.1+19))),
IF(L2065="NORMAL",
   IF(I2067&lt;=30,I2067*1.15+2,IF(I2067&lt;=80,I2067*1.15+4,IF(I2067&lt;=150,I2067*1.15+6,I2067*1.15+8))),
IF(L2065="COMPLEMENTO",
   IF(I2067&lt;=25,I2067*1.25+1.5,IF(I2067&lt;=60,I2067*1.25+3,IF(I2067&lt;=120,I2067*1.25+4,I2067*1.25+5))),
""))),2)</f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>IF(
OR(
ISNUMBER(SEARCH("BACKPACK",B2069)),
ISNUMBER(SEARCH("MOCHILA",B2069)),
ISNUMBER(SEARCH("FUNDA",B2069)),
ISNUMBER(SEARCH("ESTUCHE",B2069)),
ISNUMBER(SEARCH("BOOK COVER",B2069)),
ISNUMBER(SEARCH("KEYBOARD PARA TABLET",B2069)),
ISNUMBER(SEARCH("FLIP TABLET",B2069)),
ISNUMBER(SEARCH("CASE FOR TABLET",B2069)),
ISNUMBER(SEARCH("CABLE",B2069)),
ISNUMBER(SEARCH("ADAPTADOR",B2069)),
ISNUMBER(SEARCH("HUB",B2069)),
ISNUMBER(SEARCH("DOCK",B2069)),
ISNUMBER(SEARCH("MOUSE PAD",B2069)),
ISNUMBER(SEARCH("MOUSEPAD",B2069)),
ISNUMBER(SEARCH("SOPORTE",B2069)),
ISNUMBER(SEARCH("STAND",B2069)),
ISNUMBER(SEARCH("TRAVEL ADAPTER",B2069)),
ISNUMBER(SEARCH("RJ45",B2069)),
ISNUMBER(SEARCH("USB-C",B2069)),
ISNUMBER(SEARCH("USB WIFI",B2069)),
ISNUMBER(SEARCH("POWERBANK",B2069)),
ISNUMBER(SEARCH("CARGADOR",B2069)),
ISNUMBER(SEARCH("COOLER PARA NB",B2069)),
ISNUMBER(SEARCH("SOPORTE PARA NB",B2069)),
ISNUMBER(SEARCH("WEBCAM",B2069)),
ISNUMBER(SEARCH("WEB CAM",B2069)),
ISNUMBER(SEARCH("MOUSE",B2069)),
ISNUMBER(SEARCH("TECLADO",B2069))
),
"COMPLEMENTO",
IF(
OR(
LEFT(A2069,2)="NB",
LEFT(A2069,2)="PC",
LEFT(A2069,2)="WS",
LEFT(A2069,2)="TB",
LEFT(A2069,3)="CEL",
LEFT(A2069,3)="MON",
LEFT(A2069,3)="PRE",
LEFT(A2069,3)="PRH",
ISNUMBER(SEARCH("NOTEBOOK",B2069)),
ISNUMBER(SEARCH("LAPTOP",B2069)),
ISNUMBER(SEARCH("MONITOR",B2069)),
ISNUMBER(SEARCH("TABLET",B2069)),
ISNUMBER(SEARCH("SMARTPH",B2069)),
ISNUMBER(SEARCH("IMPRESORA",B2069)),
ISNUMBER(SEARCH("MULTIFUNCIONAL",B2069)),
ISNUMBER(SEARCH("AIO",B2069))
),
"GANCHO",
"NORMAL"
)
)</f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>ROUND(
IF(L2066="GANCHO",
   IF(I2068&lt;=50,I2068*1.1+4,IF(I2068&lt;=120,I2068*1.1+7,IF(I2068&lt;=250,I2068*1.1+11,I2068*1.1+19))),
IF(L2066="NORMAL",
   IF(I2068&lt;=30,I2068*1.15+2,IF(I2068&lt;=80,I2068*1.15+4,IF(I2068&lt;=150,I2068*1.15+6,I2068*1.15+8))),
IF(L2066="COMPLEMENTO",
   IF(I2068&lt;=25,I2068*1.25+1.5,IF(I2068&lt;=60,I2068*1.25+3,IF(I2068&lt;=120,I2068*1.25+4,I2068*1.25+5))),
""))),2)</f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>IF(
OR(
ISNUMBER(SEARCH("BACKPACK",B2070)),
ISNUMBER(SEARCH("MOCHILA",B2070)),
ISNUMBER(SEARCH("FUNDA",B2070)),
ISNUMBER(SEARCH("ESTUCHE",B2070)),
ISNUMBER(SEARCH("BOOK COVER",B2070)),
ISNUMBER(SEARCH("KEYBOARD PARA TABLET",B2070)),
ISNUMBER(SEARCH("FLIP TABLET",B2070)),
ISNUMBER(SEARCH("CASE FOR TABLET",B2070)),
ISNUMBER(SEARCH("CABLE",B2070)),
ISNUMBER(SEARCH("ADAPTADOR",B2070)),
ISNUMBER(SEARCH("HUB",B2070)),
ISNUMBER(SEARCH("DOCK",B2070)),
ISNUMBER(SEARCH("MOUSE PAD",B2070)),
ISNUMBER(SEARCH("MOUSEPAD",B2070)),
ISNUMBER(SEARCH("SOPORTE",B2070)),
ISNUMBER(SEARCH("STAND",B2070)),
ISNUMBER(SEARCH("TRAVEL ADAPTER",B2070)),
ISNUMBER(SEARCH("RJ45",B2070)),
ISNUMBER(SEARCH("USB-C",B2070)),
ISNUMBER(SEARCH("USB WIFI",B2070)),
ISNUMBER(SEARCH("POWERBANK",B2070)),
ISNUMBER(SEARCH("CARGADOR",B2070)),
ISNUMBER(SEARCH("COOLER PARA NB",B2070)),
ISNUMBER(SEARCH("SOPORTE PARA NB",B2070)),
ISNUMBER(SEARCH("WEBCAM",B2070)),
ISNUMBER(SEARCH("WEB CAM",B2070)),
ISNUMBER(SEARCH("MOUSE",B2070)),
ISNUMBER(SEARCH("TECLADO",B2070))
),
"COMPLEMENTO",
IF(
OR(
LEFT(A2070,2)="NB",
LEFT(A2070,2)="PC",
LEFT(A2070,2)="WS",
LEFT(A2070,2)="TB",
LEFT(A2070,3)="CEL",
LEFT(A2070,3)="MON",
LEFT(A2070,3)="PRE",
LEFT(A2070,3)="PRH",
ISNUMBER(SEARCH("NOTEBOOK",B2070)),
ISNUMBER(SEARCH("LAPTOP",B2070)),
ISNUMBER(SEARCH("MONITOR",B2070)),
ISNUMBER(SEARCH("TABLET",B2070)),
ISNUMBER(SEARCH("SMARTPH",B2070)),
ISNUMBER(SEARCH("IMPRESORA",B2070)),
ISNUMBER(SEARCH("MULTIFUNCIONAL",B2070)),
ISNUMBER(SEARCH("AIO",B2070))
),
"GANCHO",
"NORMAL"
)
)</f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>ROUND(
IF(L2067="GANCHO",
   IF(I2069&lt;=50,I2069*1.1+4,IF(I2069&lt;=120,I2069*1.1+7,IF(I2069&lt;=250,I2069*1.1+11,I2069*1.1+19))),
IF(L2067="NORMAL",
   IF(I2069&lt;=30,I2069*1.15+2,IF(I2069&lt;=80,I2069*1.15+4,IF(I2069&lt;=150,I2069*1.15+6,I2069*1.15+8))),
IF(L2067="COMPLEMENTO",
   IF(I2069&lt;=25,I2069*1.25+1.5,IF(I2069&lt;=60,I2069*1.25+3,IF(I2069&lt;=120,I2069*1.25+4,I2069*1.25+5))),
""))),2)</f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>IF(
OR(
ISNUMBER(SEARCH("BACKPACK",B2071)),
ISNUMBER(SEARCH("MOCHILA",B2071)),
ISNUMBER(SEARCH("FUNDA",B2071)),
ISNUMBER(SEARCH("ESTUCHE",B2071)),
ISNUMBER(SEARCH("BOOK COVER",B2071)),
ISNUMBER(SEARCH("KEYBOARD PARA TABLET",B2071)),
ISNUMBER(SEARCH("FLIP TABLET",B2071)),
ISNUMBER(SEARCH("CASE FOR TABLET",B2071)),
ISNUMBER(SEARCH("CABLE",B2071)),
ISNUMBER(SEARCH("ADAPTADOR",B2071)),
ISNUMBER(SEARCH("HUB",B2071)),
ISNUMBER(SEARCH("DOCK",B2071)),
ISNUMBER(SEARCH("MOUSE PAD",B2071)),
ISNUMBER(SEARCH("MOUSEPAD",B2071)),
ISNUMBER(SEARCH("SOPORTE",B2071)),
ISNUMBER(SEARCH("STAND",B2071)),
ISNUMBER(SEARCH("TRAVEL ADAPTER",B2071)),
ISNUMBER(SEARCH("RJ45",B2071)),
ISNUMBER(SEARCH("USB-C",B2071)),
ISNUMBER(SEARCH("USB WIFI",B2071)),
ISNUMBER(SEARCH("POWERBANK",B2071)),
ISNUMBER(SEARCH("CARGADOR",B2071)),
ISNUMBER(SEARCH("COOLER PARA NB",B2071)),
ISNUMBER(SEARCH("SOPORTE PARA NB",B2071)),
ISNUMBER(SEARCH("WEBCAM",B2071)),
ISNUMBER(SEARCH("WEB CAM",B2071)),
ISNUMBER(SEARCH("MOUSE",B2071)),
ISNUMBER(SEARCH("TECLADO",B2071))
),
"COMPLEMENTO",
IF(
OR(
LEFT(A2071,2)="NB",
LEFT(A2071,2)="PC",
LEFT(A2071,2)="WS",
LEFT(A2071,2)="TB",
LEFT(A2071,3)="CEL",
LEFT(A2071,3)="MON",
LEFT(A2071,3)="PRE",
LEFT(A2071,3)="PRH",
ISNUMBER(SEARCH("NOTEBOOK",B2071)),
ISNUMBER(SEARCH("LAPTOP",B2071)),
ISNUMBER(SEARCH("MONITOR",B2071)),
ISNUMBER(SEARCH("TABLET",B2071)),
ISNUMBER(SEARCH("SMARTPH",B2071)),
ISNUMBER(SEARCH("IMPRESORA",B2071)),
ISNUMBER(SEARCH("MULTIFUNCIONAL",B2071)),
ISNUMBER(SEARCH("AIO",B2071))
),
"GANCHO",
"NORMAL"
)
)</f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>ROUND(
IF(L2068="GANCHO",
   IF(I2070&lt;=50,I2070*1.1+4,IF(I2070&lt;=120,I2070*1.1+7,IF(I2070&lt;=250,I2070*1.1+11,I2070*1.1+19))),
IF(L2068="NORMAL",
   IF(I2070&lt;=30,I2070*1.15+2,IF(I2070&lt;=80,I2070*1.15+4,IF(I2070&lt;=150,I2070*1.15+6,I2070*1.15+8))),
IF(L2068="COMPLEMENTO",
   IF(I2070&lt;=25,I2070*1.25+1.5,IF(I2070&lt;=60,I2070*1.25+3,IF(I2070&lt;=120,I2070*1.25+4,I2070*1.25+5))),
""))),2)</f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>IF(
OR(
ISNUMBER(SEARCH("BACKPACK",B2072)),
ISNUMBER(SEARCH("MOCHILA",B2072)),
ISNUMBER(SEARCH("FUNDA",B2072)),
ISNUMBER(SEARCH("ESTUCHE",B2072)),
ISNUMBER(SEARCH("BOOK COVER",B2072)),
ISNUMBER(SEARCH("KEYBOARD PARA TABLET",B2072)),
ISNUMBER(SEARCH("FLIP TABLET",B2072)),
ISNUMBER(SEARCH("CASE FOR TABLET",B2072)),
ISNUMBER(SEARCH("CABLE",B2072)),
ISNUMBER(SEARCH("ADAPTADOR",B2072)),
ISNUMBER(SEARCH("HUB",B2072)),
ISNUMBER(SEARCH("DOCK",B2072)),
ISNUMBER(SEARCH("MOUSE PAD",B2072)),
ISNUMBER(SEARCH("MOUSEPAD",B2072)),
ISNUMBER(SEARCH("SOPORTE",B2072)),
ISNUMBER(SEARCH("STAND",B2072)),
ISNUMBER(SEARCH("TRAVEL ADAPTER",B2072)),
ISNUMBER(SEARCH("RJ45",B2072)),
ISNUMBER(SEARCH("USB-C",B2072)),
ISNUMBER(SEARCH("USB WIFI",B2072)),
ISNUMBER(SEARCH("POWERBANK",B2072)),
ISNUMBER(SEARCH("CARGADOR",B2072)),
ISNUMBER(SEARCH("COOLER PARA NB",B2072)),
ISNUMBER(SEARCH("SOPORTE PARA NB",B2072)),
ISNUMBER(SEARCH("WEBCAM",B2072)),
ISNUMBER(SEARCH("WEB CAM",B2072)),
ISNUMBER(SEARCH("MOUSE",B2072)),
ISNUMBER(SEARCH("TECLADO",B2072))
),
"COMPLEMENTO",
IF(
OR(
LEFT(A2072,2)="NB",
LEFT(A2072,2)="PC",
LEFT(A2072,2)="WS",
LEFT(A2072,2)="TB",
LEFT(A2072,3)="CEL",
LEFT(A2072,3)="MON",
LEFT(A2072,3)="PRE",
LEFT(A2072,3)="PRH",
ISNUMBER(SEARCH("NOTEBOOK",B2072)),
ISNUMBER(SEARCH("LAPTOP",B2072)),
ISNUMBER(SEARCH("MONITOR",B2072)),
ISNUMBER(SEARCH("TABLET",B2072)),
ISNUMBER(SEARCH("SMARTPH",B2072)),
ISNUMBER(SEARCH("IMPRESORA",B2072)),
ISNUMBER(SEARCH("MULTIFUNCIONAL",B2072)),
ISNUMBER(SEARCH("AIO",B2072))
),
"GANCHO",
"NORMAL"
)
)</f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>ROUND(
IF(L2069="GANCHO",
   IF(I2071&lt;=50,I2071*1.1+4,IF(I2071&lt;=120,I2071*1.1+7,IF(I2071&lt;=250,I2071*1.1+11,I2071*1.1+19))),
IF(L2069="NORMAL",
   IF(I2071&lt;=30,I2071*1.15+2,IF(I2071&lt;=80,I2071*1.15+4,IF(I2071&lt;=150,I2071*1.15+6,I2071*1.15+8))),
IF(L2069="COMPLEMENTO",
   IF(I2071&lt;=25,I2071*1.25+1.5,IF(I2071&lt;=60,I2071*1.25+3,IF(I2071&lt;=120,I2071*1.25+4,I2071*1.25+5))),
""))),2)</f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>IF(
OR(
ISNUMBER(SEARCH("BACKPACK",B2073)),
ISNUMBER(SEARCH("MOCHILA",B2073)),
ISNUMBER(SEARCH("FUNDA",B2073)),
ISNUMBER(SEARCH("ESTUCHE",B2073)),
ISNUMBER(SEARCH("BOOK COVER",B2073)),
ISNUMBER(SEARCH("KEYBOARD PARA TABLET",B2073)),
ISNUMBER(SEARCH("FLIP TABLET",B2073)),
ISNUMBER(SEARCH("CASE FOR TABLET",B2073)),
ISNUMBER(SEARCH("CABLE",B2073)),
ISNUMBER(SEARCH("ADAPTADOR",B2073)),
ISNUMBER(SEARCH("HUB",B2073)),
ISNUMBER(SEARCH("DOCK",B2073)),
ISNUMBER(SEARCH("MOUSE PAD",B2073)),
ISNUMBER(SEARCH("MOUSEPAD",B2073)),
ISNUMBER(SEARCH("SOPORTE",B2073)),
ISNUMBER(SEARCH("STAND",B2073)),
ISNUMBER(SEARCH("TRAVEL ADAPTER",B2073)),
ISNUMBER(SEARCH("RJ45",B2073)),
ISNUMBER(SEARCH("USB-C",B2073)),
ISNUMBER(SEARCH("USB WIFI",B2073)),
ISNUMBER(SEARCH("POWERBANK",B2073)),
ISNUMBER(SEARCH("CARGADOR",B2073)),
ISNUMBER(SEARCH("COOLER PARA NB",B2073)),
ISNUMBER(SEARCH("SOPORTE PARA NB",B2073)),
ISNUMBER(SEARCH("WEBCAM",B2073)),
ISNUMBER(SEARCH("WEB CAM",B2073)),
ISNUMBER(SEARCH("MOUSE",B2073)),
ISNUMBER(SEARCH("TECLADO",B2073))
),
"COMPLEMENTO",
IF(
OR(
LEFT(A2073,2)="NB",
LEFT(A2073,2)="PC",
LEFT(A2073,2)="WS",
LEFT(A2073,2)="TB",
LEFT(A2073,3)="CEL",
LEFT(A2073,3)="MON",
LEFT(A2073,3)="PRE",
LEFT(A2073,3)="PRH",
ISNUMBER(SEARCH("NOTEBOOK",B2073)),
ISNUMBER(SEARCH("LAPTOP",B2073)),
ISNUMBER(SEARCH("MONITOR",B2073)),
ISNUMBER(SEARCH("TABLET",B2073)),
ISNUMBER(SEARCH("SMARTPH",B2073)),
ISNUMBER(SEARCH("IMPRESORA",B2073)),
ISNUMBER(SEARCH("MULTIFUNCIONAL",B2073)),
ISNUMBER(SEARCH("AIO",B2073))
),
"GANCHO",
"NORMAL"
)
)</f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>ROUND(
IF(L2070="GANCHO",
   IF(I2072&lt;=50,I2072*1.1+4,IF(I2072&lt;=120,I2072*1.1+7,IF(I2072&lt;=250,I2072*1.1+11,I2072*1.1+19))),
IF(L2070="NORMAL",
   IF(I2072&lt;=30,I2072*1.15+2,IF(I2072&lt;=80,I2072*1.15+4,IF(I2072&lt;=150,I2072*1.15+6,I2072*1.15+8))),
IF(L2070="COMPLEMENTO",
   IF(I2072&lt;=25,I2072*1.25+1.5,IF(I2072&lt;=60,I2072*1.25+3,IF(I2072&lt;=120,I2072*1.25+4,I2072*1.25+5))),
""))),2)</f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>IF(
OR(
ISNUMBER(SEARCH("BACKPACK",B2074)),
ISNUMBER(SEARCH("MOCHILA",B2074)),
ISNUMBER(SEARCH("FUNDA",B2074)),
ISNUMBER(SEARCH("ESTUCHE",B2074)),
ISNUMBER(SEARCH("BOOK COVER",B2074)),
ISNUMBER(SEARCH("KEYBOARD PARA TABLET",B2074)),
ISNUMBER(SEARCH("FLIP TABLET",B2074)),
ISNUMBER(SEARCH("CASE FOR TABLET",B2074)),
ISNUMBER(SEARCH("CABLE",B2074)),
ISNUMBER(SEARCH("ADAPTADOR",B2074)),
ISNUMBER(SEARCH("HUB",B2074)),
ISNUMBER(SEARCH("DOCK",B2074)),
ISNUMBER(SEARCH("MOUSE PAD",B2074)),
ISNUMBER(SEARCH("MOUSEPAD",B2074)),
ISNUMBER(SEARCH("SOPORTE",B2074)),
ISNUMBER(SEARCH("STAND",B2074)),
ISNUMBER(SEARCH("TRAVEL ADAPTER",B2074)),
ISNUMBER(SEARCH("RJ45",B2074)),
ISNUMBER(SEARCH("USB-C",B2074)),
ISNUMBER(SEARCH("USB WIFI",B2074)),
ISNUMBER(SEARCH("POWERBANK",B2074)),
ISNUMBER(SEARCH("CARGADOR",B2074)),
ISNUMBER(SEARCH("COOLER PARA NB",B2074)),
ISNUMBER(SEARCH("SOPORTE PARA NB",B2074)),
ISNUMBER(SEARCH("WEBCAM",B2074)),
ISNUMBER(SEARCH("WEB CAM",B2074)),
ISNUMBER(SEARCH("MOUSE",B2074)),
ISNUMBER(SEARCH("TECLADO",B2074))
),
"COMPLEMENTO",
IF(
OR(
LEFT(A2074,2)="NB",
LEFT(A2074,2)="PC",
LEFT(A2074,2)="WS",
LEFT(A2074,2)="TB",
LEFT(A2074,3)="CEL",
LEFT(A2074,3)="MON",
LEFT(A2074,3)="PRE",
LEFT(A2074,3)="PRH",
ISNUMBER(SEARCH("NOTEBOOK",B2074)),
ISNUMBER(SEARCH("LAPTOP",B2074)),
ISNUMBER(SEARCH("MONITOR",B2074)),
ISNUMBER(SEARCH("TABLET",B2074)),
ISNUMBER(SEARCH("SMARTPH",B2074)),
ISNUMBER(SEARCH("IMPRESORA",B2074)),
ISNUMBER(SEARCH("MULTIFUNCIONAL",B2074)),
ISNUMBER(SEARCH("AIO",B2074))
),
"GANCHO",
"NORMAL"
)
)</f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>ROUND(
IF(L2071="GANCHO",
   IF(I2073&lt;=50,I2073*1.1+4,IF(I2073&lt;=120,I2073*1.1+7,IF(I2073&lt;=250,I2073*1.1+11,I2073*1.1+19))),
IF(L2071="NORMAL",
   IF(I2073&lt;=30,I2073*1.15+2,IF(I2073&lt;=80,I2073*1.15+4,IF(I2073&lt;=150,I2073*1.15+6,I2073*1.15+8))),
IF(L2071="COMPLEMENTO",
   IF(I2073&lt;=25,I2073*1.25+1.5,IF(I2073&lt;=60,I2073*1.25+3,IF(I2073&lt;=120,I2073*1.25+4,I2073*1.25+5))),
""))),2)</f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>IF(
OR(
ISNUMBER(SEARCH("BACKPACK",B2075)),
ISNUMBER(SEARCH("MOCHILA",B2075)),
ISNUMBER(SEARCH("FUNDA",B2075)),
ISNUMBER(SEARCH("ESTUCHE",B2075)),
ISNUMBER(SEARCH("BOOK COVER",B2075)),
ISNUMBER(SEARCH("KEYBOARD PARA TABLET",B2075)),
ISNUMBER(SEARCH("FLIP TABLET",B2075)),
ISNUMBER(SEARCH("CASE FOR TABLET",B2075)),
ISNUMBER(SEARCH("CABLE",B2075)),
ISNUMBER(SEARCH("ADAPTADOR",B2075)),
ISNUMBER(SEARCH("HUB",B2075)),
ISNUMBER(SEARCH("DOCK",B2075)),
ISNUMBER(SEARCH("MOUSE PAD",B2075)),
ISNUMBER(SEARCH("MOUSEPAD",B2075)),
ISNUMBER(SEARCH("SOPORTE",B2075)),
ISNUMBER(SEARCH("STAND",B2075)),
ISNUMBER(SEARCH("TRAVEL ADAPTER",B2075)),
ISNUMBER(SEARCH("RJ45",B2075)),
ISNUMBER(SEARCH("USB-C",B2075)),
ISNUMBER(SEARCH("USB WIFI",B2075)),
ISNUMBER(SEARCH("POWERBANK",B2075)),
ISNUMBER(SEARCH("CARGADOR",B2075)),
ISNUMBER(SEARCH("COOLER PARA NB",B2075)),
ISNUMBER(SEARCH("SOPORTE PARA NB",B2075)),
ISNUMBER(SEARCH("WEBCAM",B2075)),
ISNUMBER(SEARCH("WEB CAM",B2075)),
ISNUMBER(SEARCH("MOUSE",B2075)),
ISNUMBER(SEARCH("TECLADO",B2075))
),
"COMPLEMENTO",
IF(
OR(
LEFT(A2075,2)="NB",
LEFT(A2075,2)="PC",
LEFT(A2075,2)="WS",
LEFT(A2075,2)="TB",
LEFT(A2075,3)="CEL",
LEFT(A2075,3)="MON",
LEFT(A2075,3)="PRE",
LEFT(A2075,3)="PRH",
ISNUMBER(SEARCH("NOTEBOOK",B2075)),
ISNUMBER(SEARCH("LAPTOP",B2075)),
ISNUMBER(SEARCH("MONITOR",B2075)),
ISNUMBER(SEARCH("TABLET",B2075)),
ISNUMBER(SEARCH("SMARTPH",B2075)),
ISNUMBER(SEARCH("IMPRESORA",B2075)),
ISNUMBER(SEARCH("MULTIFUNCIONAL",B2075)),
ISNUMBER(SEARCH("AIO",B2075))
),
"GANCHO",
"NORMAL"
)
)</f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>ROUND(
IF(L2072="GANCHO",
   IF(I2074&lt;=50,I2074*1.1+4,IF(I2074&lt;=120,I2074*1.1+7,IF(I2074&lt;=250,I2074*1.1+11,I2074*1.1+19))),
IF(L2072="NORMAL",
   IF(I2074&lt;=30,I2074*1.15+2,IF(I2074&lt;=80,I2074*1.15+4,IF(I2074&lt;=150,I2074*1.15+6,I2074*1.15+8))),
IF(L2072="COMPLEMENTO",
   IF(I2074&lt;=25,I2074*1.25+1.5,IF(I2074&lt;=60,I2074*1.25+3,IF(I2074&lt;=120,I2074*1.25+4,I2074*1.25+5))),
""))),2)</f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>IF(
OR(
ISNUMBER(SEARCH("BACKPACK",B2076)),
ISNUMBER(SEARCH("MOCHILA",B2076)),
ISNUMBER(SEARCH("FUNDA",B2076)),
ISNUMBER(SEARCH("ESTUCHE",B2076)),
ISNUMBER(SEARCH("BOOK COVER",B2076)),
ISNUMBER(SEARCH("KEYBOARD PARA TABLET",B2076)),
ISNUMBER(SEARCH("FLIP TABLET",B2076)),
ISNUMBER(SEARCH("CASE FOR TABLET",B2076)),
ISNUMBER(SEARCH("CABLE",B2076)),
ISNUMBER(SEARCH("ADAPTADOR",B2076)),
ISNUMBER(SEARCH("HUB",B2076)),
ISNUMBER(SEARCH("DOCK",B2076)),
ISNUMBER(SEARCH("MOUSE PAD",B2076)),
ISNUMBER(SEARCH("MOUSEPAD",B2076)),
ISNUMBER(SEARCH("SOPORTE",B2076)),
ISNUMBER(SEARCH("STAND",B2076)),
ISNUMBER(SEARCH("TRAVEL ADAPTER",B2076)),
ISNUMBER(SEARCH("RJ45",B2076)),
ISNUMBER(SEARCH("USB-C",B2076)),
ISNUMBER(SEARCH("USB WIFI",B2076)),
ISNUMBER(SEARCH("POWERBANK",B2076)),
ISNUMBER(SEARCH("CARGADOR",B2076)),
ISNUMBER(SEARCH("COOLER PARA NB",B2076)),
ISNUMBER(SEARCH("SOPORTE PARA NB",B2076)),
ISNUMBER(SEARCH("WEBCAM",B2076)),
ISNUMBER(SEARCH("WEB CAM",B2076)),
ISNUMBER(SEARCH("MOUSE",B2076)),
ISNUMBER(SEARCH("TECLADO",B2076))
),
"COMPLEMENTO",
IF(
OR(
LEFT(A2076,2)="NB",
LEFT(A2076,2)="PC",
LEFT(A2076,2)="WS",
LEFT(A2076,2)="TB",
LEFT(A2076,3)="CEL",
LEFT(A2076,3)="MON",
LEFT(A2076,3)="PRE",
LEFT(A2076,3)="PRH",
ISNUMBER(SEARCH("NOTEBOOK",B2076)),
ISNUMBER(SEARCH("LAPTOP",B2076)),
ISNUMBER(SEARCH("MONITOR",B2076)),
ISNUMBER(SEARCH("TABLET",B2076)),
ISNUMBER(SEARCH("SMARTPH",B2076)),
ISNUMBER(SEARCH("IMPRESORA",B2076)),
ISNUMBER(SEARCH("MULTIFUNCIONAL",B2076)),
ISNUMBER(SEARCH("AIO",B2076))
),
"GANCHO",
"NORMAL"
)
)</f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>ROUND(
IF(L2073="GANCHO",
   IF(I2075&lt;=50,I2075*1.1+4,IF(I2075&lt;=120,I2075*1.1+7,IF(I2075&lt;=250,I2075*1.1+11,I2075*1.1+19))),
IF(L2073="NORMAL",
   IF(I2075&lt;=30,I2075*1.15+2,IF(I2075&lt;=80,I2075*1.15+4,IF(I2075&lt;=150,I2075*1.15+6,I2075*1.15+8))),
IF(L2073="COMPLEMENTO",
   IF(I2075&lt;=25,I2075*1.25+1.5,IF(I2075&lt;=60,I2075*1.25+3,IF(I2075&lt;=120,I2075*1.25+4,I2075*1.25+5))),
""))),2)</f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>IF(
OR(
ISNUMBER(SEARCH("BACKPACK",B2077)),
ISNUMBER(SEARCH("MOCHILA",B2077)),
ISNUMBER(SEARCH("FUNDA",B2077)),
ISNUMBER(SEARCH("ESTUCHE",B2077)),
ISNUMBER(SEARCH("BOOK COVER",B2077)),
ISNUMBER(SEARCH("KEYBOARD PARA TABLET",B2077)),
ISNUMBER(SEARCH("FLIP TABLET",B2077)),
ISNUMBER(SEARCH("CASE FOR TABLET",B2077)),
ISNUMBER(SEARCH("CABLE",B2077)),
ISNUMBER(SEARCH("ADAPTADOR",B2077)),
ISNUMBER(SEARCH("HUB",B2077)),
ISNUMBER(SEARCH("DOCK",B2077)),
ISNUMBER(SEARCH("MOUSE PAD",B2077)),
ISNUMBER(SEARCH("MOUSEPAD",B2077)),
ISNUMBER(SEARCH("SOPORTE",B2077)),
ISNUMBER(SEARCH("STAND",B2077)),
ISNUMBER(SEARCH("TRAVEL ADAPTER",B2077)),
ISNUMBER(SEARCH("RJ45",B2077)),
ISNUMBER(SEARCH("USB-C",B2077)),
ISNUMBER(SEARCH("USB WIFI",B2077)),
ISNUMBER(SEARCH("POWERBANK",B2077)),
ISNUMBER(SEARCH("CARGADOR",B2077)),
ISNUMBER(SEARCH("COOLER PARA NB",B2077)),
ISNUMBER(SEARCH("SOPORTE PARA NB",B2077)),
ISNUMBER(SEARCH("WEBCAM",B2077)),
ISNUMBER(SEARCH("WEB CAM",B2077)),
ISNUMBER(SEARCH("MOUSE",B2077)),
ISNUMBER(SEARCH("TECLADO",B2077))
),
"COMPLEMENTO",
IF(
OR(
LEFT(A2077,2)="NB",
LEFT(A2077,2)="PC",
LEFT(A2077,2)="WS",
LEFT(A2077,2)="TB",
LEFT(A2077,3)="CEL",
LEFT(A2077,3)="MON",
LEFT(A2077,3)="PRE",
LEFT(A2077,3)="PRH",
ISNUMBER(SEARCH("NOTEBOOK",B2077)),
ISNUMBER(SEARCH("LAPTOP",B2077)),
ISNUMBER(SEARCH("MONITOR",B2077)),
ISNUMBER(SEARCH("TABLET",B2077)),
ISNUMBER(SEARCH("SMARTPH",B2077)),
ISNUMBER(SEARCH("IMPRESORA",B2077)),
ISNUMBER(SEARCH("MULTIFUNCIONAL",B2077)),
ISNUMBER(SEARCH("AIO",B2077))
),
"GANCHO",
"NORMAL"
)
)</f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>ROUND(
IF(L2074="GANCHO",
   IF(I2076&lt;=50,I2076*1.1+4,IF(I2076&lt;=120,I2076*1.1+7,IF(I2076&lt;=250,I2076*1.1+11,I2076*1.1+19))),
IF(L2074="NORMAL",
   IF(I2076&lt;=30,I2076*1.15+2,IF(I2076&lt;=80,I2076*1.15+4,IF(I2076&lt;=150,I2076*1.15+6,I2076*1.15+8))),
IF(L2074="COMPLEMENTO",
   IF(I2076&lt;=25,I2076*1.25+1.5,IF(I2076&lt;=60,I2076*1.25+3,IF(I2076&lt;=120,I2076*1.25+4,I2076*1.25+5))),
""))),2)</f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>IF(
OR(
ISNUMBER(SEARCH("BACKPACK",B2078)),
ISNUMBER(SEARCH("MOCHILA",B2078)),
ISNUMBER(SEARCH("FUNDA",B2078)),
ISNUMBER(SEARCH("ESTUCHE",B2078)),
ISNUMBER(SEARCH("BOOK COVER",B2078)),
ISNUMBER(SEARCH("KEYBOARD PARA TABLET",B2078)),
ISNUMBER(SEARCH("FLIP TABLET",B2078)),
ISNUMBER(SEARCH("CASE FOR TABLET",B2078)),
ISNUMBER(SEARCH("CABLE",B2078)),
ISNUMBER(SEARCH("ADAPTADOR",B2078)),
ISNUMBER(SEARCH("HUB",B2078)),
ISNUMBER(SEARCH("DOCK",B2078)),
ISNUMBER(SEARCH("MOUSE PAD",B2078)),
ISNUMBER(SEARCH("MOUSEPAD",B2078)),
ISNUMBER(SEARCH("SOPORTE",B2078)),
ISNUMBER(SEARCH("STAND",B2078)),
ISNUMBER(SEARCH("TRAVEL ADAPTER",B2078)),
ISNUMBER(SEARCH("RJ45",B2078)),
ISNUMBER(SEARCH("USB-C",B2078)),
ISNUMBER(SEARCH("USB WIFI",B2078)),
ISNUMBER(SEARCH("POWERBANK",B2078)),
ISNUMBER(SEARCH("CARGADOR",B2078)),
ISNUMBER(SEARCH("COOLER PARA NB",B2078)),
ISNUMBER(SEARCH("SOPORTE PARA NB",B2078)),
ISNUMBER(SEARCH("WEBCAM",B2078)),
ISNUMBER(SEARCH("WEB CAM",B2078)),
ISNUMBER(SEARCH("MOUSE",B2078)),
ISNUMBER(SEARCH("TECLADO",B2078))
),
"COMPLEMENTO",
IF(
OR(
LEFT(A2078,2)="NB",
LEFT(A2078,2)="PC",
LEFT(A2078,2)="WS",
LEFT(A2078,2)="TB",
LEFT(A2078,3)="CEL",
LEFT(A2078,3)="MON",
LEFT(A2078,3)="PRE",
LEFT(A2078,3)="PRH",
ISNUMBER(SEARCH("NOTEBOOK",B2078)),
ISNUMBER(SEARCH("LAPTOP",B2078)),
ISNUMBER(SEARCH("MONITOR",B2078)),
ISNUMBER(SEARCH("TABLET",B2078)),
ISNUMBER(SEARCH("SMARTPH",B2078)),
ISNUMBER(SEARCH("IMPRESORA",B2078)),
ISNUMBER(SEARCH("MULTIFUNCIONAL",B2078)),
ISNUMBER(SEARCH("AIO",B2078))
),
"GANCHO",
"NORMAL"
)
)</f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>ROUND(
IF(L2075="GANCHO",
   IF(I2077&lt;=50,I2077*1.1+4,IF(I2077&lt;=120,I2077*1.1+7,IF(I2077&lt;=250,I2077*1.1+11,I2077*1.1+19))),
IF(L2075="NORMAL",
   IF(I2077&lt;=30,I2077*1.15+2,IF(I2077&lt;=80,I2077*1.15+4,IF(I2077&lt;=150,I2077*1.15+6,I2077*1.15+8))),
IF(L2075="COMPLEMENTO",
   IF(I2077&lt;=25,I2077*1.25+1.5,IF(I2077&lt;=60,I2077*1.25+3,IF(I2077&lt;=120,I2077*1.25+4,I2077*1.25+5))),
""))),2)</f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>IF(
OR(
ISNUMBER(SEARCH("BACKPACK",B2079)),
ISNUMBER(SEARCH("MOCHILA",B2079)),
ISNUMBER(SEARCH("FUNDA",B2079)),
ISNUMBER(SEARCH("ESTUCHE",B2079)),
ISNUMBER(SEARCH("BOOK COVER",B2079)),
ISNUMBER(SEARCH("KEYBOARD PARA TABLET",B2079)),
ISNUMBER(SEARCH("FLIP TABLET",B2079)),
ISNUMBER(SEARCH("CASE FOR TABLET",B2079)),
ISNUMBER(SEARCH("CABLE",B2079)),
ISNUMBER(SEARCH("ADAPTADOR",B2079)),
ISNUMBER(SEARCH("HUB",B2079)),
ISNUMBER(SEARCH("DOCK",B2079)),
ISNUMBER(SEARCH("MOUSE PAD",B2079)),
ISNUMBER(SEARCH("MOUSEPAD",B2079)),
ISNUMBER(SEARCH("SOPORTE",B2079)),
ISNUMBER(SEARCH("STAND",B2079)),
ISNUMBER(SEARCH("TRAVEL ADAPTER",B2079)),
ISNUMBER(SEARCH("RJ45",B2079)),
ISNUMBER(SEARCH("USB-C",B2079)),
ISNUMBER(SEARCH("USB WIFI",B2079)),
ISNUMBER(SEARCH("POWERBANK",B2079)),
ISNUMBER(SEARCH("CARGADOR",B2079)),
ISNUMBER(SEARCH("COOLER PARA NB",B2079)),
ISNUMBER(SEARCH("SOPORTE PARA NB",B2079)),
ISNUMBER(SEARCH("WEBCAM",B2079)),
ISNUMBER(SEARCH("WEB CAM",B2079)),
ISNUMBER(SEARCH("MOUSE",B2079)),
ISNUMBER(SEARCH("TECLADO",B2079))
),
"COMPLEMENTO",
IF(
OR(
LEFT(A2079,2)="NB",
LEFT(A2079,2)="PC",
LEFT(A2079,2)="WS",
LEFT(A2079,2)="TB",
LEFT(A2079,3)="CEL",
LEFT(A2079,3)="MON",
LEFT(A2079,3)="PRE",
LEFT(A2079,3)="PRH",
ISNUMBER(SEARCH("NOTEBOOK",B2079)),
ISNUMBER(SEARCH("LAPTOP",B2079)),
ISNUMBER(SEARCH("MONITOR",B2079)),
ISNUMBER(SEARCH("TABLET",B2079)),
ISNUMBER(SEARCH("SMARTPH",B2079)),
ISNUMBER(SEARCH("IMPRESORA",B2079)),
ISNUMBER(SEARCH("MULTIFUNCIONAL",B2079)),
ISNUMBER(SEARCH("AIO",B2079))
),
"GANCHO",
"NORMAL"
)
)</f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>ROUND(
IF(L2076="GANCHO",
   IF(I2078&lt;=50,I2078*1.1+4,IF(I2078&lt;=120,I2078*1.1+7,IF(I2078&lt;=250,I2078*1.1+11,I2078*1.1+19))),
IF(L2076="NORMAL",
   IF(I2078&lt;=30,I2078*1.15+2,IF(I2078&lt;=80,I2078*1.15+4,IF(I2078&lt;=150,I2078*1.15+6,I2078*1.15+8))),
IF(L2076="COMPLEMENTO",
   IF(I2078&lt;=25,I2078*1.25+1.5,IF(I2078&lt;=60,I2078*1.25+3,IF(I2078&lt;=120,I2078*1.25+4,I2078*1.25+5))),
""))),2)</f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>IF(
OR(
ISNUMBER(SEARCH("BACKPACK",B2080)),
ISNUMBER(SEARCH("MOCHILA",B2080)),
ISNUMBER(SEARCH("FUNDA",B2080)),
ISNUMBER(SEARCH("ESTUCHE",B2080)),
ISNUMBER(SEARCH("BOOK COVER",B2080)),
ISNUMBER(SEARCH("KEYBOARD PARA TABLET",B2080)),
ISNUMBER(SEARCH("FLIP TABLET",B2080)),
ISNUMBER(SEARCH("CASE FOR TABLET",B2080)),
ISNUMBER(SEARCH("CABLE",B2080)),
ISNUMBER(SEARCH("ADAPTADOR",B2080)),
ISNUMBER(SEARCH("HUB",B2080)),
ISNUMBER(SEARCH("DOCK",B2080)),
ISNUMBER(SEARCH("MOUSE PAD",B2080)),
ISNUMBER(SEARCH("MOUSEPAD",B2080)),
ISNUMBER(SEARCH("SOPORTE",B2080)),
ISNUMBER(SEARCH("STAND",B2080)),
ISNUMBER(SEARCH("TRAVEL ADAPTER",B2080)),
ISNUMBER(SEARCH("RJ45",B2080)),
ISNUMBER(SEARCH("USB-C",B2080)),
ISNUMBER(SEARCH("USB WIFI",B2080)),
ISNUMBER(SEARCH("POWERBANK",B2080)),
ISNUMBER(SEARCH("CARGADOR",B2080)),
ISNUMBER(SEARCH("COOLER PARA NB",B2080)),
ISNUMBER(SEARCH("SOPORTE PARA NB",B2080)),
ISNUMBER(SEARCH("WEBCAM",B2080)),
ISNUMBER(SEARCH("WEB CAM",B2080)),
ISNUMBER(SEARCH("MOUSE",B2080)),
ISNUMBER(SEARCH("TECLADO",B2080))
),
"COMPLEMENTO",
IF(
OR(
LEFT(A2080,2)="NB",
LEFT(A2080,2)="PC",
LEFT(A2080,2)="WS",
LEFT(A2080,2)="TB",
LEFT(A2080,3)="CEL",
LEFT(A2080,3)="MON",
LEFT(A2080,3)="PRE",
LEFT(A2080,3)="PRH",
ISNUMBER(SEARCH("NOTEBOOK",B2080)),
ISNUMBER(SEARCH("LAPTOP",B2080)),
ISNUMBER(SEARCH("MONITOR",B2080)),
ISNUMBER(SEARCH("TABLET",B2080)),
ISNUMBER(SEARCH("SMARTPH",B2080)),
ISNUMBER(SEARCH("IMPRESORA",B2080)),
ISNUMBER(SEARCH("MULTIFUNCIONAL",B2080)),
ISNUMBER(SEARCH("AIO",B2080))
),
"GANCHO",
"NORMAL"
)
)</f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>ROUND(
IF(L2077="GANCHO",
   IF(I2079&lt;=50,I2079*1.1+4,IF(I2079&lt;=120,I2079*1.1+7,IF(I2079&lt;=250,I2079*1.1+11,I2079*1.1+19))),
IF(L2077="NORMAL",
   IF(I2079&lt;=30,I2079*1.15+2,IF(I2079&lt;=80,I2079*1.15+4,IF(I2079&lt;=150,I2079*1.15+6,I2079*1.15+8))),
IF(L2077="COMPLEMENTO",
   IF(I2079&lt;=25,I2079*1.25+1.5,IF(I2079&lt;=60,I2079*1.25+3,IF(I2079&lt;=120,I2079*1.25+4,I2079*1.25+5))),
""))),2)</f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>IF(
OR(
ISNUMBER(SEARCH("BACKPACK",B2081)),
ISNUMBER(SEARCH("MOCHILA",B2081)),
ISNUMBER(SEARCH("FUNDA",B2081)),
ISNUMBER(SEARCH("ESTUCHE",B2081)),
ISNUMBER(SEARCH("BOOK COVER",B2081)),
ISNUMBER(SEARCH("KEYBOARD PARA TABLET",B2081)),
ISNUMBER(SEARCH("FLIP TABLET",B2081)),
ISNUMBER(SEARCH("CASE FOR TABLET",B2081)),
ISNUMBER(SEARCH("CABLE",B2081)),
ISNUMBER(SEARCH("ADAPTADOR",B2081)),
ISNUMBER(SEARCH("HUB",B2081)),
ISNUMBER(SEARCH("DOCK",B2081)),
ISNUMBER(SEARCH("MOUSE PAD",B2081)),
ISNUMBER(SEARCH("MOUSEPAD",B2081)),
ISNUMBER(SEARCH("SOPORTE",B2081)),
ISNUMBER(SEARCH("STAND",B2081)),
ISNUMBER(SEARCH("TRAVEL ADAPTER",B2081)),
ISNUMBER(SEARCH("RJ45",B2081)),
ISNUMBER(SEARCH("USB-C",B2081)),
ISNUMBER(SEARCH("USB WIFI",B2081)),
ISNUMBER(SEARCH("POWERBANK",B2081)),
ISNUMBER(SEARCH("CARGADOR",B2081)),
ISNUMBER(SEARCH("COOLER PARA NB",B2081)),
ISNUMBER(SEARCH("SOPORTE PARA NB",B2081)),
ISNUMBER(SEARCH("WEBCAM",B2081)),
ISNUMBER(SEARCH("WEB CAM",B2081)),
ISNUMBER(SEARCH("MOUSE",B2081)),
ISNUMBER(SEARCH("TECLADO",B2081))
),
"COMPLEMENTO",
IF(
OR(
LEFT(A2081,2)="NB",
LEFT(A2081,2)="PC",
LEFT(A2081,2)="WS",
LEFT(A2081,2)="TB",
LEFT(A2081,3)="CEL",
LEFT(A2081,3)="MON",
LEFT(A2081,3)="PRE",
LEFT(A2081,3)="PRH",
ISNUMBER(SEARCH("NOTEBOOK",B2081)),
ISNUMBER(SEARCH("LAPTOP",B2081)),
ISNUMBER(SEARCH("MONITOR",B2081)),
ISNUMBER(SEARCH("TABLET",B2081)),
ISNUMBER(SEARCH("SMARTPH",B2081)),
ISNUMBER(SEARCH("IMPRESORA",B2081)),
ISNUMBER(SEARCH("MULTIFUNCIONAL",B2081)),
ISNUMBER(SEARCH("AIO",B2081))
),
"GANCHO",
"NORMAL"
)
)</f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>ROUND(
IF(L2078="GANCHO",
   IF(I2080&lt;=50,I2080*1.1+4,IF(I2080&lt;=120,I2080*1.1+7,IF(I2080&lt;=250,I2080*1.1+11,I2080*1.1+19))),
IF(L2078="NORMAL",
   IF(I2080&lt;=30,I2080*1.15+2,IF(I2080&lt;=80,I2080*1.15+4,IF(I2080&lt;=150,I2080*1.15+6,I2080*1.15+8))),
IF(L2078="COMPLEMENTO",
   IF(I2080&lt;=25,I2080*1.25+1.5,IF(I2080&lt;=60,I2080*1.25+3,IF(I2080&lt;=120,I2080*1.25+4,I2080*1.25+5))),
""))),2)</f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>IF(
OR(
ISNUMBER(SEARCH("BACKPACK",B2082)),
ISNUMBER(SEARCH("MOCHILA",B2082)),
ISNUMBER(SEARCH("FUNDA",B2082)),
ISNUMBER(SEARCH("ESTUCHE",B2082)),
ISNUMBER(SEARCH("BOOK COVER",B2082)),
ISNUMBER(SEARCH("KEYBOARD PARA TABLET",B2082)),
ISNUMBER(SEARCH("FLIP TABLET",B2082)),
ISNUMBER(SEARCH("CASE FOR TABLET",B2082)),
ISNUMBER(SEARCH("CABLE",B2082)),
ISNUMBER(SEARCH("ADAPTADOR",B2082)),
ISNUMBER(SEARCH("HUB",B2082)),
ISNUMBER(SEARCH("DOCK",B2082)),
ISNUMBER(SEARCH("MOUSE PAD",B2082)),
ISNUMBER(SEARCH("MOUSEPAD",B2082)),
ISNUMBER(SEARCH("SOPORTE",B2082)),
ISNUMBER(SEARCH("STAND",B2082)),
ISNUMBER(SEARCH("TRAVEL ADAPTER",B2082)),
ISNUMBER(SEARCH("RJ45",B2082)),
ISNUMBER(SEARCH("USB-C",B2082)),
ISNUMBER(SEARCH("USB WIFI",B2082)),
ISNUMBER(SEARCH("POWERBANK",B2082)),
ISNUMBER(SEARCH("CARGADOR",B2082)),
ISNUMBER(SEARCH("COOLER PARA NB",B2082)),
ISNUMBER(SEARCH("SOPORTE PARA NB",B2082)),
ISNUMBER(SEARCH("WEBCAM",B2082)),
ISNUMBER(SEARCH("WEB CAM",B2082)),
ISNUMBER(SEARCH("MOUSE",B2082)),
ISNUMBER(SEARCH("TECLADO",B2082))
),
"COMPLEMENTO",
IF(
OR(
LEFT(A2082,2)="NB",
LEFT(A2082,2)="PC",
LEFT(A2082,2)="WS",
LEFT(A2082,2)="TB",
LEFT(A2082,3)="CEL",
LEFT(A2082,3)="MON",
LEFT(A2082,3)="PRE",
LEFT(A2082,3)="PRH",
ISNUMBER(SEARCH("NOTEBOOK",B2082)),
ISNUMBER(SEARCH("LAPTOP",B2082)),
ISNUMBER(SEARCH("MONITOR",B2082)),
ISNUMBER(SEARCH("TABLET",B2082)),
ISNUMBER(SEARCH("SMARTPH",B2082)),
ISNUMBER(SEARCH("IMPRESORA",B2082)),
ISNUMBER(SEARCH("MULTIFUNCIONAL",B2082)),
ISNUMBER(SEARCH("AIO",B2082))
),
"GANCHO",
"NORMAL"
)
)</f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>ROUND(
IF(L2079="GANCHO",
   IF(I2081&lt;=50,I2081*1.1+4,IF(I2081&lt;=120,I2081*1.1+7,IF(I2081&lt;=250,I2081*1.1+11,I2081*1.1+19))),
IF(L2079="NORMAL",
   IF(I2081&lt;=30,I2081*1.15+2,IF(I2081&lt;=80,I2081*1.15+4,IF(I2081&lt;=150,I2081*1.15+6,I2081*1.15+8))),
IF(L2079="COMPLEMENTO",
   IF(I2081&lt;=25,I2081*1.25+1.5,IF(I2081&lt;=60,I2081*1.25+3,IF(I2081&lt;=120,I2081*1.25+4,I2081*1.25+5))),
""))),2)</f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>IF(
OR(
ISNUMBER(SEARCH("BACKPACK",B2083)),
ISNUMBER(SEARCH("MOCHILA",B2083)),
ISNUMBER(SEARCH("FUNDA",B2083)),
ISNUMBER(SEARCH("ESTUCHE",B2083)),
ISNUMBER(SEARCH("BOOK COVER",B2083)),
ISNUMBER(SEARCH("KEYBOARD PARA TABLET",B2083)),
ISNUMBER(SEARCH("FLIP TABLET",B2083)),
ISNUMBER(SEARCH("CASE FOR TABLET",B2083)),
ISNUMBER(SEARCH("CABLE",B2083)),
ISNUMBER(SEARCH("ADAPTADOR",B2083)),
ISNUMBER(SEARCH("HUB",B2083)),
ISNUMBER(SEARCH("DOCK",B2083)),
ISNUMBER(SEARCH("MOUSE PAD",B2083)),
ISNUMBER(SEARCH("MOUSEPAD",B2083)),
ISNUMBER(SEARCH("SOPORTE",B2083)),
ISNUMBER(SEARCH("STAND",B2083)),
ISNUMBER(SEARCH("TRAVEL ADAPTER",B2083)),
ISNUMBER(SEARCH("RJ45",B2083)),
ISNUMBER(SEARCH("USB-C",B2083)),
ISNUMBER(SEARCH("USB WIFI",B2083)),
ISNUMBER(SEARCH("POWERBANK",B2083)),
ISNUMBER(SEARCH("CARGADOR",B2083)),
ISNUMBER(SEARCH("COOLER PARA NB",B2083)),
ISNUMBER(SEARCH("SOPORTE PARA NB",B2083)),
ISNUMBER(SEARCH("WEBCAM",B2083)),
ISNUMBER(SEARCH("WEB CAM",B2083)),
ISNUMBER(SEARCH("MOUSE",B2083)),
ISNUMBER(SEARCH("TECLADO",B2083))
),
"COMPLEMENTO",
IF(
OR(
LEFT(A2083,2)="NB",
LEFT(A2083,2)="PC",
LEFT(A2083,2)="WS",
LEFT(A2083,2)="TB",
LEFT(A2083,3)="CEL",
LEFT(A2083,3)="MON",
LEFT(A2083,3)="PRE",
LEFT(A2083,3)="PRH",
ISNUMBER(SEARCH("NOTEBOOK",B2083)),
ISNUMBER(SEARCH("LAPTOP",B2083)),
ISNUMBER(SEARCH("MONITOR",B2083)),
ISNUMBER(SEARCH("TABLET",B2083)),
ISNUMBER(SEARCH("SMARTPH",B2083)),
ISNUMBER(SEARCH("IMPRESORA",B2083)),
ISNUMBER(SEARCH("MULTIFUNCIONAL",B2083)),
ISNUMBER(SEARCH("AIO",B2083))
),
"GANCHO",
"NORMAL"
)
)</f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>ROUND(
IF(L2080="GANCHO",
   IF(I2082&lt;=50,I2082*1.1+4,IF(I2082&lt;=120,I2082*1.1+7,IF(I2082&lt;=250,I2082*1.1+11,I2082*1.1+19))),
IF(L2080="NORMAL",
   IF(I2082&lt;=30,I2082*1.15+2,IF(I2082&lt;=80,I2082*1.15+4,IF(I2082&lt;=150,I2082*1.15+6,I2082*1.15+8))),
IF(L2080="COMPLEMENTO",
   IF(I2082&lt;=25,I2082*1.25+1.5,IF(I2082&lt;=60,I2082*1.25+3,IF(I2082&lt;=120,I2082*1.25+4,I2082*1.25+5))),
""))),2)</f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>IF(
OR(
ISNUMBER(SEARCH("BACKPACK",B2084)),
ISNUMBER(SEARCH("MOCHILA",B2084)),
ISNUMBER(SEARCH("FUNDA",B2084)),
ISNUMBER(SEARCH("ESTUCHE",B2084)),
ISNUMBER(SEARCH("BOOK COVER",B2084)),
ISNUMBER(SEARCH("KEYBOARD PARA TABLET",B2084)),
ISNUMBER(SEARCH("FLIP TABLET",B2084)),
ISNUMBER(SEARCH("CASE FOR TABLET",B2084)),
ISNUMBER(SEARCH("CABLE",B2084)),
ISNUMBER(SEARCH("ADAPTADOR",B2084)),
ISNUMBER(SEARCH("HUB",B2084)),
ISNUMBER(SEARCH("DOCK",B2084)),
ISNUMBER(SEARCH("MOUSE PAD",B2084)),
ISNUMBER(SEARCH("MOUSEPAD",B2084)),
ISNUMBER(SEARCH("SOPORTE",B2084)),
ISNUMBER(SEARCH("STAND",B2084)),
ISNUMBER(SEARCH("TRAVEL ADAPTER",B2084)),
ISNUMBER(SEARCH("RJ45",B2084)),
ISNUMBER(SEARCH("USB-C",B2084)),
ISNUMBER(SEARCH("USB WIFI",B2084)),
ISNUMBER(SEARCH("POWERBANK",B2084)),
ISNUMBER(SEARCH("CARGADOR",B2084)),
ISNUMBER(SEARCH("COOLER PARA NB",B2084)),
ISNUMBER(SEARCH("SOPORTE PARA NB",B2084)),
ISNUMBER(SEARCH("WEBCAM",B2084)),
ISNUMBER(SEARCH("WEB CAM",B2084)),
ISNUMBER(SEARCH("MOUSE",B2084)),
ISNUMBER(SEARCH("TECLADO",B2084))
),
"COMPLEMENTO",
IF(
OR(
LEFT(A2084,2)="NB",
LEFT(A2084,2)="PC",
LEFT(A2084,2)="WS",
LEFT(A2084,2)="TB",
LEFT(A2084,3)="CEL",
LEFT(A2084,3)="MON",
LEFT(A2084,3)="PRE",
LEFT(A2084,3)="PRH",
ISNUMBER(SEARCH("NOTEBOOK",B2084)),
ISNUMBER(SEARCH("LAPTOP",B2084)),
ISNUMBER(SEARCH("MONITOR",B2084)),
ISNUMBER(SEARCH("TABLET",B2084)),
ISNUMBER(SEARCH("SMARTPH",B2084)),
ISNUMBER(SEARCH("IMPRESORA",B2084)),
ISNUMBER(SEARCH("MULTIFUNCIONAL",B2084)),
ISNUMBER(SEARCH("AIO",B2084))
),
"GANCHO",
"NORMAL"
)
)</f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>ROUND(
IF(L2081="GANCHO",
   IF(I2083&lt;=50,I2083*1.1+4,IF(I2083&lt;=120,I2083*1.1+7,IF(I2083&lt;=250,I2083*1.1+11,I2083*1.1+19))),
IF(L2081="NORMAL",
   IF(I2083&lt;=30,I2083*1.15+2,IF(I2083&lt;=80,I2083*1.15+4,IF(I2083&lt;=150,I2083*1.15+6,I2083*1.15+8))),
IF(L2081="COMPLEMENTO",
   IF(I2083&lt;=25,I2083*1.25+1.5,IF(I2083&lt;=60,I2083*1.25+3,IF(I2083&lt;=120,I2083*1.25+4,I2083*1.25+5))),
""))),2)</f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>IF(
OR(
ISNUMBER(SEARCH("BACKPACK",B2085)),
ISNUMBER(SEARCH("MOCHILA",B2085)),
ISNUMBER(SEARCH("FUNDA",B2085)),
ISNUMBER(SEARCH("ESTUCHE",B2085)),
ISNUMBER(SEARCH("BOOK COVER",B2085)),
ISNUMBER(SEARCH("KEYBOARD PARA TABLET",B2085)),
ISNUMBER(SEARCH("FLIP TABLET",B2085)),
ISNUMBER(SEARCH("CASE FOR TABLET",B2085)),
ISNUMBER(SEARCH("CABLE",B2085)),
ISNUMBER(SEARCH("ADAPTADOR",B2085)),
ISNUMBER(SEARCH("HUB",B2085)),
ISNUMBER(SEARCH("DOCK",B2085)),
ISNUMBER(SEARCH("MOUSE PAD",B2085)),
ISNUMBER(SEARCH("MOUSEPAD",B2085)),
ISNUMBER(SEARCH("SOPORTE",B2085)),
ISNUMBER(SEARCH("STAND",B2085)),
ISNUMBER(SEARCH("TRAVEL ADAPTER",B2085)),
ISNUMBER(SEARCH("RJ45",B2085)),
ISNUMBER(SEARCH("USB-C",B2085)),
ISNUMBER(SEARCH("USB WIFI",B2085)),
ISNUMBER(SEARCH("POWERBANK",B2085)),
ISNUMBER(SEARCH("CARGADOR",B2085)),
ISNUMBER(SEARCH("COOLER PARA NB",B2085)),
ISNUMBER(SEARCH("SOPORTE PARA NB",B2085)),
ISNUMBER(SEARCH("WEBCAM",B2085)),
ISNUMBER(SEARCH("WEB CAM",B2085)),
ISNUMBER(SEARCH("MOUSE",B2085)),
ISNUMBER(SEARCH("TECLADO",B2085))
),
"COMPLEMENTO",
IF(
OR(
LEFT(A2085,2)="NB",
LEFT(A2085,2)="PC",
LEFT(A2085,2)="WS",
LEFT(A2085,2)="TB",
LEFT(A2085,3)="CEL",
LEFT(A2085,3)="MON",
LEFT(A2085,3)="PRE",
LEFT(A2085,3)="PRH",
ISNUMBER(SEARCH("NOTEBOOK",B2085)),
ISNUMBER(SEARCH("LAPTOP",B2085)),
ISNUMBER(SEARCH("MONITOR",B2085)),
ISNUMBER(SEARCH("TABLET",B2085)),
ISNUMBER(SEARCH("SMARTPH",B2085)),
ISNUMBER(SEARCH("IMPRESORA",B2085)),
ISNUMBER(SEARCH("MULTIFUNCIONAL",B2085)),
ISNUMBER(SEARCH("AIO",B2085))
),
"GANCHO",
"NORMAL"
)
)</f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>ROUND(
IF(L2082="GANCHO",
   IF(I2084&lt;=50,I2084*1.1+4,IF(I2084&lt;=120,I2084*1.1+7,IF(I2084&lt;=250,I2084*1.1+11,I2084*1.1+19))),
IF(L2082="NORMAL",
   IF(I2084&lt;=30,I2084*1.15+2,IF(I2084&lt;=80,I2084*1.15+4,IF(I2084&lt;=150,I2084*1.15+6,I2084*1.15+8))),
IF(L2082="COMPLEMENTO",
   IF(I2084&lt;=25,I2084*1.25+1.5,IF(I2084&lt;=60,I2084*1.25+3,IF(I2084&lt;=120,I2084*1.25+4,I2084*1.25+5))),
""))),2)</f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>IF(
OR(
ISNUMBER(SEARCH("BACKPACK",B2086)),
ISNUMBER(SEARCH("MOCHILA",B2086)),
ISNUMBER(SEARCH("FUNDA",B2086)),
ISNUMBER(SEARCH("ESTUCHE",B2086)),
ISNUMBER(SEARCH("BOOK COVER",B2086)),
ISNUMBER(SEARCH("KEYBOARD PARA TABLET",B2086)),
ISNUMBER(SEARCH("FLIP TABLET",B2086)),
ISNUMBER(SEARCH("CASE FOR TABLET",B2086)),
ISNUMBER(SEARCH("CABLE",B2086)),
ISNUMBER(SEARCH("ADAPTADOR",B2086)),
ISNUMBER(SEARCH("HUB",B2086)),
ISNUMBER(SEARCH("DOCK",B2086)),
ISNUMBER(SEARCH("MOUSE PAD",B2086)),
ISNUMBER(SEARCH("MOUSEPAD",B2086)),
ISNUMBER(SEARCH("SOPORTE",B2086)),
ISNUMBER(SEARCH("STAND",B2086)),
ISNUMBER(SEARCH("TRAVEL ADAPTER",B2086)),
ISNUMBER(SEARCH("RJ45",B2086)),
ISNUMBER(SEARCH("USB-C",B2086)),
ISNUMBER(SEARCH("USB WIFI",B2086)),
ISNUMBER(SEARCH("POWERBANK",B2086)),
ISNUMBER(SEARCH("CARGADOR",B2086)),
ISNUMBER(SEARCH("COOLER PARA NB",B2086)),
ISNUMBER(SEARCH("SOPORTE PARA NB",B2086)),
ISNUMBER(SEARCH("WEBCAM",B2086)),
ISNUMBER(SEARCH("WEB CAM",B2086)),
ISNUMBER(SEARCH("MOUSE",B2086)),
ISNUMBER(SEARCH("TECLADO",B2086))
),
"COMPLEMENTO",
IF(
OR(
LEFT(A2086,2)="NB",
LEFT(A2086,2)="PC",
LEFT(A2086,2)="WS",
LEFT(A2086,2)="TB",
LEFT(A2086,3)="CEL",
LEFT(A2086,3)="MON",
LEFT(A2086,3)="PRE",
LEFT(A2086,3)="PRH",
ISNUMBER(SEARCH("NOTEBOOK",B2086)),
ISNUMBER(SEARCH("LAPTOP",B2086)),
ISNUMBER(SEARCH("MONITOR",B2086)),
ISNUMBER(SEARCH("TABLET",B2086)),
ISNUMBER(SEARCH("SMARTPH",B2086)),
ISNUMBER(SEARCH("IMPRESORA",B2086)),
ISNUMBER(SEARCH("MULTIFUNCIONAL",B2086)),
ISNUMBER(SEARCH("AIO",B2086))
),
"GANCHO",
"NORMAL"
)
)</f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>ROUND(
IF(L2083="GANCHO",
   IF(I2085&lt;=50,I2085*1.1+4,IF(I2085&lt;=120,I2085*1.1+7,IF(I2085&lt;=250,I2085*1.1+11,I2085*1.1+19))),
IF(L2083="NORMAL",
   IF(I2085&lt;=30,I2085*1.15+2,IF(I2085&lt;=80,I2085*1.15+4,IF(I2085&lt;=150,I2085*1.15+6,I2085*1.15+8))),
IF(L2083="COMPLEMENTO",
   IF(I2085&lt;=25,I2085*1.25+1.5,IF(I2085&lt;=60,I2085*1.25+3,IF(I2085&lt;=120,I2085*1.25+4,I2085*1.25+5))),
""))),2)</f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>IF(
OR(
ISNUMBER(SEARCH("BACKPACK",B2087)),
ISNUMBER(SEARCH("MOCHILA",B2087)),
ISNUMBER(SEARCH("FUNDA",B2087)),
ISNUMBER(SEARCH("ESTUCHE",B2087)),
ISNUMBER(SEARCH("BOOK COVER",B2087)),
ISNUMBER(SEARCH("KEYBOARD PARA TABLET",B2087)),
ISNUMBER(SEARCH("FLIP TABLET",B2087)),
ISNUMBER(SEARCH("CASE FOR TABLET",B2087)),
ISNUMBER(SEARCH("CABLE",B2087)),
ISNUMBER(SEARCH("ADAPTADOR",B2087)),
ISNUMBER(SEARCH("HUB",B2087)),
ISNUMBER(SEARCH("DOCK",B2087)),
ISNUMBER(SEARCH("MOUSE PAD",B2087)),
ISNUMBER(SEARCH("MOUSEPAD",B2087)),
ISNUMBER(SEARCH("SOPORTE",B2087)),
ISNUMBER(SEARCH("STAND",B2087)),
ISNUMBER(SEARCH("TRAVEL ADAPTER",B2087)),
ISNUMBER(SEARCH("RJ45",B2087)),
ISNUMBER(SEARCH("USB-C",B2087)),
ISNUMBER(SEARCH("USB WIFI",B2087)),
ISNUMBER(SEARCH("POWERBANK",B2087)),
ISNUMBER(SEARCH("CARGADOR",B2087)),
ISNUMBER(SEARCH("COOLER PARA NB",B2087)),
ISNUMBER(SEARCH("SOPORTE PARA NB",B2087)),
ISNUMBER(SEARCH("WEBCAM",B2087)),
ISNUMBER(SEARCH("WEB CAM",B2087)),
ISNUMBER(SEARCH("MOUSE",B2087)),
ISNUMBER(SEARCH("TECLADO",B2087))
),
"COMPLEMENTO",
IF(
OR(
LEFT(A2087,2)="NB",
LEFT(A2087,2)="PC",
LEFT(A2087,2)="WS",
LEFT(A2087,2)="TB",
LEFT(A2087,3)="CEL",
LEFT(A2087,3)="MON",
LEFT(A2087,3)="PRE",
LEFT(A2087,3)="PRH",
ISNUMBER(SEARCH("NOTEBOOK",B2087)),
ISNUMBER(SEARCH("LAPTOP",B2087)),
ISNUMBER(SEARCH("MONITOR",B2087)),
ISNUMBER(SEARCH("TABLET",B2087)),
ISNUMBER(SEARCH("SMARTPH",B2087)),
ISNUMBER(SEARCH("IMPRESORA",B2087)),
ISNUMBER(SEARCH("MULTIFUNCIONAL",B2087)),
ISNUMBER(SEARCH("AIO",B2087))
),
"GANCHO",
"NORMAL"
)
)</f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>ROUND(
IF(L2084="GANCHO",
   IF(I2086&lt;=50,I2086*1.1+4,IF(I2086&lt;=120,I2086*1.1+7,IF(I2086&lt;=250,I2086*1.1+11,I2086*1.1+19))),
IF(L2084="NORMAL",
   IF(I2086&lt;=30,I2086*1.15+2,IF(I2086&lt;=80,I2086*1.15+4,IF(I2086&lt;=150,I2086*1.15+6,I2086*1.15+8))),
IF(L2084="COMPLEMENTO",
   IF(I2086&lt;=25,I2086*1.25+1.5,IF(I2086&lt;=60,I2086*1.25+3,IF(I2086&lt;=120,I2086*1.25+4,I2086*1.25+5))),
""))),2)</f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>IF(
OR(
ISNUMBER(SEARCH("BACKPACK",B2088)),
ISNUMBER(SEARCH("MOCHILA",B2088)),
ISNUMBER(SEARCH("FUNDA",B2088)),
ISNUMBER(SEARCH("ESTUCHE",B2088)),
ISNUMBER(SEARCH("BOOK COVER",B2088)),
ISNUMBER(SEARCH("KEYBOARD PARA TABLET",B2088)),
ISNUMBER(SEARCH("FLIP TABLET",B2088)),
ISNUMBER(SEARCH("CASE FOR TABLET",B2088)),
ISNUMBER(SEARCH("CABLE",B2088)),
ISNUMBER(SEARCH("ADAPTADOR",B2088)),
ISNUMBER(SEARCH("HUB",B2088)),
ISNUMBER(SEARCH("DOCK",B2088)),
ISNUMBER(SEARCH("MOUSE PAD",B2088)),
ISNUMBER(SEARCH("MOUSEPAD",B2088)),
ISNUMBER(SEARCH("SOPORTE",B2088)),
ISNUMBER(SEARCH("STAND",B2088)),
ISNUMBER(SEARCH("TRAVEL ADAPTER",B2088)),
ISNUMBER(SEARCH("RJ45",B2088)),
ISNUMBER(SEARCH("USB-C",B2088)),
ISNUMBER(SEARCH("USB WIFI",B2088)),
ISNUMBER(SEARCH("POWERBANK",B2088)),
ISNUMBER(SEARCH("CARGADOR",B2088)),
ISNUMBER(SEARCH("COOLER PARA NB",B2088)),
ISNUMBER(SEARCH("SOPORTE PARA NB",B2088)),
ISNUMBER(SEARCH("WEBCAM",B2088)),
ISNUMBER(SEARCH("WEB CAM",B2088)),
ISNUMBER(SEARCH("MOUSE",B2088)),
ISNUMBER(SEARCH("TECLADO",B2088))
),
"COMPLEMENTO",
IF(
OR(
LEFT(A2088,2)="NB",
LEFT(A2088,2)="PC",
LEFT(A2088,2)="WS",
LEFT(A2088,2)="TB",
LEFT(A2088,3)="CEL",
LEFT(A2088,3)="MON",
LEFT(A2088,3)="PRE",
LEFT(A2088,3)="PRH",
ISNUMBER(SEARCH("NOTEBOOK",B2088)),
ISNUMBER(SEARCH("LAPTOP",B2088)),
ISNUMBER(SEARCH("MONITOR",B2088)),
ISNUMBER(SEARCH("TABLET",B2088)),
ISNUMBER(SEARCH("SMARTPH",B2088)),
ISNUMBER(SEARCH("IMPRESORA",B2088)),
ISNUMBER(SEARCH("MULTIFUNCIONAL",B2088)),
ISNUMBER(SEARCH("AIO",B2088))
),
"GANCHO",
"NORMAL"
)
)</f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>ROUND(
IF(L2085="GANCHO",
   IF(I2087&lt;=50,I2087*1.1+4,IF(I2087&lt;=120,I2087*1.1+7,IF(I2087&lt;=250,I2087*1.1+11,I2087*1.1+19))),
IF(L2085="NORMAL",
   IF(I2087&lt;=30,I2087*1.15+2,IF(I2087&lt;=80,I2087*1.15+4,IF(I2087&lt;=150,I2087*1.15+6,I2087*1.15+8))),
IF(L2085="COMPLEMENTO",
   IF(I2087&lt;=25,I2087*1.25+1.5,IF(I2087&lt;=60,I2087*1.25+3,IF(I2087&lt;=120,I2087*1.25+4,I2087*1.25+5))),
""))),2)</f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>IF(
OR(
ISNUMBER(SEARCH("BACKPACK",B2089)),
ISNUMBER(SEARCH("MOCHILA",B2089)),
ISNUMBER(SEARCH("FUNDA",B2089)),
ISNUMBER(SEARCH("ESTUCHE",B2089)),
ISNUMBER(SEARCH("BOOK COVER",B2089)),
ISNUMBER(SEARCH("KEYBOARD PARA TABLET",B2089)),
ISNUMBER(SEARCH("FLIP TABLET",B2089)),
ISNUMBER(SEARCH("CASE FOR TABLET",B2089)),
ISNUMBER(SEARCH("CABLE",B2089)),
ISNUMBER(SEARCH("ADAPTADOR",B2089)),
ISNUMBER(SEARCH("HUB",B2089)),
ISNUMBER(SEARCH("DOCK",B2089)),
ISNUMBER(SEARCH("MOUSE PAD",B2089)),
ISNUMBER(SEARCH("MOUSEPAD",B2089)),
ISNUMBER(SEARCH("SOPORTE",B2089)),
ISNUMBER(SEARCH("STAND",B2089)),
ISNUMBER(SEARCH("TRAVEL ADAPTER",B2089)),
ISNUMBER(SEARCH("RJ45",B2089)),
ISNUMBER(SEARCH("USB-C",B2089)),
ISNUMBER(SEARCH("USB WIFI",B2089)),
ISNUMBER(SEARCH("POWERBANK",B2089)),
ISNUMBER(SEARCH("CARGADOR",B2089)),
ISNUMBER(SEARCH("COOLER PARA NB",B2089)),
ISNUMBER(SEARCH("SOPORTE PARA NB",B2089)),
ISNUMBER(SEARCH("WEBCAM",B2089)),
ISNUMBER(SEARCH("WEB CAM",B2089)),
ISNUMBER(SEARCH("MOUSE",B2089)),
ISNUMBER(SEARCH("TECLADO",B2089))
),
"COMPLEMENTO",
IF(
OR(
LEFT(A2089,2)="NB",
LEFT(A2089,2)="PC",
LEFT(A2089,2)="WS",
LEFT(A2089,2)="TB",
LEFT(A2089,3)="CEL",
LEFT(A2089,3)="MON",
LEFT(A2089,3)="PRE",
LEFT(A2089,3)="PRH",
ISNUMBER(SEARCH("NOTEBOOK",B2089)),
ISNUMBER(SEARCH("LAPTOP",B2089)),
ISNUMBER(SEARCH("MONITOR",B2089)),
ISNUMBER(SEARCH("TABLET",B2089)),
ISNUMBER(SEARCH("SMARTPH",B2089)),
ISNUMBER(SEARCH("IMPRESORA",B2089)),
ISNUMBER(SEARCH("MULTIFUNCIONAL",B2089)),
ISNUMBER(SEARCH("AIO",B2089))
),
"GANCHO",
"NORMAL"
)
)</f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>ROUND(
IF(L2086="GANCHO",
   IF(I2088&lt;=50,I2088*1.1+4,IF(I2088&lt;=120,I2088*1.1+7,IF(I2088&lt;=250,I2088*1.1+11,I2088*1.1+19))),
IF(L2086="NORMAL",
   IF(I2088&lt;=30,I2088*1.15+2,IF(I2088&lt;=80,I2088*1.15+4,IF(I2088&lt;=150,I2088*1.15+6,I2088*1.15+8))),
IF(L2086="COMPLEMENTO",
   IF(I2088&lt;=25,I2088*1.25+1.5,IF(I2088&lt;=60,I2088*1.25+3,IF(I2088&lt;=120,I2088*1.25+4,I2088*1.25+5))),
""))),2)</f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>IF(
OR(
ISNUMBER(SEARCH("BACKPACK",B2090)),
ISNUMBER(SEARCH("MOCHILA",B2090)),
ISNUMBER(SEARCH("FUNDA",B2090)),
ISNUMBER(SEARCH("ESTUCHE",B2090)),
ISNUMBER(SEARCH("BOOK COVER",B2090)),
ISNUMBER(SEARCH("KEYBOARD PARA TABLET",B2090)),
ISNUMBER(SEARCH("FLIP TABLET",B2090)),
ISNUMBER(SEARCH("CASE FOR TABLET",B2090)),
ISNUMBER(SEARCH("CABLE",B2090)),
ISNUMBER(SEARCH("ADAPTADOR",B2090)),
ISNUMBER(SEARCH("HUB",B2090)),
ISNUMBER(SEARCH("DOCK",B2090)),
ISNUMBER(SEARCH("MOUSE PAD",B2090)),
ISNUMBER(SEARCH("MOUSEPAD",B2090)),
ISNUMBER(SEARCH("SOPORTE",B2090)),
ISNUMBER(SEARCH("STAND",B2090)),
ISNUMBER(SEARCH("TRAVEL ADAPTER",B2090)),
ISNUMBER(SEARCH("RJ45",B2090)),
ISNUMBER(SEARCH("USB-C",B2090)),
ISNUMBER(SEARCH("USB WIFI",B2090)),
ISNUMBER(SEARCH("POWERBANK",B2090)),
ISNUMBER(SEARCH("CARGADOR",B2090)),
ISNUMBER(SEARCH("COOLER PARA NB",B2090)),
ISNUMBER(SEARCH("SOPORTE PARA NB",B2090)),
ISNUMBER(SEARCH("WEBCAM",B2090)),
ISNUMBER(SEARCH("WEB CAM",B2090)),
ISNUMBER(SEARCH("MOUSE",B2090)),
ISNUMBER(SEARCH("TECLADO",B2090))
),
"COMPLEMENTO",
IF(
OR(
LEFT(A2090,2)="NB",
LEFT(A2090,2)="PC",
LEFT(A2090,2)="WS",
LEFT(A2090,2)="TB",
LEFT(A2090,3)="CEL",
LEFT(A2090,3)="MON",
LEFT(A2090,3)="PRE",
LEFT(A2090,3)="PRH",
ISNUMBER(SEARCH("NOTEBOOK",B2090)),
ISNUMBER(SEARCH("LAPTOP",B2090)),
ISNUMBER(SEARCH("MONITOR",B2090)),
ISNUMBER(SEARCH("TABLET",B2090)),
ISNUMBER(SEARCH("SMARTPH",B2090)),
ISNUMBER(SEARCH("IMPRESORA",B2090)),
ISNUMBER(SEARCH("MULTIFUNCIONAL",B2090)),
ISNUMBER(SEARCH("AIO",B2090))
),
"GANCHO",
"NORMAL"
)
)</f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>ROUND(
IF(L2087="GANCHO",
   IF(I2089&lt;=50,I2089*1.1+4,IF(I2089&lt;=120,I2089*1.1+7,IF(I2089&lt;=250,I2089*1.1+11,I2089*1.1+19))),
IF(L2087="NORMAL",
   IF(I2089&lt;=30,I2089*1.15+2,IF(I2089&lt;=80,I2089*1.15+4,IF(I2089&lt;=150,I2089*1.15+6,I2089*1.15+8))),
IF(L2087="COMPLEMENTO",
   IF(I2089&lt;=25,I2089*1.25+1.5,IF(I2089&lt;=60,I2089*1.25+3,IF(I2089&lt;=120,I2089*1.25+4,I2089*1.25+5))),
""))),2)</f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>IF(
OR(
ISNUMBER(SEARCH("BACKPACK",B2091)),
ISNUMBER(SEARCH("MOCHILA",B2091)),
ISNUMBER(SEARCH("FUNDA",B2091)),
ISNUMBER(SEARCH("ESTUCHE",B2091)),
ISNUMBER(SEARCH("BOOK COVER",B2091)),
ISNUMBER(SEARCH("KEYBOARD PARA TABLET",B2091)),
ISNUMBER(SEARCH("FLIP TABLET",B2091)),
ISNUMBER(SEARCH("CASE FOR TABLET",B2091)),
ISNUMBER(SEARCH("CABLE",B2091)),
ISNUMBER(SEARCH("ADAPTADOR",B2091)),
ISNUMBER(SEARCH("HUB",B2091)),
ISNUMBER(SEARCH("DOCK",B2091)),
ISNUMBER(SEARCH("MOUSE PAD",B2091)),
ISNUMBER(SEARCH("MOUSEPAD",B2091)),
ISNUMBER(SEARCH("SOPORTE",B2091)),
ISNUMBER(SEARCH("STAND",B2091)),
ISNUMBER(SEARCH("TRAVEL ADAPTER",B2091)),
ISNUMBER(SEARCH("RJ45",B2091)),
ISNUMBER(SEARCH("USB-C",B2091)),
ISNUMBER(SEARCH("USB WIFI",B2091)),
ISNUMBER(SEARCH("POWERBANK",B2091)),
ISNUMBER(SEARCH("CARGADOR",B2091)),
ISNUMBER(SEARCH("COOLER PARA NB",B2091)),
ISNUMBER(SEARCH("SOPORTE PARA NB",B2091)),
ISNUMBER(SEARCH("WEBCAM",B2091)),
ISNUMBER(SEARCH("WEB CAM",B2091)),
ISNUMBER(SEARCH("MOUSE",B2091)),
ISNUMBER(SEARCH("TECLADO",B2091))
),
"COMPLEMENTO",
IF(
OR(
LEFT(A2091,2)="NB",
LEFT(A2091,2)="PC",
LEFT(A2091,2)="WS",
LEFT(A2091,2)="TB",
LEFT(A2091,3)="CEL",
LEFT(A2091,3)="MON",
LEFT(A2091,3)="PRE",
LEFT(A2091,3)="PRH",
ISNUMBER(SEARCH("NOTEBOOK",B2091)),
ISNUMBER(SEARCH("LAPTOP",B2091)),
ISNUMBER(SEARCH("MONITOR",B2091)),
ISNUMBER(SEARCH("TABLET",B2091)),
ISNUMBER(SEARCH("SMARTPH",B2091)),
ISNUMBER(SEARCH("IMPRESORA",B2091)),
ISNUMBER(SEARCH("MULTIFUNCIONAL",B2091)),
ISNUMBER(SEARCH("AIO",B2091))
),
"GANCHO",
"NORMAL"
)
)</f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>ROUND(
IF(L2088="GANCHO",
   IF(I2090&lt;=50,I2090*1.1+4,IF(I2090&lt;=120,I2090*1.1+7,IF(I2090&lt;=250,I2090*1.1+11,I2090*1.1+19))),
IF(L2088="NORMAL",
   IF(I2090&lt;=30,I2090*1.15+2,IF(I2090&lt;=80,I2090*1.15+4,IF(I2090&lt;=150,I2090*1.15+6,I2090*1.15+8))),
IF(L2088="COMPLEMENTO",
   IF(I2090&lt;=25,I2090*1.25+1.5,IF(I2090&lt;=60,I2090*1.25+3,IF(I2090&lt;=120,I2090*1.25+4,I2090*1.25+5))),
""))),2)</f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>IF(
OR(
ISNUMBER(SEARCH("BACKPACK",B2092)),
ISNUMBER(SEARCH("MOCHILA",B2092)),
ISNUMBER(SEARCH("FUNDA",B2092)),
ISNUMBER(SEARCH("ESTUCHE",B2092)),
ISNUMBER(SEARCH("BOOK COVER",B2092)),
ISNUMBER(SEARCH("KEYBOARD PARA TABLET",B2092)),
ISNUMBER(SEARCH("FLIP TABLET",B2092)),
ISNUMBER(SEARCH("CASE FOR TABLET",B2092)),
ISNUMBER(SEARCH("CABLE",B2092)),
ISNUMBER(SEARCH("ADAPTADOR",B2092)),
ISNUMBER(SEARCH("HUB",B2092)),
ISNUMBER(SEARCH("DOCK",B2092)),
ISNUMBER(SEARCH("MOUSE PAD",B2092)),
ISNUMBER(SEARCH("MOUSEPAD",B2092)),
ISNUMBER(SEARCH("SOPORTE",B2092)),
ISNUMBER(SEARCH("STAND",B2092)),
ISNUMBER(SEARCH("TRAVEL ADAPTER",B2092)),
ISNUMBER(SEARCH("RJ45",B2092)),
ISNUMBER(SEARCH("USB-C",B2092)),
ISNUMBER(SEARCH("USB WIFI",B2092)),
ISNUMBER(SEARCH("POWERBANK",B2092)),
ISNUMBER(SEARCH("CARGADOR",B2092)),
ISNUMBER(SEARCH("COOLER PARA NB",B2092)),
ISNUMBER(SEARCH("SOPORTE PARA NB",B2092)),
ISNUMBER(SEARCH("WEBCAM",B2092)),
ISNUMBER(SEARCH("WEB CAM",B2092)),
ISNUMBER(SEARCH("MOUSE",B2092)),
ISNUMBER(SEARCH("TECLADO",B2092))
),
"COMPLEMENTO",
IF(
OR(
LEFT(A2092,2)="NB",
LEFT(A2092,2)="PC",
LEFT(A2092,2)="WS",
LEFT(A2092,2)="TB",
LEFT(A2092,3)="CEL",
LEFT(A2092,3)="MON",
LEFT(A2092,3)="PRE",
LEFT(A2092,3)="PRH",
ISNUMBER(SEARCH("NOTEBOOK",B2092)),
ISNUMBER(SEARCH("LAPTOP",B2092)),
ISNUMBER(SEARCH("MONITOR",B2092)),
ISNUMBER(SEARCH("TABLET",B2092)),
ISNUMBER(SEARCH("SMARTPH",B2092)),
ISNUMBER(SEARCH("IMPRESORA",B2092)),
ISNUMBER(SEARCH("MULTIFUNCIONAL",B2092)),
ISNUMBER(SEARCH("AIO",B2092))
),
"GANCHO",
"NORMAL"
)
)</f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>ROUND(
IF(L2089="GANCHO",
   IF(I2091&lt;=50,I2091*1.1+4,IF(I2091&lt;=120,I2091*1.1+7,IF(I2091&lt;=250,I2091*1.1+11,I2091*1.1+19))),
IF(L2089="NORMAL",
   IF(I2091&lt;=30,I2091*1.15+2,IF(I2091&lt;=80,I2091*1.15+4,IF(I2091&lt;=150,I2091*1.15+6,I2091*1.15+8))),
IF(L2089="COMPLEMENTO",
   IF(I2091&lt;=25,I2091*1.25+1.5,IF(I2091&lt;=60,I2091*1.25+3,IF(I2091&lt;=120,I2091*1.25+4,I2091*1.25+5))),
""))),2)</f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>IF(
OR(
ISNUMBER(SEARCH("BACKPACK",B2093)),
ISNUMBER(SEARCH("MOCHILA",B2093)),
ISNUMBER(SEARCH("FUNDA",B2093)),
ISNUMBER(SEARCH("ESTUCHE",B2093)),
ISNUMBER(SEARCH("BOOK COVER",B2093)),
ISNUMBER(SEARCH("KEYBOARD PARA TABLET",B2093)),
ISNUMBER(SEARCH("FLIP TABLET",B2093)),
ISNUMBER(SEARCH("CASE FOR TABLET",B2093)),
ISNUMBER(SEARCH("CABLE",B2093)),
ISNUMBER(SEARCH("ADAPTADOR",B2093)),
ISNUMBER(SEARCH("HUB",B2093)),
ISNUMBER(SEARCH("DOCK",B2093)),
ISNUMBER(SEARCH("MOUSE PAD",B2093)),
ISNUMBER(SEARCH("MOUSEPAD",B2093)),
ISNUMBER(SEARCH("SOPORTE",B2093)),
ISNUMBER(SEARCH("STAND",B2093)),
ISNUMBER(SEARCH("TRAVEL ADAPTER",B2093)),
ISNUMBER(SEARCH("RJ45",B2093)),
ISNUMBER(SEARCH("USB-C",B2093)),
ISNUMBER(SEARCH("USB WIFI",B2093)),
ISNUMBER(SEARCH("POWERBANK",B2093)),
ISNUMBER(SEARCH("CARGADOR",B2093)),
ISNUMBER(SEARCH("COOLER PARA NB",B2093)),
ISNUMBER(SEARCH("SOPORTE PARA NB",B2093)),
ISNUMBER(SEARCH("WEBCAM",B2093)),
ISNUMBER(SEARCH("WEB CAM",B2093)),
ISNUMBER(SEARCH("MOUSE",B2093)),
ISNUMBER(SEARCH("TECLADO",B2093))
),
"COMPLEMENTO",
IF(
OR(
LEFT(A2093,2)="NB",
LEFT(A2093,2)="PC",
LEFT(A2093,2)="WS",
LEFT(A2093,2)="TB",
LEFT(A2093,3)="CEL",
LEFT(A2093,3)="MON",
LEFT(A2093,3)="PRE",
LEFT(A2093,3)="PRH",
ISNUMBER(SEARCH("NOTEBOOK",B2093)),
ISNUMBER(SEARCH("LAPTOP",B2093)),
ISNUMBER(SEARCH("MONITOR",B2093)),
ISNUMBER(SEARCH("TABLET",B2093)),
ISNUMBER(SEARCH("SMARTPH",B2093)),
ISNUMBER(SEARCH("IMPRESORA",B2093)),
ISNUMBER(SEARCH("MULTIFUNCIONAL",B2093)),
ISNUMBER(SEARCH("AIO",B2093))
),
"GANCHO",
"NORMAL"
)
)</f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>ROUND(
IF(L2090="GANCHO",
   IF(I2092&lt;=50,I2092*1.1+4,IF(I2092&lt;=120,I2092*1.1+7,IF(I2092&lt;=250,I2092*1.1+11,I2092*1.1+19))),
IF(L2090="NORMAL",
   IF(I2092&lt;=30,I2092*1.15+2,IF(I2092&lt;=80,I2092*1.15+4,IF(I2092&lt;=150,I2092*1.15+6,I2092*1.15+8))),
IF(L2090="COMPLEMENTO",
   IF(I2092&lt;=25,I2092*1.25+1.5,IF(I2092&lt;=60,I2092*1.25+3,IF(I2092&lt;=120,I2092*1.25+4,I2092*1.25+5))),
""))),2)</f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>IF(
OR(
ISNUMBER(SEARCH("BACKPACK",B2094)),
ISNUMBER(SEARCH("MOCHILA",B2094)),
ISNUMBER(SEARCH("FUNDA",B2094)),
ISNUMBER(SEARCH("ESTUCHE",B2094)),
ISNUMBER(SEARCH("BOOK COVER",B2094)),
ISNUMBER(SEARCH("KEYBOARD PARA TABLET",B2094)),
ISNUMBER(SEARCH("FLIP TABLET",B2094)),
ISNUMBER(SEARCH("CASE FOR TABLET",B2094)),
ISNUMBER(SEARCH("CABLE",B2094)),
ISNUMBER(SEARCH("ADAPTADOR",B2094)),
ISNUMBER(SEARCH("HUB",B2094)),
ISNUMBER(SEARCH("DOCK",B2094)),
ISNUMBER(SEARCH("MOUSE PAD",B2094)),
ISNUMBER(SEARCH("MOUSEPAD",B2094)),
ISNUMBER(SEARCH("SOPORTE",B2094)),
ISNUMBER(SEARCH("STAND",B2094)),
ISNUMBER(SEARCH("TRAVEL ADAPTER",B2094)),
ISNUMBER(SEARCH("RJ45",B2094)),
ISNUMBER(SEARCH("USB-C",B2094)),
ISNUMBER(SEARCH("USB WIFI",B2094)),
ISNUMBER(SEARCH("POWERBANK",B2094)),
ISNUMBER(SEARCH("CARGADOR",B2094)),
ISNUMBER(SEARCH("COOLER PARA NB",B2094)),
ISNUMBER(SEARCH("SOPORTE PARA NB",B2094)),
ISNUMBER(SEARCH("WEBCAM",B2094)),
ISNUMBER(SEARCH("WEB CAM",B2094)),
ISNUMBER(SEARCH("MOUSE",B2094)),
ISNUMBER(SEARCH("TECLADO",B2094))
),
"COMPLEMENTO",
IF(
OR(
LEFT(A2094,2)="NB",
LEFT(A2094,2)="PC",
LEFT(A2094,2)="WS",
LEFT(A2094,2)="TB",
LEFT(A2094,3)="CEL",
LEFT(A2094,3)="MON",
LEFT(A2094,3)="PRE",
LEFT(A2094,3)="PRH",
ISNUMBER(SEARCH("NOTEBOOK",B2094)),
ISNUMBER(SEARCH("LAPTOP",B2094)),
ISNUMBER(SEARCH("MONITOR",B2094)),
ISNUMBER(SEARCH("TABLET",B2094)),
ISNUMBER(SEARCH("SMARTPH",B2094)),
ISNUMBER(SEARCH("IMPRESORA",B2094)),
ISNUMBER(SEARCH("MULTIFUNCIONAL",B2094)),
ISNUMBER(SEARCH("AIO",B2094))
),
"GANCHO",
"NORMAL"
)
)</f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>ROUND(
IF(L2091="GANCHO",
   IF(I2093&lt;=50,I2093*1.1+4,IF(I2093&lt;=120,I2093*1.1+7,IF(I2093&lt;=250,I2093*1.1+11,I2093*1.1+19))),
IF(L2091="NORMAL",
   IF(I2093&lt;=30,I2093*1.15+2,IF(I2093&lt;=80,I2093*1.15+4,IF(I2093&lt;=150,I2093*1.15+6,I2093*1.15+8))),
IF(L2091="COMPLEMENTO",
   IF(I2093&lt;=25,I2093*1.25+1.5,IF(I2093&lt;=60,I2093*1.25+3,IF(I2093&lt;=120,I2093*1.25+4,I2093*1.25+5))),
""))),2)</f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>IF(
OR(
ISNUMBER(SEARCH("BACKPACK",B2095)),
ISNUMBER(SEARCH("MOCHILA",B2095)),
ISNUMBER(SEARCH("FUNDA",B2095)),
ISNUMBER(SEARCH("ESTUCHE",B2095)),
ISNUMBER(SEARCH("BOOK COVER",B2095)),
ISNUMBER(SEARCH("KEYBOARD PARA TABLET",B2095)),
ISNUMBER(SEARCH("FLIP TABLET",B2095)),
ISNUMBER(SEARCH("CASE FOR TABLET",B2095)),
ISNUMBER(SEARCH("CABLE",B2095)),
ISNUMBER(SEARCH("ADAPTADOR",B2095)),
ISNUMBER(SEARCH("HUB",B2095)),
ISNUMBER(SEARCH("DOCK",B2095)),
ISNUMBER(SEARCH("MOUSE PAD",B2095)),
ISNUMBER(SEARCH("MOUSEPAD",B2095)),
ISNUMBER(SEARCH("SOPORTE",B2095)),
ISNUMBER(SEARCH("STAND",B2095)),
ISNUMBER(SEARCH("TRAVEL ADAPTER",B2095)),
ISNUMBER(SEARCH("RJ45",B2095)),
ISNUMBER(SEARCH("USB-C",B2095)),
ISNUMBER(SEARCH("USB WIFI",B2095)),
ISNUMBER(SEARCH("POWERBANK",B2095)),
ISNUMBER(SEARCH("CARGADOR",B2095)),
ISNUMBER(SEARCH("COOLER PARA NB",B2095)),
ISNUMBER(SEARCH("SOPORTE PARA NB",B2095)),
ISNUMBER(SEARCH("WEBCAM",B2095)),
ISNUMBER(SEARCH("WEB CAM",B2095)),
ISNUMBER(SEARCH("MOUSE",B2095)),
ISNUMBER(SEARCH("TECLADO",B2095))
),
"COMPLEMENTO",
IF(
OR(
LEFT(A2095,2)="NB",
LEFT(A2095,2)="PC",
LEFT(A2095,2)="WS",
LEFT(A2095,2)="TB",
LEFT(A2095,3)="CEL",
LEFT(A2095,3)="MON",
LEFT(A2095,3)="PRE",
LEFT(A2095,3)="PRH",
ISNUMBER(SEARCH("NOTEBOOK",B2095)),
ISNUMBER(SEARCH("LAPTOP",B2095)),
ISNUMBER(SEARCH("MONITOR",B2095)),
ISNUMBER(SEARCH("TABLET",B2095)),
ISNUMBER(SEARCH("SMARTPH",B2095)),
ISNUMBER(SEARCH("IMPRESORA",B2095)),
ISNUMBER(SEARCH("MULTIFUNCIONAL",B2095)),
ISNUMBER(SEARCH("AIO",B2095))
),
"GANCHO",
"NORMAL"
)
)</f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>ROUND(
IF(L2092="GANCHO",
   IF(I2094&lt;=50,I2094*1.1+4,IF(I2094&lt;=120,I2094*1.1+7,IF(I2094&lt;=250,I2094*1.1+11,I2094*1.1+19))),
IF(L2092="NORMAL",
   IF(I2094&lt;=30,I2094*1.15+2,IF(I2094&lt;=80,I2094*1.15+4,IF(I2094&lt;=150,I2094*1.15+6,I2094*1.15+8))),
IF(L2092="COMPLEMENTO",
   IF(I2094&lt;=25,I2094*1.25+1.5,IF(I2094&lt;=60,I2094*1.25+3,IF(I2094&lt;=120,I2094*1.25+4,I2094*1.25+5))),
""))),2)</f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>IF(
OR(
ISNUMBER(SEARCH("BACKPACK",B2096)),
ISNUMBER(SEARCH("MOCHILA",B2096)),
ISNUMBER(SEARCH("FUNDA",B2096)),
ISNUMBER(SEARCH("ESTUCHE",B2096)),
ISNUMBER(SEARCH("BOOK COVER",B2096)),
ISNUMBER(SEARCH("KEYBOARD PARA TABLET",B2096)),
ISNUMBER(SEARCH("FLIP TABLET",B2096)),
ISNUMBER(SEARCH("CASE FOR TABLET",B2096)),
ISNUMBER(SEARCH("CABLE",B2096)),
ISNUMBER(SEARCH("ADAPTADOR",B2096)),
ISNUMBER(SEARCH("HUB",B2096)),
ISNUMBER(SEARCH("DOCK",B2096)),
ISNUMBER(SEARCH("MOUSE PAD",B2096)),
ISNUMBER(SEARCH("MOUSEPAD",B2096)),
ISNUMBER(SEARCH("SOPORTE",B2096)),
ISNUMBER(SEARCH("STAND",B2096)),
ISNUMBER(SEARCH("TRAVEL ADAPTER",B2096)),
ISNUMBER(SEARCH("RJ45",B2096)),
ISNUMBER(SEARCH("USB-C",B2096)),
ISNUMBER(SEARCH("USB WIFI",B2096)),
ISNUMBER(SEARCH("POWERBANK",B2096)),
ISNUMBER(SEARCH("CARGADOR",B2096)),
ISNUMBER(SEARCH("COOLER PARA NB",B2096)),
ISNUMBER(SEARCH("SOPORTE PARA NB",B2096)),
ISNUMBER(SEARCH("WEBCAM",B2096)),
ISNUMBER(SEARCH("WEB CAM",B2096)),
ISNUMBER(SEARCH("MOUSE",B2096)),
ISNUMBER(SEARCH("TECLADO",B2096))
),
"COMPLEMENTO",
IF(
OR(
LEFT(A2096,2)="NB",
LEFT(A2096,2)="PC",
LEFT(A2096,2)="WS",
LEFT(A2096,2)="TB",
LEFT(A2096,3)="CEL",
LEFT(A2096,3)="MON",
LEFT(A2096,3)="PRE",
LEFT(A2096,3)="PRH",
ISNUMBER(SEARCH("NOTEBOOK",B2096)),
ISNUMBER(SEARCH("LAPTOP",B2096)),
ISNUMBER(SEARCH("MONITOR",B2096)),
ISNUMBER(SEARCH("TABLET",B2096)),
ISNUMBER(SEARCH("SMARTPH",B2096)),
ISNUMBER(SEARCH("IMPRESORA",B2096)),
ISNUMBER(SEARCH("MULTIFUNCIONAL",B2096)),
ISNUMBER(SEARCH("AIO",B2096))
),
"GANCHO",
"NORMAL"
)
)</f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>ROUND(
IF(L2093="GANCHO",
   IF(I2095&lt;=50,I2095*1.1+4,IF(I2095&lt;=120,I2095*1.1+7,IF(I2095&lt;=250,I2095*1.1+11,I2095*1.1+19))),
IF(L2093="NORMAL",
   IF(I2095&lt;=30,I2095*1.15+2,IF(I2095&lt;=80,I2095*1.15+4,IF(I2095&lt;=150,I2095*1.15+6,I2095*1.15+8))),
IF(L2093="COMPLEMENTO",
   IF(I2095&lt;=25,I2095*1.25+1.5,IF(I2095&lt;=60,I2095*1.25+3,IF(I2095&lt;=120,I2095*1.25+4,I2095*1.25+5))),
""))),2)</f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>IF(
OR(
ISNUMBER(SEARCH("BACKPACK",B2097)),
ISNUMBER(SEARCH("MOCHILA",B2097)),
ISNUMBER(SEARCH("FUNDA",B2097)),
ISNUMBER(SEARCH("ESTUCHE",B2097)),
ISNUMBER(SEARCH("BOOK COVER",B2097)),
ISNUMBER(SEARCH("KEYBOARD PARA TABLET",B2097)),
ISNUMBER(SEARCH("FLIP TABLET",B2097)),
ISNUMBER(SEARCH("CASE FOR TABLET",B2097)),
ISNUMBER(SEARCH("CABLE",B2097)),
ISNUMBER(SEARCH("ADAPTADOR",B2097)),
ISNUMBER(SEARCH("HUB",B2097)),
ISNUMBER(SEARCH("DOCK",B2097)),
ISNUMBER(SEARCH("MOUSE PAD",B2097)),
ISNUMBER(SEARCH("MOUSEPAD",B2097)),
ISNUMBER(SEARCH("SOPORTE",B2097)),
ISNUMBER(SEARCH("STAND",B2097)),
ISNUMBER(SEARCH("TRAVEL ADAPTER",B2097)),
ISNUMBER(SEARCH("RJ45",B2097)),
ISNUMBER(SEARCH("USB-C",B2097)),
ISNUMBER(SEARCH("USB WIFI",B2097)),
ISNUMBER(SEARCH("POWERBANK",B2097)),
ISNUMBER(SEARCH("CARGADOR",B2097)),
ISNUMBER(SEARCH("COOLER PARA NB",B2097)),
ISNUMBER(SEARCH("SOPORTE PARA NB",B2097)),
ISNUMBER(SEARCH("WEBCAM",B2097)),
ISNUMBER(SEARCH("WEB CAM",B2097)),
ISNUMBER(SEARCH("MOUSE",B2097)),
ISNUMBER(SEARCH("TECLADO",B2097))
),
"COMPLEMENTO",
IF(
OR(
LEFT(A2097,2)="NB",
LEFT(A2097,2)="PC",
LEFT(A2097,2)="WS",
LEFT(A2097,2)="TB",
LEFT(A2097,3)="CEL",
LEFT(A2097,3)="MON",
LEFT(A2097,3)="PRE",
LEFT(A2097,3)="PRH",
ISNUMBER(SEARCH("NOTEBOOK",B2097)),
ISNUMBER(SEARCH("LAPTOP",B2097)),
ISNUMBER(SEARCH("MONITOR",B2097)),
ISNUMBER(SEARCH("TABLET",B2097)),
ISNUMBER(SEARCH("SMARTPH",B2097)),
ISNUMBER(SEARCH("IMPRESORA",B2097)),
ISNUMBER(SEARCH("MULTIFUNCIONAL",B2097)),
ISNUMBER(SEARCH("AIO",B2097))
),
"GANCHO",
"NORMAL"
)
)</f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>ROUND(
IF(L2094="GANCHO",
   IF(I2096&lt;=50,I2096*1.1+4,IF(I2096&lt;=120,I2096*1.1+7,IF(I2096&lt;=250,I2096*1.1+11,I2096*1.1+19))),
IF(L2094="NORMAL",
   IF(I2096&lt;=30,I2096*1.15+2,IF(I2096&lt;=80,I2096*1.15+4,IF(I2096&lt;=150,I2096*1.15+6,I2096*1.15+8))),
IF(L2094="COMPLEMENTO",
   IF(I2096&lt;=25,I2096*1.25+1.5,IF(I2096&lt;=60,I2096*1.25+3,IF(I2096&lt;=120,I2096*1.25+4,I2096*1.25+5))),
""))),2)</f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>IF(
OR(
ISNUMBER(SEARCH("BACKPACK",B2098)),
ISNUMBER(SEARCH("MOCHILA",B2098)),
ISNUMBER(SEARCH("FUNDA",B2098)),
ISNUMBER(SEARCH("ESTUCHE",B2098)),
ISNUMBER(SEARCH("BOOK COVER",B2098)),
ISNUMBER(SEARCH("KEYBOARD PARA TABLET",B2098)),
ISNUMBER(SEARCH("FLIP TABLET",B2098)),
ISNUMBER(SEARCH("CASE FOR TABLET",B2098)),
ISNUMBER(SEARCH("CABLE",B2098)),
ISNUMBER(SEARCH("ADAPTADOR",B2098)),
ISNUMBER(SEARCH("HUB",B2098)),
ISNUMBER(SEARCH("DOCK",B2098)),
ISNUMBER(SEARCH("MOUSE PAD",B2098)),
ISNUMBER(SEARCH("MOUSEPAD",B2098)),
ISNUMBER(SEARCH("SOPORTE",B2098)),
ISNUMBER(SEARCH("STAND",B2098)),
ISNUMBER(SEARCH("TRAVEL ADAPTER",B2098)),
ISNUMBER(SEARCH("RJ45",B2098)),
ISNUMBER(SEARCH("USB-C",B2098)),
ISNUMBER(SEARCH("USB WIFI",B2098)),
ISNUMBER(SEARCH("POWERBANK",B2098)),
ISNUMBER(SEARCH("CARGADOR",B2098)),
ISNUMBER(SEARCH("COOLER PARA NB",B2098)),
ISNUMBER(SEARCH("SOPORTE PARA NB",B2098)),
ISNUMBER(SEARCH("WEBCAM",B2098)),
ISNUMBER(SEARCH("WEB CAM",B2098)),
ISNUMBER(SEARCH("MOUSE",B2098)),
ISNUMBER(SEARCH("TECLADO",B2098))
),
"COMPLEMENTO",
IF(
OR(
LEFT(A2098,2)="NB",
LEFT(A2098,2)="PC",
LEFT(A2098,2)="WS",
LEFT(A2098,2)="TB",
LEFT(A2098,3)="CEL",
LEFT(A2098,3)="MON",
LEFT(A2098,3)="PRE",
LEFT(A2098,3)="PRH",
ISNUMBER(SEARCH("NOTEBOOK",B2098)),
ISNUMBER(SEARCH("LAPTOP",B2098)),
ISNUMBER(SEARCH("MONITOR",B2098)),
ISNUMBER(SEARCH("TABLET",B2098)),
ISNUMBER(SEARCH("SMARTPH",B2098)),
ISNUMBER(SEARCH("IMPRESORA",B2098)),
ISNUMBER(SEARCH("MULTIFUNCIONAL",B2098)),
ISNUMBER(SEARCH("AIO",B2098))
),
"GANCHO",
"NORMAL"
)
)</f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>ROUND(
IF(L2095="GANCHO",
   IF(I2097&lt;=50,I2097*1.1+4,IF(I2097&lt;=120,I2097*1.1+7,IF(I2097&lt;=250,I2097*1.1+11,I2097*1.1+19))),
IF(L2095="NORMAL",
   IF(I2097&lt;=30,I2097*1.15+2,IF(I2097&lt;=80,I2097*1.15+4,IF(I2097&lt;=150,I2097*1.15+6,I2097*1.15+8))),
IF(L2095="COMPLEMENTO",
   IF(I2097&lt;=25,I2097*1.25+1.5,IF(I2097&lt;=60,I2097*1.25+3,IF(I2097&lt;=120,I2097*1.25+4,I2097*1.25+5))),
""))),2)</f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>IF(
OR(
ISNUMBER(SEARCH("BACKPACK",B2099)),
ISNUMBER(SEARCH("MOCHILA",B2099)),
ISNUMBER(SEARCH("FUNDA",B2099)),
ISNUMBER(SEARCH("ESTUCHE",B2099)),
ISNUMBER(SEARCH("BOOK COVER",B2099)),
ISNUMBER(SEARCH("KEYBOARD PARA TABLET",B2099)),
ISNUMBER(SEARCH("FLIP TABLET",B2099)),
ISNUMBER(SEARCH("CASE FOR TABLET",B2099)),
ISNUMBER(SEARCH("CABLE",B2099)),
ISNUMBER(SEARCH("ADAPTADOR",B2099)),
ISNUMBER(SEARCH("HUB",B2099)),
ISNUMBER(SEARCH("DOCK",B2099)),
ISNUMBER(SEARCH("MOUSE PAD",B2099)),
ISNUMBER(SEARCH("MOUSEPAD",B2099)),
ISNUMBER(SEARCH("SOPORTE",B2099)),
ISNUMBER(SEARCH("STAND",B2099)),
ISNUMBER(SEARCH("TRAVEL ADAPTER",B2099)),
ISNUMBER(SEARCH("RJ45",B2099)),
ISNUMBER(SEARCH("USB-C",B2099)),
ISNUMBER(SEARCH("USB WIFI",B2099)),
ISNUMBER(SEARCH("POWERBANK",B2099)),
ISNUMBER(SEARCH("CARGADOR",B2099)),
ISNUMBER(SEARCH("COOLER PARA NB",B2099)),
ISNUMBER(SEARCH("SOPORTE PARA NB",B2099)),
ISNUMBER(SEARCH("WEBCAM",B2099)),
ISNUMBER(SEARCH("WEB CAM",B2099)),
ISNUMBER(SEARCH("MOUSE",B2099)),
ISNUMBER(SEARCH("TECLADO",B2099))
),
"COMPLEMENTO",
IF(
OR(
LEFT(A2099,2)="NB",
LEFT(A2099,2)="PC",
LEFT(A2099,2)="WS",
LEFT(A2099,2)="TB",
LEFT(A2099,3)="CEL",
LEFT(A2099,3)="MON",
LEFT(A2099,3)="PRE",
LEFT(A2099,3)="PRH",
ISNUMBER(SEARCH("NOTEBOOK",B2099)),
ISNUMBER(SEARCH("LAPTOP",B2099)),
ISNUMBER(SEARCH("MONITOR",B2099)),
ISNUMBER(SEARCH("TABLET",B2099)),
ISNUMBER(SEARCH("SMARTPH",B2099)),
ISNUMBER(SEARCH("IMPRESORA",B2099)),
ISNUMBER(SEARCH("MULTIFUNCIONAL",B2099)),
ISNUMBER(SEARCH("AIO",B2099))
),
"GANCHO",
"NORMAL"
)
)</f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>ROUND(
IF(L2096="GANCHO",
   IF(I2098&lt;=50,I2098*1.1+4,IF(I2098&lt;=120,I2098*1.1+7,IF(I2098&lt;=250,I2098*1.1+11,I2098*1.1+19))),
IF(L2096="NORMAL",
   IF(I2098&lt;=30,I2098*1.15+2,IF(I2098&lt;=80,I2098*1.15+4,IF(I2098&lt;=150,I2098*1.15+6,I2098*1.15+8))),
IF(L2096="COMPLEMENTO",
   IF(I2098&lt;=25,I2098*1.25+1.5,IF(I2098&lt;=60,I2098*1.25+3,IF(I2098&lt;=120,I2098*1.25+4,I2098*1.25+5))),
""))),2)</f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>IF(
OR(
ISNUMBER(SEARCH("BACKPACK",B2100)),
ISNUMBER(SEARCH("MOCHILA",B2100)),
ISNUMBER(SEARCH("FUNDA",B2100)),
ISNUMBER(SEARCH("ESTUCHE",B2100)),
ISNUMBER(SEARCH("BOOK COVER",B2100)),
ISNUMBER(SEARCH("KEYBOARD PARA TABLET",B2100)),
ISNUMBER(SEARCH("FLIP TABLET",B2100)),
ISNUMBER(SEARCH("CASE FOR TABLET",B2100)),
ISNUMBER(SEARCH("CABLE",B2100)),
ISNUMBER(SEARCH("ADAPTADOR",B2100)),
ISNUMBER(SEARCH("HUB",B2100)),
ISNUMBER(SEARCH("DOCK",B2100)),
ISNUMBER(SEARCH("MOUSE PAD",B2100)),
ISNUMBER(SEARCH("MOUSEPAD",B2100)),
ISNUMBER(SEARCH("SOPORTE",B2100)),
ISNUMBER(SEARCH("STAND",B2100)),
ISNUMBER(SEARCH("TRAVEL ADAPTER",B2100)),
ISNUMBER(SEARCH("RJ45",B2100)),
ISNUMBER(SEARCH("USB-C",B2100)),
ISNUMBER(SEARCH("USB WIFI",B2100)),
ISNUMBER(SEARCH("POWERBANK",B2100)),
ISNUMBER(SEARCH("CARGADOR",B2100)),
ISNUMBER(SEARCH("COOLER PARA NB",B2100)),
ISNUMBER(SEARCH("SOPORTE PARA NB",B2100)),
ISNUMBER(SEARCH("WEBCAM",B2100)),
ISNUMBER(SEARCH("WEB CAM",B2100)),
ISNUMBER(SEARCH("MOUSE",B2100)),
ISNUMBER(SEARCH("TECLADO",B2100))
),
"COMPLEMENTO",
IF(
OR(
LEFT(A2100,2)="NB",
LEFT(A2100,2)="PC",
LEFT(A2100,2)="WS",
LEFT(A2100,2)="TB",
LEFT(A2100,3)="CEL",
LEFT(A2100,3)="MON",
LEFT(A2100,3)="PRE",
LEFT(A2100,3)="PRH",
ISNUMBER(SEARCH("NOTEBOOK",B2100)),
ISNUMBER(SEARCH("LAPTOP",B2100)),
ISNUMBER(SEARCH("MONITOR",B2100)),
ISNUMBER(SEARCH("TABLET",B2100)),
ISNUMBER(SEARCH("SMARTPH",B2100)),
ISNUMBER(SEARCH("IMPRESORA",B2100)),
ISNUMBER(SEARCH("MULTIFUNCIONAL",B2100)),
ISNUMBER(SEARCH("AIO",B2100))
),
"GANCHO",
"NORMAL"
)
)</f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>ROUND(
IF(L2097="GANCHO",
   IF(I2099&lt;=50,I2099*1.1+4,IF(I2099&lt;=120,I2099*1.1+7,IF(I2099&lt;=250,I2099*1.1+11,I2099*1.1+19))),
IF(L2097="NORMAL",
   IF(I2099&lt;=30,I2099*1.15+2,IF(I2099&lt;=80,I2099*1.15+4,IF(I2099&lt;=150,I2099*1.15+6,I2099*1.15+8))),
IF(L2097="COMPLEMENTO",
   IF(I2099&lt;=25,I2099*1.25+1.5,IF(I2099&lt;=60,I2099*1.25+3,IF(I2099&lt;=120,I2099*1.25+4,I2099*1.25+5))),
""))),2)</f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>IF(
OR(
ISNUMBER(SEARCH("BACKPACK",B2101)),
ISNUMBER(SEARCH("MOCHILA",B2101)),
ISNUMBER(SEARCH("FUNDA",B2101)),
ISNUMBER(SEARCH("ESTUCHE",B2101)),
ISNUMBER(SEARCH("BOOK COVER",B2101)),
ISNUMBER(SEARCH("KEYBOARD PARA TABLET",B2101)),
ISNUMBER(SEARCH("FLIP TABLET",B2101)),
ISNUMBER(SEARCH("CASE FOR TABLET",B2101)),
ISNUMBER(SEARCH("CABLE",B2101)),
ISNUMBER(SEARCH("ADAPTADOR",B2101)),
ISNUMBER(SEARCH("HUB",B2101)),
ISNUMBER(SEARCH("DOCK",B2101)),
ISNUMBER(SEARCH("MOUSE PAD",B2101)),
ISNUMBER(SEARCH("MOUSEPAD",B2101)),
ISNUMBER(SEARCH("SOPORTE",B2101)),
ISNUMBER(SEARCH("STAND",B2101)),
ISNUMBER(SEARCH("TRAVEL ADAPTER",B2101)),
ISNUMBER(SEARCH("RJ45",B2101)),
ISNUMBER(SEARCH("USB-C",B2101)),
ISNUMBER(SEARCH("USB WIFI",B2101)),
ISNUMBER(SEARCH("POWERBANK",B2101)),
ISNUMBER(SEARCH("CARGADOR",B2101)),
ISNUMBER(SEARCH("COOLER PARA NB",B2101)),
ISNUMBER(SEARCH("SOPORTE PARA NB",B2101)),
ISNUMBER(SEARCH("WEBCAM",B2101)),
ISNUMBER(SEARCH("WEB CAM",B2101)),
ISNUMBER(SEARCH("MOUSE",B2101)),
ISNUMBER(SEARCH("TECLADO",B2101))
),
"COMPLEMENTO",
IF(
OR(
LEFT(A2101,2)="NB",
LEFT(A2101,2)="PC",
LEFT(A2101,2)="WS",
LEFT(A2101,2)="TB",
LEFT(A2101,3)="CEL",
LEFT(A2101,3)="MON",
LEFT(A2101,3)="PRE",
LEFT(A2101,3)="PRH",
ISNUMBER(SEARCH("NOTEBOOK",B2101)),
ISNUMBER(SEARCH("LAPTOP",B2101)),
ISNUMBER(SEARCH("MONITOR",B2101)),
ISNUMBER(SEARCH("TABLET",B2101)),
ISNUMBER(SEARCH("SMARTPH",B2101)),
ISNUMBER(SEARCH("IMPRESORA",B2101)),
ISNUMBER(SEARCH("MULTIFUNCIONAL",B2101)),
ISNUMBER(SEARCH("AIO",B2101))
),
"GANCHO",
"NORMAL"
)
)</f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>ROUND(
IF(L2098="GANCHO",
   IF(I2100&lt;=50,I2100*1.1+4,IF(I2100&lt;=120,I2100*1.1+7,IF(I2100&lt;=250,I2100*1.1+11,I2100*1.1+19))),
IF(L2098="NORMAL",
   IF(I2100&lt;=30,I2100*1.15+2,IF(I2100&lt;=80,I2100*1.15+4,IF(I2100&lt;=150,I2100*1.15+6,I2100*1.15+8))),
IF(L2098="COMPLEMENTO",
   IF(I2100&lt;=25,I2100*1.25+1.5,IF(I2100&lt;=60,I2100*1.25+3,IF(I2100&lt;=120,I2100*1.25+4,I2100*1.25+5))),
""))),2)</f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>IF(
OR(
ISNUMBER(SEARCH("BACKPACK",B2102)),
ISNUMBER(SEARCH("MOCHILA",B2102)),
ISNUMBER(SEARCH("FUNDA",B2102)),
ISNUMBER(SEARCH("ESTUCHE",B2102)),
ISNUMBER(SEARCH("BOOK COVER",B2102)),
ISNUMBER(SEARCH("KEYBOARD PARA TABLET",B2102)),
ISNUMBER(SEARCH("FLIP TABLET",B2102)),
ISNUMBER(SEARCH("CASE FOR TABLET",B2102)),
ISNUMBER(SEARCH("CABLE",B2102)),
ISNUMBER(SEARCH("ADAPTADOR",B2102)),
ISNUMBER(SEARCH("HUB",B2102)),
ISNUMBER(SEARCH("DOCK",B2102)),
ISNUMBER(SEARCH("MOUSE PAD",B2102)),
ISNUMBER(SEARCH("MOUSEPAD",B2102)),
ISNUMBER(SEARCH("SOPORTE",B2102)),
ISNUMBER(SEARCH("STAND",B2102)),
ISNUMBER(SEARCH("TRAVEL ADAPTER",B2102)),
ISNUMBER(SEARCH("RJ45",B2102)),
ISNUMBER(SEARCH("USB-C",B2102)),
ISNUMBER(SEARCH("USB WIFI",B2102)),
ISNUMBER(SEARCH("POWERBANK",B2102)),
ISNUMBER(SEARCH("CARGADOR",B2102)),
ISNUMBER(SEARCH("COOLER PARA NB",B2102)),
ISNUMBER(SEARCH("SOPORTE PARA NB",B2102)),
ISNUMBER(SEARCH("WEBCAM",B2102)),
ISNUMBER(SEARCH("WEB CAM",B2102)),
ISNUMBER(SEARCH("MOUSE",B2102)),
ISNUMBER(SEARCH("TECLADO",B2102))
),
"COMPLEMENTO",
IF(
OR(
LEFT(A2102,2)="NB",
LEFT(A2102,2)="PC",
LEFT(A2102,2)="WS",
LEFT(A2102,2)="TB",
LEFT(A2102,3)="CEL",
LEFT(A2102,3)="MON",
LEFT(A2102,3)="PRE",
LEFT(A2102,3)="PRH",
ISNUMBER(SEARCH("NOTEBOOK",B2102)),
ISNUMBER(SEARCH("LAPTOP",B2102)),
ISNUMBER(SEARCH("MONITOR",B2102)),
ISNUMBER(SEARCH("TABLET",B2102)),
ISNUMBER(SEARCH("SMARTPH",B2102)),
ISNUMBER(SEARCH("IMPRESORA",B2102)),
ISNUMBER(SEARCH("MULTIFUNCIONAL",B2102)),
ISNUMBER(SEARCH("AIO",B2102))
),
"GANCHO",
"NORMAL"
)
)</f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>ROUND(
IF(L2099="GANCHO",
   IF(I2101&lt;=50,I2101*1.1+4,IF(I2101&lt;=120,I2101*1.1+7,IF(I2101&lt;=250,I2101*1.1+11,I2101*1.1+19))),
IF(L2099="NORMAL",
   IF(I2101&lt;=30,I2101*1.15+2,IF(I2101&lt;=80,I2101*1.15+4,IF(I2101&lt;=150,I2101*1.15+6,I2101*1.15+8))),
IF(L2099="COMPLEMENTO",
   IF(I2101&lt;=25,I2101*1.25+1.5,IF(I2101&lt;=60,I2101*1.25+3,IF(I2101&lt;=120,I2101*1.25+4,I2101*1.25+5))),
""))),2)</f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>IF(
OR(
ISNUMBER(SEARCH("BACKPACK",B2103)),
ISNUMBER(SEARCH("MOCHILA",B2103)),
ISNUMBER(SEARCH("FUNDA",B2103)),
ISNUMBER(SEARCH("ESTUCHE",B2103)),
ISNUMBER(SEARCH("BOOK COVER",B2103)),
ISNUMBER(SEARCH("KEYBOARD PARA TABLET",B2103)),
ISNUMBER(SEARCH("FLIP TABLET",B2103)),
ISNUMBER(SEARCH("CASE FOR TABLET",B2103)),
ISNUMBER(SEARCH("CABLE",B2103)),
ISNUMBER(SEARCH("ADAPTADOR",B2103)),
ISNUMBER(SEARCH("HUB",B2103)),
ISNUMBER(SEARCH("DOCK",B2103)),
ISNUMBER(SEARCH("MOUSE PAD",B2103)),
ISNUMBER(SEARCH("MOUSEPAD",B2103)),
ISNUMBER(SEARCH("SOPORTE",B2103)),
ISNUMBER(SEARCH("STAND",B2103)),
ISNUMBER(SEARCH("TRAVEL ADAPTER",B2103)),
ISNUMBER(SEARCH("RJ45",B2103)),
ISNUMBER(SEARCH("USB-C",B2103)),
ISNUMBER(SEARCH("USB WIFI",B2103)),
ISNUMBER(SEARCH("POWERBANK",B2103)),
ISNUMBER(SEARCH("CARGADOR",B2103)),
ISNUMBER(SEARCH("COOLER PARA NB",B2103)),
ISNUMBER(SEARCH("SOPORTE PARA NB",B2103)),
ISNUMBER(SEARCH("WEBCAM",B2103)),
ISNUMBER(SEARCH("WEB CAM",B2103)),
ISNUMBER(SEARCH("MOUSE",B2103)),
ISNUMBER(SEARCH("TECLADO",B2103))
),
"COMPLEMENTO",
IF(
OR(
LEFT(A2103,2)="NB",
LEFT(A2103,2)="PC",
LEFT(A2103,2)="WS",
LEFT(A2103,2)="TB",
LEFT(A2103,3)="CEL",
LEFT(A2103,3)="MON",
LEFT(A2103,3)="PRE",
LEFT(A2103,3)="PRH",
ISNUMBER(SEARCH("NOTEBOOK",B2103)),
ISNUMBER(SEARCH("LAPTOP",B2103)),
ISNUMBER(SEARCH("MONITOR",B2103)),
ISNUMBER(SEARCH("TABLET",B2103)),
ISNUMBER(SEARCH("SMARTPH",B2103)),
ISNUMBER(SEARCH("IMPRESORA",B2103)),
ISNUMBER(SEARCH("MULTIFUNCIONAL",B2103)),
ISNUMBER(SEARCH("AIO",B2103))
),
"GANCHO",
"NORMAL"
)
)</f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>ROUND(
IF(L2100="GANCHO",
   IF(I2102&lt;=50,I2102*1.1+4,IF(I2102&lt;=120,I2102*1.1+7,IF(I2102&lt;=250,I2102*1.1+11,I2102*1.1+19))),
IF(L2100="NORMAL",
   IF(I2102&lt;=30,I2102*1.15+2,IF(I2102&lt;=80,I2102*1.15+4,IF(I2102&lt;=150,I2102*1.15+6,I2102*1.15+8))),
IF(L2100="COMPLEMENTO",
   IF(I2102&lt;=25,I2102*1.25+1.5,IF(I2102&lt;=60,I2102*1.25+3,IF(I2102&lt;=120,I2102*1.25+4,I2102*1.25+5))),
""))),2)</f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>IF(
OR(
ISNUMBER(SEARCH("BACKPACK",B2104)),
ISNUMBER(SEARCH("MOCHILA",B2104)),
ISNUMBER(SEARCH("FUNDA",B2104)),
ISNUMBER(SEARCH("ESTUCHE",B2104)),
ISNUMBER(SEARCH("BOOK COVER",B2104)),
ISNUMBER(SEARCH("KEYBOARD PARA TABLET",B2104)),
ISNUMBER(SEARCH("FLIP TABLET",B2104)),
ISNUMBER(SEARCH("CASE FOR TABLET",B2104)),
ISNUMBER(SEARCH("CABLE",B2104)),
ISNUMBER(SEARCH("ADAPTADOR",B2104)),
ISNUMBER(SEARCH("HUB",B2104)),
ISNUMBER(SEARCH("DOCK",B2104)),
ISNUMBER(SEARCH("MOUSE PAD",B2104)),
ISNUMBER(SEARCH("MOUSEPAD",B2104)),
ISNUMBER(SEARCH("SOPORTE",B2104)),
ISNUMBER(SEARCH("STAND",B2104)),
ISNUMBER(SEARCH("TRAVEL ADAPTER",B2104)),
ISNUMBER(SEARCH("RJ45",B2104)),
ISNUMBER(SEARCH("USB-C",B2104)),
ISNUMBER(SEARCH("USB WIFI",B2104)),
ISNUMBER(SEARCH("POWERBANK",B2104)),
ISNUMBER(SEARCH("CARGADOR",B2104)),
ISNUMBER(SEARCH("COOLER PARA NB",B2104)),
ISNUMBER(SEARCH("SOPORTE PARA NB",B2104)),
ISNUMBER(SEARCH("WEBCAM",B2104)),
ISNUMBER(SEARCH("WEB CAM",B2104)),
ISNUMBER(SEARCH("MOUSE",B2104)),
ISNUMBER(SEARCH("TECLADO",B2104))
),
"COMPLEMENTO",
IF(
OR(
LEFT(A2104,2)="NB",
LEFT(A2104,2)="PC",
LEFT(A2104,2)="WS",
LEFT(A2104,2)="TB",
LEFT(A2104,3)="CEL",
LEFT(A2104,3)="MON",
LEFT(A2104,3)="PRE",
LEFT(A2104,3)="PRH",
ISNUMBER(SEARCH("NOTEBOOK",B2104)),
ISNUMBER(SEARCH("LAPTOP",B2104)),
ISNUMBER(SEARCH("MONITOR",B2104)),
ISNUMBER(SEARCH("TABLET",B2104)),
ISNUMBER(SEARCH("SMARTPH",B2104)),
ISNUMBER(SEARCH("IMPRESORA",B2104)),
ISNUMBER(SEARCH("MULTIFUNCIONAL",B2104)),
ISNUMBER(SEARCH("AIO",B2104))
),
"GANCHO",
"NORMAL"
)
)</f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>ROUND(
IF(L2101="GANCHO",
   IF(I2103&lt;=50,I2103*1.1+4,IF(I2103&lt;=120,I2103*1.1+7,IF(I2103&lt;=250,I2103*1.1+11,I2103*1.1+19))),
IF(L2101="NORMAL",
   IF(I2103&lt;=30,I2103*1.15+2,IF(I2103&lt;=80,I2103*1.15+4,IF(I2103&lt;=150,I2103*1.15+6,I2103*1.15+8))),
IF(L2101="COMPLEMENTO",
   IF(I2103&lt;=25,I2103*1.25+1.5,IF(I2103&lt;=60,I2103*1.25+3,IF(I2103&lt;=120,I2103*1.25+4,I2103*1.25+5))),
""))),2)</f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>IF(
OR(
ISNUMBER(SEARCH("BACKPACK",B2105)),
ISNUMBER(SEARCH("MOCHILA",B2105)),
ISNUMBER(SEARCH("FUNDA",B2105)),
ISNUMBER(SEARCH("ESTUCHE",B2105)),
ISNUMBER(SEARCH("BOOK COVER",B2105)),
ISNUMBER(SEARCH("KEYBOARD PARA TABLET",B2105)),
ISNUMBER(SEARCH("FLIP TABLET",B2105)),
ISNUMBER(SEARCH("CASE FOR TABLET",B2105)),
ISNUMBER(SEARCH("CABLE",B2105)),
ISNUMBER(SEARCH("ADAPTADOR",B2105)),
ISNUMBER(SEARCH("HUB",B2105)),
ISNUMBER(SEARCH("DOCK",B2105)),
ISNUMBER(SEARCH("MOUSE PAD",B2105)),
ISNUMBER(SEARCH("MOUSEPAD",B2105)),
ISNUMBER(SEARCH("SOPORTE",B2105)),
ISNUMBER(SEARCH("STAND",B2105)),
ISNUMBER(SEARCH("TRAVEL ADAPTER",B2105)),
ISNUMBER(SEARCH("RJ45",B2105)),
ISNUMBER(SEARCH("USB-C",B2105)),
ISNUMBER(SEARCH("USB WIFI",B2105)),
ISNUMBER(SEARCH("POWERBANK",B2105)),
ISNUMBER(SEARCH("CARGADOR",B2105)),
ISNUMBER(SEARCH("COOLER PARA NB",B2105)),
ISNUMBER(SEARCH("SOPORTE PARA NB",B2105)),
ISNUMBER(SEARCH("WEBCAM",B2105)),
ISNUMBER(SEARCH("WEB CAM",B2105)),
ISNUMBER(SEARCH("MOUSE",B2105)),
ISNUMBER(SEARCH("TECLADO",B2105))
),
"COMPLEMENTO",
IF(
OR(
LEFT(A2105,2)="NB",
LEFT(A2105,2)="PC",
LEFT(A2105,2)="WS",
LEFT(A2105,2)="TB",
LEFT(A2105,3)="CEL",
LEFT(A2105,3)="MON",
LEFT(A2105,3)="PRE",
LEFT(A2105,3)="PRH",
ISNUMBER(SEARCH("NOTEBOOK",B2105)),
ISNUMBER(SEARCH("LAPTOP",B2105)),
ISNUMBER(SEARCH("MONITOR",B2105)),
ISNUMBER(SEARCH("TABLET",B2105)),
ISNUMBER(SEARCH("SMARTPH",B2105)),
ISNUMBER(SEARCH("IMPRESORA",B2105)),
ISNUMBER(SEARCH("MULTIFUNCIONAL",B2105)),
ISNUMBER(SEARCH("AIO",B2105))
),
"GANCHO",
"NORMAL"
)
)</f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>ROUND(
IF(L2102="GANCHO",
   IF(I2104&lt;=50,I2104*1.1+4,IF(I2104&lt;=120,I2104*1.1+7,IF(I2104&lt;=250,I2104*1.1+11,I2104*1.1+19))),
IF(L2102="NORMAL",
   IF(I2104&lt;=30,I2104*1.15+2,IF(I2104&lt;=80,I2104*1.15+4,IF(I2104&lt;=150,I2104*1.15+6,I2104*1.15+8))),
IF(L2102="COMPLEMENTO",
   IF(I2104&lt;=25,I2104*1.25+1.5,IF(I2104&lt;=60,I2104*1.25+3,IF(I2104&lt;=120,I2104*1.25+4,I2104*1.25+5))),
""))),2)</f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>IF(
OR(
ISNUMBER(SEARCH("BACKPACK",B2106)),
ISNUMBER(SEARCH("MOCHILA",B2106)),
ISNUMBER(SEARCH("FUNDA",B2106)),
ISNUMBER(SEARCH("ESTUCHE",B2106)),
ISNUMBER(SEARCH("BOOK COVER",B2106)),
ISNUMBER(SEARCH("KEYBOARD PARA TABLET",B2106)),
ISNUMBER(SEARCH("FLIP TABLET",B2106)),
ISNUMBER(SEARCH("CASE FOR TABLET",B2106)),
ISNUMBER(SEARCH("CABLE",B2106)),
ISNUMBER(SEARCH("ADAPTADOR",B2106)),
ISNUMBER(SEARCH("HUB",B2106)),
ISNUMBER(SEARCH("DOCK",B2106)),
ISNUMBER(SEARCH("MOUSE PAD",B2106)),
ISNUMBER(SEARCH("MOUSEPAD",B2106)),
ISNUMBER(SEARCH("SOPORTE",B2106)),
ISNUMBER(SEARCH("STAND",B2106)),
ISNUMBER(SEARCH("TRAVEL ADAPTER",B2106)),
ISNUMBER(SEARCH("RJ45",B2106)),
ISNUMBER(SEARCH("USB-C",B2106)),
ISNUMBER(SEARCH("USB WIFI",B2106)),
ISNUMBER(SEARCH("POWERBANK",B2106)),
ISNUMBER(SEARCH("CARGADOR",B2106)),
ISNUMBER(SEARCH("COOLER PARA NB",B2106)),
ISNUMBER(SEARCH("SOPORTE PARA NB",B2106)),
ISNUMBER(SEARCH("WEBCAM",B2106)),
ISNUMBER(SEARCH("WEB CAM",B2106)),
ISNUMBER(SEARCH("MOUSE",B2106)),
ISNUMBER(SEARCH("TECLADO",B2106))
),
"COMPLEMENTO",
IF(
OR(
LEFT(A2106,2)="NB",
LEFT(A2106,2)="PC",
LEFT(A2106,2)="WS",
LEFT(A2106,2)="TB",
LEFT(A2106,3)="CEL",
LEFT(A2106,3)="MON",
LEFT(A2106,3)="PRE",
LEFT(A2106,3)="PRH",
ISNUMBER(SEARCH("NOTEBOOK",B2106)),
ISNUMBER(SEARCH("LAPTOP",B2106)),
ISNUMBER(SEARCH("MONITOR",B2106)),
ISNUMBER(SEARCH("TABLET",B2106)),
ISNUMBER(SEARCH("SMARTPH",B2106)),
ISNUMBER(SEARCH("IMPRESORA",B2106)),
ISNUMBER(SEARCH("MULTIFUNCIONAL",B2106)),
ISNUMBER(SEARCH("AIO",B2106))
),
"GANCHO",
"NORMAL"
)
)</f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>ROUND(
IF(L2103="GANCHO",
   IF(I2105&lt;=50,I2105*1.1+4,IF(I2105&lt;=120,I2105*1.1+7,IF(I2105&lt;=250,I2105*1.1+11,I2105*1.1+19))),
IF(L2103="NORMAL",
   IF(I2105&lt;=30,I2105*1.15+2,IF(I2105&lt;=80,I2105*1.15+4,IF(I2105&lt;=150,I2105*1.15+6,I2105*1.15+8))),
IF(L2103="COMPLEMENTO",
   IF(I2105&lt;=25,I2105*1.25+1.5,IF(I2105&lt;=60,I2105*1.25+3,IF(I2105&lt;=120,I2105*1.25+4,I2105*1.25+5))),
""))),2)</f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>IF(
OR(
ISNUMBER(SEARCH("BACKPACK",B2107)),
ISNUMBER(SEARCH("MOCHILA",B2107)),
ISNUMBER(SEARCH("FUNDA",B2107)),
ISNUMBER(SEARCH("ESTUCHE",B2107)),
ISNUMBER(SEARCH("BOOK COVER",B2107)),
ISNUMBER(SEARCH("KEYBOARD PARA TABLET",B2107)),
ISNUMBER(SEARCH("FLIP TABLET",B2107)),
ISNUMBER(SEARCH("CASE FOR TABLET",B2107)),
ISNUMBER(SEARCH("CABLE",B2107)),
ISNUMBER(SEARCH("ADAPTADOR",B2107)),
ISNUMBER(SEARCH("HUB",B2107)),
ISNUMBER(SEARCH("DOCK",B2107)),
ISNUMBER(SEARCH("MOUSE PAD",B2107)),
ISNUMBER(SEARCH("MOUSEPAD",B2107)),
ISNUMBER(SEARCH("SOPORTE",B2107)),
ISNUMBER(SEARCH("STAND",B2107)),
ISNUMBER(SEARCH("TRAVEL ADAPTER",B2107)),
ISNUMBER(SEARCH("RJ45",B2107)),
ISNUMBER(SEARCH("USB-C",B2107)),
ISNUMBER(SEARCH("USB WIFI",B2107)),
ISNUMBER(SEARCH("POWERBANK",B2107)),
ISNUMBER(SEARCH("CARGADOR",B2107)),
ISNUMBER(SEARCH("COOLER PARA NB",B2107)),
ISNUMBER(SEARCH("SOPORTE PARA NB",B2107)),
ISNUMBER(SEARCH("WEBCAM",B2107)),
ISNUMBER(SEARCH("WEB CAM",B2107)),
ISNUMBER(SEARCH("MOUSE",B2107)),
ISNUMBER(SEARCH("TECLADO",B2107))
),
"COMPLEMENTO",
IF(
OR(
LEFT(A2107,2)="NB",
LEFT(A2107,2)="PC",
LEFT(A2107,2)="WS",
LEFT(A2107,2)="TB",
LEFT(A2107,3)="CEL",
LEFT(A2107,3)="MON",
LEFT(A2107,3)="PRE",
LEFT(A2107,3)="PRH",
ISNUMBER(SEARCH("NOTEBOOK",B2107)),
ISNUMBER(SEARCH("LAPTOP",B2107)),
ISNUMBER(SEARCH("MONITOR",B2107)),
ISNUMBER(SEARCH("TABLET",B2107)),
ISNUMBER(SEARCH("SMARTPH",B2107)),
ISNUMBER(SEARCH("IMPRESORA",B2107)),
ISNUMBER(SEARCH("MULTIFUNCIONAL",B2107)),
ISNUMBER(SEARCH("AIO",B2107))
),
"GANCHO",
"NORMAL"
)
)</f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>ROUND(
IF(L2104="GANCHO",
   IF(I2106&lt;=50,I2106*1.1+4,IF(I2106&lt;=120,I2106*1.1+7,IF(I2106&lt;=250,I2106*1.1+11,I2106*1.1+19))),
IF(L2104="NORMAL",
   IF(I2106&lt;=30,I2106*1.15+2,IF(I2106&lt;=80,I2106*1.15+4,IF(I2106&lt;=150,I2106*1.15+6,I2106*1.15+8))),
IF(L2104="COMPLEMENTO",
   IF(I2106&lt;=25,I2106*1.25+1.5,IF(I2106&lt;=60,I2106*1.25+3,IF(I2106&lt;=120,I2106*1.25+4,I2106*1.25+5))),
""))),2)</f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>IF(
OR(
ISNUMBER(SEARCH("BACKPACK",B2108)),
ISNUMBER(SEARCH("MOCHILA",B2108)),
ISNUMBER(SEARCH("FUNDA",B2108)),
ISNUMBER(SEARCH("ESTUCHE",B2108)),
ISNUMBER(SEARCH("BOOK COVER",B2108)),
ISNUMBER(SEARCH("KEYBOARD PARA TABLET",B2108)),
ISNUMBER(SEARCH("FLIP TABLET",B2108)),
ISNUMBER(SEARCH("CASE FOR TABLET",B2108)),
ISNUMBER(SEARCH("CABLE",B2108)),
ISNUMBER(SEARCH("ADAPTADOR",B2108)),
ISNUMBER(SEARCH("HUB",B2108)),
ISNUMBER(SEARCH("DOCK",B2108)),
ISNUMBER(SEARCH("MOUSE PAD",B2108)),
ISNUMBER(SEARCH("MOUSEPAD",B2108)),
ISNUMBER(SEARCH("SOPORTE",B2108)),
ISNUMBER(SEARCH("STAND",B2108)),
ISNUMBER(SEARCH("TRAVEL ADAPTER",B2108)),
ISNUMBER(SEARCH("RJ45",B2108)),
ISNUMBER(SEARCH("USB-C",B2108)),
ISNUMBER(SEARCH("USB WIFI",B2108)),
ISNUMBER(SEARCH("POWERBANK",B2108)),
ISNUMBER(SEARCH("CARGADOR",B2108)),
ISNUMBER(SEARCH("COOLER PARA NB",B2108)),
ISNUMBER(SEARCH("SOPORTE PARA NB",B2108)),
ISNUMBER(SEARCH("WEBCAM",B2108)),
ISNUMBER(SEARCH("WEB CAM",B2108)),
ISNUMBER(SEARCH("MOUSE",B2108)),
ISNUMBER(SEARCH("TECLADO",B2108))
),
"COMPLEMENTO",
IF(
OR(
LEFT(A2108,2)="NB",
LEFT(A2108,2)="PC",
LEFT(A2108,2)="WS",
LEFT(A2108,2)="TB",
LEFT(A2108,3)="CEL",
LEFT(A2108,3)="MON",
LEFT(A2108,3)="PRE",
LEFT(A2108,3)="PRH",
ISNUMBER(SEARCH("NOTEBOOK",B2108)),
ISNUMBER(SEARCH("LAPTOP",B2108)),
ISNUMBER(SEARCH("MONITOR",B2108)),
ISNUMBER(SEARCH("TABLET",B2108)),
ISNUMBER(SEARCH("SMARTPH",B2108)),
ISNUMBER(SEARCH("IMPRESORA",B2108)),
ISNUMBER(SEARCH("MULTIFUNCIONAL",B2108)),
ISNUMBER(SEARCH("AIO",B2108))
),
"GANCHO",
"NORMAL"
)
)</f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>ROUND(
IF(L2105="GANCHO",
   IF(I2107&lt;=50,I2107*1.1+4,IF(I2107&lt;=120,I2107*1.1+7,IF(I2107&lt;=250,I2107*1.1+11,I2107*1.1+19))),
IF(L2105="NORMAL",
   IF(I2107&lt;=30,I2107*1.15+2,IF(I2107&lt;=80,I2107*1.15+4,IF(I2107&lt;=150,I2107*1.15+6,I2107*1.15+8))),
IF(L2105="COMPLEMENTO",
   IF(I2107&lt;=25,I2107*1.25+1.5,IF(I2107&lt;=60,I2107*1.25+3,IF(I2107&lt;=120,I2107*1.25+4,I2107*1.25+5))),
""))),2)</f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>IF(
OR(
ISNUMBER(SEARCH("BACKPACK",B2109)),
ISNUMBER(SEARCH("MOCHILA",B2109)),
ISNUMBER(SEARCH("FUNDA",B2109)),
ISNUMBER(SEARCH("ESTUCHE",B2109)),
ISNUMBER(SEARCH("BOOK COVER",B2109)),
ISNUMBER(SEARCH("KEYBOARD PARA TABLET",B2109)),
ISNUMBER(SEARCH("FLIP TABLET",B2109)),
ISNUMBER(SEARCH("CASE FOR TABLET",B2109)),
ISNUMBER(SEARCH("CABLE",B2109)),
ISNUMBER(SEARCH("ADAPTADOR",B2109)),
ISNUMBER(SEARCH("HUB",B2109)),
ISNUMBER(SEARCH("DOCK",B2109)),
ISNUMBER(SEARCH("MOUSE PAD",B2109)),
ISNUMBER(SEARCH("MOUSEPAD",B2109)),
ISNUMBER(SEARCH("SOPORTE",B2109)),
ISNUMBER(SEARCH("STAND",B2109)),
ISNUMBER(SEARCH("TRAVEL ADAPTER",B2109)),
ISNUMBER(SEARCH("RJ45",B2109)),
ISNUMBER(SEARCH("USB-C",B2109)),
ISNUMBER(SEARCH("USB WIFI",B2109)),
ISNUMBER(SEARCH("POWERBANK",B2109)),
ISNUMBER(SEARCH("CARGADOR",B2109)),
ISNUMBER(SEARCH("COOLER PARA NB",B2109)),
ISNUMBER(SEARCH("SOPORTE PARA NB",B2109)),
ISNUMBER(SEARCH("WEBCAM",B2109)),
ISNUMBER(SEARCH("WEB CAM",B2109)),
ISNUMBER(SEARCH("MOUSE",B2109)),
ISNUMBER(SEARCH("TECLADO",B2109))
),
"COMPLEMENTO",
IF(
OR(
LEFT(A2109,2)="NB",
LEFT(A2109,2)="PC",
LEFT(A2109,2)="WS",
LEFT(A2109,2)="TB",
LEFT(A2109,3)="CEL",
LEFT(A2109,3)="MON",
LEFT(A2109,3)="PRE",
LEFT(A2109,3)="PRH",
ISNUMBER(SEARCH("NOTEBOOK",B2109)),
ISNUMBER(SEARCH("LAPTOP",B2109)),
ISNUMBER(SEARCH("MONITOR",B2109)),
ISNUMBER(SEARCH("TABLET",B2109)),
ISNUMBER(SEARCH("SMARTPH",B2109)),
ISNUMBER(SEARCH("IMPRESORA",B2109)),
ISNUMBER(SEARCH("MULTIFUNCIONAL",B2109)),
ISNUMBER(SEARCH("AIO",B2109))
),
"GANCHO",
"NORMAL"
)
)</f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>ROUND(
IF(L2106="GANCHO",
   IF(I2108&lt;=50,I2108*1.1+4,IF(I2108&lt;=120,I2108*1.1+7,IF(I2108&lt;=250,I2108*1.1+11,I2108*1.1+19))),
IF(L2106="NORMAL",
   IF(I2108&lt;=30,I2108*1.15+2,IF(I2108&lt;=80,I2108*1.15+4,IF(I2108&lt;=150,I2108*1.15+6,I2108*1.15+8))),
IF(L2106="COMPLEMENTO",
   IF(I2108&lt;=25,I2108*1.25+1.5,IF(I2108&lt;=60,I2108*1.25+3,IF(I2108&lt;=120,I2108*1.25+4,I2108*1.25+5))),
""))),2)</f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>IF(
OR(
ISNUMBER(SEARCH("BACKPACK",B2110)),
ISNUMBER(SEARCH("MOCHILA",B2110)),
ISNUMBER(SEARCH("FUNDA",B2110)),
ISNUMBER(SEARCH("ESTUCHE",B2110)),
ISNUMBER(SEARCH("BOOK COVER",B2110)),
ISNUMBER(SEARCH("KEYBOARD PARA TABLET",B2110)),
ISNUMBER(SEARCH("FLIP TABLET",B2110)),
ISNUMBER(SEARCH("CASE FOR TABLET",B2110)),
ISNUMBER(SEARCH("CABLE",B2110)),
ISNUMBER(SEARCH("ADAPTADOR",B2110)),
ISNUMBER(SEARCH("HUB",B2110)),
ISNUMBER(SEARCH("DOCK",B2110)),
ISNUMBER(SEARCH("MOUSE PAD",B2110)),
ISNUMBER(SEARCH("MOUSEPAD",B2110)),
ISNUMBER(SEARCH("SOPORTE",B2110)),
ISNUMBER(SEARCH("STAND",B2110)),
ISNUMBER(SEARCH("TRAVEL ADAPTER",B2110)),
ISNUMBER(SEARCH("RJ45",B2110)),
ISNUMBER(SEARCH("USB-C",B2110)),
ISNUMBER(SEARCH("USB WIFI",B2110)),
ISNUMBER(SEARCH("POWERBANK",B2110)),
ISNUMBER(SEARCH("CARGADOR",B2110)),
ISNUMBER(SEARCH("COOLER PARA NB",B2110)),
ISNUMBER(SEARCH("SOPORTE PARA NB",B2110)),
ISNUMBER(SEARCH("WEBCAM",B2110)),
ISNUMBER(SEARCH("WEB CAM",B2110)),
ISNUMBER(SEARCH("MOUSE",B2110)),
ISNUMBER(SEARCH("TECLADO",B2110))
),
"COMPLEMENTO",
IF(
OR(
LEFT(A2110,2)="NB",
LEFT(A2110,2)="PC",
LEFT(A2110,2)="WS",
LEFT(A2110,2)="TB",
LEFT(A2110,3)="CEL",
LEFT(A2110,3)="MON",
LEFT(A2110,3)="PRE",
LEFT(A2110,3)="PRH",
ISNUMBER(SEARCH("NOTEBOOK",B2110)),
ISNUMBER(SEARCH("LAPTOP",B2110)),
ISNUMBER(SEARCH("MONITOR",B2110)),
ISNUMBER(SEARCH("TABLET",B2110)),
ISNUMBER(SEARCH("SMARTPH",B2110)),
ISNUMBER(SEARCH("IMPRESORA",B2110)),
ISNUMBER(SEARCH("MULTIFUNCIONAL",B2110)),
ISNUMBER(SEARCH("AIO",B2110))
),
"GANCHO",
"NORMAL"
)
)</f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>ROUND(
IF(L2107="GANCHO",
   IF(I2109&lt;=50,I2109*1.1+4,IF(I2109&lt;=120,I2109*1.1+7,IF(I2109&lt;=250,I2109*1.1+11,I2109*1.1+19))),
IF(L2107="NORMAL",
   IF(I2109&lt;=30,I2109*1.15+2,IF(I2109&lt;=80,I2109*1.15+4,IF(I2109&lt;=150,I2109*1.15+6,I2109*1.15+8))),
IF(L2107="COMPLEMENTO",
   IF(I2109&lt;=25,I2109*1.25+1.5,IF(I2109&lt;=60,I2109*1.25+3,IF(I2109&lt;=120,I2109*1.25+4,I2109*1.25+5))),
""))),2)</f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>IF(
OR(
ISNUMBER(SEARCH("BACKPACK",B2111)),
ISNUMBER(SEARCH("MOCHILA",B2111)),
ISNUMBER(SEARCH("FUNDA",B2111)),
ISNUMBER(SEARCH("ESTUCHE",B2111)),
ISNUMBER(SEARCH("BOOK COVER",B2111)),
ISNUMBER(SEARCH("KEYBOARD PARA TABLET",B2111)),
ISNUMBER(SEARCH("FLIP TABLET",B2111)),
ISNUMBER(SEARCH("CASE FOR TABLET",B2111)),
ISNUMBER(SEARCH("CABLE",B2111)),
ISNUMBER(SEARCH("ADAPTADOR",B2111)),
ISNUMBER(SEARCH("HUB",B2111)),
ISNUMBER(SEARCH("DOCK",B2111)),
ISNUMBER(SEARCH("MOUSE PAD",B2111)),
ISNUMBER(SEARCH("MOUSEPAD",B2111)),
ISNUMBER(SEARCH("SOPORTE",B2111)),
ISNUMBER(SEARCH("STAND",B2111)),
ISNUMBER(SEARCH("TRAVEL ADAPTER",B2111)),
ISNUMBER(SEARCH("RJ45",B2111)),
ISNUMBER(SEARCH("USB-C",B2111)),
ISNUMBER(SEARCH("USB WIFI",B2111)),
ISNUMBER(SEARCH("POWERBANK",B2111)),
ISNUMBER(SEARCH("CARGADOR",B2111)),
ISNUMBER(SEARCH("COOLER PARA NB",B2111)),
ISNUMBER(SEARCH("SOPORTE PARA NB",B2111)),
ISNUMBER(SEARCH("WEBCAM",B2111)),
ISNUMBER(SEARCH("WEB CAM",B2111)),
ISNUMBER(SEARCH("MOUSE",B2111)),
ISNUMBER(SEARCH("TECLADO",B2111))
),
"COMPLEMENTO",
IF(
OR(
LEFT(A2111,2)="NB",
LEFT(A2111,2)="PC",
LEFT(A2111,2)="WS",
LEFT(A2111,2)="TB",
LEFT(A2111,3)="CEL",
LEFT(A2111,3)="MON",
LEFT(A2111,3)="PRE",
LEFT(A2111,3)="PRH",
ISNUMBER(SEARCH("NOTEBOOK",B2111)),
ISNUMBER(SEARCH("LAPTOP",B2111)),
ISNUMBER(SEARCH("MONITOR",B2111)),
ISNUMBER(SEARCH("TABLET",B2111)),
ISNUMBER(SEARCH("SMARTPH",B2111)),
ISNUMBER(SEARCH("IMPRESORA",B2111)),
ISNUMBER(SEARCH("MULTIFUNCIONAL",B2111)),
ISNUMBER(SEARCH("AIO",B2111))
),
"GANCHO",
"NORMAL"
)
)</f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>ROUND(
IF(L2108="GANCHO",
   IF(I2110&lt;=50,I2110*1.1+4,IF(I2110&lt;=120,I2110*1.1+7,IF(I2110&lt;=250,I2110*1.1+11,I2110*1.1+19))),
IF(L2108="NORMAL",
   IF(I2110&lt;=30,I2110*1.15+2,IF(I2110&lt;=80,I2110*1.15+4,IF(I2110&lt;=150,I2110*1.15+6,I2110*1.15+8))),
IF(L2108="COMPLEMENTO",
   IF(I2110&lt;=25,I2110*1.25+1.5,IF(I2110&lt;=60,I2110*1.25+3,IF(I2110&lt;=120,I2110*1.25+4,I2110*1.25+5))),
""))),2)</f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>IF(
OR(
ISNUMBER(SEARCH("BACKPACK",B2112)),
ISNUMBER(SEARCH("MOCHILA",B2112)),
ISNUMBER(SEARCH("FUNDA",B2112)),
ISNUMBER(SEARCH("ESTUCHE",B2112)),
ISNUMBER(SEARCH("BOOK COVER",B2112)),
ISNUMBER(SEARCH("KEYBOARD PARA TABLET",B2112)),
ISNUMBER(SEARCH("FLIP TABLET",B2112)),
ISNUMBER(SEARCH("CASE FOR TABLET",B2112)),
ISNUMBER(SEARCH("CABLE",B2112)),
ISNUMBER(SEARCH("ADAPTADOR",B2112)),
ISNUMBER(SEARCH("HUB",B2112)),
ISNUMBER(SEARCH("DOCK",B2112)),
ISNUMBER(SEARCH("MOUSE PAD",B2112)),
ISNUMBER(SEARCH("MOUSEPAD",B2112)),
ISNUMBER(SEARCH("SOPORTE",B2112)),
ISNUMBER(SEARCH("STAND",B2112)),
ISNUMBER(SEARCH("TRAVEL ADAPTER",B2112)),
ISNUMBER(SEARCH("RJ45",B2112)),
ISNUMBER(SEARCH("USB-C",B2112)),
ISNUMBER(SEARCH("USB WIFI",B2112)),
ISNUMBER(SEARCH("POWERBANK",B2112)),
ISNUMBER(SEARCH("CARGADOR",B2112)),
ISNUMBER(SEARCH("COOLER PARA NB",B2112)),
ISNUMBER(SEARCH("SOPORTE PARA NB",B2112)),
ISNUMBER(SEARCH("WEBCAM",B2112)),
ISNUMBER(SEARCH("WEB CAM",B2112)),
ISNUMBER(SEARCH("MOUSE",B2112)),
ISNUMBER(SEARCH("TECLADO",B2112))
),
"COMPLEMENTO",
IF(
OR(
LEFT(A2112,2)="NB",
LEFT(A2112,2)="PC",
LEFT(A2112,2)="WS",
LEFT(A2112,2)="TB",
LEFT(A2112,3)="CEL",
LEFT(A2112,3)="MON",
LEFT(A2112,3)="PRE",
LEFT(A2112,3)="PRH",
ISNUMBER(SEARCH("NOTEBOOK",B2112)),
ISNUMBER(SEARCH("LAPTOP",B2112)),
ISNUMBER(SEARCH("MONITOR",B2112)),
ISNUMBER(SEARCH("TABLET",B2112)),
ISNUMBER(SEARCH("SMARTPH",B2112)),
ISNUMBER(SEARCH("IMPRESORA",B2112)),
ISNUMBER(SEARCH("MULTIFUNCIONAL",B2112)),
ISNUMBER(SEARCH("AIO",B2112))
),
"GANCHO",
"NORMAL"
)
)</f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>ROUND(
IF(L2109="GANCHO",
   IF(I2111&lt;=50,I2111*1.1+4,IF(I2111&lt;=120,I2111*1.1+7,IF(I2111&lt;=250,I2111*1.1+11,I2111*1.1+19))),
IF(L2109="NORMAL",
   IF(I2111&lt;=30,I2111*1.15+2,IF(I2111&lt;=80,I2111*1.15+4,IF(I2111&lt;=150,I2111*1.15+6,I2111*1.15+8))),
IF(L2109="COMPLEMENTO",
   IF(I2111&lt;=25,I2111*1.25+1.5,IF(I2111&lt;=60,I2111*1.25+3,IF(I2111&lt;=120,I2111*1.25+4,I2111*1.25+5))),
""))),2)</f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>IF(
OR(
ISNUMBER(SEARCH("BACKPACK",B2113)),
ISNUMBER(SEARCH("MOCHILA",B2113)),
ISNUMBER(SEARCH("FUNDA",B2113)),
ISNUMBER(SEARCH("ESTUCHE",B2113)),
ISNUMBER(SEARCH("BOOK COVER",B2113)),
ISNUMBER(SEARCH("KEYBOARD PARA TABLET",B2113)),
ISNUMBER(SEARCH("FLIP TABLET",B2113)),
ISNUMBER(SEARCH("CASE FOR TABLET",B2113)),
ISNUMBER(SEARCH("CABLE",B2113)),
ISNUMBER(SEARCH("ADAPTADOR",B2113)),
ISNUMBER(SEARCH("HUB",B2113)),
ISNUMBER(SEARCH("DOCK",B2113)),
ISNUMBER(SEARCH("MOUSE PAD",B2113)),
ISNUMBER(SEARCH("MOUSEPAD",B2113)),
ISNUMBER(SEARCH("SOPORTE",B2113)),
ISNUMBER(SEARCH("STAND",B2113)),
ISNUMBER(SEARCH("TRAVEL ADAPTER",B2113)),
ISNUMBER(SEARCH("RJ45",B2113)),
ISNUMBER(SEARCH("USB-C",B2113)),
ISNUMBER(SEARCH("USB WIFI",B2113)),
ISNUMBER(SEARCH("POWERBANK",B2113)),
ISNUMBER(SEARCH("CARGADOR",B2113)),
ISNUMBER(SEARCH("COOLER PARA NB",B2113)),
ISNUMBER(SEARCH("SOPORTE PARA NB",B2113)),
ISNUMBER(SEARCH("WEBCAM",B2113)),
ISNUMBER(SEARCH("WEB CAM",B2113)),
ISNUMBER(SEARCH("MOUSE",B2113)),
ISNUMBER(SEARCH("TECLADO",B2113))
),
"COMPLEMENTO",
IF(
OR(
LEFT(A2113,2)="NB",
LEFT(A2113,2)="PC",
LEFT(A2113,2)="WS",
LEFT(A2113,2)="TB",
LEFT(A2113,3)="CEL",
LEFT(A2113,3)="MON",
LEFT(A2113,3)="PRE",
LEFT(A2113,3)="PRH",
ISNUMBER(SEARCH("NOTEBOOK",B2113)),
ISNUMBER(SEARCH("LAPTOP",B2113)),
ISNUMBER(SEARCH("MONITOR",B2113)),
ISNUMBER(SEARCH("TABLET",B2113)),
ISNUMBER(SEARCH("SMARTPH",B2113)),
ISNUMBER(SEARCH("IMPRESORA",B2113)),
ISNUMBER(SEARCH("MULTIFUNCIONAL",B2113)),
ISNUMBER(SEARCH("AIO",B2113))
),
"GANCHO",
"NORMAL"
)
)</f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>ROUND(
IF(L2110="GANCHO",
   IF(I2112&lt;=50,I2112*1.1+4,IF(I2112&lt;=120,I2112*1.1+7,IF(I2112&lt;=250,I2112*1.1+11,I2112*1.1+19))),
IF(L2110="NORMAL",
   IF(I2112&lt;=30,I2112*1.15+2,IF(I2112&lt;=80,I2112*1.15+4,IF(I2112&lt;=150,I2112*1.15+6,I2112*1.15+8))),
IF(L2110="COMPLEMENTO",
   IF(I2112&lt;=25,I2112*1.25+1.5,IF(I2112&lt;=60,I2112*1.25+3,IF(I2112&lt;=120,I2112*1.25+4,I2112*1.25+5))),
""))),2)</f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>ROUND(
IF(L2111="GANCHO",
   IF(I2113&lt;=50,I2113*1.1+4,IF(I2113&lt;=120,I2113*1.1+7,IF(I2113&lt;=250,I2113*1.1+11,I2113*1.1+19))),
IF(L2111="NORMAL",
   IF(I2113&lt;=30,I2113*1.15+2,IF(I2113&lt;=80,I2113*1.15+4,IF(I2113&lt;=150,I2113*1.15+6,I2113*1.15+8))),
IF(L2111="COMPLEMENTO",
   IF(I2113&lt;=25,I2113*1.25+1.5,IF(I2113&lt;=60,I2113*1.25+3,IF(I2113&lt;=120,I2113*1.25+4,I2113*1.25+5))),
""))),2)</f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>ROUND(
IF(L2112="GANCHO",
   IF(I2114&lt;=50,I2114*1.1+4,IF(I2114&lt;=120,I2114*1.1+7,IF(I2114&lt;=250,I2114*1.1+11,I2114*1.1+19))),
IF(L2112="NORMAL",
   IF(I2114&lt;=30,I2114*1.15+2,IF(I2114&lt;=80,I2114*1.15+4,IF(I2114&lt;=150,I2114*1.15+6,I2114*1.15+8))),
IF(L2112="COMPLEMENTO",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>IF(
OR(
ISNUMBER(SEARCH("BACKPACK",B2116)),
ISNUMBER(SEARCH("MOCHILA",B2116)),
ISNUMBER(SEARCH("FUNDA",B2116)),
ISNUMBER(SEARCH("ESTUCHE",B2116)),
ISNUMBER(SEARCH("BOOK COVER",B2116)),
ISNUMBER(SEARCH("KEYBOARD PARA TABLET",B2116)),
ISNUMBER(SEARCH("FLIP TABLET",B2116)),
ISNUMBER(SEARCH("CASE FOR TABLET",B2116)),
ISNUMBER(SEARCH("CABLE",B2116)),
ISNUMBER(SEARCH("ADAPTADOR",B2116)),
ISNUMBER(SEARCH("HUB",B2116)),
ISNUMBER(SEARCH("DOCK",B2116)),
ISNUMBER(SEARCH("MOUSE PAD",B2116)),
ISNUMBER(SEARCH("MOUSEPAD",B2116)),
ISNUMBER(SEARCH("SOPORTE",B2116)),
ISNUMBER(SEARCH("STAND",B2116)),
ISNUMBER(SEARCH("TRAVEL ADAPTER",B2116)),
ISNUMBER(SEARCH("RJ45",B2116)),
ISNUMBER(SEARCH("USB-C",B2116)),
ISNUMBER(SEARCH("USB WIFI",B2116)),
ISNUMBER(SEARCH("POWERBANK",B2116)),
ISNUMBER(SEARCH("CARGADOR",B2116)),
ISNUMBER(SEARCH("COOLER PARA NB",B2116)),
ISNUMBER(SEARCH("SOPORTE PARA NB",B2116)),
ISNUMBER(SEARCH("WEBCAM",B2116)),
ISNUMBER(SEARCH("WEB CAM",B2116)),
ISNUMBER(SEARCH("MOUSE",B2116)),
ISNUMBER(SEARCH("TECLADO",B2116))
),
"COMPLEMENTO",
IF(
OR(
LEFT(A2116,2)="NB",
LEFT(A2116,2)="PC",
LEFT(A2116,2)="WS",
LEFT(A2116,2)="TB",
LEFT(A2116,3)="CEL",
LEFT(A2116,3)="MON",
LEFT(A2116,3)="PRE",
LEFT(A2116,3)="PRH",
ISNUMBER(SEARCH("NOTEBOOK",B2116)),
ISNUMBER(SEARCH("LAPTOP",B2116)),
ISNUMBER(SEARCH("MONITOR",B2116)),
ISNUMBER(SEARCH("TABLET",B2116)),
ISNUMBER(SEARCH("SMARTPH",B2116)),
ISNUMBER(SEARCH("IMPRESORA",B2116)),
ISNUMBER(SEARCH("MULTIFUNCIONAL",B2116)),
ISNUMBER(SEARCH("AIO",B2116))
),
"GANCHO",
"NORMAL"
)
)</f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>ROUND(
IF(L2113="GANCHO",
   IF(I2115&lt;=50,I2115*1.1+4,IF(I2115&lt;=120,I2115*1.1+7,IF(I2115&lt;=250,I2115*1.1+11,I2115*1.1+19))),
IF(L2113="NORMAL",
   IF(I2115&lt;=30,I2115*1.15+2,IF(I2115&lt;=80,I2115*1.15+4,IF(I2115&lt;=150,I2115*1.15+6,I2115*1.15+8))),
IF(L2113="COMPLEMENTO",
   IF(I2115&lt;=25,I2115*1.25+1.5,IF(I2115&lt;=60,I2115*1.25+3,IF(I2115&lt;=120,I2115*1.25+4,I2115*1.25+5))),
""))),2)</f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>IF(
OR(
ISNUMBER(SEARCH("BACKPACK",B2117)),
ISNUMBER(SEARCH("MOCHILA",B2117)),
ISNUMBER(SEARCH("FUNDA",B2117)),
ISNUMBER(SEARCH("ESTUCHE",B2117)),
ISNUMBER(SEARCH("BOOK COVER",B2117)),
ISNUMBER(SEARCH("KEYBOARD PARA TABLET",B2117)),
ISNUMBER(SEARCH("FLIP TABLET",B2117)),
ISNUMBER(SEARCH("CASE FOR TABLET",B2117)),
ISNUMBER(SEARCH("CABLE",B2117)),
ISNUMBER(SEARCH("ADAPTADOR",B2117)),
ISNUMBER(SEARCH("HUB",B2117)),
ISNUMBER(SEARCH("DOCK",B2117)),
ISNUMBER(SEARCH("MOUSE PAD",B2117)),
ISNUMBER(SEARCH("MOUSEPAD",B2117)),
ISNUMBER(SEARCH("SOPORTE",B2117)),
ISNUMBER(SEARCH("STAND",B2117)),
ISNUMBER(SEARCH("TRAVEL ADAPTER",B2117)),
ISNUMBER(SEARCH("RJ45",B2117)),
ISNUMBER(SEARCH("USB-C",B2117)),
ISNUMBER(SEARCH("USB WIFI",B2117)),
ISNUMBER(SEARCH("POWERBANK",B2117)),
ISNUMBER(SEARCH("CARGADOR",B2117)),
ISNUMBER(SEARCH("COOLER PARA NB",B2117)),
ISNUMBER(SEARCH("SOPORTE PARA NB",B2117)),
ISNUMBER(SEARCH("WEBCAM",B2117)),
ISNUMBER(SEARCH("WEB CAM",B2117)),
ISNUMBER(SEARCH("MOUSE",B2117)),
ISNUMBER(SEARCH("TECLADO",B2117))
),
"COMPLEMENTO",
IF(
OR(
LEFT(A2117,2)="NB",
LEFT(A2117,2)="PC",
LEFT(A2117,2)="WS",
LEFT(A2117,2)="TB",
LEFT(A2117,3)="CEL",
LEFT(A2117,3)="MON",
LEFT(A2117,3)="PRE",
LEFT(A2117,3)="PRH",
ISNUMBER(SEARCH("NOTEBOOK",B2117)),
ISNUMBER(SEARCH("LAPTOP",B2117)),
ISNUMBER(SEARCH("MONITOR",B2117)),
ISNUMBER(SEARCH("TABLET",B2117)),
ISNUMBER(SEARCH("SMARTPH",B2117)),
ISNUMBER(SEARCH("IMPRESORA",B2117)),
ISNUMBER(SEARCH("MULTIFUNCIONAL",B2117)),
ISNUMBER(SEARCH("AIO",B2117))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>ROUND(
IF(L2114="GANCHO",
   IF(I2116&lt;=50,I2116*1.1+4,IF(I2116&lt;=120,I2116*1.1+7,IF(I2116&lt;=250,I2116*1.1+11,I2116*1.1+19))),
IF(L2114="NORMAL",
   IF(I2116&lt;=30,I2116*1.15+2,IF(I2116&lt;=80,I2116*1.15+4,IF(I2116&lt;=150,I2116*1.15+6,I2116*1.15+8))),
IF(L2114="COMPLEMENTO",
   IF(I2116&lt;=25,I2116*1.25+1.5,IF(I2116&lt;=60,I2116*1.25+3,IF(I2116&lt;=120,I2116*1.25+4,I2116*1.25+5))),
""))),2)</f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>IF(
OR(
ISNUMBER(SEARCH("BACKPACK",B2118)),
ISNUMBER(SEARCH("MOCHILA",B2118)),
ISNUMBER(SEARCH("FUNDA",B2118)),
ISNUMBER(SEARCH("ESTUCHE",B2118)),
ISNUMBER(SEARCH("BOOK COVER",B2118)),
ISNUMBER(SEARCH("KEYBOARD PARA TABLET",B2118)),
ISNUMBER(SEARCH("FLIP TABLET",B2118)),
ISNUMBER(SEARCH("CASE FOR TABLET",B2118)),
ISNUMBER(SEARCH("CABLE",B2118)),
ISNUMBER(SEARCH("ADAPTADOR",B2118)),
ISNUMBER(SEARCH("HUB",B2118)),
ISNUMBER(SEARCH("DOCK",B2118)),
ISNUMBER(SEARCH("MOUSE PAD",B2118)),
ISNUMBER(SEARCH("MOUSEPAD",B2118)),
ISNUMBER(SEARCH("SOPORTE",B2118)),
ISNUMBER(SEARCH("STAND",B2118)),
ISNUMBER(SEARCH("TRAVEL ADAPTER",B2118)),
ISNUMBER(SEARCH("RJ45",B2118)),
ISNUMBER(SEARCH("USB-C",B2118)),
ISNUMBER(SEARCH("USB WIFI",B2118)),
ISNUMBER(SEARCH("POWERBANK",B2118)),
ISNUMBER(SEARCH("CARGADOR",B2118)),
ISNUMBER(SEARCH("COOLER PARA NB",B2118)),
ISNUMBER(SEARCH("SOPORTE PARA NB",B2118)),
ISNUMBER(SEARCH("WEBCAM",B2118)),
ISNUMBER(SEARCH("WEB CAM",B2118)),
ISNUMBER(SEARCH("MOUSE",B2118)),
ISNUMBER(SEARCH("TECLADO",B2118))
),
"COMPLEMENTO",
IF(
OR(
LEFT(A2118,2)="NB",
LEFT(A2118,2)="PC",
LEFT(A2118,2)="WS",
LEFT(A2118,2)="TB",
LEFT(A2118,3)="CEL",
LEFT(A2118,3)="MON",
LEFT(A2118,3)="PRE",
LEFT(A2118,3)="PRH",
ISNUMBER(SEARCH("NOTEBOOK",B2118)),
ISNUMBER(SEARCH("LAPTOP",B2118)),
ISNUMBER(SEARCH("MONITOR",B2118)),
ISNUMBER(SEARCH("TABLET",B2118)),
ISNUMBER(SEARCH("SMARTPH",B2118)),
ISNUMBER(SEARCH("IMPRESORA",B2118)),
ISNUMBER(SEARCH("MULTIFUNCIONAL",B2118)),
ISNUMBER(SEARCH("AIO",B2118))
),
"GANCHO",
"NORMAL"
)
)</f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>ROUND(
IF(L2115="GANCHO",
   IF(I2117&lt;=50,I2117*1.1+4,IF(I2117&lt;=120,I2117*1.1+7,IF(I2117&lt;=250,I2117*1.1+11,I2117*1.1+19))),
IF(L2115="NORMAL",
   IF(I2117&lt;=30,I2117*1.15+2,IF(I2117&lt;=80,I2117*1.15+4,IF(I2117&lt;=150,I2117*1.15+6,I2117*1.15+8))),
IF(L2115="COMPLEMENTO",
   IF(I2117&lt;=25,I2117*1.25+1.5,IF(I2117&lt;=60,I2117*1.25+3,IF(I2117&lt;=120,I2117*1.25+4,I2117*1.25+5))),
""))),2)</f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>IF(
OR(
ISNUMBER(SEARCH("BACKPACK",B2119)),
ISNUMBER(SEARCH("MOCHILA",B2119)),
ISNUMBER(SEARCH("FUNDA",B2119)),
ISNUMBER(SEARCH("ESTUCHE",B2119)),
ISNUMBER(SEARCH("BOOK COVER",B2119)),
ISNUMBER(SEARCH("KEYBOARD PARA TABLET",B2119)),
ISNUMBER(SEARCH("FLIP TABLET",B2119)),
ISNUMBER(SEARCH("CASE FOR TABLET",B2119)),
ISNUMBER(SEARCH("CABLE",B2119)),
ISNUMBER(SEARCH("ADAPTADOR",B2119)),
ISNUMBER(SEARCH("HUB",B2119)),
ISNUMBER(SEARCH("DOCK",B2119)),
ISNUMBER(SEARCH("MOUSE PAD",B2119)),
ISNUMBER(SEARCH("MOUSEPAD",B2119)),
ISNUMBER(SEARCH("SOPORTE",B2119)),
ISNUMBER(SEARCH("STAND",B2119)),
ISNUMBER(SEARCH("TRAVEL ADAPTER",B2119)),
ISNUMBER(SEARCH("RJ45",B2119)),
ISNUMBER(SEARCH("USB-C",B2119)),
ISNUMBER(SEARCH("USB WIFI",B2119)),
ISNUMBER(SEARCH("POWERBANK",B2119)),
ISNUMBER(SEARCH("CARGADOR",B2119)),
ISNUMBER(SEARCH("COOLER PARA NB",B2119)),
ISNUMBER(SEARCH("SOPORTE PARA NB",B2119)),
ISNUMBER(SEARCH("WEBCAM",B2119)),
ISNUMBER(SEARCH("WEB CAM",B2119)),
ISNUMBER(SEARCH("MOUSE",B2119)),
ISNUMBER(SEARCH("TECLADO",B2119))
),
"COMPLEMENTO",
IF(
OR(
LEFT(A2119,2)="NB",
LEFT(A2119,2)="PC",
LEFT(A2119,2)="WS",
LEFT(A2119,2)="TB",
LEFT(A2119,3)="CEL",
LEFT(A2119,3)="MON",
LEFT(A2119,3)="PRE",
LEFT(A2119,3)="PRH",
ISNUMBER(SEARCH("NOTEBOOK",B2119)),
ISNUMBER(SEARCH("LAPTOP",B2119)),
ISNUMBER(SEARCH("MONITOR",B2119)),
ISNUMBER(SEARCH("TABLET",B2119)),
ISNUMBER(SEARCH("SMARTPH",B2119)),
ISNUMBER(SEARCH("IMPRESORA",B2119)),
ISNUMBER(SEARCH("MULTIFUNCIONAL",B2119)),
ISNUMBER(SEARCH("AIO",B2119))
),
"GANCHO",
"NORMAL"
)
)</f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>ROUND(
IF(L2116="GANCHO",
   IF(I2118&lt;=50,I2118*1.1+4,IF(I2118&lt;=120,I2118*1.1+7,IF(I2118&lt;=250,I2118*1.1+11,I2118*1.1+19))),
IF(L2116="NORMAL",
   IF(I2118&lt;=30,I2118*1.15+2,IF(I2118&lt;=80,I2118*1.15+4,IF(I2118&lt;=150,I2118*1.15+6,I2118*1.15+8))),
IF(L2116="COMPLEMENTO",
   IF(I2118&lt;=25,I2118*1.25+1.5,IF(I2118&lt;=60,I2118*1.25+3,IF(I2118&lt;=120,I2118*1.25+4,I2118*1.25+5))),
""))),2)</f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>IF(
OR(
ISNUMBER(SEARCH("BACKPACK",B2120)),
ISNUMBER(SEARCH("MOCHILA",B2120)),
ISNUMBER(SEARCH("FUNDA",B2120)),
ISNUMBER(SEARCH("ESTUCHE",B2120)),
ISNUMBER(SEARCH("BOOK COVER",B2120)),
ISNUMBER(SEARCH("KEYBOARD PARA TABLET",B2120)),
ISNUMBER(SEARCH("FLIP TABLET",B2120)),
ISNUMBER(SEARCH("CASE FOR TABLET",B2120)),
ISNUMBER(SEARCH("CABLE",B2120)),
ISNUMBER(SEARCH("ADAPTADOR",B2120)),
ISNUMBER(SEARCH("HUB",B2120)),
ISNUMBER(SEARCH("DOCK",B2120)),
ISNUMBER(SEARCH("MOUSE PAD",B2120)),
ISNUMBER(SEARCH("MOUSEPAD",B2120)),
ISNUMBER(SEARCH("SOPORTE",B2120)),
ISNUMBER(SEARCH("STAND",B2120)),
ISNUMBER(SEARCH("TRAVEL ADAPTER",B2120)),
ISNUMBER(SEARCH("RJ45",B2120)),
ISNUMBER(SEARCH("USB-C",B2120)),
ISNUMBER(SEARCH("USB WIFI",B2120)),
ISNUMBER(SEARCH("POWERBANK",B2120)),
ISNUMBER(SEARCH("CARGADOR",B2120)),
ISNUMBER(SEARCH("COOLER PARA NB",B2120)),
ISNUMBER(SEARCH("SOPORTE PARA NB",B2120)),
ISNUMBER(SEARCH("WEBCAM",B2120)),
ISNUMBER(SEARCH("WEB CAM",B2120)),
ISNUMBER(SEARCH("MOUSE",B2120)),
ISNUMBER(SEARCH("TECLADO",B2120))
),
"COMPLEMENTO",
IF(
OR(
LEFT(A2120,2)="NB",
LEFT(A2120,2)="PC",
LEFT(A2120,2)="WS",
LEFT(A2120,2)="TB",
LEFT(A2120,3)="CEL",
LEFT(A2120,3)="MON",
LEFT(A2120,3)="PRE",
LEFT(A2120,3)="PRH",
ISNUMBER(SEARCH("NOTEBOOK",B2120)),
ISNUMBER(SEARCH("LAPTOP",B2120)),
ISNUMBER(SEARCH("MONITOR",B2120)),
ISNUMBER(SEARCH("TABLET",B2120)),
ISNUMBER(SEARCH("SMARTPH",B2120)),
ISNUMBER(SEARCH("IMPRESORA",B2120)),
ISNUMBER(SEARCH("MULTIFUNCIONAL",B2120)),
ISNUMBER(SEARCH("AIO",B2120))
),
"GANCHO",
"NORMAL"
)
)</f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>ROUND(
IF(L2117="GANCHO",
   IF(I2119&lt;=50,I2119*1.1+4,IF(I2119&lt;=120,I2119*1.1+7,IF(I2119&lt;=250,I2119*1.1+11,I2119*1.1+19))),
IF(L2117="NORMAL",
   IF(I2119&lt;=30,I2119*1.15+2,IF(I2119&lt;=80,I2119*1.15+4,IF(I2119&lt;=150,I2119*1.15+6,I2119*1.15+8))),
IF(L2117="COMPLEMENTO",
   IF(I2119&lt;=25,I2119*1.25+1.5,IF(I2119&lt;=60,I2119*1.25+3,IF(I2119&lt;=120,I2119*1.25+4,I2119*1.25+5))),
""))),2)</f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>IF(
OR(
ISNUMBER(SEARCH("BACKPACK",B2121)),
ISNUMBER(SEARCH("MOCHILA",B2121)),
ISNUMBER(SEARCH("FUNDA",B2121)),
ISNUMBER(SEARCH("ESTUCHE",B2121)),
ISNUMBER(SEARCH("BOOK COVER",B2121)),
ISNUMBER(SEARCH("KEYBOARD PARA TABLET",B2121)),
ISNUMBER(SEARCH("FLIP TABLET",B2121)),
ISNUMBER(SEARCH("CASE FOR TABLET",B2121)),
ISNUMBER(SEARCH("CABLE",B2121)),
ISNUMBER(SEARCH("ADAPTADOR",B2121)),
ISNUMBER(SEARCH("HUB",B2121)),
ISNUMBER(SEARCH("DOCK",B2121)),
ISNUMBER(SEARCH("MOUSE PAD",B2121)),
ISNUMBER(SEARCH("MOUSEPAD",B2121)),
ISNUMBER(SEARCH("SOPORTE",B2121)),
ISNUMBER(SEARCH("STAND",B2121)),
ISNUMBER(SEARCH("TRAVEL ADAPTER",B2121)),
ISNUMBER(SEARCH("RJ45",B2121)),
ISNUMBER(SEARCH("USB-C",B2121)),
ISNUMBER(SEARCH("USB WIFI",B2121)),
ISNUMBER(SEARCH("POWERBANK",B2121)),
ISNUMBER(SEARCH("CARGADOR",B2121)),
ISNUMBER(SEARCH("COOLER PARA NB",B2121)),
ISNUMBER(SEARCH("SOPORTE PARA NB",B2121)),
ISNUMBER(SEARCH("WEBCAM",B2121)),
ISNUMBER(SEARCH("WEB CAM",B2121)),
ISNUMBER(SEARCH("MOUSE",B2121)),
ISNUMBER(SEARCH("TECLADO",B2121))
),
"COMPLEMENTO",
IF(
OR(
LEFT(A2121,2)="NB",
LEFT(A2121,2)="PC",
LEFT(A2121,2)="WS",
LEFT(A2121,2)="TB",
LEFT(A2121,3)="CEL",
LEFT(A2121,3)="MON",
LEFT(A2121,3)="PRE",
LEFT(A2121,3)="PRH",
ISNUMBER(SEARCH("NOTEBOOK",B2121)),
ISNUMBER(SEARCH("LAPTOP",B2121)),
ISNUMBER(SEARCH("MONITOR",B2121)),
ISNUMBER(SEARCH("TABLET",B2121)),
ISNUMBER(SEARCH("SMARTPH",B2121)),
ISNUMBER(SEARCH("IMPRESORA",B2121)),
ISNUMBER(SEARCH("MULTIFUNCIONAL",B2121)),
ISNUMBER(SEARCH("AIO",B2121))
),
"GANCHO",
"NORMAL"
)
)</f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>ROUND(
IF(L2118="GANCHO",
   IF(I2120&lt;=50,I2120*1.1+4,IF(I2120&lt;=120,I2120*1.1+7,IF(I2120&lt;=250,I2120*1.1+11,I2120*1.1+19))),
IF(L2118="NORMAL",
   IF(I2120&lt;=30,I2120*1.15+2,IF(I2120&lt;=80,I2120*1.15+4,IF(I2120&lt;=150,I2120*1.15+6,I2120*1.15+8))),
IF(L2118="COMPLEMENTO",
   IF(I2120&lt;=25,I2120*1.25+1.5,IF(I2120&lt;=60,I2120*1.25+3,IF(I2120&lt;=120,I2120*1.25+4,I2120*1.25+5))),
""))),2)</f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>IF(
OR(
ISNUMBER(SEARCH("BACKPACK",B2122)),
ISNUMBER(SEARCH("MOCHILA",B2122)),
ISNUMBER(SEARCH("FUNDA",B2122)),
ISNUMBER(SEARCH("ESTUCHE",B2122)),
ISNUMBER(SEARCH("BOOK COVER",B2122)),
ISNUMBER(SEARCH("KEYBOARD PARA TABLET",B2122)),
ISNUMBER(SEARCH("FLIP TABLET",B2122)),
ISNUMBER(SEARCH("CASE FOR TABLET",B2122)),
ISNUMBER(SEARCH("CABLE",B2122)),
ISNUMBER(SEARCH("ADAPTADOR",B2122)),
ISNUMBER(SEARCH("HUB",B2122)),
ISNUMBER(SEARCH("DOCK",B2122)),
ISNUMBER(SEARCH("MOUSE PAD",B2122)),
ISNUMBER(SEARCH("MOUSEPAD",B2122)),
ISNUMBER(SEARCH("SOPORTE",B2122)),
ISNUMBER(SEARCH("STAND",B2122)),
ISNUMBER(SEARCH("TRAVEL ADAPTER",B2122)),
ISNUMBER(SEARCH("RJ45",B2122)),
ISNUMBER(SEARCH("USB-C",B2122)),
ISNUMBER(SEARCH("USB WIFI",B2122)),
ISNUMBER(SEARCH("POWERBANK",B2122)),
ISNUMBER(SEARCH("CARGADOR",B2122)),
ISNUMBER(SEARCH("COOLER PARA NB",B2122)),
ISNUMBER(SEARCH("SOPORTE PARA NB",B2122)),
ISNUMBER(SEARCH("WEBCAM",B2122)),
ISNUMBER(SEARCH("WEB CAM",B2122)),
ISNUMBER(SEARCH("MOUSE",B2122)),
ISNUMBER(SEARCH("TECLADO",B2122))
),
"COMPLEMENTO",
IF(
OR(
LEFT(A2122,2)="NB",
LEFT(A2122,2)="PC",
LEFT(A2122,2)="WS",
LEFT(A2122,2)="TB",
LEFT(A2122,3)="CEL",
LEFT(A2122,3)="MON",
LEFT(A2122,3)="PRE",
LEFT(A2122,3)="PRH",
ISNUMBER(SEARCH("NOTEBOOK",B2122)),
ISNUMBER(SEARCH("LAPTOP",B2122)),
ISNUMBER(SEARCH("MONITOR",B2122)),
ISNUMBER(SEARCH("TABLET",B2122)),
ISNUMBER(SEARCH("SMARTPH",B2122)),
ISNUMBER(SEARCH("IMPRESORA",B2122)),
ISNUMBER(SEARCH("MULTIFUNCIONAL",B2122)),
ISNUMBER(SEARCH("AIO",B2122))
),
"GANCHO",
"NORMAL"
)
)</f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>ROUND(
IF(L2119="GANCHO",
   IF(I2121&lt;=50,I2121*1.1+4,IF(I2121&lt;=120,I2121*1.1+7,IF(I2121&lt;=250,I2121*1.1+11,I2121*1.1+19))),
IF(L2119="NORMAL",
   IF(I2121&lt;=30,I2121*1.15+2,IF(I2121&lt;=80,I2121*1.15+4,IF(I2121&lt;=150,I2121*1.15+6,I2121*1.15+8))),
IF(L2119="COMPLEMENTO",
   IF(I2121&lt;=25,I2121*1.25+1.5,IF(I2121&lt;=60,I2121*1.25+3,IF(I2121&lt;=120,I2121*1.25+4,I2121*1.25+5))),
""))),2)</f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>IF(
OR(
ISNUMBER(SEARCH("BACKPACK",B2123)),
ISNUMBER(SEARCH("MOCHILA",B2123)),
ISNUMBER(SEARCH("FUNDA",B2123)),
ISNUMBER(SEARCH("ESTUCHE",B2123)),
ISNUMBER(SEARCH("BOOK COVER",B2123)),
ISNUMBER(SEARCH("KEYBOARD PARA TABLET",B2123)),
ISNUMBER(SEARCH("FLIP TABLET",B2123)),
ISNUMBER(SEARCH("CASE FOR TABLET",B2123)),
ISNUMBER(SEARCH("CABLE",B2123)),
ISNUMBER(SEARCH("ADAPTADOR",B2123)),
ISNUMBER(SEARCH("HUB",B2123)),
ISNUMBER(SEARCH("DOCK",B2123)),
ISNUMBER(SEARCH("MOUSE PAD",B2123)),
ISNUMBER(SEARCH("MOUSEPAD",B2123)),
ISNUMBER(SEARCH("SOPORTE",B2123)),
ISNUMBER(SEARCH("STAND",B2123)),
ISNUMBER(SEARCH("TRAVEL ADAPTER",B2123)),
ISNUMBER(SEARCH("RJ45",B2123)),
ISNUMBER(SEARCH("USB-C",B2123)),
ISNUMBER(SEARCH("USB WIFI",B2123)),
ISNUMBER(SEARCH("POWERBANK",B2123)),
ISNUMBER(SEARCH("CARGADOR",B2123)),
ISNUMBER(SEARCH("COOLER PARA NB",B2123)),
ISNUMBER(SEARCH("SOPORTE PARA NB",B2123)),
ISNUMBER(SEARCH("WEBCAM",B2123)),
ISNUMBER(SEARCH("WEB CAM",B2123)),
ISNUMBER(SEARCH("MOUSE",B2123)),
ISNUMBER(SEARCH("TECLADO",B2123))
),
"COMPLEMENTO",
IF(
OR(
LEFT(A2123,2)="NB",
LEFT(A2123,2)="PC",
LEFT(A2123,2)="WS",
LEFT(A2123,2)="TB",
LEFT(A2123,3)="CEL",
LEFT(A2123,3)="MON",
LEFT(A2123,3)="PRE",
LEFT(A2123,3)="PRH",
ISNUMBER(SEARCH("NOTEBOOK",B2123)),
ISNUMBER(SEARCH("LAPTOP",B2123)),
ISNUMBER(SEARCH("MONITOR",B2123)),
ISNUMBER(SEARCH("TABLET",B2123)),
ISNUMBER(SEARCH("SMARTPH",B2123)),
ISNUMBER(SEARCH("IMPRESORA",B2123)),
ISNUMBER(SEARCH("MULTIFUNCIONAL",B2123)),
ISNUMBER(SEARCH("AIO",B2123))
),
"GANCHO",
"NORMAL"
)
)</f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>ROUND(
IF(L2120="GANCHO",
   IF(I2122&lt;=50,I2122*1.1+4,IF(I2122&lt;=120,I2122*1.1+7,IF(I2122&lt;=250,I2122*1.1+11,I2122*1.1+19))),
IF(L2120="NORMAL",
   IF(I2122&lt;=30,I2122*1.15+2,IF(I2122&lt;=80,I2122*1.15+4,IF(I2122&lt;=150,I2122*1.15+6,I2122*1.15+8))),
IF(L2120="COMPLEMENTO",
   IF(I2122&lt;=25,I2122*1.25+1.5,IF(I2122&lt;=60,I2122*1.25+3,IF(I2122&lt;=120,I2122*1.25+4,I2122*1.25+5))),
""))),2)</f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>IF(
OR(
ISNUMBER(SEARCH("BACKPACK",B2124)),
ISNUMBER(SEARCH("MOCHILA",B2124)),
ISNUMBER(SEARCH("FUNDA",B2124)),
ISNUMBER(SEARCH("ESTUCHE",B2124)),
ISNUMBER(SEARCH("BOOK COVER",B2124)),
ISNUMBER(SEARCH("KEYBOARD PARA TABLET",B2124)),
ISNUMBER(SEARCH("FLIP TABLET",B2124)),
ISNUMBER(SEARCH("CASE FOR TABLET",B2124)),
ISNUMBER(SEARCH("CABLE",B2124)),
ISNUMBER(SEARCH("ADAPTADOR",B2124)),
ISNUMBER(SEARCH("HUB",B2124)),
ISNUMBER(SEARCH("DOCK",B2124)),
ISNUMBER(SEARCH("MOUSE PAD",B2124)),
ISNUMBER(SEARCH("MOUSEPAD",B2124)),
ISNUMBER(SEARCH("SOPORTE",B2124)),
ISNUMBER(SEARCH("STAND",B2124)),
ISNUMBER(SEARCH("TRAVEL ADAPTER",B2124)),
ISNUMBER(SEARCH("RJ45",B2124)),
ISNUMBER(SEARCH("USB-C",B2124)),
ISNUMBER(SEARCH("USB WIFI",B2124)),
ISNUMBER(SEARCH("POWERBANK",B2124)),
ISNUMBER(SEARCH("CARGADOR",B2124)),
ISNUMBER(SEARCH("COOLER PARA NB",B2124)),
ISNUMBER(SEARCH("SOPORTE PARA NB",B2124)),
ISNUMBER(SEARCH("WEBCAM",B2124)),
ISNUMBER(SEARCH("WEB CAM",B2124)),
ISNUMBER(SEARCH("MOUSE",B2124)),
ISNUMBER(SEARCH("TECLADO",B2124))
),
"COMPLEMENTO",
IF(
OR(
LEFT(A2124,2)="NB",
LEFT(A2124,2)="PC",
LEFT(A2124,2)="WS",
LEFT(A2124,2)="TB",
LEFT(A2124,3)="CEL",
LEFT(A2124,3)="MON",
LEFT(A2124,3)="PRE",
LEFT(A2124,3)="PRH",
ISNUMBER(SEARCH("NOTEBOOK",B2124)),
ISNUMBER(SEARCH("LAPTOP",B2124)),
ISNUMBER(SEARCH("MONITOR",B2124)),
ISNUMBER(SEARCH("TABLET",B2124)),
ISNUMBER(SEARCH("SMARTPH",B2124)),
ISNUMBER(SEARCH("IMPRESORA",B2124)),
ISNUMBER(SEARCH("MULTIFUNCIONAL",B2124)),
ISNUMBER(SEARCH("AIO",B2124))
),
"GANCHO",
"NORMAL"
)
)</f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>ROUND(
IF(L2121="GANCHO",
   IF(I2123&lt;=50,I2123*1.1+4,IF(I2123&lt;=120,I2123*1.1+7,IF(I2123&lt;=250,I2123*1.1+11,I2123*1.1+19))),
IF(L2121="NORMAL",
   IF(I2123&lt;=30,I2123*1.15+2,IF(I2123&lt;=80,I2123*1.15+4,IF(I2123&lt;=150,I2123*1.15+6,I2123*1.15+8))),
IF(L2121="COMPLEMENTO",
   IF(I2123&lt;=25,I2123*1.25+1.5,IF(I2123&lt;=60,I2123*1.25+3,IF(I2123&lt;=120,I2123*1.25+4,I2123*1.25+5))),
""))),2)</f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>IF(
OR(
ISNUMBER(SEARCH("BACKPACK",B2125)),
ISNUMBER(SEARCH("MOCHILA",B2125)),
ISNUMBER(SEARCH("FUNDA",B2125)),
ISNUMBER(SEARCH("ESTUCHE",B2125)),
ISNUMBER(SEARCH("BOOK COVER",B2125)),
ISNUMBER(SEARCH("KEYBOARD PARA TABLET",B2125)),
ISNUMBER(SEARCH("FLIP TABLET",B2125)),
ISNUMBER(SEARCH("CASE FOR TABLET",B2125)),
ISNUMBER(SEARCH("CABLE",B2125)),
ISNUMBER(SEARCH("ADAPTADOR",B2125)),
ISNUMBER(SEARCH("HUB",B2125)),
ISNUMBER(SEARCH("DOCK",B2125)),
ISNUMBER(SEARCH("MOUSE PAD",B2125)),
ISNUMBER(SEARCH("MOUSEPAD",B2125)),
ISNUMBER(SEARCH("SOPORTE",B2125)),
ISNUMBER(SEARCH("STAND",B2125)),
ISNUMBER(SEARCH("TRAVEL ADAPTER",B2125)),
ISNUMBER(SEARCH("RJ45",B2125)),
ISNUMBER(SEARCH("USB-C",B2125)),
ISNUMBER(SEARCH("USB WIFI",B2125)),
ISNUMBER(SEARCH("POWERBANK",B2125)),
ISNUMBER(SEARCH("CARGADOR",B2125)),
ISNUMBER(SEARCH("COOLER PARA NB",B2125)),
ISNUMBER(SEARCH("SOPORTE PARA NB",B2125)),
ISNUMBER(SEARCH("WEBCAM",B2125)),
ISNUMBER(SEARCH("WEB CAM",B2125)),
ISNUMBER(SEARCH("MOUSE",B2125)),
ISNUMBER(SEARCH("TECLADO",B2125))
),
"COMPLEMENTO",
IF(
OR(
LEFT(A2125,2)="NB",
LEFT(A2125,2)="PC",
LEFT(A2125,2)="WS",
LEFT(A2125,2)="TB",
LEFT(A2125,3)="CEL",
LEFT(A2125,3)="MON",
LEFT(A2125,3)="PRE",
LEFT(A2125,3)="PRH",
ISNUMBER(SEARCH("NOTEBOOK",B2125)),
ISNUMBER(SEARCH("LAPTOP",B2125)),
ISNUMBER(SEARCH("MONITOR",B2125)),
ISNUMBER(SEARCH("TABLET",B2125)),
ISNUMBER(SEARCH("SMARTPH",B2125)),
ISNUMBER(SEARCH("IMPRESORA",B2125)),
ISNUMBER(SEARCH("MULTIFUNCIONAL",B2125)),
ISNUMBER(SEARCH("AIO",B2125))
),
"GANCHO",
"NORMAL"
)
)</f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>ROUND(
IF(L2122="GANCHO",
   IF(I2124&lt;=50,I2124*1.1+4,IF(I2124&lt;=120,I2124*1.1+7,IF(I2124&lt;=250,I2124*1.1+11,I2124*1.1+19))),
IF(L2122="NORMAL",
   IF(I2124&lt;=30,I2124*1.15+2,IF(I2124&lt;=80,I2124*1.15+4,IF(I2124&lt;=150,I2124*1.15+6,I2124*1.15+8))),
IF(L2122="COMPLEMENTO",
   IF(I2124&lt;=25,I2124*1.25+1.5,IF(I2124&lt;=60,I2124*1.25+3,IF(I2124&lt;=120,I2124*1.25+4,I2124*1.25+5))),
""))),2)</f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>IF(
OR(
ISNUMBER(SEARCH("BACKPACK",B2126)),
ISNUMBER(SEARCH("MOCHILA",B2126)),
ISNUMBER(SEARCH("FUNDA",B2126)),
ISNUMBER(SEARCH("ESTUCHE",B2126)),
ISNUMBER(SEARCH("BOOK COVER",B2126)),
ISNUMBER(SEARCH("KEYBOARD PARA TABLET",B2126)),
ISNUMBER(SEARCH("FLIP TABLET",B2126)),
ISNUMBER(SEARCH("CASE FOR TABLET",B2126)),
ISNUMBER(SEARCH("CABLE",B2126)),
ISNUMBER(SEARCH("ADAPTADOR",B2126)),
ISNUMBER(SEARCH("HUB",B2126)),
ISNUMBER(SEARCH("DOCK",B2126)),
ISNUMBER(SEARCH("MOUSE PAD",B2126)),
ISNUMBER(SEARCH("MOUSEPAD",B2126)),
ISNUMBER(SEARCH("SOPORTE",B2126)),
ISNUMBER(SEARCH("STAND",B2126)),
ISNUMBER(SEARCH("TRAVEL ADAPTER",B2126)),
ISNUMBER(SEARCH("RJ45",B2126)),
ISNUMBER(SEARCH("USB-C",B2126)),
ISNUMBER(SEARCH("USB WIFI",B2126)),
ISNUMBER(SEARCH("POWERBANK",B2126)),
ISNUMBER(SEARCH("CARGADOR",B2126)),
ISNUMBER(SEARCH("COOLER PARA NB",B2126)),
ISNUMBER(SEARCH("SOPORTE PARA NB",B2126)),
ISNUMBER(SEARCH("WEBCAM",B2126)),
ISNUMBER(SEARCH("WEB CAM",B2126)),
ISNUMBER(SEARCH("MOUSE",B2126)),
ISNUMBER(SEARCH("TECLADO",B2126))
),
"COMPLEMENTO",
IF(
OR(
LEFT(A2126,2)="NB",
LEFT(A2126,2)="PC",
LEFT(A2126,2)="WS",
LEFT(A2126,2)="TB",
LEFT(A2126,3)="CEL",
LEFT(A2126,3)="MON",
LEFT(A2126,3)="PRE",
LEFT(A2126,3)="PRH",
ISNUMBER(SEARCH("NOTEBOOK",B2126)),
ISNUMBER(SEARCH("LAPTOP",B2126)),
ISNUMBER(SEARCH("MONITOR",B2126)),
ISNUMBER(SEARCH("TABLET",B2126)),
ISNUMBER(SEARCH("SMARTPH",B2126)),
ISNUMBER(SEARCH("IMPRESORA",B2126)),
ISNUMBER(SEARCH("MULTIFUNCIONAL",B2126)),
ISNUMBER(SEARCH("AIO",B2126))
),
"GANCHO",
"NORMAL"
)
)</f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>ROUND(
IF(L2123="GANCHO",
   IF(I2125&lt;=50,I2125*1.1+4,IF(I2125&lt;=120,I2125*1.1+7,IF(I2125&lt;=250,I2125*1.1+11,I2125*1.1+19))),
IF(L2123="NORMAL",
   IF(I2125&lt;=30,I2125*1.15+2,IF(I2125&lt;=80,I2125*1.15+4,IF(I2125&lt;=150,I2125*1.15+6,I2125*1.15+8))),
IF(L2123="COMPLEMENTO",
   IF(I2125&lt;=25,I2125*1.25+1.5,IF(I2125&lt;=60,I2125*1.25+3,IF(I2125&lt;=120,I2125*1.25+4,I2125*1.25+5))),
""))),2)</f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>IF(
OR(
ISNUMBER(SEARCH("BACKPACK",B2127)),
ISNUMBER(SEARCH("MOCHILA",B2127)),
ISNUMBER(SEARCH("FUNDA",B2127)),
ISNUMBER(SEARCH("ESTUCHE",B2127)),
ISNUMBER(SEARCH("BOOK COVER",B2127)),
ISNUMBER(SEARCH("KEYBOARD PARA TABLET",B2127)),
ISNUMBER(SEARCH("FLIP TABLET",B2127)),
ISNUMBER(SEARCH("CASE FOR TABLET",B2127)),
ISNUMBER(SEARCH("CABLE",B2127)),
ISNUMBER(SEARCH("ADAPTADOR",B2127)),
ISNUMBER(SEARCH("HUB",B2127)),
ISNUMBER(SEARCH("DOCK",B2127)),
ISNUMBER(SEARCH("MOUSE PAD",B2127)),
ISNUMBER(SEARCH("MOUSEPAD",B2127)),
ISNUMBER(SEARCH("SOPORTE",B2127)),
ISNUMBER(SEARCH("STAND",B2127)),
ISNUMBER(SEARCH("TRAVEL ADAPTER",B2127)),
ISNUMBER(SEARCH("RJ45",B2127)),
ISNUMBER(SEARCH("USB-C",B2127)),
ISNUMBER(SEARCH("USB WIFI",B2127)),
ISNUMBER(SEARCH("POWERBANK",B2127)),
ISNUMBER(SEARCH("CARGADOR",B2127)),
ISNUMBER(SEARCH("COOLER PARA NB",B2127)),
ISNUMBER(SEARCH("SOPORTE PARA NB",B2127)),
ISNUMBER(SEARCH("WEBCAM",B2127)),
ISNUMBER(SEARCH("WEB CAM",B2127)),
ISNUMBER(SEARCH("MOUSE",B2127)),
ISNUMBER(SEARCH("TECLADO",B2127))
),
"COMPLEMENTO",
IF(
OR(
LEFT(A2127,2)="NB",
LEFT(A2127,2)="PC",
LEFT(A2127,2)="WS",
LEFT(A2127,2)="TB",
LEFT(A2127,3)="CEL",
LEFT(A2127,3)="MON",
LEFT(A2127,3)="PRE",
LEFT(A2127,3)="PRH",
ISNUMBER(SEARCH("NOTEBOOK",B2127)),
ISNUMBER(SEARCH("LAPTOP",B2127)),
ISNUMBER(SEARCH("MONITOR",B2127)),
ISNUMBER(SEARCH("TABLET",B2127)),
ISNUMBER(SEARCH("SMARTPH",B2127)),
ISNUMBER(SEARCH("IMPRESORA",B2127)),
ISNUMBER(SEARCH("MULTIFUNCIONAL",B2127)),
ISNUMBER(SEARCH("AIO",B2127))
),
"GANCHO",
"NORMAL"
)
)</f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>ROUND(
IF(L2124="GANCHO",
   IF(I2126&lt;=50,I2126*1.1+4,IF(I2126&lt;=120,I2126*1.1+7,IF(I2126&lt;=250,I2126*1.1+11,I2126*1.1+19))),
IF(L2124="NORMAL",
   IF(I2126&lt;=30,I2126*1.15+2,IF(I2126&lt;=80,I2126*1.15+4,IF(I2126&lt;=150,I2126*1.15+6,I2126*1.15+8))),
IF(L2124="COMPLEMENTO",
   IF(I2126&lt;=25,I2126*1.25+1.5,IF(I2126&lt;=60,I2126*1.25+3,IF(I2126&lt;=120,I2126*1.25+4,I2126*1.25+5))),
""))),2)</f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>IF(
OR(
ISNUMBER(SEARCH("BACKPACK",B2128)),
ISNUMBER(SEARCH("MOCHILA",B2128)),
ISNUMBER(SEARCH("FUNDA",B2128)),
ISNUMBER(SEARCH("ESTUCHE",B2128)),
ISNUMBER(SEARCH("BOOK COVER",B2128)),
ISNUMBER(SEARCH("KEYBOARD PARA TABLET",B2128)),
ISNUMBER(SEARCH("FLIP TABLET",B2128)),
ISNUMBER(SEARCH("CASE FOR TABLET",B2128)),
ISNUMBER(SEARCH("CABLE",B2128)),
ISNUMBER(SEARCH("ADAPTADOR",B2128)),
ISNUMBER(SEARCH("HUB",B2128)),
ISNUMBER(SEARCH("DOCK",B2128)),
ISNUMBER(SEARCH("MOUSE PAD",B2128)),
ISNUMBER(SEARCH("MOUSEPAD",B2128)),
ISNUMBER(SEARCH("SOPORTE",B2128)),
ISNUMBER(SEARCH("STAND",B2128)),
ISNUMBER(SEARCH("TRAVEL ADAPTER",B2128)),
ISNUMBER(SEARCH("RJ45",B2128)),
ISNUMBER(SEARCH("USB-C",B2128)),
ISNUMBER(SEARCH("USB WIFI",B2128)),
ISNUMBER(SEARCH("POWERBANK",B2128)),
ISNUMBER(SEARCH("CARGADOR",B2128)),
ISNUMBER(SEARCH("COOLER PARA NB",B2128)),
ISNUMBER(SEARCH("SOPORTE PARA NB",B2128)),
ISNUMBER(SEARCH("WEBCAM",B2128)),
ISNUMBER(SEARCH("WEB CAM",B2128)),
ISNUMBER(SEARCH("MOUSE",B2128)),
ISNUMBER(SEARCH("TECLADO",B2128))
),
"COMPLEMENTO",
IF(
OR(
LEFT(A2128,2)="NB",
LEFT(A2128,2)="PC",
LEFT(A2128,2)="WS",
LEFT(A2128,2)="TB",
LEFT(A2128,3)="CEL",
LEFT(A2128,3)="MON",
LEFT(A2128,3)="PRE",
LEFT(A2128,3)="PRH",
ISNUMBER(SEARCH("NOTEBOOK",B2128)),
ISNUMBER(SEARCH("LAPTOP",B2128)),
ISNUMBER(SEARCH("MONITOR",B2128)),
ISNUMBER(SEARCH("TABLET",B2128)),
ISNUMBER(SEARCH("SMARTPH",B2128)),
ISNUMBER(SEARCH("IMPRESORA",B2128)),
ISNUMBER(SEARCH("MULTIFUNCIONAL",B2128)),
ISNUMBER(SEARCH("AIO",B2128))
),
"GANCHO",
"NORMAL"
)
)</f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>ROUND(
IF(L2125="GANCHO",
   IF(I2127&lt;=50,I2127*1.1+4,IF(I2127&lt;=120,I2127*1.1+7,IF(I2127&lt;=250,I2127*1.1+11,I2127*1.1+19))),
IF(L2125="NORMAL",
   IF(I2127&lt;=30,I2127*1.15+2,IF(I2127&lt;=80,I2127*1.15+4,IF(I2127&lt;=150,I2127*1.15+6,I2127*1.15+8))),
IF(L2125="COMPLEMENTO",
   IF(I2127&lt;=25,I2127*1.25+1.5,IF(I2127&lt;=60,I2127*1.25+3,IF(I2127&lt;=120,I2127*1.25+4,I2127*1.25+5))),
""))),2)</f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>IF(
OR(
ISNUMBER(SEARCH("BACKPACK",B2129)),
ISNUMBER(SEARCH("MOCHILA",B2129)),
ISNUMBER(SEARCH("FUNDA",B2129)),
ISNUMBER(SEARCH("ESTUCHE",B2129)),
ISNUMBER(SEARCH("BOOK COVER",B2129)),
ISNUMBER(SEARCH("KEYBOARD PARA TABLET",B2129)),
ISNUMBER(SEARCH("FLIP TABLET",B2129)),
ISNUMBER(SEARCH("CASE FOR TABLET",B2129)),
ISNUMBER(SEARCH("CABLE",B2129)),
ISNUMBER(SEARCH("ADAPTADOR",B2129)),
ISNUMBER(SEARCH("HUB",B2129)),
ISNUMBER(SEARCH("DOCK",B2129)),
ISNUMBER(SEARCH("MOUSE PAD",B2129)),
ISNUMBER(SEARCH("MOUSEPAD",B2129)),
ISNUMBER(SEARCH("SOPORTE",B2129)),
ISNUMBER(SEARCH("STAND",B2129)),
ISNUMBER(SEARCH("TRAVEL ADAPTER",B2129)),
ISNUMBER(SEARCH("RJ45",B2129)),
ISNUMBER(SEARCH("USB-C",B2129)),
ISNUMBER(SEARCH("USB WIFI",B2129)),
ISNUMBER(SEARCH("POWERBANK",B2129)),
ISNUMBER(SEARCH("CARGADOR",B2129)),
ISNUMBER(SEARCH("COOLER PARA NB",B2129)),
ISNUMBER(SEARCH("SOPORTE PARA NB",B2129)),
ISNUMBER(SEARCH("WEBCAM",B2129)),
ISNUMBER(SEARCH("WEB CAM",B2129)),
ISNUMBER(SEARCH("MOUSE",B2129)),
ISNUMBER(SEARCH("TECLADO",B2129))
),
"COMPLEMENTO",
IF(
OR(
LEFT(A2129,2)="NB",
LEFT(A2129,2)="PC",
LEFT(A2129,2)="WS",
LEFT(A2129,2)="TB",
LEFT(A2129,3)="CEL",
LEFT(A2129,3)="MON",
LEFT(A2129,3)="PRE",
LEFT(A2129,3)="PRH",
ISNUMBER(SEARCH("NOTEBOOK",B2129)),
ISNUMBER(SEARCH("LAPTOP",B2129)),
ISNUMBER(SEARCH("MONITOR",B2129)),
ISNUMBER(SEARCH("TABLET",B2129)),
ISNUMBER(SEARCH("SMARTPH",B2129)),
ISNUMBER(SEARCH("IMPRESORA",B2129)),
ISNUMBER(SEARCH("MULTIFUNCIONAL",B2129)),
ISNUMBER(SEARCH("AIO",B2129))
),
"GANCHO",
"NORMAL"
)
)</f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>ROUND(
IF(L2126="GANCHO",
   IF(I2128&lt;=50,I2128*1.1+4,IF(I2128&lt;=120,I2128*1.1+7,IF(I2128&lt;=250,I2128*1.1+11,I2128*1.1+19))),
IF(L2126="NORMAL",
   IF(I2128&lt;=30,I2128*1.15+2,IF(I2128&lt;=80,I2128*1.15+4,IF(I2128&lt;=150,I2128*1.15+6,I2128*1.15+8))),
IF(L2126="COMPLEMENTO",
   IF(I2128&lt;=25,I2128*1.25+1.5,IF(I2128&lt;=60,I2128*1.25+3,IF(I2128&lt;=120,I2128*1.25+4,I2128*1.25+5))),
""))),2)</f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>ROUND(
IF(L2127="GANCHO",
   IF(I2129&lt;=50,I2129*1.1+4,IF(I2129&lt;=120,I2129*1.1+7,IF(I2129&lt;=250,I2129*1.1+11,I2129*1.1+19))),
IF(L2127="NORMAL",
   IF(I2129&lt;=30,I2129*1.15+2,IF(I2129&lt;=80,I2129*1.15+4,IF(I2129&lt;=150,I2129*1.15+6,I2129*1.15+8))),
IF(L2127="COMPLEMENTO",
   IF(I2129&lt;=25,I2129*1.25+1.5,IF(I2129&lt;=60,I2129*1.25+3,IF(I2129&lt;=120,I2129*1.25+4,I2129*1.25+5))),
""))),2)</f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>IF(
OR(
ISNUMBER(SEARCH("BACKPACK",B2131)),
ISNUMBER(SEARCH("MOCHILA",B2131)),
ISNUMBER(SEARCH("FUNDA",B2131)),
ISNUMBER(SEARCH("ESTUCHE",B2131)),
ISNUMBER(SEARCH("BOOK COVER",B2131)),
ISNUMBER(SEARCH("KEYBOARD PARA TABLET",B2131)),
ISNUMBER(SEARCH("FLIP TABLET",B2131)),
ISNUMBER(SEARCH("CASE FOR TABLET",B2131)),
ISNUMBER(SEARCH("CABLE",B2131)),
ISNUMBER(SEARCH("ADAPTADOR",B2131)),
ISNUMBER(SEARCH("HUB",B2131)),
ISNUMBER(SEARCH("DOCK",B2131)),
ISNUMBER(SEARCH("MOUSE PAD",B2131)),
ISNUMBER(SEARCH("MOUSEPAD",B2131)),
ISNUMBER(SEARCH("SOPORTE",B2131)),
ISNUMBER(SEARCH("STAND",B2131)),
ISNUMBER(SEARCH("TRAVEL ADAPTER",B2131)),
ISNUMBER(SEARCH("RJ45",B2131)),
ISNUMBER(SEARCH("USB-C",B2131)),
ISNUMBER(SEARCH("USB WIFI",B2131)),
ISNUMBER(SEARCH("POWERBANK",B2131)),
ISNUMBER(SEARCH("CARGADOR",B2131)),
ISNUMBER(SEARCH("COOLER PARA NB",B2131)),
ISNUMBER(SEARCH("SOPORTE PARA NB",B2131)),
ISNUMBER(SEARCH("WEBCAM",B2131)),
ISNUMBER(SEARCH("WEB CAM",B2131)),
ISNUMBER(SEARCH("MOUSE",B2131)),
ISNUMBER(SEARCH("TECLADO",B2131))
),
"COMPLEMENTO",
IF(
OR(
LEFT(A2131,2)="NB",
LEFT(A2131,2)="PC",
LEFT(A2131,2)="WS",
LEFT(A2131,2)="TB",
LEFT(A2131,3)="CEL",
LEFT(A2131,3)="MON",
LEFT(A2131,3)="PRE",
LEFT(A2131,3)="PRH",
ISNUMBER(SEARCH("NOTEBOOK",B2131)),
ISNUMBER(SEARCH("LAPTOP",B2131)),
ISNUMBER(SEARCH("MONITOR",B2131)),
ISNUMBER(SEARCH("TABLET",B2131)),
ISNUMBER(SEARCH("SMARTPH",B2131)),
ISNUMBER(SEARCH("IMPRESORA",B2131)),
ISNUMBER(SEARCH("MULTIFUNCIONAL",B2131)),
ISNUMBER(SEARCH("AIO",B2131))
),
"GANCHO",
"NORMAL"
)
)</f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>ROUND(
IF(L2128="GANCHO",
   IF(I2130&lt;=50,I2130*1.1+4,IF(I2130&lt;=120,I2130*1.1+7,IF(I2130&lt;=250,I2130*1.1+11,I2130*1.1+19))),
IF(L2128="NORMAL",
   IF(I2130&lt;=30,I2130*1.15+2,IF(I2130&lt;=80,I2130*1.15+4,IF(I2130&lt;=150,I2130*1.15+6,I2130*1.15+8))),
IF(L2128="COMPLEMENTO",
   IF(I2130&lt;=25,I2130*1.25+1.5,IF(I2130&lt;=60,I2130*1.25+3,IF(I2130&lt;=120,I2130*1.25+4,I2130*1.25+5))),
""))),2)</f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>IF(
OR(
ISNUMBER(SEARCH("BACKPACK",B2132)),
ISNUMBER(SEARCH("MOCHILA",B2132)),
ISNUMBER(SEARCH("FUNDA",B2132)),
ISNUMBER(SEARCH("ESTUCHE",B2132)),
ISNUMBER(SEARCH("BOOK COVER",B2132)),
ISNUMBER(SEARCH("KEYBOARD PARA TABLET",B2132)),
ISNUMBER(SEARCH("FLIP TABLET",B2132)),
ISNUMBER(SEARCH("CASE FOR TABLET",B2132)),
ISNUMBER(SEARCH("CABLE",B2132)),
ISNUMBER(SEARCH("ADAPTADOR",B2132)),
ISNUMBER(SEARCH("HUB",B2132)),
ISNUMBER(SEARCH("DOCK",B2132)),
ISNUMBER(SEARCH("MOUSE PAD",B2132)),
ISNUMBER(SEARCH("MOUSEPAD",B2132)),
ISNUMBER(SEARCH("SOPORTE",B2132)),
ISNUMBER(SEARCH("STAND",B2132)),
ISNUMBER(SEARCH("TRAVEL ADAPTER",B2132)),
ISNUMBER(SEARCH("RJ45",B2132)),
ISNUMBER(SEARCH("USB-C",B2132)),
ISNUMBER(SEARCH("USB WIFI",B2132)),
ISNUMBER(SEARCH("POWERBANK",B2132)),
ISNUMBER(SEARCH("CARGADOR",B2132)),
ISNUMBER(SEARCH("COOLER PARA NB",B2132)),
ISNUMBER(SEARCH("SOPORTE PARA NB",B2132)),
ISNUMBER(SEARCH("WEBCAM",B2132)),
ISNUMBER(SEARCH("WEB CAM",B2132)),
ISNUMBER(SEARCH("MOUSE",B2132)),
ISNUMBER(SEARCH("TECLADO",B2132))
),
"COMPLEMENTO",
IF(
OR(
LEFT(A2132,2)="NB",
LEFT(A2132,2)="PC",
LEFT(A2132,2)="WS",
LEFT(A2132,2)="TB",
LEFT(A2132,3)="CEL",
LEFT(A2132,3)="MON",
LEFT(A2132,3)="PRE",
LEFT(A2132,3)="PRH",
ISNUMBER(SEARCH("NOTEBOOK",B2132)),
ISNUMBER(SEARCH("LAPTOP",B2132)),
ISNUMBER(SEARCH("MONITOR",B2132)),
ISNUMBER(SEARCH("TABLET",B2132)),
ISNUMBER(SEARCH("SMARTPH",B2132)),
ISNUMBER(SEARCH("IMPRESORA",B2132)),
ISNUMBER(SEARCH("MULTIFUNCIONAL",B2132)),
ISNUMBER(SEARCH("AIO",B2132))
),
"GANCHO",
"NORMAL"
)
)</f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>ROUND(
IF(L2129="GANCHO",
   IF(I2131&lt;=50,I2131*1.1+4,IF(I2131&lt;=120,I2131*1.1+7,IF(I2131&lt;=250,I2131*1.1+11,I2131*1.1+19))),
IF(L2129="NORMAL",
   IF(I2131&lt;=30,I2131*1.15+2,IF(I2131&lt;=80,I2131*1.15+4,IF(I2131&lt;=150,I2131*1.15+6,I2131*1.15+8))),
IF(L2129="COMPLEMENTO",
   IF(I2131&lt;=25,I2131*1.25+1.5,IF(I2131&lt;=60,I2131*1.25+3,IF(I2131&lt;=120,I2131*1.25+4,I2131*1.25+5))),
""))),2)</f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>IF(
OR(
ISNUMBER(SEARCH("BACKPACK",B2133)),
ISNUMBER(SEARCH("MOCHILA",B2133)),
ISNUMBER(SEARCH("FUNDA",B2133)),
ISNUMBER(SEARCH("ESTUCHE",B2133)),
ISNUMBER(SEARCH("BOOK COVER",B2133)),
ISNUMBER(SEARCH("KEYBOARD PARA TABLET",B2133)),
ISNUMBER(SEARCH("FLIP TABLET",B2133)),
ISNUMBER(SEARCH("CASE FOR TABLET",B2133)),
ISNUMBER(SEARCH("CABLE",B2133)),
ISNUMBER(SEARCH("ADAPTADOR",B2133)),
ISNUMBER(SEARCH("HUB",B2133)),
ISNUMBER(SEARCH("DOCK",B2133)),
ISNUMBER(SEARCH("MOUSE PAD",B2133)),
ISNUMBER(SEARCH("MOUSEPAD",B2133)),
ISNUMBER(SEARCH("SOPORTE",B2133)),
ISNUMBER(SEARCH("STAND",B2133)),
ISNUMBER(SEARCH("TRAVEL ADAPTER",B2133)),
ISNUMBER(SEARCH("RJ45",B2133)),
ISNUMBER(SEARCH("USB-C",B2133)),
ISNUMBER(SEARCH("USB WIFI",B2133)),
ISNUMBER(SEARCH("POWERBANK",B2133)),
ISNUMBER(SEARCH("CARGADOR",B2133)),
ISNUMBER(SEARCH("COOLER PARA NB",B2133)),
ISNUMBER(SEARCH("SOPORTE PARA NB",B2133)),
ISNUMBER(SEARCH("WEBCAM",B2133)),
ISNUMBER(SEARCH("WEB CAM",B2133)),
ISNUMBER(SEARCH("MOUSE",B2133)),
ISNUMBER(SEARCH("TECLADO",B2133))
),
"COMPLEMENTO",
IF(
OR(
LEFT(A2133,2)="NB",
LEFT(A2133,2)="PC",
LEFT(A2133,2)="WS",
LEFT(A2133,2)="TB",
LEFT(A2133,3)="CEL",
LEFT(A2133,3)="MON",
LEFT(A2133,3)="PRE",
LEFT(A2133,3)="PRH",
ISNUMBER(SEARCH("NOTEBOOK",B2133)),
ISNUMBER(SEARCH("LAPTOP",B2133)),
ISNUMBER(SEARCH("MONITOR",B2133)),
ISNUMBER(SEARCH("TABLET",B2133)),
ISNUMBER(SEARCH("SMARTPH",B2133)),
ISNUMBER(SEARCH("IMPRESORA",B2133)),
ISNUMBER(SEARCH("MULTIFUNCIONAL",B2133)),
ISNUMBER(SEARCH("AIO",B2133))
),
"GANCHO",
"NORMAL"
)
)</f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>ROUND(
IF(L2130="GANCHO",
   IF(I2132&lt;=50,I2132*1.1+4,IF(I2132&lt;=120,I2132*1.1+7,IF(I2132&lt;=250,I2132*1.1+11,I2132*1.1+19))),
IF(L2130="NORMAL",
   IF(I2132&lt;=30,I2132*1.15+2,IF(I2132&lt;=80,I2132*1.15+4,IF(I2132&lt;=150,I2132*1.15+6,I2132*1.15+8))),
IF(L2130="COMPLEMENTO",
   IF(I2132&lt;=25,I2132*1.25+1.5,IF(I2132&lt;=60,I2132*1.25+3,IF(I2132&lt;=120,I2132*1.25+4,I2132*1.25+5))),
""))),2)</f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>IF(
OR(
ISNUMBER(SEARCH("BACKPACK",B2134)),
ISNUMBER(SEARCH("MOCHILA",B2134)),
ISNUMBER(SEARCH("FUNDA",B2134)),
ISNUMBER(SEARCH("ESTUCHE",B2134)),
ISNUMBER(SEARCH("BOOK COVER",B2134)),
ISNUMBER(SEARCH("KEYBOARD PARA TABLET",B2134)),
ISNUMBER(SEARCH("FLIP TABLET",B2134)),
ISNUMBER(SEARCH("CASE FOR TABLET",B2134)),
ISNUMBER(SEARCH("CABLE",B2134)),
ISNUMBER(SEARCH("ADAPTADOR",B2134)),
ISNUMBER(SEARCH("HUB",B2134)),
ISNUMBER(SEARCH("DOCK",B2134)),
ISNUMBER(SEARCH("MOUSE PAD",B2134)),
ISNUMBER(SEARCH("MOUSEPAD",B2134)),
ISNUMBER(SEARCH("SOPORTE",B2134)),
ISNUMBER(SEARCH("STAND",B2134)),
ISNUMBER(SEARCH("TRAVEL ADAPTER",B2134)),
ISNUMBER(SEARCH("RJ45",B2134)),
ISNUMBER(SEARCH("USB-C",B2134)),
ISNUMBER(SEARCH("USB WIFI",B2134)),
ISNUMBER(SEARCH("POWERBANK",B2134)),
ISNUMBER(SEARCH("CARGADOR",B2134)),
ISNUMBER(SEARCH("COOLER PARA NB",B2134)),
ISNUMBER(SEARCH("SOPORTE PARA NB",B2134)),
ISNUMBER(SEARCH("WEBCAM",B2134)),
ISNUMBER(SEARCH("WEB CAM",B2134)),
ISNUMBER(SEARCH("MOUSE",B2134)),
ISNUMBER(SEARCH("TECLADO",B2134))
),
"COMPLEMENTO",
IF(
OR(
LEFT(A2134,2)="NB",
LEFT(A2134,2)="PC",
LEFT(A2134,2)="WS",
LEFT(A2134,2)="TB",
LEFT(A2134,3)="CEL",
LEFT(A2134,3)="MON",
LEFT(A2134,3)="PRE",
LEFT(A2134,3)="PRH",
ISNUMBER(SEARCH("NOTEBOOK",B2134)),
ISNUMBER(SEARCH("LAPTOP",B2134)),
ISNUMBER(SEARCH("MONITOR",B2134)),
ISNUMBER(SEARCH("TABLET",B2134)),
ISNUMBER(SEARCH("SMARTPH",B2134)),
ISNUMBER(SEARCH("IMPRESORA",B2134)),
ISNUMBER(SEARCH("MULTIFUNCIONAL",B2134)),
ISNUMBER(SEARCH("AIO",B2134))
),
"GANCHO",
"NORMAL"
)
)</f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>ROUND(
IF(L2131="GANCHO",
   IF(I2133&lt;=50,I2133*1.1+4,IF(I2133&lt;=120,I2133*1.1+7,IF(I2133&lt;=250,I2133*1.1+11,I2133*1.1+19))),
IF(L2131="NORMAL",
   IF(I2133&lt;=30,I2133*1.15+2,IF(I2133&lt;=80,I2133*1.15+4,IF(I2133&lt;=150,I2133*1.15+6,I2133*1.15+8))),
IF(L2131="COMPLEMENTO",
   IF(I2133&lt;=25,I2133*1.25+1.5,IF(I2133&lt;=60,I2133*1.25+3,IF(I2133&lt;=120,I2133*1.25+4,I2133*1.25+5))),
""))),2)</f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>IF(
OR(
ISNUMBER(SEARCH("BACKPACK",B2135)),
ISNUMBER(SEARCH("MOCHILA",B2135)),
ISNUMBER(SEARCH("FUNDA",B2135)),
ISNUMBER(SEARCH("ESTUCHE",B2135)),
ISNUMBER(SEARCH("BOOK COVER",B2135)),
ISNUMBER(SEARCH("KEYBOARD PARA TABLET",B2135)),
ISNUMBER(SEARCH("FLIP TABLET",B2135)),
ISNUMBER(SEARCH("CASE FOR TABLET",B2135)),
ISNUMBER(SEARCH("CABLE",B2135)),
ISNUMBER(SEARCH("ADAPTADOR",B2135)),
ISNUMBER(SEARCH("HUB",B2135)),
ISNUMBER(SEARCH("DOCK",B2135)),
ISNUMBER(SEARCH("MOUSE PAD",B2135)),
ISNUMBER(SEARCH("MOUSEPAD",B2135)),
ISNUMBER(SEARCH("SOPORTE",B2135)),
ISNUMBER(SEARCH("STAND",B2135)),
ISNUMBER(SEARCH("TRAVEL ADAPTER",B2135)),
ISNUMBER(SEARCH("RJ45",B2135)),
ISNUMBER(SEARCH("USB-C",B2135)),
ISNUMBER(SEARCH("USB WIFI",B2135)),
ISNUMBER(SEARCH("POWERBANK",B2135)),
ISNUMBER(SEARCH("CARGADOR",B2135)),
ISNUMBER(SEARCH("COOLER PARA NB",B2135)),
ISNUMBER(SEARCH("SOPORTE PARA NB",B2135)),
ISNUMBER(SEARCH("WEBCAM",B2135)),
ISNUMBER(SEARCH("WEB CAM",B2135)),
ISNUMBER(SEARCH("MOUSE",B2135)),
ISNUMBER(SEARCH("TECLADO",B2135))
),
"COMPLEMENTO",
IF(
OR(
LEFT(A2135,2)="NB",
LEFT(A2135,2)="PC",
LEFT(A2135,2)="WS",
LEFT(A2135,2)="TB",
LEFT(A2135,3)="CEL",
LEFT(A2135,3)="MON",
LEFT(A2135,3)="PRE",
LEFT(A2135,3)="PRH",
ISNUMBER(SEARCH("NOTEBOOK",B2135)),
ISNUMBER(SEARCH("LAPTOP",B2135)),
ISNUMBER(SEARCH("MONITOR",B2135)),
ISNUMBER(SEARCH("TABLET",B2135)),
ISNUMBER(SEARCH("SMARTPH",B2135)),
ISNUMBER(SEARCH("IMPRESORA",B2135)),
ISNUMBER(SEARCH("MULTIFUNCIONAL",B2135)),
ISNUMBER(SEARCH("AIO",B2135))
),
"GANCHO",
"NORMAL"
)
)</f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>ROUND(
IF(L2132="GANCHO",
   IF(I2134&lt;=50,I2134*1.1+4,IF(I2134&lt;=120,I2134*1.1+7,IF(I2134&lt;=250,I2134*1.1+11,I2134*1.1+19))),
IF(L2132="NORMAL",
   IF(I2134&lt;=30,I2134*1.15+2,IF(I2134&lt;=80,I2134*1.15+4,IF(I2134&lt;=150,I2134*1.15+6,I2134*1.15+8))),
IF(L2132="COMPLEMENTO",
   IF(I2134&lt;=25,I2134*1.25+1.5,IF(I2134&lt;=60,I2134*1.25+3,IF(I2134&lt;=120,I2134*1.25+4,I2134*1.25+5))),
""))),2)</f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>IF(
OR(
ISNUMBER(SEARCH("BACKPACK",B2136)),
ISNUMBER(SEARCH("MOCHILA",B2136)),
ISNUMBER(SEARCH("FUNDA",B2136)),
ISNUMBER(SEARCH("ESTUCHE",B2136)),
ISNUMBER(SEARCH("BOOK COVER",B2136)),
ISNUMBER(SEARCH("KEYBOARD PARA TABLET",B2136)),
ISNUMBER(SEARCH("FLIP TABLET",B2136)),
ISNUMBER(SEARCH("CASE FOR TABLET",B2136)),
ISNUMBER(SEARCH("CABLE",B2136)),
ISNUMBER(SEARCH("ADAPTADOR",B2136)),
ISNUMBER(SEARCH("HUB",B2136)),
ISNUMBER(SEARCH("DOCK",B2136)),
ISNUMBER(SEARCH("MOUSE PAD",B2136)),
ISNUMBER(SEARCH("MOUSEPAD",B2136)),
ISNUMBER(SEARCH("SOPORTE",B2136)),
ISNUMBER(SEARCH("STAND",B2136)),
ISNUMBER(SEARCH("TRAVEL ADAPTER",B2136)),
ISNUMBER(SEARCH("RJ45",B2136)),
ISNUMBER(SEARCH("USB-C",B2136)),
ISNUMBER(SEARCH("USB WIFI",B2136)),
ISNUMBER(SEARCH("POWERBANK",B2136)),
ISNUMBER(SEARCH("CARGADOR",B2136)),
ISNUMBER(SEARCH("COOLER PARA NB",B2136)),
ISNUMBER(SEARCH("SOPORTE PARA NB",B2136)),
ISNUMBER(SEARCH("WEBCAM",B2136)),
ISNUMBER(SEARCH("WEB CAM",B2136)),
ISNUMBER(SEARCH("MOUSE",B2136)),
ISNUMBER(SEARCH("TECLADO",B2136))
),
"COMPLEMENTO",
IF(
OR(
LEFT(A2136,2)="NB",
LEFT(A2136,2)="PC",
LEFT(A2136,2)="WS",
LEFT(A2136,2)="TB",
LEFT(A2136,3)="CEL",
LEFT(A2136,3)="MON",
LEFT(A2136,3)="PRE",
LEFT(A2136,3)="PRH",
ISNUMBER(SEARCH("NOTEBOOK",B2136)),
ISNUMBER(SEARCH("LAPTOP",B2136)),
ISNUMBER(SEARCH("MONITOR",B2136)),
ISNUMBER(SEARCH("TABLET",B2136)),
ISNUMBER(SEARCH("SMARTPH",B2136)),
ISNUMBER(SEARCH("IMPRESORA",B2136)),
ISNUMBER(SEARCH("MULTIFUNCIONAL",B2136)),
ISNUMBER(SEARCH("AIO",B2136))
),
"GANCHO",
"NORMAL"
)
)</f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>ROUND(
IF(L2133="GANCHO",
   IF(I2135&lt;=50,I2135*1.1+4,IF(I2135&lt;=120,I2135*1.1+7,IF(I2135&lt;=250,I2135*1.1+11,I2135*1.1+19))),
IF(L2133="NORMAL",
   IF(I2135&lt;=30,I2135*1.15+2,IF(I2135&lt;=80,I2135*1.15+4,IF(I2135&lt;=150,I2135*1.15+6,I2135*1.15+8))),
IF(L2133="COMPLEMENTO",
   IF(I2135&lt;=25,I2135*1.25+1.5,IF(I2135&lt;=60,I2135*1.25+3,IF(I2135&lt;=120,I2135*1.25+4,I2135*1.25+5))),
""))),2)</f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>IF(
OR(
ISNUMBER(SEARCH("BACKPACK",B2137)),
ISNUMBER(SEARCH("MOCHILA",B2137)),
ISNUMBER(SEARCH("FUNDA",B2137)),
ISNUMBER(SEARCH("ESTUCHE",B2137)),
ISNUMBER(SEARCH("BOOK COVER",B2137)),
ISNUMBER(SEARCH("KEYBOARD PARA TABLET",B2137)),
ISNUMBER(SEARCH("FLIP TABLET",B2137)),
ISNUMBER(SEARCH("CASE FOR TABLET",B2137)),
ISNUMBER(SEARCH("CABLE",B2137)),
ISNUMBER(SEARCH("ADAPTADOR",B2137)),
ISNUMBER(SEARCH("HUB",B2137)),
ISNUMBER(SEARCH("DOCK",B2137)),
ISNUMBER(SEARCH("MOUSE PAD",B2137)),
ISNUMBER(SEARCH("MOUSEPAD",B2137)),
ISNUMBER(SEARCH("SOPORTE",B2137)),
ISNUMBER(SEARCH("STAND",B2137)),
ISNUMBER(SEARCH("TRAVEL ADAPTER",B2137)),
ISNUMBER(SEARCH("RJ45",B2137)),
ISNUMBER(SEARCH("USB-C",B2137)),
ISNUMBER(SEARCH("USB WIFI",B2137)),
ISNUMBER(SEARCH("POWERBANK",B2137)),
ISNUMBER(SEARCH("CARGADOR",B2137)),
ISNUMBER(SEARCH("COOLER PARA NB",B2137)),
ISNUMBER(SEARCH("SOPORTE PARA NB",B2137)),
ISNUMBER(SEARCH("WEBCAM",B2137)),
ISNUMBER(SEARCH("WEB CAM",B2137)),
ISNUMBER(SEARCH("MOUSE",B2137)),
ISNUMBER(SEARCH("TECLADO",B2137))
),
"COMPLEMENTO",
IF(
OR(
LEFT(A2137,2)="NB",
LEFT(A2137,2)="PC",
LEFT(A2137,2)="WS",
LEFT(A2137,2)="TB",
LEFT(A2137,3)="CEL",
LEFT(A2137,3)="MON",
LEFT(A2137,3)="PRE",
LEFT(A2137,3)="PRH",
ISNUMBER(SEARCH("NOTEBOOK",B2137)),
ISNUMBER(SEARCH("LAPTOP",B2137)),
ISNUMBER(SEARCH("MONITOR",B2137)),
ISNUMBER(SEARCH("TABLET",B2137)),
ISNUMBER(SEARCH("SMARTPH",B2137)),
ISNUMBER(SEARCH("IMPRESORA",B2137)),
ISNUMBER(SEARCH("MULTIFUNCIONAL",B2137)),
ISNUMBER(SEARCH("AIO",B2137))
),
"GANCHO",
"NORMAL"
)
)</f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>ROUND(
IF(L2134="GANCHO",
   IF(I2136&lt;=50,I2136*1.1+4,IF(I2136&lt;=120,I2136*1.1+7,IF(I2136&lt;=250,I2136*1.1+11,I2136*1.1+19))),
IF(L2134="NORMAL",
   IF(I2136&lt;=30,I2136*1.15+2,IF(I2136&lt;=80,I2136*1.15+4,IF(I2136&lt;=150,I2136*1.15+6,I2136*1.15+8))),
IF(L2134="COMPLEMENTO",
   IF(I2136&lt;=25,I2136*1.25+1.5,IF(I2136&lt;=60,I2136*1.25+3,IF(I2136&lt;=120,I2136*1.25+4,I2136*1.25+5))),
""))),2)</f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>IF(
OR(
ISNUMBER(SEARCH("BACKPACK",B2138)),
ISNUMBER(SEARCH("MOCHILA",B2138)),
ISNUMBER(SEARCH("FUNDA",B2138)),
ISNUMBER(SEARCH("ESTUCHE",B2138)),
ISNUMBER(SEARCH("BOOK COVER",B2138)),
ISNUMBER(SEARCH("KEYBOARD PARA TABLET",B2138)),
ISNUMBER(SEARCH("FLIP TABLET",B2138)),
ISNUMBER(SEARCH("CASE FOR TABLET",B2138)),
ISNUMBER(SEARCH("CABLE",B2138)),
ISNUMBER(SEARCH("ADAPTADOR",B2138)),
ISNUMBER(SEARCH("HUB",B2138)),
ISNUMBER(SEARCH("DOCK",B2138)),
ISNUMBER(SEARCH("MOUSE PAD",B2138)),
ISNUMBER(SEARCH("MOUSEPAD",B2138)),
ISNUMBER(SEARCH("SOPORTE",B2138)),
ISNUMBER(SEARCH("STAND",B2138)),
ISNUMBER(SEARCH("TRAVEL ADAPTER",B2138)),
ISNUMBER(SEARCH("RJ45",B2138)),
ISNUMBER(SEARCH("USB-C",B2138)),
ISNUMBER(SEARCH("USB WIFI",B2138)),
ISNUMBER(SEARCH("POWERBANK",B2138)),
ISNUMBER(SEARCH("CARGADOR",B2138)),
ISNUMBER(SEARCH("COOLER PARA NB",B2138)),
ISNUMBER(SEARCH("SOPORTE PARA NB",B2138)),
ISNUMBER(SEARCH("WEBCAM",B2138)),
ISNUMBER(SEARCH("WEB CAM",B2138)),
ISNUMBER(SEARCH("MOUSE",B2138)),
ISNUMBER(SEARCH("TECLADO",B2138))
),
"COMPLEMENTO",
IF(
OR(
LEFT(A2138,2)="NB",
LEFT(A2138,2)="PC",
LEFT(A2138,2)="WS",
LEFT(A2138,2)="TB",
LEFT(A2138,3)="CEL",
LEFT(A2138,3)="MON",
LEFT(A2138,3)="PRE",
LEFT(A2138,3)="PRH",
ISNUMBER(SEARCH("NOTEBOOK",B2138)),
ISNUMBER(SEARCH("LAPTOP",B2138)),
ISNUMBER(SEARCH("MONITOR",B2138)),
ISNUMBER(SEARCH("TABLET",B2138)),
ISNUMBER(SEARCH("SMARTPH",B2138)),
ISNUMBER(SEARCH("IMPRESORA",B2138)),
ISNUMBER(SEARCH("MULTIFUNCIONAL",B2138)),
ISNUMBER(SEARCH("AIO",B2138))
),
"GANCHO",
"NORMAL"
)
)</f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>ROUND(
IF(L2135="GANCHO",
   IF(I2137&lt;=50,I2137*1.1+4,IF(I2137&lt;=120,I2137*1.1+7,IF(I2137&lt;=250,I2137*1.1+11,I2137*1.1+19))),
IF(L2135="NORMAL",
   IF(I2137&lt;=30,I2137*1.15+2,IF(I2137&lt;=80,I2137*1.15+4,IF(I2137&lt;=150,I2137*1.15+6,I2137*1.15+8))),
IF(L2135="COMPLEMENTO",
   IF(I2137&lt;=25,I2137*1.25+1.5,IF(I2137&lt;=60,I2137*1.25+3,IF(I2137&lt;=120,I2137*1.25+4,I2137*1.25+5))),
""))),2)</f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>IF(
OR(
ISNUMBER(SEARCH("BACKPACK",B2139)),
ISNUMBER(SEARCH("MOCHILA",B2139)),
ISNUMBER(SEARCH("FUNDA",B2139)),
ISNUMBER(SEARCH("ESTUCHE",B2139)),
ISNUMBER(SEARCH("BOOK COVER",B2139)),
ISNUMBER(SEARCH("KEYBOARD PARA TABLET",B2139)),
ISNUMBER(SEARCH("FLIP TABLET",B2139)),
ISNUMBER(SEARCH("CASE FOR TABLET",B2139)),
ISNUMBER(SEARCH("CABLE",B2139)),
ISNUMBER(SEARCH("ADAPTADOR",B2139)),
ISNUMBER(SEARCH("HUB",B2139)),
ISNUMBER(SEARCH("DOCK",B2139)),
ISNUMBER(SEARCH("MOUSE PAD",B2139)),
ISNUMBER(SEARCH("MOUSEPAD",B2139)),
ISNUMBER(SEARCH("SOPORTE",B2139)),
ISNUMBER(SEARCH("STAND",B2139)),
ISNUMBER(SEARCH("TRAVEL ADAPTER",B2139)),
ISNUMBER(SEARCH("RJ45",B2139)),
ISNUMBER(SEARCH("USB-C",B2139)),
ISNUMBER(SEARCH("USB WIFI",B2139)),
ISNUMBER(SEARCH("POWERBANK",B2139)),
ISNUMBER(SEARCH("CARGADOR",B2139)),
ISNUMBER(SEARCH("COOLER PARA NB",B2139)),
ISNUMBER(SEARCH("SOPORTE PARA NB",B2139)),
ISNUMBER(SEARCH("WEBCAM",B2139)),
ISNUMBER(SEARCH("WEB CAM",B2139)),
ISNUMBER(SEARCH("MOUSE",B2139)),
ISNUMBER(SEARCH("TECLADO",B2139))
),
"COMPLEMENTO",
IF(
OR(
LEFT(A2139,2)="NB",
LEFT(A2139,2)="PC",
LEFT(A2139,2)="WS",
LEFT(A2139,2)="TB",
LEFT(A2139,3)="CEL",
LEFT(A2139,3)="MON",
LEFT(A2139,3)="PRE",
LEFT(A2139,3)="PRH",
ISNUMBER(SEARCH("NOTEBOOK",B2139)),
ISNUMBER(SEARCH("LAPTOP",B2139)),
ISNUMBER(SEARCH("MONITOR",B2139)),
ISNUMBER(SEARCH("TABLET",B2139)),
ISNUMBER(SEARCH("SMARTPH",B2139)),
ISNUMBER(SEARCH("IMPRESORA",B2139)),
ISNUMBER(SEARCH("MULTIFUNCIONAL",B2139)),
ISNUMBER(SEARCH("AIO",B2139))
),
"GANCHO",
"NORMAL"
)
)</f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>ROUND(
IF(L2136="GANCHO",
   IF(I2138&lt;=50,I2138*1.1+4,IF(I2138&lt;=120,I2138*1.1+7,IF(I2138&lt;=250,I2138*1.1+11,I2138*1.1+19))),
IF(L2136="NORMAL",
   IF(I2138&lt;=30,I2138*1.15+2,IF(I2138&lt;=80,I2138*1.15+4,IF(I2138&lt;=150,I2138*1.15+6,I2138*1.15+8))),
IF(L2136="COMPLEMENTO",
   IF(I2138&lt;=25,I2138*1.25+1.5,IF(I2138&lt;=60,I2138*1.25+3,IF(I2138&lt;=120,I2138*1.25+4,I2138*1.25+5))),
""))),2)</f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>IF(
OR(
ISNUMBER(SEARCH("BACKPACK",B2140)),
ISNUMBER(SEARCH("MOCHILA",B2140)),
ISNUMBER(SEARCH("FUNDA",B2140)),
ISNUMBER(SEARCH("ESTUCHE",B2140)),
ISNUMBER(SEARCH("BOOK COVER",B2140)),
ISNUMBER(SEARCH("KEYBOARD PARA TABLET",B2140)),
ISNUMBER(SEARCH("FLIP TABLET",B2140)),
ISNUMBER(SEARCH("CASE FOR TABLET",B2140)),
ISNUMBER(SEARCH("CABLE",B2140)),
ISNUMBER(SEARCH("ADAPTADOR",B2140)),
ISNUMBER(SEARCH("HUB",B2140)),
ISNUMBER(SEARCH("DOCK",B2140)),
ISNUMBER(SEARCH("MOUSE PAD",B2140)),
ISNUMBER(SEARCH("MOUSEPAD",B2140)),
ISNUMBER(SEARCH("SOPORTE",B2140)),
ISNUMBER(SEARCH("STAND",B2140)),
ISNUMBER(SEARCH("TRAVEL ADAPTER",B2140)),
ISNUMBER(SEARCH("RJ45",B2140)),
ISNUMBER(SEARCH("USB-C",B2140)),
ISNUMBER(SEARCH("USB WIFI",B2140)),
ISNUMBER(SEARCH("POWERBANK",B2140)),
ISNUMBER(SEARCH("CARGADOR",B2140)),
ISNUMBER(SEARCH("COOLER PARA NB",B2140)),
ISNUMBER(SEARCH("SOPORTE PARA NB",B2140)),
ISNUMBER(SEARCH("WEBCAM",B2140)),
ISNUMBER(SEARCH("WEB CAM",B2140)),
ISNUMBER(SEARCH("MOUSE",B2140)),
ISNUMBER(SEARCH("TECLADO",B2140))
),
"COMPLEMENTO",
IF(
OR(
LEFT(A2140,2)="NB",
LEFT(A2140,2)="PC",
LEFT(A2140,2)="WS",
LEFT(A2140,2)="TB",
LEFT(A2140,3)="CEL",
LEFT(A2140,3)="MON",
LEFT(A2140,3)="PRE",
LEFT(A2140,3)="PRH",
ISNUMBER(SEARCH("NOTEBOOK",B2140)),
ISNUMBER(SEARCH("LAPTOP",B2140)),
ISNUMBER(SEARCH("MONITOR",B2140)),
ISNUMBER(SEARCH("TABLET",B2140)),
ISNUMBER(SEARCH("SMARTPH",B2140)),
ISNUMBER(SEARCH("IMPRESORA",B2140)),
ISNUMBER(SEARCH("MULTIFUNCIONAL",B2140)),
ISNUMBER(SEARCH("AIO",B2140))
),
"GANCHO",
"NORMAL"
)
)</f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>ROUND(
IF(L2137="GANCHO",
   IF(I2139&lt;=50,I2139*1.1+4,IF(I2139&lt;=120,I2139*1.1+7,IF(I2139&lt;=250,I2139*1.1+11,I2139*1.1+19))),
IF(L2137="NORMAL",
   IF(I2139&lt;=30,I2139*1.15+2,IF(I2139&lt;=80,I2139*1.15+4,IF(I2139&lt;=150,I2139*1.15+6,I2139*1.15+8))),
IF(L2137="COMPLEMENTO",
   IF(I2139&lt;=25,I2139*1.25+1.5,IF(I2139&lt;=60,I2139*1.25+3,IF(I2139&lt;=120,I2139*1.25+4,I2139*1.25+5))),
""))),2)</f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>IF(
OR(
ISNUMBER(SEARCH("BACKPACK",B2141)),
ISNUMBER(SEARCH("MOCHILA",B2141)),
ISNUMBER(SEARCH("FUNDA",B2141)),
ISNUMBER(SEARCH("ESTUCHE",B2141)),
ISNUMBER(SEARCH("BOOK COVER",B2141)),
ISNUMBER(SEARCH("KEYBOARD PARA TABLET",B2141)),
ISNUMBER(SEARCH("FLIP TABLET",B2141)),
ISNUMBER(SEARCH("CASE FOR TABLET",B2141)),
ISNUMBER(SEARCH("CABLE",B2141)),
ISNUMBER(SEARCH("ADAPTADOR",B2141)),
ISNUMBER(SEARCH("HUB",B2141)),
ISNUMBER(SEARCH("DOCK",B2141)),
ISNUMBER(SEARCH("MOUSE PAD",B2141)),
ISNUMBER(SEARCH("MOUSEPAD",B2141)),
ISNUMBER(SEARCH("SOPORTE",B2141)),
ISNUMBER(SEARCH("STAND",B2141)),
ISNUMBER(SEARCH("TRAVEL ADAPTER",B2141)),
ISNUMBER(SEARCH("RJ45",B2141)),
ISNUMBER(SEARCH("USB-C",B2141)),
ISNUMBER(SEARCH("USB WIFI",B2141)),
ISNUMBER(SEARCH("POWERBANK",B2141)),
ISNUMBER(SEARCH("CARGADOR",B2141)),
ISNUMBER(SEARCH("COOLER PARA NB",B2141)),
ISNUMBER(SEARCH("SOPORTE PARA NB",B2141)),
ISNUMBER(SEARCH("WEBCAM",B2141)),
ISNUMBER(SEARCH("WEB CAM",B2141)),
ISNUMBER(SEARCH("MOUSE",B2141)),
ISNUMBER(SEARCH("TECLADO",B2141))
),
"COMPLEMENTO",
IF(
OR(
LEFT(A2141,2)="NB",
LEFT(A2141,2)="PC",
LEFT(A2141,2)="WS",
LEFT(A2141,2)="TB",
LEFT(A2141,3)="CEL",
LEFT(A2141,3)="MON",
LEFT(A2141,3)="PRE",
LEFT(A2141,3)="PRH",
ISNUMBER(SEARCH("NOTEBOOK",B2141)),
ISNUMBER(SEARCH("LAPTOP",B2141)),
ISNUMBER(SEARCH("MONITOR",B2141)),
ISNUMBER(SEARCH("TABLET",B2141)),
ISNUMBER(SEARCH("SMARTPH",B2141)),
ISNUMBER(SEARCH("IMPRESORA",B2141)),
ISNUMBER(SEARCH("MULTIFUNCIONAL",B2141)),
ISNUMBER(SEARCH("AIO",B2141))
),
"GANCHO",
"NORMAL"
)
)</f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>ROUND(
IF(L2138="GANCHO",
   IF(I2140&lt;=50,I2140*1.1+4,IF(I2140&lt;=120,I2140*1.1+7,IF(I2140&lt;=250,I2140*1.1+11,I2140*1.1+19))),
IF(L2138="NORMAL",
   IF(I2140&lt;=30,I2140*1.15+2,IF(I2140&lt;=80,I2140*1.15+4,IF(I2140&lt;=150,I2140*1.15+6,I2140*1.15+8))),
IF(L2138="COMPLEMENTO",
   IF(I2140&lt;=25,I2140*1.25+1.5,IF(I2140&lt;=60,I2140*1.25+3,IF(I2140&lt;=120,I2140*1.25+4,I2140*1.25+5))),
""))),2)</f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>IF(
OR(
ISNUMBER(SEARCH("BACKPACK",B2142)),
ISNUMBER(SEARCH("MOCHILA",B2142)),
ISNUMBER(SEARCH("FUNDA",B2142)),
ISNUMBER(SEARCH("ESTUCHE",B2142)),
ISNUMBER(SEARCH("BOOK COVER",B2142)),
ISNUMBER(SEARCH("KEYBOARD PARA TABLET",B2142)),
ISNUMBER(SEARCH("FLIP TABLET",B2142)),
ISNUMBER(SEARCH("CASE FOR TABLET",B2142)),
ISNUMBER(SEARCH("CABLE",B2142)),
ISNUMBER(SEARCH("ADAPTADOR",B2142)),
ISNUMBER(SEARCH("HUB",B2142)),
ISNUMBER(SEARCH("DOCK",B2142)),
ISNUMBER(SEARCH("MOUSE PAD",B2142)),
ISNUMBER(SEARCH("MOUSEPAD",B2142)),
ISNUMBER(SEARCH("SOPORTE",B2142)),
ISNUMBER(SEARCH("STAND",B2142)),
ISNUMBER(SEARCH("TRAVEL ADAPTER",B2142)),
ISNUMBER(SEARCH("RJ45",B2142)),
ISNUMBER(SEARCH("USB-C",B2142)),
ISNUMBER(SEARCH("USB WIFI",B2142)),
ISNUMBER(SEARCH("POWERBANK",B2142)),
ISNUMBER(SEARCH("CARGADOR",B2142)),
ISNUMBER(SEARCH("COOLER PARA NB",B2142)),
ISNUMBER(SEARCH("SOPORTE PARA NB",B2142)),
ISNUMBER(SEARCH("WEBCAM",B2142)),
ISNUMBER(SEARCH("WEB CAM",B2142)),
ISNUMBER(SEARCH("MOUSE",B2142)),
ISNUMBER(SEARCH("TECLADO",B2142))
),
"COMPLEMENTO",
IF(
OR(
LEFT(A2142,2)="NB",
LEFT(A2142,2)="PC",
LEFT(A2142,2)="WS",
LEFT(A2142,2)="TB",
LEFT(A2142,3)="CEL",
LEFT(A2142,3)="MON",
LEFT(A2142,3)="PRE",
LEFT(A2142,3)="PRH",
ISNUMBER(SEARCH("NOTEBOOK",B2142)),
ISNUMBER(SEARCH("LAPTOP",B2142)),
ISNUMBER(SEARCH("MONITOR",B2142)),
ISNUMBER(SEARCH("TABLET",B2142)),
ISNUMBER(SEARCH("SMARTPH",B2142)),
ISNUMBER(SEARCH("IMPRESORA",B2142)),
ISNUMBER(SEARCH("MULTIFUNCIONAL",B2142)),
ISNUMBER(SEARCH("AIO",B2142))
),
"GANCHO",
"NORMAL"
)
)</f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>ROUND(
IF(L2139="GANCHO",
   IF(I2141&lt;=50,I2141*1.1+4,IF(I2141&lt;=120,I2141*1.1+7,IF(I2141&lt;=250,I2141*1.1+11,I2141*1.1+19))),
IF(L2139="NORMAL",
   IF(I2141&lt;=30,I2141*1.15+2,IF(I2141&lt;=80,I2141*1.15+4,IF(I2141&lt;=150,I2141*1.15+6,I2141*1.15+8))),
IF(L2139="COMPLEMENTO",
   IF(I2141&lt;=25,I2141*1.25+1.5,IF(I2141&lt;=60,I2141*1.25+3,IF(I2141&lt;=120,I2141*1.25+4,I2141*1.25+5))),
""))),2)</f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>IF(
OR(
ISNUMBER(SEARCH("BACKPACK",B2143)),
ISNUMBER(SEARCH("MOCHILA",B2143)),
ISNUMBER(SEARCH("FUNDA",B2143)),
ISNUMBER(SEARCH("ESTUCHE",B2143)),
ISNUMBER(SEARCH("BOOK COVER",B2143)),
ISNUMBER(SEARCH("KEYBOARD PARA TABLET",B2143)),
ISNUMBER(SEARCH("FLIP TABLET",B2143)),
ISNUMBER(SEARCH("CASE FOR TABLET",B2143)),
ISNUMBER(SEARCH("CABLE",B2143)),
ISNUMBER(SEARCH("ADAPTADOR",B2143)),
ISNUMBER(SEARCH("HUB",B2143)),
ISNUMBER(SEARCH("DOCK",B2143)),
ISNUMBER(SEARCH("MOUSE PAD",B2143)),
ISNUMBER(SEARCH("MOUSEPAD",B2143)),
ISNUMBER(SEARCH("SOPORTE",B2143)),
ISNUMBER(SEARCH("STAND",B2143)),
ISNUMBER(SEARCH("TRAVEL ADAPTER",B2143)),
ISNUMBER(SEARCH("RJ45",B2143)),
ISNUMBER(SEARCH("USB-C",B2143)),
ISNUMBER(SEARCH("USB WIFI",B2143)),
ISNUMBER(SEARCH("POWERBANK",B2143)),
ISNUMBER(SEARCH("CARGADOR",B2143)),
ISNUMBER(SEARCH("COOLER PARA NB",B2143)),
ISNUMBER(SEARCH("SOPORTE PARA NB",B2143)),
ISNUMBER(SEARCH("WEBCAM",B2143)),
ISNUMBER(SEARCH("WEB CAM",B2143)),
ISNUMBER(SEARCH("MOUSE",B2143)),
ISNUMBER(SEARCH("TECLADO",B2143))
),
"COMPLEMENTO",
IF(
OR(
LEFT(A2143,2)="NB",
LEFT(A2143,2)="PC",
LEFT(A2143,2)="WS",
LEFT(A2143,2)="TB",
LEFT(A2143,3)="CEL",
LEFT(A2143,3)="MON",
LEFT(A2143,3)="PRE",
LEFT(A2143,3)="PRH",
ISNUMBER(SEARCH("NOTEBOOK",B2143)),
ISNUMBER(SEARCH("LAPTOP",B2143)),
ISNUMBER(SEARCH("MONITOR",B2143)),
ISNUMBER(SEARCH("TABLET",B2143)),
ISNUMBER(SEARCH("SMARTPH",B2143)),
ISNUMBER(SEARCH("IMPRESORA",B2143)),
ISNUMBER(SEARCH("MULTIFUNCIONAL",B2143)),
ISNUMBER(SEARCH("AIO",B2143))
),
"GANCHO",
"NORMAL"
)
)</f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>ROUND(
IF(L2140="GANCHO",
   IF(I2142&lt;=50,I2142*1.1+4,IF(I2142&lt;=120,I2142*1.1+7,IF(I2142&lt;=250,I2142*1.1+11,I2142*1.1+19))),
IF(L2140="NORMAL",
   IF(I2142&lt;=30,I2142*1.15+2,IF(I2142&lt;=80,I2142*1.15+4,IF(I2142&lt;=150,I2142*1.15+6,I2142*1.15+8))),
IF(L2140="COMPLEMENTO",
   IF(I2142&lt;=25,I2142*1.25+1.5,IF(I2142&lt;=60,I2142*1.25+3,IF(I2142&lt;=120,I2142*1.25+4,I2142*1.25+5))),
""))),2)</f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>IF(
OR(
ISNUMBER(SEARCH("BACKPACK",B2144)),
ISNUMBER(SEARCH("MOCHILA",B2144)),
ISNUMBER(SEARCH("FUNDA",B2144)),
ISNUMBER(SEARCH("ESTUCHE",B2144)),
ISNUMBER(SEARCH("BOOK COVER",B2144)),
ISNUMBER(SEARCH("KEYBOARD PARA TABLET",B2144)),
ISNUMBER(SEARCH("FLIP TABLET",B2144)),
ISNUMBER(SEARCH("CASE FOR TABLET",B2144)),
ISNUMBER(SEARCH("CABLE",B2144)),
ISNUMBER(SEARCH("ADAPTADOR",B2144)),
ISNUMBER(SEARCH("HUB",B2144)),
ISNUMBER(SEARCH("DOCK",B2144)),
ISNUMBER(SEARCH("MOUSE PAD",B2144)),
ISNUMBER(SEARCH("MOUSEPAD",B2144)),
ISNUMBER(SEARCH("SOPORTE",B2144)),
ISNUMBER(SEARCH("STAND",B2144)),
ISNUMBER(SEARCH("TRAVEL ADAPTER",B2144)),
ISNUMBER(SEARCH("RJ45",B2144)),
ISNUMBER(SEARCH("USB-C",B2144)),
ISNUMBER(SEARCH("USB WIFI",B2144)),
ISNUMBER(SEARCH("POWERBANK",B2144)),
ISNUMBER(SEARCH("CARGADOR",B2144)),
ISNUMBER(SEARCH("COOLER PARA NB",B2144)),
ISNUMBER(SEARCH("SOPORTE PARA NB",B2144)),
ISNUMBER(SEARCH("WEBCAM",B2144)),
ISNUMBER(SEARCH("WEB CAM",B2144)),
ISNUMBER(SEARCH("MOUSE",B2144)),
ISNUMBER(SEARCH("TECLADO",B2144))
),
"COMPLEMENTO",
IF(
OR(
LEFT(A2144,2)="NB",
LEFT(A2144,2)="PC",
LEFT(A2144,2)="WS",
LEFT(A2144,2)="TB",
LEFT(A2144,3)="CEL",
LEFT(A2144,3)="MON",
LEFT(A2144,3)="PRE",
LEFT(A2144,3)="PRH",
ISNUMBER(SEARCH("NOTEBOOK",B2144)),
ISNUMBER(SEARCH("LAPTOP",B2144)),
ISNUMBER(SEARCH("MONITOR",B2144)),
ISNUMBER(SEARCH("TABLET",B2144)),
ISNUMBER(SEARCH("SMARTPH",B2144)),
ISNUMBER(SEARCH("IMPRESORA",B2144)),
ISNUMBER(SEARCH("MULTIFUNCIONAL",B2144)),
ISNUMBER(SEARCH("AIO",B2144))
),
"GANCHO",
"NORMAL"
)
)</f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>ROUND(
IF(L2141="GANCHO",
   IF(I2143&lt;=50,I2143*1.1+4,IF(I2143&lt;=120,I2143*1.1+7,IF(I2143&lt;=250,I2143*1.1+11,I2143*1.1+19))),
IF(L2141="NORMAL",
   IF(I2143&lt;=30,I2143*1.15+2,IF(I2143&lt;=80,I2143*1.15+4,IF(I2143&lt;=150,I2143*1.15+6,I2143*1.15+8))),
IF(L2141="COMPLEMENTO",
   IF(I2143&lt;=25,I2143*1.25+1.5,IF(I2143&lt;=60,I2143*1.25+3,IF(I2143&lt;=120,I2143*1.25+4,I2143*1.25+5))),
""))),2)</f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>IF(
OR(
ISNUMBER(SEARCH("BACKPACK",B2145)),
ISNUMBER(SEARCH("MOCHILA",B2145)),
ISNUMBER(SEARCH("FUNDA",B2145)),
ISNUMBER(SEARCH("ESTUCHE",B2145)),
ISNUMBER(SEARCH("BOOK COVER",B2145)),
ISNUMBER(SEARCH("KEYBOARD PARA TABLET",B2145)),
ISNUMBER(SEARCH("FLIP TABLET",B2145)),
ISNUMBER(SEARCH("CASE FOR TABLET",B2145)),
ISNUMBER(SEARCH("CABLE",B2145)),
ISNUMBER(SEARCH("ADAPTADOR",B2145)),
ISNUMBER(SEARCH("HUB",B2145)),
ISNUMBER(SEARCH("DOCK",B2145)),
ISNUMBER(SEARCH("MOUSE PAD",B2145)),
ISNUMBER(SEARCH("MOUSEPAD",B2145)),
ISNUMBER(SEARCH("SOPORTE",B2145)),
ISNUMBER(SEARCH("STAND",B2145)),
ISNUMBER(SEARCH("TRAVEL ADAPTER",B2145)),
ISNUMBER(SEARCH("RJ45",B2145)),
ISNUMBER(SEARCH("USB-C",B2145)),
ISNUMBER(SEARCH("USB WIFI",B2145)),
ISNUMBER(SEARCH("POWERBANK",B2145)),
ISNUMBER(SEARCH("CARGADOR",B2145)),
ISNUMBER(SEARCH("COOLER PARA NB",B2145)),
ISNUMBER(SEARCH("SOPORTE PARA NB",B2145)),
ISNUMBER(SEARCH("WEBCAM",B2145)),
ISNUMBER(SEARCH("WEB CAM",B2145)),
ISNUMBER(SEARCH("MOUSE",B2145)),
ISNUMBER(SEARCH("TECLADO",B2145))
),
"COMPLEMENTO",
IF(
OR(
LEFT(A2145,2)="NB",
LEFT(A2145,2)="PC",
LEFT(A2145,2)="WS",
LEFT(A2145,2)="TB",
LEFT(A2145,3)="CEL",
LEFT(A2145,3)="MON",
LEFT(A2145,3)="PRE",
LEFT(A2145,3)="PRH",
ISNUMBER(SEARCH("NOTEBOOK",B2145)),
ISNUMBER(SEARCH("LAPTOP",B2145)),
ISNUMBER(SEARCH("MONITOR",B2145)),
ISNUMBER(SEARCH("TABLET",B2145)),
ISNUMBER(SEARCH("SMARTPH",B2145)),
ISNUMBER(SEARCH("IMPRESORA",B2145)),
ISNUMBER(SEARCH("MULTIFUNCIONAL",B2145)),
ISNUMBER(SEARCH("AIO",B2145))
),
"GANCHO",
"NORMAL"
)
)</f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>ROUND(
IF(L2142="GANCHO",
   IF(I2144&lt;=50,I2144*1.1+4,IF(I2144&lt;=120,I2144*1.1+7,IF(I2144&lt;=250,I2144*1.1+11,I2144*1.1+19))),
IF(L2142="NORMAL",
   IF(I2144&lt;=30,I2144*1.15+2,IF(I2144&lt;=80,I2144*1.15+4,IF(I2144&lt;=150,I2144*1.15+6,I2144*1.15+8))),
IF(L2142="COMPLEMENTO",
   IF(I2144&lt;=25,I2144*1.25+1.5,IF(I2144&lt;=60,I2144*1.25+3,IF(I2144&lt;=120,I2144*1.25+4,I2144*1.25+5))),
""))),2)</f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>IF(
OR(
ISNUMBER(SEARCH("BACKPACK",B2146)),
ISNUMBER(SEARCH("MOCHILA",B2146)),
ISNUMBER(SEARCH("FUNDA",B2146)),
ISNUMBER(SEARCH("ESTUCHE",B2146)),
ISNUMBER(SEARCH("BOOK COVER",B2146)),
ISNUMBER(SEARCH("KEYBOARD PARA TABLET",B2146)),
ISNUMBER(SEARCH("FLIP TABLET",B2146)),
ISNUMBER(SEARCH("CASE FOR TABLET",B2146)),
ISNUMBER(SEARCH("CABLE",B2146)),
ISNUMBER(SEARCH("ADAPTADOR",B2146)),
ISNUMBER(SEARCH("HUB",B2146)),
ISNUMBER(SEARCH("DOCK",B2146)),
ISNUMBER(SEARCH("MOUSE PAD",B2146)),
ISNUMBER(SEARCH("MOUSEPAD",B2146)),
ISNUMBER(SEARCH("SOPORTE",B2146)),
ISNUMBER(SEARCH("STAND",B2146)),
ISNUMBER(SEARCH("TRAVEL ADAPTER",B2146)),
ISNUMBER(SEARCH("RJ45",B2146)),
ISNUMBER(SEARCH("USB-C",B2146)),
ISNUMBER(SEARCH("USB WIFI",B2146)),
ISNUMBER(SEARCH("POWERBANK",B2146)),
ISNUMBER(SEARCH("CARGADOR",B2146)),
ISNUMBER(SEARCH("COOLER PARA NB",B2146)),
ISNUMBER(SEARCH("SOPORTE PARA NB",B2146)),
ISNUMBER(SEARCH("WEBCAM",B2146)),
ISNUMBER(SEARCH("WEB CAM",B2146)),
ISNUMBER(SEARCH("MOUSE",B2146)),
ISNUMBER(SEARCH("TECLADO",B2146))
),
"COMPLEMENTO",
IF(
OR(
LEFT(A2146,2)="NB",
LEFT(A2146,2)="PC",
LEFT(A2146,2)="WS",
LEFT(A2146,2)="TB",
LEFT(A2146,3)="CEL",
LEFT(A2146,3)="MON",
LEFT(A2146,3)="PRE",
LEFT(A2146,3)="PRH",
ISNUMBER(SEARCH("NOTEBOOK",B2146)),
ISNUMBER(SEARCH("LAPTOP",B2146)),
ISNUMBER(SEARCH("MONITOR",B2146)),
ISNUMBER(SEARCH("TABLET",B2146)),
ISNUMBER(SEARCH("SMARTPH",B2146)),
ISNUMBER(SEARCH("IMPRESORA",B2146)),
ISNUMBER(SEARCH("MULTIFUNCIONAL",B2146)),
ISNUMBER(SEARCH("AIO",B2146))
),
"GANCHO",
"NORMAL"
)
)</f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>ROUND(
IF(L2143="GANCHO",
   IF(I2145&lt;=50,I2145*1.1+4,IF(I2145&lt;=120,I2145*1.1+7,IF(I2145&lt;=250,I2145*1.1+11,I2145*1.1+19))),
IF(L2143="NORMAL",
   IF(I2145&lt;=30,I2145*1.15+2,IF(I2145&lt;=80,I2145*1.15+4,IF(I2145&lt;=150,I2145*1.15+6,I2145*1.15+8))),
IF(L2143="COMPLEMENTO",
   IF(I2145&lt;=25,I2145*1.25+1.5,IF(I2145&lt;=60,I2145*1.25+3,IF(I2145&lt;=120,I2145*1.25+4,I2145*1.25+5))),
""))),2)</f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>IF(
OR(
ISNUMBER(SEARCH("BACKPACK",B2147)),
ISNUMBER(SEARCH("MOCHILA",B2147)),
ISNUMBER(SEARCH("FUNDA",B2147)),
ISNUMBER(SEARCH("ESTUCHE",B2147)),
ISNUMBER(SEARCH("BOOK COVER",B2147)),
ISNUMBER(SEARCH("KEYBOARD PARA TABLET",B2147)),
ISNUMBER(SEARCH("FLIP TABLET",B2147)),
ISNUMBER(SEARCH("CASE FOR TABLET",B2147)),
ISNUMBER(SEARCH("CABLE",B2147)),
ISNUMBER(SEARCH("ADAPTADOR",B2147)),
ISNUMBER(SEARCH("HUB",B2147)),
ISNUMBER(SEARCH("DOCK",B2147)),
ISNUMBER(SEARCH("MOUSE PAD",B2147)),
ISNUMBER(SEARCH("MOUSEPAD",B2147)),
ISNUMBER(SEARCH("SOPORTE",B2147)),
ISNUMBER(SEARCH("STAND",B2147)),
ISNUMBER(SEARCH("TRAVEL ADAPTER",B2147)),
ISNUMBER(SEARCH("RJ45",B2147)),
ISNUMBER(SEARCH("USB-C",B2147)),
ISNUMBER(SEARCH("USB WIFI",B2147)),
ISNUMBER(SEARCH("POWERBANK",B2147)),
ISNUMBER(SEARCH("CARGADOR",B2147)),
ISNUMBER(SEARCH("COOLER PARA NB",B2147)),
ISNUMBER(SEARCH("SOPORTE PARA NB",B2147)),
ISNUMBER(SEARCH("WEBCAM",B2147)),
ISNUMBER(SEARCH("WEB CAM",B2147)),
ISNUMBER(SEARCH("MOUSE",B2147)),
ISNUMBER(SEARCH("TECLADO",B2147))
),
"COMPLEMENTO",
IF(
OR(
LEFT(A2147,2)="NB",
LEFT(A2147,2)="PC",
LEFT(A2147,2)="WS",
LEFT(A2147,2)="TB",
LEFT(A2147,3)="CEL",
LEFT(A2147,3)="MON",
LEFT(A2147,3)="PRE",
LEFT(A2147,3)="PRH",
ISNUMBER(SEARCH("NOTEBOOK",B2147)),
ISNUMBER(SEARCH("LAPTOP",B2147)),
ISNUMBER(SEARCH("MONITOR",B2147)),
ISNUMBER(SEARCH("TABLET",B2147)),
ISNUMBER(SEARCH("SMARTPH",B2147)),
ISNUMBER(SEARCH("IMPRESORA",B2147)),
ISNUMBER(SEARCH("MULTIFUNCIONAL",B2147)),
ISNUMBER(SEARCH("AIO",B2147))
),
"GANCHO",
"NORMAL"
)
)</f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>ROUND(
IF(L2144="GANCHO",
   IF(I2146&lt;=50,I2146*1.1+4,IF(I2146&lt;=120,I2146*1.1+7,IF(I2146&lt;=250,I2146*1.1+11,I2146*1.1+19))),
IF(L2144="NORMAL",
   IF(I2146&lt;=30,I2146*1.15+2,IF(I2146&lt;=80,I2146*1.15+4,IF(I2146&lt;=150,I2146*1.15+6,I2146*1.15+8))),
IF(L2144="COMPLEMENTO",
   IF(I2146&lt;=25,I2146*1.25+1.5,IF(I2146&lt;=60,I2146*1.25+3,IF(I2146&lt;=120,I2146*1.25+4,I2146*1.25+5))),
""))),2)</f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>IF(
OR(
ISNUMBER(SEARCH("BACKPACK",B2148)),
ISNUMBER(SEARCH("MOCHILA",B2148)),
ISNUMBER(SEARCH("FUNDA",B2148)),
ISNUMBER(SEARCH("ESTUCHE",B2148)),
ISNUMBER(SEARCH("BOOK COVER",B2148)),
ISNUMBER(SEARCH("KEYBOARD PARA TABLET",B2148)),
ISNUMBER(SEARCH("FLIP TABLET",B2148)),
ISNUMBER(SEARCH("CASE FOR TABLET",B2148)),
ISNUMBER(SEARCH("CABLE",B2148)),
ISNUMBER(SEARCH("ADAPTADOR",B2148)),
ISNUMBER(SEARCH("HUB",B2148)),
ISNUMBER(SEARCH("DOCK",B2148)),
ISNUMBER(SEARCH("MOUSE PAD",B2148)),
ISNUMBER(SEARCH("MOUSEPAD",B2148)),
ISNUMBER(SEARCH("SOPORTE",B2148)),
ISNUMBER(SEARCH("STAND",B2148)),
ISNUMBER(SEARCH("TRAVEL ADAPTER",B2148)),
ISNUMBER(SEARCH("RJ45",B2148)),
ISNUMBER(SEARCH("USB-C",B2148)),
ISNUMBER(SEARCH("USB WIFI",B2148)),
ISNUMBER(SEARCH("POWERBANK",B2148)),
ISNUMBER(SEARCH("CARGADOR",B2148)),
ISNUMBER(SEARCH("COOLER PARA NB",B2148)),
ISNUMBER(SEARCH("SOPORTE PARA NB",B2148)),
ISNUMBER(SEARCH("WEBCAM",B2148)),
ISNUMBER(SEARCH("WEB CAM",B2148)),
ISNUMBER(SEARCH("MOUSE",B2148)),
ISNUMBER(SEARCH("TECLADO",B2148))
),
"COMPLEMENTO",
IF(
OR(
LEFT(A2148,2)="NB",
LEFT(A2148,2)="PC",
LEFT(A2148,2)="WS",
LEFT(A2148,2)="TB",
LEFT(A2148,3)="CEL",
LEFT(A2148,3)="MON",
LEFT(A2148,3)="PRE",
LEFT(A2148,3)="PRH",
ISNUMBER(SEARCH("NOTEBOOK",B2148)),
ISNUMBER(SEARCH("LAPTOP",B2148)),
ISNUMBER(SEARCH("MONITOR",B2148)),
ISNUMBER(SEARCH("TABLET",B2148)),
ISNUMBER(SEARCH("SMARTPH",B2148)),
ISNUMBER(SEARCH("IMPRESORA",B2148)),
ISNUMBER(SEARCH("MULTIFUNCIONAL",B2148)),
ISNUMBER(SEARCH("AIO",B2148))
),
"GANCHO",
"NORMAL"
)
)</f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>ROUND(
IF(L2145="GANCHO",
   IF(I2147&lt;=50,I2147*1.1+4,IF(I2147&lt;=120,I2147*1.1+7,IF(I2147&lt;=250,I2147*1.1+11,I2147*1.1+19))),
IF(L2145="NORMAL",
   IF(I2147&lt;=30,I2147*1.15+2,IF(I2147&lt;=80,I2147*1.15+4,IF(I2147&lt;=150,I2147*1.15+6,I2147*1.15+8))),
IF(L2145="COMPLEMENTO",
   IF(I2147&lt;=25,I2147*1.25+1.5,IF(I2147&lt;=60,I2147*1.25+3,IF(I2147&lt;=120,I2147*1.25+4,I2147*1.25+5))),
""))),2)</f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>IF(
OR(
ISNUMBER(SEARCH("BACKPACK",B2149)),
ISNUMBER(SEARCH("MOCHILA",B2149)),
ISNUMBER(SEARCH("FUNDA",B2149)),
ISNUMBER(SEARCH("ESTUCHE",B2149)),
ISNUMBER(SEARCH("BOOK COVER",B2149)),
ISNUMBER(SEARCH("KEYBOARD PARA TABLET",B2149)),
ISNUMBER(SEARCH("FLIP TABLET",B2149)),
ISNUMBER(SEARCH("CASE FOR TABLET",B2149)),
ISNUMBER(SEARCH("CABLE",B2149)),
ISNUMBER(SEARCH("ADAPTADOR",B2149)),
ISNUMBER(SEARCH("HUB",B2149)),
ISNUMBER(SEARCH("DOCK",B2149)),
ISNUMBER(SEARCH("MOUSE PAD",B2149)),
ISNUMBER(SEARCH("MOUSEPAD",B2149)),
ISNUMBER(SEARCH("SOPORTE",B2149)),
ISNUMBER(SEARCH("STAND",B2149)),
ISNUMBER(SEARCH("TRAVEL ADAPTER",B2149)),
ISNUMBER(SEARCH("RJ45",B2149)),
ISNUMBER(SEARCH("USB-C",B2149)),
ISNUMBER(SEARCH("USB WIFI",B2149)),
ISNUMBER(SEARCH("POWERBANK",B2149)),
ISNUMBER(SEARCH("CARGADOR",B2149)),
ISNUMBER(SEARCH("COOLER PARA NB",B2149)),
ISNUMBER(SEARCH("SOPORTE PARA NB",B2149)),
ISNUMBER(SEARCH("WEBCAM",B2149)),
ISNUMBER(SEARCH("WEB CAM",B2149)),
ISNUMBER(SEARCH("MOUSE",B2149)),
ISNUMBER(SEARCH("TECLADO",B2149))
),
"COMPLEMENTO",
IF(
OR(
LEFT(A2149,2)="NB",
LEFT(A2149,2)="PC",
LEFT(A2149,2)="WS",
LEFT(A2149,2)="TB",
LEFT(A2149,3)="CEL",
LEFT(A2149,3)="MON",
LEFT(A2149,3)="PRE",
LEFT(A2149,3)="PRH",
ISNUMBER(SEARCH("NOTEBOOK",B2149)),
ISNUMBER(SEARCH("LAPTOP",B2149)),
ISNUMBER(SEARCH("MONITOR",B2149)),
ISNUMBER(SEARCH("TABLET",B2149)),
ISNUMBER(SEARCH("SMARTPH",B2149)),
ISNUMBER(SEARCH("IMPRESORA",B2149)),
ISNUMBER(SEARCH("MULTIFUNCIONAL",B2149)),
ISNUMBER(SEARCH("AIO",B2149))
),
"GANCHO",
"NORMAL"
)
)</f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>ROUND(
IF(L2146="GANCHO",
   IF(I2148&lt;=50,I2148*1.1+4,IF(I2148&lt;=120,I2148*1.1+7,IF(I2148&lt;=250,I2148*1.1+11,I2148*1.1+19))),
IF(L2146="NORMAL",
   IF(I2148&lt;=30,I2148*1.15+2,IF(I2148&lt;=80,I2148*1.15+4,IF(I2148&lt;=150,I2148*1.15+6,I2148*1.15+8))),
IF(L2146="COMPLEMENTO",
   IF(I2148&lt;=25,I2148*1.25+1.5,IF(I2148&lt;=60,I2148*1.25+3,IF(I2148&lt;=120,I2148*1.25+4,I2148*1.25+5))),
""))),2)</f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>IF(
OR(
ISNUMBER(SEARCH("BACKPACK",B2150)),
ISNUMBER(SEARCH("MOCHILA",B2150)),
ISNUMBER(SEARCH("FUNDA",B2150)),
ISNUMBER(SEARCH("ESTUCHE",B2150)),
ISNUMBER(SEARCH("BOOK COVER",B2150)),
ISNUMBER(SEARCH("KEYBOARD PARA TABLET",B2150)),
ISNUMBER(SEARCH("FLIP TABLET",B2150)),
ISNUMBER(SEARCH("CASE FOR TABLET",B2150)),
ISNUMBER(SEARCH("CABLE",B2150)),
ISNUMBER(SEARCH("ADAPTADOR",B2150)),
ISNUMBER(SEARCH("HUB",B2150)),
ISNUMBER(SEARCH("DOCK",B2150)),
ISNUMBER(SEARCH("MOUSE PAD",B2150)),
ISNUMBER(SEARCH("MOUSEPAD",B2150)),
ISNUMBER(SEARCH("SOPORTE",B2150)),
ISNUMBER(SEARCH("STAND",B2150)),
ISNUMBER(SEARCH("TRAVEL ADAPTER",B2150)),
ISNUMBER(SEARCH("RJ45",B2150)),
ISNUMBER(SEARCH("USB-C",B2150)),
ISNUMBER(SEARCH("USB WIFI",B2150)),
ISNUMBER(SEARCH("POWERBANK",B2150)),
ISNUMBER(SEARCH("CARGADOR",B2150)),
ISNUMBER(SEARCH("COOLER PARA NB",B2150)),
ISNUMBER(SEARCH("SOPORTE PARA NB",B2150)),
ISNUMBER(SEARCH("WEBCAM",B2150)),
ISNUMBER(SEARCH("WEB CAM",B2150)),
ISNUMBER(SEARCH("MOUSE",B2150)),
ISNUMBER(SEARCH("TECLADO",B2150))
),
"COMPLEMENTO",
IF(
OR(
LEFT(A2150,2)="NB",
LEFT(A2150,2)="PC",
LEFT(A2150,2)="WS",
LEFT(A2150,2)="TB",
LEFT(A2150,3)="CEL",
LEFT(A2150,3)="MON",
LEFT(A2150,3)="PRE",
LEFT(A2150,3)="PRH",
ISNUMBER(SEARCH("NOTEBOOK",B2150)),
ISNUMBER(SEARCH("LAPTOP",B2150)),
ISNUMBER(SEARCH("MONITOR",B2150)),
ISNUMBER(SEARCH("TABLET",B2150)),
ISNUMBER(SEARCH("SMARTPH",B2150)),
ISNUMBER(SEARCH("IMPRESORA",B2150)),
ISNUMBER(SEARCH("MULTIFUNCIONAL",B2150)),
ISNUMBER(SEARCH("AIO",B2150))
),
"GANCHO",
"NORMAL"
)
)</f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>ROUND(
IF(L2147="GANCHO",
   IF(I2149&lt;=50,I2149*1.1+4,IF(I2149&lt;=120,I2149*1.1+7,IF(I2149&lt;=250,I2149*1.1+11,I2149*1.1+19))),
IF(L2147="NORMAL",
   IF(I2149&lt;=30,I2149*1.15+2,IF(I2149&lt;=80,I2149*1.15+4,IF(I2149&lt;=150,I2149*1.15+6,I2149*1.15+8))),
IF(L2147="COMPLEMENTO",
   IF(I2149&lt;=25,I2149*1.25+1.5,IF(I2149&lt;=60,I2149*1.25+3,IF(I2149&lt;=120,I2149*1.25+4,I2149*1.25+5))),
""))),2)</f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>IF(
OR(
ISNUMBER(SEARCH("BACKPACK",B2151)),
ISNUMBER(SEARCH("MOCHILA",B2151)),
ISNUMBER(SEARCH("FUNDA",B2151)),
ISNUMBER(SEARCH("ESTUCHE",B2151)),
ISNUMBER(SEARCH("BOOK COVER",B2151)),
ISNUMBER(SEARCH("KEYBOARD PARA TABLET",B2151)),
ISNUMBER(SEARCH("FLIP TABLET",B2151)),
ISNUMBER(SEARCH("CASE FOR TABLET",B2151)),
ISNUMBER(SEARCH("CABLE",B2151)),
ISNUMBER(SEARCH("ADAPTADOR",B2151)),
ISNUMBER(SEARCH("HUB",B2151)),
ISNUMBER(SEARCH("DOCK",B2151)),
ISNUMBER(SEARCH("MOUSE PAD",B2151)),
ISNUMBER(SEARCH("MOUSEPAD",B2151)),
ISNUMBER(SEARCH("SOPORTE",B2151)),
ISNUMBER(SEARCH("STAND",B2151)),
ISNUMBER(SEARCH("TRAVEL ADAPTER",B2151)),
ISNUMBER(SEARCH("RJ45",B2151)),
ISNUMBER(SEARCH("USB-C",B2151)),
ISNUMBER(SEARCH("USB WIFI",B2151)),
ISNUMBER(SEARCH("POWERBANK",B2151)),
ISNUMBER(SEARCH("CARGADOR",B2151)),
ISNUMBER(SEARCH("COOLER PARA NB",B2151)),
ISNUMBER(SEARCH("SOPORTE PARA NB",B2151)),
ISNUMBER(SEARCH("WEBCAM",B2151)),
ISNUMBER(SEARCH("WEB CAM",B2151)),
ISNUMBER(SEARCH("MOUSE",B2151)),
ISNUMBER(SEARCH("TECLADO",B2151))
),
"COMPLEMENTO",
IF(
OR(
LEFT(A2151,2)="NB",
LEFT(A2151,2)="PC",
LEFT(A2151,2)="WS",
LEFT(A2151,2)="TB",
LEFT(A2151,3)="CEL",
LEFT(A2151,3)="MON",
LEFT(A2151,3)="PRE",
LEFT(A2151,3)="PRH",
ISNUMBER(SEARCH("NOTEBOOK",B2151)),
ISNUMBER(SEARCH("LAPTOP",B2151)),
ISNUMBER(SEARCH("MONITOR",B2151)),
ISNUMBER(SEARCH("TABLET",B2151)),
ISNUMBER(SEARCH("SMARTPH",B2151)),
ISNUMBER(SEARCH("IMPRESORA",B2151)),
ISNUMBER(SEARCH("MULTIFUNCIONAL",B2151)),
ISNUMBER(SEARCH("AIO",B2151))
),
"GANCHO",
"NORMAL"
)
)</f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>ROUND(
IF(L2148="GANCHO",
   IF(I2150&lt;=50,I2150*1.1+4,IF(I2150&lt;=120,I2150*1.1+7,IF(I2150&lt;=250,I2150*1.1+11,I2150*1.1+19))),
IF(L2148="NORMAL",
   IF(I2150&lt;=30,I2150*1.15+2,IF(I2150&lt;=80,I2150*1.15+4,IF(I2150&lt;=150,I2150*1.15+6,I2150*1.15+8))),
IF(L2148="COMPLEMENTO",
   IF(I2150&lt;=25,I2150*1.25+1.5,IF(I2150&lt;=60,I2150*1.25+3,IF(I2150&lt;=120,I2150*1.25+4,I2150*1.25+5))),
""))),2)</f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>IF(
OR(
ISNUMBER(SEARCH("BACKPACK",B2152)),
ISNUMBER(SEARCH("MOCHILA",B2152)),
ISNUMBER(SEARCH("FUNDA",B2152)),
ISNUMBER(SEARCH("ESTUCHE",B2152)),
ISNUMBER(SEARCH("BOOK COVER",B2152)),
ISNUMBER(SEARCH("KEYBOARD PARA TABLET",B2152)),
ISNUMBER(SEARCH("FLIP TABLET",B2152)),
ISNUMBER(SEARCH("CASE FOR TABLET",B2152)),
ISNUMBER(SEARCH("CABLE",B2152)),
ISNUMBER(SEARCH("ADAPTADOR",B2152)),
ISNUMBER(SEARCH("HUB",B2152)),
ISNUMBER(SEARCH("DOCK",B2152)),
ISNUMBER(SEARCH("MOUSE PAD",B2152)),
ISNUMBER(SEARCH("MOUSEPAD",B2152)),
ISNUMBER(SEARCH("SOPORTE",B2152)),
ISNUMBER(SEARCH("STAND",B2152)),
ISNUMBER(SEARCH("TRAVEL ADAPTER",B2152)),
ISNUMBER(SEARCH("RJ45",B2152)),
ISNUMBER(SEARCH("USB-C",B2152)),
ISNUMBER(SEARCH("USB WIFI",B2152)),
ISNUMBER(SEARCH("POWERBANK",B2152)),
ISNUMBER(SEARCH("CARGADOR",B2152)),
ISNUMBER(SEARCH("COOLER PARA NB",B2152)),
ISNUMBER(SEARCH("SOPORTE PARA NB",B2152)),
ISNUMBER(SEARCH("WEBCAM",B2152)),
ISNUMBER(SEARCH("WEB CAM",B2152)),
ISNUMBER(SEARCH("MOUSE",B2152)),
ISNUMBER(SEARCH("TECLADO",B2152))
),
"COMPLEMENTO",
IF(
OR(
LEFT(A2152,2)="NB",
LEFT(A2152,2)="PC",
LEFT(A2152,2)="WS",
LEFT(A2152,2)="TB",
LEFT(A2152,3)="CEL",
LEFT(A2152,3)="MON",
LEFT(A2152,3)="PRE",
LEFT(A2152,3)="PRH",
ISNUMBER(SEARCH("NOTEBOOK",B2152)),
ISNUMBER(SEARCH("LAPTOP",B2152)),
ISNUMBER(SEARCH("MONITOR",B2152)),
ISNUMBER(SEARCH("TABLET",B2152)),
ISNUMBER(SEARCH("SMARTPH",B2152)),
ISNUMBER(SEARCH("IMPRESORA",B2152)),
ISNUMBER(SEARCH("MULTIFUNCIONAL",B2152)),
ISNUMBER(SEARCH("AIO",B2152))
),
"GANCHO",
"NORMAL"
)
)</f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>ROUND(
IF(L2149="GANCHO",
   IF(I2151&lt;=50,I2151*1.1+4,IF(I2151&lt;=120,I2151*1.1+7,IF(I2151&lt;=250,I2151*1.1+11,I2151*1.1+19))),
IF(L2149="NORMAL",
   IF(I2151&lt;=30,I2151*1.15+2,IF(I2151&lt;=80,I2151*1.15+4,IF(I2151&lt;=150,I2151*1.15+6,I2151*1.15+8))),
IF(L2149="COMPLEMENTO",
   IF(I2151&lt;=25,I2151*1.25+1.5,IF(I2151&lt;=60,I2151*1.25+3,IF(I2151&lt;=120,I2151*1.25+4,I2151*1.25+5))),
""))),2)</f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>IF(
OR(
ISNUMBER(SEARCH("BACKPACK",B2153)),
ISNUMBER(SEARCH("MOCHILA",B2153)),
ISNUMBER(SEARCH("FUNDA",B2153)),
ISNUMBER(SEARCH("ESTUCHE",B2153)),
ISNUMBER(SEARCH("BOOK COVER",B2153)),
ISNUMBER(SEARCH("KEYBOARD PARA TABLET",B2153)),
ISNUMBER(SEARCH("FLIP TABLET",B2153)),
ISNUMBER(SEARCH("CASE FOR TABLET",B2153)),
ISNUMBER(SEARCH("CABLE",B2153)),
ISNUMBER(SEARCH("ADAPTADOR",B2153)),
ISNUMBER(SEARCH("HUB",B2153)),
ISNUMBER(SEARCH("DOCK",B2153)),
ISNUMBER(SEARCH("MOUSE PAD",B2153)),
ISNUMBER(SEARCH("MOUSEPAD",B2153)),
ISNUMBER(SEARCH("SOPORTE",B2153)),
ISNUMBER(SEARCH("STAND",B2153)),
ISNUMBER(SEARCH("TRAVEL ADAPTER",B2153)),
ISNUMBER(SEARCH("RJ45",B2153)),
ISNUMBER(SEARCH("USB-C",B2153)),
ISNUMBER(SEARCH("USB WIFI",B2153)),
ISNUMBER(SEARCH("POWERBANK",B2153)),
ISNUMBER(SEARCH("CARGADOR",B2153)),
ISNUMBER(SEARCH("COOLER PARA NB",B2153)),
ISNUMBER(SEARCH("SOPORTE PARA NB",B2153)),
ISNUMBER(SEARCH("WEBCAM",B2153)),
ISNUMBER(SEARCH("WEB CAM",B2153)),
ISNUMBER(SEARCH("MOUSE",B2153)),
ISNUMBER(SEARCH("TECLADO",B2153))
),
"COMPLEMENTO",
IF(
OR(
LEFT(A2153,2)="NB",
LEFT(A2153,2)="PC",
LEFT(A2153,2)="WS",
LEFT(A2153,2)="TB",
LEFT(A2153,3)="CEL",
LEFT(A2153,3)="MON",
LEFT(A2153,3)="PRE",
LEFT(A2153,3)="PRH",
ISNUMBER(SEARCH("NOTEBOOK",B2153)),
ISNUMBER(SEARCH("LAPTOP",B2153)),
ISNUMBER(SEARCH("MONITOR",B2153)),
ISNUMBER(SEARCH("TABLET",B2153)),
ISNUMBER(SEARCH("SMARTPH",B2153)),
ISNUMBER(SEARCH("IMPRESORA",B2153)),
ISNUMBER(SEARCH("MULTIFUNCIONAL",B2153)),
ISNUMBER(SEARCH("AIO",B2153))
),
"GANCHO",
"NORMAL"
)
)</f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>ROUND(
IF(L2150="GANCHO",
   IF(I2152&lt;=50,I2152*1.1+4,IF(I2152&lt;=120,I2152*1.1+7,IF(I2152&lt;=250,I2152*1.1+11,I2152*1.1+19))),
IF(L2150="NORMAL",
   IF(I2152&lt;=30,I2152*1.15+2,IF(I2152&lt;=80,I2152*1.15+4,IF(I2152&lt;=150,I2152*1.15+6,I2152*1.15+8))),
IF(L2150="COMPLEMENTO",
   IF(I2152&lt;=25,I2152*1.25+1.5,IF(I2152&lt;=60,I2152*1.25+3,IF(I2152&lt;=120,I2152*1.25+4,I2152*1.25+5))),
""))),2)</f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>IF(
OR(
ISNUMBER(SEARCH("BACKPACK",B2154)),
ISNUMBER(SEARCH("MOCHILA",B2154)),
ISNUMBER(SEARCH("FUNDA",B2154)),
ISNUMBER(SEARCH("ESTUCHE",B2154)),
ISNUMBER(SEARCH("BOOK COVER",B2154)),
ISNUMBER(SEARCH("KEYBOARD PARA TABLET",B2154)),
ISNUMBER(SEARCH("FLIP TABLET",B2154)),
ISNUMBER(SEARCH("CASE FOR TABLET",B2154)),
ISNUMBER(SEARCH("CABLE",B2154)),
ISNUMBER(SEARCH("ADAPTADOR",B2154)),
ISNUMBER(SEARCH("HUB",B2154)),
ISNUMBER(SEARCH("DOCK",B2154)),
ISNUMBER(SEARCH("MOUSE PAD",B2154)),
ISNUMBER(SEARCH("MOUSEPAD",B2154)),
ISNUMBER(SEARCH("SOPORTE",B2154)),
ISNUMBER(SEARCH("STAND",B2154)),
ISNUMBER(SEARCH("TRAVEL ADAPTER",B2154)),
ISNUMBER(SEARCH("RJ45",B2154)),
ISNUMBER(SEARCH("USB-C",B2154)),
ISNUMBER(SEARCH("USB WIFI",B2154)),
ISNUMBER(SEARCH("POWERBANK",B2154)),
ISNUMBER(SEARCH("CARGADOR",B2154)),
ISNUMBER(SEARCH("COOLER PARA NB",B2154)),
ISNUMBER(SEARCH("SOPORTE PARA NB",B2154)),
ISNUMBER(SEARCH("WEBCAM",B2154)),
ISNUMBER(SEARCH("WEB CAM",B2154)),
ISNUMBER(SEARCH("MOUSE",B2154)),
ISNUMBER(SEARCH("TECLADO",B2154))
),
"COMPLEMENTO",
IF(
OR(
LEFT(A2154,2)="NB",
LEFT(A2154,2)="PC",
LEFT(A2154,2)="WS",
LEFT(A2154,2)="TB",
LEFT(A2154,3)="CEL",
LEFT(A2154,3)="MON",
LEFT(A2154,3)="PRE",
LEFT(A2154,3)="PRH",
ISNUMBER(SEARCH("NOTEBOOK",B2154)),
ISNUMBER(SEARCH("LAPTOP",B2154)),
ISNUMBER(SEARCH("MONITOR",B2154)),
ISNUMBER(SEARCH("TABLET",B2154)),
ISNUMBER(SEARCH("SMARTPH",B2154)),
ISNUMBER(SEARCH("IMPRESORA",B2154)),
ISNUMBER(SEARCH("MULTIFUNCIONAL",B2154)),
ISNUMBER(SEARCH("AIO",B2154))
),
"GANCHO",
"NORMAL"
)
)</f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>ROUND(
IF(L2151="GANCHO",
   IF(I2153&lt;=50,I2153*1.1+4,IF(I2153&lt;=120,I2153*1.1+7,IF(I2153&lt;=250,I2153*1.1+11,I2153*1.1+19))),
IF(L2151="NORMAL",
   IF(I2153&lt;=30,I2153*1.15+2,IF(I2153&lt;=80,I2153*1.15+4,IF(I2153&lt;=150,I2153*1.15+6,I2153*1.15+8))),
IF(L2151="COMPLEMENTO",
   IF(I2153&lt;=25,I2153*1.25+1.5,IF(I2153&lt;=60,I2153*1.25+3,IF(I2153&lt;=120,I2153*1.25+4,I2153*1.25+5))),
""))),2)</f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>IF(
OR(
ISNUMBER(SEARCH("BACKPACK",B2155)),
ISNUMBER(SEARCH("MOCHILA",B2155)),
ISNUMBER(SEARCH("FUNDA",B2155)),
ISNUMBER(SEARCH("ESTUCHE",B2155)),
ISNUMBER(SEARCH("BOOK COVER",B2155)),
ISNUMBER(SEARCH("KEYBOARD PARA TABLET",B2155)),
ISNUMBER(SEARCH("FLIP TABLET",B2155)),
ISNUMBER(SEARCH("CASE FOR TABLET",B2155)),
ISNUMBER(SEARCH("CABLE",B2155)),
ISNUMBER(SEARCH("ADAPTADOR",B2155)),
ISNUMBER(SEARCH("HUB",B2155)),
ISNUMBER(SEARCH("DOCK",B2155)),
ISNUMBER(SEARCH("MOUSE PAD",B2155)),
ISNUMBER(SEARCH("MOUSEPAD",B2155)),
ISNUMBER(SEARCH("SOPORTE",B2155)),
ISNUMBER(SEARCH("STAND",B2155)),
ISNUMBER(SEARCH("TRAVEL ADAPTER",B2155)),
ISNUMBER(SEARCH("RJ45",B2155)),
ISNUMBER(SEARCH("USB-C",B2155)),
ISNUMBER(SEARCH("USB WIFI",B2155)),
ISNUMBER(SEARCH("POWERBANK",B2155)),
ISNUMBER(SEARCH("CARGADOR",B2155)),
ISNUMBER(SEARCH("COOLER PARA NB",B2155)),
ISNUMBER(SEARCH("SOPORTE PARA NB",B2155)),
ISNUMBER(SEARCH("WEBCAM",B2155)),
ISNUMBER(SEARCH("WEB CAM",B2155)),
ISNUMBER(SEARCH("MOUSE",B2155)),
ISNUMBER(SEARCH("TECLADO",B2155))
),
"COMPLEMENTO",
IF(
OR(
LEFT(A2155,2)="NB",
LEFT(A2155,2)="PC",
LEFT(A2155,2)="WS",
LEFT(A2155,2)="TB",
LEFT(A2155,3)="CEL",
LEFT(A2155,3)="MON",
LEFT(A2155,3)="PRE",
LEFT(A2155,3)="PRH",
ISNUMBER(SEARCH("NOTEBOOK",B2155)),
ISNUMBER(SEARCH("LAPTOP",B2155)),
ISNUMBER(SEARCH("MONITOR",B2155)),
ISNUMBER(SEARCH("TABLET",B2155)),
ISNUMBER(SEARCH("SMARTPH",B2155)),
ISNUMBER(SEARCH("IMPRESORA",B2155)),
ISNUMBER(SEARCH("MULTIFUNCIONAL",B2155)),
ISNUMBER(SEARCH("AIO",B2155))
),
"GANCHO",
"NORMAL"
)
)</f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>ROUND(
IF(L2152="GANCHO",
   IF(I2154&lt;=50,I2154*1.1+4,IF(I2154&lt;=120,I2154*1.1+7,IF(I2154&lt;=250,I2154*1.1+11,I2154*1.1+19))),
IF(L2152="NORMAL",
   IF(I2154&lt;=30,I2154*1.15+2,IF(I2154&lt;=80,I2154*1.15+4,IF(I2154&lt;=150,I2154*1.15+6,I2154*1.15+8))),
IF(L2152="COMPLEMENTO",
   IF(I2154&lt;=25,I2154*1.25+1.5,IF(I2154&lt;=60,I2154*1.25+3,IF(I2154&lt;=120,I2154*1.25+4,I2154*1.25+5))),
""))),2)</f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>IF(
OR(
ISNUMBER(SEARCH("BACKPACK",B2156)),
ISNUMBER(SEARCH("MOCHILA",B2156)),
ISNUMBER(SEARCH("FUNDA",B2156)),
ISNUMBER(SEARCH("ESTUCHE",B2156)),
ISNUMBER(SEARCH("BOOK COVER",B2156)),
ISNUMBER(SEARCH("KEYBOARD PARA TABLET",B2156)),
ISNUMBER(SEARCH("FLIP TABLET",B2156)),
ISNUMBER(SEARCH("CASE FOR TABLET",B2156)),
ISNUMBER(SEARCH("CABLE",B2156)),
ISNUMBER(SEARCH("ADAPTADOR",B2156)),
ISNUMBER(SEARCH("HUB",B2156)),
ISNUMBER(SEARCH("DOCK",B2156)),
ISNUMBER(SEARCH("MOUSE PAD",B2156)),
ISNUMBER(SEARCH("MOUSEPAD",B2156)),
ISNUMBER(SEARCH("SOPORTE",B2156)),
ISNUMBER(SEARCH("STAND",B2156)),
ISNUMBER(SEARCH("TRAVEL ADAPTER",B2156)),
ISNUMBER(SEARCH("RJ45",B2156)),
ISNUMBER(SEARCH("USB-C",B2156)),
ISNUMBER(SEARCH("USB WIFI",B2156)),
ISNUMBER(SEARCH("POWERBANK",B2156)),
ISNUMBER(SEARCH("CARGADOR",B2156)),
ISNUMBER(SEARCH("COOLER PARA NB",B2156)),
ISNUMBER(SEARCH("SOPORTE PARA NB",B2156)),
ISNUMBER(SEARCH("WEBCAM",B2156)),
ISNUMBER(SEARCH("WEB CAM",B2156)),
ISNUMBER(SEARCH("MOUSE",B2156)),
ISNUMBER(SEARCH("TECLADO",B2156))
),
"COMPLEMENTO",
IF(
OR(
LEFT(A2156,2)="NB",
LEFT(A2156,2)="PC",
LEFT(A2156,2)="WS",
LEFT(A2156,2)="TB",
LEFT(A2156,3)="CEL",
LEFT(A2156,3)="MON",
LEFT(A2156,3)="PRE",
LEFT(A2156,3)="PRH",
ISNUMBER(SEARCH("NOTEBOOK",B2156)),
ISNUMBER(SEARCH("LAPTOP",B2156)),
ISNUMBER(SEARCH("MONITOR",B2156)),
ISNUMBER(SEARCH("TABLET",B2156)),
ISNUMBER(SEARCH("SMARTPH",B2156)),
ISNUMBER(SEARCH("IMPRESORA",B2156)),
ISNUMBER(SEARCH("MULTIFUNCIONAL",B2156)),
ISNUMBER(SEARCH("AIO",B2156))
),
"GANCHO",
"NORMAL"
)
)</f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>ROUND(
IF(L2153="GANCHO",
   IF(I2155&lt;=50,I2155*1.1+4,IF(I2155&lt;=120,I2155*1.1+7,IF(I2155&lt;=250,I2155*1.1+11,I2155*1.1+19))),
IF(L2153="NORMAL",
   IF(I2155&lt;=30,I2155*1.15+2,IF(I2155&lt;=80,I2155*1.15+4,IF(I2155&lt;=150,I2155*1.15+6,I2155*1.15+8))),
IF(L2153="COMPLEMENTO",
   IF(I2155&lt;=25,I2155*1.25+1.5,IF(I2155&lt;=60,I2155*1.25+3,IF(I2155&lt;=120,I2155*1.25+4,I2155*1.25+5))),
""))),2)</f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>IF(
OR(
ISNUMBER(SEARCH("BACKPACK",B2157)),
ISNUMBER(SEARCH("MOCHILA",B2157)),
ISNUMBER(SEARCH("FUNDA",B2157)),
ISNUMBER(SEARCH("ESTUCHE",B2157)),
ISNUMBER(SEARCH("BOOK COVER",B2157)),
ISNUMBER(SEARCH("KEYBOARD PARA TABLET",B2157)),
ISNUMBER(SEARCH("FLIP TABLET",B2157)),
ISNUMBER(SEARCH("CASE FOR TABLET",B2157)),
ISNUMBER(SEARCH("CABLE",B2157)),
ISNUMBER(SEARCH("ADAPTADOR",B2157)),
ISNUMBER(SEARCH("HUB",B2157)),
ISNUMBER(SEARCH("DOCK",B2157)),
ISNUMBER(SEARCH("MOUSE PAD",B2157)),
ISNUMBER(SEARCH("MOUSEPAD",B2157)),
ISNUMBER(SEARCH("SOPORTE",B2157)),
ISNUMBER(SEARCH("STAND",B2157)),
ISNUMBER(SEARCH("TRAVEL ADAPTER",B2157)),
ISNUMBER(SEARCH("RJ45",B2157)),
ISNUMBER(SEARCH("USB-C",B2157)),
ISNUMBER(SEARCH("USB WIFI",B2157)),
ISNUMBER(SEARCH("POWERBANK",B2157)),
ISNUMBER(SEARCH("CARGADOR",B2157)),
ISNUMBER(SEARCH("COOLER PARA NB",B2157)),
ISNUMBER(SEARCH("SOPORTE PARA NB",B2157)),
ISNUMBER(SEARCH("WEBCAM",B2157)),
ISNUMBER(SEARCH("WEB CAM",B2157)),
ISNUMBER(SEARCH("MOUSE",B2157)),
ISNUMBER(SEARCH("TECLADO",B2157))
),
"COMPLEMENTO",
IF(
OR(
LEFT(A2157,2)="NB",
LEFT(A2157,2)="PC",
LEFT(A2157,2)="WS",
LEFT(A2157,2)="TB",
LEFT(A2157,3)="CEL",
LEFT(A2157,3)="MON",
LEFT(A2157,3)="PRE",
LEFT(A2157,3)="PRH",
ISNUMBER(SEARCH("NOTEBOOK",B2157)),
ISNUMBER(SEARCH("LAPTOP",B2157)),
ISNUMBER(SEARCH("MONITOR",B2157)),
ISNUMBER(SEARCH("TABLET",B2157)),
ISNUMBER(SEARCH("SMARTPH",B2157)),
ISNUMBER(SEARCH("IMPRESORA",B2157)),
ISNUMBER(SEARCH("MULTIFUNCIONAL",B2157)),
ISNUMBER(SEARCH("AIO",B2157))
),
"GANCHO",
"NORMAL"
)
)</f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>ROUND(
IF(L2154="GANCHO",
   IF(I2156&lt;=50,I2156*1.1+4,IF(I2156&lt;=120,I2156*1.1+7,IF(I2156&lt;=250,I2156*1.1+11,I2156*1.1+19))),
IF(L2154="NORMAL",
   IF(I2156&lt;=30,I2156*1.15+2,IF(I2156&lt;=80,I2156*1.15+4,IF(I2156&lt;=150,I2156*1.15+6,I2156*1.15+8))),
IF(L2154="COMPLEMENTO",
   IF(I2156&lt;=25,I2156*1.25+1.5,IF(I2156&lt;=60,I2156*1.25+3,IF(I2156&lt;=120,I2156*1.25+4,I2156*1.25+5))),
""))),2)</f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>IF(
OR(
ISNUMBER(SEARCH("BACKPACK",B2158)),
ISNUMBER(SEARCH("MOCHILA",B2158)),
ISNUMBER(SEARCH("FUNDA",B2158)),
ISNUMBER(SEARCH("ESTUCHE",B2158)),
ISNUMBER(SEARCH("BOOK COVER",B2158)),
ISNUMBER(SEARCH("KEYBOARD PARA TABLET",B2158)),
ISNUMBER(SEARCH("FLIP TABLET",B2158)),
ISNUMBER(SEARCH("CASE FOR TABLET",B2158)),
ISNUMBER(SEARCH("CABLE",B2158)),
ISNUMBER(SEARCH("ADAPTADOR",B2158)),
ISNUMBER(SEARCH("HUB",B2158)),
ISNUMBER(SEARCH("DOCK",B2158)),
ISNUMBER(SEARCH("MOUSE PAD",B2158)),
ISNUMBER(SEARCH("MOUSEPAD",B2158)),
ISNUMBER(SEARCH("SOPORTE",B2158)),
ISNUMBER(SEARCH("STAND",B2158)),
ISNUMBER(SEARCH("TRAVEL ADAPTER",B2158)),
ISNUMBER(SEARCH("RJ45",B2158)),
ISNUMBER(SEARCH("USB-C",B2158)),
ISNUMBER(SEARCH("USB WIFI",B2158)),
ISNUMBER(SEARCH("POWERBANK",B2158)),
ISNUMBER(SEARCH("CARGADOR",B2158)),
ISNUMBER(SEARCH("COOLER PARA NB",B2158)),
ISNUMBER(SEARCH("SOPORTE PARA NB",B2158)),
ISNUMBER(SEARCH("WEBCAM",B2158)),
ISNUMBER(SEARCH("WEB CAM",B2158)),
ISNUMBER(SEARCH("MOUSE",B2158)),
ISNUMBER(SEARCH("TECLADO",B2158))
),
"COMPLEMENTO",
IF(
OR(
LEFT(A2158,2)="NB",
LEFT(A2158,2)="PC",
LEFT(A2158,2)="WS",
LEFT(A2158,2)="TB",
LEFT(A2158,3)="CEL",
LEFT(A2158,3)="MON",
LEFT(A2158,3)="PRE",
LEFT(A2158,3)="PRH",
ISNUMBER(SEARCH("NOTEBOOK",B2158)),
ISNUMBER(SEARCH("LAPTOP",B2158)),
ISNUMBER(SEARCH("MONITOR",B2158)),
ISNUMBER(SEARCH("TABLET",B2158)),
ISNUMBER(SEARCH("SMARTPH",B2158)),
ISNUMBER(SEARCH("IMPRESORA",B2158)),
ISNUMBER(SEARCH("MULTIFUNCIONAL",B2158)),
ISNUMBER(SEARCH("AIO",B2158))
),
"GANCHO",
"NORMAL"
)
)</f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>ROUND(
IF(L2155="GANCHO",
   IF(I2157&lt;=50,I2157*1.1+4,IF(I2157&lt;=120,I2157*1.1+7,IF(I2157&lt;=250,I2157*1.1+11,I2157*1.1+19))),
IF(L2155="NORMAL",
   IF(I2157&lt;=30,I2157*1.15+2,IF(I2157&lt;=80,I2157*1.15+4,IF(I2157&lt;=150,I2157*1.15+6,I2157*1.15+8))),
IF(L2155="COMPLEMENTO",
   IF(I2157&lt;=25,I2157*1.25+1.5,IF(I2157&lt;=60,I2157*1.25+3,IF(I2157&lt;=120,I2157*1.25+4,I2157*1.25+5))),
""))),2)</f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>IF(
OR(
ISNUMBER(SEARCH("BACKPACK",B2159)),
ISNUMBER(SEARCH("MOCHILA",B2159)),
ISNUMBER(SEARCH("FUNDA",B2159)),
ISNUMBER(SEARCH("ESTUCHE",B2159)),
ISNUMBER(SEARCH("BOOK COVER",B2159)),
ISNUMBER(SEARCH("KEYBOARD PARA TABLET",B2159)),
ISNUMBER(SEARCH("FLIP TABLET",B2159)),
ISNUMBER(SEARCH("CASE FOR TABLET",B2159)),
ISNUMBER(SEARCH("CABLE",B2159)),
ISNUMBER(SEARCH("ADAPTADOR",B2159)),
ISNUMBER(SEARCH("HUB",B2159)),
ISNUMBER(SEARCH("DOCK",B2159)),
ISNUMBER(SEARCH("MOUSE PAD",B2159)),
ISNUMBER(SEARCH("MOUSEPAD",B2159)),
ISNUMBER(SEARCH("SOPORTE",B2159)),
ISNUMBER(SEARCH("STAND",B2159)),
ISNUMBER(SEARCH("TRAVEL ADAPTER",B2159)),
ISNUMBER(SEARCH("RJ45",B2159)),
ISNUMBER(SEARCH("USB-C",B2159)),
ISNUMBER(SEARCH("USB WIFI",B2159)),
ISNUMBER(SEARCH("POWERBANK",B2159)),
ISNUMBER(SEARCH("CARGADOR",B2159)),
ISNUMBER(SEARCH("COOLER PARA NB",B2159)),
ISNUMBER(SEARCH("SOPORTE PARA NB",B2159)),
ISNUMBER(SEARCH("WEBCAM",B2159)),
ISNUMBER(SEARCH("WEB CAM",B2159)),
ISNUMBER(SEARCH("MOUSE",B2159)),
ISNUMBER(SEARCH("TECLADO",B2159))
),
"COMPLEMENTO",
IF(
OR(
LEFT(A2159,2)="NB",
LEFT(A2159,2)="PC",
LEFT(A2159,2)="WS",
LEFT(A2159,2)="TB",
LEFT(A2159,3)="CEL",
LEFT(A2159,3)="MON",
LEFT(A2159,3)="PRE",
LEFT(A2159,3)="PRH",
ISNUMBER(SEARCH("NOTEBOOK",B2159)),
ISNUMBER(SEARCH("LAPTOP",B2159)),
ISNUMBER(SEARCH("MONITOR",B2159)),
ISNUMBER(SEARCH("TABLET",B2159)),
ISNUMBER(SEARCH("SMARTPH",B2159)),
ISNUMBER(SEARCH("IMPRESORA",B2159)),
ISNUMBER(SEARCH("MULTIFUNCIONAL",B2159)),
ISNUMBER(SEARCH("AIO",B2159))
),
"GANCHO",
"NORMAL"
)
)</f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>ROUND(
IF(L2156="GANCHO",
   IF(I2158&lt;=50,I2158*1.1+4,IF(I2158&lt;=120,I2158*1.1+7,IF(I2158&lt;=250,I2158*1.1+11,I2158*1.1+19))),
IF(L2156="NORMAL",
   IF(I2158&lt;=30,I2158*1.15+2,IF(I2158&lt;=80,I2158*1.15+4,IF(I2158&lt;=150,I2158*1.15+6,I2158*1.15+8))),
IF(L2156="COMPLEMENTO",
   IF(I2158&lt;=25,I2158*1.25+1.5,IF(I2158&lt;=60,I2158*1.25+3,IF(I2158&lt;=120,I2158*1.25+4,I2158*1.25+5))),
""))),2)</f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>IF(
OR(
ISNUMBER(SEARCH("BACKPACK",B2160)),
ISNUMBER(SEARCH("MOCHILA",B2160)),
ISNUMBER(SEARCH("FUNDA",B2160)),
ISNUMBER(SEARCH("ESTUCHE",B2160)),
ISNUMBER(SEARCH("BOOK COVER",B2160)),
ISNUMBER(SEARCH("KEYBOARD PARA TABLET",B2160)),
ISNUMBER(SEARCH("FLIP TABLET",B2160)),
ISNUMBER(SEARCH("CASE FOR TABLET",B2160)),
ISNUMBER(SEARCH("CABLE",B2160)),
ISNUMBER(SEARCH("ADAPTADOR",B2160)),
ISNUMBER(SEARCH("HUB",B2160)),
ISNUMBER(SEARCH("DOCK",B2160)),
ISNUMBER(SEARCH("MOUSE PAD",B2160)),
ISNUMBER(SEARCH("MOUSEPAD",B2160)),
ISNUMBER(SEARCH("SOPORTE",B2160)),
ISNUMBER(SEARCH("STAND",B2160)),
ISNUMBER(SEARCH("TRAVEL ADAPTER",B2160)),
ISNUMBER(SEARCH("RJ45",B2160)),
ISNUMBER(SEARCH("USB-C",B2160)),
ISNUMBER(SEARCH("USB WIFI",B2160)),
ISNUMBER(SEARCH("POWERBANK",B2160)),
ISNUMBER(SEARCH("CARGADOR",B2160)),
ISNUMBER(SEARCH("COOLER PARA NB",B2160)),
ISNUMBER(SEARCH("SOPORTE PARA NB",B2160)),
ISNUMBER(SEARCH("WEBCAM",B2160)),
ISNUMBER(SEARCH("WEB CAM",B2160)),
ISNUMBER(SEARCH("MOUSE",B2160)),
ISNUMBER(SEARCH("TECLADO",B2160))
),
"COMPLEMENTO",
IF(
OR(
LEFT(A2160,2)="NB",
LEFT(A2160,2)="PC",
LEFT(A2160,2)="WS",
LEFT(A2160,2)="TB",
LEFT(A2160,3)="CEL",
LEFT(A2160,3)="MON",
LEFT(A2160,3)="PRE",
LEFT(A2160,3)="PRH",
ISNUMBER(SEARCH("NOTEBOOK",B2160)),
ISNUMBER(SEARCH("LAPTOP",B2160)),
ISNUMBER(SEARCH("MONITOR",B2160)),
ISNUMBER(SEARCH("TABLET",B2160)),
ISNUMBER(SEARCH("SMARTPH",B2160)),
ISNUMBER(SEARCH("IMPRESORA",B2160)),
ISNUMBER(SEARCH("MULTIFUNCIONAL",B2160)),
ISNUMBER(SEARCH("AIO",B2160))
),
"GANCHO",
"NORMAL"
)
)</f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>ROUND(
IF(L2157="GANCHO",
   IF(I2159&lt;=50,I2159*1.1+4,IF(I2159&lt;=120,I2159*1.1+7,IF(I2159&lt;=250,I2159*1.1+11,I2159*1.1+19))),
IF(L2157="NORMAL",
   IF(I2159&lt;=30,I2159*1.15+2,IF(I2159&lt;=80,I2159*1.15+4,IF(I2159&lt;=150,I2159*1.15+6,I2159*1.15+8))),
IF(L2157="COMPLEMENTO",
   IF(I2159&lt;=25,I2159*1.25+1.5,IF(I2159&lt;=60,I2159*1.25+3,IF(I2159&lt;=120,I2159*1.25+4,I2159*1.25+5))),
""))),2)</f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>IF(
OR(
ISNUMBER(SEARCH("BACKPACK",B2161)),
ISNUMBER(SEARCH("MOCHILA",B2161)),
ISNUMBER(SEARCH("FUNDA",B2161)),
ISNUMBER(SEARCH("ESTUCHE",B2161)),
ISNUMBER(SEARCH("BOOK COVER",B2161)),
ISNUMBER(SEARCH("KEYBOARD PARA TABLET",B2161)),
ISNUMBER(SEARCH("FLIP TABLET",B2161)),
ISNUMBER(SEARCH("CASE FOR TABLET",B2161)),
ISNUMBER(SEARCH("CABLE",B2161)),
ISNUMBER(SEARCH("ADAPTADOR",B2161)),
ISNUMBER(SEARCH("HUB",B2161)),
ISNUMBER(SEARCH("DOCK",B2161)),
ISNUMBER(SEARCH("MOUSE PAD",B2161)),
ISNUMBER(SEARCH("MOUSEPAD",B2161)),
ISNUMBER(SEARCH("SOPORTE",B2161)),
ISNUMBER(SEARCH("STAND",B2161)),
ISNUMBER(SEARCH("TRAVEL ADAPTER",B2161)),
ISNUMBER(SEARCH("RJ45",B2161)),
ISNUMBER(SEARCH("USB-C",B2161)),
ISNUMBER(SEARCH("USB WIFI",B2161)),
ISNUMBER(SEARCH("POWERBANK",B2161)),
ISNUMBER(SEARCH("CARGADOR",B2161)),
ISNUMBER(SEARCH("COOLER PARA NB",B2161)),
ISNUMBER(SEARCH("SOPORTE PARA NB",B2161)),
ISNUMBER(SEARCH("WEBCAM",B2161)),
ISNUMBER(SEARCH("WEB CAM",B2161)),
ISNUMBER(SEARCH("MOUSE",B2161)),
ISNUMBER(SEARCH("TECLADO",B2161))
),
"COMPLEMENTO",
IF(
OR(
LEFT(A2161,2)="NB",
LEFT(A2161,2)="PC",
LEFT(A2161,2)="WS",
LEFT(A2161,2)="TB",
LEFT(A2161,3)="CEL",
LEFT(A2161,3)="MON",
LEFT(A2161,3)="PRE",
LEFT(A2161,3)="PRH",
ISNUMBER(SEARCH("NOTEBOOK",B2161)),
ISNUMBER(SEARCH("LAPTOP",B2161)),
ISNUMBER(SEARCH("MONITOR",B2161)),
ISNUMBER(SEARCH("TABLET",B2161)),
ISNUMBER(SEARCH("SMARTPH",B2161)),
ISNUMBER(SEARCH("IMPRESORA",B2161)),
ISNUMBER(SEARCH("MULTIFUNCIONAL",B2161)),
ISNUMBER(SEARCH("AIO",B2161))
),
"GANCHO",
"NORMAL"
)
)</f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>ROUND(
IF(L2158="GANCHO",
   IF(I2160&lt;=50,I2160*1.1+4,IF(I2160&lt;=120,I2160*1.1+7,IF(I2160&lt;=250,I2160*1.1+11,I2160*1.1+19))),
IF(L2158="NORMAL",
   IF(I2160&lt;=30,I2160*1.15+2,IF(I2160&lt;=80,I2160*1.15+4,IF(I2160&lt;=150,I2160*1.15+6,I2160*1.15+8))),
IF(L2158="COMPLEMENTO",
   IF(I2160&lt;=25,I2160*1.25+1.5,IF(I2160&lt;=60,I2160*1.25+3,IF(I2160&lt;=120,I2160*1.25+4,I2160*1.25+5))),
""))),2)</f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>IF(
OR(
ISNUMBER(SEARCH("BACKPACK",B2162)),
ISNUMBER(SEARCH("MOCHILA",B2162)),
ISNUMBER(SEARCH("FUNDA",B2162)),
ISNUMBER(SEARCH("ESTUCHE",B2162)),
ISNUMBER(SEARCH("BOOK COVER",B2162)),
ISNUMBER(SEARCH("KEYBOARD PARA TABLET",B2162)),
ISNUMBER(SEARCH("FLIP TABLET",B2162)),
ISNUMBER(SEARCH("CASE FOR TABLET",B2162)),
ISNUMBER(SEARCH("CABLE",B2162)),
ISNUMBER(SEARCH("ADAPTADOR",B2162)),
ISNUMBER(SEARCH("HUB",B2162)),
ISNUMBER(SEARCH("DOCK",B2162)),
ISNUMBER(SEARCH("MOUSE PAD",B2162)),
ISNUMBER(SEARCH("MOUSEPAD",B2162)),
ISNUMBER(SEARCH("SOPORTE",B2162)),
ISNUMBER(SEARCH("STAND",B2162)),
ISNUMBER(SEARCH("TRAVEL ADAPTER",B2162)),
ISNUMBER(SEARCH("RJ45",B2162)),
ISNUMBER(SEARCH("USB-C",B2162)),
ISNUMBER(SEARCH("USB WIFI",B2162)),
ISNUMBER(SEARCH("POWERBANK",B2162)),
ISNUMBER(SEARCH("CARGADOR",B2162)),
ISNUMBER(SEARCH("COOLER PARA NB",B2162)),
ISNUMBER(SEARCH("SOPORTE PARA NB",B2162)),
ISNUMBER(SEARCH("WEBCAM",B2162)),
ISNUMBER(SEARCH("WEB CAM",B2162)),
ISNUMBER(SEARCH("MOUSE",B2162)),
ISNUMBER(SEARCH("TECLADO",B2162))
),
"COMPLEMENTO",
IF(
OR(
LEFT(A2162,2)="NB",
LEFT(A2162,2)="PC",
LEFT(A2162,2)="WS",
LEFT(A2162,2)="TB",
LEFT(A2162,3)="CEL",
LEFT(A2162,3)="MON",
LEFT(A2162,3)="PRE",
LEFT(A2162,3)="PRH",
ISNUMBER(SEARCH("NOTEBOOK",B2162)),
ISNUMBER(SEARCH("LAPTOP",B2162)),
ISNUMBER(SEARCH("MONITOR",B2162)),
ISNUMBER(SEARCH("TABLET",B2162)),
ISNUMBER(SEARCH("SMARTPH",B2162)),
ISNUMBER(SEARCH("IMPRESORA",B2162)),
ISNUMBER(SEARCH("MULTIFUNCIONAL",B2162)),
ISNUMBER(SEARCH("AIO",B2162))
),
"GANCHO",
"NORMAL"
)
)</f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>ROUND(
IF(L2159="GANCHO",
   IF(I2161&lt;=50,I2161*1.1+4,IF(I2161&lt;=120,I2161*1.1+7,IF(I2161&lt;=250,I2161*1.1+11,I2161*1.1+19))),
IF(L2159="NORMAL",
   IF(I2161&lt;=30,I2161*1.15+2,IF(I2161&lt;=80,I2161*1.15+4,IF(I2161&lt;=150,I2161*1.15+6,I2161*1.15+8))),
IF(L2159="COMPLEMENTO",
   IF(I2161&lt;=25,I2161*1.25+1.5,IF(I2161&lt;=60,I2161*1.25+3,IF(I2161&lt;=120,I2161*1.25+4,I2161*1.25+5))),
""))),2)</f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>IF(
OR(
ISNUMBER(SEARCH("BACKPACK",B2163)),
ISNUMBER(SEARCH("MOCHILA",B2163)),
ISNUMBER(SEARCH("FUNDA",B2163)),
ISNUMBER(SEARCH("ESTUCHE",B2163)),
ISNUMBER(SEARCH("BOOK COVER",B2163)),
ISNUMBER(SEARCH("KEYBOARD PARA TABLET",B2163)),
ISNUMBER(SEARCH("FLIP TABLET",B2163)),
ISNUMBER(SEARCH("CASE FOR TABLET",B2163)),
ISNUMBER(SEARCH("CABLE",B2163)),
ISNUMBER(SEARCH("ADAPTADOR",B2163)),
ISNUMBER(SEARCH("HUB",B2163)),
ISNUMBER(SEARCH("DOCK",B2163)),
ISNUMBER(SEARCH("MOUSE PAD",B2163)),
ISNUMBER(SEARCH("MOUSEPAD",B2163)),
ISNUMBER(SEARCH("SOPORTE",B2163)),
ISNUMBER(SEARCH("STAND",B2163)),
ISNUMBER(SEARCH("TRAVEL ADAPTER",B2163)),
ISNUMBER(SEARCH("RJ45",B2163)),
ISNUMBER(SEARCH("USB-C",B2163)),
ISNUMBER(SEARCH("USB WIFI",B2163)),
ISNUMBER(SEARCH("POWERBANK",B2163)),
ISNUMBER(SEARCH("CARGADOR",B2163)),
ISNUMBER(SEARCH("COOLER PARA NB",B2163)),
ISNUMBER(SEARCH("SOPORTE PARA NB",B2163)),
ISNUMBER(SEARCH("WEBCAM",B2163)),
ISNUMBER(SEARCH("WEB CAM",B2163)),
ISNUMBER(SEARCH("MOUSE",B2163)),
ISNUMBER(SEARCH("TECLADO",B2163))
),
"COMPLEMENTO",
IF(
OR(
LEFT(A2163,2)="NB",
LEFT(A2163,2)="PC",
LEFT(A2163,2)="WS",
LEFT(A2163,2)="TB",
LEFT(A2163,3)="CEL",
LEFT(A2163,3)="MON",
LEFT(A2163,3)="PRE",
LEFT(A2163,3)="PRH",
ISNUMBER(SEARCH("NOTEBOOK",B2163)),
ISNUMBER(SEARCH("LAPTOP",B2163)),
ISNUMBER(SEARCH("MONITOR",B2163)),
ISNUMBER(SEARCH("TABLET",B2163)),
ISNUMBER(SEARCH("SMARTPH",B2163)),
ISNUMBER(SEARCH("IMPRESORA",B2163)),
ISNUMBER(SEARCH("MULTIFUNCIONAL",B2163)),
ISNUMBER(SEARCH("AIO",B2163))
),
"GANCHO",
"NORMAL"
)
)</f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>ROUND(
IF(L2160="GANCHO",
   IF(I2162&lt;=50,I2162*1.1+4,IF(I2162&lt;=120,I2162*1.1+7,IF(I2162&lt;=250,I2162*1.1+11,I2162*1.1+19))),
IF(L2160="NORMAL",
   IF(I2162&lt;=30,I2162*1.15+2,IF(I2162&lt;=80,I2162*1.15+4,IF(I2162&lt;=150,I2162*1.15+6,I2162*1.15+8))),
IF(L2160="COMPLEMENTO",
   IF(I2162&lt;=25,I2162*1.25+1.5,IF(I2162&lt;=60,I2162*1.25+3,IF(I2162&lt;=120,I2162*1.25+4,I2162*1.25+5))),
""))),2)</f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>IF(
OR(
ISNUMBER(SEARCH("BACKPACK",B2164)),
ISNUMBER(SEARCH("MOCHILA",B2164)),
ISNUMBER(SEARCH("FUNDA",B2164)),
ISNUMBER(SEARCH("ESTUCHE",B2164)),
ISNUMBER(SEARCH("BOOK COVER",B2164)),
ISNUMBER(SEARCH("KEYBOARD PARA TABLET",B2164)),
ISNUMBER(SEARCH("FLIP TABLET",B2164)),
ISNUMBER(SEARCH("CASE FOR TABLET",B2164)),
ISNUMBER(SEARCH("CABLE",B2164)),
ISNUMBER(SEARCH("ADAPTADOR",B2164)),
ISNUMBER(SEARCH("HUB",B2164)),
ISNUMBER(SEARCH("DOCK",B2164)),
ISNUMBER(SEARCH("MOUSE PAD",B2164)),
ISNUMBER(SEARCH("MOUSEPAD",B2164)),
ISNUMBER(SEARCH("SOPORTE",B2164)),
ISNUMBER(SEARCH("STAND",B2164)),
ISNUMBER(SEARCH("TRAVEL ADAPTER",B2164)),
ISNUMBER(SEARCH("RJ45",B2164)),
ISNUMBER(SEARCH("USB-C",B2164)),
ISNUMBER(SEARCH("USB WIFI",B2164)),
ISNUMBER(SEARCH("POWERBANK",B2164)),
ISNUMBER(SEARCH("CARGADOR",B2164)),
ISNUMBER(SEARCH("COOLER PARA NB",B2164)),
ISNUMBER(SEARCH("SOPORTE PARA NB",B2164)),
ISNUMBER(SEARCH("WEBCAM",B2164)),
ISNUMBER(SEARCH("WEB CAM",B2164)),
ISNUMBER(SEARCH("MOUSE",B2164)),
ISNUMBER(SEARCH("TECLADO",B2164))
),
"COMPLEMENTO",
IF(
OR(
LEFT(A2164,2)="NB",
LEFT(A2164,2)="PC",
LEFT(A2164,2)="WS",
LEFT(A2164,2)="TB",
LEFT(A2164,3)="CEL",
LEFT(A2164,3)="MON",
LEFT(A2164,3)="PRE",
LEFT(A2164,3)="PRH",
ISNUMBER(SEARCH("NOTEBOOK",B2164)),
ISNUMBER(SEARCH("LAPTOP",B2164)),
ISNUMBER(SEARCH("MONITOR",B2164)),
ISNUMBER(SEARCH("TABLET",B2164)),
ISNUMBER(SEARCH("SMARTPH",B2164)),
ISNUMBER(SEARCH("IMPRESORA",B2164)),
ISNUMBER(SEARCH("MULTIFUNCIONAL",B2164)),
ISNUMBER(SEARCH("AIO",B2164))
),
"GANCHO",
"NORMAL"
)
)</f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>ROUND(
IF(L2161="GANCHO",
   IF(I2163&lt;=50,I2163*1.1+4,IF(I2163&lt;=120,I2163*1.1+7,IF(I2163&lt;=250,I2163*1.1+11,I2163*1.1+19))),
IF(L2161="NORMAL",
   IF(I2163&lt;=30,I2163*1.15+2,IF(I2163&lt;=80,I2163*1.15+4,IF(I2163&lt;=150,I2163*1.15+6,I2163*1.15+8))),
IF(L2161="COMPLEMENTO",
   IF(I2163&lt;=25,I2163*1.25+1.5,IF(I2163&lt;=60,I2163*1.25+3,IF(I2163&lt;=120,I2163*1.25+4,I2163*1.25+5))),
""))),2)</f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>IF(
OR(
ISNUMBER(SEARCH("BACKPACK",B2165)),
ISNUMBER(SEARCH("MOCHILA",B2165)),
ISNUMBER(SEARCH("FUNDA",B2165)),
ISNUMBER(SEARCH("ESTUCHE",B2165)),
ISNUMBER(SEARCH("BOOK COVER",B2165)),
ISNUMBER(SEARCH("KEYBOARD PARA TABLET",B2165)),
ISNUMBER(SEARCH("FLIP TABLET",B2165)),
ISNUMBER(SEARCH("CASE FOR TABLET",B2165)),
ISNUMBER(SEARCH("CABLE",B2165)),
ISNUMBER(SEARCH("ADAPTADOR",B2165)),
ISNUMBER(SEARCH("HUB",B2165)),
ISNUMBER(SEARCH("DOCK",B2165)),
ISNUMBER(SEARCH("MOUSE PAD",B2165)),
ISNUMBER(SEARCH("MOUSEPAD",B2165)),
ISNUMBER(SEARCH("SOPORTE",B2165)),
ISNUMBER(SEARCH("STAND",B2165)),
ISNUMBER(SEARCH("TRAVEL ADAPTER",B2165)),
ISNUMBER(SEARCH("RJ45",B2165)),
ISNUMBER(SEARCH("USB-C",B2165)),
ISNUMBER(SEARCH("USB WIFI",B2165)),
ISNUMBER(SEARCH("POWERBANK",B2165)),
ISNUMBER(SEARCH("CARGADOR",B2165)),
ISNUMBER(SEARCH("COOLER PARA NB",B2165)),
ISNUMBER(SEARCH("SOPORTE PARA NB",B2165)),
ISNUMBER(SEARCH("WEBCAM",B2165)),
ISNUMBER(SEARCH("WEB CAM",B2165)),
ISNUMBER(SEARCH("MOUSE",B2165)),
ISNUMBER(SEARCH("TECLADO",B2165))
),
"COMPLEMENTO",
IF(
OR(
LEFT(A2165,2)="NB",
LEFT(A2165,2)="PC",
LEFT(A2165,2)="WS",
LEFT(A2165,2)="TB",
LEFT(A2165,3)="CEL",
LEFT(A2165,3)="MON",
LEFT(A2165,3)="PRE",
LEFT(A2165,3)="PRH",
ISNUMBER(SEARCH("NOTEBOOK",B2165)),
ISNUMBER(SEARCH("LAPTOP",B2165)),
ISNUMBER(SEARCH("MONITOR",B2165)),
ISNUMBER(SEARCH("TABLET",B2165)),
ISNUMBER(SEARCH("SMARTPH",B2165)),
ISNUMBER(SEARCH("IMPRESORA",B2165)),
ISNUMBER(SEARCH("MULTIFUNCIONAL",B2165)),
ISNUMBER(SEARCH("AIO",B2165))
),
"GANCHO",
"NORMAL"
)
)</f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>ROUND(
IF(L2162="GANCHO",
   IF(I2164&lt;=50,I2164*1.1+4,IF(I2164&lt;=120,I2164*1.1+7,IF(I2164&lt;=250,I2164*1.1+11,I2164*1.1+19))),
IF(L2162="NORMAL",
   IF(I2164&lt;=30,I2164*1.15+2,IF(I2164&lt;=80,I2164*1.15+4,IF(I2164&lt;=150,I2164*1.15+6,I2164*1.15+8))),
IF(L2162="COMPLEMENTO",
   IF(I2164&lt;=25,I2164*1.25+1.5,IF(I2164&lt;=60,I2164*1.25+3,IF(I2164&lt;=120,I2164*1.25+4,I2164*1.25+5))),
""))),2)</f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>IF(
OR(
ISNUMBER(SEARCH("BACKPACK",B2166)),
ISNUMBER(SEARCH("MOCHILA",B2166)),
ISNUMBER(SEARCH("FUNDA",B2166)),
ISNUMBER(SEARCH("ESTUCHE",B2166)),
ISNUMBER(SEARCH("BOOK COVER",B2166)),
ISNUMBER(SEARCH("KEYBOARD PARA TABLET",B2166)),
ISNUMBER(SEARCH("FLIP TABLET",B2166)),
ISNUMBER(SEARCH("CASE FOR TABLET",B2166)),
ISNUMBER(SEARCH("CABLE",B2166)),
ISNUMBER(SEARCH("ADAPTADOR",B2166)),
ISNUMBER(SEARCH("HUB",B2166)),
ISNUMBER(SEARCH("DOCK",B2166)),
ISNUMBER(SEARCH("MOUSE PAD",B2166)),
ISNUMBER(SEARCH("MOUSEPAD",B2166)),
ISNUMBER(SEARCH("SOPORTE",B2166)),
ISNUMBER(SEARCH("STAND",B2166)),
ISNUMBER(SEARCH("TRAVEL ADAPTER",B2166)),
ISNUMBER(SEARCH("RJ45",B2166)),
ISNUMBER(SEARCH("USB-C",B2166)),
ISNUMBER(SEARCH("USB WIFI",B2166)),
ISNUMBER(SEARCH("POWERBANK",B2166)),
ISNUMBER(SEARCH("CARGADOR",B2166)),
ISNUMBER(SEARCH("COOLER PARA NB",B2166)),
ISNUMBER(SEARCH("SOPORTE PARA NB",B2166)),
ISNUMBER(SEARCH("WEBCAM",B2166)),
ISNUMBER(SEARCH("WEB CAM",B2166)),
ISNUMBER(SEARCH("MOUSE",B2166)),
ISNUMBER(SEARCH("TECLADO",B2166))
),
"COMPLEMENTO",
IF(
OR(
LEFT(A2166,2)="NB",
LEFT(A2166,2)="PC",
LEFT(A2166,2)="WS",
LEFT(A2166,2)="TB",
LEFT(A2166,3)="CEL",
LEFT(A2166,3)="MON",
LEFT(A2166,3)="PRE",
LEFT(A2166,3)="PRH",
ISNUMBER(SEARCH("NOTEBOOK",B2166)),
ISNUMBER(SEARCH("LAPTOP",B2166)),
ISNUMBER(SEARCH("MONITOR",B2166)),
ISNUMBER(SEARCH("TABLET",B2166)),
ISNUMBER(SEARCH("SMARTPH",B2166)),
ISNUMBER(SEARCH("IMPRESORA",B2166)),
ISNUMBER(SEARCH("MULTIFUNCIONAL",B2166)),
ISNUMBER(SEARCH("AIO",B2166))
),
"GANCHO",
"NORMAL"
)
)</f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>ROUND(
IF(L2163="GANCHO",
   IF(I2165&lt;=50,I2165*1.1+4,IF(I2165&lt;=120,I2165*1.1+7,IF(I2165&lt;=250,I2165*1.1+11,I2165*1.1+19))),
IF(L2163="NORMAL",
   IF(I2165&lt;=30,I2165*1.15+2,IF(I2165&lt;=80,I2165*1.15+4,IF(I2165&lt;=150,I2165*1.15+6,I2165*1.15+8))),
IF(L2163="COMPLEMENTO",
   IF(I2165&lt;=25,I2165*1.25+1.5,IF(I2165&lt;=60,I2165*1.25+3,IF(I2165&lt;=120,I2165*1.25+4,I2165*1.25+5))),
""))),2)</f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>IF(
OR(
ISNUMBER(SEARCH("BACKPACK",B2167)),
ISNUMBER(SEARCH("MOCHILA",B2167)),
ISNUMBER(SEARCH("FUNDA",B2167)),
ISNUMBER(SEARCH("ESTUCHE",B2167)),
ISNUMBER(SEARCH("BOOK COVER",B2167)),
ISNUMBER(SEARCH("KEYBOARD PARA TABLET",B2167)),
ISNUMBER(SEARCH("FLIP TABLET",B2167)),
ISNUMBER(SEARCH("CASE FOR TABLET",B2167)),
ISNUMBER(SEARCH("CABLE",B2167)),
ISNUMBER(SEARCH("ADAPTADOR",B2167)),
ISNUMBER(SEARCH("HUB",B2167)),
ISNUMBER(SEARCH("DOCK",B2167)),
ISNUMBER(SEARCH("MOUSE PAD",B2167)),
ISNUMBER(SEARCH("MOUSEPAD",B2167)),
ISNUMBER(SEARCH("SOPORTE",B2167)),
ISNUMBER(SEARCH("STAND",B2167)),
ISNUMBER(SEARCH("TRAVEL ADAPTER",B2167)),
ISNUMBER(SEARCH("RJ45",B2167)),
ISNUMBER(SEARCH("USB-C",B2167)),
ISNUMBER(SEARCH("USB WIFI",B2167)),
ISNUMBER(SEARCH("POWERBANK",B2167)),
ISNUMBER(SEARCH("CARGADOR",B2167)),
ISNUMBER(SEARCH("COOLER PARA NB",B2167)),
ISNUMBER(SEARCH("SOPORTE PARA NB",B2167)),
ISNUMBER(SEARCH("WEBCAM",B2167)),
ISNUMBER(SEARCH("WEB CAM",B2167)),
ISNUMBER(SEARCH("MOUSE",B2167)),
ISNUMBER(SEARCH("TECLADO",B2167))
),
"COMPLEMENTO",
IF(
OR(
LEFT(A2167,2)="NB",
LEFT(A2167,2)="PC",
LEFT(A2167,2)="WS",
LEFT(A2167,2)="TB",
LEFT(A2167,3)="CEL",
LEFT(A2167,3)="MON",
LEFT(A2167,3)="PRE",
LEFT(A2167,3)="PRH",
ISNUMBER(SEARCH("NOTEBOOK",B2167)),
ISNUMBER(SEARCH("LAPTOP",B2167)),
ISNUMBER(SEARCH("MONITOR",B2167)),
ISNUMBER(SEARCH("TABLET",B2167)),
ISNUMBER(SEARCH("SMARTPH",B2167)),
ISNUMBER(SEARCH("IMPRESORA",B2167)),
ISNUMBER(SEARCH("MULTIFUNCIONAL",B2167)),
ISNUMBER(SEARCH("AIO",B2167))
),
"GANCHO",
"NORMAL"
)
)</f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>ROUND(
IF(L2164="GANCHO",
   IF(I2166&lt;=50,I2166*1.1+4,IF(I2166&lt;=120,I2166*1.1+7,IF(I2166&lt;=250,I2166*1.1+11,I2166*1.1+19))),
IF(L2164="NORMAL",
   IF(I2166&lt;=30,I2166*1.15+2,IF(I2166&lt;=80,I2166*1.15+4,IF(I2166&lt;=150,I2166*1.15+6,I2166*1.15+8))),
IF(L2164="COMPLEMENTO",
   IF(I2166&lt;=25,I2166*1.25+1.5,IF(I2166&lt;=60,I2166*1.25+3,IF(I2166&lt;=120,I2166*1.25+4,I2166*1.25+5))),
""))),2)</f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>IF(
OR(
ISNUMBER(SEARCH("BACKPACK",B2168)),
ISNUMBER(SEARCH("MOCHILA",B2168)),
ISNUMBER(SEARCH("FUNDA",B2168)),
ISNUMBER(SEARCH("ESTUCHE",B2168)),
ISNUMBER(SEARCH("BOOK COVER",B2168)),
ISNUMBER(SEARCH("KEYBOARD PARA TABLET",B2168)),
ISNUMBER(SEARCH("FLIP TABLET",B2168)),
ISNUMBER(SEARCH("CASE FOR TABLET",B2168)),
ISNUMBER(SEARCH("CABLE",B2168)),
ISNUMBER(SEARCH("ADAPTADOR",B2168)),
ISNUMBER(SEARCH("HUB",B2168)),
ISNUMBER(SEARCH("DOCK",B2168)),
ISNUMBER(SEARCH("MOUSE PAD",B2168)),
ISNUMBER(SEARCH("MOUSEPAD",B2168)),
ISNUMBER(SEARCH("SOPORTE",B2168)),
ISNUMBER(SEARCH("STAND",B2168)),
ISNUMBER(SEARCH("TRAVEL ADAPTER",B2168)),
ISNUMBER(SEARCH("RJ45",B2168)),
ISNUMBER(SEARCH("USB-C",B2168)),
ISNUMBER(SEARCH("USB WIFI",B2168)),
ISNUMBER(SEARCH("POWERBANK",B2168)),
ISNUMBER(SEARCH("CARGADOR",B2168)),
ISNUMBER(SEARCH("COOLER PARA NB",B2168)),
ISNUMBER(SEARCH("SOPORTE PARA NB",B2168)),
ISNUMBER(SEARCH("WEBCAM",B2168)),
ISNUMBER(SEARCH("WEB CAM",B2168)),
ISNUMBER(SEARCH("MOUSE",B2168)),
ISNUMBER(SEARCH("TECLADO",B2168))
),
"COMPLEMENTO",
IF(
OR(
LEFT(A2168,2)="NB",
LEFT(A2168,2)="PC",
LEFT(A2168,2)="WS",
LEFT(A2168,2)="TB",
LEFT(A2168,3)="CEL",
LEFT(A2168,3)="MON",
LEFT(A2168,3)="PRE",
LEFT(A2168,3)="PRH",
ISNUMBER(SEARCH("NOTEBOOK",B2168)),
ISNUMBER(SEARCH("LAPTOP",B2168)),
ISNUMBER(SEARCH("MONITOR",B2168)),
ISNUMBER(SEARCH("TABLET",B2168)),
ISNUMBER(SEARCH("SMARTPH",B2168)),
ISNUMBER(SEARCH("IMPRESORA",B2168)),
ISNUMBER(SEARCH("MULTIFUNCIONAL",B2168)),
ISNUMBER(SEARCH("AIO",B2168))
),
"GANCHO",
"NORMAL"
)
)</f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>ROUND(
IF(L2165="GANCHO",
   IF(I2167&lt;=50,I2167*1.1+4,IF(I2167&lt;=120,I2167*1.1+7,IF(I2167&lt;=250,I2167*1.1+11,I2167*1.1+19))),
IF(L2165="NORMAL",
   IF(I2167&lt;=30,I2167*1.15+2,IF(I2167&lt;=80,I2167*1.15+4,IF(I2167&lt;=150,I2167*1.15+6,I2167*1.15+8))),
IF(L2165="COMPLEMENTO",
   IF(I2167&lt;=25,I2167*1.25+1.5,IF(I2167&lt;=60,I2167*1.25+3,IF(I2167&lt;=120,I2167*1.25+4,I2167*1.25+5))),
""))),2)</f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>IF(
OR(
ISNUMBER(SEARCH("BACKPACK",B2169)),
ISNUMBER(SEARCH("MOCHILA",B2169)),
ISNUMBER(SEARCH("FUNDA",B2169)),
ISNUMBER(SEARCH("ESTUCHE",B2169)),
ISNUMBER(SEARCH("BOOK COVER",B2169)),
ISNUMBER(SEARCH("KEYBOARD PARA TABLET",B2169)),
ISNUMBER(SEARCH("FLIP TABLET",B2169)),
ISNUMBER(SEARCH("CASE FOR TABLET",B2169)),
ISNUMBER(SEARCH("CABLE",B2169)),
ISNUMBER(SEARCH("ADAPTADOR",B2169)),
ISNUMBER(SEARCH("HUB",B2169)),
ISNUMBER(SEARCH("DOCK",B2169)),
ISNUMBER(SEARCH("MOUSE PAD",B2169)),
ISNUMBER(SEARCH("MOUSEPAD",B2169)),
ISNUMBER(SEARCH("SOPORTE",B2169)),
ISNUMBER(SEARCH("STAND",B2169)),
ISNUMBER(SEARCH("TRAVEL ADAPTER",B2169)),
ISNUMBER(SEARCH("RJ45",B2169)),
ISNUMBER(SEARCH("USB-C",B2169)),
ISNUMBER(SEARCH("USB WIFI",B2169)),
ISNUMBER(SEARCH("POWERBANK",B2169)),
ISNUMBER(SEARCH("CARGADOR",B2169)),
ISNUMBER(SEARCH("COOLER PARA NB",B2169)),
ISNUMBER(SEARCH("SOPORTE PARA NB",B2169)),
ISNUMBER(SEARCH("WEBCAM",B2169)),
ISNUMBER(SEARCH("WEB CAM",B2169)),
ISNUMBER(SEARCH("MOUSE",B2169)),
ISNUMBER(SEARCH("TECLADO",B2169))
),
"COMPLEMENTO",
IF(
OR(
LEFT(A2169,2)="NB",
LEFT(A2169,2)="PC",
LEFT(A2169,2)="WS",
LEFT(A2169,2)="TB",
LEFT(A2169,3)="CEL",
LEFT(A2169,3)="MON",
LEFT(A2169,3)="PRE",
LEFT(A2169,3)="PRH",
ISNUMBER(SEARCH("NOTEBOOK",B2169)),
ISNUMBER(SEARCH("LAPTOP",B2169)),
ISNUMBER(SEARCH("MONITOR",B2169)),
ISNUMBER(SEARCH("TABLET",B2169)),
ISNUMBER(SEARCH("SMARTPH",B2169)),
ISNUMBER(SEARCH("IMPRESORA",B2169)),
ISNUMBER(SEARCH("MULTIFUNCIONAL",B2169)),
ISNUMBER(SEARCH("AIO",B2169))
),
"GANCHO",
"NORMAL"
)
)</f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>ROUND(
IF(L2166="GANCHO",
   IF(I2168&lt;=50,I2168*1.1+4,IF(I2168&lt;=120,I2168*1.1+7,IF(I2168&lt;=250,I2168*1.1+11,I2168*1.1+19))),
IF(L2166="NORMAL",
   IF(I2168&lt;=30,I2168*1.15+2,IF(I2168&lt;=80,I2168*1.15+4,IF(I2168&lt;=150,I2168*1.15+6,I2168*1.15+8))),
IF(L2166="COMPLEMENTO",
   IF(I2168&lt;=25,I2168*1.25+1.5,IF(I2168&lt;=60,I2168*1.25+3,IF(I2168&lt;=120,I2168*1.25+4,I2168*1.25+5))),
""))),2)</f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>IF(
OR(
ISNUMBER(SEARCH("BACKPACK",B2170)),
ISNUMBER(SEARCH("MOCHILA",B2170)),
ISNUMBER(SEARCH("FUNDA",B2170)),
ISNUMBER(SEARCH("ESTUCHE",B2170)),
ISNUMBER(SEARCH("BOOK COVER",B2170)),
ISNUMBER(SEARCH("KEYBOARD PARA TABLET",B2170)),
ISNUMBER(SEARCH("FLIP TABLET",B2170)),
ISNUMBER(SEARCH("CASE FOR TABLET",B2170)),
ISNUMBER(SEARCH("CABLE",B2170)),
ISNUMBER(SEARCH("ADAPTADOR",B2170)),
ISNUMBER(SEARCH("HUB",B2170)),
ISNUMBER(SEARCH("DOCK",B2170)),
ISNUMBER(SEARCH("MOUSE PAD",B2170)),
ISNUMBER(SEARCH("MOUSEPAD",B2170)),
ISNUMBER(SEARCH("SOPORTE",B2170)),
ISNUMBER(SEARCH("STAND",B2170)),
ISNUMBER(SEARCH("TRAVEL ADAPTER",B2170)),
ISNUMBER(SEARCH("RJ45",B2170)),
ISNUMBER(SEARCH("USB-C",B2170)),
ISNUMBER(SEARCH("USB WIFI",B2170)),
ISNUMBER(SEARCH("POWERBANK",B2170)),
ISNUMBER(SEARCH("CARGADOR",B2170)),
ISNUMBER(SEARCH("COOLER PARA NB",B2170)),
ISNUMBER(SEARCH("SOPORTE PARA NB",B2170)),
ISNUMBER(SEARCH("WEBCAM",B2170)),
ISNUMBER(SEARCH("WEB CAM",B2170)),
ISNUMBER(SEARCH("MOUSE",B2170)),
ISNUMBER(SEARCH("TECLADO",B2170))
),
"COMPLEMENTO",
IF(
OR(
LEFT(A2170,2)="NB",
LEFT(A2170,2)="PC",
LEFT(A2170,2)="WS",
LEFT(A2170,2)="TB",
LEFT(A2170,3)="CEL",
LEFT(A2170,3)="MON",
LEFT(A2170,3)="PRE",
LEFT(A2170,3)="PRH",
ISNUMBER(SEARCH("NOTEBOOK",B2170)),
ISNUMBER(SEARCH("LAPTOP",B2170)),
ISNUMBER(SEARCH("MONITOR",B2170)),
ISNUMBER(SEARCH("TABLET",B2170)),
ISNUMBER(SEARCH("SMARTPH",B2170)),
ISNUMBER(SEARCH("IMPRESORA",B2170)),
ISNUMBER(SEARCH("MULTIFUNCIONAL",B2170)),
ISNUMBER(SEARCH("AIO",B2170))
),
"GANCHO",
"NORMAL"
)
)</f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>ROUND(
IF(L2167="GANCHO",
   IF(I2169&lt;=50,I2169*1.1+4,IF(I2169&lt;=120,I2169*1.1+7,IF(I2169&lt;=250,I2169*1.1+11,I2169*1.1+19))),
IF(L2167="NORMAL",
   IF(I2169&lt;=30,I2169*1.15+2,IF(I2169&lt;=80,I2169*1.15+4,IF(I2169&lt;=150,I2169*1.15+6,I2169*1.15+8))),
IF(L2167="COMPLEMENTO",
   IF(I2169&lt;=25,I2169*1.25+1.5,IF(I2169&lt;=60,I2169*1.25+3,IF(I2169&lt;=120,I2169*1.25+4,I2169*1.25+5))),
""))),2)</f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>IF(
OR(
ISNUMBER(SEARCH("BACKPACK",B2171)),
ISNUMBER(SEARCH("MOCHILA",B2171)),
ISNUMBER(SEARCH("FUNDA",B2171)),
ISNUMBER(SEARCH("ESTUCHE",B2171)),
ISNUMBER(SEARCH("BOOK COVER",B2171)),
ISNUMBER(SEARCH("KEYBOARD PARA TABLET",B2171)),
ISNUMBER(SEARCH("FLIP TABLET",B2171)),
ISNUMBER(SEARCH("CASE FOR TABLET",B2171)),
ISNUMBER(SEARCH("CABLE",B2171)),
ISNUMBER(SEARCH("ADAPTADOR",B2171)),
ISNUMBER(SEARCH("HUB",B2171)),
ISNUMBER(SEARCH("DOCK",B2171)),
ISNUMBER(SEARCH("MOUSE PAD",B2171)),
ISNUMBER(SEARCH("MOUSEPAD",B2171)),
ISNUMBER(SEARCH("SOPORTE",B2171)),
ISNUMBER(SEARCH("STAND",B2171)),
ISNUMBER(SEARCH("TRAVEL ADAPTER",B2171)),
ISNUMBER(SEARCH("RJ45",B2171)),
ISNUMBER(SEARCH("USB-C",B2171)),
ISNUMBER(SEARCH("USB WIFI",B2171)),
ISNUMBER(SEARCH("POWERBANK",B2171)),
ISNUMBER(SEARCH("CARGADOR",B2171)),
ISNUMBER(SEARCH("COOLER PARA NB",B2171)),
ISNUMBER(SEARCH("SOPORTE PARA NB",B2171)),
ISNUMBER(SEARCH("WEBCAM",B2171)),
ISNUMBER(SEARCH("WEB CAM",B2171)),
ISNUMBER(SEARCH("MOUSE",B2171)),
ISNUMBER(SEARCH("TECLADO",B2171))
),
"COMPLEMENTO",
IF(
OR(
LEFT(A2171,2)="NB",
LEFT(A2171,2)="PC",
LEFT(A2171,2)="WS",
LEFT(A2171,2)="TB",
LEFT(A2171,3)="CEL",
LEFT(A2171,3)="MON",
LEFT(A2171,3)="PRE",
LEFT(A2171,3)="PRH",
ISNUMBER(SEARCH("NOTEBOOK",B2171)),
ISNUMBER(SEARCH("LAPTOP",B2171)),
ISNUMBER(SEARCH("MONITOR",B2171)),
ISNUMBER(SEARCH("TABLET",B2171)),
ISNUMBER(SEARCH("SMARTPH",B2171)),
ISNUMBER(SEARCH("IMPRESORA",B2171)),
ISNUMBER(SEARCH("MULTIFUNCIONAL",B2171)),
ISNUMBER(SEARCH("AIO",B2171))
),
"GANCHO",
"NORMAL"
)
)</f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>ROUND(
IF(L2168="GANCHO",
   IF(I2170&lt;=50,I2170*1.1+4,IF(I2170&lt;=120,I2170*1.1+7,IF(I2170&lt;=250,I2170*1.1+11,I2170*1.1+19))),
IF(L2168="NORMAL",
   IF(I2170&lt;=30,I2170*1.15+2,IF(I2170&lt;=80,I2170*1.15+4,IF(I2170&lt;=150,I2170*1.15+6,I2170*1.15+8))),
IF(L2168="COMPLEMENTO",
   IF(I2170&lt;=25,I2170*1.25+1.5,IF(I2170&lt;=60,I2170*1.25+3,IF(I2170&lt;=120,I2170*1.25+4,I2170*1.25+5))),
""))),2)</f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>IF(
OR(
ISNUMBER(SEARCH("BACKPACK",B2172)),
ISNUMBER(SEARCH("MOCHILA",B2172)),
ISNUMBER(SEARCH("FUNDA",B2172)),
ISNUMBER(SEARCH("ESTUCHE",B2172)),
ISNUMBER(SEARCH("BOOK COVER",B2172)),
ISNUMBER(SEARCH("KEYBOARD PARA TABLET",B2172)),
ISNUMBER(SEARCH("FLIP TABLET",B2172)),
ISNUMBER(SEARCH("CASE FOR TABLET",B2172)),
ISNUMBER(SEARCH("CABLE",B2172)),
ISNUMBER(SEARCH("ADAPTADOR",B2172)),
ISNUMBER(SEARCH("HUB",B2172)),
ISNUMBER(SEARCH("DOCK",B2172)),
ISNUMBER(SEARCH("MOUSE PAD",B2172)),
ISNUMBER(SEARCH("MOUSEPAD",B2172)),
ISNUMBER(SEARCH("SOPORTE",B2172)),
ISNUMBER(SEARCH("STAND",B2172)),
ISNUMBER(SEARCH("TRAVEL ADAPTER",B2172)),
ISNUMBER(SEARCH("RJ45",B2172)),
ISNUMBER(SEARCH("USB-C",B2172)),
ISNUMBER(SEARCH("USB WIFI",B2172)),
ISNUMBER(SEARCH("POWERBANK",B2172)),
ISNUMBER(SEARCH("CARGADOR",B2172)),
ISNUMBER(SEARCH("COOLER PARA NB",B2172)),
ISNUMBER(SEARCH("SOPORTE PARA NB",B2172)),
ISNUMBER(SEARCH("WEBCAM",B2172)),
ISNUMBER(SEARCH("WEB CAM",B2172)),
ISNUMBER(SEARCH("MOUSE",B2172)),
ISNUMBER(SEARCH("TECLADO",B2172))
),
"COMPLEMENTO",
IF(
OR(
LEFT(A2172,2)="NB",
LEFT(A2172,2)="PC",
LEFT(A2172,2)="WS",
LEFT(A2172,2)="TB",
LEFT(A2172,3)="CEL",
LEFT(A2172,3)="MON",
LEFT(A2172,3)="PRE",
LEFT(A2172,3)="PRH",
ISNUMBER(SEARCH("NOTEBOOK",B2172)),
ISNUMBER(SEARCH("LAPTOP",B2172)),
ISNUMBER(SEARCH("MONITOR",B2172)),
ISNUMBER(SEARCH("TABLET",B2172)),
ISNUMBER(SEARCH("SMARTPH",B2172)),
ISNUMBER(SEARCH("IMPRESORA",B2172)),
ISNUMBER(SEARCH("MULTIFUNCIONAL",B2172)),
ISNUMBER(SEARCH("AIO",B2172))
),
"GANCHO",
"NORMAL"
)
)</f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>ROUND(
IF(L2169="GANCHO",
   IF(I2171&lt;=50,I2171*1.1+4,IF(I2171&lt;=120,I2171*1.1+7,IF(I2171&lt;=250,I2171*1.1+11,I2171*1.1+19))),
IF(L2169="NORMAL",
   IF(I2171&lt;=30,I2171*1.15+2,IF(I2171&lt;=80,I2171*1.15+4,IF(I2171&lt;=150,I2171*1.15+6,I2171*1.15+8))),
IF(L2169="COMPLEMENTO",
   IF(I2171&lt;=25,I2171*1.25+1.5,IF(I2171&lt;=60,I2171*1.25+3,IF(I2171&lt;=120,I2171*1.25+4,I2171*1.25+5))),
""))),2)</f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>IF(
OR(
ISNUMBER(SEARCH("BACKPACK",B2173)),
ISNUMBER(SEARCH("MOCHILA",B2173)),
ISNUMBER(SEARCH("FUNDA",B2173)),
ISNUMBER(SEARCH("ESTUCHE",B2173)),
ISNUMBER(SEARCH("BOOK COVER",B2173)),
ISNUMBER(SEARCH("KEYBOARD PARA TABLET",B2173)),
ISNUMBER(SEARCH("FLIP TABLET",B2173)),
ISNUMBER(SEARCH("CASE FOR TABLET",B2173)),
ISNUMBER(SEARCH("CABLE",B2173)),
ISNUMBER(SEARCH("ADAPTADOR",B2173)),
ISNUMBER(SEARCH("HUB",B2173)),
ISNUMBER(SEARCH("DOCK",B2173)),
ISNUMBER(SEARCH("MOUSE PAD",B2173)),
ISNUMBER(SEARCH("MOUSEPAD",B2173)),
ISNUMBER(SEARCH("SOPORTE",B2173)),
ISNUMBER(SEARCH("STAND",B2173)),
ISNUMBER(SEARCH("TRAVEL ADAPTER",B2173)),
ISNUMBER(SEARCH("RJ45",B2173)),
ISNUMBER(SEARCH("USB-C",B2173)),
ISNUMBER(SEARCH("USB WIFI",B2173)),
ISNUMBER(SEARCH("POWERBANK",B2173)),
ISNUMBER(SEARCH("CARGADOR",B2173)),
ISNUMBER(SEARCH("COOLER PARA NB",B2173)),
ISNUMBER(SEARCH("SOPORTE PARA NB",B2173)),
ISNUMBER(SEARCH("WEBCAM",B2173)),
ISNUMBER(SEARCH("WEB CAM",B2173)),
ISNUMBER(SEARCH("MOUSE",B2173)),
ISNUMBER(SEARCH("TECLADO",B2173))
),
"COMPLEMENTO",
IF(
OR(
LEFT(A2173,2)="NB",
LEFT(A2173,2)="PC",
LEFT(A2173,2)="WS",
LEFT(A2173,2)="TB",
LEFT(A2173,3)="CEL",
LEFT(A2173,3)="MON",
LEFT(A2173,3)="PRE",
LEFT(A2173,3)="PRH",
ISNUMBER(SEARCH("NOTEBOOK",B2173)),
ISNUMBER(SEARCH("LAPTOP",B2173)),
ISNUMBER(SEARCH("MONITOR",B2173)),
ISNUMBER(SEARCH("TABLET",B2173)),
ISNUMBER(SEARCH("SMARTPH",B2173)),
ISNUMBER(SEARCH("IMPRESORA",B2173)),
ISNUMBER(SEARCH("MULTIFUNCIONAL",B2173)),
ISNUMBER(SEARCH("AIO",B2173))
),
"GANCHO",
"NORMAL"
)
)</f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>ROUND(
IF(L2170="GANCHO",
   IF(I2172&lt;=50,I2172*1.1+4,IF(I2172&lt;=120,I2172*1.1+7,IF(I2172&lt;=250,I2172*1.1+11,I2172*1.1+19))),
IF(L2170="NORMAL",
   IF(I2172&lt;=30,I2172*1.15+2,IF(I2172&lt;=80,I2172*1.15+4,IF(I2172&lt;=150,I2172*1.15+6,I2172*1.15+8))),
IF(L2170="COMPLEMENTO",
   IF(I2172&lt;=25,I2172*1.25+1.5,IF(I2172&lt;=60,I2172*1.25+3,IF(I2172&lt;=120,I2172*1.25+4,I2172*1.25+5))),
""))),2)</f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>IF(
OR(
ISNUMBER(SEARCH("BACKPACK",B2174)),
ISNUMBER(SEARCH("MOCHILA",B2174)),
ISNUMBER(SEARCH("FUNDA",B2174)),
ISNUMBER(SEARCH("ESTUCHE",B2174)),
ISNUMBER(SEARCH("BOOK COVER",B2174)),
ISNUMBER(SEARCH("KEYBOARD PARA TABLET",B2174)),
ISNUMBER(SEARCH("FLIP TABLET",B2174)),
ISNUMBER(SEARCH("CASE FOR TABLET",B2174)),
ISNUMBER(SEARCH("CABLE",B2174)),
ISNUMBER(SEARCH("ADAPTADOR",B2174)),
ISNUMBER(SEARCH("HUB",B2174)),
ISNUMBER(SEARCH("DOCK",B2174)),
ISNUMBER(SEARCH("MOUSE PAD",B2174)),
ISNUMBER(SEARCH("MOUSEPAD",B2174)),
ISNUMBER(SEARCH("SOPORTE",B2174)),
ISNUMBER(SEARCH("STAND",B2174)),
ISNUMBER(SEARCH("TRAVEL ADAPTER",B2174)),
ISNUMBER(SEARCH("RJ45",B2174)),
ISNUMBER(SEARCH("USB-C",B2174)),
ISNUMBER(SEARCH("USB WIFI",B2174)),
ISNUMBER(SEARCH("POWERBANK",B2174)),
ISNUMBER(SEARCH("CARGADOR",B2174)),
ISNUMBER(SEARCH("COOLER PARA NB",B2174)),
ISNUMBER(SEARCH("SOPORTE PARA NB",B2174)),
ISNUMBER(SEARCH("WEBCAM",B2174)),
ISNUMBER(SEARCH("WEB CAM",B2174)),
ISNUMBER(SEARCH("MOUSE",B2174)),
ISNUMBER(SEARCH("TECLADO",B2174))
),
"COMPLEMENTO",
IF(
OR(
LEFT(A2174,2)="NB",
LEFT(A2174,2)="PC",
LEFT(A2174,2)="WS",
LEFT(A2174,2)="TB",
LEFT(A2174,3)="CEL",
LEFT(A2174,3)="MON",
LEFT(A2174,3)="PRE",
LEFT(A2174,3)="PRH",
ISNUMBER(SEARCH("NOTEBOOK",B2174)),
ISNUMBER(SEARCH("LAPTOP",B2174)),
ISNUMBER(SEARCH("MONITOR",B2174)),
ISNUMBER(SEARCH("TABLET",B2174)),
ISNUMBER(SEARCH("SMARTPH",B2174)),
ISNUMBER(SEARCH("IMPRESORA",B2174)),
ISNUMBER(SEARCH("MULTIFUNCIONAL",B2174)),
ISNUMBER(SEARCH("AIO",B2174))
),
"GANCHO",
"NORMAL"
)
)</f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>ROUND(
IF(L2171="GANCHO",
   IF(I2173&lt;=50,I2173*1.1+4,IF(I2173&lt;=120,I2173*1.1+7,IF(I2173&lt;=250,I2173*1.1+11,I2173*1.1+19))),
IF(L2171="NORMAL",
   IF(I2173&lt;=30,I2173*1.15+2,IF(I2173&lt;=80,I2173*1.15+4,IF(I2173&lt;=150,I2173*1.15+6,I2173*1.15+8))),
IF(L2171="COMPLEMENTO",
   IF(I2173&lt;=25,I2173*1.25+1.5,IF(I2173&lt;=60,I2173*1.25+3,IF(I2173&lt;=120,I2173*1.25+4,I2173*1.25+5))),
""))),2)</f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>IF(
OR(
ISNUMBER(SEARCH("BACKPACK",B2175)),
ISNUMBER(SEARCH("MOCHILA",B2175)),
ISNUMBER(SEARCH("FUNDA",B2175)),
ISNUMBER(SEARCH("ESTUCHE",B2175)),
ISNUMBER(SEARCH("BOOK COVER",B2175)),
ISNUMBER(SEARCH("KEYBOARD PARA TABLET",B2175)),
ISNUMBER(SEARCH("FLIP TABLET",B2175)),
ISNUMBER(SEARCH("CASE FOR TABLET",B2175)),
ISNUMBER(SEARCH("CABLE",B2175)),
ISNUMBER(SEARCH("ADAPTADOR",B2175)),
ISNUMBER(SEARCH("HUB",B2175)),
ISNUMBER(SEARCH("DOCK",B2175)),
ISNUMBER(SEARCH("MOUSE PAD",B2175)),
ISNUMBER(SEARCH("MOUSEPAD",B2175)),
ISNUMBER(SEARCH("SOPORTE",B2175)),
ISNUMBER(SEARCH("STAND",B2175)),
ISNUMBER(SEARCH("TRAVEL ADAPTER",B2175)),
ISNUMBER(SEARCH("RJ45",B2175)),
ISNUMBER(SEARCH("USB-C",B2175)),
ISNUMBER(SEARCH("USB WIFI",B2175)),
ISNUMBER(SEARCH("POWERBANK",B2175)),
ISNUMBER(SEARCH("CARGADOR",B2175)),
ISNUMBER(SEARCH("COOLER PARA NB",B2175)),
ISNUMBER(SEARCH("SOPORTE PARA NB",B2175)),
ISNUMBER(SEARCH("WEBCAM",B2175)),
ISNUMBER(SEARCH("WEB CAM",B2175)),
ISNUMBER(SEARCH("MOUSE",B2175)),
ISNUMBER(SEARCH("TECLADO",B2175))
),
"COMPLEMENTO",
IF(
OR(
LEFT(A2175,2)="NB",
LEFT(A2175,2)="PC",
LEFT(A2175,2)="WS",
LEFT(A2175,2)="TB",
LEFT(A2175,3)="CEL",
LEFT(A2175,3)="MON",
LEFT(A2175,3)="PRE",
LEFT(A2175,3)="PRH",
ISNUMBER(SEARCH("NOTEBOOK",B2175)),
ISNUMBER(SEARCH("LAPTOP",B2175)),
ISNUMBER(SEARCH("MONITOR",B2175)),
ISNUMBER(SEARCH("TABLET",B2175)),
ISNUMBER(SEARCH("SMARTPH",B2175)),
ISNUMBER(SEARCH("IMPRESORA",B2175)),
ISNUMBER(SEARCH("MULTIFUNCIONAL",B2175)),
ISNUMBER(SEARCH("AIO",B2175))
),
"GANCHO",
"NORMAL"
)
)</f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>ROUND(
IF(L2172="GANCHO",
   IF(I2174&lt;=50,I2174*1.1+4,IF(I2174&lt;=120,I2174*1.1+7,IF(I2174&lt;=250,I2174*1.1+11,I2174*1.1+19))),
IF(L2172="NORMAL",
   IF(I2174&lt;=30,I2174*1.15+2,IF(I2174&lt;=80,I2174*1.15+4,IF(I2174&lt;=150,I2174*1.15+6,I2174*1.15+8))),
IF(L2172="COMPLEMENTO",
   IF(I2174&lt;=25,I2174*1.25+1.5,IF(I2174&lt;=60,I2174*1.25+3,IF(I2174&lt;=120,I2174*1.25+4,I2174*1.25+5))),
""))),2)</f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>IF(
OR(
ISNUMBER(SEARCH("BACKPACK",B2176)),
ISNUMBER(SEARCH("MOCHILA",B2176)),
ISNUMBER(SEARCH("FUNDA",B2176)),
ISNUMBER(SEARCH("ESTUCHE",B2176)),
ISNUMBER(SEARCH("BOOK COVER",B2176)),
ISNUMBER(SEARCH("KEYBOARD PARA TABLET",B2176)),
ISNUMBER(SEARCH("FLIP TABLET",B2176)),
ISNUMBER(SEARCH("CASE FOR TABLET",B2176)),
ISNUMBER(SEARCH("CABLE",B2176)),
ISNUMBER(SEARCH("ADAPTADOR",B2176)),
ISNUMBER(SEARCH("HUB",B2176)),
ISNUMBER(SEARCH("DOCK",B2176)),
ISNUMBER(SEARCH("MOUSE PAD",B2176)),
ISNUMBER(SEARCH("MOUSEPAD",B2176)),
ISNUMBER(SEARCH("SOPORTE",B2176)),
ISNUMBER(SEARCH("STAND",B2176)),
ISNUMBER(SEARCH("TRAVEL ADAPTER",B2176)),
ISNUMBER(SEARCH("RJ45",B2176)),
ISNUMBER(SEARCH("USB-C",B2176)),
ISNUMBER(SEARCH("USB WIFI",B2176)),
ISNUMBER(SEARCH("POWERBANK",B2176)),
ISNUMBER(SEARCH("CARGADOR",B2176)),
ISNUMBER(SEARCH("COOLER PARA NB",B2176)),
ISNUMBER(SEARCH("SOPORTE PARA NB",B2176)),
ISNUMBER(SEARCH("WEBCAM",B2176)),
ISNUMBER(SEARCH("WEB CAM",B2176)),
ISNUMBER(SEARCH("MOUSE",B2176)),
ISNUMBER(SEARCH("TECLADO",B2176))
),
"COMPLEMENTO",
IF(
OR(
LEFT(A2176,2)="NB",
LEFT(A2176,2)="PC",
LEFT(A2176,2)="WS",
LEFT(A2176,2)="TB",
LEFT(A2176,3)="CEL",
LEFT(A2176,3)="MON",
LEFT(A2176,3)="PRE",
LEFT(A2176,3)="PRH",
ISNUMBER(SEARCH("NOTEBOOK",B2176)),
ISNUMBER(SEARCH("LAPTOP",B2176)),
ISNUMBER(SEARCH("MONITOR",B2176)),
ISNUMBER(SEARCH("TABLET",B2176)),
ISNUMBER(SEARCH("SMARTPH",B2176)),
ISNUMBER(SEARCH("IMPRESORA",B2176)),
ISNUMBER(SEARCH("MULTIFUNCIONAL",B2176)),
ISNUMBER(SEARCH("AIO",B2176))
),
"GANCHO",
"NORMAL"
)
)</f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>ROUND(
IF(L2173="GANCHO",
   IF(I2175&lt;=50,I2175*1.1+4,IF(I2175&lt;=120,I2175*1.1+7,IF(I2175&lt;=250,I2175*1.1+11,I2175*1.1+19))),
IF(L2173="NORMAL",
   IF(I2175&lt;=30,I2175*1.15+2,IF(I2175&lt;=80,I2175*1.15+4,IF(I2175&lt;=150,I2175*1.15+6,I2175*1.15+8))),
IF(L2173="COMPLEMENTO",
   IF(I2175&lt;=25,I2175*1.25+1.5,IF(I2175&lt;=60,I2175*1.25+3,IF(I2175&lt;=120,I2175*1.25+4,I2175*1.25+5))),
""))),2)</f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>IF(
OR(
ISNUMBER(SEARCH("BACKPACK",B2177)),
ISNUMBER(SEARCH("MOCHILA",B2177)),
ISNUMBER(SEARCH("FUNDA",B2177)),
ISNUMBER(SEARCH("ESTUCHE",B2177)),
ISNUMBER(SEARCH("BOOK COVER",B2177)),
ISNUMBER(SEARCH("KEYBOARD PARA TABLET",B2177)),
ISNUMBER(SEARCH("FLIP TABLET",B2177)),
ISNUMBER(SEARCH("CASE FOR TABLET",B2177)),
ISNUMBER(SEARCH("CABLE",B2177)),
ISNUMBER(SEARCH("ADAPTADOR",B2177)),
ISNUMBER(SEARCH("HUB",B2177)),
ISNUMBER(SEARCH("DOCK",B2177)),
ISNUMBER(SEARCH("MOUSE PAD",B2177)),
ISNUMBER(SEARCH("MOUSEPAD",B2177)),
ISNUMBER(SEARCH("SOPORTE",B2177)),
ISNUMBER(SEARCH("STAND",B2177)),
ISNUMBER(SEARCH("TRAVEL ADAPTER",B2177)),
ISNUMBER(SEARCH("RJ45",B2177)),
ISNUMBER(SEARCH("USB-C",B2177)),
ISNUMBER(SEARCH("USB WIFI",B2177)),
ISNUMBER(SEARCH("POWERBANK",B2177)),
ISNUMBER(SEARCH("CARGADOR",B2177)),
ISNUMBER(SEARCH("COOLER PARA NB",B2177)),
ISNUMBER(SEARCH("SOPORTE PARA NB",B2177)),
ISNUMBER(SEARCH("WEBCAM",B2177)),
ISNUMBER(SEARCH("WEB CAM",B2177)),
ISNUMBER(SEARCH("MOUSE",B2177)),
ISNUMBER(SEARCH("TECLADO",B2177))
),
"COMPLEMENTO",
IF(
OR(
LEFT(A2177,2)="NB",
LEFT(A2177,2)="PC",
LEFT(A2177,2)="WS",
LEFT(A2177,2)="TB",
LEFT(A2177,3)="CEL",
LEFT(A2177,3)="MON",
LEFT(A2177,3)="PRE",
LEFT(A2177,3)="PRH",
ISNUMBER(SEARCH("NOTEBOOK",B2177)),
ISNUMBER(SEARCH("LAPTOP",B2177)),
ISNUMBER(SEARCH("MONITOR",B2177)),
ISNUMBER(SEARCH("TABLET",B2177)),
ISNUMBER(SEARCH("SMARTPH",B2177)),
ISNUMBER(SEARCH("IMPRESORA",B2177)),
ISNUMBER(SEARCH("MULTIFUNCIONAL",B2177)),
ISNUMBER(SEARCH("AIO",B2177))
),
"GANCHO",
"NORMAL"
)
)</f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>ROUND(
IF(L2174="GANCHO",
   IF(I2176&lt;=50,I2176*1.1+4,IF(I2176&lt;=120,I2176*1.1+7,IF(I2176&lt;=250,I2176*1.1+11,I2176*1.1+19))),
IF(L2174="NORMAL",
   IF(I2176&lt;=30,I2176*1.15+2,IF(I2176&lt;=80,I2176*1.15+4,IF(I2176&lt;=150,I2176*1.15+6,I2176*1.15+8))),
IF(L2174="COMPLEMENTO",
   IF(I2176&lt;=25,I2176*1.25+1.5,IF(I2176&lt;=60,I2176*1.25+3,IF(I2176&lt;=120,I2176*1.25+4,I2176*1.25+5))),
""))),2)</f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>ROUND(
IF(L2175="GANCHO",
   IF(I2177&lt;=50,I2177*1.1+4,IF(I2177&lt;=120,I2177*1.1+7,IF(I2177&lt;=250,I2177*1.1+11,I2177*1.1+19))),
IF(L2175="NORMAL",
   IF(I2177&lt;=30,I2177*1.15+2,IF(I2177&lt;=80,I2177*1.15+4,IF(I2177&lt;=150,I2177*1.15+6,I2177*1.15+8))),
IF(L2175="COMPLEMENTO",
   IF(I2177&lt;=25,I2177*1.25+1.5,IF(I2177&lt;=60,I2177*1.25+3,IF(I2177&lt;=120,I2177*1.25+4,I2177*1.25+5))),
""))),2)</f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>ROUND(
IF(L2176="GANCHO",
   IF(I2178&lt;=50,I2178*1.1+4,IF(I2178&lt;=120,I2178*1.1+7,IF(I2178&lt;=250,I2178*1.1+11,I2178*1.1+19))),
IF(L2176="NORMAL",
   IF(I2178&lt;=30,I2178*1.15+2,IF(I2178&lt;=80,I2178*1.15+4,IF(I2178&lt;=150,I2178*1.15+6,I2178*1.15+8))),
IF(L2176="COMPLEMENTO",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>IF(
OR(
ISNUMBER(SEARCH("BACKPACK",B2180)),
ISNUMBER(SEARCH("MOCHILA",B2180)),
ISNUMBER(SEARCH("FUNDA",B2180)),
ISNUMBER(SEARCH("ESTUCHE",B2180)),
ISNUMBER(SEARCH("BOOK COVER",B2180)),
ISNUMBER(SEARCH("KEYBOARD PARA TABLET",B2180)),
ISNUMBER(SEARCH("FLIP TABLET",B2180)),
ISNUMBER(SEARCH("CASE FOR TABLET",B2180)),
ISNUMBER(SEARCH("CABLE",B2180)),
ISNUMBER(SEARCH("ADAPTADOR",B2180)),
ISNUMBER(SEARCH("HUB",B2180)),
ISNUMBER(SEARCH("DOCK",B2180)),
ISNUMBER(SEARCH("MOUSE PAD",B2180)),
ISNUMBER(SEARCH("MOUSEPAD",B2180)),
ISNUMBER(SEARCH("SOPORTE",B2180)),
ISNUMBER(SEARCH("STAND",B2180)),
ISNUMBER(SEARCH("TRAVEL ADAPTER",B2180)),
ISNUMBER(SEARCH("RJ45",B2180)),
ISNUMBER(SEARCH("USB-C",B2180)),
ISNUMBER(SEARCH("USB WIFI",B2180)),
ISNUMBER(SEARCH("POWERBANK",B2180)),
ISNUMBER(SEARCH("CARGADOR",B2180)),
ISNUMBER(SEARCH("COOLER PARA NB",B2180)),
ISNUMBER(SEARCH("SOPORTE PARA NB",B2180)),
ISNUMBER(SEARCH("WEBCAM",B2180)),
ISNUMBER(SEARCH("WEB CAM",B2180)),
ISNUMBER(SEARCH("MOUSE",B2180)),
ISNUMBER(SEARCH("TECLADO",B2180))
),
"COMPLEMENTO",
IF(
OR(
LEFT(A2180,2)="NB",
LEFT(A2180,2)="PC",
LEFT(A2180,2)="WS",
LEFT(A2180,2)="TB",
LEFT(A2180,3)="CEL",
LEFT(A2180,3)="MON",
LEFT(A2180,3)="PRE",
LEFT(A2180,3)="PRH",
ISNUMBER(SEARCH("NOTEBOOK",B2180)),
ISNUMBER(SEARCH("LAPTOP",B2180)),
ISNUMBER(SEARCH("MONITOR",B2180)),
ISNUMBER(SEARCH("TABLET",B2180)),
ISNUMBER(SEARCH("SMARTPH",B2180)),
ISNUMBER(SEARCH("IMPRESORA",B2180)),
ISNUMBER(SEARCH("MULTIFUNCIONAL",B2180)),
ISNUMBER(SEARCH("AIO",B2180))
),
"GANCHO",
"NORMAL"
)
)</f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>ROUND(
IF(L2177="GANCHO",
   IF(I2179&lt;=50,I2179*1.1+4,IF(I2179&lt;=120,I2179*1.1+7,IF(I2179&lt;=250,I2179*1.1+11,I2179*1.1+19))),
IF(L2177="NORMAL",
   IF(I2179&lt;=30,I2179*1.15+2,IF(I2179&lt;=80,I2179*1.15+4,IF(I2179&lt;=150,I2179*1.15+6,I2179*1.15+8))),
IF(L2177="COMPLEMENTO",
   IF(I2179&lt;=25,I2179*1.25+1.5,IF(I2179&lt;=60,I2179*1.25+3,IF(I2179&lt;=120,I2179*1.25+4,I2179*1.25+5))),
""))),2)</f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>IF(
OR(
ISNUMBER(SEARCH("BACKPACK",B2181)),
ISNUMBER(SEARCH("MOCHILA",B2181)),
ISNUMBER(SEARCH("FUNDA",B2181)),
ISNUMBER(SEARCH("ESTUCHE",B2181)),
ISNUMBER(SEARCH("BOOK COVER",B2181)),
ISNUMBER(SEARCH("KEYBOARD PARA TABLET",B2181)),
ISNUMBER(SEARCH("FLIP TABLET",B2181)),
ISNUMBER(SEARCH("CASE FOR TABLET",B2181)),
ISNUMBER(SEARCH("CABLE",B2181)),
ISNUMBER(SEARCH("ADAPTADOR",B2181)),
ISNUMBER(SEARCH("HUB",B2181)),
ISNUMBER(SEARCH("DOCK",B2181)),
ISNUMBER(SEARCH("MOUSE PAD",B2181)),
ISNUMBER(SEARCH("MOUSEPAD",B2181)),
ISNUMBER(SEARCH("SOPORTE",B2181)),
ISNUMBER(SEARCH("STAND",B2181)),
ISNUMBER(SEARCH("TRAVEL ADAPTER",B2181)),
ISNUMBER(SEARCH("RJ45",B2181)),
ISNUMBER(SEARCH("USB-C",B2181)),
ISNUMBER(SEARCH("USB WIFI",B2181)),
ISNUMBER(SEARCH("POWERBANK",B2181)),
ISNUMBER(SEARCH("CARGADOR",B2181)),
ISNUMBER(SEARCH("COOLER PARA NB",B2181)),
ISNUMBER(SEARCH("SOPORTE PARA NB",B2181)),
ISNUMBER(SEARCH("WEBCAM",B2181)),
ISNUMBER(SEARCH("WEB CAM",B2181)),
ISNUMBER(SEARCH("MOUSE",B2181)),
ISNUMBER(SEARCH("TECLADO",B2181))
),
"COMPLEMENTO",
IF(
OR(
LEFT(A2181,2)="NB",
LEFT(A2181,2)="PC",
LEFT(A2181,2)="WS",
LEFT(A2181,2)="TB",
LEFT(A2181,3)="CEL",
LEFT(A2181,3)="MON",
LEFT(A2181,3)="PRE",
LEFT(A2181,3)="PRH",
ISNUMBER(SEARCH("NOTEBOOK",B2181)),
ISNUMBER(SEARCH("LAPTOP",B2181)),
ISNUMBER(SEARCH("MONITOR",B2181)),
ISNUMBER(SEARCH("TABLET",B2181)),
ISNUMBER(SEARCH("SMARTPH",B2181)),
ISNUMBER(SEARCH("IMPRESORA",B2181)),
ISNUMBER(SEARCH("MULTIFUNCIONAL",B2181)),
ISNUMBER(SEARCH("AIO",B2181))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>ROUND(
IF(L2178="GANCHO",
   IF(I2180&lt;=50,I2180*1.1+4,IF(I2180&lt;=120,I2180*1.1+7,IF(I2180&lt;=250,I2180*1.1+11,I2180*1.1+19))),
IF(L2178="NORMAL",
   IF(I2180&lt;=30,I2180*1.15+2,IF(I2180&lt;=80,I2180*1.15+4,IF(I2180&lt;=150,I2180*1.15+6,I2180*1.15+8))),
IF(L2178="COMPLEMENTO",
   IF(I2180&lt;=25,I2180*1.25+1.5,IF(I2180&lt;=60,I2180*1.25+3,IF(I2180&lt;=120,I2180*1.25+4,I2180*1.25+5))),
""))),2)</f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>IF(
OR(
ISNUMBER(SEARCH("BACKPACK",B2182)),
ISNUMBER(SEARCH("MOCHILA",B2182)),
ISNUMBER(SEARCH("FUNDA",B2182)),
ISNUMBER(SEARCH("ESTUCHE",B2182)),
ISNUMBER(SEARCH("BOOK COVER",B2182)),
ISNUMBER(SEARCH("KEYBOARD PARA TABLET",B2182)),
ISNUMBER(SEARCH("FLIP TABLET",B2182)),
ISNUMBER(SEARCH("CASE FOR TABLET",B2182)),
ISNUMBER(SEARCH("CABLE",B2182)),
ISNUMBER(SEARCH("ADAPTADOR",B2182)),
ISNUMBER(SEARCH("HUB",B2182)),
ISNUMBER(SEARCH("DOCK",B2182)),
ISNUMBER(SEARCH("MOUSE PAD",B2182)),
ISNUMBER(SEARCH("MOUSEPAD",B2182)),
ISNUMBER(SEARCH("SOPORTE",B2182)),
ISNUMBER(SEARCH("STAND",B2182)),
ISNUMBER(SEARCH("TRAVEL ADAPTER",B2182)),
ISNUMBER(SEARCH("RJ45",B2182)),
ISNUMBER(SEARCH("USB-C",B2182)),
ISNUMBER(SEARCH("USB WIFI",B2182)),
ISNUMBER(SEARCH("POWERBANK",B2182)),
ISNUMBER(SEARCH("CARGADOR",B2182)),
ISNUMBER(SEARCH("COOLER PARA NB",B2182)),
ISNUMBER(SEARCH("SOPORTE PARA NB",B2182)),
ISNUMBER(SEARCH("WEBCAM",B2182)),
ISNUMBER(SEARCH("WEB CAM",B2182)),
ISNUMBER(SEARCH("MOUSE",B2182)),
ISNUMBER(SEARCH("TECLADO",B2182))
),
"COMPLEMENTO",
IF(
OR(
LEFT(A2182,2)="NB",
LEFT(A2182,2)="PC",
LEFT(A2182,2)="WS",
LEFT(A2182,2)="TB",
LEFT(A2182,3)="CEL",
LEFT(A2182,3)="MON",
LEFT(A2182,3)="PRE",
LEFT(A2182,3)="PRH",
ISNUMBER(SEARCH("NOTEBOOK",B2182)),
ISNUMBER(SEARCH("LAPTOP",B2182)),
ISNUMBER(SEARCH("MONITOR",B2182)),
ISNUMBER(SEARCH("TABLET",B2182)),
ISNUMBER(SEARCH("SMARTPH",B2182)),
ISNUMBER(SEARCH("IMPRESORA",B2182)),
ISNUMBER(SEARCH("MULTIFUNCIONAL",B2182)),
ISNUMBER(SEARCH("AIO",B2182))
),
"GANCHO",
"NORMAL"
)
)</f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>ROUND(
IF(L2179="GANCHO",
   IF(I2181&lt;=50,I2181*1.1+4,IF(I2181&lt;=120,I2181*1.1+7,IF(I2181&lt;=250,I2181*1.1+11,I2181*1.1+19))),
IF(L2179="NORMAL",
   IF(I2181&lt;=30,I2181*1.15+2,IF(I2181&lt;=80,I2181*1.15+4,IF(I2181&lt;=150,I2181*1.15+6,I2181*1.15+8))),
IF(L2179="COMPLEMENTO",
   IF(I2181&lt;=25,I2181*1.25+1.5,IF(I2181&lt;=60,I2181*1.25+3,IF(I2181&lt;=120,I2181*1.25+4,I2181*1.25+5))),
""))),2)</f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>IF(
OR(
ISNUMBER(SEARCH("BACKPACK",B2183)),
ISNUMBER(SEARCH("MOCHILA",B2183)),
ISNUMBER(SEARCH("FUNDA",B2183)),
ISNUMBER(SEARCH("ESTUCHE",B2183)),
ISNUMBER(SEARCH("BOOK COVER",B2183)),
ISNUMBER(SEARCH("KEYBOARD PARA TABLET",B2183)),
ISNUMBER(SEARCH("FLIP TABLET",B2183)),
ISNUMBER(SEARCH("CASE FOR TABLET",B2183)),
ISNUMBER(SEARCH("CABLE",B2183)),
ISNUMBER(SEARCH("ADAPTADOR",B2183)),
ISNUMBER(SEARCH("HUB",B2183)),
ISNUMBER(SEARCH("DOCK",B2183)),
ISNUMBER(SEARCH("MOUSE PAD",B2183)),
ISNUMBER(SEARCH("MOUSEPAD",B2183)),
ISNUMBER(SEARCH("SOPORTE",B2183)),
ISNUMBER(SEARCH("STAND",B2183)),
ISNUMBER(SEARCH("TRAVEL ADAPTER",B2183)),
ISNUMBER(SEARCH("RJ45",B2183)),
ISNUMBER(SEARCH("USB-C",B2183)),
ISNUMBER(SEARCH("USB WIFI",B2183)),
ISNUMBER(SEARCH("POWERBANK",B2183)),
ISNUMBER(SEARCH("CARGADOR",B2183)),
ISNUMBER(SEARCH("COOLER PARA NB",B2183)),
ISNUMBER(SEARCH("SOPORTE PARA NB",B2183)),
ISNUMBER(SEARCH("WEBCAM",B2183)),
ISNUMBER(SEARCH("WEB CAM",B2183)),
ISNUMBER(SEARCH("MOUSE",B2183)),
ISNUMBER(SEARCH("TECLADO",B2183))
),
"COMPLEMENTO",
IF(
OR(
LEFT(A2183,2)="NB",
LEFT(A2183,2)="PC",
LEFT(A2183,2)="WS",
LEFT(A2183,2)="TB",
LEFT(A2183,3)="CEL",
LEFT(A2183,3)="MON",
LEFT(A2183,3)="PRE",
LEFT(A2183,3)="PRH",
ISNUMBER(SEARCH("NOTEBOOK",B2183)),
ISNUMBER(SEARCH("LAPTOP",B2183)),
ISNUMBER(SEARCH("MONITOR",B2183)),
ISNUMBER(SEARCH("TABLET",B2183)),
ISNUMBER(SEARCH("SMARTPH",B2183)),
ISNUMBER(SEARCH("IMPRESORA",B2183)),
ISNUMBER(SEARCH("MULTIFUNCIONAL",B2183)),
ISNUMBER(SEARCH("AIO",B2183))
),
"GANCHO",
"NORMAL"
)
)</f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>ROUND(
IF(L2180="GANCHO",
   IF(I2182&lt;=50,I2182*1.1+4,IF(I2182&lt;=120,I2182*1.1+7,IF(I2182&lt;=250,I2182*1.1+11,I2182*1.1+19))),
IF(L2180="NORMAL",
   IF(I2182&lt;=30,I2182*1.15+2,IF(I2182&lt;=80,I2182*1.15+4,IF(I2182&lt;=150,I2182*1.15+6,I2182*1.15+8))),
IF(L2180="COMPLEMENTO",
   IF(I2182&lt;=25,I2182*1.25+1.5,IF(I2182&lt;=60,I2182*1.25+3,IF(I2182&lt;=120,I2182*1.25+4,I2182*1.25+5))),
""))),2)</f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>IF(
OR(
ISNUMBER(SEARCH("BACKPACK",B2184)),
ISNUMBER(SEARCH("MOCHILA",B2184)),
ISNUMBER(SEARCH("FUNDA",B2184)),
ISNUMBER(SEARCH("ESTUCHE",B2184)),
ISNUMBER(SEARCH("BOOK COVER",B2184)),
ISNUMBER(SEARCH("KEYBOARD PARA TABLET",B2184)),
ISNUMBER(SEARCH("FLIP TABLET",B2184)),
ISNUMBER(SEARCH("CASE FOR TABLET",B2184)),
ISNUMBER(SEARCH("CABLE",B2184)),
ISNUMBER(SEARCH("ADAPTADOR",B2184)),
ISNUMBER(SEARCH("HUB",B2184)),
ISNUMBER(SEARCH("DOCK",B2184)),
ISNUMBER(SEARCH("MOUSE PAD",B2184)),
ISNUMBER(SEARCH("MOUSEPAD",B2184)),
ISNUMBER(SEARCH("SOPORTE",B2184)),
ISNUMBER(SEARCH("STAND",B2184)),
ISNUMBER(SEARCH("TRAVEL ADAPTER",B2184)),
ISNUMBER(SEARCH("RJ45",B2184)),
ISNUMBER(SEARCH("USB-C",B2184)),
ISNUMBER(SEARCH("USB WIFI",B2184)),
ISNUMBER(SEARCH("POWERBANK",B2184)),
ISNUMBER(SEARCH("CARGADOR",B2184)),
ISNUMBER(SEARCH("COOLER PARA NB",B2184)),
ISNUMBER(SEARCH("SOPORTE PARA NB",B2184)),
ISNUMBER(SEARCH("WEBCAM",B2184)),
ISNUMBER(SEARCH("WEB CAM",B2184)),
ISNUMBER(SEARCH("MOUSE",B2184)),
ISNUMBER(SEARCH("TECLADO",B2184))
),
"COMPLEMENTO",
IF(
OR(
LEFT(A2184,2)="NB",
LEFT(A2184,2)="PC",
LEFT(A2184,2)="WS",
LEFT(A2184,2)="TB",
LEFT(A2184,3)="CEL",
LEFT(A2184,3)="MON",
LEFT(A2184,3)="PRE",
LEFT(A2184,3)="PRH",
ISNUMBER(SEARCH("NOTEBOOK",B2184)),
ISNUMBER(SEARCH("LAPTOP",B2184)),
ISNUMBER(SEARCH("MONITOR",B2184)),
ISNUMBER(SEARCH("TABLET",B2184)),
ISNUMBER(SEARCH("SMARTPH",B2184)),
ISNUMBER(SEARCH("IMPRESORA",B2184)),
ISNUMBER(SEARCH("MULTIFUNCIONAL",B2184)),
ISNUMBER(SEARCH("AIO",B2184))
),
"GANCHO",
"NORMAL"
)
)</f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>ROUND(
IF(L2181="GANCHO",
   IF(I2183&lt;=50,I2183*1.1+4,IF(I2183&lt;=120,I2183*1.1+7,IF(I2183&lt;=250,I2183*1.1+11,I2183*1.1+19))),
IF(L2181="NORMAL",
   IF(I2183&lt;=30,I2183*1.15+2,IF(I2183&lt;=80,I2183*1.15+4,IF(I2183&lt;=150,I2183*1.15+6,I2183*1.15+8))),
IF(L2181="COMPLEMENTO",
   IF(I2183&lt;=25,I2183*1.25+1.5,IF(I2183&lt;=60,I2183*1.25+3,IF(I2183&lt;=120,I2183*1.25+4,I2183*1.25+5))),
""))),2)</f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>IF(
OR(
ISNUMBER(SEARCH("BACKPACK",B2185)),
ISNUMBER(SEARCH("MOCHILA",B2185)),
ISNUMBER(SEARCH("FUNDA",B2185)),
ISNUMBER(SEARCH("ESTUCHE",B2185)),
ISNUMBER(SEARCH("BOOK COVER",B2185)),
ISNUMBER(SEARCH("KEYBOARD PARA TABLET",B2185)),
ISNUMBER(SEARCH("FLIP TABLET",B2185)),
ISNUMBER(SEARCH("CASE FOR TABLET",B2185)),
ISNUMBER(SEARCH("CABLE",B2185)),
ISNUMBER(SEARCH("ADAPTADOR",B2185)),
ISNUMBER(SEARCH("HUB",B2185)),
ISNUMBER(SEARCH("DOCK",B2185)),
ISNUMBER(SEARCH("MOUSE PAD",B2185)),
ISNUMBER(SEARCH("MOUSEPAD",B2185)),
ISNUMBER(SEARCH("SOPORTE",B2185)),
ISNUMBER(SEARCH("STAND",B2185)),
ISNUMBER(SEARCH("TRAVEL ADAPTER",B2185)),
ISNUMBER(SEARCH("RJ45",B2185)),
ISNUMBER(SEARCH("USB-C",B2185)),
ISNUMBER(SEARCH("USB WIFI",B2185)),
ISNUMBER(SEARCH("POWERBANK",B2185)),
ISNUMBER(SEARCH("CARGADOR",B2185)),
ISNUMBER(SEARCH("COOLER PARA NB",B2185)),
ISNUMBER(SEARCH("SOPORTE PARA NB",B2185)),
ISNUMBER(SEARCH("WEBCAM",B2185)),
ISNUMBER(SEARCH("WEB CAM",B2185)),
ISNUMBER(SEARCH("MOUSE",B2185)),
ISNUMBER(SEARCH("TECLADO",B2185))
),
"COMPLEMENTO",
IF(
OR(
LEFT(A2185,2)="NB",
LEFT(A2185,2)="PC",
LEFT(A2185,2)="WS",
LEFT(A2185,2)="TB",
LEFT(A2185,3)="CEL",
LEFT(A2185,3)="MON",
LEFT(A2185,3)="PRE",
LEFT(A2185,3)="PRH",
ISNUMBER(SEARCH("NOTEBOOK",B2185)),
ISNUMBER(SEARCH("LAPTOP",B2185)),
ISNUMBER(SEARCH("MONITOR",B2185)),
ISNUMBER(SEARCH("TABLET",B2185)),
ISNUMBER(SEARCH("SMARTPH",B2185)),
ISNUMBER(SEARCH("IMPRESORA",B2185)),
ISNUMBER(SEARCH("MULTIFUNCIONAL",B2185)),
ISNUMBER(SEARCH("AIO",B2185))
),
"GANCHO",
"NORMAL"
)
)</f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>ROUND(
IF(L2182="GANCHO",
   IF(I2184&lt;=50,I2184*1.1+4,IF(I2184&lt;=120,I2184*1.1+7,IF(I2184&lt;=250,I2184*1.1+11,I2184*1.1+19))),
IF(L2182="NORMAL",
   IF(I2184&lt;=30,I2184*1.15+2,IF(I2184&lt;=80,I2184*1.15+4,IF(I2184&lt;=150,I2184*1.15+6,I2184*1.15+8))),
IF(L2182="COMPLEMENTO",
   IF(I2184&lt;=25,I2184*1.25+1.5,IF(I2184&lt;=60,I2184*1.25+3,IF(I2184&lt;=120,I2184*1.25+4,I2184*1.25+5))),
""))),2)</f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>IF(
OR(
ISNUMBER(SEARCH("BACKPACK",B2186)),
ISNUMBER(SEARCH("MOCHILA",B2186)),
ISNUMBER(SEARCH("FUNDA",B2186)),
ISNUMBER(SEARCH("ESTUCHE",B2186)),
ISNUMBER(SEARCH("BOOK COVER",B2186)),
ISNUMBER(SEARCH("KEYBOARD PARA TABLET",B2186)),
ISNUMBER(SEARCH("FLIP TABLET",B2186)),
ISNUMBER(SEARCH("CASE FOR TABLET",B2186)),
ISNUMBER(SEARCH("CABLE",B2186)),
ISNUMBER(SEARCH("ADAPTADOR",B2186)),
ISNUMBER(SEARCH("HUB",B2186)),
ISNUMBER(SEARCH("DOCK",B2186)),
ISNUMBER(SEARCH("MOUSE PAD",B2186)),
ISNUMBER(SEARCH("MOUSEPAD",B2186)),
ISNUMBER(SEARCH("SOPORTE",B2186)),
ISNUMBER(SEARCH("STAND",B2186)),
ISNUMBER(SEARCH("TRAVEL ADAPTER",B2186)),
ISNUMBER(SEARCH("RJ45",B2186)),
ISNUMBER(SEARCH("USB-C",B2186)),
ISNUMBER(SEARCH("USB WIFI",B2186)),
ISNUMBER(SEARCH("POWERBANK",B2186)),
ISNUMBER(SEARCH("CARGADOR",B2186)),
ISNUMBER(SEARCH("COOLER PARA NB",B2186)),
ISNUMBER(SEARCH("SOPORTE PARA NB",B2186)),
ISNUMBER(SEARCH("WEBCAM",B2186)),
ISNUMBER(SEARCH("WEB CAM",B2186)),
ISNUMBER(SEARCH("MOUSE",B2186)),
ISNUMBER(SEARCH("TECLADO",B2186))
),
"COMPLEMENTO",
IF(
OR(
LEFT(A2186,2)="NB",
LEFT(A2186,2)="PC",
LEFT(A2186,2)="WS",
LEFT(A2186,2)="TB",
LEFT(A2186,3)="CEL",
LEFT(A2186,3)="MON",
LEFT(A2186,3)="PRE",
LEFT(A2186,3)="PRH",
ISNUMBER(SEARCH("NOTEBOOK",B2186)),
ISNUMBER(SEARCH("LAPTOP",B2186)),
ISNUMBER(SEARCH("MONITOR",B2186)),
ISNUMBER(SEARCH("TABLET",B2186)),
ISNUMBER(SEARCH("SMARTPH",B2186)),
ISNUMBER(SEARCH("IMPRESORA",B2186)),
ISNUMBER(SEARCH("MULTIFUNCIONAL",B2186)),
ISNUMBER(SEARCH("AIO",B2186))
),
"GANCHO",
"NORMAL"
)
)</f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>ROUND(
IF(L2183="GANCHO",
   IF(I2185&lt;=50,I2185*1.1+4,IF(I2185&lt;=120,I2185*1.1+7,IF(I2185&lt;=250,I2185*1.1+11,I2185*1.1+19))),
IF(L2183="NORMAL",
   IF(I2185&lt;=30,I2185*1.15+2,IF(I2185&lt;=80,I2185*1.15+4,IF(I2185&lt;=150,I2185*1.15+6,I2185*1.15+8))),
IF(L2183="COMPLEMENTO",
   IF(I2185&lt;=25,I2185*1.25+1.5,IF(I2185&lt;=60,I2185*1.25+3,IF(I2185&lt;=120,I2185*1.25+4,I2185*1.25+5))),
""))),2)</f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>IF(
OR(
ISNUMBER(SEARCH("BACKPACK",B2187)),
ISNUMBER(SEARCH("MOCHILA",B2187)),
ISNUMBER(SEARCH("FUNDA",B2187)),
ISNUMBER(SEARCH("ESTUCHE",B2187)),
ISNUMBER(SEARCH("BOOK COVER",B2187)),
ISNUMBER(SEARCH("KEYBOARD PARA TABLET",B2187)),
ISNUMBER(SEARCH("FLIP TABLET",B2187)),
ISNUMBER(SEARCH("CASE FOR TABLET",B2187)),
ISNUMBER(SEARCH("CABLE",B2187)),
ISNUMBER(SEARCH("ADAPTADOR",B2187)),
ISNUMBER(SEARCH("HUB",B2187)),
ISNUMBER(SEARCH("DOCK",B2187)),
ISNUMBER(SEARCH("MOUSE PAD",B2187)),
ISNUMBER(SEARCH("MOUSEPAD",B2187)),
ISNUMBER(SEARCH("SOPORTE",B2187)),
ISNUMBER(SEARCH("STAND",B2187)),
ISNUMBER(SEARCH("TRAVEL ADAPTER",B2187)),
ISNUMBER(SEARCH("RJ45",B2187)),
ISNUMBER(SEARCH("USB-C",B2187)),
ISNUMBER(SEARCH("USB WIFI",B2187)),
ISNUMBER(SEARCH("POWERBANK",B2187)),
ISNUMBER(SEARCH("CARGADOR",B2187)),
ISNUMBER(SEARCH("COOLER PARA NB",B2187)),
ISNUMBER(SEARCH("SOPORTE PARA NB",B2187)),
ISNUMBER(SEARCH("WEBCAM",B2187)),
ISNUMBER(SEARCH("WEB CAM",B2187)),
ISNUMBER(SEARCH("MOUSE",B2187)),
ISNUMBER(SEARCH("TECLADO",B2187))
),
"COMPLEMENTO",
IF(
OR(
LEFT(A2187,2)="NB",
LEFT(A2187,2)="PC",
LEFT(A2187,2)="WS",
LEFT(A2187,2)="TB",
LEFT(A2187,3)="CEL",
LEFT(A2187,3)="MON",
LEFT(A2187,3)="PRE",
LEFT(A2187,3)="PRH",
ISNUMBER(SEARCH("NOTEBOOK",B2187)),
ISNUMBER(SEARCH("LAPTOP",B2187)),
ISNUMBER(SEARCH("MONITOR",B2187)),
ISNUMBER(SEARCH("TABLET",B2187)),
ISNUMBER(SEARCH("SMARTPH",B2187)),
ISNUMBER(SEARCH("IMPRESORA",B2187)),
ISNUMBER(SEARCH("MULTIFUNCIONAL",B2187)),
ISNUMBER(SEARCH("AIO",B2187))
),
"GANCHO",
"NORMAL"
)
)</f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>ROUND(
IF(L2184="GANCHO",
   IF(I2186&lt;=50,I2186*1.1+4,IF(I2186&lt;=120,I2186*1.1+7,IF(I2186&lt;=250,I2186*1.1+11,I2186*1.1+19))),
IF(L2184="NORMAL",
   IF(I2186&lt;=30,I2186*1.15+2,IF(I2186&lt;=80,I2186*1.15+4,IF(I2186&lt;=150,I2186*1.15+6,I2186*1.15+8))),
IF(L2184="COMPLEMENTO",
   IF(I2186&lt;=25,I2186*1.25+1.5,IF(I2186&lt;=60,I2186*1.25+3,IF(I2186&lt;=120,I2186*1.25+4,I2186*1.25+5))),
""))),2)</f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>IF(
OR(
ISNUMBER(SEARCH("BACKPACK",B2188)),
ISNUMBER(SEARCH("MOCHILA",B2188)),
ISNUMBER(SEARCH("FUNDA",B2188)),
ISNUMBER(SEARCH("ESTUCHE",B2188)),
ISNUMBER(SEARCH("BOOK COVER",B2188)),
ISNUMBER(SEARCH("KEYBOARD PARA TABLET",B2188)),
ISNUMBER(SEARCH("FLIP TABLET",B2188)),
ISNUMBER(SEARCH("CASE FOR TABLET",B2188)),
ISNUMBER(SEARCH("CABLE",B2188)),
ISNUMBER(SEARCH("ADAPTADOR",B2188)),
ISNUMBER(SEARCH("HUB",B2188)),
ISNUMBER(SEARCH("DOCK",B2188)),
ISNUMBER(SEARCH("MOUSE PAD",B2188)),
ISNUMBER(SEARCH("MOUSEPAD",B2188)),
ISNUMBER(SEARCH("SOPORTE",B2188)),
ISNUMBER(SEARCH("STAND",B2188)),
ISNUMBER(SEARCH("TRAVEL ADAPTER",B2188)),
ISNUMBER(SEARCH("RJ45",B2188)),
ISNUMBER(SEARCH("USB-C",B2188)),
ISNUMBER(SEARCH("USB WIFI",B2188)),
ISNUMBER(SEARCH("POWERBANK",B2188)),
ISNUMBER(SEARCH("CARGADOR",B2188)),
ISNUMBER(SEARCH("COOLER PARA NB",B2188)),
ISNUMBER(SEARCH("SOPORTE PARA NB",B2188)),
ISNUMBER(SEARCH("WEBCAM",B2188)),
ISNUMBER(SEARCH("WEB CAM",B2188)),
ISNUMBER(SEARCH("MOUSE",B2188)),
ISNUMBER(SEARCH("TECLADO",B2188))
),
"COMPLEMENTO",
IF(
OR(
LEFT(A2188,2)="NB",
LEFT(A2188,2)="PC",
LEFT(A2188,2)="WS",
LEFT(A2188,2)="TB",
LEFT(A2188,3)="CEL",
LEFT(A2188,3)="MON",
LEFT(A2188,3)="PRE",
LEFT(A2188,3)="PRH",
ISNUMBER(SEARCH("NOTEBOOK",B2188)),
ISNUMBER(SEARCH("LAPTOP",B2188)),
ISNUMBER(SEARCH("MONITOR",B2188)),
ISNUMBER(SEARCH("TABLET",B2188)),
ISNUMBER(SEARCH("SMARTPH",B2188)),
ISNUMBER(SEARCH("IMPRESORA",B2188)),
ISNUMBER(SEARCH("MULTIFUNCIONAL",B2188)),
ISNUMBER(SEARCH("AIO",B2188))
),
"GANCHO",
"NORMAL"
)
)</f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>ROUND(
IF(L2185="GANCHO",
   IF(I2187&lt;=50,I2187*1.1+4,IF(I2187&lt;=120,I2187*1.1+7,IF(I2187&lt;=250,I2187*1.1+11,I2187*1.1+19))),
IF(L2185="NORMAL",
   IF(I2187&lt;=30,I2187*1.15+2,IF(I2187&lt;=80,I2187*1.15+4,IF(I2187&lt;=150,I2187*1.15+6,I2187*1.15+8))),
IF(L2185="COMPLEMENTO",
   IF(I2187&lt;=25,I2187*1.25+1.5,IF(I2187&lt;=60,I2187*1.25+3,IF(I2187&lt;=120,I2187*1.25+4,I2187*1.25+5))),
""))),2)</f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>IF(
OR(
ISNUMBER(SEARCH("BACKPACK",B2189)),
ISNUMBER(SEARCH("MOCHILA",B2189)),
ISNUMBER(SEARCH("FUNDA",B2189)),
ISNUMBER(SEARCH("ESTUCHE",B2189)),
ISNUMBER(SEARCH("BOOK COVER",B2189)),
ISNUMBER(SEARCH("KEYBOARD PARA TABLET",B2189)),
ISNUMBER(SEARCH("FLIP TABLET",B2189)),
ISNUMBER(SEARCH("CASE FOR TABLET",B2189)),
ISNUMBER(SEARCH("CABLE",B2189)),
ISNUMBER(SEARCH("ADAPTADOR",B2189)),
ISNUMBER(SEARCH("HUB",B2189)),
ISNUMBER(SEARCH("DOCK",B2189)),
ISNUMBER(SEARCH("MOUSE PAD",B2189)),
ISNUMBER(SEARCH("MOUSEPAD",B2189)),
ISNUMBER(SEARCH("SOPORTE",B2189)),
ISNUMBER(SEARCH("STAND",B2189)),
ISNUMBER(SEARCH("TRAVEL ADAPTER",B2189)),
ISNUMBER(SEARCH("RJ45",B2189)),
ISNUMBER(SEARCH("USB-C",B2189)),
ISNUMBER(SEARCH("USB WIFI",B2189)),
ISNUMBER(SEARCH("POWERBANK",B2189)),
ISNUMBER(SEARCH("CARGADOR",B2189)),
ISNUMBER(SEARCH("COOLER PARA NB",B2189)),
ISNUMBER(SEARCH("SOPORTE PARA NB",B2189)),
ISNUMBER(SEARCH("WEBCAM",B2189)),
ISNUMBER(SEARCH("WEB CAM",B2189)),
ISNUMBER(SEARCH("MOUSE",B2189)),
ISNUMBER(SEARCH("TECLADO",B2189))
),
"COMPLEMENTO",
IF(
OR(
LEFT(A2189,2)="NB",
LEFT(A2189,2)="PC",
LEFT(A2189,2)="WS",
LEFT(A2189,2)="TB",
LEFT(A2189,3)="CEL",
LEFT(A2189,3)="MON",
LEFT(A2189,3)="PRE",
LEFT(A2189,3)="PRH",
ISNUMBER(SEARCH("NOTEBOOK",B2189)),
ISNUMBER(SEARCH("LAPTOP",B2189)),
ISNUMBER(SEARCH("MONITOR",B2189)),
ISNUMBER(SEARCH("TABLET",B2189)),
ISNUMBER(SEARCH("SMARTPH",B2189)),
ISNUMBER(SEARCH("IMPRESORA",B2189)),
ISNUMBER(SEARCH("MULTIFUNCIONAL",B2189)),
ISNUMBER(SEARCH("AIO",B2189))
),
"GANCHO",
"NORMAL"
)
)</f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>ROUND(
IF(L2186="GANCHO",
   IF(I2188&lt;=50,I2188*1.1+4,IF(I2188&lt;=120,I2188*1.1+7,IF(I2188&lt;=250,I2188*1.1+11,I2188*1.1+19))),
IF(L2186="NORMAL",
   IF(I2188&lt;=30,I2188*1.15+2,IF(I2188&lt;=80,I2188*1.15+4,IF(I2188&lt;=150,I2188*1.15+6,I2188*1.15+8))),
IF(L2186="COMPLEMENTO",
   IF(I2188&lt;=25,I2188*1.25+1.5,IF(I2188&lt;=60,I2188*1.25+3,IF(I2188&lt;=120,I2188*1.25+4,I2188*1.25+5))),
""))),2)</f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>IF(
OR(
ISNUMBER(SEARCH("BACKPACK",B2190)),
ISNUMBER(SEARCH("MOCHILA",B2190)),
ISNUMBER(SEARCH("FUNDA",B2190)),
ISNUMBER(SEARCH("ESTUCHE",B2190)),
ISNUMBER(SEARCH("BOOK COVER",B2190)),
ISNUMBER(SEARCH("KEYBOARD PARA TABLET",B2190)),
ISNUMBER(SEARCH("FLIP TABLET",B2190)),
ISNUMBER(SEARCH("CASE FOR TABLET",B2190)),
ISNUMBER(SEARCH("CABLE",B2190)),
ISNUMBER(SEARCH("ADAPTADOR",B2190)),
ISNUMBER(SEARCH("HUB",B2190)),
ISNUMBER(SEARCH("DOCK",B2190)),
ISNUMBER(SEARCH("MOUSE PAD",B2190)),
ISNUMBER(SEARCH("MOUSEPAD",B2190)),
ISNUMBER(SEARCH("SOPORTE",B2190)),
ISNUMBER(SEARCH("STAND",B2190)),
ISNUMBER(SEARCH("TRAVEL ADAPTER",B2190)),
ISNUMBER(SEARCH("RJ45",B2190)),
ISNUMBER(SEARCH("USB-C",B2190)),
ISNUMBER(SEARCH("USB WIFI",B2190)),
ISNUMBER(SEARCH("POWERBANK",B2190)),
ISNUMBER(SEARCH("CARGADOR",B2190)),
ISNUMBER(SEARCH("COOLER PARA NB",B2190)),
ISNUMBER(SEARCH("SOPORTE PARA NB",B2190)),
ISNUMBER(SEARCH("WEBCAM",B2190)),
ISNUMBER(SEARCH("WEB CAM",B2190)),
ISNUMBER(SEARCH("MOUSE",B2190)),
ISNUMBER(SEARCH("TECLADO",B2190))
),
"COMPLEMENTO",
IF(
OR(
LEFT(A2190,2)="NB",
LEFT(A2190,2)="PC",
LEFT(A2190,2)="WS",
LEFT(A2190,2)="TB",
LEFT(A2190,3)="CEL",
LEFT(A2190,3)="MON",
LEFT(A2190,3)="PRE",
LEFT(A2190,3)="PRH",
ISNUMBER(SEARCH("NOTEBOOK",B2190)),
ISNUMBER(SEARCH("LAPTOP",B2190)),
ISNUMBER(SEARCH("MONITOR",B2190)),
ISNUMBER(SEARCH("TABLET",B2190)),
ISNUMBER(SEARCH("SMARTPH",B2190)),
ISNUMBER(SEARCH("IMPRESORA",B2190)),
ISNUMBER(SEARCH("MULTIFUNCIONAL",B2190)),
ISNUMBER(SEARCH("AIO",B2190))
),
"GANCHO",
"NORMAL"
)
)</f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>ROUND(
IF(L2187="GANCHO",
   IF(I2189&lt;=50,I2189*1.1+4,IF(I2189&lt;=120,I2189*1.1+7,IF(I2189&lt;=250,I2189*1.1+11,I2189*1.1+19))),
IF(L2187="NORMAL",
   IF(I2189&lt;=30,I2189*1.15+2,IF(I2189&lt;=80,I2189*1.15+4,IF(I2189&lt;=150,I2189*1.15+6,I2189*1.15+8))),
IF(L2187="COMPLEMENTO",
   IF(I2189&lt;=25,I2189*1.25+1.5,IF(I2189&lt;=60,I2189*1.25+3,IF(I2189&lt;=120,I2189*1.25+4,I2189*1.25+5))),
""))),2)</f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>IF(
OR(
ISNUMBER(SEARCH("BACKPACK",B2191)),
ISNUMBER(SEARCH("MOCHILA",B2191)),
ISNUMBER(SEARCH("FUNDA",B2191)),
ISNUMBER(SEARCH("ESTUCHE",B2191)),
ISNUMBER(SEARCH("BOOK COVER",B2191)),
ISNUMBER(SEARCH("KEYBOARD PARA TABLET",B2191)),
ISNUMBER(SEARCH("FLIP TABLET",B2191)),
ISNUMBER(SEARCH("CASE FOR TABLET",B2191)),
ISNUMBER(SEARCH("CABLE",B2191)),
ISNUMBER(SEARCH("ADAPTADOR",B2191)),
ISNUMBER(SEARCH("HUB",B2191)),
ISNUMBER(SEARCH("DOCK",B2191)),
ISNUMBER(SEARCH("MOUSE PAD",B2191)),
ISNUMBER(SEARCH("MOUSEPAD",B2191)),
ISNUMBER(SEARCH("SOPORTE",B2191)),
ISNUMBER(SEARCH("STAND",B2191)),
ISNUMBER(SEARCH("TRAVEL ADAPTER",B2191)),
ISNUMBER(SEARCH("RJ45",B2191)),
ISNUMBER(SEARCH("USB-C",B2191)),
ISNUMBER(SEARCH("USB WIFI",B2191)),
ISNUMBER(SEARCH("POWERBANK",B2191)),
ISNUMBER(SEARCH("CARGADOR",B2191)),
ISNUMBER(SEARCH("COOLER PARA NB",B2191)),
ISNUMBER(SEARCH("SOPORTE PARA NB",B2191)),
ISNUMBER(SEARCH("WEBCAM",B2191)),
ISNUMBER(SEARCH("WEB CAM",B2191)),
ISNUMBER(SEARCH("MOUSE",B2191)),
ISNUMBER(SEARCH("TECLADO",B2191))
),
"COMPLEMENTO",
IF(
OR(
LEFT(A2191,2)="NB",
LEFT(A2191,2)="PC",
LEFT(A2191,2)="WS",
LEFT(A2191,2)="TB",
LEFT(A2191,3)="CEL",
LEFT(A2191,3)="MON",
LEFT(A2191,3)="PRE",
LEFT(A2191,3)="PRH",
ISNUMBER(SEARCH("NOTEBOOK",B2191)),
ISNUMBER(SEARCH("LAPTOP",B2191)),
ISNUMBER(SEARCH("MONITOR",B2191)),
ISNUMBER(SEARCH("TABLET",B2191)),
ISNUMBER(SEARCH("SMARTPH",B2191)),
ISNUMBER(SEARCH("IMPRESORA",B2191)),
ISNUMBER(SEARCH("MULTIFUNCIONAL",B2191)),
ISNUMBER(SEARCH("AIO",B2191))
),
"GANCHO",
"NORMAL"
)
)</f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>ROUND(
IF(L2188="GANCHO",
   IF(I2190&lt;=50,I2190*1.1+4,IF(I2190&lt;=120,I2190*1.1+7,IF(I2190&lt;=250,I2190*1.1+11,I2190*1.1+19))),
IF(L2188="NORMAL",
   IF(I2190&lt;=30,I2190*1.15+2,IF(I2190&lt;=80,I2190*1.15+4,IF(I2190&lt;=150,I2190*1.15+6,I2190*1.15+8))),
IF(L2188="COMPLEMENTO",
   IF(I2190&lt;=25,I2190*1.25+1.5,IF(I2190&lt;=60,I2190*1.25+3,IF(I2190&lt;=120,I2190*1.25+4,I2190*1.25+5))),
""))),2)</f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>IF(
OR(
ISNUMBER(SEARCH("BACKPACK",B2192)),
ISNUMBER(SEARCH("MOCHILA",B2192)),
ISNUMBER(SEARCH("FUNDA",B2192)),
ISNUMBER(SEARCH("ESTUCHE",B2192)),
ISNUMBER(SEARCH("BOOK COVER",B2192)),
ISNUMBER(SEARCH("KEYBOARD PARA TABLET",B2192)),
ISNUMBER(SEARCH("FLIP TABLET",B2192)),
ISNUMBER(SEARCH("CASE FOR TABLET",B2192)),
ISNUMBER(SEARCH("CABLE",B2192)),
ISNUMBER(SEARCH("ADAPTADOR",B2192)),
ISNUMBER(SEARCH("HUB",B2192)),
ISNUMBER(SEARCH("DOCK",B2192)),
ISNUMBER(SEARCH("MOUSE PAD",B2192)),
ISNUMBER(SEARCH("MOUSEPAD",B2192)),
ISNUMBER(SEARCH("SOPORTE",B2192)),
ISNUMBER(SEARCH("STAND",B2192)),
ISNUMBER(SEARCH("TRAVEL ADAPTER",B2192)),
ISNUMBER(SEARCH("RJ45",B2192)),
ISNUMBER(SEARCH("USB-C",B2192)),
ISNUMBER(SEARCH("USB WIFI",B2192)),
ISNUMBER(SEARCH("POWERBANK",B2192)),
ISNUMBER(SEARCH("CARGADOR",B2192)),
ISNUMBER(SEARCH("COOLER PARA NB",B2192)),
ISNUMBER(SEARCH("SOPORTE PARA NB",B2192)),
ISNUMBER(SEARCH("WEBCAM",B2192)),
ISNUMBER(SEARCH("WEB CAM",B2192)),
ISNUMBER(SEARCH("MOUSE",B2192)),
ISNUMBER(SEARCH("TECLADO",B2192))
),
"COMPLEMENTO",
IF(
OR(
LEFT(A2192,2)="NB",
LEFT(A2192,2)="PC",
LEFT(A2192,2)="WS",
LEFT(A2192,2)="TB",
LEFT(A2192,3)="CEL",
LEFT(A2192,3)="MON",
LEFT(A2192,3)="PRE",
LEFT(A2192,3)="PRH",
ISNUMBER(SEARCH("NOTEBOOK",B2192)),
ISNUMBER(SEARCH("LAPTOP",B2192)),
ISNUMBER(SEARCH("MONITOR",B2192)),
ISNUMBER(SEARCH("TABLET",B2192)),
ISNUMBER(SEARCH("SMARTPH",B2192)),
ISNUMBER(SEARCH("IMPRESORA",B2192)),
ISNUMBER(SEARCH("MULTIFUNCIONAL",B2192)),
ISNUMBER(SEARCH("AIO",B2192))
),
"GANCHO",
"NORMAL"
)
)</f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>ROUND(
IF(L2189="GANCHO",
   IF(I2191&lt;=50,I2191*1.1+4,IF(I2191&lt;=120,I2191*1.1+7,IF(I2191&lt;=250,I2191*1.1+11,I2191*1.1+19))),
IF(L2189="NORMAL",
   IF(I2191&lt;=30,I2191*1.15+2,IF(I2191&lt;=80,I2191*1.15+4,IF(I2191&lt;=150,I2191*1.15+6,I2191*1.15+8))),
IF(L2189="COMPLEMENTO",
   IF(I2191&lt;=25,I2191*1.25+1.5,IF(I2191&lt;=60,I2191*1.25+3,IF(I2191&lt;=120,I2191*1.25+4,I2191*1.25+5))),
""))),2)</f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>IF(
OR(
ISNUMBER(SEARCH("BACKPACK",B2193)),
ISNUMBER(SEARCH("MOCHILA",B2193)),
ISNUMBER(SEARCH("FUNDA",B2193)),
ISNUMBER(SEARCH("ESTUCHE",B2193)),
ISNUMBER(SEARCH("BOOK COVER",B2193)),
ISNUMBER(SEARCH("KEYBOARD PARA TABLET",B2193)),
ISNUMBER(SEARCH("FLIP TABLET",B2193)),
ISNUMBER(SEARCH("CASE FOR TABLET",B2193)),
ISNUMBER(SEARCH("CABLE",B2193)),
ISNUMBER(SEARCH("ADAPTADOR",B2193)),
ISNUMBER(SEARCH("HUB",B2193)),
ISNUMBER(SEARCH("DOCK",B2193)),
ISNUMBER(SEARCH("MOUSE PAD",B2193)),
ISNUMBER(SEARCH("MOUSEPAD",B2193)),
ISNUMBER(SEARCH("SOPORTE",B2193)),
ISNUMBER(SEARCH("STAND",B2193)),
ISNUMBER(SEARCH("TRAVEL ADAPTER",B2193)),
ISNUMBER(SEARCH("RJ45",B2193)),
ISNUMBER(SEARCH("USB-C",B2193)),
ISNUMBER(SEARCH("USB WIFI",B2193)),
ISNUMBER(SEARCH("POWERBANK",B2193)),
ISNUMBER(SEARCH("CARGADOR",B2193)),
ISNUMBER(SEARCH("COOLER PARA NB",B2193)),
ISNUMBER(SEARCH("SOPORTE PARA NB",B2193)),
ISNUMBER(SEARCH("WEBCAM",B2193)),
ISNUMBER(SEARCH("WEB CAM",B2193)),
ISNUMBER(SEARCH("MOUSE",B2193)),
ISNUMBER(SEARCH("TECLADO",B2193))
),
"COMPLEMENTO",
IF(
OR(
LEFT(A2193,2)="NB",
LEFT(A2193,2)="PC",
LEFT(A2193,2)="WS",
LEFT(A2193,2)="TB",
LEFT(A2193,3)="CEL",
LEFT(A2193,3)="MON",
LEFT(A2193,3)="PRE",
LEFT(A2193,3)="PRH",
ISNUMBER(SEARCH("NOTEBOOK",B2193)),
ISNUMBER(SEARCH("LAPTOP",B2193)),
ISNUMBER(SEARCH("MONITOR",B2193)),
ISNUMBER(SEARCH("TABLET",B2193)),
ISNUMBER(SEARCH("SMARTPH",B2193)),
ISNUMBER(SEARCH("IMPRESORA",B2193)),
ISNUMBER(SEARCH("MULTIFUNCIONAL",B2193)),
ISNUMBER(SEARCH("AIO",B2193))
),
"GANCHO",
"NORMAL"
)
)</f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>ROUND(
IF(L2190="GANCHO",
   IF(I2192&lt;=50,I2192*1.1+4,IF(I2192&lt;=120,I2192*1.1+7,IF(I2192&lt;=250,I2192*1.1+11,I2192*1.1+19))),
IF(L2190="NORMAL",
   IF(I2192&lt;=30,I2192*1.15+2,IF(I2192&lt;=80,I2192*1.15+4,IF(I2192&lt;=150,I2192*1.15+6,I2192*1.15+8))),
IF(L2190="COMPLEMENTO",
   IF(I2192&lt;=25,I2192*1.25+1.5,IF(I2192&lt;=60,I2192*1.25+3,IF(I2192&lt;=120,I2192*1.25+4,I2192*1.25+5))),
""))),2)</f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>ROUND(
IF(L2191="GANCHO",
   IF(I2193&lt;=50,I2193*1.1+4,IF(I2193&lt;=120,I2193*1.1+7,IF(I2193&lt;=250,I2193*1.1+11,I2193*1.1+19))),
IF(L2191="NORMAL",
   IF(I2193&lt;=30,I2193*1.15+2,IF(I2193&lt;=80,I2193*1.15+4,IF(I2193&lt;=150,I2193*1.15+6,I2193*1.15+8))),
IF(L2191="COMPLEMENTO",
   IF(I2193&lt;=25,I2193*1.25+1.5,IF(I2193&lt;=60,I2193*1.25+3,IF(I2193&lt;=120,I2193*1.25+4,I2193*1.25+5))),
""))),2)</f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>IF(
OR(
ISNUMBER(SEARCH("BACKPACK",B2195)),
ISNUMBER(SEARCH("MOCHILA",B2195)),
ISNUMBER(SEARCH("FUNDA",B2195)),
ISNUMBER(SEARCH("ESTUCHE",B2195)),
ISNUMBER(SEARCH("BOOK COVER",B2195)),
ISNUMBER(SEARCH("KEYBOARD PARA TABLET",B2195)),
ISNUMBER(SEARCH("FLIP TABLET",B2195)),
ISNUMBER(SEARCH("CASE FOR TABLET",B2195)),
ISNUMBER(SEARCH("CABLE",B2195)),
ISNUMBER(SEARCH("ADAPTADOR",B2195)),
ISNUMBER(SEARCH("HUB",B2195)),
ISNUMBER(SEARCH("DOCK",B2195)),
ISNUMBER(SEARCH("MOUSE PAD",B2195)),
ISNUMBER(SEARCH("MOUSEPAD",B2195)),
ISNUMBER(SEARCH("SOPORTE",B2195)),
ISNUMBER(SEARCH("STAND",B2195)),
ISNUMBER(SEARCH("TRAVEL ADAPTER",B2195)),
ISNUMBER(SEARCH("RJ45",B2195)),
ISNUMBER(SEARCH("USB-C",B2195)),
ISNUMBER(SEARCH("USB WIFI",B2195)),
ISNUMBER(SEARCH("POWERBANK",B2195)),
ISNUMBER(SEARCH("CARGADOR",B2195)),
ISNUMBER(SEARCH("COOLER PARA NB",B2195)),
ISNUMBER(SEARCH("SOPORTE PARA NB",B2195)),
ISNUMBER(SEARCH("WEBCAM",B2195)),
ISNUMBER(SEARCH("WEB CAM",B2195)),
ISNUMBER(SEARCH("MOUSE",B2195)),
ISNUMBER(SEARCH("TECLADO",B2195))
),
"COMPLEMENTO",
IF(
OR(
LEFT(A2195,2)="NB",
LEFT(A2195,2)="PC",
LEFT(A2195,2)="WS",
LEFT(A2195,2)="TB",
LEFT(A2195,3)="CEL",
LEFT(A2195,3)="MON",
LEFT(A2195,3)="PRE",
LEFT(A2195,3)="PRH",
ISNUMBER(SEARCH("NOTEBOOK",B2195)),
ISNUMBER(SEARCH("LAPTOP",B2195)),
ISNUMBER(SEARCH("MONITOR",B2195)),
ISNUMBER(SEARCH("TABLET",B2195)),
ISNUMBER(SEARCH("SMARTPH",B2195)),
ISNUMBER(SEARCH("IMPRESORA",B2195)),
ISNUMBER(SEARCH("MULTIFUNCIONAL",B2195)),
ISNUMBER(SEARCH("AIO",B2195))
),
"GANCHO",
"NORMAL"
)
)</f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>ROUND(
IF(L2192="GANCHO",
   IF(I2194&lt;=50,I2194*1.1+4,IF(I2194&lt;=120,I2194*1.1+7,IF(I2194&lt;=250,I2194*1.1+11,I2194*1.1+19))),
IF(L2192="NORMAL",
   IF(I2194&lt;=30,I2194*1.15+2,IF(I2194&lt;=80,I2194*1.15+4,IF(I2194&lt;=150,I2194*1.15+6,I2194*1.15+8))),
IF(L2192="COMPLEMENTO",
   IF(I2194&lt;=25,I2194*1.25+1.5,IF(I2194&lt;=60,I2194*1.25+3,IF(I2194&lt;=120,I2194*1.25+4,I2194*1.25+5))),
""))),2)</f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>IF(
OR(
ISNUMBER(SEARCH("BACKPACK",B2196)),
ISNUMBER(SEARCH("MOCHILA",B2196)),
ISNUMBER(SEARCH("FUNDA",B2196)),
ISNUMBER(SEARCH("ESTUCHE",B2196)),
ISNUMBER(SEARCH("BOOK COVER",B2196)),
ISNUMBER(SEARCH("KEYBOARD PARA TABLET",B2196)),
ISNUMBER(SEARCH("FLIP TABLET",B2196)),
ISNUMBER(SEARCH("CASE FOR TABLET",B2196)),
ISNUMBER(SEARCH("CABLE",B2196)),
ISNUMBER(SEARCH("ADAPTADOR",B2196)),
ISNUMBER(SEARCH("HUB",B2196)),
ISNUMBER(SEARCH("DOCK",B2196)),
ISNUMBER(SEARCH("MOUSE PAD",B2196)),
ISNUMBER(SEARCH("MOUSEPAD",B2196)),
ISNUMBER(SEARCH("SOPORTE",B2196)),
ISNUMBER(SEARCH("STAND",B2196)),
ISNUMBER(SEARCH("TRAVEL ADAPTER",B2196)),
ISNUMBER(SEARCH("RJ45",B2196)),
ISNUMBER(SEARCH("USB-C",B2196)),
ISNUMBER(SEARCH("USB WIFI",B2196)),
ISNUMBER(SEARCH("POWERBANK",B2196)),
ISNUMBER(SEARCH("CARGADOR",B2196)),
ISNUMBER(SEARCH("COOLER PARA NB",B2196)),
ISNUMBER(SEARCH("SOPORTE PARA NB",B2196)),
ISNUMBER(SEARCH("WEBCAM",B2196)),
ISNUMBER(SEARCH("WEB CAM",B2196)),
ISNUMBER(SEARCH("MOUSE",B2196)),
ISNUMBER(SEARCH("TECLADO",B2196))
),
"COMPLEMENTO",
IF(
OR(
LEFT(A2196,2)="NB",
LEFT(A2196,2)="PC",
LEFT(A2196,2)="WS",
LEFT(A2196,2)="TB",
LEFT(A2196,3)="CEL",
LEFT(A2196,3)="MON",
LEFT(A2196,3)="PRE",
LEFT(A2196,3)="PRH",
ISNUMBER(SEARCH("NOTEBOOK",B2196)),
ISNUMBER(SEARCH("LAPTOP",B2196)),
ISNUMBER(SEARCH("MONITOR",B2196)),
ISNUMBER(SEARCH("TABLET",B2196)),
ISNUMBER(SEARCH("SMARTPH",B2196)),
ISNUMBER(SEARCH("IMPRESORA",B2196)),
ISNUMBER(SEARCH("MULTIFUNCIONAL",B2196)),
ISNUMBER(SEARCH("AIO",B2196))
),
"GANCHO",
"NORMAL"
)
)</f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>ROUND(
IF(L2193="GANCHO",
   IF(I2195&lt;=50,I2195*1.1+4,IF(I2195&lt;=120,I2195*1.1+7,IF(I2195&lt;=250,I2195*1.1+11,I2195*1.1+19))),
IF(L2193="NORMAL",
   IF(I2195&lt;=30,I2195*1.15+2,IF(I2195&lt;=80,I2195*1.15+4,IF(I2195&lt;=150,I2195*1.15+6,I2195*1.15+8))),
IF(L2193="COMPLEMENTO",
   IF(I2195&lt;=25,I2195*1.25+1.5,IF(I2195&lt;=60,I2195*1.25+3,IF(I2195&lt;=120,I2195*1.25+4,I2195*1.25+5))),
""))),2)</f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>IF(
OR(
ISNUMBER(SEARCH("BACKPACK",B2197)),
ISNUMBER(SEARCH("MOCHILA",B2197)),
ISNUMBER(SEARCH("FUNDA",B2197)),
ISNUMBER(SEARCH("ESTUCHE",B2197)),
ISNUMBER(SEARCH("BOOK COVER",B2197)),
ISNUMBER(SEARCH("KEYBOARD PARA TABLET",B2197)),
ISNUMBER(SEARCH("FLIP TABLET",B2197)),
ISNUMBER(SEARCH("CASE FOR TABLET",B2197)),
ISNUMBER(SEARCH("CABLE",B2197)),
ISNUMBER(SEARCH("ADAPTADOR",B2197)),
ISNUMBER(SEARCH("HUB",B2197)),
ISNUMBER(SEARCH("DOCK",B2197)),
ISNUMBER(SEARCH("MOUSE PAD",B2197)),
ISNUMBER(SEARCH("MOUSEPAD",B2197)),
ISNUMBER(SEARCH("SOPORTE",B2197)),
ISNUMBER(SEARCH("STAND",B2197)),
ISNUMBER(SEARCH("TRAVEL ADAPTER",B2197)),
ISNUMBER(SEARCH("RJ45",B2197)),
ISNUMBER(SEARCH("USB-C",B2197)),
ISNUMBER(SEARCH("USB WIFI",B2197)),
ISNUMBER(SEARCH("POWERBANK",B2197)),
ISNUMBER(SEARCH("CARGADOR",B2197)),
ISNUMBER(SEARCH("COOLER PARA NB",B2197)),
ISNUMBER(SEARCH("SOPORTE PARA NB",B2197)),
ISNUMBER(SEARCH("WEBCAM",B2197)),
ISNUMBER(SEARCH("WEB CAM",B2197)),
ISNUMBER(SEARCH("MOUSE",B2197)),
ISNUMBER(SEARCH("TECLADO",B2197))
),
"COMPLEMENTO",
IF(
OR(
LEFT(A2197,2)="NB",
LEFT(A2197,2)="PC",
LEFT(A2197,2)="WS",
LEFT(A2197,2)="TB",
LEFT(A2197,3)="CEL",
LEFT(A2197,3)="MON",
LEFT(A2197,3)="PRE",
LEFT(A2197,3)="PRH",
ISNUMBER(SEARCH("NOTEBOOK",B2197)),
ISNUMBER(SEARCH("LAPTOP",B2197)),
ISNUMBER(SEARCH("MONITOR",B2197)),
ISNUMBER(SEARCH("TABLET",B2197)),
ISNUMBER(SEARCH("SMARTPH",B2197)),
ISNUMBER(SEARCH("IMPRESORA",B2197)),
ISNUMBER(SEARCH("MULTIFUNCIONAL",B2197)),
ISNUMBER(SEARCH("AIO",B2197))
),
"GANCHO",
"NORMAL"
)
)</f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>ROUND(
IF(L2194="GANCHO",
   IF(I2196&lt;=50,I2196*1.1+4,IF(I2196&lt;=120,I2196*1.1+7,IF(I2196&lt;=250,I2196*1.1+11,I2196*1.1+19))),
IF(L2194="NORMAL",
   IF(I2196&lt;=30,I2196*1.15+2,IF(I2196&lt;=80,I2196*1.15+4,IF(I2196&lt;=150,I2196*1.15+6,I2196*1.15+8))),
IF(L2194="COMPLEMENTO",
   IF(I2196&lt;=25,I2196*1.25+1.5,IF(I2196&lt;=60,I2196*1.25+3,IF(I2196&lt;=120,I2196*1.25+4,I2196*1.25+5))),
""))),2)</f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>IF(
OR(
ISNUMBER(SEARCH("BACKPACK",B2198)),
ISNUMBER(SEARCH("MOCHILA",B2198)),
ISNUMBER(SEARCH("FUNDA",B2198)),
ISNUMBER(SEARCH("ESTUCHE",B2198)),
ISNUMBER(SEARCH("BOOK COVER",B2198)),
ISNUMBER(SEARCH("KEYBOARD PARA TABLET",B2198)),
ISNUMBER(SEARCH("FLIP TABLET",B2198)),
ISNUMBER(SEARCH("CASE FOR TABLET",B2198)),
ISNUMBER(SEARCH("CABLE",B2198)),
ISNUMBER(SEARCH("ADAPTADOR",B2198)),
ISNUMBER(SEARCH("HUB",B2198)),
ISNUMBER(SEARCH("DOCK",B2198)),
ISNUMBER(SEARCH("MOUSE PAD",B2198)),
ISNUMBER(SEARCH("MOUSEPAD",B2198)),
ISNUMBER(SEARCH("SOPORTE",B2198)),
ISNUMBER(SEARCH("STAND",B2198)),
ISNUMBER(SEARCH("TRAVEL ADAPTER",B2198)),
ISNUMBER(SEARCH("RJ45",B2198)),
ISNUMBER(SEARCH("USB-C",B2198)),
ISNUMBER(SEARCH("USB WIFI",B2198)),
ISNUMBER(SEARCH("POWERBANK",B2198)),
ISNUMBER(SEARCH("CARGADOR",B2198)),
ISNUMBER(SEARCH("COOLER PARA NB",B2198)),
ISNUMBER(SEARCH("SOPORTE PARA NB",B2198)),
ISNUMBER(SEARCH("WEBCAM",B2198)),
ISNUMBER(SEARCH("WEB CAM",B2198)),
ISNUMBER(SEARCH("MOUSE",B2198)),
ISNUMBER(SEARCH("TECLADO",B2198))
),
"COMPLEMENTO",
IF(
OR(
LEFT(A2198,2)="NB",
LEFT(A2198,2)="PC",
LEFT(A2198,2)="WS",
LEFT(A2198,2)="TB",
LEFT(A2198,3)="CEL",
LEFT(A2198,3)="MON",
LEFT(A2198,3)="PRE",
LEFT(A2198,3)="PRH",
ISNUMBER(SEARCH("NOTEBOOK",B2198)),
ISNUMBER(SEARCH("LAPTOP",B2198)),
ISNUMBER(SEARCH("MONITOR",B2198)),
ISNUMBER(SEARCH("TABLET",B2198)),
ISNUMBER(SEARCH("SMARTPH",B2198)),
ISNUMBER(SEARCH("IMPRESORA",B2198)),
ISNUMBER(SEARCH("MULTIFUNCIONAL",B2198)),
ISNUMBER(SEARCH("AIO",B2198))
),
"GANCHO",
"NORMAL"
)
)</f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>ROUND(
IF(L2195="GANCHO",
   IF(I2197&lt;=50,I2197*1.1+4,IF(I2197&lt;=120,I2197*1.1+7,IF(I2197&lt;=250,I2197*1.1+11,I2197*1.1+19))),
IF(L2195="NORMAL",
   IF(I2197&lt;=30,I2197*1.15+2,IF(I2197&lt;=80,I2197*1.15+4,IF(I2197&lt;=150,I2197*1.15+6,I2197*1.15+8))),
IF(L2195="COMPLEMENTO",
   IF(I2197&lt;=25,I2197*1.25+1.5,IF(I2197&lt;=60,I2197*1.25+3,IF(I2197&lt;=120,I2197*1.25+4,I2197*1.25+5))),
""))),2)</f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>IF(
OR(
ISNUMBER(SEARCH("BACKPACK",B2199)),
ISNUMBER(SEARCH("MOCHILA",B2199)),
ISNUMBER(SEARCH("FUNDA",B2199)),
ISNUMBER(SEARCH("ESTUCHE",B2199)),
ISNUMBER(SEARCH("BOOK COVER",B2199)),
ISNUMBER(SEARCH("KEYBOARD PARA TABLET",B2199)),
ISNUMBER(SEARCH("FLIP TABLET",B2199)),
ISNUMBER(SEARCH("CASE FOR TABLET",B2199)),
ISNUMBER(SEARCH("CABLE",B2199)),
ISNUMBER(SEARCH("ADAPTADOR",B2199)),
ISNUMBER(SEARCH("HUB",B2199)),
ISNUMBER(SEARCH("DOCK",B2199)),
ISNUMBER(SEARCH("MOUSE PAD",B2199)),
ISNUMBER(SEARCH("MOUSEPAD",B2199)),
ISNUMBER(SEARCH("SOPORTE",B2199)),
ISNUMBER(SEARCH("STAND",B2199)),
ISNUMBER(SEARCH("TRAVEL ADAPTER",B2199)),
ISNUMBER(SEARCH("RJ45",B2199)),
ISNUMBER(SEARCH("USB-C",B2199)),
ISNUMBER(SEARCH("USB WIFI",B2199)),
ISNUMBER(SEARCH("POWERBANK",B2199)),
ISNUMBER(SEARCH("CARGADOR",B2199)),
ISNUMBER(SEARCH("COOLER PARA NB",B2199)),
ISNUMBER(SEARCH("SOPORTE PARA NB",B2199)),
ISNUMBER(SEARCH("WEBCAM",B2199)),
ISNUMBER(SEARCH("WEB CAM",B2199)),
ISNUMBER(SEARCH("MOUSE",B2199)),
ISNUMBER(SEARCH("TECLADO",B2199))
),
"COMPLEMENTO",
IF(
OR(
LEFT(A2199,2)="NB",
LEFT(A2199,2)="PC",
LEFT(A2199,2)="WS",
LEFT(A2199,2)="TB",
LEFT(A2199,3)="CEL",
LEFT(A2199,3)="MON",
LEFT(A2199,3)="PRE",
LEFT(A2199,3)="PRH",
ISNUMBER(SEARCH("NOTEBOOK",B2199)),
ISNUMBER(SEARCH("LAPTOP",B2199)),
ISNUMBER(SEARCH("MONITOR",B2199)),
ISNUMBER(SEARCH("TABLET",B2199)),
ISNUMBER(SEARCH("SMARTPH",B2199)),
ISNUMBER(SEARCH("IMPRESORA",B2199)),
ISNUMBER(SEARCH("MULTIFUNCIONAL",B2199)),
ISNUMBER(SEARCH("AIO",B2199))
),
"GANCHO",
"NORMAL"
)
)</f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>ROUND(
IF(L2196="GANCHO",
   IF(I2198&lt;=50,I2198*1.1+4,IF(I2198&lt;=120,I2198*1.1+7,IF(I2198&lt;=250,I2198*1.1+11,I2198*1.1+19))),
IF(L2196="NORMAL",
   IF(I2198&lt;=30,I2198*1.15+2,IF(I2198&lt;=80,I2198*1.15+4,IF(I2198&lt;=150,I2198*1.15+6,I2198*1.15+8))),
IF(L2196="COMPLEMENTO",
   IF(I2198&lt;=25,I2198*1.25+1.5,IF(I2198&lt;=60,I2198*1.25+3,IF(I2198&lt;=120,I2198*1.25+4,I2198*1.25+5))),
""))),2)</f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>IF(
OR(
ISNUMBER(SEARCH("BACKPACK",B2200)),
ISNUMBER(SEARCH("MOCHILA",B2200)),
ISNUMBER(SEARCH("FUNDA",B2200)),
ISNUMBER(SEARCH("ESTUCHE",B2200)),
ISNUMBER(SEARCH("BOOK COVER",B2200)),
ISNUMBER(SEARCH("KEYBOARD PARA TABLET",B2200)),
ISNUMBER(SEARCH("FLIP TABLET",B2200)),
ISNUMBER(SEARCH("CASE FOR TABLET",B2200)),
ISNUMBER(SEARCH("CABLE",B2200)),
ISNUMBER(SEARCH("ADAPTADOR",B2200)),
ISNUMBER(SEARCH("HUB",B2200)),
ISNUMBER(SEARCH("DOCK",B2200)),
ISNUMBER(SEARCH("MOUSE PAD",B2200)),
ISNUMBER(SEARCH("MOUSEPAD",B2200)),
ISNUMBER(SEARCH("SOPORTE",B2200)),
ISNUMBER(SEARCH("STAND",B2200)),
ISNUMBER(SEARCH("TRAVEL ADAPTER",B2200)),
ISNUMBER(SEARCH("RJ45",B2200)),
ISNUMBER(SEARCH("USB-C",B2200)),
ISNUMBER(SEARCH("USB WIFI",B2200)),
ISNUMBER(SEARCH("POWERBANK",B2200)),
ISNUMBER(SEARCH("CARGADOR",B2200)),
ISNUMBER(SEARCH("COOLER PARA NB",B2200)),
ISNUMBER(SEARCH("SOPORTE PARA NB",B2200)),
ISNUMBER(SEARCH("WEBCAM",B2200)),
ISNUMBER(SEARCH("WEB CAM",B2200)),
ISNUMBER(SEARCH("MOUSE",B2200)),
ISNUMBER(SEARCH("TECLADO",B2200))
),
"COMPLEMENTO",
IF(
OR(
LEFT(A2200,2)="NB",
LEFT(A2200,2)="PC",
LEFT(A2200,2)="WS",
LEFT(A2200,2)="TB",
LEFT(A2200,3)="CEL",
LEFT(A2200,3)="MON",
LEFT(A2200,3)="PRE",
LEFT(A2200,3)="PRH",
ISNUMBER(SEARCH("NOTEBOOK",B2200)),
ISNUMBER(SEARCH("LAPTOP",B2200)),
ISNUMBER(SEARCH("MONITOR",B2200)),
ISNUMBER(SEARCH("TABLET",B2200)),
ISNUMBER(SEARCH("SMARTPH",B2200)),
ISNUMBER(SEARCH("IMPRESORA",B2200)),
ISNUMBER(SEARCH("MULTIFUNCIONAL",B2200)),
ISNUMBER(SEARCH("AIO",B2200))
),
"GANCHO",
"NORMAL"
)
)</f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>ROUND(
IF(L2197="GANCHO",
   IF(I2199&lt;=50,I2199*1.1+4,IF(I2199&lt;=120,I2199*1.1+7,IF(I2199&lt;=250,I2199*1.1+11,I2199*1.1+19))),
IF(L2197="NORMAL",
   IF(I2199&lt;=30,I2199*1.15+2,IF(I2199&lt;=80,I2199*1.15+4,IF(I2199&lt;=150,I2199*1.15+6,I2199*1.15+8))),
IF(L2197="COMPLEMENTO",
   IF(I2199&lt;=25,I2199*1.25+1.5,IF(I2199&lt;=60,I2199*1.25+3,IF(I2199&lt;=120,I2199*1.25+4,I2199*1.25+5))),
""))),2)</f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>IF(
OR(
ISNUMBER(SEARCH("BACKPACK",B2201)),
ISNUMBER(SEARCH("MOCHILA",B2201)),
ISNUMBER(SEARCH("FUNDA",B2201)),
ISNUMBER(SEARCH("ESTUCHE",B2201)),
ISNUMBER(SEARCH("BOOK COVER",B2201)),
ISNUMBER(SEARCH("KEYBOARD PARA TABLET",B2201)),
ISNUMBER(SEARCH("FLIP TABLET",B2201)),
ISNUMBER(SEARCH("CASE FOR TABLET",B2201)),
ISNUMBER(SEARCH("CABLE",B2201)),
ISNUMBER(SEARCH("ADAPTADOR",B2201)),
ISNUMBER(SEARCH("HUB",B2201)),
ISNUMBER(SEARCH("DOCK",B2201)),
ISNUMBER(SEARCH("MOUSE PAD",B2201)),
ISNUMBER(SEARCH("MOUSEPAD",B2201)),
ISNUMBER(SEARCH("SOPORTE",B2201)),
ISNUMBER(SEARCH("STAND",B2201)),
ISNUMBER(SEARCH("TRAVEL ADAPTER",B2201)),
ISNUMBER(SEARCH("RJ45",B2201)),
ISNUMBER(SEARCH("USB-C",B2201)),
ISNUMBER(SEARCH("USB WIFI",B2201)),
ISNUMBER(SEARCH("POWERBANK",B2201)),
ISNUMBER(SEARCH("CARGADOR",B2201)),
ISNUMBER(SEARCH("COOLER PARA NB",B2201)),
ISNUMBER(SEARCH("SOPORTE PARA NB",B2201)),
ISNUMBER(SEARCH("WEBCAM",B2201)),
ISNUMBER(SEARCH("WEB CAM",B2201)),
ISNUMBER(SEARCH("MOUSE",B2201)),
ISNUMBER(SEARCH("TECLADO",B2201))
),
"COMPLEMENTO",
IF(
OR(
LEFT(A2201,2)="NB",
LEFT(A2201,2)="PC",
LEFT(A2201,2)="WS",
LEFT(A2201,2)="TB",
LEFT(A2201,3)="CEL",
LEFT(A2201,3)="MON",
LEFT(A2201,3)="PRE",
LEFT(A2201,3)="PRH",
ISNUMBER(SEARCH("NOTEBOOK",B2201)),
ISNUMBER(SEARCH("LAPTOP",B2201)),
ISNUMBER(SEARCH("MONITOR",B2201)),
ISNUMBER(SEARCH("TABLET",B2201)),
ISNUMBER(SEARCH("SMARTPH",B2201)),
ISNUMBER(SEARCH("IMPRESORA",B2201)),
ISNUMBER(SEARCH("MULTIFUNCIONAL",B2201)),
ISNUMBER(SEARCH("AIO",B2201))
),
"GANCHO",
"NORMAL"
)
)</f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>ROUND(
IF(L2198="GANCHO",
   IF(I2200&lt;=50,I2200*1.1+4,IF(I2200&lt;=120,I2200*1.1+7,IF(I2200&lt;=250,I2200*1.1+11,I2200*1.1+19))),
IF(L2198="NORMAL",
   IF(I2200&lt;=30,I2200*1.15+2,IF(I2200&lt;=80,I2200*1.15+4,IF(I2200&lt;=150,I2200*1.15+6,I2200*1.15+8))),
IF(L2198="COMPLEMENTO",
   IF(I2200&lt;=25,I2200*1.25+1.5,IF(I2200&lt;=60,I2200*1.25+3,IF(I2200&lt;=120,I2200*1.25+4,I2200*1.25+5))),
""))),2)</f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>IF(
OR(
ISNUMBER(SEARCH("BACKPACK",B2202)),
ISNUMBER(SEARCH("MOCHILA",B2202)),
ISNUMBER(SEARCH("FUNDA",B2202)),
ISNUMBER(SEARCH("ESTUCHE",B2202)),
ISNUMBER(SEARCH("BOOK COVER",B2202)),
ISNUMBER(SEARCH("KEYBOARD PARA TABLET",B2202)),
ISNUMBER(SEARCH("FLIP TABLET",B2202)),
ISNUMBER(SEARCH("CASE FOR TABLET",B2202)),
ISNUMBER(SEARCH("CABLE",B2202)),
ISNUMBER(SEARCH("ADAPTADOR",B2202)),
ISNUMBER(SEARCH("HUB",B2202)),
ISNUMBER(SEARCH("DOCK",B2202)),
ISNUMBER(SEARCH("MOUSE PAD",B2202)),
ISNUMBER(SEARCH("MOUSEPAD",B2202)),
ISNUMBER(SEARCH("SOPORTE",B2202)),
ISNUMBER(SEARCH("STAND",B2202)),
ISNUMBER(SEARCH("TRAVEL ADAPTER",B2202)),
ISNUMBER(SEARCH("RJ45",B2202)),
ISNUMBER(SEARCH("USB-C",B2202)),
ISNUMBER(SEARCH("USB WIFI",B2202)),
ISNUMBER(SEARCH("POWERBANK",B2202)),
ISNUMBER(SEARCH("CARGADOR",B2202)),
ISNUMBER(SEARCH("COOLER PARA NB",B2202)),
ISNUMBER(SEARCH("SOPORTE PARA NB",B2202)),
ISNUMBER(SEARCH("WEBCAM",B2202)),
ISNUMBER(SEARCH("WEB CAM",B2202)),
ISNUMBER(SEARCH("MOUSE",B2202)),
ISNUMBER(SEARCH("TECLADO",B2202))
),
"COMPLEMENTO",
IF(
OR(
LEFT(A2202,2)="NB",
LEFT(A2202,2)="PC",
LEFT(A2202,2)="WS",
LEFT(A2202,2)="TB",
LEFT(A2202,3)="CEL",
LEFT(A2202,3)="MON",
LEFT(A2202,3)="PRE",
LEFT(A2202,3)="PRH",
ISNUMBER(SEARCH("NOTEBOOK",B2202)),
ISNUMBER(SEARCH("LAPTOP",B2202)),
ISNUMBER(SEARCH("MONITOR",B2202)),
ISNUMBER(SEARCH("TABLET",B2202)),
ISNUMBER(SEARCH("SMARTPH",B2202)),
ISNUMBER(SEARCH("IMPRESORA",B2202)),
ISNUMBER(SEARCH("MULTIFUNCIONAL",B2202)),
ISNUMBER(SEARCH("AIO",B2202))
),
"GANCHO",
"NORMAL"
)
)</f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>ROUND(
IF(L2199="GANCHO",
   IF(I2201&lt;=50,I2201*1.1+4,IF(I2201&lt;=120,I2201*1.1+7,IF(I2201&lt;=250,I2201*1.1+11,I2201*1.1+19))),
IF(L2199="NORMAL",
   IF(I2201&lt;=30,I2201*1.15+2,IF(I2201&lt;=80,I2201*1.15+4,IF(I2201&lt;=150,I2201*1.15+6,I2201*1.15+8))),
IF(L2199="COMPLEMENTO",
   IF(I2201&lt;=25,I2201*1.25+1.5,IF(I2201&lt;=60,I2201*1.25+3,IF(I2201&lt;=120,I2201*1.25+4,I2201*1.25+5))),
""))),2)</f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>IF(
OR(
ISNUMBER(SEARCH("BACKPACK",B2203)),
ISNUMBER(SEARCH("MOCHILA",B2203)),
ISNUMBER(SEARCH("FUNDA",B2203)),
ISNUMBER(SEARCH("ESTUCHE",B2203)),
ISNUMBER(SEARCH("BOOK COVER",B2203)),
ISNUMBER(SEARCH("KEYBOARD PARA TABLET",B2203)),
ISNUMBER(SEARCH("FLIP TABLET",B2203)),
ISNUMBER(SEARCH("CASE FOR TABLET",B2203)),
ISNUMBER(SEARCH("CABLE",B2203)),
ISNUMBER(SEARCH("ADAPTADOR",B2203)),
ISNUMBER(SEARCH("HUB",B2203)),
ISNUMBER(SEARCH("DOCK",B2203)),
ISNUMBER(SEARCH("MOUSE PAD",B2203)),
ISNUMBER(SEARCH("MOUSEPAD",B2203)),
ISNUMBER(SEARCH("SOPORTE",B2203)),
ISNUMBER(SEARCH("STAND",B2203)),
ISNUMBER(SEARCH("TRAVEL ADAPTER",B2203)),
ISNUMBER(SEARCH("RJ45",B2203)),
ISNUMBER(SEARCH("USB-C",B2203)),
ISNUMBER(SEARCH("USB WIFI",B2203)),
ISNUMBER(SEARCH("POWERBANK",B2203)),
ISNUMBER(SEARCH("CARGADOR",B2203)),
ISNUMBER(SEARCH("COOLER PARA NB",B2203)),
ISNUMBER(SEARCH("SOPORTE PARA NB",B2203)),
ISNUMBER(SEARCH("WEBCAM",B2203)),
ISNUMBER(SEARCH("WEB CAM",B2203)),
ISNUMBER(SEARCH("MOUSE",B2203)),
ISNUMBER(SEARCH("TECLADO",B2203))
),
"COMPLEMENTO",
IF(
OR(
LEFT(A2203,2)="NB",
LEFT(A2203,2)="PC",
LEFT(A2203,2)="WS",
LEFT(A2203,2)="TB",
LEFT(A2203,3)="CEL",
LEFT(A2203,3)="MON",
LEFT(A2203,3)="PRE",
LEFT(A2203,3)="PRH",
ISNUMBER(SEARCH("NOTEBOOK",B2203)),
ISNUMBER(SEARCH("LAPTOP",B2203)),
ISNUMBER(SEARCH("MONITOR",B2203)),
ISNUMBER(SEARCH("TABLET",B2203)),
ISNUMBER(SEARCH("SMARTPH",B2203)),
ISNUMBER(SEARCH("IMPRESORA",B2203)),
ISNUMBER(SEARCH("MULTIFUNCIONAL",B2203)),
ISNUMBER(SEARCH("AIO",B2203))
),
"GANCHO",
"NORMAL"
)
)</f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>ROUND(
IF(L2200="GANCHO",
   IF(I2202&lt;=50,I2202*1.1+4,IF(I2202&lt;=120,I2202*1.1+7,IF(I2202&lt;=250,I2202*1.1+11,I2202*1.1+19))),
IF(L2200="NORMAL",
   IF(I2202&lt;=30,I2202*1.15+2,IF(I2202&lt;=80,I2202*1.15+4,IF(I2202&lt;=150,I2202*1.15+6,I2202*1.15+8))),
IF(L2200="COMPLEMENTO",
   IF(I2202&lt;=25,I2202*1.25+1.5,IF(I2202&lt;=60,I2202*1.25+3,IF(I2202&lt;=120,I2202*1.25+4,I2202*1.25+5))),
""))),2)</f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>IF(
OR(
ISNUMBER(SEARCH("BACKPACK",B2204)),
ISNUMBER(SEARCH("MOCHILA",B2204)),
ISNUMBER(SEARCH("FUNDA",B2204)),
ISNUMBER(SEARCH("ESTUCHE",B2204)),
ISNUMBER(SEARCH("BOOK COVER",B2204)),
ISNUMBER(SEARCH("KEYBOARD PARA TABLET",B2204)),
ISNUMBER(SEARCH("FLIP TABLET",B2204)),
ISNUMBER(SEARCH("CASE FOR TABLET",B2204)),
ISNUMBER(SEARCH("CABLE",B2204)),
ISNUMBER(SEARCH("ADAPTADOR",B2204)),
ISNUMBER(SEARCH("HUB",B2204)),
ISNUMBER(SEARCH("DOCK",B2204)),
ISNUMBER(SEARCH("MOUSE PAD",B2204)),
ISNUMBER(SEARCH("MOUSEPAD",B2204)),
ISNUMBER(SEARCH("SOPORTE",B2204)),
ISNUMBER(SEARCH("STAND",B2204)),
ISNUMBER(SEARCH("TRAVEL ADAPTER",B2204)),
ISNUMBER(SEARCH("RJ45",B2204)),
ISNUMBER(SEARCH("USB-C",B2204)),
ISNUMBER(SEARCH("USB WIFI",B2204)),
ISNUMBER(SEARCH("POWERBANK",B2204)),
ISNUMBER(SEARCH("CARGADOR",B2204)),
ISNUMBER(SEARCH("COOLER PARA NB",B2204)),
ISNUMBER(SEARCH("SOPORTE PARA NB",B2204)),
ISNUMBER(SEARCH("WEBCAM",B2204)),
ISNUMBER(SEARCH("WEB CAM",B2204)),
ISNUMBER(SEARCH("MOUSE",B2204)),
ISNUMBER(SEARCH("TECLADO",B2204))
),
"COMPLEMENTO",
IF(
OR(
LEFT(A2204,2)="NB",
LEFT(A2204,2)="PC",
LEFT(A2204,2)="WS",
LEFT(A2204,2)="TB",
LEFT(A2204,3)="CEL",
LEFT(A2204,3)="MON",
LEFT(A2204,3)="PRE",
LEFT(A2204,3)="PRH",
ISNUMBER(SEARCH("NOTEBOOK",B2204)),
ISNUMBER(SEARCH("LAPTOP",B2204)),
ISNUMBER(SEARCH("MONITOR",B2204)),
ISNUMBER(SEARCH("TABLET",B2204)),
ISNUMBER(SEARCH("SMARTPH",B2204)),
ISNUMBER(SEARCH("IMPRESORA",B2204)),
ISNUMBER(SEARCH("MULTIFUNCIONAL",B2204)),
ISNUMBER(SEARCH("AIO",B2204))
),
"GANCHO",
"NORMAL"
)
)</f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>ROUND(
IF(L2201="GANCHO",
   IF(I2203&lt;=50,I2203*1.1+4,IF(I2203&lt;=120,I2203*1.1+7,IF(I2203&lt;=250,I2203*1.1+11,I2203*1.1+19))),
IF(L2201="NORMAL",
   IF(I2203&lt;=30,I2203*1.15+2,IF(I2203&lt;=80,I2203*1.15+4,IF(I2203&lt;=150,I2203*1.15+6,I2203*1.15+8))),
IF(L2201="COMPLEMENTO",
   IF(I2203&lt;=25,I2203*1.25+1.5,IF(I2203&lt;=60,I2203*1.25+3,IF(I2203&lt;=120,I2203*1.25+4,I2203*1.25+5))),
""))),2)</f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>IF(
OR(
ISNUMBER(SEARCH("BACKPACK",B2205)),
ISNUMBER(SEARCH("MOCHILA",B2205)),
ISNUMBER(SEARCH("FUNDA",B2205)),
ISNUMBER(SEARCH("ESTUCHE",B2205)),
ISNUMBER(SEARCH("BOOK COVER",B2205)),
ISNUMBER(SEARCH("KEYBOARD PARA TABLET",B2205)),
ISNUMBER(SEARCH("FLIP TABLET",B2205)),
ISNUMBER(SEARCH("CASE FOR TABLET",B2205)),
ISNUMBER(SEARCH("CABLE",B2205)),
ISNUMBER(SEARCH("ADAPTADOR",B2205)),
ISNUMBER(SEARCH("HUB",B2205)),
ISNUMBER(SEARCH("DOCK",B2205)),
ISNUMBER(SEARCH("MOUSE PAD",B2205)),
ISNUMBER(SEARCH("MOUSEPAD",B2205)),
ISNUMBER(SEARCH("SOPORTE",B2205)),
ISNUMBER(SEARCH("STAND",B2205)),
ISNUMBER(SEARCH("TRAVEL ADAPTER",B2205)),
ISNUMBER(SEARCH("RJ45",B2205)),
ISNUMBER(SEARCH("USB-C",B2205)),
ISNUMBER(SEARCH("USB WIFI",B2205)),
ISNUMBER(SEARCH("POWERBANK",B2205)),
ISNUMBER(SEARCH("CARGADOR",B2205)),
ISNUMBER(SEARCH("COOLER PARA NB",B2205)),
ISNUMBER(SEARCH("SOPORTE PARA NB",B2205)),
ISNUMBER(SEARCH("WEBCAM",B2205)),
ISNUMBER(SEARCH("WEB CAM",B2205)),
ISNUMBER(SEARCH("MOUSE",B2205)),
ISNUMBER(SEARCH("TECLADO",B2205))
),
"COMPLEMENTO",
IF(
OR(
LEFT(A2205,2)="NB",
LEFT(A2205,2)="PC",
LEFT(A2205,2)="WS",
LEFT(A2205,2)="TB",
LEFT(A2205,3)="CEL",
LEFT(A2205,3)="MON",
LEFT(A2205,3)="PRE",
LEFT(A2205,3)="PRH",
ISNUMBER(SEARCH("NOTEBOOK",B2205)),
ISNUMBER(SEARCH("LAPTOP",B2205)),
ISNUMBER(SEARCH("MONITOR",B2205)),
ISNUMBER(SEARCH("TABLET",B2205)),
ISNUMBER(SEARCH("SMARTPH",B2205)),
ISNUMBER(SEARCH("IMPRESORA",B2205)),
ISNUMBER(SEARCH("MULTIFUNCIONAL",B2205)),
ISNUMBER(SEARCH("AIO",B2205))
),
"GANCHO",
"NORMAL"
)
)</f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>ROUND(
IF(L2202="GANCHO",
   IF(I2204&lt;=50,I2204*1.1+4,IF(I2204&lt;=120,I2204*1.1+7,IF(I2204&lt;=250,I2204*1.1+11,I2204*1.1+19))),
IF(L2202="NORMAL",
   IF(I2204&lt;=30,I2204*1.15+2,IF(I2204&lt;=80,I2204*1.15+4,IF(I2204&lt;=150,I2204*1.15+6,I2204*1.15+8))),
IF(L2202="COMPLEMENTO",
   IF(I2204&lt;=25,I2204*1.25+1.5,IF(I2204&lt;=60,I2204*1.25+3,IF(I2204&lt;=120,I2204*1.25+4,I2204*1.25+5))),
""))),2)</f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>IF(
OR(
ISNUMBER(SEARCH("BACKPACK",B2206)),
ISNUMBER(SEARCH("MOCHILA",B2206)),
ISNUMBER(SEARCH("FUNDA",B2206)),
ISNUMBER(SEARCH("ESTUCHE",B2206)),
ISNUMBER(SEARCH("BOOK COVER",B2206)),
ISNUMBER(SEARCH("KEYBOARD PARA TABLET",B2206)),
ISNUMBER(SEARCH("FLIP TABLET",B2206)),
ISNUMBER(SEARCH("CASE FOR TABLET",B2206)),
ISNUMBER(SEARCH("CABLE",B2206)),
ISNUMBER(SEARCH("ADAPTADOR",B2206)),
ISNUMBER(SEARCH("HUB",B2206)),
ISNUMBER(SEARCH("DOCK",B2206)),
ISNUMBER(SEARCH("MOUSE PAD",B2206)),
ISNUMBER(SEARCH("MOUSEPAD",B2206)),
ISNUMBER(SEARCH("SOPORTE",B2206)),
ISNUMBER(SEARCH("STAND",B2206)),
ISNUMBER(SEARCH("TRAVEL ADAPTER",B2206)),
ISNUMBER(SEARCH("RJ45",B2206)),
ISNUMBER(SEARCH("USB-C",B2206)),
ISNUMBER(SEARCH("USB WIFI",B2206)),
ISNUMBER(SEARCH("POWERBANK",B2206)),
ISNUMBER(SEARCH("CARGADOR",B2206)),
ISNUMBER(SEARCH("COOLER PARA NB",B2206)),
ISNUMBER(SEARCH("SOPORTE PARA NB",B2206)),
ISNUMBER(SEARCH("WEBCAM",B2206)),
ISNUMBER(SEARCH("WEB CAM",B2206)),
ISNUMBER(SEARCH("MOUSE",B2206)),
ISNUMBER(SEARCH("TECLADO",B2206))
),
"COMPLEMENTO",
IF(
OR(
LEFT(A2206,2)="NB",
LEFT(A2206,2)="PC",
LEFT(A2206,2)="WS",
LEFT(A2206,2)="TB",
LEFT(A2206,3)="CEL",
LEFT(A2206,3)="MON",
LEFT(A2206,3)="PRE",
LEFT(A2206,3)="PRH",
ISNUMBER(SEARCH("NOTEBOOK",B2206)),
ISNUMBER(SEARCH("LAPTOP",B2206)),
ISNUMBER(SEARCH("MONITOR",B2206)),
ISNUMBER(SEARCH("TABLET",B2206)),
ISNUMBER(SEARCH("SMARTPH",B2206)),
ISNUMBER(SEARCH("IMPRESORA",B2206)),
ISNUMBER(SEARCH("MULTIFUNCIONAL",B2206)),
ISNUMBER(SEARCH("AIO",B2206))
),
"GANCHO",
"NORMAL"
)
)</f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>ROUND(
IF(L2203="GANCHO",
   IF(I2205&lt;=50,I2205*1.1+4,IF(I2205&lt;=120,I2205*1.1+7,IF(I2205&lt;=250,I2205*1.1+11,I2205*1.1+19))),
IF(L2203="NORMAL",
   IF(I2205&lt;=30,I2205*1.15+2,IF(I2205&lt;=80,I2205*1.15+4,IF(I2205&lt;=150,I2205*1.15+6,I2205*1.15+8))),
IF(L2203="COMPLEMENTO",
   IF(I2205&lt;=25,I2205*1.25+1.5,IF(I2205&lt;=60,I2205*1.25+3,IF(I2205&lt;=120,I2205*1.25+4,I2205*1.25+5))),
""))),2)</f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>IF(
OR(
ISNUMBER(SEARCH("BACKPACK",B2207)),
ISNUMBER(SEARCH("MOCHILA",B2207)),
ISNUMBER(SEARCH("FUNDA",B2207)),
ISNUMBER(SEARCH("ESTUCHE",B2207)),
ISNUMBER(SEARCH("BOOK COVER",B2207)),
ISNUMBER(SEARCH("KEYBOARD PARA TABLET",B2207)),
ISNUMBER(SEARCH("FLIP TABLET",B2207)),
ISNUMBER(SEARCH("CASE FOR TABLET",B2207)),
ISNUMBER(SEARCH("CABLE",B2207)),
ISNUMBER(SEARCH("ADAPTADOR",B2207)),
ISNUMBER(SEARCH("HUB",B2207)),
ISNUMBER(SEARCH("DOCK",B2207)),
ISNUMBER(SEARCH("MOUSE PAD",B2207)),
ISNUMBER(SEARCH("MOUSEPAD",B2207)),
ISNUMBER(SEARCH("SOPORTE",B2207)),
ISNUMBER(SEARCH("STAND",B2207)),
ISNUMBER(SEARCH("TRAVEL ADAPTER",B2207)),
ISNUMBER(SEARCH("RJ45",B2207)),
ISNUMBER(SEARCH("USB-C",B2207)),
ISNUMBER(SEARCH("USB WIFI",B2207)),
ISNUMBER(SEARCH("POWERBANK",B2207)),
ISNUMBER(SEARCH("CARGADOR",B2207)),
ISNUMBER(SEARCH("COOLER PARA NB",B2207)),
ISNUMBER(SEARCH("SOPORTE PARA NB",B2207)),
ISNUMBER(SEARCH("WEBCAM",B2207)),
ISNUMBER(SEARCH("WEB CAM",B2207)),
ISNUMBER(SEARCH("MOUSE",B2207)),
ISNUMBER(SEARCH("TECLADO",B2207))
),
"COMPLEMENTO",
IF(
OR(
LEFT(A2207,2)="NB",
LEFT(A2207,2)="PC",
LEFT(A2207,2)="WS",
LEFT(A2207,2)="TB",
LEFT(A2207,3)="CEL",
LEFT(A2207,3)="MON",
LEFT(A2207,3)="PRE",
LEFT(A2207,3)="PRH",
ISNUMBER(SEARCH("NOTEBOOK",B2207)),
ISNUMBER(SEARCH("LAPTOP",B2207)),
ISNUMBER(SEARCH("MONITOR",B2207)),
ISNUMBER(SEARCH("TABLET",B2207)),
ISNUMBER(SEARCH("SMARTPH",B2207)),
ISNUMBER(SEARCH("IMPRESORA",B2207)),
ISNUMBER(SEARCH("MULTIFUNCIONAL",B2207)),
ISNUMBER(SEARCH("AIO",B2207))
),
"GANCHO",
"NORMAL"
)
)</f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>ROUND(
IF(L2204="GANCHO",
   IF(I2206&lt;=50,I2206*1.1+4,IF(I2206&lt;=120,I2206*1.1+7,IF(I2206&lt;=250,I2206*1.1+11,I2206*1.1+19))),
IF(L2204="NORMAL",
   IF(I2206&lt;=30,I2206*1.15+2,IF(I2206&lt;=80,I2206*1.15+4,IF(I2206&lt;=150,I2206*1.15+6,I2206*1.15+8))),
IF(L2204="COMPLEMENTO",
   IF(I2206&lt;=25,I2206*1.25+1.5,IF(I2206&lt;=60,I2206*1.25+3,IF(I2206&lt;=120,I2206*1.25+4,I2206*1.25+5))),
""))),2)</f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>IF(
OR(
ISNUMBER(SEARCH("BACKPACK",B2208)),
ISNUMBER(SEARCH("MOCHILA",B2208)),
ISNUMBER(SEARCH("FUNDA",B2208)),
ISNUMBER(SEARCH("ESTUCHE",B2208)),
ISNUMBER(SEARCH("BOOK COVER",B2208)),
ISNUMBER(SEARCH("KEYBOARD PARA TABLET",B2208)),
ISNUMBER(SEARCH("FLIP TABLET",B2208)),
ISNUMBER(SEARCH("CASE FOR TABLET",B2208)),
ISNUMBER(SEARCH("CABLE",B2208)),
ISNUMBER(SEARCH("ADAPTADOR",B2208)),
ISNUMBER(SEARCH("HUB",B2208)),
ISNUMBER(SEARCH("DOCK",B2208)),
ISNUMBER(SEARCH("MOUSE PAD",B2208)),
ISNUMBER(SEARCH("MOUSEPAD",B2208)),
ISNUMBER(SEARCH("SOPORTE",B2208)),
ISNUMBER(SEARCH("STAND",B2208)),
ISNUMBER(SEARCH("TRAVEL ADAPTER",B2208)),
ISNUMBER(SEARCH("RJ45",B2208)),
ISNUMBER(SEARCH("USB-C",B2208)),
ISNUMBER(SEARCH("USB WIFI",B2208)),
ISNUMBER(SEARCH("POWERBANK",B2208)),
ISNUMBER(SEARCH("CARGADOR",B2208)),
ISNUMBER(SEARCH("COOLER PARA NB",B2208)),
ISNUMBER(SEARCH("SOPORTE PARA NB",B2208)),
ISNUMBER(SEARCH("WEBCAM",B2208)),
ISNUMBER(SEARCH("WEB CAM",B2208)),
ISNUMBER(SEARCH("MOUSE",B2208)),
ISNUMBER(SEARCH("TECLADO",B2208))
),
"COMPLEMENTO",
IF(
OR(
LEFT(A2208,2)="NB",
LEFT(A2208,2)="PC",
LEFT(A2208,2)="WS",
LEFT(A2208,2)="TB",
LEFT(A2208,3)="CEL",
LEFT(A2208,3)="MON",
LEFT(A2208,3)="PRE",
LEFT(A2208,3)="PRH",
ISNUMBER(SEARCH("NOTEBOOK",B2208)),
ISNUMBER(SEARCH("LAPTOP",B2208)),
ISNUMBER(SEARCH("MONITOR",B2208)),
ISNUMBER(SEARCH("TABLET",B2208)),
ISNUMBER(SEARCH("SMARTPH",B2208)),
ISNUMBER(SEARCH("IMPRESORA",B2208)),
ISNUMBER(SEARCH("MULTIFUNCIONAL",B2208)),
ISNUMBER(SEARCH("AIO",B2208))
),
"GANCHO",
"NORMAL"
)
)</f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>ROUND(
IF(L2205="GANCHO",
   IF(I2207&lt;=50,I2207*1.1+4,IF(I2207&lt;=120,I2207*1.1+7,IF(I2207&lt;=250,I2207*1.1+11,I2207*1.1+19))),
IF(L2205="NORMAL",
   IF(I2207&lt;=30,I2207*1.15+2,IF(I2207&lt;=80,I2207*1.15+4,IF(I2207&lt;=150,I2207*1.15+6,I2207*1.15+8))),
IF(L2205="COMPLEMENTO",
   IF(I2207&lt;=25,I2207*1.25+1.5,IF(I2207&lt;=60,I2207*1.25+3,IF(I2207&lt;=120,I2207*1.25+4,I2207*1.25+5))),
""))),2)</f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>IF(
OR(
ISNUMBER(SEARCH("BACKPACK",B2209)),
ISNUMBER(SEARCH("MOCHILA",B2209)),
ISNUMBER(SEARCH("FUNDA",B2209)),
ISNUMBER(SEARCH("ESTUCHE",B2209)),
ISNUMBER(SEARCH("BOOK COVER",B2209)),
ISNUMBER(SEARCH("KEYBOARD PARA TABLET",B2209)),
ISNUMBER(SEARCH("FLIP TABLET",B2209)),
ISNUMBER(SEARCH("CASE FOR TABLET",B2209)),
ISNUMBER(SEARCH("CABLE",B2209)),
ISNUMBER(SEARCH("ADAPTADOR",B2209)),
ISNUMBER(SEARCH("HUB",B2209)),
ISNUMBER(SEARCH("DOCK",B2209)),
ISNUMBER(SEARCH("MOUSE PAD",B2209)),
ISNUMBER(SEARCH("MOUSEPAD",B2209)),
ISNUMBER(SEARCH("SOPORTE",B2209)),
ISNUMBER(SEARCH("STAND",B2209)),
ISNUMBER(SEARCH("TRAVEL ADAPTER",B2209)),
ISNUMBER(SEARCH("RJ45",B2209)),
ISNUMBER(SEARCH("USB-C",B2209)),
ISNUMBER(SEARCH("USB WIFI",B2209)),
ISNUMBER(SEARCH("POWERBANK",B2209)),
ISNUMBER(SEARCH("CARGADOR",B2209)),
ISNUMBER(SEARCH("COOLER PARA NB",B2209)),
ISNUMBER(SEARCH("SOPORTE PARA NB",B2209)),
ISNUMBER(SEARCH("WEBCAM",B2209)),
ISNUMBER(SEARCH("WEB CAM",B2209)),
ISNUMBER(SEARCH("MOUSE",B2209)),
ISNUMBER(SEARCH("TECLADO",B2209))
),
"COMPLEMENTO",
IF(
OR(
LEFT(A2209,2)="NB",
LEFT(A2209,2)="PC",
LEFT(A2209,2)="WS",
LEFT(A2209,2)="TB",
LEFT(A2209,3)="CEL",
LEFT(A2209,3)="MON",
LEFT(A2209,3)="PRE",
LEFT(A2209,3)="PRH",
ISNUMBER(SEARCH("NOTEBOOK",B2209)),
ISNUMBER(SEARCH("LAPTOP",B2209)),
ISNUMBER(SEARCH("MONITOR",B2209)),
ISNUMBER(SEARCH("TABLET",B2209)),
ISNUMBER(SEARCH("SMARTPH",B2209)),
ISNUMBER(SEARCH("IMPRESORA",B2209)),
ISNUMBER(SEARCH("MULTIFUNCIONAL",B2209)),
ISNUMBER(SEARCH("AIO",B2209))
),
"GANCHO",
"NORMAL"
)
)</f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>ROUND(
IF(L2206="GANCHO",
   IF(I2208&lt;=50,I2208*1.1+4,IF(I2208&lt;=120,I2208*1.1+7,IF(I2208&lt;=250,I2208*1.1+11,I2208*1.1+19))),
IF(L2206="NORMAL",
   IF(I2208&lt;=30,I2208*1.15+2,IF(I2208&lt;=80,I2208*1.15+4,IF(I2208&lt;=150,I2208*1.15+6,I2208*1.15+8))),
IF(L2206="COMPLEMENTO",
   IF(I2208&lt;=25,I2208*1.25+1.5,IF(I2208&lt;=60,I2208*1.25+3,IF(I2208&lt;=120,I2208*1.25+4,I2208*1.25+5))),
""))),2)</f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>IF(
OR(
ISNUMBER(SEARCH("BACKPACK",B2210)),
ISNUMBER(SEARCH("MOCHILA",B2210)),
ISNUMBER(SEARCH("FUNDA",B2210)),
ISNUMBER(SEARCH("ESTUCHE",B2210)),
ISNUMBER(SEARCH("BOOK COVER",B2210)),
ISNUMBER(SEARCH("KEYBOARD PARA TABLET",B2210)),
ISNUMBER(SEARCH("FLIP TABLET",B2210)),
ISNUMBER(SEARCH("CASE FOR TABLET",B2210)),
ISNUMBER(SEARCH("CABLE",B2210)),
ISNUMBER(SEARCH("ADAPTADOR",B2210)),
ISNUMBER(SEARCH("HUB",B2210)),
ISNUMBER(SEARCH("DOCK",B2210)),
ISNUMBER(SEARCH("MOUSE PAD",B2210)),
ISNUMBER(SEARCH("MOUSEPAD",B2210)),
ISNUMBER(SEARCH("SOPORTE",B2210)),
ISNUMBER(SEARCH("STAND",B2210)),
ISNUMBER(SEARCH("TRAVEL ADAPTER",B2210)),
ISNUMBER(SEARCH("RJ45",B2210)),
ISNUMBER(SEARCH("USB-C",B2210)),
ISNUMBER(SEARCH("USB WIFI",B2210)),
ISNUMBER(SEARCH("POWERBANK",B2210)),
ISNUMBER(SEARCH("CARGADOR",B2210)),
ISNUMBER(SEARCH("COOLER PARA NB",B2210)),
ISNUMBER(SEARCH("SOPORTE PARA NB",B2210)),
ISNUMBER(SEARCH("WEBCAM",B2210)),
ISNUMBER(SEARCH("WEB CAM",B2210)),
ISNUMBER(SEARCH("MOUSE",B2210)),
ISNUMBER(SEARCH("TECLADO",B2210))
),
"COMPLEMENTO",
IF(
OR(
LEFT(A2210,2)="NB",
LEFT(A2210,2)="PC",
LEFT(A2210,2)="WS",
LEFT(A2210,2)="TB",
LEFT(A2210,3)="CEL",
LEFT(A2210,3)="MON",
LEFT(A2210,3)="PRE",
LEFT(A2210,3)="PRH",
ISNUMBER(SEARCH("NOTEBOOK",B2210)),
ISNUMBER(SEARCH("LAPTOP",B2210)),
ISNUMBER(SEARCH("MONITOR",B2210)),
ISNUMBER(SEARCH("TABLET",B2210)),
ISNUMBER(SEARCH("SMARTPH",B2210)),
ISNUMBER(SEARCH("IMPRESORA",B2210)),
ISNUMBER(SEARCH("MULTIFUNCIONAL",B2210)),
ISNUMBER(SEARCH("AIO",B2210))
),
"GANCHO",
"NORMAL"
)
)</f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>ROUND(
IF(L2207="GANCHO",
   IF(I2209&lt;=50,I2209*1.1+4,IF(I2209&lt;=120,I2209*1.1+7,IF(I2209&lt;=250,I2209*1.1+11,I2209*1.1+19))),
IF(L2207="NORMAL",
   IF(I2209&lt;=30,I2209*1.15+2,IF(I2209&lt;=80,I2209*1.15+4,IF(I2209&lt;=150,I2209*1.15+6,I2209*1.15+8))),
IF(L2207="COMPLEMENTO",
   IF(I2209&lt;=25,I2209*1.25+1.5,IF(I2209&lt;=60,I2209*1.25+3,IF(I2209&lt;=120,I2209*1.25+4,I2209*1.25+5))),
""))),2)</f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>IF(
OR(
ISNUMBER(SEARCH("BACKPACK",B2211)),
ISNUMBER(SEARCH("MOCHILA",B2211)),
ISNUMBER(SEARCH("FUNDA",B2211)),
ISNUMBER(SEARCH("ESTUCHE",B2211)),
ISNUMBER(SEARCH("BOOK COVER",B2211)),
ISNUMBER(SEARCH("KEYBOARD PARA TABLET",B2211)),
ISNUMBER(SEARCH("FLIP TABLET",B2211)),
ISNUMBER(SEARCH("CASE FOR TABLET",B2211)),
ISNUMBER(SEARCH("CABLE",B2211)),
ISNUMBER(SEARCH("ADAPTADOR",B2211)),
ISNUMBER(SEARCH("HUB",B2211)),
ISNUMBER(SEARCH("DOCK",B2211)),
ISNUMBER(SEARCH("MOUSE PAD",B2211)),
ISNUMBER(SEARCH("MOUSEPAD",B2211)),
ISNUMBER(SEARCH("SOPORTE",B2211)),
ISNUMBER(SEARCH("STAND",B2211)),
ISNUMBER(SEARCH("TRAVEL ADAPTER",B2211)),
ISNUMBER(SEARCH("RJ45",B2211)),
ISNUMBER(SEARCH("USB-C",B2211)),
ISNUMBER(SEARCH("USB WIFI",B2211)),
ISNUMBER(SEARCH("POWERBANK",B2211)),
ISNUMBER(SEARCH("CARGADOR",B2211)),
ISNUMBER(SEARCH("COOLER PARA NB",B2211)),
ISNUMBER(SEARCH("SOPORTE PARA NB",B2211)),
ISNUMBER(SEARCH("WEBCAM",B2211)),
ISNUMBER(SEARCH("WEB CAM",B2211)),
ISNUMBER(SEARCH("MOUSE",B2211)),
ISNUMBER(SEARCH("TECLADO",B2211))
),
"COMPLEMENTO",
IF(
OR(
LEFT(A2211,2)="NB",
LEFT(A2211,2)="PC",
LEFT(A2211,2)="WS",
LEFT(A2211,2)="TB",
LEFT(A2211,3)="CEL",
LEFT(A2211,3)="MON",
LEFT(A2211,3)="PRE",
LEFT(A2211,3)="PRH",
ISNUMBER(SEARCH("NOTEBOOK",B2211)),
ISNUMBER(SEARCH("LAPTOP",B2211)),
ISNUMBER(SEARCH("MONITOR",B2211)),
ISNUMBER(SEARCH("TABLET",B2211)),
ISNUMBER(SEARCH("SMARTPH",B2211)),
ISNUMBER(SEARCH("IMPRESORA",B2211)),
ISNUMBER(SEARCH("MULTIFUNCIONAL",B2211)),
ISNUMBER(SEARCH("AIO",B2211))
),
"GANCHO",
"NORMAL"
)
)</f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>ROUND(
IF(L2208="GANCHO",
   IF(I2210&lt;=50,I2210*1.1+4,IF(I2210&lt;=120,I2210*1.1+7,IF(I2210&lt;=250,I2210*1.1+11,I2210*1.1+19))),
IF(L2208="NORMAL",
   IF(I2210&lt;=30,I2210*1.15+2,IF(I2210&lt;=80,I2210*1.15+4,IF(I2210&lt;=150,I2210*1.15+6,I2210*1.15+8))),
IF(L2208="COMPLEMENTO",
   IF(I2210&lt;=25,I2210*1.25+1.5,IF(I2210&lt;=60,I2210*1.25+3,IF(I2210&lt;=120,I2210*1.25+4,I2210*1.25+5))),
""))),2)</f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>IF(
OR(
ISNUMBER(SEARCH("BACKPACK",B2212)),
ISNUMBER(SEARCH("MOCHILA",B2212)),
ISNUMBER(SEARCH("FUNDA",B2212)),
ISNUMBER(SEARCH("ESTUCHE",B2212)),
ISNUMBER(SEARCH("BOOK COVER",B2212)),
ISNUMBER(SEARCH("KEYBOARD PARA TABLET",B2212)),
ISNUMBER(SEARCH("FLIP TABLET",B2212)),
ISNUMBER(SEARCH("CASE FOR TABLET",B2212)),
ISNUMBER(SEARCH("CABLE",B2212)),
ISNUMBER(SEARCH("ADAPTADOR",B2212)),
ISNUMBER(SEARCH("HUB",B2212)),
ISNUMBER(SEARCH("DOCK",B2212)),
ISNUMBER(SEARCH("MOUSE PAD",B2212)),
ISNUMBER(SEARCH("MOUSEPAD",B2212)),
ISNUMBER(SEARCH("SOPORTE",B2212)),
ISNUMBER(SEARCH("STAND",B2212)),
ISNUMBER(SEARCH("TRAVEL ADAPTER",B2212)),
ISNUMBER(SEARCH("RJ45",B2212)),
ISNUMBER(SEARCH("USB-C",B2212)),
ISNUMBER(SEARCH("USB WIFI",B2212)),
ISNUMBER(SEARCH("POWERBANK",B2212)),
ISNUMBER(SEARCH("CARGADOR",B2212)),
ISNUMBER(SEARCH("COOLER PARA NB",B2212)),
ISNUMBER(SEARCH("SOPORTE PARA NB",B2212)),
ISNUMBER(SEARCH("WEBCAM",B2212)),
ISNUMBER(SEARCH("WEB CAM",B2212)),
ISNUMBER(SEARCH("MOUSE",B2212)),
ISNUMBER(SEARCH("TECLADO",B2212))
),
"COMPLEMENTO",
IF(
OR(
LEFT(A2212,2)="NB",
LEFT(A2212,2)="PC",
LEFT(A2212,2)="WS",
LEFT(A2212,2)="TB",
LEFT(A2212,3)="CEL",
LEFT(A2212,3)="MON",
LEFT(A2212,3)="PRE",
LEFT(A2212,3)="PRH",
ISNUMBER(SEARCH("NOTEBOOK",B2212)),
ISNUMBER(SEARCH("LAPTOP",B2212)),
ISNUMBER(SEARCH("MONITOR",B2212)),
ISNUMBER(SEARCH("TABLET",B2212)),
ISNUMBER(SEARCH("SMARTPH",B2212)),
ISNUMBER(SEARCH("IMPRESORA",B2212)),
ISNUMBER(SEARCH("MULTIFUNCIONAL",B2212)),
ISNUMBER(SEARCH("AIO",B2212))
),
"GANCHO",
"NORMAL"
)
)</f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>ROUND(
IF(L2209="GANCHO",
   IF(I2211&lt;=50,I2211*1.1+4,IF(I2211&lt;=120,I2211*1.1+7,IF(I2211&lt;=250,I2211*1.1+11,I2211*1.1+19))),
IF(L2209="NORMAL",
   IF(I2211&lt;=30,I2211*1.15+2,IF(I2211&lt;=80,I2211*1.15+4,IF(I2211&lt;=150,I2211*1.15+6,I2211*1.15+8))),
IF(L2209="COMPLEMENTO",
   IF(I2211&lt;=25,I2211*1.25+1.5,IF(I2211&lt;=60,I2211*1.25+3,IF(I2211&lt;=120,I2211*1.25+4,I2211*1.25+5))),
""))),2)</f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>IF(
OR(
ISNUMBER(SEARCH("BACKPACK",B2213)),
ISNUMBER(SEARCH("MOCHILA",B2213)),
ISNUMBER(SEARCH("FUNDA",B2213)),
ISNUMBER(SEARCH("ESTUCHE",B2213)),
ISNUMBER(SEARCH("BOOK COVER",B2213)),
ISNUMBER(SEARCH("KEYBOARD PARA TABLET",B2213)),
ISNUMBER(SEARCH("FLIP TABLET",B2213)),
ISNUMBER(SEARCH("CASE FOR TABLET",B2213)),
ISNUMBER(SEARCH("CABLE",B2213)),
ISNUMBER(SEARCH("ADAPTADOR",B2213)),
ISNUMBER(SEARCH("HUB",B2213)),
ISNUMBER(SEARCH("DOCK",B2213)),
ISNUMBER(SEARCH("MOUSE PAD",B2213)),
ISNUMBER(SEARCH("MOUSEPAD",B2213)),
ISNUMBER(SEARCH("SOPORTE",B2213)),
ISNUMBER(SEARCH("STAND",B2213)),
ISNUMBER(SEARCH("TRAVEL ADAPTER",B2213)),
ISNUMBER(SEARCH("RJ45",B2213)),
ISNUMBER(SEARCH("USB-C",B2213)),
ISNUMBER(SEARCH("USB WIFI",B2213)),
ISNUMBER(SEARCH("POWERBANK",B2213)),
ISNUMBER(SEARCH("CARGADOR",B2213)),
ISNUMBER(SEARCH("COOLER PARA NB",B2213)),
ISNUMBER(SEARCH("SOPORTE PARA NB",B2213)),
ISNUMBER(SEARCH("WEBCAM",B2213)),
ISNUMBER(SEARCH("WEB CAM",B2213)),
ISNUMBER(SEARCH("MOUSE",B2213)),
ISNUMBER(SEARCH("TECLADO",B2213))
),
"COMPLEMENTO",
IF(
OR(
LEFT(A2213,2)="NB",
LEFT(A2213,2)="PC",
LEFT(A2213,2)="WS",
LEFT(A2213,2)="TB",
LEFT(A2213,3)="CEL",
LEFT(A2213,3)="MON",
LEFT(A2213,3)="PRE",
LEFT(A2213,3)="PRH",
ISNUMBER(SEARCH("NOTEBOOK",B2213)),
ISNUMBER(SEARCH("LAPTOP",B2213)),
ISNUMBER(SEARCH("MONITOR",B2213)),
ISNUMBER(SEARCH("TABLET",B2213)),
ISNUMBER(SEARCH("SMARTPH",B2213)),
ISNUMBER(SEARCH("IMPRESORA",B2213)),
ISNUMBER(SEARCH("MULTIFUNCIONAL",B2213)),
ISNUMBER(SEARCH("AIO",B2213))
),
"GANCHO",
"NORMAL"
)
)</f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>ROUND(
IF(L2210="GANCHO",
   IF(I2212&lt;=50,I2212*1.1+4,IF(I2212&lt;=120,I2212*1.1+7,IF(I2212&lt;=250,I2212*1.1+11,I2212*1.1+19))),
IF(L2210="NORMAL",
   IF(I2212&lt;=30,I2212*1.15+2,IF(I2212&lt;=80,I2212*1.15+4,IF(I2212&lt;=150,I2212*1.15+6,I2212*1.15+8))),
IF(L2210="COMPLEMENTO",
   IF(I2212&lt;=25,I2212*1.25+1.5,IF(I2212&lt;=60,I2212*1.25+3,IF(I2212&lt;=120,I2212*1.25+4,I2212*1.25+5))),
""))),2)</f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>IF(
OR(
ISNUMBER(SEARCH("BACKPACK",B2214)),
ISNUMBER(SEARCH("MOCHILA",B2214)),
ISNUMBER(SEARCH("FUNDA",B2214)),
ISNUMBER(SEARCH("ESTUCHE",B2214)),
ISNUMBER(SEARCH("BOOK COVER",B2214)),
ISNUMBER(SEARCH("KEYBOARD PARA TABLET",B2214)),
ISNUMBER(SEARCH("FLIP TABLET",B2214)),
ISNUMBER(SEARCH("CASE FOR TABLET",B2214)),
ISNUMBER(SEARCH("CABLE",B2214)),
ISNUMBER(SEARCH("ADAPTADOR",B2214)),
ISNUMBER(SEARCH("HUB",B2214)),
ISNUMBER(SEARCH("DOCK",B2214)),
ISNUMBER(SEARCH("MOUSE PAD",B2214)),
ISNUMBER(SEARCH("MOUSEPAD",B2214)),
ISNUMBER(SEARCH("SOPORTE",B2214)),
ISNUMBER(SEARCH("STAND",B2214)),
ISNUMBER(SEARCH("TRAVEL ADAPTER",B2214)),
ISNUMBER(SEARCH("RJ45",B2214)),
ISNUMBER(SEARCH("USB-C",B2214)),
ISNUMBER(SEARCH("USB WIFI",B2214)),
ISNUMBER(SEARCH("POWERBANK",B2214)),
ISNUMBER(SEARCH("CARGADOR",B2214)),
ISNUMBER(SEARCH("COOLER PARA NB",B2214)),
ISNUMBER(SEARCH("SOPORTE PARA NB",B2214)),
ISNUMBER(SEARCH("WEBCAM",B2214)),
ISNUMBER(SEARCH("WEB CAM",B2214)),
ISNUMBER(SEARCH("MOUSE",B2214)),
ISNUMBER(SEARCH("TECLADO",B2214))
),
"COMPLEMENTO",
IF(
OR(
LEFT(A2214,2)="NB",
LEFT(A2214,2)="PC",
LEFT(A2214,2)="WS",
LEFT(A2214,2)="TB",
LEFT(A2214,3)="CEL",
LEFT(A2214,3)="MON",
LEFT(A2214,3)="PRE",
LEFT(A2214,3)="PRH",
ISNUMBER(SEARCH("NOTEBOOK",B2214)),
ISNUMBER(SEARCH("LAPTOP",B2214)),
ISNUMBER(SEARCH("MONITOR",B2214)),
ISNUMBER(SEARCH("TABLET",B2214)),
ISNUMBER(SEARCH("SMARTPH",B2214)),
ISNUMBER(SEARCH("IMPRESORA",B2214)),
ISNUMBER(SEARCH("MULTIFUNCIONAL",B2214)),
ISNUMBER(SEARCH("AIO",B2214))
),
"GANCHO",
"NORMAL"
)
)</f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>ROUND(
IF(L2211="GANCHO",
   IF(I2213&lt;=50,I2213*1.1+4,IF(I2213&lt;=120,I2213*1.1+7,IF(I2213&lt;=250,I2213*1.1+11,I2213*1.1+19))),
IF(L2211="NORMAL",
   IF(I2213&lt;=30,I2213*1.15+2,IF(I2213&lt;=80,I2213*1.15+4,IF(I2213&lt;=150,I2213*1.15+6,I2213*1.15+8))),
IF(L2211="COMPLEMENTO",
   IF(I2213&lt;=25,I2213*1.25+1.5,IF(I2213&lt;=60,I2213*1.25+3,IF(I2213&lt;=120,I2213*1.25+4,I2213*1.25+5))),
""))),2)</f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>IF(
OR(
ISNUMBER(SEARCH("BACKPACK",B2215)),
ISNUMBER(SEARCH("MOCHILA",B2215)),
ISNUMBER(SEARCH("FUNDA",B2215)),
ISNUMBER(SEARCH("ESTUCHE",B2215)),
ISNUMBER(SEARCH("BOOK COVER",B2215)),
ISNUMBER(SEARCH("KEYBOARD PARA TABLET",B2215)),
ISNUMBER(SEARCH("FLIP TABLET",B2215)),
ISNUMBER(SEARCH("CASE FOR TABLET",B2215)),
ISNUMBER(SEARCH("CABLE",B2215)),
ISNUMBER(SEARCH("ADAPTADOR",B2215)),
ISNUMBER(SEARCH("HUB",B2215)),
ISNUMBER(SEARCH("DOCK",B2215)),
ISNUMBER(SEARCH("MOUSE PAD",B2215)),
ISNUMBER(SEARCH("MOUSEPAD",B2215)),
ISNUMBER(SEARCH("SOPORTE",B2215)),
ISNUMBER(SEARCH("STAND",B2215)),
ISNUMBER(SEARCH("TRAVEL ADAPTER",B2215)),
ISNUMBER(SEARCH("RJ45",B2215)),
ISNUMBER(SEARCH("USB-C",B2215)),
ISNUMBER(SEARCH("USB WIFI",B2215)),
ISNUMBER(SEARCH("POWERBANK",B2215)),
ISNUMBER(SEARCH("CARGADOR",B2215)),
ISNUMBER(SEARCH("COOLER PARA NB",B2215)),
ISNUMBER(SEARCH("SOPORTE PARA NB",B2215)),
ISNUMBER(SEARCH("WEBCAM",B2215)),
ISNUMBER(SEARCH("WEB CAM",B2215)),
ISNUMBER(SEARCH("MOUSE",B2215)),
ISNUMBER(SEARCH("TECLADO",B2215))
),
"COMPLEMENTO",
IF(
OR(
LEFT(A2215,2)="NB",
LEFT(A2215,2)="PC",
LEFT(A2215,2)="WS",
LEFT(A2215,2)="TB",
LEFT(A2215,3)="CEL",
LEFT(A2215,3)="MON",
LEFT(A2215,3)="PRE",
LEFT(A2215,3)="PRH",
ISNUMBER(SEARCH("NOTEBOOK",B2215)),
ISNUMBER(SEARCH("LAPTOP",B2215)),
ISNUMBER(SEARCH("MONITOR",B2215)),
ISNUMBER(SEARCH("TABLET",B2215)),
ISNUMBER(SEARCH("SMARTPH",B2215)),
ISNUMBER(SEARCH("IMPRESORA",B2215)),
ISNUMBER(SEARCH("MULTIFUNCIONAL",B2215)),
ISNUMBER(SEARCH("AIO",B2215))
),
"GANCHO",
"NORMAL"
)
)</f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>ROUND(
IF(L2212="GANCHO",
   IF(I2214&lt;=50,I2214*1.1+4,IF(I2214&lt;=120,I2214*1.1+7,IF(I2214&lt;=250,I2214*1.1+11,I2214*1.1+19))),
IF(L2212="NORMAL",
   IF(I2214&lt;=30,I2214*1.15+2,IF(I2214&lt;=80,I2214*1.15+4,IF(I2214&lt;=150,I2214*1.15+6,I2214*1.15+8))),
IF(L2212="COMPLEMENTO",
   IF(I2214&lt;=25,I2214*1.25+1.5,IF(I2214&lt;=60,I2214*1.25+3,IF(I2214&lt;=120,I2214*1.25+4,I2214*1.25+5))),
""))),2)</f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>IF(
OR(
ISNUMBER(SEARCH("BACKPACK",B2216)),
ISNUMBER(SEARCH("MOCHILA",B2216)),
ISNUMBER(SEARCH("FUNDA",B2216)),
ISNUMBER(SEARCH("ESTUCHE",B2216)),
ISNUMBER(SEARCH("BOOK COVER",B2216)),
ISNUMBER(SEARCH("KEYBOARD PARA TABLET",B2216)),
ISNUMBER(SEARCH("FLIP TABLET",B2216)),
ISNUMBER(SEARCH("CASE FOR TABLET",B2216)),
ISNUMBER(SEARCH("CABLE",B2216)),
ISNUMBER(SEARCH("ADAPTADOR",B2216)),
ISNUMBER(SEARCH("HUB",B2216)),
ISNUMBER(SEARCH("DOCK",B2216)),
ISNUMBER(SEARCH("MOUSE PAD",B2216)),
ISNUMBER(SEARCH("MOUSEPAD",B2216)),
ISNUMBER(SEARCH("SOPORTE",B2216)),
ISNUMBER(SEARCH("STAND",B2216)),
ISNUMBER(SEARCH("TRAVEL ADAPTER",B2216)),
ISNUMBER(SEARCH("RJ45",B2216)),
ISNUMBER(SEARCH("USB-C",B2216)),
ISNUMBER(SEARCH("USB WIFI",B2216)),
ISNUMBER(SEARCH("POWERBANK",B2216)),
ISNUMBER(SEARCH("CARGADOR",B2216)),
ISNUMBER(SEARCH("COOLER PARA NB",B2216)),
ISNUMBER(SEARCH("SOPORTE PARA NB",B2216)),
ISNUMBER(SEARCH("WEBCAM",B2216)),
ISNUMBER(SEARCH("WEB CAM",B2216)),
ISNUMBER(SEARCH("MOUSE",B2216)),
ISNUMBER(SEARCH("TECLADO",B2216))
),
"COMPLEMENTO",
IF(
OR(
LEFT(A2216,2)="NB",
LEFT(A2216,2)="PC",
LEFT(A2216,2)="WS",
LEFT(A2216,2)="TB",
LEFT(A2216,3)="CEL",
LEFT(A2216,3)="MON",
LEFT(A2216,3)="PRE",
LEFT(A2216,3)="PRH",
ISNUMBER(SEARCH("NOTEBOOK",B2216)),
ISNUMBER(SEARCH("LAPTOP",B2216)),
ISNUMBER(SEARCH("MONITOR",B2216)),
ISNUMBER(SEARCH("TABLET",B2216)),
ISNUMBER(SEARCH("SMARTPH",B2216)),
ISNUMBER(SEARCH("IMPRESORA",B2216)),
ISNUMBER(SEARCH("MULTIFUNCIONAL",B2216)),
ISNUMBER(SEARCH("AIO",B2216))
),
"GANCHO",
"NORMAL"
)
)</f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>ROUND(
IF(L2213="GANCHO",
   IF(I2215&lt;=50,I2215*1.1+4,IF(I2215&lt;=120,I2215*1.1+7,IF(I2215&lt;=250,I2215*1.1+11,I2215*1.1+19))),
IF(L2213="NORMAL",
   IF(I2215&lt;=30,I2215*1.15+2,IF(I2215&lt;=80,I2215*1.15+4,IF(I2215&lt;=150,I2215*1.15+6,I2215*1.15+8))),
IF(L2213="COMPLEMENTO",
   IF(I2215&lt;=25,I2215*1.25+1.5,IF(I2215&lt;=60,I2215*1.25+3,IF(I2215&lt;=120,I2215*1.25+4,I2215*1.25+5))),
""))),2)</f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>IF(
OR(
ISNUMBER(SEARCH("BACKPACK",B2217)),
ISNUMBER(SEARCH("MOCHILA",B2217)),
ISNUMBER(SEARCH("FUNDA",B2217)),
ISNUMBER(SEARCH("ESTUCHE",B2217)),
ISNUMBER(SEARCH("BOOK COVER",B2217)),
ISNUMBER(SEARCH("KEYBOARD PARA TABLET",B2217)),
ISNUMBER(SEARCH("FLIP TABLET",B2217)),
ISNUMBER(SEARCH("CASE FOR TABLET",B2217)),
ISNUMBER(SEARCH("CABLE",B2217)),
ISNUMBER(SEARCH("ADAPTADOR",B2217)),
ISNUMBER(SEARCH("HUB",B2217)),
ISNUMBER(SEARCH("DOCK",B2217)),
ISNUMBER(SEARCH("MOUSE PAD",B2217)),
ISNUMBER(SEARCH("MOUSEPAD",B2217)),
ISNUMBER(SEARCH("SOPORTE",B2217)),
ISNUMBER(SEARCH("STAND",B2217)),
ISNUMBER(SEARCH("TRAVEL ADAPTER",B2217)),
ISNUMBER(SEARCH("RJ45",B2217)),
ISNUMBER(SEARCH("USB-C",B2217)),
ISNUMBER(SEARCH("USB WIFI",B2217)),
ISNUMBER(SEARCH("POWERBANK",B2217)),
ISNUMBER(SEARCH("CARGADOR",B2217)),
ISNUMBER(SEARCH("COOLER PARA NB",B2217)),
ISNUMBER(SEARCH("SOPORTE PARA NB",B2217)),
ISNUMBER(SEARCH("WEBCAM",B2217)),
ISNUMBER(SEARCH("WEB CAM",B2217)),
ISNUMBER(SEARCH("MOUSE",B2217)),
ISNUMBER(SEARCH("TECLADO",B2217))
),
"COMPLEMENTO",
IF(
OR(
LEFT(A2217,2)="NB",
LEFT(A2217,2)="PC",
LEFT(A2217,2)="WS",
LEFT(A2217,2)="TB",
LEFT(A2217,3)="CEL",
LEFT(A2217,3)="MON",
LEFT(A2217,3)="PRE",
LEFT(A2217,3)="PRH",
ISNUMBER(SEARCH("NOTEBOOK",B2217)),
ISNUMBER(SEARCH("LAPTOP",B2217)),
ISNUMBER(SEARCH("MONITOR",B2217)),
ISNUMBER(SEARCH("TABLET",B2217)),
ISNUMBER(SEARCH("SMARTPH",B2217)),
ISNUMBER(SEARCH("IMPRESORA",B2217)),
ISNUMBER(SEARCH("MULTIFUNCIONAL",B2217)),
ISNUMBER(SEARCH("AIO",B2217))
),
"GANCHO",
"NORMAL"
)
)</f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>ROUND(
IF(L2214="GANCHO",
   IF(I2216&lt;=50,I2216*1.1+4,IF(I2216&lt;=120,I2216*1.1+7,IF(I2216&lt;=250,I2216*1.1+11,I2216*1.1+19))),
IF(L2214="NORMAL",
   IF(I2216&lt;=30,I2216*1.15+2,IF(I2216&lt;=80,I2216*1.15+4,IF(I2216&lt;=150,I2216*1.15+6,I2216*1.15+8))),
IF(L2214="COMPLEMENTO",
   IF(I2216&lt;=25,I2216*1.25+1.5,IF(I2216&lt;=60,I2216*1.25+3,IF(I2216&lt;=120,I2216*1.25+4,I2216*1.25+5))),
""))),2)</f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>IF(
OR(
ISNUMBER(SEARCH("BACKPACK",B2218)),
ISNUMBER(SEARCH("MOCHILA",B2218)),
ISNUMBER(SEARCH("FUNDA",B2218)),
ISNUMBER(SEARCH("ESTUCHE",B2218)),
ISNUMBER(SEARCH("BOOK COVER",B2218)),
ISNUMBER(SEARCH("KEYBOARD PARA TABLET",B2218)),
ISNUMBER(SEARCH("FLIP TABLET",B2218)),
ISNUMBER(SEARCH("CASE FOR TABLET",B2218)),
ISNUMBER(SEARCH("CABLE",B2218)),
ISNUMBER(SEARCH("ADAPTADOR",B2218)),
ISNUMBER(SEARCH("HUB",B2218)),
ISNUMBER(SEARCH("DOCK",B2218)),
ISNUMBER(SEARCH("MOUSE PAD",B2218)),
ISNUMBER(SEARCH("MOUSEPAD",B2218)),
ISNUMBER(SEARCH("SOPORTE",B2218)),
ISNUMBER(SEARCH("STAND",B2218)),
ISNUMBER(SEARCH("TRAVEL ADAPTER",B2218)),
ISNUMBER(SEARCH("RJ45",B2218)),
ISNUMBER(SEARCH("USB-C",B2218)),
ISNUMBER(SEARCH("USB WIFI",B2218)),
ISNUMBER(SEARCH("POWERBANK",B2218)),
ISNUMBER(SEARCH("CARGADOR",B2218)),
ISNUMBER(SEARCH("COOLER PARA NB",B2218)),
ISNUMBER(SEARCH("SOPORTE PARA NB",B2218)),
ISNUMBER(SEARCH("WEBCAM",B2218)),
ISNUMBER(SEARCH("WEB CAM",B2218)),
ISNUMBER(SEARCH("MOUSE",B2218)),
ISNUMBER(SEARCH("TECLADO",B2218))
),
"COMPLEMENTO",
IF(
OR(
LEFT(A2218,2)="NB",
LEFT(A2218,2)="PC",
LEFT(A2218,2)="WS",
LEFT(A2218,2)="TB",
LEFT(A2218,3)="CEL",
LEFT(A2218,3)="MON",
LEFT(A2218,3)="PRE",
LEFT(A2218,3)="PRH",
ISNUMBER(SEARCH("NOTEBOOK",B2218)),
ISNUMBER(SEARCH("LAPTOP",B2218)),
ISNUMBER(SEARCH("MONITOR",B2218)),
ISNUMBER(SEARCH("TABLET",B2218)),
ISNUMBER(SEARCH("SMARTPH",B2218)),
ISNUMBER(SEARCH("IMPRESORA",B2218)),
ISNUMBER(SEARCH("MULTIFUNCIONAL",B2218)),
ISNUMBER(SEARCH("AIO",B2218))
),
"GANCHO",
"NORMAL"
)
)</f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>ROUND(
IF(L2215="GANCHO",
   IF(I2217&lt;=50,I2217*1.1+4,IF(I2217&lt;=120,I2217*1.1+7,IF(I2217&lt;=250,I2217*1.1+11,I2217*1.1+19))),
IF(L2215="NORMAL",
   IF(I2217&lt;=30,I2217*1.15+2,IF(I2217&lt;=80,I2217*1.15+4,IF(I2217&lt;=150,I2217*1.15+6,I2217*1.15+8))),
IF(L2215="COMPLEMENTO",
   IF(I2217&lt;=25,I2217*1.25+1.5,IF(I2217&lt;=60,I2217*1.25+3,IF(I2217&lt;=120,I2217*1.25+4,I2217*1.25+5))),
""))),2)</f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>IF(
OR(
ISNUMBER(SEARCH("BACKPACK",B2219)),
ISNUMBER(SEARCH("MOCHILA",B2219)),
ISNUMBER(SEARCH("FUNDA",B2219)),
ISNUMBER(SEARCH("ESTUCHE",B2219)),
ISNUMBER(SEARCH("BOOK COVER",B2219)),
ISNUMBER(SEARCH("KEYBOARD PARA TABLET",B2219)),
ISNUMBER(SEARCH("FLIP TABLET",B2219)),
ISNUMBER(SEARCH("CASE FOR TABLET",B2219)),
ISNUMBER(SEARCH("CABLE",B2219)),
ISNUMBER(SEARCH("ADAPTADOR",B2219)),
ISNUMBER(SEARCH("HUB",B2219)),
ISNUMBER(SEARCH("DOCK",B2219)),
ISNUMBER(SEARCH("MOUSE PAD",B2219)),
ISNUMBER(SEARCH("MOUSEPAD",B2219)),
ISNUMBER(SEARCH("SOPORTE",B2219)),
ISNUMBER(SEARCH("STAND",B2219)),
ISNUMBER(SEARCH("TRAVEL ADAPTER",B2219)),
ISNUMBER(SEARCH("RJ45",B2219)),
ISNUMBER(SEARCH("USB-C",B2219)),
ISNUMBER(SEARCH("USB WIFI",B2219)),
ISNUMBER(SEARCH("POWERBANK",B2219)),
ISNUMBER(SEARCH("CARGADOR",B2219)),
ISNUMBER(SEARCH("COOLER PARA NB",B2219)),
ISNUMBER(SEARCH("SOPORTE PARA NB",B2219)),
ISNUMBER(SEARCH("WEBCAM",B2219)),
ISNUMBER(SEARCH("WEB CAM",B2219)),
ISNUMBER(SEARCH("MOUSE",B2219)),
ISNUMBER(SEARCH("TECLADO",B2219))
),
"COMPLEMENTO",
IF(
OR(
LEFT(A2219,2)="NB",
LEFT(A2219,2)="PC",
LEFT(A2219,2)="WS",
LEFT(A2219,2)="TB",
LEFT(A2219,3)="CEL",
LEFT(A2219,3)="MON",
LEFT(A2219,3)="PRE",
LEFT(A2219,3)="PRH",
ISNUMBER(SEARCH("NOTEBOOK",B2219)),
ISNUMBER(SEARCH("LAPTOP",B2219)),
ISNUMBER(SEARCH("MONITOR",B2219)),
ISNUMBER(SEARCH("TABLET",B2219)),
ISNUMBER(SEARCH("SMARTPH",B2219)),
ISNUMBER(SEARCH("IMPRESORA",B2219)),
ISNUMBER(SEARCH("MULTIFUNCIONAL",B2219)),
ISNUMBER(SEARCH("AIO",B2219))
),
"GANCHO",
"NORMAL"
)
)</f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>ROUND(
IF(L2216="GANCHO",
   IF(I2218&lt;=50,I2218*1.1+4,IF(I2218&lt;=120,I2218*1.1+7,IF(I2218&lt;=250,I2218*1.1+11,I2218*1.1+19))),
IF(L2216="NORMAL",
   IF(I2218&lt;=30,I2218*1.15+2,IF(I2218&lt;=80,I2218*1.15+4,IF(I2218&lt;=150,I2218*1.15+6,I2218*1.15+8))),
IF(L2216="COMPLEMENTO",
   IF(I2218&lt;=25,I2218*1.25+1.5,IF(I2218&lt;=60,I2218*1.25+3,IF(I2218&lt;=120,I2218*1.25+4,I2218*1.25+5))),
""))),2)</f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>IF(
OR(
ISNUMBER(SEARCH("BACKPACK",B2220)),
ISNUMBER(SEARCH("MOCHILA",B2220)),
ISNUMBER(SEARCH("FUNDA",B2220)),
ISNUMBER(SEARCH("ESTUCHE",B2220)),
ISNUMBER(SEARCH("BOOK COVER",B2220)),
ISNUMBER(SEARCH("KEYBOARD PARA TABLET",B2220)),
ISNUMBER(SEARCH("FLIP TABLET",B2220)),
ISNUMBER(SEARCH("CASE FOR TABLET",B2220)),
ISNUMBER(SEARCH("CABLE",B2220)),
ISNUMBER(SEARCH("ADAPTADOR",B2220)),
ISNUMBER(SEARCH("HUB",B2220)),
ISNUMBER(SEARCH("DOCK",B2220)),
ISNUMBER(SEARCH("MOUSE PAD",B2220)),
ISNUMBER(SEARCH("MOUSEPAD",B2220)),
ISNUMBER(SEARCH("SOPORTE",B2220)),
ISNUMBER(SEARCH("STAND",B2220)),
ISNUMBER(SEARCH("TRAVEL ADAPTER",B2220)),
ISNUMBER(SEARCH("RJ45",B2220)),
ISNUMBER(SEARCH("USB-C",B2220)),
ISNUMBER(SEARCH("USB WIFI",B2220)),
ISNUMBER(SEARCH("POWERBANK",B2220)),
ISNUMBER(SEARCH("CARGADOR",B2220)),
ISNUMBER(SEARCH("COOLER PARA NB",B2220)),
ISNUMBER(SEARCH("SOPORTE PARA NB",B2220)),
ISNUMBER(SEARCH("WEBCAM",B2220)),
ISNUMBER(SEARCH("WEB CAM",B2220)),
ISNUMBER(SEARCH("MOUSE",B2220)),
ISNUMBER(SEARCH("TECLADO",B2220))
),
"COMPLEMENTO",
IF(
OR(
LEFT(A2220,2)="NB",
LEFT(A2220,2)="PC",
LEFT(A2220,2)="WS",
LEFT(A2220,2)="TB",
LEFT(A2220,3)="CEL",
LEFT(A2220,3)="MON",
LEFT(A2220,3)="PRE",
LEFT(A2220,3)="PRH",
ISNUMBER(SEARCH("NOTEBOOK",B2220)),
ISNUMBER(SEARCH("LAPTOP",B2220)),
ISNUMBER(SEARCH("MONITOR",B2220)),
ISNUMBER(SEARCH("TABLET",B2220)),
ISNUMBER(SEARCH("SMARTPH",B2220)),
ISNUMBER(SEARCH("IMPRESORA",B2220)),
ISNUMBER(SEARCH("MULTIFUNCIONAL",B2220)),
ISNUMBER(SEARCH("AIO",B2220))
),
"GANCHO",
"NORMAL"
)
)</f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>ROUND(
IF(L2217="GANCHO",
   IF(I2219&lt;=50,I2219*1.1+4,IF(I2219&lt;=120,I2219*1.1+7,IF(I2219&lt;=250,I2219*1.1+11,I2219*1.1+19))),
IF(L2217="NORMAL",
   IF(I2219&lt;=30,I2219*1.15+2,IF(I2219&lt;=80,I2219*1.15+4,IF(I2219&lt;=150,I2219*1.15+6,I2219*1.15+8))),
IF(L2217="COMPLEMENTO",
   IF(I2219&lt;=25,I2219*1.25+1.5,IF(I2219&lt;=60,I2219*1.25+3,IF(I2219&lt;=120,I2219*1.25+4,I2219*1.25+5))),
""))),2)</f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>IF(
OR(
ISNUMBER(SEARCH("BACKPACK",B2221)),
ISNUMBER(SEARCH("MOCHILA",B2221)),
ISNUMBER(SEARCH("FUNDA",B2221)),
ISNUMBER(SEARCH("ESTUCHE",B2221)),
ISNUMBER(SEARCH("BOOK COVER",B2221)),
ISNUMBER(SEARCH("KEYBOARD PARA TABLET",B2221)),
ISNUMBER(SEARCH("FLIP TABLET",B2221)),
ISNUMBER(SEARCH("CASE FOR TABLET",B2221)),
ISNUMBER(SEARCH("CABLE",B2221)),
ISNUMBER(SEARCH("ADAPTADOR",B2221)),
ISNUMBER(SEARCH("HUB",B2221)),
ISNUMBER(SEARCH("DOCK",B2221)),
ISNUMBER(SEARCH("MOUSE PAD",B2221)),
ISNUMBER(SEARCH("MOUSEPAD",B2221)),
ISNUMBER(SEARCH("SOPORTE",B2221)),
ISNUMBER(SEARCH("STAND",B2221)),
ISNUMBER(SEARCH("TRAVEL ADAPTER",B2221)),
ISNUMBER(SEARCH("RJ45",B2221)),
ISNUMBER(SEARCH("USB-C",B2221)),
ISNUMBER(SEARCH("USB WIFI",B2221)),
ISNUMBER(SEARCH("POWERBANK",B2221)),
ISNUMBER(SEARCH("CARGADOR",B2221)),
ISNUMBER(SEARCH("COOLER PARA NB",B2221)),
ISNUMBER(SEARCH("SOPORTE PARA NB",B2221)),
ISNUMBER(SEARCH("WEBCAM",B2221)),
ISNUMBER(SEARCH("WEB CAM",B2221)),
ISNUMBER(SEARCH("MOUSE",B2221)),
ISNUMBER(SEARCH("TECLADO",B2221))
),
"COMPLEMENTO",
IF(
OR(
LEFT(A2221,2)="NB",
LEFT(A2221,2)="PC",
LEFT(A2221,2)="WS",
LEFT(A2221,2)="TB",
LEFT(A2221,3)="CEL",
LEFT(A2221,3)="MON",
LEFT(A2221,3)="PRE",
LEFT(A2221,3)="PRH",
ISNUMBER(SEARCH("NOTEBOOK",B2221)),
ISNUMBER(SEARCH("LAPTOP",B2221)),
ISNUMBER(SEARCH("MONITOR",B2221)),
ISNUMBER(SEARCH("TABLET",B2221)),
ISNUMBER(SEARCH("SMARTPH",B2221)),
ISNUMBER(SEARCH("IMPRESORA",B2221)),
ISNUMBER(SEARCH("MULTIFUNCIONAL",B2221)),
ISNUMBER(SEARCH("AIO",B2221))
),
"GANCHO",
"NORMAL"
)
)</f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>ROUND(
IF(L2218="GANCHO",
   IF(I2220&lt;=50,I2220*1.1+4,IF(I2220&lt;=120,I2220*1.1+7,IF(I2220&lt;=250,I2220*1.1+11,I2220*1.1+19))),
IF(L2218="NORMAL",
   IF(I2220&lt;=30,I2220*1.15+2,IF(I2220&lt;=80,I2220*1.15+4,IF(I2220&lt;=150,I2220*1.15+6,I2220*1.15+8))),
IF(L2218="COMPLEMENTO",
   IF(I2220&lt;=25,I2220*1.25+1.5,IF(I2220&lt;=60,I2220*1.25+3,IF(I2220&lt;=120,I2220*1.25+4,I2220*1.25+5))),
""))),2)</f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>IF(
OR(
ISNUMBER(SEARCH("BACKPACK",B2222)),
ISNUMBER(SEARCH("MOCHILA",B2222)),
ISNUMBER(SEARCH("FUNDA",B2222)),
ISNUMBER(SEARCH("ESTUCHE",B2222)),
ISNUMBER(SEARCH("BOOK COVER",B2222)),
ISNUMBER(SEARCH("KEYBOARD PARA TABLET",B2222)),
ISNUMBER(SEARCH("FLIP TABLET",B2222)),
ISNUMBER(SEARCH("CASE FOR TABLET",B2222)),
ISNUMBER(SEARCH("CABLE",B2222)),
ISNUMBER(SEARCH("ADAPTADOR",B2222)),
ISNUMBER(SEARCH("HUB",B2222)),
ISNUMBER(SEARCH("DOCK",B2222)),
ISNUMBER(SEARCH("MOUSE PAD",B2222)),
ISNUMBER(SEARCH("MOUSEPAD",B2222)),
ISNUMBER(SEARCH("SOPORTE",B2222)),
ISNUMBER(SEARCH("STAND",B2222)),
ISNUMBER(SEARCH("TRAVEL ADAPTER",B2222)),
ISNUMBER(SEARCH("RJ45",B2222)),
ISNUMBER(SEARCH("USB-C",B2222)),
ISNUMBER(SEARCH("USB WIFI",B2222)),
ISNUMBER(SEARCH("POWERBANK",B2222)),
ISNUMBER(SEARCH("CARGADOR",B2222)),
ISNUMBER(SEARCH("COOLER PARA NB",B2222)),
ISNUMBER(SEARCH("SOPORTE PARA NB",B2222)),
ISNUMBER(SEARCH("WEBCAM",B2222)),
ISNUMBER(SEARCH("WEB CAM",B2222)),
ISNUMBER(SEARCH("MOUSE",B2222)),
ISNUMBER(SEARCH("TECLADO",B2222))
),
"COMPLEMENTO",
IF(
OR(
LEFT(A2222,2)="NB",
LEFT(A2222,2)="PC",
LEFT(A2222,2)="WS",
LEFT(A2222,2)="TB",
LEFT(A2222,3)="CEL",
LEFT(A2222,3)="MON",
LEFT(A2222,3)="PRE",
LEFT(A2222,3)="PRH",
ISNUMBER(SEARCH("NOTEBOOK",B2222)),
ISNUMBER(SEARCH("LAPTOP",B2222)),
ISNUMBER(SEARCH("MONITOR",B2222)),
ISNUMBER(SEARCH("TABLET",B2222)),
ISNUMBER(SEARCH("SMARTPH",B2222)),
ISNUMBER(SEARCH("IMPRESORA",B2222)),
ISNUMBER(SEARCH("MULTIFUNCIONAL",B2222)),
ISNUMBER(SEARCH("AIO",B2222))
),
"GANCHO",
"NORMAL"
)
)</f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>ROUND(
IF(L2219="GANCHO",
   IF(I2221&lt;=50,I2221*1.1+4,IF(I2221&lt;=120,I2221*1.1+7,IF(I2221&lt;=250,I2221*1.1+11,I2221*1.1+19))),
IF(L2219="NORMAL",
   IF(I2221&lt;=30,I2221*1.15+2,IF(I2221&lt;=80,I2221*1.15+4,IF(I2221&lt;=150,I2221*1.15+6,I2221*1.15+8))),
IF(L2219="COMPLEMENTO",
   IF(I2221&lt;=25,I2221*1.25+1.5,IF(I2221&lt;=60,I2221*1.25+3,IF(I2221&lt;=120,I2221*1.25+4,I2221*1.25+5))),
""))),2)</f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>IF(
OR(
ISNUMBER(SEARCH("BACKPACK",B2223)),
ISNUMBER(SEARCH("MOCHILA",B2223)),
ISNUMBER(SEARCH("FUNDA",B2223)),
ISNUMBER(SEARCH("ESTUCHE",B2223)),
ISNUMBER(SEARCH("BOOK COVER",B2223)),
ISNUMBER(SEARCH("KEYBOARD PARA TABLET",B2223)),
ISNUMBER(SEARCH("FLIP TABLET",B2223)),
ISNUMBER(SEARCH("CASE FOR TABLET",B2223)),
ISNUMBER(SEARCH("CABLE",B2223)),
ISNUMBER(SEARCH("ADAPTADOR",B2223)),
ISNUMBER(SEARCH("HUB",B2223)),
ISNUMBER(SEARCH("DOCK",B2223)),
ISNUMBER(SEARCH("MOUSE PAD",B2223)),
ISNUMBER(SEARCH("MOUSEPAD",B2223)),
ISNUMBER(SEARCH("SOPORTE",B2223)),
ISNUMBER(SEARCH("STAND",B2223)),
ISNUMBER(SEARCH("TRAVEL ADAPTER",B2223)),
ISNUMBER(SEARCH("RJ45",B2223)),
ISNUMBER(SEARCH("USB-C",B2223)),
ISNUMBER(SEARCH("USB WIFI",B2223)),
ISNUMBER(SEARCH("POWERBANK",B2223)),
ISNUMBER(SEARCH("CARGADOR",B2223)),
ISNUMBER(SEARCH("COOLER PARA NB",B2223)),
ISNUMBER(SEARCH("SOPORTE PARA NB",B2223)),
ISNUMBER(SEARCH("WEBCAM",B2223)),
ISNUMBER(SEARCH("WEB CAM",B2223)),
ISNUMBER(SEARCH("MOUSE",B2223)),
ISNUMBER(SEARCH("TECLADO",B2223))
),
"COMPLEMENTO",
IF(
OR(
LEFT(A2223,2)="NB",
LEFT(A2223,2)="PC",
LEFT(A2223,2)="WS",
LEFT(A2223,2)="TB",
LEFT(A2223,3)="CEL",
LEFT(A2223,3)="MON",
LEFT(A2223,3)="PRE",
LEFT(A2223,3)="PRH",
ISNUMBER(SEARCH("NOTEBOOK",B2223)),
ISNUMBER(SEARCH("LAPTOP",B2223)),
ISNUMBER(SEARCH("MONITOR",B2223)),
ISNUMBER(SEARCH("TABLET",B2223)),
ISNUMBER(SEARCH("SMARTPH",B2223)),
ISNUMBER(SEARCH("IMPRESORA",B2223)),
ISNUMBER(SEARCH("MULTIFUNCIONAL",B2223)),
ISNUMBER(SEARCH("AIO",B2223))
),
"GANCHO",
"NORMAL"
)
)</f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>ROUND(
IF(L2220="GANCHO",
   IF(I2222&lt;=50,I2222*1.1+4,IF(I2222&lt;=120,I2222*1.1+7,IF(I2222&lt;=250,I2222*1.1+11,I2222*1.1+19))),
IF(L2220="NORMAL",
   IF(I2222&lt;=30,I2222*1.15+2,IF(I2222&lt;=80,I2222*1.15+4,IF(I2222&lt;=150,I2222*1.15+6,I2222*1.15+8))),
IF(L2220="COMPLEMENTO",
   IF(I2222&lt;=25,I2222*1.25+1.5,IF(I2222&lt;=60,I2222*1.25+3,IF(I2222&lt;=120,I2222*1.25+4,I2222*1.25+5))),
""))),2)</f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>IF(
OR(
ISNUMBER(SEARCH("BACKPACK",B2224)),
ISNUMBER(SEARCH("MOCHILA",B2224)),
ISNUMBER(SEARCH("FUNDA",B2224)),
ISNUMBER(SEARCH("ESTUCHE",B2224)),
ISNUMBER(SEARCH("BOOK COVER",B2224)),
ISNUMBER(SEARCH("KEYBOARD PARA TABLET",B2224)),
ISNUMBER(SEARCH("FLIP TABLET",B2224)),
ISNUMBER(SEARCH("CASE FOR TABLET",B2224)),
ISNUMBER(SEARCH("CABLE",B2224)),
ISNUMBER(SEARCH("ADAPTADOR",B2224)),
ISNUMBER(SEARCH("HUB",B2224)),
ISNUMBER(SEARCH("DOCK",B2224)),
ISNUMBER(SEARCH("MOUSE PAD",B2224)),
ISNUMBER(SEARCH("MOUSEPAD",B2224)),
ISNUMBER(SEARCH("SOPORTE",B2224)),
ISNUMBER(SEARCH("STAND",B2224)),
ISNUMBER(SEARCH("TRAVEL ADAPTER",B2224)),
ISNUMBER(SEARCH("RJ45",B2224)),
ISNUMBER(SEARCH("USB-C",B2224)),
ISNUMBER(SEARCH("USB WIFI",B2224)),
ISNUMBER(SEARCH("POWERBANK",B2224)),
ISNUMBER(SEARCH("CARGADOR",B2224)),
ISNUMBER(SEARCH("COOLER PARA NB",B2224)),
ISNUMBER(SEARCH("SOPORTE PARA NB",B2224)),
ISNUMBER(SEARCH("WEBCAM",B2224)),
ISNUMBER(SEARCH("WEB CAM",B2224)),
ISNUMBER(SEARCH("MOUSE",B2224)),
ISNUMBER(SEARCH("TECLADO",B2224))
),
"COMPLEMENTO",
IF(
OR(
LEFT(A2224,2)="NB",
LEFT(A2224,2)="PC",
LEFT(A2224,2)="WS",
LEFT(A2224,2)="TB",
LEFT(A2224,3)="CEL",
LEFT(A2224,3)="MON",
LEFT(A2224,3)="PRE",
LEFT(A2224,3)="PRH",
ISNUMBER(SEARCH("NOTEBOOK",B2224)),
ISNUMBER(SEARCH("LAPTOP",B2224)),
ISNUMBER(SEARCH("MONITOR",B2224)),
ISNUMBER(SEARCH("TABLET",B2224)),
ISNUMBER(SEARCH("SMARTPH",B2224)),
ISNUMBER(SEARCH("IMPRESORA",B2224)),
ISNUMBER(SEARCH("MULTIFUNCIONAL",B2224)),
ISNUMBER(SEARCH("AIO",B2224))
),
"GANCHO",
"NORMAL"
)
)</f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>ROUND(
IF(L2221="GANCHO",
   IF(I2223&lt;=50,I2223*1.1+4,IF(I2223&lt;=120,I2223*1.1+7,IF(I2223&lt;=250,I2223*1.1+11,I2223*1.1+19))),
IF(L2221="NORMAL",
   IF(I2223&lt;=30,I2223*1.15+2,IF(I2223&lt;=80,I2223*1.15+4,IF(I2223&lt;=150,I2223*1.15+6,I2223*1.15+8))),
IF(L2221="COMPLEMENTO",
   IF(I2223&lt;=25,I2223*1.25+1.5,IF(I2223&lt;=60,I2223*1.25+3,IF(I2223&lt;=120,I2223*1.25+4,I2223*1.25+5))),
""))),2)</f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>IF(
OR(
ISNUMBER(SEARCH("BACKPACK",B2225)),
ISNUMBER(SEARCH("MOCHILA",B2225)),
ISNUMBER(SEARCH("FUNDA",B2225)),
ISNUMBER(SEARCH("ESTUCHE",B2225)),
ISNUMBER(SEARCH("BOOK COVER",B2225)),
ISNUMBER(SEARCH("KEYBOARD PARA TABLET",B2225)),
ISNUMBER(SEARCH("FLIP TABLET",B2225)),
ISNUMBER(SEARCH("CASE FOR TABLET",B2225)),
ISNUMBER(SEARCH("CABLE",B2225)),
ISNUMBER(SEARCH("ADAPTADOR",B2225)),
ISNUMBER(SEARCH("HUB",B2225)),
ISNUMBER(SEARCH("DOCK",B2225)),
ISNUMBER(SEARCH("MOUSE PAD",B2225)),
ISNUMBER(SEARCH("MOUSEPAD",B2225)),
ISNUMBER(SEARCH("SOPORTE",B2225)),
ISNUMBER(SEARCH("STAND",B2225)),
ISNUMBER(SEARCH("TRAVEL ADAPTER",B2225)),
ISNUMBER(SEARCH("RJ45",B2225)),
ISNUMBER(SEARCH("USB-C",B2225)),
ISNUMBER(SEARCH("USB WIFI",B2225)),
ISNUMBER(SEARCH("POWERBANK",B2225)),
ISNUMBER(SEARCH("CARGADOR",B2225)),
ISNUMBER(SEARCH("COOLER PARA NB",B2225)),
ISNUMBER(SEARCH("SOPORTE PARA NB",B2225)),
ISNUMBER(SEARCH("WEBCAM",B2225)),
ISNUMBER(SEARCH("WEB CAM",B2225)),
ISNUMBER(SEARCH("MOUSE",B2225)),
ISNUMBER(SEARCH("TECLADO",B2225))
),
"COMPLEMENTO",
IF(
OR(
LEFT(A2225,2)="NB",
LEFT(A2225,2)="PC",
LEFT(A2225,2)="WS",
LEFT(A2225,2)="TB",
LEFT(A2225,3)="CEL",
LEFT(A2225,3)="MON",
LEFT(A2225,3)="PRE",
LEFT(A2225,3)="PRH",
ISNUMBER(SEARCH("NOTEBOOK",B2225)),
ISNUMBER(SEARCH("LAPTOP",B2225)),
ISNUMBER(SEARCH("MONITOR",B2225)),
ISNUMBER(SEARCH("TABLET",B2225)),
ISNUMBER(SEARCH("SMARTPH",B2225)),
ISNUMBER(SEARCH("IMPRESORA",B2225)),
ISNUMBER(SEARCH("MULTIFUNCIONAL",B2225)),
ISNUMBER(SEARCH("AIO",B2225))
),
"GANCHO",
"NORMAL"
)
)</f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>ROUND(
IF(L2222="GANCHO",
   IF(I2224&lt;=50,I2224*1.1+4,IF(I2224&lt;=120,I2224*1.1+7,IF(I2224&lt;=250,I2224*1.1+11,I2224*1.1+19))),
IF(L2222="NORMAL",
   IF(I2224&lt;=30,I2224*1.15+2,IF(I2224&lt;=80,I2224*1.15+4,IF(I2224&lt;=150,I2224*1.15+6,I2224*1.15+8))),
IF(L2222="COMPLEMENTO",
   IF(I2224&lt;=25,I2224*1.25+1.5,IF(I2224&lt;=60,I2224*1.25+3,IF(I2224&lt;=120,I2224*1.25+4,I2224*1.25+5))),
""))),2)</f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>IF(
OR(
ISNUMBER(SEARCH("BACKPACK",B2226)),
ISNUMBER(SEARCH("MOCHILA",B2226)),
ISNUMBER(SEARCH("FUNDA",B2226)),
ISNUMBER(SEARCH("ESTUCHE",B2226)),
ISNUMBER(SEARCH("BOOK COVER",B2226)),
ISNUMBER(SEARCH("KEYBOARD PARA TABLET",B2226)),
ISNUMBER(SEARCH("FLIP TABLET",B2226)),
ISNUMBER(SEARCH("CASE FOR TABLET",B2226)),
ISNUMBER(SEARCH("CABLE",B2226)),
ISNUMBER(SEARCH("ADAPTADOR",B2226)),
ISNUMBER(SEARCH("HUB",B2226)),
ISNUMBER(SEARCH("DOCK",B2226)),
ISNUMBER(SEARCH("MOUSE PAD",B2226)),
ISNUMBER(SEARCH("MOUSEPAD",B2226)),
ISNUMBER(SEARCH("SOPORTE",B2226)),
ISNUMBER(SEARCH("STAND",B2226)),
ISNUMBER(SEARCH("TRAVEL ADAPTER",B2226)),
ISNUMBER(SEARCH("RJ45",B2226)),
ISNUMBER(SEARCH("USB-C",B2226)),
ISNUMBER(SEARCH("USB WIFI",B2226)),
ISNUMBER(SEARCH("POWERBANK",B2226)),
ISNUMBER(SEARCH("CARGADOR",B2226)),
ISNUMBER(SEARCH("COOLER PARA NB",B2226)),
ISNUMBER(SEARCH("SOPORTE PARA NB",B2226)),
ISNUMBER(SEARCH("WEBCAM",B2226)),
ISNUMBER(SEARCH("WEB CAM",B2226)),
ISNUMBER(SEARCH("MOUSE",B2226)),
ISNUMBER(SEARCH("TECLADO",B2226))
),
"COMPLEMENTO",
IF(
OR(
LEFT(A2226,2)="NB",
LEFT(A2226,2)="PC",
LEFT(A2226,2)="WS",
LEFT(A2226,2)="TB",
LEFT(A2226,3)="CEL",
LEFT(A2226,3)="MON",
LEFT(A2226,3)="PRE",
LEFT(A2226,3)="PRH",
ISNUMBER(SEARCH("NOTEBOOK",B2226)),
ISNUMBER(SEARCH("LAPTOP",B2226)),
ISNUMBER(SEARCH("MONITOR",B2226)),
ISNUMBER(SEARCH("TABLET",B2226)),
ISNUMBER(SEARCH("SMARTPH",B2226)),
ISNUMBER(SEARCH("IMPRESORA",B2226)),
ISNUMBER(SEARCH("MULTIFUNCIONAL",B2226)),
ISNUMBER(SEARCH("AIO",B2226))
),
"GANCHO",
"NORMAL"
)
)</f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>ROUND(
IF(L2223="GANCHO",
   IF(I2225&lt;=50,I2225*1.1+4,IF(I2225&lt;=120,I2225*1.1+7,IF(I2225&lt;=250,I2225*1.1+11,I2225*1.1+19))),
IF(L2223="NORMAL",
   IF(I2225&lt;=30,I2225*1.15+2,IF(I2225&lt;=80,I2225*1.15+4,IF(I2225&lt;=150,I2225*1.15+6,I2225*1.15+8))),
IF(L2223="COMPLEMENTO",
   IF(I2225&lt;=25,I2225*1.25+1.5,IF(I2225&lt;=60,I2225*1.25+3,IF(I2225&lt;=120,I2225*1.25+4,I2225*1.25+5))),
""))),2)</f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>IF(
OR(
ISNUMBER(SEARCH("BACKPACK",B2227)),
ISNUMBER(SEARCH("MOCHILA",B2227)),
ISNUMBER(SEARCH("FUNDA",B2227)),
ISNUMBER(SEARCH("ESTUCHE",B2227)),
ISNUMBER(SEARCH("BOOK COVER",B2227)),
ISNUMBER(SEARCH("KEYBOARD PARA TABLET",B2227)),
ISNUMBER(SEARCH("FLIP TABLET",B2227)),
ISNUMBER(SEARCH("CASE FOR TABLET",B2227)),
ISNUMBER(SEARCH("CABLE",B2227)),
ISNUMBER(SEARCH("ADAPTADOR",B2227)),
ISNUMBER(SEARCH("HUB",B2227)),
ISNUMBER(SEARCH("DOCK",B2227)),
ISNUMBER(SEARCH("MOUSE PAD",B2227)),
ISNUMBER(SEARCH("MOUSEPAD",B2227)),
ISNUMBER(SEARCH("SOPORTE",B2227)),
ISNUMBER(SEARCH("STAND",B2227)),
ISNUMBER(SEARCH("TRAVEL ADAPTER",B2227)),
ISNUMBER(SEARCH("RJ45",B2227)),
ISNUMBER(SEARCH("USB-C",B2227)),
ISNUMBER(SEARCH("USB WIFI",B2227)),
ISNUMBER(SEARCH("POWERBANK",B2227)),
ISNUMBER(SEARCH("CARGADOR",B2227)),
ISNUMBER(SEARCH("COOLER PARA NB",B2227)),
ISNUMBER(SEARCH("SOPORTE PARA NB",B2227)),
ISNUMBER(SEARCH("WEBCAM",B2227)),
ISNUMBER(SEARCH("WEB CAM",B2227)),
ISNUMBER(SEARCH("MOUSE",B2227)),
ISNUMBER(SEARCH("TECLADO",B2227))
),
"COMPLEMENTO",
IF(
OR(
LEFT(A2227,2)="NB",
LEFT(A2227,2)="PC",
LEFT(A2227,2)="WS",
LEFT(A2227,2)="TB",
LEFT(A2227,3)="CEL",
LEFT(A2227,3)="MON",
LEFT(A2227,3)="PRE",
LEFT(A2227,3)="PRH",
ISNUMBER(SEARCH("NOTEBOOK",B2227)),
ISNUMBER(SEARCH("LAPTOP",B2227)),
ISNUMBER(SEARCH("MONITOR",B2227)),
ISNUMBER(SEARCH("TABLET",B2227)),
ISNUMBER(SEARCH("SMARTPH",B2227)),
ISNUMBER(SEARCH("IMPRESORA",B2227)),
ISNUMBER(SEARCH("MULTIFUNCIONAL",B2227)),
ISNUMBER(SEARCH("AIO",B2227))
),
"GANCHO",
"NORMAL"
)
)</f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>ROUND(
IF(L2224="GANCHO",
   IF(I2226&lt;=50,I2226*1.1+4,IF(I2226&lt;=120,I2226*1.1+7,IF(I2226&lt;=250,I2226*1.1+11,I2226*1.1+19))),
IF(L2224="NORMAL",
   IF(I2226&lt;=30,I2226*1.15+2,IF(I2226&lt;=80,I2226*1.15+4,IF(I2226&lt;=150,I2226*1.15+6,I2226*1.15+8))),
IF(L2224="COMPLEMENTO",
   IF(I2226&lt;=25,I2226*1.25+1.5,IF(I2226&lt;=60,I2226*1.25+3,IF(I2226&lt;=120,I2226*1.25+4,I2226*1.25+5))),
""))),2)</f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>IF(
OR(
ISNUMBER(SEARCH("BACKPACK",B2228)),
ISNUMBER(SEARCH("MOCHILA",B2228)),
ISNUMBER(SEARCH("FUNDA",B2228)),
ISNUMBER(SEARCH("ESTUCHE",B2228)),
ISNUMBER(SEARCH("BOOK COVER",B2228)),
ISNUMBER(SEARCH("KEYBOARD PARA TABLET",B2228)),
ISNUMBER(SEARCH("FLIP TABLET",B2228)),
ISNUMBER(SEARCH("CASE FOR TABLET",B2228)),
ISNUMBER(SEARCH("CABLE",B2228)),
ISNUMBER(SEARCH("ADAPTADOR",B2228)),
ISNUMBER(SEARCH("HUB",B2228)),
ISNUMBER(SEARCH("DOCK",B2228)),
ISNUMBER(SEARCH("MOUSE PAD",B2228)),
ISNUMBER(SEARCH("MOUSEPAD",B2228)),
ISNUMBER(SEARCH("SOPORTE",B2228)),
ISNUMBER(SEARCH("STAND",B2228)),
ISNUMBER(SEARCH("TRAVEL ADAPTER",B2228)),
ISNUMBER(SEARCH("RJ45",B2228)),
ISNUMBER(SEARCH("USB-C",B2228)),
ISNUMBER(SEARCH("USB WIFI",B2228)),
ISNUMBER(SEARCH("POWERBANK",B2228)),
ISNUMBER(SEARCH("CARGADOR",B2228)),
ISNUMBER(SEARCH("COOLER PARA NB",B2228)),
ISNUMBER(SEARCH("SOPORTE PARA NB",B2228)),
ISNUMBER(SEARCH("WEBCAM",B2228)),
ISNUMBER(SEARCH("WEB CAM",B2228)),
ISNUMBER(SEARCH("MOUSE",B2228)),
ISNUMBER(SEARCH("TECLADO",B2228))
),
"COMPLEMENTO",
IF(
OR(
LEFT(A2228,2)="NB",
LEFT(A2228,2)="PC",
LEFT(A2228,2)="WS",
LEFT(A2228,2)="TB",
LEFT(A2228,3)="CEL",
LEFT(A2228,3)="MON",
LEFT(A2228,3)="PRE",
LEFT(A2228,3)="PRH",
ISNUMBER(SEARCH("NOTEBOOK",B2228)),
ISNUMBER(SEARCH("LAPTOP",B2228)),
ISNUMBER(SEARCH("MONITOR",B2228)),
ISNUMBER(SEARCH("TABLET",B2228)),
ISNUMBER(SEARCH("SMARTPH",B2228)),
ISNUMBER(SEARCH("IMPRESORA",B2228)),
ISNUMBER(SEARCH("MULTIFUNCIONAL",B2228)),
ISNUMBER(SEARCH("AIO",B2228))
),
"GANCHO",
"NORMAL"
)
)</f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>ROUND(
IF(L2225="GANCHO",
   IF(I2227&lt;=50,I2227*1.1+4,IF(I2227&lt;=120,I2227*1.1+7,IF(I2227&lt;=250,I2227*1.1+11,I2227*1.1+19))),
IF(L2225="NORMAL",
   IF(I2227&lt;=30,I2227*1.15+2,IF(I2227&lt;=80,I2227*1.15+4,IF(I2227&lt;=150,I2227*1.15+6,I2227*1.15+8))),
IF(L2225="COMPLEMENTO",
   IF(I2227&lt;=25,I2227*1.25+1.5,IF(I2227&lt;=60,I2227*1.25+3,IF(I2227&lt;=120,I2227*1.25+4,I2227*1.25+5))),
""))),2)</f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>IF(
OR(
ISNUMBER(SEARCH("BACKPACK",B2229)),
ISNUMBER(SEARCH("MOCHILA",B2229)),
ISNUMBER(SEARCH("FUNDA",B2229)),
ISNUMBER(SEARCH("ESTUCHE",B2229)),
ISNUMBER(SEARCH("BOOK COVER",B2229)),
ISNUMBER(SEARCH("KEYBOARD PARA TABLET",B2229)),
ISNUMBER(SEARCH("FLIP TABLET",B2229)),
ISNUMBER(SEARCH("CASE FOR TABLET",B2229)),
ISNUMBER(SEARCH("CABLE",B2229)),
ISNUMBER(SEARCH("ADAPTADOR",B2229)),
ISNUMBER(SEARCH("HUB",B2229)),
ISNUMBER(SEARCH("DOCK",B2229)),
ISNUMBER(SEARCH("MOUSE PAD",B2229)),
ISNUMBER(SEARCH("MOUSEPAD",B2229)),
ISNUMBER(SEARCH("SOPORTE",B2229)),
ISNUMBER(SEARCH("STAND",B2229)),
ISNUMBER(SEARCH("TRAVEL ADAPTER",B2229)),
ISNUMBER(SEARCH("RJ45",B2229)),
ISNUMBER(SEARCH("USB-C",B2229)),
ISNUMBER(SEARCH("USB WIFI",B2229)),
ISNUMBER(SEARCH("POWERBANK",B2229)),
ISNUMBER(SEARCH("CARGADOR",B2229)),
ISNUMBER(SEARCH("COOLER PARA NB",B2229)),
ISNUMBER(SEARCH("SOPORTE PARA NB",B2229)),
ISNUMBER(SEARCH("WEBCAM",B2229)),
ISNUMBER(SEARCH("WEB CAM",B2229)),
ISNUMBER(SEARCH("MOUSE",B2229)),
ISNUMBER(SEARCH("TECLADO",B2229))
),
"COMPLEMENTO",
IF(
OR(
LEFT(A2229,2)="NB",
LEFT(A2229,2)="PC",
LEFT(A2229,2)="WS",
LEFT(A2229,2)="TB",
LEFT(A2229,3)="CEL",
LEFT(A2229,3)="MON",
LEFT(A2229,3)="PRE",
LEFT(A2229,3)="PRH",
ISNUMBER(SEARCH("NOTEBOOK",B2229)),
ISNUMBER(SEARCH("LAPTOP",B2229)),
ISNUMBER(SEARCH("MONITOR",B2229)),
ISNUMBER(SEARCH("TABLET",B2229)),
ISNUMBER(SEARCH("SMARTPH",B2229)),
ISNUMBER(SEARCH("IMPRESORA",B2229)),
ISNUMBER(SEARCH("MULTIFUNCIONAL",B2229)),
ISNUMBER(SEARCH("AIO",B2229))
),
"GANCHO",
"NORMAL"
)
)</f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>ROUND(
IF(L2226="GANCHO",
   IF(I2228&lt;=50,I2228*1.1+4,IF(I2228&lt;=120,I2228*1.1+7,IF(I2228&lt;=250,I2228*1.1+11,I2228*1.1+19))),
IF(L2226="NORMAL",
   IF(I2228&lt;=30,I2228*1.15+2,IF(I2228&lt;=80,I2228*1.15+4,IF(I2228&lt;=150,I2228*1.15+6,I2228*1.15+8))),
IF(L2226="COMPLEMENTO",
   IF(I2228&lt;=25,I2228*1.25+1.5,IF(I2228&lt;=60,I2228*1.25+3,IF(I2228&lt;=120,I2228*1.25+4,I2228*1.25+5))),
""))),2)</f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>IF(
OR(
ISNUMBER(SEARCH("BACKPACK",B2230)),
ISNUMBER(SEARCH("MOCHILA",B2230)),
ISNUMBER(SEARCH("FUNDA",B2230)),
ISNUMBER(SEARCH("ESTUCHE",B2230)),
ISNUMBER(SEARCH("BOOK COVER",B2230)),
ISNUMBER(SEARCH("KEYBOARD PARA TABLET",B2230)),
ISNUMBER(SEARCH("FLIP TABLET",B2230)),
ISNUMBER(SEARCH("CASE FOR TABLET",B2230)),
ISNUMBER(SEARCH("CABLE",B2230)),
ISNUMBER(SEARCH("ADAPTADOR",B2230)),
ISNUMBER(SEARCH("HUB",B2230)),
ISNUMBER(SEARCH("DOCK",B2230)),
ISNUMBER(SEARCH("MOUSE PAD",B2230)),
ISNUMBER(SEARCH("MOUSEPAD",B2230)),
ISNUMBER(SEARCH("SOPORTE",B2230)),
ISNUMBER(SEARCH("STAND",B2230)),
ISNUMBER(SEARCH("TRAVEL ADAPTER",B2230)),
ISNUMBER(SEARCH("RJ45",B2230)),
ISNUMBER(SEARCH("USB-C",B2230)),
ISNUMBER(SEARCH("USB WIFI",B2230)),
ISNUMBER(SEARCH("POWERBANK",B2230)),
ISNUMBER(SEARCH("CARGADOR",B2230)),
ISNUMBER(SEARCH("COOLER PARA NB",B2230)),
ISNUMBER(SEARCH("SOPORTE PARA NB",B2230)),
ISNUMBER(SEARCH("WEBCAM",B2230)),
ISNUMBER(SEARCH("WEB CAM",B2230)),
ISNUMBER(SEARCH("MOUSE",B2230)),
ISNUMBER(SEARCH("TECLADO",B2230))
),
"COMPLEMENTO",
IF(
OR(
LEFT(A2230,2)="NB",
LEFT(A2230,2)="PC",
LEFT(A2230,2)="WS",
LEFT(A2230,2)="TB",
LEFT(A2230,3)="CEL",
LEFT(A2230,3)="MON",
LEFT(A2230,3)="PRE",
LEFT(A2230,3)="PRH",
ISNUMBER(SEARCH("NOTEBOOK",B2230)),
ISNUMBER(SEARCH("LAPTOP",B2230)),
ISNUMBER(SEARCH("MONITOR",B2230)),
ISNUMBER(SEARCH("TABLET",B2230)),
ISNUMBER(SEARCH("SMARTPH",B2230)),
ISNUMBER(SEARCH("IMPRESORA",B2230)),
ISNUMBER(SEARCH("MULTIFUNCIONAL",B2230)),
ISNUMBER(SEARCH("AIO",B2230))
),
"GANCHO",
"NORMAL"
)
)</f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>ROUND(
IF(L2227="GANCHO",
   IF(I2229&lt;=50,I2229*1.1+4,IF(I2229&lt;=120,I2229*1.1+7,IF(I2229&lt;=250,I2229*1.1+11,I2229*1.1+19))),
IF(L2227="NORMAL",
   IF(I2229&lt;=30,I2229*1.15+2,IF(I2229&lt;=80,I2229*1.15+4,IF(I2229&lt;=150,I2229*1.15+6,I2229*1.15+8))),
IF(L2227="COMPLEMENTO",
   IF(I2229&lt;=25,I2229*1.25+1.5,IF(I2229&lt;=60,I2229*1.25+3,IF(I2229&lt;=120,I2229*1.25+4,I2229*1.25+5))),
""))),2)</f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>IF(
OR(
ISNUMBER(SEARCH("BACKPACK",B2231)),
ISNUMBER(SEARCH("MOCHILA",B2231)),
ISNUMBER(SEARCH("FUNDA",B2231)),
ISNUMBER(SEARCH("ESTUCHE",B2231)),
ISNUMBER(SEARCH("BOOK COVER",B2231)),
ISNUMBER(SEARCH("KEYBOARD PARA TABLET",B2231)),
ISNUMBER(SEARCH("FLIP TABLET",B2231)),
ISNUMBER(SEARCH("CASE FOR TABLET",B2231)),
ISNUMBER(SEARCH("CABLE",B2231)),
ISNUMBER(SEARCH("ADAPTADOR",B2231)),
ISNUMBER(SEARCH("HUB",B2231)),
ISNUMBER(SEARCH("DOCK",B2231)),
ISNUMBER(SEARCH("MOUSE PAD",B2231)),
ISNUMBER(SEARCH("MOUSEPAD",B2231)),
ISNUMBER(SEARCH("SOPORTE",B2231)),
ISNUMBER(SEARCH("STAND",B2231)),
ISNUMBER(SEARCH("TRAVEL ADAPTER",B2231)),
ISNUMBER(SEARCH("RJ45",B2231)),
ISNUMBER(SEARCH("USB-C",B2231)),
ISNUMBER(SEARCH("USB WIFI",B2231)),
ISNUMBER(SEARCH("POWERBANK",B2231)),
ISNUMBER(SEARCH("CARGADOR",B2231)),
ISNUMBER(SEARCH("COOLER PARA NB",B2231)),
ISNUMBER(SEARCH("SOPORTE PARA NB",B2231)),
ISNUMBER(SEARCH("WEBCAM",B2231)),
ISNUMBER(SEARCH("WEB CAM",B2231)),
ISNUMBER(SEARCH("MOUSE",B2231)),
ISNUMBER(SEARCH("TECLADO",B2231))
),
"COMPLEMENTO",
IF(
OR(
LEFT(A2231,2)="NB",
LEFT(A2231,2)="PC",
LEFT(A2231,2)="WS",
LEFT(A2231,2)="TB",
LEFT(A2231,3)="CEL",
LEFT(A2231,3)="MON",
LEFT(A2231,3)="PRE",
LEFT(A2231,3)="PRH",
ISNUMBER(SEARCH("NOTEBOOK",B2231)),
ISNUMBER(SEARCH("LAPTOP",B2231)),
ISNUMBER(SEARCH("MONITOR",B2231)),
ISNUMBER(SEARCH("TABLET",B2231)),
ISNUMBER(SEARCH("SMARTPH",B2231)),
ISNUMBER(SEARCH("IMPRESORA",B2231)),
ISNUMBER(SEARCH("MULTIFUNCIONAL",B2231)),
ISNUMBER(SEARCH("AIO",B2231))
),
"GANCHO",
"NORMAL"
)
)</f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>ROUND(
IF(L2228="GANCHO",
   IF(I2230&lt;=50,I2230*1.1+4,IF(I2230&lt;=120,I2230*1.1+7,IF(I2230&lt;=250,I2230*1.1+11,I2230*1.1+19))),
IF(L2228="NORMAL",
   IF(I2230&lt;=30,I2230*1.15+2,IF(I2230&lt;=80,I2230*1.15+4,IF(I2230&lt;=150,I2230*1.15+6,I2230*1.15+8))),
IF(L2228="COMPLEMENTO",
   IF(I2230&lt;=25,I2230*1.25+1.5,IF(I2230&lt;=60,I2230*1.25+3,IF(I2230&lt;=120,I2230*1.25+4,I2230*1.25+5))),
""))),2)</f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>IF(
OR(
ISNUMBER(SEARCH("BACKPACK",B2232)),
ISNUMBER(SEARCH("MOCHILA",B2232)),
ISNUMBER(SEARCH("FUNDA",B2232)),
ISNUMBER(SEARCH("ESTUCHE",B2232)),
ISNUMBER(SEARCH("BOOK COVER",B2232)),
ISNUMBER(SEARCH("KEYBOARD PARA TABLET",B2232)),
ISNUMBER(SEARCH("FLIP TABLET",B2232)),
ISNUMBER(SEARCH("CASE FOR TABLET",B2232)),
ISNUMBER(SEARCH("CABLE",B2232)),
ISNUMBER(SEARCH("ADAPTADOR",B2232)),
ISNUMBER(SEARCH("HUB",B2232)),
ISNUMBER(SEARCH("DOCK",B2232)),
ISNUMBER(SEARCH("MOUSE PAD",B2232)),
ISNUMBER(SEARCH("MOUSEPAD",B2232)),
ISNUMBER(SEARCH("SOPORTE",B2232)),
ISNUMBER(SEARCH("STAND",B2232)),
ISNUMBER(SEARCH("TRAVEL ADAPTER",B2232)),
ISNUMBER(SEARCH("RJ45",B2232)),
ISNUMBER(SEARCH("USB-C",B2232)),
ISNUMBER(SEARCH("USB WIFI",B2232)),
ISNUMBER(SEARCH("POWERBANK",B2232)),
ISNUMBER(SEARCH("CARGADOR",B2232)),
ISNUMBER(SEARCH("COOLER PARA NB",B2232)),
ISNUMBER(SEARCH("SOPORTE PARA NB",B2232)),
ISNUMBER(SEARCH("WEBCAM",B2232)),
ISNUMBER(SEARCH("WEB CAM",B2232)),
ISNUMBER(SEARCH("MOUSE",B2232)),
ISNUMBER(SEARCH("TECLADO",B2232))
),
"COMPLEMENTO",
IF(
OR(
LEFT(A2232,2)="NB",
LEFT(A2232,2)="PC",
LEFT(A2232,2)="WS",
LEFT(A2232,2)="TB",
LEFT(A2232,3)="CEL",
LEFT(A2232,3)="MON",
LEFT(A2232,3)="PRE",
LEFT(A2232,3)="PRH",
ISNUMBER(SEARCH("NOTEBOOK",B2232)),
ISNUMBER(SEARCH("LAPTOP",B2232)),
ISNUMBER(SEARCH("MONITOR",B2232)),
ISNUMBER(SEARCH("TABLET",B2232)),
ISNUMBER(SEARCH("SMARTPH",B2232)),
ISNUMBER(SEARCH("IMPRESORA",B2232)),
ISNUMBER(SEARCH("MULTIFUNCIONAL",B2232)),
ISNUMBER(SEARCH("AIO",B2232))
),
"GANCHO",
"NORMAL"
)
)</f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>ROUND(
IF(L2229="GANCHO",
   IF(I2231&lt;=50,I2231*1.1+4,IF(I2231&lt;=120,I2231*1.1+7,IF(I2231&lt;=250,I2231*1.1+11,I2231*1.1+19))),
IF(L2229="NORMAL",
   IF(I2231&lt;=30,I2231*1.15+2,IF(I2231&lt;=80,I2231*1.15+4,IF(I2231&lt;=150,I2231*1.15+6,I2231*1.15+8))),
IF(L2229="COMPLEMENTO",
   IF(I2231&lt;=25,I2231*1.25+1.5,IF(I2231&lt;=60,I2231*1.25+3,IF(I2231&lt;=120,I2231*1.25+4,I2231*1.25+5))),
""))),2)</f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>IF(
OR(
ISNUMBER(SEARCH("BACKPACK",B2233)),
ISNUMBER(SEARCH("MOCHILA",B2233)),
ISNUMBER(SEARCH("FUNDA",B2233)),
ISNUMBER(SEARCH("ESTUCHE",B2233)),
ISNUMBER(SEARCH("BOOK COVER",B2233)),
ISNUMBER(SEARCH("KEYBOARD PARA TABLET",B2233)),
ISNUMBER(SEARCH("FLIP TABLET",B2233)),
ISNUMBER(SEARCH("CASE FOR TABLET",B2233)),
ISNUMBER(SEARCH("CABLE",B2233)),
ISNUMBER(SEARCH("ADAPTADOR",B2233)),
ISNUMBER(SEARCH("HUB",B2233)),
ISNUMBER(SEARCH("DOCK",B2233)),
ISNUMBER(SEARCH("MOUSE PAD",B2233)),
ISNUMBER(SEARCH("MOUSEPAD",B2233)),
ISNUMBER(SEARCH("SOPORTE",B2233)),
ISNUMBER(SEARCH("STAND",B2233)),
ISNUMBER(SEARCH("TRAVEL ADAPTER",B2233)),
ISNUMBER(SEARCH("RJ45",B2233)),
ISNUMBER(SEARCH("USB-C",B2233)),
ISNUMBER(SEARCH("USB WIFI",B2233)),
ISNUMBER(SEARCH("POWERBANK",B2233)),
ISNUMBER(SEARCH("CARGADOR",B2233)),
ISNUMBER(SEARCH("COOLER PARA NB",B2233)),
ISNUMBER(SEARCH("SOPORTE PARA NB",B2233)),
ISNUMBER(SEARCH("WEBCAM",B2233)),
ISNUMBER(SEARCH("WEB CAM",B2233)),
ISNUMBER(SEARCH("MOUSE",B2233)),
ISNUMBER(SEARCH("TECLADO",B2233))
),
"COMPLEMENTO",
IF(
OR(
LEFT(A2233,2)="NB",
LEFT(A2233,2)="PC",
LEFT(A2233,2)="WS",
LEFT(A2233,2)="TB",
LEFT(A2233,3)="CEL",
LEFT(A2233,3)="MON",
LEFT(A2233,3)="PRE",
LEFT(A2233,3)="PRH",
ISNUMBER(SEARCH("NOTEBOOK",B2233)),
ISNUMBER(SEARCH("LAPTOP",B2233)),
ISNUMBER(SEARCH("MONITOR",B2233)),
ISNUMBER(SEARCH("TABLET",B2233)),
ISNUMBER(SEARCH("SMARTPH",B2233)),
ISNUMBER(SEARCH("IMPRESORA",B2233)),
ISNUMBER(SEARCH("MULTIFUNCIONAL",B2233)),
ISNUMBER(SEARCH("AIO",B2233))
),
"GANCHO",
"NORMAL"
)
)</f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>ROUND(
IF(L2230="GANCHO",
   IF(I2232&lt;=50,I2232*1.1+4,IF(I2232&lt;=120,I2232*1.1+7,IF(I2232&lt;=250,I2232*1.1+11,I2232*1.1+19))),
IF(L2230="NORMAL",
   IF(I2232&lt;=30,I2232*1.15+2,IF(I2232&lt;=80,I2232*1.15+4,IF(I2232&lt;=150,I2232*1.15+6,I2232*1.15+8))),
IF(L2230="COMPLEMENTO",
   IF(I2232&lt;=25,I2232*1.25+1.5,IF(I2232&lt;=60,I2232*1.25+3,IF(I2232&lt;=120,I2232*1.25+4,I2232*1.25+5))),
""))),2)</f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>IF(
OR(
ISNUMBER(SEARCH("BACKPACK",B2234)),
ISNUMBER(SEARCH("MOCHILA",B2234)),
ISNUMBER(SEARCH("FUNDA",B2234)),
ISNUMBER(SEARCH("ESTUCHE",B2234)),
ISNUMBER(SEARCH("BOOK COVER",B2234)),
ISNUMBER(SEARCH("KEYBOARD PARA TABLET",B2234)),
ISNUMBER(SEARCH("FLIP TABLET",B2234)),
ISNUMBER(SEARCH("CASE FOR TABLET",B2234)),
ISNUMBER(SEARCH("CABLE",B2234)),
ISNUMBER(SEARCH("ADAPTADOR",B2234)),
ISNUMBER(SEARCH("HUB",B2234)),
ISNUMBER(SEARCH("DOCK",B2234)),
ISNUMBER(SEARCH("MOUSE PAD",B2234)),
ISNUMBER(SEARCH("MOUSEPAD",B2234)),
ISNUMBER(SEARCH("SOPORTE",B2234)),
ISNUMBER(SEARCH("STAND",B2234)),
ISNUMBER(SEARCH("TRAVEL ADAPTER",B2234)),
ISNUMBER(SEARCH("RJ45",B2234)),
ISNUMBER(SEARCH("USB-C",B2234)),
ISNUMBER(SEARCH("USB WIFI",B2234)),
ISNUMBER(SEARCH("POWERBANK",B2234)),
ISNUMBER(SEARCH("CARGADOR",B2234)),
ISNUMBER(SEARCH("COOLER PARA NB",B2234)),
ISNUMBER(SEARCH("SOPORTE PARA NB",B2234)),
ISNUMBER(SEARCH("WEBCAM",B2234)),
ISNUMBER(SEARCH("WEB CAM",B2234)),
ISNUMBER(SEARCH("MOUSE",B2234)),
ISNUMBER(SEARCH("TECLADO",B2234))
),
"COMPLEMENTO",
IF(
OR(
LEFT(A2234,2)="NB",
LEFT(A2234,2)="PC",
LEFT(A2234,2)="WS",
LEFT(A2234,2)="TB",
LEFT(A2234,3)="CEL",
LEFT(A2234,3)="MON",
LEFT(A2234,3)="PRE",
LEFT(A2234,3)="PRH",
ISNUMBER(SEARCH("NOTEBOOK",B2234)),
ISNUMBER(SEARCH("LAPTOP",B2234)),
ISNUMBER(SEARCH("MONITOR",B2234)),
ISNUMBER(SEARCH("TABLET",B2234)),
ISNUMBER(SEARCH("SMARTPH",B2234)),
ISNUMBER(SEARCH("IMPRESORA",B2234)),
ISNUMBER(SEARCH("MULTIFUNCIONAL",B2234)),
ISNUMBER(SEARCH("AIO",B2234))
),
"GANCHO",
"NORMAL"
)
)</f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>ROUND(
IF(L2231="GANCHO",
   IF(I2233&lt;=50,I2233*1.1+4,IF(I2233&lt;=120,I2233*1.1+7,IF(I2233&lt;=250,I2233*1.1+11,I2233*1.1+19))),
IF(L2231="NORMAL",
   IF(I2233&lt;=30,I2233*1.15+2,IF(I2233&lt;=80,I2233*1.15+4,IF(I2233&lt;=150,I2233*1.15+6,I2233*1.15+8))),
IF(L2231="COMPLEMENTO",
   IF(I2233&lt;=25,I2233*1.25+1.5,IF(I2233&lt;=60,I2233*1.25+3,IF(I2233&lt;=120,I2233*1.25+4,I2233*1.25+5))),
""))),2)</f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>IF(
OR(
ISNUMBER(SEARCH("BACKPACK",B2235)),
ISNUMBER(SEARCH("MOCHILA",B2235)),
ISNUMBER(SEARCH("FUNDA",B2235)),
ISNUMBER(SEARCH("ESTUCHE",B2235)),
ISNUMBER(SEARCH("BOOK COVER",B2235)),
ISNUMBER(SEARCH("KEYBOARD PARA TABLET",B2235)),
ISNUMBER(SEARCH("FLIP TABLET",B2235)),
ISNUMBER(SEARCH("CASE FOR TABLET",B2235)),
ISNUMBER(SEARCH("CABLE",B2235)),
ISNUMBER(SEARCH("ADAPTADOR",B2235)),
ISNUMBER(SEARCH("HUB",B2235)),
ISNUMBER(SEARCH("DOCK",B2235)),
ISNUMBER(SEARCH("MOUSE PAD",B2235)),
ISNUMBER(SEARCH("MOUSEPAD",B2235)),
ISNUMBER(SEARCH("SOPORTE",B2235)),
ISNUMBER(SEARCH("STAND",B2235)),
ISNUMBER(SEARCH("TRAVEL ADAPTER",B2235)),
ISNUMBER(SEARCH("RJ45",B2235)),
ISNUMBER(SEARCH("USB-C",B2235)),
ISNUMBER(SEARCH("USB WIFI",B2235)),
ISNUMBER(SEARCH("POWERBANK",B2235)),
ISNUMBER(SEARCH("CARGADOR",B2235)),
ISNUMBER(SEARCH("COOLER PARA NB",B2235)),
ISNUMBER(SEARCH("SOPORTE PARA NB",B2235)),
ISNUMBER(SEARCH("WEBCAM",B2235)),
ISNUMBER(SEARCH("WEB CAM",B2235)),
ISNUMBER(SEARCH("MOUSE",B2235)),
ISNUMBER(SEARCH("TECLADO",B2235))
),
"COMPLEMENTO",
IF(
OR(
LEFT(A2235,2)="NB",
LEFT(A2235,2)="PC",
LEFT(A2235,2)="WS",
LEFT(A2235,2)="TB",
LEFT(A2235,3)="CEL",
LEFT(A2235,3)="MON",
LEFT(A2235,3)="PRE",
LEFT(A2235,3)="PRH",
ISNUMBER(SEARCH("NOTEBOOK",B2235)),
ISNUMBER(SEARCH("LAPTOP",B2235)),
ISNUMBER(SEARCH("MONITOR",B2235)),
ISNUMBER(SEARCH("TABLET",B2235)),
ISNUMBER(SEARCH("SMARTPH",B2235)),
ISNUMBER(SEARCH("IMPRESORA",B2235)),
ISNUMBER(SEARCH("MULTIFUNCIONAL",B2235)),
ISNUMBER(SEARCH("AIO",B2235))
),
"GANCHO",
"NORMAL"
)
)</f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>ROUND(
IF(L2232="GANCHO",
   IF(I2234&lt;=50,I2234*1.1+4,IF(I2234&lt;=120,I2234*1.1+7,IF(I2234&lt;=250,I2234*1.1+11,I2234*1.1+19))),
IF(L2232="NORMAL",
   IF(I2234&lt;=30,I2234*1.15+2,IF(I2234&lt;=80,I2234*1.15+4,IF(I2234&lt;=150,I2234*1.15+6,I2234*1.15+8))),
IF(L2232="COMPLEMENTO",
   IF(I2234&lt;=25,I2234*1.25+1.5,IF(I2234&lt;=60,I2234*1.25+3,IF(I2234&lt;=120,I2234*1.25+4,I2234*1.25+5))),
""))),2)</f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>IF(
OR(
ISNUMBER(SEARCH("BACKPACK",B2236)),
ISNUMBER(SEARCH("MOCHILA",B2236)),
ISNUMBER(SEARCH("FUNDA",B2236)),
ISNUMBER(SEARCH("ESTUCHE",B2236)),
ISNUMBER(SEARCH("BOOK COVER",B2236)),
ISNUMBER(SEARCH("KEYBOARD PARA TABLET",B2236)),
ISNUMBER(SEARCH("FLIP TABLET",B2236)),
ISNUMBER(SEARCH("CASE FOR TABLET",B2236)),
ISNUMBER(SEARCH("CABLE",B2236)),
ISNUMBER(SEARCH("ADAPTADOR",B2236)),
ISNUMBER(SEARCH("HUB",B2236)),
ISNUMBER(SEARCH("DOCK",B2236)),
ISNUMBER(SEARCH("MOUSE PAD",B2236)),
ISNUMBER(SEARCH("MOUSEPAD",B2236)),
ISNUMBER(SEARCH("SOPORTE",B2236)),
ISNUMBER(SEARCH("STAND",B2236)),
ISNUMBER(SEARCH("TRAVEL ADAPTER",B2236)),
ISNUMBER(SEARCH("RJ45",B2236)),
ISNUMBER(SEARCH("USB-C",B2236)),
ISNUMBER(SEARCH("USB WIFI",B2236)),
ISNUMBER(SEARCH("POWERBANK",B2236)),
ISNUMBER(SEARCH("CARGADOR",B2236)),
ISNUMBER(SEARCH("COOLER PARA NB",B2236)),
ISNUMBER(SEARCH("SOPORTE PARA NB",B2236)),
ISNUMBER(SEARCH("WEBCAM",B2236)),
ISNUMBER(SEARCH("WEB CAM",B2236)),
ISNUMBER(SEARCH("MOUSE",B2236)),
ISNUMBER(SEARCH("TECLADO",B2236))
),
"COMPLEMENTO",
IF(
OR(
LEFT(A2236,2)="NB",
LEFT(A2236,2)="PC",
LEFT(A2236,2)="WS",
LEFT(A2236,2)="TB",
LEFT(A2236,3)="CEL",
LEFT(A2236,3)="MON",
LEFT(A2236,3)="PRE",
LEFT(A2236,3)="PRH",
ISNUMBER(SEARCH("NOTEBOOK",B2236)),
ISNUMBER(SEARCH("LAPTOP",B2236)),
ISNUMBER(SEARCH("MONITOR",B2236)),
ISNUMBER(SEARCH("TABLET",B2236)),
ISNUMBER(SEARCH("SMARTPH",B2236)),
ISNUMBER(SEARCH("IMPRESORA",B2236)),
ISNUMBER(SEARCH("MULTIFUNCIONAL",B2236)),
ISNUMBER(SEARCH("AIO",B2236))
),
"GANCHO",
"NORMAL"
)
)</f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>ROUND(
IF(L2233="GANCHO",
   IF(I2235&lt;=50,I2235*1.1+4,IF(I2235&lt;=120,I2235*1.1+7,IF(I2235&lt;=250,I2235*1.1+11,I2235*1.1+19))),
IF(L2233="NORMAL",
   IF(I2235&lt;=30,I2235*1.15+2,IF(I2235&lt;=80,I2235*1.15+4,IF(I2235&lt;=150,I2235*1.15+6,I2235*1.15+8))),
IF(L2233="COMPLEMENTO",
   IF(I2235&lt;=25,I2235*1.25+1.5,IF(I2235&lt;=60,I2235*1.25+3,IF(I2235&lt;=120,I2235*1.25+4,I2235*1.25+5))),
""))),2)</f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>IF(
OR(
ISNUMBER(SEARCH("BACKPACK",B2237)),
ISNUMBER(SEARCH("MOCHILA",B2237)),
ISNUMBER(SEARCH("FUNDA",B2237)),
ISNUMBER(SEARCH("ESTUCHE",B2237)),
ISNUMBER(SEARCH("BOOK COVER",B2237)),
ISNUMBER(SEARCH("KEYBOARD PARA TABLET",B2237)),
ISNUMBER(SEARCH("FLIP TABLET",B2237)),
ISNUMBER(SEARCH("CASE FOR TABLET",B2237)),
ISNUMBER(SEARCH("CABLE",B2237)),
ISNUMBER(SEARCH("ADAPTADOR",B2237)),
ISNUMBER(SEARCH("HUB",B2237)),
ISNUMBER(SEARCH("DOCK",B2237)),
ISNUMBER(SEARCH("MOUSE PAD",B2237)),
ISNUMBER(SEARCH("MOUSEPAD",B2237)),
ISNUMBER(SEARCH("SOPORTE",B2237)),
ISNUMBER(SEARCH("STAND",B2237)),
ISNUMBER(SEARCH("TRAVEL ADAPTER",B2237)),
ISNUMBER(SEARCH("RJ45",B2237)),
ISNUMBER(SEARCH("USB-C",B2237)),
ISNUMBER(SEARCH("USB WIFI",B2237)),
ISNUMBER(SEARCH("POWERBANK",B2237)),
ISNUMBER(SEARCH("CARGADOR",B2237)),
ISNUMBER(SEARCH("COOLER PARA NB",B2237)),
ISNUMBER(SEARCH("SOPORTE PARA NB",B2237)),
ISNUMBER(SEARCH("WEBCAM",B2237)),
ISNUMBER(SEARCH("WEB CAM",B2237)),
ISNUMBER(SEARCH("MOUSE",B2237)),
ISNUMBER(SEARCH("TECLADO",B2237))
),
"COMPLEMENTO",
IF(
OR(
LEFT(A2237,2)="NB",
LEFT(A2237,2)="PC",
LEFT(A2237,2)="WS",
LEFT(A2237,2)="TB",
LEFT(A2237,3)="CEL",
LEFT(A2237,3)="MON",
LEFT(A2237,3)="PRE",
LEFT(A2237,3)="PRH",
ISNUMBER(SEARCH("NOTEBOOK",B2237)),
ISNUMBER(SEARCH("LAPTOP",B2237)),
ISNUMBER(SEARCH("MONITOR",B2237)),
ISNUMBER(SEARCH("TABLET",B2237)),
ISNUMBER(SEARCH("SMARTPH",B2237)),
ISNUMBER(SEARCH("IMPRESORA",B2237)),
ISNUMBER(SEARCH("MULTIFUNCIONAL",B2237)),
ISNUMBER(SEARCH("AIO",B2237))
),
"GANCHO",
"NORMAL"
)
)</f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>ROUND(
IF(L2234="GANCHO",
   IF(I2236&lt;=50,I2236*1.1+4,IF(I2236&lt;=120,I2236*1.1+7,IF(I2236&lt;=250,I2236*1.1+11,I2236*1.1+19))),
IF(L2234="NORMAL",
   IF(I2236&lt;=30,I2236*1.15+2,IF(I2236&lt;=80,I2236*1.15+4,IF(I2236&lt;=150,I2236*1.15+6,I2236*1.15+8))),
IF(L2234="COMPLEMENTO",
   IF(I2236&lt;=25,I2236*1.25+1.5,IF(I2236&lt;=60,I2236*1.25+3,IF(I2236&lt;=120,I2236*1.25+4,I2236*1.25+5))),
""))),2)</f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>IF(
OR(
ISNUMBER(SEARCH("BACKPACK",B2238)),
ISNUMBER(SEARCH("MOCHILA",B2238)),
ISNUMBER(SEARCH("FUNDA",B2238)),
ISNUMBER(SEARCH("ESTUCHE",B2238)),
ISNUMBER(SEARCH("BOOK COVER",B2238)),
ISNUMBER(SEARCH("KEYBOARD PARA TABLET",B2238)),
ISNUMBER(SEARCH("FLIP TABLET",B2238)),
ISNUMBER(SEARCH("CASE FOR TABLET",B2238)),
ISNUMBER(SEARCH("CABLE",B2238)),
ISNUMBER(SEARCH("ADAPTADOR",B2238)),
ISNUMBER(SEARCH("HUB",B2238)),
ISNUMBER(SEARCH("DOCK",B2238)),
ISNUMBER(SEARCH("MOUSE PAD",B2238)),
ISNUMBER(SEARCH("MOUSEPAD",B2238)),
ISNUMBER(SEARCH("SOPORTE",B2238)),
ISNUMBER(SEARCH("STAND",B2238)),
ISNUMBER(SEARCH("TRAVEL ADAPTER",B2238)),
ISNUMBER(SEARCH("RJ45",B2238)),
ISNUMBER(SEARCH("USB-C",B2238)),
ISNUMBER(SEARCH("USB WIFI",B2238)),
ISNUMBER(SEARCH("POWERBANK",B2238)),
ISNUMBER(SEARCH("CARGADOR",B2238)),
ISNUMBER(SEARCH("COOLER PARA NB",B2238)),
ISNUMBER(SEARCH("SOPORTE PARA NB",B2238)),
ISNUMBER(SEARCH("WEBCAM",B2238)),
ISNUMBER(SEARCH("WEB CAM",B2238)),
ISNUMBER(SEARCH("MOUSE",B2238)),
ISNUMBER(SEARCH("TECLADO",B2238))
),
"COMPLEMENTO",
IF(
OR(
LEFT(A2238,2)="NB",
LEFT(A2238,2)="PC",
LEFT(A2238,2)="WS",
LEFT(A2238,2)="TB",
LEFT(A2238,3)="CEL",
LEFT(A2238,3)="MON",
LEFT(A2238,3)="PRE",
LEFT(A2238,3)="PRH",
ISNUMBER(SEARCH("NOTEBOOK",B2238)),
ISNUMBER(SEARCH("LAPTOP",B2238)),
ISNUMBER(SEARCH("MONITOR",B2238)),
ISNUMBER(SEARCH("TABLET",B2238)),
ISNUMBER(SEARCH("SMARTPH",B2238)),
ISNUMBER(SEARCH("IMPRESORA",B2238)),
ISNUMBER(SEARCH("MULTIFUNCIONAL",B2238)),
ISNUMBER(SEARCH("AIO",B2238))
),
"GANCHO",
"NORMAL"
)
)</f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>ROUND(
IF(L2235="GANCHO",
   IF(I2237&lt;=50,I2237*1.1+4,IF(I2237&lt;=120,I2237*1.1+7,IF(I2237&lt;=250,I2237*1.1+11,I2237*1.1+19))),
IF(L2235="NORMAL",
   IF(I2237&lt;=30,I2237*1.15+2,IF(I2237&lt;=80,I2237*1.15+4,IF(I2237&lt;=150,I2237*1.15+6,I2237*1.15+8))),
IF(L2235="COMPLEMENTO",
   IF(I2237&lt;=25,I2237*1.25+1.5,IF(I2237&lt;=60,I2237*1.25+3,IF(I2237&lt;=120,I2237*1.25+4,I2237*1.25+5))),
""))),2)</f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>IF(
OR(
ISNUMBER(SEARCH("BACKPACK",B2239)),
ISNUMBER(SEARCH("MOCHILA",B2239)),
ISNUMBER(SEARCH("FUNDA",B2239)),
ISNUMBER(SEARCH("ESTUCHE",B2239)),
ISNUMBER(SEARCH("BOOK COVER",B2239)),
ISNUMBER(SEARCH("KEYBOARD PARA TABLET",B2239)),
ISNUMBER(SEARCH("FLIP TABLET",B2239)),
ISNUMBER(SEARCH("CASE FOR TABLET",B2239)),
ISNUMBER(SEARCH("CABLE",B2239)),
ISNUMBER(SEARCH("ADAPTADOR",B2239)),
ISNUMBER(SEARCH("HUB",B2239)),
ISNUMBER(SEARCH("DOCK",B2239)),
ISNUMBER(SEARCH("MOUSE PAD",B2239)),
ISNUMBER(SEARCH("MOUSEPAD",B2239)),
ISNUMBER(SEARCH("SOPORTE",B2239)),
ISNUMBER(SEARCH("STAND",B2239)),
ISNUMBER(SEARCH("TRAVEL ADAPTER",B2239)),
ISNUMBER(SEARCH("RJ45",B2239)),
ISNUMBER(SEARCH("USB-C",B2239)),
ISNUMBER(SEARCH("USB WIFI",B2239)),
ISNUMBER(SEARCH("POWERBANK",B2239)),
ISNUMBER(SEARCH("CARGADOR",B2239)),
ISNUMBER(SEARCH("COOLER PARA NB",B2239)),
ISNUMBER(SEARCH("SOPORTE PARA NB",B2239)),
ISNUMBER(SEARCH("WEBCAM",B2239)),
ISNUMBER(SEARCH("WEB CAM",B2239)),
ISNUMBER(SEARCH("MOUSE",B2239)),
ISNUMBER(SEARCH("TECLADO",B2239))
),
"COMPLEMENTO",
IF(
OR(
LEFT(A2239,2)="NB",
LEFT(A2239,2)="PC",
LEFT(A2239,2)="WS",
LEFT(A2239,2)="TB",
LEFT(A2239,3)="CEL",
LEFT(A2239,3)="MON",
LEFT(A2239,3)="PRE",
LEFT(A2239,3)="PRH",
ISNUMBER(SEARCH("NOTEBOOK",B2239)),
ISNUMBER(SEARCH("LAPTOP",B2239)),
ISNUMBER(SEARCH("MONITOR",B2239)),
ISNUMBER(SEARCH("TABLET",B2239)),
ISNUMBER(SEARCH("SMARTPH",B2239)),
ISNUMBER(SEARCH("IMPRESORA",B2239)),
ISNUMBER(SEARCH("MULTIFUNCIONAL",B2239)),
ISNUMBER(SEARCH("AIO",B2239))
),
"GANCHO",
"NORMAL"
)
)</f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>ROUND(
IF(L2236="GANCHO",
   IF(I2238&lt;=50,I2238*1.1+4,IF(I2238&lt;=120,I2238*1.1+7,IF(I2238&lt;=250,I2238*1.1+11,I2238*1.1+19))),
IF(L2236="NORMAL",
   IF(I2238&lt;=30,I2238*1.15+2,IF(I2238&lt;=80,I2238*1.15+4,IF(I2238&lt;=150,I2238*1.15+6,I2238*1.15+8))),
IF(L2236="COMPLEMENTO",
   IF(I2238&lt;=25,I2238*1.25+1.5,IF(I2238&lt;=60,I2238*1.25+3,IF(I2238&lt;=120,I2238*1.25+4,I2238*1.25+5))),
""))),2)</f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>IF(
OR(
ISNUMBER(SEARCH("BACKPACK",B2240)),
ISNUMBER(SEARCH("MOCHILA",B2240)),
ISNUMBER(SEARCH("FUNDA",B2240)),
ISNUMBER(SEARCH("ESTUCHE",B2240)),
ISNUMBER(SEARCH("BOOK COVER",B2240)),
ISNUMBER(SEARCH("KEYBOARD PARA TABLET",B2240)),
ISNUMBER(SEARCH("FLIP TABLET",B2240)),
ISNUMBER(SEARCH("CASE FOR TABLET",B2240)),
ISNUMBER(SEARCH("CABLE",B2240)),
ISNUMBER(SEARCH("ADAPTADOR",B2240)),
ISNUMBER(SEARCH("HUB",B2240)),
ISNUMBER(SEARCH("DOCK",B2240)),
ISNUMBER(SEARCH("MOUSE PAD",B2240)),
ISNUMBER(SEARCH("MOUSEPAD",B2240)),
ISNUMBER(SEARCH("SOPORTE",B2240)),
ISNUMBER(SEARCH("STAND",B2240)),
ISNUMBER(SEARCH("TRAVEL ADAPTER",B2240)),
ISNUMBER(SEARCH("RJ45",B2240)),
ISNUMBER(SEARCH("USB-C",B2240)),
ISNUMBER(SEARCH("USB WIFI",B2240)),
ISNUMBER(SEARCH("POWERBANK",B2240)),
ISNUMBER(SEARCH("CARGADOR",B2240)),
ISNUMBER(SEARCH("COOLER PARA NB",B2240)),
ISNUMBER(SEARCH("SOPORTE PARA NB",B2240)),
ISNUMBER(SEARCH("WEBCAM",B2240)),
ISNUMBER(SEARCH("WEB CAM",B2240)),
ISNUMBER(SEARCH("MOUSE",B2240)),
ISNUMBER(SEARCH("TECLADO",B2240))
),
"COMPLEMENTO",
IF(
OR(
LEFT(A2240,2)="NB",
LEFT(A2240,2)="PC",
LEFT(A2240,2)="WS",
LEFT(A2240,2)="TB",
LEFT(A2240,3)="CEL",
LEFT(A2240,3)="MON",
LEFT(A2240,3)="PRE",
LEFT(A2240,3)="PRH",
ISNUMBER(SEARCH("NOTEBOOK",B2240)),
ISNUMBER(SEARCH("LAPTOP",B2240)),
ISNUMBER(SEARCH("MONITOR",B2240)),
ISNUMBER(SEARCH("TABLET",B2240)),
ISNUMBER(SEARCH("SMARTPH",B2240)),
ISNUMBER(SEARCH("IMPRESORA",B2240)),
ISNUMBER(SEARCH("MULTIFUNCIONAL",B2240)),
ISNUMBER(SEARCH("AIO",B2240))
),
"GANCHO",
"NORMAL"
)
)</f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>ROUND(
IF(L2237="GANCHO",
   IF(I2239&lt;=50,I2239*1.1+4,IF(I2239&lt;=120,I2239*1.1+7,IF(I2239&lt;=250,I2239*1.1+11,I2239*1.1+19))),
IF(L2237="NORMAL",
   IF(I2239&lt;=30,I2239*1.15+2,IF(I2239&lt;=80,I2239*1.15+4,IF(I2239&lt;=150,I2239*1.15+6,I2239*1.15+8))),
IF(L2237="COMPLEMENTO",
   IF(I2239&lt;=25,I2239*1.25+1.5,IF(I2239&lt;=60,I2239*1.25+3,IF(I2239&lt;=120,I2239*1.25+4,I2239*1.25+5))),
""))),2)</f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>IF(
OR(
ISNUMBER(SEARCH("BACKPACK",B2241)),
ISNUMBER(SEARCH("MOCHILA",B2241)),
ISNUMBER(SEARCH("FUNDA",B2241)),
ISNUMBER(SEARCH("ESTUCHE",B2241)),
ISNUMBER(SEARCH("BOOK COVER",B2241)),
ISNUMBER(SEARCH("KEYBOARD PARA TABLET",B2241)),
ISNUMBER(SEARCH("FLIP TABLET",B2241)),
ISNUMBER(SEARCH("CASE FOR TABLET",B2241)),
ISNUMBER(SEARCH("CABLE",B2241)),
ISNUMBER(SEARCH("ADAPTADOR",B2241)),
ISNUMBER(SEARCH("HUB",B2241)),
ISNUMBER(SEARCH("DOCK",B2241)),
ISNUMBER(SEARCH("MOUSE PAD",B2241)),
ISNUMBER(SEARCH("MOUSEPAD",B2241)),
ISNUMBER(SEARCH("SOPORTE",B2241)),
ISNUMBER(SEARCH("STAND",B2241)),
ISNUMBER(SEARCH("TRAVEL ADAPTER",B2241)),
ISNUMBER(SEARCH("RJ45",B2241)),
ISNUMBER(SEARCH("USB-C",B2241)),
ISNUMBER(SEARCH("USB WIFI",B2241)),
ISNUMBER(SEARCH("POWERBANK",B2241)),
ISNUMBER(SEARCH("CARGADOR",B2241)),
ISNUMBER(SEARCH("COOLER PARA NB",B2241)),
ISNUMBER(SEARCH("SOPORTE PARA NB",B2241)),
ISNUMBER(SEARCH("WEBCAM",B2241)),
ISNUMBER(SEARCH("WEB CAM",B2241)),
ISNUMBER(SEARCH("MOUSE",B2241)),
ISNUMBER(SEARCH("TECLADO",B2241))
),
"COMPLEMENTO",
IF(
OR(
LEFT(A2241,2)="NB",
LEFT(A2241,2)="PC",
LEFT(A2241,2)="WS",
LEFT(A2241,2)="TB",
LEFT(A2241,3)="CEL",
LEFT(A2241,3)="MON",
LEFT(A2241,3)="PRE",
LEFT(A2241,3)="PRH",
ISNUMBER(SEARCH("NOTEBOOK",B2241)),
ISNUMBER(SEARCH("LAPTOP",B2241)),
ISNUMBER(SEARCH("MONITOR",B2241)),
ISNUMBER(SEARCH("TABLET",B2241)),
ISNUMBER(SEARCH("SMARTPH",B2241)),
ISNUMBER(SEARCH("IMPRESORA",B2241)),
ISNUMBER(SEARCH("MULTIFUNCIONAL",B2241)),
ISNUMBER(SEARCH("AIO",B2241))
),
"GANCHO",
"NORMAL"
)
)</f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>ROUND(
IF(L2238="GANCHO",
   IF(I2240&lt;=50,I2240*1.1+4,IF(I2240&lt;=120,I2240*1.1+7,IF(I2240&lt;=250,I2240*1.1+11,I2240*1.1+19))),
IF(L2238="NORMAL",
   IF(I2240&lt;=30,I2240*1.15+2,IF(I2240&lt;=80,I2240*1.15+4,IF(I2240&lt;=150,I2240*1.15+6,I2240*1.15+8))),
IF(L2238="COMPLEMENTO",
   IF(I2240&lt;=25,I2240*1.25+1.5,IF(I2240&lt;=60,I2240*1.25+3,IF(I2240&lt;=120,I2240*1.25+4,I2240*1.25+5))),
""))),2)</f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>ROUND(
IF(L2239="GANCHO",
   IF(I2241&lt;=50,I2241*1.1+4,IF(I2241&lt;=120,I2241*1.1+7,IF(I2241&lt;=250,I2241*1.1+11,I2241*1.1+19))),
IF(L2239="NORMAL",
   IF(I2241&lt;=30,I2241*1.15+2,IF(I2241&lt;=80,I2241*1.15+4,IF(I2241&lt;=150,I2241*1.15+6,I2241*1.15+8))),
IF(L2239="COMPLEMENTO",
   IF(I2241&lt;=25,I2241*1.25+1.5,IF(I2241&lt;=60,I2241*1.25+3,IF(I2241&lt;=120,I2241*1.25+4,I2241*1.25+5))),
""))),2)</f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>ROUND(
IF(L2240="GANCHO",
   IF(I2242&lt;=50,I2242*1.1+4,IF(I2242&lt;=120,I2242*1.1+7,IF(I2242&lt;=250,I2242*1.1+11,I2242*1.1+19))),
IF(L2240="NORMAL",
   IF(I2242&lt;=30,I2242*1.15+2,IF(I2242&lt;=80,I2242*1.15+4,IF(I2242&lt;=150,I2242*1.15+6,I2242*1.15+8))),
IF(L2240="COMPLEMENTO",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>IF(
OR(
ISNUMBER(SEARCH("BACKPACK",B2244)),
ISNUMBER(SEARCH("MOCHILA",B2244)),
ISNUMBER(SEARCH("FUNDA",B2244)),
ISNUMBER(SEARCH("ESTUCHE",B2244)),
ISNUMBER(SEARCH("BOOK COVER",B2244)),
ISNUMBER(SEARCH("KEYBOARD PARA TABLET",B2244)),
ISNUMBER(SEARCH("FLIP TABLET",B2244)),
ISNUMBER(SEARCH("CASE FOR TABLET",B2244)),
ISNUMBER(SEARCH("CABLE",B2244)),
ISNUMBER(SEARCH("ADAPTADOR",B2244)),
ISNUMBER(SEARCH("HUB",B2244)),
ISNUMBER(SEARCH("DOCK",B2244)),
ISNUMBER(SEARCH("MOUSE PAD",B2244)),
ISNUMBER(SEARCH("MOUSEPAD",B2244)),
ISNUMBER(SEARCH("SOPORTE",B2244)),
ISNUMBER(SEARCH("STAND",B2244)),
ISNUMBER(SEARCH("TRAVEL ADAPTER",B2244)),
ISNUMBER(SEARCH("RJ45",B2244)),
ISNUMBER(SEARCH("USB-C",B2244)),
ISNUMBER(SEARCH("USB WIFI",B2244)),
ISNUMBER(SEARCH("POWERBANK",B2244)),
ISNUMBER(SEARCH("CARGADOR",B2244)),
ISNUMBER(SEARCH("COOLER PARA NB",B2244)),
ISNUMBER(SEARCH("SOPORTE PARA NB",B2244)),
ISNUMBER(SEARCH("WEBCAM",B2244)),
ISNUMBER(SEARCH("WEB CAM",B2244)),
ISNUMBER(SEARCH("MOUSE",B2244)),
ISNUMBER(SEARCH("TECLADO",B2244))
),
"COMPLEMENTO",
IF(
OR(
LEFT(A2244,2)="NB",
LEFT(A2244,2)="PC",
LEFT(A2244,2)="WS",
LEFT(A2244,2)="TB",
LEFT(A2244,3)="CEL",
LEFT(A2244,3)="MON",
LEFT(A2244,3)="PRE",
LEFT(A2244,3)="PRH",
ISNUMBER(SEARCH("NOTEBOOK",B2244)),
ISNUMBER(SEARCH("LAPTOP",B2244)),
ISNUMBER(SEARCH("MONITOR",B2244)),
ISNUMBER(SEARCH("TABLET",B2244)),
ISNUMBER(SEARCH("SMARTPH",B2244)),
ISNUMBER(SEARCH("IMPRESORA",B2244)),
ISNUMBER(SEARCH("MULTIFUNCIONAL",B2244)),
ISNUMBER(SEARCH("AIO",B2244))
),
"GANCHO",
"NORMAL"
)
)</f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>ROUND(
IF(L2241="GANCHO",
   IF(I2243&lt;=50,I2243*1.1+4,IF(I2243&lt;=120,I2243*1.1+7,IF(I2243&lt;=250,I2243*1.1+11,I2243*1.1+19))),
IF(L2241="NORMAL",
   IF(I2243&lt;=30,I2243*1.15+2,IF(I2243&lt;=80,I2243*1.15+4,IF(I2243&lt;=150,I2243*1.15+6,I2243*1.15+8))),
IF(L2241="COMPLEMENTO",
   IF(I2243&lt;=25,I2243*1.25+1.5,IF(I2243&lt;=60,I2243*1.25+3,IF(I2243&lt;=120,I2243*1.25+4,I2243*1.25+5))),
""))),2)</f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>IF(
OR(
ISNUMBER(SEARCH("BACKPACK",B2245)),
ISNUMBER(SEARCH("MOCHILA",B2245)),
ISNUMBER(SEARCH("FUNDA",B2245)),
ISNUMBER(SEARCH("ESTUCHE",B2245)),
ISNUMBER(SEARCH("BOOK COVER",B2245)),
ISNUMBER(SEARCH("KEYBOARD PARA TABLET",B2245)),
ISNUMBER(SEARCH("FLIP TABLET",B2245)),
ISNUMBER(SEARCH("CASE FOR TABLET",B2245)),
ISNUMBER(SEARCH("CABLE",B2245)),
ISNUMBER(SEARCH("ADAPTADOR",B2245)),
ISNUMBER(SEARCH("HUB",B2245)),
ISNUMBER(SEARCH("DOCK",B2245)),
ISNUMBER(SEARCH("MOUSE PAD",B2245)),
ISNUMBER(SEARCH("MOUSEPAD",B2245)),
ISNUMBER(SEARCH("SOPORTE",B2245)),
ISNUMBER(SEARCH("STAND",B2245)),
ISNUMBER(SEARCH("TRAVEL ADAPTER",B2245)),
ISNUMBER(SEARCH("RJ45",B2245)),
ISNUMBER(SEARCH("USB-C",B2245)),
ISNUMBER(SEARCH("USB WIFI",B2245)),
ISNUMBER(SEARCH("POWERBANK",B2245)),
ISNUMBER(SEARCH("CARGADOR",B2245)),
ISNUMBER(SEARCH("COOLER PARA NB",B2245)),
ISNUMBER(SEARCH("SOPORTE PARA NB",B2245)),
ISNUMBER(SEARCH("WEBCAM",B2245)),
ISNUMBER(SEARCH("WEB CAM",B2245)),
ISNUMBER(SEARCH("MOUSE",B2245)),
ISNUMBER(SEARCH("TECLADO",B2245))
),
"COMPLEMENTO",
IF(
OR(
LEFT(A2245,2)="NB",
LEFT(A2245,2)="PC",
LEFT(A2245,2)="WS",
LEFT(A2245,2)="TB",
LEFT(A2245,3)="CEL",
LEFT(A2245,3)="MON",
LEFT(A2245,3)="PRE",
LEFT(A2245,3)="PRH",
ISNUMBER(SEARCH("NOTEBOOK",B2245)),
ISNUMBER(SEARCH("LAPTOP",B2245)),
ISNUMBER(SEARCH("MONITOR",B2245)),
ISNUMBER(SEARCH("TABLET",B2245)),
ISNUMBER(SEARCH("SMARTPH",B2245)),
ISNUMBER(SEARCH("IMPRESORA",B2245)),
ISNUMBER(SEARCH("MULTIFUNCIONAL",B2245)),
ISNUMBER(SEARCH("AIO",B2245))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>ROUND(
IF(L2242="GANCHO",
   IF(I2244&lt;=50,I2244*1.1+4,IF(I2244&lt;=120,I2244*1.1+7,IF(I2244&lt;=250,I2244*1.1+11,I2244*1.1+19))),
IF(L2242="NORMAL",
   IF(I2244&lt;=30,I2244*1.15+2,IF(I2244&lt;=80,I2244*1.15+4,IF(I2244&lt;=150,I2244*1.15+6,I2244*1.15+8))),
IF(L2242="COMPLEMENTO",
   IF(I2244&lt;=25,I2244*1.25+1.5,IF(I2244&lt;=60,I2244*1.25+3,IF(I2244&lt;=120,I2244*1.25+4,I2244*1.25+5))),
""))),2)</f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>IF(
OR(
ISNUMBER(SEARCH("BACKPACK",B2246)),
ISNUMBER(SEARCH("MOCHILA",B2246)),
ISNUMBER(SEARCH("FUNDA",B2246)),
ISNUMBER(SEARCH("ESTUCHE",B2246)),
ISNUMBER(SEARCH("BOOK COVER",B2246)),
ISNUMBER(SEARCH("KEYBOARD PARA TABLET",B2246)),
ISNUMBER(SEARCH("FLIP TABLET",B2246)),
ISNUMBER(SEARCH("CASE FOR TABLET",B2246)),
ISNUMBER(SEARCH("CABLE",B2246)),
ISNUMBER(SEARCH("ADAPTADOR",B2246)),
ISNUMBER(SEARCH("HUB",B2246)),
ISNUMBER(SEARCH("DOCK",B2246)),
ISNUMBER(SEARCH("MOUSE PAD",B2246)),
ISNUMBER(SEARCH("MOUSEPAD",B2246)),
ISNUMBER(SEARCH("SOPORTE",B2246)),
ISNUMBER(SEARCH("STAND",B2246)),
ISNUMBER(SEARCH("TRAVEL ADAPTER",B2246)),
ISNUMBER(SEARCH("RJ45",B2246)),
ISNUMBER(SEARCH("USB-C",B2246)),
ISNUMBER(SEARCH("USB WIFI",B2246)),
ISNUMBER(SEARCH("POWERBANK",B2246)),
ISNUMBER(SEARCH("CARGADOR",B2246)),
ISNUMBER(SEARCH("COOLER PARA NB",B2246)),
ISNUMBER(SEARCH("SOPORTE PARA NB",B2246)),
ISNUMBER(SEARCH("WEBCAM",B2246)),
ISNUMBER(SEARCH("WEB CAM",B2246)),
ISNUMBER(SEARCH("MOUSE",B2246)),
ISNUMBER(SEARCH("TECLADO",B2246))
),
"COMPLEMENTO",
IF(
OR(
LEFT(A2246,2)="NB",
LEFT(A2246,2)="PC",
LEFT(A2246,2)="WS",
LEFT(A2246,2)="TB",
LEFT(A2246,3)="CEL",
LEFT(A2246,3)="MON",
LEFT(A2246,3)="PRE",
LEFT(A2246,3)="PRH",
ISNUMBER(SEARCH("NOTEBOOK",B2246)),
ISNUMBER(SEARCH("LAPTOP",B2246)),
ISNUMBER(SEARCH("MONITOR",B2246)),
ISNUMBER(SEARCH("TABLET",B2246)),
ISNUMBER(SEARCH("SMARTPH",B2246)),
ISNUMBER(SEARCH("IMPRESORA",B2246)),
ISNUMBER(SEARCH("MULTIFUNCIONAL",B2246)),
ISNUMBER(SEARCH("AIO",B2246))
),
"GANCHO",
"NORMAL"
)
)</f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>ROUND(
IF(L2243="GANCHO",
   IF(I2245&lt;=50,I2245*1.1+4,IF(I2245&lt;=120,I2245*1.1+7,IF(I2245&lt;=250,I2245*1.1+11,I2245*1.1+19))),
IF(L2243="NORMAL",
   IF(I2245&lt;=30,I2245*1.15+2,IF(I2245&lt;=80,I2245*1.15+4,IF(I2245&lt;=150,I2245*1.15+6,I2245*1.15+8))),
IF(L2243="COMPLEMENTO",
   IF(I2245&lt;=25,I2245*1.25+1.5,IF(I2245&lt;=60,I2245*1.25+3,IF(I2245&lt;=120,I2245*1.25+4,I2245*1.25+5))),
""))),2)</f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>IF(
OR(
ISNUMBER(SEARCH("BACKPACK",B2247)),
ISNUMBER(SEARCH("MOCHILA",B2247)),
ISNUMBER(SEARCH("FUNDA",B2247)),
ISNUMBER(SEARCH("ESTUCHE",B2247)),
ISNUMBER(SEARCH("BOOK COVER",B2247)),
ISNUMBER(SEARCH("KEYBOARD PARA TABLET",B2247)),
ISNUMBER(SEARCH("FLIP TABLET",B2247)),
ISNUMBER(SEARCH("CASE FOR TABLET",B2247)),
ISNUMBER(SEARCH("CABLE",B2247)),
ISNUMBER(SEARCH("ADAPTADOR",B2247)),
ISNUMBER(SEARCH("HUB",B2247)),
ISNUMBER(SEARCH("DOCK",B2247)),
ISNUMBER(SEARCH("MOUSE PAD",B2247)),
ISNUMBER(SEARCH("MOUSEPAD",B2247)),
ISNUMBER(SEARCH("SOPORTE",B2247)),
ISNUMBER(SEARCH("STAND",B2247)),
ISNUMBER(SEARCH("TRAVEL ADAPTER",B2247)),
ISNUMBER(SEARCH("RJ45",B2247)),
ISNUMBER(SEARCH("USB-C",B2247)),
ISNUMBER(SEARCH("USB WIFI",B2247)),
ISNUMBER(SEARCH("POWERBANK",B2247)),
ISNUMBER(SEARCH("CARGADOR",B2247)),
ISNUMBER(SEARCH("COOLER PARA NB",B2247)),
ISNUMBER(SEARCH("SOPORTE PARA NB",B2247)),
ISNUMBER(SEARCH("WEBCAM",B2247)),
ISNUMBER(SEARCH("WEB CAM",B2247)),
ISNUMBER(SEARCH("MOUSE",B2247)),
ISNUMBER(SEARCH("TECLADO",B2247))
),
"COMPLEMENTO",
IF(
OR(
LEFT(A2247,2)="NB",
LEFT(A2247,2)="PC",
LEFT(A2247,2)="WS",
LEFT(A2247,2)="TB",
LEFT(A2247,3)="CEL",
LEFT(A2247,3)="MON",
LEFT(A2247,3)="PRE",
LEFT(A2247,3)="PRH",
ISNUMBER(SEARCH("NOTEBOOK",B2247)),
ISNUMBER(SEARCH("LAPTOP",B2247)),
ISNUMBER(SEARCH("MONITOR",B2247)),
ISNUMBER(SEARCH("TABLET",B2247)),
ISNUMBER(SEARCH("SMARTPH",B2247)),
ISNUMBER(SEARCH("IMPRESORA",B2247)),
ISNUMBER(SEARCH("MULTIFUNCIONAL",B2247)),
ISNUMBER(SEARCH("AIO",B2247))
),
"GANCHO",
"NORMAL"
)
)</f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>ROUND(
IF(L2244="GANCHO",
   IF(I2246&lt;=50,I2246*1.1+4,IF(I2246&lt;=120,I2246*1.1+7,IF(I2246&lt;=250,I2246*1.1+11,I2246*1.1+19))),
IF(L2244="NORMAL",
   IF(I2246&lt;=30,I2246*1.15+2,IF(I2246&lt;=80,I2246*1.15+4,IF(I2246&lt;=150,I2246*1.15+6,I2246*1.15+8))),
IF(L2244="COMPLEMENTO",
   IF(I2246&lt;=25,I2246*1.25+1.5,IF(I2246&lt;=60,I2246*1.25+3,IF(I2246&lt;=120,I2246*1.25+4,I2246*1.25+5))),
""))),2)</f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>IF(
OR(
ISNUMBER(SEARCH("BACKPACK",B2248)),
ISNUMBER(SEARCH("MOCHILA",B2248)),
ISNUMBER(SEARCH("FUNDA",B2248)),
ISNUMBER(SEARCH("ESTUCHE",B2248)),
ISNUMBER(SEARCH("BOOK COVER",B2248)),
ISNUMBER(SEARCH("KEYBOARD PARA TABLET",B2248)),
ISNUMBER(SEARCH("FLIP TABLET",B2248)),
ISNUMBER(SEARCH("CASE FOR TABLET",B2248)),
ISNUMBER(SEARCH("CABLE",B2248)),
ISNUMBER(SEARCH("ADAPTADOR",B2248)),
ISNUMBER(SEARCH("HUB",B2248)),
ISNUMBER(SEARCH("DOCK",B2248)),
ISNUMBER(SEARCH("MOUSE PAD",B2248)),
ISNUMBER(SEARCH("MOUSEPAD",B2248)),
ISNUMBER(SEARCH("SOPORTE",B2248)),
ISNUMBER(SEARCH("STAND",B2248)),
ISNUMBER(SEARCH("TRAVEL ADAPTER",B2248)),
ISNUMBER(SEARCH("RJ45",B2248)),
ISNUMBER(SEARCH("USB-C",B2248)),
ISNUMBER(SEARCH("USB WIFI",B2248)),
ISNUMBER(SEARCH("POWERBANK",B2248)),
ISNUMBER(SEARCH("CARGADOR",B2248)),
ISNUMBER(SEARCH("COOLER PARA NB",B2248)),
ISNUMBER(SEARCH("SOPORTE PARA NB",B2248)),
ISNUMBER(SEARCH("WEBCAM",B2248)),
ISNUMBER(SEARCH("WEB CAM",B2248)),
ISNUMBER(SEARCH("MOUSE",B2248)),
ISNUMBER(SEARCH("TECLADO",B2248))
),
"COMPLEMENTO",
IF(
OR(
LEFT(A2248,2)="NB",
LEFT(A2248,2)="PC",
LEFT(A2248,2)="WS",
LEFT(A2248,2)="TB",
LEFT(A2248,3)="CEL",
LEFT(A2248,3)="MON",
LEFT(A2248,3)="PRE",
LEFT(A2248,3)="PRH",
ISNUMBER(SEARCH("NOTEBOOK",B2248)),
ISNUMBER(SEARCH("LAPTOP",B2248)),
ISNUMBER(SEARCH("MONITOR",B2248)),
ISNUMBER(SEARCH("TABLET",B2248)),
ISNUMBER(SEARCH("SMARTPH",B2248)),
ISNUMBER(SEARCH("IMPRESORA",B2248)),
ISNUMBER(SEARCH("MULTIFUNCIONAL",B2248)),
ISNUMBER(SEARCH("AIO",B2248))
),
"GANCHO",
"NORMAL"
)
)</f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>ROUND(
IF(L2245="GANCHO",
   IF(I2247&lt;=50,I2247*1.1+4,IF(I2247&lt;=120,I2247*1.1+7,IF(I2247&lt;=250,I2247*1.1+11,I2247*1.1+19))),
IF(L2245="NORMAL",
   IF(I2247&lt;=30,I2247*1.15+2,IF(I2247&lt;=80,I2247*1.15+4,IF(I2247&lt;=150,I2247*1.15+6,I2247*1.15+8))),
IF(L2245="COMPLEMENTO",
   IF(I2247&lt;=25,I2247*1.25+1.5,IF(I2247&lt;=60,I2247*1.25+3,IF(I2247&lt;=120,I2247*1.25+4,I2247*1.25+5))),
""))),2)</f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>IF(
OR(
ISNUMBER(SEARCH("BACKPACK",B2249)),
ISNUMBER(SEARCH("MOCHILA",B2249)),
ISNUMBER(SEARCH("FUNDA",B2249)),
ISNUMBER(SEARCH("ESTUCHE",B2249)),
ISNUMBER(SEARCH("BOOK COVER",B2249)),
ISNUMBER(SEARCH("KEYBOARD PARA TABLET",B2249)),
ISNUMBER(SEARCH("FLIP TABLET",B2249)),
ISNUMBER(SEARCH("CASE FOR TABLET",B2249)),
ISNUMBER(SEARCH("CABLE",B2249)),
ISNUMBER(SEARCH("ADAPTADOR",B2249)),
ISNUMBER(SEARCH("HUB",B2249)),
ISNUMBER(SEARCH("DOCK",B2249)),
ISNUMBER(SEARCH("MOUSE PAD",B2249)),
ISNUMBER(SEARCH("MOUSEPAD",B2249)),
ISNUMBER(SEARCH("SOPORTE",B2249)),
ISNUMBER(SEARCH("STAND",B2249)),
ISNUMBER(SEARCH("TRAVEL ADAPTER",B2249)),
ISNUMBER(SEARCH("RJ45",B2249)),
ISNUMBER(SEARCH("USB-C",B2249)),
ISNUMBER(SEARCH("USB WIFI",B2249)),
ISNUMBER(SEARCH("POWERBANK",B2249)),
ISNUMBER(SEARCH("CARGADOR",B2249)),
ISNUMBER(SEARCH("COOLER PARA NB",B2249)),
ISNUMBER(SEARCH("SOPORTE PARA NB",B2249)),
ISNUMBER(SEARCH("WEBCAM",B2249)),
ISNUMBER(SEARCH("WEB CAM",B2249)),
ISNUMBER(SEARCH("MOUSE",B2249)),
ISNUMBER(SEARCH("TECLADO",B2249))
),
"COMPLEMENTO",
IF(
OR(
LEFT(A2249,2)="NB",
LEFT(A2249,2)="PC",
LEFT(A2249,2)="WS",
LEFT(A2249,2)="TB",
LEFT(A2249,3)="CEL",
LEFT(A2249,3)="MON",
LEFT(A2249,3)="PRE",
LEFT(A2249,3)="PRH",
ISNUMBER(SEARCH("NOTEBOOK",B2249)),
ISNUMBER(SEARCH("LAPTOP",B2249)),
ISNUMBER(SEARCH("MONITOR",B2249)),
ISNUMBER(SEARCH("TABLET",B2249)),
ISNUMBER(SEARCH("SMARTPH",B2249)),
ISNUMBER(SEARCH("IMPRESORA",B2249)),
ISNUMBER(SEARCH("MULTIFUNCIONAL",B2249)),
ISNUMBER(SEARCH("AIO",B2249))
),
"GANCHO",
"NORMAL"
)
)</f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>ROUND(
IF(L2246="GANCHO",
   IF(I2248&lt;=50,I2248*1.1+4,IF(I2248&lt;=120,I2248*1.1+7,IF(I2248&lt;=250,I2248*1.1+11,I2248*1.1+19))),
IF(L2246="NORMAL",
   IF(I2248&lt;=30,I2248*1.15+2,IF(I2248&lt;=80,I2248*1.15+4,IF(I2248&lt;=150,I2248*1.15+6,I2248*1.15+8))),
IF(L2246="COMPLEMENTO",
   IF(I2248&lt;=25,I2248*1.25+1.5,IF(I2248&lt;=60,I2248*1.25+3,IF(I2248&lt;=120,I2248*1.25+4,I2248*1.25+5))),
""))),2)</f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>IF(
OR(
ISNUMBER(SEARCH("BACKPACK",B2250)),
ISNUMBER(SEARCH("MOCHILA",B2250)),
ISNUMBER(SEARCH("FUNDA",B2250)),
ISNUMBER(SEARCH("ESTUCHE",B2250)),
ISNUMBER(SEARCH("BOOK COVER",B2250)),
ISNUMBER(SEARCH("KEYBOARD PARA TABLET",B2250)),
ISNUMBER(SEARCH("FLIP TABLET",B2250)),
ISNUMBER(SEARCH("CASE FOR TABLET",B2250)),
ISNUMBER(SEARCH("CABLE",B2250)),
ISNUMBER(SEARCH("ADAPTADOR",B2250)),
ISNUMBER(SEARCH("HUB",B2250)),
ISNUMBER(SEARCH("DOCK",B2250)),
ISNUMBER(SEARCH("MOUSE PAD",B2250)),
ISNUMBER(SEARCH("MOUSEPAD",B2250)),
ISNUMBER(SEARCH("SOPORTE",B2250)),
ISNUMBER(SEARCH("STAND",B2250)),
ISNUMBER(SEARCH("TRAVEL ADAPTER",B2250)),
ISNUMBER(SEARCH("RJ45",B2250)),
ISNUMBER(SEARCH("USB-C",B2250)),
ISNUMBER(SEARCH("USB WIFI",B2250)),
ISNUMBER(SEARCH("POWERBANK",B2250)),
ISNUMBER(SEARCH("CARGADOR",B2250)),
ISNUMBER(SEARCH("COOLER PARA NB",B2250)),
ISNUMBER(SEARCH("SOPORTE PARA NB",B2250)),
ISNUMBER(SEARCH("WEBCAM",B2250)),
ISNUMBER(SEARCH("WEB CAM",B2250)),
ISNUMBER(SEARCH("MOUSE",B2250)),
ISNUMBER(SEARCH("TECLADO",B2250))
),
"COMPLEMENTO",
IF(
OR(
LEFT(A2250,2)="NB",
LEFT(A2250,2)="PC",
LEFT(A2250,2)="WS",
LEFT(A2250,2)="TB",
LEFT(A2250,3)="CEL",
LEFT(A2250,3)="MON",
LEFT(A2250,3)="PRE",
LEFT(A2250,3)="PRH",
ISNUMBER(SEARCH("NOTEBOOK",B2250)),
ISNUMBER(SEARCH("LAPTOP",B2250)),
ISNUMBER(SEARCH("MONITOR",B2250)),
ISNUMBER(SEARCH("TABLET",B2250)),
ISNUMBER(SEARCH("SMARTPH",B2250)),
ISNUMBER(SEARCH("IMPRESORA",B2250)),
ISNUMBER(SEARCH("MULTIFUNCIONAL",B2250)),
ISNUMBER(SEARCH("AIO",B2250))
),
"GANCHO",
"NORMAL"
)
)</f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>ROUND(
IF(L2247="GANCHO",
   IF(I2249&lt;=50,I2249*1.1+4,IF(I2249&lt;=120,I2249*1.1+7,IF(I2249&lt;=250,I2249*1.1+11,I2249*1.1+19))),
IF(L2247="NORMAL",
   IF(I2249&lt;=30,I2249*1.15+2,IF(I2249&lt;=80,I2249*1.15+4,IF(I2249&lt;=150,I2249*1.15+6,I2249*1.15+8))),
IF(L2247="COMPLEMENTO",
   IF(I2249&lt;=25,I2249*1.25+1.5,IF(I2249&lt;=60,I2249*1.25+3,IF(I2249&lt;=120,I2249*1.25+4,I2249*1.25+5))),
""))),2)</f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>IF(
OR(
ISNUMBER(SEARCH("BACKPACK",B2251)),
ISNUMBER(SEARCH("MOCHILA",B2251)),
ISNUMBER(SEARCH("FUNDA",B2251)),
ISNUMBER(SEARCH("ESTUCHE",B2251)),
ISNUMBER(SEARCH("BOOK COVER",B2251)),
ISNUMBER(SEARCH("KEYBOARD PARA TABLET",B2251)),
ISNUMBER(SEARCH("FLIP TABLET",B2251)),
ISNUMBER(SEARCH("CASE FOR TABLET",B2251)),
ISNUMBER(SEARCH("CABLE",B2251)),
ISNUMBER(SEARCH("ADAPTADOR",B2251)),
ISNUMBER(SEARCH("HUB",B2251)),
ISNUMBER(SEARCH("DOCK",B2251)),
ISNUMBER(SEARCH("MOUSE PAD",B2251)),
ISNUMBER(SEARCH("MOUSEPAD",B2251)),
ISNUMBER(SEARCH("SOPORTE",B2251)),
ISNUMBER(SEARCH("STAND",B2251)),
ISNUMBER(SEARCH("TRAVEL ADAPTER",B2251)),
ISNUMBER(SEARCH("RJ45",B2251)),
ISNUMBER(SEARCH("USB-C",B2251)),
ISNUMBER(SEARCH("USB WIFI",B2251)),
ISNUMBER(SEARCH("POWERBANK",B2251)),
ISNUMBER(SEARCH("CARGADOR",B2251)),
ISNUMBER(SEARCH("COOLER PARA NB",B2251)),
ISNUMBER(SEARCH("SOPORTE PARA NB",B2251)),
ISNUMBER(SEARCH("WEBCAM",B2251)),
ISNUMBER(SEARCH("WEB CAM",B2251)),
ISNUMBER(SEARCH("MOUSE",B2251)),
ISNUMBER(SEARCH("TECLADO",B2251))
),
"COMPLEMENTO",
IF(
OR(
LEFT(A2251,2)="NB",
LEFT(A2251,2)="PC",
LEFT(A2251,2)="WS",
LEFT(A2251,2)="TB",
LEFT(A2251,3)="CEL",
LEFT(A2251,3)="MON",
LEFT(A2251,3)="PRE",
LEFT(A2251,3)="PRH",
ISNUMBER(SEARCH("NOTEBOOK",B2251)),
ISNUMBER(SEARCH("LAPTOP",B2251)),
ISNUMBER(SEARCH("MONITOR",B2251)),
ISNUMBER(SEARCH("TABLET",B2251)),
ISNUMBER(SEARCH("SMARTPH",B2251)),
ISNUMBER(SEARCH("IMPRESORA",B2251)),
ISNUMBER(SEARCH("MULTIFUNCIONAL",B2251)),
ISNUMBER(SEARCH("AIO",B2251))
),
"GANCHO",
"NORMAL"
)
)</f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>ROUND(
IF(L2248="GANCHO",
   IF(I2250&lt;=50,I2250*1.1+4,IF(I2250&lt;=120,I2250*1.1+7,IF(I2250&lt;=250,I2250*1.1+11,I2250*1.1+19))),
IF(L2248="NORMAL",
   IF(I2250&lt;=30,I2250*1.15+2,IF(I2250&lt;=80,I2250*1.15+4,IF(I2250&lt;=150,I2250*1.15+6,I2250*1.15+8))),
IF(L2248="COMPLEMENTO",
   IF(I2250&lt;=25,I2250*1.25+1.5,IF(I2250&lt;=60,I2250*1.25+3,IF(I2250&lt;=120,I2250*1.25+4,I2250*1.25+5))),
""))),2)</f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>IF(
OR(
ISNUMBER(SEARCH("BACKPACK",B2252)),
ISNUMBER(SEARCH("MOCHILA",B2252)),
ISNUMBER(SEARCH("FUNDA",B2252)),
ISNUMBER(SEARCH("ESTUCHE",B2252)),
ISNUMBER(SEARCH("BOOK COVER",B2252)),
ISNUMBER(SEARCH("KEYBOARD PARA TABLET",B2252)),
ISNUMBER(SEARCH("FLIP TABLET",B2252)),
ISNUMBER(SEARCH("CASE FOR TABLET",B2252)),
ISNUMBER(SEARCH("CABLE",B2252)),
ISNUMBER(SEARCH("ADAPTADOR",B2252)),
ISNUMBER(SEARCH("HUB",B2252)),
ISNUMBER(SEARCH("DOCK",B2252)),
ISNUMBER(SEARCH("MOUSE PAD",B2252)),
ISNUMBER(SEARCH("MOUSEPAD",B2252)),
ISNUMBER(SEARCH("SOPORTE",B2252)),
ISNUMBER(SEARCH("STAND",B2252)),
ISNUMBER(SEARCH("TRAVEL ADAPTER",B2252)),
ISNUMBER(SEARCH("RJ45",B2252)),
ISNUMBER(SEARCH("USB-C",B2252)),
ISNUMBER(SEARCH("USB WIFI",B2252)),
ISNUMBER(SEARCH("POWERBANK",B2252)),
ISNUMBER(SEARCH("CARGADOR",B2252)),
ISNUMBER(SEARCH("COOLER PARA NB",B2252)),
ISNUMBER(SEARCH("SOPORTE PARA NB",B2252)),
ISNUMBER(SEARCH("WEBCAM",B2252)),
ISNUMBER(SEARCH("WEB CAM",B2252)),
ISNUMBER(SEARCH("MOUSE",B2252)),
ISNUMBER(SEARCH("TECLADO",B2252))
),
"COMPLEMENTO",
IF(
OR(
LEFT(A2252,2)="NB",
LEFT(A2252,2)="PC",
LEFT(A2252,2)="WS",
LEFT(A2252,2)="TB",
LEFT(A2252,3)="CEL",
LEFT(A2252,3)="MON",
LEFT(A2252,3)="PRE",
LEFT(A2252,3)="PRH",
ISNUMBER(SEARCH("NOTEBOOK",B2252)),
ISNUMBER(SEARCH("LAPTOP",B2252)),
ISNUMBER(SEARCH("MONITOR",B2252)),
ISNUMBER(SEARCH("TABLET",B2252)),
ISNUMBER(SEARCH("SMARTPH",B2252)),
ISNUMBER(SEARCH("IMPRESORA",B2252)),
ISNUMBER(SEARCH("MULTIFUNCIONAL",B2252)),
ISNUMBER(SEARCH("AIO",B2252))
),
"GANCHO",
"NORMAL"
)
)</f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>ROUND(
IF(L2249="GANCHO",
   IF(I2251&lt;=50,I2251*1.1+4,IF(I2251&lt;=120,I2251*1.1+7,IF(I2251&lt;=250,I2251*1.1+11,I2251*1.1+19))),
IF(L2249="NORMAL",
   IF(I2251&lt;=30,I2251*1.15+2,IF(I2251&lt;=80,I2251*1.15+4,IF(I2251&lt;=150,I2251*1.15+6,I2251*1.15+8))),
IF(L2249="COMPLEMENTO",
   IF(I2251&lt;=25,I2251*1.25+1.5,IF(I2251&lt;=60,I2251*1.25+3,IF(I2251&lt;=120,I2251*1.25+4,I2251*1.25+5))),
""))),2)</f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>IF(
OR(
ISNUMBER(SEARCH("BACKPACK",B2253)),
ISNUMBER(SEARCH("MOCHILA",B2253)),
ISNUMBER(SEARCH("FUNDA",B2253)),
ISNUMBER(SEARCH("ESTUCHE",B2253)),
ISNUMBER(SEARCH("BOOK COVER",B2253)),
ISNUMBER(SEARCH("KEYBOARD PARA TABLET",B2253)),
ISNUMBER(SEARCH("FLIP TABLET",B2253)),
ISNUMBER(SEARCH("CASE FOR TABLET",B2253)),
ISNUMBER(SEARCH("CABLE",B2253)),
ISNUMBER(SEARCH("ADAPTADOR",B2253)),
ISNUMBER(SEARCH("HUB",B2253)),
ISNUMBER(SEARCH("DOCK",B2253)),
ISNUMBER(SEARCH("MOUSE PAD",B2253)),
ISNUMBER(SEARCH("MOUSEPAD",B2253)),
ISNUMBER(SEARCH("SOPORTE",B2253)),
ISNUMBER(SEARCH("STAND",B2253)),
ISNUMBER(SEARCH("TRAVEL ADAPTER",B2253)),
ISNUMBER(SEARCH("RJ45",B2253)),
ISNUMBER(SEARCH("USB-C",B2253)),
ISNUMBER(SEARCH("USB WIFI",B2253)),
ISNUMBER(SEARCH("POWERBANK",B2253)),
ISNUMBER(SEARCH("CARGADOR",B2253)),
ISNUMBER(SEARCH("COOLER PARA NB",B2253)),
ISNUMBER(SEARCH("SOPORTE PARA NB",B2253)),
ISNUMBER(SEARCH("WEBCAM",B2253)),
ISNUMBER(SEARCH("WEB CAM",B2253)),
ISNUMBER(SEARCH("MOUSE",B2253)),
ISNUMBER(SEARCH("TECLADO",B2253))
),
"COMPLEMENTO",
IF(
OR(
LEFT(A2253,2)="NB",
LEFT(A2253,2)="PC",
LEFT(A2253,2)="WS",
LEFT(A2253,2)="TB",
LEFT(A2253,3)="CEL",
LEFT(A2253,3)="MON",
LEFT(A2253,3)="PRE",
LEFT(A2253,3)="PRH",
ISNUMBER(SEARCH("NOTEBOOK",B2253)),
ISNUMBER(SEARCH("LAPTOP",B2253)),
ISNUMBER(SEARCH("MONITOR",B2253)),
ISNUMBER(SEARCH("TABLET",B2253)),
ISNUMBER(SEARCH("SMARTPH",B2253)),
ISNUMBER(SEARCH("IMPRESORA",B2253)),
ISNUMBER(SEARCH("MULTIFUNCIONAL",B2253)),
ISNUMBER(SEARCH("AIO",B2253))
),
"GANCHO",
"NORMAL"
)
)</f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>ROUND(
IF(L2250="GANCHO",
   IF(I2252&lt;=50,I2252*1.1+4,IF(I2252&lt;=120,I2252*1.1+7,IF(I2252&lt;=250,I2252*1.1+11,I2252*1.1+19))),
IF(L2250="NORMAL",
   IF(I2252&lt;=30,I2252*1.15+2,IF(I2252&lt;=80,I2252*1.15+4,IF(I2252&lt;=150,I2252*1.15+6,I2252*1.15+8))),
IF(L2250="COMPLEMENTO",
   IF(I2252&lt;=25,I2252*1.25+1.5,IF(I2252&lt;=60,I2252*1.25+3,IF(I2252&lt;=120,I2252*1.25+4,I2252*1.25+5))),
""))),2)</f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>IF(
OR(
ISNUMBER(SEARCH("BACKPACK",B2254)),
ISNUMBER(SEARCH("MOCHILA",B2254)),
ISNUMBER(SEARCH("FUNDA",B2254)),
ISNUMBER(SEARCH("ESTUCHE",B2254)),
ISNUMBER(SEARCH("BOOK COVER",B2254)),
ISNUMBER(SEARCH("KEYBOARD PARA TABLET",B2254)),
ISNUMBER(SEARCH("FLIP TABLET",B2254)),
ISNUMBER(SEARCH("CASE FOR TABLET",B2254)),
ISNUMBER(SEARCH("CABLE",B2254)),
ISNUMBER(SEARCH("ADAPTADOR",B2254)),
ISNUMBER(SEARCH("HUB",B2254)),
ISNUMBER(SEARCH("DOCK",B2254)),
ISNUMBER(SEARCH("MOUSE PAD",B2254)),
ISNUMBER(SEARCH("MOUSEPAD",B2254)),
ISNUMBER(SEARCH("SOPORTE",B2254)),
ISNUMBER(SEARCH("STAND",B2254)),
ISNUMBER(SEARCH("TRAVEL ADAPTER",B2254)),
ISNUMBER(SEARCH("RJ45",B2254)),
ISNUMBER(SEARCH("USB-C",B2254)),
ISNUMBER(SEARCH("USB WIFI",B2254)),
ISNUMBER(SEARCH("POWERBANK",B2254)),
ISNUMBER(SEARCH("CARGADOR",B2254)),
ISNUMBER(SEARCH("COOLER PARA NB",B2254)),
ISNUMBER(SEARCH("SOPORTE PARA NB",B2254)),
ISNUMBER(SEARCH("WEBCAM",B2254)),
ISNUMBER(SEARCH("WEB CAM",B2254)),
ISNUMBER(SEARCH("MOUSE",B2254)),
ISNUMBER(SEARCH("TECLADO",B2254))
),
"COMPLEMENTO",
IF(
OR(
LEFT(A2254,2)="NB",
LEFT(A2254,2)="PC",
LEFT(A2254,2)="WS",
LEFT(A2254,2)="TB",
LEFT(A2254,3)="CEL",
LEFT(A2254,3)="MON",
LEFT(A2254,3)="PRE",
LEFT(A2254,3)="PRH",
ISNUMBER(SEARCH("NOTEBOOK",B2254)),
ISNUMBER(SEARCH("LAPTOP",B2254)),
ISNUMBER(SEARCH("MONITOR",B2254)),
ISNUMBER(SEARCH("TABLET",B2254)),
ISNUMBER(SEARCH("SMARTPH",B2254)),
ISNUMBER(SEARCH("IMPRESORA",B2254)),
ISNUMBER(SEARCH("MULTIFUNCIONAL",B2254)),
ISNUMBER(SEARCH("AIO",B2254))
),
"GANCHO",
"NORMAL"
)
)</f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>ROUND(
IF(L2251="GANCHO",
   IF(I2253&lt;=50,I2253*1.1+4,IF(I2253&lt;=120,I2253*1.1+7,IF(I2253&lt;=250,I2253*1.1+11,I2253*1.1+19))),
IF(L2251="NORMAL",
   IF(I2253&lt;=30,I2253*1.15+2,IF(I2253&lt;=80,I2253*1.15+4,IF(I2253&lt;=150,I2253*1.15+6,I2253*1.15+8))),
IF(L2251="COMPLEMENTO",
   IF(I2253&lt;=25,I2253*1.25+1.5,IF(I2253&lt;=60,I2253*1.25+3,IF(I2253&lt;=120,I2253*1.25+4,I2253*1.25+5))),
""))),2)</f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>IF(
OR(
ISNUMBER(SEARCH("BACKPACK",B2255)),
ISNUMBER(SEARCH("MOCHILA",B2255)),
ISNUMBER(SEARCH("FUNDA",B2255)),
ISNUMBER(SEARCH("ESTUCHE",B2255)),
ISNUMBER(SEARCH("BOOK COVER",B2255)),
ISNUMBER(SEARCH("KEYBOARD PARA TABLET",B2255)),
ISNUMBER(SEARCH("FLIP TABLET",B2255)),
ISNUMBER(SEARCH("CASE FOR TABLET",B2255)),
ISNUMBER(SEARCH("CABLE",B2255)),
ISNUMBER(SEARCH("ADAPTADOR",B2255)),
ISNUMBER(SEARCH("HUB",B2255)),
ISNUMBER(SEARCH("DOCK",B2255)),
ISNUMBER(SEARCH("MOUSE PAD",B2255)),
ISNUMBER(SEARCH("MOUSEPAD",B2255)),
ISNUMBER(SEARCH("SOPORTE",B2255)),
ISNUMBER(SEARCH("STAND",B2255)),
ISNUMBER(SEARCH("TRAVEL ADAPTER",B2255)),
ISNUMBER(SEARCH("RJ45",B2255)),
ISNUMBER(SEARCH("USB-C",B2255)),
ISNUMBER(SEARCH("USB WIFI",B2255)),
ISNUMBER(SEARCH("POWERBANK",B2255)),
ISNUMBER(SEARCH("CARGADOR",B2255)),
ISNUMBER(SEARCH("COOLER PARA NB",B2255)),
ISNUMBER(SEARCH("SOPORTE PARA NB",B2255)),
ISNUMBER(SEARCH("WEBCAM",B2255)),
ISNUMBER(SEARCH("WEB CAM",B2255)),
ISNUMBER(SEARCH("MOUSE",B2255)),
ISNUMBER(SEARCH("TECLADO",B2255))
),
"COMPLEMENTO",
IF(
OR(
LEFT(A2255,2)="NB",
LEFT(A2255,2)="PC",
LEFT(A2255,2)="WS",
LEFT(A2255,2)="TB",
LEFT(A2255,3)="CEL",
LEFT(A2255,3)="MON",
LEFT(A2255,3)="PRE",
LEFT(A2255,3)="PRH",
ISNUMBER(SEARCH("NOTEBOOK",B2255)),
ISNUMBER(SEARCH("LAPTOP",B2255)),
ISNUMBER(SEARCH("MONITOR",B2255)),
ISNUMBER(SEARCH("TABLET",B2255)),
ISNUMBER(SEARCH("SMARTPH",B2255)),
ISNUMBER(SEARCH("IMPRESORA",B2255)),
ISNUMBER(SEARCH("MULTIFUNCIONAL",B2255)),
ISNUMBER(SEARCH("AIO",B2255))
),
"GANCHO",
"NORMAL"
)
)</f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>ROUND(
IF(L2252="GANCHO",
   IF(I2254&lt;=50,I2254*1.1+4,IF(I2254&lt;=120,I2254*1.1+7,IF(I2254&lt;=250,I2254*1.1+11,I2254*1.1+19))),
IF(L2252="NORMAL",
   IF(I2254&lt;=30,I2254*1.15+2,IF(I2254&lt;=80,I2254*1.15+4,IF(I2254&lt;=150,I2254*1.15+6,I2254*1.15+8))),
IF(L2252="COMPLEMENTO",
   IF(I2254&lt;=25,I2254*1.25+1.5,IF(I2254&lt;=60,I2254*1.25+3,IF(I2254&lt;=120,I2254*1.25+4,I2254*1.25+5))),
""))),2)</f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>IF(
OR(
ISNUMBER(SEARCH("BACKPACK",B2256)),
ISNUMBER(SEARCH("MOCHILA",B2256)),
ISNUMBER(SEARCH("FUNDA",B2256)),
ISNUMBER(SEARCH("ESTUCHE",B2256)),
ISNUMBER(SEARCH("BOOK COVER",B2256)),
ISNUMBER(SEARCH("KEYBOARD PARA TABLET",B2256)),
ISNUMBER(SEARCH("FLIP TABLET",B2256)),
ISNUMBER(SEARCH("CASE FOR TABLET",B2256)),
ISNUMBER(SEARCH("CABLE",B2256)),
ISNUMBER(SEARCH("ADAPTADOR",B2256)),
ISNUMBER(SEARCH("HUB",B2256)),
ISNUMBER(SEARCH("DOCK",B2256)),
ISNUMBER(SEARCH("MOUSE PAD",B2256)),
ISNUMBER(SEARCH("MOUSEPAD",B2256)),
ISNUMBER(SEARCH("SOPORTE",B2256)),
ISNUMBER(SEARCH("STAND",B2256)),
ISNUMBER(SEARCH("TRAVEL ADAPTER",B2256)),
ISNUMBER(SEARCH("RJ45",B2256)),
ISNUMBER(SEARCH("USB-C",B2256)),
ISNUMBER(SEARCH("USB WIFI",B2256)),
ISNUMBER(SEARCH("POWERBANK",B2256)),
ISNUMBER(SEARCH("CARGADOR",B2256)),
ISNUMBER(SEARCH("COOLER PARA NB",B2256)),
ISNUMBER(SEARCH("SOPORTE PARA NB",B2256)),
ISNUMBER(SEARCH("WEBCAM",B2256)),
ISNUMBER(SEARCH("WEB CAM",B2256)),
ISNUMBER(SEARCH("MOUSE",B2256)),
ISNUMBER(SEARCH("TECLADO",B2256))
),
"COMPLEMENTO",
IF(
OR(
LEFT(A2256,2)="NB",
LEFT(A2256,2)="PC",
LEFT(A2256,2)="WS",
LEFT(A2256,2)="TB",
LEFT(A2256,3)="CEL",
LEFT(A2256,3)="MON",
LEFT(A2256,3)="PRE",
LEFT(A2256,3)="PRH",
ISNUMBER(SEARCH("NOTEBOOK",B2256)),
ISNUMBER(SEARCH("LAPTOP",B2256)),
ISNUMBER(SEARCH("MONITOR",B2256)),
ISNUMBER(SEARCH("TABLET",B2256)),
ISNUMBER(SEARCH("SMARTPH",B2256)),
ISNUMBER(SEARCH("IMPRESORA",B2256)),
ISNUMBER(SEARCH("MULTIFUNCIONAL",B2256)),
ISNUMBER(SEARCH("AIO",B2256))
),
"GANCHO",
"NORMAL"
)
)</f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>ROUND(
IF(L2253="GANCHO",
   IF(I2255&lt;=50,I2255*1.1+4,IF(I2255&lt;=120,I2255*1.1+7,IF(I2255&lt;=250,I2255*1.1+11,I2255*1.1+19))),
IF(L2253="NORMAL",
   IF(I2255&lt;=30,I2255*1.15+2,IF(I2255&lt;=80,I2255*1.15+4,IF(I2255&lt;=150,I2255*1.15+6,I2255*1.15+8))),
IF(L2253="COMPLEMENTO",
   IF(I2255&lt;=25,I2255*1.25+1.5,IF(I2255&lt;=60,I2255*1.25+3,IF(I2255&lt;=120,I2255*1.25+4,I2255*1.25+5))),
""))),2)</f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>IF(
OR(
ISNUMBER(SEARCH("BACKPACK",B2257)),
ISNUMBER(SEARCH("MOCHILA",B2257)),
ISNUMBER(SEARCH("FUNDA",B2257)),
ISNUMBER(SEARCH("ESTUCHE",B2257)),
ISNUMBER(SEARCH("BOOK COVER",B2257)),
ISNUMBER(SEARCH("KEYBOARD PARA TABLET",B2257)),
ISNUMBER(SEARCH("FLIP TABLET",B2257)),
ISNUMBER(SEARCH("CASE FOR TABLET",B2257)),
ISNUMBER(SEARCH("CABLE",B2257)),
ISNUMBER(SEARCH("ADAPTADOR",B2257)),
ISNUMBER(SEARCH("HUB",B2257)),
ISNUMBER(SEARCH("DOCK",B2257)),
ISNUMBER(SEARCH("MOUSE PAD",B2257)),
ISNUMBER(SEARCH("MOUSEPAD",B2257)),
ISNUMBER(SEARCH("SOPORTE",B2257)),
ISNUMBER(SEARCH("STAND",B2257)),
ISNUMBER(SEARCH("TRAVEL ADAPTER",B2257)),
ISNUMBER(SEARCH("RJ45",B2257)),
ISNUMBER(SEARCH("USB-C",B2257)),
ISNUMBER(SEARCH("USB WIFI",B2257)),
ISNUMBER(SEARCH("POWERBANK",B2257)),
ISNUMBER(SEARCH("CARGADOR",B2257)),
ISNUMBER(SEARCH("COOLER PARA NB",B2257)),
ISNUMBER(SEARCH("SOPORTE PARA NB",B2257)),
ISNUMBER(SEARCH("WEBCAM",B2257)),
ISNUMBER(SEARCH("WEB CAM",B2257)),
ISNUMBER(SEARCH("MOUSE",B2257)),
ISNUMBER(SEARCH("TECLADO",B2257))
),
"COMPLEMENTO",
IF(
OR(
LEFT(A2257,2)="NB",
LEFT(A2257,2)="PC",
LEFT(A2257,2)="WS",
LEFT(A2257,2)="TB",
LEFT(A2257,3)="CEL",
LEFT(A2257,3)="MON",
LEFT(A2257,3)="PRE",
LEFT(A2257,3)="PRH",
ISNUMBER(SEARCH("NOTEBOOK",B2257)),
ISNUMBER(SEARCH("LAPTOP",B2257)),
ISNUMBER(SEARCH("MONITOR",B2257)),
ISNUMBER(SEARCH("TABLET",B2257)),
ISNUMBER(SEARCH("SMARTPH",B2257)),
ISNUMBER(SEARCH("IMPRESORA",B2257)),
ISNUMBER(SEARCH("MULTIFUNCIONAL",B2257)),
ISNUMBER(SEARCH("AIO",B2257))
),
"GANCHO",
"NORMAL"
)
)</f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>ROUND(
IF(L2254="GANCHO",
   IF(I2256&lt;=50,I2256*1.1+4,IF(I2256&lt;=120,I2256*1.1+7,IF(I2256&lt;=250,I2256*1.1+11,I2256*1.1+19))),
IF(L2254="NORMAL",
   IF(I2256&lt;=30,I2256*1.15+2,IF(I2256&lt;=80,I2256*1.15+4,IF(I2256&lt;=150,I2256*1.15+6,I2256*1.15+8))),
IF(L2254="COMPLEMENTO",
   IF(I2256&lt;=25,I2256*1.25+1.5,IF(I2256&lt;=60,I2256*1.25+3,IF(I2256&lt;=120,I2256*1.25+4,I2256*1.25+5))),
""))),2)</f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>ROUND(
IF(L2255="GANCHO",
   IF(I2257&lt;=50,I2257*1.1+4,IF(I2257&lt;=120,I2257*1.1+7,IF(I2257&lt;=250,I2257*1.1+11,I2257*1.1+19))),
IF(L2255="NORMAL",
   IF(I2257&lt;=30,I2257*1.15+2,IF(I2257&lt;=80,I2257*1.15+4,IF(I2257&lt;=150,I2257*1.15+6,I2257*1.15+8))),
IF(L2255="COMPLEMENTO",
   IF(I2257&lt;=25,I2257*1.25+1.5,IF(I2257&lt;=60,I2257*1.25+3,IF(I2257&lt;=120,I2257*1.25+4,I2257*1.25+5))),
""))),2)</f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>IF(
OR(
ISNUMBER(SEARCH("BACKPACK",B2259)),
ISNUMBER(SEARCH("MOCHILA",B2259)),
ISNUMBER(SEARCH("FUNDA",B2259)),
ISNUMBER(SEARCH("ESTUCHE",B2259)),
ISNUMBER(SEARCH("BOOK COVER",B2259)),
ISNUMBER(SEARCH("KEYBOARD PARA TABLET",B2259)),
ISNUMBER(SEARCH("FLIP TABLET",B2259)),
ISNUMBER(SEARCH("CASE FOR TABLET",B2259)),
ISNUMBER(SEARCH("CABLE",B2259)),
ISNUMBER(SEARCH("ADAPTADOR",B2259)),
ISNUMBER(SEARCH("HUB",B2259)),
ISNUMBER(SEARCH("DOCK",B2259)),
ISNUMBER(SEARCH("MOUSE PAD",B2259)),
ISNUMBER(SEARCH("MOUSEPAD",B2259)),
ISNUMBER(SEARCH("SOPORTE",B2259)),
ISNUMBER(SEARCH("STAND",B2259)),
ISNUMBER(SEARCH("TRAVEL ADAPTER",B2259)),
ISNUMBER(SEARCH("RJ45",B2259)),
ISNUMBER(SEARCH("USB-C",B2259)),
ISNUMBER(SEARCH("USB WIFI",B2259)),
ISNUMBER(SEARCH("POWERBANK",B2259)),
ISNUMBER(SEARCH("CARGADOR",B2259)),
ISNUMBER(SEARCH("COOLER PARA NB",B2259)),
ISNUMBER(SEARCH("SOPORTE PARA NB",B2259)),
ISNUMBER(SEARCH("WEBCAM",B2259)),
ISNUMBER(SEARCH("WEB CAM",B2259)),
ISNUMBER(SEARCH("MOUSE",B2259)),
ISNUMBER(SEARCH("TECLADO",B2259))
),
"COMPLEMENTO",
IF(
OR(
LEFT(A2259,2)="NB",
LEFT(A2259,2)="PC",
LEFT(A2259,2)="WS",
LEFT(A2259,2)="TB",
LEFT(A2259,3)="CEL",
LEFT(A2259,3)="MON",
LEFT(A2259,3)="PRE",
LEFT(A2259,3)="PRH",
ISNUMBER(SEARCH("NOTEBOOK",B2259)),
ISNUMBER(SEARCH("LAPTOP",B2259)),
ISNUMBER(SEARCH("MONITOR",B2259)),
ISNUMBER(SEARCH("TABLET",B2259)),
ISNUMBER(SEARCH("SMARTPH",B2259)),
ISNUMBER(SEARCH("IMPRESORA",B2259)),
ISNUMBER(SEARCH("MULTIFUNCIONAL",B2259)),
ISNUMBER(SEARCH("AIO",B2259))
),
"GANCHO",
"NORMAL"
)
)</f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>ROUND(
IF(L2256="GANCHO",
   IF(I2258&lt;=50,I2258*1.1+4,IF(I2258&lt;=120,I2258*1.1+7,IF(I2258&lt;=250,I2258*1.1+11,I2258*1.1+19))),
IF(L2256="NORMAL",
   IF(I2258&lt;=30,I2258*1.15+2,IF(I2258&lt;=80,I2258*1.15+4,IF(I2258&lt;=150,I2258*1.15+6,I2258*1.15+8))),
IF(L2256="COMPLEMENTO",
   IF(I2258&lt;=25,I2258*1.25+1.5,IF(I2258&lt;=60,I2258*1.25+3,IF(I2258&lt;=120,I2258*1.25+4,I2258*1.25+5))),
""))),2)</f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>IF(
OR(
ISNUMBER(SEARCH("BACKPACK",B2260)),
ISNUMBER(SEARCH("MOCHILA",B2260)),
ISNUMBER(SEARCH("FUNDA",B2260)),
ISNUMBER(SEARCH("ESTUCHE",B2260)),
ISNUMBER(SEARCH("BOOK COVER",B2260)),
ISNUMBER(SEARCH("KEYBOARD PARA TABLET",B2260)),
ISNUMBER(SEARCH("FLIP TABLET",B2260)),
ISNUMBER(SEARCH("CASE FOR TABLET",B2260)),
ISNUMBER(SEARCH("CABLE",B2260)),
ISNUMBER(SEARCH("ADAPTADOR",B2260)),
ISNUMBER(SEARCH("HUB",B2260)),
ISNUMBER(SEARCH("DOCK",B2260)),
ISNUMBER(SEARCH("MOUSE PAD",B2260)),
ISNUMBER(SEARCH("MOUSEPAD",B2260)),
ISNUMBER(SEARCH("SOPORTE",B2260)),
ISNUMBER(SEARCH("STAND",B2260)),
ISNUMBER(SEARCH("TRAVEL ADAPTER",B2260)),
ISNUMBER(SEARCH("RJ45",B2260)),
ISNUMBER(SEARCH("USB-C",B2260)),
ISNUMBER(SEARCH("USB WIFI",B2260)),
ISNUMBER(SEARCH("POWERBANK",B2260)),
ISNUMBER(SEARCH("CARGADOR",B2260)),
ISNUMBER(SEARCH("COOLER PARA NB",B2260)),
ISNUMBER(SEARCH("SOPORTE PARA NB",B2260)),
ISNUMBER(SEARCH("WEBCAM",B2260)),
ISNUMBER(SEARCH("WEB CAM",B2260)),
ISNUMBER(SEARCH("MOUSE",B2260)),
ISNUMBER(SEARCH("TECLADO",B2260))
),
"COMPLEMENTO",
IF(
OR(
LEFT(A2260,2)="NB",
LEFT(A2260,2)="PC",
LEFT(A2260,2)="WS",
LEFT(A2260,2)="TB",
LEFT(A2260,3)="CEL",
LEFT(A2260,3)="MON",
LEFT(A2260,3)="PRE",
LEFT(A2260,3)="PRH",
ISNUMBER(SEARCH("NOTEBOOK",B2260)),
ISNUMBER(SEARCH("LAPTOP",B2260)),
ISNUMBER(SEARCH("MONITOR",B2260)),
ISNUMBER(SEARCH("TABLET",B2260)),
ISNUMBER(SEARCH("SMARTPH",B2260)),
ISNUMBER(SEARCH("IMPRESORA",B2260)),
ISNUMBER(SEARCH("MULTIFUNCIONAL",B2260)),
ISNUMBER(SEARCH("AIO",B2260))
),
"GANCHO",
"NORMAL"
)
)</f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>ROUND(
IF(L2257="GANCHO",
   IF(I2259&lt;=50,I2259*1.1+4,IF(I2259&lt;=120,I2259*1.1+7,IF(I2259&lt;=250,I2259*1.1+11,I2259*1.1+19))),
IF(L2257="NORMAL",
   IF(I2259&lt;=30,I2259*1.15+2,IF(I2259&lt;=80,I2259*1.15+4,IF(I2259&lt;=150,I2259*1.15+6,I2259*1.15+8))),
IF(L2257="COMPLEMENTO",
   IF(I2259&lt;=25,I2259*1.25+1.5,IF(I2259&lt;=60,I2259*1.25+3,IF(I2259&lt;=120,I2259*1.25+4,I2259*1.25+5))),
""))),2)</f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>IF(
OR(
ISNUMBER(SEARCH("BACKPACK",B2261)),
ISNUMBER(SEARCH("MOCHILA",B2261)),
ISNUMBER(SEARCH("FUNDA",B2261)),
ISNUMBER(SEARCH("ESTUCHE",B2261)),
ISNUMBER(SEARCH("BOOK COVER",B2261)),
ISNUMBER(SEARCH("KEYBOARD PARA TABLET",B2261)),
ISNUMBER(SEARCH("FLIP TABLET",B2261)),
ISNUMBER(SEARCH("CASE FOR TABLET",B2261)),
ISNUMBER(SEARCH("CABLE",B2261)),
ISNUMBER(SEARCH("ADAPTADOR",B2261)),
ISNUMBER(SEARCH("HUB",B2261)),
ISNUMBER(SEARCH("DOCK",B2261)),
ISNUMBER(SEARCH("MOUSE PAD",B2261)),
ISNUMBER(SEARCH("MOUSEPAD",B2261)),
ISNUMBER(SEARCH("SOPORTE",B2261)),
ISNUMBER(SEARCH("STAND",B2261)),
ISNUMBER(SEARCH("TRAVEL ADAPTER",B2261)),
ISNUMBER(SEARCH("RJ45",B2261)),
ISNUMBER(SEARCH("USB-C",B2261)),
ISNUMBER(SEARCH("USB WIFI",B2261)),
ISNUMBER(SEARCH("POWERBANK",B2261)),
ISNUMBER(SEARCH("CARGADOR",B2261)),
ISNUMBER(SEARCH("COOLER PARA NB",B2261)),
ISNUMBER(SEARCH("SOPORTE PARA NB",B2261)),
ISNUMBER(SEARCH("WEBCAM",B2261)),
ISNUMBER(SEARCH("WEB CAM",B2261)),
ISNUMBER(SEARCH("MOUSE",B2261)),
ISNUMBER(SEARCH("TECLADO",B2261))
),
"COMPLEMENTO",
IF(
OR(
LEFT(A2261,2)="NB",
LEFT(A2261,2)="PC",
LEFT(A2261,2)="WS",
LEFT(A2261,2)="TB",
LEFT(A2261,3)="CEL",
LEFT(A2261,3)="MON",
LEFT(A2261,3)="PRE",
LEFT(A2261,3)="PRH",
ISNUMBER(SEARCH("NOTEBOOK",B2261)),
ISNUMBER(SEARCH("LAPTOP",B2261)),
ISNUMBER(SEARCH("MONITOR",B2261)),
ISNUMBER(SEARCH("TABLET",B2261)),
ISNUMBER(SEARCH("SMARTPH",B2261)),
ISNUMBER(SEARCH("IMPRESORA",B2261)),
ISNUMBER(SEARCH("MULTIFUNCIONAL",B2261)),
ISNUMBER(SEARCH("AIO",B2261))
),
"GANCHO",
"NORMAL"
)
)</f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>ROUND(
IF(L2258="GANCHO",
   IF(I2260&lt;=50,I2260*1.1+4,IF(I2260&lt;=120,I2260*1.1+7,IF(I2260&lt;=250,I2260*1.1+11,I2260*1.1+19))),
IF(L2258="NORMAL",
   IF(I2260&lt;=30,I2260*1.15+2,IF(I2260&lt;=80,I2260*1.15+4,IF(I2260&lt;=150,I2260*1.15+6,I2260*1.15+8))),
IF(L2258="COMPLEMENTO",
   IF(I2260&lt;=25,I2260*1.25+1.5,IF(I2260&lt;=60,I2260*1.25+3,IF(I2260&lt;=120,I2260*1.25+4,I2260*1.25+5))),
""))),2)</f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>IF(
OR(
ISNUMBER(SEARCH("BACKPACK",B2262)),
ISNUMBER(SEARCH("MOCHILA",B2262)),
ISNUMBER(SEARCH("FUNDA",B2262)),
ISNUMBER(SEARCH("ESTUCHE",B2262)),
ISNUMBER(SEARCH("BOOK COVER",B2262)),
ISNUMBER(SEARCH("KEYBOARD PARA TABLET",B2262)),
ISNUMBER(SEARCH("FLIP TABLET",B2262)),
ISNUMBER(SEARCH("CASE FOR TABLET",B2262)),
ISNUMBER(SEARCH("CABLE",B2262)),
ISNUMBER(SEARCH("ADAPTADOR",B2262)),
ISNUMBER(SEARCH("HUB",B2262)),
ISNUMBER(SEARCH("DOCK",B2262)),
ISNUMBER(SEARCH("MOUSE PAD",B2262)),
ISNUMBER(SEARCH("MOUSEPAD",B2262)),
ISNUMBER(SEARCH("SOPORTE",B2262)),
ISNUMBER(SEARCH("STAND",B2262)),
ISNUMBER(SEARCH("TRAVEL ADAPTER",B2262)),
ISNUMBER(SEARCH("RJ45",B2262)),
ISNUMBER(SEARCH("USB-C",B2262)),
ISNUMBER(SEARCH("USB WIFI",B2262)),
ISNUMBER(SEARCH("POWERBANK",B2262)),
ISNUMBER(SEARCH("CARGADOR",B2262)),
ISNUMBER(SEARCH("COOLER PARA NB",B2262)),
ISNUMBER(SEARCH("SOPORTE PARA NB",B2262)),
ISNUMBER(SEARCH("WEBCAM",B2262)),
ISNUMBER(SEARCH("WEB CAM",B2262)),
ISNUMBER(SEARCH("MOUSE",B2262)),
ISNUMBER(SEARCH("TECLADO",B2262))
),
"COMPLEMENTO",
IF(
OR(
LEFT(A2262,2)="NB",
LEFT(A2262,2)="PC",
LEFT(A2262,2)="WS",
LEFT(A2262,2)="TB",
LEFT(A2262,3)="CEL",
LEFT(A2262,3)="MON",
LEFT(A2262,3)="PRE",
LEFT(A2262,3)="PRH",
ISNUMBER(SEARCH("NOTEBOOK",B2262)),
ISNUMBER(SEARCH("LAPTOP",B2262)),
ISNUMBER(SEARCH("MONITOR",B2262)),
ISNUMBER(SEARCH("TABLET",B2262)),
ISNUMBER(SEARCH("SMARTPH",B2262)),
ISNUMBER(SEARCH("IMPRESORA",B2262)),
ISNUMBER(SEARCH("MULTIFUNCIONAL",B2262)),
ISNUMBER(SEARCH("AIO",B2262))
),
"GANCHO",
"NORMAL"
)
)</f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>ROUND(
IF(L2259="GANCHO",
   IF(I2261&lt;=50,I2261*1.1+4,IF(I2261&lt;=120,I2261*1.1+7,IF(I2261&lt;=250,I2261*1.1+11,I2261*1.1+19))),
IF(L2259="NORMAL",
   IF(I2261&lt;=30,I2261*1.15+2,IF(I2261&lt;=80,I2261*1.15+4,IF(I2261&lt;=150,I2261*1.15+6,I2261*1.15+8))),
IF(L2259="COMPLEMENTO",
   IF(I2261&lt;=25,I2261*1.25+1.5,IF(I2261&lt;=60,I2261*1.25+3,IF(I2261&lt;=120,I2261*1.25+4,I2261*1.25+5))),
""))),2)</f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>IF(
OR(
ISNUMBER(SEARCH("BACKPACK",B2263)),
ISNUMBER(SEARCH("MOCHILA",B2263)),
ISNUMBER(SEARCH("FUNDA",B2263)),
ISNUMBER(SEARCH("ESTUCHE",B2263)),
ISNUMBER(SEARCH("BOOK COVER",B2263)),
ISNUMBER(SEARCH("KEYBOARD PARA TABLET",B2263)),
ISNUMBER(SEARCH("FLIP TABLET",B2263)),
ISNUMBER(SEARCH("CASE FOR TABLET",B2263)),
ISNUMBER(SEARCH("CABLE",B2263)),
ISNUMBER(SEARCH("ADAPTADOR",B2263)),
ISNUMBER(SEARCH("HUB",B2263)),
ISNUMBER(SEARCH("DOCK",B2263)),
ISNUMBER(SEARCH("MOUSE PAD",B2263)),
ISNUMBER(SEARCH("MOUSEPAD",B2263)),
ISNUMBER(SEARCH("SOPORTE",B2263)),
ISNUMBER(SEARCH("STAND",B2263)),
ISNUMBER(SEARCH("TRAVEL ADAPTER",B2263)),
ISNUMBER(SEARCH("RJ45",B2263)),
ISNUMBER(SEARCH("USB-C",B2263)),
ISNUMBER(SEARCH("USB WIFI",B2263)),
ISNUMBER(SEARCH("POWERBANK",B2263)),
ISNUMBER(SEARCH("CARGADOR",B2263)),
ISNUMBER(SEARCH("COOLER PARA NB",B2263)),
ISNUMBER(SEARCH("SOPORTE PARA NB",B2263)),
ISNUMBER(SEARCH("WEBCAM",B2263)),
ISNUMBER(SEARCH("WEB CAM",B2263)),
ISNUMBER(SEARCH("MOUSE",B2263)),
ISNUMBER(SEARCH("TECLADO",B2263))
),
"COMPLEMENTO",
IF(
OR(
LEFT(A2263,2)="NB",
LEFT(A2263,2)="PC",
LEFT(A2263,2)="WS",
LEFT(A2263,2)="TB",
LEFT(A2263,3)="CEL",
LEFT(A2263,3)="MON",
LEFT(A2263,3)="PRE",
LEFT(A2263,3)="PRH",
ISNUMBER(SEARCH("NOTEBOOK",B2263)),
ISNUMBER(SEARCH("LAPTOP",B2263)),
ISNUMBER(SEARCH("MONITOR",B2263)),
ISNUMBER(SEARCH("TABLET",B2263)),
ISNUMBER(SEARCH("SMARTPH",B2263)),
ISNUMBER(SEARCH("IMPRESORA",B2263)),
ISNUMBER(SEARCH("MULTIFUNCIONAL",B2263)),
ISNUMBER(SEARCH("AIO",B2263))
),
"GANCHO",
"NORMAL"
)
)</f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>ROUND(
IF(L2260="GANCHO",
   IF(I2262&lt;=50,I2262*1.1+4,IF(I2262&lt;=120,I2262*1.1+7,IF(I2262&lt;=250,I2262*1.1+11,I2262*1.1+19))),
IF(L2260="NORMAL",
   IF(I2262&lt;=30,I2262*1.15+2,IF(I2262&lt;=80,I2262*1.15+4,IF(I2262&lt;=150,I2262*1.15+6,I2262*1.15+8))),
IF(L2260="COMPLEMENTO",
   IF(I2262&lt;=25,I2262*1.25+1.5,IF(I2262&lt;=60,I2262*1.25+3,IF(I2262&lt;=120,I2262*1.25+4,I2262*1.25+5))),
""))),2)</f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>IF(
OR(
ISNUMBER(SEARCH("BACKPACK",B2264)),
ISNUMBER(SEARCH("MOCHILA",B2264)),
ISNUMBER(SEARCH("FUNDA",B2264)),
ISNUMBER(SEARCH("ESTUCHE",B2264)),
ISNUMBER(SEARCH("BOOK COVER",B2264)),
ISNUMBER(SEARCH("KEYBOARD PARA TABLET",B2264)),
ISNUMBER(SEARCH("FLIP TABLET",B2264)),
ISNUMBER(SEARCH("CASE FOR TABLET",B2264)),
ISNUMBER(SEARCH("CABLE",B2264)),
ISNUMBER(SEARCH("ADAPTADOR",B2264)),
ISNUMBER(SEARCH("HUB",B2264)),
ISNUMBER(SEARCH("DOCK",B2264)),
ISNUMBER(SEARCH("MOUSE PAD",B2264)),
ISNUMBER(SEARCH("MOUSEPAD",B2264)),
ISNUMBER(SEARCH("SOPORTE",B2264)),
ISNUMBER(SEARCH("STAND",B2264)),
ISNUMBER(SEARCH("TRAVEL ADAPTER",B2264)),
ISNUMBER(SEARCH("RJ45",B2264)),
ISNUMBER(SEARCH("USB-C",B2264)),
ISNUMBER(SEARCH("USB WIFI",B2264)),
ISNUMBER(SEARCH("POWERBANK",B2264)),
ISNUMBER(SEARCH("CARGADOR",B2264)),
ISNUMBER(SEARCH("COOLER PARA NB",B2264)),
ISNUMBER(SEARCH("SOPORTE PARA NB",B2264)),
ISNUMBER(SEARCH("WEBCAM",B2264)),
ISNUMBER(SEARCH("WEB CAM",B2264)),
ISNUMBER(SEARCH("MOUSE",B2264)),
ISNUMBER(SEARCH("TECLADO",B2264))
),
"COMPLEMENTO",
IF(
OR(
LEFT(A2264,2)="NB",
LEFT(A2264,2)="PC",
LEFT(A2264,2)="WS",
LEFT(A2264,2)="TB",
LEFT(A2264,3)="CEL",
LEFT(A2264,3)="MON",
LEFT(A2264,3)="PRE",
LEFT(A2264,3)="PRH",
ISNUMBER(SEARCH("NOTEBOOK",B2264)),
ISNUMBER(SEARCH("LAPTOP",B2264)),
ISNUMBER(SEARCH("MONITOR",B2264)),
ISNUMBER(SEARCH("TABLET",B2264)),
ISNUMBER(SEARCH("SMARTPH",B2264)),
ISNUMBER(SEARCH("IMPRESORA",B2264)),
ISNUMBER(SEARCH("MULTIFUNCIONAL",B2264)),
ISNUMBER(SEARCH("AIO",B2264))
),
"GANCHO",
"NORMAL"
)
)</f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>ROUND(
IF(L2261="GANCHO",
   IF(I2263&lt;=50,I2263*1.1+4,IF(I2263&lt;=120,I2263*1.1+7,IF(I2263&lt;=250,I2263*1.1+11,I2263*1.1+19))),
IF(L2261="NORMAL",
   IF(I2263&lt;=30,I2263*1.15+2,IF(I2263&lt;=80,I2263*1.15+4,IF(I2263&lt;=150,I2263*1.15+6,I2263*1.15+8))),
IF(L2261="COMPLEMENTO",
   IF(I2263&lt;=25,I2263*1.25+1.5,IF(I2263&lt;=60,I2263*1.25+3,IF(I2263&lt;=120,I2263*1.25+4,I2263*1.25+5))),
""))),2)</f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>IF(
OR(
ISNUMBER(SEARCH("BACKPACK",B2265)),
ISNUMBER(SEARCH("MOCHILA",B2265)),
ISNUMBER(SEARCH("FUNDA",B2265)),
ISNUMBER(SEARCH("ESTUCHE",B2265)),
ISNUMBER(SEARCH("BOOK COVER",B2265)),
ISNUMBER(SEARCH("KEYBOARD PARA TABLET",B2265)),
ISNUMBER(SEARCH("FLIP TABLET",B2265)),
ISNUMBER(SEARCH("CASE FOR TABLET",B2265)),
ISNUMBER(SEARCH("CABLE",B2265)),
ISNUMBER(SEARCH("ADAPTADOR",B2265)),
ISNUMBER(SEARCH("HUB",B2265)),
ISNUMBER(SEARCH("DOCK",B2265)),
ISNUMBER(SEARCH("MOUSE PAD",B2265)),
ISNUMBER(SEARCH("MOUSEPAD",B2265)),
ISNUMBER(SEARCH("SOPORTE",B2265)),
ISNUMBER(SEARCH("STAND",B2265)),
ISNUMBER(SEARCH("TRAVEL ADAPTER",B2265)),
ISNUMBER(SEARCH("RJ45",B2265)),
ISNUMBER(SEARCH("USB-C",B2265)),
ISNUMBER(SEARCH("USB WIFI",B2265)),
ISNUMBER(SEARCH("POWERBANK",B2265)),
ISNUMBER(SEARCH("CARGADOR",B2265)),
ISNUMBER(SEARCH("COOLER PARA NB",B2265)),
ISNUMBER(SEARCH("SOPORTE PARA NB",B2265)),
ISNUMBER(SEARCH("WEBCAM",B2265)),
ISNUMBER(SEARCH("WEB CAM",B2265)),
ISNUMBER(SEARCH("MOUSE",B2265)),
ISNUMBER(SEARCH("TECLADO",B2265))
),
"COMPLEMENTO",
IF(
OR(
LEFT(A2265,2)="NB",
LEFT(A2265,2)="PC",
LEFT(A2265,2)="WS",
LEFT(A2265,2)="TB",
LEFT(A2265,3)="CEL",
LEFT(A2265,3)="MON",
LEFT(A2265,3)="PRE",
LEFT(A2265,3)="PRH",
ISNUMBER(SEARCH("NOTEBOOK",B2265)),
ISNUMBER(SEARCH("LAPTOP",B2265)),
ISNUMBER(SEARCH("MONITOR",B2265)),
ISNUMBER(SEARCH("TABLET",B2265)),
ISNUMBER(SEARCH("SMARTPH",B2265)),
ISNUMBER(SEARCH("IMPRESORA",B2265)),
ISNUMBER(SEARCH("MULTIFUNCIONAL",B2265)),
ISNUMBER(SEARCH("AIO",B2265))
),
"GANCHO",
"NORMAL"
)
)</f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>ROUND(
IF(L2262="GANCHO",
   IF(I2264&lt;=50,I2264*1.1+4,IF(I2264&lt;=120,I2264*1.1+7,IF(I2264&lt;=250,I2264*1.1+11,I2264*1.1+19))),
IF(L2262="NORMAL",
   IF(I2264&lt;=30,I2264*1.15+2,IF(I2264&lt;=80,I2264*1.15+4,IF(I2264&lt;=150,I2264*1.15+6,I2264*1.15+8))),
IF(L2262="COMPLEMENTO",
   IF(I2264&lt;=25,I2264*1.25+1.5,IF(I2264&lt;=60,I2264*1.25+3,IF(I2264&lt;=120,I2264*1.25+4,I2264*1.25+5))),
""))),2)</f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>IF(
OR(
ISNUMBER(SEARCH("BACKPACK",B2266)),
ISNUMBER(SEARCH("MOCHILA",B2266)),
ISNUMBER(SEARCH("FUNDA",B2266)),
ISNUMBER(SEARCH("ESTUCHE",B2266)),
ISNUMBER(SEARCH("BOOK COVER",B2266)),
ISNUMBER(SEARCH("KEYBOARD PARA TABLET",B2266)),
ISNUMBER(SEARCH("FLIP TABLET",B2266)),
ISNUMBER(SEARCH("CASE FOR TABLET",B2266)),
ISNUMBER(SEARCH("CABLE",B2266)),
ISNUMBER(SEARCH("ADAPTADOR",B2266)),
ISNUMBER(SEARCH("HUB",B2266)),
ISNUMBER(SEARCH("DOCK",B2266)),
ISNUMBER(SEARCH("MOUSE PAD",B2266)),
ISNUMBER(SEARCH("MOUSEPAD",B2266)),
ISNUMBER(SEARCH("SOPORTE",B2266)),
ISNUMBER(SEARCH("STAND",B2266)),
ISNUMBER(SEARCH("TRAVEL ADAPTER",B2266)),
ISNUMBER(SEARCH("RJ45",B2266)),
ISNUMBER(SEARCH("USB-C",B2266)),
ISNUMBER(SEARCH("USB WIFI",B2266)),
ISNUMBER(SEARCH("POWERBANK",B2266)),
ISNUMBER(SEARCH("CARGADOR",B2266)),
ISNUMBER(SEARCH("COOLER PARA NB",B2266)),
ISNUMBER(SEARCH("SOPORTE PARA NB",B2266)),
ISNUMBER(SEARCH("WEBCAM",B2266)),
ISNUMBER(SEARCH("WEB CAM",B2266)),
ISNUMBER(SEARCH("MOUSE",B2266)),
ISNUMBER(SEARCH("TECLADO",B2266))
),
"COMPLEMENTO",
IF(
OR(
LEFT(A2266,2)="NB",
LEFT(A2266,2)="PC",
LEFT(A2266,2)="WS",
LEFT(A2266,2)="TB",
LEFT(A2266,3)="CEL",
LEFT(A2266,3)="MON",
LEFT(A2266,3)="PRE",
LEFT(A2266,3)="PRH",
ISNUMBER(SEARCH("NOTEBOOK",B2266)),
ISNUMBER(SEARCH("LAPTOP",B2266)),
ISNUMBER(SEARCH("MONITOR",B2266)),
ISNUMBER(SEARCH("TABLET",B2266)),
ISNUMBER(SEARCH("SMARTPH",B2266)),
ISNUMBER(SEARCH("IMPRESORA",B2266)),
ISNUMBER(SEARCH("MULTIFUNCIONAL",B2266)),
ISNUMBER(SEARCH("AIO",B2266))
),
"GANCHO",
"NORMAL"
)
)</f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>ROUND(
IF(L2263="GANCHO",
   IF(I2265&lt;=50,I2265*1.1+4,IF(I2265&lt;=120,I2265*1.1+7,IF(I2265&lt;=250,I2265*1.1+11,I2265*1.1+19))),
IF(L2263="NORMAL",
   IF(I2265&lt;=30,I2265*1.15+2,IF(I2265&lt;=80,I2265*1.15+4,IF(I2265&lt;=150,I2265*1.15+6,I2265*1.15+8))),
IF(L2263="COMPLEMENTO",
   IF(I2265&lt;=25,I2265*1.25+1.5,IF(I2265&lt;=60,I2265*1.25+3,IF(I2265&lt;=120,I2265*1.25+4,I2265*1.25+5))),
""))),2)</f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>IF(
OR(
ISNUMBER(SEARCH("BACKPACK",B2267)),
ISNUMBER(SEARCH("MOCHILA",B2267)),
ISNUMBER(SEARCH("FUNDA",B2267)),
ISNUMBER(SEARCH("ESTUCHE",B2267)),
ISNUMBER(SEARCH("BOOK COVER",B2267)),
ISNUMBER(SEARCH("KEYBOARD PARA TABLET",B2267)),
ISNUMBER(SEARCH("FLIP TABLET",B2267)),
ISNUMBER(SEARCH("CASE FOR TABLET",B2267)),
ISNUMBER(SEARCH("CABLE",B2267)),
ISNUMBER(SEARCH("ADAPTADOR",B2267)),
ISNUMBER(SEARCH("HUB",B2267)),
ISNUMBER(SEARCH("DOCK",B2267)),
ISNUMBER(SEARCH("MOUSE PAD",B2267)),
ISNUMBER(SEARCH("MOUSEPAD",B2267)),
ISNUMBER(SEARCH("SOPORTE",B2267)),
ISNUMBER(SEARCH("STAND",B2267)),
ISNUMBER(SEARCH("TRAVEL ADAPTER",B2267)),
ISNUMBER(SEARCH("RJ45",B2267)),
ISNUMBER(SEARCH("USB-C",B2267)),
ISNUMBER(SEARCH("USB WIFI",B2267)),
ISNUMBER(SEARCH("POWERBANK",B2267)),
ISNUMBER(SEARCH("CARGADOR",B2267)),
ISNUMBER(SEARCH("COOLER PARA NB",B2267)),
ISNUMBER(SEARCH("SOPORTE PARA NB",B2267)),
ISNUMBER(SEARCH("WEBCAM",B2267)),
ISNUMBER(SEARCH("WEB CAM",B2267)),
ISNUMBER(SEARCH("MOUSE",B2267)),
ISNUMBER(SEARCH("TECLADO",B2267))
),
"COMPLEMENTO",
IF(
OR(
LEFT(A2267,2)="NB",
LEFT(A2267,2)="PC",
LEFT(A2267,2)="WS",
LEFT(A2267,2)="TB",
LEFT(A2267,3)="CEL",
LEFT(A2267,3)="MON",
LEFT(A2267,3)="PRE",
LEFT(A2267,3)="PRH",
ISNUMBER(SEARCH("NOTEBOOK",B2267)),
ISNUMBER(SEARCH("LAPTOP",B2267)),
ISNUMBER(SEARCH("MONITOR",B2267)),
ISNUMBER(SEARCH("TABLET",B2267)),
ISNUMBER(SEARCH("SMARTPH",B2267)),
ISNUMBER(SEARCH("IMPRESORA",B2267)),
ISNUMBER(SEARCH("MULTIFUNCIONAL",B2267)),
ISNUMBER(SEARCH("AIO",B2267))
),
"GANCHO",
"NORMAL"
)
)</f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>ROUND(
IF(L2264="GANCHO",
   IF(I2266&lt;=50,I2266*1.1+4,IF(I2266&lt;=120,I2266*1.1+7,IF(I2266&lt;=250,I2266*1.1+11,I2266*1.1+19))),
IF(L2264="NORMAL",
   IF(I2266&lt;=30,I2266*1.15+2,IF(I2266&lt;=80,I2266*1.15+4,IF(I2266&lt;=150,I2266*1.15+6,I2266*1.15+8))),
IF(L2264="COMPLEMENTO",
   IF(I2266&lt;=25,I2266*1.25+1.5,IF(I2266&lt;=60,I2266*1.25+3,IF(I2266&lt;=120,I2266*1.25+4,I2266*1.25+5))),
""))),2)</f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>IF(
OR(
ISNUMBER(SEARCH("BACKPACK",B2268)),
ISNUMBER(SEARCH("MOCHILA",B2268)),
ISNUMBER(SEARCH("FUNDA",B2268)),
ISNUMBER(SEARCH("ESTUCHE",B2268)),
ISNUMBER(SEARCH("BOOK COVER",B2268)),
ISNUMBER(SEARCH("KEYBOARD PARA TABLET",B2268)),
ISNUMBER(SEARCH("FLIP TABLET",B2268)),
ISNUMBER(SEARCH("CASE FOR TABLET",B2268)),
ISNUMBER(SEARCH("CABLE",B2268)),
ISNUMBER(SEARCH("ADAPTADOR",B2268)),
ISNUMBER(SEARCH("HUB",B2268)),
ISNUMBER(SEARCH("DOCK",B2268)),
ISNUMBER(SEARCH("MOUSE PAD",B2268)),
ISNUMBER(SEARCH("MOUSEPAD",B2268)),
ISNUMBER(SEARCH("SOPORTE",B2268)),
ISNUMBER(SEARCH("STAND",B2268)),
ISNUMBER(SEARCH("TRAVEL ADAPTER",B2268)),
ISNUMBER(SEARCH("RJ45",B2268)),
ISNUMBER(SEARCH("USB-C",B2268)),
ISNUMBER(SEARCH("USB WIFI",B2268)),
ISNUMBER(SEARCH("POWERBANK",B2268)),
ISNUMBER(SEARCH("CARGADOR",B2268)),
ISNUMBER(SEARCH("COOLER PARA NB",B2268)),
ISNUMBER(SEARCH("SOPORTE PARA NB",B2268)),
ISNUMBER(SEARCH("WEBCAM",B2268)),
ISNUMBER(SEARCH("WEB CAM",B2268)),
ISNUMBER(SEARCH("MOUSE",B2268)),
ISNUMBER(SEARCH("TECLADO",B2268))
),
"COMPLEMENTO",
IF(
OR(
LEFT(A2268,2)="NB",
LEFT(A2268,2)="PC",
LEFT(A2268,2)="WS",
LEFT(A2268,2)="TB",
LEFT(A2268,3)="CEL",
LEFT(A2268,3)="MON",
LEFT(A2268,3)="PRE",
LEFT(A2268,3)="PRH",
ISNUMBER(SEARCH("NOTEBOOK",B2268)),
ISNUMBER(SEARCH("LAPTOP",B2268)),
ISNUMBER(SEARCH("MONITOR",B2268)),
ISNUMBER(SEARCH("TABLET",B2268)),
ISNUMBER(SEARCH("SMARTPH",B2268)),
ISNUMBER(SEARCH("IMPRESORA",B2268)),
ISNUMBER(SEARCH("MULTIFUNCIONAL",B2268)),
ISNUMBER(SEARCH("AIO",B2268))
),
"GANCHO",
"NORMAL"
)
)</f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>ROUND(
IF(L2265="GANCHO",
   IF(I2267&lt;=50,I2267*1.1+4,IF(I2267&lt;=120,I2267*1.1+7,IF(I2267&lt;=250,I2267*1.1+11,I2267*1.1+19))),
IF(L2265="NORMAL",
   IF(I2267&lt;=30,I2267*1.15+2,IF(I2267&lt;=80,I2267*1.15+4,IF(I2267&lt;=150,I2267*1.15+6,I2267*1.15+8))),
IF(L2265="COMPLEMENTO",
   IF(I2267&lt;=25,I2267*1.25+1.5,IF(I2267&lt;=60,I2267*1.25+3,IF(I2267&lt;=120,I2267*1.25+4,I2267*1.25+5))),
""))),2)</f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>IF(
OR(
ISNUMBER(SEARCH("BACKPACK",B2269)),
ISNUMBER(SEARCH("MOCHILA",B2269)),
ISNUMBER(SEARCH("FUNDA",B2269)),
ISNUMBER(SEARCH("ESTUCHE",B2269)),
ISNUMBER(SEARCH("BOOK COVER",B2269)),
ISNUMBER(SEARCH("KEYBOARD PARA TABLET",B2269)),
ISNUMBER(SEARCH("FLIP TABLET",B2269)),
ISNUMBER(SEARCH("CASE FOR TABLET",B2269)),
ISNUMBER(SEARCH("CABLE",B2269)),
ISNUMBER(SEARCH("ADAPTADOR",B2269)),
ISNUMBER(SEARCH("HUB",B2269)),
ISNUMBER(SEARCH("DOCK",B2269)),
ISNUMBER(SEARCH("MOUSE PAD",B2269)),
ISNUMBER(SEARCH("MOUSEPAD",B2269)),
ISNUMBER(SEARCH("SOPORTE",B2269)),
ISNUMBER(SEARCH("STAND",B2269)),
ISNUMBER(SEARCH("TRAVEL ADAPTER",B2269)),
ISNUMBER(SEARCH("RJ45",B2269)),
ISNUMBER(SEARCH("USB-C",B2269)),
ISNUMBER(SEARCH("USB WIFI",B2269)),
ISNUMBER(SEARCH("POWERBANK",B2269)),
ISNUMBER(SEARCH("CARGADOR",B2269)),
ISNUMBER(SEARCH("COOLER PARA NB",B2269)),
ISNUMBER(SEARCH("SOPORTE PARA NB",B2269)),
ISNUMBER(SEARCH("WEBCAM",B2269)),
ISNUMBER(SEARCH("WEB CAM",B2269)),
ISNUMBER(SEARCH("MOUSE",B2269)),
ISNUMBER(SEARCH("TECLADO",B2269))
),
"COMPLEMENTO",
IF(
OR(
LEFT(A2269,2)="NB",
LEFT(A2269,2)="PC",
LEFT(A2269,2)="WS",
LEFT(A2269,2)="TB",
LEFT(A2269,3)="CEL",
LEFT(A2269,3)="MON",
LEFT(A2269,3)="PRE",
LEFT(A2269,3)="PRH",
ISNUMBER(SEARCH("NOTEBOOK",B2269)),
ISNUMBER(SEARCH("LAPTOP",B2269)),
ISNUMBER(SEARCH("MONITOR",B2269)),
ISNUMBER(SEARCH("TABLET",B2269)),
ISNUMBER(SEARCH("SMARTPH",B2269)),
ISNUMBER(SEARCH("IMPRESORA",B2269)),
ISNUMBER(SEARCH("MULTIFUNCIONAL",B2269)),
ISNUMBER(SEARCH("AIO",B2269))
),
"GANCHO",
"NORMAL"
)
)</f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>ROUND(
IF(L2266="GANCHO",
   IF(I2268&lt;=50,I2268*1.1+4,IF(I2268&lt;=120,I2268*1.1+7,IF(I2268&lt;=250,I2268*1.1+11,I2268*1.1+19))),
IF(L2266="NORMAL",
   IF(I2268&lt;=30,I2268*1.15+2,IF(I2268&lt;=80,I2268*1.15+4,IF(I2268&lt;=150,I2268*1.15+6,I2268*1.15+8))),
IF(L2266="COMPLEMENTO",
   IF(I2268&lt;=25,I2268*1.25+1.5,IF(I2268&lt;=60,I2268*1.25+3,IF(I2268&lt;=120,I2268*1.25+4,I2268*1.25+5))),
""))),2)</f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>IF(
OR(
ISNUMBER(SEARCH("BACKPACK",B2270)),
ISNUMBER(SEARCH("MOCHILA",B2270)),
ISNUMBER(SEARCH("FUNDA",B2270)),
ISNUMBER(SEARCH("ESTUCHE",B2270)),
ISNUMBER(SEARCH("BOOK COVER",B2270)),
ISNUMBER(SEARCH("KEYBOARD PARA TABLET",B2270)),
ISNUMBER(SEARCH("FLIP TABLET",B2270)),
ISNUMBER(SEARCH("CASE FOR TABLET",B2270)),
ISNUMBER(SEARCH("CABLE",B2270)),
ISNUMBER(SEARCH("ADAPTADOR",B2270)),
ISNUMBER(SEARCH("HUB",B2270)),
ISNUMBER(SEARCH("DOCK",B2270)),
ISNUMBER(SEARCH("MOUSE PAD",B2270)),
ISNUMBER(SEARCH("MOUSEPAD",B2270)),
ISNUMBER(SEARCH("SOPORTE",B2270)),
ISNUMBER(SEARCH("STAND",B2270)),
ISNUMBER(SEARCH("TRAVEL ADAPTER",B2270)),
ISNUMBER(SEARCH("RJ45",B2270)),
ISNUMBER(SEARCH("USB-C",B2270)),
ISNUMBER(SEARCH("USB WIFI",B2270)),
ISNUMBER(SEARCH("POWERBANK",B2270)),
ISNUMBER(SEARCH("CARGADOR",B2270)),
ISNUMBER(SEARCH("COOLER PARA NB",B2270)),
ISNUMBER(SEARCH("SOPORTE PARA NB",B2270)),
ISNUMBER(SEARCH("WEBCAM",B2270)),
ISNUMBER(SEARCH("WEB CAM",B2270)),
ISNUMBER(SEARCH("MOUSE",B2270)),
ISNUMBER(SEARCH("TECLADO",B2270))
),
"COMPLEMENTO",
IF(
OR(
LEFT(A2270,2)="NB",
LEFT(A2270,2)="PC",
LEFT(A2270,2)="WS",
LEFT(A2270,2)="TB",
LEFT(A2270,3)="CEL",
LEFT(A2270,3)="MON",
LEFT(A2270,3)="PRE",
LEFT(A2270,3)="PRH",
ISNUMBER(SEARCH("NOTEBOOK",B2270)),
ISNUMBER(SEARCH("LAPTOP",B2270)),
ISNUMBER(SEARCH("MONITOR",B2270)),
ISNUMBER(SEARCH("TABLET",B2270)),
ISNUMBER(SEARCH("SMARTPH",B2270)),
ISNUMBER(SEARCH("IMPRESORA",B2270)),
ISNUMBER(SEARCH("MULTIFUNCIONAL",B2270)),
ISNUMBER(SEARCH("AIO",B2270))
),
"GANCHO",
"NORMAL"
)
)</f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>ROUND(
IF(L2267="GANCHO",
   IF(I2269&lt;=50,I2269*1.1+4,IF(I2269&lt;=120,I2269*1.1+7,IF(I2269&lt;=250,I2269*1.1+11,I2269*1.1+19))),
IF(L2267="NORMAL",
   IF(I2269&lt;=30,I2269*1.15+2,IF(I2269&lt;=80,I2269*1.15+4,IF(I2269&lt;=150,I2269*1.15+6,I2269*1.15+8))),
IF(L2267="COMPLEMENTO",
   IF(I2269&lt;=25,I2269*1.25+1.5,IF(I2269&lt;=60,I2269*1.25+3,IF(I2269&lt;=120,I2269*1.25+4,I2269*1.25+5))),
""))),2)</f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>IF(
OR(
ISNUMBER(SEARCH("BACKPACK",B2271)),
ISNUMBER(SEARCH("MOCHILA",B2271)),
ISNUMBER(SEARCH("FUNDA",B2271)),
ISNUMBER(SEARCH("ESTUCHE",B2271)),
ISNUMBER(SEARCH("BOOK COVER",B2271)),
ISNUMBER(SEARCH("KEYBOARD PARA TABLET",B2271)),
ISNUMBER(SEARCH("FLIP TABLET",B2271)),
ISNUMBER(SEARCH("CASE FOR TABLET",B2271)),
ISNUMBER(SEARCH("CABLE",B2271)),
ISNUMBER(SEARCH("ADAPTADOR",B2271)),
ISNUMBER(SEARCH("HUB",B2271)),
ISNUMBER(SEARCH("DOCK",B2271)),
ISNUMBER(SEARCH("MOUSE PAD",B2271)),
ISNUMBER(SEARCH("MOUSEPAD",B2271)),
ISNUMBER(SEARCH("SOPORTE",B2271)),
ISNUMBER(SEARCH("STAND",B2271)),
ISNUMBER(SEARCH("TRAVEL ADAPTER",B2271)),
ISNUMBER(SEARCH("RJ45",B2271)),
ISNUMBER(SEARCH("USB-C",B2271)),
ISNUMBER(SEARCH("USB WIFI",B2271)),
ISNUMBER(SEARCH("POWERBANK",B2271)),
ISNUMBER(SEARCH("CARGADOR",B2271)),
ISNUMBER(SEARCH("COOLER PARA NB",B2271)),
ISNUMBER(SEARCH("SOPORTE PARA NB",B2271)),
ISNUMBER(SEARCH("WEBCAM",B2271)),
ISNUMBER(SEARCH("WEB CAM",B2271)),
ISNUMBER(SEARCH("MOUSE",B2271)),
ISNUMBER(SEARCH("TECLADO",B2271))
),
"COMPLEMENTO",
IF(
OR(
LEFT(A2271,2)="NB",
LEFT(A2271,2)="PC",
LEFT(A2271,2)="WS",
LEFT(A2271,2)="TB",
LEFT(A2271,3)="CEL",
LEFT(A2271,3)="MON",
LEFT(A2271,3)="PRE",
LEFT(A2271,3)="PRH",
ISNUMBER(SEARCH("NOTEBOOK",B2271)),
ISNUMBER(SEARCH("LAPTOP",B2271)),
ISNUMBER(SEARCH("MONITOR",B2271)),
ISNUMBER(SEARCH("TABLET",B2271)),
ISNUMBER(SEARCH("SMARTPH",B2271)),
ISNUMBER(SEARCH("IMPRESORA",B2271)),
ISNUMBER(SEARCH("MULTIFUNCIONAL",B2271)),
ISNUMBER(SEARCH("AIO",B2271))
),
"GANCHO",
"NORMAL"
)
)</f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>ROUND(
IF(L2268="GANCHO",
   IF(I2270&lt;=50,I2270*1.1+4,IF(I2270&lt;=120,I2270*1.1+7,IF(I2270&lt;=250,I2270*1.1+11,I2270*1.1+19))),
IF(L2268="NORMAL",
   IF(I2270&lt;=30,I2270*1.15+2,IF(I2270&lt;=80,I2270*1.15+4,IF(I2270&lt;=150,I2270*1.15+6,I2270*1.15+8))),
IF(L2268="COMPLEMENTO",
   IF(I2270&lt;=25,I2270*1.25+1.5,IF(I2270&lt;=60,I2270*1.25+3,IF(I2270&lt;=120,I2270*1.25+4,I2270*1.25+5))),
""))),2)</f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>IF(
OR(
ISNUMBER(SEARCH("BACKPACK",B2272)),
ISNUMBER(SEARCH("MOCHILA",B2272)),
ISNUMBER(SEARCH("FUNDA",B2272)),
ISNUMBER(SEARCH("ESTUCHE",B2272)),
ISNUMBER(SEARCH("BOOK COVER",B2272)),
ISNUMBER(SEARCH("KEYBOARD PARA TABLET",B2272)),
ISNUMBER(SEARCH("FLIP TABLET",B2272)),
ISNUMBER(SEARCH("CASE FOR TABLET",B2272)),
ISNUMBER(SEARCH("CABLE",B2272)),
ISNUMBER(SEARCH("ADAPTADOR",B2272)),
ISNUMBER(SEARCH("HUB",B2272)),
ISNUMBER(SEARCH("DOCK",B2272)),
ISNUMBER(SEARCH("MOUSE PAD",B2272)),
ISNUMBER(SEARCH("MOUSEPAD",B2272)),
ISNUMBER(SEARCH("SOPORTE",B2272)),
ISNUMBER(SEARCH("STAND",B2272)),
ISNUMBER(SEARCH("TRAVEL ADAPTER",B2272)),
ISNUMBER(SEARCH("RJ45",B2272)),
ISNUMBER(SEARCH("USB-C",B2272)),
ISNUMBER(SEARCH("USB WIFI",B2272)),
ISNUMBER(SEARCH("POWERBANK",B2272)),
ISNUMBER(SEARCH("CARGADOR",B2272)),
ISNUMBER(SEARCH("COOLER PARA NB",B2272)),
ISNUMBER(SEARCH("SOPORTE PARA NB",B2272)),
ISNUMBER(SEARCH("WEBCAM",B2272)),
ISNUMBER(SEARCH("WEB CAM",B2272)),
ISNUMBER(SEARCH("MOUSE",B2272)),
ISNUMBER(SEARCH("TECLADO",B2272))
),
"COMPLEMENTO",
IF(
OR(
LEFT(A2272,2)="NB",
LEFT(A2272,2)="PC",
LEFT(A2272,2)="WS",
LEFT(A2272,2)="TB",
LEFT(A2272,3)="CEL",
LEFT(A2272,3)="MON",
LEFT(A2272,3)="PRE",
LEFT(A2272,3)="PRH",
ISNUMBER(SEARCH("NOTEBOOK",B2272)),
ISNUMBER(SEARCH("LAPTOP",B2272)),
ISNUMBER(SEARCH("MONITOR",B2272)),
ISNUMBER(SEARCH("TABLET",B2272)),
ISNUMBER(SEARCH("SMARTPH",B2272)),
ISNUMBER(SEARCH("IMPRESORA",B2272)),
ISNUMBER(SEARCH("MULTIFUNCIONAL",B2272)),
ISNUMBER(SEARCH("AIO",B2272))
),
"GANCHO",
"NORMAL"
)
)</f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>ROUND(
IF(L2269="GANCHO",
   IF(I2271&lt;=50,I2271*1.1+4,IF(I2271&lt;=120,I2271*1.1+7,IF(I2271&lt;=250,I2271*1.1+11,I2271*1.1+19))),
IF(L2269="NORMAL",
   IF(I2271&lt;=30,I2271*1.15+2,IF(I2271&lt;=80,I2271*1.15+4,IF(I2271&lt;=150,I2271*1.15+6,I2271*1.15+8))),
IF(L2269="COMPLEMENTO",
   IF(I2271&lt;=25,I2271*1.25+1.5,IF(I2271&lt;=60,I2271*1.25+3,IF(I2271&lt;=120,I2271*1.25+4,I2271*1.25+5))),
""))),2)</f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>IF(
OR(
ISNUMBER(SEARCH("BACKPACK",B2273)),
ISNUMBER(SEARCH("MOCHILA",B2273)),
ISNUMBER(SEARCH("FUNDA",B2273)),
ISNUMBER(SEARCH("ESTUCHE",B2273)),
ISNUMBER(SEARCH("BOOK COVER",B2273)),
ISNUMBER(SEARCH("KEYBOARD PARA TABLET",B2273)),
ISNUMBER(SEARCH("FLIP TABLET",B2273)),
ISNUMBER(SEARCH("CASE FOR TABLET",B2273)),
ISNUMBER(SEARCH("CABLE",B2273)),
ISNUMBER(SEARCH("ADAPTADOR",B2273)),
ISNUMBER(SEARCH("HUB",B2273)),
ISNUMBER(SEARCH("DOCK",B2273)),
ISNUMBER(SEARCH("MOUSE PAD",B2273)),
ISNUMBER(SEARCH("MOUSEPAD",B2273)),
ISNUMBER(SEARCH("SOPORTE",B2273)),
ISNUMBER(SEARCH("STAND",B2273)),
ISNUMBER(SEARCH("TRAVEL ADAPTER",B2273)),
ISNUMBER(SEARCH("RJ45",B2273)),
ISNUMBER(SEARCH("USB-C",B2273)),
ISNUMBER(SEARCH("USB WIFI",B2273)),
ISNUMBER(SEARCH("POWERBANK",B2273)),
ISNUMBER(SEARCH("CARGADOR",B2273)),
ISNUMBER(SEARCH("COOLER PARA NB",B2273)),
ISNUMBER(SEARCH("SOPORTE PARA NB",B2273)),
ISNUMBER(SEARCH("WEBCAM",B2273)),
ISNUMBER(SEARCH("WEB CAM",B2273)),
ISNUMBER(SEARCH("MOUSE",B2273)),
ISNUMBER(SEARCH("TECLADO",B2273))
),
"COMPLEMENTO",
IF(
OR(
LEFT(A2273,2)="NB",
LEFT(A2273,2)="PC",
LEFT(A2273,2)="WS",
LEFT(A2273,2)="TB",
LEFT(A2273,3)="CEL",
LEFT(A2273,3)="MON",
LEFT(A2273,3)="PRE",
LEFT(A2273,3)="PRH",
ISNUMBER(SEARCH("NOTEBOOK",B2273)),
ISNUMBER(SEARCH("LAPTOP",B2273)),
ISNUMBER(SEARCH("MONITOR",B2273)),
ISNUMBER(SEARCH("TABLET",B2273)),
ISNUMBER(SEARCH("SMARTPH",B2273)),
ISNUMBER(SEARCH("IMPRESORA",B2273)),
ISNUMBER(SEARCH("MULTIFUNCIONAL",B2273)),
ISNUMBER(SEARCH("AIO",B2273))
),
"GANCHO",
"NORMAL"
)
)</f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>ROUND(
IF(L2270="GANCHO",
   IF(I2272&lt;=50,I2272*1.1+4,IF(I2272&lt;=120,I2272*1.1+7,IF(I2272&lt;=250,I2272*1.1+11,I2272*1.1+19))),
IF(L2270="NORMAL",
   IF(I2272&lt;=30,I2272*1.15+2,IF(I2272&lt;=80,I2272*1.15+4,IF(I2272&lt;=150,I2272*1.15+6,I2272*1.15+8))),
IF(L2270="COMPLEMENTO",
   IF(I2272&lt;=25,I2272*1.25+1.5,IF(I2272&lt;=60,I2272*1.25+3,IF(I2272&lt;=120,I2272*1.25+4,I2272*1.25+5))),
""))),2)</f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>IF(
OR(
ISNUMBER(SEARCH("BACKPACK",B2274)),
ISNUMBER(SEARCH("MOCHILA",B2274)),
ISNUMBER(SEARCH("FUNDA",B2274)),
ISNUMBER(SEARCH("ESTUCHE",B2274)),
ISNUMBER(SEARCH("BOOK COVER",B2274)),
ISNUMBER(SEARCH("KEYBOARD PARA TABLET",B2274)),
ISNUMBER(SEARCH("FLIP TABLET",B2274)),
ISNUMBER(SEARCH("CASE FOR TABLET",B2274)),
ISNUMBER(SEARCH("CABLE",B2274)),
ISNUMBER(SEARCH("ADAPTADOR",B2274)),
ISNUMBER(SEARCH("HUB",B2274)),
ISNUMBER(SEARCH("DOCK",B2274)),
ISNUMBER(SEARCH("MOUSE PAD",B2274)),
ISNUMBER(SEARCH("MOUSEPAD",B2274)),
ISNUMBER(SEARCH("SOPORTE",B2274)),
ISNUMBER(SEARCH("STAND",B2274)),
ISNUMBER(SEARCH("TRAVEL ADAPTER",B2274)),
ISNUMBER(SEARCH("RJ45",B2274)),
ISNUMBER(SEARCH("USB-C",B2274)),
ISNUMBER(SEARCH("USB WIFI",B2274)),
ISNUMBER(SEARCH("POWERBANK",B2274)),
ISNUMBER(SEARCH("CARGADOR",B2274)),
ISNUMBER(SEARCH("COOLER PARA NB",B2274)),
ISNUMBER(SEARCH("SOPORTE PARA NB",B2274)),
ISNUMBER(SEARCH("WEBCAM",B2274)),
ISNUMBER(SEARCH("WEB CAM",B2274)),
ISNUMBER(SEARCH("MOUSE",B2274)),
ISNUMBER(SEARCH("TECLADO",B2274))
),
"COMPLEMENTO",
IF(
OR(
LEFT(A2274,2)="NB",
LEFT(A2274,2)="PC",
LEFT(A2274,2)="WS",
LEFT(A2274,2)="TB",
LEFT(A2274,3)="CEL",
LEFT(A2274,3)="MON",
LEFT(A2274,3)="PRE",
LEFT(A2274,3)="PRH",
ISNUMBER(SEARCH("NOTEBOOK",B2274)),
ISNUMBER(SEARCH("LAPTOP",B2274)),
ISNUMBER(SEARCH("MONITOR",B2274)),
ISNUMBER(SEARCH("TABLET",B2274)),
ISNUMBER(SEARCH("SMARTPH",B2274)),
ISNUMBER(SEARCH("IMPRESORA",B2274)),
ISNUMBER(SEARCH("MULTIFUNCIONAL",B2274)),
ISNUMBER(SEARCH("AIO",B2274))
),
"GANCHO",
"NORMAL"
)
)</f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>ROUND(
IF(L2271="GANCHO",
   IF(I2273&lt;=50,I2273*1.1+4,IF(I2273&lt;=120,I2273*1.1+7,IF(I2273&lt;=250,I2273*1.1+11,I2273*1.1+19))),
IF(L2271="NORMAL",
   IF(I2273&lt;=30,I2273*1.15+2,IF(I2273&lt;=80,I2273*1.15+4,IF(I2273&lt;=150,I2273*1.15+6,I2273*1.15+8))),
IF(L2271="COMPLEMENTO",
   IF(I2273&lt;=25,I2273*1.25+1.5,IF(I2273&lt;=60,I2273*1.25+3,IF(I2273&lt;=120,I2273*1.25+4,I2273*1.25+5))),
""))),2)</f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>IF(
OR(
ISNUMBER(SEARCH("BACKPACK",B2275)),
ISNUMBER(SEARCH("MOCHILA",B2275)),
ISNUMBER(SEARCH("FUNDA",B2275)),
ISNUMBER(SEARCH("ESTUCHE",B2275)),
ISNUMBER(SEARCH("BOOK COVER",B2275)),
ISNUMBER(SEARCH("KEYBOARD PARA TABLET",B2275)),
ISNUMBER(SEARCH("FLIP TABLET",B2275)),
ISNUMBER(SEARCH("CASE FOR TABLET",B2275)),
ISNUMBER(SEARCH("CABLE",B2275)),
ISNUMBER(SEARCH("ADAPTADOR",B2275)),
ISNUMBER(SEARCH("HUB",B2275)),
ISNUMBER(SEARCH("DOCK",B2275)),
ISNUMBER(SEARCH("MOUSE PAD",B2275)),
ISNUMBER(SEARCH("MOUSEPAD",B2275)),
ISNUMBER(SEARCH("SOPORTE",B2275)),
ISNUMBER(SEARCH("STAND",B2275)),
ISNUMBER(SEARCH("TRAVEL ADAPTER",B2275)),
ISNUMBER(SEARCH("RJ45",B2275)),
ISNUMBER(SEARCH("USB-C",B2275)),
ISNUMBER(SEARCH("USB WIFI",B2275)),
ISNUMBER(SEARCH("POWERBANK",B2275)),
ISNUMBER(SEARCH("CARGADOR",B2275)),
ISNUMBER(SEARCH("COOLER PARA NB",B2275)),
ISNUMBER(SEARCH("SOPORTE PARA NB",B2275)),
ISNUMBER(SEARCH("WEBCAM",B2275)),
ISNUMBER(SEARCH("WEB CAM",B2275)),
ISNUMBER(SEARCH("MOUSE",B2275)),
ISNUMBER(SEARCH("TECLADO",B2275))
),
"COMPLEMENTO",
IF(
OR(
LEFT(A2275,2)="NB",
LEFT(A2275,2)="PC",
LEFT(A2275,2)="WS",
LEFT(A2275,2)="TB",
LEFT(A2275,3)="CEL",
LEFT(A2275,3)="MON",
LEFT(A2275,3)="PRE",
LEFT(A2275,3)="PRH",
ISNUMBER(SEARCH("NOTEBOOK",B2275)),
ISNUMBER(SEARCH("LAPTOP",B2275)),
ISNUMBER(SEARCH("MONITOR",B2275)),
ISNUMBER(SEARCH("TABLET",B2275)),
ISNUMBER(SEARCH("SMARTPH",B2275)),
ISNUMBER(SEARCH("IMPRESORA",B2275)),
ISNUMBER(SEARCH("MULTIFUNCIONAL",B2275)),
ISNUMBER(SEARCH("AIO",B2275))
),
"GANCHO",
"NORMAL"
)
)</f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>ROUND(
IF(L2272="GANCHO",
   IF(I2274&lt;=50,I2274*1.1+4,IF(I2274&lt;=120,I2274*1.1+7,IF(I2274&lt;=250,I2274*1.1+11,I2274*1.1+19))),
IF(L2272="NORMAL",
   IF(I2274&lt;=30,I2274*1.15+2,IF(I2274&lt;=80,I2274*1.15+4,IF(I2274&lt;=150,I2274*1.15+6,I2274*1.15+8))),
IF(L2272="COMPLEMENTO",
   IF(I2274&lt;=25,I2274*1.25+1.5,IF(I2274&lt;=60,I2274*1.25+3,IF(I2274&lt;=120,I2274*1.25+4,I2274*1.25+5))),
""))),2)</f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>IF(
OR(
ISNUMBER(SEARCH("BACKPACK",B2276)),
ISNUMBER(SEARCH("MOCHILA",B2276)),
ISNUMBER(SEARCH("FUNDA",B2276)),
ISNUMBER(SEARCH("ESTUCHE",B2276)),
ISNUMBER(SEARCH("BOOK COVER",B2276)),
ISNUMBER(SEARCH("KEYBOARD PARA TABLET",B2276)),
ISNUMBER(SEARCH("FLIP TABLET",B2276)),
ISNUMBER(SEARCH("CASE FOR TABLET",B2276)),
ISNUMBER(SEARCH("CABLE",B2276)),
ISNUMBER(SEARCH("ADAPTADOR",B2276)),
ISNUMBER(SEARCH("HUB",B2276)),
ISNUMBER(SEARCH("DOCK",B2276)),
ISNUMBER(SEARCH("MOUSE PAD",B2276)),
ISNUMBER(SEARCH("MOUSEPAD",B2276)),
ISNUMBER(SEARCH("SOPORTE",B2276)),
ISNUMBER(SEARCH("STAND",B2276)),
ISNUMBER(SEARCH("TRAVEL ADAPTER",B2276)),
ISNUMBER(SEARCH("RJ45",B2276)),
ISNUMBER(SEARCH("USB-C",B2276)),
ISNUMBER(SEARCH("USB WIFI",B2276)),
ISNUMBER(SEARCH("POWERBANK",B2276)),
ISNUMBER(SEARCH("CARGADOR",B2276)),
ISNUMBER(SEARCH("COOLER PARA NB",B2276)),
ISNUMBER(SEARCH("SOPORTE PARA NB",B2276)),
ISNUMBER(SEARCH("WEBCAM",B2276)),
ISNUMBER(SEARCH("WEB CAM",B2276)),
ISNUMBER(SEARCH("MOUSE",B2276)),
ISNUMBER(SEARCH("TECLADO",B2276))
),
"COMPLEMENTO",
IF(
OR(
LEFT(A2276,2)="NB",
LEFT(A2276,2)="PC",
LEFT(A2276,2)="WS",
LEFT(A2276,2)="TB",
LEFT(A2276,3)="CEL",
LEFT(A2276,3)="MON",
LEFT(A2276,3)="PRE",
LEFT(A2276,3)="PRH",
ISNUMBER(SEARCH("NOTEBOOK",B2276)),
ISNUMBER(SEARCH("LAPTOP",B2276)),
ISNUMBER(SEARCH("MONITOR",B2276)),
ISNUMBER(SEARCH("TABLET",B2276)),
ISNUMBER(SEARCH("SMARTPH",B2276)),
ISNUMBER(SEARCH("IMPRESORA",B2276)),
ISNUMBER(SEARCH("MULTIFUNCIONAL",B2276)),
ISNUMBER(SEARCH("AIO",B2276))
),
"GANCHO",
"NORMAL"
)
)</f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>ROUND(
IF(L2273="GANCHO",
   IF(I2275&lt;=50,I2275*1.1+4,IF(I2275&lt;=120,I2275*1.1+7,IF(I2275&lt;=250,I2275*1.1+11,I2275*1.1+19))),
IF(L2273="NORMAL",
   IF(I2275&lt;=30,I2275*1.15+2,IF(I2275&lt;=80,I2275*1.15+4,IF(I2275&lt;=150,I2275*1.15+6,I2275*1.15+8))),
IF(L2273="COMPLEMENTO",
   IF(I2275&lt;=25,I2275*1.25+1.5,IF(I2275&lt;=60,I2275*1.25+3,IF(I2275&lt;=120,I2275*1.25+4,I2275*1.25+5))),
""))),2)</f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>IF(
OR(
ISNUMBER(SEARCH("BACKPACK",B2277)),
ISNUMBER(SEARCH("MOCHILA",B2277)),
ISNUMBER(SEARCH("FUNDA",B2277)),
ISNUMBER(SEARCH("ESTUCHE",B2277)),
ISNUMBER(SEARCH("BOOK COVER",B2277)),
ISNUMBER(SEARCH("KEYBOARD PARA TABLET",B2277)),
ISNUMBER(SEARCH("FLIP TABLET",B2277)),
ISNUMBER(SEARCH("CASE FOR TABLET",B2277)),
ISNUMBER(SEARCH("CABLE",B2277)),
ISNUMBER(SEARCH("ADAPTADOR",B2277)),
ISNUMBER(SEARCH("HUB",B2277)),
ISNUMBER(SEARCH("DOCK",B2277)),
ISNUMBER(SEARCH("MOUSE PAD",B2277)),
ISNUMBER(SEARCH("MOUSEPAD",B2277)),
ISNUMBER(SEARCH("SOPORTE",B2277)),
ISNUMBER(SEARCH("STAND",B2277)),
ISNUMBER(SEARCH("TRAVEL ADAPTER",B2277)),
ISNUMBER(SEARCH("RJ45",B2277)),
ISNUMBER(SEARCH("USB-C",B2277)),
ISNUMBER(SEARCH("USB WIFI",B2277)),
ISNUMBER(SEARCH("POWERBANK",B2277)),
ISNUMBER(SEARCH("CARGADOR",B2277)),
ISNUMBER(SEARCH("COOLER PARA NB",B2277)),
ISNUMBER(SEARCH("SOPORTE PARA NB",B2277)),
ISNUMBER(SEARCH("WEBCAM",B2277)),
ISNUMBER(SEARCH("WEB CAM",B2277)),
ISNUMBER(SEARCH("MOUSE",B2277)),
ISNUMBER(SEARCH("TECLADO",B2277))
),
"COMPLEMENTO",
IF(
OR(
LEFT(A2277,2)="NB",
LEFT(A2277,2)="PC",
LEFT(A2277,2)="WS",
LEFT(A2277,2)="TB",
LEFT(A2277,3)="CEL",
LEFT(A2277,3)="MON",
LEFT(A2277,3)="PRE",
LEFT(A2277,3)="PRH",
ISNUMBER(SEARCH("NOTEBOOK",B2277)),
ISNUMBER(SEARCH("LAPTOP",B2277)),
ISNUMBER(SEARCH("MONITOR",B2277)),
ISNUMBER(SEARCH("TABLET",B2277)),
ISNUMBER(SEARCH("SMARTPH",B2277)),
ISNUMBER(SEARCH("IMPRESORA",B2277)),
ISNUMBER(SEARCH("MULTIFUNCIONAL",B2277)),
ISNUMBER(SEARCH("AIO",B2277))
),
"GANCHO",
"NORMAL"
)
)</f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>ROUND(
IF(L2274="GANCHO",
   IF(I2276&lt;=50,I2276*1.1+4,IF(I2276&lt;=120,I2276*1.1+7,IF(I2276&lt;=250,I2276*1.1+11,I2276*1.1+19))),
IF(L2274="NORMAL",
   IF(I2276&lt;=30,I2276*1.15+2,IF(I2276&lt;=80,I2276*1.15+4,IF(I2276&lt;=150,I2276*1.15+6,I2276*1.15+8))),
IF(L2274="COMPLEMENTO",
   IF(I2276&lt;=25,I2276*1.25+1.5,IF(I2276&lt;=60,I2276*1.25+3,IF(I2276&lt;=120,I2276*1.25+4,I2276*1.25+5))),
""))),2)</f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>IF(
OR(
ISNUMBER(SEARCH("BACKPACK",B2278)),
ISNUMBER(SEARCH("MOCHILA",B2278)),
ISNUMBER(SEARCH("FUNDA",B2278)),
ISNUMBER(SEARCH("ESTUCHE",B2278)),
ISNUMBER(SEARCH("BOOK COVER",B2278)),
ISNUMBER(SEARCH("KEYBOARD PARA TABLET",B2278)),
ISNUMBER(SEARCH("FLIP TABLET",B2278)),
ISNUMBER(SEARCH("CASE FOR TABLET",B2278)),
ISNUMBER(SEARCH("CABLE",B2278)),
ISNUMBER(SEARCH("ADAPTADOR",B2278)),
ISNUMBER(SEARCH("HUB",B2278)),
ISNUMBER(SEARCH("DOCK",B2278)),
ISNUMBER(SEARCH("MOUSE PAD",B2278)),
ISNUMBER(SEARCH("MOUSEPAD",B2278)),
ISNUMBER(SEARCH("SOPORTE",B2278)),
ISNUMBER(SEARCH("STAND",B2278)),
ISNUMBER(SEARCH("TRAVEL ADAPTER",B2278)),
ISNUMBER(SEARCH("RJ45",B2278)),
ISNUMBER(SEARCH("USB-C",B2278)),
ISNUMBER(SEARCH("USB WIFI",B2278)),
ISNUMBER(SEARCH("POWERBANK",B2278)),
ISNUMBER(SEARCH("CARGADOR",B2278)),
ISNUMBER(SEARCH("COOLER PARA NB",B2278)),
ISNUMBER(SEARCH("SOPORTE PARA NB",B2278)),
ISNUMBER(SEARCH("WEBCAM",B2278)),
ISNUMBER(SEARCH("WEB CAM",B2278)),
ISNUMBER(SEARCH("MOUSE",B2278)),
ISNUMBER(SEARCH("TECLADO",B2278))
),
"COMPLEMENTO",
IF(
OR(
LEFT(A2278,2)="NB",
LEFT(A2278,2)="PC",
LEFT(A2278,2)="WS",
LEFT(A2278,2)="TB",
LEFT(A2278,3)="CEL",
LEFT(A2278,3)="MON",
LEFT(A2278,3)="PRE",
LEFT(A2278,3)="PRH",
ISNUMBER(SEARCH("NOTEBOOK",B2278)),
ISNUMBER(SEARCH("LAPTOP",B2278)),
ISNUMBER(SEARCH("MONITOR",B2278)),
ISNUMBER(SEARCH("TABLET",B2278)),
ISNUMBER(SEARCH("SMARTPH",B2278)),
ISNUMBER(SEARCH("IMPRESORA",B2278)),
ISNUMBER(SEARCH("MULTIFUNCIONAL",B2278)),
ISNUMBER(SEARCH("AIO",B2278))
),
"GANCHO",
"NORMAL"
)
)</f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>ROUND(
IF(L2275="GANCHO",
   IF(I2277&lt;=50,I2277*1.1+4,IF(I2277&lt;=120,I2277*1.1+7,IF(I2277&lt;=250,I2277*1.1+11,I2277*1.1+19))),
IF(L2275="NORMAL",
   IF(I2277&lt;=30,I2277*1.15+2,IF(I2277&lt;=80,I2277*1.15+4,IF(I2277&lt;=150,I2277*1.15+6,I2277*1.15+8))),
IF(L2275="COMPLEMENTO",
   IF(I2277&lt;=25,I2277*1.25+1.5,IF(I2277&lt;=60,I2277*1.25+3,IF(I2277&lt;=120,I2277*1.25+4,I2277*1.25+5))),
""))),2)</f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>IF(
OR(
ISNUMBER(SEARCH("BACKPACK",B2279)),
ISNUMBER(SEARCH("MOCHILA",B2279)),
ISNUMBER(SEARCH("FUNDA",B2279)),
ISNUMBER(SEARCH("ESTUCHE",B2279)),
ISNUMBER(SEARCH("BOOK COVER",B2279)),
ISNUMBER(SEARCH("KEYBOARD PARA TABLET",B2279)),
ISNUMBER(SEARCH("FLIP TABLET",B2279)),
ISNUMBER(SEARCH("CASE FOR TABLET",B2279)),
ISNUMBER(SEARCH("CABLE",B2279)),
ISNUMBER(SEARCH("ADAPTADOR",B2279)),
ISNUMBER(SEARCH("HUB",B2279)),
ISNUMBER(SEARCH("DOCK",B2279)),
ISNUMBER(SEARCH("MOUSE PAD",B2279)),
ISNUMBER(SEARCH("MOUSEPAD",B2279)),
ISNUMBER(SEARCH("SOPORTE",B2279)),
ISNUMBER(SEARCH("STAND",B2279)),
ISNUMBER(SEARCH("TRAVEL ADAPTER",B2279)),
ISNUMBER(SEARCH("RJ45",B2279)),
ISNUMBER(SEARCH("USB-C",B2279)),
ISNUMBER(SEARCH("USB WIFI",B2279)),
ISNUMBER(SEARCH("POWERBANK",B2279)),
ISNUMBER(SEARCH("CARGADOR",B2279)),
ISNUMBER(SEARCH("COOLER PARA NB",B2279)),
ISNUMBER(SEARCH("SOPORTE PARA NB",B2279)),
ISNUMBER(SEARCH("WEBCAM",B2279)),
ISNUMBER(SEARCH("WEB CAM",B2279)),
ISNUMBER(SEARCH("MOUSE",B2279)),
ISNUMBER(SEARCH("TECLADO",B2279))
),
"COMPLEMENTO",
IF(
OR(
LEFT(A2279,2)="NB",
LEFT(A2279,2)="PC",
LEFT(A2279,2)="WS",
LEFT(A2279,2)="TB",
LEFT(A2279,3)="CEL",
LEFT(A2279,3)="MON",
LEFT(A2279,3)="PRE",
LEFT(A2279,3)="PRH",
ISNUMBER(SEARCH("NOTEBOOK",B2279)),
ISNUMBER(SEARCH("LAPTOP",B2279)),
ISNUMBER(SEARCH("MONITOR",B2279)),
ISNUMBER(SEARCH("TABLET",B2279)),
ISNUMBER(SEARCH("SMARTPH",B2279)),
ISNUMBER(SEARCH("IMPRESORA",B2279)),
ISNUMBER(SEARCH("MULTIFUNCIONAL",B2279)),
ISNUMBER(SEARCH("AIO",B2279))
),
"GANCHO",
"NORMAL"
)
)</f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>ROUND(
IF(L2276="GANCHO",
   IF(I2278&lt;=50,I2278*1.1+4,IF(I2278&lt;=120,I2278*1.1+7,IF(I2278&lt;=250,I2278*1.1+11,I2278*1.1+19))),
IF(L2276="NORMAL",
   IF(I2278&lt;=30,I2278*1.15+2,IF(I2278&lt;=80,I2278*1.15+4,IF(I2278&lt;=150,I2278*1.15+6,I2278*1.15+8))),
IF(L2276="COMPLEMENTO",
   IF(I2278&lt;=25,I2278*1.25+1.5,IF(I2278&lt;=60,I2278*1.25+3,IF(I2278&lt;=120,I2278*1.25+4,I2278*1.25+5))),
""))),2)</f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>IF(
OR(
ISNUMBER(SEARCH("BACKPACK",B2280)),
ISNUMBER(SEARCH("MOCHILA",B2280)),
ISNUMBER(SEARCH("FUNDA",B2280)),
ISNUMBER(SEARCH("ESTUCHE",B2280)),
ISNUMBER(SEARCH("BOOK COVER",B2280)),
ISNUMBER(SEARCH("KEYBOARD PARA TABLET",B2280)),
ISNUMBER(SEARCH("FLIP TABLET",B2280)),
ISNUMBER(SEARCH("CASE FOR TABLET",B2280)),
ISNUMBER(SEARCH("CABLE",B2280)),
ISNUMBER(SEARCH("ADAPTADOR",B2280)),
ISNUMBER(SEARCH("HUB",B2280)),
ISNUMBER(SEARCH("DOCK",B2280)),
ISNUMBER(SEARCH("MOUSE PAD",B2280)),
ISNUMBER(SEARCH("MOUSEPAD",B2280)),
ISNUMBER(SEARCH("SOPORTE",B2280)),
ISNUMBER(SEARCH("STAND",B2280)),
ISNUMBER(SEARCH("TRAVEL ADAPTER",B2280)),
ISNUMBER(SEARCH("RJ45",B2280)),
ISNUMBER(SEARCH("USB-C",B2280)),
ISNUMBER(SEARCH("USB WIFI",B2280)),
ISNUMBER(SEARCH("POWERBANK",B2280)),
ISNUMBER(SEARCH("CARGADOR",B2280)),
ISNUMBER(SEARCH("COOLER PARA NB",B2280)),
ISNUMBER(SEARCH("SOPORTE PARA NB",B2280)),
ISNUMBER(SEARCH("WEBCAM",B2280)),
ISNUMBER(SEARCH("WEB CAM",B2280)),
ISNUMBER(SEARCH("MOUSE",B2280)),
ISNUMBER(SEARCH("TECLADO",B2280))
),
"COMPLEMENTO",
IF(
OR(
LEFT(A2280,2)="NB",
LEFT(A2280,2)="PC",
LEFT(A2280,2)="WS",
LEFT(A2280,2)="TB",
LEFT(A2280,3)="CEL",
LEFT(A2280,3)="MON",
LEFT(A2280,3)="PRE",
LEFT(A2280,3)="PRH",
ISNUMBER(SEARCH("NOTEBOOK",B2280)),
ISNUMBER(SEARCH("LAPTOP",B2280)),
ISNUMBER(SEARCH("MONITOR",B2280)),
ISNUMBER(SEARCH("TABLET",B2280)),
ISNUMBER(SEARCH("SMARTPH",B2280)),
ISNUMBER(SEARCH("IMPRESORA",B2280)),
ISNUMBER(SEARCH("MULTIFUNCIONAL",B2280)),
ISNUMBER(SEARCH("AIO",B2280))
),
"GANCHO",
"NORMAL"
)
)</f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>ROUND(
IF(L2277="GANCHO",
   IF(I2279&lt;=50,I2279*1.1+4,IF(I2279&lt;=120,I2279*1.1+7,IF(I2279&lt;=250,I2279*1.1+11,I2279*1.1+19))),
IF(L2277="NORMAL",
   IF(I2279&lt;=30,I2279*1.15+2,IF(I2279&lt;=80,I2279*1.15+4,IF(I2279&lt;=150,I2279*1.15+6,I2279*1.15+8))),
IF(L2277="COMPLEMENTO",
   IF(I2279&lt;=25,I2279*1.25+1.5,IF(I2279&lt;=60,I2279*1.25+3,IF(I2279&lt;=120,I2279*1.25+4,I2279*1.25+5))),
""))),2)</f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>IF(
OR(
ISNUMBER(SEARCH("BACKPACK",B2281)),
ISNUMBER(SEARCH("MOCHILA",B2281)),
ISNUMBER(SEARCH("FUNDA",B2281)),
ISNUMBER(SEARCH("ESTUCHE",B2281)),
ISNUMBER(SEARCH("BOOK COVER",B2281)),
ISNUMBER(SEARCH("KEYBOARD PARA TABLET",B2281)),
ISNUMBER(SEARCH("FLIP TABLET",B2281)),
ISNUMBER(SEARCH("CASE FOR TABLET",B2281)),
ISNUMBER(SEARCH("CABLE",B2281)),
ISNUMBER(SEARCH("ADAPTADOR",B2281)),
ISNUMBER(SEARCH("HUB",B2281)),
ISNUMBER(SEARCH("DOCK",B2281)),
ISNUMBER(SEARCH("MOUSE PAD",B2281)),
ISNUMBER(SEARCH("MOUSEPAD",B2281)),
ISNUMBER(SEARCH("SOPORTE",B2281)),
ISNUMBER(SEARCH("STAND",B2281)),
ISNUMBER(SEARCH("TRAVEL ADAPTER",B2281)),
ISNUMBER(SEARCH("RJ45",B2281)),
ISNUMBER(SEARCH("USB-C",B2281)),
ISNUMBER(SEARCH("USB WIFI",B2281)),
ISNUMBER(SEARCH("POWERBANK",B2281)),
ISNUMBER(SEARCH("CARGADOR",B2281)),
ISNUMBER(SEARCH("COOLER PARA NB",B2281)),
ISNUMBER(SEARCH("SOPORTE PARA NB",B2281)),
ISNUMBER(SEARCH("WEBCAM",B2281)),
ISNUMBER(SEARCH("WEB CAM",B2281)),
ISNUMBER(SEARCH("MOUSE",B2281)),
ISNUMBER(SEARCH("TECLADO",B2281))
),
"COMPLEMENTO",
IF(
OR(
LEFT(A2281,2)="NB",
LEFT(A2281,2)="PC",
LEFT(A2281,2)="WS",
LEFT(A2281,2)="TB",
LEFT(A2281,3)="CEL",
LEFT(A2281,3)="MON",
LEFT(A2281,3)="PRE",
LEFT(A2281,3)="PRH",
ISNUMBER(SEARCH("NOTEBOOK",B2281)),
ISNUMBER(SEARCH("LAPTOP",B2281)),
ISNUMBER(SEARCH("MONITOR",B2281)),
ISNUMBER(SEARCH("TABLET",B2281)),
ISNUMBER(SEARCH("SMARTPH",B2281)),
ISNUMBER(SEARCH("IMPRESORA",B2281)),
ISNUMBER(SEARCH("MULTIFUNCIONAL",B2281)),
ISNUMBER(SEARCH("AIO",B2281))
),
"GANCHO",
"NORMAL"
)
)</f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>ROUND(
IF(L2278="GANCHO",
   IF(I2280&lt;=50,I2280*1.1+4,IF(I2280&lt;=120,I2280*1.1+7,IF(I2280&lt;=250,I2280*1.1+11,I2280*1.1+19))),
IF(L2278="NORMAL",
   IF(I2280&lt;=30,I2280*1.15+2,IF(I2280&lt;=80,I2280*1.15+4,IF(I2280&lt;=150,I2280*1.15+6,I2280*1.15+8))),
IF(L2278="COMPLEMENTO",
   IF(I2280&lt;=25,I2280*1.25+1.5,IF(I2280&lt;=60,I2280*1.25+3,IF(I2280&lt;=120,I2280*1.25+4,I2280*1.25+5))),
""))),2)</f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>IF(
OR(
ISNUMBER(SEARCH("BACKPACK",B2282)),
ISNUMBER(SEARCH("MOCHILA",B2282)),
ISNUMBER(SEARCH("FUNDA",B2282)),
ISNUMBER(SEARCH("ESTUCHE",B2282)),
ISNUMBER(SEARCH("BOOK COVER",B2282)),
ISNUMBER(SEARCH("KEYBOARD PARA TABLET",B2282)),
ISNUMBER(SEARCH("FLIP TABLET",B2282)),
ISNUMBER(SEARCH("CASE FOR TABLET",B2282)),
ISNUMBER(SEARCH("CABLE",B2282)),
ISNUMBER(SEARCH("ADAPTADOR",B2282)),
ISNUMBER(SEARCH("HUB",B2282)),
ISNUMBER(SEARCH("DOCK",B2282)),
ISNUMBER(SEARCH("MOUSE PAD",B2282)),
ISNUMBER(SEARCH("MOUSEPAD",B2282)),
ISNUMBER(SEARCH("SOPORTE",B2282)),
ISNUMBER(SEARCH("STAND",B2282)),
ISNUMBER(SEARCH("TRAVEL ADAPTER",B2282)),
ISNUMBER(SEARCH("RJ45",B2282)),
ISNUMBER(SEARCH("USB-C",B2282)),
ISNUMBER(SEARCH("USB WIFI",B2282)),
ISNUMBER(SEARCH("POWERBANK",B2282)),
ISNUMBER(SEARCH("CARGADOR",B2282)),
ISNUMBER(SEARCH("COOLER PARA NB",B2282)),
ISNUMBER(SEARCH("SOPORTE PARA NB",B2282)),
ISNUMBER(SEARCH("WEBCAM",B2282)),
ISNUMBER(SEARCH("WEB CAM",B2282)),
ISNUMBER(SEARCH("MOUSE",B2282)),
ISNUMBER(SEARCH("TECLADO",B2282))
),
"COMPLEMENTO",
IF(
OR(
LEFT(A2282,2)="NB",
LEFT(A2282,2)="PC",
LEFT(A2282,2)="WS",
LEFT(A2282,2)="TB",
LEFT(A2282,3)="CEL",
LEFT(A2282,3)="MON",
LEFT(A2282,3)="PRE",
LEFT(A2282,3)="PRH",
ISNUMBER(SEARCH("NOTEBOOK",B2282)),
ISNUMBER(SEARCH("LAPTOP",B2282)),
ISNUMBER(SEARCH("MONITOR",B2282)),
ISNUMBER(SEARCH("TABLET",B2282)),
ISNUMBER(SEARCH("SMARTPH",B2282)),
ISNUMBER(SEARCH("IMPRESORA",B2282)),
ISNUMBER(SEARCH("MULTIFUNCIONAL",B2282)),
ISNUMBER(SEARCH("AIO",B2282))
),
"GANCHO",
"NORMAL"
)
)</f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>ROUND(
IF(L2279="GANCHO",
   IF(I2281&lt;=50,I2281*1.1+4,IF(I2281&lt;=120,I2281*1.1+7,IF(I2281&lt;=250,I2281*1.1+11,I2281*1.1+19))),
IF(L2279="NORMAL",
   IF(I2281&lt;=30,I2281*1.15+2,IF(I2281&lt;=80,I2281*1.15+4,IF(I2281&lt;=150,I2281*1.15+6,I2281*1.15+8))),
IF(L2279="COMPLEMENTO",
   IF(I2281&lt;=25,I2281*1.25+1.5,IF(I2281&lt;=60,I2281*1.25+3,IF(I2281&lt;=120,I2281*1.25+4,I2281*1.25+5))),
""))),2)</f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>IF(
OR(
ISNUMBER(SEARCH("BACKPACK",B2283)),
ISNUMBER(SEARCH("MOCHILA",B2283)),
ISNUMBER(SEARCH("FUNDA",B2283)),
ISNUMBER(SEARCH("ESTUCHE",B2283)),
ISNUMBER(SEARCH("BOOK COVER",B2283)),
ISNUMBER(SEARCH("KEYBOARD PARA TABLET",B2283)),
ISNUMBER(SEARCH("FLIP TABLET",B2283)),
ISNUMBER(SEARCH("CASE FOR TABLET",B2283)),
ISNUMBER(SEARCH("CABLE",B2283)),
ISNUMBER(SEARCH("ADAPTADOR",B2283)),
ISNUMBER(SEARCH("HUB",B2283)),
ISNUMBER(SEARCH("DOCK",B2283)),
ISNUMBER(SEARCH("MOUSE PAD",B2283)),
ISNUMBER(SEARCH("MOUSEPAD",B2283)),
ISNUMBER(SEARCH("SOPORTE",B2283)),
ISNUMBER(SEARCH("STAND",B2283)),
ISNUMBER(SEARCH("TRAVEL ADAPTER",B2283)),
ISNUMBER(SEARCH("RJ45",B2283)),
ISNUMBER(SEARCH("USB-C",B2283)),
ISNUMBER(SEARCH("USB WIFI",B2283)),
ISNUMBER(SEARCH("POWERBANK",B2283)),
ISNUMBER(SEARCH("CARGADOR",B2283)),
ISNUMBER(SEARCH("COOLER PARA NB",B2283)),
ISNUMBER(SEARCH("SOPORTE PARA NB",B2283)),
ISNUMBER(SEARCH("WEBCAM",B2283)),
ISNUMBER(SEARCH("WEB CAM",B2283)),
ISNUMBER(SEARCH("MOUSE",B2283)),
ISNUMBER(SEARCH("TECLADO",B2283))
),
"COMPLEMENTO",
IF(
OR(
LEFT(A2283,2)="NB",
LEFT(A2283,2)="PC",
LEFT(A2283,2)="WS",
LEFT(A2283,2)="TB",
LEFT(A2283,3)="CEL",
LEFT(A2283,3)="MON",
LEFT(A2283,3)="PRE",
LEFT(A2283,3)="PRH",
ISNUMBER(SEARCH("NOTEBOOK",B2283)),
ISNUMBER(SEARCH("LAPTOP",B2283)),
ISNUMBER(SEARCH("MONITOR",B2283)),
ISNUMBER(SEARCH("TABLET",B2283)),
ISNUMBER(SEARCH("SMARTPH",B2283)),
ISNUMBER(SEARCH("IMPRESORA",B2283)),
ISNUMBER(SEARCH("MULTIFUNCIONAL",B2283)),
ISNUMBER(SEARCH("AIO",B2283))
),
"GANCHO",
"NORMAL"
)
)</f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>ROUND(
IF(L2280="GANCHO",
   IF(I2282&lt;=50,I2282*1.1+4,IF(I2282&lt;=120,I2282*1.1+7,IF(I2282&lt;=250,I2282*1.1+11,I2282*1.1+19))),
IF(L2280="NORMAL",
   IF(I2282&lt;=30,I2282*1.15+2,IF(I2282&lt;=80,I2282*1.15+4,IF(I2282&lt;=150,I2282*1.15+6,I2282*1.15+8))),
IF(L2280="COMPLEMENTO",
   IF(I2282&lt;=25,I2282*1.25+1.5,IF(I2282&lt;=60,I2282*1.25+3,IF(I2282&lt;=120,I2282*1.25+4,I2282*1.25+5))),
""))),2)</f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>IF(
OR(
ISNUMBER(SEARCH("BACKPACK",B2284)),
ISNUMBER(SEARCH("MOCHILA",B2284)),
ISNUMBER(SEARCH("FUNDA",B2284)),
ISNUMBER(SEARCH("ESTUCHE",B2284)),
ISNUMBER(SEARCH("BOOK COVER",B2284)),
ISNUMBER(SEARCH("KEYBOARD PARA TABLET",B2284)),
ISNUMBER(SEARCH("FLIP TABLET",B2284)),
ISNUMBER(SEARCH("CASE FOR TABLET",B2284)),
ISNUMBER(SEARCH("CABLE",B2284)),
ISNUMBER(SEARCH("ADAPTADOR",B2284)),
ISNUMBER(SEARCH("HUB",B2284)),
ISNUMBER(SEARCH("DOCK",B2284)),
ISNUMBER(SEARCH("MOUSE PAD",B2284)),
ISNUMBER(SEARCH("MOUSEPAD",B2284)),
ISNUMBER(SEARCH("SOPORTE",B2284)),
ISNUMBER(SEARCH("STAND",B2284)),
ISNUMBER(SEARCH("TRAVEL ADAPTER",B2284)),
ISNUMBER(SEARCH("RJ45",B2284)),
ISNUMBER(SEARCH("USB-C",B2284)),
ISNUMBER(SEARCH("USB WIFI",B2284)),
ISNUMBER(SEARCH("POWERBANK",B2284)),
ISNUMBER(SEARCH("CARGADOR",B2284)),
ISNUMBER(SEARCH("COOLER PARA NB",B2284)),
ISNUMBER(SEARCH("SOPORTE PARA NB",B2284)),
ISNUMBER(SEARCH("WEBCAM",B2284)),
ISNUMBER(SEARCH("WEB CAM",B2284)),
ISNUMBER(SEARCH("MOUSE",B2284)),
ISNUMBER(SEARCH("TECLADO",B2284))
),
"COMPLEMENTO",
IF(
OR(
LEFT(A2284,2)="NB",
LEFT(A2284,2)="PC",
LEFT(A2284,2)="WS",
LEFT(A2284,2)="TB",
LEFT(A2284,3)="CEL",
LEFT(A2284,3)="MON",
LEFT(A2284,3)="PRE",
LEFT(A2284,3)="PRH",
ISNUMBER(SEARCH("NOTEBOOK",B2284)),
ISNUMBER(SEARCH("LAPTOP",B2284)),
ISNUMBER(SEARCH("MONITOR",B2284)),
ISNUMBER(SEARCH("TABLET",B2284)),
ISNUMBER(SEARCH("SMARTPH",B2284)),
ISNUMBER(SEARCH("IMPRESORA",B2284)),
ISNUMBER(SEARCH("MULTIFUNCIONAL",B2284)),
ISNUMBER(SEARCH("AIO",B2284))
),
"GANCHO",
"NORMAL"
)
)</f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>ROUND(
IF(L2281="GANCHO",
   IF(I2283&lt;=50,I2283*1.1+4,IF(I2283&lt;=120,I2283*1.1+7,IF(I2283&lt;=250,I2283*1.1+11,I2283*1.1+19))),
IF(L2281="NORMAL",
   IF(I2283&lt;=30,I2283*1.15+2,IF(I2283&lt;=80,I2283*1.15+4,IF(I2283&lt;=150,I2283*1.15+6,I2283*1.15+8))),
IF(L2281="COMPLEMENTO",
   IF(I2283&lt;=25,I2283*1.25+1.5,IF(I2283&lt;=60,I2283*1.25+3,IF(I2283&lt;=120,I2283*1.25+4,I2283*1.25+5))),
""))),2)</f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>IF(
OR(
ISNUMBER(SEARCH("BACKPACK",B2285)),
ISNUMBER(SEARCH("MOCHILA",B2285)),
ISNUMBER(SEARCH("FUNDA",B2285)),
ISNUMBER(SEARCH("ESTUCHE",B2285)),
ISNUMBER(SEARCH("BOOK COVER",B2285)),
ISNUMBER(SEARCH("KEYBOARD PARA TABLET",B2285)),
ISNUMBER(SEARCH("FLIP TABLET",B2285)),
ISNUMBER(SEARCH("CASE FOR TABLET",B2285)),
ISNUMBER(SEARCH("CABLE",B2285)),
ISNUMBER(SEARCH("ADAPTADOR",B2285)),
ISNUMBER(SEARCH("HUB",B2285)),
ISNUMBER(SEARCH("DOCK",B2285)),
ISNUMBER(SEARCH("MOUSE PAD",B2285)),
ISNUMBER(SEARCH("MOUSEPAD",B2285)),
ISNUMBER(SEARCH("SOPORTE",B2285)),
ISNUMBER(SEARCH("STAND",B2285)),
ISNUMBER(SEARCH("TRAVEL ADAPTER",B2285)),
ISNUMBER(SEARCH("RJ45",B2285)),
ISNUMBER(SEARCH("USB-C",B2285)),
ISNUMBER(SEARCH("USB WIFI",B2285)),
ISNUMBER(SEARCH("POWERBANK",B2285)),
ISNUMBER(SEARCH("CARGADOR",B2285)),
ISNUMBER(SEARCH("COOLER PARA NB",B2285)),
ISNUMBER(SEARCH("SOPORTE PARA NB",B2285)),
ISNUMBER(SEARCH("WEBCAM",B2285)),
ISNUMBER(SEARCH("WEB CAM",B2285)),
ISNUMBER(SEARCH("MOUSE",B2285)),
ISNUMBER(SEARCH("TECLADO",B2285))
),
"COMPLEMENTO",
IF(
OR(
LEFT(A2285,2)="NB",
LEFT(A2285,2)="PC",
LEFT(A2285,2)="WS",
LEFT(A2285,2)="TB",
LEFT(A2285,3)="CEL",
LEFT(A2285,3)="MON",
LEFT(A2285,3)="PRE",
LEFT(A2285,3)="PRH",
ISNUMBER(SEARCH("NOTEBOOK",B2285)),
ISNUMBER(SEARCH("LAPTOP",B2285)),
ISNUMBER(SEARCH("MONITOR",B2285)),
ISNUMBER(SEARCH("TABLET",B2285)),
ISNUMBER(SEARCH("SMARTPH",B2285)),
ISNUMBER(SEARCH("IMPRESORA",B2285)),
ISNUMBER(SEARCH("MULTIFUNCIONAL",B2285)),
ISNUMBER(SEARCH("AIO",B2285))
),
"GANCHO",
"NORMAL"
)
)</f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>ROUND(
IF(L2282="GANCHO",
   IF(I2284&lt;=50,I2284*1.1+4,IF(I2284&lt;=120,I2284*1.1+7,IF(I2284&lt;=250,I2284*1.1+11,I2284*1.1+19))),
IF(L2282="NORMAL",
   IF(I2284&lt;=30,I2284*1.15+2,IF(I2284&lt;=80,I2284*1.15+4,IF(I2284&lt;=150,I2284*1.15+6,I2284*1.15+8))),
IF(L2282="COMPLEMENTO",
   IF(I2284&lt;=25,I2284*1.25+1.5,IF(I2284&lt;=60,I2284*1.25+3,IF(I2284&lt;=120,I2284*1.25+4,I2284*1.25+5))),
""))),2)</f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>IF(
OR(
ISNUMBER(SEARCH("BACKPACK",B2286)),
ISNUMBER(SEARCH("MOCHILA",B2286)),
ISNUMBER(SEARCH("FUNDA",B2286)),
ISNUMBER(SEARCH("ESTUCHE",B2286)),
ISNUMBER(SEARCH("BOOK COVER",B2286)),
ISNUMBER(SEARCH("KEYBOARD PARA TABLET",B2286)),
ISNUMBER(SEARCH("FLIP TABLET",B2286)),
ISNUMBER(SEARCH("CASE FOR TABLET",B2286)),
ISNUMBER(SEARCH("CABLE",B2286)),
ISNUMBER(SEARCH("ADAPTADOR",B2286)),
ISNUMBER(SEARCH("HUB",B2286)),
ISNUMBER(SEARCH("DOCK",B2286)),
ISNUMBER(SEARCH("MOUSE PAD",B2286)),
ISNUMBER(SEARCH("MOUSEPAD",B2286)),
ISNUMBER(SEARCH("SOPORTE",B2286)),
ISNUMBER(SEARCH("STAND",B2286)),
ISNUMBER(SEARCH("TRAVEL ADAPTER",B2286)),
ISNUMBER(SEARCH("RJ45",B2286)),
ISNUMBER(SEARCH("USB-C",B2286)),
ISNUMBER(SEARCH("USB WIFI",B2286)),
ISNUMBER(SEARCH("POWERBANK",B2286)),
ISNUMBER(SEARCH("CARGADOR",B2286)),
ISNUMBER(SEARCH("COOLER PARA NB",B2286)),
ISNUMBER(SEARCH("SOPORTE PARA NB",B2286)),
ISNUMBER(SEARCH("WEBCAM",B2286)),
ISNUMBER(SEARCH("WEB CAM",B2286)),
ISNUMBER(SEARCH("MOUSE",B2286)),
ISNUMBER(SEARCH("TECLADO",B2286))
),
"COMPLEMENTO",
IF(
OR(
LEFT(A2286,2)="NB",
LEFT(A2286,2)="PC",
LEFT(A2286,2)="WS",
LEFT(A2286,2)="TB",
LEFT(A2286,3)="CEL",
LEFT(A2286,3)="MON",
LEFT(A2286,3)="PRE",
LEFT(A2286,3)="PRH",
ISNUMBER(SEARCH("NOTEBOOK",B2286)),
ISNUMBER(SEARCH("LAPTOP",B2286)),
ISNUMBER(SEARCH("MONITOR",B2286)),
ISNUMBER(SEARCH("TABLET",B2286)),
ISNUMBER(SEARCH("SMARTPH",B2286)),
ISNUMBER(SEARCH("IMPRESORA",B2286)),
ISNUMBER(SEARCH("MULTIFUNCIONAL",B2286)),
ISNUMBER(SEARCH("AIO",B2286))
),
"GANCHO",
"NORMAL"
)
)</f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>ROUND(
IF(L2283="GANCHO",
   IF(I2285&lt;=50,I2285*1.1+4,IF(I2285&lt;=120,I2285*1.1+7,IF(I2285&lt;=250,I2285*1.1+11,I2285*1.1+19))),
IF(L2283="NORMAL",
   IF(I2285&lt;=30,I2285*1.15+2,IF(I2285&lt;=80,I2285*1.15+4,IF(I2285&lt;=150,I2285*1.15+6,I2285*1.15+8))),
IF(L2283="COMPLEMENTO",
   IF(I2285&lt;=25,I2285*1.25+1.5,IF(I2285&lt;=60,I2285*1.25+3,IF(I2285&lt;=120,I2285*1.25+4,I2285*1.25+5))),
""))),2)</f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>IF(
OR(
ISNUMBER(SEARCH("BACKPACK",B2287)),
ISNUMBER(SEARCH("MOCHILA",B2287)),
ISNUMBER(SEARCH("FUNDA",B2287)),
ISNUMBER(SEARCH("ESTUCHE",B2287)),
ISNUMBER(SEARCH("BOOK COVER",B2287)),
ISNUMBER(SEARCH("KEYBOARD PARA TABLET",B2287)),
ISNUMBER(SEARCH("FLIP TABLET",B2287)),
ISNUMBER(SEARCH("CASE FOR TABLET",B2287)),
ISNUMBER(SEARCH("CABLE",B2287)),
ISNUMBER(SEARCH("ADAPTADOR",B2287)),
ISNUMBER(SEARCH("HUB",B2287)),
ISNUMBER(SEARCH("DOCK",B2287)),
ISNUMBER(SEARCH("MOUSE PAD",B2287)),
ISNUMBER(SEARCH("MOUSEPAD",B2287)),
ISNUMBER(SEARCH("SOPORTE",B2287)),
ISNUMBER(SEARCH("STAND",B2287)),
ISNUMBER(SEARCH("TRAVEL ADAPTER",B2287)),
ISNUMBER(SEARCH("RJ45",B2287)),
ISNUMBER(SEARCH("USB-C",B2287)),
ISNUMBER(SEARCH("USB WIFI",B2287)),
ISNUMBER(SEARCH("POWERBANK",B2287)),
ISNUMBER(SEARCH("CARGADOR",B2287)),
ISNUMBER(SEARCH("COOLER PARA NB",B2287)),
ISNUMBER(SEARCH("SOPORTE PARA NB",B2287)),
ISNUMBER(SEARCH("WEBCAM",B2287)),
ISNUMBER(SEARCH("WEB CAM",B2287)),
ISNUMBER(SEARCH("MOUSE",B2287)),
ISNUMBER(SEARCH("TECLADO",B2287))
),
"COMPLEMENTO",
IF(
OR(
LEFT(A2287,2)="NB",
LEFT(A2287,2)="PC",
LEFT(A2287,2)="WS",
LEFT(A2287,2)="TB",
LEFT(A2287,3)="CEL",
LEFT(A2287,3)="MON",
LEFT(A2287,3)="PRE",
LEFT(A2287,3)="PRH",
ISNUMBER(SEARCH("NOTEBOOK",B2287)),
ISNUMBER(SEARCH("LAPTOP",B2287)),
ISNUMBER(SEARCH("MONITOR",B2287)),
ISNUMBER(SEARCH("TABLET",B2287)),
ISNUMBER(SEARCH("SMARTPH",B2287)),
ISNUMBER(SEARCH("IMPRESORA",B2287)),
ISNUMBER(SEARCH("MULTIFUNCIONAL",B2287)),
ISNUMBER(SEARCH("AIO",B2287))
),
"GANCHO",
"NORMAL"
)
)</f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>ROUND(
IF(L2284="GANCHO",
   IF(I2286&lt;=50,I2286*1.1+4,IF(I2286&lt;=120,I2286*1.1+7,IF(I2286&lt;=250,I2286*1.1+11,I2286*1.1+19))),
IF(L2284="NORMAL",
   IF(I2286&lt;=30,I2286*1.15+2,IF(I2286&lt;=80,I2286*1.15+4,IF(I2286&lt;=150,I2286*1.15+6,I2286*1.15+8))),
IF(L2284="COMPLEMENTO",
   IF(I2286&lt;=25,I2286*1.25+1.5,IF(I2286&lt;=60,I2286*1.25+3,IF(I2286&lt;=120,I2286*1.25+4,I2286*1.25+5))),
""))),2)</f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>IF(
OR(
ISNUMBER(SEARCH("BACKPACK",B2288)),
ISNUMBER(SEARCH("MOCHILA",B2288)),
ISNUMBER(SEARCH("FUNDA",B2288)),
ISNUMBER(SEARCH("ESTUCHE",B2288)),
ISNUMBER(SEARCH("BOOK COVER",B2288)),
ISNUMBER(SEARCH("KEYBOARD PARA TABLET",B2288)),
ISNUMBER(SEARCH("FLIP TABLET",B2288)),
ISNUMBER(SEARCH("CASE FOR TABLET",B2288)),
ISNUMBER(SEARCH("CABLE",B2288)),
ISNUMBER(SEARCH("ADAPTADOR",B2288)),
ISNUMBER(SEARCH("HUB",B2288)),
ISNUMBER(SEARCH("DOCK",B2288)),
ISNUMBER(SEARCH("MOUSE PAD",B2288)),
ISNUMBER(SEARCH("MOUSEPAD",B2288)),
ISNUMBER(SEARCH("SOPORTE",B2288)),
ISNUMBER(SEARCH("STAND",B2288)),
ISNUMBER(SEARCH("TRAVEL ADAPTER",B2288)),
ISNUMBER(SEARCH("RJ45",B2288)),
ISNUMBER(SEARCH("USB-C",B2288)),
ISNUMBER(SEARCH("USB WIFI",B2288)),
ISNUMBER(SEARCH("POWERBANK",B2288)),
ISNUMBER(SEARCH("CARGADOR",B2288)),
ISNUMBER(SEARCH("COOLER PARA NB",B2288)),
ISNUMBER(SEARCH("SOPORTE PARA NB",B2288)),
ISNUMBER(SEARCH("WEBCAM",B2288)),
ISNUMBER(SEARCH("WEB CAM",B2288)),
ISNUMBER(SEARCH("MOUSE",B2288)),
ISNUMBER(SEARCH("TECLADO",B2288))
),
"COMPLEMENTO",
IF(
OR(
LEFT(A2288,2)="NB",
LEFT(A2288,2)="PC",
LEFT(A2288,2)="WS",
LEFT(A2288,2)="TB",
LEFT(A2288,3)="CEL",
LEFT(A2288,3)="MON",
LEFT(A2288,3)="PRE",
LEFT(A2288,3)="PRH",
ISNUMBER(SEARCH("NOTEBOOK",B2288)),
ISNUMBER(SEARCH("LAPTOP",B2288)),
ISNUMBER(SEARCH("MONITOR",B2288)),
ISNUMBER(SEARCH("TABLET",B2288)),
ISNUMBER(SEARCH("SMARTPH",B2288)),
ISNUMBER(SEARCH("IMPRESORA",B2288)),
ISNUMBER(SEARCH("MULTIFUNCIONAL",B2288)),
ISNUMBER(SEARCH("AIO",B2288))
),
"GANCHO",
"NORMAL"
)
)</f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>ROUND(
IF(L2285="GANCHO",
   IF(I2287&lt;=50,I2287*1.1+4,IF(I2287&lt;=120,I2287*1.1+7,IF(I2287&lt;=250,I2287*1.1+11,I2287*1.1+19))),
IF(L2285="NORMAL",
   IF(I2287&lt;=30,I2287*1.15+2,IF(I2287&lt;=80,I2287*1.15+4,IF(I2287&lt;=150,I2287*1.15+6,I2287*1.15+8))),
IF(L2285="COMPLEMENTO",
   IF(I2287&lt;=25,I2287*1.25+1.5,IF(I2287&lt;=60,I2287*1.25+3,IF(I2287&lt;=120,I2287*1.25+4,I2287*1.25+5))),
""))),2)</f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>IF(
OR(
ISNUMBER(SEARCH("BACKPACK",B2289)),
ISNUMBER(SEARCH("MOCHILA",B2289)),
ISNUMBER(SEARCH("FUNDA",B2289)),
ISNUMBER(SEARCH("ESTUCHE",B2289)),
ISNUMBER(SEARCH("BOOK COVER",B2289)),
ISNUMBER(SEARCH("KEYBOARD PARA TABLET",B2289)),
ISNUMBER(SEARCH("FLIP TABLET",B2289)),
ISNUMBER(SEARCH("CASE FOR TABLET",B2289)),
ISNUMBER(SEARCH("CABLE",B2289)),
ISNUMBER(SEARCH("ADAPTADOR",B2289)),
ISNUMBER(SEARCH("HUB",B2289)),
ISNUMBER(SEARCH("DOCK",B2289)),
ISNUMBER(SEARCH("MOUSE PAD",B2289)),
ISNUMBER(SEARCH("MOUSEPAD",B2289)),
ISNUMBER(SEARCH("SOPORTE",B2289)),
ISNUMBER(SEARCH("STAND",B2289)),
ISNUMBER(SEARCH("TRAVEL ADAPTER",B2289)),
ISNUMBER(SEARCH("RJ45",B2289)),
ISNUMBER(SEARCH("USB-C",B2289)),
ISNUMBER(SEARCH("USB WIFI",B2289)),
ISNUMBER(SEARCH("POWERBANK",B2289)),
ISNUMBER(SEARCH("CARGADOR",B2289)),
ISNUMBER(SEARCH("COOLER PARA NB",B2289)),
ISNUMBER(SEARCH("SOPORTE PARA NB",B2289)),
ISNUMBER(SEARCH("WEBCAM",B2289)),
ISNUMBER(SEARCH("WEB CAM",B2289)),
ISNUMBER(SEARCH("MOUSE",B2289)),
ISNUMBER(SEARCH("TECLADO",B2289))
),
"COMPLEMENTO",
IF(
OR(
LEFT(A2289,2)="NB",
LEFT(A2289,2)="PC",
LEFT(A2289,2)="WS",
LEFT(A2289,2)="TB",
LEFT(A2289,3)="CEL",
LEFT(A2289,3)="MON",
LEFT(A2289,3)="PRE",
LEFT(A2289,3)="PRH",
ISNUMBER(SEARCH("NOTEBOOK",B2289)),
ISNUMBER(SEARCH("LAPTOP",B2289)),
ISNUMBER(SEARCH("MONITOR",B2289)),
ISNUMBER(SEARCH("TABLET",B2289)),
ISNUMBER(SEARCH("SMARTPH",B2289)),
ISNUMBER(SEARCH("IMPRESORA",B2289)),
ISNUMBER(SEARCH("MULTIFUNCIONAL",B2289)),
ISNUMBER(SEARCH("AIO",B2289))
),
"GANCHO",
"NORMAL"
)
)</f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>ROUND(
IF(L2286="GANCHO",
   IF(I2288&lt;=50,I2288*1.1+4,IF(I2288&lt;=120,I2288*1.1+7,IF(I2288&lt;=250,I2288*1.1+11,I2288*1.1+19))),
IF(L2286="NORMAL",
   IF(I2288&lt;=30,I2288*1.15+2,IF(I2288&lt;=80,I2288*1.15+4,IF(I2288&lt;=150,I2288*1.15+6,I2288*1.15+8))),
IF(L2286="COMPLEMENTO",
   IF(I2288&lt;=25,I2288*1.25+1.5,IF(I2288&lt;=60,I2288*1.25+3,IF(I2288&lt;=120,I2288*1.25+4,I2288*1.25+5))),
""))),2)</f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>IF(
OR(
ISNUMBER(SEARCH("BACKPACK",B2290)),
ISNUMBER(SEARCH("MOCHILA",B2290)),
ISNUMBER(SEARCH("FUNDA",B2290)),
ISNUMBER(SEARCH("ESTUCHE",B2290)),
ISNUMBER(SEARCH("BOOK COVER",B2290)),
ISNUMBER(SEARCH("KEYBOARD PARA TABLET",B2290)),
ISNUMBER(SEARCH("FLIP TABLET",B2290)),
ISNUMBER(SEARCH("CASE FOR TABLET",B2290)),
ISNUMBER(SEARCH("CABLE",B2290)),
ISNUMBER(SEARCH("ADAPTADOR",B2290)),
ISNUMBER(SEARCH("HUB",B2290)),
ISNUMBER(SEARCH("DOCK",B2290)),
ISNUMBER(SEARCH("MOUSE PAD",B2290)),
ISNUMBER(SEARCH("MOUSEPAD",B2290)),
ISNUMBER(SEARCH("SOPORTE",B2290)),
ISNUMBER(SEARCH("STAND",B2290)),
ISNUMBER(SEARCH("TRAVEL ADAPTER",B2290)),
ISNUMBER(SEARCH("RJ45",B2290)),
ISNUMBER(SEARCH("USB-C",B2290)),
ISNUMBER(SEARCH("USB WIFI",B2290)),
ISNUMBER(SEARCH("POWERBANK",B2290)),
ISNUMBER(SEARCH("CARGADOR",B2290)),
ISNUMBER(SEARCH("COOLER PARA NB",B2290)),
ISNUMBER(SEARCH("SOPORTE PARA NB",B2290)),
ISNUMBER(SEARCH("WEBCAM",B2290)),
ISNUMBER(SEARCH("WEB CAM",B2290)),
ISNUMBER(SEARCH("MOUSE",B2290)),
ISNUMBER(SEARCH("TECLADO",B2290))
),
"COMPLEMENTO",
IF(
OR(
LEFT(A2290,2)="NB",
LEFT(A2290,2)="PC",
LEFT(A2290,2)="WS",
LEFT(A2290,2)="TB",
LEFT(A2290,3)="CEL",
LEFT(A2290,3)="MON",
LEFT(A2290,3)="PRE",
LEFT(A2290,3)="PRH",
ISNUMBER(SEARCH("NOTEBOOK",B2290)),
ISNUMBER(SEARCH("LAPTOP",B2290)),
ISNUMBER(SEARCH("MONITOR",B2290)),
ISNUMBER(SEARCH("TABLET",B2290)),
ISNUMBER(SEARCH("SMARTPH",B2290)),
ISNUMBER(SEARCH("IMPRESORA",B2290)),
ISNUMBER(SEARCH("MULTIFUNCIONAL",B2290)),
ISNUMBER(SEARCH("AIO",B2290))
),
"GANCHO",
"NORMAL"
)
)</f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>ROUND(
IF(L2287="GANCHO",
   IF(I2289&lt;=50,I2289*1.1+4,IF(I2289&lt;=120,I2289*1.1+7,IF(I2289&lt;=250,I2289*1.1+11,I2289*1.1+19))),
IF(L2287="NORMAL",
   IF(I2289&lt;=30,I2289*1.15+2,IF(I2289&lt;=80,I2289*1.15+4,IF(I2289&lt;=150,I2289*1.15+6,I2289*1.15+8))),
IF(L2287="COMPLEMENTO",
   IF(I2289&lt;=25,I2289*1.25+1.5,IF(I2289&lt;=60,I2289*1.25+3,IF(I2289&lt;=120,I2289*1.25+4,I2289*1.25+5))),
""))),2)</f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>IF(
OR(
ISNUMBER(SEARCH("BACKPACK",B2291)),
ISNUMBER(SEARCH("MOCHILA",B2291)),
ISNUMBER(SEARCH("FUNDA",B2291)),
ISNUMBER(SEARCH("ESTUCHE",B2291)),
ISNUMBER(SEARCH("BOOK COVER",B2291)),
ISNUMBER(SEARCH("KEYBOARD PARA TABLET",B2291)),
ISNUMBER(SEARCH("FLIP TABLET",B2291)),
ISNUMBER(SEARCH("CASE FOR TABLET",B2291)),
ISNUMBER(SEARCH("CABLE",B2291)),
ISNUMBER(SEARCH("ADAPTADOR",B2291)),
ISNUMBER(SEARCH("HUB",B2291)),
ISNUMBER(SEARCH("DOCK",B2291)),
ISNUMBER(SEARCH("MOUSE PAD",B2291)),
ISNUMBER(SEARCH("MOUSEPAD",B2291)),
ISNUMBER(SEARCH("SOPORTE",B2291)),
ISNUMBER(SEARCH("STAND",B2291)),
ISNUMBER(SEARCH("TRAVEL ADAPTER",B2291)),
ISNUMBER(SEARCH("RJ45",B2291)),
ISNUMBER(SEARCH("USB-C",B2291)),
ISNUMBER(SEARCH("USB WIFI",B2291)),
ISNUMBER(SEARCH("POWERBANK",B2291)),
ISNUMBER(SEARCH("CARGADOR",B2291)),
ISNUMBER(SEARCH("COOLER PARA NB",B2291)),
ISNUMBER(SEARCH("SOPORTE PARA NB",B2291)),
ISNUMBER(SEARCH("WEBCAM",B2291)),
ISNUMBER(SEARCH("WEB CAM",B2291)),
ISNUMBER(SEARCH("MOUSE",B2291)),
ISNUMBER(SEARCH("TECLADO",B2291))
),
"COMPLEMENTO",
IF(
OR(
LEFT(A2291,2)="NB",
LEFT(A2291,2)="PC",
LEFT(A2291,2)="WS",
LEFT(A2291,2)="TB",
LEFT(A2291,3)="CEL",
LEFT(A2291,3)="MON",
LEFT(A2291,3)="PRE",
LEFT(A2291,3)="PRH",
ISNUMBER(SEARCH("NOTEBOOK",B2291)),
ISNUMBER(SEARCH("LAPTOP",B2291)),
ISNUMBER(SEARCH("MONITOR",B2291)),
ISNUMBER(SEARCH("TABLET",B2291)),
ISNUMBER(SEARCH("SMARTPH",B2291)),
ISNUMBER(SEARCH("IMPRESORA",B2291)),
ISNUMBER(SEARCH("MULTIFUNCIONAL",B2291)),
ISNUMBER(SEARCH("AIO",B2291))
),
"GANCHO",
"NORMAL"
)
)</f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>ROUND(
IF(L2288="GANCHO",
   IF(I2290&lt;=50,I2290*1.1+4,IF(I2290&lt;=120,I2290*1.1+7,IF(I2290&lt;=250,I2290*1.1+11,I2290*1.1+19))),
IF(L2288="NORMAL",
   IF(I2290&lt;=30,I2290*1.15+2,IF(I2290&lt;=80,I2290*1.15+4,IF(I2290&lt;=150,I2290*1.15+6,I2290*1.15+8))),
IF(L2288="COMPLEMENTO",
   IF(I2290&lt;=25,I2290*1.25+1.5,IF(I2290&lt;=60,I2290*1.25+3,IF(I2290&lt;=120,I2290*1.25+4,I2290*1.25+5))),
""))),2)</f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>IF(
OR(
ISNUMBER(SEARCH("BACKPACK",B2292)),
ISNUMBER(SEARCH("MOCHILA",B2292)),
ISNUMBER(SEARCH("FUNDA",B2292)),
ISNUMBER(SEARCH("ESTUCHE",B2292)),
ISNUMBER(SEARCH("BOOK COVER",B2292)),
ISNUMBER(SEARCH("KEYBOARD PARA TABLET",B2292)),
ISNUMBER(SEARCH("FLIP TABLET",B2292)),
ISNUMBER(SEARCH("CASE FOR TABLET",B2292)),
ISNUMBER(SEARCH("CABLE",B2292)),
ISNUMBER(SEARCH("ADAPTADOR",B2292)),
ISNUMBER(SEARCH("HUB",B2292)),
ISNUMBER(SEARCH("DOCK",B2292)),
ISNUMBER(SEARCH("MOUSE PAD",B2292)),
ISNUMBER(SEARCH("MOUSEPAD",B2292)),
ISNUMBER(SEARCH("SOPORTE",B2292)),
ISNUMBER(SEARCH("STAND",B2292)),
ISNUMBER(SEARCH("TRAVEL ADAPTER",B2292)),
ISNUMBER(SEARCH("RJ45",B2292)),
ISNUMBER(SEARCH("USB-C",B2292)),
ISNUMBER(SEARCH("USB WIFI",B2292)),
ISNUMBER(SEARCH("POWERBANK",B2292)),
ISNUMBER(SEARCH("CARGADOR",B2292)),
ISNUMBER(SEARCH("COOLER PARA NB",B2292)),
ISNUMBER(SEARCH("SOPORTE PARA NB",B2292)),
ISNUMBER(SEARCH("WEBCAM",B2292)),
ISNUMBER(SEARCH("WEB CAM",B2292)),
ISNUMBER(SEARCH("MOUSE",B2292)),
ISNUMBER(SEARCH("TECLADO",B2292))
),
"COMPLEMENTO",
IF(
OR(
LEFT(A2292,2)="NB",
LEFT(A2292,2)="PC",
LEFT(A2292,2)="WS",
LEFT(A2292,2)="TB",
LEFT(A2292,3)="CEL",
LEFT(A2292,3)="MON",
LEFT(A2292,3)="PRE",
LEFT(A2292,3)="PRH",
ISNUMBER(SEARCH("NOTEBOOK",B2292)),
ISNUMBER(SEARCH("LAPTOP",B2292)),
ISNUMBER(SEARCH("MONITOR",B2292)),
ISNUMBER(SEARCH("TABLET",B2292)),
ISNUMBER(SEARCH("SMARTPH",B2292)),
ISNUMBER(SEARCH("IMPRESORA",B2292)),
ISNUMBER(SEARCH("MULTIFUNCIONAL",B2292)),
ISNUMBER(SEARCH("AIO",B2292))
),
"GANCHO",
"NORMAL"
)
)</f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>ROUND(
IF(L2289="GANCHO",
   IF(I2291&lt;=50,I2291*1.1+4,IF(I2291&lt;=120,I2291*1.1+7,IF(I2291&lt;=250,I2291*1.1+11,I2291*1.1+19))),
IF(L2289="NORMAL",
   IF(I2291&lt;=30,I2291*1.15+2,IF(I2291&lt;=80,I2291*1.15+4,IF(I2291&lt;=150,I2291*1.15+6,I2291*1.15+8))),
IF(L2289="COMPLEMENTO",
   IF(I2291&lt;=25,I2291*1.25+1.5,IF(I2291&lt;=60,I2291*1.25+3,IF(I2291&lt;=120,I2291*1.25+4,I2291*1.25+5))),
""))),2)</f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>IF(
OR(
ISNUMBER(SEARCH("BACKPACK",B2293)),
ISNUMBER(SEARCH("MOCHILA",B2293)),
ISNUMBER(SEARCH("FUNDA",B2293)),
ISNUMBER(SEARCH("ESTUCHE",B2293)),
ISNUMBER(SEARCH("BOOK COVER",B2293)),
ISNUMBER(SEARCH("KEYBOARD PARA TABLET",B2293)),
ISNUMBER(SEARCH("FLIP TABLET",B2293)),
ISNUMBER(SEARCH("CASE FOR TABLET",B2293)),
ISNUMBER(SEARCH("CABLE",B2293)),
ISNUMBER(SEARCH("ADAPTADOR",B2293)),
ISNUMBER(SEARCH("HUB",B2293)),
ISNUMBER(SEARCH("DOCK",B2293)),
ISNUMBER(SEARCH("MOUSE PAD",B2293)),
ISNUMBER(SEARCH("MOUSEPAD",B2293)),
ISNUMBER(SEARCH("SOPORTE",B2293)),
ISNUMBER(SEARCH("STAND",B2293)),
ISNUMBER(SEARCH("TRAVEL ADAPTER",B2293)),
ISNUMBER(SEARCH("RJ45",B2293)),
ISNUMBER(SEARCH("USB-C",B2293)),
ISNUMBER(SEARCH("USB WIFI",B2293)),
ISNUMBER(SEARCH("POWERBANK",B2293)),
ISNUMBER(SEARCH("CARGADOR",B2293)),
ISNUMBER(SEARCH("COOLER PARA NB",B2293)),
ISNUMBER(SEARCH("SOPORTE PARA NB",B2293)),
ISNUMBER(SEARCH("WEBCAM",B2293)),
ISNUMBER(SEARCH("WEB CAM",B2293)),
ISNUMBER(SEARCH("MOUSE",B2293)),
ISNUMBER(SEARCH("TECLADO",B2293))
),
"COMPLEMENTO",
IF(
OR(
LEFT(A2293,2)="NB",
LEFT(A2293,2)="PC",
LEFT(A2293,2)="WS",
LEFT(A2293,2)="TB",
LEFT(A2293,3)="CEL",
LEFT(A2293,3)="MON",
LEFT(A2293,3)="PRE",
LEFT(A2293,3)="PRH",
ISNUMBER(SEARCH("NOTEBOOK",B2293)),
ISNUMBER(SEARCH("LAPTOP",B2293)),
ISNUMBER(SEARCH("MONITOR",B2293)),
ISNUMBER(SEARCH("TABLET",B2293)),
ISNUMBER(SEARCH("SMARTPH",B2293)),
ISNUMBER(SEARCH("IMPRESORA",B2293)),
ISNUMBER(SEARCH("MULTIFUNCIONAL",B2293)),
ISNUMBER(SEARCH("AIO",B2293))
),
"GANCHO",
"NORMAL"
)
)</f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>ROUND(
IF(L2290="GANCHO",
   IF(I2292&lt;=50,I2292*1.1+4,IF(I2292&lt;=120,I2292*1.1+7,IF(I2292&lt;=250,I2292*1.1+11,I2292*1.1+19))),
IF(L2290="NORMAL",
   IF(I2292&lt;=30,I2292*1.15+2,IF(I2292&lt;=80,I2292*1.15+4,IF(I2292&lt;=150,I2292*1.15+6,I2292*1.15+8))),
IF(L2290="COMPLEMENTO",
   IF(I2292&lt;=25,I2292*1.25+1.5,IF(I2292&lt;=60,I2292*1.25+3,IF(I2292&lt;=120,I2292*1.25+4,I2292*1.25+5))),
""))),2)</f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>IF(
OR(
ISNUMBER(SEARCH("BACKPACK",B2294)),
ISNUMBER(SEARCH("MOCHILA",B2294)),
ISNUMBER(SEARCH("FUNDA",B2294)),
ISNUMBER(SEARCH("ESTUCHE",B2294)),
ISNUMBER(SEARCH("BOOK COVER",B2294)),
ISNUMBER(SEARCH("KEYBOARD PARA TABLET",B2294)),
ISNUMBER(SEARCH("FLIP TABLET",B2294)),
ISNUMBER(SEARCH("CASE FOR TABLET",B2294)),
ISNUMBER(SEARCH("CABLE",B2294)),
ISNUMBER(SEARCH("ADAPTADOR",B2294)),
ISNUMBER(SEARCH("HUB",B2294)),
ISNUMBER(SEARCH("DOCK",B2294)),
ISNUMBER(SEARCH("MOUSE PAD",B2294)),
ISNUMBER(SEARCH("MOUSEPAD",B2294)),
ISNUMBER(SEARCH("SOPORTE",B2294)),
ISNUMBER(SEARCH("STAND",B2294)),
ISNUMBER(SEARCH("TRAVEL ADAPTER",B2294)),
ISNUMBER(SEARCH("RJ45",B2294)),
ISNUMBER(SEARCH("USB-C",B2294)),
ISNUMBER(SEARCH("USB WIFI",B2294)),
ISNUMBER(SEARCH("POWERBANK",B2294)),
ISNUMBER(SEARCH("CARGADOR",B2294)),
ISNUMBER(SEARCH("COOLER PARA NB",B2294)),
ISNUMBER(SEARCH("SOPORTE PARA NB",B2294)),
ISNUMBER(SEARCH("WEBCAM",B2294)),
ISNUMBER(SEARCH("WEB CAM",B2294)),
ISNUMBER(SEARCH("MOUSE",B2294)),
ISNUMBER(SEARCH("TECLADO",B2294))
),
"COMPLEMENTO",
IF(
OR(
LEFT(A2294,2)="NB",
LEFT(A2294,2)="PC",
LEFT(A2294,2)="WS",
LEFT(A2294,2)="TB",
LEFT(A2294,3)="CEL",
LEFT(A2294,3)="MON",
LEFT(A2294,3)="PRE",
LEFT(A2294,3)="PRH",
ISNUMBER(SEARCH("NOTEBOOK",B2294)),
ISNUMBER(SEARCH("LAPTOP",B2294)),
ISNUMBER(SEARCH("MONITOR",B2294)),
ISNUMBER(SEARCH("TABLET",B2294)),
ISNUMBER(SEARCH("SMARTPH",B2294)),
ISNUMBER(SEARCH("IMPRESORA",B2294)),
ISNUMBER(SEARCH("MULTIFUNCIONAL",B2294)),
ISNUMBER(SEARCH("AIO",B2294))
),
"GANCHO",
"NORMAL"
)
)</f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>ROUND(
IF(L2291="GANCHO",
   IF(I2293&lt;=50,I2293*1.1+4,IF(I2293&lt;=120,I2293*1.1+7,IF(I2293&lt;=250,I2293*1.1+11,I2293*1.1+19))),
IF(L2291="NORMAL",
   IF(I2293&lt;=30,I2293*1.15+2,IF(I2293&lt;=80,I2293*1.15+4,IF(I2293&lt;=150,I2293*1.15+6,I2293*1.15+8))),
IF(L2291="COMPLEMENTO",
   IF(I2293&lt;=25,I2293*1.25+1.5,IF(I2293&lt;=60,I2293*1.25+3,IF(I2293&lt;=120,I2293*1.25+4,I2293*1.25+5))),
""))),2)</f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>IF(
OR(
ISNUMBER(SEARCH("BACKPACK",B2295)),
ISNUMBER(SEARCH("MOCHILA",B2295)),
ISNUMBER(SEARCH("FUNDA",B2295)),
ISNUMBER(SEARCH("ESTUCHE",B2295)),
ISNUMBER(SEARCH("BOOK COVER",B2295)),
ISNUMBER(SEARCH("KEYBOARD PARA TABLET",B2295)),
ISNUMBER(SEARCH("FLIP TABLET",B2295)),
ISNUMBER(SEARCH("CASE FOR TABLET",B2295)),
ISNUMBER(SEARCH("CABLE",B2295)),
ISNUMBER(SEARCH("ADAPTADOR",B2295)),
ISNUMBER(SEARCH("HUB",B2295)),
ISNUMBER(SEARCH("DOCK",B2295)),
ISNUMBER(SEARCH("MOUSE PAD",B2295)),
ISNUMBER(SEARCH("MOUSEPAD",B2295)),
ISNUMBER(SEARCH("SOPORTE",B2295)),
ISNUMBER(SEARCH("STAND",B2295)),
ISNUMBER(SEARCH("TRAVEL ADAPTER",B2295)),
ISNUMBER(SEARCH("RJ45",B2295)),
ISNUMBER(SEARCH("USB-C",B2295)),
ISNUMBER(SEARCH("USB WIFI",B2295)),
ISNUMBER(SEARCH("POWERBANK",B2295)),
ISNUMBER(SEARCH("CARGADOR",B2295)),
ISNUMBER(SEARCH("COOLER PARA NB",B2295)),
ISNUMBER(SEARCH("SOPORTE PARA NB",B2295)),
ISNUMBER(SEARCH("WEBCAM",B2295)),
ISNUMBER(SEARCH("WEB CAM",B2295)),
ISNUMBER(SEARCH("MOUSE",B2295)),
ISNUMBER(SEARCH("TECLADO",B2295))
),
"COMPLEMENTO",
IF(
OR(
LEFT(A2295,2)="NB",
LEFT(A2295,2)="PC",
LEFT(A2295,2)="WS",
LEFT(A2295,2)="TB",
LEFT(A2295,3)="CEL",
LEFT(A2295,3)="MON",
LEFT(A2295,3)="PRE",
LEFT(A2295,3)="PRH",
ISNUMBER(SEARCH("NOTEBOOK",B2295)),
ISNUMBER(SEARCH("LAPTOP",B2295)),
ISNUMBER(SEARCH("MONITOR",B2295)),
ISNUMBER(SEARCH("TABLET",B2295)),
ISNUMBER(SEARCH("SMARTPH",B2295)),
ISNUMBER(SEARCH("IMPRESORA",B2295)),
ISNUMBER(SEARCH("MULTIFUNCIONAL",B2295)),
ISNUMBER(SEARCH("AIO",B2295))
),
"GANCHO",
"NORMAL"
)
)</f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>ROUND(
IF(L2292="GANCHO",
   IF(I2294&lt;=50,I2294*1.1+4,IF(I2294&lt;=120,I2294*1.1+7,IF(I2294&lt;=250,I2294*1.1+11,I2294*1.1+19))),
IF(L2292="NORMAL",
   IF(I2294&lt;=30,I2294*1.15+2,IF(I2294&lt;=80,I2294*1.15+4,IF(I2294&lt;=150,I2294*1.15+6,I2294*1.15+8))),
IF(L2292="COMPLEMENTO",
   IF(I2294&lt;=25,I2294*1.25+1.5,IF(I2294&lt;=60,I2294*1.25+3,IF(I2294&lt;=120,I2294*1.25+4,I2294*1.25+5))),
""))),2)</f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>IF(
OR(
ISNUMBER(SEARCH("BACKPACK",B2296)),
ISNUMBER(SEARCH("MOCHILA",B2296)),
ISNUMBER(SEARCH("FUNDA",B2296)),
ISNUMBER(SEARCH("ESTUCHE",B2296)),
ISNUMBER(SEARCH("BOOK COVER",B2296)),
ISNUMBER(SEARCH("KEYBOARD PARA TABLET",B2296)),
ISNUMBER(SEARCH("FLIP TABLET",B2296)),
ISNUMBER(SEARCH("CASE FOR TABLET",B2296)),
ISNUMBER(SEARCH("CABLE",B2296)),
ISNUMBER(SEARCH("ADAPTADOR",B2296)),
ISNUMBER(SEARCH("HUB",B2296)),
ISNUMBER(SEARCH("DOCK",B2296)),
ISNUMBER(SEARCH("MOUSE PAD",B2296)),
ISNUMBER(SEARCH("MOUSEPAD",B2296)),
ISNUMBER(SEARCH("SOPORTE",B2296)),
ISNUMBER(SEARCH("STAND",B2296)),
ISNUMBER(SEARCH("TRAVEL ADAPTER",B2296)),
ISNUMBER(SEARCH("RJ45",B2296)),
ISNUMBER(SEARCH("USB-C",B2296)),
ISNUMBER(SEARCH("USB WIFI",B2296)),
ISNUMBER(SEARCH("POWERBANK",B2296)),
ISNUMBER(SEARCH("CARGADOR",B2296)),
ISNUMBER(SEARCH("COOLER PARA NB",B2296)),
ISNUMBER(SEARCH("SOPORTE PARA NB",B2296)),
ISNUMBER(SEARCH("WEBCAM",B2296)),
ISNUMBER(SEARCH("WEB CAM",B2296)),
ISNUMBER(SEARCH("MOUSE",B2296)),
ISNUMBER(SEARCH("TECLADO",B2296))
),
"COMPLEMENTO",
IF(
OR(
LEFT(A2296,2)="NB",
LEFT(A2296,2)="PC",
LEFT(A2296,2)="WS",
LEFT(A2296,2)="TB",
LEFT(A2296,3)="CEL",
LEFT(A2296,3)="MON",
LEFT(A2296,3)="PRE",
LEFT(A2296,3)="PRH",
ISNUMBER(SEARCH("NOTEBOOK",B2296)),
ISNUMBER(SEARCH("LAPTOP",B2296)),
ISNUMBER(SEARCH("MONITOR",B2296)),
ISNUMBER(SEARCH("TABLET",B2296)),
ISNUMBER(SEARCH("SMARTPH",B2296)),
ISNUMBER(SEARCH("IMPRESORA",B2296)),
ISNUMBER(SEARCH("MULTIFUNCIONAL",B2296)),
ISNUMBER(SEARCH("AIO",B2296))
),
"GANCHO",
"NORMAL"
)
)</f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>ROUND(
IF(L2293="GANCHO",
   IF(I2295&lt;=50,I2295*1.1+4,IF(I2295&lt;=120,I2295*1.1+7,IF(I2295&lt;=250,I2295*1.1+11,I2295*1.1+19))),
IF(L2293="NORMAL",
   IF(I2295&lt;=30,I2295*1.15+2,IF(I2295&lt;=80,I2295*1.15+4,IF(I2295&lt;=150,I2295*1.15+6,I2295*1.15+8))),
IF(L2293="COMPLEMENTO",
   IF(I2295&lt;=25,I2295*1.25+1.5,IF(I2295&lt;=60,I2295*1.25+3,IF(I2295&lt;=120,I2295*1.25+4,I2295*1.25+5))),
""))),2)</f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>IF(
OR(
ISNUMBER(SEARCH("BACKPACK",B2297)),
ISNUMBER(SEARCH("MOCHILA",B2297)),
ISNUMBER(SEARCH("FUNDA",B2297)),
ISNUMBER(SEARCH("ESTUCHE",B2297)),
ISNUMBER(SEARCH("BOOK COVER",B2297)),
ISNUMBER(SEARCH("KEYBOARD PARA TABLET",B2297)),
ISNUMBER(SEARCH("FLIP TABLET",B2297)),
ISNUMBER(SEARCH("CASE FOR TABLET",B2297)),
ISNUMBER(SEARCH("CABLE",B2297)),
ISNUMBER(SEARCH("ADAPTADOR",B2297)),
ISNUMBER(SEARCH("HUB",B2297)),
ISNUMBER(SEARCH("DOCK",B2297)),
ISNUMBER(SEARCH("MOUSE PAD",B2297)),
ISNUMBER(SEARCH("MOUSEPAD",B2297)),
ISNUMBER(SEARCH("SOPORTE",B2297)),
ISNUMBER(SEARCH("STAND",B2297)),
ISNUMBER(SEARCH("TRAVEL ADAPTER",B2297)),
ISNUMBER(SEARCH("RJ45",B2297)),
ISNUMBER(SEARCH("USB-C",B2297)),
ISNUMBER(SEARCH("USB WIFI",B2297)),
ISNUMBER(SEARCH("POWERBANK",B2297)),
ISNUMBER(SEARCH("CARGADOR",B2297)),
ISNUMBER(SEARCH("COOLER PARA NB",B2297)),
ISNUMBER(SEARCH("SOPORTE PARA NB",B2297)),
ISNUMBER(SEARCH("WEBCAM",B2297)),
ISNUMBER(SEARCH("WEB CAM",B2297)),
ISNUMBER(SEARCH("MOUSE",B2297)),
ISNUMBER(SEARCH("TECLADO",B2297))
),
"COMPLEMENTO",
IF(
OR(
LEFT(A2297,2)="NB",
LEFT(A2297,2)="PC",
LEFT(A2297,2)="WS",
LEFT(A2297,2)="TB",
LEFT(A2297,3)="CEL",
LEFT(A2297,3)="MON",
LEFT(A2297,3)="PRE",
LEFT(A2297,3)="PRH",
ISNUMBER(SEARCH("NOTEBOOK",B2297)),
ISNUMBER(SEARCH("LAPTOP",B2297)),
ISNUMBER(SEARCH("MONITOR",B2297)),
ISNUMBER(SEARCH("TABLET",B2297)),
ISNUMBER(SEARCH("SMARTPH",B2297)),
ISNUMBER(SEARCH("IMPRESORA",B2297)),
ISNUMBER(SEARCH("MULTIFUNCIONAL",B2297)),
ISNUMBER(SEARCH("AIO",B2297))
),
"GANCHO",
"NORMAL"
)
)</f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>ROUND(
IF(L2294="GANCHO",
   IF(I2296&lt;=50,I2296*1.1+4,IF(I2296&lt;=120,I2296*1.1+7,IF(I2296&lt;=250,I2296*1.1+11,I2296*1.1+19))),
IF(L2294="NORMAL",
   IF(I2296&lt;=30,I2296*1.15+2,IF(I2296&lt;=80,I2296*1.15+4,IF(I2296&lt;=150,I2296*1.15+6,I2296*1.15+8))),
IF(L2294="COMPLEMENTO",
   IF(I2296&lt;=25,I2296*1.25+1.5,IF(I2296&lt;=60,I2296*1.25+3,IF(I2296&lt;=120,I2296*1.25+4,I2296*1.25+5))),
""))),2)</f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>IF(
OR(
ISNUMBER(SEARCH("BACKPACK",B2298)),
ISNUMBER(SEARCH("MOCHILA",B2298)),
ISNUMBER(SEARCH("FUNDA",B2298)),
ISNUMBER(SEARCH("ESTUCHE",B2298)),
ISNUMBER(SEARCH("BOOK COVER",B2298)),
ISNUMBER(SEARCH("KEYBOARD PARA TABLET",B2298)),
ISNUMBER(SEARCH("FLIP TABLET",B2298)),
ISNUMBER(SEARCH("CASE FOR TABLET",B2298)),
ISNUMBER(SEARCH("CABLE",B2298)),
ISNUMBER(SEARCH("ADAPTADOR",B2298)),
ISNUMBER(SEARCH("HUB",B2298)),
ISNUMBER(SEARCH("DOCK",B2298)),
ISNUMBER(SEARCH("MOUSE PAD",B2298)),
ISNUMBER(SEARCH("MOUSEPAD",B2298)),
ISNUMBER(SEARCH("SOPORTE",B2298)),
ISNUMBER(SEARCH("STAND",B2298)),
ISNUMBER(SEARCH("TRAVEL ADAPTER",B2298)),
ISNUMBER(SEARCH("RJ45",B2298)),
ISNUMBER(SEARCH("USB-C",B2298)),
ISNUMBER(SEARCH("USB WIFI",B2298)),
ISNUMBER(SEARCH("POWERBANK",B2298)),
ISNUMBER(SEARCH("CARGADOR",B2298)),
ISNUMBER(SEARCH("COOLER PARA NB",B2298)),
ISNUMBER(SEARCH("SOPORTE PARA NB",B2298)),
ISNUMBER(SEARCH("WEBCAM",B2298)),
ISNUMBER(SEARCH("WEB CAM",B2298)),
ISNUMBER(SEARCH("MOUSE",B2298)),
ISNUMBER(SEARCH("TECLADO",B2298))
),
"COMPLEMENTO",
IF(
OR(
LEFT(A2298,2)="NB",
LEFT(A2298,2)="PC",
LEFT(A2298,2)="WS",
LEFT(A2298,2)="TB",
LEFT(A2298,3)="CEL",
LEFT(A2298,3)="MON",
LEFT(A2298,3)="PRE",
LEFT(A2298,3)="PRH",
ISNUMBER(SEARCH("NOTEBOOK",B2298)),
ISNUMBER(SEARCH("LAPTOP",B2298)),
ISNUMBER(SEARCH("MONITOR",B2298)),
ISNUMBER(SEARCH("TABLET",B2298)),
ISNUMBER(SEARCH("SMARTPH",B2298)),
ISNUMBER(SEARCH("IMPRESORA",B2298)),
ISNUMBER(SEARCH("MULTIFUNCIONAL",B2298)),
ISNUMBER(SEARCH("AIO",B2298))
),
"GANCHO",
"NORMAL"
)
)</f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>ROUND(
IF(L2295="GANCHO",
   IF(I2297&lt;=50,I2297*1.1+4,IF(I2297&lt;=120,I2297*1.1+7,IF(I2297&lt;=250,I2297*1.1+11,I2297*1.1+19))),
IF(L2295="NORMAL",
   IF(I2297&lt;=30,I2297*1.15+2,IF(I2297&lt;=80,I2297*1.15+4,IF(I2297&lt;=150,I2297*1.15+6,I2297*1.15+8))),
IF(L2295="COMPLEMENTO",
   IF(I2297&lt;=25,I2297*1.25+1.5,IF(I2297&lt;=60,I2297*1.25+3,IF(I2297&lt;=120,I2297*1.25+4,I2297*1.25+5))),
""))),2)</f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>IF(
OR(
ISNUMBER(SEARCH("BACKPACK",B2299)),
ISNUMBER(SEARCH("MOCHILA",B2299)),
ISNUMBER(SEARCH("FUNDA",B2299)),
ISNUMBER(SEARCH("ESTUCHE",B2299)),
ISNUMBER(SEARCH("BOOK COVER",B2299)),
ISNUMBER(SEARCH("KEYBOARD PARA TABLET",B2299)),
ISNUMBER(SEARCH("FLIP TABLET",B2299)),
ISNUMBER(SEARCH("CASE FOR TABLET",B2299)),
ISNUMBER(SEARCH("CABLE",B2299)),
ISNUMBER(SEARCH("ADAPTADOR",B2299)),
ISNUMBER(SEARCH("HUB",B2299)),
ISNUMBER(SEARCH("DOCK",B2299)),
ISNUMBER(SEARCH("MOUSE PAD",B2299)),
ISNUMBER(SEARCH("MOUSEPAD",B2299)),
ISNUMBER(SEARCH("SOPORTE",B2299)),
ISNUMBER(SEARCH("STAND",B2299)),
ISNUMBER(SEARCH("TRAVEL ADAPTER",B2299)),
ISNUMBER(SEARCH("RJ45",B2299)),
ISNUMBER(SEARCH("USB-C",B2299)),
ISNUMBER(SEARCH("USB WIFI",B2299)),
ISNUMBER(SEARCH("POWERBANK",B2299)),
ISNUMBER(SEARCH("CARGADOR",B2299)),
ISNUMBER(SEARCH("COOLER PARA NB",B2299)),
ISNUMBER(SEARCH("SOPORTE PARA NB",B2299)),
ISNUMBER(SEARCH("WEBCAM",B2299)),
ISNUMBER(SEARCH("WEB CAM",B2299)),
ISNUMBER(SEARCH("MOUSE",B2299)),
ISNUMBER(SEARCH("TECLADO",B2299))
),
"COMPLEMENTO",
IF(
OR(
LEFT(A2299,2)="NB",
LEFT(A2299,2)="PC",
LEFT(A2299,2)="WS",
LEFT(A2299,2)="TB",
LEFT(A2299,3)="CEL",
LEFT(A2299,3)="MON",
LEFT(A2299,3)="PRE",
LEFT(A2299,3)="PRH",
ISNUMBER(SEARCH("NOTEBOOK",B2299)),
ISNUMBER(SEARCH("LAPTOP",B2299)),
ISNUMBER(SEARCH("MONITOR",B2299)),
ISNUMBER(SEARCH("TABLET",B2299)),
ISNUMBER(SEARCH("SMARTPH",B2299)),
ISNUMBER(SEARCH("IMPRESORA",B2299)),
ISNUMBER(SEARCH("MULTIFUNCIONAL",B2299)),
ISNUMBER(SEARCH("AIO",B2299))
),
"GANCHO",
"NORMAL"
)
)</f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>ROUND(
IF(L2296="GANCHO",
   IF(I2298&lt;=50,I2298*1.1+4,IF(I2298&lt;=120,I2298*1.1+7,IF(I2298&lt;=250,I2298*1.1+11,I2298*1.1+19))),
IF(L2296="NORMAL",
   IF(I2298&lt;=30,I2298*1.15+2,IF(I2298&lt;=80,I2298*1.15+4,IF(I2298&lt;=150,I2298*1.15+6,I2298*1.15+8))),
IF(L2296="COMPLEMENTO",
   IF(I2298&lt;=25,I2298*1.25+1.5,IF(I2298&lt;=60,I2298*1.25+3,IF(I2298&lt;=120,I2298*1.25+4,I2298*1.25+5))),
""))),2)</f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>IF(
OR(
ISNUMBER(SEARCH("BACKPACK",B2300)),
ISNUMBER(SEARCH("MOCHILA",B2300)),
ISNUMBER(SEARCH("FUNDA",B2300)),
ISNUMBER(SEARCH("ESTUCHE",B2300)),
ISNUMBER(SEARCH("BOOK COVER",B2300)),
ISNUMBER(SEARCH("KEYBOARD PARA TABLET",B2300)),
ISNUMBER(SEARCH("FLIP TABLET",B2300)),
ISNUMBER(SEARCH("CASE FOR TABLET",B2300)),
ISNUMBER(SEARCH("CABLE",B2300)),
ISNUMBER(SEARCH("ADAPTADOR",B2300)),
ISNUMBER(SEARCH("HUB",B2300)),
ISNUMBER(SEARCH("DOCK",B2300)),
ISNUMBER(SEARCH("MOUSE PAD",B2300)),
ISNUMBER(SEARCH("MOUSEPAD",B2300)),
ISNUMBER(SEARCH("SOPORTE",B2300)),
ISNUMBER(SEARCH("STAND",B2300)),
ISNUMBER(SEARCH("TRAVEL ADAPTER",B2300)),
ISNUMBER(SEARCH("RJ45",B2300)),
ISNUMBER(SEARCH("USB-C",B2300)),
ISNUMBER(SEARCH("USB WIFI",B2300)),
ISNUMBER(SEARCH("POWERBANK",B2300)),
ISNUMBER(SEARCH("CARGADOR",B2300)),
ISNUMBER(SEARCH("COOLER PARA NB",B2300)),
ISNUMBER(SEARCH("SOPORTE PARA NB",B2300)),
ISNUMBER(SEARCH("WEBCAM",B2300)),
ISNUMBER(SEARCH("WEB CAM",B2300)),
ISNUMBER(SEARCH("MOUSE",B2300)),
ISNUMBER(SEARCH("TECLADO",B2300))
),
"COMPLEMENTO",
IF(
OR(
LEFT(A2300,2)="NB",
LEFT(A2300,2)="PC",
LEFT(A2300,2)="WS",
LEFT(A2300,2)="TB",
LEFT(A2300,3)="CEL",
LEFT(A2300,3)="MON",
LEFT(A2300,3)="PRE",
LEFT(A2300,3)="PRH",
ISNUMBER(SEARCH("NOTEBOOK",B2300)),
ISNUMBER(SEARCH("LAPTOP",B2300)),
ISNUMBER(SEARCH("MONITOR",B2300)),
ISNUMBER(SEARCH("TABLET",B2300)),
ISNUMBER(SEARCH("SMARTPH",B2300)),
ISNUMBER(SEARCH("IMPRESORA",B2300)),
ISNUMBER(SEARCH("MULTIFUNCIONAL",B2300)),
ISNUMBER(SEARCH("AIO",B2300))
),
"GANCHO",
"NORMAL"
)
)</f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>ROUND(
IF(L2297="GANCHO",
   IF(I2299&lt;=50,I2299*1.1+4,IF(I2299&lt;=120,I2299*1.1+7,IF(I2299&lt;=250,I2299*1.1+11,I2299*1.1+19))),
IF(L2297="NORMAL",
   IF(I2299&lt;=30,I2299*1.15+2,IF(I2299&lt;=80,I2299*1.15+4,IF(I2299&lt;=150,I2299*1.15+6,I2299*1.15+8))),
IF(L2297="COMPLEMENTO",
   IF(I2299&lt;=25,I2299*1.25+1.5,IF(I2299&lt;=60,I2299*1.25+3,IF(I2299&lt;=120,I2299*1.25+4,I2299*1.25+5))),
""))),2)</f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>IF(
OR(
ISNUMBER(SEARCH("BACKPACK",B2301)),
ISNUMBER(SEARCH("MOCHILA",B2301)),
ISNUMBER(SEARCH("FUNDA",B2301)),
ISNUMBER(SEARCH("ESTUCHE",B2301)),
ISNUMBER(SEARCH("BOOK COVER",B2301)),
ISNUMBER(SEARCH("KEYBOARD PARA TABLET",B2301)),
ISNUMBER(SEARCH("FLIP TABLET",B2301)),
ISNUMBER(SEARCH("CASE FOR TABLET",B2301)),
ISNUMBER(SEARCH("CABLE",B2301)),
ISNUMBER(SEARCH("ADAPTADOR",B2301)),
ISNUMBER(SEARCH("HUB",B2301)),
ISNUMBER(SEARCH("DOCK",B2301)),
ISNUMBER(SEARCH("MOUSE PAD",B2301)),
ISNUMBER(SEARCH("MOUSEPAD",B2301)),
ISNUMBER(SEARCH("SOPORTE",B2301)),
ISNUMBER(SEARCH("STAND",B2301)),
ISNUMBER(SEARCH("TRAVEL ADAPTER",B2301)),
ISNUMBER(SEARCH("RJ45",B2301)),
ISNUMBER(SEARCH("USB-C",B2301)),
ISNUMBER(SEARCH("USB WIFI",B2301)),
ISNUMBER(SEARCH("POWERBANK",B2301)),
ISNUMBER(SEARCH("CARGADOR",B2301)),
ISNUMBER(SEARCH("COOLER PARA NB",B2301)),
ISNUMBER(SEARCH("SOPORTE PARA NB",B2301)),
ISNUMBER(SEARCH("WEBCAM",B2301)),
ISNUMBER(SEARCH("WEB CAM",B2301)),
ISNUMBER(SEARCH("MOUSE",B2301)),
ISNUMBER(SEARCH("TECLADO",B2301))
),
"COMPLEMENTO",
IF(
OR(
LEFT(A2301,2)="NB",
LEFT(A2301,2)="PC",
LEFT(A2301,2)="WS",
LEFT(A2301,2)="TB",
LEFT(A2301,3)="CEL",
LEFT(A2301,3)="MON",
LEFT(A2301,3)="PRE",
LEFT(A2301,3)="PRH",
ISNUMBER(SEARCH("NOTEBOOK",B2301)),
ISNUMBER(SEARCH("LAPTOP",B2301)),
ISNUMBER(SEARCH("MONITOR",B2301)),
ISNUMBER(SEARCH("TABLET",B2301)),
ISNUMBER(SEARCH("SMARTPH",B2301)),
ISNUMBER(SEARCH("IMPRESORA",B2301)),
ISNUMBER(SEARCH("MULTIFUNCIONAL",B2301)),
ISNUMBER(SEARCH("AIO",B2301))
),
"GANCHO",
"NORMAL"
)
)</f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>ROUND(
IF(L2298="GANCHO",
   IF(I2300&lt;=50,I2300*1.1+4,IF(I2300&lt;=120,I2300*1.1+7,IF(I2300&lt;=250,I2300*1.1+11,I2300*1.1+19))),
IF(L2298="NORMAL",
   IF(I2300&lt;=30,I2300*1.15+2,IF(I2300&lt;=80,I2300*1.15+4,IF(I2300&lt;=150,I2300*1.15+6,I2300*1.15+8))),
IF(L2298="COMPLEMENTO",
   IF(I2300&lt;=25,I2300*1.25+1.5,IF(I2300&lt;=60,I2300*1.25+3,IF(I2300&lt;=120,I2300*1.25+4,I2300*1.25+5))),
""))),2)</f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>IF(
OR(
ISNUMBER(SEARCH("BACKPACK",B2302)),
ISNUMBER(SEARCH("MOCHILA",B2302)),
ISNUMBER(SEARCH("FUNDA",B2302)),
ISNUMBER(SEARCH("ESTUCHE",B2302)),
ISNUMBER(SEARCH("BOOK COVER",B2302)),
ISNUMBER(SEARCH("KEYBOARD PARA TABLET",B2302)),
ISNUMBER(SEARCH("FLIP TABLET",B2302)),
ISNUMBER(SEARCH("CASE FOR TABLET",B2302)),
ISNUMBER(SEARCH("CABLE",B2302)),
ISNUMBER(SEARCH("ADAPTADOR",B2302)),
ISNUMBER(SEARCH("HUB",B2302)),
ISNUMBER(SEARCH("DOCK",B2302)),
ISNUMBER(SEARCH("MOUSE PAD",B2302)),
ISNUMBER(SEARCH("MOUSEPAD",B2302)),
ISNUMBER(SEARCH("SOPORTE",B2302)),
ISNUMBER(SEARCH("STAND",B2302)),
ISNUMBER(SEARCH("TRAVEL ADAPTER",B2302)),
ISNUMBER(SEARCH("RJ45",B2302)),
ISNUMBER(SEARCH("USB-C",B2302)),
ISNUMBER(SEARCH("USB WIFI",B2302)),
ISNUMBER(SEARCH("POWERBANK",B2302)),
ISNUMBER(SEARCH("CARGADOR",B2302)),
ISNUMBER(SEARCH("COOLER PARA NB",B2302)),
ISNUMBER(SEARCH("SOPORTE PARA NB",B2302)),
ISNUMBER(SEARCH("WEBCAM",B2302)),
ISNUMBER(SEARCH("WEB CAM",B2302)),
ISNUMBER(SEARCH("MOUSE",B2302)),
ISNUMBER(SEARCH("TECLADO",B2302))
),
"COMPLEMENTO",
IF(
OR(
LEFT(A2302,2)="NB",
LEFT(A2302,2)="PC",
LEFT(A2302,2)="WS",
LEFT(A2302,2)="TB",
LEFT(A2302,3)="CEL",
LEFT(A2302,3)="MON",
LEFT(A2302,3)="PRE",
LEFT(A2302,3)="PRH",
ISNUMBER(SEARCH("NOTEBOOK",B2302)),
ISNUMBER(SEARCH("LAPTOP",B2302)),
ISNUMBER(SEARCH("MONITOR",B2302)),
ISNUMBER(SEARCH("TABLET",B2302)),
ISNUMBER(SEARCH("SMARTPH",B2302)),
ISNUMBER(SEARCH("IMPRESORA",B2302)),
ISNUMBER(SEARCH("MULTIFUNCIONAL",B2302)),
ISNUMBER(SEARCH("AIO",B2302))
),
"GANCHO",
"NORMAL"
)
)</f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>ROUND(
IF(L2299="GANCHO",
   IF(I2301&lt;=50,I2301*1.1+4,IF(I2301&lt;=120,I2301*1.1+7,IF(I2301&lt;=250,I2301*1.1+11,I2301*1.1+19))),
IF(L2299="NORMAL",
   IF(I2301&lt;=30,I2301*1.15+2,IF(I2301&lt;=80,I2301*1.15+4,IF(I2301&lt;=150,I2301*1.15+6,I2301*1.15+8))),
IF(L2299="COMPLEMENTO",
   IF(I2301&lt;=25,I2301*1.25+1.5,IF(I2301&lt;=60,I2301*1.25+3,IF(I2301&lt;=120,I2301*1.25+4,I2301*1.25+5))),
""))),2)</f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>IF(
OR(
ISNUMBER(SEARCH("BACKPACK",B2303)),
ISNUMBER(SEARCH("MOCHILA",B2303)),
ISNUMBER(SEARCH("FUNDA",B2303)),
ISNUMBER(SEARCH("ESTUCHE",B2303)),
ISNUMBER(SEARCH("BOOK COVER",B2303)),
ISNUMBER(SEARCH("KEYBOARD PARA TABLET",B2303)),
ISNUMBER(SEARCH("FLIP TABLET",B2303)),
ISNUMBER(SEARCH("CASE FOR TABLET",B2303)),
ISNUMBER(SEARCH("CABLE",B2303)),
ISNUMBER(SEARCH("ADAPTADOR",B2303)),
ISNUMBER(SEARCH("HUB",B2303)),
ISNUMBER(SEARCH("DOCK",B2303)),
ISNUMBER(SEARCH("MOUSE PAD",B2303)),
ISNUMBER(SEARCH("MOUSEPAD",B2303)),
ISNUMBER(SEARCH("SOPORTE",B2303)),
ISNUMBER(SEARCH("STAND",B2303)),
ISNUMBER(SEARCH("TRAVEL ADAPTER",B2303)),
ISNUMBER(SEARCH("RJ45",B2303)),
ISNUMBER(SEARCH("USB-C",B2303)),
ISNUMBER(SEARCH("USB WIFI",B2303)),
ISNUMBER(SEARCH("POWERBANK",B2303)),
ISNUMBER(SEARCH("CARGADOR",B2303)),
ISNUMBER(SEARCH("COOLER PARA NB",B2303)),
ISNUMBER(SEARCH("SOPORTE PARA NB",B2303)),
ISNUMBER(SEARCH("WEBCAM",B2303)),
ISNUMBER(SEARCH("WEB CAM",B2303)),
ISNUMBER(SEARCH("MOUSE",B2303)),
ISNUMBER(SEARCH("TECLADO",B2303))
),
"COMPLEMENTO",
IF(
OR(
LEFT(A2303,2)="NB",
LEFT(A2303,2)="PC",
LEFT(A2303,2)="WS",
LEFT(A2303,2)="TB",
LEFT(A2303,3)="CEL",
LEFT(A2303,3)="MON",
LEFT(A2303,3)="PRE",
LEFT(A2303,3)="PRH",
ISNUMBER(SEARCH("NOTEBOOK",B2303)),
ISNUMBER(SEARCH("LAPTOP",B2303)),
ISNUMBER(SEARCH("MONITOR",B2303)),
ISNUMBER(SEARCH("TABLET",B2303)),
ISNUMBER(SEARCH("SMARTPH",B2303)),
ISNUMBER(SEARCH("IMPRESORA",B2303)),
ISNUMBER(SEARCH("MULTIFUNCIONAL",B2303)),
ISNUMBER(SEARCH("AIO",B2303))
),
"GANCHO",
"NORMAL"
)
)</f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>ROUND(
IF(L2300="GANCHO",
   IF(I2302&lt;=50,I2302*1.1+4,IF(I2302&lt;=120,I2302*1.1+7,IF(I2302&lt;=250,I2302*1.1+11,I2302*1.1+19))),
IF(L2300="NORMAL",
   IF(I2302&lt;=30,I2302*1.15+2,IF(I2302&lt;=80,I2302*1.15+4,IF(I2302&lt;=150,I2302*1.15+6,I2302*1.15+8))),
IF(L2300="COMPLEMENTO",
   IF(I2302&lt;=25,I2302*1.25+1.5,IF(I2302&lt;=60,I2302*1.25+3,IF(I2302&lt;=120,I2302*1.25+4,I2302*1.25+5))),
""))),2)</f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>IF(
OR(
ISNUMBER(SEARCH("BACKPACK",B2304)),
ISNUMBER(SEARCH("MOCHILA",B2304)),
ISNUMBER(SEARCH("FUNDA",B2304)),
ISNUMBER(SEARCH("ESTUCHE",B2304)),
ISNUMBER(SEARCH("BOOK COVER",B2304)),
ISNUMBER(SEARCH("KEYBOARD PARA TABLET",B2304)),
ISNUMBER(SEARCH("FLIP TABLET",B2304)),
ISNUMBER(SEARCH("CASE FOR TABLET",B2304)),
ISNUMBER(SEARCH("CABLE",B2304)),
ISNUMBER(SEARCH("ADAPTADOR",B2304)),
ISNUMBER(SEARCH("HUB",B2304)),
ISNUMBER(SEARCH("DOCK",B2304)),
ISNUMBER(SEARCH("MOUSE PAD",B2304)),
ISNUMBER(SEARCH("MOUSEPAD",B2304)),
ISNUMBER(SEARCH("SOPORTE",B2304)),
ISNUMBER(SEARCH("STAND",B2304)),
ISNUMBER(SEARCH("TRAVEL ADAPTER",B2304)),
ISNUMBER(SEARCH("RJ45",B2304)),
ISNUMBER(SEARCH("USB-C",B2304)),
ISNUMBER(SEARCH("USB WIFI",B2304)),
ISNUMBER(SEARCH("POWERBANK",B2304)),
ISNUMBER(SEARCH("CARGADOR",B2304)),
ISNUMBER(SEARCH("COOLER PARA NB",B2304)),
ISNUMBER(SEARCH("SOPORTE PARA NB",B2304)),
ISNUMBER(SEARCH("WEBCAM",B2304)),
ISNUMBER(SEARCH("WEB CAM",B2304)),
ISNUMBER(SEARCH("MOUSE",B2304)),
ISNUMBER(SEARCH("TECLADO",B2304))
),
"COMPLEMENTO",
IF(
OR(
LEFT(A2304,2)="NB",
LEFT(A2304,2)="PC",
LEFT(A2304,2)="WS",
LEFT(A2304,2)="TB",
LEFT(A2304,3)="CEL",
LEFT(A2304,3)="MON",
LEFT(A2304,3)="PRE",
LEFT(A2304,3)="PRH",
ISNUMBER(SEARCH("NOTEBOOK",B2304)),
ISNUMBER(SEARCH("LAPTOP",B2304)),
ISNUMBER(SEARCH("MONITOR",B2304)),
ISNUMBER(SEARCH("TABLET",B2304)),
ISNUMBER(SEARCH("SMARTPH",B2304)),
ISNUMBER(SEARCH("IMPRESORA",B2304)),
ISNUMBER(SEARCH("MULTIFUNCIONAL",B2304)),
ISNUMBER(SEARCH("AIO",B2304))
),
"GANCHO",
"NORMAL"
)
)</f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>ROUND(
IF(L2301="GANCHO",
   IF(I2303&lt;=50,I2303*1.1+4,IF(I2303&lt;=120,I2303*1.1+7,IF(I2303&lt;=250,I2303*1.1+11,I2303*1.1+19))),
IF(L2301="NORMAL",
   IF(I2303&lt;=30,I2303*1.15+2,IF(I2303&lt;=80,I2303*1.15+4,IF(I2303&lt;=150,I2303*1.15+6,I2303*1.15+8))),
IF(L2301="COMPLEMENTO",
   IF(I2303&lt;=25,I2303*1.25+1.5,IF(I2303&lt;=60,I2303*1.25+3,IF(I2303&lt;=120,I2303*1.25+4,I2303*1.25+5))),
""))),2)</f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>IF(
OR(
ISNUMBER(SEARCH("BACKPACK",B2305)),
ISNUMBER(SEARCH("MOCHILA",B2305)),
ISNUMBER(SEARCH("FUNDA",B2305)),
ISNUMBER(SEARCH("ESTUCHE",B2305)),
ISNUMBER(SEARCH("BOOK COVER",B2305)),
ISNUMBER(SEARCH("KEYBOARD PARA TABLET",B2305)),
ISNUMBER(SEARCH("FLIP TABLET",B2305)),
ISNUMBER(SEARCH("CASE FOR TABLET",B2305)),
ISNUMBER(SEARCH("CABLE",B2305)),
ISNUMBER(SEARCH("ADAPTADOR",B2305)),
ISNUMBER(SEARCH("HUB",B2305)),
ISNUMBER(SEARCH("DOCK",B2305)),
ISNUMBER(SEARCH("MOUSE PAD",B2305)),
ISNUMBER(SEARCH("MOUSEPAD",B2305)),
ISNUMBER(SEARCH("SOPORTE",B2305)),
ISNUMBER(SEARCH("STAND",B2305)),
ISNUMBER(SEARCH("TRAVEL ADAPTER",B2305)),
ISNUMBER(SEARCH("RJ45",B2305)),
ISNUMBER(SEARCH("USB-C",B2305)),
ISNUMBER(SEARCH("USB WIFI",B2305)),
ISNUMBER(SEARCH("POWERBANK",B2305)),
ISNUMBER(SEARCH("CARGADOR",B2305)),
ISNUMBER(SEARCH("COOLER PARA NB",B2305)),
ISNUMBER(SEARCH("SOPORTE PARA NB",B2305)),
ISNUMBER(SEARCH("WEBCAM",B2305)),
ISNUMBER(SEARCH("WEB CAM",B2305)),
ISNUMBER(SEARCH("MOUSE",B2305)),
ISNUMBER(SEARCH("TECLADO",B2305))
),
"COMPLEMENTO",
IF(
OR(
LEFT(A2305,2)="NB",
LEFT(A2305,2)="PC",
LEFT(A2305,2)="WS",
LEFT(A2305,2)="TB",
LEFT(A2305,3)="CEL",
LEFT(A2305,3)="MON",
LEFT(A2305,3)="PRE",
LEFT(A2305,3)="PRH",
ISNUMBER(SEARCH("NOTEBOOK",B2305)),
ISNUMBER(SEARCH("LAPTOP",B2305)),
ISNUMBER(SEARCH("MONITOR",B2305)),
ISNUMBER(SEARCH("TABLET",B2305)),
ISNUMBER(SEARCH("SMARTPH",B2305)),
ISNUMBER(SEARCH("IMPRESORA",B2305)),
ISNUMBER(SEARCH("MULTIFUNCIONAL",B2305)),
ISNUMBER(SEARCH("AIO",B2305))
),
"GANCHO",
"NORMAL"
)
)</f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>ROUND(
IF(L2302="GANCHO",
   IF(I2304&lt;=50,I2304*1.1+4,IF(I2304&lt;=120,I2304*1.1+7,IF(I2304&lt;=250,I2304*1.1+11,I2304*1.1+19))),
IF(L2302="NORMAL",
   IF(I2304&lt;=30,I2304*1.15+2,IF(I2304&lt;=80,I2304*1.15+4,IF(I2304&lt;=150,I2304*1.15+6,I2304*1.15+8))),
IF(L2302="COMPLEMENTO",
   IF(I2304&lt;=25,I2304*1.25+1.5,IF(I2304&lt;=60,I2304*1.25+3,IF(I2304&lt;=120,I2304*1.25+4,I2304*1.25+5))),
""))),2)</f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>ROUND(
IF(L2303="GANCHO",
   IF(I2305&lt;=50,I2305*1.1+4,IF(I2305&lt;=120,I2305*1.1+7,IF(I2305&lt;=250,I2305*1.1+11,I2305*1.1+19))),
IF(L2303="NORMAL",
   IF(I2305&lt;=30,I2305*1.15+2,IF(I2305&lt;=80,I2305*1.15+4,IF(I2305&lt;=150,I2305*1.15+6,I2305*1.15+8))),
IF(L2303="COMPLEMENTO",
   IF(I2305&lt;=25,I2305*1.25+1.5,IF(I2305&lt;=60,I2305*1.25+3,IF(I2305&lt;=120,I2305*1.25+4,I2305*1.25+5))),
""))),2)</f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>ROUND(
IF(L2304="GANCHO",
   IF(I2306&lt;=50,I2306*1.1+4,IF(I2306&lt;=120,I2306*1.1+7,IF(I2306&lt;=250,I2306*1.1+11,I2306*1.1+19))),
IF(L2304="NORMAL",
   IF(I2306&lt;=30,I2306*1.15+2,IF(I2306&lt;=80,I2306*1.15+4,IF(I2306&lt;=150,I2306*1.15+6,I2306*1.15+8))),
IF(L2304="COMPLEMENTO",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>IF(
OR(
ISNUMBER(SEARCH("BACKPACK",B2308)),
ISNUMBER(SEARCH("MOCHILA",B2308)),
ISNUMBER(SEARCH("FUNDA",B2308)),
ISNUMBER(SEARCH("ESTUCHE",B2308)),
ISNUMBER(SEARCH("BOOK COVER",B2308)),
ISNUMBER(SEARCH("KEYBOARD PARA TABLET",B2308)),
ISNUMBER(SEARCH("FLIP TABLET",B2308)),
ISNUMBER(SEARCH("CASE FOR TABLET",B2308)),
ISNUMBER(SEARCH("CABLE",B2308)),
ISNUMBER(SEARCH("ADAPTADOR",B2308)),
ISNUMBER(SEARCH("HUB",B2308)),
ISNUMBER(SEARCH("DOCK",B2308)),
ISNUMBER(SEARCH("MOUSE PAD",B2308)),
ISNUMBER(SEARCH("MOUSEPAD",B2308)),
ISNUMBER(SEARCH("SOPORTE",B2308)),
ISNUMBER(SEARCH("STAND",B2308)),
ISNUMBER(SEARCH("TRAVEL ADAPTER",B2308)),
ISNUMBER(SEARCH("RJ45",B2308)),
ISNUMBER(SEARCH("USB-C",B2308)),
ISNUMBER(SEARCH("USB WIFI",B2308)),
ISNUMBER(SEARCH("POWERBANK",B2308)),
ISNUMBER(SEARCH("CARGADOR",B2308)),
ISNUMBER(SEARCH("COOLER PARA NB",B2308)),
ISNUMBER(SEARCH("SOPORTE PARA NB",B2308)),
ISNUMBER(SEARCH("WEBCAM",B2308)),
ISNUMBER(SEARCH("WEB CAM",B2308)),
ISNUMBER(SEARCH("MOUSE",B2308)),
ISNUMBER(SEARCH("TECLADO",B2308))
),
"COMPLEMENTO",
IF(
OR(
LEFT(A2308,2)="NB",
LEFT(A2308,2)="PC",
LEFT(A2308,2)="WS",
LEFT(A2308,2)="TB",
LEFT(A2308,3)="CEL",
LEFT(A2308,3)="MON",
LEFT(A2308,3)="PRE",
LEFT(A2308,3)="PRH",
ISNUMBER(SEARCH("NOTEBOOK",B2308)),
ISNUMBER(SEARCH("LAPTOP",B2308)),
ISNUMBER(SEARCH("MONITOR",B2308)),
ISNUMBER(SEARCH("TABLET",B2308)),
ISNUMBER(SEARCH("SMARTPH",B2308)),
ISNUMBER(SEARCH("IMPRESORA",B2308)),
ISNUMBER(SEARCH("MULTIFUNCIONAL",B2308)),
ISNUMBER(SEARCH("AIO",B2308))
),
"GANCHO",
"NORMAL"
)
)</f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>ROUND(
IF(L2305="GANCHO",
   IF(I2307&lt;=50,I2307*1.1+4,IF(I2307&lt;=120,I2307*1.1+7,IF(I2307&lt;=250,I2307*1.1+11,I2307*1.1+19))),
IF(L2305="NORMAL",
   IF(I2307&lt;=30,I2307*1.15+2,IF(I2307&lt;=80,I2307*1.15+4,IF(I2307&lt;=150,I2307*1.15+6,I2307*1.15+8))),
IF(L2305="COMPLEMENTO",
   IF(I2307&lt;=25,I2307*1.25+1.5,IF(I2307&lt;=60,I2307*1.25+3,IF(I2307&lt;=120,I2307*1.25+4,I2307*1.25+5))),
""))),2)</f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>IF(
OR(
ISNUMBER(SEARCH("BACKPACK",B2309)),
ISNUMBER(SEARCH("MOCHILA",B2309)),
ISNUMBER(SEARCH("FUNDA",B2309)),
ISNUMBER(SEARCH("ESTUCHE",B2309)),
ISNUMBER(SEARCH("BOOK COVER",B2309)),
ISNUMBER(SEARCH("KEYBOARD PARA TABLET",B2309)),
ISNUMBER(SEARCH("FLIP TABLET",B2309)),
ISNUMBER(SEARCH("CASE FOR TABLET",B2309)),
ISNUMBER(SEARCH("CABLE",B2309)),
ISNUMBER(SEARCH("ADAPTADOR",B2309)),
ISNUMBER(SEARCH("HUB",B2309)),
ISNUMBER(SEARCH("DOCK",B2309)),
ISNUMBER(SEARCH("MOUSE PAD",B2309)),
ISNUMBER(SEARCH("MOUSEPAD",B2309)),
ISNUMBER(SEARCH("SOPORTE",B2309)),
ISNUMBER(SEARCH("STAND",B2309)),
ISNUMBER(SEARCH("TRAVEL ADAPTER",B2309)),
ISNUMBER(SEARCH("RJ45",B2309)),
ISNUMBER(SEARCH("USB-C",B2309)),
ISNUMBER(SEARCH("USB WIFI",B2309)),
ISNUMBER(SEARCH("POWERBANK",B2309)),
ISNUMBER(SEARCH("CARGADOR",B2309)),
ISNUMBER(SEARCH("COOLER PARA NB",B2309)),
ISNUMBER(SEARCH("SOPORTE PARA NB",B2309)),
ISNUMBER(SEARCH("WEBCAM",B2309)),
ISNUMBER(SEARCH("WEB CAM",B2309)),
ISNUMBER(SEARCH("MOUSE",B2309)),
ISNUMBER(SEARCH("TECLADO",B2309))
),
"COMPLEMENTO",
IF(
OR(
LEFT(A2309,2)="NB",
LEFT(A2309,2)="PC",
LEFT(A2309,2)="WS",
LEFT(A2309,2)="TB",
LEFT(A2309,3)="CEL",
LEFT(A2309,3)="MON",
LEFT(A2309,3)="PRE",
LEFT(A2309,3)="PRH",
ISNUMBER(SEARCH("NOTEBOOK",B2309)),
ISNUMBER(SEARCH("LAPTOP",B2309)),
ISNUMBER(SEARCH("MONITOR",B2309)),
ISNUMBER(SEARCH("TABLET",B2309)),
ISNUMBER(SEARCH("SMARTPH",B2309)),
ISNUMBER(SEARCH("IMPRESORA",B2309)),
ISNUMBER(SEARCH("MULTIFUNCIONAL",B2309)),
ISNUMBER(SEARCH("AIO",B2309))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>ROUND(
IF(L2306="GANCHO",
   IF(I2308&lt;=50,I2308*1.1+4,IF(I2308&lt;=120,I2308*1.1+7,IF(I2308&lt;=250,I2308*1.1+11,I2308*1.1+19))),
IF(L2306="NORMAL",
   IF(I2308&lt;=30,I2308*1.15+2,IF(I2308&lt;=80,I2308*1.15+4,IF(I2308&lt;=150,I2308*1.15+6,I2308*1.15+8))),
IF(L2306="COMPLEMENTO",
   IF(I2308&lt;=25,I2308*1.25+1.5,IF(I2308&lt;=60,I2308*1.25+3,IF(I2308&lt;=120,I2308*1.25+4,I2308*1.25+5))),
""))),2)</f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>IF(
OR(
ISNUMBER(SEARCH("BACKPACK",B2310)),
ISNUMBER(SEARCH("MOCHILA",B2310)),
ISNUMBER(SEARCH("FUNDA",B2310)),
ISNUMBER(SEARCH("ESTUCHE",B2310)),
ISNUMBER(SEARCH("BOOK COVER",B2310)),
ISNUMBER(SEARCH("KEYBOARD PARA TABLET",B2310)),
ISNUMBER(SEARCH("FLIP TABLET",B2310)),
ISNUMBER(SEARCH("CASE FOR TABLET",B2310)),
ISNUMBER(SEARCH("CABLE",B2310)),
ISNUMBER(SEARCH("ADAPTADOR",B2310)),
ISNUMBER(SEARCH("HUB",B2310)),
ISNUMBER(SEARCH("DOCK",B2310)),
ISNUMBER(SEARCH("MOUSE PAD",B2310)),
ISNUMBER(SEARCH("MOUSEPAD",B2310)),
ISNUMBER(SEARCH("SOPORTE",B2310)),
ISNUMBER(SEARCH("STAND",B2310)),
ISNUMBER(SEARCH("TRAVEL ADAPTER",B2310)),
ISNUMBER(SEARCH("RJ45",B2310)),
ISNUMBER(SEARCH("USB-C",B2310)),
ISNUMBER(SEARCH("USB WIFI",B2310)),
ISNUMBER(SEARCH("POWERBANK",B2310)),
ISNUMBER(SEARCH("CARGADOR",B2310)),
ISNUMBER(SEARCH("COOLER PARA NB",B2310)),
ISNUMBER(SEARCH("SOPORTE PARA NB",B2310)),
ISNUMBER(SEARCH("WEBCAM",B2310)),
ISNUMBER(SEARCH("WEB CAM",B2310)),
ISNUMBER(SEARCH("MOUSE",B2310)),
ISNUMBER(SEARCH("TECLADO",B2310))
),
"COMPLEMENTO",
IF(
OR(
LEFT(A2310,2)="NB",
LEFT(A2310,2)="PC",
LEFT(A2310,2)="WS",
LEFT(A2310,2)="TB",
LEFT(A2310,3)="CEL",
LEFT(A2310,3)="MON",
LEFT(A2310,3)="PRE",
LEFT(A2310,3)="PRH",
ISNUMBER(SEARCH("NOTEBOOK",B2310)),
ISNUMBER(SEARCH("LAPTOP",B2310)),
ISNUMBER(SEARCH("MONITOR",B2310)),
ISNUMBER(SEARCH("TABLET",B2310)),
ISNUMBER(SEARCH("SMARTPH",B2310)),
ISNUMBER(SEARCH("IMPRESORA",B2310)),
ISNUMBER(SEARCH("MULTIFUNCIONAL",B2310)),
ISNUMBER(SEARCH("AIO",B2310))
),
"GANCHO",
"NORMAL"
)
)</f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>ROUND(
IF(L2307="GANCHO",
   IF(I2309&lt;=50,I2309*1.1+4,IF(I2309&lt;=120,I2309*1.1+7,IF(I2309&lt;=250,I2309*1.1+11,I2309*1.1+19))),
IF(L2307="NORMAL",
   IF(I2309&lt;=30,I2309*1.15+2,IF(I2309&lt;=80,I2309*1.15+4,IF(I2309&lt;=150,I2309*1.15+6,I2309*1.15+8))),
IF(L2307="COMPLEMENTO",
   IF(I2309&lt;=25,I2309*1.25+1.5,IF(I2309&lt;=60,I2309*1.25+3,IF(I2309&lt;=120,I2309*1.25+4,I2309*1.25+5))),
""))),2)</f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>IF(
OR(
ISNUMBER(SEARCH("BACKPACK",B2311)),
ISNUMBER(SEARCH("MOCHILA",B2311)),
ISNUMBER(SEARCH("FUNDA",B2311)),
ISNUMBER(SEARCH("ESTUCHE",B2311)),
ISNUMBER(SEARCH("BOOK COVER",B2311)),
ISNUMBER(SEARCH("KEYBOARD PARA TABLET",B2311)),
ISNUMBER(SEARCH("FLIP TABLET",B2311)),
ISNUMBER(SEARCH("CASE FOR TABLET",B2311)),
ISNUMBER(SEARCH("CABLE",B2311)),
ISNUMBER(SEARCH("ADAPTADOR",B2311)),
ISNUMBER(SEARCH("HUB",B2311)),
ISNUMBER(SEARCH("DOCK",B2311)),
ISNUMBER(SEARCH("MOUSE PAD",B2311)),
ISNUMBER(SEARCH("MOUSEPAD",B2311)),
ISNUMBER(SEARCH("SOPORTE",B2311)),
ISNUMBER(SEARCH("STAND",B2311)),
ISNUMBER(SEARCH("TRAVEL ADAPTER",B2311)),
ISNUMBER(SEARCH("RJ45",B2311)),
ISNUMBER(SEARCH("USB-C",B2311)),
ISNUMBER(SEARCH("USB WIFI",B2311)),
ISNUMBER(SEARCH("POWERBANK",B2311)),
ISNUMBER(SEARCH("CARGADOR",B2311)),
ISNUMBER(SEARCH("COOLER PARA NB",B2311)),
ISNUMBER(SEARCH("SOPORTE PARA NB",B2311)),
ISNUMBER(SEARCH("WEBCAM",B2311)),
ISNUMBER(SEARCH("WEB CAM",B2311)),
ISNUMBER(SEARCH("MOUSE",B2311)),
ISNUMBER(SEARCH("TECLADO",B2311))
),
"COMPLEMENTO",
IF(
OR(
LEFT(A2311,2)="NB",
LEFT(A2311,2)="PC",
LEFT(A2311,2)="WS",
LEFT(A2311,2)="TB",
LEFT(A2311,3)="CEL",
LEFT(A2311,3)="MON",
LEFT(A2311,3)="PRE",
LEFT(A2311,3)="PRH",
ISNUMBER(SEARCH("NOTEBOOK",B2311)),
ISNUMBER(SEARCH("LAPTOP",B2311)),
ISNUMBER(SEARCH("MONITOR",B2311)),
ISNUMBER(SEARCH("TABLET",B2311)),
ISNUMBER(SEARCH("SMARTPH",B2311)),
ISNUMBER(SEARCH("IMPRESORA",B2311)),
ISNUMBER(SEARCH("MULTIFUNCIONAL",B2311)),
ISNUMBER(SEARCH("AIO",B2311))
),
"GANCHO",
"NORMAL"
)
)</f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>ROUND(
IF(L2308="GANCHO",
   IF(I2310&lt;=50,I2310*1.1+4,IF(I2310&lt;=120,I2310*1.1+7,IF(I2310&lt;=250,I2310*1.1+11,I2310*1.1+19))),
IF(L2308="NORMAL",
   IF(I2310&lt;=30,I2310*1.15+2,IF(I2310&lt;=80,I2310*1.15+4,IF(I2310&lt;=150,I2310*1.15+6,I2310*1.15+8))),
IF(L2308="COMPLEMENTO",
   IF(I2310&lt;=25,I2310*1.25+1.5,IF(I2310&lt;=60,I2310*1.25+3,IF(I2310&lt;=120,I2310*1.25+4,I2310*1.25+5))),
""))),2)</f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>IF(
OR(
ISNUMBER(SEARCH("BACKPACK",B2312)),
ISNUMBER(SEARCH("MOCHILA",B2312)),
ISNUMBER(SEARCH("FUNDA",B2312)),
ISNUMBER(SEARCH("ESTUCHE",B2312)),
ISNUMBER(SEARCH("BOOK COVER",B2312)),
ISNUMBER(SEARCH("KEYBOARD PARA TABLET",B2312)),
ISNUMBER(SEARCH("FLIP TABLET",B2312)),
ISNUMBER(SEARCH("CASE FOR TABLET",B2312)),
ISNUMBER(SEARCH("CABLE",B2312)),
ISNUMBER(SEARCH("ADAPTADOR",B2312)),
ISNUMBER(SEARCH("HUB",B2312)),
ISNUMBER(SEARCH("DOCK",B2312)),
ISNUMBER(SEARCH("MOUSE PAD",B2312)),
ISNUMBER(SEARCH("MOUSEPAD",B2312)),
ISNUMBER(SEARCH("SOPORTE",B2312)),
ISNUMBER(SEARCH("STAND",B2312)),
ISNUMBER(SEARCH("TRAVEL ADAPTER",B2312)),
ISNUMBER(SEARCH("RJ45",B2312)),
ISNUMBER(SEARCH("USB-C",B2312)),
ISNUMBER(SEARCH("USB WIFI",B2312)),
ISNUMBER(SEARCH("POWERBANK",B2312)),
ISNUMBER(SEARCH("CARGADOR",B2312)),
ISNUMBER(SEARCH("COOLER PARA NB",B2312)),
ISNUMBER(SEARCH("SOPORTE PARA NB",B2312)),
ISNUMBER(SEARCH("WEBCAM",B2312)),
ISNUMBER(SEARCH("WEB CAM",B2312)),
ISNUMBER(SEARCH("MOUSE",B2312)),
ISNUMBER(SEARCH("TECLADO",B2312))
),
"COMPLEMENTO",
IF(
OR(
LEFT(A2312,2)="NB",
LEFT(A2312,2)="PC",
LEFT(A2312,2)="WS",
LEFT(A2312,2)="TB",
LEFT(A2312,3)="CEL",
LEFT(A2312,3)="MON",
LEFT(A2312,3)="PRE",
LEFT(A2312,3)="PRH",
ISNUMBER(SEARCH("NOTEBOOK",B2312)),
ISNUMBER(SEARCH("LAPTOP",B2312)),
ISNUMBER(SEARCH("MONITOR",B2312)),
ISNUMBER(SEARCH("TABLET",B2312)),
ISNUMBER(SEARCH("SMARTPH",B2312)),
ISNUMBER(SEARCH("IMPRESORA",B2312)),
ISNUMBER(SEARCH("MULTIFUNCIONAL",B2312)),
ISNUMBER(SEARCH("AIO",B2312))
),
"GANCHO",
"NORMAL"
)
)</f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>ROUND(
IF(L2309="GANCHO",
   IF(I2311&lt;=50,I2311*1.1+4,IF(I2311&lt;=120,I2311*1.1+7,IF(I2311&lt;=250,I2311*1.1+11,I2311*1.1+19))),
IF(L2309="NORMAL",
   IF(I2311&lt;=30,I2311*1.15+2,IF(I2311&lt;=80,I2311*1.15+4,IF(I2311&lt;=150,I2311*1.15+6,I2311*1.15+8))),
IF(L2309="COMPLEMENTO",
   IF(I2311&lt;=25,I2311*1.25+1.5,IF(I2311&lt;=60,I2311*1.25+3,IF(I2311&lt;=120,I2311*1.25+4,I2311*1.25+5))),
""))),2)</f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>IF(
OR(
ISNUMBER(SEARCH("BACKPACK",B2313)),
ISNUMBER(SEARCH("MOCHILA",B2313)),
ISNUMBER(SEARCH("FUNDA",B2313)),
ISNUMBER(SEARCH("ESTUCHE",B2313)),
ISNUMBER(SEARCH("BOOK COVER",B2313)),
ISNUMBER(SEARCH("KEYBOARD PARA TABLET",B2313)),
ISNUMBER(SEARCH("FLIP TABLET",B2313)),
ISNUMBER(SEARCH("CASE FOR TABLET",B2313)),
ISNUMBER(SEARCH("CABLE",B2313)),
ISNUMBER(SEARCH("ADAPTADOR",B2313)),
ISNUMBER(SEARCH("HUB",B2313)),
ISNUMBER(SEARCH("DOCK",B2313)),
ISNUMBER(SEARCH("MOUSE PAD",B2313)),
ISNUMBER(SEARCH("MOUSEPAD",B2313)),
ISNUMBER(SEARCH("SOPORTE",B2313)),
ISNUMBER(SEARCH("STAND",B2313)),
ISNUMBER(SEARCH("TRAVEL ADAPTER",B2313)),
ISNUMBER(SEARCH("RJ45",B2313)),
ISNUMBER(SEARCH("USB-C",B2313)),
ISNUMBER(SEARCH("USB WIFI",B2313)),
ISNUMBER(SEARCH("POWERBANK",B2313)),
ISNUMBER(SEARCH("CARGADOR",B2313)),
ISNUMBER(SEARCH("COOLER PARA NB",B2313)),
ISNUMBER(SEARCH("SOPORTE PARA NB",B2313)),
ISNUMBER(SEARCH("WEBCAM",B2313)),
ISNUMBER(SEARCH("WEB CAM",B2313)),
ISNUMBER(SEARCH("MOUSE",B2313)),
ISNUMBER(SEARCH("TECLADO",B2313))
),
"COMPLEMENTO",
IF(
OR(
LEFT(A2313,2)="NB",
LEFT(A2313,2)="PC",
LEFT(A2313,2)="WS",
LEFT(A2313,2)="TB",
LEFT(A2313,3)="CEL",
LEFT(A2313,3)="MON",
LEFT(A2313,3)="PRE",
LEFT(A2313,3)="PRH",
ISNUMBER(SEARCH("NOTEBOOK",B2313)),
ISNUMBER(SEARCH("LAPTOP",B2313)),
ISNUMBER(SEARCH("MONITOR",B2313)),
ISNUMBER(SEARCH("TABLET",B2313)),
ISNUMBER(SEARCH("SMARTPH",B2313)),
ISNUMBER(SEARCH("IMPRESORA",B2313)),
ISNUMBER(SEARCH("MULTIFUNCIONAL",B2313)),
ISNUMBER(SEARCH("AIO",B2313))
),
"GANCHO",
"NORMAL"
)
)</f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>ROUND(
IF(L2310="GANCHO",
   IF(I2312&lt;=50,I2312*1.1+4,IF(I2312&lt;=120,I2312*1.1+7,IF(I2312&lt;=250,I2312*1.1+11,I2312*1.1+19))),
IF(L2310="NORMAL",
   IF(I2312&lt;=30,I2312*1.15+2,IF(I2312&lt;=80,I2312*1.15+4,IF(I2312&lt;=150,I2312*1.15+6,I2312*1.15+8))),
IF(L2310="COMPLEMENTO",
   IF(I2312&lt;=25,I2312*1.25+1.5,IF(I2312&lt;=60,I2312*1.25+3,IF(I2312&lt;=120,I2312*1.25+4,I2312*1.25+5))),
""))),2)</f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>IF(
OR(
ISNUMBER(SEARCH("BACKPACK",B2314)),
ISNUMBER(SEARCH("MOCHILA",B2314)),
ISNUMBER(SEARCH("FUNDA",B2314)),
ISNUMBER(SEARCH("ESTUCHE",B2314)),
ISNUMBER(SEARCH("BOOK COVER",B2314)),
ISNUMBER(SEARCH("KEYBOARD PARA TABLET",B2314)),
ISNUMBER(SEARCH("FLIP TABLET",B2314)),
ISNUMBER(SEARCH("CASE FOR TABLET",B2314)),
ISNUMBER(SEARCH("CABLE",B2314)),
ISNUMBER(SEARCH("ADAPTADOR",B2314)),
ISNUMBER(SEARCH("HUB",B2314)),
ISNUMBER(SEARCH("DOCK",B2314)),
ISNUMBER(SEARCH("MOUSE PAD",B2314)),
ISNUMBER(SEARCH("MOUSEPAD",B2314)),
ISNUMBER(SEARCH("SOPORTE",B2314)),
ISNUMBER(SEARCH("STAND",B2314)),
ISNUMBER(SEARCH("TRAVEL ADAPTER",B2314)),
ISNUMBER(SEARCH("RJ45",B2314)),
ISNUMBER(SEARCH("USB-C",B2314)),
ISNUMBER(SEARCH("USB WIFI",B2314)),
ISNUMBER(SEARCH("POWERBANK",B2314)),
ISNUMBER(SEARCH("CARGADOR",B2314)),
ISNUMBER(SEARCH("COOLER PARA NB",B2314)),
ISNUMBER(SEARCH("SOPORTE PARA NB",B2314)),
ISNUMBER(SEARCH("WEBCAM",B2314)),
ISNUMBER(SEARCH("WEB CAM",B2314)),
ISNUMBER(SEARCH("MOUSE",B2314)),
ISNUMBER(SEARCH("TECLADO",B2314))
),
"COMPLEMENTO",
IF(
OR(
LEFT(A2314,2)="NB",
LEFT(A2314,2)="PC",
LEFT(A2314,2)="WS",
LEFT(A2314,2)="TB",
LEFT(A2314,3)="CEL",
LEFT(A2314,3)="MON",
LEFT(A2314,3)="PRE",
LEFT(A2314,3)="PRH",
ISNUMBER(SEARCH("NOTEBOOK",B2314)),
ISNUMBER(SEARCH("LAPTOP",B2314)),
ISNUMBER(SEARCH("MONITOR",B2314)),
ISNUMBER(SEARCH("TABLET",B2314)),
ISNUMBER(SEARCH("SMARTPH",B2314)),
ISNUMBER(SEARCH("IMPRESORA",B2314)),
ISNUMBER(SEARCH("MULTIFUNCIONAL",B2314)),
ISNUMBER(SEARCH("AIO",B2314))
),
"GANCHO",
"NORMAL"
)
)</f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>ROUND(
IF(L2311="GANCHO",
   IF(I2313&lt;=50,I2313*1.1+4,IF(I2313&lt;=120,I2313*1.1+7,IF(I2313&lt;=250,I2313*1.1+11,I2313*1.1+19))),
IF(L2311="NORMAL",
   IF(I2313&lt;=30,I2313*1.15+2,IF(I2313&lt;=80,I2313*1.15+4,IF(I2313&lt;=150,I2313*1.15+6,I2313*1.15+8))),
IF(L2311="COMPLEMENTO",
   IF(I2313&lt;=25,I2313*1.25+1.5,IF(I2313&lt;=60,I2313*1.25+3,IF(I2313&lt;=120,I2313*1.25+4,I2313*1.25+5))),
""))),2)</f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>IF(
OR(
ISNUMBER(SEARCH("BACKPACK",B2315)),
ISNUMBER(SEARCH("MOCHILA",B2315)),
ISNUMBER(SEARCH("FUNDA",B2315)),
ISNUMBER(SEARCH("ESTUCHE",B2315)),
ISNUMBER(SEARCH("BOOK COVER",B2315)),
ISNUMBER(SEARCH("KEYBOARD PARA TABLET",B2315)),
ISNUMBER(SEARCH("FLIP TABLET",B2315)),
ISNUMBER(SEARCH("CASE FOR TABLET",B2315)),
ISNUMBER(SEARCH("CABLE",B2315)),
ISNUMBER(SEARCH("ADAPTADOR",B2315)),
ISNUMBER(SEARCH("HUB",B2315)),
ISNUMBER(SEARCH("DOCK",B2315)),
ISNUMBER(SEARCH("MOUSE PAD",B2315)),
ISNUMBER(SEARCH("MOUSEPAD",B2315)),
ISNUMBER(SEARCH("SOPORTE",B2315)),
ISNUMBER(SEARCH("STAND",B2315)),
ISNUMBER(SEARCH("TRAVEL ADAPTER",B2315)),
ISNUMBER(SEARCH("RJ45",B2315)),
ISNUMBER(SEARCH("USB-C",B2315)),
ISNUMBER(SEARCH("USB WIFI",B2315)),
ISNUMBER(SEARCH("POWERBANK",B2315)),
ISNUMBER(SEARCH("CARGADOR",B2315)),
ISNUMBER(SEARCH("COOLER PARA NB",B2315)),
ISNUMBER(SEARCH("SOPORTE PARA NB",B2315)),
ISNUMBER(SEARCH("WEBCAM",B2315)),
ISNUMBER(SEARCH("WEB CAM",B2315)),
ISNUMBER(SEARCH("MOUSE",B2315)),
ISNUMBER(SEARCH("TECLADO",B2315))
),
"COMPLEMENTO",
IF(
OR(
LEFT(A2315,2)="NB",
LEFT(A2315,2)="PC",
LEFT(A2315,2)="WS",
LEFT(A2315,2)="TB",
LEFT(A2315,3)="CEL",
LEFT(A2315,3)="MON",
LEFT(A2315,3)="PRE",
LEFT(A2315,3)="PRH",
ISNUMBER(SEARCH("NOTEBOOK",B2315)),
ISNUMBER(SEARCH("LAPTOP",B2315)),
ISNUMBER(SEARCH("MONITOR",B2315)),
ISNUMBER(SEARCH("TABLET",B2315)),
ISNUMBER(SEARCH("SMARTPH",B2315)),
ISNUMBER(SEARCH("IMPRESORA",B2315)),
ISNUMBER(SEARCH("MULTIFUNCIONAL",B2315)),
ISNUMBER(SEARCH("AIO",B2315))
),
"GANCHO",
"NORMAL"
)
)</f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>ROUND(
IF(L2312="GANCHO",
   IF(I2314&lt;=50,I2314*1.1+4,IF(I2314&lt;=120,I2314*1.1+7,IF(I2314&lt;=250,I2314*1.1+11,I2314*1.1+19))),
IF(L2312="NORMAL",
   IF(I2314&lt;=30,I2314*1.15+2,IF(I2314&lt;=80,I2314*1.15+4,IF(I2314&lt;=150,I2314*1.15+6,I2314*1.15+8))),
IF(L2312="COMPLEMENTO",
   IF(I2314&lt;=25,I2314*1.25+1.5,IF(I2314&lt;=60,I2314*1.25+3,IF(I2314&lt;=120,I2314*1.25+4,I2314*1.25+5))),
""))),2)</f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>IF(
OR(
ISNUMBER(SEARCH("BACKPACK",B2316)),
ISNUMBER(SEARCH("MOCHILA",B2316)),
ISNUMBER(SEARCH("FUNDA",B2316)),
ISNUMBER(SEARCH("ESTUCHE",B2316)),
ISNUMBER(SEARCH("BOOK COVER",B2316)),
ISNUMBER(SEARCH("KEYBOARD PARA TABLET",B2316)),
ISNUMBER(SEARCH("FLIP TABLET",B2316)),
ISNUMBER(SEARCH("CASE FOR TABLET",B2316)),
ISNUMBER(SEARCH("CABLE",B2316)),
ISNUMBER(SEARCH("ADAPTADOR",B2316)),
ISNUMBER(SEARCH("HUB",B2316)),
ISNUMBER(SEARCH("DOCK",B2316)),
ISNUMBER(SEARCH("MOUSE PAD",B2316)),
ISNUMBER(SEARCH("MOUSEPAD",B2316)),
ISNUMBER(SEARCH("SOPORTE",B2316)),
ISNUMBER(SEARCH("STAND",B2316)),
ISNUMBER(SEARCH("TRAVEL ADAPTER",B2316)),
ISNUMBER(SEARCH("RJ45",B2316)),
ISNUMBER(SEARCH("USB-C",B2316)),
ISNUMBER(SEARCH("USB WIFI",B2316)),
ISNUMBER(SEARCH("POWERBANK",B2316)),
ISNUMBER(SEARCH("CARGADOR",B2316)),
ISNUMBER(SEARCH("COOLER PARA NB",B2316)),
ISNUMBER(SEARCH("SOPORTE PARA NB",B2316)),
ISNUMBER(SEARCH("WEBCAM",B2316)),
ISNUMBER(SEARCH("WEB CAM",B2316)),
ISNUMBER(SEARCH("MOUSE",B2316)),
ISNUMBER(SEARCH("TECLADO",B2316))
),
"COMPLEMENTO",
IF(
OR(
LEFT(A2316,2)="NB",
LEFT(A2316,2)="PC",
LEFT(A2316,2)="WS",
LEFT(A2316,2)="TB",
LEFT(A2316,3)="CEL",
LEFT(A2316,3)="MON",
LEFT(A2316,3)="PRE",
LEFT(A2316,3)="PRH",
ISNUMBER(SEARCH("NOTEBOOK",B2316)),
ISNUMBER(SEARCH("LAPTOP",B2316)),
ISNUMBER(SEARCH("MONITOR",B2316)),
ISNUMBER(SEARCH("TABLET",B2316)),
ISNUMBER(SEARCH("SMARTPH",B2316)),
ISNUMBER(SEARCH("IMPRESORA",B2316)),
ISNUMBER(SEARCH("MULTIFUNCIONAL",B2316)),
ISNUMBER(SEARCH("AIO",B2316))
),
"GANCHO",
"NORMAL"
)
)</f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>ROUND(
IF(L2313="GANCHO",
   IF(I2315&lt;=50,I2315*1.1+4,IF(I2315&lt;=120,I2315*1.1+7,IF(I2315&lt;=250,I2315*1.1+11,I2315*1.1+19))),
IF(L2313="NORMAL",
   IF(I2315&lt;=30,I2315*1.15+2,IF(I2315&lt;=80,I2315*1.15+4,IF(I2315&lt;=150,I2315*1.15+6,I2315*1.15+8))),
IF(L2313="COMPLEMENTO",
   IF(I2315&lt;=25,I2315*1.25+1.5,IF(I2315&lt;=60,I2315*1.25+3,IF(I2315&lt;=120,I2315*1.25+4,I2315*1.25+5))),
""))),2)</f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>IF(
OR(
ISNUMBER(SEARCH("BACKPACK",B2317)),
ISNUMBER(SEARCH("MOCHILA",B2317)),
ISNUMBER(SEARCH("FUNDA",B2317)),
ISNUMBER(SEARCH("ESTUCHE",B2317)),
ISNUMBER(SEARCH("BOOK COVER",B2317)),
ISNUMBER(SEARCH("KEYBOARD PARA TABLET",B2317)),
ISNUMBER(SEARCH("FLIP TABLET",B2317)),
ISNUMBER(SEARCH("CASE FOR TABLET",B2317)),
ISNUMBER(SEARCH("CABLE",B2317)),
ISNUMBER(SEARCH("ADAPTADOR",B2317)),
ISNUMBER(SEARCH("HUB",B2317)),
ISNUMBER(SEARCH("DOCK",B2317)),
ISNUMBER(SEARCH("MOUSE PAD",B2317)),
ISNUMBER(SEARCH("MOUSEPAD",B2317)),
ISNUMBER(SEARCH("SOPORTE",B2317)),
ISNUMBER(SEARCH("STAND",B2317)),
ISNUMBER(SEARCH("TRAVEL ADAPTER",B2317)),
ISNUMBER(SEARCH("RJ45",B2317)),
ISNUMBER(SEARCH("USB-C",B2317)),
ISNUMBER(SEARCH("USB WIFI",B2317)),
ISNUMBER(SEARCH("POWERBANK",B2317)),
ISNUMBER(SEARCH("CARGADOR",B2317)),
ISNUMBER(SEARCH("COOLER PARA NB",B2317)),
ISNUMBER(SEARCH("SOPORTE PARA NB",B2317)),
ISNUMBER(SEARCH("WEBCAM",B2317)),
ISNUMBER(SEARCH("WEB CAM",B2317)),
ISNUMBER(SEARCH("MOUSE",B2317)),
ISNUMBER(SEARCH("TECLADO",B2317))
),
"COMPLEMENTO",
IF(
OR(
LEFT(A2317,2)="NB",
LEFT(A2317,2)="PC",
LEFT(A2317,2)="WS",
LEFT(A2317,2)="TB",
LEFT(A2317,3)="CEL",
LEFT(A2317,3)="MON",
LEFT(A2317,3)="PRE",
LEFT(A2317,3)="PRH",
ISNUMBER(SEARCH("NOTEBOOK",B2317)),
ISNUMBER(SEARCH("LAPTOP",B2317)),
ISNUMBER(SEARCH("MONITOR",B2317)),
ISNUMBER(SEARCH("TABLET",B2317)),
ISNUMBER(SEARCH("SMARTPH",B2317)),
ISNUMBER(SEARCH("IMPRESORA",B2317)),
ISNUMBER(SEARCH("MULTIFUNCIONAL",B2317)),
ISNUMBER(SEARCH("AIO",B2317))
),
"GANCHO",
"NORMAL"
)
)</f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>ROUND(
IF(L2314="GANCHO",
   IF(I2316&lt;=50,I2316*1.1+4,IF(I2316&lt;=120,I2316*1.1+7,IF(I2316&lt;=250,I2316*1.1+11,I2316*1.1+19))),
IF(L2314="NORMAL",
   IF(I2316&lt;=30,I2316*1.15+2,IF(I2316&lt;=80,I2316*1.15+4,IF(I2316&lt;=150,I2316*1.15+6,I2316*1.15+8))),
IF(L2314="COMPLEMENTO",
   IF(I2316&lt;=25,I2316*1.25+1.5,IF(I2316&lt;=60,I2316*1.25+3,IF(I2316&lt;=120,I2316*1.25+4,I2316*1.25+5))),
""))),2)</f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>IF(
OR(
ISNUMBER(SEARCH("BACKPACK",B2318)),
ISNUMBER(SEARCH("MOCHILA",B2318)),
ISNUMBER(SEARCH("FUNDA",B2318)),
ISNUMBER(SEARCH("ESTUCHE",B2318)),
ISNUMBER(SEARCH("BOOK COVER",B2318)),
ISNUMBER(SEARCH("KEYBOARD PARA TABLET",B2318)),
ISNUMBER(SEARCH("FLIP TABLET",B2318)),
ISNUMBER(SEARCH("CASE FOR TABLET",B2318)),
ISNUMBER(SEARCH("CABLE",B2318)),
ISNUMBER(SEARCH("ADAPTADOR",B2318)),
ISNUMBER(SEARCH("HUB",B2318)),
ISNUMBER(SEARCH("DOCK",B2318)),
ISNUMBER(SEARCH("MOUSE PAD",B2318)),
ISNUMBER(SEARCH("MOUSEPAD",B2318)),
ISNUMBER(SEARCH("SOPORTE",B2318)),
ISNUMBER(SEARCH("STAND",B2318)),
ISNUMBER(SEARCH("TRAVEL ADAPTER",B2318)),
ISNUMBER(SEARCH("RJ45",B2318)),
ISNUMBER(SEARCH("USB-C",B2318)),
ISNUMBER(SEARCH("USB WIFI",B2318)),
ISNUMBER(SEARCH("POWERBANK",B2318)),
ISNUMBER(SEARCH("CARGADOR",B2318)),
ISNUMBER(SEARCH("COOLER PARA NB",B2318)),
ISNUMBER(SEARCH("SOPORTE PARA NB",B2318)),
ISNUMBER(SEARCH("WEBCAM",B2318)),
ISNUMBER(SEARCH("WEB CAM",B2318)),
ISNUMBER(SEARCH("MOUSE",B2318)),
ISNUMBER(SEARCH("TECLADO",B2318))
),
"COMPLEMENTO",
IF(
OR(
LEFT(A2318,2)="NB",
LEFT(A2318,2)="PC",
LEFT(A2318,2)="WS",
LEFT(A2318,2)="TB",
LEFT(A2318,3)="CEL",
LEFT(A2318,3)="MON",
LEFT(A2318,3)="PRE",
LEFT(A2318,3)="PRH",
ISNUMBER(SEARCH("NOTEBOOK",B2318)),
ISNUMBER(SEARCH("LAPTOP",B2318)),
ISNUMBER(SEARCH("MONITOR",B2318)),
ISNUMBER(SEARCH("TABLET",B2318)),
ISNUMBER(SEARCH("SMARTPH",B2318)),
ISNUMBER(SEARCH("IMPRESORA",B2318)),
ISNUMBER(SEARCH("MULTIFUNCIONAL",B2318)),
ISNUMBER(SEARCH("AIO",B2318))
),
"GANCHO",
"NORMAL"
)
)</f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>ROUND(
IF(L2315="GANCHO",
   IF(I2317&lt;=50,I2317*1.1+4,IF(I2317&lt;=120,I2317*1.1+7,IF(I2317&lt;=250,I2317*1.1+11,I2317*1.1+19))),
IF(L2315="NORMAL",
   IF(I2317&lt;=30,I2317*1.15+2,IF(I2317&lt;=80,I2317*1.15+4,IF(I2317&lt;=150,I2317*1.15+6,I2317*1.15+8))),
IF(L2315="COMPLEMENTO",
   IF(I2317&lt;=25,I2317*1.25+1.5,IF(I2317&lt;=60,I2317*1.25+3,IF(I2317&lt;=120,I2317*1.25+4,I2317*1.25+5))),
""))),2)</f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>IF(
OR(
ISNUMBER(SEARCH("BACKPACK",B2319)),
ISNUMBER(SEARCH("MOCHILA",B2319)),
ISNUMBER(SEARCH("FUNDA",B2319)),
ISNUMBER(SEARCH("ESTUCHE",B2319)),
ISNUMBER(SEARCH("BOOK COVER",B2319)),
ISNUMBER(SEARCH("KEYBOARD PARA TABLET",B2319)),
ISNUMBER(SEARCH("FLIP TABLET",B2319)),
ISNUMBER(SEARCH("CASE FOR TABLET",B2319)),
ISNUMBER(SEARCH("CABLE",B2319)),
ISNUMBER(SEARCH("ADAPTADOR",B2319)),
ISNUMBER(SEARCH("HUB",B2319)),
ISNUMBER(SEARCH("DOCK",B2319)),
ISNUMBER(SEARCH("MOUSE PAD",B2319)),
ISNUMBER(SEARCH("MOUSEPAD",B2319)),
ISNUMBER(SEARCH("SOPORTE",B2319)),
ISNUMBER(SEARCH("STAND",B2319)),
ISNUMBER(SEARCH("TRAVEL ADAPTER",B2319)),
ISNUMBER(SEARCH("RJ45",B2319)),
ISNUMBER(SEARCH("USB-C",B2319)),
ISNUMBER(SEARCH("USB WIFI",B2319)),
ISNUMBER(SEARCH("POWERBANK",B2319)),
ISNUMBER(SEARCH("CARGADOR",B2319)),
ISNUMBER(SEARCH("COOLER PARA NB",B2319)),
ISNUMBER(SEARCH("SOPORTE PARA NB",B2319)),
ISNUMBER(SEARCH("WEBCAM",B2319)),
ISNUMBER(SEARCH("WEB CAM",B2319)),
ISNUMBER(SEARCH("MOUSE",B2319)),
ISNUMBER(SEARCH("TECLADO",B2319))
),
"COMPLEMENTO",
IF(
OR(
LEFT(A2319,2)="NB",
LEFT(A2319,2)="PC",
LEFT(A2319,2)="WS",
LEFT(A2319,2)="TB",
LEFT(A2319,3)="CEL",
LEFT(A2319,3)="MON",
LEFT(A2319,3)="PRE",
LEFT(A2319,3)="PRH",
ISNUMBER(SEARCH("NOTEBOOK",B2319)),
ISNUMBER(SEARCH("LAPTOP",B2319)),
ISNUMBER(SEARCH("MONITOR",B2319)),
ISNUMBER(SEARCH("TABLET",B2319)),
ISNUMBER(SEARCH("SMARTPH",B2319)),
ISNUMBER(SEARCH("IMPRESORA",B2319)),
ISNUMBER(SEARCH("MULTIFUNCIONAL",B2319)),
ISNUMBER(SEARCH("AIO",B2319))
),
"GANCHO",
"NORMAL"
)
)</f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>ROUND(
IF(L2316="GANCHO",
   IF(I2318&lt;=50,I2318*1.1+4,IF(I2318&lt;=120,I2318*1.1+7,IF(I2318&lt;=250,I2318*1.1+11,I2318*1.1+19))),
IF(L2316="NORMAL",
   IF(I2318&lt;=30,I2318*1.15+2,IF(I2318&lt;=80,I2318*1.15+4,IF(I2318&lt;=150,I2318*1.15+6,I2318*1.15+8))),
IF(L2316="COMPLEMENTO",
   IF(I2318&lt;=25,I2318*1.25+1.5,IF(I2318&lt;=60,I2318*1.25+3,IF(I2318&lt;=120,I2318*1.25+4,I2318*1.25+5))),
""))),2)</f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>IF(
OR(
ISNUMBER(SEARCH("BACKPACK",B2320)),
ISNUMBER(SEARCH("MOCHILA",B2320)),
ISNUMBER(SEARCH("FUNDA",B2320)),
ISNUMBER(SEARCH("ESTUCHE",B2320)),
ISNUMBER(SEARCH("BOOK COVER",B2320)),
ISNUMBER(SEARCH("KEYBOARD PARA TABLET",B2320)),
ISNUMBER(SEARCH("FLIP TABLET",B2320)),
ISNUMBER(SEARCH("CASE FOR TABLET",B2320)),
ISNUMBER(SEARCH("CABLE",B2320)),
ISNUMBER(SEARCH("ADAPTADOR",B2320)),
ISNUMBER(SEARCH("HUB",B2320)),
ISNUMBER(SEARCH("DOCK",B2320)),
ISNUMBER(SEARCH("MOUSE PAD",B2320)),
ISNUMBER(SEARCH("MOUSEPAD",B2320)),
ISNUMBER(SEARCH("SOPORTE",B2320)),
ISNUMBER(SEARCH("STAND",B2320)),
ISNUMBER(SEARCH("TRAVEL ADAPTER",B2320)),
ISNUMBER(SEARCH("RJ45",B2320)),
ISNUMBER(SEARCH("USB-C",B2320)),
ISNUMBER(SEARCH("USB WIFI",B2320)),
ISNUMBER(SEARCH("POWERBANK",B2320)),
ISNUMBER(SEARCH("CARGADOR",B2320)),
ISNUMBER(SEARCH("COOLER PARA NB",B2320)),
ISNUMBER(SEARCH("SOPORTE PARA NB",B2320)),
ISNUMBER(SEARCH("WEBCAM",B2320)),
ISNUMBER(SEARCH("WEB CAM",B2320)),
ISNUMBER(SEARCH("MOUSE",B2320)),
ISNUMBER(SEARCH("TECLADO",B2320))
),
"COMPLEMENTO",
IF(
OR(
LEFT(A2320,2)="NB",
LEFT(A2320,2)="PC",
LEFT(A2320,2)="WS",
LEFT(A2320,2)="TB",
LEFT(A2320,3)="CEL",
LEFT(A2320,3)="MON",
LEFT(A2320,3)="PRE",
LEFT(A2320,3)="PRH",
ISNUMBER(SEARCH("NOTEBOOK",B2320)),
ISNUMBER(SEARCH("LAPTOP",B2320)),
ISNUMBER(SEARCH("MONITOR",B2320)),
ISNUMBER(SEARCH("TABLET",B2320)),
ISNUMBER(SEARCH("SMARTPH",B2320)),
ISNUMBER(SEARCH("IMPRESORA",B2320)),
ISNUMBER(SEARCH("MULTIFUNCIONAL",B2320)),
ISNUMBER(SEARCH("AIO",B2320))
),
"GANCHO",
"NORMAL"
)
)</f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>ROUND(
IF(L2317="GANCHO",
   IF(I2319&lt;=50,I2319*1.1+4,IF(I2319&lt;=120,I2319*1.1+7,IF(I2319&lt;=250,I2319*1.1+11,I2319*1.1+19))),
IF(L2317="NORMAL",
   IF(I2319&lt;=30,I2319*1.15+2,IF(I2319&lt;=80,I2319*1.15+4,IF(I2319&lt;=150,I2319*1.15+6,I2319*1.15+8))),
IF(L2317="COMPLEMENTO",
   IF(I2319&lt;=25,I2319*1.25+1.5,IF(I2319&lt;=60,I2319*1.25+3,IF(I2319&lt;=120,I2319*1.25+4,I2319*1.25+5))),
""))),2)</f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>IF(
OR(
ISNUMBER(SEARCH("BACKPACK",B2321)),
ISNUMBER(SEARCH("MOCHILA",B2321)),
ISNUMBER(SEARCH("FUNDA",B2321)),
ISNUMBER(SEARCH("ESTUCHE",B2321)),
ISNUMBER(SEARCH("BOOK COVER",B2321)),
ISNUMBER(SEARCH("KEYBOARD PARA TABLET",B2321)),
ISNUMBER(SEARCH("FLIP TABLET",B2321)),
ISNUMBER(SEARCH("CASE FOR TABLET",B2321)),
ISNUMBER(SEARCH("CABLE",B2321)),
ISNUMBER(SEARCH("ADAPTADOR",B2321)),
ISNUMBER(SEARCH("HUB",B2321)),
ISNUMBER(SEARCH("DOCK",B2321)),
ISNUMBER(SEARCH("MOUSE PAD",B2321)),
ISNUMBER(SEARCH("MOUSEPAD",B2321)),
ISNUMBER(SEARCH("SOPORTE",B2321)),
ISNUMBER(SEARCH("STAND",B2321)),
ISNUMBER(SEARCH("TRAVEL ADAPTER",B2321)),
ISNUMBER(SEARCH("RJ45",B2321)),
ISNUMBER(SEARCH("USB-C",B2321)),
ISNUMBER(SEARCH("USB WIFI",B2321)),
ISNUMBER(SEARCH("POWERBANK",B2321)),
ISNUMBER(SEARCH("CARGADOR",B2321)),
ISNUMBER(SEARCH("COOLER PARA NB",B2321)),
ISNUMBER(SEARCH("SOPORTE PARA NB",B2321)),
ISNUMBER(SEARCH("WEBCAM",B2321)),
ISNUMBER(SEARCH("WEB CAM",B2321)),
ISNUMBER(SEARCH("MOUSE",B2321)),
ISNUMBER(SEARCH("TECLADO",B2321))
),
"COMPLEMENTO",
IF(
OR(
LEFT(A2321,2)="NB",
LEFT(A2321,2)="PC",
LEFT(A2321,2)="WS",
LEFT(A2321,2)="TB",
LEFT(A2321,3)="CEL",
LEFT(A2321,3)="MON",
LEFT(A2321,3)="PRE",
LEFT(A2321,3)="PRH",
ISNUMBER(SEARCH("NOTEBOOK",B2321)),
ISNUMBER(SEARCH("LAPTOP",B2321)),
ISNUMBER(SEARCH("MONITOR",B2321)),
ISNUMBER(SEARCH("TABLET",B2321)),
ISNUMBER(SEARCH("SMARTPH",B2321)),
ISNUMBER(SEARCH("IMPRESORA",B2321)),
ISNUMBER(SEARCH("MULTIFUNCIONAL",B2321)),
ISNUMBER(SEARCH("AIO",B2321))
),
"GANCHO",
"NORMAL"
)
)</f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>ROUND(
IF(L2318="GANCHO",
   IF(I2320&lt;=50,I2320*1.1+4,IF(I2320&lt;=120,I2320*1.1+7,IF(I2320&lt;=250,I2320*1.1+11,I2320*1.1+19))),
IF(L2318="NORMAL",
   IF(I2320&lt;=30,I2320*1.15+2,IF(I2320&lt;=80,I2320*1.15+4,IF(I2320&lt;=150,I2320*1.15+6,I2320*1.15+8))),
IF(L2318="COMPLEMENTO",
   IF(I2320&lt;=25,I2320*1.25+1.5,IF(I2320&lt;=60,I2320*1.25+3,IF(I2320&lt;=120,I2320*1.25+4,I2320*1.25+5))),
""))),2)</f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>ROUND(
IF(L2319="GANCHO",
   IF(I2321&lt;=50,I2321*1.1+4,IF(I2321&lt;=120,I2321*1.1+7,IF(I2321&lt;=250,I2321*1.1+11,I2321*1.1+19))),
IF(L2319="NORMAL",
   IF(I2321&lt;=30,I2321*1.15+2,IF(I2321&lt;=80,I2321*1.15+4,IF(I2321&lt;=150,I2321*1.15+6,I2321*1.15+8))),
IF(L2319="COMPLEMENTO",
   IF(I2321&lt;=25,I2321*1.25+1.5,IF(I2321&lt;=60,I2321*1.25+3,IF(I2321&lt;=120,I2321*1.25+4,I2321*1.25+5))),
""))),2)</f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>IF(
OR(
ISNUMBER(SEARCH("BACKPACK",B2323)),
ISNUMBER(SEARCH("MOCHILA",B2323)),
ISNUMBER(SEARCH("FUNDA",B2323)),
ISNUMBER(SEARCH("ESTUCHE",B2323)),
ISNUMBER(SEARCH("BOOK COVER",B2323)),
ISNUMBER(SEARCH("KEYBOARD PARA TABLET",B2323)),
ISNUMBER(SEARCH("FLIP TABLET",B2323)),
ISNUMBER(SEARCH("CASE FOR TABLET",B2323)),
ISNUMBER(SEARCH("CABLE",B2323)),
ISNUMBER(SEARCH("ADAPTADOR",B2323)),
ISNUMBER(SEARCH("HUB",B2323)),
ISNUMBER(SEARCH("DOCK",B2323)),
ISNUMBER(SEARCH("MOUSE PAD",B2323)),
ISNUMBER(SEARCH("MOUSEPAD",B2323)),
ISNUMBER(SEARCH("SOPORTE",B2323)),
ISNUMBER(SEARCH("STAND",B2323)),
ISNUMBER(SEARCH("TRAVEL ADAPTER",B2323)),
ISNUMBER(SEARCH("RJ45",B2323)),
ISNUMBER(SEARCH("USB-C",B2323)),
ISNUMBER(SEARCH("USB WIFI",B2323)),
ISNUMBER(SEARCH("POWERBANK",B2323)),
ISNUMBER(SEARCH("CARGADOR",B2323)),
ISNUMBER(SEARCH("COOLER PARA NB",B2323)),
ISNUMBER(SEARCH("SOPORTE PARA NB",B2323)),
ISNUMBER(SEARCH("WEBCAM",B2323)),
ISNUMBER(SEARCH("WEB CAM",B2323)),
ISNUMBER(SEARCH("MOUSE",B2323)),
ISNUMBER(SEARCH("TECLADO",B2323))
),
"COMPLEMENTO",
IF(
OR(
LEFT(A2323,2)="NB",
LEFT(A2323,2)="PC",
LEFT(A2323,2)="WS",
LEFT(A2323,2)="TB",
LEFT(A2323,3)="CEL",
LEFT(A2323,3)="MON",
LEFT(A2323,3)="PRE",
LEFT(A2323,3)="PRH",
ISNUMBER(SEARCH("NOTEBOOK",B2323)),
ISNUMBER(SEARCH("LAPTOP",B2323)),
ISNUMBER(SEARCH("MONITOR",B2323)),
ISNUMBER(SEARCH("TABLET",B2323)),
ISNUMBER(SEARCH("SMARTPH",B2323)),
ISNUMBER(SEARCH("IMPRESORA",B2323)),
ISNUMBER(SEARCH("MULTIFUNCIONAL",B2323)),
ISNUMBER(SEARCH("AIO",B2323))
),
"GANCHO",
"NORMAL"
)
)</f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>ROUND(
IF(L2320="GANCHO",
   IF(I2322&lt;=50,I2322*1.1+4,IF(I2322&lt;=120,I2322*1.1+7,IF(I2322&lt;=250,I2322*1.1+11,I2322*1.1+19))),
IF(L2320="NORMAL",
   IF(I2322&lt;=30,I2322*1.15+2,IF(I2322&lt;=80,I2322*1.15+4,IF(I2322&lt;=150,I2322*1.15+6,I2322*1.15+8))),
IF(L2320="COMPLEMENTO",
   IF(I2322&lt;=25,I2322*1.25+1.5,IF(I2322&lt;=60,I2322*1.25+3,IF(I2322&lt;=120,I2322*1.25+4,I2322*1.25+5))),
""))),2)</f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>IF(
OR(
ISNUMBER(SEARCH("BACKPACK",B2324)),
ISNUMBER(SEARCH("MOCHILA",B2324)),
ISNUMBER(SEARCH("FUNDA",B2324)),
ISNUMBER(SEARCH("ESTUCHE",B2324)),
ISNUMBER(SEARCH("BOOK COVER",B2324)),
ISNUMBER(SEARCH("KEYBOARD PARA TABLET",B2324)),
ISNUMBER(SEARCH("FLIP TABLET",B2324)),
ISNUMBER(SEARCH("CASE FOR TABLET",B2324)),
ISNUMBER(SEARCH("CABLE",B2324)),
ISNUMBER(SEARCH("ADAPTADOR",B2324)),
ISNUMBER(SEARCH("HUB",B2324)),
ISNUMBER(SEARCH("DOCK",B2324)),
ISNUMBER(SEARCH("MOUSE PAD",B2324)),
ISNUMBER(SEARCH("MOUSEPAD",B2324)),
ISNUMBER(SEARCH("SOPORTE",B2324)),
ISNUMBER(SEARCH("STAND",B2324)),
ISNUMBER(SEARCH("TRAVEL ADAPTER",B2324)),
ISNUMBER(SEARCH("RJ45",B2324)),
ISNUMBER(SEARCH("USB-C",B2324)),
ISNUMBER(SEARCH("USB WIFI",B2324)),
ISNUMBER(SEARCH("POWERBANK",B2324)),
ISNUMBER(SEARCH("CARGADOR",B2324)),
ISNUMBER(SEARCH("COOLER PARA NB",B2324)),
ISNUMBER(SEARCH("SOPORTE PARA NB",B2324)),
ISNUMBER(SEARCH("WEBCAM",B2324)),
ISNUMBER(SEARCH("WEB CAM",B2324)),
ISNUMBER(SEARCH("MOUSE",B2324)),
ISNUMBER(SEARCH("TECLADO",B2324))
),
"COMPLEMENTO",
IF(
OR(
LEFT(A2324,2)="NB",
LEFT(A2324,2)="PC",
LEFT(A2324,2)="WS",
LEFT(A2324,2)="TB",
LEFT(A2324,3)="CEL",
LEFT(A2324,3)="MON",
LEFT(A2324,3)="PRE",
LEFT(A2324,3)="PRH",
ISNUMBER(SEARCH("NOTEBOOK",B2324)),
ISNUMBER(SEARCH("LAPTOP",B2324)),
ISNUMBER(SEARCH("MONITOR",B2324)),
ISNUMBER(SEARCH("TABLET",B2324)),
ISNUMBER(SEARCH("SMARTPH",B2324)),
ISNUMBER(SEARCH("IMPRESORA",B2324)),
ISNUMBER(SEARCH("MULTIFUNCIONAL",B2324)),
ISNUMBER(SEARCH("AIO",B2324))
),
"GANCHO",
"NORMAL"
)
)</f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>ROUND(
IF(L2321="GANCHO",
   IF(I2323&lt;=50,I2323*1.1+4,IF(I2323&lt;=120,I2323*1.1+7,IF(I2323&lt;=250,I2323*1.1+11,I2323*1.1+19))),
IF(L2321="NORMAL",
   IF(I2323&lt;=30,I2323*1.15+2,IF(I2323&lt;=80,I2323*1.15+4,IF(I2323&lt;=150,I2323*1.15+6,I2323*1.15+8))),
IF(L2321="COMPLEMENTO",
   IF(I2323&lt;=25,I2323*1.25+1.5,IF(I2323&lt;=60,I2323*1.25+3,IF(I2323&lt;=120,I2323*1.25+4,I2323*1.25+5))),
""))),2)</f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>IF(
OR(
ISNUMBER(SEARCH("BACKPACK",B2325)),
ISNUMBER(SEARCH("MOCHILA",B2325)),
ISNUMBER(SEARCH("FUNDA",B2325)),
ISNUMBER(SEARCH("ESTUCHE",B2325)),
ISNUMBER(SEARCH("BOOK COVER",B2325)),
ISNUMBER(SEARCH("KEYBOARD PARA TABLET",B2325)),
ISNUMBER(SEARCH("FLIP TABLET",B2325)),
ISNUMBER(SEARCH("CASE FOR TABLET",B2325)),
ISNUMBER(SEARCH("CABLE",B2325)),
ISNUMBER(SEARCH("ADAPTADOR",B2325)),
ISNUMBER(SEARCH("HUB",B2325)),
ISNUMBER(SEARCH("DOCK",B2325)),
ISNUMBER(SEARCH("MOUSE PAD",B2325)),
ISNUMBER(SEARCH("MOUSEPAD",B2325)),
ISNUMBER(SEARCH("SOPORTE",B2325)),
ISNUMBER(SEARCH("STAND",B2325)),
ISNUMBER(SEARCH("TRAVEL ADAPTER",B2325)),
ISNUMBER(SEARCH("RJ45",B2325)),
ISNUMBER(SEARCH("USB-C",B2325)),
ISNUMBER(SEARCH("USB WIFI",B2325)),
ISNUMBER(SEARCH("POWERBANK",B2325)),
ISNUMBER(SEARCH("CARGADOR",B2325)),
ISNUMBER(SEARCH("COOLER PARA NB",B2325)),
ISNUMBER(SEARCH("SOPORTE PARA NB",B2325)),
ISNUMBER(SEARCH("WEBCAM",B2325)),
ISNUMBER(SEARCH("WEB CAM",B2325)),
ISNUMBER(SEARCH("MOUSE",B2325)),
ISNUMBER(SEARCH("TECLADO",B2325))
),
"COMPLEMENTO",
IF(
OR(
LEFT(A2325,2)="NB",
LEFT(A2325,2)="PC",
LEFT(A2325,2)="WS",
LEFT(A2325,2)="TB",
LEFT(A2325,3)="CEL",
LEFT(A2325,3)="MON",
LEFT(A2325,3)="PRE",
LEFT(A2325,3)="PRH",
ISNUMBER(SEARCH("NOTEBOOK",B2325)),
ISNUMBER(SEARCH("LAPTOP",B2325)),
ISNUMBER(SEARCH("MONITOR",B2325)),
ISNUMBER(SEARCH("TABLET",B2325)),
ISNUMBER(SEARCH("SMARTPH",B2325)),
ISNUMBER(SEARCH("IMPRESORA",B2325)),
ISNUMBER(SEARCH("MULTIFUNCIONAL",B2325)),
ISNUMBER(SEARCH("AIO",B2325))
),
"GANCHO",
"NORMAL"
)
)</f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>ROUND(
IF(L2322="GANCHO",
   IF(I2324&lt;=50,I2324*1.1+4,IF(I2324&lt;=120,I2324*1.1+7,IF(I2324&lt;=250,I2324*1.1+11,I2324*1.1+19))),
IF(L2322="NORMAL",
   IF(I2324&lt;=30,I2324*1.15+2,IF(I2324&lt;=80,I2324*1.15+4,IF(I2324&lt;=150,I2324*1.15+6,I2324*1.15+8))),
IF(L2322="COMPLEMENTO",
   IF(I2324&lt;=25,I2324*1.25+1.5,IF(I2324&lt;=60,I2324*1.25+3,IF(I2324&lt;=120,I2324*1.25+4,I2324*1.25+5))),
""))),2)</f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>IF(
OR(
ISNUMBER(SEARCH("BACKPACK",B2326)),
ISNUMBER(SEARCH("MOCHILA",B2326)),
ISNUMBER(SEARCH("FUNDA",B2326)),
ISNUMBER(SEARCH("ESTUCHE",B2326)),
ISNUMBER(SEARCH("BOOK COVER",B2326)),
ISNUMBER(SEARCH("KEYBOARD PARA TABLET",B2326)),
ISNUMBER(SEARCH("FLIP TABLET",B2326)),
ISNUMBER(SEARCH("CASE FOR TABLET",B2326)),
ISNUMBER(SEARCH("CABLE",B2326)),
ISNUMBER(SEARCH("ADAPTADOR",B2326)),
ISNUMBER(SEARCH("HUB",B2326)),
ISNUMBER(SEARCH("DOCK",B2326)),
ISNUMBER(SEARCH("MOUSE PAD",B2326)),
ISNUMBER(SEARCH("MOUSEPAD",B2326)),
ISNUMBER(SEARCH("SOPORTE",B2326)),
ISNUMBER(SEARCH("STAND",B2326)),
ISNUMBER(SEARCH("TRAVEL ADAPTER",B2326)),
ISNUMBER(SEARCH("RJ45",B2326)),
ISNUMBER(SEARCH("USB-C",B2326)),
ISNUMBER(SEARCH("USB WIFI",B2326)),
ISNUMBER(SEARCH("POWERBANK",B2326)),
ISNUMBER(SEARCH("CARGADOR",B2326)),
ISNUMBER(SEARCH("COOLER PARA NB",B2326)),
ISNUMBER(SEARCH("SOPORTE PARA NB",B2326)),
ISNUMBER(SEARCH("WEBCAM",B2326)),
ISNUMBER(SEARCH("WEB CAM",B2326)),
ISNUMBER(SEARCH("MOUSE",B2326)),
ISNUMBER(SEARCH("TECLADO",B2326))
),
"COMPLEMENTO",
IF(
OR(
LEFT(A2326,2)="NB",
LEFT(A2326,2)="PC",
LEFT(A2326,2)="WS",
LEFT(A2326,2)="TB",
LEFT(A2326,3)="CEL",
LEFT(A2326,3)="MON",
LEFT(A2326,3)="PRE",
LEFT(A2326,3)="PRH",
ISNUMBER(SEARCH("NOTEBOOK",B2326)),
ISNUMBER(SEARCH("LAPTOP",B2326)),
ISNUMBER(SEARCH("MONITOR",B2326)),
ISNUMBER(SEARCH("TABLET",B2326)),
ISNUMBER(SEARCH("SMARTPH",B2326)),
ISNUMBER(SEARCH("IMPRESORA",B2326)),
ISNUMBER(SEARCH("MULTIFUNCIONAL",B2326)),
ISNUMBER(SEARCH("AIO",B2326))
),
"GANCHO",
"NORMAL"
)
)</f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>ROUND(
IF(L2323="GANCHO",
   IF(I2325&lt;=50,I2325*1.1+4,IF(I2325&lt;=120,I2325*1.1+7,IF(I2325&lt;=250,I2325*1.1+11,I2325*1.1+19))),
IF(L2323="NORMAL",
   IF(I2325&lt;=30,I2325*1.15+2,IF(I2325&lt;=80,I2325*1.15+4,IF(I2325&lt;=150,I2325*1.15+6,I2325*1.15+8))),
IF(L2323="COMPLEMENTO",
   IF(I2325&lt;=25,I2325*1.25+1.5,IF(I2325&lt;=60,I2325*1.25+3,IF(I2325&lt;=120,I2325*1.25+4,I2325*1.25+5))),
""))),2)</f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>IF(
OR(
ISNUMBER(SEARCH("BACKPACK",B2327)),
ISNUMBER(SEARCH("MOCHILA",B2327)),
ISNUMBER(SEARCH("FUNDA",B2327)),
ISNUMBER(SEARCH("ESTUCHE",B2327)),
ISNUMBER(SEARCH("BOOK COVER",B2327)),
ISNUMBER(SEARCH("KEYBOARD PARA TABLET",B2327)),
ISNUMBER(SEARCH("FLIP TABLET",B2327)),
ISNUMBER(SEARCH("CASE FOR TABLET",B2327)),
ISNUMBER(SEARCH("CABLE",B2327)),
ISNUMBER(SEARCH("ADAPTADOR",B2327)),
ISNUMBER(SEARCH("HUB",B2327)),
ISNUMBER(SEARCH("DOCK",B2327)),
ISNUMBER(SEARCH("MOUSE PAD",B2327)),
ISNUMBER(SEARCH("MOUSEPAD",B2327)),
ISNUMBER(SEARCH("SOPORTE",B2327)),
ISNUMBER(SEARCH("STAND",B2327)),
ISNUMBER(SEARCH("TRAVEL ADAPTER",B2327)),
ISNUMBER(SEARCH("RJ45",B2327)),
ISNUMBER(SEARCH("USB-C",B2327)),
ISNUMBER(SEARCH("USB WIFI",B2327)),
ISNUMBER(SEARCH("POWERBANK",B2327)),
ISNUMBER(SEARCH("CARGADOR",B2327)),
ISNUMBER(SEARCH("COOLER PARA NB",B2327)),
ISNUMBER(SEARCH("SOPORTE PARA NB",B2327)),
ISNUMBER(SEARCH("WEBCAM",B2327)),
ISNUMBER(SEARCH("WEB CAM",B2327)),
ISNUMBER(SEARCH("MOUSE",B2327)),
ISNUMBER(SEARCH("TECLADO",B2327))
),
"COMPLEMENTO",
IF(
OR(
LEFT(A2327,2)="NB",
LEFT(A2327,2)="PC",
LEFT(A2327,2)="WS",
LEFT(A2327,2)="TB",
LEFT(A2327,3)="CEL",
LEFT(A2327,3)="MON",
LEFT(A2327,3)="PRE",
LEFT(A2327,3)="PRH",
ISNUMBER(SEARCH("NOTEBOOK",B2327)),
ISNUMBER(SEARCH("LAPTOP",B2327)),
ISNUMBER(SEARCH("MONITOR",B2327)),
ISNUMBER(SEARCH("TABLET",B2327)),
ISNUMBER(SEARCH("SMARTPH",B2327)),
ISNUMBER(SEARCH("IMPRESORA",B2327)),
ISNUMBER(SEARCH("MULTIFUNCIONAL",B2327)),
ISNUMBER(SEARCH("AIO",B2327))
),
"GANCHO",
"NORMAL"
)
)</f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>ROUND(
IF(L2324="GANCHO",
   IF(I2326&lt;=50,I2326*1.1+4,IF(I2326&lt;=120,I2326*1.1+7,IF(I2326&lt;=250,I2326*1.1+11,I2326*1.1+19))),
IF(L2324="NORMAL",
   IF(I2326&lt;=30,I2326*1.15+2,IF(I2326&lt;=80,I2326*1.15+4,IF(I2326&lt;=150,I2326*1.15+6,I2326*1.15+8))),
IF(L2324="COMPLEMENTO",
   IF(I2326&lt;=25,I2326*1.25+1.5,IF(I2326&lt;=60,I2326*1.25+3,IF(I2326&lt;=120,I2326*1.25+4,I2326*1.25+5))),
""))),2)</f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>IF(
OR(
ISNUMBER(SEARCH("BACKPACK",B2328)),
ISNUMBER(SEARCH("MOCHILA",B2328)),
ISNUMBER(SEARCH("FUNDA",B2328)),
ISNUMBER(SEARCH("ESTUCHE",B2328)),
ISNUMBER(SEARCH("BOOK COVER",B2328)),
ISNUMBER(SEARCH("KEYBOARD PARA TABLET",B2328)),
ISNUMBER(SEARCH("FLIP TABLET",B2328)),
ISNUMBER(SEARCH("CASE FOR TABLET",B2328)),
ISNUMBER(SEARCH("CABLE",B2328)),
ISNUMBER(SEARCH("ADAPTADOR",B2328)),
ISNUMBER(SEARCH("HUB",B2328)),
ISNUMBER(SEARCH("DOCK",B2328)),
ISNUMBER(SEARCH("MOUSE PAD",B2328)),
ISNUMBER(SEARCH("MOUSEPAD",B2328)),
ISNUMBER(SEARCH("SOPORTE",B2328)),
ISNUMBER(SEARCH("STAND",B2328)),
ISNUMBER(SEARCH("TRAVEL ADAPTER",B2328)),
ISNUMBER(SEARCH("RJ45",B2328)),
ISNUMBER(SEARCH("USB-C",B2328)),
ISNUMBER(SEARCH("USB WIFI",B2328)),
ISNUMBER(SEARCH("POWERBANK",B2328)),
ISNUMBER(SEARCH("CARGADOR",B2328)),
ISNUMBER(SEARCH("COOLER PARA NB",B2328)),
ISNUMBER(SEARCH("SOPORTE PARA NB",B2328)),
ISNUMBER(SEARCH("WEBCAM",B2328)),
ISNUMBER(SEARCH("WEB CAM",B2328)),
ISNUMBER(SEARCH("MOUSE",B2328)),
ISNUMBER(SEARCH("TECLADO",B2328))
),
"COMPLEMENTO",
IF(
OR(
LEFT(A2328,2)="NB",
LEFT(A2328,2)="PC",
LEFT(A2328,2)="WS",
LEFT(A2328,2)="TB",
LEFT(A2328,3)="CEL",
LEFT(A2328,3)="MON",
LEFT(A2328,3)="PRE",
LEFT(A2328,3)="PRH",
ISNUMBER(SEARCH("NOTEBOOK",B2328)),
ISNUMBER(SEARCH("LAPTOP",B2328)),
ISNUMBER(SEARCH("MONITOR",B2328)),
ISNUMBER(SEARCH("TABLET",B2328)),
ISNUMBER(SEARCH("SMARTPH",B2328)),
ISNUMBER(SEARCH("IMPRESORA",B2328)),
ISNUMBER(SEARCH("MULTIFUNCIONAL",B2328)),
ISNUMBER(SEARCH("AIO",B2328))
),
"GANCHO",
"NORMAL"
)
)</f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>ROUND(
IF(L2325="GANCHO",
   IF(I2327&lt;=50,I2327*1.1+4,IF(I2327&lt;=120,I2327*1.1+7,IF(I2327&lt;=250,I2327*1.1+11,I2327*1.1+19))),
IF(L2325="NORMAL",
   IF(I2327&lt;=30,I2327*1.15+2,IF(I2327&lt;=80,I2327*1.15+4,IF(I2327&lt;=150,I2327*1.15+6,I2327*1.15+8))),
IF(L2325="COMPLEMENTO",
   IF(I2327&lt;=25,I2327*1.25+1.5,IF(I2327&lt;=60,I2327*1.25+3,IF(I2327&lt;=120,I2327*1.25+4,I2327*1.25+5))),
""))),2)</f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>IF(
OR(
ISNUMBER(SEARCH("BACKPACK",B2329)),
ISNUMBER(SEARCH("MOCHILA",B2329)),
ISNUMBER(SEARCH("FUNDA",B2329)),
ISNUMBER(SEARCH("ESTUCHE",B2329)),
ISNUMBER(SEARCH("BOOK COVER",B2329)),
ISNUMBER(SEARCH("KEYBOARD PARA TABLET",B2329)),
ISNUMBER(SEARCH("FLIP TABLET",B2329)),
ISNUMBER(SEARCH("CASE FOR TABLET",B2329)),
ISNUMBER(SEARCH("CABLE",B2329)),
ISNUMBER(SEARCH("ADAPTADOR",B2329)),
ISNUMBER(SEARCH("HUB",B2329)),
ISNUMBER(SEARCH("DOCK",B2329)),
ISNUMBER(SEARCH("MOUSE PAD",B2329)),
ISNUMBER(SEARCH("MOUSEPAD",B2329)),
ISNUMBER(SEARCH("SOPORTE",B2329)),
ISNUMBER(SEARCH("STAND",B2329)),
ISNUMBER(SEARCH("TRAVEL ADAPTER",B2329)),
ISNUMBER(SEARCH("RJ45",B2329)),
ISNUMBER(SEARCH("USB-C",B2329)),
ISNUMBER(SEARCH("USB WIFI",B2329)),
ISNUMBER(SEARCH("POWERBANK",B2329)),
ISNUMBER(SEARCH("CARGADOR",B2329)),
ISNUMBER(SEARCH("COOLER PARA NB",B2329)),
ISNUMBER(SEARCH("SOPORTE PARA NB",B2329)),
ISNUMBER(SEARCH("WEBCAM",B2329)),
ISNUMBER(SEARCH("WEB CAM",B2329)),
ISNUMBER(SEARCH("MOUSE",B2329)),
ISNUMBER(SEARCH("TECLADO",B2329))
),
"COMPLEMENTO",
IF(
OR(
LEFT(A2329,2)="NB",
LEFT(A2329,2)="PC",
LEFT(A2329,2)="WS",
LEFT(A2329,2)="TB",
LEFT(A2329,3)="CEL",
LEFT(A2329,3)="MON",
LEFT(A2329,3)="PRE",
LEFT(A2329,3)="PRH",
ISNUMBER(SEARCH("NOTEBOOK",B2329)),
ISNUMBER(SEARCH("LAPTOP",B2329)),
ISNUMBER(SEARCH("MONITOR",B2329)),
ISNUMBER(SEARCH("TABLET",B2329)),
ISNUMBER(SEARCH("SMARTPH",B2329)),
ISNUMBER(SEARCH("IMPRESORA",B2329)),
ISNUMBER(SEARCH("MULTIFUNCIONAL",B2329)),
ISNUMBER(SEARCH("AIO",B2329))
),
"GANCHO",
"NORMAL"
)
)</f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>ROUND(
IF(L2326="GANCHO",
   IF(I2328&lt;=50,I2328*1.1+4,IF(I2328&lt;=120,I2328*1.1+7,IF(I2328&lt;=250,I2328*1.1+11,I2328*1.1+19))),
IF(L2326="NORMAL",
   IF(I2328&lt;=30,I2328*1.15+2,IF(I2328&lt;=80,I2328*1.15+4,IF(I2328&lt;=150,I2328*1.15+6,I2328*1.15+8))),
IF(L2326="COMPLEMENTO",
   IF(I2328&lt;=25,I2328*1.25+1.5,IF(I2328&lt;=60,I2328*1.25+3,IF(I2328&lt;=120,I2328*1.25+4,I2328*1.25+5))),
""))),2)</f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>IF(
OR(
ISNUMBER(SEARCH("BACKPACK",B2330)),
ISNUMBER(SEARCH("MOCHILA",B2330)),
ISNUMBER(SEARCH("FUNDA",B2330)),
ISNUMBER(SEARCH("ESTUCHE",B2330)),
ISNUMBER(SEARCH("BOOK COVER",B2330)),
ISNUMBER(SEARCH("KEYBOARD PARA TABLET",B2330)),
ISNUMBER(SEARCH("FLIP TABLET",B2330)),
ISNUMBER(SEARCH("CASE FOR TABLET",B2330)),
ISNUMBER(SEARCH("CABLE",B2330)),
ISNUMBER(SEARCH("ADAPTADOR",B2330)),
ISNUMBER(SEARCH("HUB",B2330)),
ISNUMBER(SEARCH("DOCK",B2330)),
ISNUMBER(SEARCH("MOUSE PAD",B2330)),
ISNUMBER(SEARCH("MOUSEPAD",B2330)),
ISNUMBER(SEARCH("SOPORTE",B2330)),
ISNUMBER(SEARCH("STAND",B2330)),
ISNUMBER(SEARCH("TRAVEL ADAPTER",B2330)),
ISNUMBER(SEARCH("RJ45",B2330)),
ISNUMBER(SEARCH("USB-C",B2330)),
ISNUMBER(SEARCH("USB WIFI",B2330)),
ISNUMBER(SEARCH("POWERBANK",B2330)),
ISNUMBER(SEARCH("CARGADOR",B2330)),
ISNUMBER(SEARCH("COOLER PARA NB",B2330)),
ISNUMBER(SEARCH("SOPORTE PARA NB",B2330)),
ISNUMBER(SEARCH("WEBCAM",B2330)),
ISNUMBER(SEARCH("WEB CAM",B2330)),
ISNUMBER(SEARCH("MOUSE",B2330)),
ISNUMBER(SEARCH("TECLADO",B2330))
),
"COMPLEMENTO",
IF(
OR(
LEFT(A2330,2)="NB",
LEFT(A2330,2)="PC",
LEFT(A2330,2)="WS",
LEFT(A2330,2)="TB",
LEFT(A2330,3)="CEL",
LEFT(A2330,3)="MON",
LEFT(A2330,3)="PRE",
LEFT(A2330,3)="PRH",
ISNUMBER(SEARCH("NOTEBOOK",B2330)),
ISNUMBER(SEARCH("LAPTOP",B2330)),
ISNUMBER(SEARCH("MONITOR",B2330)),
ISNUMBER(SEARCH("TABLET",B2330)),
ISNUMBER(SEARCH("SMARTPH",B2330)),
ISNUMBER(SEARCH("IMPRESORA",B2330)),
ISNUMBER(SEARCH("MULTIFUNCIONAL",B2330)),
ISNUMBER(SEARCH("AIO",B2330))
),
"GANCHO",
"NORMAL"
)
)</f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>ROUND(
IF(L2327="GANCHO",
   IF(I2329&lt;=50,I2329*1.1+4,IF(I2329&lt;=120,I2329*1.1+7,IF(I2329&lt;=250,I2329*1.1+11,I2329*1.1+19))),
IF(L2327="NORMAL",
   IF(I2329&lt;=30,I2329*1.15+2,IF(I2329&lt;=80,I2329*1.15+4,IF(I2329&lt;=150,I2329*1.15+6,I2329*1.15+8))),
IF(L2327="COMPLEMENTO",
   IF(I2329&lt;=25,I2329*1.25+1.5,IF(I2329&lt;=60,I2329*1.25+3,IF(I2329&lt;=120,I2329*1.25+4,I2329*1.25+5))),
""))),2)</f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>IF(
OR(
ISNUMBER(SEARCH("BACKPACK",B2331)),
ISNUMBER(SEARCH("MOCHILA",B2331)),
ISNUMBER(SEARCH("FUNDA",B2331)),
ISNUMBER(SEARCH("ESTUCHE",B2331)),
ISNUMBER(SEARCH("BOOK COVER",B2331)),
ISNUMBER(SEARCH("KEYBOARD PARA TABLET",B2331)),
ISNUMBER(SEARCH("FLIP TABLET",B2331)),
ISNUMBER(SEARCH("CASE FOR TABLET",B2331)),
ISNUMBER(SEARCH("CABLE",B2331)),
ISNUMBER(SEARCH("ADAPTADOR",B2331)),
ISNUMBER(SEARCH("HUB",B2331)),
ISNUMBER(SEARCH("DOCK",B2331)),
ISNUMBER(SEARCH("MOUSE PAD",B2331)),
ISNUMBER(SEARCH("MOUSEPAD",B2331)),
ISNUMBER(SEARCH("SOPORTE",B2331)),
ISNUMBER(SEARCH("STAND",B2331)),
ISNUMBER(SEARCH("TRAVEL ADAPTER",B2331)),
ISNUMBER(SEARCH("RJ45",B2331)),
ISNUMBER(SEARCH("USB-C",B2331)),
ISNUMBER(SEARCH("USB WIFI",B2331)),
ISNUMBER(SEARCH("POWERBANK",B2331)),
ISNUMBER(SEARCH("CARGADOR",B2331)),
ISNUMBER(SEARCH("COOLER PARA NB",B2331)),
ISNUMBER(SEARCH("SOPORTE PARA NB",B2331)),
ISNUMBER(SEARCH("WEBCAM",B2331)),
ISNUMBER(SEARCH("WEB CAM",B2331)),
ISNUMBER(SEARCH("MOUSE",B2331)),
ISNUMBER(SEARCH("TECLADO",B2331))
),
"COMPLEMENTO",
IF(
OR(
LEFT(A2331,2)="NB",
LEFT(A2331,2)="PC",
LEFT(A2331,2)="WS",
LEFT(A2331,2)="TB",
LEFT(A2331,3)="CEL",
LEFT(A2331,3)="MON",
LEFT(A2331,3)="PRE",
LEFT(A2331,3)="PRH",
ISNUMBER(SEARCH("NOTEBOOK",B2331)),
ISNUMBER(SEARCH("LAPTOP",B2331)),
ISNUMBER(SEARCH("MONITOR",B2331)),
ISNUMBER(SEARCH("TABLET",B2331)),
ISNUMBER(SEARCH("SMARTPH",B2331)),
ISNUMBER(SEARCH("IMPRESORA",B2331)),
ISNUMBER(SEARCH("MULTIFUNCIONAL",B2331)),
ISNUMBER(SEARCH("AIO",B2331))
),
"GANCHO",
"NORMAL"
)
)</f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>ROUND(
IF(L2328="GANCHO",
   IF(I2330&lt;=50,I2330*1.1+4,IF(I2330&lt;=120,I2330*1.1+7,IF(I2330&lt;=250,I2330*1.1+11,I2330*1.1+19))),
IF(L2328="NORMAL",
   IF(I2330&lt;=30,I2330*1.15+2,IF(I2330&lt;=80,I2330*1.15+4,IF(I2330&lt;=150,I2330*1.15+6,I2330*1.15+8))),
IF(L2328="COMPLEMENTO",
   IF(I2330&lt;=25,I2330*1.25+1.5,IF(I2330&lt;=60,I2330*1.25+3,IF(I2330&lt;=120,I2330*1.25+4,I2330*1.25+5))),
""))),2)</f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>IF(
OR(
ISNUMBER(SEARCH("BACKPACK",B2332)),
ISNUMBER(SEARCH("MOCHILA",B2332)),
ISNUMBER(SEARCH("FUNDA",B2332)),
ISNUMBER(SEARCH("ESTUCHE",B2332)),
ISNUMBER(SEARCH("BOOK COVER",B2332)),
ISNUMBER(SEARCH("KEYBOARD PARA TABLET",B2332)),
ISNUMBER(SEARCH("FLIP TABLET",B2332)),
ISNUMBER(SEARCH("CASE FOR TABLET",B2332)),
ISNUMBER(SEARCH("CABLE",B2332)),
ISNUMBER(SEARCH("ADAPTADOR",B2332)),
ISNUMBER(SEARCH("HUB",B2332)),
ISNUMBER(SEARCH("DOCK",B2332)),
ISNUMBER(SEARCH("MOUSE PAD",B2332)),
ISNUMBER(SEARCH("MOUSEPAD",B2332)),
ISNUMBER(SEARCH("SOPORTE",B2332)),
ISNUMBER(SEARCH("STAND",B2332)),
ISNUMBER(SEARCH("TRAVEL ADAPTER",B2332)),
ISNUMBER(SEARCH("RJ45",B2332)),
ISNUMBER(SEARCH("USB-C",B2332)),
ISNUMBER(SEARCH("USB WIFI",B2332)),
ISNUMBER(SEARCH("POWERBANK",B2332)),
ISNUMBER(SEARCH("CARGADOR",B2332)),
ISNUMBER(SEARCH("COOLER PARA NB",B2332)),
ISNUMBER(SEARCH("SOPORTE PARA NB",B2332)),
ISNUMBER(SEARCH("WEBCAM",B2332)),
ISNUMBER(SEARCH("WEB CAM",B2332)),
ISNUMBER(SEARCH("MOUSE",B2332)),
ISNUMBER(SEARCH("TECLADO",B2332))
),
"COMPLEMENTO",
IF(
OR(
LEFT(A2332,2)="NB",
LEFT(A2332,2)="PC",
LEFT(A2332,2)="WS",
LEFT(A2332,2)="TB",
LEFT(A2332,3)="CEL",
LEFT(A2332,3)="MON",
LEFT(A2332,3)="PRE",
LEFT(A2332,3)="PRH",
ISNUMBER(SEARCH("NOTEBOOK",B2332)),
ISNUMBER(SEARCH("LAPTOP",B2332)),
ISNUMBER(SEARCH("MONITOR",B2332)),
ISNUMBER(SEARCH("TABLET",B2332)),
ISNUMBER(SEARCH("SMARTPH",B2332)),
ISNUMBER(SEARCH("IMPRESORA",B2332)),
ISNUMBER(SEARCH("MULTIFUNCIONAL",B2332)),
ISNUMBER(SEARCH("AIO",B2332))
),
"GANCHO",
"NORMAL"
)
)</f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>ROUND(
IF(L2329="GANCHO",
   IF(I2331&lt;=50,I2331*1.1+4,IF(I2331&lt;=120,I2331*1.1+7,IF(I2331&lt;=250,I2331*1.1+11,I2331*1.1+19))),
IF(L2329="NORMAL",
   IF(I2331&lt;=30,I2331*1.15+2,IF(I2331&lt;=80,I2331*1.15+4,IF(I2331&lt;=150,I2331*1.15+6,I2331*1.15+8))),
IF(L2329="COMPLEMENTO",
   IF(I2331&lt;=25,I2331*1.25+1.5,IF(I2331&lt;=60,I2331*1.25+3,IF(I2331&lt;=120,I2331*1.25+4,I2331*1.25+5))),
""))),2)</f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>IF(
OR(
ISNUMBER(SEARCH("BACKPACK",B2333)),
ISNUMBER(SEARCH("MOCHILA",B2333)),
ISNUMBER(SEARCH("FUNDA",B2333)),
ISNUMBER(SEARCH("ESTUCHE",B2333)),
ISNUMBER(SEARCH("BOOK COVER",B2333)),
ISNUMBER(SEARCH("KEYBOARD PARA TABLET",B2333)),
ISNUMBER(SEARCH("FLIP TABLET",B2333)),
ISNUMBER(SEARCH("CASE FOR TABLET",B2333)),
ISNUMBER(SEARCH("CABLE",B2333)),
ISNUMBER(SEARCH("ADAPTADOR",B2333)),
ISNUMBER(SEARCH("HUB",B2333)),
ISNUMBER(SEARCH("DOCK",B2333)),
ISNUMBER(SEARCH("MOUSE PAD",B2333)),
ISNUMBER(SEARCH("MOUSEPAD",B2333)),
ISNUMBER(SEARCH("SOPORTE",B2333)),
ISNUMBER(SEARCH("STAND",B2333)),
ISNUMBER(SEARCH("TRAVEL ADAPTER",B2333)),
ISNUMBER(SEARCH("RJ45",B2333)),
ISNUMBER(SEARCH("USB-C",B2333)),
ISNUMBER(SEARCH("USB WIFI",B2333)),
ISNUMBER(SEARCH("POWERBANK",B2333)),
ISNUMBER(SEARCH("CARGADOR",B2333)),
ISNUMBER(SEARCH("COOLER PARA NB",B2333)),
ISNUMBER(SEARCH("SOPORTE PARA NB",B2333)),
ISNUMBER(SEARCH("WEBCAM",B2333)),
ISNUMBER(SEARCH("WEB CAM",B2333)),
ISNUMBER(SEARCH("MOUSE",B2333)),
ISNUMBER(SEARCH("TECLADO",B2333))
),
"COMPLEMENTO",
IF(
OR(
LEFT(A2333,2)="NB",
LEFT(A2333,2)="PC",
LEFT(A2333,2)="WS",
LEFT(A2333,2)="TB",
LEFT(A2333,3)="CEL",
LEFT(A2333,3)="MON",
LEFT(A2333,3)="PRE",
LEFT(A2333,3)="PRH",
ISNUMBER(SEARCH("NOTEBOOK",B2333)),
ISNUMBER(SEARCH("LAPTOP",B2333)),
ISNUMBER(SEARCH("MONITOR",B2333)),
ISNUMBER(SEARCH("TABLET",B2333)),
ISNUMBER(SEARCH("SMARTPH",B2333)),
ISNUMBER(SEARCH("IMPRESORA",B2333)),
ISNUMBER(SEARCH("MULTIFUNCIONAL",B2333)),
ISNUMBER(SEARCH("AIO",B2333))
),
"GANCHO",
"NORMAL"
)
)</f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>ROUND(
IF(L2330="GANCHO",
   IF(I2332&lt;=50,I2332*1.1+4,IF(I2332&lt;=120,I2332*1.1+7,IF(I2332&lt;=250,I2332*1.1+11,I2332*1.1+19))),
IF(L2330="NORMAL",
   IF(I2332&lt;=30,I2332*1.15+2,IF(I2332&lt;=80,I2332*1.15+4,IF(I2332&lt;=150,I2332*1.15+6,I2332*1.15+8))),
IF(L2330="COMPLEMENTO",
   IF(I2332&lt;=25,I2332*1.25+1.5,IF(I2332&lt;=60,I2332*1.25+3,IF(I2332&lt;=120,I2332*1.25+4,I2332*1.25+5))),
""))),2)</f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>IF(
OR(
ISNUMBER(SEARCH("BACKPACK",B2334)),
ISNUMBER(SEARCH("MOCHILA",B2334)),
ISNUMBER(SEARCH("FUNDA",B2334)),
ISNUMBER(SEARCH("ESTUCHE",B2334)),
ISNUMBER(SEARCH("BOOK COVER",B2334)),
ISNUMBER(SEARCH("KEYBOARD PARA TABLET",B2334)),
ISNUMBER(SEARCH("FLIP TABLET",B2334)),
ISNUMBER(SEARCH("CASE FOR TABLET",B2334)),
ISNUMBER(SEARCH("CABLE",B2334)),
ISNUMBER(SEARCH("ADAPTADOR",B2334)),
ISNUMBER(SEARCH("HUB",B2334)),
ISNUMBER(SEARCH("DOCK",B2334)),
ISNUMBER(SEARCH("MOUSE PAD",B2334)),
ISNUMBER(SEARCH("MOUSEPAD",B2334)),
ISNUMBER(SEARCH("SOPORTE",B2334)),
ISNUMBER(SEARCH("STAND",B2334)),
ISNUMBER(SEARCH("TRAVEL ADAPTER",B2334)),
ISNUMBER(SEARCH("RJ45",B2334)),
ISNUMBER(SEARCH("USB-C",B2334)),
ISNUMBER(SEARCH("USB WIFI",B2334)),
ISNUMBER(SEARCH("POWERBANK",B2334)),
ISNUMBER(SEARCH("CARGADOR",B2334)),
ISNUMBER(SEARCH("COOLER PARA NB",B2334)),
ISNUMBER(SEARCH("SOPORTE PARA NB",B2334)),
ISNUMBER(SEARCH("WEBCAM",B2334)),
ISNUMBER(SEARCH("WEB CAM",B2334)),
ISNUMBER(SEARCH("MOUSE",B2334)),
ISNUMBER(SEARCH("TECLADO",B2334))
),
"COMPLEMENTO",
IF(
OR(
LEFT(A2334,2)="NB",
LEFT(A2334,2)="PC",
LEFT(A2334,2)="WS",
LEFT(A2334,2)="TB",
LEFT(A2334,3)="CEL",
LEFT(A2334,3)="MON",
LEFT(A2334,3)="PRE",
LEFT(A2334,3)="PRH",
ISNUMBER(SEARCH("NOTEBOOK",B2334)),
ISNUMBER(SEARCH("LAPTOP",B2334)),
ISNUMBER(SEARCH("MONITOR",B2334)),
ISNUMBER(SEARCH("TABLET",B2334)),
ISNUMBER(SEARCH("SMARTPH",B2334)),
ISNUMBER(SEARCH("IMPRESORA",B2334)),
ISNUMBER(SEARCH("MULTIFUNCIONAL",B2334)),
ISNUMBER(SEARCH("AIO",B2334))
),
"GANCHO",
"NORMAL"
)
)</f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>ROUND(
IF(L2331="GANCHO",
   IF(I2333&lt;=50,I2333*1.1+4,IF(I2333&lt;=120,I2333*1.1+7,IF(I2333&lt;=250,I2333*1.1+11,I2333*1.1+19))),
IF(L2331="NORMAL",
   IF(I2333&lt;=30,I2333*1.15+2,IF(I2333&lt;=80,I2333*1.15+4,IF(I2333&lt;=150,I2333*1.15+6,I2333*1.15+8))),
IF(L2331="COMPLEMENTO",
   IF(I2333&lt;=25,I2333*1.25+1.5,IF(I2333&lt;=60,I2333*1.25+3,IF(I2333&lt;=120,I2333*1.25+4,I2333*1.25+5))),
""))),2)</f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>IF(
OR(
ISNUMBER(SEARCH("BACKPACK",B2335)),
ISNUMBER(SEARCH("MOCHILA",B2335)),
ISNUMBER(SEARCH("FUNDA",B2335)),
ISNUMBER(SEARCH("ESTUCHE",B2335)),
ISNUMBER(SEARCH("BOOK COVER",B2335)),
ISNUMBER(SEARCH("KEYBOARD PARA TABLET",B2335)),
ISNUMBER(SEARCH("FLIP TABLET",B2335)),
ISNUMBER(SEARCH("CASE FOR TABLET",B2335)),
ISNUMBER(SEARCH("CABLE",B2335)),
ISNUMBER(SEARCH("ADAPTADOR",B2335)),
ISNUMBER(SEARCH("HUB",B2335)),
ISNUMBER(SEARCH("DOCK",B2335)),
ISNUMBER(SEARCH("MOUSE PAD",B2335)),
ISNUMBER(SEARCH("MOUSEPAD",B2335)),
ISNUMBER(SEARCH("SOPORTE",B2335)),
ISNUMBER(SEARCH("STAND",B2335)),
ISNUMBER(SEARCH("TRAVEL ADAPTER",B2335)),
ISNUMBER(SEARCH("RJ45",B2335)),
ISNUMBER(SEARCH("USB-C",B2335)),
ISNUMBER(SEARCH("USB WIFI",B2335)),
ISNUMBER(SEARCH("POWERBANK",B2335)),
ISNUMBER(SEARCH("CARGADOR",B2335)),
ISNUMBER(SEARCH("COOLER PARA NB",B2335)),
ISNUMBER(SEARCH("SOPORTE PARA NB",B2335)),
ISNUMBER(SEARCH("WEBCAM",B2335)),
ISNUMBER(SEARCH("WEB CAM",B2335)),
ISNUMBER(SEARCH("MOUSE",B2335)),
ISNUMBER(SEARCH("TECLADO",B2335))
),
"COMPLEMENTO",
IF(
OR(
LEFT(A2335,2)="NB",
LEFT(A2335,2)="PC",
LEFT(A2335,2)="WS",
LEFT(A2335,2)="TB",
LEFT(A2335,3)="CEL",
LEFT(A2335,3)="MON",
LEFT(A2335,3)="PRE",
LEFT(A2335,3)="PRH",
ISNUMBER(SEARCH("NOTEBOOK",B2335)),
ISNUMBER(SEARCH("LAPTOP",B2335)),
ISNUMBER(SEARCH("MONITOR",B2335)),
ISNUMBER(SEARCH("TABLET",B2335)),
ISNUMBER(SEARCH("SMARTPH",B2335)),
ISNUMBER(SEARCH("IMPRESORA",B2335)),
ISNUMBER(SEARCH("MULTIFUNCIONAL",B2335)),
ISNUMBER(SEARCH("AIO",B2335))
),
"GANCHO",
"NORMAL"
)
)</f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>ROUND(
IF(L2332="GANCHO",
   IF(I2334&lt;=50,I2334*1.1+4,IF(I2334&lt;=120,I2334*1.1+7,IF(I2334&lt;=250,I2334*1.1+11,I2334*1.1+19))),
IF(L2332="NORMAL",
   IF(I2334&lt;=30,I2334*1.15+2,IF(I2334&lt;=80,I2334*1.15+4,IF(I2334&lt;=150,I2334*1.15+6,I2334*1.15+8))),
IF(L2332="COMPLEMENTO",
   IF(I2334&lt;=25,I2334*1.25+1.5,IF(I2334&lt;=60,I2334*1.25+3,IF(I2334&lt;=120,I2334*1.25+4,I2334*1.25+5))),
""))),2)</f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>IF(
OR(
ISNUMBER(SEARCH("BACKPACK",B2336)),
ISNUMBER(SEARCH("MOCHILA",B2336)),
ISNUMBER(SEARCH("FUNDA",B2336)),
ISNUMBER(SEARCH("ESTUCHE",B2336)),
ISNUMBER(SEARCH("BOOK COVER",B2336)),
ISNUMBER(SEARCH("KEYBOARD PARA TABLET",B2336)),
ISNUMBER(SEARCH("FLIP TABLET",B2336)),
ISNUMBER(SEARCH("CASE FOR TABLET",B2336)),
ISNUMBER(SEARCH("CABLE",B2336)),
ISNUMBER(SEARCH("ADAPTADOR",B2336)),
ISNUMBER(SEARCH("HUB",B2336)),
ISNUMBER(SEARCH("DOCK",B2336)),
ISNUMBER(SEARCH("MOUSE PAD",B2336)),
ISNUMBER(SEARCH("MOUSEPAD",B2336)),
ISNUMBER(SEARCH("SOPORTE",B2336)),
ISNUMBER(SEARCH("STAND",B2336)),
ISNUMBER(SEARCH("TRAVEL ADAPTER",B2336)),
ISNUMBER(SEARCH("RJ45",B2336)),
ISNUMBER(SEARCH("USB-C",B2336)),
ISNUMBER(SEARCH("USB WIFI",B2336)),
ISNUMBER(SEARCH("POWERBANK",B2336)),
ISNUMBER(SEARCH("CARGADOR",B2336)),
ISNUMBER(SEARCH("COOLER PARA NB",B2336)),
ISNUMBER(SEARCH("SOPORTE PARA NB",B2336)),
ISNUMBER(SEARCH("WEBCAM",B2336)),
ISNUMBER(SEARCH("WEB CAM",B2336)),
ISNUMBER(SEARCH("MOUSE",B2336)),
ISNUMBER(SEARCH("TECLADO",B2336))
),
"COMPLEMENTO",
IF(
OR(
LEFT(A2336,2)="NB",
LEFT(A2336,2)="PC",
LEFT(A2336,2)="WS",
LEFT(A2336,2)="TB",
LEFT(A2336,3)="CEL",
LEFT(A2336,3)="MON",
LEFT(A2336,3)="PRE",
LEFT(A2336,3)="PRH",
ISNUMBER(SEARCH("NOTEBOOK",B2336)),
ISNUMBER(SEARCH("LAPTOP",B2336)),
ISNUMBER(SEARCH("MONITOR",B2336)),
ISNUMBER(SEARCH("TABLET",B2336)),
ISNUMBER(SEARCH("SMARTPH",B2336)),
ISNUMBER(SEARCH("IMPRESORA",B2336)),
ISNUMBER(SEARCH("MULTIFUNCIONAL",B2336)),
ISNUMBER(SEARCH("AIO",B2336))
),
"GANCHO",
"NORMAL"
)
)</f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>ROUND(
IF(L2333="GANCHO",
   IF(I2335&lt;=50,I2335*1.1+4,IF(I2335&lt;=120,I2335*1.1+7,IF(I2335&lt;=250,I2335*1.1+11,I2335*1.1+19))),
IF(L2333="NORMAL",
   IF(I2335&lt;=30,I2335*1.15+2,IF(I2335&lt;=80,I2335*1.15+4,IF(I2335&lt;=150,I2335*1.15+6,I2335*1.15+8))),
IF(L2333="COMPLEMENTO",
   IF(I2335&lt;=25,I2335*1.25+1.5,IF(I2335&lt;=60,I2335*1.25+3,IF(I2335&lt;=120,I2335*1.25+4,I2335*1.25+5))),
""))),2)</f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>IF(
OR(
ISNUMBER(SEARCH("BACKPACK",B2337)),
ISNUMBER(SEARCH("MOCHILA",B2337)),
ISNUMBER(SEARCH("FUNDA",B2337)),
ISNUMBER(SEARCH("ESTUCHE",B2337)),
ISNUMBER(SEARCH("BOOK COVER",B2337)),
ISNUMBER(SEARCH("KEYBOARD PARA TABLET",B2337)),
ISNUMBER(SEARCH("FLIP TABLET",B2337)),
ISNUMBER(SEARCH("CASE FOR TABLET",B2337)),
ISNUMBER(SEARCH("CABLE",B2337)),
ISNUMBER(SEARCH("ADAPTADOR",B2337)),
ISNUMBER(SEARCH("HUB",B2337)),
ISNUMBER(SEARCH("DOCK",B2337)),
ISNUMBER(SEARCH("MOUSE PAD",B2337)),
ISNUMBER(SEARCH("MOUSEPAD",B2337)),
ISNUMBER(SEARCH("SOPORTE",B2337)),
ISNUMBER(SEARCH("STAND",B2337)),
ISNUMBER(SEARCH("TRAVEL ADAPTER",B2337)),
ISNUMBER(SEARCH("RJ45",B2337)),
ISNUMBER(SEARCH("USB-C",B2337)),
ISNUMBER(SEARCH("USB WIFI",B2337)),
ISNUMBER(SEARCH("POWERBANK",B2337)),
ISNUMBER(SEARCH("CARGADOR",B2337)),
ISNUMBER(SEARCH("COOLER PARA NB",B2337)),
ISNUMBER(SEARCH("SOPORTE PARA NB",B2337)),
ISNUMBER(SEARCH("WEBCAM",B2337)),
ISNUMBER(SEARCH("WEB CAM",B2337)),
ISNUMBER(SEARCH("MOUSE",B2337)),
ISNUMBER(SEARCH("TECLADO",B2337))
),
"COMPLEMENTO",
IF(
OR(
LEFT(A2337,2)="NB",
LEFT(A2337,2)="PC",
LEFT(A2337,2)="WS",
LEFT(A2337,2)="TB",
LEFT(A2337,3)="CEL",
LEFT(A2337,3)="MON",
LEFT(A2337,3)="PRE",
LEFT(A2337,3)="PRH",
ISNUMBER(SEARCH("NOTEBOOK",B2337)),
ISNUMBER(SEARCH("LAPTOP",B2337)),
ISNUMBER(SEARCH("MONITOR",B2337)),
ISNUMBER(SEARCH("TABLET",B2337)),
ISNUMBER(SEARCH("SMARTPH",B2337)),
ISNUMBER(SEARCH("IMPRESORA",B2337)),
ISNUMBER(SEARCH("MULTIFUNCIONAL",B2337)),
ISNUMBER(SEARCH("AIO",B2337))
),
"GANCHO",
"NORMAL"
)
)</f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>ROUND(
IF(L2334="GANCHO",
   IF(I2336&lt;=50,I2336*1.1+4,IF(I2336&lt;=120,I2336*1.1+7,IF(I2336&lt;=250,I2336*1.1+11,I2336*1.1+19))),
IF(L2334="NORMAL",
   IF(I2336&lt;=30,I2336*1.15+2,IF(I2336&lt;=80,I2336*1.15+4,IF(I2336&lt;=150,I2336*1.15+6,I2336*1.15+8))),
IF(L2334="COMPLEMENTO",
   IF(I2336&lt;=25,I2336*1.25+1.5,IF(I2336&lt;=60,I2336*1.25+3,IF(I2336&lt;=120,I2336*1.25+4,I2336*1.25+5))),
""))),2)</f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>IF(
OR(
ISNUMBER(SEARCH("BACKPACK",B2338)),
ISNUMBER(SEARCH("MOCHILA",B2338)),
ISNUMBER(SEARCH("FUNDA",B2338)),
ISNUMBER(SEARCH("ESTUCHE",B2338)),
ISNUMBER(SEARCH("BOOK COVER",B2338)),
ISNUMBER(SEARCH("KEYBOARD PARA TABLET",B2338)),
ISNUMBER(SEARCH("FLIP TABLET",B2338)),
ISNUMBER(SEARCH("CASE FOR TABLET",B2338)),
ISNUMBER(SEARCH("CABLE",B2338)),
ISNUMBER(SEARCH("ADAPTADOR",B2338)),
ISNUMBER(SEARCH("HUB",B2338)),
ISNUMBER(SEARCH("DOCK",B2338)),
ISNUMBER(SEARCH("MOUSE PAD",B2338)),
ISNUMBER(SEARCH("MOUSEPAD",B2338)),
ISNUMBER(SEARCH("SOPORTE",B2338)),
ISNUMBER(SEARCH("STAND",B2338)),
ISNUMBER(SEARCH("TRAVEL ADAPTER",B2338)),
ISNUMBER(SEARCH("RJ45",B2338)),
ISNUMBER(SEARCH("USB-C",B2338)),
ISNUMBER(SEARCH("USB WIFI",B2338)),
ISNUMBER(SEARCH("POWERBANK",B2338)),
ISNUMBER(SEARCH("CARGADOR",B2338)),
ISNUMBER(SEARCH("COOLER PARA NB",B2338)),
ISNUMBER(SEARCH("SOPORTE PARA NB",B2338)),
ISNUMBER(SEARCH("WEBCAM",B2338)),
ISNUMBER(SEARCH("WEB CAM",B2338)),
ISNUMBER(SEARCH("MOUSE",B2338)),
ISNUMBER(SEARCH("TECLADO",B2338))
),
"COMPLEMENTO",
IF(
OR(
LEFT(A2338,2)="NB",
LEFT(A2338,2)="PC",
LEFT(A2338,2)="WS",
LEFT(A2338,2)="TB",
LEFT(A2338,3)="CEL",
LEFT(A2338,3)="MON",
LEFT(A2338,3)="PRE",
LEFT(A2338,3)="PRH",
ISNUMBER(SEARCH("NOTEBOOK",B2338)),
ISNUMBER(SEARCH("LAPTOP",B2338)),
ISNUMBER(SEARCH("MONITOR",B2338)),
ISNUMBER(SEARCH("TABLET",B2338)),
ISNUMBER(SEARCH("SMARTPH",B2338)),
ISNUMBER(SEARCH("IMPRESORA",B2338)),
ISNUMBER(SEARCH("MULTIFUNCIONAL",B2338)),
ISNUMBER(SEARCH("AIO",B2338))
),
"GANCHO",
"NORMAL"
)
)</f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>ROUND(
IF(L2335="GANCHO",
   IF(I2337&lt;=50,I2337*1.1+4,IF(I2337&lt;=120,I2337*1.1+7,IF(I2337&lt;=250,I2337*1.1+11,I2337*1.1+19))),
IF(L2335="NORMAL",
   IF(I2337&lt;=30,I2337*1.15+2,IF(I2337&lt;=80,I2337*1.15+4,IF(I2337&lt;=150,I2337*1.15+6,I2337*1.15+8))),
IF(L2335="COMPLEMENTO",
   IF(I2337&lt;=25,I2337*1.25+1.5,IF(I2337&lt;=60,I2337*1.25+3,IF(I2337&lt;=120,I2337*1.25+4,I2337*1.25+5))),
""))),2)</f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>IF(
OR(
ISNUMBER(SEARCH("BACKPACK",B2339)),
ISNUMBER(SEARCH("MOCHILA",B2339)),
ISNUMBER(SEARCH("FUNDA",B2339)),
ISNUMBER(SEARCH("ESTUCHE",B2339)),
ISNUMBER(SEARCH("BOOK COVER",B2339)),
ISNUMBER(SEARCH("KEYBOARD PARA TABLET",B2339)),
ISNUMBER(SEARCH("FLIP TABLET",B2339)),
ISNUMBER(SEARCH("CASE FOR TABLET",B2339)),
ISNUMBER(SEARCH("CABLE",B2339)),
ISNUMBER(SEARCH("ADAPTADOR",B2339)),
ISNUMBER(SEARCH("HUB",B2339)),
ISNUMBER(SEARCH("DOCK",B2339)),
ISNUMBER(SEARCH("MOUSE PAD",B2339)),
ISNUMBER(SEARCH("MOUSEPAD",B2339)),
ISNUMBER(SEARCH("SOPORTE",B2339)),
ISNUMBER(SEARCH("STAND",B2339)),
ISNUMBER(SEARCH("TRAVEL ADAPTER",B2339)),
ISNUMBER(SEARCH("RJ45",B2339)),
ISNUMBER(SEARCH("USB-C",B2339)),
ISNUMBER(SEARCH("USB WIFI",B2339)),
ISNUMBER(SEARCH("POWERBANK",B2339)),
ISNUMBER(SEARCH("CARGADOR",B2339)),
ISNUMBER(SEARCH("COOLER PARA NB",B2339)),
ISNUMBER(SEARCH("SOPORTE PARA NB",B2339)),
ISNUMBER(SEARCH("WEBCAM",B2339)),
ISNUMBER(SEARCH("WEB CAM",B2339)),
ISNUMBER(SEARCH("MOUSE",B2339)),
ISNUMBER(SEARCH("TECLADO",B2339))
),
"COMPLEMENTO",
IF(
OR(
LEFT(A2339,2)="NB",
LEFT(A2339,2)="PC",
LEFT(A2339,2)="WS",
LEFT(A2339,2)="TB",
LEFT(A2339,3)="CEL",
LEFT(A2339,3)="MON",
LEFT(A2339,3)="PRE",
LEFT(A2339,3)="PRH",
ISNUMBER(SEARCH("NOTEBOOK",B2339)),
ISNUMBER(SEARCH("LAPTOP",B2339)),
ISNUMBER(SEARCH("MONITOR",B2339)),
ISNUMBER(SEARCH("TABLET",B2339)),
ISNUMBER(SEARCH("SMARTPH",B2339)),
ISNUMBER(SEARCH("IMPRESORA",B2339)),
ISNUMBER(SEARCH("MULTIFUNCIONAL",B2339)),
ISNUMBER(SEARCH("AIO",B2339))
),
"GANCHO",
"NORMAL"
)
)</f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>ROUND(
IF(L2336="GANCHO",
   IF(I2338&lt;=50,I2338*1.1+4,IF(I2338&lt;=120,I2338*1.1+7,IF(I2338&lt;=250,I2338*1.1+11,I2338*1.1+19))),
IF(L2336="NORMAL",
   IF(I2338&lt;=30,I2338*1.15+2,IF(I2338&lt;=80,I2338*1.15+4,IF(I2338&lt;=150,I2338*1.15+6,I2338*1.15+8))),
IF(L2336="COMPLEMENTO",
   IF(I2338&lt;=25,I2338*1.25+1.5,IF(I2338&lt;=60,I2338*1.25+3,IF(I2338&lt;=120,I2338*1.25+4,I2338*1.25+5))),
""))),2)</f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>IF(
OR(
ISNUMBER(SEARCH("BACKPACK",B2340)),
ISNUMBER(SEARCH("MOCHILA",B2340)),
ISNUMBER(SEARCH("FUNDA",B2340)),
ISNUMBER(SEARCH("ESTUCHE",B2340)),
ISNUMBER(SEARCH("BOOK COVER",B2340)),
ISNUMBER(SEARCH("KEYBOARD PARA TABLET",B2340)),
ISNUMBER(SEARCH("FLIP TABLET",B2340)),
ISNUMBER(SEARCH("CASE FOR TABLET",B2340)),
ISNUMBER(SEARCH("CABLE",B2340)),
ISNUMBER(SEARCH("ADAPTADOR",B2340)),
ISNUMBER(SEARCH("HUB",B2340)),
ISNUMBER(SEARCH("DOCK",B2340)),
ISNUMBER(SEARCH("MOUSE PAD",B2340)),
ISNUMBER(SEARCH("MOUSEPAD",B2340)),
ISNUMBER(SEARCH("SOPORTE",B2340)),
ISNUMBER(SEARCH("STAND",B2340)),
ISNUMBER(SEARCH("TRAVEL ADAPTER",B2340)),
ISNUMBER(SEARCH("RJ45",B2340)),
ISNUMBER(SEARCH("USB-C",B2340)),
ISNUMBER(SEARCH("USB WIFI",B2340)),
ISNUMBER(SEARCH("POWERBANK",B2340)),
ISNUMBER(SEARCH("CARGADOR",B2340)),
ISNUMBER(SEARCH("COOLER PARA NB",B2340)),
ISNUMBER(SEARCH("SOPORTE PARA NB",B2340)),
ISNUMBER(SEARCH("WEBCAM",B2340)),
ISNUMBER(SEARCH("WEB CAM",B2340)),
ISNUMBER(SEARCH("MOUSE",B2340)),
ISNUMBER(SEARCH("TECLADO",B2340))
),
"COMPLEMENTO",
IF(
OR(
LEFT(A2340,2)="NB",
LEFT(A2340,2)="PC",
LEFT(A2340,2)="WS",
LEFT(A2340,2)="TB",
LEFT(A2340,3)="CEL",
LEFT(A2340,3)="MON",
LEFT(A2340,3)="PRE",
LEFT(A2340,3)="PRH",
ISNUMBER(SEARCH("NOTEBOOK",B2340)),
ISNUMBER(SEARCH("LAPTOP",B2340)),
ISNUMBER(SEARCH("MONITOR",B2340)),
ISNUMBER(SEARCH("TABLET",B2340)),
ISNUMBER(SEARCH("SMARTPH",B2340)),
ISNUMBER(SEARCH("IMPRESORA",B2340)),
ISNUMBER(SEARCH("MULTIFUNCIONAL",B2340)),
ISNUMBER(SEARCH("AIO",B2340))
),
"GANCHO",
"NORMAL"
)
)</f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>ROUND(
IF(L2337="GANCHO",
   IF(I2339&lt;=50,I2339*1.1+4,IF(I2339&lt;=120,I2339*1.1+7,IF(I2339&lt;=250,I2339*1.1+11,I2339*1.1+19))),
IF(L2337="NORMAL",
   IF(I2339&lt;=30,I2339*1.15+2,IF(I2339&lt;=80,I2339*1.15+4,IF(I2339&lt;=150,I2339*1.15+6,I2339*1.15+8))),
IF(L2337="COMPLEMENTO",
   IF(I2339&lt;=25,I2339*1.25+1.5,IF(I2339&lt;=60,I2339*1.25+3,IF(I2339&lt;=120,I2339*1.25+4,I2339*1.25+5))),
""))),2)</f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>IF(
OR(
ISNUMBER(SEARCH("BACKPACK",B2341)),
ISNUMBER(SEARCH("MOCHILA",B2341)),
ISNUMBER(SEARCH("FUNDA",B2341)),
ISNUMBER(SEARCH("ESTUCHE",B2341)),
ISNUMBER(SEARCH("BOOK COVER",B2341)),
ISNUMBER(SEARCH("KEYBOARD PARA TABLET",B2341)),
ISNUMBER(SEARCH("FLIP TABLET",B2341)),
ISNUMBER(SEARCH("CASE FOR TABLET",B2341)),
ISNUMBER(SEARCH("CABLE",B2341)),
ISNUMBER(SEARCH("ADAPTADOR",B2341)),
ISNUMBER(SEARCH("HUB",B2341)),
ISNUMBER(SEARCH("DOCK",B2341)),
ISNUMBER(SEARCH("MOUSE PAD",B2341)),
ISNUMBER(SEARCH("MOUSEPAD",B2341)),
ISNUMBER(SEARCH("SOPORTE",B2341)),
ISNUMBER(SEARCH("STAND",B2341)),
ISNUMBER(SEARCH("TRAVEL ADAPTER",B2341)),
ISNUMBER(SEARCH("RJ45",B2341)),
ISNUMBER(SEARCH("USB-C",B2341)),
ISNUMBER(SEARCH("USB WIFI",B2341)),
ISNUMBER(SEARCH("POWERBANK",B2341)),
ISNUMBER(SEARCH("CARGADOR",B2341)),
ISNUMBER(SEARCH("COOLER PARA NB",B2341)),
ISNUMBER(SEARCH("SOPORTE PARA NB",B2341)),
ISNUMBER(SEARCH("WEBCAM",B2341)),
ISNUMBER(SEARCH("WEB CAM",B2341)),
ISNUMBER(SEARCH("MOUSE",B2341)),
ISNUMBER(SEARCH("TECLADO",B2341))
),
"COMPLEMENTO",
IF(
OR(
LEFT(A2341,2)="NB",
LEFT(A2341,2)="PC",
LEFT(A2341,2)="WS",
LEFT(A2341,2)="TB",
LEFT(A2341,3)="CEL",
LEFT(A2341,3)="MON",
LEFT(A2341,3)="PRE",
LEFT(A2341,3)="PRH",
ISNUMBER(SEARCH("NOTEBOOK",B2341)),
ISNUMBER(SEARCH("LAPTOP",B2341)),
ISNUMBER(SEARCH("MONITOR",B2341)),
ISNUMBER(SEARCH("TABLET",B2341)),
ISNUMBER(SEARCH("SMARTPH",B2341)),
ISNUMBER(SEARCH("IMPRESORA",B2341)),
ISNUMBER(SEARCH("MULTIFUNCIONAL",B2341)),
ISNUMBER(SEARCH("AIO",B2341))
),
"GANCHO",
"NORMAL"
)
)</f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>ROUND(
IF(L2338="GANCHO",
   IF(I2340&lt;=50,I2340*1.1+4,IF(I2340&lt;=120,I2340*1.1+7,IF(I2340&lt;=250,I2340*1.1+11,I2340*1.1+19))),
IF(L2338="NORMAL",
   IF(I2340&lt;=30,I2340*1.15+2,IF(I2340&lt;=80,I2340*1.15+4,IF(I2340&lt;=150,I2340*1.15+6,I2340*1.15+8))),
IF(L2338="COMPLEMENTO",
   IF(I2340&lt;=25,I2340*1.25+1.5,IF(I2340&lt;=60,I2340*1.25+3,IF(I2340&lt;=120,I2340*1.25+4,I2340*1.25+5))),
""))),2)</f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>IF(
OR(
ISNUMBER(SEARCH("BACKPACK",B2342)),
ISNUMBER(SEARCH("MOCHILA",B2342)),
ISNUMBER(SEARCH("FUNDA",B2342)),
ISNUMBER(SEARCH("ESTUCHE",B2342)),
ISNUMBER(SEARCH("BOOK COVER",B2342)),
ISNUMBER(SEARCH("KEYBOARD PARA TABLET",B2342)),
ISNUMBER(SEARCH("FLIP TABLET",B2342)),
ISNUMBER(SEARCH("CASE FOR TABLET",B2342)),
ISNUMBER(SEARCH("CABLE",B2342)),
ISNUMBER(SEARCH("ADAPTADOR",B2342)),
ISNUMBER(SEARCH("HUB",B2342)),
ISNUMBER(SEARCH("DOCK",B2342)),
ISNUMBER(SEARCH("MOUSE PAD",B2342)),
ISNUMBER(SEARCH("MOUSEPAD",B2342)),
ISNUMBER(SEARCH("SOPORTE",B2342)),
ISNUMBER(SEARCH("STAND",B2342)),
ISNUMBER(SEARCH("TRAVEL ADAPTER",B2342)),
ISNUMBER(SEARCH("RJ45",B2342)),
ISNUMBER(SEARCH("USB-C",B2342)),
ISNUMBER(SEARCH("USB WIFI",B2342)),
ISNUMBER(SEARCH("POWERBANK",B2342)),
ISNUMBER(SEARCH("CARGADOR",B2342)),
ISNUMBER(SEARCH("COOLER PARA NB",B2342)),
ISNUMBER(SEARCH("SOPORTE PARA NB",B2342)),
ISNUMBER(SEARCH("WEBCAM",B2342)),
ISNUMBER(SEARCH("WEB CAM",B2342)),
ISNUMBER(SEARCH("MOUSE",B2342)),
ISNUMBER(SEARCH("TECLADO",B2342))
),
"COMPLEMENTO",
IF(
OR(
LEFT(A2342,2)="NB",
LEFT(A2342,2)="PC",
LEFT(A2342,2)="WS",
LEFT(A2342,2)="TB",
LEFT(A2342,3)="CEL",
LEFT(A2342,3)="MON",
LEFT(A2342,3)="PRE",
LEFT(A2342,3)="PRH",
ISNUMBER(SEARCH("NOTEBOOK",B2342)),
ISNUMBER(SEARCH("LAPTOP",B2342)),
ISNUMBER(SEARCH("MONITOR",B2342)),
ISNUMBER(SEARCH("TABLET",B2342)),
ISNUMBER(SEARCH("SMARTPH",B2342)),
ISNUMBER(SEARCH("IMPRESORA",B2342)),
ISNUMBER(SEARCH("MULTIFUNCIONAL",B2342)),
ISNUMBER(SEARCH("AIO",B2342))
),
"GANCHO",
"NORMAL"
)
)</f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>ROUND(
IF(L2339="GANCHO",
   IF(I2341&lt;=50,I2341*1.1+4,IF(I2341&lt;=120,I2341*1.1+7,IF(I2341&lt;=250,I2341*1.1+11,I2341*1.1+19))),
IF(L2339="NORMAL",
   IF(I2341&lt;=30,I2341*1.15+2,IF(I2341&lt;=80,I2341*1.15+4,IF(I2341&lt;=150,I2341*1.15+6,I2341*1.15+8))),
IF(L2339="COMPLEMENTO",
   IF(I2341&lt;=25,I2341*1.25+1.5,IF(I2341&lt;=60,I2341*1.25+3,IF(I2341&lt;=120,I2341*1.25+4,I2341*1.25+5))),
""))),2)</f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>IF(
OR(
ISNUMBER(SEARCH("BACKPACK",B2343)),
ISNUMBER(SEARCH("MOCHILA",B2343)),
ISNUMBER(SEARCH("FUNDA",B2343)),
ISNUMBER(SEARCH("ESTUCHE",B2343)),
ISNUMBER(SEARCH("BOOK COVER",B2343)),
ISNUMBER(SEARCH("KEYBOARD PARA TABLET",B2343)),
ISNUMBER(SEARCH("FLIP TABLET",B2343)),
ISNUMBER(SEARCH("CASE FOR TABLET",B2343)),
ISNUMBER(SEARCH("CABLE",B2343)),
ISNUMBER(SEARCH("ADAPTADOR",B2343)),
ISNUMBER(SEARCH("HUB",B2343)),
ISNUMBER(SEARCH("DOCK",B2343)),
ISNUMBER(SEARCH("MOUSE PAD",B2343)),
ISNUMBER(SEARCH("MOUSEPAD",B2343)),
ISNUMBER(SEARCH("SOPORTE",B2343)),
ISNUMBER(SEARCH("STAND",B2343)),
ISNUMBER(SEARCH("TRAVEL ADAPTER",B2343)),
ISNUMBER(SEARCH("RJ45",B2343)),
ISNUMBER(SEARCH("USB-C",B2343)),
ISNUMBER(SEARCH("USB WIFI",B2343)),
ISNUMBER(SEARCH("POWERBANK",B2343)),
ISNUMBER(SEARCH("CARGADOR",B2343)),
ISNUMBER(SEARCH("COOLER PARA NB",B2343)),
ISNUMBER(SEARCH("SOPORTE PARA NB",B2343)),
ISNUMBER(SEARCH("WEBCAM",B2343)),
ISNUMBER(SEARCH("WEB CAM",B2343)),
ISNUMBER(SEARCH("MOUSE",B2343)),
ISNUMBER(SEARCH("TECLADO",B2343))
),
"COMPLEMENTO",
IF(
OR(
LEFT(A2343,2)="NB",
LEFT(A2343,2)="PC",
LEFT(A2343,2)="WS",
LEFT(A2343,2)="TB",
LEFT(A2343,3)="CEL",
LEFT(A2343,3)="MON",
LEFT(A2343,3)="PRE",
LEFT(A2343,3)="PRH",
ISNUMBER(SEARCH("NOTEBOOK",B2343)),
ISNUMBER(SEARCH("LAPTOP",B2343)),
ISNUMBER(SEARCH("MONITOR",B2343)),
ISNUMBER(SEARCH("TABLET",B2343)),
ISNUMBER(SEARCH("SMARTPH",B2343)),
ISNUMBER(SEARCH("IMPRESORA",B2343)),
ISNUMBER(SEARCH("MULTIFUNCIONAL",B2343)),
ISNUMBER(SEARCH("AIO",B2343))
),
"GANCHO",
"NORMAL"
)
)</f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>ROUND(
IF(L2340="GANCHO",
   IF(I2342&lt;=50,I2342*1.1+4,IF(I2342&lt;=120,I2342*1.1+7,IF(I2342&lt;=250,I2342*1.1+11,I2342*1.1+19))),
IF(L2340="NORMAL",
   IF(I2342&lt;=30,I2342*1.15+2,IF(I2342&lt;=80,I2342*1.15+4,IF(I2342&lt;=150,I2342*1.15+6,I2342*1.15+8))),
IF(L2340="COMPLEMENTO",
   IF(I2342&lt;=25,I2342*1.25+1.5,IF(I2342&lt;=60,I2342*1.25+3,IF(I2342&lt;=120,I2342*1.25+4,I2342*1.25+5))),
""))),2)</f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>IF(
OR(
ISNUMBER(SEARCH("BACKPACK",B2344)),
ISNUMBER(SEARCH("MOCHILA",B2344)),
ISNUMBER(SEARCH("FUNDA",B2344)),
ISNUMBER(SEARCH("ESTUCHE",B2344)),
ISNUMBER(SEARCH("BOOK COVER",B2344)),
ISNUMBER(SEARCH("KEYBOARD PARA TABLET",B2344)),
ISNUMBER(SEARCH("FLIP TABLET",B2344)),
ISNUMBER(SEARCH("CASE FOR TABLET",B2344)),
ISNUMBER(SEARCH("CABLE",B2344)),
ISNUMBER(SEARCH("ADAPTADOR",B2344)),
ISNUMBER(SEARCH("HUB",B2344)),
ISNUMBER(SEARCH("DOCK",B2344)),
ISNUMBER(SEARCH("MOUSE PAD",B2344)),
ISNUMBER(SEARCH("MOUSEPAD",B2344)),
ISNUMBER(SEARCH("SOPORTE",B2344)),
ISNUMBER(SEARCH("STAND",B2344)),
ISNUMBER(SEARCH("TRAVEL ADAPTER",B2344)),
ISNUMBER(SEARCH("RJ45",B2344)),
ISNUMBER(SEARCH("USB-C",B2344)),
ISNUMBER(SEARCH("USB WIFI",B2344)),
ISNUMBER(SEARCH("POWERBANK",B2344)),
ISNUMBER(SEARCH("CARGADOR",B2344)),
ISNUMBER(SEARCH("COOLER PARA NB",B2344)),
ISNUMBER(SEARCH("SOPORTE PARA NB",B2344)),
ISNUMBER(SEARCH("WEBCAM",B2344)),
ISNUMBER(SEARCH("WEB CAM",B2344)),
ISNUMBER(SEARCH("MOUSE",B2344)),
ISNUMBER(SEARCH("TECLADO",B2344))
),
"COMPLEMENTO",
IF(
OR(
LEFT(A2344,2)="NB",
LEFT(A2344,2)="PC",
LEFT(A2344,2)="WS",
LEFT(A2344,2)="TB",
LEFT(A2344,3)="CEL",
LEFT(A2344,3)="MON",
LEFT(A2344,3)="PRE",
LEFT(A2344,3)="PRH",
ISNUMBER(SEARCH("NOTEBOOK",B2344)),
ISNUMBER(SEARCH("LAPTOP",B2344)),
ISNUMBER(SEARCH("MONITOR",B2344)),
ISNUMBER(SEARCH("TABLET",B2344)),
ISNUMBER(SEARCH("SMARTPH",B2344)),
ISNUMBER(SEARCH("IMPRESORA",B2344)),
ISNUMBER(SEARCH("MULTIFUNCIONAL",B2344)),
ISNUMBER(SEARCH("AIO",B2344))
),
"GANCHO",
"NORMAL"
)
)</f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>ROUND(
IF(L2341="GANCHO",
   IF(I2343&lt;=50,I2343*1.1+4,IF(I2343&lt;=120,I2343*1.1+7,IF(I2343&lt;=250,I2343*1.1+11,I2343*1.1+19))),
IF(L2341="NORMAL",
   IF(I2343&lt;=30,I2343*1.15+2,IF(I2343&lt;=80,I2343*1.15+4,IF(I2343&lt;=150,I2343*1.15+6,I2343*1.15+8))),
IF(L2341="COMPLEMENTO",
   IF(I2343&lt;=25,I2343*1.25+1.5,IF(I2343&lt;=60,I2343*1.25+3,IF(I2343&lt;=120,I2343*1.25+4,I2343*1.25+5))),
""))),2)</f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>IF(
OR(
ISNUMBER(SEARCH("BACKPACK",B2345)),
ISNUMBER(SEARCH("MOCHILA",B2345)),
ISNUMBER(SEARCH("FUNDA",B2345)),
ISNUMBER(SEARCH("ESTUCHE",B2345)),
ISNUMBER(SEARCH("BOOK COVER",B2345)),
ISNUMBER(SEARCH("KEYBOARD PARA TABLET",B2345)),
ISNUMBER(SEARCH("FLIP TABLET",B2345)),
ISNUMBER(SEARCH("CASE FOR TABLET",B2345)),
ISNUMBER(SEARCH("CABLE",B2345)),
ISNUMBER(SEARCH("ADAPTADOR",B2345)),
ISNUMBER(SEARCH("HUB",B2345)),
ISNUMBER(SEARCH("DOCK",B2345)),
ISNUMBER(SEARCH("MOUSE PAD",B2345)),
ISNUMBER(SEARCH("MOUSEPAD",B2345)),
ISNUMBER(SEARCH("SOPORTE",B2345)),
ISNUMBER(SEARCH("STAND",B2345)),
ISNUMBER(SEARCH("TRAVEL ADAPTER",B2345)),
ISNUMBER(SEARCH("RJ45",B2345)),
ISNUMBER(SEARCH("USB-C",B2345)),
ISNUMBER(SEARCH("USB WIFI",B2345)),
ISNUMBER(SEARCH("POWERBANK",B2345)),
ISNUMBER(SEARCH("CARGADOR",B2345)),
ISNUMBER(SEARCH("COOLER PARA NB",B2345)),
ISNUMBER(SEARCH("SOPORTE PARA NB",B2345)),
ISNUMBER(SEARCH("WEBCAM",B2345)),
ISNUMBER(SEARCH("WEB CAM",B2345)),
ISNUMBER(SEARCH("MOUSE",B2345)),
ISNUMBER(SEARCH("TECLADO",B2345))
),
"COMPLEMENTO",
IF(
OR(
LEFT(A2345,2)="NB",
LEFT(A2345,2)="PC",
LEFT(A2345,2)="WS",
LEFT(A2345,2)="TB",
LEFT(A2345,3)="CEL",
LEFT(A2345,3)="MON",
LEFT(A2345,3)="PRE",
LEFT(A2345,3)="PRH",
ISNUMBER(SEARCH("NOTEBOOK",B2345)),
ISNUMBER(SEARCH("LAPTOP",B2345)),
ISNUMBER(SEARCH("MONITOR",B2345)),
ISNUMBER(SEARCH("TABLET",B2345)),
ISNUMBER(SEARCH("SMARTPH",B2345)),
ISNUMBER(SEARCH("IMPRESORA",B2345)),
ISNUMBER(SEARCH("MULTIFUNCIONAL",B2345)),
ISNUMBER(SEARCH("AIO",B2345))
),
"GANCHO",
"NORMAL"
)
)</f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>ROUND(
IF(L2342="GANCHO",
   IF(I2344&lt;=50,I2344*1.1+4,IF(I2344&lt;=120,I2344*1.1+7,IF(I2344&lt;=250,I2344*1.1+11,I2344*1.1+19))),
IF(L2342="NORMAL",
   IF(I2344&lt;=30,I2344*1.15+2,IF(I2344&lt;=80,I2344*1.15+4,IF(I2344&lt;=150,I2344*1.15+6,I2344*1.15+8))),
IF(L2342="COMPLEMENTO",
   IF(I2344&lt;=25,I2344*1.25+1.5,IF(I2344&lt;=60,I2344*1.25+3,IF(I2344&lt;=120,I2344*1.25+4,I2344*1.25+5))),
""))),2)</f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>IF(
OR(
ISNUMBER(SEARCH("BACKPACK",B2346)),
ISNUMBER(SEARCH("MOCHILA",B2346)),
ISNUMBER(SEARCH("FUNDA",B2346)),
ISNUMBER(SEARCH("ESTUCHE",B2346)),
ISNUMBER(SEARCH("BOOK COVER",B2346)),
ISNUMBER(SEARCH("KEYBOARD PARA TABLET",B2346)),
ISNUMBER(SEARCH("FLIP TABLET",B2346)),
ISNUMBER(SEARCH("CASE FOR TABLET",B2346)),
ISNUMBER(SEARCH("CABLE",B2346)),
ISNUMBER(SEARCH("ADAPTADOR",B2346)),
ISNUMBER(SEARCH("HUB",B2346)),
ISNUMBER(SEARCH("DOCK",B2346)),
ISNUMBER(SEARCH("MOUSE PAD",B2346)),
ISNUMBER(SEARCH("MOUSEPAD",B2346)),
ISNUMBER(SEARCH("SOPORTE",B2346)),
ISNUMBER(SEARCH("STAND",B2346)),
ISNUMBER(SEARCH("TRAVEL ADAPTER",B2346)),
ISNUMBER(SEARCH("RJ45",B2346)),
ISNUMBER(SEARCH("USB-C",B2346)),
ISNUMBER(SEARCH("USB WIFI",B2346)),
ISNUMBER(SEARCH("POWERBANK",B2346)),
ISNUMBER(SEARCH("CARGADOR",B2346)),
ISNUMBER(SEARCH("COOLER PARA NB",B2346)),
ISNUMBER(SEARCH("SOPORTE PARA NB",B2346)),
ISNUMBER(SEARCH("WEBCAM",B2346)),
ISNUMBER(SEARCH("WEB CAM",B2346)),
ISNUMBER(SEARCH("MOUSE",B2346)),
ISNUMBER(SEARCH("TECLADO",B2346))
),
"COMPLEMENTO",
IF(
OR(
LEFT(A2346,2)="NB",
LEFT(A2346,2)="PC",
LEFT(A2346,2)="WS",
LEFT(A2346,2)="TB",
LEFT(A2346,3)="CEL",
LEFT(A2346,3)="MON",
LEFT(A2346,3)="PRE",
LEFT(A2346,3)="PRH",
ISNUMBER(SEARCH("NOTEBOOK",B2346)),
ISNUMBER(SEARCH("LAPTOP",B2346)),
ISNUMBER(SEARCH("MONITOR",B2346)),
ISNUMBER(SEARCH("TABLET",B2346)),
ISNUMBER(SEARCH("SMARTPH",B2346)),
ISNUMBER(SEARCH("IMPRESORA",B2346)),
ISNUMBER(SEARCH("MULTIFUNCIONAL",B2346)),
ISNUMBER(SEARCH("AIO",B2346))
),
"GANCHO",
"NORMAL"
)
)</f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>ROUND(
IF(L2343="GANCHO",
   IF(I2345&lt;=50,I2345*1.1+4,IF(I2345&lt;=120,I2345*1.1+7,IF(I2345&lt;=250,I2345*1.1+11,I2345*1.1+19))),
IF(L2343="NORMAL",
   IF(I2345&lt;=30,I2345*1.15+2,IF(I2345&lt;=80,I2345*1.15+4,IF(I2345&lt;=150,I2345*1.15+6,I2345*1.15+8))),
IF(L2343="COMPLEMENTO",
   IF(I2345&lt;=25,I2345*1.25+1.5,IF(I2345&lt;=60,I2345*1.25+3,IF(I2345&lt;=120,I2345*1.25+4,I2345*1.25+5))),
""))),2)</f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>IF(
OR(
ISNUMBER(SEARCH("BACKPACK",B2347)),
ISNUMBER(SEARCH("MOCHILA",B2347)),
ISNUMBER(SEARCH("FUNDA",B2347)),
ISNUMBER(SEARCH("ESTUCHE",B2347)),
ISNUMBER(SEARCH("BOOK COVER",B2347)),
ISNUMBER(SEARCH("KEYBOARD PARA TABLET",B2347)),
ISNUMBER(SEARCH("FLIP TABLET",B2347)),
ISNUMBER(SEARCH("CASE FOR TABLET",B2347)),
ISNUMBER(SEARCH("CABLE",B2347)),
ISNUMBER(SEARCH("ADAPTADOR",B2347)),
ISNUMBER(SEARCH("HUB",B2347)),
ISNUMBER(SEARCH("DOCK",B2347)),
ISNUMBER(SEARCH("MOUSE PAD",B2347)),
ISNUMBER(SEARCH("MOUSEPAD",B2347)),
ISNUMBER(SEARCH("SOPORTE",B2347)),
ISNUMBER(SEARCH("STAND",B2347)),
ISNUMBER(SEARCH("TRAVEL ADAPTER",B2347)),
ISNUMBER(SEARCH("RJ45",B2347)),
ISNUMBER(SEARCH("USB-C",B2347)),
ISNUMBER(SEARCH("USB WIFI",B2347)),
ISNUMBER(SEARCH("POWERBANK",B2347)),
ISNUMBER(SEARCH("CARGADOR",B2347)),
ISNUMBER(SEARCH("COOLER PARA NB",B2347)),
ISNUMBER(SEARCH("SOPORTE PARA NB",B2347)),
ISNUMBER(SEARCH("WEBCAM",B2347)),
ISNUMBER(SEARCH("WEB CAM",B2347)),
ISNUMBER(SEARCH("MOUSE",B2347)),
ISNUMBER(SEARCH("TECLADO",B2347))
),
"COMPLEMENTO",
IF(
OR(
LEFT(A2347,2)="NB",
LEFT(A2347,2)="PC",
LEFT(A2347,2)="WS",
LEFT(A2347,2)="TB",
LEFT(A2347,3)="CEL",
LEFT(A2347,3)="MON",
LEFT(A2347,3)="PRE",
LEFT(A2347,3)="PRH",
ISNUMBER(SEARCH("NOTEBOOK",B2347)),
ISNUMBER(SEARCH("LAPTOP",B2347)),
ISNUMBER(SEARCH("MONITOR",B2347)),
ISNUMBER(SEARCH("TABLET",B2347)),
ISNUMBER(SEARCH("SMARTPH",B2347)),
ISNUMBER(SEARCH("IMPRESORA",B2347)),
ISNUMBER(SEARCH("MULTIFUNCIONAL",B2347)),
ISNUMBER(SEARCH("AIO",B2347))
),
"GANCHO",
"NORMAL"
)
)</f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>ROUND(
IF(L2344="GANCHO",
   IF(I2346&lt;=50,I2346*1.1+4,IF(I2346&lt;=120,I2346*1.1+7,IF(I2346&lt;=250,I2346*1.1+11,I2346*1.1+19))),
IF(L2344="NORMAL",
   IF(I2346&lt;=30,I2346*1.15+2,IF(I2346&lt;=80,I2346*1.15+4,IF(I2346&lt;=150,I2346*1.15+6,I2346*1.15+8))),
IF(L2344="COMPLEMENTO",
   IF(I2346&lt;=25,I2346*1.25+1.5,IF(I2346&lt;=60,I2346*1.25+3,IF(I2346&lt;=120,I2346*1.25+4,I2346*1.25+5))),
""))),2)</f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>IF(
OR(
ISNUMBER(SEARCH("BACKPACK",B2348)),
ISNUMBER(SEARCH("MOCHILA",B2348)),
ISNUMBER(SEARCH("FUNDA",B2348)),
ISNUMBER(SEARCH("ESTUCHE",B2348)),
ISNUMBER(SEARCH("BOOK COVER",B2348)),
ISNUMBER(SEARCH("KEYBOARD PARA TABLET",B2348)),
ISNUMBER(SEARCH("FLIP TABLET",B2348)),
ISNUMBER(SEARCH("CASE FOR TABLET",B2348)),
ISNUMBER(SEARCH("CABLE",B2348)),
ISNUMBER(SEARCH("ADAPTADOR",B2348)),
ISNUMBER(SEARCH("HUB",B2348)),
ISNUMBER(SEARCH("DOCK",B2348)),
ISNUMBER(SEARCH("MOUSE PAD",B2348)),
ISNUMBER(SEARCH("MOUSEPAD",B2348)),
ISNUMBER(SEARCH("SOPORTE",B2348)),
ISNUMBER(SEARCH("STAND",B2348)),
ISNUMBER(SEARCH("TRAVEL ADAPTER",B2348)),
ISNUMBER(SEARCH("RJ45",B2348)),
ISNUMBER(SEARCH("USB-C",B2348)),
ISNUMBER(SEARCH("USB WIFI",B2348)),
ISNUMBER(SEARCH("POWERBANK",B2348)),
ISNUMBER(SEARCH("CARGADOR",B2348)),
ISNUMBER(SEARCH("COOLER PARA NB",B2348)),
ISNUMBER(SEARCH("SOPORTE PARA NB",B2348)),
ISNUMBER(SEARCH("WEBCAM",B2348)),
ISNUMBER(SEARCH("WEB CAM",B2348)),
ISNUMBER(SEARCH("MOUSE",B2348)),
ISNUMBER(SEARCH("TECLADO",B2348))
),
"COMPLEMENTO",
IF(
OR(
LEFT(A2348,2)="NB",
LEFT(A2348,2)="PC",
LEFT(A2348,2)="WS",
LEFT(A2348,2)="TB",
LEFT(A2348,3)="CEL",
LEFT(A2348,3)="MON",
LEFT(A2348,3)="PRE",
LEFT(A2348,3)="PRH",
ISNUMBER(SEARCH("NOTEBOOK",B2348)),
ISNUMBER(SEARCH("LAPTOP",B2348)),
ISNUMBER(SEARCH("MONITOR",B2348)),
ISNUMBER(SEARCH("TABLET",B2348)),
ISNUMBER(SEARCH("SMARTPH",B2348)),
ISNUMBER(SEARCH("IMPRESORA",B2348)),
ISNUMBER(SEARCH("MULTIFUNCIONAL",B2348)),
ISNUMBER(SEARCH("AIO",B2348))
),
"GANCHO",
"NORMAL"
)
)</f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>ROUND(
IF(L2345="GANCHO",
   IF(I2347&lt;=50,I2347*1.1+4,IF(I2347&lt;=120,I2347*1.1+7,IF(I2347&lt;=250,I2347*1.1+11,I2347*1.1+19))),
IF(L2345="NORMAL",
   IF(I2347&lt;=30,I2347*1.15+2,IF(I2347&lt;=80,I2347*1.15+4,IF(I2347&lt;=150,I2347*1.15+6,I2347*1.15+8))),
IF(L2345="COMPLEMENTO",
   IF(I2347&lt;=25,I2347*1.25+1.5,IF(I2347&lt;=60,I2347*1.25+3,IF(I2347&lt;=120,I2347*1.25+4,I2347*1.25+5))),
""))),2)</f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>IF(
OR(
ISNUMBER(SEARCH("BACKPACK",B2349)),
ISNUMBER(SEARCH("MOCHILA",B2349)),
ISNUMBER(SEARCH("FUNDA",B2349)),
ISNUMBER(SEARCH("ESTUCHE",B2349)),
ISNUMBER(SEARCH("BOOK COVER",B2349)),
ISNUMBER(SEARCH("KEYBOARD PARA TABLET",B2349)),
ISNUMBER(SEARCH("FLIP TABLET",B2349)),
ISNUMBER(SEARCH("CASE FOR TABLET",B2349)),
ISNUMBER(SEARCH("CABLE",B2349)),
ISNUMBER(SEARCH("ADAPTADOR",B2349)),
ISNUMBER(SEARCH("HUB",B2349)),
ISNUMBER(SEARCH("DOCK",B2349)),
ISNUMBER(SEARCH("MOUSE PAD",B2349)),
ISNUMBER(SEARCH("MOUSEPAD",B2349)),
ISNUMBER(SEARCH("SOPORTE",B2349)),
ISNUMBER(SEARCH("STAND",B2349)),
ISNUMBER(SEARCH("TRAVEL ADAPTER",B2349)),
ISNUMBER(SEARCH("RJ45",B2349)),
ISNUMBER(SEARCH("USB-C",B2349)),
ISNUMBER(SEARCH("USB WIFI",B2349)),
ISNUMBER(SEARCH("POWERBANK",B2349)),
ISNUMBER(SEARCH("CARGADOR",B2349)),
ISNUMBER(SEARCH("COOLER PARA NB",B2349)),
ISNUMBER(SEARCH("SOPORTE PARA NB",B2349)),
ISNUMBER(SEARCH("WEBCAM",B2349)),
ISNUMBER(SEARCH("WEB CAM",B2349)),
ISNUMBER(SEARCH("MOUSE",B2349)),
ISNUMBER(SEARCH("TECLADO",B2349))
),
"COMPLEMENTO",
IF(
OR(
LEFT(A2349,2)="NB",
LEFT(A2349,2)="PC",
LEFT(A2349,2)="WS",
LEFT(A2349,2)="TB",
LEFT(A2349,3)="CEL",
LEFT(A2349,3)="MON",
LEFT(A2349,3)="PRE",
LEFT(A2349,3)="PRH",
ISNUMBER(SEARCH("NOTEBOOK",B2349)),
ISNUMBER(SEARCH("LAPTOP",B2349)),
ISNUMBER(SEARCH("MONITOR",B2349)),
ISNUMBER(SEARCH("TABLET",B2349)),
ISNUMBER(SEARCH("SMARTPH",B2349)),
ISNUMBER(SEARCH("IMPRESORA",B2349)),
ISNUMBER(SEARCH("MULTIFUNCIONAL",B2349)),
ISNUMBER(SEARCH("AIO",B2349))
),
"GANCHO",
"NORMAL"
)
)</f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>ROUND(
IF(L2346="GANCHO",
   IF(I2348&lt;=50,I2348*1.1+4,IF(I2348&lt;=120,I2348*1.1+7,IF(I2348&lt;=250,I2348*1.1+11,I2348*1.1+19))),
IF(L2346="NORMAL",
   IF(I2348&lt;=30,I2348*1.15+2,IF(I2348&lt;=80,I2348*1.15+4,IF(I2348&lt;=150,I2348*1.15+6,I2348*1.15+8))),
IF(L2346="COMPLEMENTO",
   IF(I2348&lt;=25,I2348*1.25+1.5,IF(I2348&lt;=60,I2348*1.25+3,IF(I2348&lt;=120,I2348*1.25+4,I2348*1.25+5))),
""))),2)</f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>IF(
OR(
ISNUMBER(SEARCH("BACKPACK",B2350)),
ISNUMBER(SEARCH("MOCHILA",B2350)),
ISNUMBER(SEARCH("FUNDA",B2350)),
ISNUMBER(SEARCH("ESTUCHE",B2350)),
ISNUMBER(SEARCH("BOOK COVER",B2350)),
ISNUMBER(SEARCH("KEYBOARD PARA TABLET",B2350)),
ISNUMBER(SEARCH("FLIP TABLET",B2350)),
ISNUMBER(SEARCH("CASE FOR TABLET",B2350)),
ISNUMBER(SEARCH("CABLE",B2350)),
ISNUMBER(SEARCH("ADAPTADOR",B2350)),
ISNUMBER(SEARCH("HUB",B2350)),
ISNUMBER(SEARCH("DOCK",B2350)),
ISNUMBER(SEARCH("MOUSE PAD",B2350)),
ISNUMBER(SEARCH("MOUSEPAD",B2350)),
ISNUMBER(SEARCH("SOPORTE",B2350)),
ISNUMBER(SEARCH("STAND",B2350)),
ISNUMBER(SEARCH("TRAVEL ADAPTER",B2350)),
ISNUMBER(SEARCH("RJ45",B2350)),
ISNUMBER(SEARCH("USB-C",B2350)),
ISNUMBER(SEARCH("USB WIFI",B2350)),
ISNUMBER(SEARCH("POWERBANK",B2350)),
ISNUMBER(SEARCH("CARGADOR",B2350)),
ISNUMBER(SEARCH("COOLER PARA NB",B2350)),
ISNUMBER(SEARCH("SOPORTE PARA NB",B2350)),
ISNUMBER(SEARCH("WEBCAM",B2350)),
ISNUMBER(SEARCH("WEB CAM",B2350)),
ISNUMBER(SEARCH("MOUSE",B2350)),
ISNUMBER(SEARCH("TECLADO",B2350))
),
"COMPLEMENTO",
IF(
OR(
LEFT(A2350,2)="NB",
LEFT(A2350,2)="PC",
LEFT(A2350,2)="WS",
LEFT(A2350,2)="TB",
LEFT(A2350,3)="CEL",
LEFT(A2350,3)="MON",
LEFT(A2350,3)="PRE",
LEFT(A2350,3)="PRH",
ISNUMBER(SEARCH("NOTEBOOK",B2350)),
ISNUMBER(SEARCH("LAPTOP",B2350)),
ISNUMBER(SEARCH("MONITOR",B2350)),
ISNUMBER(SEARCH("TABLET",B2350)),
ISNUMBER(SEARCH("SMARTPH",B2350)),
ISNUMBER(SEARCH("IMPRESORA",B2350)),
ISNUMBER(SEARCH("MULTIFUNCIONAL",B2350)),
ISNUMBER(SEARCH("AIO",B2350))
),
"GANCHO",
"NORMAL"
)
)</f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>ROUND(
IF(L2347="GANCHO",
   IF(I2349&lt;=50,I2349*1.1+4,IF(I2349&lt;=120,I2349*1.1+7,IF(I2349&lt;=250,I2349*1.1+11,I2349*1.1+19))),
IF(L2347="NORMAL",
   IF(I2349&lt;=30,I2349*1.15+2,IF(I2349&lt;=80,I2349*1.15+4,IF(I2349&lt;=150,I2349*1.15+6,I2349*1.15+8))),
IF(L2347="COMPLEMENTO",
   IF(I2349&lt;=25,I2349*1.25+1.5,IF(I2349&lt;=60,I2349*1.25+3,IF(I2349&lt;=120,I2349*1.25+4,I2349*1.25+5))),
""))),2)</f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>IF(
OR(
ISNUMBER(SEARCH("BACKPACK",B2351)),
ISNUMBER(SEARCH("MOCHILA",B2351)),
ISNUMBER(SEARCH("FUNDA",B2351)),
ISNUMBER(SEARCH("ESTUCHE",B2351)),
ISNUMBER(SEARCH("BOOK COVER",B2351)),
ISNUMBER(SEARCH("KEYBOARD PARA TABLET",B2351)),
ISNUMBER(SEARCH("FLIP TABLET",B2351)),
ISNUMBER(SEARCH("CASE FOR TABLET",B2351)),
ISNUMBER(SEARCH("CABLE",B2351)),
ISNUMBER(SEARCH("ADAPTADOR",B2351)),
ISNUMBER(SEARCH("HUB",B2351)),
ISNUMBER(SEARCH("DOCK",B2351)),
ISNUMBER(SEARCH("MOUSE PAD",B2351)),
ISNUMBER(SEARCH("MOUSEPAD",B2351)),
ISNUMBER(SEARCH("SOPORTE",B2351)),
ISNUMBER(SEARCH("STAND",B2351)),
ISNUMBER(SEARCH("TRAVEL ADAPTER",B2351)),
ISNUMBER(SEARCH("RJ45",B2351)),
ISNUMBER(SEARCH("USB-C",B2351)),
ISNUMBER(SEARCH("USB WIFI",B2351)),
ISNUMBER(SEARCH("POWERBANK",B2351)),
ISNUMBER(SEARCH("CARGADOR",B2351)),
ISNUMBER(SEARCH("COOLER PARA NB",B2351)),
ISNUMBER(SEARCH("SOPORTE PARA NB",B2351)),
ISNUMBER(SEARCH("WEBCAM",B2351)),
ISNUMBER(SEARCH("WEB CAM",B2351)),
ISNUMBER(SEARCH("MOUSE",B2351)),
ISNUMBER(SEARCH("TECLADO",B2351))
),
"COMPLEMENTO",
IF(
OR(
LEFT(A2351,2)="NB",
LEFT(A2351,2)="PC",
LEFT(A2351,2)="WS",
LEFT(A2351,2)="TB",
LEFT(A2351,3)="CEL",
LEFT(A2351,3)="MON",
LEFT(A2351,3)="PRE",
LEFT(A2351,3)="PRH",
ISNUMBER(SEARCH("NOTEBOOK",B2351)),
ISNUMBER(SEARCH("LAPTOP",B2351)),
ISNUMBER(SEARCH("MONITOR",B2351)),
ISNUMBER(SEARCH("TABLET",B2351)),
ISNUMBER(SEARCH("SMARTPH",B2351)),
ISNUMBER(SEARCH("IMPRESORA",B2351)),
ISNUMBER(SEARCH("MULTIFUNCIONAL",B2351)),
ISNUMBER(SEARCH("AIO",B2351))
),
"GANCHO",
"NORMAL"
)
)</f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>ROUND(
IF(L2348="GANCHO",
   IF(I2350&lt;=50,I2350*1.1+4,IF(I2350&lt;=120,I2350*1.1+7,IF(I2350&lt;=250,I2350*1.1+11,I2350*1.1+19))),
IF(L2348="NORMAL",
   IF(I2350&lt;=30,I2350*1.15+2,IF(I2350&lt;=80,I2350*1.15+4,IF(I2350&lt;=150,I2350*1.15+6,I2350*1.15+8))),
IF(L2348="COMPLEMENTO",
   IF(I2350&lt;=25,I2350*1.25+1.5,IF(I2350&lt;=60,I2350*1.25+3,IF(I2350&lt;=120,I2350*1.25+4,I2350*1.25+5))),
""))),2)</f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>IF(
OR(
ISNUMBER(SEARCH("BACKPACK",B2352)),
ISNUMBER(SEARCH("MOCHILA",B2352)),
ISNUMBER(SEARCH("FUNDA",B2352)),
ISNUMBER(SEARCH("ESTUCHE",B2352)),
ISNUMBER(SEARCH("BOOK COVER",B2352)),
ISNUMBER(SEARCH("KEYBOARD PARA TABLET",B2352)),
ISNUMBER(SEARCH("FLIP TABLET",B2352)),
ISNUMBER(SEARCH("CASE FOR TABLET",B2352)),
ISNUMBER(SEARCH("CABLE",B2352)),
ISNUMBER(SEARCH("ADAPTADOR",B2352)),
ISNUMBER(SEARCH("HUB",B2352)),
ISNUMBER(SEARCH("DOCK",B2352)),
ISNUMBER(SEARCH("MOUSE PAD",B2352)),
ISNUMBER(SEARCH("MOUSEPAD",B2352)),
ISNUMBER(SEARCH("SOPORTE",B2352)),
ISNUMBER(SEARCH("STAND",B2352)),
ISNUMBER(SEARCH("TRAVEL ADAPTER",B2352)),
ISNUMBER(SEARCH("RJ45",B2352)),
ISNUMBER(SEARCH("USB-C",B2352)),
ISNUMBER(SEARCH("USB WIFI",B2352)),
ISNUMBER(SEARCH("POWERBANK",B2352)),
ISNUMBER(SEARCH("CARGADOR",B2352)),
ISNUMBER(SEARCH("COOLER PARA NB",B2352)),
ISNUMBER(SEARCH("SOPORTE PARA NB",B2352)),
ISNUMBER(SEARCH("WEBCAM",B2352)),
ISNUMBER(SEARCH("WEB CAM",B2352)),
ISNUMBER(SEARCH("MOUSE",B2352)),
ISNUMBER(SEARCH("TECLADO",B2352))
),
"COMPLEMENTO",
IF(
OR(
LEFT(A2352,2)="NB",
LEFT(A2352,2)="PC",
LEFT(A2352,2)="WS",
LEFT(A2352,2)="TB",
LEFT(A2352,3)="CEL",
LEFT(A2352,3)="MON",
LEFT(A2352,3)="PRE",
LEFT(A2352,3)="PRH",
ISNUMBER(SEARCH("NOTEBOOK",B2352)),
ISNUMBER(SEARCH("LAPTOP",B2352)),
ISNUMBER(SEARCH("MONITOR",B2352)),
ISNUMBER(SEARCH("TABLET",B2352)),
ISNUMBER(SEARCH("SMARTPH",B2352)),
ISNUMBER(SEARCH("IMPRESORA",B2352)),
ISNUMBER(SEARCH("MULTIFUNCIONAL",B2352)),
ISNUMBER(SEARCH("AIO",B2352))
),
"GANCHO",
"NORMAL"
)
)</f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>ROUND(
IF(L2349="GANCHO",
   IF(I2351&lt;=50,I2351*1.1+4,IF(I2351&lt;=120,I2351*1.1+7,IF(I2351&lt;=250,I2351*1.1+11,I2351*1.1+19))),
IF(L2349="NORMAL",
   IF(I2351&lt;=30,I2351*1.15+2,IF(I2351&lt;=80,I2351*1.15+4,IF(I2351&lt;=150,I2351*1.15+6,I2351*1.15+8))),
IF(L2349="COMPLEMENTO",
   IF(I2351&lt;=25,I2351*1.25+1.5,IF(I2351&lt;=60,I2351*1.25+3,IF(I2351&lt;=120,I2351*1.25+4,I2351*1.25+5))),
""))),2)</f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>IF(
OR(
ISNUMBER(SEARCH("BACKPACK",B2353)),
ISNUMBER(SEARCH("MOCHILA",B2353)),
ISNUMBER(SEARCH("FUNDA",B2353)),
ISNUMBER(SEARCH("ESTUCHE",B2353)),
ISNUMBER(SEARCH("BOOK COVER",B2353)),
ISNUMBER(SEARCH("KEYBOARD PARA TABLET",B2353)),
ISNUMBER(SEARCH("FLIP TABLET",B2353)),
ISNUMBER(SEARCH("CASE FOR TABLET",B2353)),
ISNUMBER(SEARCH("CABLE",B2353)),
ISNUMBER(SEARCH("ADAPTADOR",B2353)),
ISNUMBER(SEARCH("HUB",B2353)),
ISNUMBER(SEARCH("DOCK",B2353)),
ISNUMBER(SEARCH("MOUSE PAD",B2353)),
ISNUMBER(SEARCH("MOUSEPAD",B2353)),
ISNUMBER(SEARCH("SOPORTE",B2353)),
ISNUMBER(SEARCH("STAND",B2353)),
ISNUMBER(SEARCH("TRAVEL ADAPTER",B2353)),
ISNUMBER(SEARCH("RJ45",B2353)),
ISNUMBER(SEARCH("USB-C",B2353)),
ISNUMBER(SEARCH("USB WIFI",B2353)),
ISNUMBER(SEARCH("POWERBANK",B2353)),
ISNUMBER(SEARCH("CARGADOR",B2353)),
ISNUMBER(SEARCH("COOLER PARA NB",B2353)),
ISNUMBER(SEARCH("SOPORTE PARA NB",B2353)),
ISNUMBER(SEARCH("WEBCAM",B2353)),
ISNUMBER(SEARCH("WEB CAM",B2353)),
ISNUMBER(SEARCH("MOUSE",B2353)),
ISNUMBER(SEARCH("TECLADO",B2353))
),
"COMPLEMENTO",
IF(
OR(
LEFT(A2353,2)="NB",
LEFT(A2353,2)="PC",
LEFT(A2353,2)="WS",
LEFT(A2353,2)="TB",
LEFT(A2353,3)="CEL",
LEFT(A2353,3)="MON",
LEFT(A2353,3)="PRE",
LEFT(A2353,3)="PRH",
ISNUMBER(SEARCH("NOTEBOOK",B2353)),
ISNUMBER(SEARCH("LAPTOP",B2353)),
ISNUMBER(SEARCH("MONITOR",B2353)),
ISNUMBER(SEARCH("TABLET",B2353)),
ISNUMBER(SEARCH("SMARTPH",B2353)),
ISNUMBER(SEARCH("IMPRESORA",B2353)),
ISNUMBER(SEARCH("MULTIFUNCIONAL",B2353)),
ISNUMBER(SEARCH("AIO",B2353))
),
"GANCHO",
"NORMAL"
)
)</f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>ROUND(
IF(L2350="GANCHO",
   IF(I2352&lt;=50,I2352*1.1+4,IF(I2352&lt;=120,I2352*1.1+7,IF(I2352&lt;=250,I2352*1.1+11,I2352*1.1+19))),
IF(L2350="NORMAL",
   IF(I2352&lt;=30,I2352*1.15+2,IF(I2352&lt;=80,I2352*1.15+4,IF(I2352&lt;=150,I2352*1.15+6,I2352*1.15+8))),
IF(L2350="COMPLEMENTO",
   IF(I2352&lt;=25,I2352*1.25+1.5,IF(I2352&lt;=60,I2352*1.25+3,IF(I2352&lt;=120,I2352*1.25+4,I2352*1.25+5))),
""))),2)</f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>IF(
OR(
ISNUMBER(SEARCH("BACKPACK",B2354)),
ISNUMBER(SEARCH("MOCHILA",B2354)),
ISNUMBER(SEARCH("FUNDA",B2354)),
ISNUMBER(SEARCH("ESTUCHE",B2354)),
ISNUMBER(SEARCH("BOOK COVER",B2354)),
ISNUMBER(SEARCH("KEYBOARD PARA TABLET",B2354)),
ISNUMBER(SEARCH("FLIP TABLET",B2354)),
ISNUMBER(SEARCH("CASE FOR TABLET",B2354)),
ISNUMBER(SEARCH("CABLE",B2354)),
ISNUMBER(SEARCH("ADAPTADOR",B2354)),
ISNUMBER(SEARCH("HUB",B2354)),
ISNUMBER(SEARCH("DOCK",B2354)),
ISNUMBER(SEARCH("MOUSE PAD",B2354)),
ISNUMBER(SEARCH("MOUSEPAD",B2354)),
ISNUMBER(SEARCH("SOPORTE",B2354)),
ISNUMBER(SEARCH("STAND",B2354)),
ISNUMBER(SEARCH("TRAVEL ADAPTER",B2354)),
ISNUMBER(SEARCH("RJ45",B2354)),
ISNUMBER(SEARCH("USB-C",B2354)),
ISNUMBER(SEARCH("USB WIFI",B2354)),
ISNUMBER(SEARCH("POWERBANK",B2354)),
ISNUMBER(SEARCH("CARGADOR",B2354)),
ISNUMBER(SEARCH("COOLER PARA NB",B2354)),
ISNUMBER(SEARCH("SOPORTE PARA NB",B2354)),
ISNUMBER(SEARCH("WEBCAM",B2354)),
ISNUMBER(SEARCH("WEB CAM",B2354)),
ISNUMBER(SEARCH("MOUSE",B2354)),
ISNUMBER(SEARCH("TECLADO",B2354))
),
"COMPLEMENTO",
IF(
OR(
LEFT(A2354,2)="NB",
LEFT(A2354,2)="PC",
LEFT(A2354,2)="WS",
LEFT(A2354,2)="TB",
LEFT(A2354,3)="CEL",
LEFT(A2354,3)="MON",
LEFT(A2354,3)="PRE",
LEFT(A2354,3)="PRH",
ISNUMBER(SEARCH("NOTEBOOK",B2354)),
ISNUMBER(SEARCH("LAPTOP",B2354)),
ISNUMBER(SEARCH("MONITOR",B2354)),
ISNUMBER(SEARCH("TABLET",B2354)),
ISNUMBER(SEARCH("SMARTPH",B2354)),
ISNUMBER(SEARCH("IMPRESORA",B2354)),
ISNUMBER(SEARCH("MULTIFUNCIONAL",B2354)),
ISNUMBER(SEARCH("AIO",B2354))
),
"GANCHO",
"NORMAL"
)
)</f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>ROUND(
IF(L2351="GANCHO",
   IF(I2353&lt;=50,I2353*1.1+4,IF(I2353&lt;=120,I2353*1.1+7,IF(I2353&lt;=250,I2353*1.1+11,I2353*1.1+19))),
IF(L2351="NORMAL",
   IF(I2353&lt;=30,I2353*1.15+2,IF(I2353&lt;=80,I2353*1.15+4,IF(I2353&lt;=150,I2353*1.15+6,I2353*1.15+8))),
IF(L2351="COMPLEMENTO",
   IF(I2353&lt;=25,I2353*1.25+1.5,IF(I2353&lt;=60,I2353*1.25+3,IF(I2353&lt;=120,I2353*1.25+4,I2353*1.25+5))),
""))),2)</f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>IF(
OR(
ISNUMBER(SEARCH("BACKPACK",B2355)),
ISNUMBER(SEARCH("MOCHILA",B2355)),
ISNUMBER(SEARCH("FUNDA",B2355)),
ISNUMBER(SEARCH("ESTUCHE",B2355)),
ISNUMBER(SEARCH("BOOK COVER",B2355)),
ISNUMBER(SEARCH("KEYBOARD PARA TABLET",B2355)),
ISNUMBER(SEARCH("FLIP TABLET",B2355)),
ISNUMBER(SEARCH("CASE FOR TABLET",B2355)),
ISNUMBER(SEARCH("CABLE",B2355)),
ISNUMBER(SEARCH("ADAPTADOR",B2355)),
ISNUMBER(SEARCH("HUB",B2355)),
ISNUMBER(SEARCH("DOCK",B2355)),
ISNUMBER(SEARCH("MOUSE PAD",B2355)),
ISNUMBER(SEARCH("MOUSEPAD",B2355)),
ISNUMBER(SEARCH("SOPORTE",B2355)),
ISNUMBER(SEARCH("STAND",B2355)),
ISNUMBER(SEARCH("TRAVEL ADAPTER",B2355)),
ISNUMBER(SEARCH("RJ45",B2355)),
ISNUMBER(SEARCH("USB-C",B2355)),
ISNUMBER(SEARCH("USB WIFI",B2355)),
ISNUMBER(SEARCH("POWERBANK",B2355)),
ISNUMBER(SEARCH("CARGADOR",B2355)),
ISNUMBER(SEARCH("COOLER PARA NB",B2355)),
ISNUMBER(SEARCH("SOPORTE PARA NB",B2355)),
ISNUMBER(SEARCH("WEBCAM",B2355)),
ISNUMBER(SEARCH("WEB CAM",B2355)),
ISNUMBER(SEARCH("MOUSE",B2355)),
ISNUMBER(SEARCH("TECLADO",B2355))
),
"COMPLEMENTO",
IF(
OR(
LEFT(A2355,2)="NB",
LEFT(A2355,2)="PC",
LEFT(A2355,2)="WS",
LEFT(A2355,2)="TB",
LEFT(A2355,3)="CEL",
LEFT(A2355,3)="MON",
LEFT(A2355,3)="PRE",
LEFT(A2355,3)="PRH",
ISNUMBER(SEARCH("NOTEBOOK",B2355)),
ISNUMBER(SEARCH("LAPTOP",B2355)),
ISNUMBER(SEARCH("MONITOR",B2355)),
ISNUMBER(SEARCH("TABLET",B2355)),
ISNUMBER(SEARCH("SMARTPH",B2355)),
ISNUMBER(SEARCH("IMPRESORA",B2355)),
ISNUMBER(SEARCH("MULTIFUNCIONAL",B2355)),
ISNUMBER(SEARCH("AIO",B2355))
),
"GANCHO",
"NORMAL"
)
)</f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>ROUND(
IF(L2352="GANCHO",
   IF(I2354&lt;=50,I2354*1.1+4,IF(I2354&lt;=120,I2354*1.1+7,IF(I2354&lt;=250,I2354*1.1+11,I2354*1.1+19))),
IF(L2352="NORMAL",
   IF(I2354&lt;=30,I2354*1.15+2,IF(I2354&lt;=80,I2354*1.15+4,IF(I2354&lt;=150,I2354*1.15+6,I2354*1.15+8))),
IF(L2352="COMPLEMENTO",
   IF(I2354&lt;=25,I2354*1.25+1.5,IF(I2354&lt;=60,I2354*1.25+3,IF(I2354&lt;=120,I2354*1.25+4,I2354*1.25+5))),
""))),2)</f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>IF(
OR(
ISNUMBER(SEARCH("BACKPACK",B2356)),
ISNUMBER(SEARCH("MOCHILA",B2356)),
ISNUMBER(SEARCH("FUNDA",B2356)),
ISNUMBER(SEARCH("ESTUCHE",B2356)),
ISNUMBER(SEARCH("BOOK COVER",B2356)),
ISNUMBER(SEARCH("KEYBOARD PARA TABLET",B2356)),
ISNUMBER(SEARCH("FLIP TABLET",B2356)),
ISNUMBER(SEARCH("CASE FOR TABLET",B2356)),
ISNUMBER(SEARCH("CABLE",B2356)),
ISNUMBER(SEARCH("ADAPTADOR",B2356)),
ISNUMBER(SEARCH("HUB",B2356)),
ISNUMBER(SEARCH("DOCK",B2356)),
ISNUMBER(SEARCH("MOUSE PAD",B2356)),
ISNUMBER(SEARCH("MOUSEPAD",B2356)),
ISNUMBER(SEARCH("SOPORTE",B2356)),
ISNUMBER(SEARCH("STAND",B2356)),
ISNUMBER(SEARCH("TRAVEL ADAPTER",B2356)),
ISNUMBER(SEARCH("RJ45",B2356)),
ISNUMBER(SEARCH("USB-C",B2356)),
ISNUMBER(SEARCH("USB WIFI",B2356)),
ISNUMBER(SEARCH("POWERBANK",B2356)),
ISNUMBER(SEARCH("CARGADOR",B2356)),
ISNUMBER(SEARCH("COOLER PARA NB",B2356)),
ISNUMBER(SEARCH("SOPORTE PARA NB",B2356)),
ISNUMBER(SEARCH("WEBCAM",B2356)),
ISNUMBER(SEARCH("WEB CAM",B2356)),
ISNUMBER(SEARCH("MOUSE",B2356)),
ISNUMBER(SEARCH("TECLADO",B2356))
),
"COMPLEMENTO",
IF(
OR(
LEFT(A2356,2)="NB",
LEFT(A2356,2)="PC",
LEFT(A2356,2)="WS",
LEFT(A2356,2)="TB",
LEFT(A2356,3)="CEL",
LEFT(A2356,3)="MON",
LEFT(A2356,3)="PRE",
LEFT(A2356,3)="PRH",
ISNUMBER(SEARCH("NOTEBOOK",B2356)),
ISNUMBER(SEARCH("LAPTOP",B2356)),
ISNUMBER(SEARCH("MONITOR",B2356)),
ISNUMBER(SEARCH("TABLET",B2356)),
ISNUMBER(SEARCH("SMARTPH",B2356)),
ISNUMBER(SEARCH("IMPRESORA",B2356)),
ISNUMBER(SEARCH("MULTIFUNCIONAL",B2356)),
ISNUMBER(SEARCH("AIO",B2356))
),
"GANCHO",
"NORMAL"
)
)</f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>ROUND(
IF(L2353="GANCHO",
   IF(I2355&lt;=50,I2355*1.1+4,IF(I2355&lt;=120,I2355*1.1+7,IF(I2355&lt;=250,I2355*1.1+11,I2355*1.1+19))),
IF(L2353="NORMAL",
   IF(I2355&lt;=30,I2355*1.15+2,IF(I2355&lt;=80,I2355*1.15+4,IF(I2355&lt;=150,I2355*1.15+6,I2355*1.15+8))),
IF(L2353="COMPLEMENTO",
   IF(I2355&lt;=25,I2355*1.25+1.5,IF(I2355&lt;=60,I2355*1.25+3,IF(I2355&lt;=120,I2355*1.25+4,I2355*1.25+5))),
""))),2)</f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>IF(
OR(
ISNUMBER(SEARCH("BACKPACK",B2357)),
ISNUMBER(SEARCH("MOCHILA",B2357)),
ISNUMBER(SEARCH("FUNDA",B2357)),
ISNUMBER(SEARCH("ESTUCHE",B2357)),
ISNUMBER(SEARCH("BOOK COVER",B2357)),
ISNUMBER(SEARCH("KEYBOARD PARA TABLET",B2357)),
ISNUMBER(SEARCH("FLIP TABLET",B2357)),
ISNUMBER(SEARCH("CASE FOR TABLET",B2357)),
ISNUMBER(SEARCH("CABLE",B2357)),
ISNUMBER(SEARCH("ADAPTADOR",B2357)),
ISNUMBER(SEARCH("HUB",B2357)),
ISNUMBER(SEARCH("DOCK",B2357)),
ISNUMBER(SEARCH("MOUSE PAD",B2357)),
ISNUMBER(SEARCH("MOUSEPAD",B2357)),
ISNUMBER(SEARCH("SOPORTE",B2357)),
ISNUMBER(SEARCH("STAND",B2357)),
ISNUMBER(SEARCH("TRAVEL ADAPTER",B2357)),
ISNUMBER(SEARCH("RJ45",B2357)),
ISNUMBER(SEARCH("USB-C",B2357)),
ISNUMBER(SEARCH("USB WIFI",B2357)),
ISNUMBER(SEARCH("POWERBANK",B2357)),
ISNUMBER(SEARCH("CARGADOR",B2357)),
ISNUMBER(SEARCH("COOLER PARA NB",B2357)),
ISNUMBER(SEARCH("SOPORTE PARA NB",B2357)),
ISNUMBER(SEARCH("WEBCAM",B2357)),
ISNUMBER(SEARCH("WEB CAM",B2357)),
ISNUMBER(SEARCH("MOUSE",B2357)),
ISNUMBER(SEARCH("TECLADO",B2357))
),
"COMPLEMENTO",
IF(
OR(
LEFT(A2357,2)="NB",
LEFT(A2357,2)="PC",
LEFT(A2357,2)="WS",
LEFT(A2357,2)="TB",
LEFT(A2357,3)="CEL",
LEFT(A2357,3)="MON",
LEFT(A2357,3)="PRE",
LEFT(A2357,3)="PRH",
ISNUMBER(SEARCH("NOTEBOOK",B2357)),
ISNUMBER(SEARCH("LAPTOP",B2357)),
ISNUMBER(SEARCH("MONITOR",B2357)),
ISNUMBER(SEARCH("TABLET",B2357)),
ISNUMBER(SEARCH("SMARTPH",B2357)),
ISNUMBER(SEARCH("IMPRESORA",B2357)),
ISNUMBER(SEARCH("MULTIFUNCIONAL",B2357)),
ISNUMBER(SEARCH("AIO",B2357))
),
"GANCHO",
"NORMAL"
)
)</f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>ROUND(
IF(L2354="GANCHO",
   IF(I2356&lt;=50,I2356*1.1+4,IF(I2356&lt;=120,I2356*1.1+7,IF(I2356&lt;=250,I2356*1.1+11,I2356*1.1+19))),
IF(L2354="NORMAL",
   IF(I2356&lt;=30,I2356*1.15+2,IF(I2356&lt;=80,I2356*1.15+4,IF(I2356&lt;=150,I2356*1.15+6,I2356*1.15+8))),
IF(L2354="COMPLEMENTO",
   IF(I2356&lt;=25,I2356*1.25+1.5,IF(I2356&lt;=60,I2356*1.25+3,IF(I2356&lt;=120,I2356*1.25+4,I2356*1.25+5))),
""))),2)</f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>IF(
OR(
ISNUMBER(SEARCH("BACKPACK",B2358)),
ISNUMBER(SEARCH("MOCHILA",B2358)),
ISNUMBER(SEARCH("FUNDA",B2358)),
ISNUMBER(SEARCH("ESTUCHE",B2358)),
ISNUMBER(SEARCH("BOOK COVER",B2358)),
ISNUMBER(SEARCH("KEYBOARD PARA TABLET",B2358)),
ISNUMBER(SEARCH("FLIP TABLET",B2358)),
ISNUMBER(SEARCH("CASE FOR TABLET",B2358)),
ISNUMBER(SEARCH("CABLE",B2358)),
ISNUMBER(SEARCH("ADAPTADOR",B2358)),
ISNUMBER(SEARCH("HUB",B2358)),
ISNUMBER(SEARCH("DOCK",B2358)),
ISNUMBER(SEARCH("MOUSE PAD",B2358)),
ISNUMBER(SEARCH("MOUSEPAD",B2358)),
ISNUMBER(SEARCH("SOPORTE",B2358)),
ISNUMBER(SEARCH("STAND",B2358)),
ISNUMBER(SEARCH("TRAVEL ADAPTER",B2358)),
ISNUMBER(SEARCH("RJ45",B2358)),
ISNUMBER(SEARCH("USB-C",B2358)),
ISNUMBER(SEARCH("USB WIFI",B2358)),
ISNUMBER(SEARCH("POWERBANK",B2358)),
ISNUMBER(SEARCH("CARGADOR",B2358)),
ISNUMBER(SEARCH("COOLER PARA NB",B2358)),
ISNUMBER(SEARCH("SOPORTE PARA NB",B2358)),
ISNUMBER(SEARCH("WEBCAM",B2358)),
ISNUMBER(SEARCH("WEB CAM",B2358)),
ISNUMBER(SEARCH("MOUSE",B2358)),
ISNUMBER(SEARCH("TECLADO",B2358))
),
"COMPLEMENTO",
IF(
OR(
LEFT(A2358,2)="NB",
LEFT(A2358,2)="PC",
LEFT(A2358,2)="WS",
LEFT(A2358,2)="TB",
LEFT(A2358,3)="CEL",
LEFT(A2358,3)="MON",
LEFT(A2358,3)="PRE",
LEFT(A2358,3)="PRH",
ISNUMBER(SEARCH("NOTEBOOK",B2358)),
ISNUMBER(SEARCH("LAPTOP",B2358)),
ISNUMBER(SEARCH("MONITOR",B2358)),
ISNUMBER(SEARCH("TABLET",B2358)),
ISNUMBER(SEARCH("SMARTPH",B2358)),
ISNUMBER(SEARCH("IMPRESORA",B2358)),
ISNUMBER(SEARCH("MULTIFUNCIONAL",B2358)),
ISNUMBER(SEARCH("AIO",B2358))
),
"GANCHO",
"NORMAL"
)
)</f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>ROUND(
IF(L2355="GANCHO",
   IF(I2357&lt;=50,I2357*1.1+4,IF(I2357&lt;=120,I2357*1.1+7,IF(I2357&lt;=250,I2357*1.1+11,I2357*1.1+19))),
IF(L2355="NORMAL",
   IF(I2357&lt;=30,I2357*1.15+2,IF(I2357&lt;=80,I2357*1.15+4,IF(I2357&lt;=150,I2357*1.15+6,I2357*1.15+8))),
IF(L2355="COMPLEMENTO",
   IF(I2357&lt;=25,I2357*1.25+1.5,IF(I2357&lt;=60,I2357*1.25+3,IF(I2357&lt;=120,I2357*1.25+4,I2357*1.25+5))),
""))),2)</f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>IF(
OR(
ISNUMBER(SEARCH("BACKPACK",B2359)),
ISNUMBER(SEARCH("MOCHILA",B2359)),
ISNUMBER(SEARCH("FUNDA",B2359)),
ISNUMBER(SEARCH("ESTUCHE",B2359)),
ISNUMBER(SEARCH("BOOK COVER",B2359)),
ISNUMBER(SEARCH("KEYBOARD PARA TABLET",B2359)),
ISNUMBER(SEARCH("FLIP TABLET",B2359)),
ISNUMBER(SEARCH("CASE FOR TABLET",B2359)),
ISNUMBER(SEARCH("CABLE",B2359)),
ISNUMBER(SEARCH("ADAPTADOR",B2359)),
ISNUMBER(SEARCH("HUB",B2359)),
ISNUMBER(SEARCH("DOCK",B2359)),
ISNUMBER(SEARCH("MOUSE PAD",B2359)),
ISNUMBER(SEARCH("MOUSEPAD",B2359)),
ISNUMBER(SEARCH("SOPORTE",B2359)),
ISNUMBER(SEARCH("STAND",B2359)),
ISNUMBER(SEARCH("TRAVEL ADAPTER",B2359)),
ISNUMBER(SEARCH("RJ45",B2359)),
ISNUMBER(SEARCH("USB-C",B2359)),
ISNUMBER(SEARCH("USB WIFI",B2359)),
ISNUMBER(SEARCH("POWERBANK",B2359)),
ISNUMBER(SEARCH("CARGADOR",B2359)),
ISNUMBER(SEARCH("COOLER PARA NB",B2359)),
ISNUMBER(SEARCH("SOPORTE PARA NB",B2359)),
ISNUMBER(SEARCH("WEBCAM",B2359)),
ISNUMBER(SEARCH("WEB CAM",B2359)),
ISNUMBER(SEARCH("MOUSE",B2359)),
ISNUMBER(SEARCH("TECLADO",B2359))
),
"COMPLEMENTO",
IF(
OR(
LEFT(A2359,2)="NB",
LEFT(A2359,2)="PC",
LEFT(A2359,2)="WS",
LEFT(A2359,2)="TB",
LEFT(A2359,3)="CEL",
LEFT(A2359,3)="MON",
LEFT(A2359,3)="PRE",
LEFT(A2359,3)="PRH",
ISNUMBER(SEARCH("NOTEBOOK",B2359)),
ISNUMBER(SEARCH("LAPTOP",B2359)),
ISNUMBER(SEARCH("MONITOR",B2359)),
ISNUMBER(SEARCH("TABLET",B2359)),
ISNUMBER(SEARCH("SMARTPH",B2359)),
ISNUMBER(SEARCH("IMPRESORA",B2359)),
ISNUMBER(SEARCH("MULTIFUNCIONAL",B2359)),
ISNUMBER(SEARCH("AIO",B2359))
),
"GANCHO",
"NORMAL"
)
)</f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>ROUND(
IF(L2356="GANCHO",
   IF(I2358&lt;=50,I2358*1.1+4,IF(I2358&lt;=120,I2358*1.1+7,IF(I2358&lt;=250,I2358*1.1+11,I2358*1.1+19))),
IF(L2356="NORMAL",
   IF(I2358&lt;=30,I2358*1.15+2,IF(I2358&lt;=80,I2358*1.15+4,IF(I2358&lt;=150,I2358*1.15+6,I2358*1.15+8))),
IF(L2356="COMPLEMENTO",
   IF(I2358&lt;=25,I2358*1.25+1.5,IF(I2358&lt;=60,I2358*1.25+3,IF(I2358&lt;=120,I2358*1.25+4,I2358*1.25+5))),
""))),2)</f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>IF(
OR(
ISNUMBER(SEARCH("BACKPACK",B2360)),
ISNUMBER(SEARCH("MOCHILA",B2360)),
ISNUMBER(SEARCH("FUNDA",B2360)),
ISNUMBER(SEARCH("ESTUCHE",B2360)),
ISNUMBER(SEARCH("BOOK COVER",B2360)),
ISNUMBER(SEARCH("KEYBOARD PARA TABLET",B2360)),
ISNUMBER(SEARCH("FLIP TABLET",B2360)),
ISNUMBER(SEARCH("CASE FOR TABLET",B2360)),
ISNUMBER(SEARCH("CABLE",B2360)),
ISNUMBER(SEARCH("ADAPTADOR",B2360)),
ISNUMBER(SEARCH("HUB",B2360)),
ISNUMBER(SEARCH("DOCK",B2360)),
ISNUMBER(SEARCH("MOUSE PAD",B2360)),
ISNUMBER(SEARCH("MOUSEPAD",B2360)),
ISNUMBER(SEARCH("SOPORTE",B2360)),
ISNUMBER(SEARCH("STAND",B2360)),
ISNUMBER(SEARCH("TRAVEL ADAPTER",B2360)),
ISNUMBER(SEARCH("RJ45",B2360)),
ISNUMBER(SEARCH("USB-C",B2360)),
ISNUMBER(SEARCH("USB WIFI",B2360)),
ISNUMBER(SEARCH("POWERBANK",B2360)),
ISNUMBER(SEARCH("CARGADOR",B2360)),
ISNUMBER(SEARCH("COOLER PARA NB",B2360)),
ISNUMBER(SEARCH("SOPORTE PARA NB",B2360)),
ISNUMBER(SEARCH("WEBCAM",B2360)),
ISNUMBER(SEARCH("WEB CAM",B2360)),
ISNUMBER(SEARCH("MOUSE",B2360)),
ISNUMBER(SEARCH("TECLADO",B2360))
),
"COMPLEMENTO",
IF(
OR(
LEFT(A2360,2)="NB",
LEFT(A2360,2)="PC",
LEFT(A2360,2)="WS",
LEFT(A2360,2)="TB",
LEFT(A2360,3)="CEL",
LEFT(A2360,3)="MON",
LEFT(A2360,3)="PRE",
LEFT(A2360,3)="PRH",
ISNUMBER(SEARCH("NOTEBOOK",B2360)),
ISNUMBER(SEARCH("LAPTOP",B2360)),
ISNUMBER(SEARCH("MONITOR",B2360)),
ISNUMBER(SEARCH("TABLET",B2360)),
ISNUMBER(SEARCH("SMARTPH",B2360)),
ISNUMBER(SEARCH("IMPRESORA",B2360)),
ISNUMBER(SEARCH("MULTIFUNCIONAL",B2360)),
ISNUMBER(SEARCH("AIO",B2360))
),
"GANCHO",
"NORMAL"
)
)</f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>ROUND(
IF(L2357="GANCHO",
   IF(I2359&lt;=50,I2359*1.1+4,IF(I2359&lt;=120,I2359*1.1+7,IF(I2359&lt;=250,I2359*1.1+11,I2359*1.1+19))),
IF(L2357="NORMAL",
   IF(I2359&lt;=30,I2359*1.15+2,IF(I2359&lt;=80,I2359*1.15+4,IF(I2359&lt;=150,I2359*1.15+6,I2359*1.15+8))),
IF(L2357="COMPLEMENTO",
   IF(I2359&lt;=25,I2359*1.25+1.5,IF(I2359&lt;=60,I2359*1.25+3,IF(I2359&lt;=120,I2359*1.25+4,I2359*1.25+5))),
""))),2)</f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>IF(
OR(
ISNUMBER(SEARCH("BACKPACK",B2361)),
ISNUMBER(SEARCH("MOCHILA",B2361)),
ISNUMBER(SEARCH("FUNDA",B2361)),
ISNUMBER(SEARCH("ESTUCHE",B2361)),
ISNUMBER(SEARCH("BOOK COVER",B2361)),
ISNUMBER(SEARCH("KEYBOARD PARA TABLET",B2361)),
ISNUMBER(SEARCH("FLIP TABLET",B2361)),
ISNUMBER(SEARCH("CASE FOR TABLET",B2361)),
ISNUMBER(SEARCH("CABLE",B2361)),
ISNUMBER(SEARCH("ADAPTADOR",B2361)),
ISNUMBER(SEARCH("HUB",B2361)),
ISNUMBER(SEARCH("DOCK",B2361)),
ISNUMBER(SEARCH("MOUSE PAD",B2361)),
ISNUMBER(SEARCH("MOUSEPAD",B2361)),
ISNUMBER(SEARCH("SOPORTE",B2361)),
ISNUMBER(SEARCH("STAND",B2361)),
ISNUMBER(SEARCH("TRAVEL ADAPTER",B2361)),
ISNUMBER(SEARCH("RJ45",B2361)),
ISNUMBER(SEARCH("USB-C",B2361)),
ISNUMBER(SEARCH("USB WIFI",B2361)),
ISNUMBER(SEARCH("POWERBANK",B2361)),
ISNUMBER(SEARCH("CARGADOR",B2361)),
ISNUMBER(SEARCH("COOLER PARA NB",B2361)),
ISNUMBER(SEARCH("SOPORTE PARA NB",B2361)),
ISNUMBER(SEARCH("WEBCAM",B2361)),
ISNUMBER(SEARCH("WEB CAM",B2361)),
ISNUMBER(SEARCH("MOUSE",B2361)),
ISNUMBER(SEARCH("TECLADO",B2361))
),
"COMPLEMENTO",
IF(
OR(
LEFT(A2361,2)="NB",
LEFT(A2361,2)="PC",
LEFT(A2361,2)="WS",
LEFT(A2361,2)="TB",
LEFT(A2361,3)="CEL",
LEFT(A2361,3)="MON",
LEFT(A2361,3)="PRE",
LEFT(A2361,3)="PRH",
ISNUMBER(SEARCH("NOTEBOOK",B2361)),
ISNUMBER(SEARCH("LAPTOP",B2361)),
ISNUMBER(SEARCH("MONITOR",B2361)),
ISNUMBER(SEARCH("TABLET",B2361)),
ISNUMBER(SEARCH("SMARTPH",B2361)),
ISNUMBER(SEARCH("IMPRESORA",B2361)),
ISNUMBER(SEARCH("MULTIFUNCIONAL",B2361)),
ISNUMBER(SEARCH("AIO",B2361))
),
"GANCHO",
"NORMAL"
)
)</f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>ROUND(
IF(L2358="GANCHO",
   IF(I2360&lt;=50,I2360*1.1+4,IF(I2360&lt;=120,I2360*1.1+7,IF(I2360&lt;=250,I2360*1.1+11,I2360*1.1+19))),
IF(L2358="NORMAL",
   IF(I2360&lt;=30,I2360*1.15+2,IF(I2360&lt;=80,I2360*1.15+4,IF(I2360&lt;=150,I2360*1.15+6,I2360*1.15+8))),
IF(L2358="COMPLEMENTO",
   IF(I2360&lt;=25,I2360*1.25+1.5,IF(I2360&lt;=60,I2360*1.25+3,IF(I2360&lt;=120,I2360*1.25+4,I2360*1.25+5))),
""))),2)</f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>IF(
OR(
ISNUMBER(SEARCH("BACKPACK",B2362)),
ISNUMBER(SEARCH("MOCHILA",B2362)),
ISNUMBER(SEARCH("FUNDA",B2362)),
ISNUMBER(SEARCH("ESTUCHE",B2362)),
ISNUMBER(SEARCH("BOOK COVER",B2362)),
ISNUMBER(SEARCH("KEYBOARD PARA TABLET",B2362)),
ISNUMBER(SEARCH("FLIP TABLET",B2362)),
ISNUMBER(SEARCH("CASE FOR TABLET",B2362)),
ISNUMBER(SEARCH("CABLE",B2362)),
ISNUMBER(SEARCH("ADAPTADOR",B2362)),
ISNUMBER(SEARCH("HUB",B2362)),
ISNUMBER(SEARCH("DOCK",B2362)),
ISNUMBER(SEARCH("MOUSE PAD",B2362)),
ISNUMBER(SEARCH("MOUSEPAD",B2362)),
ISNUMBER(SEARCH("SOPORTE",B2362)),
ISNUMBER(SEARCH("STAND",B2362)),
ISNUMBER(SEARCH("TRAVEL ADAPTER",B2362)),
ISNUMBER(SEARCH("RJ45",B2362)),
ISNUMBER(SEARCH("USB-C",B2362)),
ISNUMBER(SEARCH("USB WIFI",B2362)),
ISNUMBER(SEARCH("POWERBANK",B2362)),
ISNUMBER(SEARCH("CARGADOR",B2362)),
ISNUMBER(SEARCH("COOLER PARA NB",B2362)),
ISNUMBER(SEARCH("SOPORTE PARA NB",B2362)),
ISNUMBER(SEARCH("WEBCAM",B2362)),
ISNUMBER(SEARCH("WEB CAM",B2362)),
ISNUMBER(SEARCH("MOUSE",B2362)),
ISNUMBER(SEARCH("TECLADO",B2362))
),
"COMPLEMENTO",
IF(
OR(
LEFT(A2362,2)="NB",
LEFT(A2362,2)="PC",
LEFT(A2362,2)="WS",
LEFT(A2362,2)="TB",
LEFT(A2362,3)="CEL",
LEFT(A2362,3)="MON",
LEFT(A2362,3)="PRE",
LEFT(A2362,3)="PRH",
ISNUMBER(SEARCH("NOTEBOOK",B2362)),
ISNUMBER(SEARCH("LAPTOP",B2362)),
ISNUMBER(SEARCH("MONITOR",B2362)),
ISNUMBER(SEARCH("TABLET",B2362)),
ISNUMBER(SEARCH("SMARTPH",B2362)),
ISNUMBER(SEARCH("IMPRESORA",B2362)),
ISNUMBER(SEARCH("MULTIFUNCIONAL",B2362)),
ISNUMBER(SEARCH("AIO",B2362))
),
"GANCHO",
"NORMAL"
)
)</f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>ROUND(
IF(L2359="GANCHO",
   IF(I2361&lt;=50,I2361*1.1+4,IF(I2361&lt;=120,I2361*1.1+7,IF(I2361&lt;=250,I2361*1.1+11,I2361*1.1+19))),
IF(L2359="NORMAL",
   IF(I2361&lt;=30,I2361*1.15+2,IF(I2361&lt;=80,I2361*1.15+4,IF(I2361&lt;=150,I2361*1.15+6,I2361*1.15+8))),
IF(L2359="COMPLEMENTO",
   IF(I2361&lt;=25,I2361*1.25+1.5,IF(I2361&lt;=60,I2361*1.25+3,IF(I2361&lt;=120,I2361*1.25+4,I2361*1.25+5))),
""))),2)</f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>IF(
OR(
ISNUMBER(SEARCH("BACKPACK",B2363)),
ISNUMBER(SEARCH("MOCHILA",B2363)),
ISNUMBER(SEARCH("FUNDA",B2363)),
ISNUMBER(SEARCH("ESTUCHE",B2363)),
ISNUMBER(SEARCH("BOOK COVER",B2363)),
ISNUMBER(SEARCH("KEYBOARD PARA TABLET",B2363)),
ISNUMBER(SEARCH("FLIP TABLET",B2363)),
ISNUMBER(SEARCH("CASE FOR TABLET",B2363)),
ISNUMBER(SEARCH("CABLE",B2363)),
ISNUMBER(SEARCH("ADAPTADOR",B2363)),
ISNUMBER(SEARCH("HUB",B2363)),
ISNUMBER(SEARCH("DOCK",B2363)),
ISNUMBER(SEARCH("MOUSE PAD",B2363)),
ISNUMBER(SEARCH("MOUSEPAD",B2363)),
ISNUMBER(SEARCH("SOPORTE",B2363)),
ISNUMBER(SEARCH("STAND",B2363)),
ISNUMBER(SEARCH("TRAVEL ADAPTER",B2363)),
ISNUMBER(SEARCH("RJ45",B2363)),
ISNUMBER(SEARCH("USB-C",B2363)),
ISNUMBER(SEARCH("USB WIFI",B2363)),
ISNUMBER(SEARCH("POWERBANK",B2363)),
ISNUMBER(SEARCH("CARGADOR",B2363)),
ISNUMBER(SEARCH("COOLER PARA NB",B2363)),
ISNUMBER(SEARCH("SOPORTE PARA NB",B2363)),
ISNUMBER(SEARCH("WEBCAM",B2363)),
ISNUMBER(SEARCH("WEB CAM",B2363)),
ISNUMBER(SEARCH("MOUSE",B2363)),
ISNUMBER(SEARCH("TECLADO",B2363))
),
"COMPLEMENTO",
IF(
OR(
LEFT(A2363,2)="NB",
LEFT(A2363,2)="PC",
LEFT(A2363,2)="WS",
LEFT(A2363,2)="TB",
LEFT(A2363,3)="CEL",
LEFT(A2363,3)="MON",
LEFT(A2363,3)="PRE",
LEFT(A2363,3)="PRH",
ISNUMBER(SEARCH("NOTEBOOK",B2363)),
ISNUMBER(SEARCH("LAPTOP",B2363)),
ISNUMBER(SEARCH("MONITOR",B2363)),
ISNUMBER(SEARCH("TABLET",B2363)),
ISNUMBER(SEARCH("SMARTPH",B2363)),
ISNUMBER(SEARCH("IMPRESORA",B2363)),
ISNUMBER(SEARCH("MULTIFUNCIONAL",B2363)),
ISNUMBER(SEARCH("AIO",B2363))
),
"GANCHO",
"NORMAL"
)
)</f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>ROUND(
IF(L2360="GANCHO",
   IF(I2362&lt;=50,I2362*1.1+4,IF(I2362&lt;=120,I2362*1.1+7,IF(I2362&lt;=250,I2362*1.1+11,I2362*1.1+19))),
IF(L2360="NORMAL",
   IF(I2362&lt;=30,I2362*1.15+2,IF(I2362&lt;=80,I2362*1.15+4,IF(I2362&lt;=150,I2362*1.15+6,I2362*1.15+8))),
IF(L2360="COMPLEMENTO",
   IF(I2362&lt;=25,I2362*1.25+1.5,IF(I2362&lt;=60,I2362*1.25+3,IF(I2362&lt;=120,I2362*1.25+4,I2362*1.25+5))),
""))),2)</f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>IF(
OR(
ISNUMBER(SEARCH("BACKPACK",B2364)),
ISNUMBER(SEARCH("MOCHILA",B2364)),
ISNUMBER(SEARCH("FUNDA",B2364)),
ISNUMBER(SEARCH("ESTUCHE",B2364)),
ISNUMBER(SEARCH("BOOK COVER",B2364)),
ISNUMBER(SEARCH("KEYBOARD PARA TABLET",B2364)),
ISNUMBER(SEARCH("FLIP TABLET",B2364)),
ISNUMBER(SEARCH("CASE FOR TABLET",B2364)),
ISNUMBER(SEARCH("CABLE",B2364)),
ISNUMBER(SEARCH("ADAPTADOR",B2364)),
ISNUMBER(SEARCH("HUB",B2364)),
ISNUMBER(SEARCH("DOCK",B2364)),
ISNUMBER(SEARCH("MOUSE PAD",B2364)),
ISNUMBER(SEARCH("MOUSEPAD",B2364)),
ISNUMBER(SEARCH("SOPORTE",B2364)),
ISNUMBER(SEARCH("STAND",B2364)),
ISNUMBER(SEARCH("TRAVEL ADAPTER",B2364)),
ISNUMBER(SEARCH("RJ45",B2364)),
ISNUMBER(SEARCH("USB-C",B2364)),
ISNUMBER(SEARCH("USB WIFI",B2364)),
ISNUMBER(SEARCH("POWERBANK",B2364)),
ISNUMBER(SEARCH("CARGADOR",B2364)),
ISNUMBER(SEARCH("COOLER PARA NB",B2364)),
ISNUMBER(SEARCH("SOPORTE PARA NB",B2364)),
ISNUMBER(SEARCH("WEBCAM",B2364)),
ISNUMBER(SEARCH("WEB CAM",B2364)),
ISNUMBER(SEARCH("MOUSE",B2364)),
ISNUMBER(SEARCH("TECLADO",B2364))
),
"COMPLEMENTO",
IF(
OR(
LEFT(A2364,2)="NB",
LEFT(A2364,2)="PC",
LEFT(A2364,2)="WS",
LEFT(A2364,2)="TB",
LEFT(A2364,3)="CEL",
LEFT(A2364,3)="MON",
LEFT(A2364,3)="PRE",
LEFT(A2364,3)="PRH",
ISNUMBER(SEARCH("NOTEBOOK",B2364)),
ISNUMBER(SEARCH("LAPTOP",B2364)),
ISNUMBER(SEARCH("MONITOR",B2364)),
ISNUMBER(SEARCH("TABLET",B2364)),
ISNUMBER(SEARCH("SMARTPH",B2364)),
ISNUMBER(SEARCH("IMPRESORA",B2364)),
ISNUMBER(SEARCH("MULTIFUNCIONAL",B2364)),
ISNUMBER(SEARCH("AIO",B2364))
),
"GANCHO",
"NORMAL"
)
)</f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>ROUND(
IF(L2361="GANCHO",
   IF(I2363&lt;=50,I2363*1.1+4,IF(I2363&lt;=120,I2363*1.1+7,IF(I2363&lt;=250,I2363*1.1+11,I2363*1.1+19))),
IF(L2361="NORMAL",
   IF(I2363&lt;=30,I2363*1.15+2,IF(I2363&lt;=80,I2363*1.15+4,IF(I2363&lt;=150,I2363*1.15+6,I2363*1.15+8))),
IF(L2361="COMPLEMENTO",
   IF(I2363&lt;=25,I2363*1.25+1.5,IF(I2363&lt;=60,I2363*1.25+3,IF(I2363&lt;=120,I2363*1.25+4,I2363*1.25+5))),
""))),2)</f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>IF(
OR(
ISNUMBER(SEARCH("BACKPACK",B2365)),
ISNUMBER(SEARCH("MOCHILA",B2365)),
ISNUMBER(SEARCH("FUNDA",B2365)),
ISNUMBER(SEARCH("ESTUCHE",B2365)),
ISNUMBER(SEARCH("BOOK COVER",B2365)),
ISNUMBER(SEARCH("KEYBOARD PARA TABLET",B2365)),
ISNUMBER(SEARCH("FLIP TABLET",B2365)),
ISNUMBER(SEARCH("CASE FOR TABLET",B2365)),
ISNUMBER(SEARCH("CABLE",B2365)),
ISNUMBER(SEARCH("ADAPTADOR",B2365)),
ISNUMBER(SEARCH("HUB",B2365)),
ISNUMBER(SEARCH("DOCK",B2365)),
ISNUMBER(SEARCH("MOUSE PAD",B2365)),
ISNUMBER(SEARCH("MOUSEPAD",B2365)),
ISNUMBER(SEARCH("SOPORTE",B2365)),
ISNUMBER(SEARCH("STAND",B2365)),
ISNUMBER(SEARCH("TRAVEL ADAPTER",B2365)),
ISNUMBER(SEARCH("RJ45",B2365)),
ISNUMBER(SEARCH("USB-C",B2365)),
ISNUMBER(SEARCH("USB WIFI",B2365)),
ISNUMBER(SEARCH("POWERBANK",B2365)),
ISNUMBER(SEARCH("CARGADOR",B2365)),
ISNUMBER(SEARCH("COOLER PARA NB",B2365)),
ISNUMBER(SEARCH("SOPORTE PARA NB",B2365)),
ISNUMBER(SEARCH("WEBCAM",B2365)),
ISNUMBER(SEARCH("WEB CAM",B2365)),
ISNUMBER(SEARCH("MOUSE",B2365)),
ISNUMBER(SEARCH("TECLADO",B2365))
),
"COMPLEMENTO",
IF(
OR(
LEFT(A2365,2)="NB",
LEFT(A2365,2)="PC",
LEFT(A2365,2)="WS",
LEFT(A2365,2)="TB",
LEFT(A2365,3)="CEL",
LEFT(A2365,3)="MON",
LEFT(A2365,3)="PRE",
LEFT(A2365,3)="PRH",
ISNUMBER(SEARCH("NOTEBOOK",B2365)),
ISNUMBER(SEARCH("LAPTOP",B2365)),
ISNUMBER(SEARCH("MONITOR",B2365)),
ISNUMBER(SEARCH("TABLET",B2365)),
ISNUMBER(SEARCH("SMARTPH",B2365)),
ISNUMBER(SEARCH("IMPRESORA",B2365)),
ISNUMBER(SEARCH("MULTIFUNCIONAL",B2365)),
ISNUMBER(SEARCH("AIO",B2365))
),
"GANCHO",
"NORMAL"
)
)</f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>ROUND(
IF(L2362="GANCHO",
   IF(I2364&lt;=50,I2364*1.1+4,IF(I2364&lt;=120,I2364*1.1+7,IF(I2364&lt;=250,I2364*1.1+11,I2364*1.1+19))),
IF(L2362="NORMAL",
   IF(I2364&lt;=30,I2364*1.15+2,IF(I2364&lt;=80,I2364*1.15+4,IF(I2364&lt;=150,I2364*1.15+6,I2364*1.15+8))),
IF(L2362="COMPLEMENTO",
   IF(I2364&lt;=25,I2364*1.25+1.5,IF(I2364&lt;=60,I2364*1.25+3,IF(I2364&lt;=120,I2364*1.25+4,I2364*1.25+5))),
""))),2)</f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>IF(
OR(
ISNUMBER(SEARCH("BACKPACK",B2366)),
ISNUMBER(SEARCH("MOCHILA",B2366)),
ISNUMBER(SEARCH("FUNDA",B2366)),
ISNUMBER(SEARCH("ESTUCHE",B2366)),
ISNUMBER(SEARCH("BOOK COVER",B2366)),
ISNUMBER(SEARCH("KEYBOARD PARA TABLET",B2366)),
ISNUMBER(SEARCH("FLIP TABLET",B2366)),
ISNUMBER(SEARCH("CASE FOR TABLET",B2366)),
ISNUMBER(SEARCH("CABLE",B2366)),
ISNUMBER(SEARCH("ADAPTADOR",B2366)),
ISNUMBER(SEARCH("HUB",B2366)),
ISNUMBER(SEARCH("DOCK",B2366)),
ISNUMBER(SEARCH("MOUSE PAD",B2366)),
ISNUMBER(SEARCH("MOUSEPAD",B2366)),
ISNUMBER(SEARCH("SOPORTE",B2366)),
ISNUMBER(SEARCH("STAND",B2366)),
ISNUMBER(SEARCH("TRAVEL ADAPTER",B2366)),
ISNUMBER(SEARCH("RJ45",B2366)),
ISNUMBER(SEARCH("USB-C",B2366)),
ISNUMBER(SEARCH("USB WIFI",B2366)),
ISNUMBER(SEARCH("POWERBANK",B2366)),
ISNUMBER(SEARCH("CARGADOR",B2366)),
ISNUMBER(SEARCH("COOLER PARA NB",B2366)),
ISNUMBER(SEARCH("SOPORTE PARA NB",B2366)),
ISNUMBER(SEARCH("WEBCAM",B2366)),
ISNUMBER(SEARCH("WEB CAM",B2366)),
ISNUMBER(SEARCH("MOUSE",B2366)),
ISNUMBER(SEARCH("TECLADO",B2366))
),
"COMPLEMENTO",
IF(
OR(
LEFT(A2366,2)="NB",
LEFT(A2366,2)="PC",
LEFT(A2366,2)="WS",
LEFT(A2366,2)="TB",
LEFT(A2366,3)="CEL",
LEFT(A2366,3)="MON",
LEFT(A2366,3)="PRE",
LEFT(A2366,3)="PRH",
ISNUMBER(SEARCH("NOTEBOOK",B2366)),
ISNUMBER(SEARCH("LAPTOP",B2366)),
ISNUMBER(SEARCH("MONITOR",B2366)),
ISNUMBER(SEARCH("TABLET",B2366)),
ISNUMBER(SEARCH("SMARTPH",B2366)),
ISNUMBER(SEARCH("IMPRESORA",B2366)),
ISNUMBER(SEARCH("MULTIFUNCIONAL",B2366)),
ISNUMBER(SEARCH("AIO",B2366))
),
"GANCHO",
"NORMAL"
)
)</f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>ROUND(
IF(L2363="GANCHO",
   IF(I2365&lt;=50,I2365*1.1+4,IF(I2365&lt;=120,I2365*1.1+7,IF(I2365&lt;=250,I2365*1.1+11,I2365*1.1+19))),
IF(L2363="NORMAL",
   IF(I2365&lt;=30,I2365*1.15+2,IF(I2365&lt;=80,I2365*1.15+4,IF(I2365&lt;=150,I2365*1.15+6,I2365*1.15+8))),
IF(L2363="COMPLEMENTO",
   IF(I2365&lt;=25,I2365*1.25+1.5,IF(I2365&lt;=60,I2365*1.25+3,IF(I2365&lt;=120,I2365*1.25+4,I2365*1.25+5))),
""))),2)</f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>IF(
OR(
ISNUMBER(SEARCH("BACKPACK",B2367)),
ISNUMBER(SEARCH("MOCHILA",B2367)),
ISNUMBER(SEARCH("FUNDA",B2367)),
ISNUMBER(SEARCH("ESTUCHE",B2367)),
ISNUMBER(SEARCH("BOOK COVER",B2367)),
ISNUMBER(SEARCH("KEYBOARD PARA TABLET",B2367)),
ISNUMBER(SEARCH("FLIP TABLET",B2367)),
ISNUMBER(SEARCH("CASE FOR TABLET",B2367)),
ISNUMBER(SEARCH("CABLE",B2367)),
ISNUMBER(SEARCH("ADAPTADOR",B2367)),
ISNUMBER(SEARCH("HUB",B2367)),
ISNUMBER(SEARCH("DOCK",B2367)),
ISNUMBER(SEARCH("MOUSE PAD",B2367)),
ISNUMBER(SEARCH("MOUSEPAD",B2367)),
ISNUMBER(SEARCH("SOPORTE",B2367)),
ISNUMBER(SEARCH("STAND",B2367)),
ISNUMBER(SEARCH("TRAVEL ADAPTER",B2367)),
ISNUMBER(SEARCH("RJ45",B2367)),
ISNUMBER(SEARCH("USB-C",B2367)),
ISNUMBER(SEARCH("USB WIFI",B2367)),
ISNUMBER(SEARCH("POWERBANK",B2367)),
ISNUMBER(SEARCH("CARGADOR",B2367)),
ISNUMBER(SEARCH("COOLER PARA NB",B2367)),
ISNUMBER(SEARCH("SOPORTE PARA NB",B2367)),
ISNUMBER(SEARCH("WEBCAM",B2367)),
ISNUMBER(SEARCH("WEB CAM",B2367)),
ISNUMBER(SEARCH("MOUSE",B2367)),
ISNUMBER(SEARCH("TECLADO",B2367))
),
"COMPLEMENTO",
IF(
OR(
LEFT(A2367,2)="NB",
LEFT(A2367,2)="PC",
LEFT(A2367,2)="WS",
LEFT(A2367,2)="TB",
LEFT(A2367,3)="CEL",
LEFT(A2367,3)="MON",
LEFT(A2367,3)="PRE",
LEFT(A2367,3)="PRH",
ISNUMBER(SEARCH("NOTEBOOK",B2367)),
ISNUMBER(SEARCH("LAPTOP",B2367)),
ISNUMBER(SEARCH("MONITOR",B2367)),
ISNUMBER(SEARCH("TABLET",B2367)),
ISNUMBER(SEARCH("SMARTPH",B2367)),
ISNUMBER(SEARCH("IMPRESORA",B2367)),
ISNUMBER(SEARCH("MULTIFUNCIONAL",B2367)),
ISNUMBER(SEARCH("AIO",B2367))
),
"GANCHO",
"NORMAL"
)
)</f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>ROUND(
IF(L2364="GANCHO",
   IF(I2366&lt;=50,I2366*1.1+4,IF(I2366&lt;=120,I2366*1.1+7,IF(I2366&lt;=250,I2366*1.1+11,I2366*1.1+19))),
IF(L2364="NORMAL",
   IF(I2366&lt;=30,I2366*1.15+2,IF(I2366&lt;=80,I2366*1.15+4,IF(I2366&lt;=150,I2366*1.15+6,I2366*1.15+8))),
IF(L2364="COMPLEMENTO",
   IF(I2366&lt;=25,I2366*1.25+1.5,IF(I2366&lt;=60,I2366*1.25+3,IF(I2366&lt;=120,I2366*1.25+4,I2366*1.25+5))),
""))),2)</f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>IF(
OR(
ISNUMBER(SEARCH("BACKPACK",B2368)),
ISNUMBER(SEARCH("MOCHILA",B2368)),
ISNUMBER(SEARCH("FUNDA",B2368)),
ISNUMBER(SEARCH("ESTUCHE",B2368)),
ISNUMBER(SEARCH("BOOK COVER",B2368)),
ISNUMBER(SEARCH("KEYBOARD PARA TABLET",B2368)),
ISNUMBER(SEARCH("FLIP TABLET",B2368)),
ISNUMBER(SEARCH("CASE FOR TABLET",B2368)),
ISNUMBER(SEARCH("CABLE",B2368)),
ISNUMBER(SEARCH("ADAPTADOR",B2368)),
ISNUMBER(SEARCH("HUB",B2368)),
ISNUMBER(SEARCH("DOCK",B2368)),
ISNUMBER(SEARCH("MOUSE PAD",B2368)),
ISNUMBER(SEARCH("MOUSEPAD",B2368)),
ISNUMBER(SEARCH("SOPORTE",B2368)),
ISNUMBER(SEARCH("STAND",B2368)),
ISNUMBER(SEARCH("TRAVEL ADAPTER",B2368)),
ISNUMBER(SEARCH("RJ45",B2368)),
ISNUMBER(SEARCH("USB-C",B2368)),
ISNUMBER(SEARCH("USB WIFI",B2368)),
ISNUMBER(SEARCH("POWERBANK",B2368)),
ISNUMBER(SEARCH("CARGADOR",B2368)),
ISNUMBER(SEARCH("COOLER PARA NB",B2368)),
ISNUMBER(SEARCH("SOPORTE PARA NB",B2368)),
ISNUMBER(SEARCH("WEBCAM",B2368)),
ISNUMBER(SEARCH("WEB CAM",B2368)),
ISNUMBER(SEARCH("MOUSE",B2368)),
ISNUMBER(SEARCH("TECLADO",B2368))
),
"COMPLEMENTO",
IF(
OR(
LEFT(A2368,2)="NB",
LEFT(A2368,2)="PC",
LEFT(A2368,2)="WS",
LEFT(A2368,2)="TB",
LEFT(A2368,3)="CEL",
LEFT(A2368,3)="MON",
LEFT(A2368,3)="PRE",
LEFT(A2368,3)="PRH",
ISNUMBER(SEARCH("NOTEBOOK",B2368)),
ISNUMBER(SEARCH("LAPTOP",B2368)),
ISNUMBER(SEARCH("MONITOR",B2368)),
ISNUMBER(SEARCH("TABLET",B2368)),
ISNUMBER(SEARCH("SMARTPH",B2368)),
ISNUMBER(SEARCH("IMPRESORA",B2368)),
ISNUMBER(SEARCH("MULTIFUNCIONAL",B2368)),
ISNUMBER(SEARCH("AIO",B2368))
),
"GANCHO",
"NORMAL"
)
)</f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>ROUND(
IF(L2365="GANCHO",
   IF(I2367&lt;=50,I2367*1.1+4,IF(I2367&lt;=120,I2367*1.1+7,IF(I2367&lt;=250,I2367*1.1+11,I2367*1.1+19))),
IF(L2365="NORMAL",
   IF(I2367&lt;=30,I2367*1.15+2,IF(I2367&lt;=80,I2367*1.15+4,IF(I2367&lt;=150,I2367*1.15+6,I2367*1.15+8))),
IF(L2365="COMPLEMENTO",
   IF(I2367&lt;=25,I2367*1.25+1.5,IF(I2367&lt;=60,I2367*1.25+3,IF(I2367&lt;=120,I2367*1.25+4,I2367*1.25+5))),
""))),2)</f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>IF(
OR(
ISNUMBER(SEARCH("BACKPACK",B2369)),
ISNUMBER(SEARCH("MOCHILA",B2369)),
ISNUMBER(SEARCH("FUNDA",B2369)),
ISNUMBER(SEARCH("ESTUCHE",B2369)),
ISNUMBER(SEARCH("BOOK COVER",B2369)),
ISNUMBER(SEARCH("KEYBOARD PARA TABLET",B2369)),
ISNUMBER(SEARCH("FLIP TABLET",B2369)),
ISNUMBER(SEARCH("CASE FOR TABLET",B2369)),
ISNUMBER(SEARCH("CABLE",B2369)),
ISNUMBER(SEARCH("ADAPTADOR",B2369)),
ISNUMBER(SEARCH("HUB",B2369)),
ISNUMBER(SEARCH("DOCK",B2369)),
ISNUMBER(SEARCH("MOUSE PAD",B2369)),
ISNUMBER(SEARCH("MOUSEPAD",B2369)),
ISNUMBER(SEARCH("SOPORTE",B2369)),
ISNUMBER(SEARCH("STAND",B2369)),
ISNUMBER(SEARCH("TRAVEL ADAPTER",B2369)),
ISNUMBER(SEARCH("RJ45",B2369)),
ISNUMBER(SEARCH("USB-C",B2369)),
ISNUMBER(SEARCH("USB WIFI",B2369)),
ISNUMBER(SEARCH("POWERBANK",B2369)),
ISNUMBER(SEARCH("CARGADOR",B2369)),
ISNUMBER(SEARCH("COOLER PARA NB",B2369)),
ISNUMBER(SEARCH("SOPORTE PARA NB",B2369)),
ISNUMBER(SEARCH("WEBCAM",B2369)),
ISNUMBER(SEARCH("WEB CAM",B2369)),
ISNUMBER(SEARCH("MOUSE",B2369)),
ISNUMBER(SEARCH("TECLADO",B2369))
),
"COMPLEMENTO",
IF(
OR(
LEFT(A2369,2)="NB",
LEFT(A2369,2)="PC",
LEFT(A2369,2)="WS",
LEFT(A2369,2)="TB",
LEFT(A2369,3)="CEL",
LEFT(A2369,3)="MON",
LEFT(A2369,3)="PRE",
LEFT(A2369,3)="PRH",
ISNUMBER(SEARCH("NOTEBOOK",B2369)),
ISNUMBER(SEARCH("LAPTOP",B2369)),
ISNUMBER(SEARCH("MONITOR",B2369)),
ISNUMBER(SEARCH("TABLET",B2369)),
ISNUMBER(SEARCH("SMARTPH",B2369)),
ISNUMBER(SEARCH("IMPRESORA",B2369)),
ISNUMBER(SEARCH("MULTIFUNCIONAL",B2369)),
ISNUMBER(SEARCH("AIO",B2369))
),
"GANCHO",
"NORMAL"
)
)</f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>ROUND(
IF(L2366="GANCHO",
   IF(I2368&lt;=50,I2368*1.1+4,IF(I2368&lt;=120,I2368*1.1+7,IF(I2368&lt;=250,I2368*1.1+11,I2368*1.1+19))),
IF(L2366="NORMAL",
   IF(I2368&lt;=30,I2368*1.15+2,IF(I2368&lt;=80,I2368*1.15+4,IF(I2368&lt;=150,I2368*1.15+6,I2368*1.15+8))),
IF(L2366="COMPLEMENTO",
   IF(I2368&lt;=25,I2368*1.25+1.5,IF(I2368&lt;=60,I2368*1.25+3,IF(I2368&lt;=120,I2368*1.25+4,I2368*1.25+5))),
""))),2)</f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>ROUND(
IF(L2367="GANCHO",
   IF(I2369&lt;=50,I2369*1.1+4,IF(I2369&lt;=120,I2369*1.1+7,IF(I2369&lt;=250,I2369*1.1+11,I2369*1.1+19))),
IF(L2367="NORMAL",
   IF(I2369&lt;=30,I2369*1.15+2,IF(I2369&lt;=80,I2369*1.15+4,IF(I2369&lt;=150,I2369*1.15+6,I2369*1.15+8))),
IF(L2367="COMPLEMENTO",
   IF(I2369&lt;=25,I2369*1.25+1.5,IF(I2369&lt;=60,I2369*1.25+3,IF(I2369&lt;=120,I2369*1.25+4,I2369*1.25+5))),
""))),2)</f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>ROUND(
IF(L2368="GANCHO",
   IF(I2370&lt;=50,I2370*1.1+4,IF(I2370&lt;=120,I2370*1.1+7,IF(I2370&lt;=250,I2370*1.1+11,I2370*1.1+19))),
IF(L2368="NORMAL",
   IF(I2370&lt;=30,I2370*1.15+2,IF(I2370&lt;=80,I2370*1.15+4,IF(I2370&lt;=150,I2370*1.15+6,I2370*1.15+8))),
IF(L2368="COMPLEMENTO",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>IF(
OR(
ISNUMBER(SEARCH("BACKPACK",B2372)),
ISNUMBER(SEARCH("MOCHILA",B2372)),
ISNUMBER(SEARCH("FUNDA",B2372)),
ISNUMBER(SEARCH("ESTUCHE",B2372)),
ISNUMBER(SEARCH("BOOK COVER",B2372)),
ISNUMBER(SEARCH("KEYBOARD PARA TABLET",B2372)),
ISNUMBER(SEARCH("FLIP TABLET",B2372)),
ISNUMBER(SEARCH("CASE FOR TABLET",B2372)),
ISNUMBER(SEARCH("CABLE",B2372)),
ISNUMBER(SEARCH("ADAPTADOR",B2372)),
ISNUMBER(SEARCH("HUB",B2372)),
ISNUMBER(SEARCH("DOCK",B2372)),
ISNUMBER(SEARCH("MOUSE PAD",B2372)),
ISNUMBER(SEARCH("MOUSEPAD",B2372)),
ISNUMBER(SEARCH("SOPORTE",B2372)),
ISNUMBER(SEARCH("STAND",B2372)),
ISNUMBER(SEARCH("TRAVEL ADAPTER",B2372)),
ISNUMBER(SEARCH("RJ45",B2372)),
ISNUMBER(SEARCH("USB-C",B2372)),
ISNUMBER(SEARCH("USB WIFI",B2372)),
ISNUMBER(SEARCH("POWERBANK",B2372)),
ISNUMBER(SEARCH("CARGADOR",B2372)),
ISNUMBER(SEARCH("COOLER PARA NB",B2372)),
ISNUMBER(SEARCH("SOPORTE PARA NB",B2372)),
ISNUMBER(SEARCH("WEBCAM",B2372)),
ISNUMBER(SEARCH("WEB CAM",B2372)),
ISNUMBER(SEARCH("MOUSE",B2372)),
ISNUMBER(SEARCH("TECLADO",B2372))
),
"COMPLEMENTO",
IF(
OR(
LEFT(A2372,2)="NB",
LEFT(A2372,2)="PC",
LEFT(A2372,2)="WS",
LEFT(A2372,2)="TB",
LEFT(A2372,3)="CEL",
LEFT(A2372,3)="MON",
LEFT(A2372,3)="PRE",
LEFT(A2372,3)="PRH",
ISNUMBER(SEARCH("NOTEBOOK",B2372)),
ISNUMBER(SEARCH("LAPTOP",B2372)),
ISNUMBER(SEARCH("MONITOR",B2372)),
ISNUMBER(SEARCH("TABLET",B2372)),
ISNUMBER(SEARCH("SMARTPH",B2372)),
ISNUMBER(SEARCH("IMPRESORA",B2372)),
ISNUMBER(SEARCH("MULTIFUNCIONAL",B2372)),
ISNUMBER(SEARCH("AIO",B2372))
),
"GANCHO",
"NORMAL"
)
)</f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>ROUND(
IF(L2369="GANCHO",
   IF(I2371&lt;=50,I2371*1.1+4,IF(I2371&lt;=120,I2371*1.1+7,IF(I2371&lt;=250,I2371*1.1+11,I2371*1.1+19))),
IF(L2369="NORMAL",
   IF(I2371&lt;=30,I2371*1.15+2,IF(I2371&lt;=80,I2371*1.15+4,IF(I2371&lt;=150,I2371*1.15+6,I2371*1.15+8))),
IF(L2369="COMPLEMENTO",
   IF(I2371&lt;=25,I2371*1.25+1.5,IF(I2371&lt;=60,I2371*1.25+3,IF(I2371&lt;=120,I2371*1.25+4,I2371*1.25+5))),
""))),2)</f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>IF(
OR(
ISNUMBER(SEARCH("BACKPACK",B2373)),
ISNUMBER(SEARCH("MOCHILA",B2373)),
ISNUMBER(SEARCH("FUNDA",B2373)),
ISNUMBER(SEARCH("ESTUCHE",B2373)),
ISNUMBER(SEARCH("BOOK COVER",B2373)),
ISNUMBER(SEARCH("KEYBOARD PARA TABLET",B2373)),
ISNUMBER(SEARCH("FLIP TABLET",B2373)),
ISNUMBER(SEARCH("CASE FOR TABLET",B2373)),
ISNUMBER(SEARCH("CABLE",B2373)),
ISNUMBER(SEARCH("ADAPTADOR",B2373)),
ISNUMBER(SEARCH("HUB",B2373)),
ISNUMBER(SEARCH("DOCK",B2373)),
ISNUMBER(SEARCH("MOUSE PAD",B2373)),
ISNUMBER(SEARCH("MOUSEPAD",B2373)),
ISNUMBER(SEARCH("SOPORTE",B2373)),
ISNUMBER(SEARCH("STAND",B2373)),
ISNUMBER(SEARCH("TRAVEL ADAPTER",B2373)),
ISNUMBER(SEARCH("RJ45",B2373)),
ISNUMBER(SEARCH("USB-C",B2373)),
ISNUMBER(SEARCH("USB WIFI",B2373)),
ISNUMBER(SEARCH("POWERBANK",B2373)),
ISNUMBER(SEARCH("CARGADOR",B2373)),
ISNUMBER(SEARCH("COOLER PARA NB",B2373)),
ISNUMBER(SEARCH("SOPORTE PARA NB",B2373)),
ISNUMBER(SEARCH("WEBCAM",B2373)),
ISNUMBER(SEARCH("WEB CAM",B2373)),
ISNUMBER(SEARCH("MOUSE",B2373)),
ISNUMBER(SEARCH("TECLADO",B2373))
),
"COMPLEMENTO",
IF(
OR(
LEFT(A2373,2)="NB",
LEFT(A2373,2)="PC",
LEFT(A2373,2)="WS",
LEFT(A2373,2)="TB",
LEFT(A2373,3)="CEL",
LEFT(A2373,3)="MON",
LEFT(A2373,3)="PRE",
LEFT(A2373,3)="PRH",
ISNUMBER(SEARCH("NOTEBOOK",B2373)),
ISNUMBER(SEARCH("LAPTOP",B2373)),
ISNUMBER(SEARCH("MONITOR",B2373)),
ISNUMBER(SEARCH("TABLET",B2373)),
ISNUMBER(SEARCH("SMARTPH",B2373)),
ISNUMBER(SEARCH("IMPRESORA",B2373)),
ISNUMBER(SEARCH("MULTIFUNCIONAL",B2373)),
ISNUMBER(SEARCH("AIO",B2373))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>ROUND(
IF(L2370="GANCHO",
   IF(I2372&lt;=50,I2372*1.1+4,IF(I2372&lt;=120,I2372*1.1+7,IF(I2372&lt;=250,I2372*1.1+11,I2372*1.1+19))),
IF(L2370="NORMAL",
   IF(I2372&lt;=30,I2372*1.15+2,IF(I2372&lt;=80,I2372*1.15+4,IF(I2372&lt;=150,I2372*1.15+6,I2372*1.15+8))),
IF(L2370="COMPLEMENTO",
   IF(I2372&lt;=25,I2372*1.25+1.5,IF(I2372&lt;=60,I2372*1.25+3,IF(I2372&lt;=120,I2372*1.25+4,I2372*1.25+5))),
""))),2)</f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>IF(
OR(
ISNUMBER(SEARCH("BACKPACK",B2374)),
ISNUMBER(SEARCH("MOCHILA",B2374)),
ISNUMBER(SEARCH("FUNDA",B2374)),
ISNUMBER(SEARCH("ESTUCHE",B2374)),
ISNUMBER(SEARCH("BOOK COVER",B2374)),
ISNUMBER(SEARCH("KEYBOARD PARA TABLET",B2374)),
ISNUMBER(SEARCH("FLIP TABLET",B2374)),
ISNUMBER(SEARCH("CASE FOR TABLET",B2374)),
ISNUMBER(SEARCH("CABLE",B2374)),
ISNUMBER(SEARCH("ADAPTADOR",B2374)),
ISNUMBER(SEARCH("HUB",B2374)),
ISNUMBER(SEARCH("DOCK",B2374)),
ISNUMBER(SEARCH("MOUSE PAD",B2374)),
ISNUMBER(SEARCH("MOUSEPAD",B2374)),
ISNUMBER(SEARCH("SOPORTE",B2374)),
ISNUMBER(SEARCH("STAND",B2374)),
ISNUMBER(SEARCH("TRAVEL ADAPTER",B2374)),
ISNUMBER(SEARCH("RJ45",B2374)),
ISNUMBER(SEARCH("USB-C",B2374)),
ISNUMBER(SEARCH("USB WIFI",B2374)),
ISNUMBER(SEARCH("POWERBANK",B2374)),
ISNUMBER(SEARCH("CARGADOR",B2374)),
ISNUMBER(SEARCH("COOLER PARA NB",B2374)),
ISNUMBER(SEARCH("SOPORTE PARA NB",B2374)),
ISNUMBER(SEARCH("WEBCAM",B2374)),
ISNUMBER(SEARCH("WEB CAM",B2374)),
ISNUMBER(SEARCH("MOUSE",B2374)),
ISNUMBER(SEARCH("TECLADO",B2374))
),
"COMPLEMENTO",
IF(
OR(
LEFT(A2374,2)="NB",
LEFT(A2374,2)="PC",
LEFT(A2374,2)="WS",
LEFT(A2374,2)="TB",
LEFT(A2374,3)="CEL",
LEFT(A2374,3)="MON",
LEFT(A2374,3)="PRE",
LEFT(A2374,3)="PRH",
ISNUMBER(SEARCH("NOTEBOOK",B2374)),
ISNUMBER(SEARCH("LAPTOP",B2374)),
ISNUMBER(SEARCH("MONITOR",B2374)),
ISNUMBER(SEARCH("TABLET",B2374)),
ISNUMBER(SEARCH("SMARTPH",B2374)),
ISNUMBER(SEARCH("IMPRESORA",B2374)),
ISNUMBER(SEARCH("MULTIFUNCIONAL",B2374)),
ISNUMBER(SEARCH("AIO",B2374))
),
"GANCHO",
"NORMAL"
)
)</f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>ROUND(
IF(L2371="GANCHO",
   IF(I2373&lt;=50,I2373*1.1+4,IF(I2373&lt;=120,I2373*1.1+7,IF(I2373&lt;=250,I2373*1.1+11,I2373*1.1+19))),
IF(L2371="NORMAL",
   IF(I2373&lt;=30,I2373*1.15+2,IF(I2373&lt;=80,I2373*1.15+4,IF(I2373&lt;=150,I2373*1.15+6,I2373*1.15+8))),
IF(L2371="COMPLEMENTO",
   IF(I2373&lt;=25,I2373*1.25+1.5,IF(I2373&lt;=60,I2373*1.25+3,IF(I2373&lt;=120,I2373*1.25+4,I2373*1.25+5))),
""))),2)</f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>IF(
OR(
ISNUMBER(SEARCH("BACKPACK",B2375)),
ISNUMBER(SEARCH("MOCHILA",B2375)),
ISNUMBER(SEARCH("FUNDA",B2375)),
ISNUMBER(SEARCH("ESTUCHE",B2375)),
ISNUMBER(SEARCH("BOOK COVER",B2375)),
ISNUMBER(SEARCH("KEYBOARD PARA TABLET",B2375)),
ISNUMBER(SEARCH("FLIP TABLET",B2375)),
ISNUMBER(SEARCH("CASE FOR TABLET",B2375)),
ISNUMBER(SEARCH("CABLE",B2375)),
ISNUMBER(SEARCH("ADAPTADOR",B2375)),
ISNUMBER(SEARCH("HUB",B2375)),
ISNUMBER(SEARCH("DOCK",B2375)),
ISNUMBER(SEARCH("MOUSE PAD",B2375)),
ISNUMBER(SEARCH("MOUSEPAD",B2375)),
ISNUMBER(SEARCH("SOPORTE",B2375)),
ISNUMBER(SEARCH("STAND",B2375)),
ISNUMBER(SEARCH("TRAVEL ADAPTER",B2375)),
ISNUMBER(SEARCH("RJ45",B2375)),
ISNUMBER(SEARCH("USB-C",B2375)),
ISNUMBER(SEARCH("USB WIFI",B2375)),
ISNUMBER(SEARCH("POWERBANK",B2375)),
ISNUMBER(SEARCH("CARGADOR",B2375)),
ISNUMBER(SEARCH("COOLER PARA NB",B2375)),
ISNUMBER(SEARCH("SOPORTE PARA NB",B2375)),
ISNUMBER(SEARCH("WEBCAM",B2375)),
ISNUMBER(SEARCH("WEB CAM",B2375)),
ISNUMBER(SEARCH("MOUSE",B2375)),
ISNUMBER(SEARCH("TECLADO",B2375))
),
"COMPLEMENTO",
IF(
OR(
LEFT(A2375,2)="NB",
LEFT(A2375,2)="PC",
LEFT(A2375,2)="WS",
LEFT(A2375,2)="TB",
LEFT(A2375,3)="CEL",
LEFT(A2375,3)="MON",
LEFT(A2375,3)="PRE",
LEFT(A2375,3)="PRH",
ISNUMBER(SEARCH("NOTEBOOK",B2375)),
ISNUMBER(SEARCH("LAPTOP",B2375)),
ISNUMBER(SEARCH("MONITOR",B2375)),
ISNUMBER(SEARCH("TABLET",B2375)),
ISNUMBER(SEARCH("SMARTPH",B2375)),
ISNUMBER(SEARCH("IMPRESORA",B2375)),
ISNUMBER(SEARCH("MULTIFUNCIONAL",B2375)),
ISNUMBER(SEARCH("AIO",B2375))
),
"GANCHO",
"NORMAL"
)
)</f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>ROUND(
IF(L2372="GANCHO",
   IF(I2374&lt;=50,I2374*1.1+4,IF(I2374&lt;=120,I2374*1.1+7,IF(I2374&lt;=250,I2374*1.1+11,I2374*1.1+19))),
IF(L2372="NORMAL",
   IF(I2374&lt;=30,I2374*1.15+2,IF(I2374&lt;=80,I2374*1.15+4,IF(I2374&lt;=150,I2374*1.15+6,I2374*1.15+8))),
IF(L2372="COMPLEMENTO",
   IF(I2374&lt;=25,I2374*1.25+1.5,IF(I2374&lt;=60,I2374*1.25+3,IF(I2374&lt;=120,I2374*1.25+4,I2374*1.25+5))),
""))),2)</f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>IF(
OR(
ISNUMBER(SEARCH("BACKPACK",B2376)),
ISNUMBER(SEARCH("MOCHILA",B2376)),
ISNUMBER(SEARCH("FUNDA",B2376)),
ISNUMBER(SEARCH("ESTUCHE",B2376)),
ISNUMBER(SEARCH("BOOK COVER",B2376)),
ISNUMBER(SEARCH("KEYBOARD PARA TABLET",B2376)),
ISNUMBER(SEARCH("FLIP TABLET",B2376)),
ISNUMBER(SEARCH("CASE FOR TABLET",B2376)),
ISNUMBER(SEARCH("CABLE",B2376)),
ISNUMBER(SEARCH("ADAPTADOR",B2376)),
ISNUMBER(SEARCH("HUB",B2376)),
ISNUMBER(SEARCH("DOCK",B2376)),
ISNUMBER(SEARCH("MOUSE PAD",B2376)),
ISNUMBER(SEARCH("MOUSEPAD",B2376)),
ISNUMBER(SEARCH("SOPORTE",B2376)),
ISNUMBER(SEARCH("STAND",B2376)),
ISNUMBER(SEARCH("TRAVEL ADAPTER",B2376)),
ISNUMBER(SEARCH("RJ45",B2376)),
ISNUMBER(SEARCH("USB-C",B2376)),
ISNUMBER(SEARCH("USB WIFI",B2376)),
ISNUMBER(SEARCH("POWERBANK",B2376)),
ISNUMBER(SEARCH("CARGADOR",B2376)),
ISNUMBER(SEARCH("COOLER PARA NB",B2376)),
ISNUMBER(SEARCH("SOPORTE PARA NB",B2376)),
ISNUMBER(SEARCH("WEBCAM",B2376)),
ISNUMBER(SEARCH("WEB CAM",B2376)),
ISNUMBER(SEARCH("MOUSE",B2376)),
ISNUMBER(SEARCH("TECLADO",B2376))
),
"COMPLEMENTO",
IF(
OR(
LEFT(A2376,2)="NB",
LEFT(A2376,2)="PC",
LEFT(A2376,2)="WS",
LEFT(A2376,2)="TB",
LEFT(A2376,3)="CEL",
LEFT(A2376,3)="MON",
LEFT(A2376,3)="PRE",
LEFT(A2376,3)="PRH",
ISNUMBER(SEARCH("NOTEBOOK",B2376)),
ISNUMBER(SEARCH("LAPTOP",B2376)),
ISNUMBER(SEARCH("MONITOR",B2376)),
ISNUMBER(SEARCH("TABLET",B2376)),
ISNUMBER(SEARCH("SMARTPH",B2376)),
ISNUMBER(SEARCH("IMPRESORA",B2376)),
ISNUMBER(SEARCH("MULTIFUNCIONAL",B2376)),
ISNUMBER(SEARCH("AIO",B2376))
),
"GANCHO",
"NORMAL"
)
)</f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>ROUND(
IF(L2373="GANCHO",
   IF(I2375&lt;=50,I2375*1.1+4,IF(I2375&lt;=120,I2375*1.1+7,IF(I2375&lt;=250,I2375*1.1+11,I2375*1.1+19))),
IF(L2373="NORMAL",
   IF(I2375&lt;=30,I2375*1.15+2,IF(I2375&lt;=80,I2375*1.15+4,IF(I2375&lt;=150,I2375*1.15+6,I2375*1.15+8))),
IF(L2373="COMPLEMENTO",
   IF(I2375&lt;=25,I2375*1.25+1.5,IF(I2375&lt;=60,I2375*1.25+3,IF(I2375&lt;=120,I2375*1.25+4,I2375*1.25+5))),
""))),2)</f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>IF(
OR(
ISNUMBER(SEARCH("BACKPACK",B2377)),
ISNUMBER(SEARCH("MOCHILA",B2377)),
ISNUMBER(SEARCH("FUNDA",B2377)),
ISNUMBER(SEARCH("ESTUCHE",B2377)),
ISNUMBER(SEARCH("BOOK COVER",B2377)),
ISNUMBER(SEARCH("KEYBOARD PARA TABLET",B2377)),
ISNUMBER(SEARCH("FLIP TABLET",B2377)),
ISNUMBER(SEARCH("CASE FOR TABLET",B2377)),
ISNUMBER(SEARCH("CABLE",B2377)),
ISNUMBER(SEARCH("ADAPTADOR",B2377)),
ISNUMBER(SEARCH("HUB",B2377)),
ISNUMBER(SEARCH("DOCK",B2377)),
ISNUMBER(SEARCH("MOUSE PAD",B2377)),
ISNUMBER(SEARCH("MOUSEPAD",B2377)),
ISNUMBER(SEARCH("SOPORTE",B2377)),
ISNUMBER(SEARCH("STAND",B2377)),
ISNUMBER(SEARCH("TRAVEL ADAPTER",B2377)),
ISNUMBER(SEARCH("RJ45",B2377)),
ISNUMBER(SEARCH("USB-C",B2377)),
ISNUMBER(SEARCH("USB WIFI",B2377)),
ISNUMBER(SEARCH("POWERBANK",B2377)),
ISNUMBER(SEARCH("CARGADOR",B2377)),
ISNUMBER(SEARCH("COOLER PARA NB",B2377)),
ISNUMBER(SEARCH("SOPORTE PARA NB",B2377)),
ISNUMBER(SEARCH("WEBCAM",B2377)),
ISNUMBER(SEARCH("WEB CAM",B2377)),
ISNUMBER(SEARCH("MOUSE",B2377)),
ISNUMBER(SEARCH("TECLADO",B2377))
),
"COMPLEMENTO",
IF(
OR(
LEFT(A2377,2)="NB",
LEFT(A2377,2)="PC",
LEFT(A2377,2)="WS",
LEFT(A2377,2)="TB",
LEFT(A2377,3)="CEL",
LEFT(A2377,3)="MON",
LEFT(A2377,3)="PRE",
LEFT(A2377,3)="PRH",
ISNUMBER(SEARCH("NOTEBOOK",B2377)),
ISNUMBER(SEARCH("LAPTOP",B2377)),
ISNUMBER(SEARCH("MONITOR",B2377)),
ISNUMBER(SEARCH("TABLET",B2377)),
ISNUMBER(SEARCH("SMARTPH",B2377)),
ISNUMBER(SEARCH("IMPRESORA",B2377)),
ISNUMBER(SEARCH("MULTIFUNCIONAL",B2377)),
ISNUMBER(SEARCH("AIO",B2377))
),
"GANCHO",
"NORMAL"
)
)</f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>ROUND(
IF(L2374="GANCHO",
   IF(I2376&lt;=50,I2376*1.1+4,IF(I2376&lt;=120,I2376*1.1+7,IF(I2376&lt;=250,I2376*1.1+11,I2376*1.1+19))),
IF(L2374="NORMAL",
   IF(I2376&lt;=30,I2376*1.15+2,IF(I2376&lt;=80,I2376*1.15+4,IF(I2376&lt;=150,I2376*1.15+6,I2376*1.15+8))),
IF(L2374="COMPLEMENTO",
   IF(I2376&lt;=25,I2376*1.25+1.5,IF(I2376&lt;=60,I2376*1.25+3,IF(I2376&lt;=120,I2376*1.25+4,I2376*1.25+5))),
""))),2)</f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>IF(
OR(
ISNUMBER(SEARCH("BACKPACK",B2378)),
ISNUMBER(SEARCH("MOCHILA",B2378)),
ISNUMBER(SEARCH("FUNDA",B2378)),
ISNUMBER(SEARCH("ESTUCHE",B2378)),
ISNUMBER(SEARCH("BOOK COVER",B2378)),
ISNUMBER(SEARCH("KEYBOARD PARA TABLET",B2378)),
ISNUMBER(SEARCH("FLIP TABLET",B2378)),
ISNUMBER(SEARCH("CASE FOR TABLET",B2378)),
ISNUMBER(SEARCH("CABLE",B2378)),
ISNUMBER(SEARCH("ADAPTADOR",B2378)),
ISNUMBER(SEARCH("HUB",B2378)),
ISNUMBER(SEARCH("DOCK",B2378)),
ISNUMBER(SEARCH("MOUSE PAD",B2378)),
ISNUMBER(SEARCH("MOUSEPAD",B2378)),
ISNUMBER(SEARCH("SOPORTE",B2378)),
ISNUMBER(SEARCH("STAND",B2378)),
ISNUMBER(SEARCH("TRAVEL ADAPTER",B2378)),
ISNUMBER(SEARCH("RJ45",B2378)),
ISNUMBER(SEARCH("USB-C",B2378)),
ISNUMBER(SEARCH("USB WIFI",B2378)),
ISNUMBER(SEARCH("POWERBANK",B2378)),
ISNUMBER(SEARCH("CARGADOR",B2378)),
ISNUMBER(SEARCH("COOLER PARA NB",B2378)),
ISNUMBER(SEARCH("SOPORTE PARA NB",B2378)),
ISNUMBER(SEARCH("WEBCAM",B2378)),
ISNUMBER(SEARCH("WEB CAM",B2378)),
ISNUMBER(SEARCH("MOUSE",B2378)),
ISNUMBER(SEARCH("TECLADO",B2378))
),
"COMPLEMENTO",
IF(
OR(
LEFT(A2378,2)="NB",
LEFT(A2378,2)="PC",
LEFT(A2378,2)="WS",
LEFT(A2378,2)="TB",
LEFT(A2378,3)="CEL",
LEFT(A2378,3)="MON",
LEFT(A2378,3)="PRE",
LEFT(A2378,3)="PRH",
ISNUMBER(SEARCH("NOTEBOOK",B2378)),
ISNUMBER(SEARCH("LAPTOP",B2378)),
ISNUMBER(SEARCH("MONITOR",B2378)),
ISNUMBER(SEARCH("TABLET",B2378)),
ISNUMBER(SEARCH("SMARTPH",B2378)),
ISNUMBER(SEARCH("IMPRESORA",B2378)),
ISNUMBER(SEARCH("MULTIFUNCIONAL",B2378)),
ISNUMBER(SEARCH("AIO",B2378))
),
"GANCHO",
"NORMAL"
)
)</f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>ROUND(
IF(L2375="GANCHO",
   IF(I2377&lt;=50,I2377*1.1+4,IF(I2377&lt;=120,I2377*1.1+7,IF(I2377&lt;=250,I2377*1.1+11,I2377*1.1+19))),
IF(L2375="NORMAL",
   IF(I2377&lt;=30,I2377*1.15+2,IF(I2377&lt;=80,I2377*1.15+4,IF(I2377&lt;=150,I2377*1.15+6,I2377*1.15+8))),
IF(L2375="COMPLEMENTO",
   IF(I2377&lt;=25,I2377*1.25+1.5,IF(I2377&lt;=60,I2377*1.25+3,IF(I2377&lt;=120,I2377*1.25+4,I2377*1.25+5))),
""))),2)</f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>IF(
OR(
ISNUMBER(SEARCH("BACKPACK",B2379)),
ISNUMBER(SEARCH("MOCHILA",B2379)),
ISNUMBER(SEARCH("FUNDA",B2379)),
ISNUMBER(SEARCH("ESTUCHE",B2379)),
ISNUMBER(SEARCH("BOOK COVER",B2379)),
ISNUMBER(SEARCH("KEYBOARD PARA TABLET",B2379)),
ISNUMBER(SEARCH("FLIP TABLET",B2379)),
ISNUMBER(SEARCH("CASE FOR TABLET",B2379)),
ISNUMBER(SEARCH("CABLE",B2379)),
ISNUMBER(SEARCH("ADAPTADOR",B2379)),
ISNUMBER(SEARCH("HUB",B2379)),
ISNUMBER(SEARCH("DOCK",B2379)),
ISNUMBER(SEARCH("MOUSE PAD",B2379)),
ISNUMBER(SEARCH("MOUSEPAD",B2379)),
ISNUMBER(SEARCH("SOPORTE",B2379)),
ISNUMBER(SEARCH("STAND",B2379)),
ISNUMBER(SEARCH("TRAVEL ADAPTER",B2379)),
ISNUMBER(SEARCH("RJ45",B2379)),
ISNUMBER(SEARCH("USB-C",B2379)),
ISNUMBER(SEARCH("USB WIFI",B2379)),
ISNUMBER(SEARCH("POWERBANK",B2379)),
ISNUMBER(SEARCH("CARGADOR",B2379)),
ISNUMBER(SEARCH("COOLER PARA NB",B2379)),
ISNUMBER(SEARCH("SOPORTE PARA NB",B2379)),
ISNUMBER(SEARCH("WEBCAM",B2379)),
ISNUMBER(SEARCH("WEB CAM",B2379)),
ISNUMBER(SEARCH("MOUSE",B2379)),
ISNUMBER(SEARCH("TECLADO",B2379))
),
"COMPLEMENTO",
IF(
OR(
LEFT(A2379,2)="NB",
LEFT(A2379,2)="PC",
LEFT(A2379,2)="WS",
LEFT(A2379,2)="TB",
LEFT(A2379,3)="CEL",
LEFT(A2379,3)="MON",
LEFT(A2379,3)="PRE",
LEFT(A2379,3)="PRH",
ISNUMBER(SEARCH("NOTEBOOK",B2379)),
ISNUMBER(SEARCH("LAPTOP",B2379)),
ISNUMBER(SEARCH("MONITOR",B2379)),
ISNUMBER(SEARCH("TABLET",B2379)),
ISNUMBER(SEARCH("SMARTPH",B2379)),
ISNUMBER(SEARCH("IMPRESORA",B2379)),
ISNUMBER(SEARCH("MULTIFUNCIONAL",B2379)),
ISNUMBER(SEARCH("AIO",B2379))
),
"GANCHO",
"NORMAL"
)
)</f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>ROUND(
IF(L2376="GANCHO",
   IF(I2378&lt;=50,I2378*1.1+4,IF(I2378&lt;=120,I2378*1.1+7,IF(I2378&lt;=250,I2378*1.1+11,I2378*1.1+19))),
IF(L2376="NORMAL",
   IF(I2378&lt;=30,I2378*1.15+2,IF(I2378&lt;=80,I2378*1.15+4,IF(I2378&lt;=150,I2378*1.15+6,I2378*1.15+8))),
IF(L2376="COMPLEMENTO",
   IF(I2378&lt;=25,I2378*1.25+1.5,IF(I2378&lt;=60,I2378*1.25+3,IF(I2378&lt;=120,I2378*1.25+4,I2378*1.25+5))),
""))),2)</f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>IF(
OR(
ISNUMBER(SEARCH("BACKPACK",B2380)),
ISNUMBER(SEARCH("MOCHILA",B2380)),
ISNUMBER(SEARCH("FUNDA",B2380)),
ISNUMBER(SEARCH("ESTUCHE",B2380)),
ISNUMBER(SEARCH("BOOK COVER",B2380)),
ISNUMBER(SEARCH("KEYBOARD PARA TABLET",B2380)),
ISNUMBER(SEARCH("FLIP TABLET",B2380)),
ISNUMBER(SEARCH("CASE FOR TABLET",B2380)),
ISNUMBER(SEARCH("CABLE",B2380)),
ISNUMBER(SEARCH("ADAPTADOR",B2380)),
ISNUMBER(SEARCH("HUB",B2380)),
ISNUMBER(SEARCH("DOCK",B2380)),
ISNUMBER(SEARCH("MOUSE PAD",B2380)),
ISNUMBER(SEARCH("MOUSEPAD",B2380)),
ISNUMBER(SEARCH("SOPORTE",B2380)),
ISNUMBER(SEARCH("STAND",B2380)),
ISNUMBER(SEARCH("TRAVEL ADAPTER",B2380)),
ISNUMBER(SEARCH("RJ45",B2380)),
ISNUMBER(SEARCH("USB-C",B2380)),
ISNUMBER(SEARCH("USB WIFI",B2380)),
ISNUMBER(SEARCH("POWERBANK",B2380)),
ISNUMBER(SEARCH("CARGADOR",B2380)),
ISNUMBER(SEARCH("COOLER PARA NB",B2380)),
ISNUMBER(SEARCH("SOPORTE PARA NB",B2380)),
ISNUMBER(SEARCH("WEBCAM",B2380)),
ISNUMBER(SEARCH("WEB CAM",B2380)),
ISNUMBER(SEARCH("MOUSE",B2380)),
ISNUMBER(SEARCH("TECLADO",B2380))
),
"COMPLEMENTO",
IF(
OR(
LEFT(A2380,2)="NB",
LEFT(A2380,2)="PC",
LEFT(A2380,2)="WS",
LEFT(A2380,2)="TB",
LEFT(A2380,3)="CEL",
LEFT(A2380,3)="MON",
LEFT(A2380,3)="PRE",
LEFT(A2380,3)="PRH",
ISNUMBER(SEARCH("NOTEBOOK",B2380)),
ISNUMBER(SEARCH("LAPTOP",B2380)),
ISNUMBER(SEARCH("MONITOR",B2380)),
ISNUMBER(SEARCH("TABLET",B2380)),
ISNUMBER(SEARCH("SMARTPH",B2380)),
ISNUMBER(SEARCH("IMPRESORA",B2380)),
ISNUMBER(SEARCH("MULTIFUNCIONAL",B2380)),
ISNUMBER(SEARCH("AIO",B2380))
),
"GANCHO",
"NORMAL"
)
)</f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>ROUND(
IF(L2377="GANCHO",
   IF(I2379&lt;=50,I2379*1.1+4,IF(I2379&lt;=120,I2379*1.1+7,IF(I2379&lt;=250,I2379*1.1+11,I2379*1.1+19))),
IF(L2377="NORMAL",
   IF(I2379&lt;=30,I2379*1.15+2,IF(I2379&lt;=80,I2379*1.15+4,IF(I2379&lt;=150,I2379*1.15+6,I2379*1.15+8))),
IF(L2377="COMPLEMENTO",
   IF(I2379&lt;=25,I2379*1.25+1.5,IF(I2379&lt;=60,I2379*1.25+3,IF(I2379&lt;=120,I2379*1.25+4,I2379*1.25+5))),
""))),2)</f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>IF(
OR(
ISNUMBER(SEARCH("BACKPACK",B2381)),
ISNUMBER(SEARCH("MOCHILA",B2381)),
ISNUMBER(SEARCH("FUNDA",B2381)),
ISNUMBER(SEARCH("ESTUCHE",B2381)),
ISNUMBER(SEARCH("BOOK COVER",B2381)),
ISNUMBER(SEARCH("KEYBOARD PARA TABLET",B2381)),
ISNUMBER(SEARCH("FLIP TABLET",B2381)),
ISNUMBER(SEARCH("CASE FOR TABLET",B2381)),
ISNUMBER(SEARCH("CABLE",B2381)),
ISNUMBER(SEARCH("ADAPTADOR",B2381)),
ISNUMBER(SEARCH("HUB",B2381)),
ISNUMBER(SEARCH("DOCK",B2381)),
ISNUMBER(SEARCH("MOUSE PAD",B2381)),
ISNUMBER(SEARCH("MOUSEPAD",B2381)),
ISNUMBER(SEARCH("SOPORTE",B2381)),
ISNUMBER(SEARCH("STAND",B2381)),
ISNUMBER(SEARCH("TRAVEL ADAPTER",B2381)),
ISNUMBER(SEARCH("RJ45",B2381)),
ISNUMBER(SEARCH("USB-C",B2381)),
ISNUMBER(SEARCH("USB WIFI",B2381)),
ISNUMBER(SEARCH("POWERBANK",B2381)),
ISNUMBER(SEARCH("CARGADOR",B2381)),
ISNUMBER(SEARCH("COOLER PARA NB",B2381)),
ISNUMBER(SEARCH("SOPORTE PARA NB",B2381)),
ISNUMBER(SEARCH("WEBCAM",B2381)),
ISNUMBER(SEARCH("WEB CAM",B2381)),
ISNUMBER(SEARCH("MOUSE",B2381)),
ISNUMBER(SEARCH("TECLADO",B2381))
),
"COMPLEMENTO",
IF(
OR(
LEFT(A2381,2)="NB",
LEFT(A2381,2)="PC",
LEFT(A2381,2)="WS",
LEFT(A2381,2)="TB",
LEFT(A2381,3)="CEL",
LEFT(A2381,3)="MON",
LEFT(A2381,3)="PRE",
LEFT(A2381,3)="PRH",
ISNUMBER(SEARCH("NOTEBOOK",B2381)),
ISNUMBER(SEARCH("LAPTOP",B2381)),
ISNUMBER(SEARCH("MONITOR",B2381)),
ISNUMBER(SEARCH("TABLET",B2381)),
ISNUMBER(SEARCH("SMARTPH",B2381)),
ISNUMBER(SEARCH("IMPRESORA",B2381)),
ISNUMBER(SEARCH("MULTIFUNCIONAL",B2381)),
ISNUMBER(SEARCH("AIO",B2381))
),
"GANCHO",
"NORMAL"
)
)</f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>ROUND(
IF(L2378="GANCHO",
   IF(I2380&lt;=50,I2380*1.1+4,IF(I2380&lt;=120,I2380*1.1+7,IF(I2380&lt;=250,I2380*1.1+11,I2380*1.1+19))),
IF(L2378="NORMAL",
   IF(I2380&lt;=30,I2380*1.15+2,IF(I2380&lt;=80,I2380*1.15+4,IF(I2380&lt;=150,I2380*1.15+6,I2380*1.15+8))),
IF(L2378="COMPLEMENTO",
   IF(I2380&lt;=25,I2380*1.25+1.5,IF(I2380&lt;=60,I2380*1.25+3,IF(I2380&lt;=120,I2380*1.25+4,I2380*1.25+5))),
""))),2)</f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>IF(
OR(
ISNUMBER(SEARCH("BACKPACK",B2382)),
ISNUMBER(SEARCH("MOCHILA",B2382)),
ISNUMBER(SEARCH("FUNDA",B2382)),
ISNUMBER(SEARCH("ESTUCHE",B2382)),
ISNUMBER(SEARCH("BOOK COVER",B2382)),
ISNUMBER(SEARCH("KEYBOARD PARA TABLET",B2382)),
ISNUMBER(SEARCH("FLIP TABLET",B2382)),
ISNUMBER(SEARCH("CASE FOR TABLET",B2382)),
ISNUMBER(SEARCH("CABLE",B2382)),
ISNUMBER(SEARCH("ADAPTADOR",B2382)),
ISNUMBER(SEARCH("HUB",B2382)),
ISNUMBER(SEARCH("DOCK",B2382)),
ISNUMBER(SEARCH("MOUSE PAD",B2382)),
ISNUMBER(SEARCH("MOUSEPAD",B2382)),
ISNUMBER(SEARCH("SOPORTE",B2382)),
ISNUMBER(SEARCH("STAND",B2382)),
ISNUMBER(SEARCH("TRAVEL ADAPTER",B2382)),
ISNUMBER(SEARCH("RJ45",B2382)),
ISNUMBER(SEARCH("USB-C",B2382)),
ISNUMBER(SEARCH("USB WIFI",B2382)),
ISNUMBER(SEARCH("POWERBANK",B2382)),
ISNUMBER(SEARCH("CARGADOR",B2382)),
ISNUMBER(SEARCH("COOLER PARA NB",B2382)),
ISNUMBER(SEARCH("SOPORTE PARA NB",B2382)),
ISNUMBER(SEARCH("WEBCAM",B2382)),
ISNUMBER(SEARCH("WEB CAM",B2382)),
ISNUMBER(SEARCH("MOUSE",B2382)),
ISNUMBER(SEARCH("TECLADO",B2382))
),
"COMPLEMENTO",
IF(
OR(
LEFT(A2382,2)="NB",
LEFT(A2382,2)="PC",
LEFT(A2382,2)="WS",
LEFT(A2382,2)="TB",
LEFT(A2382,3)="CEL",
LEFT(A2382,3)="MON",
LEFT(A2382,3)="PRE",
LEFT(A2382,3)="PRH",
ISNUMBER(SEARCH("NOTEBOOK",B2382)),
ISNUMBER(SEARCH("LAPTOP",B2382)),
ISNUMBER(SEARCH("MONITOR",B2382)),
ISNUMBER(SEARCH("TABLET",B2382)),
ISNUMBER(SEARCH("SMARTPH",B2382)),
ISNUMBER(SEARCH("IMPRESORA",B2382)),
ISNUMBER(SEARCH("MULTIFUNCIONAL",B2382)),
ISNUMBER(SEARCH("AIO",B2382))
),
"GANCHO",
"NORMAL"
)
)</f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>ROUND(
IF(L2379="GANCHO",
   IF(I2381&lt;=50,I2381*1.1+4,IF(I2381&lt;=120,I2381*1.1+7,IF(I2381&lt;=250,I2381*1.1+11,I2381*1.1+19))),
IF(L2379="NORMAL",
   IF(I2381&lt;=30,I2381*1.15+2,IF(I2381&lt;=80,I2381*1.15+4,IF(I2381&lt;=150,I2381*1.15+6,I2381*1.15+8))),
IF(L2379="COMPLEMENTO",
   IF(I2381&lt;=25,I2381*1.25+1.5,IF(I2381&lt;=60,I2381*1.25+3,IF(I2381&lt;=120,I2381*1.25+4,I2381*1.25+5))),
""))),2)</f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>IF(
OR(
ISNUMBER(SEARCH("BACKPACK",B2383)),
ISNUMBER(SEARCH("MOCHILA",B2383)),
ISNUMBER(SEARCH("FUNDA",B2383)),
ISNUMBER(SEARCH("ESTUCHE",B2383)),
ISNUMBER(SEARCH("BOOK COVER",B2383)),
ISNUMBER(SEARCH("KEYBOARD PARA TABLET",B2383)),
ISNUMBER(SEARCH("FLIP TABLET",B2383)),
ISNUMBER(SEARCH("CASE FOR TABLET",B2383)),
ISNUMBER(SEARCH("CABLE",B2383)),
ISNUMBER(SEARCH("ADAPTADOR",B2383)),
ISNUMBER(SEARCH("HUB",B2383)),
ISNUMBER(SEARCH("DOCK",B2383)),
ISNUMBER(SEARCH("MOUSE PAD",B2383)),
ISNUMBER(SEARCH("MOUSEPAD",B2383)),
ISNUMBER(SEARCH("SOPORTE",B2383)),
ISNUMBER(SEARCH("STAND",B2383)),
ISNUMBER(SEARCH("TRAVEL ADAPTER",B2383)),
ISNUMBER(SEARCH("RJ45",B2383)),
ISNUMBER(SEARCH("USB-C",B2383)),
ISNUMBER(SEARCH("USB WIFI",B2383)),
ISNUMBER(SEARCH("POWERBANK",B2383)),
ISNUMBER(SEARCH("CARGADOR",B2383)),
ISNUMBER(SEARCH("COOLER PARA NB",B2383)),
ISNUMBER(SEARCH("SOPORTE PARA NB",B2383)),
ISNUMBER(SEARCH("WEBCAM",B2383)),
ISNUMBER(SEARCH("WEB CAM",B2383)),
ISNUMBER(SEARCH("MOUSE",B2383)),
ISNUMBER(SEARCH("TECLADO",B2383))
),
"COMPLEMENTO",
IF(
OR(
LEFT(A2383,2)="NB",
LEFT(A2383,2)="PC",
LEFT(A2383,2)="WS",
LEFT(A2383,2)="TB",
LEFT(A2383,3)="CEL",
LEFT(A2383,3)="MON",
LEFT(A2383,3)="PRE",
LEFT(A2383,3)="PRH",
ISNUMBER(SEARCH("NOTEBOOK",B2383)),
ISNUMBER(SEARCH("LAPTOP",B2383)),
ISNUMBER(SEARCH("MONITOR",B2383)),
ISNUMBER(SEARCH("TABLET",B2383)),
ISNUMBER(SEARCH("SMARTPH",B2383)),
ISNUMBER(SEARCH("IMPRESORA",B2383)),
ISNUMBER(SEARCH("MULTIFUNCIONAL",B2383)),
ISNUMBER(SEARCH("AIO",B2383))
),
"GANCHO",
"NORMAL"
)
)</f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>ROUND(
IF(L2380="GANCHO",
   IF(I2382&lt;=50,I2382*1.1+4,IF(I2382&lt;=120,I2382*1.1+7,IF(I2382&lt;=250,I2382*1.1+11,I2382*1.1+19))),
IF(L2380="NORMAL",
   IF(I2382&lt;=30,I2382*1.15+2,IF(I2382&lt;=80,I2382*1.15+4,IF(I2382&lt;=150,I2382*1.15+6,I2382*1.15+8))),
IF(L2380="COMPLEMENTO",
   IF(I2382&lt;=25,I2382*1.25+1.5,IF(I2382&lt;=60,I2382*1.25+3,IF(I2382&lt;=120,I2382*1.25+4,I2382*1.25+5))),
""))),2)</f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>IF(
OR(
ISNUMBER(SEARCH("BACKPACK",B2384)),
ISNUMBER(SEARCH("MOCHILA",B2384)),
ISNUMBER(SEARCH("FUNDA",B2384)),
ISNUMBER(SEARCH("ESTUCHE",B2384)),
ISNUMBER(SEARCH("BOOK COVER",B2384)),
ISNUMBER(SEARCH("KEYBOARD PARA TABLET",B2384)),
ISNUMBER(SEARCH("FLIP TABLET",B2384)),
ISNUMBER(SEARCH("CASE FOR TABLET",B2384)),
ISNUMBER(SEARCH("CABLE",B2384)),
ISNUMBER(SEARCH("ADAPTADOR",B2384)),
ISNUMBER(SEARCH("HUB",B2384)),
ISNUMBER(SEARCH("DOCK",B2384)),
ISNUMBER(SEARCH("MOUSE PAD",B2384)),
ISNUMBER(SEARCH("MOUSEPAD",B2384)),
ISNUMBER(SEARCH("SOPORTE",B2384)),
ISNUMBER(SEARCH("STAND",B2384)),
ISNUMBER(SEARCH("TRAVEL ADAPTER",B2384)),
ISNUMBER(SEARCH("RJ45",B2384)),
ISNUMBER(SEARCH("USB-C",B2384)),
ISNUMBER(SEARCH("USB WIFI",B2384)),
ISNUMBER(SEARCH("POWERBANK",B2384)),
ISNUMBER(SEARCH("CARGADOR",B2384)),
ISNUMBER(SEARCH("COOLER PARA NB",B2384)),
ISNUMBER(SEARCH("SOPORTE PARA NB",B2384)),
ISNUMBER(SEARCH("WEBCAM",B2384)),
ISNUMBER(SEARCH("WEB CAM",B2384)),
ISNUMBER(SEARCH("MOUSE",B2384)),
ISNUMBER(SEARCH("TECLADO",B2384))
),
"COMPLEMENTO",
IF(
OR(
LEFT(A2384,2)="NB",
LEFT(A2384,2)="PC",
LEFT(A2384,2)="WS",
LEFT(A2384,2)="TB",
LEFT(A2384,3)="CEL",
LEFT(A2384,3)="MON",
LEFT(A2384,3)="PRE",
LEFT(A2384,3)="PRH",
ISNUMBER(SEARCH("NOTEBOOK",B2384)),
ISNUMBER(SEARCH("LAPTOP",B2384)),
ISNUMBER(SEARCH("MONITOR",B2384)),
ISNUMBER(SEARCH("TABLET",B2384)),
ISNUMBER(SEARCH("SMARTPH",B2384)),
ISNUMBER(SEARCH("IMPRESORA",B2384)),
ISNUMBER(SEARCH("MULTIFUNCIONAL",B2384)),
ISNUMBER(SEARCH("AIO",B2384))
),
"GANCHO",
"NORMAL"
)
)</f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>ROUND(
IF(L2381="GANCHO",
   IF(I2383&lt;=50,I2383*1.1+4,IF(I2383&lt;=120,I2383*1.1+7,IF(I2383&lt;=250,I2383*1.1+11,I2383*1.1+19))),
IF(L2381="NORMAL",
   IF(I2383&lt;=30,I2383*1.15+2,IF(I2383&lt;=80,I2383*1.15+4,IF(I2383&lt;=150,I2383*1.15+6,I2383*1.15+8))),
IF(L2381="COMPLEMENTO",
   IF(I2383&lt;=25,I2383*1.25+1.5,IF(I2383&lt;=60,I2383*1.25+3,IF(I2383&lt;=120,I2383*1.25+4,I2383*1.25+5))),
""))),2)</f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>IF(
OR(
ISNUMBER(SEARCH("BACKPACK",B2385)),
ISNUMBER(SEARCH("MOCHILA",B2385)),
ISNUMBER(SEARCH("FUNDA",B2385)),
ISNUMBER(SEARCH("ESTUCHE",B2385)),
ISNUMBER(SEARCH("BOOK COVER",B2385)),
ISNUMBER(SEARCH("KEYBOARD PARA TABLET",B2385)),
ISNUMBER(SEARCH("FLIP TABLET",B2385)),
ISNUMBER(SEARCH("CASE FOR TABLET",B2385)),
ISNUMBER(SEARCH("CABLE",B2385)),
ISNUMBER(SEARCH("ADAPTADOR",B2385)),
ISNUMBER(SEARCH("HUB",B2385)),
ISNUMBER(SEARCH("DOCK",B2385)),
ISNUMBER(SEARCH("MOUSE PAD",B2385)),
ISNUMBER(SEARCH("MOUSEPAD",B2385)),
ISNUMBER(SEARCH("SOPORTE",B2385)),
ISNUMBER(SEARCH("STAND",B2385)),
ISNUMBER(SEARCH("TRAVEL ADAPTER",B2385)),
ISNUMBER(SEARCH("RJ45",B2385)),
ISNUMBER(SEARCH("USB-C",B2385)),
ISNUMBER(SEARCH("USB WIFI",B2385)),
ISNUMBER(SEARCH("POWERBANK",B2385)),
ISNUMBER(SEARCH("CARGADOR",B2385)),
ISNUMBER(SEARCH("COOLER PARA NB",B2385)),
ISNUMBER(SEARCH("SOPORTE PARA NB",B2385)),
ISNUMBER(SEARCH("WEBCAM",B2385)),
ISNUMBER(SEARCH("WEB CAM",B2385)),
ISNUMBER(SEARCH("MOUSE",B2385)),
ISNUMBER(SEARCH("TECLADO",B2385))
),
"COMPLEMENTO",
IF(
OR(
LEFT(A2385,2)="NB",
LEFT(A2385,2)="PC",
LEFT(A2385,2)="WS",
LEFT(A2385,2)="TB",
LEFT(A2385,3)="CEL",
LEFT(A2385,3)="MON",
LEFT(A2385,3)="PRE",
LEFT(A2385,3)="PRH",
ISNUMBER(SEARCH("NOTEBOOK",B2385)),
ISNUMBER(SEARCH("LAPTOP",B2385)),
ISNUMBER(SEARCH("MONITOR",B2385)),
ISNUMBER(SEARCH("TABLET",B2385)),
ISNUMBER(SEARCH("SMARTPH",B2385)),
ISNUMBER(SEARCH("IMPRESORA",B2385)),
ISNUMBER(SEARCH("MULTIFUNCIONAL",B2385)),
ISNUMBER(SEARCH("AIO",B2385))
),
"GANCHO",
"NORMAL"
)
)</f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>ROUND(
IF(L2382="GANCHO",
   IF(I2384&lt;=50,I2384*1.1+4,IF(I2384&lt;=120,I2384*1.1+7,IF(I2384&lt;=250,I2384*1.1+11,I2384*1.1+19))),
IF(L2382="NORMAL",
   IF(I2384&lt;=30,I2384*1.15+2,IF(I2384&lt;=80,I2384*1.15+4,IF(I2384&lt;=150,I2384*1.15+6,I2384*1.15+8))),
IF(L2382="COMPLEMENTO",
   IF(I2384&lt;=25,I2384*1.25+1.5,IF(I2384&lt;=60,I2384*1.25+3,IF(I2384&lt;=120,I2384*1.25+4,I2384*1.25+5))),
""))),2)</f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>IF(
OR(
ISNUMBER(SEARCH("BACKPACK",B2386)),
ISNUMBER(SEARCH("MOCHILA",B2386)),
ISNUMBER(SEARCH("FUNDA",B2386)),
ISNUMBER(SEARCH("ESTUCHE",B2386)),
ISNUMBER(SEARCH("BOOK COVER",B2386)),
ISNUMBER(SEARCH("KEYBOARD PARA TABLET",B2386)),
ISNUMBER(SEARCH("FLIP TABLET",B2386)),
ISNUMBER(SEARCH("CASE FOR TABLET",B2386)),
ISNUMBER(SEARCH("CABLE",B2386)),
ISNUMBER(SEARCH("ADAPTADOR",B2386)),
ISNUMBER(SEARCH("HUB",B2386)),
ISNUMBER(SEARCH("DOCK",B2386)),
ISNUMBER(SEARCH("MOUSE PAD",B2386)),
ISNUMBER(SEARCH("MOUSEPAD",B2386)),
ISNUMBER(SEARCH("SOPORTE",B2386)),
ISNUMBER(SEARCH("STAND",B2386)),
ISNUMBER(SEARCH("TRAVEL ADAPTER",B2386)),
ISNUMBER(SEARCH("RJ45",B2386)),
ISNUMBER(SEARCH("USB-C",B2386)),
ISNUMBER(SEARCH("USB WIFI",B2386)),
ISNUMBER(SEARCH("POWERBANK",B2386)),
ISNUMBER(SEARCH("CARGADOR",B2386)),
ISNUMBER(SEARCH("COOLER PARA NB",B2386)),
ISNUMBER(SEARCH("SOPORTE PARA NB",B2386)),
ISNUMBER(SEARCH("WEBCAM",B2386)),
ISNUMBER(SEARCH("WEB CAM",B2386)),
ISNUMBER(SEARCH("MOUSE",B2386)),
ISNUMBER(SEARCH("TECLADO",B2386))
),
"COMPLEMENTO",
IF(
OR(
LEFT(A2386,2)="NB",
LEFT(A2386,2)="PC",
LEFT(A2386,2)="WS",
LEFT(A2386,2)="TB",
LEFT(A2386,3)="CEL",
LEFT(A2386,3)="MON",
LEFT(A2386,3)="PRE",
LEFT(A2386,3)="PRH",
ISNUMBER(SEARCH("NOTEBOOK",B2386)),
ISNUMBER(SEARCH("LAPTOP",B2386)),
ISNUMBER(SEARCH("MONITOR",B2386)),
ISNUMBER(SEARCH("TABLET",B2386)),
ISNUMBER(SEARCH("SMARTPH",B2386)),
ISNUMBER(SEARCH("IMPRESORA",B2386)),
ISNUMBER(SEARCH("MULTIFUNCIONAL",B2386)),
ISNUMBER(SEARCH("AIO",B2386))
),
"GANCHO",
"NORMAL"
)
)</f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>ROUND(
IF(L2383="GANCHO",
   IF(I2385&lt;=50,I2385*1.1+4,IF(I2385&lt;=120,I2385*1.1+7,IF(I2385&lt;=250,I2385*1.1+11,I2385*1.1+19))),
IF(L2383="NORMAL",
   IF(I2385&lt;=30,I2385*1.15+2,IF(I2385&lt;=80,I2385*1.15+4,IF(I2385&lt;=150,I2385*1.15+6,I2385*1.15+8))),
IF(L2383="COMPLEMENTO",
   IF(I2385&lt;=25,I2385*1.25+1.5,IF(I2385&lt;=60,I2385*1.25+3,IF(I2385&lt;=120,I2385*1.25+4,I2385*1.25+5))),
""))),2)</f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>IF(
OR(
ISNUMBER(SEARCH("BACKPACK",B2387)),
ISNUMBER(SEARCH("MOCHILA",B2387)),
ISNUMBER(SEARCH("FUNDA",B2387)),
ISNUMBER(SEARCH("ESTUCHE",B2387)),
ISNUMBER(SEARCH("BOOK COVER",B2387)),
ISNUMBER(SEARCH("KEYBOARD PARA TABLET",B2387)),
ISNUMBER(SEARCH("FLIP TABLET",B2387)),
ISNUMBER(SEARCH("CASE FOR TABLET",B2387)),
ISNUMBER(SEARCH("CABLE",B2387)),
ISNUMBER(SEARCH("ADAPTADOR",B2387)),
ISNUMBER(SEARCH("HUB",B2387)),
ISNUMBER(SEARCH("DOCK",B2387)),
ISNUMBER(SEARCH("MOUSE PAD",B2387)),
ISNUMBER(SEARCH("MOUSEPAD",B2387)),
ISNUMBER(SEARCH("SOPORTE",B2387)),
ISNUMBER(SEARCH("STAND",B2387)),
ISNUMBER(SEARCH("TRAVEL ADAPTER",B2387)),
ISNUMBER(SEARCH("RJ45",B2387)),
ISNUMBER(SEARCH("USB-C",B2387)),
ISNUMBER(SEARCH("USB WIFI",B2387)),
ISNUMBER(SEARCH("POWERBANK",B2387)),
ISNUMBER(SEARCH("CARGADOR",B2387)),
ISNUMBER(SEARCH("COOLER PARA NB",B2387)),
ISNUMBER(SEARCH("SOPORTE PARA NB",B2387)),
ISNUMBER(SEARCH("WEBCAM",B2387)),
ISNUMBER(SEARCH("WEB CAM",B2387)),
ISNUMBER(SEARCH("MOUSE",B2387)),
ISNUMBER(SEARCH("TECLADO",B2387))
),
"COMPLEMENTO",
IF(
OR(
LEFT(A2387,2)="NB",
LEFT(A2387,2)="PC",
LEFT(A2387,2)="WS",
LEFT(A2387,2)="TB",
LEFT(A2387,3)="CEL",
LEFT(A2387,3)="MON",
LEFT(A2387,3)="PRE",
LEFT(A2387,3)="PRH",
ISNUMBER(SEARCH("NOTEBOOK",B2387)),
ISNUMBER(SEARCH("LAPTOP",B2387)),
ISNUMBER(SEARCH("MONITOR",B2387)),
ISNUMBER(SEARCH("TABLET",B2387)),
ISNUMBER(SEARCH("SMARTPH",B2387)),
ISNUMBER(SEARCH("IMPRESORA",B2387)),
ISNUMBER(SEARCH("MULTIFUNCIONAL",B2387)),
ISNUMBER(SEARCH("AIO",B2387))
),
"GANCHO",
"NORMAL"
)
)</f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>ROUND(
IF(L2384="GANCHO",
   IF(I2386&lt;=50,I2386*1.1+4,IF(I2386&lt;=120,I2386*1.1+7,IF(I2386&lt;=250,I2386*1.1+11,I2386*1.1+19))),
IF(L2384="NORMAL",
   IF(I2386&lt;=30,I2386*1.15+2,IF(I2386&lt;=80,I2386*1.15+4,IF(I2386&lt;=150,I2386*1.15+6,I2386*1.15+8))),
IF(L2384="COMPLEMENTO",
   IF(I2386&lt;=25,I2386*1.25+1.5,IF(I2386&lt;=60,I2386*1.25+3,IF(I2386&lt;=120,I2386*1.25+4,I2386*1.25+5))),
""))),2)</f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>IF(
OR(
ISNUMBER(SEARCH("BACKPACK",B2388)),
ISNUMBER(SEARCH("MOCHILA",B2388)),
ISNUMBER(SEARCH("FUNDA",B2388)),
ISNUMBER(SEARCH("ESTUCHE",B2388)),
ISNUMBER(SEARCH("BOOK COVER",B2388)),
ISNUMBER(SEARCH("KEYBOARD PARA TABLET",B2388)),
ISNUMBER(SEARCH("FLIP TABLET",B2388)),
ISNUMBER(SEARCH("CASE FOR TABLET",B2388)),
ISNUMBER(SEARCH("CABLE",B2388)),
ISNUMBER(SEARCH("ADAPTADOR",B2388)),
ISNUMBER(SEARCH("HUB",B2388)),
ISNUMBER(SEARCH("DOCK",B2388)),
ISNUMBER(SEARCH("MOUSE PAD",B2388)),
ISNUMBER(SEARCH("MOUSEPAD",B2388)),
ISNUMBER(SEARCH("SOPORTE",B2388)),
ISNUMBER(SEARCH("STAND",B2388)),
ISNUMBER(SEARCH("TRAVEL ADAPTER",B2388)),
ISNUMBER(SEARCH("RJ45",B2388)),
ISNUMBER(SEARCH("USB-C",B2388)),
ISNUMBER(SEARCH("USB WIFI",B2388)),
ISNUMBER(SEARCH("POWERBANK",B2388)),
ISNUMBER(SEARCH("CARGADOR",B2388)),
ISNUMBER(SEARCH("COOLER PARA NB",B2388)),
ISNUMBER(SEARCH("SOPORTE PARA NB",B2388)),
ISNUMBER(SEARCH("WEBCAM",B2388)),
ISNUMBER(SEARCH("WEB CAM",B2388)),
ISNUMBER(SEARCH("MOUSE",B2388)),
ISNUMBER(SEARCH("TECLADO",B2388))
),
"COMPLEMENTO",
IF(
OR(
LEFT(A2388,2)="NB",
LEFT(A2388,2)="PC",
LEFT(A2388,2)="WS",
LEFT(A2388,2)="TB",
LEFT(A2388,3)="CEL",
LEFT(A2388,3)="MON",
LEFT(A2388,3)="PRE",
LEFT(A2388,3)="PRH",
ISNUMBER(SEARCH("NOTEBOOK",B2388)),
ISNUMBER(SEARCH("LAPTOP",B2388)),
ISNUMBER(SEARCH("MONITOR",B2388)),
ISNUMBER(SEARCH("TABLET",B2388)),
ISNUMBER(SEARCH("SMARTPH",B2388)),
ISNUMBER(SEARCH("IMPRESORA",B2388)),
ISNUMBER(SEARCH("MULTIFUNCIONAL",B2388)),
ISNUMBER(SEARCH("AIO",B2388))
),
"GANCHO",
"NORMAL"
)
)</f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>ROUND(
IF(L2385="GANCHO",
   IF(I2387&lt;=50,I2387*1.1+4,IF(I2387&lt;=120,I2387*1.1+7,IF(I2387&lt;=250,I2387*1.1+11,I2387*1.1+19))),
IF(L2385="NORMAL",
   IF(I2387&lt;=30,I2387*1.15+2,IF(I2387&lt;=80,I2387*1.15+4,IF(I2387&lt;=150,I2387*1.15+6,I2387*1.15+8))),
IF(L2385="COMPLEMENTO",
   IF(I2387&lt;=25,I2387*1.25+1.5,IF(I2387&lt;=60,I2387*1.25+3,IF(I2387&lt;=120,I2387*1.25+4,I2387*1.25+5))),
""))),2)</f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>IF(
OR(
ISNUMBER(SEARCH("BACKPACK",B2389)),
ISNUMBER(SEARCH("MOCHILA",B2389)),
ISNUMBER(SEARCH("FUNDA",B2389)),
ISNUMBER(SEARCH("ESTUCHE",B2389)),
ISNUMBER(SEARCH("BOOK COVER",B2389)),
ISNUMBER(SEARCH("KEYBOARD PARA TABLET",B2389)),
ISNUMBER(SEARCH("FLIP TABLET",B2389)),
ISNUMBER(SEARCH("CASE FOR TABLET",B2389)),
ISNUMBER(SEARCH("CABLE",B2389)),
ISNUMBER(SEARCH("ADAPTADOR",B2389)),
ISNUMBER(SEARCH("HUB",B2389)),
ISNUMBER(SEARCH("DOCK",B2389)),
ISNUMBER(SEARCH("MOUSE PAD",B2389)),
ISNUMBER(SEARCH("MOUSEPAD",B2389)),
ISNUMBER(SEARCH("SOPORTE",B2389)),
ISNUMBER(SEARCH("STAND",B2389)),
ISNUMBER(SEARCH("TRAVEL ADAPTER",B2389)),
ISNUMBER(SEARCH("RJ45",B2389)),
ISNUMBER(SEARCH("USB-C",B2389)),
ISNUMBER(SEARCH("USB WIFI",B2389)),
ISNUMBER(SEARCH("POWERBANK",B2389)),
ISNUMBER(SEARCH("CARGADOR",B2389)),
ISNUMBER(SEARCH("COOLER PARA NB",B2389)),
ISNUMBER(SEARCH("SOPORTE PARA NB",B2389)),
ISNUMBER(SEARCH("WEBCAM",B2389)),
ISNUMBER(SEARCH("WEB CAM",B2389)),
ISNUMBER(SEARCH("MOUSE",B2389)),
ISNUMBER(SEARCH("TECLADO",B2389))
),
"COMPLEMENTO",
IF(
OR(
LEFT(A2389,2)="NB",
LEFT(A2389,2)="PC",
LEFT(A2389,2)="WS",
LEFT(A2389,2)="TB",
LEFT(A2389,3)="CEL",
LEFT(A2389,3)="MON",
LEFT(A2389,3)="PRE",
LEFT(A2389,3)="PRH",
ISNUMBER(SEARCH("NOTEBOOK",B2389)),
ISNUMBER(SEARCH("LAPTOP",B2389)),
ISNUMBER(SEARCH("MONITOR",B2389)),
ISNUMBER(SEARCH("TABLET",B2389)),
ISNUMBER(SEARCH("SMARTPH",B2389)),
ISNUMBER(SEARCH("IMPRESORA",B2389)),
ISNUMBER(SEARCH("MULTIFUNCIONAL",B2389)),
ISNUMBER(SEARCH("AIO",B2389))
),
"GANCHO",
"NORMAL"
)
)</f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>ROUND(
IF(L2386="GANCHO",
   IF(I2388&lt;=50,I2388*1.1+4,IF(I2388&lt;=120,I2388*1.1+7,IF(I2388&lt;=250,I2388*1.1+11,I2388*1.1+19))),
IF(L2386="NORMAL",
   IF(I2388&lt;=30,I2388*1.15+2,IF(I2388&lt;=80,I2388*1.15+4,IF(I2388&lt;=150,I2388*1.15+6,I2388*1.15+8))),
IF(L2386="COMPLEMENTO",
   IF(I2388&lt;=25,I2388*1.25+1.5,IF(I2388&lt;=60,I2388*1.25+3,IF(I2388&lt;=120,I2388*1.25+4,I2388*1.25+5))),
""))),2)</f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>IF(
OR(
ISNUMBER(SEARCH("BACKPACK",B2390)),
ISNUMBER(SEARCH("MOCHILA",B2390)),
ISNUMBER(SEARCH("FUNDA",B2390)),
ISNUMBER(SEARCH("ESTUCHE",B2390)),
ISNUMBER(SEARCH("BOOK COVER",B2390)),
ISNUMBER(SEARCH("KEYBOARD PARA TABLET",B2390)),
ISNUMBER(SEARCH("FLIP TABLET",B2390)),
ISNUMBER(SEARCH("CASE FOR TABLET",B2390)),
ISNUMBER(SEARCH("CABLE",B2390)),
ISNUMBER(SEARCH("ADAPTADOR",B2390)),
ISNUMBER(SEARCH("HUB",B2390)),
ISNUMBER(SEARCH("DOCK",B2390)),
ISNUMBER(SEARCH("MOUSE PAD",B2390)),
ISNUMBER(SEARCH("MOUSEPAD",B2390)),
ISNUMBER(SEARCH("SOPORTE",B2390)),
ISNUMBER(SEARCH("STAND",B2390)),
ISNUMBER(SEARCH("TRAVEL ADAPTER",B2390)),
ISNUMBER(SEARCH("RJ45",B2390)),
ISNUMBER(SEARCH("USB-C",B2390)),
ISNUMBER(SEARCH("USB WIFI",B2390)),
ISNUMBER(SEARCH("POWERBANK",B2390)),
ISNUMBER(SEARCH("CARGADOR",B2390)),
ISNUMBER(SEARCH("COOLER PARA NB",B2390)),
ISNUMBER(SEARCH("SOPORTE PARA NB",B2390)),
ISNUMBER(SEARCH("WEBCAM",B2390)),
ISNUMBER(SEARCH("WEB CAM",B2390)),
ISNUMBER(SEARCH("MOUSE",B2390)),
ISNUMBER(SEARCH("TECLADO",B2390))
),
"COMPLEMENTO",
IF(
OR(
LEFT(A2390,2)="NB",
LEFT(A2390,2)="PC",
LEFT(A2390,2)="WS",
LEFT(A2390,2)="TB",
LEFT(A2390,3)="CEL",
LEFT(A2390,3)="MON",
LEFT(A2390,3)="PRE",
LEFT(A2390,3)="PRH",
ISNUMBER(SEARCH("NOTEBOOK",B2390)),
ISNUMBER(SEARCH("LAPTOP",B2390)),
ISNUMBER(SEARCH("MONITOR",B2390)),
ISNUMBER(SEARCH("TABLET",B2390)),
ISNUMBER(SEARCH("SMARTPH",B2390)),
ISNUMBER(SEARCH("IMPRESORA",B2390)),
ISNUMBER(SEARCH("MULTIFUNCIONAL",B2390)),
ISNUMBER(SEARCH("AIO",B2390))
),
"GANCHO",
"NORMAL"
)
)</f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>ROUND(
IF(L2387="GANCHO",
   IF(I2389&lt;=50,I2389*1.1+4,IF(I2389&lt;=120,I2389*1.1+7,IF(I2389&lt;=250,I2389*1.1+11,I2389*1.1+19))),
IF(L2387="NORMAL",
   IF(I2389&lt;=30,I2389*1.15+2,IF(I2389&lt;=80,I2389*1.15+4,IF(I2389&lt;=150,I2389*1.15+6,I2389*1.15+8))),
IF(L2387="COMPLEMENTO",
   IF(I2389&lt;=25,I2389*1.25+1.5,IF(I2389&lt;=60,I2389*1.25+3,IF(I2389&lt;=120,I2389*1.25+4,I2389*1.25+5))),
""))),2)</f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>IF(
OR(
ISNUMBER(SEARCH("BACKPACK",B2391)),
ISNUMBER(SEARCH("MOCHILA",B2391)),
ISNUMBER(SEARCH("FUNDA",B2391)),
ISNUMBER(SEARCH("ESTUCHE",B2391)),
ISNUMBER(SEARCH("BOOK COVER",B2391)),
ISNUMBER(SEARCH("KEYBOARD PARA TABLET",B2391)),
ISNUMBER(SEARCH("FLIP TABLET",B2391)),
ISNUMBER(SEARCH("CASE FOR TABLET",B2391)),
ISNUMBER(SEARCH("CABLE",B2391)),
ISNUMBER(SEARCH("ADAPTADOR",B2391)),
ISNUMBER(SEARCH("HUB",B2391)),
ISNUMBER(SEARCH("DOCK",B2391)),
ISNUMBER(SEARCH("MOUSE PAD",B2391)),
ISNUMBER(SEARCH("MOUSEPAD",B2391)),
ISNUMBER(SEARCH("SOPORTE",B2391)),
ISNUMBER(SEARCH("STAND",B2391)),
ISNUMBER(SEARCH("TRAVEL ADAPTER",B2391)),
ISNUMBER(SEARCH("RJ45",B2391)),
ISNUMBER(SEARCH("USB-C",B2391)),
ISNUMBER(SEARCH("USB WIFI",B2391)),
ISNUMBER(SEARCH("POWERBANK",B2391)),
ISNUMBER(SEARCH("CARGADOR",B2391)),
ISNUMBER(SEARCH("COOLER PARA NB",B2391)),
ISNUMBER(SEARCH("SOPORTE PARA NB",B2391)),
ISNUMBER(SEARCH("WEBCAM",B2391)),
ISNUMBER(SEARCH("WEB CAM",B2391)),
ISNUMBER(SEARCH("MOUSE",B2391)),
ISNUMBER(SEARCH("TECLADO",B2391))
),
"COMPLEMENTO",
IF(
OR(
LEFT(A2391,2)="NB",
LEFT(A2391,2)="PC",
LEFT(A2391,2)="WS",
LEFT(A2391,2)="TB",
LEFT(A2391,3)="CEL",
LEFT(A2391,3)="MON",
LEFT(A2391,3)="PRE",
LEFT(A2391,3)="PRH",
ISNUMBER(SEARCH("NOTEBOOK",B2391)),
ISNUMBER(SEARCH("LAPTOP",B2391)),
ISNUMBER(SEARCH("MONITOR",B2391)),
ISNUMBER(SEARCH("TABLET",B2391)),
ISNUMBER(SEARCH("SMARTPH",B2391)),
ISNUMBER(SEARCH("IMPRESORA",B2391)),
ISNUMBER(SEARCH("MULTIFUNCIONAL",B2391)),
ISNUMBER(SEARCH("AIO",B2391))
),
"GANCHO",
"NORMAL"
)
)</f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>ROUND(
IF(L2388="GANCHO",
   IF(I2390&lt;=50,I2390*1.1+4,IF(I2390&lt;=120,I2390*1.1+7,IF(I2390&lt;=250,I2390*1.1+11,I2390*1.1+19))),
IF(L2388="NORMAL",
   IF(I2390&lt;=30,I2390*1.15+2,IF(I2390&lt;=80,I2390*1.15+4,IF(I2390&lt;=150,I2390*1.15+6,I2390*1.15+8))),
IF(L2388="COMPLEMENTO",
   IF(I2390&lt;=25,I2390*1.25+1.5,IF(I2390&lt;=60,I2390*1.25+3,IF(I2390&lt;=120,I2390*1.25+4,I2390*1.25+5))),
""))),2)</f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>IF(
OR(
ISNUMBER(SEARCH("BACKPACK",B2392)),
ISNUMBER(SEARCH("MOCHILA",B2392)),
ISNUMBER(SEARCH("FUNDA",B2392)),
ISNUMBER(SEARCH("ESTUCHE",B2392)),
ISNUMBER(SEARCH("BOOK COVER",B2392)),
ISNUMBER(SEARCH("KEYBOARD PARA TABLET",B2392)),
ISNUMBER(SEARCH("FLIP TABLET",B2392)),
ISNUMBER(SEARCH("CASE FOR TABLET",B2392)),
ISNUMBER(SEARCH("CABLE",B2392)),
ISNUMBER(SEARCH("ADAPTADOR",B2392)),
ISNUMBER(SEARCH("HUB",B2392)),
ISNUMBER(SEARCH("DOCK",B2392)),
ISNUMBER(SEARCH("MOUSE PAD",B2392)),
ISNUMBER(SEARCH("MOUSEPAD",B2392)),
ISNUMBER(SEARCH("SOPORTE",B2392)),
ISNUMBER(SEARCH("STAND",B2392)),
ISNUMBER(SEARCH("TRAVEL ADAPTER",B2392)),
ISNUMBER(SEARCH("RJ45",B2392)),
ISNUMBER(SEARCH("USB-C",B2392)),
ISNUMBER(SEARCH("USB WIFI",B2392)),
ISNUMBER(SEARCH("POWERBANK",B2392)),
ISNUMBER(SEARCH("CARGADOR",B2392)),
ISNUMBER(SEARCH("COOLER PARA NB",B2392)),
ISNUMBER(SEARCH("SOPORTE PARA NB",B2392)),
ISNUMBER(SEARCH("WEBCAM",B2392)),
ISNUMBER(SEARCH("WEB CAM",B2392)),
ISNUMBER(SEARCH("MOUSE",B2392)),
ISNUMBER(SEARCH("TECLADO",B2392))
),
"COMPLEMENTO",
IF(
OR(
LEFT(A2392,2)="NB",
LEFT(A2392,2)="PC",
LEFT(A2392,2)="WS",
LEFT(A2392,2)="TB",
LEFT(A2392,3)="CEL",
LEFT(A2392,3)="MON",
LEFT(A2392,3)="PRE",
LEFT(A2392,3)="PRH",
ISNUMBER(SEARCH("NOTEBOOK",B2392)),
ISNUMBER(SEARCH("LAPTOP",B2392)),
ISNUMBER(SEARCH("MONITOR",B2392)),
ISNUMBER(SEARCH("TABLET",B2392)),
ISNUMBER(SEARCH("SMARTPH",B2392)),
ISNUMBER(SEARCH("IMPRESORA",B2392)),
ISNUMBER(SEARCH("MULTIFUNCIONAL",B2392)),
ISNUMBER(SEARCH("AIO",B2392))
),
"GANCHO",
"NORMAL"
)
)</f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>ROUND(
IF(L2389="GANCHO",
   IF(I2391&lt;=50,I2391*1.1+4,IF(I2391&lt;=120,I2391*1.1+7,IF(I2391&lt;=250,I2391*1.1+11,I2391*1.1+19))),
IF(L2389="NORMAL",
   IF(I2391&lt;=30,I2391*1.15+2,IF(I2391&lt;=80,I2391*1.15+4,IF(I2391&lt;=150,I2391*1.15+6,I2391*1.15+8))),
IF(L2389="COMPLEMENTO",
   IF(I2391&lt;=25,I2391*1.25+1.5,IF(I2391&lt;=60,I2391*1.25+3,IF(I2391&lt;=120,I2391*1.25+4,I2391*1.25+5))),
""))),2)</f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>IF(
OR(
ISNUMBER(SEARCH("BACKPACK",B2393)),
ISNUMBER(SEARCH("MOCHILA",B2393)),
ISNUMBER(SEARCH("FUNDA",B2393)),
ISNUMBER(SEARCH("ESTUCHE",B2393)),
ISNUMBER(SEARCH("BOOK COVER",B2393)),
ISNUMBER(SEARCH("KEYBOARD PARA TABLET",B2393)),
ISNUMBER(SEARCH("FLIP TABLET",B2393)),
ISNUMBER(SEARCH("CASE FOR TABLET",B2393)),
ISNUMBER(SEARCH("CABLE",B2393)),
ISNUMBER(SEARCH("ADAPTADOR",B2393)),
ISNUMBER(SEARCH("HUB",B2393)),
ISNUMBER(SEARCH("DOCK",B2393)),
ISNUMBER(SEARCH("MOUSE PAD",B2393)),
ISNUMBER(SEARCH("MOUSEPAD",B2393)),
ISNUMBER(SEARCH("SOPORTE",B2393)),
ISNUMBER(SEARCH("STAND",B2393)),
ISNUMBER(SEARCH("TRAVEL ADAPTER",B2393)),
ISNUMBER(SEARCH("RJ45",B2393)),
ISNUMBER(SEARCH("USB-C",B2393)),
ISNUMBER(SEARCH("USB WIFI",B2393)),
ISNUMBER(SEARCH("POWERBANK",B2393)),
ISNUMBER(SEARCH("CARGADOR",B2393)),
ISNUMBER(SEARCH("COOLER PARA NB",B2393)),
ISNUMBER(SEARCH("SOPORTE PARA NB",B2393)),
ISNUMBER(SEARCH("WEBCAM",B2393)),
ISNUMBER(SEARCH("WEB CAM",B2393)),
ISNUMBER(SEARCH("MOUSE",B2393)),
ISNUMBER(SEARCH("TECLADO",B2393))
),
"COMPLEMENTO",
IF(
OR(
LEFT(A2393,2)="NB",
LEFT(A2393,2)="PC",
LEFT(A2393,2)="WS",
LEFT(A2393,2)="TB",
LEFT(A2393,3)="CEL",
LEFT(A2393,3)="MON",
LEFT(A2393,3)="PRE",
LEFT(A2393,3)="PRH",
ISNUMBER(SEARCH("NOTEBOOK",B2393)),
ISNUMBER(SEARCH("LAPTOP",B2393)),
ISNUMBER(SEARCH("MONITOR",B2393)),
ISNUMBER(SEARCH("TABLET",B2393)),
ISNUMBER(SEARCH("SMARTPH",B2393)),
ISNUMBER(SEARCH("IMPRESORA",B2393)),
ISNUMBER(SEARCH("MULTIFUNCIONAL",B2393)),
ISNUMBER(SEARCH("AIO",B2393))
),
"GANCHO",
"NORMAL"
)
)</f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>ROUND(
IF(L2390="GANCHO",
   IF(I2392&lt;=50,I2392*1.1+4,IF(I2392&lt;=120,I2392*1.1+7,IF(I2392&lt;=250,I2392*1.1+11,I2392*1.1+19))),
IF(L2390="NORMAL",
   IF(I2392&lt;=30,I2392*1.15+2,IF(I2392&lt;=80,I2392*1.15+4,IF(I2392&lt;=150,I2392*1.15+6,I2392*1.15+8))),
IF(L2390="COMPLEMENTO",
   IF(I2392&lt;=25,I2392*1.25+1.5,IF(I2392&lt;=60,I2392*1.25+3,IF(I2392&lt;=120,I2392*1.25+4,I2392*1.25+5))),
""))),2)</f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>IF(
OR(
ISNUMBER(SEARCH("BACKPACK",B2394)),
ISNUMBER(SEARCH("MOCHILA",B2394)),
ISNUMBER(SEARCH("FUNDA",B2394)),
ISNUMBER(SEARCH("ESTUCHE",B2394)),
ISNUMBER(SEARCH("BOOK COVER",B2394)),
ISNUMBER(SEARCH("KEYBOARD PARA TABLET",B2394)),
ISNUMBER(SEARCH("FLIP TABLET",B2394)),
ISNUMBER(SEARCH("CASE FOR TABLET",B2394)),
ISNUMBER(SEARCH("CABLE",B2394)),
ISNUMBER(SEARCH("ADAPTADOR",B2394)),
ISNUMBER(SEARCH("HUB",B2394)),
ISNUMBER(SEARCH("DOCK",B2394)),
ISNUMBER(SEARCH("MOUSE PAD",B2394)),
ISNUMBER(SEARCH("MOUSEPAD",B2394)),
ISNUMBER(SEARCH("SOPORTE",B2394)),
ISNUMBER(SEARCH("STAND",B2394)),
ISNUMBER(SEARCH("TRAVEL ADAPTER",B2394)),
ISNUMBER(SEARCH("RJ45",B2394)),
ISNUMBER(SEARCH("USB-C",B2394)),
ISNUMBER(SEARCH("USB WIFI",B2394)),
ISNUMBER(SEARCH("POWERBANK",B2394)),
ISNUMBER(SEARCH("CARGADOR",B2394)),
ISNUMBER(SEARCH("COOLER PARA NB",B2394)),
ISNUMBER(SEARCH("SOPORTE PARA NB",B2394)),
ISNUMBER(SEARCH("WEBCAM",B2394)),
ISNUMBER(SEARCH("WEB CAM",B2394)),
ISNUMBER(SEARCH("MOUSE",B2394)),
ISNUMBER(SEARCH("TECLADO",B2394))
),
"COMPLEMENTO",
IF(
OR(
LEFT(A2394,2)="NB",
LEFT(A2394,2)="PC",
LEFT(A2394,2)="WS",
LEFT(A2394,2)="TB",
LEFT(A2394,3)="CEL",
LEFT(A2394,3)="MON",
LEFT(A2394,3)="PRE",
LEFT(A2394,3)="PRH",
ISNUMBER(SEARCH("NOTEBOOK",B2394)),
ISNUMBER(SEARCH("LAPTOP",B2394)),
ISNUMBER(SEARCH("MONITOR",B2394)),
ISNUMBER(SEARCH("TABLET",B2394)),
ISNUMBER(SEARCH("SMARTPH",B2394)),
ISNUMBER(SEARCH("IMPRESORA",B2394)),
ISNUMBER(SEARCH("MULTIFUNCIONAL",B2394)),
ISNUMBER(SEARCH("AIO",B2394))
),
"GANCHO",
"NORMAL"
)
)</f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>ROUND(
IF(L2391="GANCHO",
   IF(I2393&lt;=50,I2393*1.1+4,IF(I2393&lt;=120,I2393*1.1+7,IF(I2393&lt;=250,I2393*1.1+11,I2393*1.1+19))),
IF(L2391="NORMAL",
   IF(I2393&lt;=30,I2393*1.15+2,IF(I2393&lt;=80,I2393*1.15+4,IF(I2393&lt;=150,I2393*1.15+6,I2393*1.15+8))),
IF(L2391="COMPLEMENTO",
   IF(I2393&lt;=25,I2393*1.25+1.5,IF(I2393&lt;=60,I2393*1.25+3,IF(I2393&lt;=120,I2393*1.25+4,I2393*1.25+5))),
""))),2)</f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>IF(
OR(
ISNUMBER(SEARCH("BACKPACK",B2395)),
ISNUMBER(SEARCH("MOCHILA",B2395)),
ISNUMBER(SEARCH("FUNDA",B2395)),
ISNUMBER(SEARCH("ESTUCHE",B2395)),
ISNUMBER(SEARCH("BOOK COVER",B2395)),
ISNUMBER(SEARCH("KEYBOARD PARA TABLET",B2395)),
ISNUMBER(SEARCH("FLIP TABLET",B2395)),
ISNUMBER(SEARCH("CASE FOR TABLET",B2395)),
ISNUMBER(SEARCH("CABLE",B2395)),
ISNUMBER(SEARCH("ADAPTADOR",B2395)),
ISNUMBER(SEARCH("HUB",B2395)),
ISNUMBER(SEARCH("DOCK",B2395)),
ISNUMBER(SEARCH("MOUSE PAD",B2395)),
ISNUMBER(SEARCH("MOUSEPAD",B2395)),
ISNUMBER(SEARCH("SOPORTE",B2395)),
ISNUMBER(SEARCH("STAND",B2395)),
ISNUMBER(SEARCH("TRAVEL ADAPTER",B2395)),
ISNUMBER(SEARCH("RJ45",B2395)),
ISNUMBER(SEARCH("USB-C",B2395)),
ISNUMBER(SEARCH("USB WIFI",B2395)),
ISNUMBER(SEARCH("POWERBANK",B2395)),
ISNUMBER(SEARCH("CARGADOR",B2395)),
ISNUMBER(SEARCH("COOLER PARA NB",B2395)),
ISNUMBER(SEARCH("SOPORTE PARA NB",B2395)),
ISNUMBER(SEARCH("WEBCAM",B2395)),
ISNUMBER(SEARCH("WEB CAM",B2395)),
ISNUMBER(SEARCH("MOUSE",B2395)),
ISNUMBER(SEARCH("TECLADO",B2395))
),
"COMPLEMENTO",
IF(
OR(
LEFT(A2395,2)="NB",
LEFT(A2395,2)="PC",
LEFT(A2395,2)="WS",
LEFT(A2395,2)="TB",
LEFT(A2395,3)="CEL",
LEFT(A2395,3)="MON",
LEFT(A2395,3)="PRE",
LEFT(A2395,3)="PRH",
ISNUMBER(SEARCH("NOTEBOOK",B2395)),
ISNUMBER(SEARCH("LAPTOP",B2395)),
ISNUMBER(SEARCH("MONITOR",B2395)),
ISNUMBER(SEARCH("TABLET",B2395)),
ISNUMBER(SEARCH("SMARTPH",B2395)),
ISNUMBER(SEARCH("IMPRESORA",B2395)),
ISNUMBER(SEARCH("MULTIFUNCIONAL",B2395)),
ISNUMBER(SEARCH("AIO",B2395))
),
"GANCHO",
"NORMAL"
)
)</f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>ROUND(
IF(L2392="GANCHO",
   IF(I2394&lt;=50,I2394*1.1+4,IF(I2394&lt;=120,I2394*1.1+7,IF(I2394&lt;=250,I2394*1.1+11,I2394*1.1+19))),
IF(L2392="NORMAL",
   IF(I2394&lt;=30,I2394*1.15+2,IF(I2394&lt;=80,I2394*1.15+4,IF(I2394&lt;=150,I2394*1.15+6,I2394*1.15+8))),
IF(L2392="COMPLEMENTO",
   IF(I2394&lt;=25,I2394*1.25+1.5,IF(I2394&lt;=60,I2394*1.25+3,IF(I2394&lt;=120,I2394*1.25+4,I2394*1.25+5))),
""))),2)</f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>IF(
OR(
ISNUMBER(SEARCH("BACKPACK",B2396)),
ISNUMBER(SEARCH("MOCHILA",B2396)),
ISNUMBER(SEARCH("FUNDA",B2396)),
ISNUMBER(SEARCH("ESTUCHE",B2396)),
ISNUMBER(SEARCH("BOOK COVER",B2396)),
ISNUMBER(SEARCH("KEYBOARD PARA TABLET",B2396)),
ISNUMBER(SEARCH("FLIP TABLET",B2396)),
ISNUMBER(SEARCH("CASE FOR TABLET",B2396)),
ISNUMBER(SEARCH("CABLE",B2396)),
ISNUMBER(SEARCH("ADAPTADOR",B2396)),
ISNUMBER(SEARCH("HUB",B2396)),
ISNUMBER(SEARCH("DOCK",B2396)),
ISNUMBER(SEARCH("MOUSE PAD",B2396)),
ISNUMBER(SEARCH("MOUSEPAD",B2396)),
ISNUMBER(SEARCH("SOPORTE",B2396)),
ISNUMBER(SEARCH("STAND",B2396)),
ISNUMBER(SEARCH("TRAVEL ADAPTER",B2396)),
ISNUMBER(SEARCH("RJ45",B2396)),
ISNUMBER(SEARCH("USB-C",B2396)),
ISNUMBER(SEARCH("USB WIFI",B2396)),
ISNUMBER(SEARCH("POWERBANK",B2396)),
ISNUMBER(SEARCH("CARGADOR",B2396)),
ISNUMBER(SEARCH("COOLER PARA NB",B2396)),
ISNUMBER(SEARCH("SOPORTE PARA NB",B2396)),
ISNUMBER(SEARCH("WEBCAM",B2396)),
ISNUMBER(SEARCH("WEB CAM",B2396)),
ISNUMBER(SEARCH("MOUSE",B2396)),
ISNUMBER(SEARCH("TECLADO",B2396))
),
"COMPLEMENTO",
IF(
OR(
LEFT(A2396,2)="NB",
LEFT(A2396,2)="PC",
LEFT(A2396,2)="WS",
LEFT(A2396,2)="TB",
LEFT(A2396,3)="CEL",
LEFT(A2396,3)="MON",
LEFT(A2396,3)="PRE",
LEFT(A2396,3)="PRH",
ISNUMBER(SEARCH("NOTEBOOK",B2396)),
ISNUMBER(SEARCH("LAPTOP",B2396)),
ISNUMBER(SEARCH("MONITOR",B2396)),
ISNUMBER(SEARCH("TABLET",B2396)),
ISNUMBER(SEARCH("SMARTPH",B2396)),
ISNUMBER(SEARCH("IMPRESORA",B2396)),
ISNUMBER(SEARCH("MULTIFUNCIONAL",B2396)),
ISNUMBER(SEARCH("AIO",B2396))
),
"GANCHO",
"NORMAL"
)
)</f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>ROUND(
IF(L2393="GANCHO",
   IF(I2395&lt;=50,I2395*1.1+4,IF(I2395&lt;=120,I2395*1.1+7,IF(I2395&lt;=250,I2395*1.1+11,I2395*1.1+19))),
IF(L2393="NORMAL",
   IF(I2395&lt;=30,I2395*1.15+2,IF(I2395&lt;=80,I2395*1.15+4,IF(I2395&lt;=150,I2395*1.15+6,I2395*1.15+8))),
IF(L2393="COMPLEMENTO",
   IF(I2395&lt;=25,I2395*1.25+1.5,IF(I2395&lt;=60,I2395*1.25+3,IF(I2395&lt;=120,I2395*1.25+4,I2395*1.25+5))),
""))),2)</f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>IF(
OR(
ISNUMBER(SEARCH("BACKPACK",B2397)),
ISNUMBER(SEARCH("MOCHILA",B2397)),
ISNUMBER(SEARCH("FUNDA",B2397)),
ISNUMBER(SEARCH("ESTUCHE",B2397)),
ISNUMBER(SEARCH("BOOK COVER",B2397)),
ISNUMBER(SEARCH("KEYBOARD PARA TABLET",B2397)),
ISNUMBER(SEARCH("FLIP TABLET",B2397)),
ISNUMBER(SEARCH("CASE FOR TABLET",B2397)),
ISNUMBER(SEARCH("CABLE",B2397)),
ISNUMBER(SEARCH("ADAPTADOR",B2397)),
ISNUMBER(SEARCH("HUB",B2397)),
ISNUMBER(SEARCH("DOCK",B2397)),
ISNUMBER(SEARCH("MOUSE PAD",B2397)),
ISNUMBER(SEARCH("MOUSEPAD",B2397)),
ISNUMBER(SEARCH("SOPORTE",B2397)),
ISNUMBER(SEARCH("STAND",B2397)),
ISNUMBER(SEARCH("TRAVEL ADAPTER",B2397)),
ISNUMBER(SEARCH("RJ45",B2397)),
ISNUMBER(SEARCH("USB-C",B2397)),
ISNUMBER(SEARCH("USB WIFI",B2397)),
ISNUMBER(SEARCH("POWERBANK",B2397)),
ISNUMBER(SEARCH("CARGADOR",B2397)),
ISNUMBER(SEARCH("COOLER PARA NB",B2397)),
ISNUMBER(SEARCH("SOPORTE PARA NB",B2397)),
ISNUMBER(SEARCH("WEBCAM",B2397)),
ISNUMBER(SEARCH("WEB CAM",B2397)),
ISNUMBER(SEARCH("MOUSE",B2397)),
ISNUMBER(SEARCH("TECLADO",B2397))
),
"COMPLEMENTO",
IF(
OR(
LEFT(A2397,2)="NB",
LEFT(A2397,2)="PC",
LEFT(A2397,2)="WS",
LEFT(A2397,2)="TB",
LEFT(A2397,3)="CEL",
LEFT(A2397,3)="MON",
LEFT(A2397,3)="PRE",
LEFT(A2397,3)="PRH",
ISNUMBER(SEARCH("NOTEBOOK",B2397)),
ISNUMBER(SEARCH("LAPTOP",B2397)),
ISNUMBER(SEARCH("MONITOR",B2397)),
ISNUMBER(SEARCH("TABLET",B2397)),
ISNUMBER(SEARCH("SMARTPH",B2397)),
ISNUMBER(SEARCH("IMPRESORA",B2397)),
ISNUMBER(SEARCH("MULTIFUNCIONAL",B2397)),
ISNUMBER(SEARCH("AIO",B2397))
),
"GANCHO",
"NORMAL"
)
)</f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>ROUND(
IF(L2394="GANCHO",
   IF(I2396&lt;=50,I2396*1.1+4,IF(I2396&lt;=120,I2396*1.1+7,IF(I2396&lt;=250,I2396*1.1+11,I2396*1.1+19))),
IF(L2394="NORMAL",
   IF(I2396&lt;=30,I2396*1.15+2,IF(I2396&lt;=80,I2396*1.15+4,IF(I2396&lt;=150,I2396*1.15+6,I2396*1.15+8))),
IF(L2394="COMPLEMENTO",
   IF(I2396&lt;=25,I2396*1.25+1.5,IF(I2396&lt;=60,I2396*1.25+3,IF(I2396&lt;=120,I2396*1.25+4,I2396*1.25+5))),
""))),2)</f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>IF(
OR(
ISNUMBER(SEARCH("BACKPACK",B2398)),
ISNUMBER(SEARCH("MOCHILA",B2398)),
ISNUMBER(SEARCH("FUNDA",B2398)),
ISNUMBER(SEARCH("ESTUCHE",B2398)),
ISNUMBER(SEARCH("BOOK COVER",B2398)),
ISNUMBER(SEARCH("KEYBOARD PARA TABLET",B2398)),
ISNUMBER(SEARCH("FLIP TABLET",B2398)),
ISNUMBER(SEARCH("CASE FOR TABLET",B2398)),
ISNUMBER(SEARCH("CABLE",B2398)),
ISNUMBER(SEARCH("ADAPTADOR",B2398)),
ISNUMBER(SEARCH("HUB",B2398)),
ISNUMBER(SEARCH("DOCK",B2398)),
ISNUMBER(SEARCH("MOUSE PAD",B2398)),
ISNUMBER(SEARCH("MOUSEPAD",B2398)),
ISNUMBER(SEARCH("SOPORTE",B2398)),
ISNUMBER(SEARCH("STAND",B2398)),
ISNUMBER(SEARCH("TRAVEL ADAPTER",B2398)),
ISNUMBER(SEARCH("RJ45",B2398)),
ISNUMBER(SEARCH("USB-C",B2398)),
ISNUMBER(SEARCH("USB WIFI",B2398)),
ISNUMBER(SEARCH("POWERBANK",B2398)),
ISNUMBER(SEARCH("CARGADOR",B2398)),
ISNUMBER(SEARCH("COOLER PARA NB",B2398)),
ISNUMBER(SEARCH("SOPORTE PARA NB",B2398)),
ISNUMBER(SEARCH("WEBCAM",B2398)),
ISNUMBER(SEARCH("WEB CAM",B2398)),
ISNUMBER(SEARCH("MOUSE",B2398)),
ISNUMBER(SEARCH("TECLADO",B2398))
),
"COMPLEMENTO",
IF(
OR(
LEFT(A2398,2)="NB",
LEFT(A2398,2)="PC",
LEFT(A2398,2)="WS",
LEFT(A2398,2)="TB",
LEFT(A2398,3)="CEL",
LEFT(A2398,3)="MON",
LEFT(A2398,3)="PRE",
LEFT(A2398,3)="PRH",
ISNUMBER(SEARCH("NOTEBOOK",B2398)),
ISNUMBER(SEARCH("LAPTOP",B2398)),
ISNUMBER(SEARCH("MONITOR",B2398)),
ISNUMBER(SEARCH("TABLET",B2398)),
ISNUMBER(SEARCH("SMARTPH",B2398)),
ISNUMBER(SEARCH("IMPRESORA",B2398)),
ISNUMBER(SEARCH("MULTIFUNCIONAL",B2398)),
ISNUMBER(SEARCH("AIO",B2398))
),
"GANCHO",
"NORMAL"
)
)</f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>ROUND(
IF(L2395="GANCHO",
   IF(I2397&lt;=50,I2397*1.1+4,IF(I2397&lt;=120,I2397*1.1+7,IF(I2397&lt;=250,I2397*1.1+11,I2397*1.1+19))),
IF(L2395="NORMAL",
   IF(I2397&lt;=30,I2397*1.15+2,IF(I2397&lt;=80,I2397*1.15+4,IF(I2397&lt;=150,I2397*1.15+6,I2397*1.15+8))),
IF(L2395="COMPLEMENTO",
   IF(I2397&lt;=25,I2397*1.25+1.5,IF(I2397&lt;=60,I2397*1.25+3,IF(I2397&lt;=120,I2397*1.25+4,I2397*1.25+5))),
""))),2)</f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>IF(
OR(
ISNUMBER(SEARCH("BACKPACK",B2399)),
ISNUMBER(SEARCH("MOCHILA",B2399)),
ISNUMBER(SEARCH("FUNDA",B2399)),
ISNUMBER(SEARCH("ESTUCHE",B2399)),
ISNUMBER(SEARCH("BOOK COVER",B2399)),
ISNUMBER(SEARCH("KEYBOARD PARA TABLET",B2399)),
ISNUMBER(SEARCH("FLIP TABLET",B2399)),
ISNUMBER(SEARCH("CASE FOR TABLET",B2399)),
ISNUMBER(SEARCH("CABLE",B2399)),
ISNUMBER(SEARCH("ADAPTADOR",B2399)),
ISNUMBER(SEARCH("HUB",B2399)),
ISNUMBER(SEARCH("DOCK",B2399)),
ISNUMBER(SEARCH("MOUSE PAD",B2399)),
ISNUMBER(SEARCH("MOUSEPAD",B2399)),
ISNUMBER(SEARCH("SOPORTE",B2399)),
ISNUMBER(SEARCH("STAND",B2399)),
ISNUMBER(SEARCH("TRAVEL ADAPTER",B2399)),
ISNUMBER(SEARCH("RJ45",B2399)),
ISNUMBER(SEARCH("USB-C",B2399)),
ISNUMBER(SEARCH("USB WIFI",B2399)),
ISNUMBER(SEARCH("POWERBANK",B2399)),
ISNUMBER(SEARCH("CARGADOR",B2399)),
ISNUMBER(SEARCH("COOLER PARA NB",B2399)),
ISNUMBER(SEARCH("SOPORTE PARA NB",B2399)),
ISNUMBER(SEARCH("WEBCAM",B2399)),
ISNUMBER(SEARCH("WEB CAM",B2399)),
ISNUMBER(SEARCH("MOUSE",B2399)),
ISNUMBER(SEARCH("TECLADO",B2399))
),
"COMPLEMENTO",
IF(
OR(
LEFT(A2399,2)="NB",
LEFT(A2399,2)="PC",
LEFT(A2399,2)="WS",
LEFT(A2399,2)="TB",
LEFT(A2399,3)="CEL",
LEFT(A2399,3)="MON",
LEFT(A2399,3)="PRE",
LEFT(A2399,3)="PRH",
ISNUMBER(SEARCH("NOTEBOOK",B2399)),
ISNUMBER(SEARCH("LAPTOP",B2399)),
ISNUMBER(SEARCH("MONITOR",B2399)),
ISNUMBER(SEARCH("TABLET",B2399)),
ISNUMBER(SEARCH("SMARTPH",B2399)),
ISNUMBER(SEARCH("IMPRESORA",B2399)),
ISNUMBER(SEARCH("MULTIFUNCIONAL",B2399)),
ISNUMBER(SEARCH("AIO",B2399))
),
"GANCHO",
"NORMAL"
)
)</f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>ROUND(
IF(L2396="GANCHO",
   IF(I2398&lt;=50,I2398*1.1+4,IF(I2398&lt;=120,I2398*1.1+7,IF(I2398&lt;=250,I2398*1.1+11,I2398*1.1+19))),
IF(L2396="NORMAL",
   IF(I2398&lt;=30,I2398*1.15+2,IF(I2398&lt;=80,I2398*1.15+4,IF(I2398&lt;=150,I2398*1.15+6,I2398*1.15+8))),
IF(L2396="COMPLEMENTO",
   IF(I2398&lt;=25,I2398*1.25+1.5,IF(I2398&lt;=60,I2398*1.25+3,IF(I2398&lt;=120,I2398*1.25+4,I2398*1.25+5))),
""))),2)</f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>IF(
OR(
ISNUMBER(SEARCH("BACKPACK",B2400)),
ISNUMBER(SEARCH("MOCHILA",B2400)),
ISNUMBER(SEARCH("FUNDA",B2400)),
ISNUMBER(SEARCH("ESTUCHE",B2400)),
ISNUMBER(SEARCH("BOOK COVER",B2400)),
ISNUMBER(SEARCH("KEYBOARD PARA TABLET",B2400)),
ISNUMBER(SEARCH("FLIP TABLET",B2400)),
ISNUMBER(SEARCH("CASE FOR TABLET",B2400)),
ISNUMBER(SEARCH("CABLE",B2400)),
ISNUMBER(SEARCH("ADAPTADOR",B2400)),
ISNUMBER(SEARCH("HUB",B2400)),
ISNUMBER(SEARCH("DOCK",B2400)),
ISNUMBER(SEARCH("MOUSE PAD",B2400)),
ISNUMBER(SEARCH("MOUSEPAD",B2400)),
ISNUMBER(SEARCH("SOPORTE",B2400)),
ISNUMBER(SEARCH("STAND",B2400)),
ISNUMBER(SEARCH("TRAVEL ADAPTER",B2400)),
ISNUMBER(SEARCH("RJ45",B2400)),
ISNUMBER(SEARCH("USB-C",B2400)),
ISNUMBER(SEARCH("USB WIFI",B2400)),
ISNUMBER(SEARCH("POWERBANK",B2400)),
ISNUMBER(SEARCH("CARGADOR",B2400)),
ISNUMBER(SEARCH("COOLER PARA NB",B2400)),
ISNUMBER(SEARCH("SOPORTE PARA NB",B2400)),
ISNUMBER(SEARCH("WEBCAM",B2400)),
ISNUMBER(SEARCH("WEB CAM",B2400)),
ISNUMBER(SEARCH("MOUSE",B2400)),
ISNUMBER(SEARCH("TECLADO",B2400))
),
"COMPLEMENTO",
IF(
OR(
LEFT(A2400,2)="NB",
LEFT(A2400,2)="PC",
LEFT(A2400,2)="WS",
LEFT(A2400,2)="TB",
LEFT(A2400,3)="CEL",
LEFT(A2400,3)="MON",
LEFT(A2400,3)="PRE",
LEFT(A2400,3)="PRH",
ISNUMBER(SEARCH("NOTEBOOK",B2400)),
ISNUMBER(SEARCH("LAPTOP",B2400)),
ISNUMBER(SEARCH("MONITOR",B2400)),
ISNUMBER(SEARCH("TABLET",B2400)),
ISNUMBER(SEARCH("SMARTPH",B2400)),
ISNUMBER(SEARCH("IMPRESORA",B2400)),
ISNUMBER(SEARCH("MULTIFUNCIONAL",B2400)),
ISNUMBER(SEARCH("AIO",B2400))
),
"GANCHO",
"NORMAL"
)
)</f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>ROUND(
IF(L2397="GANCHO",
   IF(I2399&lt;=50,I2399*1.1+4,IF(I2399&lt;=120,I2399*1.1+7,IF(I2399&lt;=250,I2399*1.1+11,I2399*1.1+19))),
IF(L2397="NORMAL",
   IF(I2399&lt;=30,I2399*1.15+2,IF(I2399&lt;=80,I2399*1.15+4,IF(I2399&lt;=150,I2399*1.15+6,I2399*1.15+8))),
IF(L2397="COMPLEMENTO",
   IF(I2399&lt;=25,I2399*1.25+1.5,IF(I2399&lt;=60,I2399*1.25+3,IF(I2399&lt;=120,I2399*1.25+4,I2399*1.25+5))),
""))),2)</f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>IF(
OR(
ISNUMBER(SEARCH("BACKPACK",B2401)),
ISNUMBER(SEARCH("MOCHILA",B2401)),
ISNUMBER(SEARCH("FUNDA",B2401)),
ISNUMBER(SEARCH("ESTUCHE",B2401)),
ISNUMBER(SEARCH("BOOK COVER",B2401)),
ISNUMBER(SEARCH("KEYBOARD PARA TABLET",B2401)),
ISNUMBER(SEARCH("FLIP TABLET",B2401)),
ISNUMBER(SEARCH("CASE FOR TABLET",B2401)),
ISNUMBER(SEARCH("CABLE",B2401)),
ISNUMBER(SEARCH("ADAPTADOR",B2401)),
ISNUMBER(SEARCH("HUB",B2401)),
ISNUMBER(SEARCH("DOCK",B2401)),
ISNUMBER(SEARCH("MOUSE PAD",B2401)),
ISNUMBER(SEARCH("MOUSEPAD",B2401)),
ISNUMBER(SEARCH("SOPORTE",B2401)),
ISNUMBER(SEARCH("STAND",B2401)),
ISNUMBER(SEARCH("TRAVEL ADAPTER",B2401)),
ISNUMBER(SEARCH("RJ45",B2401)),
ISNUMBER(SEARCH("USB-C",B2401)),
ISNUMBER(SEARCH("USB WIFI",B2401)),
ISNUMBER(SEARCH("POWERBANK",B2401)),
ISNUMBER(SEARCH("CARGADOR",B2401)),
ISNUMBER(SEARCH("COOLER PARA NB",B2401)),
ISNUMBER(SEARCH("SOPORTE PARA NB",B2401)),
ISNUMBER(SEARCH("WEBCAM",B2401)),
ISNUMBER(SEARCH("WEB CAM",B2401)),
ISNUMBER(SEARCH("MOUSE",B2401)),
ISNUMBER(SEARCH("TECLADO",B2401))
),
"COMPLEMENTO",
IF(
OR(
LEFT(A2401,2)="NB",
LEFT(A2401,2)="PC",
LEFT(A2401,2)="WS",
LEFT(A2401,2)="TB",
LEFT(A2401,3)="CEL",
LEFT(A2401,3)="MON",
LEFT(A2401,3)="PRE",
LEFT(A2401,3)="PRH",
ISNUMBER(SEARCH("NOTEBOOK",B2401)),
ISNUMBER(SEARCH("LAPTOP",B2401)),
ISNUMBER(SEARCH("MONITOR",B2401)),
ISNUMBER(SEARCH("TABLET",B2401)),
ISNUMBER(SEARCH("SMARTPH",B2401)),
ISNUMBER(SEARCH("IMPRESORA",B2401)),
ISNUMBER(SEARCH("MULTIFUNCIONAL",B2401)),
ISNUMBER(SEARCH("AIO",B2401))
),
"GANCHO",
"NORMAL"
)
)</f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>ROUND(
IF(L2398="GANCHO",
   IF(I2400&lt;=50,I2400*1.1+4,IF(I2400&lt;=120,I2400*1.1+7,IF(I2400&lt;=250,I2400*1.1+11,I2400*1.1+19))),
IF(L2398="NORMAL",
   IF(I2400&lt;=30,I2400*1.15+2,IF(I2400&lt;=80,I2400*1.15+4,IF(I2400&lt;=150,I2400*1.15+6,I2400*1.15+8))),
IF(L2398="COMPLEMENTO",
   IF(I2400&lt;=25,I2400*1.25+1.5,IF(I2400&lt;=60,I2400*1.25+3,IF(I2400&lt;=120,I2400*1.25+4,I2400*1.25+5))),
""))),2)</f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>IF(
OR(
ISNUMBER(SEARCH("BACKPACK",B2402)),
ISNUMBER(SEARCH("MOCHILA",B2402)),
ISNUMBER(SEARCH("FUNDA",B2402)),
ISNUMBER(SEARCH("ESTUCHE",B2402)),
ISNUMBER(SEARCH("BOOK COVER",B2402)),
ISNUMBER(SEARCH("KEYBOARD PARA TABLET",B2402)),
ISNUMBER(SEARCH("FLIP TABLET",B2402)),
ISNUMBER(SEARCH("CASE FOR TABLET",B2402)),
ISNUMBER(SEARCH("CABLE",B2402)),
ISNUMBER(SEARCH("ADAPTADOR",B2402)),
ISNUMBER(SEARCH("HUB",B2402)),
ISNUMBER(SEARCH("DOCK",B2402)),
ISNUMBER(SEARCH("MOUSE PAD",B2402)),
ISNUMBER(SEARCH("MOUSEPAD",B2402)),
ISNUMBER(SEARCH("SOPORTE",B2402)),
ISNUMBER(SEARCH("STAND",B2402)),
ISNUMBER(SEARCH("TRAVEL ADAPTER",B2402)),
ISNUMBER(SEARCH("RJ45",B2402)),
ISNUMBER(SEARCH("USB-C",B2402)),
ISNUMBER(SEARCH("USB WIFI",B2402)),
ISNUMBER(SEARCH("POWERBANK",B2402)),
ISNUMBER(SEARCH("CARGADOR",B2402)),
ISNUMBER(SEARCH("COOLER PARA NB",B2402)),
ISNUMBER(SEARCH("SOPORTE PARA NB",B2402)),
ISNUMBER(SEARCH("WEBCAM",B2402)),
ISNUMBER(SEARCH("WEB CAM",B2402)),
ISNUMBER(SEARCH("MOUSE",B2402)),
ISNUMBER(SEARCH("TECLADO",B2402))
),
"COMPLEMENTO",
IF(
OR(
LEFT(A2402,2)="NB",
LEFT(A2402,2)="PC",
LEFT(A2402,2)="WS",
LEFT(A2402,2)="TB",
LEFT(A2402,3)="CEL",
LEFT(A2402,3)="MON",
LEFT(A2402,3)="PRE",
LEFT(A2402,3)="PRH",
ISNUMBER(SEARCH("NOTEBOOK",B2402)),
ISNUMBER(SEARCH("LAPTOP",B2402)),
ISNUMBER(SEARCH("MONITOR",B2402)),
ISNUMBER(SEARCH("TABLET",B2402)),
ISNUMBER(SEARCH("SMARTPH",B2402)),
ISNUMBER(SEARCH("IMPRESORA",B2402)),
ISNUMBER(SEARCH("MULTIFUNCIONAL",B2402)),
ISNUMBER(SEARCH("AIO",B2402))
),
"GANCHO",
"NORMAL"
)
)</f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>ROUND(
IF(L2399="GANCHO",
   IF(I2401&lt;=50,I2401*1.1+4,IF(I2401&lt;=120,I2401*1.1+7,IF(I2401&lt;=250,I2401*1.1+11,I2401*1.1+19))),
IF(L2399="NORMAL",
   IF(I2401&lt;=30,I2401*1.15+2,IF(I2401&lt;=80,I2401*1.15+4,IF(I2401&lt;=150,I2401*1.15+6,I2401*1.15+8))),
IF(L2399="COMPLEMENTO",
   IF(I2401&lt;=25,I2401*1.25+1.5,IF(I2401&lt;=60,I2401*1.25+3,IF(I2401&lt;=120,I2401*1.25+4,I2401*1.25+5))),
""))),2)</f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>IF(
OR(
ISNUMBER(SEARCH("BACKPACK",B2403)),
ISNUMBER(SEARCH("MOCHILA",B2403)),
ISNUMBER(SEARCH("FUNDA",B2403)),
ISNUMBER(SEARCH("ESTUCHE",B2403)),
ISNUMBER(SEARCH("BOOK COVER",B2403)),
ISNUMBER(SEARCH("KEYBOARD PARA TABLET",B2403)),
ISNUMBER(SEARCH("FLIP TABLET",B2403)),
ISNUMBER(SEARCH("CASE FOR TABLET",B2403)),
ISNUMBER(SEARCH("CABLE",B2403)),
ISNUMBER(SEARCH("ADAPTADOR",B2403)),
ISNUMBER(SEARCH("HUB",B2403)),
ISNUMBER(SEARCH("DOCK",B2403)),
ISNUMBER(SEARCH("MOUSE PAD",B2403)),
ISNUMBER(SEARCH("MOUSEPAD",B2403)),
ISNUMBER(SEARCH("SOPORTE",B2403)),
ISNUMBER(SEARCH("STAND",B2403)),
ISNUMBER(SEARCH("TRAVEL ADAPTER",B2403)),
ISNUMBER(SEARCH("RJ45",B2403)),
ISNUMBER(SEARCH("USB-C",B2403)),
ISNUMBER(SEARCH("USB WIFI",B2403)),
ISNUMBER(SEARCH("POWERBANK",B2403)),
ISNUMBER(SEARCH("CARGADOR",B2403)),
ISNUMBER(SEARCH("COOLER PARA NB",B2403)),
ISNUMBER(SEARCH("SOPORTE PARA NB",B2403)),
ISNUMBER(SEARCH("WEBCAM",B2403)),
ISNUMBER(SEARCH("WEB CAM",B2403)),
ISNUMBER(SEARCH("MOUSE",B2403)),
ISNUMBER(SEARCH("TECLADO",B2403))
),
"COMPLEMENTO",
IF(
OR(
LEFT(A2403,2)="NB",
LEFT(A2403,2)="PC",
LEFT(A2403,2)="WS",
LEFT(A2403,2)="TB",
LEFT(A2403,3)="CEL",
LEFT(A2403,3)="MON",
LEFT(A2403,3)="PRE",
LEFT(A2403,3)="PRH",
ISNUMBER(SEARCH("NOTEBOOK",B2403)),
ISNUMBER(SEARCH("LAPTOP",B2403)),
ISNUMBER(SEARCH("MONITOR",B2403)),
ISNUMBER(SEARCH("TABLET",B2403)),
ISNUMBER(SEARCH("SMARTPH",B2403)),
ISNUMBER(SEARCH("IMPRESORA",B2403)),
ISNUMBER(SEARCH("MULTIFUNCIONAL",B2403)),
ISNUMBER(SEARCH("AIO",B2403))
),
"GANCHO",
"NORMAL"
)
)</f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>ROUND(
IF(L2400="GANCHO",
   IF(I2402&lt;=50,I2402*1.1+4,IF(I2402&lt;=120,I2402*1.1+7,IF(I2402&lt;=250,I2402*1.1+11,I2402*1.1+19))),
IF(L2400="NORMAL",
   IF(I2402&lt;=30,I2402*1.15+2,IF(I2402&lt;=80,I2402*1.15+4,IF(I2402&lt;=150,I2402*1.15+6,I2402*1.15+8))),
IF(L2400="COMPLEMENTO",
   IF(I2402&lt;=25,I2402*1.25+1.5,IF(I2402&lt;=60,I2402*1.25+3,IF(I2402&lt;=120,I2402*1.25+4,I2402*1.25+5))),
""))),2)</f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>IF(
OR(
ISNUMBER(SEARCH("BACKPACK",B2404)),
ISNUMBER(SEARCH("MOCHILA",B2404)),
ISNUMBER(SEARCH("FUNDA",B2404)),
ISNUMBER(SEARCH("ESTUCHE",B2404)),
ISNUMBER(SEARCH("BOOK COVER",B2404)),
ISNUMBER(SEARCH("KEYBOARD PARA TABLET",B2404)),
ISNUMBER(SEARCH("FLIP TABLET",B2404)),
ISNUMBER(SEARCH("CASE FOR TABLET",B2404)),
ISNUMBER(SEARCH("CABLE",B2404)),
ISNUMBER(SEARCH("ADAPTADOR",B2404)),
ISNUMBER(SEARCH("HUB",B2404)),
ISNUMBER(SEARCH("DOCK",B2404)),
ISNUMBER(SEARCH("MOUSE PAD",B2404)),
ISNUMBER(SEARCH("MOUSEPAD",B2404)),
ISNUMBER(SEARCH("SOPORTE",B2404)),
ISNUMBER(SEARCH("STAND",B2404)),
ISNUMBER(SEARCH("TRAVEL ADAPTER",B2404)),
ISNUMBER(SEARCH("RJ45",B2404)),
ISNUMBER(SEARCH("USB-C",B2404)),
ISNUMBER(SEARCH("USB WIFI",B2404)),
ISNUMBER(SEARCH("POWERBANK",B2404)),
ISNUMBER(SEARCH("CARGADOR",B2404)),
ISNUMBER(SEARCH("COOLER PARA NB",B2404)),
ISNUMBER(SEARCH("SOPORTE PARA NB",B2404)),
ISNUMBER(SEARCH("WEBCAM",B2404)),
ISNUMBER(SEARCH("WEB CAM",B2404)),
ISNUMBER(SEARCH("MOUSE",B2404)),
ISNUMBER(SEARCH("TECLADO",B2404))
),
"COMPLEMENTO",
IF(
OR(
LEFT(A2404,2)="NB",
LEFT(A2404,2)="PC",
LEFT(A2404,2)="WS",
LEFT(A2404,2)="TB",
LEFT(A2404,3)="CEL",
LEFT(A2404,3)="MON",
LEFT(A2404,3)="PRE",
LEFT(A2404,3)="PRH",
ISNUMBER(SEARCH("NOTEBOOK",B2404)),
ISNUMBER(SEARCH("LAPTOP",B2404)),
ISNUMBER(SEARCH("MONITOR",B2404)),
ISNUMBER(SEARCH("TABLET",B2404)),
ISNUMBER(SEARCH("SMARTPH",B2404)),
ISNUMBER(SEARCH("IMPRESORA",B2404)),
ISNUMBER(SEARCH("MULTIFUNCIONAL",B2404)),
ISNUMBER(SEARCH("AIO",B2404))
),
"GANCHO",
"NORMAL"
)
)</f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>ROUND(
IF(L2401="GANCHO",
   IF(I2403&lt;=50,I2403*1.1+4,IF(I2403&lt;=120,I2403*1.1+7,IF(I2403&lt;=250,I2403*1.1+11,I2403*1.1+19))),
IF(L2401="NORMAL",
   IF(I2403&lt;=30,I2403*1.15+2,IF(I2403&lt;=80,I2403*1.15+4,IF(I2403&lt;=150,I2403*1.15+6,I2403*1.15+8))),
IF(L2401="COMPLEMENTO",
   IF(I2403&lt;=25,I2403*1.25+1.5,IF(I2403&lt;=60,I2403*1.25+3,IF(I2403&lt;=120,I2403*1.25+4,I2403*1.25+5))),
""))),2)</f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>IF(
OR(
ISNUMBER(SEARCH("BACKPACK",B2405)),
ISNUMBER(SEARCH("MOCHILA",B2405)),
ISNUMBER(SEARCH("FUNDA",B2405)),
ISNUMBER(SEARCH("ESTUCHE",B2405)),
ISNUMBER(SEARCH("BOOK COVER",B2405)),
ISNUMBER(SEARCH("KEYBOARD PARA TABLET",B2405)),
ISNUMBER(SEARCH("FLIP TABLET",B2405)),
ISNUMBER(SEARCH("CASE FOR TABLET",B2405)),
ISNUMBER(SEARCH("CABLE",B2405)),
ISNUMBER(SEARCH("ADAPTADOR",B2405)),
ISNUMBER(SEARCH("HUB",B2405)),
ISNUMBER(SEARCH("DOCK",B2405)),
ISNUMBER(SEARCH("MOUSE PAD",B2405)),
ISNUMBER(SEARCH("MOUSEPAD",B2405)),
ISNUMBER(SEARCH("SOPORTE",B2405)),
ISNUMBER(SEARCH("STAND",B2405)),
ISNUMBER(SEARCH("TRAVEL ADAPTER",B2405)),
ISNUMBER(SEARCH("RJ45",B2405)),
ISNUMBER(SEARCH("USB-C",B2405)),
ISNUMBER(SEARCH("USB WIFI",B2405)),
ISNUMBER(SEARCH("POWERBANK",B2405)),
ISNUMBER(SEARCH("CARGADOR",B2405)),
ISNUMBER(SEARCH("COOLER PARA NB",B2405)),
ISNUMBER(SEARCH("SOPORTE PARA NB",B2405)),
ISNUMBER(SEARCH("WEBCAM",B2405)),
ISNUMBER(SEARCH("WEB CAM",B2405)),
ISNUMBER(SEARCH("MOUSE",B2405)),
ISNUMBER(SEARCH("TECLADO",B2405))
),
"COMPLEMENTO",
IF(
OR(
LEFT(A2405,2)="NB",
LEFT(A2405,2)="PC",
LEFT(A2405,2)="WS",
LEFT(A2405,2)="TB",
LEFT(A2405,3)="CEL",
LEFT(A2405,3)="MON",
LEFT(A2405,3)="PRE",
LEFT(A2405,3)="PRH",
ISNUMBER(SEARCH("NOTEBOOK",B2405)),
ISNUMBER(SEARCH("LAPTOP",B2405)),
ISNUMBER(SEARCH("MONITOR",B2405)),
ISNUMBER(SEARCH("TABLET",B2405)),
ISNUMBER(SEARCH("SMARTPH",B2405)),
ISNUMBER(SEARCH("IMPRESORA",B2405)),
ISNUMBER(SEARCH("MULTIFUNCIONAL",B2405)),
ISNUMBER(SEARCH("AIO",B2405))
),
"GANCHO",
"NORMAL"
)
)</f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>ROUND(
IF(L2402="GANCHO",
   IF(I2404&lt;=50,I2404*1.1+4,IF(I2404&lt;=120,I2404*1.1+7,IF(I2404&lt;=250,I2404*1.1+11,I2404*1.1+19))),
IF(L2402="NORMAL",
   IF(I2404&lt;=30,I2404*1.15+2,IF(I2404&lt;=80,I2404*1.15+4,IF(I2404&lt;=150,I2404*1.15+6,I2404*1.15+8))),
IF(L2402="COMPLEMENTO",
   IF(I2404&lt;=25,I2404*1.25+1.5,IF(I2404&lt;=60,I2404*1.25+3,IF(I2404&lt;=120,I2404*1.25+4,I2404*1.25+5))),
""))),2)</f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>IF(
OR(
ISNUMBER(SEARCH("BACKPACK",B2406)),
ISNUMBER(SEARCH("MOCHILA",B2406)),
ISNUMBER(SEARCH("FUNDA",B2406)),
ISNUMBER(SEARCH("ESTUCHE",B2406)),
ISNUMBER(SEARCH("BOOK COVER",B2406)),
ISNUMBER(SEARCH("KEYBOARD PARA TABLET",B2406)),
ISNUMBER(SEARCH("FLIP TABLET",B2406)),
ISNUMBER(SEARCH("CASE FOR TABLET",B2406)),
ISNUMBER(SEARCH("CABLE",B2406)),
ISNUMBER(SEARCH("ADAPTADOR",B2406)),
ISNUMBER(SEARCH("HUB",B2406)),
ISNUMBER(SEARCH("DOCK",B2406)),
ISNUMBER(SEARCH("MOUSE PAD",B2406)),
ISNUMBER(SEARCH("MOUSEPAD",B2406)),
ISNUMBER(SEARCH("SOPORTE",B2406)),
ISNUMBER(SEARCH("STAND",B2406)),
ISNUMBER(SEARCH("TRAVEL ADAPTER",B2406)),
ISNUMBER(SEARCH("RJ45",B2406)),
ISNUMBER(SEARCH("USB-C",B2406)),
ISNUMBER(SEARCH("USB WIFI",B2406)),
ISNUMBER(SEARCH("POWERBANK",B2406)),
ISNUMBER(SEARCH("CARGADOR",B2406)),
ISNUMBER(SEARCH("COOLER PARA NB",B2406)),
ISNUMBER(SEARCH("SOPORTE PARA NB",B2406)),
ISNUMBER(SEARCH("WEBCAM",B2406)),
ISNUMBER(SEARCH("WEB CAM",B2406)),
ISNUMBER(SEARCH("MOUSE",B2406)),
ISNUMBER(SEARCH("TECLADO",B2406))
),
"COMPLEMENTO",
IF(
OR(
LEFT(A2406,2)="NB",
LEFT(A2406,2)="PC",
LEFT(A2406,2)="WS",
LEFT(A2406,2)="TB",
LEFT(A2406,3)="CEL",
LEFT(A2406,3)="MON",
LEFT(A2406,3)="PRE",
LEFT(A2406,3)="PRH",
ISNUMBER(SEARCH("NOTEBOOK",B2406)),
ISNUMBER(SEARCH("LAPTOP",B2406)),
ISNUMBER(SEARCH("MONITOR",B2406)),
ISNUMBER(SEARCH("TABLET",B2406)),
ISNUMBER(SEARCH("SMARTPH",B2406)),
ISNUMBER(SEARCH("IMPRESORA",B2406)),
ISNUMBER(SEARCH("MULTIFUNCIONAL",B2406)),
ISNUMBER(SEARCH("AIO",B2406))
),
"GANCHO",
"NORMAL"
)
)</f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>ROUND(
IF(L2403="GANCHO",
   IF(I2405&lt;=50,I2405*1.1+4,IF(I2405&lt;=120,I2405*1.1+7,IF(I2405&lt;=250,I2405*1.1+11,I2405*1.1+19))),
IF(L2403="NORMAL",
   IF(I2405&lt;=30,I2405*1.15+2,IF(I2405&lt;=80,I2405*1.15+4,IF(I2405&lt;=150,I2405*1.15+6,I2405*1.15+8))),
IF(L2403="COMPLEMENTO",
   IF(I2405&lt;=25,I2405*1.25+1.5,IF(I2405&lt;=60,I2405*1.25+3,IF(I2405&lt;=120,I2405*1.25+4,I2405*1.25+5))),
""))),2)</f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>IF(
OR(
ISNUMBER(SEARCH("BACKPACK",B2407)),
ISNUMBER(SEARCH("MOCHILA",B2407)),
ISNUMBER(SEARCH("FUNDA",B2407)),
ISNUMBER(SEARCH("ESTUCHE",B2407)),
ISNUMBER(SEARCH("BOOK COVER",B2407)),
ISNUMBER(SEARCH("KEYBOARD PARA TABLET",B2407)),
ISNUMBER(SEARCH("FLIP TABLET",B2407)),
ISNUMBER(SEARCH("CASE FOR TABLET",B2407)),
ISNUMBER(SEARCH("CABLE",B2407)),
ISNUMBER(SEARCH("ADAPTADOR",B2407)),
ISNUMBER(SEARCH("HUB",B2407)),
ISNUMBER(SEARCH("DOCK",B2407)),
ISNUMBER(SEARCH("MOUSE PAD",B2407)),
ISNUMBER(SEARCH("MOUSEPAD",B2407)),
ISNUMBER(SEARCH("SOPORTE",B2407)),
ISNUMBER(SEARCH("STAND",B2407)),
ISNUMBER(SEARCH("TRAVEL ADAPTER",B2407)),
ISNUMBER(SEARCH("RJ45",B2407)),
ISNUMBER(SEARCH("USB-C",B2407)),
ISNUMBER(SEARCH("USB WIFI",B2407)),
ISNUMBER(SEARCH("POWERBANK",B2407)),
ISNUMBER(SEARCH("CARGADOR",B2407)),
ISNUMBER(SEARCH("COOLER PARA NB",B2407)),
ISNUMBER(SEARCH("SOPORTE PARA NB",B2407)),
ISNUMBER(SEARCH("WEBCAM",B2407)),
ISNUMBER(SEARCH("WEB CAM",B2407)),
ISNUMBER(SEARCH("MOUSE",B2407)),
ISNUMBER(SEARCH("TECLADO",B2407))
),
"COMPLEMENTO",
IF(
OR(
LEFT(A2407,2)="NB",
LEFT(A2407,2)="PC",
LEFT(A2407,2)="WS",
LEFT(A2407,2)="TB",
LEFT(A2407,3)="CEL",
LEFT(A2407,3)="MON",
LEFT(A2407,3)="PRE",
LEFT(A2407,3)="PRH",
ISNUMBER(SEARCH("NOTEBOOK",B2407)),
ISNUMBER(SEARCH("LAPTOP",B2407)),
ISNUMBER(SEARCH("MONITOR",B2407)),
ISNUMBER(SEARCH("TABLET",B2407)),
ISNUMBER(SEARCH("SMARTPH",B2407)),
ISNUMBER(SEARCH("IMPRESORA",B2407)),
ISNUMBER(SEARCH("MULTIFUNCIONAL",B2407)),
ISNUMBER(SEARCH("AIO",B2407))
),
"GANCHO",
"NORMAL"
)
)</f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>
        <f>ROUND(
IF(L2404="GANCHO",
   IF(I2406&lt;=50,I2406*1.1+4,IF(I2406&lt;=120,I2406*1.1+7,IF(I2406&lt;=250,I2406*1.1+11,I2406*1.1+19))),
IF(L2404="NORMAL",
   IF(I2406&lt;=30,I2406*1.15+2,IF(I2406&lt;=80,I2406*1.15+4,IF(I2406&lt;=150,I2406*1.15+6,I2406*1.15+8))),
IF(L2404="COMPLEMENTO",
   IF(I2406&lt;=25,I2406*1.25+1.5,IF(I2406&lt;=60,I2406*1.25+3,IF(I2406&lt;=120,I2406*1.25+4,I2406*1.25+5))),
""))),2)</f>
        <v>2</v>
      </c>
      <c r="I2406" s="9">
        <f>($K$2+0.02)*Tabla1[[#This Row],[PRECIO $]]*1.18</f>
        <v>0</v>
      </c>
      <c r="J2406" s="7">
        <f>+Tabla1[[#This Row],[PRECIO EN SOLES]]-Tabla1[[#This Row],[PC]]</f>
        <v>2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>
        <f>ROUND(
IF(L2405="GANCHO",
   IF(I2407&lt;=50,I2407*1.1+4,IF(I2407&lt;=120,I2407*1.1+7,IF(I2407&lt;=250,I2407*1.1+11,I2407*1.1+19))),
IF(L2405="NORMAL",
   IF(I2407&lt;=30,I2407*1.15+2,IF(I2407&lt;=80,I2407*1.15+4,IF(I2407&lt;=150,I2407*1.15+6,I2407*1.15+8))),
IF(L2405="COMPLEMENTO",
   IF(I2407&lt;=25,I2407*1.25+1.5,IF(I2407&lt;=60,I2407*1.25+3,IF(I2407&lt;=120,I2407*1.25+4,I2407*1.25+5))),
""))),2)</f>
        <v>2</v>
      </c>
      <c r="I2407" s="9">
        <f>($K$2+0.02)*Tabla1[[#This Row],[PRECIO $]]*1.18</f>
        <v>0</v>
      </c>
      <c r="J2407" s="7">
        <f>+Tabla1[[#This Row],[PRECIO EN SOLES]]-Tabla1[[#This Row],[PC]]</f>
        <v>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workbookViewId="0">
      <selection sqref="A1:XFD1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4175</v>
      </c>
      <c r="C1" s="1" t="s">
        <v>4176</v>
      </c>
      <c r="D1" s="1" t="s">
        <v>2770</v>
      </c>
      <c r="E1" s="1" t="s">
        <v>43</v>
      </c>
      <c r="F1" s="1" t="s">
        <v>41</v>
      </c>
      <c r="G1" s="1" t="s">
        <v>29</v>
      </c>
      <c r="H1" s="1" t="s">
        <v>627</v>
      </c>
      <c r="I1" s="1" t="s">
        <v>625</v>
      </c>
      <c r="J1" s="1" t="s">
        <v>624</v>
      </c>
      <c r="K1" s="1" t="s">
        <v>46</v>
      </c>
      <c r="L1" s="1" t="s">
        <v>45</v>
      </c>
      <c r="M1" s="1" t="s">
        <v>12</v>
      </c>
      <c r="N1" s="1" t="s">
        <v>626</v>
      </c>
      <c r="O1" s="1" t="s">
        <v>628</v>
      </c>
      <c r="P1" s="1" t="s">
        <v>629</v>
      </c>
      <c r="Q1" s="1" t="s">
        <v>19</v>
      </c>
      <c r="R1" s="1" t="s">
        <v>11</v>
      </c>
      <c r="S1" s="1" t="s">
        <v>8</v>
      </c>
      <c r="T1" s="1" t="s">
        <v>2805</v>
      </c>
      <c r="U1" s="1" t="s">
        <v>600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2806</v>
      </c>
      <c r="AN1" s="1" t="s">
        <v>4468</v>
      </c>
      <c r="AO1" s="1" t="s">
        <v>4819</v>
      </c>
      <c r="AP1" s="1" t="s">
        <v>4380</v>
      </c>
      <c r="AQ1" s="1" t="s">
        <v>7010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421817</v>
      </c>
      <c r="AO2" s="1">
        <v>477461</v>
      </c>
      <c r="AP2" s="1">
        <v>80747</v>
      </c>
      <c r="AQ2" s="1">
        <v>401370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477937</v>
      </c>
      <c r="AO3" s="1">
        <v>477466</v>
      </c>
      <c r="AP3" s="1">
        <v>334245</v>
      </c>
      <c r="AQ3" s="1">
        <v>475935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/>
      <c r="AO4" s="1">
        <v>477470</v>
      </c>
      <c r="AP4" s="1">
        <v>357672</v>
      </c>
      <c r="AQ4" s="1">
        <v>477526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/>
      <c r="AO5" s="1">
        <v>477927</v>
      </c>
      <c r="AP5" s="1">
        <v>363378</v>
      </c>
      <c r="AQ5" s="1">
        <v>477472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477927</v>
      </c>
      <c r="AO6" s="1">
        <v>477938</v>
      </c>
      <c r="AP6" s="1">
        <v>363379</v>
      </c>
      <c r="AQ6" s="1">
        <v>477473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476383</v>
      </c>
      <c r="AO7" s="1">
        <v>477932</v>
      </c>
      <c r="AP7" s="1">
        <v>368984</v>
      </c>
      <c r="AQ7" s="1">
        <v>487682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476382</v>
      </c>
      <c r="AO8" s="1">
        <v>477935</v>
      </c>
      <c r="AP8" s="1">
        <v>369033</v>
      </c>
      <c r="AQ8" s="1">
        <v>477463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484955</v>
      </c>
      <c r="AO9" s="1">
        <v>477933</v>
      </c>
      <c r="AP9" s="1">
        <v>370420</v>
      </c>
      <c r="AQ9" s="1">
        <v>477464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445568</v>
      </c>
      <c r="AO10" s="1">
        <v>421817</v>
      </c>
      <c r="AP10" s="1">
        <v>370926</v>
      </c>
      <c r="AQ10" s="1">
        <v>476383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/>
      <c r="AO11" s="1"/>
      <c r="AP11" s="1">
        <v>379319</v>
      </c>
      <c r="AQ11" s="1">
        <v>477463</v>
      </c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/>
      <c r="AO12" s="1"/>
      <c r="AP12" s="1">
        <v>401370</v>
      </c>
      <c r="AQ12" s="1">
        <v>392519</v>
      </c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/>
      <c r="AP13" s="1">
        <v>397634</v>
      </c>
      <c r="AQ13" s="1">
        <v>509922</v>
      </c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/>
      <c r="AP14" s="1">
        <v>426096</v>
      </c>
      <c r="AQ14" s="1">
        <v>488963</v>
      </c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/>
      <c r="AP15" s="1">
        <v>488963</v>
      </c>
      <c r="AQ15" s="1">
        <v>240857</v>
      </c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/>
      <c r="AP16" s="1">
        <v>426156</v>
      </c>
      <c r="AQ16" s="1">
        <v>476699</v>
      </c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/>
      <c r="AP17" s="1">
        <v>427319</v>
      </c>
      <c r="AQ17" s="1">
        <v>424250</v>
      </c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/>
      <c r="AP18" s="1">
        <v>440801</v>
      </c>
      <c r="AQ18" s="1">
        <v>356643</v>
      </c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/>
      <c r="AP19" s="1">
        <v>451130</v>
      </c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/>
      <c r="AP20" s="1">
        <v>451520</v>
      </c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/>
      <c r="AP21" s="1">
        <v>452106</v>
      </c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/>
      <c r="AP22" s="1">
        <v>452109</v>
      </c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/>
      <c r="AP23" s="1">
        <v>453743</v>
      </c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/>
      <c r="AP24" s="1">
        <v>477526</v>
      </c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/>
      <c r="AP25" s="1">
        <v>473310</v>
      </c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/>
      <c r="AP26" s="1">
        <v>479907</v>
      </c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/>
      <c r="AP27" s="1">
        <v>489485</v>
      </c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/>
      <c r="AP28" s="1">
        <v>370420</v>
      </c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>
        <v>475935</v>
      </c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2026-03-16T01:17:08Z</dcterms:modified>
</cp:coreProperties>
</file>